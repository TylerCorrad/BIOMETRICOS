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pahuedu-my.sharepoint.com/personal/juanpaz_uninpahu_edu_co/Documents/Documentos/JUANPAZ/Backup_Huelleros_xlsm/2026/Junio2026/TYLER/"/>
    </mc:Choice>
  </mc:AlternateContent>
  <xr:revisionPtr revIDLastSave="1" documentId="13_ncr:1_{E049660D-C4AB-4173-8555-32EBFAE9A013}" xr6:coauthVersionLast="47" xr6:coauthVersionMax="47" xr10:uidLastSave="{D3DDEFC8-FCB7-4B7C-ACB8-1F765CBC026E}"/>
  <bookViews>
    <workbookView xWindow="-120" yWindow="-120" windowWidth="24240" windowHeight="13290" firstSheet="1" activeTab="1" xr2:uid="{00000000-000D-0000-FFFF-FFFF00000000}"/>
  </bookViews>
  <sheets>
    <sheet name="Base Prueba" sheetId="4" state="hidden" r:id="rId1"/>
    <sheet name="Validacion" sheetId="1" r:id="rId2"/>
  </sheets>
  <definedNames>
    <definedName name="_xlnm._FilterDatabase" localSheetId="1" hidden="1">Validacion!$A$1:$E$1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2870" i="1"/>
  <c r="D2870" i="1"/>
  <c r="E2870" i="1"/>
  <c r="C2871" i="1"/>
  <c r="D2871" i="1"/>
  <c r="E2871" i="1"/>
  <c r="C2872" i="1"/>
  <c r="D2872" i="1"/>
  <c r="E2872" i="1"/>
  <c r="C2873" i="1"/>
  <c r="D2873" i="1"/>
  <c r="E2873" i="1"/>
  <c r="C2874" i="1"/>
  <c r="D2874" i="1"/>
  <c r="E2874" i="1"/>
  <c r="C2875" i="1"/>
  <c r="D2875" i="1"/>
  <c r="E2875" i="1"/>
  <c r="C2876" i="1"/>
  <c r="D2876" i="1"/>
  <c r="E2876" i="1"/>
  <c r="C2877" i="1"/>
  <c r="D2877" i="1"/>
  <c r="E2877" i="1"/>
  <c r="C2878" i="1"/>
  <c r="D2878" i="1"/>
  <c r="E2878" i="1"/>
  <c r="C2879" i="1"/>
  <c r="D2879" i="1"/>
  <c r="E2879" i="1"/>
  <c r="C2880" i="1"/>
  <c r="D2880" i="1"/>
  <c r="E2880" i="1"/>
  <c r="C2881" i="1"/>
  <c r="D2881" i="1"/>
  <c r="E2881" i="1"/>
  <c r="C2882" i="1"/>
  <c r="D2882" i="1"/>
  <c r="E2882" i="1"/>
  <c r="C2883" i="1"/>
  <c r="D2883" i="1"/>
  <c r="E2883" i="1"/>
  <c r="C2884" i="1"/>
  <c r="D2884" i="1"/>
  <c r="E2884" i="1"/>
  <c r="C2885" i="1"/>
  <c r="D2885" i="1"/>
  <c r="E2885" i="1"/>
  <c r="C2886" i="1"/>
  <c r="D2886" i="1"/>
  <c r="E2886" i="1"/>
  <c r="C2887" i="1"/>
  <c r="D2887" i="1"/>
  <c r="E2887" i="1"/>
  <c r="C2888" i="1"/>
  <c r="D2888" i="1"/>
  <c r="E2888" i="1"/>
  <c r="C2889" i="1"/>
  <c r="D2889" i="1"/>
  <c r="E2889" i="1"/>
  <c r="C2890" i="1"/>
  <c r="D2890" i="1"/>
  <c r="E2890" i="1"/>
  <c r="C2891" i="1"/>
  <c r="D2891" i="1"/>
  <c r="E2891" i="1"/>
  <c r="C2892" i="1"/>
  <c r="D2892" i="1"/>
  <c r="E2892" i="1"/>
  <c r="C2893" i="1"/>
  <c r="D2893" i="1"/>
  <c r="E2893" i="1"/>
  <c r="C2894" i="1"/>
  <c r="D2894" i="1"/>
  <c r="E2894" i="1"/>
  <c r="C2895" i="1"/>
  <c r="D2895" i="1"/>
  <c r="E2895" i="1"/>
  <c r="C2896" i="1"/>
  <c r="D2896" i="1"/>
  <c r="E2896" i="1"/>
  <c r="C2897" i="1"/>
  <c r="D2897" i="1"/>
  <c r="E2897" i="1"/>
  <c r="C2898" i="1"/>
  <c r="D2898" i="1"/>
  <c r="E2898" i="1"/>
  <c r="C2899" i="1"/>
  <c r="D2899" i="1"/>
  <c r="E2899" i="1"/>
  <c r="C2900" i="1"/>
  <c r="D2900" i="1"/>
  <c r="E2900" i="1"/>
  <c r="C2901" i="1"/>
  <c r="D2901" i="1"/>
  <c r="E2901" i="1"/>
  <c r="C2902" i="1"/>
  <c r="D2902" i="1"/>
  <c r="E2902" i="1"/>
  <c r="C2903" i="1"/>
  <c r="D2903" i="1"/>
  <c r="E2903" i="1"/>
  <c r="C2904" i="1"/>
  <c r="D2904" i="1"/>
  <c r="E2904" i="1"/>
  <c r="C2905" i="1"/>
  <c r="D2905" i="1"/>
  <c r="E2905" i="1"/>
  <c r="C2906" i="1"/>
  <c r="D2906" i="1"/>
  <c r="E2906" i="1"/>
  <c r="C2907" i="1"/>
  <c r="D2907" i="1"/>
  <c r="E2907" i="1"/>
  <c r="C2908" i="1"/>
  <c r="D2908" i="1"/>
  <c r="E2908" i="1"/>
  <c r="C2909" i="1"/>
  <c r="D2909" i="1"/>
  <c r="E2909" i="1"/>
  <c r="C2910" i="1"/>
  <c r="D2910" i="1"/>
  <c r="E2910" i="1"/>
  <c r="C2911" i="1"/>
  <c r="D2911" i="1"/>
  <c r="E2911" i="1"/>
  <c r="C2912" i="1"/>
  <c r="D2912" i="1"/>
  <c r="E2912" i="1"/>
  <c r="C2913" i="1"/>
  <c r="D2913" i="1"/>
  <c r="E2913" i="1"/>
  <c r="C2914" i="1"/>
  <c r="D2914" i="1"/>
  <c r="E2914" i="1"/>
  <c r="C2915" i="1"/>
  <c r="D2915" i="1"/>
  <c r="E2915" i="1"/>
  <c r="C2916" i="1"/>
  <c r="D2916" i="1"/>
  <c r="E2916" i="1"/>
  <c r="C2917" i="1"/>
  <c r="D2917" i="1"/>
  <c r="E2917" i="1"/>
  <c r="C2918" i="1"/>
  <c r="D2918" i="1"/>
  <c r="E2918" i="1"/>
  <c r="C2919" i="1"/>
  <c r="D2919" i="1"/>
  <c r="E2919" i="1"/>
  <c r="C2920" i="1"/>
  <c r="D2920" i="1"/>
  <c r="E2920" i="1"/>
  <c r="C2921" i="1"/>
  <c r="D2921" i="1"/>
  <c r="E2921" i="1"/>
  <c r="C2922" i="1"/>
  <c r="D2922" i="1"/>
  <c r="E2922" i="1"/>
  <c r="C2923" i="1"/>
  <c r="D2923" i="1"/>
  <c r="E2923" i="1"/>
  <c r="C2924" i="1"/>
  <c r="D2924" i="1"/>
  <c r="E2924" i="1"/>
  <c r="C2925" i="1"/>
  <c r="D2925" i="1"/>
  <c r="E2925" i="1"/>
  <c r="C2926" i="1"/>
  <c r="D2926" i="1"/>
  <c r="E2926" i="1"/>
  <c r="C2927" i="1"/>
  <c r="D2927" i="1"/>
  <c r="E2927" i="1"/>
  <c r="C2928" i="1"/>
  <c r="D2928" i="1"/>
  <c r="E2928" i="1"/>
  <c r="C2929" i="1"/>
  <c r="D2929" i="1"/>
  <c r="E2929" i="1"/>
  <c r="C2930" i="1"/>
  <c r="D2930" i="1"/>
  <c r="E2930" i="1"/>
  <c r="C2931" i="1"/>
  <c r="D2931" i="1"/>
  <c r="E2931" i="1"/>
  <c r="C2932" i="1"/>
  <c r="D2932" i="1"/>
  <c r="E2932" i="1"/>
  <c r="C2933" i="1"/>
  <c r="D2933" i="1"/>
  <c r="E2933" i="1"/>
  <c r="C2934" i="1"/>
  <c r="D2934" i="1"/>
  <c r="E2934" i="1"/>
  <c r="C2935" i="1"/>
  <c r="D2935" i="1"/>
  <c r="E2935" i="1"/>
  <c r="C2936" i="1"/>
  <c r="D2936" i="1"/>
  <c r="E2936" i="1"/>
  <c r="C2937" i="1"/>
  <c r="D2937" i="1"/>
  <c r="E2937" i="1"/>
  <c r="C2938" i="1"/>
  <c r="D2938" i="1"/>
  <c r="E2938" i="1"/>
  <c r="C2939" i="1"/>
  <c r="D2939" i="1"/>
  <c r="E2939" i="1"/>
  <c r="C2940" i="1"/>
  <c r="D2940" i="1"/>
  <c r="E2940" i="1"/>
  <c r="C2941" i="1"/>
  <c r="D2941" i="1"/>
  <c r="E2941" i="1"/>
  <c r="C2942" i="1"/>
  <c r="D2942" i="1"/>
  <c r="E2942" i="1"/>
  <c r="C2943" i="1"/>
  <c r="D2943" i="1"/>
  <c r="E2943" i="1"/>
  <c r="C2944" i="1"/>
  <c r="D2944" i="1"/>
  <c r="E2944" i="1"/>
  <c r="C2945" i="1"/>
  <c r="D2945" i="1"/>
  <c r="E2945" i="1"/>
  <c r="C2946" i="1"/>
  <c r="D2946" i="1"/>
  <c r="E2946" i="1"/>
  <c r="C2947" i="1"/>
  <c r="D2947" i="1"/>
  <c r="E2947" i="1"/>
  <c r="C2948" i="1"/>
  <c r="D2948" i="1"/>
  <c r="E2948" i="1"/>
  <c r="C2949" i="1"/>
  <c r="D2949" i="1"/>
  <c r="E2949" i="1"/>
  <c r="C2950" i="1"/>
  <c r="D2950" i="1"/>
  <c r="E2950" i="1"/>
  <c r="C2951" i="1"/>
  <c r="D2951" i="1"/>
  <c r="E2951" i="1"/>
  <c r="C2952" i="1"/>
  <c r="D2952" i="1"/>
  <c r="E2952" i="1"/>
  <c r="C2953" i="1"/>
  <c r="D2953" i="1"/>
  <c r="E2953" i="1"/>
  <c r="C2954" i="1"/>
  <c r="D2954" i="1"/>
  <c r="E2954" i="1"/>
  <c r="C2955" i="1"/>
  <c r="D2955" i="1"/>
  <c r="E2955" i="1"/>
  <c r="C2956" i="1"/>
  <c r="D2956" i="1"/>
  <c r="E2956" i="1"/>
  <c r="C2957" i="1"/>
  <c r="D2957" i="1"/>
  <c r="E2957" i="1"/>
  <c r="C2958" i="1"/>
  <c r="D2958" i="1"/>
  <c r="E2958" i="1"/>
  <c r="C2959" i="1"/>
  <c r="D2959" i="1"/>
  <c r="E2959" i="1"/>
  <c r="C2960" i="1"/>
  <c r="D2960" i="1"/>
  <c r="E2960" i="1"/>
  <c r="C2961" i="1"/>
  <c r="D2961" i="1"/>
  <c r="E2961" i="1"/>
  <c r="C2962" i="1"/>
  <c r="D2962" i="1"/>
  <c r="E2962" i="1"/>
  <c r="C2963" i="1"/>
  <c r="D2963" i="1"/>
  <c r="E2963" i="1"/>
  <c r="C2964" i="1"/>
  <c r="D2964" i="1"/>
  <c r="E2964" i="1"/>
  <c r="C2965" i="1"/>
  <c r="D2965" i="1"/>
  <c r="E2965" i="1"/>
  <c r="C2966" i="1"/>
  <c r="D2966" i="1"/>
  <c r="E2966" i="1"/>
  <c r="C2967" i="1"/>
  <c r="D2967" i="1"/>
  <c r="E2967" i="1"/>
  <c r="C2968" i="1"/>
  <c r="D2968" i="1"/>
  <c r="E2968" i="1"/>
  <c r="C2969" i="1"/>
  <c r="D2969" i="1"/>
  <c r="E2969" i="1"/>
  <c r="C2970" i="1"/>
  <c r="D2970" i="1"/>
  <c r="E2970" i="1"/>
  <c r="C2971" i="1"/>
  <c r="D2971" i="1"/>
  <c r="E2971" i="1"/>
  <c r="C2972" i="1"/>
  <c r="D2972" i="1"/>
  <c r="E2972" i="1"/>
  <c r="C2973" i="1"/>
  <c r="D2973" i="1"/>
  <c r="E2973" i="1"/>
  <c r="C2974" i="1"/>
  <c r="D2974" i="1"/>
  <c r="E2974" i="1"/>
  <c r="C2975" i="1"/>
  <c r="D2975" i="1"/>
  <c r="E2975" i="1"/>
  <c r="C2976" i="1"/>
  <c r="D2976" i="1"/>
  <c r="E2976" i="1"/>
  <c r="C2977" i="1"/>
  <c r="D2977" i="1"/>
  <c r="E2977" i="1"/>
  <c r="C2978" i="1"/>
  <c r="D2978" i="1"/>
  <c r="E2978" i="1"/>
  <c r="C2979" i="1"/>
  <c r="D2979" i="1"/>
  <c r="E2979" i="1"/>
  <c r="C2980" i="1"/>
  <c r="D2980" i="1"/>
  <c r="E2980" i="1"/>
  <c r="C2981" i="1"/>
  <c r="D2981" i="1"/>
  <c r="E2981" i="1"/>
  <c r="C2982" i="1"/>
  <c r="D2982" i="1"/>
  <c r="E2982" i="1"/>
  <c r="C2983" i="1"/>
  <c r="D2983" i="1"/>
  <c r="E2983" i="1"/>
  <c r="C2984" i="1"/>
  <c r="D2984" i="1"/>
  <c r="E2984" i="1"/>
  <c r="C2985" i="1"/>
  <c r="D2985" i="1"/>
  <c r="E2985" i="1"/>
  <c r="C2986" i="1"/>
  <c r="D2986" i="1"/>
  <c r="E2986" i="1"/>
  <c r="C2987" i="1"/>
  <c r="D2987" i="1"/>
  <c r="E2987" i="1"/>
  <c r="C2988" i="1"/>
  <c r="D2988" i="1"/>
  <c r="E2988" i="1"/>
  <c r="C2989" i="1"/>
  <c r="D2989" i="1"/>
  <c r="E2989" i="1"/>
  <c r="C2990" i="1"/>
  <c r="D2990" i="1"/>
  <c r="E2990" i="1"/>
  <c r="C2991" i="1"/>
  <c r="D2991" i="1"/>
  <c r="E2991" i="1"/>
  <c r="C2992" i="1"/>
  <c r="D2992" i="1"/>
  <c r="E2992" i="1"/>
  <c r="C2993" i="1"/>
  <c r="D2993" i="1"/>
  <c r="E2993" i="1"/>
  <c r="C2994" i="1"/>
  <c r="D2994" i="1"/>
  <c r="E2994" i="1"/>
  <c r="C2995" i="1"/>
  <c r="D2995" i="1"/>
  <c r="E2995" i="1"/>
  <c r="C2996" i="1"/>
  <c r="D2996" i="1"/>
  <c r="E2996" i="1"/>
  <c r="C2997" i="1"/>
  <c r="D2997" i="1"/>
  <c r="E2997" i="1"/>
  <c r="C2998" i="1"/>
  <c r="D2998" i="1"/>
  <c r="E2998" i="1"/>
  <c r="C2999" i="1"/>
  <c r="D2999" i="1"/>
  <c r="E2999" i="1"/>
  <c r="C3000" i="1"/>
  <c r="D3000" i="1"/>
  <c r="E3000" i="1"/>
  <c r="C3001" i="1"/>
  <c r="D3001" i="1"/>
  <c r="E3001" i="1"/>
  <c r="C3002" i="1"/>
  <c r="D3002" i="1"/>
  <c r="E3002" i="1"/>
  <c r="C3003" i="1"/>
  <c r="D3003" i="1"/>
  <c r="E3003" i="1"/>
  <c r="C3004" i="1"/>
  <c r="D3004" i="1"/>
  <c r="E3004" i="1"/>
  <c r="C3005" i="1"/>
  <c r="D3005" i="1"/>
  <c r="E3005" i="1"/>
  <c r="C3006" i="1"/>
  <c r="D3006" i="1"/>
  <c r="E3006" i="1"/>
  <c r="C3007" i="1"/>
  <c r="D3007" i="1"/>
  <c r="E3007" i="1"/>
  <c r="C3008" i="1"/>
  <c r="D3008" i="1"/>
  <c r="E3008" i="1"/>
  <c r="C3009" i="1"/>
  <c r="D3009" i="1"/>
  <c r="E3009" i="1"/>
  <c r="C3010" i="1"/>
  <c r="D3010" i="1"/>
  <c r="E3010" i="1"/>
  <c r="C3011" i="1"/>
  <c r="D3011" i="1"/>
  <c r="E3011" i="1"/>
  <c r="C3012" i="1"/>
  <c r="D3012" i="1"/>
  <c r="E3012" i="1"/>
  <c r="C3013" i="1"/>
  <c r="D3013" i="1"/>
  <c r="E3013" i="1"/>
  <c r="C3014" i="1"/>
  <c r="D3014" i="1"/>
  <c r="E3014" i="1"/>
  <c r="C3015" i="1"/>
  <c r="D3015" i="1"/>
  <c r="E3015" i="1"/>
  <c r="C3016" i="1"/>
  <c r="D3016" i="1"/>
  <c r="E3016" i="1"/>
  <c r="C3017" i="1"/>
  <c r="D3017" i="1"/>
  <c r="E3017" i="1"/>
  <c r="C3018" i="1"/>
  <c r="D3018" i="1"/>
  <c r="E3018" i="1"/>
  <c r="C3019" i="1"/>
  <c r="D3019" i="1"/>
  <c r="E3019" i="1"/>
  <c r="C3020" i="1"/>
  <c r="D3020" i="1"/>
  <c r="E3020" i="1"/>
  <c r="C3021" i="1"/>
  <c r="D3021" i="1"/>
  <c r="E3021" i="1"/>
  <c r="C3022" i="1"/>
  <c r="D3022" i="1"/>
  <c r="E3022" i="1"/>
  <c r="C3023" i="1"/>
  <c r="D3023" i="1"/>
  <c r="E3023" i="1"/>
  <c r="C3024" i="1"/>
  <c r="D3024" i="1"/>
  <c r="E3024" i="1"/>
  <c r="C3025" i="1"/>
  <c r="D3025" i="1"/>
  <c r="E3025" i="1"/>
  <c r="C3026" i="1"/>
  <c r="D3026" i="1"/>
  <c r="E3026" i="1"/>
  <c r="C3027" i="1"/>
  <c r="D3027" i="1"/>
  <c r="E3027" i="1"/>
  <c r="C3028" i="1"/>
  <c r="D3028" i="1"/>
  <c r="E3028" i="1"/>
  <c r="C3029" i="1"/>
  <c r="D3029" i="1"/>
  <c r="E3029" i="1"/>
  <c r="C3030" i="1"/>
  <c r="D3030" i="1"/>
  <c r="E3030" i="1"/>
  <c r="C3031" i="1"/>
  <c r="D3031" i="1"/>
  <c r="E3031" i="1"/>
  <c r="C3032" i="1"/>
  <c r="D3032" i="1"/>
  <c r="E3032" i="1"/>
  <c r="C3033" i="1"/>
  <c r="D3033" i="1"/>
  <c r="E3033" i="1"/>
  <c r="C3034" i="1"/>
  <c r="D3034" i="1"/>
  <c r="E3034" i="1"/>
  <c r="C3035" i="1"/>
  <c r="D3035" i="1"/>
  <c r="E3035" i="1"/>
  <c r="C3036" i="1"/>
  <c r="D3036" i="1"/>
  <c r="E3036" i="1"/>
  <c r="C3037" i="1"/>
  <c r="D3037" i="1"/>
  <c r="E3037" i="1"/>
  <c r="C3038" i="1"/>
  <c r="D3038" i="1"/>
  <c r="E3038" i="1"/>
  <c r="C3039" i="1"/>
  <c r="D3039" i="1"/>
  <c r="E3039" i="1"/>
  <c r="C3040" i="1"/>
  <c r="D3040" i="1"/>
  <c r="E3040" i="1"/>
  <c r="C3041" i="1"/>
  <c r="D3041" i="1"/>
  <c r="E3041" i="1"/>
  <c r="C3042" i="1"/>
  <c r="D3042" i="1"/>
  <c r="E3042" i="1"/>
  <c r="C3043" i="1"/>
  <c r="D3043" i="1"/>
  <c r="E3043" i="1"/>
  <c r="C3044" i="1"/>
  <c r="D3044" i="1"/>
  <c r="E3044" i="1"/>
  <c r="C3045" i="1"/>
  <c r="D3045" i="1"/>
  <c r="E3045" i="1"/>
  <c r="C3046" i="1"/>
  <c r="D3046" i="1"/>
  <c r="E3046" i="1"/>
  <c r="C3047" i="1"/>
  <c r="D3047" i="1"/>
  <c r="E3047" i="1"/>
  <c r="C3048" i="1"/>
  <c r="D3048" i="1"/>
  <c r="E3048" i="1"/>
  <c r="C3049" i="1"/>
  <c r="D3049" i="1"/>
  <c r="E3049" i="1"/>
  <c r="C3050" i="1"/>
  <c r="D3050" i="1"/>
  <c r="E3050" i="1"/>
  <c r="C3051" i="1"/>
  <c r="D3051" i="1"/>
  <c r="E3051" i="1"/>
  <c r="C3052" i="1"/>
  <c r="D3052" i="1"/>
  <c r="E3052" i="1"/>
  <c r="C3053" i="1"/>
  <c r="D3053" i="1"/>
  <c r="E3053" i="1"/>
  <c r="C3054" i="1"/>
  <c r="D3054" i="1"/>
  <c r="E3054" i="1"/>
  <c r="C3055" i="1"/>
  <c r="D3055" i="1"/>
  <c r="E3055" i="1"/>
  <c r="C3056" i="1"/>
  <c r="D3056" i="1"/>
  <c r="E3056" i="1"/>
  <c r="C3057" i="1"/>
  <c r="D3057" i="1"/>
  <c r="E3057" i="1"/>
  <c r="C3058" i="1"/>
  <c r="D3058" i="1"/>
  <c r="E3058" i="1"/>
  <c r="C3059" i="1"/>
  <c r="D3059" i="1"/>
  <c r="E3059" i="1"/>
  <c r="C3060" i="1"/>
  <c r="D3060" i="1"/>
  <c r="E3060" i="1"/>
  <c r="C3061" i="1"/>
  <c r="D3061" i="1"/>
  <c r="E3061" i="1"/>
  <c r="C3062" i="1"/>
  <c r="D3062" i="1"/>
  <c r="E3062" i="1"/>
  <c r="C3063" i="1"/>
  <c r="D3063" i="1"/>
  <c r="E3063" i="1"/>
  <c r="C3064" i="1"/>
  <c r="D3064" i="1"/>
  <c r="E3064" i="1"/>
  <c r="C3065" i="1"/>
  <c r="D3065" i="1"/>
  <c r="E3065" i="1"/>
  <c r="C3066" i="1"/>
  <c r="D3066" i="1"/>
  <c r="E3066" i="1"/>
  <c r="C3067" i="1"/>
  <c r="D3067" i="1"/>
  <c r="E3067" i="1"/>
  <c r="C3068" i="1"/>
  <c r="D3068" i="1"/>
  <c r="E3068" i="1"/>
  <c r="C3069" i="1"/>
  <c r="D3069" i="1"/>
  <c r="E3069" i="1"/>
  <c r="C3070" i="1"/>
  <c r="D3070" i="1"/>
  <c r="E3070" i="1"/>
  <c r="C3071" i="1"/>
  <c r="D3071" i="1"/>
  <c r="E3071" i="1"/>
  <c r="C3072" i="1"/>
  <c r="D3072" i="1"/>
  <c r="E3072" i="1"/>
  <c r="C3073" i="1"/>
  <c r="D3073" i="1"/>
  <c r="E3073" i="1"/>
  <c r="C3074" i="1"/>
  <c r="D3074" i="1"/>
  <c r="E3074" i="1"/>
  <c r="C3075" i="1"/>
  <c r="D3075" i="1"/>
  <c r="E3075" i="1"/>
  <c r="C3076" i="1"/>
  <c r="D3076" i="1"/>
  <c r="E3076" i="1"/>
  <c r="C3077" i="1"/>
  <c r="D3077" i="1"/>
  <c r="E3077" i="1"/>
  <c r="C3078" i="1"/>
  <c r="D3078" i="1"/>
  <c r="E3078" i="1"/>
  <c r="C3079" i="1"/>
  <c r="D3079" i="1"/>
  <c r="E3079" i="1"/>
  <c r="C3080" i="1"/>
  <c r="D3080" i="1"/>
  <c r="E3080" i="1"/>
  <c r="C3081" i="1"/>
  <c r="D3081" i="1"/>
  <c r="E3081" i="1"/>
  <c r="C3082" i="1"/>
  <c r="D3082" i="1"/>
  <c r="E3082" i="1"/>
  <c r="C3083" i="1"/>
  <c r="D3083" i="1"/>
  <c r="E3083" i="1"/>
  <c r="C3084" i="1"/>
  <c r="D3084" i="1"/>
  <c r="E3084" i="1"/>
  <c r="C3085" i="1"/>
  <c r="D3085" i="1"/>
  <c r="E3085" i="1"/>
  <c r="C3086" i="1"/>
  <c r="D3086" i="1"/>
  <c r="E3086" i="1"/>
  <c r="C3087" i="1"/>
  <c r="D3087" i="1"/>
  <c r="E3087" i="1"/>
  <c r="C3088" i="1"/>
  <c r="D3088" i="1"/>
  <c r="E3088" i="1"/>
  <c r="C3089" i="1"/>
  <c r="D3089" i="1"/>
  <c r="E3089" i="1"/>
  <c r="C3090" i="1"/>
  <c r="D3090" i="1"/>
  <c r="E3090" i="1"/>
  <c r="C3091" i="1"/>
  <c r="D3091" i="1"/>
  <c r="E3091" i="1"/>
  <c r="C3092" i="1"/>
  <c r="D3092" i="1"/>
  <c r="E3092" i="1"/>
  <c r="C3093" i="1"/>
  <c r="D3093" i="1"/>
  <c r="E3093" i="1"/>
  <c r="C3094" i="1"/>
  <c r="D3094" i="1"/>
  <c r="E3094" i="1"/>
  <c r="C3095" i="1"/>
  <c r="D3095" i="1"/>
  <c r="E3095" i="1"/>
  <c r="C3096" i="1"/>
  <c r="D3096" i="1"/>
  <c r="E3096" i="1"/>
  <c r="C3097" i="1"/>
  <c r="D3097" i="1"/>
  <c r="E3097" i="1"/>
  <c r="C3098" i="1"/>
  <c r="D3098" i="1"/>
  <c r="E3098" i="1"/>
  <c r="C3099" i="1"/>
  <c r="D3099" i="1"/>
  <c r="E3099" i="1"/>
  <c r="C3100" i="1"/>
  <c r="D3100" i="1"/>
  <c r="E3100" i="1"/>
  <c r="C3101" i="1"/>
  <c r="D3101" i="1"/>
  <c r="E3101" i="1"/>
  <c r="C3102" i="1"/>
  <c r="D3102" i="1"/>
  <c r="E3102" i="1"/>
  <c r="C3103" i="1"/>
  <c r="D3103" i="1"/>
  <c r="E3103" i="1"/>
  <c r="C3104" i="1"/>
  <c r="D3104" i="1"/>
  <c r="E3104" i="1"/>
  <c r="C3105" i="1"/>
  <c r="D3105" i="1"/>
  <c r="E3105" i="1"/>
  <c r="C3106" i="1"/>
  <c r="D3106" i="1"/>
  <c r="E3106" i="1"/>
  <c r="C3107" i="1"/>
  <c r="D3107" i="1"/>
  <c r="E3107" i="1"/>
  <c r="C3108" i="1"/>
  <c r="D3108" i="1"/>
  <c r="E3108" i="1"/>
  <c r="C3109" i="1"/>
  <c r="D3109" i="1"/>
  <c r="E3109" i="1"/>
  <c r="C3110" i="1"/>
  <c r="D3110" i="1"/>
  <c r="E3110" i="1"/>
  <c r="C3111" i="1"/>
  <c r="D3111" i="1"/>
  <c r="E3111" i="1"/>
  <c r="C3112" i="1"/>
  <c r="D3112" i="1"/>
  <c r="E3112" i="1"/>
  <c r="C3113" i="1"/>
  <c r="D3113" i="1"/>
  <c r="E3113" i="1"/>
  <c r="C3114" i="1"/>
  <c r="D3114" i="1"/>
  <c r="E3114" i="1"/>
  <c r="C3115" i="1"/>
  <c r="D3115" i="1"/>
  <c r="E3115" i="1"/>
  <c r="C3116" i="1"/>
  <c r="D3116" i="1"/>
  <c r="E3116" i="1"/>
  <c r="C3117" i="1"/>
  <c r="D3117" i="1"/>
  <c r="E3117" i="1"/>
  <c r="C3118" i="1"/>
  <c r="D3118" i="1"/>
  <c r="E3118" i="1"/>
  <c r="C3119" i="1"/>
  <c r="D3119" i="1"/>
  <c r="E3119" i="1"/>
  <c r="C3120" i="1"/>
  <c r="D3120" i="1"/>
  <c r="E3120" i="1"/>
  <c r="C3121" i="1"/>
  <c r="D3121" i="1"/>
  <c r="E3121" i="1"/>
  <c r="C3122" i="1"/>
  <c r="D3122" i="1"/>
  <c r="E3122" i="1"/>
  <c r="C3123" i="1"/>
  <c r="D3123" i="1"/>
  <c r="E3123" i="1"/>
  <c r="C3124" i="1"/>
  <c r="D3124" i="1"/>
  <c r="E3124" i="1"/>
  <c r="C3125" i="1"/>
  <c r="D3125" i="1"/>
  <c r="E3125" i="1"/>
  <c r="C3126" i="1"/>
  <c r="D3126" i="1"/>
  <c r="E3126" i="1"/>
  <c r="C3127" i="1"/>
  <c r="D3127" i="1"/>
  <c r="E3127" i="1"/>
  <c r="C3128" i="1"/>
  <c r="D3128" i="1"/>
  <c r="E3128" i="1"/>
  <c r="C3129" i="1"/>
  <c r="D3129" i="1"/>
  <c r="E3129" i="1"/>
  <c r="C3130" i="1"/>
  <c r="D3130" i="1"/>
  <c r="E3130" i="1"/>
  <c r="C3131" i="1"/>
  <c r="D3131" i="1"/>
  <c r="E3131" i="1"/>
  <c r="C3132" i="1"/>
  <c r="D3132" i="1"/>
  <c r="E3132" i="1"/>
  <c r="C3133" i="1"/>
  <c r="D3133" i="1"/>
  <c r="E3133" i="1"/>
  <c r="C3134" i="1"/>
  <c r="D3134" i="1"/>
  <c r="E3134" i="1"/>
  <c r="C3135" i="1"/>
  <c r="D3135" i="1"/>
  <c r="E3135" i="1"/>
  <c r="C3136" i="1"/>
  <c r="D3136" i="1"/>
  <c r="E3136" i="1"/>
  <c r="C3137" i="1"/>
  <c r="D3137" i="1"/>
  <c r="E3137" i="1"/>
  <c r="C3138" i="1"/>
  <c r="D3138" i="1"/>
  <c r="E3138" i="1"/>
  <c r="C3139" i="1"/>
  <c r="D3139" i="1"/>
  <c r="E3139" i="1"/>
  <c r="C3140" i="1"/>
  <c r="D3140" i="1"/>
  <c r="E3140" i="1"/>
  <c r="C3141" i="1"/>
  <c r="D3141" i="1"/>
  <c r="E3141" i="1"/>
  <c r="C3142" i="1"/>
  <c r="D3142" i="1"/>
  <c r="E3142" i="1"/>
  <c r="C3143" i="1"/>
  <c r="D3143" i="1"/>
  <c r="E3143" i="1"/>
  <c r="C3144" i="1"/>
  <c r="D3144" i="1"/>
  <c r="E3144" i="1"/>
  <c r="C3145" i="1"/>
  <c r="D3145" i="1"/>
  <c r="E3145" i="1"/>
  <c r="C3146" i="1"/>
  <c r="D3146" i="1"/>
  <c r="E3146" i="1"/>
  <c r="C3147" i="1"/>
  <c r="D3147" i="1"/>
  <c r="E3147" i="1"/>
  <c r="C3148" i="1"/>
  <c r="D3148" i="1"/>
  <c r="E3148" i="1"/>
  <c r="C3149" i="1"/>
  <c r="D3149" i="1"/>
  <c r="E3149" i="1"/>
  <c r="C3150" i="1"/>
  <c r="D3150" i="1"/>
  <c r="E3150" i="1"/>
  <c r="C3151" i="1"/>
  <c r="D3151" i="1"/>
  <c r="E3151" i="1"/>
  <c r="C3152" i="1"/>
  <c r="D3152" i="1"/>
  <c r="E3152" i="1"/>
  <c r="C3153" i="1"/>
  <c r="D3153" i="1"/>
  <c r="E3153" i="1"/>
  <c r="C3154" i="1"/>
  <c r="D3154" i="1"/>
  <c r="E3154" i="1"/>
  <c r="C3155" i="1"/>
  <c r="D3155" i="1"/>
  <c r="E3155" i="1"/>
  <c r="C3156" i="1"/>
  <c r="D3156" i="1"/>
  <c r="E3156" i="1"/>
  <c r="C3157" i="1"/>
  <c r="D3157" i="1"/>
  <c r="E3157" i="1"/>
  <c r="C3158" i="1"/>
  <c r="D3158" i="1"/>
  <c r="E3158" i="1"/>
  <c r="C3159" i="1"/>
  <c r="D3159" i="1"/>
  <c r="E3159" i="1"/>
  <c r="C3160" i="1"/>
  <c r="D3160" i="1"/>
  <c r="E3160" i="1"/>
  <c r="C3161" i="1"/>
  <c r="D3161" i="1"/>
  <c r="E3161" i="1"/>
  <c r="C3162" i="1"/>
  <c r="D3162" i="1"/>
  <c r="E3162" i="1"/>
  <c r="C3163" i="1"/>
  <c r="D3163" i="1"/>
  <c r="E3163" i="1"/>
  <c r="C3164" i="1"/>
  <c r="D3164" i="1"/>
  <c r="E3164" i="1"/>
  <c r="C3165" i="1"/>
  <c r="D3165" i="1"/>
  <c r="E3165" i="1"/>
  <c r="C3166" i="1"/>
  <c r="D3166" i="1"/>
  <c r="E3166" i="1"/>
  <c r="C3167" i="1"/>
  <c r="D3167" i="1"/>
  <c r="E3167" i="1"/>
  <c r="C3168" i="1"/>
  <c r="D3168" i="1"/>
  <c r="E3168" i="1"/>
  <c r="C3169" i="1"/>
  <c r="D3169" i="1"/>
  <c r="E3169" i="1"/>
  <c r="C3170" i="1"/>
  <c r="D3170" i="1"/>
  <c r="E3170" i="1"/>
  <c r="C3171" i="1"/>
  <c r="D3171" i="1"/>
  <c r="E3171" i="1"/>
  <c r="C3172" i="1"/>
  <c r="D3172" i="1"/>
  <c r="E3172" i="1"/>
  <c r="C3173" i="1"/>
  <c r="D3173" i="1"/>
  <c r="E3173" i="1"/>
  <c r="C3174" i="1"/>
  <c r="D3174" i="1"/>
  <c r="E3174" i="1"/>
  <c r="C3175" i="1"/>
  <c r="D3175" i="1"/>
  <c r="E3175" i="1"/>
  <c r="C3176" i="1"/>
  <c r="D3176" i="1"/>
  <c r="E3176" i="1"/>
  <c r="C3177" i="1"/>
  <c r="D3177" i="1"/>
  <c r="E3177" i="1"/>
  <c r="C3178" i="1"/>
  <c r="D3178" i="1"/>
  <c r="E3178" i="1"/>
  <c r="C3179" i="1"/>
  <c r="D3179" i="1"/>
  <c r="E3179" i="1"/>
  <c r="C3180" i="1"/>
  <c r="D3180" i="1"/>
  <c r="E3180" i="1"/>
  <c r="C3181" i="1"/>
  <c r="D3181" i="1"/>
  <c r="E3181" i="1"/>
  <c r="C3182" i="1"/>
  <c r="D3182" i="1"/>
  <c r="E3182" i="1"/>
  <c r="C3183" i="1"/>
  <c r="D3183" i="1"/>
  <c r="E3183" i="1"/>
  <c r="C3184" i="1"/>
  <c r="D3184" i="1"/>
  <c r="E3184" i="1"/>
  <c r="C3185" i="1"/>
  <c r="D3185" i="1"/>
  <c r="E3185" i="1"/>
  <c r="C3186" i="1"/>
  <c r="D3186" i="1"/>
  <c r="E3186" i="1"/>
  <c r="C3187" i="1"/>
  <c r="D3187" i="1"/>
  <c r="E3187" i="1"/>
  <c r="C3188" i="1"/>
  <c r="D3188" i="1"/>
  <c r="E3188" i="1"/>
  <c r="C3189" i="1"/>
  <c r="D3189" i="1"/>
  <c r="E3189" i="1"/>
  <c r="C3190" i="1"/>
  <c r="D3190" i="1"/>
  <c r="E3190" i="1"/>
  <c r="C3191" i="1"/>
  <c r="D3191" i="1"/>
  <c r="E3191" i="1"/>
  <c r="C3192" i="1"/>
  <c r="D3192" i="1"/>
  <c r="E3192" i="1"/>
  <c r="C3193" i="1"/>
  <c r="D3193" i="1"/>
  <c r="E3193" i="1"/>
  <c r="C3194" i="1"/>
  <c r="D3194" i="1"/>
  <c r="E3194" i="1"/>
  <c r="C3195" i="1"/>
  <c r="D3195" i="1"/>
  <c r="E3195" i="1"/>
  <c r="C3196" i="1"/>
  <c r="D3196" i="1"/>
  <c r="E3196" i="1"/>
  <c r="C3197" i="1"/>
  <c r="D3197" i="1"/>
  <c r="E3197" i="1"/>
  <c r="C3198" i="1"/>
  <c r="D3198" i="1"/>
  <c r="E3198" i="1"/>
  <c r="C3199" i="1"/>
  <c r="D3199" i="1"/>
  <c r="E3199" i="1"/>
  <c r="C3200" i="1"/>
  <c r="D3200" i="1"/>
  <c r="E3200" i="1"/>
  <c r="C3201" i="1"/>
  <c r="D3201" i="1"/>
  <c r="E3201" i="1"/>
  <c r="C3202" i="1"/>
  <c r="D3202" i="1"/>
  <c r="E3202" i="1"/>
  <c r="C3203" i="1"/>
  <c r="D3203" i="1"/>
  <c r="E3203" i="1"/>
  <c r="C3204" i="1"/>
  <c r="D3204" i="1"/>
  <c r="E3204" i="1"/>
  <c r="C3205" i="1"/>
  <c r="D3205" i="1"/>
  <c r="E3205" i="1"/>
  <c r="C3206" i="1"/>
  <c r="D3206" i="1"/>
  <c r="E3206" i="1"/>
  <c r="C3207" i="1"/>
  <c r="D3207" i="1"/>
  <c r="E3207" i="1"/>
  <c r="C3208" i="1"/>
  <c r="D3208" i="1"/>
  <c r="E3208" i="1"/>
  <c r="C3209" i="1"/>
  <c r="D3209" i="1"/>
  <c r="E3209" i="1"/>
  <c r="C3210" i="1"/>
  <c r="D3210" i="1"/>
  <c r="E3210" i="1"/>
  <c r="C3211" i="1"/>
  <c r="D3211" i="1"/>
  <c r="E3211" i="1"/>
  <c r="C3212" i="1"/>
  <c r="D3212" i="1"/>
  <c r="E3212" i="1"/>
  <c r="C3213" i="1"/>
  <c r="D3213" i="1"/>
  <c r="E3213" i="1"/>
  <c r="C3214" i="1"/>
  <c r="D3214" i="1"/>
  <c r="E3214" i="1"/>
  <c r="C3215" i="1"/>
  <c r="D3215" i="1"/>
  <c r="E3215" i="1"/>
  <c r="C3216" i="1"/>
  <c r="D3216" i="1"/>
  <c r="E3216" i="1"/>
  <c r="C3217" i="1"/>
  <c r="D3217" i="1"/>
  <c r="E3217" i="1"/>
  <c r="C3218" i="1"/>
  <c r="D3218" i="1"/>
  <c r="E3218" i="1"/>
  <c r="C3219" i="1"/>
  <c r="D3219" i="1"/>
  <c r="E3219" i="1"/>
  <c r="C3220" i="1"/>
  <c r="D3220" i="1"/>
  <c r="E3220" i="1"/>
  <c r="C3221" i="1"/>
  <c r="D3221" i="1"/>
  <c r="E3221" i="1"/>
  <c r="C3222" i="1"/>
  <c r="D3222" i="1"/>
  <c r="E3222" i="1"/>
  <c r="C3223" i="1"/>
  <c r="D3223" i="1"/>
  <c r="E3223" i="1"/>
  <c r="C3224" i="1"/>
  <c r="D3224" i="1"/>
  <c r="E3224" i="1"/>
  <c r="C3225" i="1"/>
  <c r="D3225" i="1"/>
  <c r="E3225" i="1"/>
  <c r="C3226" i="1"/>
  <c r="D3226" i="1"/>
  <c r="E3226" i="1"/>
  <c r="C3227" i="1"/>
  <c r="D3227" i="1"/>
  <c r="E3227" i="1"/>
  <c r="C3228" i="1"/>
  <c r="D3228" i="1"/>
  <c r="E3228" i="1"/>
  <c r="C3229" i="1"/>
  <c r="D3229" i="1"/>
  <c r="E3229" i="1"/>
  <c r="C3230" i="1"/>
  <c r="D3230" i="1"/>
  <c r="E3230" i="1"/>
  <c r="C3231" i="1"/>
  <c r="D3231" i="1"/>
  <c r="E3231" i="1"/>
  <c r="C3232" i="1"/>
  <c r="D3232" i="1"/>
  <c r="E3232" i="1"/>
  <c r="C3233" i="1"/>
  <c r="D3233" i="1"/>
  <c r="E3233" i="1"/>
  <c r="C3234" i="1"/>
  <c r="D3234" i="1"/>
  <c r="E3234" i="1"/>
  <c r="C3235" i="1"/>
  <c r="D3235" i="1"/>
  <c r="E3235" i="1"/>
  <c r="C3236" i="1"/>
  <c r="D3236" i="1"/>
  <c r="E3236" i="1"/>
  <c r="C3237" i="1"/>
  <c r="D3237" i="1"/>
  <c r="E3237" i="1"/>
  <c r="C3238" i="1"/>
  <c r="D3238" i="1"/>
  <c r="E3238" i="1"/>
  <c r="C3239" i="1"/>
  <c r="D3239" i="1"/>
  <c r="E3239" i="1"/>
  <c r="C3240" i="1"/>
  <c r="D3240" i="1"/>
  <c r="E3240" i="1"/>
  <c r="C3241" i="1"/>
  <c r="D3241" i="1"/>
  <c r="E3241" i="1"/>
  <c r="C3242" i="1"/>
  <c r="D3242" i="1"/>
  <c r="E3242" i="1"/>
  <c r="C3243" i="1"/>
  <c r="D3243" i="1"/>
  <c r="E3243" i="1"/>
  <c r="C3244" i="1"/>
  <c r="D3244" i="1"/>
  <c r="E3244" i="1"/>
  <c r="C3245" i="1"/>
  <c r="D3245" i="1"/>
  <c r="E3245" i="1"/>
  <c r="C3246" i="1"/>
  <c r="D3246" i="1"/>
  <c r="E3246" i="1"/>
  <c r="C3247" i="1"/>
  <c r="D3247" i="1"/>
  <c r="E3247" i="1"/>
  <c r="C3248" i="1"/>
  <c r="D3248" i="1"/>
  <c r="E3248" i="1"/>
  <c r="C3249" i="1"/>
  <c r="D3249" i="1"/>
  <c r="E3249" i="1"/>
  <c r="C3250" i="1"/>
  <c r="D3250" i="1"/>
  <c r="E3250" i="1"/>
  <c r="C3251" i="1"/>
  <c r="D3251" i="1"/>
  <c r="E3251" i="1"/>
  <c r="C3252" i="1"/>
  <c r="D3252" i="1"/>
  <c r="E3252" i="1"/>
  <c r="C3253" i="1"/>
  <c r="D3253" i="1"/>
  <c r="E3253" i="1"/>
  <c r="C3254" i="1"/>
  <c r="D3254" i="1"/>
  <c r="E3254" i="1"/>
  <c r="C3255" i="1"/>
  <c r="D3255" i="1"/>
  <c r="E3255" i="1"/>
  <c r="C3256" i="1"/>
  <c r="D3256" i="1"/>
  <c r="E3256" i="1"/>
  <c r="C3257" i="1"/>
  <c r="D3257" i="1"/>
  <c r="E3257" i="1"/>
  <c r="C3258" i="1"/>
  <c r="D3258" i="1"/>
  <c r="E3258" i="1"/>
  <c r="C3259" i="1"/>
  <c r="D3259" i="1"/>
  <c r="E3259" i="1"/>
  <c r="C3260" i="1"/>
  <c r="D3260" i="1"/>
  <c r="E3260" i="1"/>
  <c r="C3261" i="1"/>
  <c r="D3261" i="1"/>
  <c r="E3261" i="1"/>
  <c r="C3262" i="1"/>
  <c r="D3262" i="1"/>
  <c r="E3262" i="1"/>
  <c r="C3263" i="1"/>
  <c r="D3263" i="1"/>
  <c r="E3263" i="1"/>
  <c r="C3264" i="1"/>
  <c r="D3264" i="1"/>
  <c r="E3264" i="1"/>
  <c r="C3265" i="1"/>
  <c r="D3265" i="1"/>
  <c r="E3265" i="1"/>
  <c r="C3266" i="1"/>
  <c r="D3266" i="1"/>
  <c r="E3266" i="1"/>
  <c r="C3267" i="1"/>
  <c r="D3267" i="1"/>
  <c r="E3267" i="1"/>
  <c r="C3268" i="1"/>
  <c r="D3268" i="1"/>
  <c r="E3268" i="1"/>
  <c r="C3269" i="1"/>
  <c r="D3269" i="1"/>
  <c r="E3269" i="1"/>
  <c r="C3270" i="1"/>
  <c r="D3270" i="1"/>
  <c r="E3270" i="1"/>
  <c r="C3271" i="1"/>
  <c r="D3271" i="1"/>
  <c r="E3271" i="1"/>
  <c r="C3272" i="1"/>
  <c r="D3272" i="1"/>
  <c r="E3272" i="1"/>
  <c r="C3273" i="1"/>
  <c r="D3273" i="1"/>
  <c r="E3273" i="1"/>
  <c r="C3274" i="1"/>
  <c r="D3274" i="1"/>
  <c r="E3274" i="1"/>
  <c r="C3275" i="1"/>
  <c r="D3275" i="1"/>
  <c r="E3275" i="1"/>
  <c r="C3276" i="1"/>
  <c r="D3276" i="1"/>
  <c r="E3276" i="1"/>
  <c r="C3277" i="1"/>
  <c r="D3277" i="1"/>
  <c r="E3277" i="1"/>
  <c r="C3278" i="1"/>
  <c r="D3278" i="1"/>
  <c r="E3278" i="1"/>
  <c r="C3279" i="1"/>
  <c r="D3279" i="1"/>
  <c r="E3279" i="1"/>
  <c r="C3280" i="1"/>
  <c r="D3280" i="1"/>
  <c r="E3280" i="1"/>
  <c r="C3281" i="1"/>
  <c r="D3281" i="1"/>
  <c r="E3281" i="1"/>
  <c r="C3282" i="1"/>
  <c r="D3282" i="1"/>
  <c r="E3282" i="1"/>
  <c r="C3283" i="1"/>
  <c r="D3283" i="1"/>
  <c r="E3283" i="1"/>
  <c r="C3284" i="1"/>
  <c r="D3284" i="1"/>
  <c r="E3284" i="1"/>
  <c r="C3285" i="1"/>
  <c r="D3285" i="1"/>
  <c r="E3285" i="1"/>
  <c r="C3286" i="1"/>
  <c r="D3286" i="1"/>
  <c r="E3286" i="1"/>
  <c r="C3287" i="1"/>
  <c r="D3287" i="1"/>
  <c r="E3287" i="1"/>
  <c r="C3288" i="1"/>
  <c r="D3288" i="1"/>
  <c r="E3288" i="1"/>
  <c r="C3289" i="1"/>
  <c r="D3289" i="1"/>
  <c r="E3289" i="1"/>
  <c r="C3290" i="1"/>
  <c r="D3290" i="1"/>
  <c r="E3290" i="1"/>
  <c r="C3291" i="1"/>
  <c r="D3291" i="1"/>
  <c r="E3291" i="1"/>
  <c r="C3292" i="1"/>
  <c r="D3292" i="1"/>
  <c r="E3292" i="1"/>
  <c r="C3293" i="1"/>
  <c r="D3293" i="1"/>
  <c r="E3293" i="1"/>
  <c r="C3294" i="1"/>
  <c r="D3294" i="1"/>
  <c r="E3294" i="1"/>
  <c r="C3295" i="1"/>
  <c r="D3295" i="1"/>
  <c r="E3295" i="1"/>
  <c r="C3296" i="1"/>
  <c r="D3296" i="1"/>
  <c r="E3296" i="1"/>
  <c r="C3297" i="1"/>
  <c r="D3297" i="1"/>
  <c r="E3297" i="1"/>
  <c r="C3298" i="1"/>
  <c r="D3298" i="1"/>
  <c r="E3298" i="1"/>
  <c r="C3299" i="1"/>
  <c r="D3299" i="1"/>
  <c r="E3299" i="1"/>
  <c r="C3300" i="1"/>
  <c r="D3300" i="1"/>
  <c r="E3300" i="1"/>
  <c r="C3301" i="1"/>
  <c r="D3301" i="1"/>
  <c r="E3301" i="1"/>
  <c r="C3302" i="1"/>
  <c r="D3302" i="1"/>
  <c r="E3302" i="1"/>
  <c r="C3303" i="1"/>
  <c r="D3303" i="1"/>
  <c r="E3303" i="1"/>
  <c r="C3304" i="1"/>
  <c r="D3304" i="1"/>
  <c r="E3304" i="1"/>
  <c r="C3305" i="1"/>
  <c r="D3305" i="1"/>
  <c r="E3305" i="1"/>
  <c r="C3306" i="1"/>
  <c r="D3306" i="1"/>
  <c r="E3306" i="1"/>
  <c r="C3307" i="1"/>
  <c r="D3307" i="1"/>
  <c r="E3307" i="1"/>
  <c r="C3308" i="1"/>
  <c r="D3308" i="1"/>
  <c r="E3308" i="1"/>
  <c r="C3309" i="1"/>
  <c r="D3309" i="1"/>
  <c r="E3309" i="1"/>
  <c r="C3310" i="1"/>
  <c r="D3310" i="1"/>
  <c r="E3310" i="1"/>
  <c r="C3311" i="1"/>
  <c r="D3311" i="1"/>
  <c r="E3311" i="1"/>
  <c r="C3312" i="1"/>
  <c r="D3312" i="1"/>
  <c r="E3312" i="1"/>
  <c r="C3313" i="1"/>
  <c r="D3313" i="1"/>
  <c r="E3313" i="1"/>
  <c r="C3314" i="1"/>
  <c r="D3314" i="1"/>
  <c r="E3314" i="1"/>
  <c r="C3315" i="1"/>
  <c r="D3315" i="1"/>
  <c r="E3315" i="1"/>
  <c r="C3316" i="1"/>
  <c r="D3316" i="1"/>
  <c r="E3316" i="1"/>
  <c r="C3317" i="1"/>
  <c r="D3317" i="1"/>
  <c r="E3317" i="1"/>
  <c r="C3318" i="1"/>
  <c r="D3318" i="1"/>
  <c r="E3318" i="1"/>
  <c r="C3319" i="1"/>
  <c r="D3319" i="1"/>
  <c r="E3319" i="1"/>
  <c r="C3320" i="1"/>
  <c r="D3320" i="1"/>
  <c r="E3320" i="1"/>
  <c r="C3321" i="1"/>
  <c r="D3321" i="1"/>
  <c r="E3321" i="1"/>
  <c r="C3322" i="1"/>
  <c r="D3322" i="1"/>
  <c r="E3322" i="1"/>
  <c r="C3323" i="1"/>
  <c r="D3323" i="1"/>
  <c r="E3323" i="1"/>
  <c r="C3324" i="1"/>
  <c r="D3324" i="1"/>
  <c r="E3324" i="1"/>
  <c r="C3325" i="1"/>
  <c r="D3325" i="1"/>
  <c r="E3325" i="1"/>
  <c r="C3326" i="1"/>
  <c r="D3326" i="1"/>
  <c r="E3326" i="1"/>
  <c r="C3327" i="1"/>
  <c r="D3327" i="1"/>
  <c r="E3327" i="1"/>
  <c r="C3328" i="1"/>
  <c r="D3328" i="1"/>
  <c r="E3328" i="1"/>
  <c r="C3329" i="1"/>
  <c r="D3329" i="1"/>
  <c r="E3329" i="1"/>
  <c r="C3330" i="1"/>
  <c r="D3330" i="1"/>
  <c r="E3330" i="1"/>
  <c r="C3331" i="1"/>
  <c r="D3331" i="1"/>
  <c r="E3331" i="1"/>
  <c r="C3332" i="1"/>
  <c r="D3332" i="1"/>
  <c r="E3332" i="1"/>
  <c r="C3333" i="1"/>
  <c r="D3333" i="1"/>
  <c r="E3333" i="1"/>
  <c r="C3334" i="1"/>
  <c r="D3334" i="1"/>
  <c r="E3334" i="1"/>
  <c r="C3335" i="1"/>
  <c r="D3335" i="1"/>
  <c r="E3335" i="1"/>
  <c r="C3336" i="1"/>
  <c r="D3336" i="1"/>
  <c r="E3336" i="1"/>
  <c r="C3337" i="1"/>
  <c r="D3337" i="1"/>
  <c r="E3337" i="1"/>
  <c r="C3338" i="1"/>
  <c r="D3338" i="1"/>
  <c r="E3338" i="1"/>
  <c r="C3339" i="1"/>
  <c r="D3339" i="1"/>
  <c r="E3339" i="1"/>
  <c r="C3340" i="1"/>
  <c r="D3340" i="1"/>
  <c r="E3340" i="1"/>
  <c r="C3341" i="1"/>
  <c r="D3341" i="1"/>
  <c r="E3341" i="1"/>
  <c r="C3342" i="1"/>
  <c r="D3342" i="1"/>
  <c r="E3342" i="1"/>
  <c r="C3343" i="1"/>
  <c r="D3343" i="1"/>
  <c r="E3343" i="1"/>
  <c r="C3344" i="1"/>
  <c r="D3344" i="1"/>
  <c r="E3344" i="1"/>
  <c r="C3345" i="1"/>
  <c r="D3345" i="1"/>
  <c r="E3345" i="1"/>
  <c r="C3346" i="1"/>
  <c r="D3346" i="1"/>
  <c r="E3346" i="1"/>
  <c r="C3347" i="1"/>
  <c r="D3347" i="1"/>
  <c r="E3347" i="1"/>
  <c r="C3348" i="1"/>
  <c r="D3348" i="1"/>
  <c r="E3348" i="1"/>
  <c r="C3349" i="1"/>
  <c r="D3349" i="1"/>
  <c r="E3349" i="1"/>
  <c r="C3350" i="1"/>
  <c r="D3350" i="1"/>
  <c r="E3350" i="1"/>
  <c r="C3351" i="1"/>
  <c r="D3351" i="1"/>
  <c r="E3351" i="1"/>
  <c r="C3352" i="1"/>
  <c r="D3352" i="1"/>
  <c r="E3352" i="1"/>
  <c r="C3353" i="1"/>
  <c r="D3353" i="1"/>
  <c r="E3353" i="1"/>
  <c r="C3354" i="1"/>
  <c r="D3354" i="1"/>
  <c r="E3354" i="1"/>
  <c r="C3355" i="1"/>
  <c r="D3355" i="1"/>
  <c r="E3355" i="1"/>
  <c r="C3356" i="1"/>
  <c r="D3356" i="1"/>
  <c r="E3356" i="1"/>
  <c r="C3357" i="1"/>
  <c r="D3357" i="1"/>
  <c r="E3357" i="1"/>
  <c r="C3358" i="1"/>
  <c r="D3358" i="1"/>
  <c r="E3358" i="1"/>
  <c r="C3359" i="1"/>
  <c r="D3359" i="1"/>
  <c r="E3359" i="1"/>
  <c r="C3360" i="1"/>
  <c r="D3360" i="1"/>
  <c r="E3360" i="1"/>
  <c r="C3361" i="1"/>
  <c r="D3361" i="1"/>
  <c r="E3361" i="1"/>
  <c r="C3362" i="1"/>
  <c r="D3362" i="1"/>
  <c r="E3362" i="1"/>
  <c r="C3363" i="1"/>
  <c r="D3363" i="1"/>
  <c r="E3363" i="1"/>
  <c r="C3364" i="1"/>
  <c r="D3364" i="1"/>
  <c r="E3364" i="1"/>
  <c r="C3365" i="1"/>
  <c r="D3365" i="1"/>
  <c r="E3365" i="1"/>
  <c r="C3366" i="1"/>
  <c r="D3366" i="1"/>
  <c r="E3366" i="1"/>
  <c r="C3367" i="1"/>
  <c r="D3367" i="1"/>
  <c r="E3367" i="1"/>
  <c r="C3368" i="1"/>
  <c r="D3368" i="1"/>
  <c r="E3368" i="1"/>
  <c r="C3369" i="1"/>
  <c r="D3369" i="1"/>
  <c r="E3369" i="1"/>
  <c r="C3370" i="1"/>
  <c r="D3370" i="1"/>
  <c r="E3370" i="1"/>
  <c r="C3371" i="1"/>
  <c r="D3371" i="1"/>
  <c r="E3371" i="1"/>
  <c r="C3372" i="1"/>
  <c r="D3372" i="1"/>
  <c r="E3372" i="1"/>
  <c r="C3373" i="1"/>
  <c r="D3373" i="1"/>
  <c r="E3373" i="1"/>
  <c r="C3374" i="1"/>
  <c r="D3374" i="1"/>
  <c r="E3374" i="1"/>
  <c r="C3375" i="1"/>
  <c r="D3375" i="1"/>
  <c r="E3375" i="1"/>
  <c r="C3376" i="1"/>
  <c r="D3376" i="1"/>
  <c r="E3376" i="1"/>
  <c r="C3377" i="1"/>
  <c r="D3377" i="1"/>
  <c r="E3377" i="1"/>
  <c r="C3378" i="1"/>
  <c r="D3378" i="1"/>
  <c r="E3378" i="1"/>
  <c r="C3379" i="1"/>
  <c r="D3379" i="1"/>
  <c r="E3379" i="1"/>
  <c r="C3380" i="1"/>
  <c r="D3380" i="1"/>
  <c r="E3380" i="1"/>
  <c r="C3381" i="1"/>
  <c r="D3381" i="1"/>
  <c r="E3381" i="1"/>
  <c r="C3382" i="1"/>
  <c r="D3382" i="1"/>
  <c r="E3382" i="1"/>
  <c r="C3383" i="1"/>
  <c r="D3383" i="1"/>
  <c r="E3383" i="1"/>
  <c r="C3384" i="1"/>
  <c r="D3384" i="1"/>
  <c r="E3384" i="1"/>
  <c r="C3385" i="1"/>
  <c r="D3385" i="1"/>
  <c r="E3385" i="1"/>
  <c r="C3386" i="1"/>
  <c r="D3386" i="1"/>
  <c r="E3386" i="1"/>
  <c r="C3387" i="1"/>
  <c r="D3387" i="1"/>
  <c r="E3387" i="1"/>
  <c r="C3388" i="1"/>
  <c r="D3388" i="1"/>
  <c r="E3388" i="1"/>
  <c r="C3389" i="1"/>
  <c r="D3389" i="1"/>
  <c r="E3389" i="1"/>
  <c r="C3390" i="1"/>
  <c r="D3390" i="1"/>
  <c r="E3390" i="1"/>
  <c r="C3391" i="1"/>
  <c r="D3391" i="1"/>
  <c r="E3391" i="1"/>
  <c r="C3392" i="1"/>
  <c r="D3392" i="1"/>
  <c r="E3392" i="1"/>
  <c r="C3393" i="1"/>
  <c r="D3393" i="1"/>
  <c r="E3393" i="1"/>
  <c r="C3394" i="1"/>
  <c r="D3394" i="1"/>
  <c r="E3394" i="1"/>
  <c r="C3395" i="1"/>
  <c r="D3395" i="1"/>
  <c r="E3395" i="1"/>
  <c r="C3396" i="1"/>
  <c r="D3396" i="1"/>
  <c r="E3396" i="1"/>
  <c r="C3397" i="1"/>
  <c r="D3397" i="1"/>
  <c r="E3397" i="1"/>
  <c r="C3398" i="1"/>
  <c r="D3398" i="1"/>
  <c r="E3398" i="1"/>
  <c r="C3399" i="1"/>
  <c r="D3399" i="1"/>
  <c r="E3399" i="1"/>
  <c r="C3400" i="1"/>
  <c r="D3400" i="1"/>
  <c r="E3400" i="1"/>
  <c r="C3401" i="1"/>
  <c r="D3401" i="1"/>
  <c r="E3401" i="1"/>
  <c r="C3402" i="1"/>
  <c r="D3402" i="1"/>
  <c r="E3402" i="1"/>
  <c r="C3403" i="1"/>
  <c r="D3403" i="1"/>
  <c r="E3403" i="1"/>
  <c r="C3404" i="1"/>
  <c r="D3404" i="1"/>
  <c r="E3404" i="1"/>
  <c r="C3405" i="1"/>
  <c r="D3405" i="1"/>
  <c r="E3405" i="1"/>
  <c r="C3406" i="1"/>
  <c r="D3406" i="1"/>
  <c r="E3406" i="1"/>
  <c r="C3407" i="1"/>
  <c r="D3407" i="1"/>
  <c r="E3407" i="1"/>
  <c r="C3408" i="1"/>
  <c r="D3408" i="1"/>
  <c r="E3408" i="1"/>
  <c r="C3409" i="1"/>
  <c r="D3409" i="1"/>
  <c r="E3409" i="1"/>
  <c r="C3410" i="1"/>
  <c r="D3410" i="1"/>
  <c r="E3410" i="1"/>
  <c r="C3411" i="1"/>
  <c r="D3411" i="1"/>
  <c r="E3411" i="1"/>
  <c r="C3412" i="1"/>
  <c r="D3412" i="1"/>
  <c r="E3412" i="1"/>
  <c r="C3413" i="1"/>
  <c r="D3413" i="1"/>
  <c r="E3413" i="1"/>
  <c r="C3414" i="1"/>
  <c r="D3414" i="1"/>
  <c r="E3414" i="1"/>
  <c r="C3415" i="1"/>
  <c r="D3415" i="1"/>
  <c r="E3415" i="1"/>
  <c r="C3416" i="1"/>
  <c r="D3416" i="1"/>
  <c r="E3416" i="1"/>
  <c r="C3417" i="1"/>
  <c r="D3417" i="1"/>
  <c r="E3417" i="1"/>
  <c r="C3418" i="1"/>
  <c r="D3418" i="1"/>
  <c r="E3418" i="1"/>
  <c r="C3419" i="1"/>
  <c r="D3419" i="1"/>
  <c r="E3419" i="1"/>
  <c r="C3420" i="1"/>
  <c r="D3420" i="1"/>
  <c r="E3420" i="1"/>
  <c r="C3421" i="1"/>
  <c r="D3421" i="1"/>
  <c r="E3421" i="1"/>
  <c r="C3422" i="1"/>
  <c r="D3422" i="1"/>
  <c r="E3422" i="1"/>
  <c r="C3423" i="1"/>
  <c r="D3423" i="1"/>
  <c r="E3423" i="1"/>
  <c r="C3424" i="1"/>
  <c r="D3424" i="1"/>
  <c r="E3424" i="1"/>
  <c r="C3425" i="1"/>
  <c r="D3425" i="1"/>
  <c r="E3425" i="1"/>
  <c r="C3426" i="1"/>
  <c r="D3426" i="1"/>
  <c r="E3426" i="1"/>
  <c r="C3427" i="1"/>
  <c r="D3427" i="1"/>
  <c r="E3427" i="1"/>
  <c r="C3428" i="1"/>
  <c r="D3428" i="1"/>
  <c r="E3428" i="1"/>
  <c r="C3429" i="1"/>
  <c r="D3429" i="1"/>
  <c r="E3429" i="1"/>
  <c r="C3430" i="1"/>
  <c r="D3430" i="1"/>
  <c r="E3430" i="1"/>
  <c r="C3431" i="1"/>
  <c r="D3431" i="1"/>
  <c r="E3431" i="1"/>
  <c r="C3432" i="1"/>
  <c r="D3432" i="1"/>
  <c r="E3432" i="1"/>
  <c r="C3433" i="1"/>
  <c r="D3433" i="1"/>
  <c r="E3433" i="1"/>
  <c r="C3434" i="1"/>
  <c r="D3434" i="1"/>
  <c r="E3434" i="1"/>
  <c r="C3435" i="1"/>
  <c r="D3435" i="1"/>
  <c r="E3435" i="1"/>
  <c r="C3436" i="1"/>
  <c r="D3436" i="1"/>
  <c r="E3436" i="1"/>
  <c r="C3437" i="1"/>
  <c r="D3437" i="1"/>
  <c r="E3437" i="1"/>
  <c r="C3438" i="1"/>
  <c r="D3438" i="1"/>
  <c r="E3438" i="1"/>
  <c r="C3439" i="1"/>
  <c r="D3439" i="1"/>
  <c r="E3439" i="1"/>
  <c r="C3440" i="1"/>
  <c r="D3440" i="1"/>
  <c r="E3440" i="1"/>
  <c r="C3441" i="1"/>
  <c r="D3441" i="1"/>
  <c r="E3441" i="1"/>
  <c r="C3442" i="1"/>
  <c r="D3442" i="1"/>
  <c r="E3442" i="1"/>
  <c r="C3443" i="1"/>
  <c r="D3443" i="1"/>
  <c r="E3443" i="1"/>
  <c r="C3444" i="1"/>
  <c r="D3444" i="1"/>
  <c r="E3444" i="1"/>
  <c r="C3445" i="1"/>
  <c r="D3445" i="1"/>
  <c r="E3445" i="1"/>
  <c r="C3446" i="1"/>
  <c r="D3446" i="1"/>
  <c r="E3446" i="1"/>
  <c r="C3447" i="1"/>
  <c r="D3447" i="1"/>
  <c r="E3447" i="1"/>
  <c r="C3448" i="1"/>
  <c r="D3448" i="1"/>
  <c r="E3448" i="1"/>
  <c r="C3449" i="1"/>
  <c r="D3449" i="1"/>
  <c r="E3449" i="1"/>
  <c r="C3450" i="1"/>
  <c r="D3450" i="1"/>
  <c r="E3450" i="1"/>
  <c r="C3451" i="1"/>
  <c r="D3451" i="1"/>
  <c r="E3451" i="1"/>
  <c r="C3452" i="1"/>
  <c r="D3452" i="1"/>
  <c r="E3452" i="1"/>
  <c r="C3453" i="1"/>
  <c r="D3453" i="1"/>
  <c r="E3453" i="1"/>
  <c r="C3454" i="1"/>
  <c r="D3454" i="1"/>
  <c r="E3454" i="1"/>
  <c r="C3455" i="1"/>
  <c r="D3455" i="1"/>
  <c r="E3455" i="1"/>
  <c r="C3456" i="1"/>
  <c r="D3456" i="1"/>
  <c r="E3456" i="1"/>
  <c r="C3457" i="1"/>
  <c r="D3457" i="1"/>
  <c r="E3457" i="1"/>
  <c r="C3458" i="1"/>
  <c r="D3458" i="1"/>
  <c r="E3458" i="1"/>
  <c r="C3459" i="1"/>
  <c r="D3459" i="1"/>
  <c r="E3459" i="1"/>
  <c r="C3460" i="1"/>
  <c r="D3460" i="1"/>
  <c r="E3460" i="1"/>
  <c r="C3461" i="1"/>
  <c r="D3461" i="1"/>
  <c r="E3461" i="1"/>
  <c r="C3462" i="1"/>
  <c r="D3462" i="1"/>
  <c r="E3462" i="1"/>
  <c r="C3463" i="1"/>
  <c r="D3463" i="1"/>
  <c r="E3463" i="1"/>
  <c r="C3464" i="1"/>
  <c r="D3464" i="1"/>
  <c r="E3464" i="1"/>
  <c r="C3465" i="1"/>
  <c r="D3465" i="1"/>
  <c r="E3465" i="1"/>
  <c r="C3466" i="1"/>
  <c r="D3466" i="1"/>
  <c r="E3466" i="1"/>
  <c r="C3467" i="1"/>
  <c r="D3467" i="1"/>
  <c r="E3467" i="1"/>
  <c r="C3468" i="1"/>
  <c r="D3468" i="1"/>
  <c r="E3468" i="1"/>
  <c r="C3469" i="1"/>
  <c r="D3469" i="1"/>
  <c r="E3469" i="1"/>
  <c r="C3470" i="1"/>
  <c r="D3470" i="1"/>
  <c r="E3470" i="1"/>
  <c r="C3471" i="1"/>
  <c r="D3471" i="1"/>
  <c r="E3471" i="1"/>
  <c r="C3472" i="1"/>
  <c r="D3472" i="1"/>
  <c r="E3472" i="1"/>
  <c r="C3473" i="1"/>
  <c r="D3473" i="1"/>
  <c r="E3473" i="1"/>
  <c r="C3474" i="1"/>
  <c r="D3474" i="1"/>
  <c r="E3474" i="1"/>
  <c r="C3475" i="1"/>
  <c r="D3475" i="1"/>
  <c r="E3475" i="1"/>
  <c r="C3476" i="1"/>
  <c r="D3476" i="1"/>
  <c r="E3476" i="1"/>
  <c r="C3477" i="1"/>
  <c r="D3477" i="1"/>
  <c r="E3477" i="1"/>
  <c r="C3478" i="1"/>
  <c r="D3478" i="1"/>
  <c r="E3478" i="1"/>
  <c r="C3479" i="1"/>
  <c r="D3479" i="1"/>
  <c r="E3479" i="1"/>
  <c r="C3480" i="1"/>
  <c r="D3480" i="1"/>
  <c r="E3480" i="1"/>
  <c r="C3481" i="1"/>
  <c r="D3481" i="1"/>
  <c r="E3481" i="1"/>
  <c r="C3482" i="1"/>
  <c r="D3482" i="1"/>
  <c r="E3482" i="1"/>
  <c r="C3483" i="1"/>
  <c r="D3483" i="1"/>
  <c r="E3483" i="1"/>
  <c r="C3484" i="1"/>
  <c r="D3484" i="1"/>
  <c r="E3484" i="1"/>
  <c r="C3485" i="1"/>
  <c r="D3485" i="1"/>
  <c r="E3485" i="1"/>
  <c r="C3486" i="1"/>
  <c r="D3486" i="1"/>
  <c r="E3486" i="1"/>
  <c r="C3487" i="1"/>
  <c r="D3487" i="1"/>
  <c r="E3487" i="1"/>
  <c r="C3488" i="1"/>
  <c r="D3488" i="1"/>
  <c r="E3488" i="1"/>
  <c r="C3489" i="1"/>
  <c r="D3489" i="1"/>
  <c r="E3489" i="1"/>
  <c r="C3490" i="1"/>
  <c r="D3490" i="1"/>
  <c r="E3490" i="1"/>
  <c r="C3491" i="1"/>
  <c r="D3491" i="1"/>
  <c r="E3491" i="1"/>
  <c r="C3492" i="1"/>
  <c r="D3492" i="1"/>
  <c r="E3492" i="1"/>
  <c r="C3493" i="1"/>
  <c r="D3493" i="1"/>
  <c r="E3493" i="1"/>
  <c r="C3494" i="1"/>
  <c r="D3494" i="1"/>
  <c r="E3494" i="1"/>
  <c r="C3495" i="1"/>
  <c r="D3495" i="1"/>
  <c r="E3495" i="1"/>
  <c r="C3496" i="1"/>
  <c r="D3496" i="1"/>
  <c r="E3496" i="1"/>
  <c r="C3497" i="1"/>
  <c r="D3497" i="1"/>
  <c r="E3497" i="1"/>
  <c r="C3498" i="1"/>
  <c r="D3498" i="1"/>
  <c r="E3498" i="1"/>
  <c r="C3499" i="1"/>
  <c r="D3499" i="1"/>
  <c r="E3499" i="1"/>
  <c r="C3500" i="1"/>
  <c r="D3500" i="1"/>
  <c r="E3500" i="1"/>
  <c r="C3501" i="1"/>
  <c r="D3501" i="1"/>
  <c r="E3501" i="1"/>
  <c r="C3502" i="1"/>
  <c r="D3502" i="1"/>
  <c r="E3502" i="1"/>
  <c r="C3503" i="1"/>
  <c r="D3503" i="1"/>
  <c r="E3503" i="1"/>
  <c r="C3504" i="1"/>
  <c r="D3504" i="1"/>
  <c r="E3504" i="1"/>
  <c r="C3505" i="1"/>
  <c r="D3505" i="1"/>
  <c r="E3505" i="1"/>
  <c r="C3506" i="1"/>
  <c r="D3506" i="1"/>
  <c r="E3506" i="1"/>
  <c r="C3507" i="1"/>
  <c r="D3507" i="1"/>
  <c r="E3507" i="1"/>
  <c r="C3508" i="1"/>
  <c r="D3508" i="1"/>
  <c r="E3508" i="1"/>
  <c r="C3509" i="1"/>
  <c r="D3509" i="1"/>
  <c r="E3509" i="1"/>
  <c r="C3510" i="1"/>
  <c r="D3510" i="1"/>
  <c r="E3510" i="1"/>
  <c r="C3511" i="1"/>
  <c r="D3511" i="1"/>
  <c r="E3511" i="1"/>
  <c r="C3512" i="1"/>
  <c r="D3512" i="1"/>
  <c r="E3512" i="1"/>
  <c r="C3513" i="1"/>
  <c r="D3513" i="1"/>
  <c r="E3513" i="1"/>
  <c r="C3514" i="1"/>
  <c r="D3514" i="1"/>
  <c r="E3514" i="1"/>
  <c r="C3515" i="1"/>
  <c r="D3515" i="1"/>
  <c r="E3515" i="1"/>
  <c r="C3516" i="1"/>
  <c r="D3516" i="1"/>
  <c r="E3516" i="1"/>
  <c r="C3517" i="1"/>
  <c r="D3517" i="1"/>
  <c r="E3517" i="1"/>
  <c r="C3518" i="1"/>
  <c r="D3518" i="1"/>
  <c r="E3518" i="1"/>
  <c r="C3519" i="1"/>
  <c r="D3519" i="1"/>
  <c r="E3519" i="1"/>
  <c r="C3520" i="1"/>
  <c r="D3520" i="1"/>
  <c r="E3520" i="1"/>
  <c r="C3521" i="1"/>
  <c r="D3521" i="1"/>
  <c r="E3521" i="1"/>
  <c r="C3522" i="1"/>
  <c r="D3522" i="1"/>
  <c r="E3522" i="1"/>
  <c r="C3523" i="1"/>
  <c r="D3523" i="1"/>
  <c r="E3523" i="1"/>
  <c r="C3524" i="1"/>
  <c r="D3524" i="1"/>
  <c r="E3524" i="1"/>
  <c r="C3525" i="1"/>
  <c r="D3525" i="1"/>
  <c r="E3525" i="1"/>
  <c r="C3526" i="1"/>
  <c r="D3526" i="1"/>
  <c r="E3526" i="1"/>
  <c r="C3527" i="1"/>
  <c r="D3527" i="1"/>
  <c r="E3527" i="1"/>
  <c r="C3528" i="1"/>
  <c r="D3528" i="1"/>
  <c r="E3528" i="1"/>
  <c r="C3529" i="1"/>
  <c r="D3529" i="1"/>
  <c r="E3529" i="1"/>
  <c r="C3530" i="1"/>
  <c r="D3530" i="1"/>
  <c r="E3530" i="1"/>
  <c r="C3531" i="1"/>
  <c r="D3531" i="1"/>
  <c r="E3531" i="1"/>
  <c r="C3532" i="1"/>
  <c r="D3532" i="1"/>
  <c r="E3532" i="1"/>
  <c r="C3533" i="1"/>
  <c r="D3533" i="1"/>
  <c r="E3533" i="1"/>
  <c r="C3534" i="1"/>
  <c r="D3534" i="1"/>
  <c r="E3534" i="1"/>
  <c r="C3535" i="1"/>
  <c r="D3535" i="1"/>
  <c r="E3535" i="1"/>
  <c r="C3536" i="1"/>
  <c r="D3536" i="1"/>
  <c r="E3536" i="1"/>
  <c r="C3537" i="1"/>
  <c r="D3537" i="1"/>
  <c r="E3537" i="1"/>
  <c r="C3538" i="1"/>
  <c r="D3538" i="1"/>
  <c r="E3538" i="1"/>
  <c r="C3539" i="1"/>
  <c r="D3539" i="1"/>
  <c r="E3539" i="1"/>
  <c r="C3540" i="1"/>
  <c r="D3540" i="1"/>
  <c r="E3540" i="1"/>
  <c r="C3541" i="1"/>
  <c r="D3541" i="1"/>
  <c r="E3541" i="1"/>
  <c r="C3542" i="1"/>
  <c r="D3542" i="1"/>
  <c r="E3542" i="1"/>
  <c r="C3543" i="1"/>
  <c r="D3543" i="1"/>
  <c r="E3543" i="1"/>
  <c r="C3544" i="1"/>
  <c r="D3544" i="1"/>
  <c r="E3544" i="1"/>
  <c r="C3545" i="1"/>
  <c r="D3545" i="1"/>
  <c r="E3545" i="1"/>
  <c r="C3546" i="1"/>
  <c r="D3546" i="1"/>
  <c r="E3546" i="1"/>
  <c r="C3547" i="1"/>
  <c r="D3547" i="1"/>
  <c r="E3547" i="1"/>
  <c r="C3548" i="1"/>
  <c r="D3548" i="1"/>
  <c r="E3548" i="1"/>
  <c r="C3549" i="1"/>
  <c r="D3549" i="1"/>
  <c r="E3549" i="1"/>
  <c r="C3550" i="1"/>
  <c r="D3550" i="1"/>
  <c r="E3550" i="1"/>
  <c r="C3551" i="1"/>
  <c r="D3551" i="1"/>
  <c r="E3551" i="1"/>
  <c r="C3552" i="1"/>
  <c r="D3552" i="1"/>
  <c r="E3552" i="1"/>
  <c r="C3553" i="1"/>
  <c r="D3553" i="1"/>
  <c r="E3553" i="1"/>
  <c r="C3554" i="1"/>
  <c r="D3554" i="1"/>
  <c r="E3554" i="1"/>
  <c r="C3555" i="1"/>
  <c r="D3555" i="1"/>
  <c r="E3555" i="1"/>
  <c r="C3556" i="1"/>
  <c r="D3556" i="1"/>
  <c r="E3556" i="1"/>
  <c r="C3557" i="1"/>
  <c r="D3557" i="1"/>
  <c r="E3557" i="1"/>
  <c r="C3558" i="1"/>
  <c r="D3558" i="1"/>
  <c r="E3558" i="1"/>
  <c r="C3559" i="1"/>
  <c r="D3559" i="1"/>
  <c r="E3559" i="1"/>
  <c r="C3560" i="1"/>
  <c r="D3560" i="1"/>
  <c r="E3560" i="1"/>
  <c r="C3561" i="1"/>
  <c r="D3561" i="1"/>
  <c r="E3561" i="1"/>
  <c r="C3562" i="1"/>
  <c r="D3562" i="1"/>
  <c r="E3562" i="1"/>
  <c r="C3563" i="1"/>
  <c r="D3563" i="1"/>
  <c r="E3563" i="1"/>
  <c r="C3564" i="1"/>
  <c r="D3564" i="1"/>
  <c r="E3564" i="1"/>
  <c r="C3565" i="1"/>
  <c r="D3565" i="1"/>
  <c r="E3565" i="1"/>
  <c r="C3566" i="1"/>
  <c r="D3566" i="1"/>
  <c r="E3566" i="1"/>
  <c r="C3567" i="1"/>
  <c r="D3567" i="1"/>
  <c r="E3567" i="1"/>
  <c r="C3568" i="1"/>
  <c r="D3568" i="1"/>
  <c r="E3568" i="1"/>
  <c r="C3569" i="1"/>
  <c r="D3569" i="1"/>
  <c r="E3569" i="1"/>
  <c r="C3570" i="1"/>
  <c r="D3570" i="1"/>
  <c r="E3570" i="1"/>
  <c r="C3571" i="1"/>
  <c r="D3571" i="1"/>
  <c r="E3571" i="1"/>
  <c r="C3572" i="1"/>
  <c r="D3572" i="1"/>
  <c r="E3572" i="1"/>
  <c r="C3573" i="1"/>
  <c r="D3573" i="1"/>
  <c r="E3573" i="1"/>
  <c r="C3574" i="1"/>
  <c r="D3574" i="1"/>
  <c r="E3574" i="1"/>
  <c r="C3575" i="1"/>
  <c r="D3575" i="1"/>
  <c r="E3575" i="1"/>
  <c r="C3576" i="1"/>
  <c r="D3576" i="1"/>
  <c r="E3576" i="1"/>
  <c r="C3577" i="1"/>
  <c r="D3577" i="1"/>
  <c r="E3577" i="1"/>
  <c r="C3578" i="1"/>
  <c r="D3578" i="1"/>
  <c r="E3578" i="1"/>
  <c r="C3579" i="1"/>
  <c r="D3579" i="1"/>
  <c r="E3579" i="1"/>
  <c r="C3580" i="1"/>
  <c r="D3580" i="1"/>
  <c r="E3580" i="1"/>
  <c r="C3581" i="1"/>
  <c r="D3581" i="1"/>
  <c r="E3581" i="1"/>
  <c r="C3582" i="1"/>
  <c r="D3582" i="1"/>
  <c r="E3582" i="1"/>
  <c r="C3583" i="1"/>
  <c r="D3583" i="1"/>
  <c r="E3583" i="1"/>
  <c r="C3584" i="1"/>
  <c r="D3584" i="1"/>
  <c r="E3584" i="1"/>
  <c r="C3585" i="1"/>
  <c r="D3585" i="1"/>
  <c r="E3585" i="1"/>
  <c r="C3586" i="1"/>
  <c r="D3586" i="1"/>
  <c r="E3586" i="1"/>
  <c r="C3587" i="1"/>
  <c r="D3587" i="1"/>
  <c r="E3587" i="1"/>
  <c r="C3588" i="1"/>
  <c r="D3588" i="1"/>
  <c r="E3588" i="1"/>
  <c r="C3589" i="1"/>
  <c r="D3589" i="1"/>
  <c r="E3589" i="1"/>
  <c r="C3590" i="1"/>
  <c r="D3590" i="1"/>
  <c r="E3590" i="1"/>
  <c r="C3591" i="1"/>
  <c r="D3591" i="1"/>
  <c r="E3591" i="1"/>
  <c r="C3592" i="1"/>
  <c r="D3592" i="1"/>
  <c r="E3592" i="1"/>
  <c r="C3593" i="1"/>
  <c r="D3593" i="1"/>
  <c r="E3593" i="1"/>
  <c r="C3594" i="1"/>
  <c r="D3594" i="1"/>
  <c r="E3594" i="1"/>
  <c r="C3595" i="1"/>
  <c r="D3595" i="1"/>
  <c r="E3595" i="1"/>
  <c r="C3596" i="1"/>
  <c r="D3596" i="1"/>
  <c r="E3596" i="1"/>
  <c r="C3597" i="1"/>
  <c r="D3597" i="1"/>
  <c r="E3597" i="1"/>
  <c r="C3598" i="1"/>
  <c r="D3598" i="1"/>
  <c r="E3598" i="1"/>
  <c r="C3599" i="1"/>
  <c r="D3599" i="1"/>
  <c r="E3599" i="1"/>
  <c r="C3600" i="1"/>
  <c r="D3600" i="1"/>
  <c r="E3600" i="1"/>
  <c r="C3601" i="1"/>
  <c r="D3601" i="1"/>
  <c r="E3601" i="1"/>
  <c r="C3602" i="1"/>
  <c r="D3602" i="1"/>
  <c r="E3602" i="1"/>
  <c r="C3603" i="1"/>
  <c r="D3603" i="1"/>
  <c r="E3603" i="1"/>
  <c r="C3604" i="1"/>
  <c r="D3604" i="1"/>
  <c r="E3604" i="1"/>
  <c r="C3605" i="1"/>
  <c r="D3605" i="1"/>
  <c r="E3605" i="1"/>
  <c r="C3606" i="1"/>
  <c r="D3606" i="1"/>
  <c r="E3606" i="1"/>
  <c r="C3607" i="1"/>
  <c r="D3607" i="1"/>
  <c r="E3607" i="1"/>
  <c r="C3608" i="1"/>
  <c r="D3608" i="1"/>
  <c r="E3608" i="1"/>
  <c r="C3609" i="1"/>
  <c r="D3609" i="1"/>
  <c r="E3609" i="1"/>
  <c r="C3610" i="1"/>
  <c r="D3610" i="1"/>
  <c r="E3610" i="1"/>
  <c r="C3611" i="1"/>
  <c r="D3611" i="1"/>
  <c r="E3611" i="1"/>
  <c r="C3612" i="1"/>
  <c r="D3612" i="1"/>
  <c r="E3612" i="1"/>
  <c r="C3613" i="1"/>
  <c r="D3613" i="1"/>
  <c r="E3613" i="1"/>
  <c r="C3614" i="1"/>
  <c r="D3614" i="1"/>
  <c r="E3614" i="1"/>
  <c r="C3615" i="1"/>
  <c r="D3615" i="1"/>
  <c r="E3615" i="1"/>
  <c r="C3616" i="1"/>
  <c r="D3616" i="1"/>
  <c r="E3616" i="1"/>
  <c r="C3617" i="1"/>
  <c r="D3617" i="1"/>
  <c r="E3617" i="1"/>
  <c r="C3618" i="1"/>
  <c r="D3618" i="1"/>
  <c r="E3618" i="1"/>
  <c r="C3619" i="1"/>
  <c r="D3619" i="1"/>
  <c r="E3619" i="1"/>
  <c r="C3620" i="1"/>
  <c r="D3620" i="1"/>
  <c r="E3620" i="1"/>
  <c r="C3621" i="1"/>
  <c r="D3621" i="1"/>
  <c r="E3621" i="1"/>
  <c r="C3622" i="1"/>
  <c r="D3622" i="1"/>
  <c r="E3622" i="1"/>
  <c r="C3623" i="1"/>
  <c r="D3623" i="1"/>
  <c r="E3623" i="1"/>
  <c r="C3624" i="1"/>
  <c r="D3624" i="1"/>
  <c r="E3624" i="1"/>
  <c r="C3625" i="1"/>
  <c r="D3625" i="1"/>
  <c r="E3625" i="1"/>
  <c r="C3626" i="1"/>
  <c r="D3626" i="1"/>
  <c r="E3626" i="1"/>
  <c r="C3627" i="1"/>
  <c r="D3627" i="1"/>
  <c r="E3627" i="1"/>
  <c r="C3628" i="1"/>
  <c r="D3628" i="1"/>
  <c r="E3628" i="1"/>
  <c r="C3629" i="1"/>
  <c r="D3629" i="1"/>
  <c r="E3629" i="1"/>
  <c r="C3630" i="1"/>
  <c r="D3630" i="1"/>
  <c r="E3630" i="1"/>
  <c r="C3631" i="1"/>
  <c r="D3631" i="1"/>
  <c r="E3631" i="1"/>
  <c r="C3632" i="1"/>
  <c r="D3632" i="1"/>
  <c r="E3632" i="1"/>
  <c r="C3633" i="1"/>
  <c r="D3633" i="1"/>
  <c r="E3633" i="1"/>
  <c r="C3634" i="1"/>
  <c r="D3634" i="1"/>
  <c r="E3634" i="1"/>
  <c r="C3635" i="1"/>
  <c r="D3635" i="1"/>
  <c r="E3635" i="1"/>
  <c r="C3636" i="1"/>
  <c r="D3636" i="1"/>
  <c r="E3636" i="1"/>
  <c r="C3637" i="1"/>
  <c r="D3637" i="1"/>
  <c r="E3637" i="1"/>
  <c r="C3638" i="1"/>
  <c r="D3638" i="1"/>
  <c r="E3638" i="1"/>
  <c r="C3639" i="1"/>
  <c r="D3639" i="1"/>
  <c r="E3639" i="1"/>
  <c r="C3640" i="1"/>
  <c r="D3640" i="1"/>
  <c r="E3640" i="1"/>
  <c r="C3641" i="1"/>
  <c r="D3641" i="1"/>
  <c r="E3641" i="1"/>
  <c r="C3642" i="1"/>
  <c r="D3642" i="1"/>
  <c r="E3642" i="1"/>
  <c r="C3643" i="1"/>
  <c r="D3643" i="1"/>
  <c r="E3643" i="1"/>
  <c r="C3644" i="1"/>
  <c r="D3644" i="1"/>
  <c r="E3644" i="1"/>
  <c r="C3645" i="1"/>
  <c r="D3645" i="1"/>
  <c r="E3645" i="1"/>
  <c r="C3646" i="1"/>
  <c r="D3646" i="1"/>
  <c r="E3646" i="1"/>
  <c r="C3647" i="1"/>
  <c r="D3647" i="1"/>
  <c r="E3647" i="1"/>
  <c r="C3648" i="1"/>
  <c r="D3648" i="1"/>
  <c r="E3648" i="1"/>
  <c r="C3649" i="1"/>
  <c r="D3649" i="1"/>
  <c r="E3649" i="1"/>
  <c r="C3650" i="1"/>
  <c r="D3650" i="1"/>
  <c r="E3650" i="1"/>
  <c r="C3651" i="1"/>
  <c r="D3651" i="1"/>
  <c r="E3651" i="1"/>
  <c r="C3652" i="1"/>
  <c r="D3652" i="1"/>
  <c r="E3652" i="1"/>
  <c r="C3653" i="1"/>
  <c r="D3653" i="1"/>
  <c r="E3653" i="1"/>
  <c r="C3654" i="1"/>
  <c r="D3654" i="1"/>
  <c r="E3654" i="1"/>
  <c r="C3655" i="1"/>
  <c r="D3655" i="1"/>
  <c r="E3655" i="1"/>
  <c r="C3656" i="1"/>
  <c r="D3656" i="1"/>
  <c r="E3656" i="1"/>
  <c r="C3657" i="1"/>
  <c r="D3657" i="1"/>
  <c r="E3657" i="1"/>
  <c r="C3658" i="1"/>
  <c r="D3658" i="1"/>
  <c r="E3658" i="1"/>
  <c r="C3659" i="1"/>
  <c r="D3659" i="1"/>
  <c r="E3659" i="1"/>
  <c r="C3660" i="1"/>
  <c r="D3660" i="1"/>
  <c r="E3660" i="1"/>
  <c r="C3661" i="1"/>
  <c r="D3661" i="1"/>
  <c r="E3661" i="1"/>
  <c r="C3662" i="1"/>
  <c r="D3662" i="1"/>
  <c r="E3662" i="1"/>
  <c r="C3663" i="1"/>
  <c r="D3663" i="1"/>
  <c r="E3663" i="1"/>
  <c r="C3664" i="1"/>
  <c r="D3664" i="1"/>
  <c r="E3664" i="1"/>
  <c r="C3665" i="1"/>
  <c r="D3665" i="1"/>
  <c r="E3665" i="1"/>
  <c r="C3666" i="1"/>
  <c r="D3666" i="1"/>
  <c r="E3666" i="1"/>
  <c r="C3667" i="1"/>
  <c r="D3667" i="1"/>
  <c r="E3667" i="1"/>
  <c r="C3668" i="1"/>
  <c r="D3668" i="1"/>
  <c r="E3668" i="1"/>
  <c r="C3669" i="1"/>
  <c r="D3669" i="1"/>
  <c r="E3669" i="1"/>
  <c r="C3670" i="1"/>
  <c r="D3670" i="1"/>
  <c r="E3670" i="1"/>
  <c r="C3671" i="1"/>
  <c r="D3671" i="1"/>
  <c r="E3671" i="1"/>
  <c r="C3672" i="1"/>
  <c r="D3672" i="1"/>
  <c r="E3672" i="1"/>
  <c r="C3673" i="1"/>
  <c r="D3673" i="1"/>
  <c r="E3673" i="1"/>
  <c r="C3674" i="1"/>
  <c r="D3674" i="1"/>
  <c r="E3674" i="1"/>
  <c r="C3675" i="1"/>
  <c r="D3675" i="1"/>
  <c r="E3675" i="1"/>
  <c r="C3676" i="1"/>
  <c r="D3676" i="1"/>
  <c r="E3676" i="1"/>
  <c r="C3677" i="1"/>
  <c r="D3677" i="1"/>
  <c r="E3677" i="1"/>
  <c r="C3678" i="1"/>
  <c r="D3678" i="1"/>
  <c r="E3678" i="1"/>
  <c r="C3679" i="1"/>
  <c r="D3679" i="1"/>
  <c r="E3679" i="1"/>
  <c r="C3680" i="1"/>
  <c r="D3680" i="1"/>
  <c r="E3680" i="1"/>
  <c r="C3681" i="1"/>
  <c r="D3681" i="1"/>
  <c r="E3681" i="1"/>
  <c r="C3682" i="1"/>
  <c r="D3682" i="1"/>
  <c r="E3682" i="1"/>
  <c r="C3683" i="1"/>
  <c r="D3683" i="1"/>
  <c r="E3683" i="1"/>
  <c r="C3684" i="1"/>
  <c r="D3684" i="1"/>
  <c r="E3684" i="1"/>
  <c r="C3685" i="1"/>
  <c r="D3685" i="1"/>
  <c r="E3685" i="1"/>
  <c r="C3686" i="1"/>
  <c r="D3686" i="1"/>
  <c r="E3686" i="1"/>
  <c r="C3687" i="1"/>
  <c r="D3687" i="1"/>
  <c r="E3687" i="1"/>
  <c r="C3688" i="1"/>
  <c r="D3688" i="1"/>
  <c r="E3688" i="1"/>
  <c r="C3689" i="1"/>
  <c r="D3689" i="1"/>
  <c r="E3689" i="1"/>
  <c r="C3690" i="1"/>
  <c r="D3690" i="1"/>
  <c r="E3690" i="1"/>
  <c r="C3691" i="1"/>
  <c r="D3691" i="1"/>
  <c r="E3691" i="1"/>
  <c r="C3692" i="1"/>
  <c r="D3692" i="1"/>
  <c r="E3692" i="1"/>
  <c r="C3693" i="1"/>
  <c r="D3693" i="1"/>
  <c r="E3693" i="1"/>
  <c r="C3694" i="1"/>
  <c r="D3694" i="1"/>
  <c r="E3694" i="1"/>
  <c r="C3695" i="1"/>
  <c r="D3695" i="1"/>
  <c r="E3695" i="1"/>
  <c r="C3696" i="1"/>
  <c r="D3696" i="1"/>
  <c r="E3696" i="1"/>
  <c r="C3697" i="1"/>
  <c r="D3697" i="1"/>
  <c r="E3697" i="1"/>
  <c r="C3698" i="1"/>
  <c r="D3698" i="1"/>
  <c r="E3698" i="1"/>
  <c r="C3699" i="1"/>
  <c r="D3699" i="1"/>
  <c r="E3699" i="1"/>
  <c r="C3700" i="1"/>
  <c r="D3700" i="1"/>
  <c r="E3700" i="1"/>
  <c r="C3701" i="1"/>
  <c r="D3701" i="1"/>
  <c r="E3701" i="1"/>
  <c r="C3702" i="1"/>
  <c r="D3702" i="1"/>
  <c r="E3702" i="1"/>
  <c r="C3703" i="1"/>
  <c r="D3703" i="1"/>
  <c r="E3703" i="1"/>
  <c r="C3704" i="1"/>
  <c r="D3704" i="1"/>
  <c r="E3704" i="1"/>
  <c r="C3705" i="1"/>
  <c r="D3705" i="1"/>
  <c r="E3705" i="1"/>
  <c r="C3706" i="1"/>
  <c r="D3706" i="1"/>
  <c r="E3706" i="1"/>
  <c r="C3707" i="1"/>
  <c r="D3707" i="1"/>
  <c r="E3707" i="1"/>
  <c r="C3708" i="1"/>
  <c r="D3708" i="1"/>
  <c r="E3708" i="1"/>
  <c r="C3709" i="1"/>
  <c r="D3709" i="1"/>
  <c r="E3709" i="1"/>
  <c r="C3710" i="1"/>
  <c r="D3710" i="1"/>
  <c r="E3710" i="1"/>
  <c r="C3711" i="1"/>
  <c r="D3711" i="1"/>
  <c r="E3711" i="1"/>
  <c r="C3712" i="1"/>
  <c r="D3712" i="1"/>
  <c r="E3712" i="1"/>
  <c r="C3713" i="1"/>
  <c r="D3713" i="1"/>
  <c r="E3713" i="1"/>
  <c r="C3714" i="1"/>
  <c r="D3714" i="1"/>
  <c r="E3714" i="1"/>
  <c r="C3715" i="1"/>
  <c r="D3715" i="1"/>
  <c r="E3715" i="1"/>
  <c r="C3716" i="1"/>
  <c r="D3716" i="1"/>
  <c r="E3716" i="1"/>
  <c r="C3717" i="1"/>
  <c r="D3717" i="1"/>
  <c r="E3717" i="1"/>
  <c r="C3718" i="1"/>
  <c r="D3718" i="1"/>
  <c r="E3718" i="1"/>
  <c r="C3719" i="1"/>
  <c r="D3719" i="1"/>
  <c r="E3719" i="1"/>
  <c r="C3720" i="1"/>
  <c r="D3720" i="1"/>
  <c r="E3720" i="1"/>
  <c r="C3721" i="1"/>
  <c r="D3721" i="1"/>
  <c r="E3721" i="1"/>
  <c r="C3722" i="1"/>
  <c r="D3722" i="1"/>
  <c r="E3722" i="1"/>
  <c r="C3723" i="1"/>
  <c r="D3723" i="1"/>
  <c r="E3723" i="1"/>
  <c r="C3724" i="1"/>
  <c r="D3724" i="1"/>
  <c r="E3724" i="1"/>
  <c r="C3725" i="1"/>
  <c r="D3725" i="1"/>
  <c r="E3725" i="1"/>
  <c r="C3726" i="1"/>
  <c r="D3726" i="1"/>
  <c r="E3726" i="1"/>
  <c r="C3727" i="1"/>
  <c r="D3727" i="1"/>
  <c r="E3727" i="1"/>
  <c r="C3728" i="1"/>
  <c r="D3728" i="1"/>
  <c r="E3728" i="1"/>
  <c r="C3729" i="1"/>
  <c r="D3729" i="1"/>
  <c r="E3729" i="1"/>
  <c r="C3730" i="1"/>
  <c r="D3730" i="1"/>
  <c r="E3730" i="1"/>
  <c r="C3731" i="1"/>
  <c r="D3731" i="1"/>
  <c r="E3731" i="1"/>
  <c r="C3732" i="1"/>
  <c r="D3732" i="1"/>
  <c r="E3732" i="1"/>
  <c r="C3733" i="1"/>
  <c r="D3733" i="1"/>
  <c r="E3733" i="1"/>
  <c r="C3734" i="1"/>
  <c r="D3734" i="1"/>
  <c r="E3734" i="1"/>
  <c r="C3735" i="1"/>
  <c r="D3735" i="1"/>
  <c r="E3735" i="1"/>
  <c r="C3736" i="1"/>
  <c r="D3736" i="1"/>
  <c r="E3736" i="1"/>
  <c r="C3737" i="1"/>
  <c r="D3737" i="1"/>
  <c r="E3737" i="1"/>
  <c r="C3738" i="1"/>
  <c r="D3738" i="1"/>
  <c r="E3738" i="1"/>
  <c r="C3739" i="1"/>
  <c r="D3739" i="1"/>
  <c r="E3739" i="1"/>
  <c r="C3740" i="1"/>
  <c r="D3740" i="1"/>
  <c r="E3740" i="1"/>
  <c r="C3741" i="1"/>
  <c r="D3741" i="1"/>
  <c r="E3741" i="1"/>
  <c r="C3742" i="1"/>
  <c r="D3742" i="1"/>
  <c r="E3742" i="1"/>
  <c r="C3743" i="1"/>
  <c r="D3743" i="1"/>
  <c r="E3743" i="1"/>
  <c r="C3744" i="1"/>
  <c r="D3744" i="1"/>
  <c r="E3744" i="1"/>
  <c r="C3745" i="1"/>
  <c r="D3745" i="1"/>
  <c r="E3745" i="1"/>
  <c r="C3746" i="1"/>
  <c r="D3746" i="1"/>
  <c r="E3746" i="1"/>
  <c r="C3747" i="1"/>
  <c r="D3747" i="1"/>
  <c r="E3747" i="1"/>
  <c r="C3748" i="1"/>
  <c r="D3748" i="1"/>
  <c r="E3748" i="1"/>
  <c r="C3749" i="1"/>
  <c r="D3749" i="1"/>
  <c r="E3749" i="1"/>
  <c r="C3750" i="1"/>
  <c r="D3750" i="1"/>
  <c r="E3750" i="1"/>
  <c r="C3751" i="1"/>
  <c r="D3751" i="1"/>
  <c r="E3751" i="1"/>
  <c r="C3752" i="1"/>
  <c r="D3752" i="1"/>
  <c r="E3752" i="1"/>
  <c r="C3753" i="1"/>
  <c r="D3753" i="1"/>
  <c r="E3753" i="1"/>
  <c r="C3754" i="1"/>
  <c r="D3754" i="1"/>
  <c r="E3754" i="1"/>
  <c r="C3755" i="1"/>
  <c r="D3755" i="1"/>
  <c r="E3755" i="1"/>
  <c r="C3756" i="1"/>
  <c r="D3756" i="1"/>
  <c r="E3756" i="1"/>
  <c r="C3757" i="1"/>
  <c r="D3757" i="1"/>
  <c r="E3757" i="1"/>
  <c r="C3758" i="1"/>
  <c r="D3758" i="1"/>
  <c r="E3758" i="1"/>
  <c r="C3759" i="1"/>
  <c r="D3759" i="1"/>
  <c r="E3759" i="1"/>
  <c r="C3760" i="1"/>
  <c r="D3760" i="1"/>
  <c r="E3760" i="1"/>
  <c r="C3761" i="1"/>
  <c r="D3761" i="1"/>
  <c r="E3761" i="1"/>
  <c r="C3762" i="1"/>
  <c r="D3762" i="1"/>
  <c r="E3762" i="1"/>
  <c r="C3763" i="1"/>
  <c r="D3763" i="1"/>
  <c r="E3763" i="1"/>
  <c r="C3764" i="1"/>
  <c r="D3764" i="1"/>
  <c r="E3764" i="1"/>
  <c r="C3765" i="1"/>
  <c r="D3765" i="1"/>
  <c r="E3765" i="1"/>
  <c r="C3766" i="1"/>
  <c r="D3766" i="1"/>
  <c r="E3766" i="1"/>
  <c r="C3767" i="1"/>
  <c r="D3767" i="1"/>
  <c r="E3767" i="1"/>
  <c r="C3768" i="1"/>
  <c r="D3768" i="1"/>
  <c r="E3768" i="1"/>
  <c r="C3769" i="1"/>
  <c r="D3769" i="1"/>
  <c r="E3769" i="1"/>
  <c r="C3770" i="1"/>
  <c r="D3770" i="1"/>
  <c r="E3770" i="1"/>
  <c r="C3771" i="1"/>
  <c r="D3771" i="1"/>
  <c r="E3771" i="1"/>
  <c r="C3772" i="1"/>
  <c r="D3772" i="1"/>
  <c r="E3772" i="1"/>
  <c r="C3773" i="1"/>
  <c r="D3773" i="1"/>
  <c r="E3773" i="1"/>
  <c r="C3774" i="1"/>
  <c r="D3774" i="1"/>
  <c r="E3774" i="1"/>
  <c r="C3775" i="1"/>
  <c r="D3775" i="1"/>
  <c r="E3775" i="1"/>
  <c r="C3776" i="1"/>
  <c r="D3776" i="1"/>
  <c r="E3776" i="1"/>
  <c r="C3777" i="1"/>
  <c r="D3777" i="1"/>
  <c r="E3777" i="1"/>
  <c r="C3778" i="1"/>
  <c r="D3778" i="1"/>
  <c r="E3778" i="1"/>
  <c r="C3779" i="1"/>
  <c r="D3779" i="1"/>
  <c r="E3779" i="1"/>
  <c r="C3780" i="1"/>
  <c r="D3780" i="1"/>
  <c r="E3780" i="1"/>
  <c r="C3781" i="1"/>
  <c r="D3781" i="1"/>
  <c r="E3781" i="1"/>
  <c r="C3782" i="1"/>
  <c r="D3782" i="1"/>
  <c r="E3782" i="1"/>
  <c r="C3783" i="1"/>
  <c r="D3783" i="1"/>
  <c r="E3783" i="1"/>
  <c r="C3784" i="1"/>
  <c r="D3784" i="1"/>
  <c r="E3784" i="1"/>
  <c r="C3785" i="1"/>
  <c r="D3785" i="1"/>
  <c r="E3785" i="1"/>
  <c r="C3786" i="1"/>
  <c r="D3786" i="1"/>
  <c r="E3786" i="1"/>
  <c r="C3787" i="1"/>
  <c r="D3787" i="1"/>
  <c r="E3787" i="1"/>
  <c r="C3788" i="1"/>
  <c r="D3788" i="1"/>
  <c r="E3788" i="1"/>
  <c r="C3789" i="1"/>
  <c r="D3789" i="1"/>
  <c r="E3789" i="1"/>
  <c r="C3790" i="1"/>
  <c r="D3790" i="1"/>
  <c r="E3790" i="1"/>
  <c r="C3791" i="1"/>
  <c r="D3791" i="1"/>
  <c r="E3791" i="1"/>
  <c r="C3792" i="1"/>
  <c r="D3792" i="1"/>
  <c r="E3792" i="1"/>
  <c r="C3793" i="1"/>
  <c r="D3793" i="1"/>
  <c r="E3793" i="1"/>
  <c r="C3794" i="1"/>
  <c r="D3794" i="1"/>
  <c r="E3794" i="1"/>
  <c r="C3795" i="1"/>
  <c r="D3795" i="1"/>
  <c r="E3795" i="1"/>
  <c r="C3796" i="1"/>
  <c r="D3796" i="1"/>
  <c r="E3796" i="1"/>
  <c r="C3797" i="1"/>
  <c r="D3797" i="1"/>
  <c r="E3797" i="1"/>
  <c r="C3798" i="1"/>
  <c r="D3798" i="1"/>
  <c r="E3798" i="1"/>
  <c r="C3799" i="1"/>
  <c r="D3799" i="1"/>
  <c r="E3799" i="1"/>
  <c r="C3800" i="1"/>
  <c r="D3800" i="1"/>
  <c r="E3800" i="1"/>
  <c r="C3801" i="1"/>
  <c r="D3801" i="1"/>
  <c r="E3801" i="1"/>
  <c r="C3802" i="1"/>
  <c r="D3802" i="1"/>
  <c r="E3802" i="1"/>
  <c r="C3803" i="1"/>
  <c r="D3803" i="1"/>
  <c r="E3803" i="1"/>
  <c r="C3804" i="1"/>
  <c r="D3804" i="1"/>
  <c r="E3804" i="1"/>
  <c r="C3805" i="1"/>
  <c r="D3805" i="1"/>
  <c r="E3805" i="1"/>
  <c r="C3806" i="1"/>
  <c r="D3806" i="1"/>
  <c r="E3806" i="1"/>
  <c r="C3807" i="1"/>
  <c r="D3807" i="1"/>
  <c r="E3807" i="1"/>
  <c r="C3808" i="1"/>
  <c r="D3808" i="1"/>
  <c r="E3808" i="1"/>
  <c r="C3809" i="1"/>
  <c r="D3809" i="1"/>
  <c r="E3809" i="1"/>
  <c r="C3810" i="1"/>
  <c r="D3810" i="1"/>
  <c r="E3810" i="1"/>
  <c r="C3811" i="1"/>
  <c r="D3811" i="1"/>
  <c r="E3811" i="1"/>
  <c r="C3812" i="1"/>
  <c r="D3812" i="1"/>
  <c r="E3812" i="1"/>
  <c r="C3813" i="1"/>
  <c r="D3813" i="1"/>
  <c r="E3813" i="1"/>
  <c r="C3814" i="1"/>
  <c r="D3814" i="1"/>
  <c r="E3814" i="1"/>
  <c r="C3815" i="1"/>
  <c r="D3815" i="1"/>
  <c r="E3815" i="1"/>
  <c r="C3816" i="1"/>
  <c r="D3816" i="1"/>
  <c r="E3816" i="1"/>
  <c r="C3817" i="1"/>
  <c r="D3817" i="1"/>
  <c r="E3817" i="1"/>
  <c r="C3818" i="1"/>
  <c r="D3818" i="1"/>
  <c r="E3818" i="1"/>
  <c r="C3819" i="1"/>
  <c r="D3819" i="1"/>
  <c r="E3819" i="1"/>
  <c r="C3820" i="1"/>
  <c r="D3820" i="1"/>
  <c r="E3820" i="1"/>
  <c r="C3821" i="1"/>
  <c r="D3821" i="1"/>
  <c r="E3821" i="1"/>
  <c r="C3822" i="1"/>
  <c r="D3822" i="1"/>
  <c r="E3822" i="1"/>
  <c r="C3823" i="1"/>
  <c r="D3823" i="1"/>
  <c r="E3823" i="1"/>
  <c r="C3824" i="1"/>
  <c r="D3824" i="1"/>
  <c r="E3824" i="1"/>
  <c r="C3825" i="1"/>
  <c r="D3825" i="1"/>
  <c r="E3825" i="1"/>
  <c r="C3826" i="1"/>
  <c r="D3826" i="1"/>
  <c r="E3826" i="1"/>
  <c r="C3827" i="1"/>
  <c r="D3827" i="1"/>
  <c r="E3827" i="1"/>
  <c r="C3828" i="1"/>
  <c r="D3828" i="1"/>
  <c r="E3828" i="1"/>
  <c r="C3829" i="1"/>
  <c r="D3829" i="1"/>
  <c r="E3829" i="1"/>
  <c r="C3830" i="1"/>
  <c r="D3830" i="1"/>
  <c r="E3830" i="1"/>
  <c r="C3831" i="1"/>
  <c r="D3831" i="1"/>
  <c r="E3831" i="1"/>
  <c r="C3832" i="1"/>
  <c r="D3832" i="1"/>
  <c r="E3832" i="1"/>
  <c r="C3833" i="1"/>
  <c r="D3833" i="1"/>
  <c r="E3833" i="1"/>
  <c r="C3834" i="1"/>
  <c r="D3834" i="1"/>
  <c r="E3834" i="1"/>
  <c r="C3835" i="1"/>
  <c r="D3835" i="1"/>
  <c r="E3835" i="1"/>
  <c r="C3836" i="1"/>
  <c r="D3836" i="1"/>
  <c r="E3836" i="1"/>
  <c r="C3837" i="1"/>
  <c r="D3837" i="1"/>
  <c r="E3837" i="1"/>
  <c r="C3838" i="1"/>
  <c r="D3838" i="1"/>
  <c r="E3838" i="1"/>
  <c r="C3839" i="1"/>
  <c r="D3839" i="1"/>
  <c r="E3839" i="1"/>
  <c r="C3840" i="1"/>
  <c r="D3840" i="1"/>
  <c r="E3840" i="1"/>
  <c r="C3841" i="1"/>
  <c r="D3841" i="1"/>
  <c r="E3841" i="1"/>
  <c r="C3842" i="1"/>
  <c r="D3842" i="1"/>
  <c r="E3842" i="1"/>
  <c r="C3843" i="1"/>
  <c r="D3843" i="1"/>
  <c r="E3843" i="1"/>
  <c r="C3844" i="1"/>
  <c r="D3844" i="1"/>
  <c r="E3844" i="1"/>
  <c r="C3845" i="1"/>
  <c r="D3845" i="1"/>
  <c r="E3845" i="1"/>
  <c r="C3846" i="1"/>
  <c r="D3846" i="1"/>
  <c r="E3846" i="1"/>
  <c r="C3847" i="1"/>
  <c r="D3847" i="1"/>
  <c r="E3847" i="1"/>
  <c r="C3848" i="1"/>
  <c r="D3848" i="1"/>
  <c r="E3848" i="1"/>
  <c r="C3849" i="1"/>
  <c r="D3849" i="1"/>
  <c r="E3849" i="1"/>
  <c r="C3850" i="1"/>
  <c r="D3850" i="1"/>
  <c r="E3850" i="1"/>
  <c r="C3851" i="1"/>
  <c r="D3851" i="1"/>
  <c r="E3851" i="1"/>
  <c r="C3852" i="1"/>
  <c r="D3852" i="1"/>
  <c r="E3852" i="1"/>
  <c r="C3853" i="1"/>
  <c r="D3853" i="1"/>
  <c r="E3853" i="1"/>
  <c r="C3854" i="1"/>
  <c r="D3854" i="1"/>
  <c r="E3854" i="1"/>
  <c r="C3855" i="1"/>
  <c r="D3855" i="1"/>
  <c r="E3855" i="1"/>
  <c r="C3856" i="1"/>
  <c r="D3856" i="1"/>
  <c r="E3856" i="1"/>
  <c r="C3857" i="1"/>
  <c r="D3857" i="1"/>
  <c r="E3857" i="1"/>
  <c r="C3858" i="1"/>
  <c r="D3858" i="1"/>
  <c r="E3858" i="1"/>
  <c r="C3859" i="1"/>
  <c r="D3859" i="1"/>
  <c r="E3859" i="1"/>
  <c r="C3860" i="1"/>
  <c r="D3860" i="1"/>
  <c r="E3860" i="1"/>
  <c r="C3861" i="1"/>
  <c r="D3861" i="1"/>
  <c r="E3861" i="1"/>
  <c r="C3862" i="1"/>
  <c r="D3862" i="1"/>
  <c r="E3862" i="1"/>
  <c r="C3863" i="1"/>
  <c r="D3863" i="1"/>
  <c r="E3863" i="1"/>
  <c r="C3864" i="1"/>
  <c r="D3864" i="1"/>
  <c r="E3864" i="1"/>
  <c r="C3865" i="1"/>
  <c r="D3865" i="1"/>
  <c r="E3865" i="1"/>
  <c r="C3866" i="1"/>
  <c r="D3866" i="1"/>
  <c r="E3866" i="1"/>
  <c r="C3867" i="1"/>
  <c r="D3867" i="1"/>
  <c r="E3867" i="1"/>
  <c r="C3868" i="1"/>
  <c r="D3868" i="1"/>
  <c r="E3868" i="1"/>
  <c r="C3869" i="1"/>
  <c r="D3869" i="1"/>
  <c r="E3869" i="1"/>
  <c r="C3870" i="1"/>
  <c r="D3870" i="1"/>
  <c r="E3870" i="1"/>
  <c r="C3871" i="1"/>
  <c r="D3871" i="1"/>
  <c r="E3871" i="1"/>
  <c r="C3872" i="1"/>
  <c r="D3872" i="1"/>
  <c r="E3872" i="1"/>
  <c r="C3873" i="1"/>
  <c r="D3873" i="1"/>
  <c r="E3873" i="1"/>
  <c r="C3874" i="1"/>
  <c r="D3874" i="1"/>
  <c r="E3874" i="1"/>
  <c r="C3875" i="1"/>
  <c r="D3875" i="1"/>
  <c r="E3875" i="1"/>
  <c r="C3876" i="1"/>
  <c r="D3876" i="1"/>
  <c r="E3876" i="1"/>
  <c r="C3877" i="1"/>
  <c r="D3877" i="1"/>
  <c r="E3877" i="1"/>
  <c r="C3878" i="1"/>
  <c r="D3878" i="1"/>
  <c r="E3878" i="1"/>
  <c r="C3879" i="1"/>
  <c r="D3879" i="1"/>
  <c r="E3879" i="1"/>
  <c r="C3880" i="1"/>
  <c r="D3880" i="1"/>
  <c r="E3880" i="1"/>
  <c r="C3881" i="1"/>
  <c r="D3881" i="1"/>
  <c r="E3881" i="1"/>
  <c r="C3882" i="1"/>
  <c r="D3882" i="1"/>
  <c r="E3882" i="1"/>
  <c r="C3883" i="1"/>
  <c r="D3883" i="1"/>
  <c r="E3883" i="1"/>
  <c r="C3884" i="1"/>
  <c r="D3884" i="1"/>
  <c r="E3884" i="1"/>
  <c r="C3885" i="1"/>
  <c r="D3885" i="1"/>
  <c r="E3885" i="1"/>
  <c r="C3886" i="1"/>
  <c r="D3886" i="1"/>
  <c r="E3886" i="1"/>
  <c r="C3887" i="1"/>
  <c r="D3887" i="1"/>
  <c r="E3887" i="1"/>
  <c r="C3888" i="1"/>
  <c r="D3888" i="1"/>
  <c r="E3888" i="1"/>
  <c r="C3889" i="1"/>
  <c r="D3889" i="1"/>
  <c r="E3889" i="1"/>
  <c r="C3890" i="1"/>
  <c r="D3890" i="1"/>
  <c r="E3890" i="1"/>
  <c r="C3891" i="1"/>
  <c r="D3891" i="1"/>
  <c r="E3891" i="1"/>
  <c r="C3892" i="1"/>
  <c r="D3892" i="1"/>
  <c r="E3892" i="1"/>
  <c r="C3893" i="1"/>
  <c r="D3893" i="1"/>
  <c r="E3893" i="1"/>
  <c r="C3894" i="1"/>
  <c r="D3894" i="1"/>
  <c r="E3894" i="1"/>
  <c r="C3895" i="1"/>
  <c r="D3895" i="1"/>
  <c r="E3895" i="1"/>
  <c r="C3896" i="1"/>
  <c r="D3896" i="1"/>
  <c r="E3896" i="1"/>
  <c r="C3897" i="1"/>
  <c r="D3897" i="1"/>
  <c r="E3897" i="1"/>
  <c r="C3898" i="1"/>
  <c r="D3898" i="1"/>
  <c r="E3898" i="1"/>
  <c r="C3899" i="1"/>
  <c r="D3899" i="1"/>
  <c r="E3899" i="1"/>
  <c r="C3900" i="1"/>
  <c r="D3900" i="1"/>
  <c r="E3900" i="1"/>
  <c r="C3901" i="1"/>
  <c r="D3901" i="1"/>
  <c r="E3901" i="1"/>
  <c r="C3902" i="1"/>
  <c r="D3902" i="1"/>
  <c r="E3902" i="1"/>
  <c r="C3903" i="1"/>
  <c r="D3903" i="1"/>
  <c r="E3903" i="1"/>
  <c r="C3904" i="1"/>
  <c r="D3904" i="1"/>
  <c r="E3904" i="1"/>
  <c r="C3905" i="1"/>
  <c r="D3905" i="1"/>
  <c r="E3905" i="1"/>
  <c r="C3906" i="1"/>
  <c r="D3906" i="1"/>
  <c r="E3906" i="1"/>
  <c r="C3907" i="1"/>
  <c r="D3907" i="1"/>
  <c r="E3907" i="1"/>
  <c r="C3908" i="1"/>
  <c r="D3908" i="1"/>
  <c r="E3908" i="1"/>
  <c r="C3909" i="1"/>
  <c r="D3909" i="1"/>
  <c r="E3909" i="1"/>
  <c r="C3910" i="1"/>
  <c r="D3910" i="1"/>
  <c r="E3910" i="1"/>
  <c r="C3911" i="1"/>
  <c r="D3911" i="1"/>
  <c r="E3911" i="1"/>
  <c r="C3912" i="1"/>
  <c r="D3912" i="1"/>
  <c r="E3912" i="1"/>
  <c r="C3913" i="1"/>
  <c r="D3913" i="1"/>
  <c r="E3913" i="1"/>
  <c r="C3914" i="1"/>
  <c r="D3914" i="1"/>
  <c r="E3914" i="1"/>
  <c r="C3915" i="1"/>
  <c r="D3915" i="1"/>
  <c r="E3915" i="1"/>
  <c r="C3916" i="1"/>
  <c r="D3916" i="1"/>
  <c r="E3916" i="1"/>
  <c r="C3917" i="1"/>
  <c r="D3917" i="1"/>
  <c r="E3917" i="1"/>
  <c r="C3918" i="1"/>
  <c r="D3918" i="1"/>
  <c r="E3918" i="1"/>
  <c r="C3919" i="1"/>
  <c r="D3919" i="1"/>
  <c r="E3919" i="1"/>
  <c r="C3920" i="1"/>
  <c r="D3920" i="1"/>
  <c r="E3920" i="1"/>
  <c r="C3921" i="1"/>
  <c r="D3921" i="1"/>
  <c r="E3921" i="1"/>
  <c r="C3922" i="1"/>
  <c r="D3922" i="1"/>
  <c r="E3922" i="1"/>
  <c r="C3923" i="1"/>
  <c r="D3923" i="1"/>
  <c r="E3923" i="1"/>
  <c r="C3924" i="1"/>
  <c r="D3924" i="1"/>
  <c r="E3924" i="1"/>
  <c r="C3925" i="1"/>
  <c r="D3925" i="1"/>
  <c r="E3925" i="1"/>
  <c r="C3926" i="1"/>
  <c r="D3926" i="1"/>
  <c r="E3926" i="1"/>
  <c r="C3927" i="1"/>
  <c r="D3927" i="1"/>
  <c r="E3927" i="1"/>
  <c r="C3928" i="1"/>
  <c r="D3928" i="1"/>
  <c r="E3928" i="1"/>
  <c r="C3929" i="1"/>
  <c r="D3929" i="1"/>
  <c r="E3929" i="1"/>
  <c r="C3930" i="1"/>
  <c r="D3930" i="1"/>
  <c r="E3930" i="1"/>
  <c r="C3931" i="1"/>
  <c r="D3931" i="1"/>
  <c r="E3931" i="1"/>
  <c r="C3932" i="1"/>
  <c r="D3932" i="1"/>
  <c r="E3932" i="1"/>
  <c r="C3933" i="1"/>
  <c r="D3933" i="1"/>
  <c r="E3933" i="1"/>
  <c r="C3934" i="1"/>
  <c r="D3934" i="1"/>
  <c r="E3934" i="1"/>
  <c r="C3935" i="1"/>
  <c r="D3935" i="1"/>
  <c r="E3935" i="1"/>
  <c r="C3936" i="1"/>
  <c r="D3936" i="1"/>
  <c r="E3936" i="1"/>
  <c r="C3937" i="1"/>
  <c r="D3937" i="1"/>
  <c r="E3937" i="1"/>
  <c r="C3938" i="1"/>
  <c r="D3938" i="1"/>
  <c r="E3938" i="1"/>
  <c r="C3939" i="1"/>
  <c r="D3939" i="1"/>
  <c r="E3939" i="1"/>
  <c r="C3940" i="1"/>
  <c r="D3940" i="1"/>
  <c r="E3940" i="1"/>
  <c r="C3941" i="1"/>
  <c r="D3941" i="1"/>
  <c r="E3941" i="1"/>
  <c r="C3942" i="1"/>
  <c r="D3942" i="1"/>
  <c r="E3942" i="1"/>
  <c r="C3943" i="1"/>
  <c r="D3943" i="1"/>
  <c r="E3943" i="1"/>
  <c r="C3944" i="1"/>
  <c r="D3944" i="1"/>
  <c r="E3944" i="1"/>
  <c r="C3945" i="1"/>
  <c r="D3945" i="1"/>
  <c r="E3945" i="1"/>
  <c r="C3946" i="1"/>
  <c r="D3946" i="1"/>
  <c r="E3946" i="1"/>
  <c r="C3947" i="1"/>
  <c r="D3947" i="1"/>
  <c r="E3947" i="1"/>
  <c r="C3948" i="1"/>
  <c r="D3948" i="1"/>
  <c r="E3948" i="1"/>
  <c r="C3949" i="1"/>
  <c r="D3949" i="1"/>
  <c r="E3949" i="1"/>
  <c r="C3950" i="1"/>
  <c r="D3950" i="1"/>
  <c r="E3950" i="1"/>
  <c r="C3951" i="1"/>
  <c r="D3951" i="1"/>
  <c r="E3951" i="1"/>
  <c r="C3952" i="1"/>
  <c r="D3952" i="1"/>
  <c r="E3952" i="1"/>
  <c r="C3953" i="1"/>
  <c r="D3953" i="1"/>
  <c r="E3953" i="1"/>
  <c r="C3954" i="1"/>
  <c r="D3954" i="1"/>
  <c r="E3954" i="1"/>
  <c r="C3955" i="1"/>
  <c r="D3955" i="1"/>
  <c r="E3955" i="1"/>
  <c r="C3956" i="1"/>
  <c r="D3956" i="1"/>
  <c r="E3956" i="1"/>
  <c r="C3957" i="1"/>
  <c r="D3957" i="1"/>
  <c r="E3957" i="1"/>
  <c r="C3958" i="1"/>
  <c r="D3958" i="1"/>
  <c r="E3958" i="1"/>
  <c r="C3959" i="1"/>
  <c r="D3959" i="1"/>
  <c r="E3959" i="1"/>
  <c r="C3960" i="1"/>
  <c r="D3960" i="1"/>
  <c r="E3960" i="1"/>
  <c r="C3961" i="1"/>
  <c r="D3961" i="1"/>
  <c r="E3961" i="1"/>
  <c r="C3962" i="1"/>
  <c r="D3962" i="1"/>
  <c r="E3962" i="1"/>
  <c r="C3963" i="1"/>
  <c r="D3963" i="1"/>
  <c r="E3963" i="1"/>
  <c r="C3964" i="1"/>
  <c r="D3964" i="1"/>
  <c r="E3964" i="1"/>
  <c r="C3965" i="1"/>
  <c r="D3965" i="1"/>
  <c r="E3965" i="1"/>
  <c r="C3966" i="1"/>
  <c r="D3966" i="1"/>
  <c r="E3966" i="1"/>
  <c r="C3967" i="1"/>
  <c r="D3967" i="1"/>
  <c r="E3967" i="1"/>
  <c r="C3968" i="1"/>
  <c r="D3968" i="1"/>
  <c r="E3968" i="1"/>
  <c r="C3969" i="1"/>
  <c r="D3969" i="1"/>
  <c r="E3969" i="1"/>
  <c r="C3970" i="1"/>
  <c r="D3970" i="1"/>
  <c r="E3970" i="1"/>
  <c r="C3971" i="1"/>
  <c r="D3971" i="1"/>
  <c r="E3971" i="1"/>
  <c r="C3972" i="1"/>
  <c r="D3972" i="1"/>
  <c r="E3972" i="1"/>
  <c r="C3973" i="1"/>
  <c r="D3973" i="1"/>
  <c r="E3973" i="1"/>
  <c r="C3974" i="1"/>
  <c r="D3974" i="1"/>
  <c r="E3974" i="1"/>
  <c r="C3975" i="1"/>
  <c r="D3975" i="1"/>
  <c r="E3975" i="1"/>
  <c r="C3976" i="1"/>
  <c r="D3976" i="1"/>
  <c r="E3976" i="1"/>
  <c r="C3977" i="1"/>
  <c r="D3977" i="1"/>
  <c r="E3977" i="1"/>
  <c r="C3978" i="1"/>
  <c r="D3978" i="1"/>
  <c r="E3978" i="1"/>
  <c r="C3979" i="1"/>
  <c r="D3979" i="1"/>
  <c r="E3979" i="1"/>
  <c r="C3980" i="1"/>
  <c r="D3980" i="1"/>
  <c r="E3980" i="1"/>
  <c r="C3981" i="1"/>
  <c r="D3981" i="1"/>
  <c r="E3981" i="1"/>
  <c r="C3982" i="1"/>
  <c r="D3982" i="1"/>
  <c r="E3982" i="1"/>
  <c r="C3983" i="1"/>
  <c r="D3983" i="1"/>
  <c r="E3983" i="1"/>
  <c r="C3984" i="1"/>
  <c r="D3984" i="1"/>
  <c r="E3984" i="1"/>
  <c r="C3985" i="1"/>
  <c r="D3985" i="1"/>
  <c r="E3985" i="1"/>
  <c r="C3986" i="1"/>
  <c r="D3986" i="1"/>
  <c r="E3986" i="1"/>
  <c r="C3987" i="1"/>
  <c r="D3987" i="1"/>
  <c r="E3987" i="1"/>
  <c r="C3988" i="1"/>
  <c r="D3988" i="1"/>
  <c r="E3988" i="1"/>
  <c r="C3989" i="1"/>
  <c r="D3989" i="1"/>
  <c r="E3989" i="1"/>
  <c r="C3990" i="1"/>
  <c r="D3990" i="1"/>
  <c r="E3990" i="1"/>
  <c r="C3991" i="1"/>
  <c r="D3991" i="1"/>
  <c r="E3991" i="1"/>
  <c r="C3992" i="1"/>
  <c r="D3992" i="1"/>
  <c r="E3992" i="1"/>
  <c r="C3993" i="1"/>
  <c r="D3993" i="1"/>
  <c r="E3993" i="1"/>
  <c r="C3994" i="1"/>
  <c r="D3994" i="1"/>
  <c r="E3994" i="1"/>
  <c r="C3995" i="1"/>
  <c r="D3995" i="1"/>
  <c r="E3995" i="1"/>
  <c r="C3996" i="1"/>
  <c r="D3996" i="1"/>
  <c r="E3996" i="1"/>
  <c r="C3997" i="1"/>
  <c r="D3997" i="1"/>
  <c r="E3997" i="1"/>
  <c r="C3998" i="1"/>
  <c r="D3998" i="1"/>
  <c r="E3998" i="1"/>
  <c r="C3999" i="1"/>
  <c r="D3999" i="1"/>
  <c r="E3999" i="1"/>
  <c r="C4000" i="1"/>
  <c r="D4000" i="1"/>
  <c r="E4000" i="1"/>
  <c r="C4001" i="1"/>
  <c r="D4001" i="1"/>
  <c r="E4001" i="1"/>
  <c r="C4002" i="1"/>
  <c r="D4002" i="1"/>
  <c r="E4002" i="1"/>
  <c r="C4003" i="1"/>
  <c r="D4003" i="1"/>
  <c r="E4003" i="1"/>
  <c r="C4004" i="1"/>
  <c r="D4004" i="1"/>
  <c r="E4004" i="1"/>
  <c r="C4005" i="1"/>
  <c r="D4005" i="1"/>
  <c r="E4005" i="1"/>
  <c r="C4006" i="1"/>
  <c r="D4006" i="1"/>
  <c r="E4006" i="1"/>
  <c r="C4007" i="1"/>
  <c r="D4007" i="1"/>
  <c r="E4007" i="1"/>
  <c r="C4008" i="1"/>
  <c r="D4008" i="1"/>
  <c r="E4008" i="1"/>
  <c r="C4009" i="1"/>
  <c r="D4009" i="1"/>
  <c r="E4009" i="1"/>
  <c r="C4010" i="1"/>
  <c r="D4010" i="1"/>
  <c r="E4010" i="1"/>
  <c r="C4011" i="1"/>
  <c r="D4011" i="1"/>
  <c r="E4011" i="1"/>
  <c r="C4012" i="1"/>
  <c r="D4012" i="1"/>
  <c r="E4012" i="1"/>
  <c r="C4013" i="1"/>
  <c r="D4013" i="1"/>
  <c r="E4013" i="1"/>
  <c r="C4014" i="1"/>
  <c r="D4014" i="1"/>
  <c r="E4014" i="1"/>
  <c r="C4015" i="1"/>
  <c r="D4015" i="1"/>
  <c r="E4015" i="1"/>
  <c r="C4016" i="1"/>
  <c r="D4016" i="1"/>
  <c r="E4016" i="1"/>
  <c r="C4017" i="1"/>
  <c r="D4017" i="1"/>
  <c r="E4017" i="1"/>
  <c r="C4018" i="1"/>
  <c r="D4018" i="1"/>
  <c r="E4018" i="1"/>
  <c r="C4019" i="1"/>
  <c r="D4019" i="1"/>
  <c r="E4019" i="1"/>
  <c r="C4020" i="1"/>
  <c r="D4020" i="1"/>
  <c r="E4020" i="1"/>
  <c r="C4021" i="1"/>
  <c r="D4021" i="1"/>
  <c r="E4021" i="1"/>
  <c r="C4022" i="1"/>
  <c r="D4022" i="1"/>
  <c r="E4022" i="1"/>
  <c r="C4023" i="1"/>
  <c r="D4023" i="1"/>
  <c r="E4023" i="1"/>
  <c r="C4024" i="1"/>
  <c r="D4024" i="1"/>
  <c r="E4024" i="1"/>
  <c r="C4025" i="1"/>
  <c r="D4025" i="1"/>
  <c r="E4025" i="1"/>
  <c r="C4026" i="1"/>
  <c r="D4026" i="1"/>
  <c r="E4026" i="1"/>
  <c r="C4027" i="1"/>
  <c r="D4027" i="1"/>
  <c r="E4027" i="1"/>
  <c r="C4028" i="1"/>
  <c r="D4028" i="1"/>
  <c r="E4028" i="1"/>
  <c r="C4029" i="1"/>
  <c r="D4029" i="1"/>
  <c r="E4029" i="1"/>
  <c r="C4030" i="1"/>
  <c r="D4030" i="1"/>
  <c r="E4030" i="1"/>
  <c r="C4031" i="1"/>
  <c r="D4031" i="1"/>
  <c r="E4031" i="1"/>
  <c r="C4032" i="1"/>
  <c r="D4032" i="1"/>
  <c r="E4032" i="1"/>
  <c r="C4033" i="1"/>
  <c r="D4033" i="1"/>
  <c r="E4033" i="1"/>
  <c r="C4034" i="1"/>
  <c r="D4034" i="1"/>
  <c r="E4034" i="1"/>
  <c r="C4035" i="1"/>
  <c r="D4035" i="1"/>
  <c r="E4035" i="1"/>
  <c r="C4036" i="1"/>
  <c r="D4036" i="1"/>
  <c r="E4036" i="1"/>
  <c r="C4037" i="1"/>
  <c r="D4037" i="1"/>
  <c r="E4037" i="1"/>
  <c r="C4038" i="1"/>
  <c r="D4038" i="1"/>
  <c r="E4038" i="1"/>
  <c r="C4039" i="1"/>
  <c r="D4039" i="1"/>
  <c r="E4039" i="1"/>
  <c r="C4040" i="1"/>
  <c r="D4040" i="1"/>
  <c r="E4040" i="1"/>
  <c r="C4041" i="1"/>
  <c r="D4041" i="1"/>
  <c r="E4041" i="1"/>
  <c r="C4042" i="1"/>
  <c r="D4042" i="1"/>
  <c r="E4042" i="1"/>
  <c r="C4043" i="1"/>
  <c r="D4043" i="1"/>
  <c r="E4043" i="1"/>
  <c r="C4044" i="1"/>
  <c r="D4044" i="1"/>
  <c r="E4044" i="1"/>
  <c r="C4045" i="1"/>
  <c r="D4045" i="1"/>
  <c r="E4045" i="1"/>
  <c r="C4046" i="1"/>
  <c r="D4046" i="1"/>
  <c r="E4046" i="1"/>
  <c r="C4047" i="1"/>
  <c r="D4047" i="1"/>
  <c r="E4047" i="1"/>
  <c r="C4048" i="1"/>
  <c r="D4048" i="1"/>
  <c r="E4048" i="1"/>
  <c r="C4049" i="1"/>
  <c r="D4049" i="1"/>
  <c r="E4049" i="1"/>
  <c r="C4050" i="1"/>
  <c r="D4050" i="1"/>
  <c r="E4050" i="1"/>
  <c r="C4051" i="1"/>
  <c r="D4051" i="1"/>
  <c r="E4051" i="1"/>
  <c r="C4052" i="1"/>
  <c r="D4052" i="1"/>
  <c r="E4052" i="1"/>
  <c r="C4053" i="1"/>
  <c r="D4053" i="1"/>
  <c r="E4053" i="1"/>
  <c r="C4054" i="1"/>
  <c r="D4054" i="1"/>
  <c r="E4054" i="1"/>
  <c r="C4055" i="1"/>
  <c r="D4055" i="1"/>
  <c r="E4055" i="1"/>
  <c r="C4056" i="1"/>
  <c r="D4056" i="1"/>
  <c r="E4056" i="1"/>
  <c r="C4057" i="1"/>
  <c r="D4057" i="1"/>
  <c r="E4057" i="1"/>
  <c r="C4058" i="1"/>
  <c r="D4058" i="1"/>
  <c r="E4058" i="1"/>
  <c r="C4059" i="1"/>
  <c r="D4059" i="1"/>
  <c r="E4059" i="1"/>
  <c r="C4060" i="1"/>
  <c r="D4060" i="1"/>
  <c r="E4060" i="1"/>
  <c r="C4061" i="1"/>
  <c r="D4061" i="1"/>
  <c r="E4061" i="1"/>
  <c r="C4062" i="1"/>
  <c r="D4062" i="1"/>
  <c r="E4062" i="1"/>
  <c r="C4063" i="1"/>
  <c r="D4063" i="1"/>
  <c r="E4063" i="1"/>
  <c r="C4064" i="1"/>
  <c r="D4064" i="1"/>
  <c r="E4064" i="1"/>
  <c r="C4065" i="1"/>
  <c r="D4065" i="1"/>
  <c r="E4065" i="1"/>
  <c r="C4066" i="1"/>
  <c r="D4066" i="1"/>
  <c r="E4066" i="1"/>
  <c r="C4067" i="1"/>
  <c r="D4067" i="1"/>
  <c r="E4067" i="1"/>
  <c r="C4068" i="1"/>
  <c r="D4068" i="1"/>
  <c r="E4068" i="1"/>
  <c r="C4069" i="1"/>
  <c r="D4069" i="1"/>
  <c r="E4069" i="1"/>
  <c r="C4070" i="1"/>
  <c r="D4070" i="1"/>
  <c r="E4070" i="1"/>
  <c r="C4071" i="1"/>
  <c r="D4071" i="1"/>
  <c r="E4071" i="1"/>
  <c r="C4072" i="1"/>
  <c r="D4072" i="1"/>
  <c r="E4072" i="1"/>
  <c r="C4073" i="1"/>
  <c r="D4073" i="1"/>
  <c r="E4073" i="1"/>
  <c r="C4074" i="1"/>
  <c r="D4074" i="1"/>
  <c r="E4074" i="1"/>
  <c r="C4075" i="1"/>
  <c r="D4075" i="1"/>
  <c r="E4075" i="1"/>
  <c r="C4076" i="1"/>
  <c r="D4076" i="1"/>
  <c r="E4076" i="1"/>
  <c r="C4077" i="1"/>
  <c r="D4077" i="1"/>
  <c r="E4077" i="1"/>
  <c r="C4078" i="1"/>
  <c r="D4078" i="1"/>
  <c r="E4078" i="1"/>
  <c r="C4079" i="1"/>
  <c r="D4079" i="1"/>
  <c r="E4079" i="1"/>
  <c r="C4080" i="1"/>
  <c r="D4080" i="1"/>
  <c r="E4080" i="1"/>
  <c r="C4081" i="1"/>
  <c r="D4081" i="1"/>
  <c r="E4081" i="1"/>
  <c r="C4082" i="1"/>
  <c r="D4082" i="1"/>
  <c r="E4082" i="1"/>
  <c r="C4083" i="1"/>
  <c r="D4083" i="1"/>
  <c r="E4083" i="1"/>
  <c r="C4084" i="1"/>
  <c r="D4084" i="1"/>
  <c r="E4084" i="1"/>
  <c r="C4085" i="1"/>
  <c r="D4085" i="1"/>
  <c r="E4085" i="1"/>
  <c r="C4086" i="1"/>
  <c r="D4086" i="1"/>
  <c r="E4086" i="1"/>
  <c r="C4087" i="1"/>
  <c r="D4087" i="1"/>
  <c r="E4087" i="1"/>
  <c r="C4088" i="1"/>
  <c r="D4088" i="1"/>
  <c r="E4088" i="1"/>
  <c r="C4089" i="1"/>
  <c r="D4089" i="1"/>
  <c r="E4089" i="1"/>
  <c r="C4090" i="1"/>
  <c r="D4090" i="1"/>
  <c r="E4090" i="1"/>
  <c r="C4091" i="1"/>
  <c r="D4091" i="1"/>
  <c r="E4091" i="1"/>
  <c r="C4092" i="1"/>
  <c r="D4092" i="1"/>
  <c r="E4092" i="1"/>
  <c r="C4093" i="1"/>
  <c r="D4093" i="1"/>
  <c r="E4093" i="1"/>
  <c r="C4094" i="1"/>
  <c r="D4094" i="1"/>
  <c r="E4094" i="1"/>
  <c r="C4095" i="1"/>
  <c r="D4095" i="1"/>
  <c r="E4095" i="1"/>
  <c r="C4096" i="1"/>
  <c r="D4096" i="1"/>
  <c r="E4096" i="1"/>
  <c r="C4097" i="1"/>
  <c r="D4097" i="1"/>
  <c r="E4097" i="1"/>
  <c r="C4098" i="1"/>
  <c r="D4098" i="1"/>
  <c r="E4098" i="1"/>
  <c r="C4099" i="1"/>
  <c r="D4099" i="1"/>
  <c r="E4099" i="1"/>
  <c r="C4100" i="1"/>
  <c r="D4100" i="1"/>
  <c r="E4100" i="1"/>
  <c r="C4101" i="1"/>
  <c r="D4101" i="1"/>
  <c r="E4101" i="1"/>
  <c r="C4102" i="1"/>
  <c r="D4102" i="1"/>
  <c r="E4102" i="1"/>
  <c r="C4103" i="1"/>
  <c r="D4103" i="1"/>
  <c r="E4103" i="1"/>
  <c r="C4104" i="1"/>
  <c r="D4104" i="1"/>
  <c r="E4104" i="1"/>
  <c r="C4105" i="1"/>
  <c r="D4105" i="1"/>
  <c r="E4105" i="1"/>
  <c r="C4106" i="1"/>
  <c r="D4106" i="1"/>
  <c r="E4106" i="1"/>
  <c r="C4107" i="1"/>
  <c r="D4107" i="1"/>
  <c r="E4107" i="1"/>
  <c r="C4108" i="1"/>
  <c r="D4108" i="1"/>
  <c r="E4108" i="1"/>
  <c r="C4109" i="1"/>
  <c r="D4109" i="1"/>
  <c r="E4109" i="1"/>
  <c r="C4110" i="1"/>
  <c r="D4110" i="1"/>
  <c r="E4110" i="1"/>
  <c r="C4111" i="1"/>
  <c r="D4111" i="1"/>
  <c r="E4111" i="1"/>
  <c r="C4112" i="1"/>
  <c r="D4112" i="1"/>
  <c r="E4112" i="1"/>
  <c r="C4113" i="1"/>
  <c r="D4113" i="1"/>
  <c r="E4113" i="1"/>
  <c r="C4114" i="1"/>
  <c r="D4114" i="1"/>
  <c r="E4114" i="1"/>
  <c r="C4115" i="1"/>
  <c r="D4115" i="1"/>
  <c r="E4115" i="1"/>
  <c r="C4116" i="1"/>
  <c r="D4116" i="1"/>
  <c r="E4116" i="1"/>
  <c r="C4117" i="1"/>
  <c r="D4117" i="1"/>
  <c r="E4117" i="1"/>
  <c r="C4118" i="1"/>
  <c r="D4118" i="1"/>
  <c r="E4118" i="1"/>
  <c r="C4119" i="1"/>
  <c r="D4119" i="1"/>
  <c r="E4119" i="1"/>
  <c r="C4120" i="1"/>
  <c r="D4120" i="1"/>
  <c r="E4120" i="1"/>
  <c r="C4121" i="1"/>
  <c r="D4121" i="1"/>
  <c r="E4121" i="1"/>
  <c r="C4122" i="1"/>
  <c r="D4122" i="1"/>
  <c r="E4122" i="1"/>
  <c r="C4123" i="1"/>
  <c r="D4123" i="1"/>
  <c r="E4123" i="1"/>
  <c r="C4124" i="1"/>
  <c r="D4124" i="1"/>
  <c r="E4124" i="1"/>
  <c r="C4125" i="1"/>
  <c r="D4125" i="1"/>
  <c r="E4125" i="1"/>
  <c r="C4126" i="1"/>
  <c r="D4126" i="1"/>
  <c r="E4126" i="1"/>
  <c r="C4127" i="1"/>
  <c r="D4127" i="1"/>
  <c r="E4127" i="1"/>
  <c r="C4128" i="1"/>
  <c r="D4128" i="1"/>
  <c r="E4128" i="1"/>
  <c r="C4129" i="1"/>
  <c r="D4129" i="1"/>
  <c r="E4129" i="1"/>
  <c r="C4130" i="1"/>
  <c r="D4130" i="1"/>
  <c r="E4130" i="1"/>
  <c r="C4131" i="1"/>
  <c r="D4131" i="1"/>
  <c r="E4131" i="1"/>
  <c r="C4132" i="1"/>
  <c r="D4132" i="1"/>
  <c r="E4132" i="1"/>
  <c r="C4133" i="1"/>
  <c r="D4133" i="1"/>
  <c r="E4133" i="1"/>
  <c r="C4134" i="1"/>
  <c r="D4134" i="1"/>
  <c r="E4134" i="1"/>
  <c r="C4135" i="1"/>
  <c r="D4135" i="1"/>
  <c r="E4135" i="1"/>
  <c r="C4136" i="1"/>
  <c r="D4136" i="1"/>
  <c r="E4136" i="1"/>
  <c r="C4137" i="1"/>
  <c r="D4137" i="1"/>
  <c r="E4137" i="1"/>
  <c r="C4138" i="1"/>
  <c r="D4138" i="1"/>
  <c r="E4138" i="1"/>
  <c r="C4139" i="1"/>
  <c r="D4139" i="1"/>
  <c r="E4139" i="1"/>
  <c r="C4140" i="1"/>
  <c r="D4140" i="1"/>
  <c r="E4140" i="1"/>
  <c r="C4141" i="1"/>
  <c r="D4141" i="1"/>
  <c r="E4141" i="1"/>
  <c r="C4142" i="1"/>
  <c r="D4142" i="1"/>
  <c r="E4142" i="1"/>
  <c r="C4143" i="1"/>
  <c r="D4143" i="1"/>
  <c r="E4143" i="1"/>
  <c r="C4144" i="1"/>
  <c r="D4144" i="1"/>
  <c r="E4144" i="1"/>
  <c r="C4145" i="1"/>
  <c r="D4145" i="1"/>
  <c r="E4145" i="1"/>
  <c r="C4146" i="1"/>
  <c r="D4146" i="1"/>
  <c r="E4146" i="1"/>
  <c r="C4147" i="1"/>
  <c r="D4147" i="1"/>
  <c r="E4147" i="1"/>
  <c r="C4148" i="1"/>
  <c r="D4148" i="1"/>
  <c r="E4148" i="1"/>
  <c r="C4149" i="1"/>
  <c r="D4149" i="1"/>
  <c r="E4149" i="1"/>
  <c r="C4150" i="1"/>
  <c r="D4150" i="1"/>
  <c r="E4150" i="1"/>
  <c r="C4151" i="1"/>
  <c r="D4151" i="1"/>
  <c r="E4151" i="1"/>
  <c r="C4152" i="1"/>
  <c r="D4152" i="1"/>
  <c r="E4152" i="1"/>
  <c r="C4153" i="1"/>
  <c r="D4153" i="1"/>
  <c r="E4153" i="1"/>
  <c r="C4154" i="1"/>
  <c r="D4154" i="1"/>
  <c r="E4154" i="1"/>
  <c r="C4155" i="1"/>
  <c r="D4155" i="1"/>
  <c r="E4155" i="1"/>
  <c r="C4156" i="1"/>
  <c r="D4156" i="1"/>
  <c r="E4156" i="1"/>
  <c r="C4157" i="1"/>
  <c r="D4157" i="1"/>
  <c r="E4157" i="1"/>
  <c r="C4158" i="1"/>
  <c r="D4158" i="1"/>
  <c r="E4158" i="1"/>
  <c r="C4159" i="1"/>
  <c r="D4159" i="1"/>
  <c r="E4159" i="1"/>
  <c r="C4160" i="1"/>
  <c r="D4160" i="1"/>
  <c r="E4160" i="1"/>
  <c r="C4161" i="1"/>
  <c r="D4161" i="1"/>
  <c r="E4161" i="1"/>
  <c r="C4162" i="1"/>
  <c r="D4162" i="1"/>
  <c r="E4162" i="1"/>
  <c r="C4163" i="1"/>
  <c r="D4163" i="1"/>
  <c r="E4163" i="1"/>
  <c r="C4164" i="1"/>
  <c r="D4164" i="1"/>
  <c r="E4164" i="1"/>
  <c r="C4165" i="1"/>
  <c r="D4165" i="1"/>
  <c r="E4165" i="1"/>
  <c r="C4166" i="1"/>
  <c r="D4166" i="1"/>
  <c r="E4166" i="1"/>
  <c r="C4167" i="1"/>
  <c r="D4167" i="1"/>
  <c r="E4167" i="1"/>
  <c r="C4168" i="1"/>
  <c r="D4168" i="1"/>
  <c r="E4168" i="1"/>
  <c r="C4169" i="1"/>
  <c r="D4169" i="1"/>
  <c r="E4169" i="1"/>
  <c r="C4170" i="1"/>
  <c r="D4170" i="1"/>
  <c r="E4170" i="1"/>
  <c r="C4171" i="1"/>
  <c r="D4171" i="1"/>
  <c r="E4171" i="1"/>
  <c r="C4172" i="1"/>
  <c r="D4172" i="1"/>
  <c r="E4172" i="1"/>
  <c r="C4173" i="1"/>
  <c r="D4173" i="1"/>
  <c r="E4173" i="1"/>
  <c r="C4174" i="1"/>
  <c r="D4174" i="1"/>
  <c r="E4174" i="1"/>
  <c r="C4175" i="1"/>
  <c r="D4175" i="1"/>
  <c r="E4175" i="1"/>
  <c r="C4176" i="1"/>
  <c r="D4176" i="1"/>
  <c r="E4176" i="1"/>
  <c r="C4177" i="1"/>
  <c r="D4177" i="1"/>
  <c r="E4177" i="1"/>
  <c r="C4178" i="1"/>
  <c r="D4178" i="1"/>
  <c r="E4178" i="1"/>
  <c r="C4179" i="1"/>
  <c r="D4179" i="1"/>
  <c r="E4179" i="1"/>
  <c r="C4180" i="1"/>
  <c r="D4180" i="1"/>
  <c r="E4180" i="1"/>
  <c r="C4181" i="1"/>
  <c r="D4181" i="1"/>
  <c r="E4181" i="1"/>
  <c r="C4182" i="1"/>
  <c r="D4182" i="1"/>
  <c r="E4182" i="1"/>
  <c r="C4183" i="1"/>
  <c r="D4183" i="1"/>
  <c r="E4183" i="1"/>
  <c r="C4184" i="1"/>
  <c r="D4184" i="1"/>
  <c r="E4184" i="1"/>
  <c r="C4185" i="1"/>
  <c r="D4185" i="1"/>
  <c r="E4185" i="1"/>
  <c r="C4186" i="1"/>
  <c r="D4186" i="1"/>
  <c r="E4186" i="1"/>
  <c r="C4187" i="1"/>
  <c r="D4187" i="1"/>
  <c r="E4187" i="1"/>
  <c r="C4188" i="1"/>
  <c r="D4188" i="1"/>
  <c r="E4188" i="1"/>
  <c r="C4189" i="1"/>
  <c r="D4189" i="1"/>
  <c r="E4189" i="1"/>
  <c r="C4190" i="1"/>
  <c r="D4190" i="1"/>
  <c r="E4190" i="1"/>
  <c r="C4191" i="1"/>
  <c r="D4191" i="1"/>
  <c r="E4191" i="1"/>
  <c r="C4192" i="1"/>
  <c r="D4192" i="1"/>
  <c r="E4192" i="1"/>
  <c r="C4193" i="1"/>
  <c r="D4193" i="1"/>
  <c r="E4193" i="1"/>
  <c r="C4194" i="1"/>
  <c r="D4194" i="1"/>
  <c r="E4194" i="1"/>
  <c r="C4195" i="1"/>
  <c r="D4195" i="1"/>
  <c r="E4195" i="1"/>
  <c r="C4196" i="1"/>
  <c r="D4196" i="1"/>
  <c r="E4196" i="1"/>
  <c r="C4197" i="1"/>
  <c r="D4197" i="1"/>
  <c r="E4197" i="1"/>
  <c r="C4198" i="1"/>
  <c r="D4198" i="1"/>
  <c r="E4198" i="1"/>
  <c r="C4199" i="1"/>
  <c r="D4199" i="1"/>
  <c r="E4199" i="1"/>
  <c r="C4200" i="1"/>
  <c r="D4200" i="1"/>
  <c r="E4200" i="1"/>
  <c r="C4201" i="1"/>
  <c r="D4201" i="1"/>
  <c r="E4201" i="1"/>
  <c r="C4202" i="1"/>
  <c r="D4202" i="1"/>
  <c r="E4202" i="1"/>
  <c r="C4203" i="1"/>
  <c r="D4203" i="1"/>
  <c r="E4203" i="1"/>
  <c r="C4204" i="1"/>
  <c r="D4204" i="1"/>
  <c r="E4204" i="1"/>
  <c r="C4205" i="1"/>
  <c r="D4205" i="1"/>
  <c r="E4205" i="1"/>
  <c r="C4206" i="1"/>
  <c r="D4206" i="1"/>
  <c r="E4206" i="1"/>
  <c r="C4207" i="1"/>
  <c r="D4207" i="1"/>
  <c r="E4207" i="1"/>
  <c r="C4208" i="1"/>
  <c r="D4208" i="1"/>
  <c r="E4208" i="1"/>
  <c r="C4209" i="1"/>
  <c r="D4209" i="1"/>
  <c r="E4209" i="1"/>
  <c r="C4210" i="1"/>
  <c r="D4210" i="1"/>
  <c r="E4210" i="1"/>
  <c r="C4211" i="1"/>
  <c r="D4211" i="1"/>
  <c r="E4211" i="1"/>
  <c r="C4212" i="1"/>
  <c r="D4212" i="1"/>
  <c r="E4212" i="1"/>
  <c r="C4213" i="1"/>
  <c r="D4213" i="1"/>
  <c r="E4213" i="1"/>
  <c r="C4214" i="1"/>
  <c r="D4214" i="1"/>
  <c r="E4214" i="1"/>
  <c r="C4215" i="1"/>
  <c r="D4215" i="1"/>
  <c r="E4215" i="1"/>
  <c r="C4216" i="1"/>
  <c r="D4216" i="1"/>
  <c r="E4216" i="1"/>
  <c r="C4217" i="1"/>
  <c r="D4217" i="1"/>
  <c r="E4217" i="1"/>
  <c r="C4218" i="1"/>
  <c r="D4218" i="1"/>
  <c r="E4218" i="1"/>
  <c r="C4219" i="1"/>
  <c r="D4219" i="1"/>
  <c r="E4219" i="1"/>
  <c r="C4220" i="1"/>
  <c r="D4220" i="1"/>
  <c r="E4220" i="1"/>
  <c r="C4221" i="1"/>
  <c r="D4221" i="1"/>
  <c r="E4221" i="1"/>
  <c r="C4222" i="1"/>
  <c r="D4222" i="1"/>
  <c r="E4222" i="1"/>
  <c r="C4223" i="1"/>
  <c r="D4223" i="1"/>
  <c r="E4223" i="1"/>
  <c r="C4224" i="1"/>
  <c r="D4224" i="1"/>
  <c r="E4224" i="1"/>
  <c r="C4225" i="1"/>
  <c r="D4225" i="1"/>
  <c r="E4225" i="1"/>
  <c r="C4226" i="1"/>
  <c r="D4226" i="1"/>
  <c r="E4226" i="1"/>
  <c r="C4227" i="1"/>
  <c r="D4227" i="1"/>
  <c r="E4227" i="1"/>
  <c r="C4228" i="1"/>
  <c r="D4228" i="1"/>
  <c r="E4228" i="1"/>
  <c r="C4229" i="1"/>
  <c r="D4229" i="1"/>
  <c r="E4229" i="1"/>
  <c r="C4230" i="1"/>
  <c r="D4230" i="1"/>
  <c r="E4230" i="1"/>
  <c r="C4231" i="1"/>
  <c r="D4231" i="1"/>
  <c r="E4231" i="1"/>
  <c r="C4232" i="1"/>
  <c r="D4232" i="1"/>
  <c r="E4232" i="1"/>
  <c r="C4233" i="1"/>
  <c r="D4233" i="1"/>
  <c r="E4233" i="1"/>
  <c r="C4234" i="1"/>
  <c r="D4234" i="1"/>
  <c r="E4234" i="1"/>
  <c r="C4235" i="1"/>
  <c r="D4235" i="1"/>
  <c r="E4235" i="1"/>
  <c r="C4236" i="1"/>
  <c r="D4236" i="1"/>
  <c r="E4236" i="1"/>
  <c r="C4237" i="1"/>
  <c r="D4237" i="1"/>
  <c r="E4237" i="1"/>
  <c r="C4238" i="1"/>
  <c r="D4238" i="1"/>
  <c r="E4238" i="1"/>
  <c r="C4239" i="1"/>
  <c r="D4239" i="1"/>
  <c r="E4239" i="1"/>
  <c r="C4240" i="1"/>
  <c r="D4240" i="1"/>
  <c r="E4240" i="1"/>
  <c r="C4241" i="1"/>
  <c r="D4241" i="1"/>
  <c r="E4241" i="1"/>
  <c r="C4242" i="1"/>
  <c r="D4242" i="1"/>
  <c r="E4242" i="1"/>
  <c r="C4243" i="1"/>
  <c r="D4243" i="1"/>
  <c r="E4243" i="1"/>
  <c r="C4244" i="1"/>
  <c r="D4244" i="1"/>
  <c r="E4244" i="1"/>
  <c r="C4245" i="1"/>
  <c r="D4245" i="1"/>
  <c r="E4245" i="1"/>
  <c r="C4246" i="1"/>
  <c r="D4246" i="1"/>
  <c r="E4246" i="1"/>
  <c r="C4247" i="1"/>
  <c r="D4247" i="1"/>
  <c r="E4247" i="1"/>
  <c r="C4248" i="1"/>
  <c r="D4248" i="1"/>
  <c r="E4248" i="1"/>
  <c r="C4249" i="1"/>
  <c r="D4249" i="1"/>
  <c r="E4249" i="1"/>
  <c r="C4250" i="1"/>
  <c r="D4250" i="1"/>
  <c r="E4250" i="1"/>
  <c r="C4251" i="1"/>
  <c r="D4251" i="1"/>
  <c r="E4251" i="1"/>
  <c r="C4252" i="1"/>
  <c r="D4252" i="1"/>
  <c r="E4252" i="1"/>
  <c r="C4253" i="1"/>
  <c r="D4253" i="1"/>
  <c r="E4253" i="1"/>
  <c r="C4254" i="1"/>
  <c r="D4254" i="1"/>
  <c r="E4254" i="1"/>
  <c r="C4255" i="1"/>
  <c r="D4255" i="1"/>
  <c r="E4255" i="1"/>
  <c r="C4256" i="1"/>
  <c r="D4256" i="1"/>
  <c r="E4256" i="1"/>
  <c r="C4257" i="1"/>
  <c r="D4257" i="1"/>
  <c r="E4257" i="1"/>
  <c r="C4258" i="1"/>
  <c r="D4258" i="1"/>
  <c r="E4258" i="1"/>
  <c r="C4259" i="1"/>
  <c r="D4259" i="1"/>
  <c r="E4259" i="1"/>
  <c r="C4260" i="1"/>
  <c r="D4260" i="1"/>
  <c r="E4260" i="1"/>
  <c r="C4261" i="1"/>
  <c r="D4261" i="1"/>
  <c r="E4261" i="1"/>
  <c r="C4262" i="1"/>
  <c r="D4262" i="1"/>
  <c r="E4262" i="1"/>
  <c r="C4263" i="1"/>
  <c r="D4263" i="1"/>
  <c r="E4263" i="1"/>
  <c r="C4264" i="1"/>
  <c r="D4264" i="1"/>
  <c r="E4264" i="1"/>
  <c r="C4265" i="1"/>
  <c r="D4265" i="1"/>
  <c r="E4265" i="1"/>
  <c r="C4266" i="1"/>
  <c r="D4266" i="1"/>
  <c r="E4266" i="1"/>
  <c r="C4267" i="1"/>
  <c r="D4267" i="1"/>
  <c r="E4267" i="1"/>
  <c r="C4268" i="1"/>
  <c r="D4268" i="1"/>
  <c r="E4268" i="1"/>
  <c r="C4269" i="1"/>
  <c r="D4269" i="1"/>
  <c r="E4269" i="1"/>
  <c r="C4270" i="1"/>
  <c r="D4270" i="1"/>
  <c r="E4270" i="1"/>
  <c r="C4271" i="1"/>
  <c r="D4271" i="1"/>
  <c r="E4271" i="1"/>
  <c r="C4272" i="1"/>
  <c r="D4272" i="1"/>
  <c r="E4272" i="1"/>
  <c r="C4273" i="1"/>
  <c r="D4273" i="1"/>
  <c r="E4273" i="1"/>
  <c r="C4274" i="1"/>
  <c r="D4274" i="1"/>
  <c r="E4274" i="1"/>
  <c r="C4275" i="1"/>
  <c r="D4275" i="1"/>
  <c r="E4275" i="1"/>
  <c r="C4276" i="1"/>
  <c r="D4276" i="1"/>
  <c r="E4276" i="1"/>
  <c r="C4277" i="1"/>
  <c r="D4277" i="1"/>
  <c r="E4277" i="1"/>
  <c r="C4278" i="1"/>
  <c r="D4278" i="1"/>
  <c r="E4278" i="1"/>
  <c r="C4279" i="1"/>
  <c r="D4279" i="1"/>
  <c r="E4279" i="1"/>
  <c r="C4280" i="1"/>
  <c r="D4280" i="1"/>
  <c r="E4280" i="1"/>
  <c r="C4281" i="1"/>
  <c r="D4281" i="1"/>
  <c r="E4281" i="1"/>
  <c r="C4282" i="1"/>
  <c r="D4282" i="1"/>
  <c r="E4282" i="1"/>
  <c r="C4283" i="1"/>
  <c r="D4283" i="1"/>
  <c r="E4283" i="1"/>
  <c r="C4284" i="1"/>
  <c r="D4284" i="1"/>
  <c r="E4284" i="1"/>
  <c r="C4285" i="1"/>
  <c r="D4285" i="1"/>
  <c r="E4285" i="1"/>
  <c r="C4286" i="1"/>
  <c r="D4286" i="1"/>
  <c r="E4286" i="1"/>
  <c r="C4287" i="1"/>
  <c r="D4287" i="1"/>
  <c r="E4287" i="1"/>
  <c r="C4288" i="1"/>
  <c r="D4288" i="1"/>
  <c r="E4288" i="1"/>
  <c r="C4289" i="1"/>
  <c r="D4289" i="1"/>
  <c r="E4289" i="1"/>
  <c r="C4290" i="1"/>
  <c r="D4290" i="1"/>
  <c r="E4290" i="1"/>
  <c r="C4291" i="1"/>
  <c r="D4291" i="1"/>
  <c r="E4291" i="1"/>
  <c r="C4292" i="1"/>
  <c r="D4292" i="1"/>
  <c r="E4292" i="1"/>
  <c r="C4293" i="1"/>
  <c r="D4293" i="1"/>
  <c r="E4293" i="1"/>
  <c r="C4294" i="1"/>
  <c r="D4294" i="1"/>
  <c r="E4294" i="1"/>
  <c r="C4295" i="1"/>
  <c r="D4295" i="1"/>
  <c r="E4295" i="1"/>
  <c r="C4296" i="1"/>
  <c r="D4296" i="1"/>
  <c r="E4296" i="1"/>
  <c r="C4297" i="1"/>
  <c r="D4297" i="1"/>
  <c r="E4297" i="1"/>
  <c r="C4298" i="1"/>
  <c r="D4298" i="1"/>
  <c r="E4298" i="1"/>
  <c r="C4299" i="1"/>
  <c r="D4299" i="1"/>
  <c r="E4299" i="1"/>
  <c r="C4300" i="1"/>
  <c r="D4300" i="1"/>
  <c r="E4300" i="1"/>
  <c r="C4301" i="1"/>
  <c r="D4301" i="1"/>
  <c r="E4301" i="1"/>
  <c r="C4302" i="1"/>
  <c r="D4302" i="1"/>
  <c r="E4302" i="1"/>
  <c r="C4303" i="1"/>
  <c r="D4303" i="1"/>
  <c r="E4303" i="1"/>
  <c r="C4304" i="1"/>
  <c r="D4304" i="1"/>
  <c r="E4304" i="1"/>
  <c r="C4305" i="1"/>
  <c r="D4305" i="1"/>
  <c r="E4305" i="1"/>
  <c r="C4306" i="1"/>
  <c r="D4306" i="1"/>
  <c r="E4306" i="1"/>
  <c r="C4307" i="1"/>
  <c r="D4307" i="1"/>
  <c r="E4307" i="1"/>
  <c r="C4308" i="1"/>
  <c r="D4308" i="1"/>
  <c r="E4308" i="1"/>
  <c r="C4309" i="1"/>
  <c r="D4309" i="1"/>
  <c r="E4309" i="1"/>
  <c r="C4310" i="1"/>
  <c r="D4310" i="1"/>
  <c r="E4310" i="1"/>
  <c r="C4311" i="1"/>
  <c r="D4311" i="1"/>
  <c r="E4311" i="1"/>
  <c r="C4312" i="1"/>
  <c r="D4312" i="1"/>
  <c r="E4312" i="1"/>
  <c r="C4313" i="1"/>
  <c r="D4313" i="1"/>
  <c r="E4313" i="1"/>
  <c r="C4314" i="1"/>
  <c r="D4314" i="1"/>
  <c r="E4314" i="1"/>
  <c r="C4315" i="1"/>
  <c r="D4315" i="1"/>
  <c r="E4315" i="1"/>
  <c r="C4316" i="1"/>
  <c r="D4316" i="1"/>
  <c r="E4316" i="1"/>
  <c r="C4317" i="1"/>
  <c r="D4317" i="1"/>
  <c r="E4317" i="1"/>
  <c r="C4318" i="1"/>
  <c r="D4318" i="1"/>
  <c r="E4318" i="1"/>
  <c r="C4319" i="1"/>
  <c r="D4319" i="1"/>
  <c r="E4319" i="1"/>
  <c r="C4320" i="1"/>
  <c r="D4320" i="1"/>
  <c r="E4320" i="1"/>
  <c r="C4321" i="1"/>
  <c r="D4321" i="1"/>
  <c r="E4321" i="1"/>
  <c r="C4322" i="1"/>
  <c r="D4322" i="1"/>
  <c r="E4322" i="1"/>
  <c r="C4323" i="1"/>
  <c r="D4323" i="1"/>
  <c r="E4323" i="1"/>
  <c r="C4324" i="1"/>
  <c r="D4324" i="1"/>
  <c r="E4324" i="1"/>
  <c r="C4325" i="1"/>
  <c r="D4325" i="1"/>
  <c r="E4325" i="1"/>
  <c r="C4326" i="1"/>
  <c r="D4326" i="1"/>
  <c r="E4326" i="1"/>
  <c r="C4327" i="1"/>
  <c r="D4327" i="1"/>
  <c r="E4327" i="1"/>
  <c r="C4328" i="1"/>
  <c r="D4328" i="1"/>
  <c r="E4328" i="1"/>
  <c r="C4329" i="1"/>
  <c r="D4329" i="1"/>
  <c r="E4329" i="1"/>
  <c r="C4330" i="1"/>
  <c r="D4330" i="1"/>
  <c r="E4330" i="1"/>
  <c r="C4331" i="1"/>
  <c r="D4331" i="1"/>
  <c r="E4331" i="1"/>
  <c r="C4332" i="1"/>
  <c r="D4332" i="1"/>
  <c r="E4332" i="1"/>
  <c r="C4333" i="1"/>
  <c r="D4333" i="1"/>
  <c r="E4333" i="1"/>
  <c r="C4334" i="1"/>
  <c r="D4334" i="1"/>
  <c r="E4334" i="1"/>
  <c r="C4335" i="1"/>
  <c r="D4335" i="1"/>
  <c r="E4335" i="1"/>
  <c r="C4336" i="1"/>
  <c r="D4336" i="1"/>
  <c r="E4336" i="1"/>
  <c r="C4337" i="1"/>
  <c r="D4337" i="1"/>
  <c r="E4337" i="1"/>
  <c r="C4338" i="1"/>
  <c r="D4338" i="1"/>
  <c r="E4338" i="1"/>
  <c r="C4339" i="1"/>
  <c r="D4339" i="1"/>
  <c r="E4339" i="1"/>
  <c r="C4340" i="1"/>
  <c r="D4340" i="1"/>
  <c r="E4340" i="1"/>
  <c r="C4341" i="1"/>
  <c r="D4341" i="1"/>
  <c r="E4341" i="1"/>
  <c r="C4342" i="1"/>
  <c r="D4342" i="1"/>
  <c r="E4342" i="1"/>
  <c r="C4343" i="1"/>
  <c r="D4343" i="1"/>
  <c r="E4343" i="1"/>
  <c r="C4344" i="1"/>
  <c r="D4344" i="1"/>
  <c r="E4344" i="1"/>
  <c r="C4345" i="1"/>
  <c r="D4345" i="1"/>
  <c r="E4345" i="1"/>
  <c r="C4346" i="1"/>
  <c r="D4346" i="1"/>
  <c r="E4346" i="1"/>
  <c r="C4347" i="1"/>
  <c r="D4347" i="1"/>
  <c r="E4347" i="1"/>
  <c r="C4348" i="1"/>
  <c r="D4348" i="1"/>
  <c r="E4348" i="1"/>
  <c r="C4349" i="1"/>
  <c r="D4349" i="1"/>
  <c r="E4349" i="1"/>
  <c r="C4350" i="1"/>
  <c r="D4350" i="1"/>
  <c r="E4350" i="1"/>
  <c r="C4351" i="1"/>
  <c r="D4351" i="1"/>
  <c r="E4351" i="1"/>
  <c r="C4352" i="1"/>
  <c r="D4352" i="1"/>
  <c r="E4352" i="1"/>
  <c r="C4353" i="1"/>
  <c r="D4353" i="1"/>
  <c r="E4353" i="1"/>
  <c r="C4354" i="1"/>
  <c r="D4354" i="1"/>
  <c r="E4354" i="1"/>
  <c r="C4355" i="1"/>
  <c r="D4355" i="1"/>
  <c r="E4355" i="1"/>
  <c r="C4356" i="1"/>
  <c r="D4356" i="1"/>
  <c r="E4356" i="1"/>
  <c r="C4357" i="1"/>
  <c r="D4357" i="1"/>
  <c r="E4357" i="1"/>
  <c r="C4358" i="1"/>
  <c r="D4358" i="1"/>
  <c r="E4358" i="1"/>
  <c r="C4359" i="1"/>
  <c r="D4359" i="1"/>
  <c r="E4359" i="1"/>
  <c r="C4360" i="1"/>
  <c r="D4360" i="1"/>
  <c r="E4360" i="1"/>
  <c r="C4361" i="1"/>
  <c r="D4361" i="1"/>
  <c r="E4361" i="1"/>
  <c r="C4362" i="1"/>
  <c r="D4362" i="1"/>
  <c r="E4362" i="1"/>
  <c r="C4363" i="1"/>
  <c r="D4363" i="1"/>
  <c r="E4363" i="1"/>
  <c r="C4364" i="1"/>
  <c r="D4364" i="1"/>
  <c r="E4364" i="1"/>
  <c r="C4365" i="1"/>
  <c r="D4365" i="1"/>
  <c r="E4365" i="1"/>
  <c r="C4366" i="1"/>
  <c r="D4366" i="1"/>
  <c r="E4366" i="1"/>
  <c r="C4367" i="1"/>
  <c r="D4367" i="1"/>
  <c r="E4367" i="1"/>
  <c r="C4368" i="1"/>
  <c r="D4368" i="1"/>
  <c r="E4368" i="1"/>
  <c r="C4369" i="1"/>
  <c r="D4369" i="1"/>
  <c r="E4369" i="1"/>
  <c r="C4370" i="1"/>
  <c r="D4370" i="1"/>
  <c r="E4370" i="1"/>
  <c r="C4371" i="1"/>
  <c r="D4371" i="1"/>
  <c r="E4371" i="1"/>
  <c r="C4372" i="1"/>
  <c r="D4372" i="1"/>
  <c r="E4372" i="1"/>
  <c r="C4373" i="1"/>
  <c r="D4373" i="1"/>
  <c r="E4373" i="1"/>
  <c r="C4374" i="1"/>
  <c r="D4374" i="1"/>
  <c r="E4374" i="1"/>
  <c r="C4375" i="1"/>
  <c r="D4375" i="1"/>
  <c r="E4375" i="1"/>
  <c r="C4376" i="1"/>
  <c r="D4376" i="1"/>
  <c r="E4376" i="1"/>
  <c r="C4377" i="1"/>
  <c r="D4377" i="1"/>
  <c r="E4377" i="1"/>
  <c r="C4378" i="1"/>
  <c r="D4378" i="1"/>
  <c r="E4378" i="1"/>
  <c r="C4379" i="1"/>
  <c r="D4379" i="1"/>
  <c r="E4379" i="1"/>
  <c r="C4380" i="1"/>
  <c r="D4380" i="1"/>
  <c r="E4380" i="1"/>
  <c r="C4381" i="1"/>
  <c r="D4381" i="1"/>
  <c r="E4381" i="1"/>
  <c r="C4382" i="1"/>
  <c r="D4382" i="1"/>
  <c r="E4382" i="1"/>
  <c r="C4383" i="1"/>
  <c r="D4383" i="1"/>
  <c r="E4383" i="1"/>
  <c r="C4384" i="1"/>
  <c r="D4384" i="1"/>
  <c r="E4384" i="1"/>
  <c r="C4385" i="1"/>
  <c r="D4385" i="1"/>
  <c r="E4385" i="1"/>
  <c r="C4386" i="1"/>
  <c r="D4386" i="1"/>
  <c r="E4386" i="1"/>
  <c r="C4387" i="1"/>
  <c r="D4387" i="1"/>
  <c r="E4387" i="1"/>
  <c r="C4388" i="1"/>
  <c r="D4388" i="1"/>
  <c r="E4388" i="1"/>
  <c r="C4389" i="1"/>
  <c r="D4389" i="1"/>
  <c r="E4389" i="1"/>
  <c r="C4390" i="1"/>
  <c r="D4390" i="1"/>
  <c r="E4390" i="1"/>
  <c r="C4391" i="1"/>
  <c r="D4391" i="1"/>
  <c r="E4391" i="1"/>
  <c r="C4392" i="1"/>
  <c r="D4392" i="1"/>
  <c r="E4392" i="1"/>
  <c r="C4393" i="1"/>
  <c r="D4393" i="1"/>
  <c r="E4393" i="1"/>
  <c r="C4394" i="1"/>
  <c r="D4394" i="1"/>
  <c r="E4394" i="1"/>
  <c r="C4395" i="1"/>
  <c r="D4395" i="1"/>
  <c r="E4395" i="1"/>
  <c r="C4396" i="1"/>
  <c r="D4396" i="1"/>
  <c r="E4396" i="1"/>
  <c r="C4397" i="1"/>
  <c r="D4397" i="1"/>
  <c r="E4397" i="1"/>
  <c r="C4398" i="1"/>
  <c r="D4398" i="1"/>
  <c r="E4398" i="1"/>
  <c r="C4399" i="1"/>
  <c r="D4399" i="1"/>
  <c r="E4399" i="1"/>
  <c r="C4400" i="1"/>
  <c r="D4400" i="1"/>
  <c r="E4400" i="1"/>
  <c r="C4401" i="1"/>
  <c r="D4401" i="1"/>
  <c r="E4401" i="1"/>
  <c r="C4402" i="1"/>
  <c r="D4402" i="1"/>
  <c r="E4402" i="1"/>
  <c r="C4403" i="1"/>
  <c r="D4403" i="1"/>
  <c r="E4403" i="1"/>
  <c r="C4404" i="1"/>
  <c r="D4404" i="1"/>
  <c r="E4404" i="1"/>
  <c r="C4405" i="1"/>
  <c r="D4405" i="1"/>
  <c r="E4405" i="1"/>
  <c r="C4406" i="1"/>
  <c r="D4406" i="1"/>
  <c r="E4406" i="1"/>
  <c r="C4407" i="1"/>
  <c r="D4407" i="1"/>
  <c r="E4407" i="1"/>
  <c r="C4408" i="1"/>
  <c r="D4408" i="1"/>
  <c r="E4408" i="1"/>
  <c r="C4409" i="1"/>
  <c r="D4409" i="1"/>
  <c r="E4409" i="1"/>
  <c r="C4410" i="1"/>
  <c r="D4410" i="1"/>
  <c r="E4410" i="1"/>
  <c r="C4411" i="1"/>
  <c r="D4411" i="1"/>
  <c r="E4411" i="1"/>
  <c r="C4412" i="1"/>
  <c r="D4412" i="1"/>
  <c r="E4412" i="1"/>
  <c r="C4413" i="1"/>
  <c r="D4413" i="1"/>
  <c r="E4413" i="1"/>
  <c r="C4414" i="1"/>
  <c r="D4414" i="1"/>
  <c r="E4414" i="1"/>
  <c r="C4415" i="1"/>
  <c r="D4415" i="1"/>
  <c r="E4415" i="1"/>
  <c r="C4416" i="1"/>
  <c r="D4416" i="1"/>
  <c r="E4416" i="1"/>
  <c r="C4417" i="1"/>
  <c r="D4417" i="1"/>
  <c r="E4417" i="1"/>
  <c r="C4418" i="1"/>
  <c r="D4418" i="1"/>
  <c r="E4418" i="1"/>
  <c r="C4419" i="1"/>
  <c r="D4419" i="1"/>
  <c r="E4419" i="1"/>
  <c r="C4420" i="1"/>
  <c r="D4420" i="1"/>
  <c r="E4420" i="1"/>
  <c r="C4421" i="1"/>
  <c r="D4421" i="1"/>
  <c r="E4421" i="1"/>
  <c r="C4422" i="1"/>
  <c r="D4422" i="1"/>
  <c r="E4422" i="1"/>
  <c r="C4423" i="1"/>
  <c r="D4423" i="1"/>
  <c r="E4423" i="1"/>
  <c r="C4424" i="1"/>
  <c r="D4424" i="1"/>
  <c r="E4424" i="1"/>
  <c r="C4425" i="1"/>
  <c r="D4425" i="1"/>
  <c r="E4425" i="1"/>
  <c r="C4426" i="1"/>
  <c r="D4426" i="1"/>
  <c r="E4426" i="1"/>
  <c r="C4427" i="1"/>
  <c r="D4427" i="1"/>
  <c r="E4427" i="1"/>
  <c r="C4428" i="1"/>
  <c r="D4428" i="1"/>
  <c r="E4428" i="1"/>
  <c r="C4429" i="1"/>
  <c r="D4429" i="1"/>
  <c r="E4429" i="1"/>
  <c r="C4430" i="1"/>
  <c r="D4430" i="1"/>
  <c r="E4430" i="1"/>
  <c r="C4431" i="1"/>
  <c r="D4431" i="1"/>
  <c r="E4431" i="1"/>
  <c r="C4432" i="1"/>
  <c r="D4432" i="1"/>
  <c r="E4432" i="1"/>
  <c r="C4433" i="1"/>
  <c r="D4433" i="1"/>
  <c r="E4433" i="1"/>
  <c r="C4434" i="1"/>
  <c r="D4434" i="1"/>
  <c r="E4434" i="1"/>
  <c r="C4435" i="1"/>
  <c r="D4435" i="1"/>
  <c r="E4435" i="1"/>
  <c r="C4436" i="1"/>
  <c r="D4436" i="1"/>
  <c r="E4436" i="1"/>
  <c r="C4437" i="1"/>
  <c r="D4437" i="1"/>
  <c r="E4437" i="1"/>
  <c r="C4438" i="1"/>
  <c r="D4438" i="1"/>
  <c r="E4438" i="1"/>
  <c r="C4439" i="1"/>
  <c r="D4439" i="1"/>
  <c r="E4439" i="1"/>
  <c r="C4440" i="1"/>
  <c r="D4440" i="1"/>
  <c r="E4440" i="1"/>
  <c r="C4441" i="1"/>
  <c r="D4441" i="1"/>
  <c r="E4441" i="1"/>
  <c r="C4442" i="1"/>
  <c r="D4442" i="1"/>
  <c r="E4442" i="1"/>
  <c r="C4443" i="1"/>
  <c r="D4443" i="1"/>
  <c r="E4443" i="1"/>
  <c r="C4444" i="1"/>
  <c r="D4444" i="1"/>
  <c r="E4444" i="1"/>
  <c r="C4445" i="1"/>
  <c r="D4445" i="1"/>
  <c r="E4445" i="1"/>
  <c r="C4446" i="1"/>
  <c r="D4446" i="1"/>
  <c r="E4446" i="1"/>
  <c r="C4447" i="1"/>
  <c r="D4447" i="1"/>
  <c r="E4447" i="1"/>
  <c r="C4448" i="1"/>
  <c r="D4448" i="1"/>
  <c r="E4448" i="1"/>
  <c r="C4449" i="1"/>
  <c r="D4449" i="1"/>
  <c r="E4449" i="1"/>
  <c r="C4450" i="1"/>
  <c r="D4450" i="1"/>
  <c r="E4450" i="1"/>
  <c r="C4451" i="1"/>
  <c r="D4451" i="1"/>
  <c r="E4451" i="1"/>
  <c r="C4452" i="1"/>
  <c r="D4452" i="1"/>
  <c r="E4452" i="1"/>
  <c r="C4453" i="1"/>
  <c r="D4453" i="1"/>
  <c r="E4453" i="1"/>
  <c r="C4454" i="1"/>
  <c r="D4454" i="1"/>
  <c r="E4454" i="1"/>
  <c r="C4455" i="1"/>
  <c r="D4455" i="1"/>
  <c r="E4455" i="1"/>
  <c r="C4456" i="1"/>
  <c r="D4456" i="1"/>
  <c r="E4456" i="1"/>
  <c r="C4457" i="1"/>
  <c r="D4457" i="1"/>
  <c r="E4457" i="1"/>
  <c r="C4458" i="1"/>
  <c r="D4458" i="1"/>
  <c r="E4458" i="1"/>
  <c r="C4459" i="1"/>
  <c r="D4459" i="1"/>
  <c r="E4459" i="1"/>
  <c r="C4460" i="1"/>
  <c r="D4460" i="1"/>
  <c r="E4460" i="1"/>
  <c r="C4461" i="1"/>
  <c r="D4461" i="1"/>
  <c r="E4461" i="1"/>
  <c r="C4462" i="1"/>
  <c r="D4462" i="1"/>
  <c r="E4462" i="1"/>
  <c r="C4463" i="1"/>
  <c r="D4463" i="1"/>
  <c r="E4463" i="1"/>
  <c r="C4464" i="1"/>
  <c r="D4464" i="1"/>
  <c r="E4464" i="1"/>
  <c r="C4465" i="1"/>
  <c r="D4465" i="1"/>
  <c r="E4465" i="1"/>
  <c r="C4466" i="1"/>
  <c r="D4466" i="1"/>
  <c r="E4466" i="1"/>
  <c r="C4467" i="1"/>
  <c r="D4467" i="1"/>
  <c r="E4467" i="1"/>
  <c r="C4468" i="1"/>
  <c r="D4468" i="1"/>
  <c r="E4468" i="1"/>
  <c r="C4469" i="1"/>
  <c r="D4469" i="1"/>
  <c r="E4469" i="1"/>
  <c r="C4470" i="1"/>
  <c r="D4470" i="1"/>
  <c r="E4470" i="1"/>
  <c r="C4471" i="1"/>
  <c r="D4471" i="1"/>
  <c r="E4471" i="1"/>
  <c r="C4472" i="1"/>
  <c r="D4472" i="1"/>
  <c r="E4472" i="1"/>
  <c r="C4473" i="1"/>
  <c r="D4473" i="1"/>
  <c r="E4473" i="1"/>
  <c r="C4474" i="1"/>
  <c r="D4474" i="1"/>
  <c r="E4474" i="1"/>
  <c r="C4475" i="1"/>
  <c r="D4475" i="1"/>
  <c r="E4475" i="1"/>
  <c r="C4476" i="1"/>
  <c r="D4476" i="1"/>
  <c r="E4476" i="1"/>
  <c r="C4477" i="1"/>
  <c r="D4477" i="1"/>
  <c r="E4477" i="1"/>
  <c r="C4478" i="1"/>
  <c r="D4478" i="1"/>
  <c r="E4478" i="1"/>
  <c r="C4479" i="1"/>
  <c r="D4479" i="1"/>
  <c r="E4479" i="1"/>
  <c r="C4480" i="1"/>
  <c r="D4480" i="1"/>
  <c r="E4480" i="1"/>
  <c r="C4481" i="1"/>
  <c r="D4481" i="1"/>
  <c r="E4481" i="1"/>
  <c r="C4482" i="1"/>
  <c r="D4482" i="1"/>
  <c r="E4482" i="1"/>
  <c r="C4483" i="1"/>
  <c r="D4483" i="1"/>
  <c r="E4483" i="1"/>
  <c r="C4484" i="1"/>
  <c r="D4484" i="1"/>
  <c r="E4484" i="1"/>
  <c r="C4485" i="1"/>
  <c r="D4485" i="1"/>
  <c r="E4485" i="1"/>
  <c r="C4486" i="1"/>
  <c r="D4486" i="1"/>
  <c r="E4486" i="1"/>
  <c r="C4487" i="1"/>
  <c r="D4487" i="1"/>
  <c r="E4487" i="1"/>
  <c r="C4488" i="1"/>
  <c r="D4488" i="1"/>
  <c r="E4488" i="1"/>
  <c r="C4489" i="1"/>
  <c r="D4489" i="1"/>
  <c r="E4489" i="1"/>
  <c r="C4490" i="1"/>
  <c r="D4490" i="1"/>
  <c r="E4490" i="1"/>
  <c r="C4491" i="1"/>
  <c r="D4491" i="1"/>
  <c r="E4491" i="1"/>
  <c r="C4492" i="1"/>
  <c r="D4492" i="1"/>
  <c r="E4492" i="1"/>
  <c r="C4493" i="1"/>
  <c r="D4493" i="1"/>
  <c r="E4493" i="1"/>
  <c r="C4494" i="1"/>
  <c r="D4494" i="1"/>
  <c r="E4494" i="1"/>
  <c r="C4495" i="1"/>
  <c r="D4495" i="1"/>
  <c r="E4495" i="1"/>
  <c r="C4496" i="1"/>
  <c r="D4496" i="1"/>
  <c r="E4496" i="1"/>
  <c r="C4497" i="1"/>
  <c r="D4497" i="1"/>
  <c r="E4497" i="1"/>
  <c r="C4498" i="1"/>
  <c r="D4498" i="1"/>
  <c r="E4498" i="1"/>
  <c r="C4499" i="1"/>
  <c r="D4499" i="1"/>
  <c r="E4499" i="1"/>
  <c r="C4500" i="1"/>
  <c r="D4500" i="1"/>
  <c r="E4500" i="1"/>
  <c r="C4501" i="1"/>
  <c r="D4501" i="1"/>
  <c r="E4501" i="1"/>
  <c r="C4502" i="1"/>
  <c r="D4502" i="1"/>
  <c r="E4502" i="1"/>
  <c r="C4503" i="1"/>
  <c r="D4503" i="1"/>
  <c r="E4503" i="1"/>
  <c r="C4504" i="1"/>
  <c r="D4504" i="1"/>
  <c r="E4504" i="1"/>
  <c r="C4505" i="1"/>
  <c r="D4505" i="1"/>
  <c r="E4505" i="1"/>
  <c r="C4506" i="1"/>
  <c r="D4506" i="1"/>
  <c r="E4506" i="1"/>
  <c r="C4507" i="1"/>
  <c r="D4507" i="1"/>
  <c r="E4507" i="1"/>
  <c r="C4508" i="1"/>
  <c r="D4508" i="1"/>
  <c r="E4508" i="1"/>
  <c r="C4509" i="1"/>
  <c r="D4509" i="1"/>
  <c r="E4509" i="1"/>
  <c r="C4510" i="1"/>
  <c r="D4510" i="1"/>
  <c r="E4510" i="1"/>
  <c r="C4511" i="1"/>
  <c r="D4511" i="1"/>
  <c r="E4511" i="1"/>
  <c r="C4512" i="1"/>
  <c r="D4512" i="1"/>
  <c r="E4512" i="1"/>
  <c r="C4513" i="1"/>
  <c r="D4513" i="1"/>
  <c r="E4513" i="1"/>
  <c r="C4514" i="1"/>
  <c r="D4514" i="1"/>
  <c r="E4514" i="1"/>
  <c r="C4515" i="1"/>
  <c r="D4515" i="1"/>
  <c r="E4515" i="1"/>
  <c r="C4516" i="1"/>
  <c r="D4516" i="1"/>
  <c r="E4516" i="1"/>
  <c r="C4517" i="1"/>
  <c r="D4517" i="1"/>
  <c r="E4517" i="1"/>
  <c r="C4518" i="1"/>
  <c r="D4518" i="1"/>
  <c r="E4518" i="1"/>
  <c r="C4519" i="1"/>
  <c r="D4519" i="1"/>
  <c r="E4519" i="1"/>
  <c r="C4520" i="1"/>
  <c r="D4520" i="1"/>
  <c r="E4520" i="1"/>
  <c r="C4521" i="1"/>
  <c r="D4521" i="1"/>
  <c r="E4521" i="1"/>
  <c r="C4522" i="1"/>
  <c r="D4522" i="1"/>
  <c r="E4522" i="1"/>
  <c r="C4523" i="1"/>
  <c r="D4523" i="1"/>
  <c r="E4523" i="1"/>
  <c r="C4524" i="1"/>
  <c r="D4524" i="1"/>
  <c r="E4524" i="1"/>
  <c r="C4525" i="1"/>
  <c r="D4525" i="1"/>
  <c r="E4525" i="1"/>
  <c r="C4526" i="1"/>
  <c r="D4526" i="1"/>
  <c r="E4526" i="1"/>
  <c r="C4527" i="1"/>
  <c r="D4527" i="1"/>
  <c r="E4527" i="1"/>
  <c r="C4528" i="1"/>
  <c r="D4528" i="1"/>
  <c r="E4528" i="1"/>
  <c r="C4529" i="1"/>
  <c r="D4529" i="1"/>
  <c r="E4529" i="1"/>
  <c r="C4530" i="1"/>
  <c r="D4530" i="1"/>
  <c r="E4530" i="1"/>
  <c r="C4531" i="1"/>
  <c r="D4531" i="1"/>
  <c r="E4531" i="1"/>
  <c r="C4532" i="1"/>
  <c r="D4532" i="1"/>
  <c r="E4532" i="1"/>
  <c r="C4533" i="1"/>
  <c r="D4533" i="1"/>
  <c r="E4533" i="1"/>
  <c r="C4534" i="1"/>
  <c r="D4534" i="1"/>
  <c r="E4534" i="1"/>
  <c r="C4535" i="1"/>
  <c r="D4535" i="1"/>
  <c r="E4535" i="1"/>
  <c r="C4536" i="1"/>
  <c r="D4536" i="1"/>
  <c r="E4536" i="1"/>
  <c r="C4537" i="1"/>
  <c r="D4537" i="1"/>
  <c r="E4537" i="1"/>
  <c r="C4538" i="1"/>
  <c r="D4538" i="1"/>
  <c r="E4538" i="1"/>
  <c r="C4539" i="1"/>
  <c r="D4539" i="1"/>
  <c r="E4539" i="1"/>
  <c r="C4540" i="1"/>
  <c r="D4540" i="1"/>
  <c r="E4540" i="1"/>
  <c r="C4541" i="1"/>
  <c r="D4541" i="1"/>
  <c r="E4541" i="1"/>
  <c r="C4542" i="1"/>
  <c r="D4542" i="1"/>
  <c r="E4542" i="1"/>
  <c r="C4543" i="1"/>
  <c r="D4543" i="1"/>
  <c r="E4543" i="1"/>
  <c r="C4544" i="1"/>
  <c r="D4544" i="1"/>
  <c r="E4544" i="1"/>
  <c r="C4545" i="1"/>
  <c r="D4545" i="1"/>
  <c r="E4545" i="1"/>
  <c r="C4546" i="1"/>
  <c r="D4546" i="1"/>
  <c r="E4546" i="1"/>
  <c r="C4547" i="1"/>
  <c r="D4547" i="1"/>
  <c r="E4547" i="1"/>
  <c r="C4548" i="1"/>
  <c r="D4548" i="1"/>
  <c r="E4548" i="1"/>
  <c r="C4549" i="1"/>
  <c r="D4549" i="1"/>
  <c r="E4549" i="1"/>
  <c r="C4550" i="1"/>
  <c r="D4550" i="1"/>
  <c r="E4550" i="1"/>
  <c r="C4551" i="1"/>
  <c r="D4551" i="1"/>
  <c r="E4551" i="1"/>
  <c r="C4552" i="1"/>
  <c r="D4552" i="1"/>
  <c r="E4552" i="1"/>
  <c r="C4553" i="1"/>
  <c r="D4553" i="1"/>
  <c r="E4553" i="1"/>
  <c r="C4554" i="1"/>
  <c r="D4554" i="1"/>
  <c r="E4554" i="1"/>
  <c r="C4555" i="1"/>
  <c r="D4555" i="1"/>
  <c r="E4555" i="1"/>
  <c r="C4556" i="1"/>
  <c r="D4556" i="1"/>
  <c r="E4556" i="1"/>
  <c r="C4557" i="1"/>
  <c r="D4557" i="1"/>
  <c r="E4557" i="1"/>
  <c r="C4558" i="1"/>
  <c r="D4558" i="1"/>
  <c r="E4558" i="1"/>
  <c r="C4559" i="1"/>
  <c r="D4559" i="1"/>
  <c r="E4559" i="1"/>
  <c r="C4560" i="1"/>
  <c r="D4560" i="1"/>
  <c r="E4560" i="1"/>
  <c r="C4561" i="1"/>
  <c r="D4561" i="1"/>
  <c r="E4561" i="1"/>
  <c r="C4562" i="1"/>
  <c r="D4562" i="1"/>
  <c r="E4562" i="1"/>
  <c r="C4563" i="1"/>
  <c r="D4563" i="1"/>
  <c r="E4563" i="1"/>
  <c r="C4564" i="1"/>
  <c r="D4564" i="1"/>
  <c r="E4564" i="1"/>
  <c r="C4565" i="1"/>
  <c r="D4565" i="1"/>
  <c r="E4565" i="1"/>
  <c r="C4566" i="1"/>
  <c r="D4566" i="1"/>
  <c r="E4566" i="1"/>
  <c r="C4567" i="1"/>
  <c r="D4567" i="1"/>
  <c r="E4567" i="1"/>
  <c r="C4568" i="1"/>
  <c r="D4568" i="1"/>
  <c r="E4568" i="1"/>
  <c r="C4569" i="1"/>
  <c r="D4569" i="1"/>
  <c r="E4569" i="1"/>
  <c r="C4570" i="1"/>
  <c r="D4570" i="1"/>
  <c r="E4570" i="1"/>
  <c r="C4571" i="1"/>
  <c r="D4571" i="1"/>
  <c r="E4571" i="1"/>
  <c r="C4572" i="1"/>
  <c r="D4572" i="1"/>
  <c r="E4572" i="1"/>
  <c r="C4573" i="1"/>
  <c r="D4573" i="1"/>
  <c r="E4573" i="1"/>
  <c r="C4574" i="1"/>
  <c r="D4574" i="1"/>
  <c r="E4574" i="1"/>
  <c r="C4575" i="1"/>
  <c r="D4575" i="1"/>
  <c r="E4575" i="1"/>
  <c r="C4576" i="1"/>
  <c r="D4576" i="1"/>
  <c r="E4576" i="1"/>
  <c r="C4577" i="1"/>
  <c r="D4577" i="1"/>
  <c r="E4577" i="1"/>
  <c r="C4578" i="1"/>
  <c r="D4578" i="1"/>
  <c r="E4578" i="1"/>
  <c r="C4579" i="1"/>
  <c r="D4579" i="1"/>
  <c r="E4579" i="1"/>
  <c r="C4580" i="1"/>
  <c r="D4580" i="1"/>
  <c r="E4580" i="1"/>
  <c r="C4581" i="1"/>
  <c r="D4581" i="1"/>
  <c r="E4581" i="1"/>
  <c r="C4582" i="1"/>
  <c r="D4582" i="1"/>
  <c r="E4582" i="1"/>
  <c r="C4583" i="1"/>
  <c r="D4583" i="1"/>
  <c r="E4583" i="1"/>
  <c r="C4584" i="1"/>
  <c r="D4584" i="1"/>
  <c r="E4584" i="1"/>
  <c r="C4585" i="1"/>
  <c r="D4585" i="1"/>
  <c r="E4585" i="1"/>
  <c r="C4586" i="1"/>
  <c r="D4586" i="1"/>
  <c r="E4586" i="1"/>
  <c r="C4587" i="1"/>
  <c r="D4587" i="1"/>
  <c r="E4587" i="1"/>
  <c r="C4588" i="1"/>
  <c r="D4588" i="1"/>
  <c r="E4588" i="1"/>
  <c r="C4589" i="1"/>
  <c r="D4589" i="1"/>
  <c r="E4589" i="1"/>
  <c r="C4590" i="1"/>
  <c r="D4590" i="1"/>
  <c r="E4590" i="1"/>
  <c r="C4591" i="1"/>
  <c r="D4591" i="1"/>
  <c r="E4591" i="1"/>
  <c r="C4592" i="1"/>
  <c r="D4592" i="1"/>
  <c r="E4592" i="1"/>
  <c r="C4593" i="1"/>
  <c r="D4593" i="1"/>
  <c r="E4593" i="1"/>
  <c r="C4594" i="1"/>
  <c r="D4594" i="1"/>
  <c r="E4594" i="1"/>
  <c r="C4595" i="1"/>
  <c r="D4595" i="1"/>
  <c r="E4595" i="1"/>
  <c r="C4596" i="1"/>
  <c r="D4596" i="1"/>
  <c r="E4596" i="1"/>
  <c r="C4597" i="1"/>
  <c r="D4597" i="1"/>
  <c r="E4597" i="1"/>
  <c r="C4598" i="1"/>
  <c r="D4598" i="1"/>
  <c r="E4598" i="1"/>
  <c r="C4599" i="1"/>
  <c r="D4599" i="1"/>
  <c r="E4599" i="1"/>
  <c r="C4600" i="1"/>
  <c r="D4600" i="1"/>
  <c r="E4600" i="1"/>
  <c r="C4601" i="1"/>
  <c r="D4601" i="1"/>
  <c r="E4601" i="1"/>
  <c r="C4602" i="1"/>
  <c r="D4602" i="1"/>
  <c r="E4602" i="1"/>
  <c r="C4603" i="1"/>
  <c r="D4603" i="1"/>
  <c r="E4603" i="1"/>
  <c r="C4604" i="1"/>
  <c r="D4604" i="1"/>
  <c r="E4604" i="1"/>
  <c r="C4605" i="1"/>
  <c r="D4605" i="1"/>
  <c r="E4605" i="1"/>
  <c r="C4606" i="1"/>
  <c r="D4606" i="1"/>
  <c r="E4606" i="1"/>
  <c r="C4607" i="1"/>
  <c r="D4607" i="1"/>
  <c r="E4607" i="1"/>
  <c r="C4608" i="1"/>
  <c r="D4608" i="1"/>
  <c r="E4608" i="1"/>
  <c r="C4609" i="1"/>
  <c r="D4609" i="1"/>
  <c r="E4609" i="1"/>
  <c r="C4610" i="1"/>
  <c r="D4610" i="1"/>
  <c r="E4610" i="1"/>
  <c r="C4611" i="1"/>
  <c r="D4611" i="1"/>
  <c r="E4611" i="1"/>
  <c r="C4612" i="1"/>
  <c r="D4612" i="1"/>
  <c r="E4612" i="1"/>
  <c r="C4613" i="1"/>
  <c r="D4613" i="1"/>
  <c r="E4613" i="1"/>
  <c r="C4614" i="1"/>
  <c r="D4614" i="1"/>
  <c r="E4614" i="1"/>
  <c r="C4615" i="1"/>
  <c r="D4615" i="1"/>
  <c r="E4615" i="1"/>
  <c r="C4616" i="1"/>
  <c r="D4616" i="1"/>
  <c r="E4616" i="1"/>
  <c r="C4617" i="1"/>
  <c r="D4617" i="1"/>
  <c r="E4617" i="1"/>
  <c r="C4618" i="1"/>
  <c r="D4618" i="1"/>
  <c r="E4618" i="1"/>
  <c r="C4619" i="1"/>
  <c r="D4619" i="1"/>
  <c r="E4619" i="1"/>
  <c r="C4620" i="1"/>
  <c r="D4620" i="1"/>
  <c r="E4620" i="1"/>
  <c r="C4621" i="1"/>
  <c r="D4621" i="1"/>
  <c r="E4621" i="1"/>
  <c r="C4622" i="1"/>
  <c r="D4622" i="1"/>
  <c r="E4622" i="1"/>
  <c r="C4623" i="1"/>
  <c r="D4623" i="1"/>
  <c r="E4623" i="1"/>
  <c r="C4624" i="1"/>
  <c r="D4624" i="1"/>
  <c r="E4624" i="1"/>
  <c r="C4625" i="1"/>
  <c r="D4625" i="1"/>
  <c r="E4625" i="1"/>
  <c r="C4626" i="1"/>
  <c r="D4626" i="1"/>
  <c r="E4626" i="1"/>
  <c r="C4627" i="1"/>
  <c r="D4627" i="1"/>
  <c r="E4627" i="1"/>
  <c r="C4628" i="1"/>
  <c r="D4628" i="1"/>
  <c r="E4628" i="1"/>
  <c r="C4629" i="1"/>
  <c r="D4629" i="1"/>
  <c r="E4629" i="1"/>
  <c r="C4630" i="1"/>
  <c r="D4630" i="1"/>
  <c r="E4630" i="1"/>
  <c r="C4631" i="1"/>
  <c r="D4631" i="1"/>
  <c r="E4631" i="1"/>
  <c r="C4632" i="1"/>
  <c r="D4632" i="1"/>
  <c r="E4632" i="1"/>
  <c r="C4633" i="1"/>
  <c r="D4633" i="1"/>
  <c r="E4633" i="1"/>
  <c r="C4634" i="1"/>
  <c r="D4634" i="1"/>
  <c r="E4634" i="1"/>
  <c r="C4635" i="1"/>
  <c r="D4635" i="1"/>
  <c r="E4635" i="1"/>
  <c r="C4636" i="1"/>
  <c r="D4636" i="1"/>
  <c r="E4636" i="1"/>
  <c r="C4637" i="1"/>
  <c r="D4637" i="1"/>
  <c r="E4637" i="1"/>
  <c r="C4638" i="1"/>
  <c r="D4638" i="1"/>
  <c r="E4638" i="1"/>
  <c r="C4639" i="1"/>
  <c r="D4639" i="1"/>
  <c r="E4639" i="1"/>
  <c r="C4640" i="1"/>
  <c r="D4640" i="1"/>
  <c r="E4640" i="1"/>
  <c r="C4641" i="1"/>
  <c r="D4641" i="1"/>
  <c r="E4641" i="1"/>
  <c r="C4642" i="1"/>
  <c r="D4642" i="1"/>
  <c r="E4642" i="1"/>
  <c r="C4643" i="1"/>
  <c r="D4643" i="1"/>
  <c r="E4643" i="1"/>
  <c r="C4644" i="1"/>
  <c r="D4644" i="1"/>
  <c r="E4644" i="1"/>
  <c r="C4645" i="1"/>
  <c r="D4645" i="1"/>
  <c r="E4645" i="1"/>
  <c r="C4646" i="1"/>
  <c r="D4646" i="1"/>
  <c r="E4646" i="1"/>
  <c r="C4647" i="1"/>
  <c r="D4647" i="1"/>
  <c r="E4647" i="1"/>
  <c r="C4648" i="1"/>
  <c r="D4648" i="1"/>
  <c r="E4648" i="1"/>
  <c r="C4649" i="1"/>
  <c r="D4649" i="1"/>
  <c r="E4649" i="1"/>
  <c r="C4650" i="1"/>
  <c r="D4650" i="1"/>
  <c r="E4650" i="1"/>
  <c r="C4651" i="1"/>
  <c r="D4651" i="1"/>
  <c r="E4651" i="1"/>
  <c r="C4652" i="1"/>
  <c r="D4652" i="1"/>
  <c r="E4652" i="1"/>
  <c r="C4653" i="1"/>
  <c r="D4653" i="1"/>
  <c r="E4653" i="1"/>
  <c r="C4654" i="1"/>
  <c r="D4654" i="1"/>
  <c r="E4654" i="1"/>
  <c r="C4655" i="1"/>
  <c r="D4655" i="1"/>
  <c r="E4655" i="1"/>
  <c r="C4656" i="1"/>
  <c r="D4656" i="1"/>
  <c r="E4656" i="1"/>
  <c r="C4657" i="1"/>
  <c r="D4657" i="1"/>
  <c r="E4657" i="1"/>
  <c r="C4658" i="1"/>
  <c r="D4658" i="1"/>
  <c r="E4658" i="1"/>
  <c r="C4659" i="1"/>
  <c r="D4659" i="1"/>
  <c r="E4659" i="1"/>
  <c r="C4660" i="1"/>
  <c r="D4660" i="1"/>
  <c r="E4660" i="1"/>
  <c r="C4661" i="1"/>
  <c r="D4661" i="1"/>
  <c r="E4661" i="1"/>
  <c r="C4662" i="1"/>
  <c r="D4662" i="1"/>
  <c r="E4662" i="1"/>
  <c r="C4663" i="1"/>
  <c r="D4663" i="1"/>
  <c r="E4663" i="1"/>
  <c r="C4664" i="1"/>
  <c r="D4664" i="1"/>
  <c r="E4664" i="1"/>
  <c r="C4665" i="1"/>
  <c r="D4665" i="1"/>
  <c r="E4665" i="1"/>
  <c r="C4666" i="1"/>
  <c r="D4666" i="1"/>
  <c r="E4666" i="1"/>
  <c r="C4667" i="1"/>
  <c r="D4667" i="1"/>
  <c r="E4667" i="1"/>
  <c r="C4668" i="1"/>
  <c r="D4668" i="1"/>
  <c r="E4668" i="1"/>
  <c r="C4669" i="1"/>
  <c r="D4669" i="1"/>
  <c r="E4669" i="1"/>
  <c r="C4670" i="1"/>
  <c r="D4670" i="1"/>
  <c r="E4670" i="1"/>
  <c r="C4671" i="1"/>
  <c r="D4671" i="1"/>
  <c r="E4671" i="1"/>
  <c r="C4672" i="1"/>
  <c r="D4672" i="1"/>
  <c r="E4672" i="1"/>
  <c r="C4673" i="1"/>
  <c r="D4673" i="1"/>
  <c r="E4673" i="1"/>
  <c r="C4674" i="1"/>
  <c r="D4674" i="1"/>
  <c r="E4674" i="1"/>
  <c r="C4675" i="1"/>
  <c r="D4675" i="1"/>
  <c r="E4675" i="1"/>
  <c r="C4676" i="1"/>
  <c r="D4676" i="1"/>
  <c r="E4676" i="1"/>
  <c r="C4677" i="1"/>
  <c r="D4677" i="1"/>
  <c r="E4677" i="1"/>
  <c r="C4678" i="1"/>
  <c r="D4678" i="1"/>
  <c r="E4678" i="1"/>
  <c r="C4679" i="1"/>
  <c r="D4679" i="1"/>
  <c r="E4679" i="1"/>
  <c r="C4680" i="1"/>
  <c r="D4680" i="1"/>
  <c r="E4680" i="1"/>
  <c r="C4681" i="1"/>
  <c r="D4681" i="1"/>
  <c r="E4681" i="1"/>
  <c r="C4682" i="1"/>
  <c r="D4682" i="1"/>
  <c r="E4682" i="1"/>
  <c r="C4683" i="1"/>
  <c r="D4683" i="1"/>
  <c r="E4683" i="1"/>
  <c r="C4684" i="1"/>
  <c r="D4684" i="1"/>
  <c r="E4684" i="1"/>
  <c r="C4685" i="1"/>
  <c r="D4685" i="1"/>
  <c r="E4685" i="1"/>
  <c r="C4686" i="1"/>
  <c r="D4686" i="1"/>
  <c r="E4686" i="1"/>
  <c r="C4687" i="1"/>
  <c r="D4687" i="1"/>
  <c r="E4687" i="1"/>
  <c r="C4688" i="1"/>
  <c r="D4688" i="1"/>
  <c r="E4688" i="1"/>
  <c r="C4689" i="1"/>
  <c r="D4689" i="1"/>
  <c r="E4689" i="1"/>
  <c r="C4690" i="1"/>
  <c r="D4690" i="1"/>
  <c r="E4690" i="1"/>
  <c r="C4691" i="1"/>
  <c r="D4691" i="1"/>
  <c r="E4691" i="1"/>
  <c r="C4692" i="1"/>
  <c r="D4692" i="1"/>
  <c r="E4692" i="1"/>
  <c r="C4693" i="1"/>
  <c r="D4693" i="1"/>
  <c r="E4693" i="1"/>
  <c r="C4694" i="1"/>
  <c r="D4694" i="1"/>
  <c r="E4694" i="1"/>
  <c r="C4695" i="1"/>
  <c r="D4695" i="1"/>
  <c r="E4695" i="1"/>
  <c r="C4696" i="1"/>
  <c r="D4696" i="1"/>
  <c r="E4696" i="1"/>
  <c r="C4697" i="1"/>
  <c r="D4697" i="1"/>
  <c r="E4697" i="1"/>
  <c r="C4698" i="1"/>
  <c r="D4698" i="1"/>
  <c r="E4698" i="1"/>
  <c r="C4699" i="1"/>
  <c r="D4699" i="1"/>
  <c r="E4699" i="1"/>
  <c r="C4700" i="1"/>
  <c r="D4700" i="1"/>
  <c r="E4700" i="1"/>
  <c r="C4701" i="1"/>
  <c r="D4701" i="1"/>
  <c r="E4701" i="1"/>
  <c r="C4702" i="1"/>
  <c r="D4702" i="1"/>
  <c r="E4702" i="1"/>
  <c r="C4703" i="1"/>
  <c r="D4703" i="1"/>
  <c r="E4703" i="1"/>
  <c r="C4704" i="1"/>
  <c r="D4704" i="1"/>
  <c r="E4704" i="1"/>
  <c r="C4705" i="1"/>
  <c r="D4705" i="1"/>
  <c r="E4705" i="1"/>
  <c r="C4706" i="1"/>
  <c r="D4706" i="1"/>
  <c r="E4706" i="1"/>
  <c r="C4707" i="1"/>
  <c r="D4707" i="1"/>
  <c r="E4707" i="1"/>
  <c r="C4708" i="1"/>
  <c r="D4708" i="1"/>
  <c r="E4708" i="1"/>
  <c r="C4709" i="1"/>
  <c r="D4709" i="1"/>
  <c r="E4709" i="1"/>
  <c r="C4710" i="1"/>
  <c r="D4710" i="1"/>
  <c r="E4710" i="1"/>
  <c r="C4711" i="1"/>
  <c r="D4711" i="1"/>
  <c r="E4711" i="1"/>
  <c r="C4712" i="1"/>
  <c r="D4712" i="1"/>
  <c r="E4712" i="1"/>
  <c r="C4713" i="1"/>
  <c r="D4713" i="1"/>
  <c r="E4713" i="1"/>
  <c r="C4714" i="1"/>
  <c r="D4714" i="1"/>
  <c r="E4714" i="1"/>
  <c r="C4715" i="1"/>
  <c r="D4715" i="1"/>
  <c r="E4715" i="1"/>
  <c r="C4716" i="1"/>
  <c r="D4716" i="1"/>
  <c r="E4716" i="1"/>
  <c r="C4717" i="1"/>
  <c r="D4717" i="1"/>
  <c r="E4717" i="1"/>
  <c r="C4718" i="1"/>
  <c r="D4718" i="1"/>
  <c r="E4718" i="1"/>
  <c r="C4719" i="1"/>
  <c r="D4719" i="1"/>
  <c r="E4719" i="1"/>
  <c r="C4720" i="1"/>
  <c r="D4720" i="1"/>
  <c r="E4720" i="1"/>
  <c r="C4721" i="1"/>
  <c r="D4721" i="1"/>
  <c r="E4721" i="1"/>
  <c r="C4722" i="1"/>
  <c r="D4722" i="1"/>
  <c r="E4722" i="1"/>
  <c r="C4723" i="1"/>
  <c r="D4723" i="1"/>
  <c r="E4723" i="1"/>
  <c r="C4724" i="1"/>
  <c r="D4724" i="1"/>
  <c r="E4724" i="1"/>
  <c r="C4725" i="1"/>
  <c r="D4725" i="1"/>
  <c r="E4725" i="1"/>
  <c r="C4726" i="1"/>
  <c r="D4726" i="1"/>
  <c r="E4726" i="1"/>
  <c r="C4727" i="1"/>
  <c r="D4727" i="1"/>
  <c r="E4727" i="1"/>
  <c r="C4728" i="1"/>
  <c r="D4728" i="1"/>
  <c r="E4728" i="1"/>
  <c r="C4729" i="1"/>
  <c r="D4729" i="1"/>
  <c r="E4729" i="1"/>
  <c r="C4730" i="1"/>
  <c r="D4730" i="1"/>
  <c r="E4730" i="1"/>
  <c r="C4731" i="1"/>
  <c r="D4731" i="1"/>
  <c r="E4731" i="1"/>
  <c r="C4732" i="1"/>
  <c r="D4732" i="1"/>
  <c r="E4732" i="1"/>
  <c r="C4733" i="1"/>
  <c r="D4733" i="1"/>
  <c r="E4733" i="1"/>
  <c r="C4734" i="1"/>
  <c r="D4734" i="1"/>
  <c r="E4734" i="1"/>
  <c r="C4735" i="1"/>
  <c r="D4735" i="1"/>
  <c r="E4735" i="1"/>
  <c r="C4736" i="1"/>
  <c r="D4736" i="1"/>
  <c r="E4736" i="1"/>
  <c r="C4737" i="1"/>
  <c r="D4737" i="1"/>
  <c r="E4737" i="1"/>
  <c r="C4738" i="1"/>
  <c r="D4738" i="1"/>
  <c r="E4738" i="1"/>
  <c r="C4739" i="1"/>
  <c r="D4739" i="1"/>
  <c r="E4739" i="1"/>
  <c r="C4740" i="1"/>
  <c r="D4740" i="1"/>
  <c r="E4740" i="1"/>
  <c r="C4741" i="1"/>
  <c r="D4741" i="1"/>
  <c r="E4741" i="1"/>
  <c r="C4742" i="1"/>
  <c r="D4742" i="1"/>
  <c r="E4742" i="1"/>
  <c r="C4743" i="1"/>
  <c r="D4743" i="1"/>
  <c r="E4743" i="1"/>
  <c r="C4744" i="1"/>
  <c r="D4744" i="1"/>
  <c r="E4744" i="1"/>
  <c r="C4745" i="1"/>
  <c r="D4745" i="1"/>
  <c r="E4745" i="1"/>
  <c r="C4746" i="1"/>
  <c r="D4746" i="1"/>
  <c r="E4746" i="1"/>
  <c r="C4747" i="1"/>
  <c r="D4747" i="1"/>
  <c r="E4747" i="1"/>
  <c r="C4748" i="1"/>
  <c r="D4748" i="1"/>
  <c r="E4748" i="1"/>
  <c r="C4749" i="1"/>
  <c r="D4749" i="1"/>
  <c r="E4749" i="1"/>
  <c r="C4750" i="1"/>
  <c r="D4750" i="1"/>
  <c r="E4750" i="1"/>
  <c r="C4751" i="1"/>
  <c r="D4751" i="1"/>
  <c r="E4751" i="1"/>
  <c r="C4752" i="1"/>
  <c r="D4752" i="1"/>
  <c r="E4752" i="1"/>
  <c r="C4753" i="1"/>
  <c r="D4753" i="1"/>
  <c r="E4753" i="1"/>
  <c r="C4754" i="1"/>
  <c r="D4754" i="1"/>
  <c r="E4754" i="1"/>
  <c r="C4755" i="1"/>
  <c r="D4755" i="1"/>
  <c r="E4755" i="1"/>
  <c r="C4756" i="1"/>
  <c r="D4756" i="1"/>
  <c r="E4756" i="1"/>
  <c r="C4757" i="1"/>
  <c r="D4757" i="1"/>
  <c r="E4757" i="1"/>
  <c r="C4758" i="1"/>
  <c r="D4758" i="1"/>
  <c r="E4758" i="1"/>
  <c r="C4759" i="1"/>
  <c r="D4759" i="1"/>
  <c r="E4759" i="1"/>
  <c r="C4760" i="1"/>
  <c r="D4760" i="1"/>
  <c r="E4760" i="1"/>
  <c r="C4761" i="1"/>
  <c r="D4761" i="1"/>
  <c r="E4761" i="1"/>
  <c r="C4762" i="1"/>
  <c r="D4762" i="1"/>
  <c r="E4762" i="1"/>
  <c r="C4763" i="1"/>
  <c r="D4763" i="1"/>
  <c r="E4763" i="1"/>
  <c r="C4764" i="1"/>
  <c r="D4764" i="1"/>
  <c r="E4764" i="1"/>
  <c r="C4765" i="1"/>
  <c r="D4765" i="1"/>
  <c r="E4765" i="1"/>
  <c r="C4766" i="1"/>
  <c r="D4766" i="1"/>
  <c r="E4766" i="1"/>
  <c r="C4767" i="1"/>
  <c r="D4767" i="1"/>
  <c r="E4767" i="1"/>
  <c r="C4768" i="1"/>
  <c r="D4768" i="1"/>
  <c r="E4768" i="1"/>
  <c r="C4769" i="1"/>
  <c r="D4769" i="1"/>
  <c r="E4769" i="1"/>
  <c r="C4770" i="1"/>
  <c r="D4770" i="1"/>
  <c r="E4770" i="1"/>
  <c r="C4771" i="1"/>
  <c r="D4771" i="1"/>
  <c r="E4771" i="1"/>
  <c r="C4772" i="1"/>
  <c r="D4772" i="1"/>
  <c r="E4772" i="1"/>
  <c r="C4773" i="1"/>
  <c r="D4773" i="1"/>
  <c r="E4773" i="1"/>
  <c r="C4774" i="1"/>
  <c r="D4774" i="1"/>
  <c r="E4774" i="1"/>
  <c r="C4775" i="1"/>
  <c r="D4775" i="1"/>
  <c r="E4775" i="1"/>
  <c r="C4776" i="1"/>
  <c r="D4776" i="1"/>
  <c r="E4776" i="1"/>
  <c r="C4777" i="1"/>
  <c r="D4777" i="1"/>
  <c r="E4777" i="1"/>
  <c r="C4778" i="1"/>
  <c r="D4778" i="1"/>
  <c r="E4778" i="1"/>
  <c r="C4779" i="1"/>
  <c r="D4779" i="1"/>
  <c r="E4779" i="1"/>
  <c r="C4780" i="1"/>
  <c r="D4780" i="1"/>
  <c r="E4780" i="1"/>
  <c r="C4781" i="1"/>
  <c r="D4781" i="1"/>
  <c r="E4781" i="1"/>
  <c r="C4782" i="1"/>
  <c r="D4782" i="1"/>
  <c r="E4782" i="1"/>
  <c r="C4783" i="1"/>
  <c r="D4783" i="1"/>
  <c r="E4783" i="1"/>
  <c r="C4784" i="1"/>
  <c r="D4784" i="1"/>
  <c r="E4784" i="1"/>
  <c r="C4785" i="1"/>
  <c r="D4785" i="1"/>
  <c r="E4785" i="1"/>
  <c r="C4786" i="1"/>
  <c r="D4786" i="1"/>
  <c r="E4786" i="1"/>
  <c r="C4787" i="1"/>
  <c r="D4787" i="1"/>
  <c r="E4787" i="1"/>
  <c r="C4788" i="1"/>
  <c r="D4788" i="1"/>
  <c r="E4788" i="1"/>
  <c r="C4789" i="1"/>
  <c r="D4789" i="1"/>
  <c r="E4789" i="1"/>
  <c r="C4790" i="1"/>
  <c r="D4790" i="1"/>
  <c r="E4790" i="1"/>
  <c r="C4791" i="1"/>
  <c r="D4791" i="1"/>
  <c r="E4791" i="1"/>
  <c r="C4792" i="1"/>
  <c r="D4792" i="1"/>
  <c r="E4792" i="1"/>
  <c r="C4793" i="1"/>
  <c r="D4793" i="1"/>
  <c r="E4793" i="1"/>
  <c r="C4794" i="1"/>
  <c r="D4794" i="1"/>
  <c r="E4794" i="1"/>
  <c r="C4795" i="1"/>
  <c r="D4795" i="1"/>
  <c r="E4795" i="1"/>
  <c r="C4796" i="1"/>
  <c r="D4796" i="1"/>
  <c r="E4796" i="1"/>
  <c r="C4797" i="1"/>
  <c r="D4797" i="1"/>
  <c r="E4797" i="1"/>
  <c r="C4798" i="1"/>
  <c r="D4798" i="1"/>
  <c r="E4798" i="1"/>
  <c r="C4799" i="1"/>
  <c r="D4799" i="1"/>
  <c r="E4799" i="1"/>
  <c r="C4800" i="1"/>
  <c r="D4800" i="1"/>
  <c r="E4800" i="1"/>
  <c r="C4801" i="1"/>
  <c r="D4801" i="1"/>
  <c r="E4801" i="1"/>
  <c r="C4802" i="1"/>
  <c r="D4802" i="1"/>
  <c r="E4802" i="1"/>
  <c r="C4803" i="1"/>
  <c r="D4803" i="1"/>
  <c r="E4803" i="1"/>
  <c r="C4804" i="1"/>
  <c r="D4804" i="1"/>
  <c r="E4804" i="1"/>
  <c r="C4805" i="1"/>
  <c r="D4805" i="1"/>
  <c r="E4805" i="1"/>
  <c r="C4806" i="1"/>
  <c r="D4806" i="1"/>
  <c r="E4806" i="1"/>
  <c r="C4807" i="1"/>
  <c r="D4807" i="1"/>
  <c r="E4807" i="1"/>
  <c r="C4808" i="1"/>
  <c r="D4808" i="1"/>
  <c r="E4808" i="1"/>
  <c r="C4809" i="1"/>
  <c r="D4809" i="1"/>
  <c r="E4809" i="1"/>
  <c r="C4810" i="1"/>
  <c r="D4810" i="1"/>
  <c r="E4810" i="1"/>
  <c r="C4811" i="1"/>
  <c r="D4811" i="1"/>
  <c r="E4811" i="1"/>
  <c r="C4812" i="1"/>
  <c r="D4812" i="1"/>
  <c r="E4812" i="1"/>
  <c r="C4813" i="1"/>
  <c r="D4813" i="1"/>
  <c r="E4813" i="1"/>
  <c r="C4814" i="1"/>
  <c r="D4814" i="1"/>
  <c r="E4814" i="1"/>
  <c r="C4815" i="1"/>
  <c r="D4815" i="1"/>
  <c r="E4815" i="1"/>
  <c r="C4816" i="1"/>
  <c r="D4816" i="1"/>
  <c r="E4816" i="1"/>
  <c r="C4817" i="1"/>
  <c r="D4817" i="1"/>
  <c r="E4817" i="1"/>
  <c r="C4818" i="1"/>
  <c r="D4818" i="1"/>
  <c r="E4818" i="1"/>
  <c r="C4819" i="1"/>
  <c r="D4819" i="1"/>
  <c r="E4819" i="1"/>
  <c r="C4820" i="1"/>
  <c r="D4820" i="1"/>
  <c r="E4820" i="1"/>
  <c r="C4821" i="1"/>
  <c r="D4821" i="1"/>
  <c r="E4821" i="1"/>
  <c r="C4822" i="1"/>
  <c r="D4822" i="1"/>
  <c r="E4822" i="1"/>
  <c r="C4823" i="1"/>
  <c r="D4823" i="1"/>
  <c r="E4823" i="1"/>
  <c r="C4824" i="1"/>
  <c r="D4824" i="1"/>
  <c r="E4824" i="1"/>
  <c r="C4825" i="1"/>
  <c r="D4825" i="1"/>
  <c r="E4825" i="1"/>
  <c r="C4826" i="1"/>
  <c r="D4826" i="1"/>
  <c r="E4826" i="1"/>
  <c r="C4827" i="1"/>
  <c r="D4827" i="1"/>
  <c r="E4827" i="1"/>
  <c r="C4828" i="1"/>
  <c r="D4828" i="1"/>
  <c r="E4828" i="1"/>
  <c r="C4829" i="1"/>
  <c r="D4829" i="1"/>
  <c r="E4829" i="1"/>
  <c r="C4830" i="1"/>
  <c r="D4830" i="1"/>
  <c r="E4830" i="1"/>
  <c r="C4831" i="1"/>
  <c r="D4831" i="1"/>
  <c r="E4831" i="1"/>
  <c r="C4832" i="1"/>
  <c r="D4832" i="1"/>
  <c r="E4832" i="1"/>
  <c r="C4833" i="1"/>
  <c r="D4833" i="1"/>
  <c r="E4833" i="1"/>
  <c r="C4834" i="1"/>
  <c r="D4834" i="1"/>
  <c r="E4834" i="1"/>
  <c r="C4835" i="1"/>
  <c r="D4835" i="1"/>
  <c r="E4835" i="1"/>
  <c r="C4836" i="1"/>
  <c r="D4836" i="1"/>
  <c r="E4836" i="1"/>
  <c r="C4837" i="1"/>
  <c r="D4837" i="1"/>
  <c r="E4837" i="1"/>
  <c r="C4838" i="1"/>
  <c r="D4838" i="1"/>
  <c r="E4838" i="1"/>
  <c r="C4839" i="1"/>
  <c r="D4839" i="1"/>
  <c r="E4839" i="1"/>
  <c r="C4840" i="1"/>
  <c r="D4840" i="1"/>
  <c r="E4840" i="1"/>
  <c r="C4841" i="1"/>
  <c r="D4841" i="1"/>
  <c r="E4841" i="1"/>
  <c r="C4842" i="1"/>
  <c r="D4842" i="1"/>
  <c r="E4842" i="1"/>
  <c r="C4843" i="1"/>
  <c r="D4843" i="1"/>
  <c r="E4843" i="1"/>
  <c r="C4844" i="1"/>
  <c r="D4844" i="1"/>
  <c r="E4844" i="1"/>
  <c r="C4845" i="1"/>
  <c r="D4845" i="1"/>
  <c r="E4845" i="1"/>
  <c r="C4846" i="1"/>
  <c r="D4846" i="1"/>
  <c r="E4846" i="1"/>
  <c r="C4847" i="1"/>
  <c r="D4847" i="1"/>
  <c r="E4847" i="1"/>
  <c r="C4848" i="1"/>
  <c r="D4848" i="1"/>
  <c r="E4848" i="1"/>
  <c r="C4849" i="1"/>
  <c r="D4849" i="1"/>
  <c r="E4849" i="1"/>
  <c r="C4850" i="1"/>
  <c r="D4850" i="1"/>
  <c r="E4850" i="1"/>
  <c r="C4851" i="1"/>
  <c r="D4851" i="1"/>
  <c r="E4851" i="1"/>
  <c r="C4852" i="1"/>
  <c r="D4852" i="1"/>
  <c r="E4852" i="1"/>
  <c r="C4853" i="1"/>
  <c r="D4853" i="1"/>
  <c r="E4853" i="1"/>
  <c r="C4854" i="1"/>
  <c r="D4854" i="1"/>
  <c r="E4854" i="1"/>
  <c r="C4855" i="1"/>
  <c r="D4855" i="1"/>
  <c r="E4855" i="1"/>
  <c r="C4856" i="1"/>
  <c r="D4856" i="1"/>
  <c r="E4856" i="1"/>
  <c r="C4857" i="1"/>
  <c r="D4857" i="1"/>
  <c r="E4857" i="1"/>
  <c r="C4858" i="1"/>
  <c r="D4858" i="1"/>
  <c r="E4858" i="1"/>
  <c r="C4859" i="1"/>
  <c r="D4859" i="1"/>
  <c r="E4859" i="1"/>
  <c r="C4860" i="1"/>
  <c r="D4860" i="1"/>
  <c r="E4860" i="1"/>
  <c r="C4861" i="1"/>
  <c r="D4861" i="1"/>
  <c r="E4861" i="1"/>
  <c r="C4862" i="1"/>
  <c r="D4862" i="1"/>
  <c r="E4862" i="1"/>
  <c r="C4863" i="1"/>
  <c r="D4863" i="1"/>
  <c r="E4863" i="1"/>
  <c r="C4864" i="1"/>
  <c r="D4864" i="1"/>
  <c r="E4864" i="1"/>
  <c r="C4865" i="1"/>
  <c r="D4865" i="1"/>
  <c r="E4865" i="1"/>
  <c r="C4866" i="1"/>
  <c r="D4866" i="1"/>
  <c r="E4866" i="1"/>
  <c r="C4867" i="1"/>
  <c r="D4867" i="1"/>
  <c r="E4867" i="1"/>
  <c r="C4868" i="1"/>
  <c r="D4868" i="1"/>
  <c r="E4868" i="1"/>
  <c r="C4869" i="1"/>
  <c r="D4869" i="1"/>
  <c r="E4869" i="1"/>
  <c r="C4870" i="1"/>
  <c r="D4870" i="1"/>
  <c r="E4870" i="1"/>
  <c r="C4871" i="1"/>
  <c r="D4871" i="1"/>
  <c r="E4871" i="1"/>
  <c r="C4872" i="1"/>
  <c r="D4872" i="1"/>
  <c r="E4872" i="1"/>
  <c r="C4873" i="1"/>
  <c r="D4873" i="1"/>
  <c r="E4873" i="1"/>
  <c r="C4874" i="1"/>
  <c r="D4874" i="1"/>
  <c r="E4874" i="1"/>
  <c r="C4875" i="1"/>
  <c r="D4875" i="1"/>
  <c r="E4875" i="1"/>
  <c r="C4876" i="1"/>
  <c r="D4876" i="1"/>
  <c r="E4876" i="1"/>
  <c r="C4877" i="1"/>
  <c r="D4877" i="1"/>
  <c r="E4877" i="1"/>
  <c r="C4878" i="1"/>
  <c r="D4878" i="1"/>
  <c r="E4878" i="1"/>
  <c r="C4879" i="1"/>
  <c r="D4879" i="1"/>
  <c r="E4879" i="1"/>
  <c r="C4880" i="1"/>
  <c r="D4880" i="1"/>
  <c r="E4880" i="1"/>
  <c r="C4881" i="1"/>
  <c r="D4881" i="1"/>
  <c r="E4881" i="1"/>
  <c r="C4882" i="1"/>
  <c r="D4882" i="1"/>
  <c r="E4882" i="1"/>
  <c r="C4883" i="1"/>
  <c r="D4883" i="1"/>
  <c r="E4883" i="1"/>
  <c r="C4884" i="1"/>
  <c r="D4884" i="1"/>
  <c r="E4884" i="1"/>
  <c r="C4885" i="1"/>
  <c r="D4885" i="1"/>
  <c r="E4885" i="1"/>
  <c r="C4886" i="1"/>
  <c r="D4886" i="1"/>
  <c r="E4886" i="1"/>
  <c r="C4887" i="1"/>
  <c r="D4887" i="1"/>
  <c r="E4887" i="1"/>
  <c r="C4888" i="1"/>
  <c r="D4888" i="1"/>
  <c r="E4888" i="1"/>
  <c r="C4889" i="1"/>
  <c r="D4889" i="1"/>
  <c r="E4889" i="1"/>
  <c r="C4890" i="1"/>
  <c r="D4890" i="1"/>
  <c r="E4890" i="1"/>
  <c r="C4891" i="1"/>
  <c r="D4891" i="1"/>
  <c r="E4891" i="1"/>
  <c r="C4892" i="1"/>
  <c r="D4892" i="1"/>
  <c r="E4892" i="1"/>
  <c r="C4893" i="1"/>
  <c r="D4893" i="1"/>
  <c r="E4893" i="1"/>
  <c r="C4894" i="1"/>
  <c r="D4894" i="1"/>
  <c r="E4894" i="1"/>
  <c r="C4895" i="1"/>
  <c r="D4895" i="1"/>
  <c r="E4895" i="1"/>
  <c r="C4896" i="1"/>
  <c r="D4896" i="1"/>
  <c r="E4896" i="1"/>
  <c r="C4897" i="1"/>
  <c r="D4897" i="1"/>
  <c r="E4897" i="1"/>
  <c r="C4898" i="1"/>
  <c r="D4898" i="1"/>
  <c r="E4898" i="1"/>
  <c r="C4899" i="1"/>
  <c r="D4899" i="1"/>
  <c r="E4899" i="1"/>
  <c r="C4900" i="1"/>
  <c r="D4900" i="1"/>
  <c r="E4900" i="1"/>
  <c r="C4901" i="1"/>
  <c r="D4901" i="1"/>
  <c r="E4901" i="1"/>
  <c r="C4902" i="1"/>
  <c r="D4902" i="1"/>
  <c r="E4902" i="1"/>
  <c r="C4903" i="1"/>
  <c r="D4903" i="1"/>
  <c r="E4903" i="1"/>
  <c r="C4904" i="1"/>
  <c r="D4904" i="1"/>
  <c r="E4904" i="1"/>
  <c r="C4905" i="1"/>
  <c r="D4905" i="1"/>
  <c r="E4905" i="1"/>
  <c r="C4906" i="1"/>
  <c r="D4906" i="1"/>
  <c r="E4906" i="1"/>
  <c r="C4907" i="1"/>
  <c r="D4907" i="1"/>
  <c r="E4907" i="1"/>
  <c r="C4908" i="1"/>
  <c r="D4908" i="1"/>
  <c r="E4908" i="1"/>
  <c r="C4909" i="1"/>
  <c r="D4909" i="1"/>
  <c r="E4909" i="1"/>
  <c r="C4910" i="1"/>
  <c r="D4910" i="1"/>
  <c r="E4910" i="1"/>
  <c r="C4911" i="1"/>
  <c r="D4911" i="1"/>
  <c r="E4911" i="1"/>
  <c r="C4912" i="1"/>
  <c r="D4912" i="1"/>
  <c r="E4912" i="1"/>
  <c r="C4913" i="1"/>
  <c r="D4913" i="1"/>
  <c r="E4913" i="1"/>
  <c r="C4914" i="1"/>
  <c r="D4914" i="1"/>
  <c r="E4914" i="1"/>
  <c r="C4915" i="1"/>
  <c r="D4915" i="1"/>
  <c r="E4915" i="1"/>
  <c r="C4916" i="1"/>
  <c r="D4916" i="1"/>
  <c r="E4916" i="1"/>
  <c r="C4917" i="1"/>
  <c r="D4917" i="1"/>
  <c r="E4917" i="1"/>
  <c r="C4918" i="1"/>
  <c r="D4918" i="1"/>
  <c r="E4918" i="1"/>
  <c r="C4919" i="1"/>
  <c r="D4919" i="1"/>
  <c r="E4919" i="1"/>
  <c r="C4920" i="1"/>
  <c r="D4920" i="1"/>
  <c r="E4920" i="1"/>
  <c r="C4921" i="1"/>
  <c r="D4921" i="1"/>
  <c r="E4921" i="1"/>
  <c r="C4922" i="1"/>
  <c r="D4922" i="1"/>
  <c r="E4922" i="1"/>
  <c r="C4923" i="1"/>
  <c r="D4923" i="1"/>
  <c r="E4923" i="1"/>
  <c r="C4924" i="1"/>
  <c r="D4924" i="1"/>
  <c r="E4924" i="1"/>
  <c r="C4925" i="1"/>
  <c r="D4925" i="1"/>
  <c r="E4925" i="1"/>
  <c r="C4926" i="1"/>
  <c r="D4926" i="1"/>
  <c r="E4926" i="1"/>
  <c r="C4927" i="1"/>
  <c r="D4927" i="1"/>
  <c r="E4927" i="1"/>
  <c r="C4928" i="1"/>
  <c r="D4928" i="1"/>
  <c r="E4928" i="1"/>
  <c r="C4929" i="1"/>
  <c r="D4929" i="1"/>
  <c r="E4929" i="1"/>
  <c r="C4930" i="1"/>
  <c r="D4930" i="1"/>
  <c r="E4930" i="1"/>
  <c r="C4931" i="1"/>
  <c r="D4931" i="1"/>
  <c r="E4931" i="1"/>
  <c r="C4932" i="1"/>
  <c r="D4932" i="1"/>
  <c r="E4932" i="1"/>
  <c r="C4933" i="1"/>
  <c r="D4933" i="1"/>
  <c r="E4933" i="1"/>
  <c r="C4934" i="1"/>
  <c r="D4934" i="1"/>
  <c r="E4934" i="1"/>
  <c r="C4935" i="1"/>
  <c r="D4935" i="1"/>
  <c r="E4935" i="1"/>
  <c r="C4936" i="1"/>
  <c r="D4936" i="1"/>
  <c r="E4936" i="1"/>
  <c r="C4937" i="1"/>
  <c r="D4937" i="1"/>
  <c r="E4937" i="1"/>
  <c r="C4938" i="1"/>
  <c r="D4938" i="1"/>
  <c r="E4938" i="1"/>
  <c r="C4939" i="1"/>
  <c r="D4939" i="1"/>
  <c r="E4939" i="1"/>
  <c r="C4940" i="1"/>
  <c r="D4940" i="1"/>
  <c r="E4940" i="1"/>
  <c r="C4941" i="1"/>
  <c r="D4941" i="1"/>
  <c r="E4941" i="1"/>
  <c r="C4942" i="1"/>
  <c r="D4942" i="1"/>
  <c r="E4942" i="1"/>
  <c r="C4943" i="1"/>
  <c r="D4943" i="1"/>
  <c r="E4943" i="1"/>
  <c r="C4944" i="1"/>
  <c r="D4944" i="1"/>
  <c r="E4944" i="1"/>
  <c r="C4945" i="1"/>
  <c r="D4945" i="1"/>
  <c r="E4945" i="1"/>
  <c r="C4946" i="1"/>
  <c r="D4946" i="1"/>
  <c r="E4946" i="1"/>
  <c r="C4947" i="1"/>
  <c r="D4947" i="1"/>
  <c r="E4947" i="1"/>
  <c r="C4948" i="1"/>
  <c r="D4948" i="1"/>
  <c r="E4948" i="1"/>
  <c r="C4949" i="1"/>
  <c r="D4949" i="1"/>
  <c r="E4949" i="1"/>
  <c r="C4950" i="1"/>
  <c r="D4950" i="1"/>
  <c r="E4950" i="1"/>
  <c r="C4951" i="1"/>
  <c r="D4951" i="1"/>
  <c r="E4951" i="1"/>
  <c r="C4952" i="1"/>
  <c r="D4952" i="1"/>
  <c r="E4952" i="1"/>
  <c r="C4953" i="1"/>
  <c r="D4953" i="1"/>
  <c r="E4953" i="1"/>
  <c r="C4954" i="1"/>
  <c r="D4954" i="1"/>
  <c r="E4954" i="1"/>
  <c r="C4955" i="1"/>
  <c r="D4955" i="1"/>
  <c r="E4955" i="1"/>
  <c r="C4956" i="1"/>
  <c r="D4956" i="1"/>
  <c r="E4956" i="1"/>
  <c r="C4957" i="1"/>
  <c r="D4957" i="1"/>
  <c r="E4957" i="1"/>
  <c r="C4958" i="1"/>
  <c r="D4958" i="1"/>
  <c r="E4958" i="1"/>
  <c r="C4959" i="1"/>
  <c r="D4959" i="1"/>
  <c r="E4959" i="1"/>
  <c r="C4960" i="1"/>
  <c r="D4960" i="1"/>
  <c r="E4960" i="1"/>
  <c r="C4961" i="1"/>
  <c r="D4961" i="1"/>
  <c r="E4961" i="1"/>
  <c r="C4962" i="1"/>
  <c r="D4962" i="1"/>
  <c r="E4962" i="1"/>
  <c r="C4963" i="1"/>
  <c r="D4963" i="1"/>
  <c r="E4963" i="1"/>
  <c r="C4964" i="1"/>
  <c r="D4964" i="1"/>
  <c r="E4964" i="1"/>
  <c r="C4965" i="1"/>
  <c r="D4965" i="1"/>
  <c r="E4965" i="1"/>
  <c r="C4966" i="1"/>
  <c r="D4966" i="1"/>
  <c r="E4966" i="1"/>
  <c r="C4967" i="1"/>
  <c r="D4967" i="1"/>
  <c r="E4967" i="1"/>
  <c r="C4968" i="1"/>
  <c r="D4968" i="1"/>
  <c r="E4968" i="1"/>
  <c r="C4969" i="1"/>
  <c r="D4969" i="1"/>
  <c r="E4969" i="1"/>
  <c r="C4970" i="1"/>
  <c r="D4970" i="1"/>
  <c r="E4970" i="1"/>
  <c r="C4971" i="1"/>
  <c r="D4971" i="1"/>
  <c r="E4971" i="1"/>
  <c r="C4972" i="1"/>
  <c r="D4972" i="1"/>
  <c r="E4972" i="1"/>
  <c r="C4973" i="1"/>
  <c r="D4973" i="1"/>
  <c r="E4973" i="1"/>
  <c r="C4974" i="1"/>
  <c r="D4974" i="1"/>
  <c r="E4974" i="1"/>
  <c r="C4975" i="1"/>
  <c r="D4975" i="1"/>
  <c r="E4975" i="1"/>
  <c r="C4976" i="1"/>
  <c r="D4976" i="1"/>
  <c r="E4976" i="1"/>
  <c r="C4977" i="1"/>
  <c r="D4977" i="1"/>
  <c r="E4977" i="1"/>
  <c r="C4978" i="1"/>
  <c r="D4978" i="1"/>
  <c r="E4978" i="1"/>
  <c r="C4979" i="1"/>
  <c r="D4979" i="1"/>
  <c r="E4979" i="1"/>
  <c r="C4980" i="1"/>
  <c r="D4980" i="1"/>
  <c r="E4980" i="1"/>
  <c r="C4981" i="1"/>
  <c r="D4981" i="1"/>
  <c r="E4981" i="1"/>
  <c r="C4982" i="1"/>
  <c r="D4982" i="1"/>
  <c r="E4982" i="1"/>
  <c r="C4983" i="1"/>
  <c r="D4983" i="1"/>
  <c r="E4983" i="1"/>
  <c r="C4984" i="1"/>
  <c r="D4984" i="1"/>
  <c r="E4984" i="1"/>
  <c r="C4985" i="1"/>
  <c r="D4985" i="1"/>
  <c r="E4985" i="1"/>
  <c r="C4986" i="1"/>
  <c r="D4986" i="1"/>
  <c r="E4986" i="1"/>
  <c r="C4987" i="1"/>
  <c r="D4987" i="1"/>
  <c r="E4987" i="1"/>
  <c r="C4988" i="1"/>
  <c r="D4988" i="1"/>
  <c r="E4988" i="1"/>
  <c r="C4989" i="1"/>
  <c r="D4989" i="1"/>
  <c r="E4989" i="1"/>
  <c r="C4990" i="1"/>
  <c r="D4990" i="1"/>
  <c r="E4990" i="1"/>
  <c r="C4991" i="1"/>
  <c r="D4991" i="1"/>
  <c r="E4991" i="1"/>
  <c r="C4992" i="1"/>
  <c r="D4992" i="1"/>
  <c r="E4992" i="1"/>
  <c r="C4993" i="1"/>
  <c r="D4993" i="1"/>
  <c r="E4993" i="1"/>
  <c r="C4994" i="1"/>
  <c r="D4994" i="1"/>
  <c r="E4994" i="1"/>
  <c r="C4995" i="1"/>
  <c r="D4995" i="1"/>
  <c r="E4995" i="1"/>
  <c r="C4996" i="1"/>
  <c r="D4996" i="1"/>
  <c r="E4996" i="1"/>
  <c r="C4997" i="1"/>
  <c r="D4997" i="1"/>
  <c r="E4997" i="1"/>
  <c r="C4998" i="1"/>
  <c r="D4998" i="1"/>
  <c r="E4998" i="1"/>
  <c r="C4999" i="1"/>
  <c r="D4999" i="1"/>
  <c r="E4999" i="1"/>
  <c r="C5000" i="1"/>
  <c r="D5000" i="1"/>
  <c r="E5000" i="1"/>
  <c r="C5001" i="1"/>
  <c r="D5001" i="1"/>
  <c r="E5001" i="1"/>
  <c r="C5002" i="1"/>
  <c r="D5002" i="1"/>
  <c r="E5002" i="1"/>
  <c r="C5003" i="1"/>
  <c r="D5003" i="1"/>
  <c r="E5003" i="1"/>
  <c r="C5004" i="1"/>
  <c r="D5004" i="1"/>
  <c r="E5004" i="1"/>
  <c r="C5005" i="1"/>
  <c r="D5005" i="1"/>
  <c r="E5005" i="1"/>
  <c r="C5006" i="1"/>
  <c r="D5006" i="1"/>
  <c r="E5006" i="1"/>
  <c r="C5007" i="1"/>
  <c r="D5007" i="1"/>
  <c r="E5007" i="1"/>
  <c r="C5008" i="1"/>
  <c r="D5008" i="1"/>
  <c r="E5008" i="1"/>
  <c r="C5009" i="1"/>
  <c r="D5009" i="1"/>
  <c r="E5009" i="1"/>
  <c r="C5010" i="1"/>
  <c r="D5010" i="1"/>
  <c r="E5010" i="1"/>
  <c r="C5011" i="1"/>
  <c r="D5011" i="1"/>
  <c r="E5011" i="1"/>
  <c r="C5012" i="1"/>
  <c r="D5012" i="1"/>
  <c r="E5012" i="1"/>
  <c r="C5013" i="1"/>
  <c r="D5013" i="1"/>
  <c r="E5013" i="1"/>
  <c r="C5014" i="1"/>
  <c r="D5014" i="1"/>
  <c r="E5014" i="1"/>
  <c r="C5015" i="1"/>
  <c r="D5015" i="1"/>
  <c r="E5015" i="1"/>
  <c r="C5016" i="1"/>
  <c r="D5016" i="1"/>
  <c r="E5016" i="1"/>
  <c r="C5017" i="1"/>
  <c r="D5017" i="1"/>
  <c r="E5017" i="1"/>
  <c r="C5018" i="1"/>
  <c r="D5018" i="1"/>
  <c r="E5018" i="1"/>
  <c r="C5019" i="1"/>
  <c r="D5019" i="1"/>
  <c r="E5019" i="1"/>
  <c r="C5020" i="1"/>
  <c r="D5020" i="1"/>
  <c r="E5020" i="1"/>
  <c r="C5021" i="1"/>
  <c r="D5021" i="1"/>
  <c r="E5021" i="1"/>
  <c r="C5022" i="1"/>
  <c r="D5022" i="1"/>
  <c r="E5022" i="1"/>
  <c r="C5023" i="1"/>
  <c r="D5023" i="1"/>
  <c r="E5023" i="1"/>
  <c r="C5024" i="1"/>
  <c r="D5024" i="1"/>
  <c r="E5024" i="1"/>
  <c r="C5025" i="1"/>
  <c r="D5025" i="1"/>
  <c r="E5025" i="1"/>
  <c r="C5026" i="1"/>
  <c r="D5026" i="1"/>
  <c r="E5026" i="1"/>
  <c r="C5027" i="1"/>
  <c r="D5027" i="1"/>
  <c r="E5027" i="1"/>
  <c r="C5028" i="1"/>
  <c r="D5028" i="1"/>
  <c r="E5028" i="1"/>
  <c r="C5029" i="1"/>
  <c r="D5029" i="1"/>
  <c r="E5029" i="1"/>
  <c r="C5030" i="1"/>
  <c r="D5030" i="1"/>
  <c r="E5030" i="1"/>
  <c r="C5031" i="1"/>
  <c r="D5031" i="1"/>
  <c r="E5031" i="1"/>
  <c r="C5032" i="1"/>
  <c r="D5032" i="1"/>
  <c r="E5032" i="1"/>
  <c r="C5033" i="1"/>
  <c r="D5033" i="1"/>
  <c r="E5033" i="1"/>
  <c r="C5034" i="1"/>
  <c r="D5034" i="1"/>
  <c r="E5034" i="1"/>
  <c r="C5035" i="1"/>
  <c r="D5035" i="1"/>
  <c r="E5035" i="1"/>
  <c r="C5036" i="1"/>
  <c r="D5036" i="1"/>
  <c r="E5036" i="1"/>
  <c r="C5037" i="1"/>
  <c r="D5037" i="1"/>
  <c r="E5037" i="1"/>
  <c r="C5038" i="1"/>
  <c r="D5038" i="1"/>
  <c r="E5038" i="1"/>
  <c r="C5039" i="1"/>
  <c r="D5039" i="1"/>
  <c r="E5039" i="1"/>
  <c r="C5040" i="1"/>
  <c r="D5040" i="1"/>
  <c r="E5040" i="1"/>
  <c r="C5041" i="1"/>
  <c r="D5041" i="1"/>
  <c r="E5041" i="1"/>
  <c r="C5042" i="1"/>
  <c r="D5042" i="1"/>
  <c r="E5042" i="1"/>
  <c r="C5043" i="1"/>
  <c r="D5043" i="1"/>
  <c r="E5043" i="1"/>
  <c r="C5044" i="1"/>
  <c r="D5044" i="1"/>
  <c r="E5044" i="1"/>
  <c r="C5045" i="1"/>
  <c r="D5045" i="1"/>
  <c r="E5045" i="1"/>
  <c r="C5046" i="1"/>
  <c r="D5046" i="1"/>
  <c r="E5046" i="1"/>
  <c r="C5047" i="1"/>
  <c r="D5047" i="1"/>
  <c r="E5047" i="1"/>
  <c r="C5048" i="1"/>
  <c r="D5048" i="1"/>
  <c r="E5048" i="1"/>
  <c r="C5049" i="1"/>
  <c r="D5049" i="1"/>
  <c r="E5049" i="1"/>
  <c r="C5050" i="1"/>
  <c r="D5050" i="1"/>
  <c r="E5050" i="1"/>
  <c r="C5051" i="1"/>
  <c r="D5051" i="1"/>
  <c r="E5051" i="1"/>
  <c r="C5052" i="1"/>
  <c r="D5052" i="1"/>
  <c r="E5052" i="1"/>
  <c r="C5053" i="1"/>
  <c r="D5053" i="1"/>
  <c r="E5053" i="1"/>
  <c r="C5054" i="1"/>
  <c r="D5054" i="1"/>
  <c r="E5054" i="1"/>
  <c r="C5055" i="1"/>
  <c r="D5055" i="1"/>
  <c r="E5055" i="1"/>
  <c r="C5056" i="1"/>
  <c r="D5056" i="1"/>
  <c r="E5056" i="1"/>
  <c r="C5057" i="1"/>
  <c r="D5057" i="1"/>
  <c r="E5057" i="1"/>
  <c r="C5058" i="1"/>
  <c r="D5058" i="1"/>
  <c r="E5058" i="1"/>
  <c r="C5059" i="1"/>
  <c r="D5059" i="1"/>
  <c r="E5059" i="1"/>
  <c r="C5060" i="1"/>
  <c r="D5060" i="1"/>
  <c r="E5060" i="1"/>
  <c r="C5061" i="1"/>
  <c r="D5061" i="1"/>
  <c r="E5061" i="1"/>
  <c r="C5062" i="1"/>
  <c r="D5062" i="1"/>
  <c r="E5062" i="1"/>
  <c r="C5063" i="1"/>
  <c r="D5063" i="1"/>
  <c r="E5063" i="1"/>
  <c r="C5064" i="1"/>
  <c r="D5064" i="1"/>
  <c r="E5064" i="1"/>
  <c r="C5065" i="1"/>
  <c r="D5065" i="1"/>
  <c r="E5065" i="1"/>
  <c r="C5066" i="1"/>
  <c r="D5066" i="1"/>
  <c r="E5066" i="1"/>
  <c r="C5067" i="1"/>
  <c r="D5067" i="1"/>
  <c r="E5067" i="1"/>
  <c r="C5068" i="1"/>
  <c r="D5068" i="1"/>
  <c r="E5068" i="1"/>
  <c r="C5069" i="1"/>
  <c r="D5069" i="1"/>
  <c r="E5069" i="1"/>
  <c r="C5070" i="1"/>
  <c r="D5070" i="1"/>
  <c r="E5070" i="1"/>
  <c r="C5071" i="1"/>
  <c r="D5071" i="1"/>
  <c r="E5071" i="1"/>
  <c r="C5072" i="1"/>
  <c r="D5072" i="1"/>
  <c r="E5072" i="1"/>
  <c r="C5073" i="1"/>
  <c r="D5073" i="1"/>
  <c r="E5073" i="1"/>
  <c r="C5074" i="1"/>
  <c r="D5074" i="1"/>
  <c r="E5074" i="1"/>
  <c r="C5075" i="1"/>
  <c r="D5075" i="1"/>
  <c r="E5075" i="1"/>
  <c r="C5076" i="1"/>
  <c r="D5076" i="1"/>
  <c r="E5076" i="1"/>
  <c r="C5077" i="1"/>
  <c r="D5077" i="1"/>
  <c r="E5077" i="1"/>
  <c r="C5078" i="1"/>
  <c r="D5078" i="1"/>
  <c r="E5078" i="1"/>
  <c r="C5079" i="1"/>
  <c r="D5079" i="1"/>
  <c r="E5079" i="1"/>
  <c r="C5080" i="1"/>
  <c r="D5080" i="1"/>
  <c r="E5080" i="1"/>
  <c r="C5081" i="1"/>
  <c r="D5081" i="1"/>
  <c r="E5081" i="1"/>
  <c r="C5082" i="1"/>
  <c r="D5082" i="1"/>
  <c r="E5082" i="1"/>
  <c r="C5083" i="1"/>
  <c r="D5083" i="1"/>
  <c r="E5083" i="1"/>
  <c r="C5084" i="1"/>
  <c r="D5084" i="1"/>
  <c r="E5084" i="1"/>
  <c r="C5085" i="1"/>
  <c r="D5085" i="1"/>
  <c r="E5085" i="1"/>
  <c r="C5086" i="1"/>
  <c r="D5086" i="1"/>
  <c r="E5086" i="1"/>
  <c r="C5087" i="1"/>
  <c r="D5087" i="1"/>
  <c r="E5087" i="1"/>
  <c r="C5088" i="1"/>
  <c r="D5088" i="1"/>
  <c r="E5088" i="1"/>
  <c r="C5089" i="1"/>
  <c r="D5089" i="1"/>
  <c r="E5089" i="1"/>
  <c r="C5090" i="1"/>
  <c r="D5090" i="1"/>
  <c r="E5090" i="1"/>
  <c r="C5091" i="1"/>
  <c r="D5091" i="1"/>
  <c r="E5091" i="1"/>
  <c r="C5092" i="1"/>
  <c r="D5092" i="1"/>
  <c r="E5092" i="1"/>
  <c r="C5093" i="1"/>
  <c r="D5093" i="1"/>
  <c r="E5093" i="1"/>
  <c r="C5094" i="1"/>
  <c r="D5094" i="1"/>
  <c r="E5094" i="1"/>
  <c r="C5095" i="1"/>
  <c r="D5095" i="1"/>
  <c r="E5095" i="1"/>
  <c r="C5096" i="1"/>
  <c r="D5096" i="1"/>
  <c r="E5096" i="1"/>
  <c r="C5097" i="1"/>
  <c r="D5097" i="1"/>
  <c r="E5097" i="1"/>
  <c r="C5098" i="1"/>
  <c r="D5098" i="1"/>
  <c r="E5098" i="1"/>
  <c r="C5099" i="1"/>
  <c r="D5099" i="1"/>
  <c r="E5099" i="1"/>
  <c r="C5100" i="1"/>
  <c r="D5100" i="1"/>
  <c r="E5100" i="1"/>
  <c r="C5101" i="1"/>
  <c r="D5101" i="1"/>
  <c r="E5101" i="1"/>
  <c r="C5102" i="1"/>
  <c r="D5102" i="1"/>
  <c r="E5102" i="1"/>
  <c r="C5103" i="1"/>
  <c r="D5103" i="1"/>
  <c r="E5103" i="1"/>
  <c r="C5104" i="1"/>
  <c r="D5104" i="1"/>
  <c r="E5104" i="1"/>
  <c r="C5105" i="1"/>
  <c r="D5105" i="1"/>
  <c r="E5105" i="1"/>
  <c r="C5106" i="1"/>
  <c r="D5106" i="1"/>
  <c r="E5106" i="1"/>
  <c r="C5107" i="1"/>
  <c r="D5107" i="1"/>
  <c r="E5107" i="1"/>
  <c r="C5108" i="1"/>
  <c r="D5108" i="1"/>
  <c r="E5108" i="1"/>
  <c r="C5109" i="1"/>
  <c r="D5109" i="1"/>
  <c r="E5109" i="1"/>
  <c r="C5110" i="1"/>
  <c r="D5110" i="1"/>
  <c r="E5110" i="1"/>
  <c r="C5111" i="1"/>
  <c r="D5111" i="1"/>
  <c r="E5111" i="1"/>
  <c r="C5112" i="1"/>
  <c r="D5112" i="1"/>
  <c r="E5112" i="1"/>
  <c r="C5113" i="1"/>
  <c r="D5113" i="1"/>
  <c r="E5113" i="1"/>
  <c r="C5114" i="1"/>
  <c r="D5114" i="1"/>
  <c r="E5114" i="1"/>
  <c r="C5115" i="1"/>
  <c r="D5115" i="1"/>
  <c r="E5115" i="1"/>
  <c r="C5116" i="1"/>
  <c r="D5116" i="1"/>
  <c r="E5116" i="1"/>
  <c r="C5117" i="1"/>
  <c r="D5117" i="1"/>
  <c r="E5117" i="1"/>
  <c r="C5118" i="1"/>
  <c r="D5118" i="1"/>
  <c r="E5118" i="1"/>
  <c r="C5119" i="1"/>
  <c r="D5119" i="1"/>
  <c r="E5119" i="1"/>
  <c r="C5120" i="1"/>
  <c r="D5120" i="1"/>
  <c r="E5120" i="1"/>
  <c r="C5121" i="1"/>
  <c r="D5121" i="1"/>
  <c r="E5121" i="1"/>
  <c r="C5122" i="1"/>
  <c r="D5122" i="1"/>
  <c r="E5122" i="1"/>
  <c r="C5123" i="1"/>
  <c r="D5123" i="1"/>
  <c r="E5123" i="1"/>
  <c r="C5124" i="1"/>
  <c r="D5124" i="1"/>
  <c r="E5124" i="1"/>
  <c r="C5125" i="1"/>
  <c r="D5125" i="1"/>
  <c r="E5125" i="1"/>
  <c r="C5126" i="1"/>
  <c r="D5126" i="1"/>
  <c r="E5126" i="1"/>
  <c r="C5127" i="1"/>
  <c r="D5127" i="1"/>
  <c r="E5127" i="1"/>
  <c r="C5128" i="1"/>
  <c r="D5128" i="1"/>
  <c r="E5128" i="1"/>
  <c r="C5129" i="1"/>
  <c r="D5129" i="1"/>
  <c r="E5129" i="1"/>
  <c r="C5130" i="1"/>
  <c r="D5130" i="1"/>
  <c r="E5130" i="1"/>
  <c r="C5131" i="1"/>
  <c r="D5131" i="1"/>
  <c r="E5131" i="1"/>
  <c r="C5132" i="1"/>
  <c r="D5132" i="1"/>
  <c r="E5132" i="1"/>
  <c r="C5133" i="1"/>
  <c r="D5133" i="1"/>
  <c r="E5133" i="1"/>
  <c r="C5134" i="1"/>
  <c r="D5134" i="1"/>
  <c r="E5134" i="1"/>
  <c r="C5135" i="1"/>
  <c r="D5135" i="1"/>
  <c r="E5135" i="1"/>
  <c r="C5136" i="1"/>
  <c r="D5136" i="1"/>
  <c r="E5136" i="1"/>
  <c r="C5137" i="1"/>
  <c r="D5137" i="1"/>
  <c r="E5137" i="1"/>
  <c r="C5138" i="1"/>
  <c r="D5138" i="1"/>
  <c r="E5138" i="1"/>
  <c r="C5139" i="1"/>
  <c r="D5139" i="1"/>
  <c r="E5139" i="1"/>
  <c r="C5140" i="1"/>
  <c r="D5140" i="1"/>
  <c r="E5140" i="1"/>
  <c r="C5141" i="1"/>
  <c r="D5141" i="1"/>
  <c r="E5141" i="1"/>
  <c r="C5142" i="1"/>
  <c r="D5142" i="1"/>
  <c r="E5142" i="1"/>
  <c r="C5143" i="1"/>
  <c r="D5143" i="1"/>
  <c r="E5143" i="1"/>
  <c r="C5144" i="1"/>
  <c r="D5144" i="1"/>
  <c r="E5144" i="1"/>
  <c r="C5145" i="1"/>
  <c r="D5145" i="1"/>
  <c r="E5145" i="1"/>
  <c r="C5146" i="1"/>
  <c r="D5146" i="1"/>
  <c r="E5146" i="1"/>
  <c r="C5147" i="1"/>
  <c r="D5147" i="1"/>
  <c r="E5147" i="1"/>
  <c r="C5148" i="1"/>
  <c r="D5148" i="1"/>
  <c r="E5148" i="1"/>
  <c r="C5149" i="1"/>
  <c r="D5149" i="1"/>
  <c r="E5149" i="1"/>
  <c r="C5150" i="1"/>
  <c r="D5150" i="1"/>
  <c r="E5150" i="1"/>
  <c r="C5151" i="1"/>
  <c r="D5151" i="1"/>
  <c r="E5151" i="1"/>
  <c r="C5152" i="1"/>
  <c r="D5152" i="1"/>
  <c r="E5152" i="1"/>
  <c r="C5153" i="1"/>
  <c r="D5153" i="1"/>
  <c r="E5153" i="1"/>
  <c r="C5154" i="1"/>
  <c r="D5154" i="1"/>
  <c r="E5154" i="1"/>
  <c r="C5155" i="1"/>
  <c r="D5155" i="1"/>
  <c r="E5155" i="1"/>
  <c r="C5156" i="1"/>
  <c r="D5156" i="1"/>
  <c r="E5156" i="1"/>
  <c r="C5157" i="1"/>
  <c r="D5157" i="1"/>
  <c r="E5157" i="1"/>
  <c r="C5158" i="1"/>
  <c r="D5158" i="1"/>
  <c r="E5158" i="1"/>
  <c r="C5159" i="1"/>
  <c r="D5159" i="1"/>
  <c r="E5159" i="1"/>
  <c r="C5160" i="1"/>
  <c r="D5160" i="1"/>
  <c r="E5160" i="1"/>
  <c r="C5161" i="1"/>
  <c r="D5161" i="1"/>
  <c r="E5161" i="1"/>
  <c r="C5162" i="1"/>
  <c r="D5162" i="1"/>
  <c r="E5162" i="1"/>
  <c r="C5163" i="1"/>
  <c r="D5163" i="1"/>
  <c r="E5163" i="1"/>
  <c r="C5164" i="1"/>
  <c r="D5164" i="1"/>
  <c r="E5164" i="1"/>
  <c r="C5165" i="1"/>
  <c r="D5165" i="1"/>
  <c r="E5165" i="1"/>
  <c r="C5166" i="1"/>
  <c r="D5166" i="1"/>
  <c r="E5166" i="1"/>
  <c r="C5167" i="1"/>
  <c r="D5167" i="1"/>
  <c r="E5167" i="1"/>
  <c r="C5168" i="1"/>
  <c r="D5168" i="1"/>
  <c r="E5168" i="1"/>
  <c r="C5169" i="1"/>
  <c r="D5169" i="1"/>
  <c r="E5169" i="1"/>
  <c r="C5170" i="1"/>
  <c r="D5170" i="1"/>
  <c r="E5170" i="1"/>
  <c r="C5171" i="1"/>
  <c r="D5171" i="1"/>
  <c r="E5171" i="1"/>
  <c r="C5172" i="1"/>
  <c r="D5172" i="1"/>
  <c r="E5172" i="1"/>
  <c r="C5173" i="1"/>
  <c r="D5173" i="1"/>
  <c r="E5173" i="1"/>
  <c r="C5174" i="1"/>
  <c r="D5174" i="1"/>
  <c r="E5174" i="1"/>
  <c r="C5175" i="1"/>
  <c r="D5175" i="1"/>
  <c r="E5175" i="1"/>
  <c r="C5176" i="1"/>
  <c r="D5176" i="1"/>
  <c r="E5176" i="1"/>
  <c r="C5177" i="1"/>
  <c r="D5177" i="1"/>
  <c r="E5177" i="1"/>
  <c r="C5178" i="1"/>
  <c r="D5178" i="1"/>
  <c r="E5178" i="1"/>
  <c r="C5179" i="1"/>
  <c r="D5179" i="1"/>
  <c r="E5179" i="1"/>
  <c r="C5180" i="1"/>
  <c r="D5180" i="1"/>
  <c r="E5180" i="1"/>
  <c r="C5181" i="1"/>
  <c r="D5181" i="1"/>
  <c r="E5181" i="1"/>
  <c r="C5182" i="1"/>
  <c r="D5182" i="1"/>
  <c r="E5182" i="1"/>
  <c r="C5183" i="1"/>
  <c r="D5183" i="1"/>
  <c r="E5183" i="1"/>
  <c r="C5184" i="1"/>
  <c r="D5184" i="1"/>
  <c r="E5184" i="1"/>
  <c r="C5185" i="1"/>
  <c r="D5185" i="1"/>
  <c r="E5185" i="1"/>
  <c r="C5186" i="1"/>
  <c r="D5186" i="1"/>
  <c r="E5186" i="1"/>
  <c r="C5187" i="1"/>
  <c r="D5187" i="1"/>
  <c r="E5187" i="1"/>
  <c r="C5188" i="1"/>
  <c r="D5188" i="1"/>
  <c r="E5188" i="1"/>
  <c r="C5189" i="1"/>
  <c r="D5189" i="1"/>
  <c r="E5189" i="1"/>
  <c r="C5190" i="1"/>
  <c r="D5190" i="1"/>
  <c r="E5190" i="1"/>
  <c r="C5191" i="1"/>
  <c r="D5191" i="1"/>
  <c r="E5191" i="1"/>
  <c r="C5192" i="1"/>
  <c r="D5192" i="1"/>
  <c r="E5192" i="1"/>
  <c r="C5193" i="1"/>
  <c r="D5193" i="1"/>
  <c r="E5193" i="1"/>
  <c r="C5194" i="1"/>
  <c r="D5194" i="1"/>
  <c r="E5194" i="1"/>
  <c r="C5195" i="1"/>
  <c r="D5195" i="1"/>
  <c r="E5195" i="1"/>
  <c r="C5196" i="1"/>
  <c r="D5196" i="1"/>
  <c r="E5196" i="1"/>
  <c r="C5197" i="1"/>
  <c r="D5197" i="1"/>
  <c r="E5197" i="1"/>
  <c r="C5198" i="1"/>
  <c r="D5198" i="1"/>
  <c r="E5198" i="1"/>
  <c r="C5199" i="1"/>
  <c r="D5199" i="1"/>
  <c r="E5199" i="1"/>
  <c r="C5200" i="1"/>
  <c r="D5200" i="1"/>
  <c r="E5200" i="1"/>
  <c r="C5201" i="1"/>
  <c r="D5201" i="1"/>
  <c r="E5201" i="1"/>
  <c r="C5202" i="1"/>
  <c r="D5202" i="1"/>
  <c r="E5202" i="1"/>
  <c r="C5203" i="1"/>
  <c r="D5203" i="1"/>
  <c r="E5203" i="1"/>
  <c r="C5204" i="1"/>
  <c r="D5204" i="1"/>
  <c r="E5204" i="1"/>
  <c r="C5205" i="1"/>
  <c r="D5205" i="1"/>
  <c r="E5205" i="1"/>
  <c r="C5206" i="1"/>
  <c r="D5206" i="1"/>
  <c r="E5206" i="1"/>
  <c r="C5207" i="1"/>
  <c r="D5207" i="1"/>
  <c r="E5207" i="1"/>
  <c r="C5208" i="1"/>
  <c r="D5208" i="1"/>
  <c r="E5208" i="1"/>
  <c r="C5209" i="1"/>
  <c r="D5209" i="1"/>
  <c r="E5209" i="1"/>
  <c r="C5210" i="1"/>
  <c r="D5210" i="1"/>
  <c r="E5210" i="1"/>
  <c r="C5211" i="1"/>
  <c r="D5211" i="1"/>
  <c r="E5211" i="1"/>
  <c r="C5212" i="1"/>
  <c r="D5212" i="1"/>
  <c r="E5212" i="1"/>
  <c r="C5213" i="1"/>
  <c r="D5213" i="1"/>
  <c r="E5213" i="1"/>
  <c r="C5214" i="1"/>
  <c r="D5214" i="1"/>
  <c r="E5214" i="1"/>
  <c r="C5215" i="1"/>
  <c r="D5215" i="1"/>
  <c r="E5215" i="1"/>
  <c r="C5216" i="1"/>
  <c r="D5216" i="1"/>
  <c r="E5216" i="1"/>
  <c r="C5217" i="1"/>
  <c r="D5217" i="1"/>
  <c r="E5217" i="1"/>
  <c r="C5218" i="1"/>
  <c r="D5218" i="1"/>
  <c r="E5218" i="1"/>
  <c r="C5219" i="1"/>
  <c r="D5219" i="1"/>
  <c r="E5219" i="1"/>
  <c r="C5220" i="1"/>
  <c r="D5220" i="1"/>
  <c r="E5220" i="1"/>
  <c r="C5221" i="1"/>
  <c r="D5221" i="1"/>
  <c r="E5221" i="1"/>
  <c r="C5222" i="1"/>
  <c r="D5222" i="1"/>
  <c r="E5222" i="1"/>
  <c r="C5223" i="1"/>
  <c r="D5223" i="1"/>
  <c r="E5223" i="1"/>
  <c r="C5224" i="1"/>
  <c r="D5224" i="1"/>
  <c r="E5224" i="1"/>
  <c r="C5225" i="1"/>
  <c r="D5225" i="1"/>
  <c r="E5225" i="1"/>
  <c r="C5226" i="1"/>
  <c r="D5226" i="1"/>
  <c r="E5226" i="1"/>
  <c r="C5227" i="1"/>
  <c r="D5227" i="1"/>
  <c r="E5227" i="1"/>
  <c r="C5228" i="1"/>
  <c r="D5228" i="1"/>
  <c r="E5228" i="1"/>
  <c r="C5229" i="1"/>
  <c r="D5229" i="1"/>
  <c r="E5229" i="1"/>
  <c r="C5230" i="1"/>
  <c r="D5230" i="1"/>
  <c r="E5230" i="1"/>
  <c r="C5231" i="1"/>
  <c r="D5231" i="1"/>
  <c r="E5231" i="1"/>
  <c r="C5232" i="1"/>
  <c r="D5232" i="1"/>
  <c r="E5232" i="1"/>
  <c r="C5233" i="1"/>
  <c r="D5233" i="1"/>
  <c r="E5233" i="1"/>
  <c r="C5234" i="1"/>
  <c r="D5234" i="1"/>
  <c r="E5234" i="1"/>
  <c r="C5235" i="1"/>
  <c r="D5235" i="1"/>
  <c r="E5235" i="1"/>
  <c r="C5236" i="1"/>
  <c r="D5236" i="1"/>
  <c r="E5236" i="1"/>
  <c r="C5237" i="1"/>
  <c r="D5237" i="1"/>
  <c r="E5237" i="1"/>
  <c r="C5238" i="1"/>
  <c r="D5238" i="1"/>
  <c r="E5238" i="1"/>
  <c r="C5239" i="1"/>
  <c r="D5239" i="1"/>
  <c r="E5239" i="1"/>
  <c r="C5240" i="1"/>
  <c r="D5240" i="1"/>
  <c r="E5240" i="1"/>
  <c r="C5241" i="1"/>
  <c r="D5241" i="1"/>
  <c r="E5241" i="1"/>
  <c r="C5242" i="1"/>
  <c r="D5242" i="1"/>
  <c r="E5242" i="1"/>
  <c r="C5243" i="1"/>
  <c r="D5243" i="1"/>
  <c r="E5243" i="1"/>
  <c r="C5244" i="1"/>
  <c r="D5244" i="1"/>
  <c r="E5244" i="1"/>
  <c r="C5245" i="1"/>
  <c r="D5245" i="1"/>
  <c r="E5245" i="1"/>
  <c r="C5246" i="1"/>
  <c r="D5246" i="1"/>
  <c r="E5246" i="1"/>
  <c r="C5247" i="1"/>
  <c r="D5247" i="1"/>
  <c r="E5247" i="1"/>
  <c r="C5248" i="1"/>
  <c r="D5248" i="1"/>
  <c r="E5248" i="1"/>
  <c r="C5249" i="1"/>
  <c r="D5249" i="1"/>
  <c r="E5249" i="1"/>
  <c r="C5250" i="1"/>
  <c r="D5250" i="1"/>
  <c r="E5250" i="1"/>
  <c r="C5251" i="1"/>
  <c r="D5251" i="1"/>
  <c r="E5251" i="1"/>
  <c r="C5252" i="1"/>
  <c r="D5252" i="1"/>
  <c r="E5252" i="1"/>
  <c r="C5253" i="1"/>
  <c r="D5253" i="1"/>
  <c r="E5253" i="1"/>
  <c r="C5254" i="1"/>
  <c r="D5254" i="1"/>
  <c r="E5254" i="1"/>
  <c r="C5255" i="1"/>
  <c r="D5255" i="1"/>
  <c r="E5255" i="1"/>
  <c r="C5256" i="1"/>
  <c r="D5256" i="1"/>
  <c r="E5256" i="1"/>
  <c r="C5257" i="1"/>
  <c r="D5257" i="1"/>
  <c r="E5257" i="1"/>
  <c r="C5258" i="1"/>
  <c r="D5258" i="1"/>
  <c r="E5258" i="1"/>
  <c r="C5259" i="1"/>
  <c r="D5259" i="1"/>
  <c r="E5259" i="1"/>
  <c r="C5260" i="1"/>
  <c r="D5260" i="1"/>
  <c r="E5260" i="1"/>
  <c r="C5261" i="1"/>
  <c r="D5261" i="1"/>
  <c r="E5261" i="1"/>
  <c r="C5262" i="1"/>
  <c r="D5262" i="1"/>
  <c r="E5262" i="1"/>
  <c r="C5263" i="1"/>
  <c r="D5263" i="1"/>
  <c r="E5263" i="1"/>
  <c r="C5264" i="1"/>
  <c r="D5264" i="1"/>
  <c r="E5264" i="1"/>
  <c r="C5265" i="1"/>
  <c r="D5265" i="1"/>
  <c r="E5265" i="1"/>
  <c r="C5266" i="1"/>
  <c r="D5266" i="1"/>
  <c r="E5266" i="1"/>
  <c r="C5267" i="1"/>
  <c r="D5267" i="1"/>
  <c r="E5267" i="1"/>
  <c r="C5268" i="1"/>
  <c r="D5268" i="1"/>
  <c r="E5268" i="1"/>
  <c r="C5269" i="1"/>
  <c r="D5269" i="1"/>
  <c r="E5269" i="1"/>
  <c r="C5270" i="1"/>
  <c r="D5270" i="1"/>
  <c r="E5270" i="1"/>
  <c r="C5271" i="1"/>
  <c r="D5271" i="1"/>
  <c r="E5271" i="1"/>
  <c r="C5272" i="1"/>
  <c r="D5272" i="1"/>
  <c r="E5272" i="1"/>
  <c r="C5273" i="1"/>
  <c r="D5273" i="1"/>
  <c r="E5273" i="1"/>
  <c r="C5274" i="1"/>
  <c r="D5274" i="1"/>
  <c r="E5274" i="1"/>
  <c r="C5275" i="1"/>
  <c r="D5275" i="1"/>
  <c r="E5275" i="1"/>
  <c r="C5276" i="1"/>
  <c r="D5276" i="1"/>
  <c r="E5276" i="1"/>
  <c r="C5277" i="1"/>
  <c r="D5277" i="1"/>
  <c r="E5277" i="1"/>
  <c r="C5278" i="1"/>
  <c r="D5278" i="1"/>
  <c r="E5278" i="1"/>
  <c r="C5279" i="1"/>
  <c r="D5279" i="1"/>
  <c r="E5279" i="1"/>
  <c r="C5280" i="1"/>
  <c r="D5280" i="1"/>
  <c r="E5280" i="1"/>
  <c r="C5281" i="1"/>
  <c r="D5281" i="1"/>
  <c r="E5281" i="1"/>
  <c r="C5282" i="1"/>
  <c r="D5282" i="1"/>
  <c r="E5282" i="1"/>
  <c r="C5283" i="1"/>
  <c r="D5283" i="1"/>
  <c r="E5283" i="1"/>
  <c r="C5284" i="1"/>
  <c r="D5284" i="1"/>
  <c r="E5284" i="1"/>
  <c r="C5285" i="1"/>
  <c r="D5285" i="1"/>
  <c r="E5285" i="1"/>
  <c r="C5286" i="1"/>
  <c r="D5286" i="1"/>
  <c r="E5286" i="1"/>
  <c r="C5287" i="1"/>
  <c r="D5287" i="1"/>
  <c r="E5287" i="1"/>
  <c r="C5288" i="1"/>
  <c r="D5288" i="1"/>
  <c r="E5288" i="1"/>
  <c r="C5289" i="1"/>
  <c r="D5289" i="1"/>
  <c r="E5289" i="1"/>
  <c r="C5290" i="1"/>
  <c r="D5290" i="1"/>
  <c r="E5290" i="1"/>
  <c r="C5291" i="1"/>
  <c r="D5291" i="1"/>
  <c r="E5291" i="1"/>
  <c r="C5292" i="1"/>
  <c r="D5292" i="1"/>
  <c r="E5292" i="1"/>
  <c r="C5293" i="1"/>
  <c r="D5293" i="1"/>
  <c r="E5293" i="1"/>
  <c r="C5294" i="1"/>
  <c r="D5294" i="1"/>
  <c r="E5294" i="1"/>
  <c r="C5295" i="1"/>
  <c r="D5295" i="1"/>
  <c r="E5295" i="1"/>
  <c r="C5296" i="1"/>
  <c r="D5296" i="1"/>
  <c r="E5296" i="1"/>
  <c r="C5297" i="1"/>
  <c r="D5297" i="1"/>
  <c r="E5297" i="1"/>
  <c r="C5298" i="1"/>
  <c r="D5298" i="1"/>
  <c r="E5298" i="1"/>
  <c r="C5299" i="1"/>
  <c r="D5299" i="1"/>
  <c r="E5299" i="1"/>
  <c r="C5300" i="1"/>
  <c r="D5300" i="1"/>
  <c r="E5300" i="1"/>
  <c r="C5301" i="1"/>
  <c r="D5301" i="1"/>
  <c r="E5301" i="1"/>
  <c r="C5302" i="1"/>
  <c r="D5302" i="1"/>
  <c r="E5302" i="1"/>
  <c r="C5303" i="1"/>
  <c r="D5303" i="1"/>
  <c r="E5303" i="1"/>
  <c r="C5304" i="1"/>
  <c r="D5304" i="1"/>
  <c r="E5304" i="1"/>
  <c r="C5305" i="1"/>
  <c r="D5305" i="1"/>
  <c r="E5305" i="1"/>
  <c r="C5306" i="1"/>
  <c r="D5306" i="1"/>
  <c r="E5306" i="1"/>
  <c r="C5307" i="1"/>
  <c r="D5307" i="1"/>
  <c r="E5307" i="1"/>
  <c r="C5308" i="1"/>
  <c r="D5308" i="1"/>
  <c r="E5308" i="1"/>
  <c r="C5309" i="1"/>
  <c r="D5309" i="1"/>
  <c r="E5309" i="1"/>
  <c r="C5310" i="1"/>
  <c r="D5310" i="1"/>
  <c r="E5310" i="1"/>
  <c r="C5311" i="1"/>
  <c r="D5311" i="1"/>
  <c r="E5311" i="1"/>
  <c r="C5312" i="1"/>
  <c r="D5312" i="1"/>
  <c r="E5312" i="1"/>
  <c r="C5313" i="1"/>
  <c r="D5313" i="1"/>
  <c r="E5313" i="1"/>
  <c r="C5314" i="1"/>
  <c r="D5314" i="1"/>
  <c r="E5314" i="1"/>
  <c r="C5315" i="1"/>
  <c r="D5315" i="1"/>
  <c r="E5315" i="1"/>
  <c r="C5316" i="1"/>
  <c r="D5316" i="1"/>
  <c r="E5316" i="1"/>
  <c r="C5317" i="1"/>
  <c r="D5317" i="1"/>
  <c r="E5317" i="1"/>
  <c r="C5318" i="1"/>
  <c r="D5318" i="1"/>
  <c r="E5318" i="1"/>
  <c r="C5319" i="1"/>
  <c r="D5319" i="1"/>
  <c r="E5319" i="1"/>
  <c r="C5320" i="1"/>
  <c r="D5320" i="1"/>
  <c r="E5320" i="1"/>
  <c r="C5321" i="1"/>
  <c r="D5321" i="1"/>
  <c r="E5321" i="1"/>
  <c r="C5322" i="1"/>
  <c r="D5322" i="1"/>
  <c r="E5322" i="1"/>
  <c r="C5323" i="1"/>
  <c r="D5323" i="1"/>
  <c r="E5323" i="1"/>
  <c r="C5324" i="1"/>
  <c r="D5324" i="1"/>
  <c r="E5324" i="1"/>
  <c r="C5325" i="1"/>
  <c r="D5325" i="1"/>
  <c r="E5325" i="1"/>
  <c r="C5326" i="1"/>
  <c r="D5326" i="1"/>
  <c r="E5326" i="1"/>
  <c r="C5327" i="1"/>
  <c r="D5327" i="1"/>
  <c r="E5327" i="1"/>
  <c r="C5328" i="1"/>
  <c r="D5328" i="1"/>
  <c r="E5328" i="1"/>
  <c r="C5329" i="1"/>
  <c r="D5329" i="1"/>
  <c r="E5329" i="1"/>
  <c r="C5330" i="1"/>
  <c r="D5330" i="1"/>
  <c r="E5330" i="1"/>
  <c r="C5331" i="1"/>
  <c r="D5331" i="1"/>
  <c r="E5331" i="1"/>
  <c r="C5332" i="1"/>
  <c r="D5332" i="1"/>
  <c r="E5332" i="1"/>
  <c r="C5333" i="1"/>
  <c r="D5333" i="1"/>
  <c r="E5333" i="1"/>
  <c r="C5334" i="1"/>
  <c r="D5334" i="1"/>
  <c r="E5334" i="1"/>
  <c r="C5335" i="1"/>
  <c r="D5335" i="1"/>
  <c r="E5335" i="1"/>
  <c r="C5336" i="1"/>
  <c r="D5336" i="1"/>
  <c r="E5336" i="1"/>
  <c r="C5337" i="1"/>
  <c r="D5337" i="1"/>
  <c r="E5337" i="1"/>
  <c r="C5338" i="1"/>
  <c r="D5338" i="1"/>
  <c r="E5338" i="1"/>
  <c r="C5339" i="1"/>
  <c r="D5339" i="1"/>
  <c r="E5339" i="1"/>
  <c r="C5340" i="1"/>
  <c r="D5340" i="1"/>
  <c r="E5340" i="1"/>
  <c r="C5341" i="1"/>
  <c r="D5341" i="1"/>
  <c r="E5341" i="1"/>
  <c r="C5342" i="1"/>
  <c r="D5342" i="1"/>
  <c r="E5342" i="1"/>
  <c r="C5343" i="1"/>
  <c r="D5343" i="1"/>
  <c r="E5343" i="1"/>
  <c r="C5344" i="1"/>
  <c r="D5344" i="1"/>
  <c r="E5344" i="1"/>
  <c r="C5345" i="1"/>
  <c r="D5345" i="1"/>
  <c r="E5345" i="1"/>
  <c r="C5346" i="1"/>
  <c r="D5346" i="1"/>
  <c r="E5346" i="1"/>
  <c r="C5347" i="1"/>
  <c r="D5347" i="1"/>
  <c r="E5347" i="1"/>
  <c r="C5348" i="1"/>
  <c r="D5348" i="1"/>
  <c r="E5348" i="1"/>
  <c r="C5349" i="1"/>
  <c r="D5349" i="1"/>
  <c r="E5349" i="1"/>
  <c r="C5350" i="1"/>
  <c r="D5350" i="1"/>
  <c r="E5350" i="1"/>
  <c r="C5351" i="1"/>
  <c r="D5351" i="1"/>
  <c r="E5351" i="1"/>
  <c r="C5352" i="1"/>
  <c r="D5352" i="1"/>
  <c r="E5352" i="1"/>
  <c r="C5353" i="1"/>
  <c r="D5353" i="1"/>
  <c r="E5353" i="1"/>
  <c r="C5354" i="1"/>
  <c r="D5354" i="1"/>
  <c r="E5354" i="1"/>
  <c r="C5355" i="1"/>
  <c r="D5355" i="1"/>
  <c r="E5355" i="1"/>
  <c r="C5356" i="1"/>
  <c r="D5356" i="1"/>
  <c r="E5356" i="1"/>
  <c r="C5357" i="1"/>
  <c r="D5357" i="1"/>
  <c r="E5357" i="1"/>
  <c r="C5358" i="1"/>
  <c r="D5358" i="1"/>
  <c r="E5358" i="1"/>
  <c r="C5359" i="1"/>
  <c r="D5359" i="1"/>
  <c r="E5359" i="1"/>
  <c r="C5360" i="1"/>
  <c r="D5360" i="1"/>
  <c r="E5360" i="1"/>
  <c r="C5361" i="1"/>
  <c r="D5361" i="1"/>
  <c r="E5361" i="1"/>
  <c r="C5362" i="1"/>
  <c r="D5362" i="1"/>
  <c r="E5362" i="1"/>
  <c r="C5363" i="1"/>
  <c r="D5363" i="1"/>
  <c r="E5363" i="1"/>
  <c r="C5364" i="1"/>
  <c r="D5364" i="1"/>
  <c r="E5364" i="1"/>
  <c r="C5365" i="1"/>
  <c r="D5365" i="1"/>
  <c r="E5365" i="1"/>
  <c r="C5366" i="1"/>
  <c r="D5366" i="1"/>
  <c r="E5366" i="1"/>
  <c r="C5367" i="1"/>
  <c r="D5367" i="1"/>
  <c r="E5367" i="1"/>
  <c r="C5368" i="1"/>
  <c r="D5368" i="1"/>
  <c r="E5368" i="1"/>
  <c r="C5369" i="1"/>
  <c r="D5369" i="1"/>
  <c r="E5369" i="1"/>
  <c r="C5370" i="1"/>
  <c r="D5370" i="1"/>
  <c r="E5370" i="1"/>
  <c r="C5371" i="1"/>
  <c r="D5371" i="1"/>
  <c r="E5371" i="1"/>
  <c r="C5372" i="1"/>
  <c r="D5372" i="1"/>
  <c r="E5372" i="1"/>
  <c r="C5373" i="1"/>
  <c r="D5373" i="1"/>
  <c r="E5373" i="1"/>
  <c r="C5374" i="1"/>
  <c r="D5374" i="1"/>
  <c r="E5374" i="1"/>
  <c r="C5375" i="1"/>
  <c r="D5375" i="1"/>
  <c r="E5375" i="1"/>
  <c r="C5376" i="1"/>
  <c r="D5376" i="1"/>
  <c r="E5376" i="1"/>
  <c r="C5377" i="1"/>
  <c r="D5377" i="1"/>
  <c r="E5377" i="1"/>
  <c r="C5378" i="1"/>
  <c r="D5378" i="1"/>
  <c r="E5378" i="1"/>
  <c r="C5379" i="1"/>
  <c r="D5379" i="1"/>
  <c r="E5379" i="1"/>
  <c r="C5380" i="1"/>
  <c r="D5380" i="1"/>
  <c r="E5380" i="1"/>
  <c r="C5381" i="1"/>
  <c r="D5381" i="1"/>
  <c r="E5381" i="1"/>
  <c r="C5382" i="1"/>
  <c r="D5382" i="1"/>
  <c r="E5382" i="1"/>
  <c r="C5383" i="1"/>
  <c r="D5383" i="1"/>
  <c r="E5383" i="1"/>
  <c r="C5384" i="1"/>
  <c r="D5384" i="1"/>
  <c r="E5384" i="1"/>
  <c r="C5385" i="1"/>
  <c r="D5385" i="1"/>
  <c r="E5385" i="1"/>
  <c r="C5386" i="1"/>
  <c r="D5386" i="1"/>
  <c r="E5386" i="1"/>
  <c r="C5387" i="1"/>
  <c r="D5387" i="1"/>
  <c r="E5387" i="1"/>
  <c r="C5388" i="1"/>
  <c r="D5388" i="1"/>
  <c r="E5388" i="1"/>
  <c r="C5389" i="1"/>
  <c r="D5389" i="1"/>
  <c r="E5389" i="1"/>
  <c r="C5390" i="1"/>
  <c r="D5390" i="1"/>
  <c r="E5390" i="1"/>
  <c r="C5391" i="1"/>
  <c r="D5391" i="1"/>
  <c r="E5391" i="1"/>
  <c r="C5392" i="1"/>
  <c r="D5392" i="1"/>
  <c r="E5392" i="1"/>
  <c r="C5393" i="1"/>
  <c r="D5393" i="1"/>
  <c r="E5393" i="1"/>
  <c r="C5394" i="1"/>
  <c r="D5394" i="1"/>
  <c r="E5394" i="1"/>
  <c r="C5395" i="1"/>
  <c r="D5395" i="1"/>
  <c r="E5395" i="1"/>
  <c r="C5396" i="1"/>
  <c r="D5396" i="1"/>
  <c r="E5396" i="1"/>
  <c r="C5397" i="1"/>
  <c r="D5397" i="1"/>
  <c r="E5397" i="1"/>
  <c r="C5398" i="1"/>
  <c r="D5398" i="1"/>
  <c r="E5398" i="1"/>
  <c r="C5399" i="1"/>
  <c r="D5399" i="1"/>
  <c r="E5399" i="1"/>
  <c r="C5400" i="1"/>
  <c r="D5400" i="1"/>
  <c r="E5400" i="1"/>
  <c r="C5401" i="1"/>
  <c r="D5401" i="1"/>
  <c r="E5401" i="1"/>
  <c r="C5402" i="1"/>
  <c r="D5402" i="1"/>
  <c r="E5402" i="1"/>
  <c r="C5403" i="1"/>
  <c r="D5403" i="1"/>
  <c r="E5403" i="1"/>
  <c r="C5404" i="1"/>
  <c r="D5404" i="1"/>
  <c r="E5404" i="1"/>
  <c r="C5405" i="1"/>
  <c r="D5405" i="1"/>
  <c r="E5405" i="1"/>
  <c r="C5406" i="1"/>
  <c r="D5406" i="1"/>
  <c r="E5406" i="1"/>
  <c r="C5407" i="1"/>
  <c r="D5407" i="1"/>
  <c r="E5407" i="1"/>
  <c r="C5408" i="1"/>
  <c r="D5408" i="1"/>
  <c r="E5408" i="1"/>
  <c r="C5409" i="1"/>
  <c r="D5409" i="1"/>
  <c r="E5409" i="1"/>
  <c r="C5410" i="1"/>
  <c r="D5410" i="1"/>
  <c r="E5410" i="1"/>
  <c r="C5411" i="1"/>
  <c r="D5411" i="1"/>
  <c r="E5411" i="1"/>
  <c r="C5412" i="1"/>
  <c r="D5412" i="1"/>
  <c r="E5412" i="1"/>
  <c r="C5413" i="1"/>
  <c r="D5413" i="1"/>
  <c r="E5413" i="1"/>
  <c r="C5414" i="1"/>
  <c r="D5414" i="1"/>
  <c r="E5414" i="1"/>
  <c r="C5415" i="1"/>
  <c r="D5415" i="1"/>
  <c r="E5415" i="1"/>
  <c r="C5416" i="1"/>
  <c r="D5416" i="1"/>
  <c r="E5416" i="1"/>
  <c r="C5417" i="1"/>
  <c r="D5417" i="1"/>
  <c r="E5417" i="1"/>
  <c r="C5418" i="1"/>
  <c r="D5418" i="1"/>
  <c r="E5418" i="1"/>
  <c r="C5419" i="1"/>
  <c r="D5419" i="1"/>
  <c r="E5419" i="1"/>
  <c r="C5420" i="1"/>
  <c r="D5420" i="1"/>
  <c r="E5420" i="1"/>
  <c r="C5421" i="1"/>
  <c r="D5421" i="1"/>
  <c r="E5421" i="1"/>
  <c r="C5422" i="1"/>
  <c r="D5422" i="1"/>
  <c r="E5422" i="1"/>
  <c r="C5423" i="1"/>
  <c r="D5423" i="1"/>
  <c r="E5423" i="1"/>
  <c r="C5424" i="1"/>
  <c r="D5424" i="1"/>
  <c r="E5424" i="1"/>
  <c r="C5425" i="1"/>
  <c r="D5425" i="1"/>
  <c r="E5425" i="1"/>
  <c r="C5426" i="1"/>
  <c r="D5426" i="1"/>
  <c r="E5426" i="1"/>
  <c r="C5427" i="1"/>
  <c r="D5427" i="1"/>
  <c r="E5427" i="1"/>
  <c r="C5428" i="1"/>
  <c r="D5428" i="1"/>
  <c r="E5428" i="1"/>
  <c r="C5429" i="1"/>
  <c r="D5429" i="1"/>
  <c r="E5429" i="1"/>
  <c r="C5430" i="1"/>
  <c r="D5430" i="1"/>
  <c r="E5430" i="1"/>
  <c r="C5431" i="1"/>
  <c r="D5431" i="1"/>
  <c r="E5431" i="1"/>
  <c r="C5432" i="1"/>
  <c r="D5432" i="1"/>
  <c r="E5432" i="1"/>
  <c r="C5433" i="1"/>
  <c r="D5433" i="1"/>
  <c r="E5433" i="1"/>
  <c r="C5434" i="1"/>
  <c r="D5434" i="1"/>
  <c r="E5434" i="1"/>
  <c r="C5435" i="1"/>
  <c r="D5435" i="1"/>
  <c r="E5435" i="1"/>
  <c r="C5436" i="1"/>
  <c r="D5436" i="1"/>
  <c r="E5436" i="1"/>
  <c r="C5437" i="1"/>
  <c r="D5437" i="1"/>
  <c r="E5437" i="1"/>
  <c r="C5438" i="1"/>
  <c r="D5438" i="1"/>
  <c r="E5438" i="1"/>
  <c r="C5439" i="1"/>
  <c r="D5439" i="1"/>
  <c r="E5439" i="1"/>
  <c r="C5440" i="1"/>
  <c r="D5440" i="1"/>
  <c r="E5440" i="1"/>
  <c r="C5441" i="1"/>
  <c r="D5441" i="1"/>
  <c r="E5441" i="1"/>
  <c r="C5442" i="1"/>
  <c r="D5442" i="1"/>
  <c r="E5442" i="1"/>
  <c r="C5443" i="1"/>
  <c r="D5443" i="1"/>
  <c r="E5443" i="1"/>
  <c r="C5444" i="1"/>
  <c r="D5444" i="1"/>
  <c r="E5444" i="1"/>
  <c r="C5445" i="1"/>
  <c r="D5445" i="1"/>
  <c r="E5445" i="1"/>
  <c r="C5446" i="1"/>
  <c r="D5446" i="1"/>
  <c r="E5446" i="1"/>
  <c r="C5447" i="1"/>
  <c r="D5447" i="1"/>
  <c r="E5447" i="1"/>
  <c r="C5448" i="1"/>
  <c r="D5448" i="1"/>
  <c r="E5448" i="1"/>
  <c r="C5449" i="1"/>
  <c r="D5449" i="1"/>
  <c r="E5449" i="1"/>
  <c r="C5450" i="1"/>
  <c r="D5450" i="1"/>
  <c r="E5450" i="1"/>
  <c r="C5451" i="1"/>
  <c r="D5451" i="1"/>
  <c r="E5451" i="1"/>
  <c r="C5452" i="1"/>
  <c r="D5452" i="1"/>
  <c r="E5452" i="1"/>
  <c r="C5453" i="1"/>
  <c r="D5453" i="1"/>
  <c r="E5453" i="1"/>
  <c r="C5454" i="1"/>
  <c r="D5454" i="1"/>
  <c r="E5454" i="1"/>
  <c r="C5455" i="1"/>
  <c r="D5455" i="1"/>
  <c r="E5455" i="1"/>
  <c r="C5456" i="1"/>
  <c r="D5456" i="1"/>
  <c r="E5456" i="1"/>
  <c r="C5457" i="1"/>
  <c r="D5457" i="1"/>
  <c r="E5457" i="1"/>
  <c r="C5458" i="1"/>
  <c r="D5458" i="1"/>
  <c r="E5458" i="1"/>
  <c r="C5459" i="1"/>
  <c r="D5459" i="1"/>
  <c r="E5459" i="1"/>
  <c r="C5460" i="1"/>
  <c r="D5460" i="1"/>
  <c r="E5460" i="1"/>
  <c r="C5461" i="1"/>
  <c r="D5461" i="1"/>
  <c r="E5461" i="1"/>
  <c r="C5462" i="1"/>
  <c r="D5462" i="1"/>
  <c r="E5462" i="1"/>
  <c r="C5463" i="1"/>
  <c r="D5463" i="1"/>
  <c r="E5463" i="1"/>
  <c r="C5464" i="1"/>
  <c r="D5464" i="1"/>
  <c r="E5464" i="1"/>
  <c r="C5465" i="1"/>
  <c r="D5465" i="1"/>
  <c r="E5465" i="1"/>
  <c r="C5466" i="1"/>
  <c r="D5466" i="1"/>
  <c r="E5466" i="1"/>
  <c r="C5467" i="1"/>
  <c r="D5467" i="1"/>
  <c r="E5467" i="1"/>
  <c r="C5468" i="1"/>
  <c r="D5468" i="1"/>
  <c r="E5468" i="1"/>
  <c r="C5469" i="1"/>
  <c r="D5469" i="1"/>
  <c r="E5469" i="1"/>
  <c r="C5470" i="1"/>
  <c r="D5470" i="1"/>
  <c r="E5470" i="1"/>
  <c r="C5471" i="1"/>
  <c r="D5471" i="1"/>
  <c r="E5471" i="1"/>
  <c r="C5472" i="1"/>
  <c r="D5472" i="1"/>
  <c r="E5472" i="1"/>
  <c r="C5473" i="1"/>
  <c r="D5473" i="1"/>
  <c r="E5473" i="1"/>
  <c r="C5474" i="1"/>
  <c r="D5474" i="1"/>
  <c r="E5474" i="1"/>
  <c r="C5475" i="1"/>
  <c r="D5475" i="1"/>
  <c r="E5475" i="1"/>
  <c r="C5476" i="1"/>
  <c r="D5476" i="1"/>
  <c r="E5476" i="1"/>
  <c r="C5477" i="1"/>
  <c r="D5477" i="1"/>
  <c r="E5477" i="1"/>
  <c r="C5478" i="1"/>
  <c r="D5478" i="1"/>
  <c r="E5478" i="1"/>
  <c r="C5479" i="1"/>
  <c r="D5479" i="1"/>
  <c r="E5479" i="1"/>
  <c r="C5480" i="1"/>
  <c r="D5480" i="1"/>
  <c r="E5480" i="1"/>
  <c r="C5481" i="1"/>
  <c r="D5481" i="1"/>
  <c r="E5481" i="1"/>
  <c r="C5482" i="1"/>
  <c r="D5482" i="1"/>
  <c r="E5482" i="1"/>
  <c r="C5483" i="1"/>
  <c r="D5483" i="1"/>
  <c r="E5483" i="1"/>
  <c r="C5484" i="1"/>
  <c r="D5484" i="1"/>
  <c r="E5484" i="1"/>
  <c r="C5485" i="1"/>
  <c r="D5485" i="1"/>
  <c r="E5485" i="1"/>
  <c r="C5486" i="1"/>
  <c r="D5486" i="1"/>
  <c r="E5486" i="1"/>
  <c r="C5487" i="1"/>
  <c r="D5487" i="1"/>
  <c r="E5487" i="1"/>
  <c r="C5488" i="1"/>
  <c r="D5488" i="1"/>
  <c r="E5488" i="1"/>
  <c r="C5489" i="1"/>
  <c r="D5489" i="1"/>
  <c r="E5489" i="1"/>
  <c r="C5490" i="1"/>
  <c r="D5490" i="1"/>
  <c r="E5490" i="1"/>
  <c r="C5491" i="1"/>
  <c r="D5491" i="1"/>
  <c r="E5491" i="1"/>
  <c r="C5492" i="1"/>
  <c r="D5492" i="1"/>
  <c r="E5492" i="1"/>
  <c r="C5493" i="1"/>
  <c r="D5493" i="1"/>
  <c r="E5493" i="1"/>
  <c r="C5494" i="1"/>
  <c r="D5494" i="1"/>
  <c r="E5494" i="1"/>
  <c r="C5495" i="1"/>
  <c r="D5495" i="1"/>
  <c r="E5495" i="1"/>
  <c r="C5496" i="1"/>
  <c r="D5496" i="1"/>
  <c r="E5496" i="1"/>
  <c r="C5497" i="1"/>
  <c r="D5497" i="1"/>
  <c r="E5497" i="1"/>
  <c r="C5498" i="1"/>
  <c r="D5498" i="1"/>
  <c r="E5498" i="1"/>
  <c r="C5499" i="1"/>
  <c r="D5499" i="1"/>
  <c r="E5499" i="1"/>
  <c r="C5500" i="1"/>
  <c r="D5500" i="1"/>
  <c r="E5500" i="1"/>
  <c r="C5501" i="1"/>
  <c r="D5501" i="1"/>
  <c r="E5501" i="1"/>
  <c r="C5502" i="1"/>
  <c r="D5502" i="1"/>
  <c r="E5502" i="1"/>
  <c r="C5503" i="1"/>
  <c r="D5503" i="1"/>
  <c r="E5503" i="1"/>
  <c r="C5504" i="1"/>
  <c r="D5504" i="1"/>
  <c r="E5504" i="1"/>
  <c r="C5505" i="1"/>
  <c r="D5505" i="1"/>
  <c r="E5505" i="1"/>
  <c r="C5506" i="1"/>
  <c r="D5506" i="1"/>
  <c r="E5506" i="1"/>
  <c r="C5507" i="1"/>
  <c r="D5507" i="1"/>
  <c r="E5507" i="1"/>
  <c r="C5508" i="1"/>
  <c r="D5508" i="1"/>
  <c r="E5508" i="1"/>
  <c r="C5509" i="1"/>
  <c r="D5509" i="1"/>
  <c r="E5509" i="1"/>
  <c r="C5510" i="1"/>
  <c r="D5510" i="1"/>
  <c r="E5510" i="1"/>
  <c r="C5511" i="1"/>
  <c r="D5511" i="1"/>
  <c r="E5511" i="1"/>
  <c r="C5512" i="1"/>
  <c r="D5512" i="1"/>
  <c r="E5512" i="1"/>
  <c r="C5513" i="1"/>
  <c r="D5513" i="1"/>
  <c r="E5513" i="1"/>
  <c r="C5514" i="1"/>
  <c r="D5514" i="1"/>
  <c r="E5514" i="1"/>
  <c r="C5515" i="1"/>
  <c r="D5515" i="1"/>
  <c r="E5515" i="1"/>
  <c r="C5516" i="1"/>
  <c r="D5516" i="1"/>
  <c r="E5516" i="1"/>
  <c r="C5517" i="1"/>
  <c r="D5517" i="1"/>
  <c r="E5517" i="1"/>
  <c r="C5518" i="1"/>
  <c r="D5518" i="1"/>
  <c r="E5518" i="1"/>
  <c r="C5519" i="1"/>
  <c r="D5519" i="1"/>
  <c r="E5519" i="1"/>
  <c r="C5520" i="1"/>
  <c r="D5520" i="1"/>
  <c r="E5520" i="1"/>
  <c r="C5521" i="1"/>
  <c r="D5521" i="1"/>
  <c r="E5521" i="1"/>
  <c r="C5522" i="1"/>
  <c r="D5522" i="1"/>
  <c r="E5522" i="1"/>
  <c r="C5523" i="1"/>
  <c r="D5523" i="1"/>
  <c r="E5523" i="1"/>
  <c r="C5524" i="1"/>
  <c r="D5524" i="1"/>
  <c r="E5524" i="1"/>
  <c r="C5525" i="1"/>
  <c r="D5525" i="1"/>
  <c r="E5525" i="1"/>
  <c r="C5526" i="1"/>
  <c r="D5526" i="1"/>
  <c r="E5526" i="1"/>
  <c r="C5527" i="1"/>
  <c r="D5527" i="1"/>
  <c r="E5527" i="1"/>
  <c r="C5528" i="1"/>
  <c r="D5528" i="1"/>
  <c r="E5528" i="1"/>
  <c r="C5529" i="1"/>
  <c r="D5529" i="1"/>
  <c r="E5529" i="1"/>
  <c r="C5530" i="1"/>
  <c r="D5530" i="1"/>
  <c r="E5530" i="1"/>
  <c r="C5531" i="1"/>
  <c r="D5531" i="1"/>
  <c r="E5531" i="1"/>
  <c r="C5532" i="1"/>
  <c r="D5532" i="1"/>
  <c r="E5532" i="1"/>
  <c r="C5533" i="1"/>
  <c r="D5533" i="1"/>
  <c r="E5533" i="1"/>
  <c r="C5534" i="1"/>
  <c r="D5534" i="1"/>
  <c r="E5534" i="1"/>
  <c r="C5535" i="1"/>
  <c r="D5535" i="1"/>
  <c r="E5535" i="1"/>
  <c r="C5536" i="1"/>
  <c r="D5536" i="1"/>
  <c r="E5536" i="1"/>
  <c r="C5537" i="1"/>
  <c r="D5537" i="1"/>
  <c r="E5537" i="1"/>
  <c r="C5538" i="1"/>
  <c r="D5538" i="1"/>
  <c r="E5538" i="1"/>
  <c r="C5539" i="1"/>
  <c r="D5539" i="1"/>
  <c r="E5539" i="1"/>
  <c r="C5540" i="1"/>
  <c r="D5540" i="1"/>
  <c r="E5540" i="1"/>
  <c r="C5541" i="1"/>
  <c r="D5541" i="1"/>
  <c r="E5541" i="1"/>
  <c r="C5542" i="1"/>
  <c r="D5542" i="1"/>
  <c r="E5542" i="1"/>
  <c r="C5543" i="1"/>
  <c r="D5543" i="1"/>
  <c r="E5543" i="1"/>
  <c r="C5544" i="1"/>
  <c r="D5544" i="1"/>
  <c r="E5544" i="1"/>
  <c r="C5545" i="1"/>
  <c r="D5545" i="1"/>
  <c r="E5545" i="1"/>
  <c r="C5546" i="1"/>
  <c r="D5546" i="1"/>
  <c r="E5546" i="1"/>
  <c r="C5547" i="1"/>
  <c r="D5547" i="1"/>
  <c r="E5547" i="1"/>
  <c r="C5548" i="1"/>
  <c r="D5548" i="1"/>
  <c r="E5548" i="1"/>
  <c r="C5549" i="1"/>
  <c r="D5549" i="1"/>
  <c r="E5549" i="1"/>
  <c r="C5550" i="1"/>
  <c r="D5550" i="1"/>
  <c r="E5550" i="1"/>
  <c r="C5551" i="1"/>
  <c r="D5551" i="1"/>
  <c r="E5551" i="1"/>
  <c r="C5552" i="1"/>
  <c r="D5552" i="1"/>
  <c r="E5552" i="1"/>
  <c r="C5553" i="1"/>
  <c r="D5553" i="1"/>
  <c r="E5553" i="1"/>
  <c r="C5554" i="1"/>
  <c r="D5554" i="1"/>
  <c r="E5554" i="1"/>
  <c r="C5555" i="1"/>
  <c r="D5555" i="1"/>
  <c r="E5555" i="1"/>
  <c r="C5556" i="1"/>
  <c r="D5556" i="1"/>
  <c r="E5556" i="1"/>
  <c r="C5557" i="1"/>
  <c r="D5557" i="1"/>
  <c r="E5557" i="1"/>
  <c r="C5558" i="1"/>
  <c r="D5558" i="1"/>
  <c r="E5558" i="1"/>
  <c r="C5559" i="1"/>
  <c r="D5559" i="1"/>
  <c r="E5559" i="1"/>
  <c r="C5560" i="1"/>
  <c r="D5560" i="1"/>
  <c r="E5560" i="1"/>
  <c r="C5561" i="1"/>
  <c r="D5561" i="1"/>
  <c r="E5561" i="1"/>
  <c r="C5562" i="1"/>
  <c r="D5562" i="1"/>
  <c r="E5562" i="1"/>
  <c r="C5563" i="1"/>
  <c r="D5563" i="1"/>
  <c r="E5563" i="1"/>
  <c r="C5564" i="1"/>
  <c r="D5564" i="1"/>
  <c r="E5564" i="1"/>
  <c r="C5565" i="1"/>
  <c r="D5565" i="1"/>
  <c r="E5565" i="1"/>
  <c r="C5566" i="1"/>
  <c r="D5566" i="1"/>
  <c r="E5566" i="1"/>
  <c r="C5567" i="1"/>
  <c r="D5567" i="1"/>
  <c r="E5567" i="1"/>
  <c r="C5568" i="1"/>
  <c r="D5568" i="1"/>
  <c r="E5568" i="1"/>
  <c r="C5569" i="1"/>
  <c r="D5569" i="1"/>
  <c r="E5569" i="1"/>
  <c r="C5570" i="1"/>
  <c r="D5570" i="1"/>
  <c r="E5570" i="1"/>
  <c r="C5571" i="1"/>
  <c r="D5571" i="1"/>
  <c r="E5571" i="1"/>
  <c r="C5572" i="1"/>
  <c r="D5572" i="1"/>
  <c r="E5572" i="1"/>
  <c r="C5573" i="1"/>
  <c r="D5573" i="1"/>
  <c r="E5573" i="1"/>
  <c r="C5574" i="1"/>
  <c r="D5574" i="1"/>
  <c r="E5574" i="1"/>
  <c r="C5575" i="1"/>
  <c r="D5575" i="1"/>
  <c r="E5575" i="1"/>
  <c r="C5576" i="1"/>
  <c r="D5576" i="1"/>
  <c r="E5576" i="1"/>
  <c r="C5577" i="1"/>
  <c r="D5577" i="1"/>
  <c r="E5577" i="1"/>
  <c r="C5578" i="1"/>
  <c r="D5578" i="1"/>
  <c r="E5578" i="1"/>
  <c r="C5579" i="1"/>
  <c r="D5579" i="1"/>
  <c r="E5579" i="1"/>
  <c r="C5580" i="1"/>
  <c r="D5580" i="1"/>
  <c r="E5580" i="1"/>
  <c r="C5581" i="1"/>
  <c r="D5581" i="1"/>
  <c r="E5581" i="1"/>
  <c r="C5582" i="1"/>
  <c r="D5582" i="1"/>
  <c r="E5582" i="1"/>
  <c r="C5583" i="1"/>
  <c r="D5583" i="1"/>
  <c r="E5583" i="1"/>
  <c r="C5584" i="1"/>
  <c r="D5584" i="1"/>
  <c r="E5584" i="1"/>
  <c r="C5585" i="1"/>
  <c r="D5585" i="1"/>
  <c r="E5585" i="1"/>
  <c r="C5586" i="1"/>
  <c r="D5586" i="1"/>
  <c r="E5586" i="1"/>
  <c r="C5587" i="1"/>
  <c r="D5587" i="1"/>
  <c r="E5587" i="1"/>
  <c r="C5588" i="1"/>
  <c r="D5588" i="1"/>
  <c r="E5588" i="1"/>
  <c r="C5589" i="1"/>
  <c r="D5589" i="1"/>
  <c r="E5589" i="1"/>
  <c r="C5590" i="1"/>
  <c r="D5590" i="1"/>
  <c r="E5590" i="1"/>
  <c r="C5591" i="1"/>
  <c r="D5591" i="1"/>
  <c r="E5591" i="1"/>
  <c r="C5592" i="1"/>
  <c r="D5592" i="1"/>
  <c r="E5592" i="1"/>
  <c r="C5593" i="1"/>
  <c r="D5593" i="1"/>
  <c r="E5593" i="1"/>
  <c r="C5594" i="1"/>
  <c r="D5594" i="1"/>
  <c r="E5594" i="1"/>
  <c r="C5595" i="1"/>
  <c r="D5595" i="1"/>
  <c r="E5595" i="1"/>
  <c r="C5596" i="1"/>
  <c r="D5596" i="1"/>
  <c r="E5596" i="1"/>
  <c r="C5597" i="1"/>
  <c r="D5597" i="1"/>
  <c r="E5597" i="1"/>
  <c r="C5598" i="1"/>
  <c r="D5598" i="1"/>
  <c r="E5598" i="1"/>
  <c r="C5599" i="1"/>
  <c r="D5599" i="1"/>
  <c r="E5599" i="1"/>
  <c r="C5600" i="1"/>
  <c r="D5600" i="1"/>
  <c r="E5600" i="1"/>
  <c r="C5601" i="1"/>
  <c r="D5601" i="1"/>
  <c r="E5601" i="1"/>
  <c r="C5602" i="1"/>
  <c r="D5602" i="1"/>
  <c r="E5602" i="1"/>
  <c r="C5603" i="1"/>
  <c r="D5603" i="1"/>
  <c r="E5603" i="1"/>
  <c r="C5604" i="1"/>
  <c r="D5604" i="1"/>
  <c r="E5604" i="1"/>
  <c r="C5605" i="1"/>
  <c r="D5605" i="1"/>
  <c r="E5605" i="1"/>
  <c r="C5606" i="1"/>
  <c r="D5606" i="1"/>
  <c r="E5606" i="1"/>
  <c r="C5607" i="1"/>
  <c r="D5607" i="1"/>
  <c r="E5607" i="1"/>
  <c r="C5608" i="1"/>
  <c r="D5608" i="1"/>
  <c r="E5608" i="1"/>
  <c r="C5609" i="1"/>
  <c r="D5609" i="1"/>
  <c r="E5609" i="1"/>
  <c r="C5610" i="1"/>
  <c r="D5610" i="1"/>
  <c r="E5610" i="1"/>
  <c r="C5611" i="1"/>
  <c r="D5611" i="1"/>
  <c r="E5611" i="1"/>
  <c r="C5612" i="1"/>
  <c r="D5612" i="1"/>
  <c r="E5612" i="1"/>
  <c r="C5613" i="1"/>
  <c r="D5613" i="1"/>
  <c r="E5613" i="1"/>
  <c r="C5614" i="1"/>
  <c r="D5614" i="1"/>
  <c r="E5614" i="1"/>
  <c r="C5615" i="1"/>
  <c r="D5615" i="1"/>
  <c r="E5615" i="1"/>
  <c r="C5616" i="1"/>
  <c r="D5616" i="1"/>
  <c r="E5616" i="1"/>
  <c r="C5617" i="1"/>
  <c r="D5617" i="1"/>
  <c r="E5617" i="1"/>
  <c r="C5618" i="1"/>
  <c r="D5618" i="1"/>
  <c r="E5618" i="1"/>
  <c r="C5619" i="1"/>
  <c r="D5619" i="1"/>
  <c r="E5619" i="1"/>
  <c r="C5620" i="1"/>
  <c r="D5620" i="1"/>
  <c r="E5620" i="1"/>
  <c r="C5621" i="1"/>
  <c r="D5621" i="1"/>
  <c r="E5621" i="1"/>
  <c r="C5622" i="1"/>
  <c r="D5622" i="1"/>
  <c r="E5622" i="1"/>
  <c r="C5623" i="1"/>
  <c r="D5623" i="1"/>
  <c r="E5623" i="1"/>
  <c r="C5624" i="1"/>
  <c r="D5624" i="1"/>
  <c r="E5624" i="1"/>
  <c r="C5625" i="1"/>
  <c r="D5625" i="1"/>
  <c r="E5625" i="1"/>
  <c r="C5626" i="1"/>
  <c r="D5626" i="1"/>
  <c r="E5626" i="1"/>
  <c r="C5627" i="1"/>
  <c r="D5627" i="1"/>
  <c r="E5627" i="1"/>
  <c r="C5628" i="1"/>
  <c r="D5628" i="1"/>
  <c r="E5628" i="1"/>
  <c r="C5629" i="1"/>
  <c r="D5629" i="1"/>
  <c r="E5629" i="1"/>
  <c r="C5630" i="1"/>
  <c r="D5630" i="1"/>
  <c r="E5630" i="1"/>
  <c r="C5631" i="1"/>
  <c r="D5631" i="1"/>
  <c r="E5631" i="1"/>
  <c r="C5632" i="1"/>
  <c r="D5632" i="1"/>
  <c r="E5632" i="1"/>
  <c r="C5633" i="1"/>
  <c r="D5633" i="1"/>
  <c r="E5633" i="1"/>
  <c r="C5634" i="1"/>
  <c r="D5634" i="1"/>
  <c r="E5634" i="1"/>
  <c r="C5635" i="1"/>
  <c r="D5635" i="1"/>
  <c r="E5635" i="1"/>
  <c r="C5636" i="1"/>
  <c r="D5636" i="1"/>
  <c r="E5636" i="1"/>
  <c r="C5637" i="1"/>
  <c r="D5637" i="1"/>
  <c r="E5637" i="1"/>
  <c r="C5638" i="1"/>
  <c r="D5638" i="1"/>
  <c r="E5638" i="1"/>
  <c r="C5639" i="1"/>
  <c r="D5639" i="1"/>
  <c r="E5639" i="1"/>
  <c r="C5640" i="1"/>
  <c r="D5640" i="1"/>
  <c r="E5640" i="1"/>
  <c r="C5641" i="1"/>
  <c r="D5641" i="1"/>
  <c r="E5641" i="1"/>
  <c r="C5642" i="1"/>
  <c r="D5642" i="1"/>
  <c r="E5642" i="1"/>
  <c r="C5643" i="1"/>
  <c r="D5643" i="1"/>
  <c r="E5643" i="1"/>
  <c r="C5644" i="1"/>
  <c r="D5644" i="1"/>
  <c r="E5644" i="1"/>
  <c r="C5645" i="1"/>
  <c r="D5645" i="1"/>
  <c r="E5645" i="1"/>
  <c r="C5646" i="1"/>
  <c r="D5646" i="1"/>
  <c r="E5646" i="1"/>
  <c r="C5647" i="1"/>
  <c r="D5647" i="1"/>
  <c r="E5647" i="1"/>
  <c r="C5648" i="1"/>
  <c r="D5648" i="1"/>
  <c r="E5648" i="1"/>
  <c r="C5649" i="1"/>
  <c r="D5649" i="1"/>
  <c r="E5649" i="1"/>
  <c r="C5650" i="1"/>
  <c r="D5650" i="1"/>
  <c r="E5650" i="1"/>
  <c r="C5651" i="1"/>
  <c r="D5651" i="1"/>
  <c r="E5651" i="1"/>
  <c r="C5652" i="1"/>
  <c r="D5652" i="1"/>
  <c r="E5652" i="1"/>
  <c r="C5653" i="1"/>
  <c r="D5653" i="1"/>
  <c r="E5653" i="1"/>
  <c r="C5654" i="1"/>
  <c r="D5654" i="1"/>
  <c r="E5654" i="1"/>
  <c r="C5655" i="1"/>
  <c r="D5655" i="1"/>
  <c r="E5655" i="1"/>
  <c r="C5656" i="1"/>
  <c r="D5656" i="1"/>
  <c r="E5656" i="1"/>
  <c r="C5657" i="1"/>
  <c r="D5657" i="1"/>
  <c r="E5657" i="1"/>
  <c r="C5658" i="1"/>
  <c r="D5658" i="1"/>
  <c r="E5658" i="1"/>
  <c r="C5659" i="1"/>
  <c r="D5659" i="1"/>
  <c r="E5659" i="1"/>
  <c r="C5660" i="1"/>
  <c r="D5660" i="1"/>
  <c r="E5660" i="1"/>
  <c r="C5661" i="1"/>
  <c r="D5661" i="1"/>
  <c r="E5661" i="1"/>
  <c r="C5662" i="1"/>
  <c r="D5662" i="1"/>
  <c r="E5662" i="1"/>
  <c r="C5663" i="1"/>
  <c r="D5663" i="1"/>
  <c r="E5663" i="1"/>
  <c r="C5664" i="1"/>
  <c r="D5664" i="1"/>
  <c r="E5664" i="1"/>
  <c r="C5665" i="1"/>
  <c r="D5665" i="1"/>
  <c r="E5665" i="1"/>
  <c r="C5666" i="1"/>
  <c r="D5666" i="1"/>
  <c r="E5666" i="1"/>
  <c r="C5667" i="1"/>
  <c r="D5667" i="1"/>
  <c r="E5667" i="1"/>
  <c r="C5668" i="1"/>
  <c r="D5668" i="1"/>
  <c r="E5668" i="1"/>
  <c r="C5669" i="1"/>
  <c r="D5669" i="1"/>
  <c r="E5669" i="1"/>
  <c r="C5670" i="1"/>
  <c r="D5670" i="1"/>
  <c r="E5670" i="1"/>
  <c r="C5671" i="1"/>
  <c r="D5671" i="1"/>
  <c r="E5671" i="1"/>
  <c r="C5672" i="1"/>
  <c r="D5672" i="1"/>
  <c r="E5672" i="1"/>
  <c r="C5673" i="1"/>
  <c r="D5673" i="1"/>
  <c r="E5673" i="1"/>
  <c r="C5674" i="1"/>
  <c r="D5674" i="1"/>
  <c r="E5674" i="1"/>
  <c r="C5675" i="1"/>
  <c r="D5675" i="1"/>
  <c r="E5675" i="1"/>
  <c r="C5676" i="1"/>
  <c r="D5676" i="1"/>
  <c r="E5676" i="1"/>
  <c r="C5677" i="1"/>
  <c r="D5677" i="1"/>
  <c r="E5677" i="1"/>
  <c r="C5678" i="1"/>
  <c r="D5678" i="1"/>
  <c r="E5678" i="1"/>
  <c r="C5679" i="1"/>
  <c r="D5679" i="1"/>
  <c r="E5679" i="1"/>
  <c r="C5680" i="1"/>
  <c r="D5680" i="1"/>
  <c r="E5680" i="1"/>
  <c r="C5681" i="1"/>
  <c r="D5681" i="1"/>
  <c r="E5681" i="1"/>
  <c r="C5682" i="1"/>
  <c r="D5682" i="1"/>
  <c r="E5682" i="1"/>
  <c r="C5683" i="1"/>
  <c r="D5683" i="1"/>
  <c r="E5683" i="1"/>
  <c r="C5684" i="1"/>
  <c r="D5684" i="1"/>
  <c r="E5684" i="1"/>
  <c r="C5685" i="1"/>
  <c r="D5685" i="1"/>
  <c r="E5685" i="1"/>
  <c r="C5686" i="1"/>
  <c r="D5686" i="1"/>
  <c r="E5686" i="1"/>
  <c r="C5687" i="1"/>
  <c r="D5687" i="1"/>
  <c r="E5687" i="1"/>
  <c r="C5688" i="1"/>
  <c r="D5688" i="1"/>
  <c r="E5688" i="1"/>
  <c r="C5689" i="1"/>
  <c r="D5689" i="1"/>
  <c r="E5689" i="1"/>
  <c r="C5690" i="1"/>
  <c r="D5690" i="1"/>
  <c r="E5690" i="1"/>
  <c r="C5691" i="1"/>
  <c r="D5691" i="1"/>
  <c r="E5691" i="1"/>
  <c r="C5692" i="1"/>
  <c r="D5692" i="1"/>
  <c r="E5692" i="1"/>
  <c r="C5693" i="1"/>
  <c r="D5693" i="1"/>
  <c r="E5693" i="1"/>
  <c r="C5694" i="1"/>
  <c r="D5694" i="1"/>
  <c r="E5694" i="1"/>
  <c r="C5695" i="1"/>
  <c r="D5695" i="1"/>
  <c r="E5695" i="1"/>
  <c r="C5696" i="1"/>
  <c r="D5696" i="1"/>
  <c r="E5696" i="1"/>
  <c r="C5697" i="1"/>
  <c r="D5697" i="1"/>
  <c r="E5697" i="1"/>
  <c r="C5698" i="1"/>
  <c r="D5698" i="1"/>
  <c r="E5698" i="1"/>
  <c r="C5699" i="1"/>
  <c r="D5699" i="1"/>
  <c r="E5699" i="1"/>
  <c r="C5700" i="1"/>
  <c r="D5700" i="1"/>
  <c r="E5700" i="1"/>
  <c r="C5701" i="1"/>
  <c r="D5701" i="1"/>
  <c r="E5701" i="1"/>
  <c r="C5702" i="1"/>
  <c r="D5702" i="1"/>
  <c r="E5702" i="1"/>
  <c r="C5703" i="1"/>
  <c r="D5703" i="1"/>
  <c r="E5703" i="1"/>
  <c r="C5704" i="1"/>
  <c r="D5704" i="1"/>
  <c r="E5704" i="1"/>
  <c r="C5705" i="1"/>
  <c r="D5705" i="1"/>
  <c r="E5705" i="1"/>
  <c r="C5706" i="1"/>
  <c r="D5706" i="1"/>
  <c r="E5706" i="1"/>
  <c r="C5707" i="1"/>
  <c r="D5707" i="1"/>
  <c r="E5707" i="1"/>
  <c r="C5708" i="1"/>
  <c r="D5708" i="1"/>
  <c r="E5708" i="1"/>
  <c r="C5709" i="1"/>
  <c r="D5709" i="1"/>
  <c r="E5709" i="1"/>
  <c r="C5710" i="1"/>
  <c r="D5710" i="1"/>
  <c r="E5710" i="1"/>
  <c r="C5711" i="1"/>
  <c r="D5711" i="1"/>
  <c r="E5711" i="1"/>
  <c r="C5712" i="1"/>
  <c r="D5712" i="1"/>
  <c r="E5712" i="1"/>
  <c r="C5713" i="1"/>
  <c r="D5713" i="1"/>
  <c r="E5713" i="1"/>
  <c r="C5714" i="1"/>
  <c r="D5714" i="1"/>
  <c r="E5714" i="1"/>
  <c r="C5715" i="1"/>
  <c r="D5715" i="1"/>
  <c r="E5715" i="1"/>
  <c r="C5716" i="1"/>
  <c r="D5716" i="1"/>
  <c r="E5716" i="1"/>
  <c r="C5717" i="1"/>
  <c r="D5717" i="1"/>
  <c r="E5717" i="1"/>
  <c r="C5718" i="1"/>
  <c r="D5718" i="1"/>
  <c r="E5718" i="1"/>
  <c r="C5719" i="1"/>
  <c r="D5719" i="1"/>
  <c r="E5719" i="1"/>
  <c r="C5720" i="1"/>
  <c r="D5720" i="1"/>
  <c r="E5720" i="1"/>
  <c r="C5721" i="1"/>
  <c r="D5721" i="1"/>
  <c r="E5721" i="1"/>
  <c r="C5722" i="1"/>
  <c r="D5722" i="1"/>
  <c r="E5722" i="1"/>
  <c r="C5723" i="1"/>
  <c r="D5723" i="1"/>
  <c r="E5723" i="1"/>
  <c r="C5724" i="1"/>
  <c r="D5724" i="1"/>
  <c r="E5724" i="1"/>
  <c r="C5725" i="1"/>
  <c r="D5725" i="1"/>
  <c r="E5725" i="1"/>
  <c r="C5726" i="1"/>
  <c r="D5726" i="1"/>
  <c r="E5726" i="1"/>
  <c r="C5727" i="1"/>
  <c r="D5727" i="1"/>
  <c r="E5727" i="1"/>
  <c r="C5728" i="1"/>
  <c r="D5728" i="1"/>
  <c r="E5728" i="1"/>
  <c r="C5729" i="1"/>
  <c r="D5729" i="1"/>
  <c r="E5729" i="1"/>
  <c r="C5730" i="1"/>
  <c r="D5730" i="1"/>
  <c r="E5730" i="1"/>
  <c r="C5731" i="1"/>
  <c r="D5731" i="1"/>
  <c r="E5731" i="1"/>
  <c r="C5732" i="1"/>
  <c r="D5732" i="1"/>
  <c r="E5732" i="1"/>
  <c r="C5733" i="1"/>
  <c r="D5733" i="1"/>
  <c r="E5733" i="1"/>
  <c r="C5734" i="1"/>
  <c r="D5734" i="1"/>
  <c r="E5734" i="1"/>
  <c r="C5735" i="1"/>
  <c r="D5735" i="1"/>
  <c r="E5735" i="1"/>
  <c r="C5736" i="1"/>
  <c r="D5736" i="1"/>
  <c r="E5736" i="1"/>
  <c r="C5737" i="1"/>
  <c r="D5737" i="1"/>
  <c r="E5737" i="1"/>
  <c r="C5738" i="1"/>
  <c r="D5738" i="1"/>
  <c r="E5738" i="1"/>
  <c r="C5739" i="1"/>
  <c r="D5739" i="1"/>
  <c r="E5739" i="1"/>
  <c r="C5740" i="1"/>
  <c r="D5740" i="1"/>
  <c r="E5740" i="1"/>
  <c r="C5741" i="1"/>
  <c r="D5741" i="1"/>
  <c r="E5741" i="1"/>
  <c r="C5742" i="1"/>
  <c r="D5742" i="1"/>
  <c r="E5742" i="1"/>
  <c r="C5743" i="1"/>
  <c r="D5743" i="1"/>
  <c r="E5743" i="1"/>
  <c r="C5744" i="1"/>
  <c r="D5744" i="1"/>
  <c r="E5744" i="1"/>
  <c r="C5745" i="1"/>
  <c r="D5745" i="1"/>
  <c r="E5745" i="1"/>
  <c r="C5746" i="1"/>
  <c r="D5746" i="1"/>
  <c r="E5746" i="1"/>
  <c r="C5747" i="1"/>
  <c r="D5747" i="1"/>
  <c r="E5747" i="1"/>
  <c r="C5748" i="1"/>
  <c r="D5748" i="1"/>
  <c r="E5748" i="1"/>
  <c r="C5749" i="1"/>
  <c r="D5749" i="1"/>
  <c r="E5749" i="1"/>
  <c r="C5750" i="1"/>
  <c r="D5750" i="1"/>
  <c r="E5750" i="1"/>
  <c r="C5751" i="1"/>
  <c r="D5751" i="1"/>
  <c r="E5751" i="1"/>
  <c r="C5752" i="1"/>
  <c r="D5752" i="1"/>
  <c r="E5752" i="1"/>
  <c r="C5753" i="1"/>
  <c r="D5753" i="1"/>
  <c r="E5753" i="1"/>
  <c r="C5754" i="1"/>
  <c r="D5754" i="1"/>
  <c r="E5754" i="1"/>
  <c r="C5755" i="1"/>
  <c r="D5755" i="1"/>
  <c r="E5755" i="1"/>
  <c r="C5756" i="1"/>
  <c r="D5756" i="1"/>
  <c r="E5756" i="1"/>
  <c r="C5757" i="1"/>
  <c r="D5757" i="1"/>
  <c r="E5757" i="1"/>
  <c r="C5758" i="1"/>
  <c r="D5758" i="1"/>
  <c r="E5758" i="1"/>
  <c r="C5759" i="1"/>
  <c r="D5759" i="1"/>
  <c r="E5759" i="1"/>
  <c r="C5760" i="1"/>
  <c r="D5760" i="1"/>
  <c r="E5760" i="1"/>
  <c r="C5761" i="1"/>
  <c r="D5761" i="1"/>
  <c r="E5761" i="1"/>
  <c r="C5762" i="1"/>
  <c r="D5762" i="1"/>
  <c r="E5762" i="1"/>
  <c r="C5763" i="1"/>
  <c r="D5763" i="1"/>
  <c r="E5763" i="1"/>
  <c r="C5764" i="1"/>
  <c r="D5764" i="1"/>
  <c r="E5764" i="1"/>
  <c r="C5765" i="1"/>
  <c r="D5765" i="1"/>
  <c r="E5765" i="1"/>
  <c r="C5766" i="1"/>
  <c r="D5766" i="1"/>
  <c r="E5766" i="1"/>
  <c r="C5767" i="1"/>
  <c r="D5767" i="1"/>
  <c r="E5767" i="1"/>
  <c r="C5768" i="1"/>
  <c r="D5768" i="1"/>
  <c r="E5768" i="1"/>
  <c r="C5769" i="1"/>
  <c r="D5769" i="1"/>
  <c r="E5769" i="1"/>
  <c r="C5770" i="1"/>
  <c r="D5770" i="1"/>
  <c r="E5770" i="1"/>
  <c r="C5771" i="1"/>
  <c r="D5771" i="1"/>
  <c r="E5771" i="1"/>
  <c r="C5772" i="1"/>
  <c r="D5772" i="1"/>
  <c r="E5772" i="1"/>
  <c r="C5773" i="1"/>
  <c r="D5773" i="1"/>
  <c r="E5773" i="1"/>
  <c r="C5774" i="1"/>
  <c r="D5774" i="1"/>
  <c r="E5774" i="1"/>
  <c r="C5775" i="1"/>
  <c r="D5775" i="1"/>
  <c r="E5775" i="1"/>
  <c r="C5776" i="1"/>
  <c r="D5776" i="1"/>
  <c r="E5776" i="1"/>
  <c r="C5777" i="1"/>
  <c r="D5777" i="1"/>
  <c r="E5777" i="1"/>
  <c r="C5778" i="1"/>
  <c r="D5778" i="1"/>
  <c r="E5778" i="1"/>
  <c r="C5779" i="1"/>
  <c r="D5779" i="1"/>
  <c r="E5779" i="1"/>
  <c r="C5780" i="1"/>
  <c r="D5780" i="1"/>
  <c r="E5780" i="1"/>
  <c r="C5781" i="1"/>
  <c r="D5781" i="1"/>
  <c r="E5781" i="1"/>
  <c r="C5782" i="1"/>
  <c r="D5782" i="1"/>
  <c r="E5782" i="1"/>
  <c r="C5783" i="1"/>
  <c r="D5783" i="1"/>
  <c r="E5783" i="1"/>
  <c r="C5784" i="1"/>
  <c r="D5784" i="1"/>
  <c r="E5784" i="1"/>
  <c r="C5785" i="1"/>
  <c r="D5785" i="1"/>
  <c r="E5785" i="1"/>
  <c r="C5786" i="1"/>
  <c r="D5786" i="1"/>
  <c r="E5786" i="1"/>
  <c r="C5787" i="1"/>
  <c r="D5787" i="1"/>
  <c r="E5787" i="1"/>
  <c r="C5788" i="1"/>
  <c r="D5788" i="1"/>
  <c r="E5788" i="1"/>
  <c r="C5789" i="1"/>
  <c r="D5789" i="1"/>
  <c r="E5789" i="1"/>
  <c r="C5790" i="1"/>
  <c r="D5790" i="1"/>
  <c r="E5790" i="1"/>
  <c r="C5791" i="1"/>
  <c r="D5791" i="1"/>
  <c r="E5791" i="1"/>
  <c r="C5792" i="1"/>
  <c r="D5792" i="1"/>
  <c r="E5792" i="1"/>
  <c r="C5793" i="1"/>
  <c r="D5793" i="1"/>
  <c r="E5793" i="1"/>
  <c r="C5794" i="1"/>
  <c r="D5794" i="1"/>
  <c r="E5794" i="1"/>
  <c r="C5795" i="1"/>
  <c r="D5795" i="1"/>
  <c r="E5795" i="1"/>
  <c r="C5796" i="1"/>
  <c r="D5796" i="1"/>
  <c r="E5796" i="1"/>
  <c r="C5797" i="1"/>
  <c r="D5797" i="1"/>
  <c r="E5797" i="1"/>
  <c r="C5798" i="1"/>
  <c r="D5798" i="1"/>
  <c r="E5798" i="1"/>
  <c r="C5799" i="1"/>
  <c r="D5799" i="1"/>
  <c r="E5799" i="1"/>
  <c r="C5800" i="1"/>
  <c r="D5800" i="1"/>
  <c r="E5800" i="1"/>
  <c r="C5801" i="1"/>
  <c r="D5801" i="1"/>
  <c r="E5801" i="1"/>
  <c r="C5802" i="1"/>
  <c r="D5802" i="1"/>
  <c r="E5802" i="1"/>
  <c r="C5803" i="1"/>
  <c r="D5803" i="1"/>
  <c r="E5803" i="1"/>
  <c r="C5804" i="1"/>
  <c r="D5804" i="1"/>
  <c r="E5804" i="1"/>
  <c r="C5805" i="1"/>
  <c r="D5805" i="1"/>
  <c r="E5805" i="1"/>
  <c r="C5806" i="1"/>
  <c r="D5806" i="1"/>
  <c r="E5806" i="1"/>
  <c r="C5807" i="1"/>
  <c r="D5807" i="1"/>
  <c r="E5807" i="1"/>
  <c r="C5808" i="1"/>
  <c r="D5808" i="1"/>
  <c r="E5808" i="1"/>
  <c r="C5809" i="1"/>
  <c r="D5809" i="1"/>
  <c r="E5809" i="1"/>
  <c r="C5810" i="1"/>
  <c r="D5810" i="1"/>
  <c r="E5810" i="1"/>
  <c r="C5811" i="1"/>
  <c r="D5811" i="1"/>
  <c r="E5811" i="1"/>
  <c r="C5812" i="1"/>
  <c r="D5812" i="1"/>
  <c r="E5812" i="1"/>
  <c r="C5813" i="1"/>
  <c r="D5813" i="1"/>
  <c r="E5813" i="1"/>
  <c r="C5814" i="1"/>
  <c r="D5814" i="1"/>
  <c r="E5814" i="1"/>
  <c r="C5815" i="1"/>
  <c r="D5815" i="1"/>
  <c r="E5815" i="1"/>
  <c r="C5816" i="1"/>
  <c r="D5816" i="1"/>
  <c r="E5816" i="1"/>
  <c r="C5817" i="1"/>
  <c r="D5817" i="1"/>
  <c r="E5817" i="1"/>
  <c r="C5818" i="1"/>
  <c r="D5818" i="1"/>
  <c r="E5818" i="1"/>
  <c r="C5819" i="1"/>
  <c r="D5819" i="1"/>
  <c r="E5819" i="1"/>
  <c r="C5820" i="1"/>
  <c r="D5820" i="1"/>
  <c r="E5820" i="1"/>
  <c r="C5821" i="1"/>
  <c r="D5821" i="1"/>
  <c r="E5821" i="1"/>
  <c r="C5822" i="1"/>
  <c r="D5822" i="1"/>
  <c r="E5822" i="1"/>
  <c r="C5823" i="1"/>
  <c r="D5823" i="1"/>
  <c r="E5823" i="1"/>
  <c r="C5824" i="1"/>
  <c r="D5824" i="1"/>
  <c r="E5824" i="1"/>
  <c r="C5825" i="1"/>
  <c r="D5825" i="1"/>
  <c r="E5825" i="1"/>
  <c r="C5826" i="1"/>
  <c r="D5826" i="1"/>
  <c r="E5826" i="1"/>
  <c r="C5827" i="1"/>
  <c r="D5827" i="1"/>
  <c r="E5827" i="1"/>
  <c r="C5828" i="1"/>
  <c r="D5828" i="1"/>
  <c r="E5828" i="1"/>
  <c r="C5829" i="1"/>
  <c r="D5829" i="1"/>
  <c r="E5829" i="1"/>
  <c r="C5830" i="1"/>
  <c r="D5830" i="1"/>
  <c r="E5830" i="1"/>
  <c r="C5831" i="1"/>
  <c r="D5831" i="1"/>
  <c r="E5831" i="1"/>
  <c r="C5832" i="1"/>
  <c r="D5832" i="1"/>
  <c r="E5832" i="1"/>
  <c r="C5833" i="1"/>
  <c r="D5833" i="1"/>
  <c r="E5833" i="1"/>
  <c r="C5834" i="1"/>
  <c r="D5834" i="1"/>
  <c r="E5834" i="1"/>
  <c r="C5835" i="1"/>
  <c r="D5835" i="1"/>
  <c r="E5835" i="1"/>
  <c r="C5836" i="1"/>
  <c r="D5836" i="1"/>
  <c r="E5836" i="1"/>
  <c r="C5837" i="1"/>
  <c r="D5837" i="1"/>
  <c r="E5837" i="1"/>
  <c r="C5838" i="1"/>
  <c r="D5838" i="1"/>
  <c r="E5838" i="1"/>
  <c r="C5839" i="1"/>
  <c r="D5839" i="1"/>
  <c r="E5839" i="1"/>
  <c r="C5840" i="1"/>
  <c r="D5840" i="1"/>
  <c r="E5840" i="1"/>
  <c r="C5841" i="1"/>
  <c r="D5841" i="1"/>
  <c r="E5841" i="1"/>
  <c r="C5842" i="1"/>
  <c r="D5842" i="1"/>
  <c r="E5842" i="1"/>
  <c r="C5843" i="1"/>
  <c r="D5843" i="1"/>
  <c r="E5843" i="1"/>
  <c r="C5844" i="1"/>
  <c r="D5844" i="1"/>
  <c r="E5844" i="1"/>
  <c r="C5845" i="1"/>
  <c r="D5845" i="1"/>
  <c r="E5845" i="1"/>
  <c r="C5846" i="1"/>
  <c r="D5846" i="1"/>
  <c r="E5846" i="1"/>
  <c r="C5847" i="1"/>
  <c r="D5847" i="1"/>
  <c r="E5847" i="1"/>
  <c r="C5848" i="1"/>
  <c r="D5848" i="1"/>
  <c r="E5848" i="1"/>
  <c r="C5849" i="1"/>
  <c r="D5849" i="1"/>
  <c r="E5849" i="1"/>
  <c r="C5850" i="1"/>
  <c r="D5850" i="1"/>
  <c r="E5850" i="1"/>
  <c r="C5851" i="1"/>
  <c r="D5851" i="1"/>
  <c r="E5851" i="1"/>
  <c r="C5852" i="1"/>
  <c r="D5852" i="1"/>
  <c r="E5852" i="1"/>
  <c r="C5853" i="1"/>
  <c r="D5853" i="1"/>
  <c r="E5853" i="1"/>
  <c r="C5854" i="1"/>
  <c r="D5854" i="1"/>
  <c r="E5854" i="1"/>
  <c r="C5855" i="1"/>
  <c r="D5855" i="1"/>
  <c r="E5855" i="1"/>
  <c r="C5856" i="1"/>
  <c r="D5856" i="1"/>
  <c r="E5856" i="1"/>
  <c r="C5857" i="1"/>
  <c r="D5857" i="1"/>
  <c r="E5857" i="1"/>
  <c r="C5858" i="1"/>
  <c r="D5858" i="1"/>
  <c r="E5858" i="1"/>
  <c r="C5859" i="1"/>
  <c r="D5859" i="1"/>
  <c r="E5859" i="1"/>
  <c r="C5860" i="1"/>
  <c r="D5860" i="1"/>
  <c r="E5860" i="1"/>
  <c r="C5861" i="1"/>
  <c r="D5861" i="1"/>
  <c r="E5861" i="1"/>
  <c r="C5862" i="1"/>
  <c r="D5862" i="1"/>
  <c r="E5862" i="1"/>
  <c r="C5863" i="1"/>
  <c r="D5863" i="1"/>
  <c r="E5863" i="1"/>
  <c r="C5864" i="1"/>
  <c r="D5864" i="1"/>
  <c r="E5864" i="1"/>
  <c r="C5865" i="1"/>
  <c r="D5865" i="1"/>
  <c r="E5865" i="1"/>
  <c r="C5866" i="1"/>
  <c r="D5866" i="1"/>
  <c r="E5866" i="1"/>
  <c r="C5867" i="1"/>
  <c r="D5867" i="1"/>
  <c r="E5867" i="1"/>
  <c r="C5868" i="1"/>
  <c r="D5868" i="1"/>
  <c r="E5868" i="1"/>
  <c r="C5869" i="1"/>
  <c r="D5869" i="1"/>
  <c r="E5869" i="1"/>
  <c r="C5870" i="1"/>
  <c r="D5870" i="1"/>
  <c r="E5870" i="1"/>
  <c r="C5871" i="1"/>
  <c r="D5871" i="1"/>
  <c r="E5871" i="1"/>
  <c r="C5872" i="1"/>
  <c r="D5872" i="1"/>
  <c r="E5872" i="1"/>
  <c r="C5873" i="1"/>
  <c r="D5873" i="1"/>
  <c r="E5873" i="1"/>
  <c r="C5874" i="1"/>
  <c r="D5874" i="1"/>
  <c r="E5874" i="1"/>
  <c r="C5875" i="1"/>
  <c r="D5875" i="1"/>
  <c r="E5875" i="1"/>
  <c r="C5876" i="1"/>
  <c r="D5876" i="1"/>
  <c r="E5876" i="1"/>
  <c r="C5877" i="1"/>
  <c r="D5877" i="1"/>
  <c r="E5877" i="1"/>
  <c r="C5878" i="1"/>
  <c r="D5878" i="1"/>
  <c r="E5878" i="1"/>
  <c r="C5879" i="1"/>
  <c r="D5879" i="1"/>
  <c r="E5879" i="1"/>
  <c r="C5880" i="1"/>
  <c r="D5880" i="1"/>
  <c r="E5880" i="1"/>
  <c r="C5881" i="1"/>
  <c r="D5881" i="1"/>
  <c r="E5881" i="1"/>
  <c r="C5882" i="1"/>
  <c r="D5882" i="1"/>
  <c r="E5882" i="1"/>
  <c r="C5883" i="1"/>
  <c r="D5883" i="1"/>
  <c r="E5883" i="1"/>
  <c r="C5884" i="1"/>
  <c r="D5884" i="1"/>
  <c r="E5884" i="1"/>
  <c r="C5885" i="1"/>
  <c r="D5885" i="1"/>
  <c r="E5885" i="1"/>
  <c r="C5886" i="1"/>
  <c r="D5886" i="1"/>
  <c r="E5886" i="1"/>
  <c r="C5887" i="1"/>
  <c r="D5887" i="1"/>
  <c r="E5887" i="1"/>
  <c r="C5888" i="1"/>
  <c r="D5888" i="1"/>
  <c r="E5888" i="1"/>
  <c r="C5889" i="1"/>
  <c r="D5889" i="1"/>
  <c r="E5889" i="1"/>
  <c r="C5890" i="1"/>
  <c r="D5890" i="1"/>
  <c r="E5890" i="1"/>
  <c r="C5891" i="1"/>
  <c r="D5891" i="1"/>
  <c r="E5891" i="1"/>
  <c r="C5892" i="1"/>
  <c r="D5892" i="1"/>
  <c r="E5892" i="1"/>
  <c r="C5893" i="1"/>
  <c r="D5893" i="1"/>
  <c r="E5893" i="1"/>
  <c r="C5894" i="1"/>
  <c r="D5894" i="1"/>
  <c r="E5894" i="1"/>
  <c r="C5895" i="1"/>
  <c r="D5895" i="1"/>
  <c r="E5895" i="1"/>
  <c r="C5896" i="1"/>
  <c r="D5896" i="1"/>
  <c r="E5896" i="1"/>
  <c r="C5897" i="1"/>
  <c r="D5897" i="1"/>
  <c r="E5897" i="1"/>
  <c r="C5898" i="1"/>
  <c r="D5898" i="1"/>
  <c r="E5898" i="1"/>
  <c r="C5899" i="1"/>
  <c r="D5899" i="1"/>
  <c r="E5899" i="1"/>
  <c r="C5900" i="1"/>
  <c r="D5900" i="1"/>
  <c r="E5900" i="1"/>
  <c r="C5901" i="1"/>
  <c r="D5901" i="1"/>
  <c r="E5901" i="1"/>
  <c r="C5902" i="1"/>
  <c r="D5902" i="1"/>
  <c r="E5902" i="1"/>
  <c r="C5903" i="1"/>
  <c r="D5903" i="1"/>
  <c r="E5903" i="1"/>
  <c r="C5904" i="1"/>
  <c r="D5904" i="1"/>
  <c r="E5904" i="1"/>
  <c r="C5905" i="1"/>
  <c r="D5905" i="1"/>
  <c r="E5905" i="1"/>
  <c r="C5906" i="1"/>
  <c r="D5906" i="1"/>
  <c r="E5906" i="1"/>
  <c r="C5907" i="1"/>
  <c r="D5907" i="1"/>
  <c r="E5907" i="1"/>
  <c r="C5908" i="1"/>
  <c r="D5908" i="1"/>
  <c r="E5908" i="1"/>
  <c r="C5909" i="1"/>
  <c r="D5909" i="1"/>
  <c r="E5909" i="1"/>
  <c r="C5910" i="1"/>
  <c r="D5910" i="1"/>
  <c r="E5910" i="1"/>
  <c r="C5911" i="1"/>
  <c r="D5911" i="1"/>
  <c r="E5911" i="1"/>
  <c r="C5912" i="1"/>
  <c r="D5912" i="1"/>
  <c r="E5912" i="1"/>
  <c r="C5913" i="1"/>
  <c r="D5913" i="1"/>
  <c r="E5913" i="1"/>
  <c r="C5914" i="1"/>
  <c r="D5914" i="1"/>
  <c r="E5914" i="1"/>
  <c r="C5915" i="1"/>
  <c r="D5915" i="1"/>
  <c r="E5915" i="1"/>
  <c r="C5916" i="1"/>
  <c r="D5916" i="1"/>
  <c r="E5916" i="1"/>
  <c r="C5917" i="1"/>
  <c r="D5917" i="1"/>
  <c r="E5917" i="1"/>
  <c r="C5918" i="1"/>
  <c r="D5918" i="1"/>
  <c r="E5918" i="1"/>
  <c r="C5919" i="1"/>
  <c r="D5919" i="1"/>
  <c r="E5919" i="1"/>
  <c r="C5920" i="1"/>
  <c r="D5920" i="1"/>
  <c r="E5920" i="1"/>
  <c r="C5921" i="1"/>
  <c r="D5921" i="1"/>
  <c r="E5921" i="1"/>
  <c r="C5922" i="1"/>
  <c r="D5922" i="1"/>
  <c r="E5922" i="1"/>
  <c r="C5923" i="1"/>
  <c r="D5923" i="1"/>
  <c r="E5923" i="1"/>
  <c r="C5924" i="1"/>
  <c r="D5924" i="1"/>
  <c r="E5924" i="1"/>
  <c r="C5925" i="1"/>
  <c r="D5925" i="1"/>
  <c r="E5925" i="1"/>
  <c r="C5926" i="1"/>
  <c r="D5926" i="1"/>
  <c r="E5926" i="1"/>
  <c r="C5927" i="1"/>
  <c r="D5927" i="1"/>
  <c r="E5927" i="1"/>
  <c r="C5928" i="1"/>
  <c r="D5928" i="1"/>
  <c r="E5928" i="1"/>
  <c r="C5929" i="1"/>
  <c r="D5929" i="1"/>
  <c r="E5929" i="1"/>
  <c r="C5930" i="1"/>
  <c r="D5930" i="1"/>
  <c r="E5930" i="1"/>
  <c r="C5931" i="1"/>
  <c r="D5931" i="1"/>
  <c r="E5931" i="1"/>
  <c r="C5932" i="1"/>
  <c r="D5932" i="1"/>
  <c r="E5932" i="1"/>
  <c r="C5933" i="1"/>
  <c r="D5933" i="1"/>
  <c r="E5933" i="1"/>
  <c r="C5934" i="1"/>
  <c r="D5934" i="1"/>
  <c r="E5934" i="1"/>
  <c r="C5935" i="1"/>
  <c r="D5935" i="1"/>
  <c r="E5935" i="1"/>
  <c r="C5936" i="1"/>
  <c r="D5936" i="1"/>
  <c r="E5936" i="1"/>
  <c r="C5937" i="1"/>
  <c r="D5937" i="1"/>
  <c r="E5937" i="1"/>
  <c r="C5938" i="1"/>
  <c r="D5938" i="1"/>
  <c r="E5938" i="1"/>
  <c r="C5939" i="1"/>
  <c r="D5939" i="1"/>
  <c r="E5939" i="1"/>
  <c r="C5940" i="1"/>
  <c r="D5940" i="1"/>
  <c r="E5940" i="1"/>
  <c r="C5941" i="1"/>
  <c r="D5941" i="1"/>
  <c r="E5941" i="1"/>
  <c r="C5942" i="1"/>
  <c r="D5942" i="1"/>
  <c r="E5942" i="1"/>
  <c r="C5943" i="1"/>
  <c r="D5943" i="1"/>
  <c r="E5943" i="1"/>
  <c r="C5944" i="1"/>
  <c r="D5944" i="1"/>
  <c r="E5944" i="1"/>
  <c r="C5945" i="1"/>
  <c r="D5945" i="1"/>
  <c r="E5945" i="1"/>
  <c r="C5946" i="1"/>
  <c r="D5946" i="1"/>
  <c r="E5946" i="1"/>
  <c r="C5947" i="1"/>
  <c r="D5947" i="1"/>
  <c r="E5947" i="1"/>
  <c r="C5948" i="1"/>
  <c r="D5948" i="1"/>
  <c r="E5948" i="1"/>
  <c r="C5949" i="1"/>
  <c r="D5949" i="1"/>
  <c r="E5949" i="1"/>
  <c r="C5950" i="1"/>
  <c r="D5950" i="1"/>
  <c r="E5950" i="1"/>
  <c r="C5951" i="1"/>
  <c r="D5951" i="1"/>
  <c r="E5951" i="1"/>
  <c r="C5952" i="1"/>
  <c r="D5952" i="1"/>
  <c r="E5952" i="1"/>
  <c r="C5953" i="1"/>
  <c r="D5953" i="1"/>
  <c r="E5953" i="1"/>
  <c r="C5954" i="1"/>
  <c r="D5954" i="1"/>
  <c r="E5954" i="1"/>
  <c r="C5955" i="1"/>
  <c r="D5955" i="1"/>
  <c r="E5955" i="1"/>
  <c r="C5956" i="1"/>
  <c r="D5956" i="1"/>
  <c r="E5956" i="1"/>
  <c r="C5957" i="1"/>
  <c r="D5957" i="1"/>
  <c r="E5957" i="1"/>
  <c r="C5958" i="1"/>
  <c r="D5958" i="1"/>
  <c r="E5958" i="1"/>
  <c r="C5959" i="1"/>
  <c r="D5959" i="1"/>
  <c r="E5959" i="1"/>
  <c r="C5960" i="1"/>
  <c r="D5960" i="1"/>
  <c r="E5960" i="1"/>
  <c r="C5961" i="1"/>
  <c r="D5961" i="1"/>
  <c r="E5961" i="1"/>
  <c r="C5962" i="1"/>
  <c r="D5962" i="1"/>
  <c r="E5962" i="1"/>
  <c r="C5963" i="1"/>
  <c r="D5963" i="1"/>
  <c r="E5963" i="1"/>
  <c r="C5964" i="1"/>
  <c r="D5964" i="1"/>
  <c r="E5964" i="1"/>
  <c r="C5965" i="1"/>
  <c r="D5965" i="1"/>
  <c r="E5965" i="1"/>
  <c r="C5966" i="1"/>
  <c r="D5966" i="1"/>
  <c r="E5966" i="1"/>
  <c r="C5967" i="1"/>
  <c r="D5967" i="1"/>
  <c r="E5967" i="1"/>
  <c r="C5968" i="1"/>
  <c r="D5968" i="1"/>
  <c r="E5968" i="1"/>
  <c r="C5969" i="1"/>
  <c r="D5969" i="1"/>
  <c r="E5969" i="1"/>
  <c r="C5970" i="1"/>
  <c r="D5970" i="1"/>
  <c r="E5970" i="1"/>
  <c r="C5971" i="1"/>
  <c r="D5971" i="1"/>
  <c r="E5971" i="1"/>
  <c r="C5972" i="1"/>
  <c r="D5972" i="1"/>
  <c r="E5972" i="1"/>
  <c r="C5973" i="1"/>
  <c r="D5973" i="1"/>
  <c r="E5973" i="1"/>
  <c r="C5974" i="1"/>
  <c r="D5974" i="1"/>
  <c r="E5974" i="1"/>
  <c r="C5975" i="1"/>
  <c r="D5975" i="1"/>
  <c r="E5975" i="1"/>
  <c r="C5976" i="1"/>
  <c r="D5976" i="1"/>
  <c r="E5976" i="1"/>
  <c r="C5977" i="1"/>
  <c r="D5977" i="1"/>
  <c r="E5977" i="1"/>
  <c r="C5978" i="1"/>
  <c r="D5978" i="1"/>
  <c r="E5978" i="1"/>
  <c r="C5979" i="1"/>
  <c r="D5979" i="1"/>
  <c r="E5979" i="1"/>
  <c r="C5980" i="1"/>
  <c r="D5980" i="1"/>
  <c r="E5980" i="1"/>
  <c r="C5981" i="1"/>
  <c r="D5981" i="1"/>
  <c r="E5981" i="1"/>
  <c r="C5982" i="1"/>
  <c r="D5982" i="1"/>
  <c r="E5982" i="1"/>
  <c r="C5983" i="1"/>
  <c r="D5983" i="1"/>
  <c r="E5983" i="1"/>
  <c r="C5984" i="1"/>
  <c r="D5984" i="1"/>
  <c r="E5984" i="1"/>
  <c r="C5985" i="1"/>
  <c r="D5985" i="1"/>
  <c r="E5985" i="1"/>
  <c r="C5986" i="1"/>
  <c r="D5986" i="1"/>
  <c r="E5986" i="1"/>
  <c r="C5987" i="1"/>
  <c r="D5987" i="1"/>
  <c r="E5987" i="1"/>
  <c r="C5988" i="1"/>
  <c r="D5988" i="1"/>
  <c r="E5988" i="1"/>
  <c r="C5989" i="1"/>
  <c r="D5989" i="1"/>
  <c r="E5989" i="1"/>
  <c r="C5990" i="1"/>
  <c r="D5990" i="1"/>
  <c r="E5990" i="1"/>
  <c r="C5991" i="1"/>
  <c r="D5991" i="1"/>
  <c r="E5991" i="1"/>
  <c r="C5992" i="1"/>
  <c r="D5992" i="1"/>
  <c r="E5992" i="1"/>
  <c r="C5993" i="1"/>
  <c r="D5993" i="1"/>
  <c r="E5993" i="1"/>
  <c r="C5994" i="1"/>
  <c r="D5994" i="1"/>
  <c r="E5994" i="1"/>
  <c r="C5995" i="1"/>
  <c r="D5995" i="1"/>
  <c r="E5995" i="1"/>
  <c r="C5996" i="1"/>
  <c r="D5996" i="1"/>
  <c r="E5996" i="1"/>
  <c r="C5997" i="1"/>
  <c r="D5997" i="1"/>
  <c r="E5997" i="1"/>
  <c r="C5998" i="1"/>
  <c r="D5998" i="1"/>
  <c r="E5998" i="1"/>
  <c r="C5999" i="1"/>
  <c r="D5999" i="1"/>
  <c r="E5999" i="1"/>
  <c r="C6000" i="1"/>
  <c r="D6000" i="1"/>
  <c r="E6000" i="1"/>
  <c r="C6001" i="1"/>
  <c r="D6001" i="1"/>
  <c r="E6001" i="1"/>
  <c r="C6002" i="1"/>
  <c r="D6002" i="1"/>
  <c r="E6002" i="1"/>
  <c r="C6003" i="1"/>
  <c r="D6003" i="1"/>
  <c r="E6003" i="1"/>
  <c r="C6004" i="1"/>
  <c r="D6004" i="1"/>
  <c r="E6004" i="1"/>
  <c r="C6005" i="1"/>
  <c r="D6005" i="1"/>
  <c r="E6005" i="1"/>
  <c r="C6006" i="1"/>
  <c r="D6006" i="1"/>
  <c r="E6006" i="1"/>
  <c r="C6007" i="1"/>
  <c r="D6007" i="1"/>
  <c r="E6007" i="1"/>
  <c r="C6008" i="1"/>
  <c r="D6008" i="1"/>
  <c r="E6008" i="1"/>
  <c r="C6009" i="1"/>
  <c r="D6009" i="1"/>
  <c r="E6009" i="1"/>
  <c r="C6010" i="1"/>
  <c r="D6010" i="1"/>
  <c r="E6010" i="1"/>
  <c r="C6011" i="1"/>
  <c r="D6011" i="1"/>
  <c r="E6011" i="1"/>
  <c r="C6012" i="1"/>
  <c r="D6012" i="1"/>
  <c r="E6012" i="1"/>
  <c r="C6013" i="1"/>
  <c r="D6013" i="1"/>
  <c r="E6013" i="1"/>
  <c r="C6014" i="1"/>
  <c r="D6014" i="1"/>
  <c r="E6014" i="1"/>
  <c r="C6015" i="1"/>
  <c r="D6015" i="1"/>
  <c r="E6015" i="1"/>
  <c r="C6016" i="1"/>
  <c r="D6016" i="1"/>
  <c r="E6016" i="1"/>
  <c r="C6017" i="1"/>
  <c r="D6017" i="1"/>
  <c r="E6017" i="1"/>
  <c r="C6018" i="1"/>
  <c r="D6018" i="1"/>
  <c r="E6018" i="1"/>
  <c r="C6019" i="1"/>
  <c r="D6019" i="1"/>
  <c r="E6019" i="1"/>
  <c r="C6020" i="1"/>
  <c r="D6020" i="1"/>
  <c r="E6020" i="1"/>
  <c r="C6021" i="1"/>
  <c r="D6021" i="1"/>
  <c r="E6021" i="1"/>
  <c r="C6022" i="1"/>
  <c r="D6022" i="1"/>
  <c r="E6022" i="1"/>
  <c r="C6023" i="1"/>
  <c r="D6023" i="1"/>
  <c r="E6023" i="1"/>
  <c r="C6024" i="1"/>
  <c r="D6024" i="1"/>
  <c r="E6024" i="1"/>
  <c r="C6025" i="1"/>
  <c r="D6025" i="1"/>
  <c r="E6025" i="1"/>
  <c r="C6026" i="1"/>
  <c r="D6026" i="1"/>
  <c r="E6026" i="1"/>
  <c r="C6027" i="1"/>
  <c r="D6027" i="1"/>
  <c r="E6027" i="1"/>
  <c r="C6028" i="1"/>
  <c r="D6028" i="1"/>
  <c r="E6028" i="1"/>
  <c r="C6029" i="1"/>
  <c r="D6029" i="1"/>
  <c r="E6029" i="1"/>
  <c r="C6030" i="1"/>
  <c r="D6030" i="1"/>
  <c r="E6030" i="1"/>
  <c r="C6031" i="1"/>
  <c r="D6031" i="1"/>
  <c r="E6031" i="1"/>
  <c r="C6032" i="1"/>
  <c r="D6032" i="1"/>
  <c r="E6032" i="1"/>
  <c r="C6033" i="1"/>
  <c r="D6033" i="1"/>
  <c r="E6033" i="1"/>
  <c r="C6034" i="1"/>
  <c r="D6034" i="1"/>
  <c r="E6034" i="1"/>
  <c r="C6035" i="1"/>
  <c r="D6035" i="1"/>
  <c r="E6035" i="1"/>
  <c r="C6036" i="1"/>
  <c r="D6036" i="1"/>
  <c r="E6036" i="1"/>
  <c r="C6037" i="1"/>
  <c r="D6037" i="1"/>
  <c r="E6037" i="1"/>
  <c r="C6038" i="1"/>
  <c r="D6038" i="1"/>
  <c r="E6038" i="1"/>
  <c r="C6039" i="1"/>
  <c r="D6039" i="1"/>
  <c r="E6039" i="1"/>
  <c r="C6040" i="1"/>
  <c r="D6040" i="1"/>
  <c r="E6040" i="1"/>
  <c r="C6041" i="1"/>
  <c r="D6041" i="1"/>
  <c r="E6041" i="1"/>
  <c r="C6042" i="1"/>
  <c r="D6042" i="1"/>
  <c r="E6042" i="1"/>
  <c r="C6043" i="1"/>
  <c r="D6043" i="1"/>
  <c r="E6043" i="1"/>
  <c r="C6044" i="1"/>
  <c r="D6044" i="1"/>
  <c r="E6044" i="1"/>
  <c r="C6045" i="1"/>
  <c r="D6045" i="1"/>
  <c r="E6045" i="1"/>
  <c r="C6046" i="1"/>
  <c r="D6046" i="1"/>
  <c r="E6046" i="1"/>
  <c r="C6047" i="1"/>
  <c r="D6047" i="1"/>
  <c r="E6047" i="1"/>
  <c r="C6048" i="1"/>
  <c r="D6048" i="1"/>
  <c r="E6048" i="1"/>
  <c r="C6049" i="1"/>
  <c r="D6049" i="1"/>
  <c r="E6049" i="1"/>
  <c r="C6050" i="1"/>
  <c r="D6050" i="1"/>
  <c r="E6050" i="1"/>
  <c r="C6051" i="1"/>
  <c r="D6051" i="1"/>
  <c r="E6051" i="1"/>
  <c r="C6052" i="1"/>
  <c r="D6052" i="1"/>
  <c r="E6052" i="1"/>
  <c r="C6053" i="1"/>
  <c r="D6053" i="1"/>
  <c r="E6053" i="1"/>
  <c r="C6054" i="1"/>
  <c r="D6054" i="1"/>
  <c r="E6054" i="1"/>
  <c r="C6055" i="1"/>
  <c r="D6055" i="1"/>
  <c r="E6055" i="1"/>
  <c r="C6056" i="1"/>
  <c r="D6056" i="1"/>
  <c r="E6056" i="1"/>
  <c r="C6057" i="1"/>
  <c r="D6057" i="1"/>
  <c r="E6057" i="1"/>
  <c r="C6058" i="1"/>
  <c r="D6058" i="1"/>
  <c r="E6058" i="1"/>
  <c r="C6059" i="1"/>
  <c r="D6059" i="1"/>
  <c r="E6059" i="1"/>
  <c r="C6060" i="1"/>
  <c r="D6060" i="1"/>
  <c r="E6060" i="1"/>
  <c r="C6061" i="1"/>
  <c r="D6061" i="1"/>
  <c r="E6061" i="1"/>
  <c r="C6062" i="1"/>
  <c r="D6062" i="1"/>
  <c r="E6062" i="1"/>
  <c r="C6063" i="1"/>
  <c r="D6063" i="1"/>
  <c r="E6063" i="1"/>
  <c r="C6064" i="1"/>
  <c r="D6064" i="1"/>
  <c r="E6064" i="1"/>
  <c r="C6065" i="1"/>
  <c r="D6065" i="1"/>
  <c r="E6065" i="1"/>
  <c r="C6066" i="1"/>
  <c r="D6066" i="1"/>
  <c r="E6066" i="1"/>
  <c r="C6067" i="1"/>
  <c r="D6067" i="1"/>
  <c r="E6067" i="1"/>
  <c r="C6068" i="1"/>
  <c r="D6068" i="1"/>
  <c r="E6068" i="1"/>
  <c r="C6069" i="1"/>
  <c r="D6069" i="1"/>
  <c r="E6069" i="1"/>
  <c r="C6070" i="1"/>
  <c r="D6070" i="1"/>
  <c r="E6070" i="1"/>
  <c r="C6071" i="1"/>
  <c r="D6071" i="1"/>
  <c r="E6071" i="1"/>
  <c r="C6072" i="1"/>
  <c r="D6072" i="1"/>
  <c r="E6072" i="1"/>
  <c r="C6073" i="1"/>
  <c r="D6073" i="1"/>
  <c r="E6073" i="1"/>
  <c r="C6074" i="1"/>
  <c r="D6074" i="1"/>
  <c r="E6074" i="1"/>
  <c r="C6075" i="1"/>
  <c r="D6075" i="1"/>
  <c r="E6075" i="1"/>
  <c r="C6076" i="1"/>
  <c r="D6076" i="1"/>
  <c r="E6076" i="1"/>
  <c r="C6077" i="1"/>
  <c r="D6077" i="1"/>
  <c r="E6077" i="1"/>
  <c r="C6078" i="1"/>
  <c r="D6078" i="1"/>
  <c r="E6078" i="1"/>
  <c r="C6079" i="1"/>
  <c r="D6079" i="1"/>
  <c r="E6079" i="1"/>
  <c r="C6080" i="1"/>
  <c r="D6080" i="1"/>
  <c r="E6080" i="1"/>
  <c r="C6081" i="1"/>
  <c r="D6081" i="1"/>
  <c r="E6081" i="1"/>
  <c r="C6082" i="1"/>
  <c r="D6082" i="1"/>
  <c r="E6082" i="1"/>
  <c r="C6083" i="1"/>
  <c r="D6083" i="1"/>
  <c r="E6083" i="1"/>
  <c r="C6084" i="1"/>
  <c r="D6084" i="1"/>
  <c r="E6084" i="1"/>
  <c r="C6085" i="1"/>
  <c r="D6085" i="1"/>
  <c r="E6085" i="1"/>
  <c r="C6086" i="1"/>
  <c r="D6086" i="1"/>
  <c r="E6086" i="1"/>
  <c r="C6087" i="1"/>
  <c r="D6087" i="1"/>
  <c r="E6087" i="1"/>
  <c r="C6088" i="1"/>
  <c r="D6088" i="1"/>
  <c r="E6088" i="1"/>
  <c r="C6089" i="1"/>
  <c r="D6089" i="1"/>
  <c r="E6089" i="1"/>
  <c r="C6090" i="1"/>
  <c r="D6090" i="1"/>
  <c r="E6090" i="1"/>
  <c r="C6091" i="1"/>
  <c r="D6091" i="1"/>
  <c r="E6091" i="1"/>
  <c r="C6092" i="1"/>
  <c r="D6092" i="1"/>
  <c r="E6092" i="1"/>
  <c r="C6093" i="1"/>
  <c r="D6093" i="1"/>
  <c r="E6093" i="1"/>
  <c r="C6094" i="1"/>
  <c r="D6094" i="1"/>
  <c r="E6094" i="1"/>
  <c r="C6095" i="1"/>
  <c r="D6095" i="1"/>
  <c r="E6095" i="1"/>
  <c r="C6096" i="1"/>
  <c r="D6096" i="1"/>
  <c r="E6096" i="1"/>
  <c r="C6097" i="1"/>
  <c r="D6097" i="1"/>
  <c r="E6097" i="1"/>
  <c r="C6098" i="1"/>
  <c r="D6098" i="1"/>
  <c r="E6098" i="1"/>
  <c r="C6099" i="1"/>
  <c r="D6099" i="1"/>
  <c r="E6099" i="1"/>
  <c r="C6100" i="1"/>
  <c r="D6100" i="1"/>
  <c r="E6100" i="1"/>
  <c r="C6101" i="1"/>
  <c r="D6101" i="1"/>
  <c r="E6101" i="1"/>
  <c r="C6102" i="1"/>
  <c r="D6102" i="1"/>
  <c r="E6102" i="1"/>
  <c r="C6103" i="1"/>
  <c r="D6103" i="1"/>
  <c r="E6103" i="1"/>
  <c r="C6104" i="1"/>
  <c r="D6104" i="1"/>
  <c r="E6104" i="1"/>
  <c r="C6105" i="1"/>
  <c r="D6105" i="1"/>
  <c r="E6105" i="1"/>
  <c r="C6106" i="1"/>
  <c r="D6106" i="1"/>
  <c r="E6106" i="1"/>
  <c r="C6107" i="1"/>
  <c r="D6107" i="1"/>
  <c r="E6107" i="1"/>
  <c r="C6108" i="1"/>
  <c r="D6108" i="1"/>
  <c r="E6108" i="1"/>
  <c r="C6109" i="1"/>
  <c r="D6109" i="1"/>
  <c r="E6109" i="1"/>
  <c r="C6110" i="1"/>
  <c r="D6110" i="1"/>
  <c r="E6110" i="1"/>
  <c r="C6111" i="1"/>
  <c r="D6111" i="1"/>
  <c r="E6111" i="1"/>
  <c r="C6112" i="1"/>
  <c r="D6112" i="1"/>
  <c r="E6112" i="1"/>
  <c r="C6113" i="1"/>
  <c r="D6113" i="1"/>
  <c r="E6113" i="1"/>
  <c r="C6114" i="1"/>
  <c r="D6114" i="1"/>
  <c r="E6114" i="1"/>
  <c r="C6115" i="1"/>
  <c r="D6115" i="1"/>
  <c r="E6115" i="1"/>
  <c r="C6116" i="1"/>
  <c r="D6116" i="1"/>
  <c r="E6116" i="1"/>
  <c r="C6117" i="1"/>
  <c r="D6117" i="1"/>
  <c r="E6117" i="1"/>
  <c r="C6118" i="1"/>
  <c r="D6118" i="1"/>
  <c r="E6118" i="1"/>
  <c r="C6119" i="1"/>
  <c r="D6119" i="1"/>
  <c r="E6119" i="1"/>
  <c r="C6120" i="1"/>
  <c r="D6120" i="1"/>
  <c r="E6120" i="1"/>
  <c r="C6121" i="1"/>
  <c r="D6121" i="1"/>
  <c r="E6121" i="1"/>
  <c r="C6122" i="1"/>
  <c r="D6122" i="1"/>
  <c r="E6122" i="1"/>
  <c r="C6123" i="1"/>
  <c r="D6123" i="1"/>
  <c r="E6123" i="1"/>
  <c r="C6124" i="1"/>
  <c r="D6124" i="1"/>
  <c r="E6124" i="1"/>
  <c r="C6125" i="1"/>
  <c r="D6125" i="1"/>
  <c r="E6125" i="1"/>
  <c r="C6126" i="1"/>
  <c r="D6126" i="1"/>
  <c r="E6126" i="1"/>
  <c r="C6127" i="1"/>
  <c r="D6127" i="1"/>
  <c r="E6127" i="1"/>
  <c r="C6128" i="1"/>
  <c r="D6128" i="1"/>
  <c r="E6128" i="1"/>
  <c r="C6129" i="1"/>
  <c r="D6129" i="1"/>
  <c r="E6129" i="1"/>
  <c r="C6130" i="1"/>
  <c r="D6130" i="1"/>
  <c r="E6130" i="1"/>
  <c r="C6131" i="1"/>
  <c r="D6131" i="1"/>
  <c r="E6131" i="1"/>
  <c r="C6132" i="1"/>
  <c r="D6132" i="1"/>
  <c r="E6132" i="1"/>
  <c r="C6133" i="1"/>
  <c r="D6133" i="1"/>
  <c r="E6133" i="1"/>
  <c r="C6134" i="1"/>
  <c r="D6134" i="1"/>
  <c r="E6134" i="1"/>
  <c r="C6135" i="1"/>
  <c r="D6135" i="1"/>
  <c r="E6135" i="1"/>
  <c r="C6136" i="1"/>
  <c r="D6136" i="1"/>
  <c r="E6136" i="1"/>
  <c r="C6137" i="1"/>
  <c r="D6137" i="1"/>
  <c r="E6137" i="1"/>
  <c r="C6138" i="1"/>
  <c r="D6138" i="1"/>
  <c r="E6138" i="1"/>
  <c r="C6139" i="1"/>
  <c r="D6139" i="1"/>
  <c r="E6139" i="1"/>
  <c r="C6140" i="1"/>
  <c r="D6140" i="1"/>
  <c r="E6140" i="1"/>
  <c r="C6141" i="1"/>
  <c r="D6141" i="1"/>
  <c r="E6141" i="1"/>
  <c r="C6142" i="1"/>
  <c r="D6142" i="1"/>
  <c r="E6142" i="1"/>
  <c r="C6143" i="1"/>
  <c r="D6143" i="1"/>
  <c r="E6143" i="1"/>
  <c r="C6144" i="1"/>
  <c r="D6144" i="1"/>
  <c r="E6144" i="1"/>
  <c r="C6145" i="1"/>
  <c r="D6145" i="1"/>
  <c r="E6145" i="1"/>
  <c r="C6146" i="1"/>
  <c r="D6146" i="1"/>
  <c r="E6146" i="1"/>
  <c r="C6147" i="1"/>
  <c r="D6147" i="1"/>
  <c r="E6147" i="1"/>
  <c r="C6148" i="1"/>
  <c r="D6148" i="1"/>
  <c r="E6148" i="1"/>
  <c r="C6149" i="1"/>
  <c r="D6149" i="1"/>
  <c r="E6149" i="1"/>
  <c r="C6150" i="1"/>
  <c r="D6150" i="1"/>
  <c r="E6150" i="1"/>
  <c r="C6151" i="1"/>
  <c r="D6151" i="1"/>
  <c r="E6151" i="1"/>
  <c r="C6152" i="1"/>
  <c r="D6152" i="1"/>
  <c r="E6152" i="1"/>
  <c r="C6153" i="1"/>
  <c r="D6153" i="1"/>
  <c r="E6153" i="1"/>
  <c r="C6154" i="1"/>
  <c r="D6154" i="1"/>
  <c r="E6154" i="1"/>
  <c r="C6155" i="1"/>
  <c r="D6155" i="1"/>
  <c r="E6155" i="1"/>
  <c r="C6156" i="1"/>
  <c r="D6156" i="1"/>
  <c r="E6156" i="1"/>
  <c r="C6157" i="1"/>
  <c r="D6157" i="1"/>
  <c r="E6157" i="1"/>
  <c r="C6158" i="1"/>
  <c r="D6158" i="1"/>
  <c r="E6158" i="1"/>
  <c r="C6159" i="1"/>
  <c r="D6159" i="1"/>
  <c r="E6159" i="1"/>
  <c r="C6160" i="1"/>
  <c r="D6160" i="1"/>
  <c r="E6160" i="1"/>
  <c r="C6161" i="1"/>
  <c r="D6161" i="1"/>
  <c r="E6161" i="1"/>
  <c r="C6162" i="1"/>
  <c r="D6162" i="1"/>
  <c r="E6162" i="1"/>
  <c r="C6163" i="1"/>
  <c r="D6163" i="1"/>
  <c r="E6163" i="1"/>
  <c r="C6164" i="1"/>
  <c r="D6164" i="1"/>
  <c r="E6164" i="1"/>
  <c r="C6165" i="1"/>
  <c r="D6165" i="1"/>
  <c r="E6165" i="1"/>
  <c r="C6166" i="1"/>
  <c r="D6166" i="1"/>
  <c r="E6166" i="1"/>
  <c r="C6167" i="1"/>
  <c r="D6167" i="1"/>
  <c r="E6167" i="1"/>
  <c r="C6168" i="1"/>
  <c r="D6168" i="1"/>
  <c r="E6168" i="1"/>
  <c r="C6169" i="1"/>
  <c r="D6169" i="1"/>
  <c r="E6169" i="1"/>
  <c r="C6170" i="1"/>
  <c r="D6170" i="1"/>
  <c r="E6170" i="1"/>
  <c r="C6171" i="1"/>
  <c r="D6171" i="1"/>
  <c r="E6171" i="1"/>
  <c r="C6172" i="1"/>
  <c r="D6172" i="1"/>
  <c r="E6172" i="1"/>
  <c r="C6173" i="1"/>
  <c r="D6173" i="1"/>
  <c r="E6173" i="1"/>
  <c r="C6174" i="1"/>
  <c r="D6174" i="1"/>
  <c r="E6174" i="1"/>
  <c r="C6175" i="1"/>
  <c r="D6175" i="1"/>
  <c r="E6175" i="1"/>
  <c r="C6176" i="1"/>
  <c r="D6176" i="1"/>
  <c r="E6176" i="1"/>
  <c r="C6177" i="1"/>
  <c r="D6177" i="1"/>
  <c r="E6177" i="1"/>
  <c r="C6178" i="1"/>
  <c r="D6178" i="1"/>
  <c r="E6178" i="1"/>
  <c r="C6179" i="1"/>
  <c r="D6179" i="1"/>
  <c r="E6179" i="1"/>
  <c r="C6180" i="1"/>
  <c r="D6180" i="1"/>
  <c r="E6180" i="1"/>
  <c r="C6181" i="1"/>
  <c r="D6181" i="1"/>
  <c r="E6181" i="1"/>
  <c r="C6182" i="1"/>
  <c r="D6182" i="1"/>
  <c r="E6182" i="1"/>
  <c r="C6183" i="1"/>
  <c r="D6183" i="1"/>
  <c r="E6183" i="1"/>
  <c r="C6184" i="1"/>
  <c r="D6184" i="1"/>
  <c r="E6184" i="1"/>
  <c r="C6185" i="1"/>
  <c r="D6185" i="1"/>
  <c r="E6185" i="1"/>
  <c r="C6186" i="1"/>
  <c r="D6186" i="1"/>
  <c r="E6186" i="1"/>
  <c r="C6187" i="1"/>
  <c r="D6187" i="1"/>
  <c r="E6187" i="1"/>
  <c r="C6188" i="1"/>
  <c r="D6188" i="1"/>
  <c r="E6188" i="1"/>
  <c r="C6189" i="1"/>
  <c r="D6189" i="1"/>
  <c r="E6189" i="1"/>
  <c r="C6190" i="1"/>
  <c r="D6190" i="1"/>
  <c r="E6190" i="1"/>
  <c r="C6191" i="1"/>
  <c r="D6191" i="1"/>
  <c r="E6191" i="1"/>
  <c r="C6192" i="1"/>
  <c r="D6192" i="1"/>
  <c r="E6192" i="1"/>
  <c r="C6193" i="1"/>
  <c r="D6193" i="1"/>
  <c r="E6193" i="1"/>
  <c r="C6194" i="1"/>
  <c r="D6194" i="1"/>
  <c r="E6194" i="1"/>
  <c r="C6195" i="1"/>
  <c r="D6195" i="1"/>
  <c r="E6195" i="1"/>
  <c r="C6196" i="1"/>
  <c r="D6196" i="1"/>
  <c r="E6196" i="1"/>
  <c r="C6197" i="1"/>
  <c r="D6197" i="1"/>
  <c r="E6197" i="1"/>
  <c r="C6198" i="1"/>
  <c r="D6198" i="1"/>
  <c r="E6198" i="1"/>
  <c r="C6199" i="1"/>
  <c r="D6199" i="1"/>
  <c r="E6199" i="1"/>
  <c r="C6200" i="1"/>
  <c r="D6200" i="1"/>
  <c r="E6200" i="1"/>
  <c r="C6201" i="1"/>
  <c r="D6201" i="1"/>
  <c r="E6201" i="1"/>
  <c r="C6202" i="1"/>
  <c r="D6202" i="1"/>
  <c r="E6202" i="1"/>
  <c r="C6203" i="1"/>
  <c r="D6203" i="1"/>
  <c r="E6203" i="1"/>
  <c r="C6204" i="1"/>
  <c r="D6204" i="1"/>
  <c r="E6204" i="1"/>
  <c r="C6205" i="1"/>
  <c r="D6205" i="1"/>
  <c r="E6205" i="1"/>
  <c r="C6206" i="1"/>
  <c r="D6206" i="1"/>
  <c r="E6206" i="1"/>
  <c r="C6207" i="1"/>
  <c r="D6207" i="1"/>
  <c r="E6207" i="1"/>
  <c r="C6208" i="1"/>
  <c r="D6208" i="1"/>
  <c r="E6208" i="1"/>
  <c r="C6209" i="1"/>
  <c r="D6209" i="1"/>
  <c r="E6209" i="1"/>
  <c r="C6210" i="1"/>
  <c r="D6210" i="1"/>
  <c r="E6210" i="1"/>
  <c r="C6211" i="1"/>
  <c r="D6211" i="1"/>
  <c r="E6211" i="1"/>
  <c r="C6212" i="1"/>
  <c r="D6212" i="1"/>
  <c r="E6212" i="1"/>
  <c r="C6213" i="1"/>
  <c r="D6213" i="1"/>
  <c r="E6213" i="1"/>
  <c r="C6214" i="1"/>
  <c r="D6214" i="1"/>
  <c r="E6214" i="1"/>
  <c r="C6215" i="1"/>
  <c r="D6215" i="1"/>
  <c r="E6215" i="1"/>
  <c r="C6216" i="1"/>
  <c r="D6216" i="1"/>
  <c r="E6216" i="1"/>
  <c r="C6217" i="1"/>
  <c r="D6217" i="1"/>
  <c r="E6217" i="1"/>
  <c r="C6218" i="1"/>
  <c r="D6218" i="1"/>
  <c r="E6218" i="1"/>
  <c r="C6219" i="1"/>
  <c r="D6219" i="1"/>
  <c r="E6219" i="1"/>
  <c r="C6220" i="1"/>
  <c r="D6220" i="1"/>
  <c r="E6220" i="1"/>
  <c r="C6221" i="1"/>
  <c r="D6221" i="1"/>
  <c r="E6221" i="1"/>
  <c r="C6222" i="1"/>
  <c r="D6222" i="1"/>
  <c r="E6222" i="1"/>
  <c r="C6223" i="1"/>
  <c r="D6223" i="1"/>
  <c r="E6223" i="1"/>
  <c r="C6224" i="1"/>
  <c r="D6224" i="1"/>
  <c r="E6224" i="1"/>
  <c r="C6225" i="1"/>
  <c r="D6225" i="1"/>
  <c r="E6225" i="1"/>
  <c r="C6226" i="1"/>
  <c r="D6226" i="1"/>
  <c r="E6226" i="1"/>
  <c r="C6227" i="1"/>
  <c r="D6227" i="1"/>
  <c r="E6227" i="1"/>
  <c r="C6228" i="1"/>
  <c r="D6228" i="1"/>
  <c r="E6228" i="1"/>
  <c r="C6229" i="1"/>
  <c r="D6229" i="1"/>
  <c r="E6229" i="1"/>
  <c r="C6230" i="1"/>
  <c r="D6230" i="1"/>
  <c r="E6230" i="1"/>
  <c r="C6231" i="1"/>
  <c r="D6231" i="1"/>
  <c r="E6231" i="1"/>
  <c r="C6232" i="1"/>
  <c r="D6232" i="1"/>
  <c r="E6232" i="1"/>
  <c r="C6233" i="1"/>
  <c r="D6233" i="1"/>
  <c r="E6233" i="1"/>
  <c r="C6234" i="1"/>
  <c r="D6234" i="1"/>
  <c r="E6234" i="1"/>
  <c r="C6235" i="1"/>
  <c r="D6235" i="1"/>
  <c r="E6235" i="1"/>
  <c r="C6236" i="1"/>
  <c r="D6236" i="1"/>
  <c r="E6236" i="1"/>
  <c r="C6237" i="1"/>
  <c r="D6237" i="1"/>
  <c r="E6237" i="1"/>
  <c r="C6238" i="1"/>
  <c r="D6238" i="1"/>
  <c r="E6238" i="1"/>
  <c r="C6239" i="1"/>
  <c r="D6239" i="1"/>
  <c r="E6239" i="1"/>
  <c r="C6240" i="1"/>
  <c r="D6240" i="1"/>
  <c r="E6240" i="1"/>
  <c r="C6241" i="1"/>
  <c r="D6241" i="1"/>
  <c r="E6241" i="1"/>
  <c r="C6242" i="1"/>
  <c r="D6242" i="1"/>
  <c r="E6242" i="1"/>
  <c r="C6243" i="1"/>
  <c r="D6243" i="1"/>
  <c r="E6243" i="1"/>
  <c r="C6244" i="1"/>
  <c r="D6244" i="1"/>
  <c r="E6244" i="1"/>
  <c r="C6245" i="1"/>
  <c r="D6245" i="1"/>
  <c r="E6245" i="1"/>
  <c r="C6246" i="1"/>
  <c r="D6246" i="1"/>
  <c r="E6246" i="1"/>
  <c r="C6247" i="1"/>
  <c r="D6247" i="1"/>
  <c r="E6247" i="1"/>
  <c r="C6248" i="1"/>
  <c r="D6248" i="1"/>
  <c r="E6248" i="1"/>
  <c r="C6249" i="1"/>
  <c r="D6249" i="1"/>
  <c r="E6249" i="1"/>
  <c r="C6250" i="1"/>
  <c r="D6250" i="1"/>
  <c r="E6250" i="1"/>
  <c r="C6251" i="1"/>
  <c r="D6251" i="1"/>
  <c r="E6251" i="1"/>
  <c r="C6252" i="1"/>
  <c r="D6252" i="1"/>
  <c r="E6252" i="1"/>
  <c r="C6253" i="1"/>
  <c r="D6253" i="1"/>
  <c r="E6253" i="1"/>
  <c r="C6254" i="1"/>
  <c r="D6254" i="1"/>
  <c r="E6254" i="1"/>
  <c r="C6255" i="1"/>
  <c r="D6255" i="1"/>
  <c r="E6255" i="1"/>
  <c r="C6256" i="1"/>
  <c r="D6256" i="1"/>
  <c r="E6256" i="1"/>
  <c r="C6257" i="1"/>
  <c r="D6257" i="1"/>
  <c r="E6257" i="1"/>
  <c r="C6258" i="1"/>
  <c r="D6258" i="1"/>
  <c r="E6258" i="1"/>
  <c r="C6259" i="1"/>
  <c r="D6259" i="1"/>
  <c r="E6259" i="1"/>
  <c r="C6260" i="1"/>
  <c r="D6260" i="1"/>
  <c r="E6260" i="1"/>
  <c r="C6261" i="1"/>
  <c r="D6261" i="1"/>
  <c r="E6261" i="1"/>
  <c r="C6262" i="1"/>
  <c r="D6262" i="1"/>
  <c r="E6262" i="1"/>
  <c r="C6263" i="1"/>
  <c r="D6263" i="1"/>
  <c r="E6263" i="1"/>
  <c r="C6264" i="1"/>
  <c r="D6264" i="1"/>
  <c r="E6264" i="1"/>
  <c r="C6265" i="1"/>
  <c r="D6265" i="1"/>
  <c r="E6265" i="1"/>
  <c r="C6266" i="1"/>
  <c r="D6266" i="1"/>
  <c r="E6266" i="1"/>
  <c r="C6267" i="1"/>
  <c r="D6267" i="1"/>
  <c r="E6267" i="1"/>
  <c r="C6268" i="1"/>
  <c r="D6268" i="1"/>
  <c r="E6268" i="1"/>
  <c r="C6269" i="1"/>
  <c r="D6269" i="1"/>
  <c r="E6269" i="1"/>
  <c r="C6270" i="1"/>
  <c r="D6270" i="1"/>
  <c r="E6270" i="1"/>
  <c r="C6271" i="1"/>
  <c r="D6271" i="1"/>
  <c r="E6271" i="1"/>
  <c r="C6272" i="1"/>
  <c r="D6272" i="1"/>
  <c r="E6272" i="1"/>
  <c r="C6273" i="1"/>
  <c r="D6273" i="1"/>
  <c r="E6273" i="1"/>
  <c r="C6274" i="1"/>
  <c r="D6274" i="1"/>
  <c r="E6274" i="1"/>
  <c r="C6275" i="1"/>
  <c r="D6275" i="1"/>
  <c r="E6275" i="1"/>
  <c r="C6276" i="1"/>
  <c r="D6276" i="1"/>
  <c r="E6276" i="1"/>
  <c r="C6277" i="1"/>
  <c r="D6277" i="1"/>
  <c r="E6277" i="1"/>
  <c r="C6278" i="1"/>
  <c r="D6278" i="1"/>
  <c r="E6278" i="1"/>
  <c r="C6279" i="1"/>
  <c r="D6279" i="1"/>
  <c r="E6279" i="1"/>
  <c r="C6280" i="1"/>
  <c r="D6280" i="1"/>
  <c r="E6280" i="1"/>
  <c r="C6281" i="1"/>
  <c r="D6281" i="1"/>
  <c r="E6281" i="1"/>
  <c r="C6282" i="1"/>
  <c r="D6282" i="1"/>
  <c r="E6282" i="1"/>
  <c r="C6283" i="1"/>
  <c r="D6283" i="1"/>
  <c r="E6283" i="1"/>
  <c r="C6284" i="1"/>
  <c r="D6284" i="1"/>
  <c r="E6284" i="1"/>
  <c r="C6285" i="1"/>
  <c r="D6285" i="1"/>
  <c r="E6285" i="1"/>
  <c r="C6286" i="1"/>
  <c r="D6286" i="1"/>
  <c r="E6286" i="1"/>
  <c r="C6287" i="1"/>
  <c r="D6287" i="1"/>
  <c r="E6287" i="1"/>
  <c r="C6288" i="1"/>
  <c r="D6288" i="1"/>
  <c r="E6288" i="1"/>
  <c r="C6289" i="1"/>
  <c r="D6289" i="1"/>
  <c r="E6289" i="1"/>
  <c r="C6290" i="1"/>
  <c r="D6290" i="1"/>
  <c r="E6290" i="1"/>
  <c r="C6291" i="1"/>
  <c r="D6291" i="1"/>
  <c r="E6291" i="1"/>
  <c r="C6292" i="1"/>
  <c r="D6292" i="1"/>
  <c r="E6292" i="1"/>
  <c r="C6293" i="1"/>
  <c r="D6293" i="1"/>
  <c r="E6293" i="1"/>
  <c r="C6294" i="1"/>
  <c r="D6294" i="1"/>
  <c r="E6294" i="1"/>
  <c r="C6295" i="1"/>
  <c r="D6295" i="1"/>
  <c r="E6295" i="1"/>
  <c r="C6296" i="1"/>
  <c r="D6296" i="1"/>
  <c r="E6296" i="1"/>
  <c r="C6297" i="1"/>
  <c r="D6297" i="1"/>
  <c r="E6297" i="1"/>
  <c r="C6298" i="1"/>
  <c r="D6298" i="1"/>
  <c r="E6298" i="1"/>
  <c r="C6299" i="1"/>
  <c r="D6299" i="1"/>
  <c r="E6299" i="1"/>
  <c r="C6300" i="1"/>
  <c r="D6300" i="1"/>
  <c r="E6300" i="1"/>
  <c r="C6301" i="1"/>
  <c r="D6301" i="1"/>
  <c r="E6301" i="1"/>
  <c r="C6302" i="1"/>
  <c r="D6302" i="1"/>
  <c r="E6302" i="1"/>
  <c r="C6303" i="1"/>
  <c r="D6303" i="1"/>
  <c r="E6303" i="1"/>
  <c r="C6304" i="1"/>
  <c r="D6304" i="1"/>
  <c r="E6304" i="1"/>
  <c r="C6305" i="1"/>
  <c r="D6305" i="1"/>
  <c r="E6305" i="1"/>
  <c r="C6306" i="1"/>
  <c r="D6306" i="1"/>
  <c r="E6306" i="1"/>
  <c r="C6307" i="1"/>
  <c r="D6307" i="1"/>
  <c r="E6307" i="1"/>
  <c r="C6308" i="1"/>
  <c r="D6308" i="1"/>
  <c r="E6308" i="1"/>
  <c r="C6309" i="1"/>
  <c r="D6309" i="1"/>
  <c r="E6309" i="1"/>
  <c r="C6310" i="1"/>
  <c r="D6310" i="1"/>
  <c r="E6310" i="1"/>
  <c r="C6311" i="1"/>
  <c r="D6311" i="1"/>
  <c r="E6311" i="1"/>
  <c r="C6312" i="1"/>
  <c r="D6312" i="1"/>
  <c r="E6312" i="1"/>
  <c r="C6313" i="1"/>
  <c r="D6313" i="1"/>
  <c r="E6313" i="1"/>
  <c r="C6314" i="1"/>
  <c r="D6314" i="1"/>
  <c r="E6314" i="1"/>
  <c r="C6315" i="1"/>
  <c r="D6315" i="1"/>
  <c r="E6315" i="1"/>
  <c r="C6316" i="1"/>
  <c r="D6316" i="1"/>
  <c r="E6316" i="1"/>
  <c r="C6317" i="1"/>
  <c r="D6317" i="1"/>
  <c r="E6317" i="1"/>
  <c r="C6318" i="1"/>
  <c r="D6318" i="1"/>
  <c r="E6318" i="1"/>
  <c r="C6319" i="1"/>
  <c r="D6319" i="1"/>
  <c r="E6319" i="1"/>
  <c r="C6320" i="1"/>
  <c r="D6320" i="1"/>
  <c r="E6320" i="1"/>
  <c r="C6321" i="1"/>
  <c r="D6321" i="1"/>
  <c r="E6321" i="1"/>
  <c r="C6322" i="1"/>
  <c r="D6322" i="1"/>
  <c r="E6322" i="1"/>
  <c r="C6323" i="1"/>
  <c r="D6323" i="1"/>
  <c r="E6323" i="1"/>
  <c r="C6324" i="1"/>
  <c r="D6324" i="1"/>
  <c r="E6324" i="1"/>
  <c r="C6325" i="1"/>
  <c r="D6325" i="1"/>
  <c r="E6325" i="1"/>
  <c r="C6326" i="1"/>
  <c r="D6326" i="1"/>
  <c r="E6326" i="1"/>
  <c r="C6327" i="1"/>
  <c r="D6327" i="1"/>
  <c r="E6327" i="1"/>
  <c r="C6328" i="1"/>
  <c r="D6328" i="1"/>
  <c r="E6328" i="1"/>
  <c r="C6329" i="1"/>
  <c r="D6329" i="1"/>
  <c r="E6329" i="1"/>
  <c r="C6330" i="1"/>
  <c r="D6330" i="1"/>
  <c r="E6330" i="1"/>
  <c r="C6331" i="1"/>
  <c r="D6331" i="1"/>
  <c r="E6331" i="1"/>
  <c r="C6332" i="1"/>
  <c r="D6332" i="1"/>
  <c r="E6332" i="1"/>
  <c r="C6333" i="1"/>
  <c r="D6333" i="1"/>
  <c r="E6333" i="1"/>
  <c r="C6334" i="1"/>
  <c r="D6334" i="1"/>
  <c r="E6334" i="1"/>
  <c r="C6335" i="1"/>
  <c r="D6335" i="1"/>
  <c r="E6335" i="1"/>
  <c r="C6336" i="1"/>
  <c r="D6336" i="1"/>
  <c r="E6336" i="1"/>
  <c r="C6337" i="1"/>
  <c r="D6337" i="1"/>
  <c r="E6337" i="1"/>
  <c r="C6338" i="1"/>
  <c r="D6338" i="1"/>
  <c r="E6338" i="1"/>
  <c r="C6339" i="1"/>
  <c r="D6339" i="1"/>
  <c r="E6339" i="1"/>
  <c r="C6340" i="1"/>
  <c r="D6340" i="1"/>
  <c r="E6340" i="1"/>
  <c r="C6341" i="1"/>
  <c r="D6341" i="1"/>
  <c r="E6341" i="1"/>
  <c r="C6342" i="1"/>
  <c r="D6342" i="1"/>
  <c r="E6342" i="1"/>
  <c r="C6343" i="1"/>
  <c r="D6343" i="1"/>
  <c r="E6343" i="1"/>
  <c r="C6344" i="1"/>
  <c r="D6344" i="1"/>
  <c r="E6344" i="1"/>
  <c r="C6345" i="1"/>
  <c r="D6345" i="1"/>
  <c r="E6345" i="1"/>
  <c r="C6346" i="1"/>
  <c r="D6346" i="1"/>
  <c r="E6346" i="1"/>
  <c r="C6347" i="1"/>
  <c r="D6347" i="1"/>
  <c r="E6347" i="1"/>
  <c r="C6348" i="1"/>
  <c r="D6348" i="1"/>
  <c r="E6348" i="1"/>
  <c r="C6349" i="1"/>
  <c r="D6349" i="1"/>
  <c r="E6349" i="1"/>
  <c r="C6350" i="1"/>
  <c r="D6350" i="1"/>
  <c r="E6350" i="1"/>
  <c r="C6351" i="1"/>
  <c r="D6351" i="1"/>
  <c r="E6351" i="1"/>
  <c r="C6352" i="1"/>
  <c r="D6352" i="1"/>
  <c r="E6352" i="1"/>
  <c r="C6353" i="1"/>
  <c r="D6353" i="1"/>
  <c r="E6353" i="1"/>
  <c r="C6354" i="1"/>
  <c r="D6354" i="1"/>
  <c r="E6354" i="1"/>
  <c r="C6355" i="1"/>
  <c r="D6355" i="1"/>
  <c r="E6355" i="1"/>
  <c r="C6356" i="1"/>
  <c r="D6356" i="1"/>
  <c r="E6356" i="1"/>
  <c r="C6357" i="1"/>
  <c r="D6357" i="1"/>
  <c r="E6357" i="1"/>
  <c r="C6358" i="1"/>
  <c r="D6358" i="1"/>
  <c r="E6358" i="1"/>
  <c r="C6359" i="1"/>
  <c r="D6359" i="1"/>
  <c r="E6359" i="1"/>
  <c r="C6360" i="1"/>
  <c r="D6360" i="1"/>
  <c r="E6360" i="1"/>
  <c r="C6361" i="1"/>
  <c r="D6361" i="1"/>
  <c r="E6361" i="1"/>
  <c r="C6362" i="1"/>
  <c r="D6362" i="1"/>
  <c r="E6362" i="1"/>
  <c r="C6363" i="1"/>
  <c r="D6363" i="1"/>
  <c r="E6363" i="1"/>
  <c r="C6364" i="1"/>
  <c r="D6364" i="1"/>
  <c r="E6364" i="1"/>
  <c r="C6365" i="1"/>
  <c r="D6365" i="1"/>
  <c r="E6365" i="1"/>
  <c r="C6366" i="1"/>
  <c r="D6366" i="1"/>
  <c r="E6366" i="1"/>
  <c r="C6367" i="1"/>
  <c r="D6367" i="1"/>
  <c r="E6367" i="1"/>
  <c r="C6368" i="1"/>
  <c r="D6368" i="1"/>
  <c r="E6368" i="1"/>
  <c r="C6369" i="1"/>
  <c r="D6369" i="1"/>
  <c r="E6369" i="1"/>
  <c r="C6370" i="1"/>
  <c r="D6370" i="1"/>
  <c r="E6370" i="1"/>
  <c r="C6371" i="1"/>
  <c r="D6371" i="1"/>
  <c r="E6371" i="1"/>
  <c r="C6372" i="1"/>
  <c r="D6372" i="1"/>
  <c r="E6372" i="1"/>
  <c r="C6373" i="1"/>
  <c r="D6373" i="1"/>
  <c r="E6373" i="1"/>
  <c r="C6374" i="1"/>
  <c r="D6374" i="1"/>
  <c r="E6374" i="1"/>
  <c r="C6375" i="1"/>
  <c r="D6375" i="1"/>
  <c r="E6375" i="1"/>
  <c r="C6376" i="1"/>
  <c r="D6376" i="1"/>
  <c r="E6376" i="1"/>
  <c r="C6377" i="1"/>
  <c r="D6377" i="1"/>
  <c r="E6377" i="1"/>
  <c r="C6378" i="1"/>
  <c r="D6378" i="1"/>
  <c r="E6378" i="1"/>
  <c r="C6379" i="1"/>
  <c r="D6379" i="1"/>
  <c r="E6379" i="1"/>
  <c r="C6380" i="1"/>
  <c r="D6380" i="1"/>
  <c r="E6380" i="1"/>
  <c r="C6381" i="1"/>
  <c r="D6381" i="1"/>
  <c r="E6381" i="1"/>
  <c r="C6382" i="1"/>
  <c r="D6382" i="1"/>
  <c r="E6382" i="1"/>
  <c r="C6383" i="1"/>
  <c r="D6383" i="1"/>
  <c r="E6383" i="1"/>
  <c r="C6384" i="1"/>
  <c r="D6384" i="1"/>
  <c r="E6384" i="1"/>
  <c r="C6385" i="1"/>
  <c r="D6385" i="1"/>
  <c r="E6385" i="1"/>
  <c r="C6386" i="1"/>
  <c r="D6386" i="1"/>
  <c r="E6386" i="1"/>
  <c r="C6387" i="1"/>
  <c r="D6387" i="1"/>
  <c r="E6387" i="1"/>
  <c r="C6388" i="1"/>
  <c r="D6388" i="1"/>
  <c r="E6388" i="1"/>
  <c r="C6389" i="1"/>
  <c r="D6389" i="1"/>
  <c r="E6389" i="1"/>
  <c r="C6390" i="1"/>
  <c r="D6390" i="1"/>
  <c r="E6390" i="1"/>
  <c r="C6391" i="1"/>
  <c r="D6391" i="1"/>
  <c r="E6391" i="1"/>
  <c r="C6392" i="1"/>
  <c r="D6392" i="1"/>
  <c r="E6392" i="1"/>
  <c r="C6393" i="1"/>
  <c r="D6393" i="1"/>
  <c r="E6393" i="1"/>
  <c r="C6394" i="1"/>
  <c r="D6394" i="1"/>
  <c r="E6394" i="1"/>
  <c r="C6395" i="1"/>
  <c r="D6395" i="1"/>
  <c r="E6395" i="1"/>
  <c r="C6396" i="1"/>
  <c r="D6396" i="1"/>
  <c r="E6396" i="1"/>
  <c r="C6397" i="1"/>
  <c r="D6397" i="1"/>
  <c r="E6397" i="1"/>
  <c r="C6398" i="1"/>
  <c r="D6398" i="1"/>
  <c r="E6398" i="1"/>
  <c r="C6399" i="1"/>
  <c r="D6399" i="1"/>
  <c r="E6399" i="1"/>
  <c r="C6400" i="1"/>
  <c r="D6400" i="1"/>
  <c r="E6400" i="1"/>
  <c r="C6401" i="1"/>
  <c r="D6401" i="1"/>
  <c r="E6401" i="1"/>
  <c r="C6402" i="1"/>
  <c r="D6402" i="1"/>
  <c r="E6402" i="1"/>
  <c r="C6403" i="1"/>
  <c r="D6403" i="1"/>
  <c r="E6403" i="1"/>
  <c r="C6404" i="1"/>
  <c r="D6404" i="1"/>
  <c r="E6404" i="1"/>
  <c r="C6405" i="1"/>
  <c r="D6405" i="1"/>
  <c r="E6405" i="1"/>
  <c r="C6406" i="1"/>
  <c r="D6406" i="1"/>
  <c r="E6406" i="1"/>
  <c r="C6407" i="1"/>
  <c r="D6407" i="1"/>
  <c r="E6407" i="1"/>
  <c r="C6408" i="1"/>
  <c r="D6408" i="1"/>
  <c r="E6408" i="1"/>
  <c r="C6409" i="1"/>
  <c r="D6409" i="1"/>
  <c r="E6409" i="1"/>
  <c r="C6410" i="1"/>
  <c r="D6410" i="1"/>
  <c r="E6410" i="1"/>
  <c r="C6411" i="1"/>
  <c r="D6411" i="1"/>
  <c r="E6411" i="1"/>
  <c r="C6412" i="1"/>
  <c r="D6412" i="1"/>
  <c r="E6412" i="1"/>
  <c r="C6413" i="1"/>
  <c r="D6413" i="1"/>
  <c r="E6413" i="1"/>
  <c r="C6414" i="1"/>
  <c r="D6414" i="1"/>
  <c r="E6414" i="1"/>
  <c r="C6415" i="1"/>
  <c r="D6415" i="1"/>
  <c r="E6415" i="1"/>
  <c r="C6416" i="1"/>
  <c r="D6416" i="1"/>
  <c r="E6416" i="1"/>
  <c r="C6417" i="1"/>
  <c r="D6417" i="1"/>
  <c r="E6417" i="1"/>
  <c r="C6418" i="1"/>
  <c r="D6418" i="1"/>
  <c r="E6418" i="1"/>
  <c r="C6419" i="1"/>
  <c r="D6419" i="1"/>
  <c r="E6419" i="1"/>
  <c r="C6420" i="1"/>
  <c r="D6420" i="1"/>
  <c r="E6420" i="1"/>
  <c r="C6421" i="1"/>
  <c r="D6421" i="1"/>
  <c r="E6421" i="1"/>
  <c r="C6422" i="1"/>
  <c r="D6422" i="1"/>
  <c r="E6422" i="1"/>
  <c r="C6423" i="1"/>
  <c r="D6423" i="1"/>
  <c r="E6423" i="1"/>
  <c r="C6424" i="1"/>
  <c r="D6424" i="1"/>
  <c r="E6424" i="1"/>
  <c r="C6425" i="1"/>
  <c r="D6425" i="1"/>
  <c r="E6425" i="1"/>
  <c r="C6426" i="1"/>
  <c r="D6426" i="1"/>
  <c r="E6426" i="1"/>
  <c r="C6427" i="1"/>
  <c r="D6427" i="1"/>
  <c r="E6427" i="1"/>
  <c r="C6428" i="1"/>
  <c r="D6428" i="1"/>
  <c r="E6428" i="1"/>
  <c r="C6429" i="1"/>
  <c r="D6429" i="1"/>
  <c r="E6429" i="1"/>
  <c r="C6430" i="1"/>
  <c r="D6430" i="1"/>
  <c r="E6430" i="1"/>
  <c r="C6431" i="1"/>
  <c r="D6431" i="1"/>
  <c r="E6431" i="1"/>
  <c r="C6432" i="1"/>
  <c r="D6432" i="1"/>
  <c r="E6432" i="1"/>
  <c r="C6433" i="1"/>
  <c r="D6433" i="1"/>
  <c r="E6433" i="1"/>
  <c r="C6434" i="1"/>
  <c r="D6434" i="1"/>
  <c r="E6434" i="1"/>
  <c r="C6435" i="1"/>
  <c r="D6435" i="1"/>
  <c r="E6435" i="1"/>
  <c r="C6436" i="1"/>
  <c r="D6436" i="1"/>
  <c r="E6436" i="1"/>
  <c r="C6437" i="1"/>
  <c r="D6437" i="1"/>
  <c r="E6437" i="1"/>
  <c r="C6438" i="1"/>
  <c r="D6438" i="1"/>
  <c r="E6438" i="1"/>
  <c r="C6439" i="1"/>
  <c r="D6439" i="1"/>
  <c r="E6439" i="1"/>
  <c r="C6440" i="1"/>
  <c r="D6440" i="1"/>
  <c r="E6440" i="1"/>
  <c r="C6441" i="1"/>
  <c r="D6441" i="1"/>
  <c r="E6441" i="1"/>
  <c r="C6442" i="1"/>
  <c r="D6442" i="1"/>
  <c r="E6442" i="1"/>
  <c r="C6443" i="1"/>
  <c r="D6443" i="1"/>
  <c r="E6443" i="1"/>
  <c r="C6444" i="1"/>
  <c r="D6444" i="1"/>
  <c r="E6444" i="1"/>
  <c r="C6445" i="1"/>
  <c r="D6445" i="1"/>
  <c r="E6445" i="1"/>
  <c r="C6446" i="1"/>
  <c r="D6446" i="1"/>
  <c r="E6446" i="1"/>
  <c r="C6447" i="1"/>
  <c r="D6447" i="1"/>
  <c r="E6447" i="1"/>
  <c r="C6448" i="1"/>
  <c r="D6448" i="1"/>
  <c r="E6448" i="1"/>
  <c r="C6449" i="1"/>
  <c r="D6449" i="1"/>
  <c r="E6449" i="1"/>
  <c r="C6450" i="1"/>
  <c r="D6450" i="1"/>
  <c r="E6450" i="1"/>
  <c r="C6451" i="1"/>
  <c r="D6451" i="1"/>
  <c r="E6451" i="1"/>
  <c r="C6452" i="1"/>
  <c r="D6452" i="1"/>
  <c r="E6452" i="1"/>
  <c r="C6453" i="1"/>
  <c r="D6453" i="1"/>
  <c r="E6453" i="1"/>
  <c r="C6454" i="1"/>
  <c r="D6454" i="1"/>
  <c r="E6454" i="1"/>
  <c r="C6455" i="1"/>
  <c r="D6455" i="1"/>
  <c r="E6455" i="1"/>
  <c r="C6456" i="1"/>
  <c r="D6456" i="1"/>
  <c r="E6456" i="1"/>
  <c r="C6457" i="1"/>
  <c r="D6457" i="1"/>
  <c r="E6457" i="1"/>
  <c r="C6458" i="1"/>
  <c r="D6458" i="1"/>
  <c r="E6458" i="1"/>
  <c r="C6459" i="1"/>
  <c r="D6459" i="1"/>
  <c r="E6459" i="1"/>
  <c r="C6460" i="1"/>
  <c r="D6460" i="1"/>
  <c r="E6460" i="1"/>
  <c r="C6461" i="1"/>
  <c r="D6461" i="1"/>
  <c r="E6461" i="1"/>
  <c r="C6462" i="1"/>
  <c r="D6462" i="1"/>
  <c r="E6462" i="1"/>
  <c r="C6463" i="1"/>
  <c r="D6463" i="1"/>
  <c r="E6463" i="1"/>
  <c r="C6464" i="1"/>
  <c r="D6464" i="1"/>
  <c r="E6464" i="1"/>
  <c r="C6465" i="1"/>
  <c r="D6465" i="1"/>
  <c r="E6465" i="1"/>
  <c r="C6466" i="1"/>
  <c r="D6466" i="1"/>
  <c r="E6466" i="1"/>
  <c r="C6467" i="1"/>
  <c r="D6467" i="1"/>
  <c r="E6467" i="1"/>
  <c r="C6468" i="1"/>
  <c r="D6468" i="1"/>
  <c r="E6468" i="1"/>
  <c r="C6469" i="1"/>
  <c r="D6469" i="1"/>
  <c r="E6469" i="1"/>
  <c r="C6470" i="1"/>
  <c r="D6470" i="1"/>
  <c r="E6470" i="1"/>
  <c r="C6471" i="1"/>
  <c r="D6471" i="1"/>
  <c r="E6471" i="1"/>
  <c r="C6472" i="1"/>
  <c r="D6472" i="1"/>
  <c r="E6472" i="1"/>
  <c r="C6473" i="1"/>
  <c r="D6473" i="1"/>
  <c r="E6473" i="1"/>
  <c r="C6474" i="1"/>
  <c r="D6474" i="1"/>
  <c r="E6474" i="1"/>
  <c r="C6475" i="1"/>
  <c r="D6475" i="1"/>
  <c r="E6475" i="1"/>
  <c r="C6476" i="1"/>
  <c r="D6476" i="1"/>
  <c r="E6476" i="1"/>
  <c r="C6477" i="1"/>
  <c r="D6477" i="1"/>
  <c r="E6477" i="1"/>
  <c r="C6478" i="1"/>
  <c r="D6478" i="1"/>
  <c r="E6478" i="1"/>
  <c r="C6479" i="1"/>
  <c r="D6479" i="1"/>
  <c r="E6479" i="1"/>
  <c r="C6480" i="1"/>
  <c r="D6480" i="1"/>
  <c r="E6480" i="1"/>
  <c r="C6481" i="1"/>
  <c r="D6481" i="1"/>
  <c r="E6481" i="1"/>
  <c r="C6482" i="1"/>
  <c r="D6482" i="1"/>
  <c r="E6482" i="1"/>
  <c r="C6483" i="1"/>
  <c r="D6483" i="1"/>
  <c r="E6483" i="1"/>
  <c r="C6484" i="1"/>
  <c r="D6484" i="1"/>
  <c r="E6484" i="1"/>
  <c r="C6485" i="1"/>
  <c r="D6485" i="1"/>
  <c r="E6485" i="1"/>
  <c r="C6486" i="1"/>
  <c r="D6486" i="1"/>
  <c r="E6486" i="1"/>
  <c r="C6487" i="1"/>
  <c r="D6487" i="1"/>
  <c r="E6487" i="1"/>
  <c r="C6488" i="1"/>
  <c r="D6488" i="1"/>
  <c r="E6488" i="1"/>
  <c r="C6489" i="1"/>
  <c r="D6489" i="1"/>
  <c r="E6489" i="1"/>
  <c r="C6490" i="1"/>
  <c r="D6490" i="1"/>
  <c r="E6490" i="1"/>
  <c r="C6491" i="1"/>
  <c r="D6491" i="1"/>
  <c r="E6491" i="1"/>
  <c r="C6492" i="1"/>
  <c r="D6492" i="1"/>
  <c r="E6492" i="1"/>
  <c r="C6493" i="1"/>
  <c r="D6493" i="1"/>
  <c r="E6493" i="1"/>
  <c r="C6494" i="1"/>
  <c r="D6494" i="1"/>
  <c r="E6494" i="1"/>
  <c r="C6495" i="1"/>
  <c r="D6495" i="1"/>
  <c r="E6495" i="1"/>
  <c r="C6496" i="1"/>
  <c r="D6496" i="1"/>
  <c r="E6496" i="1"/>
  <c r="C6497" i="1"/>
  <c r="D6497" i="1"/>
  <c r="E6497" i="1"/>
  <c r="C6498" i="1"/>
  <c r="D6498" i="1"/>
  <c r="E6498" i="1"/>
  <c r="C6499" i="1"/>
  <c r="D6499" i="1"/>
  <c r="E6499" i="1"/>
  <c r="C6500" i="1"/>
  <c r="D6500" i="1"/>
  <c r="E6500" i="1"/>
  <c r="C6501" i="1"/>
  <c r="D6501" i="1"/>
  <c r="E6501" i="1"/>
  <c r="C6502" i="1"/>
  <c r="D6502" i="1"/>
  <c r="E6502" i="1"/>
  <c r="C6503" i="1"/>
  <c r="D6503" i="1"/>
  <c r="E6503" i="1"/>
  <c r="C6504" i="1"/>
  <c r="D6504" i="1"/>
  <c r="E6504" i="1"/>
  <c r="C6505" i="1"/>
  <c r="D6505" i="1"/>
  <c r="E6505" i="1"/>
  <c r="C6506" i="1"/>
  <c r="D6506" i="1"/>
  <c r="E6506" i="1"/>
  <c r="C6507" i="1"/>
  <c r="D6507" i="1"/>
  <c r="E6507" i="1"/>
  <c r="C6508" i="1"/>
  <c r="D6508" i="1"/>
  <c r="E6508" i="1"/>
  <c r="C6509" i="1"/>
  <c r="D6509" i="1"/>
  <c r="E6509" i="1"/>
  <c r="C6510" i="1"/>
  <c r="D6510" i="1"/>
  <c r="E6510" i="1"/>
  <c r="C6511" i="1"/>
  <c r="D6511" i="1"/>
  <c r="E6511" i="1"/>
  <c r="C6512" i="1"/>
  <c r="D6512" i="1"/>
  <c r="E6512" i="1"/>
  <c r="C6513" i="1"/>
  <c r="D6513" i="1"/>
  <c r="E6513" i="1"/>
  <c r="C6514" i="1"/>
  <c r="D6514" i="1"/>
  <c r="E6514" i="1"/>
  <c r="C6515" i="1"/>
  <c r="D6515" i="1"/>
  <c r="E6515" i="1"/>
  <c r="C6516" i="1"/>
  <c r="D6516" i="1"/>
  <c r="E6516" i="1"/>
  <c r="C6517" i="1"/>
  <c r="D6517" i="1"/>
  <c r="E6517" i="1"/>
  <c r="C6518" i="1"/>
  <c r="D6518" i="1"/>
  <c r="E6518" i="1"/>
  <c r="C6519" i="1"/>
  <c r="D6519" i="1"/>
  <c r="E6519" i="1"/>
  <c r="C6520" i="1"/>
  <c r="D6520" i="1"/>
  <c r="E6520" i="1"/>
  <c r="C6521" i="1"/>
  <c r="D6521" i="1"/>
  <c r="E6521" i="1"/>
  <c r="C6522" i="1"/>
  <c r="D6522" i="1"/>
  <c r="E6522" i="1"/>
  <c r="C6523" i="1"/>
  <c r="D6523" i="1"/>
  <c r="E6523" i="1"/>
  <c r="C6524" i="1"/>
  <c r="D6524" i="1"/>
  <c r="E6524" i="1"/>
  <c r="C6525" i="1"/>
  <c r="D6525" i="1"/>
  <c r="E6525" i="1"/>
  <c r="C6526" i="1"/>
  <c r="D6526" i="1"/>
  <c r="E6526" i="1"/>
  <c r="C6527" i="1"/>
  <c r="D6527" i="1"/>
  <c r="E6527" i="1"/>
  <c r="C6528" i="1"/>
  <c r="D6528" i="1"/>
  <c r="E6528" i="1"/>
  <c r="C6529" i="1"/>
  <c r="D6529" i="1"/>
  <c r="E6529" i="1"/>
  <c r="C6530" i="1"/>
  <c r="D6530" i="1"/>
  <c r="E6530" i="1"/>
  <c r="C6531" i="1"/>
  <c r="D6531" i="1"/>
  <c r="E6531" i="1"/>
  <c r="C6532" i="1"/>
  <c r="D6532" i="1"/>
  <c r="E6532" i="1"/>
  <c r="C6533" i="1"/>
  <c r="D6533" i="1"/>
  <c r="E6533" i="1"/>
  <c r="C6534" i="1"/>
  <c r="D6534" i="1"/>
  <c r="E6534" i="1"/>
  <c r="C6535" i="1"/>
  <c r="D6535" i="1"/>
  <c r="E6535" i="1"/>
  <c r="C6536" i="1"/>
  <c r="D6536" i="1"/>
  <c r="E6536" i="1"/>
  <c r="C6537" i="1"/>
  <c r="D6537" i="1"/>
  <c r="E6537" i="1"/>
  <c r="C6538" i="1"/>
  <c r="D6538" i="1"/>
  <c r="E6538" i="1"/>
  <c r="C6539" i="1"/>
  <c r="D6539" i="1"/>
  <c r="E6539" i="1"/>
  <c r="C6540" i="1"/>
  <c r="D6540" i="1"/>
  <c r="E6540" i="1"/>
  <c r="C6541" i="1"/>
  <c r="D6541" i="1"/>
  <c r="E6541" i="1"/>
  <c r="C6542" i="1"/>
  <c r="D6542" i="1"/>
  <c r="E6542" i="1"/>
  <c r="C6543" i="1"/>
  <c r="D6543" i="1"/>
  <c r="E6543" i="1"/>
  <c r="C6544" i="1"/>
  <c r="D6544" i="1"/>
  <c r="E6544" i="1"/>
  <c r="C6545" i="1"/>
  <c r="D6545" i="1"/>
  <c r="E6545" i="1"/>
  <c r="C6546" i="1"/>
  <c r="D6546" i="1"/>
  <c r="E6546" i="1"/>
  <c r="C6547" i="1"/>
  <c r="D6547" i="1"/>
  <c r="E6547" i="1"/>
  <c r="C6548" i="1"/>
  <c r="D6548" i="1"/>
  <c r="E6548" i="1"/>
  <c r="C6549" i="1"/>
  <c r="D6549" i="1"/>
  <c r="E6549" i="1"/>
  <c r="C6550" i="1"/>
  <c r="D6550" i="1"/>
  <c r="E6550" i="1"/>
  <c r="C6551" i="1"/>
  <c r="D6551" i="1"/>
  <c r="E6551" i="1"/>
  <c r="C6552" i="1"/>
  <c r="D6552" i="1"/>
  <c r="E6552" i="1"/>
  <c r="C6553" i="1"/>
  <c r="D6553" i="1"/>
  <c r="E6553" i="1"/>
  <c r="C6554" i="1"/>
  <c r="D6554" i="1"/>
  <c r="E6554" i="1"/>
  <c r="C6555" i="1"/>
  <c r="D6555" i="1"/>
  <c r="E6555" i="1"/>
  <c r="C6556" i="1"/>
  <c r="D6556" i="1"/>
  <c r="E6556" i="1"/>
  <c r="C6557" i="1"/>
  <c r="D6557" i="1"/>
  <c r="E6557" i="1"/>
  <c r="C6558" i="1"/>
  <c r="D6558" i="1"/>
  <c r="E6558" i="1"/>
  <c r="C6559" i="1"/>
  <c r="D6559" i="1"/>
  <c r="E6559" i="1"/>
  <c r="C6560" i="1"/>
  <c r="D6560" i="1"/>
  <c r="E6560" i="1"/>
  <c r="C6561" i="1"/>
  <c r="D6561" i="1"/>
  <c r="E6561" i="1"/>
  <c r="C6562" i="1"/>
  <c r="D6562" i="1"/>
  <c r="E6562" i="1"/>
  <c r="C6563" i="1"/>
  <c r="D6563" i="1"/>
  <c r="E6563" i="1"/>
  <c r="C6564" i="1"/>
  <c r="D6564" i="1"/>
  <c r="E6564" i="1"/>
  <c r="C6565" i="1"/>
  <c r="D6565" i="1"/>
  <c r="E6565" i="1"/>
  <c r="C6566" i="1"/>
  <c r="D6566" i="1"/>
  <c r="E6566" i="1"/>
  <c r="C6567" i="1"/>
  <c r="D6567" i="1"/>
  <c r="E6567" i="1"/>
  <c r="C6568" i="1"/>
  <c r="D6568" i="1"/>
  <c r="E6568" i="1"/>
  <c r="C6569" i="1"/>
  <c r="D6569" i="1"/>
  <c r="E6569" i="1"/>
  <c r="C6570" i="1"/>
  <c r="D6570" i="1"/>
  <c r="E6570" i="1"/>
  <c r="C6571" i="1"/>
  <c r="D6571" i="1"/>
  <c r="E6571" i="1"/>
  <c r="C6572" i="1"/>
  <c r="D6572" i="1"/>
  <c r="E6572" i="1"/>
  <c r="C6573" i="1"/>
  <c r="D6573" i="1"/>
  <c r="E6573" i="1"/>
  <c r="C6574" i="1"/>
  <c r="D6574" i="1"/>
  <c r="E6574" i="1"/>
  <c r="C6575" i="1"/>
  <c r="D6575" i="1"/>
  <c r="E6575" i="1"/>
  <c r="C6576" i="1"/>
  <c r="D6576" i="1"/>
  <c r="E6576" i="1"/>
  <c r="C6577" i="1"/>
  <c r="D6577" i="1"/>
  <c r="E6577" i="1"/>
  <c r="C6578" i="1"/>
  <c r="D6578" i="1"/>
  <c r="E6578" i="1"/>
  <c r="C6579" i="1"/>
  <c r="D6579" i="1"/>
  <c r="E6579" i="1"/>
  <c r="C6580" i="1"/>
  <c r="D6580" i="1"/>
  <c r="E6580" i="1"/>
  <c r="C6581" i="1"/>
  <c r="D6581" i="1"/>
  <c r="E6581" i="1"/>
  <c r="C6582" i="1"/>
  <c r="D6582" i="1"/>
  <c r="E6582" i="1"/>
  <c r="C6583" i="1"/>
  <c r="D6583" i="1"/>
  <c r="E6583" i="1"/>
  <c r="C6584" i="1"/>
  <c r="D6584" i="1"/>
  <c r="E6584" i="1"/>
  <c r="C6585" i="1"/>
  <c r="D6585" i="1"/>
  <c r="E6585" i="1"/>
  <c r="C6586" i="1"/>
  <c r="D6586" i="1"/>
  <c r="E6586" i="1"/>
  <c r="C6587" i="1"/>
  <c r="D6587" i="1"/>
  <c r="E6587" i="1"/>
  <c r="C6588" i="1"/>
  <c r="D6588" i="1"/>
  <c r="E6588" i="1"/>
  <c r="C6589" i="1"/>
  <c r="D6589" i="1"/>
  <c r="E6589" i="1"/>
  <c r="C6590" i="1"/>
  <c r="D6590" i="1"/>
  <c r="E6590" i="1"/>
  <c r="C6591" i="1"/>
  <c r="D6591" i="1"/>
  <c r="E6591" i="1"/>
  <c r="C6592" i="1"/>
  <c r="D6592" i="1"/>
  <c r="E6592" i="1"/>
  <c r="C6593" i="1"/>
  <c r="D6593" i="1"/>
  <c r="E6593" i="1"/>
  <c r="C6594" i="1"/>
  <c r="D6594" i="1"/>
  <c r="E6594" i="1"/>
  <c r="C6595" i="1"/>
  <c r="D6595" i="1"/>
  <c r="E6595" i="1"/>
  <c r="C6596" i="1"/>
  <c r="D6596" i="1"/>
  <c r="E6596" i="1"/>
  <c r="C6597" i="1"/>
  <c r="D6597" i="1"/>
  <c r="E6597" i="1"/>
  <c r="C6598" i="1"/>
  <c r="D6598" i="1"/>
  <c r="E6598" i="1"/>
  <c r="C6599" i="1"/>
  <c r="D6599" i="1"/>
  <c r="E6599" i="1"/>
  <c r="C6600" i="1"/>
  <c r="D6600" i="1"/>
  <c r="E6600" i="1"/>
  <c r="C6601" i="1"/>
  <c r="D6601" i="1"/>
  <c r="E6601" i="1"/>
  <c r="C6602" i="1"/>
  <c r="D6602" i="1"/>
  <c r="E6602" i="1"/>
  <c r="C6603" i="1"/>
  <c r="D6603" i="1"/>
  <c r="E6603" i="1"/>
  <c r="C6604" i="1"/>
  <c r="D6604" i="1"/>
  <c r="E6604" i="1"/>
  <c r="C6605" i="1"/>
  <c r="D6605" i="1"/>
  <c r="E6605" i="1"/>
  <c r="C6606" i="1"/>
  <c r="D6606" i="1"/>
  <c r="E6606" i="1"/>
  <c r="C6607" i="1"/>
  <c r="D6607" i="1"/>
  <c r="E6607" i="1"/>
  <c r="C6608" i="1"/>
  <c r="D6608" i="1"/>
  <c r="E6608" i="1"/>
  <c r="C6609" i="1"/>
  <c r="D6609" i="1"/>
  <c r="E6609" i="1"/>
  <c r="C6610" i="1"/>
  <c r="D6610" i="1"/>
  <c r="E6610" i="1"/>
  <c r="C6611" i="1"/>
  <c r="D6611" i="1"/>
  <c r="E6611" i="1"/>
  <c r="C6612" i="1"/>
  <c r="D6612" i="1"/>
  <c r="E6612" i="1"/>
  <c r="C6613" i="1"/>
  <c r="D6613" i="1"/>
  <c r="E6613" i="1"/>
  <c r="C6614" i="1"/>
  <c r="D6614" i="1"/>
  <c r="E6614" i="1"/>
  <c r="C6615" i="1"/>
  <c r="D6615" i="1"/>
  <c r="E6615" i="1"/>
  <c r="C6616" i="1"/>
  <c r="D6616" i="1"/>
  <c r="E6616" i="1"/>
  <c r="C6617" i="1"/>
  <c r="D6617" i="1"/>
  <c r="E6617" i="1"/>
  <c r="C6618" i="1"/>
  <c r="D6618" i="1"/>
  <c r="E6618" i="1"/>
  <c r="C6619" i="1"/>
  <c r="D6619" i="1"/>
  <c r="E6619" i="1"/>
  <c r="C6620" i="1"/>
  <c r="D6620" i="1"/>
  <c r="E6620" i="1"/>
  <c r="C6621" i="1"/>
  <c r="D6621" i="1"/>
  <c r="E6621" i="1"/>
  <c r="C6622" i="1"/>
  <c r="D6622" i="1"/>
  <c r="E6622" i="1"/>
  <c r="C6623" i="1"/>
  <c r="D6623" i="1"/>
  <c r="E6623" i="1"/>
  <c r="C6624" i="1"/>
  <c r="D6624" i="1"/>
  <c r="E6624" i="1"/>
  <c r="C6625" i="1"/>
  <c r="D6625" i="1"/>
  <c r="E6625" i="1"/>
  <c r="C6626" i="1"/>
  <c r="D6626" i="1"/>
  <c r="E6626" i="1"/>
  <c r="C6627" i="1"/>
  <c r="D6627" i="1"/>
  <c r="E6627" i="1"/>
  <c r="C6628" i="1"/>
  <c r="D6628" i="1"/>
  <c r="E6628" i="1"/>
  <c r="C6629" i="1"/>
  <c r="D6629" i="1"/>
  <c r="E6629" i="1"/>
  <c r="C6630" i="1"/>
  <c r="D6630" i="1"/>
  <c r="E6630" i="1"/>
  <c r="C6631" i="1"/>
  <c r="D6631" i="1"/>
  <c r="E6631" i="1"/>
  <c r="C6632" i="1"/>
  <c r="D6632" i="1"/>
  <c r="E6632" i="1"/>
  <c r="C6633" i="1"/>
  <c r="D6633" i="1"/>
  <c r="E6633" i="1"/>
  <c r="C6634" i="1"/>
  <c r="D6634" i="1"/>
  <c r="E6634" i="1"/>
  <c r="C6635" i="1"/>
  <c r="D6635" i="1"/>
  <c r="E6635" i="1"/>
  <c r="C6636" i="1"/>
  <c r="D6636" i="1"/>
  <c r="E6636" i="1"/>
  <c r="C6637" i="1"/>
  <c r="D6637" i="1"/>
  <c r="E6637" i="1"/>
  <c r="C6638" i="1"/>
  <c r="D6638" i="1"/>
  <c r="E6638" i="1"/>
  <c r="C6639" i="1"/>
  <c r="D6639" i="1"/>
  <c r="E6639" i="1"/>
  <c r="C6640" i="1"/>
  <c r="D6640" i="1"/>
  <c r="E6640" i="1"/>
  <c r="C6641" i="1"/>
  <c r="D6641" i="1"/>
  <c r="E6641" i="1"/>
  <c r="C6642" i="1"/>
  <c r="D6642" i="1"/>
  <c r="E6642" i="1"/>
  <c r="C6643" i="1"/>
  <c r="D6643" i="1"/>
  <c r="E6643" i="1"/>
  <c r="C6644" i="1"/>
  <c r="D6644" i="1"/>
  <c r="E6644" i="1"/>
  <c r="C6645" i="1"/>
  <c r="D6645" i="1"/>
  <c r="E6645" i="1"/>
  <c r="C6646" i="1"/>
  <c r="D6646" i="1"/>
  <c r="E6646" i="1"/>
  <c r="C6647" i="1"/>
  <c r="D6647" i="1"/>
  <c r="E6647" i="1"/>
  <c r="C6648" i="1"/>
  <c r="D6648" i="1"/>
  <c r="E6648" i="1"/>
  <c r="C6649" i="1"/>
  <c r="D6649" i="1"/>
  <c r="E6649" i="1"/>
  <c r="C6650" i="1"/>
  <c r="D6650" i="1"/>
  <c r="E6650" i="1"/>
  <c r="C6651" i="1"/>
  <c r="D6651" i="1"/>
  <c r="E6651" i="1"/>
  <c r="C6652" i="1"/>
  <c r="D6652" i="1"/>
  <c r="E6652" i="1"/>
  <c r="C6653" i="1"/>
  <c r="D6653" i="1"/>
  <c r="E6653" i="1"/>
  <c r="C6654" i="1"/>
  <c r="D6654" i="1"/>
  <c r="E6654" i="1"/>
  <c r="C6655" i="1"/>
  <c r="D6655" i="1"/>
  <c r="E6655" i="1"/>
  <c r="C6656" i="1"/>
  <c r="D6656" i="1"/>
  <c r="E6656" i="1"/>
  <c r="C6657" i="1"/>
  <c r="D6657" i="1"/>
  <c r="E6657" i="1"/>
  <c r="C6658" i="1"/>
  <c r="D6658" i="1"/>
  <c r="E6658" i="1"/>
  <c r="C6659" i="1"/>
  <c r="D6659" i="1"/>
  <c r="E6659" i="1"/>
  <c r="C6660" i="1"/>
  <c r="D6660" i="1"/>
  <c r="E6660" i="1"/>
  <c r="C6661" i="1"/>
  <c r="D6661" i="1"/>
  <c r="E6661" i="1"/>
  <c r="C6662" i="1"/>
  <c r="D6662" i="1"/>
  <c r="E6662" i="1"/>
  <c r="C6663" i="1"/>
  <c r="D6663" i="1"/>
  <c r="E6663" i="1"/>
  <c r="C6664" i="1"/>
  <c r="D6664" i="1"/>
  <c r="E6664" i="1"/>
  <c r="C6665" i="1"/>
  <c r="D6665" i="1"/>
  <c r="E6665" i="1"/>
  <c r="C6666" i="1"/>
  <c r="D6666" i="1"/>
  <c r="E6666" i="1"/>
  <c r="C6667" i="1"/>
  <c r="D6667" i="1"/>
  <c r="E6667" i="1"/>
  <c r="C6668" i="1"/>
  <c r="D6668" i="1"/>
  <c r="E6668" i="1"/>
  <c r="C6669" i="1"/>
  <c r="D6669" i="1"/>
  <c r="E6669" i="1"/>
  <c r="C6670" i="1"/>
  <c r="D6670" i="1"/>
  <c r="E6670" i="1"/>
  <c r="C6671" i="1"/>
  <c r="D6671" i="1"/>
  <c r="E6671" i="1"/>
  <c r="C6672" i="1"/>
  <c r="D6672" i="1"/>
  <c r="E6672" i="1"/>
  <c r="C6673" i="1"/>
  <c r="D6673" i="1"/>
  <c r="E6673" i="1"/>
  <c r="C6674" i="1"/>
  <c r="D6674" i="1"/>
  <c r="E6674" i="1"/>
  <c r="C6675" i="1"/>
  <c r="D6675" i="1"/>
  <c r="E6675" i="1"/>
  <c r="C6676" i="1"/>
  <c r="D6676" i="1"/>
  <c r="E6676" i="1"/>
  <c r="C6677" i="1"/>
  <c r="D6677" i="1"/>
  <c r="E6677" i="1"/>
  <c r="C6678" i="1"/>
  <c r="D6678" i="1"/>
  <c r="E6678" i="1"/>
  <c r="C6679" i="1"/>
  <c r="D6679" i="1"/>
  <c r="E6679" i="1"/>
  <c r="C6680" i="1"/>
  <c r="D6680" i="1"/>
  <c r="E6680" i="1"/>
  <c r="C6681" i="1"/>
  <c r="D6681" i="1"/>
  <c r="E6681" i="1"/>
  <c r="C6682" i="1"/>
  <c r="D6682" i="1"/>
  <c r="E6682" i="1"/>
  <c r="C6683" i="1"/>
  <c r="D6683" i="1"/>
  <c r="E6683" i="1"/>
  <c r="C6684" i="1"/>
  <c r="D6684" i="1"/>
  <c r="E6684" i="1"/>
  <c r="C6685" i="1"/>
  <c r="D6685" i="1"/>
  <c r="E6685" i="1"/>
  <c r="C6686" i="1"/>
  <c r="D6686" i="1"/>
  <c r="E6686" i="1"/>
  <c r="C6687" i="1"/>
  <c r="D6687" i="1"/>
  <c r="E6687" i="1"/>
  <c r="C6688" i="1"/>
  <c r="D6688" i="1"/>
  <c r="E6688" i="1"/>
  <c r="C6689" i="1"/>
  <c r="D6689" i="1"/>
  <c r="E6689" i="1"/>
  <c r="C6690" i="1"/>
  <c r="D6690" i="1"/>
  <c r="E6690" i="1"/>
  <c r="C6691" i="1"/>
  <c r="D6691" i="1"/>
  <c r="E6691" i="1"/>
  <c r="C6692" i="1"/>
  <c r="D6692" i="1"/>
  <c r="E6692" i="1"/>
  <c r="C6693" i="1"/>
  <c r="D6693" i="1"/>
  <c r="E6693" i="1"/>
  <c r="C6694" i="1"/>
  <c r="D6694" i="1"/>
  <c r="E6694" i="1"/>
  <c r="C6695" i="1"/>
  <c r="D6695" i="1"/>
  <c r="E6695" i="1"/>
  <c r="C6696" i="1"/>
  <c r="D6696" i="1"/>
  <c r="E6696" i="1"/>
  <c r="C6697" i="1"/>
  <c r="D6697" i="1"/>
  <c r="E6697" i="1"/>
  <c r="C6698" i="1"/>
  <c r="D6698" i="1"/>
  <c r="E6698" i="1"/>
  <c r="C6699" i="1"/>
  <c r="D6699" i="1"/>
  <c r="E6699" i="1"/>
  <c r="C6700" i="1"/>
  <c r="D6700" i="1"/>
  <c r="E6700" i="1"/>
  <c r="C6701" i="1"/>
  <c r="D6701" i="1"/>
  <c r="E6701" i="1"/>
  <c r="C6702" i="1"/>
  <c r="D6702" i="1"/>
  <c r="E6702" i="1"/>
  <c r="C6703" i="1"/>
  <c r="D6703" i="1"/>
  <c r="E6703" i="1"/>
  <c r="C6704" i="1"/>
  <c r="D6704" i="1"/>
  <c r="E6704" i="1"/>
  <c r="C6705" i="1"/>
  <c r="D6705" i="1"/>
  <c r="E6705" i="1"/>
  <c r="C6706" i="1"/>
  <c r="D6706" i="1"/>
  <c r="E6706" i="1"/>
  <c r="C6707" i="1"/>
  <c r="D6707" i="1"/>
  <c r="E6707" i="1"/>
  <c r="C6708" i="1"/>
  <c r="D6708" i="1"/>
  <c r="E6708" i="1"/>
  <c r="C6709" i="1"/>
  <c r="D6709" i="1"/>
  <c r="E6709" i="1"/>
  <c r="C6710" i="1"/>
  <c r="D6710" i="1"/>
  <c r="E6710" i="1"/>
  <c r="C6711" i="1"/>
  <c r="D6711" i="1"/>
  <c r="E6711" i="1"/>
  <c r="C6712" i="1"/>
  <c r="D6712" i="1"/>
  <c r="E6712" i="1"/>
  <c r="C6713" i="1"/>
  <c r="D6713" i="1"/>
  <c r="E6713" i="1"/>
  <c r="C6714" i="1"/>
  <c r="D6714" i="1"/>
  <c r="E6714" i="1"/>
  <c r="C6715" i="1"/>
  <c r="D6715" i="1"/>
  <c r="E6715" i="1"/>
  <c r="C6716" i="1"/>
  <c r="D6716" i="1"/>
  <c r="E6716" i="1"/>
  <c r="C6717" i="1"/>
  <c r="D6717" i="1"/>
  <c r="E6717" i="1"/>
  <c r="C6718" i="1"/>
  <c r="D6718" i="1"/>
  <c r="E6718" i="1"/>
  <c r="C6719" i="1"/>
  <c r="D6719" i="1"/>
  <c r="E6719" i="1"/>
  <c r="C6720" i="1"/>
  <c r="D6720" i="1"/>
  <c r="E6720" i="1"/>
  <c r="C6721" i="1"/>
  <c r="D6721" i="1"/>
  <c r="E6721" i="1"/>
  <c r="C6722" i="1"/>
  <c r="D6722" i="1"/>
  <c r="E6722" i="1"/>
  <c r="C6723" i="1"/>
  <c r="D6723" i="1"/>
  <c r="E6723" i="1"/>
  <c r="C6724" i="1"/>
  <c r="D6724" i="1"/>
  <c r="E6724" i="1"/>
  <c r="C6725" i="1"/>
  <c r="D6725" i="1"/>
  <c r="E6725" i="1"/>
  <c r="C6726" i="1"/>
  <c r="D6726" i="1"/>
  <c r="E6726" i="1"/>
  <c r="C6727" i="1"/>
  <c r="D6727" i="1"/>
  <c r="E6727" i="1"/>
  <c r="C6728" i="1"/>
  <c r="D6728" i="1"/>
  <c r="E6728" i="1"/>
  <c r="C6729" i="1"/>
  <c r="D6729" i="1"/>
  <c r="E6729" i="1"/>
  <c r="C6730" i="1"/>
  <c r="D6730" i="1"/>
  <c r="E6730" i="1"/>
  <c r="C6731" i="1"/>
  <c r="D6731" i="1"/>
  <c r="E6731" i="1"/>
  <c r="C6732" i="1"/>
  <c r="D6732" i="1"/>
  <c r="E6732" i="1"/>
  <c r="C6733" i="1"/>
  <c r="D6733" i="1"/>
  <c r="E6733" i="1"/>
  <c r="C6734" i="1"/>
  <c r="D6734" i="1"/>
  <c r="E6734" i="1"/>
  <c r="C6735" i="1"/>
  <c r="D6735" i="1"/>
  <c r="E6735" i="1"/>
  <c r="C6736" i="1"/>
  <c r="D6736" i="1"/>
  <c r="E6736" i="1"/>
  <c r="C6737" i="1"/>
  <c r="D6737" i="1"/>
  <c r="E6737" i="1"/>
  <c r="C6738" i="1"/>
  <c r="D6738" i="1"/>
  <c r="E6738" i="1"/>
  <c r="C6739" i="1"/>
  <c r="D6739" i="1"/>
  <c r="E6739" i="1"/>
  <c r="C6740" i="1"/>
  <c r="D6740" i="1"/>
  <c r="E6740" i="1"/>
  <c r="C6741" i="1"/>
  <c r="D6741" i="1"/>
  <c r="E6741" i="1"/>
  <c r="C6742" i="1"/>
  <c r="D6742" i="1"/>
  <c r="E6742" i="1"/>
  <c r="C6743" i="1"/>
  <c r="D6743" i="1"/>
  <c r="E6743" i="1"/>
  <c r="C6744" i="1"/>
  <c r="D6744" i="1"/>
  <c r="E6744" i="1"/>
  <c r="C6745" i="1"/>
  <c r="D6745" i="1"/>
  <c r="E6745" i="1"/>
  <c r="C6746" i="1"/>
  <c r="D6746" i="1"/>
  <c r="E6746" i="1"/>
  <c r="C6747" i="1"/>
  <c r="D6747" i="1"/>
  <c r="E6747" i="1"/>
  <c r="C6748" i="1"/>
  <c r="D6748" i="1"/>
  <c r="E6748" i="1"/>
  <c r="C6749" i="1"/>
  <c r="D6749" i="1"/>
  <c r="E6749" i="1"/>
  <c r="C6750" i="1"/>
  <c r="D6750" i="1"/>
  <c r="E6750" i="1"/>
  <c r="C6751" i="1"/>
  <c r="D6751" i="1"/>
  <c r="E6751" i="1"/>
  <c r="C6752" i="1"/>
  <c r="D6752" i="1"/>
  <c r="E6752" i="1"/>
  <c r="C6753" i="1"/>
  <c r="D6753" i="1"/>
  <c r="E6753" i="1"/>
  <c r="C6754" i="1"/>
  <c r="D6754" i="1"/>
  <c r="E6754" i="1"/>
  <c r="C6755" i="1"/>
  <c r="D6755" i="1"/>
  <c r="E6755" i="1"/>
  <c r="C6756" i="1"/>
  <c r="D6756" i="1"/>
  <c r="E6756" i="1"/>
  <c r="C6757" i="1"/>
  <c r="D6757" i="1"/>
  <c r="E6757" i="1"/>
  <c r="C6758" i="1"/>
  <c r="D6758" i="1"/>
  <c r="E6758" i="1"/>
  <c r="C6759" i="1"/>
  <c r="D6759" i="1"/>
  <c r="E6759" i="1"/>
  <c r="C6760" i="1"/>
  <c r="D6760" i="1"/>
  <c r="E6760" i="1"/>
  <c r="C6761" i="1"/>
  <c r="D6761" i="1"/>
  <c r="E6761" i="1"/>
  <c r="C6762" i="1"/>
  <c r="D6762" i="1"/>
  <c r="E6762" i="1"/>
  <c r="C6763" i="1"/>
  <c r="D6763" i="1"/>
  <c r="E6763" i="1"/>
  <c r="C6764" i="1"/>
  <c r="D6764" i="1"/>
  <c r="E6764" i="1"/>
  <c r="C6765" i="1"/>
  <c r="D6765" i="1"/>
  <c r="E6765" i="1"/>
  <c r="C6766" i="1"/>
  <c r="D6766" i="1"/>
  <c r="E6766" i="1"/>
  <c r="C6767" i="1"/>
  <c r="D6767" i="1"/>
  <c r="E6767" i="1"/>
  <c r="C6768" i="1"/>
  <c r="D6768" i="1"/>
  <c r="E6768" i="1"/>
  <c r="C6769" i="1"/>
  <c r="D6769" i="1"/>
  <c r="E6769" i="1"/>
  <c r="C6770" i="1"/>
  <c r="D6770" i="1"/>
  <c r="E6770" i="1"/>
  <c r="C6771" i="1"/>
  <c r="D6771" i="1"/>
  <c r="E6771" i="1"/>
  <c r="C6772" i="1"/>
  <c r="D6772" i="1"/>
  <c r="E6772" i="1"/>
  <c r="C6773" i="1"/>
  <c r="D6773" i="1"/>
  <c r="E6773" i="1"/>
  <c r="C6774" i="1"/>
  <c r="D6774" i="1"/>
  <c r="E6774" i="1"/>
  <c r="C6775" i="1"/>
  <c r="D6775" i="1"/>
  <c r="E6775" i="1"/>
  <c r="C6776" i="1"/>
  <c r="D6776" i="1"/>
  <c r="E6776" i="1"/>
  <c r="C6777" i="1"/>
  <c r="D6777" i="1"/>
  <c r="E6777" i="1"/>
  <c r="C6778" i="1"/>
  <c r="D6778" i="1"/>
  <c r="E6778" i="1"/>
  <c r="C6779" i="1"/>
  <c r="D6779" i="1"/>
  <c r="E6779" i="1"/>
  <c r="C6780" i="1"/>
  <c r="D6780" i="1"/>
  <c r="E6780" i="1"/>
  <c r="C6781" i="1"/>
  <c r="D6781" i="1"/>
  <c r="E6781" i="1"/>
  <c r="C6782" i="1"/>
  <c r="D6782" i="1"/>
  <c r="E6782" i="1"/>
  <c r="C6783" i="1"/>
  <c r="D6783" i="1"/>
  <c r="E6783" i="1"/>
  <c r="C6784" i="1"/>
  <c r="D6784" i="1"/>
  <c r="E6784" i="1"/>
  <c r="C6785" i="1"/>
  <c r="D6785" i="1"/>
  <c r="E6785" i="1"/>
  <c r="C6786" i="1"/>
  <c r="D6786" i="1"/>
  <c r="E6786" i="1"/>
  <c r="C6787" i="1"/>
  <c r="D6787" i="1"/>
  <c r="E6787" i="1"/>
  <c r="C6788" i="1"/>
  <c r="D6788" i="1"/>
  <c r="E6788" i="1"/>
  <c r="C6789" i="1"/>
  <c r="D6789" i="1"/>
  <c r="E6789" i="1"/>
  <c r="C6790" i="1"/>
  <c r="D6790" i="1"/>
  <c r="E6790" i="1"/>
  <c r="C6791" i="1"/>
  <c r="D6791" i="1"/>
  <c r="E6791" i="1"/>
  <c r="C6792" i="1"/>
  <c r="D6792" i="1"/>
  <c r="E6792" i="1"/>
  <c r="C6793" i="1"/>
  <c r="D6793" i="1"/>
  <c r="E6793" i="1"/>
  <c r="C6794" i="1"/>
  <c r="D6794" i="1"/>
  <c r="E6794" i="1"/>
  <c r="C6795" i="1"/>
  <c r="D6795" i="1"/>
  <c r="E6795" i="1"/>
  <c r="C6796" i="1"/>
  <c r="D6796" i="1"/>
  <c r="E6796" i="1"/>
  <c r="C6797" i="1"/>
  <c r="D6797" i="1"/>
  <c r="E6797" i="1"/>
  <c r="C6798" i="1"/>
  <c r="D6798" i="1"/>
  <c r="E6798" i="1"/>
  <c r="C6799" i="1"/>
  <c r="D6799" i="1"/>
  <c r="E6799" i="1"/>
  <c r="C6800" i="1"/>
  <c r="D6800" i="1"/>
  <c r="E6800" i="1"/>
  <c r="C6801" i="1"/>
  <c r="D6801" i="1"/>
  <c r="E6801" i="1"/>
  <c r="C6802" i="1"/>
  <c r="D6802" i="1"/>
  <c r="E6802" i="1"/>
  <c r="C6803" i="1"/>
  <c r="D6803" i="1"/>
  <c r="E6803" i="1"/>
  <c r="C6804" i="1"/>
  <c r="D6804" i="1"/>
  <c r="E6804" i="1"/>
  <c r="C6805" i="1"/>
  <c r="D6805" i="1"/>
  <c r="E6805" i="1"/>
  <c r="C6806" i="1"/>
  <c r="D6806" i="1"/>
  <c r="E6806" i="1"/>
  <c r="C6807" i="1"/>
  <c r="D6807" i="1"/>
  <c r="E6807" i="1"/>
  <c r="C6808" i="1"/>
  <c r="D6808" i="1"/>
  <c r="E6808" i="1"/>
  <c r="C6809" i="1"/>
  <c r="D6809" i="1"/>
  <c r="E6809" i="1"/>
  <c r="C6810" i="1"/>
  <c r="D6810" i="1"/>
  <c r="E6810" i="1"/>
  <c r="C6811" i="1"/>
  <c r="D6811" i="1"/>
  <c r="E6811" i="1"/>
  <c r="C6812" i="1"/>
  <c r="D6812" i="1"/>
  <c r="E6812" i="1"/>
  <c r="C6813" i="1"/>
  <c r="D6813" i="1"/>
  <c r="E6813" i="1"/>
  <c r="C6814" i="1"/>
  <c r="D6814" i="1"/>
  <c r="E6814" i="1"/>
  <c r="C6815" i="1"/>
  <c r="D6815" i="1"/>
  <c r="E6815" i="1"/>
  <c r="C6816" i="1"/>
  <c r="D6816" i="1"/>
  <c r="E6816" i="1"/>
  <c r="C6817" i="1"/>
  <c r="D6817" i="1"/>
  <c r="E6817" i="1"/>
  <c r="C6818" i="1"/>
  <c r="D6818" i="1"/>
  <c r="E6818" i="1"/>
  <c r="C6819" i="1"/>
  <c r="D6819" i="1"/>
  <c r="E6819" i="1"/>
  <c r="C6820" i="1"/>
  <c r="D6820" i="1"/>
  <c r="E6820" i="1"/>
  <c r="C6821" i="1"/>
  <c r="D6821" i="1"/>
  <c r="E6821" i="1"/>
  <c r="C6822" i="1"/>
  <c r="D6822" i="1"/>
  <c r="E6822" i="1"/>
  <c r="C6823" i="1"/>
  <c r="D6823" i="1"/>
  <c r="E6823" i="1"/>
  <c r="C6824" i="1"/>
  <c r="D6824" i="1"/>
  <c r="E6824" i="1"/>
  <c r="C6825" i="1"/>
  <c r="D6825" i="1"/>
  <c r="E6825" i="1"/>
  <c r="C6826" i="1"/>
  <c r="D6826" i="1"/>
  <c r="E6826" i="1"/>
  <c r="C6827" i="1"/>
  <c r="D6827" i="1"/>
  <c r="E6827" i="1"/>
  <c r="C6828" i="1"/>
  <c r="D6828" i="1"/>
  <c r="E6828" i="1"/>
  <c r="C6829" i="1"/>
  <c r="D6829" i="1"/>
  <c r="E6829" i="1"/>
  <c r="C6830" i="1"/>
  <c r="D6830" i="1"/>
  <c r="E6830" i="1"/>
  <c r="C6831" i="1"/>
  <c r="D6831" i="1"/>
  <c r="E6831" i="1"/>
  <c r="C6832" i="1"/>
  <c r="D6832" i="1"/>
  <c r="E6832" i="1"/>
  <c r="C6833" i="1"/>
  <c r="D6833" i="1"/>
  <c r="E6833" i="1"/>
  <c r="C6834" i="1"/>
  <c r="D6834" i="1"/>
  <c r="E6834" i="1"/>
  <c r="C6835" i="1"/>
  <c r="D6835" i="1"/>
  <c r="E6835" i="1"/>
  <c r="C6836" i="1"/>
  <c r="D6836" i="1"/>
  <c r="E6836" i="1"/>
  <c r="C6837" i="1"/>
  <c r="D6837" i="1"/>
  <c r="E6837" i="1"/>
  <c r="C6838" i="1"/>
  <c r="D6838" i="1"/>
  <c r="E6838" i="1"/>
  <c r="C6839" i="1"/>
  <c r="D6839" i="1"/>
  <c r="E6839" i="1"/>
  <c r="C6840" i="1"/>
  <c r="D6840" i="1"/>
  <c r="E6840" i="1"/>
  <c r="C6841" i="1"/>
  <c r="D6841" i="1"/>
  <c r="E6841" i="1"/>
  <c r="C6842" i="1"/>
  <c r="D6842" i="1"/>
  <c r="E6842" i="1"/>
  <c r="C6843" i="1"/>
  <c r="D6843" i="1"/>
  <c r="E6843" i="1"/>
  <c r="C6844" i="1"/>
  <c r="D6844" i="1"/>
  <c r="E6844" i="1"/>
  <c r="C6845" i="1"/>
  <c r="D6845" i="1"/>
  <c r="E6845" i="1"/>
  <c r="C6846" i="1"/>
  <c r="D6846" i="1"/>
  <c r="E6846" i="1"/>
  <c r="C6847" i="1"/>
  <c r="D6847" i="1"/>
  <c r="E6847" i="1"/>
  <c r="C6848" i="1"/>
  <c r="D6848" i="1"/>
  <c r="E6848" i="1"/>
  <c r="C6849" i="1"/>
  <c r="D6849" i="1"/>
  <c r="E6849" i="1"/>
  <c r="C6850" i="1"/>
  <c r="D6850" i="1"/>
  <c r="E6850" i="1"/>
  <c r="C6851" i="1"/>
  <c r="D6851" i="1"/>
  <c r="E6851" i="1"/>
  <c r="C6852" i="1"/>
  <c r="D6852" i="1"/>
  <c r="E6852" i="1"/>
  <c r="C6853" i="1"/>
  <c r="D6853" i="1"/>
  <c r="E6853" i="1"/>
  <c r="C6854" i="1"/>
  <c r="D6854" i="1"/>
  <c r="E6854" i="1"/>
  <c r="C6855" i="1"/>
  <c r="D6855" i="1"/>
  <c r="E6855" i="1"/>
  <c r="C6856" i="1"/>
  <c r="D6856" i="1"/>
  <c r="E6856" i="1"/>
  <c r="C6857" i="1"/>
  <c r="D6857" i="1"/>
  <c r="E6857" i="1"/>
  <c r="C6858" i="1"/>
  <c r="D6858" i="1"/>
  <c r="E6858" i="1"/>
  <c r="C6859" i="1"/>
  <c r="D6859" i="1"/>
  <c r="E6859" i="1"/>
  <c r="C6860" i="1"/>
  <c r="D6860" i="1"/>
  <c r="E6860" i="1"/>
  <c r="C6861" i="1"/>
  <c r="D6861" i="1"/>
  <c r="E6861" i="1"/>
  <c r="C6862" i="1"/>
  <c r="D6862" i="1"/>
  <c r="E6862" i="1"/>
  <c r="C6863" i="1"/>
  <c r="D6863" i="1"/>
  <c r="E6863" i="1"/>
  <c r="C6864" i="1"/>
  <c r="D6864" i="1"/>
  <c r="E6864" i="1"/>
  <c r="C6865" i="1"/>
  <c r="D6865" i="1"/>
  <c r="E6865" i="1"/>
  <c r="C6866" i="1"/>
  <c r="D6866" i="1"/>
  <c r="E6866" i="1"/>
  <c r="C6867" i="1"/>
  <c r="D6867" i="1"/>
  <c r="E6867" i="1"/>
  <c r="C6868" i="1"/>
  <c r="D6868" i="1"/>
  <c r="E6868" i="1"/>
  <c r="C6869" i="1"/>
  <c r="D6869" i="1"/>
  <c r="E6869" i="1"/>
  <c r="C6870" i="1"/>
  <c r="D6870" i="1"/>
  <c r="E6870" i="1"/>
  <c r="C6871" i="1"/>
  <c r="D6871" i="1"/>
  <c r="E6871" i="1"/>
  <c r="C6872" i="1"/>
  <c r="D6872" i="1"/>
  <c r="E6872" i="1"/>
  <c r="C6873" i="1"/>
  <c r="D6873" i="1"/>
  <c r="E6873" i="1"/>
  <c r="C6874" i="1"/>
  <c r="D6874" i="1"/>
  <c r="E6874" i="1"/>
  <c r="C6875" i="1"/>
  <c r="D6875" i="1"/>
  <c r="E6875" i="1"/>
  <c r="C6876" i="1"/>
  <c r="D6876" i="1"/>
  <c r="E6876" i="1"/>
  <c r="C6877" i="1"/>
  <c r="D6877" i="1"/>
  <c r="E6877" i="1"/>
  <c r="C6878" i="1"/>
  <c r="D6878" i="1"/>
  <c r="E6878" i="1"/>
  <c r="C6879" i="1"/>
  <c r="D6879" i="1"/>
  <c r="E6879" i="1"/>
  <c r="C6880" i="1"/>
  <c r="D6880" i="1"/>
  <c r="E6880" i="1"/>
  <c r="C6881" i="1"/>
  <c r="D6881" i="1"/>
  <c r="E6881" i="1"/>
  <c r="C6882" i="1"/>
  <c r="D6882" i="1"/>
  <c r="E6882" i="1"/>
  <c r="C6883" i="1"/>
  <c r="D6883" i="1"/>
  <c r="E6883" i="1"/>
  <c r="C6884" i="1"/>
  <c r="D6884" i="1"/>
  <c r="E6884" i="1"/>
  <c r="C6885" i="1"/>
  <c r="D6885" i="1"/>
  <c r="E6885" i="1"/>
  <c r="C6886" i="1"/>
  <c r="D6886" i="1"/>
  <c r="E6886" i="1"/>
  <c r="C6887" i="1"/>
  <c r="D6887" i="1"/>
  <c r="E6887" i="1"/>
  <c r="C6888" i="1"/>
  <c r="D6888" i="1"/>
  <c r="E6888" i="1"/>
  <c r="C6889" i="1"/>
  <c r="D6889" i="1"/>
  <c r="E6889" i="1"/>
  <c r="C6890" i="1"/>
  <c r="D6890" i="1"/>
  <c r="E6890" i="1"/>
  <c r="C6891" i="1"/>
  <c r="D6891" i="1"/>
  <c r="E6891" i="1"/>
  <c r="C6892" i="1"/>
  <c r="D6892" i="1"/>
  <c r="E6892" i="1"/>
  <c r="C6893" i="1"/>
  <c r="D6893" i="1"/>
  <c r="E6893" i="1"/>
  <c r="C6894" i="1"/>
  <c r="D6894" i="1"/>
  <c r="E6894" i="1"/>
  <c r="C6895" i="1"/>
  <c r="D6895" i="1"/>
  <c r="E6895" i="1"/>
  <c r="C6896" i="1"/>
  <c r="D6896" i="1"/>
  <c r="E6896" i="1"/>
  <c r="C6897" i="1"/>
  <c r="D6897" i="1"/>
  <c r="E6897" i="1"/>
  <c r="C6898" i="1"/>
  <c r="D6898" i="1"/>
  <c r="E6898" i="1"/>
  <c r="C6899" i="1"/>
  <c r="D6899" i="1"/>
  <c r="E6899" i="1"/>
  <c r="C6900" i="1"/>
  <c r="D6900" i="1"/>
  <c r="E6900" i="1"/>
  <c r="C6901" i="1"/>
  <c r="D6901" i="1"/>
  <c r="E6901" i="1"/>
  <c r="C6902" i="1"/>
  <c r="D6902" i="1"/>
  <c r="E6902" i="1"/>
  <c r="C6903" i="1"/>
  <c r="D6903" i="1"/>
  <c r="E6903" i="1"/>
  <c r="C6904" i="1"/>
  <c r="D6904" i="1"/>
  <c r="E6904" i="1"/>
  <c r="C6905" i="1"/>
  <c r="D6905" i="1"/>
  <c r="E6905" i="1"/>
  <c r="C6906" i="1"/>
  <c r="D6906" i="1"/>
  <c r="E6906" i="1"/>
  <c r="C6907" i="1"/>
  <c r="D6907" i="1"/>
  <c r="E6907" i="1"/>
  <c r="C6908" i="1"/>
  <c r="D6908" i="1"/>
  <c r="E6908" i="1"/>
  <c r="C6909" i="1"/>
  <c r="D6909" i="1"/>
  <c r="E6909" i="1"/>
  <c r="C6910" i="1"/>
  <c r="D6910" i="1"/>
  <c r="E6910" i="1"/>
  <c r="C6911" i="1"/>
  <c r="D6911" i="1"/>
  <c r="E6911" i="1"/>
  <c r="C6912" i="1"/>
  <c r="D6912" i="1"/>
  <c r="E6912" i="1"/>
  <c r="C6913" i="1"/>
  <c r="D6913" i="1"/>
  <c r="E6913" i="1"/>
  <c r="C6914" i="1"/>
  <c r="D6914" i="1"/>
  <c r="E6914" i="1"/>
  <c r="C6915" i="1"/>
  <c r="D6915" i="1"/>
  <c r="E6915" i="1"/>
  <c r="C6916" i="1"/>
  <c r="D6916" i="1"/>
  <c r="E6916" i="1"/>
  <c r="C6917" i="1"/>
  <c r="D6917" i="1"/>
  <c r="E6917" i="1"/>
  <c r="C6918" i="1"/>
  <c r="D6918" i="1"/>
  <c r="E6918" i="1"/>
  <c r="C6919" i="1"/>
  <c r="D6919" i="1"/>
  <c r="E6919" i="1"/>
  <c r="C6920" i="1"/>
  <c r="D6920" i="1"/>
  <c r="E6920" i="1"/>
  <c r="C6921" i="1"/>
  <c r="D6921" i="1"/>
  <c r="E6921" i="1"/>
  <c r="C6922" i="1"/>
  <c r="D6922" i="1"/>
  <c r="E6922" i="1"/>
  <c r="C6923" i="1"/>
  <c r="D6923" i="1"/>
  <c r="E6923" i="1"/>
  <c r="C6924" i="1"/>
  <c r="D6924" i="1"/>
  <c r="E6924" i="1"/>
  <c r="C6925" i="1"/>
  <c r="D6925" i="1"/>
  <c r="E6925" i="1"/>
  <c r="C6926" i="1"/>
  <c r="D6926" i="1"/>
  <c r="E6926" i="1"/>
  <c r="C6927" i="1"/>
  <c r="D6927" i="1"/>
  <c r="E6927" i="1"/>
  <c r="C6928" i="1"/>
  <c r="D6928" i="1"/>
  <c r="E6928" i="1"/>
  <c r="C6929" i="1"/>
  <c r="D6929" i="1"/>
  <c r="E6929" i="1"/>
  <c r="C6930" i="1"/>
  <c r="D6930" i="1"/>
  <c r="E6930" i="1"/>
  <c r="C6931" i="1"/>
  <c r="D6931" i="1"/>
  <c r="E6931" i="1"/>
  <c r="C6932" i="1"/>
  <c r="D6932" i="1"/>
  <c r="E6932" i="1"/>
  <c r="C6933" i="1"/>
  <c r="D6933" i="1"/>
  <c r="E6933" i="1"/>
  <c r="C6934" i="1"/>
  <c r="D6934" i="1"/>
  <c r="E6934" i="1"/>
  <c r="C6935" i="1"/>
  <c r="D6935" i="1"/>
  <c r="E6935" i="1"/>
  <c r="C6936" i="1"/>
  <c r="D6936" i="1"/>
  <c r="E6936" i="1"/>
  <c r="C6937" i="1"/>
  <c r="D6937" i="1"/>
  <c r="E6937" i="1"/>
  <c r="C6938" i="1"/>
  <c r="D6938" i="1"/>
  <c r="E6938" i="1"/>
  <c r="C6939" i="1"/>
  <c r="D6939" i="1"/>
  <c r="E6939" i="1"/>
  <c r="C6940" i="1"/>
  <c r="D6940" i="1"/>
  <c r="E6940" i="1"/>
  <c r="C6941" i="1"/>
  <c r="D6941" i="1"/>
  <c r="E6941" i="1"/>
  <c r="C6942" i="1"/>
  <c r="D6942" i="1"/>
  <c r="E6942" i="1"/>
  <c r="C6943" i="1"/>
  <c r="D6943" i="1"/>
  <c r="E6943" i="1"/>
  <c r="C6944" i="1"/>
  <c r="D6944" i="1"/>
  <c r="E6944" i="1"/>
  <c r="C6945" i="1"/>
  <c r="D6945" i="1"/>
  <c r="E6945" i="1"/>
  <c r="C6946" i="1"/>
  <c r="D6946" i="1"/>
  <c r="E6946" i="1"/>
  <c r="C6947" i="1"/>
  <c r="D6947" i="1"/>
  <c r="E6947" i="1"/>
  <c r="C6948" i="1"/>
  <c r="D6948" i="1"/>
  <c r="E6948" i="1"/>
  <c r="C6949" i="1"/>
  <c r="D6949" i="1"/>
  <c r="E6949" i="1"/>
  <c r="C6950" i="1"/>
  <c r="D6950" i="1"/>
  <c r="E6950" i="1"/>
  <c r="C6951" i="1"/>
  <c r="D6951" i="1"/>
  <c r="E6951" i="1"/>
  <c r="C6952" i="1"/>
  <c r="D6952" i="1"/>
  <c r="E6952" i="1"/>
  <c r="C6953" i="1"/>
  <c r="D6953" i="1"/>
  <c r="E6953" i="1"/>
  <c r="C6954" i="1"/>
  <c r="D6954" i="1"/>
  <c r="E6954" i="1"/>
  <c r="C6955" i="1"/>
  <c r="D6955" i="1"/>
  <c r="E6955" i="1"/>
  <c r="C6956" i="1"/>
  <c r="D6956" i="1"/>
  <c r="E6956" i="1"/>
  <c r="C6957" i="1"/>
  <c r="D6957" i="1"/>
  <c r="E6957" i="1"/>
  <c r="C6958" i="1"/>
  <c r="D6958" i="1"/>
  <c r="E6958" i="1"/>
  <c r="C6959" i="1"/>
  <c r="D6959" i="1"/>
  <c r="E6959" i="1"/>
  <c r="C6960" i="1"/>
  <c r="D6960" i="1"/>
  <c r="E6960" i="1"/>
  <c r="C6961" i="1"/>
  <c r="D6961" i="1"/>
  <c r="E6961" i="1"/>
  <c r="C6962" i="1"/>
  <c r="D6962" i="1"/>
  <c r="E6962" i="1"/>
  <c r="C6963" i="1"/>
  <c r="D6963" i="1"/>
  <c r="E6963" i="1"/>
  <c r="C6964" i="1"/>
  <c r="D6964" i="1"/>
  <c r="E6964" i="1"/>
  <c r="C6965" i="1"/>
  <c r="D6965" i="1"/>
  <c r="E6965" i="1"/>
  <c r="C6966" i="1"/>
  <c r="D6966" i="1"/>
  <c r="E6966" i="1"/>
  <c r="C6967" i="1"/>
  <c r="D6967" i="1"/>
  <c r="E6967" i="1"/>
  <c r="C6968" i="1"/>
  <c r="D6968" i="1"/>
  <c r="E6968" i="1"/>
  <c r="C6969" i="1"/>
  <c r="D6969" i="1"/>
  <c r="E6969" i="1"/>
  <c r="C6970" i="1"/>
  <c r="D6970" i="1"/>
  <c r="E6970" i="1"/>
  <c r="C6971" i="1"/>
  <c r="D6971" i="1"/>
  <c r="E6971" i="1"/>
  <c r="C6972" i="1"/>
  <c r="D6972" i="1"/>
  <c r="E6972" i="1"/>
  <c r="C6973" i="1"/>
  <c r="D6973" i="1"/>
  <c r="E6973" i="1"/>
  <c r="C6974" i="1"/>
  <c r="D6974" i="1"/>
  <c r="E6974" i="1"/>
  <c r="C6975" i="1"/>
  <c r="D6975" i="1"/>
  <c r="E6975" i="1"/>
  <c r="C6976" i="1"/>
  <c r="D6976" i="1"/>
  <c r="E6976" i="1"/>
  <c r="C6977" i="1"/>
  <c r="D6977" i="1"/>
  <c r="E6977" i="1"/>
  <c r="C6978" i="1"/>
  <c r="D6978" i="1"/>
  <c r="E6978" i="1"/>
  <c r="C6979" i="1"/>
  <c r="D6979" i="1"/>
  <c r="E6979" i="1"/>
  <c r="C6980" i="1"/>
  <c r="D6980" i="1"/>
  <c r="E6980" i="1"/>
  <c r="C6981" i="1"/>
  <c r="D6981" i="1"/>
  <c r="E6981" i="1"/>
  <c r="C6982" i="1"/>
  <c r="D6982" i="1"/>
  <c r="E6982" i="1"/>
  <c r="C6983" i="1"/>
  <c r="D6983" i="1"/>
  <c r="E6983" i="1"/>
  <c r="C6984" i="1"/>
  <c r="D6984" i="1"/>
  <c r="E6984" i="1"/>
  <c r="C6985" i="1"/>
  <c r="D6985" i="1"/>
  <c r="E6985" i="1"/>
  <c r="C6986" i="1"/>
  <c r="D6986" i="1"/>
  <c r="E6986" i="1"/>
  <c r="C6987" i="1"/>
  <c r="D6987" i="1"/>
  <c r="E6987" i="1"/>
  <c r="C6988" i="1"/>
  <c r="D6988" i="1"/>
  <c r="E6988" i="1"/>
  <c r="C6989" i="1"/>
  <c r="D6989" i="1"/>
  <c r="E6989" i="1"/>
  <c r="C6990" i="1"/>
  <c r="D6990" i="1"/>
  <c r="E6990" i="1"/>
  <c r="C6991" i="1"/>
  <c r="D6991" i="1"/>
  <c r="E6991" i="1"/>
  <c r="C6992" i="1"/>
  <c r="D6992" i="1"/>
  <c r="E6992" i="1"/>
  <c r="C6993" i="1"/>
  <c r="D6993" i="1"/>
  <c r="E6993" i="1"/>
  <c r="C6994" i="1"/>
  <c r="D6994" i="1"/>
  <c r="E6994" i="1"/>
  <c r="C6995" i="1"/>
  <c r="D6995" i="1"/>
  <c r="E6995" i="1"/>
  <c r="C6996" i="1"/>
  <c r="D6996" i="1"/>
  <c r="E6996" i="1"/>
  <c r="C6997" i="1"/>
  <c r="D6997" i="1"/>
  <c r="E6997" i="1"/>
  <c r="C6998" i="1"/>
  <c r="D6998" i="1"/>
  <c r="E6998" i="1"/>
  <c r="C6999" i="1"/>
  <c r="D6999" i="1"/>
  <c r="E6999" i="1"/>
  <c r="C7000" i="1"/>
  <c r="D7000" i="1"/>
  <c r="E7000" i="1"/>
  <c r="C7001" i="1"/>
  <c r="D7001" i="1"/>
  <c r="E7001" i="1"/>
  <c r="C7002" i="1"/>
  <c r="D7002" i="1"/>
  <c r="E7002" i="1"/>
  <c r="C7003" i="1"/>
  <c r="D7003" i="1"/>
  <c r="E7003" i="1"/>
  <c r="C7004" i="1"/>
  <c r="D7004" i="1"/>
  <c r="E7004" i="1"/>
  <c r="C7005" i="1"/>
  <c r="D7005" i="1"/>
  <c r="E7005" i="1"/>
  <c r="C7006" i="1"/>
  <c r="D7006" i="1"/>
  <c r="E7006" i="1"/>
  <c r="C7007" i="1"/>
  <c r="D7007" i="1"/>
  <c r="E7007" i="1"/>
  <c r="C7008" i="1"/>
  <c r="D7008" i="1"/>
  <c r="E7008" i="1"/>
  <c r="C7009" i="1"/>
  <c r="D7009" i="1"/>
  <c r="E7009" i="1"/>
  <c r="C7010" i="1"/>
  <c r="D7010" i="1"/>
  <c r="E7010" i="1"/>
  <c r="C7011" i="1"/>
  <c r="D7011" i="1"/>
  <c r="E7011" i="1"/>
  <c r="C7012" i="1"/>
  <c r="D7012" i="1"/>
  <c r="E7012" i="1"/>
  <c r="C7013" i="1"/>
  <c r="D7013" i="1"/>
  <c r="E7013" i="1"/>
  <c r="C7014" i="1"/>
  <c r="D7014" i="1"/>
  <c r="E7014" i="1"/>
  <c r="C7015" i="1"/>
  <c r="D7015" i="1"/>
  <c r="E7015" i="1"/>
  <c r="C7016" i="1"/>
  <c r="D7016" i="1"/>
  <c r="E7016" i="1"/>
  <c r="C7017" i="1"/>
  <c r="D7017" i="1"/>
  <c r="E7017" i="1"/>
  <c r="C7018" i="1"/>
  <c r="D7018" i="1"/>
  <c r="E7018" i="1"/>
  <c r="C7019" i="1"/>
  <c r="D7019" i="1"/>
  <c r="E7019" i="1"/>
  <c r="C7020" i="1"/>
  <c r="D7020" i="1"/>
  <c r="E7020" i="1"/>
  <c r="C7021" i="1"/>
  <c r="D7021" i="1"/>
  <c r="E7021" i="1"/>
  <c r="C7022" i="1"/>
  <c r="D7022" i="1"/>
  <c r="E7022" i="1"/>
  <c r="C7023" i="1"/>
  <c r="D7023" i="1"/>
  <c r="E7023" i="1"/>
  <c r="C7024" i="1"/>
  <c r="D7024" i="1"/>
  <c r="E7024" i="1"/>
  <c r="C7025" i="1"/>
  <c r="D7025" i="1"/>
  <c r="E7025" i="1"/>
  <c r="C7026" i="1"/>
  <c r="D7026" i="1"/>
  <c r="E7026" i="1"/>
  <c r="C7027" i="1"/>
  <c r="D7027" i="1"/>
  <c r="E7027" i="1"/>
  <c r="C7028" i="1"/>
  <c r="D7028" i="1"/>
  <c r="E7028" i="1"/>
  <c r="C7029" i="1"/>
  <c r="D7029" i="1"/>
  <c r="E7029" i="1"/>
  <c r="C7030" i="1"/>
  <c r="D7030" i="1"/>
  <c r="E7030" i="1"/>
  <c r="C7031" i="1"/>
  <c r="D7031" i="1"/>
  <c r="E7031" i="1"/>
  <c r="C7032" i="1"/>
  <c r="D7032" i="1"/>
  <c r="E7032" i="1"/>
  <c r="C7033" i="1"/>
  <c r="D7033" i="1"/>
  <c r="E7033" i="1"/>
  <c r="C7034" i="1"/>
  <c r="D7034" i="1"/>
  <c r="E7034" i="1"/>
  <c r="C7035" i="1"/>
  <c r="D7035" i="1"/>
  <c r="E7035" i="1"/>
  <c r="C7036" i="1"/>
  <c r="D7036" i="1"/>
  <c r="E7036" i="1"/>
  <c r="C7037" i="1"/>
  <c r="D7037" i="1"/>
  <c r="E7037" i="1"/>
  <c r="C7038" i="1"/>
  <c r="D7038" i="1"/>
  <c r="E7038" i="1"/>
  <c r="C7039" i="1"/>
  <c r="D7039" i="1"/>
  <c r="E7039" i="1"/>
  <c r="C7040" i="1"/>
  <c r="D7040" i="1"/>
  <c r="E7040" i="1"/>
  <c r="C7041" i="1"/>
  <c r="D7041" i="1"/>
  <c r="E7041" i="1"/>
  <c r="C7042" i="1"/>
  <c r="D7042" i="1"/>
  <c r="E7042" i="1"/>
  <c r="C7043" i="1"/>
  <c r="D7043" i="1"/>
  <c r="E7043" i="1"/>
  <c r="C7044" i="1"/>
  <c r="D7044" i="1"/>
  <c r="E7044" i="1"/>
  <c r="C7045" i="1"/>
  <c r="D7045" i="1"/>
  <c r="E7045" i="1"/>
  <c r="C7046" i="1"/>
  <c r="D7046" i="1"/>
  <c r="E7046" i="1"/>
  <c r="C7047" i="1"/>
  <c r="D7047" i="1"/>
  <c r="E7047" i="1"/>
  <c r="C7048" i="1"/>
  <c r="D7048" i="1"/>
  <c r="E7048" i="1"/>
  <c r="C7049" i="1"/>
  <c r="D7049" i="1"/>
  <c r="E7049" i="1"/>
  <c r="C7050" i="1"/>
  <c r="D7050" i="1"/>
  <c r="E7050" i="1"/>
  <c r="C7051" i="1"/>
  <c r="D7051" i="1"/>
  <c r="E7051" i="1"/>
  <c r="C7052" i="1"/>
  <c r="D7052" i="1"/>
  <c r="E7052" i="1"/>
  <c r="C7053" i="1"/>
  <c r="D7053" i="1"/>
  <c r="E7053" i="1"/>
  <c r="C7054" i="1"/>
  <c r="D7054" i="1"/>
  <c r="E7054" i="1"/>
  <c r="C7055" i="1"/>
  <c r="D7055" i="1"/>
  <c r="E7055" i="1"/>
  <c r="C7056" i="1"/>
  <c r="D7056" i="1"/>
  <c r="E7056" i="1"/>
  <c r="C7057" i="1"/>
  <c r="D7057" i="1"/>
  <c r="E7057" i="1"/>
  <c r="C7058" i="1"/>
  <c r="D7058" i="1"/>
  <c r="E7058" i="1"/>
  <c r="C7059" i="1"/>
  <c r="D7059" i="1"/>
  <c r="E7059" i="1"/>
  <c r="C7060" i="1"/>
  <c r="D7060" i="1"/>
  <c r="E7060" i="1"/>
  <c r="C7061" i="1"/>
  <c r="D7061" i="1"/>
  <c r="E7061" i="1"/>
  <c r="C7062" i="1"/>
  <c r="D7062" i="1"/>
  <c r="E7062" i="1"/>
  <c r="C7063" i="1"/>
  <c r="D7063" i="1"/>
  <c r="E7063" i="1"/>
  <c r="C7064" i="1"/>
  <c r="D7064" i="1"/>
  <c r="E7064" i="1"/>
  <c r="C7065" i="1"/>
  <c r="D7065" i="1"/>
  <c r="E7065" i="1"/>
  <c r="C7066" i="1"/>
  <c r="D7066" i="1"/>
  <c r="E7066" i="1"/>
  <c r="C7067" i="1"/>
  <c r="D7067" i="1"/>
  <c r="E7067" i="1"/>
  <c r="C7068" i="1"/>
  <c r="D7068" i="1"/>
  <c r="E7068" i="1"/>
  <c r="C7069" i="1"/>
  <c r="D7069" i="1"/>
  <c r="E7069" i="1"/>
  <c r="C7070" i="1"/>
  <c r="D7070" i="1"/>
  <c r="E7070" i="1"/>
  <c r="C7071" i="1"/>
  <c r="D7071" i="1"/>
  <c r="E7071" i="1"/>
  <c r="C7072" i="1"/>
  <c r="D7072" i="1"/>
  <c r="E7072" i="1"/>
  <c r="C7073" i="1"/>
  <c r="D7073" i="1"/>
  <c r="E7073" i="1"/>
  <c r="C7074" i="1"/>
  <c r="D7074" i="1"/>
  <c r="E7074" i="1"/>
  <c r="C7075" i="1"/>
  <c r="D7075" i="1"/>
  <c r="E7075" i="1"/>
  <c r="C7076" i="1"/>
  <c r="D7076" i="1"/>
  <c r="E7076" i="1"/>
  <c r="C7077" i="1"/>
  <c r="D7077" i="1"/>
  <c r="E7077" i="1"/>
  <c r="C7078" i="1"/>
  <c r="D7078" i="1"/>
  <c r="E7078" i="1"/>
  <c r="C7079" i="1"/>
  <c r="D7079" i="1"/>
  <c r="E7079" i="1"/>
  <c r="C7080" i="1"/>
  <c r="D7080" i="1"/>
  <c r="E7080" i="1"/>
  <c r="C7081" i="1"/>
  <c r="D7081" i="1"/>
  <c r="E7081" i="1"/>
  <c r="C7082" i="1"/>
  <c r="D7082" i="1"/>
  <c r="E7082" i="1"/>
  <c r="C7083" i="1"/>
  <c r="D7083" i="1"/>
  <c r="E7083" i="1"/>
  <c r="C7084" i="1"/>
  <c r="D7084" i="1"/>
  <c r="E7084" i="1"/>
  <c r="C7085" i="1"/>
  <c r="D7085" i="1"/>
  <c r="E7085" i="1"/>
  <c r="C7086" i="1"/>
  <c r="D7086" i="1"/>
  <c r="E7086" i="1"/>
  <c r="C7087" i="1"/>
  <c r="D7087" i="1"/>
  <c r="E7087" i="1"/>
  <c r="C7088" i="1"/>
  <c r="D7088" i="1"/>
  <c r="E7088" i="1"/>
  <c r="C7089" i="1"/>
  <c r="D7089" i="1"/>
  <c r="E7089" i="1"/>
  <c r="C7090" i="1"/>
  <c r="D7090" i="1"/>
  <c r="E7090" i="1"/>
  <c r="C7091" i="1"/>
  <c r="D7091" i="1"/>
  <c r="E7091" i="1"/>
  <c r="C7092" i="1"/>
  <c r="D7092" i="1"/>
  <c r="E7092" i="1"/>
  <c r="C7093" i="1"/>
  <c r="D7093" i="1"/>
  <c r="E7093" i="1"/>
  <c r="C7094" i="1"/>
  <c r="D7094" i="1"/>
  <c r="E7094" i="1"/>
  <c r="C7095" i="1"/>
  <c r="D7095" i="1"/>
  <c r="E7095" i="1"/>
  <c r="C7096" i="1"/>
  <c r="D7096" i="1"/>
  <c r="E7096" i="1"/>
  <c r="C7097" i="1"/>
  <c r="D7097" i="1"/>
  <c r="E7097" i="1"/>
  <c r="C7098" i="1"/>
  <c r="D7098" i="1"/>
  <c r="E7098" i="1"/>
  <c r="C7099" i="1"/>
  <c r="D7099" i="1"/>
  <c r="E7099" i="1"/>
  <c r="C7100" i="1"/>
  <c r="D7100" i="1"/>
  <c r="E7100" i="1"/>
  <c r="C7101" i="1"/>
  <c r="D7101" i="1"/>
  <c r="E7101" i="1"/>
  <c r="C7102" i="1"/>
  <c r="D7102" i="1"/>
  <c r="E7102" i="1"/>
  <c r="C7103" i="1"/>
  <c r="D7103" i="1"/>
  <c r="E7103" i="1"/>
  <c r="C7104" i="1"/>
  <c r="D7104" i="1"/>
  <c r="E7104" i="1"/>
  <c r="C7105" i="1"/>
  <c r="D7105" i="1"/>
  <c r="E7105" i="1"/>
  <c r="C7106" i="1"/>
  <c r="D7106" i="1"/>
  <c r="E7106" i="1"/>
  <c r="C7107" i="1"/>
  <c r="D7107" i="1"/>
  <c r="E7107" i="1"/>
  <c r="C7108" i="1"/>
  <c r="D7108" i="1"/>
  <c r="E7108" i="1"/>
  <c r="C7109" i="1"/>
  <c r="D7109" i="1"/>
  <c r="E7109" i="1"/>
  <c r="C7110" i="1"/>
  <c r="D7110" i="1"/>
  <c r="E7110" i="1"/>
  <c r="C7111" i="1"/>
  <c r="D7111" i="1"/>
  <c r="E7111" i="1"/>
  <c r="C7112" i="1"/>
  <c r="D7112" i="1"/>
  <c r="E7112" i="1"/>
  <c r="C7113" i="1"/>
  <c r="D7113" i="1"/>
  <c r="E7113" i="1"/>
  <c r="C7114" i="1"/>
  <c r="D7114" i="1"/>
  <c r="E7114" i="1"/>
  <c r="C7115" i="1"/>
  <c r="D7115" i="1"/>
  <c r="E7115" i="1"/>
  <c r="C7116" i="1"/>
  <c r="D7116" i="1"/>
  <c r="E7116" i="1"/>
  <c r="C7117" i="1"/>
  <c r="D7117" i="1"/>
  <c r="E7117" i="1"/>
  <c r="C7118" i="1"/>
  <c r="D7118" i="1"/>
  <c r="E7118" i="1"/>
  <c r="C7119" i="1"/>
  <c r="D7119" i="1"/>
  <c r="E7119" i="1"/>
  <c r="C7120" i="1"/>
  <c r="D7120" i="1"/>
  <c r="E7120" i="1"/>
  <c r="C7121" i="1"/>
  <c r="D7121" i="1"/>
  <c r="E7121" i="1"/>
  <c r="C7122" i="1"/>
  <c r="D7122" i="1"/>
  <c r="E7122" i="1"/>
  <c r="C7123" i="1"/>
  <c r="D7123" i="1"/>
  <c r="E7123" i="1"/>
  <c r="C7124" i="1"/>
  <c r="D7124" i="1"/>
  <c r="E7124" i="1"/>
  <c r="C7125" i="1"/>
  <c r="D7125" i="1"/>
  <c r="E7125" i="1"/>
  <c r="C7126" i="1"/>
  <c r="D7126" i="1"/>
  <c r="E7126" i="1"/>
  <c r="C7127" i="1"/>
  <c r="D7127" i="1"/>
  <c r="E7127" i="1"/>
  <c r="C7128" i="1"/>
  <c r="D7128" i="1"/>
  <c r="E7128" i="1"/>
  <c r="C7129" i="1"/>
  <c r="D7129" i="1"/>
  <c r="E7129" i="1"/>
  <c r="C7130" i="1"/>
  <c r="D7130" i="1"/>
  <c r="E7130" i="1"/>
  <c r="C7131" i="1"/>
  <c r="D7131" i="1"/>
  <c r="E7131" i="1"/>
  <c r="C7132" i="1"/>
  <c r="D7132" i="1"/>
  <c r="E7132" i="1"/>
  <c r="C7133" i="1"/>
  <c r="D7133" i="1"/>
  <c r="E7133" i="1"/>
  <c r="C7134" i="1"/>
  <c r="D7134" i="1"/>
  <c r="E7134" i="1"/>
  <c r="C7135" i="1"/>
  <c r="D7135" i="1"/>
  <c r="E7135" i="1"/>
  <c r="C7136" i="1"/>
  <c r="D7136" i="1"/>
  <c r="E7136" i="1"/>
  <c r="C7137" i="1"/>
  <c r="D7137" i="1"/>
  <c r="E7137" i="1"/>
  <c r="C7138" i="1"/>
  <c r="D7138" i="1"/>
  <c r="E7138" i="1"/>
  <c r="C7139" i="1"/>
  <c r="D7139" i="1"/>
  <c r="E7139" i="1"/>
  <c r="C7140" i="1"/>
  <c r="D7140" i="1"/>
  <c r="E7140" i="1"/>
  <c r="C7141" i="1"/>
  <c r="D7141" i="1"/>
  <c r="E7141" i="1"/>
  <c r="C7142" i="1"/>
  <c r="D7142" i="1"/>
  <c r="E7142" i="1"/>
  <c r="C7143" i="1"/>
  <c r="D7143" i="1"/>
  <c r="E7143" i="1"/>
  <c r="C7144" i="1"/>
  <c r="D7144" i="1"/>
  <c r="E7144" i="1"/>
  <c r="C7145" i="1"/>
  <c r="D7145" i="1"/>
  <c r="E7145" i="1"/>
  <c r="C7146" i="1"/>
  <c r="D7146" i="1"/>
  <c r="E7146" i="1"/>
  <c r="C7147" i="1"/>
  <c r="D7147" i="1"/>
  <c r="E7147" i="1"/>
  <c r="C7148" i="1"/>
  <c r="D7148" i="1"/>
  <c r="E7148" i="1"/>
  <c r="C7149" i="1"/>
  <c r="D7149" i="1"/>
  <c r="E7149" i="1"/>
  <c r="C7150" i="1"/>
  <c r="D7150" i="1"/>
  <c r="E7150" i="1"/>
  <c r="C7151" i="1"/>
  <c r="D7151" i="1"/>
  <c r="E7151" i="1"/>
  <c r="C7152" i="1"/>
  <c r="D7152" i="1"/>
  <c r="E7152" i="1"/>
  <c r="C7153" i="1"/>
  <c r="D7153" i="1"/>
  <c r="E7153" i="1"/>
  <c r="C7154" i="1"/>
  <c r="D7154" i="1"/>
  <c r="E7154" i="1"/>
  <c r="C7155" i="1"/>
  <c r="D7155" i="1"/>
  <c r="E7155" i="1"/>
  <c r="C7156" i="1"/>
  <c r="D7156" i="1"/>
  <c r="E7156" i="1"/>
  <c r="C7157" i="1"/>
  <c r="D7157" i="1"/>
  <c r="E7157" i="1"/>
  <c r="C7158" i="1"/>
  <c r="D7158" i="1"/>
  <c r="E7158" i="1"/>
  <c r="C7159" i="1"/>
  <c r="D7159" i="1"/>
  <c r="E7159" i="1"/>
  <c r="C7160" i="1"/>
  <c r="D7160" i="1"/>
  <c r="E7160" i="1"/>
  <c r="C7161" i="1"/>
  <c r="D7161" i="1"/>
  <c r="E7161" i="1"/>
  <c r="C7162" i="1"/>
  <c r="D7162" i="1"/>
  <c r="E7162" i="1"/>
  <c r="C7163" i="1"/>
  <c r="D7163" i="1"/>
  <c r="E7163" i="1"/>
  <c r="C7164" i="1"/>
  <c r="D7164" i="1"/>
  <c r="E7164" i="1"/>
  <c r="C7165" i="1"/>
  <c r="D7165" i="1"/>
  <c r="E7165" i="1"/>
  <c r="C7166" i="1"/>
  <c r="D7166" i="1"/>
  <c r="E7166" i="1"/>
  <c r="C7167" i="1"/>
  <c r="D7167" i="1"/>
  <c r="E7167" i="1"/>
  <c r="C7168" i="1"/>
  <c r="D7168" i="1"/>
  <c r="E7168" i="1"/>
  <c r="C7169" i="1"/>
  <c r="D7169" i="1"/>
  <c r="E7169" i="1"/>
  <c r="C7170" i="1"/>
  <c r="D7170" i="1"/>
  <c r="E7170" i="1"/>
  <c r="C7171" i="1"/>
  <c r="D7171" i="1"/>
  <c r="E7171" i="1"/>
  <c r="C7172" i="1"/>
  <c r="D7172" i="1"/>
  <c r="E7172" i="1"/>
  <c r="C7173" i="1"/>
  <c r="D7173" i="1"/>
  <c r="E7173" i="1"/>
  <c r="C7174" i="1"/>
  <c r="D7174" i="1"/>
  <c r="E7174" i="1"/>
  <c r="C7175" i="1"/>
  <c r="D7175" i="1"/>
  <c r="E7175" i="1"/>
  <c r="C7176" i="1"/>
  <c r="D7176" i="1"/>
  <c r="E7176" i="1"/>
  <c r="C7177" i="1"/>
  <c r="D7177" i="1"/>
  <c r="E7177" i="1"/>
  <c r="C7178" i="1"/>
  <c r="D7178" i="1"/>
  <c r="E7178" i="1"/>
  <c r="C7179" i="1"/>
  <c r="D7179" i="1"/>
  <c r="E7179" i="1"/>
  <c r="C7180" i="1"/>
  <c r="D7180" i="1"/>
  <c r="E7180" i="1"/>
  <c r="C7181" i="1"/>
  <c r="D7181" i="1"/>
  <c r="E7181" i="1"/>
  <c r="C7182" i="1"/>
  <c r="D7182" i="1"/>
  <c r="E7182" i="1"/>
  <c r="C7183" i="1"/>
  <c r="D7183" i="1"/>
  <c r="E7183" i="1"/>
  <c r="C7184" i="1"/>
  <c r="D7184" i="1"/>
  <c r="E7184" i="1"/>
  <c r="C7185" i="1"/>
  <c r="D7185" i="1"/>
  <c r="E7185" i="1"/>
  <c r="C7186" i="1"/>
  <c r="D7186" i="1"/>
  <c r="E7186" i="1"/>
  <c r="C7187" i="1"/>
  <c r="D7187" i="1"/>
  <c r="E7187" i="1"/>
  <c r="C7188" i="1"/>
  <c r="D7188" i="1"/>
  <c r="E7188" i="1"/>
  <c r="C7189" i="1"/>
  <c r="D7189" i="1"/>
  <c r="E7189" i="1"/>
  <c r="C7190" i="1"/>
  <c r="D7190" i="1"/>
  <c r="E7190" i="1"/>
  <c r="C7191" i="1"/>
  <c r="D7191" i="1"/>
  <c r="E7191" i="1"/>
  <c r="C7192" i="1"/>
  <c r="D7192" i="1"/>
  <c r="E7192" i="1"/>
  <c r="C7193" i="1"/>
  <c r="D7193" i="1"/>
  <c r="E7193" i="1"/>
  <c r="C7194" i="1"/>
  <c r="D7194" i="1"/>
  <c r="E7194" i="1"/>
  <c r="C7195" i="1"/>
  <c r="D7195" i="1"/>
  <c r="E7195" i="1"/>
  <c r="C7196" i="1"/>
  <c r="D7196" i="1"/>
  <c r="E7196" i="1"/>
  <c r="C7197" i="1"/>
  <c r="D7197" i="1"/>
  <c r="E7197" i="1"/>
  <c r="C7198" i="1"/>
  <c r="D7198" i="1"/>
  <c r="E7198" i="1"/>
  <c r="C7199" i="1"/>
  <c r="D7199" i="1"/>
  <c r="E7199" i="1"/>
  <c r="C7200" i="1"/>
  <c r="D7200" i="1"/>
  <c r="E7200" i="1"/>
  <c r="C7201" i="1"/>
  <c r="D7201" i="1"/>
  <c r="E7201" i="1"/>
  <c r="C7202" i="1"/>
  <c r="D7202" i="1"/>
  <c r="E7202" i="1"/>
  <c r="C7203" i="1"/>
  <c r="D7203" i="1"/>
  <c r="E7203" i="1"/>
  <c r="C7204" i="1"/>
  <c r="D7204" i="1"/>
  <c r="E7204" i="1"/>
  <c r="C7205" i="1"/>
  <c r="D7205" i="1"/>
  <c r="E7205" i="1"/>
  <c r="C7206" i="1"/>
  <c r="D7206" i="1"/>
  <c r="E7206" i="1"/>
  <c r="C7207" i="1"/>
  <c r="D7207" i="1"/>
  <c r="E7207" i="1"/>
  <c r="C7208" i="1"/>
  <c r="D7208" i="1"/>
  <c r="E7208" i="1"/>
  <c r="C7209" i="1"/>
  <c r="D7209" i="1"/>
  <c r="E7209" i="1"/>
  <c r="C7210" i="1"/>
  <c r="D7210" i="1"/>
  <c r="E7210" i="1"/>
  <c r="C7211" i="1"/>
  <c r="D7211" i="1"/>
  <c r="E7211" i="1"/>
  <c r="C7212" i="1"/>
  <c r="D7212" i="1"/>
  <c r="E7212" i="1"/>
  <c r="C7213" i="1"/>
  <c r="D7213" i="1"/>
  <c r="E7213" i="1"/>
  <c r="C7214" i="1"/>
  <c r="D7214" i="1"/>
  <c r="E7214" i="1"/>
  <c r="C7215" i="1"/>
  <c r="D7215" i="1"/>
  <c r="E7215" i="1"/>
  <c r="C7216" i="1"/>
  <c r="D7216" i="1"/>
  <c r="E7216" i="1"/>
  <c r="C7217" i="1"/>
  <c r="D7217" i="1"/>
  <c r="E7217" i="1"/>
  <c r="C7218" i="1"/>
  <c r="D7218" i="1"/>
  <c r="E7218" i="1"/>
  <c r="C7219" i="1"/>
  <c r="D7219" i="1"/>
  <c r="E7219" i="1"/>
  <c r="C7220" i="1"/>
  <c r="D7220" i="1"/>
  <c r="E7220" i="1"/>
  <c r="C7221" i="1"/>
  <c r="D7221" i="1"/>
  <c r="E7221" i="1"/>
  <c r="C7222" i="1"/>
  <c r="D7222" i="1"/>
  <c r="E7222" i="1"/>
  <c r="C7223" i="1"/>
  <c r="D7223" i="1"/>
  <c r="E7223" i="1"/>
  <c r="C7224" i="1"/>
  <c r="D7224" i="1"/>
  <c r="E7224" i="1"/>
  <c r="C7225" i="1"/>
  <c r="D7225" i="1"/>
  <c r="E7225" i="1"/>
  <c r="C7226" i="1"/>
  <c r="D7226" i="1"/>
  <c r="E7226" i="1"/>
  <c r="C7227" i="1"/>
  <c r="D7227" i="1"/>
  <c r="E7227" i="1"/>
  <c r="C7228" i="1"/>
  <c r="D7228" i="1"/>
  <c r="E7228" i="1"/>
  <c r="C7229" i="1"/>
  <c r="D7229" i="1"/>
  <c r="E7229" i="1"/>
  <c r="C7230" i="1"/>
  <c r="D7230" i="1"/>
  <c r="E7230" i="1"/>
  <c r="C7231" i="1"/>
  <c r="D7231" i="1"/>
  <c r="E7231" i="1"/>
  <c r="C7232" i="1"/>
  <c r="D7232" i="1"/>
  <c r="E7232" i="1"/>
  <c r="C7233" i="1"/>
  <c r="D7233" i="1"/>
  <c r="E7233" i="1"/>
  <c r="C7234" i="1"/>
  <c r="D7234" i="1"/>
  <c r="E7234" i="1"/>
  <c r="C7235" i="1"/>
  <c r="D7235" i="1"/>
  <c r="E7235" i="1"/>
  <c r="C7236" i="1"/>
  <c r="D7236" i="1"/>
  <c r="E7236" i="1"/>
  <c r="C7237" i="1"/>
  <c r="D7237" i="1"/>
  <c r="E7237" i="1"/>
  <c r="C7238" i="1"/>
  <c r="D7238" i="1"/>
  <c r="E7238" i="1"/>
  <c r="C7239" i="1"/>
  <c r="D7239" i="1"/>
  <c r="E7239" i="1"/>
  <c r="C7240" i="1"/>
  <c r="D7240" i="1"/>
  <c r="E7240" i="1"/>
  <c r="C7241" i="1"/>
  <c r="D7241" i="1"/>
  <c r="E7241" i="1"/>
  <c r="C7242" i="1"/>
  <c r="D7242" i="1"/>
  <c r="E7242" i="1"/>
  <c r="C7243" i="1"/>
  <c r="D7243" i="1"/>
  <c r="E7243" i="1"/>
  <c r="C7244" i="1"/>
  <c r="D7244" i="1"/>
  <c r="E7244" i="1"/>
  <c r="C7245" i="1"/>
  <c r="D7245" i="1"/>
  <c r="E7245" i="1"/>
  <c r="C7246" i="1"/>
  <c r="D7246" i="1"/>
  <c r="E7246" i="1"/>
  <c r="C7247" i="1"/>
  <c r="D7247" i="1"/>
  <c r="E7247" i="1"/>
  <c r="C7248" i="1"/>
  <c r="D7248" i="1"/>
  <c r="E7248" i="1"/>
  <c r="C7249" i="1"/>
  <c r="D7249" i="1"/>
  <c r="E7249" i="1"/>
  <c r="C7250" i="1"/>
  <c r="D7250" i="1"/>
  <c r="E7250" i="1"/>
  <c r="C7251" i="1"/>
  <c r="D7251" i="1"/>
  <c r="E7251" i="1"/>
  <c r="C7252" i="1"/>
  <c r="D7252" i="1"/>
  <c r="E7252" i="1"/>
  <c r="C7253" i="1"/>
  <c r="D7253" i="1"/>
  <c r="E7253" i="1"/>
  <c r="C7254" i="1"/>
  <c r="D7254" i="1"/>
  <c r="E7254" i="1"/>
  <c r="C7255" i="1"/>
  <c r="D7255" i="1"/>
  <c r="E7255" i="1"/>
  <c r="C7256" i="1"/>
  <c r="D7256" i="1"/>
  <c r="E7256" i="1"/>
  <c r="C7257" i="1"/>
  <c r="D7257" i="1"/>
  <c r="E7257" i="1"/>
  <c r="C7258" i="1"/>
  <c r="D7258" i="1"/>
  <c r="E7258" i="1"/>
  <c r="C7259" i="1"/>
  <c r="D7259" i="1"/>
  <c r="E7259" i="1"/>
  <c r="C7260" i="1"/>
  <c r="D7260" i="1"/>
  <c r="E7260" i="1"/>
  <c r="C7261" i="1"/>
  <c r="D7261" i="1"/>
  <c r="E7261" i="1"/>
  <c r="C7262" i="1"/>
  <c r="D7262" i="1"/>
  <c r="E7262" i="1"/>
  <c r="C7263" i="1"/>
  <c r="D7263" i="1"/>
  <c r="E7263" i="1"/>
  <c r="C7264" i="1"/>
  <c r="D7264" i="1"/>
  <c r="E7264" i="1"/>
  <c r="C7265" i="1"/>
  <c r="D7265" i="1"/>
  <c r="E7265" i="1"/>
  <c r="C7266" i="1"/>
  <c r="D7266" i="1"/>
  <c r="E7266" i="1"/>
  <c r="C7267" i="1"/>
  <c r="D7267" i="1"/>
  <c r="E7267" i="1"/>
  <c r="C7268" i="1"/>
  <c r="D7268" i="1"/>
  <c r="E7268" i="1"/>
  <c r="C7269" i="1"/>
  <c r="D7269" i="1"/>
  <c r="E7269" i="1"/>
  <c r="C7270" i="1"/>
  <c r="D7270" i="1"/>
  <c r="E7270" i="1"/>
  <c r="C7271" i="1"/>
  <c r="D7271" i="1"/>
  <c r="E7271" i="1"/>
  <c r="C7272" i="1"/>
  <c r="D7272" i="1"/>
  <c r="E7272" i="1"/>
  <c r="C7273" i="1"/>
  <c r="D7273" i="1"/>
  <c r="E7273" i="1"/>
  <c r="C7274" i="1"/>
  <c r="D7274" i="1"/>
  <c r="E7274" i="1"/>
  <c r="C7275" i="1"/>
  <c r="D7275" i="1"/>
  <c r="E7275" i="1"/>
  <c r="C7276" i="1"/>
  <c r="D7276" i="1"/>
  <c r="E7276" i="1"/>
  <c r="C7277" i="1"/>
  <c r="D7277" i="1"/>
  <c r="E7277" i="1"/>
  <c r="C7278" i="1"/>
  <c r="D7278" i="1"/>
  <c r="E7278" i="1"/>
  <c r="C7279" i="1"/>
  <c r="D7279" i="1"/>
  <c r="E7279" i="1"/>
  <c r="C7280" i="1"/>
  <c r="D7280" i="1"/>
  <c r="E7280" i="1"/>
  <c r="C7281" i="1"/>
  <c r="D7281" i="1"/>
  <c r="E7281" i="1"/>
  <c r="C7282" i="1"/>
  <c r="D7282" i="1"/>
  <c r="E7282" i="1"/>
  <c r="C7283" i="1"/>
  <c r="D7283" i="1"/>
  <c r="E7283" i="1"/>
  <c r="C7284" i="1"/>
  <c r="D7284" i="1"/>
  <c r="E7284" i="1"/>
  <c r="C7285" i="1"/>
  <c r="D7285" i="1"/>
  <c r="E7285" i="1"/>
  <c r="C7286" i="1"/>
  <c r="D7286" i="1"/>
  <c r="E7286" i="1"/>
  <c r="C7287" i="1"/>
  <c r="D7287" i="1"/>
  <c r="E7287" i="1"/>
  <c r="C7288" i="1"/>
  <c r="D7288" i="1"/>
  <c r="E7288" i="1"/>
  <c r="C7289" i="1"/>
  <c r="D7289" i="1"/>
  <c r="E7289" i="1"/>
  <c r="C7290" i="1"/>
  <c r="D7290" i="1"/>
  <c r="E7290" i="1"/>
  <c r="C7291" i="1"/>
  <c r="D7291" i="1"/>
  <c r="E7291" i="1"/>
  <c r="C7292" i="1"/>
  <c r="D7292" i="1"/>
  <c r="E7292" i="1"/>
  <c r="C7293" i="1"/>
  <c r="D7293" i="1"/>
  <c r="E7293" i="1"/>
  <c r="C7294" i="1"/>
  <c r="D7294" i="1"/>
  <c r="E7294" i="1"/>
  <c r="C7295" i="1"/>
  <c r="D7295" i="1"/>
  <c r="E7295" i="1"/>
  <c r="C7296" i="1"/>
  <c r="D7296" i="1"/>
  <c r="E7296" i="1"/>
  <c r="C7297" i="1"/>
  <c r="D7297" i="1"/>
  <c r="E7297" i="1"/>
  <c r="C7298" i="1"/>
  <c r="D7298" i="1"/>
  <c r="E7298" i="1"/>
  <c r="C7299" i="1"/>
  <c r="D7299" i="1"/>
  <c r="E7299" i="1"/>
  <c r="C7300" i="1"/>
  <c r="D7300" i="1"/>
  <c r="E7300" i="1"/>
  <c r="C7301" i="1"/>
  <c r="D7301" i="1"/>
  <c r="E7301" i="1"/>
  <c r="C7302" i="1"/>
  <c r="D7302" i="1"/>
  <c r="E7302" i="1"/>
  <c r="C7303" i="1"/>
  <c r="D7303" i="1"/>
  <c r="E7303" i="1"/>
  <c r="C7304" i="1"/>
  <c r="D7304" i="1"/>
  <c r="E7304" i="1"/>
  <c r="C7305" i="1"/>
  <c r="D7305" i="1"/>
  <c r="E7305" i="1"/>
  <c r="C7306" i="1"/>
  <c r="D7306" i="1"/>
  <c r="E7306" i="1"/>
  <c r="C7307" i="1"/>
  <c r="D7307" i="1"/>
  <c r="E7307" i="1"/>
  <c r="C7308" i="1"/>
  <c r="D7308" i="1"/>
  <c r="E7308" i="1"/>
  <c r="C7309" i="1"/>
  <c r="D7309" i="1"/>
  <c r="E7309" i="1"/>
  <c r="C7310" i="1"/>
  <c r="D7310" i="1"/>
  <c r="E7310" i="1"/>
  <c r="C7311" i="1"/>
  <c r="D7311" i="1"/>
  <c r="E7311" i="1"/>
  <c r="C7312" i="1"/>
  <c r="D7312" i="1"/>
  <c r="E7312" i="1"/>
  <c r="C7313" i="1"/>
  <c r="D7313" i="1"/>
  <c r="E7313" i="1"/>
  <c r="C7314" i="1"/>
  <c r="D7314" i="1"/>
  <c r="E7314" i="1"/>
  <c r="C7315" i="1"/>
  <c r="D7315" i="1"/>
  <c r="E7315" i="1"/>
  <c r="C7316" i="1"/>
  <c r="D7316" i="1"/>
  <c r="E7316" i="1"/>
  <c r="C7317" i="1"/>
  <c r="D7317" i="1"/>
  <c r="E7317" i="1"/>
  <c r="C7318" i="1"/>
  <c r="D7318" i="1"/>
  <c r="E7318" i="1"/>
  <c r="C7319" i="1"/>
  <c r="D7319" i="1"/>
  <c r="E7319" i="1"/>
  <c r="C7320" i="1"/>
  <c r="D7320" i="1"/>
  <c r="E7320" i="1"/>
  <c r="C7321" i="1"/>
  <c r="D7321" i="1"/>
  <c r="E7321" i="1"/>
  <c r="C7322" i="1"/>
  <c r="D7322" i="1"/>
  <c r="E7322" i="1"/>
  <c r="C7323" i="1"/>
  <c r="D7323" i="1"/>
  <c r="E7323" i="1"/>
  <c r="C7324" i="1"/>
  <c r="D7324" i="1"/>
  <c r="E7324" i="1"/>
  <c r="C7325" i="1"/>
  <c r="D7325" i="1"/>
  <c r="E7325" i="1"/>
  <c r="C7326" i="1"/>
  <c r="D7326" i="1"/>
  <c r="E7326" i="1"/>
  <c r="C7327" i="1"/>
  <c r="D7327" i="1"/>
  <c r="E7327" i="1"/>
  <c r="C7328" i="1"/>
  <c r="D7328" i="1"/>
  <c r="E7328" i="1"/>
  <c r="C7329" i="1"/>
  <c r="D7329" i="1"/>
  <c r="E7329" i="1"/>
  <c r="C7330" i="1"/>
  <c r="D7330" i="1"/>
  <c r="E7330" i="1"/>
  <c r="C7331" i="1"/>
  <c r="D7331" i="1"/>
  <c r="E7331" i="1"/>
  <c r="C7332" i="1"/>
  <c r="D7332" i="1"/>
  <c r="E7332" i="1"/>
  <c r="C7333" i="1"/>
  <c r="D7333" i="1"/>
  <c r="E7333" i="1"/>
  <c r="C7334" i="1"/>
  <c r="D7334" i="1"/>
  <c r="E7334" i="1"/>
  <c r="C7335" i="1"/>
  <c r="D7335" i="1"/>
  <c r="E7335" i="1"/>
  <c r="C7336" i="1"/>
  <c r="D7336" i="1"/>
  <c r="E7336" i="1"/>
  <c r="C7337" i="1"/>
  <c r="D7337" i="1"/>
  <c r="E7337" i="1"/>
  <c r="C7338" i="1"/>
  <c r="D7338" i="1"/>
  <c r="E7338" i="1"/>
  <c r="C7339" i="1"/>
  <c r="D7339" i="1"/>
  <c r="E7339" i="1"/>
  <c r="C7340" i="1"/>
  <c r="D7340" i="1"/>
  <c r="E7340" i="1"/>
  <c r="C7341" i="1"/>
  <c r="D7341" i="1"/>
  <c r="E7341" i="1"/>
  <c r="C7342" i="1"/>
  <c r="D7342" i="1"/>
  <c r="E7342" i="1"/>
  <c r="C7343" i="1"/>
  <c r="D7343" i="1"/>
  <c r="E7343" i="1"/>
  <c r="C7344" i="1"/>
  <c r="D7344" i="1"/>
  <c r="E7344" i="1"/>
  <c r="C7345" i="1"/>
  <c r="D7345" i="1"/>
  <c r="E7345" i="1"/>
  <c r="C7346" i="1"/>
  <c r="D7346" i="1"/>
  <c r="E7346" i="1"/>
  <c r="C7347" i="1"/>
  <c r="D7347" i="1"/>
  <c r="E7347" i="1"/>
  <c r="C7348" i="1"/>
  <c r="D7348" i="1"/>
  <c r="E7348" i="1"/>
  <c r="C7349" i="1"/>
  <c r="D7349" i="1"/>
  <c r="E7349" i="1"/>
  <c r="C7350" i="1"/>
  <c r="D7350" i="1"/>
  <c r="E7350" i="1"/>
  <c r="C7351" i="1"/>
  <c r="D7351" i="1"/>
  <c r="E7351" i="1"/>
  <c r="C7352" i="1"/>
  <c r="D7352" i="1"/>
  <c r="E7352" i="1"/>
  <c r="C7353" i="1"/>
  <c r="D7353" i="1"/>
  <c r="E7353" i="1"/>
  <c r="C7354" i="1"/>
  <c r="D7354" i="1"/>
  <c r="E7354" i="1"/>
  <c r="C7355" i="1"/>
  <c r="D7355" i="1"/>
  <c r="E7355" i="1"/>
  <c r="C7356" i="1"/>
  <c r="D7356" i="1"/>
  <c r="E7356" i="1"/>
  <c r="C7357" i="1"/>
  <c r="D7357" i="1"/>
  <c r="E7357" i="1"/>
  <c r="C7358" i="1"/>
  <c r="D7358" i="1"/>
  <c r="E7358" i="1"/>
  <c r="C7359" i="1"/>
  <c r="D7359" i="1"/>
  <c r="E7359" i="1"/>
  <c r="C7360" i="1"/>
  <c r="D7360" i="1"/>
  <c r="E7360" i="1"/>
  <c r="C7361" i="1"/>
  <c r="D7361" i="1"/>
  <c r="E7361" i="1"/>
  <c r="C7362" i="1"/>
  <c r="D7362" i="1"/>
  <c r="E7362" i="1"/>
  <c r="C7363" i="1"/>
  <c r="D7363" i="1"/>
  <c r="E7363" i="1"/>
  <c r="C7364" i="1"/>
  <c r="D7364" i="1"/>
  <c r="E7364" i="1"/>
  <c r="C7365" i="1"/>
  <c r="D7365" i="1"/>
  <c r="E7365" i="1"/>
  <c r="C7366" i="1"/>
  <c r="D7366" i="1"/>
  <c r="E7366" i="1"/>
  <c r="C7367" i="1"/>
  <c r="D7367" i="1"/>
  <c r="E7367" i="1"/>
  <c r="C7368" i="1"/>
  <c r="D7368" i="1"/>
  <c r="E7368" i="1"/>
  <c r="C7369" i="1"/>
  <c r="D7369" i="1"/>
  <c r="E7369" i="1"/>
  <c r="C7370" i="1"/>
  <c r="D7370" i="1"/>
  <c r="E7370" i="1"/>
  <c r="C7371" i="1"/>
  <c r="D7371" i="1"/>
  <c r="E7371" i="1"/>
  <c r="C7372" i="1"/>
  <c r="D7372" i="1"/>
  <c r="E7372" i="1"/>
  <c r="C7373" i="1"/>
  <c r="D7373" i="1"/>
  <c r="E7373" i="1"/>
  <c r="C7374" i="1"/>
  <c r="D7374" i="1"/>
  <c r="E7374" i="1"/>
  <c r="C7375" i="1"/>
  <c r="D7375" i="1"/>
  <c r="E7375" i="1"/>
  <c r="C7376" i="1"/>
  <c r="D7376" i="1"/>
  <c r="E7376" i="1"/>
  <c r="C7377" i="1"/>
  <c r="D7377" i="1"/>
  <c r="E7377" i="1"/>
  <c r="C7378" i="1"/>
  <c r="D7378" i="1"/>
  <c r="E7378" i="1"/>
  <c r="C7379" i="1"/>
  <c r="D7379" i="1"/>
  <c r="E7379" i="1"/>
  <c r="C7380" i="1"/>
  <c r="D7380" i="1"/>
  <c r="E7380" i="1"/>
  <c r="C7381" i="1"/>
  <c r="D7381" i="1"/>
  <c r="E7381" i="1"/>
  <c r="C7382" i="1"/>
  <c r="D7382" i="1"/>
  <c r="E7382" i="1"/>
  <c r="C7383" i="1"/>
  <c r="D7383" i="1"/>
  <c r="E7383" i="1"/>
  <c r="C7384" i="1"/>
  <c r="D7384" i="1"/>
  <c r="E7384" i="1"/>
  <c r="C7385" i="1"/>
  <c r="D7385" i="1"/>
  <c r="E7385" i="1"/>
  <c r="C7386" i="1"/>
  <c r="D7386" i="1"/>
  <c r="E7386" i="1"/>
  <c r="C7387" i="1"/>
  <c r="D7387" i="1"/>
  <c r="E7387" i="1"/>
  <c r="C7388" i="1"/>
  <c r="D7388" i="1"/>
  <c r="E7388" i="1"/>
  <c r="C7389" i="1"/>
  <c r="D7389" i="1"/>
  <c r="E7389" i="1"/>
  <c r="C7390" i="1"/>
  <c r="D7390" i="1"/>
  <c r="E7390" i="1"/>
  <c r="C7391" i="1"/>
  <c r="D7391" i="1"/>
  <c r="E7391" i="1"/>
  <c r="C7392" i="1"/>
  <c r="D7392" i="1"/>
  <c r="E7392" i="1"/>
  <c r="C7393" i="1"/>
  <c r="D7393" i="1"/>
  <c r="E7393" i="1"/>
  <c r="C7394" i="1"/>
  <c r="D7394" i="1"/>
  <c r="E7394" i="1"/>
  <c r="C7395" i="1"/>
  <c r="D7395" i="1"/>
  <c r="E7395" i="1"/>
  <c r="C7396" i="1"/>
  <c r="D7396" i="1"/>
  <c r="E7396" i="1"/>
  <c r="C7397" i="1"/>
  <c r="D7397" i="1"/>
  <c r="E7397" i="1"/>
  <c r="C7398" i="1"/>
  <c r="D7398" i="1"/>
  <c r="E7398" i="1"/>
  <c r="C7399" i="1"/>
  <c r="D7399" i="1"/>
  <c r="E7399" i="1"/>
  <c r="C7400" i="1"/>
  <c r="D7400" i="1"/>
  <c r="E7400" i="1"/>
  <c r="C7401" i="1"/>
  <c r="D7401" i="1"/>
  <c r="E7401" i="1"/>
  <c r="C7402" i="1"/>
  <c r="D7402" i="1"/>
  <c r="E7402" i="1"/>
  <c r="C7403" i="1"/>
  <c r="D7403" i="1"/>
  <c r="E7403" i="1"/>
  <c r="C7404" i="1"/>
  <c r="D7404" i="1"/>
  <c r="E7404" i="1"/>
  <c r="C7405" i="1"/>
  <c r="D7405" i="1"/>
  <c r="E7405" i="1"/>
  <c r="C7406" i="1"/>
  <c r="D7406" i="1"/>
  <c r="E7406" i="1"/>
  <c r="C7407" i="1"/>
  <c r="D7407" i="1"/>
  <c r="E7407" i="1"/>
  <c r="C7408" i="1"/>
  <c r="D7408" i="1"/>
  <c r="E7408" i="1"/>
  <c r="C7409" i="1"/>
  <c r="D7409" i="1"/>
  <c r="E7409" i="1"/>
  <c r="C7410" i="1"/>
  <c r="D7410" i="1"/>
  <c r="E7410" i="1"/>
  <c r="C7411" i="1"/>
  <c r="D7411" i="1"/>
  <c r="E7411" i="1"/>
  <c r="C7412" i="1"/>
  <c r="D7412" i="1"/>
  <c r="E7412" i="1"/>
  <c r="C7413" i="1"/>
  <c r="D7413" i="1"/>
  <c r="E7413" i="1"/>
  <c r="C7414" i="1"/>
  <c r="D7414" i="1"/>
  <c r="E7414" i="1"/>
  <c r="C7415" i="1"/>
  <c r="D7415" i="1"/>
  <c r="E7415" i="1"/>
  <c r="C7416" i="1"/>
  <c r="D7416" i="1"/>
  <c r="E7416" i="1"/>
  <c r="C7417" i="1"/>
  <c r="D7417" i="1"/>
  <c r="E7417" i="1"/>
  <c r="C7418" i="1"/>
  <c r="D7418" i="1"/>
  <c r="E7418" i="1"/>
  <c r="C7419" i="1"/>
  <c r="D7419" i="1"/>
  <c r="E7419" i="1"/>
  <c r="C7420" i="1"/>
  <c r="D7420" i="1"/>
  <c r="E7420" i="1"/>
  <c r="C7421" i="1"/>
  <c r="D7421" i="1"/>
  <c r="E7421" i="1"/>
  <c r="C7422" i="1"/>
  <c r="D7422" i="1"/>
  <c r="E7422" i="1"/>
  <c r="C7423" i="1"/>
  <c r="D7423" i="1"/>
  <c r="E7423" i="1"/>
  <c r="C7424" i="1"/>
  <c r="D7424" i="1"/>
  <c r="E7424" i="1"/>
  <c r="C7425" i="1"/>
  <c r="D7425" i="1"/>
  <c r="E7425" i="1"/>
  <c r="C7426" i="1"/>
  <c r="D7426" i="1"/>
  <c r="E7426" i="1"/>
  <c r="C7427" i="1"/>
  <c r="D7427" i="1"/>
  <c r="E7427" i="1"/>
  <c r="C7428" i="1"/>
  <c r="D7428" i="1"/>
  <c r="E7428" i="1"/>
  <c r="C7429" i="1"/>
  <c r="D7429" i="1"/>
  <c r="E7429" i="1"/>
  <c r="C7430" i="1"/>
  <c r="D7430" i="1"/>
  <c r="E7430" i="1"/>
  <c r="C7431" i="1"/>
  <c r="D7431" i="1"/>
  <c r="E7431" i="1"/>
  <c r="C7432" i="1"/>
  <c r="D7432" i="1"/>
  <c r="E7432" i="1"/>
  <c r="C7433" i="1"/>
  <c r="D7433" i="1"/>
  <c r="E7433" i="1"/>
  <c r="C7434" i="1"/>
  <c r="D7434" i="1"/>
  <c r="E7434" i="1"/>
  <c r="C7435" i="1"/>
  <c r="D7435" i="1"/>
  <c r="E7435" i="1"/>
  <c r="C7436" i="1"/>
  <c r="D7436" i="1"/>
  <c r="E7436" i="1"/>
  <c r="C7437" i="1"/>
  <c r="D7437" i="1"/>
  <c r="E7437" i="1"/>
  <c r="C7438" i="1"/>
  <c r="D7438" i="1"/>
  <c r="E7438" i="1"/>
  <c r="C7439" i="1"/>
  <c r="D7439" i="1"/>
  <c r="E7439" i="1"/>
  <c r="C7440" i="1"/>
  <c r="D7440" i="1"/>
  <c r="E7440" i="1"/>
  <c r="C7441" i="1"/>
  <c r="D7441" i="1"/>
  <c r="E7441" i="1"/>
  <c r="C7442" i="1"/>
  <c r="D7442" i="1"/>
  <c r="E7442" i="1"/>
  <c r="C7443" i="1"/>
  <c r="D7443" i="1"/>
  <c r="E7443" i="1"/>
  <c r="C7444" i="1"/>
  <c r="D7444" i="1"/>
  <c r="E7444" i="1"/>
  <c r="C7445" i="1"/>
  <c r="D7445" i="1"/>
  <c r="E7445" i="1"/>
  <c r="C7446" i="1"/>
  <c r="D7446" i="1"/>
  <c r="E7446" i="1"/>
  <c r="C7447" i="1"/>
  <c r="D7447" i="1"/>
  <c r="E7447" i="1"/>
  <c r="C7448" i="1"/>
  <c r="D7448" i="1"/>
  <c r="E7448" i="1"/>
  <c r="C7449" i="1"/>
  <c r="D7449" i="1"/>
  <c r="E7449" i="1"/>
  <c r="C7450" i="1"/>
  <c r="D7450" i="1"/>
  <c r="E7450" i="1"/>
  <c r="C7451" i="1"/>
  <c r="D7451" i="1"/>
  <c r="E7451" i="1"/>
  <c r="C7452" i="1"/>
  <c r="D7452" i="1"/>
  <c r="E7452" i="1"/>
  <c r="C7453" i="1"/>
  <c r="D7453" i="1"/>
  <c r="E7453" i="1"/>
  <c r="C7454" i="1"/>
  <c r="D7454" i="1"/>
  <c r="E7454" i="1"/>
  <c r="C7455" i="1"/>
  <c r="D7455" i="1"/>
  <c r="E7455" i="1"/>
  <c r="C7456" i="1"/>
  <c r="D7456" i="1"/>
  <c r="E7456" i="1"/>
  <c r="C7457" i="1"/>
  <c r="D7457" i="1"/>
  <c r="E7457" i="1"/>
  <c r="C7458" i="1"/>
  <c r="D7458" i="1"/>
  <c r="E7458" i="1"/>
  <c r="C7459" i="1"/>
  <c r="D7459" i="1"/>
  <c r="E7459" i="1"/>
  <c r="C7460" i="1"/>
  <c r="D7460" i="1"/>
  <c r="E7460" i="1"/>
  <c r="C7461" i="1"/>
  <c r="D7461" i="1"/>
  <c r="E7461" i="1"/>
  <c r="C7462" i="1"/>
  <c r="D7462" i="1"/>
  <c r="E7462" i="1"/>
  <c r="C7463" i="1"/>
  <c r="D7463" i="1"/>
  <c r="E7463" i="1"/>
  <c r="C7464" i="1"/>
  <c r="D7464" i="1"/>
  <c r="E7464" i="1"/>
  <c r="C7465" i="1"/>
  <c r="D7465" i="1"/>
  <c r="E7465" i="1"/>
  <c r="C7466" i="1"/>
  <c r="D7466" i="1"/>
  <c r="E7466" i="1"/>
  <c r="C7467" i="1"/>
  <c r="D7467" i="1"/>
  <c r="E7467" i="1"/>
  <c r="C7468" i="1"/>
  <c r="D7468" i="1"/>
  <c r="E7468" i="1"/>
  <c r="C7469" i="1"/>
  <c r="D7469" i="1"/>
  <c r="E7469" i="1"/>
  <c r="C7470" i="1"/>
  <c r="D7470" i="1"/>
  <c r="E7470" i="1"/>
  <c r="C7471" i="1"/>
  <c r="D7471" i="1"/>
  <c r="E7471" i="1"/>
  <c r="C7472" i="1"/>
  <c r="D7472" i="1"/>
  <c r="E7472" i="1"/>
  <c r="C7473" i="1"/>
  <c r="D7473" i="1"/>
  <c r="E7473" i="1"/>
  <c r="C7474" i="1"/>
  <c r="D7474" i="1"/>
  <c r="E7474" i="1"/>
  <c r="C7475" i="1"/>
  <c r="D7475" i="1"/>
  <c r="E7475" i="1"/>
  <c r="C7476" i="1"/>
  <c r="D7476" i="1"/>
  <c r="E7476" i="1"/>
  <c r="C7477" i="1"/>
  <c r="D7477" i="1"/>
  <c r="E7477" i="1"/>
  <c r="C7478" i="1"/>
  <c r="D7478" i="1"/>
  <c r="E7478" i="1"/>
  <c r="C7479" i="1"/>
  <c r="D7479" i="1"/>
  <c r="E7479" i="1"/>
  <c r="C7480" i="1"/>
  <c r="D7480" i="1"/>
  <c r="E7480" i="1"/>
  <c r="C7481" i="1"/>
  <c r="D7481" i="1"/>
  <c r="E7481" i="1"/>
  <c r="C7482" i="1"/>
  <c r="D7482" i="1"/>
  <c r="E7482" i="1"/>
  <c r="C7483" i="1"/>
  <c r="D7483" i="1"/>
  <c r="E7483" i="1"/>
  <c r="C7484" i="1"/>
  <c r="D7484" i="1"/>
  <c r="E7484" i="1"/>
  <c r="C7485" i="1"/>
  <c r="D7485" i="1"/>
  <c r="E7485" i="1"/>
  <c r="C7486" i="1"/>
  <c r="D7486" i="1"/>
  <c r="E7486" i="1"/>
  <c r="C7487" i="1"/>
  <c r="D7487" i="1"/>
  <c r="E7487" i="1"/>
  <c r="C7488" i="1"/>
  <c r="D7488" i="1"/>
  <c r="E7488" i="1"/>
  <c r="C7489" i="1"/>
  <c r="D7489" i="1"/>
  <c r="E7489" i="1"/>
  <c r="C7490" i="1"/>
  <c r="D7490" i="1"/>
  <c r="E7490" i="1"/>
  <c r="C7491" i="1"/>
  <c r="D7491" i="1"/>
  <c r="E7491" i="1"/>
  <c r="C7492" i="1"/>
  <c r="D7492" i="1"/>
  <c r="E7492" i="1"/>
  <c r="C7493" i="1"/>
  <c r="D7493" i="1"/>
  <c r="E7493" i="1"/>
  <c r="C7494" i="1"/>
  <c r="D7494" i="1"/>
  <c r="E7494" i="1"/>
  <c r="C7495" i="1"/>
  <c r="D7495" i="1"/>
  <c r="E7495" i="1"/>
  <c r="C7496" i="1"/>
  <c r="D7496" i="1"/>
  <c r="E7496" i="1"/>
  <c r="C7497" i="1"/>
  <c r="D7497" i="1"/>
  <c r="E7497" i="1"/>
  <c r="C7498" i="1"/>
  <c r="D7498" i="1"/>
  <c r="E7498" i="1"/>
  <c r="C7499" i="1"/>
  <c r="D7499" i="1"/>
  <c r="E7499" i="1"/>
  <c r="C7500" i="1"/>
  <c r="D7500" i="1"/>
  <c r="E7500" i="1"/>
  <c r="C7501" i="1"/>
  <c r="D7501" i="1"/>
  <c r="E7501" i="1"/>
  <c r="C7502" i="1"/>
  <c r="D7502" i="1"/>
  <c r="E7502" i="1"/>
  <c r="C7503" i="1"/>
  <c r="D7503" i="1"/>
  <c r="E7503" i="1"/>
  <c r="C7504" i="1"/>
  <c r="D7504" i="1"/>
  <c r="E7504" i="1"/>
  <c r="C7505" i="1"/>
  <c r="D7505" i="1"/>
  <c r="E7505" i="1"/>
  <c r="C7506" i="1"/>
  <c r="D7506" i="1"/>
  <c r="E7506" i="1"/>
  <c r="C7507" i="1"/>
  <c r="D7507" i="1"/>
  <c r="E7507" i="1"/>
  <c r="C7508" i="1"/>
  <c r="D7508" i="1"/>
  <c r="E7508" i="1"/>
  <c r="C7509" i="1"/>
  <c r="D7509" i="1"/>
  <c r="E7509" i="1"/>
  <c r="C7510" i="1"/>
  <c r="D7510" i="1"/>
  <c r="E7510" i="1"/>
  <c r="C7511" i="1"/>
  <c r="D7511" i="1"/>
  <c r="E7511" i="1"/>
  <c r="C7512" i="1"/>
  <c r="D7512" i="1"/>
  <c r="E7512" i="1"/>
  <c r="C7513" i="1"/>
  <c r="D7513" i="1"/>
  <c r="E7513" i="1"/>
  <c r="C7514" i="1"/>
  <c r="D7514" i="1"/>
  <c r="E7514" i="1"/>
  <c r="C7515" i="1"/>
  <c r="D7515" i="1"/>
  <c r="E7515" i="1"/>
  <c r="C7516" i="1"/>
  <c r="D7516" i="1"/>
  <c r="E7516" i="1"/>
  <c r="C7517" i="1"/>
  <c r="D7517" i="1"/>
  <c r="E7517" i="1"/>
  <c r="C7518" i="1"/>
  <c r="D7518" i="1"/>
  <c r="E7518" i="1"/>
  <c r="C7519" i="1"/>
  <c r="D7519" i="1"/>
  <c r="E7519" i="1"/>
  <c r="C7520" i="1"/>
  <c r="D7520" i="1"/>
  <c r="E7520" i="1"/>
  <c r="C7521" i="1"/>
  <c r="D7521" i="1"/>
  <c r="E7521" i="1"/>
  <c r="C7522" i="1"/>
  <c r="D7522" i="1"/>
  <c r="E7522" i="1"/>
  <c r="C7523" i="1"/>
  <c r="D7523" i="1"/>
  <c r="E7523" i="1"/>
  <c r="C7524" i="1"/>
  <c r="D7524" i="1"/>
  <c r="E7524" i="1"/>
  <c r="C7525" i="1"/>
  <c r="D7525" i="1"/>
  <c r="E7525" i="1"/>
  <c r="C7526" i="1"/>
  <c r="D7526" i="1"/>
  <c r="E7526" i="1"/>
  <c r="C7527" i="1"/>
  <c r="D7527" i="1"/>
  <c r="E7527" i="1"/>
  <c r="C7528" i="1"/>
  <c r="D7528" i="1"/>
  <c r="E7528" i="1"/>
  <c r="C7529" i="1"/>
  <c r="D7529" i="1"/>
  <c r="E7529" i="1"/>
  <c r="C7530" i="1"/>
  <c r="D7530" i="1"/>
  <c r="E7530" i="1"/>
  <c r="C7531" i="1"/>
  <c r="D7531" i="1"/>
  <c r="E7531" i="1"/>
  <c r="C7532" i="1"/>
  <c r="D7532" i="1"/>
  <c r="E7532" i="1"/>
  <c r="C7533" i="1"/>
  <c r="D7533" i="1"/>
  <c r="E7533" i="1"/>
  <c r="C7534" i="1"/>
  <c r="D7534" i="1"/>
  <c r="E7534" i="1"/>
  <c r="C7535" i="1"/>
  <c r="D7535" i="1"/>
  <c r="E7535" i="1"/>
  <c r="C7536" i="1"/>
  <c r="D7536" i="1"/>
  <c r="E7536" i="1"/>
  <c r="C7537" i="1"/>
  <c r="D7537" i="1"/>
  <c r="E7537" i="1"/>
  <c r="C7538" i="1"/>
  <c r="D7538" i="1"/>
  <c r="E7538" i="1"/>
  <c r="C7539" i="1"/>
  <c r="D7539" i="1"/>
  <c r="E7539" i="1"/>
  <c r="C7540" i="1"/>
  <c r="D7540" i="1"/>
  <c r="E7540" i="1"/>
  <c r="C7541" i="1"/>
  <c r="D7541" i="1"/>
  <c r="E7541" i="1"/>
  <c r="C7542" i="1"/>
  <c r="D7542" i="1"/>
  <c r="E7542" i="1"/>
  <c r="C7543" i="1"/>
  <c r="D7543" i="1"/>
  <c r="E7543" i="1"/>
  <c r="C7544" i="1"/>
  <c r="D7544" i="1"/>
  <c r="E7544" i="1"/>
  <c r="C7545" i="1"/>
  <c r="D7545" i="1"/>
  <c r="E7545" i="1"/>
  <c r="C7546" i="1"/>
  <c r="D7546" i="1"/>
  <c r="E7546" i="1"/>
  <c r="C7547" i="1"/>
  <c r="D7547" i="1"/>
  <c r="E7547" i="1"/>
  <c r="C7548" i="1"/>
  <c r="D7548" i="1"/>
  <c r="E7548" i="1"/>
  <c r="C7549" i="1"/>
  <c r="D7549" i="1"/>
  <c r="E7549" i="1"/>
  <c r="C7550" i="1"/>
  <c r="D7550" i="1"/>
  <c r="E7550" i="1"/>
  <c r="C7551" i="1"/>
  <c r="D7551" i="1"/>
  <c r="E7551" i="1"/>
  <c r="C7552" i="1"/>
  <c r="D7552" i="1"/>
  <c r="E7552" i="1"/>
  <c r="C7553" i="1"/>
  <c r="D7553" i="1"/>
  <c r="E7553" i="1"/>
  <c r="C7554" i="1"/>
  <c r="D7554" i="1"/>
  <c r="E7554" i="1"/>
  <c r="C7555" i="1"/>
  <c r="D7555" i="1"/>
  <c r="E7555" i="1"/>
  <c r="C7556" i="1"/>
  <c r="D7556" i="1"/>
  <c r="E7556" i="1"/>
  <c r="C7557" i="1"/>
  <c r="D7557" i="1"/>
  <c r="E7557" i="1"/>
  <c r="C7558" i="1"/>
  <c r="D7558" i="1"/>
  <c r="E7558" i="1"/>
  <c r="C7559" i="1"/>
  <c r="D7559" i="1"/>
  <c r="E7559" i="1"/>
  <c r="C7560" i="1"/>
  <c r="D7560" i="1"/>
  <c r="E7560" i="1"/>
  <c r="C7561" i="1"/>
  <c r="D7561" i="1"/>
  <c r="E7561" i="1"/>
  <c r="C7562" i="1"/>
  <c r="D7562" i="1"/>
  <c r="E7562" i="1"/>
  <c r="C7563" i="1"/>
  <c r="D7563" i="1"/>
  <c r="E7563" i="1"/>
  <c r="C7564" i="1"/>
  <c r="D7564" i="1"/>
  <c r="E7564" i="1"/>
  <c r="C7565" i="1"/>
  <c r="D7565" i="1"/>
  <c r="E7565" i="1"/>
  <c r="C7566" i="1"/>
  <c r="D7566" i="1"/>
  <c r="E7566" i="1"/>
  <c r="C7567" i="1"/>
  <c r="D7567" i="1"/>
  <c r="E7567" i="1"/>
  <c r="C7568" i="1"/>
  <c r="D7568" i="1"/>
  <c r="E7568" i="1"/>
  <c r="C7569" i="1"/>
  <c r="D7569" i="1"/>
  <c r="E7569" i="1"/>
  <c r="C7570" i="1"/>
  <c r="D7570" i="1"/>
  <c r="E7570" i="1"/>
  <c r="C7571" i="1"/>
  <c r="D7571" i="1"/>
  <c r="E7571" i="1"/>
  <c r="C7572" i="1"/>
  <c r="D7572" i="1"/>
  <c r="E7572" i="1"/>
  <c r="C7573" i="1"/>
  <c r="D7573" i="1"/>
  <c r="E7573" i="1"/>
  <c r="C7574" i="1"/>
  <c r="D7574" i="1"/>
  <c r="E7574" i="1"/>
  <c r="C7575" i="1"/>
  <c r="D7575" i="1"/>
  <c r="E7575" i="1"/>
  <c r="C7576" i="1"/>
  <c r="D7576" i="1"/>
  <c r="E7576" i="1"/>
  <c r="C7577" i="1"/>
  <c r="D7577" i="1"/>
  <c r="E7577" i="1"/>
  <c r="C7578" i="1"/>
  <c r="D7578" i="1"/>
  <c r="E7578" i="1"/>
  <c r="C7579" i="1"/>
  <c r="D7579" i="1"/>
  <c r="E7579" i="1"/>
  <c r="C7580" i="1"/>
  <c r="D7580" i="1"/>
  <c r="E7580" i="1"/>
  <c r="C7581" i="1"/>
  <c r="D7581" i="1"/>
  <c r="E7581" i="1"/>
  <c r="C7582" i="1"/>
  <c r="D7582" i="1"/>
  <c r="E7582" i="1"/>
  <c r="C7583" i="1"/>
  <c r="D7583" i="1"/>
  <c r="E7583" i="1"/>
  <c r="C7584" i="1"/>
  <c r="D7584" i="1"/>
  <c r="E7584" i="1"/>
  <c r="C7585" i="1"/>
  <c r="D7585" i="1"/>
  <c r="E7585" i="1"/>
  <c r="C7586" i="1"/>
  <c r="D7586" i="1"/>
  <c r="E7586" i="1"/>
  <c r="C7587" i="1"/>
  <c r="D7587" i="1"/>
  <c r="E7587" i="1"/>
  <c r="C7588" i="1"/>
  <c r="D7588" i="1"/>
  <c r="E7588" i="1"/>
  <c r="C7589" i="1"/>
  <c r="D7589" i="1"/>
  <c r="E7589" i="1"/>
  <c r="C7590" i="1"/>
  <c r="D7590" i="1"/>
  <c r="E7590" i="1"/>
  <c r="C7591" i="1"/>
  <c r="D7591" i="1"/>
  <c r="E7591" i="1"/>
  <c r="C7592" i="1"/>
  <c r="D7592" i="1"/>
  <c r="E7592" i="1"/>
  <c r="C7593" i="1"/>
  <c r="D7593" i="1"/>
  <c r="E7593" i="1"/>
  <c r="C7594" i="1"/>
  <c r="D7594" i="1"/>
  <c r="E7594" i="1"/>
  <c r="C7595" i="1"/>
  <c r="D7595" i="1"/>
  <c r="E7595" i="1"/>
  <c r="C7596" i="1"/>
  <c r="D7596" i="1"/>
  <c r="E7596" i="1"/>
  <c r="C7597" i="1"/>
  <c r="D7597" i="1"/>
  <c r="E7597" i="1"/>
  <c r="C7598" i="1"/>
  <c r="D7598" i="1"/>
  <c r="E7598" i="1"/>
  <c r="C7599" i="1"/>
  <c r="D7599" i="1"/>
  <c r="E7599" i="1"/>
  <c r="C7600" i="1"/>
  <c r="D7600" i="1"/>
  <c r="E7600" i="1"/>
  <c r="C7601" i="1"/>
  <c r="D7601" i="1"/>
  <c r="E7601" i="1"/>
  <c r="C7602" i="1"/>
  <c r="D7602" i="1"/>
  <c r="E7602" i="1"/>
  <c r="C7603" i="1"/>
  <c r="D7603" i="1"/>
  <c r="E7603" i="1"/>
  <c r="C7604" i="1"/>
  <c r="D7604" i="1"/>
  <c r="E7604" i="1"/>
  <c r="C7605" i="1"/>
  <c r="D7605" i="1"/>
  <c r="E7605" i="1"/>
  <c r="C7606" i="1"/>
  <c r="D7606" i="1"/>
  <c r="E7606" i="1"/>
  <c r="C7607" i="1"/>
  <c r="D7607" i="1"/>
  <c r="E7607" i="1"/>
  <c r="C7608" i="1"/>
  <c r="D7608" i="1"/>
  <c r="E7608" i="1"/>
  <c r="C7609" i="1"/>
  <c r="D7609" i="1"/>
  <c r="E7609" i="1"/>
  <c r="C7610" i="1"/>
  <c r="D7610" i="1"/>
  <c r="E7610" i="1"/>
  <c r="C7611" i="1"/>
  <c r="D7611" i="1"/>
  <c r="E7611" i="1"/>
  <c r="C7612" i="1"/>
  <c r="D7612" i="1"/>
  <c r="E7612" i="1"/>
  <c r="C7613" i="1"/>
  <c r="D7613" i="1"/>
  <c r="E7613" i="1"/>
  <c r="C7614" i="1"/>
  <c r="D7614" i="1"/>
  <c r="E7614" i="1"/>
  <c r="C7615" i="1"/>
  <c r="D7615" i="1"/>
  <c r="E7615" i="1"/>
  <c r="C7616" i="1"/>
  <c r="D7616" i="1"/>
  <c r="E7616" i="1"/>
  <c r="C7617" i="1"/>
  <c r="D7617" i="1"/>
  <c r="E7617" i="1"/>
  <c r="C7618" i="1"/>
  <c r="D7618" i="1"/>
  <c r="E7618" i="1"/>
  <c r="C7619" i="1"/>
  <c r="D7619" i="1"/>
  <c r="E7619" i="1"/>
  <c r="C7620" i="1"/>
  <c r="D7620" i="1"/>
  <c r="E7620" i="1"/>
  <c r="C7621" i="1"/>
  <c r="D7621" i="1"/>
  <c r="E7621" i="1"/>
  <c r="C7622" i="1"/>
  <c r="D7622" i="1"/>
  <c r="E7622" i="1"/>
  <c r="C7623" i="1"/>
  <c r="D7623" i="1"/>
  <c r="E7623" i="1"/>
  <c r="C7624" i="1"/>
  <c r="D7624" i="1"/>
  <c r="E7624" i="1"/>
  <c r="C7625" i="1"/>
  <c r="D7625" i="1"/>
  <c r="E7625" i="1"/>
  <c r="C7626" i="1"/>
  <c r="D7626" i="1"/>
  <c r="E7626" i="1"/>
  <c r="C7627" i="1"/>
  <c r="D7627" i="1"/>
  <c r="E7627" i="1"/>
  <c r="C7628" i="1"/>
  <c r="D7628" i="1"/>
  <c r="E7628" i="1"/>
  <c r="C7629" i="1"/>
  <c r="D7629" i="1"/>
  <c r="E7629" i="1"/>
  <c r="C7630" i="1"/>
  <c r="D7630" i="1"/>
  <c r="E7630" i="1"/>
  <c r="C7631" i="1"/>
  <c r="D7631" i="1"/>
  <c r="E7631" i="1"/>
  <c r="C7632" i="1"/>
  <c r="D7632" i="1"/>
  <c r="E7632" i="1"/>
  <c r="C7633" i="1"/>
  <c r="D7633" i="1"/>
  <c r="E7633" i="1"/>
  <c r="C7634" i="1"/>
  <c r="D7634" i="1"/>
  <c r="E7634" i="1"/>
  <c r="C7635" i="1"/>
  <c r="D7635" i="1"/>
  <c r="E7635" i="1"/>
  <c r="C7636" i="1"/>
  <c r="D7636" i="1"/>
  <c r="E7636" i="1"/>
  <c r="C7637" i="1"/>
  <c r="D7637" i="1"/>
  <c r="E7637" i="1"/>
  <c r="C7638" i="1"/>
  <c r="D7638" i="1"/>
  <c r="E7638" i="1"/>
  <c r="C7639" i="1"/>
  <c r="D7639" i="1"/>
  <c r="E7639" i="1"/>
  <c r="C2" i="1"/>
  <c r="D2" i="1"/>
  <c r="E2" i="1"/>
</calcChain>
</file>

<file path=xl/sharedStrings.xml><?xml version="1.0" encoding="utf-8"?>
<sst xmlns="http://schemas.openxmlformats.org/spreadsheetml/2006/main" count="13115" uniqueCount="3716">
  <si>
    <t>FECHA Y HORA</t>
  </si>
  <si>
    <t>VICERRECTORIA ACADEMICA</t>
  </si>
  <si>
    <t>TECNOLOGIA EN SISTEMAS DE INFORMACION Y DOCUMENTACION</t>
  </si>
  <si>
    <t>INGENIERIA DE SOFTWARE</t>
  </si>
  <si>
    <t>DEPARTAMENTO DE CONTABILIDAD</t>
  </si>
  <si>
    <t>CIENCIAS DE LA INFORMACION Y BIBLIOTECOLOGIA</t>
  </si>
  <si>
    <t>TECNOLOGIA EN COMUNICACIÓN SOCIAL - PERIODISMO</t>
  </si>
  <si>
    <t>TECNICA EN FOTOGRAFIA</t>
  </si>
  <si>
    <t>UNIVERSITARIO COMUNICACION SOCIAL</t>
  </si>
  <si>
    <t>TECNOLOGIA EN GESTION TURISTICA Y HOTELERA</t>
  </si>
  <si>
    <t>UNIVERSITARIO ADMINISTRACION DE EMPRESAS</t>
  </si>
  <si>
    <t>TECNOLOGIA EN ADMINISTRACION DEL TALENTO HUMANO</t>
  </si>
  <si>
    <t>UNIDAD DE IDIOMAS</t>
  </si>
  <si>
    <t>UNIVERSITARIO EN SEGURIDAD Y SALUD EN EL TRABAJO</t>
  </si>
  <si>
    <t>TECNOLOGÍA EN PRODUCCIÓN DE MEDIOS AUDIOVISUALES</t>
  </si>
  <si>
    <t>UNIVERSITARIO EN TURISMO Y GASTRONOMIA</t>
  </si>
  <si>
    <t>DEPARTAMENTO DE INFORMATICA Y TECNOLOGIA</t>
  </si>
  <si>
    <t>VICERRECTORIA DE BIENESTAR INSTITUCIONAL</t>
  </si>
  <si>
    <t>SECRETARIA GENERAL</t>
  </si>
  <si>
    <t>OFICINA DE COMUNICACION IMAGEN Y PROMOCION INSTITUCIONAL</t>
  </si>
  <si>
    <t>DEPARTAMENTO DE GESTION HUMANA</t>
  </si>
  <si>
    <t>VICERRECTORIA ADMINISTRATIVA Y FINANCIERA</t>
  </si>
  <si>
    <t>RECURSOS ACADEMICOS</t>
  </si>
  <si>
    <t>LOGISTICA Y SERVICIOS GENERALES</t>
  </si>
  <si>
    <t>OFICINA DE PLANEACION Y GESTION DE LA CALIDAD</t>
  </si>
  <si>
    <t>RECTORIA</t>
  </si>
  <si>
    <t>BIBLIOTECA</t>
  </si>
  <si>
    <t>FACULTAD DE CIENCIAS ECONOMICAS Y ADMINISTRATIVAS</t>
  </si>
  <si>
    <t>PRESIDENCIA</t>
  </si>
  <si>
    <t>FACULTAD DE COMUNICACIÓN, INFORMACION Y LENGUAJE</t>
  </si>
  <si>
    <t>REGISTRO Y CONTROL ACADEMICO</t>
  </si>
  <si>
    <t>ADMISIONES, REGISTRO Y CONTROL ACADEMICO</t>
  </si>
  <si>
    <t>NOMBRE COMPLETO</t>
  </si>
  <si>
    <t>VICERRECTORIA ADMINISTRATIVA</t>
  </si>
  <si>
    <t>RECEPCIONISTA - CORRESPONDENCIA</t>
  </si>
  <si>
    <t>CONTADOR</t>
  </si>
  <si>
    <t>PASANTE</t>
  </si>
  <si>
    <t>DECANO</t>
  </si>
  <si>
    <t>DOCENTE DE MEDIO TIEMPO</t>
  </si>
  <si>
    <t>LIDER DE EDUCACION CONTINUA</t>
  </si>
  <si>
    <t>AUXILIAR DE SERVICIOS</t>
  </si>
  <si>
    <t>AUXILIAR ADMINISTRATIVO</t>
  </si>
  <si>
    <t>TESORERO</t>
  </si>
  <si>
    <t>DOCENTE DE TIEMPO COMPLETO</t>
  </si>
  <si>
    <t>AUXILIAR DE SISTEMAS</t>
  </si>
  <si>
    <t>ABOGADO ASISTENTE</t>
  </si>
  <si>
    <t>PROMOTOR APOYO COMERCIAL EXTENSIÓN</t>
  </si>
  <si>
    <t>APRENDIZ ETAPA PRODUCTIVA INPAHU</t>
  </si>
  <si>
    <t>PROMOTOR CALL CENTER</t>
  </si>
  <si>
    <t>SECRETARIO GENERAL</t>
  </si>
  <si>
    <t>COORDINADOR DE SEGURIDAD Y SALUD EN EL TRABAJO</t>
  </si>
  <si>
    <t>DIRECTORA DE GESTION HUMANA</t>
  </si>
  <si>
    <t>AUXILIAR RECURSOS ACADÉMICOS</t>
  </si>
  <si>
    <t>AUXILIAR CONTABLE</t>
  </si>
  <si>
    <t>ANALISTA DE SISTEMAS</t>
  </si>
  <si>
    <t>ANALISTA DE REDES</t>
  </si>
  <si>
    <t>CAJERO PRINCIPAL</t>
  </si>
  <si>
    <t>AUXILIAR  DE MANTENIMIENTO</t>
  </si>
  <si>
    <t>OFICIAL DE MANTENIMIENTO</t>
  </si>
  <si>
    <t>PROMOTOR DE INFORMACIÓN</t>
  </si>
  <si>
    <t>ELECTRICISTA</t>
  </si>
  <si>
    <t>AUXILIAR DE SERVICIOS  GENERALES</t>
  </si>
  <si>
    <t>DIR BIENESTAR INSTITUCIONAL, PROYEC SOCIAL Y GEST EGRESADOS</t>
  </si>
  <si>
    <t>APOYO INTEGRAL A GESTION HUMANA</t>
  </si>
  <si>
    <t>RECTOR</t>
  </si>
  <si>
    <t>APOYO INTEGRAL ACADEMIA</t>
  </si>
  <si>
    <t>VICERRECTOR ADMINISTRATIVO Y FINANCIERO</t>
  </si>
  <si>
    <t>PRESIDENTE</t>
  </si>
  <si>
    <t>DIR. OFICINA DE PLANEACION Y GESTION DE LA CALIDAD</t>
  </si>
  <si>
    <t>LIDER DE ATENCIÓN Y SERVICIO AL ESTUDIANTE</t>
  </si>
  <si>
    <t>VICERRECTOR ACADEMICO</t>
  </si>
  <si>
    <t>SECRETARIA ACADÉMICA GENERAL</t>
  </si>
  <si>
    <t>SUPERVISOR DE SERVICIOS</t>
  </si>
  <si>
    <t>APOYO INTEGRAL ADMISIONES, REGISTRO Y CONTROL</t>
  </si>
  <si>
    <t>APOYO INTEGRAL DIRECCION GENERAL</t>
  </si>
  <si>
    <t>COORDINADOR</t>
  </si>
  <si>
    <t>Documento</t>
  </si>
  <si>
    <t>DIRECTOR FINANCIERO</t>
  </si>
  <si>
    <t>AUXILIAR SEGURIDAD Y SALUD EN EL TRABAJO</t>
  </si>
  <si>
    <t>APRENDIZ UNIVERSITARIO</t>
  </si>
  <si>
    <t>LIDER DE GESTION HUMANA</t>
  </si>
  <si>
    <t>COORDINADOR DE BIBLIOTECA</t>
  </si>
  <si>
    <t>DEPARTAMENTO</t>
  </si>
  <si>
    <t>ADM</t>
  </si>
  <si>
    <t>DOC</t>
  </si>
  <si>
    <t>AREA DE COMUNICACIÓN Y PRODUCCION</t>
  </si>
  <si>
    <t>AREA DE CIENCIAS SOCIALES Y EXPRESION</t>
  </si>
  <si>
    <t>OFICINA DE ASEGURAMIENTO DE LA CALIDAD ACADEMICA Y DESARROLLO DE LA DOCENCIA</t>
  </si>
  <si>
    <t>PROFESIONAL DE ASEGURAMIENTO DEL APRENDIZAJE</t>
  </si>
  <si>
    <t>AUXILIAR DE COMUNICACIONES Y PRODUCCION AUDIOVISUAL</t>
  </si>
  <si>
    <t>LIDER DE COMUNICACIONES</t>
  </si>
  <si>
    <t>COORDINADOR DEL SISTEMA INTEGRADO DE GESTIÓN INSTITUCIONAL</t>
  </si>
  <si>
    <t>COORDINADORA DE PERMANENCIA Y APOYO ESTUDIANTIL</t>
  </si>
  <si>
    <t>APOYO INTEGRAL DE PROCESOS</t>
  </si>
  <si>
    <t>APOYO INTEGRAL DE MERCADEO</t>
  </si>
  <si>
    <t>COORDINADOR DE MARKETING DIGITAL</t>
  </si>
  <si>
    <t>AUXILIAR DE ARCHIVO</t>
  </si>
  <si>
    <t>AUXILIAR DE DISEÑO</t>
  </si>
  <si>
    <t>LIDER DE ENTORNOS VIRTUALES DEL APRENDIZAJE</t>
  </si>
  <si>
    <t>COORDINADOR DE CENTRO DE IDIOMAS</t>
  </si>
  <si>
    <t>COORDINADOR GESTION DOCUMENTAL</t>
  </si>
  <si>
    <t>LIDER DE REGISTRO Y CONTROL</t>
  </si>
  <si>
    <t>LIDER COMERCIAL</t>
  </si>
  <si>
    <t>LIDER DE ASEGURAMIENTO DEL APRENDIZAJE</t>
  </si>
  <si>
    <t>LIDER DE PROCESOS INTEGRADOS</t>
  </si>
  <si>
    <t>LIDER DE CONTACT CENTER</t>
  </si>
  <si>
    <t>COORDINADOR DE MEDIOS AUDIOVISUALES</t>
  </si>
  <si>
    <t>COORDINADOR DE DISEÑO E IMAGEN INSTITUCIONAL</t>
  </si>
  <si>
    <t>ADMINISTRADOR SISTEMA ACADEMICO DE INFORMACION SAI</t>
  </si>
  <si>
    <t>HON</t>
  </si>
  <si>
    <t>NOMBRE_DEPENDENCIA</t>
  </si>
  <si>
    <t>NOMBRE_CARGO</t>
  </si>
  <si>
    <t>NOMBRE</t>
  </si>
  <si>
    <t>EMPRESA</t>
  </si>
  <si>
    <t>NIT</t>
  </si>
  <si>
    <t>CARGO</t>
  </si>
  <si>
    <t>CAT</t>
  </si>
  <si>
    <t>CATEDRATICO</t>
  </si>
  <si>
    <t>ESPECIALIZACION EN GERENCIA DE PROYECTOS INFORMATICOS</t>
  </si>
  <si>
    <t>ESPECIALIZACIÓN EN SEGURIDAD INFORMÁTICA</t>
  </si>
  <si>
    <t>ESPECIALIZACION EN INNOVACION EDUCATIVA EN TIC</t>
  </si>
  <si>
    <t>AJUSTES SEGURIDAD SOCIAL</t>
  </si>
  <si>
    <t>COORDINADOR DE NOMINA</t>
  </si>
  <si>
    <t>COORDINACION DE NOMINA</t>
  </si>
  <si>
    <t>FRANKLIN JOSE COLINA GONZALEZ</t>
  </si>
  <si>
    <t>LINTON ALEJANDRO TORO PEÑA</t>
  </si>
  <si>
    <t>JOSE FRANCISCO NIEVES PIMIENTO</t>
  </si>
  <si>
    <t>TECNOLOGIA EN COMERCIO Y NEGOCIOS INTERNACIONALES</t>
  </si>
  <si>
    <t>PAULO ANTONIO LONDOÑO CASTRO</t>
  </si>
  <si>
    <t>PROFESIONAL</t>
  </si>
  <si>
    <t>GONZALO  JARAMILLO RUIZ</t>
  </si>
  <si>
    <t>SIN DEFINIR</t>
  </si>
  <si>
    <t>MAURICIO RICARDO SARASTY GUERRERO</t>
  </si>
  <si>
    <t>FRANCISCO RICARDO MUÑOZ MUÑOZ</t>
  </si>
  <si>
    <t>AREA DE CIENCIAS BASICAS</t>
  </si>
  <si>
    <t>LEONARDO  LONDOÑO  DIAZ</t>
  </si>
  <si>
    <t>JUAN PABLO HENAO VALLEJO</t>
  </si>
  <si>
    <t>AUXILIAR TALLER DE RADIO Y TELEVISION</t>
  </si>
  <si>
    <t>COORDINACION TALLERES TV Y RADIO</t>
  </si>
  <si>
    <t>ALFONSO GONZALEZ CASTILLO</t>
  </si>
  <si>
    <t>JUAN SEBASTIAN TORRES LOMBANA</t>
  </si>
  <si>
    <t>APRENDIZ ETAPA PRODUCTIVA SENA</t>
  </si>
  <si>
    <t>COORDINACION DE TALLERES Y LABORATORIOS</t>
  </si>
  <si>
    <t>SURY VANESA OROZCO BEDOYA</t>
  </si>
  <si>
    <t>DIEGO ALEJANDRO SOTO HUERTAS</t>
  </si>
  <si>
    <t>FERNANDO  YEPES CALDERON</t>
  </si>
  <si>
    <t>LUIS FERNANDO MEDINA CARDONA</t>
  </si>
  <si>
    <t>TECNOLOGIA EN SISTEMAS</t>
  </si>
  <si>
    <t>VICTOR MANUEL PEÑA LEON</t>
  </si>
  <si>
    <t>LUIS FERNANDO RODRIGUEZ BOHORQUEZ</t>
  </si>
  <si>
    <t>LUIS ALBERTO CORREA MARIN</t>
  </si>
  <si>
    <t>INSTRUCTOR</t>
  </si>
  <si>
    <t>DEPARTAMENTO DE CULTURA, RECREACION Y DEPORTE</t>
  </si>
  <si>
    <t>UBERNEY OSORIO BORJA</t>
  </si>
  <si>
    <t>COORDINADOR DE SGSST</t>
  </si>
  <si>
    <t>SALUD INTEGRAL Y SEGURIDAD EN EL TRABAJO</t>
  </si>
  <si>
    <t>JEFFERSSON STIVEN BONILLA MAHECHA</t>
  </si>
  <si>
    <t>CARLOS GILBERTO DONOSO ALBARRACIN</t>
  </si>
  <si>
    <t>OSCAR AUGUSTO AGUDELO MENDIVELSO</t>
  </si>
  <si>
    <t>NELSON ENRIQUE VERA PARRA</t>
  </si>
  <si>
    <t>ALEXANDER CALDERON ALVARADO</t>
  </si>
  <si>
    <t>RICHARD FERNANDO GIL OSPINA</t>
  </si>
  <si>
    <t>NESTOR ALEXANDER HERNANDEZ MORENO</t>
  </si>
  <si>
    <t>OSCAR EMILIO MORA NAVARRO</t>
  </si>
  <si>
    <t>LUIS FERNANDO DOMINGUEZ BONILLA</t>
  </si>
  <si>
    <t>JUAN CARLOS OLAYA P</t>
  </si>
  <si>
    <t>YILMAN MEDINA CASTAÑEDA</t>
  </si>
  <si>
    <t>ALEXANDER CABRERA CARDENAS</t>
  </si>
  <si>
    <t>TECNOLOGIA EN SEGURIDAD Y SALUD EN EL TRABAJO</t>
  </si>
  <si>
    <t>MANUEL IGNACIO CABRERA CUELLAR</t>
  </si>
  <si>
    <t>TECNOLOGIA EN COMPUTACION Y DESARROLLO SOFTWARE</t>
  </si>
  <si>
    <t>HUGO FERNANDO POSADA QUINTERO</t>
  </si>
  <si>
    <t>DOCENTE DE MEDIO TIEMPO CON FUNC. DE COORD. DE AR</t>
  </si>
  <si>
    <t>INVESTIGACION FACULTAD DE NUEVAS TECNOLOGIAS</t>
  </si>
  <si>
    <t>RAUL  ROVIRA GAMARRA</t>
  </si>
  <si>
    <t>MANUEL DE JESUS LASTRE AMELL</t>
  </si>
  <si>
    <t>HENRY ALFONSO DE LA OSSA SIERRA</t>
  </si>
  <si>
    <t>DEISY MARILIN CABRERA SAAVEDRA</t>
  </si>
  <si>
    <t>ALVARO ANDRES HAMBURGER FERNANDEZ</t>
  </si>
  <si>
    <t>AREA DE CIENCIAS SOCIALES</t>
  </si>
  <si>
    <t>WILLIAM FERNANDO APARICIO CAMACHO</t>
  </si>
  <si>
    <t>LUIS EDUARDO FLOREZ HOLGUIN</t>
  </si>
  <si>
    <t>LIBARDO GOMEZ DIAZ</t>
  </si>
  <si>
    <t>FABIO ALEXANDER TURRIAGO GAMBOA</t>
  </si>
  <si>
    <t>DANNY JIMENEZ RIOS</t>
  </si>
  <si>
    <t>DOCENTE TIEMPO COMP. CON FUNCIONES DE DIR DE CARR</t>
  </si>
  <si>
    <t>TECNOLOGIA EN MERCADEO</t>
  </si>
  <si>
    <t>CARLOS JAHIR PEDRAZA RUIZ</t>
  </si>
  <si>
    <t>JOSE IGNACIO ANZOLA</t>
  </si>
  <si>
    <t>ALEXANDER REINA OTERO</t>
  </si>
  <si>
    <t>WILLINGTON GONZALEZ MARTINEZ</t>
  </si>
  <si>
    <t>FABIO ANDRES RIBERO SALAZAR</t>
  </si>
  <si>
    <t>CARLOS ALBERTO ESPINOSA HERRERA</t>
  </si>
  <si>
    <t>KENNYS ALEXANDER MORA VILLEGAS</t>
  </si>
  <si>
    <t>LUIS ALBERTO MORENO AYALA</t>
  </si>
  <si>
    <t>PROMOTOR II</t>
  </si>
  <si>
    <t>OFICINA DE MERCADEO</t>
  </si>
  <si>
    <t>RAFAEL  SANABRIA DIAZ</t>
  </si>
  <si>
    <t>JAIRO ENRIQUE ALMEIDA FRANCO</t>
  </si>
  <si>
    <t>ASISTENTE ADMINISTRATIVO</t>
  </si>
  <si>
    <t>RAUL DIAZ PEREZ</t>
  </si>
  <si>
    <t>SAMUEL LEONARDO VILLAMIZAR BERDUGO</t>
  </si>
  <si>
    <t>YEILOR RAFAEL ESPINEL TORRES</t>
  </si>
  <si>
    <t>DOCENTE DE TIEMPO COMP. CON FUNC. DE COORD. DE AR</t>
  </si>
  <si>
    <t>RAMIRO ANDRES FLOREZ GARROTT</t>
  </si>
  <si>
    <t>AREA JURIDICA</t>
  </si>
  <si>
    <t>JAVIER MAURICIO SOTO PULIDO</t>
  </si>
  <si>
    <t>JUAN JOSE LONDOÑO PABON</t>
  </si>
  <si>
    <t>JOHN JAIRO HERNANDEZ VILLAMIZAR</t>
  </si>
  <si>
    <t>JOSE GREGORIO OGLIASTRI GIL-FALCO</t>
  </si>
  <si>
    <t>AREA FINANCIERA Y CONTABLE</t>
  </si>
  <si>
    <t>HERNAN EDUARDO BUITRAGO VILLAMIZAR</t>
  </si>
  <si>
    <t>LUIS FERNANDO BOTERO CARDONA</t>
  </si>
  <si>
    <t>LUIS FELIPE MARTINEZ GUERRERO</t>
  </si>
  <si>
    <t>LUIS ENRIQUE BELEÑO GUTIERREZ</t>
  </si>
  <si>
    <t>DACARTH RAFAEL SARMIENTO PORTO</t>
  </si>
  <si>
    <t>JOAN  CARLOS MIER ERASO</t>
  </si>
  <si>
    <t>PRODUCTOR DE MEDIO AUDIOVISUALES INSTITUCIONALES</t>
  </si>
  <si>
    <t>ALFREDO DE LEON MONSALVE</t>
  </si>
  <si>
    <t>OSCAR JULIAN HERRERA FAJARDO</t>
  </si>
  <si>
    <t>JEAN ANDREI BRICEÑO VELANDIA</t>
  </si>
  <si>
    <t>GABRIEL ROJAS MANJARREZ</t>
  </si>
  <si>
    <t>CARLOS ALBERTO ROJAS CARVAJAL</t>
  </si>
  <si>
    <t>DANIEL NICOLAS CABRAL BONILLA</t>
  </si>
  <si>
    <t>ADALBERTO JOSE MORENO GONZALEZ</t>
  </si>
  <si>
    <t>AUXILIAR DE PARQUEADERO</t>
  </si>
  <si>
    <t>FRANCISCO TOMAS HURTADO MEYER</t>
  </si>
  <si>
    <t>CARLOS ALBERTO RAMIREZ SALINA</t>
  </si>
  <si>
    <t>ANDRES FABIAN FUENTES TORRES</t>
  </si>
  <si>
    <t>EDGAR JOSE PISCIOTTI LEON</t>
  </si>
  <si>
    <t>CAMILO ERNESTO TORRES LUQUERNA</t>
  </si>
  <si>
    <t>EDUARDO RAFAEL ORTEGA PADILLA</t>
  </si>
  <si>
    <t>TECNOLOGIA EN TELECOMUNICACIONES</t>
  </si>
  <si>
    <t>STALYN  BALLESTEROS GARCIA</t>
  </si>
  <si>
    <t>HORDERLIN VRANGEL ROBLES VEGA</t>
  </si>
  <si>
    <t>ALVARO IVAN GARCIA GARCIA</t>
  </si>
  <si>
    <t>CARLOS EDUARDO QUINTERO VALDERRAMA</t>
  </si>
  <si>
    <t>AREA ADMINISTRATIVA</t>
  </si>
  <si>
    <t>HUMBERTO  SOTO MESA</t>
  </si>
  <si>
    <t>RICARDO VARGAS</t>
  </si>
  <si>
    <t>ROBERTO ALEJANDRO MORALES RUBIO</t>
  </si>
  <si>
    <t>DISEÑADOR GRAFICO</t>
  </si>
  <si>
    <t>CENTRO DE PRODUCCION DE ARTES GRAFICAS</t>
  </si>
  <si>
    <t>JAVIER DAVID AVILA ECHEVERRIA</t>
  </si>
  <si>
    <t>JUAN PABLO CHIVATA PEÑA</t>
  </si>
  <si>
    <t>EDWIN GUILLERMO POSADA HERNANDEZ</t>
  </si>
  <si>
    <t>ANALISTA DE PAUTA</t>
  </si>
  <si>
    <t>JHON EDISON AREVALO BUSTOS</t>
  </si>
  <si>
    <t>CENTRO DE GESTION DOCUMENTAL</t>
  </si>
  <si>
    <t>NESTOR FABIAN FRANCO FLOREZ</t>
  </si>
  <si>
    <t>VICTOR  RAFAEL BERTEL SUAREZ</t>
  </si>
  <si>
    <t>SIMAR ENRIQUE HERRERA JIMENEZ</t>
  </si>
  <si>
    <t>JULIAN ANDRES URIBE MORA</t>
  </si>
  <si>
    <t>NICOLAS MUJICA URREGO</t>
  </si>
  <si>
    <t>JUAN SEBASTIAN LARA RODRIGUEZ</t>
  </si>
  <si>
    <t>CARLOS ANDRES SANABRIA DUARTE</t>
  </si>
  <si>
    <t>ANDRES DAVID HERRERA CASTRO</t>
  </si>
  <si>
    <t>WALTHER LADINO SANCHEZ</t>
  </si>
  <si>
    <t>OSCAR JAVIER ZALDUA RODRIGUEZ</t>
  </si>
  <si>
    <t>GILBERTO ALONSO RAMIREZ ROBAYO</t>
  </si>
  <si>
    <t>JHON FREDY CUERVO GONZALEZ</t>
  </si>
  <si>
    <t>CARLOS ANDRES PULIDO IBARRA</t>
  </si>
  <si>
    <t>JAVIER ERNESTO SANCHEZ ROZO</t>
  </si>
  <si>
    <t>TECNOLOGIA EN SALUD OCUPACIONAL</t>
  </si>
  <si>
    <t>OMAR ALEXANDER VALDERRAMA ESPEJO</t>
  </si>
  <si>
    <t>JOHN ALEXANDER HERNANDEZ OLARTE</t>
  </si>
  <si>
    <t>CARLOS FELIPE HERNANDEZ ROJAS</t>
  </si>
  <si>
    <t>CESAR AUGUSTO BARBERI VARGAS</t>
  </si>
  <si>
    <t>ALBERTO  OVIEDO URREA SOLANO</t>
  </si>
  <si>
    <t>ADMINISTRADOR DE BASE DE DATOS</t>
  </si>
  <si>
    <t>ANDRES RICARDO BELTRAN VILLEGAS</t>
  </si>
  <si>
    <t>MEDICO</t>
  </si>
  <si>
    <t>DEPARTAMENTO DE SALUD INTEGRAL</t>
  </si>
  <si>
    <t>LUIS ALEJANDRO GUZMAN YOPASA</t>
  </si>
  <si>
    <t>GUSTAVO HUMBERTO ALARCON SUAREZ</t>
  </si>
  <si>
    <t>JAVIER YESID MOLINA CASTILLO</t>
  </si>
  <si>
    <t>ELFAR DIDIER MORANTES SANCHEZ</t>
  </si>
  <si>
    <t>JUAN SEBASTIAN RODRIGUEZ GALINDO</t>
  </si>
  <si>
    <t>PROFESIONAL DE APOYO EN CALIDAD</t>
  </si>
  <si>
    <t>JOAN EDISON ROZO SALINAS</t>
  </si>
  <si>
    <t>JUAN CAMILO CASALLAS MOYA</t>
  </si>
  <si>
    <t>JUAN  MANUEL LLACH VELASQUEZ</t>
  </si>
  <si>
    <t>DANIEL FERNANDO RODRIGUEZ MORENO</t>
  </si>
  <si>
    <t>OMAR ANDRES BONILLA ACOSTA</t>
  </si>
  <si>
    <t>LUIS ALEXANDER TRIANA YANQUEN</t>
  </si>
  <si>
    <t>LUIS HELI RUIZ GUTIERREZ</t>
  </si>
  <si>
    <t>YEISON GABRIEL GARCIA ALVARADO</t>
  </si>
  <si>
    <t>EDIXON LEANDRO MESTIZO DIAZ</t>
  </si>
  <si>
    <t>JORGE ALEJANDRO CARRILLO FUENTES</t>
  </si>
  <si>
    <t>JOSE ANTONIO RODRIGUEZ TERE</t>
  </si>
  <si>
    <t>AUXILIAR ELECTRICO</t>
  </si>
  <si>
    <t>CHRISTIAN PAUL VALENCIA SEGURA</t>
  </si>
  <si>
    <t>JULIAN MARTIN MOLANO GALINDO</t>
  </si>
  <si>
    <t>EDGAR GIOVANNY POVEDA ROBLES</t>
  </si>
  <si>
    <t>JONHY ANDREE BENAVIDES AGUILERA</t>
  </si>
  <si>
    <t>ISMAEL ALEXIS AREVALO GALINDO</t>
  </si>
  <si>
    <t>DANIEL FERNANDO POLANIA CASTRO</t>
  </si>
  <si>
    <t>JOBAN  DARIO CAMARGO RODRIGUEZ</t>
  </si>
  <si>
    <t>JIMY JAVIER ALDANA REYES</t>
  </si>
  <si>
    <t>CAMILO ANDRES ACOSTA HERMOSA</t>
  </si>
  <si>
    <t>OFICINA DE PRENSA</t>
  </si>
  <si>
    <t>DANIEL RICARDO BAUTISTA ROA</t>
  </si>
  <si>
    <t>DIEGO ALFONSO BAUTISTA VASQUEZ</t>
  </si>
  <si>
    <t>JULIO CESAR RUEDA CADENA</t>
  </si>
  <si>
    <t>CARLOS EDUARDO RIAÑO BONELL</t>
  </si>
  <si>
    <t>JONNATAN TORRES RODRIGUEZ</t>
  </si>
  <si>
    <t>AUXILIAR DE SALAS DE COMPUTO LABORA Y TALLERES FIT</t>
  </si>
  <si>
    <t>FREDY ARMANDO GOMEZ TORRES</t>
  </si>
  <si>
    <t>CARLOS ROBERTO CRUZ JIMENEZ</t>
  </si>
  <si>
    <t>RONY ALEXIS MOSCOSO ALDANA</t>
  </si>
  <si>
    <t>RICARDO ALONSO CORREDOR LOPEZ</t>
  </si>
  <si>
    <t>FREDY ALEJANDRO VANEGAS RODRIGUEZ</t>
  </si>
  <si>
    <t>AUXILAR DE TALLER EN PRODUCCION DE ARTES GRAFICAS</t>
  </si>
  <si>
    <t>JAIME ALBERTO CARVAJAL DIAZ</t>
  </si>
  <si>
    <t>GABRIEL ALBERTO HERNANDEZ LOPEZ</t>
  </si>
  <si>
    <t>JHON JAIRO GARCIA QUIROGA</t>
  </si>
  <si>
    <t>DIEGO FERNANDO SANCHEZ QUINTERO</t>
  </si>
  <si>
    <t>CAMILO ANDRES BENAVIDES PEREZ</t>
  </si>
  <si>
    <t>JUAN CARLOS SOTO CASTILLO</t>
  </si>
  <si>
    <t>RAUL FRANCISCO MATEUS TOVAR</t>
  </si>
  <si>
    <t>ALFONSO PULIDO FORERO</t>
  </si>
  <si>
    <t>HUGO ALEJANDRO GONZALEZ GONZALEZ</t>
  </si>
  <si>
    <t>IVAN ALEXANDER MALDONADO RAMIREZ</t>
  </si>
  <si>
    <t>ASISTENTE II</t>
  </si>
  <si>
    <t>LUIS ABELARDO MARTINEZ SANTANA</t>
  </si>
  <si>
    <t>CARLOS MALAVER PARADA</t>
  </si>
  <si>
    <t>WILLINGTON  OSPINA  PINZON</t>
  </si>
  <si>
    <t>BENJAMIN PULIDO MARQUEZ</t>
  </si>
  <si>
    <t>TECNICO LABORAL EN COCINA</t>
  </si>
  <si>
    <t>WILFREDO RAFAEL OSPINA URIBE</t>
  </si>
  <si>
    <t>JUAN CARLOS VARGAS DE MENDOZA</t>
  </si>
  <si>
    <t>FRANCISCO JAVIER MONTENEGRO AGUILAR</t>
  </si>
  <si>
    <t>ERICK ROJAS ARENAS</t>
  </si>
  <si>
    <t>TECNOLOGIA EN ADMINISTRACION DE EMPRESAS</t>
  </si>
  <si>
    <t>JUAN PABLO MENDEZ RODRIGUEZ</t>
  </si>
  <si>
    <t>EDGARD RICARDO LOMBO BASTIDAS</t>
  </si>
  <si>
    <t>TECNOLOGIA EN CONTABLE Y TRIBUTARIA</t>
  </si>
  <si>
    <t>RAFAEL AYALA SAENZ</t>
  </si>
  <si>
    <t>JOAQUIN FERNANDO SANCHEZ CIFUENTES</t>
  </si>
  <si>
    <t>RAUL ALFONSO PUENTES</t>
  </si>
  <si>
    <t>JARDINERO</t>
  </si>
  <si>
    <t>LUIS FERNANDO GALINDO QUINTERO</t>
  </si>
  <si>
    <t>TECNICA EN PRODUCCION Y REALIZACION DE TV</t>
  </si>
  <si>
    <t>CARLOS  SANCHEQUEZ ORTIZ</t>
  </si>
  <si>
    <t>JUAN MANUEL BAUTISTA FAJARDO</t>
  </si>
  <si>
    <t>FERNANDO  GARCIA CARDENAS</t>
  </si>
  <si>
    <t>CARLOS EDUARDO TRIVIÑO NOVA</t>
  </si>
  <si>
    <t>FERNANDO ORJUELA LEAL</t>
  </si>
  <si>
    <t>JOSE ARTURO LAGOS SANDOVAL</t>
  </si>
  <si>
    <t>JAVIER ALBERTO RAMIREZ</t>
  </si>
  <si>
    <t>CONDUCTOR</t>
  </si>
  <si>
    <t>JORGE ENRIQUE LOPEZ LARA</t>
  </si>
  <si>
    <t>HECTOR AGUSTIN CASTIBLANCO MUÑOZ</t>
  </si>
  <si>
    <t>AUXILIAR BIBLIOTECA II</t>
  </si>
  <si>
    <t>FERNE LICEDIER SEGURA CASALLAS</t>
  </si>
  <si>
    <t>ALVARO BARRETO LUGO</t>
  </si>
  <si>
    <t>JORGE ANTONIO SARMIENTO PEREZ</t>
  </si>
  <si>
    <t>HECTOR VICENTE COY BELTRAN</t>
  </si>
  <si>
    <t>SORLEIMH OYOLA CASTRO</t>
  </si>
  <si>
    <t>COORDINACION LOGISTICA</t>
  </si>
  <si>
    <t>GABRIEL ANTONIO LOPEZ VELOZA</t>
  </si>
  <si>
    <t>HALVER STIVEN GUZMAN PEREZ</t>
  </si>
  <si>
    <t>JOHN ALEXANDER RODRIGUEZ YARA</t>
  </si>
  <si>
    <t>AUXILIAR AUDIOVISUALES</t>
  </si>
  <si>
    <t>CENTRO DE AUDIOVISUALES</t>
  </si>
  <si>
    <t>OSCAR JOHANNY RODRIGUEZ DIAZ</t>
  </si>
  <si>
    <t>AUXILIAR ADMINISTRATIVO I</t>
  </si>
  <si>
    <t>COORDINACION DE DOCUMENTACION Y ARCHIVISTICA</t>
  </si>
  <si>
    <t>HERNAN ALFONSO CALDERON SOLANO</t>
  </si>
  <si>
    <t>DIEGO FERNANDO BUITRAGO NAVARRO</t>
  </si>
  <si>
    <t>HELIO HENRY RAMIREZ AREVALO</t>
  </si>
  <si>
    <t>JUAN FELIPE ALZATE PONGUTA</t>
  </si>
  <si>
    <t>ANDRES JULIAN CARREÑO DIAZ</t>
  </si>
  <si>
    <t>RAMON HUMBERTO CAMARGO PLATA</t>
  </si>
  <si>
    <t>CESAR ANDRES MOLANO PRIETO</t>
  </si>
  <si>
    <t>JORGE ANDRES GAMBOA GONZALEZ</t>
  </si>
  <si>
    <t>MIGUEL ANGEL VALLEJO BURGOS</t>
  </si>
  <si>
    <t>GUILLERMO ENRIQUE CAMPOS DUEÑAS</t>
  </si>
  <si>
    <t>ADMINISTRADOR DE REDES</t>
  </si>
  <si>
    <t>ECDUART DAVID ORTEGA MUÑOZ</t>
  </si>
  <si>
    <t>OMAR ERNESTO CASTRO RUIZ</t>
  </si>
  <si>
    <t>AUXILIAR BIBLIOTECA</t>
  </si>
  <si>
    <t>DIEGO FERNANDO LINARES DIAZ</t>
  </si>
  <si>
    <t>RAFAEL MOISES RAMIREZ INFANTE</t>
  </si>
  <si>
    <t>JASON ALEXIS TIBATA PEDRAZA</t>
  </si>
  <si>
    <t>CHRISTIAN ALBERTO NIÑO ROA</t>
  </si>
  <si>
    <t>EDWIN GIOVANNY QUIMBAY HIDALGO</t>
  </si>
  <si>
    <t>EDGAR ALBERTO DIAZ BALLESTEROS</t>
  </si>
  <si>
    <t>LUIS CARLOS ALFONSO RAMIREZ GUTIERREZ</t>
  </si>
  <si>
    <t>SERGIO MAURICIO PARRAGA BARBOSA</t>
  </si>
  <si>
    <t>EDWIN YOVANNY CABRERA HURTADO</t>
  </si>
  <si>
    <t>JORGE ALBERTO URICOECHEA MARMOLEJO</t>
  </si>
  <si>
    <t>JULIO CESAR PULIDO CASTILLO</t>
  </si>
  <si>
    <t>ANDRES EDUARDO ACUÑA MENDEZ</t>
  </si>
  <si>
    <t>GABRIEL FERNANDO PINILLOS PINILLA</t>
  </si>
  <si>
    <t>ALEJANDRO CUERVO BOJACA</t>
  </si>
  <si>
    <t>RICARDO ANDRES SARMIENTO GARCIA</t>
  </si>
  <si>
    <t>LEONARD EDGARDO RUBIANO CASAS</t>
  </si>
  <si>
    <t>PEDRO JULIO VARGAS BARRIOS</t>
  </si>
  <si>
    <t>CARLOS ANDRES VARGAS RODRIGUEZ</t>
  </si>
  <si>
    <t>CAMILO ANDRES MORENO ABELLA</t>
  </si>
  <si>
    <t>COORDINADOR CONTACT CENTER</t>
  </si>
  <si>
    <t>ANDRES FERNANDO ARRIETA NIÑO</t>
  </si>
  <si>
    <t>EDWIN CAMILO SAAVEDRA ESPITIA</t>
  </si>
  <si>
    <t>DANIEL ALEJANDRO JIMENEZ LEON</t>
  </si>
  <si>
    <t>HERNAN DAVID MONSALVE DOMINGUEZ</t>
  </si>
  <si>
    <t>GABRIEL ALBERTO MORENO CARO</t>
  </si>
  <si>
    <t>EDWARD ANDERSSON GARZON ORTIZ</t>
  </si>
  <si>
    <t>IVAN ALBERTO MORALES RODRIGUEZ</t>
  </si>
  <si>
    <t>DANIEL EDGARDO SANCHEZ SANTAMARIA</t>
  </si>
  <si>
    <t>EDWIN MONTENEGRO MURILLO</t>
  </si>
  <si>
    <t>JONHATTAN RUEDA LEMUS</t>
  </si>
  <si>
    <t>MAICK PETER MARIN REKTEMVALD</t>
  </si>
  <si>
    <t>TECNOLOGIA EN NUEVAS TECNOLOGIA EN REDES</t>
  </si>
  <si>
    <t>JAVIER ANTONIO ANGEL HERNANDEZ</t>
  </si>
  <si>
    <t>MARTIN JULIAN PEDRAZA GALINDO</t>
  </si>
  <si>
    <t>YEISSON DIEGO TAMAYO SALAMANCA</t>
  </si>
  <si>
    <t>INVESTIGACION FACULTAD DE CIENCIAS ECONOMICAS</t>
  </si>
  <si>
    <t>DIEGO ORLANDO ORTIZ BELTRAN</t>
  </si>
  <si>
    <t>JUAN CARLOS DEVIA GONZALEZ</t>
  </si>
  <si>
    <t>MARIO FERNANDO HINESTROSA BEJARANO</t>
  </si>
  <si>
    <t>MARVIN CARDOZO GARCIA</t>
  </si>
  <si>
    <t>ÁREA DE IDIOMAS EXTRANJEROS</t>
  </si>
  <si>
    <t>DIEGO FERNANDO CRESPO DIAZ</t>
  </si>
  <si>
    <t>LABORATORISTA</t>
  </si>
  <si>
    <t>OSCAR YOBANY ROMERO BONILLA</t>
  </si>
  <si>
    <t>JUAN CARLOS BETANCOURT RAMIREZ</t>
  </si>
  <si>
    <t>LUIS  EDUARDO DIAZ MOGOLLON</t>
  </si>
  <si>
    <t>GERMAN TAUTIVA CELIS</t>
  </si>
  <si>
    <t>DAVID EDUARDO CUBILLOS BLANCO</t>
  </si>
  <si>
    <t>AUXILIAR OFICINA DE ADMISIONES</t>
  </si>
  <si>
    <t>EDWIN MANUEL BELLO VARON</t>
  </si>
  <si>
    <t>HERNAN STEBAN PEDRAZA ARIAS</t>
  </si>
  <si>
    <t>CESAR AUGUSTO VARON CALDERON</t>
  </si>
  <si>
    <t>GERMAN ALBERTO BONIL GOMEZ</t>
  </si>
  <si>
    <t>FABIAN ANDRES CARRASCAL PEÑARANDA</t>
  </si>
  <si>
    <t>MARCO ANTONIO ARIZA NAVARRO</t>
  </si>
  <si>
    <t>LUIS EDUARDO MORALES GUTIERREZ</t>
  </si>
  <si>
    <t>RICARDO ALI PARRA CORTES</t>
  </si>
  <si>
    <t>RICARDO AVENDAÑO AVENDAÑO</t>
  </si>
  <si>
    <t>JAVIER LOPEZ LAGOS</t>
  </si>
  <si>
    <t>CAMILO ALEJANDRO CORCHUELO RODRIGUEZ</t>
  </si>
  <si>
    <t>JULIAN ANDRES BORDA HERRERA</t>
  </si>
  <si>
    <t>RONAL ALEXIS CANO RUBIANO</t>
  </si>
  <si>
    <t>DIEGO LEONARDO CIENDUA FORERO</t>
  </si>
  <si>
    <t>ARTHUR JONATHAN FUQUEN VILLAMIZAR</t>
  </si>
  <si>
    <t>ELKIN GIOVANNY DELGADO CONTRERAS</t>
  </si>
  <si>
    <t>ANDRES PEDRAZA MORA</t>
  </si>
  <si>
    <t>DAVID LEONARDO GONZALEZ MARTINEZ</t>
  </si>
  <si>
    <t>EDUWIN LEONARDO PARRA SANTOS</t>
  </si>
  <si>
    <t>ALVARO ENRIQUE BAUTISTA DIAZ</t>
  </si>
  <si>
    <t>DAVID ARNULFO NIETO CASTILLO</t>
  </si>
  <si>
    <t>JOHAN SEBASTIAN GRACIA GOMEZ</t>
  </si>
  <si>
    <t>TECNOLOGIA EN PROCESOS INDUSTRIALES</t>
  </si>
  <si>
    <t>CRISTIAN JULIAN OCHOA ESTEPA</t>
  </si>
  <si>
    <t>CRISTIAN ALBERTO CASTILLO</t>
  </si>
  <si>
    <t>GABRIEL ANGEL GARZON GARZON</t>
  </si>
  <si>
    <t>MIGUEL ANDRES LUNA ORTIZ</t>
  </si>
  <si>
    <t>HERNAN RICARDO PEREZ JIMENEZ</t>
  </si>
  <si>
    <t>JOHAM MANUEL SIERRA CARDENAS</t>
  </si>
  <si>
    <t>CARLOS ANDRES CARRERA DONADO</t>
  </si>
  <si>
    <t>JHON PEÑA SIERRA</t>
  </si>
  <si>
    <t>JIMMY ROLANDO ALDANA SALVADOR</t>
  </si>
  <si>
    <t>JUAN  FRANCISCO GIRALDO VILLADA</t>
  </si>
  <si>
    <t>PROMOTOR I</t>
  </si>
  <si>
    <t>CARLOS ANDRES HERRERA PEREZ</t>
  </si>
  <si>
    <t>JAIME JULIAN CORTES CABRERA</t>
  </si>
  <si>
    <t>LEONARDO SIERRA FIGUEROA</t>
  </si>
  <si>
    <t>JOSE ALEXANDER GERENA HERRERA</t>
  </si>
  <si>
    <t>DIEGO FERNANDO BALANTA MOSQUERA</t>
  </si>
  <si>
    <t>HUNZAHUA TINANSUCA VARGAS SALAMANCA</t>
  </si>
  <si>
    <t>ROBINSON ANDRES GIL SANCHEZ</t>
  </si>
  <si>
    <t>ALVARO MAURICIO BELTRAN ROLDAN</t>
  </si>
  <si>
    <t>IVAN EDUARDO DIAZ PARDO</t>
  </si>
  <si>
    <t>JAVIER ENRIQUE PINILLA PINZON</t>
  </si>
  <si>
    <t>CARLOS ANDRES ROJAS RAMOS</t>
  </si>
  <si>
    <t>FABIO NELSON TOVAR RAMIREZ</t>
  </si>
  <si>
    <t>LIDER GESTION DOCUMENTAL</t>
  </si>
  <si>
    <t>CAMILO ALEJANDRO TORRES PEÑA</t>
  </si>
  <si>
    <t>MARIO JAVIER SALAMANCA ORTIZ</t>
  </si>
  <si>
    <t>SECRETARIO I</t>
  </si>
  <si>
    <t>YECID GIOVANNI MUÑOZ SANTAMARIA</t>
  </si>
  <si>
    <t>RONALD ANDREI DUARTE BURGOS</t>
  </si>
  <si>
    <t>MIGUEL ALEJANDRO MURCIA RODRIGUEZ</t>
  </si>
  <si>
    <t>MAURICIO JAVIER SANCHEZ VILLAMARIN</t>
  </si>
  <si>
    <t>MANUEL LEONARDO LOZADA COHECHA</t>
  </si>
  <si>
    <t>WILLIAM ALEXANDER MURCIA CASTRO</t>
  </si>
  <si>
    <t>FABIAN RICARDO CIFUENTES BARRERA</t>
  </si>
  <si>
    <t>JAIME ALEJANDRO GOMEZ VARELA</t>
  </si>
  <si>
    <t>DANIEL MAURICIO GRACIA CASTILLO</t>
  </si>
  <si>
    <t>JALVER UYABAN CORTES</t>
  </si>
  <si>
    <t>AREA DE EXPRESIÓN Y LENGUAJE</t>
  </si>
  <si>
    <t>MARCO BERNAL CARRILLO</t>
  </si>
  <si>
    <t>JOHN FREDDY PARRA PEÑA</t>
  </si>
  <si>
    <t>JULIAN EDUARDO QUEVEDO PINEDA</t>
  </si>
  <si>
    <t>OFICINA DE TESORERIA</t>
  </si>
  <si>
    <t>EDISON GOMEZ AMAYA</t>
  </si>
  <si>
    <t>LUIS ADOLFO ANZOLA MURCIA</t>
  </si>
  <si>
    <t>COORDINADOR PRACTICAS</t>
  </si>
  <si>
    <t>UNIDAD DE PRACTICAS EMPRESARIALES</t>
  </si>
  <si>
    <t>ARNOVY FAJARDO BARRAGAN</t>
  </si>
  <si>
    <t>EDUARD ALFONSO BELTRAN PINZON</t>
  </si>
  <si>
    <t>GEOFFREY ALEXANDER NUÑEZ MORA</t>
  </si>
  <si>
    <t>HOLMER ADRIAN SALAMANCA RUIZ</t>
  </si>
  <si>
    <t>DAVID ALEXANDER ACEVEDO BARRERA</t>
  </si>
  <si>
    <t>JONATTAN MORRISON TARQUINO APARICIO</t>
  </si>
  <si>
    <t>CESAR AUGUSTO PATIÑO DIAZ</t>
  </si>
  <si>
    <t>GIOVANNY GILBERTO LEAL RONCANCIO</t>
  </si>
  <si>
    <t>WILMAR GIOVANNY MEDINA LEON</t>
  </si>
  <si>
    <t>OSCAR JAVIER JIMENEZ RAYO</t>
  </si>
  <si>
    <t>EDUARDO OCAMPO FERRER</t>
  </si>
  <si>
    <t>ARMANDO AUGUSTO CASTILLO TIBANA</t>
  </si>
  <si>
    <t>RAFAEL FRANCISCO DIAZ VASQUEZ</t>
  </si>
  <si>
    <t>JUAN PABLO CALIXTO NIÑO</t>
  </si>
  <si>
    <t>EDWIN ALBERTO GOMEZ LINDO</t>
  </si>
  <si>
    <t>HAROLD AMAURY THOMAS VELANDIA</t>
  </si>
  <si>
    <t>VICTOR ORLANDO SANCHEZ BELTRAN</t>
  </si>
  <si>
    <t>DONNY DAVID NEGRETTE COGOLLO</t>
  </si>
  <si>
    <t>EMILIO ALBERTO GODOY MONTOYA</t>
  </si>
  <si>
    <t>CARLOS GIOVANNY LLANO</t>
  </si>
  <si>
    <t>HERNAN ANDRES ROJAS VARGAS</t>
  </si>
  <si>
    <t>JAVIER AUGUSTO RIOS SUAREZ</t>
  </si>
  <si>
    <t>DAVID ESTEBAN BALDION HENAO</t>
  </si>
  <si>
    <t>JUAN PABLO TRUJILLO TALERO</t>
  </si>
  <si>
    <t>ASISTENTE OFICINA RELACIONES INTERINSTITUCIONALES</t>
  </si>
  <si>
    <t>OFICINA DE RELACIONES INTERINSTITUCIONALES - OFICINA DE CONVENIOS</t>
  </si>
  <si>
    <t>JORGE ALFREDO GARCIA SANCHEZ</t>
  </si>
  <si>
    <t>ALEJANDRO ZULUAGA ALVAREZ</t>
  </si>
  <si>
    <t>YERSON YEINS SUTACHAN  GOMEZ</t>
  </si>
  <si>
    <t>ALVARO ENRIQUE HERNANDEZ ARDILA</t>
  </si>
  <si>
    <t>SECRETARIA V</t>
  </si>
  <si>
    <t>FELIX ANTONIO ORTIZ SUAREZ</t>
  </si>
  <si>
    <t>ALBERTO LLACH VELASQUEZ</t>
  </si>
  <si>
    <t>NICOLAS ALFONSO CUERVO PINEDA</t>
  </si>
  <si>
    <t>HOLMAN DIEGO BOLIVAR BARON</t>
  </si>
  <si>
    <t>LISANDRO MAURICIO SILVA CHACON</t>
  </si>
  <si>
    <t>DANIEL DIAZ DIAZ</t>
  </si>
  <si>
    <t>CARLOS ALBERTO MOGOLLON FUENTES</t>
  </si>
  <si>
    <t>LEONARDO GUERRERO GUTIERREZ</t>
  </si>
  <si>
    <t>IVAN RAMIRO VELANDIA BUSTOS</t>
  </si>
  <si>
    <t>MAURICIO ANDRES LEON CHICAGUY</t>
  </si>
  <si>
    <t>UNIDAD DE INVESTIGACIÓN</t>
  </si>
  <si>
    <t>WILMAN URIEL RIVERA CAMACHO</t>
  </si>
  <si>
    <t>JORGE MAURICIO COMBA CASTILLO</t>
  </si>
  <si>
    <t>LUIS JORGE HERRAN BARON</t>
  </si>
  <si>
    <t>IVAN ANDRES SALAS MONTENEGRO</t>
  </si>
  <si>
    <t>JORGE CAMILO RINCON BELTRAN</t>
  </si>
  <si>
    <t>CARLOS ANDRES GIL SANTAMARIA</t>
  </si>
  <si>
    <t>OLMER ESNEIDER MARTINEZ GARCIA</t>
  </si>
  <si>
    <t>DAVID BALLEN HERNANDEZ</t>
  </si>
  <si>
    <t>HERNAN ALONSO FAJARDO ARIZA</t>
  </si>
  <si>
    <t>FREDY ALBERTO HERNANDEZ</t>
  </si>
  <si>
    <t>GERMAN AVILA SANTOYO</t>
  </si>
  <si>
    <t>WILLIAM FERNANDO JIMENEZ VANEGAS</t>
  </si>
  <si>
    <t>COORDINADOR DE CONTABILIDAD</t>
  </si>
  <si>
    <t>CARLOS ALBERTO RODRIGUEZ LOPEZ</t>
  </si>
  <si>
    <t>WILLIAM ALBERTO FANDIÑO CRUZ</t>
  </si>
  <si>
    <t>NELSON ORLANDO GUACANEME AMAYA</t>
  </si>
  <si>
    <t>JOSE FERNANDO NIETO ZAMBRANO</t>
  </si>
  <si>
    <t>LUBER YESID ZUÑIGA ORDOÑEZ</t>
  </si>
  <si>
    <t>JOSE RICARDO SANCHEZ TORRES</t>
  </si>
  <si>
    <t>NESTOR RAUL GARCIA GONZALEZ</t>
  </si>
  <si>
    <t>ODONTOLOGO</t>
  </si>
  <si>
    <t>LUIS GUILLERMO CHAVES ARDILA</t>
  </si>
  <si>
    <t>GUILLERMO MONROY BOLIVAR</t>
  </si>
  <si>
    <t>JORGE ELIECER MENDOZA SUAREZ</t>
  </si>
  <si>
    <t>RICARDO HUMBERTO SUSA RUBIANO</t>
  </si>
  <si>
    <t>DIRECTOR DE INFORMATICA Y TECNOLOGIA</t>
  </si>
  <si>
    <t>JOHN ALEXANDER RAMOS FORERO</t>
  </si>
  <si>
    <t>PROGRAMADOR</t>
  </si>
  <si>
    <t>OSCAR JAVIER LOPEZ BERNAL</t>
  </si>
  <si>
    <t>JULIO FERNANDO OCHOA RODRIGUEZ</t>
  </si>
  <si>
    <t>JUAN CARLOS NIÑO</t>
  </si>
  <si>
    <t>VICTOR VICENTE MARTINEZ FARIAS</t>
  </si>
  <si>
    <t>RAUL ALEJANDRO MUÑOZ GALINDO</t>
  </si>
  <si>
    <t>JULIO ALEXANDER RODRIGUEZ DEL CASTILLO</t>
  </si>
  <si>
    <t>OVEIMAR GIL SANCHEZ</t>
  </si>
  <si>
    <t>JORGE ENRIQUE FONSECA MIRANDA</t>
  </si>
  <si>
    <t>WILLIAM ENRIQUE SILVA OSORIO</t>
  </si>
  <si>
    <t>JAIRO CAMILO LOPERA PATIÑO</t>
  </si>
  <si>
    <t>ANDRES LEONARDO TIBADUIZA AVILA</t>
  </si>
  <si>
    <t>JAIRO ENRIQUE MARTIN BURITICA</t>
  </si>
  <si>
    <t>OSCAR OSWALDO CHALA BLANCO</t>
  </si>
  <si>
    <t>ANTHONY MARTINEZ ARANZALEZ</t>
  </si>
  <si>
    <t>EDWIN ARLEY BERNAL HOLGUIN</t>
  </si>
  <si>
    <t>OMAR JAIDY HERNANDEZ TRIVIÑO</t>
  </si>
  <si>
    <t>GUSTAVO ALONSO RODRIGUEZ RODRIGUEZ</t>
  </si>
  <si>
    <t>ANDRES MONSALVE RODRIGUEZ</t>
  </si>
  <si>
    <t>RODRIGO ALBERTO GAVIRIA BENAVIDES</t>
  </si>
  <si>
    <t>JAVIER DANILO PARRA CAMACHO</t>
  </si>
  <si>
    <t>JENSY LEONARDO MARTINEZ</t>
  </si>
  <si>
    <t>CARLOS ANDRES MESA CASTELLANOS</t>
  </si>
  <si>
    <t>JHON JAIRO MATEUS ARBELAEZ</t>
  </si>
  <si>
    <t>FRANK URQUIJO GARZON</t>
  </si>
  <si>
    <t>HECTOR MANUEL GOMEZ GOMEZ</t>
  </si>
  <si>
    <t>FRANCISCO ANDRES CRISTANCHO ROJAS</t>
  </si>
  <si>
    <t>PABLO FELIPE GOMEZ MONTAÑEZ</t>
  </si>
  <si>
    <t>INVESTIGACION FACULTAD DE COMUNICACION INFORMACION Y LENGUAJE</t>
  </si>
  <si>
    <t>ANDRES ALFONSO CARRILLO MARIN</t>
  </si>
  <si>
    <t>LUIS ALEJANDRO MOLINA SANCHEZ</t>
  </si>
  <si>
    <t>MARIO BRICEÑO TORRES</t>
  </si>
  <si>
    <t>RODRIGO MORALES ORTIZ</t>
  </si>
  <si>
    <t>JUAN VICENTE BARRETO BRAMD</t>
  </si>
  <si>
    <t>DANIEL MARIN ECHEVERRY</t>
  </si>
  <si>
    <t>IVAN DARIO TRUJILLO BECERRA</t>
  </si>
  <si>
    <t>JUAN ANDRES ECHEVERRY SOLANILLA</t>
  </si>
  <si>
    <t>TOTTO - NALSANI TECNOLOGIA MERCADEOº</t>
  </si>
  <si>
    <t>WILLIAM JOVANNY PEDRAZA</t>
  </si>
  <si>
    <t>CAMILO HEBERTO USME PINILLA</t>
  </si>
  <si>
    <t>EDGARD JAVIER RUIZ AFANADOR</t>
  </si>
  <si>
    <t>JAIME HORACIO GRACIA RODRIGUEZ</t>
  </si>
  <si>
    <t>JAVIER AUGUSTO NUÑEZ CASTILLO</t>
  </si>
  <si>
    <t>MIGUEL ANDRE GARRIDO AVILA</t>
  </si>
  <si>
    <t>GERMAN ÑAÑEZ LLOREDA</t>
  </si>
  <si>
    <t>JAVIER ANDRES MORALES MONCADA</t>
  </si>
  <si>
    <t>ESTEBAN LEON ARIAS</t>
  </si>
  <si>
    <t>CARLOS ALBERTO RIAÑO TORRES</t>
  </si>
  <si>
    <t>IVAN DARIO LOPEZ BARRANCO</t>
  </si>
  <si>
    <t>CARLOS MAURICIO PALACIOS SOTO</t>
  </si>
  <si>
    <t>LUIS ALFREDO ROJAS CHACON</t>
  </si>
  <si>
    <t>DAVID MAURICIO MUÑOZ ORTIZ</t>
  </si>
  <si>
    <t>EDWIN QUINTERO ARANGO</t>
  </si>
  <si>
    <t>JUAN PABLO GAMBA URQUIJO</t>
  </si>
  <si>
    <t>EDICSON ALEXANDER ROJAS GAMBA</t>
  </si>
  <si>
    <t>JUAN MANUEL CASTILLO LIZARAZO</t>
  </si>
  <si>
    <t>OSCAR ALEJANDRO BUENDIA GODOY</t>
  </si>
  <si>
    <t>MANUEL ALFONSO GARZON  CORTES</t>
  </si>
  <si>
    <t>IVAN ALEXANDER ROMERO CESPEDES</t>
  </si>
  <si>
    <t>MARLON  RODRIGO MENDOZA ANGEL</t>
  </si>
  <si>
    <t>LUIS FERNANDO SIERRA ESCOBAR</t>
  </si>
  <si>
    <t>JAVIER ALBERTO ALBARRACIN MARTINEZ</t>
  </si>
  <si>
    <t>EDGAR FERNANDO RUSSI OBANDO</t>
  </si>
  <si>
    <t>ANDRES FELIPE ORTIZ GORDILLO</t>
  </si>
  <si>
    <t>ANDRES FERNANDO BARON BELLO</t>
  </si>
  <si>
    <t>OSCAR WILLIAM CASTILLO ROJAS</t>
  </si>
  <si>
    <t>GABRIEL ANTONIO ALVARADO ORTIZ</t>
  </si>
  <si>
    <t>ORLANDO ERNESTO RODRIGUEZ ARGAEZ</t>
  </si>
  <si>
    <t>LUIS CARLOS PACHECO PINZON</t>
  </si>
  <si>
    <t>ARTURO  BRAVO</t>
  </si>
  <si>
    <t>FREDY ANGEL DAVILA CUBIDES</t>
  </si>
  <si>
    <t>GERMAN HUMBERTO RODRIGUEZ SIERRA</t>
  </si>
  <si>
    <t>ALEXANDER CAMACHO VERA</t>
  </si>
  <si>
    <t>LEONARDO  LEAL</t>
  </si>
  <si>
    <t>PABLO EMILIO NAVARRO PUENTES</t>
  </si>
  <si>
    <t>JOHN ALEXANDER ANGULO RAMOS</t>
  </si>
  <si>
    <t>ASISTENTE I OFICINA DE PRENSA</t>
  </si>
  <si>
    <t>HERNAN EDUARDO ARTEAGA LAVERDE</t>
  </si>
  <si>
    <t>OMAR ERNESTO RIVEROS DIAZ</t>
  </si>
  <si>
    <t>GERSSON JARDIRY FRANCO AVILA</t>
  </si>
  <si>
    <t>JOHN EDUARD FORERO ALVAREZ</t>
  </si>
  <si>
    <t>FABIO ORLANDO MONTENEGRO RIAÑO</t>
  </si>
  <si>
    <t>GIOVANNI PARADA PATIÑO</t>
  </si>
  <si>
    <t>DIEGO ALEXANDER BETANCOURTH QUIÑONES</t>
  </si>
  <si>
    <t>GIOVANNI BERNAL TORRES</t>
  </si>
  <si>
    <t>PROFESIONAL GESTION HUMANA</t>
  </si>
  <si>
    <t>JAVIER ALFONSO QUINCHE RODRIGUEZ</t>
  </si>
  <si>
    <t>FABIO RAVE CONTRERAS</t>
  </si>
  <si>
    <t>JORGE ENRIQUE JIMENEZ ROJAS</t>
  </si>
  <si>
    <t>CARLOS ALEJANDRO MARQUEZ LEAL</t>
  </si>
  <si>
    <t>ELKIN LINARES TORRES</t>
  </si>
  <si>
    <t>IVAN DARIO QUINTERO VEGA</t>
  </si>
  <si>
    <t>EDWIN BLADIMIR MONROY JIMENEZ</t>
  </si>
  <si>
    <t>JOHN ANGEL RODRIGUEZ CASTRO</t>
  </si>
  <si>
    <t>DAVID ZARETSKY FERRERA</t>
  </si>
  <si>
    <t>JUAN PABLO BARRERA CRUZ</t>
  </si>
  <si>
    <t>ROBINSON MARIN VALDERRAMA</t>
  </si>
  <si>
    <t>MARIO FRANCISCO JAIMES FLOREZ</t>
  </si>
  <si>
    <t>LUIS ALBERTO OLIVEROS CAJAMARCA</t>
  </si>
  <si>
    <t>OFICINA DE PROMOCION INSTITUCIONAL</t>
  </si>
  <si>
    <t>JESUS DARIO URIBE VERU</t>
  </si>
  <si>
    <t>JUAN DAVID ENCISO CONGOTE</t>
  </si>
  <si>
    <t>JUAN PABLO MARIÑO JIMENEZ</t>
  </si>
  <si>
    <t>NESTOR FERNANDO PENAGOS QUINTERO</t>
  </si>
  <si>
    <t>RICARDO AUGUSTO GOMEZ BECERRA</t>
  </si>
  <si>
    <t>JOSE IGNACIO RODRIGUEZ MOLANO</t>
  </si>
  <si>
    <t>ELMAN ROMAN TORRES TORRES</t>
  </si>
  <si>
    <t>EDGAR REYES CLAROS</t>
  </si>
  <si>
    <t>DOCENTE DE TIEMPO COMP. CON FUNC. DE COORD. DE U.</t>
  </si>
  <si>
    <t>FREY ORLANDO LEON GIL</t>
  </si>
  <si>
    <t>ALFREDO CALDERON GARZON</t>
  </si>
  <si>
    <t>ROBERTO FERRO ESCOBAR</t>
  </si>
  <si>
    <t>MARIO ALBERTO LARA BARRIOS</t>
  </si>
  <si>
    <t>MARK MICHEL SANDRO BRAVO OSORIO</t>
  </si>
  <si>
    <t>LUIS ALBERTO BLANCO MORALES</t>
  </si>
  <si>
    <t>AUXILIAR ADMINISTRATIVO II</t>
  </si>
  <si>
    <t>COMPRAS, CONTRATACION Y ACTIVOS FIJOS</t>
  </si>
  <si>
    <t>WALTER MAURICIO MARTINEZ ROSAS</t>
  </si>
  <si>
    <t>EDGAR MAURICIO LOPEZ SARMIENTO</t>
  </si>
  <si>
    <t>ALDEMAR MORENO QUEVEDO</t>
  </si>
  <si>
    <t>ANDRES GIOVANNI PARDO CARVAJAL</t>
  </si>
  <si>
    <t>JAVIER ORLANDO GARZON CAMACHO</t>
  </si>
  <si>
    <t>MARTIN ALFONSO SAAVEDRA RODRIGUEZ</t>
  </si>
  <si>
    <t>HENRY AVILA CERTUCHE</t>
  </si>
  <si>
    <t>CARLOS JULIO LOZANO PIEDRAHITA</t>
  </si>
  <si>
    <t>FRANCISCO JAVIER ANZOLA CIPAMOCHA</t>
  </si>
  <si>
    <t>OSCAR  VASQUEZ</t>
  </si>
  <si>
    <t>FREDY MAURICIO ROMERO CONTRERAS</t>
  </si>
  <si>
    <t>HECTOR MAURICIO MAZ NIÑO</t>
  </si>
  <si>
    <t>HELBERT RAUL ANTIA CUBILLOS</t>
  </si>
  <si>
    <t>PEDRO ADOLFO CABREJO RUIZ</t>
  </si>
  <si>
    <t>ALEXANDER RUIZ MARTINEZ</t>
  </si>
  <si>
    <t>LUIS EDUARDO SILVA HERNANDEZ</t>
  </si>
  <si>
    <t>RAUL FABIAN CADENA VIDAL</t>
  </si>
  <si>
    <t>CARLOS JAVIER GARAVITO SEGURA</t>
  </si>
  <si>
    <t>JOSE OMAR ARIAS ALDANA</t>
  </si>
  <si>
    <t>HEIVER CUESTA DAVILA</t>
  </si>
  <si>
    <t>WILSON RIGOBERTO PABON QUINTERO</t>
  </si>
  <si>
    <t>GUSTAVO ADOLFO CANAL QUIJANO</t>
  </si>
  <si>
    <t>CARLOS ALBERTO DAZA BENAVIDES</t>
  </si>
  <si>
    <t>WILLIAM CESAR TAMAYO CONTRERAS</t>
  </si>
  <si>
    <t>OPERADOR RECURSOS ACADÉMICOS</t>
  </si>
  <si>
    <t>FIDEL ALFREDO RAMIREZ VALIENTE</t>
  </si>
  <si>
    <t>DANIEL EDUARDO ARCINIEGAS HERRERA</t>
  </si>
  <si>
    <t>GERMAN  MORALES CUELLAR</t>
  </si>
  <si>
    <t>NELSON EDUARDO RIVEROS CARDONA</t>
  </si>
  <si>
    <t>CARLOS FERNANDO ALVAREZ CAMARGO</t>
  </si>
  <si>
    <t>RICARDO ALFONSO SALGUERO</t>
  </si>
  <si>
    <t>DAVID ALEJANDRO GUARIN BUITRAGO</t>
  </si>
  <si>
    <t>JUAN PABLO CEPEDA DUARTE</t>
  </si>
  <si>
    <t>JOSE ANTONIO RONDON RODRIGUEZ</t>
  </si>
  <si>
    <t>MANUEL FORERO RAMIREZ</t>
  </si>
  <si>
    <t>GERMAN ENRIQUE REYES ROJAS</t>
  </si>
  <si>
    <t>FREDDY ALBERTO SUAREZ GUERRERO</t>
  </si>
  <si>
    <t>HECTOR R MASMELA D</t>
  </si>
  <si>
    <t>MIGUEL ANGEL IBARRA LOPEZ</t>
  </si>
  <si>
    <t>HECTOR JAIME PINILLA BAHAMON</t>
  </si>
  <si>
    <t>ANDRES FERNANDO RAMIREZ TORRES</t>
  </si>
  <si>
    <t>HERNAN ANTONIO GARCIA ISAACS</t>
  </si>
  <si>
    <t>LUIS ALBERTO GUAQUEZ AGUDELO</t>
  </si>
  <si>
    <t>ANTONIO SAMUEL PALACIOS ARIZA</t>
  </si>
  <si>
    <t>JOHN CARRILLO FONSECA</t>
  </si>
  <si>
    <t>LUIS HERNAN VALBUENA PEDRAZA</t>
  </si>
  <si>
    <t>JORGE EDUARDO CORRALES AMAYA</t>
  </si>
  <si>
    <t>NESTOR GEOVANY CORTES FRANCO</t>
  </si>
  <si>
    <t>WILLIAM RENE ALVARADO ORDOÑEZ</t>
  </si>
  <si>
    <t>LEONARDO TRIVIÑO AMADO</t>
  </si>
  <si>
    <t>CELIO FERNANDO RIVERA SUAREZ</t>
  </si>
  <si>
    <t>HAROLD  WILSON BELTRAN PINZON</t>
  </si>
  <si>
    <t>ALEXANDER DUQUE</t>
  </si>
  <si>
    <t>FREDY OSCAR CAMACHO GONZALEZ</t>
  </si>
  <si>
    <t>GIOVANNY MAURICIO TARAZONA BERMUDEZ</t>
  </si>
  <si>
    <t>ALFONSO CIFUENTES GALVIS</t>
  </si>
  <si>
    <t>LUIS CARLOS BALLESTEROS ROSERO</t>
  </si>
  <si>
    <t>CAMILO CAYCEDO GUTIERREZ</t>
  </si>
  <si>
    <t>HENRY OSWALDO AVILA ESCOBAR</t>
  </si>
  <si>
    <t>JOSE ALEXANDER ERAZO</t>
  </si>
  <si>
    <t>CARLOS ALBERTO TEJADA TRUJILLO</t>
  </si>
  <si>
    <t>WILLIAM  MOSCOSO MURILLO</t>
  </si>
  <si>
    <t>VICTOR HELMAN RODRIGUEZ MARTINEZ</t>
  </si>
  <si>
    <t>OSCAR ORLANDO ROBAYO RODRIGUEZ</t>
  </si>
  <si>
    <t>HERNANDO BARRERA AFRICANO</t>
  </si>
  <si>
    <t>JESUS ERNESTO GOMEZ BENAVIDES</t>
  </si>
  <si>
    <t>RODOLFO RODRIGUEZ VIANA</t>
  </si>
  <si>
    <t>CARLOS ENRIQUE GOMEZ</t>
  </si>
  <si>
    <t>JORGE ENRIQUE VASQUEZ VANEGAS</t>
  </si>
  <si>
    <t>ELKIN HERNANDEZ MENDOZA</t>
  </si>
  <si>
    <t>LUIS CARLOS VELASQUEZ GARAVITO</t>
  </si>
  <si>
    <t>DIRECTOR LOGISTICA Y SERVICIOS GENERALES</t>
  </si>
  <si>
    <t>ANTONIO JOSE PARRA AGUILAR</t>
  </si>
  <si>
    <t>ALEJANDRO RUBIO RODRIGUEZ</t>
  </si>
  <si>
    <t>HERNAN RODOLFO VILLAMARIN ABRIL</t>
  </si>
  <si>
    <t>DANILO ALEJANDRO ECHEVERRY RODRIGUEZ</t>
  </si>
  <si>
    <t>LUIS ERNESTO LEYVA CAMARGO</t>
  </si>
  <si>
    <t>WILSON LEONARDO PERDOMO DELGADO</t>
  </si>
  <si>
    <t>OSCAR ORLANDO MARIACA OROZCO</t>
  </si>
  <si>
    <t>ROBIN ALEJANDRO GARZON</t>
  </si>
  <si>
    <t>ARGEMIRO PIÑEROS MORENO</t>
  </si>
  <si>
    <t>LUIS FRANCISCO LOPEZ URREA</t>
  </si>
  <si>
    <t>ALVARO ERNESTO MORA CHAVES</t>
  </si>
  <si>
    <t>CAMILO ANDRES ORDOÑEZ MENDOZA</t>
  </si>
  <si>
    <t>OSCAR JOSE LINARES RUIZ</t>
  </si>
  <si>
    <t>JULIAN ARTURO PUIN MANRIQUE</t>
  </si>
  <si>
    <t>JUAN CARLOS REYES ROJAS</t>
  </si>
  <si>
    <t>CARLOS OCTAVIO NOVOA LOPEZ</t>
  </si>
  <si>
    <t>JORGE ALBEIRO BETANCOURT MANJARRES</t>
  </si>
  <si>
    <t>JUAN MANUEL LINARES VENEGAS</t>
  </si>
  <si>
    <t>LIDER RELACION UNIVERSIDAD EMPRESA</t>
  </si>
  <si>
    <t>JUAN CARLOS GUTIERREZ RENDON</t>
  </si>
  <si>
    <t>CANCILLERIA</t>
  </si>
  <si>
    <t>JULIO RAMIREZ CHOACHI</t>
  </si>
  <si>
    <t>BAYARDO MURCIA MELO</t>
  </si>
  <si>
    <t>GONZALO ALZATE GONZALEZ</t>
  </si>
  <si>
    <t>JUAN IGNACIO RODRIGUEZ GARZON</t>
  </si>
  <si>
    <t>JOSE DAVID JIMENEZ MARTIN</t>
  </si>
  <si>
    <t>ROBERTO JAVIER ROZO PARDO</t>
  </si>
  <si>
    <t>TIRSO HERNANDO BUENO CASTAÑEDA</t>
  </si>
  <si>
    <t>MARIO ALONSO RODRIGUEZ RUIZ</t>
  </si>
  <si>
    <t>NELSON DEBORIS RUBIANO SEPULVEDA</t>
  </si>
  <si>
    <t>DANIEL APAZA NIÑO</t>
  </si>
  <si>
    <t>CARLOS JULIO RIVERA SUAREZ</t>
  </si>
  <si>
    <t>MANUEL DE JESÚS AHUMADA RODRÍGUEZ</t>
  </si>
  <si>
    <t>PEDRO JOSE RIVERA OSORIO</t>
  </si>
  <si>
    <t>DIRECTOR DE PROGRAMA</t>
  </si>
  <si>
    <t>BEETHOVEN  BARRAGAN</t>
  </si>
  <si>
    <t>JAVIER HERNANDO VELASCO VALDERRAMA</t>
  </si>
  <si>
    <t>CARLOS EDUARDO PAEZ PAEZ</t>
  </si>
  <si>
    <t>SHARYK ROMERO CALDERON</t>
  </si>
  <si>
    <t>DIEGO FELIPE OTALORA BARON</t>
  </si>
  <si>
    <t>JOSE DE JESUS FERNANDEZ PRADO</t>
  </si>
  <si>
    <t>LUIS EDUARDO CANO OLIVERA</t>
  </si>
  <si>
    <t>JOHN JAIME CHAPARRO HERNANDEZ</t>
  </si>
  <si>
    <t>JOHN JAIRO PARRA LEON</t>
  </si>
  <si>
    <t>FREDY ELIAS DUARTE RICAURTE</t>
  </si>
  <si>
    <t>OSCAR MAURICIO VERGARA SANTAMARIA</t>
  </si>
  <si>
    <t>HUGO ALEJANDRO PARRA MONTOYA</t>
  </si>
  <si>
    <t>ORLANDO ALFREDO BARBOSA SOACHA</t>
  </si>
  <si>
    <t>DANILO BONILLA MORALES</t>
  </si>
  <si>
    <t>WILSON AUGUSTO BALAGUERA MORA</t>
  </si>
  <si>
    <t>DANIEL ROJAS REYES</t>
  </si>
  <si>
    <t>WILLIAM ORLANDO MORENO LAMPREA</t>
  </si>
  <si>
    <t>JOSE NESTOR HERRERA RAMOS</t>
  </si>
  <si>
    <t>JOHN DANIEL GUTIERREZ BOADA</t>
  </si>
  <si>
    <t>GERARDO PARDO BELLO</t>
  </si>
  <si>
    <t>JOHN JAIRO OCAMPO NIÑO</t>
  </si>
  <si>
    <t>JUAN CARLOS  ESCOBAR MUÑOZ</t>
  </si>
  <si>
    <t>JORGE ARMANDO PIEDRAHITA CABRERA</t>
  </si>
  <si>
    <t>ARCADIO SOTO ROJAS</t>
  </si>
  <si>
    <t>JOSE DAVID ALVAREZ PLATA</t>
  </si>
  <si>
    <t>WILSON ADRIAN BONILLA</t>
  </si>
  <si>
    <t>EDGAR HUMBERTO ANGEL MILLAN</t>
  </si>
  <si>
    <t>ALIRIO ALFONSO OSORIO GUTIERREZ</t>
  </si>
  <si>
    <t>FABIAN BLANCO GARRIDO</t>
  </si>
  <si>
    <t>ALVARO JAVIER MORENO PARDO</t>
  </si>
  <si>
    <t>CESAR AUGUSTO AVELLANEDA DUARTE</t>
  </si>
  <si>
    <t>EDILBERTO PINEDA GRANJA</t>
  </si>
  <si>
    <t>LUIS ERNESTO ALFEREZ RIVAS</t>
  </si>
  <si>
    <t>JUAN CARLOS PAZ CUBILLOS</t>
  </si>
  <si>
    <t>JOSUE OSWALDO GOMEZ MORENO</t>
  </si>
  <si>
    <t>ELEACXER PINZON BURGOS</t>
  </si>
  <si>
    <t>JOSE JULIAN REY CORREA</t>
  </si>
  <si>
    <t>JORGE ARMANDO RIAÑO DEL</t>
  </si>
  <si>
    <t>MAXIMILIANO OSPINA OSPINA</t>
  </si>
  <si>
    <t>JORGE ARMANDO BUELVAS FARFAN</t>
  </si>
  <si>
    <t>RICARDO DAVID CAMARGO LEMOS</t>
  </si>
  <si>
    <t>GABRIEL ENRIQUE RODRIGUEZ MENDOZA</t>
  </si>
  <si>
    <t>OMAR DURAN ESPITIA</t>
  </si>
  <si>
    <t>GUSTAVO VILLATE MORENO</t>
  </si>
  <si>
    <t>JOSE LUIS FERRER CORREDOR</t>
  </si>
  <si>
    <t>DANIEL ANDRES MURCIA DIAZ</t>
  </si>
  <si>
    <t>GERMAN AUGUSTO RODRIGUEZ JIMENEZ</t>
  </si>
  <si>
    <t>NELSON GUILLERMO GARCIA GAITAN</t>
  </si>
  <si>
    <t>MAURICIO GOMEZ FORERO</t>
  </si>
  <si>
    <t>SAMUEL RAMIREZ GUZMAN</t>
  </si>
  <si>
    <t>DANIEL FERNANDO SABOGAL NEIRA</t>
  </si>
  <si>
    <t>OSMAN GONZALO FERRER MARIN</t>
  </si>
  <si>
    <t>NESTOR ELIAS PAEZ LOZANO</t>
  </si>
  <si>
    <t>JORGE ENRIQUE SALAMANCA CESPEDES</t>
  </si>
  <si>
    <t>WILLIAM CASTIBLANCO VARGAS</t>
  </si>
  <si>
    <t>JUAN CARLOS GUTIERREZ VELEZ</t>
  </si>
  <si>
    <t>ALEJANDRO TORRES GUTIERREZ</t>
  </si>
  <si>
    <t>ALFONSO TIBOCHA SACRISTAN</t>
  </si>
  <si>
    <t>EDGAR HERNAN LEGUIZAMON SALAMANCA</t>
  </si>
  <si>
    <t>EDGAR EDUARDO MONTILLA GONZALEZ</t>
  </si>
  <si>
    <t>CARLOS EDUARDO MACHADO FRANCO</t>
  </si>
  <si>
    <t>NELSON MANOTAS RODRIGUEZ</t>
  </si>
  <si>
    <t>FERNEY CARRILLO BOMBIELA</t>
  </si>
  <si>
    <t>JIMMY FRANCISCO ESCOBAR GARCIA</t>
  </si>
  <si>
    <t>EDILBERTO  MENDOZA</t>
  </si>
  <si>
    <t>CESAR AUGUSTO GUERRERO MATEUS</t>
  </si>
  <si>
    <t>JORGE HERNAN LOPEZ OSORIO</t>
  </si>
  <si>
    <t>CESAR CAMPO ESPINOSA</t>
  </si>
  <si>
    <t>JUAN LUIS MARTINEZ CADENA</t>
  </si>
  <si>
    <t>RICARDO ALFREDO LOPEZ BULLA</t>
  </si>
  <si>
    <t>VICTOR  MANUEL MARTINEZ GARCIA</t>
  </si>
  <si>
    <t>OSCAR LEONARDO ACERO ORDOÑEZ</t>
  </si>
  <si>
    <t>HELMER ARTEAGA LAVERDE</t>
  </si>
  <si>
    <t>ALFREDO HERRERA CIFUENTES</t>
  </si>
  <si>
    <t>GERARDO HERIBERTO ARISTIZABAL GONZALEZ</t>
  </si>
  <si>
    <t>EDER LUNA CERQUERA</t>
  </si>
  <si>
    <t>JUAN CARLOS FLECHAS MONTAÑA</t>
  </si>
  <si>
    <t>FREDY RENE PRIETO GUTIERREZ</t>
  </si>
  <si>
    <t>JORGE HERNANDO TIBOCHA SACRISTAN</t>
  </si>
  <si>
    <t>JESUS ABELLA CASTRO</t>
  </si>
  <si>
    <t>LUIS HERNANDO CAMARGO TORRES</t>
  </si>
  <si>
    <t>DIRECTOR OFICINA DE PLANEACION</t>
  </si>
  <si>
    <t>OMAR AUGUSTO PUERTO ABELLA</t>
  </si>
  <si>
    <t>TECNOLOGIA EN GESTION FINANCIERA</t>
  </si>
  <si>
    <t>YUBER OCTAVIO PUERTO</t>
  </si>
  <si>
    <t>RAFAEL ANDRES LUGO LOPEZ</t>
  </si>
  <si>
    <t>JOSE LUIS MUÑOZ RODRIGUEZ</t>
  </si>
  <si>
    <t>MAURICIO CHUNZA PLAZAS</t>
  </si>
  <si>
    <t>UNIDAD DE AREAS TRANSVERSALES</t>
  </si>
  <si>
    <t>LIBARDO  PORRAS</t>
  </si>
  <si>
    <t>LUIS ANTONIO CASTILLO RAMOS</t>
  </si>
  <si>
    <t>JAIME GERMAN RODRIGUEZ</t>
  </si>
  <si>
    <t>OSKAR BENJAMIN GUTIERREZ</t>
  </si>
  <si>
    <t>JOSE ADOLFO DIAZ LADINO</t>
  </si>
  <si>
    <t>GERMAN PRIETO VERA</t>
  </si>
  <si>
    <t>JOSE ROBERTO PIRAJAN VILLAGRAN</t>
  </si>
  <si>
    <t>FABRICIO ZABALA ALVARADO</t>
  </si>
  <si>
    <t>IVAN GEOVANNY HERRAN BARON</t>
  </si>
  <si>
    <t>MARCELINO SANCHEZ CASTRO</t>
  </si>
  <si>
    <t>SEGUNDO JAVIER DAZA PIRAGAUTA</t>
  </si>
  <si>
    <t>JUAN CARLOS BLANCO LOPEZ</t>
  </si>
  <si>
    <t>HELIODORO VASQUEZ CRUZ</t>
  </si>
  <si>
    <t>JOSE LUIS JIMENEZ RAMIREZ</t>
  </si>
  <si>
    <t>NESTOR HUMBERTO AGUDELO DIAZ</t>
  </si>
  <si>
    <t>ENGELS  CORTES</t>
  </si>
  <si>
    <t>HENRY WILLIAM GALINDO ROZO</t>
  </si>
  <si>
    <t>CARLOS PATIÑO GALVIS</t>
  </si>
  <si>
    <t>CARLOS ARTURO GALINDO CADENA</t>
  </si>
  <si>
    <t>JUAN CARLOS LEON ACOSTA</t>
  </si>
  <si>
    <t>OMAR EUTIMIO DUARTE GARZON</t>
  </si>
  <si>
    <t>JORGE ALBERTO GAMEZ GUTIERREZ</t>
  </si>
  <si>
    <t>JOHN FRENCH ROJAS</t>
  </si>
  <si>
    <t>IVAN ACOSTA ROJAS</t>
  </si>
  <si>
    <t>RAFAEL ARTURO PARRA PARRA</t>
  </si>
  <si>
    <t>CARLOS HUBER PINILLA BUITRAGO</t>
  </si>
  <si>
    <t>EDUARDO ALBERTO DELGADILLO</t>
  </si>
  <si>
    <t>WILLIAM DANIEL CRISTANCHO BALLESTEROS</t>
  </si>
  <si>
    <t>CAMILO AVILA GARCIA</t>
  </si>
  <si>
    <t>JESUS ARMANDO DAZA LARROTTA</t>
  </si>
  <si>
    <t>RODRIGO  CELIS SALINAS</t>
  </si>
  <si>
    <t>ALVARO MAURICIO BARRETO SANCHEZ</t>
  </si>
  <si>
    <t>ANDRES JOSE CASALLAS NARVAEZ</t>
  </si>
  <si>
    <t>MARCO VINICIO RAMIREZ PEREIRA</t>
  </si>
  <si>
    <t>JOSE ORLANDO LARA MANOSALVA</t>
  </si>
  <si>
    <t>JOSE ALVARO LARA MANOSALVA</t>
  </si>
  <si>
    <t>CARLOS AUGUSTO DIAZ ZAPATA</t>
  </si>
  <si>
    <t>GILBERTO MONTEALEGRE GONZALEZ</t>
  </si>
  <si>
    <t>ROBERTO MEDINA MELO</t>
  </si>
  <si>
    <t>JAIME ENRIQUE LEON</t>
  </si>
  <si>
    <t>HUGO EFRAIN GARZON CASTRILLON</t>
  </si>
  <si>
    <t>HECTOR MAURICIO HERRERA GALARZA</t>
  </si>
  <si>
    <t>GUILLERMO CAMARGO FONSECA</t>
  </si>
  <si>
    <t>YESID ALBERTO SERRATO ALVAREZ</t>
  </si>
  <si>
    <t>BENJAMIN SUAREZ QUIROGA</t>
  </si>
  <si>
    <t>JOSE PASTOR PEREZ CASTRO</t>
  </si>
  <si>
    <t>MIGUEL ARMANDO HERNANDEZ BEJARANO</t>
  </si>
  <si>
    <t>MAURICIO JOSE LIEVANO QUIMBAY</t>
  </si>
  <si>
    <t>EDGAR  GALINDO PAEZ</t>
  </si>
  <si>
    <t>RUBEN SALAZAR HERNANDEZ</t>
  </si>
  <si>
    <t>FRANCISCO  LUGO</t>
  </si>
  <si>
    <t>GERMAN CASTELLANOS MAYORGA</t>
  </si>
  <si>
    <t>JOHN DARIO FONTAL APONTE</t>
  </si>
  <si>
    <t>NELSON BELTRAN ROJAS</t>
  </si>
  <si>
    <t>QUILIAN JOSE CUBIDES MORA</t>
  </si>
  <si>
    <t>FRANCISCO JOSE SALDARRIAGA LOPEZ</t>
  </si>
  <si>
    <t>ALFREDO ORLANDO GARZON RAMOS</t>
  </si>
  <si>
    <t>FACULTAD DE INGENIERIA Y TECNOLOGIA DE LA INFORMACION</t>
  </si>
  <si>
    <t>NORBERTO JAVIER MONTES LEON</t>
  </si>
  <si>
    <t>JOSE FRANCISCO COLORADO SARMIENTO</t>
  </si>
  <si>
    <t>OLMER GONZALO MILLAN ARDILA</t>
  </si>
  <si>
    <t>LUIS MANUEL FORERO CASTAÑEDA</t>
  </si>
  <si>
    <t>PEDRO ALBERTO MORALES APONTE</t>
  </si>
  <si>
    <t>JUAN CARLOS ORREGO</t>
  </si>
  <si>
    <t>RODOLFO  PRADA</t>
  </si>
  <si>
    <t>WILLIAM NORBERTO ROMERO HERNANDEZ</t>
  </si>
  <si>
    <t>ARMANDO RAMIREZ MURCIA</t>
  </si>
  <si>
    <t>JOAQUIN ELIAS RUGELES PEREZ</t>
  </si>
  <si>
    <t>MAURICIO ALONSO VILLALBA</t>
  </si>
  <si>
    <t>WILSON PARDO DURAN</t>
  </si>
  <si>
    <t>JESUS ANTONIO PEÑARANDA BAUTISTA</t>
  </si>
  <si>
    <t>CESAR AUGUSTO BRICEÑO CONTRERAS</t>
  </si>
  <si>
    <t>ALBERTO MORENO LOPEZ</t>
  </si>
  <si>
    <t>OPERARIO TALLER DE PUBLICACIONES</t>
  </si>
  <si>
    <t>GUILLERMO ENRIQUE ARIZA TRUJILLO</t>
  </si>
  <si>
    <t>CARLOS RENE JIMENEZ CASTAÑEDA</t>
  </si>
  <si>
    <t>TECNOLOGIA EN GESTION DE EMPRESAS</t>
  </si>
  <si>
    <t>CARLOS GARAVITO</t>
  </si>
  <si>
    <t>CARLOS  GARAVITO</t>
  </si>
  <si>
    <t>CARLOS ENRIQUE SANCHEZ ARIZA</t>
  </si>
  <si>
    <t>PEDRO MAURICIO TORRES DUQUE</t>
  </si>
  <si>
    <t>ADOLFO JIMENEZ GUTIERREZ</t>
  </si>
  <si>
    <t>GUILLERMPO GUSTAVO OLARTE PAEZ</t>
  </si>
  <si>
    <t>MIGUEL ALEXANDER FLOREZ GARCIA</t>
  </si>
  <si>
    <t>JORGE EDUARDO CORONADO PINEDA</t>
  </si>
  <si>
    <t>ANDRES FELIPE RIVERA PLATA</t>
  </si>
  <si>
    <t>DIEGO ALIRIO VARELA CAÑON</t>
  </si>
  <si>
    <t>HELBER RODRIGO ROJAS GACHA</t>
  </si>
  <si>
    <t>EDIER HERNAN BUSTOS VELAZCO</t>
  </si>
  <si>
    <t>ESTEBAN JESUS CARRASCAL JIMENEZ</t>
  </si>
  <si>
    <t>WILSON REINALDO ZAPATA ESPINOSA</t>
  </si>
  <si>
    <t>SECRETARIO ACADEMICO DE FACULTAD</t>
  </si>
  <si>
    <t>JOSE YESID BUENAVENTURA ROMERO</t>
  </si>
  <si>
    <t>GERMAN CAICEDO PIEDRAHITA</t>
  </si>
  <si>
    <t>LUIS EDUARDO GOMEZ MORENO</t>
  </si>
  <si>
    <t>EDGAR MAURICIO LOPEZ ROJAS</t>
  </si>
  <si>
    <t>PEDRO NEL OVALLE CASTILLO</t>
  </si>
  <si>
    <t>JAVIER RAUL RODRIGUEZ ROA</t>
  </si>
  <si>
    <t>RUBEN DARIO BERNAL CALLE</t>
  </si>
  <si>
    <t>FERNANDO ALFARO VALERO</t>
  </si>
  <si>
    <t>JAIME ARMANDO PABON PEREZ</t>
  </si>
  <si>
    <t>WILKEN RODRIGUEZ ESCOBAR</t>
  </si>
  <si>
    <t>ALEJANDRO SEGURA RODRIGUEZ</t>
  </si>
  <si>
    <t>FERNANDO ALFONSO MARTINEZ WILCHES</t>
  </si>
  <si>
    <t>EDGAR FREDY GARNICA</t>
  </si>
  <si>
    <t>JOSE DAVID CELY CALLEJAS</t>
  </si>
  <si>
    <t>JUAN HERNANDO BRAVO REYES</t>
  </si>
  <si>
    <t>SERGIO ORLANDO ARIZA ARIZA</t>
  </si>
  <si>
    <t>GERMAN EDUARDO ARENAS REINA</t>
  </si>
  <si>
    <t>FELIX BLADIMIR RAMIREZ MORENO</t>
  </si>
  <si>
    <t>ALEJANDRO CARDENAS GUALTEROS</t>
  </si>
  <si>
    <t>MAURICIO AVELLA GUTIERREZ</t>
  </si>
  <si>
    <t>MARTIN RODRIGUEZ MUR</t>
  </si>
  <si>
    <t>SEGUNDO FIDEL PUERTO GARAVITO</t>
  </si>
  <si>
    <t>PEDRO ANTONIO ACERO</t>
  </si>
  <si>
    <t>MARTIN EMILIO BOCANEGRA ORJUELA</t>
  </si>
  <si>
    <t>JORGE CAMILO CORTES CRUZ</t>
  </si>
  <si>
    <t>RICARDO RAFAEL RIASCOS CARDENAS</t>
  </si>
  <si>
    <t>JORGE  BARRERA</t>
  </si>
  <si>
    <t>FREDYS ALBERTO SIMANCA HERRERA</t>
  </si>
  <si>
    <t>RHINA COROMOTO LOPEZ LOYO</t>
  </si>
  <si>
    <t>CESAR ANDREY PERDOMO CHARRY</t>
  </si>
  <si>
    <t>WILLIAM  DE JESÚS HERRERA CAMELO</t>
  </si>
  <si>
    <t>GERARDO MAURICIO POLANIA GUTIERREZ</t>
  </si>
  <si>
    <t>JORGE ANDRES TOLEDO</t>
  </si>
  <si>
    <t>AUGUSTO JOSE ANGEL MORENO</t>
  </si>
  <si>
    <t>JAVIER GOMEZ CAMPOS</t>
  </si>
  <si>
    <t>SERGIO LUIS BERMUDEZ QUINTERO</t>
  </si>
  <si>
    <t>WILMAN JAVIER RINCON BAUTISTA</t>
  </si>
  <si>
    <t>JUAN PABLO BOLAÑOS REBOLLEDO</t>
  </si>
  <si>
    <t>EDUARD ARMANDO CARRILLO SAENZ</t>
  </si>
  <si>
    <t>LUIS FELIPE VELASQUEZ MOSQUERA</t>
  </si>
  <si>
    <t>JUAN LUIS VELASCO MOSQUERA</t>
  </si>
  <si>
    <t>HENRY GAITAN GOMEZ</t>
  </si>
  <si>
    <t>JOSE DARIO LEON OCHOA</t>
  </si>
  <si>
    <t>MIGUEL ANTONIO GOMEZ OSPINA</t>
  </si>
  <si>
    <t>PLANEADOR</t>
  </si>
  <si>
    <t>FABIAN LEANDRO GIRALDO ALZATE</t>
  </si>
  <si>
    <t>JORGE IVAN ARANGO BUITRAGO</t>
  </si>
  <si>
    <t>PEDRO PABLO MEJIA SALAZAR</t>
  </si>
  <si>
    <t>HERNAN SALAZAR SALAZAR</t>
  </si>
  <si>
    <t>CARLOS ARTURO GUALTEROS BARRAGAN</t>
  </si>
  <si>
    <t>JESUS MARIA TAIBEL GUTIERREZ</t>
  </si>
  <si>
    <t>EDWIN JOSE PEREZ H</t>
  </si>
  <si>
    <t>REVISOR FISCAL</t>
  </si>
  <si>
    <t>EDWIN JOSE PEDRAZA CARDENAS</t>
  </si>
  <si>
    <t>LUIS RICARDO MORANTES AFRICANO</t>
  </si>
  <si>
    <t>ASISTENTE V DEPTO CULTURA RECREACION Y DEPORTE</t>
  </si>
  <si>
    <t>JUAN SANTIAGO BOTELLO FORERO</t>
  </si>
  <si>
    <t>JAIME EDGARDO VALDERRAMA OCHOA</t>
  </si>
  <si>
    <t>EDWIN JAVIER MARTINEZ MESA</t>
  </si>
  <si>
    <t>LUIS FELIPE ESPITIA MARTINEZ</t>
  </si>
  <si>
    <t>JOUSEPH RAUL RODRIGUEZ LIZARAZO</t>
  </si>
  <si>
    <t>NESTOR VERGARA CORTINA</t>
  </si>
  <si>
    <t>YOVANNY LAUREANO VELA SAENZ</t>
  </si>
  <si>
    <t>WILFREDO GUIJO TELLO</t>
  </si>
  <si>
    <t>EDGARDO JOSE PAZ ESPINOSA</t>
  </si>
  <si>
    <t>JOHN JAIRO CAICEDO BOLAÑOS</t>
  </si>
  <si>
    <t>GERARDO PEREZ BERMEJO</t>
  </si>
  <si>
    <t>ALEJANDRO  MCNEIL FERNANDEZ</t>
  </si>
  <si>
    <t>LUIS LEONARDO MORENO MORENO</t>
  </si>
  <si>
    <t>DAVID LEON FLOREZ DE LA HOZ</t>
  </si>
  <si>
    <t>ANTONIO RAMON ANGULO HERNANDEZ</t>
  </si>
  <si>
    <t>GERMAN ANTONIO TAMAYO PEREZ</t>
  </si>
  <si>
    <t>WILSON ABRAHAM GARCIA MONTAÑEZ</t>
  </si>
  <si>
    <t>MARTIN ESTEBAN ZAMBRANO ROMAN</t>
  </si>
  <si>
    <t>FRED GIULIANO SOLIS SALGADO</t>
  </si>
  <si>
    <t>LUIS GABRIEL PORRAS PINILLA</t>
  </si>
  <si>
    <t>JONATHAN JAVIER TAPIAS ZAPATA</t>
  </si>
  <si>
    <t>ALVARO ENRIQUE GONZALEZ GUEVARA</t>
  </si>
  <si>
    <t>ARTURO EDUARDO REYES RIPOLL</t>
  </si>
  <si>
    <t>ANDRES EDUARDO SALGADO TOUS</t>
  </si>
  <si>
    <t>CESAR AUGUSTO SERRANO RUEDA</t>
  </si>
  <si>
    <t>TECNICA EN PERIODISMO</t>
  </si>
  <si>
    <t>IVAN RICARDO DIAZ MENDIVIL</t>
  </si>
  <si>
    <t>LUIS EMERSON HURTADO COPETE</t>
  </si>
  <si>
    <t>RAFAEL MAURICIO ROJAS CARRERO</t>
  </si>
  <si>
    <t>JULIAN ANDRES CASTELLANOS CASTRO</t>
  </si>
  <si>
    <t>EDWIN ALONSO SOSSA CRUZ</t>
  </si>
  <si>
    <t>HERNAN DARIO BERMUDEZ RUIZ</t>
  </si>
  <si>
    <t>ORMAN GILBERTO SUAREZ CARDENAS</t>
  </si>
  <si>
    <t>CARLOS ENRIQUE SERNA ROMERO</t>
  </si>
  <si>
    <t>HECTOR WILLIAM ALDANA CASTELLANOS</t>
  </si>
  <si>
    <t>BEITMANTT GEOVANNI CARDENAS QUINTERO</t>
  </si>
  <si>
    <t>CRISTIAN DUNEY BERMUDEZ QUINTERO</t>
  </si>
  <si>
    <t>DIEGO GERMAN GUERRERO RODRIGUEZ</t>
  </si>
  <si>
    <t>JOSE IGNACIO GONZALEZ</t>
  </si>
  <si>
    <t>GUILLERMO JOSE SALGADO ESTRELLA</t>
  </si>
  <si>
    <t>JAZMINE EUGENIA FADUL MEDINA</t>
  </si>
  <si>
    <t>OVETH GOMEZ CAMARGO</t>
  </si>
  <si>
    <t>LUIS ALEXIS PLAZAS GOMEZ</t>
  </si>
  <si>
    <t>JUAN CARLOS PEREZ SUAREZ</t>
  </si>
  <si>
    <t>LUIS ANTONIO SARMIENTO MELO</t>
  </si>
  <si>
    <t>JOSE GUSTAVO NUÑEZ VALERO</t>
  </si>
  <si>
    <t>ANA MARIA CUELLAR MUÑOZ</t>
  </si>
  <si>
    <t>SECRETARIA I</t>
  </si>
  <si>
    <t>ROSALBA MORRIS ANGARITA</t>
  </si>
  <si>
    <t>ANDREA CAROLINA CUARTAS RAMIREZ</t>
  </si>
  <si>
    <t>ALEJANDRA MARIA RUGELES VILLA</t>
  </si>
  <si>
    <t>LINA MARCELA MANJARRES USAQUEN</t>
  </si>
  <si>
    <t>LEDY YASMIN ALVARADO HERRERA</t>
  </si>
  <si>
    <t>BLANCA GUIOMAR MOLANO SILVA</t>
  </si>
  <si>
    <t>SONIA  BERNAL</t>
  </si>
  <si>
    <t>OMAIRA ARAGON OYUELA</t>
  </si>
  <si>
    <t>BERNY ALEJANDRA DAZA ACOSTA</t>
  </si>
  <si>
    <t>YANELDA  JAIMES NOVOA</t>
  </si>
  <si>
    <t>STELLA MARÍA MÁRQUEZ VERBEL</t>
  </si>
  <si>
    <t>ZOBEIDA SILGADO SOTO</t>
  </si>
  <si>
    <t>ADRIANA OCHOA GRANADOS</t>
  </si>
  <si>
    <t>IVONNE ROSIO ORTIZ RUIZ</t>
  </si>
  <si>
    <t>XIOMARA ACEVEDO GOMEZ</t>
  </si>
  <si>
    <t>SANDRA XIMENA RIOS PINTO</t>
  </si>
  <si>
    <t>JANITZA ARACELY BALLESTEROS TORRES</t>
  </si>
  <si>
    <t>MIREYA VARGAS RIVERA</t>
  </si>
  <si>
    <t>MYRIAM ORTIZ MATEUS</t>
  </si>
  <si>
    <t>LIZBETH INES ZABALA PORTILLO</t>
  </si>
  <si>
    <t>MARCELA SILVA NORIEGA</t>
  </si>
  <si>
    <t>ANA VICTORIA SANTAMARIA GOMEZ</t>
  </si>
  <si>
    <t>NELLY  CARO LOPEZ</t>
  </si>
  <si>
    <t>CONSUELO GARZON CANGREJO</t>
  </si>
  <si>
    <t>TOBIAS GONZALEZ JIMENEZ</t>
  </si>
  <si>
    <t>NEYDA XIMENA ORTEGA HERNANDEZ</t>
  </si>
  <si>
    <t>ADRIANA MERCEDES TRUJILLO PAEZ</t>
  </si>
  <si>
    <t>SANDRA PATRICIA BAUTISTA SANTOS</t>
  </si>
  <si>
    <t>LISSETT MILEYNA ESPINEL TORRES</t>
  </si>
  <si>
    <t>UNIDAD DE FORMACION Y DESARROLLO DE LA INVESTIGACION</t>
  </si>
  <si>
    <t>ANA MERCEDES SUAREZ OSPINA</t>
  </si>
  <si>
    <t>HERNAN AVILA PUENTES</t>
  </si>
  <si>
    <t>LUIS EDUARDO CABALLERO RAMIREZ</t>
  </si>
  <si>
    <t>MILDRE KAROLA LOPEZ LOPEZ</t>
  </si>
  <si>
    <t>LEIDY LILIANA BURBANO GALEANO</t>
  </si>
  <si>
    <t>JOSE ANTONIO JIMENEZ NARVAEZ</t>
  </si>
  <si>
    <t>JOSE REINALDO BRIÑEZ SIERRA</t>
  </si>
  <si>
    <t>ANGELICA MARIA FONTALVO VALERO</t>
  </si>
  <si>
    <t>ALONSO GONZALEZ ARIZA</t>
  </si>
  <si>
    <t>SANDRA LILIANA SILVA SALDAÑA</t>
  </si>
  <si>
    <t>RECEPCIONISTA</t>
  </si>
  <si>
    <t>CAROLINA RIOS DIAZ</t>
  </si>
  <si>
    <t>CARLOS IVAN MARQUEZ PEREZ</t>
  </si>
  <si>
    <t>YESID FERNANDO TOLOSA MARTINEZ</t>
  </si>
  <si>
    <t>GLADYS JOHANNA FORIGUA MAYORGA</t>
  </si>
  <si>
    <t>CARMEN JAZZMIN SANCHEZ MORA</t>
  </si>
  <si>
    <t>MARIELLY RINCON CASTAÑO</t>
  </si>
  <si>
    <t>DIANA MARCELA MORENO VASQUEZ</t>
  </si>
  <si>
    <t>KARINA AGUILAR</t>
  </si>
  <si>
    <t>ASISTENTE ADMISIONES REGISTRO Y CONTROL</t>
  </si>
  <si>
    <t>OFICINA DE ADMISIONES</t>
  </si>
  <si>
    <t>DIANA CAROLINA QUINTANA NIVIA</t>
  </si>
  <si>
    <t>MARSELA BUSTOS MORALES</t>
  </si>
  <si>
    <t>ALEJANDRA CEBALLOS RIVERA</t>
  </si>
  <si>
    <t>ADRIANA  MARCELA MARTINEZ MARTIN</t>
  </si>
  <si>
    <t>CLAUDIA MARCELA RIAÑO LOZANO</t>
  </si>
  <si>
    <t>FRANCY ROCIO OLARTE DUSSAN</t>
  </si>
  <si>
    <t>LUZ ADRIANA PARRA GARCIA</t>
  </si>
  <si>
    <t>DIANA LORENA SUAREZ MARTINEZ</t>
  </si>
  <si>
    <t>MARIA FERNANDA GOMEZ RONDON</t>
  </si>
  <si>
    <t>MAYRA VIVIANA QUIROZ GOMEZ</t>
  </si>
  <si>
    <t>MARCELA DEL ROSARIO SABOGAL GONZALEZ</t>
  </si>
  <si>
    <t>YORHLEDY RIAÑO FUENTES</t>
  </si>
  <si>
    <t>IVONNE ANDREA SACRISTAN TOVAR</t>
  </si>
  <si>
    <t>CLAUDIA MARCELA MARTINEZ</t>
  </si>
  <si>
    <t>SANDRA TATIANA RODRIGUEZ MORALES</t>
  </si>
  <si>
    <t>AUXILIAR OFICINA DE PLANEACION</t>
  </si>
  <si>
    <t>DAYANA LISBETH BECERRA ALIPIO</t>
  </si>
  <si>
    <t>YENNY ZORAIDA MENDEZ ROMERO</t>
  </si>
  <si>
    <t>YENY FABIOLA GARZON GODOY</t>
  </si>
  <si>
    <t>MARIA JOHANA ESCAMILLA MARTINEZ</t>
  </si>
  <si>
    <t>DEBORA ALEXANDRA CORTES CORREDOR</t>
  </si>
  <si>
    <t>DIANA MARCELA RODRIGUEZ CACERES</t>
  </si>
  <si>
    <t>ASISTENTE III</t>
  </si>
  <si>
    <t>SUANY PAOLA HERRERA PABON</t>
  </si>
  <si>
    <t>JENNY KATHERINE BARRERO ROMERO</t>
  </si>
  <si>
    <t>LADY JOHANNA CARDENAS CASTILLO</t>
  </si>
  <si>
    <t>ANGELA CONSTANZA VARGAS GALINDO</t>
  </si>
  <si>
    <t>ALEXANDRA VARELA CASTIBLANCO</t>
  </si>
  <si>
    <t>JULIANA RAQUEL CARDOZO MATIZ</t>
  </si>
  <si>
    <t>SECRETARIA</t>
  </si>
  <si>
    <t>NEYDU MAGNOLY VALDES PINZON</t>
  </si>
  <si>
    <t>LADY YURANY ROBLES MORENO</t>
  </si>
  <si>
    <t>YENNY  PAOLA RAMOS CARRILLO</t>
  </si>
  <si>
    <t>COORDINADOR III</t>
  </si>
  <si>
    <t>JENIFFER LIZETH ALFONSO DAZA</t>
  </si>
  <si>
    <t>ANGELA VIVIANA FORERO RODRIGUEZ</t>
  </si>
  <si>
    <t>PATRICIA BARRENECHE TALERO</t>
  </si>
  <si>
    <t>ALEJANDRA ALVAREZ BERNAL</t>
  </si>
  <si>
    <t>NATHALY MELINA MARIN MEDINA</t>
  </si>
  <si>
    <t>CLAUDIA VIVIANA BELTRAN GELVES</t>
  </si>
  <si>
    <t>ANA MELISA OSPINA LONDOÑO</t>
  </si>
  <si>
    <t>AUXILIAR GESTION DOCUMENTAL</t>
  </si>
  <si>
    <t>ANDREA IBAÑEZ CASTRO</t>
  </si>
  <si>
    <t>VIVIANA ARIAS AGUIRRE</t>
  </si>
  <si>
    <t>NATALIA FIGUEREDO MOLANO</t>
  </si>
  <si>
    <t>JENNY STELLA CRUZ ORJUELA</t>
  </si>
  <si>
    <t>ELIZABETH WILCHES SANCHEZ</t>
  </si>
  <si>
    <t>MONICA PATRICIA MONTEALEGRE ACEVEDO</t>
  </si>
  <si>
    <t>ADRIANA MARCELA GONZALEZ CETINA</t>
  </si>
  <si>
    <t>CAROLINA JIMENEZ RIVERO</t>
  </si>
  <si>
    <t>LUZ MIRIAM FORERO</t>
  </si>
  <si>
    <t>IVONNE ADRIANA RABALLATY PARRA</t>
  </si>
  <si>
    <t>MARIA DEL PILAR ESPINOZA RODRIGUEZ</t>
  </si>
  <si>
    <t>YEIMMY CAROLINA FRANCO BARRERA</t>
  </si>
  <si>
    <t>MARIA CRISTINA SALAMANCA ROJAS</t>
  </si>
  <si>
    <t>NANCY CERQUERA OSPINA</t>
  </si>
  <si>
    <t>MARIA ANGELICA SANDOVAL GALVIS</t>
  </si>
  <si>
    <t>VIVIANA PATRICIA SALAZAR GARZON</t>
  </si>
  <si>
    <t>DIANA CAROLINA ROMERO ROJAS</t>
  </si>
  <si>
    <t>JENNY ALEXANDRA TRIANA CASALLAS</t>
  </si>
  <si>
    <t>MARIA FERNANDA NUÑEZ FORERO</t>
  </si>
  <si>
    <t>CAROL ANDREA HERNANDEZ PACHON</t>
  </si>
  <si>
    <t>CAROLINA VELEZ GOMEZ</t>
  </si>
  <si>
    <t>ANGELICA TORRES OBANDO</t>
  </si>
  <si>
    <t>SONIA ROCIO BOHORQUEZ CABALLERO</t>
  </si>
  <si>
    <t>COORDINADOR V</t>
  </si>
  <si>
    <t>CLARA ROSALBA SANCHEZ PALOMA</t>
  </si>
  <si>
    <t>ARACELY BIRGUEZ NOVA</t>
  </si>
  <si>
    <t>LAURA CAROLINA ORJUELA MARQUEZ</t>
  </si>
  <si>
    <t>MARTHA JANETH CIFUENTES IZQUIERDO</t>
  </si>
  <si>
    <t>DIANA MARIA PRIETO SANABRIA</t>
  </si>
  <si>
    <t>YORLENY ANZOLA CIFUENTES</t>
  </si>
  <si>
    <t>DIANA CAROLINA LOMBANA JAIMES</t>
  </si>
  <si>
    <t>MARIBEL CAYCEDO</t>
  </si>
  <si>
    <t>ANA MILENA MARTINEZ TRIVIÑO</t>
  </si>
  <si>
    <t>NANCY ANGELICA RODRIGUEZ MARIN</t>
  </si>
  <si>
    <t>KELLY MARITZA BOHORQUEZ BARBOSA</t>
  </si>
  <si>
    <t>LAURA MILENA RICO OROZCO</t>
  </si>
  <si>
    <t>LINDA PAMELA FLOREZ GALINDO</t>
  </si>
  <si>
    <t>CLAUDIA LILIANA MUÑOZ PEÑA</t>
  </si>
  <si>
    <t>NANCY YANETH GARZON FONTECHA</t>
  </si>
  <si>
    <t>LYNDA MARCELA RAMIREZ PINILLA</t>
  </si>
  <si>
    <t>FLOR EDILMA SANABRIA JAIMES</t>
  </si>
  <si>
    <t>SANDRA CECILIA HERNANDEZ URREGO</t>
  </si>
  <si>
    <t>NANCI MILENA GUZMAN CASTILLO</t>
  </si>
  <si>
    <t>CLAUDIA ESPERANZA PARRA</t>
  </si>
  <si>
    <t>PAOLA ANDREA VASQUEZ FONSECA</t>
  </si>
  <si>
    <t>CIELO YOMARA CHAPARRO ALDANA</t>
  </si>
  <si>
    <t>YISEL CAROLINA ESTRADA BONILLA</t>
  </si>
  <si>
    <t>LINA BRIGITTE OYAGA ORTIZ</t>
  </si>
  <si>
    <t>AUXILIAR ADMINISTRATIVO III</t>
  </si>
  <si>
    <t>LEIDY DIANA RINCON TAUTIVA</t>
  </si>
  <si>
    <t>PAOLA CAROLINA MATALLANA MORA</t>
  </si>
  <si>
    <t>AUXILIAR DE ENFERMERIA</t>
  </si>
  <si>
    <t>PAOLA ANDREA MORENO CASTILLO</t>
  </si>
  <si>
    <t>MARIA PATRICIA HURTADO REYES</t>
  </si>
  <si>
    <t>MYRIAM  JOHANNA ACERO ROMERO</t>
  </si>
  <si>
    <t>DIANA MILENA CARMONA MUÑOZ</t>
  </si>
  <si>
    <t>INGRID  PAOLA MARIN CABEZAS</t>
  </si>
  <si>
    <t>BLANCA CONSUELO WYNTER SARMIENTO</t>
  </si>
  <si>
    <t>DIRECTOR DE INVESTIGACIÓN</t>
  </si>
  <si>
    <t>MARIA ANGELICA CORTES MONTEJO</t>
  </si>
  <si>
    <t>DIANA MARCELA AUX BELLO</t>
  </si>
  <si>
    <t>PAOLA FERNANDA PARADA ROMERO</t>
  </si>
  <si>
    <t>NELLY CATALINA DE LOS ANGELES GALVIS MEDINA</t>
  </si>
  <si>
    <t>LUZ ODILIA CHAVEZ SILVA</t>
  </si>
  <si>
    <t>OSIRIS YASBLEIDY TORRES GUTIERREZ</t>
  </si>
  <si>
    <t>ANDREA DEL PILAR VARGAS FAJARDO</t>
  </si>
  <si>
    <t>DIANA CAROLINA SANDOVAL OCHOA</t>
  </si>
  <si>
    <t>PAOLA CAMACHO PARRA</t>
  </si>
  <si>
    <t>ANDREA DEL PILAR CIFUENTES GONZALEZ</t>
  </si>
  <si>
    <t>DIANA PATRICIA QUIROGA CAMACHO</t>
  </si>
  <si>
    <t>MONICA JOHANNA SANDOVAL RINCON</t>
  </si>
  <si>
    <t>LILY JOHANA TIBAVIJA RODRIGUEZ</t>
  </si>
  <si>
    <t>PROFESIONAL ESPECIALIZADO</t>
  </si>
  <si>
    <t>SANDRA MILENA OCHOA GUIO</t>
  </si>
  <si>
    <t>PROFESIONAL - URI</t>
  </si>
  <si>
    <t>UNIDAD DE RELACIONES INTERINSTITUCIONALES(PRACTICAS, INTERNACIONALIZA,EGRESADOS)</t>
  </si>
  <si>
    <t>EDNA KATALINA MEDINA PALACIOS</t>
  </si>
  <si>
    <t>YULI CATALINA HERRERA FRANCO</t>
  </si>
  <si>
    <t>MARTHA LILIANA TORRES GUERRERO</t>
  </si>
  <si>
    <t>ERICA ALEXANDRA DUARTE VARGAS</t>
  </si>
  <si>
    <t>PILAR ANDREA RIVERA PARRA</t>
  </si>
  <si>
    <t>YULIETH MELO  TOVAR</t>
  </si>
  <si>
    <t>MIREYA BERNAL GOMEZ</t>
  </si>
  <si>
    <t>CAROLINA FLOREZ ALVARÁN</t>
  </si>
  <si>
    <t>ESPERANZA CAMARGO CASALLAS</t>
  </si>
  <si>
    <t>SANDRA MARISOL MARTINEZ BELTRAN</t>
  </si>
  <si>
    <t>JENNY CAROLINA AMEZQUITA TORO</t>
  </si>
  <si>
    <t>JENNY ROSANA PRIETO MOLANO</t>
  </si>
  <si>
    <t>YANETH LAVERDE ULLOA</t>
  </si>
  <si>
    <t>ANGELA MARIA ALVINO MOLINA</t>
  </si>
  <si>
    <t>JEIMMY AREVALO MELO</t>
  </si>
  <si>
    <t>MILENA SOLEY INFANTE RINCON</t>
  </si>
  <si>
    <t>ADRIANA ORTIZ ALVARADO</t>
  </si>
  <si>
    <t>ARGENIS DIAZ RINCON</t>
  </si>
  <si>
    <t>YEIMI ALEJANDRA LEMUS GOMEZ</t>
  </si>
  <si>
    <t>YISED NUÑEZ FRANCO</t>
  </si>
  <si>
    <t>SANDRA BIBIANA NIETO MUÑOZ</t>
  </si>
  <si>
    <t>SORANYI MUÑOZ CORREDOR</t>
  </si>
  <si>
    <t>LEIDY DIANA ANZOLA NIÑO</t>
  </si>
  <si>
    <t>SILVIA XIMENA MERCADO SANTOS</t>
  </si>
  <si>
    <t>CAROLINA HERNANDEZ MUÑOZ</t>
  </si>
  <si>
    <t>ADRIANA MALEIDY GUERRERO SIERRA</t>
  </si>
  <si>
    <t>MILDREY VANEZA VERA DURAN</t>
  </si>
  <si>
    <t>YUDY GIRLEZA CARDONA CATAÑO</t>
  </si>
  <si>
    <t>PAOLA CAROLINA MONTERO CARO</t>
  </si>
  <si>
    <t>TECNOLOGIA EN ADMINISTRACION TURISTICA Y HOTELERA</t>
  </si>
  <si>
    <t>ELIANA ORTIZ CASTILLA</t>
  </si>
  <si>
    <t>INDIRA YINETH CALDERON RODRIGUEZ</t>
  </si>
  <si>
    <t>DIANA CAROLINA HERNANDEZ GUALDRON</t>
  </si>
  <si>
    <t>MIRIAM DERMER WODNICKY</t>
  </si>
  <si>
    <t>GILMA JANNETH GUATIVA QUINCOSIS</t>
  </si>
  <si>
    <t>ELIANA CATALINA SERRANO REY</t>
  </si>
  <si>
    <t>DIANA PATRICIA BAHOS</t>
  </si>
  <si>
    <t>ASISTENTE I GESTION HUMANA</t>
  </si>
  <si>
    <t>GINA MARIA ORTIZ SILVA</t>
  </si>
  <si>
    <t>DIRECTOR OFICINA DE RELACIONES INTERINSTITUCIONALE</t>
  </si>
  <si>
    <t>MARTHA LUCIA PEDRAZA</t>
  </si>
  <si>
    <t>MONICA ISABEL DELGADO CORREAL</t>
  </si>
  <si>
    <t>MARIA PAULA LINARES VENEGAS</t>
  </si>
  <si>
    <t>CANCILLER</t>
  </si>
  <si>
    <t>MARIA JIMENA ROJAS CASAS</t>
  </si>
  <si>
    <t>NIDIA ALEXANDRA LEON RODRIGUEZ</t>
  </si>
  <si>
    <t>JUANA PATRICIA SIERRA SANCHEZ</t>
  </si>
  <si>
    <t>LAURA PIEDAD SOSSA LESMES</t>
  </si>
  <si>
    <t>OLGA HELENA PIÑEROS</t>
  </si>
  <si>
    <t>NANCY MIRELBY BALLESTAS CARO</t>
  </si>
  <si>
    <t>CARMENZA DEL ROSARIO CONTRERAS GONZALEZ</t>
  </si>
  <si>
    <t>DIRECTOR OFICINA DE COMUNICACION PROMOCION E IMAGE</t>
  </si>
  <si>
    <t>MARISOL REY CASTILLO</t>
  </si>
  <si>
    <t>DIANA CAROLINA MARIN MORA</t>
  </si>
  <si>
    <t>COORDINADOR EN FORMACION, PROD. DOCENTE Y PEDAGOG</t>
  </si>
  <si>
    <t>UNIDAD DE FORMACION, PRODUCCION DOCENTE Y PEDAGOGICA</t>
  </si>
  <si>
    <t>BERTHA MILENA ORJUELA CARDENAS</t>
  </si>
  <si>
    <t>DIANA PAOLA MUÑOZ MORENO</t>
  </si>
  <si>
    <t>KELLY FRANCOISE HERRERA GONZALEZ</t>
  </si>
  <si>
    <t>NANCY LILIANA AREVALO</t>
  </si>
  <si>
    <t>CLAUDIA LILIANA INFANTE RINCON</t>
  </si>
  <si>
    <t>INGRID ANDREA ALVARADO ORTIZ</t>
  </si>
  <si>
    <t>JANETH ALICIA MALAGON GUERRERO</t>
  </si>
  <si>
    <t>FRANCI ANDREA PINZON GUTIERREZ</t>
  </si>
  <si>
    <t>LILIANA LUCIA DE LA OSSA SANCHEZ</t>
  </si>
  <si>
    <t>SANDRA MILENA FUENTES PIRATEQUE</t>
  </si>
  <si>
    <t>SONIA ELIANA CALDERON GONZALEZ</t>
  </si>
  <si>
    <t>NUBIA EDITH CADENA CERON</t>
  </si>
  <si>
    <t>CAROLINA VANESSA BECERRA CHAVARRO</t>
  </si>
  <si>
    <t>JULIA ISABEL ROBERTO</t>
  </si>
  <si>
    <t>NANCY ARIAS PACACIRA</t>
  </si>
  <si>
    <t>MONICA BIBIANA ARCE MELO</t>
  </si>
  <si>
    <t>ANGELA MARIA FLECHAS CUASAPUD</t>
  </si>
  <si>
    <t>MYRIAM AYDEE MORENO GARZON</t>
  </si>
  <si>
    <t>JULIETH NATALI FRANCO DIAZ</t>
  </si>
  <si>
    <t>MAGDA LIZETH MORENO RODRIGUEZ</t>
  </si>
  <si>
    <t>MARIBETH RIVERA MORA</t>
  </si>
  <si>
    <t>MARIA DEL PILAR FLORIAN ESCOBAR</t>
  </si>
  <si>
    <t>XIMENA FERNANDA QUINTERO CORREA</t>
  </si>
  <si>
    <t>YENNY CAROLINA BOHORQUEZ BARBOSA</t>
  </si>
  <si>
    <t>SANDRA MILENA VARGAS BELTRAN</t>
  </si>
  <si>
    <t>ADRIANA JIMENA SOTO BOCANEGRA</t>
  </si>
  <si>
    <t>ANGELICA RAMIREZ MARROQUIN</t>
  </si>
  <si>
    <t>DIANA CAROLINA LARA MELO</t>
  </si>
  <si>
    <t>MAYERLY PEREZ VELANDIA</t>
  </si>
  <si>
    <t>ANDREA YULIETH PUENTES HERNANDEZ</t>
  </si>
  <si>
    <t>DIANA CONSTANZA HERRERA RAMIREZ</t>
  </si>
  <si>
    <t>YEIMY SILVA LOZADA</t>
  </si>
  <si>
    <t>GINA MILENA RODRIGUEZ SARMIENTO</t>
  </si>
  <si>
    <t>DEISY RUBIELA REINA REINA</t>
  </si>
  <si>
    <t>POLIANA CAROLINA OTALORA CRUZ</t>
  </si>
  <si>
    <t>MARGARITA LORENA MARTINEZ SALAVARRIETA</t>
  </si>
  <si>
    <t>MARCELA LILIANA CARDENAS CRUZ</t>
  </si>
  <si>
    <t>SANDRA YOVANNA SIERRA CUERVO</t>
  </si>
  <si>
    <t>YENNY MARCELA CASTRO DELGADILLO</t>
  </si>
  <si>
    <t>FLOR YAMILE POSADA PARADA</t>
  </si>
  <si>
    <t>CLAUDIA CALVO GONZALEZ</t>
  </si>
  <si>
    <t>CAROLINA MELO RODRIGUEZ</t>
  </si>
  <si>
    <t>COORDINACION PRACTICAS FCIL</t>
  </si>
  <si>
    <t>AKEMY DOKU RAMIREZ</t>
  </si>
  <si>
    <t>SANDRA YULIER MARTINEZ BUITRAGO</t>
  </si>
  <si>
    <t>PAOLA ANDREA SANCHEZ NOVOA</t>
  </si>
  <si>
    <t>SANDRA MILDRED VALENCIA BONILLA</t>
  </si>
  <si>
    <t>FRANCY MILENA GORDILLO</t>
  </si>
  <si>
    <t>SONIA JIMENA ROJAS LARA</t>
  </si>
  <si>
    <t>LINA MARIA GIRALDO VILLADA</t>
  </si>
  <si>
    <t>PROFESIONAL - COMPRAS</t>
  </si>
  <si>
    <t>COMPRAS Y CONTRATACIÓN</t>
  </si>
  <si>
    <t>ANGELA DEL CIELO ORTIZ MOLINA</t>
  </si>
  <si>
    <t>YENNITH JULIETH CAMARGO LEAL</t>
  </si>
  <si>
    <t>HILDA PAOLA SERNA GONZALEZ</t>
  </si>
  <si>
    <t>LILIANA GARZON ROMAÑA</t>
  </si>
  <si>
    <t>MARIA DEL PILAR GUTIERREZ</t>
  </si>
  <si>
    <t>SARA MILENA OSORIO SANCHEZ</t>
  </si>
  <si>
    <t>LILIANA CONSTANZA CONTRERAS CALLEJAS</t>
  </si>
  <si>
    <t>ANGELA JAZMIN SANCHEZ ARIAS</t>
  </si>
  <si>
    <t>DIANA MILENA VILLALOBOS SARMIENTO</t>
  </si>
  <si>
    <t>AURA CAROLINA ACOSTA AMAYA</t>
  </si>
  <si>
    <t>SANDRA YAZMIN GORDILLO MARTIN</t>
  </si>
  <si>
    <t>NANCY AREVALO GALINDO</t>
  </si>
  <si>
    <t>SANDRA MILENA ARDILA ZUÑIGA</t>
  </si>
  <si>
    <t>JOHANNA OVALLE PINZON</t>
  </si>
  <si>
    <t>ADMINISTRADOR WEB Y COMMUNITY MANAGER</t>
  </si>
  <si>
    <t>SONIA ROCIO WILCHEZ AFRICANO</t>
  </si>
  <si>
    <t>LIZA CATALINA PERALTA PIEDRAHITA</t>
  </si>
  <si>
    <t>ADRIANA YOLANDA MARTINEZ TRIVIÑO</t>
  </si>
  <si>
    <t>NURY MARCELA PRIMICIERO JAMAICA</t>
  </si>
  <si>
    <t>GEORGETTE PERDOMO QUINTERO</t>
  </si>
  <si>
    <t>SANDRA MILENA NIETO CRUZ</t>
  </si>
  <si>
    <t>ASISTENTE IV CENTRO DESARROL EMPRES PARA EL EGRESA</t>
  </si>
  <si>
    <t>SANDRA LILIANA CAICEDO BARRETO</t>
  </si>
  <si>
    <t>MARIA ALEXANDRA CASTRO RICO</t>
  </si>
  <si>
    <t>MARTHA ISABEL HERNANDEZ AGUIRRE</t>
  </si>
  <si>
    <t>GIOVANNA INES ROSSO LONDOÑO</t>
  </si>
  <si>
    <t>PSICOLOGO</t>
  </si>
  <si>
    <t>LIA ELVIRA BUITRAGO QUIROGA</t>
  </si>
  <si>
    <t>LUZ ESNEDA RUIZ OSORIO</t>
  </si>
  <si>
    <t>CLAUDIA PATRICIA RAMIREZ CARRERO</t>
  </si>
  <si>
    <t>XIMENA LOPEZ LYNN</t>
  </si>
  <si>
    <t>CONSUELO  GARZON CANGREJO</t>
  </si>
  <si>
    <t>JEANNETH MURILLO JAIMES</t>
  </si>
  <si>
    <t>PAOLA  CHOACHI DIAZ</t>
  </si>
  <si>
    <t>MARTHA INES LOPEZ BUITRAGO</t>
  </si>
  <si>
    <t>DIANA ERIKA AFANADOR AGUILAR</t>
  </si>
  <si>
    <t>LUZ MYRIAN GARZON MELO</t>
  </si>
  <si>
    <t>SANDRA XIMENA TARAZONA GARCIA</t>
  </si>
  <si>
    <t>JACQUELINE MARIN GALEANO</t>
  </si>
  <si>
    <t>ANA MARITZA REYES MATIZ</t>
  </si>
  <si>
    <t>DIANA MARCELA MURIEL ACEVEDO</t>
  </si>
  <si>
    <t>ELSA STELLA PARDO BAEZ</t>
  </si>
  <si>
    <t>LAURA BELKIS PARADA ROMERO</t>
  </si>
  <si>
    <t>CAMILA BEJARANO DAZA</t>
  </si>
  <si>
    <t>IVONNE ADRIANA BARRAGAN GOMEZ</t>
  </si>
  <si>
    <t>FRANCY NAYIBE CRIALES GUTIERREZ</t>
  </si>
  <si>
    <t>MARIA DEL PILAR MONDRAGON ACEVEDO</t>
  </si>
  <si>
    <t>GLORIA ROSALES SALCEDO</t>
  </si>
  <si>
    <t>REVISORIA FISCAL</t>
  </si>
  <si>
    <t>SANDRA LILIANA NOVOA</t>
  </si>
  <si>
    <t>LIBIA SUSANA URREGO RIVILLAS</t>
  </si>
  <si>
    <t>LIDICE  ALVAREZ MIÑO</t>
  </si>
  <si>
    <t>ROSA ELIZABETH VARGAS MELO</t>
  </si>
  <si>
    <t>LUZ DARY GUZMAN PEREZ</t>
  </si>
  <si>
    <t>CLAUDIA ANDREA VILLAMIZAR ROJAS</t>
  </si>
  <si>
    <t>JENNY CATHERINE CASTAÑEDA QUIROGA</t>
  </si>
  <si>
    <t>GINETH ANDREA CASTAÑEDA</t>
  </si>
  <si>
    <t>MARIA STELLA VELOZA BUITRAGO</t>
  </si>
  <si>
    <t>ELIANA MARIA ROJAS LA ROTTA</t>
  </si>
  <si>
    <t>MARTHA ELIZABETH FLOREZ CULMAN</t>
  </si>
  <si>
    <t>ROSA ELISA CRISTANCHO TORRES</t>
  </si>
  <si>
    <t>YADIRA GONZALEZ RUIZ</t>
  </si>
  <si>
    <t>LUZ STELLA GARCIA MONSALVE</t>
  </si>
  <si>
    <t>ADELA DEL PILAR DIAZ ACUÑA</t>
  </si>
  <si>
    <t>INGRID CONSTANZA PLAZAS PEÑA</t>
  </si>
  <si>
    <t>ANGELA MARIA MERCHAN BASABE</t>
  </si>
  <si>
    <t>DIRECTOR OFICINA DE ASEGURAMIENTO DE LA CALIDAD</t>
  </si>
  <si>
    <t>AURA MATILDE CARRERO USSA</t>
  </si>
  <si>
    <t>ELIZAROVA URREGO MARTINEZ</t>
  </si>
  <si>
    <t>NILSA LILIANA CRUZ SOLORZANO</t>
  </si>
  <si>
    <t>INES JIMENA RAMOS</t>
  </si>
  <si>
    <t>ZULY NORBELIA USME LOPEZ</t>
  </si>
  <si>
    <t>LILIANA DE JESUS MONROY BERMUDEZ</t>
  </si>
  <si>
    <t>MARY LUZ GOMEZ AMAYA</t>
  </si>
  <si>
    <t>LUZ YANETH GOMEZ AREVALO</t>
  </si>
  <si>
    <t>ALMA ALEXANDRA AGUDELO VELASQUEZ</t>
  </si>
  <si>
    <t>LILIANA ARTURO BARRIOS</t>
  </si>
  <si>
    <t>MANGELY LONDOÑO GUTIERREZ</t>
  </si>
  <si>
    <t>BRENDA SOFIA GOMEZ BERNAL</t>
  </si>
  <si>
    <t>YOLIMA ALVAREZ MUÑOZ</t>
  </si>
  <si>
    <t>LEYDIT DEYNETH GONZALEZ PERILLA</t>
  </si>
  <si>
    <t>ADRIANA DUARTE MATEUS</t>
  </si>
  <si>
    <t>MYRIAM EUGENIA PEÑA MARTINEZ</t>
  </si>
  <si>
    <t>CLAUDIA PATRICIA BENITEZ SANCHEZ</t>
  </si>
  <si>
    <t>ESCUELA DE INGENIERÍA Y TECNOLOGÍAS DE LA INFORMACIÓN</t>
  </si>
  <si>
    <t>DIANA DEL PILAR PULIDO PARADA</t>
  </si>
  <si>
    <t>LUISA FERNANDA TELLEZ ESCOBAR</t>
  </si>
  <si>
    <t>FLOMAR YELITHZA CASTILLO ALVAREZ</t>
  </si>
  <si>
    <t>ASESORA OFICINA DE MERCADEO</t>
  </si>
  <si>
    <t>MONICA MARCELA RODRIGUEZ SIERRA</t>
  </si>
  <si>
    <t>LUZ ANGELA LAMPREA RUGE</t>
  </si>
  <si>
    <t>CARMEN ALICIA ALBA RODRIGUEZ</t>
  </si>
  <si>
    <t>NANCY VANEGAS CUEVAS</t>
  </si>
  <si>
    <t>SANDRA YANNETH CELY CABEZA</t>
  </si>
  <si>
    <t>PAOLA KATHERINE VICTORINO TOVAR</t>
  </si>
  <si>
    <t>LUZ MARINA ORJUELA</t>
  </si>
  <si>
    <t>DEISY ASTRID CAMELO BUSTOS</t>
  </si>
  <si>
    <t>ADRIANA PALACIO GARCES</t>
  </si>
  <si>
    <t>MARISOL YOMARY FERNANDEZ AVILA</t>
  </si>
  <si>
    <t>SECRETARIA II</t>
  </si>
  <si>
    <t>LUZ MERY QUIROZ SANCHEZ</t>
  </si>
  <si>
    <t>INGRID TATIANA GARZON ROJAS</t>
  </si>
  <si>
    <t>LUZ DARY ANGEL TORRES</t>
  </si>
  <si>
    <t>DORA INES TORRES MALDONADO</t>
  </si>
  <si>
    <t>YANNETH ALEXANDRA BARRAGAN TORRES</t>
  </si>
  <si>
    <t>LILIANA LUCIA MELO CACERES</t>
  </si>
  <si>
    <t>LUZ MARINA VARGAS MORENO</t>
  </si>
  <si>
    <t>SANDRA LILIANA APONTE ROJAS</t>
  </si>
  <si>
    <t>LUISA FERNANDA CASTRO</t>
  </si>
  <si>
    <t>PAOLA MARROQUIN CIENDUA</t>
  </si>
  <si>
    <t>SANDRA MILENA RAMIREZ OROZCO</t>
  </si>
  <si>
    <t>ROCIO DEL PILAR RONCANCIO PEÑA</t>
  </si>
  <si>
    <t>CONSTANZA GALVIS MARTINEZ</t>
  </si>
  <si>
    <t>YOLANDA GARCIA RODRIGUEZ</t>
  </si>
  <si>
    <t>MARILU  GARCIA MORA</t>
  </si>
  <si>
    <t>MERY ELIZABETH CHAVEZ PEÑA</t>
  </si>
  <si>
    <t>YANETT AFANADOR AGUILAR</t>
  </si>
  <si>
    <t>MINERVA GAONA</t>
  </si>
  <si>
    <t>CLAUDIA JULIANA REYES ROJAS</t>
  </si>
  <si>
    <t>LIBER XIMENA RUEDA SABOGAL</t>
  </si>
  <si>
    <t>GLORIA PATRICIA AVILA SEGURA</t>
  </si>
  <si>
    <t>MONICA ADRIANA HINESTROSA BEJARANO</t>
  </si>
  <si>
    <t>BLANCA LESLY MARTINEZ GONZALEZ</t>
  </si>
  <si>
    <t>ESPERANZA MORALES</t>
  </si>
  <si>
    <t>SARA ISABEL GUZMAN GOMEZ</t>
  </si>
  <si>
    <t>LILIANA CAMACHO CARRERO</t>
  </si>
  <si>
    <t>CLAUDIA MARIA GOMEZ MARULANDA</t>
  </si>
  <si>
    <t>MARIA FERNANDA MUÑOZ</t>
  </si>
  <si>
    <t>DIDILMA BARRERA BAREÑO</t>
  </si>
  <si>
    <t>SONIA PATRICIA MORA JAIME</t>
  </si>
  <si>
    <t>LELY ADRIANA LUENGAS CONTRERAS</t>
  </si>
  <si>
    <t>MARTA PATRICIA NORIEGA RODRIGUEZ</t>
  </si>
  <si>
    <t>MYRIAM SORAYA SUAREZ ROJAS</t>
  </si>
  <si>
    <t>YOLIMA ABIGAIL SEGOVIA RODRIGUEZ</t>
  </si>
  <si>
    <t>GLENDA KARINA REINOSO VALENCIA</t>
  </si>
  <si>
    <t>ANA YAQUELINE CHAVARRO PARRA</t>
  </si>
  <si>
    <t>ANA SILVIA RUBIO CONTRERAS</t>
  </si>
  <si>
    <t>EMMA PATRICIA JIMENEZ VARGAS</t>
  </si>
  <si>
    <t>ANA MARIA FALLA MENDOZA</t>
  </si>
  <si>
    <t>SANDRA YANETH LOMBANA PACHECO</t>
  </si>
  <si>
    <t>ROCIO SUAREZ ALARCON</t>
  </si>
  <si>
    <t>NOHORA LUCIA ALVARADO AMADO</t>
  </si>
  <si>
    <t>NUBIA ELINA LOZANO SANCHEZ</t>
  </si>
  <si>
    <t>AUXILIAR DE SERVICIOS GENERALES ASEO</t>
  </si>
  <si>
    <t>JANNETH CIFUENTES PERALTA</t>
  </si>
  <si>
    <t>OLGA LUCIA RUIZ CONVERS</t>
  </si>
  <si>
    <t>DEISY DUARTE BARRERA</t>
  </si>
  <si>
    <t>MAURA IMELDA DIAZ CASTIBLANCO</t>
  </si>
  <si>
    <t>DIANA LUCERO PEÑA MOSQUERA</t>
  </si>
  <si>
    <t>MARTHA PATRICIA VARGAS MORENO</t>
  </si>
  <si>
    <t>SANDRA LUCIA CUBIDES CRUZ</t>
  </si>
  <si>
    <t>EDELMIRA PRIETO PINZON</t>
  </si>
  <si>
    <t>ANA CRISTINA VALBUENA ROJAS</t>
  </si>
  <si>
    <t>NANCY MOGOLLON CADENA</t>
  </si>
  <si>
    <t>JEFE OFICINA FINANCIERA</t>
  </si>
  <si>
    <t>COORDINACION FINANCIERA</t>
  </si>
  <si>
    <t>DIANA ALEXANDRA DUARTE BARRERA</t>
  </si>
  <si>
    <t>SANDRA PATRICIA DIAZ REYES</t>
  </si>
  <si>
    <t>SECRETARIA III</t>
  </si>
  <si>
    <t>LUZ MIRIAM PEREZ VERA</t>
  </si>
  <si>
    <t>YOLANDA FLOREZ MARTINEZ</t>
  </si>
  <si>
    <t>ADRIANA MARTINEZ HERRAN</t>
  </si>
  <si>
    <t>OLGA LUCIA ROJAS VILLAMIZAR</t>
  </si>
  <si>
    <t>BLANCA ELIZABETH TORO RUBIANO</t>
  </si>
  <si>
    <t>NAYIVE NIÑO CASTILLO</t>
  </si>
  <si>
    <t>MASSIEL ADRIANA MOSSOS JIMENEZ</t>
  </si>
  <si>
    <t>GLADYS PATRICIA ABDEL RAHIM GARZON</t>
  </si>
  <si>
    <t>OLGA LUCIA DIAZ VILLAMIZAR</t>
  </si>
  <si>
    <t>DIANA  OLIVEROS FORTICHEQUE</t>
  </si>
  <si>
    <t>SANDRA YANETH ORTIZ HEREDIA</t>
  </si>
  <si>
    <t>DAISSY LILIANA BUITRAGO ROBELTO</t>
  </si>
  <si>
    <t>LIGIA MABEL BOHORQUEZ CELIS</t>
  </si>
  <si>
    <t>AMANDA LUCIA NAVARRETE ANGARITA</t>
  </si>
  <si>
    <t>MARTA LUCIA LOMBANA ESCOBAR</t>
  </si>
  <si>
    <t>ANGELA MARIA VENEGAS ACERO</t>
  </si>
  <si>
    <t>DIRECTOR DE EGRESADOS</t>
  </si>
  <si>
    <t>OFICINA DE EGRESADOS</t>
  </si>
  <si>
    <t>LILIANA OVIEDO ZAPATA</t>
  </si>
  <si>
    <t>CIELO MORA SANTOYO</t>
  </si>
  <si>
    <t>PILAR VEGA RIAÑO</t>
  </si>
  <si>
    <t>OLGA LUCIA GARZON VANEGAS</t>
  </si>
  <si>
    <t>ALEJANDRA OROZCO GARCIA-MAYORCA</t>
  </si>
  <si>
    <t>GLADYS RUEDA PUERTO</t>
  </si>
  <si>
    <t>ELSA PATRICIA PLAZAS SALAMANCA</t>
  </si>
  <si>
    <t>ALBA LUCIA BELTRAN POVEDA</t>
  </si>
  <si>
    <t>MARIA DEL PILAR CASTAÑEDA LOMBANA</t>
  </si>
  <si>
    <t>GLORIA PATRICIA AREVALO CAICEDO</t>
  </si>
  <si>
    <t>MARITZA LAYNE BERNAL</t>
  </si>
  <si>
    <t>INES ADRIANA PRIETO DUQUE</t>
  </si>
  <si>
    <t>CLAUDIA PATRICIA GOMEZ ESPINOSA</t>
  </si>
  <si>
    <t>SANDRA CRISTINA BARRAGAN BECERRA</t>
  </si>
  <si>
    <t>SONIA CLEOTILDE RODRIGUEZ RIAPIRA</t>
  </si>
  <si>
    <t>OLGA LEONOR TORRES SANCHEQUEZ</t>
  </si>
  <si>
    <t>MARIA ANGELES LERMA CARREÑO</t>
  </si>
  <si>
    <t>MARIA TERESA VARGAS ROJAS</t>
  </si>
  <si>
    <t>GLORIA MARIA VEGA M</t>
  </si>
  <si>
    <t>ROSA ELIZABETH PLAZAS SALAMANCA</t>
  </si>
  <si>
    <t>MARTHA CARMENZA CASTELLANOS ROJAS</t>
  </si>
  <si>
    <t>MERCEDES BARDALES PARRA</t>
  </si>
  <si>
    <t>MARIA ISABEL LEON GALVEZ</t>
  </si>
  <si>
    <t>ROSA MARIA MARTINEZ GONZALEZ</t>
  </si>
  <si>
    <t>FABIOLA GARCIA ARISMENDI</t>
  </si>
  <si>
    <t>ALBA BEATRIZ CABRERA AVILA</t>
  </si>
  <si>
    <t>ESMERALDA GONZALEZ VILLAR</t>
  </si>
  <si>
    <t>DILIA INES MOLINA CUBILLOS</t>
  </si>
  <si>
    <t>NORHA ISMAELINA CASTILLO CASTRO</t>
  </si>
  <si>
    <t>LUZ DARY MUÑOZ</t>
  </si>
  <si>
    <t>MABEL ODILIA FARFAN</t>
  </si>
  <si>
    <t>CONSUELO INFANTE FLOREZ</t>
  </si>
  <si>
    <t>ASISTENTE DE BIBLIOTECA</t>
  </si>
  <si>
    <t>BEATRIZ  CABRAL VARGAS</t>
  </si>
  <si>
    <t>DORIS AMPARO BABATIVA NOVOA</t>
  </si>
  <si>
    <t>VIVIANA ELIZABETH TOVAR PARDO</t>
  </si>
  <si>
    <t>LUZ ANGELA VILLALBA BOGOTA</t>
  </si>
  <si>
    <t>CLAUDIA PILAR POVEDA CORTÉS</t>
  </si>
  <si>
    <t>CLAUDIA GONZALEZ GONZALEZ</t>
  </si>
  <si>
    <t>BLANCA CECILIA BARBOSA ALONSO</t>
  </si>
  <si>
    <t>ELVIA MARIA SOLER OLARTE</t>
  </si>
  <si>
    <t>TECNOLOGIA EN ADMINISTRACION DE INFORMATICA</t>
  </si>
  <si>
    <t>MARIA ELINA LISBETH LUGO DIAZ</t>
  </si>
  <si>
    <t>ESPERANZA RODRIGUEZ OVALLE</t>
  </si>
  <si>
    <t>CLAUDIA MARCELA DUARTE PULIDO</t>
  </si>
  <si>
    <t>ANA LUCIA PEÑA ESCANDON</t>
  </si>
  <si>
    <t>FLOR ANGELA PLAZAS RODRIGUEZ</t>
  </si>
  <si>
    <t>GLORIA NELCY HURTADO TORRES</t>
  </si>
  <si>
    <t>MARTHA  ALEXANDRA CAROLINA MALAGON DUQUE</t>
  </si>
  <si>
    <t>MYRIAM CASTELLANOS CANTOR</t>
  </si>
  <si>
    <t>FANNY STELLA DUQUE GOMEZ</t>
  </si>
  <si>
    <t>MARTHA LUCIA MORA SANTOYO</t>
  </si>
  <si>
    <t>SANDRA OFELIA RODRIGUEZ BERNAL</t>
  </si>
  <si>
    <t>APOYO INTEGRAL GESTION DOCUMENTAL</t>
  </si>
  <si>
    <t>GLORIA MARCELA DELGADO JIMENEZ</t>
  </si>
  <si>
    <t>MARIA CONSUELO NIETO CAMERO</t>
  </si>
  <si>
    <t>BEATRIZ CABRAL VARGAS</t>
  </si>
  <si>
    <t>RAQUEL CASTIBLANCO VANEGAS</t>
  </si>
  <si>
    <t>ELVIA SALAZAR LOPEZ</t>
  </si>
  <si>
    <t>DIANA MYREYA VALLEJO GONZALEZ</t>
  </si>
  <si>
    <t>LILIA ZABALA OSPINA</t>
  </si>
  <si>
    <t>MARIA CLAUDIA HERNANDEZ JOVEN</t>
  </si>
  <si>
    <t>MARTHA LUCIA MOYA PARDO</t>
  </si>
  <si>
    <t>RUTH FAISULY GOMEZ HERNANDEZ</t>
  </si>
  <si>
    <t>AIDA ABELLA CASTRO</t>
  </si>
  <si>
    <t>MARTHA PATRICIA SANABRIA NOPPE</t>
  </si>
  <si>
    <t>PROFESIONAL ESPECIALIZADO EN ASEGURA DE LA CALIDAD</t>
  </si>
  <si>
    <t>JACKELINE  GARCIA GOMEZ</t>
  </si>
  <si>
    <t>MARIA FERNANDA DIAZ HERNANDEZ</t>
  </si>
  <si>
    <t>MARITZA RUEDA GARCES</t>
  </si>
  <si>
    <t>MARIA CAROLINA PULIDO ROJAS</t>
  </si>
  <si>
    <t>JEANNETTE BOHORQUEZ WILCHES</t>
  </si>
  <si>
    <t>LUZ MARLEN MEDINA PORRAS</t>
  </si>
  <si>
    <t>INGA INES BELLO CARRILO</t>
  </si>
  <si>
    <t>MARIA ELSA UNRIZA PUIN</t>
  </si>
  <si>
    <t>CARMEN ROSA ALARCON SUAREZ</t>
  </si>
  <si>
    <t>ANGELA CRISTINA OCHOA SERRANO</t>
  </si>
  <si>
    <t>ANA MARIA CORRALES GOMEZ</t>
  </si>
  <si>
    <t>MARTHA NICOLASA AMAYA BECERRA</t>
  </si>
  <si>
    <t>ALBA ROCIO BETANCOURT TORO</t>
  </si>
  <si>
    <t>MARIA DEL ROSARIO ESCOBAR HERRERA</t>
  </si>
  <si>
    <t>COORDINADOR DE GRADUADOS</t>
  </si>
  <si>
    <t>LUZ DARY AMOROCHO VILLALBA</t>
  </si>
  <si>
    <t>ANA ELENA SALGADO HERRERA</t>
  </si>
  <si>
    <t>DIRECTOR DE CONTABILIDAD</t>
  </si>
  <si>
    <t>CECILIA GARZON DAZA</t>
  </si>
  <si>
    <t>MARIA ELENA SOFAN B</t>
  </si>
  <si>
    <t>MARTHA CECILIA VIDAL ARIZABALETA</t>
  </si>
  <si>
    <t>MARI BETSY MARTINEZ ANGARITA</t>
  </si>
  <si>
    <t>CLAUDIA CRISTINA SEGUANES DIAZ</t>
  </si>
  <si>
    <t>EDILIA MEJIA LANS</t>
  </si>
  <si>
    <t>KATIA CECILIA HUMANEZ PETRO</t>
  </si>
  <si>
    <t>DANI JOSE OCHOA OLIVAR</t>
  </si>
  <si>
    <t>SONIA JANNETH MARTINEZ GOMEZ</t>
  </si>
  <si>
    <t>LUIS EDUARDO RAMIREZ TOVAR</t>
  </si>
  <si>
    <t>CARL ALBERL BARBARESCO COLMENAREZ</t>
  </si>
  <si>
    <t>FELIX ANTONIO LOZANO MANCO</t>
  </si>
  <si>
    <t>LAURA MARCELA BALAN</t>
  </si>
  <si>
    <t>OLGA CECILIA ROJAS SANCHEZ</t>
  </si>
  <si>
    <t>SANDRA BEATRIZ MONTAÑA PANQUEBA</t>
  </si>
  <si>
    <t>DIANA CAROLINA FONSECA FONSECA</t>
  </si>
  <si>
    <t>DIANA CAROLINA HERRERA BARRIOS</t>
  </si>
  <si>
    <t>AMALIA RODRIGUEZ LASSO</t>
  </si>
  <si>
    <t>DIOSELINA FERNANDEZ PONGUTA</t>
  </si>
  <si>
    <t>MARIO CENON CEBALLOS VASQUEZ</t>
  </si>
  <si>
    <t>ERIKA PAEZ MALO</t>
  </si>
  <si>
    <t>BEATRIZ ELENA ORTIZ CASAS</t>
  </si>
  <si>
    <t>ALEXANDRA ABUCHAR PORRAS</t>
  </si>
  <si>
    <t>JUAN ALVARO CASTELLANOS</t>
  </si>
  <si>
    <t>MANUEL GUILLERMO CORREAL GAMBOA</t>
  </si>
  <si>
    <t>ANA MARIA CORREA DIAZ</t>
  </si>
  <si>
    <t>ANDREA ROCIO ZAMBRANO ORTIZ</t>
  </si>
  <si>
    <t>NAYIVE NIEVES PIMIENTO</t>
  </si>
  <si>
    <t>ELIZABETH JIMENEZ CASTAÑO</t>
  </si>
  <si>
    <t>TRINIDAD VANEGAS CASTAÑO</t>
  </si>
  <si>
    <t>ANA CAROLINA TABARES CASAS</t>
  </si>
  <si>
    <t>MANUEL ALFONSO LOZANO FORERO</t>
  </si>
  <si>
    <t>CAROLINA MALDONADO CELIS</t>
  </si>
  <si>
    <t>DORA MARIA MONTOYA PINEDA</t>
  </si>
  <si>
    <t>COORDINADOR OFICINA DE EGRESADOS</t>
  </si>
  <si>
    <t>CENTRO DE DESARROLLO EMPRESARIAL PARA EL EGRESADO</t>
  </si>
  <si>
    <t>HUGO RUIZ MARTINEZ</t>
  </si>
  <si>
    <t>PATRICIA BUSTAMANTE MARIN</t>
  </si>
  <si>
    <t>EDUARDO JULIO MARTINEZ MESA</t>
  </si>
  <si>
    <t>DELSAR ROBERTO GAYON TAVERA</t>
  </si>
  <si>
    <t>VIRNA DERLYZ GUERRA POLANIA</t>
  </si>
  <si>
    <t>PAULA MARCELA GONZALEZ RESTREPO</t>
  </si>
  <si>
    <t>NATALIA HERNANDEZ ALVAREZ</t>
  </si>
  <si>
    <t>KAROLYNA MARTINEZ ARANGO</t>
  </si>
  <si>
    <t>MARIA PATRICIA GIRALDO OSPINA</t>
  </si>
  <si>
    <t>CLAUDIA PATRICIA MERLANO MARTINEZ</t>
  </si>
  <si>
    <t>MARTHA LILIANA OROZCO FLOREZ</t>
  </si>
  <si>
    <t>GLORIA ESPERANZA PRIETO CORREA</t>
  </si>
  <si>
    <t>JUAN CARLOS LOPEZ BARRAGAN</t>
  </si>
  <si>
    <t>FRANCESCA RIVERA LONDOÑO</t>
  </si>
  <si>
    <t>VICERRECTOR DE BIENESTAR INSTITUCIONAL</t>
  </si>
  <si>
    <t>NURY RUIZ ARIAS</t>
  </si>
  <si>
    <t>ROSALBA MALAGON VILLAMIZAR</t>
  </si>
  <si>
    <t>ASTRID  GONZALEZ NARIÑO</t>
  </si>
  <si>
    <t>ROSA ELENA GOMEZ HURTADO</t>
  </si>
  <si>
    <t>FLOR ALBA AGUIRRE BAQUERO</t>
  </si>
  <si>
    <t>DONALIZA CANO CASTAÑO</t>
  </si>
  <si>
    <t>MARIA STELLA GUTIERREZ DE ZAMBRANO</t>
  </si>
  <si>
    <t>EMILIA  BUSTOS PINTO</t>
  </si>
  <si>
    <t>LILIA DIAZ RODRIGUEZ</t>
  </si>
  <si>
    <t>GLORIA INES CEBALLOS HURTADO</t>
  </si>
  <si>
    <t>LUZ MARINA FORERO MONSALVE</t>
  </si>
  <si>
    <t>HAYDEE GUZMAN RAMIREZ</t>
  </si>
  <si>
    <t>MARIA CLAUDIA MARQUEZ DAZA</t>
  </si>
  <si>
    <t>MYRIAM STELLA CANTOR GONZALEZ</t>
  </si>
  <si>
    <t>NUBIA CASTILLO GONZALEZ</t>
  </si>
  <si>
    <t>ESPERANZA CUEVAS TORRES</t>
  </si>
  <si>
    <t>MARIA MERCEDES CASTAÑEDA MONTENEGRO</t>
  </si>
  <si>
    <t>NOHORA LIGIA HEREDIA VIVEROS</t>
  </si>
  <si>
    <t>GLADYS MOGOLLON JAIME</t>
  </si>
  <si>
    <t>PATRICIA INES MARQUEZ DAZA</t>
  </si>
  <si>
    <t>CARLOS ALBERTO CERON</t>
  </si>
  <si>
    <t>NOHORA STELLA CARDENAS</t>
  </si>
  <si>
    <t>GLORIA HILDA CALDERON DE CALDERON</t>
  </si>
  <si>
    <t>ASISTENTE II DE CONTRATACION</t>
  </si>
  <si>
    <t>GLORIA ROSERO ACEVEDO</t>
  </si>
  <si>
    <t>LUCY ARANGO RAMIREZ</t>
  </si>
  <si>
    <t>MARTHA ALBA BONILLA ESTEVEZ</t>
  </si>
  <si>
    <t>OLGA MARITZA CAMACHO MORA</t>
  </si>
  <si>
    <t>MARTHA MARIA RINCON CANAL</t>
  </si>
  <si>
    <t>COORDINACION PRACTICAS FCEA</t>
  </si>
  <si>
    <t>CLARA INÉS QUINTERO ACOSTA</t>
  </si>
  <si>
    <t>MABEL QUINTERO CONTRERAS</t>
  </si>
  <si>
    <t>CLARA INES CALLE AGUDELO</t>
  </si>
  <si>
    <t>COORD. RELACIONES INTERNACIONALES Y EGRESADOS</t>
  </si>
  <si>
    <t>RELACIONES INTERNACIONALES Y EGRESADOS</t>
  </si>
  <si>
    <t>HILDA MARLEN RUBIO G</t>
  </si>
  <si>
    <t>MARTHA CLEMENCIA PINEDA AGUIRRE</t>
  </si>
  <si>
    <t>ALICIA MARIA LOPEZ RESTREPO</t>
  </si>
  <si>
    <t>CONSUELO MONTAÑO ARENAS</t>
  </si>
  <si>
    <t>COORDINADOR DE INVESTIGACIÓN</t>
  </si>
  <si>
    <t>EDITH BLANCO RUIZ</t>
  </si>
  <si>
    <t>NOHELIA RIOS OCAMPO</t>
  </si>
  <si>
    <t>MARIA BETSY MARTINEZ</t>
  </si>
  <si>
    <t>ROSABEL GOMEZ PEDRAZA</t>
  </si>
  <si>
    <t>ANA JULIA ALFONSO DELGADO</t>
  </si>
  <si>
    <t>HILDA LUCIA DE LA PEÑA</t>
  </si>
  <si>
    <t>GLORIA TOQUICA DE ALVARADO</t>
  </si>
  <si>
    <t>GLORIA TOQUICA MONROY</t>
  </si>
  <si>
    <t>LUCY ELENA CAMPO GOMEZ</t>
  </si>
  <si>
    <t>EVELYN OTALORA PINEDA</t>
  </si>
  <si>
    <t>ANA MARIA GUERRERO</t>
  </si>
  <si>
    <t>CARMEN LUCIA GOMEZ PULIDO</t>
  </si>
  <si>
    <t>ELSA RODRIGUEZ MARTINEZ</t>
  </si>
  <si>
    <t>MYRIAM VELASQUEZ BUSTOS</t>
  </si>
  <si>
    <t>GLORIA MARIA PARRA MORA</t>
  </si>
  <si>
    <t>MYRIAM ORTEGA BOHORQUEZ</t>
  </si>
  <si>
    <t>AMPARO RADA ORTIZ</t>
  </si>
  <si>
    <t>MARIA DEL ROSARIO SAAVEDRA</t>
  </si>
  <si>
    <t>LILIA CELINA CARDENAS DE FERNANDEZ</t>
  </si>
  <si>
    <t>LUCY SOTO CORREA</t>
  </si>
  <si>
    <t>NANCY ESTHER CARDENAS ESPINOSA</t>
  </si>
  <si>
    <t>FANNY ISMENIA BARRETO DE LANGTON</t>
  </si>
  <si>
    <t>FAIRYS ASTRID MINDIOLA DAZA</t>
  </si>
  <si>
    <t>SIOVANNY LISBETH CONTRERAS SARMIENTO</t>
  </si>
  <si>
    <t>INDALECIO CASTELLANOS LOPEZ</t>
  </si>
  <si>
    <t>BLANCA LUCIA SALAZAR VILLEGAS</t>
  </si>
  <si>
    <t>ALBINA QUEZADA BARRERA</t>
  </si>
  <si>
    <t>CLARA LUCIA ENCISO BORDA</t>
  </si>
  <si>
    <t>MARIA ANGELICA GARAY CASTRO</t>
  </si>
  <si>
    <t>LILIANA PEÑUELA MUÑOZ</t>
  </si>
  <si>
    <t>ALICE ANDREA CORTES MORENO</t>
  </si>
  <si>
    <t>ELENA LUQUE FERREIRA</t>
  </si>
  <si>
    <t>DIRECTORA OFICINA DE PRENSA Y RELACIONES PUBLICAS</t>
  </si>
  <si>
    <t>LUISA  FERNANDA RICAURTE LOPEZ</t>
  </si>
  <si>
    <t>MARGARITA BRICEÑO DELGADO</t>
  </si>
  <si>
    <t>CLAUDIA PATRICIA SALAS FORERO</t>
  </si>
  <si>
    <t>LUZ ESPERANZA MORA MARTINEZ</t>
  </si>
  <si>
    <t>MARY LEONOR CARREÑO GARZON</t>
  </si>
  <si>
    <t>CLARA ELIZABETH MARROQUIN BELTRAN</t>
  </si>
  <si>
    <t>BERTHA PATRICIA TELLEZ HERRERA</t>
  </si>
  <si>
    <t>MARIA DEL CARMEN GUARIN VARGAS</t>
  </si>
  <si>
    <t>LUZ ANDREA RODRIGUEZ ROJAS</t>
  </si>
  <si>
    <t>YOLANDA  SIERRA ROZO</t>
  </si>
  <si>
    <t>LIGIA ESPERANZA LEAÑO MUÑOZ</t>
  </si>
  <si>
    <t>LOLA VIVIANA ESGUERRA VILLAMIZAR</t>
  </si>
  <si>
    <t>LEONOR VARGAS DELGADILLO</t>
  </si>
  <si>
    <t>DIANA MARIA BURBANO GONZALEZ</t>
  </si>
  <si>
    <t>ALVARO GAMBOA RAMIREZ</t>
  </si>
  <si>
    <t>MARIA DEL ROSARIO TRIANA VENEGAS</t>
  </si>
  <si>
    <t>YULEIMA BARRERO DUEÑAS</t>
  </si>
  <si>
    <t>MARICELA FRAILE RINCON</t>
  </si>
  <si>
    <t>LEYLA ELVIRA RAMIREZ VASQUEZ</t>
  </si>
  <si>
    <t>CLAUDIA  RUIZ</t>
  </si>
  <si>
    <t>SANDRA ANEHIDA VANEGAS PEDRAZA</t>
  </si>
  <si>
    <t>ASISTENTE III COORDINACION DE NOMINA</t>
  </si>
  <si>
    <t>MARIA ESPERANZA DIAZ CANO</t>
  </si>
  <si>
    <t>LEIDY ALEXANDRA DIMATE ROMERO</t>
  </si>
  <si>
    <t>FERNANDO JOSE MOLINA CASTAÑO</t>
  </si>
  <si>
    <t>YOLANDA MORENO MUÑOZ</t>
  </si>
  <si>
    <t>DAHYANA MILDREY GODOY TORRES</t>
  </si>
  <si>
    <t>SANDRA JANNETH MONTILLA CRIALES</t>
  </si>
  <si>
    <t>LIDER DE CONTABILIDAD</t>
  </si>
  <si>
    <t>NELIDA CARDENAS VERGAÑO</t>
  </si>
  <si>
    <t>RUTH VILLAMARIN RENTERIA</t>
  </si>
  <si>
    <t>PILAR DEL ROSARIO PEÑALOZA BERNAL</t>
  </si>
  <si>
    <t>MARIA JULIA GUERRERO CASTELLANOS</t>
  </si>
  <si>
    <t>APOYO INTEGRAL ADMINISTRATIVO</t>
  </si>
  <si>
    <t>ALEXANDRA DEL PILAR TORRES CRUZ</t>
  </si>
  <si>
    <t>JANETH CHACON HERNANDEZ</t>
  </si>
  <si>
    <t>ADRIANA ECHAVARRIA QUIROZ</t>
  </si>
  <si>
    <t>MABEL ESPERANZA FERNANDEZ HERRERA</t>
  </si>
  <si>
    <t>MARIA STELLA SILVA NUBAN</t>
  </si>
  <si>
    <t>ZORAIDA RIOS HOLGUIN</t>
  </si>
  <si>
    <t>MYRIAM  MARIN</t>
  </si>
  <si>
    <t>MARIA CONSUELO MORANTES</t>
  </si>
  <si>
    <t>SANDRA FABIOLA GONZALEZ GOMEZ</t>
  </si>
  <si>
    <t>MARTHA YANETH GUARIN</t>
  </si>
  <si>
    <t>YOLANDA MORALES ARIAS</t>
  </si>
  <si>
    <t>MARIA VICTORIA CORZO ORTEGA</t>
  </si>
  <si>
    <t>CAROLINA  PEDRAZA LOPEZ</t>
  </si>
  <si>
    <t>MALLERLY ULLOQUE RODRIGUEZ</t>
  </si>
  <si>
    <t>SANDRA DEL PILAR BAYONA CLAVIJO</t>
  </si>
  <si>
    <t>AMPARO  OJEDA REVELO</t>
  </si>
  <si>
    <t>MARIA FERNANDA SOTO GODOY</t>
  </si>
  <si>
    <t>SANDRA MILENA ÑAÑEZ URBANO</t>
  </si>
  <si>
    <t>MARGARITA CHARRY DUSSAN</t>
  </si>
  <si>
    <t>ROSABEL  PULIDO DE ZUÑIGA</t>
  </si>
  <si>
    <t>SONIA PATRICIA BUSTOS RINCON</t>
  </si>
  <si>
    <t>NANCY CRUZ HERNANDEZ</t>
  </si>
  <si>
    <t>MYRIAM JACQUELINE FUENTES CABRERA</t>
  </si>
  <si>
    <t>MARIA CONSUELO DE LAS MERCEDES CAICEDO TORO</t>
  </si>
  <si>
    <t>NUBIA ALEGRIA VELASQUEZ ROJAS</t>
  </si>
  <si>
    <t>MARTHA LUCIA PEÑALOSA B</t>
  </si>
  <si>
    <t>ALICIA  VALENZUELA</t>
  </si>
  <si>
    <t>GLADYS MERINO RICARDO</t>
  </si>
  <si>
    <t>ROSALBA SALAZAR VARGAS</t>
  </si>
  <si>
    <t>NUBIA DEYSSY HEREDIA GOMEZ</t>
  </si>
  <si>
    <t>MYRIAM  GARCIA CASTAÑEDA</t>
  </si>
  <si>
    <t>LUZ ESPERANZA BUSTOS SIERRA</t>
  </si>
  <si>
    <t>LUZ ANGELA MERCHAN INFANTE</t>
  </si>
  <si>
    <t>OSCAR HELI ARBELAEZ GARCES</t>
  </si>
  <si>
    <t>EDNA ROSA HURTADO TIMANA</t>
  </si>
  <si>
    <t>MARTHA CECILIA GONZALEZ MUÑOZ</t>
  </si>
  <si>
    <t>CARLOS ITALO LOBOS OCANTO</t>
  </si>
  <si>
    <t>JEFE LOGISTICA Y SERVICIOS GENERALES</t>
  </si>
  <si>
    <t>MELISSA GOMEZ HERNANDEZ</t>
  </si>
  <si>
    <t>ESPERANZA  SALAMANCA</t>
  </si>
  <si>
    <t>MORAIMA DEL CARMEN SALON VILLALBA</t>
  </si>
  <si>
    <t>DIANA MARGARITA SOTO HERNANDEZ</t>
  </si>
  <si>
    <t>MERLY MARIA BERNAL  LLANOS</t>
  </si>
  <si>
    <t>ROSA FILVERANIA TRUJILLO RENDON</t>
  </si>
  <si>
    <t>TECNOLOGIA EN ADMINISTRACION FINANCIERA</t>
  </si>
  <si>
    <t>ALBA CECILIA ZULUAGA BETANCURT</t>
  </si>
  <si>
    <t>GLORIA GALLEGO POSADA</t>
  </si>
  <si>
    <t>ALIRIO AGUIRRE RAMIREZ</t>
  </si>
  <si>
    <t>NINA PATRICIA GOMEZ DE DIAZ</t>
  </si>
  <si>
    <t>NELSON CADENA SANCHEZ</t>
  </si>
  <si>
    <t>RICARDO SOTO PINZON</t>
  </si>
  <si>
    <t>ALEJANDRO BORDA RIVAS</t>
  </si>
  <si>
    <t>DARIO FERNANDO LEON ROJAS</t>
  </si>
  <si>
    <t>YUDY YIRLEZA RAMIREZ MORENO</t>
  </si>
  <si>
    <t>VICTOR JULIO ARIAS</t>
  </si>
  <si>
    <t>LUIS ALFONSO GONZALEZ GARCIA</t>
  </si>
  <si>
    <t>CARLOS JULIO TRIVIÑO BOHORQUEZ</t>
  </si>
  <si>
    <t>RAÚL GUILLERMO CASTILLO RAMIREZ</t>
  </si>
  <si>
    <t>RICARDO ESTEBAN FORERO VASQUEZ</t>
  </si>
  <si>
    <t>MARIA ANTONIETA CANO ACOSTA</t>
  </si>
  <si>
    <t>CAROLINA CHICA CADAVID</t>
  </si>
  <si>
    <t>BEATRIZ HELENA ALVAREZ LONDOÑO</t>
  </si>
  <si>
    <t>MARTHA CECILIA SANTAFE CONTRERAS</t>
  </si>
  <si>
    <t>MARIA ISABEL DE CASTRO DE LOS RIOS</t>
  </si>
  <si>
    <t>PATRICIA ZARAZA IBARRA</t>
  </si>
  <si>
    <t>MARIA CENEIDA GOMEZ TORO</t>
  </si>
  <si>
    <t>GUILLERMO MENDEZ HEREDIA</t>
  </si>
  <si>
    <t>JUAN CARLOS MANCILLA LAGUNA</t>
  </si>
  <si>
    <t>ELIANA GARZON DUARTE</t>
  </si>
  <si>
    <t>LUIS ANTONIO ROMERO VALERO</t>
  </si>
  <si>
    <t>LUIS FERNANDO GARCIA NUÑEZ</t>
  </si>
  <si>
    <t>FABIO CARDENAS LOPEZ</t>
  </si>
  <si>
    <t>MAGALLY HERNANDEZ OSPINA</t>
  </si>
  <si>
    <t>VICTOR MANUEL ARIAS MARTINEZ</t>
  </si>
  <si>
    <t>LUZ DARYS VANEGAS QUIROGA</t>
  </si>
  <si>
    <t>NIDIA PEREZ MALDONADO</t>
  </si>
  <si>
    <t>MARTHA LETICIA AGUIRRE QUINTERO</t>
  </si>
  <si>
    <t>JOHANNA ANDREA VELASQUEZ MORALES</t>
  </si>
  <si>
    <t>MARIA ANGELICA MARTINEZ CAMPOS</t>
  </si>
  <si>
    <t>MARIA CONSTANZA SUAREZ BONILLA</t>
  </si>
  <si>
    <t>LUISA FERNANDA CIRO MORENO</t>
  </si>
  <si>
    <t>AMPARO RUEDA JAIMES</t>
  </si>
  <si>
    <t>ELIZABETH MARIE MASTURZO</t>
  </si>
  <si>
    <t>DORIS BENHUR JAIMES ARCINIEGAS</t>
  </si>
  <si>
    <t>YELITZA YANIVER PARRA GUERRERO</t>
  </si>
  <si>
    <t>WALTER NATALIO VALDEZ MONTAÑEZ</t>
  </si>
  <si>
    <t>GLORIA MARIA MEJIA DE BOTERO</t>
  </si>
  <si>
    <t>BLANCA LIBIA ARIAS CASTELLANOS</t>
  </si>
  <si>
    <t>LIBIA TORO TORO</t>
  </si>
  <si>
    <t>MIREYA RUBIANO MELO</t>
  </si>
  <si>
    <t>EUNICE MISE AYALA</t>
  </si>
  <si>
    <t>MIRIAM PATRICIA RONCANCIO FLOREZ</t>
  </si>
  <si>
    <t>MARIA BRICEIDA ALFONSO GARCIA</t>
  </si>
  <si>
    <t>GLADYS YADIRA PEREZ RODRIGUEZ</t>
  </si>
  <si>
    <t>EDITH ZENAIDA CAICEDO GUTIERREZ</t>
  </si>
  <si>
    <t>LUZ NERY CORREDOR SOSA</t>
  </si>
  <si>
    <t>SONIA MARGARITA PAEZ PINILLA</t>
  </si>
  <si>
    <t>NUBIA ISABEL DELGADILLO RAMOS</t>
  </si>
  <si>
    <t>CARMEN CECILIA VILLAMIL MONTAÑEZ</t>
  </si>
  <si>
    <t>MARITZA DEL  CARMEN ESTRADA GAIBAO</t>
  </si>
  <si>
    <t>ADRIANA RODRIGUEZ ACOSTA</t>
  </si>
  <si>
    <t>JEFE</t>
  </si>
  <si>
    <t>BLANCA ISABEL BUSTOS VIDES</t>
  </si>
  <si>
    <t>VIVIAN GAGLIANI GOMEZ</t>
  </si>
  <si>
    <t>ZUNILDA ROSA PABON MARTINEZ</t>
  </si>
  <si>
    <t>PROFESIONAL - AUTOEVALUACIÓN Y RETENCIÓN</t>
  </si>
  <si>
    <t>MARTHA ELIZABETH BARBOSA MANRIQUE</t>
  </si>
  <si>
    <t>ALEXANDRA VILLALOBOS PEREZ</t>
  </si>
  <si>
    <t>ROSA FRANCISCA LOPEZ RODRIGUEZ</t>
  </si>
  <si>
    <t>NAYIBE CARVAJAL GUTIERREZ</t>
  </si>
  <si>
    <t>PROFESIONAL - CONTABLE</t>
  </si>
  <si>
    <t>ANA ROSA MELO MURILLO</t>
  </si>
  <si>
    <t>LUZ MIREYA GOMEZ SALAMANCA</t>
  </si>
  <si>
    <t>KARENT ANGELICA DIAZ RIOS</t>
  </si>
  <si>
    <t>GLORIA CECILIA ZABALA BASTIDAS</t>
  </si>
  <si>
    <t>CLAUDIA GARZON CORTES</t>
  </si>
  <si>
    <t>AMANDA MOYA DE BERNAL</t>
  </si>
  <si>
    <t>COORDINADOR SEDE COMPENSAR</t>
  </si>
  <si>
    <t>ANGELA MARCELA CASTELLANOS BARBOSA</t>
  </si>
  <si>
    <t>MARIA TERESA BARRERO VELASQUEZ</t>
  </si>
  <si>
    <t>CAROL BIBIANA ROMERO CAÑON</t>
  </si>
  <si>
    <t>JULIO ELMER DE LA RUE GUTIERREZ</t>
  </si>
  <si>
    <t>CARLOS JULIO CRUZ ROMERO</t>
  </si>
  <si>
    <t>ROBERT OSORIO TORRES</t>
  </si>
  <si>
    <t>JOSE ARMANDO RUIZ CALDERON</t>
  </si>
  <si>
    <t>SEGUNDO OCTAVIO JIMENEZ MARTINEZ</t>
  </si>
  <si>
    <t>ARISTARCO LOPEZ TALERO</t>
  </si>
  <si>
    <t>LUIS HERNAN ALVAREZ</t>
  </si>
  <si>
    <t>FERNANDO  MARTINEZ GIL</t>
  </si>
  <si>
    <t>FAUSTINO CASTIBLANCO VARGAS</t>
  </si>
  <si>
    <t>ALVARO GARCIA ALARCON</t>
  </si>
  <si>
    <t>LUIS ORLANDO JIMENEZ MONTES</t>
  </si>
  <si>
    <t>SILVIO GUSTAVO VERTEL TRILLOS</t>
  </si>
  <si>
    <t>ALVARO ARIZA SERRANO</t>
  </si>
  <si>
    <t>JAIRO LOPEZ MENDIVELSO</t>
  </si>
  <si>
    <t>LUIS FERNANDO CEBALLOS HURTADO</t>
  </si>
  <si>
    <t>HENRY GONZALEZ NOVOA</t>
  </si>
  <si>
    <t>HENRY EDUARDO CASTELLANOS MACIAS</t>
  </si>
  <si>
    <t>JUAN CARLOS ANDRES BUSTOS GOMEZ</t>
  </si>
  <si>
    <t>RICARDO HOYOS BALLESTEROS</t>
  </si>
  <si>
    <t>DIRECTOR OFICINA DE MERCADEO</t>
  </si>
  <si>
    <t>ORLANDO ALBERTO ORTIZ SANCHEZ</t>
  </si>
  <si>
    <t>JUAN  DE JESUS RUIZ GONZALEZ</t>
  </si>
  <si>
    <t>EDGAR ALBERTO CAICEDO VELASCO</t>
  </si>
  <si>
    <t>CARLOS HERNANDO VALDES CRUZ</t>
  </si>
  <si>
    <t>ORLANDO AMILCAR JARAMILLO DIAZ</t>
  </si>
  <si>
    <t>ALVARO EMIRO BEJARANO BUSTOS</t>
  </si>
  <si>
    <t>LUIS ENRIQUE PANCHE MAYORGA</t>
  </si>
  <si>
    <t>ALIRIO AUGUSTO AGUILERA RODRIGUEZ</t>
  </si>
  <si>
    <t>JAIRO CARRERO ARIAS</t>
  </si>
  <si>
    <t>MIGUEL MANRIQUE CORDOBA</t>
  </si>
  <si>
    <t>NESTOR  JOSE PARDO RICAURTE</t>
  </si>
  <si>
    <t>LUIS ALFONSO AMAYA FRANCO</t>
  </si>
  <si>
    <t>SIGIFREDO VALLEJO CASTRO</t>
  </si>
  <si>
    <t>JAVIER FLOREZ MIRANDA</t>
  </si>
  <si>
    <t>JAIME ALFONSO MARTINEZ JURADO</t>
  </si>
  <si>
    <t>LUIS FERNANDO PAEZ TRUJILLO</t>
  </si>
  <si>
    <t>LUIS GONZALO BENAVIDES RAMIREZ</t>
  </si>
  <si>
    <t>ISMAEL ALMONACID GONZALEZ</t>
  </si>
  <si>
    <t>TECNICO II TALLER DE PUBLICACIONES</t>
  </si>
  <si>
    <t>RICARDO ROJAS LOPEZ</t>
  </si>
  <si>
    <t>MARCO TULIO URUEÑA BOLAÑOS</t>
  </si>
  <si>
    <t>JORGE ALBERTO PUERTO VEGA</t>
  </si>
  <si>
    <t>CARLOS ALBERTO ORTIZ VIVEROS</t>
  </si>
  <si>
    <t>EFRAIN RICARDO URIBE MOYA</t>
  </si>
  <si>
    <t>JULIO CESAR PUERTO CORTES</t>
  </si>
  <si>
    <t>JAVIER CORREA CORREA</t>
  </si>
  <si>
    <t>JAIRO ALFONSO SIERRA CARRILLO</t>
  </si>
  <si>
    <t>IVAN RENE LEON GARZON</t>
  </si>
  <si>
    <t>JUAN FERNANDO VELÁSQUEZ CARRANZA</t>
  </si>
  <si>
    <t>CARLOS ENRIQUE PIRACHICAN SUESCA</t>
  </si>
  <si>
    <t>MARCO HERIBERTO MALDONADO MESA</t>
  </si>
  <si>
    <t>ROBERTO SEPULVEDA ROMERO</t>
  </si>
  <si>
    <t>LUIS RICARDO GARCIA CIFUENTES</t>
  </si>
  <si>
    <t>MAURICIO JAVIER LEON CARDENAS</t>
  </si>
  <si>
    <t>ALVARO SANDOVAL RUBIO</t>
  </si>
  <si>
    <t>JOSE IGNACIO DUARTE GARCIA</t>
  </si>
  <si>
    <t>ASESOR DE PROYECTOS ESPECIALES</t>
  </si>
  <si>
    <t>HERNANDO PEREA BASTIDAS</t>
  </si>
  <si>
    <t>ALEXIS BARAJAS MORALES</t>
  </si>
  <si>
    <t>RAFAEL ENRIQUE FAJARDO CASTRO</t>
  </si>
  <si>
    <t>RAUL GERARDO WIESNER BARROS</t>
  </si>
  <si>
    <t>LUIS EDUARDO VALENZUELA MELO</t>
  </si>
  <si>
    <t>JOSE LAUREANO MARTA GAVIRIA</t>
  </si>
  <si>
    <t>WILLIAM FERNANDO MOYANO DIAZ</t>
  </si>
  <si>
    <t>ALEX FERNANDO ROMERO ZUBIETA</t>
  </si>
  <si>
    <t>JESUS VIDAL ARIAS ROJAS</t>
  </si>
  <si>
    <t>JOSE ARNULFO PEDRAZA PEREZ</t>
  </si>
  <si>
    <t>OSCAR HERNAN PINILLOS BOHORQUEZ</t>
  </si>
  <si>
    <t>EDGAR ARABI RUSINKE CASTRO</t>
  </si>
  <si>
    <t>HAROLD HUMBERTO SARMIENTO RAMIREZ</t>
  </si>
  <si>
    <t>MARIO AUGUSTO LOPEZ RODRIGUEZ</t>
  </si>
  <si>
    <t>CESAR  DELGADO</t>
  </si>
  <si>
    <t>LUIS ALBERTO FOLLECO MORA</t>
  </si>
  <si>
    <t>VICTOR  DIUSABA</t>
  </si>
  <si>
    <t>RICARDO TEODORO JIMENEZ MARTINEZ</t>
  </si>
  <si>
    <t>CARLOS AMILCAR BARRERA GUARIN</t>
  </si>
  <si>
    <t>RAFAEL ARMANDO RODRIGUEZ OSORNO</t>
  </si>
  <si>
    <t>EDGAR VALERO CABEZAS</t>
  </si>
  <si>
    <t>CARLOS HERNANDO PINZON</t>
  </si>
  <si>
    <t>JAVIER HERNAN CUFIÑO CUFIÑO</t>
  </si>
  <si>
    <t>SAUL MALDONADO MALDONADO</t>
  </si>
  <si>
    <t>FRANCISCO DOMINGO MOLINA PEÑUELA</t>
  </si>
  <si>
    <t>VICTOR MANUEL PEREZ HERNANDEZ</t>
  </si>
  <si>
    <t>CARLOS ALBERTO CASTIBLANCO VARGAS</t>
  </si>
  <si>
    <t>FERNANDO ENRIQUE CALDERON MARTINEZ</t>
  </si>
  <si>
    <t>MANUEL JOSE PEREZ DIAZ</t>
  </si>
  <si>
    <t>RAFAEL NICOLAS MENDIETA JARAMILLO</t>
  </si>
  <si>
    <t>RAUL ADAMES GOMEZ</t>
  </si>
  <si>
    <t>EDGAR PALACINO ANTIA</t>
  </si>
  <si>
    <t>HELMAN  CASTAÑEDA CASTAÑEDA</t>
  </si>
  <si>
    <t>FERNANDO ALBERTO LAMPREA OCHOA</t>
  </si>
  <si>
    <t>ARNULFO  ARIAS MARIN</t>
  </si>
  <si>
    <t>HUGO BORRAEZ HEREDIA</t>
  </si>
  <si>
    <t>ALEJANDRO  MARTINEZ</t>
  </si>
  <si>
    <t>JOSE EULOGIO GUTIERREZ MUÑOZ</t>
  </si>
  <si>
    <t>DANIEL EMILIO CAMARGO REYES</t>
  </si>
  <si>
    <t>LEON DARIO MUÑOZ ALVAREZ</t>
  </si>
  <si>
    <t>VESPASIANO JARAMILLO BARON</t>
  </si>
  <si>
    <t>MANUEL GUERRERO VILLAGRAN</t>
  </si>
  <si>
    <t>CARLOS ARMANDO MARIN</t>
  </si>
  <si>
    <t>JULIO CESAR DAZA LARROTA</t>
  </si>
  <si>
    <t>JAIRO MILCIADES MOSCOSO FONSECA</t>
  </si>
  <si>
    <t>ACTIVOS FIJOS</t>
  </si>
  <si>
    <t>JORGE AUGUSTO VALENCIA</t>
  </si>
  <si>
    <t>HELMER ANTONIO DOMINGUEZ RIVERA</t>
  </si>
  <si>
    <t>WILLIAM CRUZ MORALES</t>
  </si>
  <si>
    <t>IVAN  OSORIO MARTINEZ</t>
  </si>
  <si>
    <t>GUILLERMO LEON RUIZ VICTORIA</t>
  </si>
  <si>
    <t>ALVARO HERNANDO MONCAYO GOMEZ</t>
  </si>
  <si>
    <t>ALEXANDER ANTONIO MESTRE HERNANDEZ</t>
  </si>
  <si>
    <t>GONZALO ERNESTO GUERRERO AMAYA</t>
  </si>
  <si>
    <t>ALBERTO LEON RIVAS</t>
  </si>
  <si>
    <t>LUIS ALBERTO RAMIREZ MALAGON</t>
  </si>
  <si>
    <t>JAIME PEDRAZA FORERO</t>
  </si>
  <si>
    <t>MARIO GERMAN MORENO MARTINEZ</t>
  </si>
  <si>
    <t>LUIS GUILLERMO SANCHEQUEZ ALDANA</t>
  </si>
  <si>
    <t>VÍCTOR MANUEL RAMÍREZ BUITRAGO</t>
  </si>
  <si>
    <t>LUIS CARLOS CAICEDO MARTINEZ</t>
  </si>
  <si>
    <t>FRANCISCO JAVIER MOSQUERA FERNANDEZ</t>
  </si>
  <si>
    <t>JOSE ANGEL BELTRAN C</t>
  </si>
  <si>
    <t>CARLOS ARTURO OSORIO GOMEZ</t>
  </si>
  <si>
    <t>RODOLFO  BELLO LEMUS</t>
  </si>
  <si>
    <t>AUGUSTO ROJAS OSORIO</t>
  </si>
  <si>
    <t>LUIS FRANCISCO PEÑA ANGULO</t>
  </si>
  <si>
    <t>GERMAN ENRIQUE URDINOLA SANABRIA</t>
  </si>
  <si>
    <t>JORGE HUMBERTO RODRIGUEZ MARTINEZ</t>
  </si>
  <si>
    <t>VICERRECTOR ADMINISTRATIVO</t>
  </si>
  <si>
    <t>GABRIEL FERNANDO LIEVANO QUIMBAY</t>
  </si>
  <si>
    <t>OMAR DURABIO QUEVEDO MALDONADO</t>
  </si>
  <si>
    <t>VICTOR HUGO VERGARA VERGARA</t>
  </si>
  <si>
    <t>JOSE MARIA TELLO URBANO</t>
  </si>
  <si>
    <t>CARLOS ARTURO PEREZ DIAZ</t>
  </si>
  <si>
    <t>JOSE MANUEL ALARCON VILLAR</t>
  </si>
  <si>
    <t>GONZALO SOLANO BAUQUE</t>
  </si>
  <si>
    <t>RAUL ALBERTO DUARTE GOMEZ</t>
  </si>
  <si>
    <t>RAUL EDUARDO REYES BERMUDEZ</t>
  </si>
  <si>
    <t>HUMBERTO  GONZALEZ RAMOS</t>
  </si>
  <si>
    <t>LUIS ALEJANDRO HERNANDEZ PULIDO</t>
  </si>
  <si>
    <t>CARLOS JULIO RODRIGUEZ BARRAGAN</t>
  </si>
  <si>
    <t>OCTAVIO BUSTAMANTE MURCIA</t>
  </si>
  <si>
    <t>EDGAR ERNESTO CARO RAMIREZ</t>
  </si>
  <si>
    <t>JORGE ELIECER OCHOA ROJAS</t>
  </si>
  <si>
    <t>ALVARO JOSE MANUEL GOENAGA DE BEDOUT</t>
  </si>
  <si>
    <t>JAIME LEMUS CARDOZO</t>
  </si>
  <si>
    <t>FABIO VILLAMIZAR RODRIGUEZ</t>
  </si>
  <si>
    <t>ORLANDO CASTRO ACEVEDO</t>
  </si>
  <si>
    <t>EDGAR MARIO TORRES VARGAS</t>
  </si>
  <si>
    <t>ALFREDO GHISAYS RUIZ</t>
  </si>
  <si>
    <t>MANUEL ENRIQUE BOLIVAR GODOY</t>
  </si>
  <si>
    <t>DANIEL RAFAEL ARANGO LISCHT</t>
  </si>
  <si>
    <t>MARCO AUGUSTO ALBA TORRES</t>
  </si>
  <si>
    <t>LOPE MEDINA MOLANO</t>
  </si>
  <si>
    <t>CESAR  BECERRRA</t>
  </si>
  <si>
    <t>JOSE HOBBER RODRIGUEZ SANCHEZ</t>
  </si>
  <si>
    <t>NELSON JAVIER CARVAJAL CALDERON</t>
  </si>
  <si>
    <t>CARLOS JULIO DELGADILLO ROJAS</t>
  </si>
  <si>
    <t>EMEL JULIO DÍAZ DÍAZ</t>
  </si>
  <si>
    <t>CARLOS MANUEL ARIAS GUERRERO</t>
  </si>
  <si>
    <t>GONZALO HERNAN AMADOR CASTELLANOS</t>
  </si>
  <si>
    <t>MANUEL ANTONIO PEREZ RODRIGUEZ</t>
  </si>
  <si>
    <t>JESUS ANTONIO SORIANO AVILA</t>
  </si>
  <si>
    <t>RODRIGO JAVIER ALEJANDRO MACHADO SIERRA</t>
  </si>
  <si>
    <t>CARLOS MAURICIO ZULETA GAONA</t>
  </si>
  <si>
    <t>JORGE ENRIQUE RODRIGUEZ MORENO</t>
  </si>
  <si>
    <t>LUIS ALEJANDRO LESMES CARRILLO</t>
  </si>
  <si>
    <t>FRANCISCO RODRIGO CEPEDA LOPEZ</t>
  </si>
  <si>
    <t>EDGAR EMILIO ARDILA ROJAS</t>
  </si>
  <si>
    <t>GABRIEL ALFONSO CAÑON VEGA</t>
  </si>
  <si>
    <t>JOSE OSWALDO ROMERO PEREZ</t>
  </si>
  <si>
    <t>RAUL ORLANDO FRANCO GUZMAN</t>
  </si>
  <si>
    <t>CARLOS BERNARDO GONZALEZ</t>
  </si>
  <si>
    <t>VICTOR HUGO FANDIÑO ROZO</t>
  </si>
  <si>
    <t>FERNANDO MONTAÑA MERINO</t>
  </si>
  <si>
    <t>FABIO JARAMILLO ROJAS</t>
  </si>
  <si>
    <t>ORLANDO  CHITIVA GONZALEZ</t>
  </si>
  <si>
    <t>LUIS ALFREDO VARGAS</t>
  </si>
  <si>
    <t>ALEJANDRO PARADA FERNANDEZ</t>
  </si>
  <si>
    <t>LUIS FRANCISCO CRISTANCHO REYES</t>
  </si>
  <si>
    <t>LUIS ENRIQUE CANTOR GONZALEZ</t>
  </si>
  <si>
    <t>RAUL EDUARDO MONTAÑA MARTINEZ</t>
  </si>
  <si>
    <t>FRANCISCO  PINTO  ROJAS</t>
  </si>
  <si>
    <t>NESTOR HUMBERTO LOPEZ GUZMAN</t>
  </si>
  <si>
    <t>JULIO HERNANDO GALLEGO</t>
  </si>
  <si>
    <t>LUIS HEBERTO PAEZ SERNA</t>
  </si>
  <si>
    <t>GABRIEL GOMEZ MEJIA</t>
  </si>
  <si>
    <t>JAIME DE LA HORTUA NATES</t>
  </si>
  <si>
    <t>JOSE VICENTE TRUJILLO</t>
  </si>
  <si>
    <t>JOSE ARMANDO QUINTERO</t>
  </si>
  <si>
    <t>FRANCISCO OLEGARIO TORRES PEDRAZA</t>
  </si>
  <si>
    <t>ENRIQUE  PINZON ALVAREZ</t>
  </si>
  <si>
    <t>LAURENTINO  CASTILBLANCO</t>
  </si>
  <si>
    <t>ROBERTO ENRIQUE BOSEMBERG RAMIREZ</t>
  </si>
  <si>
    <t>GERMAN PABLO NARANJO DOUSDEBE</t>
  </si>
  <si>
    <t>GERMAN RODRIGUEZ CASTAÑEDA</t>
  </si>
  <si>
    <t>ALVARO GUERRERO MORENO</t>
  </si>
  <si>
    <t>JAIRO MORA</t>
  </si>
  <si>
    <t>PEDRO JOSE VEGAS ANGULO</t>
  </si>
  <si>
    <t>JORGE LUIS SEGURA RODRIGUEZ</t>
  </si>
  <si>
    <t>LUIS ENRIQUE REY RODRIGUEZ</t>
  </si>
  <si>
    <t>JEFE CONTROL INTERNO</t>
  </si>
  <si>
    <t>OFICINA DE CONTROL INTERNO</t>
  </si>
  <si>
    <t>RAFAEL JIMENEZ RODRIGUEZ</t>
  </si>
  <si>
    <t>ALFREDO ENRIQUE POLO GARCIA</t>
  </si>
  <si>
    <t>WILLIAM GUEVARA GONZALEZ</t>
  </si>
  <si>
    <t>JAIRO TREJOS LEON</t>
  </si>
  <si>
    <t>JORGE ALBARRACIN DIAZ</t>
  </si>
  <si>
    <t>HUGO ORTIZ GARCIA</t>
  </si>
  <si>
    <t>JAIRO OSWALDO LOZANO</t>
  </si>
  <si>
    <t>ORLANDO RENGIFO CALLEJAS</t>
  </si>
  <si>
    <t>CARLOS ALFONSO MORALES NIÑO</t>
  </si>
  <si>
    <t>EDGAR ANTONIO GARCIA CARO</t>
  </si>
  <si>
    <t>BENJAMIN URIBE GOMEZ</t>
  </si>
  <si>
    <t>ORLANDO DE JESUS SERENO PATIÑO</t>
  </si>
  <si>
    <t>MIGUEL ANGEL RIVEROS</t>
  </si>
  <si>
    <t>JOSE IRENARCO PEREZ PARRA</t>
  </si>
  <si>
    <t>NELSON ENRIQUE OSPINA ESPITIA</t>
  </si>
  <si>
    <t>DAGOBERTO  DIAZ PACHON</t>
  </si>
  <si>
    <t>HERNANDO RODRIGUEZ PRIETO</t>
  </si>
  <si>
    <t>GERARDO LOPEZ BARON</t>
  </si>
  <si>
    <t>ALVARO  VELASCO ROJAS</t>
  </si>
  <si>
    <t>JOSE DOMINGO BERNAL</t>
  </si>
  <si>
    <t>RICARDO CIPAGAUTA HORTUA</t>
  </si>
  <si>
    <t>JAIRO JAMITH PALACIOS ROZO</t>
  </si>
  <si>
    <t>JUAN CARLOS AGUDELO</t>
  </si>
  <si>
    <t>JOSE ALFREDO GUAVITA</t>
  </si>
  <si>
    <t>ALFREDO  LOPEZ HERNANDEZ</t>
  </si>
  <si>
    <t>LUIS FERNANDO GARCIA VARGAS</t>
  </si>
  <si>
    <t>JOSE ROBERTO RINCON ACOSTA</t>
  </si>
  <si>
    <t>MARIO  LOSADA GUTIERREZ</t>
  </si>
  <si>
    <t>IVAN  MELUK ACUÑA</t>
  </si>
  <si>
    <t>TULIO GUILLOTT CARMONA</t>
  </si>
  <si>
    <t>JAIRO A  NAVARRO M</t>
  </si>
  <si>
    <t>FRANCISCO  GALINDO BERROCAL</t>
  </si>
  <si>
    <t>EDGAR  SUAREZ</t>
  </si>
  <si>
    <t>FABIO  DIAZ IRIARTE</t>
  </si>
  <si>
    <t>VICTOR MANUEL HERNANDEZ OLAVE</t>
  </si>
  <si>
    <t>CARLOS ALIRIO ARANA SAENZ</t>
  </si>
  <si>
    <t>RICARDO CAÑON FAJARDO</t>
  </si>
  <si>
    <t>OSWALDO WEISZ BAUTISTA</t>
  </si>
  <si>
    <t>JUAN DARIO LARA</t>
  </si>
  <si>
    <t>LAUREANO RESTREPO LEIVA</t>
  </si>
  <si>
    <t>JOSE MIGUEL SANCHEZ GONZALEZ</t>
  </si>
  <si>
    <t>ALFONSO  VACCA PERILLA</t>
  </si>
  <si>
    <t>HERNANDO  MARTINEZ CARVAJAL</t>
  </si>
  <si>
    <t>LEONARDO CARLOS RENDON BELLO</t>
  </si>
  <si>
    <t>OTONIEL UMAÑA MURGUEITIO</t>
  </si>
  <si>
    <t>RICARDO CAICEDO CARDONA</t>
  </si>
  <si>
    <t>EDGARDO SAMUEL BARRAZA VERDESOTO</t>
  </si>
  <si>
    <t>LUIS MIGUEL RANGEL TORRES</t>
  </si>
  <si>
    <t>EDINSON ROMERO ORDOÑEZ</t>
  </si>
  <si>
    <t>GUILLERMO ALBERTO BORRERO RENGIFO</t>
  </si>
  <si>
    <t>CESAR AUGUSTO VELEZ CASTILLO</t>
  </si>
  <si>
    <t>ALFREDO NAVIA GARRIDO</t>
  </si>
  <si>
    <t>HERNANDO  DIAZ LOZADA</t>
  </si>
  <si>
    <t>JAVIER LEMOS TAMAYO</t>
  </si>
  <si>
    <t>JUAN PABLO QUINTERO CASTRILLON</t>
  </si>
  <si>
    <t>JORGE IVAN JARAMILLO HINCAPIE</t>
  </si>
  <si>
    <t>ALVARO RAFAEL CAMPUZANO PINEDA</t>
  </si>
  <si>
    <t>GONZALO RUBIO RIVAS</t>
  </si>
  <si>
    <t>DIEGO ALEJANDRO VELASQUEZ RENDON</t>
  </si>
  <si>
    <t>GUILLERMO MUÑOZ PAJOY</t>
  </si>
  <si>
    <t>RODRIGO ALBERTO GAVIRIA MAHECHA</t>
  </si>
  <si>
    <t>CARLOS AUGUSTO TOVAR VARGAS</t>
  </si>
  <si>
    <t>JAVIER SANTIAGO BENJUMEA CELEMIN</t>
  </si>
  <si>
    <t>GABRIEL  RODRIGUEZ JIMENEZ</t>
  </si>
  <si>
    <t>MAURICIO LAVERDE CORREDOR</t>
  </si>
  <si>
    <t>AUXILIAR LABORATORIO FCEA</t>
  </si>
  <si>
    <t>FLORENCIO  SANCHEQUEZ</t>
  </si>
  <si>
    <t>EMILIO BARAJAS LARGO</t>
  </si>
  <si>
    <t>WILSON DIAZ URIBE</t>
  </si>
  <si>
    <t>JAIRO DIAZ CARREÑO</t>
  </si>
  <si>
    <t>MIGUEL DANILO GONZALEZ PARRA</t>
  </si>
  <si>
    <t>CESAR ARTURO BARRERA AGUILAR</t>
  </si>
  <si>
    <t>JORGE FERNANDO AGUDELO GOMEZ</t>
  </si>
  <si>
    <t>ANIBAL FONSECA LOPEZ</t>
  </si>
  <si>
    <t>FREDDY ORLANDO MORA GRANADOS</t>
  </si>
  <si>
    <t>GERMAN ADOLFO RIVEROS VICTORIA</t>
  </si>
  <si>
    <t>RICARDO RIASCOS MENDOZA</t>
  </si>
  <si>
    <t>WILLIAM ORLANDO HERNANDEZ SAENZ</t>
  </si>
  <si>
    <t>ORLANDO ENRIQUE RAMIREZ MANTILLA</t>
  </si>
  <si>
    <t>ERLINGTON SALCEDO BENAVIDES</t>
  </si>
  <si>
    <t>OSWALDO FERNANDO MIDEROS ARGOTE</t>
  </si>
  <si>
    <t>LUIS HUMBERTO YANEZ CONSTANTE</t>
  </si>
  <si>
    <t>COORDINADOR IV DE COMPRAS</t>
  </si>
  <si>
    <t>DARGE SIGIFREDO SOLIS PERALTA</t>
  </si>
  <si>
    <t>LUIS GABRIEL PINEDA ARTEAGA</t>
  </si>
  <si>
    <t>ROGER JOSE CARRILLO CAMPO</t>
  </si>
  <si>
    <t>JOSE MANUEL JIMENEZ GONZALEZ</t>
  </si>
  <si>
    <t>EDGAR ENRIQUE VANEGAS PEREZ</t>
  </si>
  <si>
    <t>ANGEL JUNIOR PEREZ GONZALEZ</t>
  </si>
  <si>
    <t>YENIFER ASTRID ULTENGO ARDILA</t>
  </si>
  <si>
    <t>BRAYAN FERNANDO JAIMES CELIS</t>
  </si>
  <si>
    <t>JENNIFER OMAIRA ZAMORA MONTEJO</t>
  </si>
  <si>
    <t>ANDRES STEVEN DUARTE RODRIGUEZ</t>
  </si>
  <si>
    <t>SHARON SHABELLY ACOSTA GUAYARA</t>
  </si>
  <si>
    <t>APOYO INTEGRAL EGRESADOS</t>
  </si>
  <si>
    <t>SEBASTIAN DAVID ORTIZ</t>
  </si>
  <si>
    <t>MARIA CAMILA MEDINA CASTILLO</t>
  </si>
  <si>
    <t>PABLO SERGIO GARZON REYES</t>
  </si>
  <si>
    <t>MERCEDES ANDREA RAMIREZ OCHOA</t>
  </si>
  <si>
    <t>GABRIELA GERALDINE CUBILLOS MARTINEZ</t>
  </si>
  <si>
    <t>NICOLAS VARGAS CHIQUIZA</t>
  </si>
  <si>
    <t>MARIA ALEJANDRA ALARCON OSORIO</t>
  </si>
  <si>
    <t>MARIA PAULA CAICEDO RODRIGUEZ</t>
  </si>
  <si>
    <t>DAYANA MERCEDES MORALES JOJOA</t>
  </si>
  <si>
    <t>PABLO JOSE LOVERA ARANDA</t>
  </si>
  <si>
    <t>LUIS ENRIQUE GONZALEZ DURAN</t>
  </si>
  <si>
    <t>EDUARDO PEREIRA GARZON</t>
  </si>
  <si>
    <t>VICTOR HUHO ZUÑIGA</t>
  </si>
  <si>
    <t>KAREN TATIANA LOPEZ RODRIGUEZ</t>
  </si>
  <si>
    <t>JUAN PABLO RUIZ OTERO</t>
  </si>
  <si>
    <t>JESUS SANTIAGO HUERTAS GUARIN</t>
  </si>
  <si>
    <t>GINNA ALEJANDRA MANCERA VALENCIA</t>
  </si>
  <si>
    <t>JOHN EDISSON MURILLO ECHEVERRY</t>
  </si>
  <si>
    <t>VICTOR EMILIO CAÑON MONTAÑO</t>
  </si>
  <si>
    <t>NEUMAN RODER ROJAS BERNAL</t>
  </si>
  <si>
    <t>LUIS ALBERTO RUBIO VELANDIA</t>
  </si>
  <si>
    <t>JULIAN DAVID LAMPREA LONDOÑO</t>
  </si>
  <si>
    <t>LUIS FERNANDO LINARES LEON</t>
  </si>
  <si>
    <t>ANGEL ALBERTO MONTOYA CORREALES</t>
  </si>
  <si>
    <t>JORGE ENRIQUE GARCIA GALINDO</t>
  </si>
  <si>
    <t>JOSE LUBIN PARDO VILLALBA</t>
  </si>
  <si>
    <t>DIEGO MAURICIO PADILLA DIAZ</t>
  </si>
  <si>
    <t>MIGUEL ANGEL ARIAS CANCINO</t>
  </si>
  <si>
    <t>LEIDY VIVIANA OLASCOAGA  AGUILAR</t>
  </si>
  <si>
    <t>CARLOS ALEJANDRO SALAZAR SANCHEZ</t>
  </si>
  <si>
    <t>JOSEMARIA MEDINA DE ARTEAGA</t>
  </si>
  <si>
    <t>CESAR AUGUSTO CASTRO CIFUENTES</t>
  </si>
  <si>
    <t>CARLOS ALBERTO CASTILLO RIVERA</t>
  </si>
  <si>
    <t>JOSE JOAQUIN VASQUEZ OSPINA</t>
  </si>
  <si>
    <t>EDGAR LEONARDO RODRIGUEZ SOLORZANO</t>
  </si>
  <si>
    <t>JORGE ENRIQUE BURGOS SAAVEDRA</t>
  </si>
  <si>
    <t>DEISY NATHALY QUIROZ CARDENAS</t>
  </si>
  <si>
    <t>LUIS FERNANDO TRUJILLO</t>
  </si>
  <si>
    <t>ALEJANDRA LOPEZ DE MESA PALACIO</t>
  </si>
  <si>
    <t>SHEILA TATIANA CASTAÑEDA USECHE</t>
  </si>
  <si>
    <t>ANA MARIA SUAREZ RAMIREZ</t>
  </si>
  <si>
    <t>JULIO CESAR RIVEROS MUÑOZ</t>
  </si>
  <si>
    <t>TECNICO TALLER DE PUBLICACIONES</t>
  </si>
  <si>
    <t>JUAN MANUEL BELTRAN V</t>
  </si>
  <si>
    <t>JAIRO ENRIQUE CORTES BARRERA</t>
  </si>
  <si>
    <t>ANTHONY EDWARD TAYLOR GOMEZ</t>
  </si>
  <si>
    <t>ANDREW ARIEL JAY WELCOME</t>
  </si>
  <si>
    <t>BENY BARUJ REINES</t>
  </si>
  <si>
    <t>EDGAR MAURICIO LEGUIZAMON LOPEZ</t>
  </si>
  <si>
    <t>JUAN CAMILO UBAQUE BERNAL</t>
  </si>
  <si>
    <t>YEIDA LIZETH BEJARANO BARRERA</t>
  </si>
  <si>
    <t>JESUS DAVID BENAVIDES MORENO</t>
  </si>
  <si>
    <t>PABLO AUGUSTO ROJAS HERNANDEZ</t>
  </si>
  <si>
    <t>GABRIEL SANTIAGO JIMENEZ VIEIRA</t>
  </si>
  <si>
    <t>FERNEY ALARCON AGUIRRE</t>
  </si>
  <si>
    <t>GUILLERMO ANDRES YARA TOBON</t>
  </si>
  <si>
    <t>FREDY LEONARDO REYES ALBARRACIN</t>
  </si>
  <si>
    <t>LADY MARITZA PARRA ORJUELA</t>
  </si>
  <si>
    <t>TÉCNICO DE ARCHIVO</t>
  </si>
  <si>
    <t>JENNIFER TATIANA ARIAS GOMEZ</t>
  </si>
  <si>
    <t>JUAN PABLO ARTUNDUAGA GONZALEZ</t>
  </si>
  <si>
    <t>JULIAN ANDRES HERNANDEZ LEGUIZAMON</t>
  </si>
  <si>
    <t>ANA MARIA FALLA FIGUEROA</t>
  </si>
  <si>
    <t>COORDINADOR DE IDIOMAS</t>
  </si>
  <si>
    <t>DAVID ARISTIDES JUVINAO RAMOS</t>
  </si>
  <si>
    <t>GIOVANNI RICARDO HERNANDEZ SANCHEZ</t>
  </si>
  <si>
    <t>CESAR AUGUSTO VIVEROS MOLINA</t>
  </si>
  <si>
    <t>OLGA LUCIA RAMIREZ CARMEN</t>
  </si>
  <si>
    <t>JUAN DAVID CASTRO RAMIREZ</t>
  </si>
  <si>
    <t>APOYO INTEGRAL SECRETARIA GENERAL - ASESOR LEGAL</t>
  </si>
  <si>
    <t>CHRISTIAN RENE LOSADA SUAREZ</t>
  </si>
  <si>
    <t>DIEGO ARMANDO MOTTA DIAZ</t>
  </si>
  <si>
    <t>CARLOS ANDRES ROJAS ARANA</t>
  </si>
  <si>
    <t>CESAR ARLEY ARIAS LOZANO</t>
  </si>
  <si>
    <t>ANGELA MARIA AGUAS MENDEZ</t>
  </si>
  <si>
    <t>ANDREA MONSALVE SERRANO</t>
  </si>
  <si>
    <t>OLIVER NAY DOMINGUEZ LEON</t>
  </si>
  <si>
    <t>YOHANNA MOLECHET ROZO BARRERA</t>
  </si>
  <si>
    <t>BENJAMIN GIOVANNI CEPEDA RAMIREZ</t>
  </si>
  <si>
    <t>LAURA MARIA HERRERA SALAZAR</t>
  </si>
  <si>
    <t>JUANITA GONZALEZ CARDONA</t>
  </si>
  <si>
    <t>NINI JOHANA FIALLO RENDON</t>
  </si>
  <si>
    <t>BEATRIZ EUGENIA ZARTA SUAREZ</t>
  </si>
  <si>
    <t>CAMILA GABRIELA NEIRA TORRES</t>
  </si>
  <si>
    <t>CLAUDIA MARCELA CIFUENTES VELASQUEZ</t>
  </si>
  <si>
    <t>ALVARO EZEQUIEL TORO NIÑO</t>
  </si>
  <si>
    <t>NELSON FABIAN TARAZONA VASQUEZ</t>
  </si>
  <si>
    <t>EDGAR MAURICIO FEREZ SANTANDER</t>
  </si>
  <si>
    <t>ALEJANDRA MARIA MOSQUERA MORALES</t>
  </si>
  <si>
    <t>JUAN LEANDRO VELOZA CANO</t>
  </si>
  <si>
    <t>MONICA BUSTAMANTE CASTRILLON</t>
  </si>
  <si>
    <t>DANIELA ALEJANDRA ORTIZ CANO</t>
  </si>
  <si>
    <t>FLOR ELEANA REALPE CAICEDO</t>
  </si>
  <si>
    <t>ROBINSON VELASCO SUAREZ</t>
  </si>
  <si>
    <t>FRANCISCO JAVIER MURILLO PINTO</t>
  </si>
  <si>
    <t>MARIA PAULA NIETO CORREDOR</t>
  </si>
  <si>
    <t>MIGUEL ANGEL GUAVITA HERNANDEZ</t>
  </si>
  <si>
    <t>JUAN MANUEL TOPIA GUTIERREZ</t>
  </si>
  <si>
    <t>GABRIEL ARMANDO SOSA BUITRAGO</t>
  </si>
  <si>
    <t>PAMELA ANDREA OSPINA FRANCO</t>
  </si>
  <si>
    <t>ANGELICA MARIA VILLAMIL BENAVIDES</t>
  </si>
  <si>
    <t>NIYIRETH ALEJANDRA GARCIA CORREDOR</t>
  </si>
  <si>
    <t>OSCAR ANDRÉS MORA RODRÍGUEZ</t>
  </si>
  <si>
    <t>JOHANA ANDREA NAVARRETE LARA</t>
  </si>
  <si>
    <t>JUAN FELIPE SANCHEZ RINCON</t>
  </si>
  <si>
    <t>MARIA GABRIELA DE CASTRO CANCELADO</t>
  </si>
  <si>
    <t>SONIA LIZETH CAMARGO MONTAÑA</t>
  </si>
  <si>
    <t>DIANA YAZMIN PEREZ GUEVARA</t>
  </si>
  <si>
    <t>DIANA STELLA MELGAREJO MUÑOZ</t>
  </si>
  <si>
    <t>FABIAN BAQUERO RUBIANO</t>
  </si>
  <si>
    <t>JUAN ALBERTO RODRIGUEZ ROMERO</t>
  </si>
  <si>
    <t>JORGE LUIS MONCADA MONTAÑEZ</t>
  </si>
  <si>
    <t>JEI ROD RIM</t>
  </si>
  <si>
    <t>ASISTENTE III GESTION HUMANA</t>
  </si>
  <si>
    <t>KKKK JUT JMM</t>
  </si>
  <si>
    <t>ANGIE LIZETH JIMENEZ MOCETON</t>
  </si>
  <si>
    <t>ANDRES FELIPE ORTEGON VILLACORTE</t>
  </si>
  <si>
    <t>CRISTIAN LEONARDO MARIÑO CHAVES</t>
  </si>
  <si>
    <t>AUXILIAR DE TALLERES</t>
  </si>
  <si>
    <t>JENNY CAROLINA ACUÑA MARIN</t>
  </si>
  <si>
    <t>LORENA OSORIO OLARTE</t>
  </si>
  <si>
    <t>GABRIEL ANDRES CASTELLANOS CASTRO</t>
  </si>
  <si>
    <t>LEIBER IVAN SOTO VELASQUEZ</t>
  </si>
  <si>
    <t>ANGELA ROCIO COY RODRIGUEZ</t>
  </si>
  <si>
    <t>YULY ALEXANDRA SANCHEZ CASTRO</t>
  </si>
  <si>
    <t>JOHAN SEBASTIAN SUAREZ LEON</t>
  </si>
  <si>
    <t>JUAN MARIO DICELYS CORDOBA</t>
  </si>
  <si>
    <t>ANGELICA ROCIO VARGAS GARAY</t>
  </si>
  <si>
    <t>PEDRO ALBERTO OSPINA RODRIGUEZ</t>
  </si>
  <si>
    <t>KARENN DAYANNA ALVARADO CASTILLO</t>
  </si>
  <si>
    <t>ANDRES SANDINO DIMATE</t>
  </si>
  <si>
    <t>SERGIO ALEXANDER ROMERO MANCERA</t>
  </si>
  <si>
    <t>MARIA FERNANDA JIMENEZ SANABRIA</t>
  </si>
  <si>
    <t>APOYO INTEGRAL SECRETARIA GENERAL</t>
  </si>
  <si>
    <t>JORGE LUIS PEREZ DE ALBA</t>
  </si>
  <si>
    <t>JENNIFER WALTER MENDOZA</t>
  </si>
  <si>
    <t>LIZ ERINETH BUSTOS CANO</t>
  </si>
  <si>
    <t>ANA GABRIELA MEJIA LANS</t>
  </si>
  <si>
    <t>JULIANA GARCIA RODRIGUEZ</t>
  </si>
  <si>
    <t>DIANA PAOLA MONTAÑEZ CORREDOR</t>
  </si>
  <si>
    <t>LUISA FERNANDA CASTILLO GRAJALES</t>
  </si>
  <si>
    <t>LEIDY YOHANA GONZALEZ PAEZ</t>
  </si>
  <si>
    <t>HENRY HERNAN MARTINEZ SANCHEZ</t>
  </si>
  <si>
    <t>JAVIER DAVID RUIZ MERCADO</t>
  </si>
  <si>
    <t>HERLEY HERNAN VELA PEREZ</t>
  </si>
  <si>
    <t>CAROLINA PEREZ SIABATO</t>
  </si>
  <si>
    <t>LAURA ALEJANDRA SARMIENTO VEGA</t>
  </si>
  <si>
    <t>BRYAN STEVEN HERNANDEZ MARTINEZ</t>
  </si>
  <si>
    <t>ONEYS DEL CARMEN DE ARCO CANOLES</t>
  </si>
  <si>
    <t>KAREN PAOLA TORRES ARCHBOLD</t>
  </si>
  <si>
    <t>OSCAR ANDRES GUZMAN MAYOR</t>
  </si>
  <si>
    <t>ANGIE CATALINA ALVAREZ FLECHAS</t>
  </si>
  <si>
    <t>JOSE ALEJANDRO BRAVO SANTANA</t>
  </si>
  <si>
    <t>LORENA JULIETH GONZALEZ JIMENEZ</t>
  </si>
  <si>
    <t>DANIEL ALEJANDRO ACOSTA MELO</t>
  </si>
  <si>
    <t>ANGIE LORENA PALOMINO PINTO</t>
  </si>
  <si>
    <t>ROBERT DE JESUS OSORIO LOPEZ</t>
  </si>
  <si>
    <t>CENTRO DE APOYO EDUCATIVO</t>
  </si>
  <si>
    <t>MARIA ALEJANDRA GARZON LOPEZ</t>
  </si>
  <si>
    <t>JORGE ARMANDO SUAREZ BEJARANO</t>
  </si>
  <si>
    <t>LUNA ALEXANDRA MEDINA ALARCON</t>
  </si>
  <si>
    <t>MARLYN KRISTEL CASTELLANOS VILLAMIZAR</t>
  </si>
  <si>
    <t>WENDY CHANTAL PARRA GUTIERREZ</t>
  </si>
  <si>
    <t>DANIEL ANTONIO NUÑEZ BARRAGAN</t>
  </si>
  <si>
    <t>JOSE GIOVANNY DIAZ TRUJILLO</t>
  </si>
  <si>
    <t>CRISTIAN GARCIA QUINTANA</t>
  </si>
  <si>
    <t>LAURA ROCIO DIAZ GONZALEZ</t>
  </si>
  <si>
    <t>RICARDO ANDRES CAMARGO RUBIO</t>
  </si>
  <si>
    <t>LUIS ARMANDO GONZALEZ GUTIERREZ</t>
  </si>
  <si>
    <t>LAURA PATRICIA ARISTIZABAL QUINTERO</t>
  </si>
  <si>
    <t>KEVIN JAVIER VARGAS MORENO</t>
  </si>
  <si>
    <t>EFRAIN RICARDO SAENZ GONZALEZ</t>
  </si>
  <si>
    <t>LUIS EDUARDO CONDE GARCIA</t>
  </si>
  <si>
    <t>DANIEL MAURICIO VARGAS SANCHEZ</t>
  </si>
  <si>
    <t>LEIDY VIVIANA BELTRAN RIOS</t>
  </si>
  <si>
    <t>ELIZABETH MUÑOZ CRUZ</t>
  </si>
  <si>
    <t>YEIMY ALEXANDRA RODRIGUEZ PALACIO</t>
  </si>
  <si>
    <t>ANDRES FELIPE VIRGUEZ FERNANDEZ</t>
  </si>
  <si>
    <t>FREDY ALEJANDRO BARBOSA MELENDEZ</t>
  </si>
  <si>
    <t>ANDREA YESENIA MARTINEZ CELY</t>
  </si>
  <si>
    <t>YEYMI PAOLA GARZON CANO</t>
  </si>
  <si>
    <t>JUAN DAVID MARTINEZ QUINTERO</t>
  </si>
  <si>
    <t>DARWIN ESTEBAN OSPINA MUÑOZ</t>
  </si>
  <si>
    <t>SUSANA POSADA MARIN</t>
  </si>
  <si>
    <t>ERIKA PAOLA PINILLA CRUZ</t>
  </si>
  <si>
    <t>SEBASTIAN BARROS SALAMANCA</t>
  </si>
  <si>
    <t>LUISA FERNANDA CARDENAS COCA</t>
  </si>
  <si>
    <t>JESUS DAVID CONTRERAS PAMPLONA</t>
  </si>
  <si>
    <t>OFICINA DE IMAGEN Y PROMOCION INSTITUCIONAL</t>
  </si>
  <si>
    <t>PAULA ALEJANDRA VILLAMIL CASTELLANOS</t>
  </si>
  <si>
    <t>MARIA CAMILA CALVO ROJAS</t>
  </si>
  <si>
    <t>PAULA ANDREA VILLANUEVA BAUTISTA</t>
  </si>
  <si>
    <t>DOMINIQUE SALAZAR LONDOÑO</t>
  </si>
  <si>
    <t>HERNAN DAVID MATEUS JIMENEZ</t>
  </si>
  <si>
    <t>ESTEFANIA PEÑA ROMERO</t>
  </si>
  <si>
    <t>ERIKA LIZETH ALVAREZ PORRAS</t>
  </si>
  <si>
    <t>SUSANA BETANCUR FERGUSSON</t>
  </si>
  <si>
    <t>TECNICO LABORAL EN NOMINA Y PRESTACIONES SOCIALES</t>
  </si>
  <si>
    <t>CIRO ANDRES COBOS SANCHEZ</t>
  </si>
  <si>
    <t>LUISA FERNANDA ORTIZ RODRIGUEZ</t>
  </si>
  <si>
    <t>ANGIE ESTEFANIA RUIZ GOMEZ</t>
  </si>
  <si>
    <t>ADMINISTRADOR DE REDES Y COMMUNITY MANAGER</t>
  </si>
  <si>
    <t>VELASQUEZ FELIPE RICARGO AMADOR</t>
  </si>
  <si>
    <t>ASISTENTE V  VICERRECTORIA ADMINISTRAT</t>
  </si>
  <si>
    <t>LOTUS KING SALCEDO VALLEJO</t>
  </si>
  <si>
    <t>JOSE FERNANDO SALGADO MARQUEZ</t>
  </si>
  <si>
    <t>ADRIANA LISETH MORENO BUITRAGO</t>
  </si>
  <si>
    <t>JAVIER FERNANDO GUZAMNA BUSTOS</t>
  </si>
  <si>
    <t>EDISON JAVIER GUTIERREZ DELGADILLO</t>
  </si>
  <si>
    <t>ANGELA MARCELA JIMENEZ ANACONA</t>
  </si>
  <si>
    <t>JENNY PAOLA ACOSTA BERMUDEZ</t>
  </si>
  <si>
    <t>ANDREA ORTIZ DIAZ</t>
  </si>
  <si>
    <t>SERGIO IVAN GALVIS MOTOA</t>
  </si>
  <si>
    <t>RALPHI YARETH CHILATRA PARADA</t>
  </si>
  <si>
    <t>PAULA ALEJANDRA SANCHEZ MALPICA</t>
  </si>
  <si>
    <t>YENNY JULIETH ACOSTA RAMIREZ</t>
  </si>
  <si>
    <t>JULIAN CAMILO FIGUEROA MORA</t>
  </si>
  <si>
    <t>KATHERIN QUINTERO ZUÑIGA</t>
  </si>
  <si>
    <t>LUIS ALEJANDRO REY DUQUE</t>
  </si>
  <si>
    <t>NORMA LORENA SEGURA ESLAVA</t>
  </si>
  <si>
    <t>BIBIANA MERCEDES QUIROGA RODRIGUEZ</t>
  </si>
  <si>
    <t>JENNIFER ALEXANDRA TRIVIÑO GUTIERREZ</t>
  </si>
  <si>
    <t>MANUEL ANDRES ROA RODRIGUEZ</t>
  </si>
  <si>
    <t>YULIET FERNANDA CORREDOR CASTELLANOS</t>
  </si>
  <si>
    <t>DIEGO SEBASTIAN GARCIA MARTINEZ</t>
  </si>
  <si>
    <t>LEIDY PAOLA QUINTERO CUBILLOS</t>
  </si>
  <si>
    <t>LEIDY VIVIANA ECHEVERRY REINA</t>
  </si>
  <si>
    <t>EDUARDO EVELIO BONCES GARZON</t>
  </si>
  <si>
    <t>JEIMY MAYERLY FRAILE GUZMAN</t>
  </si>
  <si>
    <t>LUIS FERNANDO BARRAGAN ACEVEDO</t>
  </si>
  <si>
    <t>ANDRYU ENRIQUE MENDOZA BELTRAN</t>
  </si>
  <si>
    <t>LUISA FERNANDA ESTRADA PEREZ</t>
  </si>
  <si>
    <t>LAURA VIVIANA CHAVARRO CABEZA</t>
  </si>
  <si>
    <t>YULIER MALLERLY SORIANO ESCOBAR</t>
  </si>
  <si>
    <t>GIOVANNY CARDENAS RODRIGUEZ</t>
  </si>
  <si>
    <t>KASSANDRA NICOLE ORTIZ MOLANO</t>
  </si>
  <si>
    <t>DAHANE PAMELA BERMUDEZ CAICEDO</t>
  </si>
  <si>
    <t>SERGIO IVAN AVILA CIFUENTES</t>
  </si>
  <si>
    <t>JOHN EDWIN MUÑOZ MILA</t>
  </si>
  <si>
    <t>LINA MARICEL VARGAS MARIN</t>
  </si>
  <si>
    <t>GINA PAOLA CAMACHO VENTURA</t>
  </si>
  <si>
    <t>DANIEL FERNANDO GARRIDO DURAN</t>
  </si>
  <si>
    <t>NADYA PAOLA GALINDO PULIDO</t>
  </si>
  <si>
    <t>GUSTAVO ADOLFO PERICO PINEDA</t>
  </si>
  <si>
    <t>MAYBE LORENA CABALLERO GAMEZ</t>
  </si>
  <si>
    <t>JOIZELENA CASTILLO GUZMAN</t>
  </si>
  <si>
    <t>NICOLAS DAVID CADENA ARCINIEGAS</t>
  </si>
  <si>
    <t>CAMILO  ANDRES BALLESTEROS SANABRIA</t>
  </si>
  <si>
    <t>LEIDY JOHANNA VANEGAS GALINDO</t>
  </si>
  <si>
    <t>PROMOTOR</t>
  </si>
  <si>
    <t>ANGELICA MARIA PUENTES VALENCIA</t>
  </si>
  <si>
    <t>MAURICIO HERNEY GORDILLO RODRIGUEZ</t>
  </si>
  <si>
    <t>JULIAN MORENO PIÑEROS</t>
  </si>
  <si>
    <t>OSCAR ORLANDO CHAPARRO VELASQUEZ</t>
  </si>
  <si>
    <t>ANDRES STEVEN CUBILLOS SANGUINO</t>
  </si>
  <si>
    <t>MICHAEL STEVEN DAZA GAVIRIA</t>
  </si>
  <si>
    <t>JOHAN ANDRES CASTRO MONTAÑO</t>
  </si>
  <si>
    <t>LEIDY KATHERINE RIOS MURILLO</t>
  </si>
  <si>
    <t>BRIGITTE REYES FERNANDEZ</t>
  </si>
  <si>
    <t>LAURA DANIELA FORERO PEDRAZA</t>
  </si>
  <si>
    <t>KELLY VIVIANA MONCALEANO MURCIA</t>
  </si>
  <si>
    <t>FABIAN ALEXANDER CHAMORRO PAIBA</t>
  </si>
  <si>
    <t>LAURA MERCEDES ARTEAGA ROJAS</t>
  </si>
  <si>
    <t>KATHERINE ZAPATA LEON</t>
  </si>
  <si>
    <t>EXTENSIÓN Y PROYECCIÓN SOCIAL</t>
  </si>
  <si>
    <t>JUAN DAVID SERRANO WITTINGHAN</t>
  </si>
  <si>
    <t>SEBASTIAN URIBE FAJARDO</t>
  </si>
  <si>
    <t>MICHAEL STEVEN DUARTE MOLINA</t>
  </si>
  <si>
    <t>WILMER JAVIER CUBILLOS VERGARA</t>
  </si>
  <si>
    <t>LUISA FERNANDA GOMEZ GAMBOA</t>
  </si>
  <si>
    <t>SANDRA XIMENA BARRERA RIOS</t>
  </si>
  <si>
    <t>ANDRES YESID MORALES RIVERA</t>
  </si>
  <si>
    <t>JUAN ALEJANDRO RODRIGUEZ SILVA</t>
  </si>
  <si>
    <t>EDNA MAYERLY CASALLAS GRACIA</t>
  </si>
  <si>
    <t>JAIME ARLEY CASTAÑEDA USECHE</t>
  </si>
  <si>
    <t>CESAR SANTIAGO GUZMAN PRADA</t>
  </si>
  <si>
    <t>CAMILO TORRES TORRES</t>
  </si>
  <si>
    <t>KARENTH GINETH BERRIO AVILA</t>
  </si>
  <si>
    <t>KAROL TATIANA CERQUERA NAVARRO</t>
  </si>
  <si>
    <t>NICOLE ANDREA PARRADO LEON</t>
  </si>
  <si>
    <t>AUXILIAR ADMINISTRATIVO EGRESADOS</t>
  </si>
  <si>
    <t>DANIELA BROCHERO PINEDA</t>
  </si>
  <si>
    <t>CARLOS LEONARDO GOMEZ RINCON</t>
  </si>
  <si>
    <t>GINGER MELISSA MARIN JIMENEZ</t>
  </si>
  <si>
    <t>JUDY TATIANA ALVAREZ LAVERDE</t>
  </si>
  <si>
    <t>INGRID TATIANA FUENTES ALVAREZ</t>
  </si>
  <si>
    <t>HEIDY DANIELA MURCIA SANCHEZ</t>
  </si>
  <si>
    <t>GERALDINE PUIN LOPEZ</t>
  </si>
  <si>
    <t>ANGELICA DEL PILAR ROJAS GALINDO</t>
  </si>
  <si>
    <t>DIEGO FELIPE CASTRILLON UNIVIO</t>
  </si>
  <si>
    <t>JAIME RAFAEL BUENAVENTURA PACHON</t>
  </si>
  <si>
    <t>VIVIANA JULIETH FLORES TELLEZ</t>
  </si>
  <si>
    <t>PAULA ANDREA RAMIREZ VASQUEZ</t>
  </si>
  <si>
    <t>JAIRO ANTONIO ALARCON FERNANDEZ</t>
  </si>
  <si>
    <t>GINNA PAOLA GONZALEZ GARCIA</t>
  </si>
  <si>
    <t>NATALY CORTES CACERES</t>
  </si>
  <si>
    <t>BRENDA STEFANY VILLAQUIRAN FRANCO</t>
  </si>
  <si>
    <t>YERALDIN MARTINEZ PULIDO</t>
  </si>
  <si>
    <t>JONATHAN POMPEYO GONZALEZ MURCIA</t>
  </si>
  <si>
    <t>PAOLA ANDREA CHEQUE CARDOZO</t>
  </si>
  <si>
    <t>ZULY ALEJANDRA MUÑOZ BARON</t>
  </si>
  <si>
    <t>WILMER ARLEX PINEDA SILVA</t>
  </si>
  <si>
    <t>DAVID LEONARDO LABRADOR PIZA</t>
  </si>
  <si>
    <t>HAROLD STIVEN CASTAÑEDA MARTINEZ</t>
  </si>
  <si>
    <t>YULY ANDREA PADILLA LEAL</t>
  </si>
  <si>
    <t>YENNI MARCELA SANCHEZ ESCAMILLA</t>
  </si>
  <si>
    <t>JAVIER MAURICIO RIOS DAZA</t>
  </si>
  <si>
    <t>YOLANGI PAOLA REYES HERRERA</t>
  </si>
  <si>
    <t>ANDERSON GIOVANNY RAMIREZ GOMEZ</t>
  </si>
  <si>
    <t>DIANA PAOLA BOHORQUEZ GARZON</t>
  </si>
  <si>
    <t>MARIA FERNANDA MILLAN PALOMINO</t>
  </si>
  <si>
    <t>SINDY MARIANA CABALLERO HERNANDEZ</t>
  </si>
  <si>
    <t>LIDER CONTABLE</t>
  </si>
  <si>
    <t>HAROLD STEVENSON LOAIZA CALVO</t>
  </si>
  <si>
    <t>ESTEBAN ERNESTO VILLAMIZAR CASTRO</t>
  </si>
  <si>
    <t>JOSE ALFONSO OSMA ALVARADO</t>
  </si>
  <si>
    <t>ZULMA ESPERANZA ABRIL MORENO</t>
  </si>
  <si>
    <t>LUIS EDUARDO MARTINEZ BLANCO</t>
  </si>
  <si>
    <t>DENIS YULIED OSPINA CORTES</t>
  </si>
  <si>
    <t>LAURA ESTHER NIETO ROMERO</t>
  </si>
  <si>
    <t>DAPHNE GERALDINE BERNATE VILLA</t>
  </si>
  <si>
    <t>YORSUAL ENRIQUE GARZON BORBON</t>
  </si>
  <si>
    <t>GERMAN SANTIAGO PINEDA NIÑO</t>
  </si>
  <si>
    <t>DANIEL SANTIAGO JUNCA BAYONA</t>
  </si>
  <si>
    <t>DANIEL ARTURO ESCOBAR LEON</t>
  </si>
  <si>
    <t>EDUARDO VALENZUELA RUIZ</t>
  </si>
  <si>
    <t>LAURA VALENTINA LOPEZ OLIVERA</t>
  </si>
  <si>
    <t>LUIS FERNANDO MARTINEZ MEJIA</t>
  </si>
  <si>
    <t>MARLEN ANDREA PILLIMUE DIAZ</t>
  </si>
  <si>
    <t>JENNY PAOLA HERRAN ROMERO</t>
  </si>
  <si>
    <t>LORENA ALEJANDRA DUQUE GONZALEZ</t>
  </si>
  <si>
    <t>JOHANNA VANESSA GARCIA ESTUPIÑAN</t>
  </si>
  <si>
    <t>PAULA XIMENA MENESES DAZA</t>
  </si>
  <si>
    <t>IVAN LEONARDO MARQUEZ RUIZ</t>
  </si>
  <si>
    <t>MARIA  FERNANDA GAVIRIA BENAVIDES</t>
  </si>
  <si>
    <t>FABER DANIEL GONZALEZ MARIN</t>
  </si>
  <si>
    <t>LUIS FELIPE NAVARRETE ECHEVERRIA</t>
  </si>
  <si>
    <t>LUIS FELIPE VEGA MONTOYA</t>
  </si>
  <si>
    <t>CINDY NATHALIA HERNANDEZ MAHECHA</t>
  </si>
  <si>
    <t>JENNY ANDREA CARDONA VARGAS</t>
  </si>
  <si>
    <t>NADIA ROJAS MUÑOZ</t>
  </si>
  <si>
    <t>BERNARDO CAÑON SALAZAR</t>
  </si>
  <si>
    <t>EDELMER CORTES CORTES</t>
  </si>
  <si>
    <t>NATALIA ROCIO REYES RODRIGUEZ</t>
  </si>
  <si>
    <t>JHON ALEXANDER HERNANDEZ PRIETO</t>
  </si>
  <si>
    <t>ELKIN LEONARDO GONZALEZ TRIANA</t>
  </si>
  <si>
    <t>LIDER DE PLANEACIÓN Y GESTIÓN DE LA INFORMACIÓN</t>
  </si>
  <si>
    <t>LEIDY KATHERINE VILLAIZAN LADINO</t>
  </si>
  <si>
    <t>FRANCY YISETH JAIMES NEIRA</t>
  </si>
  <si>
    <t>RUTH STHEFANY CABALLERO REVELO</t>
  </si>
  <si>
    <t>EDGAR JAVIER CUERVO RINCON</t>
  </si>
  <si>
    <t>LEIDY PAOLA SANDOVAL FUENTES</t>
  </si>
  <si>
    <t>JAVIER ANDRES CUERVO RIOS</t>
  </si>
  <si>
    <t>DNJKSD C SJAGDYU</t>
  </si>
  <si>
    <t>ADMINISTRADOR DE RED Y COMMUNITY MANAGER</t>
  </si>
  <si>
    <t>LEYDY JENITH CASTAÑEDA LOPEZ</t>
  </si>
  <si>
    <t>JOHN JAIRO CARO RODRIGUEZ</t>
  </si>
  <si>
    <t>HENRY ARLEY GUERRERO CARDENAS</t>
  </si>
  <si>
    <t>DEIMY TATIANA CHAVARRO CASTRO</t>
  </si>
  <si>
    <t>GINA CATALINA MARTINEZ GONZALEZ</t>
  </si>
  <si>
    <t>OSCAR LEONARDO RAMIREZ CASTIBLANCO</t>
  </si>
  <si>
    <t>JUAN CARLOS PEÑA CASTRO</t>
  </si>
  <si>
    <t>DIANA MILENA AREVALO BUITRAGO</t>
  </si>
  <si>
    <t>KATHLEEN  JOHANA PEÑA PAZ</t>
  </si>
  <si>
    <t>YURI ALEJANDRA GOMEZ</t>
  </si>
  <si>
    <t>JOHNSON LEONARDO OBANDO SARMIENTO</t>
  </si>
  <si>
    <t>KAROL RICARDO LINARES CORREA</t>
  </si>
  <si>
    <t>JESUS EDUARDO GIL CAÑON</t>
  </si>
  <si>
    <t>KAROLD MARYURI BENAVIDES RODRIGUEZ</t>
  </si>
  <si>
    <t>JENNY ALEJANDRA PARADA OROZCO</t>
  </si>
  <si>
    <t>ANGIE DAYANA VELANDIA URBINA</t>
  </si>
  <si>
    <t>ANGIE FERNANDA VELA URREGO</t>
  </si>
  <si>
    <t>JULIANA VALENTINA PARRA VASQUEZ</t>
  </si>
  <si>
    <t>BRANDON STEVEN MONTENEGRO BOGOYA</t>
  </si>
  <si>
    <t>MIGUEL ANGEL VERA PEREZ</t>
  </si>
  <si>
    <t>ANGELA MARIA AYALA GONZALEZ</t>
  </si>
  <si>
    <t>KATHERIN DAYHANA VARGAS LOZANO</t>
  </si>
  <si>
    <t>MICHAEL STEVEN PUERTAS SILVA</t>
  </si>
  <si>
    <t>INGRID ESTEFANY LOSADA PEDRAZA</t>
  </si>
  <si>
    <t>ANGELICA CARVAJAL ARIAS</t>
  </si>
  <si>
    <t>KEVIN ANDRES FIGUEROA QUINTERO</t>
  </si>
  <si>
    <t>JOHAN DANIEL ROBLES URREA</t>
  </si>
  <si>
    <t>ANYELA JULIETH MOLINA RUBIANO</t>
  </si>
  <si>
    <t>PAULA ANDREA BELTRAN PADILLA</t>
  </si>
  <si>
    <t>GONZALO ANDRES SILVA OSPINA</t>
  </si>
  <si>
    <t>JUAN CAMILO NARANJO NARANJO</t>
  </si>
  <si>
    <t>ANGIE YOHANA BARACALDO FLOREZ</t>
  </si>
  <si>
    <t>APOYO A PRACTICAS</t>
  </si>
  <si>
    <t>ANDRES FELIPE RAMIREZ MARTIN</t>
  </si>
  <si>
    <t>HECTOR GIOVANNI MELO QUINTERO</t>
  </si>
  <si>
    <t>WILSON FERNANDO VELOSA MENDOZA</t>
  </si>
  <si>
    <t>DEISY ANDREA HERNANDEZ QUINTERO</t>
  </si>
  <si>
    <t>MICHAEL SMITH ORTEGON SALAZAR</t>
  </si>
  <si>
    <t>VANESSA ALEXANDRA ARIAS GAVIRIA</t>
  </si>
  <si>
    <t>JHODY KATHERINE SANCHEZ BELTRAN</t>
  </si>
  <si>
    <t>PABLO ANDRES BELTRAN SOSA</t>
  </si>
  <si>
    <t>JESSICA ANDREA MORALES HUERFANO</t>
  </si>
  <si>
    <t>EMANUEL ENCISO CAMACHO</t>
  </si>
  <si>
    <t>ARLETH PATRICIA RODRIGUEZ FLOREZ</t>
  </si>
  <si>
    <t>ABEL HUMBERTO ESPINOSA GALLEGO</t>
  </si>
  <si>
    <t>YENY LORENA ORTIZ PRIETO</t>
  </si>
  <si>
    <t>DIEGO FERNANDO LOPEZ LUIS</t>
  </si>
  <si>
    <t>AUXILIAR DE SISTEMAS - APOYO SNIES</t>
  </si>
  <si>
    <t>ANDRES FELIPE LOPEZ CRUZ</t>
  </si>
  <si>
    <t>EDDY JOHANNA GAMBOA MANOSALVA</t>
  </si>
  <si>
    <t>RAUL ALEJANDRO AMAYA PINZON</t>
  </si>
  <si>
    <t>MONICA ANDREA ACERO URBANO</t>
  </si>
  <si>
    <t>EDISON STIVEN PULIDO CORREDOR</t>
  </si>
  <si>
    <t>MARIA NATHALIA RAIRAN HENAO</t>
  </si>
  <si>
    <t>KAREN VIVIANA JIMENEZ CAÑON</t>
  </si>
  <si>
    <t>JENNIFER ALEXANDRA MONCADA MARTINEZ</t>
  </si>
  <si>
    <t>JENNY PAOLA PAEZ POSSE</t>
  </si>
  <si>
    <t>JEYSON DARIO TORRES BLANCO</t>
  </si>
  <si>
    <t>YULI ANDREA BERRIO MONROY</t>
  </si>
  <si>
    <t>HERNAN  RODRIGUEZ URIBE</t>
  </si>
  <si>
    <t>KAREN JULIETH AREVALO RODRIGUEZ</t>
  </si>
  <si>
    <t>LUIS ALFONSO SANCHEZ CARDONA</t>
  </si>
  <si>
    <t>MAICOL ANDRES CABALLERO SAAVEDRA</t>
  </si>
  <si>
    <t>YESSICA DAJHANA SANCHEZ ROMERO</t>
  </si>
  <si>
    <t>BRAYAN ARLEY CALDERON PUERTO</t>
  </si>
  <si>
    <t>ROBINSON ANDRES CALDERON BERBESI</t>
  </si>
  <si>
    <t>CRISTIAN YESID QUINTERO GARCIA</t>
  </si>
  <si>
    <t>JHONATAN VILLEGAS LOZANO</t>
  </si>
  <si>
    <t>FABIO ANDRES TOVAR VALDERRAMA</t>
  </si>
  <si>
    <t>WENDY ESTEFANI ROMERO OSTIOS</t>
  </si>
  <si>
    <t>NANCY BRIGITH ALDANA GUEVARA</t>
  </si>
  <si>
    <t>EDUARD HERNANDO MELO MOLINA</t>
  </si>
  <si>
    <t>PAOLA YERALDIN CHICAIZA CHICAIZA</t>
  </si>
  <si>
    <t>JUAN DAVID CAMELO RAMIREZ</t>
  </si>
  <si>
    <t>DIANA KATHERINE CHICACAUSA POVEDA</t>
  </si>
  <si>
    <t>ROBERT STEV OSSA OTALORA</t>
  </si>
  <si>
    <t>WILLIAM DEIVI CORTES BURGOS</t>
  </si>
  <si>
    <t>PEDRO SAUL LANCHEROS HUERFANO</t>
  </si>
  <si>
    <t>ANDREA  PAOLA MORA CUESTAS</t>
  </si>
  <si>
    <t>FACULTAD DE NUEVAS TECNOLOGIAS</t>
  </si>
  <si>
    <t>ASTRID ALEJANDRA RODRIGUEZ VAQUIRO</t>
  </si>
  <si>
    <t>LADY CAROLINA PRIETO BARON</t>
  </si>
  <si>
    <t>DIAN AUGUSTO BELTRAN TORRES</t>
  </si>
  <si>
    <t>MAIRA ALEJANDRA CASTAÑEDA USECHE</t>
  </si>
  <si>
    <t>JUAN DANIEL PINZON BELTRAN</t>
  </si>
  <si>
    <t>LUISA FERNANDA PEREZ BAREÑO</t>
  </si>
  <si>
    <t>SANTIAGO ANDRES TARAZONA TOVAR</t>
  </si>
  <si>
    <t>CAMILO ANDRES SUAREZ MEJIA</t>
  </si>
  <si>
    <t>DIEGO ALEJANDRO ROJAS GARZON</t>
  </si>
  <si>
    <t>NICOLAS ROMERO MONROY</t>
  </si>
  <si>
    <t>BRYAN FELIPE PACHON OSORIO</t>
  </si>
  <si>
    <t>PAOLA ANDREA BUSTOS OSORIO</t>
  </si>
  <si>
    <t>CATALINA ALBA ROMERO</t>
  </si>
  <si>
    <t>ANDREA PERDOMO VILLARRAGA</t>
  </si>
  <si>
    <t>MARIA ALEJANDRA DIAZ RODRIGUEZ</t>
  </si>
  <si>
    <t>LUZ STELLA VILLALOBOS ROMERO</t>
  </si>
  <si>
    <t>CRISTIAN FABIAN GARCIA AMAYA</t>
  </si>
  <si>
    <t>NATHALY GONZALEZ ABELLA</t>
  </si>
  <si>
    <t>JENNIFER ALEJANDRA GIL GARCIA</t>
  </si>
  <si>
    <t>VIVIANA ESPERANZA YEPES HERNANDEZ</t>
  </si>
  <si>
    <t>BRIYI ESTEFANY ORDUZ FORIGUA</t>
  </si>
  <si>
    <t>JENIFFER ANDREA ARIZA VERDUGO</t>
  </si>
  <si>
    <t>YENNY ALEJANDRA MORALES BERMEO</t>
  </si>
  <si>
    <t>JUAN DAVID CAMARGO MORA</t>
  </si>
  <si>
    <t>ANDREA TATIANA NIÑO GUARIN</t>
  </si>
  <si>
    <t>MARCELA CATALINA CORREA SAMUDIO</t>
  </si>
  <si>
    <t>MARLON MARVIN MURILLO MORENO</t>
  </si>
  <si>
    <t>LUZ ALEJANDRA CASTILLO RODRIGUEZ</t>
  </si>
  <si>
    <t>ERIKA MAYERLY PACHECO BURGOS</t>
  </si>
  <si>
    <t>SANDRA LILIANA BARRETO RODRIGUEZ</t>
  </si>
  <si>
    <t>NEFTIS LEYTON RAMIREZ</t>
  </si>
  <si>
    <t>DIEGO ENRIQUE ARIAS CASTRO</t>
  </si>
  <si>
    <t>BIAINEY LICETH MERCHAN VILLAMIZAR</t>
  </si>
  <si>
    <t>WILMER RICARDO NIEVES GUEVARA</t>
  </si>
  <si>
    <t>DIANA CAROLINA MERCHAN VILLAMIZAR</t>
  </si>
  <si>
    <t>VICTOR ALFONSO GUZMAN GAZABON</t>
  </si>
  <si>
    <t>JHONATHAN SORA CARDENAS</t>
  </si>
  <si>
    <t>JORGE EDUARDO BAUTISTA ESCOBAR</t>
  </si>
  <si>
    <t>LUIS EDUARDO VALLEJO RIOS</t>
  </si>
  <si>
    <t>DANIELA CAROLINA PENAGOS CASTRO</t>
  </si>
  <si>
    <t>CAMILO ANDRÉS ARCINIEGAS OVALLE</t>
  </si>
  <si>
    <t>JHON SEBASTIAN SALAMANCA FERNANDEZ</t>
  </si>
  <si>
    <t>CARLOS ENRIQUE ROCHA ZAMUDIO</t>
  </si>
  <si>
    <t>JUAN MANUEL MEDINA PAJARO</t>
  </si>
  <si>
    <t>MIREYA IQUINAS ANGUCHO</t>
  </si>
  <si>
    <t>DAVID ALEJANDRO SILVA RINCON</t>
  </si>
  <si>
    <t>JESSICA JULIETH MORALES ALVAREZ</t>
  </si>
  <si>
    <t>CARLOS ANDRES DIAZ VIDAL</t>
  </si>
  <si>
    <t>ANDRES FELIPE VASQUEZ RODRIGUEZ</t>
  </si>
  <si>
    <t>ANA JULIETH GOMEZ MONTAÑO</t>
  </si>
  <si>
    <t>DAVID SANTIAGO URREGO GARCIA</t>
  </si>
  <si>
    <t>JUAN DAVID MANCIPE BEJARANO</t>
  </si>
  <si>
    <t>EDGAR YESID ROJAS RODRIGUEZ</t>
  </si>
  <si>
    <t>DANIELA ALEJANDRA SEGURA CONTRERAS</t>
  </si>
  <si>
    <t>COORDINADOR DE EDUCACIÓN VIRTUAL</t>
  </si>
  <si>
    <t>CRISTIAN CAMILO VALENCIA ANTONIO</t>
  </si>
  <si>
    <t>JAIRO ANDRES LORA MATIZ</t>
  </si>
  <si>
    <t>JORGE ARMANDO JURADO PERALTA</t>
  </si>
  <si>
    <t>MIGUEL ANGEL SALCEDO BARCO</t>
  </si>
  <si>
    <t>CARLOS EDUARDO MORATO PRIETO</t>
  </si>
  <si>
    <t>HEIDY ALEJANDRA GUTIERREZ ABAUNZA</t>
  </si>
  <si>
    <t>SAMMIR ESTEBAN MENDOZA MORALES</t>
  </si>
  <si>
    <t>AUXILIAR DE COMUNICACIONES DE ASEGURAMIENTO DEL APRENDIZAJE</t>
  </si>
  <si>
    <t>YAROL MONRRAY PACANCHIQUE RINCON</t>
  </si>
  <si>
    <t>ANGIE PAOLA CALDERON CRUZ</t>
  </si>
  <si>
    <t>ANDRES SEBASTIAN GARZON MONROY</t>
  </si>
  <si>
    <t>JUAN CARLOS URQUIJO SANCHO</t>
  </si>
  <si>
    <t>JOAN SEBASTIAN DIAZ JIMENEZ</t>
  </si>
  <si>
    <t>JESSICA GUZMAN FIERRO</t>
  </si>
  <si>
    <t>KATERINE GUERRERO MOTTA</t>
  </si>
  <si>
    <t>FABIO HERNANDO POLO MOGOLLON</t>
  </si>
  <si>
    <t>DANIELA ALEJANDRA MOLINA ALFONSO</t>
  </si>
  <si>
    <t>LIDER REPORTE DE SISTEMAS  DE INFORMACIÓN</t>
  </si>
  <si>
    <t>ELKIN DAVID SOLER NIÑO</t>
  </si>
  <si>
    <t>BRENDA LIZETH MORENO SUESCUN</t>
  </si>
  <si>
    <t>JULIANA ANDREA TOVAR RODRIGUEZ</t>
  </si>
  <si>
    <t>MARIA CATALINA MORALES MELENDEZ</t>
  </si>
  <si>
    <t>SEBASTIAN CORREA VENEGAS</t>
  </si>
  <si>
    <t>DANIELA ALEXANDRA ROMERO ABRIL</t>
  </si>
  <si>
    <t>STEPHANIA MARTINEZ AGUILAR</t>
  </si>
  <si>
    <t>MAIRA ALEJANDRA PINTO COLORADO</t>
  </si>
  <si>
    <t>MELISSA IBETH GARCIA SUAREZ</t>
  </si>
  <si>
    <t>JOHAN SEBASTIAN RICO PABON</t>
  </si>
  <si>
    <t>LILIAN ANDREA VEGA MEJIA</t>
  </si>
  <si>
    <t>MARGARITA MARIA VEJARANO VARGAS</t>
  </si>
  <si>
    <t>NATHALIE ESPERANZA HERNANDEZ MARTINEZ</t>
  </si>
  <si>
    <t>LAURA MARIA ORJUELA MEDINA</t>
  </si>
  <si>
    <t>DOLLY ESPERANZA FIERRO ORTIZ</t>
  </si>
  <si>
    <t>ALBA MARÍA PEÑA SIERRA</t>
  </si>
  <si>
    <t>GINNA PAOLA LIZARAZO CAICEDO</t>
  </si>
  <si>
    <t>LUISA  MARIA MESA ARCILA</t>
  </si>
  <si>
    <t>JORGE ARIS RUEDA GALVIS</t>
  </si>
  <si>
    <t>MONICA JULIANA ESQUIVEL MENDOZA</t>
  </si>
  <si>
    <t>FABIO ALEXANDER SUAREZ MARTIN</t>
  </si>
  <si>
    <t>RODRIGO SANDOVAL ARAUJO</t>
  </si>
  <si>
    <t>JOHAN SEBASTIAN ARDILA MORENO</t>
  </si>
  <si>
    <t>NORGI MARIETH FEO CARBONELL</t>
  </si>
  <si>
    <t>FRANCISCO JOSE CORDOBA OTALORA</t>
  </si>
  <si>
    <t>TATIANA DULIMA ZABALA LEAL</t>
  </si>
  <si>
    <t>ANGIE LIZETH TOVAR PRECIADO</t>
  </si>
  <si>
    <t>JULIETH ALEXANDRA SANCHEZ RIAÑO</t>
  </si>
  <si>
    <t>SARA XIMENA CASTRO ZALDUA</t>
  </si>
  <si>
    <t>JOHN ANDRES PEDRAZA MESA</t>
  </si>
  <si>
    <t>JHON SEBASTIAN MARTINEZ CRISTANCHO</t>
  </si>
  <si>
    <t>JUAN SEBASTIAN MIRANDA TIBADUIZA</t>
  </si>
  <si>
    <t>MELANY SIERRA JIMENEZ</t>
  </si>
  <si>
    <t>MARIA LUCIA SUAREZ CORTES</t>
  </si>
  <si>
    <t>WILLIAM DAVID OSPINA HERNANDEZ</t>
  </si>
  <si>
    <t>LIZ BRIGIETH RIVERA SALAMANCA</t>
  </si>
  <si>
    <t>NAZHLY TATIANA HURTADO SANCHEZ</t>
  </si>
  <si>
    <t>LIDER DE ASEGURAMIENTO</t>
  </si>
  <si>
    <t>DANIELA BORRERO VASQUEZ</t>
  </si>
  <si>
    <t>CINDY TATIANA PARRA GUEVARA</t>
  </si>
  <si>
    <t>JEFFERSON MANUEL GARZON GARZON</t>
  </si>
  <si>
    <t>LAURA ANDREA VANEGAS VALERO</t>
  </si>
  <si>
    <t>KELLY JOHANNA SIERRA MORA</t>
  </si>
  <si>
    <t>YENNY ALEXANDRA GONZALEZ OLIVARES</t>
  </si>
  <si>
    <t>PAULA ANDREA WILCHES MALAGON</t>
  </si>
  <si>
    <t>SIRLEY MANJARREZ VALEST</t>
  </si>
  <si>
    <t>JOSE SEBASTIAN AYA CORREA</t>
  </si>
  <si>
    <t>BRAYAN ALEXIS MARIN HERRERA</t>
  </si>
  <si>
    <t>KATHERINE ANDREA PAEZ CORREA</t>
  </si>
  <si>
    <t>CINDY YULIETH MORA GARZON</t>
  </si>
  <si>
    <t>JUAN CAMILO RUIZ BUITRAGO</t>
  </si>
  <si>
    <t>NATHALIA SANCHEZ ACERO</t>
  </si>
  <si>
    <t>JEFFERSON RICARDO OLARTE VELASQUEZ</t>
  </si>
  <si>
    <t>ROSANA MERCEDES DIAZ FRANCO</t>
  </si>
  <si>
    <t>IVAN GIUCEPPE PALACINO VILLAMIL</t>
  </si>
  <si>
    <t>MARIA ALEJANDRA MERCHAN CALDERON</t>
  </si>
  <si>
    <t>GUSTAVO ADOLFO ACERO GARCIA</t>
  </si>
  <si>
    <t>DAVID FELIPE MONTENEGRO RIAÑO</t>
  </si>
  <si>
    <t>KATHERIN JINETH RODRIGUEZ CALDERON</t>
  </si>
  <si>
    <t>JONATTAN CAMILO TORRES ALARCON</t>
  </si>
  <si>
    <t>JOHANN DAVID BENAVIDES TORRES</t>
  </si>
  <si>
    <t>ANDREA ALEXANDRA MARTINEZ MORALES</t>
  </si>
  <si>
    <t>COORDINADOR ADMINISTRATIVO</t>
  </si>
  <si>
    <t>LUIS FERNANDO VILLEGAS ROZO</t>
  </si>
  <si>
    <t>MAIKELIN SALCEDO ZAMBRANO</t>
  </si>
  <si>
    <t>LAURA VIVIANA MARTINEZ NEIRA</t>
  </si>
  <si>
    <t>EDNA CATALINA RAMIREZ ARANGUREN</t>
  </si>
  <si>
    <t>CAMILO ANDRES CARO PINZON</t>
  </si>
  <si>
    <t>BRYAN DAMIAN ANGULO CHICO</t>
  </si>
  <si>
    <t>MIGUEL ALFONSO CUELLAR GOMEZ</t>
  </si>
  <si>
    <t>MONICA LILIANA CUERVO GONZALEZ</t>
  </si>
  <si>
    <t>ANGELA PAULINA LEYVA CASAS</t>
  </si>
  <si>
    <t>JOSE LUIS PIEDRAHITA AVENDAÑO</t>
  </si>
  <si>
    <t>JOSE ANTONIO SANCHEZ</t>
  </si>
  <si>
    <t>ANA GABRIELA ROBLES CAMARGO</t>
  </si>
  <si>
    <t>FREDDY MAURICIO MONTOYA VIDAL</t>
  </si>
  <si>
    <t>NATALIA PULIDO MONTAÑEZ</t>
  </si>
  <si>
    <t>MATEO PELAEZ PULIDO</t>
  </si>
  <si>
    <t>LAURA CRISTINA RIVERA LANCHEROS</t>
  </si>
  <si>
    <t>JENNIFER GOMEZ PERDOMO</t>
  </si>
  <si>
    <t>JULIO CESAR SANCHEZ PULIDO</t>
  </si>
  <si>
    <t>ANDRES RODOLFO RUIZ BAUTISTA</t>
  </si>
  <si>
    <t>CRISTIAN FERNANDO DAVILA GODOY</t>
  </si>
  <si>
    <t>ANGELA PATRICIA CEPEDA DIAZ</t>
  </si>
  <si>
    <t>KELLY JEANNINE MONCADA TORRES</t>
  </si>
  <si>
    <t>LAURA VALENTINA CALDERON BUITRAGO</t>
  </si>
  <si>
    <t>DIEGO FABIAN LARA RIOS</t>
  </si>
  <si>
    <t>CAROLAYN DAYANA DIAZ CUCHIGAY</t>
  </si>
  <si>
    <t>SERGIO ANDRES CUERVO ANTURY</t>
  </si>
  <si>
    <t>MANUEL FERNANDO PEREZ ROZO</t>
  </si>
  <si>
    <t>FERNEY YESID REYES MALAGON</t>
  </si>
  <si>
    <t>APOYO ASEGURAMIENTO DE LA CALIDAD</t>
  </si>
  <si>
    <t>PABLO ALEJANDRO FIGUEROA PAEZ</t>
  </si>
  <si>
    <t>ANDRES FERNANDO VELASCO GUEVARA</t>
  </si>
  <si>
    <t>WALTER STEVEN GONZALEZ GOMEZ</t>
  </si>
  <si>
    <t>LUZ ANGELA MARIA SANCHEZ DIAZ</t>
  </si>
  <si>
    <t>WILLIAM FELIPE MISTRE CASTILLO</t>
  </si>
  <si>
    <t>SANDRA MILENA VALLEJO FUENTES</t>
  </si>
  <si>
    <t>JOHN EDISSON HERNANDEZ BARRETO</t>
  </si>
  <si>
    <t>DIEGO ALONSO RODRIGUEZ SUAREZ</t>
  </si>
  <si>
    <t>SERGIO ENRIQUE CLAVIJO MORENO</t>
  </si>
  <si>
    <t>EDNA ROCIO GONZALEZ GONZALEZ</t>
  </si>
  <si>
    <t>DIANA PAOLA PARRA PEÑA</t>
  </si>
  <si>
    <t>JULY VANESSA TORRALBA TORRES</t>
  </si>
  <si>
    <t>JENNY KATHERINE CARO RAMIREZ</t>
  </si>
  <si>
    <t>NICOLAS DANIEL RODRIGUEZ DIAZ</t>
  </si>
  <si>
    <t>DANIEL FELIPE CORREDOR SIERRA</t>
  </si>
  <si>
    <t>JUAN CARLOS ROBLES CAMARGO</t>
  </si>
  <si>
    <t>MAURICIO VASQUEZ RINCON</t>
  </si>
  <si>
    <t>SANDRA MILENA ARBELAEZ SUANCHA</t>
  </si>
  <si>
    <t>CAMILO ANDRES ROMERO MORENO</t>
  </si>
  <si>
    <t>MARIA ALEJANDRA ESCOBAR MAHETE</t>
  </si>
  <si>
    <t>JHONATHAN PRIETO VIVIESCAS</t>
  </si>
  <si>
    <t>HAROL JAVIER SOSA CORREA</t>
  </si>
  <si>
    <t>JENNY PAOLA BAUTISTA JIMENEZ</t>
  </si>
  <si>
    <t>FRANCY NATALIA LOPEZ ORTIZ</t>
  </si>
  <si>
    <t>PAULA ANGELICA URREGO GARZON</t>
  </si>
  <si>
    <t>IVAN DARIO TORRES TORRES</t>
  </si>
  <si>
    <t>IVAN CAMILO CAMARGO PATIÑO</t>
  </si>
  <si>
    <t>AURA VIVIANA PANADERO DELGADO</t>
  </si>
  <si>
    <t>PAULA ANDREA HUERTAS PEÑARANDA</t>
  </si>
  <si>
    <t>JUAN SEBASTIAN LOPEZ ESPINOSA</t>
  </si>
  <si>
    <t>BRAYHAM ALEJANDRO MARIN DUEÑAS</t>
  </si>
  <si>
    <t>APOYO COMUNICACIONES</t>
  </si>
  <si>
    <t>JULIAN DAVID QUIROGA VENEGAS</t>
  </si>
  <si>
    <t>DIANA PRISCILA MARIÑO CHAPARRO</t>
  </si>
  <si>
    <t>WILLIAM ORLANDO GUARIN CLAVIJO</t>
  </si>
  <si>
    <t>APOYO INTEGRAL COMUNICACIONES</t>
  </si>
  <si>
    <t>JESSICA FERNANDA MEDRANO FIERRO</t>
  </si>
  <si>
    <t>JENNIFER PAOLA AREVALO SERRATO</t>
  </si>
  <si>
    <t>MARIA ALEJANDRA ARCE MELO</t>
  </si>
  <si>
    <t>IVONNE JULIETH RICO MATEUS</t>
  </si>
  <si>
    <t>ASESOR COMERCIAL</t>
  </si>
  <si>
    <t>DIEGO ANTONIO OSPINA DIAZ</t>
  </si>
  <si>
    <t>GILMA LIZET RODRIGUEZ FORIGUA</t>
  </si>
  <si>
    <t>ERIKA FLOREZ ALFONSO</t>
  </si>
  <si>
    <t>OSCAR FERNANDO MURILLO MOJICA</t>
  </si>
  <si>
    <t>KATHERINE BECERRA ROJAS</t>
  </si>
  <si>
    <t>PAULA MILENA CONTO MONTEALEGRE</t>
  </si>
  <si>
    <t>ANGIE TATIANA MONTES FLAUTERO</t>
  </si>
  <si>
    <t>DAVID ALEJANDRO GUERRERO PIRATEQUE</t>
  </si>
  <si>
    <t>CAMILO ANDRES ORTEGA CASTILLO</t>
  </si>
  <si>
    <t>JUAN MANUEL MERCADO FUENTES</t>
  </si>
  <si>
    <t>CINDY TATIANA ZABALA QUINTERO</t>
  </si>
  <si>
    <t>SINDY JOHANNA MACIAS IZQUIERDO</t>
  </si>
  <si>
    <t>DAVID ANDRES BARRETO ZAPATA</t>
  </si>
  <si>
    <t>ARQUITECTO</t>
  </si>
  <si>
    <t>JENNIFER TATIANA PULIDO MORENO</t>
  </si>
  <si>
    <t>CARLOS ANDRES JIMENEZ PARDO</t>
  </si>
  <si>
    <t>KATERINE PINZON SALINAS</t>
  </si>
  <si>
    <t>FLOR ALEJANDRA PEREZ BOHADA</t>
  </si>
  <si>
    <t>ELKIN ORLANDO SALAZAR RODRIGUEZ</t>
  </si>
  <si>
    <t>DIEGO HERNANDO CARDENAS MALDONADO</t>
  </si>
  <si>
    <t>PAOLA ANDREA VEGA PEREZ</t>
  </si>
  <si>
    <t>CARLOS ANDRES SIERRA PEÑA</t>
  </si>
  <si>
    <t>MARTHA ISABEL AGUILERA CASTILLO</t>
  </si>
  <si>
    <t>BRIYITH DIAZ LAGOS</t>
  </si>
  <si>
    <t>LIDER DE REGISTRO Y CONTROL ACADEMICO</t>
  </si>
  <si>
    <t>JAIRO ALEXANDER CARDENAS RODRIGUEZ</t>
  </si>
  <si>
    <t>BRAYAN STIVEN SARMIENTO JARAMILLO</t>
  </si>
  <si>
    <t>ANGELA MARIA VACA RODRIGUEZ</t>
  </si>
  <si>
    <t>JULIAN SANTIAGO MORENO SANCHEZ</t>
  </si>
  <si>
    <t>INGRID GISELLE VILLARRAGA RINCON</t>
  </si>
  <si>
    <t>DAISA KATERIN SIERRA GUTIERREZ</t>
  </si>
  <si>
    <t>JULIAN RICARDO VARGAS SANTOS</t>
  </si>
  <si>
    <t>LAURA LICETH SANCHEZ AREVALO</t>
  </si>
  <si>
    <t>FABIO ALEJANDRO MARTINEZ JIMENEZ</t>
  </si>
  <si>
    <t>JEISSON JAMAICA DELGADO</t>
  </si>
  <si>
    <t>DOCENTE DE ASEGURAMIENTO DEL APRENDIZAJE</t>
  </si>
  <si>
    <t>JULIAN RICARDO LOPEZ HERNANDEZ</t>
  </si>
  <si>
    <t>BRYAN STEECK RAMIREZ BERMUDEZ</t>
  </si>
  <si>
    <t>LINDA PAOLA HERRERA CORTES</t>
  </si>
  <si>
    <t>LAURA CATALINA PEREZ TRIANA</t>
  </si>
  <si>
    <t>HAROL MAURICIO VELANDIA ALBARRACIN</t>
  </si>
  <si>
    <t>QUELMEN CHAYAN GOMEZ MORENO</t>
  </si>
  <si>
    <t>LAURA MELISSA RAMIREZ TORRES</t>
  </si>
  <si>
    <t>MARIA ISABEL CUADROS PEDROZA</t>
  </si>
  <si>
    <t>EDNA LIZETH ESPEJO OSMA</t>
  </si>
  <si>
    <t>JHON ALEXANDER ALVAREZ RENGIFO</t>
  </si>
  <si>
    <t>MARIA ANGELICA CASALLAS ZAMORA</t>
  </si>
  <si>
    <t>JULIANA GOMEZ ORDOÑEZ</t>
  </si>
  <si>
    <t>MARLON ANDRES PEÑALOZA VASQUEZ</t>
  </si>
  <si>
    <t>NATALIA CADENA DIAZ</t>
  </si>
  <si>
    <t>GERARDO MATIZ REY</t>
  </si>
  <si>
    <t>DIANA CAROLINA ALVAREZ AMADO</t>
  </si>
  <si>
    <t>RICARDO OVALLE SIERRA</t>
  </si>
  <si>
    <t>LADY YINETH ANDRADE CARDENAS</t>
  </si>
  <si>
    <t>CATHERINE LUCIA PENAGOS RIVERA</t>
  </si>
  <si>
    <t>ANGIE CRISTINA MARTINEZ GONZALES</t>
  </si>
  <si>
    <t>FRANCISCO ALEJANDRO DIAZ DAZA</t>
  </si>
  <si>
    <t>JESICA ALEJANDRA VALBUENA PAEZ</t>
  </si>
  <si>
    <t>DIEGO MANUEL AVILA GARCIA</t>
  </si>
  <si>
    <t>NAYIBE ANDREA GONZALEZ OCAMPO</t>
  </si>
  <si>
    <t>SULAY ALEJANDRA AMAYA BEJARANO</t>
  </si>
  <si>
    <t>NICOLAS BOJACA MIRANDA</t>
  </si>
  <si>
    <t>MAYRA LIZETH CORTES MARTINEZ</t>
  </si>
  <si>
    <t>PROMOTOR COMERCIAL SENIOR</t>
  </si>
  <si>
    <t>DIEGO ANDRES MENDOZA MORA</t>
  </si>
  <si>
    <t>JOSE VICENTE GUTIERREZ ESPINOSA</t>
  </si>
  <si>
    <t>JUAN BAUTISTA GOMEZ NAJAR</t>
  </si>
  <si>
    <t>GHEINER DUWIAN REINA DUARTE</t>
  </si>
  <si>
    <t>YERALDINE RODRIGUEZ MAHECHA</t>
  </si>
  <si>
    <t>MONICA PEÑA RODRIGUEZ</t>
  </si>
  <si>
    <t>CINDY LORENA BOHORQUEZ LEYVA</t>
  </si>
  <si>
    <t>ARNOLD STEVEN CANTOR PULIDO</t>
  </si>
  <si>
    <t>NATALIA MEDINA MARTINEZ</t>
  </si>
  <si>
    <t>YENNY MARITZA GOMEZ SOTTO</t>
  </si>
  <si>
    <t>EDISON JAVIER GONZALEZ VELANDIA</t>
  </si>
  <si>
    <t>INGRID ESNEDA MACIAS SUAREZ</t>
  </si>
  <si>
    <t>JOHN JAIRO TORRES MORALES</t>
  </si>
  <si>
    <t>NATALIA MORENO GUZMAN</t>
  </si>
  <si>
    <t>ANGIE ZULAY FRANCO VEGA</t>
  </si>
  <si>
    <t>ANDRES FELIPE GOMEZ TANGARIFE</t>
  </si>
  <si>
    <t>KAREN ESTEHANY RUIZ CHITIVA</t>
  </si>
  <si>
    <t>NIYYIRETH CRISTINA RUIZ RUIZ</t>
  </si>
  <si>
    <t>RONAL AUGUSTO RODRIGUEZ AGUIRRE</t>
  </si>
  <si>
    <t>THOMAS JULIAN GOMEZ VANEGAS</t>
  </si>
  <si>
    <t>DANIELA CRUZ HERRERA</t>
  </si>
  <si>
    <t>ERIKA YUSMARI CEBALLES CARRILLO</t>
  </si>
  <si>
    <t>YENNY TATIANA REYES ROMERO</t>
  </si>
  <si>
    <t>WENDY KATERINE MENDIVELSO GAMBOA</t>
  </si>
  <si>
    <t>JOAQUIN MARTINEZ GUERRERO</t>
  </si>
  <si>
    <t>LUISA FERNANDA CHILA ROJAS</t>
  </si>
  <si>
    <t>BRENDA GUEVARA PALOMINO</t>
  </si>
  <si>
    <t>MARIA TERESA SUAREZ VALDERRAMA</t>
  </si>
  <si>
    <t>ADRIANA PAOLA CARVAJAL TARAZONA</t>
  </si>
  <si>
    <t>PABLO GERARDO CASTRO ZAMBRANO</t>
  </si>
  <si>
    <t>AUXILIAR DE TALLERES SST</t>
  </si>
  <si>
    <t>SHAMEEL THAHIR SILVA</t>
  </si>
  <si>
    <t>KAAREM NATALY MORENO DEVIA</t>
  </si>
  <si>
    <t>GINA PAOLA BENAVIDES GALINDO</t>
  </si>
  <si>
    <t>RICARDO ANDRES ABRIL ROA</t>
  </si>
  <si>
    <t>MARLON ESNEIDER TOVAR ROJAS</t>
  </si>
  <si>
    <t>JUAN ESTEBAN BETANCOURT MORA</t>
  </si>
  <si>
    <t>GISSELL VALENTINA MORENO LADINO</t>
  </si>
  <si>
    <t>MARIA PAULA RAMIREZ CARVAJAL</t>
  </si>
  <si>
    <t>NICOLE STEFANY GUERRERO GANTIVA</t>
  </si>
  <si>
    <t>ANDREA STEPHANIA BAUTISTA GARZON</t>
  </si>
  <si>
    <t>MICHEEL ESPITIA SEPULVEDA</t>
  </si>
  <si>
    <t>PROMOTOR DE INFORMACION JUNIOR</t>
  </si>
  <si>
    <t>JUAN ESTEBAN GOMEZ HERNANDEZ</t>
  </si>
  <si>
    <t>KAROLL STEFAN TRILLERAS ALZATE</t>
  </si>
  <si>
    <t>CECILIA FERNANDA RODRIGUEZ MALPICA</t>
  </si>
  <si>
    <t>JUAN SEBASTIAN BOHORQUEZ RINCON</t>
  </si>
  <si>
    <t>DAILYN ESTHER JIMENEZ CORTES</t>
  </si>
  <si>
    <t>CAROLINA BEDOYA ARISTIZABAL</t>
  </si>
  <si>
    <t>DIEGO ALEJANDRO CASTAÑEDA BAUTISTA</t>
  </si>
  <si>
    <t>YENCY XIMENA CHAPARRO TOVAR</t>
  </si>
  <si>
    <t>ANA SOFIA VASQUEZ CAICEDO</t>
  </si>
  <si>
    <t>NATALIA KATHERIN JIMENEZ CARDENAS</t>
  </si>
  <si>
    <t>MARIA CAMILA VASQUEZ ROCHA</t>
  </si>
  <si>
    <t>YULDER FABIAN CUCHIMBA CEBALLOS</t>
  </si>
  <si>
    <t>PEDRO LIBARDO CORTES BURGOS</t>
  </si>
  <si>
    <t>KARINA ANDREA ROJAS GARCIA</t>
  </si>
  <si>
    <t>JAIME EDUARDO TRUJILLO RUIZ</t>
  </si>
  <si>
    <t>ERICA TATIANA JARAMILLO PALACINO</t>
  </si>
  <si>
    <t>MARIA PAULA DURAN SALGADO</t>
  </si>
  <si>
    <t>AUXILIAR OPERATIVO DE COMUNICACIONES</t>
  </si>
  <si>
    <t>JOEL SANTIAGO VILLEGAS BERNAL</t>
  </si>
  <si>
    <t>KAREN NATALIA RUIZ MELO</t>
  </si>
  <si>
    <t>YENNY FERNANDA CUEVAS MARTINEZ</t>
  </si>
  <si>
    <t>ANGIE GERALDINE HERNANDEZ LIZCANO</t>
  </si>
  <si>
    <t>BRAYAN ESTIVENS CORTES IBAÑEZ</t>
  </si>
  <si>
    <t>SEBASTIAN MONSALVO CETINA</t>
  </si>
  <si>
    <t>MARIA PAULA PRIAS ALARCON</t>
  </si>
  <si>
    <t>STEFANY SOFIA GONZALEZ HERNANDEZ</t>
  </si>
  <si>
    <t>BRAYAN ESTIVEN RAMIREZ NIVIAYO</t>
  </si>
  <si>
    <t>BRAYAN ESTIBEN LEON OLAYA</t>
  </si>
  <si>
    <t>PAULA SOFIA CALDERON OSORIO</t>
  </si>
  <si>
    <t>YENI VALENTINA CASTILLO FLORIAN</t>
  </si>
  <si>
    <t>JESUS DANIEL MECON CASTILLO</t>
  </si>
  <si>
    <t>DAYANA ESTEFANY GARCIA FORERO</t>
  </si>
  <si>
    <t>JUAN MIGUEL MARTINEZ AVILA</t>
  </si>
  <si>
    <t>JUAN DANIEL MUÑOZ ARAGON</t>
  </si>
  <si>
    <t>MICHAEL DAVID SANTANA ROZO</t>
  </si>
  <si>
    <t>CAROL VALENTINA CAUCALI SANCHEZ</t>
  </si>
  <si>
    <t>MARIA CAMILA CUBILLOS MONTAÑA</t>
  </si>
  <si>
    <t>LAURA DANIELA PADUA CASALLAS</t>
  </si>
  <si>
    <t>KEVIN SANTIAGO JIMENEZ SALAMANCA</t>
  </si>
  <si>
    <t>LAURA DANIELA RUBIO TOVAR</t>
  </si>
  <si>
    <t>MAICOL STIVEN CUELLAR MENDOZA</t>
  </si>
  <si>
    <t>ANA MARIA OVIEDO ROMERO</t>
  </si>
  <si>
    <t>JULIAN STEVEN TOBAR NARVAEZ</t>
  </si>
  <si>
    <t>IRIS MARIA ALEJANDRA BENAVIDES SARMIENTO</t>
  </si>
  <si>
    <t>KELLAN CARLOS CHAVES PALENCIA</t>
  </si>
  <si>
    <t>MARIANA BARRERA ACOSTA</t>
  </si>
  <si>
    <t>KEVIN SEBASTIAN OSORIO BEDOYA</t>
  </si>
  <si>
    <t>JOHANNA ANDREA OSORIO GONZALEZ</t>
  </si>
  <si>
    <t>ANDERSON CARVAJAL</t>
  </si>
  <si>
    <t>BRENDA NATALY GARCIA LANCHEROS</t>
  </si>
  <si>
    <t>DANIEL CAMILO PANQUEVA PARDO</t>
  </si>
  <si>
    <t>DIANA CAROLINA LATORRE CHICA</t>
  </si>
  <si>
    <t>GERALDINE CALDERON DIAZ</t>
  </si>
  <si>
    <t>ANDRES BARBOZA RODRIGUEZ</t>
  </si>
  <si>
    <t>YULIANA ZAPATA MARTIN</t>
  </si>
  <si>
    <t>JEAN POOL SIERRA SABBACH</t>
  </si>
  <si>
    <t>NICOLAS EDUARDO CABALLERO VALBUENA</t>
  </si>
  <si>
    <t>SAMUEL FELIPE AYA NOVOA</t>
  </si>
  <si>
    <t>ERIKA JULIETH VALDERRAMA SANCHEZ</t>
  </si>
  <si>
    <t>HECTOR MARIO ARROYAVE CORREA</t>
  </si>
  <si>
    <t>EDISSON FERNANDO VEGA</t>
  </si>
  <si>
    <t>ANDRES GUZMAN COMBITA</t>
  </si>
  <si>
    <t>DANIEL EDUARDO USECHE LOPEZ</t>
  </si>
  <si>
    <t>RAUL ERNESTO ORTIZ GARZON</t>
  </si>
  <si>
    <t>LUIS ALBERTO AYALA BERROCAL</t>
  </si>
  <si>
    <t>PABLO ARANGO ROBLEDO</t>
  </si>
  <si>
    <t>CIELO ESPERANZA REYES TELLEZ</t>
  </si>
  <si>
    <t>MONICA MARIA AVELLANEDA MORALES</t>
  </si>
  <si>
    <t>ANGIE TATIANA ROBAYO PINEDA</t>
  </si>
  <si>
    <t>SERGIO ALEXANDER VERA GARCIA</t>
  </si>
  <si>
    <t>BRAYAN SEBASTIAN SALAS RICO</t>
  </si>
  <si>
    <t>DIANA MARCELA FORERO MANFLA</t>
  </si>
  <si>
    <t>JUAN DAVID CAMPOS MORALES</t>
  </si>
  <si>
    <t>DIANA LORENA SEPULVEDA RAMIREZ PARIS</t>
  </si>
  <si>
    <t>MIGUEL ANGEL LAITON BARRAGAN</t>
  </si>
  <si>
    <t>MALORY JULIO HERRERA</t>
  </si>
  <si>
    <t>RAFAEL ALEJANDRO PINEDA SANCHEZ</t>
  </si>
  <si>
    <t>OMAR JOSE MUÑOZ BARON</t>
  </si>
  <si>
    <t>PAULA ANDREA CARREÑO MONTOYA</t>
  </si>
  <si>
    <t>JESSICA TATIANA ROJAS SANCHEZ</t>
  </si>
  <si>
    <t>JHOAN ALEXANDER SANCHEZ REINA</t>
  </si>
  <si>
    <t>BRIDGET ROSSANA DIAZ BOGOTA</t>
  </si>
  <si>
    <t>SANTIAGO SIERRA AMEZQUITA</t>
  </si>
  <si>
    <t>JOHNSON RICARDO CRISTANCHO FAJARDO</t>
  </si>
  <si>
    <t>JAIRO ANDRES FLOREZ PINO</t>
  </si>
  <si>
    <t>JUAN DIEGO LOPEZ CASAS</t>
  </si>
  <si>
    <t>HOOVER HERNANDO BARRERO ROBAYO</t>
  </si>
  <si>
    <t>CRISTIAN LEONARDO POTES VELEZ</t>
  </si>
  <si>
    <t>MARIA CAMILA CARO PULIDO</t>
  </si>
  <si>
    <t>KEVIN SANTIAGO DUARTE ORJUELA</t>
  </si>
  <si>
    <t>NICOL ANDREA CARDENAS PADILLA</t>
  </si>
  <si>
    <t>ESTEFANIA CHAPARRO GUERRERO</t>
  </si>
  <si>
    <t>EJECUTIVA COMERCIAL Y ORIENTACION VOCACIONAL</t>
  </si>
  <si>
    <t>LUZ ADRIANA GONZALEZ ROSAS</t>
  </si>
  <si>
    <t>LUIS ALFREDO ROJAS LEON</t>
  </si>
  <si>
    <t>JUDYTH JOHANA PARRA ROMERO</t>
  </si>
  <si>
    <t>JUAN SEBASTIAN VIRGUEZ CORZO</t>
  </si>
  <si>
    <t>CARLOS MARIO OVIEDO FERIA</t>
  </si>
  <si>
    <t>STEVEN FERNANDO CORRECHA PERDOMO</t>
  </si>
  <si>
    <t>ADRIANA PATRICIA GARZON FORERO</t>
  </si>
  <si>
    <t>CESAR AUGUSTO MARULANDA ECHEVERRY</t>
  </si>
  <si>
    <t>KAREN DANIELA MATEUS ORJUELA</t>
  </si>
  <si>
    <t>NICOLAS GONZALEZ HENAO</t>
  </si>
  <si>
    <t>MARLON YEINER MEJIA ACOSTA</t>
  </si>
  <si>
    <t>EDWIN ALBEIRO PINZON PINZON</t>
  </si>
  <si>
    <t>LUZ MARY GUEVARA BARRETO</t>
  </si>
  <si>
    <t>CINDY TATIANA BARBA RAMIREZ</t>
  </si>
  <si>
    <t>JHOSTYN ALEJANDRO GAITAN ANTONIO</t>
  </si>
  <si>
    <t>ELIZABETH BLANCO LOPEZ</t>
  </si>
  <si>
    <t>NIDIA JOHANNA VARGAS BRAUSIN</t>
  </si>
  <si>
    <t>JHON JAIRO RODRIGUEZ PEREZ</t>
  </si>
  <si>
    <t>GERMAN CARRANZA ESPITIA</t>
  </si>
  <si>
    <t>LIDER DE RECAUDO</t>
  </si>
  <si>
    <t>CRISTIAN ANDRES RODRIGUEZ VARGAS</t>
  </si>
  <si>
    <t>DORA ISABEL MORENO AMAZO</t>
  </si>
  <si>
    <t>ANGELA JULIETH LINARES BEJARANO</t>
  </si>
  <si>
    <t>KAREN TATIANA PRIETO PEDRAZA</t>
  </si>
  <si>
    <t>JONATHAN ANDRES UZCATEGUI GONZALEZ</t>
  </si>
  <si>
    <t>DAYANA MARCELA RIVERA MULFORD</t>
  </si>
  <si>
    <t>NELSON ENRIQUE CASTRO LUNA</t>
  </si>
  <si>
    <t>MARIA ALEXANDRA BOLIVAR</t>
  </si>
  <si>
    <t>MATEO FERNANDO CHAPARRO VERGARA</t>
  </si>
  <si>
    <t>ANGIE CATHERINE LOPEZ HERNANDEZ</t>
  </si>
  <si>
    <t>EVY FERNANDA TAPIAS FORERO</t>
  </si>
  <si>
    <t>DAVID ESTEBAN MESA PEREZ</t>
  </si>
  <si>
    <t>ERIKA YURANY REINA CALDERON</t>
  </si>
  <si>
    <t>JAIDER CIPAMOCHA CASALLAS</t>
  </si>
  <si>
    <t>MILTON GEOVANI RANGEL MONROY</t>
  </si>
  <si>
    <t>MIGUEL ALEJANDRO URIBE MARTIN</t>
  </si>
  <si>
    <t>MIGUEL ANGEL CASTIBLANCO</t>
  </si>
  <si>
    <t>PAULA ANDREA BERNAL CARVAJAL</t>
  </si>
  <si>
    <t>BIENESTAR UNIVESITARIO, PROYECCION SOCIAL Y EGRESADOS</t>
  </si>
  <si>
    <t>CARLOS ANDRES VELASQUEZ ORTIZ</t>
  </si>
  <si>
    <t>DANIEL STEVEN CASTRO QUINTERO</t>
  </si>
  <si>
    <t>DELIO EDUARDO HIGUERA PEREZ</t>
  </si>
  <si>
    <t>MARIANA NICOLE MURILLO VARGAS</t>
  </si>
  <si>
    <t>ANTONIO JOSE BETANCUR</t>
  </si>
  <si>
    <t>JOSE ALI NAZARETH LINARES TORREALBA</t>
  </si>
  <si>
    <t>WILLIAM EDUARDO CUBIDES URIBE</t>
  </si>
  <si>
    <t>MENDEL SANTIAGO VACCA LEON</t>
  </si>
  <si>
    <t>DIANA MADELEYNE GAONA RODRIGUEZ</t>
  </si>
  <si>
    <t>JUAN JOSE FRANCO RESTREPO</t>
  </si>
  <si>
    <t>LEIDY VIVIANA ROJAS ACOSTA</t>
  </si>
  <si>
    <t>JUAN DIEGO PORTELA ROJAS</t>
  </si>
  <si>
    <t>VICERRECTORA ACADEMICA</t>
  </si>
  <si>
    <t>FACULTAD DE COMINICACIÓN PERIODISMO Y ARTES</t>
  </si>
  <si>
    <t>SERGIO DUBAN MORALES DUSSAN</t>
  </si>
  <si>
    <t>FERNANDO MANRIQUE NIÑO</t>
  </si>
  <si>
    <t>COORDINADORA DE PLANEACIÓN</t>
  </si>
  <si>
    <t>JEFFERSON ANDRES BARRETO DIAZ</t>
  </si>
  <si>
    <t>SHIRLEY HELAREN MEDELO VACA</t>
  </si>
  <si>
    <t>JHOAN SEBASTIAN MACHADO AGUIRRE</t>
  </si>
  <si>
    <t>JHON EDWAR RODRIGUEZ RODRIGUEZ</t>
  </si>
  <si>
    <t>JOHN ELIECER GARZON MALDONADO</t>
  </si>
  <si>
    <t>PEDRO YOVVANNI PRIETO SANCHEZ</t>
  </si>
  <si>
    <t>PEDRO NEL URREA ROA</t>
  </si>
  <si>
    <t>CARLOS JAVIER GUERRERO RAMIREZ</t>
  </si>
  <si>
    <t>JESUS OSWALDO MORENO CRISTANCHO</t>
  </si>
  <si>
    <t>CARLOS EFREN FERNANDEZ HERNANDEZ</t>
  </si>
  <si>
    <t>DIANA MARCELA OROZCO RAMOS</t>
  </si>
  <si>
    <t>NIDIA CONSTANZA GIL CARBONELL</t>
  </si>
  <si>
    <t>ANGELA MARCELA AGUDELO AGUDELO</t>
  </si>
  <si>
    <t>MARIA DEL PILAR BONILLA MORENO</t>
  </si>
  <si>
    <t>EDGAR EUDORO MARTINEZ CALLEJAS</t>
  </si>
  <si>
    <t>YENIS PAOLA MENDOZA PEREZ</t>
  </si>
  <si>
    <t>ANDRES FELIPE RODRIGUEZ CUELLAR</t>
  </si>
  <si>
    <t>YESENIA PAOLA PINEDA HURTADO</t>
  </si>
  <si>
    <t>DIANA MARCELA AGUILAR QUIROGA</t>
  </si>
  <si>
    <t>GINA MARCELA AVILA CRUZ</t>
  </si>
  <si>
    <t>CHRISTIAN MAURICIO SUAREZ SUAREZ</t>
  </si>
  <si>
    <t>JHEISON DAVID FERRO QUINTERO</t>
  </si>
  <si>
    <t>FABIAN ESTIBEN NAVARRO DURAN</t>
  </si>
  <si>
    <t>JEFFERSON REINA SOLANO</t>
  </si>
  <si>
    <t>JOHAN SEBASTIAN LUNA RODRÍGUEZ</t>
  </si>
  <si>
    <t>WILMER RINCON MONTAÑEZ</t>
  </si>
  <si>
    <t>LUZ ADRIANA ANGARITA MALAVER</t>
  </si>
  <si>
    <t>NIDIA ANDREA MELO WILCHES</t>
  </si>
  <si>
    <t>ANTONIO JOSE ROMERO VERGARA</t>
  </si>
  <si>
    <t>ESPECIALIZACIÓN EN GERENCIA DE PROYECTOS</t>
  </si>
  <si>
    <t>MAIRA ALEJANDRA CANTE OSORIO</t>
  </si>
  <si>
    <t>NARRATIVAS DIGITALES Y AUDIOVISUALES</t>
  </si>
  <si>
    <t>TECNOLOGÍA EN PRODUCCIÓN DE CONTENIDOS PERIODÍSTICOS</t>
  </si>
  <si>
    <t>JULIAN VICENTE VEGA SILVA</t>
  </si>
  <si>
    <t>SEBASTIAN FERNANDO ALVARADO BURBANO</t>
  </si>
  <si>
    <t>NICOLAS RODRIGUEZ PACHECO</t>
  </si>
  <si>
    <t>NATALIA MORALES ROZO</t>
  </si>
  <si>
    <t>JESUS DAVID ROLDAN GARZON</t>
  </si>
  <si>
    <t>ERICK SANTIAGO ESPEJO CONTRERAS</t>
  </si>
  <si>
    <t>LIZET ESTEFANIA MENDEZ ALEGRIA</t>
  </si>
  <si>
    <t>LÍDER DE COMUNICACION EXTERNA</t>
  </si>
  <si>
    <t>ESPECIALIZACIÓN EN INNOVACIÓN DIGITAL</t>
  </si>
  <si>
    <t>PROMOTOR DE SERVICIO AL ESTUDIANTE</t>
  </si>
  <si>
    <t>JHON ANDERSON BELTRAN ACEVEDO</t>
  </si>
  <si>
    <t>PROMOTOR DE PRACTICAS</t>
  </si>
  <si>
    <t>LÍDER DE COMUNICACION INTERNA</t>
  </si>
  <si>
    <t>JHAN CARLOS HOYOS BASTIDAS</t>
  </si>
  <si>
    <t>COORDINADOR DEL SISTEMA INTERNO DE ASEGURAMIENTO DE LA CALIDAD - SIAC</t>
  </si>
  <si>
    <t>COORDINADOR COMERCIAL Y DE VENTA</t>
  </si>
  <si>
    <t>DIRECTORA DE BIENESTAR INSTITUCIONAL</t>
  </si>
  <si>
    <t>LIDER DE ASEGURAMIENTO DE LA CALIDAD</t>
  </si>
  <si>
    <t>LÍDER DE PRACTICAS Y EMPLEABILIDAD</t>
  </si>
  <si>
    <t>LÍDER DE GESTIÓN DOCENTE</t>
  </si>
  <si>
    <t>LÍDER DE DEPORTE Y CULTURA</t>
  </si>
  <si>
    <t>DIRECTORA DE INVESTIGACIÓN, PROYECCIÓN SOCIAL Y CREACION ARTÍSTICA</t>
  </si>
  <si>
    <t>ANGIE MARCELA PUELLO AGUILAR</t>
  </si>
  <si>
    <t>LÍDER DE GRADUADOS Y PROYECTOS ESPECIALES</t>
  </si>
  <si>
    <t>DAVID SANTIAGO BULLA ACEVEDO</t>
  </si>
  <si>
    <t>DIEGO OSORIO REINA</t>
  </si>
  <si>
    <t>ANNY PAOLA GOMEZ RAMIREZ</t>
  </si>
  <si>
    <t>LIDER COMERCIAL DE ALIANZAS Y CONVENIOS</t>
  </si>
  <si>
    <t>LUZ MYRIAM SAAVEDRA CONTRERAS</t>
  </si>
  <si>
    <t>LUZ ANGELA MARQUEZ VARGAS</t>
  </si>
  <si>
    <t>ASISTENTE ADMINISTRATIVO DE FACULTAD</t>
  </si>
  <si>
    <t>MARIA JOSE PERALTA PACHECO</t>
  </si>
  <si>
    <t>CARLOS MIGUEL FABIAN RODRIGUEZ CAMACHO</t>
  </si>
  <si>
    <t>SEBASTIAN CAMILO MORENO CHAVEZ</t>
  </si>
  <si>
    <t>ARLIS NORELLY DELBASTO FORERO</t>
  </si>
  <si>
    <t>PROMOTOR DE BIENESTAR INSTITUCIONAL</t>
  </si>
  <si>
    <t>LIDER DE DESAROLLO HUMANO</t>
  </si>
  <si>
    <t>DEIVID STIFFER VANEGAS QUIROZ</t>
  </si>
  <si>
    <t>COORDINADORA DE EXTENSIÓN Y RELACIONES INSTITUCIONALES</t>
  </si>
  <si>
    <t>PROMOTOR COMERCIAL DEL CEA</t>
  </si>
  <si>
    <t>MARILYN GAITAN HERRERA</t>
  </si>
  <si>
    <t>ANDRES JULIAN TRUJILLO PALOMO</t>
  </si>
  <si>
    <t>LEIDY KATHERIN ORTIZ GOMEZ</t>
  </si>
  <si>
    <t>SOL CATALINA ROCHA GOMEZ</t>
  </si>
  <si>
    <t>DARWIN ANTONIO BRAVO TRUJILLO</t>
  </si>
  <si>
    <t>SUPERVISOR DE FORMACION</t>
  </si>
  <si>
    <t>SAMAEL FERRO PARRAGA</t>
  </si>
  <si>
    <t>FABIAN JOSE BELTRAN CELESTINO</t>
  </si>
  <si>
    <t>ADRIANA MARCELA ZORIANO VIVAS</t>
  </si>
  <si>
    <t>DIEGO ANDRES HERRERA CASTRO</t>
  </si>
  <si>
    <t>DAVID ADOLFO VILLALOBOS ANGEL</t>
  </si>
  <si>
    <t>JORGE IVAN CABRERA DURAN</t>
  </si>
  <si>
    <t>CECILIA DEL CARMEN ULLOA RIVADENEIRA</t>
  </si>
  <si>
    <t>DIANA PATRICIA RIOS GARCIA</t>
  </si>
  <si>
    <t>GIOVANI CHAPARRO ROMERO</t>
  </si>
  <si>
    <t>DAVID GERARDO LOPEZ MEDINA</t>
  </si>
  <si>
    <t>DAVID ALEJANDRO DELGADO CIFUENTES</t>
  </si>
  <si>
    <t>FELIPE DIAZ LOMBANA</t>
  </si>
  <si>
    <t>EDISON CASTRO FLOREZ</t>
  </si>
  <si>
    <t>ANALISTA DE INFRAESTRUCTURA</t>
  </si>
  <si>
    <t>DIANA ALEXANDRA RODRIGUEZ GONZALEZ</t>
  </si>
  <si>
    <t>ERIKA VIVIANA AMAYA CHACON</t>
  </si>
  <si>
    <t>MARCOS WISTAK</t>
  </si>
  <si>
    <t>LUIS MAXIMILIANO CABELLO LEON</t>
  </si>
  <si>
    <t>LIDER DE PRACTICAS</t>
  </si>
  <si>
    <t>FRANCISCO ALEJANDRO CASTRO JARAMILLO</t>
  </si>
  <si>
    <t>YOHAN JULIAN VARGAS CASTELLANOS</t>
  </si>
  <si>
    <t>DAMASO ERLYN HERNANDEZ RIVAS</t>
  </si>
  <si>
    <t>ESPECIALIZACION EN VISUAL ANALITYCS Y BIG DATA</t>
  </si>
  <si>
    <t>ALEJANDRO ANGEL TORRES</t>
  </si>
  <si>
    <t>ESPECIALIZACION EN PERIODISMO Y NARRATIVAS DIGITALES</t>
  </si>
  <si>
    <t>COORDINADOR DE MERCADEO DE PROYECTOS ESPECILAES</t>
  </si>
  <si>
    <t>AMAURY ARCENIO CABRERA CANO</t>
  </si>
  <si>
    <t>LIBARDO ASPRILLA LARA</t>
  </si>
  <si>
    <t>CAMILO ERNESTO VILLOTA PASCUAZA</t>
  </si>
  <si>
    <t>EDISON ARTURO CADENA MENA</t>
  </si>
  <si>
    <t>DIR. MERCADEO, COMUNICACIONES Y ADMISIONES</t>
  </si>
  <si>
    <t>TECNICO LABORAL EN AUXILIAR DE SISTEMAS INFORMATICOS</t>
  </si>
  <si>
    <t>EMILSEN RAMIREZ CUESTA</t>
  </si>
  <si>
    <t>DINAH LUZ CAUSIL PEÑATE</t>
  </si>
  <si>
    <t>LIDER DE PROYECTOS ESPECIALES</t>
  </si>
  <si>
    <t>DIANA PATRICIA CAÑON GUALI</t>
  </si>
  <si>
    <t>GLADYS QUIROGA RIAÑO</t>
  </si>
  <si>
    <t>INGRID PATRICIA SALINAS BERMUDEZ</t>
  </si>
  <si>
    <t>DIRECTORA ADMINISTRATIVA Y DE GESTION HUMANA</t>
  </si>
  <si>
    <t>OLGA GAVILAN BENAVIDES</t>
  </si>
  <si>
    <t>EVELYN DOMINGUEZ SERRANO</t>
  </si>
  <si>
    <t>MARIA CECILIA DIAZ RIOS</t>
  </si>
  <si>
    <t>ERIKA MARITZA GONZALEZ CHAVEZ</t>
  </si>
  <si>
    <t>TECNOLOGIA EN DESARROLLO DE SOFTWARE</t>
  </si>
  <si>
    <t>ADRIANA ANDREA SEGOVIA RODRIGUEZ</t>
  </si>
  <si>
    <t>DIRECTORA DE INFORMATICA Y TECNOLOGIA</t>
  </si>
  <si>
    <t>ANA MARIA VALDERRAMA JARA</t>
  </si>
  <si>
    <t>SANDRA MARIA RAMIREZ BOTERO</t>
  </si>
  <si>
    <t>VERONICA FABIANA RINCON CANTOR</t>
  </si>
  <si>
    <t>MARTHA LUCIA MELO CAVIATIVA</t>
  </si>
  <si>
    <t>GLENDA ROSA JIMENEZ PADILLA</t>
  </si>
  <si>
    <t>LUZ LILIANA CORTES QUECANO</t>
  </si>
  <si>
    <t>LIDER DE EVENTOS Y MEDIOS AUDIOVISUALES</t>
  </si>
  <si>
    <t>MYRIAM JANNETH USECHE PARADA</t>
  </si>
  <si>
    <t>MARIA RUBIANA OLIVEROS FORERO</t>
  </si>
  <si>
    <t>COORDINADOR DE LA OFICINA DE REGISTRO Y CONTROL</t>
  </si>
  <si>
    <t>LIDER DE COMPRAS Y CONTRATACION</t>
  </si>
  <si>
    <t>MARISOL FARFAN QUIROGA</t>
  </si>
  <si>
    <t>LESLIE JULIETH BALLESTEROS SANTOS</t>
  </si>
  <si>
    <t>LUZ ANDREA GONZALEZ ROA</t>
  </si>
  <si>
    <t>KELLY JOHANNA BOHORQUEZ MENDEZ</t>
  </si>
  <si>
    <t>TECNICO LABORAL EN AUXILIAR EN SEGURIDAD EN EL TRABAJO</t>
  </si>
  <si>
    <t>LESLY DAYANA GONZALEZ FAJARDO</t>
  </si>
  <si>
    <t>MELISSA AVENDAÑO TOCANCHON</t>
  </si>
  <si>
    <t>MARTHA JANETH DAZA</t>
  </si>
  <si>
    <t>AMANDA VIVIANA RICO ARIAS</t>
  </si>
  <si>
    <t>SANDRA PAOLA LOAIZA SANDOVAL</t>
  </si>
  <si>
    <t>MARILUZ PARRA ORTIZ</t>
  </si>
  <si>
    <t>ELVY JOHANNA RAMIREZ DONCEL</t>
  </si>
  <si>
    <t>VIVIANA ANDREA AGUIRRE VALENCIA</t>
  </si>
  <si>
    <t>TECNICO LABORAL EN AUXILIAR DE MERCADEO Y VENTAS</t>
  </si>
  <si>
    <t>LUISA YORLENY MALDONADO VALERIANO</t>
  </si>
  <si>
    <t>YURI KATERINE MORENO MARTINEZ</t>
  </si>
  <si>
    <t>ANYI CATTERINE PULIDO PARRA</t>
  </si>
  <si>
    <t>VIVIANA MARCELA AGUILLON GARCIA</t>
  </si>
  <si>
    <t>DIANA MILENA MONTOYA FORERO</t>
  </si>
  <si>
    <t>MARIO JOSE FLOYD QUINTERO</t>
  </si>
  <si>
    <t>CARLOS ALFONSO FABREGAS MERIÑO</t>
  </si>
  <si>
    <t>COORDINADOR DEL SISTEMA INTEGRADO DE GESTION INSTITUCIONAL - SIGI</t>
  </si>
  <si>
    <t>ERWIN ERNESTO CASTAÑEDA SOPO</t>
  </si>
  <si>
    <t>BIDERMAN GONZALEZ GONZALEZ</t>
  </si>
  <si>
    <t>OMAR GALINDO SERRANO</t>
  </si>
  <si>
    <t>OSCAR BARRAGAN PAEZ</t>
  </si>
  <si>
    <t>SERGIO FERNANDO BARBOSA CHACON</t>
  </si>
  <si>
    <t>TECNICO EN MANTENIMIENTO DE RECURSOS ACADEMICOS</t>
  </si>
  <si>
    <t>PROFESIONAL EN INGENIERIA MULTIMEDIA</t>
  </si>
  <si>
    <t>CARLOS JAVIER MATIZ PARRA</t>
  </si>
  <si>
    <t>JULIAN RONALDO MONTOYA GAONA</t>
  </si>
  <si>
    <t>ALVARO GUACANEME TUNJANO</t>
  </si>
  <si>
    <t>NELSON MONGUA PEDREROS</t>
  </si>
  <si>
    <t>JHON ALEXANDER RICO DURAN</t>
  </si>
  <si>
    <t>RICARDO ROA DIAZ</t>
  </si>
  <si>
    <t>JUAN MAURICIO AVILA LEON</t>
  </si>
  <si>
    <t>SANTIAGO FELIPE CARDENAS GARCIA</t>
  </si>
  <si>
    <t>FABIAN EDUARDO RODRIGUEZ QUINTERO</t>
  </si>
  <si>
    <t>CARLOS STEAVE DAVILA MENESES</t>
  </si>
  <si>
    <t>BERTULFO PUENTES DIAZ</t>
  </si>
  <si>
    <t>ENTRENADOR DEL CENTRO DE ENTRENAMIENTO EN ALTURAS</t>
  </si>
  <si>
    <t>ALEJANDRO VIVAS CASTRO</t>
  </si>
  <si>
    <t>HECTOR ALIRIO MARTINEZ TORRES</t>
  </si>
  <si>
    <t>IVAN DAVID RODRIGUEZ BURGOS</t>
  </si>
  <si>
    <t>ALBERTO GOMEZ MELO</t>
  </si>
  <si>
    <t>JAIME EDUARDO PINZON QUINTERO</t>
  </si>
  <si>
    <t>GABRIEL ALBERTO MORENO MONROY</t>
  </si>
  <si>
    <t>ANDRES RICARDO NOVOA MONTOYA</t>
  </si>
  <si>
    <t>JORGE MARIO ORJUELA MARQUEZ</t>
  </si>
  <si>
    <t>ALBERTO HERNAN SEGURA ABRIL</t>
  </si>
  <si>
    <t>LUIS GUSTAVO FIERRO MAYA</t>
  </si>
  <si>
    <t>EDILBERTO RAMIREZ RIVERA</t>
  </si>
  <si>
    <t>EDISON ERNESTO CUERVO SALAZAR</t>
  </si>
  <si>
    <t>ALEXIS ARMANDO HERRERA PIÑEROS</t>
  </si>
  <si>
    <t>JOSE MAXIMILIANO GOMEZ TORRES</t>
  </si>
  <si>
    <t>JORGE ENRIQUE CARDENAS RESTREPO</t>
  </si>
  <si>
    <t>EDGAR CAMILO RAMIREZ GAVILAN</t>
  </si>
  <si>
    <t>LIDER DE RECURSOS AUDIOVISUALES</t>
  </si>
  <si>
    <t>OSCAR MAURICIO CARVAJAL COMBARIZA</t>
  </si>
  <si>
    <t>CARLOS ALBERTO WILCHES BELTRAN</t>
  </si>
  <si>
    <t>JOSE DANIEL MEDINA MONROY</t>
  </si>
  <si>
    <t>DAVID EDUARDO SANCHEZ MONROY</t>
  </si>
  <si>
    <t>LIDER DE RECURSOS ACADEMICOS</t>
  </si>
  <si>
    <t>DIDIER MAURICIO HURTADO COLLAZOS</t>
  </si>
  <si>
    <t>JACKSON MAURICIO RODRIGUEZ BERNAL</t>
  </si>
  <si>
    <t>GABRIEL RICARDO CUBILLOS PEÑA</t>
  </si>
  <si>
    <t>ELMED LEONEL MELO MELO</t>
  </si>
  <si>
    <t>DIEGO ALEXANDER ACOSTA MENDEZ</t>
  </si>
  <si>
    <t>YEISON YOSET TOVAR BARBOSA</t>
  </si>
  <si>
    <t>JULIAN LEONARDO RUIZ MILLAN</t>
  </si>
  <si>
    <t>HECTOR IVAN GRANADOS INFANTE</t>
  </si>
  <si>
    <t>ESTEBAN ADOLFO QUESADA SALAZAR</t>
  </si>
  <si>
    <t>ANDRES ARMANDO DUARTE PRIETO</t>
  </si>
  <si>
    <t>JEISON ASTUDILLO BALLEN</t>
  </si>
  <si>
    <t>WILSON HERNAN OLARTE RAMIREZ</t>
  </si>
  <si>
    <t>STIVEN ORLANDO ROJAS PULIDO</t>
  </si>
  <si>
    <t>MIGUEL ANGEL LOZANO MONTENEGRO</t>
  </si>
  <si>
    <t>CARLOS ALBERTO ACERO RODRIGUEZ</t>
  </si>
  <si>
    <t>JORGE MARIO KARAM ROZO</t>
  </si>
  <si>
    <t>JUSTO REINALDO ARIAS OMAÑA</t>
  </si>
  <si>
    <t>LUIS ALBERTO REYES PRIETO</t>
  </si>
  <si>
    <t>GUSTAVO RAFAEL MONTERO GUARIN</t>
  </si>
  <si>
    <t>JOHN JAIRO BELTRAN ASSIA</t>
  </si>
  <si>
    <t>ALEJANDRO RAMIREZ TUNJUELO</t>
  </si>
  <si>
    <t>LAURA NATHALY VELASQUEZ AMORTEGUI</t>
  </si>
  <si>
    <t>LIZ VALENTINA JIMENEZ PEÑA</t>
  </si>
  <si>
    <t>JOSE SAMUEL MARCA GOMEZ</t>
  </si>
  <si>
    <t>LAURA CAMILA SANCHEZ MARTINEZ</t>
  </si>
  <si>
    <t>PROMOTOR DE GESTION ACADEMICA</t>
  </si>
  <si>
    <t>SEBASTIAN DAVID MELO DIAZ</t>
  </si>
  <si>
    <t>MARIO ANDRES MANRIQUE RODRIGUEZ</t>
  </si>
  <si>
    <t>FRANCI VALENTINA CANO PUENTES</t>
  </si>
  <si>
    <t>ANDRES FELIPE RINCON CADENA</t>
  </si>
  <si>
    <t>DANIEL ESTEBAN CUBILLOS AVILA</t>
  </si>
  <si>
    <t>JERSSON JHOAN BUSTOS OBANDO</t>
  </si>
  <si>
    <t>CAROL VANESSA MARTINEZ OLMOS</t>
  </si>
  <si>
    <t>SERGIO ZABALETA CEDIEL</t>
  </si>
  <si>
    <t>BRANDON LEONARDO ARDILA HERNANDEZ</t>
  </si>
  <si>
    <t>VALENTINA OLARTE PEREZ</t>
  </si>
  <si>
    <t>MONICA SOPHIA CADAVID MACIAS</t>
  </si>
  <si>
    <t>AUXILIAR DE RECURSOS AUDIOVISUALES</t>
  </si>
  <si>
    <t>ANGIE KATHERINE AREVALO LOPEZ</t>
  </si>
  <si>
    <t>ANDRES FELIPE MOSCOSO BARON</t>
  </si>
  <si>
    <t>ROBINSON ANDRES SUAREZ PINEDA</t>
  </si>
  <si>
    <t>CIELO MARIANA RODRIGUEZ PIÑEROS</t>
  </si>
  <si>
    <t>ASISTENTE ADMINISTRATIVO VAC</t>
  </si>
  <si>
    <t>SANTIAGO MORENO ROJAS</t>
  </si>
  <si>
    <t>AUXILIAR DE COMUNICACIONES</t>
  </si>
  <si>
    <t>MARIA ALEJANDRA GALINDO</t>
  </si>
  <si>
    <t>MANUEL ARTURO BECERRA BECERRA</t>
  </si>
  <si>
    <t>ANGIE PAOLA ARDILA FAJARDO</t>
  </si>
  <si>
    <t>ANGIE GABRIELA ADAMES RAMOS</t>
  </si>
  <si>
    <t>KAROL NATALIA LOZANO HERRERA</t>
  </si>
  <si>
    <t>JAYDER LIBARDO SILVA GOMEZ</t>
  </si>
  <si>
    <t>VALENTINA FORERO PEDREROS</t>
  </si>
  <si>
    <t>LIDER DEL CENTRO DE ENTRENAMIENTO EN ALTURAS</t>
  </si>
  <si>
    <t>JUAN SEBASTIAN AVILA SUESCA</t>
  </si>
  <si>
    <t>ASISTENTE JURIDICO</t>
  </si>
  <si>
    <t>OSCAR STEVEN PEREZ HIDALGO</t>
  </si>
  <si>
    <t>AUXILIAR DE RECURSOS ACADEMICOS</t>
  </si>
  <si>
    <t>LAURA JERALDINE PEÑA VARELA</t>
  </si>
  <si>
    <t>MARIA FERNANDA HERRERA SARMIENTO</t>
  </si>
  <si>
    <t>ABOGADA JUNIOR - GESTION CONTRACTUAL</t>
  </si>
  <si>
    <t>BREHITNER JAVIER NAVARRO CONTENTO</t>
  </si>
  <si>
    <t>JUAN SEBASTIAN RUEDA OLIVAR</t>
  </si>
  <si>
    <t>LINA SOFIA OSORIO</t>
  </si>
  <si>
    <t>JULIANA VALENTINA VARGAS BUSTOS</t>
  </si>
  <si>
    <t>JULIAN MAURICIO GUTIERREZ SALCEDO</t>
  </si>
  <si>
    <t>JAVIER STIVEN GOMEZ GALEON</t>
  </si>
  <si>
    <t>JULIAN DAVID BELTRAN BOLIVAR</t>
  </si>
  <si>
    <t>JHOFRE GETZAEL BEDOYA CUBILLOS</t>
  </si>
  <si>
    <t>YULIETH ALEJANDRA LEON RODRIGUEZ</t>
  </si>
  <si>
    <t>SERGIO VARGAS BONILLA</t>
  </si>
  <si>
    <t>SEBASTIAN MOLINA GUIO</t>
  </si>
  <si>
    <t>GABRIELA MARTINA TRIVIÑO DIAZ</t>
  </si>
  <si>
    <t>NICOLAS DAVID CORTES GONZALEZ</t>
  </si>
  <si>
    <t>ABOGADO JUNIOR</t>
  </si>
  <si>
    <t>LIDER DE GRADUADOS Y EMPLEABILIDAD</t>
  </si>
  <si>
    <t>JAVIER ANTONIO PEÑUELA GONZALEZ</t>
  </si>
  <si>
    <t>DAVID FELIPE NASMUTA RINCON</t>
  </si>
  <si>
    <t>ANALISTA DE TESORERIA</t>
  </si>
  <si>
    <t>JOHAN EDUARDO RUBIANO GOMEZ</t>
  </si>
  <si>
    <t>MIGUEL ANGEL LOPEZ FONSECA</t>
  </si>
  <si>
    <t>STHEFANY CASTILLO TRIANA</t>
  </si>
  <si>
    <t>YURY MARCELA CASALLAS BERNAL</t>
  </si>
  <si>
    <t>CRISTIAN FABIAN ROJAS SANCENO</t>
  </si>
  <si>
    <t>LUZ EDILMA HERNANDEZ RODRIGUEZ</t>
  </si>
  <si>
    <t>JESNY NICOL GUTIERREZ FRANCO</t>
  </si>
  <si>
    <t>DIANA CAROLINA MARIN BETANCOURT</t>
  </si>
  <si>
    <t>LAURA VANESSA JIMENEZ VILLANUEVA</t>
  </si>
  <si>
    <t>FREDY ALVARADO MEDINA</t>
  </si>
  <si>
    <t>LUISA FERNANDA LOZA MUÑETON</t>
  </si>
  <si>
    <t>ALEXANDER AFANADOR ACOSTA</t>
  </si>
  <si>
    <t>PABLO JAVIER MEDINA RAMIREZ</t>
  </si>
  <si>
    <t>ALEXANDER BELTRAN AGUILERA</t>
  </si>
  <si>
    <t>ERIKA ANDREA MONTALVO LOZANO</t>
  </si>
  <si>
    <t>YURY ANDREA CARRILLO MARTINEZ</t>
  </si>
  <si>
    <t>LINA MARIA QUIROZ ALVAREZ</t>
  </si>
  <si>
    <t>LAURA VANESSA RINCON VARGAS</t>
  </si>
  <si>
    <t>JORGE ANDRES LIEVANO LOPEZ</t>
  </si>
  <si>
    <t>JOHAN STIVEN MEDINA SANCHEZ</t>
  </si>
  <si>
    <t>JENNIFER ASTRID ROMERO HURTADO</t>
  </si>
  <si>
    <t>ANDERSON FABIAN ARDILA RONDON</t>
  </si>
  <si>
    <t>HANSEL JAVIER CABRERA CANTOR</t>
  </si>
  <si>
    <t>LINA PAOLA ARIAS CHACON</t>
  </si>
  <si>
    <t>DIDIER ANDRES ACOSTA URREGO</t>
  </si>
  <si>
    <t>PAULA ANDREA PAEZ BUITRAGO</t>
  </si>
  <si>
    <t>ELIANA MARIA ALDANA ESCALANTE</t>
  </si>
  <si>
    <t>YENNY MARCELA PERALTA GUZMAN</t>
  </si>
  <si>
    <t>JUAN DIEGO QUINTERO CASTRO</t>
  </si>
  <si>
    <t>YULI ANDREA RAMIREZ CELY</t>
  </si>
  <si>
    <t>LIDER DE INTERNACIONALIZACION</t>
  </si>
  <si>
    <t>YESICA YIRNEY MARTINEZ RODRIGUEZ</t>
  </si>
  <si>
    <t>WINDY LUCIA PERDOMO LEON</t>
  </si>
  <si>
    <t>LIDER DE ORGANIZACIÓN Y RECURSOS ACADÉMICOS</t>
  </si>
  <si>
    <t>LIDER DE VINCULACION COLEGIOS</t>
  </si>
  <si>
    <t>ANGEL DAVID GAMBOA PIZA</t>
  </si>
  <si>
    <t>LIDER DE JOVENES A LA E</t>
  </si>
  <si>
    <t>PATRICK MAVERICK GARZON ROBAYO</t>
  </si>
  <si>
    <t>ISABEL CRISTINA PEREZ ECHEVERRI</t>
  </si>
  <si>
    <t>FELIPE HUMBERTO FIGUEROA AVELLANEDA</t>
  </si>
  <si>
    <t>FRANCY STELLA CHARRY MORENO</t>
  </si>
  <si>
    <t>LUISA FERNANDA RODRIGUEZ RODRIGUEZ</t>
  </si>
  <si>
    <t>ANDREA PAOLA MARIN SUAREZ</t>
  </si>
  <si>
    <t>LINA MARIA SANDOVAL LOPEZ</t>
  </si>
  <si>
    <t>YULIETH ROCIO SILVA PLAZAS</t>
  </si>
  <si>
    <t>RAQUEL YANETH SANDOVAL FORERO</t>
  </si>
  <si>
    <t>DANIEL HAKIM GENES VARGAS</t>
  </si>
  <si>
    <t>JUAN RICARDO BOSSA PRECIADO</t>
  </si>
  <si>
    <t>SANTIAGO JOSE GALLO SUAREZ</t>
  </si>
  <si>
    <t>YULY ESPERANZA MALDONADO CORREA</t>
  </si>
  <si>
    <t>LIDER DE EDUCACION PARA EL TRABAJO</t>
  </si>
  <si>
    <t>LEONARDO VALENZUELA RODRIGUEZ</t>
  </si>
  <si>
    <t>LINA MARCELA GARCIA CRUZ</t>
  </si>
  <si>
    <t>ANGIE LORENA HERNANDEZ BOLAÑOS</t>
  </si>
  <si>
    <t>IVAN FERNEY MONTOYA BOLAÑOS</t>
  </si>
  <si>
    <t>GINA PAOLA ALZATE ARISTIZABAL</t>
  </si>
  <si>
    <t>DAVID SANTIAGO GARZON MOYA</t>
  </si>
  <si>
    <t>IAN DAVID TENJICA CONTRERAS</t>
  </si>
  <si>
    <t>DANIELA OSPINA NORIEGA</t>
  </si>
  <si>
    <t>SANDRA PAOLA SUAREZ HUERTAS</t>
  </si>
  <si>
    <t>JOHAN SANTIAGO MUÑOZ VELANDIA</t>
  </si>
  <si>
    <t>ALISON TATIANA MARIN TARQUINO</t>
  </si>
  <si>
    <t>LEIDY JOHANNA ARIAS BUITRAGO</t>
  </si>
  <si>
    <t>ANGEE STEPHANIA ALDANA MURCIA</t>
  </si>
  <si>
    <t>MARGARITA MARIA VALDIVIESO BELTRAN</t>
  </si>
  <si>
    <t>LINA MARIA LADINO AREVALO</t>
  </si>
  <si>
    <t>FERNEY ANDRES CHASPUENGAL RAMIREZ</t>
  </si>
  <si>
    <t>STEPHANIA PARDO PATIÑO</t>
  </si>
  <si>
    <t>MATEO ALEJANDRO VILLAMIL ROMERO</t>
  </si>
  <si>
    <t>OSCAR ANDRES AMADO VELASCO</t>
  </si>
  <si>
    <t>DIEGO NICOLAS GARCIA ORTEGA</t>
  </si>
  <si>
    <t>LUIS EDUARDO VELASQUEZ TORRES</t>
  </si>
  <si>
    <t>NICOLAS MORA SANCHEZ</t>
  </si>
  <si>
    <t>JOHAN CAMILO DURAN BELTRAN</t>
  </si>
  <si>
    <t>JONY ENRIQUE CASTEBLANCO ROMERO</t>
  </si>
  <si>
    <t>COORDINADORA DE GESTIÓN HUMANA</t>
  </si>
  <si>
    <t>GINA PAOLA MORALES BUSTOS</t>
  </si>
  <si>
    <t>AUXILIAR DE TESORERIA</t>
  </si>
  <si>
    <t>JOSHUA JAVIER ARTURO QUINTERO CHIMBI</t>
  </si>
  <si>
    <t>MANUEL GERARDO CASTILLO NAVARRETE</t>
  </si>
  <si>
    <t>WILSON FERNANDO AVILES SABOGAL</t>
  </si>
  <si>
    <t>ANGIE MILENA CAMARGO ESPEJO</t>
  </si>
  <si>
    <t>EDISON ALEJANDRO SALAZAR HERNANDEZ</t>
  </si>
  <si>
    <t>SARAY MILENA GONZALEZ LAMUS</t>
  </si>
  <si>
    <t>VALENTINA PEÑARETE LEON</t>
  </si>
  <si>
    <t>LUISA FERNANDA ROCHA JIMENEZ</t>
  </si>
  <si>
    <t>LORENA ROCIO VIRGUEZ SIERRA</t>
  </si>
  <si>
    <t>DARLYN STEPHANY PEÑARANDA BELTRAN</t>
  </si>
  <si>
    <t>COORDINADOR DE COMUNICACIONES E IMAGEN INSTITUCIONAL</t>
  </si>
  <si>
    <t>IVAN ALEJANDRO FUQUENE ROJAS</t>
  </si>
  <si>
    <t>EDUAR JAMIR RUBIANO BARRETO</t>
  </si>
  <si>
    <t>IVAN ANDRES BARRERO FIGUEROA</t>
  </si>
  <si>
    <t>VALERIA GUERRERO GONZALEZ</t>
  </si>
  <si>
    <t>JUAN ESTEBAN CRUZ HERNANDEZ</t>
  </si>
  <si>
    <t>JUAN DIEGO AGUIRRE TORRES</t>
  </si>
  <si>
    <t>JULIÁN FELIPE CÁRDENAS ZIPASUCA</t>
  </si>
  <si>
    <t>ELIANA CAMILA GUERRERO LATORRE</t>
  </si>
  <si>
    <t>ALCIBIADES ALIRIO CESPEDES GIL</t>
  </si>
  <si>
    <t>YEISON IVAN ROZO JIMENEZ</t>
  </si>
  <si>
    <t>MICHAEL STIVENS ALFONSO JIMÉNEZ</t>
  </si>
  <si>
    <t>ABRAHAM ORTIZ MIRANDA</t>
  </si>
  <si>
    <t>LINA PATRICIA DIAZ RODRIGUEZ</t>
  </si>
  <si>
    <t>ANDRES DAVID CHILATRA OTAVO</t>
  </si>
  <si>
    <t>JUAN RICARDO ANDRES CABRERA AGUAZACO</t>
  </si>
  <si>
    <t>VIVIANA ANDREA GIRAL ALARCON</t>
  </si>
  <si>
    <t>COORDINADORA DE EGRESADOS</t>
  </si>
  <si>
    <t>JOHANNA PAOLA GUTIERREZ BELLO</t>
  </si>
  <si>
    <t>LIDER DE SERVICIO AL ESTUDIANTE</t>
  </si>
  <si>
    <t>JULIANA PANQUEBA GOMEZ</t>
  </si>
  <si>
    <t>ADRIANA HERNANDEZ BEJARANO</t>
  </si>
  <si>
    <t>OSCAR LEONARDO BELTRAN OLAYA</t>
  </si>
  <si>
    <t>JHONATAN CRISTHIAN BARRETO PUENTES</t>
  </si>
  <si>
    <t>MISAEL ANDRES PATIÑO VARGAS</t>
  </si>
  <si>
    <t>ANGELA KATHERIN MUNAR ALONSO</t>
  </si>
  <si>
    <t>LUIS ALEJANDRO CASTAÑEDA VARON</t>
  </si>
  <si>
    <t>GINA PAOLA BAEZ GALVIS</t>
  </si>
  <si>
    <t>YENI ROCIO RODRIGUEZ MENESES</t>
  </si>
  <si>
    <t>EDIER ALEXANDER BUITRAGO HERNANDEZ</t>
  </si>
  <si>
    <t>JOHN STIVEN OSPINA VARGAS</t>
  </si>
  <si>
    <t>LAURA MILENA GOMEZ MOLINA</t>
  </si>
  <si>
    <t>ANDREA MARCELA PEÑA SEGOVIA</t>
  </si>
  <si>
    <t>MAICOL JARBEY GUALTEROS CASTAÑEDA</t>
  </si>
  <si>
    <t>JUAN FELIPE RESTREPO RUIZ</t>
  </si>
  <si>
    <t>ANDREA CATALINA GAVIRIA TORRES</t>
  </si>
  <si>
    <t>ANDRES FELIPE CAMELO MARTIN</t>
  </si>
  <si>
    <t>JOSHUA SICUA IDARRAGA</t>
  </si>
  <si>
    <t>MARIA PAULA GARZON RAMIREZ</t>
  </si>
  <si>
    <t>YEISON JESUS RUCINQUE RUBIO</t>
  </si>
  <si>
    <t>LAURA STEPHANY VARGAS CONTRERAS</t>
  </si>
  <si>
    <t>JOSE RODRIGO MORALES CESPEDES</t>
  </si>
  <si>
    <t>JUAN SEBASTIÁN NARVÁEZ GARCÍA</t>
  </si>
  <si>
    <t>DIEGO FERNANDO MEDINA PEREZ</t>
  </si>
  <si>
    <t>ERIKA YULYET PALACIOS GONZALEZ</t>
  </si>
  <si>
    <t>AMELIA DEL CARMEN TONCEL ARIZA</t>
  </si>
  <si>
    <t>DANIELA ALEXANDRA CIPAMOCHA BOSIGA</t>
  </si>
  <si>
    <t>LIDER DE DATOS Y SERVICIOS</t>
  </si>
  <si>
    <t>WILLIAM FERNANDO MARIN CHAVEZ</t>
  </si>
  <si>
    <t>JUAN PABLO DUEÑAS BAEZ</t>
  </si>
  <si>
    <t>ANA SABRINA STEFFANNY VANEGAS SOLAQUE</t>
  </si>
  <si>
    <t>LORENA ROJAS ROMERO</t>
  </si>
  <si>
    <t>LESLIE TATIANA TORRES FERNANDEZ</t>
  </si>
  <si>
    <t>CHRISTIAN ORLANDO SILVA FORERO</t>
  </si>
  <si>
    <t>ANGIE MARICELA ORTIZ VANEGAS</t>
  </si>
  <si>
    <t>SHARON MICHELL VALERO RICAURTE</t>
  </si>
  <si>
    <t>MAURICIO PEREZ ESCOBAR</t>
  </si>
  <si>
    <t>ALEXANDRA MOLINA VIDAL</t>
  </si>
  <si>
    <t>MAYRA ALEJANDRA CASTILLO ARBOLEDA</t>
  </si>
  <si>
    <t>YUSSELY CAMILA ORTIZ MONTAÑO</t>
  </si>
  <si>
    <t>PAULA ANDREA MARTINEZ PEÑARANDA</t>
  </si>
  <si>
    <t>MICHAEL STEVEN AMAYA SANCHEZ</t>
  </si>
  <si>
    <t>CAROLINA SILVA LUNA</t>
  </si>
  <si>
    <t>JUAN CARLOS TORRES LIZARAZO</t>
  </si>
  <si>
    <t>JHON HELIER MUÑOZ CHAPARRO</t>
  </si>
  <si>
    <t>VICTORIA GUTIERREZ BARRIOS</t>
  </si>
  <si>
    <t>DIANA MARCELA REYES MURILLO</t>
  </si>
  <si>
    <t>PAOLA ALEXANDRA ORJUELA OLMOS</t>
  </si>
  <si>
    <t>EDNA YULIETH BERNAL ZAPATA</t>
  </si>
  <si>
    <t>RAUL HUMBERTO MALDONADO ORTIZ</t>
  </si>
  <si>
    <t>LAURA NATHALIA VEGA LAVERDE</t>
  </si>
  <si>
    <t>LILIANA ANDREA CASTRO GAMBOA</t>
  </si>
  <si>
    <t>MARIA PAULA CORREDOR TORRES</t>
  </si>
  <si>
    <t>ANDERSON ORTIZ MORENO</t>
  </si>
  <si>
    <t>EDIMAR YATHNIELLYS DURAN VARGAS</t>
  </si>
  <si>
    <t>SERGIO LUIS VILORIA MALDONADO</t>
  </si>
  <si>
    <t>CESAR ALEXIS CAMAÑO QUIÑONES</t>
  </si>
  <si>
    <t>MARIA ANTONIA VISBAL GOMEZ</t>
  </si>
  <si>
    <t>WENDY FERNANDEZ BARRAGAN</t>
  </si>
  <si>
    <t>MARIA FERNANDA AVELLANEDA ROMERO</t>
  </si>
  <si>
    <t>SANTIAGO OSORIO CAMACHO</t>
  </si>
  <si>
    <t>ALEJANDRA ALBINO LEONEL</t>
  </si>
  <si>
    <t>ABOGADA JUNIOR - ASUNTOS JURIDICOS</t>
  </si>
  <si>
    <t>LEIDY PAOLA MENDEZ AGUILLON</t>
  </si>
  <si>
    <t>DAVID SANTIAGO TINJACA LARA</t>
  </si>
  <si>
    <t>LIZ GABRIELA IBARRA TIRADO</t>
  </si>
  <si>
    <t>COORDINADOR DE ORGANIZACION ACADEMICA Y MEDIOS EDUCATIVOS</t>
  </si>
  <si>
    <t>LAURA MARCELA VELANDIA ALBARRACIN</t>
  </si>
  <si>
    <t>NESTOR FABIO OSPINA RIVERA</t>
  </si>
  <si>
    <t>FRANKLIN HUMBERTO ARAUJO HERRERA</t>
  </si>
  <si>
    <t>LUIS ARNULFO SANCHEZ DUEÑAS</t>
  </si>
  <si>
    <t>CARLOS ARTURO PATIÑO CASTAÑO</t>
  </si>
  <si>
    <t>WILLIAM RICARDO ZAMBRANO AYALA</t>
  </si>
  <si>
    <t>JULY FERNANDA GOMEZ NIÑO</t>
  </si>
  <si>
    <t>LUZ ESNEDA MADLLIBY CACERES CHACON</t>
  </si>
  <si>
    <t>MARTHA ISABEL TOVAR WILLIAMS</t>
  </si>
  <si>
    <t>SCHEZNARDA SAYONARA DEL SOCORRO CUBILLOS GARCIA</t>
  </si>
  <si>
    <t>APOYO INTEGRAL DE BIBLIOTECA</t>
  </si>
  <si>
    <t>COORDINADORA DE ADMISIONES</t>
  </si>
  <si>
    <t>ESPECIALIZACION EN GERENCIA DE SEGURIDAD INDUSTRIAL</t>
  </si>
  <si>
    <t>MARIA IDALIA RODRIGUEZ GONZALEZ</t>
  </si>
  <si>
    <t>ADRIANA MARCELA MORALES PARDO</t>
  </si>
  <si>
    <t>GUIOMAR SEPULVEDA RODRIGUEZ</t>
  </si>
  <si>
    <t>MARTHA CECILIA CALDERON RAMOS</t>
  </si>
  <si>
    <t>GUERLY YOHANA DURAN RIVERA</t>
  </si>
  <si>
    <t>LAURA VICTORIA PARRA PERILLA</t>
  </si>
  <si>
    <t>ASTRID DEL PILAR RIPPE RINCON</t>
  </si>
  <si>
    <t>DIRECTORA DE PROGRAMAS DE CIENCIAS DE LA INFORMACIÓN Y DE DATOS</t>
  </si>
  <si>
    <t>OSCAR ANDRES ERASO ERASO</t>
  </si>
  <si>
    <t>ORLANDO BUITRAGO CRUZ</t>
  </si>
  <si>
    <t>NESTOR ALEJANDRO PINZON LOPEZ</t>
  </si>
  <si>
    <t>JAVIER DUVAN AMADO ACOSTA</t>
  </si>
  <si>
    <t>DIRECTOR DE PLANEACION Y EXTENSION</t>
  </si>
  <si>
    <t>FERNANDO MURIEL PIEDRAHITA</t>
  </si>
  <si>
    <t>HARVEY ARTURO RAMOS VELASQUEZ</t>
  </si>
  <si>
    <t>MARLON FREDY OICATA NARVAEZ</t>
  </si>
  <si>
    <t>JOHN JAIRO SUAREZ PINZON</t>
  </si>
  <si>
    <t>LUIS CARLOS GOMEZ DIAZ</t>
  </si>
  <si>
    <t>OFICINA DE AUDIOVISUALES</t>
  </si>
  <si>
    <t>JOAQUIN ANDRES VILLA RIVERA</t>
  </si>
  <si>
    <t>JAIRO FABIAN RIVERA RUBIANO</t>
  </si>
  <si>
    <t>LUIS CARLOS CASTIBLANCO YATE</t>
  </si>
  <si>
    <t>ARGENIS MARTINEZ MARTINEZ</t>
  </si>
  <si>
    <t>LIDER CALL CENTER</t>
  </si>
  <si>
    <t>DIRECTOR DE PROGRAMAS DE INGENIERIA</t>
  </si>
  <si>
    <t>ANDRES RUFINO BARRETO ALARCON</t>
  </si>
  <si>
    <t>TECNICO LABORAL AUXILIAR PRODUCCION GRAFICA</t>
  </si>
  <si>
    <t>JULIAN ANDRES GOMEZ VARGAS</t>
  </si>
  <si>
    <t>DIRECTOR DE PROGRAMAS LINEAS DE ADMINISTRACION Y SST</t>
  </si>
  <si>
    <t>ANDRES FELIPE PUENTES TORRES</t>
  </si>
  <si>
    <t>SECRETARIA ACADEMICA - ADMINISTRATIVA DE FACULTAD</t>
  </si>
  <si>
    <t>CRISTHIAN CAMILO CABUYA SOTELO</t>
  </si>
  <si>
    <t>SARA VALENTINA CHACON ZAPATA</t>
  </si>
  <si>
    <t>ANGIE NATALIA BOHORQUEZ SANCHEZ</t>
  </si>
  <si>
    <t>JHOAN NICOLAS ESCAMILLA MANJARRES</t>
  </si>
  <si>
    <t>CRISTIAN DANILO ARROYO SANABRIA</t>
  </si>
  <si>
    <t>BRANDO ESTIVEN DIAZ QUIMBAYA</t>
  </si>
  <si>
    <t>LAURA SOFIA CHAPARRO LOPEZ</t>
  </si>
  <si>
    <t>AUXILIAR JURIDICO</t>
  </si>
  <si>
    <t>JULIETH TATIANA PARDO PINTO</t>
  </si>
  <si>
    <t>YARHA CAMILA FAJARDO MOLINA</t>
  </si>
  <si>
    <t>DIRECCION DE BIENESTAR INSTITUCIONAL</t>
  </si>
  <si>
    <t>EDILSON FABIAN PLAZAS VELASQUEZ</t>
  </si>
  <si>
    <t>JISETH GABRIELA CABEZAS NAVAS</t>
  </si>
  <si>
    <t>KIMBERLY ALEJANDRA VARGAS VELASQUEZ</t>
  </si>
  <si>
    <t>JENNIFER TATIANA AVILA GRANADOS</t>
  </si>
  <si>
    <t>MELISSA GONZALEZ PEDRAZA</t>
  </si>
  <si>
    <t>MARIA DE LOS ANGELES MONTENEGRO JIMENEZ</t>
  </si>
  <si>
    <t>DERLY TATIANA ROJAS NAVARRO</t>
  </si>
  <si>
    <t>AUXILIAR DE REINTEGROS</t>
  </si>
  <si>
    <t>JOHN FREDY GARZON CAICEDO</t>
  </si>
  <si>
    <t>SECRETARIA GENERAL Y DIRECTORA JURIDICA</t>
  </si>
  <si>
    <t>DARLENE YULIANA MORENO CELEITA</t>
  </si>
  <si>
    <t>NICCOLE VALENTINA HERNANDEZ MALAVER</t>
  </si>
  <si>
    <t>JOSE JOAQUIN ARIAS TORRES</t>
  </si>
  <si>
    <t>COORDINADOR DE COMUNICACIONES</t>
  </si>
  <si>
    <t>DIRECTOR DE PROGRAMAS DE PRODUCCIÓN VISUAL Y AUDIOVISUAL</t>
  </si>
  <si>
    <t>AMANDA LISBETH RODRIGUEZ LEON</t>
  </si>
  <si>
    <t>JORGE ARMANDO CAMARGO GALVIS</t>
  </si>
  <si>
    <t>JUAN FELIPE LOPEZ MOLINA</t>
  </si>
  <si>
    <t>DAISY JULIETH GASPAR MORENO</t>
  </si>
  <si>
    <t>JUAN DAVID RIOS ALVAREZ</t>
  </si>
  <si>
    <t>TATIANA ACUÑA GALVIS</t>
  </si>
  <si>
    <t>KARLA PAOLA BELTRAN PEÑUELA</t>
  </si>
  <si>
    <t>LAURA FERNANDA HERRERA MOLANO</t>
  </si>
  <si>
    <t>DANNA SOFIA GOMEZ VEGA</t>
  </si>
  <si>
    <t>JAGC LEE GUTIERREZ ESPITIA</t>
  </si>
  <si>
    <t>FABIAN ENRIQUE BURGOS MONTES</t>
  </si>
  <si>
    <t>JUAN FRANCISCO HENAO CALDERON</t>
  </si>
  <si>
    <t>MAIRA ALEJANDRA PEREZ SANABRIA</t>
  </si>
  <si>
    <t>JUAN CARLOS ESPITIA ORTIZ</t>
  </si>
  <si>
    <t>ALEJANDRO PINZON MERCHAN</t>
  </si>
  <si>
    <t>CRISTIAN ALBERTO MELO TORRES</t>
  </si>
  <si>
    <t>COORDINADOR DE INFRAESTRUCTURA</t>
  </si>
  <si>
    <t>SUSAN JOHANA GUERRERO MUR</t>
  </si>
  <si>
    <t>ALISON YULIANA BEJARANO RUIZ</t>
  </si>
  <si>
    <t>DANIEL RESTREPO GIRALDO</t>
  </si>
  <si>
    <t>EDGAR GABRIEL SUAREZ HIGUERA</t>
  </si>
  <si>
    <t>LIDER DE COMPRAS</t>
  </si>
  <si>
    <t>LUISA MARIA MAHECHA SOTOMAYOR</t>
  </si>
  <si>
    <t>CAROLINA BEDOYA GOMEZ</t>
  </si>
  <si>
    <t>SAMUEL ALEXANDER FLOREZ</t>
  </si>
  <si>
    <t>SANDRA MARISOL BUITRAGO MUÑOZ</t>
  </si>
  <si>
    <t>CARLOS ALBERTO FERNANDEZ CAMELO</t>
  </si>
  <si>
    <t>LORENA ANDREA SOTO FIGUEROA</t>
  </si>
  <si>
    <t>LAURA ANDREA MEZA MARTINEZ</t>
  </si>
  <si>
    <t>IBET DAYANA PUIN GÓMEZ</t>
  </si>
  <si>
    <t>PROMOTORA DE REMATRICULA</t>
  </si>
  <si>
    <t>HENRY ALIRIO FLOREZ RODRIGUEZ</t>
  </si>
  <si>
    <t>LUZ MARIA RAMIREZ RODRIGUEZ</t>
  </si>
  <si>
    <t>BRAULIO ANDRES LEON TIRADO</t>
  </si>
  <si>
    <t>DIRECTOR DE PROGRAMAS DE COMUNICACION SOCIAL, PERIODISMO Y POSGRADOS</t>
  </si>
  <si>
    <t>LUIS SANTIAGO JIMENEZ ARTUNDUAGA</t>
  </si>
  <si>
    <t>ANDRES DEVANS PUELLO</t>
  </si>
  <si>
    <t>FILIBERTO ROJAS FERRO</t>
  </si>
  <si>
    <t>JEIMY CAROLINA MARTINEZ YATE</t>
  </si>
  <si>
    <t>KEVIN JOHAN MORA GARCIA</t>
  </si>
  <si>
    <t>JUAN DAVID SANCHEZ RAMOS</t>
  </si>
  <si>
    <t>MANUELA ORTIZ AVILA</t>
  </si>
  <si>
    <t>LIDER DE GESTION PQRSF</t>
  </si>
  <si>
    <t>LUIS FELIPE JAIMES BELTRAN</t>
  </si>
  <si>
    <t>SEDENIS RIVAS ASPRILLA</t>
  </si>
  <si>
    <t>725$</t>
  </si>
  <si>
    <t>ABCabc</t>
  </si>
  <si>
    <t>RODRIGO RODRIGUEZ</t>
  </si>
  <si>
    <t>NORMA CLEMENCIA BERNAL ALVAREZ</t>
  </si>
  <si>
    <t>PAULA MARINA YOPASA RODRIGUEZ</t>
  </si>
  <si>
    <t>JOSE AGUSTIN BLANCO MEJIA</t>
  </si>
  <si>
    <t>ENTRENADOR DEL CENTRO DE ALTURAS</t>
  </si>
  <si>
    <t>EDISON MONSALVE CUARTAS</t>
  </si>
  <si>
    <t>HENRY QUIROGA GONZALEZ</t>
  </si>
  <si>
    <t>PROFESIONAL EN FOTOGRAFÍA Y COMUNICACIÓN VISUAL</t>
  </si>
  <si>
    <t>JUAN CARLOS BOTELLO NOPE</t>
  </si>
  <si>
    <t>DIEGO ANDRES VARON ROZO</t>
  </si>
  <si>
    <t>ANYIE VANESSA TINOCO CAMACHO</t>
  </si>
  <si>
    <t>ANGIE KATERINE SALAMANCA PEÑUELA</t>
  </si>
  <si>
    <t>ASISTENTE ADMINISTRATIVA CEA</t>
  </si>
  <si>
    <t>DIRECTORA DE PROGRAMAS DE TURISMO, GASTRONOMIA Y POSGRADOS</t>
  </si>
  <si>
    <t>LAURA JINETH ORJUELA ROJAS</t>
  </si>
  <si>
    <t>LAURA SOFIA VARGAS LESMES</t>
  </si>
  <si>
    <t>JOSE ALFREDO PARADA PUENTES</t>
  </si>
  <si>
    <t>CLAUDIA MARCELA ALARCON RAMIREZ</t>
  </si>
  <si>
    <t>WILSON CAMACHO MEDINA</t>
  </si>
  <si>
    <t>BYRON YESID PARRA DIAZ</t>
  </si>
  <si>
    <t>102396{</t>
  </si>
  <si>
    <t>ILSA BARAHONA POLO</t>
  </si>
  <si>
    <t>CARLOS ANDRES LINEROS HURTADO</t>
  </si>
  <si>
    <t>EDWIN FERNANDO GONZALEZ MARTINEZ</t>
  </si>
  <si>
    <t>DANIEL MAURICIO ZAMBRANO TUNJANO</t>
  </si>
  <si>
    <t>AKON ANDRES GARZON ALVAREZ</t>
  </si>
  <si>
    <t>CINDY GIOVANA SALGAR GOMEZ</t>
  </si>
  <si>
    <t>JONATHAN GONZALEZ AYALA</t>
  </si>
  <si>
    <t>TYLER CORRADINE  VARGAS</t>
  </si>
  <si>
    <t>ANDRES FELIPE LOPEZ ROMERO</t>
  </si>
  <si>
    <t>SARA TANGARIFE MONTOYA</t>
  </si>
  <si>
    <t>MARIA FERNANDA SANTANA BUITRAGO</t>
  </si>
  <si>
    <t>NICOLAS ESPITIA CHACON</t>
  </si>
  <si>
    <t>LAURA KATHERINE GUTIERREZ PINAYO</t>
  </si>
  <si>
    <t>LIDER DE ENTORNOS VIRTUALES Y DESARROLLO</t>
  </si>
  <si>
    <t>JULIETH ALEXANDRA BUSTAMANTE RUIZ</t>
  </si>
  <si>
    <t>VERONICA ALEJANDRA RODRIGUEZ RAMOS</t>
  </si>
  <si>
    <t>LUNA JULIETH SANCHEZ ARDILA</t>
  </si>
  <si>
    <t>3$8</t>
  </si>
  <si>
    <t>DANIEL ALEJANDRO RIVERA MARIN</t>
  </si>
  <si>
    <t>JUAN MANUEL DIAZ SOSA</t>
  </si>
  <si>
    <t>JULIETH CAROLINA CASTRO MONTAÑEZ</t>
  </si>
  <si>
    <t>JHOBANY ALBERTO VACA LARGO</t>
  </si>
  <si>
    <t>LISA MINELLY ZAMBRANO CONTRERAS</t>
  </si>
  <si>
    <t>PAOLA ANDREA CABEZAS GARCIA</t>
  </si>
  <si>
    <t>KAREN BRIGITTE DALEMAN MORENO</t>
  </si>
  <si>
    <t>HECTOR FELIPE PRIETO GOMEZ</t>
  </si>
  <si>
    <t>CRISTIAN DAVID CORREA BEJARANO</t>
  </si>
  <si>
    <t>CRISTHIAN RICARDO CHITIVA LOZADA</t>
  </si>
  <si>
    <t>ALEXANDRA PRIETO CORREDOR</t>
  </si>
  <si>
    <t>ESPECIALIZACION EN GERNCIA DE SEGURIDAD Y SALUD EN EL TRABAJO</t>
  </si>
  <si>
    <t>ESPECIALIZACION EN GERENCIA DE COMUNICACION ESTRATEGICA Y DE MARCA</t>
  </si>
  <si>
    <t>EMMANUEL CAMARGO PERAZA</t>
  </si>
  <si>
    <t>DIANA PAOLA MONTAÑEZ GONZALEZ</t>
  </si>
  <si>
    <t>NELSON NICOLAS SÁNCHEZ VARGAS</t>
  </si>
  <si>
    <t>SONIA ROCIO MOLINA ZIPA</t>
  </si>
  <si>
    <t>JOHANA CECILIA ARAQUE ZULETA</t>
  </si>
  <si>
    <t>COORDINADORA JURIDICA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</si>
</sst>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indexed="22"/>
        <b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/>
    <xf numFmtId="22" fontId="1" fillId="0" borderId="1" xfId="0" applyNumberFormat="1" applyFont="1" applyBorder="1" applyAlignment="1">
      <alignment horizontal="left" vertical="top"/>
    </xf>
    <xf numFmtId="22" fontId="1" fillId="0" borderId="1" xfId="0" applyNumberFormat="1" applyFont="1" applyBorder="1" applyAlignment="1" applyProtection="1">
      <alignment horizontal="left" vertical="top"/>
      <protection locked="0"/>
    </xf>
    <xf numFmtId="1" fontId="2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Protection="1">
      <protection locked="0"/>
    </xf>
    <xf numFmtId="1" fontId="3" fillId="2" borderId="1" xfId="0" applyNumberFormat="1" applyFont="1" applyFill="1" applyBorder="1" applyAlignment="1" applyProtection="1">
      <alignment horizontal="center" vertical="center"/>
      <protection locked="0"/>
    </xf>
    <xf numFmtId="2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1" fontId="4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276"/>
  <sheetViews>
    <sheetView workbookViewId="0">
      <pane ySplit="1" topLeftCell="A3249" activePane="bottomLeft" state="frozen"/>
      <selection pane="bottomLeft" activeCell="A3280" sqref="A3280"/>
    </sheetView>
  </sheetViews>
  <sheetFormatPr baseColWidth="10" defaultRowHeight="15" x14ac:dyDescent="0.25"/>
  <cols>
    <col min="1" max="1" width="13" bestFit="1" customWidth="1"/>
    <col min="2" max="2" width="10.28515625" bestFit="1" customWidth="1"/>
    <col min="3" max="3" width="51.7109375" bestFit="1" customWidth="1"/>
    <col min="4" max="4" width="78.28515625" bestFit="1" customWidth="1"/>
    <col min="5" max="5" width="89.85546875" bestFit="1" customWidth="1"/>
  </cols>
  <sheetData>
    <row r="1" spans="1:5" x14ac:dyDescent="0.25">
      <c r="A1" s="12" t="s">
        <v>114</v>
      </c>
      <c r="B1" s="12" t="s">
        <v>113</v>
      </c>
      <c r="C1" s="12" t="s">
        <v>112</v>
      </c>
      <c r="D1" s="12" t="s">
        <v>111</v>
      </c>
      <c r="E1" s="12" t="s">
        <v>110</v>
      </c>
    </row>
    <row r="2" spans="1:5" x14ac:dyDescent="0.25">
      <c r="A2" s="13">
        <v>123456</v>
      </c>
      <c r="B2" s="11" t="s">
        <v>109</v>
      </c>
      <c r="C2" s="1" t="s">
        <v>1403</v>
      </c>
      <c r="D2" s="1" t="s">
        <v>1026</v>
      </c>
      <c r="E2" s="1" t="s">
        <v>1403</v>
      </c>
    </row>
    <row r="3" spans="1:5" x14ac:dyDescent="0.25">
      <c r="A3" s="13">
        <v>194607</v>
      </c>
      <c r="B3" s="11" t="s">
        <v>109</v>
      </c>
      <c r="C3" s="1" t="s">
        <v>1917</v>
      </c>
      <c r="D3" s="1" t="s">
        <v>131</v>
      </c>
      <c r="E3" s="1" t="s">
        <v>131</v>
      </c>
    </row>
    <row r="4" spans="1:5" x14ac:dyDescent="0.25">
      <c r="A4" s="13">
        <v>248294</v>
      </c>
      <c r="B4" s="11" t="s">
        <v>84</v>
      </c>
      <c r="C4" s="1" t="s">
        <v>1860</v>
      </c>
      <c r="D4" s="1" t="s">
        <v>43</v>
      </c>
      <c r="E4" s="1" t="s">
        <v>15</v>
      </c>
    </row>
    <row r="5" spans="1:5" x14ac:dyDescent="0.25">
      <c r="A5" s="13">
        <v>278576</v>
      </c>
      <c r="B5" s="11" t="s">
        <v>109</v>
      </c>
      <c r="C5" s="1" t="s">
        <v>1857</v>
      </c>
      <c r="D5" s="1" t="s">
        <v>131</v>
      </c>
      <c r="E5" s="1" t="s">
        <v>131</v>
      </c>
    </row>
    <row r="6" spans="1:5" x14ac:dyDescent="0.25">
      <c r="A6" s="13">
        <v>345449</v>
      </c>
      <c r="B6" s="11" t="s">
        <v>83</v>
      </c>
      <c r="C6" s="1" t="s">
        <v>1811</v>
      </c>
      <c r="D6" s="1" t="s">
        <v>1812</v>
      </c>
      <c r="E6" s="1" t="s">
        <v>23</v>
      </c>
    </row>
    <row r="7" spans="1:5" x14ac:dyDescent="0.25">
      <c r="A7" s="13">
        <v>396286</v>
      </c>
      <c r="B7" s="11" t="s">
        <v>84</v>
      </c>
      <c r="C7" s="1" t="s">
        <v>1765</v>
      </c>
      <c r="D7" s="1" t="s">
        <v>37</v>
      </c>
      <c r="E7" s="1" t="s">
        <v>29</v>
      </c>
    </row>
    <row r="8" spans="1:5" x14ac:dyDescent="0.25">
      <c r="A8" s="13">
        <v>396839</v>
      </c>
      <c r="B8" s="11" t="s">
        <v>116</v>
      </c>
      <c r="C8" s="1" t="s">
        <v>1755</v>
      </c>
      <c r="D8" s="1" t="s">
        <v>117</v>
      </c>
      <c r="E8" s="1" t="s">
        <v>147</v>
      </c>
    </row>
    <row r="9" spans="1:5" x14ac:dyDescent="0.25">
      <c r="A9" s="13">
        <v>438316</v>
      </c>
      <c r="B9" s="11" t="s">
        <v>116</v>
      </c>
      <c r="C9" s="1" t="s">
        <v>1641</v>
      </c>
      <c r="D9" s="1" t="s">
        <v>151</v>
      </c>
      <c r="E9" s="1" t="s">
        <v>152</v>
      </c>
    </row>
    <row r="10" spans="1:5" x14ac:dyDescent="0.25">
      <c r="A10" s="13">
        <v>479646</v>
      </c>
      <c r="B10" s="11" t="s">
        <v>84</v>
      </c>
      <c r="C10" s="1" t="s">
        <v>1629</v>
      </c>
      <c r="D10" s="1" t="s">
        <v>38</v>
      </c>
      <c r="E10" s="1" t="s">
        <v>14</v>
      </c>
    </row>
    <row r="11" spans="1:5" x14ac:dyDescent="0.25">
      <c r="A11" s="13">
        <v>523483</v>
      </c>
      <c r="B11" s="11" t="s">
        <v>83</v>
      </c>
      <c r="C11" s="1" t="s">
        <v>1368</v>
      </c>
      <c r="D11" s="1" t="s">
        <v>1369</v>
      </c>
      <c r="E11" s="1" t="s">
        <v>16</v>
      </c>
    </row>
    <row r="12" spans="1:5" x14ac:dyDescent="0.25">
      <c r="A12" s="13">
        <v>616821</v>
      </c>
      <c r="B12" s="11" t="s">
        <v>84</v>
      </c>
      <c r="C12" s="1" t="s">
        <v>1102</v>
      </c>
      <c r="D12" s="1" t="s">
        <v>38</v>
      </c>
      <c r="E12" s="1" t="s">
        <v>12</v>
      </c>
    </row>
    <row r="13" spans="1:5" x14ac:dyDescent="0.25">
      <c r="A13" s="13">
        <v>659372</v>
      </c>
      <c r="B13" s="11" t="s">
        <v>116</v>
      </c>
      <c r="C13" s="1" t="s">
        <v>3174</v>
      </c>
      <c r="D13" s="1" t="s">
        <v>131</v>
      </c>
      <c r="E13" s="1" t="s">
        <v>1998</v>
      </c>
    </row>
    <row r="14" spans="1:5" x14ac:dyDescent="0.25">
      <c r="A14" s="13">
        <v>805504</v>
      </c>
      <c r="B14" s="11" t="s">
        <v>83</v>
      </c>
      <c r="C14" s="1" t="s">
        <v>3541</v>
      </c>
      <c r="D14" s="1" t="s">
        <v>131</v>
      </c>
      <c r="E14" s="1" t="s">
        <v>131</v>
      </c>
    </row>
    <row r="15" spans="1:5" x14ac:dyDescent="0.25">
      <c r="A15" s="13">
        <v>865112</v>
      </c>
      <c r="B15" s="11" t="s">
        <v>84</v>
      </c>
      <c r="C15" s="1" t="s">
        <v>3184</v>
      </c>
      <c r="D15" s="1" t="s">
        <v>38</v>
      </c>
      <c r="E15" s="1" t="s">
        <v>14</v>
      </c>
    </row>
    <row r="16" spans="1:5" x14ac:dyDescent="0.25">
      <c r="A16" s="13">
        <v>1240578</v>
      </c>
      <c r="B16" s="11" t="s">
        <v>83</v>
      </c>
      <c r="C16" s="1" t="s">
        <v>2185</v>
      </c>
      <c r="D16" s="1" t="s">
        <v>44</v>
      </c>
      <c r="E16" s="1" t="s">
        <v>16</v>
      </c>
    </row>
    <row r="17" spans="1:5" x14ac:dyDescent="0.25">
      <c r="A17" s="13">
        <v>1267451</v>
      </c>
      <c r="B17" s="11" t="s">
        <v>84</v>
      </c>
      <c r="C17" s="1" t="s">
        <v>3185</v>
      </c>
      <c r="D17" s="1" t="s">
        <v>3186</v>
      </c>
      <c r="E17" s="1" t="s">
        <v>1</v>
      </c>
    </row>
    <row r="18" spans="1:5" x14ac:dyDescent="0.25">
      <c r="A18" s="13">
        <v>1473024</v>
      </c>
      <c r="B18" s="11" t="s">
        <v>83</v>
      </c>
      <c r="C18" s="1" t="s">
        <v>2156</v>
      </c>
      <c r="D18" s="1" t="s">
        <v>61</v>
      </c>
      <c r="E18" s="1" t="s">
        <v>23</v>
      </c>
    </row>
    <row r="19" spans="1:5" x14ac:dyDescent="0.25">
      <c r="A19" s="13">
        <v>1682050</v>
      </c>
      <c r="B19" s="11" t="s">
        <v>109</v>
      </c>
      <c r="C19" s="1" t="s">
        <v>2139</v>
      </c>
      <c r="D19" s="1" t="s">
        <v>131</v>
      </c>
      <c r="E19" s="1" t="s">
        <v>131</v>
      </c>
    </row>
    <row r="20" spans="1:5" x14ac:dyDescent="0.25">
      <c r="A20" s="13">
        <v>2901371</v>
      </c>
      <c r="B20" s="11" t="s">
        <v>84</v>
      </c>
      <c r="C20" s="1" t="s">
        <v>1848</v>
      </c>
      <c r="D20" s="1" t="s">
        <v>38</v>
      </c>
      <c r="E20" s="1" t="s">
        <v>263</v>
      </c>
    </row>
    <row r="21" spans="1:5" x14ac:dyDescent="0.25">
      <c r="A21" s="13">
        <v>2955909</v>
      </c>
      <c r="B21" s="11" t="s">
        <v>83</v>
      </c>
      <c r="C21" s="1" t="s">
        <v>1846</v>
      </c>
      <c r="D21" s="1" t="s">
        <v>350</v>
      </c>
      <c r="E21" s="1" t="s">
        <v>21</v>
      </c>
    </row>
    <row r="22" spans="1:5" x14ac:dyDescent="0.25">
      <c r="A22" s="13">
        <v>2993570</v>
      </c>
      <c r="B22" s="11" t="s">
        <v>109</v>
      </c>
      <c r="C22" s="1" t="s">
        <v>1845</v>
      </c>
      <c r="D22" s="1" t="s">
        <v>131</v>
      </c>
      <c r="E22" s="1" t="s">
        <v>131</v>
      </c>
    </row>
    <row r="23" spans="1:5" x14ac:dyDescent="0.25">
      <c r="A23" s="13">
        <v>3005195</v>
      </c>
      <c r="B23" s="11" t="s">
        <v>83</v>
      </c>
      <c r="C23" s="1" t="s">
        <v>1844</v>
      </c>
      <c r="D23" s="1" t="s">
        <v>57</v>
      </c>
      <c r="E23" s="1" t="s">
        <v>23</v>
      </c>
    </row>
    <row r="24" spans="1:5" x14ac:dyDescent="0.25">
      <c r="A24" s="13">
        <v>3021052</v>
      </c>
      <c r="B24" s="11" t="s">
        <v>84</v>
      </c>
      <c r="C24" s="1" t="s">
        <v>1842</v>
      </c>
      <c r="D24" s="1" t="s">
        <v>185</v>
      </c>
      <c r="E24" s="1" t="s">
        <v>10</v>
      </c>
    </row>
    <row r="25" spans="1:5" x14ac:dyDescent="0.25">
      <c r="A25" s="13">
        <v>3021065</v>
      </c>
      <c r="B25" s="11" t="s">
        <v>116</v>
      </c>
      <c r="C25" s="1" t="s">
        <v>1841</v>
      </c>
      <c r="D25" s="1" t="s">
        <v>117</v>
      </c>
      <c r="E25" s="1" t="s">
        <v>9</v>
      </c>
    </row>
    <row r="26" spans="1:5" x14ac:dyDescent="0.25">
      <c r="A26" s="13">
        <v>3100701</v>
      </c>
      <c r="B26" s="11" t="s">
        <v>116</v>
      </c>
      <c r="C26" s="1" t="s">
        <v>1833</v>
      </c>
      <c r="D26" s="1" t="s">
        <v>117</v>
      </c>
      <c r="E26" s="1" t="s">
        <v>333</v>
      </c>
    </row>
    <row r="27" spans="1:5" x14ac:dyDescent="0.25">
      <c r="A27" s="13">
        <v>3102782</v>
      </c>
      <c r="B27" s="11" t="s">
        <v>116</v>
      </c>
      <c r="C27" s="1" t="s">
        <v>1832</v>
      </c>
      <c r="D27" s="1" t="s">
        <v>117</v>
      </c>
      <c r="E27" s="1" t="s">
        <v>232</v>
      </c>
    </row>
    <row r="28" spans="1:5" x14ac:dyDescent="0.25">
      <c r="A28" s="13">
        <v>3109677</v>
      </c>
      <c r="B28" s="11" t="s">
        <v>83</v>
      </c>
      <c r="C28" s="1" t="s">
        <v>1831</v>
      </c>
      <c r="D28" s="1" t="s">
        <v>91</v>
      </c>
      <c r="E28" s="1" t="s">
        <v>24</v>
      </c>
    </row>
    <row r="29" spans="1:5" x14ac:dyDescent="0.25">
      <c r="A29" s="13">
        <v>3129127</v>
      </c>
      <c r="B29" s="11" t="s">
        <v>84</v>
      </c>
      <c r="C29" s="1" t="s">
        <v>1830</v>
      </c>
      <c r="D29" s="1" t="s">
        <v>52</v>
      </c>
      <c r="E29" s="1" t="s">
        <v>22</v>
      </c>
    </row>
    <row r="30" spans="1:5" x14ac:dyDescent="0.25">
      <c r="A30" s="13">
        <v>3207953</v>
      </c>
      <c r="B30" s="11" t="s">
        <v>116</v>
      </c>
      <c r="C30" s="1" t="s">
        <v>1829</v>
      </c>
      <c r="D30" s="1" t="s">
        <v>117</v>
      </c>
      <c r="E30" s="1" t="s">
        <v>205</v>
      </c>
    </row>
    <row r="31" spans="1:5" x14ac:dyDescent="0.25">
      <c r="A31" s="13">
        <v>3221368</v>
      </c>
      <c r="B31" s="11" t="s">
        <v>84</v>
      </c>
      <c r="C31" s="1" t="s">
        <v>1827</v>
      </c>
      <c r="D31" s="1" t="s">
        <v>38</v>
      </c>
      <c r="E31" s="1" t="s">
        <v>5</v>
      </c>
    </row>
    <row r="32" spans="1:5" x14ac:dyDescent="0.25">
      <c r="A32" s="13">
        <v>3229223</v>
      </c>
      <c r="B32" s="11" t="s">
        <v>116</v>
      </c>
      <c r="C32" s="1" t="s">
        <v>1826</v>
      </c>
      <c r="D32" s="1" t="s">
        <v>117</v>
      </c>
      <c r="E32" s="1" t="s">
        <v>134</v>
      </c>
    </row>
    <row r="33" spans="1:5" x14ac:dyDescent="0.25">
      <c r="A33" s="13">
        <v>3229807</v>
      </c>
      <c r="B33" s="11" t="s">
        <v>116</v>
      </c>
      <c r="C33" s="1" t="s">
        <v>1825</v>
      </c>
      <c r="D33" s="1" t="s">
        <v>117</v>
      </c>
      <c r="E33" s="1" t="s">
        <v>9</v>
      </c>
    </row>
    <row r="34" spans="1:5" x14ac:dyDescent="0.25">
      <c r="A34" s="13">
        <v>3233921</v>
      </c>
      <c r="B34" s="11" t="s">
        <v>116</v>
      </c>
      <c r="C34" s="1" t="s">
        <v>1824</v>
      </c>
      <c r="D34" s="1" t="s">
        <v>117</v>
      </c>
      <c r="E34" s="1" t="s">
        <v>10</v>
      </c>
    </row>
    <row r="35" spans="1:5" x14ac:dyDescent="0.25">
      <c r="A35" s="13">
        <v>3245229</v>
      </c>
      <c r="B35" s="11" t="s">
        <v>109</v>
      </c>
      <c r="C35" s="1" t="s">
        <v>1822</v>
      </c>
      <c r="D35" s="1" t="s">
        <v>131</v>
      </c>
      <c r="E35" s="1" t="s">
        <v>131</v>
      </c>
    </row>
    <row r="36" spans="1:5" x14ac:dyDescent="0.25">
      <c r="A36" s="13">
        <v>3497167</v>
      </c>
      <c r="B36" s="11" t="s">
        <v>116</v>
      </c>
      <c r="C36" s="1" t="s">
        <v>1808</v>
      </c>
      <c r="D36" s="1" t="s">
        <v>117</v>
      </c>
      <c r="E36" s="1" t="s">
        <v>6</v>
      </c>
    </row>
    <row r="37" spans="1:5" x14ac:dyDescent="0.25">
      <c r="A37" s="13">
        <v>4041066</v>
      </c>
      <c r="B37" s="11" t="s">
        <v>116</v>
      </c>
      <c r="C37" s="1" t="s">
        <v>1732</v>
      </c>
      <c r="D37" s="1" t="s">
        <v>117</v>
      </c>
      <c r="E37" s="1" t="s">
        <v>491</v>
      </c>
    </row>
    <row r="38" spans="1:5" x14ac:dyDescent="0.25">
      <c r="A38" s="13">
        <v>4168807</v>
      </c>
      <c r="B38" s="11" t="s">
        <v>116</v>
      </c>
      <c r="C38" s="1" t="s">
        <v>1688</v>
      </c>
      <c r="D38" s="1" t="s">
        <v>117</v>
      </c>
      <c r="E38" s="1" t="s">
        <v>12</v>
      </c>
    </row>
    <row r="39" spans="1:5" x14ac:dyDescent="0.25">
      <c r="A39" s="13">
        <v>4179029</v>
      </c>
      <c r="B39" s="11" t="s">
        <v>84</v>
      </c>
      <c r="C39" s="1" t="s">
        <v>1665</v>
      </c>
      <c r="D39" s="1" t="s">
        <v>38</v>
      </c>
      <c r="E39" s="1" t="s">
        <v>170</v>
      </c>
    </row>
    <row r="40" spans="1:5" x14ac:dyDescent="0.25">
      <c r="A40" s="13">
        <v>4238901</v>
      </c>
      <c r="B40" s="11" t="s">
        <v>84</v>
      </c>
      <c r="C40" s="1" t="s">
        <v>1656</v>
      </c>
      <c r="D40" s="1" t="s">
        <v>37</v>
      </c>
      <c r="E40" s="1" t="s">
        <v>29</v>
      </c>
    </row>
    <row r="41" spans="1:5" x14ac:dyDescent="0.25">
      <c r="A41" s="13">
        <v>4277678</v>
      </c>
      <c r="B41" s="11" t="s">
        <v>116</v>
      </c>
      <c r="C41" s="1" t="s">
        <v>1655</v>
      </c>
      <c r="D41" s="1" t="s">
        <v>117</v>
      </c>
      <c r="E41" s="1" t="s">
        <v>491</v>
      </c>
    </row>
    <row r="42" spans="1:5" x14ac:dyDescent="0.25">
      <c r="A42" s="13">
        <v>4292471</v>
      </c>
      <c r="B42" s="11" t="s">
        <v>84</v>
      </c>
      <c r="C42" s="1" t="s">
        <v>1653</v>
      </c>
      <c r="D42" s="1" t="s">
        <v>38</v>
      </c>
      <c r="E42" s="1" t="s">
        <v>3</v>
      </c>
    </row>
    <row r="43" spans="1:5" x14ac:dyDescent="0.25">
      <c r="A43" s="13">
        <v>4322342</v>
      </c>
      <c r="B43" s="11" t="s">
        <v>109</v>
      </c>
      <c r="C43" s="1" t="s">
        <v>1648</v>
      </c>
      <c r="D43" s="1" t="s">
        <v>131</v>
      </c>
      <c r="E43" s="1" t="s">
        <v>131</v>
      </c>
    </row>
    <row r="44" spans="1:5" x14ac:dyDescent="0.25">
      <c r="A44" s="13">
        <v>4377227</v>
      </c>
      <c r="B44" s="11" t="s">
        <v>84</v>
      </c>
      <c r="C44" s="1" t="s">
        <v>3187</v>
      </c>
      <c r="D44" s="1" t="s">
        <v>38</v>
      </c>
      <c r="E44" s="1" t="s">
        <v>3120</v>
      </c>
    </row>
    <row r="45" spans="1:5" x14ac:dyDescent="0.25">
      <c r="A45" s="13">
        <v>4511035</v>
      </c>
      <c r="B45" s="11" t="s">
        <v>109</v>
      </c>
      <c r="C45" s="1" t="s">
        <v>1640</v>
      </c>
      <c r="D45" s="1" t="s">
        <v>131</v>
      </c>
      <c r="E45" s="1" t="s">
        <v>131</v>
      </c>
    </row>
    <row r="46" spans="1:5" x14ac:dyDescent="0.25">
      <c r="A46" s="13">
        <v>4556650</v>
      </c>
      <c r="B46" s="11" t="s">
        <v>84</v>
      </c>
      <c r="C46" s="1" t="s">
        <v>1636</v>
      </c>
      <c r="D46" s="1" t="s">
        <v>43</v>
      </c>
      <c r="E46" s="1" t="s">
        <v>417</v>
      </c>
    </row>
    <row r="47" spans="1:5" x14ac:dyDescent="0.25">
      <c r="A47" s="13">
        <v>4831698</v>
      </c>
      <c r="B47" s="11" t="s">
        <v>116</v>
      </c>
      <c r="C47" s="1" t="s">
        <v>1628</v>
      </c>
      <c r="D47" s="1" t="s">
        <v>117</v>
      </c>
      <c r="E47" s="1" t="s">
        <v>127</v>
      </c>
    </row>
    <row r="48" spans="1:5" x14ac:dyDescent="0.25">
      <c r="A48" s="13">
        <v>4867186</v>
      </c>
      <c r="B48" s="11" t="s">
        <v>83</v>
      </c>
      <c r="C48" s="1" t="s">
        <v>1627</v>
      </c>
      <c r="D48" s="1" t="s">
        <v>44</v>
      </c>
      <c r="E48" s="1" t="s">
        <v>16</v>
      </c>
    </row>
    <row r="49" spans="1:5" x14ac:dyDescent="0.25">
      <c r="A49" s="13">
        <v>4914303</v>
      </c>
      <c r="B49" s="11" t="s">
        <v>116</v>
      </c>
      <c r="C49" s="1" t="s">
        <v>1626</v>
      </c>
      <c r="D49" s="1" t="s">
        <v>117</v>
      </c>
      <c r="E49" s="1" t="s">
        <v>10</v>
      </c>
    </row>
    <row r="50" spans="1:5" x14ac:dyDescent="0.25">
      <c r="A50" s="13">
        <v>5067151</v>
      </c>
      <c r="B50" s="11" t="s">
        <v>83</v>
      </c>
      <c r="C50" s="1" t="s">
        <v>1624</v>
      </c>
      <c r="D50" s="1" t="s">
        <v>57</v>
      </c>
      <c r="E50" s="1" t="s">
        <v>23</v>
      </c>
    </row>
    <row r="51" spans="1:5" x14ac:dyDescent="0.25">
      <c r="A51" s="13">
        <v>5177131</v>
      </c>
      <c r="B51" s="11" t="s">
        <v>109</v>
      </c>
      <c r="C51" s="1" t="s">
        <v>1565</v>
      </c>
      <c r="D51" s="1" t="s">
        <v>131</v>
      </c>
      <c r="E51" s="1" t="s">
        <v>131</v>
      </c>
    </row>
    <row r="52" spans="1:5" x14ac:dyDescent="0.25">
      <c r="A52" s="13">
        <v>5415344</v>
      </c>
      <c r="B52" s="11" t="s">
        <v>84</v>
      </c>
      <c r="C52" s="1" t="s">
        <v>1121</v>
      </c>
      <c r="D52" s="1" t="s">
        <v>38</v>
      </c>
      <c r="E52" s="1" t="s">
        <v>12</v>
      </c>
    </row>
    <row r="53" spans="1:5" x14ac:dyDescent="0.25">
      <c r="A53" s="13">
        <v>5440280</v>
      </c>
      <c r="B53" s="11" t="s">
        <v>109</v>
      </c>
      <c r="C53" s="1" t="s">
        <v>1120</v>
      </c>
      <c r="D53" s="1" t="s">
        <v>131</v>
      </c>
      <c r="E53" s="1" t="s">
        <v>131</v>
      </c>
    </row>
    <row r="54" spans="1:5" x14ac:dyDescent="0.25">
      <c r="A54" s="13">
        <v>5710868</v>
      </c>
      <c r="B54" s="11" t="s">
        <v>116</v>
      </c>
      <c r="C54" s="1" t="s">
        <v>1116</v>
      </c>
      <c r="D54" s="1" t="s">
        <v>117</v>
      </c>
      <c r="E54" s="1" t="s">
        <v>9</v>
      </c>
    </row>
    <row r="55" spans="1:5" x14ac:dyDescent="0.25">
      <c r="A55" s="13">
        <v>5820805</v>
      </c>
      <c r="B55" s="11" t="s">
        <v>84</v>
      </c>
      <c r="C55" s="1" t="s">
        <v>1114</v>
      </c>
      <c r="D55" s="1" t="s">
        <v>38</v>
      </c>
      <c r="E55" s="1" t="s">
        <v>10</v>
      </c>
    </row>
    <row r="56" spans="1:5" x14ac:dyDescent="0.25">
      <c r="A56" s="13">
        <v>5853353</v>
      </c>
      <c r="B56" s="11" t="s">
        <v>116</v>
      </c>
      <c r="C56" s="1" t="s">
        <v>1113</v>
      </c>
      <c r="D56" s="1" t="s">
        <v>117</v>
      </c>
      <c r="E56" s="1" t="s">
        <v>491</v>
      </c>
    </row>
    <row r="57" spans="1:5" x14ac:dyDescent="0.25">
      <c r="A57" s="13">
        <v>5984430</v>
      </c>
      <c r="B57" s="11" t="s">
        <v>116</v>
      </c>
      <c r="C57" s="1" t="s">
        <v>1110</v>
      </c>
      <c r="D57" s="1" t="s">
        <v>117</v>
      </c>
      <c r="E57" s="1" t="s">
        <v>127</v>
      </c>
    </row>
    <row r="58" spans="1:5" x14ac:dyDescent="0.25">
      <c r="A58" s="13">
        <v>6010713</v>
      </c>
      <c r="B58" s="11" t="s">
        <v>116</v>
      </c>
      <c r="C58" s="1" t="s">
        <v>1109</v>
      </c>
      <c r="D58" s="1" t="s">
        <v>117</v>
      </c>
      <c r="E58" s="1" t="s">
        <v>3</v>
      </c>
    </row>
    <row r="59" spans="1:5" x14ac:dyDescent="0.25">
      <c r="A59" s="13">
        <v>6759181</v>
      </c>
      <c r="B59" s="11" t="s">
        <v>116</v>
      </c>
      <c r="C59" s="1" t="s">
        <v>1075</v>
      </c>
      <c r="D59" s="1" t="s">
        <v>117</v>
      </c>
      <c r="E59" s="1" t="s">
        <v>85</v>
      </c>
    </row>
    <row r="60" spans="1:5" x14ac:dyDescent="0.25">
      <c r="A60" s="13">
        <v>6769668</v>
      </c>
      <c r="B60" s="11" t="s">
        <v>116</v>
      </c>
      <c r="C60" s="1" t="s">
        <v>1074</v>
      </c>
      <c r="D60" s="1" t="s">
        <v>117</v>
      </c>
      <c r="E60" s="1" t="s">
        <v>127</v>
      </c>
    </row>
    <row r="61" spans="1:5" x14ac:dyDescent="0.25">
      <c r="A61" s="13">
        <v>6771708</v>
      </c>
      <c r="B61" s="11" t="s">
        <v>116</v>
      </c>
      <c r="C61" s="1" t="s">
        <v>1073</v>
      </c>
      <c r="D61" s="1" t="s">
        <v>117</v>
      </c>
      <c r="E61" s="1" t="s">
        <v>3</v>
      </c>
    </row>
    <row r="62" spans="1:5" x14ac:dyDescent="0.25">
      <c r="A62" s="13">
        <v>6772439</v>
      </c>
      <c r="B62" s="11" t="s">
        <v>116</v>
      </c>
      <c r="C62" s="1" t="s">
        <v>1072</v>
      </c>
      <c r="D62" s="1" t="s">
        <v>117</v>
      </c>
      <c r="E62" s="1" t="s">
        <v>147</v>
      </c>
    </row>
    <row r="63" spans="1:5" x14ac:dyDescent="0.25">
      <c r="A63" s="13">
        <v>6794317</v>
      </c>
      <c r="B63" s="11" t="s">
        <v>83</v>
      </c>
      <c r="C63" s="1" t="s">
        <v>1071</v>
      </c>
      <c r="D63" s="1" t="s">
        <v>58</v>
      </c>
      <c r="E63" s="1" t="s">
        <v>23</v>
      </c>
    </row>
    <row r="64" spans="1:5" x14ac:dyDescent="0.25">
      <c r="A64" s="13">
        <v>6893789</v>
      </c>
      <c r="B64" s="11" t="s">
        <v>116</v>
      </c>
      <c r="C64" s="1" t="s">
        <v>1069</v>
      </c>
      <c r="D64" s="1" t="s">
        <v>117</v>
      </c>
      <c r="E64" s="1" t="s">
        <v>3</v>
      </c>
    </row>
    <row r="65" spans="1:5" x14ac:dyDescent="0.25">
      <c r="A65" s="13">
        <v>7125053</v>
      </c>
      <c r="B65" s="11" t="s">
        <v>116</v>
      </c>
      <c r="C65" s="1" t="s">
        <v>1067</v>
      </c>
      <c r="D65" s="1" t="s">
        <v>151</v>
      </c>
      <c r="E65" s="1" t="s">
        <v>152</v>
      </c>
    </row>
    <row r="66" spans="1:5" x14ac:dyDescent="0.25">
      <c r="A66" s="13">
        <v>7141795</v>
      </c>
      <c r="B66" s="11" t="s">
        <v>116</v>
      </c>
      <c r="C66" s="1" t="s">
        <v>1066</v>
      </c>
      <c r="D66" s="1" t="s">
        <v>117</v>
      </c>
      <c r="E66" s="1" t="s">
        <v>232</v>
      </c>
    </row>
    <row r="67" spans="1:5" x14ac:dyDescent="0.25">
      <c r="A67" s="13">
        <v>7164610</v>
      </c>
      <c r="B67" s="11" t="s">
        <v>116</v>
      </c>
      <c r="C67" s="1" t="s">
        <v>1065</v>
      </c>
      <c r="D67" s="1" t="s">
        <v>117</v>
      </c>
      <c r="E67" s="1" t="s">
        <v>147</v>
      </c>
    </row>
    <row r="68" spans="1:5" x14ac:dyDescent="0.25">
      <c r="A68" s="13">
        <v>7171205</v>
      </c>
      <c r="B68" s="11" t="s">
        <v>83</v>
      </c>
      <c r="C68" s="1" t="s">
        <v>1062</v>
      </c>
      <c r="D68" s="1" t="s">
        <v>363</v>
      </c>
      <c r="E68" s="1" t="s">
        <v>364</v>
      </c>
    </row>
    <row r="69" spans="1:5" x14ac:dyDescent="0.25">
      <c r="A69" s="13">
        <v>7181282</v>
      </c>
      <c r="B69" s="11" t="s">
        <v>116</v>
      </c>
      <c r="C69" s="1" t="s">
        <v>1059</v>
      </c>
      <c r="D69" s="1" t="s">
        <v>117</v>
      </c>
      <c r="E69" s="1" t="s">
        <v>11</v>
      </c>
    </row>
    <row r="70" spans="1:5" x14ac:dyDescent="0.25">
      <c r="A70" s="13">
        <v>7185291</v>
      </c>
      <c r="B70" s="11" t="s">
        <v>84</v>
      </c>
      <c r="C70" s="1" t="s">
        <v>3188</v>
      </c>
      <c r="D70" s="1" t="s">
        <v>43</v>
      </c>
      <c r="E70" s="1" t="s">
        <v>9</v>
      </c>
    </row>
    <row r="71" spans="1:5" x14ac:dyDescent="0.25">
      <c r="A71" s="13">
        <v>7187838</v>
      </c>
      <c r="B71" s="11" t="s">
        <v>84</v>
      </c>
      <c r="C71" s="1" t="s">
        <v>1058</v>
      </c>
      <c r="D71" s="1" t="s">
        <v>151</v>
      </c>
      <c r="E71" s="1" t="s">
        <v>17</v>
      </c>
    </row>
    <row r="72" spans="1:5" x14ac:dyDescent="0.25">
      <c r="A72" s="13">
        <v>7305263</v>
      </c>
      <c r="B72" s="11" t="s">
        <v>116</v>
      </c>
      <c r="C72" s="1" t="s">
        <v>1049</v>
      </c>
      <c r="D72" s="1" t="s">
        <v>117</v>
      </c>
      <c r="E72" s="1" t="s">
        <v>336</v>
      </c>
    </row>
    <row r="73" spans="1:5" x14ac:dyDescent="0.25">
      <c r="A73" s="13">
        <v>7307401</v>
      </c>
      <c r="B73" s="11" t="s">
        <v>116</v>
      </c>
      <c r="C73" s="1" t="s">
        <v>1047</v>
      </c>
      <c r="D73" s="1" t="s">
        <v>117</v>
      </c>
      <c r="E73" s="1" t="s">
        <v>205</v>
      </c>
    </row>
    <row r="74" spans="1:5" x14ac:dyDescent="0.25">
      <c r="A74" s="13">
        <v>7314231</v>
      </c>
      <c r="B74" s="11" t="s">
        <v>116</v>
      </c>
      <c r="C74" s="1" t="s">
        <v>1042</v>
      </c>
      <c r="D74" s="1" t="s">
        <v>117</v>
      </c>
      <c r="E74" s="1" t="s">
        <v>10</v>
      </c>
    </row>
    <row r="75" spans="1:5" x14ac:dyDescent="0.25">
      <c r="A75" s="13">
        <v>7369199</v>
      </c>
      <c r="B75" s="11" t="s">
        <v>116</v>
      </c>
      <c r="C75" s="1" t="s">
        <v>3189</v>
      </c>
      <c r="D75" s="1" t="s">
        <v>117</v>
      </c>
      <c r="E75" s="1" t="s">
        <v>3190</v>
      </c>
    </row>
    <row r="76" spans="1:5" x14ac:dyDescent="0.25">
      <c r="A76" s="13">
        <v>7425817</v>
      </c>
      <c r="B76" s="11" t="s">
        <v>116</v>
      </c>
      <c r="C76" s="1" t="s">
        <v>1035</v>
      </c>
      <c r="D76" s="1" t="s">
        <v>117</v>
      </c>
      <c r="E76" s="1" t="s">
        <v>127</v>
      </c>
    </row>
    <row r="77" spans="1:5" x14ac:dyDescent="0.25">
      <c r="A77" s="13">
        <v>7444005</v>
      </c>
      <c r="B77" s="11" t="s">
        <v>116</v>
      </c>
      <c r="C77" s="1" t="s">
        <v>1024</v>
      </c>
      <c r="D77" s="1" t="s">
        <v>117</v>
      </c>
      <c r="E77" s="1" t="s">
        <v>336</v>
      </c>
    </row>
    <row r="78" spans="1:5" x14ac:dyDescent="0.25">
      <c r="A78" s="13">
        <v>7470355</v>
      </c>
      <c r="B78" s="11" t="s">
        <v>116</v>
      </c>
      <c r="C78" s="1" t="s">
        <v>1023</v>
      </c>
      <c r="D78" s="1" t="s">
        <v>117</v>
      </c>
      <c r="E78" s="1" t="s">
        <v>336</v>
      </c>
    </row>
    <row r="79" spans="1:5" x14ac:dyDescent="0.25">
      <c r="A79" s="13">
        <v>7506077</v>
      </c>
      <c r="B79" s="11" t="s">
        <v>84</v>
      </c>
      <c r="C79" s="1" t="s">
        <v>1022</v>
      </c>
      <c r="D79" s="1" t="s">
        <v>203</v>
      </c>
      <c r="E79" s="1" t="s">
        <v>134</v>
      </c>
    </row>
    <row r="80" spans="1:5" x14ac:dyDescent="0.25">
      <c r="A80" s="13">
        <v>7522783</v>
      </c>
      <c r="B80" s="11" t="s">
        <v>84</v>
      </c>
      <c r="C80" s="1" t="s">
        <v>1017</v>
      </c>
      <c r="D80" s="1" t="s">
        <v>1018</v>
      </c>
      <c r="E80" s="1" t="s">
        <v>25</v>
      </c>
    </row>
    <row r="81" spans="1:5" x14ac:dyDescent="0.25">
      <c r="A81" s="13">
        <v>7532142</v>
      </c>
      <c r="B81" s="11" t="s">
        <v>83</v>
      </c>
      <c r="C81" s="1" t="s">
        <v>1016</v>
      </c>
      <c r="D81" s="1" t="s">
        <v>61</v>
      </c>
      <c r="E81" s="1" t="s">
        <v>23</v>
      </c>
    </row>
    <row r="82" spans="1:5" x14ac:dyDescent="0.25">
      <c r="A82" s="13">
        <v>7539030</v>
      </c>
      <c r="B82" s="11" t="s">
        <v>84</v>
      </c>
      <c r="C82" s="1" t="s">
        <v>3098</v>
      </c>
      <c r="D82" s="1" t="s">
        <v>38</v>
      </c>
      <c r="E82" s="1" t="s">
        <v>15</v>
      </c>
    </row>
    <row r="83" spans="1:5" x14ac:dyDescent="0.25">
      <c r="A83" s="13">
        <v>7562754</v>
      </c>
      <c r="B83" s="11" t="s">
        <v>116</v>
      </c>
      <c r="C83" s="1" t="s">
        <v>1015</v>
      </c>
      <c r="D83" s="1" t="s">
        <v>117</v>
      </c>
      <c r="E83" s="1" t="s">
        <v>3</v>
      </c>
    </row>
    <row r="84" spans="1:5" x14ac:dyDescent="0.25">
      <c r="A84" s="13">
        <v>7563945</v>
      </c>
      <c r="B84" s="11" t="s">
        <v>83</v>
      </c>
      <c r="C84" s="1" t="s">
        <v>3542</v>
      </c>
      <c r="D84" s="1" t="s">
        <v>57</v>
      </c>
      <c r="E84" s="1" t="s">
        <v>23</v>
      </c>
    </row>
    <row r="85" spans="1:5" x14ac:dyDescent="0.25">
      <c r="A85" s="13">
        <v>7632027</v>
      </c>
      <c r="B85" s="11" t="s">
        <v>116</v>
      </c>
      <c r="C85" s="1" t="s">
        <v>1010</v>
      </c>
      <c r="D85" s="1" t="s">
        <v>117</v>
      </c>
      <c r="E85" s="1" t="s">
        <v>3</v>
      </c>
    </row>
    <row r="86" spans="1:5" x14ac:dyDescent="0.25">
      <c r="A86" s="13">
        <v>7632620</v>
      </c>
      <c r="B86" s="11" t="s">
        <v>116</v>
      </c>
      <c r="C86" s="1" t="s">
        <v>3191</v>
      </c>
      <c r="D86" s="1" t="s">
        <v>117</v>
      </c>
      <c r="E86" s="1" t="s">
        <v>3192</v>
      </c>
    </row>
    <row r="87" spans="1:5" x14ac:dyDescent="0.25">
      <c r="A87" s="13">
        <v>7633964</v>
      </c>
      <c r="B87" s="11" t="s">
        <v>84</v>
      </c>
      <c r="C87" s="1" t="s">
        <v>1009</v>
      </c>
      <c r="D87" s="1" t="s">
        <v>38</v>
      </c>
      <c r="E87" s="1" t="s">
        <v>232</v>
      </c>
    </row>
    <row r="88" spans="1:5" x14ac:dyDescent="0.25">
      <c r="A88" s="13">
        <v>7643125</v>
      </c>
      <c r="B88" s="11" t="s">
        <v>83</v>
      </c>
      <c r="C88" s="1" t="s">
        <v>3077</v>
      </c>
      <c r="D88" s="1" t="s">
        <v>3193</v>
      </c>
      <c r="E88" s="1" t="s">
        <v>19</v>
      </c>
    </row>
    <row r="89" spans="1:5" x14ac:dyDescent="0.25">
      <c r="A89" s="13">
        <v>7684131</v>
      </c>
      <c r="B89" s="11" t="s">
        <v>83</v>
      </c>
      <c r="C89" s="1" t="s">
        <v>1008</v>
      </c>
      <c r="D89" s="1" t="s">
        <v>57</v>
      </c>
      <c r="E89" s="1" t="s">
        <v>23</v>
      </c>
    </row>
    <row r="90" spans="1:5" x14ac:dyDescent="0.25">
      <c r="A90" s="13">
        <v>7684429</v>
      </c>
      <c r="B90" s="11" t="s">
        <v>116</v>
      </c>
      <c r="C90" s="1" t="s">
        <v>1007</v>
      </c>
      <c r="D90" s="1" t="s">
        <v>117</v>
      </c>
      <c r="E90" s="1" t="s">
        <v>170</v>
      </c>
    </row>
    <row r="91" spans="1:5" x14ac:dyDescent="0.25">
      <c r="A91" s="13">
        <v>7689041</v>
      </c>
      <c r="B91" s="11" t="s">
        <v>109</v>
      </c>
      <c r="C91" s="1" t="s">
        <v>1006</v>
      </c>
      <c r="D91" s="1" t="s">
        <v>131</v>
      </c>
      <c r="E91" s="1" t="s">
        <v>131</v>
      </c>
    </row>
    <row r="92" spans="1:5" x14ac:dyDescent="0.25">
      <c r="A92" s="13">
        <v>7690036</v>
      </c>
      <c r="B92" s="11" t="s">
        <v>116</v>
      </c>
      <c r="C92" s="1" t="s">
        <v>1005</v>
      </c>
      <c r="D92" s="1" t="s">
        <v>117</v>
      </c>
      <c r="E92" s="1" t="s">
        <v>3</v>
      </c>
    </row>
    <row r="93" spans="1:5" x14ac:dyDescent="0.25">
      <c r="A93" s="13">
        <v>7716885</v>
      </c>
      <c r="B93" s="11" t="s">
        <v>83</v>
      </c>
      <c r="C93" s="1" t="s">
        <v>3194</v>
      </c>
      <c r="D93" s="1" t="s">
        <v>3181</v>
      </c>
      <c r="E93" s="1" t="s">
        <v>16</v>
      </c>
    </row>
    <row r="94" spans="1:5" x14ac:dyDescent="0.25">
      <c r="A94" s="13">
        <v>7724669</v>
      </c>
      <c r="B94" s="11" t="s">
        <v>116</v>
      </c>
      <c r="C94" s="1" t="s">
        <v>1003</v>
      </c>
      <c r="D94" s="1" t="s">
        <v>117</v>
      </c>
      <c r="E94" s="1" t="s">
        <v>232</v>
      </c>
    </row>
    <row r="95" spans="1:5" x14ac:dyDescent="0.25">
      <c r="A95" s="13">
        <v>7919046</v>
      </c>
      <c r="B95" s="11" t="s">
        <v>116</v>
      </c>
      <c r="C95" s="1" t="s">
        <v>971</v>
      </c>
      <c r="D95" s="1" t="s">
        <v>117</v>
      </c>
      <c r="E95" s="1" t="s">
        <v>147</v>
      </c>
    </row>
    <row r="96" spans="1:5" x14ac:dyDescent="0.25">
      <c r="A96" s="13">
        <v>8129413</v>
      </c>
      <c r="B96" s="11" t="s">
        <v>116</v>
      </c>
      <c r="C96" s="1" t="s">
        <v>243</v>
      </c>
      <c r="D96" s="1" t="s">
        <v>117</v>
      </c>
      <c r="E96" s="1" t="s">
        <v>5</v>
      </c>
    </row>
    <row r="97" spans="1:5" x14ac:dyDescent="0.25">
      <c r="A97" s="13">
        <v>8249813</v>
      </c>
      <c r="B97" s="11" t="s">
        <v>109</v>
      </c>
      <c r="C97" s="1" t="s">
        <v>238</v>
      </c>
      <c r="D97" s="1" t="s">
        <v>131</v>
      </c>
      <c r="E97" s="1" t="s">
        <v>131</v>
      </c>
    </row>
    <row r="98" spans="1:5" x14ac:dyDescent="0.25">
      <c r="A98" s="13">
        <v>8282606</v>
      </c>
      <c r="B98" s="11" t="s">
        <v>116</v>
      </c>
      <c r="C98" s="1" t="s">
        <v>236</v>
      </c>
      <c r="D98" s="1" t="s">
        <v>117</v>
      </c>
      <c r="E98" s="1" t="s">
        <v>237</v>
      </c>
    </row>
    <row r="99" spans="1:5" x14ac:dyDescent="0.25">
      <c r="A99" s="13">
        <v>8282747</v>
      </c>
      <c r="B99" s="11" t="s">
        <v>109</v>
      </c>
      <c r="C99" s="1" t="s">
        <v>235</v>
      </c>
      <c r="D99" s="1" t="s">
        <v>131</v>
      </c>
      <c r="E99" s="1" t="s">
        <v>131</v>
      </c>
    </row>
    <row r="100" spans="1:5" x14ac:dyDescent="0.25">
      <c r="A100" s="13">
        <v>8678808</v>
      </c>
      <c r="B100" s="11" t="s">
        <v>109</v>
      </c>
      <c r="C100" s="1" t="s">
        <v>218</v>
      </c>
      <c r="D100" s="1" t="s">
        <v>131</v>
      </c>
      <c r="E100" s="1" t="s">
        <v>131</v>
      </c>
    </row>
    <row r="101" spans="1:5" x14ac:dyDescent="0.25">
      <c r="A101" s="13">
        <v>8715040</v>
      </c>
      <c r="B101" s="11" t="s">
        <v>84</v>
      </c>
      <c r="C101" s="1" t="s">
        <v>215</v>
      </c>
      <c r="D101" s="1" t="s">
        <v>43</v>
      </c>
      <c r="E101" s="1" t="s">
        <v>3</v>
      </c>
    </row>
    <row r="102" spans="1:5" x14ac:dyDescent="0.25">
      <c r="A102" s="13">
        <v>8720983</v>
      </c>
      <c r="B102" s="11" t="s">
        <v>109</v>
      </c>
      <c r="C102" s="1" t="s">
        <v>214</v>
      </c>
      <c r="D102" s="1" t="s">
        <v>131</v>
      </c>
      <c r="E102" s="1" t="s">
        <v>131</v>
      </c>
    </row>
    <row r="103" spans="1:5" x14ac:dyDescent="0.25">
      <c r="A103" s="13">
        <v>8726209</v>
      </c>
      <c r="B103" s="11" t="s">
        <v>116</v>
      </c>
      <c r="C103" s="1" t="s">
        <v>212</v>
      </c>
      <c r="D103" s="1" t="s">
        <v>117</v>
      </c>
      <c r="E103" s="1" t="s">
        <v>10</v>
      </c>
    </row>
    <row r="104" spans="1:5" x14ac:dyDescent="0.25">
      <c r="A104" s="13">
        <v>9094325</v>
      </c>
      <c r="B104" s="11" t="s">
        <v>116</v>
      </c>
      <c r="C104" s="1" t="s">
        <v>200</v>
      </c>
      <c r="D104" s="1" t="s">
        <v>117</v>
      </c>
      <c r="E104" s="1" t="s">
        <v>134</v>
      </c>
    </row>
    <row r="105" spans="1:5" x14ac:dyDescent="0.25">
      <c r="A105" s="13">
        <v>9145689</v>
      </c>
      <c r="B105" s="11" t="s">
        <v>116</v>
      </c>
      <c r="C105" s="1" t="s">
        <v>3173</v>
      </c>
      <c r="D105" s="1" t="s">
        <v>117</v>
      </c>
      <c r="E105" s="1" t="s">
        <v>120</v>
      </c>
    </row>
    <row r="106" spans="1:5" x14ac:dyDescent="0.25">
      <c r="A106" s="13">
        <v>9173264</v>
      </c>
      <c r="B106" s="11" t="s">
        <v>116</v>
      </c>
      <c r="C106" s="1" t="s">
        <v>178</v>
      </c>
      <c r="D106" s="1" t="s">
        <v>117</v>
      </c>
      <c r="E106" s="1" t="s">
        <v>179</v>
      </c>
    </row>
    <row r="107" spans="1:5" x14ac:dyDescent="0.25">
      <c r="A107" s="13">
        <v>9263069</v>
      </c>
      <c r="B107" s="11" t="s">
        <v>109</v>
      </c>
      <c r="C107" s="1" t="s">
        <v>174</v>
      </c>
      <c r="D107" s="1" t="s">
        <v>131</v>
      </c>
      <c r="E107" s="1" t="s">
        <v>131</v>
      </c>
    </row>
    <row r="108" spans="1:5" x14ac:dyDescent="0.25">
      <c r="A108" s="13">
        <v>9375192</v>
      </c>
      <c r="B108" s="11" t="s">
        <v>83</v>
      </c>
      <c r="C108" s="1" t="s">
        <v>158</v>
      </c>
      <c r="D108" s="1" t="s">
        <v>131</v>
      </c>
      <c r="E108" s="1" t="s">
        <v>131</v>
      </c>
    </row>
    <row r="109" spans="1:5" x14ac:dyDescent="0.25">
      <c r="A109" s="13">
        <v>9395881</v>
      </c>
      <c r="B109" s="11" t="s">
        <v>116</v>
      </c>
      <c r="C109" s="1" t="s">
        <v>157</v>
      </c>
      <c r="D109" s="1" t="s">
        <v>117</v>
      </c>
      <c r="E109" s="1" t="s">
        <v>118</v>
      </c>
    </row>
    <row r="110" spans="1:5" x14ac:dyDescent="0.25">
      <c r="A110" s="13">
        <v>9514155</v>
      </c>
      <c r="B110" s="11" t="s">
        <v>116</v>
      </c>
      <c r="C110" s="1" t="s">
        <v>139</v>
      </c>
      <c r="D110" s="1" t="s">
        <v>117</v>
      </c>
      <c r="E110" s="1" t="s">
        <v>9</v>
      </c>
    </row>
    <row r="111" spans="1:5" x14ac:dyDescent="0.25">
      <c r="A111" s="13">
        <v>9725241</v>
      </c>
      <c r="B111" s="11" t="s">
        <v>84</v>
      </c>
      <c r="C111" s="1" t="s">
        <v>136</v>
      </c>
      <c r="D111" s="1" t="s">
        <v>137</v>
      </c>
      <c r="E111" s="1" t="s">
        <v>138</v>
      </c>
    </row>
    <row r="112" spans="1:5" x14ac:dyDescent="0.25">
      <c r="A112" s="13">
        <v>9779586</v>
      </c>
      <c r="B112" s="11" t="s">
        <v>109</v>
      </c>
      <c r="C112" s="1" t="s">
        <v>135</v>
      </c>
      <c r="D112" s="1" t="s">
        <v>131</v>
      </c>
      <c r="E112" s="1" t="s">
        <v>131</v>
      </c>
    </row>
    <row r="113" spans="1:5" x14ac:dyDescent="0.25">
      <c r="A113" s="13">
        <v>10000316</v>
      </c>
      <c r="B113" s="11" t="s">
        <v>84</v>
      </c>
      <c r="C113" s="1" t="s">
        <v>2999</v>
      </c>
      <c r="D113" s="1" t="s">
        <v>38</v>
      </c>
      <c r="E113" s="1" t="s">
        <v>7</v>
      </c>
    </row>
    <row r="114" spans="1:5" x14ac:dyDescent="0.25">
      <c r="A114" s="13">
        <v>10022854</v>
      </c>
      <c r="B114" s="11" t="s">
        <v>84</v>
      </c>
      <c r="C114" s="1" t="s">
        <v>2954</v>
      </c>
      <c r="D114" s="1" t="s">
        <v>43</v>
      </c>
      <c r="E114" s="1" t="s">
        <v>232</v>
      </c>
    </row>
    <row r="115" spans="1:5" x14ac:dyDescent="0.25">
      <c r="A115" s="13">
        <v>10166030</v>
      </c>
      <c r="B115" s="11" t="s">
        <v>83</v>
      </c>
      <c r="C115" s="1" t="s">
        <v>2773</v>
      </c>
      <c r="D115" s="1" t="s">
        <v>57</v>
      </c>
      <c r="E115" s="1" t="s">
        <v>23</v>
      </c>
    </row>
    <row r="116" spans="1:5" x14ac:dyDescent="0.25">
      <c r="A116" s="13">
        <v>10213979</v>
      </c>
      <c r="B116" s="11" t="s">
        <v>116</v>
      </c>
      <c r="C116" s="1" t="s">
        <v>2665</v>
      </c>
      <c r="D116" s="1" t="s">
        <v>117</v>
      </c>
      <c r="E116" s="1" t="s">
        <v>186</v>
      </c>
    </row>
    <row r="117" spans="1:5" x14ac:dyDescent="0.25">
      <c r="A117" s="13">
        <v>10215915</v>
      </c>
      <c r="B117" s="11" t="s">
        <v>116</v>
      </c>
      <c r="C117" s="1" t="s">
        <v>2664</v>
      </c>
      <c r="D117" s="1" t="s">
        <v>117</v>
      </c>
      <c r="E117" s="1" t="s">
        <v>127</v>
      </c>
    </row>
    <row r="118" spans="1:5" x14ac:dyDescent="0.25">
      <c r="A118" s="13">
        <v>10232357</v>
      </c>
      <c r="B118" s="11" t="s">
        <v>83</v>
      </c>
      <c r="C118" s="1" t="s">
        <v>2608</v>
      </c>
      <c r="D118" s="1" t="s">
        <v>874</v>
      </c>
      <c r="E118" s="1" t="s">
        <v>24</v>
      </c>
    </row>
    <row r="119" spans="1:5" x14ac:dyDescent="0.25">
      <c r="A119" s="13">
        <v>10236991</v>
      </c>
      <c r="B119" s="11" t="s">
        <v>109</v>
      </c>
      <c r="C119" s="1" t="s">
        <v>2606</v>
      </c>
      <c r="D119" s="1" t="s">
        <v>131</v>
      </c>
      <c r="E119" s="1" t="s">
        <v>131</v>
      </c>
    </row>
    <row r="120" spans="1:5" x14ac:dyDescent="0.25">
      <c r="A120" s="13">
        <v>10259308</v>
      </c>
      <c r="B120" s="11" t="s">
        <v>116</v>
      </c>
      <c r="C120" s="1" t="s">
        <v>2533</v>
      </c>
      <c r="D120" s="1" t="s">
        <v>117</v>
      </c>
      <c r="E120" s="1" t="s">
        <v>3</v>
      </c>
    </row>
    <row r="121" spans="1:5" x14ac:dyDescent="0.25">
      <c r="A121" s="13">
        <v>10274293</v>
      </c>
      <c r="B121" s="11" t="s">
        <v>116</v>
      </c>
      <c r="C121" s="1" t="s">
        <v>2509</v>
      </c>
      <c r="D121" s="1" t="s">
        <v>117</v>
      </c>
      <c r="E121" s="1" t="s">
        <v>8</v>
      </c>
    </row>
    <row r="122" spans="1:5" x14ac:dyDescent="0.25">
      <c r="A122" s="13">
        <v>10767248</v>
      </c>
      <c r="B122" s="11" t="s">
        <v>83</v>
      </c>
      <c r="C122" s="1" t="s">
        <v>2286</v>
      </c>
      <c r="D122" s="1" t="s">
        <v>271</v>
      </c>
      <c r="E122" s="1" t="s">
        <v>272</v>
      </c>
    </row>
    <row r="123" spans="1:5" x14ac:dyDescent="0.25">
      <c r="A123" s="13">
        <v>11188899</v>
      </c>
      <c r="B123" s="11" t="s">
        <v>84</v>
      </c>
      <c r="C123" s="1" t="s">
        <v>2248</v>
      </c>
      <c r="D123" s="1" t="s">
        <v>185</v>
      </c>
      <c r="E123" s="1" t="s">
        <v>8</v>
      </c>
    </row>
    <row r="124" spans="1:5" x14ac:dyDescent="0.25">
      <c r="A124" s="13">
        <v>11189087</v>
      </c>
      <c r="B124" s="11" t="s">
        <v>84</v>
      </c>
      <c r="C124" s="1" t="s">
        <v>3543</v>
      </c>
      <c r="D124" s="1" t="s">
        <v>38</v>
      </c>
      <c r="E124" s="1" t="s">
        <v>8</v>
      </c>
    </row>
    <row r="125" spans="1:5" x14ac:dyDescent="0.25">
      <c r="A125" s="13">
        <v>11189559</v>
      </c>
      <c r="B125" s="11" t="s">
        <v>116</v>
      </c>
      <c r="C125" s="1" t="s">
        <v>2247</v>
      </c>
      <c r="D125" s="1" t="s">
        <v>117</v>
      </c>
      <c r="E125" s="1" t="s">
        <v>422</v>
      </c>
    </row>
    <row r="126" spans="1:5" x14ac:dyDescent="0.25">
      <c r="A126" s="13">
        <v>11189740</v>
      </c>
      <c r="B126" s="11" t="s">
        <v>84</v>
      </c>
      <c r="C126" s="1" t="s">
        <v>2246</v>
      </c>
      <c r="D126" s="1" t="s">
        <v>43</v>
      </c>
      <c r="E126" s="1" t="s">
        <v>10</v>
      </c>
    </row>
    <row r="127" spans="1:5" x14ac:dyDescent="0.25">
      <c r="A127" s="13">
        <v>11204849</v>
      </c>
      <c r="B127" s="11" t="s">
        <v>84</v>
      </c>
      <c r="C127" s="1" t="s">
        <v>2245</v>
      </c>
      <c r="D127" s="1" t="s">
        <v>38</v>
      </c>
      <c r="E127" s="1" t="s">
        <v>8</v>
      </c>
    </row>
    <row r="128" spans="1:5" x14ac:dyDescent="0.25">
      <c r="A128" s="13">
        <v>11227036</v>
      </c>
      <c r="B128" s="11" t="s">
        <v>84</v>
      </c>
      <c r="C128" s="1" t="s">
        <v>2240</v>
      </c>
      <c r="D128" s="1" t="s">
        <v>38</v>
      </c>
      <c r="E128" s="1" t="s">
        <v>127</v>
      </c>
    </row>
    <row r="129" spans="1:5" x14ac:dyDescent="0.25">
      <c r="A129" s="13">
        <v>11232348</v>
      </c>
      <c r="B129" s="11" t="s">
        <v>109</v>
      </c>
      <c r="C129" s="1" t="s">
        <v>2239</v>
      </c>
      <c r="D129" s="1" t="s">
        <v>131</v>
      </c>
      <c r="E129" s="1" t="s">
        <v>131</v>
      </c>
    </row>
    <row r="130" spans="1:5" x14ac:dyDescent="0.25">
      <c r="A130" s="13">
        <v>11251284</v>
      </c>
      <c r="B130" s="11" t="s">
        <v>84</v>
      </c>
      <c r="C130" s="1" t="s">
        <v>2236</v>
      </c>
      <c r="D130" s="1" t="s">
        <v>70</v>
      </c>
      <c r="E130" s="1" t="s">
        <v>1</v>
      </c>
    </row>
    <row r="131" spans="1:5" x14ac:dyDescent="0.25">
      <c r="A131" s="13">
        <v>11252111</v>
      </c>
      <c r="B131" s="11" t="s">
        <v>109</v>
      </c>
      <c r="C131" s="1" t="s">
        <v>2235</v>
      </c>
      <c r="D131" s="1" t="s">
        <v>131</v>
      </c>
      <c r="E131" s="1" t="s">
        <v>131</v>
      </c>
    </row>
    <row r="132" spans="1:5" x14ac:dyDescent="0.25">
      <c r="A132" s="13">
        <v>11259891</v>
      </c>
      <c r="B132" s="11" t="s">
        <v>83</v>
      </c>
      <c r="C132" s="1" t="s">
        <v>2233</v>
      </c>
      <c r="D132" s="1" t="s">
        <v>2234</v>
      </c>
      <c r="E132" s="1" t="s">
        <v>242</v>
      </c>
    </row>
    <row r="133" spans="1:5" x14ac:dyDescent="0.25">
      <c r="A133" s="13">
        <v>11301339</v>
      </c>
      <c r="B133" s="11" t="s">
        <v>116</v>
      </c>
      <c r="C133" s="1" t="s">
        <v>2229</v>
      </c>
      <c r="D133" s="1" t="s">
        <v>117</v>
      </c>
      <c r="E133" s="1" t="s">
        <v>491</v>
      </c>
    </row>
    <row r="134" spans="1:5" x14ac:dyDescent="0.25">
      <c r="A134" s="13">
        <v>11306493</v>
      </c>
      <c r="B134" s="11" t="s">
        <v>116</v>
      </c>
      <c r="C134" s="1" t="s">
        <v>2227</v>
      </c>
      <c r="D134" s="1" t="s">
        <v>117</v>
      </c>
      <c r="E134" s="1" t="s">
        <v>2</v>
      </c>
    </row>
    <row r="135" spans="1:5" x14ac:dyDescent="0.25">
      <c r="A135" s="13">
        <v>11308140</v>
      </c>
      <c r="B135" s="11" t="s">
        <v>84</v>
      </c>
      <c r="C135" s="1" t="s">
        <v>3103</v>
      </c>
      <c r="D135" s="1" t="s">
        <v>38</v>
      </c>
      <c r="E135" s="1" t="s">
        <v>134</v>
      </c>
    </row>
    <row r="136" spans="1:5" x14ac:dyDescent="0.25">
      <c r="A136" s="13">
        <v>11314501</v>
      </c>
      <c r="B136" s="11" t="s">
        <v>116</v>
      </c>
      <c r="C136" s="1" t="s">
        <v>2226</v>
      </c>
      <c r="D136" s="1" t="s">
        <v>117</v>
      </c>
      <c r="E136" s="1" t="s">
        <v>10</v>
      </c>
    </row>
    <row r="137" spans="1:5" x14ac:dyDescent="0.25">
      <c r="A137" s="13">
        <v>11317707</v>
      </c>
      <c r="B137" s="11" t="s">
        <v>84</v>
      </c>
      <c r="C137" s="1" t="s">
        <v>2225</v>
      </c>
      <c r="D137" s="1" t="s">
        <v>38</v>
      </c>
      <c r="E137" s="1" t="s">
        <v>3</v>
      </c>
    </row>
    <row r="138" spans="1:5" x14ac:dyDescent="0.25">
      <c r="A138" s="13">
        <v>11318222</v>
      </c>
      <c r="B138" s="11" t="s">
        <v>84</v>
      </c>
      <c r="C138" s="1" t="s">
        <v>2224</v>
      </c>
      <c r="D138" s="1" t="s">
        <v>43</v>
      </c>
      <c r="E138" s="1" t="s">
        <v>10</v>
      </c>
    </row>
    <row r="139" spans="1:5" x14ac:dyDescent="0.25">
      <c r="A139" s="13">
        <v>11318253</v>
      </c>
      <c r="B139" s="11" t="s">
        <v>83</v>
      </c>
      <c r="C139" s="1" t="s">
        <v>3658</v>
      </c>
      <c r="D139" s="1" t="s">
        <v>79</v>
      </c>
      <c r="E139" s="1" t="s">
        <v>248</v>
      </c>
    </row>
    <row r="140" spans="1:5" x14ac:dyDescent="0.25">
      <c r="A140" s="13">
        <v>11323570</v>
      </c>
      <c r="B140" s="11" t="s">
        <v>84</v>
      </c>
      <c r="C140" s="1" t="s">
        <v>2223</v>
      </c>
      <c r="D140" s="1" t="s">
        <v>203</v>
      </c>
      <c r="E140" s="1" t="s">
        <v>210</v>
      </c>
    </row>
    <row r="141" spans="1:5" x14ac:dyDescent="0.25">
      <c r="A141" s="13">
        <v>11388623</v>
      </c>
      <c r="B141" s="11" t="s">
        <v>84</v>
      </c>
      <c r="C141" s="1" t="s">
        <v>2218</v>
      </c>
      <c r="D141" s="1" t="s">
        <v>38</v>
      </c>
      <c r="E141" s="1" t="s">
        <v>10</v>
      </c>
    </row>
    <row r="142" spans="1:5" x14ac:dyDescent="0.25">
      <c r="A142" s="13">
        <v>11425447</v>
      </c>
      <c r="B142" s="11" t="s">
        <v>84</v>
      </c>
      <c r="C142" s="1" t="s">
        <v>2217</v>
      </c>
      <c r="D142" s="1" t="s">
        <v>185</v>
      </c>
      <c r="E142" s="1" t="s">
        <v>6</v>
      </c>
    </row>
    <row r="143" spans="1:5" x14ac:dyDescent="0.25">
      <c r="A143" s="13">
        <v>11428543</v>
      </c>
      <c r="B143" s="11" t="s">
        <v>116</v>
      </c>
      <c r="C143" s="1" t="s">
        <v>2216</v>
      </c>
      <c r="D143" s="1" t="s">
        <v>117</v>
      </c>
      <c r="E143" s="1" t="s">
        <v>263</v>
      </c>
    </row>
    <row r="144" spans="1:5" x14ac:dyDescent="0.25">
      <c r="A144" s="13">
        <v>11433976</v>
      </c>
      <c r="B144" s="11" t="s">
        <v>116</v>
      </c>
      <c r="C144" s="1" t="s">
        <v>2215</v>
      </c>
      <c r="D144" s="1" t="s">
        <v>117</v>
      </c>
      <c r="E144" s="1" t="s">
        <v>333</v>
      </c>
    </row>
    <row r="145" spans="1:5" x14ac:dyDescent="0.25">
      <c r="A145" s="13">
        <v>11439432</v>
      </c>
      <c r="B145" s="11" t="s">
        <v>116</v>
      </c>
      <c r="C145" s="1" t="s">
        <v>2214</v>
      </c>
      <c r="D145" s="1" t="s">
        <v>117</v>
      </c>
      <c r="E145" s="1" t="s">
        <v>417</v>
      </c>
    </row>
    <row r="146" spans="1:5" x14ac:dyDescent="0.25">
      <c r="A146" s="13">
        <v>11441152</v>
      </c>
      <c r="B146" s="11" t="s">
        <v>83</v>
      </c>
      <c r="C146" s="1" t="s">
        <v>2212</v>
      </c>
      <c r="D146" s="1" t="s">
        <v>241</v>
      </c>
      <c r="E146" s="1" t="s">
        <v>242</v>
      </c>
    </row>
    <row r="147" spans="1:5" x14ac:dyDescent="0.25">
      <c r="A147" s="13">
        <v>11519578</v>
      </c>
      <c r="B147" s="11" t="s">
        <v>116</v>
      </c>
      <c r="C147" s="1" t="s">
        <v>2211</v>
      </c>
      <c r="D147" s="1" t="s">
        <v>117</v>
      </c>
      <c r="E147" s="1" t="s">
        <v>10</v>
      </c>
    </row>
    <row r="148" spans="1:5" x14ac:dyDescent="0.25">
      <c r="A148" s="13">
        <v>11521013</v>
      </c>
      <c r="B148" s="11" t="s">
        <v>116</v>
      </c>
      <c r="C148" s="1" t="s">
        <v>2210</v>
      </c>
      <c r="D148" s="1" t="s">
        <v>117</v>
      </c>
      <c r="E148" s="1" t="s">
        <v>12</v>
      </c>
    </row>
    <row r="149" spans="1:5" x14ac:dyDescent="0.25">
      <c r="A149" s="13">
        <v>11792973</v>
      </c>
      <c r="B149" s="11" t="s">
        <v>83</v>
      </c>
      <c r="C149" s="1" t="s">
        <v>2209</v>
      </c>
      <c r="D149" s="1" t="s">
        <v>195</v>
      </c>
      <c r="E149" s="1" t="s">
        <v>19</v>
      </c>
    </row>
    <row r="150" spans="1:5" x14ac:dyDescent="0.25">
      <c r="A150" s="13">
        <v>11796476</v>
      </c>
      <c r="B150" s="11" t="s">
        <v>116</v>
      </c>
      <c r="C150" s="1" t="s">
        <v>3195</v>
      </c>
      <c r="D150" s="1" t="s">
        <v>117</v>
      </c>
      <c r="E150" s="1" t="s">
        <v>3118</v>
      </c>
    </row>
    <row r="151" spans="1:5" x14ac:dyDescent="0.25">
      <c r="A151" s="13">
        <v>12100720</v>
      </c>
      <c r="B151" s="11" t="s">
        <v>109</v>
      </c>
      <c r="C151" s="1" t="s">
        <v>2204</v>
      </c>
      <c r="D151" s="1" t="s">
        <v>131</v>
      </c>
      <c r="E151" s="1" t="s">
        <v>131</v>
      </c>
    </row>
    <row r="152" spans="1:5" x14ac:dyDescent="0.25">
      <c r="A152" s="13">
        <v>12123560</v>
      </c>
      <c r="B152" s="11" t="s">
        <v>116</v>
      </c>
      <c r="C152" s="1" t="s">
        <v>2203</v>
      </c>
      <c r="D152" s="1" t="s">
        <v>117</v>
      </c>
      <c r="E152" s="1" t="s">
        <v>10</v>
      </c>
    </row>
    <row r="153" spans="1:5" x14ac:dyDescent="0.25">
      <c r="A153" s="13">
        <v>12134423</v>
      </c>
      <c r="B153" s="11" t="s">
        <v>116</v>
      </c>
      <c r="C153" s="1" t="s">
        <v>2202</v>
      </c>
      <c r="D153" s="1" t="s">
        <v>117</v>
      </c>
      <c r="E153" s="1" t="s">
        <v>134</v>
      </c>
    </row>
    <row r="154" spans="1:5" x14ac:dyDescent="0.25">
      <c r="A154" s="13">
        <v>12225968</v>
      </c>
      <c r="B154" s="11" t="s">
        <v>109</v>
      </c>
      <c r="C154" s="1" t="s">
        <v>2201</v>
      </c>
      <c r="D154" s="1" t="s">
        <v>131</v>
      </c>
      <c r="E154" s="1" t="s">
        <v>131</v>
      </c>
    </row>
    <row r="155" spans="1:5" x14ac:dyDescent="0.25">
      <c r="A155" s="13">
        <v>12530542</v>
      </c>
      <c r="B155" s="11" t="s">
        <v>84</v>
      </c>
      <c r="C155" s="1" t="s">
        <v>2184</v>
      </c>
      <c r="D155" s="1" t="s">
        <v>38</v>
      </c>
      <c r="E155" s="1" t="s">
        <v>134</v>
      </c>
    </row>
    <row r="156" spans="1:5" x14ac:dyDescent="0.25">
      <c r="A156" s="13">
        <v>12541070</v>
      </c>
      <c r="B156" s="11" t="s">
        <v>84</v>
      </c>
      <c r="C156" s="1" t="s">
        <v>2183</v>
      </c>
      <c r="D156" s="1" t="s">
        <v>38</v>
      </c>
      <c r="E156" s="1" t="s">
        <v>3</v>
      </c>
    </row>
    <row r="157" spans="1:5" x14ac:dyDescent="0.25">
      <c r="A157" s="13">
        <v>12594593</v>
      </c>
      <c r="B157" s="11" t="s">
        <v>109</v>
      </c>
      <c r="C157" s="1" t="s">
        <v>2182</v>
      </c>
      <c r="D157" s="1" t="s">
        <v>131</v>
      </c>
      <c r="E157" s="1" t="s">
        <v>131</v>
      </c>
    </row>
    <row r="158" spans="1:5" x14ac:dyDescent="0.25">
      <c r="A158" s="13">
        <v>12753187</v>
      </c>
      <c r="B158" s="11" t="s">
        <v>116</v>
      </c>
      <c r="C158" s="1" t="s">
        <v>2181</v>
      </c>
      <c r="D158" s="1" t="s">
        <v>117</v>
      </c>
      <c r="E158" s="1" t="s">
        <v>6</v>
      </c>
    </row>
    <row r="159" spans="1:5" x14ac:dyDescent="0.25">
      <c r="A159" s="13">
        <v>12909183</v>
      </c>
      <c r="B159" s="11" t="s">
        <v>116</v>
      </c>
      <c r="C159" s="1" t="s">
        <v>2180</v>
      </c>
      <c r="D159" s="1" t="s">
        <v>117</v>
      </c>
      <c r="E159" s="1" t="s">
        <v>127</v>
      </c>
    </row>
    <row r="160" spans="1:5" x14ac:dyDescent="0.25">
      <c r="A160" s="13">
        <v>12969372</v>
      </c>
      <c r="B160" s="11" t="s">
        <v>83</v>
      </c>
      <c r="C160" s="1" t="s">
        <v>2178</v>
      </c>
      <c r="D160" s="1" t="s">
        <v>2179</v>
      </c>
      <c r="E160" s="1" t="s">
        <v>685</v>
      </c>
    </row>
    <row r="161" spans="1:5" x14ac:dyDescent="0.25">
      <c r="A161" s="13">
        <v>12992093</v>
      </c>
      <c r="B161" s="11" t="s">
        <v>116</v>
      </c>
      <c r="C161" s="1" t="s">
        <v>2177</v>
      </c>
      <c r="D161" s="1" t="s">
        <v>117</v>
      </c>
      <c r="E161" s="1" t="s">
        <v>3</v>
      </c>
    </row>
    <row r="162" spans="1:5" x14ac:dyDescent="0.25">
      <c r="A162" s="13">
        <v>13071159</v>
      </c>
      <c r="B162" s="11" t="s">
        <v>84</v>
      </c>
      <c r="C162" s="1" t="s">
        <v>3196</v>
      </c>
      <c r="D162" s="1" t="s">
        <v>38</v>
      </c>
      <c r="E162" s="1" t="s">
        <v>8</v>
      </c>
    </row>
    <row r="163" spans="1:5" x14ac:dyDescent="0.25">
      <c r="A163" s="13">
        <v>13074246</v>
      </c>
      <c r="B163" s="11" t="s">
        <v>116</v>
      </c>
      <c r="C163" s="1" t="s">
        <v>2176</v>
      </c>
      <c r="D163" s="1" t="s">
        <v>117</v>
      </c>
      <c r="E163" s="1" t="s">
        <v>147</v>
      </c>
    </row>
    <row r="164" spans="1:5" x14ac:dyDescent="0.25">
      <c r="A164" s="13">
        <v>13244606</v>
      </c>
      <c r="B164" s="11" t="s">
        <v>84</v>
      </c>
      <c r="C164" s="1" t="s">
        <v>2175</v>
      </c>
      <c r="D164" s="1" t="s">
        <v>38</v>
      </c>
      <c r="E164" s="1" t="s">
        <v>170</v>
      </c>
    </row>
    <row r="165" spans="1:5" x14ac:dyDescent="0.25">
      <c r="A165" s="13">
        <v>13255867</v>
      </c>
      <c r="B165" s="11" t="s">
        <v>84</v>
      </c>
      <c r="C165" s="1" t="s">
        <v>2174</v>
      </c>
      <c r="D165" s="1" t="s">
        <v>38</v>
      </c>
      <c r="E165" s="1" t="s">
        <v>168</v>
      </c>
    </row>
    <row r="166" spans="1:5" x14ac:dyDescent="0.25">
      <c r="A166" s="13">
        <v>13461320</v>
      </c>
      <c r="B166" s="11" t="s">
        <v>116</v>
      </c>
      <c r="C166" s="1" t="s">
        <v>2173</v>
      </c>
      <c r="D166" s="1" t="s">
        <v>117</v>
      </c>
      <c r="E166" s="1" t="s">
        <v>186</v>
      </c>
    </row>
    <row r="167" spans="1:5" x14ac:dyDescent="0.25">
      <c r="A167" s="13">
        <v>13482243</v>
      </c>
      <c r="B167" s="11" t="s">
        <v>109</v>
      </c>
      <c r="C167" s="1" t="s">
        <v>2172</v>
      </c>
      <c r="D167" s="1" t="s">
        <v>131</v>
      </c>
      <c r="E167" s="1" t="s">
        <v>131</v>
      </c>
    </row>
    <row r="168" spans="1:5" x14ac:dyDescent="0.25">
      <c r="A168" s="13">
        <v>13484430</v>
      </c>
      <c r="B168" s="11" t="s">
        <v>83</v>
      </c>
      <c r="C168" s="1" t="s">
        <v>2171</v>
      </c>
      <c r="D168" s="1" t="s">
        <v>567</v>
      </c>
      <c r="E168" s="1" t="s">
        <v>16</v>
      </c>
    </row>
    <row r="169" spans="1:5" x14ac:dyDescent="0.25">
      <c r="A169" s="13">
        <v>13485790</v>
      </c>
      <c r="B169" s="11" t="s">
        <v>84</v>
      </c>
      <c r="C169" s="1" t="s">
        <v>3544</v>
      </c>
      <c r="D169" s="1" t="s">
        <v>38</v>
      </c>
      <c r="E169" s="1" t="s">
        <v>8</v>
      </c>
    </row>
    <row r="170" spans="1:5" x14ac:dyDescent="0.25">
      <c r="A170" s="13">
        <v>13487249</v>
      </c>
      <c r="B170" s="11" t="s">
        <v>116</v>
      </c>
      <c r="C170" s="1" t="s">
        <v>2170</v>
      </c>
      <c r="D170" s="1" t="s">
        <v>117</v>
      </c>
      <c r="E170" s="1" t="s">
        <v>127</v>
      </c>
    </row>
    <row r="171" spans="1:5" x14ac:dyDescent="0.25">
      <c r="A171" s="13">
        <v>13715626</v>
      </c>
      <c r="B171" s="11" t="s">
        <v>116</v>
      </c>
      <c r="C171" s="1" t="s">
        <v>2169</v>
      </c>
      <c r="D171" s="1" t="s">
        <v>117</v>
      </c>
      <c r="E171" s="1" t="s">
        <v>179</v>
      </c>
    </row>
    <row r="172" spans="1:5" x14ac:dyDescent="0.25">
      <c r="A172" s="13">
        <v>13762058</v>
      </c>
      <c r="B172" s="11" t="s">
        <v>116</v>
      </c>
      <c r="C172" s="1" t="s">
        <v>2168</v>
      </c>
      <c r="D172" s="1" t="s">
        <v>117</v>
      </c>
      <c r="E172" s="1" t="s">
        <v>9</v>
      </c>
    </row>
    <row r="173" spans="1:5" x14ac:dyDescent="0.25">
      <c r="A173" s="13">
        <v>13791391</v>
      </c>
      <c r="B173" s="11" t="s">
        <v>83</v>
      </c>
      <c r="C173" s="1" t="s">
        <v>2167</v>
      </c>
      <c r="D173" s="1" t="s">
        <v>57</v>
      </c>
      <c r="E173" s="1" t="s">
        <v>23</v>
      </c>
    </row>
    <row r="174" spans="1:5" x14ac:dyDescent="0.25">
      <c r="A174" s="13">
        <v>13833856</v>
      </c>
      <c r="B174" s="11" t="s">
        <v>116</v>
      </c>
      <c r="C174" s="1" t="s">
        <v>2166</v>
      </c>
      <c r="D174" s="1" t="s">
        <v>117</v>
      </c>
      <c r="E174" s="1" t="s">
        <v>134</v>
      </c>
    </row>
    <row r="175" spans="1:5" x14ac:dyDescent="0.25">
      <c r="A175" s="13">
        <v>13887871</v>
      </c>
      <c r="B175" s="11" t="s">
        <v>116</v>
      </c>
      <c r="C175" s="1" t="s">
        <v>2165</v>
      </c>
      <c r="D175" s="1" t="s">
        <v>117</v>
      </c>
      <c r="E175" s="1" t="s">
        <v>85</v>
      </c>
    </row>
    <row r="176" spans="1:5" x14ac:dyDescent="0.25">
      <c r="A176" s="13">
        <v>13923305</v>
      </c>
      <c r="B176" s="11" t="s">
        <v>116</v>
      </c>
      <c r="C176" s="1" t="s">
        <v>2164</v>
      </c>
      <c r="D176" s="1" t="s">
        <v>117</v>
      </c>
      <c r="E176" s="1" t="s">
        <v>147</v>
      </c>
    </row>
    <row r="177" spans="1:5" x14ac:dyDescent="0.25">
      <c r="A177" s="13">
        <v>13992889</v>
      </c>
      <c r="B177" s="11" t="s">
        <v>83</v>
      </c>
      <c r="C177" s="1" t="s">
        <v>3197</v>
      </c>
      <c r="D177" s="1" t="s">
        <v>3198</v>
      </c>
      <c r="E177" s="1" t="s">
        <v>19</v>
      </c>
    </row>
    <row r="178" spans="1:5" x14ac:dyDescent="0.25">
      <c r="A178" s="13">
        <v>14090102</v>
      </c>
      <c r="B178" s="11" t="s">
        <v>109</v>
      </c>
      <c r="C178" s="1" t="s">
        <v>2163</v>
      </c>
      <c r="D178" s="1" t="s">
        <v>131</v>
      </c>
      <c r="E178" s="1" t="s">
        <v>131</v>
      </c>
    </row>
    <row r="179" spans="1:5" x14ac:dyDescent="0.25">
      <c r="A179" s="13">
        <v>14135328</v>
      </c>
      <c r="B179" s="11" t="s">
        <v>84</v>
      </c>
      <c r="C179" s="1" t="s">
        <v>2161</v>
      </c>
      <c r="D179" s="1" t="s">
        <v>2162</v>
      </c>
      <c r="E179" s="1" t="s">
        <v>27</v>
      </c>
    </row>
    <row r="180" spans="1:5" x14ac:dyDescent="0.25">
      <c r="A180" s="13">
        <v>14224662</v>
      </c>
      <c r="B180" s="11" t="s">
        <v>109</v>
      </c>
      <c r="C180" s="1" t="s">
        <v>2160</v>
      </c>
      <c r="D180" s="1" t="s">
        <v>131</v>
      </c>
      <c r="E180" s="1" t="s">
        <v>131</v>
      </c>
    </row>
    <row r="181" spans="1:5" x14ac:dyDescent="0.25">
      <c r="A181" s="13">
        <v>14227979</v>
      </c>
      <c r="B181" s="11" t="s">
        <v>116</v>
      </c>
      <c r="C181" s="1" t="s">
        <v>2159</v>
      </c>
      <c r="D181" s="1" t="s">
        <v>117</v>
      </c>
      <c r="E181" s="1" t="s">
        <v>205</v>
      </c>
    </row>
    <row r="182" spans="1:5" x14ac:dyDescent="0.25">
      <c r="A182" s="13">
        <v>14234856</v>
      </c>
      <c r="B182" s="11" t="s">
        <v>84</v>
      </c>
      <c r="C182" s="1" t="s">
        <v>2158</v>
      </c>
      <c r="D182" s="1" t="s">
        <v>38</v>
      </c>
      <c r="E182" s="1" t="s">
        <v>134</v>
      </c>
    </row>
    <row r="183" spans="1:5" x14ac:dyDescent="0.25">
      <c r="A183" s="13">
        <v>14316675</v>
      </c>
      <c r="B183" s="11" t="s">
        <v>116</v>
      </c>
      <c r="C183" s="1" t="s">
        <v>2157</v>
      </c>
      <c r="D183" s="1" t="s">
        <v>117</v>
      </c>
      <c r="E183" s="1" t="s">
        <v>127</v>
      </c>
    </row>
    <row r="184" spans="1:5" x14ac:dyDescent="0.25">
      <c r="A184" s="13">
        <v>14839951</v>
      </c>
      <c r="B184" s="11" t="s">
        <v>84</v>
      </c>
      <c r="C184" s="1" t="s">
        <v>2155</v>
      </c>
      <c r="D184" s="1" t="s">
        <v>43</v>
      </c>
      <c r="E184" s="1" t="s">
        <v>6</v>
      </c>
    </row>
    <row r="185" spans="1:5" x14ac:dyDescent="0.25">
      <c r="A185" s="13">
        <v>14879783</v>
      </c>
      <c r="B185" s="11" t="s">
        <v>84</v>
      </c>
      <c r="C185" s="1" t="s">
        <v>2154</v>
      </c>
      <c r="D185" s="1" t="s">
        <v>38</v>
      </c>
      <c r="E185" s="1" t="s">
        <v>168</v>
      </c>
    </row>
    <row r="186" spans="1:5" x14ac:dyDescent="0.25">
      <c r="A186" s="13">
        <v>15372414</v>
      </c>
      <c r="B186" s="11" t="s">
        <v>116</v>
      </c>
      <c r="C186" s="1" t="s">
        <v>3117</v>
      </c>
      <c r="D186" s="1" t="s">
        <v>117</v>
      </c>
      <c r="E186" s="1" t="s">
        <v>3118</v>
      </c>
    </row>
    <row r="187" spans="1:5" x14ac:dyDescent="0.25">
      <c r="A187" s="13">
        <v>15383645</v>
      </c>
      <c r="B187" s="11" t="s">
        <v>116</v>
      </c>
      <c r="C187" s="1" t="s">
        <v>2153</v>
      </c>
      <c r="D187" s="1" t="s">
        <v>117</v>
      </c>
      <c r="E187" s="1" t="s">
        <v>179</v>
      </c>
    </row>
    <row r="188" spans="1:5" x14ac:dyDescent="0.25">
      <c r="A188" s="13">
        <v>15921417</v>
      </c>
      <c r="B188" s="11" t="s">
        <v>116</v>
      </c>
      <c r="C188" s="1" t="s">
        <v>2152</v>
      </c>
      <c r="D188" s="1" t="s">
        <v>117</v>
      </c>
      <c r="E188" s="1" t="s">
        <v>8</v>
      </c>
    </row>
    <row r="189" spans="1:5" x14ac:dyDescent="0.25">
      <c r="A189" s="13">
        <v>16073411</v>
      </c>
      <c r="B189" s="11" t="s">
        <v>116</v>
      </c>
      <c r="C189" s="1" t="s">
        <v>2151</v>
      </c>
      <c r="D189" s="1" t="s">
        <v>117</v>
      </c>
      <c r="E189" s="1" t="s">
        <v>119</v>
      </c>
    </row>
    <row r="190" spans="1:5" x14ac:dyDescent="0.25">
      <c r="A190" s="13">
        <v>16220028</v>
      </c>
      <c r="B190" s="11" t="s">
        <v>116</v>
      </c>
      <c r="C190" s="1" t="s">
        <v>2150</v>
      </c>
      <c r="D190" s="1" t="s">
        <v>117</v>
      </c>
      <c r="E190" s="1" t="s">
        <v>453</v>
      </c>
    </row>
    <row r="191" spans="1:5" x14ac:dyDescent="0.25">
      <c r="A191" s="13">
        <v>16263464</v>
      </c>
      <c r="B191" s="11" t="s">
        <v>109</v>
      </c>
      <c r="C191" s="1" t="s">
        <v>2149</v>
      </c>
      <c r="D191" s="1" t="s">
        <v>131</v>
      </c>
      <c r="E191" s="1" t="s">
        <v>131</v>
      </c>
    </row>
    <row r="192" spans="1:5" x14ac:dyDescent="0.25">
      <c r="A192" s="13">
        <v>16285592</v>
      </c>
      <c r="B192" s="11" t="s">
        <v>84</v>
      </c>
      <c r="C192" s="1" t="s">
        <v>2148</v>
      </c>
      <c r="D192" s="1" t="s">
        <v>43</v>
      </c>
      <c r="E192" s="1" t="s">
        <v>12</v>
      </c>
    </row>
    <row r="193" spans="1:5" x14ac:dyDescent="0.25">
      <c r="A193" s="13">
        <v>16368361</v>
      </c>
      <c r="B193" s="11" t="s">
        <v>116</v>
      </c>
      <c r="C193" s="1" t="s">
        <v>2147</v>
      </c>
      <c r="D193" s="1" t="s">
        <v>117</v>
      </c>
      <c r="E193" s="1" t="s">
        <v>85</v>
      </c>
    </row>
    <row r="194" spans="1:5" x14ac:dyDescent="0.25">
      <c r="A194" s="13">
        <v>16656504</v>
      </c>
      <c r="B194" s="11" t="s">
        <v>116</v>
      </c>
      <c r="C194" s="1" t="s">
        <v>2146</v>
      </c>
      <c r="D194" s="1" t="s">
        <v>117</v>
      </c>
      <c r="E194" s="1" t="s">
        <v>14</v>
      </c>
    </row>
    <row r="195" spans="1:5" x14ac:dyDescent="0.25">
      <c r="A195" s="13">
        <v>16712504</v>
      </c>
      <c r="B195" s="11" t="s">
        <v>116</v>
      </c>
      <c r="C195" s="1" t="s">
        <v>2145</v>
      </c>
      <c r="D195" s="1" t="s">
        <v>117</v>
      </c>
      <c r="E195" s="1" t="s">
        <v>127</v>
      </c>
    </row>
    <row r="196" spans="1:5" x14ac:dyDescent="0.25">
      <c r="A196" s="13">
        <v>16724858</v>
      </c>
      <c r="B196" s="11" t="s">
        <v>116</v>
      </c>
      <c r="C196" s="1" t="s">
        <v>2144</v>
      </c>
      <c r="D196" s="1" t="s">
        <v>117</v>
      </c>
      <c r="E196" s="1" t="s">
        <v>1276</v>
      </c>
    </row>
    <row r="197" spans="1:5" x14ac:dyDescent="0.25">
      <c r="A197" s="13">
        <v>16729031</v>
      </c>
      <c r="B197" s="11" t="s">
        <v>84</v>
      </c>
      <c r="C197" s="1" t="s">
        <v>2143</v>
      </c>
      <c r="D197" s="1" t="s">
        <v>38</v>
      </c>
      <c r="E197" s="1" t="s">
        <v>170</v>
      </c>
    </row>
    <row r="198" spans="1:5" x14ac:dyDescent="0.25">
      <c r="A198" s="13">
        <v>16740148</v>
      </c>
      <c r="B198" s="11" t="s">
        <v>116</v>
      </c>
      <c r="C198" s="1" t="s">
        <v>2142</v>
      </c>
      <c r="D198" s="1" t="s">
        <v>117</v>
      </c>
      <c r="E198" s="1" t="s">
        <v>8</v>
      </c>
    </row>
    <row r="199" spans="1:5" x14ac:dyDescent="0.25">
      <c r="A199" s="13">
        <v>16782628</v>
      </c>
      <c r="B199" s="11" t="s">
        <v>116</v>
      </c>
      <c r="C199" s="1" t="s">
        <v>2141</v>
      </c>
      <c r="D199" s="1" t="s">
        <v>117</v>
      </c>
      <c r="E199" s="1" t="s">
        <v>6</v>
      </c>
    </row>
    <row r="200" spans="1:5" x14ac:dyDescent="0.25">
      <c r="A200" s="13">
        <v>16791793</v>
      </c>
      <c r="B200" s="11" t="s">
        <v>116</v>
      </c>
      <c r="C200" s="1" t="s">
        <v>2140</v>
      </c>
      <c r="D200" s="1" t="s">
        <v>117</v>
      </c>
      <c r="E200" s="1" t="s">
        <v>10</v>
      </c>
    </row>
    <row r="201" spans="1:5" x14ac:dyDescent="0.25">
      <c r="A201" s="13">
        <v>17018955</v>
      </c>
      <c r="B201" s="11" t="s">
        <v>109</v>
      </c>
      <c r="C201" s="1" t="s">
        <v>2138</v>
      </c>
      <c r="D201" s="1" t="s">
        <v>131</v>
      </c>
      <c r="E201" s="1" t="s">
        <v>131</v>
      </c>
    </row>
    <row r="202" spans="1:5" x14ac:dyDescent="0.25">
      <c r="A202" s="13">
        <v>17053606</v>
      </c>
      <c r="B202" s="11" t="s">
        <v>116</v>
      </c>
      <c r="C202" s="1" t="s">
        <v>2137</v>
      </c>
      <c r="D202" s="1" t="s">
        <v>117</v>
      </c>
      <c r="E202" s="1" t="s">
        <v>6</v>
      </c>
    </row>
    <row r="203" spans="1:5" x14ac:dyDescent="0.25">
      <c r="A203" s="13">
        <v>17060875</v>
      </c>
      <c r="B203" s="11" t="s">
        <v>109</v>
      </c>
      <c r="C203" s="1" t="s">
        <v>2136</v>
      </c>
      <c r="D203" s="1" t="s">
        <v>131</v>
      </c>
      <c r="E203" s="1" t="s">
        <v>131</v>
      </c>
    </row>
    <row r="204" spans="1:5" x14ac:dyDescent="0.25">
      <c r="A204" s="13">
        <v>17066605</v>
      </c>
      <c r="B204" s="11" t="s">
        <v>109</v>
      </c>
      <c r="C204" s="1" t="s">
        <v>2135</v>
      </c>
      <c r="D204" s="1" t="s">
        <v>131</v>
      </c>
      <c r="E204" s="1" t="s">
        <v>131</v>
      </c>
    </row>
    <row r="205" spans="1:5" x14ac:dyDescent="0.25">
      <c r="A205" s="13">
        <v>17107743</v>
      </c>
      <c r="B205" s="11" t="s">
        <v>116</v>
      </c>
      <c r="C205" s="1" t="s">
        <v>2134</v>
      </c>
      <c r="D205" s="1" t="s">
        <v>117</v>
      </c>
      <c r="E205" s="1" t="s">
        <v>263</v>
      </c>
    </row>
    <row r="206" spans="1:5" x14ac:dyDescent="0.25">
      <c r="A206" s="13">
        <v>17125231</v>
      </c>
      <c r="B206" s="11" t="s">
        <v>116</v>
      </c>
      <c r="C206" s="1" t="s">
        <v>2133</v>
      </c>
      <c r="D206" s="1" t="s">
        <v>117</v>
      </c>
      <c r="E206" s="1" t="s">
        <v>6</v>
      </c>
    </row>
    <row r="207" spans="1:5" x14ac:dyDescent="0.25">
      <c r="A207" s="13">
        <v>17137446</v>
      </c>
      <c r="B207" s="11" t="s">
        <v>116</v>
      </c>
      <c r="C207" s="1" t="s">
        <v>2132</v>
      </c>
      <c r="D207" s="1" t="s">
        <v>117</v>
      </c>
      <c r="E207" s="1" t="s">
        <v>127</v>
      </c>
    </row>
    <row r="208" spans="1:5" x14ac:dyDescent="0.25">
      <c r="A208" s="13">
        <v>17141140</v>
      </c>
      <c r="B208" s="11" t="s">
        <v>84</v>
      </c>
      <c r="C208" s="1" t="s">
        <v>2131</v>
      </c>
      <c r="D208" s="1" t="s">
        <v>43</v>
      </c>
      <c r="E208" s="1" t="s">
        <v>417</v>
      </c>
    </row>
    <row r="209" spans="1:5" x14ac:dyDescent="0.25">
      <c r="A209" s="13">
        <v>17143403</v>
      </c>
      <c r="B209" s="11" t="s">
        <v>109</v>
      </c>
      <c r="C209" s="1" t="s">
        <v>2130</v>
      </c>
      <c r="D209" s="1" t="s">
        <v>131</v>
      </c>
      <c r="E209" s="1" t="s">
        <v>131</v>
      </c>
    </row>
    <row r="210" spans="1:5" x14ac:dyDescent="0.25">
      <c r="A210" s="13">
        <v>17146098</v>
      </c>
      <c r="B210" s="11" t="s">
        <v>109</v>
      </c>
      <c r="C210" s="1" t="s">
        <v>2129</v>
      </c>
      <c r="D210" s="1" t="s">
        <v>131</v>
      </c>
      <c r="E210" s="1" t="s">
        <v>131</v>
      </c>
    </row>
    <row r="211" spans="1:5" x14ac:dyDescent="0.25">
      <c r="A211" s="13">
        <v>17149598</v>
      </c>
      <c r="B211" s="11" t="s">
        <v>109</v>
      </c>
      <c r="C211" s="1" t="s">
        <v>2128</v>
      </c>
      <c r="D211" s="1" t="s">
        <v>131</v>
      </c>
      <c r="E211" s="1" t="s">
        <v>131</v>
      </c>
    </row>
    <row r="212" spans="1:5" x14ac:dyDescent="0.25">
      <c r="A212" s="13">
        <v>17149948</v>
      </c>
      <c r="B212" s="11" t="s">
        <v>109</v>
      </c>
      <c r="C212" s="1" t="s">
        <v>2127</v>
      </c>
      <c r="D212" s="1" t="s">
        <v>131</v>
      </c>
      <c r="E212" s="1" t="s">
        <v>131</v>
      </c>
    </row>
    <row r="213" spans="1:5" x14ac:dyDescent="0.25">
      <c r="A213" s="13">
        <v>17152240</v>
      </c>
      <c r="B213" s="11" t="s">
        <v>116</v>
      </c>
      <c r="C213" s="1" t="s">
        <v>2126</v>
      </c>
      <c r="D213" s="1" t="s">
        <v>117</v>
      </c>
      <c r="E213" s="1" t="s">
        <v>10</v>
      </c>
    </row>
    <row r="214" spans="1:5" x14ac:dyDescent="0.25">
      <c r="A214" s="13">
        <v>17188168</v>
      </c>
      <c r="B214" s="11" t="s">
        <v>109</v>
      </c>
      <c r="C214" s="1" t="s">
        <v>2125</v>
      </c>
      <c r="D214" s="1" t="s">
        <v>131</v>
      </c>
      <c r="E214" s="1" t="s">
        <v>131</v>
      </c>
    </row>
    <row r="215" spans="1:5" x14ac:dyDescent="0.25">
      <c r="A215" s="13">
        <v>17188967</v>
      </c>
      <c r="B215" s="11" t="s">
        <v>109</v>
      </c>
      <c r="C215" s="1" t="s">
        <v>2124</v>
      </c>
      <c r="D215" s="1" t="s">
        <v>131</v>
      </c>
      <c r="E215" s="1" t="s">
        <v>131</v>
      </c>
    </row>
    <row r="216" spans="1:5" x14ac:dyDescent="0.25">
      <c r="A216" s="13">
        <v>17190569</v>
      </c>
      <c r="B216" s="11" t="s">
        <v>109</v>
      </c>
      <c r="C216" s="1" t="s">
        <v>2123</v>
      </c>
      <c r="D216" s="1" t="s">
        <v>131</v>
      </c>
      <c r="E216" s="1" t="s">
        <v>131</v>
      </c>
    </row>
    <row r="217" spans="1:5" x14ac:dyDescent="0.25">
      <c r="A217" s="13">
        <v>17197672</v>
      </c>
      <c r="B217" s="11" t="s">
        <v>116</v>
      </c>
      <c r="C217" s="1" t="s">
        <v>2122</v>
      </c>
      <c r="D217" s="1" t="s">
        <v>117</v>
      </c>
      <c r="E217" s="1" t="s">
        <v>10</v>
      </c>
    </row>
    <row r="218" spans="1:5" x14ac:dyDescent="0.25">
      <c r="A218" s="13">
        <v>17321750</v>
      </c>
      <c r="B218" s="11" t="s">
        <v>109</v>
      </c>
      <c r="C218" s="1" t="s">
        <v>2121</v>
      </c>
      <c r="D218" s="1" t="s">
        <v>131</v>
      </c>
      <c r="E218" s="1" t="s">
        <v>131</v>
      </c>
    </row>
    <row r="219" spans="1:5" x14ac:dyDescent="0.25">
      <c r="A219" s="13">
        <v>17332322</v>
      </c>
      <c r="B219" s="11" t="s">
        <v>109</v>
      </c>
      <c r="C219" s="1" t="s">
        <v>2120</v>
      </c>
      <c r="D219" s="1" t="s">
        <v>131</v>
      </c>
      <c r="E219" s="1" t="s">
        <v>131</v>
      </c>
    </row>
    <row r="220" spans="1:5" x14ac:dyDescent="0.25">
      <c r="A220" s="13">
        <v>17341691</v>
      </c>
      <c r="B220" s="11" t="s">
        <v>109</v>
      </c>
      <c r="C220" s="1" t="s">
        <v>2119</v>
      </c>
      <c r="D220" s="1" t="s">
        <v>131</v>
      </c>
      <c r="E220" s="1" t="s">
        <v>131</v>
      </c>
    </row>
    <row r="221" spans="1:5" x14ac:dyDescent="0.25">
      <c r="A221" s="13">
        <v>17389746</v>
      </c>
      <c r="B221" s="11" t="s">
        <v>116</v>
      </c>
      <c r="C221" s="1" t="s">
        <v>2118</v>
      </c>
      <c r="D221" s="1" t="s">
        <v>117</v>
      </c>
      <c r="E221" s="1" t="s">
        <v>3</v>
      </c>
    </row>
    <row r="222" spans="1:5" x14ac:dyDescent="0.25">
      <c r="A222" s="13">
        <v>17419251</v>
      </c>
      <c r="B222" s="11" t="s">
        <v>84</v>
      </c>
      <c r="C222" s="1" t="s">
        <v>2117</v>
      </c>
      <c r="D222" s="1" t="s">
        <v>38</v>
      </c>
      <c r="E222" s="1" t="s">
        <v>12</v>
      </c>
    </row>
    <row r="223" spans="1:5" x14ac:dyDescent="0.25">
      <c r="A223" s="13">
        <v>18494835</v>
      </c>
      <c r="B223" s="11" t="s">
        <v>84</v>
      </c>
      <c r="C223" s="1" t="s">
        <v>3545</v>
      </c>
      <c r="D223" s="1" t="s">
        <v>38</v>
      </c>
      <c r="E223" s="1" t="s">
        <v>8</v>
      </c>
    </row>
    <row r="224" spans="1:5" x14ac:dyDescent="0.25">
      <c r="A224" s="13">
        <v>19052909</v>
      </c>
      <c r="B224" s="11" t="s">
        <v>116</v>
      </c>
      <c r="C224" s="1" t="s">
        <v>2116</v>
      </c>
      <c r="D224" s="1" t="s">
        <v>117</v>
      </c>
      <c r="E224" s="1" t="s">
        <v>85</v>
      </c>
    </row>
    <row r="225" spans="1:5" x14ac:dyDescent="0.25">
      <c r="A225" s="13">
        <v>19055806</v>
      </c>
      <c r="B225" s="11" t="s">
        <v>109</v>
      </c>
      <c r="C225" s="1" t="s">
        <v>2115</v>
      </c>
      <c r="D225" s="1" t="s">
        <v>131</v>
      </c>
      <c r="E225" s="1" t="s">
        <v>131</v>
      </c>
    </row>
    <row r="226" spans="1:5" x14ac:dyDescent="0.25">
      <c r="A226" s="13">
        <v>19063473</v>
      </c>
      <c r="B226" s="11" t="s">
        <v>116</v>
      </c>
      <c r="C226" s="1" t="s">
        <v>2114</v>
      </c>
      <c r="D226" s="1" t="s">
        <v>117</v>
      </c>
      <c r="E226" s="1" t="s">
        <v>127</v>
      </c>
    </row>
    <row r="227" spans="1:5" x14ac:dyDescent="0.25">
      <c r="A227" s="13">
        <v>19064743</v>
      </c>
      <c r="B227" s="11" t="s">
        <v>116</v>
      </c>
      <c r="C227" s="1" t="s">
        <v>2113</v>
      </c>
      <c r="D227" s="1" t="s">
        <v>117</v>
      </c>
      <c r="E227" s="1" t="s">
        <v>263</v>
      </c>
    </row>
    <row r="228" spans="1:5" x14ac:dyDescent="0.25">
      <c r="A228" s="13">
        <v>19064745</v>
      </c>
      <c r="B228" s="11" t="s">
        <v>109</v>
      </c>
      <c r="C228" s="1" t="s">
        <v>2112</v>
      </c>
      <c r="D228" s="1" t="s">
        <v>131</v>
      </c>
      <c r="E228" s="1" t="s">
        <v>131</v>
      </c>
    </row>
    <row r="229" spans="1:5" x14ac:dyDescent="0.25">
      <c r="A229" s="13">
        <v>19065248</v>
      </c>
      <c r="B229" s="11" t="s">
        <v>116</v>
      </c>
      <c r="C229" s="1" t="s">
        <v>2111</v>
      </c>
      <c r="D229" s="1" t="s">
        <v>117</v>
      </c>
      <c r="E229" s="1" t="s">
        <v>491</v>
      </c>
    </row>
    <row r="230" spans="1:5" x14ac:dyDescent="0.25">
      <c r="A230" s="13">
        <v>19065824</v>
      </c>
      <c r="B230" s="11" t="s">
        <v>116</v>
      </c>
      <c r="C230" s="1" t="s">
        <v>2110</v>
      </c>
      <c r="D230" s="1" t="s">
        <v>117</v>
      </c>
      <c r="E230" s="1" t="s">
        <v>453</v>
      </c>
    </row>
    <row r="231" spans="1:5" x14ac:dyDescent="0.25">
      <c r="A231" s="13">
        <v>19079842</v>
      </c>
      <c r="B231" s="11" t="s">
        <v>109</v>
      </c>
      <c r="C231" s="1" t="s">
        <v>2109</v>
      </c>
      <c r="D231" s="1" t="s">
        <v>131</v>
      </c>
      <c r="E231" s="1" t="s">
        <v>131</v>
      </c>
    </row>
    <row r="232" spans="1:5" x14ac:dyDescent="0.25">
      <c r="A232" s="13">
        <v>19092312</v>
      </c>
      <c r="B232" s="11" t="s">
        <v>116</v>
      </c>
      <c r="C232" s="1" t="s">
        <v>2108</v>
      </c>
      <c r="D232" s="1" t="s">
        <v>117</v>
      </c>
      <c r="E232" s="1" t="s">
        <v>237</v>
      </c>
    </row>
    <row r="233" spans="1:5" x14ac:dyDescent="0.25">
      <c r="A233" s="13">
        <v>19097346</v>
      </c>
      <c r="B233" s="11" t="s">
        <v>116</v>
      </c>
      <c r="C233" s="1" t="s">
        <v>2107</v>
      </c>
      <c r="D233" s="1" t="s">
        <v>117</v>
      </c>
      <c r="E233" s="1" t="s">
        <v>336</v>
      </c>
    </row>
    <row r="234" spans="1:5" x14ac:dyDescent="0.25">
      <c r="A234" s="13">
        <v>19098158</v>
      </c>
      <c r="B234" s="11" t="s">
        <v>116</v>
      </c>
      <c r="C234" s="1" t="s">
        <v>2106</v>
      </c>
      <c r="D234" s="1" t="s">
        <v>117</v>
      </c>
      <c r="E234" s="1" t="s">
        <v>127</v>
      </c>
    </row>
    <row r="235" spans="1:5" x14ac:dyDescent="0.25">
      <c r="A235" s="13">
        <v>19098902</v>
      </c>
      <c r="B235" s="11" t="s">
        <v>83</v>
      </c>
      <c r="C235" s="1" t="s">
        <v>2105</v>
      </c>
      <c r="D235" s="1" t="s">
        <v>57</v>
      </c>
      <c r="E235" s="1" t="s">
        <v>23</v>
      </c>
    </row>
    <row r="236" spans="1:5" x14ac:dyDescent="0.25">
      <c r="A236" s="13">
        <v>19099900</v>
      </c>
      <c r="B236" s="11" t="s">
        <v>116</v>
      </c>
      <c r="C236" s="1" t="s">
        <v>2104</v>
      </c>
      <c r="D236" s="1" t="s">
        <v>117</v>
      </c>
      <c r="E236" s="1" t="s">
        <v>1819</v>
      </c>
    </row>
    <row r="237" spans="1:5" x14ac:dyDescent="0.25">
      <c r="A237" s="13">
        <v>19102771</v>
      </c>
      <c r="B237" s="11" t="s">
        <v>116</v>
      </c>
      <c r="C237" s="1" t="s">
        <v>2103</v>
      </c>
      <c r="D237" s="1" t="s">
        <v>117</v>
      </c>
      <c r="E237" s="1" t="s">
        <v>170</v>
      </c>
    </row>
    <row r="238" spans="1:5" x14ac:dyDescent="0.25">
      <c r="A238" s="13">
        <v>19104904</v>
      </c>
      <c r="B238" s="11" t="s">
        <v>116</v>
      </c>
      <c r="C238" s="1" t="s">
        <v>2102</v>
      </c>
      <c r="D238" s="1" t="s">
        <v>117</v>
      </c>
      <c r="E238" s="1" t="s">
        <v>333</v>
      </c>
    </row>
    <row r="239" spans="1:5" x14ac:dyDescent="0.25">
      <c r="A239" s="13">
        <v>19112490</v>
      </c>
      <c r="B239" s="11" t="s">
        <v>116</v>
      </c>
      <c r="C239" s="1" t="s">
        <v>2101</v>
      </c>
      <c r="D239" s="1" t="s">
        <v>117</v>
      </c>
      <c r="E239" s="1" t="s">
        <v>3</v>
      </c>
    </row>
    <row r="240" spans="1:5" x14ac:dyDescent="0.25">
      <c r="A240" s="13">
        <v>19114930</v>
      </c>
      <c r="B240" s="11" t="s">
        <v>84</v>
      </c>
      <c r="C240" s="1" t="s">
        <v>2100</v>
      </c>
      <c r="D240" s="1" t="s">
        <v>38</v>
      </c>
      <c r="E240" s="1" t="s">
        <v>333</v>
      </c>
    </row>
    <row r="241" spans="1:5" x14ac:dyDescent="0.25">
      <c r="A241" s="13">
        <v>19118646</v>
      </c>
      <c r="B241" s="11" t="s">
        <v>84</v>
      </c>
      <c r="C241" s="1" t="s">
        <v>2099</v>
      </c>
      <c r="D241" s="1" t="s">
        <v>185</v>
      </c>
      <c r="E241" s="1" t="s">
        <v>127</v>
      </c>
    </row>
    <row r="242" spans="1:5" x14ac:dyDescent="0.25">
      <c r="A242" s="13">
        <v>19120683</v>
      </c>
      <c r="B242" s="11" t="s">
        <v>116</v>
      </c>
      <c r="C242" s="1" t="s">
        <v>2098</v>
      </c>
      <c r="D242" s="1" t="s">
        <v>117</v>
      </c>
      <c r="E242" s="1" t="s">
        <v>134</v>
      </c>
    </row>
    <row r="243" spans="1:5" x14ac:dyDescent="0.25">
      <c r="A243" s="13">
        <v>19121246</v>
      </c>
      <c r="B243" s="11" t="s">
        <v>84</v>
      </c>
      <c r="C243" s="1" t="s">
        <v>2097</v>
      </c>
      <c r="D243" s="1" t="s">
        <v>38</v>
      </c>
      <c r="E243" s="1" t="s">
        <v>10</v>
      </c>
    </row>
    <row r="244" spans="1:5" x14ac:dyDescent="0.25">
      <c r="A244" s="13">
        <v>19121513</v>
      </c>
      <c r="B244" s="11" t="s">
        <v>83</v>
      </c>
      <c r="C244" s="1" t="s">
        <v>2094</v>
      </c>
      <c r="D244" s="1" t="s">
        <v>2095</v>
      </c>
      <c r="E244" s="1" t="s">
        <v>2096</v>
      </c>
    </row>
    <row r="245" spans="1:5" x14ac:dyDescent="0.25">
      <c r="A245" s="13">
        <v>19122724</v>
      </c>
      <c r="B245" s="11" t="s">
        <v>116</v>
      </c>
      <c r="C245" s="1" t="s">
        <v>2093</v>
      </c>
      <c r="D245" s="1" t="s">
        <v>117</v>
      </c>
      <c r="E245" s="1" t="s">
        <v>10</v>
      </c>
    </row>
    <row r="246" spans="1:5" x14ac:dyDescent="0.25">
      <c r="A246" s="13">
        <v>19123638</v>
      </c>
      <c r="B246" s="11" t="s">
        <v>109</v>
      </c>
      <c r="C246" s="1" t="s">
        <v>2092</v>
      </c>
      <c r="D246" s="1" t="s">
        <v>131</v>
      </c>
      <c r="E246" s="1" t="s">
        <v>131</v>
      </c>
    </row>
    <row r="247" spans="1:5" x14ac:dyDescent="0.25">
      <c r="A247" s="13">
        <v>19129204</v>
      </c>
      <c r="B247" s="11" t="s">
        <v>116</v>
      </c>
      <c r="C247" s="1" t="s">
        <v>2091</v>
      </c>
      <c r="D247" s="1" t="s">
        <v>117</v>
      </c>
      <c r="E247" s="1" t="s">
        <v>2</v>
      </c>
    </row>
    <row r="248" spans="1:5" x14ac:dyDescent="0.25">
      <c r="A248" s="13">
        <v>19134053</v>
      </c>
      <c r="B248" s="11" t="s">
        <v>116</v>
      </c>
      <c r="C248" s="1" t="s">
        <v>2090</v>
      </c>
      <c r="D248" s="1" t="s">
        <v>117</v>
      </c>
      <c r="E248" s="1" t="s">
        <v>10</v>
      </c>
    </row>
    <row r="249" spans="1:5" x14ac:dyDescent="0.25">
      <c r="A249" s="13">
        <v>19134356</v>
      </c>
      <c r="B249" s="11" t="s">
        <v>116</v>
      </c>
      <c r="C249" s="1" t="s">
        <v>2089</v>
      </c>
      <c r="D249" s="1" t="s">
        <v>117</v>
      </c>
      <c r="E249" s="1" t="s">
        <v>263</v>
      </c>
    </row>
    <row r="250" spans="1:5" x14ac:dyDescent="0.25">
      <c r="A250" s="13">
        <v>19137035</v>
      </c>
      <c r="B250" s="11" t="s">
        <v>109</v>
      </c>
      <c r="C250" s="1" t="s">
        <v>2088</v>
      </c>
      <c r="D250" s="1" t="s">
        <v>131</v>
      </c>
      <c r="E250" s="1" t="s">
        <v>131</v>
      </c>
    </row>
    <row r="251" spans="1:5" x14ac:dyDescent="0.25">
      <c r="A251" s="13">
        <v>19142486</v>
      </c>
      <c r="B251" s="11" t="s">
        <v>109</v>
      </c>
      <c r="C251" s="1" t="s">
        <v>2087</v>
      </c>
      <c r="D251" s="1" t="s">
        <v>131</v>
      </c>
      <c r="E251" s="1" t="s">
        <v>131</v>
      </c>
    </row>
    <row r="252" spans="1:5" x14ac:dyDescent="0.25">
      <c r="A252" s="13">
        <v>19142587</v>
      </c>
      <c r="B252" s="11" t="s">
        <v>109</v>
      </c>
      <c r="C252" s="1" t="s">
        <v>2086</v>
      </c>
      <c r="D252" s="1" t="s">
        <v>131</v>
      </c>
      <c r="E252" s="1" t="s">
        <v>131</v>
      </c>
    </row>
    <row r="253" spans="1:5" x14ac:dyDescent="0.25">
      <c r="A253" s="13">
        <v>19143230</v>
      </c>
      <c r="B253" s="11" t="s">
        <v>109</v>
      </c>
      <c r="C253" s="1" t="s">
        <v>2085</v>
      </c>
      <c r="D253" s="1" t="s">
        <v>131</v>
      </c>
      <c r="E253" s="1" t="s">
        <v>131</v>
      </c>
    </row>
    <row r="254" spans="1:5" x14ac:dyDescent="0.25">
      <c r="A254" s="13">
        <v>19145032</v>
      </c>
      <c r="B254" s="11" t="s">
        <v>84</v>
      </c>
      <c r="C254" s="1" t="s">
        <v>2084</v>
      </c>
      <c r="D254" s="1" t="s">
        <v>38</v>
      </c>
      <c r="E254" s="1" t="s">
        <v>127</v>
      </c>
    </row>
    <row r="255" spans="1:5" x14ac:dyDescent="0.25">
      <c r="A255" s="13">
        <v>19145548</v>
      </c>
      <c r="B255" s="11" t="s">
        <v>109</v>
      </c>
      <c r="C255" s="1" t="s">
        <v>2083</v>
      </c>
      <c r="D255" s="1" t="s">
        <v>131</v>
      </c>
      <c r="E255" s="1" t="s">
        <v>131</v>
      </c>
    </row>
    <row r="256" spans="1:5" x14ac:dyDescent="0.25">
      <c r="A256" s="13">
        <v>19145852</v>
      </c>
      <c r="B256" s="11" t="s">
        <v>116</v>
      </c>
      <c r="C256" s="1" t="s">
        <v>2082</v>
      </c>
      <c r="D256" s="1" t="s">
        <v>117</v>
      </c>
      <c r="E256" s="1" t="s">
        <v>10</v>
      </c>
    </row>
    <row r="257" spans="1:5" x14ac:dyDescent="0.25">
      <c r="A257" s="13">
        <v>19149798</v>
      </c>
      <c r="B257" s="11" t="s">
        <v>116</v>
      </c>
      <c r="C257" s="1" t="s">
        <v>2081</v>
      </c>
      <c r="D257" s="1" t="s">
        <v>117</v>
      </c>
      <c r="E257" s="1" t="s">
        <v>263</v>
      </c>
    </row>
    <row r="258" spans="1:5" x14ac:dyDescent="0.25">
      <c r="A258" s="13">
        <v>19150935</v>
      </c>
      <c r="B258" s="11" t="s">
        <v>84</v>
      </c>
      <c r="C258" s="1" t="s">
        <v>2080</v>
      </c>
      <c r="D258" s="1" t="s">
        <v>38</v>
      </c>
      <c r="E258" s="1" t="s">
        <v>6</v>
      </c>
    </row>
    <row r="259" spans="1:5" x14ac:dyDescent="0.25">
      <c r="A259" s="13">
        <v>19151299</v>
      </c>
      <c r="B259" s="11" t="s">
        <v>116</v>
      </c>
      <c r="C259" s="1" t="s">
        <v>2079</v>
      </c>
      <c r="D259" s="1" t="s">
        <v>117</v>
      </c>
      <c r="E259" s="1" t="s">
        <v>876</v>
      </c>
    </row>
    <row r="260" spans="1:5" x14ac:dyDescent="0.25">
      <c r="A260" s="13">
        <v>19154597</v>
      </c>
      <c r="B260" s="11" t="s">
        <v>109</v>
      </c>
      <c r="C260" s="1" t="s">
        <v>2078</v>
      </c>
      <c r="D260" s="1" t="s">
        <v>131</v>
      </c>
      <c r="E260" s="1" t="s">
        <v>131</v>
      </c>
    </row>
    <row r="261" spans="1:5" x14ac:dyDescent="0.25">
      <c r="A261" s="13">
        <v>19155476</v>
      </c>
      <c r="B261" s="11" t="s">
        <v>116</v>
      </c>
      <c r="C261" s="1" t="s">
        <v>2077</v>
      </c>
      <c r="D261" s="1" t="s">
        <v>117</v>
      </c>
      <c r="E261" s="1" t="s">
        <v>127</v>
      </c>
    </row>
    <row r="262" spans="1:5" x14ac:dyDescent="0.25">
      <c r="A262" s="13">
        <v>19158275</v>
      </c>
      <c r="B262" s="11" t="s">
        <v>109</v>
      </c>
      <c r="C262" s="1" t="s">
        <v>2076</v>
      </c>
      <c r="D262" s="1" t="s">
        <v>131</v>
      </c>
      <c r="E262" s="1" t="s">
        <v>131</v>
      </c>
    </row>
    <row r="263" spans="1:5" x14ac:dyDescent="0.25">
      <c r="A263" s="13">
        <v>19169235</v>
      </c>
      <c r="B263" s="11" t="s">
        <v>84</v>
      </c>
      <c r="C263" s="1" t="s">
        <v>2075</v>
      </c>
      <c r="D263" s="1" t="s">
        <v>38</v>
      </c>
      <c r="E263" s="1" t="s">
        <v>3</v>
      </c>
    </row>
    <row r="264" spans="1:5" x14ac:dyDescent="0.25">
      <c r="A264" s="13">
        <v>19171220</v>
      </c>
      <c r="B264" s="11" t="s">
        <v>116</v>
      </c>
      <c r="C264" s="1" t="s">
        <v>2074</v>
      </c>
      <c r="D264" s="1" t="s">
        <v>117</v>
      </c>
      <c r="E264" s="1" t="s">
        <v>10</v>
      </c>
    </row>
    <row r="265" spans="1:5" x14ac:dyDescent="0.25">
      <c r="A265" s="13">
        <v>19171234</v>
      </c>
      <c r="B265" s="11" t="s">
        <v>84</v>
      </c>
      <c r="C265" s="1" t="s">
        <v>2073</v>
      </c>
      <c r="D265" s="1" t="s">
        <v>185</v>
      </c>
      <c r="E265" s="1" t="s">
        <v>1055</v>
      </c>
    </row>
    <row r="266" spans="1:5" x14ac:dyDescent="0.25">
      <c r="A266" s="13">
        <v>19171381</v>
      </c>
      <c r="B266" s="11" t="s">
        <v>116</v>
      </c>
      <c r="C266" s="1" t="s">
        <v>2072</v>
      </c>
      <c r="D266" s="1" t="s">
        <v>117</v>
      </c>
      <c r="E266" s="1" t="s">
        <v>10</v>
      </c>
    </row>
    <row r="267" spans="1:5" x14ac:dyDescent="0.25">
      <c r="A267" s="13">
        <v>19175433</v>
      </c>
      <c r="B267" s="11" t="s">
        <v>84</v>
      </c>
      <c r="C267" s="1" t="s">
        <v>2071</v>
      </c>
      <c r="D267" s="1" t="s">
        <v>43</v>
      </c>
      <c r="E267" s="1" t="s">
        <v>173</v>
      </c>
    </row>
    <row r="268" spans="1:5" x14ac:dyDescent="0.25">
      <c r="A268" s="13">
        <v>19175954</v>
      </c>
      <c r="B268" s="11" t="s">
        <v>109</v>
      </c>
      <c r="C268" s="1" t="s">
        <v>2070</v>
      </c>
      <c r="D268" s="1" t="s">
        <v>131</v>
      </c>
      <c r="E268" s="1" t="s">
        <v>131</v>
      </c>
    </row>
    <row r="269" spans="1:5" x14ac:dyDescent="0.25">
      <c r="A269" s="13">
        <v>19182610</v>
      </c>
      <c r="B269" s="11" t="s">
        <v>116</v>
      </c>
      <c r="C269" s="1" t="s">
        <v>2069</v>
      </c>
      <c r="D269" s="1" t="s">
        <v>117</v>
      </c>
      <c r="E269" s="1" t="s">
        <v>127</v>
      </c>
    </row>
    <row r="270" spans="1:5" x14ac:dyDescent="0.25">
      <c r="A270" s="13">
        <v>19183183</v>
      </c>
      <c r="B270" s="11" t="s">
        <v>84</v>
      </c>
      <c r="C270" s="1" t="s">
        <v>2068</v>
      </c>
      <c r="D270" s="1" t="s">
        <v>43</v>
      </c>
      <c r="E270" s="1" t="s">
        <v>186</v>
      </c>
    </row>
    <row r="271" spans="1:5" x14ac:dyDescent="0.25">
      <c r="A271" s="13">
        <v>19184911</v>
      </c>
      <c r="B271" s="11" t="s">
        <v>109</v>
      </c>
      <c r="C271" s="1" t="s">
        <v>2067</v>
      </c>
      <c r="D271" s="1" t="s">
        <v>131</v>
      </c>
      <c r="E271" s="1" t="s">
        <v>131</v>
      </c>
    </row>
    <row r="272" spans="1:5" x14ac:dyDescent="0.25">
      <c r="A272" s="13">
        <v>19186941</v>
      </c>
      <c r="B272" s="11" t="s">
        <v>109</v>
      </c>
      <c r="C272" s="1" t="s">
        <v>2066</v>
      </c>
      <c r="D272" s="1" t="s">
        <v>131</v>
      </c>
      <c r="E272" s="1" t="s">
        <v>131</v>
      </c>
    </row>
    <row r="273" spans="1:5" x14ac:dyDescent="0.25">
      <c r="A273" s="13">
        <v>19187394</v>
      </c>
      <c r="B273" s="11" t="s">
        <v>109</v>
      </c>
      <c r="C273" s="1" t="s">
        <v>2065</v>
      </c>
      <c r="D273" s="1" t="s">
        <v>131</v>
      </c>
      <c r="E273" s="1" t="s">
        <v>131</v>
      </c>
    </row>
    <row r="274" spans="1:5" x14ac:dyDescent="0.25">
      <c r="A274" s="13">
        <v>19188364</v>
      </c>
      <c r="B274" s="11" t="s">
        <v>84</v>
      </c>
      <c r="C274" s="1" t="s">
        <v>2064</v>
      </c>
      <c r="D274" s="1" t="s">
        <v>38</v>
      </c>
      <c r="E274" s="1" t="s">
        <v>1276</v>
      </c>
    </row>
    <row r="275" spans="1:5" x14ac:dyDescent="0.25">
      <c r="A275" s="13">
        <v>19192537</v>
      </c>
      <c r="B275" s="11" t="s">
        <v>116</v>
      </c>
      <c r="C275" s="1" t="s">
        <v>2063</v>
      </c>
      <c r="D275" s="1" t="s">
        <v>117</v>
      </c>
      <c r="E275" s="1" t="s">
        <v>336</v>
      </c>
    </row>
    <row r="276" spans="1:5" x14ac:dyDescent="0.25">
      <c r="A276" s="13">
        <v>19193748</v>
      </c>
      <c r="B276" s="11" t="s">
        <v>109</v>
      </c>
      <c r="C276" s="1" t="s">
        <v>2062</v>
      </c>
      <c r="D276" s="1" t="s">
        <v>131</v>
      </c>
      <c r="E276" s="1" t="s">
        <v>131</v>
      </c>
    </row>
    <row r="277" spans="1:5" x14ac:dyDescent="0.25">
      <c r="A277" s="13">
        <v>19195601</v>
      </c>
      <c r="B277" s="11" t="s">
        <v>116</v>
      </c>
      <c r="C277" s="1" t="s">
        <v>2061</v>
      </c>
      <c r="D277" s="1" t="s">
        <v>117</v>
      </c>
      <c r="E277" s="1" t="s">
        <v>10</v>
      </c>
    </row>
    <row r="278" spans="1:5" x14ac:dyDescent="0.25">
      <c r="A278" s="13">
        <v>19195844</v>
      </c>
      <c r="B278" s="11" t="s">
        <v>116</v>
      </c>
      <c r="C278" s="1" t="s">
        <v>2060</v>
      </c>
      <c r="D278" s="1" t="s">
        <v>117</v>
      </c>
      <c r="E278" s="1" t="s">
        <v>127</v>
      </c>
    </row>
    <row r="279" spans="1:5" x14ac:dyDescent="0.25">
      <c r="A279" s="13">
        <v>19196831</v>
      </c>
      <c r="B279" s="11" t="s">
        <v>84</v>
      </c>
      <c r="C279" s="1" t="s">
        <v>2059</v>
      </c>
      <c r="D279" s="1" t="s">
        <v>38</v>
      </c>
      <c r="E279" s="1" t="s">
        <v>417</v>
      </c>
    </row>
    <row r="280" spans="1:5" x14ac:dyDescent="0.25">
      <c r="A280" s="13">
        <v>19203390</v>
      </c>
      <c r="B280" s="11" t="s">
        <v>116</v>
      </c>
      <c r="C280" s="1" t="s">
        <v>2058</v>
      </c>
      <c r="D280" s="1" t="s">
        <v>117</v>
      </c>
      <c r="E280" s="1" t="s">
        <v>336</v>
      </c>
    </row>
    <row r="281" spans="1:5" x14ac:dyDescent="0.25">
      <c r="A281" s="13">
        <v>19203875</v>
      </c>
      <c r="B281" s="11" t="s">
        <v>116</v>
      </c>
      <c r="C281" s="1" t="s">
        <v>2057</v>
      </c>
      <c r="D281" s="1" t="s">
        <v>117</v>
      </c>
      <c r="E281" s="1" t="s">
        <v>1276</v>
      </c>
    </row>
    <row r="282" spans="1:5" x14ac:dyDescent="0.25">
      <c r="A282" s="13">
        <v>19214090</v>
      </c>
      <c r="B282" s="11" t="s">
        <v>109</v>
      </c>
      <c r="C282" s="1" t="s">
        <v>2056</v>
      </c>
      <c r="D282" s="1" t="s">
        <v>131</v>
      </c>
      <c r="E282" s="1" t="s">
        <v>131</v>
      </c>
    </row>
    <row r="283" spans="1:5" x14ac:dyDescent="0.25">
      <c r="A283" s="13">
        <v>19216925</v>
      </c>
      <c r="B283" s="11" t="s">
        <v>109</v>
      </c>
      <c r="C283" s="1" t="s">
        <v>2055</v>
      </c>
      <c r="D283" s="1" t="s">
        <v>131</v>
      </c>
      <c r="E283" s="1" t="s">
        <v>131</v>
      </c>
    </row>
    <row r="284" spans="1:5" x14ac:dyDescent="0.25">
      <c r="A284" s="13">
        <v>19218391</v>
      </c>
      <c r="B284" s="11" t="s">
        <v>116</v>
      </c>
      <c r="C284" s="1" t="s">
        <v>2054</v>
      </c>
      <c r="D284" s="1" t="s">
        <v>117</v>
      </c>
      <c r="E284" s="1" t="s">
        <v>186</v>
      </c>
    </row>
    <row r="285" spans="1:5" x14ac:dyDescent="0.25">
      <c r="A285" s="13">
        <v>19218527</v>
      </c>
      <c r="B285" s="11" t="s">
        <v>116</v>
      </c>
      <c r="C285" s="1" t="s">
        <v>2053</v>
      </c>
      <c r="D285" s="1" t="s">
        <v>117</v>
      </c>
      <c r="E285" s="1" t="s">
        <v>147</v>
      </c>
    </row>
    <row r="286" spans="1:5" x14ac:dyDescent="0.25">
      <c r="A286" s="13">
        <v>19220231</v>
      </c>
      <c r="B286" s="11" t="s">
        <v>116</v>
      </c>
      <c r="C286" s="1" t="s">
        <v>2052</v>
      </c>
      <c r="D286" s="1" t="s">
        <v>117</v>
      </c>
      <c r="E286" s="1" t="s">
        <v>127</v>
      </c>
    </row>
    <row r="287" spans="1:5" x14ac:dyDescent="0.25">
      <c r="A287" s="13">
        <v>19222562</v>
      </c>
      <c r="B287" s="11" t="s">
        <v>109</v>
      </c>
      <c r="C287" s="1" t="s">
        <v>2051</v>
      </c>
      <c r="D287" s="1" t="s">
        <v>131</v>
      </c>
      <c r="E287" s="1" t="s">
        <v>131</v>
      </c>
    </row>
    <row r="288" spans="1:5" x14ac:dyDescent="0.25">
      <c r="A288" s="13">
        <v>19224567</v>
      </c>
      <c r="B288" s="11" t="s">
        <v>116</v>
      </c>
      <c r="C288" s="1" t="s">
        <v>2050</v>
      </c>
      <c r="D288" s="1" t="s">
        <v>117</v>
      </c>
      <c r="E288" s="1" t="s">
        <v>333</v>
      </c>
    </row>
    <row r="289" spans="1:5" x14ac:dyDescent="0.25">
      <c r="A289" s="13">
        <v>19225696</v>
      </c>
      <c r="B289" s="11" t="s">
        <v>116</v>
      </c>
      <c r="C289" s="1" t="s">
        <v>2049</v>
      </c>
      <c r="D289" s="1" t="s">
        <v>117</v>
      </c>
      <c r="E289" s="1" t="s">
        <v>134</v>
      </c>
    </row>
    <row r="290" spans="1:5" x14ac:dyDescent="0.25">
      <c r="A290" s="13">
        <v>19226603</v>
      </c>
      <c r="B290" s="11" t="s">
        <v>109</v>
      </c>
      <c r="C290" s="1" t="s">
        <v>2048</v>
      </c>
      <c r="D290" s="1" t="s">
        <v>131</v>
      </c>
      <c r="E290" s="1" t="s">
        <v>131</v>
      </c>
    </row>
    <row r="291" spans="1:5" x14ac:dyDescent="0.25">
      <c r="A291" s="13">
        <v>19231463</v>
      </c>
      <c r="B291" s="11" t="s">
        <v>116</v>
      </c>
      <c r="C291" s="1" t="s">
        <v>2047</v>
      </c>
      <c r="D291" s="1" t="s">
        <v>117</v>
      </c>
      <c r="E291" s="1" t="s">
        <v>7</v>
      </c>
    </row>
    <row r="292" spans="1:5" x14ac:dyDescent="0.25">
      <c r="A292" s="13">
        <v>19235833</v>
      </c>
      <c r="B292" s="11" t="s">
        <v>84</v>
      </c>
      <c r="C292" s="1" t="s">
        <v>2046</v>
      </c>
      <c r="D292" s="1" t="s">
        <v>38</v>
      </c>
      <c r="E292" s="1" t="s">
        <v>127</v>
      </c>
    </row>
    <row r="293" spans="1:5" x14ac:dyDescent="0.25">
      <c r="A293" s="13">
        <v>19239799</v>
      </c>
      <c r="B293" s="11" t="s">
        <v>116</v>
      </c>
      <c r="C293" s="1" t="s">
        <v>2045</v>
      </c>
      <c r="D293" s="1" t="s">
        <v>117</v>
      </c>
      <c r="E293" s="1" t="s">
        <v>606</v>
      </c>
    </row>
    <row r="294" spans="1:5" x14ac:dyDescent="0.25">
      <c r="A294" s="13">
        <v>19243877</v>
      </c>
      <c r="B294" s="11" t="s">
        <v>109</v>
      </c>
      <c r="C294" s="1" t="s">
        <v>2044</v>
      </c>
      <c r="D294" s="1" t="s">
        <v>131</v>
      </c>
      <c r="E294" s="1" t="s">
        <v>131</v>
      </c>
    </row>
    <row r="295" spans="1:5" x14ac:dyDescent="0.25">
      <c r="A295" s="13">
        <v>19244117</v>
      </c>
      <c r="B295" s="11" t="s">
        <v>116</v>
      </c>
      <c r="C295" s="1" t="s">
        <v>2043</v>
      </c>
      <c r="D295" s="1" t="s">
        <v>117</v>
      </c>
      <c r="E295" s="1" t="s">
        <v>134</v>
      </c>
    </row>
    <row r="296" spans="1:5" x14ac:dyDescent="0.25">
      <c r="A296" s="13">
        <v>19245977</v>
      </c>
      <c r="B296" s="11" t="s">
        <v>84</v>
      </c>
      <c r="C296" s="1" t="s">
        <v>2042</v>
      </c>
      <c r="D296" s="1" t="s">
        <v>43</v>
      </c>
      <c r="E296" s="1" t="s">
        <v>2</v>
      </c>
    </row>
    <row r="297" spans="1:5" x14ac:dyDescent="0.25">
      <c r="A297" s="13">
        <v>19246275</v>
      </c>
      <c r="B297" s="11" t="s">
        <v>116</v>
      </c>
      <c r="C297" s="1" t="s">
        <v>2041</v>
      </c>
      <c r="D297" s="1" t="s">
        <v>117</v>
      </c>
      <c r="E297" s="1" t="s">
        <v>134</v>
      </c>
    </row>
    <row r="298" spans="1:5" x14ac:dyDescent="0.25">
      <c r="A298" s="13">
        <v>19246543</v>
      </c>
      <c r="B298" s="11" t="s">
        <v>116</v>
      </c>
      <c r="C298" s="1" t="s">
        <v>2040</v>
      </c>
      <c r="D298" s="1" t="s">
        <v>117</v>
      </c>
      <c r="E298" s="1" t="s">
        <v>336</v>
      </c>
    </row>
    <row r="299" spans="1:5" x14ac:dyDescent="0.25">
      <c r="A299" s="13">
        <v>19255326</v>
      </c>
      <c r="B299" s="11" t="s">
        <v>116</v>
      </c>
      <c r="C299" s="1" t="s">
        <v>2039</v>
      </c>
      <c r="D299" s="1" t="s">
        <v>117</v>
      </c>
      <c r="E299" s="1" t="s">
        <v>134</v>
      </c>
    </row>
    <row r="300" spans="1:5" x14ac:dyDescent="0.25">
      <c r="A300" s="13">
        <v>19257145</v>
      </c>
      <c r="B300" s="11" t="s">
        <v>116</v>
      </c>
      <c r="C300" s="1" t="s">
        <v>2038</v>
      </c>
      <c r="D300" s="1" t="s">
        <v>117</v>
      </c>
      <c r="E300" s="1" t="s">
        <v>9</v>
      </c>
    </row>
    <row r="301" spans="1:5" x14ac:dyDescent="0.25">
      <c r="A301" s="13">
        <v>19257362</v>
      </c>
      <c r="B301" s="11" t="s">
        <v>116</v>
      </c>
      <c r="C301" s="1" t="s">
        <v>2037</v>
      </c>
      <c r="D301" s="1" t="s">
        <v>117</v>
      </c>
      <c r="E301" s="1" t="s">
        <v>205</v>
      </c>
    </row>
    <row r="302" spans="1:5" x14ac:dyDescent="0.25">
      <c r="A302" s="13">
        <v>19257817</v>
      </c>
      <c r="B302" s="11" t="s">
        <v>109</v>
      </c>
      <c r="C302" s="1" t="s">
        <v>2036</v>
      </c>
      <c r="D302" s="1" t="s">
        <v>131</v>
      </c>
      <c r="E302" s="1" t="s">
        <v>131</v>
      </c>
    </row>
    <row r="303" spans="1:5" x14ac:dyDescent="0.25">
      <c r="A303" s="13">
        <v>19263882</v>
      </c>
      <c r="B303" s="11" t="s">
        <v>116</v>
      </c>
      <c r="C303" s="1" t="s">
        <v>3546</v>
      </c>
      <c r="D303" s="1" t="s">
        <v>117</v>
      </c>
      <c r="E303" s="1" t="s">
        <v>3192</v>
      </c>
    </row>
    <row r="304" spans="1:5" x14ac:dyDescent="0.25">
      <c r="A304" s="13">
        <v>19265790</v>
      </c>
      <c r="B304" s="11" t="s">
        <v>116</v>
      </c>
      <c r="C304" s="1" t="s">
        <v>2035</v>
      </c>
      <c r="D304" s="1" t="s">
        <v>117</v>
      </c>
      <c r="E304" s="1" t="s">
        <v>134</v>
      </c>
    </row>
    <row r="305" spans="1:5" x14ac:dyDescent="0.25">
      <c r="A305" s="13">
        <v>19267146</v>
      </c>
      <c r="B305" s="11" t="s">
        <v>84</v>
      </c>
      <c r="C305" s="1" t="s">
        <v>2034</v>
      </c>
      <c r="D305" s="1" t="s">
        <v>38</v>
      </c>
      <c r="E305" s="1" t="s">
        <v>11</v>
      </c>
    </row>
    <row r="306" spans="1:5" x14ac:dyDescent="0.25">
      <c r="A306" s="13">
        <v>19269071</v>
      </c>
      <c r="B306" s="11" t="s">
        <v>84</v>
      </c>
      <c r="C306" s="1" t="s">
        <v>2033</v>
      </c>
      <c r="D306" s="1" t="s">
        <v>38</v>
      </c>
      <c r="E306" s="1" t="s">
        <v>6</v>
      </c>
    </row>
    <row r="307" spans="1:5" x14ac:dyDescent="0.25">
      <c r="A307" s="13">
        <v>19270142</v>
      </c>
      <c r="B307" s="11" t="s">
        <v>109</v>
      </c>
      <c r="C307" s="1" t="s">
        <v>2032</v>
      </c>
      <c r="D307" s="1" t="s">
        <v>131</v>
      </c>
      <c r="E307" s="1" t="s">
        <v>131</v>
      </c>
    </row>
    <row r="308" spans="1:5" x14ac:dyDescent="0.25">
      <c r="A308" s="13">
        <v>19273476</v>
      </c>
      <c r="B308" s="11" t="s">
        <v>116</v>
      </c>
      <c r="C308" s="1" t="s">
        <v>2031</v>
      </c>
      <c r="D308" s="1" t="s">
        <v>117</v>
      </c>
      <c r="E308" s="1" t="s">
        <v>7</v>
      </c>
    </row>
    <row r="309" spans="1:5" x14ac:dyDescent="0.25">
      <c r="A309" s="13">
        <v>19275201</v>
      </c>
      <c r="B309" s="11" t="s">
        <v>116</v>
      </c>
      <c r="C309" s="1" t="s">
        <v>2030</v>
      </c>
      <c r="D309" s="1" t="s">
        <v>117</v>
      </c>
      <c r="E309" s="1" t="s">
        <v>237</v>
      </c>
    </row>
    <row r="310" spans="1:5" x14ac:dyDescent="0.25">
      <c r="A310" s="13">
        <v>19277196</v>
      </c>
      <c r="B310" s="11" t="s">
        <v>116</v>
      </c>
      <c r="C310" s="1" t="s">
        <v>2029</v>
      </c>
      <c r="D310" s="1" t="s">
        <v>117</v>
      </c>
      <c r="E310" s="1" t="s">
        <v>958</v>
      </c>
    </row>
    <row r="311" spans="1:5" x14ac:dyDescent="0.25">
      <c r="A311" s="13">
        <v>19280706</v>
      </c>
      <c r="B311" s="11" t="s">
        <v>84</v>
      </c>
      <c r="C311" s="1" t="s">
        <v>2028</v>
      </c>
      <c r="D311" s="1" t="s">
        <v>37</v>
      </c>
      <c r="E311" s="1" t="s">
        <v>29</v>
      </c>
    </row>
    <row r="312" spans="1:5" x14ac:dyDescent="0.25">
      <c r="A312" s="13">
        <v>19281461</v>
      </c>
      <c r="B312" s="11" t="s">
        <v>109</v>
      </c>
      <c r="C312" s="1" t="s">
        <v>2027</v>
      </c>
      <c r="D312" s="1" t="s">
        <v>131</v>
      </c>
      <c r="E312" s="1" t="s">
        <v>131</v>
      </c>
    </row>
    <row r="313" spans="1:5" x14ac:dyDescent="0.25">
      <c r="A313" s="13">
        <v>19282886</v>
      </c>
      <c r="B313" s="11" t="s">
        <v>109</v>
      </c>
      <c r="C313" s="1" t="s">
        <v>2026</v>
      </c>
      <c r="D313" s="1" t="s">
        <v>131</v>
      </c>
      <c r="E313" s="1" t="s">
        <v>131</v>
      </c>
    </row>
    <row r="314" spans="1:5" x14ac:dyDescent="0.25">
      <c r="A314" s="13">
        <v>19285011</v>
      </c>
      <c r="B314" s="11" t="s">
        <v>84</v>
      </c>
      <c r="C314" s="1" t="s">
        <v>2025</v>
      </c>
      <c r="D314" s="1" t="s">
        <v>43</v>
      </c>
      <c r="E314" s="1" t="s">
        <v>127</v>
      </c>
    </row>
    <row r="315" spans="1:5" x14ac:dyDescent="0.25">
      <c r="A315" s="13">
        <v>19288296</v>
      </c>
      <c r="B315" s="11" t="s">
        <v>116</v>
      </c>
      <c r="C315" s="1" t="s">
        <v>2024</v>
      </c>
      <c r="D315" s="1" t="s">
        <v>117</v>
      </c>
      <c r="E315" s="1" t="s">
        <v>134</v>
      </c>
    </row>
    <row r="316" spans="1:5" x14ac:dyDescent="0.25">
      <c r="A316" s="13">
        <v>19290200</v>
      </c>
      <c r="B316" s="11" t="s">
        <v>109</v>
      </c>
      <c r="C316" s="1" t="s">
        <v>2023</v>
      </c>
      <c r="D316" s="1" t="s">
        <v>131</v>
      </c>
      <c r="E316" s="1" t="s">
        <v>131</v>
      </c>
    </row>
    <row r="317" spans="1:5" x14ac:dyDescent="0.25">
      <c r="A317" s="13">
        <v>19292650</v>
      </c>
      <c r="B317" s="11" t="s">
        <v>83</v>
      </c>
      <c r="C317" s="1" t="s">
        <v>2021</v>
      </c>
      <c r="D317" s="1" t="s">
        <v>2022</v>
      </c>
      <c r="E317" s="1" t="s">
        <v>33</v>
      </c>
    </row>
    <row r="318" spans="1:5" x14ac:dyDescent="0.25">
      <c r="A318" s="13">
        <v>19292843</v>
      </c>
      <c r="B318" s="11" t="s">
        <v>109</v>
      </c>
      <c r="C318" s="1" t="s">
        <v>2020</v>
      </c>
      <c r="D318" s="1" t="s">
        <v>131</v>
      </c>
      <c r="E318" s="1" t="s">
        <v>131</v>
      </c>
    </row>
    <row r="319" spans="1:5" x14ac:dyDescent="0.25">
      <c r="A319" s="13">
        <v>19294922</v>
      </c>
      <c r="B319" s="11" t="s">
        <v>116</v>
      </c>
      <c r="C319" s="1" t="s">
        <v>2019</v>
      </c>
      <c r="D319" s="1" t="s">
        <v>117</v>
      </c>
      <c r="E319" s="1" t="s">
        <v>205</v>
      </c>
    </row>
    <row r="320" spans="1:5" x14ac:dyDescent="0.25">
      <c r="A320" s="13">
        <v>19295644</v>
      </c>
      <c r="B320" s="11" t="s">
        <v>116</v>
      </c>
      <c r="C320" s="1" t="s">
        <v>2018</v>
      </c>
      <c r="D320" s="1" t="s">
        <v>117</v>
      </c>
      <c r="E320" s="1" t="s">
        <v>3</v>
      </c>
    </row>
    <row r="321" spans="1:5" x14ac:dyDescent="0.25">
      <c r="A321" s="13">
        <v>19297311</v>
      </c>
      <c r="B321" s="11" t="s">
        <v>109</v>
      </c>
      <c r="C321" s="1" t="s">
        <v>2017</v>
      </c>
      <c r="D321" s="1" t="s">
        <v>131</v>
      </c>
      <c r="E321" s="1" t="s">
        <v>131</v>
      </c>
    </row>
    <row r="322" spans="1:5" x14ac:dyDescent="0.25">
      <c r="A322" s="13">
        <v>19297567</v>
      </c>
      <c r="B322" s="11" t="s">
        <v>84</v>
      </c>
      <c r="C322" s="1" t="s">
        <v>2016</v>
      </c>
      <c r="D322" s="1" t="s">
        <v>43</v>
      </c>
      <c r="E322" s="1" t="s">
        <v>155</v>
      </c>
    </row>
    <row r="323" spans="1:5" x14ac:dyDescent="0.25">
      <c r="A323" s="13">
        <v>19298380</v>
      </c>
      <c r="B323" s="11" t="s">
        <v>109</v>
      </c>
      <c r="C323" s="1" t="s">
        <v>2015</v>
      </c>
      <c r="D323" s="1" t="s">
        <v>131</v>
      </c>
      <c r="E323" s="1" t="s">
        <v>131</v>
      </c>
    </row>
    <row r="324" spans="1:5" x14ac:dyDescent="0.25">
      <c r="A324" s="13">
        <v>19298610</v>
      </c>
      <c r="B324" s="11" t="s">
        <v>116</v>
      </c>
      <c r="C324" s="1" t="s">
        <v>2014</v>
      </c>
      <c r="D324" s="1" t="s">
        <v>117</v>
      </c>
      <c r="E324" s="1" t="s">
        <v>958</v>
      </c>
    </row>
    <row r="325" spans="1:5" x14ac:dyDescent="0.25">
      <c r="A325" s="13">
        <v>19299304</v>
      </c>
      <c r="B325" s="11" t="s">
        <v>116</v>
      </c>
      <c r="C325" s="1" t="s">
        <v>2013</v>
      </c>
      <c r="D325" s="1" t="s">
        <v>117</v>
      </c>
      <c r="E325" s="1" t="s">
        <v>147</v>
      </c>
    </row>
    <row r="326" spans="1:5" x14ac:dyDescent="0.25">
      <c r="A326" s="13">
        <v>19300233</v>
      </c>
      <c r="B326" s="11" t="s">
        <v>116</v>
      </c>
      <c r="C326" s="1" t="s">
        <v>2012</v>
      </c>
      <c r="D326" s="1" t="s">
        <v>151</v>
      </c>
      <c r="E326" s="1" t="s">
        <v>152</v>
      </c>
    </row>
    <row r="327" spans="1:5" x14ac:dyDescent="0.25">
      <c r="A327" s="13">
        <v>19305737</v>
      </c>
      <c r="B327" s="11" t="s">
        <v>109</v>
      </c>
      <c r="C327" s="1" t="s">
        <v>2011</v>
      </c>
      <c r="D327" s="1" t="s">
        <v>131</v>
      </c>
      <c r="E327" s="1" t="s">
        <v>131</v>
      </c>
    </row>
    <row r="328" spans="1:5" x14ac:dyDescent="0.25">
      <c r="A328" s="13">
        <v>19305802</v>
      </c>
      <c r="B328" s="11" t="s">
        <v>116</v>
      </c>
      <c r="C328" s="1" t="s">
        <v>2010</v>
      </c>
      <c r="D328" s="1" t="s">
        <v>117</v>
      </c>
      <c r="E328" s="1" t="s">
        <v>417</v>
      </c>
    </row>
    <row r="329" spans="1:5" x14ac:dyDescent="0.25">
      <c r="A329" s="13">
        <v>19308254</v>
      </c>
      <c r="B329" s="11" t="s">
        <v>84</v>
      </c>
      <c r="C329" s="1" t="s">
        <v>2009</v>
      </c>
      <c r="D329" s="1" t="s">
        <v>37</v>
      </c>
      <c r="E329" s="1" t="s">
        <v>27</v>
      </c>
    </row>
    <row r="330" spans="1:5" x14ac:dyDescent="0.25">
      <c r="A330" s="13">
        <v>19309898</v>
      </c>
      <c r="B330" s="11" t="s">
        <v>83</v>
      </c>
      <c r="C330" s="1" t="s">
        <v>2008</v>
      </c>
      <c r="D330" s="1" t="s">
        <v>57</v>
      </c>
      <c r="E330" s="1" t="s">
        <v>359</v>
      </c>
    </row>
    <row r="331" spans="1:5" x14ac:dyDescent="0.25">
      <c r="A331" s="13">
        <v>19310956</v>
      </c>
      <c r="B331" s="11" t="s">
        <v>116</v>
      </c>
      <c r="C331" s="1" t="s">
        <v>2007</v>
      </c>
      <c r="D331" s="1" t="s">
        <v>117</v>
      </c>
      <c r="E331" s="1" t="s">
        <v>11</v>
      </c>
    </row>
    <row r="332" spans="1:5" x14ac:dyDescent="0.25">
      <c r="A332" s="13">
        <v>19312098</v>
      </c>
      <c r="B332" s="11" t="s">
        <v>116</v>
      </c>
      <c r="C332" s="1" t="s">
        <v>2006</v>
      </c>
      <c r="D332" s="1" t="s">
        <v>117</v>
      </c>
      <c r="E332" s="1" t="s">
        <v>491</v>
      </c>
    </row>
    <row r="333" spans="1:5" x14ac:dyDescent="0.25">
      <c r="A333" s="13">
        <v>19312229</v>
      </c>
      <c r="B333" s="11" t="s">
        <v>116</v>
      </c>
      <c r="C333" s="1" t="s">
        <v>2005</v>
      </c>
      <c r="D333" s="1" t="s">
        <v>117</v>
      </c>
      <c r="E333" s="1" t="s">
        <v>134</v>
      </c>
    </row>
    <row r="334" spans="1:5" x14ac:dyDescent="0.25">
      <c r="A334" s="13">
        <v>19314060</v>
      </c>
      <c r="B334" s="11" t="s">
        <v>116</v>
      </c>
      <c r="C334" s="1" t="s">
        <v>2004</v>
      </c>
      <c r="D334" s="1" t="s">
        <v>117</v>
      </c>
      <c r="E334" s="1" t="s">
        <v>263</v>
      </c>
    </row>
    <row r="335" spans="1:5" x14ac:dyDescent="0.25">
      <c r="A335" s="13">
        <v>19315283</v>
      </c>
      <c r="B335" s="11" t="s">
        <v>109</v>
      </c>
      <c r="C335" s="1" t="s">
        <v>2003</v>
      </c>
      <c r="D335" s="1" t="s">
        <v>131</v>
      </c>
      <c r="E335" s="1" t="s">
        <v>131</v>
      </c>
    </row>
    <row r="336" spans="1:5" x14ac:dyDescent="0.25">
      <c r="A336" s="13">
        <v>19316932</v>
      </c>
      <c r="B336" s="11" t="s">
        <v>109</v>
      </c>
      <c r="C336" s="1" t="s">
        <v>2002</v>
      </c>
      <c r="D336" s="1" t="s">
        <v>131</v>
      </c>
      <c r="E336" s="1" t="s">
        <v>131</v>
      </c>
    </row>
    <row r="337" spans="1:5" x14ac:dyDescent="0.25">
      <c r="A337" s="13">
        <v>19317248</v>
      </c>
      <c r="B337" s="11" t="s">
        <v>116</v>
      </c>
      <c r="C337" s="1" t="s">
        <v>2001</v>
      </c>
      <c r="D337" s="1" t="s">
        <v>117</v>
      </c>
      <c r="E337" s="1" t="s">
        <v>186</v>
      </c>
    </row>
    <row r="338" spans="1:5" x14ac:dyDescent="0.25">
      <c r="A338" s="13">
        <v>19317906</v>
      </c>
      <c r="B338" s="11" t="s">
        <v>116</v>
      </c>
      <c r="C338" s="1" t="s">
        <v>2000</v>
      </c>
      <c r="D338" s="1" t="s">
        <v>117</v>
      </c>
      <c r="E338" s="1" t="s">
        <v>10</v>
      </c>
    </row>
    <row r="339" spans="1:5" x14ac:dyDescent="0.25">
      <c r="A339" s="13">
        <v>19318239</v>
      </c>
      <c r="B339" s="11" t="s">
        <v>109</v>
      </c>
      <c r="C339" s="1" t="s">
        <v>1999</v>
      </c>
      <c r="D339" s="1" t="s">
        <v>131</v>
      </c>
      <c r="E339" s="1" t="s">
        <v>131</v>
      </c>
    </row>
    <row r="340" spans="1:5" x14ac:dyDescent="0.25">
      <c r="A340" s="13">
        <v>19319315</v>
      </c>
      <c r="B340" s="11" t="s">
        <v>83</v>
      </c>
      <c r="C340" s="1" t="s">
        <v>1997</v>
      </c>
      <c r="D340" s="1" t="s">
        <v>129</v>
      </c>
      <c r="E340" s="1" t="s">
        <v>1998</v>
      </c>
    </row>
    <row r="341" spans="1:5" x14ac:dyDescent="0.25">
      <c r="A341" s="13">
        <v>19327639</v>
      </c>
      <c r="B341" s="11" t="s">
        <v>84</v>
      </c>
      <c r="C341" s="1" t="s">
        <v>1996</v>
      </c>
      <c r="D341" s="1" t="s">
        <v>38</v>
      </c>
      <c r="E341" s="1" t="s">
        <v>328</v>
      </c>
    </row>
    <row r="342" spans="1:5" x14ac:dyDescent="0.25">
      <c r="A342" s="13">
        <v>19330280</v>
      </c>
      <c r="B342" s="11" t="s">
        <v>109</v>
      </c>
      <c r="C342" s="1" t="s">
        <v>1995</v>
      </c>
      <c r="D342" s="1" t="s">
        <v>131</v>
      </c>
      <c r="E342" s="1" t="s">
        <v>131</v>
      </c>
    </row>
    <row r="343" spans="1:5" x14ac:dyDescent="0.25">
      <c r="A343" s="13">
        <v>19330958</v>
      </c>
      <c r="B343" s="11" t="s">
        <v>116</v>
      </c>
      <c r="C343" s="1" t="s">
        <v>1994</v>
      </c>
      <c r="D343" s="1" t="s">
        <v>117</v>
      </c>
      <c r="E343" s="1" t="s">
        <v>1276</v>
      </c>
    </row>
    <row r="344" spans="1:5" x14ac:dyDescent="0.25">
      <c r="A344" s="13">
        <v>19332264</v>
      </c>
      <c r="B344" s="11" t="s">
        <v>84</v>
      </c>
      <c r="C344" s="1" t="s">
        <v>1993</v>
      </c>
      <c r="D344" s="1" t="s">
        <v>38</v>
      </c>
      <c r="E344" s="1" t="s">
        <v>6</v>
      </c>
    </row>
    <row r="345" spans="1:5" x14ac:dyDescent="0.25">
      <c r="A345" s="13">
        <v>19332877</v>
      </c>
      <c r="B345" s="11" t="s">
        <v>116</v>
      </c>
      <c r="C345" s="1" t="s">
        <v>1992</v>
      </c>
      <c r="D345" s="1" t="s">
        <v>117</v>
      </c>
      <c r="E345" s="1" t="s">
        <v>134</v>
      </c>
    </row>
    <row r="346" spans="1:5" x14ac:dyDescent="0.25">
      <c r="A346" s="13">
        <v>19334291</v>
      </c>
      <c r="B346" s="11" t="s">
        <v>84</v>
      </c>
      <c r="C346" s="1" t="s">
        <v>1991</v>
      </c>
      <c r="D346" s="1" t="s">
        <v>38</v>
      </c>
      <c r="E346" s="1" t="s">
        <v>14</v>
      </c>
    </row>
    <row r="347" spans="1:5" x14ac:dyDescent="0.25">
      <c r="A347" s="13">
        <v>19334406</v>
      </c>
      <c r="B347" s="11" t="s">
        <v>116</v>
      </c>
      <c r="C347" s="1" t="s">
        <v>1990</v>
      </c>
      <c r="D347" s="1" t="s">
        <v>117</v>
      </c>
      <c r="E347" s="1" t="s">
        <v>210</v>
      </c>
    </row>
    <row r="348" spans="1:5" x14ac:dyDescent="0.25">
      <c r="A348" s="13">
        <v>19334739</v>
      </c>
      <c r="B348" s="11" t="s">
        <v>109</v>
      </c>
      <c r="C348" s="1" t="s">
        <v>1989</v>
      </c>
      <c r="D348" s="1" t="s">
        <v>131</v>
      </c>
      <c r="E348" s="1" t="s">
        <v>131</v>
      </c>
    </row>
    <row r="349" spans="1:5" x14ac:dyDescent="0.25">
      <c r="A349" s="13">
        <v>19335216</v>
      </c>
      <c r="B349" s="11" t="s">
        <v>116</v>
      </c>
      <c r="C349" s="1" t="s">
        <v>1988</v>
      </c>
      <c r="D349" s="1" t="s">
        <v>117</v>
      </c>
      <c r="E349" s="1" t="s">
        <v>10</v>
      </c>
    </row>
    <row r="350" spans="1:5" x14ac:dyDescent="0.25">
      <c r="A350" s="13">
        <v>19335254</v>
      </c>
      <c r="B350" s="11" t="s">
        <v>109</v>
      </c>
      <c r="C350" s="1" t="s">
        <v>1987</v>
      </c>
      <c r="D350" s="1" t="s">
        <v>131</v>
      </c>
      <c r="E350" s="1" t="s">
        <v>131</v>
      </c>
    </row>
    <row r="351" spans="1:5" x14ac:dyDescent="0.25">
      <c r="A351" s="13">
        <v>19337522</v>
      </c>
      <c r="B351" s="11" t="s">
        <v>84</v>
      </c>
      <c r="C351" s="1" t="s">
        <v>1986</v>
      </c>
      <c r="D351" s="1" t="s">
        <v>43</v>
      </c>
      <c r="E351" s="1" t="s">
        <v>9</v>
      </c>
    </row>
    <row r="352" spans="1:5" x14ac:dyDescent="0.25">
      <c r="A352" s="13">
        <v>19342817</v>
      </c>
      <c r="B352" s="11" t="s">
        <v>109</v>
      </c>
      <c r="C352" s="1" t="s">
        <v>1985</v>
      </c>
      <c r="D352" s="1" t="s">
        <v>131</v>
      </c>
      <c r="E352" s="1" t="s">
        <v>131</v>
      </c>
    </row>
    <row r="353" spans="1:5" x14ac:dyDescent="0.25">
      <c r="A353" s="13">
        <v>19344689</v>
      </c>
      <c r="B353" s="11" t="s">
        <v>84</v>
      </c>
      <c r="C353" s="1" t="s">
        <v>1984</v>
      </c>
      <c r="D353" s="1" t="s">
        <v>38</v>
      </c>
      <c r="E353" s="1" t="s">
        <v>134</v>
      </c>
    </row>
    <row r="354" spans="1:5" x14ac:dyDescent="0.25">
      <c r="A354" s="13">
        <v>19345651</v>
      </c>
      <c r="B354" s="11" t="s">
        <v>84</v>
      </c>
      <c r="C354" s="1" t="s">
        <v>1983</v>
      </c>
      <c r="D354" s="1" t="s">
        <v>38</v>
      </c>
      <c r="E354" s="1" t="s">
        <v>12</v>
      </c>
    </row>
    <row r="355" spans="1:5" x14ac:dyDescent="0.25">
      <c r="A355" s="13">
        <v>19347246</v>
      </c>
      <c r="B355" s="11" t="s">
        <v>116</v>
      </c>
      <c r="C355" s="1" t="s">
        <v>1982</v>
      </c>
      <c r="D355" s="1" t="s">
        <v>117</v>
      </c>
      <c r="E355" s="1" t="s">
        <v>127</v>
      </c>
    </row>
    <row r="356" spans="1:5" x14ac:dyDescent="0.25">
      <c r="A356" s="13">
        <v>19349867</v>
      </c>
      <c r="B356" s="11" t="s">
        <v>116</v>
      </c>
      <c r="C356" s="1" t="s">
        <v>1981</v>
      </c>
      <c r="D356" s="1" t="s">
        <v>117</v>
      </c>
      <c r="E356" s="1" t="s">
        <v>127</v>
      </c>
    </row>
    <row r="357" spans="1:5" x14ac:dyDescent="0.25">
      <c r="A357" s="13">
        <v>19352582</v>
      </c>
      <c r="B357" s="11" t="s">
        <v>116</v>
      </c>
      <c r="C357" s="1" t="s">
        <v>1980</v>
      </c>
      <c r="D357" s="1" t="s">
        <v>117</v>
      </c>
      <c r="E357" s="1" t="s">
        <v>263</v>
      </c>
    </row>
    <row r="358" spans="1:5" x14ac:dyDescent="0.25">
      <c r="A358" s="13">
        <v>19353325</v>
      </c>
      <c r="B358" s="11" t="s">
        <v>116</v>
      </c>
      <c r="C358" s="1" t="s">
        <v>1979</v>
      </c>
      <c r="D358" s="1" t="s">
        <v>117</v>
      </c>
      <c r="E358" s="1" t="s">
        <v>134</v>
      </c>
    </row>
    <row r="359" spans="1:5" x14ac:dyDescent="0.25">
      <c r="A359" s="13">
        <v>19358293</v>
      </c>
      <c r="B359" s="11" t="s">
        <v>116</v>
      </c>
      <c r="C359" s="1" t="s">
        <v>1978</v>
      </c>
      <c r="D359" s="1" t="s">
        <v>117</v>
      </c>
      <c r="E359" s="1" t="s">
        <v>12</v>
      </c>
    </row>
    <row r="360" spans="1:5" x14ac:dyDescent="0.25">
      <c r="A360" s="13">
        <v>19361574</v>
      </c>
      <c r="B360" s="11" t="s">
        <v>116</v>
      </c>
      <c r="C360" s="1" t="s">
        <v>1977</v>
      </c>
      <c r="D360" s="1" t="s">
        <v>117</v>
      </c>
      <c r="E360" s="1" t="s">
        <v>336</v>
      </c>
    </row>
    <row r="361" spans="1:5" x14ac:dyDescent="0.25">
      <c r="A361" s="13">
        <v>19361583</v>
      </c>
      <c r="B361" s="11" t="s">
        <v>84</v>
      </c>
      <c r="C361" s="1" t="s">
        <v>1976</v>
      </c>
      <c r="D361" s="1" t="s">
        <v>38</v>
      </c>
      <c r="E361" s="1" t="s">
        <v>5</v>
      </c>
    </row>
    <row r="362" spans="1:5" x14ac:dyDescent="0.25">
      <c r="A362" s="13">
        <v>19363618</v>
      </c>
      <c r="B362" s="11" t="s">
        <v>116</v>
      </c>
      <c r="C362" s="1" t="s">
        <v>1975</v>
      </c>
      <c r="D362" s="1" t="s">
        <v>117</v>
      </c>
      <c r="E362" s="1" t="s">
        <v>186</v>
      </c>
    </row>
    <row r="363" spans="1:5" x14ac:dyDescent="0.25">
      <c r="A363" s="13">
        <v>19363794</v>
      </c>
      <c r="B363" s="11" t="s">
        <v>116</v>
      </c>
      <c r="C363" s="1" t="s">
        <v>1974</v>
      </c>
      <c r="D363" s="1" t="s">
        <v>117</v>
      </c>
      <c r="E363" s="1" t="s">
        <v>134</v>
      </c>
    </row>
    <row r="364" spans="1:5" x14ac:dyDescent="0.25">
      <c r="A364" s="13">
        <v>19364119</v>
      </c>
      <c r="B364" s="11" t="s">
        <v>116</v>
      </c>
      <c r="C364" s="1" t="s">
        <v>1973</v>
      </c>
      <c r="D364" s="1" t="s">
        <v>117</v>
      </c>
      <c r="E364" s="1" t="s">
        <v>12</v>
      </c>
    </row>
    <row r="365" spans="1:5" x14ac:dyDescent="0.25">
      <c r="A365" s="13">
        <v>19364653</v>
      </c>
      <c r="B365" s="11" t="s">
        <v>116</v>
      </c>
      <c r="C365" s="1" t="s">
        <v>1972</v>
      </c>
      <c r="D365" s="1" t="s">
        <v>117</v>
      </c>
      <c r="E365" s="1" t="s">
        <v>3</v>
      </c>
    </row>
    <row r="366" spans="1:5" x14ac:dyDescent="0.25">
      <c r="A366" s="13">
        <v>19364767</v>
      </c>
      <c r="B366" s="11" t="s">
        <v>116</v>
      </c>
      <c r="C366" s="1" t="s">
        <v>1971</v>
      </c>
      <c r="D366" s="1" t="s">
        <v>117</v>
      </c>
      <c r="E366" s="1" t="s">
        <v>9</v>
      </c>
    </row>
    <row r="367" spans="1:5" x14ac:dyDescent="0.25">
      <c r="A367" s="13">
        <v>19365798</v>
      </c>
      <c r="B367" s="11" t="s">
        <v>84</v>
      </c>
      <c r="C367" s="1" t="s">
        <v>1970</v>
      </c>
      <c r="D367" s="1" t="s">
        <v>43</v>
      </c>
      <c r="E367" s="1" t="s">
        <v>127</v>
      </c>
    </row>
    <row r="368" spans="1:5" x14ac:dyDescent="0.25">
      <c r="A368" s="13">
        <v>19367568</v>
      </c>
      <c r="B368" s="11" t="s">
        <v>109</v>
      </c>
      <c r="C368" s="1" t="s">
        <v>1969</v>
      </c>
      <c r="D368" s="1" t="s">
        <v>131</v>
      </c>
      <c r="E368" s="1" t="s">
        <v>131</v>
      </c>
    </row>
    <row r="369" spans="1:5" x14ac:dyDescent="0.25">
      <c r="A369" s="13">
        <v>19368486</v>
      </c>
      <c r="B369" s="11" t="s">
        <v>116</v>
      </c>
      <c r="C369" s="1" t="s">
        <v>1968</v>
      </c>
      <c r="D369" s="1" t="s">
        <v>117</v>
      </c>
      <c r="E369" s="1" t="s">
        <v>336</v>
      </c>
    </row>
    <row r="370" spans="1:5" x14ac:dyDescent="0.25">
      <c r="A370" s="13">
        <v>19375119</v>
      </c>
      <c r="B370" s="11" t="s">
        <v>109</v>
      </c>
      <c r="C370" s="1" t="s">
        <v>1967</v>
      </c>
      <c r="D370" s="1" t="s">
        <v>131</v>
      </c>
      <c r="E370" s="1" t="s">
        <v>131</v>
      </c>
    </row>
    <row r="371" spans="1:5" x14ac:dyDescent="0.25">
      <c r="A371" s="13">
        <v>19375593</v>
      </c>
      <c r="B371" s="11" t="s">
        <v>116</v>
      </c>
      <c r="C371" s="1" t="s">
        <v>1966</v>
      </c>
      <c r="D371" s="1" t="s">
        <v>117</v>
      </c>
      <c r="E371" s="1" t="s">
        <v>417</v>
      </c>
    </row>
    <row r="372" spans="1:5" x14ac:dyDescent="0.25">
      <c r="A372" s="13">
        <v>19375944</v>
      </c>
      <c r="B372" s="11" t="s">
        <v>84</v>
      </c>
      <c r="C372" s="1" t="s">
        <v>1965</v>
      </c>
      <c r="D372" s="1" t="s">
        <v>38</v>
      </c>
      <c r="E372" s="1" t="s">
        <v>7</v>
      </c>
    </row>
    <row r="373" spans="1:5" x14ac:dyDescent="0.25">
      <c r="A373" s="13">
        <v>19376097</v>
      </c>
      <c r="B373" s="11" t="s">
        <v>116</v>
      </c>
      <c r="C373" s="1" t="s">
        <v>1964</v>
      </c>
      <c r="D373" s="1" t="s">
        <v>117</v>
      </c>
      <c r="E373" s="1" t="s">
        <v>881</v>
      </c>
    </row>
    <row r="374" spans="1:5" x14ac:dyDescent="0.25">
      <c r="A374" s="13">
        <v>19380292</v>
      </c>
      <c r="B374" s="11" t="s">
        <v>116</v>
      </c>
      <c r="C374" s="1" t="s">
        <v>1963</v>
      </c>
      <c r="D374" s="1" t="s">
        <v>117</v>
      </c>
      <c r="E374" s="1" t="s">
        <v>134</v>
      </c>
    </row>
    <row r="375" spans="1:5" x14ac:dyDescent="0.25">
      <c r="A375" s="13">
        <v>19382384</v>
      </c>
      <c r="B375" s="11" t="s">
        <v>109</v>
      </c>
      <c r="C375" s="1" t="s">
        <v>1962</v>
      </c>
      <c r="D375" s="1" t="s">
        <v>131</v>
      </c>
      <c r="E375" s="1" t="s">
        <v>131</v>
      </c>
    </row>
    <row r="376" spans="1:5" x14ac:dyDescent="0.25">
      <c r="A376" s="13">
        <v>19382548</v>
      </c>
      <c r="B376" s="11" t="s">
        <v>116</v>
      </c>
      <c r="C376" s="1" t="s">
        <v>1961</v>
      </c>
      <c r="D376" s="1" t="s">
        <v>117</v>
      </c>
      <c r="E376" s="1" t="s">
        <v>205</v>
      </c>
    </row>
    <row r="377" spans="1:5" x14ac:dyDescent="0.25">
      <c r="A377" s="13">
        <v>19384772</v>
      </c>
      <c r="B377" s="11" t="s">
        <v>116</v>
      </c>
      <c r="C377" s="1" t="s">
        <v>1960</v>
      </c>
      <c r="D377" s="1" t="s">
        <v>117</v>
      </c>
      <c r="E377" s="1" t="s">
        <v>263</v>
      </c>
    </row>
    <row r="378" spans="1:5" x14ac:dyDescent="0.25">
      <c r="A378" s="13">
        <v>19392048</v>
      </c>
      <c r="B378" s="11" t="s">
        <v>116</v>
      </c>
      <c r="C378" s="1" t="s">
        <v>1959</v>
      </c>
      <c r="D378" s="1" t="s">
        <v>117</v>
      </c>
      <c r="E378" s="1" t="s">
        <v>9</v>
      </c>
    </row>
    <row r="379" spans="1:5" x14ac:dyDescent="0.25">
      <c r="A379" s="13">
        <v>19392355</v>
      </c>
      <c r="B379" s="11" t="s">
        <v>116</v>
      </c>
      <c r="C379" s="1" t="s">
        <v>1958</v>
      </c>
      <c r="D379" s="1" t="s">
        <v>117</v>
      </c>
      <c r="E379" s="1" t="s">
        <v>1819</v>
      </c>
    </row>
    <row r="380" spans="1:5" x14ac:dyDescent="0.25">
      <c r="A380" s="13">
        <v>19392614</v>
      </c>
      <c r="B380" s="11" t="s">
        <v>116</v>
      </c>
      <c r="C380" s="1" t="s">
        <v>1957</v>
      </c>
      <c r="D380" s="1" t="s">
        <v>117</v>
      </c>
      <c r="E380" s="1" t="s">
        <v>10</v>
      </c>
    </row>
    <row r="381" spans="1:5" x14ac:dyDescent="0.25">
      <c r="A381" s="13">
        <v>19393953</v>
      </c>
      <c r="B381" s="11" t="s">
        <v>116</v>
      </c>
      <c r="C381" s="1" t="s">
        <v>1956</v>
      </c>
      <c r="D381" s="1" t="s">
        <v>151</v>
      </c>
      <c r="E381" s="1" t="s">
        <v>17</v>
      </c>
    </row>
    <row r="382" spans="1:5" x14ac:dyDescent="0.25">
      <c r="A382" s="13">
        <v>19395022</v>
      </c>
      <c r="B382" s="11" t="s">
        <v>84</v>
      </c>
      <c r="C382" s="1" t="s">
        <v>1955</v>
      </c>
      <c r="D382" s="1" t="s">
        <v>973</v>
      </c>
      <c r="E382" s="1" t="s">
        <v>939</v>
      </c>
    </row>
    <row r="383" spans="1:5" x14ac:dyDescent="0.25">
      <c r="A383" s="13">
        <v>19395178</v>
      </c>
      <c r="B383" s="11" t="s">
        <v>84</v>
      </c>
      <c r="C383" s="1" t="s">
        <v>1954</v>
      </c>
      <c r="D383" s="1" t="s">
        <v>43</v>
      </c>
      <c r="E383" s="1" t="s">
        <v>10</v>
      </c>
    </row>
    <row r="384" spans="1:5" x14ac:dyDescent="0.25">
      <c r="A384" s="13">
        <v>19395227</v>
      </c>
      <c r="B384" s="11" t="s">
        <v>84</v>
      </c>
      <c r="C384" s="1" t="s">
        <v>1953</v>
      </c>
      <c r="D384" s="1" t="s">
        <v>75</v>
      </c>
      <c r="E384" s="1" t="s">
        <v>152</v>
      </c>
    </row>
    <row r="385" spans="1:5" x14ac:dyDescent="0.25">
      <c r="A385" s="13">
        <v>19398191</v>
      </c>
      <c r="B385" s="11" t="s">
        <v>84</v>
      </c>
      <c r="C385" s="1" t="s">
        <v>1951</v>
      </c>
      <c r="D385" s="1" t="s">
        <v>1952</v>
      </c>
      <c r="E385" s="1" t="s">
        <v>25</v>
      </c>
    </row>
    <row r="386" spans="1:5" x14ac:dyDescent="0.25">
      <c r="A386" s="13">
        <v>19402545</v>
      </c>
      <c r="B386" s="11" t="s">
        <v>84</v>
      </c>
      <c r="C386" s="1" t="s">
        <v>1950</v>
      </c>
      <c r="D386" s="1" t="s">
        <v>43</v>
      </c>
      <c r="E386" s="1" t="s">
        <v>881</v>
      </c>
    </row>
    <row r="387" spans="1:5" x14ac:dyDescent="0.25">
      <c r="A387" s="13">
        <v>19402918</v>
      </c>
      <c r="B387" s="11" t="s">
        <v>84</v>
      </c>
      <c r="C387" s="1" t="s">
        <v>1949</v>
      </c>
      <c r="D387" s="1" t="s">
        <v>185</v>
      </c>
      <c r="E387" s="1" t="s">
        <v>9</v>
      </c>
    </row>
    <row r="388" spans="1:5" x14ac:dyDescent="0.25">
      <c r="A388" s="13">
        <v>19408491</v>
      </c>
      <c r="B388" s="11" t="s">
        <v>116</v>
      </c>
      <c r="C388" s="1" t="s">
        <v>1948</v>
      </c>
      <c r="D388" s="1" t="s">
        <v>117</v>
      </c>
      <c r="E388" s="1" t="s">
        <v>10</v>
      </c>
    </row>
    <row r="389" spans="1:5" x14ac:dyDescent="0.25">
      <c r="A389" s="13">
        <v>19415430</v>
      </c>
      <c r="B389" s="11" t="s">
        <v>116</v>
      </c>
      <c r="C389" s="1" t="s">
        <v>1947</v>
      </c>
      <c r="D389" s="1" t="s">
        <v>117</v>
      </c>
      <c r="E389" s="1" t="s">
        <v>6</v>
      </c>
    </row>
    <row r="390" spans="1:5" x14ac:dyDescent="0.25">
      <c r="A390" s="13">
        <v>19415543</v>
      </c>
      <c r="B390" s="11" t="s">
        <v>116</v>
      </c>
      <c r="C390" s="1" t="s">
        <v>1946</v>
      </c>
      <c r="D390" s="1" t="s">
        <v>117</v>
      </c>
      <c r="E390" s="1" t="s">
        <v>333</v>
      </c>
    </row>
    <row r="391" spans="1:5" x14ac:dyDescent="0.25">
      <c r="A391" s="13">
        <v>19415964</v>
      </c>
      <c r="B391" s="11" t="s">
        <v>116</v>
      </c>
      <c r="C391" s="1" t="s">
        <v>1945</v>
      </c>
      <c r="D391" s="1" t="s">
        <v>117</v>
      </c>
      <c r="E391" s="1" t="s">
        <v>127</v>
      </c>
    </row>
    <row r="392" spans="1:5" x14ac:dyDescent="0.25">
      <c r="A392" s="13">
        <v>19419300</v>
      </c>
      <c r="B392" s="11" t="s">
        <v>116</v>
      </c>
      <c r="C392" s="1" t="s">
        <v>1944</v>
      </c>
      <c r="D392" s="1" t="s">
        <v>117</v>
      </c>
      <c r="E392" s="1" t="s">
        <v>232</v>
      </c>
    </row>
    <row r="393" spans="1:5" x14ac:dyDescent="0.25">
      <c r="A393" s="13">
        <v>19420994</v>
      </c>
      <c r="B393" s="11" t="s">
        <v>84</v>
      </c>
      <c r="C393" s="1" t="s">
        <v>1943</v>
      </c>
      <c r="D393" s="1" t="s">
        <v>38</v>
      </c>
      <c r="E393" s="1" t="s">
        <v>8</v>
      </c>
    </row>
    <row r="394" spans="1:5" x14ac:dyDescent="0.25">
      <c r="A394" s="13">
        <v>19423667</v>
      </c>
      <c r="B394" s="11" t="s">
        <v>109</v>
      </c>
      <c r="C394" s="1" t="s">
        <v>1942</v>
      </c>
      <c r="D394" s="1" t="s">
        <v>131</v>
      </c>
      <c r="E394" s="1" t="s">
        <v>131</v>
      </c>
    </row>
    <row r="395" spans="1:5" x14ac:dyDescent="0.25">
      <c r="A395" s="13">
        <v>19423669</v>
      </c>
      <c r="B395" s="11" t="s">
        <v>116</v>
      </c>
      <c r="C395" s="1" t="s">
        <v>1941</v>
      </c>
      <c r="D395" s="1" t="s">
        <v>117</v>
      </c>
      <c r="E395" s="1" t="s">
        <v>491</v>
      </c>
    </row>
    <row r="396" spans="1:5" x14ac:dyDescent="0.25">
      <c r="A396" s="13">
        <v>19424236</v>
      </c>
      <c r="B396" s="11" t="s">
        <v>116</v>
      </c>
      <c r="C396" s="1" t="s">
        <v>1940</v>
      </c>
      <c r="D396" s="1" t="s">
        <v>117</v>
      </c>
      <c r="E396" s="1" t="s">
        <v>263</v>
      </c>
    </row>
    <row r="397" spans="1:5" x14ac:dyDescent="0.25">
      <c r="A397" s="13">
        <v>19424968</v>
      </c>
      <c r="B397" s="11" t="s">
        <v>109</v>
      </c>
      <c r="C397" s="1" t="s">
        <v>1939</v>
      </c>
      <c r="D397" s="1" t="s">
        <v>131</v>
      </c>
      <c r="E397" s="1" t="s">
        <v>131</v>
      </c>
    </row>
    <row r="398" spans="1:5" x14ac:dyDescent="0.25">
      <c r="A398" s="13">
        <v>19425103</v>
      </c>
      <c r="B398" s="11" t="s">
        <v>116</v>
      </c>
      <c r="C398" s="1" t="s">
        <v>1938</v>
      </c>
      <c r="D398" s="1" t="s">
        <v>117</v>
      </c>
      <c r="E398" s="1" t="s">
        <v>147</v>
      </c>
    </row>
    <row r="399" spans="1:5" x14ac:dyDescent="0.25">
      <c r="A399" s="13">
        <v>19427242</v>
      </c>
      <c r="B399" s="11" t="s">
        <v>116</v>
      </c>
      <c r="C399" s="1" t="s">
        <v>1937</v>
      </c>
      <c r="D399" s="1" t="s">
        <v>117</v>
      </c>
      <c r="E399" s="1" t="s">
        <v>336</v>
      </c>
    </row>
    <row r="400" spans="1:5" x14ac:dyDescent="0.25">
      <c r="A400" s="13">
        <v>19427320</v>
      </c>
      <c r="B400" s="11" t="s">
        <v>116</v>
      </c>
      <c r="C400" s="1" t="s">
        <v>1936</v>
      </c>
      <c r="D400" s="1" t="s">
        <v>117</v>
      </c>
      <c r="E400" s="1" t="s">
        <v>127</v>
      </c>
    </row>
    <row r="401" spans="1:5" x14ac:dyDescent="0.25">
      <c r="A401" s="13">
        <v>19428644</v>
      </c>
      <c r="B401" s="11" t="s">
        <v>84</v>
      </c>
      <c r="C401" s="1" t="s">
        <v>1935</v>
      </c>
      <c r="D401" s="1" t="s">
        <v>37</v>
      </c>
      <c r="E401" s="1" t="s">
        <v>27</v>
      </c>
    </row>
    <row r="402" spans="1:5" x14ac:dyDescent="0.25">
      <c r="A402" s="13">
        <v>19430314</v>
      </c>
      <c r="B402" s="11" t="s">
        <v>83</v>
      </c>
      <c r="C402" s="1" t="s">
        <v>1933</v>
      </c>
      <c r="D402" s="1" t="s">
        <v>1934</v>
      </c>
      <c r="E402" s="1" t="s">
        <v>242</v>
      </c>
    </row>
    <row r="403" spans="1:5" x14ac:dyDescent="0.25">
      <c r="A403" s="13">
        <v>19433858</v>
      </c>
      <c r="B403" s="11" t="s">
        <v>84</v>
      </c>
      <c r="C403" s="1" t="s">
        <v>1932</v>
      </c>
      <c r="D403" s="1" t="s">
        <v>203</v>
      </c>
      <c r="E403" s="1" t="s">
        <v>173</v>
      </c>
    </row>
    <row r="404" spans="1:5" x14ac:dyDescent="0.25">
      <c r="A404" s="13">
        <v>19435117</v>
      </c>
      <c r="B404" s="11" t="s">
        <v>109</v>
      </c>
      <c r="C404" s="1" t="s">
        <v>1931</v>
      </c>
      <c r="D404" s="1" t="s">
        <v>131</v>
      </c>
      <c r="E404" s="1" t="s">
        <v>131</v>
      </c>
    </row>
    <row r="405" spans="1:5" x14ac:dyDescent="0.25">
      <c r="A405" s="13">
        <v>19438777</v>
      </c>
      <c r="B405" s="11" t="s">
        <v>116</v>
      </c>
      <c r="C405" s="1" t="s">
        <v>1930</v>
      </c>
      <c r="D405" s="1" t="s">
        <v>117</v>
      </c>
      <c r="E405" s="1" t="s">
        <v>17</v>
      </c>
    </row>
    <row r="406" spans="1:5" x14ac:dyDescent="0.25">
      <c r="A406" s="13">
        <v>19439622</v>
      </c>
      <c r="B406" s="11" t="s">
        <v>116</v>
      </c>
      <c r="C406" s="1" t="s">
        <v>1929</v>
      </c>
      <c r="D406" s="1" t="s">
        <v>117</v>
      </c>
      <c r="E406" s="1" t="s">
        <v>179</v>
      </c>
    </row>
    <row r="407" spans="1:5" x14ac:dyDescent="0.25">
      <c r="A407" s="13">
        <v>19440634</v>
      </c>
      <c r="B407" s="11" t="s">
        <v>84</v>
      </c>
      <c r="C407" s="1" t="s">
        <v>1928</v>
      </c>
      <c r="D407" s="1" t="s">
        <v>43</v>
      </c>
      <c r="E407" s="1" t="s">
        <v>3211</v>
      </c>
    </row>
    <row r="408" spans="1:5" x14ac:dyDescent="0.25">
      <c r="A408" s="13">
        <v>19441219</v>
      </c>
      <c r="B408" s="11" t="s">
        <v>84</v>
      </c>
      <c r="C408" s="1" t="s">
        <v>1927</v>
      </c>
      <c r="D408" s="1" t="s">
        <v>185</v>
      </c>
      <c r="E408" s="1" t="s">
        <v>11</v>
      </c>
    </row>
    <row r="409" spans="1:5" x14ac:dyDescent="0.25">
      <c r="A409" s="13">
        <v>19444735</v>
      </c>
      <c r="B409" s="11" t="s">
        <v>116</v>
      </c>
      <c r="C409" s="1" t="s">
        <v>1926</v>
      </c>
      <c r="D409" s="1" t="s">
        <v>117</v>
      </c>
      <c r="E409" s="1" t="s">
        <v>186</v>
      </c>
    </row>
    <row r="410" spans="1:5" x14ac:dyDescent="0.25">
      <c r="A410" s="13">
        <v>19445050</v>
      </c>
      <c r="B410" s="11" t="s">
        <v>83</v>
      </c>
      <c r="C410" s="1" t="s">
        <v>1925</v>
      </c>
      <c r="D410" s="1" t="s">
        <v>131</v>
      </c>
      <c r="E410" s="1" t="s">
        <v>131</v>
      </c>
    </row>
    <row r="411" spans="1:5" x14ac:dyDescent="0.25">
      <c r="A411" s="13">
        <v>19446052</v>
      </c>
      <c r="B411" s="11" t="s">
        <v>116</v>
      </c>
      <c r="C411" s="1" t="s">
        <v>1924</v>
      </c>
      <c r="D411" s="1" t="s">
        <v>117</v>
      </c>
      <c r="E411" s="1" t="s">
        <v>10</v>
      </c>
    </row>
    <row r="412" spans="1:5" x14ac:dyDescent="0.25">
      <c r="A412" s="13">
        <v>19456357</v>
      </c>
      <c r="B412" s="11" t="s">
        <v>116</v>
      </c>
      <c r="C412" s="1" t="s">
        <v>1923</v>
      </c>
      <c r="D412" s="1" t="s">
        <v>117</v>
      </c>
      <c r="E412" s="1" t="s">
        <v>342</v>
      </c>
    </row>
    <row r="413" spans="1:5" x14ac:dyDescent="0.25">
      <c r="A413" s="13">
        <v>19456939</v>
      </c>
      <c r="B413" s="11" t="s">
        <v>84</v>
      </c>
      <c r="C413" s="1" t="s">
        <v>1922</v>
      </c>
      <c r="D413" s="1" t="s">
        <v>151</v>
      </c>
      <c r="E413" s="1" t="s">
        <v>152</v>
      </c>
    </row>
    <row r="414" spans="1:5" x14ac:dyDescent="0.25">
      <c r="A414" s="13">
        <v>19457011</v>
      </c>
      <c r="B414" s="11" t="s">
        <v>109</v>
      </c>
      <c r="C414" s="1" t="s">
        <v>1921</v>
      </c>
      <c r="D414" s="1" t="s">
        <v>131</v>
      </c>
      <c r="E414" s="1" t="s">
        <v>131</v>
      </c>
    </row>
    <row r="415" spans="1:5" x14ac:dyDescent="0.25">
      <c r="A415" s="13">
        <v>19458458</v>
      </c>
      <c r="B415" s="11" t="s">
        <v>109</v>
      </c>
      <c r="C415" s="1" t="s">
        <v>1920</v>
      </c>
      <c r="D415" s="1" t="s">
        <v>131</v>
      </c>
      <c r="E415" s="1" t="s">
        <v>131</v>
      </c>
    </row>
    <row r="416" spans="1:5" x14ac:dyDescent="0.25">
      <c r="A416" s="13">
        <v>19459143</v>
      </c>
      <c r="B416" s="11" t="s">
        <v>109</v>
      </c>
      <c r="C416" s="1" t="s">
        <v>1919</v>
      </c>
      <c r="D416" s="1" t="s">
        <v>131</v>
      </c>
      <c r="E416" s="1" t="s">
        <v>131</v>
      </c>
    </row>
    <row r="417" spans="1:5" x14ac:dyDescent="0.25">
      <c r="A417" s="13">
        <v>19459733</v>
      </c>
      <c r="B417" s="11" t="s">
        <v>84</v>
      </c>
      <c r="C417" s="1" t="s">
        <v>1918</v>
      </c>
      <c r="D417" s="1" t="s">
        <v>38</v>
      </c>
      <c r="E417" s="1" t="s">
        <v>168</v>
      </c>
    </row>
    <row r="418" spans="1:5" x14ac:dyDescent="0.25">
      <c r="A418" s="13">
        <v>19461924</v>
      </c>
      <c r="B418" s="11" t="s">
        <v>84</v>
      </c>
      <c r="C418" s="1" t="s">
        <v>1916</v>
      </c>
      <c r="D418" s="1" t="s">
        <v>43</v>
      </c>
      <c r="E418" s="1" t="s">
        <v>134</v>
      </c>
    </row>
    <row r="419" spans="1:5" x14ac:dyDescent="0.25">
      <c r="A419" s="13">
        <v>19465494</v>
      </c>
      <c r="B419" s="11" t="s">
        <v>83</v>
      </c>
      <c r="C419" s="1" t="s">
        <v>1914</v>
      </c>
      <c r="D419" s="1" t="s">
        <v>1915</v>
      </c>
      <c r="E419" s="1" t="s">
        <v>196</v>
      </c>
    </row>
    <row r="420" spans="1:5" x14ac:dyDescent="0.25">
      <c r="A420" s="13">
        <v>19471216</v>
      </c>
      <c r="B420" s="11" t="s">
        <v>116</v>
      </c>
      <c r="C420" s="1" t="s">
        <v>1913</v>
      </c>
      <c r="D420" s="1" t="s">
        <v>117</v>
      </c>
      <c r="E420" s="1" t="s">
        <v>8</v>
      </c>
    </row>
    <row r="421" spans="1:5" x14ac:dyDescent="0.25">
      <c r="A421" s="13">
        <v>19471862</v>
      </c>
      <c r="B421" s="11" t="s">
        <v>109</v>
      </c>
      <c r="C421" s="1" t="s">
        <v>1912</v>
      </c>
      <c r="D421" s="1" t="s">
        <v>131</v>
      </c>
      <c r="E421" s="1" t="s">
        <v>131</v>
      </c>
    </row>
    <row r="422" spans="1:5" x14ac:dyDescent="0.25">
      <c r="A422" s="13">
        <v>19472803</v>
      </c>
      <c r="B422" s="11" t="s">
        <v>84</v>
      </c>
      <c r="C422" s="1" t="s">
        <v>1911</v>
      </c>
      <c r="D422" s="1" t="s">
        <v>185</v>
      </c>
      <c r="E422" s="1" t="s">
        <v>336</v>
      </c>
    </row>
    <row r="423" spans="1:5" x14ac:dyDescent="0.25">
      <c r="A423" s="13">
        <v>19475719</v>
      </c>
      <c r="B423" s="11" t="s">
        <v>116</v>
      </c>
      <c r="C423" s="1" t="s">
        <v>1910</v>
      </c>
      <c r="D423" s="1" t="s">
        <v>117</v>
      </c>
      <c r="E423" s="1" t="s">
        <v>10</v>
      </c>
    </row>
    <row r="424" spans="1:5" x14ac:dyDescent="0.25">
      <c r="A424" s="13">
        <v>19476071</v>
      </c>
      <c r="B424" s="11" t="s">
        <v>83</v>
      </c>
      <c r="C424" s="1" t="s">
        <v>1909</v>
      </c>
      <c r="D424" s="1" t="s">
        <v>350</v>
      </c>
      <c r="E424" s="1" t="s">
        <v>28</v>
      </c>
    </row>
    <row r="425" spans="1:5" x14ac:dyDescent="0.25">
      <c r="A425" s="13">
        <v>19477794</v>
      </c>
      <c r="B425" s="11" t="s">
        <v>116</v>
      </c>
      <c r="C425" s="1" t="s">
        <v>1908</v>
      </c>
      <c r="D425" s="1" t="s">
        <v>117</v>
      </c>
      <c r="E425" s="1" t="s">
        <v>11</v>
      </c>
    </row>
    <row r="426" spans="1:5" x14ac:dyDescent="0.25">
      <c r="A426" s="13">
        <v>19478179</v>
      </c>
      <c r="B426" s="11" t="s">
        <v>116</v>
      </c>
      <c r="C426" s="1" t="s">
        <v>1907</v>
      </c>
      <c r="D426" s="1" t="s">
        <v>117</v>
      </c>
      <c r="E426" s="1" t="s">
        <v>7</v>
      </c>
    </row>
    <row r="427" spans="1:5" x14ac:dyDescent="0.25">
      <c r="A427" s="13">
        <v>19479698</v>
      </c>
      <c r="B427" s="11" t="s">
        <v>84</v>
      </c>
      <c r="C427" s="1" t="s">
        <v>1906</v>
      </c>
      <c r="D427" s="1" t="s">
        <v>38</v>
      </c>
      <c r="E427" s="1" t="s">
        <v>9</v>
      </c>
    </row>
    <row r="428" spans="1:5" x14ac:dyDescent="0.25">
      <c r="A428" s="13">
        <v>19479890</v>
      </c>
      <c r="B428" s="11" t="s">
        <v>116</v>
      </c>
      <c r="C428" s="1" t="s">
        <v>1905</v>
      </c>
      <c r="D428" s="1" t="s">
        <v>117</v>
      </c>
      <c r="E428" s="1" t="s">
        <v>958</v>
      </c>
    </row>
    <row r="429" spans="1:5" x14ac:dyDescent="0.25">
      <c r="A429" s="13">
        <v>19485631</v>
      </c>
      <c r="B429" s="11" t="s">
        <v>116</v>
      </c>
      <c r="C429" s="1" t="s">
        <v>1904</v>
      </c>
      <c r="D429" s="1" t="s">
        <v>117</v>
      </c>
      <c r="E429" s="1" t="s">
        <v>205</v>
      </c>
    </row>
    <row r="430" spans="1:5" x14ac:dyDescent="0.25">
      <c r="A430" s="13">
        <v>19486595</v>
      </c>
      <c r="B430" s="11" t="s">
        <v>109</v>
      </c>
      <c r="C430" s="1" t="s">
        <v>1903</v>
      </c>
      <c r="D430" s="1" t="s">
        <v>131</v>
      </c>
      <c r="E430" s="1" t="s">
        <v>131</v>
      </c>
    </row>
    <row r="431" spans="1:5" x14ac:dyDescent="0.25">
      <c r="A431" s="13">
        <v>19487138</v>
      </c>
      <c r="B431" s="11" t="s">
        <v>116</v>
      </c>
      <c r="C431" s="1" t="s">
        <v>1902</v>
      </c>
      <c r="D431" s="1" t="s">
        <v>117</v>
      </c>
      <c r="E431" s="1" t="s">
        <v>10</v>
      </c>
    </row>
    <row r="432" spans="1:5" x14ac:dyDescent="0.25">
      <c r="A432" s="13">
        <v>19488606</v>
      </c>
      <c r="B432" s="11" t="s">
        <v>83</v>
      </c>
      <c r="C432" s="1" t="s">
        <v>1901</v>
      </c>
      <c r="D432" s="1" t="s">
        <v>58</v>
      </c>
      <c r="E432" s="1" t="s">
        <v>23</v>
      </c>
    </row>
    <row r="433" spans="1:5" x14ac:dyDescent="0.25">
      <c r="A433" s="13">
        <v>19490220</v>
      </c>
      <c r="B433" s="11" t="s">
        <v>116</v>
      </c>
      <c r="C433" s="1" t="s">
        <v>1900</v>
      </c>
      <c r="D433" s="1" t="s">
        <v>117</v>
      </c>
      <c r="E433" s="1" t="s">
        <v>205</v>
      </c>
    </row>
    <row r="434" spans="1:5" x14ac:dyDescent="0.25">
      <c r="A434" s="13">
        <v>19490613</v>
      </c>
      <c r="B434" s="11" t="s">
        <v>84</v>
      </c>
      <c r="C434" s="1" t="s">
        <v>1899</v>
      </c>
      <c r="D434" s="1" t="s">
        <v>38</v>
      </c>
      <c r="E434" s="1" t="s">
        <v>127</v>
      </c>
    </row>
    <row r="435" spans="1:5" x14ac:dyDescent="0.25">
      <c r="A435" s="13">
        <v>19492719</v>
      </c>
      <c r="B435" s="11" t="s">
        <v>84</v>
      </c>
      <c r="C435" s="1" t="s">
        <v>1898</v>
      </c>
      <c r="D435" s="1" t="s">
        <v>38</v>
      </c>
      <c r="E435" s="1" t="s">
        <v>3</v>
      </c>
    </row>
    <row r="436" spans="1:5" x14ac:dyDescent="0.25">
      <c r="A436" s="13">
        <v>19494947</v>
      </c>
      <c r="B436" s="11" t="s">
        <v>116</v>
      </c>
      <c r="C436" s="1" t="s">
        <v>1897</v>
      </c>
      <c r="D436" s="1" t="s">
        <v>117</v>
      </c>
      <c r="E436" s="1" t="s">
        <v>10</v>
      </c>
    </row>
    <row r="437" spans="1:5" x14ac:dyDescent="0.25">
      <c r="A437" s="13">
        <v>19495049</v>
      </c>
      <c r="B437" s="11" t="s">
        <v>116</v>
      </c>
      <c r="C437" s="1" t="s">
        <v>1896</v>
      </c>
      <c r="D437" s="1" t="s">
        <v>117</v>
      </c>
      <c r="E437" s="1" t="s">
        <v>85</v>
      </c>
    </row>
    <row r="438" spans="1:5" x14ac:dyDescent="0.25">
      <c r="A438" s="13">
        <v>20352576</v>
      </c>
      <c r="B438" s="11" t="s">
        <v>83</v>
      </c>
      <c r="C438" s="1" t="s">
        <v>1895</v>
      </c>
      <c r="D438" s="1" t="s">
        <v>1286</v>
      </c>
      <c r="E438" s="1" t="s">
        <v>525</v>
      </c>
    </row>
    <row r="439" spans="1:5" x14ac:dyDescent="0.25">
      <c r="A439" s="13">
        <v>20368570</v>
      </c>
      <c r="B439" s="11" t="s">
        <v>84</v>
      </c>
      <c r="C439" s="1" t="s">
        <v>1894</v>
      </c>
      <c r="D439" s="1" t="s">
        <v>38</v>
      </c>
      <c r="E439" s="1" t="s">
        <v>237</v>
      </c>
    </row>
    <row r="440" spans="1:5" x14ac:dyDescent="0.25">
      <c r="A440" s="13">
        <v>20404485</v>
      </c>
      <c r="B440" s="11" t="s">
        <v>116</v>
      </c>
      <c r="C440" s="1" t="s">
        <v>1893</v>
      </c>
      <c r="D440" s="1" t="s">
        <v>117</v>
      </c>
      <c r="E440" s="1" t="s">
        <v>8</v>
      </c>
    </row>
    <row r="441" spans="1:5" x14ac:dyDescent="0.25">
      <c r="A441" s="13">
        <v>20410638</v>
      </c>
      <c r="B441" s="11" t="s">
        <v>84</v>
      </c>
      <c r="C441" s="1" t="s">
        <v>1891</v>
      </c>
      <c r="D441" s="1" t="s">
        <v>1892</v>
      </c>
      <c r="E441" s="1" t="s">
        <v>1</v>
      </c>
    </row>
    <row r="442" spans="1:5" x14ac:dyDescent="0.25">
      <c r="A442" s="13">
        <v>20424399</v>
      </c>
      <c r="B442" s="11" t="s">
        <v>83</v>
      </c>
      <c r="C442" s="1" t="s">
        <v>1890</v>
      </c>
      <c r="D442" s="1" t="s">
        <v>1077</v>
      </c>
      <c r="E442" s="1" t="s">
        <v>27</v>
      </c>
    </row>
    <row r="443" spans="1:5" x14ac:dyDescent="0.25">
      <c r="A443" s="13">
        <v>20471714</v>
      </c>
      <c r="B443" s="11" t="s">
        <v>116</v>
      </c>
      <c r="C443" s="1" t="s">
        <v>1889</v>
      </c>
      <c r="D443" s="1" t="s">
        <v>117</v>
      </c>
      <c r="E443" s="1" t="s">
        <v>417</v>
      </c>
    </row>
    <row r="444" spans="1:5" x14ac:dyDescent="0.25">
      <c r="A444" s="13">
        <v>20533444</v>
      </c>
      <c r="B444" s="11" t="s">
        <v>116</v>
      </c>
      <c r="C444" s="1" t="s">
        <v>1888</v>
      </c>
      <c r="D444" s="1" t="s">
        <v>117</v>
      </c>
      <c r="E444" s="1" t="s">
        <v>12</v>
      </c>
    </row>
    <row r="445" spans="1:5" x14ac:dyDescent="0.25">
      <c r="A445" s="13">
        <v>20876056</v>
      </c>
      <c r="B445" s="11" t="s">
        <v>83</v>
      </c>
      <c r="C445" s="1" t="s">
        <v>3200</v>
      </c>
      <c r="D445" s="1" t="s">
        <v>40</v>
      </c>
      <c r="E445" s="1" t="s">
        <v>23</v>
      </c>
    </row>
    <row r="446" spans="1:5" x14ac:dyDescent="0.25">
      <c r="A446" s="13">
        <v>20896737</v>
      </c>
      <c r="B446" s="11" t="s">
        <v>116</v>
      </c>
      <c r="C446" s="1" t="s">
        <v>1887</v>
      </c>
      <c r="D446" s="1" t="s">
        <v>117</v>
      </c>
      <c r="E446" s="1" t="s">
        <v>2</v>
      </c>
    </row>
    <row r="447" spans="1:5" x14ac:dyDescent="0.25">
      <c r="A447" s="13">
        <v>20956337</v>
      </c>
      <c r="B447" s="11" t="s">
        <v>109</v>
      </c>
      <c r="C447" s="1" t="s">
        <v>1886</v>
      </c>
      <c r="D447" s="1" t="s">
        <v>131</v>
      </c>
      <c r="E447" s="1" t="s">
        <v>131</v>
      </c>
    </row>
    <row r="448" spans="1:5" x14ac:dyDescent="0.25">
      <c r="A448" s="13">
        <v>21018581</v>
      </c>
      <c r="B448" s="11" t="s">
        <v>83</v>
      </c>
      <c r="C448" s="1" t="s">
        <v>1884</v>
      </c>
      <c r="D448" s="1" t="s">
        <v>1885</v>
      </c>
      <c r="E448" s="1" t="s">
        <v>4</v>
      </c>
    </row>
    <row r="449" spans="1:5" x14ac:dyDescent="0.25">
      <c r="A449" s="13">
        <v>21021185</v>
      </c>
      <c r="B449" s="11" t="s">
        <v>84</v>
      </c>
      <c r="C449" s="1" t="s">
        <v>1883</v>
      </c>
      <c r="D449" s="1" t="s">
        <v>38</v>
      </c>
      <c r="E449" s="1" t="s">
        <v>5</v>
      </c>
    </row>
    <row r="450" spans="1:5" x14ac:dyDescent="0.25">
      <c r="A450" s="13">
        <v>21114015</v>
      </c>
      <c r="B450" s="11" t="s">
        <v>83</v>
      </c>
      <c r="C450" s="1" t="s">
        <v>1882</v>
      </c>
      <c r="D450" s="1" t="s">
        <v>72</v>
      </c>
      <c r="E450" s="1" t="s">
        <v>23</v>
      </c>
    </row>
    <row r="451" spans="1:5" x14ac:dyDescent="0.25">
      <c r="A451" s="13">
        <v>21231917</v>
      </c>
      <c r="B451" s="11" t="s">
        <v>116</v>
      </c>
      <c r="C451" s="1" t="s">
        <v>1881</v>
      </c>
      <c r="D451" s="1" t="s">
        <v>117</v>
      </c>
      <c r="E451" s="1" t="s">
        <v>9</v>
      </c>
    </row>
    <row r="452" spans="1:5" x14ac:dyDescent="0.25">
      <c r="A452" s="13">
        <v>22401113</v>
      </c>
      <c r="B452" s="11" t="s">
        <v>84</v>
      </c>
      <c r="C452" s="1" t="s">
        <v>1879</v>
      </c>
      <c r="D452" s="1" t="s">
        <v>1880</v>
      </c>
      <c r="E452" s="1" t="s">
        <v>1</v>
      </c>
    </row>
    <row r="453" spans="1:5" x14ac:dyDescent="0.25">
      <c r="A453" s="13">
        <v>22468961</v>
      </c>
      <c r="B453" s="11" t="s">
        <v>116</v>
      </c>
      <c r="C453" s="1" t="s">
        <v>1878</v>
      </c>
      <c r="D453" s="1" t="s">
        <v>117</v>
      </c>
      <c r="E453" s="1" t="s">
        <v>14</v>
      </c>
    </row>
    <row r="454" spans="1:5" x14ac:dyDescent="0.25">
      <c r="A454" s="13">
        <v>22492135</v>
      </c>
      <c r="B454" s="11" t="s">
        <v>116</v>
      </c>
      <c r="C454" s="1" t="s">
        <v>1877</v>
      </c>
      <c r="D454" s="1" t="s">
        <v>117</v>
      </c>
      <c r="E454" s="1" t="s">
        <v>147</v>
      </c>
    </row>
    <row r="455" spans="1:5" x14ac:dyDescent="0.25">
      <c r="A455" s="13">
        <v>22550425</v>
      </c>
      <c r="B455" s="11" t="s">
        <v>83</v>
      </c>
      <c r="C455" s="1" t="s">
        <v>1875</v>
      </c>
      <c r="D455" s="1" t="s">
        <v>1876</v>
      </c>
      <c r="E455" s="1" t="s">
        <v>21</v>
      </c>
    </row>
    <row r="456" spans="1:5" x14ac:dyDescent="0.25">
      <c r="A456" s="13">
        <v>22837381</v>
      </c>
      <c r="B456" s="11" t="s">
        <v>83</v>
      </c>
      <c r="C456" s="1" t="s">
        <v>1874</v>
      </c>
      <c r="D456" s="1" t="s">
        <v>47</v>
      </c>
      <c r="E456" s="1" t="s">
        <v>24</v>
      </c>
    </row>
    <row r="457" spans="1:5" x14ac:dyDescent="0.25">
      <c r="A457" s="13">
        <v>23326631</v>
      </c>
      <c r="B457" s="11" t="s">
        <v>83</v>
      </c>
      <c r="C457" s="1" t="s">
        <v>1873</v>
      </c>
      <c r="D457" s="1" t="s">
        <v>1158</v>
      </c>
      <c r="E457" s="1" t="s">
        <v>31</v>
      </c>
    </row>
    <row r="458" spans="1:5" x14ac:dyDescent="0.25">
      <c r="A458" s="13">
        <v>23491537</v>
      </c>
      <c r="B458" s="11" t="s">
        <v>83</v>
      </c>
      <c r="C458" s="1" t="s">
        <v>1872</v>
      </c>
      <c r="D458" s="1" t="s">
        <v>40</v>
      </c>
      <c r="E458" s="1" t="s">
        <v>23</v>
      </c>
    </row>
    <row r="459" spans="1:5" x14ac:dyDescent="0.25">
      <c r="A459" s="13">
        <v>23500133</v>
      </c>
      <c r="B459" s="11" t="s">
        <v>116</v>
      </c>
      <c r="C459" s="1" t="s">
        <v>1871</v>
      </c>
      <c r="D459" s="1" t="s">
        <v>117</v>
      </c>
      <c r="E459" s="1" t="s">
        <v>333</v>
      </c>
    </row>
    <row r="460" spans="1:5" x14ac:dyDescent="0.25">
      <c r="A460" s="13">
        <v>23810964</v>
      </c>
      <c r="B460" s="11" t="s">
        <v>84</v>
      </c>
      <c r="C460" s="1" t="s">
        <v>3547</v>
      </c>
      <c r="D460" s="1" t="s">
        <v>38</v>
      </c>
      <c r="E460" s="1" t="s">
        <v>11</v>
      </c>
    </row>
    <row r="461" spans="1:5" x14ac:dyDescent="0.25">
      <c r="A461" s="13">
        <v>23823911</v>
      </c>
      <c r="B461" s="11" t="s">
        <v>116</v>
      </c>
      <c r="C461" s="1" t="s">
        <v>1870</v>
      </c>
      <c r="D461" s="1" t="s">
        <v>117</v>
      </c>
      <c r="E461" s="1" t="s">
        <v>12</v>
      </c>
    </row>
    <row r="462" spans="1:5" x14ac:dyDescent="0.25">
      <c r="A462" s="13">
        <v>24017892</v>
      </c>
      <c r="B462" s="11" t="s">
        <v>109</v>
      </c>
      <c r="C462" s="1" t="s">
        <v>1869</v>
      </c>
      <c r="D462" s="1" t="s">
        <v>131</v>
      </c>
      <c r="E462" s="1" t="s">
        <v>131</v>
      </c>
    </row>
    <row r="463" spans="1:5" x14ac:dyDescent="0.25">
      <c r="A463" s="13">
        <v>24030706</v>
      </c>
      <c r="B463" s="11" t="s">
        <v>109</v>
      </c>
      <c r="C463" s="1" t="s">
        <v>1868</v>
      </c>
      <c r="D463" s="1" t="s">
        <v>131</v>
      </c>
      <c r="E463" s="1" t="s">
        <v>131</v>
      </c>
    </row>
    <row r="464" spans="1:5" x14ac:dyDescent="0.25">
      <c r="A464" s="13">
        <v>24156667</v>
      </c>
      <c r="B464" s="11" t="s">
        <v>83</v>
      </c>
      <c r="C464" s="1" t="s">
        <v>1867</v>
      </c>
      <c r="D464" s="1" t="s">
        <v>1077</v>
      </c>
      <c r="E464" s="1" t="s">
        <v>27</v>
      </c>
    </row>
    <row r="465" spans="1:5" x14ac:dyDescent="0.25">
      <c r="A465" s="13">
        <v>24170170</v>
      </c>
      <c r="B465" s="11" t="s">
        <v>116</v>
      </c>
      <c r="C465" s="1" t="s">
        <v>1866</v>
      </c>
      <c r="D465" s="1" t="s">
        <v>117</v>
      </c>
      <c r="E465" s="1" t="s">
        <v>179</v>
      </c>
    </row>
    <row r="466" spans="1:5" x14ac:dyDescent="0.25">
      <c r="A466" s="13">
        <v>24175966</v>
      </c>
      <c r="B466" s="11" t="s">
        <v>83</v>
      </c>
      <c r="C466" s="1" t="s">
        <v>1865</v>
      </c>
      <c r="D466" s="1" t="s">
        <v>40</v>
      </c>
      <c r="E466" s="1" t="s">
        <v>23</v>
      </c>
    </row>
    <row r="467" spans="1:5" x14ac:dyDescent="0.25">
      <c r="A467" s="13">
        <v>24213115</v>
      </c>
      <c r="B467" s="11" t="s">
        <v>84</v>
      </c>
      <c r="C467" s="1" t="s">
        <v>1864</v>
      </c>
      <c r="D467" s="1" t="s">
        <v>353</v>
      </c>
      <c r="E467" s="1" t="s">
        <v>26</v>
      </c>
    </row>
    <row r="468" spans="1:5" x14ac:dyDescent="0.25">
      <c r="A468" s="13">
        <v>24315822</v>
      </c>
      <c r="B468" s="11" t="s">
        <v>84</v>
      </c>
      <c r="C468" s="1" t="s">
        <v>1863</v>
      </c>
      <c r="D468" s="1" t="s">
        <v>43</v>
      </c>
      <c r="E468" s="1" t="s">
        <v>127</v>
      </c>
    </row>
    <row r="469" spans="1:5" x14ac:dyDescent="0.25">
      <c r="A469" s="13">
        <v>24334467</v>
      </c>
      <c r="B469" s="11" t="s">
        <v>84</v>
      </c>
      <c r="C469" s="1" t="s">
        <v>3659</v>
      </c>
      <c r="D469" s="1" t="s">
        <v>38</v>
      </c>
      <c r="E469" s="1" t="s">
        <v>5</v>
      </c>
    </row>
    <row r="470" spans="1:5" x14ac:dyDescent="0.25">
      <c r="A470" s="13">
        <v>24474567</v>
      </c>
      <c r="B470" s="11" t="s">
        <v>116</v>
      </c>
      <c r="C470" s="1" t="s">
        <v>1862</v>
      </c>
      <c r="D470" s="1" t="s">
        <v>117</v>
      </c>
      <c r="E470" s="1" t="s">
        <v>127</v>
      </c>
    </row>
    <row r="471" spans="1:5" x14ac:dyDescent="0.25">
      <c r="A471" s="13">
        <v>24476160</v>
      </c>
      <c r="B471" s="11" t="s">
        <v>109</v>
      </c>
      <c r="C471" s="1" t="s">
        <v>1861</v>
      </c>
      <c r="D471" s="1" t="s">
        <v>131</v>
      </c>
      <c r="E471" s="1" t="s">
        <v>131</v>
      </c>
    </row>
    <row r="472" spans="1:5" x14ac:dyDescent="0.25">
      <c r="A472" s="13">
        <v>26482867</v>
      </c>
      <c r="B472" s="11" t="s">
        <v>116</v>
      </c>
      <c r="C472" s="1" t="s">
        <v>1859</v>
      </c>
      <c r="D472" s="1" t="s">
        <v>117</v>
      </c>
      <c r="E472" s="1" t="s">
        <v>8</v>
      </c>
    </row>
    <row r="473" spans="1:5" x14ac:dyDescent="0.25">
      <c r="A473" s="13">
        <v>27800754</v>
      </c>
      <c r="B473" s="11" t="s">
        <v>84</v>
      </c>
      <c r="C473" s="1" t="s">
        <v>1858</v>
      </c>
      <c r="D473" s="1" t="s">
        <v>38</v>
      </c>
      <c r="E473" s="1" t="s">
        <v>8</v>
      </c>
    </row>
    <row r="474" spans="1:5" x14ac:dyDescent="0.25">
      <c r="A474" s="13">
        <v>28427839</v>
      </c>
      <c r="B474" s="11" t="s">
        <v>116</v>
      </c>
      <c r="C474" s="1" t="s">
        <v>1856</v>
      </c>
      <c r="D474" s="1" t="s">
        <v>117</v>
      </c>
      <c r="E474" s="1" t="s">
        <v>147</v>
      </c>
    </row>
    <row r="475" spans="1:5" x14ac:dyDescent="0.25">
      <c r="A475" s="13">
        <v>28550789</v>
      </c>
      <c r="B475" s="11" t="s">
        <v>116</v>
      </c>
      <c r="C475" s="1" t="s">
        <v>1855</v>
      </c>
      <c r="D475" s="1" t="s">
        <v>117</v>
      </c>
      <c r="E475" s="1" t="s">
        <v>86</v>
      </c>
    </row>
    <row r="476" spans="1:5" x14ac:dyDescent="0.25">
      <c r="A476" s="13">
        <v>28551096</v>
      </c>
      <c r="B476" s="11" t="s">
        <v>84</v>
      </c>
      <c r="C476" s="1" t="s">
        <v>3548</v>
      </c>
      <c r="D476" s="1" t="s">
        <v>38</v>
      </c>
      <c r="E476" s="1" t="s">
        <v>10</v>
      </c>
    </row>
    <row r="477" spans="1:5" x14ac:dyDescent="0.25">
      <c r="A477" s="13">
        <v>28719270</v>
      </c>
      <c r="B477" s="11" t="s">
        <v>83</v>
      </c>
      <c r="C477" s="1" t="s">
        <v>1854</v>
      </c>
      <c r="D477" s="1" t="s">
        <v>1769</v>
      </c>
      <c r="E477" s="1" t="s">
        <v>4</v>
      </c>
    </row>
    <row r="478" spans="1:5" x14ac:dyDescent="0.25">
      <c r="A478" s="13">
        <v>28787709</v>
      </c>
      <c r="B478" s="11" t="s">
        <v>84</v>
      </c>
      <c r="C478" s="1" t="s">
        <v>1853</v>
      </c>
      <c r="D478" s="1" t="s">
        <v>381</v>
      </c>
      <c r="E478" s="1" t="s">
        <v>26</v>
      </c>
    </row>
    <row r="479" spans="1:5" x14ac:dyDescent="0.25">
      <c r="A479" s="13">
        <v>28798349</v>
      </c>
      <c r="B479" s="11" t="s">
        <v>83</v>
      </c>
      <c r="C479" s="1" t="s">
        <v>3549</v>
      </c>
      <c r="D479" s="1" t="s">
        <v>48</v>
      </c>
      <c r="E479" s="1" t="s">
        <v>196</v>
      </c>
    </row>
    <row r="480" spans="1:5" x14ac:dyDescent="0.25">
      <c r="A480" s="13">
        <v>28821300</v>
      </c>
      <c r="B480" s="11" t="s">
        <v>83</v>
      </c>
      <c r="C480" s="1" t="s">
        <v>1852</v>
      </c>
      <c r="D480" s="1" t="s">
        <v>1381</v>
      </c>
      <c r="E480" s="1" t="s">
        <v>272</v>
      </c>
    </row>
    <row r="481" spans="1:5" x14ac:dyDescent="0.25">
      <c r="A481" s="13">
        <v>28821484</v>
      </c>
      <c r="B481" s="11" t="s">
        <v>84</v>
      </c>
      <c r="C481" s="1" t="s">
        <v>1851</v>
      </c>
      <c r="D481" s="1" t="s">
        <v>1381</v>
      </c>
      <c r="E481" s="1" t="s">
        <v>17</v>
      </c>
    </row>
    <row r="482" spans="1:5" x14ac:dyDescent="0.25">
      <c r="A482" s="13">
        <v>28845358</v>
      </c>
      <c r="B482" s="11" t="s">
        <v>116</v>
      </c>
      <c r="C482" s="1" t="s">
        <v>1850</v>
      </c>
      <c r="D482" s="1" t="s">
        <v>117</v>
      </c>
      <c r="E482" s="1" t="s">
        <v>5</v>
      </c>
    </row>
    <row r="483" spans="1:5" x14ac:dyDescent="0.25">
      <c r="A483" s="13">
        <v>28853897</v>
      </c>
      <c r="B483" s="11" t="s">
        <v>116</v>
      </c>
      <c r="C483" s="1" t="s">
        <v>1849</v>
      </c>
      <c r="D483" s="1" t="s">
        <v>117</v>
      </c>
      <c r="E483" s="1" t="s">
        <v>10</v>
      </c>
    </row>
    <row r="484" spans="1:5" x14ac:dyDescent="0.25">
      <c r="A484" s="13">
        <v>29108588</v>
      </c>
      <c r="B484" s="11" t="s">
        <v>116</v>
      </c>
      <c r="C484" s="1" t="s">
        <v>1847</v>
      </c>
      <c r="D484" s="1" t="s">
        <v>117</v>
      </c>
      <c r="E484" s="1" t="s">
        <v>8</v>
      </c>
    </row>
    <row r="485" spans="1:5" x14ac:dyDescent="0.25">
      <c r="A485" s="13">
        <v>30206629</v>
      </c>
      <c r="B485" s="11" t="s">
        <v>116</v>
      </c>
      <c r="C485" s="1" t="s">
        <v>1843</v>
      </c>
      <c r="D485" s="1" t="s">
        <v>117</v>
      </c>
      <c r="E485" s="1" t="s">
        <v>12</v>
      </c>
    </row>
    <row r="486" spans="1:5" x14ac:dyDescent="0.25">
      <c r="A486" s="13">
        <v>30226211</v>
      </c>
      <c r="B486" s="11" t="s">
        <v>83</v>
      </c>
      <c r="C486" s="1" t="s">
        <v>1840</v>
      </c>
      <c r="D486" s="1" t="s">
        <v>40</v>
      </c>
      <c r="E486" s="1" t="s">
        <v>23</v>
      </c>
    </row>
    <row r="487" spans="1:5" x14ac:dyDescent="0.25">
      <c r="A487" s="13">
        <v>30280203</v>
      </c>
      <c r="B487" s="11" t="s">
        <v>84</v>
      </c>
      <c r="C487" s="1" t="s">
        <v>1839</v>
      </c>
      <c r="D487" s="1" t="s">
        <v>38</v>
      </c>
      <c r="E487" s="1" t="s">
        <v>85</v>
      </c>
    </row>
    <row r="488" spans="1:5" x14ac:dyDescent="0.25">
      <c r="A488" s="13">
        <v>30341704</v>
      </c>
      <c r="B488" s="11" t="s">
        <v>116</v>
      </c>
      <c r="C488" s="1" t="s">
        <v>1838</v>
      </c>
      <c r="D488" s="1" t="s">
        <v>117</v>
      </c>
      <c r="E488" s="1" t="s">
        <v>186</v>
      </c>
    </row>
    <row r="489" spans="1:5" x14ac:dyDescent="0.25">
      <c r="A489" s="13">
        <v>30343046</v>
      </c>
      <c r="B489" s="11" t="s">
        <v>116</v>
      </c>
      <c r="C489" s="1" t="s">
        <v>1837</v>
      </c>
      <c r="D489" s="1" t="s">
        <v>117</v>
      </c>
      <c r="E489" s="1" t="s">
        <v>127</v>
      </c>
    </row>
    <row r="490" spans="1:5" x14ac:dyDescent="0.25">
      <c r="A490" s="13">
        <v>30392551</v>
      </c>
      <c r="B490" s="11" t="s">
        <v>116</v>
      </c>
      <c r="C490" s="1" t="s">
        <v>1836</v>
      </c>
      <c r="D490" s="1" t="s">
        <v>117</v>
      </c>
      <c r="E490" s="1" t="s">
        <v>6</v>
      </c>
    </row>
    <row r="491" spans="1:5" x14ac:dyDescent="0.25">
      <c r="A491" s="13">
        <v>30399763</v>
      </c>
      <c r="B491" s="11" t="s">
        <v>116</v>
      </c>
      <c r="C491" s="1" t="s">
        <v>1835</v>
      </c>
      <c r="D491" s="1" t="s">
        <v>117</v>
      </c>
      <c r="E491" s="1" t="s">
        <v>10</v>
      </c>
    </row>
    <row r="492" spans="1:5" x14ac:dyDescent="0.25">
      <c r="A492" s="13">
        <v>30403044</v>
      </c>
      <c r="B492" s="11" t="s">
        <v>116</v>
      </c>
      <c r="C492" s="1" t="s">
        <v>1834</v>
      </c>
      <c r="D492" s="1" t="s">
        <v>117</v>
      </c>
      <c r="E492" s="1" t="s">
        <v>179</v>
      </c>
    </row>
    <row r="493" spans="1:5" x14ac:dyDescent="0.25">
      <c r="A493" s="13">
        <v>30575692</v>
      </c>
      <c r="B493" s="11" t="s">
        <v>83</v>
      </c>
      <c r="C493" s="1" t="s">
        <v>3201</v>
      </c>
      <c r="D493" s="1" t="s">
        <v>3202</v>
      </c>
      <c r="E493" s="1" t="s">
        <v>19</v>
      </c>
    </row>
    <row r="494" spans="1:5" x14ac:dyDescent="0.25">
      <c r="A494" s="13">
        <v>32108192</v>
      </c>
      <c r="B494" s="11" t="s">
        <v>116</v>
      </c>
      <c r="C494" s="1" t="s">
        <v>1828</v>
      </c>
      <c r="D494" s="1" t="s">
        <v>117</v>
      </c>
      <c r="E494" s="1" t="s">
        <v>205</v>
      </c>
    </row>
    <row r="495" spans="1:5" x14ac:dyDescent="0.25">
      <c r="A495" s="13">
        <v>32418878</v>
      </c>
      <c r="B495" s="11" t="s">
        <v>116</v>
      </c>
      <c r="C495" s="1" t="s">
        <v>1823</v>
      </c>
      <c r="D495" s="1" t="s">
        <v>117</v>
      </c>
      <c r="E495" s="1" t="s">
        <v>9</v>
      </c>
    </row>
    <row r="496" spans="1:5" x14ac:dyDescent="0.25">
      <c r="A496" s="13">
        <v>32526338</v>
      </c>
      <c r="B496" s="11" t="s">
        <v>83</v>
      </c>
      <c r="C496" s="1" t="s">
        <v>1821</v>
      </c>
      <c r="D496" s="1" t="s">
        <v>75</v>
      </c>
      <c r="E496" s="1" t="s">
        <v>19</v>
      </c>
    </row>
    <row r="497" spans="1:5" x14ac:dyDescent="0.25">
      <c r="A497" s="13">
        <v>32538051</v>
      </c>
      <c r="B497" s="11" t="s">
        <v>116</v>
      </c>
      <c r="C497" s="1" t="s">
        <v>1820</v>
      </c>
      <c r="D497" s="1" t="s">
        <v>117</v>
      </c>
      <c r="E497" s="1" t="s">
        <v>491</v>
      </c>
    </row>
    <row r="498" spans="1:5" x14ac:dyDescent="0.25">
      <c r="A498" s="13">
        <v>32543715</v>
      </c>
      <c r="B498" s="11" t="s">
        <v>116</v>
      </c>
      <c r="C498" s="1" t="s">
        <v>1818</v>
      </c>
      <c r="D498" s="1" t="s">
        <v>117</v>
      </c>
      <c r="E498" s="1" t="s">
        <v>1819</v>
      </c>
    </row>
    <row r="499" spans="1:5" x14ac:dyDescent="0.25">
      <c r="A499" s="13">
        <v>32761328</v>
      </c>
      <c r="B499" s="11" t="s">
        <v>116</v>
      </c>
      <c r="C499" s="1" t="s">
        <v>1817</v>
      </c>
      <c r="D499" s="1" t="s">
        <v>117</v>
      </c>
      <c r="E499" s="1" t="s">
        <v>127</v>
      </c>
    </row>
    <row r="500" spans="1:5" x14ac:dyDescent="0.25">
      <c r="A500" s="13">
        <v>32797221</v>
      </c>
      <c r="B500" s="11" t="s">
        <v>116</v>
      </c>
      <c r="C500" s="1" t="s">
        <v>1816</v>
      </c>
      <c r="D500" s="1" t="s">
        <v>117</v>
      </c>
      <c r="E500" s="1" t="s">
        <v>86</v>
      </c>
    </row>
    <row r="501" spans="1:5" x14ac:dyDescent="0.25">
      <c r="A501" s="13">
        <v>33339091</v>
      </c>
      <c r="B501" s="11" t="s">
        <v>116</v>
      </c>
      <c r="C501" s="1" t="s">
        <v>1815</v>
      </c>
      <c r="D501" s="1" t="s">
        <v>117</v>
      </c>
      <c r="E501" s="1" t="s">
        <v>8</v>
      </c>
    </row>
    <row r="502" spans="1:5" x14ac:dyDescent="0.25">
      <c r="A502" s="13">
        <v>33449840</v>
      </c>
      <c r="B502" s="11" t="s">
        <v>109</v>
      </c>
      <c r="C502" s="1" t="s">
        <v>1814</v>
      </c>
      <c r="D502" s="1" t="s">
        <v>131</v>
      </c>
      <c r="E502" s="1" t="s">
        <v>131</v>
      </c>
    </row>
    <row r="503" spans="1:5" x14ac:dyDescent="0.25">
      <c r="A503" s="13">
        <v>34319840</v>
      </c>
      <c r="B503" s="11" t="s">
        <v>116</v>
      </c>
      <c r="C503" s="1" t="s">
        <v>1813</v>
      </c>
      <c r="D503" s="1" t="s">
        <v>117</v>
      </c>
      <c r="E503" s="1" t="s">
        <v>179</v>
      </c>
    </row>
    <row r="504" spans="1:5" x14ac:dyDescent="0.25">
      <c r="A504" s="13">
        <v>34556266</v>
      </c>
      <c r="B504" s="11" t="s">
        <v>84</v>
      </c>
      <c r="C504" s="1" t="s">
        <v>1810</v>
      </c>
      <c r="D504" s="1" t="s">
        <v>38</v>
      </c>
      <c r="E504" s="1" t="s">
        <v>328</v>
      </c>
    </row>
    <row r="505" spans="1:5" x14ac:dyDescent="0.25">
      <c r="A505" s="13">
        <v>34565287</v>
      </c>
      <c r="B505" s="11" t="s">
        <v>116</v>
      </c>
      <c r="C505" s="1" t="s">
        <v>1809</v>
      </c>
      <c r="D505" s="1" t="s">
        <v>117</v>
      </c>
      <c r="E505" s="1" t="s">
        <v>232</v>
      </c>
    </row>
    <row r="506" spans="1:5" x14ac:dyDescent="0.25">
      <c r="A506" s="13">
        <v>35250049</v>
      </c>
      <c r="B506" s="11" t="s">
        <v>116</v>
      </c>
      <c r="C506" s="1" t="s">
        <v>1807</v>
      </c>
      <c r="D506" s="1" t="s">
        <v>117</v>
      </c>
      <c r="E506" s="1" t="s">
        <v>11</v>
      </c>
    </row>
    <row r="507" spans="1:5" x14ac:dyDescent="0.25">
      <c r="A507" s="13">
        <v>35313795</v>
      </c>
      <c r="B507" s="11" t="s">
        <v>109</v>
      </c>
      <c r="C507" s="1" t="s">
        <v>1806</v>
      </c>
      <c r="D507" s="1" t="s">
        <v>131</v>
      </c>
      <c r="E507" s="1" t="s">
        <v>131</v>
      </c>
    </row>
    <row r="508" spans="1:5" x14ac:dyDescent="0.25">
      <c r="A508" s="13">
        <v>35319610</v>
      </c>
      <c r="B508" s="11" t="s">
        <v>109</v>
      </c>
      <c r="C508" s="1" t="s">
        <v>1805</v>
      </c>
      <c r="D508" s="1" t="s">
        <v>131</v>
      </c>
      <c r="E508" s="1" t="s">
        <v>131</v>
      </c>
    </row>
    <row r="509" spans="1:5" x14ac:dyDescent="0.25">
      <c r="A509" s="13">
        <v>35411169</v>
      </c>
      <c r="B509" s="11" t="s">
        <v>84</v>
      </c>
      <c r="C509" s="1" t="s">
        <v>1804</v>
      </c>
      <c r="D509" s="1" t="s">
        <v>43</v>
      </c>
      <c r="E509" s="1" t="s">
        <v>10</v>
      </c>
    </row>
    <row r="510" spans="1:5" x14ac:dyDescent="0.25">
      <c r="A510" s="13">
        <v>35457357</v>
      </c>
      <c r="B510" s="11" t="s">
        <v>84</v>
      </c>
      <c r="C510" s="1" t="s">
        <v>1803</v>
      </c>
      <c r="D510" s="1" t="s">
        <v>38</v>
      </c>
      <c r="E510" s="1" t="s">
        <v>3121</v>
      </c>
    </row>
    <row r="511" spans="1:5" x14ac:dyDescent="0.25">
      <c r="A511" s="13">
        <v>35459111</v>
      </c>
      <c r="B511" s="11" t="s">
        <v>109</v>
      </c>
      <c r="C511" s="1" t="s">
        <v>1802</v>
      </c>
      <c r="D511" s="1" t="s">
        <v>1443</v>
      </c>
      <c r="E511" s="1" t="s">
        <v>25</v>
      </c>
    </row>
    <row r="512" spans="1:5" x14ac:dyDescent="0.25">
      <c r="A512" s="13">
        <v>35466238</v>
      </c>
      <c r="B512" s="11" t="s">
        <v>109</v>
      </c>
      <c r="C512" s="1" t="s">
        <v>1801</v>
      </c>
      <c r="D512" s="1" t="s">
        <v>131</v>
      </c>
      <c r="E512" s="1" t="s">
        <v>131</v>
      </c>
    </row>
    <row r="513" spans="1:5" x14ac:dyDescent="0.25">
      <c r="A513" s="13">
        <v>35468350</v>
      </c>
      <c r="B513" s="11" t="s">
        <v>109</v>
      </c>
      <c r="C513" s="1" t="s">
        <v>1800</v>
      </c>
      <c r="D513" s="1" t="s">
        <v>131</v>
      </c>
      <c r="E513" s="1" t="s">
        <v>131</v>
      </c>
    </row>
    <row r="514" spans="1:5" x14ac:dyDescent="0.25">
      <c r="A514" s="13">
        <v>35473660</v>
      </c>
      <c r="B514" s="11" t="s">
        <v>116</v>
      </c>
      <c r="C514" s="1" t="s">
        <v>1799</v>
      </c>
      <c r="D514" s="1" t="s">
        <v>117</v>
      </c>
      <c r="E514" s="1" t="s">
        <v>10</v>
      </c>
    </row>
    <row r="515" spans="1:5" x14ac:dyDescent="0.25">
      <c r="A515" s="13">
        <v>35500480</v>
      </c>
      <c r="B515" s="11" t="s">
        <v>84</v>
      </c>
      <c r="C515" s="1" t="s">
        <v>1798</v>
      </c>
      <c r="D515" s="1" t="s">
        <v>203</v>
      </c>
      <c r="E515" s="1" t="s">
        <v>1345</v>
      </c>
    </row>
    <row r="516" spans="1:5" x14ac:dyDescent="0.25">
      <c r="A516" s="13">
        <v>35502159</v>
      </c>
      <c r="B516" s="11" t="s">
        <v>83</v>
      </c>
      <c r="C516" s="1" t="s">
        <v>1797</v>
      </c>
      <c r="D516" s="1" t="s">
        <v>1585</v>
      </c>
      <c r="E516" s="1" t="s">
        <v>248</v>
      </c>
    </row>
    <row r="517" spans="1:5" x14ac:dyDescent="0.25">
      <c r="A517" s="13">
        <v>35509166</v>
      </c>
      <c r="B517" s="11" t="s">
        <v>116</v>
      </c>
      <c r="C517" s="1" t="s">
        <v>1796</v>
      </c>
      <c r="D517" s="1" t="s">
        <v>117</v>
      </c>
      <c r="E517" s="1" t="s">
        <v>6</v>
      </c>
    </row>
    <row r="518" spans="1:5" x14ac:dyDescent="0.25">
      <c r="A518" s="13">
        <v>35536816</v>
      </c>
      <c r="B518" s="11" t="s">
        <v>84</v>
      </c>
      <c r="C518" s="1" t="s">
        <v>1795</v>
      </c>
      <c r="D518" s="1" t="s">
        <v>38</v>
      </c>
      <c r="E518" s="1" t="s">
        <v>6</v>
      </c>
    </row>
    <row r="519" spans="1:5" x14ac:dyDescent="0.25">
      <c r="A519" s="13">
        <v>36150280</v>
      </c>
      <c r="B519" s="11" t="s">
        <v>109</v>
      </c>
      <c r="C519" s="1" t="s">
        <v>1794</v>
      </c>
      <c r="D519" s="1" t="s">
        <v>131</v>
      </c>
      <c r="E519" s="1" t="s">
        <v>131</v>
      </c>
    </row>
    <row r="520" spans="1:5" x14ac:dyDescent="0.25">
      <c r="A520" s="13">
        <v>36179369</v>
      </c>
      <c r="B520" s="11" t="s">
        <v>84</v>
      </c>
      <c r="C520" s="1" t="s">
        <v>1793</v>
      </c>
      <c r="D520" s="1" t="s">
        <v>43</v>
      </c>
      <c r="E520" s="1" t="s">
        <v>417</v>
      </c>
    </row>
    <row r="521" spans="1:5" x14ac:dyDescent="0.25">
      <c r="A521" s="13">
        <v>36291765</v>
      </c>
      <c r="B521" s="11" t="s">
        <v>83</v>
      </c>
      <c r="C521" s="1" t="s">
        <v>1792</v>
      </c>
      <c r="D521" s="1" t="s">
        <v>684</v>
      </c>
      <c r="E521" s="1" t="s">
        <v>685</v>
      </c>
    </row>
    <row r="522" spans="1:5" x14ac:dyDescent="0.25">
      <c r="A522" s="13">
        <v>36306751</v>
      </c>
      <c r="B522" s="11" t="s">
        <v>84</v>
      </c>
      <c r="C522" s="1" t="s">
        <v>1791</v>
      </c>
      <c r="D522" s="1" t="s">
        <v>38</v>
      </c>
      <c r="E522" s="1" t="s">
        <v>12</v>
      </c>
    </row>
    <row r="523" spans="1:5" x14ac:dyDescent="0.25">
      <c r="A523" s="13">
        <v>36687721</v>
      </c>
      <c r="B523" s="11" t="s">
        <v>109</v>
      </c>
      <c r="C523" s="1" t="s">
        <v>1790</v>
      </c>
      <c r="D523" s="1" t="s">
        <v>131</v>
      </c>
      <c r="E523" s="1" t="s">
        <v>131</v>
      </c>
    </row>
    <row r="524" spans="1:5" x14ac:dyDescent="0.25">
      <c r="A524" s="13">
        <v>37326146</v>
      </c>
      <c r="B524" s="11" t="s">
        <v>116</v>
      </c>
      <c r="C524" s="1" t="s">
        <v>1789</v>
      </c>
      <c r="D524" s="1" t="s">
        <v>117</v>
      </c>
      <c r="E524" s="1" t="s">
        <v>336</v>
      </c>
    </row>
    <row r="525" spans="1:5" x14ac:dyDescent="0.25">
      <c r="A525" s="13">
        <v>37514730</v>
      </c>
      <c r="B525" s="11" t="s">
        <v>116</v>
      </c>
      <c r="C525" s="1" t="s">
        <v>1788</v>
      </c>
      <c r="D525" s="1" t="s">
        <v>117</v>
      </c>
      <c r="E525" s="1" t="s">
        <v>6</v>
      </c>
    </row>
    <row r="526" spans="1:5" x14ac:dyDescent="0.25">
      <c r="A526" s="13">
        <v>37555199</v>
      </c>
      <c r="B526" s="11" t="s">
        <v>83</v>
      </c>
      <c r="C526" s="1" t="s">
        <v>3550</v>
      </c>
      <c r="D526" s="1" t="s">
        <v>48</v>
      </c>
      <c r="E526" s="1" t="s">
        <v>196</v>
      </c>
    </row>
    <row r="527" spans="1:5" x14ac:dyDescent="0.25">
      <c r="A527" s="13">
        <v>37557328</v>
      </c>
      <c r="B527" s="11" t="s">
        <v>109</v>
      </c>
      <c r="C527" s="1" t="s">
        <v>1787</v>
      </c>
      <c r="D527" s="1" t="s">
        <v>131</v>
      </c>
      <c r="E527" s="1" t="s">
        <v>131</v>
      </c>
    </row>
    <row r="528" spans="1:5" x14ac:dyDescent="0.25">
      <c r="A528" s="13">
        <v>37885283</v>
      </c>
      <c r="B528" s="11" t="s">
        <v>116</v>
      </c>
      <c r="C528" s="1" t="s">
        <v>1786</v>
      </c>
      <c r="D528" s="1" t="s">
        <v>117</v>
      </c>
      <c r="E528" s="1" t="s">
        <v>27</v>
      </c>
    </row>
    <row r="529" spans="1:5" x14ac:dyDescent="0.25">
      <c r="A529" s="13">
        <v>37889929</v>
      </c>
      <c r="B529" s="11" t="s">
        <v>116</v>
      </c>
      <c r="C529" s="1" t="s">
        <v>1785</v>
      </c>
      <c r="D529" s="1" t="s">
        <v>117</v>
      </c>
      <c r="E529" s="1" t="s">
        <v>2</v>
      </c>
    </row>
    <row r="530" spans="1:5" x14ac:dyDescent="0.25">
      <c r="A530" s="13">
        <v>37945352</v>
      </c>
      <c r="B530" s="11" t="s">
        <v>116</v>
      </c>
      <c r="C530" s="1" t="s">
        <v>1784</v>
      </c>
      <c r="D530" s="1" t="s">
        <v>117</v>
      </c>
      <c r="E530" s="1" t="s">
        <v>881</v>
      </c>
    </row>
    <row r="531" spans="1:5" x14ac:dyDescent="0.25">
      <c r="A531" s="13">
        <v>38141973</v>
      </c>
      <c r="B531" s="11" t="s">
        <v>116</v>
      </c>
      <c r="C531" s="1" t="s">
        <v>1783</v>
      </c>
      <c r="D531" s="1" t="s">
        <v>117</v>
      </c>
      <c r="E531" s="1" t="s">
        <v>336</v>
      </c>
    </row>
    <row r="532" spans="1:5" x14ac:dyDescent="0.25">
      <c r="A532" s="13">
        <v>38263832</v>
      </c>
      <c r="B532" s="11" t="s">
        <v>109</v>
      </c>
      <c r="C532" s="1" t="s">
        <v>1782</v>
      </c>
      <c r="D532" s="1" t="s">
        <v>131</v>
      </c>
      <c r="E532" s="1" t="s">
        <v>131</v>
      </c>
    </row>
    <row r="533" spans="1:5" x14ac:dyDescent="0.25">
      <c r="A533" s="13">
        <v>38666208</v>
      </c>
      <c r="B533" s="11" t="s">
        <v>83</v>
      </c>
      <c r="C533" s="1" t="s">
        <v>3203</v>
      </c>
      <c r="D533" s="1" t="s">
        <v>40</v>
      </c>
      <c r="E533" s="1" t="s">
        <v>23</v>
      </c>
    </row>
    <row r="534" spans="1:5" x14ac:dyDescent="0.25">
      <c r="A534" s="13">
        <v>38997598</v>
      </c>
      <c r="B534" s="11" t="s">
        <v>109</v>
      </c>
      <c r="C534" s="1" t="s">
        <v>1781</v>
      </c>
      <c r="D534" s="1" t="s">
        <v>131</v>
      </c>
      <c r="E534" s="1" t="s">
        <v>131</v>
      </c>
    </row>
    <row r="535" spans="1:5" x14ac:dyDescent="0.25">
      <c r="A535" s="13">
        <v>39186368</v>
      </c>
      <c r="B535" s="11" t="s">
        <v>116</v>
      </c>
      <c r="C535" s="1" t="s">
        <v>1780</v>
      </c>
      <c r="D535" s="1" t="s">
        <v>117</v>
      </c>
      <c r="E535" s="1" t="s">
        <v>342</v>
      </c>
    </row>
    <row r="536" spans="1:5" x14ac:dyDescent="0.25">
      <c r="A536" s="13">
        <v>39525238</v>
      </c>
      <c r="B536" s="11" t="s">
        <v>84</v>
      </c>
      <c r="C536" s="1" t="s">
        <v>1779</v>
      </c>
      <c r="D536" s="1" t="s">
        <v>38</v>
      </c>
      <c r="E536" s="1" t="s">
        <v>7</v>
      </c>
    </row>
    <row r="537" spans="1:5" x14ac:dyDescent="0.25">
      <c r="A537" s="13">
        <v>39527036</v>
      </c>
      <c r="B537" s="11" t="s">
        <v>84</v>
      </c>
      <c r="C537" s="1" t="s">
        <v>1778</v>
      </c>
      <c r="D537" s="1" t="s">
        <v>43</v>
      </c>
      <c r="E537" s="1" t="s">
        <v>5</v>
      </c>
    </row>
    <row r="538" spans="1:5" x14ac:dyDescent="0.25">
      <c r="A538" s="13">
        <v>39529660</v>
      </c>
      <c r="B538" s="11" t="s">
        <v>116</v>
      </c>
      <c r="C538" s="1" t="s">
        <v>1777</v>
      </c>
      <c r="D538" s="1" t="s">
        <v>151</v>
      </c>
      <c r="E538" s="1" t="s">
        <v>152</v>
      </c>
    </row>
    <row r="539" spans="1:5" x14ac:dyDescent="0.25">
      <c r="A539" s="13">
        <v>39532089</v>
      </c>
      <c r="B539" s="11" t="s">
        <v>83</v>
      </c>
      <c r="C539" s="1" t="s">
        <v>1776</v>
      </c>
      <c r="D539" s="1" t="s">
        <v>1513</v>
      </c>
      <c r="E539" s="1" t="s">
        <v>27</v>
      </c>
    </row>
    <row r="540" spans="1:5" x14ac:dyDescent="0.25">
      <c r="A540" s="13">
        <v>39542319</v>
      </c>
      <c r="B540" s="11" t="s">
        <v>116</v>
      </c>
      <c r="C540" s="1" t="s">
        <v>1775</v>
      </c>
      <c r="D540" s="1" t="s">
        <v>117</v>
      </c>
      <c r="E540" s="1" t="s">
        <v>8</v>
      </c>
    </row>
    <row r="541" spans="1:5" x14ac:dyDescent="0.25">
      <c r="A541" s="13">
        <v>39544030</v>
      </c>
      <c r="B541" s="11" t="s">
        <v>83</v>
      </c>
      <c r="C541" s="1" t="s">
        <v>1773</v>
      </c>
      <c r="D541" s="1" t="s">
        <v>1774</v>
      </c>
      <c r="E541" s="1" t="s">
        <v>21</v>
      </c>
    </row>
    <row r="542" spans="1:5" x14ac:dyDescent="0.25">
      <c r="A542" s="13">
        <v>39546607</v>
      </c>
      <c r="B542" s="11" t="s">
        <v>116</v>
      </c>
      <c r="C542" s="1" t="s">
        <v>1772</v>
      </c>
      <c r="D542" s="1" t="s">
        <v>117</v>
      </c>
      <c r="E542" s="1" t="s">
        <v>336</v>
      </c>
    </row>
    <row r="543" spans="1:5" x14ac:dyDescent="0.25">
      <c r="A543" s="13">
        <v>39547846</v>
      </c>
      <c r="B543" s="11" t="s">
        <v>116</v>
      </c>
      <c r="C543" s="1" t="s">
        <v>1771</v>
      </c>
      <c r="D543" s="1" t="s">
        <v>117</v>
      </c>
      <c r="E543" s="1" t="s">
        <v>491</v>
      </c>
    </row>
    <row r="544" spans="1:5" x14ac:dyDescent="0.25">
      <c r="A544" s="13">
        <v>39570432</v>
      </c>
      <c r="B544" s="11" t="s">
        <v>116</v>
      </c>
      <c r="C544" s="1" t="s">
        <v>3175</v>
      </c>
      <c r="D544" s="1" t="s">
        <v>117</v>
      </c>
      <c r="E544" s="1" t="s">
        <v>3118</v>
      </c>
    </row>
    <row r="545" spans="1:5" x14ac:dyDescent="0.25">
      <c r="A545" s="13">
        <v>39572259</v>
      </c>
      <c r="B545" s="11" t="s">
        <v>116</v>
      </c>
      <c r="C545" s="1" t="s">
        <v>1770</v>
      </c>
      <c r="D545" s="1" t="s">
        <v>117</v>
      </c>
      <c r="E545" s="1" t="s">
        <v>10</v>
      </c>
    </row>
    <row r="546" spans="1:5" x14ac:dyDescent="0.25">
      <c r="A546" s="13">
        <v>39572653</v>
      </c>
      <c r="B546" s="11" t="s">
        <v>83</v>
      </c>
      <c r="C546" s="1" t="s">
        <v>1768</v>
      </c>
      <c r="D546" s="1" t="s">
        <v>1769</v>
      </c>
      <c r="E546" s="1" t="s">
        <v>4</v>
      </c>
    </row>
    <row r="547" spans="1:5" x14ac:dyDescent="0.25">
      <c r="A547" s="13">
        <v>39584572</v>
      </c>
      <c r="B547" s="11" t="s">
        <v>83</v>
      </c>
      <c r="C547" s="1" t="s">
        <v>1767</v>
      </c>
      <c r="D547" s="1" t="s">
        <v>47</v>
      </c>
      <c r="E547" s="1" t="s">
        <v>16</v>
      </c>
    </row>
    <row r="548" spans="1:5" x14ac:dyDescent="0.25">
      <c r="A548" s="13">
        <v>39622616</v>
      </c>
      <c r="B548" s="11" t="s">
        <v>116</v>
      </c>
      <c r="C548" s="1" t="s">
        <v>1766</v>
      </c>
      <c r="D548" s="1" t="s">
        <v>117</v>
      </c>
      <c r="E548" s="1" t="s">
        <v>491</v>
      </c>
    </row>
    <row r="549" spans="1:5" x14ac:dyDescent="0.25">
      <c r="A549" s="13">
        <v>39629997</v>
      </c>
      <c r="B549" s="11" t="s">
        <v>116</v>
      </c>
      <c r="C549" s="1" t="s">
        <v>1764</v>
      </c>
      <c r="D549" s="1" t="s">
        <v>117</v>
      </c>
      <c r="E549" s="1" t="s">
        <v>168</v>
      </c>
    </row>
    <row r="550" spans="1:5" x14ac:dyDescent="0.25">
      <c r="A550" s="13">
        <v>39644534</v>
      </c>
      <c r="B550" s="11" t="s">
        <v>116</v>
      </c>
      <c r="C550" s="1" t="s">
        <v>1763</v>
      </c>
      <c r="D550" s="1" t="s">
        <v>117</v>
      </c>
      <c r="E550" s="1" t="s">
        <v>491</v>
      </c>
    </row>
    <row r="551" spans="1:5" x14ac:dyDescent="0.25">
      <c r="A551" s="13">
        <v>39656912</v>
      </c>
      <c r="B551" s="11" t="s">
        <v>83</v>
      </c>
      <c r="C551" s="1" t="s">
        <v>1761</v>
      </c>
      <c r="D551" s="1" t="s">
        <v>1762</v>
      </c>
      <c r="E551" s="1" t="s">
        <v>123</v>
      </c>
    </row>
    <row r="552" spans="1:5" x14ac:dyDescent="0.25">
      <c r="A552" s="13">
        <v>39658504</v>
      </c>
      <c r="B552" s="11" t="s">
        <v>109</v>
      </c>
      <c r="C552" s="1" t="s">
        <v>1760</v>
      </c>
      <c r="D552" s="1" t="s">
        <v>131</v>
      </c>
      <c r="E552" s="1" t="s">
        <v>131</v>
      </c>
    </row>
    <row r="553" spans="1:5" x14ac:dyDescent="0.25">
      <c r="A553" s="13">
        <v>39660869</v>
      </c>
      <c r="B553" s="11" t="s">
        <v>84</v>
      </c>
      <c r="C553" s="1" t="s">
        <v>1759</v>
      </c>
      <c r="D553" s="1" t="s">
        <v>38</v>
      </c>
      <c r="E553" s="1" t="s">
        <v>5</v>
      </c>
    </row>
    <row r="554" spans="1:5" x14ac:dyDescent="0.25">
      <c r="A554" s="13">
        <v>39674123</v>
      </c>
      <c r="B554" s="11" t="s">
        <v>84</v>
      </c>
      <c r="C554" s="1" t="s">
        <v>1758</v>
      </c>
      <c r="D554" s="1" t="s">
        <v>381</v>
      </c>
      <c r="E554" s="1" t="s">
        <v>26</v>
      </c>
    </row>
    <row r="555" spans="1:5" x14ac:dyDescent="0.25">
      <c r="A555" s="13">
        <v>39677706</v>
      </c>
      <c r="B555" s="11" t="s">
        <v>83</v>
      </c>
      <c r="C555" s="1" t="s">
        <v>1757</v>
      </c>
      <c r="D555" s="1" t="s">
        <v>129</v>
      </c>
      <c r="E555" s="1" t="s">
        <v>248</v>
      </c>
    </row>
    <row r="556" spans="1:5" x14ac:dyDescent="0.25">
      <c r="A556" s="13">
        <v>39681087</v>
      </c>
      <c r="B556" s="11" t="s">
        <v>83</v>
      </c>
      <c r="C556" s="1" t="s">
        <v>1756</v>
      </c>
      <c r="D556" s="1" t="s">
        <v>40</v>
      </c>
      <c r="E556" s="1" t="s">
        <v>23</v>
      </c>
    </row>
    <row r="557" spans="1:5" x14ac:dyDescent="0.25">
      <c r="A557" s="13">
        <v>39687347</v>
      </c>
      <c r="B557" s="11" t="s">
        <v>116</v>
      </c>
      <c r="C557" s="1" t="s">
        <v>1754</v>
      </c>
      <c r="D557" s="1" t="s">
        <v>117</v>
      </c>
      <c r="E557" s="1" t="s">
        <v>9</v>
      </c>
    </row>
    <row r="558" spans="1:5" x14ac:dyDescent="0.25">
      <c r="A558" s="13">
        <v>39695019</v>
      </c>
      <c r="B558" s="11" t="s">
        <v>116</v>
      </c>
      <c r="C558" s="1" t="s">
        <v>1753</v>
      </c>
      <c r="D558" s="1" t="s">
        <v>117</v>
      </c>
      <c r="E558" s="1" t="s">
        <v>12</v>
      </c>
    </row>
    <row r="559" spans="1:5" x14ac:dyDescent="0.25">
      <c r="A559" s="13">
        <v>39699572</v>
      </c>
      <c r="B559" s="11" t="s">
        <v>116</v>
      </c>
      <c r="C559" s="1" t="s">
        <v>1752</v>
      </c>
      <c r="D559" s="1" t="s">
        <v>117</v>
      </c>
      <c r="E559" s="1" t="s">
        <v>6</v>
      </c>
    </row>
    <row r="560" spans="1:5" x14ac:dyDescent="0.25">
      <c r="A560" s="13">
        <v>39702375</v>
      </c>
      <c r="B560" s="11" t="s">
        <v>116</v>
      </c>
      <c r="C560" s="1" t="s">
        <v>1751</v>
      </c>
      <c r="D560" s="1" t="s">
        <v>117</v>
      </c>
      <c r="E560" s="1" t="s">
        <v>263</v>
      </c>
    </row>
    <row r="561" spans="1:5" x14ac:dyDescent="0.25">
      <c r="A561" s="13">
        <v>39705534</v>
      </c>
      <c r="B561" s="11" t="s">
        <v>109</v>
      </c>
      <c r="C561" s="1" t="s">
        <v>1750</v>
      </c>
      <c r="D561" s="1" t="s">
        <v>131</v>
      </c>
      <c r="E561" s="1" t="s">
        <v>131</v>
      </c>
    </row>
    <row r="562" spans="1:5" x14ac:dyDescent="0.25">
      <c r="A562" s="13">
        <v>39711565</v>
      </c>
      <c r="B562" s="11" t="s">
        <v>84</v>
      </c>
      <c r="C562" s="1" t="s">
        <v>3204</v>
      </c>
      <c r="D562" s="1" t="s">
        <v>43</v>
      </c>
      <c r="E562" s="1" t="s">
        <v>168</v>
      </c>
    </row>
    <row r="563" spans="1:5" x14ac:dyDescent="0.25">
      <c r="A563" s="13">
        <v>39732468</v>
      </c>
      <c r="B563" s="11" t="s">
        <v>116</v>
      </c>
      <c r="C563" s="1" t="s">
        <v>1749</v>
      </c>
      <c r="D563" s="1" t="s">
        <v>117</v>
      </c>
      <c r="E563" s="1" t="s">
        <v>263</v>
      </c>
    </row>
    <row r="564" spans="1:5" x14ac:dyDescent="0.25">
      <c r="A564" s="13">
        <v>39735993</v>
      </c>
      <c r="B564" s="11" t="s">
        <v>116</v>
      </c>
      <c r="C564" s="1" t="s">
        <v>1748</v>
      </c>
      <c r="D564" s="1" t="s">
        <v>117</v>
      </c>
      <c r="E564" s="1" t="s">
        <v>7</v>
      </c>
    </row>
    <row r="565" spans="1:5" x14ac:dyDescent="0.25">
      <c r="A565" s="13">
        <v>39748928</v>
      </c>
      <c r="B565" s="11" t="s">
        <v>84</v>
      </c>
      <c r="C565" s="1" t="s">
        <v>1747</v>
      </c>
      <c r="D565" s="1" t="s">
        <v>38</v>
      </c>
      <c r="E565" s="1" t="s">
        <v>328</v>
      </c>
    </row>
    <row r="566" spans="1:5" x14ac:dyDescent="0.25">
      <c r="A566" s="13">
        <v>39755817</v>
      </c>
      <c r="B566" s="11" t="s">
        <v>116</v>
      </c>
      <c r="C566" s="1" t="s">
        <v>1746</v>
      </c>
      <c r="D566" s="1" t="s">
        <v>117</v>
      </c>
      <c r="E566" s="1" t="s">
        <v>86</v>
      </c>
    </row>
    <row r="567" spans="1:5" x14ac:dyDescent="0.25">
      <c r="A567" s="13">
        <v>39758805</v>
      </c>
      <c r="B567" s="11" t="s">
        <v>116</v>
      </c>
      <c r="C567" s="1" t="s">
        <v>1745</v>
      </c>
      <c r="D567" s="1" t="s">
        <v>117</v>
      </c>
      <c r="E567" s="1" t="s">
        <v>6</v>
      </c>
    </row>
    <row r="568" spans="1:5" x14ac:dyDescent="0.25">
      <c r="A568" s="13">
        <v>39763536</v>
      </c>
      <c r="B568" s="11" t="s">
        <v>83</v>
      </c>
      <c r="C568" s="1" t="s">
        <v>1744</v>
      </c>
      <c r="D568" s="1" t="s">
        <v>1222</v>
      </c>
      <c r="E568" s="1" t="s">
        <v>272</v>
      </c>
    </row>
    <row r="569" spans="1:5" x14ac:dyDescent="0.25">
      <c r="A569" s="13">
        <v>39774685</v>
      </c>
      <c r="B569" s="11" t="s">
        <v>84</v>
      </c>
      <c r="C569" s="1" t="s">
        <v>1743</v>
      </c>
      <c r="D569" s="1" t="s">
        <v>37</v>
      </c>
      <c r="E569" s="1" t="s">
        <v>29</v>
      </c>
    </row>
    <row r="570" spans="1:5" x14ac:dyDescent="0.25">
      <c r="A570" s="13">
        <v>39776097</v>
      </c>
      <c r="B570" s="11" t="s">
        <v>116</v>
      </c>
      <c r="C570" s="1" t="s">
        <v>1742</v>
      </c>
      <c r="D570" s="1" t="s">
        <v>117</v>
      </c>
      <c r="E570" s="1" t="s">
        <v>8</v>
      </c>
    </row>
    <row r="571" spans="1:5" x14ac:dyDescent="0.25">
      <c r="A571" s="13">
        <v>39779483</v>
      </c>
      <c r="B571" s="11" t="s">
        <v>109</v>
      </c>
      <c r="C571" s="1" t="s">
        <v>1741</v>
      </c>
      <c r="D571" s="1" t="s">
        <v>131</v>
      </c>
      <c r="E571" s="1" t="s">
        <v>131</v>
      </c>
    </row>
    <row r="572" spans="1:5" x14ac:dyDescent="0.25">
      <c r="A572" s="13">
        <v>39789781</v>
      </c>
      <c r="B572" s="11" t="s">
        <v>83</v>
      </c>
      <c r="C572" s="1" t="s">
        <v>1739</v>
      </c>
      <c r="D572" s="1" t="s">
        <v>1740</v>
      </c>
      <c r="E572" s="1" t="s">
        <v>300</v>
      </c>
    </row>
    <row r="573" spans="1:5" x14ac:dyDescent="0.25">
      <c r="A573" s="13">
        <v>39790838</v>
      </c>
      <c r="B573" s="11" t="s">
        <v>116</v>
      </c>
      <c r="C573" s="1" t="s">
        <v>1738</v>
      </c>
      <c r="D573" s="1" t="s">
        <v>117</v>
      </c>
      <c r="E573" s="1" t="s">
        <v>8</v>
      </c>
    </row>
    <row r="574" spans="1:5" x14ac:dyDescent="0.25">
      <c r="A574" s="13">
        <v>39797292</v>
      </c>
      <c r="B574" s="11" t="s">
        <v>84</v>
      </c>
      <c r="C574" s="1" t="s">
        <v>1737</v>
      </c>
      <c r="D574" s="1" t="s">
        <v>973</v>
      </c>
      <c r="E574" s="1" t="s">
        <v>27</v>
      </c>
    </row>
    <row r="575" spans="1:5" x14ac:dyDescent="0.25">
      <c r="A575" s="13">
        <v>40189087</v>
      </c>
      <c r="B575" s="11" t="s">
        <v>84</v>
      </c>
      <c r="C575" s="1" t="s">
        <v>1736</v>
      </c>
      <c r="D575" s="1" t="s">
        <v>43</v>
      </c>
      <c r="E575" s="1" t="s">
        <v>10</v>
      </c>
    </row>
    <row r="576" spans="1:5" x14ac:dyDescent="0.25">
      <c r="A576" s="13">
        <v>40205301</v>
      </c>
      <c r="B576" s="11" t="s">
        <v>116</v>
      </c>
      <c r="C576" s="1" t="s">
        <v>1735</v>
      </c>
      <c r="D576" s="1" t="s">
        <v>117</v>
      </c>
      <c r="E576" s="1" t="s">
        <v>263</v>
      </c>
    </row>
    <row r="577" spans="1:5" x14ac:dyDescent="0.25">
      <c r="A577" s="13">
        <v>40372651</v>
      </c>
      <c r="B577" s="11" t="s">
        <v>116</v>
      </c>
      <c r="C577" s="1" t="s">
        <v>1734</v>
      </c>
      <c r="D577" s="1" t="s">
        <v>117</v>
      </c>
      <c r="E577" s="1" t="s">
        <v>11</v>
      </c>
    </row>
    <row r="578" spans="1:5" x14ac:dyDescent="0.25">
      <c r="A578" s="13">
        <v>40387669</v>
      </c>
      <c r="B578" s="11" t="s">
        <v>116</v>
      </c>
      <c r="C578" s="1" t="s">
        <v>1733</v>
      </c>
      <c r="D578" s="1" t="s">
        <v>117</v>
      </c>
      <c r="E578" s="1" t="s">
        <v>6</v>
      </c>
    </row>
    <row r="579" spans="1:5" x14ac:dyDescent="0.25">
      <c r="A579" s="13">
        <v>40938639</v>
      </c>
      <c r="B579" s="11" t="s">
        <v>83</v>
      </c>
      <c r="C579" s="1" t="s">
        <v>1731</v>
      </c>
      <c r="D579" s="1" t="s">
        <v>151</v>
      </c>
      <c r="E579" s="1" t="s">
        <v>152</v>
      </c>
    </row>
    <row r="580" spans="1:5" x14ac:dyDescent="0.25">
      <c r="A580" s="13">
        <v>40941989</v>
      </c>
      <c r="B580" s="11" t="s">
        <v>83</v>
      </c>
      <c r="C580" s="1" t="s">
        <v>1730</v>
      </c>
      <c r="D580" s="1" t="s">
        <v>47</v>
      </c>
      <c r="E580" s="1" t="s">
        <v>17</v>
      </c>
    </row>
    <row r="581" spans="1:5" x14ac:dyDescent="0.25">
      <c r="A581" s="13">
        <v>41315635</v>
      </c>
      <c r="B581" s="11" t="s">
        <v>116</v>
      </c>
      <c r="C581" s="1" t="s">
        <v>1729</v>
      </c>
      <c r="D581" s="1" t="s">
        <v>117</v>
      </c>
      <c r="E581" s="1" t="s">
        <v>1276</v>
      </c>
    </row>
    <row r="582" spans="1:5" x14ac:dyDescent="0.25">
      <c r="A582" s="13">
        <v>41374298</v>
      </c>
      <c r="B582" s="11" t="s">
        <v>116</v>
      </c>
      <c r="C582" s="1" t="s">
        <v>1728</v>
      </c>
      <c r="D582" s="1" t="s">
        <v>117</v>
      </c>
      <c r="E582" s="1" t="s">
        <v>417</v>
      </c>
    </row>
    <row r="583" spans="1:5" x14ac:dyDescent="0.25">
      <c r="A583" s="13">
        <v>41382624</v>
      </c>
      <c r="B583" s="11" t="s">
        <v>116</v>
      </c>
      <c r="C583" s="1" t="s">
        <v>1727</v>
      </c>
      <c r="D583" s="1" t="s">
        <v>117</v>
      </c>
      <c r="E583" s="1" t="s">
        <v>10</v>
      </c>
    </row>
    <row r="584" spans="1:5" x14ac:dyDescent="0.25">
      <c r="A584" s="13">
        <v>41383191</v>
      </c>
      <c r="B584" s="11" t="s">
        <v>84</v>
      </c>
      <c r="C584" s="1" t="s">
        <v>1726</v>
      </c>
      <c r="D584" s="1" t="s">
        <v>38</v>
      </c>
      <c r="E584" s="1" t="s">
        <v>5</v>
      </c>
    </row>
    <row r="585" spans="1:5" x14ac:dyDescent="0.25">
      <c r="A585" s="13">
        <v>41383251</v>
      </c>
      <c r="B585" s="11" t="s">
        <v>109</v>
      </c>
      <c r="C585" s="1" t="s">
        <v>1725</v>
      </c>
      <c r="D585" s="1" t="s">
        <v>131</v>
      </c>
      <c r="E585" s="1" t="s">
        <v>131</v>
      </c>
    </row>
    <row r="586" spans="1:5" x14ac:dyDescent="0.25">
      <c r="A586" s="13">
        <v>41396087</v>
      </c>
      <c r="B586" s="11" t="s">
        <v>84</v>
      </c>
      <c r="C586" s="1" t="s">
        <v>1724</v>
      </c>
      <c r="D586" s="1" t="s">
        <v>43</v>
      </c>
      <c r="E586" s="1" t="s">
        <v>9</v>
      </c>
    </row>
    <row r="587" spans="1:5" x14ac:dyDescent="0.25">
      <c r="A587" s="13">
        <v>41414198</v>
      </c>
      <c r="B587" s="11" t="s">
        <v>116</v>
      </c>
      <c r="C587" s="1" t="s">
        <v>1723</v>
      </c>
      <c r="D587" s="1" t="s">
        <v>117</v>
      </c>
      <c r="E587" s="1" t="s">
        <v>333</v>
      </c>
    </row>
    <row r="588" spans="1:5" x14ac:dyDescent="0.25">
      <c r="A588" s="13">
        <v>41454954</v>
      </c>
      <c r="B588" s="11" t="s">
        <v>84</v>
      </c>
      <c r="C588" s="1" t="s">
        <v>1722</v>
      </c>
      <c r="D588" s="1" t="s">
        <v>43</v>
      </c>
      <c r="E588" s="1" t="s">
        <v>2</v>
      </c>
    </row>
    <row r="589" spans="1:5" x14ac:dyDescent="0.25">
      <c r="A589" s="13">
        <v>41457197</v>
      </c>
      <c r="B589" s="11" t="s">
        <v>83</v>
      </c>
      <c r="C589" s="1" t="s">
        <v>1721</v>
      </c>
      <c r="D589" s="1" t="s">
        <v>64</v>
      </c>
      <c r="E589" s="1" t="s">
        <v>25</v>
      </c>
    </row>
    <row r="590" spans="1:5" x14ac:dyDescent="0.25">
      <c r="A590" s="13">
        <v>41477720</v>
      </c>
      <c r="B590" s="11" t="s">
        <v>116</v>
      </c>
      <c r="C590" s="1" t="s">
        <v>1720</v>
      </c>
      <c r="D590" s="1" t="s">
        <v>117</v>
      </c>
      <c r="E590" s="1" t="s">
        <v>11</v>
      </c>
    </row>
    <row r="591" spans="1:5" x14ac:dyDescent="0.25">
      <c r="A591" s="13">
        <v>41480492</v>
      </c>
      <c r="B591" s="11" t="s">
        <v>109</v>
      </c>
      <c r="C591" s="1" t="s">
        <v>1719</v>
      </c>
      <c r="D591" s="1" t="s">
        <v>131</v>
      </c>
      <c r="E591" s="1" t="s">
        <v>131</v>
      </c>
    </row>
    <row r="592" spans="1:5" x14ac:dyDescent="0.25">
      <c r="A592" s="13">
        <v>41481499</v>
      </c>
      <c r="B592" s="11" t="s">
        <v>109</v>
      </c>
      <c r="C592" s="1" t="s">
        <v>1718</v>
      </c>
      <c r="D592" s="1" t="s">
        <v>131</v>
      </c>
      <c r="E592" s="1" t="s">
        <v>131</v>
      </c>
    </row>
    <row r="593" spans="1:5" x14ac:dyDescent="0.25">
      <c r="A593" s="13">
        <v>41489695</v>
      </c>
      <c r="B593" s="11" t="s">
        <v>109</v>
      </c>
      <c r="C593" s="1" t="s">
        <v>1717</v>
      </c>
      <c r="D593" s="1" t="s">
        <v>131</v>
      </c>
      <c r="E593" s="1" t="s">
        <v>131</v>
      </c>
    </row>
    <row r="594" spans="1:5" x14ac:dyDescent="0.25">
      <c r="A594" s="13">
        <v>41496029</v>
      </c>
      <c r="B594" s="11" t="s">
        <v>116</v>
      </c>
      <c r="C594" s="1" t="s">
        <v>1716</v>
      </c>
      <c r="D594" s="1" t="s">
        <v>117</v>
      </c>
      <c r="E594" s="1" t="s">
        <v>17</v>
      </c>
    </row>
    <row r="595" spans="1:5" x14ac:dyDescent="0.25">
      <c r="A595" s="13">
        <v>41502207</v>
      </c>
      <c r="B595" s="11" t="s">
        <v>116</v>
      </c>
      <c r="C595" s="1" t="s">
        <v>1715</v>
      </c>
      <c r="D595" s="1" t="s">
        <v>117</v>
      </c>
      <c r="E595" s="1" t="s">
        <v>179</v>
      </c>
    </row>
    <row r="596" spans="1:5" x14ac:dyDescent="0.25">
      <c r="A596" s="13">
        <v>41502278</v>
      </c>
      <c r="B596" s="11" t="s">
        <v>84</v>
      </c>
      <c r="C596" s="1" t="s">
        <v>1714</v>
      </c>
      <c r="D596" s="1" t="s">
        <v>43</v>
      </c>
      <c r="E596" s="1" t="s">
        <v>499</v>
      </c>
    </row>
    <row r="597" spans="1:5" x14ac:dyDescent="0.25">
      <c r="A597" s="13">
        <v>41515170</v>
      </c>
      <c r="B597" s="11" t="s">
        <v>109</v>
      </c>
      <c r="C597" s="1" t="s">
        <v>1713</v>
      </c>
      <c r="D597" s="1" t="s">
        <v>131</v>
      </c>
      <c r="E597" s="1" t="s">
        <v>131</v>
      </c>
    </row>
    <row r="598" spans="1:5" x14ac:dyDescent="0.25">
      <c r="A598" s="13">
        <v>41533153</v>
      </c>
      <c r="B598" s="11" t="s">
        <v>84</v>
      </c>
      <c r="C598" s="1" t="s">
        <v>1712</v>
      </c>
      <c r="D598" s="1" t="s">
        <v>43</v>
      </c>
      <c r="E598" s="1" t="s">
        <v>5</v>
      </c>
    </row>
    <row r="599" spans="1:5" x14ac:dyDescent="0.25">
      <c r="A599" s="13">
        <v>41540913</v>
      </c>
      <c r="B599" s="11" t="s">
        <v>84</v>
      </c>
      <c r="C599" s="1" t="s">
        <v>1711</v>
      </c>
      <c r="D599" s="1" t="s">
        <v>43</v>
      </c>
      <c r="E599" s="1" t="s">
        <v>417</v>
      </c>
    </row>
    <row r="600" spans="1:5" x14ac:dyDescent="0.25">
      <c r="A600" s="13">
        <v>41541462</v>
      </c>
      <c r="B600" s="11" t="s">
        <v>109</v>
      </c>
      <c r="C600" s="1" t="s">
        <v>1710</v>
      </c>
      <c r="D600" s="1" t="s">
        <v>131</v>
      </c>
      <c r="E600" s="1" t="s">
        <v>131</v>
      </c>
    </row>
    <row r="601" spans="1:5" x14ac:dyDescent="0.25">
      <c r="A601" s="13">
        <v>41559675</v>
      </c>
      <c r="B601" s="11" t="s">
        <v>84</v>
      </c>
      <c r="C601" s="1" t="s">
        <v>1709</v>
      </c>
      <c r="D601" s="1" t="s">
        <v>43</v>
      </c>
      <c r="E601" s="1" t="s">
        <v>5</v>
      </c>
    </row>
    <row r="602" spans="1:5" x14ac:dyDescent="0.25">
      <c r="A602" s="13">
        <v>41563401</v>
      </c>
      <c r="B602" s="11" t="s">
        <v>116</v>
      </c>
      <c r="C602" s="1" t="s">
        <v>1708</v>
      </c>
      <c r="D602" s="1" t="s">
        <v>117</v>
      </c>
      <c r="E602" s="1" t="s">
        <v>11</v>
      </c>
    </row>
    <row r="603" spans="1:5" x14ac:dyDescent="0.25">
      <c r="A603" s="13">
        <v>41582658</v>
      </c>
      <c r="B603" s="11" t="s">
        <v>84</v>
      </c>
      <c r="C603" s="1" t="s">
        <v>1706</v>
      </c>
      <c r="D603" s="1" t="s">
        <v>1707</v>
      </c>
      <c r="E603" s="1" t="s">
        <v>541</v>
      </c>
    </row>
    <row r="604" spans="1:5" x14ac:dyDescent="0.25">
      <c r="A604" s="13">
        <v>41606221</v>
      </c>
      <c r="B604" s="11" t="s">
        <v>84</v>
      </c>
      <c r="C604" s="1" t="s">
        <v>1705</v>
      </c>
      <c r="D604" s="1" t="s">
        <v>43</v>
      </c>
      <c r="E604" s="1" t="s">
        <v>186</v>
      </c>
    </row>
    <row r="605" spans="1:5" x14ac:dyDescent="0.25">
      <c r="A605" s="13">
        <v>41626194</v>
      </c>
      <c r="B605" s="11" t="s">
        <v>109</v>
      </c>
      <c r="C605" s="1" t="s">
        <v>1704</v>
      </c>
      <c r="D605" s="1" t="s">
        <v>131</v>
      </c>
      <c r="E605" s="1" t="s">
        <v>131</v>
      </c>
    </row>
    <row r="606" spans="1:5" x14ac:dyDescent="0.25">
      <c r="A606" s="13">
        <v>41633242</v>
      </c>
      <c r="B606" s="11" t="s">
        <v>109</v>
      </c>
      <c r="C606" s="1" t="s">
        <v>1703</v>
      </c>
      <c r="D606" s="1" t="s">
        <v>131</v>
      </c>
      <c r="E606" s="1" t="s">
        <v>131</v>
      </c>
    </row>
    <row r="607" spans="1:5" x14ac:dyDescent="0.25">
      <c r="A607" s="13">
        <v>41639419</v>
      </c>
      <c r="B607" s="11" t="s">
        <v>84</v>
      </c>
      <c r="C607" s="1" t="s">
        <v>1700</v>
      </c>
      <c r="D607" s="1" t="s">
        <v>1701</v>
      </c>
      <c r="E607" s="1" t="s">
        <v>1702</v>
      </c>
    </row>
    <row r="608" spans="1:5" x14ac:dyDescent="0.25">
      <c r="A608" s="13">
        <v>41644754</v>
      </c>
      <c r="B608" s="11" t="s">
        <v>116</v>
      </c>
      <c r="C608" s="1" t="s">
        <v>1699</v>
      </c>
      <c r="D608" s="1" t="s">
        <v>117</v>
      </c>
      <c r="E608" s="1" t="s">
        <v>3</v>
      </c>
    </row>
    <row r="609" spans="1:5" x14ac:dyDescent="0.25">
      <c r="A609" s="13">
        <v>41647697</v>
      </c>
      <c r="B609" s="11" t="s">
        <v>83</v>
      </c>
      <c r="C609" s="1" t="s">
        <v>1698</v>
      </c>
      <c r="D609" s="1" t="s">
        <v>1454</v>
      </c>
      <c r="E609" s="1" t="s">
        <v>17</v>
      </c>
    </row>
    <row r="610" spans="1:5" x14ac:dyDescent="0.25">
      <c r="A610" s="13">
        <v>41650455</v>
      </c>
      <c r="B610" s="11" t="s">
        <v>84</v>
      </c>
      <c r="C610" s="1" t="s">
        <v>1696</v>
      </c>
      <c r="D610" s="1" t="s">
        <v>203</v>
      </c>
      <c r="E610" s="1" t="s">
        <v>1697</v>
      </c>
    </row>
    <row r="611" spans="1:5" x14ac:dyDescent="0.25">
      <c r="A611" s="13">
        <v>41650735</v>
      </c>
      <c r="B611" s="11" t="s">
        <v>116</v>
      </c>
      <c r="C611" s="1" t="s">
        <v>1695</v>
      </c>
      <c r="D611" s="1" t="s">
        <v>117</v>
      </c>
      <c r="E611" s="1" t="s">
        <v>134</v>
      </c>
    </row>
    <row r="612" spans="1:5" x14ac:dyDescent="0.25">
      <c r="A612" s="13">
        <v>41656479</v>
      </c>
      <c r="B612" s="11" t="s">
        <v>84</v>
      </c>
      <c r="C612" s="1" t="s">
        <v>1694</v>
      </c>
      <c r="D612" s="1" t="s">
        <v>38</v>
      </c>
      <c r="E612" s="1" t="s">
        <v>3</v>
      </c>
    </row>
    <row r="613" spans="1:5" x14ac:dyDescent="0.25">
      <c r="A613" s="13">
        <v>41659754</v>
      </c>
      <c r="B613" s="11" t="s">
        <v>116</v>
      </c>
      <c r="C613" s="1" t="s">
        <v>1693</v>
      </c>
      <c r="D613" s="1" t="s">
        <v>117</v>
      </c>
      <c r="E613" s="1" t="s">
        <v>12</v>
      </c>
    </row>
    <row r="614" spans="1:5" x14ac:dyDescent="0.25">
      <c r="A614" s="13">
        <v>41663068</v>
      </c>
      <c r="B614" s="11" t="s">
        <v>116</v>
      </c>
      <c r="C614" s="1" t="s">
        <v>1692</v>
      </c>
      <c r="D614" s="1" t="s">
        <v>117</v>
      </c>
      <c r="E614" s="1" t="s">
        <v>179</v>
      </c>
    </row>
    <row r="615" spans="1:5" x14ac:dyDescent="0.25">
      <c r="A615" s="13">
        <v>41671240</v>
      </c>
      <c r="B615" s="11" t="s">
        <v>83</v>
      </c>
      <c r="C615" s="1" t="s">
        <v>1690</v>
      </c>
      <c r="D615" s="1" t="s">
        <v>1691</v>
      </c>
      <c r="E615" s="1" t="s">
        <v>20</v>
      </c>
    </row>
    <row r="616" spans="1:5" x14ac:dyDescent="0.25">
      <c r="A616" s="13">
        <v>41679948</v>
      </c>
      <c r="B616" s="11" t="s">
        <v>109</v>
      </c>
      <c r="C616" s="1" t="s">
        <v>1689</v>
      </c>
      <c r="D616" s="1" t="s">
        <v>131</v>
      </c>
      <c r="E616" s="1" t="s">
        <v>131</v>
      </c>
    </row>
    <row r="617" spans="1:5" x14ac:dyDescent="0.25">
      <c r="A617" s="13">
        <v>41689751</v>
      </c>
      <c r="B617" s="11" t="s">
        <v>116</v>
      </c>
      <c r="C617" s="1" t="s">
        <v>1687</v>
      </c>
      <c r="D617" s="1" t="s">
        <v>117</v>
      </c>
      <c r="E617" s="1" t="s">
        <v>9</v>
      </c>
    </row>
    <row r="618" spans="1:5" x14ac:dyDescent="0.25">
      <c r="A618" s="13">
        <v>41696271</v>
      </c>
      <c r="B618" s="11" t="s">
        <v>116</v>
      </c>
      <c r="C618" s="1" t="s">
        <v>1686</v>
      </c>
      <c r="D618" s="1" t="s">
        <v>117</v>
      </c>
      <c r="E618" s="1" t="s">
        <v>491</v>
      </c>
    </row>
    <row r="619" spans="1:5" x14ac:dyDescent="0.25">
      <c r="A619" s="13">
        <v>41698047</v>
      </c>
      <c r="B619" s="11" t="s">
        <v>84</v>
      </c>
      <c r="C619" s="1" t="s">
        <v>1685</v>
      </c>
      <c r="D619" s="1" t="s">
        <v>203</v>
      </c>
      <c r="E619" s="1" t="s">
        <v>417</v>
      </c>
    </row>
    <row r="620" spans="1:5" x14ac:dyDescent="0.25">
      <c r="A620" s="13">
        <v>41705297</v>
      </c>
      <c r="B620" s="11" t="s">
        <v>109</v>
      </c>
      <c r="C620" s="1" t="s">
        <v>1684</v>
      </c>
      <c r="D620" s="1" t="s">
        <v>1158</v>
      </c>
      <c r="E620" s="1" t="s">
        <v>1107</v>
      </c>
    </row>
    <row r="621" spans="1:5" x14ac:dyDescent="0.25">
      <c r="A621" s="13">
        <v>41708898</v>
      </c>
      <c r="B621" s="11" t="s">
        <v>84</v>
      </c>
      <c r="C621" s="1" t="s">
        <v>1683</v>
      </c>
      <c r="D621" s="1" t="s">
        <v>1454</v>
      </c>
      <c r="E621" s="1" t="s">
        <v>26</v>
      </c>
    </row>
    <row r="622" spans="1:5" x14ac:dyDescent="0.25">
      <c r="A622" s="13">
        <v>41710081</v>
      </c>
      <c r="B622" s="11" t="s">
        <v>84</v>
      </c>
      <c r="C622" s="1" t="s">
        <v>1682</v>
      </c>
      <c r="D622" s="1" t="s">
        <v>38</v>
      </c>
      <c r="E622" s="1" t="s">
        <v>170</v>
      </c>
    </row>
    <row r="623" spans="1:5" x14ac:dyDescent="0.25">
      <c r="A623" s="13">
        <v>41712506</v>
      </c>
      <c r="B623" s="11" t="s">
        <v>116</v>
      </c>
      <c r="C623" s="1" t="s">
        <v>1681</v>
      </c>
      <c r="D623" s="1" t="s">
        <v>117</v>
      </c>
      <c r="E623" s="1" t="s">
        <v>417</v>
      </c>
    </row>
    <row r="624" spans="1:5" x14ac:dyDescent="0.25">
      <c r="A624" s="13">
        <v>41722461</v>
      </c>
      <c r="B624" s="11" t="s">
        <v>116</v>
      </c>
      <c r="C624" s="1" t="s">
        <v>1680</v>
      </c>
      <c r="D624" s="1" t="s">
        <v>117</v>
      </c>
      <c r="E624" s="1" t="s">
        <v>10</v>
      </c>
    </row>
    <row r="625" spans="1:5" x14ac:dyDescent="0.25">
      <c r="A625" s="13">
        <v>41722971</v>
      </c>
      <c r="B625" s="11" t="s">
        <v>84</v>
      </c>
      <c r="C625" s="1" t="s">
        <v>1679</v>
      </c>
      <c r="D625" s="1" t="s">
        <v>172</v>
      </c>
      <c r="E625" s="1" t="s">
        <v>85</v>
      </c>
    </row>
    <row r="626" spans="1:5" x14ac:dyDescent="0.25">
      <c r="A626" s="13">
        <v>41731636</v>
      </c>
      <c r="B626" s="11" t="s">
        <v>109</v>
      </c>
      <c r="C626" s="1" t="s">
        <v>1678</v>
      </c>
      <c r="D626" s="1" t="s">
        <v>131</v>
      </c>
      <c r="E626" s="1" t="s">
        <v>131</v>
      </c>
    </row>
    <row r="627" spans="1:5" x14ac:dyDescent="0.25">
      <c r="A627" s="13">
        <v>41738471</v>
      </c>
      <c r="B627" s="11" t="s">
        <v>116</v>
      </c>
      <c r="C627" s="1" t="s">
        <v>1677</v>
      </c>
      <c r="D627" s="1" t="s">
        <v>117</v>
      </c>
      <c r="E627" s="1" t="s">
        <v>179</v>
      </c>
    </row>
    <row r="628" spans="1:5" x14ac:dyDescent="0.25">
      <c r="A628" s="13">
        <v>41757698</v>
      </c>
      <c r="B628" s="11" t="s">
        <v>84</v>
      </c>
      <c r="C628" s="1" t="s">
        <v>1676</v>
      </c>
      <c r="D628" s="1" t="s">
        <v>973</v>
      </c>
      <c r="E628" s="1" t="s">
        <v>29</v>
      </c>
    </row>
    <row r="629" spans="1:5" x14ac:dyDescent="0.25">
      <c r="A629" s="13">
        <v>41761260</v>
      </c>
      <c r="B629" s="11" t="s">
        <v>109</v>
      </c>
      <c r="C629" s="1" t="s">
        <v>1675</v>
      </c>
      <c r="D629" s="1" t="s">
        <v>131</v>
      </c>
      <c r="E629" s="1" t="s">
        <v>131</v>
      </c>
    </row>
    <row r="630" spans="1:5" x14ac:dyDescent="0.25">
      <c r="A630" s="13">
        <v>41762578</v>
      </c>
      <c r="B630" s="11" t="s">
        <v>116</v>
      </c>
      <c r="C630" s="1" t="s">
        <v>1674</v>
      </c>
      <c r="D630" s="1" t="s">
        <v>117</v>
      </c>
      <c r="E630" s="1" t="s">
        <v>333</v>
      </c>
    </row>
    <row r="631" spans="1:5" x14ac:dyDescent="0.25">
      <c r="A631" s="13">
        <v>41763824</v>
      </c>
      <c r="B631" s="11" t="s">
        <v>84</v>
      </c>
      <c r="C631" s="1" t="s">
        <v>1673</v>
      </c>
      <c r="D631" s="1" t="s">
        <v>38</v>
      </c>
      <c r="E631" s="1" t="s">
        <v>10</v>
      </c>
    </row>
    <row r="632" spans="1:5" x14ac:dyDescent="0.25">
      <c r="A632" s="13">
        <v>41765896</v>
      </c>
      <c r="B632" s="11" t="s">
        <v>116</v>
      </c>
      <c r="C632" s="1" t="s">
        <v>1672</v>
      </c>
      <c r="D632" s="1" t="s">
        <v>117</v>
      </c>
      <c r="E632" s="1" t="s">
        <v>12</v>
      </c>
    </row>
    <row r="633" spans="1:5" x14ac:dyDescent="0.25">
      <c r="A633" s="13">
        <v>41766634</v>
      </c>
      <c r="B633" s="11" t="s">
        <v>84</v>
      </c>
      <c r="C633" s="1" t="s">
        <v>1671</v>
      </c>
      <c r="D633" s="1" t="s">
        <v>38</v>
      </c>
      <c r="E633" s="1" t="s">
        <v>5</v>
      </c>
    </row>
    <row r="634" spans="1:5" x14ac:dyDescent="0.25">
      <c r="A634" s="13">
        <v>41766690</v>
      </c>
      <c r="B634" s="11" t="s">
        <v>109</v>
      </c>
      <c r="C634" s="1" t="s">
        <v>1670</v>
      </c>
      <c r="D634" s="1" t="s">
        <v>131</v>
      </c>
      <c r="E634" s="1" t="s">
        <v>131</v>
      </c>
    </row>
    <row r="635" spans="1:5" x14ac:dyDescent="0.25">
      <c r="A635" s="13">
        <v>41766902</v>
      </c>
      <c r="B635" s="11" t="s">
        <v>109</v>
      </c>
      <c r="C635" s="1" t="s">
        <v>1670</v>
      </c>
      <c r="D635" s="1" t="s">
        <v>131</v>
      </c>
      <c r="E635" s="1" t="s">
        <v>131</v>
      </c>
    </row>
    <row r="636" spans="1:5" x14ac:dyDescent="0.25">
      <c r="A636" s="13">
        <v>41770032</v>
      </c>
      <c r="B636" s="11" t="s">
        <v>116</v>
      </c>
      <c r="C636" s="1" t="s">
        <v>3205</v>
      </c>
      <c r="D636" s="1" t="s">
        <v>117</v>
      </c>
      <c r="E636" s="1" t="s">
        <v>12</v>
      </c>
    </row>
    <row r="637" spans="1:5" x14ac:dyDescent="0.25">
      <c r="A637" s="13">
        <v>41779466</v>
      </c>
      <c r="B637" s="11" t="s">
        <v>84</v>
      </c>
      <c r="C637" s="1" t="s">
        <v>1669</v>
      </c>
      <c r="D637" s="1" t="s">
        <v>38</v>
      </c>
      <c r="E637" s="1" t="s">
        <v>186</v>
      </c>
    </row>
    <row r="638" spans="1:5" x14ac:dyDescent="0.25">
      <c r="A638" s="13">
        <v>41784237</v>
      </c>
      <c r="B638" s="11" t="s">
        <v>116</v>
      </c>
      <c r="C638" s="1" t="s">
        <v>1668</v>
      </c>
      <c r="D638" s="1" t="s">
        <v>117</v>
      </c>
      <c r="E638" s="1" t="s">
        <v>127</v>
      </c>
    </row>
    <row r="639" spans="1:5" x14ac:dyDescent="0.25">
      <c r="A639" s="13">
        <v>41788399</v>
      </c>
      <c r="B639" s="11" t="s">
        <v>84</v>
      </c>
      <c r="C639" s="1" t="s">
        <v>1666</v>
      </c>
      <c r="D639" s="1" t="s">
        <v>1667</v>
      </c>
      <c r="E639" s="1" t="s">
        <v>17</v>
      </c>
    </row>
    <row r="640" spans="1:5" x14ac:dyDescent="0.25">
      <c r="A640" s="13">
        <v>41902229</v>
      </c>
      <c r="B640" s="11" t="s">
        <v>116</v>
      </c>
      <c r="C640" s="1" t="s">
        <v>1664</v>
      </c>
      <c r="D640" s="1" t="s">
        <v>117</v>
      </c>
      <c r="E640" s="1" t="s">
        <v>147</v>
      </c>
    </row>
    <row r="641" spans="1:5" x14ac:dyDescent="0.25">
      <c r="A641" s="13">
        <v>41909746</v>
      </c>
      <c r="B641" s="11" t="s">
        <v>116</v>
      </c>
      <c r="C641" s="1" t="s">
        <v>1663</v>
      </c>
      <c r="D641" s="1" t="s">
        <v>117</v>
      </c>
      <c r="E641" s="1" t="s">
        <v>10</v>
      </c>
    </row>
    <row r="642" spans="1:5" x14ac:dyDescent="0.25">
      <c r="A642" s="13">
        <v>41915156</v>
      </c>
      <c r="B642" s="11" t="s">
        <v>116</v>
      </c>
      <c r="C642" s="1" t="s">
        <v>1662</v>
      </c>
      <c r="D642" s="1" t="s">
        <v>117</v>
      </c>
      <c r="E642" s="1" t="s">
        <v>10</v>
      </c>
    </row>
    <row r="643" spans="1:5" x14ac:dyDescent="0.25">
      <c r="A643" s="13">
        <v>41928445</v>
      </c>
      <c r="B643" s="11" t="s">
        <v>116</v>
      </c>
      <c r="C643" s="1" t="s">
        <v>1661</v>
      </c>
      <c r="D643" s="1" t="s">
        <v>117</v>
      </c>
      <c r="E643" s="1" t="s">
        <v>336</v>
      </c>
    </row>
    <row r="644" spans="1:5" x14ac:dyDescent="0.25">
      <c r="A644" s="13">
        <v>41939325</v>
      </c>
      <c r="B644" s="11" t="s">
        <v>84</v>
      </c>
      <c r="C644" s="1" t="s">
        <v>1660</v>
      </c>
      <c r="D644" s="1" t="s">
        <v>1381</v>
      </c>
      <c r="E644" s="1" t="s">
        <v>17</v>
      </c>
    </row>
    <row r="645" spans="1:5" x14ac:dyDescent="0.25">
      <c r="A645" s="13">
        <v>41948261</v>
      </c>
      <c r="B645" s="11" t="s">
        <v>83</v>
      </c>
      <c r="C645" s="1" t="s">
        <v>1659</v>
      </c>
      <c r="D645" s="1" t="s">
        <v>1298</v>
      </c>
      <c r="E645" s="1" t="s">
        <v>300</v>
      </c>
    </row>
    <row r="646" spans="1:5" x14ac:dyDescent="0.25">
      <c r="A646" s="13">
        <v>41948785</v>
      </c>
      <c r="B646" s="11" t="s">
        <v>109</v>
      </c>
      <c r="C646" s="1" t="s">
        <v>1658</v>
      </c>
      <c r="D646" s="1" t="s">
        <v>131</v>
      </c>
      <c r="E646" s="1" t="s">
        <v>131</v>
      </c>
    </row>
    <row r="647" spans="1:5" x14ac:dyDescent="0.25">
      <c r="A647" s="13">
        <v>42117522</v>
      </c>
      <c r="B647" s="11" t="s">
        <v>116</v>
      </c>
      <c r="C647" s="1" t="s">
        <v>1657</v>
      </c>
      <c r="D647" s="1" t="s">
        <v>117</v>
      </c>
      <c r="E647" s="1" t="s">
        <v>10</v>
      </c>
    </row>
    <row r="648" spans="1:5" x14ac:dyDescent="0.25">
      <c r="A648" s="13">
        <v>42874500</v>
      </c>
      <c r="B648" s="11" t="s">
        <v>84</v>
      </c>
      <c r="C648" s="1" t="s">
        <v>1654</v>
      </c>
      <c r="D648" s="1" t="s">
        <v>38</v>
      </c>
      <c r="E648" s="1" t="s">
        <v>597</v>
      </c>
    </row>
    <row r="649" spans="1:5" x14ac:dyDescent="0.25">
      <c r="A649" s="13">
        <v>43055666</v>
      </c>
      <c r="B649" s="11" t="s">
        <v>109</v>
      </c>
      <c r="C649" s="1" t="s">
        <v>1650</v>
      </c>
      <c r="D649" s="1" t="s">
        <v>1651</v>
      </c>
      <c r="E649" s="1" t="s">
        <v>1652</v>
      </c>
    </row>
    <row r="650" spans="1:5" x14ac:dyDescent="0.25">
      <c r="A650" s="13">
        <v>43201521</v>
      </c>
      <c r="B650" s="11" t="s">
        <v>116</v>
      </c>
      <c r="C650" s="1" t="s">
        <v>1649</v>
      </c>
      <c r="D650" s="1" t="s">
        <v>117</v>
      </c>
      <c r="E650" s="1" t="s">
        <v>2</v>
      </c>
    </row>
    <row r="651" spans="1:5" x14ac:dyDescent="0.25">
      <c r="A651" s="13">
        <v>43275058</v>
      </c>
      <c r="B651" s="11" t="s">
        <v>116</v>
      </c>
      <c r="C651" s="1" t="s">
        <v>1647</v>
      </c>
      <c r="D651" s="1" t="s">
        <v>117</v>
      </c>
      <c r="E651" s="1" t="s">
        <v>7</v>
      </c>
    </row>
    <row r="652" spans="1:5" x14ac:dyDescent="0.25">
      <c r="A652" s="13">
        <v>43421718</v>
      </c>
      <c r="B652" s="11" t="s">
        <v>116</v>
      </c>
      <c r="C652" s="1" t="s">
        <v>1646</v>
      </c>
      <c r="D652" s="1" t="s">
        <v>117</v>
      </c>
      <c r="E652" s="1" t="s">
        <v>10</v>
      </c>
    </row>
    <row r="653" spans="1:5" x14ac:dyDescent="0.25">
      <c r="A653" s="13">
        <v>43578135</v>
      </c>
      <c r="B653" s="11" t="s">
        <v>116</v>
      </c>
      <c r="C653" s="1" t="s">
        <v>1645</v>
      </c>
      <c r="D653" s="1" t="s">
        <v>117</v>
      </c>
      <c r="E653" s="1" t="s">
        <v>491</v>
      </c>
    </row>
    <row r="654" spans="1:5" x14ac:dyDescent="0.25">
      <c r="A654" s="13">
        <v>43597485</v>
      </c>
      <c r="B654" s="11" t="s">
        <v>116</v>
      </c>
      <c r="C654" s="1" t="s">
        <v>1644</v>
      </c>
      <c r="D654" s="1" t="s">
        <v>117</v>
      </c>
      <c r="E654" s="1" t="s">
        <v>134</v>
      </c>
    </row>
    <row r="655" spans="1:5" x14ac:dyDescent="0.25">
      <c r="A655" s="13">
        <v>43633553</v>
      </c>
      <c r="B655" s="11" t="s">
        <v>83</v>
      </c>
      <c r="C655" s="1" t="s">
        <v>1643</v>
      </c>
      <c r="D655" s="1" t="s">
        <v>1077</v>
      </c>
      <c r="E655" s="1" t="s">
        <v>31</v>
      </c>
    </row>
    <row r="656" spans="1:5" x14ac:dyDescent="0.25">
      <c r="A656" s="13">
        <v>43758647</v>
      </c>
      <c r="B656" s="11" t="s">
        <v>84</v>
      </c>
      <c r="C656" s="1" t="s">
        <v>1642</v>
      </c>
      <c r="D656" s="1" t="s">
        <v>43</v>
      </c>
      <c r="E656" s="1" t="s">
        <v>127</v>
      </c>
    </row>
    <row r="657" spans="1:5" x14ac:dyDescent="0.25">
      <c r="A657" s="13">
        <v>45455721</v>
      </c>
      <c r="B657" s="11" t="s">
        <v>116</v>
      </c>
      <c r="C657" s="1" t="s">
        <v>1639</v>
      </c>
      <c r="D657" s="1" t="s">
        <v>117</v>
      </c>
      <c r="E657" s="1" t="s">
        <v>170</v>
      </c>
    </row>
    <row r="658" spans="1:5" x14ac:dyDescent="0.25">
      <c r="A658" s="13">
        <v>45474894</v>
      </c>
      <c r="B658" s="11" t="s">
        <v>83</v>
      </c>
      <c r="C658" s="1" t="s">
        <v>1638</v>
      </c>
      <c r="D658" s="1" t="s">
        <v>42</v>
      </c>
      <c r="E658" s="1" t="s">
        <v>4</v>
      </c>
    </row>
    <row r="659" spans="1:5" x14ac:dyDescent="0.25">
      <c r="A659" s="13">
        <v>45505403</v>
      </c>
      <c r="B659" s="11" t="s">
        <v>116</v>
      </c>
      <c r="C659" s="1" t="s">
        <v>1637</v>
      </c>
      <c r="D659" s="1" t="s">
        <v>117</v>
      </c>
      <c r="E659" s="1" t="s">
        <v>237</v>
      </c>
    </row>
    <row r="660" spans="1:5" x14ac:dyDescent="0.25">
      <c r="A660" s="13">
        <v>46358383</v>
      </c>
      <c r="B660" s="11" t="s">
        <v>83</v>
      </c>
      <c r="C660" s="1" t="s">
        <v>1635</v>
      </c>
      <c r="D660" s="1" t="s">
        <v>40</v>
      </c>
      <c r="E660" s="1" t="s">
        <v>23</v>
      </c>
    </row>
    <row r="661" spans="1:5" x14ac:dyDescent="0.25">
      <c r="A661" s="13">
        <v>46452611</v>
      </c>
      <c r="B661" s="11" t="s">
        <v>83</v>
      </c>
      <c r="C661" s="1" t="s">
        <v>1634</v>
      </c>
      <c r="D661" s="1" t="s">
        <v>1077</v>
      </c>
      <c r="E661" s="1" t="s">
        <v>16</v>
      </c>
    </row>
    <row r="662" spans="1:5" x14ac:dyDescent="0.25">
      <c r="A662" s="13">
        <v>46454903</v>
      </c>
      <c r="B662" s="11" t="s">
        <v>84</v>
      </c>
      <c r="C662" s="1" t="s">
        <v>1633</v>
      </c>
      <c r="D662" s="1" t="s">
        <v>38</v>
      </c>
      <c r="E662" s="1" t="s">
        <v>15</v>
      </c>
    </row>
    <row r="663" spans="1:5" x14ac:dyDescent="0.25">
      <c r="A663" s="13">
        <v>46456143</v>
      </c>
      <c r="B663" s="11" t="s">
        <v>83</v>
      </c>
      <c r="C663" s="1" t="s">
        <v>1632</v>
      </c>
      <c r="D663" s="1" t="s">
        <v>3206</v>
      </c>
      <c r="E663" s="1" t="s">
        <v>20</v>
      </c>
    </row>
    <row r="664" spans="1:5" x14ac:dyDescent="0.25">
      <c r="A664" s="13">
        <v>46667887</v>
      </c>
      <c r="B664" s="11" t="s">
        <v>116</v>
      </c>
      <c r="C664" s="1" t="s">
        <v>1631</v>
      </c>
      <c r="D664" s="1" t="s">
        <v>117</v>
      </c>
      <c r="E664" s="1" t="s">
        <v>12</v>
      </c>
    </row>
    <row r="665" spans="1:5" x14ac:dyDescent="0.25">
      <c r="A665" s="13">
        <v>46669765</v>
      </c>
      <c r="B665" s="11" t="s">
        <v>116</v>
      </c>
      <c r="C665" s="1" t="s">
        <v>1630</v>
      </c>
      <c r="D665" s="1" t="s">
        <v>117</v>
      </c>
      <c r="E665" s="1" t="s">
        <v>12</v>
      </c>
    </row>
    <row r="666" spans="1:5" x14ac:dyDescent="0.25">
      <c r="A666" s="13">
        <v>49724017</v>
      </c>
      <c r="B666" s="11" t="s">
        <v>116</v>
      </c>
      <c r="C666" s="1" t="s">
        <v>1625</v>
      </c>
      <c r="D666" s="1" t="s">
        <v>117</v>
      </c>
      <c r="E666" s="1" t="s">
        <v>168</v>
      </c>
    </row>
    <row r="667" spans="1:5" x14ac:dyDescent="0.25">
      <c r="A667" s="13">
        <v>50894279</v>
      </c>
      <c r="B667" s="11" t="s">
        <v>109</v>
      </c>
      <c r="C667" s="1" t="s">
        <v>1623</v>
      </c>
      <c r="D667" s="1" t="s">
        <v>131</v>
      </c>
      <c r="E667" s="1" t="s">
        <v>131</v>
      </c>
    </row>
    <row r="668" spans="1:5" x14ac:dyDescent="0.25">
      <c r="A668" s="13">
        <v>50975148</v>
      </c>
      <c r="B668" s="11" t="s">
        <v>83</v>
      </c>
      <c r="C668" s="1" t="s">
        <v>1622</v>
      </c>
      <c r="D668" s="1" t="s">
        <v>72</v>
      </c>
      <c r="E668" s="1" t="s">
        <v>23</v>
      </c>
    </row>
    <row r="669" spans="1:5" x14ac:dyDescent="0.25">
      <c r="A669" s="13">
        <v>50993200</v>
      </c>
      <c r="B669" s="11" t="s">
        <v>116</v>
      </c>
      <c r="C669" s="1" t="s">
        <v>1621</v>
      </c>
      <c r="D669" s="1" t="s">
        <v>117</v>
      </c>
      <c r="E669" s="1" t="s">
        <v>263</v>
      </c>
    </row>
    <row r="670" spans="1:5" x14ac:dyDescent="0.25">
      <c r="A670" s="13">
        <v>51541462</v>
      </c>
      <c r="B670" s="11" t="s">
        <v>109</v>
      </c>
      <c r="C670" s="1" t="s">
        <v>1620</v>
      </c>
      <c r="D670" s="1" t="s">
        <v>131</v>
      </c>
      <c r="E670" s="1" t="s">
        <v>131</v>
      </c>
    </row>
    <row r="671" spans="1:5" x14ac:dyDescent="0.25">
      <c r="A671" s="13">
        <v>51555582</v>
      </c>
      <c r="B671" s="11" t="s">
        <v>84</v>
      </c>
      <c r="C671" s="1" t="s">
        <v>1619</v>
      </c>
      <c r="D671" s="1" t="s">
        <v>38</v>
      </c>
      <c r="E671" s="1" t="s">
        <v>3</v>
      </c>
    </row>
    <row r="672" spans="1:5" x14ac:dyDescent="0.25">
      <c r="A672" s="13">
        <v>51560498</v>
      </c>
      <c r="B672" s="11" t="s">
        <v>109</v>
      </c>
      <c r="C672" s="1" t="s">
        <v>1618</v>
      </c>
      <c r="D672" s="1" t="s">
        <v>131</v>
      </c>
      <c r="E672" s="1" t="s">
        <v>131</v>
      </c>
    </row>
    <row r="673" spans="1:5" x14ac:dyDescent="0.25">
      <c r="A673" s="13">
        <v>51566332</v>
      </c>
      <c r="B673" s="11" t="s">
        <v>84</v>
      </c>
      <c r="C673" s="1" t="s">
        <v>1617</v>
      </c>
      <c r="D673" s="1" t="s">
        <v>70</v>
      </c>
      <c r="E673" s="1" t="s">
        <v>1</v>
      </c>
    </row>
    <row r="674" spans="1:5" x14ac:dyDescent="0.25">
      <c r="A674" s="13">
        <v>51588386</v>
      </c>
      <c r="B674" s="11" t="s">
        <v>83</v>
      </c>
      <c r="C674" s="1" t="s">
        <v>1615</v>
      </c>
      <c r="D674" s="1" t="s">
        <v>1616</v>
      </c>
      <c r="E674" s="1" t="s">
        <v>4</v>
      </c>
    </row>
    <row r="675" spans="1:5" x14ac:dyDescent="0.25">
      <c r="A675" s="13">
        <v>51589145</v>
      </c>
      <c r="B675" s="11" t="s">
        <v>116</v>
      </c>
      <c r="C675" s="1" t="s">
        <v>1614</v>
      </c>
      <c r="D675" s="1" t="s">
        <v>117</v>
      </c>
      <c r="E675" s="1" t="s">
        <v>958</v>
      </c>
    </row>
    <row r="676" spans="1:5" x14ac:dyDescent="0.25">
      <c r="A676" s="13">
        <v>51589222</v>
      </c>
      <c r="B676" s="11" t="s">
        <v>84</v>
      </c>
      <c r="C676" s="1" t="s">
        <v>1612</v>
      </c>
      <c r="D676" s="1" t="s">
        <v>1613</v>
      </c>
      <c r="E676" s="1" t="s">
        <v>1531</v>
      </c>
    </row>
    <row r="677" spans="1:5" x14ac:dyDescent="0.25">
      <c r="A677" s="13">
        <v>51593854</v>
      </c>
      <c r="B677" s="11" t="s">
        <v>83</v>
      </c>
      <c r="C677" s="1" t="s">
        <v>1611</v>
      </c>
      <c r="D677" s="1" t="s">
        <v>1381</v>
      </c>
      <c r="E677" s="1" t="s">
        <v>272</v>
      </c>
    </row>
    <row r="678" spans="1:5" x14ac:dyDescent="0.25">
      <c r="A678" s="13">
        <v>51595679</v>
      </c>
      <c r="B678" s="11" t="s">
        <v>109</v>
      </c>
      <c r="C678" s="1" t="s">
        <v>1610</v>
      </c>
      <c r="D678" s="1" t="s">
        <v>131</v>
      </c>
      <c r="E678" s="1" t="s">
        <v>131</v>
      </c>
    </row>
    <row r="679" spans="1:5" x14ac:dyDescent="0.25">
      <c r="A679" s="13">
        <v>51598163</v>
      </c>
      <c r="B679" s="11" t="s">
        <v>116</v>
      </c>
      <c r="C679" s="1" t="s">
        <v>1609</v>
      </c>
      <c r="D679" s="1" t="s">
        <v>117</v>
      </c>
      <c r="E679" s="1" t="s">
        <v>12</v>
      </c>
    </row>
    <row r="680" spans="1:5" x14ac:dyDescent="0.25">
      <c r="A680" s="13">
        <v>51601883</v>
      </c>
      <c r="B680" s="11" t="s">
        <v>109</v>
      </c>
      <c r="C680" s="1" t="s">
        <v>1608</v>
      </c>
      <c r="D680" s="1" t="s">
        <v>131</v>
      </c>
      <c r="E680" s="1" t="s">
        <v>131</v>
      </c>
    </row>
    <row r="681" spans="1:5" x14ac:dyDescent="0.25">
      <c r="A681" s="13">
        <v>51625497</v>
      </c>
      <c r="B681" s="11" t="s">
        <v>116</v>
      </c>
      <c r="C681" s="1" t="s">
        <v>1607</v>
      </c>
      <c r="D681" s="1" t="s">
        <v>117</v>
      </c>
      <c r="E681" s="1" t="s">
        <v>11</v>
      </c>
    </row>
    <row r="682" spans="1:5" x14ac:dyDescent="0.25">
      <c r="A682" s="13">
        <v>51630547</v>
      </c>
      <c r="B682" s="11" t="s">
        <v>116</v>
      </c>
      <c r="C682" s="1" t="s">
        <v>1606</v>
      </c>
      <c r="D682" s="1" t="s">
        <v>117</v>
      </c>
      <c r="E682" s="1" t="s">
        <v>179</v>
      </c>
    </row>
    <row r="683" spans="1:5" x14ac:dyDescent="0.25">
      <c r="A683" s="13">
        <v>51636699</v>
      </c>
      <c r="B683" s="11" t="s">
        <v>116</v>
      </c>
      <c r="C683" s="1" t="s">
        <v>1605</v>
      </c>
      <c r="D683" s="1" t="s">
        <v>117</v>
      </c>
      <c r="E683" s="1" t="s">
        <v>147</v>
      </c>
    </row>
    <row r="684" spans="1:5" x14ac:dyDescent="0.25">
      <c r="A684" s="13">
        <v>51637305</v>
      </c>
      <c r="B684" s="11" t="s">
        <v>116</v>
      </c>
      <c r="C684" s="1" t="s">
        <v>1604</v>
      </c>
      <c r="D684" s="1" t="s">
        <v>117</v>
      </c>
      <c r="E684" s="1" t="s">
        <v>127</v>
      </c>
    </row>
    <row r="685" spans="1:5" x14ac:dyDescent="0.25">
      <c r="A685" s="13">
        <v>51646376</v>
      </c>
      <c r="B685" s="11" t="s">
        <v>116</v>
      </c>
      <c r="C685" s="1" t="s">
        <v>1603</v>
      </c>
      <c r="D685" s="1" t="s">
        <v>117</v>
      </c>
      <c r="E685" s="1" t="s">
        <v>336</v>
      </c>
    </row>
    <row r="686" spans="1:5" x14ac:dyDescent="0.25">
      <c r="A686" s="13">
        <v>51646454</v>
      </c>
      <c r="B686" s="11" t="s">
        <v>83</v>
      </c>
      <c r="C686" s="1" t="s">
        <v>1602</v>
      </c>
      <c r="D686" s="1" t="s">
        <v>1298</v>
      </c>
      <c r="E686" s="1" t="s">
        <v>19</v>
      </c>
    </row>
    <row r="687" spans="1:5" x14ac:dyDescent="0.25">
      <c r="A687" s="13">
        <v>51646456</v>
      </c>
      <c r="B687" s="11" t="s">
        <v>84</v>
      </c>
      <c r="C687" s="1" t="s">
        <v>1601</v>
      </c>
      <c r="D687" s="1" t="s">
        <v>43</v>
      </c>
      <c r="E687" s="1" t="s">
        <v>9</v>
      </c>
    </row>
    <row r="688" spans="1:5" x14ac:dyDescent="0.25">
      <c r="A688" s="13">
        <v>51661990</v>
      </c>
      <c r="B688" s="11" t="s">
        <v>84</v>
      </c>
      <c r="C688" s="1" t="s">
        <v>1600</v>
      </c>
      <c r="D688" s="1" t="s">
        <v>37</v>
      </c>
      <c r="E688" s="1" t="s">
        <v>939</v>
      </c>
    </row>
    <row r="689" spans="1:5" x14ac:dyDescent="0.25">
      <c r="A689" s="13">
        <v>51666734</v>
      </c>
      <c r="B689" s="11" t="s">
        <v>109</v>
      </c>
      <c r="C689" s="1" t="s">
        <v>1599</v>
      </c>
      <c r="D689" s="1" t="s">
        <v>131</v>
      </c>
      <c r="E689" s="1" t="s">
        <v>131</v>
      </c>
    </row>
    <row r="690" spans="1:5" x14ac:dyDescent="0.25">
      <c r="A690" s="13">
        <v>51671525</v>
      </c>
      <c r="B690" s="11" t="s">
        <v>83</v>
      </c>
      <c r="C690" s="1" t="s">
        <v>1597</v>
      </c>
      <c r="D690" s="1" t="s">
        <v>1598</v>
      </c>
      <c r="E690" s="1" t="s">
        <v>87</v>
      </c>
    </row>
    <row r="691" spans="1:5" x14ac:dyDescent="0.25">
      <c r="A691" s="13">
        <v>51673049</v>
      </c>
      <c r="B691" s="11" t="s">
        <v>83</v>
      </c>
      <c r="C691" s="1" t="s">
        <v>1596</v>
      </c>
      <c r="D691" s="1" t="s">
        <v>75</v>
      </c>
      <c r="E691" s="1" t="s">
        <v>31</v>
      </c>
    </row>
    <row r="692" spans="1:5" x14ac:dyDescent="0.25">
      <c r="A692" s="13">
        <v>51677114</v>
      </c>
      <c r="B692" s="11" t="s">
        <v>116</v>
      </c>
      <c r="C692" s="1" t="s">
        <v>1595</v>
      </c>
      <c r="D692" s="1" t="s">
        <v>117</v>
      </c>
      <c r="E692" s="1" t="s">
        <v>422</v>
      </c>
    </row>
    <row r="693" spans="1:5" x14ac:dyDescent="0.25">
      <c r="A693" s="13">
        <v>51678933</v>
      </c>
      <c r="B693" s="11" t="s">
        <v>84</v>
      </c>
      <c r="C693" s="1" t="s">
        <v>1594</v>
      </c>
      <c r="D693" s="1" t="s">
        <v>37</v>
      </c>
      <c r="E693" s="1" t="s">
        <v>27</v>
      </c>
    </row>
    <row r="694" spans="1:5" x14ac:dyDescent="0.25">
      <c r="A694" s="13">
        <v>51688985</v>
      </c>
      <c r="B694" s="11" t="s">
        <v>84</v>
      </c>
      <c r="C694" s="1" t="s">
        <v>1593</v>
      </c>
      <c r="D694" s="1" t="s">
        <v>185</v>
      </c>
      <c r="E694" s="1" t="s">
        <v>6</v>
      </c>
    </row>
    <row r="695" spans="1:5" x14ac:dyDescent="0.25">
      <c r="A695" s="13">
        <v>51690485</v>
      </c>
      <c r="B695" s="11" t="s">
        <v>116</v>
      </c>
      <c r="C695" s="1" t="s">
        <v>1592</v>
      </c>
      <c r="D695" s="1" t="s">
        <v>117</v>
      </c>
      <c r="E695" s="1" t="s">
        <v>333</v>
      </c>
    </row>
    <row r="696" spans="1:5" x14ac:dyDescent="0.25">
      <c r="A696" s="13">
        <v>51694349</v>
      </c>
      <c r="B696" s="11" t="s">
        <v>83</v>
      </c>
      <c r="C696" s="1" t="s">
        <v>1591</v>
      </c>
      <c r="D696" s="1" t="s">
        <v>36</v>
      </c>
      <c r="E696" s="1" t="s">
        <v>33</v>
      </c>
    </row>
    <row r="697" spans="1:5" x14ac:dyDescent="0.25">
      <c r="A697" s="13">
        <v>51698377</v>
      </c>
      <c r="B697" s="11" t="s">
        <v>83</v>
      </c>
      <c r="C697" s="1" t="s">
        <v>1590</v>
      </c>
      <c r="D697" s="1" t="s">
        <v>40</v>
      </c>
      <c r="E697" s="1" t="s">
        <v>23</v>
      </c>
    </row>
    <row r="698" spans="1:5" x14ac:dyDescent="0.25">
      <c r="A698" s="13">
        <v>51705734</v>
      </c>
      <c r="B698" s="11" t="s">
        <v>116</v>
      </c>
      <c r="C698" s="1" t="s">
        <v>1589</v>
      </c>
      <c r="D698" s="1" t="s">
        <v>117</v>
      </c>
      <c r="E698" s="1" t="s">
        <v>237</v>
      </c>
    </row>
    <row r="699" spans="1:5" x14ac:dyDescent="0.25">
      <c r="A699" s="13">
        <v>51711131</v>
      </c>
      <c r="B699" s="11" t="s">
        <v>84</v>
      </c>
      <c r="C699" s="1" t="s">
        <v>1588</v>
      </c>
      <c r="D699" s="1" t="s">
        <v>185</v>
      </c>
      <c r="E699" s="1" t="s">
        <v>10</v>
      </c>
    </row>
    <row r="700" spans="1:5" x14ac:dyDescent="0.25">
      <c r="A700" s="13">
        <v>51711277</v>
      </c>
      <c r="B700" s="11" t="s">
        <v>116</v>
      </c>
      <c r="C700" s="1" t="s">
        <v>1587</v>
      </c>
      <c r="D700" s="1" t="s">
        <v>117</v>
      </c>
      <c r="E700" s="1" t="s">
        <v>12</v>
      </c>
    </row>
    <row r="701" spans="1:5" x14ac:dyDescent="0.25">
      <c r="A701" s="13">
        <v>51712104</v>
      </c>
      <c r="B701" s="11" t="s">
        <v>116</v>
      </c>
      <c r="C701" s="1" t="s">
        <v>1586</v>
      </c>
      <c r="D701" s="1" t="s">
        <v>117</v>
      </c>
      <c r="E701" s="1" t="s">
        <v>186</v>
      </c>
    </row>
    <row r="702" spans="1:5" x14ac:dyDescent="0.25">
      <c r="A702" s="13">
        <v>51715063</v>
      </c>
      <c r="B702" s="11" t="s">
        <v>83</v>
      </c>
      <c r="C702" s="1" t="s">
        <v>1584</v>
      </c>
      <c r="D702" s="1" t="s">
        <v>1585</v>
      </c>
      <c r="E702" s="1" t="s">
        <v>248</v>
      </c>
    </row>
    <row r="703" spans="1:5" x14ac:dyDescent="0.25">
      <c r="A703" s="13">
        <v>51720492</v>
      </c>
      <c r="B703" s="11" t="s">
        <v>83</v>
      </c>
      <c r="C703" s="1" t="s">
        <v>1583</v>
      </c>
      <c r="D703" s="1" t="s">
        <v>1077</v>
      </c>
      <c r="E703" s="1" t="s">
        <v>12</v>
      </c>
    </row>
    <row r="704" spans="1:5" x14ac:dyDescent="0.25">
      <c r="A704" s="13">
        <v>51722975</v>
      </c>
      <c r="B704" s="11" t="s">
        <v>84</v>
      </c>
      <c r="C704" s="1" t="s">
        <v>1582</v>
      </c>
      <c r="D704" s="1" t="s">
        <v>973</v>
      </c>
      <c r="E704" s="1" t="s">
        <v>29</v>
      </c>
    </row>
    <row r="705" spans="1:5" x14ac:dyDescent="0.25">
      <c r="A705" s="13">
        <v>51724657</v>
      </c>
      <c r="B705" s="11" t="s">
        <v>83</v>
      </c>
      <c r="C705" s="1" t="s">
        <v>1581</v>
      </c>
      <c r="D705" s="1" t="s">
        <v>1077</v>
      </c>
      <c r="E705" s="1" t="s">
        <v>525</v>
      </c>
    </row>
    <row r="706" spans="1:5" x14ac:dyDescent="0.25">
      <c r="A706" s="13">
        <v>51726645</v>
      </c>
      <c r="B706" s="11" t="s">
        <v>116</v>
      </c>
      <c r="C706" s="1" t="s">
        <v>1580</v>
      </c>
      <c r="D706" s="1" t="s">
        <v>117</v>
      </c>
      <c r="E706" s="1" t="s">
        <v>336</v>
      </c>
    </row>
    <row r="707" spans="1:5" x14ac:dyDescent="0.25">
      <c r="A707" s="13">
        <v>51727374</v>
      </c>
      <c r="B707" s="11" t="s">
        <v>116</v>
      </c>
      <c r="C707" s="1" t="s">
        <v>1579</v>
      </c>
      <c r="D707" s="1" t="s">
        <v>117</v>
      </c>
      <c r="E707" s="1" t="s">
        <v>12</v>
      </c>
    </row>
    <row r="708" spans="1:5" x14ac:dyDescent="0.25">
      <c r="A708" s="13">
        <v>51732343</v>
      </c>
      <c r="B708" s="11" t="s">
        <v>116</v>
      </c>
      <c r="C708" s="1" t="s">
        <v>1578</v>
      </c>
      <c r="D708" s="1" t="s">
        <v>117</v>
      </c>
      <c r="E708" s="1" t="s">
        <v>8</v>
      </c>
    </row>
    <row r="709" spans="1:5" x14ac:dyDescent="0.25">
      <c r="A709" s="13">
        <v>51737106</v>
      </c>
      <c r="B709" s="11" t="s">
        <v>116</v>
      </c>
      <c r="C709" s="1" t="s">
        <v>1577</v>
      </c>
      <c r="D709" s="1" t="s">
        <v>117</v>
      </c>
      <c r="E709" s="1" t="s">
        <v>6</v>
      </c>
    </row>
    <row r="710" spans="1:5" x14ac:dyDescent="0.25">
      <c r="A710" s="13">
        <v>51741965</v>
      </c>
      <c r="B710" s="11" t="s">
        <v>116</v>
      </c>
      <c r="C710" s="1" t="s">
        <v>1576</v>
      </c>
      <c r="D710" s="1" t="s">
        <v>117</v>
      </c>
      <c r="E710" s="1" t="s">
        <v>958</v>
      </c>
    </row>
    <row r="711" spans="1:5" x14ac:dyDescent="0.25">
      <c r="A711" s="13">
        <v>51742585</v>
      </c>
      <c r="B711" s="11" t="s">
        <v>116</v>
      </c>
      <c r="C711" s="1" t="s">
        <v>1575</v>
      </c>
      <c r="D711" s="1" t="s">
        <v>117</v>
      </c>
      <c r="E711" s="1" t="s">
        <v>491</v>
      </c>
    </row>
    <row r="712" spans="1:5" x14ac:dyDescent="0.25">
      <c r="A712" s="13">
        <v>51742904</v>
      </c>
      <c r="B712" s="11" t="s">
        <v>83</v>
      </c>
      <c r="C712" s="1" t="s">
        <v>1574</v>
      </c>
      <c r="D712" s="1" t="s">
        <v>1077</v>
      </c>
      <c r="E712" s="1" t="s">
        <v>31</v>
      </c>
    </row>
    <row r="713" spans="1:5" x14ac:dyDescent="0.25">
      <c r="A713" s="13">
        <v>51746487</v>
      </c>
      <c r="B713" s="11" t="s">
        <v>84</v>
      </c>
      <c r="C713" s="1" t="s">
        <v>1572</v>
      </c>
      <c r="D713" s="1" t="s">
        <v>38</v>
      </c>
      <c r="E713" s="1" t="s">
        <v>1573</v>
      </c>
    </row>
    <row r="714" spans="1:5" x14ac:dyDescent="0.25">
      <c r="A714" s="13">
        <v>51746592</v>
      </c>
      <c r="B714" s="11" t="s">
        <v>84</v>
      </c>
      <c r="C714" s="1" t="s">
        <v>1571</v>
      </c>
      <c r="D714" s="1" t="s">
        <v>38</v>
      </c>
      <c r="E714" s="1" t="s">
        <v>10</v>
      </c>
    </row>
    <row r="715" spans="1:5" x14ac:dyDescent="0.25">
      <c r="A715" s="13">
        <v>51748197</v>
      </c>
      <c r="B715" s="11" t="s">
        <v>116</v>
      </c>
      <c r="C715" s="1" t="s">
        <v>1570</v>
      </c>
      <c r="D715" s="1" t="s">
        <v>117</v>
      </c>
      <c r="E715" s="1" t="s">
        <v>9</v>
      </c>
    </row>
    <row r="716" spans="1:5" x14ac:dyDescent="0.25">
      <c r="A716" s="13">
        <v>51752149</v>
      </c>
      <c r="B716" s="11" t="s">
        <v>116</v>
      </c>
      <c r="C716" s="1" t="s">
        <v>1569</v>
      </c>
      <c r="D716" s="1" t="s">
        <v>117</v>
      </c>
      <c r="E716" s="1" t="s">
        <v>12</v>
      </c>
    </row>
    <row r="717" spans="1:5" x14ac:dyDescent="0.25">
      <c r="A717" s="13">
        <v>51760258</v>
      </c>
      <c r="B717" s="11" t="s">
        <v>116</v>
      </c>
      <c r="C717" s="1" t="s">
        <v>1568</v>
      </c>
      <c r="D717" s="1" t="s">
        <v>117</v>
      </c>
      <c r="E717" s="1" t="s">
        <v>881</v>
      </c>
    </row>
    <row r="718" spans="1:5" x14ac:dyDescent="0.25">
      <c r="A718" s="13">
        <v>51767501</v>
      </c>
      <c r="B718" s="11" t="s">
        <v>116</v>
      </c>
      <c r="C718" s="1" t="s">
        <v>1567</v>
      </c>
      <c r="D718" s="1" t="s">
        <v>117</v>
      </c>
      <c r="E718" s="1" t="s">
        <v>7</v>
      </c>
    </row>
    <row r="719" spans="1:5" x14ac:dyDescent="0.25">
      <c r="A719" s="13">
        <v>51768721</v>
      </c>
      <c r="B719" s="11" t="s">
        <v>84</v>
      </c>
      <c r="C719" s="1" t="s">
        <v>1566</v>
      </c>
      <c r="D719" s="1" t="s">
        <v>203</v>
      </c>
      <c r="E719" s="1" t="s">
        <v>417</v>
      </c>
    </row>
    <row r="720" spans="1:5" x14ac:dyDescent="0.25">
      <c r="A720" s="13">
        <v>51778438</v>
      </c>
      <c r="B720" s="11" t="s">
        <v>83</v>
      </c>
      <c r="C720" s="1" t="s">
        <v>1563</v>
      </c>
      <c r="D720" s="1" t="s">
        <v>1564</v>
      </c>
      <c r="E720" s="1" t="s">
        <v>26</v>
      </c>
    </row>
    <row r="721" spans="1:5" x14ac:dyDescent="0.25">
      <c r="A721" s="13">
        <v>51783848</v>
      </c>
      <c r="B721" s="11" t="s">
        <v>109</v>
      </c>
      <c r="C721" s="1" t="s">
        <v>1562</v>
      </c>
      <c r="D721" s="1" t="s">
        <v>131</v>
      </c>
      <c r="E721" s="1" t="s">
        <v>131</v>
      </c>
    </row>
    <row r="722" spans="1:5" x14ac:dyDescent="0.25">
      <c r="A722" s="13">
        <v>51793197</v>
      </c>
      <c r="B722" s="11" t="s">
        <v>116</v>
      </c>
      <c r="C722" s="1" t="s">
        <v>1561</v>
      </c>
      <c r="D722" s="1" t="s">
        <v>117</v>
      </c>
      <c r="E722" s="1" t="s">
        <v>12</v>
      </c>
    </row>
    <row r="723" spans="1:5" x14ac:dyDescent="0.25">
      <c r="A723" s="13">
        <v>51797637</v>
      </c>
      <c r="B723" s="11" t="s">
        <v>116</v>
      </c>
      <c r="C723" s="1" t="s">
        <v>1560</v>
      </c>
      <c r="D723" s="1" t="s">
        <v>117</v>
      </c>
      <c r="E723" s="1" t="s">
        <v>237</v>
      </c>
    </row>
    <row r="724" spans="1:5" x14ac:dyDescent="0.25">
      <c r="A724" s="13">
        <v>51799106</v>
      </c>
      <c r="B724" s="11" t="s">
        <v>116</v>
      </c>
      <c r="C724" s="1" t="s">
        <v>1559</v>
      </c>
      <c r="D724" s="1" t="s">
        <v>117</v>
      </c>
      <c r="E724" s="1" t="s">
        <v>147</v>
      </c>
    </row>
    <row r="725" spans="1:5" x14ac:dyDescent="0.25">
      <c r="A725" s="13">
        <v>51804229</v>
      </c>
      <c r="B725" s="11" t="s">
        <v>116</v>
      </c>
      <c r="C725" s="1" t="s">
        <v>1558</v>
      </c>
      <c r="D725" s="1" t="s">
        <v>117</v>
      </c>
      <c r="E725" s="1" t="s">
        <v>417</v>
      </c>
    </row>
    <row r="726" spans="1:5" x14ac:dyDescent="0.25">
      <c r="A726" s="13">
        <v>51804604</v>
      </c>
      <c r="B726" s="11" t="s">
        <v>84</v>
      </c>
      <c r="C726" s="1" t="s">
        <v>1557</v>
      </c>
      <c r="D726" s="1" t="s">
        <v>38</v>
      </c>
      <c r="E726" s="1" t="s">
        <v>3</v>
      </c>
    </row>
    <row r="727" spans="1:5" x14ac:dyDescent="0.25">
      <c r="A727" s="13">
        <v>51825728</v>
      </c>
      <c r="B727" s="11" t="s">
        <v>84</v>
      </c>
      <c r="C727" s="1" t="s">
        <v>1556</v>
      </c>
      <c r="D727" s="1" t="s">
        <v>43</v>
      </c>
      <c r="E727" s="1" t="s">
        <v>3</v>
      </c>
    </row>
    <row r="728" spans="1:5" x14ac:dyDescent="0.25">
      <c r="A728" s="13">
        <v>51832657</v>
      </c>
      <c r="B728" s="11" t="s">
        <v>116</v>
      </c>
      <c r="C728" s="1" t="s">
        <v>1555</v>
      </c>
      <c r="D728" s="1" t="s">
        <v>117</v>
      </c>
      <c r="E728" s="1" t="s">
        <v>205</v>
      </c>
    </row>
    <row r="729" spans="1:5" x14ac:dyDescent="0.25">
      <c r="A729" s="13">
        <v>51833446</v>
      </c>
      <c r="B729" s="11" t="s">
        <v>109</v>
      </c>
      <c r="C729" s="1" t="s">
        <v>1554</v>
      </c>
      <c r="D729" s="1" t="s">
        <v>131</v>
      </c>
      <c r="E729" s="1" t="s">
        <v>131</v>
      </c>
    </row>
    <row r="730" spans="1:5" x14ac:dyDescent="0.25">
      <c r="A730" s="13">
        <v>51833474</v>
      </c>
      <c r="B730" s="11" t="s">
        <v>84</v>
      </c>
      <c r="C730" s="1" t="s">
        <v>1553</v>
      </c>
      <c r="D730" s="1" t="s">
        <v>38</v>
      </c>
      <c r="E730" s="1" t="s">
        <v>3</v>
      </c>
    </row>
    <row r="731" spans="1:5" x14ac:dyDescent="0.25">
      <c r="A731" s="13">
        <v>51836035</v>
      </c>
      <c r="B731" s="11" t="s">
        <v>84</v>
      </c>
      <c r="C731" s="1" t="s">
        <v>3102</v>
      </c>
      <c r="D731" s="1" t="s">
        <v>38</v>
      </c>
      <c r="E731" s="1" t="s">
        <v>3</v>
      </c>
    </row>
    <row r="732" spans="1:5" x14ac:dyDescent="0.25">
      <c r="A732" s="13">
        <v>51839772</v>
      </c>
      <c r="B732" s="11" t="s">
        <v>84</v>
      </c>
      <c r="C732" s="1" t="s">
        <v>1552</v>
      </c>
      <c r="D732" s="1" t="s">
        <v>38</v>
      </c>
      <c r="E732" s="1" t="s">
        <v>170</v>
      </c>
    </row>
    <row r="733" spans="1:5" x14ac:dyDescent="0.25">
      <c r="A733" s="13">
        <v>51840480</v>
      </c>
      <c r="B733" s="11" t="s">
        <v>83</v>
      </c>
      <c r="C733" s="1" t="s">
        <v>3207</v>
      </c>
      <c r="D733" s="1" t="s">
        <v>40</v>
      </c>
      <c r="E733" s="1" t="s">
        <v>23</v>
      </c>
    </row>
    <row r="734" spans="1:5" x14ac:dyDescent="0.25">
      <c r="A734" s="13">
        <v>51850394</v>
      </c>
      <c r="B734" s="11" t="s">
        <v>84</v>
      </c>
      <c r="C734" s="1" t="s">
        <v>1551</v>
      </c>
      <c r="D734" s="1" t="s">
        <v>38</v>
      </c>
      <c r="E734" s="1" t="s">
        <v>8</v>
      </c>
    </row>
    <row r="735" spans="1:5" x14ac:dyDescent="0.25">
      <c r="A735" s="13">
        <v>51854745</v>
      </c>
      <c r="B735" s="11" t="s">
        <v>109</v>
      </c>
      <c r="C735" s="1" t="s">
        <v>1550</v>
      </c>
      <c r="D735" s="1" t="s">
        <v>131</v>
      </c>
      <c r="E735" s="1" t="s">
        <v>131</v>
      </c>
    </row>
    <row r="736" spans="1:5" x14ac:dyDescent="0.25">
      <c r="A736" s="13">
        <v>51855378</v>
      </c>
      <c r="B736" s="11" t="s">
        <v>116</v>
      </c>
      <c r="C736" s="1" t="s">
        <v>1549</v>
      </c>
      <c r="D736" s="1" t="s">
        <v>117</v>
      </c>
      <c r="E736" s="1" t="s">
        <v>7</v>
      </c>
    </row>
    <row r="737" spans="1:5" x14ac:dyDescent="0.25">
      <c r="A737" s="13">
        <v>51858201</v>
      </c>
      <c r="B737" s="11" t="s">
        <v>109</v>
      </c>
      <c r="C737" s="1" t="s">
        <v>1548</v>
      </c>
      <c r="D737" s="1" t="s">
        <v>131</v>
      </c>
      <c r="E737" s="1" t="s">
        <v>131</v>
      </c>
    </row>
    <row r="738" spans="1:5" x14ac:dyDescent="0.25">
      <c r="A738" s="13">
        <v>51858814</v>
      </c>
      <c r="B738" s="11" t="s">
        <v>109</v>
      </c>
      <c r="C738" s="1" t="s">
        <v>1547</v>
      </c>
      <c r="D738" s="1" t="s">
        <v>131</v>
      </c>
      <c r="E738" s="1" t="s">
        <v>131</v>
      </c>
    </row>
    <row r="739" spans="1:5" x14ac:dyDescent="0.25">
      <c r="A739" s="13">
        <v>51866331</v>
      </c>
      <c r="B739" s="11" t="s">
        <v>116</v>
      </c>
      <c r="C739" s="1" t="s">
        <v>1546</v>
      </c>
      <c r="D739" s="1" t="s">
        <v>117</v>
      </c>
      <c r="E739" s="1" t="s">
        <v>134</v>
      </c>
    </row>
    <row r="740" spans="1:5" x14ac:dyDescent="0.25">
      <c r="A740" s="13">
        <v>51868059</v>
      </c>
      <c r="B740" s="11" t="s">
        <v>84</v>
      </c>
      <c r="C740" s="1" t="s">
        <v>1545</v>
      </c>
      <c r="D740" s="1" t="s">
        <v>172</v>
      </c>
      <c r="E740" s="1" t="s">
        <v>205</v>
      </c>
    </row>
    <row r="741" spans="1:5" x14ac:dyDescent="0.25">
      <c r="A741" s="13">
        <v>51868459</v>
      </c>
      <c r="B741" s="11" t="s">
        <v>116</v>
      </c>
      <c r="C741" s="1" t="s">
        <v>1544</v>
      </c>
      <c r="D741" s="1" t="s">
        <v>117</v>
      </c>
      <c r="E741" s="1" t="s">
        <v>11</v>
      </c>
    </row>
    <row r="742" spans="1:5" x14ac:dyDescent="0.25">
      <c r="A742" s="13">
        <v>51878442</v>
      </c>
      <c r="B742" s="11" t="s">
        <v>84</v>
      </c>
      <c r="C742" s="1" t="s">
        <v>1543</v>
      </c>
      <c r="D742" s="1" t="s">
        <v>38</v>
      </c>
      <c r="E742" s="1" t="s">
        <v>8</v>
      </c>
    </row>
    <row r="743" spans="1:5" x14ac:dyDescent="0.25">
      <c r="A743" s="13">
        <v>51878724</v>
      </c>
      <c r="B743" s="11" t="s">
        <v>109</v>
      </c>
      <c r="C743" s="1" t="s">
        <v>1542</v>
      </c>
      <c r="D743" s="1" t="s">
        <v>131</v>
      </c>
      <c r="E743" s="1" t="s">
        <v>131</v>
      </c>
    </row>
    <row r="744" spans="1:5" x14ac:dyDescent="0.25">
      <c r="A744" s="13">
        <v>51879587</v>
      </c>
      <c r="B744" s="11" t="s">
        <v>116</v>
      </c>
      <c r="C744" s="1" t="s">
        <v>1541</v>
      </c>
      <c r="D744" s="1" t="s">
        <v>117</v>
      </c>
      <c r="E744" s="1" t="s">
        <v>12</v>
      </c>
    </row>
    <row r="745" spans="1:5" x14ac:dyDescent="0.25">
      <c r="A745" s="13">
        <v>51879601</v>
      </c>
      <c r="B745" s="11" t="s">
        <v>84</v>
      </c>
      <c r="C745" s="1" t="s">
        <v>3208</v>
      </c>
      <c r="D745" s="1" t="s">
        <v>43</v>
      </c>
      <c r="E745" s="1" t="s">
        <v>14</v>
      </c>
    </row>
    <row r="746" spans="1:5" x14ac:dyDescent="0.25">
      <c r="A746" s="13">
        <v>51880274</v>
      </c>
      <c r="B746" s="11" t="s">
        <v>83</v>
      </c>
      <c r="C746" s="1" t="s">
        <v>1540</v>
      </c>
      <c r="D746" s="1" t="s">
        <v>40</v>
      </c>
      <c r="E746" s="1" t="s">
        <v>23</v>
      </c>
    </row>
    <row r="747" spans="1:5" x14ac:dyDescent="0.25">
      <c r="A747" s="13">
        <v>51882776</v>
      </c>
      <c r="B747" s="11" t="s">
        <v>109</v>
      </c>
      <c r="C747" s="1" t="s">
        <v>1539</v>
      </c>
      <c r="D747" s="1" t="s">
        <v>131</v>
      </c>
      <c r="E747" s="1" t="s">
        <v>131</v>
      </c>
    </row>
    <row r="748" spans="1:5" x14ac:dyDescent="0.25">
      <c r="A748" s="13">
        <v>51890421</v>
      </c>
      <c r="B748" s="11" t="s">
        <v>116</v>
      </c>
      <c r="C748" s="1" t="s">
        <v>1538</v>
      </c>
      <c r="D748" s="1" t="s">
        <v>117</v>
      </c>
      <c r="E748" s="1" t="s">
        <v>86</v>
      </c>
    </row>
    <row r="749" spans="1:5" x14ac:dyDescent="0.25">
      <c r="A749" s="13">
        <v>51891414</v>
      </c>
      <c r="B749" s="11" t="s">
        <v>116</v>
      </c>
      <c r="C749" s="1" t="s">
        <v>1537</v>
      </c>
      <c r="D749" s="1" t="s">
        <v>117</v>
      </c>
      <c r="E749" s="1" t="s">
        <v>186</v>
      </c>
    </row>
    <row r="750" spans="1:5" x14ac:dyDescent="0.25">
      <c r="A750" s="13">
        <v>51896555</v>
      </c>
      <c r="B750" s="11" t="s">
        <v>84</v>
      </c>
      <c r="C750" s="1" t="s">
        <v>3209</v>
      </c>
      <c r="D750" s="1" t="s">
        <v>43</v>
      </c>
      <c r="E750" s="1" t="s">
        <v>15</v>
      </c>
    </row>
    <row r="751" spans="1:5" x14ac:dyDescent="0.25">
      <c r="A751" s="13">
        <v>51897112</v>
      </c>
      <c r="B751" s="11" t="s">
        <v>116</v>
      </c>
      <c r="C751" s="1" t="s">
        <v>1536</v>
      </c>
      <c r="D751" s="1" t="s">
        <v>117</v>
      </c>
      <c r="E751" s="1" t="s">
        <v>2</v>
      </c>
    </row>
    <row r="752" spans="1:5" x14ac:dyDescent="0.25">
      <c r="A752" s="13">
        <v>51897634</v>
      </c>
      <c r="B752" s="11" t="s">
        <v>116</v>
      </c>
      <c r="C752" s="1" t="s">
        <v>1535</v>
      </c>
      <c r="D752" s="1" t="s">
        <v>117</v>
      </c>
      <c r="E752" s="1" t="s">
        <v>417</v>
      </c>
    </row>
    <row r="753" spans="1:5" x14ac:dyDescent="0.25">
      <c r="A753" s="13">
        <v>51900507</v>
      </c>
      <c r="B753" s="11" t="s">
        <v>84</v>
      </c>
      <c r="C753" s="1" t="s">
        <v>1534</v>
      </c>
      <c r="D753" s="1" t="s">
        <v>38</v>
      </c>
      <c r="E753" s="1" t="s">
        <v>10</v>
      </c>
    </row>
    <row r="754" spans="1:5" x14ac:dyDescent="0.25">
      <c r="A754" s="13">
        <v>51900836</v>
      </c>
      <c r="B754" s="11" t="s">
        <v>84</v>
      </c>
      <c r="C754" s="1" t="s">
        <v>1533</v>
      </c>
      <c r="D754" s="1" t="s">
        <v>3152</v>
      </c>
      <c r="E754" s="1" t="s">
        <v>1</v>
      </c>
    </row>
    <row r="755" spans="1:5" x14ac:dyDescent="0.25">
      <c r="A755" s="13">
        <v>51901430</v>
      </c>
      <c r="B755" s="11" t="s">
        <v>84</v>
      </c>
      <c r="C755" s="1" t="s">
        <v>1532</v>
      </c>
      <c r="D755" s="1" t="s">
        <v>38</v>
      </c>
      <c r="E755" s="1" t="s">
        <v>417</v>
      </c>
    </row>
    <row r="756" spans="1:5" x14ac:dyDescent="0.25">
      <c r="A756" s="13">
        <v>51902287</v>
      </c>
      <c r="B756" s="11" t="s">
        <v>83</v>
      </c>
      <c r="C756" s="1" t="s">
        <v>1529</v>
      </c>
      <c r="D756" s="1" t="s">
        <v>1530</v>
      </c>
      <c r="E756" s="1" t="s">
        <v>1531</v>
      </c>
    </row>
    <row r="757" spans="1:5" x14ac:dyDescent="0.25">
      <c r="A757" s="13">
        <v>51911517</v>
      </c>
      <c r="B757" s="11" t="s">
        <v>84</v>
      </c>
      <c r="C757" s="1" t="s">
        <v>3210</v>
      </c>
      <c r="D757" s="1" t="s">
        <v>38</v>
      </c>
      <c r="E757" s="1" t="s">
        <v>3211</v>
      </c>
    </row>
    <row r="758" spans="1:5" x14ac:dyDescent="0.25">
      <c r="A758" s="13">
        <v>51914344</v>
      </c>
      <c r="B758" s="11" t="s">
        <v>84</v>
      </c>
      <c r="C758" s="1" t="s">
        <v>1528</v>
      </c>
      <c r="D758" s="1" t="s">
        <v>38</v>
      </c>
      <c r="E758" s="1" t="s">
        <v>9</v>
      </c>
    </row>
    <row r="759" spans="1:5" x14ac:dyDescent="0.25">
      <c r="A759" s="13">
        <v>51914924</v>
      </c>
      <c r="B759" s="11" t="s">
        <v>84</v>
      </c>
      <c r="C759" s="1" t="s">
        <v>1527</v>
      </c>
      <c r="D759" s="1" t="s">
        <v>3551</v>
      </c>
      <c r="E759" s="1" t="s">
        <v>26</v>
      </c>
    </row>
    <row r="760" spans="1:5" x14ac:dyDescent="0.25">
      <c r="A760" s="13">
        <v>51916038</v>
      </c>
      <c r="B760" s="11" t="s">
        <v>109</v>
      </c>
      <c r="C760" s="1" t="s">
        <v>1526</v>
      </c>
      <c r="D760" s="1" t="s">
        <v>131</v>
      </c>
      <c r="E760" s="1" t="s">
        <v>131</v>
      </c>
    </row>
    <row r="761" spans="1:5" x14ac:dyDescent="0.25">
      <c r="A761" s="13">
        <v>51919748</v>
      </c>
      <c r="B761" s="11" t="s">
        <v>83</v>
      </c>
      <c r="C761" s="1" t="s">
        <v>1525</v>
      </c>
      <c r="D761" s="1" t="s">
        <v>1222</v>
      </c>
      <c r="E761" s="1" t="s">
        <v>272</v>
      </c>
    </row>
    <row r="762" spans="1:5" x14ac:dyDescent="0.25">
      <c r="A762" s="13">
        <v>51934764</v>
      </c>
      <c r="B762" s="11" t="s">
        <v>84</v>
      </c>
      <c r="C762" s="1" t="s">
        <v>1524</v>
      </c>
      <c r="D762" s="1" t="s">
        <v>38</v>
      </c>
      <c r="E762" s="1" t="s">
        <v>12</v>
      </c>
    </row>
    <row r="763" spans="1:5" x14ac:dyDescent="0.25">
      <c r="A763" s="13">
        <v>51938722</v>
      </c>
      <c r="B763" s="11" t="s">
        <v>109</v>
      </c>
      <c r="C763" s="1" t="s">
        <v>1523</v>
      </c>
      <c r="D763" s="1" t="s">
        <v>131</v>
      </c>
      <c r="E763" s="1" t="s">
        <v>131</v>
      </c>
    </row>
    <row r="764" spans="1:5" x14ac:dyDescent="0.25">
      <c r="A764" s="13">
        <v>51940124</v>
      </c>
      <c r="B764" s="11" t="s">
        <v>109</v>
      </c>
      <c r="C764" s="1" t="s">
        <v>1522</v>
      </c>
      <c r="D764" s="1" t="s">
        <v>131</v>
      </c>
      <c r="E764" s="1" t="s">
        <v>131</v>
      </c>
    </row>
    <row r="765" spans="1:5" x14ac:dyDescent="0.25">
      <c r="A765" s="13">
        <v>51943301</v>
      </c>
      <c r="B765" s="11" t="s">
        <v>116</v>
      </c>
      <c r="C765" s="1" t="s">
        <v>1521</v>
      </c>
      <c r="D765" s="1" t="s">
        <v>117</v>
      </c>
      <c r="E765" s="1" t="s">
        <v>134</v>
      </c>
    </row>
    <row r="766" spans="1:5" x14ac:dyDescent="0.25">
      <c r="A766" s="13">
        <v>51948812</v>
      </c>
      <c r="B766" s="11" t="s">
        <v>84</v>
      </c>
      <c r="C766" s="1" t="s">
        <v>1520</v>
      </c>
      <c r="D766" s="1" t="s">
        <v>38</v>
      </c>
      <c r="E766" s="1" t="s">
        <v>86</v>
      </c>
    </row>
    <row r="767" spans="1:5" x14ac:dyDescent="0.25">
      <c r="A767" s="13">
        <v>51952088</v>
      </c>
      <c r="B767" s="11" t="s">
        <v>84</v>
      </c>
      <c r="C767" s="1" t="s">
        <v>1519</v>
      </c>
      <c r="D767" s="1" t="s">
        <v>973</v>
      </c>
      <c r="E767" s="1" t="s">
        <v>29</v>
      </c>
    </row>
    <row r="768" spans="1:5" x14ac:dyDescent="0.25">
      <c r="A768" s="13">
        <v>51954337</v>
      </c>
      <c r="B768" s="11" t="s">
        <v>84</v>
      </c>
      <c r="C768" s="1" t="s">
        <v>1518</v>
      </c>
      <c r="D768" s="1" t="s">
        <v>185</v>
      </c>
      <c r="E768" s="1" t="s">
        <v>958</v>
      </c>
    </row>
    <row r="769" spans="1:5" x14ac:dyDescent="0.25">
      <c r="A769" s="13">
        <v>51958773</v>
      </c>
      <c r="B769" s="11" t="s">
        <v>84</v>
      </c>
      <c r="C769" s="1" t="s">
        <v>1517</v>
      </c>
      <c r="D769" s="1" t="s">
        <v>65</v>
      </c>
      <c r="E769" s="1" t="s">
        <v>1</v>
      </c>
    </row>
    <row r="770" spans="1:5" x14ac:dyDescent="0.25">
      <c r="A770" s="13">
        <v>51958862</v>
      </c>
      <c r="B770" s="11" t="s">
        <v>116</v>
      </c>
      <c r="C770" s="1" t="s">
        <v>1516</v>
      </c>
      <c r="D770" s="1" t="s">
        <v>117</v>
      </c>
      <c r="E770" s="1" t="s">
        <v>342</v>
      </c>
    </row>
    <row r="771" spans="1:5" x14ac:dyDescent="0.25">
      <c r="A771" s="13">
        <v>51962488</v>
      </c>
      <c r="B771" s="11" t="s">
        <v>83</v>
      </c>
      <c r="C771" s="1" t="s">
        <v>1515</v>
      </c>
      <c r="D771" s="1" t="s">
        <v>1498</v>
      </c>
      <c r="E771" s="1" t="s">
        <v>23</v>
      </c>
    </row>
    <row r="772" spans="1:5" x14ac:dyDescent="0.25">
      <c r="A772" s="13">
        <v>51962857</v>
      </c>
      <c r="B772" s="11" t="s">
        <v>116</v>
      </c>
      <c r="C772" s="1" t="s">
        <v>1514</v>
      </c>
      <c r="D772" s="1" t="s">
        <v>117</v>
      </c>
      <c r="E772" s="1" t="s">
        <v>118</v>
      </c>
    </row>
    <row r="773" spans="1:5" x14ac:dyDescent="0.25">
      <c r="A773" s="13">
        <v>51962872</v>
      </c>
      <c r="B773" s="11" t="s">
        <v>83</v>
      </c>
      <c r="C773" s="1" t="s">
        <v>1512</v>
      </c>
      <c r="D773" s="1" t="s">
        <v>1513</v>
      </c>
      <c r="E773" s="1" t="s">
        <v>1302</v>
      </c>
    </row>
    <row r="774" spans="1:5" x14ac:dyDescent="0.25">
      <c r="A774" s="13">
        <v>51966044</v>
      </c>
      <c r="B774" s="11" t="s">
        <v>83</v>
      </c>
      <c r="C774" s="1" t="s">
        <v>1511</v>
      </c>
      <c r="D774" s="1" t="s">
        <v>1077</v>
      </c>
      <c r="E774" s="1" t="s">
        <v>31</v>
      </c>
    </row>
    <row r="775" spans="1:5" x14ac:dyDescent="0.25">
      <c r="A775" s="13">
        <v>51972943</v>
      </c>
      <c r="B775" s="11" t="s">
        <v>83</v>
      </c>
      <c r="C775" s="1" t="s">
        <v>1508</v>
      </c>
      <c r="D775" s="1" t="s">
        <v>1509</v>
      </c>
      <c r="E775" s="1" t="s">
        <v>1510</v>
      </c>
    </row>
    <row r="776" spans="1:5" x14ac:dyDescent="0.25">
      <c r="A776" s="13">
        <v>51975102</v>
      </c>
      <c r="B776" s="11" t="s">
        <v>83</v>
      </c>
      <c r="C776" s="1" t="s">
        <v>1507</v>
      </c>
      <c r="D776" s="1" t="s">
        <v>1158</v>
      </c>
      <c r="E776" s="1" t="s">
        <v>1128</v>
      </c>
    </row>
    <row r="777" spans="1:5" x14ac:dyDescent="0.25">
      <c r="A777" s="13">
        <v>51975833</v>
      </c>
      <c r="B777" s="11" t="s">
        <v>116</v>
      </c>
      <c r="C777" s="1" t="s">
        <v>1506</v>
      </c>
      <c r="D777" s="1" t="s">
        <v>117</v>
      </c>
      <c r="E777" s="1" t="s">
        <v>10</v>
      </c>
    </row>
    <row r="778" spans="1:5" x14ac:dyDescent="0.25">
      <c r="A778" s="13">
        <v>51976141</v>
      </c>
      <c r="B778" s="11" t="s">
        <v>83</v>
      </c>
      <c r="C778" s="1" t="s">
        <v>1505</v>
      </c>
      <c r="D778" s="1" t="s">
        <v>684</v>
      </c>
      <c r="E778" s="1" t="s">
        <v>21</v>
      </c>
    </row>
    <row r="779" spans="1:5" x14ac:dyDescent="0.25">
      <c r="A779" s="13">
        <v>51980182</v>
      </c>
      <c r="B779" s="11" t="s">
        <v>84</v>
      </c>
      <c r="C779" s="1" t="s">
        <v>1504</v>
      </c>
      <c r="D779" s="1" t="s">
        <v>38</v>
      </c>
      <c r="E779" s="1" t="s">
        <v>5</v>
      </c>
    </row>
    <row r="780" spans="1:5" x14ac:dyDescent="0.25">
      <c r="A780" s="13">
        <v>51989486</v>
      </c>
      <c r="B780" s="11" t="s">
        <v>116</v>
      </c>
      <c r="C780" s="1" t="s">
        <v>1503</v>
      </c>
      <c r="D780" s="1" t="s">
        <v>117</v>
      </c>
      <c r="E780" s="1" t="s">
        <v>336</v>
      </c>
    </row>
    <row r="781" spans="1:5" x14ac:dyDescent="0.25">
      <c r="A781" s="13">
        <v>51990584</v>
      </c>
      <c r="B781" s="11" t="s">
        <v>116</v>
      </c>
      <c r="C781" s="1" t="s">
        <v>1502</v>
      </c>
      <c r="D781" s="1" t="s">
        <v>117</v>
      </c>
      <c r="E781" s="1" t="s">
        <v>12</v>
      </c>
    </row>
    <row r="782" spans="1:5" x14ac:dyDescent="0.25">
      <c r="A782" s="13">
        <v>51990985</v>
      </c>
      <c r="B782" s="11" t="s">
        <v>83</v>
      </c>
      <c r="C782" s="1" t="s">
        <v>1501</v>
      </c>
      <c r="D782" s="1" t="s">
        <v>73</v>
      </c>
      <c r="E782" s="1" t="s">
        <v>30</v>
      </c>
    </row>
    <row r="783" spans="1:5" x14ac:dyDescent="0.25">
      <c r="A783" s="13">
        <v>51991075</v>
      </c>
      <c r="B783" s="11" t="s">
        <v>116</v>
      </c>
      <c r="C783" s="1" t="s">
        <v>1500</v>
      </c>
      <c r="D783" s="1" t="s">
        <v>117</v>
      </c>
      <c r="E783" s="1" t="s">
        <v>12</v>
      </c>
    </row>
    <row r="784" spans="1:5" x14ac:dyDescent="0.25">
      <c r="A784" s="13">
        <v>51994293</v>
      </c>
      <c r="B784" s="11" t="s">
        <v>116</v>
      </c>
      <c r="C784" s="1" t="s">
        <v>1499</v>
      </c>
      <c r="D784" s="1" t="s">
        <v>151</v>
      </c>
      <c r="E784" s="1" t="s">
        <v>152</v>
      </c>
    </row>
    <row r="785" spans="1:5" x14ac:dyDescent="0.25">
      <c r="A785" s="13">
        <v>51998449</v>
      </c>
      <c r="B785" s="11" t="s">
        <v>83</v>
      </c>
      <c r="C785" s="1" t="s">
        <v>1497</v>
      </c>
      <c r="D785" s="1" t="s">
        <v>1498</v>
      </c>
      <c r="E785" s="1" t="s">
        <v>23</v>
      </c>
    </row>
    <row r="786" spans="1:5" x14ac:dyDescent="0.25">
      <c r="A786" s="13">
        <v>52005730</v>
      </c>
      <c r="B786" s="11" t="s">
        <v>84</v>
      </c>
      <c r="C786" s="1" t="s">
        <v>1496</v>
      </c>
      <c r="D786" s="1" t="s">
        <v>38</v>
      </c>
      <c r="E786" s="1" t="s">
        <v>5</v>
      </c>
    </row>
    <row r="787" spans="1:5" x14ac:dyDescent="0.25">
      <c r="A787" s="13">
        <v>52006638</v>
      </c>
      <c r="B787" s="11" t="s">
        <v>116</v>
      </c>
      <c r="C787" s="1" t="s">
        <v>1495</v>
      </c>
      <c r="D787" s="1" t="s">
        <v>117</v>
      </c>
      <c r="E787" s="1" t="s">
        <v>10</v>
      </c>
    </row>
    <row r="788" spans="1:5" x14ac:dyDescent="0.25">
      <c r="A788" s="13">
        <v>52009695</v>
      </c>
      <c r="B788" s="11" t="s">
        <v>116</v>
      </c>
      <c r="C788" s="1" t="s">
        <v>1494</v>
      </c>
      <c r="D788" s="1" t="s">
        <v>117</v>
      </c>
      <c r="E788" s="1" t="s">
        <v>11</v>
      </c>
    </row>
    <row r="789" spans="1:5" x14ac:dyDescent="0.25">
      <c r="A789" s="13">
        <v>52018012</v>
      </c>
      <c r="B789" s="11" t="s">
        <v>109</v>
      </c>
      <c r="C789" s="1" t="s">
        <v>1493</v>
      </c>
      <c r="D789" s="1" t="s">
        <v>131</v>
      </c>
      <c r="E789" s="1" t="s">
        <v>131</v>
      </c>
    </row>
    <row r="790" spans="1:5" x14ac:dyDescent="0.25">
      <c r="A790" s="13">
        <v>52019603</v>
      </c>
      <c r="B790" s="11" t="s">
        <v>84</v>
      </c>
      <c r="C790" s="1" t="s">
        <v>1492</v>
      </c>
      <c r="D790" s="1" t="s">
        <v>38</v>
      </c>
      <c r="E790" s="1" t="s">
        <v>127</v>
      </c>
    </row>
    <row r="791" spans="1:5" x14ac:dyDescent="0.25">
      <c r="A791" s="13">
        <v>52019771</v>
      </c>
      <c r="B791" s="11" t="s">
        <v>83</v>
      </c>
      <c r="C791" s="1" t="s">
        <v>1491</v>
      </c>
      <c r="D791" s="1" t="s">
        <v>973</v>
      </c>
      <c r="E791" s="1" t="s">
        <v>27</v>
      </c>
    </row>
    <row r="792" spans="1:5" x14ac:dyDescent="0.25">
      <c r="A792" s="13">
        <v>52021995</v>
      </c>
      <c r="B792" s="11" t="s">
        <v>116</v>
      </c>
      <c r="C792" s="1" t="s">
        <v>1490</v>
      </c>
      <c r="D792" s="1" t="s">
        <v>117</v>
      </c>
      <c r="E792" s="1" t="s">
        <v>147</v>
      </c>
    </row>
    <row r="793" spans="1:5" x14ac:dyDescent="0.25">
      <c r="A793" s="13">
        <v>52023564</v>
      </c>
      <c r="B793" s="11" t="s">
        <v>116</v>
      </c>
      <c r="C793" s="1" t="s">
        <v>3212</v>
      </c>
      <c r="D793" s="1" t="s">
        <v>117</v>
      </c>
      <c r="E793" s="1" t="s">
        <v>3553</v>
      </c>
    </row>
    <row r="794" spans="1:5" x14ac:dyDescent="0.25">
      <c r="A794" s="13">
        <v>52024234</v>
      </c>
      <c r="B794" s="11" t="s">
        <v>116</v>
      </c>
      <c r="C794" s="1" t="s">
        <v>1489</v>
      </c>
      <c r="D794" s="1" t="s">
        <v>117</v>
      </c>
      <c r="E794" s="1" t="s">
        <v>11</v>
      </c>
    </row>
    <row r="795" spans="1:5" x14ac:dyDescent="0.25">
      <c r="A795" s="13">
        <v>52024838</v>
      </c>
      <c r="B795" s="11" t="s">
        <v>116</v>
      </c>
      <c r="C795" s="1" t="s">
        <v>1488</v>
      </c>
      <c r="D795" s="1" t="s">
        <v>117</v>
      </c>
      <c r="E795" s="1" t="s">
        <v>336</v>
      </c>
    </row>
    <row r="796" spans="1:5" x14ac:dyDescent="0.25">
      <c r="A796" s="13">
        <v>52027592</v>
      </c>
      <c r="B796" s="11" t="s">
        <v>116</v>
      </c>
      <c r="C796" s="1" t="s">
        <v>1487</v>
      </c>
      <c r="D796" s="1" t="s">
        <v>117</v>
      </c>
      <c r="E796" s="1" t="s">
        <v>11</v>
      </c>
    </row>
    <row r="797" spans="1:5" x14ac:dyDescent="0.25">
      <c r="A797" s="13">
        <v>52029559</v>
      </c>
      <c r="B797" s="11" t="s">
        <v>116</v>
      </c>
      <c r="C797" s="1" t="s">
        <v>1486</v>
      </c>
      <c r="D797" s="1" t="s">
        <v>117</v>
      </c>
      <c r="E797" s="1" t="s">
        <v>8</v>
      </c>
    </row>
    <row r="798" spans="1:5" x14ac:dyDescent="0.25">
      <c r="A798" s="13">
        <v>52031041</v>
      </c>
      <c r="B798" s="11" t="s">
        <v>116</v>
      </c>
      <c r="C798" s="1" t="s">
        <v>1485</v>
      </c>
      <c r="D798" s="1" t="s">
        <v>117</v>
      </c>
      <c r="E798" s="1" t="s">
        <v>118</v>
      </c>
    </row>
    <row r="799" spans="1:5" x14ac:dyDescent="0.25">
      <c r="A799" s="13">
        <v>52031599</v>
      </c>
      <c r="B799" s="11" t="s">
        <v>116</v>
      </c>
      <c r="C799" s="1" t="s">
        <v>1484</v>
      </c>
      <c r="D799" s="1" t="s">
        <v>117</v>
      </c>
      <c r="E799" s="1" t="s">
        <v>1107</v>
      </c>
    </row>
    <row r="800" spans="1:5" x14ac:dyDescent="0.25">
      <c r="A800" s="13">
        <v>52034349</v>
      </c>
      <c r="B800" s="11" t="s">
        <v>83</v>
      </c>
      <c r="C800" s="1" t="s">
        <v>1483</v>
      </c>
      <c r="D800" s="1" t="s">
        <v>40</v>
      </c>
      <c r="E800" s="1" t="s">
        <v>23</v>
      </c>
    </row>
    <row r="801" spans="1:5" x14ac:dyDescent="0.25">
      <c r="A801" s="13">
        <v>52045469</v>
      </c>
      <c r="B801" s="11" t="s">
        <v>109</v>
      </c>
      <c r="C801" s="1" t="s">
        <v>1482</v>
      </c>
      <c r="D801" s="1" t="s">
        <v>131</v>
      </c>
      <c r="E801" s="1" t="s">
        <v>131</v>
      </c>
    </row>
    <row r="802" spans="1:5" x14ac:dyDescent="0.25">
      <c r="A802" s="13">
        <v>52045629</v>
      </c>
      <c r="B802" s="11" t="s">
        <v>116</v>
      </c>
      <c r="C802" s="1" t="s">
        <v>1481</v>
      </c>
      <c r="D802" s="1" t="s">
        <v>117</v>
      </c>
      <c r="E802" s="1" t="s">
        <v>186</v>
      </c>
    </row>
    <row r="803" spans="1:5" x14ac:dyDescent="0.25">
      <c r="A803" s="13">
        <v>52047362</v>
      </c>
      <c r="B803" s="11" t="s">
        <v>116</v>
      </c>
      <c r="C803" s="1" t="s">
        <v>1480</v>
      </c>
      <c r="D803" s="1" t="s">
        <v>117</v>
      </c>
      <c r="E803" s="1" t="s">
        <v>11</v>
      </c>
    </row>
    <row r="804" spans="1:5" x14ac:dyDescent="0.25">
      <c r="A804" s="13">
        <v>52048214</v>
      </c>
      <c r="B804" s="11" t="s">
        <v>116</v>
      </c>
      <c r="C804" s="1" t="s">
        <v>1479</v>
      </c>
      <c r="D804" s="1" t="s">
        <v>117</v>
      </c>
      <c r="E804" s="1" t="s">
        <v>12</v>
      </c>
    </row>
    <row r="805" spans="1:5" x14ac:dyDescent="0.25">
      <c r="A805" s="13">
        <v>52049956</v>
      </c>
      <c r="B805" s="11" t="s">
        <v>83</v>
      </c>
      <c r="C805" s="1" t="s">
        <v>1478</v>
      </c>
      <c r="D805" s="1" t="s">
        <v>3213</v>
      </c>
      <c r="E805" s="1" t="s">
        <v>16</v>
      </c>
    </row>
    <row r="806" spans="1:5" x14ac:dyDescent="0.25">
      <c r="A806" s="13">
        <v>52051851</v>
      </c>
      <c r="B806" s="11" t="s">
        <v>116</v>
      </c>
      <c r="C806" s="1" t="s">
        <v>1477</v>
      </c>
      <c r="D806" s="1" t="s">
        <v>117</v>
      </c>
      <c r="E806" s="1" t="s">
        <v>127</v>
      </c>
    </row>
    <row r="807" spans="1:5" x14ac:dyDescent="0.25">
      <c r="A807" s="13">
        <v>52053313</v>
      </c>
      <c r="B807" s="11" t="s">
        <v>116</v>
      </c>
      <c r="C807" s="1" t="s">
        <v>1476</v>
      </c>
      <c r="D807" s="1" t="s">
        <v>117</v>
      </c>
      <c r="E807" s="1" t="s">
        <v>2</v>
      </c>
    </row>
    <row r="808" spans="1:5" x14ac:dyDescent="0.25">
      <c r="A808" s="13">
        <v>52053528</v>
      </c>
      <c r="B808" s="11" t="s">
        <v>109</v>
      </c>
      <c r="C808" s="1" t="s">
        <v>1475</v>
      </c>
      <c r="D808" s="1" t="s">
        <v>131</v>
      </c>
      <c r="E808" s="1" t="s">
        <v>131</v>
      </c>
    </row>
    <row r="809" spans="1:5" x14ac:dyDescent="0.25">
      <c r="A809" s="13">
        <v>52054682</v>
      </c>
      <c r="B809" s="11" t="s">
        <v>116</v>
      </c>
      <c r="C809" s="1" t="s">
        <v>1474</v>
      </c>
      <c r="D809" s="1" t="s">
        <v>117</v>
      </c>
      <c r="E809" s="1" t="s">
        <v>10</v>
      </c>
    </row>
    <row r="810" spans="1:5" x14ac:dyDescent="0.25">
      <c r="A810" s="13">
        <v>52055100</v>
      </c>
      <c r="B810" s="11" t="s">
        <v>116</v>
      </c>
      <c r="C810" s="1" t="s">
        <v>1473</v>
      </c>
      <c r="D810" s="1" t="s">
        <v>117</v>
      </c>
      <c r="E810" s="1" t="s">
        <v>179</v>
      </c>
    </row>
    <row r="811" spans="1:5" x14ac:dyDescent="0.25">
      <c r="A811" s="13">
        <v>52059022</v>
      </c>
      <c r="B811" s="11" t="s">
        <v>116</v>
      </c>
      <c r="C811" s="1" t="s">
        <v>1472</v>
      </c>
      <c r="D811" s="1" t="s">
        <v>117</v>
      </c>
      <c r="E811" s="1" t="s">
        <v>12</v>
      </c>
    </row>
    <row r="812" spans="1:5" x14ac:dyDescent="0.25">
      <c r="A812" s="13">
        <v>52059516</v>
      </c>
      <c r="B812" s="11" t="s">
        <v>83</v>
      </c>
      <c r="C812" s="1" t="s">
        <v>1471</v>
      </c>
      <c r="D812" s="1" t="s">
        <v>40</v>
      </c>
      <c r="E812" s="1" t="s">
        <v>23</v>
      </c>
    </row>
    <row r="813" spans="1:5" x14ac:dyDescent="0.25">
      <c r="A813" s="13">
        <v>52060540</v>
      </c>
      <c r="B813" s="11" t="s">
        <v>116</v>
      </c>
      <c r="C813" s="1" t="s">
        <v>1470</v>
      </c>
      <c r="D813" s="1" t="s">
        <v>117</v>
      </c>
      <c r="E813" s="1" t="s">
        <v>491</v>
      </c>
    </row>
    <row r="814" spans="1:5" x14ac:dyDescent="0.25">
      <c r="A814" s="13">
        <v>52064680</v>
      </c>
      <c r="B814" s="11" t="s">
        <v>109</v>
      </c>
      <c r="C814" s="1" t="s">
        <v>1469</v>
      </c>
      <c r="D814" s="1" t="s">
        <v>131</v>
      </c>
      <c r="E814" s="1" t="s">
        <v>131</v>
      </c>
    </row>
    <row r="815" spans="1:5" x14ac:dyDescent="0.25">
      <c r="A815" s="13">
        <v>52083921</v>
      </c>
      <c r="B815" s="11" t="s">
        <v>84</v>
      </c>
      <c r="C815" s="1" t="s">
        <v>1468</v>
      </c>
      <c r="D815" s="1" t="s">
        <v>38</v>
      </c>
      <c r="E815" s="1" t="s">
        <v>5</v>
      </c>
    </row>
    <row r="816" spans="1:5" x14ac:dyDescent="0.25">
      <c r="A816" s="13">
        <v>52084767</v>
      </c>
      <c r="B816" s="11" t="s">
        <v>116</v>
      </c>
      <c r="C816" s="1" t="s">
        <v>1467</v>
      </c>
      <c r="D816" s="1" t="s">
        <v>117</v>
      </c>
      <c r="E816" s="1" t="s">
        <v>263</v>
      </c>
    </row>
    <row r="817" spans="1:5" x14ac:dyDescent="0.25">
      <c r="A817" s="13">
        <v>52085356</v>
      </c>
      <c r="B817" s="11" t="s">
        <v>116</v>
      </c>
      <c r="C817" s="1" t="s">
        <v>1466</v>
      </c>
      <c r="D817" s="1" t="s">
        <v>117</v>
      </c>
      <c r="E817" s="1" t="s">
        <v>263</v>
      </c>
    </row>
    <row r="818" spans="1:5" x14ac:dyDescent="0.25">
      <c r="A818" s="13">
        <v>52085358</v>
      </c>
      <c r="B818" s="11" t="s">
        <v>116</v>
      </c>
      <c r="C818" s="1" t="s">
        <v>1465</v>
      </c>
      <c r="D818" s="1" t="s">
        <v>117</v>
      </c>
      <c r="E818" s="1" t="s">
        <v>9</v>
      </c>
    </row>
    <row r="819" spans="1:5" x14ac:dyDescent="0.25">
      <c r="A819" s="13">
        <v>52085852</v>
      </c>
      <c r="B819" s="11" t="s">
        <v>84</v>
      </c>
      <c r="C819" s="1" t="s">
        <v>1464</v>
      </c>
      <c r="D819" s="1" t="s">
        <v>43</v>
      </c>
      <c r="E819" s="1" t="s">
        <v>1</v>
      </c>
    </row>
    <row r="820" spans="1:5" x14ac:dyDescent="0.25">
      <c r="A820" s="13">
        <v>52087288</v>
      </c>
      <c r="B820" s="11" t="s">
        <v>109</v>
      </c>
      <c r="C820" s="1" t="s">
        <v>1463</v>
      </c>
      <c r="D820" s="1" t="s">
        <v>131</v>
      </c>
      <c r="E820" s="1" t="s">
        <v>131</v>
      </c>
    </row>
    <row r="821" spans="1:5" x14ac:dyDescent="0.25">
      <c r="A821" s="13">
        <v>52087622</v>
      </c>
      <c r="B821" s="11" t="s">
        <v>116</v>
      </c>
      <c r="C821" s="1" t="s">
        <v>1462</v>
      </c>
      <c r="D821" s="1" t="s">
        <v>117</v>
      </c>
      <c r="E821" s="1" t="s">
        <v>7</v>
      </c>
    </row>
    <row r="822" spans="1:5" x14ac:dyDescent="0.25">
      <c r="A822" s="13">
        <v>52097729</v>
      </c>
      <c r="B822" s="11" t="s">
        <v>83</v>
      </c>
      <c r="C822" s="1" t="s">
        <v>1461</v>
      </c>
      <c r="D822" s="1" t="s">
        <v>1077</v>
      </c>
      <c r="E822" s="1" t="s">
        <v>31</v>
      </c>
    </row>
    <row r="823" spans="1:5" x14ac:dyDescent="0.25">
      <c r="A823" s="13">
        <v>52098388</v>
      </c>
      <c r="B823" s="11" t="s">
        <v>116</v>
      </c>
      <c r="C823" s="1" t="s">
        <v>1460</v>
      </c>
      <c r="D823" s="1" t="s">
        <v>117</v>
      </c>
      <c r="E823" s="1" t="s">
        <v>263</v>
      </c>
    </row>
    <row r="824" spans="1:5" x14ac:dyDescent="0.25">
      <c r="A824" s="13">
        <v>52099605</v>
      </c>
      <c r="B824" s="11" t="s">
        <v>84</v>
      </c>
      <c r="C824" s="1" t="s">
        <v>1459</v>
      </c>
      <c r="D824" s="1" t="s">
        <v>38</v>
      </c>
      <c r="E824" s="1" t="s">
        <v>328</v>
      </c>
    </row>
    <row r="825" spans="1:5" x14ac:dyDescent="0.25">
      <c r="A825" s="13">
        <v>52100928</v>
      </c>
      <c r="B825" s="11" t="s">
        <v>83</v>
      </c>
      <c r="C825" s="1" t="s">
        <v>1458</v>
      </c>
      <c r="D825" s="1" t="s">
        <v>47</v>
      </c>
      <c r="E825" s="1" t="s">
        <v>17</v>
      </c>
    </row>
    <row r="826" spans="1:5" x14ac:dyDescent="0.25">
      <c r="A826" s="13">
        <v>52102472</v>
      </c>
      <c r="B826" s="11" t="s">
        <v>116</v>
      </c>
      <c r="C826" s="1" t="s">
        <v>1457</v>
      </c>
      <c r="D826" s="1" t="s">
        <v>117</v>
      </c>
      <c r="E826" s="1" t="s">
        <v>134</v>
      </c>
    </row>
    <row r="827" spans="1:5" x14ac:dyDescent="0.25">
      <c r="A827" s="13">
        <v>52104934</v>
      </c>
      <c r="B827" s="11" t="s">
        <v>109</v>
      </c>
      <c r="C827" s="1" t="s">
        <v>1456</v>
      </c>
      <c r="D827" s="1" t="s">
        <v>131</v>
      </c>
      <c r="E827" s="1" t="s">
        <v>131</v>
      </c>
    </row>
    <row r="828" spans="1:5" x14ac:dyDescent="0.25">
      <c r="A828" s="13">
        <v>52109187</v>
      </c>
      <c r="B828" s="11" t="s">
        <v>83</v>
      </c>
      <c r="C828" s="1" t="s">
        <v>1455</v>
      </c>
      <c r="D828" s="1" t="s">
        <v>278</v>
      </c>
      <c r="E828" s="1" t="s">
        <v>24</v>
      </c>
    </row>
    <row r="829" spans="1:5" x14ac:dyDescent="0.25">
      <c r="A829" s="13">
        <v>52110609</v>
      </c>
      <c r="B829" s="11" t="s">
        <v>84</v>
      </c>
      <c r="C829" s="1" t="s">
        <v>1453</v>
      </c>
      <c r="D829" s="1" t="s">
        <v>1454</v>
      </c>
      <c r="E829" s="1" t="s">
        <v>1</v>
      </c>
    </row>
    <row r="830" spans="1:5" x14ac:dyDescent="0.25">
      <c r="A830" s="13">
        <v>52111620</v>
      </c>
      <c r="B830" s="11" t="s">
        <v>116</v>
      </c>
      <c r="C830" s="1" t="s">
        <v>1452</v>
      </c>
      <c r="D830" s="1" t="s">
        <v>117</v>
      </c>
      <c r="E830" s="1" t="s">
        <v>8</v>
      </c>
    </row>
    <row r="831" spans="1:5" x14ac:dyDescent="0.25">
      <c r="A831" s="13">
        <v>52118083</v>
      </c>
      <c r="B831" s="11" t="s">
        <v>109</v>
      </c>
      <c r="C831" s="1" t="s">
        <v>1451</v>
      </c>
      <c r="D831" s="1" t="s">
        <v>131</v>
      </c>
      <c r="E831" s="1" t="s">
        <v>131</v>
      </c>
    </row>
    <row r="832" spans="1:5" x14ac:dyDescent="0.25">
      <c r="A832" s="13">
        <v>52119437</v>
      </c>
      <c r="B832" s="11" t="s">
        <v>109</v>
      </c>
      <c r="C832" s="1" t="s">
        <v>1450</v>
      </c>
      <c r="D832" s="1" t="s">
        <v>131</v>
      </c>
      <c r="E832" s="1" t="s">
        <v>131</v>
      </c>
    </row>
    <row r="833" spans="1:5" x14ac:dyDescent="0.25">
      <c r="A833" s="13">
        <v>52120519</v>
      </c>
      <c r="B833" s="11" t="s">
        <v>116</v>
      </c>
      <c r="C833" s="1" t="s">
        <v>1449</v>
      </c>
      <c r="D833" s="1" t="s">
        <v>117</v>
      </c>
      <c r="E833" s="1" t="s">
        <v>10</v>
      </c>
    </row>
    <row r="834" spans="1:5" x14ac:dyDescent="0.25">
      <c r="A834" s="13">
        <v>52122145</v>
      </c>
      <c r="B834" s="11" t="s">
        <v>116</v>
      </c>
      <c r="C834" s="1" t="s">
        <v>1448</v>
      </c>
      <c r="D834" s="1" t="s">
        <v>117</v>
      </c>
      <c r="E834" s="1" t="s">
        <v>6</v>
      </c>
    </row>
    <row r="835" spans="1:5" x14ac:dyDescent="0.25">
      <c r="A835" s="13">
        <v>52122214</v>
      </c>
      <c r="B835" s="11" t="s">
        <v>116</v>
      </c>
      <c r="C835" s="1" t="s">
        <v>1447</v>
      </c>
      <c r="D835" s="1" t="s">
        <v>117</v>
      </c>
      <c r="E835" s="1" t="s">
        <v>5</v>
      </c>
    </row>
    <row r="836" spans="1:5" x14ac:dyDescent="0.25">
      <c r="A836" s="13">
        <v>52133632</v>
      </c>
      <c r="B836" s="11" t="s">
        <v>84</v>
      </c>
      <c r="C836" s="1" t="s">
        <v>3214</v>
      </c>
      <c r="D836" s="1" t="s">
        <v>43</v>
      </c>
      <c r="E836" s="1" t="s">
        <v>13</v>
      </c>
    </row>
    <row r="837" spans="1:5" x14ac:dyDescent="0.25">
      <c r="A837" s="13">
        <v>52146527</v>
      </c>
      <c r="B837" s="11" t="s">
        <v>116</v>
      </c>
      <c r="C837" s="1" t="s">
        <v>1446</v>
      </c>
      <c r="D837" s="1" t="s">
        <v>117</v>
      </c>
      <c r="E837" s="1" t="s">
        <v>9</v>
      </c>
    </row>
    <row r="838" spans="1:5" x14ac:dyDescent="0.25">
      <c r="A838" s="13">
        <v>52146944</v>
      </c>
      <c r="B838" s="11" t="s">
        <v>84</v>
      </c>
      <c r="C838" s="1" t="s">
        <v>1445</v>
      </c>
      <c r="D838" s="1" t="s">
        <v>38</v>
      </c>
      <c r="E838" s="1" t="s">
        <v>10</v>
      </c>
    </row>
    <row r="839" spans="1:5" x14ac:dyDescent="0.25">
      <c r="A839" s="13">
        <v>52150545</v>
      </c>
      <c r="B839" s="11" t="s">
        <v>116</v>
      </c>
      <c r="C839" s="1" t="s">
        <v>1444</v>
      </c>
      <c r="D839" s="1" t="s">
        <v>117</v>
      </c>
      <c r="E839" s="1" t="s">
        <v>186</v>
      </c>
    </row>
    <row r="840" spans="1:5" x14ac:dyDescent="0.25">
      <c r="A840" s="13">
        <v>52153320</v>
      </c>
      <c r="B840" s="11" t="s">
        <v>83</v>
      </c>
      <c r="C840" s="1" t="s">
        <v>1442</v>
      </c>
      <c r="D840" s="1" t="s">
        <v>1443</v>
      </c>
      <c r="E840" s="1" t="s">
        <v>196</v>
      </c>
    </row>
    <row r="841" spans="1:5" x14ac:dyDescent="0.25">
      <c r="A841" s="13">
        <v>52155871</v>
      </c>
      <c r="B841" s="11" t="s">
        <v>109</v>
      </c>
      <c r="C841" s="1" t="s">
        <v>1441</v>
      </c>
      <c r="D841" s="1" t="s">
        <v>131</v>
      </c>
      <c r="E841" s="1" t="s">
        <v>131</v>
      </c>
    </row>
    <row r="842" spans="1:5" x14ac:dyDescent="0.25">
      <c r="A842" s="13">
        <v>52157370</v>
      </c>
      <c r="B842" s="11" t="s">
        <v>116</v>
      </c>
      <c r="C842" s="1" t="s">
        <v>1440</v>
      </c>
      <c r="D842" s="1" t="s">
        <v>117</v>
      </c>
      <c r="E842" s="1" t="s">
        <v>11</v>
      </c>
    </row>
    <row r="843" spans="1:5" x14ac:dyDescent="0.25">
      <c r="A843" s="13">
        <v>52159426</v>
      </c>
      <c r="B843" s="11" t="s">
        <v>84</v>
      </c>
      <c r="C843" s="1" t="s">
        <v>1438</v>
      </c>
      <c r="D843" s="1" t="s">
        <v>973</v>
      </c>
      <c r="E843" s="1" t="s">
        <v>1439</v>
      </c>
    </row>
    <row r="844" spans="1:5" x14ac:dyDescent="0.25">
      <c r="A844" s="13">
        <v>52161408</v>
      </c>
      <c r="B844" s="11" t="s">
        <v>84</v>
      </c>
      <c r="C844" s="1" t="s">
        <v>1437</v>
      </c>
      <c r="D844" s="1" t="s">
        <v>43</v>
      </c>
      <c r="E844" s="1" t="s">
        <v>10</v>
      </c>
    </row>
    <row r="845" spans="1:5" x14ac:dyDescent="0.25">
      <c r="A845" s="13">
        <v>52164621</v>
      </c>
      <c r="B845" s="11" t="s">
        <v>116</v>
      </c>
      <c r="C845" s="1" t="s">
        <v>1436</v>
      </c>
      <c r="D845" s="1" t="s">
        <v>117</v>
      </c>
      <c r="E845" s="1" t="s">
        <v>147</v>
      </c>
    </row>
    <row r="846" spans="1:5" x14ac:dyDescent="0.25">
      <c r="A846" s="13">
        <v>52165223</v>
      </c>
      <c r="B846" s="11" t="s">
        <v>116</v>
      </c>
      <c r="C846" s="1" t="s">
        <v>1435</v>
      </c>
      <c r="D846" s="1" t="s">
        <v>117</v>
      </c>
      <c r="E846" s="1" t="s">
        <v>5</v>
      </c>
    </row>
    <row r="847" spans="1:5" x14ac:dyDescent="0.25">
      <c r="A847" s="13">
        <v>52165435</v>
      </c>
      <c r="B847" s="11" t="s">
        <v>116</v>
      </c>
      <c r="C847" s="1" t="s">
        <v>1434</v>
      </c>
      <c r="D847" s="1" t="s">
        <v>117</v>
      </c>
      <c r="E847" s="1" t="s">
        <v>12</v>
      </c>
    </row>
    <row r="848" spans="1:5" x14ac:dyDescent="0.25">
      <c r="A848" s="13">
        <v>52167964</v>
      </c>
      <c r="B848" s="11" t="s">
        <v>116</v>
      </c>
      <c r="C848" s="1" t="s">
        <v>1433</v>
      </c>
      <c r="D848" s="1" t="s">
        <v>117</v>
      </c>
      <c r="E848" s="1" t="s">
        <v>8</v>
      </c>
    </row>
    <row r="849" spans="1:5" x14ac:dyDescent="0.25">
      <c r="A849" s="13">
        <v>52169314</v>
      </c>
      <c r="B849" s="11" t="s">
        <v>116</v>
      </c>
      <c r="C849" s="1" t="s">
        <v>1432</v>
      </c>
      <c r="D849" s="1" t="s">
        <v>117</v>
      </c>
      <c r="E849" s="1" t="s">
        <v>8</v>
      </c>
    </row>
    <row r="850" spans="1:5" x14ac:dyDescent="0.25">
      <c r="A850" s="13">
        <v>52172636</v>
      </c>
      <c r="B850" s="11" t="s">
        <v>116</v>
      </c>
      <c r="C850" s="1" t="s">
        <v>1431</v>
      </c>
      <c r="D850" s="1" t="s">
        <v>117</v>
      </c>
      <c r="E850" s="1" t="s">
        <v>263</v>
      </c>
    </row>
    <row r="851" spans="1:5" x14ac:dyDescent="0.25">
      <c r="A851" s="13">
        <v>52174119</v>
      </c>
      <c r="B851" s="11" t="s">
        <v>116</v>
      </c>
      <c r="C851" s="1" t="s">
        <v>1430</v>
      </c>
      <c r="D851" s="1" t="s">
        <v>117</v>
      </c>
      <c r="E851" s="1" t="s">
        <v>85</v>
      </c>
    </row>
    <row r="852" spans="1:5" x14ac:dyDescent="0.25">
      <c r="A852" s="13">
        <v>52175674</v>
      </c>
      <c r="B852" s="11" t="s">
        <v>83</v>
      </c>
      <c r="C852" s="1" t="s">
        <v>1429</v>
      </c>
      <c r="D852" s="1" t="s">
        <v>3552</v>
      </c>
      <c r="E852" s="1" t="s">
        <v>196</v>
      </c>
    </row>
    <row r="853" spans="1:5" x14ac:dyDescent="0.25">
      <c r="A853" s="13">
        <v>52178178</v>
      </c>
      <c r="B853" s="11" t="s">
        <v>116</v>
      </c>
      <c r="C853" s="1" t="s">
        <v>1428</v>
      </c>
      <c r="D853" s="1" t="s">
        <v>117</v>
      </c>
      <c r="E853" s="1" t="s">
        <v>881</v>
      </c>
    </row>
    <row r="854" spans="1:5" x14ac:dyDescent="0.25">
      <c r="A854" s="13">
        <v>52181895</v>
      </c>
      <c r="B854" s="11" t="s">
        <v>116</v>
      </c>
      <c r="C854" s="1" t="s">
        <v>1427</v>
      </c>
      <c r="D854" s="1" t="s">
        <v>117</v>
      </c>
      <c r="E854" s="1" t="s">
        <v>336</v>
      </c>
    </row>
    <row r="855" spans="1:5" x14ac:dyDescent="0.25">
      <c r="A855" s="13">
        <v>52183114</v>
      </c>
      <c r="B855" s="11" t="s">
        <v>84</v>
      </c>
      <c r="C855" s="1" t="s">
        <v>1426</v>
      </c>
      <c r="D855" s="1" t="s">
        <v>203</v>
      </c>
      <c r="E855" s="1" t="s">
        <v>491</v>
      </c>
    </row>
    <row r="856" spans="1:5" x14ac:dyDescent="0.25">
      <c r="A856" s="13">
        <v>52183697</v>
      </c>
      <c r="B856" s="11" t="s">
        <v>84</v>
      </c>
      <c r="C856" s="1" t="s">
        <v>3101</v>
      </c>
      <c r="D856" s="1" t="s">
        <v>3167</v>
      </c>
      <c r="E856" s="1" t="s">
        <v>1</v>
      </c>
    </row>
    <row r="857" spans="1:5" x14ac:dyDescent="0.25">
      <c r="A857" s="13">
        <v>52185115</v>
      </c>
      <c r="B857" s="11" t="s">
        <v>109</v>
      </c>
      <c r="C857" s="1" t="s">
        <v>1425</v>
      </c>
      <c r="D857" s="1" t="s">
        <v>131</v>
      </c>
      <c r="E857" s="1" t="s">
        <v>131</v>
      </c>
    </row>
    <row r="858" spans="1:5" x14ac:dyDescent="0.25">
      <c r="A858" s="13">
        <v>52185129</v>
      </c>
      <c r="B858" s="11" t="s">
        <v>84</v>
      </c>
      <c r="C858" s="1" t="s">
        <v>1424</v>
      </c>
      <c r="D858" s="1" t="s">
        <v>38</v>
      </c>
      <c r="E858" s="1" t="s">
        <v>12</v>
      </c>
    </row>
    <row r="859" spans="1:5" x14ac:dyDescent="0.25">
      <c r="A859" s="13">
        <v>52187386</v>
      </c>
      <c r="B859" s="11" t="s">
        <v>116</v>
      </c>
      <c r="C859" s="1" t="s">
        <v>1423</v>
      </c>
      <c r="D859" s="1" t="s">
        <v>117</v>
      </c>
      <c r="E859" s="1" t="s">
        <v>263</v>
      </c>
    </row>
    <row r="860" spans="1:5" x14ac:dyDescent="0.25">
      <c r="A860" s="13">
        <v>52191061</v>
      </c>
      <c r="B860" s="11" t="s">
        <v>116</v>
      </c>
      <c r="C860" s="1" t="s">
        <v>1422</v>
      </c>
      <c r="D860" s="1" t="s">
        <v>117</v>
      </c>
      <c r="E860" s="1" t="s">
        <v>12</v>
      </c>
    </row>
    <row r="861" spans="1:5" x14ac:dyDescent="0.25">
      <c r="A861" s="13">
        <v>52192697</v>
      </c>
      <c r="B861" s="11" t="s">
        <v>83</v>
      </c>
      <c r="C861" s="1" t="s">
        <v>1420</v>
      </c>
      <c r="D861" s="1" t="s">
        <v>1421</v>
      </c>
      <c r="E861" s="1" t="s">
        <v>87</v>
      </c>
    </row>
    <row r="862" spans="1:5" x14ac:dyDescent="0.25">
      <c r="A862" s="13">
        <v>52195088</v>
      </c>
      <c r="B862" s="11" t="s">
        <v>109</v>
      </c>
      <c r="C862" s="1" t="s">
        <v>1419</v>
      </c>
      <c r="D862" s="1" t="s">
        <v>131</v>
      </c>
      <c r="E862" s="1" t="s">
        <v>131</v>
      </c>
    </row>
    <row r="863" spans="1:5" x14ac:dyDescent="0.25">
      <c r="A863" s="13">
        <v>52197630</v>
      </c>
      <c r="B863" s="11" t="s">
        <v>84</v>
      </c>
      <c r="C863" s="1" t="s">
        <v>1418</v>
      </c>
      <c r="D863" s="1" t="s">
        <v>38</v>
      </c>
      <c r="E863" s="1" t="s">
        <v>5</v>
      </c>
    </row>
    <row r="864" spans="1:5" x14ac:dyDescent="0.25">
      <c r="A864" s="13">
        <v>52198571</v>
      </c>
      <c r="B864" s="11" t="s">
        <v>116</v>
      </c>
      <c r="C864" s="1" t="s">
        <v>3707</v>
      </c>
      <c r="D864" s="1" t="s">
        <v>117</v>
      </c>
      <c r="E864" s="1" t="s">
        <v>3118</v>
      </c>
    </row>
    <row r="865" spans="1:5" x14ac:dyDescent="0.25">
      <c r="A865" s="13">
        <v>52199199</v>
      </c>
      <c r="B865" s="11" t="s">
        <v>116</v>
      </c>
      <c r="C865" s="1" t="s">
        <v>3215</v>
      </c>
      <c r="D865" s="1" t="s">
        <v>117</v>
      </c>
      <c r="E865" s="1" t="s">
        <v>8</v>
      </c>
    </row>
    <row r="866" spans="1:5" x14ac:dyDescent="0.25">
      <c r="A866" s="13">
        <v>52204783</v>
      </c>
      <c r="B866" s="11" t="s">
        <v>116</v>
      </c>
      <c r="C866" s="1" t="s">
        <v>1417</v>
      </c>
      <c r="D866" s="1" t="s">
        <v>117</v>
      </c>
      <c r="E866" s="1" t="s">
        <v>147</v>
      </c>
    </row>
    <row r="867" spans="1:5" x14ac:dyDescent="0.25">
      <c r="A867" s="13">
        <v>52207343</v>
      </c>
      <c r="B867" s="11" t="s">
        <v>84</v>
      </c>
      <c r="C867" s="1" t="s">
        <v>1416</v>
      </c>
      <c r="D867" s="1" t="s">
        <v>38</v>
      </c>
      <c r="E867" s="1" t="s">
        <v>2</v>
      </c>
    </row>
    <row r="868" spans="1:5" x14ac:dyDescent="0.25">
      <c r="A868" s="13">
        <v>52210265</v>
      </c>
      <c r="B868" s="11" t="s">
        <v>83</v>
      </c>
      <c r="C868" s="1" t="s">
        <v>1415</v>
      </c>
      <c r="D868" s="1" t="s">
        <v>40</v>
      </c>
      <c r="E868" s="1" t="s">
        <v>23</v>
      </c>
    </row>
    <row r="869" spans="1:5" x14ac:dyDescent="0.25">
      <c r="A869" s="13">
        <v>52211021</v>
      </c>
      <c r="B869" s="11" t="s">
        <v>84</v>
      </c>
      <c r="C869" s="1" t="s">
        <v>1414</v>
      </c>
      <c r="D869" s="1" t="s">
        <v>38</v>
      </c>
      <c r="E869" s="1" t="s">
        <v>12</v>
      </c>
    </row>
    <row r="870" spans="1:5" x14ac:dyDescent="0.25">
      <c r="A870" s="13">
        <v>52213366</v>
      </c>
      <c r="B870" s="11" t="s">
        <v>116</v>
      </c>
      <c r="C870" s="1" t="s">
        <v>1413</v>
      </c>
      <c r="D870" s="1" t="s">
        <v>117</v>
      </c>
      <c r="E870" s="1" t="s">
        <v>186</v>
      </c>
    </row>
    <row r="871" spans="1:5" x14ac:dyDescent="0.25">
      <c r="A871" s="13">
        <v>52213875</v>
      </c>
      <c r="B871" s="11" t="s">
        <v>84</v>
      </c>
      <c r="C871" s="1" t="s">
        <v>1412</v>
      </c>
      <c r="D871" s="1" t="s">
        <v>38</v>
      </c>
      <c r="E871" s="1" t="s">
        <v>12</v>
      </c>
    </row>
    <row r="872" spans="1:5" x14ac:dyDescent="0.25">
      <c r="A872" s="13">
        <v>52216090</v>
      </c>
      <c r="B872" s="11" t="s">
        <v>109</v>
      </c>
      <c r="C872" s="1" t="s">
        <v>1411</v>
      </c>
      <c r="D872" s="1" t="s">
        <v>131</v>
      </c>
      <c r="E872" s="1" t="s">
        <v>131</v>
      </c>
    </row>
    <row r="873" spans="1:5" x14ac:dyDescent="0.25">
      <c r="A873" s="13">
        <v>52220354</v>
      </c>
      <c r="B873" s="11" t="s">
        <v>83</v>
      </c>
      <c r="C873" s="1" t="s">
        <v>3679</v>
      </c>
      <c r="D873" s="1" t="s">
        <v>40</v>
      </c>
      <c r="E873" s="1" t="s">
        <v>23</v>
      </c>
    </row>
    <row r="874" spans="1:5" x14ac:dyDescent="0.25">
      <c r="A874" s="13">
        <v>52220884</v>
      </c>
      <c r="B874" s="11" t="s">
        <v>116</v>
      </c>
      <c r="C874" s="1" t="s">
        <v>1410</v>
      </c>
      <c r="D874" s="1" t="s">
        <v>117</v>
      </c>
      <c r="E874" s="1" t="s">
        <v>12</v>
      </c>
    </row>
    <row r="875" spans="1:5" x14ac:dyDescent="0.25">
      <c r="A875" s="13">
        <v>52221785</v>
      </c>
      <c r="B875" s="11" t="s">
        <v>116</v>
      </c>
      <c r="C875" s="1" t="s">
        <v>1409</v>
      </c>
      <c r="D875" s="1" t="s">
        <v>117</v>
      </c>
      <c r="E875" s="1" t="s">
        <v>147</v>
      </c>
    </row>
    <row r="876" spans="1:5" x14ac:dyDescent="0.25">
      <c r="A876" s="13">
        <v>52225312</v>
      </c>
      <c r="B876" s="11" t="s">
        <v>84</v>
      </c>
      <c r="C876" s="1" t="s">
        <v>1408</v>
      </c>
      <c r="D876" s="1" t="s">
        <v>203</v>
      </c>
      <c r="E876" s="1" t="s">
        <v>12</v>
      </c>
    </row>
    <row r="877" spans="1:5" x14ac:dyDescent="0.25">
      <c r="A877" s="13">
        <v>52225539</v>
      </c>
      <c r="B877" s="11" t="s">
        <v>83</v>
      </c>
      <c r="C877" s="1" t="s">
        <v>3701</v>
      </c>
      <c r="D877" s="1" t="s">
        <v>3632</v>
      </c>
      <c r="E877" s="1" t="s">
        <v>21</v>
      </c>
    </row>
    <row r="878" spans="1:5" x14ac:dyDescent="0.25">
      <c r="A878" s="13">
        <v>52226600</v>
      </c>
      <c r="B878" s="11" t="s">
        <v>116</v>
      </c>
      <c r="C878" s="1" t="s">
        <v>1407</v>
      </c>
      <c r="D878" s="1" t="s">
        <v>117</v>
      </c>
      <c r="E878" s="1" t="s">
        <v>10</v>
      </c>
    </row>
    <row r="879" spans="1:5" x14ac:dyDescent="0.25">
      <c r="A879" s="13">
        <v>52228362</v>
      </c>
      <c r="B879" s="11" t="s">
        <v>109</v>
      </c>
      <c r="C879" s="1" t="s">
        <v>1406</v>
      </c>
      <c r="D879" s="1" t="s">
        <v>131</v>
      </c>
      <c r="E879" s="1" t="s">
        <v>131</v>
      </c>
    </row>
    <row r="880" spans="1:5" x14ac:dyDescent="0.25">
      <c r="A880" s="13">
        <v>52229253</v>
      </c>
      <c r="B880" s="11" t="s">
        <v>84</v>
      </c>
      <c r="C880" s="1" t="s">
        <v>1405</v>
      </c>
      <c r="D880" s="1" t="s">
        <v>38</v>
      </c>
      <c r="E880" s="1" t="s">
        <v>3</v>
      </c>
    </row>
    <row r="881" spans="1:5" x14ac:dyDescent="0.25">
      <c r="A881" s="13">
        <v>52229618</v>
      </c>
      <c r="B881" s="11" t="s">
        <v>109</v>
      </c>
      <c r="C881" s="1" t="s">
        <v>1404</v>
      </c>
      <c r="D881" s="1" t="s">
        <v>131</v>
      </c>
      <c r="E881" s="1" t="s">
        <v>131</v>
      </c>
    </row>
    <row r="882" spans="1:5" x14ac:dyDescent="0.25">
      <c r="A882" s="13">
        <v>52231672</v>
      </c>
      <c r="B882" s="11" t="s">
        <v>109</v>
      </c>
      <c r="C882" s="1" t="s">
        <v>1402</v>
      </c>
      <c r="D882" s="1" t="s">
        <v>1026</v>
      </c>
      <c r="E882" s="1" t="s">
        <v>1403</v>
      </c>
    </row>
    <row r="883" spans="1:5" x14ac:dyDescent="0.25">
      <c r="A883" s="13">
        <v>52233259</v>
      </c>
      <c r="B883" s="11" t="s">
        <v>83</v>
      </c>
      <c r="C883" s="1" t="s">
        <v>1401</v>
      </c>
      <c r="D883" s="1" t="s">
        <v>684</v>
      </c>
      <c r="E883" s="1" t="s">
        <v>495</v>
      </c>
    </row>
    <row r="884" spans="1:5" x14ac:dyDescent="0.25">
      <c r="A884" s="13">
        <v>52243394</v>
      </c>
      <c r="B884" s="11" t="s">
        <v>83</v>
      </c>
      <c r="C884" s="1" t="s">
        <v>1400</v>
      </c>
      <c r="D884" s="1" t="s">
        <v>1170</v>
      </c>
      <c r="E884" s="1" t="s">
        <v>248</v>
      </c>
    </row>
    <row r="885" spans="1:5" x14ac:dyDescent="0.25">
      <c r="A885" s="13">
        <v>52249359</v>
      </c>
      <c r="B885" s="11" t="s">
        <v>84</v>
      </c>
      <c r="C885" s="1" t="s">
        <v>1399</v>
      </c>
      <c r="D885" s="1" t="s">
        <v>137</v>
      </c>
      <c r="E885" s="1" t="s">
        <v>142</v>
      </c>
    </row>
    <row r="886" spans="1:5" x14ac:dyDescent="0.25">
      <c r="A886" s="13">
        <v>52255632</v>
      </c>
      <c r="B886" s="11" t="s">
        <v>84</v>
      </c>
      <c r="C886" s="1" t="s">
        <v>1398</v>
      </c>
      <c r="D886" s="1" t="s">
        <v>43</v>
      </c>
      <c r="E886" s="1" t="s">
        <v>9</v>
      </c>
    </row>
    <row r="887" spans="1:5" x14ac:dyDescent="0.25">
      <c r="A887" s="13">
        <v>52259114</v>
      </c>
      <c r="B887" s="11" t="s">
        <v>84</v>
      </c>
      <c r="C887" s="1" t="s">
        <v>1397</v>
      </c>
      <c r="D887" s="1" t="s">
        <v>43</v>
      </c>
      <c r="E887" s="1" t="s">
        <v>263</v>
      </c>
    </row>
    <row r="888" spans="1:5" x14ac:dyDescent="0.25">
      <c r="A888" s="13">
        <v>52261177</v>
      </c>
      <c r="B888" s="11" t="s">
        <v>116</v>
      </c>
      <c r="C888" s="1" t="s">
        <v>1396</v>
      </c>
      <c r="D888" s="1" t="s">
        <v>117</v>
      </c>
      <c r="E888" s="1" t="s">
        <v>3553</v>
      </c>
    </row>
    <row r="889" spans="1:5" x14ac:dyDescent="0.25">
      <c r="A889" s="13">
        <v>52263099</v>
      </c>
      <c r="B889" s="11" t="s">
        <v>84</v>
      </c>
      <c r="C889" s="1" t="s">
        <v>1395</v>
      </c>
      <c r="D889" s="1" t="s">
        <v>43</v>
      </c>
      <c r="E889" s="1" t="s">
        <v>11</v>
      </c>
    </row>
    <row r="890" spans="1:5" x14ac:dyDescent="0.25">
      <c r="A890" s="13">
        <v>52263914</v>
      </c>
      <c r="B890" s="11" t="s">
        <v>84</v>
      </c>
      <c r="C890" s="1" t="s">
        <v>3216</v>
      </c>
      <c r="D890" s="1" t="s">
        <v>43</v>
      </c>
      <c r="E890" s="1" t="s">
        <v>328</v>
      </c>
    </row>
    <row r="891" spans="1:5" x14ac:dyDescent="0.25">
      <c r="A891" s="13">
        <v>52266603</v>
      </c>
      <c r="B891" s="11" t="s">
        <v>116</v>
      </c>
      <c r="C891" s="1" t="s">
        <v>1394</v>
      </c>
      <c r="D891" s="1" t="s">
        <v>117</v>
      </c>
      <c r="E891" s="1" t="s">
        <v>958</v>
      </c>
    </row>
    <row r="892" spans="1:5" x14ac:dyDescent="0.25">
      <c r="A892" s="13">
        <v>52270370</v>
      </c>
      <c r="B892" s="11" t="s">
        <v>116</v>
      </c>
      <c r="C892" s="1" t="s">
        <v>1393</v>
      </c>
      <c r="D892" s="1" t="s">
        <v>117</v>
      </c>
      <c r="E892" s="1" t="s">
        <v>3</v>
      </c>
    </row>
    <row r="893" spans="1:5" x14ac:dyDescent="0.25">
      <c r="A893" s="13">
        <v>52272531</v>
      </c>
      <c r="B893" s="11" t="s">
        <v>83</v>
      </c>
      <c r="C893" s="1" t="s">
        <v>1392</v>
      </c>
      <c r="D893" s="1" t="s">
        <v>49</v>
      </c>
      <c r="E893" s="1" t="s">
        <v>18</v>
      </c>
    </row>
    <row r="894" spans="1:5" x14ac:dyDescent="0.25">
      <c r="A894" s="13">
        <v>52273464</v>
      </c>
      <c r="B894" s="11" t="s">
        <v>83</v>
      </c>
      <c r="C894" s="1" t="s">
        <v>1391</v>
      </c>
      <c r="D894" s="1" t="s">
        <v>50</v>
      </c>
      <c r="E894" s="1" t="s">
        <v>21</v>
      </c>
    </row>
    <row r="895" spans="1:5" x14ac:dyDescent="0.25">
      <c r="A895" s="13">
        <v>52283759</v>
      </c>
      <c r="B895" s="11" t="s">
        <v>83</v>
      </c>
      <c r="C895" s="1" t="s">
        <v>1390</v>
      </c>
      <c r="D895" s="1" t="s">
        <v>40</v>
      </c>
      <c r="E895" s="1" t="s">
        <v>23</v>
      </c>
    </row>
    <row r="896" spans="1:5" x14ac:dyDescent="0.25">
      <c r="A896" s="13">
        <v>52283892</v>
      </c>
      <c r="B896" s="11" t="s">
        <v>109</v>
      </c>
      <c r="C896" s="1" t="s">
        <v>1389</v>
      </c>
      <c r="D896" s="1" t="s">
        <v>366</v>
      </c>
      <c r="E896" s="1" t="s">
        <v>4</v>
      </c>
    </row>
    <row r="897" spans="1:5" x14ac:dyDescent="0.25">
      <c r="A897" s="13">
        <v>52285249</v>
      </c>
      <c r="B897" s="11" t="s">
        <v>109</v>
      </c>
      <c r="C897" s="1" t="s">
        <v>1388</v>
      </c>
      <c r="D897" s="1" t="s">
        <v>131</v>
      </c>
      <c r="E897" s="1" t="s">
        <v>131</v>
      </c>
    </row>
    <row r="898" spans="1:5" x14ac:dyDescent="0.25">
      <c r="A898" s="13">
        <v>52290503</v>
      </c>
      <c r="B898" s="11" t="s">
        <v>83</v>
      </c>
      <c r="C898" s="1" t="s">
        <v>3554</v>
      </c>
      <c r="D898" s="1" t="s">
        <v>40</v>
      </c>
      <c r="E898" s="1" t="s">
        <v>23</v>
      </c>
    </row>
    <row r="899" spans="1:5" x14ac:dyDescent="0.25">
      <c r="A899" s="13">
        <v>52293939</v>
      </c>
      <c r="B899" s="11" t="s">
        <v>83</v>
      </c>
      <c r="C899" s="1" t="s">
        <v>1387</v>
      </c>
      <c r="D899" s="1" t="s">
        <v>100</v>
      </c>
      <c r="E899" s="1" t="s">
        <v>248</v>
      </c>
    </row>
    <row r="900" spans="1:5" x14ac:dyDescent="0.25">
      <c r="A900" s="13">
        <v>52294543</v>
      </c>
      <c r="B900" s="11" t="s">
        <v>109</v>
      </c>
      <c r="C900" s="1" t="s">
        <v>1386</v>
      </c>
      <c r="D900" s="1" t="s">
        <v>131</v>
      </c>
      <c r="E900" s="1" t="s">
        <v>131</v>
      </c>
    </row>
    <row r="901" spans="1:5" x14ac:dyDescent="0.25">
      <c r="A901" s="13">
        <v>52298788</v>
      </c>
      <c r="B901" s="11" t="s">
        <v>83</v>
      </c>
      <c r="C901" s="1" t="s">
        <v>1385</v>
      </c>
      <c r="D901" s="1" t="s">
        <v>36</v>
      </c>
      <c r="E901" s="1" t="s">
        <v>33</v>
      </c>
    </row>
    <row r="902" spans="1:5" x14ac:dyDescent="0.25">
      <c r="A902" s="13">
        <v>52302113</v>
      </c>
      <c r="B902" s="11" t="s">
        <v>116</v>
      </c>
      <c r="C902" s="1" t="s">
        <v>1384</v>
      </c>
      <c r="D902" s="1" t="s">
        <v>117</v>
      </c>
      <c r="E902" s="1" t="s">
        <v>263</v>
      </c>
    </row>
    <row r="903" spans="1:5" x14ac:dyDescent="0.25">
      <c r="A903" s="13">
        <v>52305019</v>
      </c>
      <c r="B903" s="11" t="s">
        <v>83</v>
      </c>
      <c r="C903" s="1" t="s">
        <v>1383</v>
      </c>
      <c r="D903" s="1" t="s">
        <v>1077</v>
      </c>
      <c r="E903" s="1" t="s">
        <v>28</v>
      </c>
    </row>
    <row r="904" spans="1:5" x14ac:dyDescent="0.25">
      <c r="A904" s="13">
        <v>52305822</v>
      </c>
      <c r="B904" s="11" t="s">
        <v>116</v>
      </c>
      <c r="C904" s="1" t="s">
        <v>1382</v>
      </c>
      <c r="D904" s="1" t="s">
        <v>117</v>
      </c>
      <c r="E904" s="1" t="s">
        <v>12</v>
      </c>
    </row>
    <row r="905" spans="1:5" x14ac:dyDescent="0.25">
      <c r="A905" s="13">
        <v>52310877</v>
      </c>
      <c r="B905" s="11" t="s">
        <v>83</v>
      </c>
      <c r="C905" s="1" t="s">
        <v>1380</v>
      </c>
      <c r="D905" s="1" t="s">
        <v>1381</v>
      </c>
      <c r="E905" s="1" t="s">
        <v>272</v>
      </c>
    </row>
    <row r="906" spans="1:5" x14ac:dyDescent="0.25">
      <c r="A906" s="13">
        <v>52313792</v>
      </c>
      <c r="B906" s="11" t="s">
        <v>116</v>
      </c>
      <c r="C906" s="1" t="s">
        <v>1379</v>
      </c>
      <c r="D906" s="1" t="s">
        <v>117</v>
      </c>
      <c r="E906" s="1" t="s">
        <v>8</v>
      </c>
    </row>
    <row r="907" spans="1:5" x14ac:dyDescent="0.25">
      <c r="A907" s="13">
        <v>52314634</v>
      </c>
      <c r="B907" s="11" t="s">
        <v>84</v>
      </c>
      <c r="C907" s="1" t="s">
        <v>1378</v>
      </c>
      <c r="D907" s="1" t="s">
        <v>38</v>
      </c>
      <c r="E907" s="1" t="s">
        <v>127</v>
      </c>
    </row>
    <row r="908" spans="1:5" x14ac:dyDescent="0.25">
      <c r="A908" s="13">
        <v>52328427</v>
      </c>
      <c r="B908" s="11" t="s">
        <v>83</v>
      </c>
      <c r="C908" s="1" t="s">
        <v>3217</v>
      </c>
      <c r="D908" s="1" t="s">
        <v>50</v>
      </c>
      <c r="E908" s="1" t="s">
        <v>21</v>
      </c>
    </row>
    <row r="909" spans="1:5" x14ac:dyDescent="0.25">
      <c r="A909" s="13">
        <v>52330467</v>
      </c>
      <c r="B909" s="11" t="s">
        <v>83</v>
      </c>
      <c r="C909" s="1" t="s">
        <v>3218</v>
      </c>
      <c r="D909" s="1" t="s">
        <v>40</v>
      </c>
      <c r="E909" s="1" t="s">
        <v>23</v>
      </c>
    </row>
    <row r="910" spans="1:5" x14ac:dyDescent="0.25">
      <c r="A910" s="13">
        <v>52331157</v>
      </c>
      <c r="B910" s="11" t="s">
        <v>116</v>
      </c>
      <c r="C910" s="1" t="s">
        <v>1377</v>
      </c>
      <c r="D910" s="1" t="s">
        <v>117</v>
      </c>
      <c r="E910" s="1" t="s">
        <v>168</v>
      </c>
    </row>
    <row r="911" spans="1:5" x14ac:dyDescent="0.25">
      <c r="A911" s="13">
        <v>52331505</v>
      </c>
      <c r="B911" s="11" t="s">
        <v>83</v>
      </c>
      <c r="C911" s="1" t="s">
        <v>1375</v>
      </c>
      <c r="D911" s="1" t="s">
        <v>1376</v>
      </c>
      <c r="E911" s="1" t="s">
        <v>17</v>
      </c>
    </row>
    <row r="912" spans="1:5" x14ac:dyDescent="0.25">
      <c r="A912" s="13">
        <v>52331799</v>
      </c>
      <c r="B912" s="11" t="s">
        <v>83</v>
      </c>
      <c r="C912" s="1" t="s">
        <v>1374</v>
      </c>
      <c r="D912" s="1" t="s">
        <v>47</v>
      </c>
      <c r="E912" s="1" t="s">
        <v>19</v>
      </c>
    </row>
    <row r="913" spans="1:5" x14ac:dyDescent="0.25">
      <c r="A913" s="13">
        <v>52336215</v>
      </c>
      <c r="B913" s="11" t="s">
        <v>116</v>
      </c>
      <c r="C913" s="1" t="s">
        <v>1373</v>
      </c>
      <c r="D913" s="1" t="s">
        <v>117</v>
      </c>
      <c r="E913" s="1" t="s">
        <v>168</v>
      </c>
    </row>
    <row r="914" spans="1:5" x14ac:dyDescent="0.25">
      <c r="A914" s="13">
        <v>52340553</v>
      </c>
      <c r="B914" s="11" t="s">
        <v>84</v>
      </c>
      <c r="C914" s="1" t="s">
        <v>1372</v>
      </c>
      <c r="D914" s="1" t="s">
        <v>38</v>
      </c>
      <c r="E914" s="1" t="s">
        <v>263</v>
      </c>
    </row>
    <row r="915" spans="1:5" x14ac:dyDescent="0.25">
      <c r="A915" s="13">
        <v>52344586</v>
      </c>
      <c r="B915" s="11" t="s">
        <v>84</v>
      </c>
      <c r="C915" s="1" t="s">
        <v>1371</v>
      </c>
      <c r="D915" s="1" t="s">
        <v>38</v>
      </c>
      <c r="E915" s="1" t="s">
        <v>15</v>
      </c>
    </row>
    <row r="916" spans="1:5" x14ac:dyDescent="0.25">
      <c r="A916" s="13">
        <v>52347412</v>
      </c>
      <c r="B916" s="11" t="s">
        <v>84</v>
      </c>
      <c r="C916" s="1" t="s">
        <v>1370</v>
      </c>
      <c r="D916" s="1" t="s">
        <v>151</v>
      </c>
      <c r="E916" s="1" t="s">
        <v>152</v>
      </c>
    </row>
    <row r="917" spans="1:5" x14ac:dyDescent="0.25">
      <c r="A917" s="13">
        <v>52348310</v>
      </c>
      <c r="B917" s="11" t="s">
        <v>83</v>
      </c>
      <c r="C917" s="1" t="s">
        <v>1368</v>
      </c>
      <c r="D917" s="1" t="s">
        <v>567</v>
      </c>
      <c r="E917" s="1" t="s">
        <v>16</v>
      </c>
    </row>
    <row r="918" spans="1:5" x14ac:dyDescent="0.25">
      <c r="A918" s="13">
        <v>52349716</v>
      </c>
      <c r="B918" s="11" t="s">
        <v>83</v>
      </c>
      <c r="C918" s="1" t="s">
        <v>1367</v>
      </c>
      <c r="D918" s="1" t="s">
        <v>1077</v>
      </c>
      <c r="E918" s="1" t="s">
        <v>31</v>
      </c>
    </row>
    <row r="919" spans="1:5" x14ac:dyDescent="0.25">
      <c r="A919" s="13">
        <v>52350067</v>
      </c>
      <c r="B919" s="11" t="s">
        <v>84</v>
      </c>
      <c r="C919" s="1" t="s">
        <v>1366</v>
      </c>
      <c r="D919" s="1" t="s">
        <v>43</v>
      </c>
      <c r="E919" s="1" t="s">
        <v>10</v>
      </c>
    </row>
    <row r="920" spans="1:5" x14ac:dyDescent="0.25">
      <c r="A920" s="13">
        <v>52356354</v>
      </c>
      <c r="B920" s="11" t="s">
        <v>84</v>
      </c>
      <c r="C920" s="1" t="s">
        <v>1365</v>
      </c>
      <c r="D920" s="1" t="s">
        <v>43</v>
      </c>
      <c r="E920" s="1" t="s">
        <v>8</v>
      </c>
    </row>
    <row r="921" spans="1:5" x14ac:dyDescent="0.25">
      <c r="A921" s="13">
        <v>52359037</v>
      </c>
      <c r="B921" s="11" t="s">
        <v>84</v>
      </c>
      <c r="C921" s="1" t="s">
        <v>1364</v>
      </c>
      <c r="D921" s="1" t="s">
        <v>38</v>
      </c>
      <c r="E921" s="1" t="s">
        <v>12</v>
      </c>
    </row>
    <row r="922" spans="1:5" x14ac:dyDescent="0.25">
      <c r="A922" s="13">
        <v>52360214</v>
      </c>
      <c r="B922" s="11" t="s">
        <v>116</v>
      </c>
      <c r="C922" s="1" t="s">
        <v>1363</v>
      </c>
      <c r="D922" s="1" t="s">
        <v>117</v>
      </c>
      <c r="E922" s="1" t="s">
        <v>417</v>
      </c>
    </row>
    <row r="923" spans="1:5" x14ac:dyDescent="0.25">
      <c r="A923" s="13">
        <v>52360337</v>
      </c>
      <c r="B923" s="11" t="s">
        <v>84</v>
      </c>
      <c r="C923" s="1" t="s">
        <v>1362</v>
      </c>
      <c r="D923" s="1" t="s">
        <v>973</v>
      </c>
      <c r="E923" s="1" t="s">
        <v>27</v>
      </c>
    </row>
    <row r="924" spans="1:5" x14ac:dyDescent="0.25">
      <c r="A924" s="13">
        <v>52360726</v>
      </c>
      <c r="B924" s="11" t="s">
        <v>116</v>
      </c>
      <c r="C924" s="1" t="s">
        <v>1361</v>
      </c>
      <c r="D924" s="1" t="s">
        <v>117</v>
      </c>
      <c r="E924" s="1" t="s">
        <v>147</v>
      </c>
    </row>
    <row r="925" spans="1:5" x14ac:dyDescent="0.25">
      <c r="A925" s="13">
        <v>52361213</v>
      </c>
      <c r="B925" s="11" t="s">
        <v>83</v>
      </c>
      <c r="C925" s="1" t="s">
        <v>3151</v>
      </c>
      <c r="D925" s="1" t="s">
        <v>40</v>
      </c>
      <c r="E925" s="1" t="s">
        <v>23</v>
      </c>
    </row>
    <row r="926" spans="1:5" x14ac:dyDescent="0.25">
      <c r="A926" s="13">
        <v>52364147</v>
      </c>
      <c r="B926" s="11" t="s">
        <v>84</v>
      </c>
      <c r="C926" s="1" t="s">
        <v>1360</v>
      </c>
      <c r="D926" s="1" t="s">
        <v>38</v>
      </c>
      <c r="E926" s="1" t="s">
        <v>3</v>
      </c>
    </row>
    <row r="927" spans="1:5" x14ac:dyDescent="0.25">
      <c r="A927" s="13">
        <v>52364402</v>
      </c>
      <c r="B927" s="11" t="s">
        <v>109</v>
      </c>
      <c r="C927" s="1" t="s">
        <v>1359</v>
      </c>
      <c r="D927" s="1" t="s">
        <v>131</v>
      </c>
      <c r="E927" s="1" t="s">
        <v>131</v>
      </c>
    </row>
    <row r="928" spans="1:5" x14ac:dyDescent="0.25">
      <c r="A928" s="13">
        <v>52365242</v>
      </c>
      <c r="B928" s="11" t="s">
        <v>83</v>
      </c>
      <c r="C928" s="1" t="s">
        <v>3219</v>
      </c>
      <c r="D928" s="1" t="s">
        <v>3220</v>
      </c>
      <c r="E928" s="1" t="s">
        <v>22</v>
      </c>
    </row>
    <row r="929" spans="1:5" x14ac:dyDescent="0.25">
      <c r="A929" s="13">
        <v>52376477</v>
      </c>
      <c r="B929" s="11" t="s">
        <v>116</v>
      </c>
      <c r="C929" s="1" t="s">
        <v>1358</v>
      </c>
      <c r="D929" s="1" t="s">
        <v>117</v>
      </c>
      <c r="E929" s="1" t="s">
        <v>12</v>
      </c>
    </row>
    <row r="930" spans="1:5" x14ac:dyDescent="0.25">
      <c r="A930" s="13">
        <v>52379235</v>
      </c>
      <c r="B930" s="11" t="s">
        <v>84</v>
      </c>
      <c r="C930" s="1" t="s">
        <v>1357</v>
      </c>
      <c r="D930" s="1" t="s">
        <v>38</v>
      </c>
      <c r="E930" s="1" t="s">
        <v>5</v>
      </c>
    </row>
    <row r="931" spans="1:5" x14ac:dyDescent="0.25">
      <c r="A931" s="13">
        <v>52380558</v>
      </c>
      <c r="B931" s="11" t="s">
        <v>83</v>
      </c>
      <c r="C931" s="1" t="s">
        <v>1356</v>
      </c>
      <c r="D931" s="1" t="s">
        <v>1170</v>
      </c>
      <c r="E931" s="1" t="s">
        <v>248</v>
      </c>
    </row>
    <row r="932" spans="1:5" x14ac:dyDescent="0.25">
      <c r="A932" s="13">
        <v>52380635</v>
      </c>
      <c r="B932" s="11" t="s">
        <v>84</v>
      </c>
      <c r="C932" s="1" t="s">
        <v>3221</v>
      </c>
      <c r="D932" s="1" t="s">
        <v>43</v>
      </c>
      <c r="E932" s="1" t="s">
        <v>11</v>
      </c>
    </row>
    <row r="933" spans="1:5" x14ac:dyDescent="0.25">
      <c r="A933" s="13">
        <v>52383262</v>
      </c>
      <c r="B933" s="11" t="s">
        <v>84</v>
      </c>
      <c r="C933" s="1" t="s">
        <v>1355</v>
      </c>
      <c r="D933" s="1" t="s">
        <v>43</v>
      </c>
      <c r="E933" s="1" t="s">
        <v>2</v>
      </c>
    </row>
    <row r="934" spans="1:5" x14ac:dyDescent="0.25">
      <c r="A934" s="13">
        <v>52411843</v>
      </c>
      <c r="B934" s="11" t="s">
        <v>83</v>
      </c>
      <c r="C934" s="1" t="s">
        <v>1352</v>
      </c>
      <c r="D934" s="1" t="s">
        <v>1353</v>
      </c>
      <c r="E934" s="1" t="s">
        <v>1354</v>
      </c>
    </row>
    <row r="935" spans="1:5" x14ac:dyDescent="0.25">
      <c r="A935" s="13">
        <v>52413271</v>
      </c>
      <c r="B935" s="11" t="s">
        <v>83</v>
      </c>
      <c r="C935" s="1" t="s">
        <v>1351</v>
      </c>
      <c r="D935" s="1" t="s">
        <v>49</v>
      </c>
      <c r="E935" s="1" t="s">
        <v>18</v>
      </c>
    </row>
    <row r="936" spans="1:5" x14ac:dyDescent="0.25">
      <c r="A936" s="13">
        <v>52418119</v>
      </c>
      <c r="B936" s="11" t="s">
        <v>109</v>
      </c>
      <c r="C936" s="1" t="s">
        <v>1350</v>
      </c>
      <c r="D936" s="1" t="s">
        <v>131</v>
      </c>
      <c r="E936" s="1" t="s">
        <v>131</v>
      </c>
    </row>
    <row r="937" spans="1:5" x14ac:dyDescent="0.25">
      <c r="A937" s="13">
        <v>52421927</v>
      </c>
      <c r="B937" s="11" t="s">
        <v>84</v>
      </c>
      <c r="C937" s="1" t="s">
        <v>1349</v>
      </c>
      <c r="D937" s="1" t="s">
        <v>38</v>
      </c>
      <c r="E937" s="1" t="s">
        <v>417</v>
      </c>
    </row>
    <row r="938" spans="1:5" x14ac:dyDescent="0.25">
      <c r="A938" s="13">
        <v>52422715</v>
      </c>
      <c r="B938" s="11" t="s">
        <v>84</v>
      </c>
      <c r="C938" s="1" t="s">
        <v>3222</v>
      </c>
      <c r="D938" s="1" t="s">
        <v>38</v>
      </c>
      <c r="E938" s="1" t="s">
        <v>15</v>
      </c>
    </row>
    <row r="939" spans="1:5" x14ac:dyDescent="0.25">
      <c r="A939" s="13">
        <v>52424694</v>
      </c>
      <c r="B939" s="11" t="s">
        <v>116</v>
      </c>
      <c r="C939" s="1" t="s">
        <v>1348</v>
      </c>
      <c r="D939" s="1" t="s">
        <v>117</v>
      </c>
      <c r="E939" s="1" t="s">
        <v>11</v>
      </c>
    </row>
    <row r="940" spans="1:5" x14ac:dyDescent="0.25">
      <c r="A940" s="13">
        <v>52425160</v>
      </c>
      <c r="B940" s="11" t="s">
        <v>84</v>
      </c>
      <c r="C940" s="1" t="s">
        <v>1347</v>
      </c>
      <c r="D940" s="1" t="s">
        <v>37</v>
      </c>
      <c r="E940" s="1" t="s">
        <v>27</v>
      </c>
    </row>
    <row r="941" spans="1:5" x14ac:dyDescent="0.25">
      <c r="A941" s="13">
        <v>52428506</v>
      </c>
      <c r="B941" s="11" t="s">
        <v>116</v>
      </c>
      <c r="C941" s="1" t="s">
        <v>1346</v>
      </c>
      <c r="D941" s="1" t="s">
        <v>117</v>
      </c>
      <c r="E941" s="1" t="s">
        <v>10</v>
      </c>
    </row>
    <row r="942" spans="1:5" x14ac:dyDescent="0.25">
      <c r="A942" s="13">
        <v>52429269</v>
      </c>
      <c r="B942" s="11" t="s">
        <v>84</v>
      </c>
      <c r="C942" s="1" t="s">
        <v>1344</v>
      </c>
      <c r="D942" s="1" t="s">
        <v>203</v>
      </c>
      <c r="E942" s="1" t="s">
        <v>1345</v>
      </c>
    </row>
    <row r="943" spans="1:5" x14ac:dyDescent="0.25">
      <c r="A943" s="13">
        <v>52431645</v>
      </c>
      <c r="B943" s="11" t="s">
        <v>116</v>
      </c>
      <c r="C943" s="1" t="s">
        <v>1343</v>
      </c>
      <c r="D943" s="1" t="s">
        <v>117</v>
      </c>
      <c r="E943" s="1" t="s">
        <v>7</v>
      </c>
    </row>
    <row r="944" spans="1:5" x14ac:dyDescent="0.25">
      <c r="A944" s="13">
        <v>52432971</v>
      </c>
      <c r="B944" s="11" t="s">
        <v>116</v>
      </c>
      <c r="C944" s="1" t="s">
        <v>1342</v>
      </c>
      <c r="D944" s="1" t="s">
        <v>117</v>
      </c>
      <c r="E944" s="1" t="s">
        <v>10</v>
      </c>
    </row>
    <row r="945" spans="1:5" x14ac:dyDescent="0.25">
      <c r="A945" s="13">
        <v>52432976</v>
      </c>
      <c r="B945" s="11" t="s">
        <v>116</v>
      </c>
      <c r="C945" s="1" t="s">
        <v>1341</v>
      </c>
      <c r="D945" s="1" t="s">
        <v>117</v>
      </c>
      <c r="E945" s="1" t="s">
        <v>168</v>
      </c>
    </row>
    <row r="946" spans="1:5" x14ac:dyDescent="0.25">
      <c r="A946" s="13">
        <v>52433088</v>
      </c>
      <c r="B946" s="11" t="s">
        <v>84</v>
      </c>
      <c r="C946" s="1" t="s">
        <v>1340</v>
      </c>
      <c r="D946" s="1" t="s">
        <v>38</v>
      </c>
      <c r="E946" s="1" t="s">
        <v>5</v>
      </c>
    </row>
    <row r="947" spans="1:5" x14ac:dyDescent="0.25">
      <c r="A947" s="13">
        <v>52433537</v>
      </c>
      <c r="B947" s="11" t="s">
        <v>84</v>
      </c>
      <c r="C947" s="1" t="s">
        <v>1339</v>
      </c>
      <c r="D947" s="1" t="s">
        <v>38</v>
      </c>
      <c r="E947" s="1" t="s">
        <v>12</v>
      </c>
    </row>
    <row r="948" spans="1:5" x14ac:dyDescent="0.25">
      <c r="A948" s="13">
        <v>52434030</v>
      </c>
      <c r="B948" s="11" t="s">
        <v>116</v>
      </c>
      <c r="C948" s="1" t="s">
        <v>1338</v>
      </c>
      <c r="D948" s="1" t="s">
        <v>117</v>
      </c>
      <c r="E948" s="1" t="s">
        <v>186</v>
      </c>
    </row>
    <row r="949" spans="1:5" x14ac:dyDescent="0.25">
      <c r="A949" s="13">
        <v>52438481</v>
      </c>
      <c r="B949" s="11" t="s">
        <v>84</v>
      </c>
      <c r="C949" s="1" t="s">
        <v>1337</v>
      </c>
      <c r="D949" s="1" t="s">
        <v>38</v>
      </c>
      <c r="E949" s="1" t="s">
        <v>8</v>
      </c>
    </row>
    <row r="950" spans="1:5" x14ac:dyDescent="0.25">
      <c r="A950" s="13">
        <v>52439929</v>
      </c>
      <c r="B950" s="11" t="s">
        <v>116</v>
      </c>
      <c r="C950" s="1" t="s">
        <v>1336</v>
      </c>
      <c r="D950" s="1" t="s">
        <v>117</v>
      </c>
      <c r="E950" s="1" t="s">
        <v>12</v>
      </c>
    </row>
    <row r="951" spans="1:5" x14ac:dyDescent="0.25">
      <c r="A951" s="13">
        <v>52442899</v>
      </c>
      <c r="B951" s="11" t="s">
        <v>84</v>
      </c>
      <c r="C951" s="1" t="s">
        <v>1335</v>
      </c>
      <c r="D951" s="1" t="s">
        <v>38</v>
      </c>
      <c r="E951" s="1" t="s">
        <v>5</v>
      </c>
    </row>
    <row r="952" spans="1:5" x14ac:dyDescent="0.25">
      <c r="A952" s="13">
        <v>52443092</v>
      </c>
      <c r="B952" s="11" t="s">
        <v>83</v>
      </c>
      <c r="C952" s="1" t="s">
        <v>3150</v>
      </c>
      <c r="D952" s="1" t="s">
        <v>40</v>
      </c>
      <c r="E952" s="1" t="s">
        <v>23</v>
      </c>
    </row>
    <row r="953" spans="1:5" x14ac:dyDescent="0.25">
      <c r="A953" s="13">
        <v>52447032</v>
      </c>
      <c r="B953" s="11" t="s">
        <v>116</v>
      </c>
      <c r="C953" s="1" t="s">
        <v>1334</v>
      </c>
      <c r="D953" s="1" t="s">
        <v>117</v>
      </c>
      <c r="E953" s="1" t="s">
        <v>147</v>
      </c>
    </row>
    <row r="954" spans="1:5" x14ac:dyDescent="0.25">
      <c r="A954" s="13">
        <v>52462923</v>
      </c>
      <c r="B954" s="11" t="s">
        <v>116</v>
      </c>
      <c r="C954" s="1" t="s">
        <v>1333</v>
      </c>
      <c r="D954" s="1" t="s">
        <v>117</v>
      </c>
      <c r="E954" s="1" t="s">
        <v>12</v>
      </c>
    </row>
    <row r="955" spans="1:5" x14ac:dyDescent="0.25">
      <c r="A955" s="13">
        <v>52466223</v>
      </c>
      <c r="B955" s="11" t="s">
        <v>116</v>
      </c>
      <c r="C955" s="1" t="s">
        <v>1332</v>
      </c>
      <c r="D955" s="1" t="s">
        <v>117</v>
      </c>
      <c r="E955" s="1" t="s">
        <v>186</v>
      </c>
    </row>
    <row r="956" spans="1:5" x14ac:dyDescent="0.25">
      <c r="A956" s="13">
        <v>52469481</v>
      </c>
      <c r="B956" s="11" t="s">
        <v>116</v>
      </c>
      <c r="C956" s="1" t="s">
        <v>1331</v>
      </c>
      <c r="D956" s="1" t="s">
        <v>117</v>
      </c>
      <c r="E956" s="1" t="s">
        <v>5</v>
      </c>
    </row>
    <row r="957" spans="1:5" x14ac:dyDescent="0.25">
      <c r="A957" s="13">
        <v>52472386</v>
      </c>
      <c r="B957" s="11" t="s">
        <v>83</v>
      </c>
      <c r="C957" s="1" t="s">
        <v>3555</v>
      </c>
      <c r="D957" s="1" t="s">
        <v>48</v>
      </c>
      <c r="E957" s="1" t="s">
        <v>196</v>
      </c>
    </row>
    <row r="958" spans="1:5" x14ac:dyDescent="0.25">
      <c r="A958" s="13">
        <v>52472884</v>
      </c>
      <c r="B958" s="11" t="s">
        <v>84</v>
      </c>
      <c r="C958" s="1" t="s">
        <v>1330</v>
      </c>
      <c r="D958" s="1" t="s">
        <v>38</v>
      </c>
      <c r="E958" s="1" t="s">
        <v>5</v>
      </c>
    </row>
    <row r="959" spans="1:5" x14ac:dyDescent="0.25">
      <c r="A959" s="13">
        <v>52472998</v>
      </c>
      <c r="B959" s="11" t="s">
        <v>116</v>
      </c>
      <c r="C959" s="1" t="s">
        <v>1329</v>
      </c>
      <c r="D959" s="1" t="s">
        <v>117</v>
      </c>
      <c r="E959" s="1" t="s">
        <v>12</v>
      </c>
    </row>
    <row r="960" spans="1:5" x14ac:dyDescent="0.25">
      <c r="A960" s="13">
        <v>52474489</v>
      </c>
      <c r="B960" s="11" t="s">
        <v>83</v>
      </c>
      <c r="C960" s="1" t="s">
        <v>1328</v>
      </c>
      <c r="D960" s="1" t="s">
        <v>3223</v>
      </c>
      <c r="E960" s="1" t="s">
        <v>30</v>
      </c>
    </row>
    <row r="961" spans="1:5" x14ac:dyDescent="0.25">
      <c r="A961" s="13">
        <v>52477583</v>
      </c>
      <c r="B961" s="11" t="s">
        <v>83</v>
      </c>
      <c r="C961" s="1" t="s">
        <v>1327</v>
      </c>
      <c r="D961" s="1" t="s">
        <v>40</v>
      </c>
      <c r="E961" s="1" t="s">
        <v>23</v>
      </c>
    </row>
    <row r="962" spans="1:5" x14ac:dyDescent="0.25">
      <c r="A962" s="13">
        <v>52478309</v>
      </c>
      <c r="B962" s="11" t="s">
        <v>84</v>
      </c>
      <c r="C962" s="1" t="s">
        <v>1326</v>
      </c>
      <c r="D962" s="1" t="s">
        <v>38</v>
      </c>
      <c r="E962" s="1" t="s">
        <v>10</v>
      </c>
    </row>
    <row r="963" spans="1:5" x14ac:dyDescent="0.25">
      <c r="A963" s="13">
        <v>52481093</v>
      </c>
      <c r="B963" s="11" t="s">
        <v>83</v>
      </c>
      <c r="C963" s="1" t="s">
        <v>1325</v>
      </c>
      <c r="D963" s="1" t="s">
        <v>47</v>
      </c>
      <c r="E963" s="1" t="s">
        <v>196</v>
      </c>
    </row>
    <row r="964" spans="1:5" x14ac:dyDescent="0.25">
      <c r="A964" s="13">
        <v>52481245</v>
      </c>
      <c r="B964" s="11" t="s">
        <v>84</v>
      </c>
      <c r="C964" s="1" t="s">
        <v>1324</v>
      </c>
      <c r="D964" s="1" t="s">
        <v>38</v>
      </c>
      <c r="E964" s="1" t="s">
        <v>5</v>
      </c>
    </row>
    <row r="965" spans="1:5" x14ac:dyDescent="0.25">
      <c r="A965" s="13">
        <v>52481362</v>
      </c>
      <c r="B965" s="11" t="s">
        <v>116</v>
      </c>
      <c r="C965" s="1" t="s">
        <v>1323</v>
      </c>
      <c r="D965" s="1" t="s">
        <v>117</v>
      </c>
      <c r="E965" s="1" t="s">
        <v>127</v>
      </c>
    </row>
    <row r="966" spans="1:5" x14ac:dyDescent="0.25">
      <c r="A966" s="13">
        <v>52482518</v>
      </c>
      <c r="B966" s="11" t="s">
        <v>116</v>
      </c>
      <c r="C966" s="1" t="s">
        <v>1322</v>
      </c>
      <c r="D966" s="1" t="s">
        <v>117</v>
      </c>
      <c r="E966" s="1" t="s">
        <v>417</v>
      </c>
    </row>
    <row r="967" spans="1:5" x14ac:dyDescent="0.25">
      <c r="A967" s="13">
        <v>52484165</v>
      </c>
      <c r="B967" s="11" t="s">
        <v>83</v>
      </c>
      <c r="C967" s="1" t="s">
        <v>1321</v>
      </c>
      <c r="D967" s="1" t="s">
        <v>47</v>
      </c>
      <c r="E967" s="1" t="s">
        <v>196</v>
      </c>
    </row>
    <row r="968" spans="1:5" x14ac:dyDescent="0.25">
      <c r="A968" s="13">
        <v>52484739</v>
      </c>
      <c r="B968" s="11" t="s">
        <v>84</v>
      </c>
      <c r="C968" s="1" t="s">
        <v>1320</v>
      </c>
      <c r="D968" s="1" t="s">
        <v>43</v>
      </c>
      <c r="E968" s="1" t="s">
        <v>11</v>
      </c>
    </row>
    <row r="969" spans="1:5" x14ac:dyDescent="0.25">
      <c r="A969" s="13">
        <v>52490324</v>
      </c>
      <c r="B969" s="11" t="s">
        <v>83</v>
      </c>
      <c r="C969" s="1" t="s">
        <v>1319</v>
      </c>
      <c r="D969" s="1" t="s">
        <v>3224</v>
      </c>
      <c r="E969" s="1" t="s">
        <v>21</v>
      </c>
    </row>
    <row r="970" spans="1:5" x14ac:dyDescent="0.25">
      <c r="A970" s="13">
        <v>52490659</v>
      </c>
      <c r="B970" s="11" t="s">
        <v>83</v>
      </c>
      <c r="C970" s="1" t="s">
        <v>1318</v>
      </c>
      <c r="D970" s="1" t="s">
        <v>74</v>
      </c>
      <c r="E970" s="1" t="s">
        <v>25</v>
      </c>
    </row>
    <row r="971" spans="1:5" x14ac:dyDescent="0.25">
      <c r="A971" s="13">
        <v>52490856</v>
      </c>
      <c r="B971" s="11" t="s">
        <v>116</v>
      </c>
      <c r="C971" s="1" t="s">
        <v>1317</v>
      </c>
      <c r="D971" s="1" t="s">
        <v>117</v>
      </c>
      <c r="E971" s="1" t="s">
        <v>12</v>
      </c>
    </row>
    <row r="972" spans="1:5" x14ac:dyDescent="0.25">
      <c r="A972" s="13">
        <v>52492646</v>
      </c>
      <c r="B972" s="11" t="s">
        <v>116</v>
      </c>
      <c r="C972" s="1" t="s">
        <v>1316</v>
      </c>
      <c r="D972" s="1" t="s">
        <v>117</v>
      </c>
      <c r="E972" s="1" t="s">
        <v>3130</v>
      </c>
    </row>
    <row r="973" spans="1:5" x14ac:dyDescent="0.25">
      <c r="A973" s="13">
        <v>52493775</v>
      </c>
      <c r="B973" s="11" t="s">
        <v>84</v>
      </c>
      <c r="C973" s="1" t="s">
        <v>1315</v>
      </c>
      <c r="D973" s="1" t="s">
        <v>38</v>
      </c>
      <c r="E973" s="1" t="s">
        <v>881</v>
      </c>
    </row>
    <row r="974" spans="1:5" x14ac:dyDescent="0.25">
      <c r="A974" s="13">
        <v>52501861</v>
      </c>
      <c r="B974" s="11" t="s">
        <v>84</v>
      </c>
      <c r="C974" s="1" t="s">
        <v>3100</v>
      </c>
      <c r="D974" s="1" t="s">
        <v>38</v>
      </c>
      <c r="E974" s="1" t="s">
        <v>5</v>
      </c>
    </row>
    <row r="975" spans="1:5" x14ac:dyDescent="0.25">
      <c r="A975" s="13">
        <v>52504137</v>
      </c>
      <c r="B975" s="11" t="s">
        <v>83</v>
      </c>
      <c r="C975" s="1" t="s">
        <v>1314</v>
      </c>
      <c r="D975" s="1" t="s">
        <v>47</v>
      </c>
      <c r="E975" s="1" t="s">
        <v>17</v>
      </c>
    </row>
    <row r="976" spans="1:5" x14ac:dyDescent="0.25">
      <c r="A976" s="13">
        <v>52504461</v>
      </c>
      <c r="B976" s="11" t="s">
        <v>83</v>
      </c>
      <c r="C976" s="1" t="s">
        <v>1313</v>
      </c>
      <c r="D976" s="1" t="s">
        <v>1222</v>
      </c>
      <c r="E976" s="1" t="s">
        <v>272</v>
      </c>
    </row>
    <row r="977" spans="1:5" x14ac:dyDescent="0.25">
      <c r="A977" s="13">
        <v>52506860</v>
      </c>
      <c r="B977" s="11" t="s">
        <v>83</v>
      </c>
      <c r="C977" s="1" t="s">
        <v>1312</v>
      </c>
      <c r="D977" s="1" t="s">
        <v>53</v>
      </c>
      <c r="E977" s="1" t="s">
        <v>4</v>
      </c>
    </row>
    <row r="978" spans="1:5" x14ac:dyDescent="0.25">
      <c r="A978" s="13">
        <v>52507268</v>
      </c>
      <c r="B978" s="11" t="s">
        <v>83</v>
      </c>
      <c r="C978" s="1" t="s">
        <v>1311</v>
      </c>
      <c r="D978" s="1" t="s">
        <v>1158</v>
      </c>
      <c r="E978" s="1" t="s">
        <v>27</v>
      </c>
    </row>
    <row r="979" spans="1:5" x14ac:dyDescent="0.25">
      <c r="A979" s="13">
        <v>52507469</v>
      </c>
      <c r="B979" s="11" t="s">
        <v>84</v>
      </c>
      <c r="C979" s="1" t="s">
        <v>1310</v>
      </c>
      <c r="D979" s="1" t="s">
        <v>973</v>
      </c>
      <c r="E979" s="1" t="s">
        <v>939</v>
      </c>
    </row>
    <row r="980" spans="1:5" x14ac:dyDescent="0.25">
      <c r="A980" s="13">
        <v>52507941</v>
      </c>
      <c r="B980" s="11" t="s">
        <v>116</v>
      </c>
      <c r="C980" s="1" t="s">
        <v>1309</v>
      </c>
      <c r="D980" s="1" t="s">
        <v>117</v>
      </c>
      <c r="E980" s="1" t="s">
        <v>263</v>
      </c>
    </row>
    <row r="981" spans="1:5" x14ac:dyDescent="0.25">
      <c r="A981" s="13">
        <v>52515340</v>
      </c>
      <c r="B981" s="11" t="s">
        <v>116</v>
      </c>
      <c r="C981" s="1" t="s">
        <v>1308</v>
      </c>
      <c r="D981" s="1" t="s">
        <v>117</v>
      </c>
      <c r="E981" s="1" t="s">
        <v>11</v>
      </c>
    </row>
    <row r="982" spans="1:5" x14ac:dyDescent="0.25">
      <c r="A982" s="13">
        <v>52515979</v>
      </c>
      <c r="B982" s="11" t="s">
        <v>84</v>
      </c>
      <c r="C982" s="1" t="s">
        <v>1307</v>
      </c>
      <c r="D982" s="1" t="s">
        <v>43</v>
      </c>
      <c r="E982" s="1" t="s">
        <v>147</v>
      </c>
    </row>
    <row r="983" spans="1:5" x14ac:dyDescent="0.25">
      <c r="A983" s="13">
        <v>52525543</v>
      </c>
      <c r="B983" s="11" t="s">
        <v>84</v>
      </c>
      <c r="C983" s="1" t="s">
        <v>3060</v>
      </c>
      <c r="D983" s="1" t="s">
        <v>41</v>
      </c>
      <c r="E983" s="1" t="s">
        <v>1</v>
      </c>
    </row>
    <row r="984" spans="1:5" x14ac:dyDescent="0.25">
      <c r="A984" s="13">
        <v>52531949</v>
      </c>
      <c r="B984" s="11" t="s">
        <v>84</v>
      </c>
      <c r="C984" s="1" t="s">
        <v>1306</v>
      </c>
      <c r="D984" s="1" t="s">
        <v>43</v>
      </c>
      <c r="E984" s="1" t="s">
        <v>10</v>
      </c>
    </row>
    <row r="985" spans="1:5" x14ac:dyDescent="0.25">
      <c r="A985" s="13">
        <v>52534196</v>
      </c>
      <c r="B985" s="11" t="s">
        <v>116</v>
      </c>
      <c r="C985" s="1" t="s">
        <v>1305</v>
      </c>
      <c r="D985" s="1" t="s">
        <v>117</v>
      </c>
      <c r="E985" s="1" t="s">
        <v>417</v>
      </c>
    </row>
    <row r="986" spans="1:5" x14ac:dyDescent="0.25">
      <c r="A986" s="13">
        <v>52537301</v>
      </c>
      <c r="B986" s="11" t="s">
        <v>83</v>
      </c>
      <c r="C986" s="1" t="s">
        <v>3116</v>
      </c>
      <c r="D986" s="1" t="s">
        <v>48</v>
      </c>
      <c r="E986" s="1" t="s">
        <v>19</v>
      </c>
    </row>
    <row r="987" spans="1:5" x14ac:dyDescent="0.25">
      <c r="A987" s="13">
        <v>52539502</v>
      </c>
      <c r="B987" s="11" t="s">
        <v>116</v>
      </c>
      <c r="C987" s="1" t="s">
        <v>1304</v>
      </c>
      <c r="D987" s="1" t="s">
        <v>117</v>
      </c>
      <c r="E987" s="1" t="s">
        <v>417</v>
      </c>
    </row>
    <row r="988" spans="1:5" x14ac:dyDescent="0.25">
      <c r="A988" s="13">
        <v>52539978</v>
      </c>
      <c r="B988" s="11" t="s">
        <v>83</v>
      </c>
      <c r="C988" s="1" t="s">
        <v>1303</v>
      </c>
      <c r="D988" s="1" t="s">
        <v>1077</v>
      </c>
      <c r="E988" s="1" t="s">
        <v>26</v>
      </c>
    </row>
    <row r="989" spans="1:5" x14ac:dyDescent="0.25">
      <c r="A989" s="13">
        <v>52542938</v>
      </c>
      <c r="B989" s="11" t="s">
        <v>84</v>
      </c>
      <c r="C989" s="1" t="s">
        <v>1300</v>
      </c>
      <c r="D989" s="1" t="s">
        <v>1301</v>
      </c>
      <c r="E989" s="1" t="s">
        <v>1302</v>
      </c>
    </row>
    <row r="990" spans="1:5" x14ac:dyDescent="0.25">
      <c r="A990" s="13">
        <v>52544239</v>
      </c>
      <c r="B990" s="11" t="s">
        <v>116</v>
      </c>
      <c r="C990" s="1" t="s">
        <v>1299</v>
      </c>
      <c r="D990" s="1" t="s">
        <v>117</v>
      </c>
      <c r="E990" s="1" t="s">
        <v>12</v>
      </c>
    </row>
    <row r="991" spans="1:5" x14ac:dyDescent="0.25">
      <c r="A991" s="13">
        <v>52548295</v>
      </c>
      <c r="B991" s="11" t="s">
        <v>83</v>
      </c>
      <c r="C991" s="1" t="s">
        <v>1297</v>
      </c>
      <c r="D991" s="1" t="s">
        <v>1298</v>
      </c>
      <c r="E991" s="1" t="s">
        <v>19</v>
      </c>
    </row>
    <row r="992" spans="1:5" x14ac:dyDescent="0.25">
      <c r="A992" s="13">
        <v>52550334</v>
      </c>
      <c r="B992" s="11" t="s">
        <v>83</v>
      </c>
      <c r="C992" s="1" t="s">
        <v>3556</v>
      </c>
      <c r="D992" s="1" t="s">
        <v>3198</v>
      </c>
      <c r="E992" s="1" t="s">
        <v>196</v>
      </c>
    </row>
    <row r="993" spans="1:5" x14ac:dyDescent="0.25">
      <c r="A993" s="13">
        <v>52553355</v>
      </c>
      <c r="B993" s="11" t="s">
        <v>116</v>
      </c>
      <c r="C993" s="1" t="s">
        <v>1296</v>
      </c>
      <c r="D993" s="1" t="s">
        <v>117</v>
      </c>
      <c r="E993" s="1" t="s">
        <v>120</v>
      </c>
    </row>
    <row r="994" spans="1:5" x14ac:dyDescent="0.25">
      <c r="A994" s="13">
        <v>52556099</v>
      </c>
      <c r="B994" s="11" t="s">
        <v>109</v>
      </c>
      <c r="C994" s="1" t="s">
        <v>1295</v>
      </c>
      <c r="D994" s="1" t="s">
        <v>131</v>
      </c>
      <c r="E994" s="1" t="s">
        <v>131</v>
      </c>
    </row>
    <row r="995" spans="1:5" x14ac:dyDescent="0.25">
      <c r="A995" s="13">
        <v>52562100</v>
      </c>
      <c r="B995" s="11" t="s">
        <v>116</v>
      </c>
      <c r="C995" s="1" t="s">
        <v>1294</v>
      </c>
      <c r="D995" s="1" t="s">
        <v>117</v>
      </c>
      <c r="E995" s="1" t="s">
        <v>168</v>
      </c>
    </row>
    <row r="996" spans="1:5" x14ac:dyDescent="0.25">
      <c r="A996" s="13">
        <v>52580974</v>
      </c>
      <c r="B996" s="11" t="s">
        <v>84</v>
      </c>
      <c r="C996" s="1" t="s">
        <v>1293</v>
      </c>
      <c r="D996" s="1" t="s">
        <v>43</v>
      </c>
      <c r="E996" s="1" t="s">
        <v>147</v>
      </c>
    </row>
    <row r="997" spans="1:5" x14ac:dyDescent="0.25">
      <c r="A997" s="13">
        <v>52583457</v>
      </c>
      <c r="B997" s="11" t="s">
        <v>84</v>
      </c>
      <c r="C997" s="1" t="s">
        <v>1292</v>
      </c>
      <c r="D997" s="1" t="s">
        <v>37</v>
      </c>
      <c r="E997" s="1" t="s">
        <v>27</v>
      </c>
    </row>
    <row r="998" spans="1:5" x14ac:dyDescent="0.25">
      <c r="A998" s="13">
        <v>52603556</v>
      </c>
      <c r="B998" s="11" t="s">
        <v>83</v>
      </c>
      <c r="C998" s="1" t="s">
        <v>3225</v>
      </c>
      <c r="D998" s="1" t="s">
        <v>40</v>
      </c>
      <c r="E998" s="1" t="s">
        <v>23</v>
      </c>
    </row>
    <row r="999" spans="1:5" x14ac:dyDescent="0.25">
      <c r="A999" s="13">
        <v>52620599</v>
      </c>
      <c r="B999" s="11" t="s">
        <v>84</v>
      </c>
      <c r="C999" s="1" t="s">
        <v>1291</v>
      </c>
      <c r="D999" s="1" t="s">
        <v>62</v>
      </c>
      <c r="E999" s="1" t="s">
        <v>17</v>
      </c>
    </row>
    <row r="1000" spans="1:5" x14ac:dyDescent="0.25">
      <c r="A1000" s="13">
        <v>52622527</v>
      </c>
      <c r="B1000" s="11" t="s">
        <v>83</v>
      </c>
      <c r="C1000" s="1" t="s">
        <v>1289</v>
      </c>
      <c r="D1000" s="1" t="s">
        <v>1290</v>
      </c>
      <c r="E1000" s="1" t="s">
        <v>778</v>
      </c>
    </row>
    <row r="1001" spans="1:5" x14ac:dyDescent="0.25">
      <c r="A1001" s="13">
        <v>52655082</v>
      </c>
      <c r="B1001" s="11" t="s">
        <v>116</v>
      </c>
      <c r="C1001" s="1" t="s">
        <v>1288</v>
      </c>
      <c r="D1001" s="1" t="s">
        <v>117</v>
      </c>
      <c r="E1001" s="1" t="s">
        <v>232</v>
      </c>
    </row>
    <row r="1002" spans="1:5" x14ac:dyDescent="0.25">
      <c r="A1002" s="13">
        <v>52660957</v>
      </c>
      <c r="B1002" s="11" t="s">
        <v>83</v>
      </c>
      <c r="C1002" s="1" t="s">
        <v>1287</v>
      </c>
      <c r="D1002" s="1" t="s">
        <v>56</v>
      </c>
      <c r="E1002" s="1" t="s">
        <v>495</v>
      </c>
    </row>
    <row r="1003" spans="1:5" x14ac:dyDescent="0.25">
      <c r="A1003" s="13">
        <v>52666702</v>
      </c>
      <c r="B1003" s="11" t="s">
        <v>83</v>
      </c>
      <c r="C1003" s="1" t="s">
        <v>1285</v>
      </c>
      <c r="D1003" s="1" t="s">
        <v>1286</v>
      </c>
      <c r="E1003" s="1" t="s">
        <v>525</v>
      </c>
    </row>
    <row r="1004" spans="1:5" x14ac:dyDescent="0.25">
      <c r="A1004" s="13">
        <v>52693265</v>
      </c>
      <c r="B1004" s="11" t="s">
        <v>83</v>
      </c>
      <c r="C1004" s="1" t="s">
        <v>1283</v>
      </c>
      <c r="D1004" s="1" t="s">
        <v>1284</v>
      </c>
      <c r="E1004" s="1" t="s">
        <v>20</v>
      </c>
    </row>
    <row r="1005" spans="1:5" x14ac:dyDescent="0.25">
      <c r="A1005" s="13">
        <v>52697966</v>
      </c>
      <c r="B1005" s="11" t="s">
        <v>116</v>
      </c>
      <c r="C1005" s="1" t="s">
        <v>1282</v>
      </c>
      <c r="D1005" s="1" t="s">
        <v>117</v>
      </c>
      <c r="E1005" s="1" t="s">
        <v>11</v>
      </c>
    </row>
    <row r="1006" spans="1:5" x14ac:dyDescent="0.25">
      <c r="A1006" s="13">
        <v>52698040</v>
      </c>
      <c r="B1006" s="11" t="s">
        <v>116</v>
      </c>
      <c r="C1006" s="1" t="s">
        <v>1281</v>
      </c>
      <c r="D1006" s="1" t="s">
        <v>117</v>
      </c>
      <c r="E1006" s="1" t="s">
        <v>263</v>
      </c>
    </row>
    <row r="1007" spans="1:5" x14ac:dyDescent="0.25">
      <c r="A1007" s="13">
        <v>52699894</v>
      </c>
      <c r="B1007" s="11" t="s">
        <v>116</v>
      </c>
      <c r="C1007" s="1" t="s">
        <v>1280</v>
      </c>
      <c r="D1007" s="1" t="s">
        <v>117</v>
      </c>
      <c r="E1007" s="1" t="s">
        <v>8</v>
      </c>
    </row>
    <row r="1008" spans="1:5" x14ac:dyDescent="0.25">
      <c r="A1008" s="13">
        <v>52701875</v>
      </c>
      <c r="B1008" s="11" t="s">
        <v>116</v>
      </c>
      <c r="C1008" s="1" t="s">
        <v>1279</v>
      </c>
      <c r="D1008" s="1" t="s">
        <v>117</v>
      </c>
      <c r="E1008" s="1" t="s">
        <v>11</v>
      </c>
    </row>
    <row r="1009" spans="1:5" x14ac:dyDescent="0.25">
      <c r="A1009" s="13">
        <v>52703052</v>
      </c>
      <c r="B1009" s="11" t="s">
        <v>109</v>
      </c>
      <c r="C1009" s="1" t="s">
        <v>1278</v>
      </c>
      <c r="D1009" s="1" t="s">
        <v>366</v>
      </c>
      <c r="E1009" s="1" t="s">
        <v>4</v>
      </c>
    </row>
    <row r="1010" spans="1:5" x14ac:dyDescent="0.25">
      <c r="A1010" s="13">
        <v>52707526</v>
      </c>
      <c r="B1010" s="11" t="s">
        <v>116</v>
      </c>
      <c r="C1010" s="1" t="s">
        <v>1277</v>
      </c>
      <c r="D1010" s="1" t="s">
        <v>117</v>
      </c>
      <c r="E1010" s="1" t="s">
        <v>491</v>
      </c>
    </row>
    <row r="1011" spans="1:5" x14ac:dyDescent="0.25">
      <c r="A1011" s="13">
        <v>52707763</v>
      </c>
      <c r="B1011" s="11" t="s">
        <v>116</v>
      </c>
      <c r="C1011" s="1" t="s">
        <v>1275</v>
      </c>
      <c r="D1011" s="1" t="s">
        <v>117</v>
      </c>
      <c r="E1011" s="1" t="s">
        <v>1276</v>
      </c>
    </row>
    <row r="1012" spans="1:5" x14ac:dyDescent="0.25">
      <c r="A1012" s="13">
        <v>52707816</v>
      </c>
      <c r="B1012" s="11" t="s">
        <v>109</v>
      </c>
      <c r="C1012" s="1" t="s">
        <v>1274</v>
      </c>
      <c r="D1012" s="1" t="s">
        <v>131</v>
      </c>
      <c r="E1012" s="1" t="s">
        <v>131</v>
      </c>
    </row>
    <row r="1013" spans="1:5" x14ac:dyDescent="0.25">
      <c r="A1013" s="13">
        <v>52708259</v>
      </c>
      <c r="B1013" s="11" t="s">
        <v>116</v>
      </c>
      <c r="C1013" s="1" t="s">
        <v>3557</v>
      </c>
      <c r="D1013" s="1" t="s">
        <v>117</v>
      </c>
      <c r="E1013" s="1" t="s">
        <v>3708</v>
      </c>
    </row>
    <row r="1014" spans="1:5" x14ac:dyDescent="0.25">
      <c r="A1014" s="13">
        <v>52708748</v>
      </c>
      <c r="B1014" s="11" t="s">
        <v>83</v>
      </c>
      <c r="C1014" s="1" t="s">
        <v>1273</v>
      </c>
      <c r="D1014" s="1" t="s">
        <v>59</v>
      </c>
      <c r="E1014" s="1" t="s">
        <v>19</v>
      </c>
    </row>
    <row r="1015" spans="1:5" x14ac:dyDescent="0.25">
      <c r="A1015" s="13">
        <v>52712718</v>
      </c>
      <c r="B1015" s="11" t="s">
        <v>83</v>
      </c>
      <c r="C1015" s="1" t="s">
        <v>1272</v>
      </c>
      <c r="D1015" s="1" t="s">
        <v>1077</v>
      </c>
      <c r="E1015" s="1" t="s">
        <v>28</v>
      </c>
    </row>
    <row r="1016" spans="1:5" x14ac:dyDescent="0.25">
      <c r="A1016" s="13">
        <v>52715162</v>
      </c>
      <c r="B1016" s="11" t="s">
        <v>116</v>
      </c>
      <c r="C1016" s="1" t="s">
        <v>1271</v>
      </c>
      <c r="D1016" s="1" t="s">
        <v>117</v>
      </c>
      <c r="E1016" s="1" t="s">
        <v>9</v>
      </c>
    </row>
    <row r="1017" spans="1:5" x14ac:dyDescent="0.25">
      <c r="A1017" s="13">
        <v>52715856</v>
      </c>
      <c r="B1017" s="11" t="s">
        <v>116</v>
      </c>
      <c r="C1017" s="1" t="s">
        <v>1270</v>
      </c>
      <c r="D1017" s="1" t="s">
        <v>117</v>
      </c>
      <c r="E1017" s="1" t="s">
        <v>2</v>
      </c>
    </row>
    <row r="1018" spans="1:5" x14ac:dyDescent="0.25">
      <c r="A1018" s="13">
        <v>52716134</v>
      </c>
      <c r="B1018" s="11" t="s">
        <v>116</v>
      </c>
      <c r="C1018" s="1" t="s">
        <v>1269</v>
      </c>
      <c r="D1018" s="1" t="s">
        <v>117</v>
      </c>
      <c r="E1018" s="1" t="s">
        <v>263</v>
      </c>
    </row>
    <row r="1019" spans="1:5" x14ac:dyDescent="0.25">
      <c r="A1019" s="13">
        <v>52717893</v>
      </c>
      <c r="B1019" s="11" t="s">
        <v>116</v>
      </c>
      <c r="C1019" s="1" t="s">
        <v>1268</v>
      </c>
      <c r="D1019" s="1" t="s">
        <v>117</v>
      </c>
      <c r="E1019" s="1" t="s">
        <v>86</v>
      </c>
    </row>
    <row r="1020" spans="1:5" x14ac:dyDescent="0.25">
      <c r="A1020" s="13">
        <v>52718431</v>
      </c>
      <c r="B1020" s="11" t="s">
        <v>116</v>
      </c>
      <c r="C1020" s="1" t="s">
        <v>3039</v>
      </c>
      <c r="D1020" s="1" t="s">
        <v>117</v>
      </c>
      <c r="E1020" s="1" t="s">
        <v>120</v>
      </c>
    </row>
    <row r="1021" spans="1:5" x14ac:dyDescent="0.25">
      <c r="A1021" s="13">
        <v>52725149</v>
      </c>
      <c r="B1021" s="11" t="s">
        <v>84</v>
      </c>
      <c r="C1021" s="1" t="s">
        <v>1267</v>
      </c>
      <c r="D1021" s="1" t="s">
        <v>38</v>
      </c>
      <c r="E1021" s="1" t="s">
        <v>263</v>
      </c>
    </row>
    <row r="1022" spans="1:5" x14ac:dyDescent="0.25">
      <c r="A1022" s="13">
        <v>52727830</v>
      </c>
      <c r="B1022" s="11" t="s">
        <v>84</v>
      </c>
      <c r="C1022" s="1" t="s">
        <v>1266</v>
      </c>
      <c r="D1022" s="1" t="s">
        <v>38</v>
      </c>
      <c r="E1022" s="1" t="s">
        <v>12</v>
      </c>
    </row>
    <row r="1023" spans="1:5" x14ac:dyDescent="0.25">
      <c r="A1023" s="13">
        <v>52733466</v>
      </c>
      <c r="B1023" s="11" t="s">
        <v>116</v>
      </c>
      <c r="C1023" s="1" t="s">
        <v>1265</v>
      </c>
      <c r="D1023" s="1" t="s">
        <v>117</v>
      </c>
      <c r="E1023" s="1" t="s">
        <v>10</v>
      </c>
    </row>
    <row r="1024" spans="1:5" x14ac:dyDescent="0.25">
      <c r="A1024" s="13">
        <v>52734497</v>
      </c>
      <c r="B1024" s="11" t="s">
        <v>83</v>
      </c>
      <c r="C1024" s="1" t="s">
        <v>1264</v>
      </c>
      <c r="D1024" s="1" t="s">
        <v>47</v>
      </c>
      <c r="E1024" s="1" t="s">
        <v>367</v>
      </c>
    </row>
    <row r="1025" spans="1:5" x14ac:dyDescent="0.25">
      <c r="A1025" s="13">
        <v>52734597</v>
      </c>
      <c r="B1025" s="11" t="s">
        <v>84</v>
      </c>
      <c r="C1025" s="1" t="s">
        <v>1263</v>
      </c>
      <c r="D1025" s="1" t="s">
        <v>38</v>
      </c>
      <c r="E1025" s="1" t="s">
        <v>10</v>
      </c>
    </row>
    <row r="1026" spans="1:5" x14ac:dyDescent="0.25">
      <c r="A1026" s="13">
        <v>52734793</v>
      </c>
      <c r="B1026" s="11" t="s">
        <v>116</v>
      </c>
      <c r="C1026" s="1" t="s">
        <v>1262</v>
      </c>
      <c r="D1026" s="1" t="s">
        <v>117</v>
      </c>
      <c r="E1026" s="1" t="s">
        <v>3</v>
      </c>
    </row>
    <row r="1027" spans="1:5" x14ac:dyDescent="0.25">
      <c r="A1027" s="13">
        <v>52735929</v>
      </c>
      <c r="B1027" s="11" t="s">
        <v>84</v>
      </c>
      <c r="C1027" s="1" t="s">
        <v>1261</v>
      </c>
      <c r="D1027" s="1" t="s">
        <v>81</v>
      </c>
      <c r="E1027" s="1" t="s">
        <v>26</v>
      </c>
    </row>
    <row r="1028" spans="1:5" x14ac:dyDescent="0.25">
      <c r="A1028" s="13">
        <v>52736375</v>
      </c>
      <c r="B1028" s="11" t="s">
        <v>83</v>
      </c>
      <c r="C1028" s="1" t="s">
        <v>1260</v>
      </c>
      <c r="D1028" s="1" t="s">
        <v>59</v>
      </c>
      <c r="E1028" s="1" t="s">
        <v>19</v>
      </c>
    </row>
    <row r="1029" spans="1:5" x14ac:dyDescent="0.25">
      <c r="A1029" s="13">
        <v>52737322</v>
      </c>
      <c r="B1029" s="11" t="s">
        <v>84</v>
      </c>
      <c r="C1029" s="1" t="s">
        <v>3226</v>
      </c>
      <c r="D1029" s="1" t="s">
        <v>43</v>
      </c>
      <c r="E1029" s="1" t="s">
        <v>9</v>
      </c>
    </row>
    <row r="1030" spans="1:5" x14ac:dyDescent="0.25">
      <c r="A1030" s="13">
        <v>52751782</v>
      </c>
      <c r="B1030" s="11" t="s">
        <v>83</v>
      </c>
      <c r="C1030" s="1" t="s">
        <v>3227</v>
      </c>
      <c r="D1030" s="1" t="s">
        <v>48</v>
      </c>
      <c r="E1030" s="1" t="s">
        <v>196</v>
      </c>
    </row>
    <row r="1031" spans="1:5" x14ac:dyDescent="0.25">
      <c r="A1031" s="13">
        <v>52753804</v>
      </c>
      <c r="B1031" s="11" t="s">
        <v>84</v>
      </c>
      <c r="C1031" s="1" t="s">
        <v>3228</v>
      </c>
      <c r="D1031" s="1" t="s">
        <v>38</v>
      </c>
      <c r="E1031" s="1" t="s">
        <v>3229</v>
      </c>
    </row>
    <row r="1032" spans="1:5" x14ac:dyDescent="0.25">
      <c r="A1032" s="13">
        <v>52754335</v>
      </c>
      <c r="B1032" s="11" t="s">
        <v>83</v>
      </c>
      <c r="C1032" s="1" t="s">
        <v>1259</v>
      </c>
      <c r="D1032" s="1" t="s">
        <v>40</v>
      </c>
      <c r="E1032" s="1" t="s">
        <v>23</v>
      </c>
    </row>
    <row r="1033" spans="1:5" x14ac:dyDescent="0.25">
      <c r="A1033" s="13">
        <v>52760467</v>
      </c>
      <c r="B1033" s="11" t="s">
        <v>84</v>
      </c>
      <c r="C1033" s="1" t="s">
        <v>1258</v>
      </c>
      <c r="D1033" s="1" t="s">
        <v>1077</v>
      </c>
      <c r="E1033" s="1" t="s">
        <v>27</v>
      </c>
    </row>
    <row r="1034" spans="1:5" x14ac:dyDescent="0.25">
      <c r="A1034" s="13">
        <v>52761501</v>
      </c>
      <c r="B1034" s="11" t="s">
        <v>83</v>
      </c>
      <c r="C1034" s="1" t="s">
        <v>1257</v>
      </c>
      <c r="D1034" s="1" t="s">
        <v>366</v>
      </c>
      <c r="E1034" s="1" t="s">
        <v>367</v>
      </c>
    </row>
    <row r="1035" spans="1:5" x14ac:dyDescent="0.25">
      <c r="A1035" s="13">
        <v>52763578</v>
      </c>
      <c r="B1035" s="11" t="s">
        <v>84</v>
      </c>
      <c r="C1035" s="1" t="s">
        <v>1256</v>
      </c>
      <c r="D1035" s="1" t="s">
        <v>36</v>
      </c>
      <c r="E1035" s="1" t="s">
        <v>17</v>
      </c>
    </row>
    <row r="1036" spans="1:5" x14ac:dyDescent="0.25">
      <c r="A1036" s="13">
        <v>52764221</v>
      </c>
      <c r="B1036" s="11" t="s">
        <v>116</v>
      </c>
      <c r="C1036" s="1" t="s">
        <v>1255</v>
      </c>
      <c r="D1036" s="1" t="s">
        <v>117</v>
      </c>
      <c r="E1036" s="1" t="s">
        <v>119</v>
      </c>
    </row>
    <row r="1037" spans="1:5" x14ac:dyDescent="0.25">
      <c r="A1037" s="13">
        <v>52764929</v>
      </c>
      <c r="B1037" s="11" t="s">
        <v>83</v>
      </c>
      <c r="C1037" s="1" t="s">
        <v>3558</v>
      </c>
      <c r="D1037" s="1" t="s">
        <v>3400</v>
      </c>
      <c r="E1037" s="1" t="s">
        <v>196</v>
      </c>
    </row>
    <row r="1038" spans="1:5" x14ac:dyDescent="0.25">
      <c r="A1038" s="13">
        <v>52768405</v>
      </c>
      <c r="B1038" s="11" t="s">
        <v>116</v>
      </c>
      <c r="C1038" s="1" t="s">
        <v>1254</v>
      </c>
      <c r="D1038" s="1" t="s">
        <v>151</v>
      </c>
      <c r="E1038" s="1" t="s">
        <v>152</v>
      </c>
    </row>
    <row r="1039" spans="1:5" x14ac:dyDescent="0.25">
      <c r="A1039" s="13">
        <v>52773761</v>
      </c>
      <c r="B1039" s="11" t="s">
        <v>84</v>
      </c>
      <c r="C1039" s="1" t="s">
        <v>1253</v>
      </c>
      <c r="D1039" s="1" t="s">
        <v>38</v>
      </c>
      <c r="E1039" s="1" t="s">
        <v>147</v>
      </c>
    </row>
    <row r="1040" spans="1:5" x14ac:dyDescent="0.25">
      <c r="A1040" s="13">
        <v>52775536</v>
      </c>
      <c r="B1040" s="11" t="s">
        <v>83</v>
      </c>
      <c r="C1040" s="1" t="s">
        <v>1252</v>
      </c>
      <c r="D1040" s="1" t="s">
        <v>47</v>
      </c>
      <c r="E1040" s="1" t="s">
        <v>26</v>
      </c>
    </row>
    <row r="1041" spans="1:5" x14ac:dyDescent="0.25">
      <c r="A1041" s="13">
        <v>52775694</v>
      </c>
      <c r="B1041" s="11" t="s">
        <v>116</v>
      </c>
      <c r="C1041" s="1" t="s">
        <v>1251</v>
      </c>
      <c r="D1041" s="1" t="s">
        <v>117</v>
      </c>
      <c r="E1041" s="1" t="s">
        <v>8</v>
      </c>
    </row>
    <row r="1042" spans="1:5" x14ac:dyDescent="0.25">
      <c r="A1042" s="13">
        <v>52776481</v>
      </c>
      <c r="B1042" s="11" t="s">
        <v>84</v>
      </c>
      <c r="C1042" s="1" t="s">
        <v>3230</v>
      </c>
      <c r="D1042" s="1" t="s">
        <v>43</v>
      </c>
      <c r="E1042" s="1" t="s">
        <v>14</v>
      </c>
    </row>
    <row r="1043" spans="1:5" x14ac:dyDescent="0.25">
      <c r="A1043" s="13">
        <v>52782050</v>
      </c>
      <c r="B1043" s="11" t="s">
        <v>84</v>
      </c>
      <c r="C1043" s="1" t="s">
        <v>3231</v>
      </c>
      <c r="D1043" s="1" t="s">
        <v>38</v>
      </c>
      <c r="E1043" s="1" t="s">
        <v>3120</v>
      </c>
    </row>
    <row r="1044" spans="1:5" x14ac:dyDescent="0.25">
      <c r="A1044" s="13">
        <v>52787396</v>
      </c>
      <c r="B1044" s="11" t="s">
        <v>83</v>
      </c>
      <c r="C1044" s="1" t="s">
        <v>1250</v>
      </c>
      <c r="D1044" s="1" t="s">
        <v>47</v>
      </c>
      <c r="E1044" s="1" t="s">
        <v>27</v>
      </c>
    </row>
    <row r="1045" spans="1:5" x14ac:dyDescent="0.25">
      <c r="A1045" s="13">
        <v>52787788</v>
      </c>
      <c r="B1045" s="11" t="s">
        <v>116</v>
      </c>
      <c r="C1045" s="1" t="s">
        <v>1249</v>
      </c>
      <c r="D1045" s="1" t="s">
        <v>117</v>
      </c>
      <c r="E1045" s="1" t="s">
        <v>6</v>
      </c>
    </row>
    <row r="1046" spans="1:5" x14ac:dyDescent="0.25">
      <c r="A1046" s="13">
        <v>52789796</v>
      </c>
      <c r="B1046" s="11" t="s">
        <v>84</v>
      </c>
      <c r="C1046" s="1" t="s">
        <v>1248</v>
      </c>
      <c r="D1046" s="1" t="s">
        <v>43</v>
      </c>
      <c r="E1046" s="1" t="s">
        <v>127</v>
      </c>
    </row>
    <row r="1047" spans="1:5" x14ac:dyDescent="0.25">
      <c r="A1047" s="13">
        <v>52790582</v>
      </c>
      <c r="B1047" s="11" t="s">
        <v>116</v>
      </c>
      <c r="C1047" s="1" t="s">
        <v>1247</v>
      </c>
      <c r="D1047" s="1" t="s">
        <v>117</v>
      </c>
      <c r="E1047" s="1" t="s">
        <v>10</v>
      </c>
    </row>
    <row r="1048" spans="1:5" x14ac:dyDescent="0.25">
      <c r="A1048" s="13">
        <v>52790764</v>
      </c>
      <c r="B1048" s="11" t="s">
        <v>84</v>
      </c>
      <c r="C1048" s="1" t="s">
        <v>1244</v>
      </c>
      <c r="D1048" s="1" t="s">
        <v>1245</v>
      </c>
      <c r="E1048" s="1" t="s">
        <v>1246</v>
      </c>
    </row>
    <row r="1049" spans="1:5" x14ac:dyDescent="0.25">
      <c r="A1049" s="13">
        <v>52793953</v>
      </c>
      <c r="B1049" s="11" t="s">
        <v>83</v>
      </c>
      <c r="C1049" s="1" t="s">
        <v>1242</v>
      </c>
      <c r="D1049" s="1" t="s">
        <v>1243</v>
      </c>
      <c r="E1049" s="1" t="s">
        <v>87</v>
      </c>
    </row>
    <row r="1050" spans="1:5" x14ac:dyDescent="0.25">
      <c r="A1050" s="13">
        <v>52795090</v>
      </c>
      <c r="B1050" s="11" t="s">
        <v>84</v>
      </c>
      <c r="C1050" s="1" t="s">
        <v>1241</v>
      </c>
      <c r="D1050" s="1" t="s">
        <v>38</v>
      </c>
      <c r="E1050" s="1" t="s">
        <v>5</v>
      </c>
    </row>
    <row r="1051" spans="1:5" x14ac:dyDescent="0.25">
      <c r="A1051" s="13">
        <v>52795308</v>
      </c>
      <c r="B1051" s="11" t="s">
        <v>116</v>
      </c>
      <c r="C1051" s="1" t="s">
        <v>1240</v>
      </c>
      <c r="D1051" s="1" t="s">
        <v>117</v>
      </c>
      <c r="E1051" s="1" t="s">
        <v>3</v>
      </c>
    </row>
    <row r="1052" spans="1:5" x14ac:dyDescent="0.25">
      <c r="A1052" s="13">
        <v>52795724</v>
      </c>
      <c r="B1052" s="11" t="s">
        <v>84</v>
      </c>
      <c r="C1052" s="1" t="s">
        <v>3559</v>
      </c>
      <c r="D1052" s="1" t="s">
        <v>38</v>
      </c>
      <c r="E1052" s="1" t="s">
        <v>9</v>
      </c>
    </row>
    <row r="1053" spans="1:5" x14ac:dyDescent="0.25">
      <c r="A1053" s="13">
        <v>52796409</v>
      </c>
      <c r="B1053" s="11" t="s">
        <v>116</v>
      </c>
      <c r="C1053" s="1" t="s">
        <v>1239</v>
      </c>
      <c r="D1053" s="1" t="s">
        <v>117</v>
      </c>
      <c r="E1053" s="1" t="s">
        <v>6</v>
      </c>
    </row>
    <row r="1054" spans="1:5" x14ac:dyDescent="0.25">
      <c r="A1054" s="13">
        <v>52796896</v>
      </c>
      <c r="B1054" s="11" t="s">
        <v>84</v>
      </c>
      <c r="C1054" s="1" t="s">
        <v>1238</v>
      </c>
      <c r="D1054" s="1" t="s">
        <v>137</v>
      </c>
      <c r="E1054" s="1" t="s">
        <v>138</v>
      </c>
    </row>
    <row r="1055" spans="1:5" x14ac:dyDescent="0.25">
      <c r="A1055" s="13">
        <v>52802061</v>
      </c>
      <c r="B1055" s="11" t="s">
        <v>116</v>
      </c>
      <c r="C1055" s="1" t="s">
        <v>1237</v>
      </c>
      <c r="D1055" s="1" t="s">
        <v>117</v>
      </c>
      <c r="E1055" s="1" t="s">
        <v>7</v>
      </c>
    </row>
    <row r="1056" spans="1:5" x14ac:dyDescent="0.25">
      <c r="A1056" s="13">
        <v>52805749</v>
      </c>
      <c r="B1056" s="11" t="s">
        <v>84</v>
      </c>
      <c r="C1056" s="1" t="s">
        <v>1236</v>
      </c>
      <c r="D1056" s="1" t="s">
        <v>203</v>
      </c>
      <c r="E1056" s="1" t="s">
        <v>12</v>
      </c>
    </row>
    <row r="1057" spans="1:5" x14ac:dyDescent="0.25">
      <c r="A1057" s="13">
        <v>52809135</v>
      </c>
      <c r="B1057" s="11" t="s">
        <v>84</v>
      </c>
      <c r="C1057" s="1" t="s">
        <v>3702</v>
      </c>
      <c r="D1057" s="1" t="s">
        <v>3362</v>
      </c>
      <c r="E1057" s="1" t="s">
        <v>3595</v>
      </c>
    </row>
    <row r="1058" spans="1:5" x14ac:dyDescent="0.25">
      <c r="A1058" s="13">
        <v>52813251</v>
      </c>
      <c r="B1058" s="11" t="s">
        <v>84</v>
      </c>
      <c r="C1058" s="1" t="s">
        <v>1235</v>
      </c>
      <c r="D1058" s="1" t="s">
        <v>38</v>
      </c>
      <c r="E1058" s="1" t="s">
        <v>3</v>
      </c>
    </row>
    <row r="1059" spans="1:5" x14ac:dyDescent="0.25">
      <c r="A1059" s="13">
        <v>52814371</v>
      </c>
      <c r="B1059" s="11" t="s">
        <v>83</v>
      </c>
      <c r="C1059" s="1" t="s">
        <v>1234</v>
      </c>
      <c r="D1059" s="1" t="s">
        <v>1077</v>
      </c>
      <c r="E1059" s="1" t="s">
        <v>30</v>
      </c>
    </row>
    <row r="1060" spans="1:5" x14ac:dyDescent="0.25">
      <c r="A1060" s="13">
        <v>52817786</v>
      </c>
      <c r="B1060" s="11" t="s">
        <v>116</v>
      </c>
      <c r="C1060" s="1" t="s">
        <v>1233</v>
      </c>
      <c r="D1060" s="1" t="s">
        <v>117</v>
      </c>
      <c r="E1060" s="1" t="s">
        <v>11</v>
      </c>
    </row>
    <row r="1061" spans="1:5" x14ac:dyDescent="0.25">
      <c r="A1061" s="13">
        <v>52818807</v>
      </c>
      <c r="B1061" s="11" t="s">
        <v>116</v>
      </c>
      <c r="C1061" s="1" t="s">
        <v>1232</v>
      </c>
      <c r="D1061" s="1" t="s">
        <v>117</v>
      </c>
      <c r="E1061" s="1" t="s">
        <v>10</v>
      </c>
    </row>
    <row r="1062" spans="1:5" x14ac:dyDescent="0.25">
      <c r="A1062" s="13">
        <v>52818953</v>
      </c>
      <c r="B1062" s="11" t="s">
        <v>116</v>
      </c>
      <c r="C1062" s="1" t="s">
        <v>1231</v>
      </c>
      <c r="D1062" s="1" t="s">
        <v>117</v>
      </c>
      <c r="E1062" s="1" t="s">
        <v>12</v>
      </c>
    </row>
    <row r="1063" spans="1:5" x14ac:dyDescent="0.25">
      <c r="A1063" s="13">
        <v>52820948</v>
      </c>
      <c r="B1063" s="11" t="s">
        <v>116</v>
      </c>
      <c r="C1063" s="1" t="s">
        <v>1230</v>
      </c>
      <c r="D1063" s="1" t="s">
        <v>117</v>
      </c>
      <c r="E1063" s="1" t="s">
        <v>205</v>
      </c>
    </row>
    <row r="1064" spans="1:5" x14ac:dyDescent="0.25">
      <c r="A1064" s="13">
        <v>52822205</v>
      </c>
      <c r="B1064" s="11" t="s">
        <v>84</v>
      </c>
      <c r="C1064" s="1" t="s">
        <v>1228</v>
      </c>
      <c r="D1064" s="1" t="s">
        <v>1229</v>
      </c>
      <c r="E1064" s="1" t="s">
        <v>1</v>
      </c>
    </row>
    <row r="1065" spans="1:5" x14ac:dyDescent="0.25">
      <c r="A1065" s="13">
        <v>52822299</v>
      </c>
      <c r="B1065" s="11" t="s">
        <v>83</v>
      </c>
      <c r="C1065" s="1" t="s">
        <v>1227</v>
      </c>
      <c r="D1065" s="1" t="s">
        <v>47</v>
      </c>
      <c r="E1065" s="1" t="s">
        <v>16</v>
      </c>
    </row>
    <row r="1066" spans="1:5" x14ac:dyDescent="0.25">
      <c r="A1066" s="13">
        <v>52824971</v>
      </c>
      <c r="B1066" s="11" t="s">
        <v>116</v>
      </c>
      <c r="C1066" s="1" t="s">
        <v>1226</v>
      </c>
      <c r="D1066" s="1" t="s">
        <v>117</v>
      </c>
      <c r="E1066" s="1" t="s">
        <v>333</v>
      </c>
    </row>
    <row r="1067" spans="1:5" x14ac:dyDescent="0.25">
      <c r="A1067" s="13">
        <v>52830560</v>
      </c>
      <c r="B1067" s="11" t="s">
        <v>83</v>
      </c>
      <c r="C1067" s="1" t="s">
        <v>1225</v>
      </c>
      <c r="D1067" s="1" t="s">
        <v>47</v>
      </c>
      <c r="E1067" s="1" t="s">
        <v>17</v>
      </c>
    </row>
    <row r="1068" spans="1:5" x14ac:dyDescent="0.25">
      <c r="A1068" s="13">
        <v>52831239</v>
      </c>
      <c r="B1068" s="11" t="s">
        <v>84</v>
      </c>
      <c r="C1068" s="1" t="s">
        <v>1224</v>
      </c>
      <c r="D1068" s="1" t="s">
        <v>381</v>
      </c>
      <c r="E1068" s="1" t="s">
        <v>26</v>
      </c>
    </row>
    <row r="1069" spans="1:5" x14ac:dyDescent="0.25">
      <c r="A1069" s="13">
        <v>52837363</v>
      </c>
      <c r="B1069" s="11" t="s">
        <v>84</v>
      </c>
      <c r="C1069" s="1" t="s">
        <v>1223</v>
      </c>
      <c r="D1069" s="1" t="s">
        <v>38</v>
      </c>
      <c r="E1069" s="1" t="s">
        <v>168</v>
      </c>
    </row>
    <row r="1070" spans="1:5" x14ac:dyDescent="0.25">
      <c r="A1070" s="13">
        <v>52838263</v>
      </c>
      <c r="B1070" s="11" t="s">
        <v>83</v>
      </c>
      <c r="C1070" s="1" t="s">
        <v>1221</v>
      </c>
      <c r="D1070" s="1" t="s">
        <v>1222</v>
      </c>
      <c r="E1070" s="1" t="s">
        <v>272</v>
      </c>
    </row>
    <row r="1071" spans="1:5" x14ac:dyDescent="0.25">
      <c r="A1071" s="13">
        <v>52839274</v>
      </c>
      <c r="B1071" s="11" t="s">
        <v>83</v>
      </c>
      <c r="C1071" s="1" t="s">
        <v>1220</v>
      </c>
      <c r="D1071" s="1" t="s">
        <v>47</v>
      </c>
      <c r="E1071" s="1" t="s">
        <v>196</v>
      </c>
    </row>
    <row r="1072" spans="1:5" x14ac:dyDescent="0.25">
      <c r="A1072" s="13">
        <v>52841996</v>
      </c>
      <c r="B1072" s="11" t="s">
        <v>83</v>
      </c>
      <c r="C1072" s="1" t="s">
        <v>1218</v>
      </c>
      <c r="D1072" s="1" t="s">
        <v>1219</v>
      </c>
      <c r="E1072" s="1" t="s">
        <v>24</v>
      </c>
    </row>
    <row r="1073" spans="1:5" x14ac:dyDescent="0.25">
      <c r="A1073" s="13">
        <v>52844219</v>
      </c>
      <c r="B1073" s="11" t="s">
        <v>116</v>
      </c>
      <c r="C1073" s="1" t="s">
        <v>1217</v>
      </c>
      <c r="D1073" s="1" t="s">
        <v>117</v>
      </c>
      <c r="E1073" s="1" t="s">
        <v>263</v>
      </c>
    </row>
    <row r="1074" spans="1:5" x14ac:dyDescent="0.25">
      <c r="A1074" s="13">
        <v>52844682</v>
      </c>
      <c r="B1074" s="11" t="s">
        <v>116</v>
      </c>
      <c r="C1074" s="1" t="s">
        <v>1216</v>
      </c>
      <c r="D1074" s="1" t="s">
        <v>117</v>
      </c>
      <c r="E1074" s="1" t="s">
        <v>186</v>
      </c>
    </row>
    <row r="1075" spans="1:5" x14ac:dyDescent="0.25">
      <c r="A1075" s="13">
        <v>52846484</v>
      </c>
      <c r="B1075" s="11" t="s">
        <v>83</v>
      </c>
      <c r="C1075" s="1" t="s">
        <v>3148</v>
      </c>
      <c r="D1075" s="1" t="s">
        <v>3149</v>
      </c>
      <c r="E1075" s="1" t="s">
        <v>668</v>
      </c>
    </row>
    <row r="1076" spans="1:5" x14ac:dyDescent="0.25">
      <c r="A1076" s="13">
        <v>52847598</v>
      </c>
      <c r="B1076" s="11" t="s">
        <v>83</v>
      </c>
      <c r="C1076" s="1" t="s">
        <v>3232</v>
      </c>
      <c r="D1076" s="1" t="s">
        <v>40</v>
      </c>
      <c r="E1076" s="1" t="s">
        <v>23</v>
      </c>
    </row>
    <row r="1077" spans="1:5" x14ac:dyDescent="0.25">
      <c r="A1077" s="13">
        <v>52850506</v>
      </c>
      <c r="B1077" s="11" t="s">
        <v>84</v>
      </c>
      <c r="C1077" s="1" t="s">
        <v>1215</v>
      </c>
      <c r="D1077" s="1" t="s">
        <v>43</v>
      </c>
      <c r="E1077" s="1" t="s">
        <v>8</v>
      </c>
    </row>
    <row r="1078" spans="1:5" x14ac:dyDescent="0.25">
      <c r="A1078" s="13">
        <v>52851793</v>
      </c>
      <c r="B1078" s="11" t="s">
        <v>83</v>
      </c>
      <c r="C1078" s="1" t="s">
        <v>1214</v>
      </c>
      <c r="D1078" s="1" t="s">
        <v>40</v>
      </c>
      <c r="E1078" s="1" t="s">
        <v>23</v>
      </c>
    </row>
    <row r="1079" spans="1:5" x14ac:dyDescent="0.25">
      <c r="A1079" s="13">
        <v>52852196</v>
      </c>
      <c r="B1079" s="11" t="s">
        <v>83</v>
      </c>
      <c r="C1079" s="1" t="s">
        <v>3233</v>
      </c>
      <c r="D1079" s="1" t="s">
        <v>42</v>
      </c>
      <c r="E1079" s="1" t="s">
        <v>4</v>
      </c>
    </row>
    <row r="1080" spans="1:5" x14ac:dyDescent="0.25">
      <c r="A1080" s="13">
        <v>52859033</v>
      </c>
      <c r="B1080" s="11" t="s">
        <v>84</v>
      </c>
      <c r="C1080" s="1" t="s">
        <v>1213</v>
      </c>
      <c r="D1080" s="1" t="s">
        <v>43</v>
      </c>
      <c r="E1080" s="1" t="s">
        <v>3</v>
      </c>
    </row>
    <row r="1081" spans="1:5" x14ac:dyDescent="0.25">
      <c r="A1081" s="13">
        <v>52860766</v>
      </c>
      <c r="B1081" s="11" t="s">
        <v>84</v>
      </c>
      <c r="C1081" s="1" t="s">
        <v>3234</v>
      </c>
      <c r="D1081" s="1" t="s">
        <v>37</v>
      </c>
      <c r="E1081" s="1" t="s">
        <v>27</v>
      </c>
    </row>
    <row r="1082" spans="1:5" x14ac:dyDescent="0.25">
      <c r="A1082" s="13">
        <v>52861202</v>
      </c>
      <c r="B1082" s="11" t="s">
        <v>84</v>
      </c>
      <c r="C1082" s="1" t="s">
        <v>1212</v>
      </c>
      <c r="D1082" s="1" t="s">
        <v>38</v>
      </c>
      <c r="E1082" s="1" t="s">
        <v>12</v>
      </c>
    </row>
    <row r="1083" spans="1:5" x14ac:dyDescent="0.25">
      <c r="A1083" s="13">
        <v>52862103</v>
      </c>
      <c r="B1083" s="11" t="s">
        <v>116</v>
      </c>
      <c r="C1083" s="1" t="s">
        <v>1211</v>
      </c>
      <c r="D1083" s="1" t="s">
        <v>151</v>
      </c>
      <c r="E1083" s="1" t="s">
        <v>152</v>
      </c>
    </row>
    <row r="1084" spans="1:5" x14ac:dyDescent="0.25">
      <c r="A1084" s="13">
        <v>52869270</v>
      </c>
      <c r="B1084" s="11" t="s">
        <v>83</v>
      </c>
      <c r="C1084" s="1" t="s">
        <v>1210</v>
      </c>
      <c r="D1084" s="1" t="s">
        <v>47</v>
      </c>
      <c r="E1084" s="1" t="s">
        <v>242</v>
      </c>
    </row>
    <row r="1085" spans="1:5" x14ac:dyDescent="0.25">
      <c r="A1085" s="13">
        <v>52871426</v>
      </c>
      <c r="B1085" s="11" t="s">
        <v>116</v>
      </c>
      <c r="C1085" s="1" t="s">
        <v>1209</v>
      </c>
      <c r="D1085" s="1" t="s">
        <v>117</v>
      </c>
      <c r="E1085" s="1" t="s">
        <v>10</v>
      </c>
    </row>
    <row r="1086" spans="1:5" x14ac:dyDescent="0.25">
      <c r="A1086" s="13">
        <v>52871572</v>
      </c>
      <c r="B1086" s="11" t="s">
        <v>84</v>
      </c>
      <c r="C1086" s="1" t="s">
        <v>1208</v>
      </c>
      <c r="D1086" s="1" t="s">
        <v>185</v>
      </c>
      <c r="E1086" s="1" t="s">
        <v>127</v>
      </c>
    </row>
    <row r="1087" spans="1:5" x14ac:dyDescent="0.25">
      <c r="A1087" s="13">
        <v>52872640</v>
      </c>
      <c r="B1087" s="11" t="s">
        <v>116</v>
      </c>
      <c r="C1087" s="1" t="s">
        <v>1207</v>
      </c>
      <c r="D1087" s="1" t="s">
        <v>117</v>
      </c>
      <c r="E1087" s="1" t="s">
        <v>453</v>
      </c>
    </row>
    <row r="1088" spans="1:5" x14ac:dyDescent="0.25">
      <c r="A1088" s="13">
        <v>52875080</v>
      </c>
      <c r="B1088" s="11" t="s">
        <v>84</v>
      </c>
      <c r="C1088" s="1" t="s">
        <v>1206</v>
      </c>
      <c r="D1088" s="1" t="s">
        <v>38</v>
      </c>
      <c r="E1088" s="1" t="s">
        <v>5</v>
      </c>
    </row>
    <row r="1089" spans="1:5" x14ac:dyDescent="0.25">
      <c r="A1089" s="13">
        <v>52877518</v>
      </c>
      <c r="B1089" s="11" t="s">
        <v>84</v>
      </c>
      <c r="C1089" s="1" t="s">
        <v>1205</v>
      </c>
      <c r="D1089" s="1" t="s">
        <v>185</v>
      </c>
      <c r="E1089" s="1" t="s">
        <v>11</v>
      </c>
    </row>
    <row r="1090" spans="1:5" x14ac:dyDescent="0.25">
      <c r="A1090" s="13">
        <v>52879200</v>
      </c>
      <c r="B1090" s="11" t="s">
        <v>84</v>
      </c>
      <c r="C1090" s="1" t="s">
        <v>3235</v>
      </c>
      <c r="D1090" s="1" t="s">
        <v>38</v>
      </c>
      <c r="E1090" s="1" t="s">
        <v>8</v>
      </c>
    </row>
    <row r="1091" spans="1:5" x14ac:dyDescent="0.25">
      <c r="A1091" s="13">
        <v>52883918</v>
      </c>
      <c r="B1091" s="11" t="s">
        <v>116</v>
      </c>
      <c r="C1091" s="1" t="s">
        <v>1204</v>
      </c>
      <c r="D1091" s="1" t="s">
        <v>117</v>
      </c>
      <c r="E1091" s="1" t="s">
        <v>5</v>
      </c>
    </row>
    <row r="1092" spans="1:5" x14ac:dyDescent="0.25">
      <c r="A1092" s="13">
        <v>52885273</v>
      </c>
      <c r="B1092" s="11" t="s">
        <v>116</v>
      </c>
      <c r="C1092" s="1" t="s">
        <v>1203</v>
      </c>
      <c r="D1092" s="1" t="s">
        <v>117</v>
      </c>
      <c r="E1092" s="1" t="s">
        <v>205</v>
      </c>
    </row>
    <row r="1093" spans="1:5" x14ac:dyDescent="0.25">
      <c r="A1093" s="13">
        <v>52885874</v>
      </c>
      <c r="B1093" s="11" t="s">
        <v>83</v>
      </c>
      <c r="C1093" s="1" t="s">
        <v>1202</v>
      </c>
      <c r="D1093" s="1" t="s">
        <v>40</v>
      </c>
      <c r="E1093" s="1" t="s">
        <v>23</v>
      </c>
    </row>
    <row r="1094" spans="1:5" x14ac:dyDescent="0.25">
      <c r="A1094" s="13">
        <v>52886303</v>
      </c>
      <c r="B1094" s="11" t="s">
        <v>84</v>
      </c>
      <c r="C1094" s="1" t="s">
        <v>3675</v>
      </c>
      <c r="D1094" s="1" t="s">
        <v>38</v>
      </c>
      <c r="E1094" s="1" t="s">
        <v>3238</v>
      </c>
    </row>
    <row r="1095" spans="1:5" x14ac:dyDescent="0.25">
      <c r="A1095" s="13">
        <v>52886581</v>
      </c>
      <c r="B1095" s="11" t="s">
        <v>83</v>
      </c>
      <c r="C1095" s="1" t="s">
        <v>1201</v>
      </c>
      <c r="D1095" s="1" t="s">
        <v>47</v>
      </c>
      <c r="E1095" s="1" t="s">
        <v>11</v>
      </c>
    </row>
    <row r="1096" spans="1:5" x14ac:dyDescent="0.25">
      <c r="A1096" s="13">
        <v>52886620</v>
      </c>
      <c r="B1096" s="11" t="s">
        <v>83</v>
      </c>
      <c r="C1096" s="1" t="s">
        <v>1200</v>
      </c>
      <c r="D1096" s="1" t="s">
        <v>79</v>
      </c>
      <c r="E1096" s="1" t="s">
        <v>242</v>
      </c>
    </row>
    <row r="1097" spans="1:5" x14ac:dyDescent="0.25">
      <c r="A1097" s="13">
        <v>52890477</v>
      </c>
      <c r="B1097" s="11" t="s">
        <v>84</v>
      </c>
      <c r="C1097" s="1" t="s">
        <v>1199</v>
      </c>
      <c r="D1097" s="1" t="s">
        <v>43</v>
      </c>
      <c r="E1097" s="1" t="s">
        <v>10</v>
      </c>
    </row>
    <row r="1098" spans="1:5" x14ac:dyDescent="0.25">
      <c r="A1098" s="13">
        <v>52896326</v>
      </c>
      <c r="B1098" s="11" t="s">
        <v>84</v>
      </c>
      <c r="C1098" s="1" t="s">
        <v>1198</v>
      </c>
      <c r="D1098" s="1" t="s">
        <v>38</v>
      </c>
      <c r="E1098" s="1" t="s">
        <v>168</v>
      </c>
    </row>
    <row r="1099" spans="1:5" x14ac:dyDescent="0.25">
      <c r="A1099" s="13">
        <v>52897174</v>
      </c>
      <c r="B1099" s="11" t="s">
        <v>84</v>
      </c>
      <c r="C1099" s="1" t="s">
        <v>1197</v>
      </c>
      <c r="D1099" s="1" t="s">
        <v>131</v>
      </c>
      <c r="E1099" s="1" t="s">
        <v>131</v>
      </c>
    </row>
    <row r="1100" spans="1:5" x14ac:dyDescent="0.25">
      <c r="A1100" s="13">
        <v>52897786</v>
      </c>
      <c r="B1100" s="11" t="s">
        <v>116</v>
      </c>
      <c r="C1100" s="1" t="s">
        <v>1196</v>
      </c>
      <c r="D1100" s="1" t="s">
        <v>117</v>
      </c>
      <c r="E1100" s="1" t="s">
        <v>17</v>
      </c>
    </row>
    <row r="1101" spans="1:5" x14ac:dyDescent="0.25">
      <c r="A1101" s="13">
        <v>52899220</v>
      </c>
      <c r="B1101" s="11" t="s">
        <v>84</v>
      </c>
      <c r="C1101" s="1" t="s">
        <v>1195</v>
      </c>
      <c r="D1101" s="1" t="s">
        <v>38</v>
      </c>
      <c r="E1101" s="1" t="s">
        <v>12</v>
      </c>
    </row>
    <row r="1102" spans="1:5" x14ac:dyDescent="0.25">
      <c r="A1102" s="13">
        <v>52905042</v>
      </c>
      <c r="B1102" s="11" t="s">
        <v>83</v>
      </c>
      <c r="C1102" s="1" t="s">
        <v>1193</v>
      </c>
      <c r="D1102" s="1" t="s">
        <v>1194</v>
      </c>
      <c r="E1102" s="1" t="s">
        <v>1128</v>
      </c>
    </row>
    <row r="1103" spans="1:5" x14ac:dyDescent="0.25">
      <c r="A1103" s="13">
        <v>52906411</v>
      </c>
      <c r="B1103" s="11" t="s">
        <v>84</v>
      </c>
      <c r="C1103" s="1" t="s">
        <v>1192</v>
      </c>
      <c r="D1103" s="1" t="s">
        <v>38</v>
      </c>
      <c r="E1103" s="1" t="s">
        <v>12</v>
      </c>
    </row>
    <row r="1104" spans="1:5" x14ac:dyDescent="0.25">
      <c r="A1104" s="13">
        <v>52910272</v>
      </c>
      <c r="B1104" s="11" t="s">
        <v>116</v>
      </c>
      <c r="C1104" s="1" t="s">
        <v>1191</v>
      </c>
      <c r="D1104" s="1" t="s">
        <v>117</v>
      </c>
      <c r="E1104" s="1" t="s">
        <v>6</v>
      </c>
    </row>
    <row r="1105" spans="1:5" x14ac:dyDescent="0.25">
      <c r="A1105" s="13">
        <v>52912760</v>
      </c>
      <c r="B1105" s="11" t="s">
        <v>83</v>
      </c>
      <c r="C1105" s="1" t="s">
        <v>1190</v>
      </c>
      <c r="D1105" s="1" t="s">
        <v>51</v>
      </c>
      <c r="E1105" s="1" t="s">
        <v>20</v>
      </c>
    </row>
    <row r="1106" spans="1:5" x14ac:dyDescent="0.25">
      <c r="A1106" s="13">
        <v>52917482</v>
      </c>
      <c r="B1106" s="11" t="s">
        <v>116</v>
      </c>
      <c r="C1106" s="1" t="s">
        <v>1189</v>
      </c>
      <c r="D1106" s="1" t="s">
        <v>151</v>
      </c>
      <c r="E1106" s="1" t="s">
        <v>152</v>
      </c>
    </row>
    <row r="1107" spans="1:5" x14ac:dyDescent="0.25">
      <c r="A1107" s="13">
        <v>52918709</v>
      </c>
      <c r="B1107" s="11" t="s">
        <v>83</v>
      </c>
      <c r="C1107" s="1" t="s">
        <v>3560</v>
      </c>
      <c r="D1107" s="1" t="s">
        <v>48</v>
      </c>
      <c r="E1107" s="1" t="s">
        <v>196</v>
      </c>
    </row>
    <row r="1108" spans="1:5" x14ac:dyDescent="0.25">
      <c r="A1108" s="13">
        <v>52919113</v>
      </c>
      <c r="B1108" s="11" t="s">
        <v>116</v>
      </c>
      <c r="C1108" s="1" t="s">
        <v>1188</v>
      </c>
      <c r="D1108" s="1" t="s">
        <v>117</v>
      </c>
      <c r="E1108" s="1" t="s">
        <v>453</v>
      </c>
    </row>
    <row r="1109" spans="1:5" x14ac:dyDescent="0.25">
      <c r="A1109" s="13">
        <v>52926851</v>
      </c>
      <c r="B1109" s="11" t="s">
        <v>116</v>
      </c>
      <c r="C1109" s="1" t="s">
        <v>1187</v>
      </c>
      <c r="D1109" s="1" t="s">
        <v>117</v>
      </c>
      <c r="E1109" s="1" t="s">
        <v>120</v>
      </c>
    </row>
    <row r="1110" spans="1:5" x14ac:dyDescent="0.25">
      <c r="A1110" s="13">
        <v>52933302</v>
      </c>
      <c r="B1110" s="11" t="s">
        <v>83</v>
      </c>
      <c r="C1110" s="1" t="s">
        <v>3049</v>
      </c>
      <c r="D1110" s="1" t="s">
        <v>477</v>
      </c>
      <c r="E1110" s="1" t="s">
        <v>33</v>
      </c>
    </row>
    <row r="1111" spans="1:5" x14ac:dyDescent="0.25">
      <c r="A1111" s="13">
        <v>52933339</v>
      </c>
      <c r="B1111" s="11" t="s">
        <v>84</v>
      </c>
      <c r="C1111" s="1" t="s">
        <v>3115</v>
      </c>
      <c r="D1111" s="1" t="s">
        <v>38</v>
      </c>
      <c r="E1111" s="1" t="s">
        <v>328</v>
      </c>
    </row>
    <row r="1112" spans="1:5" x14ac:dyDescent="0.25">
      <c r="A1112" s="13">
        <v>52936361</v>
      </c>
      <c r="B1112" s="11" t="s">
        <v>83</v>
      </c>
      <c r="C1112" s="1" t="s">
        <v>1186</v>
      </c>
      <c r="D1112" s="1" t="s">
        <v>47</v>
      </c>
      <c r="E1112" s="1" t="s">
        <v>27</v>
      </c>
    </row>
    <row r="1113" spans="1:5" x14ac:dyDescent="0.25">
      <c r="A1113" s="13">
        <v>52953236</v>
      </c>
      <c r="B1113" s="11" t="s">
        <v>84</v>
      </c>
      <c r="C1113" s="1" t="s">
        <v>1185</v>
      </c>
      <c r="D1113" s="1" t="s">
        <v>38</v>
      </c>
      <c r="E1113" s="1" t="s">
        <v>10</v>
      </c>
    </row>
    <row r="1114" spans="1:5" x14ac:dyDescent="0.25">
      <c r="A1114" s="13">
        <v>52955611</v>
      </c>
      <c r="B1114" s="11" t="s">
        <v>83</v>
      </c>
      <c r="C1114" s="1" t="s">
        <v>1184</v>
      </c>
      <c r="D1114" s="1" t="s">
        <v>141</v>
      </c>
      <c r="E1114" s="1" t="s">
        <v>16</v>
      </c>
    </row>
    <row r="1115" spans="1:5" x14ac:dyDescent="0.25">
      <c r="A1115" s="13">
        <v>52957274</v>
      </c>
      <c r="B1115" s="11" t="s">
        <v>116</v>
      </c>
      <c r="C1115" s="1" t="s">
        <v>1183</v>
      </c>
      <c r="D1115" s="1" t="s">
        <v>117</v>
      </c>
      <c r="E1115" s="1" t="s">
        <v>186</v>
      </c>
    </row>
    <row r="1116" spans="1:5" x14ac:dyDescent="0.25">
      <c r="A1116" s="13">
        <v>52959629</v>
      </c>
      <c r="B1116" s="11" t="s">
        <v>116</v>
      </c>
      <c r="C1116" s="1" t="s">
        <v>1182</v>
      </c>
      <c r="D1116" s="1" t="s">
        <v>151</v>
      </c>
      <c r="E1116" s="1" t="s">
        <v>152</v>
      </c>
    </row>
    <row r="1117" spans="1:5" x14ac:dyDescent="0.25">
      <c r="A1117" s="13">
        <v>52960359</v>
      </c>
      <c r="B1117" s="11" t="s">
        <v>116</v>
      </c>
      <c r="C1117" s="1" t="s">
        <v>1181</v>
      </c>
      <c r="D1117" s="1" t="s">
        <v>117</v>
      </c>
      <c r="E1117" s="1" t="s">
        <v>6</v>
      </c>
    </row>
    <row r="1118" spans="1:5" x14ac:dyDescent="0.25">
      <c r="A1118" s="13">
        <v>52960824</v>
      </c>
      <c r="B1118" s="11" t="s">
        <v>84</v>
      </c>
      <c r="C1118" s="1" t="s">
        <v>1180</v>
      </c>
      <c r="D1118" s="1" t="s">
        <v>203</v>
      </c>
      <c r="E1118" s="1" t="s">
        <v>179</v>
      </c>
    </row>
    <row r="1119" spans="1:5" x14ac:dyDescent="0.25">
      <c r="A1119" s="13">
        <v>52961007</v>
      </c>
      <c r="B1119" s="11" t="s">
        <v>83</v>
      </c>
      <c r="C1119" s="1" t="s">
        <v>1179</v>
      </c>
      <c r="D1119" s="1" t="s">
        <v>40</v>
      </c>
      <c r="E1119" s="1" t="s">
        <v>23</v>
      </c>
    </row>
    <row r="1120" spans="1:5" x14ac:dyDescent="0.25">
      <c r="A1120" s="13">
        <v>52961012</v>
      </c>
      <c r="B1120" s="11" t="s">
        <v>84</v>
      </c>
      <c r="C1120" s="1" t="s">
        <v>3236</v>
      </c>
      <c r="D1120" s="1" t="s">
        <v>43</v>
      </c>
      <c r="E1120" s="1" t="s">
        <v>3120</v>
      </c>
    </row>
    <row r="1121" spans="1:5" x14ac:dyDescent="0.25">
      <c r="A1121" s="13">
        <v>52962540</v>
      </c>
      <c r="B1121" s="11" t="s">
        <v>116</v>
      </c>
      <c r="C1121" s="1" t="s">
        <v>1178</v>
      </c>
      <c r="D1121" s="1" t="s">
        <v>117</v>
      </c>
      <c r="E1121" s="1" t="s">
        <v>205</v>
      </c>
    </row>
    <row r="1122" spans="1:5" x14ac:dyDescent="0.25">
      <c r="A1122" s="13">
        <v>52965463</v>
      </c>
      <c r="B1122" s="11" t="s">
        <v>84</v>
      </c>
      <c r="C1122" s="1" t="s">
        <v>1177</v>
      </c>
      <c r="D1122" s="1" t="s">
        <v>3561</v>
      </c>
      <c r="E1122" s="1" t="s">
        <v>939</v>
      </c>
    </row>
    <row r="1123" spans="1:5" x14ac:dyDescent="0.25">
      <c r="A1123" s="13">
        <v>52965808</v>
      </c>
      <c r="B1123" s="11" t="s">
        <v>116</v>
      </c>
      <c r="C1123" s="1" t="s">
        <v>1176</v>
      </c>
      <c r="D1123" s="1" t="s">
        <v>117</v>
      </c>
      <c r="E1123" s="1" t="s">
        <v>453</v>
      </c>
    </row>
    <row r="1124" spans="1:5" x14ac:dyDescent="0.25">
      <c r="A1124" s="13">
        <v>52966309</v>
      </c>
      <c r="B1124" s="11" t="s">
        <v>83</v>
      </c>
      <c r="C1124" s="1" t="s">
        <v>1175</v>
      </c>
      <c r="D1124" s="1" t="s">
        <v>47</v>
      </c>
      <c r="E1124" s="1" t="s">
        <v>16</v>
      </c>
    </row>
    <row r="1125" spans="1:5" x14ac:dyDescent="0.25">
      <c r="A1125" s="13">
        <v>52967038</v>
      </c>
      <c r="B1125" s="11" t="s">
        <v>116</v>
      </c>
      <c r="C1125" s="1" t="s">
        <v>1174</v>
      </c>
      <c r="D1125" s="1" t="s">
        <v>117</v>
      </c>
      <c r="E1125" s="1" t="s">
        <v>147</v>
      </c>
    </row>
    <row r="1126" spans="1:5" x14ac:dyDescent="0.25">
      <c r="A1126" s="13">
        <v>52968673</v>
      </c>
      <c r="B1126" s="11" t="s">
        <v>83</v>
      </c>
      <c r="C1126" s="1" t="s">
        <v>1173</v>
      </c>
      <c r="D1126" s="1" t="s">
        <v>47</v>
      </c>
      <c r="E1126" s="1" t="s">
        <v>19</v>
      </c>
    </row>
    <row r="1127" spans="1:5" x14ac:dyDescent="0.25">
      <c r="A1127" s="13">
        <v>52975492</v>
      </c>
      <c r="B1127" s="11" t="s">
        <v>84</v>
      </c>
      <c r="C1127" s="1" t="s">
        <v>1172</v>
      </c>
      <c r="D1127" s="1" t="s">
        <v>43</v>
      </c>
      <c r="E1127" s="1" t="s">
        <v>8</v>
      </c>
    </row>
    <row r="1128" spans="1:5" x14ac:dyDescent="0.25">
      <c r="A1128" s="13">
        <v>52976228</v>
      </c>
      <c r="B1128" s="11" t="s">
        <v>84</v>
      </c>
      <c r="C1128" s="1" t="s">
        <v>1171</v>
      </c>
      <c r="D1128" s="1" t="s">
        <v>43</v>
      </c>
      <c r="E1128" s="1" t="s">
        <v>12</v>
      </c>
    </row>
    <row r="1129" spans="1:5" x14ac:dyDescent="0.25">
      <c r="A1129" s="13">
        <v>52976570</v>
      </c>
      <c r="B1129" s="11" t="s">
        <v>83</v>
      </c>
      <c r="C1129" s="1" t="s">
        <v>1169</v>
      </c>
      <c r="D1129" s="1" t="s">
        <v>1170</v>
      </c>
      <c r="E1129" s="1" t="s">
        <v>248</v>
      </c>
    </row>
    <row r="1130" spans="1:5" x14ac:dyDescent="0.25">
      <c r="A1130" s="13">
        <v>52980514</v>
      </c>
      <c r="B1130" s="11" t="s">
        <v>84</v>
      </c>
      <c r="C1130" s="1" t="s">
        <v>3099</v>
      </c>
      <c r="D1130" s="1" t="s">
        <v>38</v>
      </c>
      <c r="E1130" s="1" t="s">
        <v>10</v>
      </c>
    </row>
    <row r="1131" spans="1:5" x14ac:dyDescent="0.25">
      <c r="A1131" s="13">
        <v>52982720</v>
      </c>
      <c r="B1131" s="11" t="s">
        <v>84</v>
      </c>
      <c r="C1131" s="1" t="s">
        <v>3237</v>
      </c>
      <c r="D1131" s="1" t="s">
        <v>43</v>
      </c>
      <c r="E1131" s="1" t="s">
        <v>3238</v>
      </c>
    </row>
    <row r="1132" spans="1:5" x14ac:dyDescent="0.25">
      <c r="A1132" s="13">
        <v>52988359</v>
      </c>
      <c r="B1132" s="11" t="s">
        <v>116</v>
      </c>
      <c r="C1132" s="1" t="s">
        <v>1168</v>
      </c>
      <c r="D1132" s="1" t="s">
        <v>117</v>
      </c>
      <c r="E1132" s="1" t="s">
        <v>12</v>
      </c>
    </row>
    <row r="1133" spans="1:5" x14ac:dyDescent="0.25">
      <c r="A1133" s="13">
        <v>52988865</v>
      </c>
      <c r="B1133" s="11" t="s">
        <v>84</v>
      </c>
      <c r="C1133" s="1" t="s">
        <v>3660</v>
      </c>
      <c r="D1133" s="1" t="s">
        <v>3540</v>
      </c>
      <c r="E1133" s="1" t="s">
        <v>1</v>
      </c>
    </row>
    <row r="1134" spans="1:5" x14ac:dyDescent="0.25">
      <c r="A1134" s="13">
        <v>52990699</v>
      </c>
      <c r="B1134" s="11" t="s">
        <v>116</v>
      </c>
      <c r="C1134" s="1" t="s">
        <v>1167</v>
      </c>
      <c r="D1134" s="1" t="s">
        <v>117</v>
      </c>
      <c r="E1134" s="1" t="s">
        <v>118</v>
      </c>
    </row>
    <row r="1135" spans="1:5" x14ac:dyDescent="0.25">
      <c r="A1135" s="13">
        <v>52995775</v>
      </c>
      <c r="B1135" s="11" t="s">
        <v>84</v>
      </c>
      <c r="C1135" s="1" t="s">
        <v>1166</v>
      </c>
      <c r="D1135" s="1" t="s">
        <v>38</v>
      </c>
      <c r="E1135" s="1" t="s">
        <v>14</v>
      </c>
    </row>
    <row r="1136" spans="1:5" x14ac:dyDescent="0.25">
      <c r="A1136" s="13">
        <v>52996136</v>
      </c>
      <c r="B1136" s="11" t="s">
        <v>84</v>
      </c>
      <c r="C1136" s="1" t="s">
        <v>1165</v>
      </c>
      <c r="D1136" s="1" t="s">
        <v>38</v>
      </c>
      <c r="E1136" s="1" t="s">
        <v>86</v>
      </c>
    </row>
    <row r="1137" spans="1:5" x14ac:dyDescent="0.25">
      <c r="A1137" s="13">
        <v>53007120</v>
      </c>
      <c r="B1137" s="11" t="s">
        <v>83</v>
      </c>
      <c r="C1137" s="1" t="s">
        <v>1164</v>
      </c>
      <c r="D1137" s="1" t="s">
        <v>47</v>
      </c>
      <c r="E1137" s="1" t="s">
        <v>27</v>
      </c>
    </row>
    <row r="1138" spans="1:5" x14ac:dyDescent="0.25">
      <c r="A1138" s="13">
        <v>53042113</v>
      </c>
      <c r="B1138" s="11" t="s">
        <v>83</v>
      </c>
      <c r="C1138" s="1" t="s">
        <v>3239</v>
      </c>
      <c r="D1138" s="1" t="s">
        <v>48</v>
      </c>
      <c r="E1138" s="1" t="s">
        <v>19</v>
      </c>
    </row>
    <row r="1139" spans="1:5" x14ac:dyDescent="0.25">
      <c r="A1139" s="13">
        <v>53045127</v>
      </c>
      <c r="B1139" s="11" t="s">
        <v>116</v>
      </c>
      <c r="C1139" s="1" t="s">
        <v>1163</v>
      </c>
      <c r="D1139" s="1" t="s">
        <v>117</v>
      </c>
      <c r="E1139" s="1" t="s">
        <v>263</v>
      </c>
    </row>
    <row r="1140" spans="1:5" x14ac:dyDescent="0.25">
      <c r="A1140" s="13">
        <v>53049415</v>
      </c>
      <c r="B1140" s="11" t="s">
        <v>84</v>
      </c>
      <c r="C1140" s="1" t="s">
        <v>1161</v>
      </c>
      <c r="D1140" s="1" t="s">
        <v>1162</v>
      </c>
      <c r="E1140" s="1" t="s">
        <v>142</v>
      </c>
    </row>
    <row r="1141" spans="1:5" x14ac:dyDescent="0.25">
      <c r="A1141" s="13">
        <v>53050958</v>
      </c>
      <c r="B1141" s="11" t="s">
        <v>84</v>
      </c>
      <c r="C1141" s="1" t="s">
        <v>1160</v>
      </c>
      <c r="D1141" s="1" t="s">
        <v>43</v>
      </c>
      <c r="E1141" s="1" t="s">
        <v>12</v>
      </c>
    </row>
    <row r="1142" spans="1:5" x14ac:dyDescent="0.25">
      <c r="A1142" s="13">
        <v>53052836</v>
      </c>
      <c r="B1142" s="11" t="s">
        <v>84</v>
      </c>
      <c r="C1142" s="1" t="s">
        <v>1159</v>
      </c>
      <c r="D1142" s="1" t="s">
        <v>36</v>
      </c>
      <c r="E1142" s="1" t="s">
        <v>17</v>
      </c>
    </row>
    <row r="1143" spans="1:5" x14ac:dyDescent="0.25">
      <c r="A1143" s="13">
        <v>53053287</v>
      </c>
      <c r="B1143" s="11" t="s">
        <v>84</v>
      </c>
      <c r="C1143" s="1" t="s">
        <v>3240</v>
      </c>
      <c r="D1143" s="1" t="s">
        <v>38</v>
      </c>
      <c r="E1143" s="1" t="s">
        <v>5</v>
      </c>
    </row>
    <row r="1144" spans="1:5" x14ac:dyDescent="0.25">
      <c r="A1144" s="13">
        <v>53054209</v>
      </c>
      <c r="B1144" s="11" t="s">
        <v>109</v>
      </c>
      <c r="C1144" s="1" t="s">
        <v>1157</v>
      </c>
      <c r="D1144" s="1" t="s">
        <v>1158</v>
      </c>
      <c r="E1144" s="1" t="s">
        <v>1</v>
      </c>
    </row>
    <row r="1145" spans="1:5" x14ac:dyDescent="0.25">
      <c r="A1145" s="13">
        <v>53071353</v>
      </c>
      <c r="B1145" s="11" t="s">
        <v>83</v>
      </c>
      <c r="C1145" s="1" t="s">
        <v>1156</v>
      </c>
      <c r="D1145" s="1" t="s">
        <v>47</v>
      </c>
      <c r="E1145" s="1" t="s">
        <v>123</v>
      </c>
    </row>
    <row r="1146" spans="1:5" x14ac:dyDescent="0.25">
      <c r="A1146" s="13">
        <v>53073271</v>
      </c>
      <c r="B1146" s="11" t="s">
        <v>83</v>
      </c>
      <c r="C1146" s="1" t="s">
        <v>1155</v>
      </c>
      <c r="D1146" s="1" t="s">
        <v>47</v>
      </c>
      <c r="E1146" s="1" t="s">
        <v>142</v>
      </c>
    </row>
    <row r="1147" spans="1:5" x14ac:dyDescent="0.25">
      <c r="A1147" s="13">
        <v>53074557</v>
      </c>
      <c r="B1147" s="11" t="s">
        <v>84</v>
      </c>
      <c r="C1147" s="1" t="s">
        <v>1154</v>
      </c>
      <c r="D1147" s="1" t="s">
        <v>36</v>
      </c>
      <c r="E1147" s="1" t="s">
        <v>17</v>
      </c>
    </row>
    <row r="1148" spans="1:5" x14ac:dyDescent="0.25">
      <c r="A1148" s="13">
        <v>53075646</v>
      </c>
      <c r="B1148" s="11" t="s">
        <v>83</v>
      </c>
      <c r="C1148" s="1" t="s">
        <v>3241</v>
      </c>
      <c r="D1148" s="1" t="s">
        <v>48</v>
      </c>
      <c r="E1148" s="1" t="s">
        <v>19</v>
      </c>
    </row>
    <row r="1149" spans="1:5" x14ac:dyDescent="0.25">
      <c r="A1149" s="13">
        <v>53076522</v>
      </c>
      <c r="B1149" s="11" t="s">
        <v>83</v>
      </c>
      <c r="C1149" s="1" t="s">
        <v>1153</v>
      </c>
      <c r="D1149" s="1" t="s">
        <v>47</v>
      </c>
      <c r="E1149" s="1" t="s">
        <v>16</v>
      </c>
    </row>
    <row r="1150" spans="1:5" x14ac:dyDescent="0.25">
      <c r="A1150" s="13">
        <v>53079897</v>
      </c>
      <c r="B1150" s="11" t="s">
        <v>116</v>
      </c>
      <c r="C1150" s="1" t="s">
        <v>1152</v>
      </c>
      <c r="D1150" s="1" t="s">
        <v>117</v>
      </c>
      <c r="E1150" s="1" t="s">
        <v>232</v>
      </c>
    </row>
    <row r="1151" spans="1:5" x14ac:dyDescent="0.25">
      <c r="A1151" s="13">
        <v>53084225</v>
      </c>
      <c r="B1151" s="11" t="s">
        <v>83</v>
      </c>
      <c r="C1151" s="1" t="s">
        <v>1150</v>
      </c>
      <c r="D1151" s="1" t="s">
        <v>1151</v>
      </c>
      <c r="E1151" s="1" t="s">
        <v>495</v>
      </c>
    </row>
    <row r="1152" spans="1:5" x14ac:dyDescent="0.25">
      <c r="A1152" s="13">
        <v>53089313</v>
      </c>
      <c r="B1152" s="11" t="s">
        <v>116</v>
      </c>
      <c r="C1152" s="1" t="s">
        <v>1149</v>
      </c>
      <c r="D1152" s="1" t="s">
        <v>117</v>
      </c>
      <c r="E1152" s="1" t="s">
        <v>11</v>
      </c>
    </row>
    <row r="1153" spans="1:5" x14ac:dyDescent="0.25">
      <c r="A1153" s="13">
        <v>53089882</v>
      </c>
      <c r="B1153" s="11" t="s">
        <v>83</v>
      </c>
      <c r="C1153" s="1" t="s">
        <v>1148</v>
      </c>
      <c r="D1153" s="1" t="s">
        <v>59</v>
      </c>
      <c r="E1153" s="1" t="s">
        <v>196</v>
      </c>
    </row>
    <row r="1154" spans="1:5" x14ac:dyDescent="0.25">
      <c r="A1154" s="13">
        <v>53090183</v>
      </c>
      <c r="B1154" s="11" t="s">
        <v>116</v>
      </c>
      <c r="C1154" s="1" t="s">
        <v>1147</v>
      </c>
      <c r="D1154" s="1" t="s">
        <v>117</v>
      </c>
      <c r="E1154" s="1" t="s">
        <v>127</v>
      </c>
    </row>
    <row r="1155" spans="1:5" x14ac:dyDescent="0.25">
      <c r="A1155" s="13">
        <v>53090775</v>
      </c>
      <c r="B1155" s="11" t="s">
        <v>83</v>
      </c>
      <c r="C1155" s="1" t="s">
        <v>1146</v>
      </c>
      <c r="D1155" s="1" t="s">
        <v>47</v>
      </c>
      <c r="E1155" s="1" t="s">
        <v>367</v>
      </c>
    </row>
    <row r="1156" spans="1:5" x14ac:dyDescent="0.25">
      <c r="A1156" s="13">
        <v>53100248</v>
      </c>
      <c r="B1156" s="11" t="s">
        <v>116</v>
      </c>
      <c r="C1156" s="1" t="s">
        <v>1145</v>
      </c>
      <c r="D1156" s="1" t="s">
        <v>117</v>
      </c>
      <c r="E1156" s="1" t="s">
        <v>10</v>
      </c>
    </row>
    <row r="1157" spans="1:5" x14ac:dyDescent="0.25">
      <c r="A1157" s="13">
        <v>53103304</v>
      </c>
      <c r="B1157" s="11" t="s">
        <v>83</v>
      </c>
      <c r="C1157" s="1" t="s">
        <v>1143</v>
      </c>
      <c r="D1157" s="1" t="s">
        <v>1144</v>
      </c>
      <c r="E1157" s="1" t="s">
        <v>24</v>
      </c>
    </row>
    <row r="1158" spans="1:5" x14ac:dyDescent="0.25">
      <c r="A1158" s="13">
        <v>53103610</v>
      </c>
      <c r="B1158" s="11" t="s">
        <v>83</v>
      </c>
      <c r="C1158" s="1" t="s">
        <v>1142</v>
      </c>
      <c r="D1158" s="1" t="s">
        <v>48</v>
      </c>
      <c r="E1158" s="1" t="s">
        <v>19</v>
      </c>
    </row>
    <row r="1159" spans="1:5" x14ac:dyDescent="0.25">
      <c r="A1159" s="13">
        <v>53103983</v>
      </c>
      <c r="B1159" s="11" t="s">
        <v>84</v>
      </c>
      <c r="C1159" s="1" t="s">
        <v>1141</v>
      </c>
      <c r="D1159" s="1" t="s">
        <v>151</v>
      </c>
      <c r="E1159" s="1" t="s">
        <v>17</v>
      </c>
    </row>
    <row r="1160" spans="1:5" x14ac:dyDescent="0.25">
      <c r="A1160" s="13">
        <v>53107684</v>
      </c>
      <c r="B1160" s="11" t="s">
        <v>83</v>
      </c>
      <c r="C1160" s="1" t="s">
        <v>1140</v>
      </c>
      <c r="D1160" s="1" t="s">
        <v>47</v>
      </c>
      <c r="E1160" s="1" t="s">
        <v>21</v>
      </c>
    </row>
    <row r="1161" spans="1:5" x14ac:dyDescent="0.25">
      <c r="A1161" s="13">
        <v>53108138</v>
      </c>
      <c r="B1161" s="11" t="s">
        <v>116</v>
      </c>
      <c r="C1161" s="1" t="s">
        <v>1139</v>
      </c>
      <c r="D1161" s="1" t="s">
        <v>117</v>
      </c>
      <c r="E1161" s="1" t="s">
        <v>491</v>
      </c>
    </row>
    <row r="1162" spans="1:5" x14ac:dyDescent="0.25">
      <c r="A1162" s="13">
        <v>53108411</v>
      </c>
      <c r="B1162" s="11" t="s">
        <v>84</v>
      </c>
      <c r="C1162" s="1" t="s">
        <v>3242</v>
      </c>
      <c r="D1162" s="1" t="s">
        <v>38</v>
      </c>
      <c r="E1162" s="1" t="s">
        <v>7</v>
      </c>
    </row>
    <row r="1163" spans="1:5" x14ac:dyDescent="0.25">
      <c r="A1163" s="13">
        <v>53119786</v>
      </c>
      <c r="B1163" s="11" t="s">
        <v>83</v>
      </c>
      <c r="C1163" s="1" t="s">
        <v>1138</v>
      </c>
      <c r="D1163" s="1" t="s">
        <v>47</v>
      </c>
      <c r="E1163" s="1" t="s">
        <v>16</v>
      </c>
    </row>
    <row r="1164" spans="1:5" x14ac:dyDescent="0.25">
      <c r="A1164" s="13">
        <v>53121070</v>
      </c>
      <c r="B1164" s="11" t="s">
        <v>116</v>
      </c>
      <c r="C1164" s="1" t="s">
        <v>1137</v>
      </c>
      <c r="D1164" s="1" t="s">
        <v>117</v>
      </c>
      <c r="E1164" s="1" t="s">
        <v>86</v>
      </c>
    </row>
    <row r="1165" spans="1:5" x14ac:dyDescent="0.25">
      <c r="A1165" s="13">
        <v>53121125</v>
      </c>
      <c r="B1165" s="11" t="s">
        <v>83</v>
      </c>
      <c r="C1165" s="1" t="s">
        <v>1136</v>
      </c>
      <c r="D1165" s="1" t="s">
        <v>1077</v>
      </c>
      <c r="E1165" s="1" t="s">
        <v>21</v>
      </c>
    </row>
    <row r="1166" spans="1:5" x14ac:dyDescent="0.25">
      <c r="A1166" s="13">
        <v>53123107</v>
      </c>
      <c r="B1166" s="11" t="s">
        <v>116</v>
      </c>
      <c r="C1166" s="1" t="s">
        <v>1135</v>
      </c>
      <c r="D1166" s="1" t="s">
        <v>117</v>
      </c>
      <c r="E1166" s="1" t="s">
        <v>179</v>
      </c>
    </row>
    <row r="1167" spans="1:5" x14ac:dyDescent="0.25">
      <c r="A1167" s="13">
        <v>53124024</v>
      </c>
      <c r="B1167" s="11" t="s">
        <v>84</v>
      </c>
      <c r="C1167" s="1" t="s">
        <v>1134</v>
      </c>
      <c r="D1167" s="1" t="s">
        <v>38</v>
      </c>
      <c r="E1167" s="1" t="s">
        <v>12</v>
      </c>
    </row>
    <row r="1168" spans="1:5" x14ac:dyDescent="0.25">
      <c r="A1168" s="13">
        <v>53132498</v>
      </c>
      <c r="B1168" s="11" t="s">
        <v>84</v>
      </c>
      <c r="C1168" s="1" t="s">
        <v>1133</v>
      </c>
      <c r="D1168" s="1" t="s">
        <v>43</v>
      </c>
      <c r="E1168" s="1" t="s">
        <v>11</v>
      </c>
    </row>
    <row r="1169" spans="1:5" x14ac:dyDescent="0.25">
      <c r="A1169" s="13">
        <v>53133605</v>
      </c>
      <c r="B1169" s="11" t="s">
        <v>83</v>
      </c>
      <c r="C1169" s="1" t="s">
        <v>1132</v>
      </c>
      <c r="D1169" s="1" t="s">
        <v>47</v>
      </c>
      <c r="E1169" s="1" t="s">
        <v>142</v>
      </c>
    </row>
    <row r="1170" spans="1:5" x14ac:dyDescent="0.25">
      <c r="A1170" s="13">
        <v>53154293</v>
      </c>
      <c r="B1170" s="11" t="s">
        <v>83</v>
      </c>
      <c r="C1170" s="1" t="s">
        <v>1131</v>
      </c>
      <c r="D1170" s="1" t="s">
        <v>42</v>
      </c>
      <c r="E1170" s="1" t="s">
        <v>4</v>
      </c>
    </row>
    <row r="1171" spans="1:5" x14ac:dyDescent="0.25">
      <c r="A1171" s="13">
        <v>53154491</v>
      </c>
      <c r="B1171" s="11" t="s">
        <v>84</v>
      </c>
      <c r="C1171" s="1" t="s">
        <v>3243</v>
      </c>
      <c r="D1171" s="1" t="s">
        <v>38</v>
      </c>
      <c r="E1171" s="1" t="s">
        <v>10</v>
      </c>
    </row>
    <row r="1172" spans="1:5" x14ac:dyDescent="0.25">
      <c r="A1172" s="13">
        <v>53160009</v>
      </c>
      <c r="B1172" s="11" t="s">
        <v>83</v>
      </c>
      <c r="C1172" s="1" t="s">
        <v>1130</v>
      </c>
      <c r="D1172" s="1" t="s">
        <v>464</v>
      </c>
      <c r="E1172" s="1" t="s">
        <v>19</v>
      </c>
    </row>
    <row r="1173" spans="1:5" x14ac:dyDescent="0.25">
      <c r="A1173" s="13">
        <v>53160847</v>
      </c>
      <c r="B1173" s="11" t="s">
        <v>83</v>
      </c>
      <c r="C1173" s="1" t="s">
        <v>1129</v>
      </c>
      <c r="D1173" s="1" t="s">
        <v>50</v>
      </c>
      <c r="E1173" s="1" t="s">
        <v>21</v>
      </c>
    </row>
    <row r="1174" spans="1:5" x14ac:dyDescent="0.25">
      <c r="A1174" s="13">
        <v>53177707</v>
      </c>
      <c r="B1174" s="11" t="s">
        <v>109</v>
      </c>
      <c r="C1174" s="1" t="s">
        <v>1126</v>
      </c>
      <c r="D1174" s="1" t="s">
        <v>1127</v>
      </c>
      <c r="E1174" s="1" t="s">
        <v>1128</v>
      </c>
    </row>
    <row r="1175" spans="1:5" x14ac:dyDescent="0.25">
      <c r="A1175" s="13">
        <v>53891507</v>
      </c>
      <c r="B1175" s="11" t="s">
        <v>84</v>
      </c>
      <c r="C1175" s="1" t="s">
        <v>1125</v>
      </c>
      <c r="D1175" s="1" t="s">
        <v>381</v>
      </c>
      <c r="E1175" s="1" t="s">
        <v>26</v>
      </c>
    </row>
    <row r="1176" spans="1:5" x14ac:dyDescent="0.25">
      <c r="A1176" s="13">
        <v>53891955</v>
      </c>
      <c r="B1176" s="11" t="s">
        <v>83</v>
      </c>
      <c r="C1176" s="1" t="s">
        <v>1124</v>
      </c>
      <c r="D1176" s="1" t="s">
        <v>47</v>
      </c>
      <c r="E1176" s="1" t="s">
        <v>17</v>
      </c>
    </row>
    <row r="1177" spans="1:5" x14ac:dyDescent="0.25">
      <c r="A1177" s="13">
        <v>53892845</v>
      </c>
      <c r="B1177" s="11" t="s">
        <v>84</v>
      </c>
      <c r="C1177" s="1" t="s">
        <v>1123</v>
      </c>
      <c r="D1177" s="1" t="s">
        <v>38</v>
      </c>
      <c r="E1177" s="1" t="s">
        <v>12</v>
      </c>
    </row>
    <row r="1178" spans="1:5" x14ac:dyDescent="0.25">
      <c r="A1178" s="13">
        <v>53931432</v>
      </c>
      <c r="B1178" s="11" t="s">
        <v>84</v>
      </c>
      <c r="C1178" s="1" t="s">
        <v>1122</v>
      </c>
      <c r="D1178" s="1" t="s">
        <v>38</v>
      </c>
      <c r="E1178" s="1" t="s">
        <v>12</v>
      </c>
    </row>
    <row r="1179" spans="1:5" x14ac:dyDescent="0.25">
      <c r="A1179" s="13">
        <v>53932358</v>
      </c>
      <c r="B1179" s="11" t="s">
        <v>83</v>
      </c>
      <c r="C1179" s="1" t="s">
        <v>3080</v>
      </c>
      <c r="D1179" s="1" t="s">
        <v>35</v>
      </c>
      <c r="E1179" s="1" t="s">
        <v>210</v>
      </c>
    </row>
    <row r="1180" spans="1:5" x14ac:dyDescent="0.25">
      <c r="A1180" s="13">
        <v>55158991</v>
      </c>
      <c r="B1180" s="11" t="s">
        <v>83</v>
      </c>
      <c r="C1180" s="1" t="s">
        <v>1119</v>
      </c>
      <c r="D1180" s="1" t="s">
        <v>40</v>
      </c>
      <c r="E1180" s="1" t="s">
        <v>23</v>
      </c>
    </row>
    <row r="1181" spans="1:5" x14ac:dyDescent="0.25">
      <c r="A1181" s="13">
        <v>55169211</v>
      </c>
      <c r="B1181" s="11" t="s">
        <v>83</v>
      </c>
      <c r="C1181" s="1" t="s">
        <v>1117</v>
      </c>
      <c r="D1181" s="1" t="s">
        <v>1118</v>
      </c>
      <c r="E1181" s="1" t="s">
        <v>21</v>
      </c>
    </row>
    <row r="1182" spans="1:5" x14ac:dyDescent="0.25">
      <c r="A1182" s="13">
        <v>57434124</v>
      </c>
      <c r="B1182" s="11" t="s">
        <v>116</v>
      </c>
      <c r="C1182" s="1" t="s">
        <v>1115</v>
      </c>
      <c r="D1182" s="1" t="s">
        <v>117</v>
      </c>
      <c r="E1182" s="1" t="s">
        <v>3</v>
      </c>
    </row>
    <row r="1183" spans="1:5" x14ac:dyDescent="0.25">
      <c r="A1183" s="13">
        <v>59314531</v>
      </c>
      <c r="B1183" s="11" t="s">
        <v>116</v>
      </c>
      <c r="C1183" s="1" t="s">
        <v>1112</v>
      </c>
      <c r="D1183" s="1" t="s">
        <v>117</v>
      </c>
      <c r="E1183" s="1" t="s">
        <v>86</v>
      </c>
    </row>
    <row r="1184" spans="1:5" x14ac:dyDescent="0.25">
      <c r="A1184" s="13">
        <v>59826833</v>
      </c>
      <c r="B1184" s="11" t="s">
        <v>84</v>
      </c>
      <c r="C1184" s="1" t="s">
        <v>1111</v>
      </c>
      <c r="D1184" s="1" t="s">
        <v>38</v>
      </c>
      <c r="E1184" s="1" t="s">
        <v>10</v>
      </c>
    </row>
    <row r="1185" spans="1:5" x14ac:dyDescent="0.25">
      <c r="A1185" s="13">
        <v>60361234</v>
      </c>
      <c r="B1185" s="11" t="s">
        <v>84</v>
      </c>
      <c r="C1185" s="1" t="s">
        <v>1108</v>
      </c>
      <c r="D1185" s="1" t="s">
        <v>38</v>
      </c>
      <c r="E1185" s="1" t="s">
        <v>597</v>
      </c>
    </row>
    <row r="1186" spans="1:5" x14ac:dyDescent="0.25">
      <c r="A1186" s="13">
        <v>60370460</v>
      </c>
      <c r="B1186" s="11" t="s">
        <v>84</v>
      </c>
      <c r="C1186" s="1" t="s">
        <v>1106</v>
      </c>
      <c r="D1186" s="1" t="s">
        <v>43</v>
      </c>
      <c r="E1186" s="1" t="s">
        <v>1107</v>
      </c>
    </row>
    <row r="1187" spans="1:5" x14ac:dyDescent="0.25">
      <c r="A1187" s="13">
        <v>60374639</v>
      </c>
      <c r="B1187" s="11" t="s">
        <v>116</v>
      </c>
      <c r="C1187" s="1" t="s">
        <v>1105</v>
      </c>
      <c r="D1187" s="1" t="s">
        <v>117</v>
      </c>
      <c r="E1187" s="1" t="s">
        <v>7</v>
      </c>
    </row>
    <row r="1188" spans="1:5" x14ac:dyDescent="0.25">
      <c r="A1188" s="13">
        <v>60394544</v>
      </c>
      <c r="B1188" s="11" t="s">
        <v>116</v>
      </c>
      <c r="C1188" s="1" t="s">
        <v>1104</v>
      </c>
      <c r="D1188" s="1" t="s">
        <v>117</v>
      </c>
      <c r="E1188" s="1" t="s">
        <v>127</v>
      </c>
    </row>
    <row r="1189" spans="1:5" x14ac:dyDescent="0.25">
      <c r="A1189" s="13">
        <v>60394733</v>
      </c>
      <c r="B1189" s="11" t="s">
        <v>116</v>
      </c>
      <c r="C1189" s="1" t="s">
        <v>1103</v>
      </c>
      <c r="D1189" s="1" t="s">
        <v>117</v>
      </c>
      <c r="E1189" s="1" t="s">
        <v>10</v>
      </c>
    </row>
    <row r="1190" spans="1:5" x14ac:dyDescent="0.25">
      <c r="A1190" s="13">
        <v>60449313</v>
      </c>
      <c r="B1190" s="11" t="s">
        <v>84</v>
      </c>
      <c r="C1190" s="1" t="s">
        <v>3013</v>
      </c>
      <c r="D1190" s="1" t="s">
        <v>43</v>
      </c>
      <c r="E1190" s="1" t="s">
        <v>13</v>
      </c>
    </row>
    <row r="1191" spans="1:5" x14ac:dyDescent="0.25">
      <c r="A1191" s="13">
        <v>62294543</v>
      </c>
      <c r="B1191" s="11" t="s">
        <v>109</v>
      </c>
      <c r="C1191" s="1" t="s">
        <v>1101</v>
      </c>
      <c r="D1191" s="1" t="s">
        <v>131</v>
      </c>
      <c r="E1191" s="1" t="s">
        <v>131</v>
      </c>
    </row>
    <row r="1192" spans="1:5" x14ac:dyDescent="0.25">
      <c r="A1192" s="13">
        <v>63278123</v>
      </c>
      <c r="B1192" s="11" t="s">
        <v>109</v>
      </c>
      <c r="C1192" s="1" t="s">
        <v>1100</v>
      </c>
      <c r="D1192" s="1" t="s">
        <v>131</v>
      </c>
      <c r="E1192" s="1" t="s">
        <v>131</v>
      </c>
    </row>
    <row r="1193" spans="1:5" x14ac:dyDescent="0.25">
      <c r="A1193" s="13">
        <v>63302715</v>
      </c>
      <c r="B1193" s="11" t="s">
        <v>116</v>
      </c>
      <c r="C1193" s="1" t="s">
        <v>1099</v>
      </c>
      <c r="D1193" s="1" t="s">
        <v>117</v>
      </c>
      <c r="E1193" s="1" t="s">
        <v>6</v>
      </c>
    </row>
    <row r="1194" spans="1:5" x14ac:dyDescent="0.25">
      <c r="A1194" s="13">
        <v>63324704</v>
      </c>
      <c r="B1194" s="11" t="s">
        <v>116</v>
      </c>
      <c r="C1194" s="1" t="s">
        <v>1098</v>
      </c>
      <c r="D1194" s="1" t="s">
        <v>117</v>
      </c>
      <c r="E1194" s="1" t="s">
        <v>9</v>
      </c>
    </row>
    <row r="1195" spans="1:5" x14ac:dyDescent="0.25">
      <c r="A1195" s="13">
        <v>63341781</v>
      </c>
      <c r="B1195" s="11" t="s">
        <v>84</v>
      </c>
      <c r="C1195" s="1" t="s">
        <v>1097</v>
      </c>
      <c r="D1195" s="1" t="s">
        <v>37</v>
      </c>
      <c r="E1195" s="1" t="s">
        <v>29</v>
      </c>
    </row>
    <row r="1196" spans="1:5" x14ac:dyDescent="0.25">
      <c r="A1196" s="13">
        <v>63370399</v>
      </c>
      <c r="B1196" s="11" t="s">
        <v>84</v>
      </c>
      <c r="C1196" s="1" t="s">
        <v>1096</v>
      </c>
      <c r="D1196" s="1" t="s">
        <v>38</v>
      </c>
      <c r="E1196" s="1" t="s">
        <v>134</v>
      </c>
    </row>
    <row r="1197" spans="1:5" x14ac:dyDescent="0.25">
      <c r="A1197" s="13">
        <v>63434529</v>
      </c>
      <c r="B1197" s="11" t="s">
        <v>84</v>
      </c>
      <c r="C1197" s="1" t="s">
        <v>1095</v>
      </c>
      <c r="D1197" s="1" t="s">
        <v>38</v>
      </c>
      <c r="E1197" s="1" t="s">
        <v>12</v>
      </c>
    </row>
    <row r="1198" spans="1:5" x14ac:dyDescent="0.25">
      <c r="A1198" s="13">
        <v>63435894</v>
      </c>
      <c r="B1198" s="11" t="s">
        <v>116</v>
      </c>
      <c r="C1198" s="1" t="s">
        <v>1094</v>
      </c>
      <c r="D1198" s="1" t="s">
        <v>117</v>
      </c>
      <c r="E1198" s="1" t="s">
        <v>10</v>
      </c>
    </row>
    <row r="1199" spans="1:5" x14ac:dyDescent="0.25">
      <c r="A1199" s="13">
        <v>63478515</v>
      </c>
      <c r="B1199" s="11" t="s">
        <v>84</v>
      </c>
      <c r="C1199" s="1" t="s">
        <v>1093</v>
      </c>
      <c r="D1199" s="1" t="s">
        <v>38</v>
      </c>
      <c r="E1199" s="1" t="s">
        <v>11</v>
      </c>
    </row>
    <row r="1200" spans="1:5" x14ac:dyDescent="0.25">
      <c r="A1200" s="13">
        <v>63501223</v>
      </c>
      <c r="B1200" s="11" t="s">
        <v>116</v>
      </c>
      <c r="C1200" s="1" t="s">
        <v>1092</v>
      </c>
      <c r="D1200" s="1" t="s">
        <v>117</v>
      </c>
      <c r="E1200" s="1" t="s">
        <v>127</v>
      </c>
    </row>
    <row r="1201" spans="1:5" x14ac:dyDescent="0.25">
      <c r="A1201" s="13">
        <v>63502044</v>
      </c>
      <c r="B1201" s="11" t="s">
        <v>84</v>
      </c>
      <c r="C1201" s="1" t="s">
        <v>1091</v>
      </c>
      <c r="D1201" s="1" t="s">
        <v>43</v>
      </c>
      <c r="E1201" s="1" t="s">
        <v>8</v>
      </c>
    </row>
    <row r="1202" spans="1:5" x14ac:dyDescent="0.25">
      <c r="A1202" s="13">
        <v>63527984</v>
      </c>
      <c r="B1202" s="11" t="s">
        <v>116</v>
      </c>
      <c r="C1202" s="1" t="s">
        <v>1090</v>
      </c>
      <c r="D1202" s="1" t="s">
        <v>117</v>
      </c>
      <c r="E1202" s="1" t="s">
        <v>186</v>
      </c>
    </row>
    <row r="1203" spans="1:5" x14ac:dyDescent="0.25">
      <c r="A1203" s="13">
        <v>64521931</v>
      </c>
      <c r="B1203" s="11" t="s">
        <v>83</v>
      </c>
      <c r="C1203" s="1" t="s">
        <v>1089</v>
      </c>
      <c r="D1203" s="1" t="s">
        <v>40</v>
      </c>
      <c r="E1203" s="1" t="s">
        <v>23</v>
      </c>
    </row>
    <row r="1204" spans="1:5" x14ac:dyDescent="0.25">
      <c r="A1204" s="13">
        <v>64546828</v>
      </c>
      <c r="B1204" s="11" t="s">
        <v>84</v>
      </c>
      <c r="C1204" s="1" t="s">
        <v>1088</v>
      </c>
      <c r="D1204" s="1" t="s">
        <v>203</v>
      </c>
      <c r="E1204" s="1" t="s">
        <v>417</v>
      </c>
    </row>
    <row r="1205" spans="1:5" x14ac:dyDescent="0.25">
      <c r="A1205" s="13">
        <v>64552202</v>
      </c>
      <c r="B1205" s="11" t="s">
        <v>109</v>
      </c>
      <c r="C1205" s="1" t="s">
        <v>1087</v>
      </c>
      <c r="D1205" s="1" t="s">
        <v>131</v>
      </c>
      <c r="E1205" s="1" t="s">
        <v>131</v>
      </c>
    </row>
    <row r="1206" spans="1:5" x14ac:dyDescent="0.25">
      <c r="A1206" s="13">
        <v>64585741</v>
      </c>
      <c r="B1206" s="11" t="s">
        <v>84</v>
      </c>
      <c r="C1206" s="1" t="s">
        <v>1086</v>
      </c>
      <c r="D1206" s="1" t="s">
        <v>38</v>
      </c>
      <c r="E1206" s="1" t="s">
        <v>8</v>
      </c>
    </row>
    <row r="1207" spans="1:5" x14ac:dyDescent="0.25">
      <c r="A1207" s="13">
        <v>65588590</v>
      </c>
      <c r="B1207" s="11" t="s">
        <v>116</v>
      </c>
      <c r="C1207" s="1" t="s">
        <v>1085</v>
      </c>
      <c r="D1207" s="1" t="s">
        <v>117</v>
      </c>
      <c r="E1207" s="1" t="s">
        <v>205</v>
      </c>
    </row>
    <row r="1208" spans="1:5" x14ac:dyDescent="0.25">
      <c r="A1208" s="13">
        <v>65745864</v>
      </c>
      <c r="B1208" s="11" t="s">
        <v>109</v>
      </c>
      <c r="C1208" s="1" t="s">
        <v>1084</v>
      </c>
      <c r="D1208" s="1" t="s">
        <v>131</v>
      </c>
      <c r="E1208" s="1" t="s">
        <v>131</v>
      </c>
    </row>
    <row r="1209" spans="1:5" x14ac:dyDescent="0.25">
      <c r="A1209" s="13">
        <v>65762746</v>
      </c>
      <c r="B1209" s="11" t="s">
        <v>83</v>
      </c>
      <c r="C1209" s="1" t="s">
        <v>1083</v>
      </c>
      <c r="D1209" s="1" t="s">
        <v>42</v>
      </c>
      <c r="E1209" s="1" t="s">
        <v>4</v>
      </c>
    </row>
    <row r="1210" spans="1:5" x14ac:dyDescent="0.25">
      <c r="A1210" s="13">
        <v>65763527</v>
      </c>
      <c r="B1210" s="11" t="s">
        <v>83</v>
      </c>
      <c r="C1210" s="1" t="s">
        <v>1082</v>
      </c>
      <c r="D1210" s="1" t="s">
        <v>47</v>
      </c>
      <c r="E1210" s="1" t="s">
        <v>16</v>
      </c>
    </row>
    <row r="1211" spans="1:5" x14ac:dyDescent="0.25">
      <c r="A1211" s="13">
        <v>65777748</v>
      </c>
      <c r="B1211" s="11" t="s">
        <v>116</v>
      </c>
      <c r="C1211" s="1" t="s">
        <v>1081</v>
      </c>
      <c r="D1211" s="1" t="s">
        <v>117</v>
      </c>
      <c r="E1211" s="1" t="s">
        <v>5</v>
      </c>
    </row>
    <row r="1212" spans="1:5" x14ac:dyDescent="0.25">
      <c r="A1212" s="13">
        <v>65784153</v>
      </c>
      <c r="B1212" s="11" t="s">
        <v>84</v>
      </c>
      <c r="C1212" s="1" t="s">
        <v>1080</v>
      </c>
      <c r="D1212" s="1" t="s">
        <v>43</v>
      </c>
      <c r="E1212" s="1" t="s">
        <v>10</v>
      </c>
    </row>
    <row r="1213" spans="1:5" x14ac:dyDescent="0.25">
      <c r="A1213" s="13">
        <v>65794350</v>
      </c>
      <c r="B1213" s="11" t="s">
        <v>83</v>
      </c>
      <c r="C1213" s="1" t="s">
        <v>1079</v>
      </c>
      <c r="D1213" s="1" t="s">
        <v>56</v>
      </c>
      <c r="E1213" s="1" t="s">
        <v>4</v>
      </c>
    </row>
    <row r="1214" spans="1:5" x14ac:dyDescent="0.25">
      <c r="A1214" s="13">
        <v>66765341</v>
      </c>
      <c r="B1214" s="11" t="s">
        <v>84</v>
      </c>
      <c r="C1214" s="1" t="s">
        <v>1078</v>
      </c>
      <c r="D1214" s="1" t="s">
        <v>38</v>
      </c>
      <c r="E1214" s="1" t="s">
        <v>12</v>
      </c>
    </row>
    <row r="1215" spans="1:5" x14ac:dyDescent="0.25">
      <c r="A1215" s="13">
        <v>66888762</v>
      </c>
      <c r="B1215" s="11" t="s">
        <v>83</v>
      </c>
      <c r="C1215" s="1" t="s">
        <v>1076</v>
      </c>
      <c r="D1215" s="1" t="s">
        <v>1077</v>
      </c>
      <c r="E1215" s="1" t="s">
        <v>26</v>
      </c>
    </row>
    <row r="1216" spans="1:5" x14ac:dyDescent="0.25">
      <c r="A1216" s="13">
        <v>68299382</v>
      </c>
      <c r="B1216" s="11" t="s">
        <v>116</v>
      </c>
      <c r="C1216" s="1" t="s">
        <v>1070</v>
      </c>
      <c r="D1216" s="1" t="s">
        <v>117</v>
      </c>
      <c r="E1216" s="1" t="s">
        <v>134</v>
      </c>
    </row>
    <row r="1217" spans="1:5" x14ac:dyDescent="0.25">
      <c r="A1217" s="13">
        <v>70116018</v>
      </c>
      <c r="B1217" s="11" t="s">
        <v>109</v>
      </c>
      <c r="C1217" s="1" t="s">
        <v>1068</v>
      </c>
      <c r="D1217" s="1" t="s">
        <v>131</v>
      </c>
      <c r="E1217" s="1" t="s">
        <v>131</v>
      </c>
    </row>
    <row r="1218" spans="1:5" x14ac:dyDescent="0.25">
      <c r="A1218" s="13">
        <v>71647703</v>
      </c>
      <c r="B1218" s="11" t="s">
        <v>84</v>
      </c>
      <c r="C1218" s="1" t="s">
        <v>1064</v>
      </c>
      <c r="D1218" s="1" t="s">
        <v>43</v>
      </c>
      <c r="E1218" s="1" t="s">
        <v>3</v>
      </c>
    </row>
    <row r="1219" spans="1:5" x14ac:dyDescent="0.25">
      <c r="A1219" s="13">
        <v>71706113</v>
      </c>
      <c r="B1219" s="11" t="s">
        <v>116</v>
      </c>
      <c r="C1219" s="1" t="s">
        <v>1063</v>
      </c>
      <c r="D1219" s="1" t="s">
        <v>151</v>
      </c>
      <c r="E1219" s="1" t="s">
        <v>152</v>
      </c>
    </row>
    <row r="1220" spans="1:5" x14ac:dyDescent="0.25">
      <c r="A1220" s="13">
        <v>71720614</v>
      </c>
      <c r="B1220" s="11" t="s">
        <v>116</v>
      </c>
      <c r="C1220" s="1" t="s">
        <v>1061</v>
      </c>
      <c r="D1220" s="1" t="s">
        <v>117</v>
      </c>
      <c r="E1220" s="1" t="s">
        <v>5</v>
      </c>
    </row>
    <row r="1221" spans="1:5" x14ac:dyDescent="0.25">
      <c r="A1221" s="13">
        <v>71781412</v>
      </c>
      <c r="B1221" s="11" t="s">
        <v>84</v>
      </c>
      <c r="C1221" s="1" t="s">
        <v>1060</v>
      </c>
      <c r="D1221" s="1" t="s">
        <v>38</v>
      </c>
      <c r="E1221" s="1" t="s">
        <v>5</v>
      </c>
    </row>
    <row r="1222" spans="1:5" x14ac:dyDescent="0.25">
      <c r="A1222" s="13">
        <v>71984951</v>
      </c>
      <c r="B1222" s="11" t="s">
        <v>83</v>
      </c>
      <c r="C1222" s="1" t="s">
        <v>1057</v>
      </c>
      <c r="D1222" s="1" t="s">
        <v>57</v>
      </c>
      <c r="E1222" s="1" t="s">
        <v>23</v>
      </c>
    </row>
    <row r="1223" spans="1:5" x14ac:dyDescent="0.25">
      <c r="A1223" s="13">
        <v>72003952</v>
      </c>
      <c r="B1223" s="11" t="s">
        <v>84</v>
      </c>
      <c r="C1223" s="1" t="s">
        <v>3244</v>
      </c>
      <c r="D1223" s="1" t="s">
        <v>38</v>
      </c>
      <c r="E1223" s="1" t="s">
        <v>8</v>
      </c>
    </row>
    <row r="1224" spans="1:5" x14ac:dyDescent="0.25">
      <c r="A1224" s="13">
        <v>72007307</v>
      </c>
      <c r="B1224" s="11" t="s">
        <v>116</v>
      </c>
      <c r="C1224" s="1" t="s">
        <v>1056</v>
      </c>
      <c r="D1224" s="1" t="s">
        <v>117</v>
      </c>
      <c r="E1224" s="1" t="s">
        <v>6</v>
      </c>
    </row>
    <row r="1225" spans="1:5" x14ac:dyDescent="0.25">
      <c r="A1225" s="13">
        <v>72168248</v>
      </c>
      <c r="B1225" s="11" t="s">
        <v>116</v>
      </c>
      <c r="C1225" s="1" t="s">
        <v>1054</v>
      </c>
      <c r="D1225" s="1" t="s">
        <v>117</v>
      </c>
      <c r="E1225" s="1" t="s">
        <v>1055</v>
      </c>
    </row>
    <row r="1226" spans="1:5" x14ac:dyDescent="0.25">
      <c r="A1226" s="13">
        <v>72176793</v>
      </c>
      <c r="B1226" s="11" t="s">
        <v>109</v>
      </c>
      <c r="C1226" s="1" t="s">
        <v>1053</v>
      </c>
      <c r="D1226" s="1" t="s">
        <v>131</v>
      </c>
      <c r="E1226" s="1" t="s">
        <v>131</v>
      </c>
    </row>
    <row r="1227" spans="1:5" x14ac:dyDescent="0.25">
      <c r="A1227" s="13">
        <v>72178263</v>
      </c>
      <c r="B1227" s="11" t="s">
        <v>116</v>
      </c>
      <c r="C1227" s="1" t="s">
        <v>1052</v>
      </c>
      <c r="D1227" s="1" t="s">
        <v>117</v>
      </c>
      <c r="E1227" s="1" t="s">
        <v>2</v>
      </c>
    </row>
    <row r="1228" spans="1:5" x14ac:dyDescent="0.25">
      <c r="A1228" s="13">
        <v>72223001</v>
      </c>
      <c r="B1228" s="11" t="s">
        <v>83</v>
      </c>
      <c r="C1228" s="1" t="s">
        <v>3661</v>
      </c>
      <c r="D1228" s="1" t="s">
        <v>3662</v>
      </c>
      <c r="E1228" s="1" t="s">
        <v>24</v>
      </c>
    </row>
    <row r="1229" spans="1:5" x14ac:dyDescent="0.25">
      <c r="A1229" s="13">
        <v>72257456</v>
      </c>
      <c r="B1229" s="11" t="s">
        <v>84</v>
      </c>
      <c r="C1229" s="1" t="s">
        <v>3245</v>
      </c>
      <c r="D1229" s="1" t="s">
        <v>43</v>
      </c>
      <c r="E1229" s="1" t="s">
        <v>3</v>
      </c>
    </row>
    <row r="1230" spans="1:5" x14ac:dyDescent="0.25">
      <c r="A1230" s="13">
        <v>72267228</v>
      </c>
      <c r="B1230" s="11" t="s">
        <v>83</v>
      </c>
      <c r="C1230" s="1" t="s">
        <v>1051</v>
      </c>
      <c r="D1230" s="1" t="s">
        <v>225</v>
      </c>
      <c r="E1230" s="1" t="s">
        <v>23</v>
      </c>
    </row>
    <row r="1231" spans="1:5" x14ac:dyDescent="0.25">
      <c r="A1231" s="13">
        <v>72276719</v>
      </c>
      <c r="B1231" s="11" t="s">
        <v>83</v>
      </c>
      <c r="C1231" s="1" t="s">
        <v>1050</v>
      </c>
      <c r="D1231" s="1" t="s">
        <v>57</v>
      </c>
      <c r="E1231" s="1" t="s">
        <v>23</v>
      </c>
    </row>
    <row r="1232" spans="1:5" x14ac:dyDescent="0.25">
      <c r="A1232" s="13">
        <v>73071277</v>
      </c>
      <c r="B1232" s="11" t="s">
        <v>84</v>
      </c>
      <c r="C1232" s="1" t="s">
        <v>1048</v>
      </c>
      <c r="D1232" s="1" t="s">
        <v>185</v>
      </c>
      <c r="E1232" s="1" t="s">
        <v>7</v>
      </c>
    </row>
    <row r="1233" spans="1:5" x14ac:dyDescent="0.25">
      <c r="A1233" s="13">
        <v>73099638</v>
      </c>
      <c r="B1233" s="11" t="s">
        <v>116</v>
      </c>
      <c r="C1233" s="1" t="s">
        <v>1046</v>
      </c>
      <c r="D1233" s="1" t="s">
        <v>117</v>
      </c>
      <c r="E1233" s="1" t="s">
        <v>6</v>
      </c>
    </row>
    <row r="1234" spans="1:5" x14ac:dyDescent="0.25">
      <c r="A1234" s="13">
        <v>73108039</v>
      </c>
      <c r="B1234" s="11" t="s">
        <v>116</v>
      </c>
      <c r="C1234" s="1" t="s">
        <v>1045</v>
      </c>
      <c r="D1234" s="1" t="s">
        <v>117</v>
      </c>
      <c r="E1234" s="1" t="s">
        <v>127</v>
      </c>
    </row>
    <row r="1235" spans="1:5" x14ac:dyDescent="0.25">
      <c r="A1235" s="13">
        <v>73109132</v>
      </c>
      <c r="B1235" s="11" t="s">
        <v>84</v>
      </c>
      <c r="C1235" s="1" t="s">
        <v>1044</v>
      </c>
      <c r="D1235" s="1" t="s">
        <v>38</v>
      </c>
      <c r="E1235" s="1" t="s">
        <v>127</v>
      </c>
    </row>
    <row r="1236" spans="1:5" x14ac:dyDescent="0.25">
      <c r="A1236" s="13">
        <v>73139702</v>
      </c>
      <c r="B1236" s="11" t="s">
        <v>116</v>
      </c>
      <c r="C1236" s="1" t="s">
        <v>1043</v>
      </c>
      <c r="D1236" s="1" t="s">
        <v>117</v>
      </c>
      <c r="E1236" s="1" t="s">
        <v>11</v>
      </c>
    </row>
    <row r="1237" spans="1:5" x14ac:dyDescent="0.25">
      <c r="A1237" s="13">
        <v>73147234</v>
      </c>
      <c r="B1237" s="11" t="s">
        <v>109</v>
      </c>
      <c r="C1237" s="1" t="s">
        <v>1041</v>
      </c>
      <c r="D1237" s="1" t="s">
        <v>131</v>
      </c>
      <c r="E1237" s="1" t="s">
        <v>131</v>
      </c>
    </row>
    <row r="1238" spans="1:5" x14ac:dyDescent="0.25">
      <c r="A1238" s="13">
        <v>73193241</v>
      </c>
      <c r="B1238" s="11" t="s">
        <v>83</v>
      </c>
      <c r="C1238" s="1" t="s">
        <v>1040</v>
      </c>
      <c r="D1238" s="1" t="s">
        <v>47</v>
      </c>
      <c r="E1238" s="1" t="s">
        <v>939</v>
      </c>
    </row>
    <row r="1239" spans="1:5" x14ac:dyDescent="0.25">
      <c r="A1239" s="13">
        <v>73573912</v>
      </c>
      <c r="B1239" s="11" t="s">
        <v>116</v>
      </c>
      <c r="C1239" s="1" t="s">
        <v>1039</v>
      </c>
      <c r="D1239" s="1" t="s">
        <v>117</v>
      </c>
      <c r="E1239" s="1" t="s">
        <v>3190</v>
      </c>
    </row>
    <row r="1240" spans="1:5" x14ac:dyDescent="0.25">
      <c r="A1240" s="13">
        <v>73576544</v>
      </c>
      <c r="B1240" s="11" t="s">
        <v>116</v>
      </c>
      <c r="C1240" s="1" t="s">
        <v>1038</v>
      </c>
      <c r="D1240" s="1" t="s">
        <v>117</v>
      </c>
      <c r="E1240" s="1" t="s">
        <v>6</v>
      </c>
    </row>
    <row r="1241" spans="1:5" x14ac:dyDescent="0.25">
      <c r="A1241" s="13">
        <v>74186278</v>
      </c>
      <c r="B1241" s="11" t="s">
        <v>83</v>
      </c>
      <c r="C1241" s="1" t="s">
        <v>1037</v>
      </c>
      <c r="D1241" s="1" t="s">
        <v>47</v>
      </c>
      <c r="E1241" s="1" t="s">
        <v>17</v>
      </c>
    </row>
    <row r="1242" spans="1:5" x14ac:dyDescent="0.25">
      <c r="A1242" s="13">
        <v>74187075</v>
      </c>
      <c r="B1242" s="11" t="s">
        <v>116</v>
      </c>
      <c r="C1242" s="1" t="s">
        <v>1036</v>
      </c>
      <c r="D1242" s="1" t="s">
        <v>117</v>
      </c>
      <c r="E1242" s="1" t="s">
        <v>3</v>
      </c>
    </row>
    <row r="1243" spans="1:5" x14ac:dyDescent="0.25">
      <c r="A1243" s="13">
        <v>74281609</v>
      </c>
      <c r="B1243" s="11" t="s">
        <v>116</v>
      </c>
      <c r="C1243" s="1" t="s">
        <v>1034</v>
      </c>
      <c r="D1243" s="1" t="s">
        <v>117</v>
      </c>
      <c r="E1243" s="1" t="s">
        <v>453</v>
      </c>
    </row>
    <row r="1244" spans="1:5" x14ac:dyDescent="0.25">
      <c r="A1244" s="13">
        <v>74333204</v>
      </c>
      <c r="B1244" s="11" t="s">
        <v>109</v>
      </c>
      <c r="C1244" s="1" t="s">
        <v>1033</v>
      </c>
      <c r="D1244" s="1" t="s">
        <v>131</v>
      </c>
      <c r="E1244" s="1" t="s">
        <v>131</v>
      </c>
    </row>
    <row r="1245" spans="1:5" x14ac:dyDescent="0.25">
      <c r="A1245" s="13">
        <v>74348283</v>
      </c>
      <c r="B1245" s="11" t="s">
        <v>116</v>
      </c>
      <c r="C1245" s="1" t="s">
        <v>1032</v>
      </c>
      <c r="D1245" s="1" t="s">
        <v>117</v>
      </c>
      <c r="E1245" s="1" t="s">
        <v>119</v>
      </c>
    </row>
    <row r="1246" spans="1:5" x14ac:dyDescent="0.25">
      <c r="A1246" s="13">
        <v>74360971</v>
      </c>
      <c r="B1246" s="11" t="s">
        <v>84</v>
      </c>
      <c r="C1246" s="1" t="s">
        <v>1031</v>
      </c>
      <c r="D1246" s="1" t="s">
        <v>185</v>
      </c>
      <c r="E1246" s="1" t="s">
        <v>127</v>
      </c>
    </row>
    <row r="1247" spans="1:5" x14ac:dyDescent="0.25">
      <c r="A1247" s="13">
        <v>74374608</v>
      </c>
      <c r="B1247" s="11" t="s">
        <v>116</v>
      </c>
      <c r="C1247" s="1" t="s">
        <v>1030</v>
      </c>
      <c r="D1247" s="1" t="s">
        <v>117</v>
      </c>
      <c r="E1247" s="1" t="s">
        <v>168</v>
      </c>
    </row>
    <row r="1248" spans="1:5" x14ac:dyDescent="0.25">
      <c r="A1248" s="13">
        <v>74376944</v>
      </c>
      <c r="B1248" s="11" t="s">
        <v>83</v>
      </c>
      <c r="C1248" s="1" t="s">
        <v>1028</v>
      </c>
      <c r="D1248" s="1" t="s">
        <v>1029</v>
      </c>
      <c r="E1248" s="1" t="s">
        <v>152</v>
      </c>
    </row>
    <row r="1249" spans="1:5" x14ac:dyDescent="0.25">
      <c r="A1249" s="13">
        <v>74377744</v>
      </c>
      <c r="B1249" s="11" t="s">
        <v>83</v>
      </c>
      <c r="C1249" s="1" t="s">
        <v>1027</v>
      </c>
      <c r="D1249" s="1" t="s">
        <v>3246</v>
      </c>
      <c r="E1249" s="1" t="s">
        <v>24</v>
      </c>
    </row>
    <row r="1250" spans="1:5" x14ac:dyDescent="0.25">
      <c r="A1250" s="13">
        <v>74377774</v>
      </c>
      <c r="B1250" s="11" t="s">
        <v>83</v>
      </c>
      <c r="C1250" s="1" t="s">
        <v>1025</v>
      </c>
      <c r="D1250" s="1" t="s">
        <v>1026</v>
      </c>
      <c r="E1250" s="1" t="s">
        <v>453</v>
      </c>
    </row>
    <row r="1251" spans="1:5" x14ac:dyDescent="0.25">
      <c r="A1251" s="13">
        <v>75075442</v>
      </c>
      <c r="B1251" s="11" t="s">
        <v>116</v>
      </c>
      <c r="C1251" s="1" t="s">
        <v>1021</v>
      </c>
      <c r="D1251" s="1" t="s">
        <v>117</v>
      </c>
      <c r="E1251" s="1" t="s">
        <v>8</v>
      </c>
    </row>
    <row r="1252" spans="1:5" x14ac:dyDescent="0.25">
      <c r="A1252" s="13">
        <v>75082366</v>
      </c>
      <c r="B1252" s="11" t="s">
        <v>116</v>
      </c>
      <c r="C1252" s="1" t="s">
        <v>1020</v>
      </c>
      <c r="D1252" s="1" t="s">
        <v>117</v>
      </c>
      <c r="E1252" s="1" t="s">
        <v>147</v>
      </c>
    </row>
    <row r="1253" spans="1:5" x14ac:dyDescent="0.25">
      <c r="A1253" s="13">
        <v>75103434</v>
      </c>
      <c r="B1253" s="11" t="s">
        <v>84</v>
      </c>
      <c r="C1253" s="1" t="s">
        <v>1019</v>
      </c>
      <c r="D1253" s="1" t="s">
        <v>38</v>
      </c>
      <c r="E1253" s="1" t="s">
        <v>8</v>
      </c>
    </row>
    <row r="1254" spans="1:5" x14ac:dyDescent="0.25">
      <c r="A1254" s="13">
        <v>76305375</v>
      </c>
      <c r="B1254" s="11" t="s">
        <v>83</v>
      </c>
      <c r="C1254" s="1" t="s">
        <v>1014</v>
      </c>
      <c r="D1254" s="1" t="s">
        <v>67</v>
      </c>
      <c r="E1254" s="1" t="s">
        <v>28</v>
      </c>
    </row>
    <row r="1255" spans="1:5" x14ac:dyDescent="0.25">
      <c r="A1255" s="13">
        <v>76309083</v>
      </c>
      <c r="B1255" s="11" t="s">
        <v>116</v>
      </c>
      <c r="C1255" s="1" t="s">
        <v>1013</v>
      </c>
      <c r="D1255" s="1" t="s">
        <v>117</v>
      </c>
      <c r="E1255" s="1" t="s">
        <v>10</v>
      </c>
    </row>
    <row r="1256" spans="1:5" x14ac:dyDescent="0.25">
      <c r="A1256" s="13">
        <v>76310027</v>
      </c>
      <c r="B1256" s="11" t="s">
        <v>83</v>
      </c>
      <c r="C1256" s="1" t="s">
        <v>1012</v>
      </c>
      <c r="D1256" s="1" t="s">
        <v>47</v>
      </c>
      <c r="E1256" s="1" t="s">
        <v>300</v>
      </c>
    </row>
    <row r="1257" spans="1:5" x14ac:dyDescent="0.25">
      <c r="A1257" s="13">
        <v>76310986</v>
      </c>
      <c r="B1257" s="11" t="s">
        <v>116</v>
      </c>
      <c r="C1257" s="1" t="s">
        <v>1011</v>
      </c>
      <c r="D1257" s="1" t="s">
        <v>117</v>
      </c>
      <c r="E1257" s="1" t="s">
        <v>7</v>
      </c>
    </row>
    <row r="1258" spans="1:5" x14ac:dyDescent="0.25">
      <c r="A1258" s="13">
        <v>76319039</v>
      </c>
      <c r="B1258" s="11" t="s">
        <v>84</v>
      </c>
      <c r="C1258" s="1" t="s">
        <v>3562</v>
      </c>
      <c r="D1258" s="1" t="s">
        <v>43</v>
      </c>
      <c r="E1258" s="1" t="s">
        <v>3253</v>
      </c>
    </row>
    <row r="1259" spans="1:5" x14ac:dyDescent="0.25">
      <c r="A1259" s="13">
        <v>77035639</v>
      </c>
      <c r="B1259" s="11" t="s">
        <v>116</v>
      </c>
      <c r="C1259" s="1" t="s">
        <v>1004</v>
      </c>
      <c r="D1259" s="1" t="s">
        <v>117</v>
      </c>
      <c r="E1259" s="1" t="s">
        <v>876</v>
      </c>
    </row>
    <row r="1260" spans="1:5" x14ac:dyDescent="0.25">
      <c r="A1260" s="13">
        <v>78742034</v>
      </c>
      <c r="B1260" s="11" t="s">
        <v>116</v>
      </c>
      <c r="C1260" s="1" t="s">
        <v>1001</v>
      </c>
      <c r="D1260" s="1" t="s">
        <v>117</v>
      </c>
      <c r="E1260" s="1" t="s">
        <v>147</v>
      </c>
    </row>
    <row r="1261" spans="1:5" x14ac:dyDescent="0.25">
      <c r="A1261" s="13">
        <v>78749148</v>
      </c>
      <c r="B1261" s="11" t="s">
        <v>83</v>
      </c>
      <c r="C1261" s="1" t="s">
        <v>3004</v>
      </c>
      <c r="D1261" s="1" t="s">
        <v>57</v>
      </c>
      <c r="E1261" s="1" t="s">
        <v>23</v>
      </c>
    </row>
    <row r="1262" spans="1:5" x14ac:dyDescent="0.25">
      <c r="A1262" s="13">
        <v>79001398</v>
      </c>
      <c r="B1262" s="11" t="s">
        <v>109</v>
      </c>
      <c r="C1262" s="1" t="s">
        <v>1000</v>
      </c>
      <c r="D1262" s="1" t="s">
        <v>131</v>
      </c>
      <c r="E1262" s="1" t="s">
        <v>131</v>
      </c>
    </row>
    <row r="1263" spans="1:5" x14ac:dyDescent="0.25">
      <c r="A1263" s="13">
        <v>79040727</v>
      </c>
      <c r="B1263" s="11" t="s">
        <v>83</v>
      </c>
      <c r="C1263" s="1" t="s">
        <v>999</v>
      </c>
      <c r="D1263" s="1" t="s">
        <v>350</v>
      </c>
      <c r="E1263" s="1" t="s">
        <v>28</v>
      </c>
    </row>
    <row r="1264" spans="1:5" x14ac:dyDescent="0.25">
      <c r="A1264" s="13">
        <v>79042287</v>
      </c>
      <c r="B1264" s="11" t="s">
        <v>116</v>
      </c>
      <c r="C1264" s="1" t="s">
        <v>998</v>
      </c>
      <c r="D1264" s="1" t="s">
        <v>117</v>
      </c>
      <c r="E1264" s="1" t="s">
        <v>186</v>
      </c>
    </row>
    <row r="1265" spans="1:5" x14ac:dyDescent="0.25">
      <c r="A1265" s="13">
        <v>79042407</v>
      </c>
      <c r="B1265" s="11" t="s">
        <v>116</v>
      </c>
      <c r="C1265" s="1" t="s">
        <v>997</v>
      </c>
      <c r="D1265" s="1" t="s">
        <v>117</v>
      </c>
      <c r="E1265" s="1" t="s">
        <v>118</v>
      </c>
    </row>
    <row r="1266" spans="1:5" x14ac:dyDescent="0.25">
      <c r="A1266" s="13">
        <v>79043674</v>
      </c>
      <c r="B1266" s="11" t="s">
        <v>83</v>
      </c>
      <c r="C1266" s="1" t="s">
        <v>996</v>
      </c>
      <c r="D1266" s="1" t="s">
        <v>72</v>
      </c>
      <c r="E1266" s="1" t="s">
        <v>23</v>
      </c>
    </row>
    <row r="1267" spans="1:5" x14ac:dyDescent="0.25">
      <c r="A1267" s="13">
        <v>79046541</v>
      </c>
      <c r="B1267" s="11" t="s">
        <v>116</v>
      </c>
      <c r="C1267" s="1" t="s">
        <v>995</v>
      </c>
      <c r="D1267" s="1" t="s">
        <v>117</v>
      </c>
      <c r="E1267" s="1" t="s">
        <v>3</v>
      </c>
    </row>
    <row r="1268" spans="1:5" x14ac:dyDescent="0.25">
      <c r="A1268" s="13">
        <v>79046647</v>
      </c>
      <c r="B1268" s="11" t="s">
        <v>84</v>
      </c>
      <c r="C1268" s="1" t="s">
        <v>994</v>
      </c>
      <c r="D1268" s="1" t="s">
        <v>38</v>
      </c>
      <c r="E1268" s="1" t="s">
        <v>491</v>
      </c>
    </row>
    <row r="1269" spans="1:5" x14ac:dyDescent="0.25">
      <c r="A1269" s="13">
        <v>79047792</v>
      </c>
      <c r="B1269" s="11" t="s">
        <v>84</v>
      </c>
      <c r="C1269" s="1" t="s">
        <v>993</v>
      </c>
      <c r="D1269" s="1" t="s">
        <v>38</v>
      </c>
      <c r="E1269" s="1" t="s">
        <v>3</v>
      </c>
    </row>
    <row r="1270" spans="1:5" x14ac:dyDescent="0.25">
      <c r="A1270" s="13">
        <v>79048694</v>
      </c>
      <c r="B1270" s="11" t="s">
        <v>84</v>
      </c>
      <c r="C1270" s="1" t="s">
        <v>992</v>
      </c>
      <c r="D1270" s="1" t="s">
        <v>38</v>
      </c>
      <c r="E1270" s="1" t="s">
        <v>7</v>
      </c>
    </row>
    <row r="1271" spans="1:5" x14ac:dyDescent="0.25">
      <c r="A1271" s="13">
        <v>79049843</v>
      </c>
      <c r="B1271" s="11" t="s">
        <v>116</v>
      </c>
      <c r="C1271" s="1" t="s">
        <v>991</v>
      </c>
      <c r="D1271" s="1" t="s">
        <v>117</v>
      </c>
      <c r="E1271" s="1" t="s">
        <v>232</v>
      </c>
    </row>
    <row r="1272" spans="1:5" x14ac:dyDescent="0.25">
      <c r="A1272" s="13">
        <v>79050555</v>
      </c>
      <c r="B1272" s="11" t="s">
        <v>116</v>
      </c>
      <c r="C1272" s="1" t="s">
        <v>990</v>
      </c>
      <c r="D1272" s="1" t="s">
        <v>117</v>
      </c>
      <c r="E1272" s="1" t="s">
        <v>11</v>
      </c>
    </row>
    <row r="1273" spans="1:5" x14ac:dyDescent="0.25">
      <c r="A1273" s="13">
        <v>79051377</v>
      </c>
      <c r="B1273" s="11" t="s">
        <v>109</v>
      </c>
      <c r="C1273" s="1" t="s">
        <v>989</v>
      </c>
      <c r="D1273" s="1" t="s">
        <v>131</v>
      </c>
      <c r="E1273" s="1" t="s">
        <v>131</v>
      </c>
    </row>
    <row r="1274" spans="1:5" x14ac:dyDescent="0.25">
      <c r="A1274" s="13">
        <v>79054021</v>
      </c>
      <c r="B1274" s="11" t="s">
        <v>116</v>
      </c>
      <c r="C1274" s="1" t="s">
        <v>988</v>
      </c>
      <c r="D1274" s="1" t="s">
        <v>117</v>
      </c>
      <c r="E1274" s="1" t="s">
        <v>958</v>
      </c>
    </row>
    <row r="1275" spans="1:5" x14ac:dyDescent="0.25">
      <c r="A1275" s="13">
        <v>79055619</v>
      </c>
      <c r="B1275" s="11" t="s">
        <v>109</v>
      </c>
      <c r="C1275" s="1" t="s">
        <v>987</v>
      </c>
      <c r="D1275" s="1" t="s">
        <v>131</v>
      </c>
      <c r="E1275" s="1" t="s">
        <v>131</v>
      </c>
    </row>
    <row r="1276" spans="1:5" x14ac:dyDescent="0.25">
      <c r="A1276" s="13">
        <v>79055987</v>
      </c>
      <c r="B1276" s="11" t="s">
        <v>83</v>
      </c>
      <c r="C1276" s="1" t="s">
        <v>986</v>
      </c>
      <c r="D1276" s="1" t="s">
        <v>363</v>
      </c>
      <c r="E1276" s="1" t="s">
        <v>364</v>
      </c>
    </row>
    <row r="1277" spans="1:5" x14ac:dyDescent="0.25">
      <c r="A1277" s="13">
        <v>79060980</v>
      </c>
      <c r="B1277" s="11" t="s">
        <v>116</v>
      </c>
      <c r="C1277" s="1" t="s">
        <v>985</v>
      </c>
      <c r="D1277" s="1" t="s">
        <v>117</v>
      </c>
      <c r="E1277" s="1" t="s">
        <v>958</v>
      </c>
    </row>
    <row r="1278" spans="1:5" x14ac:dyDescent="0.25">
      <c r="A1278" s="13">
        <v>79103842</v>
      </c>
      <c r="B1278" s="11" t="s">
        <v>84</v>
      </c>
      <c r="C1278" s="1" t="s">
        <v>3563</v>
      </c>
      <c r="D1278" s="1" t="s">
        <v>38</v>
      </c>
      <c r="E1278" s="1" t="s">
        <v>8</v>
      </c>
    </row>
    <row r="1279" spans="1:5" x14ac:dyDescent="0.25">
      <c r="A1279" s="13">
        <v>79106979</v>
      </c>
      <c r="B1279" s="11" t="s">
        <v>116</v>
      </c>
      <c r="C1279" s="1" t="s">
        <v>984</v>
      </c>
      <c r="D1279" s="1" t="s">
        <v>117</v>
      </c>
      <c r="E1279" s="1" t="s">
        <v>205</v>
      </c>
    </row>
    <row r="1280" spans="1:5" x14ac:dyDescent="0.25">
      <c r="A1280" s="13">
        <v>79108864</v>
      </c>
      <c r="B1280" s="11" t="s">
        <v>116</v>
      </c>
      <c r="C1280" s="1" t="s">
        <v>983</v>
      </c>
      <c r="D1280" s="1" t="s">
        <v>117</v>
      </c>
      <c r="E1280" s="1" t="s">
        <v>134</v>
      </c>
    </row>
    <row r="1281" spans="1:5" x14ac:dyDescent="0.25">
      <c r="A1281" s="13">
        <v>79111065</v>
      </c>
      <c r="B1281" s="11" t="s">
        <v>116</v>
      </c>
      <c r="C1281" s="1" t="s">
        <v>982</v>
      </c>
      <c r="D1281" s="1" t="s">
        <v>117</v>
      </c>
      <c r="E1281" s="1" t="s">
        <v>9</v>
      </c>
    </row>
    <row r="1282" spans="1:5" x14ac:dyDescent="0.25">
      <c r="A1282" s="13">
        <v>79113389</v>
      </c>
      <c r="B1282" s="11" t="s">
        <v>84</v>
      </c>
      <c r="C1282" s="1" t="s">
        <v>981</v>
      </c>
      <c r="D1282" s="1" t="s">
        <v>43</v>
      </c>
      <c r="E1282" s="1" t="s">
        <v>205</v>
      </c>
    </row>
    <row r="1283" spans="1:5" x14ac:dyDescent="0.25">
      <c r="A1283" s="13">
        <v>79131013</v>
      </c>
      <c r="B1283" s="11" t="s">
        <v>116</v>
      </c>
      <c r="C1283" s="1" t="s">
        <v>980</v>
      </c>
      <c r="D1283" s="1" t="s">
        <v>117</v>
      </c>
      <c r="E1283" s="1" t="s">
        <v>336</v>
      </c>
    </row>
    <row r="1284" spans="1:5" x14ac:dyDescent="0.25">
      <c r="A1284" s="13">
        <v>79133754</v>
      </c>
      <c r="B1284" s="11" t="s">
        <v>116</v>
      </c>
      <c r="C1284" s="1" t="s">
        <v>979</v>
      </c>
      <c r="D1284" s="1" t="s">
        <v>117</v>
      </c>
      <c r="E1284" s="1" t="s">
        <v>232</v>
      </c>
    </row>
    <row r="1285" spans="1:5" x14ac:dyDescent="0.25">
      <c r="A1285" s="13">
        <v>79137768</v>
      </c>
      <c r="B1285" s="11" t="s">
        <v>116</v>
      </c>
      <c r="C1285" s="1" t="s">
        <v>978</v>
      </c>
      <c r="D1285" s="1" t="s">
        <v>117</v>
      </c>
      <c r="E1285" s="1" t="s">
        <v>336</v>
      </c>
    </row>
    <row r="1286" spans="1:5" x14ac:dyDescent="0.25">
      <c r="A1286" s="13">
        <v>79138109</v>
      </c>
      <c r="B1286" s="11" t="s">
        <v>84</v>
      </c>
      <c r="C1286" s="1" t="s">
        <v>977</v>
      </c>
      <c r="D1286" s="1" t="s">
        <v>38</v>
      </c>
      <c r="E1286" s="1" t="s">
        <v>3</v>
      </c>
    </row>
    <row r="1287" spans="1:5" x14ac:dyDescent="0.25">
      <c r="A1287" s="13">
        <v>79142390</v>
      </c>
      <c r="B1287" s="11" t="s">
        <v>116</v>
      </c>
      <c r="C1287" s="1" t="s">
        <v>976</v>
      </c>
      <c r="D1287" s="1" t="s">
        <v>117</v>
      </c>
      <c r="E1287" s="1" t="s">
        <v>9</v>
      </c>
    </row>
    <row r="1288" spans="1:5" x14ac:dyDescent="0.25">
      <c r="A1288" s="13">
        <v>79142950</v>
      </c>
      <c r="B1288" s="11" t="s">
        <v>116</v>
      </c>
      <c r="C1288" s="1" t="s">
        <v>975</v>
      </c>
      <c r="D1288" s="1" t="s">
        <v>117</v>
      </c>
      <c r="E1288" s="1" t="s">
        <v>9</v>
      </c>
    </row>
    <row r="1289" spans="1:5" x14ac:dyDescent="0.25">
      <c r="A1289" s="13">
        <v>79144977</v>
      </c>
      <c r="B1289" s="11" t="s">
        <v>84</v>
      </c>
      <c r="C1289" s="1" t="s">
        <v>974</v>
      </c>
      <c r="D1289" s="1" t="s">
        <v>38</v>
      </c>
      <c r="E1289" s="1" t="s">
        <v>134</v>
      </c>
    </row>
    <row r="1290" spans="1:5" x14ac:dyDescent="0.25">
      <c r="A1290" s="13">
        <v>79186905</v>
      </c>
      <c r="B1290" s="11" t="s">
        <v>84</v>
      </c>
      <c r="C1290" s="1" t="s">
        <v>972</v>
      </c>
      <c r="D1290" s="1" t="s">
        <v>973</v>
      </c>
      <c r="E1290" s="1" t="s">
        <v>1</v>
      </c>
    </row>
    <row r="1291" spans="1:5" x14ac:dyDescent="0.25">
      <c r="A1291" s="13">
        <v>79188752</v>
      </c>
      <c r="B1291" s="11" t="s">
        <v>84</v>
      </c>
      <c r="C1291" s="1" t="s">
        <v>3247</v>
      </c>
      <c r="D1291" s="1" t="s">
        <v>43</v>
      </c>
      <c r="E1291" s="1" t="s">
        <v>10</v>
      </c>
    </row>
    <row r="1292" spans="1:5" x14ac:dyDescent="0.25">
      <c r="A1292" s="13">
        <v>79207497</v>
      </c>
      <c r="B1292" s="11" t="s">
        <v>109</v>
      </c>
      <c r="C1292" s="1" t="s">
        <v>970</v>
      </c>
      <c r="D1292" s="1" t="s">
        <v>131</v>
      </c>
      <c r="E1292" s="1" t="s">
        <v>131</v>
      </c>
    </row>
    <row r="1293" spans="1:5" x14ac:dyDescent="0.25">
      <c r="A1293" s="13">
        <v>79208171</v>
      </c>
      <c r="B1293" s="11" t="s">
        <v>84</v>
      </c>
      <c r="C1293" s="1" t="s">
        <v>969</v>
      </c>
      <c r="D1293" s="1" t="s">
        <v>43</v>
      </c>
      <c r="E1293" s="1" t="s">
        <v>3</v>
      </c>
    </row>
    <row r="1294" spans="1:5" x14ac:dyDescent="0.25">
      <c r="A1294" s="13">
        <v>79209238</v>
      </c>
      <c r="B1294" s="11" t="s">
        <v>84</v>
      </c>
      <c r="C1294" s="1" t="s">
        <v>3248</v>
      </c>
      <c r="D1294" s="1" t="s">
        <v>38</v>
      </c>
      <c r="E1294" s="1" t="s">
        <v>1276</v>
      </c>
    </row>
    <row r="1295" spans="1:5" x14ac:dyDescent="0.25">
      <c r="A1295" s="13">
        <v>79211001</v>
      </c>
      <c r="B1295" s="11" t="s">
        <v>84</v>
      </c>
      <c r="C1295" s="1" t="s">
        <v>3663</v>
      </c>
      <c r="D1295" s="1" t="s">
        <v>43</v>
      </c>
      <c r="E1295" s="1" t="s">
        <v>3253</v>
      </c>
    </row>
    <row r="1296" spans="1:5" x14ac:dyDescent="0.25">
      <c r="A1296" s="13">
        <v>79213214</v>
      </c>
      <c r="B1296" s="11" t="s">
        <v>116</v>
      </c>
      <c r="C1296" s="1" t="s">
        <v>968</v>
      </c>
      <c r="D1296" s="1" t="s">
        <v>117</v>
      </c>
      <c r="E1296" s="1" t="s">
        <v>10</v>
      </c>
    </row>
    <row r="1297" spans="1:5" x14ac:dyDescent="0.25">
      <c r="A1297" s="13">
        <v>79215414</v>
      </c>
      <c r="B1297" s="11" t="s">
        <v>84</v>
      </c>
      <c r="C1297" s="1" t="s">
        <v>967</v>
      </c>
      <c r="D1297" s="1" t="s">
        <v>38</v>
      </c>
      <c r="E1297" s="1" t="s">
        <v>3085</v>
      </c>
    </row>
    <row r="1298" spans="1:5" x14ac:dyDescent="0.25">
      <c r="A1298" s="13">
        <v>79215422</v>
      </c>
      <c r="B1298" s="11" t="s">
        <v>116</v>
      </c>
      <c r="C1298" s="1" t="s">
        <v>3069</v>
      </c>
      <c r="D1298" s="1" t="s">
        <v>117</v>
      </c>
      <c r="E1298" s="1" t="s">
        <v>120</v>
      </c>
    </row>
    <row r="1299" spans="1:5" x14ac:dyDescent="0.25">
      <c r="A1299" s="13">
        <v>79222238</v>
      </c>
      <c r="B1299" s="11" t="s">
        <v>83</v>
      </c>
      <c r="C1299" s="1" t="s">
        <v>966</v>
      </c>
      <c r="D1299" s="1" t="s">
        <v>366</v>
      </c>
      <c r="E1299" s="1" t="s">
        <v>367</v>
      </c>
    </row>
    <row r="1300" spans="1:5" x14ac:dyDescent="0.25">
      <c r="A1300" s="13">
        <v>79222984</v>
      </c>
      <c r="B1300" s="11" t="s">
        <v>84</v>
      </c>
      <c r="C1300" s="1" t="s">
        <v>965</v>
      </c>
      <c r="D1300" s="1" t="s">
        <v>43</v>
      </c>
      <c r="E1300" s="1" t="s">
        <v>168</v>
      </c>
    </row>
    <row r="1301" spans="1:5" x14ac:dyDescent="0.25">
      <c r="A1301" s="13">
        <v>79230529</v>
      </c>
      <c r="B1301" s="11" t="s">
        <v>109</v>
      </c>
      <c r="C1301" s="1" t="s">
        <v>964</v>
      </c>
      <c r="D1301" s="1" t="s">
        <v>131</v>
      </c>
      <c r="E1301" s="1" t="s">
        <v>131</v>
      </c>
    </row>
    <row r="1302" spans="1:5" x14ac:dyDescent="0.25">
      <c r="A1302" s="13">
        <v>79234691</v>
      </c>
      <c r="B1302" s="11" t="s">
        <v>116</v>
      </c>
      <c r="C1302" s="1" t="s">
        <v>963</v>
      </c>
      <c r="D1302" s="1" t="s">
        <v>117</v>
      </c>
      <c r="E1302" s="1" t="s">
        <v>237</v>
      </c>
    </row>
    <row r="1303" spans="1:5" x14ac:dyDescent="0.25">
      <c r="A1303" s="13">
        <v>79237619</v>
      </c>
      <c r="B1303" s="11" t="s">
        <v>116</v>
      </c>
      <c r="C1303" s="1" t="s">
        <v>3249</v>
      </c>
      <c r="D1303" s="1" t="s">
        <v>117</v>
      </c>
      <c r="E1303" s="1" t="s">
        <v>3118</v>
      </c>
    </row>
    <row r="1304" spans="1:5" x14ac:dyDescent="0.25">
      <c r="A1304" s="13">
        <v>79242919</v>
      </c>
      <c r="B1304" s="11" t="s">
        <v>116</v>
      </c>
      <c r="C1304" s="1" t="s">
        <v>962</v>
      </c>
      <c r="D1304" s="1" t="s">
        <v>117</v>
      </c>
      <c r="E1304" s="1" t="s">
        <v>186</v>
      </c>
    </row>
    <row r="1305" spans="1:5" x14ac:dyDescent="0.25">
      <c r="A1305" s="13">
        <v>79243248</v>
      </c>
      <c r="B1305" s="11" t="s">
        <v>116</v>
      </c>
      <c r="C1305" s="1" t="s">
        <v>961</v>
      </c>
      <c r="D1305" s="1" t="s">
        <v>117</v>
      </c>
      <c r="E1305" s="1" t="s">
        <v>127</v>
      </c>
    </row>
    <row r="1306" spans="1:5" x14ac:dyDescent="0.25">
      <c r="A1306" s="13">
        <v>79247107</v>
      </c>
      <c r="B1306" s="11" t="s">
        <v>84</v>
      </c>
      <c r="C1306" s="1" t="s">
        <v>3250</v>
      </c>
      <c r="D1306" s="1" t="s">
        <v>38</v>
      </c>
      <c r="E1306" s="1" t="s">
        <v>3211</v>
      </c>
    </row>
    <row r="1307" spans="1:5" x14ac:dyDescent="0.25">
      <c r="A1307" s="13">
        <v>79249383</v>
      </c>
      <c r="B1307" s="11" t="s">
        <v>109</v>
      </c>
      <c r="C1307" s="1" t="s">
        <v>960</v>
      </c>
      <c r="D1307" s="1" t="s">
        <v>131</v>
      </c>
      <c r="E1307" s="1" t="s">
        <v>131</v>
      </c>
    </row>
    <row r="1308" spans="1:5" x14ac:dyDescent="0.25">
      <c r="A1308" s="13">
        <v>79261120</v>
      </c>
      <c r="B1308" s="11" t="s">
        <v>84</v>
      </c>
      <c r="C1308" s="1" t="s">
        <v>957</v>
      </c>
      <c r="D1308" s="1" t="s">
        <v>38</v>
      </c>
      <c r="E1308" s="1" t="s">
        <v>958</v>
      </c>
    </row>
    <row r="1309" spans="1:5" x14ac:dyDescent="0.25">
      <c r="A1309" s="13">
        <v>79265589</v>
      </c>
      <c r="B1309" s="11" t="s">
        <v>116</v>
      </c>
      <c r="C1309" s="1" t="s">
        <v>956</v>
      </c>
      <c r="D1309" s="1" t="s">
        <v>117</v>
      </c>
      <c r="E1309" s="1" t="s">
        <v>9</v>
      </c>
    </row>
    <row r="1310" spans="1:5" x14ac:dyDescent="0.25">
      <c r="A1310" s="13">
        <v>79266171</v>
      </c>
      <c r="B1310" s="11" t="s">
        <v>83</v>
      </c>
      <c r="C1310" s="1" t="s">
        <v>954</v>
      </c>
      <c r="D1310" s="1" t="s">
        <v>955</v>
      </c>
      <c r="E1310" s="1" t="s">
        <v>668</v>
      </c>
    </row>
    <row r="1311" spans="1:5" x14ac:dyDescent="0.25">
      <c r="A1311" s="13">
        <v>79266956</v>
      </c>
      <c r="B1311" s="11" t="s">
        <v>116</v>
      </c>
      <c r="C1311" s="1" t="s">
        <v>953</v>
      </c>
      <c r="D1311" s="1" t="s">
        <v>151</v>
      </c>
      <c r="E1311" s="1" t="s">
        <v>152</v>
      </c>
    </row>
    <row r="1312" spans="1:5" x14ac:dyDescent="0.25">
      <c r="A1312" s="13">
        <v>79267534</v>
      </c>
      <c r="B1312" s="11" t="s">
        <v>84</v>
      </c>
      <c r="C1312" s="1" t="s">
        <v>952</v>
      </c>
      <c r="D1312" s="1" t="s">
        <v>37</v>
      </c>
      <c r="E1312" s="1" t="s">
        <v>939</v>
      </c>
    </row>
    <row r="1313" spans="1:5" x14ac:dyDescent="0.25">
      <c r="A1313" s="13">
        <v>79267858</v>
      </c>
      <c r="B1313" s="11" t="s">
        <v>84</v>
      </c>
      <c r="C1313" s="1" t="s">
        <v>951</v>
      </c>
      <c r="D1313" s="1" t="s">
        <v>43</v>
      </c>
      <c r="E1313" s="1" t="s">
        <v>11</v>
      </c>
    </row>
    <row r="1314" spans="1:5" x14ac:dyDescent="0.25">
      <c r="A1314" s="13">
        <v>79268556</v>
      </c>
      <c r="B1314" s="11" t="s">
        <v>116</v>
      </c>
      <c r="C1314" s="1" t="s">
        <v>950</v>
      </c>
      <c r="D1314" s="1" t="s">
        <v>117</v>
      </c>
      <c r="E1314" s="1" t="s">
        <v>147</v>
      </c>
    </row>
    <row r="1315" spans="1:5" x14ac:dyDescent="0.25">
      <c r="A1315" s="13">
        <v>79268626</v>
      </c>
      <c r="B1315" s="11" t="s">
        <v>84</v>
      </c>
      <c r="C1315" s="1" t="s">
        <v>3251</v>
      </c>
      <c r="D1315" s="1" t="s">
        <v>38</v>
      </c>
      <c r="E1315" s="1" t="s">
        <v>8</v>
      </c>
    </row>
    <row r="1316" spans="1:5" x14ac:dyDescent="0.25">
      <c r="A1316" s="13">
        <v>79270325</v>
      </c>
      <c r="B1316" s="11" t="s">
        <v>116</v>
      </c>
      <c r="C1316" s="1" t="s">
        <v>949</v>
      </c>
      <c r="D1316" s="1" t="s">
        <v>117</v>
      </c>
      <c r="E1316" s="1" t="s">
        <v>232</v>
      </c>
    </row>
    <row r="1317" spans="1:5" x14ac:dyDescent="0.25">
      <c r="A1317" s="13">
        <v>79272796</v>
      </c>
      <c r="B1317" s="11" t="s">
        <v>84</v>
      </c>
      <c r="C1317" s="1" t="s">
        <v>948</v>
      </c>
      <c r="D1317" s="1" t="s">
        <v>38</v>
      </c>
      <c r="E1317" s="1" t="s">
        <v>8</v>
      </c>
    </row>
    <row r="1318" spans="1:5" x14ac:dyDescent="0.25">
      <c r="A1318" s="13">
        <v>79275000</v>
      </c>
      <c r="B1318" s="11" t="s">
        <v>116</v>
      </c>
      <c r="C1318" s="1" t="s">
        <v>947</v>
      </c>
      <c r="D1318" s="1" t="s">
        <v>117</v>
      </c>
      <c r="E1318" s="1" t="s">
        <v>336</v>
      </c>
    </row>
    <row r="1319" spans="1:5" x14ac:dyDescent="0.25">
      <c r="A1319" s="13">
        <v>79278087</v>
      </c>
      <c r="B1319" s="11" t="s">
        <v>109</v>
      </c>
      <c r="C1319" s="1" t="s">
        <v>946</v>
      </c>
      <c r="D1319" s="1" t="s">
        <v>131</v>
      </c>
      <c r="E1319" s="1" t="s">
        <v>131</v>
      </c>
    </row>
    <row r="1320" spans="1:5" x14ac:dyDescent="0.25">
      <c r="A1320" s="13">
        <v>79280282</v>
      </c>
      <c r="B1320" s="11" t="s">
        <v>109</v>
      </c>
      <c r="C1320" s="1" t="s">
        <v>945</v>
      </c>
      <c r="D1320" s="1" t="s">
        <v>131</v>
      </c>
      <c r="E1320" s="1" t="s">
        <v>131</v>
      </c>
    </row>
    <row r="1321" spans="1:5" x14ac:dyDescent="0.25">
      <c r="A1321" s="13">
        <v>79280746</v>
      </c>
      <c r="B1321" s="11" t="s">
        <v>116</v>
      </c>
      <c r="C1321" s="1" t="s">
        <v>944</v>
      </c>
      <c r="D1321" s="1" t="s">
        <v>117</v>
      </c>
      <c r="E1321" s="1" t="s">
        <v>9</v>
      </c>
    </row>
    <row r="1322" spans="1:5" x14ac:dyDescent="0.25">
      <c r="A1322" s="13">
        <v>79283043</v>
      </c>
      <c r="B1322" s="11" t="s">
        <v>84</v>
      </c>
      <c r="C1322" s="1" t="s">
        <v>3003</v>
      </c>
      <c r="D1322" s="1" t="s">
        <v>38</v>
      </c>
      <c r="E1322" s="1" t="s">
        <v>3</v>
      </c>
    </row>
    <row r="1323" spans="1:5" x14ac:dyDescent="0.25">
      <c r="A1323" s="13">
        <v>79284790</v>
      </c>
      <c r="B1323" s="11" t="s">
        <v>116</v>
      </c>
      <c r="C1323" s="1" t="s">
        <v>943</v>
      </c>
      <c r="D1323" s="1" t="s">
        <v>117</v>
      </c>
      <c r="E1323" s="1" t="s">
        <v>10</v>
      </c>
    </row>
    <row r="1324" spans="1:5" x14ac:dyDescent="0.25">
      <c r="A1324" s="13">
        <v>79284929</v>
      </c>
      <c r="B1324" s="11" t="s">
        <v>84</v>
      </c>
      <c r="C1324" s="1" t="s">
        <v>942</v>
      </c>
      <c r="D1324" s="1" t="s">
        <v>38</v>
      </c>
      <c r="E1324" s="1" t="s">
        <v>417</v>
      </c>
    </row>
    <row r="1325" spans="1:5" x14ac:dyDescent="0.25">
      <c r="A1325" s="13">
        <v>79285127</v>
      </c>
      <c r="B1325" s="11" t="s">
        <v>84</v>
      </c>
      <c r="C1325" s="1" t="s">
        <v>941</v>
      </c>
      <c r="D1325" s="1" t="s">
        <v>38</v>
      </c>
      <c r="E1325" s="1" t="s">
        <v>127</v>
      </c>
    </row>
    <row r="1326" spans="1:5" x14ac:dyDescent="0.25">
      <c r="A1326" s="13">
        <v>79286558</v>
      </c>
      <c r="B1326" s="11" t="s">
        <v>109</v>
      </c>
      <c r="C1326" s="1" t="s">
        <v>940</v>
      </c>
      <c r="D1326" s="1" t="s">
        <v>131</v>
      </c>
      <c r="E1326" s="1" t="s">
        <v>131</v>
      </c>
    </row>
    <row r="1327" spans="1:5" x14ac:dyDescent="0.25">
      <c r="A1327" s="13">
        <v>79288554</v>
      </c>
      <c r="B1327" s="11" t="s">
        <v>84</v>
      </c>
      <c r="C1327" s="1" t="s">
        <v>938</v>
      </c>
      <c r="D1327" s="1" t="s">
        <v>37</v>
      </c>
      <c r="E1327" s="1" t="s">
        <v>939</v>
      </c>
    </row>
    <row r="1328" spans="1:5" x14ac:dyDescent="0.25">
      <c r="A1328" s="13">
        <v>79288850</v>
      </c>
      <c r="B1328" s="11" t="s">
        <v>116</v>
      </c>
      <c r="C1328" s="1" t="s">
        <v>937</v>
      </c>
      <c r="D1328" s="1" t="s">
        <v>117</v>
      </c>
      <c r="E1328" s="1" t="s">
        <v>186</v>
      </c>
    </row>
    <row r="1329" spans="1:5" x14ac:dyDescent="0.25">
      <c r="A1329" s="13">
        <v>79289466</v>
      </c>
      <c r="B1329" s="11" t="s">
        <v>116</v>
      </c>
      <c r="C1329" s="1" t="s">
        <v>936</v>
      </c>
      <c r="D1329" s="1" t="s">
        <v>117</v>
      </c>
      <c r="E1329" s="1" t="s">
        <v>11</v>
      </c>
    </row>
    <row r="1330" spans="1:5" x14ac:dyDescent="0.25">
      <c r="A1330" s="13">
        <v>79291693</v>
      </c>
      <c r="B1330" s="11" t="s">
        <v>84</v>
      </c>
      <c r="C1330" s="1" t="s">
        <v>935</v>
      </c>
      <c r="D1330" s="1" t="s">
        <v>38</v>
      </c>
      <c r="E1330" s="1" t="s">
        <v>12</v>
      </c>
    </row>
    <row r="1331" spans="1:5" x14ac:dyDescent="0.25">
      <c r="A1331" s="13">
        <v>79291829</v>
      </c>
      <c r="B1331" s="11" t="s">
        <v>116</v>
      </c>
      <c r="C1331" s="1" t="s">
        <v>934</v>
      </c>
      <c r="D1331" s="1" t="s">
        <v>117</v>
      </c>
      <c r="E1331" s="1" t="s">
        <v>263</v>
      </c>
    </row>
    <row r="1332" spans="1:5" x14ac:dyDescent="0.25">
      <c r="A1332" s="13">
        <v>79292437</v>
      </c>
      <c r="B1332" s="11" t="s">
        <v>84</v>
      </c>
      <c r="C1332" s="1" t="s">
        <v>933</v>
      </c>
      <c r="D1332" s="1" t="s">
        <v>38</v>
      </c>
      <c r="E1332" s="1" t="s">
        <v>13</v>
      </c>
    </row>
    <row r="1333" spans="1:5" x14ac:dyDescent="0.25">
      <c r="A1333" s="13">
        <v>79292527</v>
      </c>
      <c r="B1333" s="11" t="s">
        <v>109</v>
      </c>
      <c r="C1333" s="1" t="s">
        <v>932</v>
      </c>
      <c r="D1333" s="1" t="s">
        <v>131</v>
      </c>
      <c r="E1333" s="1" t="s">
        <v>131</v>
      </c>
    </row>
    <row r="1334" spans="1:5" x14ac:dyDescent="0.25">
      <c r="A1334" s="13">
        <v>79293936</v>
      </c>
      <c r="B1334" s="11" t="s">
        <v>116</v>
      </c>
      <c r="C1334" s="1" t="s">
        <v>931</v>
      </c>
      <c r="D1334" s="1" t="s">
        <v>117</v>
      </c>
      <c r="E1334" s="1" t="s">
        <v>186</v>
      </c>
    </row>
    <row r="1335" spans="1:5" x14ac:dyDescent="0.25">
      <c r="A1335" s="13">
        <v>79294035</v>
      </c>
      <c r="B1335" s="11" t="s">
        <v>109</v>
      </c>
      <c r="C1335" s="1" t="s">
        <v>930</v>
      </c>
      <c r="D1335" s="1" t="s">
        <v>131</v>
      </c>
      <c r="E1335" s="1" t="s">
        <v>131</v>
      </c>
    </row>
    <row r="1336" spans="1:5" x14ac:dyDescent="0.25">
      <c r="A1336" s="13">
        <v>79296544</v>
      </c>
      <c r="B1336" s="11" t="s">
        <v>116</v>
      </c>
      <c r="C1336" s="1" t="s">
        <v>929</v>
      </c>
      <c r="D1336" s="1" t="s">
        <v>117</v>
      </c>
      <c r="E1336" s="1" t="s">
        <v>6</v>
      </c>
    </row>
    <row r="1337" spans="1:5" x14ac:dyDescent="0.25">
      <c r="A1337" s="13">
        <v>79297776</v>
      </c>
      <c r="B1337" s="11" t="s">
        <v>116</v>
      </c>
      <c r="C1337" s="1" t="s">
        <v>928</v>
      </c>
      <c r="D1337" s="1" t="s">
        <v>117</v>
      </c>
      <c r="E1337" s="1" t="s">
        <v>147</v>
      </c>
    </row>
    <row r="1338" spans="1:5" x14ac:dyDescent="0.25">
      <c r="A1338" s="13">
        <v>79297876</v>
      </c>
      <c r="B1338" s="11" t="s">
        <v>109</v>
      </c>
      <c r="C1338" s="1" t="s">
        <v>927</v>
      </c>
      <c r="D1338" s="1" t="s">
        <v>131</v>
      </c>
      <c r="E1338" s="1" t="s">
        <v>131</v>
      </c>
    </row>
    <row r="1339" spans="1:5" x14ac:dyDescent="0.25">
      <c r="A1339" s="13">
        <v>79298164</v>
      </c>
      <c r="B1339" s="11" t="s">
        <v>84</v>
      </c>
      <c r="C1339" s="1" t="s">
        <v>926</v>
      </c>
      <c r="D1339" s="1" t="s">
        <v>38</v>
      </c>
      <c r="E1339" s="1" t="s">
        <v>237</v>
      </c>
    </row>
    <row r="1340" spans="1:5" x14ac:dyDescent="0.25">
      <c r="A1340" s="13">
        <v>79298711</v>
      </c>
      <c r="B1340" s="11" t="s">
        <v>84</v>
      </c>
      <c r="C1340" s="1" t="s">
        <v>925</v>
      </c>
      <c r="D1340" s="1" t="s">
        <v>38</v>
      </c>
      <c r="E1340" s="1" t="s">
        <v>333</v>
      </c>
    </row>
    <row r="1341" spans="1:5" x14ac:dyDescent="0.25">
      <c r="A1341" s="13">
        <v>79301557</v>
      </c>
      <c r="B1341" s="11" t="s">
        <v>84</v>
      </c>
      <c r="C1341" s="1" t="s">
        <v>3564</v>
      </c>
      <c r="D1341" s="1" t="s">
        <v>43</v>
      </c>
      <c r="E1341" s="1" t="s">
        <v>3253</v>
      </c>
    </row>
    <row r="1342" spans="1:5" x14ac:dyDescent="0.25">
      <c r="A1342" s="13">
        <v>79302513</v>
      </c>
      <c r="B1342" s="11" t="s">
        <v>116</v>
      </c>
      <c r="C1342" s="1" t="s">
        <v>924</v>
      </c>
      <c r="D1342" s="1" t="s">
        <v>117</v>
      </c>
      <c r="E1342" s="1" t="s">
        <v>14</v>
      </c>
    </row>
    <row r="1343" spans="1:5" x14ac:dyDescent="0.25">
      <c r="A1343" s="13">
        <v>79303153</v>
      </c>
      <c r="B1343" s="11" t="s">
        <v>84</v>
      </c>
      <c r="C1343" s="1" t="s">
        <v>923</v>
      </c>
      <c r="D1343" s="1" t="s">
        <v>43</v>
      </c>
      <c r="E1343" s="1" t="s">
        <v>119</v>
      </c>
    </row>
    <row r="1344" spans="1:5" x14ac:dyDescent="0.25">
      <c r="A1344" s="13">
        <v>79303573</v>
      </c>
      <c r="B1344" s="11" t="s">
        <v>116</v>
      </c>
      <c r="C1344" s="1" t="s">
        <v>922</v>
      </c>
      <c r="D1344" s="1" t="s">
        <v>117</v>
      </c>
      <c r="E1344" s="1" t="s">
        <v>134</v>
      </c>
    </row>
    <row r="1345" spans="1:5" x14ac:dyDescent="0.25">
      <c r="A1345" s="13">
        <v>79304122</v>
      </c>
      <c r="B1345" s="11" t="s">
        <v>109</v>
      </c>
      <c r="C1345" s="1" t="s">
        <v>921</v>
      </c>
      <c r="D1345" s="1" t="s">
        <v>131</v>
      </c>
      <c r="E1345" s="1" t="s">
        <v>131</v>
      </c>
    </row>
    <row r="1346" spans="1:5" x14ac:dyDescent="0.25">
      <c r="A1346" s="13">
        <v>79304287</v>
      </c>
      <c r="B1346" s="11" t="s">
        <v>116</v>
      </c>
      <c r="C1346" s="1" t="s">
        <v>920</v>
      </c>
      <c r="D1346" s="1" t="s">
        <v>117</v>
      </c>
      <c r="E1346" s="1" t="s">
        <v>170</v>
      </c>
    </row>
    <row r="1347" spans="1:5" x14ac:dyDescent="0.25">
      <c r="A1347" s="13">
        <v>79309161</v>
      </c>
      <c r="B1347" s="11" t="s">
        <v>83</v>
      </c>
      <c r="C1347" s="1" t="s">
        <v>919</v>
      </c>
      <c r="D1347" s="1" t="s">
        <v>57</v>
      </c>
      <c r="E1347" s="1" t="s">
        <v>23</v>
      </c>
    </row>
    <row r="1348" spans="1:5" x14ac:dyDescent="0.25">
      <c r="A1348" s="13">
        <v>79311808</v>
      </c>
      <c r="B1348" s="11" t="s">
        <v>84</v>
      </c>
      <c r="C1348" s="1" t="s">
        <v>918</v>
      </c>
      <c r="D1348" s="1" t="s">
        <v>43</v>
      </c>
      <c r="E1348" s="1" t="s">
        <v>127</v>
      </c>
    </row>
    <row r="1349" spans="1:5" x14ac:dyDescent="0.25">
      <c r="A1349" s="13">
        <v>79312652</v>
      </c>
      <c r="B1349" s="11" t="s">
        <v>84</v>
      </c>
      <c r="C1349" s="1" t="s">
        <v>917</v>
      </c>
      <c r="D1349" s="1" t="s">
        <v>43</v>
      </c>
      <c r="E1349" s="1" t="s">
        <v>10</v>
      </c>
    </row>
    <row r="1350" spans="1:5" x14ac:dyDescent="0.25">
      <c r="A1350" s="13">
        <v>79312656</v>
      </c>
      <c r="B1350" s="11" t="s">
        <v>84</v>
      </c>
      <c r="C1350" s="1" t="s">
        <v>916</v>
      </c>
      <c r="D1350" s="1" t="s">
        <v>131</v>
      </c>
      <c r="E1350" s="1" t="s">
        <v>8</v>
      </c>
    </row>
    <row r="1351" spans="1:5" x14ac:dyDescent="0.25">
      <c r="A1351" s="13">
        <v>79313678</v>
      </c>
      <c r="B1351" s="11" t="s">
        <v>84</v>
      </c>
      <c r="C1351" s="1" t="s">
        <v>915</v>
      </c>
      <c r="D1351" s="1" t="s">
        <v>3252</v>
      </c>
      <c r="E1351" s="1" t="s">
        <v>22</v>
      </c>
    </row>
    <row r="1352" spans="1:5" x14ac:dyDescent="0.25">
      <c r="A1352" s="13">
        <v>79314666</v>
      </c>
      <c r="B1352" s="11" t="s">
        <v>109</v>
      </c>
      <c r="C1352" s="1" t="s">
        <v>914</v>
      </c>
      <c r="D1352" s="1" t="s">
        <v>131</v>
      </c>
      <c r="E1352" s="1" t="s">
        <v>131</v>
      </c>
    </row>
    <row r="1353" spans="1:5" x14ac:dyDescent="0.25">
      <c r="A1353" s="13">
        <v>79317548</v>
      </c>
      <c r="B1353" s="11" t="s">
        <v>116</v>
      </c>
      <c r="C1353" s="1" t="s">
        <v>913</v>
      </c>
      <c r="D1353" s="1" t="s">
        <v>117</v>
      </c>
      <c r="E1353" s="1" t="s">
        <v>8</v>
      </c>
    </row>
    <row r="1354" spans="1:5" x14ac:dyDescent="0.25">
      <c r="A1354" s="13">
        <v>79318194</v>
      </c>
      <c r="B1354" s="11" t="s">
        <v>109</v>
      </c>
      <c r="C1354" s="1" t="s">
        <v>912</v>
      </c>
      <c r="D1354" s="1" t="s">
        <v>131</v>
      </c>
      <c r="E1354" s="1" t="s">
        <v>131</v>
      </c>
    </row>
    <row r="1355" spans="1:5" x14ac:dyDescent="0.25">
      <c r="A1355" s="13">
        <v>79320536</v>
      </c>
      <c r="B1355" s="11" t="s">
        <v>83</v>
      </c>
      <c r="C1355" s="1" t="s">
        <v>911</v>
      </c>
      <c r="D1355" s="1" t="s">
        <v>57</v>
      </c>
      <c r="E1355" s="1" t="s">
        <v>23</v>
      </c>
    </row>
    <row r="1356" spans="1:5" x14ac:dyDescent="0.25">
      <c r="A1356" s="13">
        <v>79323918</v>
      </c>
      <c r="B1356" s="11" t="s">
        <v>116</v>
      </c>
      <c r="C1356" s="1" t="s">
        <v>910</v>
      </c>
      <c r="D1356" s="1" t="s">
        <v>117</v>
      </c>
      <c r="E1356" s="1" t="s">
        <v>10</v>
      </c>
    </row>
    <row r="1357" spans="1:5" x14ac:dyDescent="0.25">
      <c r="A1357" s="13">
        <v>79326411</v>
      </c>
      <c r="B1357" s="11" t="s">
        <v>116</v>
      </c>
      <c r="C1357" s="1" t="s">
        <v>909</v>
      </c>
      <c r="D1357" s="1" t="s">
        <v>117</v>
      </c>
      <c r="E1357" s="1" t="s">
        <v>3</v>
      </c>
    </row>
    <row r="1358" spans="1:5" x14ac:dyDescent="0.25">
      <c r="A1358" s="13">
        <v>79327235</v>
      </c>
      <c r="B1358" s="11" t="s">
        <v>109</v>
      </c>
      <c r="C1358" s="1" t="s">
        <v>908</v>
      </c>
      <c r="D1358" s="1" t="s">
        <v>131</v>
      </c>
      <c r="E1358" s="1" t="s">
        <v>131</v>
      </c>
    </row>
    <row r="1359" spans="1:5" x14ac:dyDescent="0.25">
      <c r="A1359" s="13">
        <v>79327275</v>
      </c>
      <c r="B1359" s="11" t="s">
        <v>109</v>
      </c>
      <c r="C1359" s="1" t="s">
        <v>908</v>
      </c>
      <c r="D1359" s="1" t="s">
        <v>131</v>
      </c>
      <c r="E1359" s="1" t="s">
        <v>131</v>
      </c>
    </row>
    <row r="1360" spans="1:5" x14ac:dyDescent="0.25">
      <c r="A1360" s="13">
        <v>79327611</v>
      </c>
      <c r="B1360" s="11" t="s">
        <v>116</v>
      </c>
      <c r="C1360" s="1" t="s">
        <v>907</v>
      </c>
      <c r="D1360" s="1" t="s">
        <v>117</v>
      </c>
      <c r="E1360" s="1" t="s">
        <v>232</v>
      </c>
    </row>
    <row r="1361" spans="1:5" x14ac:dyDescent="0.25">
      <c r="A1361" s="13">
        <v>79328875</v>
      </c>
      <c r="B1361" s="11" t="s">
        <v>116</v>
      </c>
      <c r="C1361" s="1" t="s">
        <v>906</v>
      </c>
      <c r="D1361" s="1" t="s">
        <v>117</v>
      </c>
      <c r="E1361" s="1" t="s">
        <v>86</v>
      </c>
    </row>
    <row r="1362" spans="1:5" x14ac:dyDescent="0.25">
      <c r="A1362" s="13">
        <v>79328956</v>
      </c>
      <c r="B1362" s="11" t="s">
        <v>84</v>
      </c>
      <c r="C1362" s="1" t="s">
        <v>905</v>
      </c>
      <c r="D1362" s="1" t="s">
        <v>38</v>
      </c>
      <c r="E1362" s="1" t="s">
        <v>14</v>
      </c>
    </row>
    <row r="1363" spans="1:5" x14ac:dyDescent="0.25">
      <c r="A1363" s="13">
        <v>79329527</v>
      </c>
      <c r="B1363" s="11" t="s">
        <v>116</v>
      </c>
      <c r="C1363" s="1" t="s">
        <v>904</v>
      </c>
      <c r="D1363" s="1" t="s">
        <v>117</v>
      </c>
      <c r="E1363" s="1" t="s">
        <v>85</v>
      </c>
    </row>
    <row r="1364" spans="1:5" x14ac:dyDescent="0.25">
      <c r="A1364" s="13">
        <v>79330046</v>
      </c>
      <c r="B1364" s="11" t="s">
        <v>84</v>
      </c>
      <c r="C1364" s="1" t="s">
        <v>903</v>
      </c>
      <c r="D1364" s="1" t="s">
        <v>38</v>
      </c>
      <c r="E1364" s="1" t="s">
        <v>333</v>
      </c>
    </row>
    <row r="1365" spans="1:5" x14ac:dyDescent="0.25">
      <c r="A1365" s="13">
        <v>79330536</v>
      </c>
      <c r="B1365" s="11" t="s">
        <v>116</v>
      </c>
      <c r="C1365" s="1" t="s">
        <v>902</v>
      </c>
      <c r="D1365" s="1" t="s">
        <v>117</v>
      </c>
      <c r="E1365" s="1" t="s">
        <v>186</v>
      </c>
    </row>
    <row r="1366" spans="1:5" x14ac:dyDescent="0.25">
      <c r="A1366" s="13">
        <v>79331644</v>
      </c>
      <c r="B1366" s="11" t="s">
        <v>116</v>
      </c>
      <c r="C1366" s="1" t="s">
        <v>901</v>
      </c>
      <c r="D1366" s="1" t="s">
        <v>117</v>
      </c>
      <c r="E1366" s="1" t="s">
        <v>205</v>
      </c>
    </row>
    <row r="1367" spans="1:5" x14ac:dyDescent="0.25">
      <c r="A1367" s="13">
        <v>79339230</v>
      </c>
      <c r="B1367" s="11" t="s">
        <v>109</v>
      </c>
      <c r="C1367" s="1" t="s">
        <v>900</v>
      </c>
      <c r="D1367" s="1" t="s">
        <v>131</v>
      </c>
      <c r="E1367" s="1" t="s">
        <v>131</v>
      </c>
    </row>
    <row r="1368" spans="1:5" x14ac:dyDescent="0.25">
      <c r="A1368" s="13">
        <v>79341133</v>
      </c>
      <c r="B1368" s="11" t="s">
        <v>84</v>
      </c>
      <c r="C1368" s="1" t="s">
        <v>899</v>
      </c>
      <c r="D1368" s="1" t="s">
        <v>38</v>
      </c>
      <c r="E1368" s="1" t="s">
        <v>8</v>
      </c>
    </row>
    <row r="1369" spans="1:5" x14ac:dyDescent="0.25">
      <c r="A1369" s="13">
        <v>79342851</v>
      </c>
      <c r="B1369" s="11" t="s">
        <v>116</v>
      </c>
      <c r="C1369" s="1" t="s">
        <v>898</v>
      </c>
      <c r="D1369" s="1" t="s">
        <v>117</v>
      </c>
      <c r="E1369" s="1" t="s">
        <v>127</v>
      </c>
    </row>
    <row r="1370" spans="1:5" x14ac:dyDescent="0.25">
      <c r="A1370" s="13">
        <v>79347905</v>
      </c>
      <c r="B1370" s="11" t="s">
        <v>109</v>
      </c>
      <c r="C1370" s="1" t="s">
        <v>897</v>
      </c>
      <c r="D1370" s="1" t="s">
        <v>131</v>
      </c>
      <c r="E1370" s="1" t="s">
        <v>131</v>
      </c>
    </row>
    <row r="1371" spans="1:5" x14ac:dyDescent="0.25">
      <c r="A1371" s="13">
        <v>79348343</v>
      </c>
      <c r="B1371" s="11" t="s">
        <v>109</v>
      </c>
      <c r="C1371" s="1" t="s">
        <v>896</v>
      </c>
      <c r="D1371" s="1" t="s">
        <v>131</v>
      </c>
      <c r="E1371" s="1" t="s">
        <v>131</v>
      </c>
    </row>
    <row r="1372" spans="1:5" x14ac:dyDescent="0.25">
      <c r="A1372" s="13">
        <v>79348766</v>
      </c>
      <c r="B1372" s="11" t="s">
        <v>116</v>
      </c>
      <c r="C1372" s="1" t="s">
        <v>895</v>
      </c>
      <c r="D1372" s="1" t="s">
        <v>117</v>
      </c>
      <c r="E1372" s="1" t="s">
        <v>10</v>
      </c>
    </row>
    <row r="1373" spans="1:5" x14ac:dyDescent="0.25">
      <c r="A1373" s="13">
        <v>79351563</v>
      </c>
      <c r="B1373" s="11" t="s">
        <v>83</v>
      </c>
      <c r="C1373" s="1" t="s">
        <v>894</v>
      </c>
      <c r="D1373" s="1" t="s">
        <v>350</v>
      </c>
      <c r="E1373" s="1" t="s">
        <v>28</v>
      </c>
    </row>
    <row r="1374" spans="1:5" x14ac:dyDescent="0.25">
      <c r="A1374" s="13">
        <v>79359496</v>
      </c>
      <c r="B1374" s="11" t="s">
        <v>116</v>
      </c>
      <c r="C1374" s="1" t="s">
        <v>893</v>
      </c>
      <c r="D1374" s="1" t="s">
        <v>117</v>
      </c>
      <c r="E1374" s="1" t="s">
        <v>6</v>
      </c>
    </row>
    <row r="1375" spans="1:5" x14ac:dyDescent="0.25">
      <c r="A1375" s="13">
        <v>79361623</v>
      </c>
      <c r="B1375" s="11" t="s">
        <v>84</v>
      </c>
      <c r="C1375" s="1" t="s">
        <v>892</v>
      </c>
      <c r="D1375" s="1" t="s">
        <v>38</v>
      </c>
      <c r="E1375" s="1" t="s">
        <v>170</v>
      </c>
    </row>
    <row r="1376" spans="1:5" x14ac:dyDescent="0.25">
      <c r="A1376" s="13">
        <v>79361797</v>
      </c>
      <c r="B1376" s="11" t="s">
        <v>116</v>
      </c>
      <c r="C1376" s="1" t="s">
        <v>891</v>
      </c>
      <c r="D1376" s="1" t="s">
        <v>117</v>
      </c>
      <c r="E1376" s="1" t="s">
        <v>10</v>
      </c>
    </row>
    <row r="1377" spans="1:5" x14ac:dyDescent="0.25">
      <c r="A1377" s="13">
        <v>79364835</v>
      </c>
      <c r="B1377" s="11" t="s">
        <v>116</v>
      </c>
      <c r="C1377" s="1" t="s">
        <v>890</v>
      </c>
      <c r="D1377" s="1" t="s">
        <v>117</v>
      </c>
      <c r="E1377" s="1" t="s">
        <v>12</v>
      </c>
    </row>
    <row r="1378" spans="1:5" x14ac:dyDescent="0.25">
      <c r="A1378" s="13">
        <v>79365187</v>
      </c>
      <c r="B1378" s="11" t="s">
        <v>116</v>
      </c>
      <c r="C1378" s="1" t="s">
        <v>889</v>
      </c>
      <c r="D1378" s="1" t="s">
        <v>117</v>
      </c>
      <c r="E1378" s="1" t="s">
        <v>120</v>
      </c>
    </row>
    <row r="1379" spans="1:5" x14ac:dyDescent="0.25">
      <c r="A1379" s="13">
        <v>79367854</v>
      </c>
      <c r="B1379" s="11" t="s">
        <v>116</v>
      </c>
      <c r="C1379" s="1" t="s">
        <v>888</v>
      </c>
      <c r="D1379" s="1" t="s">
        <v>117</v>
      </c>
      <c r="E1379" s="1" t="s">
        <v>10</v>
      </c>
    </row>
    <row r="1380" spans="1:5" x14ac:dyDescent="0.25">
      <c r="A1380" s="13">
        <v>79368362</v>
      </c>
      <c r="B1380" s="11" t="s">
        <v>116</v>
      </c>
      <c r="C1380" s="1" t="s">
        <v>887</v>
      </c>
      <c r="D1380" s="1" t="s">
        <v>151</v>
      </c>
      <c r="E1380" s="1" t="s">
        <v>152</v>
      </c>
    </row>
    <row r="1381" spans="1:5" x14ac:dyDescent="0.25">
      <c r="A1381" s="13">
        <v>79369803</v>
      </c>
      <c r="B1381" s="11" t="s">
        <v>116</v>
      </c>
      <c r="C1381" s="1" t="s">
        <v>886</v>
      </c>
      <c r="D1381" s="1" t="s">
        <v>117</v>
      </c>
      <c r="E1381" s="1" t="s">
        <v>336</v>
      </c>
    </row>
    <row r="1382" spans="1:5" x14ac:dyDescent="0.25">
      <c r="A1382" s="13">
        <v>79371285</v>
      </c>
      <c r="B1382" s="11" t="s">
        <v>109</v>
      </c>
      <c r="C1382" s="1" t="s">
        <v>885</v>
      </c>
      <c r="D1382" s="1" t="s">
        <v>131</v>
      </c>
      <c r="E1382" s="1" t="s">
        <v>131</v>
      </c>
    </row>
    <row r="1383" spans="1:5" x14ac:dyDescent="0.25">
      <c r="A1383" s="13">
        <v>79371743</v>
      </c>
      <c r="B1383" s="11" t="s">
        <v>116</v>
      </c>
      <c r="C1383" s="1" t="s">
        <v>884</v>
      </c>
      <c r="D1383" s="1" t="s">
        <v>117</v>
      </c>
      <c r="E1383" s="1" t="s">
        <v>3</v>
      </c>
    </row>
    <row r="1384" spans="1:5" x14ac:dyDescent="0.25">
      <c r="A1384" s="13">
        <v>79373189</v>
      </c>
      <c r="B1384" s="11" t="s">
        <v>83</v>
      </c>
      <c r="C1384" s="1" t="s">
        <v>883</v>
      </c>
      <c r="D1384" s="1" t="s">
        <v>35</v>
      </c>
      <c r="E1384" s="1" t="s">
        <v>4</v>
      </c>
    </row>
    <row r="1385" spans="1:5" x14ac:dyDescent="0.25">
      <c r="A1385" s="13">
        <v>79380995</v>
      </c>
      <c r="B1385" s="11" t="s">
        <v>109</v>
      </c>
      <c r="C1385" s="1" t="s">
        <v>882</v>
      </c>
      <c r="D1385" s="1" t="s">
        <v>131</v>
      </c>
      <c r="E1385" s="1" t="s">
        <v>131</v>
      </c>
    </row>
    <row r="1386" spans="1:5" x14ac:dyDescent="0.25">
      <c r="A1386" s="13">
        <v>79381088</v>
      </c>
      <c r="B1386" s="11" t="s">
        <v>116</v>
      </c>
      <c r="C1386" s="1" t="s">
        <v>880</v>
      </c>
      <c r="D1386" s="1" t="s">
        <v>117</v>
      </c>
      <c r="E1386" s="1" t="s">
        <v>881</v>
      </c>
    </row>
    <row r="1387" spans="1:5" x14ac:dyDescent="0.25">
      <c r="A1387" s="13">
        <v>79384819</v>
      </c>
      <c r="B1387" s="11" t="s">
        <v>116</v>
      </c>
      <c r="C1387" s="1" t="s">
        <v>879</v>
      </c>
      <c r="D1387" s="1" t="s">
        <v>117</v>
      </c>
      <c r="E1387" s="1" t="s">
        <v>147</v>
      </c>
    </row>
    <row r="1388" spans="1:5" x14ac:dyDescent="0.25">
      <c r="A1388" s="13">
        <v>79386258</v>
      </c>
      <c r="B1388" s="11" t="s">
        <v>84</v>
      </c>
      <c r="C1388" s="1" t="s">
        <v>878</v>
      </c>
      <c r="D1388" s="1" t="s">
        <v>381</v>
      </c>
      <c r="E1388" s="1" t="s">
        <v>26</v>
      </c>
    </row>
    <row r="1389" spans="1:5" x14ac:dyDescent="0.25">
      <c r="A1389" s="13">
        <v>79387780</v>
      </c>
      <c r="B1389" s="11" t="s">
        <v>109</v>
      </c>
      <c r="C1389" s="1" t="s">
        <v>877</v>
      </c>
      <c r="D1389" s="1" t="s">
        <v>131</v>
      </c>
      <c r="E1389" s="1" t="s">
        <v>131</v>
      </c>
    </row>
    <row r="1390" spans="1:5" x14ac:dyDescent="0.25">
      <c r="A1390" s="13">
        <v>79389194</v>
      </c>
      <c r="B1390" s="11" t="s">
        <v>84</v>
      </c>
      <c r="C1390" s="1" t="s">
        <v>875</v>
      </c>
      <c r="D1390" s="1" t="s">
        <v>185</v>
      </c>
      <c r="E1390" s="1" t="s">
        <v>876</v>
      </c>
    </row>
    <row r="1391" spans="1:5" x14ac:dyDescent="0.25">
      <c r="A1391" s="13">
        <v>79389329</v>
      </c>
      <c r="B1391" s="11" t="s">
        <v>83</v>
      </c>
      <c r="C1391" s="1" t="s">
        <v>873</v>
      </c>
      <c r="D1391" s="1" t="s">
        <v>874</v>
      </c>
      <c r="E1391" s="1" t="s">
        <v>24</v>
      </c>
    </row>
    <row r="1392" spans="1:5" x14ac:dyDescent="0.25">
      <c r="A1392" s="13">
        <v>79391098</v>
      </c>
      <c r="B1392" s="11" t="s">
        <v>83</v>
      </c>
      <c r="C1392" s="1" t="s">
        <v>872</v>
      </c>
      <c r="D1392" s="1" t="s">
        <v>366</v>
      </c>
      <c r="E1392" s="1" t="s">
        <v>248</v>
      </c>
    </row>
    <row r="1393" spans="1:5" x14ac:dyDescent="0.25">
      <c r="A1393" s="13">
        <v>79393592</v>
      </c>
      <c r="B1393" s="11" t="s">
        <v>116</v>
      </c>
      <c r="C1393" s="1" t="s">
        <v>871</v>
      </c>
      <c r="D1393" s="1" t="s">
        <v>117</v>
      </c>
      <c r="E1393" s="1" t="s">
        <v>9</v>
      </c>
    </row>
    <row r="1394" spans="1:5" x14ac:dyDescent="0.25">
      <c r="A1394" s="13">
        <v>79394072</v>
      </c>
      <c r="B1394" s="11" t="s">
        <v>84</v>
      </c>
      <c r="C1394" s="1" t="s">
        <v>870</v>
      </c>
      <c r="D1394" s="1" t="s">
        <v>38</v>
      </c>
      <c r="E1394" s="1" t="s">
        <v>7</v>
      </c>
    </row>
    <row r="1395" spans="1:5" x14ac:dyDescent="0.25">
      <c r="A1395" s="13">
        <v>79396247</v>
      </c>
      <c r="B1395" s="11" t="s">
        <v>109</v>
      </c>
      <c r="C1395" s="1" t="s">
        <v>869</v>
      </c>
      <c r="D1395" s="1" t="s">
        <v>131</v>
      </c>
      <c r="E1395" s="1" t="s">
        <v>131</v>
      </c>
    </row>
    <row r="1396" spans="1:5" x14ac:dyDescent="0.25">
      <c r="A1396" s="13">
        <v>79397094</v>
      </c>
      <c r="B1396" s="11" t="s">
        <v>116</v>
      </c>
      <c r="C1396" s="1" t="s">
        <v>868</v>
      </c>
      <c r="D1396" s="1" t="s">
        <v>117</v>
      </c>
      <c r="E1396" s="1" t="s">
        <v>186</v>
      </c>
    </row>
    <row r="1397" spans="1:5" x14ac:dyDescent="0.25">
      <c r="A1397" s="13">
        <v>79399890</v>
      </c>
      <c r="B1397" s="11" t="s">
        <v>116</v>
      </c>
      <c r="C1397" s="1" t="s">
        <v>867</v>
      </c>
      <c r="D1397" s="1" t="s">
        <v>117</v>
      </c>
      <c r="E1397" s="1" t="s">
        <v>6</v>
      </c>
    </row>
    <row r="1398" spans="1:5" x14ac:dyDescent="0.25">
      <c r="A1398" s="13">
        <v>79401246</v>
      </c>
      <c r="B1398" s="11" t="s">
        <v>84</v>
      </c>
      <c r="C1398" s="1" t="s">
        <v>866</v>
      </c>
      <c r="D1398" s="1" t="s">
        <v>38</v>
      </c>
      <c r="E1398" s="1" t="s">
        <v>11</v>
      </c>
    </row>
    <row r="1399" spans="1:5" x14ac:dyDescent="0.25">
      <c r="A1399" s="13">
        <v>79402193</v>
      </c>
      <c r="B1399" s="11" t="s">
        <v>116</v>
      </c>
      <c r="C1399" s="1" t="s">
        <v>865</v>
      </c>
      <c r="D1399" s="1" t="s">
        <v>151</v>
      </c>
      <c r="E1399" s="1" t="s">
        <v>152</v>
      </c>
    </row>
    <row r="1400" spans="1:5" x14ac:dyDescent="0.25">
      <c r="A1400" s="13">
        <v>79404724</v>
      </c>
      <c r="B1400" s="11" t="s">
        <v>116</v>
      </c>
      <c r="C1400" s="1" t="s">
        <v>864</v>
      </c>
      <c r="D1400" s="1" t="s">
        <v>117</v>
      </c>
      <c r="E1400" s="1" t="s">
        <v>12</v>
      </c>
    </row>
    <row r="1401" spans="1:5" x14ac:dyDescent="0.25">
      <c r="A1401" s="13">
        <v>79406526</v>
      </c>
      <c r="B1401" s="11" t="s">
        <v>109</v>
      </c>
      <c r="C1401" s="1" t="s">
        <v>863</v>
      </c>
      <c r="D1401" s="1" t="s">
        <v>131</v>
      </c>
      <c r="E1401" s="1" t="s">
        <v>131</v>
      </c>
    </row>
    <row r="1402" spans="1:5" x14ac:dyDescent="0.25">
      <c r="A1402" s="13">
        <v>79406563</v>
      </c>
      <c r="B1402" s="11" t="s">
        <v>116</v>
      </c>
      <c r="C1402" s="1" t="s">
        <v>862</v>
      </c>
      <c r="D1402" s="1" t="s">
        <v>117</v>
      </c>
      <c r="E1402" s="1" t="s">
        <v>119</v>
      </c>
    </row>
    <row r="1403" spans="1:5" x14ac:dyDescent="0.25">
      <c r="A1403" s="13">
        <v>79406591</v>
      </c>
      <c r="B1403" s="11" t="s">
        <v>109</v>
      </c>
      <c r="C1403" s="1" t="s">
        <v>861</v>
      </c>
      <c r="D1403" s="1" t="s">
        <v>131</v>
      </c>
      <c r="E1403" s="1" t="s">
        <v>131</v>
      </c>
    </row>
    <row r="1404" spans="1:5" x14ac:dyDescent="0.25">
      <c r="A1404" s="13">
        <v>79407179</v>
      </c>
      <c r="B1404" s="11" t="s">
        <v>83</v>
      </c>
      <c r="C1404" s="1" t="s">
        <v>3023</v>
      </c>
      <c r="D1404" s="1" t="s">
        <v>57</v>
      </c>
      <c r="E1404" s="1" t="s">
        <v>23</v>
      </c>
    </row>
    <row r="1405" spans="1:5" x14ac:dyDescent="0.25">
      <c r="A1405" s="13">
        <v>79407701</v>
      </c>
      <c r="B1405" s="11" t="s">
        <v>116</v>
      </c>
      <c r="C1405" s="1" t="s">
        <v>860</v>
      </c>
      <c r="D1405" s="1" t="s">
        <v>117</v>
      </c>
      <c r="E1405" s="1" t="s">
        <v>10</v>
      </c>
    </row>
    <row r="1406" spans="1:5" x14ac:dyDescent="0.25">
      <c r="A1406" s="13">
        <v>79407930</v>
      </c>
      <c r="B1406" s="11" t="s">
        <v>116</v>
      </c>
      <c r="C1406" s="1" t="s">
        <v>859</v>
      </c>
      <c r="D1406" s="1" t="s">
        <v>117</v>
      </c>
      <c r="E1406" s="1" t="s">
        <v>9</v>
      </c>
    </row>
    <row r="1407" spans="1:5" x14ac:dyDescent="0.25">
      <c r="A1407" s="13">
        <v>79410700</v>
      </c>
      <c r="B1407" s="11" t="s">
        <v>116</v>
      </c>
      <c r="C1407" s="1" t="s">
        <v>858</v>
      </c>
      <c r="D1407" s="1" t="s">
        <v>117</v>
      </c>
      <c r="E1407" s="1" t="s">
        <v>3</v>
      </c>
    </row>
    <row r="1408" spans="1:5" x14ac:dyDescent="0.25">
      <c r="A1408" s="13">
        <v>79411410</v>
      </c>
      <c r="B1408" s="11" t="s">
        <v>109</v>
      </c>
      <c r="C1408" s="1" t="s">
        <v>857</v>
      </c>
      <c r="D1408" s="1" t="s">
        <v>131</v>
      </c>
      <c r="E1408" s="1" t="s">
        <v>131</v>
      </c>
    </row>
    <row r="1409" spans="1:5" x14ac:dyDescent="0.25">
      <c r="A1409" s="13">
        <v>79411946</v>
      </c>
      <c r="B1409" s="11" t="s">
        <v>116</v>
      </c>
      <c r="C1409" s="1" t="s">
        <v>856</v>
      </c>
      <c r="D1409" s="1" t="s">
        <v>117</v>
      </c>
      <c r="E1409" s="1" t="s">
        <v>6</v>
      </c>
    </row>
    <row r="1410" spans="1:5" x14ac:dyDescent="0.25">
      <c r="A1410" s="13">
        <v>79412089</v>
      </c>
      <c r="B1410" s="11" t="s">
        <v>116</v>
      </c>
      <c r="C1410" s="1" t="s">
        <v>855</v>
      </c>
      <c r="D1410" s="1" t="s">
        <v>117</v>
      </c>
      <c r="E1410" s="1" t="s">
        <v>170</v>
      </c>
    </row>
    <row r="1411" spans="1:5" x14ac:dyDescent="0.25">
      <c r="A1411" s="13">
        <v>79415486</v>
      </c>
      <c r="B1411" s="11" t="s">
        <v>83</v>
      </c>
      <c r="C1411" s="1" t="s">
        <v>854</v>
      </c>
      <c r="D1411" s="1" t="s">
        <v>91</v>
      </c>
      <c r="E1411" s="1" t="s">
        <v>24</v>
      </c>
    </row>
    <row r="1412" spans="1:5" x14ac:dyDescent="0.25">
      <c r="A1412" s="13">
        <v>79417584</v>
      </c>
      <c r="B1412" s="11" t="s">
        <v>83</v>
      </c>
      <c r="C1412" s="1" t="s">
        <v>853</v>
      </c>
      <c r="D1412" s="1" t="s">
        <v>57</v>
      </c>
      <c r="E1412" s="1" t="s">
        <v>23</v>
      </c>
    </row>
    <row r="1413" spans="1:5" x14ac:dyDescent="0.25">
      <c r="A1413" s="13">
        <v>79419012</v>
      </c>
      <c r="B1413" s="11" t="s">
        <v>116</v>
      </c>
      <c r="C1413" s="1" t="s">
        <v>852</v>
      </c>
      <c r="D1413" s="1" t="s">
        <v>117</v>
      </c>
      <c r="E1413" s="1" t="s">
        <v>147</v>
      </c>
    </row>
    <row r="1414" spans="1:5" x14ac:dyDescent="0.25">
      <c r="A1414" s="13">
        <v>79419351</v>
      </c>
      <c r="B1414" s="11" t="s">
        <v>84</v>
      </c>
      <c r="C1414" s="1" t="s">
        <v>851</v>
      </c>
      <c r="D1414" s="1" t="s">
        <v>43</v>
      </c>
      <c r="E1414" s="1" t="s">
        <v>3</v>
      </c>
    </row>
    <row r="1415" spans="1:5" x14ac:dyDescent="0.25">
      <c r="A1415" s="13">
        <v>79420856</v>
      </c>
      <c r="B1415" s="11" t="s">
        <v>84</v>
      </c>
      <c r="C1415" s="1" t="s">
        <v>850</v>
      </c>
      <c r="D1415" s="1" t="s">
        <v>43</v>
      </c>
      <c r="E1415" s="1" t="s">
        <v>9</v>
      </c>
    </row>
    <row r="1416" spans="1:5" x14ac:dyDescent="0.25">
      <c r="A1416" s="13">
        <v>79422566</v>
      </c>
      <c r="B1416" s="11" t="s">
        <v>84</v>
      </c>
      <c r="C1416" s="1" t="s">
        <v>849</v>
      </c>
      <c r="D1416" s="1" t="s">
        <v>131</v>
      </c>
      <c r="E1416" s="1" t="s">
        <v>1</v>
      </c>
    </row>
    <row r="1417" spans="1:5" x14ac:dyDescent="0.25">
      <c r="A1417" s="13">
        <v>79422890</v>
      </c>
      <c r="B1417" s="11" t="s">
        <v>116</v>
      </c>
      <c r="C1417" s="1" t="s">
        <v>848</v>
      </c>
      <c r="D1417" s="1" t="s">
        <v>117</v>
      </c>
      <c r="E1417" s="1" t="s">
        <v>12</v>
      </c>
    </row>
    <row r="1418" spans="1:5" x14ac:dyDescent="0.25">
      <c r="A1418" s="13">
        <v>79423094</v>
      </c>
      <c r="B1418" s="11" t="s">
        <v>116</v>
      </c>
      <c r="C1418" s="1" t="s">
        <v>847</v>
      </c>
      <c r="D1418" s="1" t="s">
        <v>117</v>
      </c>
      <c r="E1418" s="1" t="s">
        <v>134</v>
      </c>
    </row>
    <row r="1419" spans="1:5" x14ac:dyDescent="0.25">
      <c r="A1419" s="13">
        <v>79425787</v>
      </c>
      <c r="B1419" s="11" t="s">
        <v>116</v>
      </c>
      <c r="C1419" s="1" t="s">
        <v>846</v>
      </c>
      <c r="D1419" s="1" t="s">
        <v>117</v>
      </c>
      <c r="E1419" s="1" t="s">
        <v>232</v>
      </c>
    </row>
    <row r="1420" spans="1:5" x14ac:dyDescent="0.25">
      <c r="A1420" s="13">
        <v>79426312</v>
      </c>
      <c r="B1420" s="11" t="s">
        <v>116</v>
      </c>
      <c r="C1420" s="1" t="s">
        <v>845</v>
      </c>
      <c r="D1420" s="1" t="s">
        <v>117</v>
      </c>
      <c r="E1420" s="1" t="s">
        <v>237</v>
      </c>
    </row>
    <row r="1421" spans="1:5" x14ac:dyDescent="0.25">
      <c r="A1421" s="13">
        <v>79427009</v>
      </c>
      <c r="B1421" s="11" t="s">
        <v>84</v>
      </c>
      <c r="C1421" s="1" t="s">
        <v>844</v>
      </c>
      <c r="D1421" s="1" t="s">
        <v>38</v>
      </c>
      <c r="E1421" s="1" t="s">
        <v>3</v>
      </c>
    </row>
    <row r="1422" spans="1:5" x14ac:dyDescent="0.25">
      <c r="A1422" s="13">
        <v>79428872</v>
      </c>
      <c r="B1422" s="11" t="s">
        <v>116</v>
      </c>
      <c r="C1422" s="1" t="s">
        <v>843</v>
      </c>
      <c r="D1422" s="1" t="s">
        <v>117</v>
      </c>
      <c r="E1422" s="1" t="s">
        <v>186</v>
      </c>
    </row>
    <row r="1423" spans="1:5" x14ac:dyDescent="0.25">
      <c r="A1423" s="13">
        <v>79429793</v>
      </c>
      <c r="B1423" s="11" t="s">
        <v>116</v>
      </c>
      <c r="C1423" s="1" t="s">
        <v>842</v>
      </c>
      <c r="D1423" s="1" t="s">
        <v>117</v>
      </c>
      <c r="E1423" s="1" t="s">
        <v>10</v>
      </c>
    </row>
    <row r="1424" spans="1:5" x14ac:dyDescent="0.25">
      <c r="A1424" s="13">
        <v>79432076</v>
      </c>
      <c r="B1424" s="11" t="s">
        <v>116</v>
      </c>
      <c r="C1424" s="1" t="s">
        <v>841</v>
      </c>
      <c r="D1424" s="1" t="s">
        <v>117</v>
      </c>
      <c r="E1424" s="1" t="s">
        <v>179</v>
      </c>
    </row>
    <row r="1425" spans="1:5" x14ac:dyDescent="0.25">
      <c r="A1425" s="13">
        <v>79433573</v>
      </c>
      <c r="B1425" s="11" t="s">
        <v>84</v>
      </c>
      <c r="C1425" s="1" t="s">
        <v>840</v>
      </c>
      <c r="D1425" s="1" t="s">
        <v>43</v>
      </c>
      <c r="E1425" s="1" t="s">
        <v>8</v>
      </c>
    </row>
    <row r="1426" spans="1:5" x14ac:dyDescent="0.25">
      <c r="A1426" s="13">
        <v>79434029</v>
      </c>
      <c r="B1426" s="11" t="s">
        <v>109</v>
      </c>
      <c r="C1426" s="1" t="s">
        <v>839</v>
      </c>
      <c r="D1426" s="1" t="s">
        <v>131</v>
      </c>
      <c r="E1426" s="1" t="s">
        <v>131</v>
      </c>
    </row>
    <row r="1427" spans="1:5" x14ac:dyDescent="0.25">
      <c r="A1427" s="13">
        <v>79435738</v>
      </c>
      <c r="B1427" s="11" t="s">
        <v>84</v>
      </c>
      <c r="C1427" s="1" t="s">
        <v>838</v>
      </c>
      <c r="D1427" s="1" t="s">
        <v>43</v>
      </c>
      <c r="E1427" s="1" t="s">
        <v>3</v>
      </c>
    </row>
    <row r="1428" spans="1:5" x14ac:dyDescent="0.25">
      <c r="A1428" s="13">
        <v>79436330</v>
      </c>
      <c r="B1428" s="11" t="s">
        <v>116</v>
      </c>
      <c r="C1428" s="1" t="s">
        <v>837</v>
      </c>
      <c r="D1428" s="1" t="s">
        <v>117</v>
      </c>
      <c r="E1428" s="1" t="s">
        <v>11</v>
      </c>
    </row>
    <row r="1429" spans="1:5" x14ac:dyDescent="0.25">
      <c r="A1429" s="13">
        <v>79436833</v>
      </c>
      <c r="B1429" s="11" t="s">
        <v>116</v>
      </c>
      <c r="C1429" s="1" t="s">
        <v>836</v>
      </c>
      <c r="D1429" s="1" t="s">
        <v>117</v>
      </c>
      <c r="E1429" s="1" t="s">
        <v>5</v>
      </c>
    </row>
    <row r="1430" spans="1:5" x14ac:dyDescent="0.25">
      <c r="A1430" s="13">
        <v>79436886</v>
      </c>
      <c r="B1430" s="11" t="s">
        <v>116</v>
      </c>
      <c r="C1430" s="1" t="s">
        <v>835</v>
      </c>
      <c r="D1430" s="1" t="s">
        <v>117</v>
      </c>
      <c r="E1430" s="1" t="s">
        <v>186</v>
      </c>
    </row>
    <row r="1431" spans="1:5" x14ac:dyDescent="0.25">
      <c r="A1431" s="13">
        <v>79444595</v>
      </c>
      <c r="B1431" s="11" t="s">
        <v>116</v>
      </c>
      <c r="C1431" s="1" t="s">
        <v>834</v>
      </c>
      <c r="D1431" s="1" t="s">
        <v>117</v>
      </c>
      <c r="E1431" s="1" t="s">
        <v>186</v>
      </c>
    </row>
    <row r="1432" spans="1:5" x14ac:dyDescent="0.25">
      <c r="A1432" s="13">
        <v>79444627</v>
      </c>
      <c r="B1432" s="11" t="s">
        <v>83</v>
      </c>
      <c r="C1432" s="1" t="s">
        <v>833</v>
      </c>
      <c r="D1432" s="1" t="s">
        <v>567</v>
      </c>
      <c r="E1432" s="1" t="s">
        <v>16</v>
      </c>
    </row>
    <row r="1433" spans="1:5" x14ac:dyDescent="0.25">
      <c r="A1433" s="13">
        <v>79446996</v>
      </c>
      <c r="B1433" s="11" t="s">
        <v>109</v>
      </c>
      <c r="C1433" s="1" t="s">
        <v>832</v>
      </c>
      <c r="D1433" s="1" t="s">
        <v>131</v>
      </c>
      <c r="E1433" s="1" t="s">
        <v>131</v>
      </c>
    </row>
    <row r="1434" spans="1:5" x14ac:dyDescent="0.25">
      <c r="A1434" s="13">
        <v>79447172</v>
      </c>
      <c r="B1434" s="11" t="s">
        <v>116</v>
      </c>
      <c r="C1434" s="1" t="s">
        <v>831</v>
      </c>
      <c r="D1434" s="1" t="s">
        <v>117</v>
      </c>
      <c r="E1434" s="1" t="s">
        <v>11</v>
      </c>
    </row>
    <row r="1435" spans="1:5" x14ac:dyDescent="0.25">
      <c r="A1435" s="13">
        <v>79447561</v>
      </c>
      <c r="B1435" s="11" t="s">
        <v>109</v>
      </c>
      <c r="C1435" s="1" t="s">
        <v>830</v>
      </c>
      <c r="D1435" s="1" t="s">
        <v>131</v>
      </c>
      <c r="E1435" s="1" t="s">
        <v>131</v>
      </c>
    </row>
    <row r="1436" spans="1:5" x14ac:dyDescent="0.25">
      <c r="A1436" s="13">
        <v>79449595</v>
      </c>
      <c r="B1436" s="11" t="s">
        <v>116</v>
      </c>
      <c r="C1436" s="1" t="s">
        <v>829</v>
      </c>
      <c r="D1436" s="1" t="s">
        <v>117</v>
      </c>
      <c r="E1436" s="1" t="s">
        <v>2</v>
      </c>
    </row>
    <row r="1437" spans="1:5" x14ac:dyDescent="0.25">
      <c r="A1437" s="13">
        <v>79449720</v>
      </c>
      <c r="B1437" s="11" t="s">
        <v>116</v>
      </c>
      <c r="C1437" s="1" t="s">
        <v>828</v>
      </c>
      <c r="D1437" s="1" t="s">
        <v>117</v>
      </c>
      <c r="E1437" s="1" t="s">
        <v>134</v>
      </c>
    </row>
    <row r="1438" spans="1:5" x14ac:dyDescent="0.25">
      <c r="A1438" s="13">
        <v>79451322</v>
      </c>
      <c r="B1438" s="11" t="s">
        <v>116</v>
      </c>
      <c r="C1438" s="1" t="s">
        <v>827</v>
      </c>
      <c r="D1438" s="1" t="s">
        <v>117</v>
      </c>
      <c r="E1438" s="1" t="s">
        <v>232</v>
      </c>
    </row>
    <row r="1439" spans="1:5" x14ac:dyDescent="0.25">
      <c r="A1439" s="13">
        <v>79452150</v>
      </c>
      <c r="B1439" s="11" t="s">
        <v>83</v>
      </c>
      <c r="C1439" s="1" t="s">
        <v>826</v>
      </c>
      <c r="D1439" s="1" t="s">
        <v>54</v>
      </c>
      <c r="E1439" s="1" t="s">
        <v>16</v>
      </c>
    </row>
    <row r="1440" spans="1:5" x14ac:dyDescent="0.25">
      <c r="A1440" s="13">
        <v>79455116</v>
      </c>
      <c r="B1440" s="11" t="s">
        <v>116</v>
      </c>
      <c r="C1440" s="1" t="s">
        <v>825</v>
      </c>
      <c r="D1440" s="1" t="s">
        <v>117</v>
      </c>
      <c r="E1440" s="1" t="s">
        <v>134</v>
      </c>
    </row>
    <row r="1441" spans="1:5" x14ac:dyDescent="0.25">
      <c r="A1441" s="13">
        <v>79455579</v>
      </c>
      <c r="B1441" s="11" t="s">
        <v>116</v>
      </c>
      <c r="C1441" s="1" t="s">
        <v>824</v>
      </c>
      <c r="D1441" s="1" t="s">
        <v>117</v>
      </c>
      <c r="E1441" s="1" t="s">
        <v>118</v>
      </c>
    </row>
    <row r="1442" spans="1:5" x14ac:dyDescent="0.25">
      <c r="A1442" s="13">
        <v>79456180</v>
      </c>
      <c r="B1442" s="11" t="s">
        <v>84</v>
      </c>
      <c r="C1442" s="1" t="s">
        <v>823</v>
      </c>
      <c r="D1442" s="1" t="s">
        <v>43</v>
      </c>
      <c r="E1442" s="1" t="s">
        <v>134</v>
      </c>
    </row>
    <row r="1443" spans="1:5" x14ac:dyDescent="0.25">
      <c r="A1443" s="13">
        <v>79456304</v>
      </c>
      <c r="B1443" s="11" t="s">
        <v>84</v>
      </c>
      <c r="C1443" s="1" t="s">
        <v>822</v>
      </c>
      <c r="D1443" s="1" t="s">
        <v>43</v>
      </c>
      <c r="E1443" s="1" t="s">
        <v>11</v>
      </c>
    </row>
    <row r="1444" spans="1:5" x14ac:dyDescent="0.25">
      <c r="A1444" s="13">
        <v>79465111</v>
      </c>
      <c r="B1444" s="11" t="s">
        <v>116</v>
      </c>
      <c r="C1444" s="1" t="s">
        <v>821</v>
      </c>
      <c r="D1444" s="1" t="s">
        <v>117</v>
      </c>
      <c r="E1444" s="1" t="s">
        <v>118</v>
      </c>
    </row>
    <row r="1445" spans="1:5" x14ac:dyDescent="0.25">
      <c r="A1445" s="13">
        <v>79467662</v>
      </c>
      <c r="B1445" s="11" t="s">
        <v>84</v>
      </c>
      <c r="C1445" s="1" t="s">
        <v>820</v>
      </c>
      <c r="D1445" s="1" t="s">
        <v>38</v>
      </c>
      <c r="E1445" s="1" t="s">
        <v>3</v>
      </c>
    </row>
    <row r="1446" spans="1:5" x14ac:dyDescent="0.25">
      <c r="A1446" s="13">
        <v>79469350</v>
      </c>
      <c r="B1446" s="11" t="s">
        <v>84</v>
      </c>
      <c r="C1446" s="1" t="s">
        <v>819</v>
      </c>
      <c r="D1446" s="1" t="s">
        <v>43</v>
      </c>
      <c r="E1446" s="1" t="s">
        <v>3211</v>
      </c>
    </row>
    <row r="1447" spans="1:5" x14ac:dyDescent="0.25">
      <c r="A1447" s="13">
        <v>79471331</v>
      </c>
      <c r="B1447" s="11" t="s">
        <v>109</v>
      </c>
      <c r="C1447" s="1" t="s">
        <v>818</v>
      </c>
      <c r="D1447" s="1" t="s">
        <v>131</v>
      </c>
      <c r="E1447" s="1" t="s">
        <v>131</v>
      </c>
    </row>
    <row r="1448" spans="1:5" x14ac:dyDescent="0.25">
      <c r="A1448" s="13">
        <v>79471517</v>
      </c>
      <c r="B1448" s="11" t="s">
        <v>116</v>
      </c>
      <c r="C1448" s="1" t="s">
        <v>817</v>
      </c>
      <c r="D1448" s="1" t="s">
        <v>117</v>
      </c>
      <c r="E1448" s="1" t="s">
        <v>118</v>
      </c>
    </row>
    <row r="1449" spans="1:5" x14ac:dyDescent="0.25">
      <c r="A1449" s="13">
        <v>79471848</v>
      </c>
      <c r="B1449" s="11" t="s">
        <v>84</v>
      </c>
      <c r="C1449" s="1" t="s">
        <v>3040</v>
      </c>
      <c r="D1449" s="1" t="s">
        <v>38</v>
      </c>
      <c r="E1449" s="1" t="s">
        <v>134</v>
      </c>
    </row>
    <row r="1450" spans="1:5" x14ac:dyDescent="0.25">
      <c r="A1450" s="13">
        <v>79473556</v>
      </c>
      <c r="B1450" s="11" t="s">
        <v>116</v>
      </c>
      <c r="C1450" s="1" t="s">
        <v>816</v>
      </c>
      <c r="D1450" s="1" t="s">
        <v>117</v>
      </c>
      <c r="E1450" s="1" t="s">
        <v>3553</v>
      </c>
    </row>
    <row r="1451" spans="1:5" x14ac:dyDescent="0.25">
      <c r="A1451" s="13">
        <v>79481872</v>
      </c>
      <c r="B1451" s="11" t="s">
        <v>116</v>
      </c>
      <c r="C1451" s="1" t="s">
        <v>815</v>
      </c>
      <c r="D1451" s="1" t="s">
        <v>117</v>
      </c>
      <c r="E1451" s="1" t="s">
        <v>85</v>
      </c>
    </row>
    <row r="1452" spans="1:5" x14ac:dyDescent="0.25">
      <c r="A1452" s="13">
        <v>79483525</v>
      </c>
      <c r="B1452" s="11" t="s">
        <v>109</v>
      </c>
      <c r="C1452" s="1" t="s">
        <v>814</v>
      </c>
      <c r="D1452" s="1" t="s">
        <v>131</v>
      </c>
      <c r="E1452" s="1" t="s">
        <v>131</v>
      </c>
    </row>
    <row r="1453" spans="1:5" x14ac:dyDescent="0.25">
      <c r="A1453" s="13">
        <v>79483641</v>
      </c>
      <c r="B1453" s="11" t="s">
        <v>109</v>
      </c>
      <c r="C1453" s="1" t="s">
        <v>813</v>
      </c>
      <c r="D1453" s="1" t="s">
        <v>131</v>
      </c>
      <c r="E1453" s="1" t="s">
        <v>131</v>
      </c>
    </row>
    <row r="1454" spans="1:5" x14ac:dyDescent="0.25">
      <c r="A1454" s="13">
        <v>79484046</v>
      </c>
      <c r="B1454" s="11" t="s">
        <v>84</v>
      </c>
      <c r="C1454" s="1" t="s">
        <v>812</v>
      </c>
      <c r="D1454" s="1" t="s">
        <v>38</v>
      </c>
      <c r="E1454" s="1" t="s">
        <v>3</v>
      </c>
    </row>
    <row r="1455" spans="1:5" x14ac:dyDescent="0.25">
      <c r="A1455" s="13">
        <v>79484197</v>
      </c>
      <c r="B1455" s="11" t="s">
        <v>84</v>
      </c>
      <c r="C1455" s="1" t="s">
        <v>811</v>
      </c>
      <c r="D1455" s="1" t="s">
        <v>38</v>
      </c>
      <c r="E1455" s="1" t="s">
        <v>8</v>
      </c>
    </row>
    <row r="1456" spans="1:5" x14ac:dyDescent="0.25">
      <c r="A1456" s="13">
        <v>79484328</v>
      </c>
      <c r="B1456" s="11" t="s">
        <v>83</v>
      </c>
      <c r="C1456" s="1" t="s">
        <v>810</v>
      </c>
      <c r="D1456" s="1" t="s">
        <v>60</v>
      </c>
      <c r="E1456" s="1" t="s">
        <v>23</v>
      </c>
    </row>
    <row r="1457" spans="1:5" x14ac:dyDescent="0.25">
      <c r="A1457" s="13">
        <v>79484415</v>
      </c>
      <c r="B1457" s="11" t="s">
        <v>116</v>
      </c>
      <c r="C1457" s="1" t="s">
        <v>809</v>
      </c>
      <c r="D1457" s="1" t="s">
        <v>151</v>
      </c>
      <c r="E1457" s="1" t="s">
        <v>152</v>
      </c>
    </row>
    <row r="1458" spans="1:5" x14ac:dyDescent="0.25">
      <c r="A1458" s="13">
        <v>79485637</v>
      </c>
      <c r="B1458" s="11" t="s">
        <v>116</v>
      </c>
      <c r="C1458" s="1" t="s">
        <v>808</v>
      </c>
      <c r="D1458" s="1" t="s">
        <v>117</v>
      </c>
      <c r="E1458" s="1" t="s">
        <v>127</v>
      </c>
    </row>
    <row r="1459" spans="1:5" x14ac:dyDescent="0.25">
      <c r="A1459" s="13">
        <v>79487483</v>
      </c>
      <c r="B1459" s="11" t="s">
        <v>109</v>
      </c>
      <c r="C1459" s="1" t="s">
        <v>807</v>
      </c>
      <c r="D1459" s="1" t="s">
        <v>131</v>
      </c>
      <c r="E1459" s="1" t="s">
        <v>131</v>
      </c>
    </row>
    <row r="1460" spans="1:5" x14ac:dyDescent="0.25">
      <c r="A1460" s="13">
        <v>79493424</v>
      </c>
      <c r="B1460" s="11" t="s">
        <v>116</v>
      </c>
      <c r="C1460" s="1" t="s">
        <v>806</v>
      </c>
      <c r="D1460" s="1" t="s">
        <v>117</v>
      </c>
      <c r="E1460" s="1" t="s">
        <v>10</v>
      </c>
    </row>
    <row r="1461" spans="1:5" x14ac:dyDescent="0.25">
      <c r="A1461" s="13">
        <v>79493884</v>
      </c>
      <c r="B1461" s="11" t="s">
        <v>116</v>
      </c>
      <c r="C1461" s="1" t="s">
        <v>805</v>
      </c>
      <c r="D1461" s="1" t="s">
        <v>117</v>
      </c>
      <c r="E1461" s="1" t="s">
        <v>147</v>
      </c>
    </row>
    <row r="1462" spans="1:5" x14ac:dyDescent="0.25">
      <c r="A1462" s="13">
        <v>79495020</v>
      </c>
      <c r="B1462" s="11" t="s">
        <v>116</v>
      </c>
      <c r="C1462" s="1" t="s">
        <v>804</v>
      </c>
      <c r="D1462" s="1" t="s">
        <v>117</v>
      </c>
      <c r="E1462" s="1" t="s">
        <v>491</v>
      </c>
    </row>
    <row r="1463" spans="1:5" x14ac:dyDescent="0.25">
      <c r="A1463" s="13">
        <v>79498355</v>
      </c>
      <c r="B1463" s="11" t="s">
        <v>84</v>
      </c>
      <c r="C1463" s="1" t="s">
        <v>803</v>
      </c>
      <c r="D1463" s="1" t="s">
        <v>38</v>
      </c>
      <c r="E1463" s="1" t="s">
        <v>168</v>
      </c>
    </row>
    <row r="1464" spans="1:5" x14ac:dyDescent="0.25">
      <c r="A1464" s="13">
        <v>79499244</v>
      </c>
      <c r="B1464" s="11" t="s">
        <v>84</v>
      </c>
      <c r="C1464" s="1" t="s">
        <v>802</v>
      </c>
      <c r="D1464" s="1" t="s">
        <v>43</v>
      </c>
      <c r="E1464" s="1" t="s">
        <v>8</v>
      </c>
    </row>
    <row r="1465" spans="1:5" x14ac:dyDescent="0.25">
      <c r="A1465" s="13">
        <v>79504423</v>
      </c>
      <c r="B1465" s="11" t="s">
        <v>116</v>
      </c>
      <c r="C1465" s="1" t="s">
        <v>801</v>
      </c>
      <c r="D1465" s="1" t="s">
        <v>117</v>
      </c>
      <c r="E1465" s="1" t="s">
        <v>232</v>
      </c>
    </row>
    <row r="1466" spans="1:5" x14ac:dyDescent="0.25">
      <c r="A1466" s="13">
        <v>79505680</v>
      </c>
      <c r="B1466" s="11" t="s">
        <v>116</v>
      </c>
      <c r="C1466" s="1" t="s">
        <v>800</v>
      </c>
      <c r="D1466" s="1" t="s">
        <v>117</v>
      </c>
      <c r="E1466" s="1" t="s">
        <v>186</v>
      </c>
    </row>
    <row r="1467" spans="1:5" x14ac:dyDescent="0.25">
      <c r="A1467" s="13">
        <v>79506098</v>
      </c>
      <c r="B1467" s="11" t="s">
        <v>116</v>
      </c>
      <c r="C1467" s="1" t="s">
        <v>799</v>
      </c>
      <c r="D1467" s="1" t="s">
        <v>117</v>
      </c>
      <c r="E1467" s="1" t="s">
        <v>147</v>
      </c>
    </row>
    <row r="1468" spans="1:5" x14ac:dyDescent="0.25">
      <c r="A1468" s="13">
        <v>79506187</v>
      </c>
      <c r="B1468" s="11" t="s">
        <v>116</v>
      </c>
      <c r="C1468" s="1" t="s">
        <v>798</v>
      </c>
      <c r="D1468" s="1" t="s">
        <v>117</v>
      </c>
      <c r="E1468" s="1" t="s">
        <v>491</v>
      </c>
    </row>
    <row r="1469" spans="1:5" x14ac:dyDescent="0.25">
      <c r="A1469" s="13">
        <v>79507037</v>
      </c>
      <c r="B1469" s="11" t="s">
        <v>109</v>
      </c>
      <c r="C1469" s="1" t="s">
        <v>797</v>
      </c>
      <c r="D1469" s="1" t="s">
        <v>131</v>
      </c>
      <c r="E1469" s="1" t="s">
        <v>131</v>
      </c>
    </row>
    <row r="1470" spans="1:5" x14ac:dyDescent="0.25">
      <c r="A1470" s="13">
        <v>79507540</v>
      </c>
      <c r="B1470" s="11" t="s">
        <v>84</v>
      </c>
      <c r="C1470" s="1" t="s">
        <v>796</v>
      </c>
      <c r="D1470" s="1" t="s">
        <v>38</v>
      </c>
      <c r="E1470" s="1" t="s">
        <v>10</v>
      </c>
    </row>
    <row r="1471" spans="1:5" x14ac:dyDescent="0.25">
      <c r="A1471" s="13">
        <v>79507860</v>
      </c>
      <c r="B1471" s="11" t="s">
        <v>116</v>
      </c>
      <c r="C1471" s="1" t="s">
        <v>795</v>
      </c>
      <c r="D1471" s="1" t="s">
        <v>117</v>
      </c>
      <c r="E1471" s="1" t="s">
        <v>14</v>
      </c>
    </row>
    <row r="1472" spans="1:5" x14ac:dyDescent="0.25">
      <c r="A1472" s="13">
        <v>79509195</v>
      </c>
      <c r="B1472" s="11" t="s">
        <v>84</v>
      </c>
      <c r="C1472" s="1" t="s">
        <v>794</v>
      </c>
      <c r="D1472" s="1" t="s">
        <v>43</v>
      </c>
      <c r="E1472" s="1" t="s">
        <v>11</v>
      </c>
    </row>
    <row r="1473" spans="1:5" x14ac:dyDescent="0.25">
      <c r="A1473" s="13">
        <v>79509495</v>
      </c>
      <c r="B1473" s="11" t="s">
        <v>109</v>
      </c>
      <c r="C1473" s="1" t="s">
        <v>793</v>
      </c>
      <c r="D1473" s="1" t="s">
        <v>131</v>
      </c>
      <c r="E1473" s="1" t="s">
        <v>131</v>
      </c>
    </row>
    <row r="1474" spans="1:5" x14ac:dyDescent="0.25">
      <c r="A1474" s="13">
        <v>79510415</v>
      </c>
      <c r="B1474" s="11" t="s">
        <v>84</v>
      </c>
      <c r="C1474" s="1" t="s">
        <v>791</v>
      </c>
      <c r="D1474" s="1" t="s">
        <v>792</v>
      </c>
      <c r="E1474" s="1" t="s">
        <v>3</v>
      </c>
    </row>
    <row r="1475" spans="1:5" x14ac:dyDescent="0.25">
      <c r="A1475" s="13">
        <v>79510658</v>
      </c>
      <c r="B1475" s="11" t="s">
        <v>116</v>
      </c>
      <c r="C1475" s="1" t="s">
        <v>790</v>
      </c>
      <c r="D1475" s="1" t="s">
        <v>117</v>
      </c>
      <c r="E1475" s="1" t="s">
        <v>10</v>
      </c>
    </row>
    <row r="1476" spans="1:5" x14ac:dyDescent="0.25">
      <c r="A1476" s="13">
        <v>79511545</v>
      </c>
      <c r="B1476" s="11" t="s">
        <v>116</v>
      </c>
      <c r="C1476" s="1" t="s">
        <v>789</v>
      </c>
      <c r="D1476" s="1" t="s">
        <v>117</v>
      </c>
      <c r="E1476" s="1" t="s">
        <v>134</v>
      </c>
    </row>
    <row r="1477" spans="1:5" x14ac:dyDescent="0.25">
      <c r="A1477" s="13">
        <v>79511692</v>
      </c>
      <c r="B1477" s="11" t="s">
        <v>116</v>
      </c>
      <c r="C1477" s="1" t="s">
        <v>788</v>
      </c>
      <c r="D1477" s="1" t="s">
        <v>117</v>
      </c>
      <c r="E1477" s="1" t="s">
        <v>205</v>
      </c>
    </row>
    <row r="1478" spans="1:5" x14ac:dyDescent="0.25">
      <c r="A1478" s="13">
        <v>79511724</v>
      </c>
      <c r="B1478" s="11" t="s">
        <v>84</v>
      </c>
      <c r="C1478" s="1" t="s">
        <v>787</v>
      </c>
      <c r="D1478" s="1" t="s">
        <v>185</v>
      </c>
      <c r="E1478" s="1" t="s">
        <v>11</v>
      </c>
    </row>
    <row r="1479" spans="1:5" x14ac:dyDescent="0.25">
      <c r="A1479" s="13">
        <v>79511800</v>
      </c>
      <c r="B1479" s="11" t="s">
        <v>84</v>
      </c>
      <c r="C1479" s="1" t="s">
        <v>786</v>
      </c>
      <c r="D1479" s="1" t="s">
        <v>75</v>
      </c>
      <c r="E1479" s="1" t="s">
        <v>152</v>
      </c>
    </row>
    <row r="1480" spans="1:5" x14ac:dyDescent="0.25">
      <c r="A1480" s="13">
        <v>79512927</v>
      </c>
      <c r="B1480" s="11" t="s">
        <v>116</v>
      </c>
      <c r="C1480" s="1" t="s">
        <v>785</v>
      </c>
      <c r="D1480" s="1" t="s">
        <v>117</v>
      </c>
      <c r="E1480" s="1" t="s">
        <v>491</v>
      </c>
    </row>
    <row r="1481" spans="1:5" x14ac:dyDescent="0.25">
      <c r="A1481" s="13">
        <v>79513354</v>
      </c>
      <c r="B1481" s="11" t="s">
        <v>116</v>
      </c>
      <c r="C1481" s="1" t="s">
        <v>784</v>
      </c>
      <c r="D1481" s="1" t="s">
        <v>117</v>
      </c>
      <c r="E1481" s="1" t="s">
        <v>11</v>
      </c>
    </row>
    <row r="1482" spans="1:5" x14ac:dyDescent="0.25">
      <c r="A1482" s="13">
        <v>79513397</v>
      </c>
      <c r="B1482" s="11" t="s">
        <v>116</v>
      </c>
      <c r="C1482" s="1" t="s">
        <v>783</v>
      </c>
      <c r="D1482" s="1" t="s">
        <v>117</v>
      </c>
      <c r="E1482" s="1" t="s">
        <v>10</v>
      </c>
    </row>
    <row r="1483" spans="1:5" x14ac:dyDescent="0.25">
      <c r="A1483" s="13">
        <v>79513647</v>
      </c>
      <c r="B1483" s="11" t="s">
        <v>116</v>
      </c>
      <c r="C1483" s="1" t="s">
        <v>782</v>
      </c>
      <c r="D1483" s="1" t="s">
        <v>117</v>
      </c>
      <c r="E1483" s="1" t="s">
        <v>10</v>
      </c>
    </row>
    <row r="1484" spans="1:5" x14ac:dyDescent="0.25">
      <c r="A1484" s="13">
        <v>79513882</v>
      </c>
      <c r="B1484" s="11" t="s">
        <v>84</v>
      </c>
      <c r="C1484" s="1" t="s">
        <v>781</v>
      </c>
      <c r="D1484" s="1" t="s">
        <v>38</v>
      </c>
      <c r="E1484" s="1" t="s">
        <v>422</v>
      </c>
    </row>
    <row r="1485" spans="1:5" x14ac:dyDescent="0.25">
      <c r="A1485" s="13">
        <v>79514106</v>
      </c>
      <c r="B1485" s="11" t="s">
        <v>84</v>
      </c>
      <c r="C1485" s="1" t="s">
        <v>780</v>
      </c>
      <c r="D1485" s="1" t="s">
        <v>38</v>
      </c>
      <c r="E1485" s="1" t="s">
        <v>7</v>
      </c>
    </row>
    <row r="1486" spans="1:5" x14ac:dyDescent="0.25">
      <c r="A1486" s="13">
        <v>79515114</v>
      </c>
      <c r="B1486" s="11" t="s">
        <v>116</v>
      </c>
      <c r="C1486" s="1" t="s">
        <v>779</v>
      </c>
      <c r="D1486" s="1" t="s">
        <v>117</v>
      </c>
      <c r="E1486" s="1" t="s">
        <v>170</v>
      </c>
    </row>
    <row r="1487" spans="1:5" x14ac:dyDescent="0.25">
      <c r="A1487" s="13">
        <v>79519248</v>
      </c>
      <c r="B1487" s="11" t="s">
        <v>83</v>
      </c>
      <c r="C1487" s="1" t="s">
        <v>777</v>
      </c>
      <c r="D1487" s="1" t="s">
        <v>350</v>
      </c>
      <c r="E1487" s="1" t="s">
        <v>778</v>
      </c>
    </row>
    <row r="1488" spans="1:5" x14ac:dyDescent="0.25">
      <c r="A1488" s="13">
        <v>79520348</v>
      </c>
      <c r="B1488" s="11" t="s">
        <v>83</v>
      </c>
      <c r="C1488" s="1" t="s">
        <v>775</v>
      </c>
      <c r="D1488" s="1" t="s">
        <v>776</v>
      </c>
      <c r="E1488" s="1" t="s">
        <v>25</v>
      </c>
    </row>
    <row r="1489" spans="1:5" x14ac:dyDescent="0.25">
      <c r="A1489" s="13">
        <v>79520409</v>
      </c>
      <c r="B1489" s="11" t="s">
        <v>116</v>
      </c>
      <c r="C1489" s="1" t="s">
        <v>774</v>
      </c>
      <c r="D1489" s="1" t="s">
        <v>117</v>
      </c>
      <c r="E1489" s="1" t="s">
        <v>12</v>
      </c>
    </row>
    <row r="1490" spans="1:5" x14ac:dyDescent="0.25">
      <c r="A1490" s="13">
        <v>79520461</v>
      </c>
      <c r="B1490" s="11" t="s">
        <v>84</v>
      </c>
      <c r="C1490" s="1" t="s">
        <v>773</v>
      </c>
      <c r="D1490" s="1" t="s">
        <v>38</v>
      </c>
      <c r="E1490" s="1" t="s">
        <v>7</v>
      </c>
    </row>
    <row r="1491" spans="1:5" x14ac:dyDescent="0.25">
      <c r="A1491" s="13">
        <v>79522035</v>
      </c>
      <c r="B1491" s="11" t="s">
        <v>116</v>
      </c>
      <c r="C1491" s="1" t="s">
        <v>772</v>
      </c>
      <c r="D1491" s="1" t="s">
        <v>117</v>
      </c>
      <c r="E1491" s="1" t="s">
        <v>237</v>
      </c>
    </row>
    <row r="1492" spans="1:5" x14ac:dyDescent="0.25">
      <c r="A1492" s="13">
        <v>79522309</v>
      </c>
      <c r="B1492" s="11" t="s">
        <v>84</v>
      </c>
      <c r="C1492" s="1" t="s">
        <v>771</v>
      </c>
      <c r="D1492" s="1" t="s">
        <v>38</v>
      </c>
      <c r="E1492" s="1" t="s">
        <v>168</v>
      </c>
    </row>
    <row r="1493" spans="1:5" x14ac:dyDescent="0.25">
      <c r="A1493" s="13">
        <v>79524745</v>
      </c>
      <c r="B1493" s="11" t="s">
        <v>116</v>
      </c>
      <c r="C1493" s="1" t="s">
        <v>770</v>
      </c>
      <c r="D1493" s="1" t="s">
        <v>117</v>
      </c>
      <c r="E1493" s="1" t="s">
        <v>6</v>
      </c>
    </row>
    <row r="1494" spans="1:5" x14ac:dyDescent="0.25">
      <c r="A1494" s="13">
        <v>79524833</v>
      </c>
      <c r="B1494" s="11" t="s">
        <v>84</v>
      </c>
      <c r="C1494" s="1" t="s">
        <v>769</v>
      </c>
      <c r="D1494" s="1" t="s">
        <v>38</v>
      </c>
      <c r="E1494" s="1" t="s">
        <v>168</v>
      </c>
    </row>
    <row r="1495" spans="1:5" x14ac:dyDescent="0.25">
      <c r="A1495" s="13">
        <v>79525148</v>
      </c>
      <c r="B1495" s="11" t="s">
        <v>83</v>
      </c>
      <c r="C1495" s="1" t="s">
        <v>768</v>
      </c>
      <c r="D1495" s="1" t="s">
        <v>58</v>
      </c>
      <c r="E1495" s="1" t="s">
        <v>23</v>
      </c>
    </row>
    <row r="1496" spans="1:5" x14ac:dyDescent="0.25">
      <c r="A1496" s="13">
        <v>79526588</v>
      </c>
      <c r="B1496" s="11" t="s">
        <v>84</v>
      </c>
      <c r="C1496" s="1" t="s">
        <v>767</v>
      </c>
      <c r="D1496" s="1" t="s">
        <v>38</v>
      </c>
      <c r="E1496" s="1" t="s">
        <v>170</v>
      </c>
    </row>
    <row r="1497" spans="1:5" x14ac:dyDescent="0.25">
      <c r="A1497" s="13">
        <v>79527738</v>
      </c>
      <c r="B1497" s="11" t="s">
        <v>84</v>
      </c>
      <c r="C1497" s="1" t="s">
        <v>766</v>
      </c>
      <c r="D1497" s="1" t="s">
        <v>38</v>
      </c>
      <c r="E1497" s="1" t="s">
        <v>3121</v>
      </c>
    </row>
    <row r="1498" spans="1:5" x14ac:dyDescent="0.25">
      <c r="A1498" s="13">
        <v>79531079</v>
      </c>
      <c r="B1498" s="11" t="s">
        <v>109</v>
      </c>
      <c r="C1498" s="1" t="s">
        <v>765</v>
      </c>
      <c r="D1498" s="1" t="s">
        <v>131</v>
      </c>
      <c r="E1498" s="1" t="s">
        <v>131</v>
      </c>
    </row>
    <row r="1499" spans="1:5" x14ac:dyDescent="0.25">
      <c r="A1499" s="13">
        <v>79532077</v>
      </c>
      <c r="B1499" s="11" t="s">
        <v>109</v>
      </c>
      <c r="C1499" s="1" t="s">
        <v>764</v>
      </c>
      <c r="D1499" s="1" t="s">
        <v>131</v>
      </c>
      <c r="E1499" s="1" t="s">
        <v>131</v>
      </c>
    </row>
    <row r="1500" spans="1:5" x14ac:dyDescent="0.25">
      <c r="A1500" s="13">
        <v>79532609</v>
      </c>
      <c r="B1500" s="11" t="s">
        <v>116</v>
      </c>
      <c r="C1500" s="1" t="s">
        <v>763</v>
      </c>
      <c r="D1500" s="1" t="s">
        <v>117</v>
      </c>
      <c r="E1500" s="1" t="s">
        <v>127</v>
      </c>
    </row>
    <row r="1501" spans="1:5" x14ac:dyDescent="0.25">
      <c r="A1501" s="13">
        <v>79533404</v>
      </c>
      <c r="B1501" s="11" t="s">
        <v>116</v>
      </c>
      <c r="C1501" s="1" t="s">
        <v>762</v>
      </c>
      <c r="D1501" s="1" t="s">
        <v>117</v>
      </c>
      <c r="E1501" s="1" t="s">
        <v>179</v>
      </c>
    </row>
    <row r="1502" spans="1:5" x14ac:dyDescent="0.25">
      <c r="A1502" s="13">
        <v>79533644</v>
      </c>
      <c r="B1502" s="11" t="s">
        <v>84</v>
      </c>
      <c r="C1502" s="1" t="s">
        <v>761</v>
      </c>
      <c r="D1502" s="1" t="s">
        <v>43</v>
      </c>
      <c r="E1502" s="1" t="s">
        <v>10</v>
      </c>
    </row>
    <row r="1503" spans="1:5" x14ac:dyDescent="0.25">
      <c r="A1503" s="13">
        <v>79534258</v>
      </c>
      <c r="B1503" s="11" t="s">
        <v>116</v>
      </c>
      <c r="C1503" s="1" t="s">
        <v>760</v>
      </c>
      <c r="D1503" s="1" t="s">
        <v>117</v>
      </c>
      <c r="E1503" s="1" t="s">
        <v>8</v>
      </c>
    </row>
    <row r="1504" spans="1:5" x14ac:dyDescent="0.25">
      <c r="A1504" s="13">
        <v>79535611</v>
      </c>
      <c r="B1504" s="11" t="s">
        <v>84</v>
      </c>
      <c r="C1504" s="1" t="s">
        <v>759</v>
      </c>
      <c r="D1504" s="1" t="s">
        <v>38</v>
      </c>
      <c r="E1504" s="1" t="s">
        <v>7</v>
      </c>
    </row>
    <row r="1505" spans="1:5" x14ac:dyDescent="0.25">
      <c r="A1505" s="13">
        <v>79538167</v>
      </c>
      <c r="B1505" s="11" t="s">
        <v>116</v>
      </c>
      <c r="C1505" s="1" t="s">
        <v>758</v>
      </c>
      <c r="D1505" s="1" t="s">
        <v>117</v>
      </c>
      <c r="E1505" s="1" t="s">
        <v>186</v>
      </c>
    </row>
    <row r="1506" spans="1:5" x14ac:dyDescent="0.25">
      <c r="A1506" s="13">
        <v>79540988</v>
      </c>
      <c r="B1506" s="11" t="s">
        <v>83</v>
      </c>
      <c r="C1506" s="1" t="s">
        <v>756</v>
      </c>
      <c r="D1506" s="1" t="s">
        <v>757</v>
      </c>
      <c r="E1506" s="1" t="s">
        <v>23</v>
      </c>
    </row>
    <row r="1507" spans="1:5" x14ac:dyDescent="0.25">
      <c r="A1507" s="13">
        <v>79544744</v>
      </c>
      <c r="B1507" s="11" t="s">
        <v>84</v>
      </c>
      <c r="C1507" s="1" t="s">
        <v>755</v>
      </c>
      <c r="D1507" s="1" t="s">
        <v>38</v>
      </c>
      <c r="E1507" s="1" t="s">
        <v>8</v>
      </c>
    </row>
    <row r="1508" spans="1:5" x14ac:dyDescent="0.25">
      <c r="A1508" s="13">
        <v>79546955</v>
      </c>
      <c r="B1508" s="11" t="s">
        <v>83</v>
      </c>
      <c r="C1508" s="1" t="s">
        <v>754</v>
      </c>
      <c r="D1508" s="1" t="s">
        <v>271</v>
      </c>
      <c r="E1508" s="1" t="s">
        <v>272</v>
      </c>
    </row>
    <row r="1509" spans="1:5" x14ac:dyDescent="0.25">
      <c r="A1509" s="13">
        <v>79554738</v>
      </c>
      <c r="B1509" s="11" t="s">
        <v>84</v>
      </c>
      <c r="C1509" s="1" t="s">
        <v>752</v>
      </c>
      <c r="D1509" s="1" t="s">
        <v>38</v>
      </c>
      <c r="E1509" s="1" t="s">
        <v>168</v>
      </c>
    </row>
    <row r="1510" spans="1:5" x14ac:dyDescent="0.25">
      <c r="A1510" s="13">
        <v>79557146</v>
      </c>
      <c r="B1510" s="11" t="s">
        <v>84</v>
      </c>
      <c r="C1510" s="1" t="s">
        <v>751</v>
      </c>
      <c r="D1510" s="1" t="s">
        <v>43</v>
      </c>
      <c r="E1510" s="1" t="s">
        <v>7</v>
      </c>
    </row>
    <row r="1511" spans="1:5" x14ac:dyDescent="0.25">
      <c r="A1511" s="13">
        <v>79558716</v>
      </c>
      <c r="B1511" s="11" t="s">
        <v>83</v>
      </c>
      <c r="C1511" s="1" t="s">
        <v>750</v>
      </c>
      <c r="D1511" s="1" t="s">
        <v>290</v>
      </c>
      <c r="E1511" s="1" t="s">
        <v>23</v>
      </c>
    </row>
    <row r="1512" spans="1:5" x14ac:dyDescent="0.25">
      <c r="A1512" s="13">
        <v>79559380</v>
      </c>
      <c r="B1512" s="11" t="s">
        <v>84</v>
      </c>
      <c r="C1512" s="1" t="s">
        <v>749</v>
      </c>
      <c r="D1512" s="1" t="s">
        <v>38</v>
      </c>
      <c r="E1512" s="1" t="s">
        <v>3199</v>
      </c>
    </row>
    <row r="1513" spans="1:5" x14ac:dyDescent="0.25">
      <c r="A1513" s="13">
        <v>79561600</v>
      </c>
      <c r="B1513" s="11" t="s">
        <v>109</v>
      </c>
      <c r="C1513" s="1" t="s">
        <v>748</v>
      </c>
      <c r="D1513" s="1" t="s">
        <v>131</v>
      </c>
      <c r="E1513" s="1" t="s">
        <v>131</v>
      </c>
    </row>
    <row r="1514" spans="1:5" x14ac:dyDescent="0.25">
      <c r="A1514" s="13">
        <v>79561617</v>
      </c>
      <c r="B1514" s="11" t="s">
        <v>109</v>
      </c>
      <c r="C1514" s="1" t="s">
        <v>747</v>
      </c>
      <c r="D1514" s="1" t="s">
        <v>131</v>
      </c>
      <c r="E1514" s="1" t="s">
        <v>131</v>
      </c>
    </row>
    <row r="1515" spans="1:5" x14ac:dyDescent="0.25">
      <c r="A1515" s="13">
        <v>79562854</v>
      </c>
      <c r="B1515" s="11" t="s">
        <v>116</v>
      </c>
      <c r="C1515" s="1" t="s">
        <v>746</v>
      </c>
      <c r="D1515" s="1" t="s">
        <v>117</v>
      </c>
      <c r="E1515" s="1" t="s">
        <v>186</v>
      </c>
    </row>
    <row r="1516" spans="1:5" x14ac:dyDescent="0.25">
      <c r="A1516" s="13">
        <v>79565739</v>
      </c>
      <c r="B1516" s="11" t="s">
        <v>116</v>
      </c>
      <c r="C1516" s="1" t="s">
        <v>745</v>
      </c>
      <c r="D1516" s="1" t="s">
        <v>117</v>
      </c>
      <c r="E1516" s="1" t="s">
        <v>186</v>
      </c>
    </row>
    <row r="1517" spans="1:5" x14ac:dyDescent="0.25">
      <c r="A1517" s="13">
        <v>79566543</v>
      </c>
      <c r="B1517" s="11" t="s">
        <v>84</v>
      </c>
      <c r="C1517" s="1" t="s">
        <v>744</v>
      </c>
      <c r="D1517" s="1" t="s">
        <v>381</v>
      </c>
      <c r="E1517" s="1" t="s">
        <v>26</v>
      </c>
    </row>
    <row r="1518" spans="1:5" x14ac:dyDescent="0.25">
      <c r="A1518" s="13">
        <v>79566745</v>
      </c>
      <c r="B1518" s="11" t="s">
        <v>84</v>
      </c>
      <c r="C1518" s="1" t="s">
        <v>3097</v>
      </c>
      <c r="D1518" s="1" t="s">
        <v>38</v>
      </c>
      <c r="E1518" s="1" t="s">
        <v>10</v>
      </c>
    </row>
    <row r="1519" spans="1:5" x14ac:dyDescent="0.25">
      <c r="A1519" s="13">
        <v>79569756</v>
      </c>
      <c r="B1519" s="11" t="s">
        <v>84</v>
      </c>
      <c r="C1519" s="1" t="s">
        <v>3254</v>
      </c>
      <c r="D1519" s="1" t="s">
        <v>38</v>
      </c>
      <c r="E1519" s="1" t="s">
        <v>5</v>
      </c>
    </row>
    <row r="1520" spans="1:5" x14ac:dyDescent="0.25">
      <c r="A1520" s="13">
        <v>79570383</v>
      </c>
      <c r="B1520" s="11" t="s">
        <v>116</v>
      </c>
      <c r="C1520" s="1" t="s">
        <v>743</v>
      </c>
      <c r="D1520" s="1" t="s">
        <v>117</v>
      </c>
      <c r="E1520" s="1" t="s">
        <v>210</v>
      </c>
    </row>
    <row r="1521" spans="1:5" x14ac:dyDescent="0.25">
      <c r="A1521" s="13">
        <v>79570581</v>
      </c>
      <c r="B1521" s="11" t="s">
        <v>83</v>
      </c>
      <c r="C1521" s="1" t="s">
        <v>3565</v>
      </c>
      <c r="D1521" s="1" t="s">
        <v>3566</v>
      </c>
      <c r="E1521" s="1" t="s">
        <v>24</v>
      </c>
    </row>
    <row r="1522" spans="1:5" x14ac:dyDescent="0.25">
      <c r="A1522" s="13">
        <v>79570777</v>
      </c>
      <c r="B1522" s="11" t="s">
        <v>84</v>
      </c>
      <c r="C1522" s="1" t="s">
        <v>742</v>
      </c>
      <c r="D1522" s="1" t="s">
        <v>185</v>
      </c>
      <c r="E1522" s="1" t="s">
        <v>147</v>
      </c>
    </row>
    <row r="1523" spans="1:5" x14ac:dyDescent="0.25">
      <c r="A1523" s="13">
        <v>79571206</v>
      </c>
      <c r="B1523" s="11" t="s">
        <v>84</v>
      </c>
      <c r="C1523" s="1" t="s">
        <v>741</v>
      </c>
      <c r="D1523" s="1" t="s">
        <v>38</v>
      </c>
      <c r="E1523" s="1" t="s">
        <v>7</v>
      </c>
    </row>
    <row r="1524" spans="1:5" x14ac:dyDescent="0.25">
      <c r="A1524" s="13">
        <v>79571941</v>
      </c>
      <c r="B1524" s="11" t="s">
        <v>116</v>
      </c>
      <c r="C1524" s="1" t="s">
        <v>740</v>
      </c>
      <c r="D1524" s="1" t="s">
        <v>117</v>
      </c>
      <c r="E1524" s="1" t="s">
        <v>232</v>
      </c>
    </row>
    <row r="1525" spans="1:5" x14ac:dyDescent="0.25">
      <c r="A1525" s="13">
        <v>79572241</v>
      </c>
      <c r="B1525" s="11" t="s">
        <v>84</v>
      </c>
      <c r="C1525" s="1" t="s">
        <v>739</v>
      </c>
      <c r="D1525" s="1" t="s">
        <v>38</v>
      </c>
      <c r="E1525" s="1" t="s">
        <v>9</v>
      </c>
    </row>
    <row r="1526" spans="1:5" x14ac:dyDescent="0.25">
      <c r="A1526" s="13">
        <v>79573447</v>
      </c>
      <c r="B1526" s="11" t="s">
        <v>84</v>
      </c>
      <c r="C1526" s="1" t="s">
        <v>3255</v>
      </c>
      <c r="D1526" s="1" t="s">
        <v>3161</v>
      </c>
      <c r="E1526" s="1" t="s">
        <v>1697</v>
      </c>
    </row>
    <row r="1527" spans="1:5" x14ac:dyDescent="0.25">
      <c r="A1527" s="13">
        <v>79575454</v>
      </c>
      <c r="B1527" s="11" t="s">
        <v>116</v>
      </c>
      <c r="C1527" s="1" t="s">
        <v>738</v>
      </c>
      <c r="D1527" s="1" t="s">
        <v>117</v>
      </c>
      <c r="E1527" s="1" t="s">
        <v>336</v>
      </c>
    </row>
    <row r="1528" spans="1:5" x14ac:dyDescent="0.25">
      <c r="A1528" s="13">
        <v>79577721</v>
      </c>
      <c r="B1528" s="11" t="s">
        <v>83</v>
      </c>
      <c r="C1528" s="1" t="s">
        <v>737</v>
      </c>
      <c r="D1528" s="1" t="s">
        <v>47</v>
      </c>
      <c r="E1528" s="1" t="s">
        <v>17</v>
      </c>
    </row>
    <row r="1529" spans="1:5" x14ac:dyDescent="0.25">
      <c r="A1529" s="13">
        <v>79578675</v>
      </c>
      <c r="B1529" s="11" t="s">
        <v>84</v>
      </c>
      <c r="C1529" s="1" t="s">
        <v>3256</v>
      </c>
      <c r="D1529" s="1" t="s">
        <v>38</v>
      </c>
      <c r="E1529" s="1" t="s">
        <v>3</v>
      </c>
    </row>
    <row r="1530" spans="1:5" x14ac:dyDescent="0.25">
      <c r="A1530" s="13">
        <v>79581004</v>
      </c>
      <c r="B1530" s="11" t="s">
        <v>84</v>
      </c>
      <c r="C1530" s="1" t="s">
        <v>736</v>
      </c>
      <c r="D1530" s="1" t="s">
        <v>38</v>
      </c>
      <c r="E1530" s="1" t="s">
        <v>134</v>
      </c>
    </row>
    <row r="1531" spans="1:5" x14ac:dyDescent="0.25">
      <c r="A1531" s="13">
        <v>79581077</v>
      </c>
      <c r="B1531" s="11" t="s">
        <v>84</v>
      </c>
      <c r="C1531" s="1" t="s">
        <v>735</v>
      </c>
      <c r="D1531" s="1" t="s">
        <v>38</v>
      </c>
      <c r="E1531" s="1" t="s">
        <v>168</v>
      </c>
    </row>
    <row r="1532" spans="1:5" x14ac:dyDescent="0.25">
      <c r="A1532" s="13">
        <v>79584568</v>
      </c>
      <c r="B1532" s="11" t="s">
        <v>116</v>
      </c>
      <c r="C1532" s="1" t="s">
        <v>734</v>
      </c>
      <c r="D1532" s="1" t="s">
        <v>117</v>
      </c>
      <c r="E1532" s="1" t="s">
        <v>119</v>
      </c>
    </row>
    <row r="1533" spans="1:5" x14ac:dyDescent="0.25">
      <c r="A1533" s="13">
        <v>79589559</v>
      </c>
      <c r="B1533" s="11" t="s">
        <v>84</v>
      </c>
      <c r="C1533" s="1" t="s">
        <v>3567</v>
      </c>
      <c r="D1533" s="1" t="s">
        <v>38</v>
      </c>
      <c r="E1533" s="1" t="s">
        <v>14</v>
      </c>
    </row>
    <row r="1534" spans="1:5" x14ac:dyDescent="0.25">
      <c r="A1534" s="13">
        <v>79589998</v>
      </c>
      <c r="B1534" s="11" t="s">
        <v>116</v>
      </c>
      <c r="C1534" s="1" t="s">
        <v>733</v>
      </c>
      <c r="D1534" s="1" t="s">
        <v>117</v>
      </c>
      <c r="E1534" s="1" t="s">
        <v>12</v>
      </c>
    </row>
    <row r="1535" spans="1:5" x14ac:dyDescent="0.25">
      <c r="A1535" s="13">
        <v>79590035</v>
      </c>
      <c r="B1535" s="11" t="s">
        <v>84</v>
      </c>
      <c r="C1535" s="1" t="s">
        <v>732</v>
      </c>
      <c r="D1535" s="1" t="s">
        <v>38</v>
      </c>
      <c r="E1535" s="1" t="s">
        <v>8</v>
      </c>
    </row>
    <row r="1536" spans="1:5" x14ac:dyDescent="0.25">
      <c r="A1536" s="13">
        <v>79592382</v>
      </c>
      <c r="B1536" s="11" t="s">
        <v>84</v>
      </c>
      <c r="C1536" s="1" t="s">
        <v>3664</v>
      </c>
      <c r="D1536" s="1" t="s">
        <v>38</v>
      </c>
      <c r="E1536" s="1" t="s">
        <v>3665</v>
      </c>
    </row>
    <row r="1537" spans="1:5" x14ac:dyDescent="0.25">
      <c r="A1537" s="13">
        <v>79592428</v>
      </c>
      <c r="B1537" s="11" t="s">
        <v>116</v>
      </c>
      <c r="C1537" s="1" t="s">
        <v>731</v>
      </c>
      <c r="D1537" s="1" t="s">
        <v>117</v>
      </c>
      <c r="E1537" s="1" t="s">
        <v>336</v>
      </c>
    </row>
    <row r="1538" spans="1:5" x14ac:dyDescent="0.25">
      <c r="A1538" s="13">
        <v>79595661</v>
      </c>
      <c r="B1538" s="11" t="s">
        <v>84</v>
      </c>
      <c r="C1538" s="1" t="s">
        <v>3666</v>
      </c>
      <c r="D1538" s="1" t="s">
        <v>43</v>
      </c>
      <c r="E1538" s="1" t="s">
        <v>3</v>
      </c>
    </row>
    <row r="1539" spans="1:5" x14ac:dyDescent="0.25">
      <c r="A1539" s="13">
        <v>79596694</v>
      </c>
      <c r="B1539" s="11" t="s">
        <v>116</v>
      </c>
      <c r="C1539" s="1" t="s">
        <v>730</v>
      </c>
      <c r="D1539" s="1" t="s">
        <v>117</v>
      </c>
      <c r="E1539" s="1" t="s">
        <v>10</v>
      </c>
    </row>
    <row r="1540" spans="1:5" x14ac:dyDescent="0.25">
      <c r="A1540" s="13">
        <v>79598464</v>
      </c>
      <c r="B1540" s="11" t="s">
        <v>116</v>
      </c>
      <c r="C1540" s="1" t="s">
        <v>729</v>
      </c>
      <c r="D1540" s="1" t="s">
        <v>151</v>
      </c>
      <c r="E1540" s="1" t="s">
        <v>152</v>
      </c>
    </row>
    <row r="1541" spans="1:5" x14ac:dyDescent="0.25">
      <c r="A1541" s="13">
        <v>79599625</v>
      </c>
      <c r="B1541" s="11" t="s">
        <v>84</v>
      </c>
      <c r="C1541" s="1" t="s">
        <v>728</v>
      </c>
      <c r="D1541" s="1" t="s">
        <v>38</v>
      </c>
      <c r="E1541" s="1" t="s">
        <v>10</v>
      </c>
    </row>
    <row r="1542" spans="1:5" x14ac:dyDescent="0.25">
      <c r="A1542" s="13">
        <v>79600135</v>
      </c>
      <c r="B1542" s="11" t="s">
        <v>116</v>
      </c>
      <c r="C1542" s="1" t="s">
        <v>727</v>
      </c>
      <c r="D1542" s="1" t="s">
        <v>117</v>
      </c>
      <c r="E1542" s="1" t="s">
        <v>10</v>
      </c>
    </row>
    <row r="1543" spans="1:5" x14ac:dyDescent="0.25">
      <c r="A1543" s="13">
        <v>79600164</v>
      </c>
      <c r="B1543" s="11" t="s">
        <v>116</v>
      </c>
      <c r="C1543" s="1" t="s">
        <v>726</v>
      </c>
      <c r="D1543" s="1" t="s">
        <v>117</v>
      </c>
      <c r="E1543" s="1" t="s">
        <v>10</v>
      </c>
    </row>
    <row r="1544" spans="1:5" x14ac:dyDescent="0.25">
      <c r="A1544" s="13">
        <v>79601176</v>
      </c>
      <c r="B1544" s="11" t="s">
        <v>116</v>
      </c>
      <c r="C1544" s="1" t="s">
        <v>725</v>
      </c>
      <c r="D1544" s="1" t="s">
        <v>117</v>
      </c>
      <c r="E1544" s="1" t="s">
        <v>263</v>
      </c>
    </row>
    <row r="1545" spans="1:5" x14ac:dyDescent="0.25">
      <c r="A1545" s="13">
        <v>79601237</v>
      </c>
      <c r="B1545" s="11" t="s">
        <v>116</v>
      </c>
      <c r="C1545" s="1" t="s">
        <v>724</v>
      </c>
      <c r="D1545" s="1" t="s">
        <v>117</v>
      </c>
      <c r="E1545" s="1" t="s">
        <v>8</v>
      </c>
    </row>
    <row r="1546" spans="1:5" x14ac:dyDescent="0.25">
      <c r="A1546" s="13">
        <v>79601679</v>
      </c>
      <c r="B1546" s="11" t="s">
        <v>109</v>
      </c>
      <c r="C1546" s="1" t="s">
        <v>723</v>
      </c>
      <c r="D1546" s="1" t="s">
        <v>131</v>
      </c>
      <c r="E1546" s="1" t="s">
        <v>131</v>
      </c>
    </row>
    <row r="1547" spans="1:5" x14ac:dyDescent="0.25">
      <c r="A1547" s="13">
        <v>79602489</v>
      </c>
      <c r="B1547" s="11" t="s">
        <v>84</v>
      </c>
      <c r="C1547" s="1" t="s">
        <v>722</v>
      </c>
      <c r="D1547" s="1" t="s">
        <v>47</v>
      </c>
      <c r="E1547" s="1" t="s">
        <v>22</v>
      </c>
    </row>
    <row r="1548" spans="1:5" x14ac:dyDescent="0.25">
      <c r="A1548" s="13">
        <v>79602678</v>
      </c>
      <c r="B1548" s="11" t="s">
        <v>84</v>
      </c>
      <c r="C1548" s="1" t="s">
        <v>721</v>
      </c>
      <c r="D1548" s="1" t="s">
        <v>43</v>
      </c>
      <c r="E1548" s="1" t="s">
        <v>11</v>
      </c>
    </row>
    <row r="1549" spans="1:5" x14ac:dyDescent="0.25">
      <c r="A1549" s="13">
        <v>79603276</v>
      </c>
      <c r="B1549" s="11" t="s">
        <v>84</v>
      </c>
      <c r="C1549" s="1" t="s">
        <v>720</v>
      </c>
      <c r="D1549" s="1" t="s">
        <v>381</v>
      </c>
      <c r="E1549" s="1" t="s">
        <v>26</v>
      </c>
    </row>
    <row r="1550" spans="1:5" x14ac:dyDescent="0.25">
      <c r="A1550" s="13">
        <v>79603878</v>
      </c>
      <c r="B1550" s="11" t="s">
        <v>116</v>
      </c>
      <c r="C1550" s="1" t="s">
        <v>719</v>
      </c>
      <c r="D1550" s="1" t="s">
        <v>117</v>
      </c>
      <c r="E1550" s="1" t="s">
        <v>8</v>
      </c>
    </row>
    <row r="1551" spans="1:5" x14ac:dyDescent="0.25">
      <c r="A1551" s="13">
        <v>79605114</v>
      </c>
      <c r="B1551" s="11" t="s">
        <v>116</v>
      </c>
      <c r="C1551" s="1" t="s">
        <v>718</v>
      </c>
      <c r="D1551" s="1" t="s">
        <v>117</v>
      </c>
      <c r="E1551" s="1" t="s">
        <v>11</v>
      </c>
    </row>
    <row r="1552" spans="1:5" x14ac:dyDescent="0.25">
      <c r="A1552" s="13">
        <v>79610566</v>
      </c>
      <c r="B1552" s="11" t="s">
        <v>116</v>
      </c>
      <c r="C1552" s="1" t="s">
        <v>717</v>
      </c>
      <c r="D1552" s="1" t="s">
        <v>117</v>
      </c>
      <c r="E1552" s="1" t="s">
        <v>232</v>
      </c>
    </row>
    <row r="1553" spans="1:5" x14ac:dyDescent="0.25">
      <c r="A1553" s="13">
        <v>79611278</v>
      </c>
      <c r="B1553" s="11" t="s">
        <v>84</v>
      </c>
      <c r="C1553" s="1" t="s">
        <v>716</v>
      </c>
      <c r="D1553" s="1" t="s">
        <v>38</v>
      </c>
      <c r="E1553" s="1" t="s">
        <v>453</v>
      </c>
    </row>
    <row r="1554" spans="1:5" x14ac:dyDescent="0.25">
      <c r="A1554" s="13">
        <v>79612332</v>
      </c>
      <c r="B1554" s="11" t="s">
        <v>116</v>
      </c>
      <c r="C1554" s="1" t="s">
        <v>715</v>
      </c>
      <c r="D1554" s="1" t="s">
        <v>117</v>
      </c>
      <c r="E1554" s="1" t="s">
        <v>491</v>
      </c>
    </row>
    <row r="1555" spans="1:5" x14ac:dyDescent="0.25">
      <c r="A1555" s="13">
        <v>79612644</v>
      </c>
      <c r="B1555" s="11" t="s">
        <v>84</v>
      </c>
      <c r="C1555" s="1" t="s">
        <v>714</v>
      </c>
      <c r="D1555" s="1" t="s">
        <v>38</v>
      </c>
      <c r="E1555" s="1" t="s">
        <v>14</v>
      </c>
    </row>
    <row r="1556" spans="1:5" x14ac:dyDescent="0.25">
      <c r="A1556" s="13">
        <v>79616162</v>
      </c>
      <c r="B1556" s="11" t="s">
        <v>109</v>
      </c>
      <c r="C1556" s="1" t="s">
        <v>713</v>
      </c>
      <c r="D1556" s="1" t="s">
        <v>131</v>
      </c>
      <c r="E1556" s="1" t="s">
        <v>131</v>
      </c>
    </row>
    <row r="1557" spans="1:5" x14ac:dyDescent="0.25">
      <c r="A1557" s="13">
        <v>79618578</v>
      </c>
      <c r="B1557" s="11" t="s">
        <v>116</v>
      </c>
      <c r="C1557" s="1" t="s">
        <v>712</v>
      </c>
      <c r="D1557" s="1" t="s">
        <v>117</v>
      </c>
      <c r="E1557" s="1" t="s">
        <v>232</v>
      </c>
    </row>
    <row r="1558" spans="1:5" x14ac:dyDescent="0.25">
      <c r="A1558" s="13">
        <v>79619328</v>
      </c>
      <c r="B1558" s="11" t="s">
        <v>84</v>
      </c>
      <c r="C1558" s="1" t="s">
        <v>711</v>
      </c>
      <c r="D1558" s="1" t="s">
        <v>172</v>
      </c>
      <c r="E1558" s="1" t="s">
        <v>134</v>
      </c>
    </row>
    <row r="1559" spans="1:5" x14ac:dyDescent="0.25">
      <c r="A1559" s="13">
        <v>79620054</v>
      </c>
      <c r="B1559" s="11" t="s">
        <v>84</v>
      </c>
      <c r="C1559" s="1" t="s">
        <v>3568</v>
      </c>
      <c r="D1559" s="1" t="s">
        <v>38</v>
      </c>
      <c r="E1559" s="1" t="s">
        <v>10</v>
      </c>
    </row>
    <row r="1560" spans="1:5" x14ac:dyDescent="0.25">
      <c r="A1560" s="13">
        <v>79624189</v>
      </c>
      <c r="B1560" s="11" t="s">
        <v>84</v>
      </c>
      <c r="C1560" s="1" t="s">
        <v>709</v>
      </c>
      <c r="D1560" s="1" t="s">
        <v>710</v>
      </c>
      <c r="E1560" s="1" t="s">
        <v>22</v>
      </c>
    </row>
    <row r="1561" spans="1:5" x14ac:dyDescent="0.25">
      <c r="A1561" s="13">
        <v>79624306</v>
      </c>
      <c r="B1561" s="11" t="s">
        <v>83</v>
      </c>
      <c r="C1561" s="1" t="s">
        <v>3257</v>
      </c>
      <c r="D1561" s="1" t="s">
        <v>378</v>
      </c>
      <c r="E1561" s="1" t="s">
        <v>16</v>
      </c>
    </row>
    <row r="1562" spans="1:5" x14ac:dyDescent="0.25">
      <c r="A1562" s="13">
        <v>79624784</v>
      </c>
      <c r="B1562" s="11" t="s">
        <v>116</v>
      </c>
      <c r="C1562" s="1" t="s">
        <v>708</v>
      </c>
      <c r="D1562" s="1" t="s">
        <v>117</v>
      </c>
      <c r="E1562" s="1" t="s">
        <v>210</v>
      </c>
    </row>
    <row r="1563" spans="1:5" x14ac:dyDescent="0.25">
      <c r="A1563" s="13">
        <v>79625429</v>
      </c>
      <c r="B1563" s="11" t="s">
        <v>116</v>
      </c>
      <c r="C1563" s="1" t="s">
        <v>707</v>
      </c>
      <c r="D1563" s="1" t="s">
        <v>117</v>
      </c>
      <c r="E1563" s="1" t="s">
        <v>8</v>
      </c>
    </row>
    <row r="1564" spans="1:5" x14ac:dyDescent="0.25">
      <c r="A1564" s="13">
        <v>79627916</v>
      </c>
      <c r="B1564" s="11" t="s">
        <v>84</v>
      </c>
      <c r="C1564" s="1" t="s">
        <v>706</v>
      </c>
      <c r="D1564" s="1" t="s">
        <v>43</v>
      </c>
      <c r="E1564" s="1" t="s">
        <v>10</v>
      </c>
    </row>
    <row r="1565" spans="1:5" x14ac:dyDescent="0.25">
      <c r="A1565" s="13">
        <v>79632750</v>
      </c>
      <c r="B1565" s="11" t="s">
        <v>84</v>
      </c>
      <c r="C1565" s="1" t="s">
        <v>705</v>
      </c>
      <c r="D1565" s="1" t="s">
        <v>43</v>
      </c>
      <c r="E1565" s="1" t="s">
        <v>147</v>
      </c>
    </row>
    <row r="1566" spans="1:5" x14ac:dyDescent="0.25">
      <c r="A1566" s="13">
        <v>79633867</v>
      </c>
      <c r="B1566" s="11" t="s">
        <v>84</v>
      </c>
      <c r="C1566" s="1" t="s">
        <v>704</v>
      </c>
      <c r="D1566" s="1" t="s">
        <v>38</v>
      </c>
      <c r="E1566" s="1" t="s">
        <v>12</v>
      </c>
    </row>
    <row r="1567" spans="1:5" x14ac:dyDescent="0.25">
      <c r="A1567" s="13">
        <v>79634958</v>
      </c>
      <c r="B1567" s="11" t="s">
        <v>84</v>
      </c>
      <c r="C1567" s="1" t="s">
        <v>703</v>
      </c>
      <c r="D1567" s="1" t="s">
        <v>52</v>
      </c>
      <c r="E1567" s="1" t="s">
        <v>22</v>
      </c>
    </row>
    <row r="1568" spans="1:5" x14ac:dyDescent="0.25">
      <c r="A1568" s="13">
        <v>79636935</v>
      </c>
      <c r="B1568" s="11" t="s">
        <v>116</v>
      </c>
      <c r="C1568" s="1" t="s">
        <v>702</v>
      </c>
      <c r="D1568" s="1" t="s">
        <v>117</v>
      </c>
      <c r="E1568" s="1" t="s">
        <v>186</v>
      </c>
    </row>
    <row r="1569" spans="1:5" x14ac:dyDescent="0.25">
      <c r="A1569" s="13">
        <v>79638510</v>
      </c>
      <c r="B1569" s="11" t="s">
        <v>84</v>
      </c>
      <c r="C1569" s="1" t="s">
        <v>3258</v>
      </c>
      <c r="D1569" s="1" t="s">
        <v>38</v>
      </c>
      <c r="E1569" s="1" t="s">
        <v>3</v>
      </c>
    </row>
    <row r="1570" spans="1:5" x14ac:dyDescent="0.25">
      <c r="A1570" s="13">
        <v>79638883</v>
      </c>
      <c r="B1570" s="11" t="s">
        <v>116</v>
      </c>
      <c r="C1570" s="1" t="s">
        <v>701</v>
      </c>
      <c r="D1570" s="1" t="s">
        <v>117</v>
      </c>
      <c r="E1570" s="1" t="s">
        <v>127</v>
      </c>
    </row>
    <row r="1571" spans="1:5" x14ac:dyDescent="0.25">
      <c r="A1571" s="13">
        <v>79639365</v>
      </c>
      <c r="B1571" s="11" t="s">
        <v>83</v>
      </c>
      <c r="C1571" s="1" t="s">
        <v>3259</v>
      </c>
      <c r="D1571" s="1" t="s">
        <v>57</v>
      </c>
      <c r="E1571" s="1" t="s">
        <v>23</v>
      </c>
    </row>
    <row r="1572" spans="1:5" x14ac:dyDescent="0.25">
      <c r="A1572" s="13">
        <v>79639431</v>
      </c>
      <c r="B1572" s="11" t="s">
        <v>84</v>
      </c>
      <c r="C1572" s="1" t="s">
        <v>700</v>
      </c>
      <c r="D1572" s="1" t="s">
        <v>38</v>
      </c>
      <c r="E1572" s="1" t="s">
        <v>2</v>
      </c>
    </row>
    <row r="1573" spans="1:5" x14ac:dyDescent="0.25">
      <c r="A1573" s="13">
        <v>79640130</v>
      </c>
      <c r="B1573" s="11" t="s">
        <v>84</v>
      </c>
      <c r="C1573" s="1" t="s">
        <v>699</v>
      </c>
      <c r="D1573" s="1" t="s">
        <v>203</v>
      </c>
      <c r="E1573" s="1" t="s">
        <v>12</v>
      </c>
    </row>
    <row r="1574" spans="1:5" x14ac:dyDescent="0.25">
      <c r="A1574" s="13">
        <v>79641444</v>
      </c>
      <c r="B1574" s="11" t="s">
        <v>84</v>
      </c>
      <c r="C1574" s="1" t="s">
        <v>3260</v>
      </c>
      <c r="D1574" s="1" t="s">
        <v>38</v>
      </c>
      <c r="E1574" s="1" t="s">
        <v>3211</v>
      </c>
    </row>
    <row r="1575" spans="1:5" x14ac:dyDescent="0.25">
      <c r="A1575" s="13">
        <v>79641853</v>
      </c>
      <c r="B1575" s="11" t="s">
        <v>116</v>
      </c>
      <c r="C1575" s="1" t="s">
        <v>698</v>
      </c>
      <c r="D1575" s="1" t="s">
        <v>117</v>
      </c>
      <c r="E1575" s="1" t="s">
        <v>491</v>
      </c>
    </row>
    <row r="1576" spans="1:5" x14ac:dyDescent="0.25">
      <c r="A1576" s="13">
        <v>79643969</v>
      </c>
      <c r="B1576" s="11" t="s">
        <v>109</v>
      </c>
      <c r="C1576" s="1" t="s">
        <v>697</v>
      </c>
      <c r="D1576" s="1" t="s">
        <v>131</v>
      </c>
      <c r="E1576" s="1" t="s">
        <v>131</v>
      </c>
    </row>
    <row r="1577" spans="1:5" x14ac:dyDescent="0.25">
      <c r="A1577" s="13">
        <v>79644814</v>
      </c>
      <c r="B1577" s="11" t="s">
        <v>116</v>
      </c>
      <c r="C1577" s="1" t="s">
        <v>696</v>
      </c>
      <c r="D1577" s="1" t="s">
        <v>117</v>
      </c>
      <c r="E1577" s="1" t="s">
        <v>86</v>
      </c>
    </row>
    <row r="1578" spans="1:5" x14ac:dyDescent="0.25">
      <c r="A1578" s="13">
        <v>79646296</v>
      </c>
      <c r="B1578" s="11" t="s">
        <v>109</v>
      </c>
      <c r="C1578" s="1" t="s">
        <v>695</v>
      </c>
      <c r="D1578" s="1" t="s">
        <v>131</v>
      </c>
      <c r="E1578" s="1" t="s">
        <v>131</v>
      </c>
    </row>
    <row r="1579" spans="1:5" x14ac:dyDescent="0.25">
      <c r="A1579" s="13">
        <v>79647244</v>
      </c>
      <c r="B1579" s="11" t="s">
        <v>84</v>
      </c>
      <c r="C1579" s="1" t="s">
        <v>694</v>
      </c>
      <c r="D1579" s="1" t="s">
        <v>38</v>
      </c>
      <c r="E1579" s="1" t="s">
        <v>168</v>
      </c>
    </row>
    <row r="1580" spans="1:5" x14ac:dyDescent="0.25">
      <c r="A1580" s="13">
        <v>79649779</v>
      </c>
      <c r="B1580" s="11" t="s">
        <v>116</v>
      </c>
      <c r="C1580" s="1" t="s">
        <v>693</v>
      </c>
      <c r="D1580" s="1" t="s">
        <v>117</v>
      </c>
      <c r="E1580" s="1" t="s">
        <v>263</v>
      </c>
    </row>
    <row r="1581" spans="1:5" x14ac:dyDescent="0.25">
      <c r="A1581" s="13">
        <v>79650707</v>
      </c>
      <c r="B1581" s="11" t="s">
        <v>84</v>
      </c>
      <c r="C1581" s="1" t="s">
        <v>692</v>
      </c>
      <c r="D1581" s="1" t="s">
        <v>38</v>
      </c>
      <c r="E1581" s="1" t="s">
        <v>186</v>
      </c>
    </row>
    <row r="1582" spans="1:5" x14ac:dyDescent="0.25">
      <c r="A1582" s="13">
        <v>79651265</v>
      </c>
      <c r="B1582" s="11" t="s">
        <v>116</v>
      </c>
      <c r="C1582" s="1" t="s">
        <v>691</v>
      </c>
      <c r="D1582" s="1" t="s">
        <v>151</v>
      </c>
      <c r="E1582" s="1" t="s">
        <v>17</v>
      </c>
    </row>
    <row r="1583" spans="1:5" x14ac:dyDescent="0.25">
      <c r="A1583" s="13">
        <v>79651283</v>
      </c>
      <c r="B1583" s="11" t="s">
        <v>116</v>
      </c>
      <c r="C1583" s="1" t="s">
        <v>690</v>
      </c>
      <c r="D1583" s="1" t="s">
        <v>117</v>
      </c>
      <c r="E1583" s="1" t="s">
        <v>127</v>
      </c>
    </row>
    <row r="1584" spans="1:5" x14ac:dyDescent="0.25">
      <c r="A1584" s="13">
        <v>79652627</v>
      </c>
      <c r="B1584" s="11" t="s">
        <v>116</v>
      </c>
      <c r="C1584" s="1" t="s">
        <v>689</v>
      </c>
      <c r="D1584" s="1" t="s">
        <v>117</v>
      </c>
      <c r="E1584" s="1" t="s">
        <v>205</v>
      </c>
    </row>
    <row r="1585" spans="1:5" x14ac:dyDescent="0.25">
      <c r="A1585" s="13">
        <v>79653534</v>
      </c>
      <c r="B1585" s="11" t="s">
        <v>116</v>
      </c>
      <c r="C1585" s="1" t="s">
        <v>688</v>
      </c>
      <c r="D1585" s="1" t="s">
        <v>117</v>
      </c>
      <c r="E1585" s="1" t="s">
        <v>6</v>
      </c>
    </row>
    <row r="1586" spans="1:5" x14ac:dyDescent="0.25">
      <c r="A1586" s="13">
        <v>79653608</v>
      </c>
      <c r="B1586" s="11" t="s">
        <v>116</v>
      </c>
      <c r="C1586" s="1" t="s">
        <v>687</v>
      </c>
      <c r="D1586" s="1" t="s">
        <v>117</v>
      </c>
      <c r="E1586" s="1" t="s">
        <v>10</v>
      </c>
    </row>
    <row r="1587" spans="1:5" x14ac:dyDescent="0.25">
      <c r="A1587" s="13">
        <v>79654154</v>
      </c>
      <c r="B1587" s="11" t="s">
        <v>84</v>
      </c>
      <c r="C1587" s="1" t="s">
        <v>3569</v>
      </c>
      <c r="D1587" s="1" t="s">
        <v>43</v>
      </c>
      <c r="E1587" s="1" t="s">
        <v>7</v>
      </c>
    </row>
    <row r="1588" spans="1:5" x14ac:dyDescent="0.25">
      <c r="A1588" s="13">
        <v>79655127</v>
      </c>
      <c r="B1588" s="11" t="s">
        <v>109</v>
      </c>
      <c r="C1588" s="1" t="s">
        <v>686</v>
      </c>
      <c r="D1588" s="1" t="s">
        <v>131</v>
      </c>
      <c r="E1588" s="1" t="s">
        <v>131</v>
      </c>
    </row>
    <row r="1589" spans="1:5" x14ac:dyDescent="0.25">
      <c r="A1589" s="13">
        <v>79655160</v>
      </c>
      <c r="B1589" s="11" t="s">
        <v>83</v>
      </c>
      <c r="C1589" s="1" t="s">
        <v>683</v>
      </c>
      <c r="D1589" s="1" t="s">
        <v>684</v>
      </c>
      <c r="E1589" s="1" t="s">
        <v>685</v>
      </c>
    </row>
    <row r="1590" spans="1:5" x14ac:dyDescent="0.25">
      <c r="A1590" s="13">
        <v>79655459</v>
      </c>
      <c r="B1590" s="11" t="s">
        <v>84</v>
      </c>
      <c r="C1590" s="1" t="s">
        <v>682</v>
      </c>
      <c r="D1590" s="1" t="s">
        <v>38</v>
      </c>
      <c r="E1590" s="1" t="s">
        <v>8</v>
      </c>
    </row>
    <row r="1591" spans="1:5" x14ac:dyDescent="0.25">
      <c r="A1591" s="13">
        <v>79657404</v>
      </c>
      <c r="B1591" s="11" t="s">
        <v>116</v>
      </c>
      <c r="C1591" s="1" t="s">
        <v>681</v>
      </c>
      <c r="D1591" s="1" t="s">
        <v>117</v>
      </c>
      <c r="E1591" s="1" t="s">
        <v>10</v>
      </c>
    </row>
    <row r="1592" spans="1:5" x14ac:dyDescent="0.25">
      <c r="A1592" s="13">
        <v>79657603</v>
      </c>
      <c r="B1592" s="11" t="s">
        <v>116</v>
      </c>
      <c r="C1592" s="1" t="s">
        <v>680</v>
      </c>
      <c r="D1592" s="1" t="s">
        <v>117</v>
      </c>
      <c r="E1592" s="1" t="s">
        <v>120</v>
      </c>
    </row>
    <row r="1593" spans="1:5" x14ac:dyDescent="0.25">
      <c r="A1593" s="13">
        <v>79658008</v>
      </c>
      <c r="B1593" s="11" t="s">
        <v>116</v>
      </c>
      <c r="C1593" s="1" t="s">
        <v>679</v>
      </c>
      <c r="D1593" s="1" t="s">
        <v>117</v>
      </c>
      <c r="E1593" s="1" t="s">
        <v>11</v>
      </c>
    </row>
    <row r="1594" spans="1:5" x14ac:dyDescent="0.25">
      <c r="A1594" s="13">
        <v>79658392</v>
      </c>
      <c r="B1594" s="11" t="s">
        <v>84</v>
      </c>
      <c r="C1594" s="1" t="s">
        <v>678</v>
      </c>
      <c r="D1594" s="1" t="s">
        <v>38</v>
      </c>
      <c r="E1594" s="1" t="s">
        <v>232</v>
      </c>
    </row>
    <row r="1595" spans="1:5" x14ac:dyDescent="0.25">
      <c r="A1595" s="13">
        <v>79659668</v>
      </c>
      <c r="B1595" s="11" t="s">
        <v>84</v>
      </c>
      <c r="C1595" s="1" t="s">
        <v>676</v>
      </c>
      <c r="D1595" s="1" t="s">
        <v>677</v>
      </c>
      <c r="E1595" s="1" t="s">
        <v>237</v>
      </c>
    </row>
    <row r="1596" spans="1:5" x14ac:dyDescent="0.25">
      <c r="A1596" s="13">
        <v>79661847</v>
      </c>
      <c r="B1596" s="11" t="s">
        <v>116</v>
      </c>
      <c r="C1596" s="1" t="s">
        <v>675</v>
      </c>
      <c r="D1596" s="1" t="s">
        <v>117</v>
      </c>
      <c r="E1596" s="1" t="s">
        <v>232</v>
      </c>
    </row>
    <row r="1597" spans="1:5" x14ac:dyDescent="0.25">
      <c r="A1597" s="13">
        <v>79667746</v>
      </c>
      <c r="B1597" s="11" t="s">
        <v>83</v>
      </c>
      <c r="C1597" s="1" t="s">
        <v>3570</v>
      </c>
      <c r="D1597" s="1" t="s">
        <v>290</v>
      </c>
      <c r="E1597" s="1" t="s">
        <v>23</v>
      </c>
    </row>
    <row r="1598" spans="1:5" x14ac:dyDescent="0.25">
      <c r="A1598" s="13">
        <v>79671115</v>
      </c>
      <c r="B1598" s="11" t="s">
        <v>84</v>
      </c>
      <c r="C1598" s="1" t="s">
        <v>674</v>
      </c>
      <c r="D1598" s="1" t="s">
        <v>38</v>
      </c>
      <c r="E1598" s="1" t="s">
        <v>173</v>
      </c>
    </row>
    <row r="1599" spans="1:5" x14ac:dyDescent="0.25">
      <c r="A1599" s="13">
        <v>79671274</v>
      </c>
      <c r="B1599" s="11" t="s">
        <v>84</v>
      </c>
      <c r="C1599" s="1" t="s">
        <v>673</v>
      </c>
      <c r="D1599" s="1" t="s">
        <v>38</v>
      </c>
      <c r="E1599" s="1" t="s">
        <v>12</v>
      </c>
    </row>
    <row r="1600" spans="1:5" x14ac:dyDescent="0.25">
      <c r="A1600" s="13">
        <v>79671316</v>
      </c>
      <c r="B1600" s="11" t="s">
        <v>116</v>
      </c>
      <c r="C1600" s="1" t="s">
        <v>672</v>
      </c>
      <c r="D1600" s="1" t="s">
        <v>117</v>
      </c>
      <c r="E1600" s="1" t="s">
        <v>232</v>
      </c>
    </row>
    <row r="1601" spans="1:5" x14ac:dyDescent="0.25">
      <c r="A1601" s="13">
        <v>79671973</v>
      </c>
      <c r="B1601" s="11" t="s">
        <v>116</v>
      </c>
      <c r="C1601" s="1" t="s">
        <v>671</v>
      </c>
      <c r="D1601" s="1" t="s">
        <v>117</v>
      </c>
      <c r="E1601" s="1" t="s">
        <v>10</v>
      </c>
    </row>
    <row r="1602" spans="1:5" x14ac:dyDescent="0.25">
      <c r="A1602" s="13">
        <v>79683041</v>
      </c>
      <c r="B1602" s="11" t="s">
        <v>116</v>
      </c>
      <c r="C1602" s="1" t="s">
        <v>670</v>
      </c>
      <c r="D1602" s="1" t="s">
        <v>117</v>
      </c>
      <c r="E1602" s="1" t="s">
        <v>417</v>
      </c>
    </row>
    <row r="1603" spans="1:5" x14ac:dyDescent="0.25">
      <c r="A1603" s="13">
        <v>79683090</v>
      </c>
      <c r="B1603" s="11" t="s">
        <v>116</v>
      </c>
      <c r="C1603" s="1" t="s">
        <v>669</v>
      </c>
      <c r="D1603" s="1" t="s">
        <v>117</v>
      </c>
      <c r="E1603" s="1" t="s">
        <v>6</v>
      </c>
    </row>
    <row r="1604" spans="1:5" x14ac:dyDescent="0.25">
      <c r="A1604" s="13">
        <v>79683120</v>
      </c>
      <c r="B1604" s="11" t="s">
        <v>83</v>
      </c>
      <c r="C1604" s="1" t="s">
        <v>667</v>
      </c>
      <c r="D1604" s="1" t="s">
        <v>48</v>
      </c>
      <c r="E1604" s="1" t="s">
        <v>668</v>
      </c>
    </row>
    <row r="1605" spans="1:5" x14ac:dyDescent="0.25">
      <c r="A1605" s="13">
        <v>79683712</v>
      </c>
      <c r="B1605" s="11" t="s">
        <v>116</v>
      </c>
      <c r="C1605" s="1" t="s">
        <v>3571</v>
      </c>
      <c r="D1605" s="1" t="s">
        <v>117</v>
      </c>
      <c r="E1605" s="1" t="s">
        <v>3192</v>
      </c>
    </row>
    <row r="1606" spans="1:5" x14ac:dyDescent="0.25">
      <c r="A1606" s="13">
        <v>79687351</v>
      </c>
      <c r="B1606" s="11" t="s">
        <v>84</v>
      </c>
      <c r="C1606" s="1" t="s">
        <v>666</v>
      </c>
      <c r="D1606" s="1" t="s">
        <v>38</v>
      </c>
      <c r="E1606" s="1" t="s">
        <v>6</v>
      </c>
    </row>
    <row r="1607" spans="1:5" x14ac:dyDescent="0.25">
      <c r="A1607" s="13">
        <v>79688380</v>
      </c>
      <c r="B1607" s="11" t="s">
        <v>116</v>
      </c>
      <c r="C1607" s="1" t="s">
        <v>665</v>
      </c>
      <c r="D1607" s="1" t="s">
        <v>117</v>
      </c>
      <c r="E1607" s="1" t="s">
        <v>333</v>
      </c>
    </row>
    <row r="1608" spans="1:5" x14ac:dyDescent="0.25">
      <c r="A1608" s="13">
        <v>79688864</v>
      </c>
      <c r="B1608" s="11" t="s">
        <v>116</v>
      </c>
      <c r="C1608" s="1" t="s">
        <v>664</v>
      </c>
      <c r="D1608" s="1" t="s">
        <v>117</v>
      </c>
      <c r="E1608" s="1" t="s">
        <v>8</v>
      </c>
    </row>
    <row r="1609" spans="1:5" x14ac:dyDescent="0.25">
      <c r="A1609" s="13">
        <v>79689262</v>
      </c>
      <c r="B1609" s="11" t="s">
        <v>116</v>
      </c>
      <c r="C1609" s="1" t="s">
        <v>663</v>
      </c>
      <c r="D1609" s="1" t="s">
        <v>117</v>
      </c>
      <c r="E1609" s="1" t="s">
        <v>11</v>
      </c>
    </row>
    <row r="1610" spans="1:5" x14ac:dyDescent="0.25">
      <c r="A1610" s="13">
        <v>79690376</v>
      </c>
      <c r="B1610" s="11" t="s">
        <v>116</v>
      </c>
      <c r="C1610" s="1" t="s">
        <v>662</v>
      </c>
      <c r="D1610" s="1" t="s">
        <v>117</v>
      </c>
      <c r="E1610" s="1" t="s">
        <v>342</v>
      </c>
    </row>
    <row r="1611" spans="1:5" x14ac:dyDescent="0.25">
      <c r="A1611" s="13">
        <v>79690836</v>
      </c>
      <c r="B1611" s="11" t="s">
        <v>83</v>
      </c>
      <c r="C1611" s="1" t="s">
        <v>661</v>
      </c>
      <c r="D1611" s="1" t="s">
        <v>95</v>
      </c>
      <c r="E1611" s="1" t="s">
        <v>19</v>
      </c>
    </row>
    <row r="1612" spans="1:5" x14ac:dyDescent="0.25">
      <c r="A1612" s="13">
        <v>79691406</v>
      </c>
      <c r="B1612" s="11" t="s">
        <v>84</v>
      </c>
      <c r="C1612" s="1" t="s">
        <v>660</v>
      </c>
      <c r="D1612" s="1" t="s">
        <v>38</v>
      </c>
      <c r="E1612" s="1" t="s">
        <v>8</v>
      </c>
    </row>
    <row r="1613" spans="1:5" x14ac:dyDescent="0.25">
      <c r="A1613" s="13">
        <v>79695370</v>
      </c>
      <c r="B1613" s="11" t="s">
        <v>116</v>
      </c>
      <c r="C1613" s="1" t="s">
        <v>659</v>
      </c>
      <c r="D1613" s="1" t="s">
        <v>117</v>
      </c>
      <c r="E1613" s="1" t="s">
        <v>232</v>
      </c>
    </row>
    <row r="1614" spans="1:5" x14ac:dyDescent="0.25">
      <c r="A1614" s="13">
        <v>79695792</v>
      </c>
      <c r="B1614" s="11" t="s">
        <v>116</v>
      </c>
      <c r="C1614" s="1" t="s">
        <v>658</v>
      </c>
      <c r="D1614" s="1" t="s">
        <v>117</v>
      </c>
      <c r="E1614" s="1" t="s">
        <v>263</v>
      </c>
    </row>
    <row r="1615" spans="1:5" x14ac:dyDescent="0.25">
      <c r="A1615" s="13">
        <v>79697247</v>
      </c>
      <c r="B1615" s="11" t="s">
        <v>116</v>
      </c>
      <c r="C1615" s="1" t="s">
        <v>657</v>
      </c>
      <c r="D1615" s="1" t="s">
        <v>117</v>
      </c>
      <c r="E1615" s="1" t="s">
        <v>8</v>
      </c>
    </row>
    <row r="1616" spans="1:5" x14ac:dyDescent="0.25">
      <c r="A1616" s="13">
        <v>79698187</v>
      </c>
      <c r="B1616" s="11" t="s">
        <v>84</v>
      </c>
      <c r="C1616" s="1" t="s">
        <v>656</v>
      </c>
      <c r="D1616" s="1" t="s">
        <v>43</v>
      </c>
      <c r="E1616" s="1" t="s">
        <v>6</v>
      </c>
    </row>
    <row r="1617" spans="1:5" x14ac:dyDescent="0.25">
      <c r="A1617" s="13">
        <v>79699377</v>
      </c>
      <c r="B1617" s="11" t="s">
        <v>116</v>
      </c>
      <c r="C1617" s="1" t="s">
        <v>655</v>
      </c>
      <c r="D1617" s="1" t="s">
        <v>117</v>
      </c>
      <c r="E1617" s="1" t="s">
        <v>12</v>
      </c>
    </row>
    <row r="1618" spans="1:5" x14ac:dyDescent="0.25">
      <c r="A1618" s="13">
        <v>79701887</v>
      </c>
      <c r="B1618" s="11" t="s">
        <v>83</v>
      </c>
      <c r="C1618" s="1" t="s">
        <v>653</v>
      </c>
      <c r="D1618" s="1" t="s">
        <v>654</v>
      </c>
      <c r="E1618" s="1" t="s">
        <v>20</v>
      </c>
    </row>
    <row r="1619" spans="1:5" x14ac:dyDescent="0.25">
      <c r="A1619" s="13">
        <v>79703234</v>
      </c>
      <c r="B1619" s="11" t="s">
        <v>109</v>
      </c>
      <c r="C1619" s="1" t="s">
        <v>652</v>
      </c>
      <c r="D1619" s="1" t="s">
        <v>131</v>
      </c>
      <c r="E1619" s="1" t="s">
        <v>131</v>
      </c>
    </row>
    <row r="1620" spans="1:5" x14ac:dyDescent="0.25">
      <c r="A1620" s="13">
        <v>79703709</v>
      </c>
      <c r="B1620" s="11" t="s">
        <v>116</v>
      </c>
      <c r="C1620" s="1" t="s">
        <v>651</v>
      </c>
      <c r="D1620" s="1" t="s">
        <v>117</v>
      </c>
      <c r="E1620" s="1" t="s">
        <v>7</v>
      </c>
    </row>
    <row r="1621" spans="1:5" x14ac:dyDescent="0.25">
      <c r="A1621" s="13">
        <v>79704152</v>
      </c>
      <c r="B1621" s="11" t="s">
        <v>84</v>
      </c>
      <c r="C1621" s="1" t="s">
        <v>650</v>
      </c>
      <c r="D1621" s="1" t="s">
        <v>52</v>
      </c>
      <c r="E1621" s="1" t="s">
        <v>3572</v>
      </c>
    </row>
    <row r="1622" spans="1:5" x14ac:dyDescent="0.25">
      <c r="A1622" s="13">
        <v>79704225</v>
      </c>
      <c r="B1622" s="11" t="s">
        <v>109</v>
      </c>
      <c r="C1622" s="1" t="s">
        <v>649</v>
      </c>
      <c r="D1622" s="1" t="s">
        <v>131</v>
      </c>
      <c r="E1622" s="1" t="s">
        <v>131</v>
      </c>
    </row>
    <row r="1623" spans="1:5" x14ac:dyDescent="0.25">
      <c r="A1623" s="13">
        <v>79704600</v>
      </c>
      <c r="B1623" s="11" t="s">
        <v>116</v>
      </c>
      <c r="C1623" s="1" t="s">
        <v>648</v>
      </c>
      <c r="D1623" s="1" t="s">
        <v>117</v>
      </c>
      <c r="E1623" s="1" t="s">
        <v>6</v>
      </c>
    </row>
    <row r="1624" spans="1:5" x14ac:dyDescent="0.25">
      <c r="A1624" s="13">
        <v>79708143</v>
      </c>
      <c r="B1624" s="11" t="s">
        <v>116</v>
      </c>
      <c r="C1624" s="1" t="s">
        <v>647</v>
      </c>
      <c r="D1624" s="1" t="s">
        <v>117</v>
      </c>
      <c r="E1624" s="1" t="s">
        <v>147</v>
      </c>
    </row>
    <row r="1625" spans="1:5" x14ac:dyDescent="0.25">
      <c r="A1625" s="13">
        <v>79708538</v>
      </c>
      <c r="B1625" s="11" t="s">
        <v>116</v>
      </c>
      <c r="C1625" s="1" t="s">
        <v>646</v>
      </c>
      <c r="D1625" s="1" t="s">
        <v>151</v>
      </c>
      <c r="E1625" s="1" t="s">
        <v>152</v>
      </c>
    </row>
    <row r="1626" spans="1:5" x14ac:dyDescent="0.25">
      <c r="A1626" s="13">
        <v>79710066</v>
      </c>
      <c r="B1626" s="11" t="s">
        <v>83</v>
      </c>
      <c r="C1626" s="1" t="s">
        <v>644</v>
      </c>
      <c r="D1626" s="1" t="s">
        <v>645</v>
      </c>
      <c r="E1626" s="1" t="s">
        <v>300</v>
      </c>
    </row>
    <row r="1627" spans="1:5" x14ac:dyDescent="0.25">
      <c r="A1627" s="13">
        <v>79710561</v>
      </c>
      <c r="B1627" s="11" t="s">
        <v>84</v>
      </c>
      <c r="C1627" s="1" t="s">
        <v>643</v>
      </c>
      <c r="D1627" s="1" t="s">
        <v>38</v>
      </c>
      <c r="E1627" s="1" t="s">
        <v>11</v>
      </c>
    </row>
    <row r="1628" spans="1:5" x14ac:dyDescent="0.25">
      <c r="A1628" s="13">
        <v>79710696</v>
      </c>
      <c r="B1628" s="11" t="s">
        <v>109</v>
      </c>
      <c r="C1628" s="1" t="s">
        <v>642</v>
      </c>
      <c r="D1628" s="1" t="s">
        <v>131</v>
      </c>
      <c r="E1628" s="1" t="s">
        <v>131</v>
      </c>
    </row>
    <row r="1629" spans="1:5" x14ac:dyDescent="0.25">
      <c r="A1629" s="13">
        <v>79712147</v>
      </c>
      <c r="B1629" s="11" t="s">
        <v>116</v>
      </c>
      <c r="C1629" s="1" t="s">
        <v>641</v>
      </c>
      <c r="D1629" s="1" t="s">
        <v>117</v>
      </c>
      <c r="E1629" s="1" t="s">
        <v>10</v>
      </c>
    </row>
    <row r="1630" spans="1:5" x14ac:dyDescent="0.25">
      <c r="A1630" s="13">
        <v>79713697</v>
      </c>
      <c r="B1630" s="11" t="s">
        <v>116</v>
      </c>
      <c r="C1630" s="1" t="s">
        <v>640</v>
      </c>
      <c r="D1630" s="1" t="s">
        <v>117</v>
      </c>
      <c r="E1630" s="1" t="s">
        <v>8</v>
      </c>
    </row>
    <row r="1631" spans="1:5" x14ac:dyDescent="0.25">
      <c r="A1631" s="13">
        <v>79713882</v>
      </c>
      <c r="B1631" s="11" t="s">
        <v>84</v>
      </c>
      <c r="C1631" s="1" t="s">
        <v>639</v>
      </c>
      <c r="D1631" s="1" t="s">
        <v>37</v>
      </c>
      <c r="E1631" s="1" t="s">
        <v>1439</v>
      </c>
    </row>
    <row r="1632" spans="1:5" x14ac:dyDescent="0.25">
      <c r="A1632" s="13">
        <v>79713993</v>
      </c>
      <c r="B1632" s="11" t="s">
        <v>116</v>
      </c>
      <c r="C1632" s="1" t="s">
        <v>3261</v>
      </c>
      <c r="D1632" s="1" t="s">
        <v>117</v>
      </c>
      <c r="E1632" s="1" t="s">
        <v>120</v>
      </c>
    </row>
    <row r="1633" spans="1:5" x14ac:dyDescent="0.25">
      <c r="A1633" s="13">
        <v>79714570</v>
      </c>
      <c r="B1633" s="11" t="s">
        <v>109</v>
      </c>
      <c r="C1633" s="1" t="s">
        <v>638</v>
      </c>
      <c r="D1633" s="1" t="s">
        <v>131</v>
      </c>
      <c r="E1633" s="1" t="s">
        <v>131</v>
      </c>
    </row>
    <row r="1634" spans="1:5" x14ac:dyDescent="0.25">
      <c r="A1634" s="13">
        <v>79714931</v>
      </c>
      <c r="B1634" s="11" t="s">
        <v>84</v>
      </c>
      <c r="C1634" s="1" t="s">
        <v>637</v>
      </c>
      <c r="D1634" s="1" t="s">
        <v>38</v>
      </c>
      <c r="E1634" s="1" t="s">
        <v>3121</v>
      </c>
    </row>
    <row r="1635" spans="1:5" x14ac:dyDescent="0.25">
      <c r="A1635" s="13">
        <v>79721742</v>
      </c>
      <c r="B1635" s="11" t="s">
        <v>84</v>
      </c>
      <c r="C1635" s="1" t="s">
        <v>636</v>
      </c>
      <c r="D1635" s="1" t="s">
        <v>43</v>
      </c>
      <c r="E1635" s="1" t="s">
        <v>328</v>
      </c>
    </row>
    <row r="1636" spans="1:5" x14ac:dyDescent="0.25">
      <c r="A1636" s="13">
        <v>79724027</v>
      </c>
      <c r="B1636" s="11" t="s">
        <v>116</v>
      </c>
      <c r="C1636" s="1" t="s">
        <v>635</v>
      </c>
      <c r="D1636" s="1" t="s">
        <v>117</v>
      </c>
      <c r="E1636" s="1" t="s">
        <v>11</v>
      </c>
    </row>
    <row r="1637" spans="1:5" x14ac:dyDescent="0.25">
      <c r="A1637" s="13">
        <v>79724771</v>
      </c>
      <c r="B1637" s="11" t="s">
        <v>84</v>
      </c>
      <c r="C1637" s="1" t="s">
        <v>634</v>
      </c>
      <c r="D1637" s="1" t="s">
        <v>38</v>
      </c>
      <c r="E1637" s="1" t="s">
        <v>13</v>
      </c>
    </row>
    <row r="1638" spans="1:5" x14ac:dyDescent="0.25">
      <c r="A1638" s="13">
        <v>79729563</v>
      </c>
      <c r="B1638" s="11" t="s">
        <v>109</v>
      </c>
      <c r="C1638" s="1" t="s">
        <v>633</v>
      </c>
      <c r="D1638" s="1" t="s">
        <v>131</v>
      </c>
      <c r="E1638" s="1" t="s">
        <v>131</v>
      </c>
    </row>
    <row r="1639" spans="1:5" x14ac:dyDescent="0.25">
      <c r="A1639" s="13">
        <v>79729653</v>
      </c>
      <c r="B1639" s="11" t="s">
        <v>84</v>
      </c>
      <c r="C1639" s="1" t="s">
        <v>632</v>
      </c>
      <c r="D1639" s="1" t="s">
        <v>43</v>
      </c>
      <c r="E1639" s="1" t="s">
        <v>417</v>
      </c>
    </row>
    <row r="1640" spans="1:5" x14ac:dyDescent="0.25">
      <c r="A1640" s="13">
        <v>79730691</v>
      </c>
      <c r="B1640" s="11" t="s">
        <v>84</v>
      </c>
      <c r="C1640" s="1" t="s">
        <v>3262</v>
      </c>
      <c r="D1640" s="1" t="s">
        <v>38</v>
      </c>
      <c r="E1640" s="1" t="s">
        <v>14</v>
      </c>
    </row>
    <row r="1641" spans="1:5" x14ac:dyDescent="0.25">
      <c r="A1641" s="13">
        <v>79731916</v>
      </c>
      <c r="B1641" s="11" t="s">
        <v>116</v>
      </c>
      <c r="C1641" s="1" t="s">
        <v>631</v>
      </c>
      <c r="D1641" s="1" t="s">
        <v>117</v>
      </c>
      <c r="E1641" s="1" t="s">
        <v>127</v>
      </c>
    </row>
    <row r="1642" spans="1:5" x14ac:dyDescent="0.25">
      <c r="A1642" s="13">
        <v>79732443</v>
      </c>
      <c r="B1642" s="11" t="s">
        <v>83</v>
      </c>
      <c r="C1642" s="1" t="s">
        <v>630</v>
      </c>
      <c r="D1642" s="1" t="s">
        <v>151</v>
      </c>
      <c r="E1642" s="1" t="s">
        <v>152</v>
      </c>
    </row>
    <row r="1643" spans="1:5" x14ac:dyDescent="0.25">
      <c r="A1643" s="13">
        <v>79733271</v>
      </c>
      <c r="B1643" s="11" t="s">
        <v>116</v>
      </c>
      <c r="C1643" s="1" t="s">
        <v>629</v>
      </c>
      <c r="D1643" s="1" t="s">
        <v>117</v>
      </c>
      <c r="E1643" s="1" t="s">
        <v>2</v>
      </c>
    </row>
    <row r="1644" spans="1:5" x14ac:dyDescent="0.25">
      <c r="A1644" s="13">
        <v>79733821</v>
      </c>
      <c r="B1644" s="11" t="s">
        <v>83</v>
      </c>
      <c r="C1644" s="1" t="s">
        <v>628</v>
      </c>
      <c r="D1644" s="1" t="s">
        <v>47</v>
      </c>
      <c r="E1644" s="1" t="s">
        <v>4</v>
      </c>
    </row>
    <row r="1645" spans="1:5" x14ac:dyDescent="0.25">
      <c r="A1645" s="13">
        <v>79734082</v>
      </c>
      <c r="B1645" s="11" t="s">
        <v>84</v>
      </c>
      <c r="C1645" s="1" t="s">
        <v>627</v>
      </c>
      <c r="D1645" s="1" t="s">
        <v>38</v>
      </c>
      <c r="E1645" s="1" t="s">
        <v>263</v>
      </c>
    </row>
    <row r="1646" spans="1:5" x14ac:dyDescent="0.25">
      <c r="A1646" s="13">
        <v>79734164</v>
      </c>
      <c r="B1646" s="11" t="s">
        <v>109</v>
      </c>
      <c r="C1646" s="1" t="s">
        <v>626</v>
      </c>
      <c r="D1646" s="1" t="s">
        <v>131</v>
      </c>
      <c r="E1646" s="1" t="s">
        <v>131</v>
      </c>
    </row>
    <row r="1647" spans="1:5" x14ac:dyDescent="0.25">
      <c r="A1647" s="13">
        <v>79737561</v>
      </c>
      <c r="B1647" s="11" t="s">
        <v>84</v>
      </c>
      <c r="C1647" s="1" t="s">
        <v>3676</v>
      </c>
      <c r="D1647" s="1" t="s">
        <v>43</v>
      </c>
      <c r="E1647" s="1" t="s">
        <v>3211</v>
      </c>
    </row>
    <row r="1648" spans="1:5" x14ac:dyDescent="0.25">
      <c r="A1648" s="13">
        <v>79738475</v>
      </c>
      <c r="B1648" s="11" t="s">
        <v>84</v>
      </c>
      <c r="C1648" s="1" t="s">
        <v>625</v>
      </c>
      <c r="D1648" s="1" t="s">
        <v>38</v>
      </c>
      <c r="E1648" s="1" t="s">
        <v>3</v>
      </c>
    </row>
    <row r="1649" spans="1:5" x14ac:dyDescent="0.25">
      <c r="A1649" s="13">
        <v>79740517</v>
      </c>
      <c r="B1649" s="11" t="s">
        <v>84</v>
      </c>
      <c r="C1649" s="1" t="s">
        <v>624</v>
      </c>
      <c r="D1649" s="1" t="s">
        <v>38</v>
      </c>
      <c r="E1649" s="1" t="s">
        <v>14</v>
      </c>
    </row>
    <row r="1650" spans="1:5" x14ac:dyDescent="0.25">
      <c r="A1650" s="13">
        <v>79740919</v>
      </c>
      <c r="B1650" s="11" t="s">
        <v>116</v>
      </c>
      <c r="C1650" s="1" t="s">
        <v>623</v>
      </c>
      <c r="D1650" s="1" t="s">
        <v>117</v>
      </c>
      <c r="E1650" s="1" t="s">
        <v>10</v>
      </c>
    </row>
    <row r="1651" spans="1:5" x14ac:dyDescent="0.25">
      <c r="A1651" s="13">
        <v>79742667</v>
      </c>
      <c r="B1651" s="11" t="s">
        <v>116</v>
      </c>
      <c r="C1651" s="1" t="s">
        <v>622</v>
      </c>
      <c r="D1651" s="1" t="s">
        <v>117</v>
      </c>
      <c r="E1651" s="1" t="s">
        <v>453</v>
      </c>
    </row>
    <row r="1652" spans="1:5" x14ac:dyDescent="0.25">
      <c r="A1652" s="13">
        <v>79742708</v>
      </c>
      <c r="B1652" s="11" t="s">
        <v>84</v>
      </c>
      <c r="C1652" s="1" t="s">
        <v>621</v>
      </c>
      <c r="D1652" s="1" t="s">
        <v>38</v>
      </c>
      <c r="E1652" s="1" t="s">
        <v>7</v>
      </c>
    </row>
    <row r="1653" spans="1:5" x14ac:dyDescent="0.25">
      <c r="A1653" s="13">
        <v>79743384</v>
      </c>
      <c r="B1653" s="11" t="s">
        <v>116</v>
      </c>
      <c r="C1653" s="1" t="s">
        <v>620</v>
      </c>
      <c r="D1653" s="1" t="s">
        <v>117</v>
      </c>
      <c r="E1653" s="1" t="s">
        <v>12</v>
      </c>
    </row>
    <row r="1654" spans="1:5" x14ac:dyDescent="0.25">
      <c r="A1654" s="13">
        <v>79745482</v>
      </c>
      <c r="B1654" s="11" t="s">
        <v>116</v>
      </c>
      <c r="C1654" s="1" t="s">
        <v>619</v>
      </c>
      <c r="D1654" s="1" t="s">
        <v>117</v>
      </c>
      <c r="E1654" s="1" t="s">
        <v>186</v>
      </c>
    </row>
    <row r="1655" spans="1:5" x14ac:dyDescent="0.25">
      <c r="A1655" s="13">
        <v>79745564</v>
      </c>
      <c r="B1655" s="11" t="s">
        <v>116</v>
      </c>
      <c r="C1655" s="1" t="s">
        <v>618</v>
      </c>
      <c r="D1655" s="1" t="s">
        <v>117</v>
      </c>
      <c r="E1655" s="1" t="s">
        <v>3192</v>
      </c>
    </row>
    <row r="1656" spans="1:5" x14ac:dyDescent="0.25">
      <c r="A1656" s="13">
        <v>79746018</v>
      </c>
      <c r="B1656" s="11" t="s">
        <v>116</v>
      </c>
      <c r="C1656" s="1" t="s">
        <v>617</v>
      </c>
      <c r="D1656" s="1" t="s">
        <v>117</v>
      </c>
      <c r="E1656" s="1" t="s">
        <v>147</v>
      </c>
    </row>
    <row r="1657" spans="1:5" x14ac:dyDescent="0.25">
      <c r="A1657" s="13">
        <v>79747179</v>
      </c>
      <c r="B1657" s="11" t="s">
        <v>116</v>
      </c>
      <c r="C1657" s="1" t="s">
        <v>616</v>
      </c>
      <c r="D1657" s="1" t="s">
        <v>117</v>
      </c>
      <c r="E1657" s="1" t="s">
        <v>6</v>
      </c>
    </row>
    <row r="1658" spans="1:5" x14ac:dyDescent="0.25">
      <c r="A1658" s="13">
        <v>79748116</v>
      </c>
      <c r="B1658" s="11" t="s">
        <v>84</v>
      </c>
      <c r="C1658" s="1" t="s">
        <v>615</v>
      </c>
      <c r="D1658" s="1" t="s">
        <v>38</v>
      </c>
      <c r="E1658" s="1" t="s">
        <v>127</v>
      </c>
    </row>
    <row r="1659" spans="1:5" x14ac:dyDescent="0.25">
      <c r="A1659" s="13">
        <v>79750413</v>
      </c>
      <c r="B1659" s="11" t="s">
        <v>84</v>
      </c>
      <c r="C1659" s="1" t="s">
        <v>614</v>
      </c>
      <c r="D1659" s="1" t="s">
        <v>38</v>
      </c>
      <c r="E1659" s="1" t="s">
        <v>12</v>
      </c>
    </row>
    <row r="1660" spans="1:5" x14ac:dyDescent="0.25">
      <c r="A1660" s="13">
        <v>79753573</v>
      </c>
      <c r="B1660" s="11" t="s">
        <v>116</v>
      </c>
      <c r="C1660" s="1" t="s">
        <v>613</v>
      </c>
      <c r="D1660" s="1" t="s">
        <v>117</v>
      </c>
      <c r="E1660" s="1" t="s">
        <v>8</v>
      </c>
    </row>
    <row r="1661" spans="1:5" x14ac:dyDescent="0.25">
      <c r="A1661" s="13">
        <v>79754285</v>
      </c>
      <c r="B1661" s="11" t="s">
        <v>116</v>
      </c>
      <c r="C1661" s="1" t="s">
        <v>612</v>
      </c>
      <c r="D1661" s="1" t="s">
        <v>117</v>
      </c>
      <c r="E1661" s="1" t="s">
        <v>6</v>
      </c>
    </row>
    <row r="1662" spans="1:5" x14ac:dyDescent="0.25">
      <c r="A1662" s="13">
        <v>79756777</v>
      </c>
      <c r="B1662" s="11" t="s">
        <v>116</v>
      </c>
      <c r="C1662" s="1" t="s">
        <v>611</v>
      </c>
      <c r="D1662" s="1" t="s">
        <v>117</v>
      </c>
      <c r="E1662" s="1" t="s">
        <v>8</v>
      </c>
    </row>
    <row r="1663" spans="1:5" x14ac:dyDescent="0.25">
      <c r="A1663" s="13">
        <v>79757109</v>
      </c>
      <c r="B1663" s="11" t="s">
        <v>116</v>
      </c>
      <c r="C1663" s="1" t="s">
        <v>610</v>
      </c>
      <c r="D1663" s="1" t="s">
        <v>117</v>
      </c>
      <c r="E1663" s="1" t="s">
        <v>453</v>
      </c>
    </row>
    <row r="1664" spans="1:5" x14ac:dyDescent="0.25">
      <c r="A1664" s="13">
        <v>79762509</v>
      </c>
      <c r="B1664" s="11" t="s">
        <v>116</v>
      </c>
      <c r="C1664" s="1" t="s">
        <v>609</v>
      </c>
      <c r="D1664" s="1" t="s">
        <v>117</v>
      </c>
      <c r="E1664" s="1" t="s">
        <v>8</v>
      </c>
    </row>
    <row r="1665" spans="1:5" x14ac:dyDescent="0.25">
      <c r="A1665" s="13">
        <v>79765881</v>
      </c>
      <c r="B1665" s="11" t="s">
        <v>116</v>
      </c>
      <c r="C1665" s="1" t="s">
        <v>608</v>
      </c>
      <c r="D1665" s="1" t="s">
        <v>117</v>
      </c>
      <c r="E1665" s="1" t="s">
        <v>263</v>
      </c>
    </row>
    <row r="1666" spans="1:5" x14ac:dyDescent="0.25">
      <c r="A1666" s="13">
        <v>79766133</v>
      </c>
      <c r="B1666" s="11" t="s">
        <v>84</v>
      </c>
      <c r="C1666" s="1" t="s">
        <v>607</v>
      </c>
      <c r="D1666" s="1" t="s">
        <v>43</v>
      </c>
      <c r="E1666" s="1" t="s">
        <v>2</v>
      </c>
    </row>
    <row r="1667" spans="1:5" x14ac:dyDescent="0.25">
      <c r="A1667" s="13">
        <v>79782327</v>
      </c>
      <c r="B1667" s="11" t="s">
        <v>116</v>
      </c>
      <c r="C1667" s="1" t="s">
        <v>605</v>
      </c>
      <c r="D1667" s="1" t="s">
        <v>117</v>
      </c>
      <c r="E1667" s="1" t="s">
        <v>606</v>
      </c>
    </row>
    <row r="1668" spans="1:5" x14ac:dyDescent="0.25">
      <c r="A1668" s="13">
        <v>79783030</v>
      </c>
      <c r="B1668" s="11" t="s">
        <v>84</v>
      </c>
      <c r="C1668" s="1" t="s">
        <v>604</v>
      </c>
      <c r="D1668" s="1" t="s">
        <v>38</v>
      </c>
      <c r="E1668" s="1" t="s">
        <v>7</v>
      </c>
    </row>
    <row r="1669" spans="1:5" x14ac:dyDescent="0.25">
      <c r="A1669" s="13">
        <v>79783803</v>
      </c>
      <c r="B1669" s="11" t="s">
        <v>116</v>
      </c>
      <c r="C1669" s="1" t="s">
        <v>603</v>
      </c>
      <c r="D1669" s="1" t="s">
        <v>117</v>
      </c>
      <c r="E1669" s="1" t="s">
        <v>237</v>
      </c>
    </row>
    <row r="1670" spans="1:5" x14ac:dyDescent="0.25">
      <c r="A1670" s="13">
        <v>79786366</v>
      </c>
      <c r="B1670" s="11" t="s">
        <v>83</v>
      </c>
      <c r="C1670" s="1" t="s">
        <v>602</v>
      </c>
      <c r="D1670" s="1" t="s">
        <v>340</v>
      </c>
      <c r="E1670" s="1" t="s">
        <v>23</v>
      </c>
    </row>
    <row r="1671" spans="1:5" x14ac:dyDescent="0.25">
      <c r="A1671" s="13">
        <v>79786883</v>
      </c>
      <c r="B1671" s="11" t="s">
        <v>84</v>
      </c>
      <c r="C1671" s="1" t="s">
        <v>601</v>
      </c>
      <c r="D1671" s="1" t="s">
        <v>38</v>
      </c>
      <c r="E1671" s="1" t="s">
        <v>342</v>
      </c>
    </row>
    <row r="1672" spans="1:5" x14ac:dyDescent="0.25">
      <c r="A1672" s="13">
        <v>79787286</v>
      </c>
      <c r="B1672" s="11" t="s">
        <v>116</v>
      </c>
      <c r="C1672" s="1" t="s">
        <v>600</v>
      </c>
      <c r="D1672" s="1" t="s">
        <v>117</v>
      </c>
      <c r="E1672" s="1" t="s">
        <v>232</v>
      </c>
    </row>
    <row r="1673" spans="1:5" x14ac:dyDescent="0.25">
      <c r="A1673" s="13">
        <v>79789258</v>
      </c>
      <c r="B1673" s="11" t="s">
        <v>84</v>
      </c>
      <c r="C1673" s="1" t="s">
        <v>599</v>
      </c>
      <c r="D1673" s="1" t="s">
        <v>43</v>
      </c>
      <c r="E1673" s="1" t="s">
        <v>11</v>
      </c>
    </row>
    <row r="1674" spans="1:5" x14ac:dyDescent="0.25">
      <c r="A1674" s="13">
        <v>79789291</v>
      </c>
      <c r="B1674" s="11" t="s">
        <v>83</v>
      </c>
      <c r="C1674" s="1" t="s">
        <v>598</v>
      </c>
      <c r="D1674" s="1" t="s">
        <v>271</v>
      </c>
      <c r="E1674" s="1" t="s">
        <v>272</v>
      </c>
    </row>
    <row r="1675" spans="1:5" x14ac:dyDescent="0.25">
      <c r="A1675" s="13">
        <v>79789560</v>
      </c>
      <c r="B1675" s="11" t="s">
        <v>84</v>
      </c>
      <c r="C1675" s="1" t="s">
        <v>596</v>
      </c>
      <c r="D1675" s="1" t="s">
        <v>38</v>
      </c>
      <c r="E1675" s="1" t="s">
        <v>597</v>
      </c>
    </row>
    <row r="1676" spans="1:5" x14ac:dyDescent="0.25">
      <c r="A1676" s="13">
        <v>79791080</v>
      </c>
      <c r="B1676" s="11" t="s">
        <v>116</v>
      </c>
      <c r="C1676" s="1" t="s">
        <v>595</v>
      </c>
      <c r="D1676" s="1" t="s">
        <v>117</v>
      </c>
      <c r="E1676" s="1" t="s">
        <v>6</v>
      </c>
    </row>
    <row r="1677" spans="1:5" x14ac:dyDescent="0.25">
      <c r="A1677" s="13">
        <v>79791569</v>
      </c>
      <c r="B1677" s="11" t="s">
        <v>116</v>
      </c>
      <c r="C1677" s="1" t="s">
        <v>594</v>
      </c>
      <c r="D1677" s="1" t="s">
        <v>117</v>
      </c>
      <c r="E1677" s="1" t="s">
        <v>11</v>
      </c>
    </row>
    <row r="1678" spans="1:5" x14ac:dyDescent="0.25">
      <c r="A1678" s="13">
        <v>79791863</v>
      </c>
      <c r="B1678" s="11" t="s">
        <v>83</v>
      </c>
      <c r="C1678" s="1" t="s">
        <v>593</v>
      </c>
      <c r="D1678" s="1" t="s">
        <v>269</v>
      </c>
      <c r="E1678" s="1" t="s">
        <v>16</v>
      </c>
    </row>
    <row r="1679" spans="1:5" x14ac:dyDescent="0.25">
      <c r="A1679" s="13">
        <v>79791889</v>
      </c>
      <c r="B1679" s="11" t="s">
        <v>116</v>
      </c>
      <c r="C1679" s="1" t="s">
        <v>592</v>
      </c>
      <c r="D1679" s="1" t="s">
        <v>117</v>
      </c>
      <c r="E1679" s="1" t="s">
        <v>179</v>
      </c>
    </row>
    <row r="1680" spans="1:5" x14ac:dyDescent="0.25">
      <c r="A1680" s="13">
        <v>79791956</v>
      </c>
      <c r="B1680" s="11" t="s">
        <v>116</v>
      </c>
      <c r="C1680" s="1" t="s">
        <v>591</v>
      </c>
      <c r="D1680" s="1" t="s">
        <v>117</v>
      </c>
      <c r="E1680" s="1" t="s">
        <v>263</v>
      </c>
    </row>
    <row r="1681" spans="1:5" x14ac:dyDescent="0.25">
      <c r="A1681" s="13">
        <v>79792584</v>
      </c>
      <c r="B1681" s="11" t="s">
        <v>109</v>
      </c>
      <c r="C1681" s="1" t="s">
        <v>590</v>
      </c>
      <c r="D1681" s="1" t="s">
        <v>131</v>
      </c>
      <c r="E1681" s="1" t="s">
        <v>131</v>
      </c>
    </row>
    <row r="1682" spans="1:5" x14ac:dyDescent="0.25">
      <c r="A1682" s="13">
        <v>79792838</v>
      </c>
      <c r="B1682" s="11" t="s">
        <v>84</v>
      </c>
      <c r="C1682" s="1" t="s">
        <v>3263</v>
      </c>
      <c r="D1682" s="1" t="s">
        <v>38</v>
      </c>
      <c r="E1682" s="1" t="s">
        <v>12</v>
      </c>
    </row>
    <row r="1683" spans="1:5" x14ac:dyDescent="0.25">
      <c r="A1683" s="13">
        <v>79793361</v>
      </c>
      <c r="B1683" s="11" t="s">
        <v>84</v>
      </c>
      <c r="C1683" s="1" t="s">
        <v>589</v>
      </c>
      <c r="D1683" s="1" t="s">
        <v>38</v>
      </c>
      <c r="E1683" s="1" t="s">
        <v>7</v>
      </c>
    </row>
    <row r="1684" spans="1:5" x14ac:dyDescent="0.25">
      <c r="A1684" s="13">
        <v>79794069</v>
      </c>
      <c r="B1684" s="11" t="s">
        <v>116</v>
      </c>
      <c r="C1684" s="1" t="s">
        <v>588</v>
      </c>
      <c r="D1684" s="1" t="s">
        <v>117</v>
      </c>
      <c r="E1684" s="1" t="s">
        <v>186</v>
      </c>
    </row>
    <row r="1685" spans="1:5" x14ac:dyDescent="0.25">
      <c r="A1685" s="13">
        <v>79795936</v>
      </c>
      <c r="B1685" s="11" t="s">
        <v>84</v>
      </c>
      <c r="C1685" s="1" t="s">
        <v>587</v>
      </c>
      <c r="D1685" s="1" t="s">
        <v>38</v>
      </c>
      <c r="E1685" s="1" t="s">
        <v>134</v>
      </c>
    </row>
    <row r="1686" spans="1:5" x14ac:dyDescent="0.25">
      <c r="A1686" s="13">
        <v>79797927</v>
      </c>
      <c r="B1686" s="11" t="s">
        <v>84</v>
      </c>
      <c r="C1686" s="1" t="s">
        <v>586</v>
      </c>
      <c r="D1686" s="1" t="s">
        <v>38</v>
      </c>
      <c r="E1686" s="1" t="s">
        <v>168</v>
      </c>
    </row>
    <row r="1687" spans="1:5" x14ac:dyDescent="0.25">
      <c r="A1687" s="13">
        <v>79798360</v>
      </c>
      <c r="B1687" s="11" t="s">
        <v>116</v>
      </c>
      <c r="C1687" s="1" t="s">
        <v>585</v>
      </c>
      <c r="D1687" s="1" t="s">
        <v>117</v>
      </c>
      <c r="E1687" s="1" t="s">
        <v>11</v>
      </c>
    </row>
    <row r="1688" spans="1:5" x14ac:dyDescent="0.25">
      <c r="A1688" s="13">
        <v>79803169</v>
      </c>
      <c r="B1688" s="11" t="s">
        <v>116</v>
      </c>
      <c r="C1688" s="1" t="s">
        <v>584</v>
      </c>
      <c r="D1688" s="1" t="s">
        <v>117</v>
      </c>
      <c r="E1688" s="1" t="s">
        <v>147</v>
      </c>
    </row>
    <row r="1689" spans="1:5" x14ac:dyDescent="0.25">
      <c r="A1689" s="13">
        <v>79805415</v>
      </c>
      <c r="B1689" s="11" t="s">
        <v>83</v>
      </c>
      <c r="C1689" s="1" t="s">
        <v>583</v>
      </c>
      <c r="D1689" s="1" t="s">
        <v>567</v>
      </c>
      <c r="E1689" s="1" t="s">
        <v>16</v>
      </c>
    </row>
    <row r="1690" spans="1:5" x14ac:dyDescent="0.25">
      <c r="A1690" s="13">
        <v>79809649</v>
      </c>
      <c r="B1690" s="11" t="s">
        <v>83</v>
      </c>
      <c r="C1690" s="1" t="s">
        <v>3264</v>
      </c>
      <c r="D1690" s="1" t="s">
        <v>3265</v>
      </c>
      <c r="E1690" s="1" t="s">
        <v>21</v>
      </c>
    </row>
    <row r="1691" spans="1:5" x14ac:dyDescent="0.25">
      <c r="A1691" s="13">
        <v>79810695</v>
      </c>
      <c r="B1691" s="11" t="s">
        <v>84</v>
      </c>
      <c r="C1691" s="1" t="s">
        <v>582</v>
      </c>
      <c r="D1691" s="1" t="s">
        <v>38</v>
      </c>
      <c r="E1691" s="1" t="s">
        <v>14</v>
      </c>
    </row>
    <row r="1692" spans="1:5" x14ac:dyDescent="0.25">
      <c r="A1692" s="13">
        <v>79814044</v>
      </c>
      <c r="B1692" s="11" t="s">
        <v>116</v>
      </c>
      <c r="C1692" s="1" t="s">
        <v>581</v>
      </c>
      <c r="D1692" s="1" t="s">
        <v>117</v>
      </c>
      <c r="E1692" s="1" t="s">
        <v>86</v>
      </c>
    </row>
    <row r="1693" spans="1:5" x14ac:dyDescent="0.25">
      <c r="A1693" s="13">
        <v>79818380</v>
      </c>
      <c r="B1693" s="11" t="s">
        <v>84</v>
      </c>
      <c r="C1693" s="1" t="s">
        <v>580</v>
      </c>
      <c r="D1693" s="1" t="s">
        <v>38</v>
      </c>
      <c r="E1693" s="1" t="s">
        <v>5</v>
      </c>
    </row>
    <row r="1694" spans="1:5" x14ac:dyDescent="0.25">
      <c r="A1694" s="13">
        <v>79826993</v>
      </c>
      <c r="B1694" s="11" t="s">
        <v>116</v>
      </c>
      <c r="C1694" s="1" t="s">
        <v>579</v>
      </c>
      <c r="D1694" s="1" t="s">
        <v>117</v>
      </c>
      <c r="E1694" s="1" t="s">
        <v>11</v>
      </c>
    </row>
    <row r="1695" spans="1:5" x14ac:dyDescent="0.25">
      <c r="A1695" s="13">
        <v>79828065</v>
      </c>
      <c r="B1695" s="11" t="s">
        <v>83</v>
      </c>
      <c r="C1695" s="1" t="s">
        <v>578</v>
      </c>
      <c r="D1695" s="1" t="s">
        <v>151</v>
      </c>
      <c r="E1695" s="1" t="s">
        <v>152</v>
      </c>
    </row>
    <row r="1696" spans="1:5" x14ac:dyDescent="0.25">
      <c r="A1696" s="13">
        <v>79833541</v>
      </c>
      <c r="B1696" s="11" t="s">
        <v>116</v>
      </c>
      <c r="C1696" s="1" t="s">
        <v>577</v>
      </c>
      <c r="D1696" s="1" t="s">
        <v>117</v>
      </c>
      <c r="E1696" s="1" t="s">
        <v>12</v>
      </c>
    </row>
    <row r="1697" spans="1:5" x14ac:dyDescent="0.25">
      <c r="A1697" s="13">
        <v>79838515</v>
      </c>
      <c r="B1697" s="11" t="s">
        <v>83</v>
      </c>
      <c r="C1697" s="1" t="s">
        <v>576</v>
      </c>
      <c r="D1697" s="1" t="s">
        <v>312</v>
      </c>
      <c r="E1697" s="1" t="s">
        <v>242</v>
      </c>
    </row>
    <row r="1698" spans="1:5" x14ac:dyDescent="0.25">
      <c r="A1698" s="13">
        <v>79838866</v>
      </c>
      <c r="B1698" s="11" t="s">
        <v>116</v>
      </c>
      <c r="C1698" s="1" t="s">
        <v>575</v>
      </c>
      <c r="D1698" s="1" t="s">
        <v>117</v>
      </c>
      <c r="E1698" s="1" t="s">
        <v>11</v>
      </c>
    </row>
    <row r="1699" spans="1:5" x14ac:dyDescent="0.25">
      <c r="A1699" s="13">
        <v>79841119</v>
      </c>
      <c r="B1699" s="11" t="s">
        <v>84</v>
      </c>
      <c r="C1699" s="1" t="s">
        <v>574</v>
      </c>
      <c r="D1699" s="1" t="s">
        <v>38</v>
      </c>
      <c r="E1699" s="1" t="s">
        <v>3</v>
      </c>
    </row>
    <row r="1700" spans="1:5" x14ac:dyDescent="0.25">
      <c r="A1700" s="13">
        <v>79841483</v>
      </c>
      <c r="B1700" s="11" t="s">
        <v>116</v>
      </c>
      <c r="C1700" s="1" t="s">
        <v>573</v>
      </c>
      <c r="D1700" s="1" t="s">
        <v>117</v>
      </c>
      <c r="E1700" s="1" t="s">
        <v>263</v>
      </c>
    </row>
    <row r="1701" spans="1:5" x14ac:dyDescent="0.25">
      <c r="A1701" s="13">
        <v>79843982</v>
      </c>
      <c r="B1701" s="11" t="s">
        <v>84</v>
      </c>
      <c r="C1701" s="1" t="s">
        <v>572</v>
      </c>
      <c r="D1701" s="1" t="s">
        <v>43</v>
      </c>
      <c r="E1701" s="1" t="s">
        <v>263</v>
      </c>
    </row>
    <row r="1702" spans="1:5" x14ac:dyDescent="0.25">
      <c r="A1702" s="13">
        <v>79845230</v>
      </c>
      <c r="B1702" s="11" t="s">
        <v>84</v>
      </c>
      <c r="C1702" s="1" t="s">
        <v>571</v>
      </c>
      <c r="D1702" s="1" t="s">
        <v>185</v>
      </c>
      <c r="E1702" s="1" t="s">
        <v>11</v>
      </c>
    </row>
    <row r="1703" spans="1:5" x14ac:dyDescent="0.25">
      <c r="A1703" s="13">
        <v>79845967</v>
      </c>
      <c r="B1703" s="11" t="s">
        <v>83</v>
      </c>
      <c r="C1703" s="1" t="s">
        <v>570</v>
      </c>
      <c r="D1703" s="1" t="s">
        <v>151</v>
      </c>
      <c r="E1703" s="1" t="s">
        <v>152</v>
      </c>
    </row>
    <row r="1704" spans="1:5" x14ac:dyDescent="0.25">
      <c r="A1704" s="13">
        <v>79847124</v>
      </c>
      <c r="B1704" s="11" t="s">
        <v>83</v>
      </c>
      <c r="C1704" s="1" t="s">
        <v>568</v>
      </c>
      <c r="D1704" s="1" t="s">
        <v>569</v>
      </c>
      <c r="E1704" s="1" t="s">
        <v>16</v>
      </c>
    </row>
    <row r="1705" spans="1:5" x14ac:dyDescent="0.25">
      <c r="A1705" s="13">
        <v>79848897</v>
      </c>
      <c r="B1705" s="11" t="s">
        <v>83</v>
      </c>
      <c r="C1705" s="1" t="s">
        <v>3266</v>
      </c>
      <c r="D1705" s="1" t="s">
        <v>44</v>
      </c>
      <c r="E1705" s="1" t="s">
        <v>16</v>
      </c>
    </row>
    <row r="1706" spans="1:5" x14ac:dyDescent="0.25">
      <c r="A1706" s="13">
        <v>79849027</v>
      </c>
      <c r="B1706" s="11" t="s">
        <v>83</v>
      </c>
      <c r="C1706" s="1" t="s">
        <v>566</v>
      </c>
      <c r="D1706" s="1" t="s">
        <v>567</v>
      </c>
      <c r="E1706" s="1" t="s">
        <v>16</v>
      </c>
    </row>
    <row r="1707" spans="1:5" x14ac:dyDescent="0.25">
      <c r="A1707" s="13">
        <v>79849413</v>
      </c>
      <c r="B1707" s="11" t="s">
        <v>116</v>
      </c>
      <c r="C1707" s="1" t="s">
        <v>565</v>
      </c>
      <c r="D1707" s="1" t="s">
        <v>117</v>
      </c>
      <c r="E1707" s="1" t="s">
        <v>263</v>
      </c>
    </row>
    <row r="1708" spans="1:5" x14ac:dyDescent="0.25">
      <c r="A1708" s="13">
        <v>79849518</v>
      </c>
      <c r="B1708" s="11" t="s">
        <v>83</v>
      </c>
      <c r="C1708" s="1" t="s">
        <v>564</v>
      </c>
      <c r="D1708" s="1" t="s">
        <v>47</v>
      </c>
      <c r="E1708" s="1" t="s">
        <v>19</v>
      </c>
    </row>
    <row r="1709" spans="1:5" x14ac:dyDescent="0.25">
      <c r="A1709" s="13">
        <v>79850111</v>
      </c>
      <c r="B1709" s="11" t="s">
        <v>116</v>
      </c>
      <c r="C1709" s="1" t="s">
        <v>563</v>
      </c>
      <c r="D1709" s="1" t="s">
        <v>117</v>
      </c>
      <c r="E1709" s="1" t="s">
        <v>10</v>
      </c>
    </row>
    <row r="1710" spans="1:5" x14ac:dyDescent="0.25">
      <c r="A1710" s="13">
        <v>79851432</v>
      </c>
      <c r="B1710" s="11" t="s">
        <v>84</v>
      </c>
      <c r="C1710" s="1" t="s">
        <v>561</v>
      </c>
      <c r="D1710" s="1" t="s">
        <v>562</v>
      </c>
      <c r="E1710" s="1" t="s">
        <v>272</v>
      </c>
    </row>
    <row r="1711" spans="1:5" x14ac:dyDescent="0.25">
      <c r="A1711" s="13">
        <v>79855441</v>
      </c>
      <c r="B1711" s="11" t="s">
        <v>116</v>
      </c>
      <c r="C1711" s="1" t="s">
        <v>560</v>
      </c>
      <c r="D1711" s="1" t="s">
        <v>117</v>
      </c>
      <c r="E1711" s="1" t="s">
        <v>8</v>
      </c>
    </row>
    <row r="1712" spans="1:5" x14ac:dyDescent="0.25">
      <c r="A1712" s="13">
        <v>79855885</v>
      </c>
      <c r="B1712" s="11" t="s">
        <v>84</v>
      </c>
      <c r="C1712" s="1" t="s">
        <v>3002</v>
      </c>
      <c r="D1712" s="1" t="s">
        <v>38</v>
      </c>
      <c r="E1712" s="1" t="s">
        <v>15</v>
      </c>
    </row>
    <row r="1713" spans="1:5" x14ac:dyDescent="0.25">
      <c r="A1713" s="13">
        <v>79856681</v>
      </c>
      <c r="B1713" s="11" t="s">
        <v>84</v>
      </c>
      <c r="C1713" s="1" t="s">
        <v>559</v>
      </c>
      <c r="D1713" s="1" t="s">
        <v>38</v>
      </c>
      <c r="E1713" s="1" t="s">
        <v>8</v>
      </c>
    </row>
    <row r="1714" spans="1:5" x14ac:dyDescent="0.25">
      <c r="A1714" s="13">
        <v>79858495</v>
      </c>
      <c r="B1714" s="11" t="s">
        <v>84</v>
      </c>
      <c r="C1714" s="1" t="s">
        <v>558</v>
      </c>
      <c r="D1714" s="1" t="s">
        <v>172</v>
      </c>
      <c r="E1714" s="1" t="s">
        <v>205</v>
      </c>
    </row>
    <row r="1715" spans="1:5" x14ac:dyDescent="0.25">
      <c r="A1715" s="13">
        <v>79858508</v>
      </c>
      <c r="B1715" s="11" t="s">
        <v>84</v>
      </c>
      <c r="C1715" s="1" t="s">
        <v>3096</v>
      </c>
      <c r="D1715" s="1" t="s">
        <v>38</v>
      </c>
      <c r="E1715" s="1" t="s">
        <v>14</v>
      </c>
    </row>
    <row r="1716" spans="1:5" x14ac:dyDescent="0.25">
      <c r="A1716" s="13">
        <v>79862322</v>
      </c>
      <c r="B1716" s="11" t="s">
        <v>84</v>
      </c>
      <c r="C1716" s="1" t="s">
        <v>557</v>
      </c>
      <c r="D1716" s="1" t="s">
        <v>38</v>
      </c>
      <c r="E1716" s="1" t="s">
        <v>134</v>
      </c>
    </row>
    <row r="1717" spans="1:5" x14ac:dyDescent="0.25">
      <c r="A1717" s="13">
        <v>79864467</v>
      </c>
      <c r="B1717" s="11" t="s">
        <v>83</v>
      </c>
      <c r="C1717" s="1" t="s">
        <v>556</v>
      </c>
      <c r="D1717" s="1" t="s">
        <v>366</v>
      </c>
      <c r="E1717" s="1" t="s">
        <v>152</v>
      </c>
    </row>
    <row r="1718" spans="1:5" x14ac:dyDescent="0.25">
      <c r="A1718" s="13">
        <v>79866288</v>
      </c>
      <c r="B1718" s="11" t="s">
        <v>116</v>
      </c>
      <c r="C1718" s="1" t="s">
        <v>555</v>
      </c>
      <c r="D1718" s="1" t="s">
        <v>117</v>
      </c>
      <c r="E1718" s="1" t="s">
        <v>263</v>
      </c>
    </row>
    <row r="1719" spans="1:5" x14ac:dyDescent="0.25">
      <c r="A1719" s="13">
        <v>79872151</v>
      </c>
      <c r="B1719" s="11" t="s">
        <v>84</v>
      </c>
      <c r="C1719" s="1" t="s">
        <v>3267</v>
      </c>
      <c r="D1719" s="1" t="s">
        <v>43</v>
      </c>
      <c r="E1719" s="1" t="s">
        <v>5</v>
      </c>
    </row>
    <row r="1720" spans="1:5" x14ac:dyDescent="0.25">
      <c r="A1720" s="13">
        <v>79872723</v>
      </c>
      <c r="B1720" s="11" t="s">
        <v>83</v>
      </c>
      <c r="C1720" s="1" t="s">
        <v>553</v>
      </c>
      <c r="D1720" s="1" t="s">
        <v>554</v>
      </c>
      <c r="E1720" s="1" t="s">
        <v>4</v>
      </c>
    </row>
    <row r="1721" spans="1:5" x14ac:dyDescent="0.25">
      <c r="A1721" s="13">
        <v>79877465</v>
      </c>
      <c r="B1721" s="11" t="s">
        <v>83</v>
      </c>
      <c r="C1721" s="1" t="s">
        <v>552</v>
      </c>
      <c r="D1721" s="1" t="s">
        <v>53</v>
      </c>
      <c r="E1721" s="1" t="s">
        <v>4</v>
      </c>
    </row>
    <row r="1722" spans="1:5" x14ac:dyDescent="0.25">
      <c r="A1722" s="13">
        <v>79878584</v>
      </c>
      <c r="B1722" s="11" t="s">
        <v>83</v>
      </c>
      <c r="C1722" s="1" t="s">
        <v>551</v>
      </c>
      <c r="D1722" s="1" t="s">
        <v>47</v>
      </c>
      <c r="E1722" s="1" t="s">
        <v>19</v>
      </c>
    </row>
    <row r="1723" spans="1:5" x14ac:dyDescent="0.25">
      <c r="A1723" s="13">
        <v>79878684</v>
      </c>
      <c r="B1723" s="11" t="s">
        <v>116</v>
      </c>
      <c r="C1723" s="1" t="s">
        <v>550</v>
      </c>
      <c r="D1723" s="1" t="s">
        <v>117</v>
      </c>
      <c r="E1723" s="1" t="s">
        <v>127</v>
      </c>
    </row>
    <row r="1724" spans="1:5" x14ac:dyDescent="0.25">
      <c r="A1724" s="13">
        <v>79879132</v>
      </c>
      <c r="B1724" s="11" t="s">
        <v>116</v>
      </c>
      <c r="C1724" s="1" t="s">
        <v>549</v>
      </c>
      <c r="D1724" s="1" t="s">
        <v>117</v>
      </c>
      <c r="E1724" s="1" t="s">
        <v>237</v>
      </c>
    </row>
    <row r="1725" spans="1:5" x14ac:dyDescent="0.25">
      <c r="A1725" s="13">
        <v>79880941</v>
      </c>
      <c r="B1725" s="11" t="s">
        <v>84</v>
      </c>
      <c r="C1725" s="1" t="s">
        <v>3268</v>
      </c>
      <c r="D1725" s="1" t="s">
        <v>38</v>
      </c>
      <c r="E1725" s="1" t="s">
        <v>14</v>
      </c>
    </row>
    <row r="1726" spans="1:5" x14ac:dyDescent="0.25">
      <c r="A1726" s="13">
        <v>79882755</v>
      </c>
      <c r="B1726" s="11" t="s">
        <v>84</v>
      </c>
      <c r="C1726" s="1" t="s">
        <v>548</v>
      </c>
      <c r="D1726" s="1" t="s">
        <v>38</v>
      </c>
      <c r="E1726" s="1" t="s">
        <v>168</v>
      </c>
    </row>
    <row r="1727" spans="1:5" x14ac:dyDescent="0.25">
      <c r="A1727" s="13">
        <v>79882982</v>
      </c>
      <c r="B1727" s="11" t="s">
        <v>116</v>
      </c>
      <c r="C1727" s="1" t="s">
        <v>547</v>
      </c>
      <c r="D1727" s="1" t="s">
        <v>117</v>
      </c>
      <c r="E1727" s="1" t="s">
        <v>5</v>
      </c>
    </row>
    <row r="1728" spans="1:5" x14ac:dyDescent="0.25">
      <c r="A1728" s="13">
        <v>79883918</v>
      </c>
      <c r="B1728" s="11" t="s">
        <v>83</v>
      </c>
      <c r="C1728" s="1" t="s">
        <v>546</v>
      </c>
      <c r="D1728" s="1" t="s">
        <v>66</v>
      </c>
      <c r="E1728" s="1" t="s">
        <v>21</v>
      </c>
    </row>
    <row r="1729" spans="1:5" x14ac:dyDescent="0.25">
      <c r="A1729" s="13">
        <v>79884080</v>
      </c>
      <c r="B1729" s="11" t="s">
        <v>84</v>
      </c>
      <c r="C1729" s="1" t="s">
        <v>545</v>
      </c>
      <c r="D1729" s="1" t="s">
        <v>43</v>
      </c>
      <c r="E1729" s="1" t="s">
        <v>14</v>
      </c>
    </row>
    <row r="1730" spans="1:5" x14ac:dyDescent="0.25">
      <c r="A1730" s="13">
        <v>79889156</v>
      </c>
      <c r="B1730" s="11" t="s">
        <v>84</v>
      </c>
      <c r="C1730" s="1" t="s">
        <v>544</v>
      </c>
      <c r="D1730" s="1" t="s">
        <v>38</v>
      </c>
      <c r="E1730" s="1" t="s">
        <v>12</v>
      </c>
    </row>
    <row r="1731" spans="1:5" x14ac:dyDescent="0.25">
      <c r="A1731" s="13">
        <v>79889603</v>
      </c>
      <c r="B1731" s="11" t="s">
        <v>116</v>
      </c>
      <c r="C1731" s="1" t="s">
        <v>543</v>
      </c>
      <c r="D1731" s="1" t="s">
        <v>117</v>
      </c>
      <c r="E1731" s="1" t="s">
        <v>263</v>
      </c>
    </row>
    <row r="1732" spans="1:5" x14ac:dyDescent="0.25">
      <c r="A1732" s="13">
        <v>79892281</v>
      </c>
      <c r="B1732" s="11" t="s">
        <v>84</v>
      </c>
      <c r="C1732" s="1" t="s">
        <v>3269</v>
      </c>
      <c r="D1732" s="1" t="s">
        <v>38</v>
      </c>
      <c r="E1732" s="1" t="s">
        <v>8</v>
      </c>
    </row>
    <row r="1733" spans="1:5" x14ac:dyDescent="0.25">
      <c r="A1733" s="13">
        <v>79899222</v>
      </c>
      <c r="B1733" s="11" t="s">
        <v>83</v>
      </c>
      <c r="C1733" s="1" t="s">
        <v>542</v>
      </c>
      <c r="D1733" s="1" t="s">
        <v>151</v>
      </c>
      <c r="E1733" s="1" t="s">
        <v>152</v>
      </c>
    </row>
    <row r="1734" spans="1:5" x14ac:dyDescent="0.25">
      <c r="A1734" s="13">
        <v>79900162</v>
      </c>
      <c r="B1734" s="11" t="s">
        <v>84</v>
      </c>
      <c r="C1734" s="1" t="s">
        <v>540</v>
      </c>
      <c r="D1734" s="1" t="s">
        <v>43</v>
      </c>
      <c r="E1734" s="1" t="s">
        <v>541</v>
      </c>
    </row>
    <row r="1735" spans="1:5" x14ac:dyDescent="0.25">
      <c r="A1735" s="13">
        <v>79901410</v>
      </c>
      <c r="B1735" s="11" t="s">
        <v>116</v>
      </c>
      <c r="C1735" s="1" t="s">
        <v>539</v>
      </c>
      <c r="D1735" s="1" t="s">
        <v>117</v>
      </c>
      <c r="E1735" s="1" t="s">
        <v>263</v>
      </c>
    </row>
    <row r="1736" spans="1:5" x14ac:dyDescent="0.25">
      <c r="A1736" s="13">
        <v>79902216</v>
      </c>
      <c r="B1736" s="11" t="s">
        <v>84</v>
      </c>
      <c r="C1736" s="1" t="s">
        <v>3270</v>
      </c>
      <c r="D1736" s="1" t="s">
        <v>43</v>
      </c>
      <c r="E1736" s="1" t="s">
        <v>328</v>
      </c>
    </row>
    <row r="1737" spans="1:5" x14ac:dyDescent="0.25">
      <c r="A1737" s="13">
        <v>79907323</v>
      </c>
      <c r="B1737" s="11" t="s">
        <v>116</v>
      </c>
      <c r="C1737" s="1" t="s">
        <v>538</v>
      </c>
      <c r="D1737" s="1" t="s">
        <v>117</v>
      </c>
      <c r="E1737" s="1" t="s">
        <v>263</v>
      </c>
    </row>
    <row r="1738" spans="1:5" x14ac:dyDescent="0.25">
      <c r="A1738" s="13">
        <v>79909362</v>
      </c>
      <c r="B1738" s="11" t="s">
        <v>84</v>
      </c>
      <c r="C1738" s="1" t="s">
        <v>537</v>
      </c>
      <c r="D1738" s="1" t="s">
        <v>38</v>
      </c>
      <c r="E1738" s="1" t="s">
        <v>8</v>
      </c>
    </row>
    <row r="1739" spans="1:5" x14ac:dyDescent="0.25">
      <c r="A1739" s="13">
        <v>79911924</v>
      </c>
      <c r="B1739" s="11" t="s">
        <v>116</v>
      </c>
      <c r="C1739" s="1" t="s">
        <v>536</v>
      </c>
      <c r="D1739" s="1" t="s">
        <v>117</v>
      </c>
      <c r="E1739" s="1" t="s">
        <v>9</v>
      </c>
    </row>
    <row r="1740" spans="1:5" x14ac:dyDescent="0.25">
      <c r="A1740" s="13">
        <v>79913385</v>
      </c>
      <c r="B1740" s="11" t="s">
        <v>84</v>
      </c>
      <c r="C1740" s="1" t="s">
        <v>535</v>
      </c>
      <c r="D1740" s="1" t="s">
        <v>38</v>
      </c>
      <c r="E1740" s="1" t="s">
        <v>3121</v>
      </c>
    </row>
    <row r="1741" spans="1:5" x14ac:dyDescent="0.25">
      <c r="A1741" s="13">
        <v>79914146</v>
      </c>
      <c r="B1741" s="11" t="s">
        <v>116</v>
      </c>
      <c r="C1741" s="1" t="s">
        <v>534</v>
      </c>
      <c r="D1741" s="1" t="s">
        <v>117</v>
      </c>
      <c r="E1741" s="1" t="s">
        <v>118</v>
      </c>
    </row>
    <row r="1742" spans="1:5" x14ac:dyDescent="0.25">
      <c r="A1742" s="13">
        <v>79917497</v>
      </c>
      <c r="B1742" s="11" t="s">
        <v>116</v>
      </c>
      <c r="C1742" s="1" t="s">
        <v>533</v>
      </c>
      <c r="D1742" s="1" t="s">
        <v>117</v>
      </c>
      <c r="E1742" s="1" t="s">
        <v>6</v>
      </c>
    </row>
    <row r="1743" spans="1:5" x14ac:dyDescent="0.25">
      <c r="A1743" s="13">
        <v>79918292</v>
      </c>
      <c r="B1743" s="11" t="s">
        <v>84</v>
      </c>
      <c r="C1743" s="1" t="s">
        <v>3271</v>
      </c>
      <c r="D1743" s="1" t="s">
        <v>38</v>
      </c>
      <c r="E1743" s="1" t="s">
        <v>127</v>
      </c>
    </row>
    <row r="1744" spans="1:5" x14ac:dyDescent="0.25">
      <c r="A1744" s="13">
        <v>79918931</v>
      </c>
      <c r="B1744" s="11" t="s">
        <v>116</v>
      </c>
      <c r="C1744" s="1" t="s">
        <v>532</v>
      </c>
      <c r="D1744" s="1" t="s">
        <v>117</v>
      </c>
      <c r="E1744" s="1" t="s">
        <v>263</v>
      </c>
    </row>
    <row r="1745" spans="1:5" x14ac:dyDescent="0.25">
      <c r="A1745" s="13">
        <v>79918954</v>
      </c>
      <c r="B1745" s="11" t="s">
        <v>83</v>
      </c>
      <c r="C1745" s="1" t="s">
        <v>531</v>
      </c>
      <c r="D1745" s="1" t="s">
        <v>47</v>
      </c>
      <c r="E1745" s="1" t="s">
        <v>142</v>
      </c>
    </row>
    <row r="1746" spans="1:5" x14ac:dyDescent="0.25">
      <c r="A1746" s="13">
        <v>79920413</v>
      </c>
      <c r="B1746" s="11" t="s">
        <v>116</v>
      </c>
      <c r="C1746" s="1" t="s">
        <v>3697</v>
      </c>
      <c r="D1746" s="1" t="s">
        <v>117</v>
      </c>
      <c r="E1746" s="1" t="s">
        <v>3118</v>
      </c>
    </row>
    <row r="1747" spans="1:5" x14ac:dyDescent="0.25">
      <c r="A1747" s="13">
        <v>79920883</v>
      </c>
      <c r="B1747" s="11" t="s">
        <v>84</v>
      </c>
      <c r="C1747" s="1" t="s">
        <v>529</v>
      </c>
      <c r="D1747" s="1" t="s">
        <v>530</v>
      </c>
      <c r="E1747" s="1" t="s">
        <v>179</v>
      </c>
    </row>
    <row r="1748" spans="1:5" x14ac:dyDescent="0.25">
      <c r="A1748" s="13">
        <v>79924611</v>
      </c>
      <c r="B1748" s="11" t="s">
        <v>83</v>
      </c>
      <c r="C1748" s="1" t="s">
        <v>528</v>
      </c>
      <c r="D1748" s="1" t="s">
        <v>47</v>
      </c>
      <c r="E1748" s="1" t="s">
        <v>272</v>
      </c>
    </row>
    <row r="1749" spans="1:5" x14ac:dyDescent="0.25">
      <c r="A1749" s="13">
        <v>79938591</v>
      </c>
      <c r="B1749" s="11" t="s">
        <v>116</v>
      </c>
      <c r="C1749" s="1" t="s">
        <v>3272</v>
      </c>
      <c r="D1749" s="1" t="s">
        <v>117</v>
      </c>
      <c r="E1749" s="1" t="s">
        <v>3709</v>
      </c>
    </row>
    <row r="1750" spans="1:5" x14ac:dyDescent="0.25">
      <c r="A1750" s="13">
        <v>79940508</v>
      </c>
      <c r="B1750" s="11" t="s">
        <v>83</v>
      </c>
      <c r="C1750" s="1" t="s">
        <v>527</v>
      </c>
      <c r="D1750" s="1" t="s">
        <v>49</v>
      </c>
      <c r="E1750" s="1" t="s">
        <v>18</v>
      </c>
    </row>
    <row r="1751" spans="1:5" x14ac:dyDescent="0.25">
      <c r="A1751" s="13">
        <v>79942078</v>
      </c>
      <c r="B1751" s="11" t="s">
        <v>84</v>
      </c>
      <c r="C1751" s="1" t="s">
        <v>3273</v>
      </c>
      <c r="D1751" s="1" t="s">
        <v>43</v>
      </c>
      <c r="E1751" s="1" t="s">
        <v>10</v>
      </c>
    </row>
    <row r="1752" spans="1:5" x14ac:dyDescent="0.25">
      <c r="A1752" s="13">
        <v>79944332</v>
      </c>
      <c r="B1752" s="11" t="s">
        <v>116</v>
      </c>
      <c r="C1752" s="1" t="s">
        <v>526</v>
      </c>
      <c r="D1752" s="1" t="s">
        <v>117</v>
      </c>
      <c r="E1752" s="1" t="s">
        <v>205</v>
      </c>
    </row>
    <row r="1753" spans="1:5" x14ac:dyDescent="0.25">
      <c r="A1753" s="13">
        <v>79945515</v>
      </c>
      <c r="B1753" s="11" t="s">
        <v>83</v>
      </c>
      <c r="C1753" s="1" t="s">
        <v>523</v>
      </c>
      <c r="D1753" s="1" t="s">
        <v>524</v>
      </c>
      <c r="E1753" s="1" t="s">
        <v>525</v>
      </c>
    </row>
    <row r="1754" spans="1:5" x14ac:dyDescent="0.25">
      <c r="A1754" s="13">
        <v>79946416</v>
      </c>
      <c r="B1754" s="11" t="s">
        <v>84</v>
      </c>
      <c r="C1754" s="1" t="s">
        <v>3274</v>
      </c>
      <c r="D1754" s="1" t="s">
        <v>43</v>
      </c>
      <c r="E1754" s="1" t="s">
        <v>14</v>
      </c>
    </row>
    <row r="1755" spans="1:5" x14ac:dyDescent="0.25">
      <c r="A1755" s="13">
        <v>79948259</v>
      </c>
      <c r="B1755" s="11" t="s">
        <v>84</v>
      </c>
      <c r="C1755" s="1" t="s">
        <v>522</v>
      </c>
      <c r="D1755" s="1" t="s">
        <v>43</v>
      </c>
      <c r="E1755" s="1" t="s">
        <v>8</v>
      </c>
    </row>
    <row r="1756" spans="1:5" x14ac:dyDescent="0.25">
      <c r="A1756" s="13">
        <v>79951631</v>
      </c>
      <c r="B1756" s="11" t="s">
        <v>116</v>
      </c>
      <c r="C1756" s="1" t="s">
        <v>521</v>
      </c>
      <c r="D1756" s="1" t="s">
        <v>117</v>
      </c>
      <c r="E1756" s="1" t="s">
        <v>118</v>
      </c>
    </row>
    <row r="1757" spans="1:5" x14ac:dyDescent="0.25">
      <c r="A1757" s="13">
        <v>79951802</v>
      </c>
      <c r="B1757" s="11" t="s">
        <v>84</v>
      </c>
      <c r="C1757" s="1" t="s">
        <v>520</v>
      </c>
      <c r="D1757" s="1" t="s">
        <v>38</v>
      </c>
      <c r="E1757" s="1" t="s">
        <v>10</v>
      </c>
    </row>
    <row r="1758" spans="1:5" x14ac:dyDescent="0.25">
      <c r="A1758" s="13">
        <v>79952015</v>
      </c>
      <c r="B1758" s="11" t="s">
        <v>84</v>
      </c>
      <c r="C1758" s="1" t="s">
        <v>519</v>
      </c>
      <c r="D1758" s="1" t="s">
        <v>38</v>
      </c>
      <c r="E1758" s="1" t="s">
        <v>13</v>
      </c>
    </row>
    <row r="1759" spans="1:5" x14ac:dyDescent="0.25">
      <c r="A1759" s="13">
        <v>79952460</v>
      </c>
      <c r="B1759" s="11" t="s">
        <v>116</v>
      </c>
      <c r="C1759" s="1" t="s">
        <v>518</v>
      </c>
      <c r="D1759" s="1" t="s">
        <v>117</v>
      </c>
      <c r="E1759" s="1" t="s">
        <v>491</v>
      </c>
    </row>
    <row r="1760" spans="1:5" x14ac:dyDescent="0.25">
      <c r="A1760" s="13">
        <v>79953126</v>
      </c>
      <c r="B1760" s="11" t="s">
        <v>84</v>
      </c>
      <c r="C1760" s="1" t="s">
        <v>517</v>
      </c>
      <c r="D1760" s="1" t="s">
        <v>38</v>
      </c>
      <c r="E1760" s="1" t="s">
        <v>168</v>
      </c>
    </row>
    <row r="1761" spans="1:5" x14ac:dyDescent="0.25">
      <c r="A1761" s="13">
        <v>79953531</v>
      </c>
      <c r="B1761" s="11" t="s">
        <v>116</v>
      </c>
      <c r="C1761" s="1" t="s">
        <v>516</v>
      </c>
      <c r="D1761" s="1" t="s">
        <v>117</v>
      </c>
      <c r="E1761" s="1" t="s">
        <v>127</v>
      </c>
    </row>
    <row r="1762" spans="1:5" x14ac:dyDescent="0.25">
      <c r="A1762" s="13">
        <v>79953861</v>
      </c>
      <c r="B1762" s="11" t="s">
        <v>83</v>
      </c>
      <c r="C1762" s="1" t="s">
        <v>3275</v>
      </c>
      <c r="D1762" s="1" t="s">
        <v>49</v>
      </c>
      <c r="E1762" s="1" t="s">
        <v>18</v>
      </c>
    </row>
    <row r="1763" spans="1:5" x14ac:dyDescent="0.25">
      <c r="A1763" s="13">
        <v>79954192</v>
      </c>
      <c r="B1763" s="11" t="s">
        <v>116</v>
      </c>
      <c r="C1763" s="1" t="s">
        <v>515</v>
      </c>
      <c r="D1763" s="1" t="s">
        <v>117</v>
      </c>
      <c r="E1763" s="1" t="s">
        <v>134</v>
      </c>
    </row>
    <row r="1764" spans="1:5" x14ac:dyDescent="0.25">
      <c r="A1764" s="13">
        <v>79954762</v>
      </c>
      <c r="B1764" s="11" t="s">
        <v>84</v>
      </c>
      <c r="C1764" s="1" t="s">
        <v>514</v>
      </c>
      <c r="D1764" s="1" t="s">
        <v>38</v>
      </c>
      <c r="E1764" s="1" t="s">
        <v>170</v>
      </c>
    </row>
    <row r="1765" spans="1:5" x14ac:dyDescent="0.25">
      <c r="A1765" s="13">
        <v>79955245</v>
      </c>
      <c r="B1765" s="11" t="s">
        <v>116</v>
      </c>
      <c r="C1765" s="1" t="s">
        <v>513</v>
      </c>
      <c r="D1765" s="1" t="s">
        <v>117</v>
      </c>
      <c r="E1765" s="1" t="s">
        <v>5</v>
      </c>
    </row>
    <row r="1766" spans="1:5" x14ac:dyDescent="0.25">
      <c r="A1766" s="13">
        <v>79955605</v>
      </c>
      <c r="B1766" s="11" t="s">
        <v>84</v>
      </c>
      <c r="C1766" s="1" t="s">
        <v>512</v>
      </c>
      <c r="D1766" s="1" t="s">
        <v>38</v>
      </c>
      <c r="E1766" s="1" t="s">
        <v>541</v>
      </c>
    </row>
    <row r="1767" spans="1:5" x14ac:dyDescent="0.25">
      <c r="A1767" s="13">
        <v>79959919</v>
      </c>
      <c r="B1767" s="11" t="s">
        <v>116</v>
      </c>
      <c r="C1767" s="1" t="s">
        <v>511</v>
      </c>
      <c r="D1767" s="1" t="s">
        <v>117</v>
      </c>
      <c r="E1767" s="1" t="s">
        <v>232</v>
      </c>
    </row>
    <row r="1768" spans="1:5" x14ac:dyDescent="0.25">
      <c r="A1768" s="13">
        <v>79960152</v>
      </c>
      <c r="B1768" s="11" t="s">
        <v>84</v>
      </c>
      <c r="C1768" s="1" t="s">
        <v>3573</v>
      </c>
      <c r="D1768" s="1" t="s">
        <v>43</v>
      </c>
      <c r="E1768" s="1" t="s">
        <v>10</v>
      </c>
    </row>
    <row r="1769" spans="1:5" x14ac:dyDescent="0.25">
      <c r="A1769" s="13">
        <v>79961347</v>
      </c>
      <c r="B1769" s="11" t="s">
        <v>84</v>
      </c>
      <c r="C1769" s="1" t="s">
        <v>510</v>
      </c>
      <c r="D1769" s="1" t="s">
        <v>38</v>
      </c>
      <c r="E1769" s="1" t="s">
        <v>10</v>
      </c>
    </row>
    <row r="1770" spans="1:5" x14ac:dyDescent="0.25">
      <c r="A1770" s="13">
        <v>79961627</v>
      </c>
      <c r="B1770" s="11" t="s">
        <v>116</v>
      </c>
      <c r="C1770" s="1" t="s">
        <v>509</v>
      </c>
      <c r="D1770" s="1" t="s">
        <v>117</v>
      </c>
      <c r="E1770" s="1" t="s">
        <v>8</v>
      </c>
    </row>
    <row r="1771" spans="1:5" x14ac:dyDescent="0.25">
      <c r="A1771" s="13">
        <v>79962064</v>
      </c>
      <c r="B1771" s="11" t="s">
        <v>84</v>
      </c>
      <c r="C1771" s="1" t="s">
        <v>3276</v>
      </c>
      <c r="D1771" s="1" t="s">
        <v>43</v>
      </c>
      <c r="E1771" s="1" t="s">
        <v>3211</v>
      </c>
    </row>
    <row r="1772" spans="1:5" x14ac:dyDescent="0.25">
      <c r="A1772" s="13">
        <v>79966843</v>
      </c>
      <c r="B1772" s="11" t="s">
        <v>116</v>
      </c>
      <c r="C1772" s="1" t="s">
        <v>508</v>
      </c>
      <c r="D1772" s="1" t="s">
        <v>117</v>
      </c>
      <c r="E1772" s="1" t="s">
        <v>453</v>
      </c>
    </row>
    <row r="1773" spans="1:5" x14ac:dyDescent="0.25">
      <c r="A1773" s="13">
        <v>79970416</v>
      </c>
      <c r="B1773" s="11" t="s">
        <v>84</v>
      </c>
      <c r="C1773" s="1" t="s">
        <v>507</v>
      </c>
      <c r="D1773" s="1" t="s">
        <v>43</v>
      </c>
      <c r="E1773" s="1" t="s">
        <v>6</v>
      </c>
    </row>
    <row r="1774" spans="1:5" x14ac:dyDescent="0.25">
      <c r="A1774" s="13">
        <v>79979759</v>
      </c>
      <c r="B1774" s="11" t="s">
        <v>116</v>
      </c>
      <c r="C1774" s="1" t="s">
        <v>506</v>
      </c>
      <c r="D1774" s="1" t="s">
        <v>117</v>
      </c>
      <c r="E1774" s="1" t="s">
        <v>6</v>
      </c>
    </row>
    <row r="1775" spans="1:5" x14ac:dyDescent="0.25">
      <c r="A1775" s="13">
        <v>79985581</v>
      </c>
      <c r="B1775" s="11" t="s">
        <v>84</v>
      </c>
      <c r="C1775" s="1" t="s">
        <v>505</v>
      </c>
      <c r="D1775" s="1" t="s">
        <v>38</v>
      </c>
      <c r="E1775" s="1" t="s">
        <v>170</v>
      </c>
    </row>
    <row r="1776" spans="1:5" x14ac:dyDescent="0.25">
      <c r="A1776" s="13">
        <v>79986375</v>
      </c>
      <c r="B1776" s="11" t="s">
        <v>116</v>
      </c>
      <c r="C1776" s="1" t="s">
        <v>504</v>
      </c>
      <c r="D1776" s="1" t="s">
        <v>117</v>
      </c>
      <c r="E1776" s="1" t="s">
        <v>10</v>
      </c>
    </row>
    <row r="1777" spans="1:5" x14ac:dyDescent="0.25">
      <c r="A1777" s="13">
        <v>79986907</v>
      </c>
      <c r="B1777" s="11" t="s">
        <v>83</v>
      </c>
      <c r="C1777" s="1" t="s">
        <v>503</v>
      </c>
      <c r="D1777" s="1" t="s">
        <v>77</v>
      </c>
      <c r="E1777" s="1" t="s">
        <v>4</v>
      </c>
    </row>
    <row r="1778" spans="1:5" x14ac:dyDescent="0.25">
      <c r="A1778" s="13">
        <v>79988490</v>
      </c>
      <c r="B1778" s="11" t="s">
        <v>116</v>
      </c>
      <c r="C1778" s="1" t="s">
        <v>502</v>
      </c>
      <c r="D1778" s="1" t="s">
        <v>117</v>
      </c>
      <c r="E1778" s="1" t="s">
        <v>210</v>
      </c>
    </row>
    <row r="1779" spans="1:5" x14ac:dyDescent="0.25">
      <c r="A1779" s="13">
        <v>79991494</v>
      </c>
      <c r="B1779" s="11" t="s">
        <v>83</v>
      </c>
      <c r="C1779" s="1" t="s">
        <v>501</v>
      </c>
      <c r="D1779" s="1" t="s">
        <v>47</v>
      </c>
      <c r="E1779" s="1" t="s">
        <v>26</v>
      </c>
    </row>
    <row r="1780" spans="1:5" x14ac:dyDescent="0.25">
      <c r="A1780" s="13">
        <v>79996387</v>
      </c>
      <c r="B1780" s="11" t="s">
        <v>84</v>
      </c>
      <c r="C1780" s="1" t="s">
        <v>500</v>
      </c>
      <c r="D1780" s="1" t="s">
        <v>38</v>
      </c>
      <c r="E1780" s="1" t="s">
        <v>8</v>
      </c>
    </row>
    <row r="1781" spans="1:5" x14ac:dyDescent="0.25">
      <c r="A1781" s="13">
        <v>79998567</v>
      </c>
      <c r="B1781" s="11" t="s">
        <v>84</v>
      </c>
      <c r="C1781" s="1" t="s">
        <v>497</v>
      </c>
      <c r="D1781" s="1" t="s">
        <v>498</v>
      </c>
      <c r="E1781" s="1" t="s">
        <v>499</v>
      </c>
    </row>
    <row r="1782" spans="1:5" x14ac:dyDescent="0.25">
      <c r="A1782" s="13">
        <v>80001251</v>
      </c>
      <c r="B1782" s="11" t="s">
        <v>116</v>
      </c>
      <c r="C1782" s="1" t="s">
        <v>496</v>
      </c>
      <c r="D1782" s="1" t="s">
        <v>117</v>
      </c>
      <c r="E1782" s="1" t="s">
        <v>14</v>
      </c>
    </row>
    <row r="1783" spans="1:5" x14ac:dyDescent="0.25">
      <c r="A1783" s="13">
        <v>80003494</v>
      </c>
      <c r="B1783" s="11" t="s">
        <v>83</v>
      </c>
      <c r="C1783" s="1" t="s">
        <v>494</v>
      </c>
      <c r="D1783" s="1" t="s">
        <v>42</v>
      </c>
      <c r="E1783" s="1" t="s">
        <v>495</v>
      </c>
    </row>
    <row r="1784" spans="1:5" x14ac:dyDescent="0.25">
      <c r="A1784" s="13">
        <v>80006490</v>
      </c>
      <c r="B1784" s="11" t="s">
        <v>116</v>
      </c>
      <c r="C1784" s="1" t="s">
        <v>493</v>
      </c>
      <c r="D1784" s="1" t="s">
        <v>117</v>
      </c>
      <c r="E1784" s="1" t="s">
        <v>147</v>
      </c>
    </row>
    <row r="1785" spans="1:5" x14ac:dyDescent="0.25">
      <c r="A1785" s="13">
        <v>80007424</v>
      </c>
      <c r="B1785" s="11" t="s">
        <v>83</v>
      </c>
      <c r="C1785" s="1" t="s">
        <v>492</v>
      </c>
      <c r="D1785" s="1" t="s">
        <v>49</v>
      </c>
      <c r="E1785" s="1" t="s">
        <v>18</v>
      </c>
    </row>
    <row r="1786" spans="1:5" x14ac:dyDescent="0.25">
      <c r="A1786" s="13">
        <v>80007564</v>
      </c>
      <c r="B1786" s="11" t="s">
        <v>116</v>
      </c>
      <c r="C1786" s="1" t="s">
        <v>490</v>
      </c>
      <c r="D1786" s="1" t="s">
        <v>117</v>
      </c>
      <c r="E1786" s="1" t="s">
        <v>491</v>
      </c>
    </row>
    <row r="1787" spans="1:5" x14ac:dyDescent="0.25">
      <c r="A1787" s="13">
        <v>80010042</v>
      </c>
      <c r="B1787" s="11" t="s">
        <v>116</v>
      </c>
      <c r="C1787" s="1" t="s">
        <v>3095</v>
      </c>
      <c r="D1787" s="1" t="s">
        <v>117</v>
      </c>
      <c r="E1787" s="1" t="s">
        <v>3118</v>
      </c>
    </row>
    <row r="1788" spans="1:5" x14ac:dyDescent="0.25">
      <c r="A1788" s="13">
        <v>80012422</v>
      </c>
      <c r="B1788" s="11" t="s">
        <v>84</v>
      </c>
      <c r="C1788" s="1" t="s">
        <v>489</v>
      </c>
      <c r="D1788" s="1" t="s">
        <v>38</v>
      </c>
      <c r="E1788" s="1" t="s">
        <v>12</v>
      </c>
    </row>
    <row r="1789" spans="1:5" x14ac:dyDescent="0.25">
      <c r="A1789" s="13">
        <v>80015826</v>
      </c>
      <c r="B1789" s="11" t="s">
        <v>116</v>
      </c>
      <c r="C1789" s="1" t="s">
        <v>488</v>
      </c>
      <c r="D1789" s="1" t="s">
        <v>117</v>
      </c>
      <c r="E1789" s="1" t="s">
        <v>10</v>
      </c>
    </row>
    <row r="1790" spans="1:5" x14ac:dyDescent="0.25">
      <c r="A1790" s="13">
        <v>80016487</v>
      </c>
      <c r="B1790" s="11" t="s">
        <v>84</v>
      </c>
      <c r="C1790" s="1" t="s">
        <v>487</v>
      </c>
      <c r="D1790" s="1" t="s">
        <v>38</v>
      </c>
      <c r="E1790" s="1" t="s">
        <v>6</v>
      </c>
    </row>
    <row r="1791" spans="1:5" x14ac:dyDescent="0.25">
      <c r="A1791" s="13">
        <v>80017791</v>
      </c>
      <c r="B1791" s="11" t="s">
        <v>116</v>
      </c>
      <c r="C1791" s="1" t="s">
        <v>486</v>
      </c>
      <c r="D1791" s="1" t="s">
        <v>151</v>
      </c>
      <c r="E1791" s="1" t="s">
        <v>152</v>
      </c>
    </row>
    <row r="1792" spans="1:5" x14ac:dyDescent="0.25">
      <c r="A1792" s="13">
        <v>80018174</v>
      </c>
      <c r="B1792" s="11" t="s">
        <v>83</v>
      </c>
      <c r="C1792" s="1" t="s">
        <v>485</v>
      </c>
      <c r="D1792" s="1" t="s">
        <v>102</v>
      </c>
      <c r="E1792" s="1" t="s">
        <v>19</v>
      </c>
    </row>
    <row r="1793" spans="1:5" x14ac:dyDescent="0.25">
      <c r="A1793" s="13">
        <v>80019999</v>
      </c>
      <c r="B1793" s="11" t="s">
        <v>116</v>
      </c>
      <c r="C1793" s="1" t="s">
        <v>484</v>
      </c>
      <c r="D1793" s="1" t="s">
        <v>117</v>
      </c>
      <c r="E1793" s="1" t="s">
        <v>10</v>
      </c>
    </row>
    <row r="1794" spans="1:5" x14ac:dyDescent="0.25">
      <c r="A1794" s="13">
        <v>80022697</v>
      </c>
      <c r="B1794" s="11" t="s">
        <v>84</v>
      </c>
      <c r="C1794" s="1" t="s">
        <v>3024</v>
      </c>
      <c r="D1794" s="1" t="s">
        <v>38</v>
      </c>
      <c r="E1794" s="1" t="s">
        <v>10</v>
      </c>
    </row>
    <row r="1795" spans="1:5" x14ac:dyDescent="0.25">
      <c r="A1795" s="13">
        <v>80023071</v>
      </c>
      <c r="B1795" s="11" t="s">
        <v>84</v>
      </c>
      <c r="C1795" s="1" t="s">
        <v>483</v>
      </c>
      <c r="D1795" s="1" t="s">
        <v>38</v>
      </c>
      <c r="E1795" s="1" t="s">
        <v>8</v>
      </c>
    </row>
    <row r="1796" spans="1:5" x14ac:dyDescent="0.25">
      <c r="A1796" s="13">
        <v>80023577</v>
      </c>
      <c r="B1796" s="11" t="s">
        <v>116</v>
      </c>
      <c r="C1796" s="1" t="s">
        <v>482</v>
      </c>
      <c r="D1796" s="1" t="s">
        <v>117</v>
      </c>
      <c r="E1796" s="1" t="s">
        <v>186</v>
      </c>
    </row>
    <row r="1797" spans="1:5" x14ac:dyDescent="0.25">
      <c r="A1797" s="13">
        <v>80024970</v>
      </c>
      <c r="B1797" s="11" t="s">
        <v>116</v>
      </c>
      <c r="C1797" s="1" t="s">
        <v>481</v>
      </c>
      <c r="D1797" s="1" t="s">
        <v>117</v>
      </c>
      <c r="E1797" s="1" t="s">
        <v>10</v>
      </c>
    </row>
    <row r="1798" spans="1:5" x14ac:dyDescent="0.25">
      <c r="A1798" s="13">
        <v>80025435</v>
      </c>
      <c r="B1798" s="11" t="s">
        <v>83</v>
      </c>
      <c r="C1798" s="1" t="s">
        <v>479</v>
      </c>
      <c r="D1798" s="1" t="s">
        <v>480</v>
      </c>
      <c r="E1798" s="1" t="s">
        <v>31</v>
      </c>
    </row>
    <row r="1799" spans="1:5" x14ac:dyDescent="0.25">
      <c r="A1799" s="13">
        <v>80026493</v>
      </c>
      <c r="B1799" s="11" t="s">
        <v>116</v>
      </c>
      <c r="C1799" s="1" t="s">
        <v>478</v>
      </c>
      <c r="D1799" s="1" t="s">
        <v>117</v>
      </c>
      <c r="E1799" s="1" t="s">
        <v>168</v>
      </c>
    </row>
    <row r="1800" spans="1:5" x14ac:dyDescent="0.25">
      <c r="A1800" s="13">
        <v>80033462</v>
      </c>
      <c r="B1800" s="11" t="s">
        <v>83</v>
      </c>
      <c r="C1800" s="1" t="s">
        <v>476</v>
      </c>
      <c r="D1800" s="1" t="s">
        <v>477</v>
      </c>
      <c r="E1800" s="1" t="s">
        <v>33</v>
      </c>
    </row>
    <row r="1801" spans="1:5" x14ac:dyDescent="0.25">
      <c r="A1801" s="13">
        <v>80035431</v>
      </c>
      <c r="B1801" s="11" t="s">
        <v>84</v>
      </c>
      <c r="C1801" s="1" t="s">
        <v>475</v>
      </c>
      <c r="D1801" s="1" t="s">
        <v>38</v>
      </c>
      <c r="E1801" s="1" t="s">
        <v>10</v>
      </c>
    </row>
    <row r="1802" spans="1:5" x14ac:dyDescent="0.25">
      <c r="A1802" s="13">
        <v>80036972</v>
      </c>
      <c r="B1802" s="11" t="s">
        <v>84</v>
      </c>
      <c r="C1802" s="1" t="s">
        <v>474</v>
      </c>
      <c r="D1802" s="1" t="s">
        <v>38</v>
      </c>
      <c r="E1802" s="1" t="s">
        <v>168</v>
      </c>
    </row>
    <row r="1803" spans="1:5" x14ac:dyDescent="0.25">
      <c r="A1803" s="13">
        <v>80037224</v>
      </c>
      <c r="B1803" s="11" t="s">
        <v>116</v>
      </c>
      <c r="C1803" s="1" t="s">
        <v>473</v>
      </c>
      <c r="D1803" s="1" t="s">
        <v>117</v>
      </c>
      <c r="E1803" s="1" t="s">
        <v>147</v>
      </c>
    </row>
    <row r="1804" spans="1:5" x14ac:dyDescent="0.25">
      <c r="A1804" s="13">
        <v>80039032</v>
      </c>
      <c r="B1804" s="11" t="s">
        <v>116</v>
      </c>
      <c r="C1804" s="1" t="s">
        <v>472</v>
      </c>
      <c r="D1804" s="1" t="s">
        <v>117</v>
      </c>
      <c r="E1804" s="1" t="s">
        <v>8</v>
      </c>
    </row>
    <row r="1805" spans="1:5" x14ac:dyDescent="0.25">
      <c r="A1805" s="13">
        <v>80039147</v>
      </c>
      <c r="B1805" s="11" t="s">
        <v>84</v>
      </c>
      <c r="C1805" s="1" t="s">
        <v>3277</v>
      </c>
      <c r="D1805" s="1" t="s">
        <v>38</v>
      </c>
      <c r="E1805" s="1" t="s">
        <v>170</v>
      </c>
    </row>
    <row r="1806" spans="1:5" x14ac:dyDescent="0.25">
      <c r="A1806" s="13">
        <v>80039235</v>
      </c>
      <c r="B1806" s="11" t="s">
        <v>84</v>
      </c>
      <c r="C1806" s="1" t="s">
        <v>471</v>
      </c>
      <c r="D1806" s="1" t="s">
        <v>137</v>
      </c>
      <c r="E1806" s="1" t="s">
        <v>142</v>
      </c>
    </row>
    <row r="1807" spans="1:5" x14ac:dyDescent="0.25">
      <c r="A1807" s="13">
        <v>80039647</v>
      </c>
      <c r="B1807" s="11" t="s">
        <v>116</v>
      </c>
      <c r="C1807" s="1" t="s">
        <v>470</v>
      </c>
      <c r="D1807" s="1" t="s">
        <v>117</v>
      </c>
      <c r="E1807" s="1" t="s">
        <v>179</v>
      </c>
    </row>
    <row r="1808" spans="1:5" x14ac:dyDescent="0.25">
      <c r="A1808" s="13">
        <v>80049686</v>
      </c>
      <c r="B1808" s="11" t="s">
        <v>116</v>
      </c>
      <c r="C1808" s="1" t="s">
        <v>469</v>
      </c>
      <c r="D1808" s="1" t="s">
        <v>117</v>
      </c>
      <c r="E1808" s="1" t="s">
        <v>85</v>
      </c>
    </row>
    <row r="1809" spans="1:5" x14ac:dyDescent="0.25">
      <c r="A1809" s="13">
        <v>80049711</v>
      </c>
      <c r="B1809" s="11" t="s">
        <v>84</v>
      </c>
      <c r="C1809" s="1" t="s">
        <v>468</v>
      </c>
      <c r="D1809" s="1" t="s">
        <v>43</v>
      </c>
      <c r="E1809" s="1" t="s">
        <v>5</v>
      </c>
    </row>
    <row r="1810" spans="1:5" x14ac:dyDescent="0.25">
      <c r="A1810" s="13">
        <v>80050294</v>
      </c>
      <c r="B1810" s="11" t="s">
        <v>84</v>
      </c>
      <c r="C1810" s="1" t="s">
        <v>3278</v>
      </c>
      <c r="D1810" s="1" t="s">
        <v>38</v>
      </c>
      <c r="E1810" s="1" t="s">
        <v>14</v>
      </c>
    </row>
    <row r="1811" spans="1:5" x14ac:dyDescent="0.25">
      <c r="A1811" s="13">
        <v>80054575</v>
      </c>
      <c r="B1811" s="11" t="s">
        <v>83</v>
      </c>
      <c r="C1811" s="1" t="s">
        <v>3279</v>
      </c>
      <c r="D1811" s="1" t="s">
        <v>64</v>
      </c>
      <c r="E1811" s="1" t="s">
        <v>25</v>
      </c>
    </row>
    <row r="1812" spans="1:5" x14ac:dyDescent="0.25">
      <c r="A1812" s="13">
        <v>80057281</v>
      </c>
      <c r="B1812" s="11" t="s">
        <v>116</v>
      </c>
      <c r="C1812" s="1" t="s">
        <v>467</v>
      </c>
      <c r="D1812" s="1" t="s">
        <v>117</v>
      </c>
      <c r="E1812" s="1" t="s">
        <v>6</v>
      </c>
    </row>
    <row r="1813" spans="1:5" x14ac:dyDescent="0.25">
      <c r="A1813" s="13">
        <v>80057955</v>
      </c>
      <c r="B1813" s="11" t="s">
        <v>116</v>
      </c>
      <c r="C1813" s="1" t="s">
        <v>466</v>
      </c>
      <c r="D1813" s="1" t="s">
        <v>117</v>
      </c>
      <c r="E1813" s="1" t="s">
        <v>10</v>
      </c>
    </row>
    <row r="1814" spans="1:5" x14ac:dyDescent="0.25">
      <c r="A1814" s="13">
        <v>80058545</v>
      </c>
      <c r="B1814" s="11" t="s">
        <v>116</v>
      </c>
      <c r="C1814" s="1" t="s">
        <v>465</v>
      </c>
      <c r="D1814" s="1" t="s">
        <v>117</v>
      </c>
      <c r="E1814" s="1" t="s">
        <v>7</v>
      </c>
    </row>
    <row r="1815" spans="1:5" x14ac:dyDescent="0.25">
      <c r="A1815" s="13">
        <v>80058550</v>
      </c>
      <c r="B1815" s="11" t="s">
        <v>83</v>
      </c>
      <c r="C1815" s="1" t="s">
        <v>463</v>
      </c>
      <c r="D1815" s="1" t="s">
        <v>464</v>
      </c>
      <c r="E1815" s="1" t="s">
        <v>196</v>
      </c>
    </row>
    <row r="1816" spans="1:5" x14ac:dyDescent="0.25">
      <c r="A1816" s="13">
        <v>80059783</v>
      </c>
      <c r="B1816" s="11" t="s">
        <v>84</v>
      </c>
      <c r="C1816" s="1" t="s">
        <v>3574</v>
      </c>
      <c r="D1816" s="1" t="s">
        <v>38</v>
      </c>
      <c r="E1816" s="1" t="s">
        <v>11</v>
      </c>
    </row>
    <row r="1817" spans="1:5" x14ac:dyDescent="0.25">
      <c r="A1817" s="13">
        <v>80060546</v>
      </c>
      <c r="B1817" s="11" t="s">
        <v>116</v>
      </c>
      <c r="C1817" s="1" t="s">
        <v>462</v>
      </c>
      <c r="D1817" s="1" t="s">
        <v>117</v>
      </c>
      <c r="E1817" s="1" t="s">
        <v>10</v>
      </c>
    </row>
    <row r="1818" spans="1:5" x14ac:dyDescent="0.25">
      <c r="A1818" s="13">
        <v>80060556</v>
      </c>
      <c r="B1818" s="11" t="s">
        <v>83</v>
      </c>
      <c r="C1818" s="1" t="s">
        <v>461</v>
      </c>
      <c r="D1818" s="1" t="s">
        <v>195</v>
      </c>
      <c r="E1818" s="1" t="s">
        <v>196</v>
      </c>
    </row>
    <row r="1819" spans="1:5" x14ac:dyDescent="0.25">
      <c r="A1819" s="13">
        <v>80060748</v>
      </c>
      <c r="B1819" s="11" t="s">
        <v>84</v>
      </c>
      <c r="C1819" s="1" t="s">
        <v>3166</v>
      </c>
      <c r="D1819" s="1" t="s">
        <v>3167</v>
      </c>
      <c r="E1819" s="1" t="s">
        <v>1</v>
      </c>
    </row>
    <row r="1820" spans="1:5" x14ac:dyDescent="0.25">
      <c r="A1820" s="13">
        <v>80061004</v>
      </c>
      <c r="B1820" s="11" t="s">
        <v>84</v>
      </c>
      <c r="C1820" s="1" t="s">
        <v>3575</v>
      </c>
      <c r="D1820" s="1" t="s">
        <v>38</v>
      </c>
      <c r="E1820" s="1" t="s">
        <v>3</v>
      </c>
    </row>
    <row r="1821" spans="1:5" x14ac:dyDescent="0.25">
      <c r="A1821" s="13">
        <v>80062024</v>
      </c>
      <c r="B1821" s="11" t="s">
        <v>116</v>
      </c>
      <c r="C1821" s="1" t="s">
        <v>460</v>
      </c>
      <c r="D1821" s="1" t="s">
        <v>117</v>
      </c>
      <c r="E1821" s="1" t="s">
        <v>11</v>
      </c>
    </row>
    <row r="1822" spans="1:5" x14ac:dyDescent="0.25">
      <c r="A1822" s="13">
        <v>80062609</v>
      </c>
      <c r="B1822" s="11" t="s">
        <v>116</v>
      </c>
      <c r="C1822" s="1" t="s">
        <v>459</v>
      </c>
      <c r="D1822" s="1" t="s">
        <v>117</v>
      </c>
      <c r="E1822" s="1" t="s">
        <v>205</v>
      </c>
    </row>
    <row r="1823" spans="1:5" x14ac:dyDescent="0.25">
      <c r="A1823" s="13">
        <v>80064785</v>
      </c>
      <c r="B1823" s="11" t="s">
        <v>84</v>
      </c>
      <c r="C1823" s="1" t="s">
        <v>458</v>
      </c>
      <c r="D1823" s="1" t="s">
        <v>151</v>
      </c>
      <c r="E1823" s="1" t="s">
        <v>17</v>
      </c>
    </row>
    <row r="1824" spans="1:5" x14ac:dyDescent="0.25">
      <c r="A1824" s="13">
        <v>80067361</v>
      </c>
      <c r="B1824" s="11" t="s">
        <v>116</v>
      </c>
      <c r="C1824" s="1" t="s">
        <v>3050</v>
      </c>
      <c r="D1824" s="1" t="s">
        <v>117</v>
      </c>
      <c r="E1824" s="1" t="s">
        <v>120</v>
      </c>
    </row>
    <row r="1825" spans="1:5" x14ac:dyDescent="0.25">
      <c r="A1825" s="13">
        <v>80067615</v>
      </c>
      <c r="B1825" s="11" t="s">
        <v>84</v>
      </c>
      <c r="C1825" s="1" t="s">
        <v>457</v>
      </c>
      <c r="D1825" s="1" t="s">
        <v>38</v>
      </c>
      <c r="E1825" s="1" t="s">
        <v>14</v>
      </c>
    </row>
    <row r="1826" spans="1:5" x14ac:dyDescent="0.25">
      <c r="A1826" s="13">
        <v>80071398</v>
      </c>
      <c r="B1826" s="11" t="s">
        <v>84</v>
      </c>
      <c r="C1826" s="1" t="s">
        <v>456</v>
      </c>
      <c r="D1826" s="1" t="s">
        <v>38</v>
      </c>
      <c r="E1826" s="1" t="s">
        <v>5</v>
      </c>
    </row>
    <row r="1827" spans="1:5" x14ac:dyDescent="0.25">
      <c r="A1827" s="13">
        <v>80071799</v>
      </c>
      <c r="B1827" s="11" t="s">
        <v>84</v>
      </c>
      <c r="C1827" s="1" t="s">
        <v>3280</v>
      </c>
      <c r="D1827" s="1" t="s">
        <v>3142</v>
      </c>
      <c r="E1827" s="1" t="s">
        <v>3071</v>
      </c>
    </row>
    <row r="1828" spans="1:5" x14ac:dyDescent="0.25">
      <c r="A1828" s="13">
        <v>80071813</v>
      </c>
      <c r="B1828" s="11" t="s">
        <v>84</v>
      </c>
      <c r="C1828" s="1" t="s">
        <v>455</v>
      </c>
      <c r="D1828" s="1" t="s">
        <v>151</v>
      </c>
      <c r="E1828" s="1" t="s">
        <v>152</v>
      </c>
    </row>
    <row r="1829" spans="1:5" x14ac:dyDescent="0.25">
      <c r="A1829" s="13">
        <v>80075721</v>
      </c>
      <c r="B1829" s="11" t="s">
        <v>84</v>
      </c>
      <c r="C1829" s="1" t="s">
        <v>454</v>
      </c>
      <c r="D1829" s="1" t="s">
        <v>43</v>
      </c>
      <c r="E1829" s="1" t="s">
        <v>8</v>
      </c>
    </row>
    <row r="1830" spans="1:5" x14ac:dyDescent="0.25">
      <c r="A1830" s="13">
        <v>80076128</v>
      </c>
      <c r="B1830" s="11" t="s">
        <v>116</v>
      </c>
      <c r="C1830" s="1" t="s">
        <v>452</v>
      </c>
      <c r="D1830" s="1" t="s">
        <v>117</v>
      </c>
      <c r="E1830" s="1" t="s">
        <v>453</v>
      </c>
    </row>
    <row r="1831" spans="1:5" x14ac:dyDescent="0.25">
      <c r="A1831" s="13">
        <v>80086886</v>
      </c>
      <c r="B1831" s="11" t="s">
        <v>83</v>
      </c>
      <c r="C1831" s="1" t="s">
        <v>451</v>
      </c>
      <c r="D1831" s="1" t="s">
        <v>217</v>
      </c>
      <c r="E1831" s="1" t="s">
        <v>19</v>
      </c>
    </row>
    <row r="1832" spans="1:5" x14ac:dyDescent="0.25">
      <c r="A1832" s="13">
        <v>80091118</v>
      </c>
      <c r="B1832" s="11" t="s">
        <v>116</v>
      </c>
      <c r="C1832" s="1" t="s">
        <v>450</v>
      </c>
      <c r="D1832" s="1" t="s">
        <v>131</v>
      </c>
      <c r="E1832" s="1" t="s">
        <v>342</v>
      </c>
    </row>
    <row r="1833" spans="1:5" x14ac:dyDescent="0.25">
      <c r="A1833" s="13">
        <v>80092690</v>
      </c>
      <c r="B1833" s="11" t="s">
        <v>116</v>
      </c>
      <c r="C1833" s="1" t="s">
        <v>449</v>
      </c>
      <c r="D1833" s="1" t="s">
        <v>117</v>
      </c>
      <c r="E1833" s="1" t="s">
        <v>232</v>
      </c>
    </row>
    <row r="1834" spans="1:5" x14ac:dyDescent="0.25">
      <c r="A1834" s="13">
        <v>80093192</v>
      </c>
      <c r="B1834" s="11" t="s">
        <v>116</v>
      </c>
      <c r="C1834" s="1" t="s">
        <v>448</v>
      </c>
      <c r="D1834" s="1" t="s">
        <v>117</v>
      </c>
      <c r="E1834" s="1" t="s">
        <v>6</v>
      </c>
    </row>
    <row r="1835" spans="1:5" x14ac:dyDescent="0.25">
      <c r="A1835" s="13">
        <v>80093697</v>
      </c>
      <c r="B1835" s="11" t="s">
        <v>116</v>
      </c>
      <c r="C1835" s="1" t="s">
        <v>447</v>
      </c>
      <c r="D1835" s="1" t="s">
        <v>117</v>
      </c>
      <c r="E1835" s="1" t="s">
        <v>179</v>
      </c>
    </row>
    <row r="1836" spans="1:5" x14ac:dyDescent="0.25">
      <c r="A1836" s="13">
        <v>80096305</v>
      </c>
      <c r="B1836" s="11" t="s">
        <v>116</v>
      </c>
      <c r="C1836" s="1" t="s">
        <v>446</v>
      </c>
      <c r="D1836" s="1" t="s">
        <v>117</v>
      </c>
      <c r="E1836" s="1" t="s">
        <v>5</v>
      </c>
    </row>
    <row r="1837" spans="1:5" x14ac:dyDescent="0.25">
      <c r="A1837" s="13">
        <v>80096813</v>
      </c>
      <c r="B1837" s="11" t="s">
        <v>84</v>
      </c>
      <c r="C1837" s="1" t="s">
        <v>445</v>
      </c>
      <c r="D1837" s="1" t="s">
        <v>38</v>
      </c>
      <c r="E1837" s="1" t="s">
        <v>3</v>
      </c>
    </row>
    <row r="1838" spans="1:5" x14ac:dyDescent="0.25">
      <c r="A1838" s="13">
        <v>80097095</v>
      </c>
      <c r="B1838" s="11" t="s">
        <v>84</v>
      </c>
      <c r="C1838" s="1" t="s">
        <v>3281</v>
      </c>
      <c r="D1838" s="1" t="s">
        <v>3282</v>
      </c>
      <c r="E1838" s="1" t="s">
        <v>22</v>
      </c>
    </row>
    <row r="1839" spans="1:5" x14ac:dyDescent="0.25">
      <c r="A1839" s="13">
        <v>80097836</v>
      </c>
      <c r="B1839" s="11" t="s">
        <v>84</v>
      </c>
      <c r="C1839" s="1" t="s">
        <v>444</v>
      </c>
      <c r="D1839" s="1" t="s">
        <v>38</v>
      </c>
      <c r="E1839" s="1" t="s">
        <v>14</v>
      </c>
    </row>
    <row r="1840" spans="1:5" x14ac:dyDescent="0.25">
      <c r="A1840" s="13">
        <v>80098990</v>
      </c>
      <c r="B1840" s="11" t="s">
        <v>116</v>
      </c>
      <c r="C1840" s="1" t="s">
        <v>443</v>
      </c>
      <c r="D1840" s="1" t="s">
        <v>117</v>
      </c>
      <c r="E1840" s="1" t="s">
        <v>263</v>
      </c>
    </row>
    <row r="1841" spans="1:5" x14ac:dyDescent="0.25">
      <c r="A1841" s="13">
        <v>80111510</v>
      </c>
      <c r="B1841" s="11" t="s">
        <v>84</v>
      </c>
      <c r="C1841" s="1" t="s">
        <v>442</v>
      </c>
      <c r="D1841" s="1" t="s">
        <v>43</v>
      </c>
      <c r="E1841" s="1" t="s">
        <v>127</v>
      </c>
    </row>
    <row r="1842" spans="1:5" x14ac:dyDescent="0.25">
      <c r="A1842" s="13">
        <v>80112191</v>
      </c>
      <c r="B1842" s="11" t="s">
        <v>116</v>
      </c>
      <c r="C1842" s="1" t="s">
        <v>3283</v>
      </c>
      <c r="D1842" s="1" t="s">
        <v>117</v>
      </c>
      <c r="E1842" s="1" t="s">
        <v>8</v>
      </c>
    </row>
    <row r="1843" spans="1:5" x14ac:dyDescent="0.25">
      <c r="A1843" s="13">
        <v>80115076</v>
      </c>
      <c r="B1843" s="11" t="s">
        <v>116</v>
      </c>
      <c r="C1843" s="1" t="s">
        <v>441</v>
      </c>
      <c r="D1843" s="1" t="s">
        <v>117</v>
      </c>
      <c r="E1843" s="1" t="s">
        <v>5</v>
      </c>
    </row>
    <row r="1844" spans="1:5" x14ac:dyDescent="0.25">
      <c r="A1844" s="13">
        <v>80115169</v>
      </c>
      <c r="B1844" s="11" t="s">
        <v>84</v>
      </c>
      <c r="C1844" s="1" t="s">
        <v>3680</v>
      </c>
      <c r="D1844" s="1" t="s">
        <v>38</v>
      </c>
      <c r="E1844" s="1" t="s">
        <v>3199</v>
      </c>
    </row>
    <row r="1845" spans="1:5" x14ac:dyDescent="0.25">
      <c r="A1845" s="13">
        <v>80117154</v>
      </c>
      <c r="B1845" s="11" t="s">
        <v>84</v>
      </c>
      <c r="C1845" s="1" t="s">
        <v>3284</v>
      </c>
      <c r="D1845" s="1" t="s">
        <v>38</v>
      </c>
      <c r="E1845" s="1" t="s">
        <v>3</v>
      </c>
    </row>
    <row r="1846" spans="1:5" x14ac:dyDescent="0.25">
      <c r="A1846" s="13">
        <v>80118121</v>
      </c>
      <c r="B1846" s="11" t="s">
        <v>84</v>
      </c>
      <c r="C1846" s="1" t="s">
        <v>3285</v>
      </c>
      <c r="D1846" s="1" t="s">
        <v>38</v>
      </c>
      <c r="E1846" s="1" t="s">
        <v>168</v>
      </c>
    </row>
    <row r="1847" spans="1:5" x14ac:dyDescent="0.25">
      <c r="A1847" s="13">
        <v>80119246</v>
      </c>
      <c r="B1847" s="11" t="s">
        <v>83</v>
      </c>
      <c r="C1847" s="1" t="s">
        <v>440</v>
      </c>
      <c r="D1847" s="1" t="s">
        <v>36</v>
      </c>
      <c r="E1847" s="1" t="s">
        <v>16</v>
      </c>
    </row>
    <row r="1848" spans="1:5" x14ac:dyDescent="0.25">
      <c r="A1848" s="13">
        <v>80119943</v>
      </c>
      <c r="B1848" s="11" t="s">
        <v>84</v>
      </c>
      <c r="C1848" s="1" t="s">
        <v>3286</v>
      </c>
      <c r="D1848" s="1" t="s">
        <v>38</v>
      </c>
      <c r="E1848" s="1" t="s">
        <v>5</v>
      </c>
    </row>
    <row r="1849" spans="1:5" x14ac:dyDescent="0.25">
      <c r="A1849" s="13">
        <v>80122115</v>
      </c>
      <c r="B1849" s="11" t="s">
        <v>83</v>
      </c>
      <c r="C1849" s="1" t="s">
        <v>439</v>
      </c>
      <c r="D1849" s="1" t="s">
        <v>47</v>
      </c>
      <c r="E1849" s="1" t="s">
        <v>16</v>
      </c>
    </row>
    <row r="1850" spans="1:5" x14ac:dyDescent="0.25">
      <c r="A1850" s="13">
        <v>80122741</v>
      </c>
      <c r="B1850" s="11" t="s">
        <v>84</v>
      </c>
      <c r="C1850" s="1" t="s">
        <v>438</v>
      </c>
      <c r="D1850" s="1" t="s">
        <v>151</v>
      </c>
      <c r="E1850" s="1" t="s">
        <v>152</v>
      </c>
    </row>
    <row r="1851" spans="1:5" x14ac:dyDescent="0.25">
      <c r="A1851" s="13">
        <v>80123400</v>
      </c>
      <c r="B1851" s="11" t="s">
        <v>84</v>
      </c>
      <c r="C1851" s="1" t="s">
        <v>3094</v>
      </c>
      <c r="D1851" s="1" t="s">
        <v>38</v>
      </c>
      <c r="E1851" s="1" t="s">
        <v>10</v>
      </c>
    </row>
    <row r="1852" spans="1:5" x14ac:dyDescent="0.25">
      <c r="A1852" s="13">
        <v>80124589</v>
      </c>
      <c r="B1852" s="11" t="s">
        <v>116</v>
      </c>
      <c r="C1852" s="1" t="s">
        <v>437</v>
      </c>
      <c r="D1852" s="1" t="s">
        <v>117</v>
      </c>
      <c r="E1852" s="1" t="s">
        <v>6</v>
      </c>
    </row>
    <row r="1853" spans="1:5" x14ac:dyDescent="0.25">
      <c r="A1853" s="13">
        <v>80125041</v>
      </c>
      <c r="B1853" s="11" t="s">
        <v>84</v>
      </c>
      <c r="C1853" s="1" t="s">
        <v>436</v>
      </c>
      <c r="D1853" s="1" t="s">
        <v>99</v>
      </c>
      <c r="E1853" s="1" t="s">
        <v>12</v>
      </c>
    </row>
    <row r="1854" spans="1:5" x14ac:dyDescent="0.25">
      <c r="A1854" s="13">
        <v>80134714</v>
      </c>
      <c r="B1854" s="11" t="s">
        <v>84</v>
      </c>
      <c r="C1854" s="1" t="s">
        <v>3025</v>
      </c>
      <c r="D1854" s="1" t="s">
        <v>38</v>
      </c>
      <c r="E1854" s="1" t="s">
        <v>12</v>
      </c>
    </row>
    <row r="1855" spans="1:5" x14ac:dyDescent="0.25">
      <c r="A1855" s="13">
        <v>80135746</v>
      </c>
      <c r="B1855" s="11" t="s">
        <v>116</v>
      </c>
      <c r="C1855" s="1" t="s">
        <v>435</v>
      </c>
      <c r="D1855" s="1" t="s">
        <v>117</v>
      </c>
      <c r="E1855" s="1" t="s">
        <v>118</v>
      </c>
    </row>
    <row r="1856" spans="1:5" x14ac:dyDescent="0.25">
      <c r="A1856" s="13">
        <v>80137083</v>
      </c>
      <c r="B1856" s="11" t="s">
        <v>116</v>
      </c>
      <c r="C1856" s="1" t="s">
        <v>434</v>
      </c>
      <c r="D1856" s="1" t="s">
        <v>117</v>
      </c>
      <c r="E1856" s="1" t="s">
        <v>14</v>
      </c>
    </row>
    <row r="1857" spans="1:5" x14ac:dyDescent="0.25">
      <c r="A1857" s="13">
        <v>80141444</v>
      </c>
      <c r="B1857" s="11" t="s">
        <v>84</v>
      </c>
      <c r="C1857" s="1" t="s">
        <v>433</v>
      </c>
      <c r="D1857" s="1" t="s">
        <v>43</v>
      </c>
      <c r="E1857" s="1" t="s">
        <v>328</v>
      </c>
    </row>
    <row r="1858" spans="1:5" x14ac:dyDescent="0.25">
      <c r="A1858" s="13">
        <v>80143300</v>
      </c>
      <c r="B1858" s="11" t="s">
        <v>116</v>
      </c>
      <c r="C1858" s="1" t="s">
        <v>3681</v>
      </c>
      <c r="D1858" s="1" t="s">
        <v>117</v>
      </c>
      <c r="E1858" s="1" t="s">
        <v>3190</v>
      </c>
    </row>
    <row r="1859" spans="1:5" x14ac:dyDescent="0.25">
      <c r="A1859" s="13">
        <v>80144378</v>
      </c>
      <c r="B1859" s="11" t="s">
        <v>84</v>
      </c>
      <c r="C1859" s="1" t="s">
        <v>432</v>
      </c>
      <c r="D1859" s="1" t="s">
        <v>43</v>
      </c>
      <c r="E1859" s="1" t="s">
        <v>127</v>
      </c>
    </row>
    <row r="1860" spans="1:5" x14ac:dyDescent="0.25">
      <c r="A1860" s="13">
        <v>80147522</v>
      </c>
      <c r="B1860" s="11" t="s">
        <v>83</v>
      </c>
      <c r="C1860" s="1" t="s">
        <v>431</v>
      </c>
      <c r="D1860" s="1" t="s">
        <v>141</v>
      </c>
      <c r="E1860" s="1" t="s">
        <v>152</v>
      </c>
    </row>
    <row r="1861" spans="1:5" x14ac:dyDescent="0.25">
      <c r="A1861" s="13">
        <v>80152304</v>
      </c>
      <c r="B1861" s="11" t="s">
        <v>83</v>
      </c>
      <c r="C1861" s="1" t="s">
        <v>429</v>
      </c>
      <c r="D1861" s="1" t="s">
        <v>430</v>
      </c>
      <c r="E1861" s="1" t="s">
        <v>31</v>
      </c>
    </row>
    <row r="1862" spans="1:5" x14ac:dyDescent="0.25">
      <c r="A1862" s="13">
        <v>80156671</v>
      </c>
      <c r="B1862" s="11" t="s">
        <v>116</v>
      </c>
      <c r="C1862" s="1" t="s">
        <v>428</v>
      </c>
      <c r="D1862" s="1" t="s">
        <v>117</v>
      </c>
      <c r="E1862" s="1" t="s">
        <v>422</v>
      </c>
    </row>
    <row r="1863" spans="1:5" x14ac:dyDescent="0.25">
      <c r="A1863" s="13">
        <v>80160649</v>
      </c>
      <c r="B1863" s="11" t="s">
        <v>84</v>
      </c>
      <c r="C1863" s="1" t="s">
        <v>3093</v>
      </c>
      <c r="D1863" s="1" t="s">
        <v>38</v>
      </c>
      <c r="E1863" s="1" t="s">
        <v>5</v>
      </c>
    </row>
    <row r="1864" spans="1:5" x14ac:dyDescent="0.25">
      <c r="A1864" s="13">
        <v>80161848</v>
      </c>
      <c r="B1864" s="11" t="s">
        <v>83</v>
      </c>
      <c r="C1864" s="1" t="s">
        <v>427</v>
      </c>
      <c r="D1864" s="1" t="s">
        <v>47</v>
      </c>
      <c r="E1864" s="1" t="s">
        <v>16</v>
      </c>
    </row>
    <row r="1865" spans="1:5" x14ac:dyDescent="0.25">
      <c r="A1865" s="13">
        <v>80163833</v>
      </c>
      <c r="B1865" s="11" t="s">
        <v>83</v>
      </c>
      <c r="C1865" s="1" t="s">
        <v>426</v>
      </c>
      <c r="D1865" s="1" t="s">
        <v>44</v>
      </c>
      <c r="E1865" s="1" t="s">
        <v>16</v>
      </c>
    </row>
    <row r="1866" spans="1:5" x14ac:dyDescent="0.25">
      <c r="A1866" s="13">
        <v>80165457</v>
      </c>
      <c r="B1866" s="11" t="s">
        <v>84</v>
      </c>
      <c r="C1866" s="1" t="s">
        <v>425</v>
      </c>
      <c r="D1866" s="1" t="s">
        <v>38</v>
      </c>
      <c r="E1866" s="1" t="s">
        <v>14</v>
      </c>
    </row>
    <row r="1867" spans="1:5" x14ac:dyDescent="0.25">
      <c r="A1867" s="13">
        <v>80165670</v>
      </c>
      <c r="B1867" s="11" t="s">
        <v>84</v>
      </c>
      <c r="C1867" s="1" t="s">
        <v>423</v>
      </c>
      <c r="D1867" s="1" t="s">
        <v>424</v>
      </c>
      <c r="E1867" s="1" t="s">
        <v>142</v>
      </c>
    </row>
    <row r="1868" spans="1:5" x14ac:dyDescent="0.25">
      <c r="A1868" s="13">
        <v>80166117</v>
      </c>
      <c r="B1868" s="11" t="s">
        <v>116</v>
      </c>
      <c r="C1868" s="1" t="s">
        <v>421</v>
      </c>
      <c r="D1868" s="1" t="s">
        <v>117</v>
      </c>
      <c r="E1868" s="1" t="s">
        <v>422</v>
      </c>
    </row>
    <row r="1869" spans="1:5" x14ac:dyDescent="0.25">
      <c r="A1869" s="13">
        <v>80166841</v>
      </c>
      <c r="B1869" s="11" t="s">
        <v>84</v>
      </c>
      <c r="C1869" s="1" t="s">
        <v>420</v>
      </c>
      <c r="D1869" s="1" t="s">
        <v>38</v>
      </c>
      <c r="E1869" s="1" t="s">
        <v>2</v>
      </c>
    </row>
    <row r="1870" spans="1:5" x14ac:dyDescent="0.25">
      <c r="A1870" s="13">
        <v>80167935</v>
      </c>
      <c r="B1870" s="11" t="s">
        <v>116</v>
      </c>
      <c r="C1870" s="1" t="s">
        <v>419</v>
      </c>
      <c r="D1870" s="1" t="s">
        <v>117</v>
      </c>
      <c r="E1870" s="1" t="s">
        <v>3</v>
      </c>
    </row>
    <row r="1871" spans="1:5" x14ac:dyDescent="0.25">
      <c r="A1871" s="13">
        <v>80168849</v>
      </c>
      <c r="B1871" s="11" t="s">
        <v>83</v>
      </c>
      <c r="C1871" s="1" t="s">
        <v>418</v>
      </c>
      <c r="D1871" s="1" t="s">
        <v>271</v>
      </c>
      <c r="E1871" s="1" t="s">
        <v>272</v>
      </c>
    </row>
    <row r="1872" spans="1:5" x14ac:dyDescent="0.25">
      <c r="A1872" s="13">
        <v>80170092</v>
      </c>
      <c r="B1872" s="11" t="s">
        <v>116</v>
      </c>
      <c r="C1872" s="1" t="s">
        <v>416</v>
      </c>
      <c r="D1872" s="1" t="s">
        <v>117</v>
      </c>
      <c r="E1872" s="1" t="s">
        <v>417</v>
      </c>
    </row>
    <row r="1873" spans="1:5" x14ac:dyDescent="0.25">
      <c r="A1873" s="13">
        <v>80171186</v>
      </c>
      <c r="B1873" s="11" t="s">
        <v>84</v>
      </c>
      <c r="C1873" s="1" t="s">
        <v>415</v>
      </c>
      <c r="D1873" s="1" t="s">
        <v>38</v>
      </c>
      <c r="E1873" s="1" t="s">
        <v>2</v>
      </c>
    </row>
    <row r="1874" spans="1:5" x14ac:dyDescent="0.25">
      <c r="A1874" s="13">
        <v>80172767</v>
      </c>
      <c r="B1874" s="11" t="s">
        <v>83</v>
      </c>
      <c r="C1874" s="1" t="s">
        <v>414</v>
      </c>
      <c r="D1874" s="1" t="s">
        <v>106</v>
      </c>
      <c r="E1874" s="1" t="s">
        <v>22</v>
      </c>
    </row>
    <row r="1875" spans="1:5" x14ac:dyDescent="0.25">
      <c r="A1875" s="13">
        <v>80173412</v>
      </c>
      <c r="B1875" s="11" t="s">
        <v>116</v>
      </c>
      <c r="C1875" s="1" t="s">
        <v>412</v>
      </c>
      <c r="D1875" s="1" t="s">
        <v>117</v>
      </c>
      <c r="E1875" s="1" t="s">
        <v>413</v>
      </c>
    </row>
    <row r="1876" spans="1:5" x14ac:dyDescent="0.25">
      <c r="A1876" s="13">
        <v>80175292</v>
      </c>
      <c r="B1876" s="11" t="s">
        <v>84</v>
      </c>
      <c r="C1876" s="1" t="s">
        <v>411</v>
      </c>
      <c r="D1876" s="1" t="s">
        <v>38</v>
      </c>
      <c r="E1876" s="1" t="s">
        <v>12</v>
      </c>
    </row>
    <row r="1877" spans="1:5" x14ac:dyDescent="0.25">
      <c r="A1877" s="13">
        <v>80177156</v>
      </c>
      <c r="B1877" s="11" t="s">
        <v>116</v>
      </c>
      <c r="C1877" s="1" t="s">
        <v>410</v>
      </c>
      <c r="D1877" s="1" t="s">
        <v>117</v>
      </c>
      <c r="E1877" s="1" t="s">
        <v>263</v>
      </c>
    </row>
    <row r="1878" spans="1:5" x14ac:dyDescent="0.25">
      <c r="A1878" s="13">
        <v>80177600</v>
      </c>
      <c r="B1878" s="11" t="s">
        <v>116</v>
      </c>
      <c r="C1878" s="1" t="s">
        <v>409</v>
      </c>
      <c r="D1878" s="1" t="s">
        <v>117</v>
      </c>
      <c r="E1878" s="1" t="s">
        <v>127</v>
      </c>
    </row>
    <row r="1879" spans="1:5" x14ac:dyDescent="0.25">
      <c r="A1879" s="13">
        <v>80177930</v>
      </c>
      <c r="B1879" s="11" t="s">
        <v>84</v>
      </c>
      <c r="C1879" s="1" t="s">
        <v>408</v>
      </c>
      <c r="D1879" s="1" t="s">
        <v>38</v>
      </c>
      <c r="E1879" s="1" t="s">
        <v>12</v>
      </c>
    </row>
    <row r="1880" spans="1:5" x14ac:dyDescent="0.25">
      <c r="A1880" s="13">
        <v>80185937</v>
      </c>
      <c r="B1880" s="11" t="s">
        <v>83</v>
      </c>
      <c r="C1880" s="1" t="s">
        <v>407</v>
      </c>
      <c r="D1880" s="1" t="s">
        <v>47</v>
      </c>
      <c r="E1880" s="1" t="s">
        <v>19</v>
      </c>
    </row>
    <row r="1881" spans="1:5" x14ac:dyDescent="0.25">
      <c r="A1881" s="13">
        <v>80186573</v>
      </c>
      <c r="B1881" s="11" t="s">
        <v>84</v>
      </c>
      <c r="C1881" s="1" t="s">
        <v>406</v>
      </c>
      <c r="D1881" s="1" t="s">
        <v>141</v>
      </c>
      <c r="E1881" s="1" t="s">
        <v>155</v>
      </c>
    </row>
    <row r="1882" spans="1:5" x14ac:dyDescent="0.25">
      <c r="A1882" s="13">
        <v>80186689</v>
      </c>
      <c r="B1882" s="11" t="s">
        <v>116</v>
      </c>
      <c r="C1882" s="1" t="s">
        <v>405</v>
      </c>
      <c r="D1882" s="1" t="s">
        <v>117</v>
      </c>
      <c r="E1882" s="1" t="s">
        <v>10</v>
      </c>
    </row>
    <row r="1883" spans="1:5" x14ac:dyDescent="0.25">
      <c r="A1883" s="13">
        <v>80187517</v>
      </c>
      <c r="B1883" s="11" t="s">
        <v>84</v>
      </c>
      <c r="C1883" s="1" t="s">
        <v>404</v>
      </c>
      <c r="D1883" s="1" t="s">
        <v>38</v>
      </c>
      <c r="E1883" s="1" t="s">
        <v>14</v>
      </c>
    </row>
    <row r="1884" spans="1:5" x14ac:dyDescent="0.25">
      <c r="A1884" s="13">
        <v>80189396</v>
      </c>
      <c r="B1884" s="11" t="s">
        <v>84</v>
      </c>
      <c r="C1884" s="1" t="s">
        <v>403</v>
      </c>
      <c r="D1884" s="1" t="s">
        <v>38</v>
      </c>
      <c r="E1884" s="1" t="s">
        <v>8</v>
      </c>
    </row>
    <row r="1885" spans="1:5" x14ac:dyDescent="0.25">
      <c r="A1885" s="13">
        <v>80189815</v>
      </c>
      <c r="B1885" s="11" t="s">
        <v>84</v>
      </c>
      <c r="C1885" s="1" t="s">
        <v>3698</v>
      </c>
      <c r="D1885" s="1" t="s">
        <v>3325</v>
      </c>
      <c r="E1885" s="1" t="s">
        <v>3572</v>
      </c>
    </row>
    <row r="1886" spans="1:5" x14ac:dyDescent="0.25">
      <c r="A1886" s="13">
        <v>80190032</v>
      </c>
      <c r="B1886" s="11" t="s">
        <v>83</v>
      </c>
      <c r="C1886" s="1" t="s">
        <v>402</v>
      </c>
      <c r="D1886" s="1" t="s">
        <v>241</v>
      </c>
      <c r="E1886" s="1" t="s">
        <v>242</v>
      </c>
    </row>
    <row r="1887" spans="1:5" x14ac:dyDescent="0.25">
      <c r="A1887" s="13">
        <v>80190674</v>
      </c>
      <c r="B1887" s="11" t="s">
        <v>83</v>
      </c>
      <c r="C1887" s="1" t="s">
        <v>400</v>
      </c>
      <c r="D1887" s="1" t="s">
        <v>401</v>
      </c>
      <c r="E1887" s="1" t="s">
        <v>19</v>
      </c>
    </row>
    <row r="1888" spans="1:5" x14ac:dyDescent="0.25">
      <c r="A1888" s="13">
        <v>80191732</v>
      </c>
      <c r="B1888" s="11" t="s">
        <v>83</v>
      </c>
      <c r="C1888" s="1" t="s">
        <v>3682</v>
      </c>
      <c r="D1888" s="1" t="s">
        <v>107</v>
      </c>
      <c r="E1888" s="1" t="s">
        <v>196</v>
      </c>
    </row>
    <row r="1889" spans="1:5" x14ac:dyDescent="0.25">
      <c r="A1889" s="13">
        <v>80191735</v>
      </c>
      <c r="B1889" s="11" t="s">
        <v>84</v>
      </c>
      <c r="C1889" s="1" t="s">
        <v>399</v>
      </c>
      <c r="D1889" s="1" t="s">
        <v>137</v>
      </c>
      <c r="E1889" s="1" t="s">
        <v>142</v>
      </c>
    </row>
    <row r="1890" spans="1:5" x14ac:dyDescent="0.25">
      <c r="A1890" s="13">
        <v>80192128</v>
      </c>
      <c r="B1890" s="11" t="s">
        <v>84</v>
      </c>
      <c r="C1890" s="1" t="s">
        <v>398</v>
      </c>
      <c r="D1890" s="1" t="s">
        <v>38</v>
      </c>
      <c r="E1890" s="1" t="s">
        <v>3</v>
      </c>
    </row>
    <row r="1891" spans="1:5" x14ac:dyDescent="0.25">
      <c r="A1891" s="13">
        <v>80192537</v>
      </c>
      <c r="B1891" s="11" t="s">
        <v>84</v>
      </c>
      <c r="C1891" s="1" t="s">
        <v>397</v>
      </c>
      <c r="D1891" s="1" t="s">
        <v>43</v>
      </c>
      <c r="E1891" s="1" t="s">
        <v>6</v>
      </c>
    </row>
    <row r="1892" spans="1:5" x14ac:dyDescent="0.25">
      <c r="A1892" s="13">
        <v>80193107</v>
      </c>
      <c r="B1892" s="11" t="s">
        <v>84</v>
      </c>
      <c r="C1892" s="1" t="s">
        <v>396</v>
      </c>
      <c r="D1892" s="1" t="s">
        <v>38</v>
      </c>
      <c r="E1892" s="1" t="s">
        <v>170</v>
      </c>
    </row>
    <row r="1893" spans="1:5" x14ac:dyDescent="0.25">
      <c r="A1893" s="13">
        <v>80196024</v>
      </c>
      <c r="B1893" s="11" t="s">
        <v>116</v>
      </c>
      <c r="C1893" s="1" t="s">
        <v>395</v>
      </c>
      <c r="D1893" s="1" t="s">
        <v>117</v>
      </c>
      <c r="E1893" s="1" t="s">
        <v>3192</v>
      </c>
    </row>
    <row r="1894" spans="1:5" x14ac:dyDescent="0.25">
      <c r="A1894" s="13">
        <v>80202352</v>
      </c>
      <c r="B1894" s="11" t="s">
        <v>83</v>
      </c>
      <c r="C1894" s="1" t="s">
        <v>394</v>
      </c>
      <c r="D1894" s="1" t="s">
        <v>47</v>
      </c>
      <c r="E1894" s="1" t="s">
        <v>19</v>
      </c>
    </row>
    <row r="1895" spans="1:5" x14ac:dyDescent="0.25">
      <c r="A1895" s="13">
        <v>80202613</v>
      </c>
      <c r="B1895" s="11" t="s">
        <v>84</v>
      </c>
      <c r="C1895" s="1" t="s">
        <v>393</v>
      </c>
      <c r="D1895" s="1" t="s">
        <v>88</v>
      </c>
      <c r="E1895" s="1" t="s">
        <v>1</v>
      </c>
    </row>
    <row r="1896" spans="1:5" x14ac:dyDescent="0.25">
      <c r="A1896" s="13">
        <v>80203654</v>
      </c>
      <c r="B1896" s="11" t="s">
        <v>84</v>
      </c>
      <c r="C1896" s="1" t="s">
        <v>392</v>
      </c>
      <c r="D1896" s="1" t="s">
        <v>151</v>
      </c>
      <c r="E1896" s="1" t="s">
        <v>17</v>
      </c>
    </row>
    <row r="1897" spans="1:5" x14ac:dyDescent="0.25">
      <c r="A1897" s="13">
        <v>80207244</v>
      </c>
      <c r="B1897" s="11" t="s">
        <v>116</v>
      </c>
      <c r="C1897" s="1" t="s">
        <v>391</v>
      </c>
      <c r="D1897" s="1" t="s">
        <v>117</v>
      </c>
      <c r="E1897" s="1" t="s">
        <v>12</v>
      </c>
    </row>
    <row r="1898" spans="1:5" x14ac:dyDescent="0.25">
      <c r="A1898" s="13">
        <v>80207451</v>
      </c>
      <c r="B1898" s="11" t="s">
        <v>84</v>
      </c>
      <c r="C1898" s="1" t="s">
        <v>390</v>
      </c>
      <c r="D1898" s="1" t="s">
        <v>38</v>
      </c>
      <c r="E1898" s="1" t="s">
        <v>2</v>
      </c>
    </row>
    <row r="1899" spans="1:5" x14ac:dyDescent="0.25">
      <c r="A1899" s="13">
        <v>80207497</v>
      </c>
      <c r="B1899" s="11" t="s">
        <v>116</v>
      </c>
      <c r="C1899" s="1" t="s">
        <v>389</v>
      </c>
      <c r="D1899" s="1" t="s">
        <v>117</v>
      </c>
      <c r="E1899" s="1" t="s">
        <v>179</v>
      </c>
    </row>
    <row r="1900" spans="1:5" x14ac:dyDescent="0.25">
      <c r="A1900" s="13">
        <v>80207928</v>
      </c>
      <c r="B1900" s="11" t="s">
        <v>116</v>
      </c>
      <c r="C1900" s="1" t="s">
        <v>388</v>
      </c>
      <c r="D1900" s="1" t="s">
        <v>117</v>
      </c>
      <c r="E1900" s="1" t="s">
        <v>263</v>
      </c>
    </row>
    <row r="1901" spans="1:5" x14ac:dyDescent="0.25">
      <c r="A1901" s="13">
        <v>80210812</v>
      </c>
      <c r="B1901" s="11" t="s">
        <v>83</v>
      </c>
      <c r="C1901" s="1" t="s">
        <v>387</v>
      </c>
      <c r="D1901" s="1" t="s">
        <v>141</v>
      </c>
      <c r="E1901" s="1" t="s">
        <v>16</v>
      </c>
    </row>
    <row r="1902" spans="1:5" x14ac:dyDescent="0.25">
      <c r="A1902" s="13">
        <v>80211025</v>
      </c>
      <c r="B1902" s="11" t="s">
        <v>84</v>
      </c>
      <c r="C1902" s="1" t="s">
        <v>3001</v>
      </c>
      <c r="D1902" s="1" t="s">
        <v>38</v>
      </c>
      <c r="E1902" s="1" t="s">
        <v>10</v>
      </c>
    </row>
    <row r="1903" spans="1:5" x14ac:dyDescent="0.25">
      <c r="A1903" s="13">
        <v>80211886</v>
      </c>
      <c r="B1903" s="11" t="s">
        <v>84</v>
      </c>
      <c r="C1903" s="1" t="s">
        <v>386</v>
      </c>
      <c r="D1903" s="1" t="s">
        <v>3287</v>
      </c>
      <c r="E1903" s="1" t="s">
        <v>22</v>
      </c>
    </row>
    <row r="1904" spans="1:5" x14ac:dyDescent="0.25">
      <c r="A1904" s="13">
        <v>80213535</v>
      </c>
      <c r="B1904" s="11" t="s">
        <v>84</v>
      </c>
      <c r="C1904" s="1" t="s">
        <v>385</v>
      </c>
      <c r="D1904" s="1" t="s">
        <v>381</v>
      </c>
      <c r="E1904" s="1" t="s">
        <v>26</v>
      </c>
    </row>
    <row r="1905" spans="1:5" x14ac:dyDescent="0.25">
      <c r="A1905" s="13">
        <v>80213669</v>
      </c>
      <c r="B1905" s="11" t="s">
        <v>109</v>
      </c>
      <c r="C1905" s="1" t="s">
        <v>384</v>
      </c>
      <c r="D1905" s="1" t="s">
        <v>53</v>
      </c>
      <c r="E1905" s="1" t="s">
        <v>4</v>
      </c>
    </row>
    <row r="1906" spans="1:5" x14ac:dyDescent="0.25">
      <c r="A1906" s="13">
        <v>80214153</v>
      </c>
      <c r="B1906" s="11" t="s">
        <v>84</v>
      </c>
      <c r="C1906" s="1" t="s">
        <v>3288</v>
      </c>
      <c r="D1906" s="1" t="s">
        <v>38</v>
      </c>
      <c r="E1906" s="1" t="s">
        <v>5</v>
      </c>
    </row>
    <row r="1907" spans="1:5" x14ac:dyDescent="0.25">
      <c r="A1907" s="13">
        <v>80214560</v>
      </c>
      <c r="B1907" s="11" t="s">
        <v>83</v>
      </c>
      <c r="C1907" s="1" t="s">
        <v>383</v>
      </c>
      <c r="D1907" s="1" t="s">
        <v>47</v>
      </c>
      <c r="E1907" s="1" t="s">
        <v>16</v>
      </c>
    </row>
    <row r="1908" spans="1:5" x14ac:dyDescent="0.25">
      <c r="A1908" s="13">
        <v>80217723</v>
      </c>
      <c r="B1908" s="11" t="s">
        <v>84</v>
      </c>
      <c r="C1908" s="1" t="s">
        <v>382</v>
      </c>
      <c r="D1908" s="1" t="s">
        <v>43</v>
      </c>
      <c r="E1908" s="1" t="s">
        <v>14</v>
      </c>
    </row>
    <row r="1909" spans="1:5" x14ac:dyDescent="0.25">
      <c r="A1909" s="13">
        <v>80217916</v>
      </c>
      <c r="B1909" s="11" t="s">
        <v>84</v>
      </c>
      <c r="C1909" s="1" t="s">
        <v>380</v>
      </c>
      <c r="D1909" s="1" t="s">
        <v>381</v>
      </c>
      <c r="E1909" s="1" t="s">
        <v>26</v>
      </c>
    </row>
    <row r="1910" spans="1:5" x14ac:dyDescent="0.25">
      <c r="A1910" s="13">
        <v>80221084</v>
      </c>
      <c r="B1910" s="11" t="s">
        <v>116</v>
      </c>
      <c r="C1910" s="1" t="s">
        <v>379</v>
      </c>
      <c r="D1910" s="1" t="s">
        <v>117</v>
      </c>
      <c r="E1910" s="1" t="s">
        <v>118</v>
      </c>
    </row>
    <row r="1911" spans="1:5" x14ac:dyDescent="0.25">
      <c r="A1911" s="13">
        <v>80221924</v>
      </c>
      <c r="B1911" s="11" t="s">
        <v>83</v>
      </c>
      <c r="C1911" s="1" t="s">
        <v>377</v>
      </c>
      <c r="D1911" s="1" t="s">
        <v>378</v>
      </c>
      <c r="E1911" s="1" t="s">
        <v>16</v>
      </c>
    </row>
    <row r="1912" spans="1:5" x14ac:dyDescent="0.25">
      <c r="A1912" s="13">
        <v>80222117</v>
      </c>
      <c r="B1912" s="11" t="s">
        <v>116</v>
      </c>
      <c r="C1912" s="1" t="s">
        <v>376</v>
      </c>
      <c r="D1912" s="1" t="s">
        <v>151</v>
      </c>
      <c r="E1912" s="1" t="s">
        <v>152</v>
      </c>
    </row>
    <row r="1913" spans="1:5" x14ac:dyDescent="0.25">
      <c r="A1913" s="13">
        <v>80226780</v>
      </c>
      <c r="B1913" s="11" t="s">
        <v>84</v>
      </c>
      <c r="C1913" s="1" t="s">
        <v>375</v>
      </c>
      <c r="D1913" s="1" t="s">
        <v>38</v>
      </c>
      <c r="E1913" s="1" t="s">
        <v>186</v>
      </c>
    </row>
    <row r="1914" spans="1:5" x14ac:dyDescent="0.25">
      <c r="A1914" s="13">
        <v>80227005</v>
      </c>
      <c r="B1914" s="11" t="s">
        <v>84</v>
      </c>
      <c r="C1914" s="1" t="s">
        <v>374</v>
      </c>
      <c r="D1914" s="1" t="s">
        <v>43</v>
      </c>
      <c r="E1914" s="1" t="s">
        <v>3</v>
      </c>
    </row>
    <row r="1915" spans="1:5" x14ac:dyDescent="0.25">
      <c r="A1915" s="13">
        <v>80228451</v>
      </c>
      <c r="B1915" s="11" t="s">
        <v>84</v>
      </c>
      <c r="C1915" s="1" t="s">
        <v>3289</v>
      </c>
      <c r="D1915" s="1" t="s">
        <v>38</v>
      </c>
      <c r="E1915" s="1" t="s">
        <v>8</v>
      </c>
    </row>
    <row r="1916" spans="1:5" x14ac:dyDescent="0.25">
      <c r="A1916" s="13">
        <v>80233168</v>
      </c>
      <c r="B1916" s="11" t="s">
        <v>84</v>
      </c>
      <c r="C1916" s="1" t="s">
        <v>373</v>
      </c>
      <c r="D1916" s="1" t="s">
        <v>38</v>
      </c>
      <c r="E1916" s="1" t="s">
        <v>6</v>
      </c>
    </row>
    <row r="1917" spans="1:5" x14ac:dyDescent="0.25">
      <c r="A1917" s="13">
        <v>80233681</v>
      </c>
      <c r="B1917" s="11" t="s">
        <v>84</v>
      </c>
      <c r="C1917" s="1" t="s">
        <v>3059</v>
      </c>
      <c r="D1917" s="1" t="s">
        <v>43</v>
      </c>
      <c r="E1917" s="1" t="s">
        <v>127</v>
      </c>
    </row>
    <row r="1918" spans="1:5" x14ac:dyDescent="0.25">
      <c r="A1918" s="13">
        <v>80234243</v>
      </c>
      <c r="B1918" s="11" t="s">
        <v>83</v>
      </c>
      <c r="C1918" s="1" t="s">
        <v>3576</v>
      </c>
      <c r="D1918" s="1" t="s">
        <v>3577</v>
      </c>
      <c r="E1918" s="1" t="s">
        <v>196</v>
      </c>
    </row>
    <row r="1919" spans="1:5" x14ac:dyDescent="0.25">
      <c r="A1919" s="13">
        <v>80234742</v>
      </c>
      <c r="B1919" s="11" t="s">
        <v>84</v>
      </c>
      <c r="C1919" s="1" t="s">
        <v>372</v>
      </c>
      <c r="D1919" s="1" t="s">
        <v>38</v>
      </c>
      <c r="E1919" s="1" t="s">
        <v>170</v>
      </c>
    </row>
    <row r="1920" spans="1:5" x14ac:dyDescent="0.25">
      <c r="A1920" s="13">
        <v>80236514</v>
      </c>
      <c r="B1920" s="11" t="s">
        <v>84</v>
      </c>
      <c r="C1920" s="1" t="s">
        <v>371</v>
      </c>
      <c r="D1920" s="1" t="s">
        <v>38</v>
      </c>
      <c r="E1920" s="1" t="s">
        <v>2</v>
      </c>
    </row>
    <row r="1921" spans="1:5" x14ac:dyDescent="0.25">
      <c r="A1921" s="13">
        <v>80238161</v>
      </c>
      <c r="B1921" s="11" t="s">
        <v>83</v>
      </c>
      <c r="C1921" s="1" t="s">
        <v>3051</v>
      </c>
      <c r="D1921" s="1" t="s">
        <v>42</v>
      </c>
      <c r="E1921" s="1" t="s">
        <v>210</v>
      </c>
    </row>
    <row r="1922" spans="1:5" x14ac:dyDescent="0.25">
      <c r="A1922" s="13">
        <v>80238298</v>
      </c>
      <c r="B1922" s="11" t="s">
        <v>116</v>
      </c>
      <c r="C1922" s="1" t="s">
        <v>370</v>
      </c>
      <c r="D1922" s="1" t="s">
        <v>117</v>
      </c>
      <c r="E1922" s="1" t="s">
        <v>147</v>
      </c>
    </row>
    <row r="1923" spans="1:5" x14ac:dyDescent="0.25">
      <c r="A1923" s="13">
        <v>80240940</v>
      </c>
      <c r="B1923" s="11" t="s">
        <v>83</v>
      </c>
      <c r="C1923" s="1" t="s">
        <v>369</v>
      </c>
      <c r="D1923" s="1" t="s">
        <v>64</v>
      </c>
      <c r="E1923" s="1" t="s">
        <v>25</v>
      </c>
    </row>
    <row r="1924" spans="1:5" x14ac:dyDescent="0.25">
      <c r="A1924" s="13">
        <v>80242862</v>
      </c>
      <c r="B1924" s="11" t="s">
        <v>84</v>
      </c>
      <c r="C1924" s="1" t="s">
        <v>3290</v>
      </c>
      <c r="D1924" s="1" t="s">
        <v>38</v>
      </c>
      <c r="E1924" s="1" t="s">
        <v>3120</v>
      </c>
    </row>
    <row r="1925" spans="1:5" x14ac:dyDescent="0.25">
      <c r="A1925" s="13">
        <v>80244131</v>
      </c>
      <c r="B1925" s="11" t="s">
        <v>83</v>
      </c>
      <c r="C1925" s="1" t="s">
        <v>368</v>
      </c>
      <c r="D1925" s="1" t="s">
        <v>59</v>
      </c>
      <c r="E1925" s="1" t="s">
        <v>19</v>
      </c>
    </row>
    <row r="1926" spans="1:5" x14ac:dyDescent="0.25">
      <c r="A1926" s="13">
        <v>80245805</v>
      </c>
      <c r="B1926" s="11" t="s">
        <v>83</v>
      </c>
      <c r="C1926" s="1" t="s">
        <v>365</v>
      </c>
      <c r="D1926" s="1" t="s">
        <v>366</v>
      </c>
      <c r="E1926" s="1" t="s">
        <v>367</v>
      </c>
    </row>
    <row r="1927" spans="1:5" x14ac:dyDescent="0.25">
      <c r="A1927" s="13">
        <v>80247187</v>
      </c>
      <c r="B1927" s="11" t="s">
        <v>83</v>
      </c>
      <c r="C1927" s="1" t="s">
        <v>362</v>
      </c>
      <c r="D1927" s="1" t="s">
        <v>363</v>
      </c>
      <c r="E1927" s="1" t="s">
        <v>364</v>
      </c>
    </row>
    <row r="1928" spans="1:5" x14ac:dyDescent="0.25">
      <c r="A1928" s="13">
        <v>80251422</v>
      </c>
      <c r="B1928" s="11" t="s">
        <v>116</v>
      </c>
      <c r="C1928" s="1" t="s">
        <v>3068</v>
      </c>
      <c r="D1928" s="1" t="s">
        <v>117</v>
      </c>
      <c r="E1928" s="1" t="s">
        <v>120</v>
      </c>
    </row>
    <row r="1929" spans="1:5" x14ac:dyDescent="0.25">
      <c r="A1929" s="13">
        <v>80252432</v>
      </c>
      <c r="B1929" s="11" t="s">
        <v>116</v>
      </c>
      <c r="C1929" s="1" t="s">
        <v>361</v>
      </c>
      <c r="D1929" s="1" t="s">
        <v>117</v>
      </c>
      <c r="E1929" s="1" t="s">
        <v>170</v>
      </c>
    </row>
    <row r="1930" spans="1:5" x14ac:dyDescent="0.25">
      <c r="A1930" s="13">
        <v>80256091</v>
      </c>
      <c r="B1930" s="11" t="s">
        <v>83</v>
      </c>
      <c r="C1930" s="1" t="s">
        <v>360</v>
      </c>
      <c r="D1930" s="1" t="s">
        <v>59</v>
      </c>
      <c r="E1930" s="1" t="s">
        <v>19</v>
      </c>
    </row>
    <row r="1931" spans="1:5" x14ac:dyDescent="0.25">
      <c r="A1931" s="13">
        <v>80260754</v>
      </c>
      <c r="B1931" s="11" t="s">
        <v>83</v>
      </c>
      <c r="C1931" s="1" t="s">
        <v>358</v>
      </c>
      <c r="D1931" s="1" t="s">
        <v>61</v>
      </c>
      <c r="E1931" s="1" t="s">
        <v>359</v>
      </c>
    </row>
    <row r="1932" spans="1:5" x14ac:dyDescent="0.25">
      <c r="A1932" s="13">
        <v>80261949</v>
      </c>
      <c r="B1932" s="11" t="s">
        <v>116</v>
      </c>
      <c r="C1932" s="1" t="s">
        <v>357</v>
      </c>
      <c r="D1932" s="1" t="s">
        <v>117</v>
      </c>
      <c r="E1932" s="1" t="s">
        <v>10</v>
      </c>
    </row>
    <row r="1933" spans="1:5" x14ac:dyDescent="0.25">
      <c r="A1933" s="13">
        <v>80264209</v>
      </c>
      <c r="B1933" s="11" t="s">
        <v>116</v>
      </c>
      <c r="C1933" s="1" t="s">
        <v>356</v>
      </c>
      <c r="D1933" s="1" t="s">
        <v>117</v>
      </c>
      <c r="E1933" s="1" t="s">
        <v>336</v>
      </c>
    </row>
    <row r="1934" spans="1:5" x14ac:dyDescent="0.25">
      <c r="A1934" s="13">
        <v>80268446</v>
      </c>
      <c r="B1934" s="11" t="s">
        <v>84</v>
      </c>
      <c r="C1934" s="1" t="s">
        <v>355</v>
      </c>
      <c r="D1934" s="1" t="s">
        <v>38</v>
      </c>
      <c r="E1934" s="1" t="s">
        <v>10</v>
      </c>
    </row>
    <row r="1935" spans="1:5" x14ac:dyDescent="0.25">
      <c r="A1935" s="13">
        <v>80269320</v>
      </c>
      <c r="B1935" s="11" t="s">
        <v>116</v>
      </c>
      <c r="C1935" s="1" t="s">
        <v>354</v>
      </c>
      <c r="D1935" s="1" t="s">
        <v>117</v>
      </c>
      <c r="E1935" s="1" t="s">
        <v>205</v>
      </c>
    </row>
    <row r="1936" spans="1:5" x14ac:dyDescent="0.25">
      <c r="A1936" s="13">
        <v>80275725</v>
      </c>
      <c r="B1936" s="11" t="s">
        <v>84</v>
      </c>
      <c r="C1936" s="1" t="s">
        <v>352</v>
      </c>
      <c r="D1936" s="1" t="s">
        <v>353</v>
      </c>
      <c r="E1936" s="1" t="s">
        <v>26</v>
      </c>
    </row>
    <row r="1937" spans="1:5" x14ac:dyDescent="0.25">
      <c r="A1937" s="13">
        <v>80282001</v>
      </c>
      <c r="B1937" s="11" t="s">
        <v>84</v>
      </c>
      <c r="C1937" s="1" t="s">
        <v>3291</v>
      </c>
      <c r="D1937" s="1" t="s">
        <v>3167</v>
      </c>
      <c r="E1937" s="1" t="s">
        <v>1</v>
      </c>
    </row>
    <row r="1938" spans="1:5" x14ac:dyDescent="0.25">
      <c r="A1938" s="13">
        <v>80352240</v>
      </c>
      <c r="B1938" s="11" t="s">
        <v>116</v>
      </c>
      <c r="C1938" s="1" t="s">
        <v>351</v>
      </c>
      <c r="D1938" s="1" t="s">
        <v>117</v>
      </c>
      <c r="E1938" s="1" t="s">
        <v>263</v>
      </c>
    </row>
    <row r="1939" spans="1:5" x14ac:dyDescent="0.25">
      <c r="A1939" s="13">
        <v>80355206</v>
      </c>
      <c r="B1939" s="11" t="s">
        <v>83</v>
      </c>
      <c r="C1939" s="1" t="s">
        <v>349</v>
      </c>
      <c r="D1939" s="1" t="s">
        <v>350</v>
      </c>
      <c r="E1939" s="1" t="s">
        <v>28</v>
      </c>
    </row>
    <row r="1940" spans="1:5" x14ac:dyDescent="0.25">
      <c r="A1940" s="13">
        <v>80360128</v>
      </c>
      <c r="B1940" s="11" t="s">
        <v>116</v>
      </c>
      <c r="C1940" s="1" t="s">
        <v>348</v>
      </c>
      <c r="D1940" s="1" t="s">
        <v>117</v>
      </c>
      <c r="E1940" s="1" t="s">
        <v>232</v>
      </c>
    </row>
    <row r="1941" spans="1:5" x14ac:dyDescent="0.25">
      <c r="A1941" s="13">
        <v>80373407</v>
      </c>
      <c r="B1941" s="11" t="s">
        <v>109</v>
      </c>
      <c r="C1941" s="1" t="s">
        <v>347</v>
      </c>
      <c r="D1941" s="1" t="s">
        <v>131</v>
      </c>
      <c r="E1941" s="1" t="s">
        <v>131</v>
      </c>
    </row>
    <row r="1942" spans="1:5" x14ac:dyDescent="0.25">
      <c r="A1942" s="13">
        <v>80409719</v>
      </c>
      <c r="B1942" s="11" t="s">
        <v>116</v>
      </c>
      <c r="C1942" s="1" t="s">
        <v>346</v>
      </c>
      <c r="D1942" s="1" t="s">
        <v>117</v>
      </c>
      <c r="E1942" s="1" t="s">
        <v>127</v>
      </c>
    </row>
    <row r="1943" spans="1:5" x14ac:dyDescent="0.25">
      <c r="A1943" s="13">
        <v>80416199</v>
      </c>
      <c r="B1943" s="11" t="s">
        <v>109</v>
      </c>
      <c r="C1943" s="1" t="s">
        <v>345</v>
      </c>
      <c r="D1943" s="1" t="s">
        <v>131</v>
      </c>
      <c r="E1943" s="1" t="s">
        <v>131</v>
      </c>
    </row>
    <row r="1944" spans="1:5" x14ac:dyDescent="0.25">
      <c r="A1944" s="13">
        <v>80419293</v>
      </c>
      <c r="B1944" s="11" t="s">
        <v>116</v>
      </c>
      <c r="C1944" s="1" t="s">
        <v>344</v>
      </c>
      <c r="D1944" s="1" t="s">
        <v>117</v>
      </c>
      <c r="E1944" s="1" t="s">
        <v>7</v>
      </c>
    </row>
    <row r="1945" spans="1:5" x14ac:dyDescent="0.25">
      <c r="A1945" s="13">
        <v>80425073</v>
      </c>
      <c r="B1945" s="11" t="s">
        <v>109</v>
      </c>
      <c r="C1945" s="1" t="s">
        <v>343</v>
      </c>
      <c r="D1945" s="1" t="s">
        <v>131</v>
      </c>
      <c r="E1945" s="1" t="s">
        <v>131</v>
      </c>
    </row>
    <row r="1946" spans="1:5" x14ac:dyDescent="0.25">
      <c r="A1946" s="13">
        <v>80426693</v>
      </c>
      <c r="B1946" s="11" t="s">
        <v>116</v>
      </c>
      <c r="C1946" s="1" t="s">
        <v>341</v>
      </c>
      <c r="D1946" s="1" t="s">
        <v>117</v>
      </c>
      <c r="E1946" s="1" t="s">
        <v>342</v>
      </c>
    </row>
    <row r="1947" spans="1:5" x14ac:dyDescent="0.25">
      <c r="A1947" s="13">
        <v>80429152</v>
      </c>
      <c r="B1947" s="11" t="s">
        <v>83</v>
      </c>
      <c r="C1947" s="1" t="s">
        <v>339</v>
      </c>
      <c r="D1947" s="1" t="s">
        <v>340</v>
      </c>
      <c r="E1947" s="1" t="s">
        <v>23</v>
      </c>
    </row>
    <row r="1948" spans="1:5" x14ac:dyDescent="0.25">
      <c r="A1948" s="13">
        <v>80432896</v>
      </c>
      <c r="B1948" s="11" t="s">
        <v>116</v>
      </c>
      <c r="C1948" s="1" t="s">
        <v>338</v>
      </c>
      <c r="D1948" s="1" t="s">
        <v>117</v>
      </c>
      <c r="E1948" s="1" t="s">
        <v>232</v>
      </c>
    </row>
    <row r="1949" spans="1:5" x14ac:dyDescent="0.25">
      <c r="A1949" s="13">
        <v>80433041</v>
      </c>
      <c r="B1949" s="11" t="s">
        <v>84</v>
      </c>
      <c r="C1949" s="1" t="s">
        <v>337</v>
      </c>
      <c r="D1949" s="1" t="s">
        <v>38</v>
      </c>
      <c r="E1949" s="1" t="s">
        <v>8</v>
      </c>
    </row>
    <row r="1950" spans="1:5" x14ac:dyDescent="0.25">
      <c r="A1950" s="13">
        <v>80439747</v>
      </c>
      <c r="B1950" s="11" t="s">
        <v>84</v>
      </c>
      <c r="C1950" s="1" t="s">
        <v>335</v>
      </c>
      <c r="D1950" s="1" t="s">
        <v>38</v>
      </c>
      <c r="E1950" s="1" t="s">
        <v>336</v>
      </c>
    </row>
    <row r="1951" spans="1:5" x14ac:dyDescent="0.25">
      <c r="A1951" s="13">
        <v>80449465</v>
      </c>
      <c r="B1951" s="11" t="s">
        <v>83</v>
      </c>
      <c r="C1951" s="1" t="s">
        <v>334</v>
      </c>
      <c r="D1951" s="1" t="s">
        <v>47</v>
      </c>
      <c r="E1951" s="1" t="s">
        <v>19</v>
      </c>
    </row>
    <row r="1952" spans="1:5" x14ac:dyDescent="0.25">
      <c r="A1952" s="13">
        <v>80472119</v>
      </c>
      <c r="B1952" s="11" t="s">
        <v>116</v>
      </c>
      <c r="C1952" s="1" t="s">
        <v>332</v>
      </c>
      <c r="D1952" s="1" t="s">
        <v>117</v>
      </c>
      <c r="E1952" s="1" t="s">
        <v>333</v>
      </c>
    </row>
    <row r="1953" spans="1:5" x14ac:dyDescent="0.25">
      <c r="A1953" s="13">
        <v>80472319</v>
      </c>
      <c r="B1953" s="11" t="s">
        <v>84</v>
      </c>
      <c r="C1953" s="1" t="s">
        <v>331</v>
      </c>
      <c r="D1953" s="1" t="s">
        <v>38</v>
      </c>
      <c r="E1953" s="1" t="s">
        <v>127</v>
      </c>
    </row>
    <row r="1954" spans="1:5" x14ac:dyDescent="0.25">
      <c r="A1954" s="13">
        <v>80472408</v>
      </c>
      <c r="B1954" s="11" t="s">
        <v>109</v>
      </c>
      <c r="C1954" s="1" t="s">
        <v>330</v>
      </c>
      <c r="D1954" s="1" t="s">
        <v>131</v>
      </c>
      <c r="E1954" s="1" t="s">
        <v>131</v>
      </c>
    </row>
    <row r="1955" spans="1:5" x14ac:dyDescent="0.25">
      <c r="A1955" s="13">
        <v>80472523</v>
      </c>
      <c r="B1955" s="11" t="s">
        <v>109</v>
      </c>
      <c r="C1955" s="1" t="s">
        <v>329</v>
      </c>
      <c r="D1955" s="1" t="s">
        <v>131</v>
      </c>
      <c r="E1955" s="1" t="s">
        <v>131</v>
      </c>
    </row>
    <row r="1956" spans="1:5" x14ac:dyDescent="0.25">
      <c r="A1956" s="13">
        <v>80499387</v>
      </c>
      <c r="B1956" s="11" t="s">
        <v>84</v>
      </c>
      <c r="C1956" s="1" t="s">
        <v>327</v>
      </c>
      <c r="D1956" s="1" t="s">
        <v>43</v>
      </c>
      <c r="E1956" s="1" t="s">
        <v>328</v>
      </c>
    </row>
    <row r="1957" spans="1:5" x14ac:dyDescent="0.25">
      <c r="A1957" s="13">
        <v>80504214</v>
      </c>
      <c r="B1957" s="11" t="s">
        <v>109</v>
      </c>
      <c r="C1957" s="1" t="s">
        <v>326</v>
      </c>
      <c r="D1957" s="1" t="s">
        <v>131</v>
      </c>
      <c r="E1957" s="1" t="s">
        <v>131</v>
      </c>
    </row>
    <row r="1958" spans="1:5" x14ac:dyDescent="0.25">
      <c r="A1958" s="13">
        <v>80505988</v>
      </c>
      <c r="B1958" s="11" t="s">
        <v>116</v>
      </c>
      <c r="C1958" s="1" t="s">
        <v>325</v>
      </c>
      <c r="D1958" s="1" t="s">
        <v>117</v>
      </c>
      <c r="E1958" s="1" t="s">
        <v>8</v>
      </c>
    </row>
    <row r="1959" spans="1:5" x14ac:dyDescent="0.25">
      <c r="A1959" s="13">
        <v>80542967</v>
      </c>
      <c r="B1959" s="11" t="s">
        <v>84</v>
      </c>
      <c r="C1959" s="1" t="s">
        <v>324</v>
      </c>
      <c r="D1959" s="1" t="s">
        <v>38</v>
      </c>
      <c r="E1959" s="1" t="s">
        <v>170</v>
      </c>
    </row>
    <row r="1960" spans="1:5" x14ac:dyDescent="0.25">
      <c r="A1960" s="13">
        <v>80544925</v>
      </c>
      <c r="B1960" s="11" t="s">
        <v>83</v>
      </c>
      <c r="C1960" s="1" t="s">
        <v>322</v>
      </c>
      <c r="D1960" s="1" t="s">
        <v>323</v>
      </c>
      <c r="E1960" s="1" t="s">
        <v>4</v>
      </c>
    </row>
    <row r="1961" spans="1:5" x14ac:dyDescent="0.25">
      <c r="A1961" s="13">
        <v>80549001</v>
      </c>
      <c r="B1961" s="11" t="s">
        <v>84</v>
      </c>
      <c r="C1961" s="1" t="s">
        <v>3292</v>
      </c>
      <c r="D1961" s="1" t="s">
        <v>43</v>
      </c>
      <c r="E1961" s="1" t="s">
        <v>14</v>
      </c>
    </row>
    <row r="1962" spans="1:5" x14ac:dyDescent="0.25">
      <c r="A1962" s="13">
        <v>80664492</v>
      </c>
      <c r="B1962" s="11" t="s">
        <v>116</v>
      </c>
      <c r="C1962" s="1" t="s">
        <v>321</v>
      </c>
      <c r="D1962" s="1" t="s">
        <v>117</v>
      </c>
      <c r="E1962" s="1" t="s">
        <v>6</v>
      </c>
    </row>
    <row r="1963" spans="1:5" x14ac:dyDescent="0.25">
      <c r="A1963" s="13">
        <v>80721329</v>
      </c>
      <c r="B1963" s="11" t="s">
        <v>116</v>
      </c>
      <c r="C1963" s="1" t="s">
        <v>320</v>
      </c>
      <c r="D1963" s="1" t="s">
        <v>117</v>
      </c>
      <c r="E1963" s="1" t="s">
        <v>11</v>
      </c>
    </row>
    <row r="1964" spans="1:5" x14ac:dyDescent="0.25">
      <c r="A1964" s="13">
        <v>80721337</v>
      </c>
      <c r="B1964" s="11" t="s">
        <v>116</v>
      </c>
      <c r="C1964" s="1" t="s">
        <v>319</v>
      </c>
      <c r="D1964" s="1" t="s">
        <v>117</v>
      </c>
      <c r="E1964" s="1" t="s">
        <v>9</v>
      </c>
    </row>
    <row r="1965" spans="1:5" x14ac:dyDescent="0.25">
      <c r="A1965" s="13">
        <v>80725196</v>
      </c>
      <c r="B1965" s="11" t="s">
        <v>83</v>
      </c>
      <c r="C1965" s="1" t="s">
        <v>3293</v>
      </c>
      <c r="D1965" s="1" t="s">
        <v>477</v>
      </c>
      <c r="E1965" s="1" t="s">
        <v>248</v>
      </c>
    </row>
    <row r="1966" spans="1:5" x14ac:dyDescent="0.25">
      <c r="A1966" s="13">
        <v>80732285</v>
      </c>
      <c r="B1966" s="11" t="s">
        <v>84</v>
      </c>
      <c r="C1966" s="1" t="s">
        <v>318</v>
      </c>
      <c r="D1966" s="1" t="s">
        <v>38</v>
      </c>
      <c r="E1966" s="1" t="s">
        <v>12</v>
      </c>
    </row>
    <row r="1967" spans="1:5" x14ac:dyDescent="0.25">
      <c r="A1967" s="13">
        <v>80733800</v>
      </c>
      <c r="B1967" s="11" t="s">
        <v>116</v>
      </c>
      <c r="C1967" s="1" t="s">
        <v>317</v>
      </c>
      <c r="D1967" s="1" t="s">
        <v>151</v>
      </c>
      <c r="E1967" s="1" t="s">
        <v>152</v>
      </c>
    </row>
    <row r="1968" spans="1:5" x14ac:dyDescent="0.25">
      <c r="A1968" s="13">
        <v>80747011</v>
      </c>
      <c r="B1968" s="11" t="s">
        <v>84</v>
      </c>
      <c r="C1968" s="1" t="s">
        <v>316</v>
      </c>
      <c r="D1968" s="1" t="s">
        <v>151</v>
      </c>
      <c r="E1968" s="1" t="s">
        <v>152</v>
      </c>
    </row>
    <row r="1969" spans="1:5" x14ac:dyDescent="0.25">
      <c r="A1969" s="13">
        <v>80751590</v>
      </c>
      <c r="B1969" s="11" t="s">
        <v>83</v>
      </c>
      <c r="C1969" s="1" t="s">
        <v>315</v>
      </c>
      <c r="D1969" s="1" t="s">
        <v>312</v>
      </c>
      <c r="E1969" s="1" t="s">
        <v>242</v>
      </c>
    </row>
    <row r="1970" spans="1:5" x14ac:dyDescent="0.25">
      <c r="A1970" s="13">
        <v>80757033</v>
      </c>
      <c r="B1970" s="11" t="s">
        <v>116</v>
      </c>
      <c r="C1970" s="1" t="s">
        <v>314</v>
      </c>
      <c r="D1970" s="1" t="s">
        <v>117</v>
      </c>
      <c r="E1970" s="1" t="s">
        <v>6</v>
      </c>
    </row>
    <row r="1971" spans="1:5" x14ac:dyDescent="0.25">
      <c r="A1971" s="13">
        <v>80757546</v>
      </c>
      <c r="B1971" s="11" t="s">
        <v>84</v>
      </c>
      <c r="C1971" s="1" t="s">
        <v>313</v>
      </c>
      <c r="D1971" s="1" t="s">
        <v>38</v>
      </c>
      <c r="E1971" s="1" t="s">
        <v>6</v>
      </c>
    </row>
    <row r="1972" spans="1:5" x14ac:dyDescent="0.25">
      <c r="A1972" s="13">
        <v>80761917</v>
      </c>
      <c r="B1972" s="11" t="s">
        <v>83</v>
      </c>
      <c r="C1972" s="1" t="s">
        <v>311</v>
      </c>
      <c r="D1972" s="1" t="s">
        <v>312</v>
      </c>
      <c r="E1972" s="1" t="s">
        <v>242</v>
      </c>
    </row>
    <row r="1973" spans="1:5" x14ac:dyDescent="0.25">
      <c r="A1973" s="13">
        <v>80762340</v>
      </c>
      <c r="B1973" s="11" t="s">
        <v>83</v>
      </c>
      <c r="C1973" s="1" t="s">
        <v>310</v>
      </c>
      <c r="D1973" s="1" t="s">
        <v>47</v>
      </c>
      <c r="E1973" s="1" t="s">
        <v>16</v>
      </c>
    </row>
    <row r="1974" spans="1:5" x14ac:dyDescent="0.25">
      <c r="A1974" s="13">
        <v>80762750</v>
      </c>
      <c r="B1974" s="11" t="s">
        <v>84</v>
      </c>
      <c r="C1974" s="1" t="s">
        <v>309</v>
      </c>
      <c r="D1974" s="1" t="s">
        <v>43</v>
      </c>
      <c r="E1974" s="1" t="s">
        <v>10</v>
      </c>
    </row>
    <row r="1975" spans="1:5" x14ac:dyDescent="0.25">
      <c r="A1975" s="13">
        <v>80763305</v>
      </c>
      <c r="B1975" s="11" t="s">
        <v>116</v>
      </c>
      <c r="C1975" s="1" t="s">
        <v>308</v>
      </c>
      <c r="D1975" s="1" t="s">
        <v>117</v>
      </c>
      <c r="E1975" s="1" t="s">
        <v>8</v>
      </c>
    </row>
    <row r="1976" spans="1:5" x14ac:dyDescent="0.25">
      <c r="A1976" s="13">
        <v>80765112</v>
      </c>
      <c r="B1976" s="11" t="s">
        <v>83</v>
      </c>
      <c r="C1976" s="1" t="s">
        <v>307</v>
      </c>
      <c r="D1976" s="1" t="s">
        <v>217</v>
      </c>
      <c r="E1976" s="1" t="s">
        <v>300</v>
      </c>
    </row>
    <row r="1977" spans="1:5" x14ac:dyDescent="0.25">
      <c r="A1977" s="13">
        <v>80766897</v>
      </c>
      <c r="B1977" s="11" t="s">
        <v>84</v>
      </c>
      <c r="C1977" s="1" t="s">
        <v>305</v>
      </c>
      <c r="D1977" s="1" t="s">
        <v>306</v>
      </c>
      <c r="E1977" s="1" t="s">
        <v>142</v>
      </c>
    </row>
    <row r="1978" spans="1:5" x14ac:dyDescent="0.25">
      <c r="A1978" s="13">
        <v>80767124</v>
      </c>
      <c r="B1978" s="11" t="s">
        <v>84</v>
      </c>
      <c r="C1978" s="1" t="s">
        <v>304</v>
      </c>
      <c r="D1978" s="1" t="s">
        <v>137</v>
      </c>
      <c r="E1978" s="1" t="s">
        <v>142</v>
      </c>
    </row>
    <row r="1979" spans="1:5" x14ac:dyDescent="0.25">
      <c r="A1979" s="13">
        <v>80768325</v>
      </c>
      <c r="B1979" s="11" t="s">
        <v>116</v>
      </c>
      <c r="C1979" s="1" t="s">
        <v>303</v>
      </c>
      <c r="D1979" s="1" t="s">
        <v>151</v>
      </c>
      <c r="E1979" s="1" t="s">
        <v>152</v>
      </c>
    </row>
    <row r="1980" spans="1:5" x14ac:dyDescent="0.25">
      <c r="A1980" s="13">
        <v>80768757</v>
      </c>
      <c r="B1980" s="11" t="s">
        <v>83</v>
      </c>
      <c r="C1980" s="1" t="s">
        <v>302</v>
      </c>
      <c r="D1980" s="1" t="s">
        <v>47</v>
      </c>
      <c r="E1980" s="1" t="s">
        <v>16</v>
      </c>
    </row>
    <row r="1981" spans="1:5" x14ac:dyDescent="0.25">
      <c r="A1981" s="13">
        <v>80769772</v>
      </c>
      <c r="B1981" s="11" t="s">
        <v>83</v>
      </c>
      <c r="C1981" s="1" t="s">
        <v>301</v>
      </c>
      <c r="D1981" s="1" t="s">
        <v>68</v>
      </c>
      <c r="E1981" s="1" t="s">
        <v>24</v>
      </c>
    </row>
    <row r="1982" spans="1:5" x14ac:dyDescent="0.25">
      <c r="A1982" s="13">
        <v>80777724</v>
      </c>
      <c r="B1982" s="11" t="s">
        <v>83</v>
      </c>
      <c r="C1982" s="1" t="s">
        <v>299</v>
      </c>
      <c r="D1982" s="1" t="s">
        <v>217</v>
      </c>
      <c r="E1982" s="1" t="s">
        <v>300</v>
      </c>
    </row>
    <row r="1983" spans="1:5" x14ac:dyDescent="0.25">
      <c r="A1983" s="13">
        <v>80778198</v>
      </c>
      <c r="B1983" s="11" t="s">
        <v>84</v>
      </c>
      <c r="C1983" s="1" t="s">
        <v>298</v>
      </c>
      <c r="D1983" s="1" t="s">
        <v>43</v>
      </c>
      <c r="E1983" s="1" t="s">
        <v>3</v>
      </c>
    </row>
    <row r="1984" spans="1:5" x14ac:dyDescent="0.25">
      <c r="A1984" s="13">
        <v>80792218</v>
      </c>
      <c r="B1984" s="11" t="s">
        <v>83</v>
      </c>
      <c r="C1984" s="1" t="s">
        <v>297</v>
      </c>
      <c r="D1984" s="1" t="s">
        <v>47</v>
      </c>
      <c r="E1984" s="1" t="s">
        <v>24</v>
      </c>
    </row>
    <row r="1985" spans="1:5" x14ac:dyDescent="0.25">
      <c r="A1985" s="13">
        <v>80792370</v>
      </c>
      <c r="B1985" s="11" t="s">
        <v>84</v>
      </c>
      <c r="C1985" s="1" t="s">
        <v>296</v>
      </c>
      <c r="D1985" s="1" t="s">
        <v>38</v>
      </c>
      <c r="E1985" s="1" t="s">
        <v>7</v>
      </c>
    </row>
    <row r="1986" spans="1:5" x14ac:dyDescent="0.25">
      <c r="A1986" s="13">
        <v>80792913</v>
      </c>
      <c r="B1986" s="11" t="s">
        <v>83</v>
      </c>
      <c r="C1986" s="1" t="s">
        <v>295</v>
      </c>
      <c r="D1986" s="1" t="s">
        <v>79</v>
      </c>
      <c r="E1986" s="1" t="s">
        <v>20</v>
      </c>
    </row>
    <row r="1987" spans="1:5" x14ac:dyDescent="0.25">
      <c r="A1987" s="13">
        <v>80793275</v>
      </c>
      <c r="B1987" s="11" t="s">
        <v>116</v>
      </c>
      <c r="C1987" s="1" t="s">
        <v>294</v>
      </c>
      <c r="D1987" s="1" t="s">
        <v>117</v>
      </c>
      <c r="E1987" s="1" t="s">
        <v>170</v>
      </c>
    </row>
    <row r="1988" spans="1:5" x14ac:dyDescent="0.25">
      <c r="A1988" s="13">
        <v>80794738</v>
      </c>
      <c r="B1988" s="11" t="s">
        <v>83</v>
      </c>
      <c r="C1988" s="1" t="s">
        <v>293</v>
      </c>
      <c r="D1988" s="1" t="s">
        <v>141</v>
      </c>
      <c r="E1988" s="1" t="s">
        <v>16</v>
      </c>
    </row>
    <row r="1989" spans="1:5" x14ac:dyDescent="0.25">
      <c r="A1989" s="13">
        <v>80794958</v>
      </c>
      <c r="B1989" s="11" t="s">
        <v>116</v>
      </c>
      <c r="C1989" s="1" t="s">
        <v>292</v>
      </c>
      <c r="D1989" s="1" t="s">
        <v>151</v>
      </c>
      <c r="E1989" s="1" t="s">
        <v>152</v>
      </c>
    </row>
    <row r="1990" spans="1:5" x14ac:dyDescent="0.25">
      <c r="A1990" s="13">
        <v>80795431</v>
      </c>
      <c r="B1990" s="11" t="s">
        <v>116</v>
      </c>
      <c r="C1990" s="1" t="s">
        <v>291</v>
      </c>
      <c r="D1990" s="1" t="s">
        <v>117</v>
      </c>
      <c r="E1990" s="1" t="s">
        <v>6</v>
      </c>
    </row>
    <row r="1991" spans="1:5" x14ac:dyDescent="0.25">
      <c r="A1991" s="13">
        <v>80797211</v>
      </c>
      <c r="B1991" s="11" t="s">
        <v>83</v>
      </c>
      <c r="C1991" s="1" t="s">
        <v>289</v>
      </c>
      <c r="D1991" s="1" t="s">
        <v>290</v>
      </c>
      <c r="E1991" s="1" t="s">
        <v>23</v>
      </c>
    </row>
    <row r="1992" spans="1:5" x14ac:dyDescent="0.25">
      <c r="A1992" s="13">
        <v>80799564</v>
      </c>
      <c r="B1992" s="11" t="s">
        <v>83</v>
      </c>
      <c r="C1992" s="1" t="s">
        <v>288</v>
      </c>
      <c r="D1992" s="1" t="s">
        <v>47</v>
      </c>
      <c r="E1992" s="1" t="s">
        <v>19</v>
      </c>
    </row>
    <row r="1993" spans="1:5" x14ac:dyDescent="0.25">
      <c r="A1993" s="13">
        <v>80801501</v>
      </c>
      <c r="B1993" s="11" t="s">
        <v>83</v>
      </c>
      <c r="C1993" s="1" t="s">
        <v>287</v>
      </c>
      <c r="D1993" s="1" t="s">
        <v>47</v>
      </c>
      <c r="E1993" s="1" t="s">
        <v>24</v>
      </c>
    </row>
    <row r="1994" spans="1:5" x14ac:dyDescent="0.25">
      <c r="A1994" s="13">
        <v>80802626</v>
      </c>
      <c r="B1994" s="11" t="s">
        <v>84</v>
      </c>
      <c r="C1994" s="1" t="s">
        <v>3294</v>
      </c>
      <c r="D1994" s="1" t="s">
        <v>38</v>
      </c>
      <c r="E1994" s="1" t="s">
        <v>10</v>
      </c>
    </row>
    <row r="1995" spans="1:5" x14ac:dyDescent="0.25">
      <c r="A1995" s="13">
        <v>80809229</v>
      </c>
      <c r="B1995" s="11" t="s">
        <v>83</v>
      </c>
      <c r="C1995" s="1" t="s">
        <v>286</v>
      </c>
      <c r="D1995" s="1" t="s">
        <v>47</v>
      </c>
      <c r="E1995" s="1" t="s">
        <v>19</v>
      </c>
    </row>
    <row r="1996" spans="1:5" x14ac:dyDescent="0.25">
      <c r="A1996" s="13">
        <v>80812084</v>
      </c>
      <c r="B1996" s="11" t="s">
        <v>83</v>
      </c>
      <c r="C1996" s="1" t="s">
        <v>285</v>
      </c>
      <c r="D1996" s="1" t="s">
        <v>61</v>
      </c>
      <c r="E1996" s="1" t="s">
        <v>23</v>
      </c>
    </row>
    <row r="1997" spans="1:5" x14ac:dyDescent="0.25">
      <c r="A1997" s="13">
        <v>80812413</v>
      </c>
      <c r="B1997" s="11" t="s">
        <v>116</v>
      </c>
      <c r="C1997" s="1" t="s">
        <v>284</v>
      </c>
      <c r="D1997" s="1" t="s">
        <v>117</v>
      </c>
      <c r="E1997" s="1" t="s">
        <v>6</v>
      </c>
    </row>
    <row r="1998" spans="1:5" x14ac:dyDescent="0.25">
      <c r="A1998" s="13">
        <v>80817377</v>
      </c>
      <c r="B1998" s="11" t="s">
        <v>84</v>
      </c>
      <c r="C1998" s="1" t="s">
        <v>283</v>
      </c>
      <c r="D1998" s="1" t="s">
        <v>3578</v>
      </c>
      <c r="E1998" s="1" t="s">
        <v>27</v>
      </c>
    </row>
    <row r="1999" spans="1:5" x14ac:dyDescent="0.25">
      <c r="A1999" s="13">
        <v>80819441</v>
      </c>
      <c r="B1999" s="11" t="s">
        <v>83</v>
      </c>
      <c r="C1999" s="1" t="s">
        <v>282</v>
      </c>
      <c r="D1999" s="1" t="s">
        <v>47</v>
      </c>
      <c r="E1999" s="1" t="s">
        <v>26</v>
      </c>
    </row>
    <row r="2000" spans="1:5" x14ac:dyDescent="0.25">
      <c r="A2000" s="13">
        <v>80819678</v>
      </c>
      <c r="B2000" s="11" t="s">
        <v>116</v>
      </c>
      <c r="C2000" s="1" t="s">
        <v>281</v>
      </c>
      <c r="D2000" s="1" t="s">
        <v>117</v>
      </c>
      <c r="E2000" s="1" t="s">
        <v>6</v>
      </c>
    </row>
    <row r="2001" spans="1:5" x14ac:dyDescent="0.25">
      <c r="A2001" s="13">
        <v>80820340</v>
      </c>
      <c r="B2001" s="11" t="s">
        <v>83</v>
      </c>
      <c r="C2001" s="1" t="s">
        <v>280</v>
      </c>
      <c r="D2001" s="1" t="s">
        <v>47</v>
      </c>
      <c r="E2001" s="1" t="s">
        <v>19</v>
      </c>
    </row>
    <row r="2002" spans="1:5" x14ac:dyDescent="0.25">
      <c r="A2002" s="13">
        <v>80820543</v>
      </c>
      <c r="B2002" s="11" t="s">
        <v>84</v>
      </c>
      <c r="C2002" s="1" t="s">
        <v>279</v>
      </c>
      <c r="D2002" s="1" t="s">
        <v>137</v>
      </c>
      <c r="E2002" s="1" t="s">
        <v>138</v>
      </c>
    </row>
    <row r="2003" spans="1:5" x14ac:dyDescent="0.25">
      <c r="A2003" s="13">
        <v>80820876</v>
      </c>
      <c r="B2003" s="11" t="s">
        <v>83</v>
      </c>
      <c r="C2003" s="1" t="s">
        <v>3295</v>
      </c>
      <c r="D2003" s="1" t="s">
        <v>48</v>
      </c>
      <c r="E2003" s="1" t="s">
        <v>196</v>
      </c>
    </row>
    <row r="2004" spans="1:5" x14ac:dyDescent="0.25">
      <c r="A2004" s="13">
        <v>80822482</v>
      </c>
      <c r="B2004" s="11" t="s">
        <v>83</v>
      </c>
      <c r="C2004" s="1" t="s">
        <v>277</v>
      </c>
      <c r="D2004" s="1" t="s">
        <v>278</v>
      </c>
      <c r="E2004" s="1" t="s">
        <v>24</v>
      </c>
    </row>
    <row r="2005" spans="1:5" x14ac:dyDescent="0.25">
      <c r="A2005" s="13">
        <v>80824834</v>
      </c>
      <c r="B2005" s="11" t="s">
        <v>84</v>
      </c>
      <c r="C2005" s="1" t="s">
        <v>276</v>
      </c>
      <c r="D2005" s="1" t="s">
        <v>38</v>
      </c>
      <c r="E2005" s="1" t="s">
        <v>3</v>
      </c>
    </row>
    <row r="2006" spans="1:5" x14ac:dyDescent="0.25">
      <c r="A2006" s="13">
        <v>80824930</v>
      </c>
      <c r="B2006" s="11" t="s">
        <v>116</v>
      </c>
      <c r="C2006" s="1" t="s">
        <v>275</v>
      </c>
      <c r="D2006" s="1" t="s">
        <v>117</v>
      </c>
      <c r="E2006" s="1" t="s">
        <v>6</v>
      </c>
    </row>
    <row r="2007" spans="1:5" x14ac:dyDescent="0.25">
      <c r="A2007" s="13">
        <v>80826876</v>
      </c>
      <c r="B2007" s="11" t="s">
        <v>83</v>
      </c>
      <c r="C2007" s="1" t="s">
        <v>274</v>
      </c>
      <c r="D2007" s="1" t="s">
        <v>57</v>
      </c>
      <c r="E2007" s="1" t="s">
        <v>23</v>
      </c>
    </row>
    <row r="2008" spans="1:5" x14ac:dyDescent="0.25">
      <c r="A2008" s="13">
        <v>80829988</v>
      </c>
      <c r="B2008" s="11" t="s">
        <v>84</v>
      </c>
      <c r="C2008" s="1" t="s">
        <v>273</v>
      </c>
      <c r="D2008" s="1" t="s">
        <v>38</v>
      </c>
      <c r="E2008" s="1" t="s">
        <v>5</v>
      </c>
    </row>
    <row r="2009" spans="1:5" x14ac:dyDescent="0.25">
      <c r="A2009" s="13">
        <v>80831581</v>
      </c>
      <c r="B2009" s="11" t="s">
        <v>109</v>
      </c>
      <c r="C2009" s="1" t="s">
        <v>270</v>
      </c>
      <c r="D2009" s="1" t="s">
        <v>271</v>
      </c>
      <c r="E2009" s="1" t="s">
        <v>272</v>
      </c>
    </row>
    <row r="2010" spans="1:5" x14ac:dyDescent="0.25">
      <c r="A2010" s="13">
        <v>80834020</v>
      </c>
      <c r="B2010" s="11" t="s">
        <v>83</v>
      </c>
      <c r="C2010" s="1" t="s">
        <v>268</v>
      </c>
      <c r="D2010" s="1" t="s">
        <v>269</v>
      </c>
      <c r="E2010" s="1" t="s">
        <v>16</v>
      </c>
    </row>
    <row r="2011" spans="1:5" x14ac:dyDescent="0.25">
      <c r="A2011" s="13">
        <v>80843387</v>
      </c>
      <c r="B2011" s="11" t="s">
        <v>84</v>
      </c>
      <c r="C2011" s="1" t="s">
        <v>3296</v>
      </c>
      <c r="D2011" s="1" t="s">
        <v>43</v>
      </c>
      <c r="E2011" s="1" t="s">
        <v>8</v>
      </c>
    </row>
    <row r="2012" spans="1:5" x14ac:dyDescent="0.25">
      <c r="A2012" s="13">
        <v>80845005</v>
      </c>
      <c r="B2012" s="11" t="s">
        <v>116</v>
      </c>
      <c r="C2012" s="1" t="s">
        <v>267</v>
      </c>
      <c r="D2012" s="1" t="s">
        <v>117</v>
      </c>
      <c r="E2012" s="1" t="s">
        <v>186</v>
      </c>
    </row>
    <row r="2013" spans="1:5" x14ac:dyDescent="0.25">
      <c r="A2013" s="13">
        <v>80845255</v>
      </c>
      <c r="B2013" s="11" t="s">
        <v>83</v>
      </c>
      <c r="C2013" s="1" t="s">
        <v>266</v>
      </c>
      <c r="D2013" s="1" t="s">
        <v>47</v>
      </c>
      <c r="E2013" s="1" t="s">
        <v>19</v>
      </c>
    </row>
    <row r="2014" spans="1:5" x14ac:dyDescent="0.25">
      <c r="A2014" s="13">
        <v>80845680</v>
      </c>
      <c r="B2014" s="11" t="s">
        <v>83</v>
      </c>
      <c r="C2014" s="1" t="s">
        <v>265</v>
      </c>
      <c r="D2014" s="1" t="s">
        <v>141</v>
      </c>
      <c r="E2014" s="1" t="s">
        <v>16</v>
      </c>
    </row>
    <row r="2015" spans="1:5" x14ac:dyDescent="0.25">
      <c r="A2015" s="13">
        <v>80849718</v>
      </c>
      <c r="B2015" s="11" t="s">
        <v>84</v>
      </c>
      <c r="C2015" s="1" t="s">
        <v>264</v>
      </c>
      <c r="D2015" s="1" t="s">
        <v>38</v>
      </c>
      <c r="E2015" s="1" t="s">
        <v>5</v>
      </c>
    </row>
    <row r="2016" spans="1:5" x14ac:dyDescent="0.25">
      <c r="A2016" s="13">
        <v>80851916</v>
      </c>
      <c r="B2016" s="11" t="s">
        <v>116</v>
      </c>
      <c r="C2016" s="1" t="s">
        <v>3297</v>
      </c>
      <c r="D2016" s="1" t="s">
        <v>117</v>
      </c>
      <c r="E2016" s="1" t="s">
        <v>3192</v>
      </c>
    </row>
    <row r="2017" spans="1:5" x14ac:dyDescent="0.25">
      <c r="A2017" s="13">
        <v>80854647</v>
      </c>
      <c r="B2017" s="11" t="s">
        <v>84</v>
      </c>
      <c r="C2017" s="1" t="s">
        <v>3298</v>
      </c>
      <c r="D2017" s="1" t="s">
        <v>3141</v>
      </c>
      <c r="E2017" s="1" t="s">
        <v>1</v>
      </c>
    </row>
    <row r="2018" spans="1:5" x14ac:dyDescent="0.25">
      <c r="A2018" s="13">
        <v>80856531</v>
      </c>
      <c r="B2018" s="11" t="s">
        <v>116</v>
      </c>
      <c r="C2018" s="1" t="s">
        <v>262</v>
      </c>
      <c r="D2018" s="1" t="s">
        <v>117</v>
      </c>
      <c r="E2018" s="1" t="s">
        <v>263</v>
      </c>
    </row>
    <row r="2019" spans="1:5" x14ac:dyDescent="0.25">
      <c r="A2019" s="13">
        <v>80856914</v>
      </c>
      <c r="B2019" s="11" t="s">
        <v>83</v>
      </c>
      <c r="C2019" s="1" t="s">
        <v>261</v>
      </c>
      <c r="D2019" s="1" t="s">
        <v>47</v>
      </c>
      <c r="E2019" s="1" t="s">
        <v>16</v>
      </c>
    </row>
    <row r="2020" spans="1:5" x14ac:dyDescent="0.25">
      <c r="A2020" s="13">
        <v>80857034</v>
      </c>
      <c r="B2020" s="11" t="s">
        <v>83</v>
      </c>
      <c r="C2020" s="1" t="s">
        <v>3299</v>
      </c>
      <c r="D2020" s="1" t="s">
        <v>105</v>
      </c>
      <c r="E2020" s="1" t="s">
        <v>19</v>
      </c>
    </row>
    <row r="2021" spans="1:5" x14ac:dyDescent="0.25">
      <c r="A2021" s="13">
        <v>80858791</v>
      </c>
      <c r="B2021" s="11" t="s">
        <v>84</v>
      </c>
      <c r="C2021" s="1" t="s">
        <v>260</v>
      </c>
      <c r="D2021" s="1" t="s">
        <v>38</v>
      </c>
      <c r="E2021" s="1" t="s">
        <v>3</v>
      </c>
    </row>
    <row r="2022" spans="1:5" x14ac:dyDescent="0.25">
      <c r="A2022" s="13">
        <v>80859837</v>
      </c>
      <c r="B2022" s="11" t="s">
        <v>116</v>
      </c>
      <c r="C2022" s="1" t="s">
        <v>259</v>
      </c>
      <c r="D2022" s="1" t="s">
        <v>117</v>
      </c>
      <c r="E2022" s="1" t="s">
        <v>12</v>
      </c>
    </row>
    <row r="2023" spans="1:5" x14ac:dyDescent="0.25">
      <c r="A2023" s="13">
        <v>80865137</v>
      </c>
      <c r="B2023" s="11" t="s">
        <v>84</v>
      </c>
      <c r="C2023" s="1" t="s">
        <v>3300</v>
      </c>
      <c r="D2023" s="1" t="s">
        <v>38</v>
      </c>
      <c r="E2023" s="1" t="s">
        <v>5</v>
      </c>
    </row>
    <row r="2024" spans="1:5" x14ac:dyDescent="0.25">
      <c r="A2024" s="13">
        <v>80865155</v>
      </c>
      <c r="B2024" s="11" t="s">
        <v>83</v>
      </c>
      <c r="C2024" s="1" t="s">
        <v>258</v>
      </c>
      <c r="D2024" s="1" t="s">
        <v>57</v>
      </c>
      <c r="E2024" s="1" t="s">
        <v>23</v>
      </c>
    </row>
    <row r="2025" spans="1:5" x14ac:dyDescent="0.25">
      <c r="A2025" s="13">
        <v>80865751</v>
      </c>
      <c r="B2025" s="11" t="s">
        <v>83</v>
      </c>
      <c r="C2025" s="1" t="s">
        <v>257</v>
      </c>
      <c r="D2025" s="1" t="s">
        <v>60</v>
      </c>
      <c r="E2025" s="1" t="s">
        <v>23</v>
      </c>
    </row>
    <row r="2026" spans="1:5" x14ac:dyDescent="0.25">
      <c r="A2026" s="13">
        <v>80870944</v>
      </c>
      <c r="B2026" s="11" t="s">
        <v>83</v>
      </c>
      <c r="C2026" s="1" t="s">
        <v>256</v>
      </c>
      <c r="D2026" s="1" t="s">
        <v>47</v>
      </c>
      <c r="E2026" s="1" t="s">
        <v>16</v>
      </c>
    </row>
    <row r="2027" spans="1:5" x14ac:dyDescent="0.25">
      <c r="A2027" s="13">
        <v>80872972</v>
      </c>
      <c r="B2027" s="11" t="s">
        <v>116</v>
      </c>
      <c r="C2027" s="1" t="s">
        <v>255</v>
      </c>
      <c r="D2027" s="1" t="s">
        <v>117</v>
      </c>
      <c r="E2027" s="1" t="s">
        <v>8</v>
      </c>
    </row>
    <row r="2028" spans="1:5" x14ac:dyDescent="0.25">
      <c r="A2028" s="13">
        <v>80873555</v>
      </c>
      <c r="B2028" s="11" t="s">
        <v>116</v>
      </c>
      <c r="C2028" s="1" t="s">
        <v>254</v>
      </c>
      <c r="D2028" s="1" t="s">
        <v>117</v>
      </c>
      <c r="E2028" s="1" t="s">
        <v>10</v>
      </c>
    </row>
    <row r="2029" spans="1:5" x14ac:dyDescent="0.25">
      <c r="A2029" s="13">
        <v>80875429</v>
      </c>
      <c r="B2029" s="11" t="s">
        <v>116</v>
      </c>
      <c r="C2029" s="1" t="s">
        <v>253</v>
      </c>
      <c r="D2029" s="1" t="s">
        <v>117</v>
      </c>
      <c r="E2029" s="1" t="s">
        <v>86</v>
      </c>
    </row>
    <row r="2030" spans="1:5" x14ac:dyDescent="0.25">
      <c r="A2030" s="13">
        <v>80893992</v>
      </c>
      <c r="B2030" s="11" t="s">
        <v>116</v>
      </c>
      <c r="C2030" s="1" t="s">
        <v>252</v>
      </c>
      <c r="D2030" s="1" t="s">
        <v>117</v>
      </c>
      <c r="E2030" s="1" t="s">
        <v>11</v>
      </c>
    </row>
    <row r="2031" spans="1:5" x14ac:dyDescent="0.25">
      <c r="A2031" s="13">
        <v>80901903</v>
      </c>
      <c r="B2031" s="11" t="s">
        <v>116</v>
      </c>
      <c r="C2031" s="1" t="s">
        <v>251</v>
      </c>
      <c r="D2031" s="1" t="s">
        <v>117</v>
      </c>
      <c r="E2031" s="1" t="s">
        <v>147</v>
      </c>
    </row>
    <row r="2032" spans="1:5" x14ac:dyDescent="0.25">
      <c r="A2032" s="13">
        <v>80903484</v>
      </c>
      <c r="B2032" s="11" t="s">
        <v>84</v>
      </c>
      <c r="C2032" s="1" t="s">
        <v>3301</v>
      </c>
      <c r="D2032" s="1" t="s">
        <v>43</v>
      </c>
      <c r="E2032" s="1" t="s">
        <v>15</v>
      </c>
    </row>
    <row r="2033" spans="1:5" x14ac:dyDescent="0.25">
      <c r="A2033" s="13">
        <v>80904123</v>
      </c>
      <c r="B2033" s="11" t="s">
        <v>83</v>
      </c>
      <c r="C2033" s="1" t="s">
        <v>250</v>
      </c>
      <c r="D2033" s="1" t="s">
        <v>47</v>
      </c>
      <c r="E2033" s="1" t="s">
        <v>16</v>
      </c>
    </row>
    <row r="2034" spans="1:5" x14ac:dyDescent="0.25">
      <c r="A2034" s="13">
        <v>80913675</v>
      </c>
      <c r="B2034" s="11" t="s">
        <v>84</v>
      </c>
      <c r="C2034" s="1" t="s">
        <v>249</v>
      </c>
      <c r="D2034" s="1" t="s">
        <v>38</v>
      </c>
      <c r="E2034" s="1" t="s">
        <v>10</v>
      </c>
    </row>
    <row r="2035" spans="1:5" x14ac:dyDescent="0.25">
      <c r="A2035" s="13">
        <v>80920741</v>
      </c>
      <c r="B2035" s="11" t="s">
        <v>83</v>
      </c>
      <c r="C2035" s="1" t="s">
        <v>247</v>
      </c>
      <c r="D2035" s="1" t="s">
        <v>100</v>
      </c>
      <c r="E2035" s="1" t="s">
        <v>248</v>
      </c>
    </row>
    <row r="2036" spans="1:5" x14ac:dyDescent="0.25">
      <c r="A2036" s="13">
        <v>80927972</v>
      </c>
      <c r="B2036" s="11" t="s">
        <v>83</v>
      </c>
      <c r="C2036" s="1" t="s">
        <v>245</v>
      </c>
      <c r="D2036" s="1" t="s">
        <v>246</v>
      </c>
      <c r="E2036" s="1" t="s">
        <v>19</v>
      </c>
    </row>
    <row r="2037" spans="1:5" x14ac:dyDescent="0.25">
      <c r="A2037" s="13">
        <v>80928254</v>
      </c>
      <c r="B2037" s="11" t="s">
        <v>84</v>
      </c>
      <c r="C2037" s="1" t="s">
        <v>244</v>
      </c>
      <c r="D2037" s="1" t="s">
        <v>38</v>
      </c>
      <c r="E2037" s="1" t="s">
        <v>11</v>
      </c>
    </row>
    <row r="2038" spans="1:5" x14ac:dyDescent="0.25">
      <c r="A2038" s="13">
        <v>80931741</v>
      </c>
      <c r="B2038" s="11" t="s">
        <v>84</v>
      </c>
      <c r="C2038" s="1" t="s">
        <v>3579</v>
      </c>
      <c r="D2038" s="1" t="s">
        <v>38</v>
      </c>
      <c r="E2038" s="1" t="s">
        <v>3580</v>
      </c>
    </row>
    <row r="2039" spans="1:5" x14ac:dyDescent="0.25">
      <c r="A2039" s="13">
        <v>80932179</v>
      </c>
      <c r="B2039" s="11" t="s">
        <v>116</v>
      </c>
      <c r="C2039" s="1" t="s">
        <v>3581</v>
      </c>
      <c r="D2039" s="1" t="s">
        <v>117</v>
      </c>
      <c r="E2039" s="1" t="s">
        <v>3118</v>
      </c>
    </row>
    <row r="2040" spans="1:5" x14ac:dyDescent="0.25">
      <c r="A2040" s="13">
        <v>80933038</v>
      </c>
      <c r="B2040" s="11" t="s">
        <v>84</v>
      </c>
      <c r="C2040" s="1" t="s">
        <v>3302</v>
      </c>
      <c r="D2040" s="1" t="s">
        <v>38</v>
      </c>
      <c r="E2040" s="1" t="s">
        <v>3229</v>
      </c>
    </row>
    <row r="2041" spans="1:5" x14ac:dyDescent="0.25">
      <c r="A2041" s="13">
        <v>81715575</v>
      </c>
      <c r="B2041" s="11" t="s">
        <v>83</v>
      </c>
      <c r="C2041" s="1" t="s">
        <v>240</v>
      </c>
      <c r="D2041" s="1" t="s">
        <v>241</v>
      </c>
      <c r="E2041" s="1" t="s">
        <v>242</v>
      </c>
    </row>
    <row r="2042" spans="1:5" x14ac:dyDescent="0.25">
      <c r="A2042" s="13">
        <v>81720980</v>
      </c>
      <c r="B2042" s="11" t="s">
        <v>83</v>
      </c>
      <c r="C2042" s="1" t="s">
        <v>3067</v>
      </c>
      <c r="D2042" s="1" t="s">
        <v>102</v>
      </c>
      <c r="E2042" s="1" t="s">
        <v>19</v>
      </c>
    </row>
    <row r="2043" spans="1:5" x14ac:dyDescent="0.25">
      <c r="A2043" s="13">
        <v>82330729</v>
      </c>
      <c r="B2043" s="11" t="s">
        <v>83</v>
      </c>
      <c r="C2043" s="1" t="s">
        <v>239</v>
      </c>
      <c r="D2043" s="1" t="s">
        <v>57</v>
      </c>
      <c r="E2043" s="1" t="s">
        <v>23</v>
      </c>
    </row>
    <row r="2044" spans="1:5" x14ac:dyDescent="0.25">
      <c r="A2044" s="13">
        <v>84105147</v>
      </c>
      <c r="B2044" s="11" t="s">
        <v>116</v>
      </c>
      <c r="C2044" s="1" t="s">
        <v>234</v>
      </c>
      <c r="D2044" s="1" t="s">
        <v>117</v>
      </c>
      <c r="E2044" s="1" t="s">
        <v>232</v>
      </c>
    </row>
    <row r="2045" spans="1:5" x14ac:dyDescent="0.25">
      <c r="A2045" s="13">
        <v>84451644</v>
      </c>
      <c r="B2045" s="11" t="s">
        <v>109</v>
      </c>
      <c r="C2045" s="1" t="s">
        <v>233</v>
      </c>
      <c r="D2045" s="1" t="s">
        <v>131</v>
      </c>
      <c r="E2045" s="1" t="s">
        <v>131</v>
      </c>
    </row>
    <row r="2046" spans="1:5" x14ac:dyDescent="0.25">
      <c r="A2046" s="13">
        <v>85372965</v>
      </c>
      <c r="B2046" s="11" t="s">
        <v>116</v>
      </c>
      <c r="C2046" s="1" t="s">
        <v>231</v>
      </c>
      <c r="D2046" s="1" t="s">
        <v>117</v>
      </c>
      <c r="E2046" s="1" t="s">
        <v>232</v>
      </c>
    </row>
    <row r="2047" spans="1:5" x14ac:dyDescent="0.25">
      <c r="A2047" s="13">
        <v>85435633</v>
      </c>
      <c r="B2047" s="11" t="s">
        <v>116</v>
      </c>
      <c r="C2047" s="1" t="s">
        <v>230</v>
      </c>
      <c r="D2047" s="1" t="s">
        <v>117</v>
      </c>
      <c r="E2047" s="1" t="s">
        <v>3</v>
      </c>
    </row>
    <row r="2048" spans="1:5" x14ac:dyDescent="0.25">
      <c r="A2048" s="13">
        <v>85437910</v>
      </c>
      <c r="B2048" s="11" t="s">
        <v>84</v>
      </c>
      <c r="C2048" s="1" t="s">
        <v>229</v>
      </c>
      <c r="D2048" s="1" t="s">
        <v>38</v>
      </c>
      <c r="E2048" s="1" t="s">
        <v>127</v>
      </c>
    </row>
    <row r="2049" spans="1:5" x14ac:dyDescent="0.25">
      <c r="A2049" s="13">
        <v>85446042</v>
      </c>
      <c r="B2049" s="11" t="s">
        <v>116</v>
      </c>
      <c r="C2049" s="1" t="s">
        <v>228</v>
      </c>
      <c r="D2049" s="1" t="s">
        <v>117</v>
      </c>
      <c r="E2049" s="1" t="s">
        <v>205</v>
      </c>
    </row>
    <row r="2050" spans="1:5" x14ac:dyDescent="0.25">
      <c r="A2050" s="13">
        <v>85452405</v>
      </c>
      <c r="B2050" s="11" t="s">
        <v>116</v>
      </c>
      <c r="C2050" s="1" t="s">
        <v>3303</v>
      </c>
      <c r="D2050" s="1" t="s">
        <v>117</v>
      </c>
      <c r="E2050" s="1" t="s">
        <v>3192</v>
      </c>
    </row>
    <row r="2051" spans="1:5" x14ac:dyDescent="0.25">
      <c r="A2051" s="13">
        <v>85465574</v>
      </c>
      <c r="B2051" s="11" t="s">
        <v>116</v>
      </c>
      <c r="C2051" s="1" t="s">
        <v>227</v>
      </c>
      <c r="D2051" s="1" t="s">
        <v>117</v>
      </c>
      <c r="E2051" s="1" t="s">
        <v>85</v>
      </c>
    </row>
    <row r="2052" spans="1:5" x14ac:dyDescent="0.25">
      <c r="A2052" s="13">
        <v>85470105</v>
      </c>
      <c r="B2052" s="11" t="s">
        <v>84</v>
      </c>
      <c r="C2052" s="1" t="s">
        <v>226</v>
      </c>
      <c r="D2052" s="1" t="s">
        <v>38</v>
      </c>
      <c r="E2052" s="1" t="s">
        <v>3</v>
      </c>
    </row>
    <row r="2053" spans="1:5" x14ac:dyDescent="0.25">
      <c r="A2053" s="13">
        <v>85486264</v>
      </c>
      <c r="B2053" s="11" t="s">
        <v>83</v>
      </c>
      <c r="C2053" s="1" t="s">
        <v>224</v>
      </c>
      <c r="D2053" s="1" t="s">
        <v>225</v>
      </c>
      <c r="E2053" s="1" t="s">
        <v>23</v>
      </c>
    </row>
    <row r="2054" spans="1:5" x14ac:dyDescent="0.25">
      <c r="A2054" s="13">
        <v>86036265</v>
      </c>
      <c r="B2054" s="11" t="s">
        <v>116</v>
      </c>
      <c r="C2054" s="1" t="s">
        <v>223</v>
      </c>
      <c r="D2054" s="1" t="s">
        <v>117</v>
      </c>
      <c r="E2054" s="1" t="s">
        <v>8</v>
      </c>
    </row>
    <row r="2055" spans="1:5" x14ac:dyDescent="0.25">
      <c r="A2055" s="13">
        <v>86045558</v>
      </c>
      <c r="B2055" s="11" t="s">
        <v>109</v>
      </c>
      <c r="C2055" s="1" t="s">
        <v>222</v>
      </c>
      <c r="D2055" s="1" t="s">
        <v>131</v>
      </c>
      <c r="E2055" s="1" t="s">
        <v>131</v>
      </c>
    </row>
    <row r="2056" spans="1:5" x14ac:dyDescent="0.25">
      <c r="A2056" s="13">
        <v>86045586</v>
      </c>
      <c r="B2056" s="11" t="s">
        <v>116</v>
      </c>
      <c r="C2056" s="1" t="s">
        <v>3147</v>
      </c>
      <c r="D2056" s="1" t="s">
        <v>117</v>
      </c>
      <c r="E2056" s="1" t="s">
        <v>119</v>
      </c>
    </row>
    <row r="2057" spans="1:5" x14ac:dyDescent="0.25">
      <c r="A2057" s="13">
        <v>86061000</v>
      </c>
      <c r="B2057" s="11" t="s">
        <v>116</v>
      </c>
      <c r="C2057" s="1" t="s">
        <v>221</v>
      </c>
      <c r="D2057" s="1" t="s">
        <v>117</v>
      </c>
      <c r="E2057" s="1" t="s">
        <v>7</v>
      </c>
    </row>
    <row r="2058" spans="1:5" x14ac:dyDescent="0.25">
      <c r="A2058" s="13">
        <v>86081812</v>
      </c>
      <c r="B2058" s="11" t="s">
        <v>84</v>
      </c>
      <c r="C2058" s="1" t="s">
        <v>220</v>
      </c>
      <c r="D2058" s="1" t="s">
        <v>38</v>
      </c>
      <c r="E2058" s="1" t="s">
        <v>15</v>
      </c>
    </row>
    <row r="2059" spans="1:5" x14ac:dyDescent="0.25">
      <c r="A2059" s="13">
        <v>86082026</v>
      </c>
      <c r="B2059" s="11" t="s">
        <v>116</v>
      </c>
      <c r="C2059" s="1" t="s">
        <v>219</v>
      </c>
      <c r="D2059" s="1" t="s">
        <v>117</v>
      </c>
      <c r="E2059" s="1" t="s">
        <v>2</v>
      </c>
    </row>
    <row r="2060" spans="1:5" x14ac:dyDescent="0.25">
      <c r="A2060" s="13">
        <v>87067701</v>
      </c>
      <c r="B2060" s="11" t="s">
        <v>83</v>
      </c>
      <c r="C2060" s="1" t="s">
        <v>216</v>
      </c>
      <c r="D2060" s="1" t="s">
        <v>217</v>
      </c>
      <c r="E2060" s="1" t="s">
        <v>19</v>
      </c>
    </row>
    <row r="2061" spans="1:5" x14ac:dyDescent="0.25">
      <c r="A2061" s="13">
        <v>87245403</v>
      </c>
      <c r="B2061" s="11" t="s">
        <v>116</v>
      </c>
      <c r="C2061" s="1" t="s">
        <v>213</v>
      </c>
      <c r="D2061" s="1" t="s">
        <v>117</v>
      </c>
      <c r="E2061" s="1" t="s">
        <v>9</v>
      </c>
    </row>
    <row r="2062" spans="1:5" x14ac:dyDescent="0.25">
      <c r="A2062" s="13">
        <v>88157637</v>
      </c>
      <c r="B2062" s="11" t="s">
        <v>116</v>
      </c>
      <c r="C2062" s="1" t="s">
        <v>211</v>
      </c>
      <c r="D2062" s="1" t="s">
        <v>117</v>
      </c>
      <c r="E2062" s="1" t="s">
        <v>120</v>
      </c>
    </row>
    <row r="2063" spans="1:5" x14ac:dyDescent="0.25">
      <c r="A2063" s="13">
        <v>88195474</v>
      </c>
      <c r="B2063" s="11" t="s">
        <v>84</v>
      </c>
      <c r="C2063" s="1" t="s">
        <v>3114</v>
      </c>
      <c r="D2063" s="1" t="s">
        <v>3582</v>
      </c>
      <c r="E2063" s="1" t="s">
        <v>27</v>
      </c>
    </row>
    <row r="2064" spans="1:5" x14ac:dyDescent="0.25">
      <c r="A2064" s="13">
        <v>88197450</v>
      </c>
      <c r="B2064" s="11" t="s">
        <v>84</v>
      </c>
      <c r="C2064" s="1" t="s">
        <v>3304</v>
      </c>
      <c r="D2064" s="1" t="s">
        <v>38</v>
      </c>
      <c r="E2064" s="1" t="s">
        <v>170</v>
      </c>
    </row>
    <row r="2065" spans="1:5" x14ac:dyDescent="0.25">
      <c r="A2065" s="13">
        <v>88204238</v>
      </c>
      <c r="B2065" s="11" t="s">
        <v>116</v>
      </c>
      <c r="C2065" s="1" t="s">
        <v>209</v>
      </c>
      <c r="D2065" s="1" t="s">
        <v>117</v>
      </c>
      <c r="E2065" s="1" t="s">
        <v>210</v>
      </c>
    </row>
    <row r="2066" spans="1:5" x14ac:dyDescent="0.25">
      <c r="A2066" s="13">
        <v>88222916</v>
      </c>
      <c r="B2066" s="11" t="s">
        <v>116</v>
      </c>
      <c r="C2066" s="1" t="s">
        <v>208</v>
      </c>
      <c r="D2066" s="1" t="s">
        <v>117</v>
      </c>
      <c r="E2066" s="1" t="s">
        <v>10</v>
      </c>
    </row>
    <row r="2067" spans="1:5" x14ac:dyDescent="0.25">
      <c r="A2067" s="13">
        <v>88228764</v>
      </c>
      <c r="B2067" s="11" t="s">
        <v>116</v>
      </c>
      <c r="C2067" s="1" t="s">
        <v>207</v>
      </c>
      <c r="D2067" s="1" t="s">
        <v>117</v>
      </c>
      <c r="E2067" s="1" t="s">
        <v>8</v>
      </c>
    </row>
    <row r="2068" spans="1:5" x14ac:dyDescent="0.25">
      <c r="A2068" s="13">
        <v>88232774</v>
      </c>
      <c r="B2068" s="11" t="s">
        <v>116</v>
      </c>
      <c r="C2068" s="1" t="s">
        <v>206</v>
      </c>
      <c r="D2068" s="1" t="s">
        <v>117</v>
      </c>
      <c r="E2068" s="1" t="s">
        <v>179</v>
      </c>
    </row>
    <row r="2069" spans="1:5" x14ac:dyDescent="0.25">
      <c r="A2069" s="13">
        <v>88234299</v>
      </c>
      <c r="B2069" s="11" t="s">
        <v>84</v>
      </c>
      <c r="C2069" s="1" t="s">
        <v>204</v>
      </c>
      <c r="D2069" s="1" t="s">
        <v>172</v>
      </c>
      <c r="E2069" s="1" t="s">
        <v>205</v>
      </c>
    </row>
    <row r="2070" spans="1:5" x14ac:dyDescent="0.25">
      <c r="A2070" s="13">
        <v>88236126</v>
      </c>
      <c r="B2070" s="11" t="s">
        <v>84</v>
      </c>
      <c r="C2070" s="1" t="s">
        <v>202</v>
      </c>
      <c r="D2070" s="1" t="s">
        <v>203</v>
      </c>
      <c r="E2070" s="1" t="s">
        <v>179</v>
      </c>
    </row>
    <row r="2071" spans="1:5" x14ac:dyDescent="0.25">
      <c r="A2071" s="13">
        <v>88256484</v>
      </c>
      <c r="B2071" s="11" t="s">
        <v>84</v>
      </c>
      <c r="C2071" s="1" t="s">
        <v>201</v>
      </c>
      <c r="D2071" s="1" t="s">
        <v>37</v>
      </c>
      <c r="E2071" s="1" t="s">
        <v>27</v>
      </c>
    </row>
    <row r="2072" spans="1:5" x14ac:dyDescent="0.25">
      <c r="A2072" s="13">
        <v>91177568</v>
      </c>
      <c r="B2072" s="11" t="s">
        <v>83</v>
      </c>
      <c r="C2072" s="1" t="s">
        <v>198</v>
      </c>
      <c r="D2072" s="1" t="s">
        <v>199</v>
      </c>
      <c r="E2072" s="1" t="s">
        <v>21</v>
      </c>
    </row>
    <row r="2073" spans="1:5" x14ac:dyDescent="0.25">
      <c r="A2073" s="13">
        <v>91263569</v>
      </c>
      <c r="B2073" s="11" t="s">
        <v>109</v>
      </c>
      <c r="C2073" s="1" t="s">
        <v>197</v>
      </c>
      <c r="D2073" s="1" t="s">
        <v>131</v>
      </c>
      <c r="E2073" s="1" t="s">
        <v>131</v>
      </c>
    </row>
    <row r="2074" spans="1:5" x14ac:dyDescent="0.25">
      <c r="A2074" s="13">
        <v>91268418</v>
      </c>
      <c r="B2074" s="11" t="s">
        <v>83</v>
      </c>
      <c r="C2074" s="1" t="s">
        <v>194</v>
      </c>
      <c r="D2074" s="1" t="s">
        <v>195</v>
      </c>
      <c r="E2074" s="1" t="s">
        <v>196</v>
      </c>
    </row>
    <row r="2075" spans="1:5" x14ac:dyDescent="0.25">
      <c r="A2075" s="13">
        <v>91283826</v>
      </c>
      <c r="B2075" s="11" t="s">
        <v>84</v>
      </c>
      <c r="C2075" s="1" t="s">
        <v>192</v>
      </c>
      <c r="D2075" s="1" t="s">
        <v>38</v>
      </c>
      <c r="E2075" s="1" t="s">
        <v>3121</v>
      </c>
    </row>
    <row r="2076" spans="1:5" x14ac:dyDescent="0.25">
      <c r="A2076" s="13">
        <v>91295963</v>
      </c>
      <c r="B2076" s="11" t="s">
        <v>84</v>
      </c>
      <c r="C2076" s="1" t="s">
        <v>191</v>
      </c>
      <c r="D2076" s="1" t="s">
        <v>43</v>
      </c>
      <c r="E2076" s="1" t="s">
        <v>8</v>
      </c>
    </row>
    <row r="2077" spans="1:5" x14ac:dyDescent="0.25">
      <c r="A2077" s="13">
        <v>91296233</v>
      </c>
      <c r="B2077" s="11" t="s">
        <v>116</v>
      </c>
      <c r="C2077" s="1" t="s">
        <v>190</v>
      </c>
      <c r="D2077" s="1" t="s">
        <v>117</v>
      </c>
      <c r="E2077" s="1" t="s">
        <v>119</v>
      </c>
    </row>
    <row r="2078" spans="1:5" x14ac:dyDescent="0.25">
      <c r="A2078" s="13">
        <v>91298384</v>
      </c>
      <c r="B2078" s="11" t="s">
        <v>116</v>
      </c>
      <c r="C2078" s="1" t="s">
        <v>189</v>
      </c>
      <c r="D2078" s="1" t="s">
        <v>117</v>
      </c>
      <c r="E2078" s="1" t="s">
        <v>179</v>
      </c>
    </row>
    <row r="2079" spans="1:5" x14ac:dyDescent="0.25">
      <c r="A2079" s="13">
        <v>91300006</v>
      </c>
      <c r="B2079" s="11" t="s">
        <v>83</v>
      </c>
      <c r="C2079" s="1" t="s">
        <v>188</v>
      </c>
      <c r="D2079" s="1" t="s">
        <v>61</v>
      </c>
      <c r="E2079" s="1" t="s">
        <v>23</v>
      </c>
    </row>
    <row r="2080" spans="1:5" x14ac:dyDescent="0.25">
      <c r="A2080" s="13">
        <v>91481083</v>
      </c>
      <c r="B2080" s="11" t="s">
        <v>116</v>
      </c>
      <c r="C2080" s="1" t="s">
        <v>187</v>
      </c>
      <c r="D2080" s="1" t="s">
        <v>117</v>
      </c>
      <c r="E2080" s="1" t="s">
        <v>10</v>
      </c>
    </row>
    <row r="2081" spans="1:5" x14ac:dyDescent="0.25">
      <c r="A2081" s="13">
        <v>91485755</v>
      </c>
      <c r="B2081" s="11" t="s">
        <v>84</v>
      </c>
      <c r="C2081" s="1" t="s">
        <v>184</v>
      </c>
      <c r="D2081" s="1" t="s">
        <v>185</v>
      </c>
      <c r="E2081" s="1" t="s">
        <v>186</v>
      </c>
    </row>
    <row r="2082" spans="1:5" x14ac:dyDescent="0.25">
      <c r="A2082" s="13">
        <v>91488711</v>
      </c>
      <c r="B2082" s="11" t="s">
        <v>116</v>
      </c>
      <c r="C2082" s="1" t="s">
        <v>183</v>
      </c>
      <c r="D2082" s="1" t="s">
        <v>117</v>
      </c>
      <c r="E2082" s="1" t="s">
        <v>8</v>
      </c>
    </row>
    <row r="2083" spans="1:5" x14ac:dyDescent="0.25">
      <c r="A2083" s="13">
        <v>91512459</v>
      </c>
      <c r="B2083" s="11" t="s">
        <v>84</v>
      </c>
      <c r="C2083" s="1" t="s">
        <v>3000</v>
      </c>
      <c r="D2083" s="1" t="s">
        <v>43</v>
      </c>
      <c r="E2083" s="1" t="s">
        <v>13</v>
      </c>
    </row>
    <row r="2084" spans="1:5" x14ac:dyDescent="0.25">
      <c r="A2084" s="13">
        <v>91535832</v>
      </c>
      <c r="B2084" s="11" t="s">
        <v>84</v>
      </c>
      <c r="C2084" s="1" t="s">
        <v>3305</v>
      </c>
      <c r="D2084" s="1" t="s">
        <v>38</v>
      </c>
      <c r="E2084" s="1" t="s">
        <v>3211</v>
      </c>
    </row>
    <row r="2085" spans="1:5" x14ac:dyDescent="0.25">
      <c r="A2085" s="13">
        <v>91538407</v>
      </c>
      <c r="B2085" s="11" t="s">
        <v>84</v>
      </c>
      <c r="C2085" s="1" t="s">
        <v>182</v>
      </c>
      <c r="D2085" s="1" t="s">
        <v>38</v>
      </c>
      <c r="E2085" s="1" t="s">
        <v>170</v>
      </c>
    </row>
    <row r="2086" spans="1:5" x14ac:dyDescent="0.25">
      <c r="A2086" s="13">
        <v>91540028</v>
      </c>
      <c r="B2086" s="11" t="s">
        <v>83</v>
      </c>
      <c r="C2086" s="1" t="s">
        <v>181</v>
      </c>
      <c r="D2086" s="1" t="s">
        <v>57</v>
      </c>
      <c r="E2086" s="1" t="s">
        <v>23</v>
      </c>
    </row>
    <row r="2087" spans="1:5" x14ac:dyDescent="0.25">
      <c r="A2087" s="13">
        <v>91541163</v>
      </c>
      <c r="B2087" s="11" t="s">
        <v>84</v>
      </c>
      <c r="C2087" s="1" t="s">
        <v>180</v>
      </c>
      <c r="D2087" s="1" t="s">
        <v>38</v>
      </c>
      <c r="E2087" s="1" t="s">
        <v>7</v>
      </c>
    </row>
    <row r="2088" spans="1:5" x14ac:dyDescent="0.25">
      <c r="A2088" s="13">
        <v>92185430</v>
      </c>
      <c r="B2088" s="11" t="s">
        <v>84</v>
      </c>
      <c r="C2088" s="1" t="s">
        <v>176</v>
      </c>
      <c r="D2088" s="1" t="s">
        <v>38</v>
      </c>
      <c r="E2088" s="1" t="s">
        <v>3</v>
      </c>
    </row>
    <row r="2089" spans="1:5" x14ac:dyDescent="0.25">
      <c r="A2089" s="13">
        <v>92502289</v>
      </c>
      <c r="B2089" s="11" t="s">
        <v>116</v>
      </c>
      <c r="C2089" s="1" t="s">
        <v>175</v>
      </c>
      <c r="D2089" s="1" t="s">
        <v>117</v>
      </c>
      <c r="E2089" s="1" t="s">
        <v>12</v>
      </c>
    </row>
    <row r="2090" spans="1:5" x14ac:dyDescent="0.25">
      <c r="A2090" s="13">
        <v>92556798</v>
      </c>
      <c r="B2090" s="11" t="s">
        <v>84</v>
      </c>
      <c r="C2090" s="1" t="s">
        <v>3306</v>
      </c>
      <c r="D2090" s="1" t="s">
        <v>38</v>
      </c>
      <c r="E2090" s="1" t="s">
        <v>3211</v>
      </c>
    </row>
    <row r="2091" spans="1:5" x14ac:dyDescent="0.25">
      <c r="A2091" s="13">
        <v>92559000</v>
      </c>
      <c r="B2091" s="11" t="s">
        <v>116</v>
      </c>
      <c r="C2091" s="1" t="s">
        <v>3307</v>
      </c>
      <c r="D2091" s="1" t="s">
        <v>117</v>
      </c>
      <c r="E2091" s="1" t="s">
        <v>3192</v>
      </c>
    </row>
    <row r="2092" spans="1:5" x14ac:dyDescent="0.25">
      <c r="A2092" s="13">
        <v>93061191</v>
      </c>
      <c r="B2092" s="11" t="s">
        <v>84</v>
      </c>
      <c r="C2092" s="1" t="s">
        <v>171</v>
      </c>
      <c r="D2092" s="1" t="s">
        <v>172</v>
      </c>
      <c r="E2092" s="1" t="s">
        <v>173</v>
      </c>
    </row>
    <row r="2093" spans="1:5" x14ac:dyDescent="0.25">
      <c r="A2093" s="13">
        <v>93288181</v>
      </c>
      <c r="B2093" s="11" t="s">
        <v>84</v>
      </c>
      <c r="C2093" s="1" t="s">
        <v>169</v>
      </c>
      <c r="D2093" s="1" t="s">
        <v>38</v>
      </c>
      <c r="E2093" s="1" t="s">
        <v>170</v>
      </c>
    </row>
    <row r="2094" spans="1:5" x14ac:dyDescent="0.25">
      <c r="A2094" s="13">
        <v>93294799</v>
      </c>
      <c r="B2094" s="11" t="s">
        <v>84</v>
      </c>
      <c r="C2094" s="1" t="s">
        <v>167</v>
      </c>
      <c r="D2094" s="1" t="s">
        <v>43</v>
      </c>
      <c r="E2094" s="1" t="s">
        <v>168</v>
      </c>
    </row>
    <row r="2095" spans="1:5" x14ac:dyDescent="0.25">
      <c r="A2095" s="13">
        <v>93344698</v>
      </c>
      <c r="B2095" s="11" t="s">
        <v>84</v>
      </c>
      <c r="C2095" s="1" t="s">
        <v>166</v>
      </c>
      <c r="D2095" s="1" t="s">
        <v>43</v>
      </c>
      <c r="E2095" s="1" t="s">
        <v>134</v>
      </c>
    </row>
    <row r="2096" spans="1:5" x14ac:dyDescent="0.25">
      <c r="A2096" s="13">
        <v>93361631</v>
      </c>
      <c r="B2096" s="11" t="s">
        <v>109</v>
      </c>
      <c r="C2096" s="1" t="s">
        <v>165</v>
      </c>
      <c r="D2096" s="1" t="s">
        <v>131</v>
      </c>
      <c r="E2096" s="1" t="s">
        <v>131</v>
      </c>
    </row>
    <row r="2097" spans="1:5" x14ac:dyDescent="0.25">
      <c r="A2097" s="13">
        <v>93368471</v>
      </c>
      <c r="B2097" s="11" t="s">
        <v>116</v>
      </c>
      <c r="C2097" s="1" t="s">
        <v>164</v>
      </c>
      <c r="D2097" s="1" t="s">
        <v>117</v>
      </c>
      <c r="E2097" s="1" t="s">
        <v>6</v>
      </c>
    </row>
    <row r="2098" spans="1:5" x14ac:dyDescent="0.25">
      <c r="A2098" s="13">
        <v>93375324</v>
      </c>
      <c r="B2098" s="11" t="s">
        <v>116</v>
      </c>
      <c r="C2098" s="1" t="s">
        <v>163</v>
      </c>
      <c r="D2098" s="1" t="s">
        <v>117</v>
      </c>
      <c r="E2098" s="1" t="s">
        <v>118</v>
      </c>
    </row>
    <row r="2099" spans="1:5" x14ac:dyDescent="0.25">
      <c r="A2099" s="13">
        <v>93391188</v>
      </c>
      <c r="B2099" s="11" t="s">
        <v>109</v>
      </c>
      <c r="C2099" s="1" t="s">
        <v>162</v>
      </c>
      <c r="D2099" s="1" t="s">
        <v>131</v>
      </c>
      <c r="E2099" s="1" t="s">
        <v>131</v>
      </c>
    </row>
    <row r="2100" spans="1:5" x14ac:dyDescent="0.25">
      <c r="A2100" s="13">
        <v>93398983</v>
      </c>
      <c r="B2100" s="11" t="s">
        <v>84</v>
      </c>
      <c r="C2100" s="1" t="s">
        <v>3026</v>
      </c>
      <c r="D2100" s="1" t="s">
        <v>38</v>
      </c>
      <c r="E2100" s="1" t="s">
        <v>168</v>
      </c>
    </row>
    <row r="2101" spans="1:5" x14ac:dyDescent="0.25">
      <c r="A2101" s="13">
        <v>93400499</v>
      </c>
      <c r="B2101" s="11" t="s">
        <v>116</v>
      </c>
      <c r="C2101" s="1" t="s">
        <v>161</v>
      </c>
      <c r="D2101" s="1" t="s">
        <v>117</v>
      </c>
      <c r="E2101" s="1" t="s">
        <v>10</v>
      </c>
    </row>
    <row r="2102" spans="1:5" x14ac:dyDescent="0.25">
      <c r="A2102" s="13">
        <v>93413614</v>
      </c>
      <c r="B2102" s="11" t="s">
        <v>83</v>
      </c>
      <c r="C2102" s="1" t="s">
        <v>160</v>
      </c>
      <c r="D2102" s="1" t="s">
        <v>58</v>
      </c>
      <c r="E2102" s="1" t="s">
        <v>23</v>
      </c>
    </row>
    <row r="2103" spans="1:5" x14ac:dyDescent="0.25">
      <c r="A2103" s="13">
        <v>93414671</v>
      </c>
      <c r="B2103" s="11" t="s">
        <v>116</v>
      </c>
      <c r="C2103" s="1" t="s">
        <v>159</v>
      </c>
      <c r="D2103" s="1" t="s">
        <v>117</v>
      </c>
      <c r="E2103" s="1" t="s">
        <v>147</v>
      </c>
    </row>
    <row r="2104" spans="1:5" x14ac:dyDescent="0.25">
      <c r="A2104" s="13">
        <v>93461539</v>
      </c>
      <c r="B2104" s="11" t="s">
        <v>83</v>
      </c>
      <c r="C2104" s="1" t="s">
        <v>3308</v>
      </c>
      <c r="D2104" s="1" t="s">
        <v>2762</v>
      </c>
      <c r="E2104" s="1" t="s">
        <v>21</v>
      </c>
    </row>
    <row r="2105" spans="1:5" x14ac:dyDescent="0.25">
      <c r="A2105" s="13">
        <v>94276693</v>
      </c>
      <c r="B2105" s="11" t="s">
        <v>84</v>
      </c>
      <c r="C2105" s="1" t="s">
        <v>153</v>
      </c>
      <c r="D2105" s="1" t="s">
        <v>154</v>
      </c>
      <c r="E2105" s="1" t="s">
        <v>155</v>
      </c>
    </row>
    <row r="2106" spans="1:5" x14ac:dyDescent="0.25">
      <c r="A2106" s="13">
        <v>94282610</v>
      </c>
      <c r="B2106" s="11" t="s">
        <v>84</v>
      </c>
      <c r="C2106" s="1" t="s">
        <v>150</v>
      </c>
      <c r="D2106" s="1" t="s">
        <v>151</v>
      </c>
      <c r="E2106" s="1" t="s">
        <v>152</v>
      </c>
    </row>
    <row r="2107" spans="1:5" x14ac:dyDescent="0.25">
      <c r="A2107" s="13">
        <v>94309437</v>
      </c>
      <c r="B2107" s="11" t="s">
        <v>109</v>
      </c>
      <c r="C2107" s="1" t="s">
        <v>3076</v>
      </c>
      <c r="D2107" s="1" t="s">
        <v>131</v>
      </c>
      <c r="E2107" s="1" t="s">
        <v>131</v>
      </c>
    </row>
    <row r="2108" spans="1:5" x14ac:dyDescent="0.25">
      <c r="A2108" s="13">
        <v>94314406</v>
      </c>
      <c r="B2108" s="11" t="s">
        <v>116</v>
      </c>
      <c r="C2108" s="1" t="s">
        <v>149</v>
      </c>
      <c r="D2108" s="1" t="s">
        <v>117</v>
      </c>
      <c r="E2108" s="1" t="s">
        <v>85</v>
      </c>
    </row>
    <row r="2109" spans="1:5" x14ac:dyDescent="0.25">
      <c r="A2109" s="13">
        <v>94412892</v>
      </c>
      <c r="B2109" s="11" t="s">
        <v>116</v>
      </c>
      <c r="C2109" s="1" t="s">
        <v>148</v>
      </c>
      <c r="D2109" s="1" t="s">
        <v>117</v>
      </c>
      <c r="E2109" s="1" t="s">
        <v>8</v>
      </c>
    </row>
    <row r="2110" spans="1:5" x14ac:dyDescent="0.25">
      <c r="A2110" s="13">
        <v>94449786</v>
      </c>
      <c r="B2110" s="11" t="s">
        <v>116</v>
      </c>
      <c r="C2110" s="1" t="s">
        <v>146</v>
      </c>
      <c r="D2110" s="1" t="s">
        <v>117</v>
      </c>
      <c r="E2110" s="1" t="s">
        <v>147</v>
      </c>
    </row>
    <row r="2111" spans="1:5" x14ac:dyDescent="0.25">
      <c r="A2111" s="13">
        <v>94491838</v>
      </c>
      <c r="B2111" s="11" t="s">
        <v>109</v>
      </c>
      <c r="C2111" s="1" t="s">
        <v>145</v>
      </c>
      <c r="D2111" s="1" t="s">
        <v>131</v>
      </c>
      <c r="E2111" s="1" t="s">
        <v>131</v>
      </c>
    </row>
    <row r="2112" spans="1:5" x14ac:dyDescent="0.25">
      <c r="A2112" s="13">
        <v>98323754</v>
      </c>
      <c r="B2112" s="11" t="s">
        <v>116</v>
      </c>
      <c r="C2112" s="1" t="s">
        <v>133</v>
      </c>
      <c r="D2112" s="1" t="s">
        <v>117</v>
      </c>
      <c r="E2112" s="1" t="s">
        <v>3</v>
      </c>
    </row>
    <row r="2113" spans="1:5" x14ac:dyDescent="0.25">
      <c r="A2113" s="13">
        <v>98387572</v>
      </c>
      <c r="B2113" s="11" t="s">
        <v>84</v>
      </c>
      <c r="C2113" s="1" t="s">
        <v>132</v>
      </c>
      <c r="D2113" s="1" t="s">
        <v>38</v>
      </c>
      <c r="E2113" s="1" t="s">
        <v>3</v>
      </c>
    </row>
    <row r="2114" spans="1:5" x14ac:dyDescent="0.25">
      <c r="A2114" s="13">
        <v>98543360</v>
      </c>
      <c r="B2114" s="11" t="s">
        <v>109</v>
      </c>
      <c r="C2114" s="1" t="s">
        <v>130</v>
      </c>
      <c r="D2114" s="1" t="s">
        <v>131</v>
      </c>
      <c r="E2114" s="1" t="s">
        <v>131</v>
      </c>
    </row>
    <row r="2115" spans="1:5" x14ac:dyDescent="0.25">
      <c r="A2115" s="13">
        <v>98580970</v>
      </c>
      <c r="B2115" s="11" t="s">
        <v>84</v>
      </c>
      <c r="C2115" s="1" t="s">
        <v>128</v>
      </c>
      <c r="D2115" s="1" t="s">
        <v>129</v>
      </c>
      <c r="E2115" s="1" t="s">
        <v>1</v>
      </c>
    </row>
    <row r="2116" spans="1:5" x14ac:dyDescent="0.25">
      <c r="A2116" s="13">
        <v>98586202</v>
      </c>
      <c r="B2116" s="11" t="s">
        <v>116</v>
      </c>
      <c r="C2116" s="1" t="s">
        <v>126</v>
      </c>
      <c r="D2116" s="1" t="s">
        <v>117</v>
      </c>
      <c r="E2116" s="1" t="s">
        <v>127</v>
      </c>
    </row>
    <row r="2117" spans="1:5" x14ac:dyDescent="0.25">
      <c r="A2117" s="13">
        <v>98638385</v>
      </c>
      <c r="B2117" s="11" t="s">
        <v>116</v>
      </c>
      <c r="C2117" s="1" t="s">
        <v>125</v>
      </c>
      <c r="D2117" s="1" t="s">
        <v>117</v>
      </c>
      <c r="E2117" s="1" t="s">
        <v>5</v>
      </c>
    </row>
    <row r="2118" spans="1:5" x14ac:dyDescent="0.25">
      <c r="A2118" s="13">
        <v>99999999</v>
      </c>
      <c r="B2118" s="11" t="s">
        <v>83</v>
      </c>
      <c r="C2118" s="1" t="s">
        <v>121</v>
      </c>
      <c r="D2118" s="1" t="s">
        <v>122</v>
      </c>
      <c r="E2118" s="1" t="s">
        <v>123</v>
      </c>
    </row>
    <row r="2119" spans="1:5" x14ac:dyDescent="0.25">
      <c r="A2119" s="13">
        <v>100687931</v>
      </c>
      <c r="B2119" s="11" t="s">
        <v>83</v>
      </c>
      <c r="C2119" s="1" t="s">
        <v>3583</v>
      </c>
      <c r="D2119" s="1" t="s">
        <v>131</v>
      </c>
      <c r="E2119" s="1" t="s">
        <v>131</v>
      </c>
    </row>
    <row r="2120" spans="1:5" x14ac:dyDescent="0.25">
      <c r="A2120" s="13">
        <v>1000002544</v>
      </c>
      <c r="B2120" s="11" t="s">
        <v>83</v>
      </c>
      <c r="C2120" s="1" t="s">
        <v>3309</v>
      </c>
      <c r="D2120" s="1" t="s">
        <v>40</v>
      </c>
      <c r="E2120" s="1" t="s">
        <v>23</v>
      </c>
    </row>
    <row r="2121" spans="1:5" x14ac:dyDescent="0.25">
      <c r="A2121" s="13">
        <v>1000008223</v>
      </c>
      <c r="B2121" s="11" t="s">
        <v>83</v>
      </c>
      <c r="C2121" s="1" t="s">
        <v>3022</v>
      </c>
      <c r="D2121" s="1" t="s">
        <v>48</v>
      </c>
      <c r="E2121" s="1" t="s">
        <v>19</v>
      </c>
    </row>
    <row r="2122" spans="1:5" x14ac:dyDescent="0.25">
      <c r="A2122" s="13">
        <v>1000018087</v>
      </c>
      <c r="B2122" s="11" t="s">
        <v>84</v>
      </c>
      <c r="C2122" s="1" t="s">
        <v>3092</v>
      </c>
      <c r="D2122" s="1" t="s">
        <v>52</v>
      </c>
      <c r="E2122" s="1" t="s">
        <v>22</v>
      </c>
    </row>
    <row r="2123" spans="1:5" x14ac:dyDescent="0.25">
      <c r="A2123" s="13">
        <v>1000035592</v>
      </c>
      <c r="B2123" s="11" t="s">
        <v>84</v>
      </c>
      <c r="C2123" s="1" t="s">
        <v>3310</v>
      </c>
      <c r="D2123" s="1" t="s">
        <v>3131</v>
      </c>
      <c r="E2123" s="1" t="s">
        <v>1</v>
      </c>
    </row>
    <row r="2124" spans="1:5" x14ac:dyDescent="0.25">
      <c r="A2124" s="13">
        <v>1000046533</v>
      </c>
      <c r="B2124" s="11" t="s">
        <v>83</v>
      </c>
      <c r="C2124" s="1" t="s">
        <v>2998</v>
      </c>
      <c r="D2124" s="1" t="s">
        <v>48</v>
      </c>
      <c r="E2124" s="1" t="s">
        <v>196</v>
      </c>
    </row>
    <row r="2125" spans="1:5" x14ac:dyDescent="0.25">
      <c r="A2125" s="13">
        <v>1000076480</v>
      </c>
      <c r="B2125" s="11" t="s">
        <v>84</v>
      </c>
      <c r="C2125" s="1" t="s">
        <v>2997</v>
      </c>
      <c r="D2125" s="1" t="s">
        <v>36</v>
      </c>
      <c r="E2125" s="1" t="s">
        <v>17</v>
      </c>
    </row>
    <row r="2126" spans="1:5" x14ac:dyDescent="0.25">
      <c r="A2126" s="13">
        <v>1000118901</v>
      </c>
      <c r="B2126" s="11" t="s">
        <v>83</v>
      </c>
      <c r="C2126" s="1" t="s">
        <v>2996</v>
      </c>
      <c r="D2126" s="1" t="s">
        <v>44</v>
      </c>
      <c r="E2126" s="1" t="s">
        <v>16</v>
      </c>
    </row>
    <row r="2127" spans="1:5" x14ac:dyDescent="0.25">
      <c r="A2127" s="13">
        <v>1000128445</v>
      </c>
      <c r="B2127" s="11" t="s">
        <v>83</v>
      </c>
      <c r="C2127" s="1" t="s">
        <v>3165</v>
      </c>
      <c r="D2127" s="1" t="s">
        <v>48</v>
      </c>
      <c r="E2127" s="1" t="s">
        <v>19</v>
      </c>
    </row>
    <row r="2128" spans="1:5" x14ac:dyDescent="0.25">
      <c r="A2128" s="13">
        <v>1000131076</v>
      </c>
      <c r="B2128" s="11" t="s">
        <v>83</v>
      </c>
      <c r="C2128" s="1" t="s">
        <v>3311</v>
      </c>
      <c r="D2128" s="1" t="s">
        <v>79</v>
      </c>
      <c r="E2128" s="1" t="s">
        <v>24</v>
      </c>
    </row>
    <row r="2129" spans="1:5" x14ac:dyDescent="0.25">
      <c r="A2129" s="13">
        <v>1000148348</v>
      </c>
      <c r="B2129" s="11" t="s">
        <v>84</v>
      </c>
      <c r="C2129" s="1" t="s">
        <v>2995</v>
      </c>
      <c r="D2129" s="1" t="s">
        <v>36</v>
      </c>
      <c r="E2129" s="1" t="s">
        <v>17</v>
      </c>
    </row>
    <row r="2130" spans="1:5" x14ac:dyDescent="0.25">
      <c r="A2130" s="13">
        <v>1000159046</v>
      </c>
      <c r="B2130" s="11" t="s">
        <v>83</v>
      </c>
      <c r="C2130" s="1" t="s">
        <v>2994</v>
      </c>
      <c r="D2130" s="1" t="s">
        <v>2310</v>
      </c>
      <c r="E2130" s="1" t="s">
        <v>22</v>
      </c>
    </row>
    <row r="2131" spans="1:5" x14ac:dyDescent="0.25">
      <c r="A2131" s="13">
        <v>1000159853</v>
      </c>
      <c r="B2131" s="11" t="s">
        <v>84</v>
      </c>
      <c r="C2131" s="1" t="s">
        <v>2993</v>
      </c>
      <c r="D2131" s="1" t="s">
        <v>41</v>
      </c>
      <c r="E2131" s="1" t="s">
        <v>1</v>
      </c>
    </row>
    <row r="2132" spans="1:5" x14ac:dyDescent="0.25">
      <c r="A2132" s="13">
        <v>1000161811</v>
      </c>
      <c r="B2132" s="11" t="s">
        <v>83</v>
      </c>
      <c r="C2132" s="1" t="s">
        <v>3667</v>
      </c>
      <c r="D2132" s="1" t="s">
        <v>79</v>
      </c>
      <c r="E2132" s="1" t="s">
        <v>196</v>
      </c>
    </row>
    <row r="2133" spans="1:5" x14ac:dyDescent="0.25">
      <c r="A2133" s="13">
        <v>1000180675</v>
      </c>
      <c r="B2133" s="11" t="s">
        <v>84</v>
      </c>
      <c r="C2133" s="1" t="s">
        <v>3027</v>
      </c>
      <c r="D2133" s="1" t="s">
        <v>79</v>
      </c>
      <c r="E2133" s="1" t="s">
        <v>1</v>
      </c>
    </row>
    <row r="2134" spans="1:5" x14ac:dyDescent="0.25">
      <c r="A2134" s="13">
        <v>1000216787</v>
      </c>
      <c r="B2134" s="11" t="s">
        <v>84</v>
      </c>
      <c r="C2134" s="1" t="s">
        <v>3312</v>
      </c>
      <c r="D2134" s="1" t="s">
        <v>3584</v>
      </c>
      <c r="E2134" s="1" t="s">
        <v>939</v>
      </c>
    </row>
    <row r="2135" spans="1:5" x14ac:dyDescent="0.25">
      <c r="A2135" s="13">
        <v>1000218614</v>
      </c>
      <c r="B2135" s="11" t="s">
        <v>83</v>
      </c>
      <c r="C2135" s="1" t="s">
        <v>3314</v>
      </c>
      <c r="D2135" s="1" t="s">
        <v>54</v>
      </c>
      <c r="E2135" s="1" t="s">
        <v>16</v>
      </c>
    </row>
    <row r="2136" spans="1:5" x14ac:dyDescent="0.25">
      <c r="A2136" s="13">
        <v>1000222993</v>
      </c>
      <c r="B2136" s="11" t="s">
        <v>83</v>
      </c>
      <c r="C2136" s="1" t="s">
        <v>2992</v>
      </c>
      <c r="D2136" s="1" t="s">
        <v>36</v>
      </c>
      <c r="E2136" s="1" t="s">
        <v>33</v>
      </c>
    </row>
    <row r="2137" spans="1:5" x14ac:dyDescent="0.25">
      <c r="A2137" s="13">
        <v>1000225915</v>
      </c>
      <c r="B2137" s="11" t="s">
        <v>83</v>
      </c>
      <c r="C2137" s="1" t="s">
        <v>3028</v>
      </c>
      <c r="D2137" s="1" t="s">
        <v>36</v>
      </c>
      <c r="E2137" s="1" t="s">
        <v>33</v>
      </c>
    </row>
    <row r="2138" spans="1:5" x14ac:dyDescent="0.25">
      <c r="A2138" s="13">
        <v>1000235885</v>
      </c>
      <c r="B2138" s="11" t="s">
        <v>84</v>
      </c>
      <c r="C2138" s="1" t="s">
        <v>3585</v>
      </c>
      <c r="D2138" s="1" t="s">
        <v>36</v>
      </c>
      <c r="E2138" s="1" t="s">
        <v>3085</v>
      </c>
    </row>
    <row r="2139" spans="1:5" x14ac:dyDescent="0.25">
      <c r="A2139" s="13">
        <v>1000239033</v>
      </c>
      <c r="B2139" s="11" t="s">
        <v>83</v>
      </c>
      <c r="C2139" s="1" t="s">
        <v>3183</v>
      </c>
      <c r="D2139" s="1" t="s">
        <v>48</v>
      </c>
      <c r="E2139" s="1" t="s">
        <v>19</v>
      </c>
    </row>
    <row r="2140" spans="1:5" x14ac:dyDescent="0.25">
      <c r="A2140" s="13">
        <v>1000239570</v>
      </c>
      <c r="B2140" s="11" t="s">
        <v>83</v>
      </c>
      <c r="C2140" s="1" t="s">
        <v>2991</v>
      </c>
      <c r="D2140" s="1" t="s">
        <v>48</v>
      </c>
      <c r="E2140" s="1" t="s">
        <v>19</v>
      </c>
    </row>
    <row r="2141" spans="1:5" x14ac:dyDescent="0.25">
      <c r="A2141" s="13">
        <v>1000251429</v>
      </c>
      <c r="B2141" s="11" t="s">
        <v>83</v>
      </c>
      <c r="C2141" s="1" t="s">
        <v>2990</v>
      </c>
      <c r="D2141" s="1" t="s">
        <v>57</v>
      </c>
      <c r="E2141" s="1" t="s">
        <v>23</v>
      </c>
    </row>
    <row r="2142" spans="1:5" x14ac:dyDescent="0.25">
      <c r="A2142" s="13">
        <v>1000253158</v>
      </c>
      <c r="B2142" s="11" t="s">
        <v>84</v>
      </c>
      <c r="C2142" s="1" t="s">
        <v>2989</v>
      </c>
      <c r="D2142" s="1" t="s">
        <v>46</v>
      </c>
      <c r="E2142" s="1" t="s">
        <v>1</v>
      </c>
    </row>
    <row r="2143" spans="1:5" x14ac:dyDescent="0.25">
      <c r="A2143" s="13">
        <v>1000253530</v>
      </c>
      <c r="B2143" s="11" t="s">
        <v>83</v>
      </c>
      <c r="C2143" s="1" t="s">
        <v>3053</v>
      </c>
      <c r="D2143" s="1" t="s">
        <v>48</v>
      </c>
      <c r="E2143" s="1" t="s">
        <v>19</v>
      </c>
    </row>
    <row r="2144" spans="1:5" x14ac:dyDescent="0.25">
      <c r="A2144" s="13">
        <v>1000254831</v>
      </c>
      <c r="B2144" s="11" t="s">
        <v>83</v>
      </c>
      <c r="C2144" s="1" t="s">
        <v>3021</v>
      </c>
      <c r="D2144" s="1" t="s">
        <v>97</v>
      </c>
      <c r="E2144" s="1" t="s">
        <v>196</v>
      </c>
    </row>
    <row r="2145" spans="1:5" x14ac:dyDescent="0.25">
      <c r="A2145" s="13">
        <v>1000255277</v>
      </c>
      <c r="B2145" s="11" t="s">
        <v>84</v>
      </c>
      <c r="C2145" s="1" t="s">
        <v>3315</v>
      </c>
      <c r="D2145" s="1" t="s">
        <v>36</v>
      </c>
      <c r="E2145" s="1" t="s">
        <v>3071</v>
      </c>
    </row>
    <row r="2146" spans="1:5" x14ac:dyDescent="0.25">
      <c r="A2146" s="13">
        <v>1000257136</v>
      </c>
      <c r="B2146" s="11" t="s">
        <v>83</v>
      </c>
      <c r="C2146" s="1" t="s">
        <v>3316</v>
      </c>
      <c r="D2146" s="1" t="s">
        <v>53</v>
      </c>
      <c r="E2146" s="1" t="s">
        <v>210</v>
      </c>
    </row>
    <row r="2147" spans="1:5" x14ac:dyDescent="0.25">
      <c r="A2147" s="13">
        <v>1000257532</v>
      </c>
      <c r="B2147" s="11" t="s">
        <v>84</v>
      </c>
      <c r="C2147" s="1" t="s">
        <v>3317</v>
      </c>
      <c r="D2147" s="1" t="s">
        <v>43</v>
      </c>
      <c r="E2147" s="1" t="s">
        <v>14</v>
      </c>
    </row>
    <row r="2148" spans="1:5" x14ac:dyDescent="0.25">
      <c r="A2148" s="13">
        <v>1000271302</v>
      </c>
      <c r="B2148" s="11" t="s">
        <v>83</v>
      </c>
      <c r="C2148" s="1" t="s">
        <v>3146</v>
      </c>
      <c r="D2148" s="1" t="s">
        <v>47</v>
      </c>
      <c r="E2148" s="1" t="s">
        <v>19</v>
      </c>
    </row>
    <row r="2149" spans="1:5" x14ac:dyDescent="0.25">
      <c r="A2149" s="13">
        <v>1000283508</v>
      </c>
      <c r="B2149" s="11" t="s">
        <v>84</v>
      </c>
      <c r="C2149" s="1" t="s">
        <v>3586</v>
      </c>
      <c r="D2149" s="1" t="s">
        <v>3325</v>
      </c>
      <c r="E2149" s="1" t="s">
        <v>3572</v>
      </c>
    </row>
    <row r="2150" spans="1:5" x14ac:dyDescent="0.25">
      <c r="A2150" s="13">
        <v>1000322885</v>
      </c>
      <c r="B2150" s="11" t="s">
        <v>83</v>
      </c>
      <c r="C2150" s="1" t="s">
        <v>2988</v>
      </c>
      <c r="D2150" s="1" t="s">
        <v>2939</v>
      </c>
      <c r="E2150" s="1" t="s">
        <v>196</v>
      </c>
    </row>
    <row r="2151" spans="1:5" x14ac:dyDescent="0.25">
      <c r="A2151" s="13">
        <v>1000324729</v>
      </c>
      <c r="B2151" s="11" t="s">
        <v>83</v>
      </c>
      <c r="C2151" s="1" t="s">
        <v>3668</v>
      </c>
      <c r="D2151" s="1" t="s">
        <v>101</v>
      </c>
      <c r="E2151" s="1" t="s">
        <v>30</v>
      </c>
    </row>
    <row r="2152" spans="1:5" x14ac:dyDescent="0.25">
      <c r="A2152" s="13">
        <v>1000325429</v>
      </c>
      <c r="B2152" s="11" t="s">
        <v>84</v>
      </c>
      <c r="C2152" s="1" t="s">
        <v>2987</v>
      </c>
      <c r="D2152" s="1" t="s">
        <v>36</v>
      </c>
      <c r="E2152" s="1" t="s">
        <v>17</v>
      </c>
    </row>
    <row r="2153" spans="1:5" x14ac:dyDescent="0.25">
      <c r="A2153" s="13">
        <v>1000325439</v>
      </c>
      <c r="B2153" s="11" t="s">
        <v>84</v>
      </c>
      <c r="C2153" s="1" t="s">
        <v>2987</v>
      </c>
      <c r="D2153" s="1" t="s">
        <v>36</v>
      </c>
      <c r="E2153" s="1" t="s">
        <v>17</v>
      </c>
    </row>
    <row r="2154" spans="1:5" x14ac:dyDescent="0.25">
      <c r="A2154" s="13">
        <v>1000333735</v>
      </c>
      <c r="B2154" s="11" t="s">
        <v>84</v>
      </c>
      <c r="C2154" s="1" t="s">
        <v>3318</v>
      </c>
      <c r="D2154" s="1" t="s">
        <v>43</v>
      </c>
      <c r="E2154" s="1" t="s">
        <v>14</v>
      </c>
    </row>
    <row r="2155" spans="1:5" x14ac:dyDescent="0.25">
      <c r="A2155" s="13">
        <v>1000336350</v>
      </c>
      <c r="B2155" s="11" t="s">
        <v>83</v>
      </c>
      <c r="C2155" s="1" t="s">
        <v>3319</v>
      </c>
      <c r="D2155" s="1" t="s">
        <v>79</v>
      </c>
      <c r="E2155" s="1" t="s">
        <v>210</v>
      </c>
    </row>
    <row r="2156" spans="1:5" x14ac:dyDescent="0.25">
      <c r="A2156" s="13">
        <v>1000338439</v>
      </c>
      <c r="B2156" s="11" t="s">
        <v>84</v>
      </c>
      <c r="C2156" s="1" t="s">
        <v>2986</v>
      </c>
      <c r="D2156" s="1" t="s">
        <v>36</v>
      </c>
      <c r="E2156" s="1" t="s">
        <v>17</v>
      </c>
    </row>
    <row r="2157" spans="1:5" x14ac:dyDescent="0.25">
      <c r="A2157" s="13">
        <v>1000351532</v>
      </c>
      <c r="B2157" s="11" t="s">
        <v>84</v>
      </c>
      <c r="C2157" s="1" t="s">
        <v>3320</v>
      </c>
      <c r="D2157" s="1" t="s">
        <v>3157</v>
      </c>
      <c r="E2157" s="1" t="s">
        <v>3071</v>
      </c>
    </row>
    <row r="2158" spans="1:5" x14ac:dyDescent="0.25">
      <c r="A2158" s="13">
        <v>1000354041</v>
      </c>
      <c r="B2158" s="11" t="s">
        <v>83</v>
      </c>
      <c r="C2158" s="1" t="s">
        <v>3587</v>
      </c>
      <c r="D2158" s="1" t="s">
        <v>79</v>
      </c>
      <c r="E2158" s="1" t="s">
        <v>24</v>
      </c>
    </row>
    <row r="2159" spans="1:5" x14ac:dyDescent="0.25">
      <c r="A2159" s="13">
        <v>1000364712</v>
      </c>
      <c r="B2159" s="11" t="s">
        <v>84</v>
      </c>
      <c r="C2159" s="1" t="s">
        <v>2985</v>
      </c>
      <c r="D2159" s="1" t="s">
        <v>79</v>
      </c>
      <c r="E2159" s="1" t="s">
        <v>1</v>
      </c>
    </row>
    <row r="2160" spans="1:5" x14ac:dyDescent="0.25">
      <c r="A2160" s="13">
        <v>1000365751</v>
      </c>
      <c r="B2160" s="11" t="s">
        <v>83</v>
      </c>
      <c r="C2160" s="1" t="s">
        <v>3588</v>
      </c>
      <c r="D2160" s="1" t="s">
        <v>79</v>
      </c>
      <c r="E2160" s="1" t="s">
        <v>196</v>
      </c>
    </row>
    <row r="2161" spans="1:5" x14ac:dyDescent="0.25">
      <c r="A2161" s="13">
        <v>1000366322</v>
      </c>
      <c r="B2161" s="11" t="s">
        <v>84</v>
      </c>
      <c r="C2161" s="1" t="s">
        <v>3128</v>
      </c>
      <c r="D2161" s="1" t="s">
        <v>3131</v>
      </c>
      <c r="E2161" s="1" t="s">
        <v>1</v>
      </c>
    </row>
    <row r="2162" spans="1:5" x14ac:dyDescent="0.25">
      <c r="A2162" s="13">
        <v>1000372857</v>
      </c>
      <c r="B2162" s="11" t="s">
        <v>83</v>
      </c>
      <c r="C2162" s="1" t="s">
        <v>3321</v>
      </c>
      <c r="D2162" s="1" t="s">
        <v>48</v>
      </c>
      <c r="E2162" s="1" t="s">
        <v>196</v>
      </c>
    </row>
    <row r="2163" spans="1:5" x14ac:dyDescent="0.25">
      <c r="A2163" s="13">
        <v>1000373013</v>
      </c>
      <c r="B2163" s="11" t="s">
        <v>84</v>
      </c>
      <c r="C2163" s="1" t="s">
        <v>2984</v>
      </c>
      <c r="D2163" s="1" t="s">
        <v>36</v>
      </c>
      <c r="E2163" s="1" t="s">
        <v>17</v>
      </c>
    </row>
    <row r="2164" spans="1:5" x14ac:dyDescent="0.25">
      <c r="A2164" s="13">
        <v>1000378900</v>
      </c>
      <c r="B2164" s="11" t="s">
        <v>83</v>
      </c>
      <c r="C2164" s="1" t="s">
        <v>3079</v>
      </c>
      <c r="D2164" s="1" t="s">
        <v>48</v>
      </c>
      <c r="E2164" s="1" t="s">
        <v>19</v>
      </c>
    </row>
    <row r="2165" spans="1:5" x14ac:dyDescent="0.25">
      <c r="A2165" s="13">
        <v>1000383474</v>
      </c>
      <c r="B2165" s="11" t="s">
        <v>84</v>
      </c>
      <c r="C2165" s="1" t="s">
        <v>3322</v>
      </c>
      <c r="D2165" s="1" t="s">
        <v>36</v>
      </c>
      <c r="E2165" s="1" t="s">
        <v>1</v>
      </c>
    </row>
    <row r="2166" spans="1:5" x14ac:dyDescent="0.25">
      <c r="A2166" s="13">
        <v>1000454455</v>
      </c>
      <c r="B2166" s="11" t="s">
        <v>83</v>
      </c>
      <c r="C2166" s="1" t="s">
        <v>3323</v>
      </c>
      <c r="D2166" s="1" t="s">
        <v>48</v>
      </c>
      <c r="E2166" s="1" t="s">
        <v>19</v>
      </c>
    </row>
    <row r="2167" spans="1:5" x14ac:dyDescent="0.25">
      <c r="A2167" s="13">
        <v>1000455500</v>
      </c>
      <c r="B2167" s="11" t="s">
        <v>84</v>
      </c>
      <c r="C2167" s="1" t="s">
        <v>2983</v>
      </c>
      <c r="D2167" s="1" t="s">
        <v>36</v>
      </c>
      <c r="E2167" s="1" t="s">
        <v>17</v>
      </c>
    </row>
    <row r="2168" spans="1:5" x14ac:dyDescent="0.25">
      <c r="A2168" s="13">
        <v>1000457706</v>
      </c>
      <c r="B2168" s="11" t="s">
        <v>83</v>
      </c>
      <c r="C2168" s="1" t="s">
        <v>3589</v>
      </c>
      <c r="D2168" s="1" t="s">
        <v>53</v>
      </c>
      <c r="E2168" s="1" t="s">
        <v>210</v>
      </c>
    </row>
    <row r="2169" spans="1:5" x14ac:dyDescent="0.25">
      <c r="A2169" s="13">
        <v>1000457898</v>
      </c>
      <c r="B2169" s="11" t="s">
        <v>84</v>
      </c>
      <c r="C2169" s="1" t="s">
        <v>3324</v>
      </c>
      <c r="D2169" s="1" t="s">
        <v>3325</v>
      </c>
      <c r="E2169" s="1" t="s">
        <v>22</v>
      </c>
    </row>
    <row r="2170" spans="1:5" x14ac:dyDescent="0.25">
      <c r="A2170" s="13">
        <v>1000463875</v>
      </c>
      <c r="B2170" s="11" t="s">
        <v>84</v>
      </c>
      <c r="C2170" s="1" t="s">
        <v>3054</v>
      </c>
      <c r="D2170" s="1" t="s">
        <v>46</v>
      </c>
      <c r="E2170" s="1" t="s">
        <v>1</v>
      </c>
    </row>
    <row r="2171" spans="1:5" x14ac:dyDescent="0.25">
      <c r="A2171" s="13">
        <v>1000467399</v>
      </c>
      <c r="B2171" s="11" t="s">
        <v>83</v>
      </c>
      <c r="C2171" s="1" t="s">
        <v>3590</v>
      </c>
      <c r="D2171" s="1" t="s">
        <v>79</v>
      </c>
      <c r="E2171" s="1" t="s">
        <v>20</v>
      </c>
    </row>
    <row r="2172" spans="1:5" x14ac:dyDescent="0.25">
      <c r="A2172" s="13">
        <v>1000467975</v>
      </c>
      <c r="B2172" s="11" t="s">
        <v>84</v>
      </c>
      <c r="C2172" s="1" t="s">
        <v>3326</v>
      </c>
      <c r="D2172" s="1" t="s">
        <v>381</v>
      </c>
      <c r="E2172" s="1" t="s">
        <v>26</v>
      </c>
    </row>
    <row r="2173" spans="1:5" x14ac:dyDescent="0.25">
      <c r="A2173" s="13">
        <v>1000502468</v>
      </c>
      <c r="B2173" s="11" t="s">
        <v>84</v>
      </c>
      <c r="C2173" s="1" t="s">
        <v>3029</v>
      </c>
      <c r="D2173" s="1" t="s">
        <v>52</v>
      </c>
      <c r="E2173" s="1" t="s">
        <v>22</v>
      </c>
    </row>
    <row r="2174" spans="1:5" x14ac:dyDescent="0.25">
      <c r="A2174" s="13">
        <v>1000503107</v>
      </c>
      <c r="B2174" s="11" t="s">
        <v>116</v>
      </c>
      <c r="C2174" s="1" t="s">
        <v>3327</v>
      </c>
      <c r="D2174" s="1" t="s">
        <v>117</v>
      </c>
      <c r="E2174" s="1" t="s">
        <v>328</v>
      </c>
    </row>
    <row r="2175" spans="1:5" x14ac:dyDescent="0.25">
      <c r="A2175" s="13">
        <v>1000505812</v>
      </c>
      <c r="B2175" s="11" t="s">
        <v>83</v>
      </c>
      <c r="C2175" s="1" t="s">
        <v>3328</v>
      </c>
      <c r="D2175" s="1" t="s">
        <v>3181</v>
      </c>
      <c r="E2175" s="1" t="s">
        <v>16</v>
      </c>
    </row>
    <row r="2176" spans="1:5" x14ac:dyDescent="0.25">
      <c r="A2176" s="13">
        <v>1000516481</v>
      </c>
      <c r="B2176" s="11" t="s">
        <v>84</v>
      </c>
      <c r="C2176" s="1" t="s">
        <v>3329</v>
      </c>
      <c r="D2176" s="1" t="s">
        <v>3330</v>
      </c>
      <c r="E2176" s="1" t="s">
        <v>1</v>
      </c>
    </row>
    <row r="2177" spans="1:5" x14ac:dyDescent="0.25">
      <c r="A2177" s="13">
        <v>1000516583</v>
      </c>
      <c r="B2177" s="11" t="s">
        <v>83</v>
      </c>
      <c r="C2177" s="1" t="s">
        <v>3331</v>
      </c>
      <c r="D2177" s="1" t="s">
        <v>44</v>
      </c>
      <c r="E2177" s="1" t="s">
        <v>16</v>
      </c>
    </row>
    <row r="2178" spans="1:5" x14ac:dyDescent="0.25">
      <c r="A2178" s="13">
        <v>1000592648</v>
      </c>
      <c r="B2178" s="11" t="s">
        <v>83</v>
      </c>
      <c r="C2178" s="1" t="s">
        <v>2982</v>
      </c>
      <c r="D2178" s="1" t="s">
        <v>44</v>
      </c>
      <c r="E2178" s="1" t="s">
        <v>16</v>
      </c>
    </row>
    <row r="2179" spans="1:5" x14ac:dyDescent="0.25">
      <c r="A2179" s="13">
        <v>1000593372</v>
      </c>
      <c r="B2179" s="11" t="s">
        <v>83</v>
      </c>
      <c r="C2179" s="1" t="s">
        <v>3591</v>
      </c>
      <c r="D2179" s="1" t="s">
        <v>3592</v>
      </c>
      <c r="E2179" s="1" t="s">
        <v>18</v>
      </c>
    </row>
    <row r="2180" spans="1:5" x14ac:dyDescent="0.25">
      <c r="A2180" s="13">
        <v>1000595382</v>
      </c>
      <c r="B2180" s="11" t="s">
        <v>83</v>
      </c>
      <c r="C2180" s="1" t="s">
        <v>2981</v>
      </c>
      <c r="D2180" s="1" t="s">
        <v>2538</v>
      </c>
      <c r="E2180" s="1" t="s">
        <v>24</v>
      </c>
    </row>
    <row r="2181" spans="1:5" x14ac:dyDescent="0.25">
      <c r="A2181" s="13">
        <v>1000604622</v>
      </c>
      <c r="B2181" s="11" t="s">
        <v>83</v>
      </c>
      <c r="C2181" s="1" t="s">
        <v>3041</v>
      </c>
      <c r="D2181" s="1" t="s">
        <v>48</v>
      </c>
      <c r="E2181" s="1" t="s">
        <v>19</v>
      </c>
    </row>
    <row r="2182" spans="1:5" x14ac:dyDescent="0.25">
      <c r="A2182" s="13">
        <v>1000604979</v>
      </c>
      <c r="B2182" s="11" t="s">
        <v>83</v>
      </c>
      <c r="C2182" s="1" t="s">
        <v>3593</v>
      </c>
      <c r="D2182" s="1" t="s">
        <v>3592</v>
      </c>
      <c r="E2182" s="1" t="s">
        <v>18</v>
      </c>
    </row>
    <row r="2183" spans="1:5" x14ac:dyDescent="0.25">
      <c r="A2183" s="13">
        <v>1000611958</v>
      </c>
      <c r="B2183" s="11" t="s">
        <v>83</v>
      </c>
      <c r="C2183" s="1" t="s">
        <v>3686</v>
      </c>
      <c r="D2183" s="1" t="s">
        <v>79</v>
      </c>
      <c r="E2183" s="1" t="s">
        <v>16</v>
      </c>
    </row>
    <row r="2184" spans="1:5" x14ac:dyDescent="0.25">
      <c r="A2184" s="13">
        <v>1000616217</v>
      </c>
      <c r="B2184" s="11" t="s">
        <v>84</v>
      </c>
      <c r="C2184" s="1" t="s">
        <v>3113</v>
      </c>
      <c r="D2184" s="1" t="s">
        <v>36</v>
      </c>
      <c r="E2184" s="1" t="s">
        <v>541</v>
      </c>
    </row>
    <row r="2185" spans="1:5" x14ac:dyDescent="0.25">
      <c r="A2185" s="13">
        <v>1000622308</v>
      </c>
      <c r="B2185" s="11" t="s">
        <v>83</v>
      </c>
      <c r="C2185" s="1" t="s">
        <v>2980</v>
      </c>
      <c r="D2185" s="1" t="s">
        <v>141</v>
      </c>
      <c r="E2185" s="1" t="s">
        <v>20</v>
      </c>
    </row>
    <row r="2186" spans="1:5" x14ac:dyDescent="0.25">
      <c r="A2186" s="13">
        <v>1000623453</v>
      </c>
      <c r="B2186" s="11" t="s">
        <v>83</v>
      </c>
      <c r="C2186" s="1" t="s">
        <v>3127</v>
      </c>
      <c r="D2186" s="1" t="s">
        <v>3332</v>
      </c>
      <c r="E2186" s="1" t="s">
        <v>196</v>
      </c>
    </row>
    <row r="2187" spans="1:5" x14ac:dyDescent="0.25">
      <c r="A2187" s="13">
        <v>1000625753</v>
      </c>
      <c r="B2187" s="11" t="s">
        <v>83</v>
      </c>
      <c r="C2187" s="1" t="s">
        <v>2979</v>
      </c>
      <c r="D2187" s="1" t="s">
        <v>41</v>
      </c>
      <c r="E2187" s="1" t="s">
        <v>31</v>
      </c>
    </row>
    <row r="2188" spans="1:5" x14ac:dyDescent="0.25">
      <c r="A2188" s="13">
        <v>1000686520</v>
      </c>
      <c r="B2188" s="11" t="s">
        <v>84</v>
      </c>
      <c r="C2188" s="1" t="s">
        <v>3594</v>
      </c>
      <c r="D2188" s="1" t="s">
        <v>36</v>
      </c>
      <c r="E2188" s="1" t="s">
        <v>3595</v>
      </c>
    </row>
    <row r="2189" spans="1:5" x14ac:dyDescent="0.25">
      <c r="A2189" s="13">
        <v>1000687931</v>
      </c>
      <c r="B2189" s="11" t="s">
        <v>83</v>
      </c>
      <c r="C2189" s="1" t="s">
        <v>3583</v>
      </c>
      <c r="D2189" s="1" t="s">
        <v>41</v>
      </c>
      <c r="E2189" s="1" t="s">
        <v>30</v>
      </c>
    </row>
    <row r="2190" spans="1:5" x14ac:dyDescent="0.25">
      <c r="A2190" s="13">
        <v>1000692621</v>
      </c>
      <c r="B2190" s="11" t="s">
        <v>83</v>
      </c>
      <c r="C2190" s="1" t="s">
        <v>3669</v>
      </c>
      <c r="D2190" s="1" t="s">
        <v>3670</v>
      </c>
      <c r="E2190" s="1" t="s">
        <v>24</v>
      </c>
    </row>
    <row r="2191" spans="1:5" x14ac:dyDescent="0.25">
      <c r="A2191" s="13">
        <v>1000694136</v>
      </c>
      <c r="B2191" s="11" t="s">
        <v>83</v>
      </c>
      <c r="C2191" s="1" t="s">
        <v>2978</v>
      </c>
      <c r="D2191" s="1" t="s">
        <v>54</v>
      </c>
      <c r="E2191" s="1" t="s">
        <v>16</v>
      </c>
    </row>
    <row r="2192" spans="1:5" x14ac:dyDescent="0.25">
      <c r="A2192" s="13">
        <v>1000723167</v>
      </c>
      <c r="B2192" s="11" t="s">
        <v>83</v>
      </c>
      <c r="C2192" s="1" t="s">
        <v>3042</v>
      </c>
      <c r="D2192" s="1" t="s">
        <v>79</v>
      </c>
      <c r="E2192" s="1" t="s">
        <v>4</v>
      </c>
    </row>
    <row r="2193" spans="1:5" x14ac:dyDescent="0.25">
      <c r="A2193" s="13">
        <v>1000723356</v>
      </c>
      <c r="B2193" s="11" t="s">
        <v>83</v>
      </c>
      <c r="C2193" s="1" t="s">
        <v>2977</v>
      </c>
      <c r="D2193" s="1" t="s">
        <v>56</v>
      </c>
      <c r="E2193" s="1" t="s">
        <v>4</v>
      </c>
    </row>
    <row r="2194" spans="1:5" x14ac:dyDescent="0.25">
      <c r="A2194" s="13">
        <v>1000723780</v>
      </c>
      <c r="B2194" s="11" t="s">
        <v>83</v>
      </c>
      <c r="C2194" s="1" t="s">
        <v>2976</v>
      </c>
      <c r="D2194" s="1" t="s">
        <v>105</v>
      </c>
      <c r="E2194" s="1" t="s">
        <v>19</v>
      </c>
    </row>
    <row r="2195" spans="1:5" x14ac:dyDescent="0.25">
      <c r="A2195" s="13">
        <v>1000732844</v>
      </c>
      <c r="B2195" s="11" t="s">
        <v>83</v>
      </c>
      <c r="C2195" s="1" t="s">
        <v>3333</v>
      </c>
      <c r="D2195" s="1" t="s">
        <v>36</v>
      </c>
      <c r="E2195" s="1" t="s">
        <v>24</v>
      </c>
    </row>
    <row r="2196" spans="1:5" x14ac:dyDescent="0.25">
      <c r="A2196" s="13">
        <v>1000733755</v>
      </c>
      <c r="B2196" s="11" t="s">
        <v>84</v>
      </c>
      <c r="C2196" s="1" t="s">
        <v>3334</v>
      </c>
      <c r="D2196" s="1" t="s">
        <v>3325</v>
      </c>
      <c r="E2196" s="1" t="s">
        <v>22</v>
      </c>
    </row>
    <row r="2197" spans="1:5" x14ac:dyDescent="0.25">
      <c r="A2197" s="13">
        <v>1000787203</v>
      </c>
      <c r="B2197" s="11" t="s">
        <v>83</v>
      </c>
      <c r="C2197" s="1" t="s">
        <v>2975</v>
      </c>
      <c r="D2197" s="1" t="s">
        <v>36</v>
      </c>
      <c r="E2197" s="1" t="s">
        <v>33</v>
      </c>
    </row>
    <row r="2198" spans="1:5" x14ac:dyDescent="0.25">
      <c r="A2198" s="13">
        <v>1000788116</v>
      </c>
      <c r="B2198" s="11" t="s">
        <v>83</v>
      </c>
      <c r="C2198" s="1" t="s">
        <v>2974</v>
      </c>
      <c r="D2198" s="1" t="s">
        <v>57</v>
      </c>
      <c r="E2198" s="1" t="s">
        <v>23</v>
      </c>
    </row>
    <row r="2199" spans="1:5" x14ac:dyDescent="0.25">
      <c r="A2199" s="13">
        <v>1000788313</v>
      </c>
      <c r="B2199" s="11" t="s">
        <v>83</v>
      </c>
      <c r="C2199" s="1" t="s">
        <v>3075</v>
      </c>
      <c r="D2199" s="1" t="s">
        <v>47</v>
      </c>
      <c r="E2199" s="1" t="s">
        <v>21</v>
      </c>
    </row>
    <row r="2200" spans="1:5" x14ac:dyDescent="0.25">
      <c r="A2200" s="13">
        <v>1000805504</v>
      </c>
      <c r="B2200" s="11" t="s">
        <v>83</v>
      </c>
      <c r="C2200" s="1" t="s">
        <v>3541</v>
      </c>
      <c r="D2200" s="1" t="s">
        <v>3246</v>
      </c>
      <c r="E2200" s="1" t="s">
        <v>24</v>
      </c>
    </row>
    <row r="2201" spans="1:5" x14ac:dyDescent="0.25">
      <c r="A2201" s="13">
        <v>1000808329</v>
      </c>
      <c r="B2201" s="11" t="s">
        <v>83</v>
      </c>
      <c r="C2201" s="1" t="s">
        <v>3066</v>
      </c>
      <c r="D2201" s="1" t="s">
        <v>48</v>
      </c>
      <c r="E2201" s="1" t="s">
        <v>19</v>
      </c>
    </row>
    <row r="2202" spans="1:5" x14ac:dyDescent="0.25">
      <c r="A2202" s="13">
        <v>1000810194</v>
      </c>
      <c r="B2202" s="11" t="s">
        <v>84</v>
      </c>
      <c r="C2202" s="1" t="s">
        <v>3596</v>
      </c>
      <c r="D2202" s="1" t="s">
        <v>36</v>
      </c>
      <c r="E2202" s="1" t="s">
        <v>3085</v>
      </c>
    </row>
    <row r="2203" spans="1:5" x14ac:dyDescent="0.25">
      <c r="A2203" s="13">
        <v>1000855220</v>
      </c>
      <c r="B2203" s="11" t="s">
        <v>83</v>
      </c>
      <c r="C2203" s="1" t="s">
        <v>2973</v>
      </c>
      <c r="D2203" s="1" t="s">
        <v>2310</v>
      </c>
      <c r="E2203" s="1" t="s">
        <v>22</v>
      </c>
    </row>
    <row r="2204" spans="1:5" x14ac:dyDescent="0.25">
      <c r="A2204" s="13">
        <v>1000856135</v>
      </c>
      <c r="B2204" s="11" t="s">
        <v>84</v>
      </c>
      <c r="C2204" s="1" t="s">
        <v>2972</v>
      </c>
      <c r="D2204" s="1" t="s">
        <v>41</v>
      </c>
      <c r="E2204" s="1" t="s">
        <v>27</v>
      </c>
    </row>
    <row r="2205" spans="1:5" x14ac:dyDescent="0.25">
      <c r="A2205" s="13">
        <v>1000856972</v>
      </c>
      <c r="B2205" s="11" t="s">
        <v>84</v>
      </c>
      <c r="C2205" s="1" t="s">
        <v>3030</v>
      </c>
      <c r="D2205" s="1" t="s">
        <v>36</v>
      </c>
      <c r="E2205" s="1" t="s">
        <v>3071</v>
      </c>
    </row>
    <row r="2206" spans="1:5" x14ac:dyDescent="0.25">
      <c r="A2206" s="13">
        <v>1000862087</v>
      </c>
      <c r="B2206" s="11" t="s">
        <v>84</v>
      </c>
      <c r="C2206" s="1" t="s">
        <v>3335</v>
      </c>
      <c r="D2206" s="1" t="s">
        <v>3133</v>
      </c>
      <c r="E2206" s="1" t="s">
        <v>1</v>
      </c>
    </row>
    <row r="2207" spans="1:5" x14ac:dyDescent="0.25">
      <c r="A2207" s="13">
        <v>1000937044</v>
      </c>
      <c r="B2207" s="11" t="s">
        <v>83</v>
      </c>
      <c r="C2207" s="1" t="s">
        <v>2971</v>
      </c>
      <c r="D2207" s="1" t="s">
        <v>47</v>
      </c>
      <c r="E2207" s="1" t="s">
        <v>20</v>
      </c>
    </row>
    <row r="2208" spans="1:5" x14ac:dyDescent="0.25">
      <c r="A2208" s="13">
        <v>1000938722</v>
      </c>
      <c r="B2208" s="11" t="s">
        <v>84</v>
      </c>
      <c r="C2208" s="1" t="s">
        <v>2970</v>
      </c>
      <c r="D2208" s="1" t="s">
        <v>36</v>
      </c>
      <c r="E2208" s="1" t="s">
        <v>17</v>
      </c>
    </row>
    <row r="2209" spans="1:5" x14ac:dyDescent="0.25">
      <c r="A2209" s="13">
        <v>1000990647</v>
      </c>
      <c r="B2209" s="11" t="s">
        <v>84</v>
      </c>
      <c r="C2209" s="1" t="s">
        <v>2969</v>
      </c>
      <c r="D2209" s="1" t="s">
        <v>36</v>
      </c>
      <c r="E2209" s="1" t="s">
        <v>17</v>
      </c>
    </row>
    <row r="2210" spans="1:5" x14ac:dyDescent="0.25">
      <c r="A2210" s="13">
        <v>1000992568</v>
      </c>
      <c r="B2210" s="11" t="s">
        <v>83</v>
      </c>
      <c r="C2210" s="1" t="s">
        <v>3703</v>
      </c>
      <c r="D2210" s="1" t="s">
        <v>1118</v>
      </c>
      <c r="E2210" s="1" t="s">
        <v>248</v>
      </c>
    </row>
    <row r="2211" spans="1:5" x14ac:dyDescent="0.25">
      <c r="A2211" s="13">
        <v>1001052761</v>
      </c>
      <c r="B2211" s="11" t="s">
        <v>83</v>
      </c>
      <c r="C2211" s="1" t="s">
        <v>3597</v>
      </c>
      <c r="D2211" s="1" t="s">
        <v>1118</v>
      </c>
      <c r="E2211" s="1" t="s">
        <v>248</v>
      </c>
    </row>
    <row r="2212" spans="1:5" x14ac:dyDescent="0.25">
      <c r="A2212" s="13">
        <v>1001060798</v>
      </c>
      <c r="B2212" s="11" t="s">
        <v>84</v>
      </c>
      <c r="C2212" s="1" t="s">
        <v>3336</v>
      </c>
      <c r="D2212" s="1" t="s">
        <v>38</v>
      </c>
      <c r="E2212" s="1" t="s">
        <v>12</v>
      </c>
    </row>
    <row r="2213" spans="1:5" x14ac:dyDescent="0.25">
      <c r="A2213" s="13">
        <v>1001061636</v>
      </c>
      <c r="B2213" s="11" t="s">
        <v>83</v>
      </c>
      <c r="C2213" s="1" t="s">
        <v>3337</v>
      </c>
      <c r="D2213" s="1" t="s">
        <v>79</v>
      </c>
      <c r="E2213" s="1" t="s">
        <v>20</v>
      </c>
    </row>
    <row r="2214" spans="1:5" x14ac:dyDescent="0.25">
      <c r="A2214" s="13">
        <v>1001066734</v>
      </c>
      <c r="B2214" s="11" t="s">
        <v>83</v>
      </c>
      <c r="C2214" s="1" t="s">
        <v>3338</v>
      </c>
      <c r="D2214" s="1" t="s">
        <v>79</v>
      </c>
      <c r="E2214" s="1" t="s">
        <v>196</v>
      </c>
    </row>
    <row r="2215" spans="1:5" x14ac:dyDescent="0.25">
      <c r="A2215" s="13">
        <v>1001066766</v>
      </c>
      <c r="B2215" s="11" t="s">
        <v>83</v>
      </c>
      <c r="C2215" s="1" t="s">
        <v>3339</v>
      </c>
      <c r="D2215" s="1" t="s">
        <v>79</v>
      </c>
      <c r="E2215" s="1" t="s">
        <v>196</v>
      </c>
    </row>
    <row r="2216" spans="1:5" x14ac:dyDescent="0.25">
      <c r="A2216" s="13">
        <v>1001077122</v>
      </c>
      <c r="B2216" s="11" t="s">
        <v>84</v>
      </c>
      <c r="C2216" s="1" t="s">
        <v>2968</v>
      </c>
      <c r="D2216" s="1" t="s">
        <v>3340</v>
      </c>
      <c r="E2216" s="1" t="s">
        <v>1</v>
      </c>
    </row>
    <row r="2217" spans="1:5" x14ac:dyDescent="0.25">
      <c r="A2217" s="13">
        <v>1001090096</v>
      </c>
      <c r="B2217" s="11" t="s">
        <v>83</v>
      </c>
      <c r="C2217" s="1" t="s">
        <v>2967</v>
      </c>
      <c r="D2217" s="1" t="s">
        <v>44</v>
      </c>
      <c r="E2217" s="1" t="s">
        <v>16</v>
      </c>
    </row>
    <row r="2218" spans="1:5" x14ac:dyDescent="0.25">
      <c r="A2218" s="13">
        <v>1001116317</v>
      </c>
      <c r="B2218" s="11" t="s">
        <v>83</v>
      </c>
      <c r="C2218" s="1" t="s">
        <v>2966</v>
      </c>
      <c r="D2218" s="1" t="s">
        <v>44</v>
      </c>
      <c r="E2218" s="1" t="s">
        <v>16</v>
      </c>
    </row>
    <row r="2219" spans="1:5" x14ac:dyDescent="0.25">
      <c r="A2219" s="13">
        <v>1001117652</v>
      </c>
      <c r="B2219" s="11" t="s">
        <v>84</v>
      </c>
      <c r="C2219" s="1" t="s">
        <v>3598</v>
      </c>
      <c r="D2219" s="1" t="s">
        <v>79</v>
      </c>
      <c r="E2219" s="1" t="s">
        <v>3595</v>
      </c>
    </row>
    <row r="2220" spans="1:5" x14ac:dyDescent="0.25">
      <c r="A2220" s="13">
        <v>1001187208</v>
      </c>
      <c r="B2220" s="11" t="s">
        <v>84</v>
      </c>
      <c r="C2220" s="1" t="s">
        <v>2965</v>
      </c>
      <c r="D2220" s="1" t="s">
        <v>36</v>
      </c>
      <c r="E2220" s="1" t="s">
        <v>22</v>
      </c>
    </row>
    <row r="2221" spans="1:5" x14ac:dyDescent="0.25">
      <c r="A2221" s="13">
        <v>1001193453</v>
      </c>
      <c r="B2221" s="11" t="s">
        <v>83</v>
      </c>
      <c r="C2221" s="1" t="s">
        <v>2964</v>
      </c>
      <c r="D2221" s="1" t="s">
        <v>47</v>
      </c>
      <c r="E2221" s="1" t="s">
        <v>20</v>
      </c>
    </row>
    <row r="2222" spans="1:5" x14ac:dyDescent="0.25">
      <c r="A2222" s="13">
        <v>1001200475</v>
      </c>
      <c r="B2222" s="11" t="s">
        <v>83</v>
      </c>
      <c r="C2222" s="1" t="s">
        <v>2963</v>
      </c>
      <c r="D2222" s="1" t="s">
        <v>47</v>
      </c>
      <c r="E2222" s="1" t="s">
        <v>19</v>
      </c>
    </row>
    <row r="2223" spans="1:5" x14ac:dyDescent="0.25">
      <c r="A2223" s="13">
        <v>1001273964</v>
      </c>
      <c r="B2223" s="11" t="s">
        <v>83</v>
      </c>
      <c r="C2223" s="1" t="s">
        <v>2962</v>
      </c>
      <c r="D2223" s="1" t="s">
        <v>44</v>
      </c>
      <c r="E2223" s="1" t="s">
        <v>16</v>
      </c>
    </row>
    <row r="2224" spans="1:5" x14ac:dyDescent="0.25">
      <c r="A2224" s="13">
        <v>1001274504</v>
      </c>
      <c r="B2224" s="11" t="s">
        <v>83</v>
      </c>
      <c r="C2224" s="1" t="s">
        <v>2961</v>
      </c>
      <c r="D2224" s="1" t="s">
        <v>340</v>
      </c>
      <c r="E2224" s="1" t="s">
        <v>23</v>
      </c>
    </row>
    <row r="2225" spans="1:5" x14ac:dyDescent="0.25">
      <c r="A2225" s="13">
        <v>1001277854</v>
      </c>
      <c r="B2225" s="11" t="s">
        <v>83</v>
      </c>
      <c r="C2225" s="1" t="s">
        <v>3341</v>
      </c>
      <c r="D2225" s="1" t="s">
        <v>3342</v>
      </c>
      <c r="E2225" s="1" t="s">
        <v>25</v>
      </c>
    </row>
    <row r="2226" spans="1:5" x14ac:dyDescent="0.25">
      <c r="A2226" s="13">
        <v>1001283275</v>
      </c>
      <c r="B2226" s="11" t="s">
        <v>83</v>
      </c>
      <c r="C2226" s="1" t="s">
        <v>3599</v>
      </c>
      <c r="D2226" s="1" t="s">
        <v>36</v>
      </c>
      <c r="E2226" s="1" t="s">
        <v>24</v>
      </c>
    </row>
    <row r="2227" spans="1:5" x14ac:dyDescent="0.25">
      <c r="A2227" s="13">
        <v>1001283358</v>
      </c>
      <c r="B2227" s="11" t="s">
        <v>83</v>
      </c>
      <c r="C2227" s="1" t="s">
        <v>2960</v>
      </c>
      <c r="D2227" s="1" t="s">
        <v>47</v>
      </c>
      <c r="E2227" s="1" t="s">
        <v>20</v>
      </c>
    </row>
    <row r="2228" spans="1:5" x14ac:dyDescent="0.25">
      <c r="A2228" s="13">
        <v>1001284791</v>
      </c>
      <c r="B2228" s="11" t="s">
        <v>84</v>
      </c>
      <c r="C2228" s="1" t="s">
        <v>3343</v>
      </c>
      <c r="D2228" s="1" t="s">
        <v>3344</v>
      </c>
      <c r="E2228" s="1" t="s">
        <v>22</v>
      </c>
    </row>
    <row r="2229" spans="1:5" x14ac:dyDescent="0.25">
      <c r="A2229" s="13">
        <v>1001289543</v>
      </c>
      <c r="B2229" s="11" t="s">
        <v>84</v>
      </c>
      <c r="C2229" s="1" t="s">
        <v>3345</v>
      </c>
      <c r="D2229" s="1" t="s">
        <v>3325</v>
      </c>
      <c r="E2229" s="1" t="s">
        <v>22</v>
      </c>
    </row>
    <row r="2230" spans="1:5" x14ac:dyDescent="0.25">
      <c r="A2230" s="13">
        <v>1001316379</v>
      </c>
      <c r="B2230" s="11" t="s">
        <v>83</v>
      </c>
      <c r="C2230" s="1" t="s">
        <v>3346</v>
      </c>
      <c r="D2230" s="1" t="s">
        <v>3347</v>
      </c>
      <c r="E2230" s="1" t="s">
        <v>18</v>
      </c>
    </row>
    <row r="2231" spans="1:5" x14ac:dyDescent="0.25">
      <c r="A2231" s="13">
        <v>1001326676</v>
      </c>
      <c r="B2231" s="11" t="s">
        <v>83</v>
      </c>
      <c r="C2231" s="1" t="s">
        <v>2959</v>
      </c>
      <c r="D2231" s="1" t="s">
        <v>79</v>
      </c>
      <c r="E2231" s="1" t="s">
        <v>20</v>
      </c>
    </row>
    <row r="2232" spans="1:5" x14ac:dyDescent="0.25">
      <c r="A2232" s="13">
        <v>1001329576</v>
      </c>
      <c r="B2232" s="11" t="s">
        <v>83</v>
      </c>
      <c r="C2232" s="1" t="s">
        <v>2958</v>
      </c>
      <c r="D2232" s="1" t="s">
        <v>48</v>
      </c>
      <c r="E2232" s="1" t="s">
        <v>19</v>
      </c>
    </row>
    <row r="2233" spans="1:5" x14ac:dyDescent="0.25">
      <c r="A2233" s="13">
        <v>1001330728</v>
      </c>
      <c r="B2233" s="11" t="s">
        <v>83</v>
      </c>
      <c r="C2233" s="1" t="s">
        <v>2956</v>
      </c>
      <c r="D2233" s="1" t="s">
        <v>2957</v>
      </c>
      <c r="E2233" s="1" t="s">
        <v>19</v>
      </c>
    </row>
    <row r="2234" spans="1:5" x14ac:dyDescent="0.25">
      <c r="A2234" s="13">
        <v>1001344205</v>
      </c>
      <c r="B2234" s="11" t="s">
        <v>83</v>
      </c>
      <c r="C2234" s="1" t="s">
        <v>3012</v>
      </c>
      <c r="D2234" s="1" t="s">
        <v>79</v>
      </c>
      <c r="E2234" s="1" t="s">
        <v>21</v>
      </c>
    </row>
    <row r="2235" spans="1:5" x14ac:dyDescent="0.25">
      <c r="A2235" s="13">
        <v>1001344607</v>
      </c>
      <c r="B2235" s="11" t="s">
        <v>84</v>
      </c>
      <c r="C2235" s="1" t="s">
        <v>2955</v>
      </c>
      <c r="D2235" s="1" t="s">
        <v>36</v>
      </c>
      <c r="E2235" s="1" t="s">
        <v>22</v>
      </c>
    </row>
    <row r="2236" spans="1:5" x14ac:dyDescent="0.25">
      <c r="A2236" s="13">
        <v>1001349607</v>
      </c>
      <c r="B2236" s="11" t="s">
        <v>83</v>
      </c>
      <c r="C2236" s="1" t="s">
        <v>3348</v>
      </c>
      <c r="D2236" s="1" t="s">
        <v>79</v>
      </c>
      <c r="E2236" s="1" t="s">
        <v>16</v>
      </c>
    </row>
    <row r="2237" spans="1:5" x14ac:dyDescent="0.25">
      <c r="A2237" s="13">
        <v>1002290865</v>
      </c>
      <c r="B2237" s="11" t="s">
        <v>83</v>
      </c>
      <c r="C2237" s="1" t="s">
        <v>2953</v>
      </c>
      <c r="D2237" s="1" t="s">
        <v>53</v>
      </c>
      <c r="E2237" s="1" t="s">
        <v>4</v>
      </c>
    </row>
    <row r="2238" spans="1:5" x14ac:dyDescent="0.25">
      <c r="A2238" s="13">
        <v>1002526394</v>
      </c>
      <c r="B2238" s="11" t="s">
        <v>83</v>
      </c>
      <c r="C2238" s="1" t="s">
        <v>2952</v>
      </c>
      <c r="D2238" s="1" t="s">
        <v>57</v>
      </c>
      <c r="E2238" s="1" t="s">
        <v>23</v>
      </c>
    </row>
    <row r="2239" spans="1:5" x14ac:dyDescent="0.25">
      <c r="A2239" s="13">
        <v>1002980235</v>
      </c>
      <c r="B2239" s="11" t="s">
        <v>83</v>
      </c>
      <c r="C2239" s="1" t="s">
        <v>2951</v>
      </c>
      <c r="D2239" s="1" t="s">
        <v>79</v>
      </c>
      <c r="E2239" s="1" t="s">
        <v>20</v>
      </c>
    </row>
    <row r="2240" spans="1:5" x14ac:dyDescent="0.25">
      <c r="A2240" s="13">
        <v>1003690253</v>
      </c>
      <c r="B2240" s="11" t="s">
        <v>84</v>
      </c>
      <c r="C2240" s="1" t="s">
        <v>3600</v>
      </c>
      <c r="D2240" s="1" t="s">
        <v>3402</v>
      </c>
      <c r="E2240" s="1" t="s">
        <v>3595</v>
      </c>
    </row>
    <row r="2241" spans="1:5" x14ac:dyDescent="0.25">
      <c r="A2241" s="13">
        <v>1003690472</v>
      </c>
      <c r="B2241" s="11" t="s">
        <v>84</v>
      </c>
      <c r="C2241" s="1" t="s">
        <v>2950</v>
      </c>
      <c r="D2241" s="1" t="s">
        <v>41</v>
      </c>
      <c r="E2241" s="1" t="s">
        <v>1</v>
      </c>
    </row>
    <row r="2242" spans="1:5" x14ac:dyDescent="0.25">
      <c r="A2242" s="13">
        <v>1003710809</v>
      </c>
      <c r="B2242" s="11" t="s">
        <v>83</v>
      </c>
      <c r="C2242" s="1" t="s">
        <v>2949</v>
      </c>
      <c r="D2242" s="1" t="s">
        <v>47</v>
      </c>
      <c r="E2242" s="1" t="s">
        <v>33</v>
      </c>
    </row>
    <row r="2243" spans="1:5" x14ac:dyDescent="0.25">
      <c r="A2243" s="13">
        <v>1003712346</v>
      </c>
      <c r="B2243" s="11" t="s">
        <v>84</v>
      </c>
      <c r="C2243" s="1" t="s">
        <v>2948</v>
      </c>
      <c r="D2243" s="1" t="s">
        <v>46</v>
      </c>
      <c r="E2243" s="1" t="s">
        <v>1</v>
      </c>
    </row>
    <row r="2244" spans="1:5" x14ac:dyDescent="0.25">
      <c r="A2244" s="13">
        <v>1003740470</v>
      </c>
      <c r="B2244" s="11" t="s">
        <v>83</v>
      </c>
      <c r="C2244" s="1" t="s">
        <v>3172</v>
      </c>
      <c r="D2244" s="1" t="s">
        <v>48</v>
      </c>
      <c r="E2244" s="1" t="s">
        <v>19</v>
      </c>
    </row>
    <row r="2245" spans="1:5" x14ac:dyDescent="0.25">
      <c r="A2245" s="13">
        <v>1003776715</v>
      </c>
      <c r="B2245" s="11" t="s">
        <v>84</v>
      </c>
      <c r="C2245" s="1" t="s">
        <v>2947</v>
      </c>
      <c r="D2245" s="1" t="s">
        <v>38</v>
      </c>
      <c r="E2245" s="1" t="s">
        <v>13</v>
      </c>
    </row>
    <row r="2246" spans="1:5" x14ac:dyDescent="0.25">
      <c r="A2246" s="13">
        <v>1005339713</v>
      </c>
      <c r="B2246" s="11" t="s">
        <v>83</v>
      </c>
      <c r="C2246" s="1" t="s">
        <v>3349</v>
      </c>
      <c r="D2246" s="1" t="s">
        <v>48</v>
      </c>
      <c r="E2246" s="1" t="s">
        <v>19</v>
      </c>
    </row>
    <row r="2247" spans="1:5" x14ac:dyDescent="0.25">
      <c r="A2247" s="13">
        <v>1005927138</v>
      </c>
      <c r="B2247" s="11" t="s">
        <v>83</v>
      </c>
      <c r="C2247" s="1" t="s">
        <v>3043</v>
      </c>
      <c r="D2247" s="1" t="s">
        <v>57</v>
      </c>
      <c r="E2247" s="1" t="s">
        <v>23</v>
      </c>
    </row>
    <row r="2248" spans="1:5" x14ac:dyDescent="0.25">
      <c r="A2248" s="13">
        <v>1006094913</v>
      </c>
      <c r="B2248" s="11" t="s">
        <v>84</v>
      </c>
      <c r="C2248" s="1" t="s">
        <v>3350</v>
      </c>
      <c r="D2248" s="1" t="s">
        <v>36</v>
      </c>
      <c r="E2248" s="1" t="s">
        <v>3071</v>
      </c>
    </row>
    <row r="2249" spans="1:5" x14ac:dyDescent="0.25">
      <c r="A2249" s="13">
        <v>1006308846</v>
      </c>
      <c r="B2249" s="11" t="s">
        <v>83</v>
      </c>
      <c r="C2249" s="1" t="s">
        <v>2946</v>
      </c>
      <c r="D2249" s="1" t="s">
        <v>89</v>
      </c>
      <c r="E2249" s="1" t="s">
        <v>19</v>
      </c>
    </row>
    <row r="2250" spans="1:5" x14ac:dyDescent="0.25">
      <c r="A2250" s="13">
        <v>1006372804</v>
      </c>
      <c r="B2250" s="11" t="s">
        <v>83</v>
      </c>
      <c r="C2250" s="1" t="s">
        <v>2945</v>
      </c>
      <c r="D2250" s="1" t="s">
        <v>47</v>
      </c>
      <c r="E2250" s="1" t="s">
        <v>19</v>
      </c>
    </row>
    <row r="2251" spans="1:5" x14ac:dyDescent="0.25">
      <c r="A2251" s="13">
        <v>1006537577</v>
      </c>
      <c r="B2251" s="11" t="s">
        <v>84</v>
      </c>
      <c r="C2251" s="1" t="s">
        <v>3351</v>
      </c>
      <c r="D2251" s="1" t="s">
        <v>79</v>
      </c>
      <c r="E2251" s="1" t="s">
        <v>1</v>
      </c>
    </row>
    <row r="2252" spans="1:5" x14ac:dyDescent="0.25">
      <c r="A2252" s="13">
        <v>1006790680</v>
      </c>
      <c r="B2252" s="11" t="s">
        <v>83</v>
      </c>
      <c r="C2252" s="1" t="s">
        <v>2944</v>
      </c>
      <c r="D2252" s="1" t="s">
        <v>48</v>
      </c>
      <c r="E2252" s="1" t="s">
        <v>19</v>
      </c>
    </row>
    <row r="2253" spans="1:5" x14ac:dyDescent="0.25">
      <c r="A2253" s="13">
        <v>1006881185</v>
      </c>
      <c r="B2253" s="11" t="s">
        <v>83</v>
      </c>
      <c r="C2253" s="1" t="s">
        <v>2943</v>
      </c>
      <c r="D2253" s="1" t="s">
        <v>36</v>
      </c>
      <c r="E2253" s="1" t="s">
        <v>21</v>
      </c>
    </row>
    <row r="2254" spans="1:5" x14ac:dyDescent="0.25">
      <c r="A2254" s="13">
        <v>1007310351</v>
      </c>
      <c r="B2254" s="11" t="s">
        <v>83</v>
      </c>
      <c r="C2254" s="1" t="s">
        <v>2942</v>
      </c>
      <c r="D2254" s="1" t="s">
        <v>47</v>
      </c>
      <c r="E2254" s="1" t="s">
        <v>1246</v>
      </c>
    </row>
    <row r="2255" spans="1:5" x14ac:dyDescent="0.25">
      <c r="A2255" s="13">
        <v>1007351577</v>
      </c>
      <c r="B2255" s="11" t="s">
        <v>83</v>
      </c>
      <c r="C2255" s="1" t="s">
        <v>3352</v>
      </c>
      <c r="D2255" s="1" t="s">
        <v>36</v>
      </c>
      <c r="E2255" s="1" t="s">
        <v>21</v>
      </c>
    </row>
    <row r="2256" spans="1:5" x14ac:dyDescent="0.25">
      <c r="A2256" s="13">
        <v>1007380820</v>
      </c>
      <c r="B2256" s="11" t="s">
        <v>83</v>
      </c>
      <c r="C2256" s="1" t="s">
        <v>2941</v>
      </c>
      <c r="D2256" s="1" t="s">
        <v>63</v>
      </c>
      <c r="E2256" s="1" t="s">
        <v>237</v>
      </c>
    </row>
    <row r="2257" spans="1:5" x14ac:dyDescent="0.25">
      <c r="A2257" s="13">
        <v>1007403168</v>
      </c>
      <c r="B2257" s="11" t="s">
        <v>84</v>
      </c>
      <c r="C2257" s="1" t="s">
        <v>3353</v>
      </c>
      <c r="D2257" s="1" t="s">
        <v>79</v>
      </c>
      <c r="E2257" s="1" t="s">
        <v>1</v>
      </c>
    </row>
    <row r="2258" spans="1:5" x14ac:dyDescent="0.25">
      <c r="A2258" s="13">
        <v>1007473107</v>
      </c>
      <c r="B2258" s="11" t="s">
        <v>83</v>
      </c>
      <c r="C2258" s="1" t="s">
        <v>3354</v>
      </c>
      <c r="D2258" s="1" t="s">
        <v>79</v>
      </c>
      <c r="E2258" s="1" t="s">
        <v>20</v>
      </c>
    </row>
    <row r="2259" spans="1:5" x14ac:dyDescent="0.25">
      <c r="A2259" s="13">
        <v>1007475888</v>
      </c>
      <c r="B2259" s="11" t="s">
        <v>84</v>
      </c>
      <c r="C2259" s="1" t="s">
        <v>3112</v>
      </c>
      <c r="D2259" s="1" t="s">
        <v>36</v>
      </c>
      <c r="E2259" s="1" t="s">
        <v>541</v>
      </c>
    </row>
    <row r="2260" spans="1:5" x14ac:dyDescent="0.25">
      <c r="A2260" s="13">
        <v>1007694886</v>
      </c>
      <c r="B2260" s="11" t="s">
        <v>83</v>
      </c>
      <c r="C2260" s="1" t="s">
        <v>3355</v>
      </c>
      <c r="D2260" s="1" t="s">
        <v>44</v>
      </c>
      <c r="E2260" s="1" t="s">
        <v>16</v>
      </c>
    </row>
    <row r="2261" spans="1:5" x14ac:dyDescent="0.25">
      <c r="A2261" s="13">
        <v>1007719074</v>
      </c>
      <c r="B2261" s="11" t="s">
        <v>83</v>
      </c>
      <c r="C2261" s="1" t="s">
        <v>3356</v>
      </c>
      <c r="D2261" s="1" t="s">
        <v>48</v>
      </c>
      <c r="E2261" s="1" t="s">
        <v>196</v>
      </c>
    </row>
    <row r="2262" spans="1:5" x14ac:dyDescent="0.25">
      <c r="A2262" s="13">
        <v>1010000092</v>
      </c>
      <c r="B2262" s="11" t="s">
        <v>83</v>
      </c>
      <c r="C2262" s="1" t="s">
        <v>2940</v>
      </c>
      <c r="D2262" s="1" t="s">
        <v>47</v>
      </c>
      <c r="E2262" s="1" t="s">
        <v>21</v>
      </c>
    </row>
    <row r="2263" spans="1:5" x14ac:dyDescent="0.25">
      <c r="A2263" s="13">
        <v>1010002831</v>
      </c>
      <c r="B2263" s="11" t="s">
        <v>84</v>
      </c>
      <c r="C2263" s="1" t="s">
        <v>3357</v>
      </c>
      <c r="D2263" s="1" t="s">
        <v>36</v>
      </c>
      <c r="E2263" s="1" t="s">
        <v>26</v>
      </c>
    </row>
    <row r="2264" spans="1:5" x14ac:dyDescent="0.25">
      <c r="A2264" s="13">
        <v>1010007734</v>
      </c>
      <c r="B2264" s="11" t="s">
        <v>83</v>
      </c>
      <c r="C2264" s="1" t="s">
        <v>2938</v>
      </c>
      <c r="D2264" s="1" t="s">
        <v>2939</v>
      </c>
      <c r="E2264" s="1" t="s">
        <v>19</v>
      </c>
    </row>
    <row r="2265" spans="1:5" x14ac:dyDescent="0.25">
      <c r="A2265" s="13">
        <v>1010014722</v>
      </c>
      <c r="B2265" s="11" t="s">
        <v>84</v>
      </c>
      <c r="C2265" s="1" t="s">
        <v>2937</v>
      </c>
      <c r="D2265" s="1" t="s">
        <v>36</v>
      </c>
      <c r="E2265" s="1" t="s">
        <v>17</v>
      </c>
    </row>
    <row r="2266" spans="1:5" x14ac:dyDescent="0.25">
      <c r="A2266" s="13">
        <v>1010030349</v>
      </c>
      <c r="B2266" s="11" t="s">
        <v>84</v>
      </c>
      <c r="C2266" s="1" t="s">
        <v>2936</v>
      </c>
      <c r="D2266" s="1" t="s">
        <v>46</v>
      </c>
      <c r="E2266" s="1" t="s">
        <v>1</v>
      </c>
    </row>
    <row r="2267" spans="1:5" x14ac:dyDescent="0.25">
      <c r="A2267" s="13">
        <v>1010030506</v>
      </c>
      <c r="B2267" s="11" t="s">
        <v>84</v>
      </c>
      <c r="C2267" s="1" t="s">
        <v>2935</v>
      </c>
      <c r="D2267" s="1" t="s">
        <v>36</v>
      </c>
      <c r="E2267" s="1" t="s">
        <v>17</v>
      </c>
    </row>
    <row r="2268" spans="1:5" x14ac:dyDescent="0.25">
      <c r="A2268" s="13">
        <v>1010036822</v>
      </c>
      <c r="B2268" s="11" t="s">
        <v>83</v>
      </c>
      <c r="C2268" s="1" t="s">
        <v>2934</v>
      </c>
      <c r="D2268" s="1" t="s">
        <v>79</v>
      </c>
      <c r="E2268" s="1" t="s">
        <v>19</v>
      </c>
    </row>
    <row r="2269" spans="1:5" x14ac:dyDescent="0.25">
      <c r="A2269" s="13">
        <v>1010038936</v>
      </c>
      <c r="B2269" s="11" t="s">
        <v>83</v>
      </c>
      <c r="C2269" s="1" t="s">
        <v>3111</v>
      </c>
      <c r="D2269" s="1" t="s">
        <v>48</v>
      </c>
      <c r="E2269" s="1" t="s">
        <v>19</v>
      </c>
    </row>
    <row r="2270" spans="1:5" x14ac:dyDescent="0.25">
      <c r="A2270" s="13">
        <v>1010048433</v>
      </c>
      <c r="B2270" s="11" t="s">
        <v>83</v>
      </c>
      <c r="C2270" s="1" t="s">
        <v>3358</v>
      </c>
      <c r="D2270" s="1" t="s">
        <v>48</v>
      </c>
      <c r="E2270" s="1" t="s">
        <v>19</v>
      </c>
    </row>
    <row r="2271" spans="1:5" x14ac:dyDescent="0.25">
      <c r="A2271" s="13">
        <v>1010067412</v>
      </c>
      <c r="B2271" s="11" t="s">
        <v>84</v>
      </c>
      <c r="C2271" s="1" t="s">
        <v>3359</v>
      </c>
      <c r="D2271" s="1" t="s">
        <v>38</v>
      </c>
      <c r="E2271" s="1" t="s">
        <v>12</v>
      </c>
    </row>
    <row r="2272" spans="1:5" x14ac:dyDescent="0.25">
      <c r="A2272" s="13">
        <v>1010069060</v>
      </c>
      <c r="B2272" s="11" t="s">
        <v>84</v>
      </c>
      <c r="C2272" s="1" t="s">
        <v>3705</v>
      </c>
      <c r="D2272" s="1" t="s">
        <v>3325</v>
      </c>
      <c r="E2272" s="1" t="s">
        <v>3572</v>
      </c>
    </row>
    <row r="2273" spans="1:5" x14ac:dyDescent="0.25">
      <c r="A2273" s="13">
        <v>1010071662</v>
      </c>
      <c r="B2273" s="11" t="s">
        <v>84</v>
      </c>
      <c r="C2273" s="1" t="s">
        <v>2933</v>
      </c>
      <c r="D2273" s="1" t="s">
        <v>2310</v>
      </c>
      <c r="E2273" s="1" t="s">
        <v>22</v>
      </c>
    </row>
    <row r="2274" spans="1:5" x14ac:dyDescent="0.25">
      <c r="A2274" s="13">
        <v>1010111131</v>
      </c>
      <c r="B2274" s="11" t="s">
        <v>83</v>
      </c>
      <c r="C2274" s="1" t="s">
        <v>2932</v>
      </c>
      <c r="D2274" s="1" t="s">
        <v>44</v>
      </c>
      <c r="E2274" s="1" t="s">
        <v>16</v>
      </c>
    </row>
    <row r="2275" spans="1:5" x14ac:dyDescent="0.25">
      <c r="A2275" s="13">
        <v>1010121770</v>
      </c>
      <c r="B2275" s="11" t="s">
        <v>83</v>
      </c>
      <c r="C2275" s="1" t="s">
        <v>3178</v>
      </c>
      <c r="D2275" s="1" t="s">
        <v>48</v>
      </c>
      <c r="E2275" s="1" t="s">
        <v>19</v>
      </c>
    </row>
    <row r="2276" spans="1:5" x14ac:dyDescent="0.25">
      <c r="A2276" s="13">
        <v>1010129756</v>
      </c>
      <c r="B2276" s="11" t="s">
        <v>83</v>
      </c>
      <c r="C2276" s="1" t="s">
        <v>3360</v>
      </c>
      <c r="D2276" s="1" t="s">
        <v>3361</v>
      </c>
      <c r="E2276" s="1" t="s">
        <v>18</v>
      </c>
    </row>
    <row r="2277" spans="1:5" x14ac:dyDescent="0.25">
      <c r="A2277" s="13">
        <v>1010163849</v>
      </c>
      <c r="B2277" s="11" t="s">
        <v>84</v>
      </c>
      <c r="C2277" s="1" t="s">
        <v>3164</v>
      </c>
      <c r="D2277" s="1" t="s">
        <v>381</v>
      </c>
      <c r="E2277" s="1" t="s">
        <v>26</v>
      </c>
    </row>
    <row r="2278" spans="1:5" x14ac:dyDescent="0.25">
      <c r="A2278" s="13">
        <v>1010174892</v>
      </c>
      <c r="B2278" s="11" t="s">
        <v>84</v>
      </c>
      <c r="C2278" s="1" t="s">
        <v>3011</v>
      </c>
      <c r="D2278" s="1" t="s">
        <v>3362</v>
      </c>
      <c r="E2278" s="1" t="s">
        <v>17</v>
      </c>
    </row>
    <row r="2279" spans="1:5" x14ac:dyDescent="0.25">
      <c r="A2279" s="13">
        <v>1010175108</v>
      </c>
      <c r="B2279" s="11" t="s">
        <v>83</v>
      </c>
      <c r="C2279" s="1" t="s">
        <v>2931</v>
      </c>
      <c r="D2279" s="1" t="s">
        <v>47</v>
      </c>
      <c r="E2279" s="1" t="s">
        <v>142</v>
      </c>
    </row>
    <row r="2280" spans="1:5" x14ac:dyDescent="0.25">
      <c r="A2280" s="13">
        <v>1010175679</v>
      </c>
      <c r="B2280" s="11" t="s">
        <v>83</v>
      </c>
      <c r="C2280" s="1" t="s">
        <v>2930</v>
      </c>
      <c r="D2280" s="1" t="s">
        <v>47</v>
      </c>
      <c r="E2280" s="1" t="s">
        <v>499</v>
      </c>
    </row>
    <row r="2281" spans="1:5" x14ac:dyDescent="0.25">
      <c r="A2281" s="13">
        <v>1010175828</v>
      </c>
      <c r="B2281" s="11" t="s">
        <v>84</v>
      </c>
      <c r="C2281" s="1" t="s">
        <v>3044</v>
      </c>
      <c r="D2281" s="1" t="s">
        <v>38</v>
      </c>
      <c r="E2281" s="1" t="s">
        <v>5</v>
      </c>
    </row>
    <row r="2282" spans="1:5" x14ac:dyDescent="0.25">
      <c r="A2282" s="13">
        <v>1010180284</v>
      </c>
      <c r="B2282" s="11" t="s">
        <v>83</v>
      </c>
      <c r="C2282" s="1" t="s">
        <v>2929</v>
      </c>
      <c r="D2282" s="1" t="s">
        <v>246</v>
      </c>
      <c r="E2282" s="1" t="s">
        <v>19</v>
      </c>
    </row>
    <row r="2283" spans="1:5" x14ac:dyDescent="0.25">
      <c r="A2283" s="13">
        <v>1010182693</v>
      </c>
      <c r="B2283" s="11" t="s">
        <v>84</v>
      </c>
      <c r="C2283" s="1" t="s">
        <v>2928</v>
      </c>
      <c r="D2283" s="1" t="s">
        <v>38</v>
      </c>
      <c r="E2283" s="1" t="s">
        <v>8</v>
      </c>
    </row>
    <row r="2284" spans="1:5" x14ac:dyDescent="0.25">
      <c r="A2284" s="13">
        <v>1010182748</v>
      </c>
      <c r="B2284" s="11" t="s">
        <v>84</v>
      </c>
      <c r="C2284" s="1" t="s">
        <v>2926</v>
      </c>
      <c r="D2284" s="1" t="s">
        <v>2927</v>
      </c>
      <c r="E2284" s="1" t="s">
        <v>168</v>
      </c>
    </row>
    <row r="2285" spans="1:5" x14ac:dyDescent="0.25">
      <c r="A2285" s="13">
        <v>1010184333</v>
      </c>
      <c r="B2285" s="11" t="s">
        <v>83</v>
      </c>
      <c r="C2285" s="1" t="s">
        <v>3683</v>
      </c>
      <c r="D2285" s="1" t="s">
        <v>79</v>
      </c>
      <c r="E2285" s="1" t="s">
        <v>18</v>
      </c>
    </row>
    <row r="2286" spans="1:5" x14ac:dyDescent="0.25">
      <c r="A2286" s="13">
        <v>1010189117</v>
      </c>
      <c r="B2286" s="11" t="s">
        <v>84</v>
      </c>
      <c r="C2286" s="1" t="s">
        <v>2925</v>
      </c>
      <c r="D2286" s="1" t="s">
        <v>38</v>
      </c>
      <c r="E2286" s="1" t="s">
        <v>8</v>
      </c>
    </row>
    <row r="2287" spans="1:5" x14ac:dyDescent="0.25">
      <c r="A2287" s="13">
        <v>1010192158</v>
      </c>
      <c r="B2287" s="11" t="s">
        <v>116</v>
      </c>
      <c r="C2287" s="1" t="s">
        <v>2924</v>
      </c>
      <c r="D2287" s="1" t="s">
        <v>117</v>
      </c>
      <c r="E2287" s="1" t="s">
        <v>168</v>
      </c>
    </row>
    <row r="2288" spans="1:5" x14ac:dyDescent="0.25">
      <c r="A2288" s="13">
        <v>1010192961</v>
      </c>
      <c r="B2288" s="11" t="s">
        <v>83</v>
      </c>
      <c r="C2288" s="1" t="s">
        <v>3177</v>
      </c>
      <c r="D2288" s="1" t="s">
        <v>48</v>
      </c>
      <c r="E2288" s="1" t="s">
        <v>19</v>
      </c>
    </row>
    <row r="2289" spans="1:5" x14ac:dyDescent="0.25">
      <c r="A2289" s="13">
        <v>1010195608</v>
      </c>
      <c r="B2289" s="11" t="s">
        <v>83</v>
      </c>
      <c r="C2289" s="1" t="s">
        <v>2923</v>
      </c>
      <c r="D2289" s="1" t="s">
        <v>1170</v>
      </c>
      <c r="E2289" s="1" t="s">
        <v>248</v>
      </c>
    </row>
    <row r="2290" spans="1:5" x14ac:dyDescent="0.25">
      <c r="A2290" s="13">
        <v>1010196297</v>
      </c>
      <c r="B2290" s="11" t="s">
        <v>83</v>
      </c>
      <c r="C2290" s="1" t="s">
        <v>2922</v>
      </c>
      <c r="D2290" s="1" t="s">
        <v>47</v>
      </c>
      <c r="E2290" s="1" t="s">
        <v>16</v>
      </c>
    </row>
    <row r="2291" spans="1:5" x14ac:dyDescent="0.25">
      <c r="A2291" s="13">
        <v>1010197655</v>
      </c>
      <c r="B2291" s="11" t="s">
        <v>116</v>
      </c>
      <c r="C2291" s="1" t="s">
        <v>2921</v>
      </c>
      <c r="D2291" s="1" t="s">
        <v>117</v>
      </c>
      <c r="E2291" s="1" t="s">
        <v>168</v>
      </c>
    </row>
    <row r="2292" spans="1:5" x14ac:dyDescent="0.25">
      <c r="A2292" s="13">
        <v>1010197671</v>
      </c>
      <c r="B2292" s="11" t="s">
        <v>84</v>
      </c>
      <c r="C2292" s="1" t="s">
        <v>2920</v>
      </c>
      <c r="D2292" s="1" t="s">
        <v>103</v>
      </c>
      <c r="E2292" s="1" t="s">
        <v>1</v>
      </c>
    </row>
    <row r="2293" spans="1:5" x14ac:dyDescent="0.25">
      <c r="A2293" s="13">
        <v>1010199403</v>
      </c>
      <c r="B2293" s="11" t="s">
        <v>83</v>
      </c>
      <c r="C2293" s="1" t="s">
        <v>2919</v>
      </c>
      <c r="D2293" s="1" t="s">
        <v>47</v>
      </c>
      <c r="E2293" s="1" t="s">
        <v>26</v>
      </c>
    </row>
    <row r="2294" spans="1:5" x14ac:dyDescent="0.25">
      <c r="A2294" s="13">
        <v>1010202216</v>
      </c>
      <c r="B2294" s="11" t="s">
        <v>84</v>
      </c>
      <c r="C2294" s="1" t="s">
        <v>2918</v>
      </c>
      <c r="D2294" s="1" t="s">
        <v>36</v>
      </c>
      <c r="E2294" s="1" t="s">
        <v>17</v>
      </c>
    </row>
    <row r="2295" spans="1:5" x14ac:dyDescent="0.25">
      <c r="A2295" s="13">
        <v>1010205436</v>
      </c>
      <c r="B2295" s="11" t="s">
        <v>84</v>
      </c>
      <c r="C2295" s="1" t="s">
        <v>3020</v>
      </c>
      <c r="D2295" s="1" t="s">
        <v>3142</v>
      </c>
      <c r="E2295" s="1" t="s">
        <v>3071</v>
      </c>
    </row>
    <row r="2296" spans="1:5" x14ac:dyDescent="0.25">
      <c r="A2296" s="13">
        <v>1010208300</v>
      </c>
      <c r="B2296" s="11" t="s">
        <v>83</v>
      </c>
      <c r="C2296" s="1" t="s">
        <v>2917</v>
      </c>
      <c r="D2296" s="1" t="s">
        <v>47</v>
      </c>
      <c r="E2296" s="1" t="s">
        <v>263</v>
      </c>
    </row>
    <row r="2297" spans="1:5" x14ac:dyDescent="0.25">
      <c r="A2297" s="13">
        <v>1010209881</v>
      </c>
      <c r="B2297" s="11" t="s">
        <v>83</v>
      </c>
      <c r="C2297" s="1" t="s">
        <v>2916</v>
      </c>
      <c r="D2297" s="1" t="s">
        <v>47</v>
      </c>
      <c r="E2297" s="1" t="s">
        <v>19</v>
      </c>
    </row>
    <row r="2298" spans="1:5" x14ac:dyDescent="0.25">
      <c r="A2298" s="13">
        <v>1010210488</v>
      </c>
      <c r="B2298" s="11" t="s">
        <v>83</v>
      </c>
      <c r="C2298" s="1" t="s">
        <v>2915</v>
      </c>
      <c r="D2298" s="1" t="s">
        <v>54</v>
      </c>
      <c r="E2298" s="1" t="s">
        <v>16</v>
      </c>
    </row>
    <row r="2299" spans="1:5" x14ac:dyDescent="0.25">
      <c r="A2299" s="13">
        <v>1010210844</v>
      </c>
      <c r="B2299" s="11" t="s">
        <v>83</v>
      </c>
      <c r="C2299" s="1" t="s">
        <v>2914</v>
      </c>
      <c r="D2299" s="1" t="s">
        <v>47</v>
      </c>
      <c r="E2299" s="1" t="s">
        <v>29</v>
      </c>
    </row>
    <row r="2300" spans="1:5" x14ac:dyDescent="0.25">
      <c r="A2300" s="13">
        <v>1010217487</v>
      </c>
      <c r="B2300" s="11" t="s">
        <v>109</v>
      </c>
      <c r="C2300" s="1" t="s">
        <v>2913</v>
      </c>
      <c r="D2300" s="1" t="s">
        <v>366</v>
      </c>
      <c r="E2300" s="1" t="s">
        <v>1128</v>
      </c>
    </row>
    <row r="2301" spans="1:5" x14ac:dyDescent="0.25">
      <c r="A2301" s="13">
        <v>1010221649</v>
      </c>
      <c r="B2301" s="11" t="s">
        <v>83</v>
      </c>
      <c r="C2301" s="1" t="s">
        <v>2912</v>
      </c>
      <c r="D2301" s="1" t="s">
        <v>54</v>
      </c>
      <c r="E2301" s="1" t="s">
        <v>16</v>
      </c>
    </row>
    <row r="2302" spans="1:5" x14ac:dyDescent="0.25">
      <c r="A2302" s="13">
        <v>1010225317</v>
      </c>
      <c r="B2302" s="11" t="s">
        <v>83</v>
      </c>
      <c r="C2302" s="1" t="s">
        <v>2911</v>
      </c>
      <c r="D2302" s="1" t="s">
        <v>47</v>
      </c>
      <c r="E2302" s="1" t="s">
        <v>20</v>
      </c>
    </row>
    <row r="2303" spans="1:5" x14ac:dyDescent="0.25">
      <c r="A2303" s="13">
        <v>1010235495</v>
      </c>
      <c r="B2303" s="11" t="s">
        <v>84</v>
      </c>
      <c r="C2303" s="1" t="s">
        <v>3055</v>
      </c>
      <c r="D2303" s="1" t="s">
        <v>3145</v>
      </c>
      <c r="E2303" s="1" t="s">
        <v>1</v>
      </c>
    </row>
    <row r="2304" spans="1:5" x14ac:dyDescent="0.25">
      <c r="A2304" s="13">
        <v>1010237437</v>
      </c>
      <c r="B2304" s="11" t="s">
        <v>84</v>
      </c>
      <c r="C2304" s="1" t="s">
        <v>2910</v>
      </c>
      <c r="D2304" s="1" t="s">
        <v>36</v>
      </c>
      <c r="E2304" s="1" t="s">
        <v>1</v>
      </c>
    </row>
    <row r="2305" spans="1:5" x14ac:dyDescent="0.25">
      <c r="A2305" s="13">
        <v>1011095300</v>
      </c>
      <c r="B2305" s="11" t="s">
        <v>84</v>
      </c>
      <c r="C2305" s="1" t="s">
        <v>3601</v>
      </c>
      <c r="D2305" s="1" t="s">
        <v>3325</v>
      </c>
      <c r="E2305" s="1" t="s">
        <v>3572</v>
      </c>
    </row>
    <row r="2306" spans="1:5" x14ac:dyDescent="0.25">
      <c r="A2306" s="13">
        <v>1012321853</v>
      </c>
      <c r="B2306" s="11" t="s">
        <v>83</v>
      </c>
      <c r="C2306" s="1" t="s">
        <v>2909</v>
      </c>
      <c r="D2306" s="1" t="s">
        <v>199</v>
      </c>
      <c r="E2306" s="1" t="s">
        <v>21</v>
      </c>
    </row>
    <row r="2307" spans="1:5" x14ac:dyDescent="0.25">
      <c r="A2307" s="13">
        <v>1012323486</v>
      </c>
      <c r="B2307" s="11" t="s">
        <v>83</v>
      </c>
      <c r="C2307" s="1" t="s">
        <v>2908</v>
      </c>
      <c r="D2307" s="1" t="s">
        <v>1170</v>
      </c>
      <c r="E2307" s="1" t="s">
        <v>248</v>
      </c>
    </row>
    <row r="2308" spans="1:5" x14ac:dyDescent="0.25">
      <c r="A2308" s="13">
        <v>1012326825</v>
      </c>
      <c r="B2308" s="11" t="s">
        <v>83</v>
      </c>
      <c r="C2308" s="1" t="s">
        <v>2907</v>
      </c>
      <c r="D2308" s="1" t="s">
        <v>141</v>
      </c>
      <c r="E2308" s="1" t="s">
        <v>16</v>
      </c>
    </row>
    <row r="2309" spans="1:5" x14ac:dyDescent="0.25">
      <c r="A2309" s="13">
        <v>1012330728</v>
      </c>
      <c r="B2309" s="11" t="s">
        <v>84</v>
      </c>
      <c r="C2309" s="1" t="s">
        <v>3363</v>
      </c>
      <c r="D2309" s="1" t="s">
        <v>43</v>
      </c>
      <c r="E2309" s="1" t="s">
        <v>10</v>
      </c>
    </row>
    <row r="2310" spans="1:5" x14ac:dyDescent="0.25">
      <c r="A2310" s="13">
        <v>1012333612</v>
      </c>
      <c r="B2310" s="11" t="s">
        <v>83</v>
      </c>
      <c r="C2310" s="1" t="s">
        <v>2906</v>
      </c>
      <c r="D2310" s="1" t="s">
        <v>35</v>
      </c>
      <c r="E2310" s="1" t="s">
        <v>4</v>
      </c>
    </row>
    <row r="2311" spans="1:5" x14ac:dyDescent="0.25">
      <c r="A2311" s="13">
        <v>1012337508</v>
      </c>
      <c r="B2311" s="11" t="s">
        <v>83</v>
      </c>
      <c r="C2311" s="1" t="s">
        <v>3364</v>
      </c>
      <c r="D2311" s="1" t="s">
        <v>79</v>
      </c>
      <c r="E2311" s="1" t="s">
        <v>20</v>
      </c>
    </row>
    <row r="2312" spans="1:5" x14ac:dyDescent="0.25">
      <c r="A2312" s="13">
        <v>1012338489</v>
      </c>
      <c r="B2312" s="11" t="s">
        <v>84</v>
      </c>
      <c r="C2312" s="1" t="s">
        <v>3602</v>
      </c>
      <c r="D2312" s="1" t="s">
        <v>381</v>
      </c>
      <c r="E2312" s="1" t="s">
        <v>26</v>
      </c>
    </row>
    <row r="2313" spans="1:5" x14ac:dyDescent="0.25">
      <c r="A2313" s="13">
        <v>1012340121</v>
      </c>
      <c r="B2313" s="11" t="s">
        <v>84</v>
      </c>
      <c r="C2313" s="1" t="s">
        <v>2905</v>
      </c>
      <c r="D2313" s="1" t="s">
        <v>43</v>
      </c>
      <c r="E2313" s="1" t="s">
        <v>5</v>
      </c>
    </row>
    <row r="2314" spans="1:5" x14ac:dyDescent="0.25">
      <c r="A2314" s="13">
        <v>1012352713</v>
      </c>
      <c r="B2314" s="11" t="s">
        <v>83</v>
      </c>
      <c r="C2314" s="1" t="s">
        <v>2904</v>
      </c>
      <c r="D2314" s="1" t="s">
        <v>47</v>
      </c>
      <c r="E2314" s="1" t="s">
        <v>19</v>
      </c>
    </row>
    <row r="2315" spans="1:5" x14ac:dyDescent="0.25">
      <c r="A2315" s="13">
        <v>1012357415</v>
      </c>
      <c r="B2315" s="11" t="s">
        <v>83</v>
      </c>
      <c r="C2315" s="1" t="s">
        <v>2903</v>
      </c>
      <c r="D2315" s="1" t="s">
        <v>3365</v>
      </c>
      <c r="E2315" s="1" t="s">
        <v>210</v>
      </c>
    </row>
    <row r="2316" spans="1:5" x14ac:dyDescent="0.25">
      <c r="A2316" s="13">
        <v>1012368958</v>
      </c>
      <c r="B2316" s="11" t="s">
        <v>109</v>
      </c>
      <c r="C2316" s="1" t="s">
        <v>2902</v>
      </c>
      <c r="D2316" s="1" t="s">
        <v>464</v>
      </c>
      <c r="E2316" s="1" t="s">
        <v>1128</v>
      </c>
    </row>
    <row r="2317" spans="1:5" x14ac:dyDescent="0.25">
      <c r="A2317" s="13">
        <v>1012372381</v>
      </c>
      <c r="B2317" s="11" t="s">
        <v>109</v>
      </c>
      <c r="C2317" s="1" t="s">
        <v>2901</v>
      </c>
      <c r="D2317" s="1" t="s">
        <v>464</v>
      </c>
      <c r="E2317" s="1" t="s">
        <v>1128</v>
      </c>
    </row>
    <row r="2318" spans="1:5" x14ac:dyDescent="0.25">
      <c r="A2318" s="13">
        <v>1012373048</v>
      </c>
      <c r="B2318" s="11" t="s">
        <v>83</v>
      </c>
      <c r="C2318" s="1" t="s">
        <v>3065</v>
      </c>
      <c r="D2318" s="1" t="s">
        <v>48</v>
      </c>
      <c r="E2318" s="1" t="s">
        <v>19</v>
      </c>
    </row>
    <row r="2319" spans="1:5" x14ac:dyDescent="0.25">
      <c r="A2319" s="13">
        <v>1012373982</v>
      </c>
      <c r="B2319" s="11" t="s">
        <v>83</v>
      </c>
      <c r="C2319" s="1" t="s">
        <v>2900</v>
      </c>
      <c r="D2319" s="1" t="s">
        <v>47</v>
      </c>
      <c r="E2319" s="1" t="s">
        <v>29</v>
      </c>
    </row>
    <row r="2320" spans="1:5" x14ac:dyDescent="0.25">
      <c r="A2320" s="13">
        <v>1012380181</v>
      </c>
      <c r="B2320" s="11" t="s">
        <v>83</v>
      </c>
      <c r="C2320" s="1" t="s">
        <v>2899</v>
      </c>
      <c r="D2320" s="1" t="s">
        <v>290</v>
      </c>
      <c r="E2320" s="1" t="s">
        <v>23</v>
      </c>
    </row>
    <row r="2321" spans="1:5" x14ac:dyDescent="0.25">
      <c r="A2321" s="13">
        <v>1012385176</v>
      </c>
      <c r="B2321" s="11" t="s">
        <v>83</v>
      </c>
      <c r="C2321" s="1" t="s">
        <v>2898</v>
      </c>
      <c r="D2321" s="1" t="s">
        <v>47</v>
      </c>
      <c r="E2321" s="1" t="s">
        <v>19</v>
      </c>
    </row>
    <row r="2322" spans="1:5" x14ac:dyDescent="0.25">
      <c r="A2322" s="13">
        <v>1012393470</v>
      </c>
      <c r="B2322" s="11" t="s">
        <v>84</v>
      </c>
      <c r="C2322" s="1" t="s">
        <v>3366</v>
      </c>
      <c r="D2322" s="1" t="s">
        <v>38</v>
      </c>
      <c r="E2322" s="1" t="s">
        <v>14</v>
      </c>
    </row>
    <row r="2323" spans="1:5" x14ac:dyDescent="0.25">
      <c r="A2323" s="13">
        <v>1012398519</v>
      </c>
      <c r="B2323" s="11" t="s">
        <v>84</v>
      </c>
      <c r="C2323" s="1" t="s">
        <v>3367</v>
      </c>
      <c r="D2323" s="1" t="s">
        <v>38</v>
      </c>
      <c r="E2323" s="1" t="s">
        <v>328</v>
      </c>
    </row>
    <row r="2324" spans="1:5" x14ac:dyDescent="0.25">
      <c r="A2324" s="13">
        <v>1012401654</v>
      </c>
      <c r="B2324" s="11" t="s">
        <v>116</v>
      </c>
      <c r="C2324" s="1" t="s">
        <v>2897</v>
      </c>
      <c r="D2324" s="1" t="s">
        <v>117</v>
      </c>
      <c r="E2324" s="1" t="s">
        <v>3</v>
      </c>
    </row>
    <row r="2325" spans="1:5" x14ac:dyDescent="0.25">
      <c r="A2325" s="13">
        <v>1012402256</v>
      </c>
      <c r="B2325" s="11" t="s">
        <v>83</v>
      </c>
      <c r="C2325" s="1" t="s">
        <v>2895</v>
      </c>
      <c r="D2325" s="1" t="s">
        <v>2896</v>
      </c>
      <c r="E2325" s="1" t="s">
        <v>19</v>
      </c>
    </row>
    <row r="2326" spans="1:5" x14ac:dyDescent="0.25">
      <c r="A2326" s="13">
        <v>1012402939</v>
      </c>
      <c r="B2326" s="11" t="s">
        <v>83</v>
      </c>
      <c r="C2326" s="1" t="s">
        <v>2894</v>
      </c>
      <c r="D2326" s="1" t="s">
        <v>47</v>
      </c>
      <c r="E2326" s="1" t="s">
        <v>19</v>
      </c>
    </row>
    <row r="2327" spans="1:5" x14ac:dyDescent="0.25">
      <c r="A2327" s="13">
        <v>1012406837</v>
      </c>
      <c r="B2327" s="11" t="s">
        <v>83</v>
      </c>
      <c r="C2327" s="1" t="s">
        <v>2893</v>
      </c>
      <c r="D2327" s="1" t="s">
        <v>47</v>
      </c>
      <c r="E2327" s="1" t="s">
        <v>27</v>
      </c>
    </row>
    <row r="2328" spans="1:5" x14ac:dyDescent="0.25">
      <c r="A2328" s="13">
        <v>1012420296</v>
      </c>
      <c r="B2328" s="11" t="s">
        <v>83</v>
      </c>
      <c r="C2328" s="1" t="s">
        <v>3368</v>
      </c>
      <c r="D2328" s="1" t="s">
        <v>3202</v>
      </c>
      <c r="E2328" s="1" t="s">
        <v>19</v>
      </c>
    </row>
    <row r="2329" spans="1:5" x14ac:dyDescent="0.25">
      <c r="A2329" s="13">
        <v>1012421044</v>
      </c>
      <c r="B2329" s="11" t="s">
        <v>83</v>
      </c>
      <c r="C2329" s="1" t="s">
        <v>3369</v>
      </c>
      <c r="D2329" s="1" t="s">
        <v>2857</v>
      </c>
      <c r="E2329" s="1" t="s">
        <v>30</v>
      </c>
    </row>
    <row r="2330" spans="1:5" x14ac:dyDescent="0.25">
      <c r="A2330" s="13">
        <v>1012424280</v>
      </c>
      <c r="B2330" s="11" t="s">
        <v>84</v>
      </c>
      <c r="C2330" s="1" t="s">
        <v>3091</v>
      </c>
      <c r="D2330" s="1" t="s">
        <v>52</v>
      </c>
      <c r="E2330" s="1" t="s">
        <v>22</v>
      </c>
    </row>
    <row r="2331" spans="1:5" x14ac:dyDescent="0.25">
      <c r="A2331" s="13">
        <v>1012426741</v>
      </c>
      <c r="B2331" s="11" t="s">
        <v>83</v>
      </c>
      <c r="C2331" s="1" t="s">
        <v>3370</v>
      </c>
      <c r="D2331" s="1" t="s">
        <v>3603</v>
      </c>
      <c r="E2331" s="1" t="s">
        <v>3595</v>
      </c>
    </row>
    <row r="2332" spans="1:5" x14ac:dyDescent="0.25">
      <c r="A2332" s="13">
        <v>1012428447</v>
      </c>
      <c r="B2332" s="11" t="s">
        <v>84</v>
      </c>
      <c r="C2332" s="1" t="s">
        <v>2892</v>
      </c>
      <c r="D2332" s="1" t="s">
        <v>47</v>
      </c>
      <c r="E2332" s="1" t="s">
        <v>8</v>
      </c>
    </row>
    <row r="2333" spans="1:5" x14ac:dyDescent="0.25">
      <c r="A2333" s="13">
        <v>1012430948</v>
      </c>
      <c r="B2333" s="11" t="s">
        <v>83</v>
      </c>
      <c r="C2333" s="1" t="s">
        <v>2891</v>
      </c>
      <c r="D2333" s="1" t="s">
        <v>44</v>
      </c>
      <c r="E2333" s="1" t="s">
        <v>16</v>
      </c>
    </row>
    <row r="2334" spans="1:5" x14ac:dyDescent="0.25">
      <c r="A2334" s="13">
        <v>1012433838</v>
      </c>
      <c r="B2334" s="11" t="s">
        <v>84</v>
      </c>
      <c r="C2334" s="1" t="s">
        <v>2890</v>
      </c>
      <c r="D2334" s="1" t="s">
        <v>38</v>
      </c>
      <c r="E2334" s="1" t="s">
        <v>12</v>
      </c>
    </row>
    <row r="2335" spans="1:5" x14ac:dyDescent="0.25">
      <c r="A2335" s="13">
        <v>1012454045</v>
      </c>
      <c r="B2335" s="11" t="s">
        <v>84</v>
      </c>
      <c r="C2335" s="1" t="s">
        <v>2889</v>
      </c>
      <c r="D2335" s="1" t="s">
        <v>36</v>
      </c>
      <c r="E2335" s="1" t="s">
        <v>17</v>
      </c>
    </row>
    <row r="2336" spans="1:5" x14ac:dyDescent="0.25">
      <c r="A2336" s="13">
        <v>1012461032</v>
      </c>
      <c r="B2336" s="11" t="s">
        <v>83</v>
      </c>
      <c r="C2336" s="1" t="s">
        <v>2888</v>
      </c>
      <c r="D2336" s="1" t="s">
        <v>36</v>
      </c>
      <c r="E2336" s="1" t="s">
        <v>21</v>
      </c>
    </row>
    <row r="2337" spans="1:5" x14ac:dyDescent="0.25">
      <c r="A2337" s="13">
        <v>1013098430</v>
      </c>
      <c r="B2337" s="11" t="s">
        <v>83</v>
      </c>
      <c r="C2337" s="1" t="s">
        <v>3687</v>
      </c>
      <c r="D2337" s="1" t="s">
        <v>79</v>
      </c>
      <c r="E2337" s="1" t="s">
        <v>196</v>
      </c>
    </row>
    <row r="2338" spans="1:5" x14ac:dyDescent="0.25">
      <c r="A2338" s="13">
        <v>1013098645</v>
      </c>
      <c r="B2338" s="11" t="s">
        <v>83</v>
      </c>
      <c r="C2338" s="1" t="s">
        <v>2887</v>
      </c>
      <c r="D2338" s="1" t="s">
        <v>2857</v>
      </c>
      <c r="E2338" s="1" t="s">
        <v>30</v>
      </c>
    </row>
    <row r="2339" spans="1:5" x14ac:dyDescent="0.25">
      <c r="A2339" s="13">
        <v>1013101788</v>
      </c>
      <c r="B2339" s="11" t="s">
        <v>83</v>
      </c>
      <c r="C2339" s="1" t="s">
        <v>3688</v>
      </c>
      <c r="D2339" s="1" t="s">
        <v>79</v>
      </c>
      <c r="E2339" s="1" t="s">
        <v>196</v>
      </c>
    </row>
    <row r="2340" spans="1:5" x14ac:dyDescent="0.25">
      <c r="A2340" s="13">
        <v>1013578781</v>
      </c>
      <c r="B2340" s="11" t="s">
        <v>83</v>
      </c>
      <c r="C2340" s="1" t="s">
        <v>2886</v>
      </c>
      <c r="D2340" s="1" t="s">
        <v>1170</v>
      </c>
      <c r="E2340" s="1" t="s">
        <v>248</v>
      </c>
    </row>
    <row r="2341" spans="1:5" x14ac:dyDescent="0.25">
      <c r="A2341" s="13">
        <v>1013584921</v>
      </c>
      <c r="B2341" s="11" t="s">
        <v>83</v>
      </c>
      <c r="C2341" s="1" t="s">
        <v>2885</v>
      </c>
      <c r="D2341" s="1" t="s">
        <v>97</v>
      </c>
      <c r="E2341" s="1" t="s">
        <v>19</v>
      </c>
    </row>
    <row r="2342" spans="1:5" x14ac:dyDescent="0.25">
      <c r="A2342" s="13">
        <v>1013585111</v>
      </c>
      <c r="B2342" s="11" t="s">
        <v>83</v>
      </c>
      <c r="C2342" s="1" t="s">
        <v>2884</v>
      </c>
      <c r="D2342" s="1" t="s">
        <v>47</v>
      </c>
      <c r="E2342" s="1" t="s">
        <v>27</v>
      </c>
    </row>
    <row r="2343" spans="1:5" x14ac:dyDescent="0.25">
      <c r="A2343" s="13">
        <v>1013591018</v>
      </c>
      <c r="B2343" s="11" t="s">
        <v>83</v>
      </c>
      <c r="C2343" s="1" t="s">
        <v>3371</v>
      </c>
      <c r="D2343" s="1" t="s">
        <v>48</v>
      </c>
      <c r="E2343" s="1" t="s">
        <v>196</v>
      </c>
    </row>
    <row r="2344" spans="1:5" x14ac:dyDescent="0.25">
      <c r="A2344" s="13">
        <v>1013591216</v>
      </c>
      <c r="B2344" s="11" t="s">
        <v>84</v>
      </c>
      <c r="C2344" s="1" t="s">
        <v>2883</v>
      </c>
      <c r="D2344" s="1" t="s">
        <v>38</v>
      </c>
      <c r="E2344" s="1" t="s">
        <v>170</v>
      </c>
    </row>
    <row r="2345" spans="1:5" x14ac:dyDescent="0.25">
      <c r="A2345" s="13">
        <v>1013591657</v>
      </c>
      <c r="B2345" s="11" t="s">
        <v>84</v>
      </c>
      <c r="C2345" s="1" t="s">
        <v>3372</v>
      </c>
      <c r="D2345" s="1" t="s">
        <v>36</v>
      </c>
      <c r="E2345" s="1" t="s">
        <v>541</v>
      </c>
    </row>
    <row r="2346" spans="1:5" x14ac:dyDescent="0.25">
      <c r="A2346" s="13">
        <v>1013592933</v>
      </c>
      <c r="B2346" s="11" t="s">
        <v>116</v>
      </c>
      <c r="C2346" s="1" t="s">
        <v>3604</v>
      </c>
      <c r="D2346" s="1" t="s">
        <v>117</v>
      </c>
      <c r="E2346" s="1" t="s">
        <v>3190</v>
      </c>
    </row>
    <row r="2347" spans="1:5" x14ac:dyDescent="0.25">
      <c r="A2347" s="13">
        <v>1013592949</v>
      </c>
      <c r="B2347" s="11" t="s">
        <v>83</v>
      </c>
      <c r="C2347" s="1" t="s">
        <v>2882</v>
      </c>
      <c r="D2347" s="1" t="s">
        <v>47</v>
      </c>
      <c r="E2347" s="1" t="s">
        <v>123</v>
      </c>
    </row>
    <row r="2348" spans="1:5" x14ac:dyDescent="0.25">
      <c r="A2348" s="13">
        <v>1013600015</v>
      </c>
      <c r="B2348" s="11" t="s">
        <v>84</v>
      </c>
      <c r="C2348" s="1" t="s">
        <v>2881</v>
      </c>
      <c r="D2348" s="1" t="s">
        <v>424</v>
      </c>
      <c r="E2348" s="1" t="s">
        <v>142</v>
      </c>
    </row>
    <row r="2349" spans="1:5" x14ac:dyDescent="0.25">
      <c r="A2349" s="13">
        <v>1013601510</v>
      </c>
      <c r="B2349" s="11" t="s">
        <v>83</v>
      </c>
      <c r="C2349" s="1" t="s">
        <v>3163</v>
      </c>
      <c r="D2349" s="1" t="s">
        <v>48</v>
      </c>
      <c r="E2349" s="1" t="s">
        <v>19</v>
      </c>
    </row>
    <row r="2350" spans="1:5" x14ac:dyDescent="0.25">
      <c r="A2350" s="13">
        <v>1013603511</v>
      </c>
      <c r="B2350" s="11" t="s">
        <v>83</v>
      </c>
      <c r="C2350" s="1" t="s">
        <v>2880</v>
      </c>
      <c r="D2350" s="1" t="s">
        <v>47</v>
      </c>
      <c r="E2350" s="1" t="s">
        <v>26</v>
      </c>
    </row>
    <row r="2351" spans="1:5" x14ac:dyDescent="0.25">
      <c r="A2351" s="13">
        <v>1013604369</v>
      </c>
      <c r="B2351" s="11" t="s">
        <v>83</v>
      </c>
      <c r="C2351" s="1" t="s">
        <v>2879</v>
      </c>
      <c r="D2351" s="1" t="s">
        <v>47</v>
      </c>
      <c r="E2351" s="1" t="s">
        <v>242</v>
      </c>
    </row>
    <row r="2352" spans="1:5" x14ac:dyDescent="0.25">
      <c r="A2352" s="13">
        <v>1013604920</v>
      </c>
      <c r="B2352" s="11" t="s">
        <v>84</v>
      </c>
      <c r="C2352" s="1" t="s">
        <v>2878</v>
      </c>
      <c r="D2352" s="1" t="s">
        <v>52</v>
      </c>
      <c r="E2352" s="1" t="s">
        <v>22</v>
      </c>
    </row>
    <row r="2353" spans="1:5" x14ac:dyDescent="0.25">
      <c r="A2353" s="13">
        <v>1013608348</v>
      </c>
      <c r="B2353" s="11" t="s">
        <v>83</v>
      </c>
      <c r="C2353" s="1" t="s">
        <v>2877</v>
      </c>
      <c r="D2353" s="1" t="s">
        <v>47</v>
      </c>
      <c r="E2353" s="1" t="s">
        <v>16</v>
      </c>
    </row>
    <row r="2354" spans="1:5" x14ac:dyDescent="0.25">
      <c r="A2354" s="13">
        <v>1013608575</v>
      </c>
      <c r="B2354" s="11" t="s">
        <v>84</v>
      </c>
      <c r="C2354" s="1" t="s">
        <v>2876</v>
      </c>
      <c r="D2354" s="1" t="s">
        <v>38</v>
      </c>
      <c r="E2354" s="1" t="s">
        <v>14</v>
      </c>
    </row>
    <row r="2355" spans="1:5" x14ac:dyDescent="0.25">
      <c r="A2355" s="13">
        <v>1013610519</v>
      </c>
      <c r="B2355" s="11" t="s">
        <v>83</v>
      </c>
      <c r="C2355" s="1" t="s">
        <v>2875</v>
      </c>
      <c r="D2355" s="1" t="s">
        <v>1222</v>
      </c>
      <c r="E2355" s="1" t="s">
        <v>272</v>
      </c>
    </row>
    <row r="2356" spans="1:5" x14ac:dyDescent="0.25">
      <c r="A2356" s="13">
        <v>1013612613</v>
      </c>
      <c r="B2356" s="11" t="s">
        <v>84</v>
      </c>
      <c r="C2356" s="1" t="s">
        <v>3110</v>
      </c>
      <c r="D2356" s="1" t="s">
        <v>38</v>
      </c>
      <c r="E2356" s="1" t="s">
        <v>8</v>
      </c>
    </row>
    <row r="2357" spans="1:5" x14ac:dyDescent="0.25">
      <c r="A2357" s="13">
        <v>1013616244</v>
      </c>
      <c r="B2357" s="11" t="s">
        <v>83</v>
      </c>
      <c r="C2357" s="1" t="s">
        <v>3373</v>
      </c>
      <c r="D2357" s="1" t="s">
        <v>41</v>
      </c>
      <c r="E2357" s="1" t="s">
        <v>30</v>
      </c>
    </row>
    <row r="2358" spans="1:5" x14ac:dyDescent="0.25">
      <c r="A2358" s="13">
        <v>1013618540</v>
      </c>
      <c r="B2358" s="11" t="s">
        <v>84</v>
      </c>
      <c r="C2358" s="1" t="s">
        <v>2874</v>
      </c>
      <c r="D2358" s="1" t="s">
        <v>38</v>
      </c>
      <c r="E2358" s="1" t="s">
        <v>8</v>
      </c>
    </row>
    <row r="2359" spans="1:5" x14ac:dyDescent="0.25">
      <c r="A2359" s="13">
        <v>1013622723</v>
      </c>
      <c r="B2359" s="11" t="s">
        <v>84</v>
      </c>
      <c r="C2359" s="1" t="s">
        <v>2873</v>
      </c>
      <c r="D2359" s="1" t="s">
        <v>38</v>
      </c>
      <c r="E2359" s="1" t="s">
        <v>14</v>
      </c>
    </row>
    <row r="2360" spans="1:5" x14ac:dyDescent="0.25">
      <c r="A2360" s="13">
        <v>1013624809</v>
      </c>
      <c r="B2360" s="11" t="s">
        <v>83</v>
      </c>
      <c r="C2360" s="1" t="s">
        <v>2872</v>
      </c>
      <c r="D2360" s="1" t="s">
        <v>79</v>
      </c>
      <c r="E2360" s="1" t="s">
        <v>24</v>
      </c>
    </row>
    <row r="2361" spans="1:5" x14ac:dyDescent="0.25">
      <c r="A2361" s="13">
        <v>1013625549</v>
      </c>
      <c r="B2361" s="11" t="s">
        <v>83</v>
      </c>
      <c r="C2361" s="1" t="s">
        <v>2871</v>
      </c>
      <c r="D2361" s="1" t="s">
        <v>141</v>
      </c>
      <c r="E2361" s="1" t="s">
        <v>242</v>
      </c>
    </row>
    <row r="2362" spans="1:5" x14ac:dyDescent="0.25">
      <c r="A2362" s="13">
        <v>1013629101</v>
      </c>
      <c r="B2362" s="11" t="s">
        <v>83</v>
      </c>
      <c r="C2362" s="1" t="s">
        <v>3064</v>
      </c>
      <c r="D2362" s="1" t="s">
        <v>48</v>
      </c>
      <c r="E2362" s="1" t="s">
        <v>19</v>
      </c>
    </row>
    <row r="2363" spans="1:5" x14ac:dyDescent="0.25">
      <c r="A2363" s="13">
        <v>1013632733</v>
      </c>
      <c r="B2363" s="11" t="s">
        <v>83</v>
      </c>
      <c r="C2363" s="1" t="s">
        <v>2870</v>
      </c>
      <c r="D2363" s="1" t="s">
        <v>95</v>
      </c>
      <c r="E2363" s="1" t="s">
        <v>19</v>
      </c>
    </row>
    <row r="2364" spans="1:5" x14ac:dyDescent="0.25">
      <c r="A2364" s="13">
        <v>1013636689</v>
      </c>
      <c r="B2364" s="11" t="s">
        <v>84</v>
      </c>
      <c r="C2364" s="1" t="s">
        <v>2869</v>
      </c>
      <c r="D2364" s="1" t="s">
        <v>38</v>
      </c>
      <c r="E2364" s="1" t="s">
        <v>10</v>
      </c>
    </row>
    <row r="2365" spans="1:5" x14ac:dyDescent="0.25">
      <c r="A2365" s="13">
        <v>1013638331</v>
      </c>
      <c r="B2365" s="11" t="s">
        <v>84</v>
      </c>
      <c r="C2365" s="1" t="s">
        <v>2867</v>
      </c>
      <c r="D2365" s="1" t="s">
        <v>2868</v>
      </c>
      <c r="E2365" s="1" t="s">
        <v>1</v>
      </c>
    </row>
    <row r="2366" spans="1:5" x14ac:dyDescent="0.25">
      <c r="A2366" s="13">
        <v>1013640418</v>
      </c>
      <c r="B2366" s="11" t="s">
        <v>83</v>
      </c>
      <c r="C2366" s="1" t="s">
        <v>2866</v>
      </c>
      <c r="D2366" s="1" t="s">
        <v>47</v>
      </c>
      <c r="E2366" s="1" t="s">
        <v>16</v>
      </c>
    </row>
    <row r="2367" spans="1:5" x14ac:dyDescent="0.25">
      <c r="A2367" s="13">
        <v>1013642915</v>
      </c>
      <c r="B2367" s="11" t="s">
        <v>84</v>
      </c>
      <c r="C2367" s="1" t="s">
        <v>3374</v>
      </c>
      <c r="D2367" s="1" t="s">
        <v>38</v>
      </c>
      <c r="E2367" s="1" t="s">
        <v>134</v>
      </c>
    </row>
    <row r="2368" spans="1:5" x14ac:dyDescent="0.25">
      <c r="A2368" s="13">
        <v>1013648717</v>
      </c>
      <c r="B2368" s="11" t="s">
        <v>83</v>
      </c>
      <c r="C2368" s="1" t="s">
        <v>2865</v>
      </c>
      <c r="D2368" s="1" t="s">
        <v>90</v>
      </c>
      <c r="E2368" s="1" t="s">
        <v>19</v>
      </c>
    </row>
    <row r="2369" spans="1:5" x14ac:dyDescent="0.25">
      <c r="A2369" s="13">
        <v>1013653984</v>
      </c>
      <c r="B2369" s="11" t="s">
        <v>84</v>
      </c>
      <c r="C2369" s="1" t="s">
        <v>2864</v>
      </c>
      <c r="D2369" s="1" t="s">
        <v>47</v>
      </c>
      <c r="E2369" s="1" t="s">
        <v>2349</v>
      </c>
    </row>
    <row r="2370" spans="1:5" x14ac:dyDescent="0.25">
      <c r="A2370" s="13">
        <v>1013656543</v>
      </c>
      <c r="B2370" s="11" t="s">
        <v>83</v>
      </c>
      <c r="C2370" s="1" t="s">
        <v>2863</v>
      </c>
      <c r="D2370" s="1" t="s">
        <v>48</v>
      </c>
      <c r="E2370" s="1" t="s">
        <v>19</v>
      </c>
    </row>
    <row r="2371" spans="1:5" x14ac:dyDescent="0.25">
      <c r="A2371" s="13">
        <v>1013668166</v>
      </c>
      <c r="B2371" s="11" t="s">
        <v>84</v>
      </c>
      <c r="C2371" s="1" t="s">
        <v>3010</v>
      </c>
      <c r="D2371" s="1" t="s">
        <v>38</v>
      </c>
      <c r="E2371" s="1" t="s">
        <v>3</v>
      </c>
    </row>
    <row r="2372" spans="1:5" x14ac:dyDescent="0.25">
      <c r="A2372" s="13">
        <v>1013673435</v>
      </c>
      <c r="B2372" s="11" t="s">
        <v>84</v>
      </c>
      <c r="C2372" s="1" t="s">
        <v>2862</v>
      </c>
      <c r="D2372" s="1" t="s">
        <v>47</v>
      </c>
      <c r="E2372" s="1" t="s">
        <v>1</v>
      </c>
    </row>
    <row r="2373" spans="1:5" x14ac:dyDescent="0.25">
      <c r="A2373" s="13">
        <v>1013676808</v>
      </c>
      <c r="B2373" s="11" t="s">
        <v>84</v>
      </c>
      <c r="C2373" s="1" t="s">
        <v>2861</v>
      </c>
      <c r="D2373" s="1" t="s">
        <v>36</v>
      </c>
      <c r="E2373" s="1" t="s">
        <v>22</v>
      </c>
    </row>
    <row r="2374" spans="1:5" x14ac:dyDescent="0.25">
      <c r="A2374" s="13">
        <v>1013683657</v>
      </c>
      <c r="B2374" s="11" t="s">
        <v>83</v>
      </c>
      <c r="C2374" s="1" t="s">
        <v>2860</v>
      </c>
      <c r="D2374" s="1" t="s">
        <v>69</v>
      </c>
      <c r="E2374" s="1" t="s">
        <v>24</v>
      </c>
    </row>
    <row r="2375" spans="1:5" x14ac:dyDescent="0.25">
      <c r="A2375" s="13">
        <v>1013689783</v>
      </c>
      <c r="B2375" s="11" t="s">
        <v>83</v>
      </c>
      <c r="C2375" s="1" t="s">
        <v>2859</v>
      </c>
      <c r="D2375" s="1" t="s">
        <v>44</v>
      </c>
      <c r="E2375" s="1" t="s">
        <v>16</v>
      </c>
    </row>
    <row r="2376" spans="1:5" x14ac:dyDescent="0.25">
      <c r="A2376" s="13">
        <v>1014177975</v>
      </c>
      <c r="B2376" s="11" t="s">
        <v>116</v>
      </c>
      <c r="C2376" s="1" t="s">
        <v>2858</v>
      </c>
      <c r="D2376" s="1" t="s">
        <v>117</v>
      </c>
      <c r="E2376" s="1" t="s">
        <v>168</v>
      </c>
    </row>
    <row r="2377" spans="1:5" x14ac:dyDescent="0.25">
      <c r="A2377" s="13">
        <v>1014183957</v>
      </c>
      <c r="B2377" s="11" t="s">
        <v>83</v>
      </c>
      <c r="C2377" s="1" t="s">
        <v>2856</v>
      </c>
      <c r="D2377" s="1" t="s">
        <v>2857</v>
      </c>
      <c r="E2377" s="1" t="s">
        <v>30</v>
      </c>
    </row>
    <row r="2378" spans="1:5" x14ac:dyDescent="0.25">
      <c r="A2378" s="13">
        <v>1014184145</v>
      </c>
      <c r="B2378" s="11" t="s">
        <v>116</v>
      </c>
      <c r="C2378" s="1" t="s">
        <v>2855</v>
      </c>
      <c r="D2378" s="1" t="s">
        <v>117</v>
      </c>
      <c r="E2378" s="1" t="s">
        <v>10</v>
      </c>
    </row>
    <row r="2379" spans="1:5" x14ac:dyDescent="0.25">
      <c r="A2379" s="13">
        <v>1014184228</v>
      </c>
      <c r="B2379" s="11" t="s">
        <v>116</v>
      </c>
      <c r="C2379" s="1" t="s">
        <v>2854</v>
      </c>
      <c r="D2379" s="1" t="s">
        <v>117</v>
      </c>
      <c r="E2379" s="1" t="s">
        <v>263</v>
      </c>
    </row>
    <row r="2380" spans="1:5" x14ac:dyDescent="0.25">
      <c r="A2380" s="13">
        <v>1014185316</v>
      </c>
      <c r="B2380" s="11" t="s">
        <v>83</v>
      </c>
      <c r="C2380" s="1" t="s">
        <v>2853</v>
      </c>
      <c r="D2380" s="1" t="s">
        <v>3198</v>
      </c>
      <c r="E2380" s="1" t="s">
        <v>19</v>
      </c>
    </row>
    <row r="2381" spans="1:5" x14ac:dyDescent="0.25">
      <c r="A2381" s="13">
        <v>1014185737</v>
      </c>
      <c r="B2381" s="11" t="s">
        <v>83</v>
      </c>
      <c r="C2381" s="1" t="s">
        <v>2852</v>
      </c>
      <c r="D2381" s="1" t="s">
        <v>47</v>
      </c>
      <c r="E2381" s="1" t="s">
        <v>26</v>
      </c>
    </row>
    <row r="2382" spans="1:5" x14ac:dyDescent="0.25">
      <c r="A2382" s="13">
        <v>1014186315</v>
      </c>
      <c r="B2382" s="11" t="s">
        <v>83</v>
      </c>
      <c r="C2382" s="1" t="s">
        <v>3375</v>
      </c>
      <c r="D2382" s="1" t="s">
        <v>3088</v>
      </c>
      <c r="E2382" s="1" t="s">
        <v>24</v>
      </c>
    </row>
    <row r="2383" spans="1:5" x14ac:dyDescent="0.25">
      <c r="A2383" s="13">
        <v>1014186733</v>
      </c>
      <c r="B2383" s="11" t="s">
        <v>83</v>
      </c>
      <c r="C2383" s="1" t="s">
        <v>2851</v>
      </c>
      <c r="D2383" s="1" t="s">
        <v>57</v>
      </c>
      <c r="E2383" s="1" t="s">
        <v>23</v>
      </c>
    </row>
    <row r="2384" spans="1:5" x14ac:dyDescent="0.25">
      <c r="A2384" s="13">
        <v>1014187323</v>
      </c>
      <c r="B2384" s="11" t="s">
        <v>83</v>
      </c>
      <c r="C2384" s="1" t="s">
        <v>2850</v>
      </c>
      <c r="D2384" s="1" t="s">
        <v>59</v>
      </c>
      <c r="E2384" s="1" t="s">
        <v>19</v>
      </c>
    </row>
    <row r="2385" spans="1:5" x14ac:dyDescent="0.25">
      <c r="A2385" s="13">
        <v>1014190655</v>
      </c>
      <c r="B2385" s="11" t="s">
        <v>84</v>
      </c>
      <c r="C2385" s="1" t="s">
        <v>3376</v>
      </c>
      <c r="D2385" s="1" t="s">
        <v>38</v>
      </c>
      <c r="E2385" s="1" t="s">
        <v>5</v>
      </c>
    </row>
    <row r="2386" spans="1:5" x14ac:dyDescent="0.25">
      <c r="A2386" s="13">
        <v>1014195896</v>
      </c>
      <c r="B2386" s="11" t="s">
        <v>83</v>
      </c>
      <c r="C2386" s="1" t="s">
        <v>2849</v>
      </c>
      <c r="D2386" s="1" t="s">
        <v>47</v>
      </c>
      <c r="E2386" s="1" t="s">
        <v>16</v>
      </c>
    </row>
    <row r="2387" spans="1:5" x14ac:dyDescent="0.25">
      <c r="A2387" s="13">
        <v>1014196857</v>
      </c>
      <c r="B2387" s="11" t="s">
        <v>83</v>
      </c>
      <c r="C2387" s="1" t="s">
        <v>2848</v>
      </c>
      <c r="D2387" s="1" t="s">
        <v>95</v>
      </c>
      <c r="E2387" s="1" t="s">
        <v>196</v>
      </c>
    </row>
    <row r="2388" spans="1:5" x14ac:dyDescent="0.25">
      <c r="A2388" s="13">
        <v>1014199192</v>
      </c>
      <c r="B2388" s="11" t="s">
        <v>84</v>
      </c>
      <c r="C2388" s="1" t="s">
        <v>2847</v>
      </c>
      <c r="D2388" s="1" t="s">
        <v>43</v>
      </c>
      <c r="E2388" s="1" t="s">
        <v>8</v>
      </c>
    </row>
    <row r="2389" spans="1:5" x14ac:dyDescent="0.25">
      <c r="A2389" s="13">
        <v>1014199747</v>
      </c>
      <c r="B2389" s="11" t="s">
        <v>83</v>
      </c>
      <c r="C2389" s="1" t="s">
        <v>2845</v>
      </c>
      <c r="D2389" s="1" t="s">
        <v>2846</v>
      </c>
      <c r="E2389" s="1" t="s">
        <v>21</v>
      </c>
    </row>
    <row r="2390" spans="1:5" x14ac:dyDescent="0.25">
      <c r="A2390" s="13">
        <v>1014200152</v>
      </c>
      <c r="B2390" s="11" t="s">
        <v>84</v>
      </c>
      <c r="C2390" s="1" t="s">
        <v>3377</v>
      </c>
      <c r="D2390" s="1" t="s">
        <v>131</v>
      </c>
      <c r="E2390" s="1" t="s">
        <v>131</v>
      </c>
    </row>
    <row r="2391" spans="1:5" x14ac:dyDescent="0.25">
      <c r="A2391" s="13">
        <v>1014200970</v>
      </c>
      <c r="B2391" s="11" t="s">
        <v>84</v>
      </c>
      <c r="C2391" s="1" t="s">
        <v>3162</v>
      </c>
      <c r="D2391" s="1" t="s">
        <v>38</v>
      </c>
      <c r="E2391" s="1" t="s">
        <v>12</v>
      </c>
    </row>
    <row r="2392" spans="1:5" x14ac:dyDescent="0.25">
      <c r="A2392" s="13">
        <v>1014201905</v>
      </c>
      <c r="B2392" s="11" t="s">
        <v>83</v>
      </c>
      <c r="C2392" s="1" t="s">
        <v>3171</v>
      </c>
      <c r="D2392" s="1" t="s">
        <v>53</v>
      </c>
      <c r="E2392" s="1" t="s">
        <v>4</v>
      </c>
    </row>
    <row r="2393" spans="1:5" x14ac:dyDescent="0.25">
      <c r="A2393" s="13">
        <v>1014204233</v>
      </c>
      <c r="B2393" s="11" t="s">
        <v>84</v>
      </c>
      <c r="C2393" s="1" t="s">
        <v>2844</v>
      </c>
      <c r="D2393" s="1" t="s">
        <v>1381</v>
      </c>
      <c r="E2393" s="1" t="s">
        <v>17</v>
      </c>
    </row>
    <row r="2394" spans="1:5" x14ac:dyDescent="0.25">
      <c r="A2394" s="13">
        <v>1014204354</v>
      </c>
      <c r="B2394" s="11" t="s">
        <v>83</v>
      </c>
      <c r="C2394" s="1" t="s">
        <v>2843</v>
      </c>
      <c r="D2394" s="1" t="s">
        <v>48</v>
      </c>
      <c r="E2394" s="1" t="s">
        <v>19</v>
      </c>
    </row>
    <row r="2395" spans="1:5" x14ac:dyDescent="0.25">
      <c r="A2395" s="13">
        <v>1014210502</v>
      </c>
      <c r="B2395" s="11" t="s">
        <v>84</v>
      </c>
      <c r="C2395" s="1" t="s">
        <v>3378</v>
      </c>
      <c r="D2395" s="1" t="s">
        <v>38</v>
      </c>
      <c r="E2395" s="1" t="s">
        <v>3120</v>
      </c>
    </row>
    <row r="2396" spans="1:5" x14ac:dyDescent="0.25">
      <c r="A2396" s="13">
        <v>1014211708</v>
      </c>
      <c r="B2396" s="11" t="s">
        <v>83</v>
      </c>
      <c r="C2396" s="1" t="s">
        <v>2842</v>
      </c>
      <c r="D2396" s="1" t="s">
        <v>107</v>
      </c>
      <c r="E2396" s="1" t="s">
        <v>196</v>
      </c>
    </row>
    <row r="2397" spans="1:5" x14ac:dyDescent="0.25">
      <c r="A2397" s="13">
        <v>1014211876</v>
      </c>
      <c r="B2397" s="11" t="s">
        <v>84</v>
      </c>
      <c r="C2397" s="1" t="s">
        <v>2841</v>
      </c>
      <c r="D2397" s="1" t="s">
        <v>38</v>
      </c>
      <c r="E2397" s="1" t="s">
        <v>12</v>
      </c>
    </row>
    <row r="2398" spans="1:5" x14ac:dyDescent="0.25">
      <c r="A2398" s="13">
        <v>1014214559</v>
      </c>
      <c r="B2398" s="11" t="s">
        <v>84</v>
      </c>
      <c r="C2398" s="1" t="s">
        <v>2840</v>
      </c>
      <c r="D2398" s="1" t="s">
        <v>43</v>
      </c>
      <c r="E2398" s="1" t="s">
        <v>263</v>
      </c>
    </row>
    <row r="2399" spans="1:5" x14ac:dyDescent="0.25">
      <c r="A2399" s="13">
        <v>1014215096</v>
      </c>
      <c r="B2399" s="11" t="s">
        <v>84</v>
      </c>
      <c r="C2399" s="1" t="s">
        <v>3379</v>
      </c>
      <c r="D2399" s="1" t="s">
        <v>43</v>
      </c>
      <c r="E2399" s="1" t="s">
        <v>15</v>
      </c>
    </row>
    <row r="2400" spans="1:5" x14ac:dyDescent="0.25">
      <c r="A2400" s="13">
        <v>1014215945</v>
      </c>
      <c r="B2400" s="11" t="s">
        <v>83</v>
      </c>
      <c r="C2400" s="1" t="s">
        <v>2839</v>
      </c>
      <c r="D2400" s="1" t="s">
        <v>48</v>
      </c>
      <c r="E2400" s="1" t="s">
        <v>19</v>
      </c>
    </row>
    <row r="2401" spans="1:5" x14ac:dyDescent="0.25">
      <c r="A2401" s="13">
        <v>1014216947</v>
      </c>
      <c r="B2401" s="11" t="s">
        <v>83</v>
      </c>
      <c r="C2401" s="1" t="s">
        <v>3380</v>
      </c>
      <c r="D2401" s="1" t="s">
        <v>1118</v>
      </c>
      <c r="E2401" s="1" t="s">
        <v>21</v>
      </c>
    </row>
    <row r="2402" spans="1:5" x14ac:dyDescent="0.25">
      <c r="A2402" s="13">
        <v>1014218177</v>
      </c>
      <c r="B2402" s="11" t="s">
        <v>83</v>
      </c>
      <c r="C2402" s="1" t="s">
        <v>2838</v>
      </c>
      <c r="D2402" s="1" t="s">
        <v>47</v>
      </c>
      <c r="E2402" s="1" t="s">
        <v>19</v>
      </c>
    </row>
    <row r="2403" spans="1:5" x14ac:dyDescent="0.25">
      <c r="A2403" s="13">
        <v>1014219674</v>
      </c>
      <c r="B2403" s="11" t="s">
        <v>84</v>
      </c>
      <c r="C2403" s="1" t="s">
        <v>2837</v>
      </c>
      <c r="D2403" s="1" t="s">
        <v>38</v>
      </c>
      <c r="E2403" s="1" t="s">
        <v>9</v>
      </c>
    </row>
    <row r="2404" spans="1:5" x14ac:dyDescent="0.25">
      <c r="A2404" s="13">
        <v>1014224610</v>
      </c>
      <c r="B2404" s="11" t="s">
        <v>116</v>
      </c>
      <c r="C2404" s="1" t="s">
        <v>2836</v>
      </c>
      <c r="D2404" s="1" t="s">
        <v>117</v>
      </c>
      <c r="E2404" s="1" t="s">
        <v>85</v>
      </c>
    </row>
    <row r="2405" spans="1:5" x14ac:dyDescent="0.25">
      <c r="A2405" s="13">
        <v>1014227282</v>
      </c>
      <c r="B2405" s="11" t="s">
        <v>84</v>
      </c>
      <c r="C2405" s="1" t="s">
        <v>2835</v>
      </c>
      <c r="D2405" s="1" t="s">
        <v>92</v>
      </c>
      <c r="E2405" s="1" t="s">
        <v>17</v>
      </c>
    </row>
    <row r="2406" spans="1:5" x14ac:dyDescent="0.25">
      <c r="A2406" s="13">
        <v>1014234111</v>
      </c>
      <c r="B2406" s="11" t="s">
        <v>83</v>
      </c>
      <c r="C2406" s="1" t="s">
        <v>3381</v>
      </c>
      <c r="D2406" s="1" t="s">
        <v>3605</v>
      </c>
      <c r="E2406" s="1" t="s">
        <v>18</v>
      </c>
    </row>
    <row r="2407" spans="1:5" x14ac:dyDescent="0.25">
      <c r="A2407" s="13">
        <v>1014239131</v>
      </c>
      <c r="B2407" s="11" t="s">
        <v>83</v>
      </c>
      <c r="C2407" s="1" t="s">
        <v>2834</v>
      </c>
      <c r="D2407" s="1" t="s">
        <v>47</v>
      </c>
      <c r="E2407" s="1" t="s">
        <v>19</v>
      </c>
    </row>
    <row r="2408" spans="1:5" x14ac:dyDescent="0.25">
      <c r="A2408" s="13">
        <v>1014240213</v>
      </c>
      <c r="B2408" s="11" t="s">
        <v>83</v>
      </c>
      <c r="C2408" s="1" t="s">
        <v>2833</v>
      </c>
      <c r="D2408" s="1" t="s">
        <v>47</v>
      </c>
      <c r="E2408" s="1" t="s">
        <v>29</v>
      </c>
    </row>
    <row r="2409" spans="1:5" x14ac:dyDescent="0.25">
      <c r="A2409" s="13">
        <v>1014240584</v>
      </c>
      <c r="B2409" s="11" t="s">
        <v>83</v>
      </c>
      <c r="C2409" s="1" t="s">
        <v>2831</v>
      </c>
      <c r="D2409" s="1" t="s">
        <v>2832</v>
      </c>
      <c r="E2409" s="1" t="s">
        <v>19</v>
      </c>
    </row>
    <row r="2410" spans="1:5" x14ac:dyDescent="0.25">
      <c r="A2410" s="13">
        <v>1014241930</v>
      </c>
      <c r="B2410" s="11" t="s">
        <v>109</v>
      </c>
      <c r="C2410" s="1" t="s">
        <v>2830</v>
      </c>
      <c r="D2410" s="1" t="s">
        <v>366</v>
      </c>
      <c r="E2410" s="1" t="s">
        <v>1128</v>
      </c>
    </row>
    <row r="2411" spans="1:5" x14ac:dyDescent="0.25">
      <c r="A2411" s="13">
        <v>1014244751</v>
      </c>
      <c r="B2411" s="11" t="s">
        <v>83</v>
      </c>
      <c r="C2411" s="1" t="s">
        <v>3382</v>
      </c>
      <c r="D2411" s="1" t="s">
        <v>105</v>
      </c>
      <c r="E2411" s="1" t="s">
        <v>196</v>
      </c>
    </row>
    <row r="2412" spans="1:5" x14ac:dyDescent="0.25">
      <c r="A2412" s="13">
        <v>1014250160</v>
      </c>
      <c r="B2412" s="11" t="s">
        <v>83</v>
      </c>
      <c r="C2412" s="1" t="s">
        <v>2829</v>
      </c>
      <c r="D2412" s="1" t="s">
        <v>36</v>
      </c>
      <c r="E2412" s="1" t="s">
        <v>33</v>
      </c>
    </row>
    <row r="2413" spans="1:5" x14ac:dyDescent="0.25">
      <c r="A2413" s="13">
        <v>1014254507</v>
      </c>
      <c r="B2413" s="11" t="s">
        <v>84</v>
      </c>
      <c r="C2413" s="1" t="s">
        <v>2828</v>
      </c>
      <c r="D2413" s="1" t="s">
        <v>39</v>
      </c>
      <c r="E2413" s="1" t="s">
        <v>1</v>
      </c>
    </row>
    <row r="2414" spans="1:5" x14ac:dyDescent="0.25">
      <c r="A2414" s="13">
        <v>1014255337</v>
      </c>
      <c r="B2414" s="11" t="s">
        <v>84</v>
      </c>
      <c r="C2414" s="1" t="s">
        <v>3383</v>
      </c>
      <c r="D2414" s="1" t="s">
        <v>36</v>
      </c>
      <c r="E2414" s="1" t="s">
        <v>1</v>
      </c>
    </row>
    <row r="2415" spans="1:5" x14ac:dyDescent="0.25">
      <c r="A2415" s="13">
        <v>1014255386</v>
      </c>
      <c r="B2415" s="11" t="s">
        <v>83</v>
      </c>
      <c r="C2415" s="1" t="s">
        <v>2826</v>
      </c>
      <c r="D2415" s="1" t="s">
        <v>2827</v>
      </c>
      <c r="E2415" s="1" t="s">
        <v>19</v>
      </c>
    </row>
    <row r="2416" spans="1:5" x14ac:dyDescent="0.25">
      <c r="A2416" s="13">
        <v>1014256673</v>
      </c>
      <c r="B2416" s="11" t="s">
        <v>84</v>
      </c>
      <c r="C2416" s="1" t="s">
        <v>2825</v>
      </c>
      <c r="D2416" s="1" t="s">
        <v>2310</v>
      </c>
      <c r="E2416" s="1" t="s">
        <v>22</v>
      </c>
    </row>
    <row r="2417" spans="1:5" x14ac:dyDescent="0.25">
      <c r="A2417" s="13">
        <v>1014257968</v>
      </c>
      <c r="B2417" s="11" t="s">
        <v>84</v>
      </c>
      <c r="C2417" s="1" t="s">
        <v>3384</v>
      </c>
      <c r="D2417" s="1" t="s">
        <v>43</v>
      </c>
      <c r="E2417" s="1" t="s">
        <v>12</v>
      </c>
    </row>
    <row r="2418" spans="1:5" x14ac:dyDescent="0.25">
      <c r="A2418" s="13">
        <v>1014259562</v>
      </c>
      <c r="B2418" s="11" t="s">
        <v>84</v>
      </c>
      <c r="C2418" s="1" t="s">
        <v>3385</v>
      </c>
      <c r="D2418" s="1" t="s">
        <v>38</v>
      </c>
      <c r="E2418" s="1" t="s">
        <v>15</v>
      </c>
    </row>
    <row r="2419" spans="1:5" x14ac:dyDescent="0.25">
      <c r="A2419" s="13">
        <v>1014259722</v>
      </c>
      <c r="B2419" s="11" t="s">
        <v>84</v>
      </c>
      <c r="C2419" s="1" t="s">
        <v>3144</v>
      </c>
      <c r="D2419" s="1" t="s">
        <v>92</v>
      </c>
      <c r="E2419" s="1" t="s">
        <v>3071</v>
      </c>
    </row>
    <row r="2420" spans="1:5" x14ac:dyDescent="0.25">
      <c r="A2420" s="13">
        <v>1014265888</v>
      </c>
      <c r="B2420" s="11" t="s">
        <v>84</v>
      </c>
      <c r="C2420" s="1" t="s">
        <v>2824</v>
      </c>
      <c r="D2420" s="1" t="s">
        <v>47</v>
      </c>
      <c r="E2420" s="1" t="s">
        <v>2349</v>
      </c>
    </row>
    <row r="2421" spans="1:5" x14ac:dyDescent="0.25">
      <c r="A2421" s="13">
        <v>1014266838</v>
      </c>
      <c r="B2421" s="11" t="s">
        <v>83</v>
      </c>
      <c r="C2421" s="1" t="s">
        <v>3386</v>
      </c>
      <c r="D2421" s="1" t="s">
        <v>3052</v>
      </c>
      <c r="E2421" s="1" t="s">
        <v>210</v>
      </c>
    </row>
    <row r="2422" spans="1:5" x14ac:dyDescent="0.25">
      <c r="A2422" s="13">
        <v>1014268774</v>
      </c>
      <c r="B2422" s="11" t="s">
        <v>83</v>
      </c>
      <c r="C2422" s="1" t="s">
        <v>2822</v>
      </c>
      <c r="D2422" s="1" t="s">
        <v>2823</v>
      </c>
      <c r="E2422" s="1" t="s">
        <v>19</v>
      </c>
    </row>
    <row r="2423" spans="1:5" x14ac:dyDescent="0.25">
      <c r="A2423" s="13">
        <v>1014278379</v>
      </c>
      <c r="B2423" s="11" t="s">
        <v>83</v>
      </c>
      <c r="C2423" s="1" t="s">
        <v>3182</v>
      </c>
      <c r="D2423" s="1" t="s">
        <v>50</v>
      </c>
      <c r="E2423" s="1" t="s">
        <v>21</v>
      </c>
    </row>
    <row r="2424" spans="1:5" x14ac:dyDescent="0.25">
      <c r="A2424" s="13">
        <v>1014283142</v>
      </c>
      <c r="B2424" s="11" t="s">
        <v>116</v>
      </c>
      <c r="C2424" s="1" t="s">
        <v>3126</v>
      </c>
      <c r="D2424" s="1" t="s">
        <v>117</v>
      </c>
      <c r="E2424" s="1" t="s">
        <v>3118</v>
      </c>
    </row>
    <row r="2425" spans="1:5" x14ac:dyDescent="0.25">
      <c r="A2425" s="13">
        <v>1014284705</v>
      </c>
      <c r="B2425" s="11" t="s">
        <v>83</v>
      </c>
      <c r="C2425" s="1" t="s">
        <v>3387</v>
      </c>
      <c r="D2425" s="1" t="s">
        <v>36</v>
      </c>
      <c r="E2425" s="1" t="s">
        <v>24</v>
      </c>
    </row>
    <row r="2426" spans="1:5" x14ac:dyDescent="0.25">
      <c r="A2426" s="13">
        <v>1014286209</v>
      </c>
      <c r="B2426" s="11" t="s">
        <v>84</v>
      </c>
      <c r="C2426" s="1" t="s">
        <v>3388</v>
      </c>
      <c r="D2426" s="1" t="s">
        <v>3142</v>
      </c>
      <c r="E2426" s="1" t="s">
        <v>3071</v>
      </c>
    </row>
    <row r="2427" spans="1:5" x14ac:dyDescent="0.25">
      <c r="A2427" s="13">
        <v>1014287961</v>
      </c>
      <c r="B2427" s="11" t="s">
        <v>84</v>
      </c>
      <c r="C2427" s="1" t="s">
        <v>2821</v>
      </c>
      <c r="D2427" s="1" t="s">
        <v>47</v>
      </c>
      <c r="E2427" s="1" t="s">
        <v>22</v>
      </c>
    </row>
    <row r="2428" spans="1:5" x14ac:dyDescent="0.25">
      <c r="A2428" s="13">
        <v>1014291603</v>
      </c>
      <c r="B2428" s="11" t="s">
        <v>84</v>
      </c>
      <c r="C2428" s="1" t="s">
        <v>2820</v>
      </c>
      <c r="D2428" s="1" t="s">
        <v>90</v>
      </c>
      <c r="E2428" s="1" t="s">
        <v>1</v>
      </c>
    </row>
    <row r="2429" spans="1:5" x14ac:dyDescent="0.25">
      <c r="A2429" s="13">
        <v>1014295458</v>
      </c>
      <c r="B2429" s="11" t="s">
        <v>83</v>
      </c>
      <c r="C2429" s="1" t="s">
        <v>2819</v>
      </c>
      <c r="D2429" s="1" t="s">
        <v>78</v>
      </c>
      <c r="E2429" s="1" t="s">
        <v>21</v>
      </c>
    </row>
    <row r="2430" spans="1:5" x14ac:dyDescent="0.25">
      <c r="A2430" s="13">
        <v>1014297220</v>
      </c>
      <c r="B2430" s="11" t="s">
        <v>84</v>
      </c>
      <c r="C2430" s="1" t="s">
        <v>2818</v>
      </c>
      <c r="D2430" s="1" t="s">
        <v>47</v>
      </c>
      <c r="E2430" s="1" t="s">
        <v>22</v>
      </c>
    </row>
    <row r="2431" spans="1:5" x14ac:dyDescent="0.25">
      <c r="A2431" s="13">
        <v>1014300045</v>
      </c>
      <c r="B2431" s="11" t="s">
        <v>83</v>
      </c>
      <c r="C2431" s="1" t="s">
        <v>2817</v>
      </c>
      <c r="D2431" s="1" t="s">
        <v>47</v>
      </c>
      <c r="E2431" s="1" t="s">
        <v>21</v>
      </c>
    </row>
    <row r="2432" spans="1:5" x14ac:dyDescent="0.25">
      <c r="A2432" s="13">
        <v>1014300646</v>
      </c>
      <c r="B2432" s="11" t="s">
        <v>84</v>
      </c>
      <c r="C2432" s="1" t="s">
        <v>2816</v>
      </c>
      <c r="D2432" s="1" t="s">
        <v>2546</v>
      </c>
      <c r="E2432" s="1" t="s">
        <v>134</v>
      </c>
    </row>
    <row r="2433" spans="1:5" x14ac:dyDescent="0.25">
      <c r="A2433" s="13">
        <v>1014300777</v>
      </c>
      <c r="B2433" s="11" t="s">
        <v>84</v>
      </c>
      <c r="C2433" s="1" t="s">
        <v>3389</v>
      </c>
      <c r="D2433" s="1" t="s">
        <v>3157</v>
      </c>
      <c r="E2433" s="1" t="s">
        <v>3071</v>
      </c>
    </row>
    <row r="2434" spans="1:5" x14ac:dyDescent="0.25">
      <c r="A2434" s="13">
        <v>1014302394</v>
      </c>
      <c r="B2434" s="11" t="s">
        <v>83</v>
      </c>
      <c r="C2434" s="1" t="s">
        <v>2815</v>
      </c>
      <c r="D2434" s="1" t="s">
        <v>79</v>
      </c>
      <c r="E2434" s="1" t="s">
        <v>33</v>
      </c>
    </row>
    <row r="2435" spans="1:5" x14ac:dyDescent="0.25">
      <c r="A2435" s="13">
        <v>1014308296</v>
      </c>
      <c r="B2435" s="11" t="s">
        <v>83</v>
      </c>
      <c r="C2435" s="1" t="s">
        <v>3606</v>
      </c>
      <c r="D2435" s="1" t="s">
        <v>56</v>
      </c>
      <c r="E2435" s="1" t="s">
        <v>210</v>
      </c>
    </row>
    <row r="2436" spans="1:5" x14ac:dyDescent="0.25">
      <c r="A2436" s="13">
        <v>1014477934</v>
      </c>
      <c r="B2436" s="11" t="s">
        <v>83</v>
      </c>
      <c r="C2436" s="1" t="s">
        <v>3390</v>
      </c>
      <c r="D2436" s="1" t="s">
        <v>44</v>
      </c>
      <c r="E2436" s="1" t="s">
        <v>16</v>
      </c>
    </row>
    <row r="2437" spans="1:5" x14ac:dyDescent="0.25">
      <c r="A2437" s="13">
        <v>1014736595</v>
      </c>
      <c r="B2437" s="11" t="s">
        <v>84</v>
      </c>
      <c r="C2437" s="1" t="s">
        <v>3391</v>
      </c>
      <c r="D2437" s="1" t="s">
        <v>3157</v>
      </c>
      <c r="E2437" s="1" t="s">
        <v>3595</v>
      </c>
    </row>
    <row r="2438" spans="1:5" x14ac:dyDescent="0.25">
      <c r="A2438" s="13">
        <v>1014977624</v>
      </c>
      <c r="B2438" s="11" t="s">
        <v>83</v>
      </c>
      <c r="C2438" s="1" t="s">
        <v>3607</v>
      </c>
      <c r="D2438" s="1" t="s">
        <v>79</v>
      </c>
      <c r="E2438" s="1" t="s">
        <v>210</v>
      </c>
    </row>
    <row r="2439" spans="1:5" x14ac:dyDescent="0.25">
      <c r="A2439" s="13">
        <v>1015394165</v>
      </c>
      <c r="B2439" s="11" t="s">
        <v>83</v>
      </c>
      <c r="C2439" s="1" t="s">
        <v>3087</v>
      </c>
      <c r="D2439" s="1" t="s">
        <v>477</v>
      </c>
      <c r="E2439" s="1" t="s">
        <v>21</v>
      </c>
    </row>
    <row r="2440" spans="1:5" x14ac:dyDescent="0.25">
      <c r="A2440" s="13">
        <v>1015396330</v>
      </c>
      <c r="B2440" s="11" t="s">
        <v>83</v>
      </c>
      <c r="C2440" s="1" t="s">
        <v>2814</v>
      </c>
      <c r="D2440" s="1" t="s">
        <v>47</v>
      </c>
      <c r="E2440" s="1" t="s">
        <v>16</v>
      </c>
    </row>
    <row r="2441" spans="1:5" x14ac:dyDescent="0.25">
      <c r="A2441" s="13">
        <v>1015396359</v>
      </c>
      <c r="B2441" s="11" t="s">
        <v>84</v>
      </c>
      <c r="C2441" s="1" t="s">
        <v>2813</v>
      </c>
      <c r="D2441" s="1" t="s">
        <v>38</v>
      </c>
      <c r="E2441" s="1" t="s">
        <v>7</v>
      </c>
    </row>
    <row r="2442" spans="1:5" x14ac:dyDescent="0.25">
      <c r="A2442" s="13">
        <v>1015401941</v>
      </c>
      <c r="B2442" s="11" t="s">
        <v>84</v>
      </c>
      <c r="C2442" s="1" t="s">
        <v>2812</v>
      </c>
      <c r="D2442" s="1" t="s">
        <v>46</v>
      </c>
      <c r="E2442" s="1" t="s">
        <v>1</v>
      </c>
    </row>
    <row r="2443" spans="1:5" x14ac:dyDescent="0.25">
      <c r="A2443" s="13">
        <v>1015402092</v>
      </c>
      <c r="B2443" s="11" t="s">
        <v>84</v>
      </c>
      <c r="C2443" s="1" t="s">
        <v>2811</v>
      </c>
      <c r="D2443" s="1" t="s">
        <v>424</v>
      </c>
      <c r="E2443" s="1" t="s">
        <v>142</v>
      </c>
    </row>
    <row r="2444" spans="1:5" x14ac:dyDescent="0.25">
      <c r="A2444" s="13">
        <v>1015402884</v>
      </c>
      <c r="B2444" s="11" t="s">
        <v>116</v>
      </c>
      <c r="C2444" s="1" t="s">
        <v>2810</v>
      </c>
      <c r="D2444" s="1" t="s">
        <v>117</v>
      </c>
      <c r="E2444" s="1" t="s">
        <v>6</v>
      </c>
    </row>
    <row r="2445" spans="1:5" x14ac:dyDescent="0.25">
      <c r="A2445" s="13">
        <v>1015402887</v>
      </c>
      <c r="B2445" s="11" t="s">
        <v>84</v>
      </c>
      <c r="C2445" s="1" t="s">
        <v>2809</v>
      </c>
      <c r="D2445" s="1" t="s">
        <v>43</v>
      </c>
      <c r="E2445" s="1" t="s">
        <v>9</v>
      </c>
    </row>
    <row r="2446" spans="1:5" x14ac:dyDescent="0.25">
      <c r="A2446" s="13">
        <v>1015404409</v>
      </c>
      <c r="B2446" s="11" t="s">
        <v>84</v>
      </c>
      <c r="C2446" s="1" t="s">
        <v>2808</v>
      </c>
      <c r="D2446" s="1" t="s">
        <v>2689</v>
      </c>
      <c r="E2446" s="1" t="s">
        <v>1</v>
      </c>
    </row>
    <row r="2447" spans="1:5" x14ac:dyDescent="0.25">
      <c r="A2447" s="13">
        <v>1015410453</v>
      </c>
      <c r="B2447" s="11" t="s">
        <v>116</v>
      </c>
      <c r="C2447" s="1" t="s">
        <v>2807</v>
      </c>
      <c r="D2447" s="1" t="s">
        <v>117</v>
      </c>
      <c r="E2447" s="1" t="s">
        <v>10</v>
      </c>
    </row>
    <row r="2448" spans="1:5" x14ac:dyDescent="0.25">
      <c r="A2448" s="13">
        <v>1015415911</v>
      </c>
      <c r="B2448" s="11" t="s">
        <v>83</v>
      </c>
      <c r="C2448" s="1" t="s">
        <v>2806</v>
      </c>
      <c r="D2448" s="1" t="s">
        <v>47</v>
      </c>
      <c r="E2448" s="1" t="s">
        <v>19</v>
      </c>
    </row>
    <row r="2449" spans="1:5" x14ac:dyDescent="0.25">
      <c r="A2449" s="13">
        <v>1015416160</v>
      </c>
      <c r="B2449" s="11" t="s">
        <v>84</v>
      </c>
      <c r="C2449" s="1" t="s">
        <v>2805</v>
      </c>
      <c r="D2449" s="1" t="s">
        <v>38</v>
      </c>
      <c r="E2449" s="1" t="s">
        <v>6</v>
      </c>
    </row>
    <row r="2450" spans="1:5" x14ac:dyDescent="0.25">
      <c r="A2450" s="13">
        <v>1015416591</v>
      </c>
      <c r="B2450" s="11" t="s">
        <v>83</v>
      </c>
      <c r="C2450" s="1" t="s">
        <v>2804</v>
      </c>
      <c r="D2450" s="1" t="s">
        <v>47</v>
      </c>
      <c r="E2450" s="1" t="s">
        <v>24</v>
      </c>
    </row>
    <row r="2451" spans="1:5" x14ac:dyDescent="0.25">
      <c r="A2451" s="13">
        <v>1015417417</v>
      </c>
      <c r="B2451" s="11" t="s">
        <v>116</v>
      </c>
      <c r="C2451" s="1" t="s">
        <v>2803</v>
      </c>
      <c r="D2451" s="1" t="s">
        <v>117</v>
      </c>
      <c r="E2451" s="1" t="s">
        <v>6</v>
      </c>
    </row>
    <row r="2452" spans="1:5" x14ac:dyDescent="0.25">
      <c r="A2452" s="13">
        <v>1015418046</v>
      </c>
      <c r="B2452" s="11" t="s">
        <v>109</v>
      </c>
      <c r="C2452" s="1" t="s">
        <v>2802</v>
      </c>
      <c r="D2452" s="1" t="s">
        <v>195</v>
      </c>
      <c r="E2452" s="1" t="s">
        <v>19</v>
      </c>
    </row>
    <row r="2453" spans="1:5" x14ac:dyDescent="0.25">
      <c r="A2453" s="13">
        <v>1015418383</v>
      </c>
      <c r="B2453" s="11" t="s">
        <v>83</v>
      </c>
      <c r="C2453" s="1" t="s">
        <v>2801</v>
      </c>
      <c r="D2453" s="1" t="s">
        <v>44</v>
      </c>
      <c r="E2453" s="1" t="s">
        <v>16</v>
      </c>
    </row>
    <row r="2454" spans="1:5" x14ac:dyDescent="0.25">
      <c r="A2454" s="13">
        <v>1015420886</v>
      </c>
      <c r="B2454" s="11" t="s">
        <v>84</v>
      </c>
      <c r="C2454" s="1" t="s">
        <v>3392</v>
      </c>
      <c r="D2454" s="1" t="s">
        <v>3084</v>
      </c>
      <c r="E2454" s="1" t="s">
        <v>1</v>
      </c>
    </row>
    <row r="2455" spans="1:5" x14ac:dyDescent="0.25">
      <c r="A2455" s="13">
        <v>1015422849</v>
      </c>
      <c r="B2455" s="11" t="s">
        <v>83</v>
      </c>
      <c r="C2455" s="1" t="s">
        <v>3176</v>
      </c>
      <c r="D2455" s="1" t="s">
        <v>2762</v>
      </c>
      <c r="E2455" s="1" t="s">
        <v>21</v>
      </c>
    </row>
    <row r="2456" spans="1:5" x14ac:dyDescent="0.25">
      <c r="A2456" s="13">
        <v>1015423634</v>
      </c>
      <c r="B2456" s="11" t="s">
        <v>83</v>
      </c>
      <c r="C2456" s="1" t="s">
        <v>3031</v>
      </c>
      <c r="D2456" s="1" t="s">
        <v>3032</v>
      </c>
      <c r="E2456" s="1" t="s">
        <v>19</v>
      </c>
    </row>
    <row r="2457" spans="1:5" x14ac:dyDescent="0.25">
      <c r="A2457" s="13">
        <v>1015424668</v>
      </c>
      <c r="B2457" s="11" t="s">
        <v>84</v>
      </c>
      <c r="C2457" s="1" t="s">
        <v>2800</v>
      </c>
      <c r="D2457" s="1" t="s">
        <v>38</v>
      </c>
      <c r="E2457" s="1" t="s">
        <v>10</v>
      </c>
    </row>
    <row r="2458" spans="1:5" x14ac:dyDescent="0.25">
      <c r="A2458" s="13">
        <v>1015425008</v>
      </c>
      <c r="B2458" s="11" t="s">
        <v>84</v>
      </c>
      <c r="C2458" s="1" t="s">
        <v>3608</v>
      </c>
      <c r="D2458" s="1" t="s">
        <v>38</v>
      </c>
      <c r="E2458" s="1" t="s">
        <v>10</v>
      </c>
    </row>
    <row r="2459" spans="1:5" x14ac:dyDescent="0.25">
      <c r="A2459" s="13">
        <v>1015425178</v>
      </c>
      <c r="B2459" s="11" t="s">
        <v>84</v>
      </c>
      <c r="C2459" s="1" t="s">
        <v>2799</v>
      </c>
      <c r="D2459" s="1" t="s">
        <v>46</v>
      </c>
      <c r="E2459" s="1" t="s">
        <v>1</v>
      </c>
    </row>
    <row r="2460" spans="1:5" x14ac:dyDescent="0.25">
      <c r="A2460" s="13">
        <v>1015425242</v>
      </c>
      <c r="B2460" s="11" t="s">
        <v>83</v>
      </c>
      <c r="C2460" s="1" t="s">
        <v>2798</v>
      </c>
      <c r="D2460" s="1" t="s">
        <v>57</v>
      </c>
      <c r="E2460" s="1" t="s">
        <v>23</v>
      </c>
    </row>
    <row r="2461" spans="1:5" x14ac:dyDescent="0.25">
      <c r="A2461" s="13">
        <v>1015425834</v>
      </c>
      <c r="B2461" s="11" t="s">
        <v>84</v>
      </c>
      <c r="C2461" s="1" t="s">
        <v>3393</v>
      </c>
      <c r="D2461" s="1" t="s">
        <v>38</v>
      </c>
      <c r="E2461" s="1" t="s">
        <v>7</v>
      </c>
    </row>
    <row r="2462" spans="1:5" x14ac:dyDescent="0.25">
      <c r="A2462" s="13">
        <v>1015428142</v>
      </c>
      <c r="B2462" s="11" t="s">
        <v>83</v>
      </c>
      <c r="C2462" s="1" t="s">
        <v>2797</v>
      </c>
      <c r="D2462" s="1" t="s">
        <v>59</v>
      </c>
      <c r="E2462" s="1" t="s">
        <v>19</v>
      </c>
    </row>
    <row r="2463" spans="1:5" x14ac:dyDescent="0.25">
      <c r="A2463" s="13">
        <v>1015432028</v>
      </c>
      <c r="B2463" s="11" t="s">
        <v>84</v>
      </c>
      <c r="C2463" s="1" t="s">
        <v>2796</v>
      </c>
      <c r="D2463" s="1" t="s">
        <v>98</v>
      </c>
      <c r="E2463" s="1" t="s">
        <v>1</v>
      </c>
    </row>
    <row r="2464" spans="1:5" x14ac:dyDescent="0.25">
      <c r="A2464" s="13">
        <v>1015434256</v>
      </c>
      <c r="B2464" s="11" t="s">
        <v>84</v>
      </c>
      <c r="C2464" s="1" t="s">
        <v>2795</v>
      </c>
      <c r="D2464" s="1" t="s">
        <v>1077</v>
      </c>
      <c r="E2464" s="1" t="s">
        <v>499</v>
      </c>
    </row>
    <row r="2465" spans="1:5" x14ac:dyDescent="0.25">
      <c r="A2465" s="13">
        <v>1015435642</v>
      </c>
      <c r="B2465" s="11" t="s">
        <v>84</v>
      </c>
      <c r="C2465" s="1" t="s">
        <v>3033</v>
      </c>
      <c r="D2465" s="1" t="s">
        <v>46</v>
      </c>
      <c r="E2465" s="1" t="s">
        <v>1</v>
      </c>
    </row>
    <row r="2466" spans="1:5" x14ac:dyDescent="0.25">
      <c r="A2466" s="13">
        <v>1015435727</v>
      </c>
      <c r="B2466" s="11" t="s">
        <v>84</v>
      </c>
      <c r="C2466" s="1" t="s">
        <v>2794</v>
      </c>
      <c r="D2466" s="1" t="s">
        <v>38</v>
      </c>
      <c r="E2466" s="1" t="s">
        <v>127</v>
      </c>
    </row>
    <row r="2467" spans="1:5" x14ac:dyDescent="0.25">
      <c r="A2467" s="13">
        <v>1015435921</v>
      </c>
      <c r="B2467" s="11" t="s">
        <v>83</v>
      </c>
      <c r="C2467" s="1" t="s">
        <v>2793</v>
      </c>
      <c r="D2467" s="1" t="s">
        <v>44</v>
      </c>
      <c r="E2467" s="1" t="s">
        <v>16</v>
      </c>
    </row>
    <row r="2468" spans="1:5" x14ac:dyDescent="0.25">
      <c r="A2468" s="13">
        <v>1015440795</v>
      </c>
      <c r="B2468" s="11" t="s">
        <v>83</v>
      </c>
      <c r="C2468" s="1" t="s">
        <v>2792</v>
      </c>
      <c r="D2468" s="1" t="s">
        <v>47</v>
      </c>
      <c r="E2468" s="1" t="s">
        <v>29</v>
      </c>
    </row>
    <row r="2469" spans="1:5" x14ac:dyDescent="0.25">
      <c r="A2469" s="13">
        <v>1015441100</v>
      </c>
      <c r="B2469" s="11" t="s">
        <v>84</v>
      </c>
      <c r="C2469" s="1" t="s">
        <v>3689</v>
      </c>
      <c r="D2469" s="1" t="s">
        <v>3158</v>
      </c>
      <c r="E2469" s="1" t="s">
        <v>3595</v>
      </c>
    </row>
    <row r="2470" spans="1:5" x14ac:dyDescent="0.25">
      <c r="A2470" s="13">
        <v>1015442088</v>
      </c>
      <c r="B2470" s="11" t="s">
        <v>83</v>
      </c>
      <c r="C2470" s="1" t="s">
        <v>2790</v>
      </c>
      <c r="D2470" s="1" t="s">
        <v>2791</v>
      </c>
      <c r="E2470" s="1" t="s">
        <v>24</v>
      </c>
    </row>
    <row r="2471" spans="1:5" x14ac:dyDescent="0.25">
      <c r="A2471" s="13">
        <v>1015443910</v>
      </c>
      <c r="B2471" s="11" t="s">
        <v>84</v>
      </c>
      <c r="C2471" s="1" t="s">
        <v>3125</v>
      </c>
      <c r="D2471" s="1" t="s">
        <v>38</v>
      </c>
      <c r="E2471" s="1" t="s">
        <v>10</v>
      </c>
    </row>
    <row r="2472" spans="1:5" x14ac:dyDescent="0.25">
      <c r="A2472" s="13">
        <v>1015449279</v>
      </c>
      <c r="B2472" s="11" t="s">
        <v>83</v>
      </c>
      <c r="C2472" s="1" t="s">
        <v>2789</v>
      </c>
      <c r="D2472" s="1" t="s">
        <v>48</v>
      </c>
      <c r="E2472" s="1" t="s">
        <v>19</v>
      </c>
    </row>
    <row r="2473" spans="1:5" x14ac:dyDescent="0.25">
      <c r="A2473" s="13">
        <v>1015454521</v>
      </c>
      <c r="B2473" s="11" t="s">
        <v>83</v>
      </c>
      <c r="C2473" s="1" t="s">
        <v>2788</v>
      </c>
      <c r="D2473" s="1" t="s">
        <v>59</v>
      </c>
      <c r="E2473" s="1" t="s">
        <v>19</v>
      </c>
    </row>
    <row r="2474" spans="1:5" x14ac:dyDescent="0.25">
      <c r="A2474" s="13">
        <v>1015458000</v>
      </c>
      <c r="B2474" s="11" t="s">
        <v>83</v>
      </c>
      <c r="C2474" s="1" t="s">
        <v>2787</v>
      </c>
      <c r="D2474" s="1" t="s">
        <v>59</v>
      </c>
      <c r="E2474" s="1" t="s">
        <v>19</v>
      </c>
    </row>
    <row r="2475" spans="1:5" x14ac:dyDescent="0.25">
      <c r="A2475" s="13">
        <v>1015461728</v>
      </c>
      <c r="B2475" s="11" t="s">
        <v>84</v>
      </c>
      <c r="C2475" s="1" t="s">
        <v>2786</v>
      </c>
      <c r="D2475" s="1" t="s">
        <v>38</v>
      </c>
      <c r="E2475" s="1" t="s">
        <v>15</v>
      </c>
    </row>
    <row r="2476" spans="1:5" x14ac:dyDescent="0.25">
      <c r="A2476" s="13">
        <v>1015462891</v>
      </c>
      <c r="B2476" s="11" t="s">
        <v>83</v>
      </c>
      <c r="C2476" s="1" t="s">
        <v>3710</v>
      </c>
      <c r="D2476" s="1" t="s">
        <v>90</v>
      </c>
      <c r="E2476" s="1" t="s">
        <v>196</v>
      </c>
    </row>
    <row r="2477" spans="1:5" x14ac:dyDescent="0.25">
      <c r="A2477" s="13">
        <v>1015474296</v>
      </c>
      <c r="B2477" s="11" t="s">
        <v>83</v>
      </c>
      <c r="C2477" s="1" t="s">
        <v>2785</v>
      </c>
      <c r="D2477" s="1" t="s">
        <v>59</v>
      </c>
      <c r="E2477" s="1" t="s">
        <v>19</v>
      </c>
    </row>
    <row r="2478" spans="1:5" x14ac:dyDescent="0.25">
      <c r="A2478" s="13">
        <v>1015478949</v>
      </c>
      <c r="B2478" s="11" t="s">
        <v>116</v>
      </c>
      <c r="C2478" s="1" t="s">
        <v>3394</v>
      </c>
      <c r="D2478" s="1" t="s">
        <v>117</v>
      </c>
      <c r="E2478" s="1" t="s">
        <v>3192</v>
      </c>
    </row>
    <row r="2479" spans="1:5" x14ac:dyDescent="0.25">
      <c r="A2479" s="13">
        <v>1015482839</v>
      </c>
      <c r="B2479" s="11" t="s">
        <v>84</v>
      </c>
      <c r="C2479" s="1" t="s">
        <v>3395</v>
      </c>
      <c r="D2479" s="1" t="s">
        <v>3396</v>
      </c>
      <c r="E2479" s="1" t="s">
        <v>25</v>
      </c>
    </row>
    <row r="2480" spans="1:5" x14ac:dyDescent="0.25">
      <c r="A2480" s="13">
        <v>1016002692</v>
      </c>
      <c r="B2480" s="11" t="s">
        <v>84</v>
      </c>
      <c r="C2480" s="1" t="s">
        <v>2784</v>
      </c>
      <c r="D2480" s="1" t="s">
        <v>38</v>
      </c>
      <c r="E2480" s="1" t="s">
        <v>127</v>
      </c>
    </row>
    <row r="2481" spans="1:5" x14ac:dyDescent="0.25">
      <c r="A2481" s="13">
        <v>1016007730</v>
      </c>
      <c r="B2481" s="11" t="s">
        <v>116</v>
      </c>
      <c r="C2481" s="1" t="s">
        <v>2783</v>
      </c>
      <c r="D2481" s="1" t="s">
        <v>117</v>
      </c>
      <c r="E2481" s="1" t="s">
        <v>11</v>
      </c>
    </row>
    <row r="2482" spans="1:5" x14ac:dyDescent="0.25">
      <c r="A2482" s="13">
        <v>1016018744</v>
      </c>
      <c r="B2482" s="11" t="s">
        <v>83</v>
      </c>
      <c r="C2482" s="1" t="s">
        <v>2782</v>
      </c>
      <c r="D2482" s="1" t="s">
        <v>366</v>
      </c>
      <c r="E2482" s="1" t="s">
        <v>24</v>
      </c>
    </row>
    <row r="2483" spans="1:5" x14ac:dyDescent="0.25">
      <c r="A2483" s="13">
        <v>1016023593</v>
      </c>
      <c r="B2483" s="11" t="s">
        <v>116</v>
      </c>
      <c r="C2483" s="1" t="s">
        <v>3086</v>
      </c>
      <c r="D2483" s="1" t="s">
        <v>117</v>
      </c>
      <c r="E2483" s="1" t="s">
        <v>3190</v>
      </c>
    </row>
    <row r="2484" spans="1:5" x14ac:dyDescent="0.25">
      <c r="A2484" s="13">
        <v>1016024227</v>
      </c>
      <c r="B2484" s="11" t="s">
        <v>83</v>
      </c>
      <c r="C2484" s="1" t="s">
        <v>2781</v>
      </c>
      <c r="D2484" s="1" t="s">
        <v>57</v>
      </c>
      <c r="E2484" s="1" t="s">
        <v>23</v>
      </c>
    </row>
    <row r="2485" spans="1:5" x14ac:dyDescent="0.25">
      <c r="A2485" s="13">
        <v>1016036053</v>
      </c>
      <c r="B2485" s="11" t="s">
        <v>84</v>
      </c>
      <c r="C2485" s="1" t="s">
        <v>2780</v>
      </c>
      <c r="D2485" s="1" t="s">
        <v>43</v>
      </c>
      <c r="E2485" s="1" t="s">
        <v>263</v>
      </c>
    </row>
    <row r="2486" spans="1:5" x14ac:dyDescent="0.25">
      <c r="A2486" s="13">
        <v>1016036777</v>
      </c>
      <c r="B2486" s="11" t="s">
        <v>83</v>
      </c>
      <c r="C2486" s="1" t="s">
        <v>2779</v>
      </c>
      <c r="D2486" s="1" t="s">
        <v>47</v>
      </c>
      <c r="E2486" s="1" t="s">
        <v>19</v>
      </c>
    </row>
    <row r="2487" spans="1:5" x14ac:dyDescent="0.25">
      <c r="A2487" s="13">
        <v>1016042025</v>
      </c>
      <c r="B2487" s="11" t="s">
        <v>84</v>
      </c>
      <c r="C2487" s="1" t="s">
        <v>3397</v>
      </c>
      <c r="D2487" s="1" t="s">
        <v>43</v>
      </c>
      <c r="E2487" s="1" t="s">
        <v>9</v>
      </c>
    </row>
    <row r="2488" spans="1:5" x14ac:dyDescent="0.25">
      <c r="A2488" s="13">
        <v>1016071171</v>
      </c>
      <c r="B2488" s="11" t="s">
        <v>84</v>
      </c>
      <c r="C2488" s="1" t="s">
        <v>3398</v>
      </c>
      <c r="D2488" s="1" t="s">
        <v>3141</v>
      </c>
      <c r="E2488" s="1" t="s">
        <v>1</v>
      </c>
    </row>
    <row r="2489" spans="1:5" x14ac:dyDescent="0.25">
      <c r="A2489" s="13">
        <v>1016076619</v>
      </c>
      <c r="B2489" s="11" t="s">
        <v>116</v>
      </c>
      <c r="C2489" s="1" t="s">
        <v>3019</v>
      </c>
      <c r="D2489" s="1" t="s">
        <v>117</v>
      </c>
      <c r="E2489" s="1" t="s">
        <v>12</v>
      </c>
    </row>
    <row r="2490" spans="1:5" x14ac:dyDescent="0.25">
      <c r="A2490" s="13">
        <v>1016079242</v>
      </c>
      <c r="B2490" s="11" t="s">
        <v>83</v>
      </c>
      <c r="C2490" s="1" t="s">
        <v>2778</v>
      </c>
      <c r="D2490" s="1" t="s">
        <v>2939</v>
      </c>
      <c r="E2490" s="1" t="s">
        <v>196</v>
      </c>
    </row>
    <row r="2491" spans="1:5" x14ac:dyDescent="0.25">
      <c r="A2491" s="13">
        <v>1016086517</v>
      </c>
      <c r="B2491" s="11" t="s">
        <v>84</v>
      </c>
      <c r="C2491" s="1" t="s">
        <v>2777</v>
      </c>
      <c r="D2491" s="1" t="s">
        <v>3399</v>
      </c>
      <c r="E2491" s="1" t="s">
        <v>1</v>
      </c>
    </row>
    <row r="2492" spans="1:5" x14ac:dyDescent="0.25">
      <c r="A2492" s="13">
        <v>1016090131</v>
      </c>
      <c r="B2492" s="11" t="s">
        <v>83</v>
      </c>
      <c r="C2492" s="1" t="s">
        <v>3124</v>
      </c>
      <c r="D2492" s="1" t="s">
        <v>3609</v>
      </c>
      <c r="E2492" s="1" t="s">
        <v>196</v>
      </c>
    </row>
    <row r="2493" spans="1:5" x14ac:dyDescent="0.25">
      <c r="A2493" s="13">
        <v>1016090150</v>
      </c>
      <c r="B2493" s="11" t="s">
        <v>83</v>
      </c>
      <c r="C2493" s="1" t="s">
        <v>3401</v>
      </c>
      <c r="D2493" s="1" t="s">
        <v>79</v>
      </c>
      <c r="E2493" s="1" t="s">
        <v>19</v>
      </c>
    </row>
    <row r="2494" spans="1:5" x14ac:dyDescent="0.25">
      <c r="A2494" s="13">
        <v>1016090580</v>
      </c>
      <c r="B2494" s="11" t="s">
        <v>84</v>
      </c>
      <c r="C2494" s="1" t="s">
        <v>2776</v>
      </c>
      <c r="D2494" s="1" t="s">
        <v>41</v>
      </c>
      <c r="E2494" s="1" t="s">
        <v>1</v>
      </c>
    </row>
    <row r="2495" spans="1:5" x14ac:dyDescent="0.25">
      <c r="A2495" s="13">
        <v>1016093685</v>
      </c>
      <c r="B2495" s="11" t="s">
        <v>83</v>
      </c>
      <c r="C2495" s="1" t="s">
        <v>2775</v>
      </c>
      <c r="D2495" s="1" t="s">
        <v>53</v>
      </c>
      <c r="E2495" s="1" t="s">
        <v>4</v>
      </c>
    </row>
    <row r="2496" spans="1:5" x14ac:dyDescent="0.25">
      <c r="A2496" s="13">
        <v>1016096130</v>
      </c>
      <c r="B2496" s="11" t="s">
        <v>83</v>
      </c>
      <c r="C2496" s="1" t="s">
        <v>3034</v>
      </c>
      <c r="D2496" s="1" t="s">
        <v>93</v>
      </c>
      <c r="E2496" s="1" t="s">
        <v>24</v>
      </c>
    </row>
    <row r="2497" spans="1:5" x14ac:dyDescent="0.25">
      <c r="A2497" s="13">
        <v>1016111073</v>
      </c>
      <c r="B2497" s="11" t="s">
        <v>84</v>
      </c>
      <c r="C2497" s="1" t="s">
        <v>2774</v>
      </c>
      <c r="D2497" s="1" t="s">
        <v>3402</v>
      </c>
      <c r="E2497" s="1" t="s">
        <v>3595</v>
      </c>
    </row>
    <row r="2498" spans="1:5" x14ac:dyDescent="0.25">
      <c r="A2498" s="13">
        <v>1016114297</v>
      </c>
      <c r="B2498" s="11" t="s">
        <v>84</v>
      </c>
      <c r="C2498" s="1" t="s">
        <v>3403</v>
      </c>
      <c r="D2498" s="1" t="s">
        <v>2310</v>
      </c>
      <c r="E2498" s="1" t="s">
        <v>22</v>
      </c>
    </row>
    <row r="2499" spans="1:5" x14ac:dyDescent="0.25">
      <c r="A2499" s="13">
        <v>1017183828</v>
      </c>
      <c r="B2499" s="11" t="s">
        <v>83</v>
      </c>
      <c r="C2499" s="1" t="s">
        <v>2772</v>
      </c>
      <c r="D2499" s="1" t="s">
        <v>57</v>
      </c>
      <c r="E2499" s="1" t="s">
        <v>23</v>
      </c>
    </row>
    <row r="2500" spans="1:5" x14ac:dyDescent="0.25">
      <c r="A2500" s="13">
        <v>1017227144</v>
      </c>
      <c r="B2500" s="11" t="s">
        <v>83</v>
      </c>
      <c r="C2500" s="1" t="s">
        <v>3404</v>
      </c>
      <c r="D2500" s="1" t="s">
        <v>3202</v>
      </c>
      <c r="E2500" s="1" t="s">
        <v>19</v>
      </c>
    </row>
    <row r="2501" spans="1:5" x14ac:dyDescent="0.25">
      <c r="A2501" s="13">
        <v>1018404653</v>
      </c>
      <c r="B2501" s="11" t="s">
        <v>84</v>
      </c>
      <c r="C2501" s="1" t="s">
        <v>3405</v>
      </c>
      <c r="D2501" s="1" t="s">
        <v>38</v>
      </c>
      <c r="E2501" s="1" t="s">
        <v>14</v>
      </c>
    </row>
    <row r="2502" spans="1:5" x14ac:dyDescent="0.25">
      <c r="A2502" s="13">
        <v>1018406993</v>
      </c>
      <c r="B2502" s="11" t="s">
        <v>116</v>
      </c>
      <c r="C2502" s="1" t="s">
        <v>2771</v>
      </c>
      <c r="D2502" s="1" t="s">
        <v>117</v>
      </c>
      <c r="E2502" s="1" t="s">
        <v>120</v>
      </c>
    </row>
    <row r="2503" spans="1:5" x14ac:dyDescent="0.25">
      <c r="A2503" s="13">
        <v>1018409066</v>
      </c>
      <c r="B2503" s="11" t="s">
        <v>84</v>
      </c>
      <c r="C2503" s="1" t="s">
        <v>2770</v>
      </c>
      <c r="D2503" s="1" t="s">
        <v>38</v>
      </c>
      <c r="E2503" s="1" t="s">
        <v>2</v>
      </c>
    </row>
    <row r="2504" spans="1:5" x14ac:dyDescent="0.25">
      <c r="A2504" s="13">
        <v>1018411979</v>
      </c>
      <c r="B2504" s="11" t="s">
        <v>84</v>
      </c>
      <c r="C2504" s="1" t="s">
        <v>2769</v>
      </c>
      <c r="D2504" s="1" t="s">
        <v>3610</v>
      </c>
      <c r="E2504" s="1" t="s">
        <v>3085</v>
      </c>
    </row>
    <row r="2505" spans="1:5" x14ac:dyDescent="0.25">
      <c r="A2505" s="13">
        <v>1018413529</v>
      </c>
      <c r="B2505" s="11" t="s">
        <v>83</v>
      </c>
      <c r="C2505" s="1" t="s">
        <v>3406</v>
      </c>
      <c r="D2505" s="1" t="s">
        <v>3161</v>
      </c>
      <c r="E2505" s="1" t="s">
        <v>196</v>
      </c>
    </row>
    <row r="2506" spans="1:5" x14ac:dyDescent="0.25">
      <c r="A2506" s="13">
        <v>1018413553</v>
      </c>
      <c r="B2506" s="11" t="s">
        <v>84</v>
      </c>
      <c r="C2506" s="1" t="s">
        <v>2768</v>
      </c>
      <c r="D2506" s="1" t="s">
        <v>43</v>
      </c>
      <c r="E2506" s="1" t="s">
        <v>14</v>
      </c>
    </row>
    <row r="2507" spans="1:5" x14ac:dyDescent="0.25">
      <c r="A2507" s="13">
        <v>1018414290</v>
      </c>
      <c r="B2507" s="11" t="s">
        <v>83</v>
      </c>
      <c r="C2507" s="1" t="s">
        <v>3611</v>
      </c>
      <c r="D2507" s="1" t="s">
        <v>48</v>
      </c>
      <c r="E2507" s="1" t="s">
        <v>196</v>
      </c>
    </row>
    <row r="2508" spans="1:5" x14ac:dyDescent="0.25">
      <c r="A2508" s="13">
        <v>1018416691</v>
      </c>
      <c r="B2508" s="11" t="s">
        <v>83</v>
      </c>
      <c r="C2508" s="1" t="s">
        <v>2767</v>
      </c>
      <c r="D2508" s="1" t="s">
        <v>47</v>
      </c>
      <c r="E2508" s="1" t="s">
        <v>19</v>
      </c>
    </row>
    <row r="2509" spans="1:5" x14ac:dyDescent="0.25">
      <c r="A2509" s="13">
        <v>1018417376</v>
      </c>
      <c r="B2509" s="11" t="s">
        <v>83</v>
      </c>
      <c r="C2509" s="1" t="s">
        <v>2766</v>
      </c>
      <c r="D2509" s="1" t="s">
        <v>47</v>
      </c>
      <c r="E2509" s="1" t="s">
        <v>19</v>
      </c>
    </row>
    <row r="2510" spans="1:5" x14ac:dyDescent="0.25">
      <c r="A2510" s="13">
        <v>1018418993</v>
      </c>
      <c r="B2510" s="11" t="s">
        <v>83</v>
      </c>
      <c r="C2510" s="1" t="s">
        <v>2765</v>
      </c>
      <c r="D2510" s="1" t="s">
        <v>47</v>
      </c>
      <c r="E2510" s="1" t="s">
        <v>19</v>
      </c>
    </row>
    <row r="2511" spans="1:5" x14ac:dyDescent="0.25">
      <c r="A2511" s="13">
        <v>1018420838</v>
      </c>
      <c r="B2511" s="11" t="s">
        <v>84</v>
      </c>
      <c r="C2511" s="1" t="s">
        <v>2764</v>
      </c>
      <c r="D2511" s="1" t="s">
        <v>36</v>
      </c>
      <c r="E2511" s="1" t="s">
        <v>17</v>
      </c>
    </row>
    <row r="2512" spans="1:5" x14ac:dyDescent="0.25">
      <c r="A2512" s="13">
        <v>1018422258</v>
      </c>
      <c r="B2512" s="11" t="s">
        <v>83</v>
      </c>
      <c r="C2512" s="1" t="s">
        <v>2763</v>
      </c>
      <c r="D2512" s="1" t="s">
        <v>47</v>
      </c>
      <c r="E2512" s="1" t="s">
        <v>16</v>
      </c>
    </row>
    <row r="2513" spans="1:5" x14ac:dyDescent="0.25">
      <c r="A2513" s="13">
        <v>1018422335</v>
      </c>
      <c r="B2513" s="11" t="s">
        <v>83</v>
      </c>
      <c r="C2513" s="1" t="s">
        <v>2761</v>
      </c>
      <c r="D2513" s="1" t="s">
        <v>2762</v>
      </c>
      <c r="E2513" s="1" t="s">
        <v>21</v>
      </c>
    </row>
    <row r="2514" spans="1:5" x14ac:dyDescent="0.25">
      <c r="A2514" s="13">
        <v>1018423012</v>
      </c>
      <c r="B2514" s="11" t="s">
        <v>116</v>
      </c>
      <c r="C2514" s="1" t="s">
        <v>2760</v>
      </c>
      <c r="D2514" s="1" t="s">
        <v>117</v>
      </c>
      <c r="E2514" s="1" t="s">
        <v>8</v>
      </c>
    </row>
    <row r="2515" spans="1:5" x14ac:dyDescent="0.25">
      <c r="A2515" s="13">
        <v>1018427488</v>
      </c>
      <c r="B2515" s="11" t="s">
        <v>84</v>
      </c>
      <c r="C2515" s="1" t="s">
        <v>3063</v>
      </c>
      <c r="D2515" s="1" t="s">
        <v>3143</v>
      </c>
      <c r="E2515" s="1" t="s">
        <v>1</v>
      </c>
    </row>
    <row r="2516" spans="1:5" x14ac:dyDescent="0.25">
      <c r="A2516" s="13">
        <v>1018429735</v>
      </c>
      <c r="B2516" s="11" t="s">
        <v>83</v>
      </c>
      <c r="C2516" s="1" t="s">
        <v>2759</v>
      </c>
      <c r="D2516" s="1" t="s">
        <v>57</v>
      </c>
      <c r="E2516" s="1" t="s">
        <v>23</v>
      </c>
    </row>
    <row r="2517" spans="1:5" x14ac:dyDescent="0.25">
      <c r="A2517" s="13">
        <v>1018430771</v>
      </c>
      <c r="B2517" s="11" t="s">
        <v>84</v>
      </c>
      <c r="C2517" s="1" t="s">
        <v>2758</v>
      </c>
      <c r="D2517" s="1" t="s">
        <v>38</v>
      </c>
      <c r="E2517" s="1" t="s">
        <v>11</v>
      </c>
    </row>
    <row r="2518" spans="1:5" x14ac:dyDescent="0.25">
      <c r="A2518" s="13">
        <v>1018431618</v>
      </c>
      <c r="B2518" s="11" t="s">
        <v>116</v>
      </c>
      <c r="C2518" s="1" t="s">
        <v>3407</v>
      </c>
      <c r="D2518" s="1" t="s">
        <v>117</v>
      </c>
      <c r="E2518" s="1" t="s">
        <v>3130</v>
      </c>
    </row>
    <row r="2519" spans="1:5" x14ac:dyDescent="0.25">
      <c r="A2519" s="13">
        <v>1018432618</v>
      </c>
      <c r="B2519" s="11" t="s">
        <v>84</v>
      </c>
      <c r="C2519" s="1" t="s">
        <v>3408</v>
      </c>
      <c r="D2519" s="1" t="s">
        <v>38</v>
      </c>
      <c r="E2519" s="1" t="s">
        <v>14</v>
      </c>
    </row>
    <row r="2520" spans="1:5" x14ac:dyDescent="0.25">
      <c r="A2520" s="13">
        <v>1018436662</v>
      </c>
      <c r="B2520" s="11" t="s">
        <v>84</v>
      </c>
      <c r="C2520" s="1" t="s">
        <v>2757</v>
      </c>
      <c r="D2520" s="1" t="s">
        <v>38</v>
      </c>
      <c r="E2520" s="1" t="s">
        <v>2</v>
      </c>
    </row>
    <row r="2521" spans="1:5" x14ac:dyDescent="0.25">
      <c r="A2521" s="13">
        <v>1018437575</v>
      </c>
      <c r="B2521" s="11" t="s">
        <v>83</v>
      </c>
      <c r="C2521" s="1" t="s">
        <v>2756</v>
      </c>
      <c r="D2521" s="1" t="s">
        <v>47</v>
      </c>
      <c r="E2521" s="1" t="s">
        <v>939</v>
      </c>
    </row>
    <row r="2522" spans="1:5" x14ac:dyDescent="0.25">
      <c r="A2522" s="13">
        <v>1018438359</v>
      </c>
      <c r="B2522" s="11" t="s">
        <v>84</v>
      </c>
      <c r="C2522" s="1" t="s">
        <v>2755</v>
      </c>
      <c r="D2522" s="1" t="s">
        <v>71</v>
      </c>
      <c r="E2522" s="1" t="s">
        <v>1</v>
      </c>
    </row>
    <row r="2523" spans="1:5" x14ac:dyDescent="0.25">
      <c r="A2523" s="13">
        <v>1018439394</v>
      </c>
      <c r="B2523" s="11" t="s">
        <v>83</v>
      </c>
      <c r="C2523" s="1" t="s">
        <v>2754</v>
      </c>
      <c r="D2523" s="1" t="s">
        <v>47</v>
      </c>
      <c r="E2523" s="1" t="s">
        <v>26</v>
      </c>
    </row>
    <row r="2524" spans="1:5" x14ac:dyDescent="0.25">
      <c r="A2524" s="13">
        <v>1018439842</v>
      </c>
      <c r="B2524" s="11" t="s">
        <v>83</v>
      </c>
      <c r="C2524" s="1" t="s">
        <v>2753</v>
      </c>
      <c r="D2524" s="1" t="s">
        <v>51</v>
      </c>
      <c r="E2524" s="1" t="s">
        <v>20</v>
      </c>
    </row>
    <row r="2525" spans="1:5" x14ac:dyDescent="0.25">
      <c r="A2525" s="13">
        <v>1018441981</v>
      </c>
      <c r="B2525" s="11" t="s">
        <v>84</v>
      </c>
      <c r="C2525" s="1" t="s">
        <v>2752</v>
      </c>
      <c r="D2525" s="1" t="s">
        <v>52</v>
      </c>
      <c r="E2525" s="1" t="s">
        <v>22</v>
      </c>
    </row>
    <row r="2526" spans="1:5" x14ac:dyDescent="0.25">
      <c r="A2526" s="13">
        <v>1018443394</v>
      </c>
      <c r="B2526" s="11" t="s">
        <v>84</v>
      </c>
      <c r="C2526" s="1" t="s">
        <v>3018</v>
      </c>
      <c r="D2526" s="1" t="s">
        <v>38</v>
      </c>
      <c r="E2526" s="1" t="s">
        <v>10</v>
      </c>
    </row>
    <row r="2527" spans="1:5" x14ac:dyDescent="0.25">
      <c r="A2527" s="13">
        <v>1018443678</v>
      </c>
      <c r="B2527" s="11" t="s">
        <v>84</v>
      </c>
      <c r="C2527" s="1" t="s">
        <v>2751</v>
      </c>
      <c r="D2527" s="1" t="s">
        <v>65</v>
      </c>
      <c r="E2527" s="1" t="s">
        <v>1</v>
      </c>
    </row>
    <row r="2528" spans="1:5" x14ac:dyDescent="0.25">
      <c r="A2528" s="13">
        <v>1018447874</v>
      </c>
      <c r="B2528" s="11" t="s">
        <v>84</v>
      </c>
      <c r="C2528" s="1" t="s">
        <v>2750</v>
      </c>
      <c r="D2528" s="1" t="s">
        <v>38</v>
      </c>
      <c r="E2528" s="1" t="s">
        <v>3</v>
      </c>
    </row>
    <row r="2529" spans="1:5" x14ac:dyDescent="0.25">
      <c r="A2529" s="13">
        <v>1018451766</v>
      </c>
      <c r="B2529" s="11" t="s">
        <v>84</v>
      </c>
      <c r="C2529" s="1" t="s">
        <v>2749</v>
      </c>
      <c r="D2529" s="1" t="s">
        <v>43</v>
      </c>
      <c r="E2529" s="1" t="s">
        <v>6</v>
      </c>
    </row>
    <row r="2530" spans="1:5" x14ac:dyDescent="0.25">
      <c r="A2530" s="13">
        <v>1018454880</v>
      </c>
      <c r="B2530" s="11" t="s">
        <v>84</v>
      </c>
      <c r="C2530" s="1" t="s">
        <v>2748</v>
      </c>
      <c r="D2530" s="1" t="s">
        <v>36</v>
      </c>
      <c r="E2530" s="1" t="s">
        <v>17</v>
      </c>
    </row>
    <row r="2531" spans="1:5" x14ac:dyDescent="0.25">
      <c r="A2531" s="13">
        <v>1018456219</v>
      </c>
      <c r="B2531" s="11" t="s">
        <v>83</v>
      </c>
      <c r="C2531" s="1" t="s">
        <v>177</v>
      </c>
      <c r="D2531" s="1" t="s">
        <v>53</v>
      </c>
      <c r="E2531" s="1" t="s">
        <v>4</v>
      </c>
    </row>
    <row r="2532" spans="1:5" x14ac:dyDescent="0.25">
      <c r="A2532" s="13">
        <v>1018456304</v>
      </c>
      <c r="B2532" s="11" t="s">
        <v>83</v>
      </c>
      <c r="C2532" s="1" t="s">
        <v>3409</v>
      </c>
      <c r="D2532" s="1" t="s">
        <v>56</v>
      </c>
      <c r="E2532" s="1" t="s">
        <v>4</v>
      </c>
    </row>
    <row r="2533" spans="1:5" x14ac:dyDescent="0.25">
      <c r="A2533" s="13">
        <v>1018457372</v>
      </c>
      <c r="B2533" s="11" t="s">
        <v>83</v>
      </c>
      <c r="C2533" s="1" t="s">
        <v>3410</v>
      </c>
      <c r="D2533" s="1" t="s">
        <v>3161</v>
      </c>
      <c r="E2533" s="1" t="s">
        <v>19</v>
      </c>
    </row>
    <row r="2534" spans="1:5" x14ac:dyDescent="0.25">
      <c r="A2534" s="13">
        <v>1018458391</v>
      </c>
      <c r="B2534" s="11" t="s">
        <v>83</v>
      </c>
      <c r="C2534" s="1" t="s">
        <v>2747</v>
      </c>
      <c r="D2534" s="1" t="s">
        <v>47</v>
      </c>
      <c r="E2534" s="1" t="s">
        <v>19</v>
      </c>
    </row>
    <row r="2535" spans="1:5" x14ac:dyDescent="0.25">
      <c r="A2535" s="13">
        <v>1018458782</v>
      </c>
      <c r="B2535" s="11" t="s">
        <v>84</v>
      </c>
      <c r="C2535" s="1" t="s">
        <v>2746</v>
      </c>
      <c r="D2535" s="1" t="s">
        <v>38</v>
      </c>
      <c r="E2535" s="1" t="s">
        <v>12</v>
      </c>
    </row>
    <row r="2536" spans="1:5" x14ac:dyDescent="0.25">
      <c r="A2536" s="13">
        <v>1018459510</v>
      </c>
      <c r="B2536" s="11" t="s">
        <v>83</v>
      </c>
      <c r="C2536" s="1" t="s">
        <v>2745</v>
      </c>
      <c r="D2536" s="1" t="s">
        <v>47</v>
      </c>
      <c r="E2536" s="1" t="s">
        <v>1531</v>
      </c>
    </row>
    <row r="2537" spans="1:5" x14ac:dyDescent="0.25">
      <c r="A2537" s="13">
        <v>1018459777</v>
      </c>
      <c r="B2537" s="11" t="s">
        <v>83</v>
      </c>
      <c r="C2537" s="1" t="s">
        <v>2744</v>
      </c>
      <c r="D2537" s="1" t="s">
        <v>47</v>
      </c>
      <c r="E2537" s="1" t="s">
        <v>1531</v>
      </c>
    </row>
    <row r="2538" spans="1:5" x14ac:dyDescent="0.25">
      <c r="A2538" s="13">
        <v>1018459778</v>
      </c>
      <c r="B2538" s="11" t="s">
        <v>83</v>
      </c>
      <c r="C2538" s="1" t="s">
        <v>2743</v>
      </c>
      <c r="D2538" s="1" t="s">
        <v>47</v>
      </c>
      <c r="E2538" s="1" t="s">
        <v>29</v>
      </c>
    </row>
    <row r="2539" spans="1:5" x14ac:dyDescent="0.25">
      <c r="A2539" s="13">
        <v>1018461844</v>
      </c>
      <c r="B2539" s="11" t="s">
        <v>83</v>
      </c>
      <c r="C2539" s="1" t="s">
        <v>2742</v>
      </c>
      <c r="D2539" s="1" t="s">
        <v>47</v>
      </c>
      <c r="E2539" s="1" t="s">
        <v>2380</v>
      </c>
    </row>
    <row r="2540" spans="1:5" x14ac:dyDescent="0.25">
      <c r="A2540" s="13">
        <v>1018466235</v>
      </c>
      <c r="B2540" s="11" t="s">
        <v>83</v>
      </c>
      <c r="C2540" s="1" t="s">
        <v>2741</v>
      </c>
      <c r="D2540" s="1" t="s">
        <v>47</v>
      </c>
      <c r="E2540" s="1" t="s">
        <v>19</v>
      </c>
    </row>
    <row r="2541" spans="1:5" x14ac:dyDescent="0.25">
      <c r="A2541" s="13">
        <v>1018470482</v>
      </c>
      <c r="B2541" s="11" t="s">
        <v>83</v>
      </c>
      <c r="C2541" s="1" t="s">
        <v>2740</v>
      </c>
      <c r="D2541" s="1" t="s">
        <v>36</v>
      </c>
      <c r="E2541" s="1" t="s">
        <v>19</v>
      </c>
    </row>
    <row r="2542" spans="1:5" x14ac:dyDescent="0.25">
      <c r="A2542" s="13">
        <v>1018472015</v>
      </c>
      <c r="B2542" s="11" t="s">
        <v>84</v>
      </c>
      <c r="C2542" s="1" t="s">
        <v>2739</v>
      </c>
      <c r="D2542" s="1" t="s">
        <v>47</v>
      </c>
      <c r="E2542" s="1" t="s">
        <v>2349</v>
      </c>
    </row>
    <row r="2543" spans="1:5" x14ac:dyDescent="0.25">
      <c r="A2543" s="13">
        <v>1018478014</v>
      </c>
      <c r="B2543" s="11" t="s">
        <v>84</v>
      </c>
      <c r="C2543" s="1" t="s">
        <v>2738</v>
      </c>
      <c r="D2543" s="1" t="s">
        <v>38</v>
      </c>
      <c r="E2543" s="1" t="s">
        <v>5</v>
      </c>
    </row>
    <row r="2544" spans="1:5" x14ac:dyDescent="0.25">
      <c r="A2544" s="13">
        <v>1018478338</v>
      </c>
      <c r="B2544" s="11" t="s">
        <v>83</v>
      </c>
      <c r="C2544" s="1" t="s">
        <v>2736</v>
      </c>
      <c r="D2544" s="1" t="s">
        <v>2737</v>
      </c>
      <c r="E2544" s="1" t="s">
        <v>1</v>
      </c>
    </row>
    <row r="2545" spans="1:5" x14ac:dyDescent="0.25">
      <c r="A2545" s="13">
        <v>1018478534</v>
      </c>
      <c r="B2545" s="11" t="s">
        <v>83</v>
      </c>
      <c r="C2545" s="1" t="s">
        <v>2735</v>
      </c>
      <c r="D2545" s="1" t="s">
        <v>47</v>
      </c>
      <c r="E2545" s="1" t="s">
        <v>26</v>
      </c>
    </row>
    <row r="2546" spans="1:5" x14ac:dyDescent="0.25">
      <c r="A2546" s="13">
        <v>1018482392</v>
      </c>
      <c r="B2546" s="11" t="s">
        <v>84</v>
      </c>
      <c r="C2546" s="1" t="s">
        <v>3411</v>
      </c>
      <c r="D2546" s="1" t="s">
        <v>3344</v>
      </c>
      <c r="E2546" s="1" t="s">
        <v>22</v>
      </c>
    </row>
    <row r="2547" spans="1:5" x14ac:dyDescent="0.25">
      <c r="A2547" s="13">
        <v>1018482404</v>
      </c>
      <c r="B2547" s="11" t="s">
        <v>83</v>
      </c>
      <c r="C2547" s="1" t="s">
        <v>2734</v>
      </c>
      <c r="D2547" s="1" t="s">
        <v>48</v>
      </c>
      <c r="E2547" s="1" t="s">
        <v>19</v>
      </c>
    </row>
    <row r="2548" spans="1:5" x14ac:dyDescent="0.25">
      <c r="A2548" s="13">
        <v>1018483276</v>
      </c>
      <c r="B2548" s="11" t="s">
        <v>84</v>
      </c>
      <c r="C2548" s="1" t="s">
        <v>3170</v>
      </c>
      <c r="D2548" s="1" t="s">
        <v>38</v>
      </c>
      <c r="E2548" s="1" t="s">
        <v>13</v>
      </c>
    </row>
    <row r="2549" spans="1:5" x14ac:dyDescent="0.25">
      <c r="A2549" s="13">
        <v>1018484701</v>
      </c>
      <c r="B2549" s="11" t="s">
        <v>83</v>
      </c>
      <c r="C2549" s="1" t="s">
        <v>2733</v>
      </c>
      <c r="D2549" s="1" t="s">
        <v>47</v>
      </c>
      <c r="E2549" s="1" t="s">
        <v>367</v>
      </c>
    </row>
    <row r="2550" spans="1:5" x14ac:dyDescent="0.25">
      <c r="A2550" s="13">
        <v>1018484863</v>
      </c>
      <c r="B2550" s="11" t="s">
        <v>83</v>
      </c>
      <c r="C2550" s="1" t="s">
        <v>2732</v>
      </c>
      <c r="D2550" s="1" t="s">
        <v>97</v>
      </c>
      <c r="E2550" s="1" t="s">
        <v>19</v>
      </c>
    </row>
    <row r="2551" spans="1:5" x14ac:dyDescent="0.25">
      <c r="A2551" s="13">
        <v>1018486442</v>
      </c>
      <c r="B2551" s="11" t="s">
        <v>84</v>
      </c>
      <c r="C2551" s="1" t="s">
        <v>3706</v>
      </c>
      <c r="D2551" s="1" t="s">
        <v>3325</v>
      </c>
      <c r="E2551" s="1" t="s">
        <v>3572</v>
      </c>
    </row>
    <row r="2552" spans="1:5" x14ac:dyDescent="0.25">
      <c r="A2552" s="13">
        <v>1018488631</v>
      </c>
      <c r="B2552" s="11" t="s">
        <v>83</v>
      </c>
      <c r="C2552" s="1" t="s">
        <v>2731</v>
      </c>
      <c r="D2552" s="1" t="s">
        <v>47</v>
      </c>
      <c r="E2552" s="1" t="s">
        <v>16</v>
      </c>
    </row>
    <row r="2553" spans="1:5" x14ac:dyDescent="0.25">
      <c r="A2553" s="13">
        <v>1018489183</v>
      </c>
      <c r="B2553" s="11" t="s">
        <v>83</v>
      </c>
      <c r="C2553" s="1" t="s">
        <v>2730</v>
      </c>
      <c r="D2553" s="1" t="s">
        <v>48</v>
      </c>
      <c r="E2553" s="1" t="s">
        <v>19</v>
      </c>
    </row>
    <row r="2554" spans="1:5" x14ac:dyDescent="0.25">
      <c r="A2554" s="13">
        <v>1018491106</v>
      </c>
      <c r="B2554" s="11" t="s">
        <v>84</v>
      </c>
      <c r="C2554" s="1" t="s">
        <v>2729</v>
      </c>
      <c r="D2554" s="1" t="s">
        <v>65</v>
      </c>
      <c r="E2554" s="1" t="s">
        <v>1</v>
      </c>
    </row>
    <row r="2555" spans="1:5" x14ac:dyDescent="0.25">
      <c r="A2555" s="13">
        <v>1018493698</v>
      </c>
      <c r="B2555" s="11" t="s">
        <v>83</v>
      </c>
      <c r="C2555" s="1" t="s">
        <v>3180</v>
      </c>
      <c r="D2555" s="1" t="s">
        <v>3181</v>
      </c>
      <c r="E2555" s="1" t="s">
        <v>16</v>
      </c>
    </row>
    <row r="2556" spans="1:5" x14ac:dyDescent="0.25">
      <c r="A2556" s="13">
        <v>1018493944</v>
      </c>
      <c r="B2556" s="11" t="s">
        <v>84</v>
      </c>
      <c r="C2556" s="1" t="s">
        <v>3412</v>
      </c>
      <c r="D2556" s="1" t="s">
        <v>381</v>
      </c>
      <c r="E2556" s="1" t="s">
        <v>26</v>
      </c>
    </row>
    <row r="2557" spans="1:5" x14ac:dyDescent="0.25">
      <c r="A2557" s="13">
        <v>1018497672</v>
      </c>
      <c r="B2557" s="11" t="s">
        <v>83</v>
      </c>
      <c r="C2557" s="1" t="s">
        <v>2728</v>
      </c>
      <c r="D2557" s="1" t="s">
        <v>2261</v>
      </c>
      <c r="E2557" s="1" t="s">
        <v>18</v>
      </c>
    </row>
    <row r="2558" spans="1:5" x14ac:dyDescent="0.25">
      <c r="A2558" s="13">
        <v>1018509498</v>
      </c>
      <c r="B2558" s="11" t="s">
        <v>84</v>
      </c>
      <c r="C2558" s="1" t="s">
        <v>2727</v>
      </c>
      <c r="D2558" s="1" t="s">
        <v>41</v>
      </c>
      <c r="E2558" s="1" t="s">
        <v>3085</v>
      </c>
    </row>
    <row r="2559" spans="1:5" x14ac:dyDescent="0.25">
      <c r="A2559" s="13">
        <v>1018510343</v>
      </c>
      <c r="B2559" s="11" t="s">
        <v>83</v>
      </c>
      <c r="C2559" s="1" t="s">
        <v>3413</v>
      </c>
      <c r="D2559" s="1" t="s">
        <v>48</v>
      </c>
      <c r="E2559" s="1" t="s">
        <v>19</v>
      </c>
    </row>
    <row r="2560" spans="1:5" x14ac:dyDescent="0.25">
      <c r="A2560" s="13">
        <v>1018512275</v>
      </c>
      <c r="B2560" s="11" t="s">
        <v>84</v>
      </c>
      <c r="C2560" s="1" t="s">
        <v>2726</v>
      </c>
      <c r="D2560" s="1" t="s">
        <v>381</v>
      </c>
      <c r="E2560" s="1" t="s">
        <v>26</v>
      </c>
    </row>
    <row r="2561" spans="1:5" x14ac:dyDescent="0.25">
      <c r="A2561" s="13">
        <v>1019002414</v>
      </c>
      <c r="B2561" s="11" t="s">
        <v>116</v>
      </c>
      <c r="C2561" s="1" t="s">
        <v>2725</v>
      </c>
      <c r="D2561" s="1" t="s">
        <v>117</v>
      </c>
      <c r="E2561" s="1" t="s">
        <v>10</v>
      </c>
    </row>
    <row r="2562" spans="1:5" x14ac:dyDescent="0.25">
      <c r="A2562" s="13">
        <v>1019005803</v>
      </c>
      <c r="B2562" s="11" t="s">
        <v>116</v>
      </c>
      <c r="C2562" s="1" t="s">
        <v>2724</v>
      </c>
      <c r="D2562" s="1" t="s">
        <v>117</v>
      </c>
      <c r="E2562" s="1" t="s">
        <v>10</v>
      </c>
    </row>
    <row r="2563" spans="1:5" x14ac:dyDescent="0.25">
      <c r="A2563" s="13">
        <v>1019008046</v>
      </c>
      <c r="B2563" s="11" t="s">
        <v>84</v>
      </c>
      <c r="C2563" s="1" t="s">
        <v>3612</v>
      </c>
      <c r="D2563" s="1" t="s">
        <v>38</v>
      </c>
      <c r="E2563" s="1" t="s">
        <v>3120</v>
      </c>
    </row>
    <row r="2564" spans="1:5" x14ac:dyDescent="0.25">
      <c r="A2564" s="13">
        <v>1019010505</v>
      </c>
      <c r="B2564" s="11" t="s">
        <v>83</v>
      </c>
      <c r="C2564" s="1" t="s">
        <v>2723</v>
      </c>
      <c r="D2564" s="1" t="s">
        <v>47</v>
      </c>
      <c r="E2564" s="1" t="s">
        <v>17</v>
      </c>
    </row>
    <row r="2565" spans="1:5" x14ac:dyDescent="0.25">
      <c r="A2565" s="13">
        <v>1019015298</v>
      </c>
      <c r="B2565" s="11" t="s">
        <v>84</v>
      </c>
      <c r="C2565" s="1" t="s">
        <v>2722</v>
      </c>
      <c r="D2565" s="1" t="s">
        <v>43</v>
      </c>
      <c r="E2565" s="1" t="s">
        <v>328</v>
      </c>
    </row>
    <row r="2566" spans="1:5" x14ac:dyDescent="0.25">
      <c r="A2566" s="13">
        <v>1019016615</v>
      </c>
      <c r="B2566" s="11" t="s">
        <v>116</v>
      </c>
      <c r="C2566" s="1" t="s">
        <v>2721</v>
      </c>
      <c r="D2566" s="1" t="s">
        <v>117</v>
      </c>
      <c r="E2566" s="1" t="s">
        <v>6</v>
      </c>
    </row>
    <row r="2567" spans="1:5" x14ac:dyDescent="0.25">
      <c r="A2567" s="13">
        <v>1019024630</v>
      </c>
      <c r="B2567" s="11" t="s">
        <v>83</v>
      </c>
      <c r="C2567" s="1" t="s">
        <v>2720</v>
      </c>
      <c r="D2567" s="1" t="s">
        <v>47</v>
      </c>
      <c r="E2567" s="1" t="s">
        <v>2626</v>
      </c>
    </row>
    <row r="2568" spans="1:5" x14ac:dyDescent="0.25">
      <c r="A2568" s="13">
        <v>1019028955</v>
      </c>
      <c r="B2568" s="11" t="s">
        <v>83</v>
      </c>
      <c r="C2568" s="1" t="s">
        <v>2719</v>
      </c>
      <c r="D2568" s="1" t="s">
        <v>47</v>
      </c>
      <c r="E2568" s="1" t="s">
        <v>26</v>
      </c>
    </row>
    <row r="2569" spans="1:5" x14ac:dyDescent="0.25">
      <c r="A2569" s="13">
        <v>1019029373</v>
      </c>
      <c r="B2569" s="11" t="s">
        <v>83</v>
      </c>
      <c r="C2569" s="1" t="s">
        <v>2718</v>
      </c>
      <c r="D2569" s="1" t="s">
        <v>47</v>
      </c>
      <c r="E2569" s="1" t="s">
        <v>939</v>
      </c>
    </row>
    <row r="2570" spans="1:5" x14ac:dyDescent="0.25">
      <c r="A2570" s="13">
        <v>1019029407</v>
      </c>
      <c r="B2570" s="11" t="s">
        <v>83</v>
      </c>
      <c r="C2570" s="1" t="s">
        <v>3613</v>
      </c>
      <c r="D2570" s="1" t="s">
        <v>79</v>
      </c>
      <c r="E2570" s="1" t="s">
        <v>16</v>
      </c>
    </row>
    <row r="2571" spans="1:5" x14ac:dyDescent="0.25">
      <c r="A2571" s="13">
        <v>1019030777</v>
      </c>
      <c r="B2571" s="11" t="s">
        <v>83</v>
      </c>
      <c r="C2571" s="1" t="s">
        <v>2717</v>
      </c>
      <c r="D2571" s="1" t="s">
        <v>1077</v>
      </c>
      <c r="E2571" s="1" t="s">
        <v>21</v>
      </c>
    </row>
    <row r="2572" spans="1:5" x14ac:dyDescent="0.25">
      <c r="A2572" s="13">
        <v>1019032372</v>
      </c>
      <c r="B2572" s="11" t="s">
        <v>83</v>
      </c>
      <c r="C2572" s="1" t="s">
        <v>2716</v>
      </c>
      <c r="D2572" s="1" t="s">
        <v>1118</v>
      </c>
      <c r="E2572" s="1" t="s">
        <v>21</v>
      </c>
    </row>
    <row r="2573" spans="1:5" x14ac:dyDescent="0.25">
      <c r="A2573" s="13">
        <v>1019035415</v>
      </c>
      <c r="B2573" s="11" t="s">
        <v>83</v>
      </c>
      <c r="C2573" s="1" t="s">
        <v>2715</v>
      </c>
      <c r="D2573" s="1" t="s">
        <v>1170</v>
      </c>
      <c r="E2573" s="1" t="s">
        <v>248</v>
      </c>
    </row>
    <row r="2574" spans="1:5" x14ac:dyDescent="0.25">
      <c r="A2574" s="13">
        <v>1019037803</v>
      </c>
      <c r="B2574" s="11" t="s">
        <v>84</v>
      </c>
      <c r="C2574" s="1" t="s">
        <v>3414</v>
      </c>
      <c r="D2574" s="1" t="s">
        <v>38</v>
      </c>
      <c r="E2574" s="1" t="s">
        <v>12</v>
      </c>
    </row>
    <row r="2575" spans="1:5" x14ac:dyDescent="0.25">
      <c r="A2575" s="13">
        <v>1019037858</v>
      </c>
      <c r="B2575" s="11" t="s">
        <v>83</v>
      </c>
      <c r="C2575" s="1" t="s">
        <v>2714</v>
      </c>
      <c r="D2575" s="1" t="s">
        <v>47</v>
      </c>
      <c r="E2575" s="1" t="s">
        <v>16</v>
      </c>
    </row>
    <row r="2576" spans="1:5" x14ac:dyDescent="0.25">
      <c r="A2576" s="13">
        <v>1019042237</v>
      </c>
      <c r="B2576" s="11" t="s">
        <v>83</v>
      </c>
      <c r="C2576" s="1" t="s">
        <v>2713</v>
      </c>
      <c r="D2576" s="1" t="s">
        <v>47</v>
      </c>
      <c r="E2576" s="1" t="s">
        <v>20</v>
      </c>
    </row>
    <row r="2577" spans="1:5" x14ac:dyDescent="0.25">
      <c r="A2577" s="13">
        <v>1019045766</v>
      </c>
      <c r="B2577" s="11" t="s">
        <v>84</v>
      </c>
      <c r="C2577" s="1" t="s">
        <v>2712</v>
      </c>
      <c r="D2577" s="1" t="s">
        <v>38</v>
      </c>
      <c r="E2577" s="1" t="s">
        <v>14</v>
      </c>
    </row>
    <row r="2578" spans="1:5" x14ac:dyDescent="0.25">
      <c r="A2578" s="13">
        <v>1019048465</v>
      </c>
      <c r="B2578" s="11" t="s">
        <v>83</v>
      </c>
      <c r="C2578" s="1" t="s">
        <v>2711</v>
      </c>
      <c r="D2578" s="1" t="s">
        <v>47</v>
      </c>
      <c r="E2578" s="1" t="s">
        <v>263</v>
      </c>
    </row>
    <row r="2579" spans="1:5" x14ac:dyDescent="0.25">
      <c r="A2579" s="13">
        <v>1019050794</v>
      </c>
      <c r="B2579" s="11" t="s">
        <v>84</v>
      </c>
      <c r="C2579" s="1" t="s">
        <v>3109</v>
      </c>
      <c r="D2579" s="1" t="s">
        <v>3131</v>
      </c>
      <c r="E2579" s="1" t="s">
        <v>1</v>
      </c>
    </row>
    <row r="2580" spans="1:5" x14ac:dyDescent="0.25">
      <c r="A2580" s="13">
        <v>1019052752</v>
      </c>
      <c r="B2580" s="11" t="s">
        <v>84</v>
      </c>
      <c r="C2580" s="1" t="s">
        <v>2710</v>
      </c>
      <c r="D2580" s="1" t="s">
        <v>38</v>
      </c>
      <c r="E2580" s="1" t="s">
        <v>11</v>
      </c>
    </row>
    <row r="2581" spans="1:5" x14ac:dyDescent="0.25">
      <c r="A2581" s="13">
        <v>1019053519</v>
      </c>
      <c r="B2581" s="11" t="s">
        <v>84</v>
      </c>
      <c r="C2581" s="1" t="s">
        <v>2709</v>
      </c>
      <c r="D2581" s="1" t="s">
        <v>137</v>
      </c>
      <c r="E2581" s="1" t="s">
        <v>142</v>
      </c>
    </row>
    <row r="2582" spans="1:5" x14ac:dyDescent="0.25">
      <c r="A2582" s="13">
        <v>1019053623</v>
      </c>
      <c r="B2582" s="11" t="s">
        <v>84</v>
      </c>
      <c r="C2582" s="1" t="s">
        <v>3045</v>
      </c>
      <c r="D2582" s="1" t="s">
        <v>3141</v>
      </c>
      <c r="E2582" s="1" t="s">
        <v>1</v>
      </c>
    </row>
    <row r="2583" spans="1:5" x14ac:dyDescent="0.25">
      <c r="A2583" s="13">
        <v>1019054904</v>
      </c>
      <c r="B2583" s="11" t="s">
        <v>116</v>
      </c>
      <c r="C2583" s="1" t="s">
        <v>2708</v>
      </c>
      <c r="D2583" s="1" t="s">
        <v>117</v>
      </c>
      <c r="E2583" s="1" t="s">
        <v>12</v>
      </c>
    </row>
    <row r="2584" spans="1:5" x14ac:dyDescent="0.25">
      <c r="A2584" s="13">
        <v>1019057272</v>
      </c>
      <c r="B2584" s="11" t="s">
        <v>84</v>
      </c>
      <c r="C2584" s="1" t="s">
        <v>2707</v>
      </c>
      <c r="D2584" s="1" t="s">
        <v>38</v>
      </c>
      <c r="E2584" s="1" t="s">
        <v>12</v>
      </c>
    </row>
    <row r="2585" spans="1:5" x14ac:dyDescent="0.25">
      <c r="A2585" s="13">
        <v>1019067363</v>
      </c>
      <c r="B2585" s="11" t="s">
        <v>83</v>
      </c>
      <c r="C2585" s="1" t="s">
        <v>2706</v>
      </c>
      <c r="D2585" s="1" t="s">
        <v>47</v>
      </c>
      <c r="E2585" s="1" t="s">
        <v>263</v>
      </c>
    </row>
    <row r="2586" spans="1:5" x14ac:dyDescent="0.25">
      <c r="A2586" s="13">
        <v>1019070668</v>
      </c>
      <c r="B2586" s="11" t="s">
        <v>83</v>
      </c>
      <c r="C2586" s="1" t="s">
        <v>2705</v>
      </c>
      <c r="D2586" s="1" t="s">
        <v>47</v>
      </c>
      <c r="E2586" s="1" t="s">
        <v>16</v>
      </c>
    </row>
    <row r="2587" spans="1:5" x14ac:dyDescent="0.25">
      <c r="A2587" s="13">
        <v>1019075760</v>
      </c>
      <c r="B2587" s="11" t="s">
        <v>84</v>
      </c>
      <c r="C2587" s="1" t="s">
        <v>3123</v>
      </c>
      <c r="D2587" s="1" t="s">
        <v>38</v>
      </c>
      <c r="E2587" s="1" t="s">
        <v>14</v>
      </c>
    </row>
    <row r="2588" spans="1:5" x14ac:dyDescent="0.25">
      <c r="A2588" s="13">
        <v>1019076892</v>
      </c>
      <c r="B2588" s="11" t="s">
        <v>83</v>
      </c>
      <c r="C2588" s="1" t="s">
        <v>3078</v>
      </c>
      <c r="D2588" s="1" t="s">
        <v>246</v>
      </c>
      <c r="E2588" s="1" t="s">
        <v>19</v>
      </c>
    </row>
    <row r="2589" spans="1:5" x14ac:dyDescent="0.25">
      <c r="A2589" s="13">
        <v>1019078824</v>
      </c>
      <c r="B2589" s="11" t="s">
        <v>109</v>
      </c>
      <c r="C2589" s="1" t="s">
        <v>2704</v>
      </c>
      <c r="D2589" s="1" t="s">
        <v>464</v>
      </c>
      <c r="E2589" s="1" t="s">
        <v>1128</v>
      </c>
    </row>
    <row r="2590" spans="1:5" x14ac:dyDescent="0.25">
      <c r="A2590" s="13">
        <v>1019081635</v>
      </c>
      <c r="B2590" s="11" t="s">
        <v>84</v>
      </c>
      <c r="C2590" s="1" t="s">
        <v>2703</v>
      </c>
      <c r="D2590" s="1" t="s">
        <v>36</v>
      </c>
      <c r="E2590" s="1" t="s">
        <v>1</v>
      </c>
    </row>
    <row r="2591" spans="1:5" x14ac:dyDescent="0.25">
      <c r="A2591" s="13">
        <v>1019085746</v>
      </c>
      <c r="B2591" s="11" t="s">
        <v>83</v>
      </c>
      <c r="C2591" s="1" t="s">
        <v>3415</v>
      </c>
      <c r="D2591" s="1" t="s">
        <v>3416</v>
      </c>
      <c r="E2591" s="1" t="s">
        <v>19</v>
      </c>
    </row>
    <row r="2592" spans="1:5" x14ac:dyDescent="0.25">
      <c r="A2592" s="13">
        <v>1019086960</v>
      </c>
      <c r="B2592" s="11" t="s">
        <v>83</v>
      </c>
      <c r="C2592" s="1" t="s">
        <v>2702</v>
      </c>
      <c r="D2592" s="1" t="s">
        <v>47</v>
      </c>
      <c r="E2592" s="1" t="s">
        <v>1697</v>
      </c>
    </row>
    <row r="2593" spans="1:5" x14ac:dyDescent="0.25">
      <c r="A2593" s="13">
        <v>1019088352</v>
      </c>
      <c r="B2593" s="11" t="s">
        <v>84</v>
      </c>
      <c r="C2593" s="1" t="s">
        <v>3417</v>
      </c>
      <c r="D2593" s="1" t="s">
        <v>43</v>
      </c>
      <c r="E2593" s="1" t="s">
        <v>3</v>
      </c>
    </row>
    <row r="2594" spans="1:5" x14ac:dyDescent="0.25">
      <c r="A2594" s="13">
        <v>1019088604</v>
      </c>
      <c r="B2594" s="11" t="s">
        <v>84</v>
      </c>
      <c r="C2594" s="1" t="s">
        <v>2701</v>
      </c>
      <c r="D2594" s="1" t="s">
        <v>1222</v>
      </c>
      <c r="E2594" s="1" t="s">
        <v>272</v>
      </c>
    </row>
    <row r="2595" spans="1:5" x14ac:dyDescent="0.25">
      <c r="A2595" s="13">
        <v>1019100271</v>
      </c>
      <c r="B2595" s="11" t="s">
        <v>84</v>
      </c>
      <c r="C2595" s="1" t="s">
        <v>3418</v>
      </c>
      <c r="D2595" s="1" t="s">
        <v>3362</v>
      </c>
      <c r="E2595" s="1" t="s">
        <v>3071</v>
      </c>
    </row>
    <row r="2596" spans="1:5" x14ac:dyDescent="0.25">
      <c r="A2596" s="13">
        <v>1019101639</v>
      </c>
      <c r="B2596" s="11" t="s">
        <v>116</v>
      </c>
      <c r="C2596" s="1" t="s">
        <v>2700</v>
      </c>
      <c r="D2596" s="1" t="s">
        <v>117</v>
      </c>
      <c r="E2596" s="1" t="s">
        <v>6</v>
      </c>
    </row>
    <row r="2597" spans="1:5" x14ac:dyDescent="0.25">
      <c r="A2597" s="13">
        <v>1019102131</v>
      </c>
      <c r="B2597" s="11" t="s">
        <v>83</v>
      </c>
      <c r="C2597" s="1" t="s">
        <v>2698</v>
      </c>
      <c r="D2597" s="1" t="s">
        <v>2699</v>
      </c>
      <c r="E2597" s="1" t="s">
        <v>24</v>
      </c>
    </row>
    <row r="2598" spans="1:5" x14ac:dyDescent="0.25">
      <c r="A2598" s="13">
        <v>1019102692</v>
      </c>
      <c r="B2598" s="11" t="s">
        <v>84</v>
      </c>
      <c r="C2598" s="1" t="s">
        <v>3419</v>
      </c>
      <c r="D2598" s="1" t="s">
        <v>38</v>
      </c>
      <c r="E2598" s="1" t="s">
        <v>328</v>
      </c>
    </row>
    <row r="2599" spans="1:5" x14ac:dyDescent="0.25">
      <c r="A2599" s="13">
        <v>1019104960</v>
      </c>
      <c r="B2599" s="11" t="s">
        <v>83</v>
      </c>
      <c r="C2599" s="1" t="s">
        <v>2697</v>
      </c>
      <c r="D2599" s="1" t="s">
        <v>47</v>
      </c>
      <c r="E2599" s="1" t="s">
        <v>16</v>
      </c>
    </row>
    <row r="2600" spans="1:5" x14ac:dyDescent="0.25">
      <c r="A2600" s="13">
        <v>1019105003</v>
      </c>
      <c r="B2600" s="11" t="s">
        <v>83</v>
      </c>
      <c r="C2600" s="1" t="s">
        <v>3614</v>
      </c>
      <c r="D2600" s="1" t="s">
        <v>48</v>
      </c>
      <c r="E2600" s="1" t="s">
        <v>196</v>
      </c>
    </row>
    <row r="2601" spans="1:5" x14ac:dyDescent="0.25">
      <c r="A2601" s="13">
        <v>1019107852</v>
      </c>
      <c r="B2601" s="11" t="s">
        <v>84</v>
      </c>
      <c r="C2601" s="1" t="s">
        <v>2696</v>
      </c>
      <c r="D2601" s="1" t="s">
        <v>3161</v>
      </c>
      <c r="E2601" s="1" t="s">
        <v>1</v>
      </c>
    </row>
    <row r="2602" spans="1:5" x14ac:dyDescent="0.25">
      <c r="A2602" s="13">
        <v>1019109819</v>
      </c>
      <c r="B2602" s="11" t="s">
        <v>83</v>
      </c>
      <c r="C2602" s="1" t="s">
        <v>2695</v>
      </c>
      <c r="D2602" s="1" t="s">
        <v>34</v>
      </c>
      <c r="E2602" s="1" t="s">
        <v>21</v>
      </c>
    </row>
    <row r="2603" spans="1:5" x14ac:dyDescent="0.25">
      <c r="A2603" s="13">
        <v>1019112366</v>
      </c>
      <c r="B2603" s="11" t="s">
        <v>84</v>
      </c>
      <c r="C2603" s="1" t="s">
        <v>2694</v>
      </c>
      <c r="D2603" s="1" t="s">
        <v>43</v>
      </c>
      <c r="E2603" s="1" t="s">
        <v>10</v>
      </c>
    </row>
    <row r="2604" spans="1:5" x14ac:dyDescent="0.25">
      <c r="A2604" s="13">
        <v>1019116766</v>
      </c>
      <c r="B2604" s="11" t="s">
        <v>84</v>
      </c>
      <c r="C2604" s="1" t="s">
        <v>3420</v>
      </c>
      <c r="D2604" s="1" t="s">
        <v>43</v>
      </c>
      <c r="E2604" s="1" t="s">
        <v>15</v>
      </c>
    </row>
    <row r="2605" spans="1:5" x14ac:dyDescent="0.25">
      <c r="A2605" s="13">
        <v>1019120843</v>
      </c>
      <c r="B2605" s="11" t="s">
        <v>83</v>
      </c>
      <c r="C2605" s="1" t="s">
        <v>2693</v>
      </c>
      <c r="D2605" s="1" t="s">
        <v>47</v>
      </c>
      <c r="E2605" s="1" t="s">
        <v>19</v>
      </c>
    </row>
    <row r="2606" spans="1:5" x14ac:dyDescent="0.25">
      <c r="A2606" s="13">
        <v>1019122540</v>
      </c>
      <c r="B2606" s="11" t="s">
        <v>116</v>
      </c>
      <c r="C2606" s="1" t="s">
        <v>3615</v>
      </c>
      <c r="D2606" s="1" t="s">
        <v>117</v>
      </c>
      <c r="E2606" s="1" t="s">
        <v>3190</v>
      </c>
    </row>
    <row r="2607" spans="1:5" x14ac:dyDescent="0.25">
      <c r="A2607" s="13">
        <v>1019125710</v>
      </c>
      <c r="B2607" s="11" t="s">
        <v>84</v>
      </c>
      <c r="C2607" s="1" t="s">
        <v>3704</v>
      </c>
      <c r="D2607" s="1" t="s">
        <v>3282</v>
      </c>
      <c r="E2607" s="1" t="s">
        <v>3572</v>
      </c>
    </row>
    <row r="2608" spans="1:5" x14ac:dyDescent="0.25">
      <c r="A2608" s="13">
        <v>1019125716</v>
      </c>
      <c r="B2608" s="11" t="s">
        <v>84</v>
      </c>
      <c r="C2608" s="1" t="s">
        <v>3421</v>
      </c>
      <c r="D2608" s="1" t="s">
        <v>38</v>
      </c>
      <c r="E2608" s="1" t="s">
        <v>12</v>
      </c>
    </row>
    <row r="2609" spans="1:5" x14ac:dyDescent="0.25">
      <c r="A2609" s="13">
        <v>1019126693</v>
      </c>
      <c r="B2609" s="11" t="s">
        <v>83</v>
      </c>
      <c r="C2609" s="1" t="s">
        <v>2692</v>
      </c>
      <c r="D2609" s="1" t="s">
        <v>45</v>
      </c>
      <c r="E2609" s="1" t="s">
        <v>18</v>
      </c>
    </row>
    <row r="2610" spans="1:5" x14ac:dyDescent="0.25">
      <c r="A2610" s="13">
        <v>1019127904</v>
      </c>
      <c r="B2610" s="11" t="s">
        <v>83</v>
      </c>
      <c r="C2610" s="1" t="s">
        <v>3056</v>
      </c>
      <c r="D2610" s="1" t="s">
        <v>48</v>
      </c>
      <c r="E2610" s="1" t="s">
        <v>19</v>
      </c>
    </row>
    <row r="2611" spans="1:5" x14ac:dyDescent="0.25">
      <c r="A2611" s="13">
        <v>1019131110</v>
      </c>
      <c r="B2611" s="11" t="s">
        <v>83</v>
      </c>
      <c r="C2611" s="1" t="s">
        <v>2691</v>
      </c>
      <c r="D2611" s="1" t="s">
        <v>2939</v>
      </c>
      <c r="E2611" s="1" t="s">
        <v>19</v>
      </c>
    </row>
    <row r="2612" spans="1:5" x14ac:dyDescent="0.25">
      <c r="A2612" s="13">
        <v>1019133613</v>
      </c>
      <c r="B2612" s="11" t="s">
        <v>84</v>
      </c>
      <c r="C2612" s="1" t="s">
        <v>3422</v>
      </c>
      <c r="D2612" s="1" t="s">
        <v>79</v>
      </c>
      <c r="E2612" s="1" t="s">
        <v>1</v>
      </c>
    </row>
    <row r="2613" spans="1:5" x14ac:dyDescent="0.25">
      <c r="A2613" s="13">
        <v>1019134273</v>
      </c>
      <c r="B2613" s="11" t="s">
        <v>83</v>
      </c>
      <c r="C2613" s="1" t="s">
        <v>2690</v>
      </c>
      <c r="D2613" s="1" t="s">
        <v>44</v>
      </c>
      <c r="E2613" s="1" t="s">
        <v>16</v>
      </c>
    </row>
    <row r="2614" spans="1:5" x14ac:dyDescent="0.25">
      <c r="A2614" s="13">
        <v>1019140476</v>
      </c>
      <c r="B2614" s="11" t="s">
        <v>84</v>
      </c>
      <c r="C2614" s="1" t="s">
        <v>3616</v>
      </c>
      <c r="D2614" s="1" t="s">
        <v>36</v>
      </c>
      <c r="E2614" s="1" t="s">
        <v>3595</v>
      </c>
    </row>
    <row r="2615" spans="1:5" x14ac:dyDescent="0.25">
      <c r="A2615" s="13">
        <v>1019151734</v>
      </c>
      <c r="B2615" s="11" t="s">
        <v>84</v>
      </c>
      <c r="C2615" s="1" t="s">
        <v>2688</v>
      </c>
      <c r="D2615" s="1" t="s">
        <v>2689</v>
      </c>
      <c r="E2615" s="1" t="s">
        <v>1</v>
      </c>
    </row>
    <row r="2616" spans="1:5" x14ac:dyDescent="0.25">
      <c r="A2616" s="13">
        <v>1019603886</v>
      </c>
      <c r="B2616" s="11" t="s">
        <v>84</v>
      </c>
      <c r="C2616" s="1" t="s">
        <v>3690</v>
      </c>
      <c r="D2616" s="1" t="s">
        <v>3344</v>
      </c>
      <c r="E2616" s="1" t="s">
        <v>22</v>
      </c>
    </row>
    <row r="2617" spans="1:5" x14ac:dyDescent="0.25">
      <c r="A2617" s="13">
        <v>1019982836</v>
      </c>
      <c r="B2617" s="11" t="s">
        <v>83</v>
      </c>
      <c r="C2617" s="1" t="s">
        <v>3423</v>
      </c>
      <c r="D2617" s="1" t="s">
        <v>48</v>
      </c>
      <c r="E2617" s="1" t="s">
        <v>19</v>
      </c>
    </row>
    <row r="2618" spans="1:5" x14ac:dyDescent="0.25">
      <c r="A2618" s="13">
        <v>1020460496</v>
      </c>
      <c r="B2618" s="11" t="s">
        <v>83</v>
      </c>
      <c r="C2618" s="1" t="s">
        <v>2687</v>
      </c>
      <c r="D2618" s="1" t="s">
        <v>48</v>
      </c>
      <c r="E2618" s="1" t="s">
        <v>19</v>
      </c>
    </row>
    <row r="2619" spans="1:5" x14ac:dyDescent="0.25">
      <c r="A2619" s="13">
        <v>1020715432</v>
      </c>
      <c r="B2619" s="11" t="s">
        <v>83</v>
      </c>
      <c r="C2619" s="1" t="s">
        <v>2686</v>
      </c>
      <c r="D2619" s="1" t="s">
        <v>54</v>
      </c>
      <c r="E2619" s="1" t="s">
        <v>16</v>
      </c>
    </row>
    <row r="2620" spans="1:5" x14ac:dyDescent="0.25">
      <c r="A2620" s="13">
        <v>1020715609</v>
      </c>
      <c r="B2620" s="11" t="s">
        <v>83</v>
      </c>
      <c r="C2620" s="1" t="s">
        <v>2685</v>
      </c>
      <c r="D2620" s="1" t="s">
        <v>36</v>
      </c>
      <c r="E2620" s="1" t="s">
        <v>21</v>
      </c>
    </row>
    <row r="2621" spans="1:5" x14ac:dyDescent="0.25">
      <c r="A2621" s="13">
        <v>1020716152</v>
      </c>
      <c r="B2621" s="11" t="s">
        <v>84</v>
      </c>
      <c r="C2621" s="1" t="s">
        <v>2684</v>
      </c>
      <c r="D2621" s="1" t="s">
        <v>43</v>
      </c>
      <c r="E2621" s="1" t="s">
        <v>5</v>
      </c>
    </row>
    <row r="2622" spans="1:5" x14ac:dyDescent="0.25">
      <c r="A2622" s="13">
        <v>1020716693</v>
      </c>
      <c r="B2622" s="11" t="s">
        <v>84</v>
      </c>
      <c r="C2622" s="1" t="s">
        <v>2683</v>
      </c>
      <c r="D2622" s="1" t="s">
        <v>38</v>
      </c>
      <c r="E2622" s="1" t="s">
        <v>170</v>
      </c>
    </row>
    <row r="2623" spans="1:5" x14ac:dyDescent="0.25">
      <c r="A2623" s="13">
        <v>1020719313</v>
      </c>
      <c r="B2623" s="11" t="s">
        <v>116</v>
      </c>
      <c r="C2623" s="1" t="s">
        <v>2682</v>
      </c>
      <c r="D2623" s="1" t="s">
        <v>117</v>
      </c>
      <c r="E2623" s="1" t="s">
        <v>8</v>
      </c>
    </row>
    <row r="2624" spans="1:5" x14ac:dyDescent="0.25">
      <c r="A2624" s="13">
        <v>1020731995</v>
      </c>
      <c r="B2624" s="11" t="s">
        <v>83</v>
      </c>
      <c r="C2624" s="1" t="s">
        <v>3617</v>
      </c>
      <c r="D2624" s="1" t="s">
        <v>3167</v>
      </c>
      <c r="E2624" s="1" t="s">
        <v>1</v>
      </c>
    </row>
    <row r="2625" spans="1:5" x14ac:dyDescent="0.25">
      <c r="A2625" s="13">
        <v>1020736386</v>
      </c>
      <c r="B2625" s="11" t="s">
        <v>84</v>
      </c>
      <c r="C2625" s="1" t="s">
        <v>2680</v>
      </c>
      <c r="D2625" s="1" t="s">
        <v>2681</v>
      </c>
      <c r="E2625" s="1" t="s">
        <v>1</v>
      </c>
    </row>
    <row r="2626" spans="1:5" x14ac:dyDescent="0.25">
      <c r="A2626" s="13">
        <v>1020736729</v>
      </c>
      <c r="B2626" s="11" t="s">
        <v>83</v>
      </c>
      <c r="C2626" s="1" t="s">
        <v>2679</v>
      </c>
      <c r="D2626" s="1" t="s">
        <v>47</v>
      </c>
      <c r="E2626" s="1" t="s">
        <v>19</v>
      </c>
    </row>
    <row r="2627" spans="1:5" x14ac:dyDescent="0.25">
      <c r="A2627" s="13">
        <v>1020738112</v>
      </c>
      <c r="B2627" s="11" t="s">
        <v>83</v>
      </c>
      <c r="C2627" s="1" t="s">
        <v>2678</v>
      </c>
      <c r="D2627" s="1" t="s">
        <v>47</v>
      </c>
      <c r="E2627" s="1" t="s">
        <v>142</v>
      </c>
    </row>
    <row r="2628" spans="1:5" x14ac:dyDescent="0.25">
      <c r="A2628" s="13">
        <v>1020742136</v>
      </c>
      <c r="B2628" s="11" t="s">
        <v>83</v>
      </c>
      <c r="C2628" s="1" t="s">
        <v>2677</v>
      </c>
      <c r="D2628" s="1" t="s">
        <v>48</v>
      </c>
      <c r="E2628" s="1" t="s">
        <v>19</v>
      </c>
    </row>
    <row r="2629" spans="1:5" x14ac:dyDescent="0.25">
      <c r="A2629" s="13">
        <v>1020747814</v>
      </c>
      <c r="B2629" s="11" t="s">
        <v>83</v>
      </c>
      <c r="C2629" s="1" t="s">
        <v>2676</v>
      </c>
      <c r="D2629" s="1" t="s">
        <v>41</v>
      </c>
      <c r="E2629" s="1" t="s">
        <v>21</v>
      </c>
    </row>
    <row r="2630" spans="1:5" x14ac:dyDescent="0.25">
      <c r="A2630" s="13">
        <v>1020755625</v>
      </c>
      <c r="B2630" s="11" t="s">
        <v>84</v>
      </c>
      <c r="C2630" s="1" t="s">
        <v>2675</v>
      </c>
      <c r="D2630" s="1" t="s">
        <v>792</v>
      </c>
      <c r="E2630" s="1" t="s">
        <v>9</v>
      </c>
    </row>
    <row r="2631" spans="1:5" x14ac:dyDescent="0.25">
      <c r="A2631" s="13">
        <v>1020771397</v>
      </c>
      <c r="B2631" s="11" t="s">
        <v>116</v>
      </c>
      <c r="C2631" s="1" t="s">
        <v>2674</v>
      </c>
      <c r="D2631" s="1" t="s">
        <v>117</v>
      </c>
      <c r="E2631" s="1" t="s">
        <v>8</v>
      </c>
    </row>
    <row r="2632" spans="1:5" x14ac:dyDescent="0.25">
      <c r="A2632" s="13">
        <v>1020771747</v>
      </c>
      <c r="B2632" s="11" t="s">
        <v>84</v>
      </c>
      <c r="C2632" s="1" t="s">
        <v>2673</v>
      </c>
      <c r="D2632" s="1" t="s">
        <v>38</v>
      </c>
      <c r="E2632" s="1" t="s">
        <v>2389</v>
      </c>
    </row>
    <row r="2633" spans="1:5" x14ac:dyDescent="0.25">
      <c r="A2633" s="13">
        <v>1020779580</v>
      </c>
      <c r="B2633" s="11" t="s">
        <v>116</v>
      </c>
      <c r="C2633" s="1" t="s">
        <v>2672</v>
      </c>
      <c r="D2633" s="1" t="s">
        <v>117</v>
      </c>
      <c r="E2633" s="1" t="s">
        <v>14</v>
      </c>
    </row>
    <row r="2634" spans="1:5" x14ac:dyDescent="0.25">
      <c r="A2634" s="13">
        <v>1020785234</v>
      </c>
      <c r="B2634" s="11" t="s">
        <v>83</v>
      </c>
      <c r="C2634" s="1" t="s">
        <v>2671</v>
      </c>
      <c r="D2634" s="1" t="s">
        <v>48</v>
      </c>
      <c r="E2634" s="1" t="s">
        <v>19</v>
      </c>
    </row>
    <row r="2635" spans="1:5" x14ac:dyDescent="0.25">
      <c r="A2635" s="13">
        <v>1020795122</v>
      </c>
      <c r="B2635" s="11" t="s">
        <v>116</v>
      </c>
      <c r="C2635" s="1" t="s">
        <v>3618</v>
      </c>
      <c r="D2635" s="1" t="s">
        <v>117</v>
      </c>
      <c r="E2635" s="1" t="s">
        <v>3190</v>
      </c>
    </row>
    <row r="2636" spans="1:5" x14ac:dyDescent="0.25">
      <c r="A2636" s="13">
        <v>1020797639</v>
      </c>
      <c r="B2636" s="11" t="s">
        <v>84</v>
      </c>
      <c r="C2636" s="1" t="s">
        <v>2670</v>
      </c>
      <c r="D2636" s="1" t="s">
        <v>2310</v>
      </c>
      <c r="E2636" s="1" t="s">
        <v>22</v>
      </c>
    </row>
    <row r="2637" spans="1:5" x14ac:dyDescent="0.25">
      <c r="A2637" s="13">
        <v>1020809286</v>
      </c>
      <c r="B2637" s="11" t="s">
        <v>116</v>
      </c>
      <c r="C2637" s="1" t="s">
        <v>3424</v>
      </c>
      <c r="D2637" s="1" t="s">
        <v>117</v>
      </c>
      <c r="E2637" s="1" t="s">
        <v>3192</v>
      </c>
    </row>
    <row r="2638" spans="1:5" x14ac:dyDescent="0.25">
      <c r="A2638" s="13">
        <v>1020810756</v>
      </c>
      <c r="B2638" s="11" t="s">
        <v>84</v>
      </c>
      <c r="C2638" s="1" t="s">
        <v>2669</v>
      </c>
      <c r="D2638" s="1" t="s">
        <v>52</v>
      </c>
      <c r="E2638" s="1" t="s">
        <v>22</v>
      </c>
    </row>
    <row r="2639" spans="1:5" x14ac:dyDescent="0.25">
      <c r="A2639" s="13">
        <v>1020811135</v>
      </c>
      <c r="B2639" s="11" t="s">
        <v>83</v>
      </c>
      <c r="C2639" s="1" t="s">
        <v>2668</v>
      </c>
      <c r="D2639" s="1" t="s">
        <v>48</v>
      </c>
      <c r="E2639" s="1" t="s">
        <v>668</v>
      </c>
    </row>
    <row r="2640" spans="1:5" x14ac:dyDescent="0.25">
      <c r="A2640" s="13">
        <v>1020811687</v>
      </c>
      <c r="B2640" s="11" t="s">
        <v>83</v>
      </c>
      <c r="C2640" s="1" t="s">
        <v>2667</v>
      </c>
      <c r="D2640" s="1" t="s">
        <v>47</v>
      </c>
      <c r="E2640" s="1" t="s">
        <v>29</v>
      </c>
    </row>
    <row r="2641" spans="1:5" x14ac:dyDescent="0.25">
      <c r="A2641" s="13">
        <v>1020826799</v>
      </c>
      <c r="B2641" s="11" t="s">
        <v>84</v>
      </c>
      <c r="C2641" s="1" t="s">
        <v>3425</v>
      </c>
      <c r="D2641" s="1" t="s">
        <v>36</v>
      </c>
      <c r="E2641" s="1" t="s">
        <v>24</v>
      </c>
    </row>
    <row r="2642" spans="1:5" x14ac:dyDescent="0.25">
      <c r="A2642" s="13">
        <v>1020837994</v>
      </c>
      <c r="B2642" s="11" t="s">
        <v>84</v>
      </c>
      <c r="C2642" s="1" t="s">
        <v>2666</v>
      </c>
      <c r="D2642" s="1" t="s">
        <v>36</v>
      </c>
      <c r="E2642" s="1" t="s">
        <v>17</v>
      </c>
    </row>
    <row r="2643" spans="1:5" x14ac:dyDescent="0.25">
      <c r="A2643" s="13">
        <v>1021398221</v>
      </c>
      <c r="B2643" s="11" t="s">
        <v>84</v>
      </c>
      <c r="C2643" s="1" t="s">
        <v>3619</v>
      </c>
      <c r="D2643" s="1" t="s">
        <v>36</v>
      </c>
      <c r="E2643" s="1" t="s">
        <v>26</v>
      </c>
    </row>
    <row r="2644" spans="1:5" x14ac:dyDescent="0.25">
      <c r="A2644" s="13">
        <v>1021662145</v>
      </c>
      <c r="B2644" s="11" t="s">
        <v>83</v>
      </c>
      <c r="C2644" s="1" t="s">
        <v>3426</v>
      </c>
      <c r="D2644" s="1" t="s">
        <v>79</v>
      </c>
      <c r="E2644" s="1" t="s">
        <v>30</v>
      </c>
    </row>
    <row r="2645" spans="1:5" x14ac:dyDescent="0.25">
      <c r="A2645" s="13">
        <v>1021677432</v>
      </c>
      <c r="B2645" s="11" t="s">
        <v>83</v>
      </c>
      <c r="C2645" s="1" t="s">
        <v>3427</v>
      </c>
      <c r="D2645" s="1" t="s">
        <v>79</v>
      </c>
      <c r="E2645" s="1" t="s">
        <v>20</v>
      </c>
    </row>
    <row r="2646" spans="1:5" x14ac:dyDescent="0.25">
      <c r="A2646" s="13">
        <v>1022323121</v>
      </c>
      <c r="B2646" s="11" t="s">
        <v>116</v>
      </c>
      <c r="C2646" s="1" t="s">
        <v>2663</v>
      </c>
      <c r="D2646" s="1" t="s">
        <v>117</v>
      </c>
      <c r="E2646" s="1" t="s">
        <v>232</v>
      </c>
    </row>
    <row r="2647" spans="1:5" x14ac:dyDescent="0.25">
      <c r="A2647" s="13">
        <v>1022325287</v>
      </c>
      <c r="B2647" s="11" t="s">
        <v>83</v>
      </c>
      <c r="C2647" s="1" t="s">
        <v>2662</v>
      </c>
      <c r="D2647" s="1" t="s">
        <v>141</v>
      </c>
      <c r="E2647" s="1" t="s">
        <v>16</v>
      </c>
    </row>
    <row r="2648" spans="1:5" x14ac:dyDescent="0.25">
      <c r="A2648" s="13">
        <v>1022326157</v>
      </c>
      <c r="B2648" s="11" t="s">
        <v>116</v>
      </c>
      <c r="C2648" s="1" t="s">
        <v>2661</v>
      </c>
      <c r="D2648" s="1" t="s">
        <v>117</v>
      </c>
      <c r="E2648" s="1" t="s">
        <v>453</v>
      </c>
    </row>
    <row r="2649" spans="1:5" x14ac:dyDescent="0.25">
      <c r="A2649" s="13">
        <v>1022334792</v>
      </c>
      <c r="B2649" s="11" t="s">
        <v>84</v>
      </c>
      <c r="C2649" s="1" t="s">
        <v>3017</v>
      </c>
      <c r="D2649" s="1" t="s">
        <v>36</v>
      </c>
      <c r="E2649" s="1" t="s">
        <v>17</v>
      </c>
    </row>
    <row r="2650" spans="1:5" x14ac:dyDescent="0.25">
      <c r="A2650" s="13">
        <v>1022335273</v>
      </c>
      <c r="B2650" s="11" t="s">
        <v>83</v>
      </c>
      <c r="C2650" s="1" t="s">
        <v>2660</v>
      </c>
      <c r="D2650" s="1" t="s">
        <v>53</v>
      </c>
      <c r="E2650" s="1" t="s">
        <v>4</v>
      </c>
    </row>
    <row r="2651" spans="1:5" x14ac:dyDescent="0.25">
      <c r="A2651" s="13">
        <v>1022340651</v>
      </c>
      <c r="B2651" s="11" t="s">
        <v>116</v>
      </c>
      <c r="C2651" s="1" t="s">
        <v>2659</v>
      </c>
      <c r="D2651" s="1" t="s">
        <v>117</v>
      </c>
      <c r="E2651" s="1" t="s">
        <v>263</v>
      </c>
    </row>
    <row r="2652" spans="1:5" x14ac:dyDescent="0.25">
      <c r="A2652" s="13">
        <v>1022341651</v>
      </c>
      <c r="B2652" s="11" t="s">
        <v>83</v>
      </c>
      <c r="C2652" s="1" t="s">
        <v>2658</v>
      </c>
      <c r="D2652" s="1" t="s">
        <v>47</v>
      </c>
      <c r="E2652" s="1" t="s">
        <v>29</v>
      </c>
    </row>
    <row r="2653" spans="1:5" x14ac:dyDescent="0.25">
      <c r="A2653" s="13">
        <v>1022341955</v>
      </c>
      <c r="B2653" s="11" t="s">
        <v>84</v>
      </c>
      <c r="C2653" s="1" t="s">
        <v>2657</v>
      </c>
      <c r="D2653" s="1" t="s">
        <v>43</v>
      </c>
      <c r="E2653" s="1" t="s">
        <v>168</v>
      </c>
    </row>
    <row r="2654" spans="1:5" x14ac:dyDescent="0.25">
      <c r="A2654" s="13">
        <v>1022342374</v>
      </c>
      <c r="B2654" s="11" t="s">
        <v>83</v>
      </c>
      <c r="C2654" s="1" t="s">
        <v>2656</v>
      </c>
      <c r="D2654" s="1" t="s">
        <v>401</v>
      </c>
      <c r="E2654" s="1" t="s">
        <v>19</v>
      </c>
    </row>
    <row r="2655" spans="1:5" x14ac:dyDescent="0.25">
      <c r="A2655" s="13">
        <v>1022343083</v>
      </c>
      <c r="B2655" s="11" t="s">
        <v>83</v>
      </c>
      <c r="C2655" s="1" t="s">
        <v>2655</v>
      </c>
      <c r="D2655" s="1" t="s">
        <v>47</v>
      </c>
      <c r="E2655" s="1" t="s">
        <v>196</v>
      </c>
    </row>
    <row r="2656" spans="1:5" x14ac:dyDescent="0.25">
      <c r="A2656" s="13">
        <v>1022343653</v>
      </c>
      <c r="B2656" s="11" t="s">
        <v>84</v>
      </c>
      <c r="C2656" s="1" t="s">
        <v>3428</v>
      </c>
      <c r="D2656" s="1" t="s">
        <v>43</v>
      </c>
      <c r="E2656" s="1" t="s">
        <v>3238</v>
      </c>
    </row>
    <row r="2657" spans="1:5" x14ac:dyDescent="0.25">
      <c r="A2657" s="13">
        <v>1022346044</v>
      </c>
      <c r="B2657" s="11" t="s">
        <v>84</v>
      </c>
      <c r="C2657" s="1" t="s">
        <v>2654</v>
      </c>
      <c r="D2657" s="1" t="s">
        <v>38</v>
      </c>
      <c r="E2657" s="1" t="s">
        <v>13</v>
      </c>
    </row>
    <row r="2658" spans="1:5" x14ac:dyDescent="0.25">
      <c r="A2658" s="13">
        <v>1022348004</v>
      </c>
      <c r="B2658" s="11" t="s">
        <v>84</v>
      </c>
      <c r="C2658" s="1" t="s">
        <v>2653</v>
      </c>
      <c r="D2658" s="1" t="s">
        <v>43</v>
      </c>
      <c r="E2658" s="1" t="s">
        <v>5</v>
      </c>
    </row>
    <row r="2659" spans="1:5" x14ac:dyDescent="0.25">
      <c r="A2659" s="13">
        <v>1022354180</v>
      </c>
      <c r="B2659" s="11" t="s">
        <v>84</v>
      </c>
      <c r="C2659" s="1" t="s">
        <v>2652</v>
      </c>
      <c r="D2659" s="1" t="s">
        <v>38</v>
      </c>
      <c r="E2659" s="1" t="s">
        <v>3120</v>
      </c>
    </row>
    <row r="2660" spans="1:5" x14ac:dyDescent="0.25">
      <c r="A2660" s="13">
        <v>1022357857</v>
      </c>
      <c r="B2660" s="11" t="s">
        <v>83</v>
      </c>
      <c r="C2660" s="1" t="s">
        <v>2651</v>
      </c>
      <c r="D2660" s="1" t="s">
        <v>49</v>
      </c>
      <c r="E2660" s="1" t="s">
        <v>18</v>
      </c>
    </row>
    <row r="2661" spans="1:5" x14ac:dyDescent="0.25">
      <c r="A2661" s="13">
        <v>1022365115</v>
      </c>
      <c r="B2661" s="11" t="s">
        <v>83</v>
      </c>
      <c r="C2661" s="1" t="s">
        <v>2650</v>
      </c>
      <c r="D2661" s="1" t="s">
        <v>59</v>
      </c>
      <c r="E2661" s="1" t="s">
        <v>19</v>
      </c>
    </row>
    <row r="2662" spans="1:5" x14ac:dyDescent="0.25">
      <c r="A2662" s="13">
        <v>1022366138</v>
      </c>
      <c r="B2662" s="11" t="s">
        <v>116</v>
      </c>
      <c r="C2662" s="1" t="s">
        <v>3429</v>
      </c>
      <c r="D2662" s="1" t="s">
        <v>117</v>
      </c>
      <c r="E2662" s="1" t="s">
        <v>12</v>
      </c>
    </row>
    <row r="2663" spans="1:5" x14ac:dyDescent="0.25">
      <c r="A2663" s="13">
        <v>1022366273</v>
      </c>
      <c r="B2663" s="11" t="s">
        <v>84</v>
      </c>
      <c r="C2663" s="1" t="s">
        <v>2649</v>
      </c>
      <c r="D2663" s="1" t="s">
        <v>62</v>
      </c>
      <c r="E2663" s="1" t="s">
        <v>17</v>
      </c>
    </row>
    <row r="2664" spans="1:5" x14ac:dyDescent="0.25">
      <c r="A2664" s="13">
        <v>1022366994</v>
      </c>
      <c r="B2664" s="11" t="s">
        <v>84</v>
      </c>
      <c r="C2664" s="1" t="s">
        <v>3035</v>
      </c>
      <c r="D2664" s="1" t="s">
        <v>38</v>
      </c>
      <c r="E2664" s="1" t="s">
        <v>14</v>
      </c>
    </row>
    <row r="2665" spans="1:5" x14ac:dyDescent="0.25">
      <c r="A2665" s="13">
        <v>1022367152</v>
      </c>
      <c r="B2665" s="11" t="s">
        <v>116</v>
      </c>
      <c r="C2665" s="1" t="s">
        <v>2648</v>
      </c>
      <c r="D2665" s="1" t="s">
        <v>117</v>
      </c>
      <c r="E2665" s="1" t="s">
        <v>263</v>
      </c>
    </row>
    <row r="2666" spans="1:5" x14ac:dyDescent="0.25">
      <c r="A2666" s="13">
        <v>1022367202</v>
      </c>
      <c r="B2666" s="11" t="s">
        <v>83</v>
      </c>
      <c r="C2666" s="1" t="s">
        <v>2647</v>
      </c>
      <c r="D2666" s="1" t="s">
        <v>47</v>
      </c>
      <c r="E2666" s="1" t="s">
        <v>16</v>
      </c>
    </row>
    <row r="2667" spans="1:5" x14ac:dyDescent="0.25">
      <c r="A2667" s="13">
        <v>1022368196</v>
      </c>
      <c r="B2667" s="11" t="s">
        <v>84</v>
      </c>
      <c r="C2667" s="1" t="s">
        <v>2646</v>
      </c>
      <c r="D2667" s="1" t="s">
        <v>38</v>
      </c>
      <c r="E2667" s="1" t="s">
        <v>12</v>
      </c>
    </row>
    <row r="2668" spans="1:5" x14ac:dyDescent="0.25">
      <c r="A2668" s="13">
        <v>1022371269</v>
      </c>
      <c r="B2668" s="11" t="s">
        <v>84</v>
      </c>
      <c r="C2668" s="1" t="s">
        <v>3430</v>
      </c>
      <c r="D2668" s="1" t="s">
        <v>38</v>
      </c>
      <c r="E2668" s="1" t="s">
        <v>7</v>
      </c>
    </row>
    <row r="2669" spans="1:5" x14ac:dyDescent="0.25">
      <c r="A2669" s="13">
        <v>1022371554</v>
      </c>
      <c r="B2669" s="11" t="s">
        <v>83</v>
      </c>
      <c r="C2669" s="1" t="s">
        <v>2645</v>
      </c>
      <c r="D2669" s="1" t="s">
        <v>47</v>
      </c>
      <c r="E2669" s="1" t="s">
        <v>16</v>
      </c>
    </row>
    <row r="2670" spans="1:5" x14ac:dyDescent="0.25">
      <c r="A2670" s="13">
        <v>1022374925</v>
      </c>
      <c r="B2670" s="11" t="s">
        <v>83</v>
      </c>
      <c r="C2670" s="1" t="s">
        <v>3431</v>
      </c>
      <c r="D2670" s="1" t="s">
        <v>3161</v>
      </c>
      <c r="E2670" s="1" t="s">
        <v>196</v>
      </c>
    </row>
    <row r="2671" spans="1:5" x14ac:dyDescent="0.25">
      <c r="A2671" s="13">
        <v>1022378300</v>
      </c>
      <c r="B2671" s="11" t="s">
        <v>84</v>
      </c>
      <c r="C2671" s="1" t="s">
        <v>3432</v>
      </c>
      <c r="D2671" s="1" t="s">
        <v>3142</v>
      </c>
      <c r="E2671" s="1" t="s">
        <v>3595</v>
      </c>
    </row>
    <row r="2672" spans="1:5" x14ac:dyDescent="0.25">
      <c r="A2672" s="13">
        <v>1022378439</v>
      </c>
      <c r="B2672" s="11" t="s">
        <v>109</v>
      </c>
      <c r="C2672" s="1" t="s">
        <v>2644</v>
      </c>
      <c r="D2672" s="1" t="s">
        <v>366</v>
      </c>
      <c r="E2672" s="1" t="s">
        <v>31</v>
      </c>
    </row>
    <row r="2673" spans="1:5" x14ac:dyDescent="0.25">
      <c r="A2673" s="13">
        <v>1022378738</v>
      </c>
      <c r="B2673" s="11" t="s">
        <v>83</v>
      </c>
      <c r="C2673" s="1" t="s">
        <v>2643</v>
      </c>
      <c r="D2673" s="1" t="s">
        <v>47</v>
      </c>
      <c r="E2673" s="1" t="s">
        <v>16</v>
      </c>
    </row>
    <row r="2674" spans="1:5" x14ac:dyDescent="0.25">
      <c r="A2674" s="13">
        <v>1022379126</v>
      </c>
      <c r="B2674" s="11" t="s">
        <v>84</v>
      </c>
      <c r="C2674" s="1" t="s">
        <v>2642</v>
      </c>
      <c r="D2674" s="1" t="s">
        <v>381</v>
      </c>
      <c r="E2674" s="1" t="s">
        <v>26</v>
      </c>
    </row>
    <row r="2675" spans="1:5" x14ac:dyDescent="0.25">
      <c r="A2675" s="13">
        <v>1022384349</v>
      </c>
      <c r="B2675" s="11" t="s">
        <v>83</v>
      </c>
      <c r="C2675" s="1" t="s">
        <v>2641</v>
      </c>
      <c r="D2675" s="1" t="s">
        <v>47</v>
      </c>
      <c r="E2675" s="1" t="s">
        <v>17</v>
      </c>
    </row>
    <row r="2676" spans="1:5" x14ac:dyDescent="0.25">
      <c r="A2676" s="13">
        <v>1022385804</v>
      </c>
      <c r="B2676" s="11" t="s">
        <v>84</v>
      </c>
      <c r="C2676" s="1" t="s">
        <v>3620</v>
      </c>
      <c r="D2676" s="1" t="s">
        <v>38</v>
      </c>
      <c r="E2676" s="1" t="s">
        <v>15</v>
      </c>
    </row>
    <row r="2677" spans="1:5" x14ac:dyDescent="0.25">
      <c r="A2677" s="13">
        <v>1022387432</v>
      </c>
      <c r="B2677" s="11" t="s">
        <v>83</v>
      </c>
      <c r="C2677" s="1" t="s">
        <v>2640</v>
      </c>
      <c r="D2677" s="1" t="s">
        <v>59</v>
      </c>
      <c r="E2677" s="1" t="s">
        <v>19</v>
      </c>
    </row>
    <row r="2678" spans="1:5" x14ac:dyDescent="0.25">
      <c r="A2678" s="13">
        <v>1022391698</v>
      </c>
      <c r="B2678" s="11" t="s">
        <v>83</v>
      </c>
      <c r="C2678" s="1" t="s">
        <v>3433</v>
      </c>
      <c r="D2678" s="1" t="s">
        <v>2310</v>
      </c>
      <c r="E2678" s="1" t="s">
        <v>22</v>
      </c>
    </row>
    <row r="2679" spans="1:5" x14ac:dyDescent="0.25">
      <c r="A2679" s="13">
        <v>1022395930</v>
      </c>
      <c r="B2679" s="11" t="s">
        <v>84</v>
      </c>
      <c r="C2679" s="1" t="s">
        <v>2639</v>
      </c>
      <c r="D2679" s="1" t="s">
        <v>38</v>
      </c>
      <c r="E2679" s="1" t="s">
        <v>14</v>
      </c>
    </row>
    <row r="2680" spans="1:5" x14ac:dyDescent="0.25">
      <c r="A2680" s="13">
        <v>1022405501</v>
      </c>
      <c r="B2680" s="11" t="s">
        <v>84</v>
      </c>
      <c r="C2680" s="1" t="s">
        <v>2638</v>
      </c>
      <c r="D2680" s="1" t="s">
        <v>88</v>
      </c>
      <c r="E2680" s="1" t="s">
        <v>1</v>
      </c>
    </row>
    <row r="2681" spans="1:5" x14ac:dyDescent="0.25">
      <c r="A2681" s="13">
        <v>1022407573</v>
      </c>
      <c r="B2681" s="11" t="s">
        <v>84</v>
      </c>
      <c r="C2681" s="1" t="s">
        <v>3062</v>
      </c>
      <c r="D2681" s="1" t="s">
        <v>46</v>
      </c>
      <c r="E2681" s="1" t="s">
        <v>1</v>
      </c>
    </row>
    <row r="2682" spans="1:5" x14ac:dyDescent="0.25">
      <c r="A2682" s="13">
        <v>1022409691</v>
      </c>
      <c r="B2682" s="11" t="s">
        <v>84</v>
      </c>
      <c r="C2682" s="1" t="s">
        <v>3434</v>
      </c>
      <c r="D2682" s="1" t="s">
        <v>38</v>
      </c>
      <c r="E2682" s="1" t="s">
        <v>15</v>
      </c>
    </row>
    <row r="2683" spans="1:5" x14ac:dyDescent="0.25">
      <c r="A2683" s="13">
        <v>1022412464</v>
      </c>
      <c r="B2683" s="11" t="s">
        <v>84</v>
      </c>
      <c r="C2683" s="1" t="s">
        <v>3435</v>
      </c>
      <c r="D2683" s="1" t="s">
        <v>38</v>
      </c>
      <c r="E2683" s="1" t="s">
        <v>328</v>
      </c>
    </row>
    <row r="2684" spans="1:5" x14ac:dyDescent="0.25">
      <c r="A2684" s="13">
        <v>1022415737</v>
      </c>
      <c r="B2684" s="11" t="s">
        <v>83</v>
      </c>
      <c r="C2684" s="1" t="s">
        <v>2637</v>
      </c>
      <c r="D2684" s="1" t="s">
        <v>44</v>
      </c>
      <c r="E2684" s="1" t="s">
        <v>16</v>
      </c>
    </row>
    <row r="2685" spans="1:5" x14ac:dyDescent="0.25">
      <c r="A2685" s="13">
        <v>1022416072</v>
      </c>
      <c r="B2685" s="11" t="s">
        <v>84</v>
      </c>
      <c r="C2685" s="1" t="s">
        <v>3090</v>
      </c>
      <c r="D2685" s="1" t="s">
        <v>3313</v>
      </c>
      <c r="E2685" s="1" t="s">
        <v>1</v>
      </c>
    </row>
    <row r="2686" spans="1:5" x14ac:dyDescent="0.25">
      <c r="A2686" s="13">
        <v>1022419724</v>
      </c>
      <c r="B2686" s="11" t="s">
        <v>83</v>
      </c>
      <c r="C2686" s="1" t="s">
        <v>3046</v>
      </c>
      <c r="D2686" s="1" t="s">
        <v>54</v>
      </c>
      <c r="E2686" s="1" t="s">
        <v>16</v>
      </c>
    </row>
    <row r="2687" spans="1:5" x14ac:dyDescent="0.25">
      <c r="A2687" s="13">
        <v>1022423947</v>
      </c>
      <c r="B2687" s="11" t="s">
        <v>84</v>
      </c>
      <c r="C2687" s="1" t="s">
        <v>3436</v>
      </c>
      <c r="D2687" s="1" t="s">
        <v>38</v>
      </c>
      <c r="E2687" s="1" t="s">
        <v>3120</v>
      </c>
    </row>
    <row r="2688" spans="1:5" x14ac:dyDescent="0.25">
      <c r="A2688" s="13">
        <v>1022424148</v>
      </c>
      <c r="B2688" s="11" t="s">
        <v>83</v>
      </c>
      <c r="C2688" s="1" t="s">
        <v>2636</v>
      </c>
      <c r="D2688" s="1" t="s">
        <v>47</v>
      </c>
      <c r="E2688" s="1" t="s">
        <v>19</v>
      </c>
    </row>
    <row r="2689" spans="1:5" x14ac:dyDescent="0.25">
      <c r="A2689" s="13">
        <v>1022425913</v>
      </c>
      <c r="B2689" s="11" t="s">
        <v>84</v>
      </c>
      <c r="C2689" s="1" t="s">
        <v>2635</v>
      </c>
      <c r="D2689" s="1" t="s">
        <v>36</v>
      </c>
      <c r="E2689" s="1" t="s">
        <v>1</v>
      </c>
    </row>
    <row r="2690" spans="1:5" x14ac:dyDescent="0.25">
      <c r="A2690" s="13">
        <v>1022428618</v>
      </c>
      <c r="B2690" s="11" t="s">
        <v>83</v>
      </c>
      <c r="C2690" s="1" t="s">
        <v>2634</v>
      </c>
      <c r="D2690" s="1" t="s">
        <v>52</v>
      </c>
      <c r="E2690" s="1" t="s">
        <v>16</v>
      </c>
    </row>
    <row r="2691" spans="1:5" x14ac:dyDescent="0.25">
      <c r="A2691" s="13">
        <v>1022430965</v>
      </c>
      <c r="B2691" s="11" t="s">
        <v>83</v>
      </c>
      <c r="C2691" s="1" t="s">
        <v>2633</v>
      </c>
      <c r="D2691" s="1" t="s">
        <v>47</v>
      </c>
      <c r="E2691" s="1" t="s">
        <v>19</v>
      </c>
    </row>
    <row r="2692" spans="1:5" x14ac:dyDescent="0.25">
      <c r="A2692" s="13">
        <v>1022433416</v>
      </c>
      <c r="B2692" s="11" t="s">
        <v>83</v>
      </c>
      <c r="C2692" s="1" t="s">
        <v>2632</v>
      </c>
      <c r="D2692" s="1" t="s">
        <v>141</v>
      </c>
      <c r="E2692" s="1" t="s">
        <v>123</v>
      </c>
    </row>
    <row r="2693" spans="1:5" x14ac:dyDescent="0.25">
      <c r="A2693" s="13">
        <v>1022433905</v>
      </c>
      <c r="B2693" s="11" t="s">
        <v>84</v>
      </c>
      <c r="C2693" s="1" t="s">
        <v>3437</v>
      </c>
      <c r="D2693" s="1" t="s">
        <v>3325</v>
      </c>
      <c r="E2693" s="1" t="s">
        <v>22</v>
      </c>
    </row>
    <row r="2694" spans="1:5" x14ac:dyDescent="0.25">
      <c r="A2694" s="13">
        <v>1022435104</v>
      </c>
      <c r="B2694" s="11" t="s">
        <v>83</v>
      </c>
      <c r="C2694" s="1" t="s">
        <v>3621</v>
      </c>
      <c r="D2694" s="1" t="s">
        <v>3347</v>
      </c>
      <c r="E2694" s="1" t="s">
        <v>18</v>
      </c>
    </row>
    <row r="2695" spans="1:5" x14ac:dyDescent="0.25">
      <c r="A2695" s="13">
        <v>1022441368</v>
      </c>
      <c r="B2695" s="11" t="s">
        <v>83</v>
      </c>
      <c r="C2695" s="1" t="s">
        <v>3438</v>
      </c>
      <c r="D2695" s="1" t="s">
        <v>2310</v>
      </c>
      <c r="E2695" s="1" t="s">
        <v>22</v>
      </c>
    </row>
    <row r="2696" spans="1:5" x14ac:dyDescent="0.25">
      <c r="A2696" s="13">
        <v>1022444202</v>
      </c>
      <c r="B2696" s="11" t="s">
        <v>84</v>
      </c>
      <c r="C2696" s="1" t="s">
        <v>2631</v>
      </c>
      <c r="D2696" s="1" t="s">
        <v>41</v>
      </c>
      <c r="E2696" s="1" t="s">
        <v>3071</v>
      </c>
    </row>
    <row r="2697" spans="1:5" x14ac:dyDescent="0.25">
      <c r="A2697" s="13">
        <v>1022444611</v>
      </c>
      <c r="B2697" s="11" t="s">
        <v>83</v>
      </c>
      <c r="C2697" s="1" t="s">
        <v>3122</v>
      </c>
      <c r="D2697" s="1" t="s">
        <v>48</v>
      </c>
      <c r="E2697" s="1" t="s">
        <v>19</v>
      </c>
    </row>
    <row r="2698" spans="1:5" x14ac:dyDescent="0.25">
      <c r="A2698" s="13">
        <v>1022927483</v>
      </c>
      <c r="B2698" s="11" t="s">
        <v>83</v>
      </c>
      <c r="C2698" s="1" t="s">
        <v>3439</v>
      </c>
      <c r="D2698" s="1" t="s">
        <v>79</v>
      </c>
      <c r="E2698" s="1" t="s">
        <v>16</v>
      </c>
    </row>
    <row r="2699" spans="1:5" x14ac:dyDescent="0.25">
      <c r="A2699" s="13">
        <v>1022927754</v>
      </c>
      <c r="B2699" s="11" t="s">
        <v>83</v>
      </c>
      <c r="C2699" s="1" t="s">
        <v>2630</v>
      </c>
      <c r="D2699" s="1" t="s">
        <v>430</v>
      </c>
      <c r="E2699" s="1" t="s">
        <v>31</v>
      </c>
    </row>
    <row r="2700" spans="1:5" x14ac:dyDescent="0.25">
      <c r="A2700" s="13">
        <v>1022929597</v>
      </c>
      <c r="B2700" s="11" t="s">
        <v>84</v>
      </c>
      <c r="C2700" s="1" t="s">
        <v>2629</v>
      </c>
      <c r="D2700" s="1" t="s">
        <v>52</v>
      </c>
      <c r="E2700" s="1" t="s">
        <v>22</v>
      </c>
    </row>
    <row r="2701" spans="1:5" x14ac:dyDescent="0.25">
      <c r="A2701" s="13">
        <v>1022932716</v>
      </c>
      <c r="B2701" s="11" t="s">
        <v>83</v>
      </c>
      <c r="C2701" s="1" t="s">
        <v>2628</v>
      </c>
      <c r="D2701" s="1" t="s">
        <v>1077</v>
      </c>
      <c r="E2701" s="1" t="s">
        <v>30</v>
      </c>
    </row>
    <row r="2702" spans="1:5" x14ac:dyDescent="0.25">
      <c r="A2702" s="13">
        <v>1022932726</v>
      </c>
      <c r="B2702" s="11" t="s">
        <v>84</v>
      </c>
      <c r="C2702" s="1" t="s">
        <v>2627</v>
      </c>
      <c r="D2702" s="1" t="s">
        <v>43</v>
      </c>
      <c r="E2702" s="1" t="s">
        <v>8</v>
      </c>
    </row>
    <row r="2703" spans="1:5" x14ac:dyDescent="0.25">
      <c r="A2703" s="13">
        <v>1022941579</v>
      </c>
      <c r="B2703" s="11" t="s">
        <v>83</v>
      </c>
      <c r="C2703" s="1" t="s">
        <v>2625</v>
      </c>
      <c r="D2703" s="1" t="s">
        <v>47</v>
      </c>
      <c r="E2703" s="1" t="s">
        <v>2626</v>
      </c>
    </row>
    <row r="2704" spans="1:5" x14ac:dyDescent="0.25">
      <c r="A2704" s="13">
        <v>1022949420</v>
      </c>
      <c r="B2704" s="11" t="s">
        <v>83</v>
      </c>
      <c r="C2704" s="1" t="s">
        <v>2624</v>
      </c>
      <c r="D2704" s="1" t="s">
        <v>47</v>
      </c>
      <c r="E2704" s="1" t="s">
        <v>16</v>
      </c>
    </row>
    <row r="2705" spans="1:5" x14ac:dyDescent="0.25">
      <c r="A2705" s="13">
        <v>1022950769</v>
      </c>
      <c r="B2705" s="11" t="s">
        <v>83</v>
      </c>
      <c r="C2705" s="1" t="s">
        <v>2623</v>
      </c>
      <c r="D2705" s="1" t="s">
        <v>57</v>
      </c>
      <c r="E2705" s="1" t="s">
        <v>23</v>
      </c>
    </row>
    <row r="2706" spans="1:5" x14ac:dyDescent="0.25">
      <c r="A2706" s="13">
        <v>1022955599</v>
      </c>
      <c r="B2706" s="11" t="s">
        <v>84</v>
      </c>
      <c r="C2706" s="1" t="s">
        <v>2622</v>
      </c>
      <c r="D2706" s="1" t="s">
        <v>103</v>
      </c>
      <c r="E2706" s="1" t="s">
        <v>1</v>
      </c>
    </row>
    <row r="2707" spans="1:5" x14ac:dyDescent="0.25">
      <c r="A2707" s="13">
        <v>1022973531</v>
      </c>
      <c r="B2707" s="11" t="s">
        <v>83</v>
      </c>
      <c r="C2707" s="1" t="s">
        <v>3440</v>
      </c>
      <c r="D2707" s="1" t="s">
        <v>3137</v>
      </c>
      <c r="E2707" s="1" t="s">
        <v>19</v>
      </c>
    </row>
    <row r="2708" spans="1:5" x14ac:dyDescent="0.25">
      <c r="A2708" s="13">
        <v>1022973913</v>
      </c>
      <c r="B2708" s="11" t="s">
        <v>84</v>
      </c>
      <c r="C2708" s="1" t="s">
        <v>2621</v>
      </c>
      <c r="D2708" s="1" t="s">
        <v>38</v>
      </c>
      <c r="E2708" s="1" t="s">
        <v>2</v>
      </c>
    </row>
    <row r="2709" spans="1:5" x14ac:dyDescent="0.25">
      <c r="A2709" s="13">
        <v>1022976601</v>
      </c>
      <c r="B2709" s="11" t="s">
        <v>84</v>
      </c>
      <c r="C2709" s="1" t="s">
        <v>2620</v>
      </c>
      <c r="D2709" s="1" t="s">
        <v>38</v>
      </c>
      <c r="E2709" s="1" t="s">
        <v>3120</v>
      </c>
    </row>
    <row r="2710" spans="1:5" x14ac:dyDescent="0.25">
      <c r="A2710" s="13">
        <v>1022978376</v>
      </c>
      <c r="B2710" s="11" t="s">
        <v>84</v>
      </c>
      <c r="C2710" s="1" t="s">
        <v>2619</v>
      </c>
      <c r="D2710" s="1" t="s">
        <v>36</v>
      </c>
      <c r="E2710" s="1" t="s">
        <v>17</v>
      </c>
    </row>
    <row r="2711" spans="1:5" x14ac:dyDescent="0.25">
      <c r="A2711" s="13">
        <v>1022981864</v>
      </c>
      <c r="B2711" s="11" t="s">
        <v>84</v>
      </c>
      <c r="C2711" s="1" t="s">
        <v>3057</v>
      </c>
      <c r="D2711" s="1" t="s">
        <v>39</v>
      </c>
      <c r="E2711" s="1" t="s">
        <v>1</v>
      </c>
    </row>
    <row r="2712" spans="1:5" x14ac:dyDescent="0.25">
      <c r="A2712" s="13">
        <v>1022982671</v>
      </c>
      <c r="B2712" s="11" t="s">
        <v>84</v>
      </c>
      <c r="C2712" s="1" t="s">
        <v>3016</v>
      </c>
      <c r="D2712" s="1" t="s">
        <v>36</v>
      </c>
      <c r="E2712" s="1" t="s">
        <v>17</v>
      </c>
    </row>
    <row r="2713" spans="1:5" x14ac:dyDescent="0.25">
      <c r="A2713" s="13">
        <v>1022995562</v>
      </c>
      <c r="B2713" s="11" t="s">
        <v>83</v>
      </c>
      <c r="C2713" s="1" t="s">
        <v>2618</v>
      </c>
      <c r="D2713" s="1" t="s">
        <v>50</v>
      </c>
      <c r="E2713" s="1" t="s">
        <v>24</v>
      </c>
    </row>
    <row r="2714" spans="1:5" x14ac:dyDescent="0.25">
      <c r="A2714" s="13">
        <v>1022996882</v>
      </c>
      <c r="B2714" s="11" t="s">
        <v>83</v>
      </c>
      <c r="C2714" s="1" t="s">
        <v>2617</v>
      </c>
      <c r="D2714" s="1" t="s">
        <v>3441</v>
      </c>
      <c r="E2714" s="1" t="s">
        <v>20</v>
      </c>
    </row>
    <row r="2715" spans="1:5" x14ac:dyDescent="0.25">
      <c r="A2715" s="13">
        <v>1022997931</v>
      </c>
      <c r="B2715" s="11" t="s">
        <v>84</v>
      </c>
      <c r="C2715" s="1" t="s">
        <v>2616</v>
      </c>
      <c r="D2715" s="1" t="s">
        <v>3160</v>
      </c>
      <c r="E2715" s="1" t="s">
        <v>1</v>
      </c>
    </row>
    <row r="2716" spans="1:5" x14ac:dyDescent="0.25">
      <c r="A2716" s="13">
        <v>1022998674</v>
      </c>
      <c r="B2716" s="11" t="s">
        <v>83</v>
      </c>
      <c r="C2716" s="1" t="s">
        <v>2615</v>
      </c>
      <c r="D2716" s="1" t="s">
        <v>47</v>
      </c>
      <c r="E2716" s="1" t="s">
        <v>19</v>
      </c>
    </row>
    <row r="2717" spans="1:5" x14ac:dyDescent="0.25">
      <c r="A2717" s="13">
        <v>1022999471</v>
      </c>
      <c r="B2717" s="11" t="s">
        <v>83</v>
      </c>
      <c r="C2717" s="1" t="s">
        <v>2614</v>
      </c>
      <c r="D2717" s="1" t="s">
        <v>44</v>
      </c>
      <c r="E2717" s="1" t="s">
        <v>16</v>
      </c>
    </row>
    <row r="2718" spans="1:5" x14ac:dyDescent="0.25">
      <c r="A2718" s="13">
        <v>1023002776</v>
      </c>
      <c r="B2718" s="11" t="s">
        <v>83</v>
      </c>
      <c r="C2718" s="1" t="s">
        <v>2613</v>
      </c>
      <c r="D2718" s="1" t="s">
        <v>47</v>
      </c>
      <c r="E2718" s="1" t="s">
        <v>16</v>
      </c>
    </row>
    <row r="2719" spans="1:5" x14ac:dyDescent="0.25">
      <c r="A2719" s="13">
        <v>1023005433</v>
      </c>
      <c r="B2719" s="11" t="s">
        <v>83</v>
      </c>
      <c r="C2719" s="1" t="s">
        <v>2612</v>
      </c>
      <c r="D2719" s="1" t="s">
        <v>47</v>
      </c>
      <c r="E2719" s="1" t="s">
        <v>19</v>
      </c>
    </row>
    <row r="2720" spans="1:5" x14ac:dyDescent="0.25">
      <c r="A2720" s="13">
        <v>1023010935</v>
      </c>
      <c r="B2720" s="11" t="s">
        <v>83</v>
      </c>
      <c r="C2720" s="1" t="s">
        <v>3442</v>
      </c>
      <c r="D2720" s="1" t="s">
        <v>3443</v>
      </c>
      <c r="E2720" s="1" t="s">
        <v>495</v>
      </c>
    </row>
    <row r="2721" spans="1:5" x14ac:dyDescent="0.25">
      <c r="A2721" s="13">
        <v>1023013186</v>
      </c>
      <c r="B2721" s="11" t="s">
        <v>83</v>
      </c>
      <c r="C2721" s="1" t="s">
        <v>2611</v>
      </c>
      <c r="D2721" s="1" t="s">
        <v>96</v>
      </c>
      <c r="E2721" s="1" t="s">
        <v>21</v>
      </c>
    </row>
    <row r="2722" spans="1:5" x14ac:dyDescent="0.25">
      <c r="A2722" s="13">
        <v>1023013324</v>
      </c>
      <c r="B2722" s="11" t="s">
        <v>83</v>
      </c>
      <c r="C2722" s="1" t="s">
        <v>2610</v>
      </c>
      <c r="D2722" s="1" t="s">
        <v>47</v>
      </c>
      <c r="E2722" s="1" t="s">
        <v>668</v>
      </c>
    </row>
    <row r="2723" spans="1:5" x14ac:dyDescent="0.25">
      <c r="A2723" s="13">
        <v>1023029423</v>
      </c>
      <c r="B2723" s="11" t="s">
        <v>83</v>
      </c>
      <c r="C2723" s="1" t="s">
        <v>2609</v>
      </c>
      <c r="D2723" s="1" t="s">
        <v>63</v>
      </c>
      <c r="E2723" s="1" t="s">
        <v>20</v>
      </c>
    </row>
    <row r="2724" spans="1:5" x14ac:dyDescent="0.25">
      <c r="A2724" s="13">
        <v>1023033647</v>
      </c>
      <c r="B2724" s="11" t="s">
        <v>84</v>
      </c>
      <c r="C2724" s="1" t="s">
        <v>3622</v>
      </c>
      <c r="D2724" s="1" t="s">
        <v>38</v>
      </c>
      <c r="E2724" s="1" t="s">
        <v>328</v>
      </c>
    </row>
    <row r="2725" spans="1:5" x14ac:dyDescent="0.25">
      <c r="A2725" s="13">
        <v>1023035652</v>
      </c>
      <c r="B2725" s="11" t="s">
        <v>83</v>
      </c>
      <c r="C2725" s="1" t="s">
        <v>3444</v>
      </c>
      <c r="D2725" s="1" t="s">
        <v>44</v>
      </c>
      <c r="E2725" s="1" t="s">
        <v>16</v>
      </c>
    </row>
    <row r="2726" spans="1:5" x14ac:dyDescent="0.25">
      <c r="A2726" s="13">
        <v>1023364403</v>
      </c>
      <c r="B2726" s="11" t="s">
        <v>83</v>
      </c>
      <c r="C2726" s="1" t="s">
        <v>2607</v>
      </c>
      <c r="D2726" s="1" t="s">
        <v>48</v>
      </c>
      <c r="E2726" s="1" t="s">
        <v>19</v>
      </c>
    </row>
    <row r="2727" spans="1:5" x14ac:dyDescent="0.25">
      <c r="A2727" s="13">
        <v>1023865713</v>
      </c>
      <c r="B2727" s="11" t="s">
        <v>83</v>
      </c>
      <c r="C2727" s="1" t="s">
        <v>2605</v>
      </c>
      <c r="D2727" s="1" t="s">
        <v>47</v>
      </c>
      <c r="E2727" s="1" t="s">
        <v>4</v>
      </c>
    </row>
    <row r="2728" spans="1:5" x14ac:dyDescent="0.25">
      <c r="A2728" s="13">
        <v>1023866214</v>
      </c>
      <c r="B2728" s="11" t="s">
        <v>116</v>
      </c>
      <c r="C2728" s="1" t="s">
        <v>2604</v>
      </c>
      <c r="D2728" s="1" t="s">
        <v>117</v>
      </c>
      <c r="E2728" s="1" t="s">
        <v>12</v>
      </c>
    </row>
    <row r="2729" spans="1:5" x14ac:dyDescent="0.25">
      <c r="A2729" s="13">
        <v>1023866246</v>
      </c>
      <c r="B2729" s="11" t="s">
        <v>84</v>
      </c>
      <c r="C2729" s="1" t="s">
        <v>2603</v>
      </c>
      <c r="D2729" s="1" t="s">
        <v>43</v>
      </c>
      <c r="E2729" s="1" t="s">
        <v>5</v>
      </c>
    </row>
    <row r="2730" spans="1:5" x14ac:dyDescent="0.25">
      <c r="A2730" s="13">
        <v>1023867666</v>
      </c>
      <c r="B2730" s="11" t="s">
        <v>84</v>
      </c>
      <c r="C2730" s="1" t="s">
        <v>2602</v>
      </c>
      <c r="D2730" s="1" t="s">
        <v>38</v>
      </c>
      <c r="E2730" s="1" t="s">
        <v>8</v>
      </c>
    </row>
    <row r="2731" spans="1:5" x14ac:dyDescent="0.25">
      <c r="A2731" s="13">
        <v>1023870936</v>
      </c>
      <c r="B2731" s="11" t="s">
        <v>83</v>
      </c>
      <c r="C2731" s="1" t="s">
        <v>2601</v>
      </c>
      <c r="D2731" s="1" t="s">
        <v>34</v>
      </c>
      <c r="E2731" s="1" t="s">
        <v>1</v>
      </c>
    </row>
    <row r="2732" spans="1:5" x14ac:dyDescent="0.25">
      <c r="A2732" s="13">
        <v>1023876014</v>
      </c>
      <c r="B2732" s="11" t="s">
        <v>84</v>
      </c>
      <c r="C2732" s="1" t="s">
        <v>2600</v>
      </c>
      <c r="D2732" s="1" t="s">
        <v>3671</v>
      </c>
      <c r="E2732" s="1" t="s">
        <v>27</v>
      </c>
    </row>
    <row r="2733" spans="1:5" x14ac:dyDescent="0.25">
      <c r="A2733" s="13">
        <v>1023876865</v>
      </c>
      <c r="B2733" s="11" t="s">
        <v>83</v>
      </c>
      <c r="C2733" s="1" t="s">
        <v>2599</v>
      </c>
      <c r="D2733" s="1" t="s">
        <v>47</v>
      </c>
      <c r="E2733" s="1" t="s">
        <v>19</v>
      </c>
    </row>
    <row r="2734" spans="1:5" x14ac:dyDescent="0.25">
      <c r="A2734" s="13">
        <v>1023879886</v>
      </c>
      <c r="B2734" s="11" t="s">
        <v>84</v>
      </c>
      <c r="C2734" s="1" t="s">
        <v>3108</v>
      </c>
      <c r="D2734" s="1" t="s">
        <v>43</v>
      </c>
      <c r="E2734" s="1" t="s">
        <v>3121</v>
      </c>
    </row>
    <row r="2735" spans="1:5" x14ac:dyDescent="0.25">
      <c r="A2735" s="13">
        <v>1023880617</v>
      </c>
      <c r="B2735" s="11" t="s">
        <v>83</v>
      </c>
      <c r="C2735" s="1" t="s">
        <v>3677</v>
      </c>
      <c r="D2735" s="1" t="s">
        <v>57</v>
      </c>
      <c r="E2735" s="1" t="s">
        <v>23</v>
      </c>
    </row>
    <row r="2736" spans="1:5" x14ac:dyDescent="0.25">
      <c r="A2736" s="13">
        <v>1023883232</v>
      </c>
      <c r="B2736" s="11" t="s">
        <v>83</v>
      </c>
      <c r="C2736" s="1" t="s">
        <v>2598</v>
      </c>
      <c r="D2736" s="1" t="s">
        <v>63</v>
      </c>
      <c r="E2736" s="1" t="s">
        <v>20</v>
      </c>
    </row>
    <row r="2737" spans="1:5" x14ac:dyDescent="0.25">
      <c r="A2737" s="13">
        <v>1023883407</v>
      </c>
      <c r="B2737" s="11" t="s">
        <v>83</v>
      </c>
      <c r="C2737" s="1" t="s">
        <v>2597</v>
      </c>
      <c r="D2737" s="1" t="s">
        <v>47</v>
      </c>
      <c r="E2737" s="1" t="s">
        <v>16</v>
      </c>
    </row>
    <row r="2738" spans="1:5" x14ac:dyDescent="0.25">
      <c r="A2738" s="13">
        <v>1023886987</v>
      </c>
      <c r="B2738" s="11" t="s">
        <v>83</v>
      </c>
      <c r="C2738" s="1" t="s">
        <v>2596</v>
      </c>
      <c r="D2738" s="1" t="s">
        <v>47</v>
      </c>
      <c r="E2738" s="1" t="s">
        <v>19</v>
      </c>
    </row>
    <row r="2739" spans="1:5" x14ac:dyDescent="0.25">
      <c r="A2739" s="13">
        <v>1023887902</v>
      </c>
      <c r="B2739" s="11" t="s">
        <v>83</v>
      </c>
      <c r="C2739" s="1" t="s">
        <v>2595</v>
      </c>
      <c r="D2739" s="1" t="s">
        <v>430</v>
      </c>
      <c r="E2739" s="1" t="s">
        <v>1128</v>
      </c>
    </row>
    <row r="2740" spans="1:5" x14ac:dyDescent="0.25">
      <c r="A2740" s="13">
        <v>1023890073</v>
      </c>
      <c r="B2740" s="11" t="s">
        <v>83</v>
      </c>
      <c r="C2740" s="1" t="s">
        <v>2593</v>
      </c>
      <c r="D2740" s="1" t="s">
        <v>2594</v>
      </c>
      <c r="E2740" s="1" t="s">
        <v>16</v>
      </c>
    </row>
    <row r="2741" spans="1:5" x14ac:dyDescent="0.25">
      <c r="A2741" s="13">
        <v>1023890427</v>
      </c>
      <c r="B2741" s="11" t="s">
        <v>84</v>
      </c>
      <c r="C2741" s="1" t="s">
        <v>2592</v>
      </c>
      <c r="D2741" s="1" t="s">
        <v>38</v>
      </c>
      <c r="E2741" s="1" t="s">
        <v>5</v>
      </c>
    </row>
    <row r="2742" spans="1:5" x14ac:dyDescent="0.25">
      <c r="A2742" s="13">
        <v>1023891259</v>
      </c>
      <c r="B2742" s="11" t="s">
        <v>83</v>
      </c>
      <c r="C2742" s="1" t="s">
        <v>3445</v>
      </c>
      <c r="D2742" s="1" t="s">
        <v>48</v>
      </c>
      <c r="E2742" s="1" t="s">
        <v>19</v>
      </c>
    </row>
    <row r="2743" spans="1:5" x14ac:dyDescent="0.25">
      <c r="A2743" s="13">
        <v>1023891326</v>
      </c>
      <c r="B2743" s="11" t="s">
        <v>84</v>
      </c>
      <c r="C2743" s="1" t="s">
        <v>2591</v>
      </c>
      <c r="D2743" s="1" t="s">
        <v>38</v>
      </c>
      <c r="E2743" s="1" t="s">
        <v>12</v>
      </c>
    </row>
    <row r="2744" spans="1:5" x14ac:dyDescent="0.25">
      <c r="A2744" s="13">
        <v>1023892460</v>
      </c>
      <c r="B2744" s="11" t="s">
        <v>83</v>
      </c>
      <c r="C2744" s="1" t="s">
        <v>2590</v>
      </c>
      <c r="D2744" s="1" t="s">
        <v>40</v>
      </c>
      <c r="E2744" s="1" t="s">
        <v>23</v>
      </c>
    </row>
    <row r="2745" spans="1:5" x14ac:dyDescent="0.25">
      <c r="A2745" s="13">
        <v>1023898029</v>
      </c>
      <c r="B2745" s="11" t="s">
        <v>84</v>
      </c>
      <c r="C2745" s="1" t="s">
        <v>2589</v>
      </c>
      <c r="D2745" s="1" t="s">
        <v>37</v>
      </c>
      <c r="E2745" s="1" t="s">
        <v>3085</v>
      </c>
    </row>
    <row r="2746" spans="1:5" x14ac:dyDescent="0.25">
      <c r="A2746" s="13">
        <v>1023899630</v>
      </c>
      <c r="B2746" s="11" t="s">
        <v>83</v>
      </c>
      <c r="C2746" s="1" t="s">
        <v>2588</v>
      </c>
      <c r="D2746" s="1" t="s">
        <v>47</v>
      </c>
      <c r="E2746" s="1" t="s">
        <v>26</v>
      </c>
    </row>
    <row r="2747" spans="1:5" x14ac:dyDescent="0.25">
      <c r="A2747" s="13">
        <v>1023900501</v>
      </c>
      <c r="B2747" s="11" t="s">
        <v>84</v>
      </c>
      <c r="C2747" s="1" t="s">
        <v>3446</v>
      </c>
      <c r="D2747" s="1" t="s">
        <v>38</v>
      </c>
      <c r="E2747" s="1" t="s">
        <v>14</v>
      </c>
    </row>
    <row r="2748" spans="1:5" x14ac:dyDescent="0.25">
      <c r="A2748" s="13">
        <v>1023901162</v>
      </c>
      <c r="B2748" s="11" t="s">
        <v>84</v>
      </c>
      <c r="C2748" s="1" t="s">
        <v>2587</v>
      </c>
      <c r="D2748" s="1" t="s">
        <v>38</v>
      </c>
      <c r="E2748" s="1" t="s">
        <v>10</v>
      </c>
    </row>
    <row r="2749" spans="1:5" x14ac:dyDescent="0.25">
      <c r="A2749" s="13">
        <v>1023903432</v>
      </c>
      <c r="B2749" s="11" t="s">
        <v>84</v>
      </c>
      <c r="C2749" s="1" t="s">
        <v>3623</v>
      </c>
      <c r="D2749" s="1" t="s">
        <v>43</v>
      </c>
      <c r="E2749" s="1" t="s">
        <v>3238</v>
      </c>
    </row>
    <row r="2750" spans="1:5" x14ac:dyDescent="0.25">
      <c r="A2750" s="13">
        <v>1023907805</v>
      </c>
      <c r="B2750" s="11" t="s">
        <v>84</v>
      </c>
      <c r="C2750" s="1" t="s">
        <v>2586</v>
      </c>
      <c r="D2750" s="1" t="s">
        <v>38</v>
      </c>
      <c r="E2750" s="1" t="s">
        <v>13</v>
      </c>
    </row>
    <row r="2751" spans="1:5" x14ac:dyDescent="0.25">
      <c r="A2751" s="13">
        <v>1023910012</v>
      </c>
      <c r="B2751" s="11" t="s">
        <v>109</v>
      </c>
      <c r="C2751" s="1" t="s">
        <v>2585</v>
      </c>
      <c r="D2751" s="1" t="s">
        <v>366</v>
      </c>
      <c r="E2751" s="1" t="s">
        <v>1128</v>
      </c>
    </row>
    <row r="2752" spans="1:5" x14ac:dyDescent="0.25">
      <c r="A2752" s="13">
        <v>1023913107</v>
      </c>
      <c r="B2752" s="11" t="s">
        <v>84</v>
      </c>
      <c r="C2752" s="1" t="s">
        <v>2584</v>
      </c>
      <c r="D2752" s="1" t="s">
        <v>37</v>
      </c>
      <c r="E2752" s="1" t="s">
        <v>27</v>
      </c>
    </row>
    <row r="2753" spans="1:5" x14ac:dyDescent="0.25">
      <c r="A2753" s="13">
        <v>1023913132</v>
      </c>
      <c r="B2753" s="11" t="s">
        <v>83</v>
      </c>
      <c r="C2753" s="1" t="s">
        <v>3074</v>
      </c>
      <c r="D2753" s="1" t="s">
        <v>44</v>
      </c>
      <c r="E2753" s="1" t="s">
        <v>16</v>
      </c>
    </row>
    <row r="2754" spans="1:5" x14ac:dyDescent="0.25">
      <c r="A2754" s="13">
        <v>1023913256</v>
      </c>
      <c r="B2754" s="11" t="s">
        <v>83</v>
      </c>
      <c r="C2754" s="1" t="s">
        <v>2583</v>
      </c>
      <c r="D2754" s="1" t="s">
        <v>40</v>
      </c>
      <c r="E2754" s="1" t="s">
        <v>23</v>
      </c>
    </row>
    <row r="2755" spans="1:5" x14ac:dyDescent="0.25">
      <c r="A2755" s="13">
        <v>1023915956</v>
      </c>
      <c r="B2755" s="11" t="s">
        <v>83</v>
      </c>
      <c r="C2755" s="1" t="s">
        <v>2582</v>
      </c>
      <c r="D2755" s="1" t="s">
        <v>47</v>
      </c>
      <c r="E2755" s="1" t="s">
        <v>142</v>
      </c>
    </row>
    <row r="2756" spans="1:5" x14ac:dyDescent="0.25">
      <c r="A2756" s="13">
        <v>1023917944</v>
      </c>
      <c r="B2756" s="11" t="s">
        <v>83</v>
      </c>
      <c r="C2756" s="1" t="s">
        <v>2581</v>
      </c>
      <c r="D2756" s="1" t="s">
        <v>47</v>
      </c>
      <c r="E2756" s="1" t="s">
        <v>142</v>
      </c>
    </row>
    <row r="2757" spans="1:5" x14ac:dyDescent="0.25">
      <c r="A2757" s="13">
        <v>1023919299</v>
      </c>
      <c r="B2757" s="11" t="s">
        <v>83</v>
      </c>
      <c r="C2757" s="1" t="s">
        <v>2580</v>
      </c>
      <c r="D2757" s="1" t="s">
        <v>47</v>
      </c>
      <c r="E2757" s="1" t="s">
        <v>142</v>
      </c>
    </row>
    <row r="2758" spans="1:5" x14ac:dyDescent="0.25">
      <c r="A2758" s="13">
        <v>1023920243</v>
      </c>
      <c r="B2758" s="11" t="s">
        <v>84</v>
      </c>
      <c r="C2758" s="1" t="s">
        <v>2578</v>
      </c>
      <c r="D2758" s="1" t="s">
        <v>2579</v>
      </c>
      <c r="E2758" s="1" t="s">
        <v>1</v>
      </c>
    </row>
    <row r="2759" spans="1:5" x14ac:dyDescent="0.25">
      <c r="A2759" s="13">
        <v>1023921037</v>
      </c>
      <c r="B2759" s="11" t="s">
        <v>84</v>
      </c>
      <c r="C2759" s="1" t="s">
        <v>2577</v>
      </c>
      <c r="D2759" s="1" t="s">
        <v>38</v>
      </c>
      <c r="E2759" s="1" t="s">
        <v>12</v>
      </c>
    </row>
    <row r="2760" spans="1:5" x14ac:dyDescent="0.25">
      <c r="A2760" s="13">
        <v>1023921503</v>
      </c>
      <c r="B2760" s="11" t="s">
        <v>83</v>
      </c>
      <c r="C2760" s="1" t="s">
        <v>2576</v>
      </c>
      <c r="D2760" s="1" t="s">
        <v>47</v>
      </c>
      <c r="E2760" s="1" t="s">
        <v>2349</v>
      </c>
    </row>
    <row r="2761" spans="1:5" x14ac:dyDescent="0.25">
      <c r="A2761" s="13">
        <v>1023922308</v>
      </c>
      <c r="B2761" s="11" t="s">
        <v>83</v>
      </c>
      <c r="C2761" s="1" t="s">
        <v>2575</v>
      </c>
      <c r="D2761" s="1" t="s">
        <v>47</v>
      </c>
      <c r="E2761" s="1" t="s">
        <v>26</v>
      </c>
    </row>
    <row r="2762" spans="1:5" x14ac:dyDescent="0.25">
      <c r="A2762" s="13">
        <v>1023926174</v>
      </c>
      <c r="B2762" s="11" t="s">
        <v>83</v>
      </c>
      <c r="C2762" s="1" t="s">
        <v>2573</v>
      </c>
      <c r="D2762" s="1" t="s">
        <v>47</v>
      </c>
      <c r="E2762" s="1" t="s">
        <v>19</v>
      </c>
    </row>
    <row r="2763" spans="1:5" x14ac:dyDescent="0.25">
      <c r="A2763" s="13">
        <v>1023926532</v>
      </c>
      <c r="B2763" s="11" t="s">
        <v>84</v>
      </c>
      <c r="C2763" s="1" t="s">
        <v>2572</v>
      </c>
      <c r="D2763" s="1" t="s">
        <v>88</v>
      </c>
      <c r="E2763" s="1" t="s">
        <v>87</v>
      </c>
    </row>
    <row r="2764" spans="1:5" x14ac:dyDescent="0.25">
      <c r="A2764" s="13">
        <v>1023930252</v>
      </c>
      <c r="B2764" s="11" t="s">
        <v>83</v>
      </c>
      <c r="C2764" s="1" t="s">
        <v>2571</v>
      </c>
      <c r="D2764" s="1" t="s">
        <v>48</v>
      </c>
      <c r="E2764" s="1" t="s">
        <v>19</v>
      </c>
    </row>
    <row r="2765" spans="1:5" x14ac:dyDescent="0.25">
      <c r="A2765" s="13">
        <v>1023930944</v>
      </c>
      <c r="B2765" s="11" t="s">
        <v>83</v>
      </c>
      <c r="C2765" s="1" t="s">
        <v>2570</v>
      </c>
      <c r="D2765" s="1" t="s">
        <v>36</v>
      </c>
      <c r="E2765" s="1" t="s">
        <v>33</v>
      </c>
    </row>
    <row r="2766" spans="1:5" x14ac:dyDescent="0.25">
      <c r="A2766" s="13">
        <v>1023932452</v>
      </c>
      <c r="B2766" s="11" t="s">
        <v>84</v>
      </c>
      <c r="C2766" s="1" t="s">
        <v>3447</v>
      </c>
      <c r="D2766" s="1" t="s">
        <v>92</v>
      </c>
      <c r="E2766" s="1" t="s">
        <v>3595</v>
      </c>
    </row>
    <row r="2767" spans="1:5" x14ac:dyDescent="0.25">
      <c r="A2767" s="13">
        <v>1023945286</v>
      </c>
      <c r="B2767" s="11" t="s">
        <v>84</v>
      </c>
      <c r="C2767" s="1" t="s">
        <v>2568</v>
      </c>
      <c r="D2767" s="1" t="s">
        <v>52</v>
      </c>
      <c r="E2767" s="1" t="s">
        <v>22</v>
      </c>
    </row>
    <row r="2768" spans="1:5" x14ac:dyDescent="0.25">
      <c r="A2768" s="13">
        <v>1023950000</v>
      </c>
      <c r="B2768" s="11" t="s">
        <v>84</v>
      </c>
      <c r="C2768" s="1" t="s">
        <v>2567</v>
      </c>
      <c r="D2768" s="1" t="s">
        <v>38</v>
      </c>
      <c r="E2768" s="1" t="s">
        <v>5</v>
      </c>
    </row>
    <row r="2769" spans="1:5" x14ac:dyDescent="0.25">
      <c r="A2769" s="13">
        <v>1023954848</v>
      </c>
      <c r="B2769" s="11" t="s">
        <v>83</v>
      </c>
      <c r="C2769" s="1" t="s">
        <v>3624</v>
      </c>
      <c r="D2769" s="1" t="s">
        <v>3181</v>
      </c>
      <c r="E2769" s="1" t="s">
        <v>16</v>
      </c>
    </row>
    <row r="2770" spans="1:5" x14ac:dyDescent="0.25">
      <c r="A2770" s="13">
        <v>1023959368</v>
      </c>
      <c r="B2770" s="11" t="s">
        <v>83</v>
      </c>
      <c r="C2770" s="1" t="s">
        <v>2566</v>
      </c>
      <c r="D2770" s="1" t="s">
        <v>47</v>
      </c>
      <c r="E2770" s="1" t="s">
        <v>2380</v>
      </c>
    </row>
    <row r="2771" spans="1:5" x14ac:dyDescent="0.25">
      <c r="A2771" s="13">
        <v>1023960259</v>
      </c>
      <c r="B2771" s="11" t="s">
        <v>83</v>
      </c>
      <c r="C2771" s="1" t="s">
        <v>2565</v>
      </c>
      <c r="D2771" s="1" t="s">
        <v>52</v>
      </c>
      <c r="E2771" s="1" t="s">
        <v>16</v>
      </c>
    </row>
    <row r="2772" spans="1:5" x14ac:dyDescent="0.25">
      <c r="A2772" s="13">
        <v>1023961026</v>
      </c>
      <c r="B2772" s="11" t="s">
        <v>83</v>
      </c>
      <c r="C2772" s="1" t="s">
        <v>2564</v>
      </c>
      <c r="D2772" s="1" t="s">
        <v>59</v>
      </c>
      <c r="E2772" s="1" t="s">
        <v>19</v>
      </c>
    </row>
    <row r="2773" spans="1:5" x14ac:dyDescent="0.25">
      <c r="A2773" s="13">
        <v>1023961952</v>
      </c>
      <c r="B2773" s="11" t="s">
        <v>83</v>
      </c>
      <c r="C2773" s="1" t="s">
        <v>3625</v>
      </c>
      <c r="D2773" s="1" t="s">
        <v>48</v>
      </c>
      <c r="E2773" s="1" t="s">
        <v>196</v>
      </c>
    </row>
    <row r="2774" spans="1:5" x14ac:dyDescent="0.25">
      <c r="A2774" s="13">
        <v>1023962136</v>
      </c>
      <c r="B2774" s="11" t="s">
        <v>84</v>
      </c>
      <c r="C2774" s="1" t="s">
        <v>2563</v>
      </c>
      <c r="D2774" s="1" t="s">
        <v>3140</v>
      </c>
      <c r="E2774" s="1" t="s">
        <v>1</v>
      </c>
    </row>
    <row r="2775" spans="1:5" x14ac:dyDescent="0.25">
      <c r="A2775" s="13">
        <v>1023965965</v>
      </c>
      <c r="B2775" s="11" t="s">
        <v>84</v>
      </c>
      <c r="C2775" s="1" t="s">
        <v>3448</v>
      </c>
      <c r="D2775" s="1" t="s">
        <v>38</v>
      </c>
      <c r="E2775" s="1" t="s">
        <v>3120</v>
      </c>
    </row>
    <row r="2776" spans="1:5" x14ac:dyDescent="0.25">
      <c r="A2776" s="13">
        <v>1023968360</v>
      </c>
      <c r="B2776" s="11" t="s">
        <v>83</v>
      </c>
      <c r="C2776" s="1" t="s">
        <v>3449</v>
      </c>
      <c r="D2776" s="1" t="s">
        <v>36</v>
      </c>
      <c r="E2776" s="1" t="s">
        <v>24</v>
      </c>
    </row>
    <row r="2777" spans="1:5" x14ac:dyDescent="0.25">
      <c r="A2777" s="13">
        <v>1023976383</v>
      </c>
      <c r="B2777" s="11" t="s">
        <v>83</v>
      </c>
      <c r="C2777" s="1" t="s">
        <v>2562</v>
      </c>
      <c r="D2777" s="1" t="s">
        <v>94</v>
      </c>
      <c r="E2777" s="1" t="s">
        <v>19</v>
      </c>
    </row>
    <row r="2778" spans="1:5" x14ac:dyDescent="0.25">
      <c r="A2778" s="13">
        <v>1023976803</v>
      </c>
      <c r="B2778" s="11" t="s">
        <v>83</v>
      </c>
      <c r="C2778" s="1" t="s">
        <v>2561</v>
      </c>
      <c r="D2778" s="1" t="s">
        <v>59</v>
      </c>
      <c r="E2778" s="1" t="s">
        <v>19</v>
      </c>
    </row>
    <row r="2779" spans="1:5" x14ac:dyDescent="0.25">
      <c r="A2779" s="13">
        <v>1023981015</v>
      </c>
      <c r="B2779" s="11" t="s">
        <v>84</v>
      </c>
      <c r="C2779" s="1" t="s">
        <v>3450</v>
      </c>
      <c r="D2779" s="1" t="s">
        <v>38</v>
      </c>
      <c r="E2779" s="1" t="s">
        <v>10</v>
      </c>
    </row>
    <row r="2780" spans="1:5" x14ac:dyDescent="0.25">
      <c r="A2780" s="13">
        <v>1024461799</v>
      </c>
      <c r="B2780" s="11" t="s">
        <v>109</v>
      </c>
      <c r="C2780" s="1" t="s">
        <v>2560</v>
      </c>
      <c r="D2780" s="1" t="s">
        <v>1077</v>
      </c>
      <c r="E2780" s="1" t="s">
        <v>12</v>
      </c>
    </row>
    <row r="2781" spans="1:5" x14ac:dyDescent="0.25">
      <c r="A2781" s="13">
        <v>1024467656</v>
      </c>
      <c r="B2781" s="11" t="s">
        <v>84</v>
      </c>
      <c r="C2781" s="1" t="s">
        <v>2559</v>
      </c>
      <c r="D2781" s="1" t="s">
        <v>38</v>
      </c>
      <c r="E2781" s="1" t="s">
        <v>8</v>
      </c>
    </row>
    <row r="2782" spans="1:5" x14ac:dyDescent="0.25">
      <c r="A2782" s="13">
        <v>1024469511</v>
      </c>
      <c r="B2782" s="11" t="s">
        <v>84</v>
      </c>
      <c r="C2782" s="1" t="s">
        <v>2558</v>
      </c>
      <c r="D2782" s="1" t="s">
        <v>38</v>
      </c>
      <c r="E2782" s="1" t="s">
        <v>3</v>
      </c>
    </row>
    <row r="2783" spans="1:5" x14ac:dyDescent="0.25">
      <c r="A2783" s="13">
        <v>1024470600</v>
      </c>
      <c r="B2783" s="11" t="s">
        <v>83</v>
      </c>
      <c r="C2783" s="1" t="s">
        <v>2557</v>
      </c>
      <c r="D2783" s="1" t="s">
        <v>47</v>
      </c>
      <c r="E2783" s="1" t="s">
        <v>16</v>
      </c>
    </row>
    <row r="2784" spans="1:5" x14ac:dyDescent="0.25">
      <c r="A2784" s="13">
        <v>1024471795</v>
      </c>
      <c r="B2784" s="11" t="s">
        <v>83</v>
      </c>
      <c r="C2784" s="1" t="s">
        <v>2556</v>
      </c>
      <c r="D2784" s="1" t="s">
        <v>42</v>
      </c>
      <c r="E2784" s="1" t="s">
        <v>4</v>
      </c>
    </row>
    <row r="2785" spans="1:5" x14ac:dyDescent="0.25">
      <c r="A2785" s="13">
        <v>1024473563</v>
      </c>
      <c r="B2785" s="11" t="s">
        <v>84</v>
      </c>
      <c r="C2785" s="1" t="s">
        <v>2555</v>
      </c>
      <c r="D2785" s="1" t="s">
        <v>52</v>
      </c>
      <c r="E2785" s="1" t="s">
        <v>22</v>
      </c>
    </row>
    <row r="2786" spans="1:5" x14ac:dyDescent="0.25">
      <c r="A2786" s="13">
        <v>1024473931</v>
      </c>
      <c r="B2786" s="11" t="s">
        <v>84</v>
      </c>
      <c r="C2786" s="1" t="s">
        <v>2554</v>
      </c>
      <c r="D2786" s="1" t="s">
        <v>381</v>
      </c>
      <c r="E2786" s="1" t="s">
        <v>26</v>
      </c>
    </row>
    <row r="2787" spans="1:5" x14ac:dyDescent="0.25">
      <c r="A2787" s="13">
        <v>1024476450</v>
      </c>
      <c r="B2787" s="11" t="s">
        <v>84</v>
      </c>
      <c r="C2787" s="1" t="s">
        <v>2553</v>
      </c>
      <c r="D2787" s="1" t="s">
        <v>381</v>
      </c>
      <c r="E2787" s="1" t="s">
        <v>26</v>
      </c>
    </row>
    <row r="2788" spans="1:5" x14ac:dyDescent="0.25">
      <c r="A2788" s="13">
        <v>1024479958</v>
      </c>
      <c r="B2788" s="11" t="s">
        <v>83</v>
      </c>
      <c r="C2788" s="1" t="s">
        <v>2552</v>
      </c>
      <c r="D2788" s="1" t="s">
        <v>47</v>
      </c>
      <c r="E2788" s="1" t="s">
        <v>16</v>
      </c>
    </row>
    <row r="2789" spans="1:5" x14ac:dyDescent="0.25">
      <c r="A2789" s="13">
        <v>1024481300</v>
      </c>
      <c r="B2789" s="11" t="s">
        <v>84</v>
      </c>
      <c r="C2789" s="1" t="s">
        <v>2551</v>
      </c>
      <c r="D2789" s="1" t="s">
        <v>38</v>
      </c>
      <c r="E2789" s="1" t="s">
        <v>8</v>
      </c>
    </row>
    <row r="2790" spans="1:5" x14ac:dyDescent="0.25">
      <c r="A2790" s="13">
        <v>1024481892</v>
      </c>
      <c r="B2790" s="11" t="s">
        <v>83</v>
      </c>
      <c r="C2790" s="1" t="s">
        <v>2550</v>
      </c>
      <c r="D2790" s="1" t="s">
        <v>47</v>
      </c>
      <c r="E2790" s="1" t="s">
        <v>19</v>
      </c>
    </row>
    <row r="2791" spans="1:5" x14ac:dyDescent="0.25">
      <c r="A2791" s="13">
        <v>1024485718</v>
      </c>
      <c r="B2791" s="11" t="s">
        <v>84</v>
      </c>
      <c r="C2791" s="1" t="s">
        <v>2549</v>
      </c>
      <c r="D2791" s="1" t="s">
        <v>306</v>
      </c>
      <c r="E2791" s="1" t="s">
        <v>142</v>
      </c>
    </row>
    <row r="2792" spans="1:5" x14ac:dyDescent="0.25">
      <c r="A2792" s="13">
        <v>1024489080</v>
      </c>
      <c r="B2792" s="11" t="s">
        <v>83</v>
      </c>
      <c r="C2792" s="1" t="s">
        <v>3451</v>
      </c>
      <c r="D2792" s="1" t="s">
        <v>48</v>
      </c>
      <c r="E2792" s="1" t="s">
        <v>19</v>
      </c>
    </row>
    <row r="2793" spans="1:5" x14ac:dyDescent="0.25">
      <c r="A2793" s="13">
        <v>1024500911</v>
      </c>
      <c r="B2793" s="11" t="s">
        <v>84</v>
      </c>
      <c r="C2793" s="1" t="s">
        <v>3452</v>
      </c>
      <c r="D2793" s="1" t="s">
        <v>43</v>
      </c>
      <c r="E2793" s="1" t="s">
        <v>1276</v>
      </c>
    </row>
    <row r="2794" spans="1:5" x14ac:dyDescent="0.25">
      <c r="A2794" s="13">
        <v>1024501294</v>
      </c>
      <c r="B2794" s="11" t="s">
        <v>83</v>
      </c>
      <c r="C2794" s="1" t="s">
        <v>3453</v>
      </c>
      <c r="D2794" s="1" t="s">
        <v>3454</v>
      </c>
      <c r="E2794" s="1" t="s">
        <v>19</v>
      </c>
    </row>
    <row r="2795" spans="1:5" x14ac:dyDescent="0.25">
      <c r="A2795" s="13">
        <v>1024504782</v>
      </c>
      <c r="B2795" s="11" t="s">
        <v>83</v>
      </c>
      <c r="C2795" s="1" t="s">
        <v>2548</v>
      </c>
      <c r="D2795" s="1" t="s">
        <v>47</v>
      </c>
      <c r="E2795" s="1" t="s">
        <v>16</v>
      </c>
    </row>
    <row r="2796" spans="1:5" x14ac:dyDescent="0.25">
      <c r="A2796" s="13">
        <v>1024505434</v>
      </c>
      <c r="B2796" s="11" t="s">
        <v>83</v>
      </c>
      <c r="C2796" s="1" t="s">
        <v>3626</v>
      </c>
      <c r="D2796" s="1" t="s">
        <v>3627</v>
      </c>
      <c r="E2796" s="1" t="s">
        <v>21</v>
      </c>
    </row>
    <row r="2797" spans="1:5" x14ac:dyDescent="0.25">
      <c r="A2797" s="13">
        <v>1024506619</v>
      </c>
      <c r="B2797" s="11" t="s">
        <v>83</v>
      </c>
      <c r="C2797" s="1" t="s">
        <v>2547</v>
      </c>
      <c r="D2797" s="1" t="s">
        <v>47</v>
      </c>
      <c r="E2797" s="1" t="s">
        <v>33</v>
      </c>
    </row>
    <row r="2798" spans="1:5" x14ac:dyDescent="0.25">
      <c r="A2798" s="13">
        <v>1024506629</v>
      </c>
      <c r="B2798" s="11" t="s">
        <v>83</v>
      </c>
      <c r="C2798" s="1" t="s">
        <v>2545</v>
      </c>
      <c r="D2798" s="1" t="s">
        <v>2546</v>
      </c>
      <c r="E2798" s="1" t="s">
        <v>134</v>
      </c>
    </row>
    <row r="2799" spans="1:5" x14ac:dyDescent="0.25">
      <c r="A2799" s="13">
        <v>1024512067</v>
      </c>
      <c r="B2799" s="11" t="s">
        <v>83</v>
      </c>
      <c r="C2799" s="1" t="s">
        <v>3684</v>
      </c>
      <c r="D2799" s="1" t="s">
        <v>3246</v>
      </c>
      <c r="E2799" s="1" t="s">
        <v>24</v>
      </c>
    </row>
    <row r="2800" spans="1:5" x14ac:dyDescent="0.25">
      <c r="A2800" s="13">
        <v>1024524821</v>
      </c>
      <c r="B2800" s="11" t="s">
        <v>84</v>
      </c>
      <c r="C2800" s="1" t="s">
        <v>2544</v>
      </c>
      <c r="D2800" s="1" t="s">
        <v>151</v>
      </c>
      <c r="E2800" s="1" t="s">
        <v>17</v>
      </c>
    </row>
    <row r="2801" spans="1:5" x14ac:dyDescent="0.25">
      <c r="A2801" s="13">
        <v>1024525316</v>
      </c>
      <c r="B2801" s="11" t="s">
        <v>116</v>
      </c>
      <c r="C2801" s="1" t="s">
        <v>3628</v>
      </c>
      <c r="D2801" s="1" t="s">
        <v>117</v>
      </c>
      <c r="E2801" s="1" t="s">
        <v>3118</v>
      </c>
    </row>
    <row r="2802" spans="1:5" x14ac:dyDescent="0.25">
      <c r="A2802" s="13">
        <v>1024528858</v>
      </c>
      <c r="B2802" s="11" t="s">
        <v>84</v>
      </c>
      <c r="C2802" s="1" t="s">
        <v>2543</v>
      </c>
      <c r="D2802" s="1" t="s">
        <v>3584</v>
      </c>
      <c r="E2802" s="1" t="s">
        <v>27</v>
      </c>
    </row>
    <row r="2803" spans="1:5" x14ac:dyDescent="0.25">
      <c r="A2803" s="13">
        <v>1024529015</v>
      </c>
      <c r="B2803" s="11" t="s">
        <v>84</v>
      </c>
      <c r="C2803" s="1" t="s">
        <v>2542</v>
      </c>
      <c r="D2803" s="1" t="s">
        <v>38</v>
      </c>
      <c r="E2803" s="1" t="s">
        <v>3120</v>
      </c>
    </row>
    <row r="2804" spans="1:5" x14ac:dyDescent="0.25">
      <c r="A2804" s="13">
        <v>1024536426</v>
      </c>
      <c r="B2804" s="11" t="s">
        <v>83</v>
      </c>
      <c r="C2804" s="1" t="s">
        <v>3455</v>
      </c>
      <c r="D2804" s="1" t="s">
        <v>42</v>
      </c>
      <c r="E2804" s="1" t="s">
        <v>4</v>
      </c>
    </row>
    <row r="2805" spans="1:5" x14ac:dyDescent="0.25">
      <c r="A2805" s="13">
        <v>1024542489</v>
      </c>
      <c r="B2805" s="11" t="s">
        <v>83</v>
      </c>
      <c r="C2805" s="1" t="s">
        <v>3456</v>
      </c>
      <c r="D2805" s="1" t="s">
        <v>340</v>
      </c>
      <c r="E2805" s="1" t="s">
        <v>23</v>
      </c>
    </row>
    <row r="2806" spans="1:5" x14ac:dyDescent="0.25">
      <c r="A2806" s="13">
        <v>1024547698</v>
      </c>
      <c r="B2806" s="11" t="s">
        <v>83</v>
      </c>
      <c r="C2806" s="1" t="s">
        <v>2541</v>
      </c>
      <c r="D2806" s="1" t="s">
        <v>63</v>
      </c>
      <c r="E2806" s="1" t="s">
        <v>20</v>
      </c>
    </row>
    <row r="2807" spans="1:5" x14ac:dyDescent="0.25">
      <c r="A2807" s="13">
        <v>1024549760</v>
      </c>
      <c r="B2807" s="11" t="s">
        <v>84</v>
      </c>
      <c r="C2807" s="1" t="s">
        <v>2540</v>
      </c>
      <c r="D2807" s="1" t="s">
        <v>3584</v>
      </c>
      <c r="E2807" s="1" t="s">
        <v>3085</v>
      </c>
    </row>
    <row r="2808" spans="1:5" x14ac:dyDescent="0.25">
      <c r="A2808" s="13">
        <v>1024561068</v>
      </c>
      <c r="B2808" s="11" t="s">
        <v>84</v>
      </c>
      <c r="C2808" s="1" t="s">
        <v>2539</v>
      </c>
      <c r="D2808" s="1" t="s">
        <v>36</v>
      </c>
      <c r="E2808" s="1" t="s">
        <v>17</v>
      </c>
    </row>
    <row r="2809" spans="1:5" x14ac:dyDescent="0.25">
      <c r="A2809" s="13">
        <v>1024562107</v>
      </c>
      <c r="B2809" s="11" t="s">
        <v>83</v>
      </c>
      <c r="C2809" s="1" t="s">
        <v>2537</v>
      </c>
      <c r="D2809" s="1" t="s">
        <v>2538</v>
      </c>
      <c r="E2809" s="1" t="s">
        <v>24</v>
      </c>
    </row>
    <row r="2810" spans="1:5" x14ac:dyDescent="0.25">
      <c r="A2810" s="13">
        <v>1024574213</v>
      </c>
      <c r="B2810" s="11" t="s">
        <v>116</v>
      </c>
      <c r="C2810" s="1" t="s">
        <v>2536</v>
      </c>
      <c r="D2810" s="1" t="s">
        <v>117</v>
      </c>
      <c r="E2810" s="1" t="s">
        <v>168</v>
      </c>
    </row>
    <row r="2811" spans="1:5" x14ac:dyDescent="0.25">
      <c r="A2811" s="13">
        <v>1024592549</v>
      </c>
      <c r="B2811" s="11" t="s">
        <v>83</v>
      </c>
      <c r="C2811" s="1" t="s">
        <v>2535</v>
      </c>
      <c r="D2811" s="1" t="s">
        <v>36</v>
      </c>
      <c r="E2811" s="1" t="s">
        <v>21</v>
      </c>
    </row>
    <row r="2812" spans="1:5" x14ac:dyDescent="0.25">
      <c r="A2812" s="13">
        <v>1024594848</v>
      </c>
      <c r="B2812" s="11" t="s">
        <v>84</v>
      </c>
      <c r="C2812" s="1" t="s">
        <v>3699</v>
      </c>
      <c r="D2812" s="1" t="s">
        <v>36</v>
      </c>
      <c r="E2812" s="1" t="s">
        <v>26</v>
      </c>
    </row>
    <row r="2813" spans="1:5" x14ac:dyDescent="0.25">
      <c r="A2813" s="13">
        <v>1024598468</v>
      </c>
      <c r="B2813" s="11" t="s">
        <v>83</v>
      </c>
      <c r="C2813" s="1" t="s">
        <v>2534</v>
      </c>
      <c r="D2813" s="1" t="s">
        <v>48</v>
      </c>
      <c r="E2813" s="1" t="s">
        <v>19</v>
      </c>
    </row>
    <row r="2814" spans="1:5" x14ac:dyDescent="0.25">
      <c r="A2814" s="13">
        <v>1025322754</v>
      </c>
      <c r="B2814" s="11" t="s">
        <v>83</v>
      </c>
      <c r="C2814" s="1" t="s">
        <v>3629</v>
      </c>
      <c r="D2814" s="1" t="s">
        <v>44</v>
      </c>
      <c r="E2814" s="1" t="s">
        <v>16</v>
      </c>
    </row>
    <row r="2815" spans="1:5" x14ac:dyDescent="0.25">
      <c r="A2815" s="13">
        <v>1025522386</v>
      </c>
      <c r="B2815" s="11" t="s">
        <v>83</v>
      </c>
      <c r="C2815" s="1" t="s">
        <v>3457</v>
      </c>
      <c r="D2815" s="1" t="s">
        <v>79</v>
      </c>
      <c r="E2815" s="1" t="s">
        <v>16</v>
      </c>
    </row>
    <row r="2816" spans="1:5" x14ac:dyDescent="0.25">
      <c r="A2816" s="13">
        <v>1026252093</v>
      </c>
      <c r="B2816" s="11" t="s">
        <v>84</v>
      </c>
      <c r="C2816" s="1" t="s">
        <v>2532</v>
      </c>
      <c r="D2816" s="1" t="s">
        <v>43</v>
      </c>
      <c r="E2816" s="1" t="s">
        <v>8</v>
      </c>
    </row>
    <row r="2817" spans="1:5" x14ac:dyDescent="0.25">
      <c r="A2817" s="13">
        <v>1026254561</v>
      </c>
      <c r="B2817" s="11" t="s">
        <v>84</v>
      </c>
      <c r="C2817" s="1" t="s">
        <v>2531</v>
      </c>
      <c r="D2817" s="1" t="s">
        <v>185</v>
      </c>
      <c r="E2817" s="1" t="s">
        <v>127</v>
      </c>
    </row>
    <row r="2818" spans="1:5" x14ac:dyDescent="0.25">
      <c r="A2818" s="13">
        <v>1026254953</v>
      </c>
      <c r="B2818" s="11" t="s">
        <v>84</v>
      </c>
      <c r="C2818" s="1" t="s">
        <v>2530</v>
      </c>
      <c r="D2818" s="1" t="s">
        <v>3084</v>
      </c>
      <c r="E2818" s="1" t="s">
        <v>1</v>
      </c>
    </row>
    <row r="2819" spans="1:5" x14ac:dyDescent="0.25">
      <c r="A2819" s="13">
        <v>1026257756</v>
      </c>
      <c r="B2819" s="11" t="s">
        <v>83</v>
      </c>
      <c r="C2819" s="1" t="s">
        <v>2529</v>
      </c>
      <c r="D2819" s="1" t="s">
        <v>47</v>
      </c>
      <c r="E2819" s="1" t="s">
        <v>24</v>
      </c>
    </row>
    <row r="2820" spans="1:5" x14ac:dyDescent="0.25">
      <c r="A2820" s="13">
        <v>1026261012</v>
      </c>
      <c r="B2820" s="11" t="s">
        <v>84</v>
      </c>
      <c r="C2820" s="1" t="s">
        <v>2528</v>
      </c>
      <c r="D2820" s="1" t="s">
        <v>43</v>
      </c>
      <c r="E2820" s="1" t="s">
        <v>8</v>
      </c>
    </row>
    <row r="2821" spans="1:5" x14ac:dyDescent="0.25">
      <c r="A2821" s="13">
        <v>1026263264</v>
      </c>
      <c r="B2821" s="11" t="s">
        <v>83</v>
      </c>
      <c r="C2821" s="1" t="s">
        <v>2527</v>
      </c>
      <c r="D2821" s="1" t="s">
        <v>323</v>
      </c>
      <c r="E2821" s="1" t="s">
        <v>16</v>
      </c>
    </row>
    <row r="2822" spans="1:5" x14ac:dyDescent="0.25">
      <c r="A2822" s="13">
        <v>1026266762</v>
      </c>
      <c r="B2822" s="11" t="s">
        <v>116</v>
      </c>
      <c r="C2822" s="1" t="s">
        <v>2526</v>
      </c>
      <c r="D2822" s="1" t="s">
        <v>117</v>
      </c>
      <c r="E2822" s="1" t="s">
        <v>8</v>
      </c>
    </row>
    <row r="2823" spans="1:5" x14ac:dyDescent="0.25">
      <c r="A2823" s="13">
        <v>1026266822</v>
      </c>
      <c r="B2823" s="11" t="s">
        <v>83</v>
      </c>
      <c r="C2823" s="1" t="s">
        <v>2525</v>
      </c>
      <c r="D2823" s="1" t="s">
        <v>47</v>
      </c>
      <c r="E2823" s="1" t="s">
        <v>19</v>
      </c>
    </row>
    <row r="2824" spans="1:5" x14ac:dyDescent="0.25">
      <c r="A2824" s="13">
        <v>1026274533</v>
      </c>
      <c r="B2824" s="11" t="s">
        <v>84</v>
      </c>
      <c r="C2824" s="1" t="s">
        <v>3107</v>
      </c>
      <c r="D2824" s="1" t="s">
        <v>38</v>
      </c>
      <c r="E2824" s="1" t="s">
        <v>13</v>
      </c>
    </row>
    <row r="2825" spans="1:5" x14ac:dyDescent="0.25">
      <c r="A2825" s="13">
        <v>1026287580</v>
      </c>
      <c r="B2825" s="11" t="s">
        <v>116</v>
      </c>
      <c r="C2825" s="1" t="s">
        <v>3630</v>
      </c>
      <c r="D2825" s="1" t="s">
        <v>117</v>
      </c>
      <c r="E2825" s="1" t="s">
        <v>3190</v>
      </c>
    </row>
    <row r="2826" spans="1:5" x14ac:dyDescent="0.25">
      <c r="A2826" s="13">
        <v>1026288644</v>
      </c>
      <c r="B2826" s="11" t="s">
        <v>84</v>
      </c>
      <c r="C2826" s="1" t="s">
        <v>2524</v>
      </c>
      <c r="D2826" s="1" t="s">
        <v>38</v>
      </c>
      <c r="E2826" s="1" t="s">
        <v>9</v>
      </c>
    </row>
    <row r="2827" spans="1:5" x14ac:dyDescent="0.25">
      <c r="A2827" s="13">
        <v>1026289021</v>
      </c>
      <c r="B2827" s="11" t="s">
        <v>83</v>
      </c>
      <c r="C2827" s="1" t="s">
        <v>2523</v>
      </c>
      <c r="D2827" s="1" t="s">
        <v>47</v>
      </c>
      <c r="E2827" s="1" t="s">
        <v>27</v>
      </c>
    </row>
    <row r="2828" spans="1:5" x14ac:dyDescent="0.25">
      <c r="A2828" s="13">
        <v>1026290741</v>
      </c>
      <c r="B2828" s="11" t="s">
        <v>83</v>
      </c>
      <c r="C2828" s="1" t="s">
        <v>2522</v>
      </c>
      <c r="D2828" s="1" t="s">
        <v>1077</v>
      </c>
      <c r="E2828" s="1" t="s">
        <v>31</v>
      </c>
    </row>
    <row r="2829" spans="1:5" x14ac:dyDescent="0.25">
      <c r="A2829" s="13">
        <v>1026292056</v>
      </c>
      <c r="B2829" s="11" t="s">
        <v>84</v>
      </c>
      <c r="C2829" s="1" t="s">
        <v>2521</v>
      </c>
      <c r="D2829" s="1" t="s">
        <v>41</v>
      </c>
      <c r="E2829" s="1" t="s">
        <v>3071</v>
      </c>
    </row>
    <row r="2830" spans="1:5" x14ac:dyDescent="0.25">
      <c r="A2830" s="13">
        <v>1026292882</v>
      </c>
      <c r="B2830" s="11" t="s">
        <v>84</v>
      </c>
      <c r="C2830" s="1" t="s">
        <v>2520</v>
      </c>
      <c r="D2830" s="1" t="s">
        <v>41</v>
      </c>
      <c r="E2830" s="1" t="s">
        <v>17</v>
      </c>
    </row>
    <row r="2831" spans="1:5" x14ac:dyDescent="0.25">
      <c r="A2831" s="13">
        <v>1026293347</v>
      </c>
      <c r="B2831" s="11" t="s">
        <v>84</v>
      </c>
      <c r="C2831" s="1" t="s">
        <v>3672</v>
      </c>
      <c r="D2831" s="1" t="s">
        <v>79</v>
      </c>
      <c r="E2831" s="1" t="s">
        <v>3595</v>
      </c>
    </row>
    <row r="2832" spans="1:5" x14ac:dyDescent="0.25">
      <c r="A2832" s="13">
        <v>1026298299</v>
      </c>
      <c r="B2832" s="11" t="s">
        <v>83</v>
      </c>
      <c r="C2832" s="1" t="s">
        <v>2519</v>
      </c>
      <c r="D2832" s="1" t="s">
        <v>48</v>
      </c>
      <c r="E2832" s="1" t="s">
        <v>19</v>
      </c>
    </row>
    <row r="2833" spans="1:5" x14ac:dyDescent="0.25">
      <c r="A2833" s="13">
        <v>1026301717</v>
      </c>
      <c r="B2833" s="11" t="s">
        <v>84</v>
      </c>
      <c r="C2833" s="1" t="s">
        <v>2518</v>
      </c>
      <c r="D2833" s="1" t="s">
        <v>36</v>
      </c>
      <c r="E2833" s="1" t="s">
        <v>17</v>
      </c>
    </row>
    <row r="2834" spans="1:5" x14ac:dyDescent="0.25">
      <c r="A2834" s="13">
        <v>1026305440</v>
      </c>
      <c r="B2834" s="11" t="s">
        <v>84</v>
      </c>
      <c r="C2834" s="1" t="s">
        <v>3458</v>
      </c>
      <c r="D2834" s="1" t="s">
        <v>36</v>
      </c>
      <c r="E2834" s="1" t="s">
        <v>3071</v>
      </c>
    </row>
    <row r="2835" spans="1:5" x14ac:dyDescent="0.25">
      <c r="A2835" s="13">
        <v>1026307192</v>
      </c>
      <c r="B2835" s="11" t="s">
        <v>83</v>
      </c>
      <c r="C2835" s="1" t="s">
        <v>2517</v>
      </c>
      <c r="D2835" s="1" t="s">
        <v>57</v>
      </c>
      <c r="E2835" s="1" t="s">
        <v>23</v>
      </c>
    </row>
    <row r="2836" spans="1:5" x14ac:dyDescent="0.25">
      <c r="A2836" s="13">
        <v>1026550380</v>
      </c>
      <c r="B2836" s="11" t="s">
        <v>83</v>
      </c>
      <c r="C2836" s="1" t="s">
        <v>3083</v>
      </c>
      <c r="D2836" s="1" t="s">
        <v>44</v>
      </c>
      <c r="E2836" s="1" t="s">
        <v>16</v>
      </c>
    </row>
    <row r="2837" spans="1:5" x14ac:dyDescent="0.25">
      <c r="A2837" s="13">
        <v>1026553970</v>
      </c>
      <c r="B2837" s="11" t="s">
        <v>116</v>
      </c>
      <c r="C2837" s="1" t="s">
        <v>3631</v>
      </c>
      <c r="D2837" s="1" t="s">
        <v>117</v>
      </c>
      <c r="E2837" s="1" t="s">
        <v>12</v>
      </c>
    </row>
    <row r="2838" spans="1:5" x14ac:dyDescent="0.25">
      <c r="A2838" s="13">
        <v>1026568859</v>
      </c>
      <c r="B2838" s="11" t="s">
        <v>83</v>
      </c>
      <c r="C2838" s="1" t="s">
        <v>2516</v>
      </c>
      <c r="D2838" s="1" t="s">
        <v>79</v>
      </c>
      <c r="E2838" s="1" t="s">
        <v>19</v>
      </c>
    </row>
    <row r="2839" spans="1:5" x14ac:dyDescent="0.25">
      <c r="A2839" s="13">
        <v>1026571374</v>
      </c>
      <c r="B2839" s="11" t="s">
        <v>84</v>
      </c>
      <c r="C2839" s="1" t="s">
        <v>2515</v>
      </c>
      <c r="D2839" s="1" t="s">
        <v>36</v>
      </c>
      <c r="E2839" s="1" t="s">
        <v>17</v>
      </c>
    </row>
    <row r="2840" spans="1:5" x14ac:dyDescent="0.25">
      <c r="A2840" s="13">
        <v>1026574676</v>
      </c>
      <c r="B2840" s="11" t="s">
        <v>83</v>
      </c>
      <c r="C2840" s="1" t="s">
        <v>2514</v>
      </c>
      <c r="D2840" s="1" t="s">
        <v>100</v>
      </c>
      <c r="E2840" s="1" t="s">
        <v>21</v>
      </c>
    </row>
    <row r="2841" spans="1:5" x14ac:dyDescent="0.25">
      <c r="A2841" s="13">
        <v>1026577198</v>
      </c>
      <c r="B2841" s="11" t="s">
        <v>83</v>
      </c>
      <c r="C2841" s="1" t="s">
        <v>2513</v>
      </c>
      <c r="D2841" s="1" t="s">
        <v>36</v>
      </c>
      <c r="E2841" s="1" t="s">
        <v>21</v>
      </c>
    </row>
    <row r="2842" spans="1:5" x14ac:dyDescent="0.25">
      <c r="A2842" s="13">
        <v>1026577742</v>
      </c>
      <c r="B2842" s="11" t="s">
        <v>83</v>
      </c>
      <c r="C2842" s="1" t="s">
        <v>2512</v>
      </c>
      <c r="D2842" s="1" t="s">
        <v>59</v>
      </c>
      <c r="E2842" s="1" t="s">
        <v>19</v>
      </c>
    </row>
    <row r="2843" spans="1:5" x14ac:dyDescent="0.25">
      <c r="A2843" s="13">
        <v>1026580236</v>
      </c>
      <c r="B2843" s="11" t="s">
        <v>84</v>
      </c>
      <c r="C2843" s="1" t="s">
        <v>2511</v>
      </c>
      <c r="D2843" s="1" t="s">
        <v>38</v>
      </c>
      <c r="E2843" s="1" t="s">
        <v>541</v>
      </c>
    </row>
    <row r="2844" spans="1:5" x14ac:dyDescent="0.25">
      <c r="A2844" s="13">
        <v>1026585361</v>
      </c>
      <c r="B2844" s="11" t="s">
        <v>83</v>
      </c>
      <c r="C2844" s="1" t="s">
        <v>2510</v>
      </c>
      <c r="D2844" s="1" t="s">
        <v>47</v>
      </c>
      <c r="E2844" s="1" t="s">
        <v>20</v>
      </c>
    </row>
    <row r="2845" spans="1:5" x14ac:dyDescent="0.25">
      <c r="A2845" s="13">
        <v>1026597443</v>
      </c>
      <c r="B2845" s="11" t="s">
        <v>83</v>
      </c>
      <c r="C2845" s="1" t="s">
        <v>3009</v>
      </c>
      <c r="D2845" s="1" t="s">
        <v>290</v>
      </c>
      <c r="E2845" s="1" t="s">
        <v>23</v>
      </c>
    </row>
    <row r="2846" spans="1:5" x14ac:dyDescent="0.25">
      <c r="A2846" s="13">
        <v>1026599257</v>
      </c>
      <c r="B2846" s="11" t="s">
        <v>83</v>
      </c>
      <c r="C2846" s="1" t="s">
        <v>3106</v>
      </c>
      <c r="D2846" s="1" t="s">
        <v>3632</v>
      </c>
      <c r="E2846" s="1" t="s">
        <v>237</v>
      </c>
    </row>
    <row r="2847" spans="1:5" x14ac:dyDescent="0.25">
      <c r="A2847" s="13">
        <v>1026599957</v>
      </c>
      <c r="B2847" s="11" t="s">
        <v>84</v>
      </c>
      <c r="C2847" s="1" t="s">
        <v>3459</v>
      </c>
      <c r="D2847" s="1" t="s">
        <v>79</v>
      </c>
      <c r="E2847" s="1" t="s">
        <v>1</v>
      </c>
    </row>
    <row r="2848" spans="1:5" x14ac:dyDescent="0.25">
      <c r="A2848" s="13">
        <v>1027521770</v>
      </c>
      <c r="B2848" s="11" t="s">
        <v>84</v>
      </c>
      <c r="C2848" s="1" t="s">
        <v>3460</v>
      </c>
      <c r="D2848" s="1" t="s">
        <v>36</v>
      </c>
      <c r="E2848" s="1" t="s">
        <v>1</v>
      </c>
    </row>
    <row r="2849" spans="1:5" x14ac:dyDescent="0.25">
      <c r="A2849" s="13">
        <v>1028481373</v>
      </c>
      <c r="B2849" s="11" t="s">
        <v>84</v>
      </c>
      <c r="C2849" s="1" t="s">
        <v>3461</v>
      </c>
      <c r="D2849" s="1" t="s">
        <v>36</v>
      </c>
      <c r="E2849" s="1" t="s">
        <v>1</v>
      </c>
    </row>
    <row r="2850" spans="1:5" x14ac:dyDescent="0.25">
      <c r="A2850" s="13">
        <v>1028660521</v>
      </c>
      <c r="B2850" s="11" t="s">
        <v>84</v>
      </c>
      <c r="C2850" s="1" t="s">
        <v>3462</v>
      </c>
      <c r="D2850" s="1" t="s">
        <v>36</v>
      </c>
      <c r="E2850" s="1" t="s">
        <v>1</v>
      </c>
    </row>
    <row r="2851" spans="1:5" x14ac:dyDescent="0.25">
      <c r="A2851" s="13">
        <v>1028860199</v>
      </c>
      <c r="B2851" s="11" t="s">
        <v>84</v>
      </c>
      <c r="C2851" s="1" t="s">
        <v>3073</v>
      </c>
      <c r="D2851" s="1" t="s">
        <v>3131</v>
      </c>
      <c r="E2851" s="1" t="s">
        <v>1</v>
      </c>
    </row>
    <row r="2852" spans="1:5" x14ac:dyDescent="0.25">
      <c r="A2852" s="13">
        <v>1028881056</v>
      </c>
      <c r="B2852" s="11" t="s">
        <v>83</v>
      </c>
      <c r="C2852" s="1" t="s">
        <v>3159</v>
      </c>
      <c r="D2852" s="1" t="s">
        <v>79</v>
      </c>
      <c r="E2852" s="1" t="s">
        <v>16</v>
      </c>
    </row>
    <row r="2853" spans="1:5" x14ac:dyDescent="0.25">
      <c r="A2853" s="13">
        <v>1030521494</v>
      </c>
      <c r="B2853" s="11" t="s">
        <v>116</v>
      </c>
      <c r="C2853" s="1" t="s">
        <v>2508</v>
      </c>
      <c r="D2853" s="1" t="s">
        <v>117</v>
      </c>
      <c r="E2853" s="1" t="s">
        <v>263</v>
      </c>
    </row>
    <row r="2854" spans="1:5" x14ac:dyDescent="0.25">
      <c r="A2854" s="13">
        <v>1030524201</v>
      </c>
      <c r="B2854" s="11" t="s">
        <v>116</v>
      </c>
      <c r="C2854" s="1" t="s">
        <v>2507</v>
      </c>
      <c r="D2854" s="1" t="s">
        <v>151</v>
      </c>
      <c r="E2854" s="1" t="s">
        <v>152</v>
      </c>
    </row>
    <row r="2855" spans="1:5" x14ac:dyDescent="0.25">
      <c r="A2855" s="13">
        <v>1030529666</v>
      </c>
      <c r="B2855" s="11" t="s">
        <v>83</v>
      </c>
      <c r="C2855" s="1" t="s">
        <v>2506</v>
      </c>
      <c r="D2855" s="1" t="s">
        <v>55</v>
      </c>
      <c r="E2855" s="1" t="s">
        <v>16</v>
      </c>
    </row>
    <row r="2856" spans="1:5" x14ac:dyDescent="0.25">
      <c r="A2856" s="13">
        <v>1030530037</v>
      </c>
      <c r="B2856" s="11" t="s">
        <v>83</v>
      </c>
      <c r="C2856" s="1" t="s">
        <v>2505</v>
      </c>
      <c r="D2856" s="1" t="s">
        <v>47</v>
      </c>
      <c r="E2856" s="1" t="s">
        <v>16</v>
      </c>
    </row>
    <row r="2857" spans="1:5" x14ac:dyDescent="0.25">
      <c r="A2857" s="13">
        <v>1030533184</v>
      </c>
      <c r="B2857" s="11" t="s">
        <v>83</v>
      </c>
      <c r="C2857" s="1" t="s">
        <v>2503</v>
      </c>
      <c r="D2857" s="1" t="s">
        <v>2504</v>
      </c>
      <c r="E2857" s="1" t="s">
        <v>4</v>
      </c>
    </row>
    <row r="2858" spans="1:5" x14ac:dyDescent="0.25">
      <c r="A2858" s="13">
        <v>1030533291</v>
      </c>
      <c r="B2858" s="11" t="s">
        <v>116</v>
      </c>
      <c r="C2858" s="1" t="s">
        <v>2502</v>
      </c>
      <c r="D2858" s="1" t="s">
        <v>117</v>
      </c>
      <c r="E2858" s="1" t="s">
        <v>10</v>
      </c>
    </row>
    <row r="2859" spans="1:5" x14ac:dyDescent="0.25">
      <c r="A2859" s="13">
        <v>1030535768</v>
      </c>
      <c r="B2859" s="11" t="s">
        <v>84</v>
      </c>
      <c r="C2859" s="1" t="s">
        <v>2501</v>
      </c>
      <c r="D2859" s="1" t="s">
        <v>38</v>
      </c>
      <c r="E2859" s="1" t="s">
        <v>5</v>
      </c>
    </row>
    <row r="2860" spans="1:5" x14ac:dyDescent="0.25">
      <c r="A2860" s="13">
        <v>1030535980</v>
      </c>
      <c r="B2860" s="11" t="s">
        <v>84</v>
      </c>
      <c r="C2860" s="1" t="s">
        <v>2500</v>
      </c>
      <c r="D2860" s="1" t="s">
        <v>381</v>
      </c>
      <c r="E2860" s="1" t="s">
        <v>26</v>
      </c>
    </row>
    <row r="2861" spans="1:5" x14ac:dyDescent="0.25">
      <c r="A2861" s="13">
        <v>1030537113</v>
      </c>
      <c r="B2861" s="11" t="s">
        <v>116</v>
      </c>
      <c r="C2861" s="1" t="s">
        <v>3463</v>
      </c>
      <c r="D2861" s="1" t="s">
        <v>117</v>
      </c>
      <c r="E2861" s="1" t="s">
        <v>3118</v>
      </c>
    </row>
    <row r="2862" spans="1:5" x14ac:dyDescent="0.25">
      <c r="A2862" s="13">
        <v>1030540063</v>
      </c>
      <c r="B2862" s="11" t="s">
        <v>83</v>
      </c>
      <c r="C2862" s="1" t="s">
        <v>2499</v>
      </c>
      <c r="D2862" s="1" t="s">
        <v>80</v>
      </c>
      <c r="E2862" s="1" t="s">
        <v>20</v>
      </c>
    </row>
    <row r="2863" spans="1:5" x14ac:dyDescent="0.25">
      <c r="A2863" s="13">
        <v>1030540723</v>
      </c>
      <c r="B2863" s="11" t="s">
        <v>83</v>
      </c>
      <c r="C2863" s="1" t="s">
        <v>2498</v>
      </c>
      <c r="D2863" s="1" t="s">
        <v>47</v>
      </c>
      <c r="E2863" s="1" t="s">
        <v>16</v>
      </c>
    </row>
    <row r="2864" spans="1:5" x14ac:dyDescent="0.25">
      <c r="A2864" s="13">
        <v>1030541272</v>
      </c>
      <c r="B2864" s="11" t="s">
        <v>83</v>
      </c>
      <c r="C2864" s="1" t="s">
        <v>2497</v>
      </c>
      <c r="D2864" s="1" t="s">
        <v>2939</v>
      </c>
      <c r="E2864" s="1" t="s">
        <v>196</v>
      </c>
    </row>
    <row r="2865" spans="1:5" x14ac:dyDescent="0.25">
      <c r="A2865" s="13">
        <v>1030553258</v>
      </c>
      <c r="B2865" s="11" t="s">
        <v>116</v>
      </c>
      <c r="C2865" s="1" t="s">
        <v>3464</v>
      </c>
      <c r="D2865" s="1" t="s">
        <v>117</v>
      </c>
      <c r="E2865" s="1" t="s">
        <v>3211</v>
      </c>
    </row>
    <row r="2866" spans="1:5" x14ac:dyDescent="0.25">
      <c r="A2866" s="13">
        <v>1030554668</v>
      </c>
      <c r="B2866" s="11" t="s">
        <v>84</v>
      </c>
      <c r="C2866" s="1" t="s">
        <v>2496</v>
      </c>
      <c r="D2866" s="1" t="s">
        <v>47</v>
      </c>
      <c r="E2866" s="1" t="s">
        <v>17</v>
      </c>
    </row>
    <row r="2867" spans="1:5" x14ac:dyDescent="0.25">
      <c r="A2867" s="13">
        <v>1030556758</v>
      </c>
      <c r="B2867" s="11" t="s">
        <v>83</v>
      </c>
      <c r="C2867" s="1" t="s">
        <v>2495</v>
      </c>
      <c r="D2867" s="1" t="s">
        <v>47</v>
      </c>
      <c r="E2867" s="1" t="s">
        <v>196</v>
      </c>
    </row>
    <row r="2868" spans="1:5" x14ac:dyDescent="0.25">
      <c r="A2868" s="13">
        <v>1030561137</v>
      </c>
      <c r="B2868" s="11" t="s">
        <v>83</v>
      </c>
      <c r="C2868" s="1" t="s">
        <v>2494</v>
      </c>
      <c r="D2868" s="1" t="s">
        <v>47</v>
      </c>
      <c r="E2868" s="1" t="s">
        <v>16</v>
      </c>
    </row>
    <row r="2869" spans="1:5" x14ac:dyDescent="0.25">
      <c r="A2869" s="13">
        <v>1030565700</v>
      </c>
      <c r="B2869" s="11" t="s">
        <v>84</v>
      </c>
      <c r="C2869" s="1" t="s">
        <v>2493</v>
      </c>
      <c r="D2869" s="1" t="s">
        <v>38</v>
      </c>
      <c r="E2869" s="1" t="s">
        <v>168</v>
      </c>
    </row>
    <row r="2870" spans="1:5" x14ac:dyDescent="0.25">
      <c r="A2870" s="13">
        <v>1030567635</v>
      </c>
      <c r="B2870" s="11" t="s">
        <v>83</v>
      </c>
      <c r="C2870" s="1" t="s">
        <v>3089</v>
      </c>
      <c r="D2870" s="1" t="s">
        <v>96</v>
      </c>
      <c r="E2870" s="1" t="s">
        <v>248</v>
      </c>
    </row>
    <row r="2871" spans="1:5" x14ac:dyDescent="0.25">
      <c r="A2871" s="13">
        <v>1030575769</v>
      </c>
      <c r="B2871" s="11" t="s">
        <v>83</v>
      </c>
      <c r="C2871" s="1" t="s">
        <v>2492</v>
      </c>
      <c r="D2871" s="1" t="s">
        <v>3139</v>
      </c>
      <c r="E2871" s="1" t="s">
        <v>24</v>
      </c>
    </row>
    <row r="2872" spans="1:5" x14ac:dyDescent="0.25">
      <c r="A2872" s="13">
        <v>1030580869</v>
      </c>
      <c r="B2872" s="11" t="s">
        <v>83</v>
      </c>
      <c r="C2872" s="1" t="s">
        <v>2491</v>
      </c>
      <c r="D2872" s="1" t="s">
        <v>47</v>
      </c>
      <c r="E2872" s="1" t="s">
        <v>26</v>
      </c>
    </row>
    <row r="2873" spans="1:5" x14ac:dyDescent="0.25">
      <c r="A2873" s="13">
        <v>1030594167</v>
      </c>
      <c r="B2873" s="11" t="s">
        <v>83</v>
      </c>
      <c r="C2873" s="1" t="s">
        <v>2490</v>
      </c>
      <c r="D2873" s="1" t="s">
        <v>44</v>
      </c>
      <c r="E2873" s="1" t="s">
        <v>16</v>
      </c>
    </row>
    <row r="2874" spans="1:5" x14ac:dyDescent="0.25">
      <c r="A2874" s="13">
        <v>1030600037</v>
      </c>
      <c r="B2874" s="11" t="s">
        <v>84</v>
      </c>
      <c r="C2874" s="1" t="s">
        <v>3465</v>
      </c>
      <c r="D2874" s="1" t="s">
        <v>36</v>
      </c>
      <c r="E2874" s="1" t="s">
        <v>1</v>
      </c>
    </row>
    <row r="2875" spans="1:5" x14ac:dyDescent="0.25">
      <c r="A2875" s="13">
        <v>1030602354</v>
      </c>
      <c r="B2875" s="11" t="s">
        <v>83</v>
      </c>
      <c r="C2875" s="1" t="s">
        <v>2489</v>
      </c>
      <c r="D2875" s="1" t="s">
        <v>47</v>
      </c>
      <c r="E2875" s="1" t="s">
        <v>19</v>
      </c>
    </row>
    <row r="2876" spans="1:5" x14ac:dyDescent="0.25">
      <c r="A2876" s="13">
        <v>1030610411</v>
      </c>
      <c r="B2876" s="11" t="s">
        <v>84</v>
      </c>
      <c r="C2876" s="1" t="s">
        <v>3466</v>
      </c>
      <c r="D2876" s="1" t="s">
        <v>38</v>
      </c>
      <c r="E2876" s="1" t="s">
        <v>10</v>
      </c>
    </row>
    <row r="2877" spans="1:5" x14ac:dyDescent="0.25">
      <c r="A2877" s="13">
        <v>1030611663</v>
      </c>
      <c r="B2877" s="11" t="s">
        <v>83</v>
      </c>
      <c r="C2877" s="1" t="s">
        <v>2488</v>
      </c>
      <c r="D2877" s="1" t="s">
        <v>47</v>
      </c>
      <c r="E2877" s="1" t="s">
        <v>29</v>
      </c>
    </row>
    <row r="2878" spans="1:5" x14ac:dyDescent="0.25">
      <c r="A2878" s="13">
        <v>1030611777</v>
      </c>
      <c r="B2878" s="11" t="s">
        <v>83</v>
      </c>
      <c r="C2878" s="1" t="s">
        <v>2487</v>
      </c>
      <c r="D2878" s="1" t="s">
        <v>47</v>
      </c>
      <c r="E2878" s="1" t="s">
        <v>19</v>
      </c>
    </row>
    <row r="2879" spans="1:5" x14ac:dyDescent="0.25">
      <c r="A2879" s="13">
        <v>1030615000</v>
      </c>
      <c r="B2879" s="11" t="s">
        <v>84</v>
      </c>
      <c r="C2879" s="1" t="s">
        <v>2486</v>
      </c>
      <c r="D2879" s="1" t="s">
        <v>3158</v>
      </c>
      <c r="E2879" s="1" t="s">
        <v>3071</v>
      </c>
    </row>
    <row r="2880" spans="1:5" x14ac:dyDescent="0.25">
      <c r="A2880" s="13">
        <v>1030615413</v>
      </c>
      <c r="B2880" s="11" t="s">
        <v>83</v>
      </c>
      <c r="C2880" s="1" t="s">
        <v>3467</v>
      </c>
      <c r="D2880" s="1" t="s">
        <v>56</v>
      </c>
      <c r="E2880" s="1" t="s">
        <v>4</v>
      </c>
    </row>
    <row r="2881" spans="1:5" x14ac:dyDescent="0.25">
      <c r="A2881" s="13">
        <v>1030615821</v>
      </c>
      <c r="B2881" s="11" t="s">
        <v>83</v>
      </c>
      <c r="C2881" s="1" t="s">
        <v>2485</v>
      </c>
      <c r="D2881" s="1" t="s">
        <v>47</v>
      </c>
      <c r="E2881" s="1" t="s">
        <v>17</v>
      </c>
    </row>
    <row r="2882" spans="1:5" x14ac:dyDescent="0.25">
      <c r="A2882" s="13">
        <v>1030619981</v>
      </c>
      <c r="B2882" s="11" t="s">
        <v>83</v>
      </c>
      <c r="C2882" s="1" t="s">
        <v>3468</v>
      </c>
      <c r="D2882" s="1" t="s">
        <v>57</v>
      </c>
      <c r="E2882" s="1" t="s">
        <v>23</v>
      </c>
    </row>
    <row r="2883" spans="1:5" x14ac:dyDescent="0.25">
      <c r="A2883" s="13">
        <v>1030621325</v>
      </c>
      <c r="B2883" s="11" t="s">
        <v>84</v>
      </c>
      <c r="C2883" s="1" t="s">
        <v>3469</v>
      </c>
      <c r="D2883" s="1" t="s">
        <v>38</v>
      </c>
      <c r="E2883" s="1" t="s">
        <v>8</v>
      </c>
    </row>
    <row r="2884" spans="1:5" x14ac:dyDescent="0.25">
      <c r="A2884" s="13">
        <v>1030622393</v>
      </c>
      <c r="B2884" s="11" t="s">
        <v>83</v>
      </c>
      <c r="C2884" s="1" t="s">
        <v>2484</v>
      </c>
      <c r="D2884" s="1" t="s">
        <v>47</v>
      </c>
      <c r="E2884" s="1" t="s">
        <v>1531</v>
      </c>
    </row>
    <row r="2885" spans="1:5" x14ac:dyDescent="0.25">
      <c r="A2885" s="13">
        <v>1030628155</v>
      </c>
      <c r="B2885" s="11" t="s">
        <v>83</v>
      </c>
      <c r="C2885" s="1" t="s">
        <v>2483</v>
      </c>
      <c r="D2885" s="1" t="s">
        <v>47</v>
      </c>
      <c r="E2885" s="1" t="s">
        <v>26</v>
      </c>
    </row>
    <row r="2886" spans="1:5" x14ac:dyDescent="0.25">
      <c r="A2886" s="13">
        <v>1030629389</v>
      </c>
      <c r="B2886" s="11" t="s">
        <v>83</v>
      </c>
      <c r="C2886" s="1" t="s">
        <v>2482</v>
      </c>
      <c r="D2886" s="1" t="s">
        <v>47</v>
      </c>
      <c r="E2886" s="1" t="s">
        <v>16</v>
      </c>
    </row>
    <row r="2887" spans="1:5" x14ac:dyDescent="0.25">
      <c r="A2887" s="13">
        <v>1030632397</v>
      </c>
      <c r="B2887" s="11" t="s">
        <v>84</v>
      </c>
      <c r="C2887" s="1" t="s">
        <v>2481</v>
      </c>
      <c r="D2887" s="1" t="s">
        <v>43</v>
      </c>
      <c r="E2887" s="1" t="s">
        <v>12</v>
      </c>
    </row>
    <row r="2888" spans="1:5" x14ac:dyDescent="0.25">
      <c r="A2888" s="13">
        <v>1030638670</v>
      </c>
      <c r="B2888" s="11" t="s">
        <v>84</v>
      </c>
      <c r="C2888" s="1" t="s">
        <v>2480</v>
      </c>
      <c r="D2888" s="1" t="s">
        <v>38</v>
      </c>
      <c r="E2888" s="1" t="s">
        <v>127</v>
      </c>
    </row>
    <row r="2889" spans="1:5" x14ac:dyDescent="0.25">
      <c r="A2889" s="13">
        <v>1030642110</v>
      </c>
      <c r="B2889" s="11" t="s">
        <v>83</v>
      </c>
      <c r="C2889" s="1" t="s">
        <v>3470</v>
      </c>
      <c r="D2889" s="1" t="s">
        <v>36</v>
      </c>
      <c r="E2889" s="1" t="s">
        <v>24</v>
      </c>
    </row>
    <row r="2890" spans="1:5" x14ac:dyDescent="0.25">
      <c r="A2890" s="13">
        <v>1030642795</v>
      </c>
      <c r="B2890" s="11" t="s">
        <v>84</v>
      </c>
      <c r="C2890" s="1" t="s">
        <v>2479</v>
      </c>
      <c r="D2890" s="1" t="s">
        <v>47</v>
      </c>
      <c r="E2890" s="1" t="s">
        <v>17</v>
      </c>
    </row>
    <row r="2891" spans="1:5" x14ac:dyDescent="0.25">
      <c r="A2891" s="13">
        <v>1030648459</v>
      </c>
      <c r="B2891" s="11" t="s">
        <v>84</v>
      </c>
      <c r="C2891" s="1" t="s">
        <v>2478</v>
      </c>
      <c r="D2891" s="1" t="s">
        <v>38</v>
      </c>
      <c r="E2891" s="1" t="s">
        <v>328</v>
      </c>
    </row>
    <row r="2892" spans="1:5" x14ac:dyDescent="0.25">
      <c r="A2892" s="13">
        <v>1030648523</v>
      </c>
      <c r="B2892" s="11" t="s">
        <v>116</v>
      </c>
      <c r="C2892" s="1" t="s">
        <v>2477</v>
      </c>
      <c r="D2892" s="1" t="s">
        <v>117</v>
      </c>
      <c r="E2892" s="1" t="s">
        <v>8</v>
      </c>
    </row>
    <row r="2893" spans="1:5" x14ac:dyDescent="0.25">
      <c r="A2893" s="13">
        <v>1030653174</v>
      </c>
      <c r="B2893" s="11" t="s">
        <v>84</v>
      </c>
      <c r="C2893" s="1" t="s">
        <v>2476</v>
      </c>
      <c r="D2893" s="1" t="s">
        <v>3471</v>
      </c>
      <c r="E2893" s="1" t="s">
        <v>3071</v>
      </c>
    </row>
    <row r="2894" spans="1:5" x14ac:dyDescent="0.25">
      <c r="A2894" s="13">
        <v>1030654479</v>
      </c>
      <c r="B2894" s="11" t="s">
        <v>84</v>
      </c>
      <c r="C2894" s="1" t="s">
        <v>2475</v>
      </c>
      <c r="D2894" s="1" t="s">
        <v>47</v>
      </c>
      <c r="E2894" s="1" t="s">
        <v>22</v>
      </c>
    </row>
    <row r="2895" spans="1:5" x14ac:dyDescent="0.25">
      <c r="A2895" s="13">
        <v>1030661524</v>
      </c>
      <c r="B2895" s="11" t="s">
        <v>83</v>
      </c>
      <c r="C2895" s="1" t="s">
        <v>3472</v>
      </c>
      <c r="D2895" s="1" t="s">
        <v>56</v>
      </c>
      <c r="E2895" s="1" t="s">
        <v>4</v>
      </c>
    </row>
    <row r="2896" spans="1:5" x14ac:dyDescent="0.25">
      <c r="A2896" s="13">
        <v>1030666692</v>
      </c>
      <c r="B2896" s="11" t="s">
        <v>83</v>
      </c>
      <c r="C2896" s="1" t="s">
        <v>2474</v>
      </c>
      <c r="D2896" s="1" t="s">
        <v>47</v>
      </c>
      <c r="E2896" s="1" t="s">
        <v>16</v>
      </c>
    </row>
    <row r="2897" spans="1:5" x14ac:dyDescent="0.25">
      <c r="A2897" s="13">
        <v>1030669986</v>
      </c>
      <c r="B2897" s="11" t="s">
        <v>84</v>
      </c>
      <c r="C2897" s="1" t="s">
        <v>3156</v>
      </c>
      <c r="D2897" s="1" t="s">
        <v>3158</v>
      </c>
      <c r="E2897" s="1" t="s">
        <v>3071</v>
      </c>
    </row>
    <row r="2898" spans="1:5" x14ac:dyDescent="0.25">
      <c r="A2898" s="13">
        <v>1030671882</v>
      </c>
      <c r="B2898" s="11" t="s">
        <v>83</v>
      </c>
      <c r="C2898" s="1" t="s">
        <v>2473</v>
      </c>
      <c r="D2898" s="1" t="s">
        <v>3088</v>
      </c>
      <c r="E2898" s="1" t="s">
        <v>24</v>
      </c>
    </row>
    <row r="2899" spans="1:5" x14ac:dyDescent="0.25">
      <c r="A2899" s="13">
        <v>1030672051</v>
      </c>
      <c r="B2899" s="11" t="s">
        <v>84</v>
      </c>
      <c r="C2899" s="1" t="s">
        <v>2471</v>
      </c>
      <c r="D2899" s="1" t="s">
        <v>2472</v>
      </c>
      <c r="E2899" s="1" t="s">
        <v>17</v>
      </c>
    </row>
    <row r="2900" spans="1:5" x14ac:dyDescent="0.25">
      <c r="A2900" s="13">
        <v>1030681457</v>
      </c>
      <c r="B2900" s="11" t="s">
        <v>84</v>
      </c>
      <c r="C2900" s="1" t="s">
        <v>2470</v>
      </c>
      <c r="D2900" s="1" t="s">
        <v>46</v>
      </c>
      <c r="E2900" s="1" t="s">
        <v>1</v>
      </c>
    </row>
    <row r="2901" spans="1:5" x14ac:dyDescent="0.25">
      <c r="A2901" s="13">
        <v>1030685985</v>
      </c>
      <c r="B2901" s="11" t="s">
        <v>84</v>
      </c>
      <c r="C2901" s="1" t="s">
        <v>2469</v>
      </c>
      <c r="D2901" s="1" t="s">
        <v>36</v>
      </c>
      <c r="E2901" s="1" t="s">
        <v>17</v>
      </c>
    </row>
    <row r="2902" spans="1:5" x14ac:dyDescent="0.25">
      <c r="A2902" s="13">
        <v>1030692034</v>
      </c>
      <c r="B2902" s="11" t="s">
        <v>84</v>
      </c>
      <c r="C2902" s="1" t="s">
        <v>2468</v>
      </c>
      <c r="D2902" s="1" t="s">
        <v>47</v>
      </c>
      <c r="E2902" s="1" t="s">
        <v>22</v>
      </c>
    </row>
    <row r="2903" spans="1:5" x14ac:dyDescent="0.25">
      <c r="A2903" s="13">
        <v>1030694355</v>
      </c>
      <c r="B2903" s="11" t="s">
        <v>83</v>
      </c>
      <c r="C2903" s="1" t="s">
        <v>3105</v>
      </c>
      <c r="D2903" s="1" t="s">
        <v>2310</v>
      </c>
      <c r="E2903" s="1" t="s">
        <v>22</v>
      </c>
    </row>
    <row r="2904" spans="1:5" x14ac:dyDescent="0.25">
      <c r="A2904" s="13">
        <v>1030695578</v>
      </c>
      <c r="B2904" s="11" t="s">
        <v>83</v>
      </c>
      <c r="C2904" s="1" t="s">
        <v>2467</v>
      </c>
      <c r="D2904" s="1" t="s">
        <v>47</v>
      </c>
      <c r="E2904" s="1" t="s">
        <v>16</v>
      </c>
    </row>
    <row r="2905" spans="1:5" x14ac:dyDescent="0.25">
      <c r="A2905" s="13">
        <v>1030696448</v>
      </c>
      <c r="B2905" s="11" t="s">
        <v>84</v>
      </c>
      <c r="C2905" s="1" t="s">
        <v>3058</v>
      </c>
      <c r="D2905" s="1" t="s">
        <v>3473</v>
      </c>
      <c r="E2905" s="1" t="s">
        <v>1</v>
      </c>
    </row>
    <row r="2906" spans="1:5" x14ac:dyDescent="0.25">
      <c r="A2906" s="13">
        <v>1030696672</v>
      </c>
      <c r="B2906" s="11" t="s">
        <v>83</v>
      </c>
      <c r="C2906" s="1" t="s">
        <v>3691</v>
      </c>
      <c r="D2906" s="1" t="s">
        <v>36</v>
      </c>
      <c r="E2906" s="1" t="s">
        <v>24</v>
      </c>
    </row>
    <row r="2907" spans="1:5" x14ac:dyDescent="0.25">
      <c r="A2907" s="13">
        <v>1030700020</v>
      </c>
      <c r="B2907" s="11" t="s">
        <v>83</v>
      </c>
      <c r="C2907" s="1" t="s">
        <v>2466</v>
      </c>
      <c r="D2907" s="1" t="s">
        <v>47</v>
      </c>
      <c r="E2907" s="1" t="s">
        <v>16</v>
      </c>
    </row>
    <row r="2908" spans="1:5" x14ac:dyDescent="0.25">
      <c r="A2908" s="13">
        <v>1030701015</v>
      </c>
      <c r="B2908" s="11" t="s">
        <v>83</v>
      </c>
      <c r="C2908" s="1" t="s">
        <v>3474</v>
      </c>
      <c r="D2908" s="1" t="s">
        <v>48</v>
      </c>
      <c r="E2908" s="1" t="s">
        <v>19</v>
      </c>
    </row>
    <row r="2909" spans="1:5" x14ac:dyDescent="0.25">
      <c r="A2909" s="13">
        <v>1031121657</v>
      </c>
      <c r="B2909" s="11" t="s">
        <v>84</v>
      </c>
      <c r="C2909" s="1" t="s">
        <v>3475</v>
      </c>
      <c r="D2909" s="1" t="s">
        <v>3141</v>
      </c>
      <c r="E2909" s="1" t="s">
        <v>1</v>
      </c>
    </row>
    <row r="2910" spans="1:5" x14ac:dyDescent="0.25">
      <c r="A2910" s="13">
        <v>1031126773</v>
      </c>
      <c r="B2910" s="11" t="s">
        <v>83</v>
      </c>
      <c r="C2910" s="1" t="s">
        <v>2465</v>
      </c>
      <c r="D2910" s="1" t="s">
        <v>53</v>
      </c>
      <c r="E2910" s="1" t="s">
        <v>4</v>
      </c>
    </row>
    <row r="2911" spans="1:5" x14ac:dyDescent="0.25">
      <c r="A2911" s="13">
        <v>1031128330</v>
      </c>
      <c r="B2911" s="11" t="s">
        <v>83</v>
      </c>
      <c r="C2911" s="1" t="s">
        <v>2464</v>
      </c>
      <c r="D2911" s="1" t="s">
        <v>2261</v>
      </c>
      <c r="E2911" s="1" t="s">
        <v>18</v>
      </c>
    </row>
    <row r="2912" spans="1:5" x14ac:dyDescent="0.25">
      <c r="A2912" s="13">
        <v>1031128645</v>
      </c>
      <c r="B2912" s="11" t="s">
        <v>84</v>
      </c>
      <c r="C2912" s="1" t="s">
        <v>3476</v>
      </c>
      <c r="D2912" s="1" t="s">
        <v>3325</v>
      </c>
      <c r="E2912" s="1" t="s">
        <v>22</v>
      </c>
    </row>
    <row r="2913" spans="1:5" x14ac:dyDescent="0.25">
      <c r="A2913" s="13">
        <v>1031133081</v>
      </c>
      <c r="B2913" s="11" t="s">
        <v>83</v>
      </c>
      <c r="C2913" s="1" t="s">
        <v>2463</v>
      </c>
      <c r="D2913" s="1" t="s">
        <v>47</v>
      </c>
      <c r="E2913" s="1" t="s">
        <v>19</v>
      </c>
    </row>
    <row r="2914" spans="1:5" x14ac:dyDescent="0.25">
      <c r="A2914" s="13">
        <v>1031133152</v>
      </c>
      <c r="B2914" s="11" t="s">
        <v>83</v>
      </c>
      <c r="C2914" s="1" t="s">
        <v>2462</v>
      </c>
      <c r="D2914" s="1" t="s">
        <v>47</v>
      </c>
      <c r="E2914" s="1" t="s">
        <v>17</v>
      </c>
    </row>
    <row r="2915" spans="1:5" x14ac:dyDescent="0.25">
      <c r="A2915" s="13">
        <v>1031143256</v>
      </c>
      <c r="B2915" s="11" t="s">
        <v>83</v>
      </c>
      <c r="C2915" s="1" t="s">
        <v>2461</v>
      </c>
      <c r="D2915" s="1" t="s">
        <v>36</v>
      </c>
      <c r="E2915" s="1" t="s">
        <v>4</v>
      </c>
    </row>
    <row r="2916" spans="1:5" x14ac:dyDescent="0.25">
      <c r="A2916" s="13">
        <v>1031144494</v>
      </c>
      <c r="B2916" s="11" t="s">
        <v>83</v>
      </c>
      <c r="C2916" s="1" t="s">
        <v>2460</v>
      </c>
      <c r="D2916" s="1" t="s">
        <v>47</v>
      </c>
      <c r="E2916" s="1" t="s">
        <v>19</v>
      </c>
    </row>
    <row r="2917" spans="1:5" x14ac:dyDescent="0.25">
      <c r="A2917" s="13">
        <v>1031148592</v>
      </c>
      <c r="B2917" s="11" t="s">
        <v>84</v>
      </c>
      <c r="C2917" s="1" t="s">
        <v>2459</v>
      </c>
      <c r="D2917" s="1" t="s">
        <v>52</v>
      </c>
      <c r="E2917" s="1" t="s">
        <v>22</v>
      </c>
    </row>
    <row r="2918" spans="1:5" x14ac:dyDescent="0.25">
      <c r="A2918" s="13">
        <v>1031149840</v>
      </c>
      <c r="B2918" s="11" t="s">
        <v>83</v>
      </c>
      <c r="C2918" s="1" t="s">
        <v>2458</v>
      </c>
      <c r="D2918" s="1" t="s">
        <v>47</v>
      </c>
      <c r="E2918" s="1" t="s">
        <v>19</v>
      </c>
    </row>
    <row r="2919" spans="1:5" x14ac:dyDescent="0.25">
      <c r="A2919" s="13">
        <v>1031150898</v>
      </c>
      <c r="B2919" s="11" t="s">
        <v>83</v>
      </c>
      <c r="C2919" s="1" t="s">
        <v>2457</v>
      </c>
      <c r="D2919" s="1" t="s">
        <v>47</v>
      </c>
      <c r="E2919" s="1" t="s">
        <v>19</v>
      </c>
    </row>
    <row r="2920" spans="1:5" x14ac:dyDescent="0.25">
      <c r="A2920" s="13">
        <v>1031151666</v>
      </c>
      <c r="B2920" s="11" t="s">
        <v>84</v>
      </c>
      <c r="C2920" s="1" t="s">
        <v>2455</v>
      </c>
      <c r="D2920" s="1" t="s">
        <v>47</v>
      </c>
      <c r="E2920" s="1" t="s">
        <v>2456</v>
      </c>
    </row>
    <row r="2921" spans="1:5" x14ac:dyDescent="0.25">
      <c r="A2921" s="13">
        <v>1031153359</v>
      </c>
      <c r="B2921" s="11" t="s">
        <v>84</v>
      </c>
      <c r="C2921" s="1" t="s">
        <v>2454</v>
      </c>
      <c r="D2921" s="1" t="s">
        <v>38</v>
      </c>
      <c r="E2921" s="1" t="s">
        <v>3</v>
      </c>
    </row>
    <row r="2922" spans="1:5" x14ac:dyDescent="0.25">
      <c r="A2922" s="13">
        <v>1031154518</v>
      </c>
      <c r="B2922" s="11" t="s">
        <v>83</v>
      </c>
      <c r="C2922" s="1" t="s">
        <v>2453</v>
      </c>
      <c r="D2922" s="1" t="s">
        <v>47</v>
      </c>
      <c r="E2922" s="1" t="s">
        <v>26</v>
      </c>
    </row>
    <row r="2923" spans="1:5" x14ac:dyDescent="0.25">
      <c r="A2923" s="13">
        <v>1031154664</v>
      </c>
      <c r="B2923" s="11" t="s">
        <v>83</v>
      </c>
      <c r="C2923" s="1" t="s">
        <v>2452</v>
      </c>
      <c r="D2923" s="1" t="s">
        <v>47</v>
      </c>
      <c r="E2923" s="1" t="s">
        <v>24</v>
      </c>
    </row>
    <row r="2924" spans="1:5" x14ac:dyDescent="0.25">
      <c r="A2924" s="13">
        <v>1031154897</v>
      </c>
      <c r="B2924" s="11" t="s">
        <v>83</v>
      </c>
      <c r="C2924" s="1" t="s">
        <v>2451</v>
      </c>
      <c r="D2924" s="1" t="s">
        <v>52</v>
      </c>
      <c r="E2924" s="1" t="s">
        <v>22</v>
      </c>
    </row>
    <row r="2925" spans="1:5" x14ac:dyDescent="0.25">
      <c r="A2925" s="13">
        <v>1031157558</v>
      </c>
      <c r="B2925" s="11" t="s">
        <v>84</v>
      </c>
      <c r="C2925" s="1" t="s">
        <v>2450</v>
      </c>
      <c r="D2925" s="1" t="s">
        <v>39</v>
      </c>
      <c r="E2925" s="1" t="s">
        <v>1</v>
      </c>
    </row>
    <row r="2926" spans="1:5" x14ac:dyDescent="0.25">
      <c r="A2926" s="13">
        <v>1031159612</v>
      </c>
      <c r="B2926" s="11" t="s">
        <v>83</v>
      </c>
      <c r="C2926" s="1" t="s">
        <v>3008</v>
      </c>
      <c r="D2926" s="1" t="s">
        <v>1118</v>
      </c>
      <c r="E2926" s="1" t="s">
        <v>21</v>
      </c>
    </row>
    <row r="2927" spans="1:5" x14ac:dyDescent="0.25">
      <c r="A2927" s="13">
        <v>1031160654</v>
      </c>
      <c r="B2927" s="11" t="s">
        <v>84</v>
      </c>
      <c r="C2927" s="1" t="s">
        <v>2449</v>
      </c>
      <c r="D2927" s="1" t="s">
        <v>47</v>
      </c>
      <c r="E2927" s="1" t="s">
        <v>22</v>
      </c>
    </row>
    <row r="2928" spans="1:5" x14ac:dyDescent="0.25">
      <c r="A2928" s="13">
        <v>1031161484</v>
      </c>
      <c r="B2928" s="11" t="s">
        <v>84</v>
      </c>
      <c r="C2928" s="1" t="s">
        <v>2448</v>
      </c>
      <c r="D2928" s="1" t="s">
        <v>36</v>
      </c>
      <c r="E2928" s="1" t="s">
        <v>1</v>
      </c>
    </row>
    <row r="2929" spans="1:5" x14ac:dyDescent="0.25">
      <c r="A2929" s="13">
        <v>1031161939</v>
      </c>
      <c r="B2929" s="11" t="s">
        <v>83</v>
      </c>
      <c r="C2929" s="1" t="s">
        <v>2447</v>
      </c>
      <c r="D2929" s="1" t="s">
        <v>46</v>
      </c>
      <c r="E2929" s="1" t="s">
        <v>1</v>
      </c>
    </row>
    <row r="2930" spans="1:5" x14ac:dyDescent="0.25">
      <c r="A2930" s="13">
        <v>1031165096</v>
      </c>
      <c r="B2930" s="11" t="s">
        <v>83</v>
      </c>
      <c r="C2930" s="1" t="s">
        <v>2446</v>
      </c>
      <c r="D2930" s="1" t="s">
        <v>1170</v>
      </c>
      <c r="E2930" s="1" t="s">
        <v>248</v>
      </c>
    </row>
    <row r="2931" spans="1:5" x14ac:dyDescent="0.25">
      <c r="A2931" s="13">
        <v>1031167704</v>
      </c>
      <c r="B2931" s="11" t="s">
        <v>83</v>
      </c>
      <c r="C2931" s="1" t="s">
        <v>2445</v>
      </c>
      <c r="D2931" s="1" t="s">
        <v>47</v>
      </c>
      <c r="E2931" s="1" t="s">
        <v>16</v>
      </c>
    </row>
    <row r="2932" spans="1:5" x14ac:dyDescent="0.25">
      <c r="A2932" s="13">
        <v>1031171000</v>
      </c>
      <c r="B2932" s="11" t="s">
        <v>84</v>
      </c>
      <c r="C2932" s="1" t="s">
        <v>2444</v>
      </c>
      <c r="D2932" s="1" t="s">
        <v>36</v>
      </c>
      <c r="E2932" s="1" t="s">
        <v>17</v>
      </c>
    </row>
    <row r="2933" spans="1:5" x14ac:dyDescent="0.25">
      <c r="A2933" s="13">
        <v>1031176644</v>
      </c>
      <c r="B2933" s="11" t="s">
        <v>83</v>
      </c>
      <c r="C2933" s="1" t="s">
        <v>3155</v>
      </c>
      <c r="D2933" s="1" t="s">
        <v>89</v>
      </c>
      <c r="E2933" s="1" t="s">
        <v>196</v>
      </c>
    </row>
    <row r="2934" spans="1:5" x14ac:dyDescent="0.25">
      <c r="A2934" s="13">
        <v>1031802160</v>
      </c>
      <c r="B2934" s="11" t="s">
        <v>83</v>
      </c>
      <c r="C2934" s="1" t="s">
        <v>3633</v>
      </c>
      <c r="D2934" s="1" t="s">
        <v>79</v>
      </c>
      <c r="E2934" s="1" t="s">
        <v>196</v>
      </c>
    </row>
    <row r="2935" spans="1:5" x14ac:dyDescent="0.25">
      <c r="A2935" s="13">
        <v>1032359267</v>
      </c>
      <c r="B2935" s="11" t="s">
        <v>116</v>
      </c>
      <c r="C2935" s="1" t="s">
        <v>2443</v>
      </c>
      <c r="D2935" s="1" t="s">
        <v>117</v>
      </c>
      <c r="E2935" s="1" t="s">
        <v>453</v>
      </c>
    </row>
    <row r="2936" spans="1:5" x14ac:dyDescent="0.25">
      <c r="A2936" s="13">
        <v>1032359439</v>
      </c>
      <c r="B2936" s="11" t="s">
        <v>83</v>
      </c>
      <c r="C2936" s="1" t="s">
        <v>2442</v>
      </c>
      <c r="D2936" s="1" t="s">
        <v>41</v>
      </c>
      <c r="E2936" s="1" t="s">
        <v>31</v>
      </c>
    </row>
    <row r="2937" spans="1:5" x14ac:dyDescent="0.25">
      <c r="A2937" s="13">
        <v>1032359884</v>
      </c>
      <c r="B2937" s="11" t="s">
        <v>83</v>
      </c>
      <c r="C2937" s="1" t="s">
        <v>2440</v>
      </c>
      <c r="D2937" s="1" t="s">
        <v>2441</v>
      </c>
      <c r="E2937" s="1" t="s">
        <v>668</v>
      </c>
    </row>
    <row r="2938" spans="1:5" x14ac:dyDescent="0.25">
      <c r="A2938" s="13">
        <v>1032361262</v>
      </c>
      <c r="B2938" s="11" t="s">
        <v>84</v>
      </c>
      <c r="C2938" s="1" t="s">
        <v>2439</v>
      </c>
      <c r="D2938" s="1" t="s">
        <v>38</v>
      </c>
      <c r="E2938" s="1" t="s">
        <v>7</v>
      </c>
    </row>
    <row r="2939" spans="1:5" x14ac:dyDescent="0.25">
      <c r="A2939" s="13">
        <v>1032361770</v>
      </c>
      <c r="B2939" s="11" t="s">
        <v>84</v>
      </c>
      <c r="C2939" s="1" t="s">
        <v>3634</v>
      </c>
      <c r="D2939" s="1" t="s">
        <v>38</v>
      </c>
      <c r="E2939" s="1" t="s">
        <v>7</v>
      </c>
    </row>
    <row r="2940" spans="1:5" x14ac:dyDescent="0.25">
      <c r="A2940" s="13">
        <v>1032364161</v>
      </c>
      <c r="B2940" s="11" t="s">
        <v>84</v>
      </c>
      <c r="C2940" s="1" t="s">
        <v>2438</v>
      </c>
      <c r="D2940" s="1" t="s">
        <v>38</v>
      </c>
      <c r="E2940" s="1" t="s">
        <v>7</v>
      </c>
    </row>
    <row r="2941" spans="1:5" x14ac:dyDescent="0.25">
      <c r="A2941" s="13">
        <v>1032371703</v>
      </c>
      <c r="B2941" s="11" t="s">
        <v>84</v>
      </c>
      <c r="C2941" s="1" t="s">
        <v>2437</v>
      </c>
      <c r="D2941" s="1" t="s">
        <v>41</v>
      </c>
      <c r="E2941" s="1" t="s">
        <v>1</v>
      </c>
    </row>
    <row r="2942" spans="1:5" x14ac:dyDescent="0.25">
      <c r="A2942" s="13">
        <v>1032372798</v>
      </c>
      <c r="B2942" s="11" t="s">
        <v>84</v>
      </c>
      <c r="C2942" s="1" t="s">
        <v>2436</v>
      </c>
      <c r="D2942" s="1" t="s">
        <v>43</v>
      </c>
      <c r="E2942" s="1" t="s">
        <v>127</v>
      </c>
    </row>
    <row r="2943" spans="1:5" x14ac:dyDescent="0.25">
      <c r="A2943" s="13">
        <v>1032373100</v>
      </c>
      <c r="B2943" s="11" t="s">
        <v>84</v>
      </c>
      <c r="C2943" s="1" t="s">
        <v>3477</v>
      </c>
      <c r="D2943" s="1" t="s">
        <v>38</v>
      </c>
      <c r="E2943" s="1" t="s">
        <v>3229</v>
      </c>
    </row>
    <row r="2944" spans="1:5" x14ac:dyDescent="0.25">
      <c r="A2944" s="13">
        <v>1032373162</v>
      </c>
      <c r="B2944" s="11" t="s">
        <v>116</v>
      </c>
      <c r="C2944" s="1" t="s">
        <v>3179</v>
      </c>
      <c r="D2944" s="1" t="s">
        <v>117</v>
      </c>
      <c r="E2944" s="1" t="s">
        <v>3118</v>
      </c>
    </row>
    <row r="2945" spans="1:5" x14ac:dyDescent="0.25">
      <c r="A2945" s="13">
        <v>1032374666</v>
      </c>
      <c r="B2945" s="11" t="s">
        <v>84</v>
      </c>
      <c r="C2945" s="1" t="s">
        <v>2435</v>
      </c>
      <c r="D2945" s="1" t="s">
        <v>38</v>
      </c>
      <c r="E2945" s="1" t="s">
        <v>11</v>
      </c>
    </row>
    <row r="2946" spans="1:5" x14ac:dyDescent="0.25">
      <c r="A2946" s="13">
        <v>1032375649</v>
      </c>
      <c r="B2946" s="11" t="s">
        <v>116</v>
      </c>
      <c r="C2946" s="1" t="s">
        <v>2434</v>
      </c>
      <c r="D2946" s="1" t="s">
        <v>117</v>
      </c>
      <c r="E2946" s="1" t="s">
        <v>491</v>
      </c>
    </row>
    <row r="2947" spans="1:5" x14ac:dyDescent="0.25">
      <c r="A2947" s="13">
        <v>1032380467</v>
      </c>
      <c r="B2947" s="11" t="s">
        <v>116</v>
      </c>
      <c r="C2947" s="1" t="s">
        <v>2433</v>
      </c>
      <c r="D2947" s="1" t="s">
        <v>117</v>
      </c>
      <c r="E2947" s="1" t="s">
        <v>6</v>
      </c>
    </row>
    <row r="2948" spans="1:5" x14ac:dyDescent="0.25">
      <c r="A2948" s="13">
        <v>1032384180</v>
      </c>
      <c r="B2948" s="11" t="s">
        <v>84</v>
      </c>
      <c r="C2948" s="1" t="s">
        <v>2432</v>
      </c>
      <c r="D2948" s="1" t="s">
        <v>38</v>
      </c>
      <c r="E2948" s="1" t="s">
        <v>12</v>
      </c>
    </row>
    <row r="2949" spans="1:5" x14ac:dyDescent="0.25">
      <c r="A2949" s="13">
        <v>1032384370</v>
      </c>
      <c r="B2949" s="11" t="s">
        <v>116</v>
      </c>
      <c r="C2949" s="1" t="s">
        <v>2431</v>
      </c>
      <c r="D2949" s="1" t="s">
        <v>117</v>
      </c>
      <c r="E2949" s="1" t="s">
        <v>186</v>
      </c>
    </row>
    <row r="2950" spans="1:5" x14ac:dyDescent="0.25">
      <c r="A2950" s="13">
        <v>1032384728</v>
      </c>
      <c r="B2950" s="11" t="s">
        <v>84</v>
      </c>
      <c r="C2950" s="1" t="s">
        <v>2430</v>
      </c>
      <c r="D2950" s="1" t="s">
        <v>38</v>
      </c>
      <c r="E2950" s="1" t="s">
        <v>7</v>
      </c>
    </row>
    <row r="2951" spans="1:5" x14ac:dyDescent="0.25">
      <c r="A2951" s="13">
        <v>1032386559</v>
      </c>
      <c r="B2951" s="11" t="s">
        <v>83</v>
      </c>
      <c r="C2951" s="1" t="s">
        <v>2429</v>
      </c>
      <c r="D2951" s="1" t="s">
        <v>47</v>
      </c>
      <c r="E2951" s="1" t="s">
        <v>272</v>
      </c>
    </row>
    <row r="2952" spans="1:5" x14ac:dyDescent="0.25">
      <c r="A2952" s="13">
        <v>1032387400</v>
      </c>
      <c r="B2952" s="11" t="s">
        <v>84</v>
      </c>
      <c r="C2952" s="1" t="s">
        <v>2428</v>
      </c>
      <c r="D2952" s="1" t="s">
        <v>46</v>
      </c>
      <c r="E2952" s="1" t="s">
        <v>1</v>
      </c>
    </row>
    <row r="2953" spans="1:5" x14ac:dyDescent="0.25">
      <c r="A2953" s="13">
        <v>1032388910</v>
      </c>
      <c r="B2953" s="11" t="s">
        <v>84</v>
      </c>
      <c r="C2953" s="1" t="s">
        <v>3478</v>
      </c>
      <c r="D2953" s="1" t="s">
        <v>38</v>
      </c>
      <c r="E2953" s="1" t="s">
        <v>242</v>
      </c>
    </row>
    <row r="2954" spans="1:5" x14ac:dyDescent="0.25">
      <c r="A2954" s="13">
        <v>1032393073</v>
      </c>
      <c r="B2954" s="11" t="s">
        <v>84</v>
      </c>
      <c r="C2954" s="1" t="s">
        <v>2427</v>
      </c>
      <c r="D2954" s="1" t="s">
        <v>38</v>
      </c>
      <c r="E2954" s="1" t="s">
        <v>453</v>
      </c>
    </row>
    <row r="2955" spans="1:5" x14ac:dyDescent="0.25">
      <c r="A2955" s="13">
        <v>1032395739</v>
      </c>
      <c r="B2955" s="11" t="s">
        <v>84</v>
      </c>
      <c r="C2955" s="1" t="s">
        <v>3479</v>
      </c>
      <c r="D2955" s="1" t="s">
        <v>38</v>
      </c>
      <c r="E2955" s="1" t="s">
        <v>328</v>
      </c>
    </row>
    <row r="2956" spans="1:5" x14ac:dyDescent="0.25">
      <c r="A2956" s="13">
        <v>1032396070</v>
      </c>
      <c r="B2956" s="11" t="s">
        <v>83</v>
      </c>
      <c r="C2956" s="1" t="s">
        <v>2426</v>
      </c>
      <c r="D2956" s="1" t="s">
        <v>47</v>
      </c>
      <c r="E2956" s="1" t="s">
        <v>16</v>
      </c>
    </row>
    <row r="2957" spans="1:5" x14ac:dyDescent="0.25">
      <c r="A2957" s="13">
        <v>1032397559</v>
      </c>
      <c r="B2957" s="11" t="s">
        <v>83</v>
      </c>
      <c r="C2957" s="1" t="s">
        <v>2425</v>
      </c>
      <c r="D2957" s="1" t="s">
        <v>47</v>
      </c>
      <c r="E2957" s="1" t="s">
        <v>17</v>
      </c>
    </row>
    <row r="2958" spans="1:5" x14ac:dyDescent="0.25">
      <c r="A2958" s="13">
        <v>1032398907</v>
      </c>
      <c r="B2958" s="11" t="s">
        <v>83</v>
      </c>
      <c r="C2958" s="1" t="s">
        <v>3635</v>
      </c>
      <c r="D2958" s="1" t="s">
        <v>3181</v>
      </c>
      <c r="E2958" s="1" t="s">
        <v>16</v>
      </c>
    </row>
    <row r="2959" spans="1:5" x14ac:dyDescent="0.25">
      <c r="A2959" s="13">
        <v>1032399769</v>
      </c>
      <c r="B2959" s="11" t="s">
        <v>116</v>
      </c>
      <c r="C2959" s="1" t="s">
        <v>2424</v>
      </c>
      <c r="D2959" s="1" t="s">
        <v>117</v>
      </c>
      <c r="E2959" s="1" t="s">
        <v>6</v>
      </c>
    </row>
    <row r="2960" spans="1:5" x14ac:dyDescent="0.25">
      <c r="A2960" s="13">
        <v>1032399770</v>
      </c>
      <c r="B2960" s="11" t="s">
        <v>116</v>
      </c>
      <c r="C2960" s="1" t="s">
        <v>2423</v>
      </c>
      <c r="D2960" s="1" t="s">
        <v>117</v>
      </c>
      <c r="E2960" s="1" t="s">
        <v>6</v>
      </c>
    </row>
    <row r="2961" spans="1:5" x14ac:dyDescent="0.25">
      <c r="A2961" s="13">
        <v>1032401971</v>
      </c>
      <c r="B2961" s="11" t="s">
        <v>84</v>
      </c>
      <c r="C2961" s="1" t="s">
        <v>2422</v>
      </c>
      <c r="D2961" s="1" t="s">
        <v>43</v>
      </c>
      <c r="E2961" s="1" t="s">
        <v>10</v>
      </c>
    </row>
    <row r="2962" spans="1:5" x14ac:dyDescent="0.25">
      <c r="A2962" s="13">
        <v>1032403211</v>
      </c>
      <c r="B2962" s="11" t="s">
        <v>84</v>
      </c>
      <c r="C2962" s="1" t="s">
        <v>2421</v>
      </c>
      <c r="D2962" s="1" t="s">
        <v>38</v>
      </c>
      <c r="E2962" s="1" t="s">
        <v>15</v>
      </c>
    </row>
    <row r="2963" spans="1:5" x14ac:dyDescent="0.25">
      <c r="A2963" s="13">
        <v>1032404910</v>
      </c>
      <c r="B2963" s="11" t="s">
        <v>83</v>
      </c>
      <c r="C2963" s="1" t="s">
        <v>3154</v>
      </c>
      <c r="D2963" s="1" t="s">
        <v>48</v>
      </c>
      <c r="E2963" s="1" t="s">
        <v>19</v>
      </c>
    </row>
    <row r="2964" spans="1:5" x14ac:dyDescent="0.25">
      <c r="A2964" s="13">
        <v>1032405093</v>
      </c>
      <c r="B2964" s="11" t="s">
        <v>83</v>
      </c>
      <c r="C2964" s="1" t="s">
        <v>2420</v>
      </c>
      <c r="D2964" s="1" t="s">
        <v>366</v>
      </c>
      <c r="E2964" s="1" t="s">
        <v>20</v>
      </c>
    </row>
    <row r="2965" spans="1:5" x14ac:dyDescent="0.25">
      <c r="A2965" s="13">
        <v>1032405673</v>
      </c>
      <c r="B2965" s="11" t="s">
        <v>84</v>
      </c>
      <c r="C2965" s="1" t="s">
        <v>3480</v>
      </c>
      <c r="D2965" s="1" t="s">
        <v>43</v>
      </c>
      <c r="E2965" s="1" t="s">
        <v>3211</v>
      </c>
    </row>
    <row r="2966" spans="1:5" x14ac:dyDescent="0.25">
      <c r="A2966" s="13">
        <v>1032406746</v>
      </c>
      <c r="B2966" s="11" t="s">
        <v>116</v>
      </c>
      <c r="C2966" s="1" t="s">
        <v>2419</v>
      </c>
      <c r="D2966" s="1" t="s">
        <v>117</v>
      </c>
      <c r="E2966" s="1" t="s">
        <v>8</v>
      </c>
    </row>
    <row r="2967" spans="1:5" x14ac:dyDescent="0.25">
      <c r="A2967" s="13">
        <v>1032407386</v>
      </c>
      <c r="B2967" s="11" t="s">
        <v>83</v>
      </c>
      <c r="C2967" s="1" t="s">
        <v>3481</v>
      </c>
      <c r="D2967" s="1" t="s">
        <v>48</v>
      </c>
      <c r="E2967" s="1" t="s">
        <v>196</v>
      </c>
    </row>
    <row r="2968" spans="1:5" x14ac:dyDescent="0.25">
      <c r="A2968" s="13">
        <v>1032410125</v>
      </c>
      <c r="B2968" s="11" t="s">
        <v>84</v>
      </c>
      <c r="C2968" s="1" t="s">
        <v>2418</v>
      </c>
      <c r="D2968" s="1" t="s">
        <v>38</v>
      </c>
      <c r="E2968" s="1" t="s">
        <v>8</v>
      </c>
    </row>
    <row r="2969" spans="1:5" x14ac:dyDescent="0.25">
      <c r="A2969" s="13">
        <v>1032410833</v>
      </c>
      <c r="B2969" s="11" t="s">
        <v>83</v>
      </c>
      <c r="C2969" s="1" t="s">
        <v>3711</v>
      </c>
      <c r="D2969" s="1" t="s">
        <v>79</v>
      </c>
      <c r="E2969" s="1" t="s">
        <v>210</v>
      </c>
    </row>
    <row r="2970" spans="1:5" x14ac:dyDescent="0.25">
      <c r="A2970" s="13">
        <v>1032411228</v>
      </c>
      <c r="B2970" s="11" t="s">
        <v>83</v>
      </c>
      <c r="C2970" s="1" t="s">
        <v>3636</v>
      </c>
      <c r="D2970" s="1" t="s">
        <v>1118</v>
      </c>
      <c r="E2970" s="1" t="s">
        <v>248</v>
      </c>
    </row>
    <row r="2971" spans="1:5" x14ac:dyDescent="0.25">
      <c r="A2971" s="13">
        <v>1032411265</v>
      </c>
      <c r="B2971" s="11" t="s">
        <v>84</v>
      </c>
      <c r="C2971" s="1" t="s">
        <v>2417</v>
      </c>
      <c r="D2971" s="1" t="s">
        <v>108</v>
      </c>
      <c r="E2971" s="1" t="s">
        <v>1</v>
      </c>
    </row>
    <row r="2972" spans="1:5" x14ac:dyDescent="0.25">
      <c r="A2972" s="13">
        <v>1032411744</v>
      </c>
      <c r="B2972" s="11" t="s">
        <v>83</v>
      </c>
      <c r="C2972" s="1" t="s">
        <v>3072</v>
      </c>
      <c r="D2972" s="1" t="s">
        <v>50</v>
      </c>
      <c r="E2972" s="1" t="s">
        <v>21</v>
      </c>
    </row>
    <row r="2973" spans="1:5" x14ac:dyDescent="0.25">
      <c r="A2973" s="13">
        <v>1032420078</v>
      </c>
      <c r="B2973" s="11" t="s">
        <v>83</v>
      </c>
      <c r="C2973" s="1" t="s">
        <v>2416</v>
      </c>
      <c r="D2973" s="1" t="s">
        <v>47</v>
      </c>
      <c r="E2973" s="1" t="s">
        <v>939</v>
      </c>
    </row>
    <row r="2974" spans="1:5" x14ac:dyDescent="0.25">
      <c r="A2974" s="13">
        <v>1032420300</v>
      </c>
      <c r="B2974" s="11" t="s">
        <v>83</v>
      </c>
      <c r="C2974" s="1" t="s">
        <v>2415</v>
      </c>
      <c r="D2974" s="1" t="s">
        <v>56</v>
      </c>
      <c r="E2974" s="1" t="s">
        <v>4</v>
      </c>
    </row>
    <row r="2975" spans="1:5" x14ac:dyDescent="0.25">
      <c r="A2975" s="13">
        <v>1032422584</v>
      </c>
      <c r="B2975" s="11" t="s">
        <v>83</v>
      </c>
      <c r="C2975" s="1" t="s">
        <v>2414</v>
      </c>
      <c r="D2975" s="1" t="s">
        <v>47</v>
      </c>
      <c r="E2975" s="1" t="s">
        <v>16</v>
      </c>
    </row>
    <row r="2976" spans="1:5" x14ac:dyDescent="0.25">
      <c r="A2976" s="13">
        <v>1032423336</v>
      </c>
      <c r="B2976" s="11" t="s">
        <v>83</v>
      </c>
      <c r="C2976" s="1" t="s">
        <v>2413</v>
      </c>
      <c r="D2976" s="1" t="s">
        <v>2305</v>
      </c>
      <c r="E2976" s="1" t="s">
        <v>20</v>
      </c>
    </row>
    <row r="2977" spans="1:5" x14ac:dyDescent="0.25">
      <c r="A2977" s="13">
        <v>1032424470</v>
      </c>
      <c r="B2977" s="11" t="s">
        <v>84</v>
      </c>
      <c r="C2977" s="1" t="s">
        <v>2412</v>
      </c>
      <c r="D2977" s="1" t="s">
        <v>38</v>
      </c>
      <c r="E2977" s="1" t="s">
        <v>8</v>
      </c>
    </row>
    <row r="2978" spans="1:5" x14ac:dyDescent="0.25">
      <c r="A2978" s="13">
        <v>1032425196</v>
      </c>
      <c r="B2978" s="11" t="s">
        <v>84</v>
      </c>
      <c r="C2978" s="1" t="s">
        <v>2411</v>
      </c>
      <c r="D2978" s="1" t="s">
        <v>38</v>
      </c>
      <c r="E2978" s="1" t="s">
        <v>9</v>
      </c>
    </row>
    <row r="2979" spans="1:5" x14ac:dyDescent="0.25">
      <c r="A2979" s="13">
        <v>1032425800</v>
      </c>
      <c r="B2979" s="11" t="s">
        <v>84</v>
      </c>
      <c r="C2979" s="1" t="s">
        <v>2410</v>
      </c>
      <c r="D2979" s="1" t="s">
        <v>38</v>
      </c>
      <c r="E2979" s="1" t="s">
        <v>5</v>
      </c>
    </row>
    <row r="2980" spans="1:5" x14ac:dyDescent="0.25">
      <c r="A2980" s="13">
        <v>1032427103</v>
      </c>
      <c r="B2980" s="11" t="s">
        <v>84</v>
      </c>
      <c r="C2980" s="1" t="s">
        <v>2409</v>
      </c>
      <c r="D2980" s="1" t="s">
        <v>43</v>
      </c>
      <c r="E2980" s="1" t="s">
        <v>7</v>
      </c>
    </row>
    <row r="2981" spans="1:5" x14ac:dyDescent="0.25">
      <c r="A2981" s="13">
        <v>1032427334</v>
      </c>
      <c r="B2981" s="11" t="s">
        <v>83</v>
      </c>
      <c r="C2981" s="1" t="s">
        <v>2408</v>
      </c>
      <c r="D2981" s="1" t="s">
        <v>241</v>
      </c>
      <c r="E2981" s="1" t="s">
        <v>242</v>
      </c>
    </row>
    <row r="2982" spans="1:5" x14ac:dyDescent="0.25">
      <c r="A2982" s="13">
        <v>1032427577</v>
      </c>
      <c r="B2982" s="11" t="s">
        <v>83</v>
      </c>
      <c r="C2982" s="1" t="s">
        <v>2407</v>
      </c>
      <c r="D2982" s="1" t="s">
        <v>430</v>
      </c>
      <c r="E2982" s="1" t="s">
        <v>1128</v>
      </c>
    </row>
    <row r="2983" spans="1:5" x14ac:dyDescent="0.25">
      <c r="A2983" s="13">
        <v>1032427765</v>
      </c>
      <c r="B2983" s="11" t="s">
        <v>109</v>
      </c>
      <c r="C2983" s="1" t="s">
        <v>2406</v>
      </c>
      <c r="D2983" s="1" t="s">
        <v>271</v>
      </c>
      <c r="E2983" s="1" t="s">
        <v>17</v>
      </c>
    </row>
    <row r="2984" spans="1:5" x14ac:dyDescent="0.25">
      <c r="A2984" s="13">
        <v>1032428439</v>
      </c>
      <c r="B2984" s="11" t="s">
        <v>83</v>
      </c>
      <c r="C2984" s="1" t="s">
        <v>2405</v>
      </c>
      <c r="D2984" s="1" t="s">
        <v>47</v>
      </c>
      <c r="E2984" s="1" t="s">
        <v>16</v>
      </c>
    </row>
    <row r="2985" spans="1:5" x14ac:dyDescent="0.25">
      <c r="A2985" s="13">
        <v>1032428903</v>
      </c>
      <c r="B2985" s="11" t="s">
        <v>83</v>
      </c>
      <c r="C2985" s="1" t="s">
        <v>3482</v>
      </c>
      <c r="D2985" s="1" t="s">
        <v>53</v>
      </c>
      <c r="E2985" s="1" t="s">
        <v>210</v>
      </c>
    </row>
    <row r="2986" spans="1:5" x14ac:dyDescent="0.25">
      <c r="A2986" s="13">
        <v>1032431883</v>
      </c>
      <c r="B2986" s="11" t="s">
        <v>84</v>
      </c>
      <c r="C2986" s="1" t="s">
        <v>2404</v>
      </c>
      <c r="D2986" s="1" t="s">
        <v>43</v>
      </c>
      <c r="E2986" s="1" t="s">
        <v>3</v>
      </c>
    </row>
    <row r="2987" spans="1:5" x14ac:dyDescent="0.25">
      <c r="A2987" s="13">
        <v>1032432736</v>
      </c>
      <c r="B2987" s="11" t="s">
        <v>84</v>
      </c>
      <c r="C2987" s="1" t="s">
        <v>2403</v>
      </c>
      <c r="D2987" s="1" t="s">
        <v>38</v>
      </c>
      <c r="E2987" s="1" t="s">
        <v>7</v>
      </c>
    </row>
    <row r="2988" spans="1:5" x14ac:dyDescent="0.25">
      <c r="A2988" s="13">
        <v>1032434260</v>
      </c>
      <c r="B2988" s="11" t="s">
        <v>83</v>
      </c>
      <c r="C2988" s="1" t="s">
        <v>2402</v>
      </c>
      <c r="D2988" s="1" t="s">
        <v>47</v>
      </c>
      <c r="E2988" s="1" t="s">
        <v>26</v>
      </c>
    </row>
    <row r="2989" spans="1:5" x14ac:dyDescent="0.25">
      <c r="A2989" s="13">
        <v>1032435038</v>
      </c>
      <c r="B2989" s="11" t="s">
        <v>116</v>
      </c>
      <c r="C2989" s="1" t="s">
        <v>2401</v>
      </c>
      <c r="D2989" s="1" t="s">
        <v>117</v>
      </c>
      <c r="E2989" s="1" t="s">
        <v>15</v>
      </c>
    </row>
    <row r="2990" spans="1:5" x14ac:dyDescent="0.25">
      <c r="A2990" s="13">
        <v>1032441382</v>
      </c>
      <c r="B2990" s="11" t="s">
        <v>84</v>
      </c>
      <c r="C2990" s="1" t="s">
        <v>2400</v>
      </c>
      <c r="D2990" s="1" t="s">
        <v>36</v>
      </c>
      <c r="E2990" s="1" t="s">
        <v>1</v>
      </c>
    </row>
    <row r="2991" spans="1:5" x14ac:dyDescent="0.25">
      <c r="A2991" s="13">
        <v>1032449327</v>
      </c>
      <c r="B2991" s="11" t="s">
        <v>116</v>
      </c>
      <c r="C2991" s="1" t="s">
        <v>3483</v>
      </c>
      <c r="D2991" s="1" t="s">
        <v>117</v>
      </c>
      <c r="E2991" s="1" t="s">
        <v>3192</v>
      </c>
    </row>
    <row r="2992" spans="1:5" x14ac:dyDescent="0.25">
      <c r="A2992" s="13">
        <v>1032450360</v>
      </c>
      <c r="B2992" s="11" t="s">
        <v>109</v>
      </c>
      <c r="C2992" s="1" t="s">
        <v>2399</v>
      </c>
      <c r="D2992" s="1" t="s">
        <v>464</v>
      </c>
      <c r="E2992" s="1" t="s">
        <v>19</v>
      </c>
    </row>
    <row r="2993" spans="1:5" x14ac:dyDescent="0.25">
      <c r="A2993" s="13">
        <v>1032452492</v>
      </c>
      <c r="B2993" s="11" t="s">
        <v>83</v>
      </c>
      <c r="C2993" s="1" t="s">
        <v>2398</v>
      </c>
      <c r="D2993" s="1" t="s">
        <v>1077</v>
      </c>
      <c r="E2993" s="1" t="s">
        <v>31</v>
      </c>
    </row>
    <row r="2994" spans="1:5" x14ac:dyDescent="0.25">
      <c r="A2994" s="13">
        <v>1032453118</v>
      </c>
      <c r="B2994" s="11" t="s">
        <v>84</v>
      </c>
      <c r="C2994" s="1" t="s">
        <v>3484</v>
      </c>
      <c r="D2994" s="1" t="s">
        <v>3692</v>
      </c>
      <c r="E2994" s="1" t="s">
        <v>1</v>
      </c>
    </row>
    <row r="2995" spans="1:5" x14ac:dyDescent="0.25">
      <c r="A2995" s="13">
        <v>1032456662</v>
      </c>
      <c r="B2995" s="11" t="s">
        <v>116</v>
      </c>
      <c r="C2995" s="1" t="s">
        <v>2397</v>
      </c>
      <c r="D2995" s="1" t="s">
        <v>117</v>
      </c>
      <c r="E2995" s="1" t="s">
        <v>168</v>
      </c>
    </row>
    <row r="2996" spans="1:5" x14ac:dyDescent="0.25">
      <c r="A2996" s="13">
        <v>1032457498</v>
      </c>
      <c r="B2996" s="11" t="s">
        <v>84</v>
      </c>
      <c r="C2996" s="1" t="s">
        <v>2396</v>
      </c>
      <c r="D2996" s="1" t="s">
        <v>1707</v>
      </c>
      <c r="E2996" s="1" t="s">
        <v>1</v>
      </c>
    </row>
    <row r="2997" spans="1:5" x14ac:dyDescent="0.25">
      <c r="A2997" s="13">
        <v>1032459740</v>
      </c>
      <c r="B2997" s="11" t="s">
        <v>109</v>
      </c>
      <c r="C2997" s="1" t="s">
        <v>2394</v>
      </c>
      <c r="D2997" s="1" t="s">
        <v>2395</v>
      </c>
      <c r="E2997" s="1" t="s">
        <v>21</v>
      </c>
    </row>
    <row r="2998" spans="1:5" x14ac:dyDescent="0.25">
      <c r="A2998" s="13">
        <v>1032460487</v>
      </c>
      <c r="B2998" s="11" t="s">
        <v>84</v>
      </c>
      <c r="C2998" s="1" t="s">
        <v>3637</v>
      </c>
      <c r="D2998" s="1" t="s">
        <v>36</v>
      </c>
      <c r="E2998" s="1" t="s">
        <v>3085</v>
      </c>
    </row>
    <row r="2999" spans="1:5" x14ac:dyDescent="0.25">
      <c r="A2999" s="13">
        <v>1032461982</v>
      </c>
      <c r="B2999" s="11" t="s">
        <v>83</v>
      </c>
      <c r="C2999" s="1" t="s">
        <v>2392</v>
      </c>
      <c r="D2999" s="1" t="s">
        <v>2393</v>
      </c>
      <c r="E2999" s="1" t="s">
        <v>668</v>
      </c>
    </row>
    <row r="3000" spans="1:5" x14ac:dyDescent="0.25">
      <c r="A3000" s="13">
        <v>1032462036</v>
      </c>
      <c r="B3000" s="11" t="s">
        <v>83</v>
      </c>
      <c r="C3000" s="1" t="s">
        <v>2391</v>
      </c>
      <c r="D3000" s="1" t="s">
        <v>49</v>
      </c>
      <c r="E3000" s="1" t="s">
        <v>18</v>
      </c>
    </row>
    <row r="3001" spans="1:5" x14ac:dyDescent="0.25">
      <c r="A3001" s="13">
        <v>1032462500</v>
      </c>
      <c r="B3001" s="11" t="s">
        <v>84</v>
      </c>
      <c r="C3001" s="1" t="s">
        <v>3485</v>
      </c>
      <c r="D3001" s="1" t="s">
        <v>43</v>
      </c>
      <c r="E3001" s="1" t="s">
        <v>3120</v>
      </c>
    </row>
    <row r="3002" spans="1:5" x14ac:dyDescent="0.25">
      <c r="A3002" s="13">
        <v>1032463301</v>
      </c>
      <c r="B3002" s="11" t="s">
        <v>84</v>
      </c>
      <c r="C3002" s="1" t="s">
        <v>2390</v>
      </c>
      <c r="D3002" s="1" t="s">
        <v>43</v>
      </c>
      <c r="E3002" s="1" t="s">
        <v>3</v>
      </c>
    </row>
    <row r="3003" spans="1:5" x14ac:dyDescent="0.25">
      <c r="A3003" s="13">
        <v>1032465113</v>
      </c>
      <c r="B3003" s="11" t="s">
        <v>84</v>
      </c>
      <c r="C3003" s="1" t="s">
        <v>2388</v>
      </c>
      <c r="D3003" s="1" t="s">
        <v>38</v>
      </c>
      <c r="E3003" s="1" t="s">
        <v>2389</v>
      </c>
    </row>
    <row r="3004" spans="1:5" x14ac:dyDescent="0.25">
      <c r="A3004" s="13">
        <v>1032465883</v>
      </c>
      <c r="B3004" s="11" t="s">
        <v>84</v>
      </c>
      <c r="C3004" s="1" t="s">
        <v>2387</v>
      </c>
      <c r="D3004" s="1" t="s">
        <v>36</v>
      </c>
      <c r="E3004" s="1" t="s">
        <v>17</v>
      </c>
    </row>
    <row r="3005" spans="1:5" x14ac:dyDescent="0.25">
      <c r="A3005" s="13">
        <v>1032466582</v>
      </c>
      <c r="B3005" s="11" t="s">
        <v>84</v>
      </c>
      <c r="C3005" s="1" t="s">
        <v>2386</v>
      </c>
      <c r="D3005" s="1" t="s">
        <v>38</v>
      </c>
      <c r="E3005" s="1" t="s">
        <v>8</v>
      </c>
    </row>
    <row r="3006" spans="1:5" x14ac:dyDescent="0.25">
      <c r="A3006" s="13">
        <v>1032467960</v>
      </c>
      <c r="B3006" s="11" t="s">
        <v>84</v>
      </c>
      <c r="C3006" s="1" t="s">
        <v>3486</v>
      </c>
      <c r="D3006" s="1" t="s">
        <v>43</v>
      </c>
      <c r="E3006" s="1" t="s">
        <v>10</v>
      </c>
    </row>
    <row r="3007" spans="1:5" x14ac:dyDescent="0.25">
      <c r="A3007" s="13">
        <v>1032469638</v>
      </c>
      <c r="B3007" s="11" t="s">
        <v>83</v>
      </c>
      <c r="C3007" s="1" t="s">
        <v>3487</v>
      </c>
      <c r="D3007" s="1" t="s">
        <v>3136</v>
      </c>
      <c r="E3007" s="1" t="s">
        <v>24</v>
      </c>
    </row>
    <row r="3008" spans="1:5" x14ac:dyDescent="0.25">
      <c r="A3008" s="13">
        <v>1032471746</v>
      </c>
      <c r="B3008" s="11" t="s">
        <v>84</v>
      </c>
      <c r="C3008" s="1" t="s">
        <v>2385</v>
      </c>
      <c r="D3008" s="1" t="s">
        <v>38</v>
      </c>
      <c r="E3008" s="1" t="s">
        <v>2</v>
      </c>
    </row>
    <row r="3009" spans="1:5" x14ac:dyDescent="0.25">
      <c r="A3009" s="13">
        <v>1032473803</v>
      </c>
      <c r="B3009" s="11" t="s">
        <v>83</v>
      </c>
      <c r="C3009" s="1" t="s">
        <v>2384</v>
      </c>
      <c r="D3009" s="1" t="s">
        <v>47</v>
      </c>
      <c r="E3009" s="1" t="s">
        <v>19</v>
      </c>
    </row>
    <row r="3010" spans="1:5" x14ac:dyDescent="0.25">
      <c r="A3010" s="13">
        <v>1032474919</v>
      </c>
      <c r="B3010" s="11" t="s">
        <v>84</v>
      </c>
      <c r="C3010" s="1" t="s">
        <v>2383</v>
      </c>
      <c r="D3010" s="1" t="s">
        <v>38</v>
      </c>
      <c r="E3010" s="1" t="s">
        <v>14</v>
      </c>
    </row>
    <row r="3011" spans="1:5" x14ac:dyDescent="0.25">
      <c r="A3011" s="13">
        <v>1032477744</v>
      </c>
      <c r="B3011" s="11" t="s">
        <v>116</v>
      </c>
      <c r="C3011" s="1" t="s">
        <v>3638</v>
      </c>
      <c r="D3011" s="1" t="s">
        <v>131</v>
      </c>
      <c r="E3011" s="1" t="s">
        <v>131</v>
      </c>
    </row>
    <row r="3012" spans="1:5" x14ac:dyDescent="0.25">
      <c r="A3012" s="13">
        <v>1032479974</v>
      </c>
      <c r="B3012" s="11" t="s">
        <v>83</v>
      </c>
      <c r="C3012" s="1" t="s">
        <v>2382</v>
      </c>
      <c r="D3012" s="1" t="s">
        <v>48</v>
      </c>
      <c r="E3012" s="1" t="s">
        <v>19</v>
      </c>
    </row>
    <row r="3013" spans="1:5" x14ac:dyDescent="0.25">
      <c r="A3013" s="13">
        <v>1032480710</v>
      </c>
      <c r="B3013" s="11" t="s">
        <v>116</v>
      </c>
      <c r="C3013" s="1" t="s">
        <v>2381</v>
      </c>
      <c r="D3013" s="1" t="s">
        <v>117</v>
      </c>
      <c r="E3013" s="1" t="s">
        <v>11</v>
      </c>
    </row>
    <row r="3014" spans="1:5" x14ac:dyDescent="0.25">
      <c r="A3014" s="13">
        <v>1032486490</v>
      </c>
      <c r="B3014" s="11" t="s">
        <v>83</v>
      </c>
      <c r="C3014" s="1" t="s">
        <v>2379</v>
      </c>
      <c r="D3014" s="1" t="s">
        <v>47</v>
      </c>
      <c r="E3014" s="1" t="s">
        <v>2380</v>
      </c>
    </row>
    <row r="3015" spans="1:5" x14ac:dyDescent="0.25">
      <c r="A3015" s="13">
        <v>1032487526</v>
      </c>
      <c r="B3015" s="11" t="s">
        <v>84</v>
      </c>
      <c r="C3015" s="1" t="s">
        <v>3639</v>
      </c>
      <c r="D3015" s="1" t="s">
        <v>38</v>
      </c>
      <c r="E3015" s="1" t="s">
        <v>3580</v>
      </c>
    </row>
    <row r="3016" spans="1:5" x14ac:dyDescent="0.25">
      <c r="A3016" s="13">
        <v>1032487891</v>
      </c>
      <c r="B3016" s="11" t="s">
        <v>84</v>
      </c>
      <c r="C3016" s="1" t="s">
        <v>3488</v>
      </c>
      <c r="D3016" s="1" t="s">
        <v>3282</v>
      </c>
      <c r="E3016" s="1" t="s">
        <v>22</v>
      </c>
    </row>
    <row r="3017" spans="1:5" x14ac:dyDescent="0.25">
      <c r="A3017" s="13">
        <v>1032492866</v>
      </c>
      <c r="B3017" s="11" t="s">
        <v>84</v>
      </c>
      <c r="C3017" s="1" t="s">
        <v>3007</v>
      </c>
      <c r="D3017" s="1" t="s">
        <v>36</v>
      </c>
      <c r="E3017" s="1" t="s">
        <v>17</v>
      </c>
    </row>
    <row r="3018" spans="1:5" x14ac:dyDescent="0.25">
      <c r="A3018" s="13">
        <v>1032493984</v>
      </c>
      <c r="B3018" s="11" t="s">
        <v>84</v>
      </c>
      <c r="C3018" s="1" t="s">
        <v>3006</v>
      </c>
      <c r="D3018" s="1" t="s">
        <v>38</v>
      </c>
      <c r="E3018" s="1" t="s">
        <v>12</v>
      </c>
    </row>
    <row r="3019" spans="1:5" x14ac:dyDescent="0.25">
      <c r="A3019" s="13">
        <v>1032495850</v>
      </c>
      <c r="B3019" s="11" t="s">
        <v>83</v>
      </c>
      <c r="C3019" s="1" t="s">
        <v>2378</v>
      </c>
      <c r="D3019" s="1" t="s">
        <v>48</v>
      </c>
      <c r="E3019" s="1" t="s">
        <v>19</v>
      </c>
    </row>
    <row r="3020" spans="1:5" x14ac:dyDescent="0.25">
      <c r="A3020" s="13">
        <v>1032496136</v>
      </c>
      <c r="B3020" s="11" t="s">
        <v>84</v>
      </c>
      <c r="C3020" s="1" t="s">
        <v>2377</v>
      </c>
      <c r="D3020" s="1" t="s">
        <v>38</v>
      </c>
      <c r="E3020" s="1" t="s">
        <v>7</v>
      </c>
    </row>
    <row r="3021" spans="1:5" x14ac:dyDescent="0.25">
      <c r="A3021" s="13">
        <v>1032498759</v>
      </c>
      <c r="B3021" s="11" t="s">
        <v>84</v>
      </c>
      <c r="C3021" s="1" t="s">
        <v>3489</v>
      </c>
      <c r="D3021" s="1" t="s">
        <v>3325</v>
      </c>
      <c r="E3021" s="1" t="s">
        <v>3572</v>
      </c>
    </row>
    <row r="3022" spans="1:5" x14ac:dyDescent="0.25">
      <c r="A3022" s="13">
        <v>1032501184</v>
      </c>
      <c r="B3022" s="11" t="s">
        <v>84</v>
      </c>
      <c r="C3022" s="1" t="s">
        <v>2376</v>
      </c>
      <c r="D3022" s="1" t="s">
        <v>36</v>
      </c>
      <c r="E3022" s="1" t="s">
        <v>17</v>
      </c>
    </row>
    <row r="3023" spans="1:5" x14ac:dyDescent="0.25">
      <c r="A3023" s="13">
        <v>1032504270</v>
      </c>
      <c r="B3023" s="11" t="s">
        <v>83</v>
      </c>
      <c r="C3023" s="1" t="s">
        <v>2375</v>
      </c>
      <c r="D3023" s="1" t="s">
        <v>34</v>
      </c>
      <c r="E3023" s="1" t="s">
        <v>33</v>
      </c>
    </row>
    <row r="3024" spans="1:5" x14ac:dyDescent="0.25">
      <c r="A3024" s="13">
        <v>1032506338</v>
      </c>
      <c r="B3024" s="11" t="s">
        <v>83</v>
      </c>
      <c r="C3024" s="1" t="s">
        <v>3490</v>
      </c>
      <c r="D3024" s="1" t="s">
        <v>48</v>
      </c>
      <c r="E3024" s="1" t="s">
        <v>19</v>
      </c>
    </row>
    <row r="3025" spans="1:5" x14ac:dyDescent="0.25">
      <c r="A3025" s="13">
        <v>1032507676</v>
      </c>
      <c r="B3025" s="11" t="s">
        <v>83</v>
      </c>
      <c r="C3025" s="1" t="s">
        <v>2374</v>
      </c>
      <c r="D3025" s="1" t="s">
        <v>101</v>
      </c>
      <c r="E3025" s="1" t="s">
        <v>30</v>
      </c>
    </row>
    <row r="3026" spans="1:5" x14ac:dyDescent="0.25">
      <c r="A3026" s="13">
        <v>1032796272</v>
      </c>
      <c r="B3026" s="11" t="s">
        <v>83</v>
      </c>
      <c r="C3026" s="1" t="s">
        <v>3061</v>
      </c>
      <c r="D3026" s="1" t="s">
        <v>48</v>
      </c>
      <c r="E3026" s="1" t="s">
        <v>19</v>
      </c>
    </row>
    <row r="3027" spans="1:5" x14ac:dyDescent="0.25">
      <c r="A3027" s="13">
        <v>1032797883</v>
      </c>
      <c r="B3027" s="11" t="s">
        <v>83</v>
      </c>
      <c r="C3027" s="1" t="s">
        <v>3640</v>
      </c>
      <c r="D3027" s="1" t="s">
        <v>36</v>
      </c>
      <c r="E3027" s="1" t="s">
        <v>24</v>
      </c>
    </row>
    <row r="3028" spans="1:5" x14ac:dyDescent="0.25">
      <c r="A3028" s="13">
        <v>1033097217</v>
      </c>
      <c r="B3028" s="11" t="s">
        <v>83</v>
      </c>
      <c r="C3028" s="1" t="s">
        <v>3491</v>
      </c>
      <c r="D3028" s="1" t="s">
        <v>48</v>
      </c>
      <c r="E3028" s="1" t="s">
        <v>19</v>
      </c>
    </row>
    <row r="3029" spans="1:5" x14ac:dyDescent="0.25">
      <c r="A3029" s="13">
        <v>1033097989</v>
      </c>
      <c r="B3029" s="11" t="s">
        <v>83</v>
      </c>
      <c r="C3029" s="1" t="s">
        <v>2373</v>
      </c>
      <c r="D3029" s="1" t="s">
        <v>79</v>
      </c>
      <c r="E3029" s="1" t="s">
        <v>21</v>
      </c>
    </row>
    <row r="3030" spans="1:5" x14ac:dyDescent="0.25">
      <c r="A3030" s="13">
        <v>1033676343</v>
      </c>
      <c r="B3030" s="11" t="s">
        <v>84</v>
      </c>
      <c r="C3030" s="1" t="s">
        <v>3492</v>
      </c>
      <c r="D3030" s="1" t="s">
        <v>3641</v>
      </c>
      <c r="E3030" s="1" t="s">
        <v>1</v>
      </c>
    </row>
    <row r="3031" spans="1:5" x14ac:dyDescent="0.25">
      <c r="A3031" s="13">
        <v>1033677485</v>
      </c>
      <c r="B3031" s="11" t="s">
        <v>83</v>
      </c>
      <c r="C3031" s="1" t="s">
        <v>2372</v>
      </c>
      <c r="D3031" s="1" t="s">
        <v>48</v>
      </c>
      <c r="E3031" s="1" t="s">
        <v>19</v>
      </c>
    </row>
    <row r="3032" spans="1:5" x14ac:dyDescent="0.25">
      <c r="A3032" s="13">
        <v>1033680855</v>
      </c>
      <c r="B3032" s="11" t="s">
        <v>84</v>
      </c>
      <c r="C3032" s="1" t="s">
        <v>2371</v>
      </c>
      <c r="D3032" s="1" t="s">
        <v>38</v>
      </c>
      <c r="E3032" s="1" t="s">
        <v>5</v>
      </c>
    </row>
    <row r="3033" spans="1:5" x14ac:dyDescent="0.25">
      <c r="A3033" s="13">
        <v>1033682204</v>
      </c>
      <c r="B3033" s="11" t="s">
        <v>84</v>
      </c>
      <c r="C3033" s="1" t="s">
        <v>3493</v>
      </c>
      <c r="D3033" s="1" t="s">
        <v>3344</v>
      </c>
      <c r="E3033" s="1" t="s">
        <v>22</v>
      </c>
    </row>
    <row r="3034" spans="1:5" x14ac:dyDescent="0.25">
      <c r="A3034" s="13">
        <v>1033688172</v>
      </c>
      <c r="B3034" s="11" t="s">
        <v>116</v>
      </c>
      <c r="C3034" s="1" t="s">
        <v>2370</v>
      </c>
      <c r="D3034" s="1" t="s">
        <v>117</v>
      </c>
      <c r="E3034" s="1" t="s">
        <v>134</v>
      </c>
    </row>
    <row r="3035" spans="1:5" x14ac:dyDescent="0.25">
      <c r="A3035" s="13">
        <v>1033697976</v>
      </c>
      <c r="B3035" s="11" t="s">
        <v>83</v>
      </c>
      <c r="C3035" s="1" t="s">
        <v>3642</v>
      </c>
      <c r="D3035" s="1" t="s">
        <v>3400</v>
      </c>
      <c r="E3035" s="1" t="s">
        <v>196</v>
      </c>
    </row>
    <row r="3036" spans="1:5" x14ac:dyDescent="0.25">
      <c r="A3036" s="13">
        <v>1033700799</v>
      </c>
      <c r="B3036" s="11" t="s">
        <v>83</v>
      </c>
      <c r="C3036" s="1" t="s">
        <v>3494</v>
      </c>
      <c r="D3036" s="1" t="s">
        <v>48</v>
      </c>
      <c r="E3036" s="1" t="s">
        <v>19</v>
      </c>
    </row>
    <row r="3037" spans="1:5" x14ac:dyDescent="0.25">
      <c r="A3037" s="13">
        <v>1033707186</v>
      </c>
      <c r="B3037" s="11" t="s">
        <v>83</v>
      </c>
      <c r="C3037" s="1" t="s">
        <v>2369</v>
      </c>
      <c r="D3037" s="1" t="s">
        <v>1151</v>
      </c>
      <c r="E3037" s="1" t="s">
        <v>123</v>
      </c>
    </row>
    <row r="3038" spans="1:5" x14ac:dyDescent="0.25">
      <c r="A3038" s="13">
        <v>1033709056</v>
      </c>
      <c r="B3038" s="11" t="s">
        <v>83</v>
      </c>
      <c r="C3038" s="1" t="s">
        <v>2368</v>
      </c>
      <c r="D3038" s="1" t="s">
        <v>48</v>
      </c>
      <c r="E3038" s="1" t="s">
        <v>196</v>
      </c>
    </row>
    <row r="3039" spans="1:5" x14ac:dyDescent="0.25">
      <c r="A3039" s="13">
        <v>1033709143</v>
      </c>
      <c r="B3039" s="11" t="s">
        <v>83</v>
      </c>
      <c r="C3039" s="1" t="s">
        <v>2367</v>
      </c>
      <c r="D3039" s="1" t="s">
        <v>141</v>
      </c>
      <c r="E3039" s="1" t="s">
        <v>242</v>
      </c>
    </row>
    <row r="3040" spans="1:5" x14ac:dyDescent="0.25">
      <c r="A3040" s="13">
        <v>1033711408</v>
      </c>
      <c r="B3040" s="11" t="s">
        <v>84</v>
      </c>
      <c r="C3040" s="1" t="s">
        <v>2366</v>
      </c>
      <c r="D3040" s="1" t="s">
        <v>36</v>
      </c>
      <c r="E3040" s="1" t="s">
        <v>17</v>
      </c>
    </row>
    <row r="3041" spans="1:5" x14ac:dyDescent="0.25">
      <c r="A3041" s="13">
        <v>1033719407</v>
      </c>
      <c r="B3041" s="11" t="s">
        <v>83</v>
      </c>
      <c r="C3041" s="1" t="s">
        <v>3495</v>
      </c>
      <c r="D3041" s="1" t="s">
        <v>48</v>
      </c>
      <c r="E3041" s="1" t="s">
        <v>19</v>
      </c>
    </row>
    <row r="3042" spans="1:5" x14ac:dyDescent="0.25">
      <c r="A3042" s="13">
        <v>1033719828</v>
      </c>
      <c r="B3042" s="11" t="s">
        <v>83</v>
      </c>
      <c r="C3042" s="1" t="s">
        <v>2365</v>
      </c>
      <c r="D3042" s="1" t="s">
        <v>246</v>
      </c>
      <c r="E3042" s="1" t="s">
        <v>19</v>
      </c>
    </row>
    <row r="3043" spans="1:5" x14ac:dyDescent="0.25">
      <c r="A3043" s="13">
        <v>1033724304</v>
      </c>
      <c r="B3043" s="11" t="s">
        <v>84</v>
      </c>
      <c r="C3043" s="1" t="s">
        <v>2364</v>
      </c>
      <c r="D3043" s="1" t="s">
        <v>52</v>
      </c>
      <c r="E3043" s="1" t="s">
        <v>22</v>
      </c>
    </row>
    <row r="3044" spans="1:5" x14ac:dyDescent="0.25">
      <c r="A3044" s="13">
        <v>1033724599</v>
      </c>
      <c r="B3044" s="11" t="s">
        <v>83</v>
      </c>
      <c r="C3044" s="1" t="s">
        <v>3643</v>
      </c>
      <c r="D3044" s="1" t="s">
        <v>40</v>
      </c>
      <c r="E3044" s="1" t="s">
        <v>23</v>
      </c>
    </row>
    <row r="3045" spans="1:5" x14ac:dyDescent="0.25">
      <c r="A3045" s="13">
        <v>1033725734</v>
      </c>
      <c r="B3045" s="11" t="s">
        <v>84</v>
      </c>
      <c r="C3045" s="1" t="s">
        <v>2363</v>
      </c>
      <c r="D3045" s="1" t="s">
        <v>38</v>
      </c>
      <c r="E3045" s="1" t="s">
        <v>9</v>
      </c>
    </row>
    <row r="3046" spans="1:5" x14ac:dyDescent="0.25">
      <c r="A3046" s="13">
        <v>1033740156</v>
      </c>
      <c r="B3046" s="11" t="s">
        <v>83</v>
      </c>
      <c r="C3046" s="1" t="s">
        <v>2362</v>
      </c>
      <c r="D3046" s="1" t="s">
        <v>47</v>
      </c>
      <c r="E3046" s="1" t="s">
        <v>19</v>
      </c>
    </row>
    <row r="3047" spans="1:5" x14ac:dyDescent="0.25">
      <c r="A3047" s="13">
        <v>1033747689</v>
      </c>
      <c r="B3047" s="11" t="s">
        <v>83</v>
      </c>
      <c r="C3047" s="1" t="s">
        <v>2361</v>
      </c>
      <c r="D3047" s="1" t="s">
        <v>141</v>
      </c>
      <c r="E3047" s="1" t="s">
        <v>16</v>
      </c>
    </row>
    <row r="3048" spans="1:5" x14ac:dyDescent="0.25">
      <c r="A3048" s="13">
        <v>1033748820</v>
      </c>
      <c r="B3048" s="11" t="s">
        <v>84</v>
      </c>
      <c r="C3048" s="1" t="s">
        <v>2360</v>
      </c>
      <c r="D3048" s="1" t="s">
        <v>38</v>
      </c>
      <c r="E3048" s="1" t="s">
        <v>3121</v>
      </c>
    </row>
    <row r="3049" spans="1:5" x14ac:dyDescent="0.25">
      <c r="A3049" s="13">
        <v>1033754522</v>
      </c>
      <c r="B3049" s="11" t="s">
        <v>83</v>
      </c>
      <c r="C3049" s="1" t="s">
        <v>2359</v>
      </c>
      <c r="D3049" s="1" t="s">
        <v>44</v>
      </c>
      <c r="E3049" s="1" t="s">
        <v>16</v>
      </c>
    </row>
    <row r="3050" spans="1:5" x14ac:dyDescent="0.25">
      <c r="A3050" s="13">
        <v>1033756123</v>
      </c>
      <c r="B3050" s="11" t="s">
        <v>83</v>
      </c>
      <c r="C3050" s="1" t="s">
        <v>2358</v>
      </c>
      <c r="D3050" s="1" t="s">
        <v>47</v>
      </c>
      <c r="E3050" s="1" t="s">
        <v>29</v>
      </c>
    </row>
    <row r="3051" spans="1:5" x14ac:dyDescent="0.25">
      <c r="A3051" s="13">
        <v>1033758644</v>
      </c>
      <c r="B3051" s="11" t="s">
        <v>84</v>
      </c>
      <c r="C3051" s="1" t="s">
        <v>3496</v>
      </c>
      <c r="D3051" s="1" t="s">
        <v>36</v>
      </c>
      <c r="E3051" s="1" t="s">
        <v>3595</v>
      </c>
    </row>
    <row r="3052" spans="1:5" x14ac:dyDescent="0.25">
      <c r="A3052" s="13">
        <v>1033762978</v>
      </c>
      <c r="B3052" s="11" t="s">
        <v>83</v>
      </c>
      <c r="C3052" s="1" t="s">
        <v>2357</v>
      </c>
      <c r="D3052" s="1" t="s">
        <v>141</v>
      </c>
      <c r="E3052" s="1" t="s">
        <v>16</v>
      </c>
    </row>
    <row r="3053" spans="1:5" x14ac:dyDescent="0.25">
      <c r="A3053" s="13">
        <v>1033762993</v>
      </c>
      <c r="B3053" s="11" t="s">
        <v>84</v>
      </c>
      <c r="C3053" s="1" t="s">
        <v>3497</v>
      </c>
      <c r="D3053" s="1" t="s">
        <v>38</v>
      </c>
      <c r="E3053" s="1" t="s">
        <v>12</v>
      </c>
    </row>
    <row r="3054" spans="1:5" x14ac:dyDescent="0.25">
      <c r="A3054" s="13">
        <v>1033763949</v>
      </c>
      <c r="B3054" s="11" t="s">
        <v>83</v>
      </c>
      <c r="C3054" s="1" t="s">
        <v>2356</v>
      </c>
      <c r="D3054" s="1" t="s">
        <v>47</v>
      </c>
      <c r="E3054" s="1" t="s">
        <v>16</v>
      </c>
    </row>
    <row r="3055" spans="1:5" x14ac:dyDescent="0.25">
      <c r="A3055" s="13">
        <v>1033768748</v>
      </c>
      <c r="B3055" s="11" t="s">
        <v>84</v>
      </c>
      <c r="C3055" s="1" t="s">
        <v>3498</v>
      </c>
      <c r="D3055" s="1" t="s">
        <v>38</v>
      </c>
      <c r="E3055" s="1" t="s">
        <v>12</v>
      </c>
    </row>
    <row r="3056" spans="1:5" x14ac:dyDescent="0.25">
      <c r="A3056" s="13">
        <v>1033769579</v>
      </c>
      <c r="B3056" s="11" t="s">
        <v>83</v>
      </c>
      <c r="C3056" s="1" t="s">
        <v>2355</v>
      </c>
      <c r="D3056" s="1" t="s">
        <v>340</v>
      </c>
      <c r="E3056" s="1" t="s">
        <v>23</v>
      </c>
    </row>
    <row r="3057" spans="1:5" x14ac:dyDescent="0.25">
      <c r="A3057" s="13">
        <v>1033770988</v>
      </c>
      <c r="B3057" s="11" t="s">
        <v>83</v>
      </c>
      <c r="C3057" s="1" t="s">
        <v>2354</v>
      </c>
      <c r="D3057" s="1" t="s">
        <v>47</v>
      </c>
      <c r="E3057" s="1" t="s">
        <v>19</v>
      </c>
    </row>
    <row r="3058" spans="1:5" x14ac:dyDescent="0.25">
      <c r="A3058" s="13">
        <v>1033771788</v>
      </c>
      <c r="B3058" s="11" t="s">
        <v>83</v>
      </c>
      <c r="C3058" s="1" t="s">
        <v>2353</v>
      </c>
      <c r="D3058" s="1" t="s">
        <v>47</v>
      </c>
      <c r="E3058" s="1" t="s">
        <v>17</v>
      </c>
    </row>
    <row r="3059" spans="1:5" x14ac:dyDescent="0.25">
      <c r="A3059" s="13">
        <v>1033771906</v>
      </c>
      <c r="B3059" s="11" t="s">
        <v>84</v>
      </c>
      <c r="C3059" s="1" t="s">
        <v>2352</v>
      </c>
      <c r="D3059" s="1" t="s">
        <v>3138</v>
      </c>
      <c r="E3059" s="1" t="s">
        <v>3595</v>
      </c>
    </row>
    <row r="3060" spans="1:5" x14ac:dyDescent="0.25">
      <c r="A3060" s="13">
        <v>1033771921</v>
      </c>
      <c r="B3060" s="11" t="s">
        <v>83</v>
      </c>
      <c r="C3060" s="1" t="s">
        <v>2351</v>
      </c>
      <c r="D3060" s="1" t="s">
        <v>44</v>
      </c>
      <c r="E3060" s="1" t="s">
        <v>16</v>
      </c>
    </row>
    <row r="3061" spans="1:5" x14ac:dyDescent="0.25">
      <c r="A3061" s="13">
        <v>1033774962</v>
      </c>
      <c r="B3061" s="11" t="s">
        <v>83</v>
      </c>
      <c r="C3061" s="1" t="s">
        <v>2350</v>
      </c>
      <c r="D3061" s="1" t="s">
        <v>47</v>
      </c>
      <c r="E3061" s="1" t="s">
        <v>1531</v>
      </c>
    </row>
    <row r="3062" spans="1:5" x14ac:dyDescent="0.25">
      <c r="A3062" s="13">
        <v>1033782231</v>
      </c>
      <c r="B3062" s="11" t="s">
        <v>83</v>
      </c>
      <c r="C3062" s="1" t="s">
        <v>3499</v>
      </c>
      <c r="D3062" s="1" t="s">
        <v>40</v>
      </c>
      <c r="E3062" s="1" t="s">
        <v>23</v>
      </c>
    </row>
    <row r="3063" spans="1:5" x14ac:dyDescent="0.25">
      <c r="A3063" s="13">
        <v>1033787807</v>
      </c>
      <c r="B3063" s="11" t="s">
        <v>84</v>
      </c>
      <c r="C3063" s="1" t="s">
        <v>3082</v>
      </c>
      <c r="D3063" s="1" t="s">
        <v>46</v>
      </c>
      <c r="E3063" s="1" t="s">
        <v>1</v>
      </c>
    </row>
    <row r="3064" spans="1:5" x14ac:dyDescent="0.25">
      <c r="A3064" s="13">
        <v>1033788878</v>
      </c>
      <c r="B3064" s="11" t="s">
        <v>84</v>
      </c>
      <c r="C3064" s="1" t="s">
        <v>2348</v>
      </c>
      <c r="D3064" s="1" t="s">
        <v>47</v>
      </c>
      <c r="E3064" s="1" t="s">
        <v>2349</v>
      </c>
    </row>
    <row r="3065" spans="1:5" x14ac:dyDescent="0.25">
      <c r="A3065" s="13">
        <v>1033791378</v>
      </c>
      <c r="B3065" s="11" t="s">
        <v>83</v>
      </c>
      <c r="C3065" s="1" t="s">
        <v>2347</v>
      </c>
      <c r="D3065" s="1" t="s">
        <v>3198</v>
      </c>
      <c r="E3065" s="1" t="s">
        <v>196</v>
      </c>
    </row>
    <row r="3066" spans="1:5" x14ac:dyDescent="0.25">
      <c r="A3066" s="13">
        <v>1033791641</v>
      </c>
      <c r="B3066" s="11" t="s">
        <v>83</v>
      </c>
      <c r="C3066" s="1" t="s">
        <v>2346</v>
      </c>
      <c r="D3066" s="1" t="s">
        <v>77</v>
      </c>
      <c r="E3066" s="1" t="s">
        <v>210</v>
      </c>
    </row>
    <row r="3067" spans="1:5" x14ac:dyDescent="0.25">
      <c r="A3067" s="13">
        <v>1033794259</v>
      </c>
      <c r="B3067" s="11" t="s">
        <v>84</v>
      </c>
      <c r="C3067" s="1" t="s">
        <v>2345</v>
      </c>
      <c r="D3067" s="1" t="s">
        <v>1222</v>
      </c>
      <c r="E3067" s="1" t="s">
        <v>17</v>
      </c>
    </row>
    <row r="3068" spans="1:5" x14ac:dyDescent="0.25">
      <c r="A3068" s="13">
        <v>1033808056</v>
      </c>
      <c r="B3068" s="11" t="s">
        <v>84</v>
      </c>
      <c r="C3068" s="1" t="s">
        <v>2344</v>
      </c>
      <c r="D3068" s="1" t="s">
        <v>36</v>
      </c>
      <c r="E3068" s="1" t="s">
        <v>17</v>
      </c>
    </row>
    <row r="3069" spans="1:5" x14ac:dyDescent="0.25">
      <c r="A3069" s="13">
        <v>1033808137</v>
      </c>
      <c r="B3069" s="11" t="s">
        <v>83</v>
      </c>
      <c r="C3069" s="1" t="s">
        <v>2343</v>
      </c>
      <c r="D3069" s="1" t="s">
        <v>48</v>
      </c>
      <c r="E3069" s="1" t="s">
        <v>668</v>
      </c>
    </row>
    <row r="3070" spans="1:5" x14ac:dyDescent="0.25">
      <c r="A3070" s="13">
        <v>1033809999</v>
      </c>
      <c r="B3070" s="11" t="s">
        <v>84</v>
      </c>
      <c r="C3070" s="1" t="s">
        <v>3036</v>
      </c>
      <c r="D3070" s="1" t="s">
        <v>3362</v>
      </c>
      <c r="E3070" s="1" t="s">
        <v>1</v>
      </c>
    </row>
    <row r="3071" spans="1:5" x14ac:dyDescent="0.25">
      <c r="A3071" s="13">
        <v>1033820146</v>
      </c>
      <c r="B3071" s="11" t="s">
        <v>83</v>
      </c>
      <c r="C3071" s="1" t="s">
        <v>3693</v>
      </c>
      <c r="D3071" s="1" t="s">
        <v>41</v>
      </c>
      <c r="E3071" s="1" t="s">
        <v>30</v>
      </c>
    </row>
    <row r="3072" spans="1:5" x14ac:dyDescent="0.25">
      <c r="A3072" s="13">
        <v>1034398300</v>
      </c>
      <c r="B3072" s="11" t="s">
        <v>83</v>
      </c>
      <c r="C3072" s="1" t="s">
        <v>3712</v>
      </c>
      <c r="D3072" s="1" t="s">
        <v>36</v>
      </c>
      <c r="E3072" s="1" t="s">
        <v>24</v>
      </c>
    </row>
    <row r="3073" spans="1:5" x14ac:dyDescent="0.25">
      <c r="A3073" s="13">
        <v>1036949558</v>
      </c>
      <c r="B3073" s="11" t="s">
        <v>116</v>
      </c>
      <c r="C3073" s="1" t="s">
        <v>2342</v>
      </c>
      <c r="D3073" s="1" t="s">
        <v>117</v>
      </c>
      <c r="E3073" s="1" t="s">
        <v>3190</v>
      </c>
    </row>
    <row r="3074" spans="1:5" x14ac:dyDescent="0.25">
      <c r="A3074" s="13">
        <v>1045689261</v>
      </c>
      <c r="B3074" s="11" t="s">
        <v>83</v>
      </c>
      <c r="C3074" s="1" t="s">
        <v>2341</v>
      </c>
      <c r="D3074" s="1" t="s">
        <v>47</v>
      </c>
      <c r="E3074" s="1" t="s">
        <v>16</v>
      </c>
    </row>
    <row r="3075" spans="1:5" x14ac:dyDescent="0.25">
      <c r="A3075" s="13">
        <v>1047375666</v>
      </c>
      <c r="B3075" s="11" t="s">
        <v>116</v>
      </c>
      <c r="C3075" s="1" t="s">
        <v>2340</v>
      </c>
      <c r="D3075" s="1" t="s">
        <v>117</v>
      </c>
      <c r="E3075" s="1" t="s">
        <v>263</v>
      </c>
    </row>
    <row r="3076" spans="1:5" x14ac:dyDescent="0.25">
      <c r="A3076" s="13">
        <v>1047393128</v>
      </c>
      <c r="B3076" s="11" t="s">
        <v>84</v>
      </c>
      <c r="C3076" s="1" t="s">
        <v>3015</v>
      </c>
      <c r="D3076" s="1" t="s">
        <v>43</v>
      </c>
      <c r="E3076" s="1" t="s">
        <v>127</v>
      </c>
    </row>
    <row r="3077" spans="1:5" x14ac:dyDescent="0.25">
      <c r="A3077" s="13">
        <v>1047462351</v>
      </c>
      <c r="B3077" s="11" t="s">
        <v>84</v>
      </c>
      <c r="C3077" s="1" t="s">
        <v>3644</v>
      </c>
      <c r="D3077" s="1" t="s">
        <v>36</v>
      </c>
      <c r="E3077" s="1" t="s">
        <v>3595</v>
      </c>
    </row>
    <row r="3078" spans="1:5" x14ac:dyDescent="0.25">
      <c r="A3078" s="13">
        <v>1047477496</v>
      </c>
      <c r="B3078" s="11" t="s">
        <v>83</v>
      </c>
      <c r="C3078" s="1" t="s">
        <v>2339</v>
      </c>
      <c r="D3078" s="1" t="s">
        <v>48</v>
      </c>
      <c r="E3078" s="1" t="s">
        <v>19</v>
      </c>
    </row>
    <row r="3079" spans="1:5" x14ac:dyDescent="0.25">
      <c r="A3079" s="13">
        <v>1049611725</v>
      </c>
      <c r="B3079" s="11" t="s">
        <v>83</v>
      </c>
      <c r="C3079" s="1" t="s">
        <v>2338</v>
      </c>
      <c r="D3079" s="1" t="s">
        <v>47</v>
      </c>
      <c r="E3079" s="1" t="s">
        <v>19</v>
      </c>
    </row>
    <row r="3080" spans="1:5" x14ac:dyDescent="0.25">
      <c r="A3080" s="13">
        <v>1049614165</v>
      </c>
      <c r="B3080" s="11" t="s">
        <v>84</v>
      </c>
      <c r="C3080" s="1" t="s">
        <v>2337</v>
      </c>
      <c r="D3080" s="1" t="s">
        <v>62</v>
      </c>
      <c r="E3080" s="1" t="s">
        <v>3071</v>
      </c>
    </row>
    <row r="3081" spans="1:5" x14ac:dyDescent="0.25">
      <c r="A3081" s="13">
        <v>1049632673</v>
      </c>
      <c r="B3081" s="11" t="s">
        <v>83</v>
      </c>
      <c r="C3081" s="1" t="s">
        <v>2336</v>
      </c>
      <c r="D3081" s="1" t="s">
        <v>63</v>
      </c>
      <c r="E3081" s="1" t="s">
        <v>20</v>
      </c>
    </row>
    <row r="3082" spans="1:5" x14ac:dyDescent="0.25">
      <c r="A3082" s="13">
        <v>1049644802</v>
      </c>
      <c r="B3082" s="11" t="s">
        <v>83</v>
      </c>
      <c r="C3082" s="1" t="s">
        <v>3500</v>
      </c>
      <c r="D3082" s="1" t="s">
        <v>3501</v>
      </c>
      <c r="E3082" s="1" t="s">
        <v>24</v>
      </c>
    </row>
    <row r="3083" spans="1:5" x14ac:dyDescent="0.25">
      <c r="A3083" s="13">
        <v>1050007178</v>
      </c>
      <c r="B3083" s="11" t="s">
        <v>83</v>
      </c>
      <c r="C3083" s="1" t="s">
        <v>2335</v>
      </c>
      <c r="D3083" s="1" t="s">
        <v>44</v>
      </c>
      <c r="E3083" s="1" t="s">
        <v>16</v>
      </c>
    </row>
    <row r="3084" spans="1:5" x14ac:dyDescent="0.25">
      <c r="A3084" s="13">
        <v>1052385616</v>
      </c>
      <c r="B3084" s="11" t="s">
        <v>84</v>
      </c>
      <c r="C3084" s="1" t="s">
        <v>2334</v>
      </c>
      <c r="D3084" s="1" t="s">
        <v>151</v>
      </c>
      <c r="E3084" s="1" t="s">
        <v>152</v>
      </c>
    </row>
    <row r="3085" spans="1:5" x14ac:dyDescent="0.25">
      <c r="A3085" s="13">
        <v>1053324086</v>
      </c>
      <c r="B3085" s="11" t="s">
        <v>83</v>
      </c>
      <c r="C3085" s="1" t="s">
        <v>2333</v>
      </c>
      <c r="D3085" s="1" t="s">
        <v>47</v>
      </c>
      <c r="E3085" s="1" t="s">
        <v>16</v>
      </c>
    </row>
    <row r="3086" spans="1:5" x14ac:dyDescent="0.25">
      <c r="A3086" s="13">
        <v>1053330697</v>
      </c>
      <c r="B3086" s="11" t="s">
        <v>84</v>
      </c>
      <c r="C3086" s="1" t="s">
        <v>3502</v>
      </c>
      <c r="D3086" s="1" t="s">
        <v>43</v>
      </c>
      <c r="E3086" s="1" t="s">
        <v>10</v>
      </c>
    </row>
    <row r="3087" spans="1:5" x14ac:dyDescent="0.25">
      <c r="A3087" s="13">
        <v>1053342965</v>
      </c>
      <c r="B3087" s="11" t="s">
        <v>83</v>
      </c>
      <c r="C3087" s="1" t="s">
        <v>3014</v>
      </c>
      <c r="D3087" s="1" t="s">
        <v>78</v>
      </c>
      <c r="E3087" s="1" t="s">
        <v>21</v>
      </c>
    </row>
    <row r="3088" spans="1:5" x14ac:dyDescent="0.25">
      <c r="A3088" s="13">
        <v>1053807440</v>
      </c>
      <c r="B3088" s="11" t="s">
        <v>84</v>
      </c>
      <c r="C3088" s="1" t="s">
        <v>3005</v>
      </c>
      <c r="D3088" s="1" t="s">
        <v>38</v>
      </c>
      <c r="E3088" s="1" t="s">
        <v>8</v>
      </c>
    </row>
    <row r="3089" spans="1:5" x14ac:dyDescent="0.25">
      <c r="A3089" s="13">
        <v>1053854684</v>
      </c>
      <c r="B3089" s="11" t="s">
        <v>84</v>
      </c>
      <c r="C3089" s="1" t="s">
        <v>2332</v>
      </c>
      <c r="D3089" s="1" t="s">
        <v>92</v>
      </c>
      <c r="E3089" s="1" t="s">
        <v>17</v>
      </c>
    </row>
    <row r="3090" spans="1:5" x14ac:dyDescent="0.25">
      <c r="A3090" s="13">
        <v>1057571376</v>
      </c>
      <c r="B3090" s="11" t="s">
        <v>84</v>
      </c>
      <c r="C3090" s="1" t="s">
        <v>3503</v>
      </c>
      <c r="D3090" s="1" t="s">
        <v>38</v>
      </c>
      <c r="E3090" s="1" t="s">
        <v>7</v>
      </c>
    </row>
    <row r="3091" spans="1:5" x14ac:dyDescent="0.25">
      <c r="A3091" s="13">
        <v>1057574950</v>
      </c>
      <c r="B3091" s="11" t="s">
        <v>83</v>
      </c>
      <c r="C3091" s="1" t="s">
        <v>2331</v>
      </c>
      <c r="D3091" s="1" t="s">
        <v>47</v>
      </c>
      <c r="E3091" s="1" t="s">
        <v>17</v>
      </c>
    </row>
    <row r="3092" spans="1:5" x14ac:dyDescent="0.25">
      <c r="A3092" s="13">
        <v>1057581152</v>
      </c>
      <c r="B3092" s="11" t="s">
        <v>84</v>
      </c>
      <c r="C3092" s="1" t="s">
        <v>3504</v>
      </c>
      <c r="D3092" s="1" t="s">
        <v>3671</v>
      </c>
      <c r="E3092" s="1" t="s">
        <v>27</v>
      </c>
    </row>
    <row r="3093" spans="1:5" x14ac:dyDescent="0.25">
      <c r="A3093" s="13">
        <v>1060652990</v>
      </c>
      <c r="B3093" s="11" t="s">
        <v>84</v>
      </c>
      <c r="C3093" s="1" t="s">
        <v>2330</v>
      </c>
      <c r="D3093" s="1" t="s">
        <v>36</v>
      </c>
      <c r="E3093" s="1" t="s">
        <v>22</v>
      </c>
    </row>
    <row r="3094" spans="1:5" x14ac:dyDescent="0.25">
      <c r="A3094" s="13">
        <v>1064313638</v>
      </c>
      <c r="B3094" s="11" t="s">
        <v>83</v>
      </c>
      <c r="C3094" s="1" t="s">
        <v>2329</v>
      </c>
      <c r="D3094" s="1" t="s">
        <v>1170</v>
      </c>
      <c r="E3094" s="1" t="s">
        <v>248</v>
      </c>
    </row>
    <row r="3095" spans="1:5" x14ac:dyDescent="0.25">
      <c r="A3095" s="13">
        <v>1064722675</v>
      </c>
      <c r="B3095" s="11" t="s">
        <v>83</v>
      </c>
      <c r="C3095" s="1" t="s">
        <v>2328</v>
      </c>
      <c r="D3095" s="1" t="s">
        <v>36</v>
      </c>
      <c r="E3095" s="1" t="s">
        <v>21</v>
      </c>
    </row>
    <row r="3096" spans="1:5" x14ac:dyDescent="0.25">
      <c r="A3096" s="13">
        <v>1065597473</v>
      </c>
      <c r="B3096" s="11" t="s">
        <v>83</v>
      </c>
      <c r="C3096" s="1" t="s">
        <v>2327</v>
      </c>
      <c r="D3096" s="1" t="s">
        <v>47</v>
      </c>
      <c r="E3096" s="1" t="s">
        <v>1531</v>
      </c>
    </row>
    <row r="3097" spans="1:5" x14ac:dyDescent="0.25">
      <c r="A3097" s="13">
        <v>1067854195</v>
      </c>
      <c r="B3097" s="11" t="s">
        <v>83</v>
      </c>
      <c r="C3097" s="1" t="s">
        <v>2326</v>
      </c>
      <c r="D3097" s="1" t="s">
        <v>55</v>
      </c>
      <c r="E3097" s="1" t="s">
        <v>16</v>
      </c>
    </row>
    <row r="3098" spans="1:5" x14ac:dyDescent="0.25">
      <c r="A3098" s="13">
        <v>1069101040</v>
      </c>
      <c r="B3098" s="11" t="s">
        <v>83</v>
      </c>
      <c r="C3098" s="1" t="s">
        <v>2324</v>
      </c>
      <c r="D3098" s="1" t="s">
        <v>2325</v>
      </c>
      <c r="E3098" s="1" t="s">
        <v>18</v>
      </c>
    </row>
    <row r="3099" spans="1:5" x14ac:dyDescent="0.25">
      <c r="A3099" s="13">
        <v>1069306637</v>
      </c>
      <c r="B3099" s="11" t="s">
        <v>84</v>
      </c>
      <c r="C3099" s="1" t="s">
        <v>2323</v>
      </c>
      <c r="D3099" s="1" t="s">
        <v>36</v>
      </c>
      <c r="E3099" s="1" t="s">
        <v>17</v>
      </c>
    </row>
    <row r="3100" spans="1:5" x14ac:dyDescent="0.25">
      <c r="A3100" s="13">
        <v>1069712533</v>
      </c>
      <c r="B3100" s="11" t="s">
        <v>84</v>
      </c>
      <c r="C3100" s="1" t="s">
        <v>3713</v>
      </c>
      <c r="D3100" s="1" t="s">
        <v>498</v>
      </c>
      <c r="E3100" s="1" t="s">
        <v>1</v>
      </c>
    </row>
    <row r="3101" spans="1:5" x14ac:dyDescent="0.25">
      <c r="A3101" s="13">
        <v>1069718527</v>
      </c>
      <c r="B3101" s="11" t="s">
        <v>83</v>
      </c>
      <c r="C3101" s="1" t="s">
        <v>2322</v>
      </c>
      <c r="D3101" s="1" t="s">
        <v>3137</v>
      </c>
      <c r="E3101" s="1" t="s">
        <v>19</v>
      </c>
    </row>
    <row r="3102" spans="1:5" x14ac:dyDescent="0.25">
      <c r="A3102" s="13">
        <v>1069723552</v>
      </c>
      <c r="B3102" s="11" t="s">
        <v>116</v>
      </c>
      <c r="C3102" s="1" t="s">
        <v>2321</v>
      </c>
      <c r="D3102" s="1" t="s">
        <v>117</v>
      </c>
      <c r="E3102" s="1" t="s">
        <v>186</v>
      </c>
    </row>
    <row r="3103" spans="1:5" x14ac:dyDescent="0.25">
      <c r="A3103" s="13">
        <v>1069724855</v>
      </c>
      <c r="B3103" s="11" t="s">
        <v>84</v>
      </c>
      <c r="C3103" s="1" t="s">
        <v>2320</v>
      </c>
      <c r="D3103" s="1" t="s">
        <v>3645</v>
      </c>
      <c r="E3103" s="1" t="s">
        <v>3085</v>
      </c>
    </row>
    <row r="3104" spans="1:5" x14ac:dyDescent="0.25">
      <c r="A3104" s="13">
        <v>1069731466</v>
      </c>
      <c r="B3104" s="11" t="s">
        <v>84</v>
      </c>
      <c r="C3104" s="1" t="s">
        <v>2319</v>
      </c>
      <c r="D3104" s="1" t="s">
        <v>38</v>
      </c>
      <c r="E3104" s="1" t="s">
        <v>134</v>
      </c>
    </row>
    <row r="3105" spans="1:5" x14ac:dyDescent="0.25">
      <c r="A3105" s="13">
        <v>1069738148</v>
      </c>
      <c r="B3105" s="11" t="s">
        <v>83</v>
      </c>
      <c r="C3105" s="1" t="s">
        <v>2318</v>
      </c>
      <c r="D3105" s="1" t="s">
        <v>77</v>
      </c>
      <c r="E3105" s="1" t="s">
        <v>4</v>
      </c>
    </row>
    <row r="3106" spans="1:5" x14ac:dyDescent="0.25">
      <c r="A3106" s="13">
        <v>1069984043</v>
      </c>
      <c r="B3106" s="11" t="s">
        <v>83</v>
      </c>
      <c r="C3106" s="1" t="s">
        <v>3169</v>
      </c>
      <c r="D3106" s="1" t="s">
        <v>79</v>
      </c>
      <c r="E3106" s="1" t="s">
        <v>4</v>
      </c>
    </row>
    <row r="3107" spans="1:5" x14ac:dyDescent="0.25">
      <c r="A3107" s="13">
        <v>1070015759</v>
      </c>
      <c r="B3107" s="11" t="s">
        <v>83</v>
      </c>
      <c r="C3107" s="1" t="s">
        <v>3119</v>
      </c>
      <c r="D3107" s="1" t="s">
        <v>50</v>
      </c>
      <c r="E3107" s="1" t="s">
        <v>21</v>
      </c>
    </row>
    <row r="3108" spans="1:5" x14ac:dyDescent="0.25">
      <c r="A3108" s="13">
        <v>1070922517</v>
      </c>
      <c r="B3108" s="11" t="s">
        <v>84</v>
      </c>
      <c r="C3108" s="1" t="s">
        <v>2317</v>
      </c>
      <c r="D3108" s="1" t="s">
        <v>36</v>
      </c>
      <c r="E3108" s="1" t="s">
        <v>17</v>
      </c>
    </row>
    <row r="3109" spans="1:5" x14ac:dyDescent="0.25">
      <c r="A3109" s="13">
        <v>1070951907</v>
      </c>
      <c r="B3109" s="11" t="s">
        <v>83</v>
      </c>
      <c r="C3109" s="1" t="s">
        <v>2316</v>
      </c>
      <c r="D3109" s="1" t="s">
        <v>47</v>
      </c>
      <c r="E3109" s="1" t="s">
        <v>17</v>
      </c>
    </row>
    <row r="3110" spans="1:5" x14ac:dyDescent="0.25">
      <c r="A3110" s="13">
        <v>1070953510</v>
      </c>
      <c r="B3110" s="11" t="s">
        <v>84</v>
      </c>
      <c r="C3110" s="1" t="s">
        <v>2315</v>
      </c>
      <c r="D3110" s="1" t="s">
        <v>38</v>
      </c>
      <c r="E3110" s="1" t="s">
        <v>12</v>
      </c>
    </row>
    <row r="3111" spans="1:5" x14ac:dyDescent="0.25">
      <c r="A3111" s="13">
        <v>1070965429</v>
      </c>
      <c r="B3111" s="11" t="s">
        <v>83</v>
      </c>
      <c r="C3111" s="1" t="s">
        <v>2314</v>
      </c>
      <c r="D3111" s="1" t="s">
        <v>104</v>
      </c>
      <c r="E3111" s="1" t="s">
        <v>24</v>
      </c>
    </row>
    <row r="3112" spans="1:5" x14ac:dyDescent="0.25">
      <c r="A3112" s="13">
        <v>1070965958</v>
      </c>
      <c r="B3112" s="11" t="s">
        <v>84</v>
      </c>
      <c r="C3112" s="1" t="s">
        <v>2313</v>
      </c>
      <c r="D3112" s="1" t="s">
        <v>43</v>
      </c>
      <c r="E3112" s="1" t="s">
        <v>127</v>
      </c>
    </row>
    <row r="3113" spans="1:5" x14ac:dyDescent="0.25">
      <c r="A3113" s="13">
        <v>1070989946</v>
      </c>
      <c r="B3113" s="11" t="s">
        <v>84</v>
      </c>
      <c r="C3113" s="1" t="s">
        <v>2312</v>
      </c>
      <c r="D3113" s="1" t="s">
        <v>36</v>
      </c>
      <c r="E3113" s="1" t="s">
        <v>17</v>
      </c>
    </row>
    <row r="3114" spans="1:5" x14ac:dyDescent="0.25">
      <c r="A3114" s="13">
        <v>1071329604</v>
      </c>
      <c r="B3114" s="11" t="s">
        <v>84</v>
      </c>
      <c r="C3114" s="1" t="s">
        <v>2311</v>
      </c>
      <c r="D3114" s="1" t="s">
        <v>1381</v>
      </c>
      <c r="E3114" s="1" t="s">
        <v>1</v>
      </c>
    </row>
    <row r="3115" spans="1:5" x14ac:dyDescent="0.25">
      <c r="A3115" s="13">
        <v>1071329799</v>
      </c>
      <c r="B3115" s="11" t="s">
        <v>84</v>
      </c>
      <c r="C3115" s="1" t="s">
        <v>2309</v>
      </c>
      <c r="D3115" s="1" t="s">
        <v>2310</v>
      </c>
      <c r="E3115" s="1" t="s">
        <v>22</v>
      </c>
    </row>
    <row r="3116" spans="1:5" x14ac:dyDescent="0.25">
      <c r="A3116" s="13">
        <v>1071331304</v>
      </c>
      <c r="B3116" s="11" t="s">
        <v>84</v>
      </c>
      <c r="C3116" s="1" t="s">
        <v>2308</v>
      </c>
      <c r="D3116" s="1" t="s">
        <v>38</v>
      </c>
      <c r="E3116" s="1" t="s">
        <v>170</v>
      </c>
    </row>
    <row r="3117" spans="1:5" x14ac:dyDescent="0.25">
      <c r="A3117" s="13">
        <v>1071331814</v>
      </c>
      <c r="B3117" s="11" t="s">
        <v>83</v>
      </c>
      <c r="C3117" s="1" t="s">
        <v>2307</v>
      </c>
      <c r="D3117" s="1" t="s">
        <v>79</v>
      </c>
      <c r="E3117" s="1" t="s">
        <v>21</v>
      </c>
    </row>
    <row r="3118" spans="1:5" x14ac:dyDescent="0.25">
      <c r="A3118" s="13">
        <v>1072625557</v>
      </c>
      <c r="B3118" s="11" t="s">
        <v>84</v>
      </c>
      <c r="C3118" s="1" t="s">
        <v>2304</v>
      </c>
      <c r="D3118" s="1" t="s">
        <v>2305</v>
      </c>
      <c r="E3118" s="1" t="s">
        <v>179</v>
      </c>
    </row>
    <row r="3119" spans="1:5" x14ac:dyDescent="0.25">
      <c r="A3119" s="13">
        <v>1072646885</v>
      </c>
      <c r="B3119" s="11" t="s">
        <v>83</v>
      </c>
      <c r="C3119" s="1" t="s">
        <v>2303</v>
      </c>
      <c r="D3119" s="1" t="s">
        <v>340</v>
      </c>
      <c r="E3119" s="1" t="s">
        <v>23</v>
      </c>
    </row>
    <row r="3120" spans="1:5" x14ac:dyDescent="0.25">
      <c r="A3120" s="13">
        <v>1072652557</v>
      </c>
      <c r="B3120" s="11" t="s">
        <v>84</v>
      </c>
      <c r="C3120" s="1" t="s">
        <v>2302</v>
      </c>
      <c r="D3120" s="1" t="s">
        <v>38</v>
      </c>
      <c r="E3120" s="1" t="s">
        <v>8</v>
      </c>
    </row>
    <row r="3121" spans="1:5" x14ac:dyDescent="0.25">
      <c r="A3121" s="13">
        <v>1072671040</v>
      </c>
      <c r="B3121" s="11" t="s">
        <v>83</v>
      </c>
      <c r="C3121" s="1" t="s">
        <v>3505</v>
      </c>
      <c r="D3121" s="1" t="s">
        <v>3454</v>
      </c>
      <c r="E3121" s="1" t="s">
        <v>19</v>
      </c>
    </row>
    <row r="3122" spans="1:5" x14ac:dyDescent="0.25">
      <c r="A3122" s="13">
        <v>1072894783</v>
      </c>
      <c r="B3122" s="11" t="s">
        <v>116</v>
      </c>
      <c r="C3122" s="1" t="s">
        <v>2301</v>
      </c>
      <c r="D3122" s="1" t="s">
        <v>117</v>
      </c>
      <c r="E3122" s="1" t="s">
        <v>134</v>
      </c>
    </row>
    <row r="3123" spans="1:5" x14ac:dyDescent="0.25">
      <c r="A3123" s="13">
        <v>1073150473</v>
      </c>
      <c r="B3123" s="11" t="s">
        <v>84</v>
      </c>
      <c r="C3123" s="1" t="s">
        <v>2300</v>
      </c>
      <c r="D3123" s="1" t="s">
        <v>38</v>
      </c>
      <c r="E3123" s="1" t="s">
        <v>7</v>
      </c>
    </row>
    <row r="3124" spans="1:5" x14ac:dyDescent="0.25">
      <c r="A3124" s="13">
        <v>1073151861</v>
      </c>
      <c r="B3124" s="11" t="s">
        <v>84</v>
      </c>
      <c r="C3124" s="1" t="s">
        <v>2299</v>
      </c>
      <c r="D3124" s="1" t="s">
        <v>88</v>
      </c>
      <c r="E3124" s="1" t="s">
        <v>1</v>
      </c>
    </row>
    <row r="3125" spans="1:5" x14ac:dyDescent="0.25">
      <c r="A3125" s="13">
        <v>1073158990</v>
      </c>
      <c r="B3125" s="11" t="s">
        <v>83</v>
      </c>
      <c r="C3125" s="1" t="s">
        <v>2298</v>
      </c>
      <c r="D3125" s="1" t="s">
        <v>47</v>
      </c>
      <c r="E3125" s="1" t="s">
        <v>152</v>
      </c>
    </row>
    <row r="3126" spans="1:5" x14ac:dyDescent="0.25">
      <c r="A3126" s="13">
        <v>1073163944</v>
      </c>
      <c r="B3126" s="11" t="s">
        <v>84</v>
      </c>
      <c r="C3126" s="1" t="s">
        <v>2297</v>
      </c>
      <c r="D3126" s="1" t="s">
        <v>38</v>
      </c>
      <c r="E3126" s="1" t="s">
        <v>14</v>
      </c>
    </row>
    <row r="3127" spans="1:5" x14ac:dyDescent="0.25">
      <c r="A3127" s="13">
        <v>1073176891</v>
      </c>
      <c r="B3127" s="11" t="s">
        <v>83</v>
      </c>
      <c r="C3127" s="1" t="s">
        <v>2296</v>
      </c>
      <c r="D3127" s="1" t="s">
        <v>54</v>
      </c>
      <c r="E3127" s="1" t="s">
        <v>16</v>
      </c>
    </row>
    <row r="3128" spans="1:5" x14ac:dyDescent="0.25">
      <c r="A3128" s="13">
        <v>1073178668</v>
      </c>
      <c r="B3128" s="11" t="s">
        <v>84</v>
      </c>
      <c r="C3128" s="1" t="s">
        <v>3506</v>
      </c>
      <c r="D3128" s="1" t="s">
        <v>43</v>
      </c>
      <c r="E3128" s="1" t="s">
        <v>3238</v>
      </c>
    </row>
    <row r="3129" spans="1:5" x14ac:dyDescent="0.25">
      <c r="A3129" s="13">
        <v>1073230882</v>
      </c>
      <c r="B3129" s="11" t="s">
        <v>83</v>
      </c>
      <c r="C3129" s="1" t="s">
        <v>2295</v>
      </c>
      <c r="D3129" s="1" t="s">
        <v>47</v>
      </c>
      <c r="E3129" s="1" t="s">
        <v>152</v>
      </c>
    </row>
    <row r="3130" spans="1:5" x14ac:dyDescent="0.25">
      <c r="A3130" s="13">
        <v>1073232068</v>
      </c>
      <c r="B3130" s="11" t="s">
        <v>83</v>
      </c>
      <c r="C3130" s="1" t="s">
        <v>2294</v>
      </c>
      <c r="D3130" s="1" t="s">
        <v>141</v>
      </c>
      <c r="E3130" s="1" t="s">
        <v>242</v>
      </c>
    </row>
    <row r="3131" spans="1:5" x14ac:dyDescent="0.25">
      <c r="A3131" s="13">
        <v>1073512275</v>
      </c>
      <c r="B3131" s="11" t="s">
        <v>83</v>
      </c>
      <c r="C3131" s="1" t="s">
        <v>2293</v>
      </c>
      <c r="D3131" s="1" t="s">
        <v>47</v>
      </c>
      <c r="E3131" s="1" t="s">
        <v>19</v>
      </c>
    </row>
    <row r="3132" spans="1:5" x14ac:dyDescent="0.25">
      <c r="A3132" s="13">
        <v>1073520623</v>
      </c>
      <c r="B3132" s="11" t="s">
        <v>83</v>
      </c>
      <c r="C3132" s="1" t="s">
        <v>2292</v>
      </c>
      <c r="D3132" s="1" t="s">
        <v>1381</v>
      </c>
      <c r="E3132" s="1" t="s">
        <v>668</v>
      </c>
    </row>
    <row r="3133" spans="1:5" x14ac:dyDescent="0.25">
      <c r="A3133" s="13">
        <v>1073528030</v>
      </c>
      <c r="B3133" s="11" t="s">
        <v>83</v>
      </c>
      <c r="C3133" s="1" t="s">
        <v>2291</v>
      </c>
      <c r="D3133" s="1" t="s">
        <v>47</v>
      </c>
      <c r="E3133" s="1" t="s">
        <v>19</v>
      </c>
    </row>
    <row r="3134" spans="1:5" x14ac:dyDescent="0.25">
      <c r="A3134" s="13">
        <v>1073682257</v>
      </c>
      <c r="B3134" s="11" t="s">
        <v>83</v>
      </c>
      <c r="C3134" s="1" t="s">
        <v>2290</v>
      </c>
      <c r="D3134" s="1" t="s">
        <v>54</v>
      </c>
      <c r="E3134" s="1" t="s">
        <v>16</v>
      </c>
    </row>
    <row r="3135" spans="1:5" x14ac:dyDescent="0.25">
      <c r="A3135" s="13">
        <v>1073690317</v>
      </c>
      <c r="B3135" s="11" t="s">
        <v>84</v>
      </c>
      <c r="C3135" s="1" t="s">
        <v>3507</v>
      </c>
      <c r="D3135" s="1" t="s">
        <v>38</v>
      </c>
      <c r="E3135" s="1" t="s">
        <v>134</v>
      </c>
    </row>
    <row r="3136" spans="1:5" x14ac:dyDescent="0.25">
      <c r="A3136" s="13">
        <v>1073711440</v>
      </c>
      <c r="B3136" s="11" t="s">
        <v>83</v>
      </c>
      <c r="C3136" s="1" t="s">
        <v>2289</v>
      </c>
      <c r="D3136" s="1" t="s">
        <v>104</v>
      </c>
      <c r="E3136" s="1" t="s">
        <v>24</v>
      </c>
    </row>
    <row r="3137" spans="1:5" x14ac:dyDescent="0.25">
      <c r="A3137" s="13">
        <v>1074159398</v>
      </c>
      <c r="B3137" s="11" t="s">
        <v>83</v>
      </c>
      <c r="C3137" s="1" t="s">
        <v>2288</v>
      </c>
      <c r="D3137" s="1" t="s">
        <v>47</v>
      </c>
      <c r="E3137" s="1" t="s">
        <v>29</v>
      </c>
    </row>
    <row r="3138" spans="1:5" x14ac:dyDescent="0.25">
      <c r="A3138" s="13">
        <v>1074160191</v>
      </c>
      <c r="B3138" s="11" t="s">
        <v>84</v>
      </c>
      <c r="C3138" s="1" t="s">
        <v>3508</v>
      </c>
      <c r="D3138" s="1" t="s">
        <v>3473</v>
      </c>
      <c r="E3138" s="1" t="s">
        <v>1</v>
      </c>
    </row>
    <row r="3139" spans="1:5" x14ac:dyDescent="0.25">
      <c r="A3139" s="13">
        <v>1074527083</v>
      </c>
      <c r="B3139" s="11" t="s">
        <v>84</v>
      </c>
      <c r="C3139" s="1" t="s">
        <v>3509</v>
      </c>
      <c r="D3139" s="1" t="s">
        <v>79</v>
      </c>
      <c r="E3139" s="1" t="s">
        <v>1</v>
      </c>
    </row>
    <row r="3140" spans="1:5" x14ac:dyDescent="0.25">
      <c r="A3140" s="13">
        <v>1075282068</v>
      </c>
      <c r="B3140" s="11" t="s">
        <v>116</v>
      </c>
      <c r="C3140" s="1" t="s">
        <v>3510</v>
      </c>
      <c r="D3140" s="1" t="s">
        <v>117</v>
      </c>
      <c r="E3140" s="1" t="s">
        <v>12</v>
      </c>
    </row>
    <row r="3141" spans="1:5" x14ac:dyDescent="0.25">
      <c r="A3141" s="13">
        <v>1075307929</v>
      </c>
      <c r="B3141" s="11" t="s">
        <v>84</v>
      </c>
      <c r="C3141" s="1" t="s">
        <v>3646</v>
      </c>
      <c r="D3141" s="1" t="s">
        <v>38</v>
      </c>
      <c r="E3141" s="1" t="s">
        <v>8</v>
      </c>
    </row>
    <row r="3142" spans="1:5" x14ac:dyDescent="0.25">
      <c r="A3142" s="13">
        <v>1075658668</v>
      </c>
      <c r="B3142" s="11" t="s">
        <v>83</v>
      </c>
      <c r="C3142" s="1" t="s">
        <v>2287</v>
      </c>
      <c r="D3142" s="1" t="s">
        <v>47</v>
      </c>
      <c r="E3142" s="1" t="s">
        <v>19</v>
      </c>
    </row>
    <row r="3143" spans="1:5" x14ac:dyDescent="0.25">
      <c r="A3143" s="13">
        <v>1075872591</v>
      </c>
      <c r="B3143" s="11" t="s">
        <v>83</v>
      </c>
      <c r="C3143" s="1" t="s">
        <v>3168</v>
      </c>
      <c r="D3143" s="1" t="s">
        <v>3149</v>
      </c>
      <c r="E3143" s="1" t="s">
        <v>668</v>
      </c>
    </row>
    <row r="3144" spans="1:5" x14ac:dyDescent="0.25">
      <c r="A3144" s="13">
        <v>1079012207</v>
      </c>
      <c r="B3144" s="11" t="s">
        <v>83</v>
      </c>
      <c r="C3144" s="1" t="s">
        <v>3511</v>
      </c>
      <c r="D3144" s="1" t="s">
        <v>36</v>
      </c>
      <c r="E3144" s="1" t="s">
        <v>21</v>
      </c>
    </row>
    <row r="3145" spans="1:5" x14ac:dyDescent="0.25">
      <c r="A3145" s="13">
        <v>1082155766</v>
      </c>
      <c r="B3145" s="11" t="s">
        <v>83</v>
      </c>
      <c r="C3145" s="1" t="s">
        <v>2285</v>
      </c>
      <c r="D3145" s="1" t="s">
        <v>1222</v>
      </c>
      <c r="E3145" s="1" t="s">
        <v>272</v>
      </c>
    </row>
    <row r="3146" spans="1:5" x14ac:dyDescent="0.25">
      <c r="A3146" s="13">
        <v>1082916320</v>
      </c>
      <c r="B3146" s="11" t="s">
        <v>84</v>
      </c>
      <c r="C3146" s="1" t="s">
        <v>3104</v>
      </c>
      <c r="D3146" s="1" t="s">
        <v>92</v>
      </c>
      <c r="E3146" s="1" t="s">
        <v>3071</v>
      </c>
    </row>
    <row r="3147" spans="1:5" x14ac:dyDescent="0.25">
      <c r="A3147" s="13">
        <v>1082963292</v>
      </c>
      <c r="B3147" s="11" t="s">
        <v>83</v>
      </c>
      <c r="C3147" s="1" t="s">
        <v>3647</v>
      </c>
      <c r="D3147" s="1" t="s">
        <v>57</v>
      </c>
      <c r="E3147" s="1" t="s">
        <v>23</v>
      </c>
    </row>
    <row r="3148" spans="1:5" x14ac:dyDescent="0.25">
      <c r="A3148" s="13">
        <v>1085247220</v>
      </c>
      <c r="B3148" s="11" t="s">
        <v>116</v>
      </c>
      <c r="C3148" s="1" t="s">
        <v>2284</v>
      </c>
      <c r="D3148" s="1" t="s">
        <v>117</v>
      </c>
      <c r="E3148" s="1" t="s">
        <v>336</v>
      </c>
    </row>
    <row r="3149" spans="1:5" x14ac:dyDescent="0.25">
      <c r="A3149" s="13">
        <v>1085267128</v>
      </c>
      <c r="B3149" s="11" t="s">
        <v>84</v>
      </c>
      <c r="C3149" s="1" t="s">
        <v>2283</v>
      </c>
      <c r="D3149" s="1" t="s">
        <v>38</v>
      </c>
      <c r="E3149" s="1" t="s">
        <v>8</v>
      </c>
    </row>
    <row r="3150" spans="1:5" x14ac:dyDescent="0.25">
      <c r="A3150" s="13">
        <v>1087121273</v>
      </c>
      <c r="B3150" s="11" t="s">
        <v>83</v>
      </c>
      <c r="C3150" s="1" t="s">
        <v>3512</v>
      </c>
      <c r="D3150" s="1" t="s">
        <v>94</v>
      </c>
      <c r="E3150" s="1" t="s">
        <v>248</v>
      </c>
    </row>
    <row r="3151" spans="1:5" x14ac:dyDescent="0.25">
      <c r="A3151" s="13">
        <v>1087210902</v>
      </c>
      <c r="B3151" s="11" t="s">
        <v>83</v>
      </c>
      <c r="C3151" s="1" t="s">
        <v>3513</v>
      </c>
      <c r="D3151" s="1" t="s">
        <v>3361</v>
      </c>
      <c r="E3151" s="1" t="s">
        <v>18</v>
      </c>
    </row>
    <row r="3152" spans="1:5" x14ac:dyDescent="0.25">
      <c r="A3152" s="13">
        <v>1088256675</v>
      </c>
      <c r="B3152" s="11" t="s">
        <v>116</v>
      </c>
      <c r="C3152" s="1" t="s">
        <v>2282</v>
      </c>
      <c r="D3152" s="1" t="s">
        <v>117</v>
      </c>
      <c r="E3152" s="1" t="s">
        <v>8</v>
      </c>
    </row>
    <row r="3153" spans="1:5" x14ac:dyDescent="0.25">
      <c r="A3153" s="13">
        <v>1088271590</v>
      </c>
      <c r="B3153" s="11" t="s">
        <v>83</v>
      </c>
      <c r="C3153" s="1" t="s">
        <v>2281</v>
      </c>
      <c r="D3153" s="1" t="s">
        <v>554</v>
      </c>
      <c r="E3153" s="1" t="s">
        <v>4</v>
      </c>
    </row>
    <row r="3154" spans="1:5" x14ac:dyDescent="0.25">
      <c r="A3154" s="13">
        <v>1088296910</v>
      </c>
      <c r="B3154" s="11" t="s">
        <v>83</v>
      </c>
      <c r="C3154" s="1" t="s">
        <v>2280</v>
      </c>
      <c r="D3154" s="1" t="s">
        <v>47</v>
      </c>
      <c r="E3154" s="1" t="s">
        <v>1652</v>
      </c>
    </row>
    <row r="3155" spans="1:5" x14ac:dyDescent="0.25">
      <c r="A3155" s="13">
        <v>1090495027</v>
      </c>
      <c r="B3155" s="11" t="s">
        <v>83</v>
      </c>
      <c r="C3155" s="1" t="s">
        <v>3700</v>
      </c>
      <c r="D3155" s="1" t="s">
        <v>3662</v>
      </c>
      <c r="E3155" s="1" t="s">
        <v>24</v>
      </c>
    </row>
    <row r="3156" spans="1:5" x14ac:dyDescent="0.25">
      <c r="A3156" s="13">
        <v>1090499881</v>
      </c>
      <c r="B3156" s="11" t="s">
        <v>83</v>
      </c>
      <c r="C3156" s="1" t="s">
        <v>3514</v>
      </c>
      <c r="D3156" s="1" t="s">
        <v>3454</v>
      </c>
      <c r="E3156" s="1" t="s">
        <v>19</v>
      </c>
    </row>
    <row r="3157" spans="1:5" x14ac:dyDescent="0.25">
      <c r="A3157" s="13">
        <v>1090524989</v>
      </c>
      <c r="B3157" s="11" t="s">
        <v>83</v>
      </c>
      <c r="C3157" s="1" t="s">
        <v>3714</v>
      </c>
      <c r="D3157" s="1" t="s">
        <v>3715</v>
      </c>
      <c r="E3157" s="1" t="s">
        <v>18</v>
      </c>
    </row>
    <row r="3158" spans="1:5" x14ac:dyDescent="0.25">
      <c r="A3158" s="13">
        <v>1091653531</v>
      </c>
      <c r="B3158" s="11" t="s">
        <v>116</v>
      </c>
      <c r="C3158" s="1" t="s">
        <v>2279</v>
      </c>
      <c r="D3158" s="1" t="s">
        <v>117</v>
      </c>
      <c r="E3158" s="1" t="s">
        <v>881</v>
      </c>
    </row>
    <row r="3159" spans="1:5" x14ac:dyDescent="0.25">
      <c r="A3159" s="13">
        <v>1091656717</v>
      </c>
      <c r="B3159" s="11" t="s">
        <v>116</v>
      </c>
      <c r="C3159" s="1" t="s">
        <v>2278</v>
      </c>
      <c r="D3159" s="1" t="s">
        <v>117</v>
      </c>
      <c r="E3159" s="1" t="s">
        <v>232</v>
      </c>
    </row>
    <row r="3160" spans="1:5" x14ac:dyDescent="0.25">
      <c r="A3160" s="13">
        <v>1092343562</v>
      </c>
      <c r="B3160" s="11" t="s">
        <v>83</v>
      </c>
      <c r="C3160" s="1" t="s">
        <v>2277</v>
      </c>
      <c r="D3160" s="1" t="s">
        <v>141</v>
      </c>
      <c r="E3160" s="1" t="s">
        <v>16</v>
      </c>
    </row>
    <row r="3161" spans="1:5" x14ac:dyDescent="0.25">
      <c r="A3161" s="13">
        <v>1093213742</v>
      </c>
      <c r="B3161" s="11" t="s">
        <v>116</v>
      </c>
      <c r="C3161" s="1" t="s">
        <v>2276</v>
      </c>
      <c r="D3161" s="1" t="s">
        <v>117</v>
      </c>
      <c r="E3161" s="1" t="s">
        <v>3</v>
      </c>
    </row>
    <row r="3162" spans="1:5" x14ac:dyDescent="0.25">
      <c r="A3162" s="13">
        <v>1093773069</v>
      </c>
      <c r="B3162" s="11" t="s">
        <v>84</v>
      </c>
      <c r="C3162" s="1" t="s">
        <v>3515</v>
      </c>
      <c r="D3162" s="1" t="s">
        <v>43</v>
      </c>
      <c r="E3162" s="1" t="s">
        <v>13</v>
      </c>
    </row>
    <row r="3163" spans="1:5" x14ac:dyDescent="0.25">
      <c r="A3163" s="13">
        <v>1093886416</v>
      </c>
      <c r="B3163" s="11" t="s">
        <v>84</v>
      </c>
      <c r="C3163" s="1" t="s">
        <v>2275</v>
      </c>
      <c r="D3163" s="1" t="s">
        <v>36</v>
      </c>
      <c r="E3163" s="1" t="s">
        <v>17</v>
      </c>
    </row>
    <row r="3164" spans="1:5" x14ac:dyDescent="0.25">
      <c r="A3164" s="13">
        <v>1094893845</v>
      </c>
      <c r="B3164" s="11" t="s">
        <v>84</v>
      </c>
      <c r="C3164" s="1" t="s">
        <v>2274</v>
      </c>
      <c r="D3164" s="1" t="s">
        <v>38</v>
      </c>
      <c r="E3164" s="1" t="s">
        <v>12</v>
      </c>
    </row>
    <row r="3165" spans="1:5" x14ac:dyDescent="0.25">
      <c r="A3165" s="13">
        <v>1094904642</v>
      </c>
      <c r="B3165" s="11" t="s">
        <v>116</v>
      </c>
      <c r="C3165" s="1" t="s">
        <v>2273</v>
      </c>
      <c r="D3165" s="1" t="s">
        <v>117</v>
      </c>
      <c r="E3165" s="1" t="s">
        <v>134</v>
      </c>
    </row>
    <row r="3166" spans="1:5" x14ac:dyDescent="0.25">
      <c r="A3166" s="13">
        <v>1094912928</v>
      </c>
      <c r="B3166" s="11" t="s">
        <v>84</v>
      </c>
      <c r="C3166" s="1" t="s">
        <v>2272</v>
      </c>
      <c r="D3166" s="1" t="s">
        <v>43</v>
      </c>
      <c r="E3166" s="1" t="s">
        <v>7</v>
      </c>
    </row>
    <row r="3167" spans="1:5" x14ac:dyDescent="0.25">
      <c r="A3167" s="13">
        <v>1094927950</v>
      </c>
      <c r="B3167" s="11" t="s">
        <v>84</v>
      </c>
      <c r="C3167" s="1" t="s">
        <v>2271</v>
      </c>
      <c r="D3167" s="1" t="s">
        <v>38</v>
      </c>
      <c r="E3167" s="1" t="s">
        <v>5</v>
      </c>
    </row>
    <row r="3168" spans="1:5" x14ac:dyDescent="0.25">
      <c r="A3168" s="13">
        <v>1094929415</v>
      </c>
      <c r="B3168" s="11" t="s">
        <v>83</v>
      </c>
      <c r="C3168" s="1" t="s">
        <v>2270</v>
      </c>
      <c r="D3168" s="1" t="s">
        <v>68</v>
      </c>
      <c r="E3168" s="1" t="s">
        <v>24</v>
      </c>
    </row>
    <row r="3169" spans="1:5" x14ac:dyDescent="0.25">
      <c r="A3169" s="13">
        <v>1097390414</v>
      </c>
      <c r="B3169" s="11" t="s">
        <v>83</v>
      </c>
      <c r="C3169" s="1" t="s">
        <v>3516</v>
      </c>
      <c r="D3169" s="1" t="s">
        <v>48</v>
      </c>
      <c r="E3169" s="1" t="s">
        <v>19</v>
      </c>
    </row>
    <row r="3170" spans="1:5" x14ac:dyDescent="0.25">
      <c r="A3170" s="13">
        <v>1098615643</v>
      </c>
      <c r="B3170" s="11" t="s">
        <v>116</v>
      </c>
      <c r="C3170" s="1" t="s">
        <v>2269</v>
      </c>
      <c r="D3170" s="1" t="s">
        <v>117</v>
      </c>
      <c r="E3170" s="1" t="s">
        <v>6</v>
      </c>
    </row>
    <row r="3171" spans="1:5" x14ac:dyDescent="0.25">
      <c r="A3171" s="13">
        <v>1098672180</v>
      </c>
      <c r="B3171" s="11" t="s">
        <v>83</v>
      </c>
      <c r="C3171" s="1" t="s">
        <v>2268</v>
      </c>
      <c r="D3171" s="1" t="s">
        <v>44</v>
      </c>
      <c r="E3171" s="1" t="s">
        <v>16</v>
      </c>
    </row>
    <row r="3172" spans="1:5" x14ac:dyDescent="0.25">
      <c r="A3172" s="13">
        <v>1098719796</v>
      </c>
      <c r="B3172" s="11" t="s">
        <v>84</v>
      </c>
      <c r="C3172" s="1" t="s">
        <v>2267</v>
      </c>
      <c r="D3172" s="1" t="s">
        <v>38</v>
      </c>
      <c r="E3172" s="1" t="s">
        <v>6</v>
      </c>
    </row>
    <row r="3173" spans="1:5" x14ac:dyDescent="0.25">
      <c r="A3173" s="13">
        <v>1102361742</v>
      </c>
      <c r="B3173" s="11" t="s">
        <v>116</v>
      </c>
      <c r="C3173" s="1" t="s">
        <v>3517</v>
      </c>
      <c r="D3173" s="1" t="s">
        <v>117</v>
      </c>
      <c r="E3173" s="1" t="s">
        <v>3192</v>
      </c>
    </row>
    <row r="3174" spans="1:5" x14ac:dyDescent="0.25">
      <c r="A3174" s="13">
        <v>1102797955</v>
      </c>
      <c r="B3174" s="11" t="s">
        <v>116</v>
      </c>
      <c r="C3174" s="1" t="s">
        <v>2266</v>
      </c>
      <c r="D3174" s="1" t="s">
        <v>117</v>
      </c>
      <c r="E3174" s="1" t="s">
        <v>8</v>
      </c>
    </row>
    <row r="3175" spans="1:5" x14ac:dyDescent="0.25">
      <c r="A3175" s="13">
        <v>1104706299</v>
      </c>
      <c r="B3175" s="11" t="s">
        <v>83</v>
      </c>
      <c r="C3175" s="1" t="s">
        <v>3518</v>
      </c>
      <c r="D3175" s="1" t="s">
        <v>54</v>
      </c>
      <c r="E3175" s="1" t="s">
        <v>16</v>
      </c>
    </row>
    <row r="3176" spans="1:5" x14ac:dyDescent="0.25">
      <c r="A3176" s="13">
        <v>1105681275</v>
      </c>
      <c r="B3176" s="11" t="s">
        <v>83</v>
      </c>
      <c r="C3176" s="1" t="s">
        <v>3519</v>
      </c>
      <c r="D3176" s="1" t="s">
        <v>40</v>
      </c>
      <c r="E3176" s="1" t="s">
        <v>23</v>
      </c>
    </row>
    <row r="3177" spans="1:5" x14ac:dyDescent="0.25">
      <c r="A3177" s="13">
        <v>1106898992</v>
      </c>
      <c r="B3177" s="11" t="s">
        <v>83</v>
      </c>
      <c r="C3177" s="1" t="s">
        <v>2265</v>
      </c>
      <c r="D3177" s="1" t="s">
        <v>44</v>
      </c>
      <c r="E3177" s="1" t="s">
        <v>16</v>
      </c>
    </row>
    <row r="3178" spans="1:5" x14ac:dyDescent="0.25">
      <c r="A3178" s="13">
        <v>1108932221</v>
      </c>
      <c r="B3178" s="11" t="s">
        <v>83</v>
      </c>
      <c r="C3178" s="1" t="s">
        <v>2264</v>
      </c>
      <c r="D3178" s="1" t="s">
        <v>312</v>
      </c>
      <c r="E3178" s="1" t="s">
        <v>242</v>
      </c>
    </row>
    <row r="3179" spans="1:5" x14ac:dyDescent="0.25">
      <c r="A3179" s="13">
        <v>1110443644</v>
      </c>
      <c r="B3179" s="11" t="s">
        <v>84</v>
      </c>
      <c r="C3179" s="1" t="s">
        <v>3648</v>
      </c>
      <c r="D3179" s="1" t="s">
        <v>38</v>
      </c>
      <c r="E3179" s="1" t="s">
        <v>8</v>
      </c>
    </row>
    <row r="3180" spans="1:5" x14ac:dyDescent="0.25">
      <c r="A3180" s="13">
        <v>1110476907</v>
      </c>
      <c r="B3180" s="11" t="s">
        <v>84</v>
      </c>
      <c r="C3180" s="1" t="s">
        <v>2263</v>
      </c>
      <c r="D3180" s="1" t="s">
        <v>43</v>
      </c>
      <c r="E3180" s="1" t="s">
        <v>13</v>
      </c>
    </row>
    <row r="3181" spans="1:5" x14ac:dyDescent="0.25">
      <c r="A3181" s="13">
        <v>1110491057</v>
      </c>
      <c r="B3181" s="11" t="s">
        <v>116</v>
      </c>
      <c r="C3181" s="1" t="s">
        <v>2262</v>
      </c>
      <c r="D3181" s="1" t="s">
        <v>117</v>
      </c>
      <c r="E3181" s="1" t="s">
        <v>12</v>
      </c>
    </row>
    <row r="3182" spans="1:5" x14ac:dyDescent="0.25">
      <c r="A3182" s="13">
        <v>1110492291</v>
      </c>
      <c r="B3182" s="11" t="s">
        <v>83</v>
      </c>
      <c r="C3182" s="1" t="s">
        <v>3685</v>
      </c>
      <c r="D3182" s="1" t="s">
        <v>41</v>
      </c>
      <c r="E3182" s="1" t="s">
        <v>30</v>
      </c>
    </row>
    <row r="3183" spans="1:5" x14ac:dyDescent="0.25">
      <c r="A3183" s="13">
        <v>1110512583</v>
      </c>
      <c r="B3183" s="11" t="s">
        <v>84</v>
      </c>
      <c r="C3183" s="1" t="s">
        <v>3694</v>
      </c>
      <c r="D3183" s="1" t="s">
        <v>38</v>
      </c>
      <c r="E3183" s="1" t="s">
        <v>328</v>
      </c>
    </row>
    <row r="3184" spans="1:5" x14ac:dyDescent="0.25">
      <c r="A3184" s="13">
        <v>1110515665</v>
      </c>
      <c r="B3184" s="11" t="s">
        <v>84</v>
      </c>
      <c r="C3184" s="1" t="s">
        <v>3520</v>
      </c>
      <c r="D3184" s="1" t="s">
        <v>131</v>
      </c>
      <c r="E3184" s="1" t="s">
        <v>131</v>
      </c>
    </row>
    <row r="3185" spans="1:5" x14ac:dyDescent="0.25">
      <c r="A3185" s="13">
        <v>1110518498</v>
      </c>
      <c r="B3185" s="11" t="s">
        <v>84</v>
      </c>
      <c r="C3185" s="1" t="s">
        <v>3521</v>
      </c>
      <c r="D3185" s="1" t="s">
        <v>38</v>
      </c>
      <c r="E3185" s="1" t="s">
        <v>5</v>
      </c>
    </row>
    <row r="3186" spans="1:5" x14ac:dyDescent="0.25">
      <c r="A3186" s="13">
        <v>1110574207</v>
      </c>
      <c r="B3186" s="11" t="s">
        <v>83</v>
      </c>
      <c r="C3186" s="1" t="s">
        <v>3649</v>
      </c>
      <c r="D3186" s="1" t="s">
        <v>56</v>
      </c>
      <c r="E3186" s="1" t="s">
        <v>210</v>
      </c>
    </row>
    <row r="3187" spans="1:5" x14ac:dyDescent="0.25">
      <c r="A3187" s="13">
        <v>1110588462</v>
      </c>
      <c r="B3187" s="11" t="s">
        <v>83</v>
      </c>
      <c r="C3187" s="1" t="s">
        <v>2260</v>
      </c>
      <c r="D3187" s="1" t="s">
        <v>2261</v>
      </c>
      <c r="E3187" s="1" t="s">
        <v>18</v>
      </c>
    </row>
    <row r="3188" spans="1:5" x14ac:dyDescent="0.25">
      <c r="A3188" s="13">
        <v>1111042306</v>
      </c>
      <c r="B3188" s="11" t="s">
        <v>83</v>
      </c>
      <c r="C3188" s="1" t="s">
        <v>3522</v>
      </c>
      <c r="D3188" s="1" t="s">
        <v>79</v>
      </c>
      <c r="E3188" s="1" t="s">
        <v>20</v>
      </c>
    </row>
    <row r="3189" spans="1:5" x14ac:dyDescent="0.25">
      <c r="A3189" s="13">
        <v>1111043661</v>
      </c>
      <c r="B3189" s="11" t="s">
        <v>83</v>
      </c>
      <c r="C3189" s="1" t="s">
        <v>3650</v>
      </c>
      <c r="D3189" s="1" t="s">
        <v>79</v>
      </c>
      <c r="E3189" s="1" t="s">
        <v>248</v>
      </c>
    </row>
    <row r="3190" spans="1:5" x14ac:dyDescent="0.25">
      <c r="A3190" s="13">
        <v>1113627743</v>
      </c>
      <c r="B3190" s="11" t="s">
        <v>84</v>
      </c>
      <c r="C3190" s="1" t="s">
        <v>2259</v>
      </c>
      <c r="D3190" s="1" t="s">
        <v>43</v>
      </c>
      <c r="E3190" s="1" t="s">
        <v>8</v>
      </c>
    </row>
    <row r="3191" spans="1:5" x14ac:dyDescent="0.25">
      <c r="A3191" s="13">
        <v>1115691484</v>
      </c>
      <c r="B3191" s="11" t="s">
        <v>83</v>
      </c>
      <c r="C3191" s="1" t="s">
        <v>3523</v>
      </c>
      <c r="D3191" s="1" t="s">
        <v>57</v>
      </c>
      <c r="E3191" s="1" t="s">
        <v>23</v>
      </c>
    </row>
    <row r="3192" spans="1:5" x14ac:dyDescent="0.25">
      <c r="A3192" s="13">
        <v>1116241721</v>
      </c>
      <c r="B3192" s="11" t="s">
        <v>84</v>
      </c>
      <c r="C3192" s="1" t="s">
        <v>3524</v>
      </c>
      <c r="D3192" s="1" t="s">
        <v>38</v>
      </c>
      <c r="E3192" s="1" t="s">
        <v>7</v>
      </c>
    </row>
    <row r="3193" spans="1:5" x14ac:dyDescent="0.25">
      <c r="A3193" s="13">
        <v>1116260945</v>
      </c>
      <c r="B3193" s="11" t="s">
        <v>116</v>
      </c>
      <c r="C3193" s="1" t="s">
        <v>3651</v>
      </c>
      <c r="D3193" s="1" t="s">
        <v>117</v>
      </c>
      <c r="E3193" s="1" t="s">
        <v>3553</v>
      </c>
    </row>
    <row r="3194" spans="1:5" x14ac:dyDescent="0.25">
      <c r="A3194" s="13">
        <v>1116263969</v>
      </c>
      <c r="B3194" s="11" t="s">
        <v>83</v>
      </c>
      <c r="C3194" s="1" t="s">
        <v>2258</v>
      </c>
      <c r="D3194" s="1" t="s">
        <v>45</v>
      </c>
      <c r="E3194" s="1" t="s">
        <v>18</v>
      </c>
    </row>
    <row r="3195" spans="1:5" x14ac:dyDescent="0.25">
      <c r="A3195" s="13">
        <v>1116788989</v>
      </c>
      <c r="B3195" s="11" t="s">
        <v>84</v>
      </c>
      <c r="C3195" s="1" t="s">
        <v>2257</v>
      </c>
      <c r="D3195" s="1" t="s">
        <v>38</v>
      </c>
      <c r="E3195" s="1" t="s">
        <v>134</v>
      </c>
    </row>
    <row r="3196" spans="1:5" x14ac:dyDescent="0.25">
      <c r="A3196" s="13">
        <v>1116789436</v>
      </c>
      <c r="B3196" s="11" t="s">
        <v>84</v>
      </c>
      <c r="C3196" s="1" t="s">
        <v>2256</v>
      </c>
      <c r="D3196" s="1" t="s">
        <v>38</v>
      </c>
      <c r="E3196" s="1" t="s">
        <v>3</v>
      </c>
    </row>
    <row r="3197" spans="1:5" x14ac:dyDescent="0.25">
      <c r="A3197" s="13">
        <v>1117322510</v>
      </c>
      <c r="B3197" s="11" t="s">
        <v>84</v>
      </c>
      <c r="C3197" s="1" t="s">
        <v>2254</v>
      </c>
      <c r="D3197" s="1" t="s">
        <v>2255</v>
      </c>
      <c r="E3197" s="1" t="s">
        <v>12</v>
      </c>
    </row>
    <row r="3198" spans="1:5" x14ac:dyDescent="0.25">
      <c r="A3198" s="13">
        <v>1117539437</v>
      </c>
      <c r="B3198" s="11" t="s">
        <v>83</v>
      </c>
      <c r="C3198" s="1" t="s">
        <v>2253</v>
      </c>
      <c r="D3198" s="1" t="s">
        <v>199</v>
      </c>
      <c r="E3198" s="1" t="s">
        <v>21</v>
      </c>
    </row>
    <row r="3199" spans="1:5" x14ac:dyDescent="0.25">
      <c r="A3199" s="13">
        <v>1117554931</v>
      </c>
      <c r="B3199" s="11" t="s">
        <v>84</v>
      </c>
      <c r="C3199" s="1" t="s">
        <v>2252</v>
      </c>
      <c r="D3199" s="1" t="s">
        <v>38</v>
      </c>
      <c r="E3199" s="1" t="s">
        <v>15</v>
      </c>
    </row>
    <row r="3200" spans="1:5" x14ac:dyDescent="0.25">
      <c r="A3200" s="13">
        <v>1118533779</v>
      </c>
      <c r="B3200" s="11" t="s">
        <v>83</v>
      </c>
      <c r="C3200" s="1" t="s">
        <v>2251</v>
      </c>
      <c r="D3200" s="1" t="s">
        <v>47</v>
      </c>
      <c r="E3200" s="1" t="s">
        <v>16</v>
      </c>
    </row>
    <row r="3201" spans="1:5" x14ac:dyDescent="0.25">
      <c r="A3201" s="13">
        <v>1118549658</v>
      </c>
      <c r="B3201" s="11" t="s">
        <v>83</v>
      </c>
      <c r="C3201" s="1" t="s">
        <v>2249</v>
      </c>
      <c r="D3201" s="1" t="s">
        <v>2250</v>
      </c>
      <c r="E3201" s="1" t="s">
        <v>248</v>
      </c>
    </row>
    <row r="3202" spans="1:5" x14ac:dyDescent="0.25">
      <c r="A3202" s="13">
        <v>1121816801</v>
      </c>
      <c r="B3202" s="11" t="s">
        <v>116</v>
      </c>
      <c r="C3202" s="1" t="s">
        <v>2244</v>
      </c>
      <c r="D3202" s="1" t="s">
        <v>117</v>
      </c>
      <c r="E3202" s="1" t="s">
        <v>422</v>
      </c>
    </row>
    <row r="3203" spans="1:5" x14ac:dyDescent="0.25">
      <c r="A3203" s="13">
        <v>1121840546</v>
      </c>
      <c r="B3203" s="11" t="s">
        <v>83</v>
      </c>
      <c r="C3203" s="1" t="s">
        <v>3525</v>
      </c>
      <c r="D3203" s="1" t="s">
        <v>50</v>
      </c>
      <c r="E3203" s="1" t="s">
        <v>21</v>
      </c>
    </row>
    <row r="3204" spans="1:5" x14ac:dyDescent="0.25">
      <c r="A3204" s="13">
        <v>1121841203</v>
      </c>
      <c r="B3204" s="11" t="s">
        <v>83</v>
      </c>
      <c r="C3204" s="1" t="s">
        <v>2243</v>
      </c>
      <c r="D3204" s="1" t="s">
        <v>47</v>
      </c>
      <c r="E3204" s="1" t="s">
        <v>19</v>
      </c>
    </row>
    <row r="3205" spans="1:5" x14ac:dyDescent="0.25">
      <c r="A3205" s="13">
        <v>1121886705</v>
      </c>
      <c r="B3205" s="11" t="s">
        <v>83</v>
      </c>
      <c r="C3205" s="1" t="s">
        <v>2242</v>
      </c>
      <c r="D3205" s="1" t="s">
        <v>47</v>
      </c>
      <c r="E3205" s="1" t="s">
        <v>17</v>
      </c>
    </row>
    <row r="3206" spans="1:5" x14ac:dyDescent="0.25">
      <c r="A3206" s="13">
        <v>1121910869</v>
      </c>
      <c r="B3206" s="11" t="s">
        <v>83</v>
      </c>
      <c r="C3206" s="1" t="s">
        <v>3526</v>
      </c>
      <c r="D3206" s="1" t="s">
        <v>56</v>
      </c>
      <c r="E3206" s="1" t="s">
        <v>4</v>
      </c>
    </row>
    <row r="3207" spans="1:5" x14ac:dyDescent="0.25">
      <c r="A3207" s="13">
        <v>1121940299</v>
      </c>
      <c r="B3207" s="11" t="s">
        <v>83</v>
      </c>
      <c r="C3207" s="1" t="s">
        <v>2241</v>
      </c>
      <c r="D3207" s="1" t="s">
        <v>47</v>
      </c>
      <c r="E3207" s="1" t="s">
        <v>19</v>
      </c>
    </row>
    <row r="3208" spans="1:5" x14ac:dyDescent="0.25">
      <c r="A3208" s="13">
        <v>1122127816</v>
      </c>
      <c r="B3208" s="11" t="s">
        <v>84</v>
      </c>
      <c r="C3208" s="1" t="s">
        <v>3527</v>
      </c>
      <c r="D3208" s="1" t="s">
        <v>38</v>
      </c>
      <c r="E3208" s="1" t="s">
        <v>13</v>
      </c>
    </row>
    <row r="3209" spans="1:5" x14ac:dyDescent="0.25">
      <c r="A3209" s="13">
        <v>1123626628</v>
      </c>
      <c r="B3209" s="11" t="s">
        <v>83</v>
      </c>
      <c r="C3209" s="1" t="s">
        <v>2238</v>
      </c>
      <c r="D3209" s="1" t="s">
        <v>47</v>
      </c>
      <c r="E3209" s="1" t="s">
        <v>19</v>
      </c>
    </row>
    <row r="3210" spans="1:5" x14ac:dyDescent="0.25">
      <c r="A3210" s="13">
        <v>1123630822</v>
      </c>
      <c r="B3210" s="11" t="s">
        <v>84</v>
      </c>
      <c r="C3210" s="1" t="s">
        <v>2237</v>
      </c>
      <c r="D3210" s="1" t="s">
        <v>52</v>
      </c>
      <c r="E3210" s="1" t="s">
        <v>22</v>
      </c>
    </row>
    <row r="3211" spans="1:5" x14ac:dyDescent="0.25">
      <c r="A3211" s="13">
        <v>1127227749</v>
      </c>
      <c r="B3211" s="11" t="s">
        <v>83</v>
      </c>
      <c r="C3211" s="1" t="s">
        <v>3047</v>
      </c>
      <c r="D3211" s="1" t="s">
        <v>47</v>
      </c>
      <c r="E3211" s="1" t="s">
        <v>33</v>
      </c>
    </row>
    <row r="3212" spans="1:5" x14ac:dyDescent="0.25">
      <c r="A3212" s="13">
        <v>1127354253</v>
      </c>
      <c r="B3212" s="11" t="s">
        <v>83</v>
      </c>
      <c r="C3212" s="1" t="s">
        <v>2232</v>
      </c>
      <c r="D3212" s="1" t="s">
        <v>48</v>
      </c>
      <c r="E3212" s="1" t="s">
        <v>19</v>
      </c>
    </row>
    <row r="3213" spans="1:5" x14ac:dyDescent="0.25">
      <c r="A3213" s="13">
        <v>1128047111</v>
      </c>
      <c r="B3213" s="11" t="s">
        <v>84</v>
      </c>
      <c r="C3213" s="1" t="s">
        <v>2231</v>
      </c>
      <c r="D3213" s="1" t="s">
        <v>38</v>
      </c>
      <c r="E3213" s="1" t="s">
        <v>6</v>
      </c>
    </row>
    <row r="3214" spans="1:5" x14ac:dyDescent="0.25">
      <c r="A3214" s="13">
        <v>1128270909</v>
      </c>
      <c r="B3214" s="11" t="s">
        <v>116</v>
      </c>
      <c r="C3214" s="1" t="s">
        <v>2230</v>
      </c>
      <c r="D3214" s="1" t="s">
        <v>117</v>
      </c>
      <c r="E3214" s="1" t="s">
        <v>8</v>
      </c>
    </row>
    <row r="3215" spans="1:5" x14ac:dyDescent="0.25">
      <c r="A3215" s="13">
        <v>1130623059</v>
      </c>
      <c r="B3215" s="11" t="s">
        <v>116</v>
      </c>
      <c r="C3215" s="1" t="s">
        <v>2228</v>
      </c>
      <c r="D3215" s="1" t="s">
        <v>117</v>
      </c>
      <c r="E3215" s="1" t="s">
        <v>8</v>
      </c>
    </row>
    <row r="3216" spans="1:5" x14ac:dyDescent="0.25">
      <c r="A3216" s="13">
        <v>1136881445</v>
      </c>
      <c r="B3216" s="11" t="s">
        <v>83</v>
      </c>
      <c r="C3216" s="1" t="s">
        <v>2222</v>
      </c>
      <c r="D3216" s="1" t="s">
        <v>49</v>
      </c>
      <c r="E3216" s="1" t="s">
        <v>18</v>
      </c>
    </row>
    <row r="3217" spans="1:5" x14ac:dyDescent="0.25">
      <c r="A3217" s="13">
        <v>1136885933</v>
      </c>
      <c r="B3217" s="11" t="s">
        <v>84</v>
      </c>
      <c r="C3217" s="1" t="s">
        <v>2221</v>
      </c>
      <c r="D3217" s="1" t="s">
        <v>38</v>
      </c>
      <c r="E3217" s="1" t="s">
        <v>170</v>
      </c>
    </row>
    <row r="3218" spans="1:5" x14ac:dyDescent="0.25">
      <c r="A3218" s="13">
        <v>1136886198</v>
      </c>
      <c r="B3218" s="11" t="s">
        <v>83</v>
      </c>
      <c r="C3218" s="1" t="s">
        <v>2220</v>
      </c>
      <c r="D3218" s="1" t="s">
        <v>47</v>
      </c>
      <c r="E3218" s="1" t="s">
        <v>17</v>
      </c>
    </row>
    <row r="3219" spans="1:5" x14ac:dyDescent="0.25">
      <c r="A3219" s="13">
        <v>1136910113</v>
      </c>
      <c r="B3219" s="11" t="s">
        <v>84</v>
      </c>
      <c r="C3219" s="1" t="s">
        <v>2219</v>
      </c>
      <c r="D3219" s="1" t="s">
        <v>47</v>
      </c>
      <c r="E3219" s="1" t="s">
        <v>6</v>
      </c>
    </row>
    <row r="3220" spans="1:5" x14ac:dyDescent="0.25">
      <c r="A3220" s="13">
        <v>1140415872</v>
      </c>
      <c r="B3220" s="11" t="s">
        <v>83</v>
      </c>
      <c r="C3220" s="1" t="s">
        <v>3528</v>
      </c>
      <c r="D3220" s="1" t="s">
        <v>3134</v>
      </c>
      <c r="E3220" s="1" t="s">
        <v>196</v>
      </c>
    </row>
    <row r="3221" spans="1:5" x14ac:dyDescent="0.25">
      <c r="A3221" s="13">
        <v>1140847678</v>
      </c>
      <c r="B3221" s="11" t="s">
        <v>84</v>
      </c>
      <c r="C3221" s="1" t="s">
        <v>3529</v>
      </c>
      <c r="D3221" s="1" t="s">
        <v>38</v>
      </c>
      <c r="E3221" s="1" t="s">
        <v>9</v>
      </c>
    </row>
    <row r="3222" spans="1:5" x14ac:dyDescent="0.25">
      <c r="A3222" s="13">
        <v>1140855395</v>
      </c>
      <c r="B3222" s="11" t="s">
        <v>84</v>
      </c>
      <c r="C3222" s="1" t="s">
        <v>3530</v>
      </c>
      <c r="D3222" s="1" t="s">
        <v>3142</v>
      </c>
      <c r="E3222" s="1" t="s">
        <v>3071</v>
      </c>
    </row>
    <row r="3223" spans="1:5" x14ac:dyDescent="0.25">
      <c r="A3223" s="13">
        <v>1141317547</v>
      </c>
      <c r="B3223" s="11" t="s">
        <v>84</v>
      </c>
      <c r="C3223" s="1" t="s">
        <v>3695</v>
      </c>
      <c r="D3223" s="1" t="s">
        <v>79</v>
      </c>
      <c r="E3223" s="1" t="s">
        <v>1</v>
      </c>
    </row>
    <row r="3224" spans="1:5" x14ac:dyDescent="0.25">
      <c r="A3224" s="13">
        <v>1141514141</v>
      </c>
      <c r="B3224" s="11" t="s">
        <v>84</v>
      </c>
      <c r="C3224" s="1" t="s">
        <v>3673</v>
      </c>
      <c r="D3224" s="1" t="s">
        <v>381</v>
      </c>
      <c r="E3224" s="1" t="s">
        <v>26</v>
      </c>
    </row>
    <row r="3225" spans="1:5" x14ac:dyDescent="0.25">
      <c r="A3225" s="13">
        <v>1143332426</v>
      </c>
      <c r="B3225" s="11" t="s">
        <v>83</v>
      </c>
      <c r="C3225" s="1" t="s">
        <v>3037</v>
      </c>
      <c r="D3225" s="1" t="s">
        <v>3136</v>
      </c>
      <c r="E3225" s="1" t="s">
        <v>24</v>
      </c>
    </row>
    <row r="3226" spans="1:5" x14ac:dyDescent="0.25">
      <c r="A3226" s="13">
        <v>1144050063</v>
      </c>
      <c r="B3226" s="11" t="s">
        <v>84</v>
      </c>
      <c r="C3226" s="1" t="s">
        <v>2213</v>
      </c>
      <c r="D3226" s="1" t="s">
        <v>43</v>
      </c>
      <c r="E3226" s="1" t="s">
        <v>15</v>
      </c>
    </row>
    <row r="3227" spans="1:5" x14ac:dyDescent="0.25">
      <c r="A3227" s="13">
        <v>1148454724</v>
      </c>
      <c r="B3227" s="11" t="s">
        <v>84</v>
      </c>
      <c r="C3227" s="1" t="s">
        <v>3674</v>
      </c>
      <c r="D3227" s="1" t="s">
        <v>38</v>
      </c>
      <c r="E3227" s="1" t="s">
        <v>10</v>
      </c>
    </row>
    <row r="3228" spans="1:5" x14ac:dyDescent="0.25">
      <c r="A3228" s="13">
        <v>1151199114</v>
      </c>
      <c r="B3228" s="11" t="s">
        <v>83</v>
      </c>
      <c r="C3228" s="1" t="s">
        <v>3153</v>
      </c>
      <c r="D3228" s="1" t="s">
        <v>45</v>
      </c>
      <c r="E3228" s="1" t="s">
        <v>18</v>
      </c>
    </row>
    <row r="3229" spans="1:5" x14ac:dyDescent="0.25">
      <c r="A3229" s="13">
        <v>1152201077</v>
      </c>
      <c r="B3229" s="11" t="s">
        <v>84</v>
      </c>
      <c r="C3229" s="1" t="s">
        <v>3531</v>
      </c>
      <c r="D3229" s="1" t="s">
        <v>38</v>
      </c>
      <c r="E3229" s="1" t="s">
        <v>10</v>
      </c>
    </row>
    <row r="3230" spans="1:5" x14ac:dyDescent="0.25">
      <c r="A3230" s="13">
        <v>1192769448</v>
      </c>
      <c r="B3230" s="11" t="s">
        <v>84</v>
      </c>
      <c r="C3230" s="1" t="s">
        <v>3532</v>
      </c>
      <c r="D3230" s="1" t="s">
        <v>3158</v>
      </c>
      <c r="E3230" s="1" t="s">
        <v>1</v>
      </c>
    </row>
    <row r="3231" spans="1:5" x14ac:dyDescent="0.25">
      <c r="A3231" s="13">
        <v>1192793732</v>
      </c>
      <c r="B3231" s="11" t="s">
        <v>84</v>
      </c>
      <c r="C3231" s="1" t="s">
        <v>3048</v>
      </c>
      <c r="D3231" s="1" t="s">
        <v>36</v>
      </c>
      <c r="E3231" s="1" t="s">
        <v>17</v>
      </c>
    </row>
    <row r="3232" spans="1:5" x14ac:dyDescent="0.25">
      <c r="A3232" s="13">
        <v>1192817316</v>
      </c>
      <c r="B3232" s="11" t="s">
        <v>83</v>
      </c>
      <c r="C3232" s="1" t="s">
        <v>2208</v>
      </c>
      <c r="D3232" s="1" t="s">
        <v>34</v>
      </c>
      <c r="E3232" s="1" t="s">
        <v>21</v>
      </c>
    </row>
    <row r="3233" spans="1:5" x14ac:dyDescent="0.25">
      <c r="A3233" s="13">
        <v>1192899258</v>
      </c>
      <c r="B3233" s="11" t="s">
        <v>83</v>
      </c>
      <c r="C3233" s="1" t="s">
        <v>3652</v>
      </c>
      <c r="D3233" s="1" t="s">
        <v>3653</v>
      </c>
      <c r="E3233" s="1" t="s">
        <v>18</v>
      </c>
    </row>
    <row r="3234" spans="1:5" x14ac:dyDescent="0.25">
      <c r="A3234" s="13">
        <v>1193051177</v>
      </c>
      <c r="B3234" s="11" t="s">
        <v>83</v>
      </c>
      <c r="C3234" s="1" t="s">
        <v>3135</v>
      </c>
      <c r="D3234" s="1" t="s">
        <v>378</v>
      </c>
      <c r="E3234" s="1" t="s">
        <v>16</v>
      </c>
    </row>
    <row r="3235" spans="1:5" x14ac:dyDescent="0.25">
      <c r="A3235" s="13">
        <v>1193071156</v>
      </c>
      <c r="B3235" s="11" t="s">
        <v>83</v>
      </c>
      <c r="C3235" s="1" t="s">
        <v>2207</v>
      </c>
      <c r="D3235" s="1" t="s">
        <v>141</v>
      </c>
      <c r="E3235" s="1" t="s">
        <v>19</v>
      </c>
    </row>
    <row r="3236" spans="1:5" x14ac:dyDescent="0.25">
      <c r="A3236" s="13">
        <v>1193101052</v>
      </c>
      <c r="B3236" s="11" t="s">
        <v>84</v>
      </c>
      <c r="C3236" s="1" t="s">
        <v>3533</v>
      </c>
      <c r="D3236" s="1" t="s">
        <v>3473</v>
      </c>
      <c r="E3236" s="1" t="s">
        <v>1</v>
      </c>
    </row>
    <row r="3237" spans="1:5" x14ac:dyDescent="0.25">
      <c r="A3237" s="13">
        <v>1193150666</v>
      </c>
      <c r="B3237" s="11" t="s">
        <v>84</v>
      </c>
      <c r="C3237" s="1" t="s">
        <v>3654</v>
      </c>
      <c r="D3237" s="1" t="s">
        <v>43</v>
      </c>
      <c r="E3237" s="1" t="s">
        <v>15</v>
      </c>
    </row>
    <row r="3238" spans="1:5" x14ac:dyDescent="0.25">
      <c r="A3238" s="13">
        <v>1193265768</v>
      </c>
      <c r="B3238" s="11" t="s">
        <v>83</v>
      </c>
      <c r="C3238" s="1" t="s">
        <v>3534</v>
      </c>
      <c r="D3238" s="1" t="s">
        <v>246</v>
      </c>
      <c r="E3238" s="1" t="s">
        <v>196</v>
      </c>
    </row>
    <row r="3239" spans="1:5" x14ac:dyDescent="0.25">
      <c r="A3239" s="13">
        <v>1193376686</v>
      </c>
      <c r="B3239" s="11" t="s">
        <v>83</v>
      </c>
      <c r="C3239" s="1" t="s">
        <v>3038</v>
      </c>
      <c r="D3239" s="1" t="s">
        <v>57</v>
      </c>
      <c r="E3239" s="1" t="s">
        <v>23</v>
      </c>
    </row>
    <row r="3240" spans="1:5" x14ac:dyDescent="0.25">
      <c r="A3240" s="13">
        <v>1193442411</v>
      </c>
      <c r="B3240" s="11" t="s">
        <v>84</v>
      </c>
      <c r="C3240" s="1" t="s">
        <v>2206</v>
      </c>
      <c r="D3240" s="1" t="s">
        <v>36</v>
      </c>
      <c r="E3240" s="1" t="s">
        <v>17</v>
      </c>
    </row>
    <row r="3241" spans="1:5" x14ac:dyDescent="0.25">
      <c r="A3241" s="13">
        <v>1193457976</v>
      </c>
      <c r="B3241" s="11" t="s">
        <v>83</v>
      </c>
      <c r="C3241" s="1" t="s">
        <v>3655</v>
      </c>
      <c r="D3241" s="1" t="s">
        <v>79</v>
      </c>
      <c r="E3241" s="1" t="s">
        <v>20</v>
      </c>
    </row>
    <row r="3242" spans="1:5" x14ac:dyDescent="0.25">
      <c r="A3242" s="13">
        <v>1193550701</v>
      </c>
      <c r="B3242" s="11" t="s">
        <v>83</v>
      </c>
      <c r="C3242" s="1" t="s">
        <v>3535</v>
      </c>
      <c r="D3242" s="1" t="s">
        <v>3536</v>
      </c>
      <c r="E3242" s="1" t="s">
        <v>18</v>
      </c>
    </row>
    <row r="3243" spans="1:5" x14ac:dyDescent="0.25">
      <c r="A3243" s="13">
        <v>1193594690</v>
      </c>
      <c r="B3243" s="11" t="s">
        <v>83</v>
      </c>
      <c r="C3243" s="1" t="s">
        <v>2205</v>
      </c>
      <c r="D3243" s="1" t="s">
        <v>1170</v>
      </c>
      <c r="E3243" s="1" t="s">
        <v>248</v>
      </c>
    </row>
    <row r="3244" spans="1:5" x14ac:dyDescent="0.25">
      <c r="A3244" s="13">
        <v>1233497373</v>
      </c>
      <c r="B3244" s="11" t="s">
        <v>83</v>
      </c>
      <c r="C3244" s="1" t="s">
        <v>2200</v>
      </c>
      <c r="D3244" s="1" t="s">
        <v>48</v>
      </c>
      <c r="E3244" s="1" t="s">
        <v>19</v>
      </c>
    </row>
    <row r="3245" spans="1:5" x14ac:dyDescent="0.25">
      <c r="A3245" s="13">
        <v>1233497848</v>
      </c>
      <c r="B3245" s="11" t="s">
        <v>84</v>
      </c>
      <c r="C3245" s="1" t="s">
        <v>2199</v>
      </c>
      <c r="D3245" s="1" t="s">
        <v>381</v>
      </c>
      <c r="E3245" s="1" t="s">
        <v>26</v>
      </c>
    </row>
    <row r="3246" spans="1:5" x14ac:dyDescent="0.25">
      <c r="A3246" s="13">
        <v>1233500803</v>
      </c>
      <c r="B3246" s="11" t="s">
        <v>83</v>
      </c>
      <c r="C3246" s="1" t="s">
        <v>3081</v>
      </c>
      <c r="D3246" s="1" t="s">
        <v>3129</v>
      </c>
      <c r="E3246" s="1" t="s">
        <v>196</v>
      </c>
    </row>
    <row r="3247" spans="1:5" x14ac:dyDescent="0.25">
      <c r="A3247" s="13">
        <v>1233505296</v>
      </c>
      <c r="B3247" s="11" t="s">
        <v>83</v>
      </c>
      <c r="C3247" s="1" t="s">
        <v>2198</v>
      </c>
      <c r="D3247" s="1" t="s">
        <v>63</v>
      </c>
      <c r="E3247" s="1" t="s">
        <v>20</v>
      </c>
    </row>
    <row r="3248" spans="1:5" x14ac:dyDescent="0.25">
      <c r="A3248" s="13">
        <v>1233507910</v>
      </c>
      <c r="B3248" s="11" t="s">
        <v>83</v>
      </c>
      <c r="C3248" s="1" t="s">
        <v>2197</v>
      </c>
      <c r="D3248" s="1" t="s">
        <v>54</v>
      </c>
      <c r="E3248" s="1" t="s">
        <v>16</v>
      </c>
    </row>
    <row r="3249" spans="1:5" x14ac:dyDescent="0.25">
      <c r="A3249" s="13">
        <v>1233510257</v>
      </c>
      <c r="B3249" s="11" t="s">
        <v>84</v>
      </c>
      <c r="C3249" s="1" t="s">
        <v>2196</v>
      </c>
      <c r="D3249" s="1" t="s">
        <v>36</v>
      </c>
      <c r="E3249" s="1" t="s">
        <v>17</v>
      </c>
    </row>
    <row r="3250" spans="1:5" x14ac:dyDescent="0.25">
      <c r="A3250" s="13">
        <v>1233510325</v>
      </c>
      <c r="B3250" s="11" t="s">
        <v>84</v>
      </c>
      <c r="C3250" s="1" t="s">
        <v>2195</v>
      </c>
      <c r="D3250" s="1" t="s">
        <v>36</v>
      </c>
      <c r="E3250" s="1" t="s">
        <v>17</v>
      </c>
    </row>
    <row r="3251" spans="1:5" x14ac:dyDescent="0.25">
      <c r="A3251" s="13">
        <v>1233513133</v>
      </c>
      <c r="B3251" s="11" t="s">
        <v>83</v>
      </c>
      <c r="C3251" s="1" t="s">
        <v>2194</v>
      </c>
      <c r="D3251" s="1" t="s">
        <v>61</v>
      </c>
      <c r="E3251" s="1" t="s">
        <v>359</v>
      </c>
    </row>
    <row r="3252" spans="1:5" x14ac:dyDescent="0.25">
      <c r="A3252" s="13">
        <v>1233690342</v>
      </c>
      <c r="B3252" s="11" t="s">
        <v>83</v>
      </c>
      <c r="C3252" s="1" t="s">
        <v>2193</v>
      </c>
      <c r="D3252" s="1" t="s">
        <v>1170</v>
      </c>
      <c r="E3252" s="1" t="s">
        <v>248</v>
      </c>
    </row>
    <row r="3253" spans="1:5" x14ac:dyDescent="0.25">
      <c r="A3253" s="13">
        <v>1233690515</v>
      </c>
      <c r="B3253" s="11" t="s">
        <v>83</v>
      </c>
      <c r="C3253" s="1" t="s">
        <v>3537</v>
      </c>
      <c r="D3253" s="1" t="s">
        <v>36</v>
      </c>
      <c r="E3253" s="1" t="s">
        <v>21</v>
      </c>
    </row>
    <row r="3254" spans="1:5" x14ac:dyDescent="0.25">
      <c r="A3254" s="13">
        <v>1233690957</v>
      </c>
      <c r="B3254" s="11" t="s">
        <v>84</v>
      </c>
      <c r="C3254" s="1" t="s">
        <v>3538</v>
      </c>
      <c r="D3254" s="1" t="s">
        <v>3282</v>
      </c>
      <c r="E3254" s="1" t="s">
        <v>3572</v>
      </c>
    </row>
    <row r="3255" spans="1:5" x14ac:dyDescent="0.25">
      <c r="A3255" s="13">
        <v>1233692657</v>
      </c>
      <c r="B3255" s="11" t="s">
        <v>84</v>
      </c>
      <c r="C3255" s="1" t="s">
        <v>2192</v>
      </c>
      <c r="D3255" s="1" t="s">
        <v>36</v>
      </c>
      <c r="E3255" s="1" t="s">
        <v>22</v>
      </c>
    </row>
    <row r="3256" spans="1:5" x14ac:dyDescent="0.25">
      <c r="A3256" s="13">
        <v>1233888502</v>
      </c>
      <c r="B3256" s="11" t="s">
        <v>84</v>
      </c>
      <c r="C3256" s="1" t="s">
        <v>2190</v>
      </c>
      <c r="D3256" s="1" t="s">
        <v>2191</v>
      </c>
      <c r="E3256" s="1" t="s">
        <v>17</v>
      </c>
    </row>
    <row r="3257" spans="1:5" x14ac:dyDescent="0.25">
      <c r="A3257" s="13">
        <v>1233888698</v>
      </c>
      <c r="B3257" s="11" t="s">
        <v>84</v>
      </c>
      <c r="C3257" s="1" t="s">
        <v>2189</v>
      </c>
      <c r="D3257" s="1" t="s">
        <v>47</v>
      </c>
      <c r="E3257" s="1" t="s">
        <v>22</v>
      </c>
    </row>
    <row r="3258" spans="1:5" x14ac:dyDescent="0.25">
      <c r="A3258" s="13">
        <v>1233889697</v>
      </c>
      <c r="B3258" s="11" t="s">
        <v>83</v>
      </c>
      <c r="C3258" s="1" t="s">
        <v>2188</v>
      </c>
      <c r="D3258" s="1" t="s">
        <v>1118</v>
      </c>
      <c r="E3258" s="1" t="s">
        <v>21</v>
      </c>
    </row>
    <row r="3259" spans="1:5" x14ac:dyDescent="0.25">
      <c r="A3259" s="13">
        <v>1233892623</v>
      </c>
      <c r="B3259" s="11" t="s">
        <v>84</v>
      </c>
      <c r="C3259" s="1" t="s">
        <v>3539</v>
      </c>
      <c r="D3259" s="1" t="s">
        <v>38</v>
      </c>
      <c r="E3259" s="1" t="s">
        <v>12</v>
      </c>
    </row>
    <row r="3260" spans="1:5" x14ac:dyDescent="0.25">
      <c r="A3260" s="13">
        <v>1233895223</v>
      </c>
      <c r="B3260" s="11" t="s">
        <v>84</v>
      </c>
      <c r="C3260" s="1" t="s">
        <v>3132</v>
      </c>
      <c r="D3260" s="1" t="s">
        <v>3540</v>
      </c>
      <c r="E3260" s="1" t="s">
        <v>1</v>
      </c>
    </row>
    <row r="3261" spans="1:5" x14ac:dyDescent="0.25">
      <c r="A3261" s="13">
        <v>1233900362</v>
      </c>
      <c r="B3261" s="11" t="s">
        <v>84</v>
      </c>
      <c r="C3261" s="1" t="s">
        <v>2187</v>
      </c>
      <c r="D3261" s="1" t="s">
        <v>36</v>
      </c>
      <c r="E3261" s="1" t="s">
        <v>17</v>
      </c>
    </row>
    <row r="3262" spans="1:5" x14ac:dyDescent="0.25">
      <c r="A3262" s="13">
        <v>1233906598</v>
      </c>
      <c r="B3262" s="11" t="s">
        <v>84</v>
      </c>
      <c r="C3262" s="1" t="s">
        <v>2186</v>
      </c>
      <c r="D3262" s="1" t="s">
        <v>36</v>
      </c>
      <c r="E3262" s="1" t="s">
        <v>1</v>
      </c>
    </row>
    <row r="3263" spans="1:5" x14ac:dyDescent="0.25">
      <c r="A3263" s="13">
        <v>1233909402</v>
      </c>
      <c r="B3263" s="11" t="s">
        <v>84</v>
      </c>
      <c r="C3263" s="1" t="s">
        <v>3070</v>
      </c>
      <c r="D3263" s="1" t="s">
        <v>46</v>
      </c>
      <c r="E3263" s="1" t="s">
        <v>1</v>
      </c>
    </row>
    <row r="3264" spans="1:5" x14ac:dyDescent="0.25">
      <c r="A3264" s="13">
        <v>10239258250</v>
      </c>
      <c r="B3264" s="11" t="s">
        <v>83</v>
      </c>
      <c r="C3264" s="1" t="s">
        <v>2574</v>
      </c>
      <c r="D3264" s="1" t="s">
        <v>47</v>
      </c>
      <c r="E3264" s="1" t="s">
        <v>142</v>
      </c>
    </row>
    <row r="3265" spans="1:5" x14ac:dyDescent="0.25">
      <c r="A3265" s="13">
        <v>10239373680</v>
      </c>
      <c r="B3265" s="11" t="s">
        <v>83</v>
      </c>
      <c r="C3265" s="1" t="s">
        <v>2569</v>
      </c>
      <c r="D3265" s="1" t="s">
        <v>47</v>
      </c>
      <c r="E3265" s="1" t="s">
        <v>19</v>
      </c>
    </row>
    <row r="3266" spans="1:5" x14ac:dyDescent="0.25">
      <c r="A3266" s="13">
        <v>10713331814</v>
      </c>
      <c r="B3266" s="11" t="s">
        <v>83</v>
      </c>
      <c r="C3266" s="1" t="s">
        <v>2306</v>
      </c>
      <c r="D3266" s="1" t="s">
        <v>269</v>
      </c>
      <c r="E3266" s="1" t="s">
        <v>237</v>
      </c>
    </row>
    <row r="3267" spans="1:5" x14ac:dyDescent="0.25">
      <c r="A3267" s="13">
        <v>79249383112</v>
      </c>
      <c r="B3267" s="11" t="s">
        <v>109</v>
      </c>
      <c r="C3267" s="1" t="s">
        <v>959</v>
      </c>
      <c r="D3267" s="1" t="s">
        <v>131</v>
      </c>
      <c r="E3267" s="1" t="s">
        <v>131</v>
      </c>
    </row>
    <row r="3268" spans="1:5" x14ac:dyDescent="0.25">
      <c r="A3268" s="13">
        <v>79553614416</v>
      </c>
      <c r="B3268" s="11" t="s">
        <v>109</v>
      </c>
      <c r="C3268" s="1" t="s">
        <v>753</v>
      </c>
      <c r="D3268" s="1" t="s">
        <v>131</v>
      </c>
      <c r="E3268" s="1" t="s">
        <v>131</v>
      </c>
    </row>
    <row r="3269" spans="1:5" x14ac:dyDescent="0.25">
      <c r="A3269" s="13">
        <v>92111853713</v>
      </c>
      <c r="B3269" s="11" t="s">
        <v>83</v>
      </c>
      <c r="C3269" s="1" t="s">
        <v>177</v>
      </c>
      <c r="D3269" s="1" t="s">
        <v>53</v>
      </c>
      <c r="E3269" s="1" t="s">
        <v>4</v>
      </c>
    </row>
    <row r="3270" spans="1:5" x14ac:dyDescent="0.25">
      <c r="A3270" s="13">
        <v>94061430045</v>
      </c>
      <c r="B3270" s="11" t="s">
        <v>83</v>
      </c>
      <c r="C3270" s="1" t="s">
        <v>156</v>
      </c>
      <c r="D3270" s="1" t="s">
        <v>141</v>
      </c>
      <c r="E3270" s="1" t="s">
        <v>16</v>
      </c>
    </row>
    <row r="3271" spans="1:5" x14ac:dyDescent="0.25">
      <c r="A3271" s="13">
        <v>95021319229</v>
      </c>
      <c r="B3271" s="11" t="s">
        <v>83</v>
      </c>
      <c r="C3271" s="1" t="s">
        <v>144</v>
      </c>
      <c r="D3271" s="1" t="s">
        <v>47</v>
      </c>
      <c r="E3271" s="1" t="s">
        <v>142</v>
      </c>
    </row>
    <row r="3272" spans="1:5" x14ac:dyDescent="0.25">
      <c r="A3272" s="13">
        <v>95031810052</v>
      </c>
      <c r="B3272" s="11" t="s">
        <v>83</v>
      </c>
      <c r="C3272" s="1" t="s">
        <v>143</v>
      </c>
      <c r="D3272" s="1" t="s">
        <v>141</v>
      </c>
      <c r="E3272" s="1" t="s">
        <v>142</v>
      </c>
    </row>
    <row r="3273" spans="1:5" x14ac:dyDescent="0.25">
      <c r="A3273" s="13">
        <v>95092907580</v>
      </c>
      <c r="B3273" s="11" t="s">
        <v>83</v>
      </c>
      <c r="C3273" s="1" t="s">
        <v>140</v>
      </c>
      <c r="D3273" s="1" t="s">
        <v>141</v>
      </c>
      <c r="E3273" s="1" t="s">
        <v>142</v>
      </c>
    </row>
    <row r="3274" spans="1:5" x14ac:dyDescent="0.25">
      <c r="A3274" s="13">
        <v>776211091980</v>
      </c>
      <c r="B3274" s="11" t="s">
        <v>83</v>
      </c>
      <c r="C3274" s="1" t="s">
        <v>1002</v>
      </c>
      <c r="D3274" s="1" t="s">
        <v>401</v>
      </c>
      <c r="E3274" s="1" t="s">
        <v>19</v>
      </c>
    </row>
    <row r="3275" spans="1:5" x14ac:dyDescent="0.25">
      <c r="A3275" s="13">
        <v>912807111990</v>
      </c>
      <c r="B3275" s="11" t="s">
        <v>83</v>
      </c>
      <c r="C3275" s="1" t="s">
        <v>193</v>
      </c>
      <c r="D3275" s="1" t="s">
        <v>57</v>
      </c>
      <c r="E3275" s="1" t="s">
        <v>23</v>
      </c>
    </row>
    <row r="3276" spans="1:5" x14ac:dyDescent="0.25">
      <c r="A3276" s="13">
        <v>998619111984</v>
      </c>
      <c r="B3276" s="11" t="s">
        <v>84</v>
      </c>
      <c r="C3276" s="1" t="s">
        <v>124</v>
      </c>
      <c r="D3276" s="1" t="s">
        <v>57</v>
      </c>
      <c r="E3276" s="1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7639"/>
  <sheetViews>
    <sheetView tabSelected="1" zoomScale="90" zoomScaleNormal="90" workbookViewId="0">
      <pane ySplit="1" topLeftCell="A7622" activePane="bottomLeft" state="frozen"/>
      <selection pane="bottomLeft" activeCell="B7640" sqref="B7640"/>
    </sheetView>
  </sheetViews>
  <sheetFormatPr baseColWidth="10" defaultRowHeight="15" x14ac:dyDescent="0.25"/>
  <cols>
    <col min="1" max="1" width="12.42578125" bestFit="1" customWidth="1"/>
    <col min="2" max="2" width="17.7109375" bestFit="1" customWidth="1"/>
    <col min="3" max="3" width="43.42578125" bestFit="1" customWidth="1"/>
    <col min="4" max="4" width="66.85546875" bestFit="1" customWidth="1"/>
    <col min="5" max="5" width="68.7109375" bestFit="1" customWidth="1"/>
  </cols>
  <sheetData>
    <row r="1" spans="1:5" ht="15.75" x14ac:dyDescent="0.25">
      <c r="A1" s="6" t="s">
        <v>76</v>
      </c>
      <c r="B1" s="7" t="s">
        <v>0</v>
      </c>
      <c r="C1" s="7" t="s">
        <v>32</v>
      </c>
      <c r="D1" s="8" t="s">
        <v>115</v>
      </c>
      <c r="E1" s="9" t="s">
        <v>82</v>
      </c>
    </row>
    <row r="2" spans="1:5" ht="15.75" x14ac:dyDescent="0.25">
      <c r="A2" s="10">
        <v>79452150</v>
      </c>
      <c r="B2" s="2">
        <v>46023.464878240738</v>
      </c>
      <c r="C2" s="3" t="str">
        <f>IFERROR(VLOOKUP(A2,'Base Prueba'!A:C,3,),"NO REGISTRA")</f>
        <v>JUAN CARLOS PAZ CUBILLOS</v>
      </c>
      <c r="D2" s="4" t="str">
        <f>IFERROR(VLOOKUP(A2,'Base Prueba'!A:D,4,),"NO REGISTRA")</f>
        <v>ANALISTA DE SISTEMAS</v>
      </c>
      <c r="E2" s="5" t="str">
        <f>IFERROR(VLOOKUP(A2,'Base Prueba'!A:E,5,),"NO REGISTRA")</f>
        <v>DEPARTAMENTO DE INFORMATICA Y TECNOLOGIA</v>
      </c>
    </row>
    <row r="3" spans="1:5" ht="15.75" x14ac:dyDescent="0.25">
      <c r="A3" s="10">
        <v>1087121273</v>
      </c>
      <c r="B3" s="2">
        <v>46024.306419560184</v>
      </c>
      <c r="C3" s="3" t="str">
        <f>IFERROR(VLOOKUP(A3,'Base Prueba'!A:C,3,),"NO REGISTRA")</f>
        <v>MAYRA ALEJANDRA CASTILLO ARBOLEDA</v>
      </c>
      <c r="D3" s="4" t="str">
        <f>IFERROR(VLOOKUP(A3,'Base Prueba'!A:D,4,),"NO REGISTRA")</f>
        <v>APOYO INTEGRAL DE MERCADEO</v>
      </c>
      <c r="E3" s="5" t="str">
        <f>IFERROR(VLOOKUP(A3,'Base Prueba'!A:E,5,),"NO REGISTRA")</f>
        <v>CENTRO DE GESTION DOCUMENTAL</v>
      </c>
    </row>
    <row r="4" spans="1:5" ht="15.75" x14ac:dyDescent="0.25">
      <c r="A4" s="10">
        <v>1012357415</v>
      </c>
      <c r="B4" s="2">
        <v>46024.320967824075</v>
      </c>
      <c r="C4" s="3" t="str">
        <f>IFERROR(VLOOKUP(A4,'Base Prueba'!A:C,3,),"NO REGISTRA")</f>
        <v>CINDY LORENA BOHORQUEZ LEYVA</v>
      </c>
      <c r="D4" s="4" t="str">
        <f>IFERROR(VLOOKUP(A4,'Base Prueba'!A:D,4,),"NO REGISTRA")</f>
        <v>ANALISTA DE TESORERIA</v>
      </c>
      <c r="E4" s="5" t="str">
        <f>IFERROR(VLOOKUP(A4,'Base Prueba'!A:E,5,),"NO REGISTRA")</f>
        <v>AREA FINANCIERA Y CONTABLE</v>
      </c>
    </row>
    <row r="5" spans="1:5" ht="15.75" x14ac:dyDescent="0.25">
      <c r="A5" s="10">
        <v>1031802160</v>
      </c>
      <c r="B5" s="2">
        <v>46024.326414699077</v>
      </c>
      <c r="C5" s="3" t="str">
        <f>IFERROR(VLOOKUP(A5,'Base Prueba'!A:C,3,),"NO REGISTRA")</f>
        <v>LUISA MARIA MAHECHA SOTOMAYOR</v>
      </c>
      <c r="D5" s="4" t="str">
        <f>IFERROR(VLOOKUP(A5,'Base Prueba'!A:D,4,),"NO REGISTRA")</f>
        <v>APRENDIZ UNIVERSITARIO</v>
      </c>
      <c r="E5" s="5" t="str">
        <f>IFERROR(VLOOKUP(A5,'Base Prueba'!A:E,5,),"NO REGISTRA")</f>
        <v>OFICINA DE MERCADEO</v>
      </c>
    </row>
    <row r="6" spans="1:5" ht="15.75" x14ac:dyDescent="0.25">
      <c r="A6" s="10">
        <v>1000257136</v>
      </c>
      <c r="B6" s="2">
        <v>46024.327977546294</v>
      </c>
      <c r="C6" s="3" t="str">
        <f>IFERROR(VLOOKUP(A6,'Base Prueba'!A:C,3,),"NO REGISTRA")</f>
        <v>FRANCI VALENTINA CANO PUENTES</v>
      </c>
      <c r="D6" s="4" t="str">
        <f>IFERROR(VLOOKUP(A6,'Base Prueba'!A:D,4,),"NO REGISTRA")</f>
        <v>AUXILIAR CONTABLE</v>
      </c>
      <c r="E6" s="5" t="str">
        <f>IFERROR(VLOOKUP(A6,'Base Prueba'!A:E,5,),"NO REGISTRA")</f>
        <v>AREA FINANCIERA Y CONTABLE</v>
      </c>
    </row>
    <row r="7" spans="1:5" ht="15.75" x14ac:dyDescent="0.25">
      <c r="A7" s="10">
        <v>1014308296</v>
      </c>
      <c r="B7" s="2">
        <v>46024.328099768521</v>
      </c>
      <c r="C7" s="3" t="str">
        <f>IFERROR(VLOOKUP(A7,'Base Prueba'!A:C,3,),"NO REGISTRA")</f>
        <v>DARLENE YULIANA MORENO CELEITA</v>
      </c>
      <c r="D7" s="4" t="str">
        <f>IFERROR(VLOOKUP(A7,'Base Prueba'!A:D,4,),"NO REGISTRA")</f>
        <v>CAJERO PRINCIPAL</v>
      </c>
      <c r="E7" s="5" t="str">
        <f>IFERROR(VLOOKUP(A7,'Base Prueba'!A:E,5,),"NO REGISTRA")</f>
        <v>AREA FINANCIERA Y CONTABLE</v>
      </c>
    </row>
    <row r="8" spans="1:5" ht="15.75" x14ac:dyDescent="0.25">
      <c r="A8" s="10">
        <v>1013098645</v>
      </c>
      <c r="B8" s="2">
        <v>46024.330503240744</v>
      </c>
      <c r="C8" s="3" t="str">
        <f>IFERROR(VLOOKUP(A8,'Base Prueba'!A:C,3,),"NO REGISTRA")</f>
        <v>CATHERINE LUCIA PENAGOS RIVERA</v>
      </c>
      <c r="D8" s="4" t="str">
        <f>IFERROR(VLOOKUP(A8,'Base Prueba'!A:D,4,),"NO REGISTRA")</f>
        <v>LIDER DE REGISTRO Y CONTROL ACADEMICO</v>
      </c>
      <c r="E8" s="5" t="str">
        <f>IFERROR(VLOOKUP(A8,'Base Prueba'!A:E,5,),"NO REGISTRA")</f>
        <v>REGISTRO Y CONTROL ACADEMICO</v>
      </c>
    </row>
    <row r="9" spans="1:5" ht="15.75" x14ac:dyDescent="0.25">
      <c r="A9" s="10">
        <v>1000687931</v>
      </c>
      <c r="B9" s="2">
        <v>46024.339411458335</v>
      </c>
      <c r="C9" s="3" t="str">
        <f>IFERROR(VLOOKUP(A9,'Base Prueba'!A:C,3,),"NO REGISTRA")</f>
        <v>ANDRES FELIPE PUENTES TORRES</v>
      </c>
      <c r="D9" s="4" t="str">
        <f>IFERROR(VLOOKUP(A9,'Base Prueba'!A:D,4,),"NO REGISTRA")</f>
        <v>AUXILIAR ADMINISTRATIVO</v>
      </c>
      <c r="E9" s="5" t="str">
        <f>IFERROR(VLOOKUP(A9,'Base Prueba'!A:E,5,),"NO REGISTRA")</f>
        <v>REGISTRO Y CONTROL ACADEMICO</v>
      </c>
    </row>
    <row r="10" spans="1:5" ht="15.75" x14ac:dyDescent="0.25">
      <c r="A10" s="10">
        <v>1193457976</v>
      </c>
      <c r="B10" s="2">
        <v>46024.345216550922</v>
      </c>
      <c r="C10" s="3" t="str">
        <f>IFERROR(VLOOKUP(A10,'Base Prueba'!A:C,3,),"NO REGISTRA")</f>
        <v>SEDENIS RIVAS ASPRILLA</v>
      </c>
      <c r="D10" s="4" t="str">
        <f>IFERROR(VLOOKUP(A10,'Base Prueba'!A:D,4,),"NO REGISTRA")</f>
        <v>APRENDIZ UNIVERSITARIO</v>
      </c>
      <c r="E10" s="5" t="str">
        <f>IFERROR(VLOOKUP(A10,'Base Prueba'!A:E,5,),"NO REGISTRA")</f>
        <v>DEPARTAMENTO DE GESTION HUMANA</v>
      </c>
    </row>
    <row r="11" spans="1:5" ht="15.75" x14ac:dyDescent="0.25">
      <c r="A11" s="10">
        <v>1023883232</v>
      </c>
      <c r="B11" s="2">
        <v>46024.354334606483</v>
      </c>
      <c r="C11" s="3" t="str">
        <f>IFERROR(VLOOKUP(A11,'Base Prueba'!A:C,3,),"NO REGISTRA")</f>
        <v>MONICA ANDREA ACERO URBANO</v>
      </c>
      <c r="D11" s="4" t="str">
        <f>IFERROR(VLOOKUP(A11,'Base Prueba'!A:D,4,),"NO REGISTRA")</f>
        <v>APOYO INTEGRAL A GESTION HUMANA</v>
      </c>
      <c r="E11" s="5" t="str">
        <f>IFERROR(VLOOKUP(A11,'Base Prueba'!A:E,5,),"NO REGISTRA")</f>
        <v>DEPARTAMENTO DE GESTION HUMANA</v>
      </c>
    </row>
    <row r="12" spans="1:5" ht="15.75" x14ac:dyDescent="0.25">
      <c r="A12" s="10">
        <v>80234243</v>
      </c>
      <c r="B12" s="2">
        <v>46024.369747106481</v>
      </c>
      <c r="C12" s="3" t="str">
        <f>IFERROR(VLOOKUP(A12,'Base Prueba'!A:C,3,),"NO REGISTRA")</f>
        <v>ARGENIS MARTINEZ MARTINEZ</v>
      </c>
      <c r="D12" s="4" t="str">
        <f>IFERROR(VLOOKUP(A12,'Base Prueba'!A:D,4,),"NO REGISTRA")</f>
        <v>LIDER CALL CENTER</v>
      </c>
      <c r="E12" s="5" t="str">
        <f>IFERROR(VLOOKUP(A12,'Base Prueba'!A:E,5,),"NO REGISTRA")</f>
        <v>OFICINA DE MERCADEO</v>
      </c>
    </row>
    <row r="13" spans="1:5" ht="15.75" x14ac:dyDescent="0.25">
      <c r="A13" s="10">
        <v>28798349</v>
      </c>
      <c r="B13" s="2">
        <v>46024.371026851855</v>
      </c>
      <c r="C13" s="3" t="str">
        <f>IFERROR(VLOOKUP(A13,'Base Prueba'!A:C,3,),"NO REGISTRA")</f>
        <v>MARTHA ISABEL TOVAR WILLIAMS</v>
      </c>
      <c r="D13" s="4" t="str">
        <f>IFERROR(VLOOKUP(A13,'Base Prueba'!A:D,4,),"NO REGISTRA")</f>
        <v>PROMOTOR CALL CENTER</v>
      </c>
      <c r="E13" s="5" t="str">
        <f>IFERROR(VLOOKUP(A13,'Base Prueba'!A:E,5,),"NO REGISTRA")</f>
        <v>OFICINA DE MERCADEO</v>
      </c>
    </row>
    <row r="14" spans="1:5" ht="15.75" x14ac:dyDescent="0.25">
      <c r="A14" s="10">
        <v>52472386</v>
      </c>
      <c r="B14" s="2">
        <v>46024.371061689817</v>
      </c>
      <c r="C14" s="3" t="str">
        <f>IFERROR(VLOOKUP(A14,'Base Prueba'!A:C,3,),"NO REGISTRA")</f>
        <v>ADRIANA MARCELA MORALES PARDO</v>
      </c>
      <c r="D14" s="4" t="str">
        <f>IFERROR(VLOOKUP(A14,'Base Prueba'!A:D,4,),"NO REGISTRA")</f>
        <v>PROMOTOR CALL CENTER</v>
      </c>
      <c r="E14" s="5" t="str">
        <f>IFERROR(VLOOKUP(A14,'Base Prueba'!A:E,5,),"NO REGISTRA")</f>
        <v>OFICINA DE MERCADEO</v>
      </c>
    </row>
    <row r="15" spans="1:5" ht="15.75" x14ac:dyDescent="0.25">
      <c r="A15" s="10">
        <v>1023961952</v>
      </c>
      <c r="B15" s="2">
        <v>46024.373650810187</v>
      </c>
      <c r="C15" s="3" t="str">
        <f>IFERROR(VLOOKUP(A15,'Base Prueba'!A:C,3,),"NO REGISTRA")</f>
        <v>ALEJANDRO PINZON MERCHAN</v>
      </c>
      <c r="D15" s="4" t="str">
        <f>IFERROR(VLOOKUP(A15,'Base Prueba'!A:D,4,),"NO REGISTRA")</f>
        <v>PROMOTOR CALL CENTER</v>
      </c>
      <c r="E15" s="5" t="str">
        <f>IFERROR(VLOOKUP(A15,'Base Prueba'!A:E,5,),"NO REGISTRA")</f>
        <v>OFICINA DE MERCADEO</v>
      </c>
    </row>
    <row r="16" spans="1:5" ht="15.75" x14ac:dyDescent="0.25">
      <c r="A16" s="10">
        <v>52764929</v>
      </c>
      <c r="B16" s="2">
        <v>46024.378084490738</v>
      </c>
      <c r="C16" s="3" t="str">
        <f>IFERROR(VLOOKUP(A16,'Base Prueba'!A:C,3,),"NO REGISTRA")</f>
        <v>GUERLY YOHANA DURAN RIVERA</v>
      </c>
      <c r="D16" s="4" t="str">
        <f>IFERROR(VLOOKUP(A16,'Base Prueba'!A:D,4,),"NO REGISTRA")</f>
        <v>LIDER DE VINCULACION COLEGIOS</v>
      </c>
      <c r="E16" s="5" t="str">
        <f>IFERROR(VLOOKUP(A16,'Base Prueba'!A:E,5,),"NO REGISTRA")</f>
        <v>OFICINA DE MERCADEO</v>
      </c>
    </row>
    <row r="17" spans="1:5" ht="15.75" x14ac:dyDescent="0.25">
      <c r="A17" s="10">
        <v>1003690253</v>
      </c>
      <c r="B17" s="2">
        <v>46024.378252314818</v>
      </c>
      <c r="C17" s="3" t="str">
        <f>IFERROR(VLOOKUP(A17,'Base Prueba'!A:C,3,),"NO REGISTRA")</f>
        <v>MELISSA GONZALEZ PEDRAZA</v>
      </c>
      <c r="D17" s="4" t="str">
        <f>IFERROR(VLOOKUP(A17,'Base Prueba'!A:D,4,),"NO REGISTRA")</f>
        <v>LIDER DE JOVENES A LA E</v>
      </c>
      <c r="E17" s="5" t="str">
        <f>IFERROR(VLOOKUP(A17,'Base Prueba'!A:E,5,),"NO REGISTRA")</f>
        <v>DIRECCION DE BIENESTAR INSTITUCIONAL</v>
      </c>
    </row>
    <row r="18" spans="1:5" ht="15.75" x14ac:dyDescent="0.25">
      <c r="A18" s="10">
        <v>1000254831</v>
      </c>
      <c r="B18" s="2">
        <v>46024.379977662036</v>
      </c>
      <c r="C18" s="3" t="str">
        <f>IFERROR(VLOOKUP(A18,'Base Prueba'!A:C,3,),"NO REGISTRA")</f>
        <v>BRIDGET ROSSANA DIAZ BOGOTA</v>
      </c>
      <c r="D18" s="4" t="str">
        <f>IFERROR(VLOOKUP(A18,'Base Prueba'!A:D,4,),"NO REGISTRA")</f>
        <v>AUXILIAR DE DISEÑO</v>
      </c>
      <c r="E18" s="5" t="str">
        <f>IFERROR(VLOOKUP(A18,'Base Prueba'!A:E,5,),"NO REGISTRA")</f>
        <v>OFICINA DE MERCADEO</v>
      </c>
    </row>
    <row r="19" spans="1:5" ht="15.75" x14ac:dyDescent="0.25">
      <c r="A19" s="10">
        <v>1018414290</v>
      </c>
      <c r="B19" s="2">
        <v>46024.380985185184</v>
      </c>
      <c r="C19" s="3" t="str">
        <f>IFERROR(VLOOKUP(A19,'Base Prueba'!A:C,3,),"NO REGISTRA")</f>
        <v>AMANDA LISBETH RODRIGUEZ LEON</v>
      </c>
      <c r="D19" s="4" t="str">
        <f>IFERROR(VLOOKUP(A19,'Base Prueba'!A:D,4,),"NO REGISTRA")</f>
        <v>PROMOTOR CALL CENTER</v>
      </c>
      <c r="E19" s="5" t="str">
        <f>IFERROR(VLOOKUP(A19,'Base Prueba'!A:E,5,),"NO REGISTRA")</f>
        <v>OFICINA DE MERCADEO</v>
      </c>
    </row>
    <row r="20" spans="1:5" ht="15.75" x14ac:dyDescent="0.25">
      <c r="A20" s="10">
        <v>1193265768</v>
      </c>
      <c r="B20" s="2">
        <v>46024.386732291663</v>
      </c>
      <c r="C20" s="3" t="str">
        <f>IFERROR(VLOOKUP(A20,'Base Prueba'!A:C,3,),"NO REGISTRA")</f>
        <v>SANTIAGO OSORIO CAMACHO</v>
      </c>
      <c r="D20" s="4" t="str">
        <f>IFERROR(VLOOKUP(A20,'Base Prueba'!A:D,4,),"NO REGISTRA")</f>
        <v>ANALISTA DE PAUTA</v>
      </c>
      <c r="E20" s="5" t="str">
        <f>IFERROR(VLOOKUP(A20,'Base Prueba'!A:E,5,),"NO REGISTRA")</f>
        <v>OFICINA DE MERCADEO</v>
      </c>
    </row>
    <row r="21" spans="1:5" ht="15.75" x14ac:dyDescent="0.25">
      <c r="A21" s="10">
        <v>1019105003</v>
      </c>
      <c r="B21" s="2">
        <v>46024.390512500002</v>
      </c>
      <c r="C21" s="3" t="str">
        <f>IFERROR(VLOOKUP(A21,'Base Prueba'!A:C,3,),"NO REGISTRA")</f>
        <v>DAISY JULIETH GASPAR MORENO</v>
      </c>
      <c r="D21" s="4" t="str">
        <f>IFERROR(VLOOKUP(A21,'Base Prueba'!A:D,4,),"NO REGISTRA")</f>
        <v>PROMOTOR CALL CENTER</v>
      </c>
      <c r="E21" s="5" t="str">
        <f>IFERROR(VLOOKUP(A21,'Base Prueba'!A:E,5,),"NO REGISTRA")</f>
        <v>OFICINA DE MERCADEO</v>
      </c>
    </row>
    <row r="22" spans="1:5" ht="15.75" x14ac:dyDescent="0.25">
      <c r="A22" s="10">
        <v>1031802160</v>
      </c>
      <c r="B22" s="2">
        <v>46024.706021412036</v>
      </c>
      <c r="C22" s="3" t="str">
        <f>IFERROR(VLOOKUP(A22,'Base Prueba'!A:C,3,),"NO REGISTRA")</f>
        <v>LUISA MARIA MAHECHA SOTOMAYOR</v>
      </c>
      <c r="D22" s="4" t="str">
        <f>IFERROR(VLOOKUP(A22,'Base Prueba'!A:D,4,),"NO REGISTRA")</f>
        <v>APRENDIZ UNIVERSITARIO</v>
      </c>
      <c r="E22" s="5" t="str">
        <f>IFERROR(VLOOKUP(A22,'Base Prueba'!A:E,5,),"NO REGISTRA")</f>
        <v>OFICINA DE MERCADEO</v>
      </c>
    </row>
    <row r="23" spans="1:5" ht="15.75" x14ac:dyDescent="0.25">
      <c r="A23" s="10">
        <v>1087121273</v>
      </c>
      <c r="B23" s="2">
        <v>46024.709249884261</v>
      </c>
      <c r="C23" s="3" t="str">
        <f>IFERROR(VLOOKUP(A23,'Base Prueba'!A:C,3,),"NO REGISTRA")</f>
        <v>MAYRA ALEJANDRA CASTILLO ARBOLEDA</v>
      </c>
      <c r="D23" s="4" t="str">
        <f>IFERROR(VLOOKUP(A23,'Base Prueba'!A:D,4,),"NO REGISTRA")</f>
        <v>APOYO INTEGRAL DE MERCADEO</v>
      </c>
      <c r="E23" s="5" t="str">
        <f>IFERROR(VLOOKUP(A23,'Base Prueba'!A:E,5,),"NO REGISTRA")</f>
        <v>CENTRO DE GESTION DOCUMENTAL</v>
      </c>
    </row>
    <row r="24" spans="1:5" ht="15.75" x14ac:dyDescent="0.25">
      <c r="A24" s="10">
        <v>1000467399</v>
      </c>
      <c r="B24" s="2">
        <v>46024.709889120371</v>
      </c>
      <c r="C24" s="3" t="str">
        <f>IFERROR(VLOOKUP(A24,'Base Prueba'!A:C,3,),"NO REGISTRA")</f>
        <v>BRANDO ESTIVEN DIAZ QUIMBAYA</v>
      </c>
      <c r="D24" s="4" t="str">
        <f>IFERROR(VLOOKUP(A24,'Base Prueba'!A:D,4,),"NO REGISTRA")</f>
        <v>APRENDIZ UNIVERSITARIO</v>
      </c>
      <c r="E24" s="5" t="str">
        <f>IFERROR(VLOOKUP(A24,'Base Prueba'!A:E,5,),"NO REGISTRA")</f>
        <v>DEPARTAMENTO DE GESTION HUMANA</v>
      </c>
    </row>
    <row r="25" spans="1:5" ht="15.75" x14ac:dyDescent="0.25">
      <c r="A25" s="10">
        <v>1193457976</v>
      </c>
      <c r="B25" s="2">
        <v>46024.71002835648</v>
      </c>
      <c r="C25" s="3" t="str">
        <f>IFERROR(VLOOKUP(A25,'Base Prueba'!A:C,3,),"NO REGISTRA")</f>
        <v>SEDENIS RIVAS ASPRILLA</v>
      </c>
      <c r="D25" s="4" t="str">
        <f>IFERROR(VLOOKUP(A25,'Base Prueba'!A:D,4,),"NO REGISTRA")</f>
        <v>APRENDIZ UNIVERSITARIO</v>
      </c>
      <c r="E25" s="5" t="str">
        <f>IFERROR(VLOOKUP(A25,'Base Prueba'!A:E,5,),"NO REGISTRA")</f>
        <v>DEPARTAMENTO DE GESTION HUMANA</v>
      </c>
    </row>
    <row r="26" spans="1:5" ht="15.75" x14ac:dyDescent="0.25">
      <c r="A26" s="10">
        <v>80725196</v>
      </c>
      <c r="B26" s="2">
        <v>46024.710478009256</v>
      </c>
      <c r="C26" s="3" t="str">
        <f>IFERROR(VLOOKUP(A26,'Base Prueba'!A:C,3,),"NO REGISTRA")</f>
        <v>YEISON YOSET TOVAR BARBOSA</v>
      </c>
      <c r="D26" s="4" t="str">
        <f>IFERROR(VLOOKUP(A26,'Base Prueba'!A:D,4,),"NO REGISTRA")</f>
        <v>LIDER GESTION DOCUMENTAL</v>
      </c>
      <c r="E26" s="5" t="str">
        <f>IFERROR(VLOOKUP(A26,'Base Prueba'!A:E,5,),"NO REGISTRA")</f>
        <v>CENTRO DE GESTION DOCUMENTAL</v>
      </c>
    </row>
    <row r="27" spans="1:5" ht="15.75" x14ac:dyDescent="0.25">
      <c r="A27" s="10">
        <v>1012357415</v>
      </c>
      <c r="B27" s="2">
        <v>46024.710579976854</v>
      </c>
      <c r="C27" s="3" t="str">
        <f>IFERROR(VLOOKUP(A27,'Base Prueba'!A:C,3,),"NO REGISTRA")</f>
        <v>CINDY LORENA BOHORQUEZ LEYVA</v>
      </c>
      <c r="D27" s="4" t="str">
        <f>IFERROR(VLOOKUP(A27,'Base Prueba'!A:D,4,),"NO REGISTRA")</f>
        <v>ANALISTA DE TESORERIA</v>
      </c>
      <c r="E27" s="5" t="str">
        <f>IFERROR(VLOOKUP(A27,'Base Prueba'!A:E,5,),"NO REGISTRA")</f>
        <v>AREA FINANCIERA Y CONTABLE</v>
      </c>
    </row>
    <row r="28" spans="1:5" ht="15.75" x14ac:dyDescent="0.25">
      <c r="A28" s="10">
        <v>1014308296</v>
      </c>
      <c r="B28" s="2">
        <v>46024.710701504628</v>
      </c>
      <c r="C28" s="3" t="str">
        <f>IFERROR(VLOOKUP(A28,'Base Prueba'!A:C,3,),"NO REGISTRA")</f>
        <v>DARLENE YULIANA MORENO CELEITA</v>
      </c>
      <c r="D28" s="4" t="str">
        <f>IFERROR(VLOOKUP(A28,'Base Prueba'!A:D,4,),"NO REGISTRA")</f>
        <v>CAJERO PRINCIPAL</v>
      </c>
      <c r="E28" s="5" t="str">
        <f>IFERROR(VLOOKUP(A28,'Base Prueba'!A:E,5,),"NO REGISTRA")</f>
        <v>AREA FINANCIERA Y CONTABLE</v>
      </c>
    </row>
    <row r="29" spans="1:5" ht="15.75" x14ac:dyDescent="0.25">
      <c r="A29" s="10">
        <v>1023883232</v>
      </c>
      <c r="B29" s="2">
        <v>46024.710989004627</v>
      </c>
      <c r="C29" s="3" t="str">
        <f>IFERROR(VLOOKUP(A29,'Base Prueba'!A:C,3,),"NO REGISTRA")</f>
        <v>MONICA ANDREA ACERO URBANO</v>
      </c>
      <c r="D29" s="4" t="str">
        <f>IFERROR(VLOOKUP(A29,'Base Prueba'!A:D,4,),"NO REGISTRA")</f>
        <v>APOYO INTEGRAL A GESTION HUMANA</v>
      </c>
      <c r="E29" s="5" t="str">
        <f>IFERROR(VLOOKUP(A29,'Base Prueba'!A:E,5,),"NO REGISTRA")</f>
        <v>DEPARTAMENTO DE GESTION HUMANA</v>
      </c>
    </row>
    <row r="30" spans="1:5" ht="15.75" x14ac:dyDescent="0.25">
      <c r="A30" s="10">
        <v>1013098645</v>
      </c>
      <c r="B30" s="2">
        <v>46024.712499884263</v>
      </c>
      <c r="C30" s="3" t="str">
        <f>IFERROR(VLOOKUP(A30,'Base Prueba'!A:C,3,),"NO REGISTRA")</f>
        <v>CATHERINE LUCIA PENAGOS RIVERA</v>
      </c>
      <c r="D30" s="4" t="str">
        <f>IFERROR(VLOOKUP(A30,'Base Prueba'!A:D,4,),"NO REGISTRA")</f>
        <v>LIDER DE REGISTRO Y CONTROL ACADEMICO</v>
      </c>
      <c r="E30" s="5" t="str">
        <f>IFERROR(VLOOKUP(A30,'Base Prueba'!A:E,5,),"NO REGISTRA")</f>
        <v>REGISTRO Y CONTROL ACADEMICO</v>
      </c>
    </row>
    <row r="31" spans="1:5" ht="15.75" x14ac:dyDescent="0.25">
      <c r="A31" s="10">
        <v>1000687931</v>
      </c>
      <c r="B31" s="2">
        <v>46024.712608333335</v>
      </c>
      <c r="C31" s="3" t="str">
        <f>IFERROR(VLOOKUP(A31,'Base Prueba'!A:C,3,),"NO REGISTRA")</f>
        <v>ANDRES FELIPE PUENTES TORRES</v>
      </c>
      <c r="D31" s="4" t="str">
        <f>IFERROR(VLOOKUP(A31,'Base Prueba'!A:D,4,),"NO REGISTRA")</f>
        <v>AUXILIAR ADMINISTRATIVO</v>
      </c>
      <c r="E31" s="5" t="str">
        <f>IFERROR(VLOOKUP(A31,'Base Prueba'!A:E,5,),"NO REGISTRA")</f>
        <v>REGISTRO Y CONTROL ACADEMICO</v>
      </c>
    </row>
    <row r="32" spans="1:5" ht="15.75" x14ac:dyDescent="0.25">
      <c r="A32" s="10">
        <v>1000257136</v>
      </c>
      <c r="B32" s="2">
        <v>46024.715647453704</v>
      </c>
      <c r="C32" s="3" t="str">
        <f>IFERROR(VLOOKUP(A32,'Base Prueba'!A:C,3,),"NO REGISTRA")</f>
        <v>FRANCI VALENTINA CANO PUENTES</v>
      </c>
      <c r="D32" s="4" t="str">
        <f>IFERROR(VLOOKUP(A32,'Base Prueba'!A:D,4,),"NO REGISTRA")</f>
        <v>AUXILIAR CONTABLE</v>
      </c>
      <c r="E32" s="5" t="str">
        <f>IFERROR(VLOOKUP(A32,'Base Prueba'!A:E,5,),"NO REGISTRA")</f>
        <v>AREA FINANCIERA Y CONTABLE</v>
      </c>
    </row>
    <row r="33" spans="1:5" ht="15.75" x14ac:dyDescent="0.25">
      <c r="A33" s="10">
        <v>1000365751</v>
      </c>
      <c r="B33" s="2">
        <v>46024.747524652776</v>
      </c>
      <c r="C33" s="3" t="str">
        <f>IFERROR(VLOOKUP(A33,'Base Prueba'!A:C,3,),"NO REGISTRA")</f>
        <v>JHOAN NICOLAS ESCAMILLA MANJARRES</v>
      </c>
      <c r="D33" s="4" t="str">
        <f>IFERROR(VLOOKUP(A33,'Base Prueba'!A:D,4,),"NO REGISTRA")</f>
        <v>APRENDIZ UNIVERSITARIO</v>
      </c>
      <c r="E33" s="5" t="str">
        <f>IFERROR(VLOOKUP(A33,'Base Prueba'!A:E,5,),"NO REGISTRA")</f>
        <v>OFICINA DE MERCADEO</v>
      </c>
    </row>
    <row r="34" spans="1:5" ht="15.75" x14ac:dyDescent="0.25">
      <c r="A34" s="10">
        <v>1000254831</v>
      </c>
      <c r="B34" s="2">
        <v>46024.75327627315</v>
      </c>
      <c r="C34" s="3" t="str">
        <f>IFERROR(VLOOKUP(A34,'Base Prueba'!A:C,3,),"NO REGISTRA")</f>
        <v>BRIDGET ROSSANA DIAZ BOGOTA</v>
      </c>
      <c r="D34" s="4" t="str">
        <f>IFERROR(VLOOKUP(A34,'Base Prueba'!A:D,4,),"NO REGISTRA")</f>
        <v>AUXILIAR DE DISEÑO</v>
      </c>
      <c r="E34" s="5" t="str">
        <f>IFERROR(VLOOKUP(A34,'Base Prueba'!A:E,5,),"NO REGISTRA")</f>
        <v>OFICINA DE MERCADEO</v>
      </c>
    </row>
    <row r="35" spans="1:5" ht="15.75" x14ac:dyDescent="0.25">
      <c r="A35" s="10">
        <v>52175674</v>
      </c>
      <c r="B35" s="2">
        <v>46024.753529629626</v>
      </c>
      <c r="C35" s="3" t="str">
        <f>IFERROR(VLOOKUP(A35,'Base Prueba'!A:C,3,),"NO REGISTRA")</f>
        <v>LUZ YANETH GOMEZ AREVALO</v>
      </c>
      <c r="D35" s="4" t="str">
        <f>IFERROR(VLOOKUP(A35,'Base Prueba'!A:D,4,),"NO REGISTRA")</f>
        <v>COORDINADORA DE ADMISIONES</v>
      </c>
      <c r="E35" s="5" t="str">
        <f>IFERROR(VLOOKUP(A35,'Base Prueba'!A:E,5,),"NO REGISTRA")</f>
        <v>OFICINA DE MERCADEO</v>
      </c>
    </row>
    <row r="36" spans="1:5" ht="15.75" x14ac:dyDescent="0.25">
      <c r="A36" s="10">
        <v>52764929</v>
      </c>
      <c r="B36" s="2">
        <v>46024.75415439815</v>
      </c>
      <c r="C36" s="3" t="str">
        <f>IFERROR(VLOOKUP(A36,'Base Prueba'!A:C,3,),"NO REGISTRA")</f>
        <v>GUERLY YOHANA DURAN RIVERA</v>
      </c>
      <c r="D36" s="4" t="str">
        <f>IFERROR(VLOOKUP(A36,'Base Prueba'!A:D,4,),"NO REGISTRA")</f>
        <v>LIDER DE VINCULACION COLEGIOS</v>
      </c>
      <c r="E36" s="5" t="str">
        <f>IFERROR(VLOOKUP(A36,'Base Prueba'!A:E,5,),"NO REGISTRA")</f>
        <v>OFICINA DE MERCADEO</v>
      </c>
    </row>
    <row r="37" spans="1:5" ht="15.75" x14ac:dyDescent="0.25">
      <c r="A37" s="10">
        <v>80234243</v>
      </c>
      <c r="B37" s="2">
        <v>46024.754798958333</v>
      </c>
      <c r="C37" s="3" t="str">
        <f>IFERROR(VLOOKUP(A37,'Base Prueba'!A:C,3,),"NO REGISTRA")</f>
        <v>ARGENIS MARTINEZ MARTINEZ</v>
      </c>
      <c r="D37" s="4" t="str">
        <f>IFERROR(VLOOKUP(A37,'Base Prueba'!A:D,4,),"NO REGISTRA")</f>
        <v>LIDER CALL CENTER</v>
      </c>
      <c r="E37" s="5" t="str">
        <f>IFERROR(VLOOKUP(A37,'Base Prueba'!A:E,5,),"NO REGISTRA")</f>
        <v>OFICINA DE MERCADEO</v>
      </c>
    </row>
    <row r="38" spans="1:5" ht="15.75" x14ac:dyDescent="0.25">
      <c r="A38" s="10">
        <v>1193265768</v>
      </c>
      <c r="B38" s="2">
        <v>46024.755193171295</v>
      </c>
      <c r="C38" s="3" t="str">
        <f>IFERROR(VLOOKUP(A38,'Base Prueba'!A:C,3,),"NO REGISTRA")</f>
        <v>SANTIAGO OSORIO CAMACHO</v>
      </c>
      <c r="D38" s="4" t="str">
        <f>IFERROR(VLOOKUP(A38,'Base Prueba'!A:D,4,),"NO REGISTRA")</f>
        <v>ANALISTA DE PAUTA</v>
      </c>
      <c r="E38" s="5" t="str">
        <f>IFERROR(VLOOKUP(A38,'Base Prueba'!A:E,5,),"NO REGISTRA")</f>
        <v>OFICINA DE MERCADEO</v>
      </c>
    </row>
    <row r="39" spans="1:5" ht="15.75" x14ac:dyDescent="0.25">
      <c r="A39" s="10">
        <v>1019105003</v>
      </c>
      <c r="B39" s="2">
        <v>46024.75766354167</v>
      </c>
      <c r="C39" s="3" t="str">
        <f>IFERROR(VLOOKUP(A39,'Base Prueba'!A:C,3,),"NO REGISTRA")</f>
        <v>DAISY JULIETH GASPAR MORENO</v>
      </c>
      <c r="D39" s="4" t="str">
        <f>IFERROR(VLOOKUP(A39,'Base Prueba'!A:D,4,),"NO REGISTRA")</f>
        <v>PROMOTOR CALL CENTER</v>
      </c>
      <c r="E39" s="5" t="str">
        <f>IFERROR(VLOOKUP(A39,'Base Prueba'!A:E,5,),"NO REGISTRA")</f>
        <v>OFICINA DE MERCADEO</v>
      </c>
    </row>
    <row r="40" spans="1:5" ht="15.75" x14ac:dyDescent="0.25">
      <c r="A40" s="10">
        <v>1018414290</v>
      </c>
      <c r="B40" s="2">
        <v>46024.758258217589</v>
      </c>
      <c r="C40" s="3" t="str">
        <f>IFERROR(VLOOKUP(A40,'Base Prueba'!A:C,3,),"NO REGISTRA")</f>
        <v>AMANDA LISBETH RODRIGUEZ LEON</v>
      </c>
      <c r="D40" s="4" t="str">
        <f>IFERROR(VLOOKUP(A40,'Base Prueba'!A:D,4,),"NO REGISTRA")</f>
        <v>PROMOTOR CALL CENTER</v>
      </c>
      <c r="E40" s="5" t="str">
        <f>IFERROR(VLOOKUP(A40,'Base Prueba'!A:E,5,),"NO REGISTRA")</f>
        <v>OFICINA DE MERCADEO</v>
      </c>
    </row>
    <row r="41" spans="1:5" ht="15.75" x14ac:dyDescent="0.25">
      <c r="A41" s="10">
        <v>52472386</v>
      </c>
      <c r="B41" s="2">
        <v>46024.758292708335</v>
      </c>
      <c r="C41" s="3" t="str">
        <f>IFERROR(VLOOKUP(A41,'Base Prueba'!A:C,3,),"NO REGISTRA")</f>
        <v>ADRIANA MARCELA MORALES PARDO</v>
      </c>
      <c r="D41" s="4" t="str">
        <f>IFERROR(VLOOKUP(A41,'Base Prueba'!A:D,4,),"NO REGISTRA")</f>
        <v>PROMOTOR CALL CENTER</v>
      </c>
      <c r="E41" s="5" t="str">
        <f>IFERROR(VLOOKUP(A41,'Base Prueba'!A:E,5,),"NO REGISTRA")</f>
        <v>OFICINA DE MERCADEO</v>
      </c>
    </row>
    <row r="42" spans="1:5" ht="15.75" x14ac:dyDescent="0.25">
      <c r="A42" s="10">
        <v>1023961952</v>
      </c>
      <c r="B42" s="2">
        <v>46024.760682060187</v>
      </c>
      <c r="C42" s="3" t="str">
        <f>IFERROR(VLOOKUP(A42,'Base Prueba'!A:C,3,),"NO REGISTRA")</f>
        <v>ALEJANDRO PINZON MERCHAN</v>
      </c>
      <c r="D42" s="4" t="str">
        <f>IFERROR(VLOOKUP(A42,'Base Prueba'!A:D,4,),"NO REGISTRA")</f>
        <v>PROMOTOR CALL CENTER</v>
      </c>
      <c r="E42" s="5" t="str">
        <f>IFERROR(VLOOKUP(A42,'Base Prueba'!A:E,5,),"NO REGISTRA")</f>
        <v>OFICINA DE MERCADEO</v>
      </c>
    </row>
    <row r="43" spans="1:5" ht="15.75" x14ac:dyDescent="0.25">
      <c r="A43" s="10">
        <v>28798349</v>
      </c>
      <c r="B43" s="2">
        <v>46024.762744444444</v>
      </c>
      <c r="C43" s="3" t="str">
        <f>IFERROR(VLOOKUP(A43,'Base Prueba'!A:C,3,),"NO REGISTRA")</f>
        <v>MARTHA ISABEL TOVAR WILLIAMS</v>
      </c>
      <c r="D43" s="4" t="str">
        <f>IFERROR(VLOOKUP(A43,'Base Prueba'!A:D,4,),"NO REGISTRA")</f>
        <v>PROMOTOR CALL CENTER</v>
      </c>
      <c r="E43" s="5" t="str">
        <f>IFERROR(VLOOKUP(A43,'Base Prueba'!A:E,5,),"NO REGISTRA")</f>
        <v>OFICINA DE MERCADEO</v>
      </c>
    </row>
    <row r="44" spans="1:5" ht="15.75" x14ac:dyDescent="0.25">
      <c r="A44" s="10">
        <v>1003690253</v>
      </c>
      <c r="B44" s="2">
        <v>46024.7627818287</v>
      </c>
      <c r="C44" s="3" t="str">
        <f>IFERROR(VLOOKUP(A44,'Base Prueba'!A:C,3,),"NO REGISTRA")</f>
        <v>MELISSA GONZALEZ PEDRAZA</v>
      </c>
      <c r="D44" s="4" t="str">
        <f>IFERROR(VLOOKUP(A44,'Base Prueba'!A:D,4,),"NO REGISTRA")</f>
        <v>LIDER DE JOVENES A LA E</v>
      </c>
      <c r="E44" s="5" t="str">
        <f>IFERROR(VLOOKUP(A44,'Base Prueba'!A:E,5,),"NO REGISTRA")</f>
        <v>DIRECCION DE BIENESTAR INSTITUCIONAL</v>
      </c>
    </row>
    <row r="45" spans="1:5" ht="15.75" x14ac:dyDescent="0.25">
      <c r="A45" s="10">
        <v>1087121273</v>
      </c>
      <c r="B45" s="2">
        <v>46025.351352199075</v>
      </c>
      <c r="C45" s="3" t="str">
        <f>IFERROR(VLOOKUP(A45,'Base Prueba'!A:C,3,),"NO REGISTRA")</f>
        <v>MAYRA ALEJANDRA CASTILLO ARBOLEDA</v>
      </c>
      <c r="D45" s="4" t="str">
        <f>IFERROR(VLOOKUP(A45,'Base Prueba'!A:D,4,),"NO REGISTRA")</f>
        <v>APOYO INTEGRAL DE MERCADEO</v>
      </c>
      <c r="E45" s="5" t="str">
        <f>IFERROR(VLOOKUP(A45,'Base Prueba'!A:E,5,),"NO REGISTRA")</f>
        <v>CENTRO DE GESTION DOCUMENTAL</v>
      </c>
    </row>
    <row r="46" spans="1:5" ht="15.75" x14ac:dyDescent="0.25">
      <c r="A46" s="10">
        <v>52472386</v>
      </c>
      <c r="B46" s="2">
        <v>46025.355779050929</v>
      </c>
      <c r="C46" s="3" t="str">
        <f>IFERROR(VLOOKUP(A46,'Base Prueba'!A:C,3,),"NO REGISTRA")</f>
        <v>ADRIANA MARCELA MORALES PARDO</v>
      </c>
      <c r="D46" s="4" t="str">
        <f>IFERROR(VLOOKUP(A46,'Base Prueba'!A:D,4,),"NO REGISTRA")</f>
        <v>PROMOTOR CALL CENTER</v>
      </c>
      <c r="E46" s="5" t="str">
        <f>IFERROR(VLOOKUP(A46,'Base Prueba'!A:E,5,),"NO REGISTRA")</f>
        <v>OFICINA DE MERCADEO</v>
      </c>
    </row>
    <row r="47" spans="1:5" ht="15.75" x14ac:dyDescent="0.25">
      <c r="A47" s="10">
        <v>80234243</v>
      </c>
      <c r="B47" s="2">
        <v>46025.368261226853</v>
      </c>
      <c r="C47" s="3" t="str">
        <f>IFERROR(VLOOKUP(A47,'Base Prueba'!A:C,3,),"NO REGISTRA")</f>
        <v>ARGENIS MARTINEZ MARTINEZ</v>
      </c>
      <c r="D47" s="4" t="str">
        <f>IFERROR(VLOOKUP(A47,'Base Prueba'!A:D,4,),"NO REGISTRA")</f>
        <v>LIDER CALL CENTER</v>
      </c>
      <c r="E47" s="5" t="str">
        <f>IFERROR(VLOOKUP(A47,'Base Prueba'!A:E,5,),"NO REGISTRA")</f>
        <v>OFICINA DE MERCADEO</v>
      </c>
    </row>
    <row r="48" spans="1:5" ht="15.75" x14ac:dyDescent="0.25">
      <c r="A48" s="10">
        <v>28798349</v>
      </c>
      <c r="B48" s="2">
        <v>46025.371439699076</v>
      </c>
      <c r="C48" s="3" t="str">
        <f>IFERROR(VLOOKUP(A48,'Base Prueba'!A:C,3,),"NO REGISTRA")</f>
        <v>MARTHA ISABEL TOVAR WILLIAMS</v>
      </c>
      <c r="D48" s="4" t="str">
        <f>IFERROR(VLOOKUP(A48,'Base Prueba'!A:D,4,),"NO REGISTRA")</f>
        <v>PROMOTOR CALL CENTER</v>
      </c>
      <c r="E48" s="5" t="str">
        <f>IFERROR(VLOOKUP(A48,'Base Prueba'!A:E,5,),"NO REGISTRA")</f>
        <v>OFICINA DE MERCADEO</v>
      </c>
    </row>
    <row r="49" spans="1:5" ht="15.75" x14ac:dyDescent="0.25">
      <c r="A49" s="10">
        <v>1013098645</v>
      </c>
      <c r="B49" s="2">
        <v>46025.374417013889</v>
      </c>
      <c r="C49" s="3" t="str">
        <f>IFERROR(VLOOKUP(A49,'Base Prueba'!A:C,3,),"NO REGISTRA")</f>
        <v>CATHERINE LUCIA PENAGOS RIVERA</v>
      </c>
      <c r="D49" s="4" t="str">
        <f>IFERROR(VLOOKUP(A49,'Base Prueba'!A:D,4,),"NO REGISTRA")</f>
        <v>LIDER DE REGISTRO Y CONTROL ACADEMICO</v>
      </c>
      <c r="E49" s="5" t="str">
        <f>IFERROR(VLOOKUP(A49,'Base Prueba'!A:E,5,),"NO REGISTRA")</f>
        <v>REGISTRO Y CONTROL ACADEMICO</v>
      </c>
    </row>
    <row r="50" spans="1:5" ht="15.75" x14ac:dyDescent="0.25">
      <c r="A50" s="10">
        <v>52764929</v>
      </c>
      <c r="B50" s="2">
        <v>46025.374483217594</v>
      </c>
      <c r="C50" s="3" t="str">
        <f>IFERROR(VLOOKUP(A50,'Base Prueba'!A:C,3,),"NO REGISTRA")</f>
        <v>GUERLY YOHANA DURAN RIVERA</v>
      </c>
      <c r="D50" s="4" t="str">
        <f>IFERROR(VLOOKUP(A50,'Base Prueba'!A:D,4,),"NO REGISTRA")</f>
        <v>LIDER DE VINCULACION COLEGIOS</v>
      </c>
      <c r="E50" s="5" t="str">
        <f>IFERROR(VLOOKUP(A50,'Base Prueba'!A:E,5,),"NO REGISTRA")</f>
        <v>OFICINA DE MERCADEO</v>
      </c>
    </row>
    <row r="51" spans="1:5" ht="15.75" x14ac:dyDescent="0.25">
      <c r="A51" s="10">
        <v>1014308296</v>
      </c>
      <c r="B51" s="2">
        <v>46025.376435879632</v>
      </c>
      <c r="C51" s="3" t="str">
        <f>IFERROR(VLOOKUP(A51,'Base Prueba'!A:C,3,),"NO REGISTRA")</f>
        <v>DARLENE YULIANA MORENO CELEITA</v>
      </c>
      <c r="D51" s="4" t="str">
        <f>IFERROR(VLOOKUP(A51,'Base Prueba'!A:D,4,),"NO REGISTRA")</f>
        <v>CAJERO PRINCIPAL</v>
      </c>
      <c r="E51" s="5" t="str">
        <f>IFERROR(VLOOKUP(A51,'Base Prueba'!A:E,5,),"NO REGISTRA")</f>
        <v>AREA FINANCIERA Y CONTABLE</v>
      </c>
    </row>
    <row r="52" spans="1:5" ht="15.75" x14ac:dyDescent="0.25">
      <c r="A52" s="10">
        <v>1019105003</v>
      </c>
      <c r="B52" s="2">
        <v>46025.377304398149</v>
      </c>
      <c r="C52" s="3" t="str">
        <f>IFERROR(VLOOKUP(A52,'Base Prueba'!A:C,3,),"NO REGISTRA")</f>
        <v>DAISY JULIETH GASPAR MORENO</v>
      </c>
      <c r="D52" s="4" t="str">
        <f>IFERROR(VLOOKUP(A52,'Base Prueba'!A:D,4,),"NO REGISTRA")</f>
        <v>PROMOTOR CALL CENTER</v>
      </c>
      <c r="E52" s="5" t="str">
        <f>IFERROR(VLOOKUP(A52,'Base Prueba'!A:E,5,),"NO REGISTRA")</f>
        <v>OFICINA DE MERCADEO</v>
      </c>
    </row>
    <row r="53" spans="1:5" ht="15.75" x14ac:dyDescent="0.25">
      <c r="A53" s="10">
        <v>1003690253</v>
      </c>
      <c r="B53" s="2">
        <v>46025.378043055556</v>
      </c>
      <c r="C53" s="3" t="str">
        <f>IFERROR(VLOOKUP(A53,'Base Prueba'!A:C,3,),"NO REGISTRA")</f>
        <v>MELISSA GONZALEZ PEDRAZA</v>
      </c>
      <c r="D53" s="4" t="str">
        <f>IFERROR(VLOOKUP(A53,'Base Prueba'!A:D,4,),"NO REGISTRA")</f>
        <v>LIDER DE JOVENES A LA E</v>
      </c>
      <c r="E53" s="5" t="str">
        <f>IFERROR(VLOOKUP(A53,'Base Prueba'!A:E,5,),"NO REGISTRA")</f>
        <v>DIRECCION DE BIENESTAR INSTITUCIONAL</v>
      </c>
    </row>
    <row r="54" spans="1:5" ht="15.75" x14ac:dyDescent="0.25">
      <c r="A54" s="10">
        <v>1023961952</v>
      </c>
      <c r="B54" s="2">
        <v>46025.379882870373</v>
      </c>
      <c r="C54" s="3" t="str">
        <f>IFERROR(VLOOKUP(A54,'Base Prueba'!A:C,3,),"NO REGISTRA")</f>
        <v>ALEJANDRO PINZON MERCHAN</v>
      </c>
      <c r="D54" s="4" t="str">
        <f>IFERROR(VLOOKUP(A54,'Base Prueba'!A:D,4,),"NO REGISTRA")</f>
        <v>PROMOTOR CALL CENTER</v>
      </c>
      <c r="E54" s="5" t="str">
        <f>IFERROR(VLOOKUP(A54,'Base Prueba'!A:E,5,),"NO REGISTRA")</f>
        <v>OFICINA DE MERCADEO</v>
      </c>
    </row>
    <row r="55" spans="1:5" ht="15.75" x14ac:dyDescent="0.25">
      <c r="A55" s="10">
        <v>1000254831</v>
      </c>
      <c r="B55" s="2">
        <v>46025.381921527776</v>
      </c>
      <c r="C55" s="3" t="str">
        <f>IFERROR(VLOOKUP(A55,'Base Prueba'!A:C,3,),"NO REGISTRA")</f>
        <v>BRIDGET ROSSANA DIAZ BOGOTA</v>
      </c>
      <c r="D55" s="4" t="str">
        <f>IFERROR(VLOOKUP(A55,'Base Prueba'!A:D,4,),"NO REGISTRA")</f>
        <v>AUXILIAR DE DISEÑO</v>
      </c>
      <c r="E55" s="5" t="str">
        <f>IFERROR(VLOOKUP(A55,'Base Prueba'!A:E,5,),"NO REGISTRA")</f>
        <v>OFICINA DE MERCADEO</v>
      </c>
    </row>
    <row r="56" spans="1:5" ht="15.75" x14ac:dyDescent="0.25">
      <c r="A56" s="10">
        <v>1018414290</v>
      </c>
      <c r="B56" s="2">
        <v>46025.383445833337</v>
      </c>
      <c r="C56" s="3" t="str">
        <f>IFERROR(VLOOKUP(A56,'Base Prueba'!A:C,3,),"NO REGISTRA")</f>
        <v>AMANDA LISBETH RODRIGUEZ LEON</v>
      </c>
      <c r="D56" s="4" t="str">
        <f>IFERROR(VLOOKUP(A56,'Base Prueba'!A:D,4,),"NO REGISTRA")</f>
        <v>PROMOTOR CALL CENTER</v>
      </c>
      <c r="E56" s="5" t="str">
        <f>IFERROR(VLOOKUP(A56,'Base Prueba'!A:E,5,),"NO REGISTRA")</f>
        <v>OFICINA DE MERCADEO</v>
      </c>
    </row>
    <row r="57" spans="1:5" ht="15.75" x14ac:dyDescent="0.25">
      <c r="A57" s="10">
        <v>52175674</v>
      </c>
      <c r="B57" s="2">
        <v>46025.38791203704</v>
      </c>
      <c r="C57" s="3" t="str">
        <f>IFERROR(VLOOKUP(A57,'Base Prueba'!A:C,3,),"NO REGISTRA")</f>
        <v>LUZ YANETH GOMEZ AREVALO</v>
      </c>
      <c r="D57" s="4" t="str">
        <f>IFERROR(VLOOKUP(A57,'Base Prueba'!A:D,4,),"NO REGISTRA")</f>
        <v>COORDINADORA DE ADMISIONES</v>
      </c>
      <c r="E57" s="5" t="str">
        <f>IFERROR(VLOOKUP(A57,'Base Prueba'!A:E,5,),"NO REGISTRA")</f>
        <v>OFICINA DE MERCADEO</v>
      </c>
    </row>
    <row r="58" spans="1:5" ht="15.75" x14ac:dyDescent="0.25">
      <c r="A58" s="10">
        <v>1087121273</v>
      </c>
      <c r="B58" s="2">
        <v>46025.494650694447</v>
      </c>
      <c r="C58" s="3" t="str">
        <f>IFERROR(VLOOKUP(A58,'Base Prueba'!A:C,3,),"NO REGISTRA")</f>
        <v>MAYRA ALEJANDRA CASTILLO ARBOLEDA</v>
      </c>
      <c r="D58" s="4" t="str">
        <f>IFERROR(VLOOKUP(A58,'Base Prueba'!A:D,4,),"NO REGISTRA")</f>
        <v>APOYO INTEGRAL DE MERCADEO</v>
      </c>
      <c r="E58" s="5" t="str">
        <f>IFERROR(VLOOKUP(A58,'Base Prueba'!A:E,5,),"NO REGISTRA")</f>
        <v>CENTRO DE GESTION DOCUMENTAL</v>
      </c>
    </row>
    <row r="59" spans="1:5" ht="15.75" x14ac:dyDescent="0.25">
      <c r="A59" s="10">
        <v>1013098645</v>
      </c>
      <c r="B59" s="2">
        <v>46025.498141319447</v>
      </c>
      <c r="C59" s="3" t="str">
        <f>IFERROR(VLOOKUP(A59,'Base Prueba'!A:C,3,),"NO REGISTRA")</f>
        <v>CATHERINE LUCIA PENAGOS RIVERA</v>
      </c>
      <c r="D59" s="4" t="str">
        <f>IFERROR(VLOOKUP(A59,'Base Prueba'!A:D,4,),"NO REGISTRA")</f>
        <v>LIDER DE REGISTRO Y CONTROL ACADEMICO</v>
      </c>
      <c r="E59" s="5" t="str">
        <f>IFERROR(VLOOKUP(A59,'Base Prueba'!A:E,5,),"NO REGISTRA")</f>
        <v>REGISTRO Y CONTROL ACADEMICO</v>
      </c>
    </row>
    <row r="60" spans="1:5" ht="15.75" x14ac:dyDescent="0.25">
      <c r="A60" s="10">
        <v>1014308296</v>
      </c>
      <c r="B60" s="2">
        <v>46025.499074189815</v>
      </c>
      <c r="C60" s="3" t="str">
        <f>IFERROR(VLOOKUP(A60,'Base Prueba'!A:C,3,),"NO REGISTRA")</f>
        <v>DARLENE YULIANA MORENO CELEITA</v>
      </c>
      <c r="D60" s="4" t="str">
        <f>IFERROR(VLOOKUP(A60,'Base Prueba'!A:D,4,),"NO REGISTRA")</f>
        <v>CAJERO PRINCIPAL</v>
      </c>
      <c r="E60" s="5" t="str">
        <f>IFERROR(VLOOKUP(A60,'Base Prueba'!A:E,5,),"NO REGISTRA")</f>
        <v>AREA FINANCIERA Y CONTABLE</v>
      </c>
    </row>
    <row r="61" spans="1:5" ht="15.75" x14ac:dyDescent="0.25">
      <c r="A61" s="10">
        <v>52764929</v>
      </c>
      <c r="B61" s="2">
        <v>46025.502981944446</v>
      </c>
      <c r="C61" s="3" t="str">
        <f>IFERROR(VLOOKUP(A61,'Base Prueba'!A:C,3,),"NO REGISTRA")</f>
        <v>GUERLY YOHANA DURAN RIVERA</v>
      </c>
      <c r="D61" s="4" t="str">
        <f>IFERROR(VLOOKUP(A61,'Base Prueba'!A:D,4,),"NO REGISTRA")</f>
        <v>LIDER DE VINCULACION COLEGIOS</v>
      </c>
      <c r="E61" s="5" t="str">
        <f>IFERROR(VLOOKUP(A61,'Base Prueba'!A:E,5,),"NO REGISTRA")</f>
        <v>OFICINA DE MERCADEO</v>
      </c>
    </row>
    <row r="62" spans="1:5" ht="15.75" x14ac:dyDescent="0.25">
      <c r="A62" s="10">
        <v>1000254831</v>
      </c>
      <c r="B62" s="2">
        <v>46025.503193750003</v>
      </c>
      <c r="C62" s="3" t="str">
        <f>IFERROR(VLOOKUP(A62,'Base Prueba'!A:C,3,),"NO REGISTRA")</f>
        <v>BRIDGET ROSSANA DIAZ BOGOTA</v>
      </c>
      <c r="D62" s="4" t="str">
        <f>IFERROR(VLOOKUP(A62,'Base Prueba'!A:D,4,),"NO REGISTRA")</f>
        <v>AUXILIAR DE DISEÑO</v>
      </c>
      <c r="E62" s="5" t="str">
        <f>IFERROR(VLOOKUP(A62,'Base Prueba'!A:E,5,),"NO REGISTRA")</f>
        <v>OFICINA DE MERCADEO</v>
      </c>
    </row>
    <row r="63" spans="1:5" ht="15.75" x14ac:dyDescent="0.25">
      <c r="A63" s="10">
        <v>1031802160</v>
      </c>
      <c r="B63" s="2">
        <v>46025.503236226854</v>
      </c>
      <c r="C63" s="3" t="str">
        <f>IFERROR(VLOOKUP(A63,'Base Prueba'!A:C,3,),"NO REGISTRA")</f>
        <v>LUISA MARIA MAHECHA SOTOMAYOR</v>
      </c>
      <c r="D63" s="4" t="str">
        <f>IFERROR(VLOOKUP(A63,'Base Prueba'!A:D,4,),"NO REGISTRA")</f>
        <v>APRENDIZ UNIVERSITARIO</v>
      </c>
      <c r="E63" s="5" t="str">
        <f>IFERROR(VLOOKUP(A63,'Base Prueba'!A:E,5,),"NO REGISTRA")</f>
        <v>OFICINA DE MERCADEO</v>
      </c>
    </row>
    <row r="64" spans="1:5" ht="15.75" x14ac:dyDescent="0.25">
      <c r="A64" s="10">
        <v>1019105003</v>
      </c>
      <c r="B64" s="2">
        <v>46025.508008333331</v>
      </c>
      <c r="C64" s="3" t="str">
        <f>IFERROR(VLOOKUP(A64,'Base Prueba'!A:C,3,),"NO REGISTRA")</f>
        <v>DAISY JULIETH GASPAR MORENO</v>
      </c>
      <c r="D64" s="4" t="str">
        <f>IFERROR(VLOOKUP(A64,'Base Prueba'!A:D,4,),"NO REGISTRA")</f>
        <v>PROMOTOR CALL CENTER</v>
      </c>
      <c r="E64" s="5" t="str">
        <f>IFERROR(VLOOKUP(A64,'Base Prueba'!A:E,5,),"NO REGISTRA")</f>
        <v>OFICINA DE MERCADEO</v>
      </c>
    </row>
    <row r="65" spans="1:5" ht="15.75" x14ac:dyDescent="0.25">
      <c r="A65" s="10">
        <v>1018414290</v>
      </c>
      <c r="B65" s="2">
        <v>46025.510970023148</v>
      </c>
      <c r="C65" s="3" t="str">
        <f>IFERROR(VLOOKUP(A65,'Base Prueba'!A:C,3,),"NO REGISTRA")</f>
        <v>AMANDA LISBETH RODRIGUEZ LEON</v>
      </c>
      <c r="D65" s="4" t="str">
        <f>IFERROR(VLOOKUP(A65,'Base Prueba'!A:D,4,),"NO REGISTRA")</f>
        <v>PROMOTOR CALL CENTER</v>
      </c>
      <c r="E65" s="5" t="str">
        <f>IFERROR(VLOOKUP(A65,'Base Prueba'!A:E,5,),"NO REGISTRA")</f>
        <v>OFICINA DE MERCADEO</v>
      </c>
    </row>
    <row r="66" spans="1:5" ht="15.75" x14ac:dyDescent="0.25">
      <c r="A66" s="10">
        <v>52472386</v>
      </c>
      <c r="B66" s="2">
        <v>46025.520895717593</v>
      </c>
      <c r="C66" s="3" t="str">
        <f>IFERROR(VLOOKUP(A66,'Base Prueba'!A:C,3,),"NO REGISTRA")</f>
        <v>ADRIANA MARCELA MORALES PARDO</v>
      </c>
      <c r="D66" s="4" t="str">
        <f>IFERROR(VLOOKUP(A66,'Base Prueba'!A:D,4,),"NO REGISTRA")</f>
        <v>PROMOTOR CALL CENTER</v>
      </c>
      <c r="E66" s="5" t="str">
        <f>IFERROR(VLOOKUP(A66,'Base Prueba'!A:E,5,),"NO REGISTRA")</f>
        <v>OFICINA DE MERCADEO</v>
      </c>
    </row>
    <row r="67" spans="1:5" ht="15.75" x14ac:dyDescent="0.25">
      <c r="A67" s="10">
        <v>28798349</v>
      </c>
      <c r="B67" s="2">
        <v>46025.520924884258</v>
      </c>
      <c r="C67" s="3" t="str">
        <f>IFERROR(VLOOKUP(A67,'Base Prueba'!A:C,3,),"NO REGISTRA")</f>
        <v>MARTHA ISABEL TOVAR WILLIAMS</v>
      </c>
      <c r="D67" s="4" t="str">
        <f>IFERROR(VLOOKUP(A67,'Base Prueba'!A:D,4,),"NO REGISTRA")</f>
        <v>PROMOTOR CALL CENTER</v>
      </c>
      <c r="E67" s="5" t="str">
        <f>IFERROR(VLOOKUP(A67,'Base Prueba'!A:E,5,),"NO REGISTRA")</f>
        <v>OFICINA DE MERCADEO</v>
      </c>
    </row>
    <row r="68" spans="1:5" ht="15.75" x14ac:dyDescent="0.25">
      <c r="A68" s="10">
        <v>1003690253</v>
      </c>
      <c r="B68" s="2">
        <v>46025.521259027781</v>
      </c>
      <c r="C68" s="3" t="str">
        <f>IFERROR(VLOOKUP(A68,'Base Prueba'!A:C,3,),"NO REGISTRA")</f>
        <v>MELISSA GONZALEZ PEDRAZA</v>
      </c>
      <c r="D68" s="4" t="str">
        <f>IFERROR(VLOOKUP(A68,'Base Prueba'!A:D,4,),"NO REGISTRA")</f>
        <v>LIDER DE JOVENES A LA E</v>
      </c>
      <c r="E68" s="5" t="str">
        <f>IFERROR(VLOOKUP(A68,'Base Prueba'!A:E,5,),"NO REGISTRA")</f>
        <v>DIRECCION DE BIENESTAR INSTITUCIONAL</v>
      </c>
    </row>
    <row r="69" spans="1:5" ht="15.75" x14ac:dyDescent="0.25">
      <c r="A69" s="10">
        <v>1023961952</v>
      </c>
      <c r="B69" s="2">
        <v>46025.521389120368</v>
      </c>
      <c r="C69" s="3" t="str">
        <f>IFERROR(VLOOKUP(A69,'Base Prueba'!A:C,3,),"NO REGISTRA")</f>
        <v>ALEJANDRO PINZON MERCHAN</v>
      </c>
      <c r="D69" s="4" t="str">
        <f>IFERROR(VLOOKUP(A69,'Base Prueba'!A:D,4,),"NO REGISTRA")</f>
        <v>PROMOTOR CALL CENTER</v>
      </c>
      <c r="E69" s="5" t="str">
        <f>IFERROR(VLOOKUP(A69,'Base Prueba'!A:E,5,),"NO REGISTRA")</f>
        <v>OFICINA DE MERCADEO</v>
      </c>
    </row>
    <row r="70" spans="1:5" ht="15.75" x14ac:dyDescent="0.25">
      <c r="A70" s="10">
        <v>52175674</v>
      </c>
      <c r="B70" s="2">
        <v>46025.526830902774</v>
      </c>
      <c r="C70" s="3" t="str">
        <f>IFERROR(VLOOKUP(A70,'Base Prueba'!A:C,3,),"NO REGISTRA")</f>
        <v>LUZ YANETH GOMEZ AREVALO</v>
      </c>
      <c r="D70" s="4" t="str">
        <f>IFERROR(VLOOKUP(A70,'Base Prueba'!A:D,4,),"NO REGISTRA")</f>
        <v>COORDINADORA DE ADMISIONES</v>
      </c>
      <c r="E70" s="5" t="str">
        <f>IFERROR(VLOOKUP(A70,'Base Prueba'!A:E,5,),"NO REGISTRA")</f>
        <v>OFICINA DE MERCADEO</v>
      </c>
    </row>
    <row r="71" spans="1:5" ht="15.75" x14ac:dyDescent="0.25">
      <c r="A71" s="10">
        <v>80234243</v>
      </c>
      <c r="B71" s="2">
        <v>46025.530158796297</v>
      </c>
      <c r="C71" s="3" t="str">
        <f>IFERROR(VLOOKUP(A71,'Base Prueba'!A:C,3,),"NO REGISTRA")</f>
        <v>ARGENIS MARTINEZ MARTINEZ</v>
      </c>
      <c r="D71" s="4" t="str">
        <f>IFERROR(VLOOKUP(A71,'Base Prueba'!A:D,4,),"NO REGISTRA")</f>
        <v>LIDER CALL CENTER</v>
      </c>
      <c r="E71" s="5" t="str">
        <f>IFERROR(VLOOKUP(A71,'Base Prueba'!A:E,5,),"NO REGISTRA")</f>
        <v>OFICINA DE MERCADEO</v>
      </c>
    </row>
    <row r="72" spans="1:5" ht="15.75" x14ac:dyDescent="0.25">
      <c r="A72" s="10">
        <v>1087121273</v>
      </c>
      <c r="B72" s="2">
        <v>46027.310861342594</v>
      </c>
      <c r="C72" s="3" t="str">
        <f>IFERROR(VLOOKUP(A72,'Base Prueba'!A:C,3,),"NO REGISTRA")</f>
        <v>MAYRA ALEJANDRA CASTILLO ARBOLEDA</v>
      </c>
      <c r="D72" s="4" t="str">
        <f>IFERROR(VLOOKUP(A72,'Base Prueba'!A:D,4,),"NO REGISTRA")</f>
        <v>APOYO INTEGRAL DE MERCADEO</v>
      </c>
      <c r="E72" s="5" t="str">
        <f>IFERROR(VLOOKUP(A72,'Base Prueba'!A:E,5,),"NO REGISTRA")</f>
        <v>CENTRO DE GESTION DOCUMENTAL</v>
      </c>
    </row>
    <row r="73" spans="1:5" ht="15.75" x14ac:dyDescent="0.25">
      <c r="A73" s="10">
        <v>1000354041</v>
      </c>
      <c r="B73" s="2">
        <v>46027.323531712966</v>
      </c>
      <c r="C73" s="3" t="str">
        <f>IFERROR(VLOOKUP(A73,'Base Prueba'!A:C,3,),"NO REGISTRA")</f>
        <v>ANGIE NATALIA BOHORQUEZ SANCHEZ</v>
      </c>
      <c r="D73" s="4" t="str">
        <f>IFERROR(VLOOKUP(A73,'Base Prueba'!A:D,4,),"NO REGISTRA")</f>
        <v>APRENDIZ UNIVERSITARIO</v>
      </c>
      <c r="E73" s="5" t="str">
        <f>IFERROR(VLOOKUP(A73,'Base Prueba'!A:E,5,),"NO REGISTRA")</f>
        <v>OFICINA DE PLANEACION Y GESTION DE LA CALIDAD</v>
      </c>
    </row>
    <row r="74" spans="1:5" ht="15.75" x14ac:dyDescent="0.25">
      <c r="A74" s="10">
        <v>1031802160</v>
      </c>
      <c r="B74" s="2">
        <v>46027.326294212966</v>
      </c>
      <c r="C74" s="3" t="str">
        <f>IFERROR(VLOOKUP(A74,'Base Prueba'!A:C,3,),"NO REGISTRA")</f>
        <v>LUISA MARIA MAHECHA SOTOMAYOR</v>
      </c>
      <c r="D74" s="4" t="str">
        <f>IFERROR(VLOOKUP(A74,'Base Prueba'!A:D,4,),"NO REGISTRA")</f>
        <v>APRENDIZ UNIVERSITARIO</v>
      </c>
      <c r="E74" s="5" t="str">
        <f>IFERROR(VLOOKUP(A74,'Base Prueba'!A:E,5,),"NO REGISTRA")</f>
        <v>OFICINA DE MERCADEO</v>
      </c>
    </row>
    <row r="75" spans="1:5" ht="15.75" x14ac:dyDescent="0.25">
      <c r="A75" s="10">
        <v>1193457976</v>
      </c>
      <c r="B75" s="2">
        <v>46027.327491435186</v>
      </c>
      <c r="C75" s="3" t="str">
        <f>IFERROR(VLOOKUP(A75,'Base Prueba'!A:C,3,),"NO REGISTRA")</f>
        <v>SEDENIS RIVAS ASPRILLA</v>
      </c>
      <c r="D75" s="4" t="str">
        <f>IFERROR(VLOOKUP(A75,'Base Prueba'!A:D,4,),"NO REGISTRA")</f>
        <v>APRENDIZ UNIVERSITARIO</v>
      </c>
      <c r="E75" s="5" t="str">
        <f>IFERROR(VLOOKUP(A75,'Base Prueba'!A:E,5,),"NO REGISTRA")</f>
        <v>DEPARTAMENTO DE GESTION HUMANA</v>
      </c>
    </row>
    <row r="76" spans="1:5" ht="15.75" x14ac:dyDescent="0.25">
      <c r="A76" s="10">
        <v>1032469638</v>
      </c>
      <c r="B76" s="2">
        <v>46027.33312048611</v>
      </c>
      <c r="C76" s="3" t="str">
        <f>IFERROR(VLOOKUP(A76,'Base Prueba'!A:C,3,),"NO REGISTRA")</f>
        <v>MAICOL JARBEY GUALTEROS CASTAÑEDA</v>
      </c>
      <c r="D76" s="4" t="str">
        <f>IFERROR(VLOOKUP(A76,'Base Prueba'!A:D,4,),"NO REGISTRA")</f>
        <v>COORDINADOR DEL SISTEMA INTERNO DE ASEGURAMIENTO DE LA CALIDAD - SIAC</v>
      </c>
      <c r="E76" s="5" t="str">
        <f>IFERROR(VLOOKUP(A76,'Base Prueba'!A:E,5,),"NO REGISTRA")</f>
        <v>OFICINA DE PLANEACION Y GESTION DE LA CALIDAD</v>
      </c>
    </row>
    <row r="77" spans="1:5" ht="15.75" x14ac:dyDescent="0.25">
      <c r="A77" s="10">
        <v>53932358</v>
      </c>
      <c r="B77" s="2">
        <v>46027.33493449074</v>
      </c>
      <c r="C77" s="3" t="str">
        <f>IFERROR(VLOOKUP(A77,'Base Prueba'!A:C,3,),"NO REGISTRA")</f>
        <v>DIANA MADELEYNE GAONA RODRIGUEZ</v>
      </c>
      <c r="D77" s="4" t="str">
        <f>IFERROR(VLOOKUP(A77,'Base Prueba'!A:D,4,),"NO REGISTRA")</f>
        <v>CONTADOR</v>
      </c>
      <c r="E77" s="5" t="str">
        <f>IFERROR(VLOOKUP(A77,'Base Prueba'!A:E,5,),"NO REGISTRA")</f>
        <v>AREA FINANCIERA Y CONTABLE</v>
      </c>
    </row>
    <row r="78" spans="1:5" ht="15.75" x14ac:dyDescent="0.25">
      <c r="A78" s="10">
        <v>1000257136</v>
      </c>
      <c r="B78" s="2">
        <v>46027.336370023149</v>
      </c>
      <c r="C78" s="3" t="str">
        <f>IFERROR(VLOOKUP(A78,'Base Prueba'!A:C,3,),"NO REGISTRA")</f>
        <v>FRANCI VALENTINA CANO PUENTES</v>
      </c>
      <c r="D78" s="4" t="str">
        <f>IFERROR(VLOOKUP(A78,'Base Prueba'!A:D,4,),"NO REGISTRA")</f>
        <v>AUXILIAR CONTABLE</v>
      </c>
      <c r="E78" s="5" t="str">
        <f>IFERROR(VLOOKUP(A78,'Base Prueba'!A:E,5,),"NO REGISTRA")</f>
        <v>AREA FINANCIERA Y CONTABLE</v>
      </c>
    </row>
    <row r="79" spans="1:5" ht="15.75" x14ac:dyDescent="0.25">
      <c r="A79" s="10">
        <v>1014308296</v>
      </c>
      <c r="B79" s="2">
        <v>46027.336413425925</v>
      </c>
      <c r="C79" s="3" t="str">
        <f>IFERROR(VLOOKUP(A79,'Base Prueba'!A:C,3,),"NO REGISTRA")</f>
        <v>DARLENE YULIANA MORENO CELEITA</v>
      </c>
      <c r="D79" s="4" t="str">
        <f>IFERROR(VLOOKUP(A79,'Base Prueba'!A:D,4,),"NO REGISTRA")</f>
        <v>CAJERO PRINCIPAL</v>
      </c>
      <c r="E79" s="5" t="str">
        <f>IFERROR(VLOOKUP(A79,'Base Prueba'!A:E,5,),"NO REGISTRA")</f>
        <v>AREA FINANCIERA Y CONTABLE</v>
      </c>
    </row>
    <row r="80" spans="1:5" ht="15.75" x14ac:dyDescent="0.25">
      <c r="A80" s="10">
        <v>1012357415</v>
      </c>
      <c r="B80" s="2">
        <v>46027.337140277778</v>
      </c>
      <c r="C80" s="3" t="str">
        <f>IFERROR(VLOOKUP(A80,'Base Prueba'!A:C,3,),"NO REGISTRA")</f>
        <v>CINDY LORENA BOHORQUEZ LEYVA</v>
      </c>
      <c r="D80" s="4" t="str">
        <f>IFERROR(VLOOKUP(A80,'Base Prueba'!A:D,4,),"NO REGISTRA")</f>
        <v>ANALISTA DE TESORERIA</v>
      </c>
      <c r="E80" s="5" t="str">
        <f>IFERROR(VLOOKUP(A80,'Base Prueba'!A:E,5,),"NO REGISTRA")</f>
        <v>AREA FINANCIERA Y CONTABLE</v>
      </c>
    </row>
    <row r="81" spans="1:5" ht="15.75" x14ac:dyDescent="0.25">
      <c r="A81" s="10">
        <v>1014977624</v>
      </c>
      <c r="B81" s="2">
        <v>46027.337731597225</v>
      </c>
      <c r="C81" s="3" t="str">
        <f>IFERROR(VLOOKUP(A81,'Base Prueba'!A:C,3,),"NO REGISTRA")</f>
        <v>NICCOLE VALENTINA HERNANDEZ MALAVER</v>
      </c>
      <c r="D81" s="4" t="str">
        <f>IFERROR(VLOOKUP(A81,'Base Prueba'!A:D,4,),"NO REGISTRA")</f>
        <v>APRENDIZ UNIVERSITARIO</v>
      </c>
      <c r="E81" s="5" t="str">
        <f>IFERROR(VLOOKUP(A81,'Base Prueba'!A:E,5,),"NO REGISTRA")</f>
        <v>AREA FINANCIERA Y CONTABLE</v>
      </c>
    </row>
    <row r="82" spans="1:5" ht="15.75" x14ac:dyDescent="0.25">
      <c r="A82" s="10">
        <v>1022996882</v>
      </c>
      <c r="B82" s="2">
        <v>46027.338773148149</v>
      </c>
      <c r="C82" s="3" t="str">
        <f>IFERROR(VLOOKUP(A82,'Base Prueba'!A:C,3,),"NO REGISTRA")</f>
        <v>NANCY BRIGITH ALDANA GUEVARA</v>
      </c>
      <c r="D82" s="4" t="str">
        <f>IFERROR(VLOOKUP(A82,'Base Prueba'!A:D,4,),"NO REGISTRA")</f>
        <v>COORDINADORA DE GESTIÓN HUMANA</v>
      </c>
      <c r="E82" s="5" t="str">
        <f>IFERROR(VLOOKUP(A82,'Base Prueba'!A:E,5,),"NO REGISTRA")</f>
        <v>DEPARTAMENTO DE GESTION HUMANA</v>
      </c>
    </row>
    <row r="83" spans="1:5" ht="15.75" x14ac:dyDescent="0.25">
      <c r="A83" s="10">
        <v>1000593372</v>
      </c>
      <c r="B83" s="2">
        <v>46027.343949305556</v>
      </c>
      <c r="C83" s="3" t="str">
        <f>IFERROR(VLOOKUP(A83,'Base Prueba'!A:C,3,),"NO REGISTRA")</f>
        <v>LAURA SOFIA CHAPARRO LOPEZ</v>
      </c>
      <c r="D83" s="4" t="str">
        <f>IFERROR(VLOOKUP(A83,'Base Prueba'!A:D,4,),"NO REGISTRA")</f>
        <v>AUXILIAR JURIDICO</v>
      </c>
      <c r="E83" s="5" t="str">
        <f>IFERROR(VLOOKUP(A83,'Base Prueba'!A:E,5,),"NO REGISTRA")</f>
        <v>SECRETARIA GENERAL</v>
      </c>
    </row>
    <row r="84" spans="1:5" ht="15.75" x14ac:dyDescent="0.25">
      <c r="A84" s="10">
        <v>1000457706</v>
      </c>
      <c r="B84" s="2">
        <v>46027.344359953706</v>
      </c>
      <c r="C84" s="3" t="str">
        <f>IFERROR(VLOOKUP(A84,'Base Prueba'!A:C,3,),"NO REGISTRA")</f>
        <v>CRISTIAN DANILO ARROYO SANABRIA</v>
      </c>
      <c r="D84" s="4" t="str">
        <f>IFERROR(VLOOKUP(A84,'Base Prueba'!A:D,4,),"NO REGISTRA")</f>
        <v>AUXILIAR CONTABLE</v>
      </c>
      <c r="E84" s="5" t="str">
        <f>IFERROR(VLOOKUP(A84,'Base Prueba'!A:E,5,),"NO REGISTRA")</f>
        <v>AREA FINANCIERA Y CONTABLE</v>
      </c>
    </row>
    <row r="85" spans="1:5" ht="15.75" x14ac:dyDescent="0.25">
      <c r="A85" s="10">
        <v>1013098645</v>
      </c>
      <c r="B85" s="2">
        <v>46027.344445254632</v>
      </c>
      <c r="C85" s="3" t="str">
        <f>IFERROR(VLOOKUP(A85,'Base Prueba'!A:C,3,),"NO REGISTRA")</f>
        <v>CATHERINE LUCIA PENAGOS RIVERA</v>
      </c>
      <c r="D85" s="4" t="str">
        <f>IFERROR(VLOOKUP(A85,'Base Prueba'!A:D,4,),"NO REGISTRA")</f>
        <v>LIDER DE REGISTRO Y CONTROL ACADEMICO</v>
      </c>
      <c r="E85" s="5" t="str">
        <f>IFERROR(VLOOKUP(A85,'Base Prueba'!A:E,5,),"NO REGISTRA")</f>
        <v>REGISTRO Y CONTROL ACADEMICO</v>
      </c>
    </row>
    <row r="86" spans="1:5" ht="15.75" x14ac:dyDescent="0.25">
      <c r="A86" s="10">
        <v>1000604979</v>
      </c>
      <c r="B86" s="2">
        <v>46027.345724189814</v>
      </c>
      <c r="C86" s="3" t="str">
        <f>IFERROR(VLOOKUP(A86,'Base Prueba'!A:C,3,),"NO REGISTRA")</f>
        <v>JULIETH TATIANA PARDO PINTO</v>
      </c>
      <c r="D86" s="4" t="str">
        <f>IFERROR(VLOOKUP(A86,'Base Prueba'!A:D,4,),"NO REGISTRA")</f>
        <v>AUXILIAR JURIDICO</v>
      </c>
      <c r="E86" s="5" t="str">
        <f>IFERROR(VLOOKUP(A86,'Base Prueba'!A:E,5,),"NO REGISTRA")</f>
        <v>SECRETARIA GENERAL</v>
      </c>
    </row>
    <row r="87" spans="1:5" ht="15.75" x14ac:dyDescent="0.25">
      <c r="A87" s="10">
        <v>1193265768</v>
      </c>
      <c r="B87" s="2">
        <v>46027.358633333337</v>
      </c>
      <c r="C87" s="3" t="str">
        <f>IFERROR(VLOOKUP(A87,'Base Prueba'!A:C,3,),"NO REGISTRA")</f>
        <v>SANTIAGO OSORIO CAMACHO</v>
      </c>
      <c r="D87" s="4" t="str">
        <f>IFERROR(VLOOKUP(A87,'Base Prueba'!A:D,4,),"NO REGISTRA")</f>
        <v>ANALISTA DE PAUTA</v>
      </c>
      <c r="E87" s="5" t="str">
        <f>IFERROR(VLOOKUP(A87,'Base Prueba'!A:E,5,),"NO REGISTRA")</f>
        <v>OFICINA DE MERCADEO</v>
      </c>
    </row>
    <row r="88" spans="1:5" ht="15.75" x14ac:dyDescent="0.25">
      <c r="A88" s="10">
        <v>1000254831</v>
      </c>
      <c r="B88" s="2">
        <v>46027.358872337965</v>
      </c>
      <c r="C88" s="3" t="str">
        <f>IFERROR(VLOOKUP(A88,'Base Prueba'!A:C,3,),"NO REGISTRA")</f>
        <v>BRIDGET ROSSANA DIAZ BOGOTA</v>
      </c>
      <c r="D88" s="4" t="str">
        <f>IFERROR(VLOOKUP(A88,'Base Prueba'!A:D,4,),"NO REGISTRA")</f>
        <v>AUXILIAR DE DISEÑO</v>
      </c>
      <c r="E88" s="5" t="str">
        <f>IFERROR(VLOOKUP(A88,'Base Prueba'!A:E,5,),"NO REGISTRA")</f>
        <v>OFICINA DE MERCADEO</v>
      </c>
    </row>
    <row r="89" spans="1:5" ht="15.75" x14ac:dyDescent="0.25">
      <c r="A89" s="10">
        <v>1032407386</v>
      </c>
      <c r="B89" s="2">
        <v>46027.359850578701</v>
      </c>
      <c r="C89" s="3" t="str">
        <f>IFERROR(VLOOKUP(A89,'Base Prueba'!A:C,3,),"NO REGISTRA")</f>
        <v>GINA PAOLA BAEZ GALVIS</v>
      </c>
      <c r="D89" s="4" t="str">
        <f>IFERROR(VLOOKUP(A89,'Base Prueba'!A:D,4,),"NO REGISTRA")</f>
        <v>PROMOTOR CALL CENTER</v>
      </c>
      <c r="E89" s="5" t="str">
        <f>IFERROR(VLOOKUP(A89,'Base Prueba'!A:E,5,),"NO REGISTRA")</f>
        <v>OFICINA DE MERCADEO</v>
      </c>
    </row>
    <row r="90" spans="1:5" ht="15.75" x14ac:dyDescent="0.25">
      <c r="A90" s="10">
        <v>52764929</v>
      </c>
      <c r="B90" s="2">
        <v>46027.367552777781</v>
      </c>
      <c r="C90" s="3" t="str">
        <f>IFERROR(VLOOKUP(A90,'Base Prueba'!A:C,3,),"NO REGISTRA")</f>
        <v>GUERLY YOHANA DURAN RIVERA</v>
      </c>
      <c r="D90" s="4" t="str">
        <f>IFERROR(VLOOKUP(A90,'Base Prueba'!A:D,4,),"NO REGISTRA")</f>
        <v>LIDER DE VINCULACION COLEGIOS</v>
      </c>
      <c r="E90" s="5" t="str">
        <f>IFERROR(VLOOKUP(A90,'Base Prueba'!A:E,5,),"NO REGISTRA")</f>
        <v>OFICINA DE MERCADEO</v>
      </c>
    </row>
    <row r="91" spans="1:5" ht="15.75" x14ac:dyDescent="0.25">
      <c r="A91" s="10">
        <v>1018413529</v>
      </c>
      <c r="B91" s="2">
        <v>46027.368635069448</v>
      </c>
      <c r="C91" s="3" t="str">
        <f>IFERROR(VLOOKUP(A91,'Base Prueba'!A:C,3,),"NO REGISTRA")</f>
        <v>FRANCY STELLA CHARRY MORENO</v>
      </c>
      <c r="D91" s="4" t="str">
        <f>IFERROR(VLOOKUP(A91,'Base Prueba'!A:D,4,),"NO REGISTRA")</f>
        <v>PROMOTOR COMERCIAL DEL CEA</v>
      </c>
      <c r="E91" s="5" t="str">
        <f>IFERROR(VLOOKUP(A91,'Base Prueba'!A:E,5,),"NO REGISTRA")</f>
        <v>OFICINA DE MERCADEO</v>
      </c>
    </row>
    <row r="92" spans="1:5" ht="15.75" x14ac:dyDescent="0.25">
      <c r="A92" s="10">
        <v>52472386</v>
      </c>
      <c r="B92" s="2">
        <v>46027.370987037037</v>
      </c>
      <c r="C92" s="3" t="str">
        <f>IFERROR(VLOOKUP(A92,'Base Prueba'!A:C,3,),"NO REGISTRA")</f>
        <v>ADRIANA MARCELA MORALES PARDO</v>
      </c>
      <c r="D92" s="4" t="str">
        <f>IFERROR(VLOOKUP(A92,'Base Prueba'!A:D,4,),"NO REGISTRA")</f>
        <v>PROMOTOR CALL CENTER</v>
      </c>
      <c r="E92" s="5" t="str">
        <f>IFERROR(VLOOKUP(A92,'Base Prueba'!A:E,5,),"NO REGISTRA")</f>
        <v>OFICINA DE MERCADEO</v>
      </c>
    </row>
    <row r="93" spans="1:5" ht="15.75" x14ac:dyDescent="0.25">
      <c r="A93" s="10">
        <v>1023961952</v>
      </c>
      <c r="B93" s="2">
        <v>46027.37117395833</v>
      </c>
      <c r="C93" s="3" t="str">
        <f>IFERROR(VLOOKUP(A93,'Base Prueba'!A:C,3,),"NO REGISTRA")</f>
        <v>ALEJANDRO PINZON MERCHAN</v>
      </c>
      <c r="D93" s="4" t="str">
        <f>IFERROR(VLOOKUP(A93,'Base Prueba'!A:D,4,),"NO REGISTRA")</f>
        <v>PROMOTOR CALL CENTER</v>
      </c>
      <c r="E93" s="5" t="str">
        <f>IFERROR(VLOOKUP(A93,'Base Prueba'!A:E,5,),"NO REGISTRA")</f>
        <v>OFICINA DE MERCADEO</v>
      </c>
    </row>
    <row r="94" spans="1:5" ht="15.75" x14ac:dyDescent="0.25">
      <c r="A94" s="10">
        <v>1019105003</v>
      </c>
      <c r="B94" s="2">
        <v>46027.371903125</v>
      </c>
      <c r="C94" s="3" t="str">
        <f>IFERROR(VLOOKUP(A94,'Base Prueba'!A:C,3,),"NO REGISTRA")</f>
        <v>DAISY JULIETH GASPAR MORENO</v>
      </c>
      <c r="D94" s="4" t="str">
        <f>IFERROR(VLOOKUP(A94,'Base Prueba'!A:D,4,),"NO REGISTRA")</f>
        <v>PROMOTOR CALL CENTER</v>
      </c>
      <c r="E94" s="5" t="str">
        <f>IFERROR(VLOOKUP(A94,'Base Prueba'!A:E,5,),"NO REGISTRA")</f>
        <v>OFICINA DE MERCADEO</v>
      </c>
    </row>
    <row r="95" spans="1:5" ht="15.75" x14ac:dyDescent="0.25">
      <c r="A95" s="10">
        <v>1000046533</v>
      </c>
      <c r="B95" s="2">
        <v>46027.372537615738</v>
      </c>
      <c r="C95" s="3" t="str">
        <f>IFERROR(VLOOKUP(A95,'Base Prueba'!A:C,3,),"NO REGISTRA")</f>
        <v>ERIKA JULIETH VALDERRAMA SANCHEZ</v>
      </c>
      <c r="D95" s="4" t="str">
        <f>IFERROR(VLOOKUP(A95,'Base Prueba'!A:D,4,),"NO REGISTRA")</f>
        <v>PROMOTOR CALL CENTER</v>
      </c>
      <c r="E95" s="5" t="str">
        <f>IFERROR(VLOOKUP(A95,'Base Prueba'!A:E,5,),"NO REGISTRA")</f>
        <v>OFICINA DE MERCADEO</v>
      </c>
    </row>
    <row r="96" spans="1:5" ht="15.75" x14ac:dyDescent="0.25">
      <c r="A96" s="10">
        <v>28798349</v>
      </c>
      <c r="B96" s="2">
        <v>46027.373530787037</v>
      </c>
      <c r="C96" s="3" t="str">
        <f>IFERROR(VLOOKUP(A96,'Base Prueba'!A:C,3,),"NO REGISTRA")</f>
        <v>MARTHA ISABEL TOVAR WILLIAMS</v>
      </c>
      <c r="D96" s="4" t="str">
        <f>IFERROR(VLOOKUP(A96,'Base Prueba'!A:D,4,),"NO REGISTRA")</f>
        <v>PROMOTOR CALL CENTER</v>
      </c>
      <c r="E96" s="5" t="str">
        <f>IFERROR(VLOOKUP(A96,'Base Prueba'!A:E,5,),"NO REGISTRA")</f>
        <v>OFICINA DE MERCADEO</v>
      </c>
    </row>
    <row r="97" spans="1:5" ht="15.75" x14ac:dyDescent="0.25">
      <c r="A97" s="10">
        <v>1014266838</v>
      </c>
      <c r="B97" s="2">
        <v>46027.374145486108</v>
      </c>
      <c r="C97" s="3" t="str">
        <f>IFERROR(VLOOKUP(A97,'Base Prueba'!A:C,3,),"NO REGISTRA")</f>
        <v>JENNIFER ASTRID ROMERO HURTADO</v>
      </c>
      <c r="D97" s="4" t="str">
        <f>IFERROR(VLOOKUP(A97,'Base Prueba'!A:D,4,),"NO REGISTRA")</f>
        <v>LIDER DE RECAUDO</v>
      </c>
      <c r="E97" s="5" t="str">
        <f>IFERROR(VLOOKUP(A97,'Base Prueba'!A:E,5,),"NO REGISTRA")</f>
        <v>AREA FINANCIERA Y CONTABLE</v>
      </c>
    </row>
    <row r="98" spans="1:5" ht="15.75" x14ac:dyDescent="0.25">
      <c r="A98" s="10">
        <v>53089882</v>
      </c>
      <c r="B98" s="2">
        <v>46027.376461342596</v>
      </c>
      <c r="C98" s="3" t="str">
        <f>IFERROR(VLOOKUP(A98,'Base Prueba'!A:C,3,),"NO REGISTRA")</f>
        <v>MARIA JOHANA ESCAMILLA MARTINEZ</v>
      </c>
      <c r="D98" s="4" t="str">
        <f>IFERROR(VLOOKUP(A98,'Base Prueba'!A:D,4,),"NO REGISTRA")</f>
        <v>PROMOTOR DE INFORMACIÓN</v>
      </c>
      <c r="E98" s="5" t="str">
        <f>IFERROR(VLOOKUP(A98,'Base Prueba'!A:E,5,),"NO REGISTRA")</f>
        <v>OFICINA DE MERCADEO</v>
      </c>
    </row>
    <row r="99" spans="1:5" ht="15.75" x14ac:dyDescent="0.25">
      <c r="A99" s="10">
        <v>1003690253</v>
      </c>
      <c r="B99" s="2">
        <v>46027.376478587961</v>
      </c>
      <c r="C99" s="3" t="str">
        <f>IFERROR(VLOOKUP(A99,'Base Prueba'!A:C,3,),"NO REGISTRA")</f>
        <v>MELISSA GONZALEZ PEDRAZA</v>
      </c>
      <c r="D99" s="4" t="str">
        <f>IFERROR(VLOOKUP(A99,'Base Prueba'!A:D,4,),"NO REGISTRA")</f>
        <v>LIDER DE JOVENES A LA E</v>
      </c>
      <c r="E99" s="5" t="str">
        <f>IFERROR(VLOOKUP(A99,'Base Prueba'!A:E,5,),"NO REGISTRA")</f>
        <v>DIRECCION DE BIENESTAR INSTITUCIONAL</v>
      </c>
    </row>
    <row r="100" spans="1:5" ht="15.75" x14ac:dyDescent="0.25">
      <c r="A100" s="10">
        <v>1014196857</v>
      </c>
      <c r="B100" s="2">
        <v>46027.376975462961</v>
      </c>
      <c r="C100" s="3" t="str">
        <f>IFERROR(VLOOKUP(A100,'Base Prueba'!A:C,3,),"NO REGISTRA")</f>
        <v>CARLOS ANDRES JIMENEZ PARDO</v>
      </c>
      <c r="D100" s="4" t="str">
        <f>IFERROR(VLOOKUP(A100,'Base Prueba'!A:D,4,),"NO REGISTRA")</f>
        <v>COORDINADOR DE MARKETING DIGITAL</v>
      </c>
      <c r="E100" s="5" t="str">
        <f>IFERROR(VLOOKUP(A100,'Base Prueba'!A:E,5,),"NO REGISTRA")</f>
        <v>OFICINA DE MERCADEO</v>
      </c>
    </row>
    <row r="101" spans="1:5" ht="15.75" x14ac:dyDescent="0.25">
      <c r="A101" s="10">
        <v>1000365751</v>
      </c>
      <c r="B101" s="2">
        <v>46027.397653009262</v>
      </c>
      <c r="C101" s="3" t="str">
        <f>IFERROR(VLOOKUP(A101,'Base Prueba'!A:C,3,),"NO REGISTRA")</f>
        <v>JHOAN NICOLAS ESCAMILLA MANJARRES</v>
      </c>
      <c r="D101" s="4" t="str">
        <f>IFERROR(VLOOKUP(A101,'Base Prueba'!A:D,4,),"NO REGISTRA")</f>
        <v>APRENDIZ UNIVERSITARIO</v>
      </c>
      <c r="E101" s="5" t="str">
        <f>IFERROR(VLOOKUP(A101,'Base Prueba'!A:E,5,),"NO REGISTRA")</f>
        <v>OFICINA DE MERCADEO</v>
      </c>
    </row>
    <row r="102" spans="1:5" ht="15.75" x14ac:dyDescent="0.25">
      <c r="A102" s="10">
        <v>52443092</v>
      </c>
      <c r="B102" s="2">
        <v>46027.690030324076</v>
      </c>
      <c r="C102" s="3" t="str">
        <f>IFERROR(VLOOKUP(A102,'Base Prueba'!A:C,3,),"NO REGISTRA")</f>
        <v>LUZ MYRIAM SAAVEDRA CONTRERAS</v>
      </c>
      <c r="D102" s="4" t="str">
        <f>IFERROR(VLOOKUP(A102,'Base Prueba'!A:D,4,),"NO REGISTRA")</f>
        <v>AUXILIAR DE SERVICIOS</v>
      </c>
      <c r="E102" s="5" t="str">
        <f>IFERROR(VLOOKUP(A102,'Base Prueba'!A:E,5,),"NO REGISTRA")</f>
        <v>LOGISTICA Y SERVICIOS GENERALES</v>
      </c>
    </row>
    <row r="103" spans="1:5" ht="15.75" x14ac:dyDescent="0.25">
      <c r="A103" s="10">
        <v>1031802160</v>
      </c>
      <c r="B103" s="2">
        <v>46027.707388657407</v>
      </c>
      <c r="C103" s="3" t="str">
        <f>IFERROR(VLOOKUP(A103,'Base Prueba'!A:C,3,),"NO REGISTRA")</f>
        <v>LUISA MARIA MAHECHA SOTOMAYOR</v>
      </c>
      <c r="D103" s="4" t="str">
        <f>IFERROR(VLOOKUP(A103,'Base Prueba'!A:D,4,),"NO REGISTRA")</f>
        <v>APRENDIZ UNIVERSITARIO</v>
      </c>
      <c r="E103" s="5" t="str">
        <f>IFERROR(VLOOKUP(A103,'Base Prueba'!A:E,5,),"NO REGISTRA")</f>
        <v>OFICINA DE MERCADEO</v>
      </c>
    </row>
    <row r="104" spans="1:5" ht="15.75" x14ac:dyDescent="0.25">
      <c r="A104" s="10">
        <v>1000365751</v>
      </c>
      <c r="B104" s="2">
        <v>46027.746897916666</v>
      </c>
      <c r="C104" s="3" t="str">
        <f>IFERROR(VLOOKUP(A104,'Base Prueba'!A:C,3,),"NO REGISTRA")</f>
        <v>JHOAN NICOLAS ESCAMILLA MANJARRES</v>
      </c>
      <c r="D104" s="4" t="str">
        <f>IFERROR(VLOOKUP(A104,'Base Prueba'!A:D,4,),"NO REGISTRA")</f>
        <v>APRENDIZ UNIVERSITARIO</v>
      </c>
      <c r="E104" s="5" t="str">
        <f>IFERROR(VLOOKUP(A104,'Base Prueba'!A:E,5,),"NO REGISTRA")</f>
        <v>OFICINA DE MERCADEO</v>
      </c>
    </row>
    <row r="105" spans="1:5" ht="15.75" x14ac:dyDescent="0.25">
      <c r="A105" s="10">
        <v>1000354041</v>
      </c>
      <c r="B105" s="2">
        <v>46027.749298842595</v>
      </c>
      <c r="C105" s="3" t="str">
        <f>IFERROR(VLOOKUP(A105,'Base Prueba'!A:C,3,),"NO REGISTRA")</f>
        <v>ANGIE NATALIA BOHORQUEZ SANCHEZ</v>
      </c>
      <c r="D105" s="4" t="str">
        <f>IFERROR(VLOOKUP(A105,'Base Prueba'!A:D,4,),"NO REGISTRA")</f>
        <v>APRENDIZ UNIVERSITARIO</v>
      </c>
      <c r="E105" s="5" t="str">
        <f>IFERROR(VLOOKUP(A105,'Base Prueba'!A:E,5,),"NO REGISTRA")</f>
        <v>OFICINA DE PLANEACION Y GESTION DE LA CALIDAD</v>
      </c>
    </row>
    <row r="106" spans="1:5" ht="15.75" x14ac:dyDescent="0.25">
      <c r="A106" s="10">
        <v>1087121273</v>
      </c>
      <c r="B106" s="2">
        <v>46027.750255208332</v>
      </c>
      <c r="C106" s="3" t="str">
        <f>IFERROR(VLOOKUP(A106,'Base Prueba'!A:C,3,),"NO REGISTRA")</f>
        <v>MAYRA ALEJANDRA CASTILLO ARBOLEDA</v>
      </c>
      <c r="D106" s="4" t="str">
        <f>IFERROR(VLOOKUP(A106,'Base Prueba'!A:D,4,),"NO REGISTRA")</f>
        <v>APOYO INTEGRAL DE MERCADEO</v>
      </c>
      <c r="E106" s="5" t="str">
        <f>IFERROR(VLOOKUP(A106,'Base Prueba'!A:E,5,),"NO REGISTRA")</f>
        <v>CENTRO DE GESTION DOCUMENTAL</v>
      </c>
    </row>
    <row r="107" spans="1:5" ht="15.75" x14ac:dyDescent="0.25">
      <c r="A107" s="10">
        <v>1193457976</v>
      </c>
      <c r="B107" s="2">
        <v>46027.750869097224</v>
      </c>
      <c r="C107" s="3" t="str">
        <f>IFERROR(VLOOKUP(A107,'Base Prueba'!A:C,3,),"NO REGISTRA")</f>
        <v>SEDENIS RIVAS ASPRILLA</v>
      </c>
      <c r="D107" s="4" t="str">
        <f>IFERROR(VLOOKUP(A107,'Base Prueba'!A:D,4,),"NO REGISTRA")</f>
        <v>APRENDIZ UNIVERSITARIO</v>
      </c>
      <c r="E107" s="5" t="str">
        <f>IFERROR(VLOOKUP(A107,'Base Prueba'!A:E,5,),"NO REGISTRA")</f>
        <v>DEPARTAMENTO DE GESTION HUMANA</v>
      </c>
    </row>
    <row r="108" spans="1:5" ht="15.75" x14ac:dyDescent="0.25">
      <c r="A108" s="10">
        <v>1024505434</v>
      </c>
      <c r="B108" s="2">
        <v>46027.751536226853</v>
      </c>
      <c r="C108" s="3" t="str">
        <f>IFERROR(VLOOKUP(A108,'Base Prueba'!A:C,3,),"NO REGISTRA")</f>
        <v>CRISTIAN ALBERTO MELO TORRES</v>
      </c>
      <c r="D108" s="4" t="str">
        <f>IFERROR(VLOOKUP(A108,'Base Prueba'!A:D,4,),"NO REGISTRA")</f>
        <v>COORDINADOR DE INFRAESTRUCTURA</v>
      </c>
      <c r="E108" s="5" t="str">
        <f>IFERROR(VLOOKUP(A108,'Base Prueba'!A:E,5,),"NO REGISTRA")</f>
        <v>VICERRECTORIA ADMINISTRATIVA Y FINANCIERA</v>
      </c>
    </row>
    <row r="109" spans="1:5" ht="15.75" x14ac:dyDescent="0.25">
      <c r="A109" s="10">
        <v>1013098645</v>
      </c>
      <c r="B109" s="2">
        <v>46027.751924537035</v>
      </c>
      <c r="C109" s="3" t="str">
        <f>IFERROR(VLOOKUP(A109,'Base Prueba'!A:C,3,),"NO REGISTRA")</f>
        <v>CATHERINE LUCIA PENAGOS RIVERA</v>
      </c>
      <c r="D109" s="4" t="str">
        <f>IFERROR(VLOOKUP(A109,'Base Prueba'!A:D,4,),"NO REGISTRA")</f>
        <v>LIDER DE REGISTRO Y CONTROL ACADEMICO</v>
      </c>
      <c r="E109" s="5" t="str">
        <f>IFERROR(VLOOKUP(A109,'Base Prueba'!A:E,5,),"NO REGISTRA")</f>
        <v>REGISTRO Y CONTROL ACADEMICO</v>
      </c>
    </row>
    <row r="110" spans="1:5" ht="15.75" x14ac:dyDescent="0.25">
      <c r="A110" s="10">
        <v>1014308296</v>
      </c>
      <c r="B110" s="2">
        <v>46027.753072685184</v>
      </c>
      <c r="C110" s="3" t="str">
        <f>IFERROR(VLOOKUP(A110,'Base Prueba'!A:C,3,),"NO REGISTRA")</f>
        <v>DARLENE YULIANA MORENO CELEITA</v>
      </c>
      <c r="D110" s="4" t="str">
        <f>IFERROR(VLOOKUP(A110,'Base Prueba'!A:D,4,),"NO REGISTRA")</f>
        <v>CAJERO PRINCIPAL</v>
      </c>
      <c r="E110" s="5" t="str">
        <f>IFERROR(VLOOKUP(A110,'Base Prueba'!A:E,5,),"NO REGISTRA")</f>
        <v>AREA FINANCIERA Y CONTABLE</v>
      </c>
    </row>
    <row r="111" spans="1:5" ht="15.75" x14ac:dyDescent="0.25">
      <c r="A111" s="10">
        <v>1019105003</v>
      </c>
      <c r="B111" s="2">
        <v>46027.75317974537</v>
      </c>
      <c r="C111" s="3" t="str">
        <f>IFERROR(VLOOKUP(A111,'Base Prueba'!A:C,3,),"NO REGISTRA")</f>
        <v>DAISY JULIETH GASPAR MORENO</v>
      </c>
      <c r="D111" s="4" t="str">
        <f>IFERROR(VLOOKUP(A111,'Base Prueba'!A:D,4,),"NO REGISTRA")</f>
        <v>PROMOTOR CALL CENTER</v>
      </c>
      <c r="E111" s="5" t="str">
        <f>IFERROR(VLOOKUP(A111,'Base Prueba'!A:E,5,),"NO REGISTRA")</f>
        <v>OFICINA DE MERCADEO</v>
      </c>
    </row>
    <row r="112" spans="1:5" ht="15.75" x14ac:dyDescent="0.25">
      <c r="A112" s="10">
        <v>1022996882</v>
      </c>
      <c r="B112" s="2">
        <v>46027.753755787038</v>
      </c>
      <c r="C112" s="3" t="str">
        <f>IFERROR(VLOOKUP(A112,'Base Prueba'!A:C,3,),"NO REGISTRA")</f>
        <v>NANCY BRIGITH ALDANA GUEVARA</v>
      </c>
      <c r="D112" s="4" t="str">
        <f>IFERROR(VLOOKUP(A112,'Base Prueba'!A:D,4,),"NO REGISTRA")</f>
        <v>COORDINADORA DE GESTIÓN HUMANA</v>
      </c>
      <c r="E112" s="5" t="str">
        <f>IFERROR(VLOOKUP(A112,'Base Prueba'!A:E,5,),"NO REGISTRA")</f>
        <v>DEPARTAMENTO DE GESTION HUMANA</v>
      </c>
    </row>
    <row r="113" spans="1:5" ht="15.75" x14ac:dyDescent="0.25">
      <c r="A113" s="10">
        <v>1026599257</v>
      </c>
      <c r="B113" s="2">
        <v>46027.755866203704</v>
      </c>
      <c r="C113" s="3" t="str">
        <f>IFERROR(VLOOKUP(A113,'Base Prueba'!A:C,3,),"NO REGISTRA")</f>
        <v>YESENIA PAOLA PINEDA HURTADO</v>
      </c>
      <c r="D113" s="4" t="str">
        <f>IFERROR(VLOOKUP(A113,'Base Prueba'!A:D,4,),"NO REGISTRA")</f>
        <v>LIDER DE COMPRAS</v>
      </c>
      <c r="E113" s="5" t="str">
        <f>IFERROR(VLOOKUP(A113,'Base Prueba'!A:E,5,),"NO REGISTRA")</f>
        <v>AREA ADMINISTRATIVA</v>
      </c>
    </row>
    <row r="114" spans="1:5" ht="15.75" x14ac:dyDescent="0.25">
      <c r="A114" s="10">
        <v>52474489</v>
      </c>
      <c r="B114" s="2">
        <v>46027.757253819444</v>
      </c>
      <c r="C114" s="3" t="str">
        <f>IFERROR(VLOOKUP(A114,'Base Prueba'!A:C,3,),"NO REGISTRA")</f>
        <v>ADRIANA JIMENA SOTO BOCANEGRA</v>
      </c>
      <c r="D114" s="4" t="str">
        <f>IFERROR(VLOOKUP(A114,'Base Prueba'!A:D,4,),"NO REGISTRA")</f>
        <v>COORDINADOR DE LA OFICINA DE REGISTRO Y CONTROL</v>
      </c>
      <c r="E114" s="5" t="str">
        <f>IFERROR(VLOOKUP(A114,'Base Prueba'!A:E,5,),"NO REGISTRA")</f>
        <v>REGISTRO Y CONTROL ACADEMICO</v>
      </c>
    </row>
    <row r="115" spans="1:5" ht="15.75" x14ac:dyDescent="0.25">
      <c r="A115" s="10">
        <v>1012357415</v>
      </c>
      <c r="B115" s="2">
        <v>46027.75736585648</v>
      </c>
      <c r="C115" s="3" t="str">
        <f>IFERROR(VLOOKUP(A115,'Base Prueba'!A:C,3,),"NO REGISTRA")</f>
        <v>CINDY LORENA BOHORQUEZ LEYVA</v>
      </c>
      <c r="D115" s="4" t="str">
        <f>IFERROR(VLOOKUP(A115,'Base Prueba'!A:D,4,),"NO REGISTRA")</f>
        <v>ANALISTA DE TESORERIA</v>
      </c>
      <c r="E115" s="5" t="str">
        <f>IFERROR(VLOOKUP(A115,'Base Prueba'!A:E,5,),"NO REGISTRA")</f>
        <v>AREA FINANCIERA Y CONTABLE</v>
      </c>
    </row>
    <row r="116" spans="1:5" ht="15.75" x14ac:dyDescent="0.25">
      <c r="A116" s="10">
        <v>1032469638</v>
      </c>
      <c r="B116" s="2">
        <v>46027.757910532404</v>
      </c>
      <c r="C116" s="3" t="str">
        <f>IFERROR(VLOOKUP(A116,'Base Prueba'!A:C,3,),"NO REGISTRA")</f>
        <v>MAICOL JARBEY GUALTEROS CASTAÑEDA</v>
      </c>
      <c r="D116" s="4" t="str">
        <f>IFERROR(VLOOKUP(A116,'Base Prueba'!A:D,4,),"NO REGISTRA")</f>
        <v>COORDINADOR DEL SISTEMA INTERNO DE ASEGURAMIENTO DE LA CALIDAD - SIAC</v>
      </c>
      <c r="E116" s="5" t="str">
        <f>IFERROR(VLOOKUP(A116,'Base Prueba'!A:E,5,),"NO REGISTRA")</f>
        <v>OFICINA DE PLANEACION Y GESTION DE LA CALIDAD</v>
      </c>
    </row>
    <row r="117" spans="1:5" ht="15.75" x14ac:dyDescent="0.25">
      <c r="A117" s="10">
        <v>1000257136</v>
      </c>
      <c r="B117" s="2">
        <v>46027.758153703704</v>
      </c>
      <c r="C117" s="3" t="str">
        <f>IFERROR(VLOOKUP(A117,'Base Prueba'!A:C,3,),"NO REGISTRA")</f>
        <v>FRANCI VALENTINA CANO PUENTES</v>
      </c>
      <c r="D117" s="4" t="str">
        <f>IFERROR(VLOOKUP(A117,'Base Prueba'!A:D,4,),"NO REGISTRA")</f>
        <v>AUXILIAR CONTABLE</v>
      </c>
      <c r="E117" s="5" t="str">
        <f>IFERROR(VLOOKUP(A117,'Base Prueba'!A:E,5,),"NO REGISTRA")</f>
        <v>AREA FINANCIERA Y CONTABLE</v>
      </c>
    </row>
    <row r="118" spans="1:5" ht="15.75" x14ac:dyDescent="0.25">
      <c r="A118" s="10">
        <v>1000604979</v>
      </c>
      <c r="B118" s="2">
        <v>46027.758423032406</v>
      </c>
      <c r="C118" s="3" t="str">
        <f>IFERROR(VLOOKUP(A118,'Base Prueba'!A:C,3,),"NO REGISTRA")</f>
        <v>JULIETH TATIANA PARDO PINTO</v>
      </c>
      <c r="D118" s="4" t="str">
        <f>IFERROR(VLOOKUP(A118,'Base Prueba'!A:D,4,),"NO REGISTRA")</f>
        <v>AUXILIAR JURIDICO</v>
      </c>
      <c r="E118" s="5" t="str">
        <f>IFERROR(VLOOKUP(A118,'Base Prueba'!A:E,5,),"NO REGISTRA")</f>
        <v>SECRETARIA GENERAL</v>
      </c>
    </row>
    <row r="119" spans="1:5" ht="15.75" x14ac:dyDescent="0.25">
      <c r="A119" s="10">
        <v>1000593372</v>
      </c>
      <c r="B119" s="2">
        <v>46027.758590277779</v>
      </c>
      <c r="C119" s="3" t="str">
        <f>IFERROR(VLOOKUP(A119,'Base Prueba'!A:C,3,),"NO REGISTRA")</f>
        <v>LAURA SOFIA CHAPARRO LOPEZ</v>
      </c>
      <c r="D119" s="4" t="str">
        <f>IFERROR(VLOOKUP(A119,'Base Prueba'!A:D,4,),"NO REGISTRA")</f>
        <v>AUXILIAR JURIDICO</v>
      </c>
      <c r="E119" s="5" t="str">
        <f>IFERROR(VLOOKUP(A119,'Base Prueba'!A:E,5,),"NO REGISTRA")</f>
        <v>SECRETARIA GENERAL</v>
      </c>
    </row>
    <row r="120" spans="1:5" ht="15.75" x14ac:dyDescent="0.25">
      <c r="A120" s="10">
        <v>52472386</v>
      </c>
      <c r="B120" s="2">
        <v>46027.758992708332</v>
      </c>
      <c r="C120" s="3" t="str">
        <f>IFERROR(VLOOKUP(A120,'Base Prueba'!A:C,3,),"NO REGISTRA")</f>
        <v>ADRIANA MARCELA MORALES PARDO</v>
      </c>
      <c r="D120" s="4" t="str">
        <f>IFERROR(VLOOKUP(A120,'Base Prueba'!A:D,4,),"NO REGISTRA")</f>
        <v>PROMOTOR CALL CENTER</v>
      </c>
      <c r="E120" s="5" t="str">
        <f>IFERROR(VLOOKUP(A120,'Base Prueba'!A:E,5,),"NO REGISTRA")</f>
        <v>OFICINA DE MERCADEO</v>
      </c>
    </row>
    <row r="121" spans="1:5" ht="15.75" x14ac:dyDescent="0.25">
      <c r="A121" s="10">
        <v>80238161</v>
      </c>
      <c r="B121" s="2">
        <v>46027.759505787035</v>
      </c>
      <c r="C121" s="3" t="str">
        <f>IFERROR(VLOOKUP(A121,'Base Prueba'!A:C,3,),"NO REGISTRA")</f>
        <v>GERMAN CARRANZA ESPITIA</v>
      </c>
      <c r="D121" s="4" t="str">
        <f>IFERROR(VLOOKUP(A121,'Base Prueba'!A:D,4,),"NO REGISTRA")</f>
        <v>TESORERO</v>
      </c>
      <c r="E121" s="5" t="str">
        <f>IFERROR(VLOOKUP(A121,'Base Prueba'!A:E,5,),"NO REGISTRA")</f>
        <v>AREA FINANCIERA Y CONTABLE</v>
      </c>
    </row>
    <row r="122" spans="1:5" ht="15.75" x14ac:dyDescent="0.25">
      <c r="A122" s="10">
        <v>1023961952</v>
      </c>
      <c r="B122" s="2">
        <v>46027.759675231478</v>
      </c>
      <c r="C122" s="3" t="str">
        <f>IFERROR(VLOOKUP(A122,'Base Prueba'!A:C,3,),"NO REGISTRA")</f>
        <v>ALEJANDRO PINZON MERCHAN</v>
      </c>
      <c r="D122" s="4" t="str">
        <f>IFERROR(VLOOKUP(A122,'Base Prueba'!A:D,4,),"NO REGISTRA")</f>
        <v>PROMOTOR CALL CENTER</v>
      </c>
      <c r="E122" s="5" t="str">
        <f>IFERROR(VLOOKUP(A122,'Base Prueba'!A:E,5,),"NO REGISTRA")</f>
        <v>OFICINA DE MERCADEO</v>
      </c>
    </row>
    <row r="123" spans="1:5" ht="15.75" x14ac:dyDescent="0.25">
      <c r="A123" s="10">
        <v>1003690253</v>
      </c>
      <c r="B123" s="2">
        <v>46027.759898495373</v>
      </c>
      <c r="C123" s="3" t="str">
        <f>IFERROR(VLOOKUP(A123,'Base Prueba'!A:C,3,),"NO REGISTRA")</f>
        <v>MELISSA GONZALEZ PEDRAZA</v>
      </c>
      <c r="D123" s="4" t="str">
        <f>IFERROR(VLOOKUP(A123,'Base Prueba'!A:D,4,),"NO REGISTRA")</f>
        <v>LIDER DE JOVENES A LA E</v>
      </c>
      <c r="E123" s="5" t="str">
        <f>IFERROR(VLOOKUP(A123,'Base Prueba'!A:E,5,),"NO REGISTRA")</f>
        <v>DIRECCION DE BIENESTAR INSTITUCIONAL</v>
      </c>
    </row>
    <row r="124" spans="1:5" ht="15.75" x14ac:dyDescent="0.25">
      <c r="A124" s="10">
        <v>1000254831</v>
      </c>
      <c r="B124" s="2">
        <v>46027.760135416669</v>
      </c>
      <c r="C124" s="3" t="str">
        <f>IFERROR(VLOOKUP(A124,'Base Prueba'!A:C,3,),"NO REGISTRA")</f>
        <v>BRIDGET ROSSANA DIAZ BOGOTA</v>
      </c>
      <c r="D124" s="4" t="str">
        <f>IFERROR(VLOOKUP(A124,'Base Prueba'!A:D,4,),"NO REGISTRA")</f>
        <v>AUXILIAR DE DISEÑO</v>
      </c>
      <c r="E124" s="5" t="str">
        <f>IFERROR(VLOOKUP(A124,'Base Prueba'!A:E,5,),"NO REGISTRA")</f>
        <v>OFICINA DE MERCADEO</v>
      </c>
    </row>
    <row r="125" spans="1:5" ht="15.75" x14ac:dyDescent="0.25">
      <c r="A125" s="10">
        <v>1014211708</v>
      </c>
      <c r="B125" s="2">
        <v>46027.760191550929</v>
      </c>
      <c r="C125" s="3" t="str">
        <f>IFERROR(VLOOKUP(A125,'Base Prueba'!A:C,3,),"NO REGISTRA")</f>
        <v>JUAN MANUEL MERCADO FUENTES</v>
      </c>
      <c r="D125" s="4" t="str">
        <f>IFERROR(VLOOKUP(A125,'Base Prueba'!A:D,4,),"NO REGISTRA")</f>
        <v>COORDINADOR DE DISEÑO E IMAGEN INSTITUCIONAL</v>
      </c>
      <c r="E125" s="5" t="str">
        <f>IFERROR(VLOOKUP(A125,'Base Prueba'!A:E,5,),"NO REGISTRA")</f>
        <v>OFICINA DE MERCADEO</v>
      </c>
    </row>
    <row r="126" spans="1:5" ht="15.75" x14ac:dyDescent="0.25">
      <c r="A126" s="10">
        <v>53089882</v>
      </c>
      <c r="B126" s="2">
        <v>46027.762056597225</v>
      </c>
      <c r="C126" s="3" t="str">
        <f>IFERROR(VLOOKUP(A126,'Base Prueba'!A:C,3,),"NO REGISTRA")</f>
        <v>MARIA JOHANA ESCAMILLA MARTINEZ</v>
      </c>
      <c r="D126" s="4" t="str">
        <f>IFERROR(VLOOKUP(A126,'Base Prueba'!A:D,4,),"NO REGISTRA")</f>
        <v>PROMOTOR DE INFORMACIÓN</v>
      </c>
      <c r="E126" s="5" t="str">
        <f>IFERROR(VLOOKUP(A126,'Base Prueba'!A:E,5,),"NO REGISTRA")</f>
        <v>OFICINA DE MERCADEO</v>
      </c>
    </row>
    <row r="127" spans="1:5" ht="15.75" x14ac:dyDescent="0.25">
      <c r="A127" s="10">
        <v>1014266838</v>
      </c>
      <c r="B127" s="2">
        <v>46027.762846874997</v>
      </c>
      <c r="C127" s="3" t="str">
        <f>IFERROR(VLOOKUP(A127,'Base Prueba'!A:C,3,),"NO REGISTRA")</f>
        <v>JENNIFER ASTRID ROMERO HURTADO</v>
      </c>
      <c r="D127" s="4" t="str">
        <f>IFERROR(VLOOKUP(A127,'Base Prueba'!A:D,4,),"NO REGISTRA")</f>
        <v>LIDER DE RECAUDO</v>
      </c>
      <c r="E127" s="5" t="str">
        <f>IFERROR(VLOOKUP(A127,'Base Prueba'!A:E,5,),"NO REGISTRA")</f>
        <v>AREA FINANCIERA Y CONTABLE</v>
      </c>
    </row>
    <row r="128" spans="1:5" ht="15.75" x14ac:dyDescent="0.25">
      <c r="A128" s="10">
        <v>1193265768</v>
      </c>
      <c r="B128" s="2">
        <v>46027.76460451389</v>
      </c>
      <c r="C128" s="3" t="str">
        <f>IFERROR(VLOOKUP(A128,'Base Prueba'!A:C,3,),"NO REGISTRA")</f>
        <v>SANTIAGO OSORIO CAMACHO</v>
      </c>
      <c r="D128" s="4" t="str">
        <f>IFERROR(VLOOKUP(A128,'Base Prueba'!A:D,4,),"NO REGISTRA")</f>
        <v>ANALISTA DE PAUTA</v>
      </c>
      <c r="E128" s="5" t="str">
        <f>IFERROR(VLOOKUP(A128,'Base Prueba'!A:E,5,),"NO REGISTRA")</f>
        <v>OFICINA DE MERCADEO</v>
      </c>
    </row>
    <row r="129" spans="1:5" ht="15.75" x14ac:dyDescent="0.25">
      <c r="A129" s="10">
        <v>1014196857</v>
      </c>
      <c r="B129" s="2">
        <v>46027.764696412036</v>
      </c>
      <c r="C129" s="3" t="str">
        <f>IFERROR(VLOOKUP(A129,'Base Prueba'!A:C,3,),"NO REGISTRA")</f>
        <v>CARLOS ANDRES JIMENEZ PARDO</v>
      </c>
      <c r="D129" s="4" t="str">
        <f>IFERROR(VLOOKUP(A129,'Base Prueba'!A:D,4,),"NO REGISTRA")</f>
        <v>COORDINADOR DE MARKETING DIGITAL</v>
      </c>
      <c r="E129" s="5" t="str">
        <f>IFERROR(VLOOKUP(A129,'Base Prueba'!A:E,5,),"NO REGISTRA")</f>
        <v>OFICINA DE MERCADEO</v>
      </c>
    </row>
    <row r="130" spans="1:5" ht="15.75" x14ac:dyDescent="0.25">
      <c r="A130" s="10">
        <v>1000457706</v>
      </c>
      <c r="B130" s="2">
        <v>46027.766613657404</v>
      </c>
      <c r="C130" s="3" t="str">
        <f>IFERROR(VLOOKUP(A130,'Base Prueba'!A:C,3,),"NO REGISTRA")</f>
        <v>CRISTIAN DANILO ARROYO SANABRIA</v>
      </c>
      <c r="D130" s="4" t="str">
        <f>IFERROR(VLOOKUP(A130,'Base Prueba'!A:D,4,),"NO REGISTRA")</f>
        <v>AUXILIAR CONTABLE</v>
      </c>
      <c r="E130" s="5" t="str">
        <f>IFERROR(VLOOKUP(A130,'Base Prueba'!A:E,5,),"NO REGISTRA")</f>
        <v>AREA FINANCIERA Y CONTABLE</v>
      </c>
    </row>
    <row r="131" spans="1:5" ht="15.75" x14ac:dyDescent="0.25">
      <c r="A131" s="10">
        <v>1014977624</v>
      </c>
      <c r="B131" s="2">
        <v>46027.766670138888</v>
      </c>
      <c r="C131" s="3" t="str">
        <f>IFERROR(VLOOKUP(A131,'Base Prueba'!A:C,3,),"NO REGISTRA")</f>
        <v>NICCOLE VALENTINA HERNANDEZ MALAVER</v>
      </c>
      <c r="D131" s="4" t="str">
        <f>IFERROR(VLOOKUP(A131,'Base Prueba'!A:D,4,),"NO REGISTRA")</f>
        <v>APRENDIZ UNIVERSITARIO</v>
      </c>
      <c r="E131" s="5" t="str">
        <f>IFERROR(VLOOKUP(A131,'Base Prueba'!A:E,5,),"NO REGISTRA")</f>
        <v>AREA FINANCIERA Y CONTABLE</v>
      </c>
    </row>
    <row r="132" spans="1:5" ht="15.75" x14ac:dyDescent="0.25">
      <c r="A132" s="10">
        <v>1032407386</v>
      </c>
      <c r="B132" s="2">
        <v>46027.767036805555</v>
      </c>
      <c r="C132" s="3" t="str">
        <f>IFERROR(VLOOKUP(A132,'Base Prueba'!A:C,3,),"NO REGISTRA")</f>
        <v>GINA PAOLA BAEZ GALVIS</v>
      </c>
      <c r="D132" s="4" t="str">
        <f>IFERROR(VLOOKUP(A132,'Base Prueba'!A:D,4,),"NO REGISTRA")</f>
        <v>PROMOTOR CALL CENTER</v>
      </c>
      <c r="E132" s="5" t="str">
        <f>IFERROR(VLOOKUP(A132,'Base Prueba'!A:E,5,),"NO REGISTRA")</f>
        <v>OFICINA DE MERCADEO</v>
      </c>
    </row>
    <row r="133" spans="1:5" ht="15.75" x14ac:dyDescent="0.25">
      <c r="A133" s="10">
        <v>28798349</v>
      </c>
      <c r="B133" s="2">
        <v>46027.767075925927</v>
      </c>
      <c r="C133" s="3" t="str">
        <f>IFERROR(VLOOKUP(A133,'Base Prueba'!A:C,3,),"NO REGISTRA")</f>
        <v>MARTHA ISABEL TOVAR WILLIAMS</v>
      </c>
      <c r="D133" s="4" t="str">
        <f>IFERROR(VLOOKUP(A133,'Base Prueba'!A:D,4,),"NO REGISTRA")</f>
        <v>PROMOTOR CALL CENTER</v>
      </c>
      <c r="E133" s="5" t="str">
        <f>IFERROR(VLOOKUP(A133,'Base Prueba'!A:E,5,),"NO REGISTRA")</f>
        <v>OFICINA DE MERCADEO</v>
      </c>
    </row>
    <row r="134" spans="1:5" ht="15.75" x14ac:dyDescent="0.25">
      <c r="A134" s="10">
        <v>53932358</v>
      </c>
      <c r="B134" s="2">
        <v>46027.771596296298</v>
      </c>
      <c r="C134" s="3" t="str">
        <f>IFERROR(VLOOKUP(A134,'Base Prueba'!A:C,3,),"NO REGISTRA")</f>
        <v>DIANA MADELEYNE GAONA RODRIGUEZ</v>
      </c>
      <c r="D134" s="4" t="str">
        <f>IFERROR(VLOOKUP(A134,'Base Prueba'!A:D,4,),"NO REGISTRA")</f>
        <v>CONTADOR</v>
      </c>
      <c r="E134" s="5" t="str">
        <f>IFERROR(VLOOKUP(A134,'Base Prueba'!A:E,5,),"NO REGISTRA")</f>
        <v>AREA FINANCIERA Y CONTABLE</v>
      </c>
    </row>
    <row r="135" spans="1:5" ht="15.75" x14ac:dyDescent="0.25">
      <c r="A135" s="10">
        <v>52175674</v>
      </c>
      <c r="B135" s="2">
        <v>46027.832163078703</v>
      </c>
      <c r="C135" s="3" t="str">
        <f>IFERROR(VLOOKUP(A135,'Base Prueba'!A:C,3,),"NO REGISTRA")</f>
        <v>LUZ YANETH GOMEZ AREVALO</v>
      </c>
      <c r="D135" s="4" t="str">
        <f>IFERROR(VLOOKUP(A135,'Base Prueba'!A:D,4,),"NO REGISTRA")</f>
        <v>COORDINADORA DE ADMISIONES</v>
      </c>
      <c r="E135" s="5" t="str">
        <f>IFERROR(VLOOKUP(A135,'Base Prueba'!A:E,5,),"NO REGISTRA")</f>
        <v>OFICINA DE MERCADEO</v>
      </c>
    </row>
    <row r="136" spans="1:5" ht="15.75" x14ac:dyDescent="0.25">
      <c r="A136" s="10">
        <v>1000354041</v>
      </c>
      <c r="B136" s="2">
        <v>46028.290080902778</v>
      </c>
      <c r="C136" s="3" t="str">
        <f>IFERROR(VLOOKUP(A136,'Base Prueba'!A:C,3,),"NO REGISTRA")</f>
        <v>ANGIE NATALIA BOHORQUEZ SANCHEZ</v>
      </c>
      <c r="D136" s="4" t="str">
        <f>IFERROR(VLOOKUP(A136,'Base Prueba'!A:D,4,),"NO REGISTRA")</f>
        <v>APRENDIZ UNIVERSITARIO</v>
      </c>
      <c r="E136" s="5" t="str">
        <f>IFERROR(VLOOKUP(A136,'Base Prueba'!A:E,5,),"NO REGISTRA")</f>
        <v>OFICINA DE PLANEACION Y GESTION DE LA CALIDAD</v>
      </c>
    </row>
    <row r="137" spans="1:5" ht="15.75" x14ac:dyDescent="0.25">
      <c r="A137" s="10">
        <v>1087121273</v>
      </c>
      <c r="B137" s="2">
        <v>46028.304960879628</v>
      </c>
      <c r="C137" s="3" t="str">
        <f>IFERROR(VLOOKUP(A137,'Base Prueba'!A:C,3,),"NO REGISTRA")</f>
        <v>MAYRA ALEJANDRA CASTILLO ARBOLEDA</v>
      </c>
      <c r="D137" s="4" t="str">
        <f>IFERROR(VLOOKUP(A137,'Base Prueba'!A:D,4,),"NO REGISTRA")</f>
        <v>APOYO INTEGRAL DE MERCADEO</v>
      </c>
      <c r="E137" s="5" t="str">
        <f>IFERROR(VLOOKUP(A137,'Base Prueba'!A:E,5,),"NO REGISTRA")</f>
        <v>CENTRO DE GESTION DOCUMENTAL</v>
      </c>
    </row>
    <row r="138" spans="1:5" ht="15.75" x14ac:dyDescent="0.25">
      <c r="A138" s="10">
        <v>1032469638</v>
      </c>
      <c r="B138" s="2">
        <v>46028.321426967595</v>
      </c>
      <c r="C138" s="3" t="str">
        <f>IFERROR(VLOOKUP(A138,'Base Prueba'!A:C,3,),"NO REGISTRA")</f>
        <v>MAICOL JARBEY GUALTEROS CASTAÑEDA</v>
      </c>
      <c r="D138" s="4" t="str">
        <f>IFERROR(VLOOKUP(A138,'Base Prueba'!A:D,4,),"NO REGISTRA")</f>
        <v>COORDINADOR DEL SISTEMA INTERNO DE ASEGURAMIENTO DE LA CALIDAD - SIAC</v>
      </c>
      <c r="E138" s="5" t="str">
        <f>IFERROR(VLOOKUP(A138,'Base Prueba'!A:E,5,),"NO REGISTRA")</f>
        <v>OFICINA DE PLANEACION Y GESTION DE LA CALIDAD</v>
      </c>
    </row>
    <row r="139" spans="1:5" ht="15.75" x14ac:dyDescent="0.25">
      <c r="A139" s="10">
        <v>1049644802</v>
      </c>
      <c r="B139" s="2">
        <v>46028.323353356478</v>
      </c>
      <c r="C139" s="3" t="str">
        <f>IFERROR(VLOOKUP(A139,'Base Prueba'!A:C,3,),"NO REGISTRA")</f>
        <v>DANIELA ALEXANDRA CIPAMOCHA BOSIGA</v>
      </c>
      <c r="D139" s="4" t="str">
        <f>IFERROR(VLOOKUP(A139,'Base Prueba'!A:D,4,),"NO REGISTRA")</f>
        <v>LIDER DE DATOS Y SERVICIOS</v>
      </c>
      <c r="E139" s="5" t="str">
        <f>IFERROR(VLOOKUP(A139,'Base Prueba'!A:E,5,),"NO REGISTRA")</f>
        <v>OFICINA DE PLANEACION Y GESTION DE LA CALIDAD</v>
      </c>
    </row>
    <row r="140" spans="1:5" ht="15.75" x14ac:dyDescent="0.25">
      <c r="A140" s="10">
        <v>1014308296</v>
      </c>
      <c r="B140" s="2">
        <v>46028.325806828703</v>
      </c>
      <c r="C140" s="3" t="str">
        <f>IFERROR(VLOOKUP(A140,'Base Prueba'!A:C,3,),"NO REGISTRA")</f>
        <v>DARLENE YULIANA MORENO CELEITA</v>
      </c>
      <c r="D140" s="4" t="str">
        <f>IFERROR(VLOOKUP(A140,'Base Prueba'!A:D,4,),"NO REGISTRA")</f>
        <v>CAJERO PRINCIPAL</v>
      </c>
      <c r="E140" s="5" t="str">
        <f>IFERROR(VLOOKUP(A140,'Base Prueba'!A:E,5,),"NO REGISTRA")</f>
        <v>AREA FINANCIERA Y CONTABLE</v>
      </c>
    </row>
    <row r="141" spans="1:5" ht="15.75" x14ac:dyDescent="0.25">
      <c r="A141" s="10">
        <v>1031802160</v>
      </c>
      <c r="B141" s="2">
        <v>46028.328385300927</v>
      </c>
      <c r="C141" s="3" t="str">
        <f>IFERROR(VLOOKUP(A141,'Base Prueba'!A:C,3,),"NO REGISTRA")</f>
        <v>LUISA MARIA MAHECHA SOTOMAYOR</v>
      </c>
      <c r="D141" s="4" t="str">
        <f>IFERROR(VLOOKUP(A141,'Base Prueba'!A:D,4,),"NO REGISTRA")</f>
        <v>APRENDIZ UNIVERSITARIO</v>
      </c>
      <c r="E141" s="5" t="str">
        <f>IFERROR(VLOOKUP(A141,'Base Prueba'!A:E,5,),"NO REGISTRA")</f>
        <v>OFICINA DE MERCADEO</v>
      </c>
    </row>
    <row r="142" spans="1:5" ht="15.75" x14ac:dyDescent="0.25">
      <c r="A142" s="10">
        <v>1014977624</v>
      </c>
      <c r="B142" s="2">
        <v>46028.331667824074</v>
      </c>
      <c r="C142" s="3" t="str">
        <f>IFERROR(VLOOKUP(A142,'Base Prueba'!A:C,3,),"NO REGISTRA")</f>
        <v>NICCOLE VALENTINA HERNANDEZ MALAVER</v>
      </c>
      <c r="D142" s="4" t="str">
        <f>IFERROR(VLOOKUP(A142,'Base Prueba'!A:D,4,),"NO REGISTRA")</f>
        <v>APRENDIZ UNIVERSITARIO</v>
      </c>
      <c r="E142" s="5" t="str">
        <f>IFERROR(VLOOKUP(A142,'Base Prueba'!A:E,5,),"NO REGISTRA")</f>
        <v>AREA FINANCIERA Y CONTABLE</v>
      </c>
    </row>
    <row r="143" spans="1:5" ht="15.75" x14ac:dyDescent="0.25">
      <c r="A143" s="10">
        <v>1193457976</v>
      </c>
      <c r="B143" s="2">
        <v>46028.334961805558</v>
      </c>
      <c r="C143" s="3" t="str">
        <f>IFERROR(VLOOKUP(A143,'Base Prueba'!A:C,3,),"NO REGISTRA")</f>
        <v>SEDENIS RIVAS ASPRILLA</v>
      </c>
      <c r="D143" s="4" t="str">
        <f>IFERROR(VLOOKUP(A143,'Base Prueba'!A:D,4,),"NO REGISTRA")</f>
        <v>APRENDIZ UNIVERSITARIO</v>
      </c>
      <c r="E143" s="5" t="str">
        <f>IFERROR(VLOOKUP(A143,'Base Prueba'!A:E,5,),"NO REGISTRA")</f>
        <v>DEPARTAMENTO DE GESTION HUMANA</v>
      </c>
    </row>
    <row r="144" spans="1:5" ht="15.75" x14ac:dyDescent="0.25">
      <c r="A144" s="10">
        <v>1013098645</v>
      </c>
      <c r="B144" s="2">
        <v>46028.336986111113</v>
      </c>
      <c r="C144" s="3" t="str">
        <f>IFERROR(VLOOKUP(A144,'Base Prueba'!A:C,3,),"NO REGISTRA")</f>
        <v>CATHERINE LUCIA PENAGOS RIVERA</v>
      </c>
      <c r="D144" s="4" t="str">
        <f>IFERROR(VLOOKUP(A144,'Base Prueba'!A:D,4,),"NO REGISTRA")</f>
        <v>LIDER DE REGISTRO Y CONTROL ACADEMICO</v>
      </c>
      <c r="E144" s="5" t="str">
        <f>IFERROR(VLOOKUP(A144,'Base Prueba'!A:E,5,),"NO REGISTRA")</f>
        <v>REGISTRO Y CONTROL ACADEMICO</v>
      </c>
    </row>
    <row r="145" spans="1:5" ht="15.75" x14ac:dyDescent="0.25">
      <c r="A145" s="10">
        <v>1000257136</v>
      </c>
      <c r="B145" s="2">
        <v>46028.339391550922</v>
      </c>
      <c r="C145" s="3" t="str">
        <f>IFERROR(VLOOKUP(A145,'Base Prueba'!A:C,3,),"NO REGISTRA")</f>
        <v>FRANCI VALENTINA CANO PUENTES</v>
      </c>
      <c r="D145" s="4" t="str">
        <f>IFERROR(VLOOKUP(A145,'Base Prueba'!A:D,4,),"NO REGISTRA")</f>
        <v>AUXILIAR CONTABLE</v>
      </c>
      <c r="E145" s="5" t="str">
        <f>IFERROR(VLOOKUP(A145,'Base Prueba'!A:E,5,),"NO REGISTRA")</f>
        <v>AREA FINANCIERA Y CONTABLE</v>
      </c>
    </row>
    <row r="146" spans="1:5" ht="15.75" x14ac:dyDescent="0.25">
      <c r="A146" s="10">
        <v>1000457706</v>
      </c>
      <c r="B146" s="2">
        <v>46028.341623958331</v>
      </c>
      <c r="C146" s="3" t="str">
        <f>IFERROR(VLOOKUP(A146,'Base Prueba'!A:C,3,),"NO REGISTRA")</f>
        <v>CRISTIAN DANILO ARROYO SANABRIA</v>
      </c>
      <c r="D146" s="4" t="str">
        <f>IFERROR(VLOOKUP(A146,'Base Prueba'!A:D,4,),"NO REGISTRA")</f>
        <v>AUXILIAR CONTABLE</v>
      </c>
      <c r="E146" s="5" t="str">
        <f>IFERROR(VLOOKUP(A146,'Base Prueba'!A:E,5,),"NO REGISTRA")</f>
        <v>AREA FINANCIERA Y CONTABLE</v>
      </c>
    </row>
    <row r="147" spans="1:5" ht="15.75" x14ac:dyDescent="0.25">
      <c r="A147" s="10">
        <v>1012357415</v>
      </c>
      <c r="B147" s="2">
        <v>46028.343369907408</v>
      </c>
      <c r="C147" s="3" t="str">
        <f>IFERROR(VLOOKUP(A147,'Base Prueba'!A:C,3,),"NO REGISTRA")</f>
        <v>CINDY LORENA BOHORQUEZ LEYVA</v>
      </c>
      <c r="D147" s="4" t="str">
        <f>IFERROR(VLOOKUP(A147,'Base Prueba'!A:D,4,),"NO REGISTRA")</f>
        <v>ANALISTA DE TESORERIA</v>
      </c>
      <c r="E147" s="5" t="str">
        <f>IFERROR(VLOOKUP(A147,'Base Prueba'!A:E,5,),"NO REGISTRA")</f>
        <v>AREA FINANCIERA Y CONTABLE</v>
      </c>
    </row>
    <row r="148" spans="1:5" ht="15.75" x14ac:dyDescent="0.25">
      <c r="A148" s="10">
        <v>1022996882</v>
      </c>
      <c r="B148" s="2">
        <v>46028.344906597224</v>
      </c>
      <c r="C148" s="3" t="str">
        <f>IFERROR(VLOOKUP(A148,'Base Prueba'!A:C,3,),"NO REGISTRA")</f>
        <v>NANCY BRIGITH ALDANA GUEVARA</v>
      </c>
      <c r="D148" s="4" t="str">
        <f>IFERROR(VLOOKUP(A148,'Base Prueba'!A:D,4,),"NO REGISTRA")</f>
        <v>COORDINADORA DE GESTIÓN HUMANA</v>
      </c>
      <c r="E148" s="5" t="str">
        <f>IFERROR(VLOOKUP(A148,'Base Prueba'!A:E,5,),"NO REGISTRA")</f>
        <v>DEPARTAMENTO DE GESTION HUMANA</v>
      </c>
    </row>
    <row r="149" spans="1:5" ht="15.75" x14ac:dyDescent="0.25">
      <c r="A149" s="10">
        <v>1026599257</v>
      </c>
      <c r="B149" s="2">
        <v>46028.345157638891</v>
      </c>
      <c r="C149" s="3" t="str">
        <f>IFERROR(VLOOKUP(A149,'Base Prueba'!A:C,3,),"NO REGISTRA")</f>
        <v>YESENIA PAOLA PINEDA HURTADO</v>
      </c>
      <c r="D149" s="4" t="str">
        <f>IFERROR(VLOOKUP(A149,'Base Prueba'!A:D,4,),"NO REGISTRA")</f>
        <v>LIDER DE COMPRAS</v>
      </c>
      <c r="E149" s="5" t="str">
        <f>IFERROR(VLOOKUP(A149,'Base Prueba'!A:E,5,),"NO REGISTRA")</f>
        <v>AREA ADMINISTRATIVA</v>
      </c>
    </row>
    <row r="150" spans="1:5" ht="15.75" x14ac:dyDescent="0.25">
      <c r="A150" s="10">
        <v>1000593372</v>
      </c>
      <c r="B150" s="2">
        <v>46028.34602222222</v>
      </c>
      <c r="C150" s="3" t="str">
        <f>IFERROR(VLOOKUP(A150,'Base Prueba'!A:C,3,),"NO REGISTRA")</f>
        <v>LAURA SOFIA CHAPARRO LOPEZ</v>
      </c>
      <c r="D150" s="4" t="str">
        <f>IFERROR(VLOOKUP(A150,'Base Prueba'!A:D,4,),"NO REGISTRA")</f>
        <v>AUXILIAR JURIDICO</v>
      </c>
      <c r="E150" s="5" t="str">
        <f>IFERROR(VLOOKUP(A150,'Base Prueba'!A:E,5,),"NO REGISTRA")</f>
        <v>SECRETARIA GENERAL</v>
      </c>
    </row>
    <row r="151" spans="1:5" ht="15.75" x14ac:dyDescent="0.25">
      <c r="A151" s="10">
        <v>1000604979</v>
      </c>
      <c r="B151" s="2">
        <v>46028.35106134259</v>
      </c>
      <c r="C151" s="3" t="str">
        <f>IFERROR(VLOOKUP(A151,'Base Prueba'!A:C,3,),"NO REGISTRA")</f>
        <v>JULIETH TATIANA PARDO PINTO</v>
      </c>
      <c r="D151" s="4" t="str">
        <f>IFERROR(VLOOKUP(A151,'Base Prueba'!A:D,4,),"NO REGISTRA")</f>
        <v>AUXILIAR JURIDICO</v>
      </c>
      <c r="E151" s="5" t="str">
        <f>IFERROR(VLOOKUP(A151,'Base Prueba'!A:E,5,),"NO REGISTRA")</f>
        <v>SECRETARIA GENERAL</v>
      </c>
    </row>
    <row r="152" spans="1:5" ht="15.75" x14ac:dyDescent="0.25">
      <c r="A152" s="10">
        <v>53932358</v>
      </c>
      <c r="B152" s="2">
        <v>46028.352296064812</v>
      </c>
      <c r="C152" s="3" t="str">
        <f>IFERROR(VLOOKUP(A152,'Base Prueba'!A:C,3,),"NO REGISTRA")</f>
        <v>DIANA MADELEYNE GAONA RODRIGUEZ</v>
      </c>
      <c r="D152" s="4" t="str">
        <f>IFERROR(VLOOKUP(A152,'Base Prueba'!A:D,4,),"NO REGISTRA")</f>
        <v>CONTADOR</v>
      </c>
      <c r="E152" s="5" t="str">
        <f>IFERROR(VLOOKUP(A152,'Base Prueba'!A:E,5,),"NO REGISTRA")</f>
        <v>AREA FINANCIERA Y CONTABLE</v>
      </c>
    </row>
    <row r="153" spans="1:5" ht="15.75" x14ac:dyDescent="0.25">
      <c r="A153" s="10">
        <v>80234243</v>
      </c>
      <c r="B153" s="2">
        <v>46028.357575000002</v>
      </c>
      <c r="C153" s="3" t="str">
        <f>IFERROR(VLOOKUP(A153,'Base Prueba'!A:C,3,),"NO REGISTRA")</f>
        <v>ARGENIS MARTINEZ MARTINEZ</v>
      </c>
      <c r="D153" s="4" t="str">
        <f>IFERROR(VLOOKUP(A153,'Base Prueba'!A:D,4,),"NO REGISTRA")</f>
        <v>LIDER CALL CENTER</v>
      </c>
      <c r="E153" s="5" t="str">
        <f>IFERROR(VLOOKUP(A153,'Base Prueba'!A:E,5,),"NO REGISTRA")</f>
        <v>OFICINA DE MERCADEO</v>
      </c>
    </row>
    <row r="154" spans="1:5" ht="15.75" x14ac:dyDescent="0.25">
      <c r="A154" s="10">
        <v>1018413529</v>
      </c>
      <c r="B154" s="2">
        <v>46028.362135532407</v>
      </c>
      <c r="C154" s="3" t="str">
        <f>IFERROR(VLOOKUP(A154,'Base Prueba'!A:C,3,),"NO REGISTRA")</f>
        <v>FRANCY STELLA CHARRY MORENO</v>
      </c>
      <c r="D154" s="4" t="str">
        <f>IFERROR(VLOOKUP(A154,'Base Prueba'!A:D,4,),"NO REGISTRA")</f>
        <v>PROMOTOR COMERCIAL DEL CEA</v>
      </c>
      <c r="E154" s="5" t="str">
        <f>IFERROR(VLOOKUP(A154,'Base Prueba'!A:E,5,),"NO REGISTRA")</f>
        <v>OFICINA DE MERCADEO</v>
      </c>
    </row>
    <row r="155" spans="1:5" ht="15.75" x14ac:dyDescent="0.25">
      <c r="A155" s="10">
        <v>1032407386</v>
      </c>
      <c r="B155" s="2">
        <v>46028.36271238426</v>
      </c>
      <c r="C155" s="3" t="str">
        <f>IFERROR(VLOOKUP(A155,'Base Prueba'!A:C,3,),"NO REGISTRA")</f>
        <v>GINA PAOLA BAEZ GALVIS</v>
      </c>
      <c r="D155" s="4" t="str">
        <f>IFERROR(VLOOKUP(A155,'Base Prueba'!A:D,4,),"NO REGISTRA")</f>
        <v>PROMOTOR CALL CENTER</v>
      </c>
      <c r="E155" s="5" t="str">
        <f>IFERROR(VLOOKUP(A155,'Base Prueba'!A:E,5,),"NO REGISTRA")</f>
        <v>OFICINA DE MERCADEO</v>
      </c>
    </row>
    <row r="156" spans="1:5" ht="15.75" x14ac:dyDescent="0.25">
      <c r="A156" s="10">
        <v>1014196857</v>
      </c>
      <c r="B156" s="2">
        <v>46028.368073958336</v>
      </c>
      <c r="C156" s="3" t="str">
        <f>IFERROR(VLOOKUP(A156,'Base Prueba'!A:C,3,),"NO REGISTRA")</f>
        <v>CARLOS ANDRES JIMENEZ PARDO</v>
      </c>
      <c r="D156" s="4" t="str">
        <f>IFERROR(VLOOKUP(A156,'Base Prueba'!A:D,4,),"NO REGISTRA")</f>
        <v>COORDINADOR DE MARKETING DIGITAL</v>
      </c>
      <c r="E156" s="5" t="str">
        <f>IFERROR(VLOOKUP(A156,'Base Prueba'!A:E,5,),"NO REGISTRA")</f>
        <v>OFICINA DE MERCADEO</v>
      </c>
    </row>
    <row r="157" spans="1:5" ht="15.75" x14ac:dyDescent="0.25">
      <c r="A157" s="10">
        <v>28798349</v>
      </c>
      <c r="B157" s="2">
        <v>46028.370520254626</v>
      </c>
      <c r="C157" s="3" t="str">
        <f>IFERROR(VLOOKUP(A157,'Base Prueba'!A:C,3,),"NO REGISTRA")</f>
        <v>MARTHA ISABEL TOVAR WILLIAMS</v>
      </c>
      <c r="D157" s="4" t="str">
        <f>IFERROR(VLOOKUP(A157,'Base Prueba'!A:D,4,),"NO REGISTRA")</f>
        <v>PROMOTOR CALL CENTER</v>
      </c>
      <c r="E157" s="5" t="str">
        <f>IFERROR(VLOOKUP(A157,'Base Prueba'!A:E,5,),"NO REGISTRA")</f>
        <v>OFICINA DE MERCADEO</v>
      </c>
    </row>
    <row r="158" spans="1:5" ht="15.75" x14ac:dyDescent="0.25">
      <c r="A158" s="10">
        <v>52472386</v>
      </c>
      <c r="B158" s="2">
        <v>46028.370612615741</v>
      </c>
      <c r="C158" s="3" t="str">
        <f>IFERROR(VLOOKUP(A158,'Base Prueba'!A:C,3,),"NO REGISTRA")</f>
        <v>ADRIANA MARCELA MORALES PARDO</v>
      </c>
      <c r="D158" s="4" t="str">
        <f>IFERROR(VLOOKUP(A158,'Base Prueba'!A:D,4,),"NO REGISTRA")</f>
        <v>PROMOTOR CALL CENTER</v>
      </c>
      <c r="E158" s="5" t="str">
        <f>IFERROR(VLOOKUP(A158,'Base Prueba'!A:E,5,),"NO REGISTRA")</f>
        <v>OFICINA DE MERCADEO</v>
      </c>
    </row>
    <row r="159" spans="1:5" ht="15.75" x14ac:dyDescent="0.25">
      <c r="A159" s="10">
        <v>53089882</v>
      </c>
      <c r="B159" s="2">
        <v>46028.370648032411</v>
      </c>
      <c r="C159" s="3" t="str">
        <f>IFERROR(VLOOKUP(A159,'Base Prueba'!A:C,3,),"NO REGISTRA")</f>
        <v>MARIA JOHANA ESCAMILLA MARTINEZ</v>
      </c>
      <c r="D159" s="4" t="str">
        <f>IFERROR(VLOOKUP(A159,'Base Prueba'!A:D,4,),"NO REGISTRA")</f>
        <v>PROMOTOR DE INFORMACIÓN</v>
      </c>
      <c r="E159" s="5" t="str">
        <f>IFERROR(VLOOKUP(A159,'Base Prueba'!A:E,5,),"NO REGISTRA")</f>
        <v>OFICINA DE MERCADEO</v>
      </c>
    </row>
    <row r="160" spans="1:5" ht="15.75" x14ac:dyDescent="0.25">
      <c r="A160" s="10">
        <v>1023961952</v>
      </c>
      <c r="B160" s="2">
        <v>46028.371495486113</v>
      </c>
      <c r="C160" s="3" t="str">
        <f>IFERROR(VLOOKUP(A160,'Base Prueba'!A:C,3,),"NO REGISTRA")</f>
        <v>ALEJANDRO PINZON MERCHAN</v>
      </c>
      <c r="D160" s="4" t="str">
        <f>IFERROR(VLOOKUP(A160,'Base Prueba'!A:D,4,),"NO REGISTRA")</f>
        <v>PROMOTOR CALL CENTER</v>
      </c>
      <c r="E160" s="5" t="str">
        <f>IFERROR(VLOOKUP(A160,'Base Prueba'!A:E,5,),"NO REGISTRA")</f>
        <v>OFICINA DE MERCADEO</v>
      </c>
    </row>
    <row r="161" spans="1:5" ht="15.75" x14ac:dyDescent="0.25">
      <c r="A161" s="10">
        <v>52764929</v>
      </c>
      <c r="B161" s="2">
        <v>46028.37294710648</v>
      </c>
      <c r="C161" s="3" t="str">
        <f>IFERROR(VLOOKUP(A161,'Base Prueba'!A:C,3,),"NO REGISTRA")</f>
        <v>GUERLY YOHANA DURAN RIVERA</v>
      </c>
      <c r="D161" s="4" t="str">
        <f>IFERROR(VLOOKUP(A161,'Base Prueba'!A:D,4,),"NO REGISTRA")</f>
        <v>LIDER DE VINCULACION COLEGIOS</v>
      </c>
      <c r="E161" s="5" t="str">
        <f>IFERROR(VLOOKUP(A161,'Base Prueba'!A:E,5,),"NO REGISTRA")</f>
        <v>OFICINA DE MERCADEO</v>
      </c>
    </row>
    <row r="162" spans="1:5" ht="15.75" x14ac:dyDescent="0.25">
      <c r="A162" s="10">
        <v>1003690253</v>
      </c>
      <c r="B162" s="2">
        <v>46028.374978009262</v>
      </c>
      <c r="C162" s="3" t="str">
        <f>IFERROR(VLOOKUP(A162,'Base Prueba'!A:C,3,),"NO REGISTRA")</f>
        <v>MELISSA GONZALEZ PEDRAZA</v>
      </c>
      <c r="D162" s="4" t="str">
        <f>IFERROR(VLOOKUP(A162,'Base Prueba'!A:D,4,),"NO REGISTRA")</f>
        <v>LIDER DE JOVENES A LA E</v>
      </c>
      <c r="E162" s="5" t="str">
        <f>IFERROR(VLOOKUP(A162,'Base Prueba'!A:E,5,),"NO REGISTRA")</f>
        <v>DIRECCION DE BIENESTAR INSTITUCIONAL</v>
      </c>
    </row>
    <row r="163" spans="1:5" ht="15.75" x14ac:dyDescent="0.25">
      <c r="A163" s="10">
        <v>1019105003</v>
      </c>
      <c r="B163" s="2">
        <v>46028.376084606483</v>
      </c>
      <c r="C163" s="3" t="str">
        <f>IFERROR(VLOOKUP(A163,'Base Prueba'!A:C,3,),"NO REGISTRA")</f>
        <v>DAISY JULIETH GASPAR MORENO</v>
      </c>
      <c r="D163" s="4" t="str">
        <f>IFERROR(VLOOKUP(A163,'Base Prueba'!A:D,4,),"NO REGISTRA")</f>
        <v>PROMOTOR CALL CENTER</v>
      </c>
      <c r="E163" s="5" t="str">
        <f>IFERROR(VLOOKUP(A163,'Base Prueba'!A:E,5,),"NO REGISTRA")</f>
        <v>OFICINA DE MERCADEO</v>
      </c>
    </row>
    <row r="164" spans="1:5" ht="15.75" x14ac:dyDescent="0.25">
      <c r="A164" s="10">
        <v>1000046533</v>
      </c>
      <c r="B164" s="2">
        <v>46028.380287962966</v>
      </c>
      <c r="C164" s="3" t="str">
        <f>IFERROR(VLOOKUP(A164,'Base Prueba'!A:C,3,),"NO REGISTRA")</f>
        <v>ERIKA JULIETH VALDERRAMA SANCHEZ</v>
      </c>
      <c r="D164" s="4" t="str">
        <f>IFERROR(VLOOKUP(A164,'Base Prueba'!A:D,4,),"NO REGISTRA")</f>
        <v>PROMOTOR CALL CENTER</v>
      </c>
      <c r="E164" s="5" t="str">
        <f>IFERROR(VLOOKUP(A164,'Base Prueba'!A:E,5,),"NO REGISTRA")</f>
        <v>OFICINA DE MERCADEO</v>
      </c>
    </row>
    <row r="165" spans="1:5" ht="15.75" x14ac:dyDescent="0.25">
      <c r="A165" s="10">
        <v>1000254831</v>
      </c>
      <c r="B165" s="2">
        <v>46028.380317824071</v>
      </c>
      <c r="C165" s="3" t="str">
        <f>IFERROR(VLOOKUP(A165,'Base Prueba'!A:C,3,),"NO REGISTRA")</f>
        <v>BRIDGET ROSSANA DIAZ BOGOTA</v>
      </c>
      <c r="D165" s="4" t="str">
        <f>IFERROR(VLOOKUP(A165,'Base Prueba'!A:D,4,),"NO REGISTRA")</f>
        <v>AUXILIAR DE DISEÑO</v>
      </c>
      <c r="E165" s="5" t="str">
        <f>IFERROR(VLOOKUP(A165,'Base Prueba'!A:E,5,),"NO REGISTRA")</f>
        <v>OFICINA DE MERCADEO</v>
      </c>
    </row>
    <row r="166" spans="1:5" ht="15.75" x14ac:dyDescent="0.25">
      <c r="A166" s="10">
        <v>1193265768</v>
      </c>
      <c r="B166" s="2">
        <v>46028.389631712962</v>
      </c>
      <c r="C166" s="3" t="str">
        <f>IFERROR(VLOOKUP(A166,'Base Prueba'!A:C,3,),"NO REGISTRA")</f>
        <v>SANTIAGO OSORIO CAMACHO</v>
      </c>
      <c r="D166" s="4" t="str">
        <f>IFERROR(VLOOKUP(A166,'Base Prueba'!A:D,4,),"NO REGISTRA")</f>
        <v>ANALISTA DE PAUTA</v>
      </c>
      <c r="E166" s="5" t="str">
        <f>IFERROR(VLOOKUP(A166,'Base Prueba'!A:E,5,),"NO REGISTRA")</f>
        <v>OFICINA DE MERCADEO</v>
      </c>
    </row>
    <row r="167" spans="1:5" ht="15.75" x14ac:dyDescent="0.25">
      <c r="A167" s="10">
        <v>52443092</v>
      </c>
      <c r="B167" s="2">
        <v>46028.542391782408</v>
      </c>
      <c r="C167" s="3" t="str">
        <f>IFERROR(VLOOKUP(A167,'Base Prueba'!A:C,3,),"NO REGISTRA")</f>
        <v>LUZ MYRIAM SAAVEDRA CONTRERAS</v>
      </c>
      <c r="D167" s="4" t="str">
        <f>IFERROR(VLOOKUP(A167,'Base Prueba'!A:D,4,),"NO REGISTRA")</f>
        <v>AUXILIAR DE SERVICIOS</v>
      </c>
      <c r="E167" s="5" t="str">
        <f>IFERROR(VLOOKUP(A167,'Base Prueba'!A:E,5,),"NO REGISTRA")</f>
        <v>LOGISTICA Y SERVICIOS GENERALES</v>
      </c>
    </row>
    <row r="168" spans="1:5" ht="15.75" x14ac:dyDescent="0.25">
      <c r="A168" s="10">
        <v>1000354041</v>
      </c>
      <c r="B168" s="2">
        <v>46028.707355208331</v>
      </c>
      <c r="C168" s="3" t="str">
        <f>IFERROR(VLOOKUP(A168,'Base Prueba'!A:C,3,),"NO REGISTRA")</f>
        <v>ANGIE NATALIA BOHORQUEZ SANCHEZ</v>
      </c>
      <c r="D168" s="4" t="str">
        <f>IFERROR(VLOOKUP(A168,'Base Prueba'!A:D,4,),"NO REGISTRA")</f>
        <v>APRENDIZ UNIVERSITARIO</v>
      </c>
      <c r="E168" s="5" t="str">
        <f>IFERROR(VLOOKUP(A168,'Base Prueba'!A:E,5,),"NO REGISTRA")</f>
        <v>OFICINA DE PLANEACION Y GESTION DE LA CALIDAD</v>
      </c>
    </row>
    <row r="169" spans="1:5" ht="15.75" x14ac:dyDescent="0.25">
      <c r="A169" s="10">
        <v>1031802160</v>
      </c>
      <c r="B169" s="2">
        <v>46028.720318749998</v>
      </c>
      <c r="C169" s="3" t="str">
        <f>IFERROR(VLOOKUP(A169,'Base Prueba'!A:C,3,),"NO REGISTRA")</f>
        <v>LUISA MARIA MAHECHA SOTOMAYOR</v>
      </c>
      <c r="D169" s="4" t="str">
        <f>IFERROR(VLOOKUP(A169,'Base Prueba'!A:D,4,),"NO REGISTRA")</f>
        <v>APRENDIZ UNIVERSITARIO</v>
      </c>
      <c r="E169" s="5" t="str">
        <f>IFERROR(VLOOKUP(A169,'Base Prueba'!A:E,5,),"NO REGISTRA")</f>
        <v>OFICINA DE MERCADEO</v>
      </c>
    </row>
    <row r="170" spans="1:5" ht="15.75" x14ac:dyDescent="0.25">
      <c r="A170" s="10">
        <v>1024505434</v>
      </c>
      <c r="B170" s="2">
        <v>46028.737665740744</v>
      </c>
      <c r="C170" s="3" t="str">
        <f>IFERROR(VLOOKUP(A170,'Base Prueba'!A:C,3,),"NO REGISTRA")</f>
        <v>CRISTIAN ALBERTO MELO TORRES</v>
      </c>
      <c r="D170" s="4" t="str">
        <f>IFERROR(VLOOKUP(A170,'Base Prueba'!A:D,4,),"NO REGISTRA")</f>
        <v>COORDINADOR DE INFRAESTRUCTURA</v>
      </c>
      <c r="E170" s="5" t="str">
        <f>IFERROR(VLOOKUP(A170,'Base Prueba'!A:E,5,),"NO REGISTRA")</f>
        <v>VICERRECTORIA ADMINISTRATIVA Y FINANCIERA</v>
      </c>
    </row>
    <row r="171" spans="1:5" ht="15.75" x14ac:dyDescent="0.25">
      <c r="A171" s="10">
        <v>1026599257</v>
      </c>
      <c r="B171" s="2">
        <v>46028.750206597222</v>
      </c>
      <c r="C171" s="3" t="str">
        <f>IFERROR(VLOOKUP(A171,'Base Prueba'!A:C,3,),"NO REGISTRA")</f>
        <v>YESENIA PAOLA PINEDA HURTADO</v>
      </c>
      <c r="D171" s="4" t="str">
        <f>IFERROR(VLOOKUP(A171,'Base Prueba'!A:D,4,),"NO REGISTRA")</f>
        <v>LIDER DE COMPRAS</v>
      </c>
      <c r="E171" s="5" t="str">
        <f>IFERROR(VLOOKUP(A171,'Base Prueba'!A:E,5,),"NO REGISTRA")</f>
        <v>AREA ADMINISTRATIVA</v>
      </c>
    </row>
    <row r="172" spans="1:5" ht="15.75" x14ac:dyDescent="0.25">
      <c r="A172" s="10">
        <v>1193457976</v>
      </c>
      <c r="B172" s="2">
        <v>46028.750510300924</v>
      </c>
      <c r="C172" s="3" t="str">
        <f>IFERROR(VLOOKUP(A172,'Base Prueba'!A:C,3,),"NO REGISTRA")</f>
        <v>SEDENIS RIVAS ASPRILLA</v>
      </c>
      <c r="D172" s="4" t="str">
        <f>IFERROR(VLOOKUP(A172,'Base Prueba'!A:D,4,),"NO REGISTRA")</f>
        <v>APRENDIZ UNIVERSITARIO</v>
      </c>
      <c r="E172" s="5" t="str">
        <f>IFERROR(VLOOKUP(A172,'Base Prueba'!A:E,5,),"NO REGISTRA")</f>
        <v>DEPARTAMENTO DE GESTION HUMANA</v>
      </c>
    </row>
    <row r="173" spans="1:5" ht="15.75" x14ac:dyDescent="0.25">
      <c r="A173" s="10">
        <v>1022996882</v>
      </c>
      <c r="B173" s="2">
        <v>46028.750881481479</v>
      </c>
      <c r="C173" s="3" t="str">
        <f>IFERROR(VLOOKUP(A173,'Base Prueba'!A:C,3,),"NO REGISTRA")</f>
        <v>NANCY BRIGITH ALDANA GUEVARA</v>
      </c>
      <c r="D173" s="4" t="str">
        <f>IFERROR(VLOOKUP(A173,'Base Prueba'!A:D,4,),"NO REGISTRA")</f>
        <v>COORDINADORA DE GESTIÓN HUMANA</v>
      </c>
      <c r="E173" s="5" t="str">
        <f>IFERROR(VLOOKUP(A173,'Base Prueba'!A:E,5,),"NO REGISTRA")</f>
        <v>DEPARTAMENTO DE GESTION HUMANA</v>
      </c>
    </row>
    <row r="174" spans="1:5" ht="15.75" x14ac:dyDescent="0.25">
      <c r="A174" s="10">
        <v>1012357415</v>
      </c>
      <c r="B174" s="2">
        <v>46028.751999884262</v>
      </c>
      <c r="C174" s="3" t="str">
        <f>IFERROR(VLOOKUP(A174,'Base Prueba'!A:C,3,),"NO REGISTRA")</f>
        <v>CINDY LORENA BOHORQUEZ LEYVA</v>
      </c>
      <c r="D174" s="4" t="str">
        <f>IFERROR(VLOOKUP(A174,'Base Prueba'!A:D,4,),"NO REGISTRA")</f>
        <v>ANALISTA DE TESORERIA</v>
      </c>
      <c r="E174" s="5" t="str">
        <f>IFERROR(VLOOKUP(A174,'Base Prueba'!A:E,5,),"NO REGISTRA")</f>
        <v>AREA FINANCIERA Y CONTABLE</v>
      </c>
    </row>
    <row r="175" spans="1:5" ht="15.75" x14ac:dyDescent="0.25">
      <c r="A175" s="10">
        <v>1111043661</v>
      </c>
      <c r="B175" s="2">
        <v>46028.752089699075</v>
      </c>
      <c r="C175" s="3" t="str">
        <f>IFERROR(VLOOKUP(A175,'Base Prueba'!A:C,3,),"NO REGISTRA")</f>
        <v>KEVIN JOHAN MORA GARCIA</v>
      </c>
      <c r="D175" s="4" t="str">
        <f>IFERROR(VLOOKUP(A175,'Base Prueba'!A:D,4,),"NO REGISTRA")</f>
        <v>APRENDIZ UNIVERSITARIO</v>
      </c>
      <c r="E175" s="5" t="str">
        <f>IFERROR(VLOOKUP(A175,'Base Prueba'!A:E,5,),"NO REGISTRA")</f>
        <v>CENTRO DE GESTION DOCUMENTAL</v>
      </c>
    </row>
    <row r="176" spans="1:5" ht="15.75" x14ac:dyDescent="0.25">
      <c r="A176" s="10">
        <v>1087121273</v>
      </c>
      <c r="B176" s="2">
        <v>46028.752493055559</v>
      </c>
      <c r="C176" s="3" t="str">
        <f>IFERROR(VLOOKUP(A176,'Base Prueba'!A:C,3,),"NO REGISTRA")</f>
        <v>MAYRA ALEJANDRA CASTILLO ARBOLEDA</v>
      </c>
      <c r="D176" s="4" t="str">
        <f>IFERROR(VLOOKUP(A176,'Base Prueba'!A:D,4,),"NO REGISTRA")</f>
        <v>APOYO INTEGRAL DE MERCADEO</v>
      </c>
      <c r="E176" s="5" t="str">
        <f>IFERROR(VLOOKUP(A176,'Base Prueba'!A:E,5,),"NO REGISTRA")</f>
        <v>CENTRO DE GESTION DOCUMENTAL</v>
      </c>
    </row>
    <row r="177" spans="1:5" ht="15.75" x14ac:dyDescent="0.25">
      <c r="A177" s="10">
        <v>1000467399</v>
      </c>
      <c r="B177" s="2">
        <v>46028.753212268515</v>
      </c>
      <c r="C177" s="3" t="str">
        <f>IFERROR(VLOOKUP(A177,'Base Prueba'!A:C,3,),"NO REGISTRA")</f>
        <v>BRANDO ESTIVEN DIAZ QUIMBAYA</v>
      </c>
      <c r="D177" s="4" t="str">
        <f>IFERROR(VLOOKUP(A177,'Base Prueba'!A:D,4,),"NO REGISTRA")</f>
        <v>APRENDIZ UNIVERSITARIO</v>
      </c>
      <c r="E177" s="5" t="str">
        <f>IFERROR(VLOOKUP(A177,'Base Prueba'!A:E,5,),"NO REGISTRA")</f>
        <v>DEPARTAMENTO DE GESTION HUMANA</v>
      </c>
    </row>
    <row r="178" spans="1:5" ht="15.75" x14ac:dyDescent="0.25">
      <c r="A178" s="10">
        <v>80238161</v>
      </c>
      <c r="B178" s="2">
        <v>46028.753972569444</v>
      </c>
      <c r="C178" s="3" t="str">
        <f>IFERROR(VLOOKUP(A178,'Base Prueba'!A:C,3,),"NO REGISTRA")</f>
        <v>GERMAN CARRANZA ESPITIA</v>
      </c>
      <c r="D178" s="4" t="str">
        <f>IFERROR(VLOOKUP(A178,'Base Prueba'!A:D,4,),"NO REGISTRA")</f>
        <v>TESORERO</v>
      </c>
      <c r="E178" s="5" t="str">
        <f>IFERROR(VLOOKUP(A178,'Base Prueba'!A:E,5,),"NO REGISTRA")</f>
        <v>AREA FINANCIERA Y CONTABLE</v>
      </c>
    </row>
    <row r="179" spans="1:5" ht="15.75" x14ac:dyDescent="0.25">
      <c r="A179" s="10">
        <v>1014266838</v>
      </c>
      <c r="B179" s="2">
        <v>46028.754379282407</v>
      </c>
      <c r="C179" s="3" t="str">
        <f>IFERROR(VLOOKUP(A179,'Base Prueba'!A:C,3,),"NO REGISTRA")</f>
        <v>JENNIFER ASTRID ROMERO HURTADO</v>
      </c>
      <c r="D179" s="4" t="str">
        <f>IFERROR(VLOOKUP(A179,'Base Prueba'!A:D,4,),"NO REGISTRA")</f>
        <v>LIDER DE RECAUDO</v>
      </c>
      <c r="E179" s="5" t="str">
        <f>IFERROR(VLOOKUP(A179,'Base Prueba'!A:E,5,),"NO REGISTRA")</f>
        <v>AREA FINANCIERA Y CONTABLE</v>
      </c>
    </row>
    <row r="180" spans="1:5" ht="15.75" x14ac:dyDescent="0.25">
      <c r="A180" s="10">
        <v>1000365751</v>
      </c>
      <c r="B180" s="2">
        <v>46028.754847222219</v>
      </c>
      <c r="C180" s="3" t="str">
        <f>IFERROR(VLOOKUP(A180,'Base Prueba'!A:C,3,),"NO REGISTRA")</f>
        <v>JHOAN NICOLAS ESCAMILLA MANJARRES</v>
      </c>
      <c r="D180" s="4" t="str">
        <f>IFERROR(VLOOKUP(A180,'Base Prueba'!A:D,4,),"NO REGISTRA")</f>
        <v>APRENDIZ UNIVERSITARIO</v>
      </c>
      <c r="E180" s="5" t="str">
        <f>IFERROR(VLOOKUP(A180,'Base Prueba'!A:E,5,),"NO REGISTRA")</f>
        <v>OFICINA DE MERCADEO</v>
      </c>
    </row>
    <row r="181" spans="1:5" ht="15.75" x14ac:dyDescent="0.25">
      <c r="A181" s="10">
        <v>1013098645</v>
      </c>
      <c r="B181" s="2">
        <v>46028.755212615739</v>
      </c>
      <c r="C181" s="3" t="str">
        <f>IFERROR(VLOOKUP(A181,'Base Prueba'!A:C,3,),"NO REGISTRA")</f>
        <v>CATHERINE LUCIA PENAGOS RIVERA</v>
      </c>
      <c r="D181" s="4" t="str">
        <f>IFERROR(VLOOKUP(A181,'Base Prueba'!A:D,4,),"NO REGISTRA")</f>
        <v>LIDER DE REGISTRO Y CONTROL ACADEMICO</v>
      </c>
      <c r="E181" s="5" t="str">
        <f>IFERROR(VLOOKUP(A181,'Base Prueba'!A:E,5,),"NO REGISTRA")</f>
        <v>REGISTRO Y CONTROL ACADEMICO</v>
      </c>
    </row>
    <row r="182" spans="1:5" ht="15.75" x14ac:dyDescent="0.25">
      <c r="A182" s="10">
        <v>1014196857</v>
      </c>
      <c r="B182" s="2">
        <v>46028.755923842589</v>
      </c>
      <c r="C182" s="3" t="str">
        <f>IFERROR(VLOOKUP(A182,'Base Prueba'!A:C,3,),"NO REGISTRA")</f>
        <v>CARLOS ANDRES JIMENEZ PARDO</v>
      </c>
      <c r="D182" s="4" t="str">
        <f>IFERROR(VLOOKUP(A182,'Base Prueba'!A:D,4,),"NO REGISTRA")</f>
        <v>COORDINADOR DE MARKETING DIGITAL</v>
      </c>
      <c r="E182" s="5" t="str">
        <f>IFERROR(VLOOKUP(A182,'Base Prueba'!A:E,5,),"NO REGISTRA")</f>
        <v>OFICINA DE MERCADEO</v>
      </c>
    </row>
    <row r="183" spans="1:5" ht="15.75" x14ac:dyDescent="0.25">
      <c r="A183" s="10">
        <v>52474489</v>
      </c>
      <c r="B183" s="2">
        <v>46028.756240740739</v>
      </c>
      <c r="C183" s="3" t="str">
        <f>IFERROR(VLOOKUP(A183,'Base Prueba'!A:C,3,),"NO REGISTRA")</f>
        <v>ADRIANA JIMENA SOTO BOCANEGRA</v>
      </c>
      <c r="D183" s="4" t="str">
        <f>IFERROR(VLOOKUP(A183,'Base Prueba'!A:D,4,),"NO REGISTRA")</f>
        <v>COORDINADOR DE LA OFICINA DE REGISTRO Y CONTROL</v>
      </c>
      <c r="E183" s="5" t="str">
        <f>IFERROR(VLOOKUP(A183,'Base Prueba'!A:E,5,),"NO REGISTRA")</f>
        <v>REGISTRO Y CONTROL ACADEMICO</v>
      </c>
    </row>
    <row r="184" spans="1:5" ht="15.75" x14ac:dyDescent="0.25">
      <c r="A184" s="10">
        <v>1032469638</v>
      </c>
      <c r="B184" s="2">
        <v>46028.756302314818</v>
      </c>
      <c r="C184" s="3" t="str">
        <f>IFERROR(VLOOKUP(A184,'Base Prueba'!A:C,3,),"NO REGISTRA")</f>
        <v>MAICOL JARBEY GUALTEROS CASTAÑEDA</v>
      </c>
      <c r="D184" s="4" t="str">
        <f>IFERROR(VLOOKUP(A184,'Base Prueba'!A:D,4,),"NO REGISTRA")</f>
        <v>COORDINADOR DEL SISTEMA INTERNO DE ASEGURAMIENTO DE LA CALIDAD - SIAC</v>
      </c>
      <c r="E184" s="5" t="str">
        <f>IFERROR(VLOOKUP(A184,'Base Prueba'!A:E,5,),"NO REGISTRA")</f>
        <v>OFICINA DE PLANEACION Y GESTION DE LA CALIDAD</v>
      </c>
    </row>
    <row r="185" spans="1:5" ht="15.75" x14ac:dyDescent="0.25">
      <c r="A185" s="10">
        <v>1049644802</v>
      </c>
      <c r="B185" s="2">
        <v>46028.756561921298</v>
      </c>
      <c r="C185" s="3" t="str">
        <f>IFERROR(VLOOKUP(A185,'Base Prueba'!A:C,3,),"NO REGISTRA")</f>
        <v>DANIELA ALEXANDRA CIPAMOCHA BOSIGA</v>
      </c>
      <c r="D185" s="4" t="str">
        <f>IFERROR(VLOOKUP(A185,'Base Prueba'!A:D,4,),"NO REGISTRA")</f>
        <v>LIDER DE DATOS Y SERVICIOS</v>
      </c>
      <c r="E185" s="5" t="str">
        <f>IFERROR(VLOOKUP(A185,'Base Prueba'!A:E,5,),"NO REGISTRA")</f>
        <v>OFICINA DE PLANEACION Y GESTION DE LA CALIDAD</v>
      </c>
    </row>
    <row r="186" spans="1:5" ht="15.75" x14ac:dyDescent="0.25">
      <c r="A186" s="10">
        <v>1014977624</v>
      </c>
      <c r="B186" s="2">
        <v>46028.75693171296</v>
      </c>
      <c r="C186" s="3" t="str">
        <f>IFERROR(VLOOKUP(A186,'Base Prueba'!A:C,3,),"NO REGISTRA")</f>
        <v>NICCOLE VALENTINA HERNANDEZ MALAVER</v>
      </c>
      <c r="D186" s="4" t="str">
        <f>IFERROR(VLOOKUP(A186,'Base Prueba'!A:D,4,),"NO REGISTRA")</f>
        <v>APRENDIZ UNIVERSITARIO</v>
      </c>
      <c r="E186" s="5" t="str">
        <f>IFERROR(VLOOKUP(A186,'Base Prueba'!A:E,5,),"NO REGISTRA")</f>
        <v>AREA FINANCIERA Y CONTABLE</v>
      </c>
    </row>
    <row r="187" spans="1:5" ht="15.75" x14ac:dyDescent="0.25">
      <c r="A187" s="10">
        <v>1000593372</v>
      </c>
      <c r="B187" s="2">
        <v>46028.758931597222</v>
      </c>
      <c r="C187" s="3" t="str">
        <f>IFERROR(VLOOKUP(A187,'Base Prueba'!A:C,3,),"NO REGISTRA")</f>
        <v>LAURA SOFIA CHAPARRO LOPEZ</v>
      </c>
      <c r="D187" s="4" t="str">
        <f>IFERROR(VLOOKUP(A187,'Base Prueba'!A:D,4,),"NO REGISTRA")</f>
        <v>AUXILIAR JURIDICO</v>
      </c>
      <c r="E187" s="5" t="str">
        <f>IFERROR(VLOOKUP(A187,'Base Prueba'!A:E,5,),"NO REGISTRA")</f>
        <v>SECRETARIA GENERAL</v>
      </c>
    </row>
    <row r="188" spans="1:5" ht="15.75" x14ac:dyDescent="0.25">
      <c r="A188" s="10">
        <v>1000604979</v>
      </c>
      <c r="B188" s="2">
        <v>46028.75900474537</v>
      </c>
      <c r="C188" s="3" t="str">
        <f>IFERROR(VLOOKUP(A188,'Base Prueba'!A:C,3,),"NO REGISTRA")</f>
        <v>JULIETH TATIANA PARDO PINTO</v>
      </c>
      <c r="D188" s="4" t="str">
        <f>IFERROR(VLOOKUP(A188,'Base Prueba'!A:D,4,),"NO REGISTRA")</f>
        <v>AUXILIAR JURIDICO</v>
      </c>
      <c r="E188" s="5" t="str">
        <f>IFERROR(VLOOKUP(A188,'Base Prueba'!A:E,5,),"NO REGISTRA")</f>
        <v>SECRETARIA GENERAL</v>
      </c>
    </row>
    <row r="189" spans="1:5" ht="15.75" x14ac:dyDescent="0.25">
      <c r="A189" s="10">
        <v>1000457706</v>
      </c>
      <c r="B189" s="2">
        <v>46028.760024305557</v>
      </c>
      <c r="C189" s="3" t="str">
        <f>IFERROR(VLOOKUP(A189,'Base Prueba'!A:C,3,),"NO REGISTRA")</f>
        <v>CRISTIAN DANILO ARROYO SANABRIA</v>
      </c>
      <c r="D189" s="4" t="str">
        <f>IFERROR(VLOOKUP(A189,'Base Prueba'!A:D,4,),"NO REGISTRA")</f>
        <v>AUXILIAR CONTABLE</v>
      </c>
      <c r="E189" s="5" t="str">
        <f>IFERROR(VLOOKUP(A189,'Base Prueba'!A:E,5,),"NO REGISTRA")</f>
        <v>AREA FINANCIERA Y CONTABLE</v>
      </c>
    </row>
    <row r="190" spans="1:5" ht="15.75" x14ac:dyDescent="0.25">
      <c r="A190" s="10">
        <v>1000257136</v>
      </c>
      <c r="B190" s="2">
        <v>46028.760079513886</v>
      </c>
      <c r="C190" s="3" t="str">
        <f>IFERROR(VLOOKUP(A190,'Base Prueba'!A:C,3,),"NO REGISTRA")</f>
        <v>FRANCI VALENTINA CANO PUENTES</v>
      </c>
      <c r="D190" s="4" t="str">
        <f>IFERROR(VLOOKUP(A190,'Base Prueba'!A:D,4,),"NO REGISTRA")</f>
        <v>AUXILIAR CONTABLE</v>
      </c>
      <c r="E190" s="5" t="str">
        <f>IFERROR(VLOOKUP(A190,'Base Prueba'!A:E,5,),"NO REGISTRA")</f>
        <v>AREA FINANCIERA Y CONTABLE</v>
      </c>
    </row>
    <row r="191" spans="1:5" ht="15.75" x14ac:dyDescent="0.25">
      <c r="A191" s="10">
        <v>53932358</v>
      </c>
      <c r="B191" s="2">
        <v>46028.767978009259</v>
      </c>
      <c r="C191" s="3" t="str">
        <f>IFERROR(VLOOKUP(A191,'Base Prueba'!A:C,3,),"NO REGISTRA")</f>
        <v>DIANA MADELEYNE GAONA RODRIGUEZ</v>
      </c>
      <c r="D191" s="4" t="str">
        <f>IFERROR(VLOOKUP(A191,'Base Prueba'!A:D,4,),"NO REGISTRA")</f>
        <v>CONTADOR</v>
      </c>
      <c r="E191" s="5" t="str">
        <f>IFERROR(VLOOKUP(A191,'Base Prueba'!A:E,5,),"NO REGISTRA")</f>
        <v>AREA FINANCIERA Y CONTABLE</v>
      </c>
    </row>
    <row r="192" spans="1:5" ht="15.75" x14ac:dyDescent="0.25">
      <c r="A192" s="10">
        <v>1000254831</v>
      </c>
      <c r="B192" s="2">
        <v>46028.773580324072</v>
      </c>
      <c r="C192" s="3" t="str">
        <f>IFERROR(VLOOKUP(A192,'Base Prueba'!A:C,3,),"NO REGISTRA")</f>
        <v>BRIDGET ROSSANA DIAZ BOGOTA</v>
      </c>
      <c r="D192" s="4" t="str">
        <f>IFERROR(VLOOKUP(A192,'Base Prueba'!A:D,4,),"NO REGISTRA")</f>
        <v>AUXILIAR DE DISEÑO</v>
      </c>
      <c r="E192" s="5" t="str">
        <f>IFERROR(VLOOKUP(A192,'Base Prueba'!A:E,5,),"NO REGISTRA")</f>
        <v>OFICINA DE MERCADEO</v>
      </c>
    </row>
    <row r="193" spans="1:5" ht="15.75" x14ac:dyDescent="0.25">
      <c r="A193" s="10">
        <v>1014211708</v>
      </c>
      <c r="B193" s="2">
        <v>46028.773634143516</v>
      </c>
      <c r="C193" s="3" t="str">
        <f>IFERROR(VLOOKUP(A193,'Base Prueba'!A:C,3,),"NO REGISTRA")</f>
        <v>JUAN MANUEL MERCADO FUENTES</v>
      </c>
      <c r="D193" s="4" t="str">
        <f>IFERROR(VLOOKUP(A193,'Base Prueba'!A:D,4,),"NO REGISTRA")</f>
        <v>COORDINADOR DE DISEÑO E IMAGEN INSTITUCIONAL</v>
      </c>
      <c r="E193" s="5" t="str">
        <f>IFERROR(VLOOKUP(A193,'Base Prueba'!A:E,5,),"NO REGISTRA")</f>
        <v>OFICINA DE MERCADEO</v>
      </c>
    </row>
    <row r="194" spans="1:5" ht="15.75" x14ac:dyDescent="0.25">
      <c r="A194" s="10">
        <v>1193265768</v>
      </c>
      <c r="B194" s="2">
        <v>46028.775103356478</v>
      </c>
      <c r="C194" s="3" t="str">
        <f>IFERROR(VLOOKUP(A194,'Base Prueba'!A:C,3,),"NO REGISTRA")</f>
        <v>SANTIAGO OSORIO CAMACHO</v>
      </c>
      <c r="D194" s="4" t="str">
        <f>IFERROR(VLOOKUP(A194,'Base Prueba'!A:D,4,),"NO REGISTRA")</f>
        <v>ANALISTA DE PAUTA</v>
      </c>
      <c r="E194" s="5" t="str">
        <f>IFERROR(VLOOKUP(A194,'Base Prueba'!A:E,5,),"NO REGISTRA")</f>
        <v>OFICINA DE MERCADEO</v>
      </c>
    </row>
    <row r="195" spans="1:5" ht="15.75" x14ac:dyDescent="0.25">
      <c r="A195" s="10">
        <v>53089882</v>
      </c>
      <c r="B195" s="2">
        <v>46028.777896180552</v>
      </c>
      <c r="C195" s="3" t="str">
        <f>IFERROR(VLOOKUP(A195,'Base Prueba'!A:C,3,),"NO REGISTRA")</f>
        <v>MARIA JOHANA ESCAMILLA MARTINEZ</v>
      </c>
      <c r="D195" s="4" t="str">
        <f>IFERROR(VLOOKUP(A195,'Base Prueba'!A:D,4,),"NO REGISTRA")</f>
        <v>PROMOTOR DE INFORMACIÓN</v>
      </c>
      <c r="E195" s="5" t="str">
        <f>IFERROR(VLOOKUP(A195,'Base Prueba'!A:E,5,),"NO REGISTRA")</f>
        <v>OFICINA DE MERCADEO</v>
      </c>
    </row>
    <row r="196" spans="1:5" ht="15.75" x14ac:dyDescent="0.25">
      <c r="A196" s="10">
        <v>1032407386</v>
      </c>
      <c r="B196" s="2">
        <v>46028.777934837963</v>
      </c>
      <c r="C196" s="3" t="str">
        <f>IFERROR(VLOOKUP(A196,'Base Prueba'!A:C,3,),"NO REGISTRA")</f>
        <v>GINA PAOLA BAEZ GALVIS</v>
      </c>
      <c r="D196" s="4" t="str">
        <f>IFERROR(VLOOKUP(A196,'Base Prueba'!A:D,4,),"NO REGISTRA")</f>
        <v>PROMOTOR CALL CENTER</v>
      </c>
      <c r="E196" s="5" t="str">
        <f>IFERROR(VLOOKUP(A196,'Base Prueba'!A:E,5,),"NO REGISTRA")</f>
        <v>OFICINA DE MERCADEO</v>
      </c>
    </row>
    <row r="197" spans="1:5" ht="15.75" x14ac:dyDescent="0.25">
      <c r="A197" s="10">
        <v>1018413529</v>
      </c>
      <c r="B197" s="2">
        <v>46028.777985879628</v>
      </c>
      <c r="C197" s="3" t="str">
        <f>IFERROR(VLOOKUP(A197,'Base Prueba'!A:C,3,),"NO REGISTRA")</f>
        <v>FRANCY STELLA CHARRY MORENO</v>
      </c>
      <c r="D197" s="4" t="str">
        <f>IFERROR(VLOOKUP(A197,'Base Prueba'!A:D,4,),"NO REGISTRA")</f>
        <v>PROMOTOR COMERCIAL DEL CEA</v>
      </c>
      <c r="E197" s="5" t="str">
        <f>IFERROR(VLOOKUP(A197,'Base Prueba'!A:E,5,),"NO REGISTRA")</f>
        <v>OFICINA DE MERCADEO</v>
      </c>
    </row>
    <row r="198" spans="1:5" ht="15.75" x14ac:dyDescent="0.25">
      <c r="A198" s="10">
        <v>1019105003</v>
      </c>
      <c r="B198" s="2">
        <v>46028.77991365741</v>
      </c>
      <c r="C198" s="3" t="str">
        <f>IFERROR(VLOOKUP(A198,'Base Prueba'!A:C,3,),"NO REGISTRA")</f>
        <v>DAISY JULIETH GASPAR MORENO</v>
      </c>
      <c r="D198" s="4" t="str">
        <f>IFERROR(VLOOKUP(A198,'Base Prueba'!A:D,4,),"NO REGISTRA")</f>
        <v>PROMOTOR CALL CENTER</v>
      </c>
      <c r="E198" s="5" t="str">
        <f>IFERROR(VLOOKUP(A198,'Base Prueba'!A:E,5,),"NO REGISTRA")</f>
        <v>OFICINA DE MERCADEO</v>
      </c>
    </row>
    <row r="199" spans="1:5" ht="15.75" x14ac:dyDescent="0.25">
      <c r="A199" s="10">
        <v>52472386</v>
      </c>
      <c r="B199" s="2">
        <v>46028.780004282409</v>
      </c>
      <c r="C199" s="3" t="str">
        <f>IFERROR(VLOOKUP(A199,'Base Prueba'!A:C,3,),"NO REGISTRA")</f>
        <v>ADRIANA MARCELA MORALES PARDO</v>
      </c>
      <c r="D199" s="4" t="str">
        <f>IFERROR(VLOOKUP(A199,'Base Prueba'!A:D,4,),"NO REGISTRA")</f>
        <v>PROMOTOR CALL CENTER</v>
      </c>
      <c r="E199" s="5" t="str">
        <f>IFERROR(VLOOKUP(A199,'Base Prueba'!A:E,5,),"NO REGISTRA")</f>
        <v>OFICINA DE MERCADEO</v>
      </c>
    </row>
    <row r="200" spans="1:5" ht="15.75" x14ac:dyDescent="0.25">
      <c r="A200" s="10">
        <v>80234243</v>
      </c>
      <c r="B200" s="2">
        <v>46028.780868287038</v>
      </c>
      <c r="C200" s="3" t="str">
        <f>IFERROR(VLOOKUP(A200,'Base Prueba'!A:C,3,),"NO REGISTRA")</f>
        <v>ARGENIS MARTINEZ MARTINEZ</v>
      </c>
      <c r="D200" s="4" t="str">
        <f>IFERROR(VLOOKUP(A200,'Base Prueba'!A:D,4,),"NO REGISTRA")</f>
        <v>LIDER CALL CENTER</v>
      </c>
      <c r="E200" s="5" t="str">
        <f>IFERROR(VLOOKUP(A200,'Base Prueba'!A:E,5,),"NO REGISTRA")</f>
        <v>OFICINA DE MERCADEO</v>
      </c>
    </row>
    <row r="201" spans="1:5" ht="15.75" x14ac:dyDescent="0.25">
      <c r="A201" s="10">
        <v>52764929</v>
      </c>
      <c r="B201" s="2">
        <v>46028.782336458331</v>
      </c>
      <c r="C201" s="3" t="str">
        <f>IFERROR(VLOOKUP(A201,'Base Prueba'!A:C,3,),"NO REGISTRA")</f>
        <v>GUERLY YOHANA DURAN RIVERA</v>
      </c>
      <c r="D201" s="4" t="str">
        <f>IFERROR(VLOOKUP(A201,'Base Prueba'!A:D,4,),"NO REGISTRA")</f>
        <v>LIDER DE VINCULACION COLEGIOS</v>
      </c>
      <c r="E201" s="5" t="str">
        <f>IFERROR(VLOOKUP(A201,'Base Prueba'!A:E,5,),"NO REGISTRA")</f>
        <v>OFICINA DE MERCADEO</v>
      </c>
    </row>
    <row r="202" spans="1:5" ht="15.75" x14ac:dyDescent="0.25">
      <c r="A202" s="10">
        <v>28798349</v>
      </c>
      <c r="B202" s="2">
        <v>46028.784151504631</v>
      </c>
      <c r="C202" s="3" t="str">
        <f>IFERROR(VLOOKUP(A202,'Base Prueba'!A:C,3,),"NO REGISTRA")</f>
        <v>MARTHA ISABEL TOVAR WILLIAMS</v>
      </c>
      <c r="D202" s="4" t="str">
        <f>IFERROR(VLOOKUP(A202,'Base Prueba'!A:D,4,),"NO REGISTRA")</f>
        <v>PROMOTOR CALL CENTER</v>
      </c>
      <c r="E202" s="5" t="str">
        <f>IFERROR(VLOOKUP(A202,'Base Prueba'!A:E,5,),"NO REGISTRA")</f>
        <v>OFICINA DE MERCADEO</v>
      </c>
    </row>
    <row r="203" spans="1:5" ht="15.75" x14ac:dyDescent="0.25">
      <c r="A203" s="10">
        <v>1003690253</v>
      </c>
      <c r="B203" s="2">
        <v>46028.784360300924</v>
      </c>
      <c r="C203" s="3" t="str">
        <f>IFERROR(VLOOKUP(A203,'Base Prueba'!A:C,3,),"NO REGISTRA")</f>
        <v>MELISSA GONZALEZ PEDRAZA</v>
      </c>
      <c r="D203" s="4" t="str">
        <f>IFERROR(VLOOKUP(A203,'Base Prueba'!A:D,4,),"NO REGISTRA")</f>
        <v>LIDER DE JOVENES A LA E</v>
      </c>
      <c r="E203" s="5" t="str">
        <f>IFERROR(VLOOKUP(A203,'Base Prueba'!A:E,5,),"NO REGISTRA")</f>
        <v>DIRECCION DE BIENESTAR INSTITUCIONAL</v>
      </c>
    </row>
    <row r="204" spans="1:5" ht="15.75" x14ac:dyDescent="0.25">
      <c r="A204" s="10">
        <v>1023961952</v>
      </c>
      <c r="B204" s="2">
        <v>46028.784434953704</v>
      </c>
      <c r="C204" s="3" t="str">
        <f>IFERROR(VLOOKUP(A204,'Base Prueba'!A:C,3,),"NO REGISTRA")</f>
        <v>ALEJANDRO PINZON MERCHAN</v>
      </c>
      <c r="D204" s="4" t="str">
        <f>IFERROR(VLOOKUP(A204,'Base Prueba'!A:D,4,),"NO REGISTRA")</f>
        <v>PROMOTOR CALL CENTER</v>
      </c>
      <c r="E204" s="5" t="str">
        <f>IFERROR(VLOOKUP(A204,'Base Prueba'!A:E,5,),"NO REGISTRA")</f>
        <v>OFICINA DE MERCADEO</v>
      </c>
    </row>
    <row r="205" spans="1:5" ht="15.75" x14ac:dyDescent="0.25">
      <c r="A205" s="10">
        <v>1087121273</v>
      </c>
      <c r="B205" s="2">
        <v>46029.311388773145</v>
      </c>
      <c r="C205" s="3" t="str">
        <f>IFERROR(VLOOKUP(A205,'Base Prueba'!A:C,3,),"NO REGISTRA")</f>
        <v>MAYRA ALEJANDRA CASTILLO ARBOLEDA</v>
      </c>
      <c r="D205" s="4" t="str">
        <f>IFERROR(VLOOKUP(A205,'Base Prueba'!A:D,4,),"NO REGISTRA")</f>
        <v>APOYO INTEGRAL DE MERCADEO</v>
      </c>
      <c r="E205" s="5" t="str">
        <f>IFERROR(VLOOKUP(A205,'Base Prueba'!A:E,5,),"NO REGISTRA")</f>
        <v>CENTRO DE GESTION DOCUMENTAL</v>
      </c>
    </row>
    <row r="206" spans="1:5" ht="15.75" x14ac:dyDescent="0.25">
      <c r="A206" s="10">
        <v>1049644802</v>
      </c>
      <c r="B206" s="2">
        <v>46029.319308796294</v>
      </c>
      <c r="C206" s="3" t="str">
        <f>IFERROR(VLOOKUP(A206,'Base Prueba'!A:C,3,),"NO REGISTRA")</f>
        <v>DANIELA ALEXANDRA CIPAMOCHA BOSIGA</v>
      </c>
      <c r="D206" s="4" t="str">
        <f>IFERROR(VLOOKUP(A206,'Base Prueba'!A:D,4,),"NO REGISTRA")</f>
        <v>LIDER DE DATOS Y SERVICIOS</v>
      </c>
      <c r="E206" s="5" t="str">
        <f>IFERROR(VLOOKUP(A206,'Base Prueba'!A:E,5,),"NO REGISTRA")</f>
        <v>OFICINA DE PLANEACION Y GESTION DE LA CALIDAD</v>
      </c>
    </row>
    <row r="207" spans="1:5" ht="15.75" x14ac:dyDescent="0.25">
      <c r="A207" s="10">
        <v>1000354041</v>
      </c>
      <c r="B207" s="2">
        <v>46029.328080208332</v>
      </c>
      <c r="C207" s="3" t="str">
        <f>IFERROR(VLOOKUP(A207,'Base Prueba'!A:C,3,),"NO REGISTRA")</f>
        <v>ANGIE NATALIA BOHORQUEZ SANCHEZ</v>
      </c>
      <c r="D207" s="4" t="str">
        <f>IFERROR(VLOOKUP(A207,'Base Prueba'!A:D,4,),"NO REGISTRA")</f>
        <v>APRENDIZ UNIVERSITARIO</v>
      </c>
      <c r="E207" s="5" t="str">
        <f>IFERROR(VLOOKUP(A207,'Base Prueba'!A:E,5,),"NO REGISTRA")</f>
        <v>OFICINA DE PLANEACION Y GESTION DE LA CALIDAD</v>
      </c>
    </row>
    <row r="208" spans="1:5" ht="15.75" x14ac:dyDescent="0.25">
      <c r="A208" s="10">
        <v>1031802160</v>
      </c>
      <c r="B208" s="2">
        <v>46029.328414930555</v>
      </c>
      <c r="C208" s="3" t="str">
        <f>IFERROR(VLOOKUP(A208,'Base Prueba'!A:C,3,),"NO REGISTRA")</f>
        <v>LUISA MARIA MAHECHA SOTOMAYOR</v>
      </c>
      <c r="D208" s="4" t="str">
        <f>IFERROR(VLOOKUP(A208,'Base Prueba'!A:D,4,),"NO REGISTRA")</f>
        <v>APRENDIZ UNIVERSITARIO</v>
      </c>
      <c r="E208" s="5" t="str">
        <f>IFERROR(VLOOKUP(A208,'Base Prueba'!A:E,5,),"NO REGISTRA")</f>
        <v>OFICINA DE MERCADEO</v>
      </c>
    </row>
    <row r="209" spans="1:5" ht="15.75" x14ac:dyDescent="0.25">
      <c r="A209" s="10">
        <v>1000257136</v>
      </c>
      <c r="B209" s="2">
        <v>46029.330382754626</v>
      </c>
      <c r="C209" s="3" t="str">
        <f>IFERROR(VLOOKUP(A209,'Base Prueba'!A:C,3,),"NO REGISTRA")</f>
        <v>FRANCI VALENTINA CANO PUENTES</v>
      </c>
      <c r="D209" s="4" t="str">
        <f>IFERROR(VLOOKUP(A209,'Base Prueba'!A:D,4,),"NO REGISTRA")</f>
        <v>AUXILIAR CONTABLE</v>
      </c>
      <c r="E209" s="5" t="str">
        <f>IFERROR(VLOOKUP(A209,'Base Prueba'!A:E,5,),"NO REGISTRA")</f>
        <v>AREA FINANCIERA Y CONTABLE</v>
      </c>
    </row>
    <row r="210" spans="1:5" ht="15.75" x14ac:dyDescent="0.25">
      <c r="A210" s="10">
        <v>1193457976</v>
      </c>
      <c r="B210" s="2">
        <v>46029.337752546293</v>
      </c>
      <c r="C210" s="3" t="str">
        <f>IFERROR(VLOOKUP(A210,'Base Prueba'!A:C,3,),"NO REGISTRA")</f>
        <v>SEDENIS RIVAS ASPRILLA</v>
      </c>
      <c r="D210" s="4" t="str">
        <f>IFERROR(VLOOKUP(A210,'Base Prueba'!A:D,4,),"NO REGISTRA")</f>
        <v>APRENDIZ UNIVERSITARIO</v>
      </c>
      <c r="E210" s="5" t="str">
        <f>IFERROR(VLOOKUP(A210,'Base Prueba'!A:E,5,),"NO REGISTRA")</f>
        <v>DEPARTAMENTO DE GESTION HUMANA</v>
      </c>
    </row>
    <row r="211" spans="1:5" ht="15.75" x14ac:dyDescent="0.25">
      <c r="A211" s="10">
        <v>1012357415</v>
      </c>
      <c r="B211" s="2">
        <v>46029.342291666668</v>
      </c>
      <c r="C211" s="3" t="str">
        <f>IFERROR(VLOOKUP(A211,'Base Prueba'!A:C,3,),"NO REGISTRA")</f>
        <v>CINDY LORENA BOHORQUEZ LEYVA</v>
      </c>
      <c r="D211" s="4" t="str">
        <f>IFERROR(VLOOKUP(A211,'Base Prueba'!A:D,4,),"NO REGISTRA")</f>
        <v>ANALISTA DE TESORERIA</v>
      </c>
      <c r="E211" s="5" t="str">
        <f>IFERROR(VLOOKUP(A211,'Base Prueba'!A:E,5,),"NO REGISTRA")</f>
        <v>AREA FINANCIERA Y CONTABLE</v>
      </c>
    </row>
    <row r="212" spans="1:5" ht="15.75" x14ac:dyDescent="0.25">
      <c r="A212" s="10">
        <v>53932358</v>
      </c>
      <c r="B212" s="2">
        <v>46029.343038425926</v>
      </c>
      <c r="C212" s="3" t="str">
        <f>IFERROR(VLOOKUP(A212,'Base Prueba'!A:C,3,),"NO REGISTRA")</f>
        <v>DIANA MADELEYNE GAONA RODRIGUEZ</v>
      </c>
      <c r="D212" s="4" t="str">
        <f>IFERROR(VLOOKUP(A212,'Base Prueba'!A:D,4,),"NO REGISTRA")</f>
        <v>CONTADOR</v>
      </c>
      <c r="E212" s="5" t="str">
        <f>IFERROR(VLOOKUP(A212,'Base Prueba'!A:E,5,),"NO REGISTRA")</f>
        <v>AREA FINANCIERA Y CONTABLE</v>
      </c>
    </row>
    <row r="213" spans="1:5" ht="15.75" x14ac:dyDescent="0.25">
      <c r="A213" s="10">
        <v>1014977624</v>
      </c>
      <c r="B213" s="2">
        <v>46029.343790393519</v>
      </c>
      <c r="C213" s="3" t="str">
        <f>IFERROR(VLOOKUP(A213,'Base Prueba'!A:C,3,),"NO REGISTRA")</f>
        <v>NICCOLE VALENTINA HERNANDEZ MALAVER</v>
      </c>
      <c r="D213" s="4" t="str">
        <f>IFERROR(VLOOKUP(A213,'Base Prueba'!A:D,4,),"NO REGISTRA")</f>
        <v>APRENDIZ UNIVERSITARIO</v>
      </c>
      <c r="E213" s="5" t="str">
        <f>IFERROR(VLOOKUP(A213,'Base Prueba'!A:E,5,),"NO REGISTRA")</f>
        <v>AREA FINANCIERA Y CONTABLE</v>
      </c>
    </row>
    <row r="214" spans="1:5" ht="15.75" x14ac:dyDescent="0.25">
      <c r="A214" s="10">
        <v>1000457706</v>
      </c>
      <c r="B214" s="2">
        <v>46029.345356134261</v>
      </c>
      <c r="C214" s="3" t="str">
        <f>IFERROR(VLOOKUP(A214,'Base Prueba'!A:C,3,),"NO REGISTRA")</f>
        <v>CRISTIAN DANILO ARROYO SANABRIA</v>
      </c>
      <c r="D214" s="4" t="str">
        <f>IFERROR(VLOOKUP(A214,'Base Prueba'!A:D,4,),"NO REGISTRA")</f>
        <v>AUXILIAR CONTABLE</v>
      </c>
      <c r="E214" s="5" t="str">
        <f>IFERROR(VLOOKUP(A214,'Base Prueba'!A:E,5,),"NO REGISTRA")</f>
        <v>AREA FINANCIERA Y CONTABLE</v>
      </c>
    </row>
    <row r="215" spans="1:5" ht="15.75" x14ac:dyDescent="0.25">
      <c r="A215" s="10">
        <v>1026599257</v>
      </c>
      <c r="B215" s="2">
        <v>46029.345504050929</v>
      </c>
      <c r="C215" s="3" t="str">
        <f>IFERROR(VLOOKUP(A215,'Base Prueba'!A:C,3,),"NO REGISTRA")</f>
        <v>YESENIA PAOLA PINEDA HURTADO</v>
      </c>
      <c r="D215" s="4" t="str">
        <f>IFERROR(VLOOKUP(A215,'Base Prueba'!A:D,4,),"NO REGISTRA")</f>
        <v>LIDER DE COMPRAS</v>
      </c>
      <c r="E215" s="5" t="str">
        <f>IFERROR(VLOOKUP(A215,'Base Prueba'!A:E,5,),"NO REGISTRA")</f>
        <v>AREA ADMINISTRATIVA</v>
      </c>
    </row>
    <row r="216" spans="1:5" ht="15.75" x14ac:dyDescent="0.25">
      <c r="A216" s="10">
        <v>1022996882</v>
      </c>
      <c r="B216" s="2">
        <v>46029.34749641204</v>
      </c>
      <c r="C216" s="3" t="str">
        <f>IFERROR(VLOOKUP(A216,'Base Prueba'!A:C,3,),"NO REGISTRA")</f>
        <v>NANCY BRIGITH ALDANA GUEVARA</v>
      </c>
      <c r="D216" s="4" t="str">
        <f>IFERROR(VLOOKUP(A216,'Base Prueba'!A:D,4,),"NO REGISTRA")</f>
        <v>COORDINADORA DE GESTIÓN HUMANA</v>
      </c>
      <c r="E216" s="5" t="str">
        <f>IFERROR(VLOOKUP(A216,'Base Prueba'!A:E,5,),"NO REGISTRA")</f>
        <v>DEPARTAMENTO DE GESTION HUMANA</v>
      </c>
    </row>
    <row r="217" spans="1:5" ht="15.75" x14ac:dyDescent="0.25">
      <c r="A217" s="10">
        <v>1032469638</v>
      </c>
      <c r="B217" s="2">
        <v>46029.347587384262</v>
      </c>
      <c r="C217" s="3" t="str">
        <f>IFERROR(VLOOKUP(A217,'Base Prueba'!A:C,3,),"NO REGISTRA")</f>
        <v>MAICOL JARBEY GUALTEROS CASTAÑEDA</v>
      </c>
      <c r="D217" s="4" t="str">
        <f>IFERROR(VLOOKUP(A217,'Base Prueba'!A:D,4,),"NO REGISTRA")</f>
        <v>COORDINADOR DEL SISTEMA INTERNO DE ASEGURAMIENTO DE LA CALIDAD - SIAC</v>
      </c>
      <c r="E217" s="5" t="str">
        <f>IFERROR(VLOOKUP(A217,'Base Prueba'!A:E,5,),"NO REGISTRA")</f>
        <v>OFICINA DE PLANEACION Y GESTION DE LA CALIDAD</v>
      </c>
    </row>
    <row r="218" spans="1:5" ht="15.75" x14ac:dyDescent="0.25">
      <c r="A218" s="10">
        <v>1000593372</v>
      </c>
      <c r="B218" s="2">
        <v>46029.350740393522</v>
      </c>
      <c r="C218" s="3" t="str">
        <f>IFERROR(VLOOKUP(A218,'Base Prueba'!A:C,3,),"NO REGISTRA")</f>
        <v>LAURA SOFIA CHAPARRO LOPEZ</v>
      </c>
      <c r="D218" s="4" t="str">
        <f>IFERROR(VLOOKUP(A218,'Base Prueba'!A:D,4,),"NO REGISTRA")</f>
        <v>AUXILIAR JURIDICO</v>
      </c>
      <c r="E218" s="5" t="str">
        <f>IFERROR(VLOOKUP(A218,'Base Prueba'!A:E,5,),"NO REGISTRA")</f>
        <v>SECRETARIA GENERAL</v>
      </c>
    </row>
    <row r="219" spans="1:5" ht="15.75" x14ac:dyDescent="0.25">
      <c r="A219" s="10">
        <v>80234243</v>
      </c>
      <c r="B219" s="2">
        <v>46029.357589236111</v>
      </c>
      <c r="C219" s="3" t="str">
        <f>IFERROR(VLOOKUP(A219,'Base Prueba'!A:C,3,),"NO REGISTRA")</f>
        <v>ARGENIS MARTINEZ MARTINEZ</v>
      </c>
      <c r="D219" s="4" t="str">
        <f>IFERROR(VLOOKUP(A219,'Base Prueba'!A:D,4,),"NO REGISTRA")</f>
        <v>LIDER CALL CENTER</v>
      </c>
      <c r="E219" s="5" t="str">
        <f>IFERROR(VLOOKUP(A219,'Base Prueba'!A:E,5,),"NO REGISTRA")</f>
        <v>OFICINA DE MERCADEO</v>
      </c>
    </row>
    <row r="220" spans="1:5" ht="15.75" x14ac:dyDescent="0.25">
      <c r="A220" s="10">
        <v>1000604979</v>
      </c>
      <c r="B220" s="2">
        <v>46029.359890046297</v>
      </c>
      <c r="C220" s="3" t="str">
        <f>IFERROR(VLOOKUP(A220,'Base Prueba'!A:C,3,),"NO REGISTRA")</f>
        <v>JULIETH TATIANA PARDO PINTO</v>
      </c>
      <c r="D220" s="4" t="str">
        <f>IFERROR(VLOOKUP(A220,'Base Prueba'!A:D,4,),"NO REGISTRA")</f>
        <v>AUXILIAR JURIDICO</v>
      </c>
      <c r="E220" s="5" t="str">
        <f>IFERROR(VLOOKUP(A220,'Base Prueba'!A:E,5,),"NO REGISTRA")</f>
        <v>SECRETARIA GENERAL</v>
      </c>
    </row>
    <row r="221" spans="1:5" ht="15.75" x14ac:dyDescent="0.25">
      <c r="A221" s="10">
        <v>52472386</v>
      </c>
      <c r="B221" s="2">
        <v>46029.36185601852</v>
      </c>
      <c r="C221" s="3" t="str">
        <f>IFERROR(VLOOKUP(A221,'Base Prueba'!A:C,3,),"NO REGISTRA")</f>
        <v>ADRIANA MARCELA MORALES PARDO</v>
      </c>
      <c r="D221" s="4" t="str">
        <f>IFERROR(VLOOKUP(A221,'Base Prueba'!A:D,4,),"NO REGISTRA")</f>
        <v>PROMOTOR CALL CENTER</v>
      </c>
      <c r="E221" s="5" t="str">
        <f>IFERROR(VLOOKUP(A221,'Base Prueba'!A:E,5,),"NO REGISTRA")</f>
        <v>OFICINA DE MERCADEO</v>
      </c>
    </row>
    <row r="222" spans="1:5" ht="15.75" x14ac:dyDescent="0.25">
      <c r="A222" s="10">
        <v>1032407386</v>
      </c>
      <c r="B222" s="2">
        <v>46029.36289340278</v>
      </c>
      <c r="C222" s="3" t="str">
        <f>IFERROR(VLOOKUP(A222,'Base Prueba'!A:C,3,),"NO REGISTRA")</f>
        <v>GINA PAOLA BAEZ GALVIS</v>
      </c>
      <c r="D222" s="4" t="str">
        <f>IFERROR(VLOOKUP(A222,'Base Prueba'!A:D,4,),"NO REGISTRA")</f>
        <v>PROMOTOR CALL CENTER</v>
      </c>
      <c r="E222" s="5" t="str">
        <f>IFERROR(VLOOKUP(A222,'Base Prueba'!A:E,5,),"NO REGISTRA")</f>
        <v>OFICINA DE MERCADEO</v>
      </c>
    </row>
    <row r="223" spans="1:5" ht="15.75" x14ac:dyDescent="0.25">
      <c r="A223" s="10">
        <v>28798349</v>
      </c>
      <c r="B223" s="2">
        <v>46029.365973726854</v>
      </c>
      <c r="C223" s="3" t="str">
        <f>IFERROR(VLOOKUP(A223,'Base Prueba'!A:C,3,),"NO REGISTRA")</f>
        <v>MARTHA ISABEL TOVAR WILLIAMS</v>
      </c>
      <c r="D223" s="4" t="str">
        <f>IFERROR(VLOOKUP(A223,'Base Prueba'!A:D,4,),"NO REGISTRA")</f>
        <v>PROMOTOR CALL CENTER</v>
      </c>
      <c r="E223" s="5" t="str">
        <f>IFERROR(VLOOKUP(A223,'Base Prueba'!A:E,5,),"NO REGISTRA")</f>
        <v>OFICINA DE MERCADEO</v>
      </c>
    </row>
    <row r="224" spans="1:5" ht="15.75" x14ac:dyDescent="0.25">
      <c r="A224" s="10">
        <v>1018413529</v>
      </c>
      <c r="B224" s="2">
        <v>46029.36640590278</v>
      </c>
      <c r="C224" s="3" t="str">
        <f>IFERROR(VLOOKUP(A224,'Base Prueba'!A:C,3,),"NO REGISTRA")</f>
        <v>FRANCY STELLA CHARRY MORENO</v>
      </c>
      <c r="D224" s="4" t="str">
        <f>IFERROR(VLOOKUP(A224,'Base Prueba'!A:D,4,),"NO REGISTRA")</f>
        <v>PROMOTOR COMERCIAL DEL CEA</v>
      </c>
      <c r="E224" s="5" t="str">
        <f>IFERROR(VLOOKUP(A224,'Base Prueba'!A:E,5,),"NO REGISTRA")</f>
        <v>OFICINA DE MERCADEO</v>
      </c>
    </row>
    <row r="225" spans="1:5" ht="15.75" x14ac:dyDescent="0.25">
      <c r="A225" s="10">
        <v>1014196857</v>
      </c>
      <c r="B225" s="2">
        <v>46029.367174189814</v>
      </c>
      <c r="C225" s="3" t="str">
        <f>IFERROR(VLOOKUP(A225,'Base Prueba'!A:C,3,),"NO REGISTRA")</f>
        <v>CARLOS ANDRES JIMENEZ PARDO</v>
      </c>
      <c r="D225" s="4" t="str">
        <f>IFERROR(VLOOKUP(A225,'Base Prueba'!A:D,4,),"NO REGISTRA")</f>
        <v>COORDINADOR DE MARKETING DIGITAL</v>
      </c>
      <c r="E225" s="5" t="str">
        <f>IFERROR(VLOOKUP(A225,'Base Prueba'!A:E,5,),"NO REGISTRA")</f>
        <v>OFICINA DE MERCADEO</v>
      </c>
    </row>
    <row r="226" spans="1:5" ht="15.75" x14ac:dyDescent="0.25">
      <c r="A226" s="10">
        <v>1014266838</v>
      </c>
      <c r="B226" s="2">
        <v>46029.371101504628</v>
      </c>
      <c r="C226" s="3" t="str">
        <f>IFERROR(VLOOKUP(A226,'Base Prueba'!A:C,3,),"NO REGISTRA")</f>
        <v>JENNIFER ASTRID ROMERO HURTADO</v>
      </c>
      <c r="D226" s="4" t="str">
        <f>IFERROR(VLOOKUP(A226,'Base Prueba'!A:D,4,),"NO REGISTRA")</f>
        <v>LIDER DE RECAUDO</v>
      </c>
      <c r="E226" s="5" t="str">
        <f>IFERROR(VLOOKUP(A226,'Base Prueba'!A:E,5,),"NO REGISTRA")</f>
        <v>AREA FINANCIERA Y CONTABLE</v>
      </c>
    </row>
    <row r="227" spans="1:5" ht="15.75" x14ac:dyDescent="0.25">
      <c r="A227" s="10">
        <v>1018414290</v>
      </c>
      <c r="B227" s="2">
        <v>46029.374612615742</v>
      </c>
      <c r="C227" s="3" t="str">
        <f>IFERROR(VLOOKUP(A227,'Base Prueba'!A:C,3,),"NO REGISTRA")</f>
        <v>AMANDA LISBETH RODRIGUEZ LEON</v>
      </c>
      <c r="D227" s="4" t="str">
        <f>IFERROR(VLOOKUP(A227,'Base Prueba'!A:D,4,),"NO REGISTRA")</f>
        <v>PROMOTOR CALL CENTER</v>
      </c>
      <c r="E227" s="5" t="str">
        <f>IFERROR(VLOOKUP(A227,'Base Prueba'!A:E,5,),"NO REGISTRA")</f>
        <v>OFICINA DE MERCADEO</v>
      </c>
    </row>
    <row r="228" spans="1:5" ht="15.75" x14ac:dyDescent="0.25">
      <c r="A228" s="10">
        <v>1023961952</v>
      </c>
      <c r="B228" s="2">
        <v>46029.375017013888</v>
      </c>
      <c r="C228" s="3" t="str">
        <f>IFERROR(VLOOKUP(A228,'Base Prueba'!A:C,3,),"NO REGISTRA")</f>
        <v>ALEJANDRO PINZON MERCHAN</v>
      </c>
      <c r="D228" s="4" t="str">
        <f>IFERROR(VLOOKUP(A228,'Base Prueba'!A:D,4,),"NO REGISTRA")</f>
        <v>PROMOTOR CALL CENTER</v>
      </c>
      <c r="E228" s="5" t="str">
        <f>IFERROR(VLOOKUP(A228,'Base Prueba'!A:E,5,),"NO REGISTRA")</f>
        <v>OFICINA DE MERCADEO</v>
      </c>
    </row>
    <row r="229" spans="1:5" ht="15.75" x14ac:dyDescent="0.25">
      <c r="A229" s="10">
        <v>1003690253</v>
      </c>
      <c r="B229" s="2">
        <v>46029.37620648148</v>
      </c>
      <c r="C229" s="3" t="str">
        <f>IFERROR(VLOOKUP(A229,'Base Prueba'!A:C,3,),"NO REGISTRA")</f>
        <v>MELISSA GONZALEZ PEDRAZA</v>
      </c>
      <c r="D229" s="4" t="str">
        <f>IFERROR(VLOOKUP(A229,'Base Prueba'!A:D,4,),"NO REGISTRA")</f>
        <v>LIDER DE JOVENES A LA E</v>
      </c>
      <c r="E229" s="5" t="str">
        <f>IFERROR(VLOOKUP(A229,'Base Prueba'!A:E,5,),"NO REGISTRA")</f>
        <v>DIRECCION DE BIENESTAR INSTITUCIONAL</v>
      </c>
    </row>
    <row r="230" spans="1:5" ht="15.75" x14ac:dyDescent="0.25">
      <c r="A230" s="10">
        <v>1019105003</v>
      </c>
      <c r="B230" s="2">
        <v>46029.377429166663</v>
      </c>
      <c r="C230" s="3" t="str">
        <f>IFERROR(VLOOKUP(A230,'Base Prueba'!A:C,3,),"NO REGISTRA")</f>
        <v>DAISY JULIETH GASPAR MORENO</v>
      </c>
      <c r="D230" s="4" t="str">
        <f>IFERROR(VLOOKUP(A230,'Base Prueba'!A:D,4,),"NO REGISTRA")</f>
        <v>PROMOTOR CALL CENTER</v>
      </c>
      <c r="E230" s="5" t="str">
        <f>IFERROR(VLOOKUP(A230,'Base Prueba'!A:E,5,),"NO REGISTRA")</f>
        <v>OFICINA DE MERCADEO</v>
      </c>
    </row>
    <row r="231" spans="1:5" ht="15.75" x14ac:dyDescent="0.25">
      <c r="A231" s="10">
        <v>53089882</v>
      </c>
      <c r="B231" s="2">
        <v>46029.378605208331</v>
      </c>
      <c r="C231" s="3" t="str">
        <f>IFERROR(VLOOKUP(A231,'Base Prueba'!A:C,3,),"NO REGISTRA")</f>
        <v>MARIA JOHANA ESCAMILLA MARTINEZ</v>
      </c>
      <c r="D231" s="4" t="str">
        <f>IFERROR(VLOOKUP(A231,'Base Prueba'!A:D,4,),"NO REGISTRA")</f>
        <v>PROMOTOR DE INFORMACIÓN</v>
      </c>
      <c r="E231" s="5" t="str">
        <f>IFERROR(VLOOKUP(A231,'Base Prueba'!A:E,5,),"NO REGISTRA")</f>
        <v>OFICINA DE MERCADEO</v>
      </c>
    </row>
    <row r="232" spans="1:5" ht="15.75" x14ac:dyDescent="0.25">
      <c r="A232" s="10">
        <v>1000046533</v>
      </c>
      <c r="B232" s="2">
        <v>46029.381523842596</v>
      </c>
      <c r="C232" s="3" t="str">
        <f>IFERROR(VLOOKUP(A232,'Base Prueba'!A:C,3,),"NO REGISTRA")</f>
        <v>ERIKA JULIETH VALDERRAMA SANCHEZ</v>
      </c>
      <c r="D232" s="4" t="str">
        <f>IFERROR(VLOOKUP(A232,'Base Prueba'!A:D,4,),"NO REGISTRA")</f>
        <v>PROMOTOR CALL CENTER</v>
      </c>
      <c r="E232" s="5" t="str">
        <f>IFERROR(VLOOKUP(A232,'Base Prueba'!A:E,5,),"NO REGISTRA")</f>
        <v>OFICINA DE MERCADEO</v>
      </c>
    </row>
    <row r="233" spans="1:5" ht="15.75" x14ac:dyDescent="0.25">
      <c r="A233" s="10">
        <v>1000365751</v>
      </c>
      <c r="B233" s="2">
        <v>46029.394882870372</v>
      </c>
      <c r="C233" s="3" t="str">
        <f>IFERROR(VLOOKUP(A233,'Base Prueba'!A:C,3,),"NO REGISTRA")</f>
        <v>JHOAN NICOLAS ESCAMILLA MANJARRES</v>
      </c>
      <c r="D233" s="4" t="str">
        <f>IFERROR(VLOOKUP(A233,'Base Prueba'!A:D,4,),"NO REGISTRA")</f>
        <v>APRENDIZ UNIVERSITARIO</v>
      </c>
      <c r="E233" s="5" t="str">
        <f>IFERROR(VLOOKUP(A233,'Base Prueba'!A:E,5,),"NO REGISTRA")</f>
        <v>OFICINA DE MERCADEO</v>
      </c>
    </row>
    <row r="234" spans="1:5" ht="15.75" x14ac:dyDescent="0.25">
      <c r="A234" s="10">
        <v>1193265768</v>
      </c>
      <c r="B234" s="2">
        <v>46029.397165162038</v>
      </c>
      <c r="C234" s="3" t="str">
        <f>IFERROR(VLOOKUP(A234,'Base Prueba'!A:C,3,),"NO REGISTRA")</f>
        <v>SANTIAGO OSORIO CAMACHO</v>
      </c>
      <c r="D234" s="4" t="str">
        <f>IFERROR(VLOOKUP(A234,'Base Prueba'!A:D,4,),"NO REGISTRA")</f>
        <v>ANALISTA DE PAUTA</v>
      </c>
      <c r="E234" s="5" t="str">
        <f>IFERROR(VLOOKUP(A234,'Base Prueba'!A:E,5,),"NO REGISTRA")</f>
        <v>OFICINA DE MERCADEO</v>
      </c>
    </row>
    <row r="235" spans="1:5" ht="15.75" x14ac:dyDescent="0.25">
      <c r="A235" s="10">
        <v>1013098645</v>
      </c>
      <c r="B235" s="2">
        <v>46029.398845023148</v>
      </c>
      <c r="C235" s="3" t="str">
        <f>IFERROR(VLOOKUP(A235,'Base Prueba'!A:C,3,),"NO REGISTRA")</f>
        <v>CATHERINE LUCIA PENAGOS RIVERA</v>
      </c>
      <c r="D235" s="4" t="str">
        <f>IFERROR(VLOOKUP(A235,'Base Prueba'!A:D,4,),"NO REGISTRA")</f>
        <v>LIDER DE REGISTRO Y CONTROL ACADEMICO</v>
      </c>
      <c r="E235" s="5" t="str">
        <f>IFERROR(VLOOKUP(A235,'Base Prueba'!A:E,5,),"NO REGISTRA")</f>
        <v>REGISTRO Y CONTROL ACADEMICO</v>
      </c>
    </row>
    <row r="236" spans="1:5" ht="15.75" x14ac:dyDescent="0.25">
      <c r="A236" s="10">
        <v>52443092</v>
      </c>
      <c r="B236" s="2">
        <v>46029.541626967592</v>
      </c>
      <c r="C236" s="3" t="str">
        <f>IFERROR(VLOOKUP(A236,'Base Prueba'!A:C,3,),"NO REGISTRA")</f>
        <v>LUZ MYRIAM SAAVEDRA CONTRERAS</v>
      </c>
      <c r="D236" s="4" t="str">
        <f>IFERROR(VLOOKUP(A236,'Base Prueba'!A:D,4,),"NO REGISTRA")</f>
        <v>AUXILIAR DE SERVICIOS</v>
      </c>
      <c r="E236" s="5" t="str">
        <f>IFERROR(VLOOKUP(A236,'Base Prueba'!A:E,5,),"NO REGISTRA")</f>
        <v>LOGISTICA Y SERVICIOS GENERALES</v>
      </c>
    </row>
    <row r="237" spans="1:5" ht="15.75" x14ac:dyDescent="0.25">
      <c r="A237" s="10">
        <v>1031802160</v>
      </c>
      <c r="B237" s="2">
        <v>46029.709597337962</v>
      </c>
      <c r="C237" s="3" t="str">
        <f>IFERROR(VLOOKUP(A237,'Base Prueba'!A:C,3,),"NO REGISTRA")</f>
        <v>LUISA MARIA MAHECHA SOTOMAYOR</v>
      </c>
      <c r="D237" s="4" t="str">
        <f>IFERROR(VLOOKUP(A237,'Base Prueba'!A:D,4,),"NO REGISTRA")</f>
        <v>APRENDIZ UNIVERSITARIO</v>
      </c>
      <c r="E237" s="5" t="str">
        <f>IFERROR(VLOOKUP(A237,'Base Prueba'!A:E,5,),"NO REGISTRA")</f>
        <v>OFICINA DE MERCADEO</v>
      </c>
    </row>
    <row r="238" spans="1:5" ht="15.75" x14ac:dyDescent="0.25">
      <c r="A238" s="10">
        <v>1024505434</v>
      </c>
      <c r="B238" s="2">
        <v>46029.722369097224</v>
      </c>
      <c r="C238" s="3" t="str">
        <f>IFERROR(VLOOKUP(A238,'Base Prueba'!A:C,3,),"NO REGISTRA")</f>
        <v>CRISTIAN ALBERTO MELO TORRES</v>
      </c>
      <c r="D238" s="4" t="str">
        <f>IFERROR(VLOOKUP(A238,'Base Prueba'!A:D,4,),"NO REGISTRA")</f>
        <v>COORDINADOR DE INFRAESTRUCTURA</v>
      </c>
      <c r="E238" s="5" t="str">
        <f>IFERROR(VLOOKUP(A238,'Base Prueba'!A:E,5,),"NO REGISTRA")</f>
        <v>VICERRECTORIA ADMINISTRATIVA Y FINANCIERA</v>
      </c>
    </row>
    <row r="239" spans="1:5" ht="15.75" x14ac:dyDescent="0.25">
      <c r="A239" s="10">
        <v>1111043661</v>
      </c>
      <c r="B239" s="2">
        <v>46029.750884837966</v>
      </c>
      <c r="C239" s="3" t="str">
        <f>IFERROR(VLOOKUP(A239,'Base Prueba'!A:C,3,),"NO REGISTRA")</f>
        <v>KEVIN JOHAN MORA GARCIA</v>
      </c>
      <c r="D239" s="4" t="str">
        <f>IFERROR(VLOOKUP(A239,'Base Prueba'!A:D,4,),"NO REGISTRA")</f>
        <v>APRENDIZ UNIVERSITARIO</v>
      </c>
      <c r="E239" s="5" t="str">
        <f>IFERROR(VLOOKUP(A239,'Base Prueba'!A:E,5,),"NO REGISTRA")</f>
        <v>CENTRO DE GESTION DOCUMENTAL</v>
      </c>
    </row>
    <row r="240" spans="1:5" ht="15.75" x14ac:dyDescent="0.25">
      <c r="A240" s="10">
        <v>1087121273</v>
      </c>
      <c r="B240" s="2">
        <v>46029.750900578707</v>
      </c>
      <c r="C240" s="3" t="str">
        <f>IFERROR(VLOOKUP(A240,'Base Prueba'!A:C,3,),"NO REGISTRA")</f>
        <v>MAYRA ALEJANDRA CASTILLO ARBOLEDA</v>
      </c>
      <c r="D240" s="4" t="str">
        <f>IFERROR(VLOOKUP(A240,'Base Prueba'!A:D,4,),"NO REGISTRA")</f>
        <v>APOYO INTEGRAL DE MERCADEO</v>
      </c>
      <c r="E240" s="5" t="str">
        <f>IFERROR(VLOOKUP(A240,'Base Prueba'!A:E,5,),"NO REGISTRA")</f>
        <v>CENTRO DE GESTION DOCUMENTAL</v>
      </c>
    </row>
    <row r="241" spans="1:5" ht="15.75" x14ac:dyDescent="0.25">
      <c r="A241" s="10">
        <v>1193457976</v>
      </c>
      <c r="B241" s="2">
        <v>46029.751062384261</v>
      </c>
      <c r="C241" s="3" t="str">
        <f>IFERROR(VLOOKUP(A241,'Base Prueba'!A:C,3,),"NO REGISTRA")</f>
        <v>SEDENIS RIVAS ASPRILLA</v>
      </c>
      <c r="D241" s="4" t="str">
        <f>IFERROR(VLOOKUP(A241,'Base Prueba'!A:D,4,),"NO REGISTRA")</f>
        <v>APRENDIZ UNIVERSITARIO</v>
      </c>
      <c r="E241" s="5" t="str">
        <f>IFERROR(VLOOKUP(A241,'Base Prueba'!A:E,5,),"NO REGISTRA")</f>
        <v>DEPARTAMENTO DE GESTION HUMANA</v>
      </c>
    </row>
    <row r="242" spans="1:5" ht="15.75" x14ac:dyDescent="0.25">
      <c r="A242" s="10">
        <v>1022996882</v>
      </c>
      <c r="B242" s="2">
        <v>46029.751141666668</v>
      </c>
      <c r="C242" s="3" t="str">
        <f>IFERROR(VLOOKUP(A242,'Base Prueba'!A:C,3,),"NO REGISTRA")</f>
        <v>NANCY BRIGITH ALDANA GUEVARA</v>
      </c>
      <c r="D242" s="4" t="str">
        <f>IFERROR(VLOOKUP(A242,'Base Prueba'!A:D,4,),"NO REGISTRA")</f>
        <v>COORDINADORA DE GESTIÓN HUMANA</v>
      </c>
      <c r="E242" s="5" t="str">
        <f>IFERROR(VLOOKUP(A242,'Base Prueba'!A:E,5,),"NO REGISTRA")</f>
        <v>DEPARTAMENTO DE GESTION HUMANA</v>
      </c>
    </row>
    <row r="243" spans="1:5" ht="15.75" x14ac:dyDescent="0.25">
      <c r="A243" s="10">
        <v>1000046533</v>
      </c>
      <c r="B243" s="2">
        <v>46029.751539120371</v>
      </c>
      <c r="C243" s="3" t="str">
        <f>IFERROR(VLOOKUP(A243,'Base Prueba'!A:C,3,),"NO REGISTRA")</f>
        <v>ERIKA JULIETH VALDERRAMA SANCHEZ</v>
      </c>
      <c r="D243" s="4" t="str">
        <f>IFERROR(VLOOKUP(A243,'Base Prueba'!A:D,4,),"NO REGISTRA")</f>
        <v>PROMOTOR CALL CENTER</v>
      </c>
      <c r="E243" s="5" t="str">
        <f>IFERROR(VLOOKUP(A243,'Base Prueba'!A:E,5,),"NO REGISTRA")</f>
        <v>OFICINA DE MERCADEO</v>
      </c>
    </row>
    <row r="244" spans="1:5" ht="15.75" x14ac:dyDescent="0.25">
      <c r="A244" s="10">
        <v>1000467399</v>
      </c>
      <c r="B244" s="2">
        <v>46029.751805902779</v>
      </c>
      <c r="C244" s="3" t="str">
        <f>IFERROR(VLOOKUP(A244,'Base Prueba'!A:C,3,),"NO REGISTRA")</f>
        <v>BRANDO ESTIVEN DIAZ QUIMBAYA</v>
      </c>
      <c r="D244" s="4" t="str">
        <f>IFERROR(VLOOKUP(A244,'Base Prueba'!A:D,4,),"NO REGISTRA")</f>
        <v>APRENDIZ UNIVERSITARIO</v>
      </c>
      <c r="E244" s="5" t="str">
        <f>IFERROR(VLOOKUP(A244,'Base Prueba'!A:E,5,),"NO REGISTRA")</f>
        <v>DEPARTAMENTO DE GESTION HUMANA</v>
      </c>
    </row>
    <row r="245" spans="1:5" ht="15.75" x14ac:dyDescent="0.25">
      <c r="A245" s="10">
        <v>1032469638</v>
      </c>
      <c r="B245" s="2">
        <v>46029.751917013891</v>
      </c>
      <c r="C245" s="3" t="str">
        <f>IFERROR(VLOOKUP(A245,'Base Prueba'!A:C,3,),"NO REGISTRA")</f>
        <v>MAICOL JARBEY GUALTEROS CASTAÑEDA</v>
      </c>
      <c r="D245" s="4" t="str">
        <f>IFERROR(VLOOKUP(A245,'Base Prueba'!A:D,4,),"NO REGISTRA")</f>
        <v>COORDINADOR DEL SISTEMA INTERNO DE ASEGURAMIENTO DE LA CALIDAD - SIAC</v>
      </c>
      <c r="E245" s="5" t="str">
        <f>IFERROR(VLOOKUP(A245,'Base Prueba'!A:E,5,),"NO REGISTRA")</f>
        <v>OFICINA DE PLANEACION Y GESTION DE LA CALIDAD</v>
      </c>
    </row>
    <row r="246" spans="1:5" ht="15.75" x14ac:dyDescent="0.25">
      <c r="A246" s="10">
        <v>1049644802</v>
      </c>
      <c r="B246" s="2">
        <v>46029.751952314815</v>
      </c>
      <c r="C246" s="3" t="str">
        <f>IFERROR(VLOOKUP(A246,'Base Prueba'!A:C,3,),"NO REGISTRA")</f>
        <v>DANIELA ALEXANDRA CIPAMOCHA BOSIGA</v>
      </c>
      <c r="D246" s="4" t="str">
        <f>IFERROR(VLOOKUP(A246,'Base Prueba'!A:D,4,),"NO REGISTRA")</f>
        <v>LIDER DE DATOS Y SERVICIOS</v>
      </c>
      <c r="E246" s="5" t="str">
        <f>IFERROR(VLOOKUP(A246,'Base Prueba'!A:E,5,),"NO REGISTRA")</f>
        <v>OFICINA DE PLANEACION Y GESTION DE LA CALIDAD</v>
      </c>
    </row>
    <row r="247" spans="1:5" ht="15.75" x14ac:dyDescent="0.25">
      <c r="A247" s="10">
        <v>1000354041</v>
      </c>
      <c r="B247" s="2">
        <v>46029.752306828705</v>
      </c>
      <c r="C247" s="3" t="str">
        <f>IFERROR(VLOOKUP(A247,'Base Prueba'!A:C,3,),"NO REGISTRA")</f>
        <v>ANGIE NATALIA BOHORQUEZ SANCHEZ</v>
      </c>
      <c r="D247" s="4" t="str">
        <f>IFERROR(VLOOKUP(A247,'Base Prueba'!A:D,4,),"NO REGISTRA")</f>
        <v>APRENDIZ UNIVERSITARIO</v>
      </c>
      <c r="E247" s="5" t="str">
        <f>IFERROR(VLOOKUP(A247,'Base Prueba'!A:E,5,),"NO REGISTRA")</f>
        <v>OFICINA DE PLANEACION Y GESTION DE LA CALIDAD</v>
      </c>
    </row>
    <row r="248" spans="1:5" ht="15.75" x14ac:dyDescent="0.25">
      <c r="A248" s="10">
        <v>1000365751</v>
      </c>
      <c r="B248" s="2">
        <v>46029.753506944442</v>
      </c>
      <c r="C248" s="3" t="str">
        <f>IFERROR(VLOOKUP(A248,'Base Prueba'!A:C,3,),"NO REGISTRA")</f>
        <v>JHOAN NICOLAS ESCAMILLA MANJARRES</v>
      </c>
      <c r="D248" s="4" t="str">
        <f>IFERROR(VLOOKUP(A248,'Base Prueba'!A:D,4,),"NO REGISTRA")</f>
        <v>APRENDIZ UNIVERSITARIO</v>
      </c>
      <c r="E248" s="5" t="str">
        <f>IFERROR(VLOOKUP(A248,'Base Prueba'!A:E,5,),"NO REGISTRA")</f>
        <v>OFICINA DE MERCADEO</v>
      </c>
    </row>
    <row r="249" spans="1:5" ht="15.75" x14ac:dyDescent="0.25">
      <c r="A249" s="10">
        <v>52474489</v>
      </c>
      <c r="B249" s="2">
        <v>46029.754991319445</v>
      </c>
      <c r="C249" s="3" t="str">
        <f>IFERROR(VLOOKUP(A249,'Base Prueba'!A:C,3,),"NO REGISTRA")</f>
        <v>ADRIANA JIMENA SOTO BOCANEGRA</v>
      </c>
      <c r="D249" s="4" t="str">
        <f>IFERROR(VLOOKUP(A249,'Base Prueba'!A:D,4,),"NO REGISTRA")</f>
        <v>COORDINADOR DE LA OFICINA DE REGISTRO Y CONTROL</v>
      </c>
      <c r="E249" s="5" t="str">
        <f>IFERROR(VLOOKUP(A249,'Base Prueba'!A:E,5,),"NO REGISTRA")</f>
        <v>REGISTRO Y CONTROL ACADEMICO</v>
      </c>
    </row>
    <row r="250" spans="1:5" ht="15.75" x14ac:dyDescent="0.25">
      <c r="A250" s="10">
        <v>1014308296</v>
      </c>
      <c r="B250" s="2">
        <v>46029.756413541669</v>
      </c>
      <c r="C250" s="3" t="str">
        <f>IFERROR(VLOOKUP(A250,'Base Prueba'!A:C,3,),"NO REGISTRA")</f>
        <v>DARLENE YULIANA MORENO CELEITA</v>
      </c>
      <c r="D250" s="4" t="str">
        <f>IFERROR(VLOOKUP(A250,'Base Prueba'!A:D,4,),"NO REGISTRA")</f>
        <v>CAJERO PRINCIPAL</v>
      </c>
      <c r="E250" s="5" t="str">
        <f>IFERROR(VLOOKUP(A250,'Base Prueba'!A:E,5,),"NO REGISTRA")</f>
        <v>AREA FINANCIERA Y CONTABLE</v>
      </c>
    </row>
    <row r="251" spans="1:5" ht="15.75" x14ac:dyDescent="0.25">
      <c r="A251" s="10">
        <v>80238161</v>
      </c>
      <c r="B251" s="2">
        <v>46029.75925891204</v>
      </c>
      <c r="C251" s="3" t="str">
        <f>IFERROR(VLOOKUP(A251,'Base Prueba'!A:C,3,),"NO REGISTRA")</f>
        <v>GERMAN CARRANZA ESPITIA</v>
      </c>
      <c r="D251" s="4" t="str">
        <f>IFERROR(VLOOKUP(A251,'Base Prueba'!A:D,4,),"NO REGISTRA")</f>
        <v>TESORERO</v>
      </c>
      <c r="E251" s="5" t="str">
        <f>IFERROR(VLOOKUP(A251,'Base Prueba'!A:E,5,),"NO REGISTRA")</f>
        <v>AREA FINANCIERA Y CONTABLE</v>
      </c>
    </row>
    <row r="252" spans="1:5" ht="15.75" x14ac:dyDescent="0.25">
      <c r="A252" s="10">
        <v>1012357415</v>
      </c>
      <c r="B252" s="2">
        <v>46029.760383333334</v>
      </c>
      <c r="C252" s="3" t="str">
        <f>IFERROR(VLOOKUP(A252,'Base Prueba'!A:C,3,),"NO REGISTRA")</f>
        <v>CINDY LORENA BOHORQUEZ LEYVA</v>
      </c>
      <c r="D252" s="4" t="str">
        <f>IFERROR(VLOOKUP(A252,'Base Prueba'!A:D,4,),"NO REGISTRA")</f>
        <v>ANALISTA DE TESORERIA</v>
      </c>
      <c r="E252" s="5" t="str">
        <f>IFERROR(VLOOKUP(A252,'Base Prueba'!A:E,5,),"NO REGISTRA")</f>
        <v>AREA FINANCIERA Y CONTABLE</v>
      </c>
    </row>
    <row r="253" spans="1:5" ht="15.75" x14ac:dyDescent="0.25">
      <c r="A253" s="10">
        <v>1014977624</v>
      </c>
      <c r="B253" s="2">
        <v>46029.764770486108</v>
      </c>
      <c r="C253" s="3" t="str">
        <f>IFERROR(VLOOKUP(A253,'Base Prueba'!A:C,3,),"NO REGISTRA")</f>
        <v>NICCOLE VALENTINA HERNANDEZ MALAVER</v>
      </c>
      <c r="D253" s="4" t="str">
        <f>IFERROR(VLOOKUP(A253,'Base Prueba'!A:D,4,),"NO REGISTRA")</f>
        <v>APRENDIZ UNIVERSITARIO</v>
      </c>
      <c r="E253" s="5" t="str">
        <f>IFERROR(VLOOKUP(A253,'Base Prueba'!A:E,5,),"NO REGISTRA")</f>
        <v>AREA FINANCIERA Y CONTABLE</v>
      </c>
    </row>
    <row r="254" spans="1:5" ht="15.75" x14ac:dyDescent="0.25">
      <c r="A254" s="10">
        <v>1026599257</v>
      </c>
      <c r="B254" s="2">
        <v>46029.76509050926</v>
      </c>
      <c r="C254" s="3" t="str">
        <f>IFERROR(VLOOKUP(A254,'Base Prueba'!A:C,3,),"NO REGISTRA")</f>
        <v>YESENIA PAOLA PINEDA HURTADO</v>
      </c>
      <c r="D254" s="4" t="str">
        <f>IFERROR(VLOOKUP(A254,'Base Prueba'!A:D,4,),"NO REGISTRA")</f>
        <v>LIDER DE COMPRAS</v>
      </c>
      <c r="E254" s="5" t="str">
        <f>IFERROR(VLOOKUP(A254,'Base Prueba'!A:E,5,),"NO REGISTRA")</f>
        <v>AREA ADMINISTRATIVA</v>
      </c>
    </row>
    <row r="255" spans="1:5" ht="15.75" x14ac:dyDescent="0.25">
      <c r="A255" s="10">
        <v>1000257136</v>
      </c>
      <c r="B255" s="2">
        <v>46029.766016782407</v>
      </c>
      <c r="C255" s="3" t="str">
        <f>IFERROR(VLOOKUP(A255,'Base Prueba'!A:C,3,),"NO REGISTRA")</f>
        <v>FRANCI VALENTINA CANO PUENTES</v>
      </c>
      <c r="D255" s="4" t="str">
        <f>IFERROR(VLOOKUP(A255,'Base Prueba'!A:D,4,),"NO REGISTRA")</f>
        <v>AUXILIAR CONTABLE</v>
      </c>
      <c r="E255" s="5" t="str">
        <f>IFERROR(VLOOKUP(A255,'Base Prueba'!A:E,5,),"NO REGISTRA")</f>
        <v>AREA FINANCIERA Y CONTABLE</v>
      </c>
    </row>
    <row r="256" spans="1:5" ht="15.75" x14ac:dyDescent="0.25">
      <c r="A256" s="10">
        <v>1000457706</v>
      </c>
      <c r="B256" s="2">
        <v>46029.766534027774</v>
      </c>
      <c r="C256" s="3" t="str">
        <f>IFERROR(VLOOKUP(A256,'Base Prueba'!A:C,3,),"NO REGISTRA")</f>
        <v>CRISTIAN DANILO ARROYO SANABRIA</v>
      </c>
      <c r="D256" s="4" t="str">
        <f>IFERROR(VLOOKUP(A256,'Base Prueba'!A:D,4,),"NO REGISTRA")</f>
        <v>AUXILIAR CONTABLE</v>
      </c>
      <c r="E256" s="5" t="str">
        <f>IFERROR(VLOOKUP(A256,'Base Prueba'!A:E,5,),"NO REGISTRA")</f>
        <v>AREA FINANCIERA Y CONTABLE</v>
      </c>
    </row>
    <row r="257" spans="1:5" ht="15.75" x14ac:dyDescent="0.25">
      <c r="A257" s="10">
        <v>1000593372</v>
      </c>
      <c r="B257" s="2">
        <v>46029.772108564815</v>
      </c>
      <c r="C257" s="3" t="str">
        <f>IFERROR(VLOOKUP(A257,'Base Prueba'!A:C,3,),"NO REGISTRA")</f>
        <v>LAURA SOFIA CHAPARRO LOPEZ</v>
      </c>
      <c r="D257" s="4" t="str">
        <f>IFERROR(VLOOKUP(A257,'Base Prueba'!A:D,4,),"NO REGISTRA")</f>
        <v>AUXILIAR JURIDICO</v>
      </c>
      <c r="E257" s="5" t="str">
        <f>IFERROR(VLOOKUP(A257,'Base Prueba'!A:E,5,),"NO REGISTRA")</f>
        <v>SECRETARIA GENERAL</v>
      </c>
    </row>
    <row r="258" spans="1:5" ht="15.75" x14ac:dyDescent="0.25">
      <c r="A258" s="10">
        <v>1000604979</v>
      </c>
      <c r="B258" s="2">
        <v>46029.772133680555</v>
      </c>
      <c r="C258" s="3" t="str">
        <f>IFERROR(VLOOKUP(A258,'Base Prueba'!A:C,3,),"NO REGISTRA")</f>
        <v>JULIETH TATIANA PARDO PINTO</v>
      </c>
      <c r="D258" s="4" t="str">
        <f>IFERROR(VLOOKUP(A258,'Base Prueba'!A:D,4,),"NO REGISTRA")</f>
        <v>AUXILIAR JURIDICO</v>
      </c>
      <c r="E258" s="5" t="str">
        <f>IFERROR(VLOOKUP(A258,'Base Prueba'!A:E,5,),"NO REGISTRA")</f>
        <v>SECRETARIA GENERAL</v>
      </c>
    </row>
    <row r="259" spans="1:5" ht="15.75" x14ac:dyDescent="0.25">
      <c r="A259" s="10">
        <v>1013098645</v>
      </c>
      <c r="B259" s="2">
        <v>46029.775049305557</v>
      </c>
      <c r="C259" s="3" t="str">
        <f>IFERROR(VLOOKUP(A259,'Base Prueba'!A:C,3,),"NO REGISTRA")</f>
        <v>CATHERINE LUCIA PENAGOS RIVERA</v>
      </c>
      <c r="D259" s="4" t="str">
        <f>IFERROR(VLOOKUP(A259,'Base Prueba'!A:D,4,),"NO REGISTRA")</f>
        <v>LIDER DE REGISTRO Y CONTROL ACADEMICO</v>
      </c>
      <c r="E259" s="5" t="str">
        <f>IFERROR(VLOOKUP(A259,'Base Prueba'!A:E,5,),"NO REGISTRA")</f>
        <v>REGISTRO Y CONTROL ACADEMICO</v>
      </c>
    </row>
    <row r="260" spans="1:5" ht="15.75" x14ac:dyDescent="0.25">
      <c r="A260" s="10">
        <v>1032407386</v>
      </c>
      <c r="B260" s="2">
        <v>46029.776265509259</v>
      </c>
      <c r="C260" s="3" t="str">
        <f>IFERROR(VLOOKUP(A260,'Base Prueba'!A:C,3,),"NO REGISTRA")</f>
        <v>GINA PAOLA BAEZ GALVIS</v>
      </c>
      <c r="D260" s="4" t="str">
        <f>IFERROR(VLOOKUP(A260,'Base Prueba'!A:D,4,),"NO REGISTRA")</f>
        <v>PROMOTOR CALL CENTER</v>
      </c>
      <c r="E260" s="5" t="str">
        <f>IFERROR(VLOOKUP(A260,'Base Prueba'!A:E,5,),"NO REGISTRA")</f>
        <v>OFICINA DE MERCADEO</v>
      </c>
    </row>
    <row r="261" spans="1:5" ht="15.75" x14ac:dyDescent="0.25">
      <c r="A261" s="10">
        <v>52472386</v>
      </c>
      <c r="B261" s="2">
        <v>46029.777964930552</v>
      </c>
      <c r="C261" s="3" t="str">
        <f>IFERROR(VLOOKUP(A261,'Base Prueba'!A:C,3,),"NO REGISTRA")</f>
        <v>ADRIANA MARCELA MORALES PARDO</v>
      </c>
      <c r="D261" s="4" t="str">
        <f>IFERROR(VLOOKUP(A261,'Base Prueba'!A:D,4,),"NO REGISTRA")</f>
        <v>PROMOTOR CALL CENTER</v>
      </c>
      <c r="E261" s="5" t="str">
        <f>IFERROR(VLOOKUP(A261,'Base Prueba'!A:E,5,),"NO REGISTRA")</f>
        <v>OFICINA DE MERCADEO</v>
      </c>
    </row>
    <row r="262" spans="1:5" ht="15.75" x14ac:dyDescent="0.25">
      <c r="A262" s="10">
        <v>1018414290</v>
      </c>
      <c r="B262" s="2">
        <v>46029.778004745371</v>
      </c>
      <c r="C262" s="3" t="str">
        <f>IFERROR(VLOOKUP(A262,'Base Prueba'!A:C,3,),"NO REGISTRA")</f>
        <v>AMANDA LISBETH RODRIGUEZ LEON</v>
      </c>
      <c r="D262" s="4" t="str">
        <f>IFERROR(VLOOKUP(A262,'Base Prueba'!A:D,4,),"NO REGISTRA")</f>
        <v>PROMOTOR CALL CENTER</v>
      </c>
      <c r="E262" s="5" t="str">
        <f>IFERROR(VLOOKUP(A262,'Base Prueba'!A:E,5,),"NO REGISTRA")</f>
        <v>OFICINA DE MERCADEO</v>
      </c>
    </row>
    <row r="263" spans="1:5" ht="15.75" x14ac:dyDescent="0.25">
      <c r="A263" s="10">
        <v>52764929</v>
      </c>
      <c r="B263" s="2">
        <v>46029.780174768515</v>
      </c>
      <c r="C263" s="3" t="str">
        <f>IFERROR(VLOOKUP(A263,'Base Prueba'!A:C,3,),"NO REGISTRA")</f>
        <v>GUERLY YOHANA DURAN RIVERA</v>
      </c>
      <c r="D263" s="4" t="str">
        <f>IFERROR(VLOOKUP(A263,'Base Prueba'!A:D,4,),"NO REGISTRA")</f>
        <v>LIDER DE VINCULACION COLEGIOS</v>
      </c>
      <c r="E263" s="5" t="str">
        <f>IFERROR(VLOOKUP(A263,'Base Prueba'!A:E,5,),"NO REGISTRA")</f>
        <v>OFICINA DE MERCADEO</v>
      </c>
    </row>
    <row r="264" spans="1:5" ht="15.75" x14ac:dyDescent="0.25">
      <c r="A264" s="10">
        <v>1000254831</v>
      </c>
      <c r="B264" s="2">
        <v>46029.780492013888</v>
      </c>
      <c r="C264" s="3" t="str">
        <f>IFERROR(VLOOKUP(A264,'Base Prueba'!A:C,3,),"NO REGISTRA")</f>
        <v>BRIDGET ROSSANA DIAZ BOGOTA</v>
      </c>
      <c r="D264" s="4" t="str">
        <f>IFERROR(VLOOKUP(A264,'Base Prueba'!A:D,4,),"NO REGISTRA")</f>
        <v>AUXILIAR DE DISEÑO</v>
      </c>
      <c r="E264" s="5" t="str">
        <f>IFERROR(VLOOKUP(A264,'Base Prueba'!A:E,5,),"NO REGISTRA")</f>
        <v>OFICINA DE MERCADEO</v>
      </c>
    </row>
    <row r="265" spans="1:5" ht="15.75" x14ac:dyDescent="0.25">
      <c r="A265" s="10">
        <v>1019105003</v>
      </c>
      <c r="B265" s="2">
        <v>46029.781026273151</v>
      </c>
      <c r="C265" s="3" t="str">
        <f>IFERROR(VLOOKUP(A265,'Base Prueba'!A:C,3,),"NO REGISTRA")</f>
        <v>DAISY JULIETH GASPAR MORENO</v>
      </c>
      <c r="D265" s="4" t="str">
        <f>IFERROR(VLOOKUP(A265,'Base Prueba'!A:D,4,),"NO REGISTRA")</f>
        <v>PROMOTOR CALL CENTER</v>
      </c>
      <c r="E265" s="5" t="str">
        <f>IFERROR(VLOOKUP(A265,'Base Prueba'!A:E,5,),"NO REGISTRA")</f>
        <v>OFICINA DE MERCADEO</v>
      </c>
    </row>
    <row r="266" spans="1:5" ht="15.75" x14ac:dyDescent="0.25">
      <c r="A266" s="10">
        <v>1193265768</v>
      </c>
      <c r="B266" s="2">
        <v>46029.783565625003</v>
      </c>
      <c r="C266" s="3" t="str">
        <f>IFERROR(VLOOKUP(A266,'Base Prueba'!A:C,3,),"NO REGISTRA")</f>
        <v>SANTIAGO OSORIO CAMACHO</v>
      </c>
      <c r="D266" s="4" t="str">
        <f>IFERROR(VLOOKUP(A266,'Base Prueba'!A:D,4,),"NO REGISTRA")</f>
        <v>ANALISTA DE PAUTA</v>
      </c>
      <c r="E266" s="5" t="str">
        <f>IFERROR(VLOOKUP(A266,'Base Prueba'!A:E,5,),"NO REGISTRA")</f>
        <v>OFICINA DE MERCADEO</v>
      </c>
    </row>
    <row r="267" spans="1:5" ht="15.75" x14ac:dyDescent="0.25">
      <c r="A267" s="10">
        <v>1014196857</v>
      </c>
      <c r="B267" s="2">
        <v>46029.783805092593</v>
      </c>
      <c r="C267" s="3" t="str">
        <f>IFERROR(VLOOKUP(A267,'Base Prueba'!A:C,3,),"NO REGISTRA")</f>
        <v>CARLOS ANDRES JIMENEZ PARDO</v>
      </c>
      <c r="D267" s="4" t="str">
        <f>IFERROR(VLOOKUP(A267,'Base Prueba'!A:D,4,),"NO REGISTRA")</f>
        <v>COORDINADOR DE MARKETING DIGITAL</v>
      </c>
      <c r="E267" s="5" t="str">
        <f>IFERROR(VLOOKUP(A267,'Base Prueba'!A:E,5,),"NO REGISTRA")</f>
        <v>OFICINA DE MERCADEO</v>
      </c>
    </row>
    <row r="268" spans="1:5" ht="15.75" x14ac:dyDescent="0.25">
      <c r="A268" s="10">
        <v>1018413529</v>
      </c>
      <c r="B268" s="2">
        <v>46029.784543634261</v>
      </c>
      <c r="C268" s="3" t="str">
        <f>IFERROR(VLOOKUP(A268,'Base Prueba'!A:C,3,),"NO REGISTRA")</f>
        <v>FRANCY STELLA CHARRY MORENO</v>
      </c>
      <c r="D268" s="4" t="str">
        <f>IFERROR(VLOOKUP(A268,'Base Prueba'!A:D,4,),"NO REGISTRA")</f>
        <v>PROMOTOR COMERCIAL DEL CEA</v>
      </c>
      <c r="E268" s="5" t="str">
        <f>IFERROR(VLOOKUP(A268,'Base Prueba'!A:E,5,),"NO REGISTRA")</f>
        <v>OFICINA DE MERCADEO</v>
      </c>
    </row>
    <row r="269" spans="1:5" ht="15.75" x14ac:dyDescent="0.25">
      <c r="A269" s="10">
        <v>53089882</v>
      </c>
      <c r="B269" s="2">
        <v>46029.784646759261</v>
      </c>
      <c r="C269" s="3" t="str">
        <f>IFERROR(VLOOKUP(A269,'Base Prueba'!A:C,3,),"NO REGISTRA")</f>
        <v>MARIA JOHANA ESCAMILLA MARTINEZ</v>
      </c>
      <c r="D269" s="4" t="str">
        <f>IFERROR(VLOOKUP(A269,'Base Prueba'!A:D,4,),"NO REGISTRA")</f>
        <v>PROMOTOR DE INFORMACIÓN</v>
      </c>
      <c r="E269" s="5" t="str">
        <f>IFERROR(VLOOKUP(A269,'Base Prueba'!A:E,5,),"NO REGISTRA")</f>
        <v>OFICINA DE MERCADEO</v>
      </c>
    </row>
    <row r="270" spans="1:5" ht="15.75" x14ac:dyDescent="0.25">
      <c r="A270" s="10">
        <v>28798349</v>
      </c>
      <c r="B270" s="2">
        <v>46029.784702430552</v>
      </c>
      <c r="C270" s="3" t="str">
        <f>IFERROR(VLOOKUP(A270,'Base Prueba'!A:C,3,),"NO REGISTRA")</f>
        <v>MARTHA ISABEL TOVAR WILLIAMS</v>
      </c>
      <c r="D270" s="4" t="str">
        <f>IFERROR(VLOOKUP(A270,'Base Prueba'!A:D,4,),"NO REGISTRA")</f>
        <v>PROMOTOR CALL CENTER</v>
      </c>
      <c r="E270" s="5" t="str">
        <f>IFERROR(VLOOKUP(A270,'Base Prueba'!A:E,5,),"NO REGISTRA")</f>
        <v>OFICINA DE MERCADEO</v>
      </c>
    </row>
    <row r="271" spans="1:5" ht="15.75" x14ac:dyDescent="0.25">
      <c r="A271" s="10">
        <v>1023961952</v>
      </c>
      <c r="B271" s="2">
        <v>46029.784759259259</v>
      </c>
      <c r="C271" s="3" t="str">
        <f>IFERROR(VLOOKUP(A271,'Base Prueba'!A:C,3,),"NO REGISTRA")</f>
        <v>ALEJANDRO PINZON MERCHAN</v>
      </c>
      <c r="D271" s="4" t="str">
        <f>IFERROR(VLOOKUP(A271,'Base Prueba'!A:D,4,),"NO REGISTRA")</f>
        <v>PROMOTOR CALL CENTER</v>
      </c>
      <c r="E271" s="5" t="str">
        <f>IFERROR(VLOOKUP(A271,'Base Prueba'!A:E,5,),"NO REGISTRA")</f>
        <v>OFICINA DE MERCADEO</v>
      </c>
    </row>
    <row r="272" spans="1:5" ht="15.75" x14ac:dyDescent="0.25">
      <c r="A272" s="10">
        <v>1003690253</v>
      </c>
      <c r="B272" s="2">
        <v>46029.784798263892</v>
      </c>
      <c r="C272" s="3" t="str">
        <f>IFERROR(VLOOKUP(A272,'Base Prueba'!A:C,3,),"NO REGISTRA")</f>
        <v>MELISSA GONZALEZ PEDRAZA</v>
      </c>
      <c r="D272" s="4" t="str">
        <f>IFERROR(VLOOKUP(A272,'Base Prueba'!A:D,4,),"NO REGISTRA")</f>
        <v>LIDER DE JOVENES A LA E</v>
      </c>
      <c r="E272" s="5" t="str">
        <f>IFERROR(VLOOKUP(A272,'Base Prueba'!A:E,5,),"NO REGISTRA")</f>
        <v>DIRECCION DE BIENESTAR INSTITUCIONAL</v>
      </c>
    </row>
    <row r="273" spans="1:5" ht="15.75" x14ac:dyDescent="0.25">
      <c r="A273" s="10">
        <v>1014266838</v>
      </c>
      <c r="B273" s="2">
        <v>46029.787683333336</v>
      </c>
      <c r="C273" s="3" t="str">
        <f>IFERROR(VLOOKUP(A273,'Base Prueba'!A:C,3,),"NO REGISTRA")</f>
        <v>JENNIFER ASTRID ROMERO HURTADO</v>
      </c>
      <c r="D273" s="4" t="str">
        <f>IFERROR(VLOOKUP(A273,'Base Prueba'!A:D,4,),"NO REGISTRA")</f>
        <v>LIDER DE RECAUDO</v>
      </c>
      <c r="E273" s="5" t="str">
        <f>IFERROR(VLOOKUP(A273,'Base Prueba'!A:E,5,),"NO REGISTRA")</f>
        <v>AREA FINANCIERA Y CONTABLE</v>
      </c>
    </row>
    <row r="274" spans="1:5" ht="15.75" x14ac:dyDescent="0.25">
      <c r="A274" s="10">
        <v>53932358</v>
      </c>
      <c r="B274" s="2">
        <v>46029.787691319441</v>
      </c>
      <c r="C274" s="3" t="str">
        <f>IFERROR(VLOOKUP(A274,'Base Prueba'!A:C,3,),"NO REGISTRA")</f>
        <v>DIANA MADELEYNE GAONA RODRIGUEZ</v>
      </c>
      <c r="D274" s="4" t="str">
        <f>IFERROR(VLOOKUP(A274,'Base Prueba'!A:D,4,),"NO REGISTRA")</f>
        <v>CONTADOR</v>
      </c>
      <c r="E274" s="5" t="str">
        <f>IFERROR(VLOOKUP(A274,'Base Prueba'!A:E,5,),"NO REGISTRA")</f>
        <v>AREA FINANCIERA Y CONTABLE</v>
      </c>
    </row>
    <row r="275" spans="1:5" ht="15.75" x14ac:dyDescent="0.25">
      <c r="A275" s="10">
        <v>80234243</v>
      </c>
      <c r="B275" s="2">
        <v>46029.805370833332</v>
      </c>
      <c r="C275" s="3" t="str">
        <f>IFERROR(VLOOKUP(A275,'Base Prueba'!A:C,3,),"NO REGISTRA")</f>
        <v>ARGENIS MARTINEZ MARTINEZ</v>
      </c>
      <c r="D275" s="4" t="str">
        <f>IFERROR(VLOOKUP(A275,'Base Prueba'!A:D,4,),"NO REGISTRA")</f>
        <v>LIDER CALL CENTER</v>
      </c>
      <c r="E275" s="5" t="str">
        <f>IFERROR(VLOOKUP(A275,'Base Prueba'!A:E,5,),"NO REGISTRA")</f>
        <v>OFICINA DE MERCADEO</v>
      </c>
    </row>
    <row r="276" spans="1:5" ht="15.75" x14ac:dyDescent="0.25">
      <c r="A276" s="10">
        <v>1087121273</v>
      </c>
      <c r="B276" s="2">
        <v>46030.316511574078</v>
      </c>
      <c r="C276" s="3" t="str">
        <f>IFERROR(VLOOKUP(A276,'Base Prueba'!A:C,3,),"NO REGISTRA")</f>
        <v>MAYRA ALEJANDRA CASTILLO ARBOLEDA</v>
      </c>
      <c r="D276" s="4" t="str">
        <f>IFERROR(VLOOKUP(A276,'Base Prueba'!A:D,4,),"NO REGISTRA")</f>
        <v>APOYO INTEGRAL DE MERCADEO</v>
      </c>
      <c r="E276" s="5" t="str">
        <f>IFERROR(VLOOKUP(A276,'Base Prueba'!A:E,5,),"NO REGISTRA")</f>
        <v>CENTRO DE GESTION DOCUMENTAL</v>
      </c>
    </row>
    <row r="277" spans="1:5" ht="15.75" x14ac:dyDescent="0.25">
      <c r="A277" s="10">
        <v>1049644802</v>
      </c>
      <c r="B277" s="2">
        <v>46030.328785995371</v>
      </c>
      <c r="C277" s="3" t="str">
        <f>IFERROR(VLOOKUP(A277,'Base Prueba'!A:C,3,),"NO REGISTRA")</f>
        <v>DANIELA ALEXANDRA CIPAMOCHA BOSIGA</v>
      </c>
      <c r="D277" s="4" t="str">
        <f>IFERROR(VLOOKUP(A277,'Base Prueba'!A:D,4,),"NO REGISTRA")</f>
        <v>LIDER DE DATOS Y SERVICIOS</v>
      </c>
      <c r="E277" s="5" t="str">
        <f>IFERROR(VLOOKUP(A277,'Base Prueba'!A:E,5,),"NO REGISTRA")</f>
        <v>OFICINA DE PLANEACION Y GESTION DE LA CALIDAD</v>
      </c>
    </row>
    <row r="278" spans="1:5" ht="15.75" x14ac:dyDescent="0.25">
      <c r="A278" s="10">
        <v>1014308296</v>
      </c>
      <c r="B278" s="2">
        <v>46030.331802893517</v>
      </c>
      <c r="C278" s="3" t="str">
        <f>IFERROR(VLOOKUP(A278,'Base Prueba'!A:C,3,),"NO REGISTRA")</f>
        <v>DARLENE YULIANA MORENO CELEITA</v>
      </c>
      <c r="D278" s="4" t="str">
        <f>IFERROR(VLOOKUP(A278,'Base Prueba'!A:D,4,),"NO REGISTRA")</f>
        <v>CAJERO PRINCIPAL</v>
      </c>
      <c r="E278" s="5" t="str">
        <f>IFERROR(VLOOKUP(A278,'Base Prueba'!A:E,5,),"NO REGISTRA")</f>
        <v>AREA FINANCIERA Y CONTABLE</v>
      </c>
    </row>
    <row r="279" spans="1:5" ht="15.75" x14ac:dyDescent="0.25">
      <c r="A279" s="10">
        <v>1031802160</v>
      </c>
      <c r="B279" s="2">
        <v>46030.333683333331</v>
      </c>
      <c r="C279" s="3" t="str">
        <f>IFERROR(VLOOKUP(A279,'Base Prueba'!A:C,3,),"NO REGISTRA")</f>
        <v>LUISA MARIA MAHECHA SOTOMAYOR</v>
      </c>
      <c r="D279" s="4" t="str">
        <f>IFERROR(VLOOKUP(A279,'Base Prueba'!A:D,4,),"NO REGISTRA")</f>
        <v>APRENDIZ UNIVERSITARIO</v>
      </c>
      <c r="E279" s="5" t="str">
        <f>IFERROR(VLOOKUP(A279,'Base Prueba'!A:E,5,),"NO REGISTRA")</f>
        <v>OFICINA DE MERCADEO</v>
      </c>
    </row>
    <row r="280" spans="1:5" ht="15.75" x14ac:dyDescent="0.25">
      <c r="A280" s="10">
        <v>1032469638</v>
      </c>
      <c r="B280" s="2">
        <v>46030.335091782406</v>
      </c>
      <c r="C280" s="3" t="str">
        <f>IFERROR(VLOOKUP(A280,'Base Prueba'!A:C,3,),"NO REGISTRA")</f>
        <v>MAICOL JARBEY GUALTEROS CASTAÑEDA</v>
      </c>
      <c r="D280" s="4" t="str">
        <f>IFERROR(VLOOKUP(A280,'Base Prueba'!A:D,4,),"NO REGISTRA")</f>
        <v>COORDINADOR DEL SISTEMA INTERNO DE ASEGURAMIENTO DE LA CALIDAD - SIAC</v>
      </c>
      <c r="E280" s="5" t="str">
        <f>IFERROR(VLOOKUP(A280,'Base Prueba'!A:E,5,),"NO REGISTRA")</f>
        <v>OFICINA DE PLANEACION Y GESTION DE LA CALIDAD</v>
      </c>
    </row>
    <row r="281" spans="1:5" ht="15.75" x14ac:dyDescent="0.25">
      <c r="A281" s="10">
        <v>1000687931</v>
      </c>
      <c r="B281" s="2">
        <v>46030.335712731481</v>
      </c>
      <c r="C281" s="3" t="str">
        <f>IFERROR(VLOOKUP(A281,'Base Prueba'!A:C,3,),"NO REGISTRA")</f>
        <v>ANDRES FELIPE PUENTES TORRES</v>
      </c>
      <c r="D281" s="4" t="str">
        <f>IFERROR(VLOOKUP(A281,'Base Prueba'!A:D,4,),"NO REGISTRA")</f>
        <v>AUXILIAR ADMINISTRATIVO</v>
      </c>
      <c r="E281" s="5" t="str">
        <f>IFERROR(VLOOKUP(A281,'Base Prueba'!A:E,5,),"NO REGISTRA")</f>
        <v>REGISTRO Y CONTROL ACADEMICO</v>
      </c>
    </row>
    <row r="282" spans="1:5" ht="15.75" x14ac:dyDescent="0.25">
      <c r="A282" s="10">
        <v>1013098645</v>
      </c>
      <c r="B282" s="2">
        <v>46030.337708333333</v>
      </c>
      <c r="C282" s="3" t="str">
        <f>IFERROR(VLOOKUP(A282,'Base Prueba'!A:C,3,),"NO REGISTRA")</f>
        <v>CATHERINE LUCIA PENAGOS RIVERA</v>
      </c>
      <c r="D282" s="4" t="str">
        <f>IFERROR(VLOOKUP(A282,'Base Prueba'!A:D,4,),"NO REGISTRA")</f>
        <v>LIDER DE REGISTRO Y CONTROL ACADEMICO</v>
      </c>
      <c r="E282" s="5" t="str">
        <f>IFERROR(VLOOKUP(A282,'Base Prueba'!A:E,5,),"NO REGISTRA")</f>
        <v>REGISTRO Y CONTROL ACADEMICO</v>
      </c>
    </row>
    <row r="283" spans="1:5" ht="15.75" x14ac:dyDescent="0.25">
      <c r="A283" s="10">
        <v>1012357415</v>
      </c>
      <c r="B283" s="2">
        <v>46030.342681481481</v>
      </c>
      <c r="C283" s="3" t="str">
        <f>IFERROR(VLOOKUP(A283,'Base Prueba'!A:C,3,),"NO REGISTRA")</f>
        <v>CINDY LORENA BOHORQUEZ LEYVA</v>
      </c>
      <c r="D283" s="4" t="str">
        <f>IFERROR(VLOOKUP(A283,'Base Prueba'!A:D,4,),"NO REGISTRA")</f>
        <v>ANALISTA DE TESORERIA</v>
      </c>
      <c r="E283" s="5" t="str">
        <f>IFERROR(VLOOKUP(A283,'Base Prueba'!A:E,5,),"NO REGISTRA")</f>
        <v>AREA FINANCIERA Y CONTABLE</v>
      </c>
    </row>
    <row r="284" spans="1:5" ht="15.75" x14ac:dyDescent="0.25">
      <c r="A284" s="10">
        <v>1193457976</v>
      </c>
      <c r="B284" s="2">
        <v>46030.342954282409</v>
      </c>
      <c r="C284" s="3" t="str">
        <f>IFERROR(VLOOKUP(A284,'Base Prueba'!A:C,3,),"NO REGISTRA")</f>
        <v>SEDENIS RIVAS ASPRILLA</v>
      </c>
      <c r="D284" s="4" t="str">
        <f>IFERROR(VLOOKUP(A284,'Base Prueba'!A:D,4,),"NO REGISTRA")</f>
        <v>APRENDIZ UNIVERSITARIO</v>
      </c>
      <c r="E284" s="5" t="str">
        <f>IFERROR(VLOOKUP(A284,'Base Prueba'!A:E,5,),"NO REGISTRA")</f>
        <v>DEPARTAMENTO DE GESTION HUMANA</v>
      </c>
    </row>
    <row r="285" spans="1:5" ht="15.75" x14ac:dyDescent="0.25">
      <c r="A285" s="10">
        <v>53932358</v>
      </c>
      <c r="B285" s="2">
        <v>46030.343976041666</v>
      </c>
      <c r="C285" s="3" t="str">
        <f>IFERROR(VLOOKUP(A285,'Base Prueba'!A:C,3,),"NO REGISTRA")</f>
        <v>DIANA MADELEYNE GAONA RODRIGUEZ</v>
      </c>
      <c r="D285" s="4" t="str">
        <f>IFERROR(VLOOKUP(A285,'Base Prueba'!A:D,4,),"NO REGISTRA")</f>
        <v>CONTADOR</v>
      </c>
      <c r="E285" s="5" t="str">
        <f>IFERROR(VLOOKUP(A285,'Base Prueba'!A:E,5,),"NO REGISTRA")</f>
        <v>AREA FINANCIERA Y CONTABLE</v>
      </c>
    </row>
    <row r="286" spans="1:5" ht="15.75" x14ac:dyDescent="0.25">
      <c r="A286" s="10">
        <v>1022996882</v>
      </c>
      <c r="B286" s="2">
        <v>46030.344352777778</v>
      </c>
      <c r="C286" s="3" t="str">
        <f>IFERROR(VLOOKUP(A286,'Base Prueba'!A:C,3,),"NO REGISTRA")</f>
        <v>NANCY BRIGITH ALDANA GUEVARA</v>
      </c>
      <c r="D286" s="4" t="str">
        <f>IFERROR(VLOOKUP(A286,'Base Prueba'!A:D,4,),"NO REGISTRA")</f>
        <v>COORDINADORA DE GESTIÓN HUMANA</v>
      </c>
      <c r="E286" s="5" t="str">
        <f>IFERROR(VLOOKUP(A286,'Base Prueba'!A:E,5,),"NO REGISTRA")</f>
        <v>DEPARTAMENTO DE GESTION HUMANA</v>
      </c>
    </row>
    <row r="287" spans="1:5" ht="15.75" x14ac:dyDescent="0.25">
      <c r="A287" s="10">
        <v>1000457706</v>
      </c>
      <c r="B287" s="2">
        <v>46030.344421875001</v>
      </c>
      <c r="C287" s="3" t="str">
        <f>IFERROR(VLOOKUP(A287,'Base Prueba'!A:C,3,),"NO REGISTRA")</f>
        <v>CRISTIAN DANILO ARROYO SANABRIA</v>
      </c>
      <c r="D287" s="4" t="str">
        <f>IFERROR(VLOOKUP(A287,'Base Prueba'!A:D,4,),"NO REGISTRA")</f>
        <v>AUXILIAR CONTABLE</v>
      </c>
      <c r="E287" s="5" t="str">
        <f>IFERROR(VLOOKUP(A287,'Base Prueba'!A:E,5,),"NO REGISTRA")</f>
        <v>AREA FINANCIERA Y CONTABLE</v>
      </c>
    </row>
    <row r="288" spans="1:5" ht="15.75" x14ac:dyDescent="0.25">
      <c r="A288" s="10">
        <v>1000604979</v>
      </c>
      <c r="B288" s="2">
        <v>46030.344627662038</v>
      </c>
      <c r="C288" s="3" t="str">
        <f>IFERROR(VLOOKUP(A288,'Base Prueba'!A:C,3,),"NO REGISTRA")</f>
        <v>JULIETH TATIANA PARDO PINTO</v>
      </c>
      <c r="D288" s="4" t="str">
        <f>IFERROR(VLOOKUP(A288,'Base Prueba'!A:D,4,),"NO REGISTRA")</f>
        <v>AUXILIAR JURIDICO</v>
      </c>
      <c r="E288" s="5" t="str">
        <f>IFERROR(VLOOKUP(A288,'Base Prueba'!A:E,5,),"NO REGISTRA")</f>
        <v>SECRETARIA GENERAL</v>
      </c>
    </row>
    <row r="289" spans="1:5" ht="15.75" x14ac:dyDescent="0.25">
      <c r="A289" s="10">
        <v>1003690253</v>
      </c>
      <c r="B289" s="2">
        <v>46030.351529861109</v>
      </c>
      <c r="C289" s="3" t="str">
        <f>IFERROR(VLOOKUP(A289,'Base Prueba'!A:C,3,),"NO REGISTRA")</f>
        <v>MELISSA GONZALEZ PEDRAZA</v>
      </c>
      <c r="D289" s="4" t="str">
        <f>IFERROR(VLOOKUP(A289,'Base Prueba'!A:D,4,),"NO REGISTRA")</f>
        <v>LIDER DE JOVENES A LA E</v>
      </c>
      <c r="E289" s="5" t="str">
        <f>IFERROR(VLOOKUP(A289,'Base Prueba'!A:E,5,),"NO REGISTRA")</f>
        <v>DIRECCION DE BIENESTAR INSTITUCIONAL</v>
      </c>
    </row>
    <row r="290" spans="1:5" ht="15.75" x14ac:dyDescent="0.25">
      <c r="A290" s="10">
        <v>1000593372</v>
      </c>
      <c r="B290" s="2">
        <v>46030.355215740739</v>
      </c>
      <c r="C290" s="3" t="str">
        <f>IFERROR(VLOOKUP(A290,'Base Prueba'!A:C,3,),"NO REGISTRA")</f>
        <v>LAURA SOFIA CHAPARRO LOPEZ</v>
      </c>
      <c r="D290" s="4" t="str">
        <f>IFERROR(VLOOKUP(A290,'Base Prueba'!A:D,4,),"NO REGISTRA")</f>
        <v>AUXILIAR JURIDICO</v>
      </c>
      <c r="E290" s="5" t="str">
        <f>IFERROR(VLOOKUP(A290,'Base Prueba'!A:E,5,),"NO REGISTRA")</f>
        <v>SECRETARIA GENERAL</v>
      </c>
    </row>
    <row r="291" spans="1:5" ht="15.75" x14ac:dyDescent="0.25">
      <c r="A291" s="10">
        <v>1016090131</v>
      </c>
      <c r="B291" s="2">
        <v>46030.365011574075</v>
      </c>
      <c r="C291" s="3" t="str">
        <f>IFERROR(VLOOKUP(A291,'Base Prueba'!A:C,3,),"NO REGISTRA")</f>
        <v>NICOLAS RODRIGUEZ PACHECO</v>
      </c>
      <c r="D291" s="4" t="str">
        <f>IFERROR(VLOOKUP(A291,'Base Prueba'!A:D,4,),"NO REGISTRA")</f>
        <v>COORDINADOR DE COMUNICACIONES</v>
      </c>
      <c r="E291" s="5" t="str">
        <f>IFERROR(VLOOKUP(A291,'Base Prueba'!A:E,5,),"NO REGISTRA")</f>
        <v>OFICINA DE MERCADEO</v>
      </c>
    </row>
    <row r="292" spans="1:5" ht="15.75" x14ac:dyDescent="0.25">
      <c r="A292" s="10">
        <v>52472386</v>
      </c>
      <c r="B292" s="2">
        <v>46030.368831944441</v>
      </c>
      <c r="C292" s="3" t="str">
        <f>IFERROR(VLOOKUP(A292,'Base Prueba'!A:C,3,),"NO REGISTRA")</f>
        <v>ADRIANA MARCELA MORALES PARDO</v>
      </c>
      <c r="D292" s="4" t="str">
        <f>IFERROR(VLOOKUP(A292,'Base Prueba'!A:D,4,),"NO REGISTRA")</f>
        <v>PROMOTOR CALL CENTER</v>
      </c>
      <c r="E292" s="5" t="str">
        <f>IFERROR(VLOOKUP(A292,'Base Prueba'!A:E,5,),"NO REGISTRA")</f>
        <v>OFICINA DE MERCADEO</v>
      </c>
    </row>
    <row r="293" spans="1:5" ht="15.75" x14ac:dyDescent="0.25">
      <c r="A293" s="10">
        <v>1032407386</v>
      </c>
      <c r="B293" s="2">
        <v>46030.369366319443</v>
      </c>
      <c r="C293" s="3" t="str">
        <f>IFERROR(VLOOKUP(A293,'Base Prueba'!A:C,3,),"NO REGISTRA")</f>
        <v>GINA PAOLA BAEZ GALVIS</v>
      </c>
      <c r="D293" s="4" t="str">
        <f>IFERROR(VLOOKUP(A293,'Base Prueba'!A:D,4,),"NO REGISTRA")</f>
        <v>PROMOTOR CALL CENTER</v>
      </c>
      <c r="E293" s="5" t="str">
        <f>IFERROR(VLOOKUP(A293,'Base Prueba'!A:E,5,),"NO REGISTRA")</f>
        <v>OFICINA DE MERCADEO</v>
      </c>
    </row>
    <row r="294" spans="1:5" ht="15.75" x14ac:dyDescent="0.25">
      <c r="A294" s="10">
        <v>1023961952</v>
      </c>
      <c r="B294" s="2">
        <v>46030.371852083335</v>
      </c>
      <c r="C294" s="3" t="str">
        <f>IFERROR(VLOOKUP(A294,'Base Prueba'!A:C,3,),"NO REGISTRA")</f>
        <v>ALEJANDRO PINZON MERCHAN</v>
      </c>
      <c r="D294" s="4" t="str">
        <f>IFERROR(VLOOKUP(A294,'Base Prueba'!A:D,4,),"NO REGISTRA")</f>
        <v>PROMOTOR CALL CENTER</v>
      </c>
      <c r="E294" s="5" t="str">
        <f>IFERROR(VLOOKUP(A294,'Base Prueba'!A:E,5,),"NO REGISTRA")</f>
        <v>OFICINA DE MERCADEO</v>
      </c>
    </row>
    <row r="295" spans="1:5" ht="15.75" x14ac:dyDescent="0.25">
      <c r="A295" s="10">
        <v>80234243</v>
      </c>
      <c r="B295" s="2">
        <v>46030.371896875004</v>
      </c>
      <c r="C295" s="3" t="str">
        <f>IFERROR(VLOOKUP(A295,'Base Prueba'!A:C,3,),"NO REGISTRA")</f>
        <v>ARGENIS MARTINEZ MARTINEZ</v>
      </c>
      <c r="D295" s="4" t="str">
        <f>IFERROR(VLOOKUP(A295,'Base Prueba'!A:D,4,),"NO REGISTRA")</f>
        <v>LIDER CALL CENTER</v>
      </c>
      <c r="E295" s="5" t="str">
        <f>IFERROR(VLOOKUP(A295,'Base Prueba'!A:E,5,),"NO REGISTRA")</f>
        <v>OFICINA DE MERCADEO</v>
      </c>
    </row>
    <row r="296" spans="1:5" ht="15.75" x14ac:dyDescent="0.25">
      <c r="A296" s="10">
        <v>1018413529</v>
      </c>
      <c r="B296" s="2">
        <v>46030.373221296293</v>
      </c>
      <c r="C296" s="3" t="str">
        <f>IFERROR(VLOOKUP(A296,'Base Prueba'!A:C,3,),"NO REGISTRA")</f>
        <v>FRANCY STELLA CHARRY MORENO</v>
      </c>
      <c r="D296" s="4" t="str">
        <f>IFERROR(VLOOKUP(A296,'Base Prueba'!A:D,4,),"NO REGISTRA")</f>
        <v>PROMOTOR COMERCIAL DEL CEA</v>
      </c>
      <c r="E296" s="5" t="str">
        <f>IFERROR(VLOOKUP(A296,'Base Prueba'!A:E,5,),"NO REGISTRA")</f>
        <v>OFICINA DE MERCADEO</v>
      </c>
    </row>
    <row r="297" spans="1:5" ht="15.75" x14ac:dyDescent="0.25">
      <c r="A297" s="10">
        <v>28798349</v>
      </c>
      <c r="B297" s="2">
        <v>46030.379431250003</v>
      </c>
      <c r="C297" s="3" t="str">
        <f>IFERROR(VLOOKUP(A297,'Base Prueba'!A:C,3,),"NO REGISTRA")</f>
        <v>MARTHA ISABEL TOVAR WILLIAMS</v>
      </c>
      <c r="D297" s="4" t="str">
        <f>IFERROR(VLOOKUP(A297,'Base Prueba'!A:D,4,),"NO REGISTRA")</f>
        <v>PROMOTOR CALL CENTER</v>
      </c>
      <c r="E297" s="5" t="str">
        <f>IFERROR(VLOOKUP(A297,'Base Prueba'!A:E,5,),"NO REGISTRA")</f>
        <v>OFICINA DE MERCADEO</v>
      </c>
    </row>
    <row r="298" spans="1:5" ht="15.75" x14ac:dyDescent="0.25">
      <c r="A298" s="10">
        <v>52764929</v>
      </c>
      <c r="B298" s="2">
        <v>46030.381230092593</v>
      </c>
      <c r="C298" s="3" t="str">
        <f>IFERROR(VLOOKUP(A298,'Base Prueba'!A:C,3,),"NO REGISTRA")</f>
        <v>GUERLY YOHANA DURAN RIVERA</v>
      </c>
      <c r="D298" s="4" t="str">
        <f>IFERROR(VLOOKUP(A298,'Base Prueba'!A:D,4,),"NO REGISTRA")</f>
        <v>LIDER DE VINCULACION COLEGIOS</v>
      </c>
      <c r="E298" s="5" t="str">
        <f>IFERROR(VLOOKUP(A298,'Base Prueba'!A:E,5,),"NO REGISTRA")</f>
        <v>OFICINA DE MERCADEO</v>
      </c>
    </row>
    <row r="299" spans="1:5" ht="15.75" x14ac:dyDescent="0.25">
      <c r="A299" s="10">
        <v>1019105003</v>
      </c>
      <c r="B299" s="2">
        <v>46030.387637615742</v>
      </c>
      <c r="C299" s="3" t="str">
        <f>IFERROR(VLOOKUP(A299,'Base Prueba'!A:C,3,),"NO REGISTRA")</f>
        <v>DAISY JULIETH GASPAR MORENO</v>
      </c>
      <c r="D299" s="4" t="str">
        <f>IFERROR(VLOOKUP(A299,'Base Prueba'!A:D,4,),"NO REGISTRA")</f>
        <v>PROMOTOR CALL CENTER</v>
      </c>
      <c r="E299" s="5" t="str">
        <f>IFERROR(VLOOKUP(A299,'Base Prueba'!A:E,5,),"NO REGISTRA")</f>
        <v>OFICINA DE MERCADEO</v>
      </c>
    </row>
    <row r="300" spans="1:5" ht="15.75" x14ac:dyDescent="0.25">
      <c r="A300" s="10">
        <v>1000254831</v>
      </c>
      <c r="B300" s="2">
        <v>46030.387712152777</v>
      </c>
      <c r="C300" s="3" t="str">
        <f>IFERROR(VLOOKUP(A300,'Base Prueba'!A:C,3,),"NO REGISTRA")</f>
        <v>BRIDGET ROSSANA DIAZ BOGOTA</v>
      </c>
      <c r="D300" s="4" t="str">
        <f>IFERROR(VLOOKUP(A300,'Base Prueba'!A:D,4,),"NO REGISTRA")</f>
        <v>AUXILIAR DE DISEÑO</v>
      </c>
      <c r="E300" s="5" t="str">
        <f>IFERROR(VLOOKUP(A300,'Base Prueba'!A:E,5,),"NO REGISTRA")</f>
        <v>OFICINA DE MERCADEO</v>
      </c>
    </row>
    <row r="301" spans="1:5" ht="15.75" x14ac:dyDescent="0.25">
      <c r="A301" s="10">
        <v>1014196857</v>
      </c>
      <c r="B301" s="2">
        <v>46030.388701388889</v>
      </c>
      <c r="C301" s="3" t="str">
        <f>IFERROR(VLOOKUP(A301,'Base Prueba'!A:C,3,),"NO REGISTRA")</f>
        <v>CARLOS ANDRES JIMENEZ PARDO</v>
      </c>
      <c r="D301" s="4" t="str">
        <f>IFERROR(VLOOKUP(A301,'Base Prueba'!A:D,4,),"NO REGISTRA")</f>
        <v>COORDINADOR DE MARKETING DIGITAL</v>
      </c>
      <c r="E301" s="5" t="str">
        <f>IFERROR(VLOOKUP(A301,'Base Prueba'!A:E,5,),"NO REGISTRA")</f>
        <v>OFICINA DE MERCADEO</v>
      </c>
    </row>
    <row r="302" spans="1:5" ht="15.75" x14ac:dyDescent="0.25">
      <c r="A302" s="10">
        <v>1193265768</v>
      </c>
      <c r="B302" s="2">
        <v>46030.389804861108</v>
      </c>
      <c r="C302" s="3" t="str">
        <f>IFERROR(VLOOKUP(A302,'Base Prueba'!A:C,3,),"NO REGISTRA")</f>
        <v>SANTIAGO OSORIO CAMACHO</v>
      </c>
      <c r="D302" s="4" t="str">
        <f>IFERROR(VLOOKUP(A302,'Base Prueba'!A:D,4,),"NO REGISTRA")</f>
        <v>ANALISTA DE PAUTA</v>
      </c>
      <c r="E302" s="5" t="str">
        <f>IFERROR(VLOOKUP(A302,'Base Prueba'!A:E,5,),"NO REGISTRA")</f>
        <v>OFICINA DE MERCADEO</v>
      </c>
    </row>
    <row r="303" spans="1:5" ht="15.75" x14ac:dyDescent="0.25">
      <c r="A303" s="10">
        <v>1014977624</v>
      </c>
      <c r="B303" s="2">
        <v>46030.415979166668</v>
      </c>
      <c r="C303" s="3" t="str">
        <f>IFERROR(VLOOKUP(A303,'Base Prueba'!A:C,3,),"NO REGISTRA")</f>
        <v>NICCOLE VALENTINA HERNANDEZ MALAVER</v>
      </c>
      <c r="D303" s="4" t="str">
        <f>IFERROR(VLOOKUP(A303,'Base Prueba'!A:D,4,),"NO REGISTRA")</f>
        <v>APRENDIZ UNIVERSITARIO</v>
      </c>
      <c r="E303" s="5" t="str">
        <f>IFERROR(VLOOKUP(A303,'Base Prueba'!A:E,5,),"NO REGISTRA")</f>
        <v>AREA FINANCIERA Y CONTABLE</v>
      </c>
    </row>
    <row r="304" spans="1:5" ht="15.75" x14ac:dyDescent="0.25">
      <c r="A304" s="10">
        <v>1018414290</v>
      </c>
      <c r="B304" s="2">
        <v>46030.510478703705</v>
      </c>
      <c r="C304" s="3" t="str">
        <f>IFERROR(VLOOKUP(A304,'Base Prueba'!A:C,3,),"NO REGISTRA")</f>
        <v>AMANDA LISBETH RODRIGUEZ LEON</v>
      </c>
      <c r="D304" s="4" t="str">
        <f>IFERROR(VLOOKUP(A304,'Base Prueba'!A:D,4,),"NO REGISTRA")</f>
        <v>PROMOTOR CALL CENTER</v>
      </c>
      <c r="E304" s="5" t="str">
        <f>IFERROR(VLOOKUP(A304,'Base Prueba'!A:E,5,),"NO REGISTRA")</f>
        <v>OFICINA DE MERCADEO</v>
      </c>
    </row>
    <row r="305" spans="1:5" ht="15.75" x14ac:dyDescent="0.25">
      <c r="A305" s="10">
        <v>52443092</v>
      </c>
      <c r="B305" s="2">
        <v>46030.583456018518</v>
      </c>
      <c r="C305" s="3" t="str">
        <f>IFERROR(VLOOKUP(A305,'Base Prueba'!A:C,3,),"NO REGISTRA")</f>
        <v>LUZ MYRIAM SAAVEDRA CONTRERAS</v>
      </c>
      <c r="D305" s="4" t="str">
        <f>IFERROR(VLOOKUP(A305,'Base Prueba'!A:D,4,),"NO REGISTRA")</f>
        <v>AUXILIAR DE SERVICIOS</v>
      </c>
      <c r="E305" s="5" t="str">
        <f>IFERROR(VLOOKUP(A305,'Base Prueba'!A:E,5,),"NO REGISTRA")</f>
        <v>LOGISTICA Y SERVICIOS GENERALES</v>
      </c>
    </row>
    <row r="306" spans="1:5" ht="15.75" x14ac:dyDescent="0.25">
      <c r="A306" s="10">
        <v>1031802160</v>
      </c>
      <c r="B306" s="2">
        <v>46030.706760069443</v>
      </c>
      <c r="C306" s="3" t="str">
        <f>IFERROR(VLOOKUP(A306,'Base Prueba'!A:C,3,),"NO REGISTRA")</f>
        <v>LUISA MARIA MAHECHA SOTOMAYOR</v>
      </c>
      <c r="D306" s="4" t="str">
        <f>IFERROR(VLOOKUP(A306,'Base Prueba'!A:D,4,),"NO REGISTRA")</f>
        <v>APRENDIZ UNIVERSITARIO</v>
      </c>
      <c r="E306" s="5" t="str">
        <f>IFERROR(VLOOKUP(A306,'Base Prueba'!A:E,5,),"NO REGISTRA")</f>
        <v>OFICINA DE MERCADEO</v>
      </c>
    </row>
    <row r="307" spans="1:5" ht="15.75" x14ac:dyDescent="0.25">
      <c r="A307" s="10">
        <v>1033709056</v>
      </c>
      <c r="B307" s="2">
        <v>46030.717164467591</v>
      </c>
      <c r="C307" s="3" t="str">
        <f>IFERROR(VLOOKUP(A307,'Base Prueba'!A:C,3,),"NO REGISTRA")</f>
        <v>YEIMY ALEXANDRA RODRIGUEZ PALACIO</v>
      </c>
      <c r="D307" s="4" t="str">
        <f>IFERROR(VLOOKUP(A307,'Base Prueba'!A:D,4,),"NO REGISTRA")</f>
        <v>PROMOTOR CALL CENTER</v>
      </c>
      <c r="E307" s="5" t="str">
        <f>IFERROR(VLOOKUP(A307,'Base Prueba'!A:E,5,),"NO REGISTRA")</f>
        <v>OFICINA DE MERCADEO</v>
      </c>
    </row>
    <row r="308" spans="1:5" ht="15.75" x14ac:dyDescent="0.25">
      <c r="A308" s="10">
        <v>1000687931</v>
      </c>
      <c r="B308" s="2">
        <v>46030.722081712964</v>
      </c>
      <c r="C308" s="3" t="str">
        <f>IFERROR(VLOOKUP(A308,'Base Prueba'!A:C,3,),"NO REGISTRA")</f>
        <v>ANDRES FELIPE PUENTES TORRES</v>
      </c>
      <c r="D308" s="4" t="str">
        <f>IFERROR(VLOOKUP(A308,'Base Prueba'!A:D,4,),"NO REGISTRA")</f>
        <v>AUXILIAR ADMINISTRATIVO</v>
      </c>
      <c r="E308" s="5" t="str">
        <f>IFERROR(VLOOKUP(A308,'Base Prueba'!A:E,5,),"NO REGISTRA")</f>
        <v>REGISTRO Y CONTROL ACADEMICO</v>
      </c>
    </row>
    <row r="309" spans="1:5" ht="15.75" x14ac:dyDescent="0.25">
      <c r="A309" s="10">
        <v>1022996882</v>
      </c>
      <c r="B309" s="2">
        <v>46030.751206018518</v>
      </c>
      <c r="C309" s="3" t="str">
        <f>IFERROR(VLOOKUP(A309,'Base Prueba'!A:C,3,),"NO REGISTRA")</f>
        <v>NANCY BRIGITH ALDANA GUEVARA</v>
      </c>
      <c r="D309" s="4" t="str">
        <f>IFERROR(VLOOKUP(A309,'Base Prueba'!A:D,4,),"NO REGISTRA")</f>
        <v>COORDINADORA DE GESTIÓN HUMANA</v>
      </c>
      <c r="E309" s="5" t="str">
        <f>IFERROR(VLOOKUP(A309,'Base Prueba'!A:E,5,),"NO REGISTRA")</f>
        <v>DEPARTAMENTO DE GESTION HUMANA</v>
      </c>
    </row>
    <row r="310" spans="1:5" ht="15.75" x14ac:dyDescent="0.25">
      <c r="A310" s="10">
        <v>1000046533</v>
      </c>
      <c r="B310" s="2">
        <v>46030.751327546299</v>
      </c>
      <c r="C310" s="3" t="str">
        <f>IFERROR(VLOOKUP(A310,'Base Prueba'!A:C,3,),"NO REGISTRA")</f>
        <v>ERIKA JULIETH VALDERRAMA SANCHEZ</v>
      </c>
      <c r="D310" s="4" t="str">
        <f>IFERROR(VLOOKUP(A310,'Base Prueba'!A:D,4,),"NO REGISTRA")</f>
        <v>PROMOTOR CALL CENTER</v>
      </c>
      <c r="E310" s="5" t="str">
        <f>IFERROR(VLOOKUP(A310,'Base Prueba'!A:E,5,),"NO REGISTRA")</f>
        <v>OFICINA DE MERCADEO</v>
      </c>
    </row>
    <row r="311" spans="1:5" ht="15.75" x14ac:dyDescent="0.25">
      <c r="A311" s="10">
        <v>1193457976</v>
      </c>
      <c r="B311" s="2">
        <v>46030.751401851849</v>
      </c>
      <c r="C311" s="3" t="str">
        <f>IFERROR(VLOOKUP(A311,'Base Prueba'!A:C,3,),"NO REGISTRA")</f>
        <v>SEDENIS RIVAS ASPRILLA</v>
      </c>
      <c r="D311" s="4" t="str">
        <f>IFERROR(VLOOKUP(A311,'Base Prueba'!A:D,4,),"NO REGISTRA")</f>
        <v>APRENDIZ UNIVERSITARIO</v>
      </c>
      <c r="E311" s="5" t="str">
        <f>IFERROR(VLOOKUP(A311,'Base Prueba'!A:E,5,),"NO REGISTRA")</f>
        <v>DEPARTAMENTO DE GESTION HUMANA</v>
      </c>
    </row>
    <row r="312" spans="1:5" ht="15.75" x14ac:dyDescent="0.25">
      <c r="A312" s="10">
        <v>1111043661</v>
      </c>
      <c r="B312" s="2">
        <v>46030.752936921293</v>
      </c>
      <c r="C312" s="3" t="str">
        <f>IFERROR(VLOOKUP(A312,'Base Prueba'!A:C,3,),"NO REGISTRA")</f>
        <v>KEVIN JOHAN MORA GARCIA</v>
      </c>
      <c r="D312" s="4" t="str">
        <f>IFERROR(VLOOKUP(A312,'Base Prueba'!A:D,4,),"NO REGISTRA")</f>
        <v>APRENDIZ UNIVERSITARIO</v>
      </c>
      <c r="E312" s="5" t="str">
        <f>IFERROR(VLOOKUP(A312,'Base Prueba'!A:E,5,),"NO REGISTRA")</f>
        <v>CENTRO DE GESTION DOCUMENTAL</v>
      </c>
    </row>
    <row r="313" spans="1:5" ht="15.75" x14ac:dyDescent="0.25">
      <c r="A313" s="10">
        <v>1087121273</v>
      </c>
      <c r="B313" s="2">
        <v>46030.752988773151</v>
      </c>
      <c r="C313" s="3" t="str">
        <f>IFERROR(VLOOKUP(A313,'Base Prueba'!A:C,3,),"NO REGISTRA")</f>
        <v>MAYRA ALEJANDRA CASTILLO ARBOLEDA</v>
      </c>
      <c r="D313" s="4" t="str">
        <f>IFERROR(VLOOKUP(A313,'Base Prueba'!A:D,4,),"NO REGISTRA")</f>
        <v>APOYO INTEGRAL DE MERCADEO</v>
      </c>
      <c r="E313" s="5" t="str">
        <f>IFERROR(VLOOKUP(A313,'Base Prueba'!A:E,5,),"NO REGISTRA")</f>
        <v>CENTRO DE GESTION DOCUMENTAL</v>
      </c>
    </row>
    <row r="314" spans="1:5" ht="15.75" x14ac:dyDescent="0.25">
      <c r="A314" s="10">
        <v>1014308296</v>
      </c>
      <c r="B314" s="2">
        <v>46030.753199884261</v>
      </c>
      <c r="C314" s="3" t="str">
        <f>IFERROR(VLOOKUP(A314,'Base Prueba'!A:C,3,),"NO REGISTRA")</f>
        <v>DARLENE YULIANA MORENO CELEITA</v>
      </c>
      <c r="D314" s="4" t="str">
        <f>IFERROR(VLOOKUP(A314,'Base Prueba'!A:D,4,),"NO REGISTRA")</f>
        <v>CAJERO PRINCIPAL</v>
      </c>
      <c r="E314" s="5" t="str">
        <f>IFERROR(VLOOKUP(A314,'Base Prueba'!A:E,5,),"NO REGISTRA")</f>
        <v>AREA FINANCIERA Y CONTABLE</v>
      </c>
    </row>
    <row r="315" spans="1:5" ht="15.75" x14ac:dyDescent="0.25">
      <c r="A315" s="10">
        <v>80238161</v>
      </c>
      <c r="B315" s="2">
        <v>46030.753504398148</v>
      </c>
      <c r="C315" s="3" t="str">
        <f>IFERROR(VLOOKUP(A315,'Base Prueba'!A:C,3,),"NO REGISTRA")</f>
        <v>GERMAN CARRANZA ESPITIA</v>
      </c>
      <c r="D315" s="4" t="str">
        <f>IFERROR(VLOOKUP(A315,'Base Prueba'!A:D,4,),"NO REGISTRA")</f>
        <v>TESORERO</v>
      </c>
      <c r="E315" s="5" t="str">
        <f>IFERROR(VLOOKUP(A315,'Base Prueba'!A:E,5,),"NO REGISTRA")</f>
        <v>AREA FINANCIERA Y CONTABLE</v>
      </c>
    </row>
    <row r="316" spans="1:5" ht="15.75" x14ac:dyDescent="0.25">
      <c r="A316" s="10">
        <v>1012357415</v>
      </c>
      <c r="B316" s="2">
        <v>46030.753883101854</v>
      </c>
      <c r="C316" s="3" t="str">
        <f>IFERROR(VLOOKUP(A316,'Base Prueba'!A:C,3,),"NO REGISTRA")</f>
        <v>CINDY LORENA BOHORQUEZ LEYVA</v>
      </c>
      <c r="D316" s="4" t="str">
        <f>IFERROR(VLOOKUP(A316,'Base Prueba'!A:D,4,),"NO REGISTRA")</f>
        <v>ANALISTA DE TESORERIA</v>
      </c>
      <c r="E316" s="5" t="str">
        <f>IFERROR(VLOOKUP(A316,'Base Prueba'!A:E,5,),"NO REGISTRA")</f>
        <v>AREA FINANCIERA Y CONTABLE</v>
      </c>
    </row>
    <row r="317" spans="1:5" ht="15.75" x14ac:dyDescent="0.25">
      <c r="A317" s="10">
        <v>1000467399</v>
      </c>
      <c r="B317" s="2">
        <v>46030.754069212962</v>
      </c>
      <c r="C317" s="3" t="str">
        <f>IFERROR(VLOOKUP(A317,'Base Prueba'!A:C,3,),"NO REGISTRA")</f>
        <v>BRANDO ESTIVEN DIAZ QUIMBAYA</v>
      </c>
      <c r="D317" s="4" t="str">
        <f>IFERROR(VLOOKUP(A317,'Base Prueba'!A:D,4,),"NO REGISTRA")</f>
        <v>APRENDIZ UNIVERSITARIO</v>
      </c>
      <c r="E317" s="5" t="str">
        <f>IFERROR(VLOOKUP(A317,'Base Prueba'!A:E,5,),"NO REGISTRA")</f>
        <v>DEPARTAMENTO DE GESTION HUMANA</v>
      </c>
    </row>
    <row r="318" spans="1:5" ht="15.75" x14ac:dyDescent="0.25">
      <c r="A318" s="10">
        <v>1049644802</v>
      </c>
      <c r="B318" s="2">
        <v>46030.755190393516</v>
      </c>
      <c r="C318" s="3" t="str">
        <f>IFERROR(VLOOKUP(A318,'Base Prueba'!A:C,3,),"NO REGISTRA")</f>
        <v>DANIELA ALEXANDRA CIPAMOCHA BOSIGA</v>
      </c>
      <c r="D318" s="4" t="str">
        <f>IFERROR(VLOOKUP(A318,'Base Prueba'!A:D,4,),"NO REGISTRA")</f>
        <v>LIDER DE DATOS Y SERVICIOS</v>
      </c>
      <c r="E318" s="5" t="str">
        <f>IFERROR(VLOOKUP(A318,'Base Prueba'!A:E,5,),"NO REGISTRA")</f>
        <v>OFICINA DE PLANEACION Y GESTION DE LA CALIDAD</v>
      </c>
    </row>
    <row r="319" spans="1:5" ht="15.75" x14ac:dyDescent="0.25">
      <c r="A319" s="10">
        <v>1014266838</v>
      </c>
      <c r="B319" s="2">
        <v>46030.755310995373</v>
      </c>
      <c r="C319" s="3" t="str">
        <f>IFERROR(VLOOKUP(A319,'Base Prueba'!A:C,3,),"NO REGISTRA")</f>
        <v>JENNIFER ASTRID ROMERO HURTADO</v>
      </c>
      <c r="D319" s="4" t="str">
        <f>IFERROR(VLOOKUP(A319,'Base Prueba'!A:D,4,),"NO REGISTRA")</f>
        <v>LIDER DE RECAUDO</v>
      </c>
      <c r="E319" s="5" t="str">
        <f>IFERROR(VLOOKUP(A319,'Base Prueba'!A:E,5,),"NO REGISTRA")</f>
        <v>AREA FINANCIERA Y CONTABLE</v>
      </c>
    </row>
    <row r="320" spans="1:5" ht="15.75" x14ac:dyDescent="0.25">
      <c r="A320" s="10">
        <v>1026599257</v>
      </c>
      <c r="B320" s="2">
        <v>46030.756114699077</v>
      </c>
      <c r="C320" s="3" t="str">
        <f>IFERROR(VLOOKUP(A320,'Base Prueba'!A:C,3,),"NO REGISTRA")</f>
        <v>YESENIA PAOLA PINEDA HURTADO</v>
      </c>
      <c r="D320" s="4" t="str">
        <f>IFERROR(VLOOKUP(A320,'Base Prueba'!A:D,4,),"NO REGISTRA")</f>
        <v>LIDER DE COMPRAS</v>
      </c>
      <c r="E320" s="5" t="str">
        <f>IFERROR(VLOOKUP(A320,'Base Prueba'!A:E,5,),"NO REGISTRA")</f>
        <v>AREA ADMINISTRATIVA</v>
      </c>
    </row>
    <row r="321" spans="1:5" ht="15.75" x14ac:dyDescent="0.25">
      <c r="A321" s="10">
        <v>52474489</v>
      </c>
      <c r="B321" s="2">
        <v>46030.756537384259</v>
      </c>
      <c r="C321" s="3" t="str">
        <f>IFERROR(VLOOKUP(A321,'Base Prueba'!A:C,3,),"NO REGISTRA")</f>
        <v>ADRIANA JIMENA SOTO BOCANEGRA</v>
      </c>
      <c r="D321" s="4" t="str">
        <f>IFERROR(VLOOKUP(A321,'Base Prueba'!A:D,4,),"NO REGISTRA")</f>
        <v>COORDINADOR DE LA OFICINA DE REGISTRO Y CONTROL</v>
      </c>
      <c r="E321" s="5" t="str">
        <f>IFERROR(VLOOKUP(A321,'Base Prueba'!A:E,5,),"NO REGISTRA")</f>
        <v>REGISTRO Y CONTROL ACADEMICO</v>
      </c>
    </row>
    <row r="322" spans="1:5" ht="15.75" x14ac:dyDescent="0.25">
      <c r="A322" s="10">
        <v>1000365751</v>
      </c>
      <c r="B322" s="2">
        <v>46030.757950347223</v>
      </c>
      <c r="C322" s="3" t="str">
        <f>IFERROR(VLOOKUP(A322,'Base Prueba'!A:C,3,),"NO REGISTRA")</f>
        <v>JHOAN NICOLAS ESCAMILLA MANJARRES</v>
      </c>
      <c r="D322" s="4" t="str">
        <f>IFERROR(VLOOKUP(A322,'Base Prueba'!A:D,4,),"NO REGISTRA")</f>
        <v>APRENDIZ UNIVERSITARIO</v>
      </c>
      <c r="E322" s="5" t="str">
        <f>IFERROR(VLOOKUP(A322,'Base Prueba'!A:E,5,),"NO REGISTRA")</f>
        <v>OFICINA DE MERCADEO</v>
      </c>
    </row>
    <row r="323" spans="1:5" ht="15.75" x14ac:dyDescent="0.25">
      <c r="A323" s="10">
        <v>1193265768</v>
      </c>
      <c r="B323" s="2">
        <v>46030.75799027778</v>
      </c>
      <c r="C323" s="3" t="str">
        <f>IFERROR(VLOOKUP(A323,'Base Prueba'!A:C,3,),"NO REGISTRA")</f>
        <v>SANTIAGO OSORIO CAMACHO</v>
      </c>
      <c r="D323" s="4" t="str">
        <f>IFERROR(VLOOKUP(A323,'Base Prueba'!A:D,4,),"NO REGISTRA")</f>
        <v>ANALISTA DE PAUTA</v>
      </c>
      <c r="E323" s="5" t="str">
        <f>IFERROR(VLOOKUP(A323,'Base Prueba'!A:E,5,),"NO REGISTRA")</f>
        <v>OFICINA DE MERCADEO</v>
      </c>
    </row>
    <row r="324" spans="1:5" ht="15.75" x14ac:dyDescent="0.25">
      <c r="A324" s="10">
        <v>1014196857</v>
      </c>
      <c r="B324" s="2">
        <v>46030.758106597219</v>
      </c>
      <c r="C324" s="3" t="str">
        <f>IFERROR(VLOOKUP(A324,'Base Prueba'!A:C,3,),"NO REGISTRA")</f>
        <v>CARLOS ANDRES JIMENEZ PARDO</v>
      </c>
      <c r="D324" s="4" t="str">
        <f>IFERROR(VLOOKUP(A324,'Base Prueba'!A:D,4,),"NO REGISTRA")</f>
        <v>COORDINADOR DE MARKETING DIGITAL</v>
      </c>
      <c r="E324" s="5" t="str">
        <f>IFERROR(VLOOKUP(A324,'Base Prueba'!A:E,5,),"NO REGISTRA")</f>
        <v>OFICINA DE MERCADEO</v>
      </c>
    </row>
    <row r="325" spans="1:5" ht="15.75" x14ac:dyDescent="0.25">
      <c r="A325" s="10">
        <v>1018413529</v>
      </c>
      <c r="B325" s="2">
        <v>46030.758135300923</v>
      </c>
      <c r="C325" s="3" t="str">
        <f>IFERROR(VLOOKUP(A325,'Base Prueba'!A:C,3,),"NO REGISTRA")</f>
        <v>FRANCY STELLA CHARRY MORENO</v>
      </c>
      <c r="D325" s="4" t="str">
        <f>IFERROR(VLOOKUP(A325,'Base Prueba'!A:D,4,),"NO REGISTRA")</f>
        <v>PROMOTOR COMERCIAL DEL CEA</v>
      </c>
      <c r="E325" s="5" t="str">
        <f>IFERROR(VLOOKUP(A325,'Base Prueba'!A:E,5,),"NO REGISTRA")</f>
        <v>OFICINA DE MERCADEO</v>
      </c>
    </row>
    <row r="326" spans="1:5" ht="15.75" x14ac:dyDescent="0.25">
      <c r="A326" s="10">
        <v>1016090131</v>
      </c>
      <c r="B326" s="2">
        <v>46030.758316898151</v>
      </c>
      <c r="C326" s="3" t="str">
        <f>IFERROR(VLOOKUP(A326,'Base Prueba'!A:C,3,),"NO REGISTRA")</f>
        <v>NICOLAS RODRIGUEZ PACHECO</v>
      </c>
      <c r="D326" s="4" t="str">
        <f>IFERROR(VLOOKUP(A326,'Base Prueba'!A:D,4,),"NO REGISTRA")</f>
        <v>COORDINADOR DE COMUNICACIONES</v>
      </c>
      <c r="E326" s="5" t="str">
        <f>IFERROR(VLOOKUP(A326,'Base Prueba'!A:E,5,),"NO REGISTRA")</f>
        <v>OFICINA DE MERCADEO</v>
      </c>
    </row>
    <row r="327" spans="1:5" ht="15.75" x14ac:dyDescent="0.25">
      <c r="A327" s="10">
        <v>1014977624</v>
      </c>
      <c r="B327" s="2">
        <v>46030.760905787036</v>
      </c>
      <c r="C327" s="3" t="str">
        <f>IFERROR(VLOOKUP(A327,'Base Prueba'!A:C,3,),"NO REGISTRA")</f>
        <v>NICCOLE VALENTINA HERNANDEZ MALAVER</v>
      </c>
      <c r="D327" s="4" t="str">
        <f>IFERROR(VLOOKUP(A327,'Base Prueba'!A:D,4,),"NO REGISTRA")</f>
        <v>APRENDIZ UNIVERSITARIO</v>
      </c>
      <c r="E327" s="5" t="str">
        <f>IFERROR(VLOOKUP(A327,'Base Prueba'!A:E,5,),"NO REGISTRA")</f>
        <v>AREA FINANCIERA Y CONTABLE</v>
      </c>
    </row>
    <row r="328" spans="1:5" ht="15.75" x14ac:dyDescent="0.25">
      <c r="A328" s="10">
        <v>1032469638</v>
      </c>
      <c r="B328" s="2">
        <v>46030.763202893519</v>
      </c>
      <c r="C328" s="3" t="str">
        <f>IFERROR(VLOOKUP(A328,'Base Prueba'!A:C,3,),"NO REGISTRA")</f>
        <v>MAICOL JARBEY GUALTEROS CASTAÑEDA</v>
      </c>
      <c r="D328" s="4" t="str">
        <f>IFERROR(VLOOKUP(A328,'Base Prueba'!A:D,4,),"NO REGISTRA")</f>
        <v>COORDINADOR DEL SISTEMA INTERNO DE ASEGURAMIENTO DE LA CALIDAD - SIAC</v>
      </c>
      <c r="E328" s="5" t="str">
        <f>IFERROR(VLOOKUP(A328,'Base Prueba'!A:E,5,),"NO REGISTRA")</f>
        <v>OFICINA DE PLANEACION Y GESTION DE LA CALIDAD</v>
      </c>
    </row>
    <row r="329" spans="1:5" ht="15.75" x14ac:dyDescent="0.25">
      <c r="A329" s="10">
        <v>1013098645</v>
      </c>
      <c r="B329" s="2">
        <v>46030.763303819447</v>
      </c>
      <c r="C329" s="3" t="str">
        <f>IFERROR(VLOOKUP(A329,'Base Prueba'!A:C,3,),"NO REGISTRA")</f>
        <v>CATHERINE LUCIA PENAGOS RIVERA</v>
      </c>
      <c r="D329" s="4" t="str">
        <f>IFERROR(VLOOKUP(A329,'Base Prueba'!A:D,4,),"NO REGISTRA")</f>
        <v>LIDER DE REGISTRO Y CONTROL ACADEMICO</v>
      </c>
      <c r="E329" s="5" t="str">
        <f>IFERROR(VLOOKUP(A329,'Base Prueba'!A:E,5,),"NO REGISTRA")</f>
        <v>REGISTRO Y CONTROL ACADEMICO</v>
      </c>
    </row>
    <row r="330" spans="1:5" ht="15.75" x14ac:dyDescent="0.25">
      <c r="A330" s="10">
        <v>1019105003</v>
      </c>
      <c r="B330" s="2">
        <v>46030.764104629627</v>
      </c>
      <c r="C330" s="3" t="str">
        <f>IFERROR(VLOOKUP(A330,'Base Prueba'!A:C,3,),"NO REGISTRA")</f>
        <v>DAISY JULIETH GASPAR MORENO</v>
      </c>
      <c r="D330" s="4" t="str">
        <f>IFERROR(VLOOKUP(A330,'Base Prueba'!A:D,4,),"NO REGISTRA")</f>
        <v>PROMOTOR CALL CENTER</v>
      </c>
      <c r="E330" s="5" t="str">
        <f>IFERROR(VLOOKUP(A330,'Base Prueba'!A:E,5,),"NO REGISTRA")</f>
        <v>OFICINA DE MERCADEO</v>
      </c>
    </row>
    <row r="331" spans="1:5" ht="15.75" x14ac:dyDescent="0.25">
      <c r="A331" s="10">
        <v>28798349</v>
      </c>
      <c r="B331" s="2">
        <v>46030.76766435185</v>
      </c>
      <c r="C331" s="3" t="str">
        <f>IFERROR(VLOOKUP(A331,'Base Prueba'!A:C,3,),"NO REGISTRA")</f>
        <v>MARTHA ISABEL TOVAR WILLIAMS</v>
      </c>
      <c r="D331" s="4" t="str">
        <f>IFERROR(VLOOKUP(A331,'Base Prueba'!A:D,4,),"NO REGISTRA")</f>
        <v>PROMOTOR CALL CENTER</v>
      </c>
      <c r="E331" s="5" t="str">
        <f>IFERROR(VLOOKUP(A331,'Base Prueba'!A:E,5,),"NO REGISTRA")</f>
        <v>OFICINA DE MERCADEO</v>
      </c>
    </row>
    <row r="332" spans="1:5" ht="15.75" x14ac:dyDescent="0.25">
      <c r="A332" s="10">
        <v>1018414290</v>
      </c>
      <c r="B332" s="2">
        <v>46030.767800231479</v>
      </c>
      <c r="C332" s="3" t="str">
        <f>IFERROR(VLOOKUP(A332,'Base Prueba'!A:C,3,),"NO REGISTRA")</f>
        <v>AMANDA LISBETH RODRIGUEZ LEON</v>
      </c>
      <c r="D332" s="4" t="str">
        <f>IFERROR(VLOOKUP(A332,'Base Prueba'!A:D,4,),"NO REGISTRA")</f>
        <v>PROMOTOR CALL CENTER</v>
      </c>
      <c r="E332" s="5" t="str">
        <f>IFERROR(VLOOKUP(A332,'Base Prueba'!A:E,5,),"NO REGISTRA")</f>
        <v>OFICINA DE MERCADEO</v>
      </c>
    </row>
    <row r="333" spans="1:5" ht="15.75" x14ac:dyDescent="0.25">
      <c r="A333" s="10">
        <v>1032407386</v>
      </c>
      <c r="B333" s="2">
        <v>46030.767888773145</v>
      </c>
      <c r="C333" s="3" t="str">
        <f>IFERROR(VLOOKUP(A333,'Base Prueba'!A:C,3,),"NO REGISTRA")</f>
        <v>GINA PAOLA BAEZ GALVIS</v>
      </c>
      <c r="D333" s="4" t="str">
        <f>IFERROR(VLOOKUP(A333,'Base Prueba'!A:D,4,),"NO REGISTRA")</f>
        <v>PROMOTOR CALL CENTER</v>
      </c>
      <c r="E333" s="5" t="str">
        <f>IFERROR(VLOOKUP(A333,'Base Prueba'!A:E,5,),"NO REGISTRA")</f>
        <v>OFICINA DE MERCADEO</v>
      </c>
    </row>
    <row r="334" spans="1:5" ht="15.75" x14ac:dyDescent="0.25">
      <c r="A334" s="10">
        <v>52472386</v>
      </c>
      <c r="B334" s="2">
        <v>46030.767937615739</v>
      </c>
      <c r="C334" s="3" t="str">
        <f>IFERROR(VLOOKUP(A334,'Base Prueba'!A:C,3,),"NO REGISTRA")</f>
        <v>ADRIANA MARCELA MORALES PARDO</v>
      </c>
      <c r="D334" s="4" t="str">
        <f>IFERROR(VLOOKUP(A334,'Base Prueba'!A:D,4,),"NO REGISTRA")</f>
        <v>PROMOTOR CALL CENTER</v>
      </c>
      <c r="E334" s="5" t="str">
        <f>IFERROR(VLOOKUP(A334,'Base Prueba'!A:E,5,),"NO REGISTRA")</f>
        <v>OFICINA DE MERCADEO</v>
      </c>
    </row>
    <row r="335" spans="1:5" ht="15.75" x14ac:dyDescent="0.25">
      <c r="A335" s="10">
        <v>1023961952</v>
      </c>
      <c r="B335" s="2">
        <v>46030.768028935185</v>
      </c>
      <c r="C335" s="3" t="str">
        <f>IFERROR(VLOOKUP(A335,'Base Prueba'!A:C,3,),"NO REGISTRA")</f>
        <v>ALEJANDRO PINZON MERCHAN</v>
      </c>
      <c r="D335" s="4" t="str">
        <f>IFERROR(VLOOKUP(A335,'Base Prueba'!A:D,4,),"NO REGISTRA")</f>
        <v>PROMOTOR CALL CENTER</v>
      </c>
      <c r="E335" s="5" t="str">
        <f>IFERROR(VLOOKUP(A335,'Base Prueba'!A:E,5,),"NO REGISTRA")</f>
        <v>OFICINA DE MERCADEO</v>
      </c>
    </row>
    <row r="336" spans="1:5" ht="15.75" x14ac:dyDescent="0.25">
      <c r="A336" s="10">
        <v>1003690253</v>
      </c>
      <c r="B336" s="2">
        <v>46030.76807071759</v>
      </c>
      <c r="C336" s="3" t="str">
        <f>IFERROR(VLOOKUP(A336,'Base Prueba'!A:C,3,),"NO REGISTRA")</f>
        <v>MELISSA GONZALEZ PEDRAZA</v>
      </c>
      <c r="D336" s="4" t="str">
        <f>IFERROR(VLOOKUP(A336,'Base Prueba'!A:D,4,),"NO REGISTRA")</f>
        <v>LIDER DE JOVENES A LA E</v>
      </c>
      <c r="E336" s="5" t="str">
        <f>IFERROR(VLOOKUP(A336,'Base Prueba'!A:E,5,),"NO REGISTRA")</f>
        <v>DIRECCION DE BIENESTAR INSTITUCIONAL</v>
      </c>
    </row>
    <row r="337" spans="1:5" ht="15.75" x14ac:dyDescent="0.25">
      <c r="A337" s="10">
        <v>80234243</v>
      </c>
      <c r="B337" s="2">
        <v>46030.772432754631</v>
      </c>
      <c r="C337" s="3" t="str">
        <f>IFERROR(VLOOKUP(A337,'Base Prueba'!A:C,3,),"NO REGISTRA")</f>
        <v>ARGENIS MARTINEZ MARTINEZ</v>
      </c>
      <c r="D337" s="4" t="str">
        <f>IFERROR(VLOOKUP(A337,'Base Prueba'!A:D,4,),"NO REGISTRA")</f>
        <v>LIDER CALL CENTER</v>
      </c>
      <c r="E337" s="5" t="str">
        <f>IFERROR(VLOOKUP(A337,'Base Prueba'!A:E,5,),"NO REGISTRA")</f>
        <v>OFICINA DE MERCADEO</v>
      </c>
    </row>
    <row r="338" spans="1:5" ht="15.75" x14ac:dyDescent="0.25">
      <c r="A338" s="10">
        <v>1000593372</v>
      </c>
      <c r="B338" s="2">
        <v>46030.774080787036</v>
      </c>
      <c r="C338" s="3" t="str">
        <f>IFERROR(VLOOKUP(A338,'Base Prueba'!A:C,3,),"NO REGISTRA")</f>
        <v>LAURA SOFIA CHAPARRO LOPEZ</v>
      </c>
      <c r="D338" s="4" t="str">
        <f>IFERROR(VLOOKUP(A338,'Base Prueba'!A:D,4,),"NO REGISTRA")</f>
        <v>AUXILIAR JURIDICO</v>
      </c>
      <c r="E338" s="5" t="str">
        <f>IFERROR(VLOOKUP(A338,'Base Prueba'!A:E,5,),"NO REGISTRA")</f>
        <v>SECRETARIA GENERAL</v>
      </c>
    </row>
    <row r="339" spans="1:5" ht="15.75" x14ac:dyDescent="0.25">
      <c r="A339" s="10">
        <v>1000604979</v>
      </c>
      <c r="B339" s="2">
        <v>46030.774239120372</v>
      </c>
      <c r="C339" s="3" t="str">
        <f>IFERROR(VLOOKUP(A339,'Base Prueba'!A:C,3,),"NO REGISTRA")</f>
        <v>JULIETH TATIANA PARDO PINTO</v>
      </c>
      <c r="D339" s="4" t="str">
        <f>IFERROR(VLOOKUP(A339,'Base Prueba'!A:D,4,),"NO REGISTRA")</f>
        <v>AUXILIAR JURIDICO</v>
      </c>
      <c r="E339" s="5" t="str">
        <f>IFERROR(VLOOKUP(A339,'Base Prueba'!A:E,5,),"NO REGISTRA")</f>
        <v>SECRETARIA GENERAL</v>
      </c>
    </row>
    <row r="340" spans="1:5" ht="15.75" x14ac:dyDescent="0.25">
      <c r="A340" s="10">
        <v>53932358</v>
      </c>
      <c r="B340" s="2">
        <v>46030.795757523148</v>
      </c>
      <c r="C340" s="3" t="str">
        <f>IFERROR(VLOOKUP(A340,'Base Prueba'!A:C,3,),"NO REGISTRA")</f>
        <v>DIANA MADELEYNE GAONA RODRIGUEZ</v>
      </c>
      <c r="D340" s="4" t="str">
        <f>IFERROR(VLOOKUP(A340,'Base Prueba'!A:D,4,),"NO REGISTRA")</f>
        <v>CONTADOR</v>
      </c>
      <c r="E340" s="5" t="str">
        <f>IFERROR(VLOOKUP(A340,'Base Prueba'!A:E,5,),"NO REGISTRA")</f>
        <v>AREA FINANCIERA Y CONTABLE</v>
      </c>
    </row>
    <row r="341" spans="1:5" ht="15.75" x14ac:dyDescent="0.25">
      <c r="A341" s="10">
        <v>1000457706</v>
      </c>
      <c r="B341" s="2">
        <v>46030.795784837966</v>
      </c>
      <c r="C341" s="3" t="str">
        <f>IFERROR(VLOOKUP(A341,'Base Prueba'!A:C,3,),"NO REGISTRA")</f>
        <v>CRISTIAN DANILO ARROYO SANABRIA</v>
      </c>
      <c r="D341" s="4" t="str">
        <f>IFERROR(VLOOKUP(A341,'Base Prueba'!A:D,4,),"NO REGISTRA")</f>
        <v>AUXILIAR CONTABLE</v>
      </c>
      <c r="E341" s="5" t="str">
        <f>IFERROR(VLOOKUP(A341,'Base Prueba'!A:E,5,),"NO REGISTRA")</f>
        <v>AREA FINANCIERA Y CONTABLE</v>
      </c>
    </row>
    <row r="342" spans="1:5" ht="15.75" x14ac:dyDescent="0.25">
      <c r="A342" s="10">
        <v>1013616244</v>
      </c>
      <c r="B342" s="2">
        <v>46031.309128935187</v>
      </c>
      <c r="C342" s="3" t="str">
        <f>IFERROR(VLOOKUP(A342,'Base Prueba'!A:C,3,),"NO REGISTRA")</f>
        <v>DIANA CAROLINA MARIN BETANCOURT</v>
      </c>
      <c r="D342" s="4" t="str">
        <f>IFERROR(VLOOKUP(A342,'Base Prueba'!A:D,4,),"NO REGISTRA")</f>
        <v>AUXILIAR ADMINISTRATIVO</v>
      </c>
      <c r="E342" s="5" t="str">
        <f>IFERROR(VLOOKUP(A342,'Base Prueba'!A:E,5,),"NO REGISTRA")</f>
        <v>REGISTRO Y CONTROL ACADEMICO</v>
      </c>
    </row>
    <row r="343" spans="1:5" ht="15.75" x14ac:dyDescent="0.25">
      <c r="A343" s="10">
        <v>1087121273</v>
      </c>
      <c r="B343" s="2">
        <v>46031.316366550927</v>
      </c>
      <c r="C343" s="3" t="str">
        <f>IFERROR(VLOOKUP(A343,'Base Prueba'!A:C,3,),"NO REGISTRA")</f>
        <v>MAYRA ALEJANDRA CASTILLO ARBOLEDA</v>
      </c>
      <c r="D343" s="4" t="str">
        <f>IFERROR(VLOOKUP(A343,'Base Prueba'!A:D,4,),"NO REGISTRA")</f>
        <v>APOYO INTEGRAL DE MERCADEO</v>
      </c>
      <c r="E343" s="5" t="str">
        <f>IFERROR(VLOOKUP(A343,'Base Prueba'!A:E,5,),"NO REGISTRA")</f>
        <v>CENTRO DE GESTION DOCUMENTAL</v>
      </c>
    </row>
    <row r="344" spans="1:5" ht="15.75" x14ac:dyDescent="0.25">
      <c r="A344" s="10">
        <v>1049644802</v>
      </c>
      <c r="B344" s="2">
        <v>46031.323190162038</v>
      </c>
      <c r="C344" s="3" t="str">
        <f>IFERROR(VLOOKUP(A344,'Base Prueba'!A:C,3,),"NO REGISTRA")</f>
        <v>DANIELA ALEXANDRA CIPAMOCHA BOSIGA</v>
      </c>
      <c r="D344" s="4" t="str">
        <f>IFERROR(VLOOKUP(A344,'Base Prueba'!A:D,4,),"NO REGISTRA")</f>
        <v>LIDER DE DATOS Y SERVICIOS</v>
      </c>
      <c r="E344" s="5" t="str">
        <f>IFERROR(VLOOKUP(A344,'Base Prueba'!A:E,5,),"NO REGISTRA")</f>
        <v>OFICINA DE PLANEACION Y GESTION DE LA CALIDAD</v>
      </c>
    </row>
    <row r="345" spans="1:5" ht="15.75" x14ac:dyDescent="0.25">
      <c r="A345" s="10">
        <v>1014977624</v>
      </c>
      <c r="B345" s="2">
        <v>46031.329870601854</v>
      </c>
      <c r="C345" s="3" t="str">
        <f>IFERROR(VLOOKUP(A345,'Base Prueba'!A:C,3,),"NO REGISTRA")</f>
        <v>NICCOLE VALENTINA HERNANDEZ MALAVER</v>
      </c>
      <c r="D345" s="4" t="str">
        <f>IFERROR(VLOOKUP(A345,'Base Prueba'!A:D,4,),"NO REGISTRA")</f>
        <v>APRENDIZ UNIVERSITARIO</v>
      </c>
      <c r="E345" s="5" t="str">
        <f>IFERROR(VLOOKUP(A345,'Base Prueba'!A:E,5,),"NO REGISTRA")</f>
        <v>AREA FINANCIERA Y CONTABLE</v>
      </c>
    </row>
    <row r="346" spans="1:5" ht="15.75" x14ac:dyDescent="0.25">
      <c r="A346" s="10">
        <v>1014308296</v>
      </c>
      <c r="B346" s="2">
        <v>46031.33191724537</v>
      </c>
      <c r="C346" s="3" t="str">
        <f>IFERROR(VLOOKUP(A346,'Base Prueba'!A:C,3,),"NO REGISTRA")</f>
        <v>DARLENE YULIANA MORENO CELEITA</v>
      </c>
      <c r="D346" s="4" t="str">
        <f>IFERROR(VLOOKUP(A346,'Base Prueba'!A:D,4,),"NO REGISTRA")</f>
        <v>CAJERO PRINCIPAL</v>
      </c>
      <c r="E346" s="5" t="str">
        <f>IFERROR(VLOOKUP(A346,'Base Prueba'!A:E,5,),"NO REGISTRA")</f>
        <v>AREA FINANCIERA Y CONTABLE</v>
      </c>
    </row>
    <row r="347" spans="1:5" ht="15.75" x14ac:dyDescent="0.25">
      <c r="A347" s="10">
        <v>1031802160</v>
      </c>
      <c r="B347" s="2">
        <v>46031.333166550925</v>
      </c>
      <c r="C347" s="3" t="str">
        <f>IFERROR(VLOOKUP(A347,'Base Prueba'!A:C,3,),"NO REGISTRA")</f>
        <v>LUISA MARIA MAHECHA SOTOMAYOR</v>
      </c>
      <c r="D347" s="4" t="str">
        <f>IFERROR(VLOOKUP(A347,'Base Prueba'!A:D,4,),"NO REGISTRA")</f>
        <v>APRENDIZ UNIVERSITARIO</v>
      </c>
      <c r="E347" s="5" t="str">
        <f>IFERROR(VLOOKUP(A347,'Base Prueba'!A:E,5,),"NO REGISTRA")</f>
        <v>OFICINA DE MERCADEO</v>
      </c>
    </row>
    <row r="348" spans="1:5" ht="15.75" x14ac:dyDescent="0.25">
      <c r="A348" s="10">
        <v>1013098645</v>
      </c>
      <c r="B348" s="2">
        <v>46031.336113425925</v>
      </c>
      <c r="C348" s="3" t="str">
        <f>IFERROR(VLOOKUP(A348,'Base Prueba'!A:C,3,),"NO REGISTRA")</f>
        <v>CATHERINE LUCIA PENAGOS RIVERA</v>
      </c>
      <c r="D348" s="4" t="str">
        <f>IFERROR(VLOOKUP(A348,'Base Prueba'!A:D,4,),"NO REGISTRA")</f>
        <v>LIDER DE REGISTRO Y CONTROL ACADEMICO</v>
      </c>
      <c r="E348" s="5" t="str">
        <f>IFERROR(VLOOKUP(A348,'Base Prueba'!A:E,5,),"NO REGISTRA")</f>
        <v>REGISTRO Y CONTROL ACADEMICO</v>
      </c>
    </row>
    <row r="349" spans="1:5" ht="15.75" x14ac:dyDescent="0.25">
      <c r="A349" s="10">
        <v>1012357415</v>
      </c>
      <c r="B349" s="2">
        <v>46031.336645601848</v>
      </c>
      <c r="C349" s="3" t="str">
        <f>IFERROR(VLOOKUP(A349,'Base Prueba'!A:C,3,),"NO REGISTRA")</f>
        <v>CINDY LORENA BOHORQUEZ LEYVA</v>
      </c>
      <c r="D349" s="4" t="str">
        <f>IFERROR(VLOOKUP(A349,'Base Prueba'!A:D,4,),"NO REGISTRA")</f>
        <v>ANALISTA DE TESORERIA</v>
      </c>
      <c r="E349" s="5" t="str">
        <f>IFERROR(VLOOKUP(A349,'Base Prueba'!A:E,5,),"NO REGISTRA")</f>
        <v>AREA FINANCIERA Y CONTABLE</v>
      </c>
    </row>
    <row r="350" spans="1:5" ht="15.75" x14ac:dyDescent="0.25">
      <c r="A350" s="10">
        <v>1022996882</v>
      </c>
      <c r="B350" s="2">
        <v>46031.337551273151</v>
      </c>
      <c r="C350" s="3" t="str">
        <f>IFERROR(VLOOKUP(A350,'Base Prueba'!A:C,3,),"NO REGISTRA")</f>
        <v>NANCY BRIGITH ALDANA GUEVARA</v>
      </c>
      <c r="D350" s="4" t="str">
        <f>IFERROR(VLOOKUP(A350,'Base Prueba'!A:D,4,),"NO REGISTRA")</f>
        <v>COORDINADORA DE GESTIÓN HUMANA</v>
      </c>
      <c r="E350" s="5" t="str">
        <f>IFERROR(VLOOKUP(A350,'Base Prueba'!A:E,5,),"NO REGISTRA")</f>
        <v>DEPARTAMENTO DE GESTION HUMANA</v>
      </c>
    </row>
    <row r="351" spans="1:5" ht="15.75" x14ac:dyDescent="0.25">
      <c r="A351" s="10">
        <v>1000254831</v>
      </c>
      <c r="B351" s="2">
        <v>46031.338636921297</v>
      </c>
      <c r="C351" s="3" t="str">
        <f>IFERROR(VLOOKUP(A351,'Base Prueba'!A:C,3,),"NO REGISTRA")</f>
        <v>BRIDGET ROSSANA DIAZ BOGOTA</v>
      </c>
      <c r="D351" s="4" t="str">
        <f>IFERROR(VLOOKUP(A351,'Base Prueba'!A:D,4,),"NO REGISTRA")</f>
        <v>AUXILIAR DE DISEÑO</v>
      </c>
      <c r="E351" s="5" t="str">
        <f>IFERROR(VLOOKUP(A351,'Base Prueba'!A:E,5,),"NO REGISTRA")</f>
        <v>OFICINA DE MERCADEO</v>
      </c>
    </row>
    <row r="352" spans="1:5" ht="15.75" x14ac:dyDescent="0.25">
      <c r="A352" s="10">
        <v>1000687931</v>
      </c>
      <c r="B352" s="2">
        <v>46031.340842824073</v>
      </c>
      <c r="C352" s="3" t="str">
        <f>IFERROR(VLOOKUP(A352,'Base Prueba'!A:C,3,),"NO REGISTRA")</f>
        <v>ANDRES FELIPE PUENTES TORRES</v>
      </c>
      <c r="D352" s="4" t="str">
        <f>IFERROR(VLOOKUP(A352,'Base Prueba'!A:D,4,),"NO REGISTRA")</f>
        <v>AUXILIAR ADMINISTRATIVO</v>
      </c>
      <c r="E352" s="5" t="str">
        <f>IFERROR(VLOOKUP(A352,'Base Prueba'!A:E,5,),"NO REGISTRA")</f>
        <v>REGISTRO Y CONTROL ACADEMICO</v>
      </c>
    </row>
    <row r="353" spans="1:5" ht="15.75" x14ac:dyDescent="0.25">
      <c r="A353" s="10">
        <v>1193457976</v>
      </c>
      <c r="B353" s="2">
        <v>46031.343105902779</v>
      </c>
      <c r="C353" s="3" t="str">
        <f>IFERROR(VLOOKUP(A353,'Base Prueba'!A:C,3,),"NO REGISTRA")</f>
        <v>SEDENIS RIVAS ASPRILLA</v>
      </c>
      <c r="D353" s="4" t="str">
        <f>IFERROR(VLOOKUP(A353,'Base Prueba'!A:D,4,),"NO REGISTRA")</f>
        <v>APRENDIZ UNIVERSITARIO</v>
      </c>
      <c r="E353" s="5" t="str">
        <f>IFERROR(VLOOKUP(A353,'Base Prueba'!A:E,5,),"NO REGISTRA")</f>
        <v>DEPARTAMENTO DE GESTION HUMANA</v>
      </c>
    </row>
    <row r="354" spans="1:5" ht="15.75" x14ac:dyDescent="0.25">
      <c r="A354" s="10">
        <v>1032469638</v>
      </c>
      <c r="B354" s="2">
        <v>46031.344584027778</v>
      </c>
      <c r="C354" s="3" t="str">
        <f>IFERROR(VLOOKUP(A354,'Base Prueba'!A:C,3,),"NO REGISTRA")</f>
        <v>MAICOL JARBEY GUALTEROS CASTAÑEDA</v>
      </c>
      <c r="D354" s="4" t="str">
        <f>IFERROR(VLOOKUP(A354,'Base Prueba'!A:D,4,),"NO REGISTRA")</f>
        <v>COORDINADOR DEL SISTEMA INTERNO DE ASEGURAMIENTO DE LA CALIDAD - SIAC</v>
      </c>
      <c r="E354" s="5" t="str">
        <f>IFERROR(VLOOKUP(A354,'Base Prueba'!A:E,5,),"NO REGISTRA")</f>
        <v>OFICINA DE PLANEACION Y GESTION DE LA CALIDAD</v>
      </c>
    </row>
    <row r="355" spans="1:5" ht="15.75" x14ac:dyDescent="0.25">
      <c r="A355" s="10">
        <v>1014266838</v>
      </c>
      <c r="B355" s="2">
        <v>46031.346193634257</v>
      </c>
      <c r="C355" s="3" t="str">
        <f>IFERROR(VLOOKUP(A355,'Base Prueba'!A:C,3,),"NO REGISTRA")</f>
        <v>JENNIFER ASTRID ROMERO HURTADO</v>
      </c>
      <c r="D355" s="4" t="str">
        <f>IFERROR(VLOOKUP(A355,'Base Prueba'!A:D,4,),"NO REGISTRA")</f>
        <v>LIDER DE RECAUDO</v>
      </c>
      <c r="E355" s="5" t="str">
        <f>IFERROR(VLOOKUP(A355,'Base Prueba'!A:E,5,),"NO REGISTRA")</f>
        <v>AREA FINANCIERA Y CONTABLE</v>
      </c>
    </row>
    <row r="356" spans="1:5" ht="15.75" x14ac:dyDescent="0.25">
      <c r="A356" s="10">
        <v>1000604979</v>
      </c>
      <c r="B356" s="2">
        <v>46031.348794097219</v>
      </c>
      <c r="C356" s="3" t="str">
        <f>IFERROR(VLOOKUP(A356,'Base Prueba'!A:C,3,),"NO REGISTRA")</f>
        <v>JULIETH TATIANA PARDO PINTO</v>
      </c>
      <c r="D356" s="4" t="str">
        <f>IFERROR(VLOOKUP(A356,'Base Prueba'!A:D,4,),"NO REGISTRA")</f>
        <v>AUXILIAR JURIDICO</v>
      </c>
      <c r="E356" s="5" t="str">
        <f>IFERROR(VLOOKUP(A356,'Base Prueba'!A:E,5,),"NO REGISTRA")</f>
        <v>SECRETARIA GENERAL</v>
      </c>
    </row>
    <row r="357" spans="1:5" ht="15.75" x14ac:dyDescent="0.25">
      <c r="A357" s="10">
        <v>1000457706</v>
      </c>
      <c r="B357" s="2">
        <v>46031.349473495371</v>
      </c>
      <c r="C357" s="3" t="str">
        <f>IFERROR(VLOOKUP(A357,'Base Prueba'!A:C,3,),"NO REGISTRA")</f>
        <v>CRISTIAN DANILO ARROYO SANABRIA</v>
      </c>
      <c r="D357" s="4" t="str">
        <f>IFERROR(VLOOKUP(A357,'Base Prueba'!A:D,4,),"NO REGISTRA")</f>
        <v>AUXILIAR CONTABLE</v>
      </c>
      <c r="E357" s="5" t="str">
        <f>IFERROR(VLOOKUP(A357,'Base Prueba'!A:E,5,),"NO REGISTRA")</f>
        <v>AREA FINANCIERA Y CONTABLE</v>
      </c>
    </row>
    <row r="358" spans="1:5" ht="15.75" x14ac:dyDescent="0.25">
      <c r="A358" s="10">
        <v>53932358</v>
      </c>
      <c r="B358" s="2">
        <v>46031.353254745372</v>
      </c>
      <c r="C358" s="3" t="str">
        <f>IFERROR(VLOOKUP(A358,'Base Prueba'!A:C,3,),"NO REGISTRA")</f>
        <v>DIANA MADELEYNE GAONA RODRIGUEZ</v>
      </c>
      <c r="D358" s="4" t="str">
        <f>IFERROR(VLOOKUP(A358,'Base Prueba'!A:D,4,),"NO REGISTRA")</f>
        <v>CONTADOR</v>
      </c>
      <c r="E358" s="5" t="str">
        <f>IFERROR(VLOOKUP(A358,'Base Prueba'!A:E,5,),"NO REGISTRA")</f>
        <v>AREA FINANCIERA Y CONTABLE</v>
      </c>
    </row>
    <row r="359" spans="1:5" ht="15.75" x14ac:dyDescent="0.25">
      <c r="A359" s="10">
        <v>1032407386</v>
      </c>
      <c r="B359" s="2">
        <v>46031.355522685182</v>
      </c>
      <c r="C359" s="3" t="str">
        <f>IFERROR(VLOOKUP(A359,'Base Prueba'!A:C,3,),"NO REGISTRA")</f>
        <v>GINA PAOLA BAEZ GALVIS</v>
      </c>
      <c r="D359" s="4" t="str">
        <f>IFERROR(VLOOKUP(A359,'Base Prueba'!A:D,4,),"NO REGISTRA")</f>
        <v>PROMOTOR CALL CENTER</v>
      </c>
      <c r="E359" s="5" t="str">
        <f>IFERROR(VLOOKUP(A359,'Base Prueba'!A:E,5,),"NO REGISTRA")</f>
        <v>OFICINA DE MERCADEO</v>
      </c>
    </row>
    <row r="360" spans="1:5" ht="15.75" x14ac:dyDescent="0.25">
      <c r="A360" s="10">
        <v>1000593372</v>
      </c>
      <c r="B360" s="2">
        <v>46031.357077199071</v>
      </c>
      <c r="C360" s="3" t="str">
        <f>IFERROR(VLOOKUP(A360,'Base Prueba'!A:C,3,),"NO REGISTRA")</f>
        <v>LAURA SOFIA CHAPARRO LOPEZ</v>
      </c>
      <c r="D360" s="4" t="str">
        <f>IFERROR(VLOOKUP(A360,'Base Prueba'!A:D,4,),"NO REGISTRA")</f>
        <v>AUXILIAR JURIDICO</v>
      </c>
      <c r="E360" s="5" t="str">
        <f>IFERROR(VLOOKUP(A360,'Base Prueba'!A:E,5,),"NO REGISTRA")</f>
        <v>SECRETARIA GENERAL</v>
      </c>
    </row>
    <row r="361" spans="1:5" ht="15.75" x14ac:dyDescent="0.25">
      <c r="A361" s="10">
        <v>1016090131</v>
      </c>
      <c r="B361" s="2">
        <v>46031.363082870368</v>
      </c>
      <c r="C361" s="3" t="str">
        <f>IFERROR(VLOOKUP(A361,'Base Prueba'!A:C,3,),"NO REGISTRA")</f>
        <v>NICOLAS RODRIGUEZ PACHECO</v>
      </c>
      <c r="D361" s="4" t="str">
        <f>IFERROR(VLOOKUP(A361,'Base Prueba'!A:D,4,),"NO REGISTRA")</f>
        <v>COORDINADOR DE COMUNICACIONES</v>
      </c>
      <c r="E361" s="5" t="str">
        <f>IFERROR(VLOOKUP(A361,'Base Prueba'!A:E,5,),"NO REGISTRA")</f>
        <v>OFICINA DE MERCADEO</v>
      </c>
    </row>
    <row r="362" spans="1:5" ht="15.75" x14ac:dyDescent="0.25">
      <c r="A362" s="10">
        <v>1003690253</v>
      </c>
      <c r="B362" s="2">
        <v>46031.365528819442</v>
      </c>
      <c r="C362" s="3" t="str">
        <f>IFERROR(VLOOKUP(A362,'Base Prueba'!A:C,3,),"NO REGISTRA")</f>
        <v>MELISSA GONZALEZ PEDRAZA</v>
      </c>
      <c r="D362" s="4" t="str">
        <f>IFERROR(VLOOKUP(A362,'Base Prueba'!A:D,4,),"NO REGISTRA")</f>
        <v>LIDER DE JOVENES A LA E</v>
      </c>
      <c r="E362" s="5" t="str">
        <f>IFERROR(VLOOKUP(A362,'Base Prueba'!A:E,5,),"NO REGISTRA")</f>
        <v>DIRECCION DE BIENESTAR INSTITUCIONAL</v>
      </c>
    </row>
    <row r="363" spans="1:5" ht="15.75" x14ac:dyDescent="0.25">
      <c r="A363" s="10">
        <v>1018413529</v>
      </c>
      <c r="B363" s="2">
        <v>46031.368013657404</v>
      </c>
      <c r="C363" s="3" t="str">
        <f>IFERROR(VLOOKUP(A363,'Base Prueba'!A:C,3,),"NO REGISTRA")</f>
        <v>FRANCY STELLA CHARRY MORENO</v>
      </c>
      <c r="D363" s="4" t="str">
        <f>IFERROR(VLOOKUP(A363,'Base Prueba'!A:D,4,),"NO REGISTRA")</f>
        <v>PROMOTOR COMERCIAL DEL CEA</v>
      </c>
      <c r="E363" s="5" t="str">
        <f>IFERROR(VLOOKUP(A363,'Base Prueba'!A:E,5,),"NO REGISTRA")</f>
        <v>OFICINA DE MERCADEO</v>
      </c>
    </row>
    <row r="364" spans="1:5" ht="15.75" x14ac:dyDescent="0.25">
      <c r="A364" s="10">
        <v>1000046533</v>
      </c>
      <c r="B364" s="2">
        <v>46031.368636342595</v>
      </c>
      <c r="C364" s="3" t="str">
        <f>IFERROR(VLOOKUP(A364,'Base Prueba'!A:C,3,),"NO REGISTRA")</f>
        <v>ERIKA JULIETH VALDERRAMA SANCHEZ</v>
      </c>
      <c r="D364" s="4" t="str">
        <f>IFERROR(VLOOKUP(A364,'Base Prueba'!A:D,4,),"NO REGISTRA")</f>
        <v>PROMOTOR CALL CENTER</v>
      </c>
      <c r="E364" s="5" t="str">
        <f>IFERROR(VLOOKUP(A364,'Base Prueba'!A:E,5,),"NO REGISTRA")</f>
        <v>OFICINA DE MERCADEO</v>
      </c>
    </row>
    <row r="365" spans="1:5" ht="15.75" x14ac:dyDescent="0.25">
      <c r="A365" s="10">
        <v>80234243</v>
      </c>
      <c r="B365" s="2">
        <v>46031.368828356484</v>
      </c>
      <c r="C365" s="3" t="str">
        <f>IFERROR(VLOOKUP(A365,'Base Prueba'!A:C,3,),"NO REGISTRA")</f>
        <v>ARGENIS MARTINEZ MARTINEZ</v>
      </c>
      <c r="D365" s="4" t="str">
        <f>IFERROR(VLOOKUP(A365,'Base Prueba'!A:D,4,),"NO REGISTRA")</f>
        <v>LIDER CALL CENTER</v>
      </c>
      <c r="E365" s="5" t="str">
        <f>IFERROR(VLOOKUP(A365,'Base Prueba'!A:E,5,),"NO REGISTRA")</f>
        <v>OFICINA DE MERCADEO</v>
      </c>
    </row>
    <row r="366" spans="1:5" ht="15.75" x14ac:dyDescent="0.25">
      <c r="A366" s="10">
        <v>28798349</v>
      </c>
      <c r="B366" s="2">
        <v>46031.373878472223</v>
      </c>
      <c r="C366" s="3" t="str">
        <f>IFERROR(VLOOKUP(A366,'Base Prueba'!A:C,3,),"NO REGISTRA")</f>
        <v>MARTHA ISABEL TOVAR WILLIAMS</v>
      </c>
      <c r="D366" s="4" t="str">
        <f>IFERROR(VLOOKUP(A366,'Base Prueba'!A:D,4,),"NO REGISTRA")</f>
        <v>PROMOTOR CALL CENTER</v>
      </c>
      <c r="E366" s="5" t="str">
        <f>IFERROR(VLOOKUP(A366,'Base Prueba'!A:E,5,),"NO REGISTRA")</f>
        <v>OFICINA DE MERCADEO</v>
      </c>
    </row>
    <row r="367" spans="1:5" ht="15.75" x14ac:dyDescent="0.25">
      <c r="A367" s="10">
        <v>52472386</v>
      </c>
      <c r="B367" s="2">
        <v>46031.373935763891</v>
      </c>
      <c r="C367" s="3" t="str">
        <f>IFERROR(VLOOKUP(A367,'Base Prueba'!A:C,3,),"NO REGISTRA")</f>
        <v>ADRIANA MARCELA MORALES PARDO</v>
      </c>
      <c r="D367" s="4" t="str">
        <f>IFERROR(VLOOKUP(A367,'Base Prueba'!A:D,4,),"NO REGISTRA")</f>
        <v>PROMOTOR CALL CENTER</v>
      </c>
      <c r="E367" s="5" t="str">
        <f>IFERROR(VLOOKUP(A367,'Base Prueba'!A:E,5,),"NO REGISTRA")</f>
        <v>OFICINA DE MERCADEO</v>
      </c>
    </row>
    <row r="368" spans="1:5" ht="15.75" x14ac:dyDescent="0.25">
      <c r="A368" s="10">
        <v>1033709056</v>
      </c>
      <c r="B368" s="2">
        <v>46031.374645023148</v>
      </c>
      <c r="C368" s="3" t="str">
        <f>IFERROR(VLOOKUP(A368,'Base Prueba'!A:C,3,),"NO REGISTRA")</f>
        <v>YEIMY ALEXANDRA RODRIGUEZ PALACIO</v>
      </c>
      <c r="D368" s="4" t="str">
        <f>IFERROR(VLOOKUP(A368,'Base Prueba'!A:D,4,),"NO REGISTRA")</f>
        <v>PROMOTOR CALL CENTER</v>
      </c>
      <c r="E368" s="5" t="str">
        <f>IFERROR(VLOOKUP(A368,'Base Prueba'!A:E,5,),"NO REGISTRA")</f>
        <v>OFICINA DE MERCADEO</v>
      </c>
    </row>
    <row r="369" spans="1:5" ht="15.75" x14ac:dyDescent="0.25">
      <c r="A369" s="10">
        <v>52764929</v>
      </c>
      <c r="B369" s="2">
        <v>46031.374722222223</v>
      </c>
      <c r="C369" s="3" t="str">
        <f>IFERROR(VLOOKUP(A369,'Base Prueba'!A:C,3,),"NO REGISTRA")</f>
        <v>GUERLY YOHANA DURAN RIVERA</v>
      </c>
      <c r="D369" s="4" t="str">
        <f>IFERROR(VLOOKUP(A369,'Base Prueba'!A:D,4,),"NO REGISTRA")</f>
        <v>LIDER DE VINCULACION COLEGIOS</v>
      </c>
      <c r="E369" s="5" t="str">
        <f>IFERROR(VLOOKUP(A369,'Base Prueba'!A:E,5,),"NO REGISTRA")</f>
        <v>OFICINA DE MERCADEO</v>
      </c>
    </row>
    <row r="370" spans="1:5" ht="15.75" x14ac:dyDescent="0.25">
      <c r="A370" s="10">
        <v>1023961952</v>
      </c>
      <c r="B370" s="2">
        <v>46031.375007407405</v>
      </c>
      <c r="C370" s="3" t="str">
        <f>IFERROR(VLOOKUP(A370,'Base Prueba'!A:C,3,),"NO REGISTRA")</f>
        <v>ALEJANDRO PINZON MERCHAN</v>
      </c>
      <c r="D370" s="4" t="str">
        <f>IFERROR(VLOOKUP(A370,'Base Prueba'!A:D,4,),"NO REGISTRA")</f>
        <v>PROMOTOR CALL CENTER</v>
      </c>
      <c r="E370" s="5" t="str">
        <f>IFERROR(VLOOKUP(A370,'Base Prueba'!A:E,5,),"NO REGISTRA")</f>
        <v>OFICINA DE MERCADEO</v>
      </c>
    </row>
    <row r="371" spans="1:5" ht="15.75" x14ac:dyDescent="0.25">
      <c r="A371" s="10">
        <v>1018414290</v>
      </c>
      <c r="B371" s="2">
        <v>46031.375525925927</v>
      </c>
      <c r="C371" s="3" t="str">
        <f>IFERROR(VLOOKUP(A371,'Base Prueba'!A:C,3,),"NO REGISTRA")</f>
        <v>AMANDA LISBETH RODRIGUEZ LEON</v>
      </c>
      <c r="D371" s="4" t="str">
        <f>IFERROR(VLOOKUP(A371,'Base Prueba'!A:D,4,),"NO REGISTRA")</f>
        <v>PROMOTOR CALL CENTER</v>
      </c>
      <c r="E371" s="5" t="str">
        <f>IFERROR(VLOOKUP(A371,'Base Prueba'!A:E,5,),"NO REGISTRA")</f>
        <v>OFICINA DE MERCADEO</v>
      </c>
    </row>
    <row r="372" spans="1:5" ht="15.75" x14ac:dyDescent="0.25">
      <c r="A372" s="10">
        <v>1014196857</v>
      </c>
      <c r="B372" s="2">
        <v>46031.379866550924</v>
      </c>
      <c r="C372" s="3" t="str">
        <f>IFERROR(VLOOKUP(A372,'Base Prueba'!A:C,3,),"NO REGISTRA")</f>
        <v>CARLOS ANDRES JIMENEZ PARDO</v>
      </c>
      <c r="D372" s="4" t="str">
        <f>IFERROR(VLOOKUP(A372,'Base Prueba'!A:D,4,),"NO REGISTRA")</f>
        <v>COORDINADOR DE MARKETING DIGITAL</v>
      </c>
      <c r="E372" s="5" t="str">
        <f>IFERROR(VLOOKUP(A372,'Base Prueba'!A:E,5,),"NO REGISTRA")</f>
        <v>OFICINA DE MERCADEO</v>
      </c>
    </row>
    <row r="373" spans="1:5" ht="15.75" x14ac:dyDescent="0.25">
      <c r="A373" s="10">
        <v>1014196857</v>
      </c>
      <c r="B373" s="2">
        <v>46031.379907407405</v>
      </c>
      <c r="C373" s="3" t="str">
        <f>IFERROR(VLOOKUP(A373,'Base Prueba'!A:C,3,),"NO REGISTRA")</f>
        <v>CARLOS ANDRES JIMENEZ PARDO</v>
      </c>
      <c r="D373" s="4" t="str">
        <f>IFERROR(VLOOKUP(A373,'Base Prueba'!A:D,4,),"NO REGISTRA")</f>
        <v>COORDINADOR DE MARKETING DIGITAL</v>
      </c>
      <c r="E373" s="5" t="str">
        <f>IFERROR(VLOOKUP(A373,'Base Prueba'!A:E,5,),"NO REGISTRA")</f>
        <v>OFICINA DE MERCADEO</v>
      </c>
    </row>
    <row r="374" spans="1:5" ht="15.75" x14ac:dyDescent="0.25">
      <c r="A374" s="10">
        <v>1019105003</v>
      </c>
      <c r="B374" s="2">
        <v>46031.380697222223</v>
      </c>
      <c r="C374" s="3" t="str">
        <f>IFERROR(VLOOKUP(A374,'Base Prueba'!A:C,3,),"NO REGISTRA")</f>
        <v>DAISY JULIETH GASPAR MORENO</v>
      </c>
      <c r="D374" s="4" t="str">
        <f>IFERROR(VLOOKUP(A374,'Base Prueba'!A:D,4,),"NO REGISTRA")</f>
        <v>PROMOTOR CALL CENTER</v>
      </c>
      <c r="E374" s="5" t="str">
        <f>IFERROR(VLOOKUP(A374,'Base Prueba'!A:E,5,),"NO REGISTRA")</f>
        <v>OFICINA DE MERCADEO</v>
      </c>
    </row>
    <row r="375" spans="1:5" ht="15.75" x14ac:dyDescent="0.25">
      <c r="A375" s="10">
        <v>1193265768</v>
      </c>
      <c r="B375" s="2">
        <v>46031.397347453705</v>
      </c>
      <c r="C375" s="3" t="str">
        <f>IFERROR(VLOOKUP(A375,'Base Prueba'!A:C,3,),"NO REGISTRA")</f>
        <v>SANTIAGO OSORIO CAMACHO</v>
      </c>
      <c r="D375" s="4" t="str">
        <f>IFERROR(VLOOKUP(A375,'Base Prueba'!A:D,4,),"NO REGISTRA")</f>
        <v>ANALISTA DE PAUTA</v>
      </c>
      <c r="E375" s="5" t="str">
        <f>IFERROR(VLOOKUP(A375,'Base Prueba'!A:E,5,),"NO REGISTRA")</f>
        <v>OFICINA DE MERCADEO</v>
      </c>
    </row>
    <row r="376" spans="1:5" ht="15.75" x14ac:dyDescent="0.25">
      <c r="A376" s="10">
        <v>1000365751</v>
      </c>
      <c r="B376" s="2">
        <v>46031.397764814814</v>
      </c>
      <c r="C376" s="3" t="str">
        <f>IFERROR(VLOOKUP(A376,'Base Prueba'!A:C,3,),"NO REGISTRA")</f>
        <v>JHOAN NICOLAS ESCAMILLA MANJARRES</v>
      </c>
      <c r="D376" s="4" t="str">
        <f>IFERROR(VLOOKUP(A376,'Base Prueba'!A:D,4,),"NO REGISTRA")</f>
        <v>APRENDIZ UNIVERSITARIO</v>
      </c>
      <c r="E376" s="5" t="str">
        <f>IFERROR(VLOOKUP(A376,'Base Prueba'!A:E,5,),"NO REGISTRA")</f>
        <v>OFICINA DE MERCADEO</v>
      </c>
    </row>
    <row r="377" spans="1:5" ht="15.75" x14ac:dyDescent="0.25">
      <c r="A377" s="10">
        <v>52443092</v>
      </c>
      <c r="B377" s="2">
        <v>46031.585477199071</v>
      </c>
      <c r="C377" s="3" t="str">
        <f>IFERROR(VLOOKUP(A377,'Base Prueba'!A:C,3,),"NO REGISTRA")</f>
        <v>LUZ MYRIAM SAAVEDRA CONTRERAS</v>
      </c>
      <c r="D377" s="4" t="str">
        <f>IFERROR(VLOOKUP(A377,'Base Prueba'!A:D,4,),"NO REGISTRA")</f>
        <v>AUXILIAR DE SERVICIOS</v>
      </c>
      <c r="E377" s="5" t="str">
        <f>IFERROR(VLOOKUP(A377,'Base Prueba'!A:E,5,),"NO REGISTRA")</f>
        <v>LOGISTICA Y SERVICIOS GENERALES</v>
      </c>
    </row>
    <row r="378" spans="1:5" ht="15.75" x14ac:dyDescent="0.25">
      <c r="A378" s="10">
        <v>1111043661</v>
      </c>
      <c r="B378" s="2">
        <v>46031.621937152777</v>
      </c>
      <c r="C378" s="3" t="str">
        <f>IFERROR(VLOOKUP(A378,'Base Prueba'!A:C,3,),"NO REGISTRA")</f>
        <v>KEVIN JOHAN MORA GARCIA</v>
      </c>
      <c r="D378" s="4" t="str">
        <f>IFERROR(VLOOKUP(A378,'Base Prueba'!A:D,4,),"NO REGISTRA")</f>
        <v>APRENDIZ UNIVERSITARIO</v>
      </c>
      <c r="E378" s="5" t="str">
        <f>IFERROR(VLOOKUP(A378,'Base Prueba'!A:E,5,),"NO REGISTRA")</f>
        <v>CENTRO DE GESTION DOCUMENTAL</v>
      </c>
    </row>
    <row r="379" spans="1:5" ht="15.75" x14ac:dyDescent="0.25">
      <c r="A379" s="10">
        <v>1031802160</v>
      </c>
      <c r="B379" s="2">
        <v>46031.706486805553</v>
      </c>
      <c r="C379" s="3" t="str">
        <f>IFERROR(VLOOKUP(A379,'Base Prueba'!A:C,3,),"NO REGISTRA")</f>
        <v>LUISA MARIA MAHECHA SOTOMAYOR</v>
      </c>
      <c r="D379" s="4" t="str">
        <f>IFERROR(VLOOKUP(A379,'Base Prueba'!A:D,4,),"NO REGISTRA")</f>
        <v>APRENDIZ UNIVERSITARIO</v>
      </c>
      <c r="E379" s="5" t="str">
        <f>IFERROR(VLOOKUP(A379,'Base Prueba'!A:E,5,),"NO REGISTRA")</f>
        <v>OFICINA DE MERCADEO</v>
      </c>
    </row>
    <row r="380" spans="1:5" ht="15.75" x14ac:dyDescent="0.25">
      <c r="A380" s="10">
        <v>1193457976</v>
      </c>
      <c r="B380" s="2">
        <v>46031.712845138885</v>
      </c>
      <c r="C380" s="3" t="str">
        <f>IFERROR(VLOOKUP(A380,'Base Prueba'!A:C,3,),"NO REGISTRA")</f>
        <v>SEDENIS RIVAS ASPRILLA</v>
      </c>
      <c r="D380" s="4" t="str">
        <f>IFERROR(VLOOKUP(A380,'Base Prueba'!A:D,4,),"NO REGISTRA")</f>
        <v>APRENDIZ UNIVERSITARIO</v>
      </c>
      <c r="E380" s="5" t="str">
        <f>IFERROR(VLOOKUP(A380,'Base Prueba'!A:E,5,),"NO REGISTRA")</f>
        <v>DEPARTAMENTO DE GESTION HUMANA</v>
      </c>
    </row>
    <row r="381" spans="1:5" ht="15.75" x14ac:dyDescent="0.25">
      <c r="A381" s="10">
        <v>1012357415</v>
      </c>
      <c r="B381" s="2">
        <v>46031.714804629628</v>
      </c>
      <c r="C381" s="3" t="str">
        <f>IFERROR(VLOOKUP(A381,'Base Prueba'!A:C,3,),"NO REGISTRA")</f>
        <v>CINDY LORENA BOHORQUEZ LEYVA</v>
      </c>
      <c r="D381" s="4" t="str">
        <f>IFERROR(VLOOKUP(A381,'Base Prueba'!A:D,4,),"NO REGISTRA")</f>
        <v>ANALISTA DE TESORERIA</v>
      </c>
      <c r="E381" s="5" t="str">
        <f>IFERROR(VLOOKUP(A381,'Base Prueba'!A:E,5,),"NO REGISTRA")</f>
        <v>AREA FINANCIERA Y CONTABLE</v>
      </c>
    </row>
    <row r="382" spans="1:5" ht="15.75" x14ac:dyDescent="0.25">
      <c r="A382" s="10">
        <v>1022996882</v>
      </c>
      <c r="B382" s="2">
        <v>46031.715531365742</v>
      </c>
      <c r="C382" s="3" t="str">
        <f>IFERROR(VLOOKUP(A382,'Base Prueba'!A:C,3,),"NO REGISTRA")</f>
        <v>NANCY BRIGITH ALDANA GUEVARA</v>
      </c>
      <c r="D382" s="4" t="str">
        <f>IFERROR(VLOOKUP(A382,'Base Prueba'!A:D,4,),"NO REGISTRA")</f>
        <v>COORDINADORA DE GESTIÓN HUMANA</v>
      </c>
      <c r="E382" s="5" t="str">
        <f>IFERROR(VLOOKUP(A382,'Base Prueba'!A:E,5,),"NO REGISTRA")</f>
        <v>DEPARTAMENTO DE GESTION HUMANA</v>
      </c>
    </row>
    <row r="383" spans="1:5" ht="15.75" x14ac:dyDescent="0.25">
      <c r="A383" s="10">
        <v>1014308296</v>
      </c>
      <c r="B383" s="2">
        <v>46031.716151388886</v>
      </c>
      <c r="C383" s="3" t="str">
        <f>IFERROR(VLOOKUP(A383,'Base Prueba'!A:C,3,),"NO REGISTRA")</f>
        <v>DARLENE YULIANA MORENO CELEITA</v>
      </c>
      <c r="D383" s="4" t="str">
        <f>IFERROR(VLOOKUP(A383,'Base Prueba'!A:D,4,),"NO REGISTRA")</f>
        <v>CAJERO PRINCIPAL</v>
      </c>
      <c r="E383" s="5" t="str">
        <f>IFERROR(VLOOKUP(A383,'Base Prueba'!A:E,5,),"NO REGISTRA")</f>
        <v>AREA FINANCIERA Y CONTABLE</v>
      </c>
    </row>
    <row r="384" spans="1:5" ht="15.75" x14ac:dyDescent="0.25">
      <c r="A384" s="10">
        <v>80238161</v>
      </c>
      <c r="B384" s="2">
        <v>46031.716989583336</v>
      </c>
      <c r="C384" s="3" t="str">
        <f>IFERROR(VLOOKUP(A384,'Base Prueba'!A:C,3,),"NO REGISTRA")</f>
        <v>GERMAN CARRANZA ESPITIA</v>
      </c>
      <c r="D384" s="4" t="str">
        <f>IFERROR(VLOOKUP(A384,'Base Prueba'!A:D,4,),"NO REGISTRA")</f>
        <v>TESORERO</v>
      </c>
      <c r="E384" s="5" t="str">
        <f>IFERROR(VLOOKUP(A384,'Base Prueba'!A:E,5,),"NO REGISTRA")</f>
        <v>AREA FINANCIERA Y CONTABLE</v>
      </c>
    </row>
    <row r="385" spans="1:5" ht="15.75" x14ac:dyDescent="0.25">
      <c r="A385" s="10">
        <v>1014977624</v>
      </c>
      <c r="B385" s="2">
        <v>46031.717371296298</v>
      </c>
      <c r="C385" s="3" t="str">
        <f>IFERROR(VLOOKUP(A385,'Base Prueba'!A:C,3,),"NO REGISTRA")</f>
        <v>NICCOLE VALENTINA HERNANDEZ MALAVER</v>
      </c>
      <c r="D385" s="4" t="str">
        <f>IFERROR(VLOOKUP(A385,'Base Prueba'!A:D,4,),"NO REGISTRA")</f>
        <v>APRENDIZ UNIVERSITARIO</v>
      </c>
      <c r="E385" s="5" t="str">
        <f>IFERROR(VLOOKUP(A385,'Base Prueba'!A:E,5,),"NO REGISTRA")</f>
        <v>AREA FINANCIERA Y CONTABLE</v>
      </c>
    </row>
    <row r="386" spans="1:5" ht="15.75" x14ac:dyDescent="0.25">
      <c r="A386" s="10">
        <v>1087121273</v>
      </c>
      <c r="B386" s="2">
        <v>46031.719112500003</v>
      </c>
      <c r="C386" s="3" t="str">
        <f>IFERROR(VLOOKUP(A386,'Base Prueba'!A:C,3,),"NO REGISTRA")</f>
        <v>MAYRA ALEJANDRA CASTILLO ARBOLEDA</v>
      </c>
      <c r="D386" s="4" t="str">
        <f>IFERROR(VLOOKUP(A386,'Base Prueba'!A:D,4,),"NO REGISTRA")</f>
        <v>APOYO INTEGRAL DE MERCADEO</v>
      </c>
      <c r="E386" s="5" t="str">
        <f>IFERROR(VLOOKUP(A386,'Base Prueba'!A:E,5,),"NO REGISTRA")</f>
        <v>CENTRO DE GESTION DOCUMENTAL</v>
      </c>
    </row>
    <row r="387" spans="1:5" ht="15.75" x14ac:dyDescent="0.25">
      <c r="A387" s="10">
        <v>1000467399</v>
      </c>
      <c r="B387" s="2">
        <v>46031.719167592593</v>
      </c>
      <c r="C387" s="3" t="str">
        <f>IFERROR(VLOOKUP(A387,'Base Prueba'!A:C,3,),"NO REGISTRA")</f>
        <v>BRANDO ESTIVEN DIAZ QUIMBAYA</v>
      </c>
      <c r="D387" s="4" t="str">
        <f>IFERROR(VLOOKUP(A387,'Base Prueba'!A:D,4,),"NO REGISTRA")</f>
        <v>APRENDIZ UNIVERSITARIO</v>
      </c>
      <c r="E387" s="5" t="str">
        <f>IFERROR(VLOOKUP(A387,'Base Prueba'!A:E,5,),"NO REGISTRA")</f>
        <v>DEPARTAMENTO DE GESTION HUMANA</v>
      </c>
    </row>
    <row r="388" spans="1:5" ht="15.75" x14ac:dyDescent="0.25">
      <c r="A388" s="10">
        <v>1026599257</v>
      </c>
      <c r="B388" s="2">
        <v>46031.719423495371</v>
      </c>
      <c r="C388" s="3" t="str">
        <f>IFERROR(VLOOKUP(A388,'Base Prueba'!A:C,3,),"NO REGISTRA")</f>
        <v>YESENIA PAOLA PINEDA HURTADO</v>
      </c>
      <c r="D388" s="4" t="str">
        <f>IFERROR(VLOOKUP(A388,'Base Prueba'!A:D,4,),"NO REGISTRA")</f>
        <v>LIDER DE COMPRAS</v>
      </c>
      <c r="E388" s="5" t="str">
        <f>IFERROR(VLOOKUP(A388,'Base Prueba'!A:E,5,),"NO REGISTRA")</f>
        <v>AREA ADMINISTRATIVA</v>
      </c>
    </row>
    <row r="389" spans="1:5" ht="15.75" x14ac:dyDescent="0.25">
      <c r="A389" s="10">
        <v>1000457706</v>
      </c>
      <c r="B389" s="2">
        <v>46031.719568055552</v>
      </c>
      <c r="C389" s="3" t="str">
        <f>IFERROR(VLOOKUP(A389,'Base Prueba'!A:C,3,),"NO REGISTRA")</f>
        <v>CRISTIAN DANILO ARROYO SANABRIA</v>
      </c>
      <c r="D389" s="4" t="str">
        <f>IFERROR(VLOOKUP(A389,'Base Prueba'!A:D,4,),"NO REGISTRA")</f>
        <v>AUXILIAR CONTABLE</v>
      </c>
      <c r="E389" s="5" t="str">
        <f>IFERROR(VLOOKUP(A389,'Base Prueba'!A:E,5,),"NO REGISTRA")</f>
        <v>AREA FINANCIERA Y CONTABLE</v>
      </c>
    </row>
    <row r="390" spans="1:5" ht="15.75" x14ac:dyDescent="0.25">
      <c r="A390" s="10">
        <v>1049644802</v>
      </c>
      <c r="B390" s="2">
        <v>46031.722718865742</v>
      </c>
      <c r="C390" s="3" t="str">
        <f>IFERROR(VLOOKUP(A390,'Base Prueba'!A:C,3,),"NO REGISTRA")</f>
        <v>DANIELA ALEXANDRA CIPAMOCHA BOSIGA</v>
      </c>
      <c r="D390" s="4" t="str">
        <f>IFERROR(VLOOKUP(A390,'Base Prueba'!A:D,4,),"NO REGISTRA")</f>
        <v>LIDER DE DATOS Y SERVICIOS</v>
      </c>
      <c r="E390" s="5" t="str">
        <f>IFERROR(VLOOKUP(A390,'Base Prueba'!A:E,5,),"NO REGISTRA")</f>
        <v>OFICINA DE PLANEACION Y GESTION DE LA CALIDAD</v>
      </c>
    </row>
    <row r="391" spans="1:5" ht="15.75" x14ac:dyDescent="0.25">
      <c r="A391" s="10">
        <v>53932358</v>
      </c>
      <c r="B391" s="2">
        <v>46031.722869212965</v>
      </c>
      <c r="C391" s="3" t="str">
        <f>IFERROR(VLOOKUP(A391,'Base Prueba'!A:C,3,),"NO REGISTRA")</f>
        <v>DIANA MADELEYNE GAONA RODRIGUEZ</v>
      </c>
      <c r="D391" s="4" t="str">
        <f>IFERROR(VLOOKUP(A391,'Base Prueba'!A:D,4,),"NO REGISTRA")</f>
        <v>CONTADOR</v>
      </c>
      <c r="E391" s="5" t="str">
        <f>IFERROR(VLOOKUP(A391,'Base Prueba'!A:E,5,),"NO REGISTRA")</f>
        <v>AREA FINANCIERA Y CONTABLE</v>
      </c>
    </row>
    <row r="392" spans="1:5" ht="15.75" x14ac:dyDescent="0.25">
      <c r="A392" s="10">
        <v>1014266838</v>
      </c>
      <c r="B392" s="2">
        <v>46031.722898263892</v>
      </c>
      <c r="C392" s="3" t="str">
        <f>IFERROR(VLOOKUP(A392,'Base Prueba'!A:C,3,),"NO REGISTRA")</f>
        <v>JENNIFER ASTRID ROMERO HURTADO</v>
      </c>
      <c r="D392" s="4" t="str">
        <f>IFERROR(VLOOKUP(A392,'Base Prueba'!A:D,4,),"NO REGISTRA")</f>
        <v>LIDER DE RECAUDO</v>
      </c>
      <c r="E392" s="5" t="str">
        <f>IFERROR(VLOOKUP(A392,'Base Prueba'!A:E,5,),"NO REGISTRA")</f>
        <v>AREA FINANCIERA Y CONTABLE</v>
      </c>
    </row>
    <row r="393" spans="1:5" ht="15.75" x14ac:dyDescent="0.25">
      <c r="A393" s="10">
        <v>1000687931</v>
      </c>
      <c r="B393" s="2">
        <v>46031.730845833335</v>
      </c>
      <c r="C393" s="3" t="str">
        <f>IFERROR(VLOOKUP(A393,'Base Prueba'!A:C,3,),"NO REGISTRA")</f>
        <v>ANDRES FELIPE PUENTES TORRES</v>
      </c>
      <c r="D393" s="4" t="str">
        <f>IFERROR(VLOOKUP(A393,'Base Prueba'!A:D,4,),"NO REGISTRA")</f>
        <v>AUXILIAR ADMINISTRATIVO</v>
      </c>
      <c r="E393" s="5" t="str">
        <f>IFERROR(VLOOKUP(A393,'Base Prueba'!A:E,5,),"NO REGISTRA")</f>
        <v>REGISTRO Y CONTROL ACADEMICO</v>
      </c>
    </row>
    <row r="394" spans="1:5" ht="15.75" x14ac:dyDescent="0.25">
      <c r="A394" s="10">
        <v>1000604979</v>
      </c>
      <c r="B394" s="2">
        <v>46031.733188773149</v>
      </c>
      <c r="C394" s="3" t="str">
        <f>IFERROR(VLOOKUP(A394,'Base Prueba'!A:C,3,),"NO REGISTRA")</f>
        <v>JULIETH TATIANA PARDO PINTO</v>
      </c>
      <c r="D394" s="4" t="str">
        <f>IFERROR(VLOOKUP(A394,'Base Prueba'!A:D,4,),"NO REGISTRA")</f>
        <v>AUXILIAR JURIDICO</v>
      </c>
      <c r="E394" s="5" t="str">
        <f>IFERROR(VLOOKUP(A394,'Base Prueba'!A:E,5,),"NO REGISTRA")</f>
        <v>SECRETARIA GENERAL</v>
      </c>
    </row>
    <row r="395" spans="1:5" ht="15.75" x14ac:dyDescent="0.25">
      <c r="A395" s="10">
        <v>1000593372</v>
      </c>
      <c r="B395" s="2">
        <v>46031.733282407411</v>
      </c>
      <c r="C395" s="3" t="str">
        <f>IFERROR(VLOOKUP(A395,'Base Prueba'!A:C,3,),"NO REGISTRA")</f>
        <v>LAURA SOFIA CHAPARRO LOPEZ</v>
      </c>
      <c r="D395" s="4" t="str">
        <f>IFERROR(VLOOKUP(A395,'Base Prueba'!A:D,4,),"NO REGISTRA")</f>
        <v>AUXILIAR JURIDICO</v>
      </c>
      <c r="E395" s="5" t="str">
        <f>IFERROR(VLOOKUP(A395,'Base Prueba'!A:E,5,),"NO REGISTRA")</f>
        <v>SECRETARIA GENERAL</v>
      </c>
    </row>
    <row r="396" spans="1:5" ht="15.75" x14ac:dyDescent="0.25">
      <c r="A396" s="10">
        <v>1032469638</v>
      </c>
      <c r="B396" s="2">
        <v>46031.738546296299</v>
      </c>
      <c r="C396" s="3" t="str">
        <f>IFERROR(VLOOKUP(A396,'Base Prueba'!A:C,3,),"NO REGISTRA")</f>
        <v>MAICOL JARBEY GUALTEROS CASTAÑEDA</v>
      </c>
      <c r="D396" s="4" t="str">
        <f>IFERROR(VLOOKUP(A396,'Base Prueba'!A:D,4,),"NO REGISTRA")</f>
        <v>COORDINADOR DEL SISTEMA INTERNO DE ASEGURAMIENTO DE LA CALIDAD - SIAC</v>
      </c>
      <c r="E396" s="5" t="str">
        <f>IFERROR(VLOOKUP(A396,'Base Prueba'!A:E,5,),"NO REGISTRA")</f>
        <v>OFICINA DE PLANEACION Y GESTION DE LA CALIDAD</v>
      </c>
    </row>
    <row r="397" spans="1:5" ht="15.75" x14ac:dyDescent="0.25">
      <c r="A397" s="10">
        <v>1013616244</v>
      </c>
      <c r="B397" s="2">
        <v>46031.752298495368</v>
      </c>
      <c r="C397" s="3" t="str">
        <f>IFERROR(VLOOKUP(A397,'Base Prueba'!A:C,3,),"NO REGISTRA")</f>
        <v>DIANA CAROLINA MARIN BETANCOURT</v>
      </c>
      <c r="D397" s="4" t="str">
        <f>IFERROR(VLOOKUP(A397,'Base Prueba'!A:D,4,),"NO REGISTRA")</f>
        <v>AUXILIAR ADMINISTRATIVO</v>
      </c>
      <c r="E397" s="5" t="str">
        <f>IFERROR(VLOOKUP(A397,'Base Prueba'!A:E,5,),"NO REGISTRA")</f>
        <v>REGISTRO Y CONTROL ACADEMICO</v>
      </c>
    </row>
    <row r="398" spans="1:5" ht="15.75" x14ac:dyDescent="0.25">
      <c r="A398" s="10">
        <v>1000046533</v>
      </c>
      <c r="B398" s="2">
        <v>46031.752397453703</v>
      </c>
      <c r="C398" s="3" t="str">
        <f>IFERROR(VLOOKUP(A398,'Base Prueba'!A:C,3,),"NO REGISTRA")</f>
        <v>ERIKA JULIETH VALDERRAMA SANCHEZ</v>
      </c>
      <c r="D398" s="4" t="str">
        <f>IFERROR(VLOOKUP(A398,'Base Prueba'!A:D,4,),"NO REGISTRA")</f>
        <v>PROMOTOR CALL CENTER</v>
      </c>
      <c r="E398" s="5" t="str">
        <f>IFERROR(VLOOKUP(A398,'Base Prueba'!A:E,5,),"NO REGISTRA")</f>
        <v>OFICINA DE MERCADEO</v>
      </c>
    </row>
    <row r="399" spans="1:5" ht="15.75" x14ac:dyDescent="0.25">
      <c r="A399" s="10">
        <v>1000365751</v>
      </c>
      <c r="B399" s="2">
        <v>46031.753040162039</v>
      </c>
      <c r="C399" s="3" t="str">
        <f>IFERROR(VLOOKUP(A399,'Base Prueba'!A:C,3,),"NO REGISTRA")</f>
        <v>JHOAN NICOLAS ESCAMILLA MANJARRES</v>
      </c>
      <c r="D399" s="4" t="str">
        <f>IFERROR(VLOOKUP(A399,'Base Prueba'!A:D,4,),"NO REGISTRA")</f>
        <v>APRENDIZ UNIVERSITARIO</v>
      </c>
      <c r="E399" s="5" t="str">
        <f>IFERROR(VLOOKUP(A399,'Base Prueba'!A:E,5,),"NO REGISTRA")</f>
        <v>OFICINA DE MERCADEO</v>
      </c>
    </row>
    <row r="400" spans="1:5" ht="15.75" x14ac:dyDescent="0.25">
      <c r="A400" s="10">
        <v>52474489</v>
      </c>
      <c r="B400" s="2">
        <v>46031.754606481481</v>
      </c>
      <c r="C400" s="3" t="str">
        <f>IFERROR(VLOOKUP(A400,'Base Prueba'!A:C,3,),"NO REGISTRA")</f>
        <v>ADRIANA JIMENA SOTO BOCANEGRA</v>
      </c>
      <c r="D400" s="4" t="str">
        <f>IFERROR(VLOOKUP(A400,'Base Prueba'!A:D,4,),"NO REGISTRA")</f>
        <v>COORDINADOR DE LA OFICINA DE REGISTRO Y CONTROL</v>
      </c>
      <c r="E400" s="5" t="str">
        <f>IFERROR(VLOOKUP(A400,'Base Prueba'!A:E,5,),"NO REGISTRA")</f>
        <v>REGISTRO Y CONTROL ACADEMICO</v>
      </c>
    </row>
    <row r="401" spans="1:5" ht="15.75" x14ac:dyDescent="0.25">
      <c r="A401" s="10">
        <v>1013098645</v>
      </c>
      <c r="B401" s="2">
        <v>46031.755434143517</v>
      </c>
      <c r="C401" s="3" t="str">
        <f>IFERROR(VLOOKUP(A401,'Base Prueba'!A:C,3,),"NO REGISTRA")</f>
        <v>CATHERINE LUCIA PENAGOS RIVERA</v>
      </c>
      <c r="D401" s="4" t="str">
        <f>IFERROR(VLOOKUP(A401,'Base Prueba'!A:D,4,),"NO REGISTRA")</f>
        <v>LIDER DE REGISTRO Y CONTROL ACADEMICO</v>
      </c>
      <c r="E401" s="5" t="str">
        <f>IFERROR(VLOOKUP(A401,'Base Prueba'!A:E,5,),"NO REGISTRA")</f>
        <v>REGISTRO Y CONTROL ACADEMICO</v>
      </c>
    </row>
    <row r="402" spans="1:5" ht="15.75" x14ac:dyDescent="0.25">
      <c r="A402" s="10">
        <v>1000254831</v>
      </c>
      <c r="B402" s="2">
        <v>46031.757164699076</v>
      </c>
      <c r="C402" s="3" t="str">
        <f>IFERROR(VLOOKUP(A402,'Base Prueba'!A:C,3,),"NO REGISTRA")</f>
        <v>BRIDGET ROSSANA DIAZ BOGOTA</v>
      </c>
      <c r="D402" s="4" t="str">
        <f>IFERROR(VLOOKUP(A402,'Base Prueba'!A:D,4,),"NO REGISTRA")</f>
        <v>AUXILIAR DE DISEÑO</v>
      </c>
      <c r="E402" s="5" t="str">
        <f>IFERROR(VLOOKUP(A402,'Base Prueba'!A:E,5,),"NO REGISTRA")</f>
        <v>OFICINA DE MERCADEO</v>
      </c>
    </row>
    <row r="403" spans="1:5" ht="15.75" x14ac:dyDescent="0.25">
      <c r="A403" s="10">
        <v>52764929</v>
      </c>
      <c r="B403" s="2">
        <v>46031.758295370368</v>
      </c>
      <c r="C403" s="3" t="str">
        <f>IFERROR(VLOOKUP(A403,'Base Prueba'!A:C,3,),"NO REGISTRA")</f>
        <v>GUERLY YOHANA DURAN RIVERA</v>
      </c>
      <c r="D403" s="4" t="str">
        <f>IFERROR(VLOOKUP(A403,'Base Prueba'!A:D,4,),"NO REGISTRA")</f>
        <v>LIDER DE VINCULACION COLEGIOS</v>
      </c>
      <c r="E403" s="5" t="str">
        <f>IFERROR(VLOOKUP(A403,'Base Prueba'!A:E,5,),"NO REGISTRA")</f>
        <v>OFICINA DE MERCADEO</v>
      </c>
    </row>
    <row r="404" spans="1:5" ht="15.75" x14ac:dyDescent="0.25">
      <c r="A404" s="10">
        <v>1033709056</v>
      </c>
      <c r="B404" s="2">
        <v>46031.764720370367</v>
      </c>
      <c r="C404" s="3" t="str">
        <f>IFERROR(VLOOKUP(A404,'Base Prueba'!A:C,3,),"NO REGISTRA")</f>
        <v>YEIMY ALEXANDRA RODRIGUEZ PALACIO</v>
      </c>
      <c r="D404" s="4" t="str">
        <f>IFERROR(VLOOKUP(A404,'Base Prueba'!A:D,4,),"NO REGISTRA")</f>
        <v>PROMOTOR CALL CENTER</v>
      </c>
      <c r="E404" s="5" t="str">
        <f>IFERROR(VLOOKUP(A404,'Base Prueba'!A:E,5,),"NO REGISTRA")</f>
        <v>OFICINA DE MERCADEO</v>
      </c>
    </row>
    <row r="405" spans="1:5" ht="15.75" x14ac:dyDescent="0.25">
      <c r="A405" s="10">
        <v>1193265768</v>
      </c>
      <c r="B405" s="2">
        <v>46031.767439236108</v>
      </c>
      <c r="C405" s="3" t="str">
        <f>IFERROR(VLOOKUP(A405,'Base Prueba'!A:C,3,),"NO REGISTRA")</f>
        <v>SANTIAGO OSORIO CAMACHO</v>
      </c>
      <c r="D405" s="4" t="str">
        <f>IFERROR(VLOOKUP(A405,'Base Prueba'!A:D,4,),"NO REGISTRA")</f>
        <v>ANALISTA DE PAUTA</v>
      </c>
      <c r="E405" s="5" t="str">
        <f>IFERROR(VLOOKUP(A405,'Base Prueba'!A:E,5,),"NO REGISTRA")</f>
        <v>OFICINA DE MERCADEO</v>
      </c>
    </row>
    <row r="406" spans="1:5" ht="15.75" x14ac:dyDescent="0.25">
      <c r="A406" s="10">
        <v>1014196857</v>
      </c>
      <c r="B406" s="2">
        <v>46031.767478935188</v>
      </c>
      <c r="C406" s="3" t="str">
        <f>IFERROR(VLOOKUP(A406,'Base Prueba'!A:C,3,),"NO REGISTRA")</f>
        <v>CARLOS ANDRES JIMENEZ PARDO</v>
      </c>
      <c r="D406" s="4" t="str">
        <f>IFERROR(VLOOKUP(A406,'Base Prueba'!A:D,4,),"NO REGISTRA")</f>
        <v>COORDINADOR DE MARKETING DIGITAL</v>
      </c>
      <c r="E406" s="5" t="str">
        <f>IFERROR(VLOOKUP(A406,'Base Prueba'!A:E,5,),"NO REGISTRA")</f>
        <v>OFICINA DE MERCADEO</v>
      </c>
    </row>
    <row r="407" spans="1:5" ht="15.75" x14ac:dyDescent="0.25">
      <c r="A407" s="10">
        <v>1032407386</v>
      </c>
      <c r="B407" s="2">
        <v>46031.767514236111</v>
      </c>
      <c r="C407" s="3" t="str">
        <f>IFERROR(VLOOKUP(A407,'Base Prueba'!A:C,3,),"NO REGISTRA")</f>
        <v>GINA PAOLA BAEZ GALVIS</v>
      </c>
      <c r="D407" s="4" t="str">
        <f>IFERROR(VLOOKUP(A407,'Base Prueba'!A:D,4,),"NO REGISTRA")</f>
        <v>PROMOTOR CALL CENTER</v>
      </c>
      <c r="E407" s="5" t="str">
        <f>IFERROR(VLOOKUP(A407,'Base Prueba'!A:E,5,),"NO REGISTRA")</f>
        <v>OFICINA DE MERCADEO</v>
      </c>
    </row>
    <row r="408" spans="1:5" ht="15.75" x14ac:dyDescent="0.25">
      <c r="A408" s="10">
        <v>1018413529</v>
      </c>
      <c r="B408" s="2">
        <v>46031.767595949073</v>
      </c>
      <c r="C408" s="3" t="str">
        <f>IFERROR(VLOOKUP(A408,'Base Prueba'!A:C,3,),"NO REGISTRA")</f>
        <v>FRANCY STELLA CHARRY MORENO</v>
      </c>
      <c r="D408" s="4" t="str">
        <f>IFERROR(VLOOKUP(A408,'Base Prueba'!A:D,4,),"NO REGISTRA")</f>
        <v>PROMOTOR COMERCIAL DEL CEA</v>
      </c>
      <c r="E408" s="5" t="str">
        <f>IFERROR(VLOOKUP(A408,'Base Prueba'!A:E,5,),"NO REGISTRA")</f>
        <v>OFICINA DE MERCADEO</v>
      </c>
    </row>
    <row r="409" spans="1:5" ht="15.75" x14ac:dyDescent="0.25">
      <c r="A409" s="10">
        <v>6</v>
      </c>
      <c r="B409" s="2">
        <v>46031.767599189814</v>
      </c>
      <c r="C409" s="3" t="str">
        <f>IFERROR(VLOOKUP(A409,'Base Prueba'!A:C,3,),"NO REGISTRA")</f>
        <v>NO REGISTRA</v>
      </c>
      <c r="D409" s="4" t="str">
        <f>IFERROR(VLOOKUP(A409,'Base Prueba'!A:D,4,),"NO REGISTRA")</f>
        <v>NO REGISTRA</v>
      </c>
      <c r="E409" s="5" t="str">
        <f>IFERROR(VLOOKUP(A409,'Base Prueba'!A:E,5,),"NO REGISTRA")</f>
        <v>NO REGISTRA</v>
      </c>
    </row>
    <row r="410" spans="1:5" ht="15.75" x14ac:dyDescent="0.25">
      <c r="A410" s="10">
        <v>1016090131</v>
      </c>
      <c r="B410" s="2">
        <v>46031.767691319445</v>
      </c>
      <c r="C410" s="3" t="str">
        <f>IFERROR(VLOOKUP(A410,'Base Prueba'!A:C,3,),"NO REGISTRA")</f>
        <v>NICOLAS RODRIGUEZ PACHECO</v>
      </c>
      <c r="D410" s="4" t="str">
        <f>IFERROR(VLOOKUP(A410,'Base Prueba'!A:D,4,),"NO REGISTRA")</f>
        <v>COORDINADOR DE COMUNICACIONES</v>
      </c>
      <c r="E410" s="5" t="str">
        <f>IFERROR(VLOOKUP(A410,'Base Prueba'!A:E,5,),"NO REGISTRA")</f>
        <v>OFICINA DE MERCADEO</v>
      </c>
    </row>
    <row r="411" spans="1:5" ht="15.75" x14ac:dyDescent="0.25">
      <c r="A411" s="10">
        <v>1018414290</v>
      </c>
      <c r="B411" s="2">
        <v>46031.769783796299</v>
      </c>
      <c r="C411" s="3" t="str">
        <f>IFERROR(VLOOKUP(A411,'Base Prueba'!A:C,3,),"NO REGISTRA")</f>
        <v>AMANDA LISBETH RODRIGUEZ LEON</v>
      </c>
      <c r="D411" s="4" t="str">
        <f>IFERROR(VLOOKUP(A411,'Base Prueba'!A:D,4,),"NO REGISTRA")</f>
        <v>PROMOTOR CALL CENTER</v>
      </c>
      <c r="E411" s="5" t="str">
        <f>IFERROR(VLOOKUP(A411,'Base Prueba'!A:E,5,),"NO REGISTRA")</f>
        <v>OFICINA DE MERCADEO</v>
      </c>
    </row>
    <row r="412" spans="1:5" ht="15.75" x14ac:dyDescent="0.25">
      <c r="A412" s="10">
        <v>52472386</v>
      </c>
      <c r="B412" s="2">
        <v>46031.769904513887</v>
      </c>
      <c r="C412" s="3" t="str">
        <f>IFERROR(VLOOKUP(A412,'Base Prueba'!A:C,3,),"NO REGISTRA")</f>
        <v>ADRIANA MARCELA MORALES PARDO</v>
      </c>
      <c r="D412" s="4" t="str">
        <f>IFERROR(VLOOKUP(A412,'Base Prueba'!A:D,4,),"NO REGISTRA")</f>
        <v>PROMOTOR CALL CENTER</v>
      </c>
      <c r="E412" s="5" t="str">
        <f>IFERROR(VLOOKUP(A412,'Base Prueba'!A:E,5,),"NO REGISTRA")</f>
        <v>OFICINA DE MERCADEO</v>
      </c>
    </row>
    <row r="413" spans="1:5" ht="15.75" x14ac:dyDescent="0.25">
      <c r="A413" s="10">
        <v>1019105003</v>
      </c>
      <c r="B413" s="2">
        <v>46031.773511458334</v>
      </c>
      <c r="C413" s="3" t="str">
        <f>IFERROR(VLOOKUP(A413,'Base Prueba'!A:C,3,),"NO REGISTRA")</f>
        <v>DAISY JULIETH GASPAR MORENO</v>
      </c>
      <c r="D413" s="4" t="str">
        <f>IFERROR(VLOOKUP(A413,'Base Prueba'!A:D,4,),"NO REGISTRA")</f>
        <v>PROMOTOR CALL CENTER</v>
      </c>
      <c r="E413" s="5" t="str">
        <f>IFERROR(VLOOKUP(A413,'Base Prueba'!A:E,5,),"NO REGISTRA")</f>
        <v>OFICINA DE MERCADEO</v>
      </c>
    </row>
    <row r="414" spans="1:5" ht="15.75" x14ac:dyDescent="0.25">
      <c r="A414" s="10">
        <v>28798349</v>
      </c>
      <c r="B414" s="2">
        <v>46031.778734259256</v>
      </c>
      <c r="C414" s="3" t="str">
        <f>IFERROR(VLOOKUP(A414,'Base Prueba'!A:C,3,),"NO REGISTRA")</f>
        <v>MARTHA ISABEL TOVAR WILLIAMS</v>
      </c>
      <c r="D414" s="4" t="str">
        <f>IFERROR(VLOOKUP(A414,'Base Prueba'!A:D,4,),"NO REGISTRA")</f>
        <v>PROMOTOR CALL CENTER</v>
      </c>
      <c r="E414" s="5" t="str">
        <f>IFERROR(VLOOKUP(A414,'Base Prueba'!A:E,5,),"NO REGISTRA")</f>
        <v>OFICINA DE MERCADEO</v>
      </c>
    </row>
    <row r="415" spans="1:5" ht="15.75" x14ac:dyDescent="0.25">
      <c r="A415" s="10">
        <v>1023961952</v>
      </c>
      <c r="B415" s="2">
        <v>46031.778775694445</v>
      </c>
      <c r="C415" s="3" t="str">
        <f>IFERROR(VLOOKUP(A415,'Base Prueba'!A:C,3,),"NO REGISTRA")</f>
        <v>ALEJANDRO PINZON MERCHAN</v>
      </c>
      <c r="D415" s="4" t="str">
        <f>IFERROR(VLOOKUP(A415,'Base Prueba'!A:D,4,),"NO REGISTRA")</f>
        <v>PROMOTOR CALL CENTER</v>
      </c>
      <c r="E415" s="5" t="str">
        <f>IFERROR(VLOOKUP(A415,'Base Prueba'!A:E,5,),"NO REGISTRA")</f>
        <v>OFICINA DE MERCADEO</v>
      </c>
    </row>
    <row r="416" spans="1:5" ht="15.75" x14ac:dyDescent="0.25">
      <c r="A416" s="10">
        <v>1003690253</v>
      </c>
      <c r="B416" s="2">
        <v>46031.778848263886</v>
      </c>
      <c r="C416" s="3" t="str">
        <f>IFERROR(VLOOKUP(A416,'Base Prueba'!A:C,3,),"NO REGISTRA")</f>
        <v>MELISSA GONZALEZ PEDRAZA</v>
      </c>
      <c r="D416" s="4" t="str">
        <f>IFERROR(VLOOKUP(A416,'Base Prueba'!A:D,4,),"NO REGISTRA")</f>
        <v>LIDER DE JOVENES A LA E</v>
      </c>
      <c r="E416" s="5" t="str">
        <f>IFERROR(VLOOKUP(A416,'Base Prueba'!A:E,5,),"NO REGISTRA")</f>
        <v>DIRECCION DE BIENESTAR INSTITUCIONAL</v>
      </c>
    </row>
    <row r="417" spans="1:5" ht="15.75" x14ac:dyDescent="0.25">
      <c r="A417" s="10">
        <v>80234243</v>
      </c>
      <c r="B417" s="2">
        <v>46031.784986805556</v>
      </c>
      <c r="C417" s="3" t="str">
        <f>IFERROR(VLOOKUP(A417,'Base Prueba'!A:C,3,),"NO REGISTRA")</f>
        <v>ARGENIS MARTINEZ MARTINEZ</v>
      </c>
      <c r="D417" s="4" t="str">
        <f>IFERROR(VLOOKUP(A417,'Base Prueba'!A:D,4,),"NO REGISTRA")</f>
        <v>LIDER CALL CENTER</v>
      </c>
      <c r="E417" s="5" t="str">
        <f>IFERROR(VLOOKUP(A417,'Base Prueba'!A:E,5,),"NO REGISTRA")</f>
        <v>OFICINA DE MERCADEO</v>
      </c>
    </row>
    <row r="418" spans="1:5" ht="15.75" x14ac:dyDescent="0.25">
      <c r="A418" s="10">
        <v>1013616244</v>
      </c>
      <c r="B418" s="2">
        <v>46032.31034398148</v>
      </c>
      <c r="C418" s="3" t="str">
        <f>IFERROR(VLOOKUP(A418,'Base Prueba'!A:C,3,),"NO REGISTRA")</f>
        <v>DIANA CAROLINA MARIN BETANCOURT</v>
      </c>
      <c r="D418" s="4" t="str">
        <f>IFERROR(VLOOKUP(A418,'Base Prueba'!A:D,4,),"NO REGISTRA")</f>
        <v>AUXILIAR ADMINISTRATIVO</v>
      </c>
      <c r="E418" s="5" t="str">
        <f>IFERROR(VLOOKUP(A418,'Base Prueba'!A:E,5,),"NO REGISTRA")</f>
        <v>REGISTRO Y CONTROL ACADEMICO</v>
      </c>
    </row>
    <row r="419" spans="1:5" ht="15.75" x14ac:dyDescent="0.25">
      <c r="A419" s="10">
        <v>1031802160</v>
      </c>
      <c r="B419" s="2">
        <v>46032.333062152778</v>
      </c>
      <c r="C419" s="3" t="str">
        <f>IFERROR(VLOOKUP(A419,'Base Prueba'!A:C,3,),"NO REGISTRA")</f>
        <v>LUISA MARIA MAHECHA SOTOMAYOR</v>
      </c>
      <c r="D419" s="4" t="str">
        <f>IFERROR(VLOOKUP(A419,'Base Prueba'!A:D,4,),"NO REGISTRA")</f>
        <v>APRENDIZ UNIVERSITARIO</v>
      </c>
      <c r="E419" s="5" t="str">
        <f>IFERROR(VLOOKUP(A419,'Base Prueba'!A:E,5,),"NO REGISTRA")</f>
        <v>OFICINA DE MERCADEO</v>
      </c>
    </row>
    <row r="420" spans="1:5" ht="15.75" x14ac:dyDescent="0.25">
      <c r="A420" s="10">
        <v>1000254831</v>
      </c>
      <c r="B420" s="2">
        <v>46032.355953472223</v>
      </c>
      <c r="C420" s="3" t="str">
        <f>IFERROR(VLOOKUP(A420,'Base Prueba'!A:C,3,),"NO REGISTRA")</f>
        <v>BRIDGET ROSSANA DIAZ BOGOTA</v>
      </c>
      <c r="D420" s="4" t="str">
        <f>IFERROR(VLOOKUP(A420,'Base Prueba'!A:D,4,),"NO REGISTRA")</f>
        <v>AUXILIAR DE DISEÑO</v>
      </c>
      <c r="E420" s="5" t="str">
        <f>IFERROR(VLOOKUP(A420,'Base Prueba'!A:E,5,),"NO REGISTRA")</f>
        <v>OFICINA DE MERCADEO</v>
      </c>
    </row>
    <row r="421" spans="1:5" ht="15.75" x14ac:dyDescent="0.25">
      <c r="A421" s="10">
        <v>1032407386</v>
      </c>
      <c r="B421" s="2">
        <v>46032.363371643522</v>
      </c>
      <c r="C421" s="3" t="str">
        <f>IFERROR(VLOOKUP(A421,'Base Prueba'!A:C,3,),"NO REGISTRA")</f>
        <v>GINA PAOLA BAEZ GALVIS</v>
      </c>
      <c r="D421" s="4" t="str">
        <f>IFERROR(VLOOKUP(A421,'Base Prueba'!A:D,4,),"NO REGISTRA")</f>
        <v>PROMOTOR CALL CENTER</v>
      </c>
      <c r="E421" s="5" t="str">
        <f>IFERROR(VLOOKUP(A421,'Base Prueba'!A:E,5,),"NO REGISTRA")</f>
        <v>OFICINA DE MERCADEO</v>
      </c>
    </row>
    <row r="422" spans="1:5" ht="15.75" x14ac:dyDescent="0.25">
      <c r="A422" s="10">
        <v>1018413529</v>
      </c>
      <c r="B422" s="2">
        <v>46032.369749999998</v>
      </c>
      <c r="C422" s="3" t="str">
        <f>IFERROR(VLOOKUP(A422,'Base Prueba'!A:C,3,),"NO REGISTRA")</f>
        <v>FRANCY STELLA CHARRY MORENO</v>
      </c>
      <c r="D422" s="4" t="str">
        <f>IFERROR(VLOOKUP(A422,'Base Prueba'!A:D,4,),"NO REGISTRA")</f>
        <v>PROMOTOR COMERCIAL DEL CEA</v>
      </c>
      <c r="E422" s="5" t="str">
        <f>IFERROR(VLOOKUP(A422,'Base Prueba'!A:E,5,),"NO REGISTRA")</f>
        <v>OFICINA DE MERCADEO</v>
      </c>
    </row>
    <row r="423" spans="1:5" ht="15.75" x14ac:dyDescent="0.25">
      <c r="A423" s="10">
        <v>1018413529</v>
      </c>
      <c r="B423" s="2">
        <v>46032.369775115738</v>
      </c>
      <c r="C423" s="3" t="str">
        <f>IFERROR(VLOOKUP(A423,'Base Prueba'!A:C,3,),"NO REGISTRA")</f>
        <v>FRANCY STELLA CHARRY MORENO</v>
      </c>
      <c r="D423" s="4" t="str">
        <f>IFERROR(VLOOKUP(A423,'Base Prueba'!A:D,4,),"NO REGISTRA")</f>
        <v>PROMOTOR COMERCIAL DEL CEA</v>
      </c>
      <c r="E423" s="5" t="str">
        <f>IFERROR(VLOOKUP(A423,'Base Prueba'!A:E,5,),"NO REGISTRA")</f>
        <v>OFICINA DE MERCADEO</v>
      </c>
    </row>
    <row r="424" spans="1:5" ht="15.75" x14ac:dyDescent="0.25">
      <c r="A424" s="10">
        <v>1030567635</v>
      </c>
      <c r="B424" s="2">
        <v>46032.36986053241</v>
      </c>
      <c r="C424" s="3" t="str">
        <f>IFERROR(VLOOKUP(A424,'Base Prueba'!A:C,3,),"NO REGISTRA")</f>
        <v>JEFFERSON ANDRES BARRETO DIAZ</v>
      </c>
      <c r="D424" s="4" t="str">
        <f>IFERROR(VLOOKUP(A424,'Base Prueba'!A:D,4,),"NO REGISTRA")</f>
        <v>AUXILIAR DE ARCHIVO</v>
      </c>
      <c r="E424" s="5" t="str">
        <f>IFERROR(VLOOKUP(A424,'Base Prueba'!A:E,5,),"NO REGISTRA")</f>
        <v>CENTRO DE GESTION DOCUMENTAL</v>
      </c>
    </row>
    <row r="425" spans="1:5" ht="15.75" x14ac:dyDescent="0.25">
      <c r="A425" s="10">
        <v>80234243</v>
      </c>
      <c r="B425" s="2">
        <v>46032.370663657406</v>
      </c>
      <c r="C425" s="3" t="str">
        <f>IFERROR(VLOOKUP(A425,'Base Prueba'!A:C,3,),"NO REGISTRA")</f>
        <v>ARGENIS MARTINEZ MARTINEZ</v>
      </c>
      <c r="D425" s="4" t="str">
        <f>IFERROR(VLOOKUP(A425,'Base Prueba'!A:D,4,),"NO REGISTRA")</f>
        <v>LIDER CALL CENTER</v>
      </c>
      <c r="E425" s="5" t="str">
        <f>IFERROR(VLOOKUP(A425,'Base Prueba'!A:E,5,),"NO REGISTRA")</f>
        <v>OFICINA DE MERCADEO</v>
      </c>
    </row>
    <row r="426" spans="1:5" ht="15.75" x14ac:dyDescent="0.25">
      <c r="A426" s="10">
        <v>52472386</v>
      </c>
      <c r="B426" s="2">
        <v>46032.372020833332</v>
      </c>
      <c r="C426" s="3" t="str">
        <f>IFERROR(VLOOKUP(A426,'Base Prueba'!A:C,3,),"NO REGISTRA")</f>
        <v>ADRIANA MARCELA MORALES PARDO</v>
      </c>
      <c r="D426" s="4" t="str">
        <f>IFERROR(VLOOKUP(A426,'Base Prueba'!A:D,4,),"NO REGISTRA")</f>
        <v>PROMOTOR CALL CENTER</v>
      </c>
      <c r="E426" s="5" t="str">
        <f>IFERROR(VLOOKUP(A426,'Base Prueba'!A:E,5,),"NO REGISTRA")</f>
        <v>OFICINA DE MERCADEO</v>
      </c>
    </row>
    <row r="427" spans="1:5" ht="15.75" x14ac:dyDescent="0.25">
      <c r="A427" s="10">
        <v>1023961952</v>
      </c>
      <c r="B427" s="2">
        <v>46032.372445486108</v>
      </c>
      <c r="C427" s="3" t="str">
        <f>IFERROR(VLOOKUP(A427,'Base Prueba'!A:C,3,),"NO REGISTRA")</f>
        <v>ALEJANDRO PINZON MERCHAN</v>
      </c>
      <c r="D427" s="4" t="str">
        <f>IFERROR(VLOOKUP(A427,'Base Prueba'!A:D,4,),"NO REGISTRA")</f>
        <v>PROMOTOR CALL CENTER</v>
      </c>
      <c r="E427" s="5" t="str">
        <f>IFERROR(VLOOKUP(A427,'Base Prueba'!A:E,5,),"NO REGISTRA")</f>
        <v>OFICINA DE MERCADEO</v>
      </c>
    </row>
    <row r="428" spans="1:5" ht="15.75" x14ac:dyDescent="0.25">
      <c r="A428" s="10">
        <v>28798349</v>
      </c>
      <c r="B428" s="2">
        <v>46032.375288194446</v>
      </c>
      <c r="C428" s="3" t="str">
        <f>IFERROR(VLOOKUP(A428,'Base Prueba'!A:C,3,),"NO REGISTRA")</f>
        <v>MARTHA ISABEL TOVAR WILLIAMS</v>
      </c>
      <c r="D428" s="4" t="str">
        <f>IFERROR(VLOOKUP(A428,'Base Prueba'!A:D,4,),"NO REGISTRA")</f>
        <v>PROMOTOR CALL CENTER</v>
      </c>
      <c r="E428" s="5" t="str">
        <f>IFERROR(VLOOKUP(A428,'Base Prueba'!A:E,5,),"NO REGISTRA")</f>
        <v>OFICINA DE MERCADEO</v>
      </c>
    </row>
    <row r="429" spans="1:5" ht="15.75" x14ac:dyDescent="0.25">
      <c r="A429" s="10">
        <v>1019105003</v>
      </c>
      <c r="B429" s="2">
        <v>46032.375960185185</v>
      </c>
      <c r="C429" s="3" t="str">
        <f>IFERROR(VLOOKUP(A429,'Base Prueba'!A:C,3,),"NO REGISTRA")</f>
        <v>DAISY JULIETH GASPAR MORENO</v>
      </c>
      <c r="D429" s="4" t="str">
        <f>IFERROR(VLOOKUP(A429,'Base Prueba'!A:D,4,),"NO REGISTRA")</f>
        <v>PROMOTOR CALL CENTER</v>
      </c>
      <c r="E429" s="5" t="str">
        <f>IFERROR(VLOOKUP(A429,'Base Prueba'!A:E,5,),"NO REGISTRA")</f>
        <v>OFICINA DE MERCADEO</v>
      </c>
    </row>
    <row r="430" spans="1:5" ht="15.75" x14ac:dyDescent="0.25">
      <c r="A430" s="10">
        <v>1000687931</v>
      </c>
      <c r="B430" s="2">
        <v>46032.376757523147</v>
      </c>
      <c r="C430" s="3" t="str">
        <f>IFERROR(VLOOKUP(A430,'Base Prueba'!A:C,3,),"NO REGISTRA")</f>
        <v>ANDRES FELIPE PUENTES TORRES</v>
      </c>
      <c r="D430" s="4" t="str">
        <f>IFERROR(VLOOKUP(A430,'Base Prueba'!A:D,4,),"NO REGISTRA")</f>
        <v>AUXILIAR ADMINISTRATIVO</v>
      </c>
      <c r="E430" s="5" t="str">
        <f>IFERROR(VLOOKUP(A430,'Base Prueba'!A:E,5,),"NO REGISTRA")</f>
        <v>REGISTRO Y CONTROL ACADEMICO</v>
      </c>
    </row>
    <row r="431" spans="1:5" ht="15.75" x14ac:dyDescent="0.25">
      <c r="A431" s="10">
        <v>1000046533</v>
      </c>
      <c r="B431" s="2">
        <v>46032.377038541665</v>
      </c>
      <c r="C431" s="3" t="str">
        <f>IFERROR(VLOOKUP(A431,'Base Prueba'!A:C,3,),"NO REGISTRA")</f>
        <v>ERIKA JULIETH VALDERRAMA SANCHEZ</v>
      </c>
      <c r="D431" s="4" t="str">
        <f>IFERROR(VLOOKUP(A431,'Base Prueba'!A:D,4,),"NO REGISTRA")</f>
        <v>PROMOTOR CALL CENTER</v>
      </c>
      <c r="E431" s="5" t="str">
        <f>IFERROR(VLOOKUP(A431,'Base Prueba'!A:E,5,),"NO REGISTRA")</f>
        <v>OFICINA DE MERCADEO</v>
      </c>
    </row>
    <row r="432" spans="1:5" ht="15.75" x14ac:dyDescent="0.25">
      <c r="A432" s="10">
        <v>1018414290</v>
      </c>
      <c r="B432" s="2">
        <v>46032.377231018516</v>
      </c>
      <c r="C432" s="3" t="str">
        <f>IFERROR(VLOOKUP(A432,'Base Prueba'!A:C,3,),"NO REGISTRA")</f>
        <v>AMANDA LISBETH RODRIGUEZ LEON</v>
      </c>
      <c r="D432" s="4" t="str">
        <f>IFERROR(VLOOKUP(A432,'Base Prueba'!A:D,4,),"NO REGISTRA")</f>
        <v>PROMOTOR CALL CENTER</v>
      </c>
      <c r="E432" s="5" t="str">
        <f>IFERROR(VLOOKUP(A432,'Base Prueba'!A:E,5,),"NO REGISTRA")</f>
        <v>OFICINA DE MERCADEO</v>
      </c>
    </row>
    <row r="433" spans="1:5" ht="15.75" x14ac:dyDescent="0.25">
      <c r="A433" s="10">
        <v>1003690253</v>
      </c>
      <c r="B433" s="2">
        <v>46032.387000462964</v>
      </c>
      <c r="C433" s="3" t="str">
        <f>IFERROR(VLOOKUP(A433,'Base Prueba'!A:C,3,),"NO REGISTRA")</f>
        <v>MELISSA GONZALEZ PEDRAZA</v>
      </c>
      <c r="D433" s="4" t="str">
        <f>IFERROR(VLOOKUP(A433,'Base Prueba'!A:D,4,),"NO REGISTRA")</f>
        <v>LIDER DE JOVENES A LA E</v>
      </c>
      <c r="E433" s="5" t="str">
        <f>IFERROR(VLOOKUP(A433,'Base Prueba'!A:E,5,),"NO REGISTRA")</f>
        <v>DIRECCION DE BIENESTAR INSTITUCIONAL</v>
      </c>
    </row>
    <row r="434" spans="1:5" ht="15.75" x14ac:dyDescent="0.25">
      <c r="A434" s="10">
        <v>52764929</v>
      </c>
      <c r="B434" s="2">
        <v>46032.388825578702</v>
      </c>
      <c r="C434" s="3" t="str">
        <f>IFERROR(VLOOKUP(A434,'Base Prueba'!A:C,3,),"NO REGISTRA")</f>
        <v>GUERLY YOHANA DURAN RIVERA</v>
      </c>
      <c r="D434" s="4" t="str">
        <f>IFERROR(VLOOKUP(A434,'Base Prueba'!A:D,4,),"NO REGISTRA")</f>
        <v>LIDER DE VINCULACION COLEGIOS</v>
      </c>
      <c r="E434" s="5" t="str">
        <f>IFERROR(VLOOKUP(A434,'Base Prueba'!A:E,5,),"NO REGISTRA")</f>
        <v>OFICINA DE MERCADEO</v>
      </c>
    </row>
    <row r="435" spans="1:5" ht="15.75" x14ac:dyDescent="0.25">
      <c r="A435" s="10">
        <v>1030567635</v>
      </c>
      <c r="B435" s="2">
        <v>46032.500704861108</v>
      </c>
      <c r="C435" s="3" t="str">
        <f>IFERROR(VLOOKUP(A435,'Base Prueba'!A:C,3,),"NO REGISTRA")</f>
        <v>JEFFERSON ANDRES BARRETO DIAZ</v>
      </c>
      <c r="D435" s="4" t="str">
        <f>IFERROR(VLOOKUP(A435,'Base Prueba'!A:D,4,),"NO REGISTRA")</f>
        <v>AUXILIAR DE ARCHIVO</v>
      </c>
      <c r="E435" s="5" t="str">
        <f>IFERROR(VLOOKUP(A435,'Base Prueba'!A:E,5,),"NO REGISTRA")</f>
        <v>CENTRO DE GESTION DOCUMENTAL</v>
      </c>
    </row>
    <row r="436" spans="1:5" ht="15.75" x14ac:dyDescent="0.25">
      <c r="A436" s="10">
        <v>80238161</v>
      </c>
      <c r="B436" s="2">
        <v>46032.50227986111</v>
      </c>
      <c r="C436" s="3" t="str">
        <f>IFERROR(VLOOKUP(A436,'Base Prueba'!A:C,3,),"NO REGISTRA")</f>
        <v>GERMAN CARRANZA ESPITIA</v>
      </c>
      <c r="D436" s="4" t="str">
        <f>IFERROR(VLOOKUP(A436,'Base Prueba'!A:D,4,),"NO REGISTRA")</f>
        <v>TESORERO</v>
      </c>
      <c r="E436" s="5" t="str">
        <f>IFERROR(VLOOKUP(A436,'Base Prueba'!A:E,5,),"NO REGISTRA")</f>
        <v>AREA FINANCIERA Y CONTABLE</v>
      </c>
    </row>
    <row r="437" spans="1:5" ht="15.75" x14ac:dyDescent="0.25">
      <c r="A437" s="10">
        <v>1000254831</v>
      </c>
      <c r="B437" s="2">
        <v>46032.503056481481</v>
      </c>
      <c r="C437" s="3" t="str">
        <f>IFERROR(VLOOKUP(A437,'Base Prueba'!A:C,3,),"NO REGISTRA")</f>
        <v>BRIDGET ROSSANA DIAZ BOGOTA</v>
      </c>
      <c r="D437" s="4" t="str">
        <f>IFERROR(VLOOKUP(A437,'Base Prueba'!A:D,4,),"NO REGISTRA")</f>
        <v>AUXILIAR DE DISEÑO</v>
      </c>
      <c r="E437" s="5" t="str">
        <f>IFERROR(VLOOKUP(A437,'Base Prueba'!A:E,5,),"NO REGISTRA")</f>
        <v>OFICINA DE MERCADEO</v>
      </c>
    </row>
    <row r="438" spans="1:5" ht="15.75" x14ac:dyDescent="0.25">
      <c r="A438" s="10">
        <v>1031802160</v>
      </c>
      <c r="B438" s="2">
        <v>46032.50308865741</v>
      </c>
      <c r="C438" s="3" t="str">
        <f>IFERROR(VLOOKUP(A438,'Base Prueba'!A:C,3,),"NO REGISTRA")</f>
        <v>LUISA MARIA MAHECHA SOTOMAYOR</v>
      </c>
      <c r="D438" s="4" t="str">
        <f>IFERROR(VLOOKUP(A438,'Base Prueba'!A:D,4,),"NO REGISTRA")</f>
        <v>APRENDIZ UNIVERSITARIO</v>
      </c>
      <c r="E438" s="5" t="str">
        <f>IFERROR(VLOOKUP(A438,'Base Prueba'!A:E,5,),"NO REGISTRA")</f>
        <v>OFICINA DE MERCADEO</v>
      </c>
    </row>
    <row r="439" spans="1:5" ht="15.75" x14ac:dyDescent="0.25">
      <c r="A439" s="10">
        <v>1013616244</v>
      </c>
      <c r="B439" s="2">
        <v>46032.50352337963</v>
      </c>
      <c r="C439" s="3" t="str">
        <f>IFERROR(VLOOKUP(A439,'Base Prueba'!A:C,3,),"NO REGISTRA")</f>
        <v>DIANA CAROLINA MARIN BETANCOURT</v>
      </c>
      <c r="D439" s="4" t="str">
        <f>IFERROR(VLOOKUP(A439,'Base Prueba'!A:D,4,),"NO REGISTRA")</f>
        <v>AUXILIAR ADMINISTRATIVO</v>
      </c>
      <c r="E439" s="5" t="str">
        <f>IFERROR(VLOOKUP(A439,'Base Prueba'!A:E,5,),"NO REGISTRA")</f>
        <v>REGISTRO Y CONTROL ACADEMICO</v>
      </c>
    </row>
    <row r="440" spans="1:5" ht="15.75" x14ac:dyDescent="0.25">
      <c r="A440" s="10">
        <v>1000687931</v>
      </c>
      <c r="B440" s="2">
        <v>46032.503984490744</v>
      </c>
      <c r="C440" s="3" t="str">
        <f>IFERROR(VLOOKUP(A440,'Base Prueba'!A:C,3,),"NO REGISTRA")</f>
        <v>ANDRES FELIPE PUENTES TORRES</v>
      </c>
      <c r="D440" s="4" t="str">
        <f>IFERROR(VLOOKUP(A440,'Base Prueba'!A:D,4,),"NO REGISTRA")</f>
        <v>AUXILIAR ADMINISTRATIVO</v>
      </c>
      <c r="E440" s="5" t="str">
        <f>IFERROR(VLOOKUP(A440,'Base Prueba'!A:E,5,),"NO REGISTRA")</f>
        <v>REGISTRO Y CONTROL ACADEMICO</v>
      </c>
    </row>
    <row r="441" spans="1:5" ht="15.75" x14ac:dyDescent="0.25">
      <c r="A441" s="10">
        <v>52443092</v>
      </c>
      <c r="B441" s="2">
        <v>46032.504252893516</v>
      </c>
      <c r="C441" s="3" t="str">
        <f>IFERROR(VLOOKUP(A441,'Base Prueba'!A:C,3,),"NO REGISTRA")</f>
        <v>LUZ MYRIAM SAAVEDRA CONTRERAS</v>
      </c>
      <c r="D441" s="4" t="str">
        <f>IFERROR(VLOOKUP(A441,'Base Prueba'!A:D,4,),"NO REGISTRA")</f>
        <v>AUXILIAR DE SERVICIOS</v>
      </c>
      <c r="E441" s="5" t="str">
        <f>IFERROR(VLOOKUP(A441,'Base Prueba'!A:E,5,),"NO REGISTRA")</f>
        <v>LOGISTICA Y SERVICIOS GENERALES</v>
      </c>
    </row>
    <row r="442" spans="1:5" ht="15.75" x14ac:dyDescent="0.25">
      <c r="A442" s="10">
        <v>52764929</v>
      </c>
      <c r="B442" s="2">
        <v>46032.506623958332</v>
      </c>
      <c r="C442" s="3" t="str">
        <f>IFERROR(VLOOKUP(A442,'Base Prueba'!A:C,3,),"NO REGISTRA")</f>
        <v>GUERLY YOHANA DURAN RIVERA</v>
      </c>
      <c r="D442" s="4" t="str">
        <f>IFERROR(VLOOKUP(A442,'Base Prueba'!A:D,4,),"NO REGISTRA")</f>
        <v>LIDER DE VINCULACION COLEGIOS</v>
      </c>
      <c r="E442" s="5" t="str">
        <f>IFERROR(VLOOKUP(A442,'Base Prueba'!A:E,5,),"NO REGISTRA")</f>
        <v>OFICINA DE MERCADEO</v>
      </c>
    </row>
    <row r="443" spans="1:5" ht="15.75" x14ac:dyDescent="0.25">
      <c r="A443" s="10">
        <v>1019105003</v>
      </c>
      <c r="B443" s="2">
        <v>46032.507662152777</v>
      </c>
      <c r="C443" s="3" t="str">
        <f>IFERROR(VLOOKUP(A443,'Base Prueba'!A:C,3,),"NO REGISTRA")</f>
        <v>DAISY JULIETH GASPAR MORENO</v>
      </c>
      <c r="D443" s="4" t="str">
        <f>IFERROR(VLOOKUP(A443,'Base Prueba'!A:D,4,),"NO REGISTRA")</f>
        <v>PROMOTOR CALL CENTER</v>
      </c>
      <c r="E443" s="5" t="str">
        <f>IFERROR(VLOOKUP(A443,'Base Prueba'!A:E,5,),"NO REGISTRA")</f>
        <v>OFICINA DE MERCADEO</v>
      </c>
    </row>
    <row r="444" spans="1:5" ht="15.75" x14ac:dyDescent="0.25">
      <c r="A444" s="10">
        <v>1032407386</v>
      </c>
      <c r="B444" s="2">
        <v>46032.509381249998</v>
      </c>
      <c r="C444" s="3" t="str">
        <f>IFERROR(VLOOKUP(A444,'Base Prueba'!A:C,3,),"NO REGISTRA")</f>
        <v>GINA PAOLA BAEZ GALVIS</v>
      </c>
      <c r="D444" s="4" t="str">
        <f>IFERROR(VLOOKUP(A444,'Base Prueba'!A:D,4,),"NO REGISTRA")</f>
        <v>PROMOTOR CALL CENTER</v>
      </c>
      <c r="E444" s="5" t="str">
        <f>IFERROR(VLOOKUP(A444,'Base Prueba'!A:E,5,),"NO REGISTRA")</f>
        <v>OFICINA DE MERCADEO</v>
      </c>
    </row>
    <row r="445" spans="1:5" ht="15.75" x14ac:dyDescent="0.25">
      <c r="A445" s="10">
        <v>52472386</v>
      </c>
      <c r="B445" s="2">
        <v>46032.509490393517</v>
      </c>
      <c r="C445" s="3" t="str">
        <f>IFERROR(VLOOKUP(A445,'Base Prueba'!A:C,3,),"NO REGISTRA")</f>
        <v>ADRIANA MARCELA MORALES PARDO</v>
      </c>
      <c r="D445" s="4" t="str">
        <f>IFERROR(VLOOKUP(A445,'Base Prueba'!A:D,4,),"NO REGISTRA")</f>
        <v>PROMOTOR CALL CENTER</v>
      </c>
      <c r="E445" s="5" t="str">
        <f>IFERROR(VLOOKUP(A445,'Base Prueba'!A:E,5,),"NO REGISTRA")</f>
        <v>OFICINA DE MERCADEO</v>
      </c>
    </row>
    <row r="446" spans="1:5" ht="15.75" x14ac:dyDescent="0.25">
      <c r="A446" s="10">
        <v>80234243</v>
      </c>
      <c r="B446" s="2">
        <v>46032.52529189815</v>
      </c>
      <c r="C446" s="3" t="str">
        <f>IFERROR(VLOOKUP(A446,'Base Prueba'!A:C,3,),"NO REGISTRA")</f>
        <v>ARGENIS MARTINEZ MARTINEZ</v>
      </c>
      <c r="D446" s="4" t="str">
        <f>IFERROR(VLOOKUP(A446,'Base Prueba'!A:D,4,),"NO REGISTRA")</f>
        <v>LIDER CALL CENTER</v>
      </c>
      <c r="E446" s="5" t="str">
        <f>IFERROR(VLOOKUP(A446,'Base Prueba'!A:E,5,),"NO REGISTRA")</f>
        <v>OFICINA DE MERCADEO</v>
      </c>
    </row>
    <row r="447" spans="1:5" ht="15.75" x14ac:dyDescent="0.25">
      <c r="A447" s="10">
        <v>80234243</v>
      </c>
      <c r="B447" s="2">
        <v>46032.525352662036</v>
      </c>
      <c r="C447" s="3" t="str">
        <f>IFERROR(VLOOKUP(A447,'Base Prueba'!A:C,3,),"NO REGISTRA")</f>
        <v>ARGENIS MARTINEZ MARTINEZ</v>
      </c>
      <c r="D447" s="4" t="str">
        <f>IFERROR(VLOOKUP(A447,'Base Prueba'!A:D,4,),"NO REGISTRA")</f>
        <v>LIDER CALL CENTER</v>
      </c>
      <c r="E447" s="5" t="str">
        <f>IFERROR(VLOOKUP(A447,'Base Prueba'!A:E,5,),"NO REGISTRA")</f>
        <v>OFICINA DE MERCADEO</v>
      </c>
    </row>
    <row r="448" spans="1:5" ht="15.75" x14ac:dyDescent="0.25">
      <c r="A448" s="10">
        <v>1018414290</v>
      </c>
      <c r="B448" s="2">
        <v>46032.525514236113</v>
      </c>
      <c r="C448" s="3" t="str">
        <f>IFERROR(VLOOKUP(A448,'Base Prueba'!A:C,3,),"NO REGISTRA")</f>
        <v>AMANDA LISBETH RODRIGUEZ LEON</v>
      </c>
      <c r="D448" s="4" t="str">
        <f>IFERROR(VLOOKUP(A448,'Base Prueba'!A:D,4,),"NO REGISTRA")</f>
        <v>PROMOTOR CALL CENTER</v>
      </c>
      <c r="E448" s="5" t="str">
        <f>IFERROR(VLOOKUP(A448,'Base Prueba'!A:E,5,),"NO REGISTRA")</f>
        <v>OFICINA DE MERCADEO</v>
      </c>
    </row>
    <row r="449" spans="1:5" ht="15.75" x14ac:dyDescent="0.25">
      <c r="A449" s="10">
        <v>1023961952</v>
      </c>
      <c r="B449" s="2">
        <v>46032.525832060186</v>
      </c>
      <c r="C449" s="3" t="str">
        <f>IFERROR(VLOOKUP(A449,'Base Prueba'!A:C,3,),"NO REGISTRA")</f>
        <v>ALEJANDRO PINZON MERCHAN</v>
      </c>
      <c r="D449" s="4" t="str">
        <f>IFERROR(VLOOKUP(A449,'Base Prueba'!A:D,4,),"NO REGISTRA")</f>
        <v>PROMOTOR CALL CENTER</v>
      </c>
      <c r="E449" s="5" t="str">
        <f>IFERROR(VLOOKUP(A449,'Base Prueba'!A:E,5,),"NO REGISTRA")</f>
        <v>OFICINA DE MERCADEO</v>
      </c>
    </row>
    <row r="450" spans="1:5" ht="15.75" x14ac:dyDescent="0.25">
      <c r="A450" s="10">
        <v>1018413529</v>
      </c>
      <c r="B450" s="2">
        <v>46032.560942708333</v>
      </c>
      <c r="C450" s="3" t="str">
        <f>IFERROR(VLOOKUP(A450,'Base Prueba'!A:C,3,),"NO REGISTRA")</f>
        <v>FRANCY STELLA CHARRY MORENO</v>
      </c>
      <c r="D450" s="4" t="str">
        <f>IFERROR(VLOOKUP(A450,'Base Prueba'!A:D,4,),"NO REGISTRA")</f>
        <v>PROMOTOR COMERCIAL DEL CEA</v>
      </c>
      <c r="E450" s="5" t="str">
        <f>IFERROR(VLOOKUP(A450,'Base Prueba'!A:E,5,),"NO REGISTRA")</f>
        <v>OFICINA DE MERCADEO</v>
      </c>
    </row>
    <row r="451" spans="1:5" ht="15.75" x14ac:dyDescent="0.25">
      <c r="A451" s="10">
        <v>1003690253</v>
      </c>
      <c r="B451" s="2">
        <v>46032.560981944443</v>
      </c>
      <c r="C451" s="3" t="str">
        <f>IFERROR(VLOOKUP(A451,'Base Prueba'!A:C,3,),"NO REGISTRA")</f>
        <v>MELISSA GONZALEZ PEDRAZA</v>
      </c>
      <c r="D451" s="4" t="str">
        <f>IFERROR(VLOOKUP(A451,'Base Prueba'!A:D,4,),"NO REGISTRA")</f>
        <v>LIDER DE JOVENES A LA E</v>
      </c>
      <c r="E451" s="5" t="str">
        <f>IFERROR(VLOOKUP(A451,'Base Prueba'!A:E,5,),"NO REGISTRA")</f>
        <v>DIRECCION DE BIENESTAR INSTITUCIONAL</v>
      </c>
    </row>
    <row r="452" spans="1:5" ht="15.75" x14ac:dyDescent="0.25">
      <c r="A452" s="10">
        <v>28798349</v>
      </c>
      <c r="B452" s="2">
        <v>46032.561006944445</v>
      </c>
      <c r="C452" s="3" t="str">
        <f>IFERROR(VLOOKUP(A452,'Base Prueba'!A:C,3,),"NO REGISTRA")</f>
        <v>MARTHA ISABEL TOVAR WILLIAMS</v>
      </c>
      <c r="D452" s="4" t="str">
        <f>IFERROR(VLOOKUP(A452,'Base Prueba'!A:D,4,),"NO REGISTRA")</f>
        <v>PROMOTOR CALL CENTER</v>
      </c>
      <c r="E452" s="5" t="str">
        <f>IFERROR(VLOOKUP(A452,'Base Prueba'!A:E,5,),"NO REGISTRA")</f>
        <v>OFICINA DE MERCADEO</v>
      </c>
    </row>
    <row r="453" spans="1:5" ht="15.75" x14ac:dyDescent="0.25">
      <c r="A453" s="10">
        <v>52443092</v>
      </c>
      <c r="B453" s="2">
        <v>46035.250451967593</v>
      </c>
      <c r="C453" s="3" t="str">
        <f>IFERROR(VLOOKUP(A453,'Base Prueba'!A:C,3,),"NO REGISTRA")</f>
        <v>LUZ MYRIAM SAAVEDRA CONTRERAS</v>
      </c>
      <c r="D453" s="4" t="str">
        <f>IFERROR(VLOOKUP(A453,'Base Prueba'!A:D,4,),"NO REGISTRA")</f>
        <v>AUXILIAR DE SERVICIOS</v>
      </c>
      <c r="E453" s="5" t="str">
        <f>IFERROR(VLOOKUP(A453,'Base Prueba'!A:E,5,),"NO REGISTRA")</f>
        <v>LOGISTICA Y SERVICIOS GENERALES</v>
      </c>
    </row>
    <row r="454" spans="1:5" ht="15.75" x14ac:dyDescent="0.25">
      <c r="A454" s="10">
        <v>1087121273</v>
      </c>
      <c r="B454" s="2">
        <v>46035.313459490739</v>
      </c>
      <c r="C454" s="3" t="str">
        <f>IFERROR(VLOOKUP(A454,'Base Prueba'!A:C,3,),"NO REGISTRA")</f>
        <v>MAYRA ALEJANDRA CASTILLO ARBOLEDA</v>
      </c>
      <c r="D454" s="4" t="str">
        <f>IFERROR(VLOOKUP(A454,'Base Prueba'!A:D,4,),"NO REGISTRA")</f>
        <v>APOYO INTEGRAL DE MERCADEO</v>
      </c>
      <c r="E454" s="5" t="str">
        <f>IFERROR(VLOOKUP(A454,'Base Prueba'!A:E,5,),"NO REGISTRA")</f>
        <v>CENTRO DE GESTION DOCUMENTAL</v>
      </c>
    </row>
    <row r="455" spans="1:5" ht="15.75" x14ac:dyDescent="0.25">
      <c r="A455" s="10">
        <v>1013616244</v>
      </c>
      <c r="B455" s="2">
        <v>46035.315266550926</v>
      </c>
      <c r="C455" s="3" t="str">
        <f>IFERROR(VLOOKUP(A455,'Base Prueba'!A:C,3,),"NO REGISTRA")</f>
        <v>DIANA CAROLINA MARIN BETANCOURT</v>
      </c>
      <c r="D455" s="4" t="str">
        <f>IFERROR(VLOOKUP(A455,'Base Prueba'!A:D,4,),"NO REGISTRA")</f>
        <v>AUXILIAR ADMINISTRATIVO</v>
      </c>
      <c r="E455" s="5" t="str">
        <f>IFERROR(VLOOKUP(A455,'Base Prueba'!A:E,5,),"NO REGISTRA")</f>
        <v>REGISTRO Y CONTROL ACADEMICO</v>
      </c>
    </row>
    <row r="456" spans="1:5" ht="15.75" x14ac:dyDescent="0.25">
      <c r="A456" s="10">
        <v>1012357415</v>
      </c>
      <c r="B456" s="2">
        <v>46035.321682060188</v>
      </c>
      <c r="C456" s="3" t="str">
        <f>IFERROR(VLOOKUP(A456,'Base Prueba'!A:C,3,),"NO REGISTRA")</f>
        <v>CINDY LORENA BOHORQUEZ LEYVA</v>
      </c>
      <c r="D456" s="4" t="str">
        <f>IFERROR(VLOOKUP(A456,'Base Prueba'!A:D,4,),"NO REGISTRA")</f>
        <v>ANALISTA DE TESORERIA</v>
      </c>
      <c r="E456" s="5" t="str">
        <f>IFERROR(VLOOKUP(A456,'Base Prueba'!A:E,5,),"NO REGISTRA")</f>
        <v>AREA FINANCIERA Y CONTABLE</v>
      </c>
    </row>
    <row r="457" spans="1:5" ht="15.75" x14ac:dyDescent="0.25">
      <c r="A457" s="10">
        <v>1032469638</v>
      </c>
      <c r="B457" s="2">
        <v>46035.327409259262</v>
      </c>
      <c r="C457" s="3" t="str">
        <f>IFERROR(VLOOKUP(A457,'Base Prueba'!A:C,3,),"NO REGISTRA")</f>
        <v>MAICOL JARBEY GUALTEROS CASTAÑEDA</v>
      </c>
      <c r="D457" s="4" t="str">
        <f>IFERROR(VLOOKUP(A457,'Base Prueba'!A:D,4,),"NO REGISTRA")</f>
        <v>COORDINADOR DEL SISTEMA INTERNO DE ASEGURAMIENTO DE LA CALIDAD - SIAC</v>
      </c>
      <c r="E457" s="5" t="str">
        <f>IFERROR(VLOOKUP(A457,'Base Prueba'!A:E,5,),"NO REGISTRA")</f>
        <v>OFICINA DE PLANEACION Y GESTION DE LA CALIDAD</v>
      </c>
    </row>
    <row r="458" spans="1:5" ht="15.75" x14ac:dyDescent="0.25">
      <c r="A458" s="10">
        <v>1000467399</v>
      </c>
      <c r="B458" s="2">
        <v>46035.327660532406</v>
      </c>
      <c r="C458" s="3" t="str">
        <f>IFERROR(VLOOKUP(A458,'Base Prueba'!A:C,3,),"NO REGISTRA")</f>
        <v>BRANDO ESTIVEN DIAZ QUIMBAYA</v>
      </c>
      <c r="D458" s="4" t="str">
        <f>IFERROR(VLOOKUP(A458,'Base Prueba'!A:D,4,),"NO REGISTRA")</f>
        <v>APRENDIZ UNIVERSITARIO</v>
      </c>
      <c r="E458" s="5" t="str">
        <f>IFERROR(VLOOKUP(A458,'Base Prueba'!A:E,5,),"NO REGISTRA")</f>
        <v>DEPARTAMENTO DE GESTION HUMANA</v>
      </c>
    </row>
    <row r="459" spans="1:5" ht="15.75" x14ac:dyDescent="0.25">
      <c r="A459" s="10">
        <v>1014308296</v>
      </c>
      <c r="B459" s="2">
        <v>46035.329173148151</v>
      </c>
      <c r="C459" s="3" t="str">
        <f>IFERROR(VLOOKUP(A459,'Base Prueba'!A:C,3,),"NO REGISTRA")</f>
        <v>DARLENE YULIANA MORENO CELEITA</v>
      </c>
      <c r="D459" s="4" t="str">
        <f>IFERROR(VLOOKUP(A459,'Base Prueba'!A:D,4,),"NO REGISTRA")</f>
        <v>CAJERO PRINCIPAL</v>
      </c>
      <c r="E459" s="5" t="str">
        <f>IFERROR(VLOOKUP(A459,'Base Prueba'!A:E,5,),"NO REGISTRA")</f>
        <v>AREA FINANCIERA Y CONTABLE</v>
      </c>
    </row>
    <row r="460" spans="1:5" ht="15.75" x14ac:dyDescent="0.25">
      <c r="A460" s="10">
        <v>1000257136</v>
      </c>
      <c r="B460" s="2">
        <v>46035.330442708335</v>
      </c>
      <c r="C460" s="3" t="str">
        <f>IFERROR(VLOOKUP(A460,'Base Prueba'!A:C,3,),"NO REGISTRA")</f>
        <v>FRANCI VALENTINA CANO PUENTES</v>
      </c>
      <c r="D460" s="4" t="str">
        <f>IFERROR(VLOOKUP(A460,'Base Prueba'!A:D,4,),"NO REGISTRA")</f>
        <v>AUXILIAR CONTABLE</v>
      </c>
      <c r="E460" s="5" t="str">
        <f>IFERROR(VLOOKUP(A460,'Base Prueba'!A:E,5,),"NO REGISTRA")</f>
        <v>AREA FINANCIERA Y CONTABLE</v>
      </c>
    </row>
    <row r="461" spans="1:5" ht="15.75" x14ac:dyDescent="0.25">
      <c r="A461" s="10">
        <v>1031802160</v>
      </c>
      <c r="B461" s="2">
        <v>46035.331032060189</v>
      </c>
      <c r="C461" s="3" t="str">
        <f>IFERROR(VLOOKUP(A461,'Base Prueba'!A:C,3,),"NO REGISTRA")</f>
        <v>LUISA MARIA MAHECHA SOTOMAYOR</v>
      </c>
      <c r="D461" s="4" t="str">
        <f>IFERROR(VLOOKUP(A461,'Base Prueba'!A:D,4,),"NO REGISTRA")</f>
        <v>APRENDIZ UNIVERSITARIO</v>
      </c>
      <c r="E461" s="5" t="str">
        <f>IFERROR(VLOOKUP(A461,'Base Prueba'!A:E,5,),"NO REGISTRA")</f>
        <v>OFICINA DE MERCADEO</v>
      </c>
    </row>
    <row r="462" spans="1:5" ht="15.75" x14ac:dyDescent="0.25">
      <c r="A462" s="10">
        <v>1049644802</v>
      </c>
      <c r="B462" s="2">
        <v>46035.331307986111</v>
      </c>
      <c r="C462" s="3" t="str">
        <f>IFERROR(VLOOKUP(A462,'Base Prueba'!A:C,3,),"NO REGISTRA")</f>
        <v>DANIELA ALEXANDRA CIPAMOCHA BOSIGA</v>
      </c>
      <c r="D462" s="4" t="str">
        <f>IFERROR(VLOOKUP(A462,'Base Prueba'!A:D,4,),"NO REGISTRA")</f>
        <v>LIDER DE DATOS Y SERVICIOS</v>
      </c>
      <c r="E462" s="5" t="str">
        <f>IFERROR(VLOOKUP(A462,'Base Prueba'!A:E,5,),"NO REGISTRA")</f>
        <v>OFICINA DE PLANEACION Y GESTION DE LA CALIDAD</v>
      </c>
    </row>
    <row r="463" spans="1:5" ht="15.75" x14ac:dyDescent="0.25">
      <c r="A463" s="10">
        <v>1000254831</v>
      </c>
      <c r="B463" s="2">
        <v>46035.33241354167</v>
      </c>
      <c r="C463" s="3" t="str">
        <f>IFERROR(VLOOKUP(A463,'Base Prueba'!A:C,3,),"NO REGISTRA")</f>
        <v>BRIDGET ROSSANA DIAZ BOGOTA</v>
      </c>
      <c r="D463" s="4" t="str">
        <f>IFERROR(VLOOKUP(A463,'Base Prueba'!A:D,4,),"NO REGISTRA")</f>
        <v>AUXILIAR DE DISEÑO</v>
      </c>
      <c r="E463" s="5" t="str">
        <f>IFERROR(VLOOKUP(A463,'Base Prueba'!A:E,5,),"NO REGISTRA")</f>
        <v>OFICINA DE MERCADEO</v>
      </c>
    </row>
    <row r="464" spans="1:5" ht="15.75" x14ac:dyDescent="0.25">
      <c r="A464" s="10">
        <v>1014977624</v>
      </c>
      <c r="B464" s="2">
        <v>46035.332457523145</v>
      </c>
      <c r="C464" s="3" t="str">
        <f>IFERROR(VLOOKUP(A464,'Base Prueba'!A:C,3,),"NO REGISTRA")</f>
        <v>NICCOLE VALENTINA HERNANDEZ MALAVER</v>
      </c>
      <c r="D464" s="4" t="str">
        <f>IFERROR(VLOOKUP(A464,'Base Prueba'!A:D,4,),"NO REGISTRA")</f>
        <v>APRENDIZ UNIVERSITARIO</v>
      </c>
      <c r="E464" s="5" t="str">
        <f>IFERROR(VLOOKUP(A464,'Base Prueba'!A:E,5,),"NO REGISTRA")</f>
        <v>AREA FINANCIERA Y CONTABLE</v>
      </c>
    </row>
    <row r="465" spans="1:5" ht="15.75" x14ac:dyDescent="0.25">
      <c r="A465" s="10">
        <v>53932358</v>
      </c>
      <c r="B465" s="2">
        <v>46035.33800127315</v>
      </c>
      <c r="C465" s="3" t="str">
        <f>IFERROR(VLOOKUP(A465,'Base Prueba'!A:C,3,),"NO REGISTRA")</f>
        <v>DIANA MADELEYNE GAONA RODRIGUEZ</v>
      </c>
      <c r="D465" s="4" t="str">
        <f>IFERROR(VLOOKUP(A465,'Base Prueba'!A:D,4,),"NO REGISTRA")</f>
        <v>CONTADOR</v>
      </c>
      <c r="E465" s="5" t="str">
        <f>IFERROR(VLOOKUP(A465,'Base Prueba'!A:E,5,),"NO REGISTRA")</f>
        <v>AREA FINANCIERA Y CONTABLE</v>
      </c>
    </row>
    <row r="466" spans="1:5" ht="15.75" x14ac:dyDescent="0.25">
      <c r="A466" s="10">
        <v>1014196857</v>
      </c>
      <c r="B466" s="2">
        <v>46035.339607175927</v>
      </c>
      <c r="C466" s="3" t="str">
        <f>IFERROR(VLOOKUP(A466,'Base Prueba'!A:C,3,),"NO REGISTRA")</f>
        <v>CARLOS ANDRES JIMENEZ PARDO</v>
      </c>
      <c r="D466" s="4" t="str">
        <f>IFERROR(VLOOKUP(A466,'Base Prueba'!A:D,4,),"NO REGISTRA")</f>
        <v>COORDINADOR DE MARKETING DIGITAL</v>
      </c>
      <c r="E466" s="5" t="str">
        <f>IFERROR(VLOOKUP(A466,'Base Prueba'!A:E,5,),"NO REGISTRA")</f>
        <v>OFICINA DE MERCADEO</v>
      </c>
    </row>
    <row r="467" spans="1:5" ht="15.75" x14ac:dyDescent="0.25">
      <c r="A467" s="10">
        <v>1022996882</v>
      </c>
      <c r="B467" s="2">
        <v>46035.34196539352</v>
      </c>
      <c r="C467" s="3" t="str">
        <f>IFERROR(VLOOKUP(A467,'Base Prueba'!A:C,3,),"NO REGISTRA")</f>
        <v>NANCY BRIGITH ALDANA GUEVARA</v>
      </c>
      <c r="D467" s="4" t="str">
        <f>IFERROR(VLOOKUP(A467,'Base Prueba'!A:D,4,),"NO REGISTRA")</f>
        <v>COORDINADORA DE GESTIÓN HUMANA</v>
      </c>
      <c r="E467" s="5" t="str">
        <f>IFERROR(VLOOKUP(A467,'Base Prueba'!A:E,5,),"NO REGISTRA")</f>
        <v>DEPARTAMENTO DE GESTION HUMANA</v>
      </c>
    </row>
    <row r="468" spans="1:5" ht="15.75" x14ac:dyDescent="0.25">
      <c r="A468" s="10">
        <v>1193457976</v>
      </c>
      <c r="B468" s="2">
        <v>46035.342409375</v>
      </c>
      <c r="C468" s="3" t="str">
        <f>IFERROR(VLOOKUP(A468,'Base Prueba'!A:C,3,),"NO REGISTRA")</f>
        <v>SEDENIS RIVAS ASPRILLA</v>
      </c>
      <c r="D468" s="4" t="str">
        <f>IFERROR(VLOOKUP(A468,'Base Prueba'!A:D,4,),"NO REGISTRA")</f>
        <v>APRENDIZ UNIVERSITARIO</v>
      </c>
      <c r="E468" s="5" t="str">
        <f>IFERROR(VLOOKUP(A468,'Base Prueba'!A:E,5,),"NO REGISTRA")</f>
        <v>DEPARTAMENTO DE GESTION HUMANA</v>
      </c>
    </row>
    <row r="469" spans="1:5" ht="15.75" x14ac:dyDescent="0.25">
      <c r="A469" s="10">
        <v>1000604979</v>
      </c>
      <c r="B469" s="2">
        <v>46035.343321064815</v>
      </c>
      <c r="C469" s="3" t="str">
        <f>IFERROR(VLOOKUP(A469,'Base Prueba'!A:C,3,),"NO REGISTRA")</f>
        <v>JULIETH TATIANA PARDO PINTO</v>
      </c>
      <c r="D469" s="4" t="str">
        <f>IFERROR(VLOOKUP(A469,'Base Prueba'!A:D,4,),"NO REGISTRA")</f>
        <v>AUXILIAR JURIDICO</v>
      </c>
      <c r="E469" s="5" t="str">
        <f>IFERROR(VLOOKUP(A469,'Base Prueba'!A:E,5,),"NO REGISTRA")</f>
        <v>SECRETARIA GENERAL</v>
      </c>
    </row>
    <row r="470" spans="1:5" ht="15.75" x14ac:dyDescent="0.25">
      <c r="A470" s="10">
        <v>1000687931</v>
      </c>
      <c r="B470" s="2">
        <v>46035.343393171293</v>
      </c>
      <c r="C470" s="3" t="str">
        <f>IFERROR(VLOOKUP(A470,'Base Prueba'!A:C,3,),"NO REGISTRA")</f>
        <v>ANDRES FELIPE PUENTES TORRES</v>
      </c>
      <c r="D470" s="4" t="str">
        <f>IFERROR(VLOOKUP(A470,'Base Prueba'!A:D,4,),"NO REGISTRA")</f>
        <v>AUXILIAR ADMINISTRATIVO</v>
      </c>
      <c r="E470" s="5" t="str">
        <f>IFERROR(VLOOKUP(A470,'Base Prueba'!A:E,5,),"NO REGISTRA")</f>
        <v>REGISTRO Y CONTROL ACADEMICO</v>
      </c>
    </row>
    <row r="471" spans="1:5" ht="15.75" x14ac:dyDescent="0.25">
      <c r="A471" s="10">
        <v>1026599257</v>
      </c>
      <c r="B471" s="2">
        <v>46035.344564699073</v>
      </c>
      <c r="C471" s="3" t="str">
        <f>IFERROR(VLOOKUP(A471,'Base Prueba'!A:C,3,),"NO REGISTRA")</f>
        <v>YESENIA PAOLA PINEDA HURTADO</v>
      </c>
      <c r="D471" s="4" t="str">
        <f>IFERROR(VLOOKUP(A471,'Base Prueba'!A:D,4,),"NO REGISTRA")</f>
        <v>LIDER DE COMPRAS</v>
      </c>
      <c r="E471" s="5" t="str">
        <f>IFERROR(VLOOKUP(A471,'Base Prueba'!A:E,5,),"NO REGISTRA")</f>
        <v>AREA ADMINISTRATIVA</v>
      </c>
    </row>
    <row r="472" spans="1:5" ht="15.75" x14ac:dyDescent="0.25">
      <c r="A472" s="10">
        <v>80238161</v>
      </c>
      <c r="B472" s="2">
        <v>46035.344594907408</v>
      </c>
      <c r="C472" s="3" t="str">
        <f>IFERROR(VLOOKUP(A472,'Base Prueba'!A:C,3,),"NO REGISTRA")</f>
        <v>GERMAN CARRANZA ESPITIA</v>
      </c>
      <c r="D472" s="4" t="str">
        <f>IFERROR(VLOOKUP(A472,'Base Prueba'!A:D,4,),"NO REGISTRA")</f>
        <v>TESORERO</v>
      </c>
      <c r="E472" s="5" t="str">
        <f>IFERROR(VLOOKUP(A472,'Base Prueba'!A:E,5,),"NO REGISTRA")</f>
        <v>AREA FINANCIERA Y CONTABLE</v>
      </c>
    </row>
    <row r="473" spans="1:5" ht="15.75" x14ac:dyDescent="0.25">
      <c r="A473" s="10">
        <v>1024505434</v>
      </c>
      <c r="B473" s="2">
        <v>46035.344693402774</v>
      </c>
      <c r="C473" s="3" t="str">
        <f>IFERROR(VLOOKUP(A473,'Base Prueba'!A:C,3,),"NO REGISTRA")</f>
        <v>CRISTIAN ALBERTO MELO TORRES</v>
      </c>
      <c r="D473" s="4" t="str">
        <f>IFERROR(VLOOKUP(A473,'Base Prueba'!A:D,4,),"NO REGISTRA")</f>
        <v>COORDINADOR DE INFRAESTRUCTURA</v>
      </c>
      <c r="E473" s="5" t="str">
        <f>IFERROR(VLOOKUP(A473,'Base Prueba'!A:E,5,),"NO REGISTRA")</f>
        <v>VICERRECTORIA ADMINISTRATIVA Y FINANCIERA</v>
      </c>
    </row>
    <row r="474" spans="1:5" ht="15.75" x14ac:dyDescent="0.25">
      <c r="A474" s="10">
        <v>1000457706</v>
      </c>
      <c r="B474" s="2">
        <v>46035.344901273151</v>
      </c>
      <c r="C474" s="3" t="str">
        <f>IFERROR(VLOOKUP(A474,'Base Prueba'!A:C,3,),"NO REGISTRA")</f>
        <v>CRISTIAN DANILO ARROYO SANABRIA</v>
      </c>
      <c r="D474" s="4" t="str">
        <f>IFERROR(VLOOKUP(A474,'Base Prueba'!A:D,4,),"NO REGISTRA")</f>
        <v>AUXILIAR CONTABLE</v>
      </c>
      <c r="E474" s="5" t="str">
        <f>IFERROR(VLOOKUP(A474,'Base Prueba'!A:E,5,),"NO REGISTRA")</f>
        <v>AREA FINANCIERA Y CONTABLE</v>
      </c>
    </row>
    <row r="475" spans="1:5" ht="15.75" x14ac:dyDescent="0.25">
      <c r="A475" s="10">
        <v>1013098645</v>
      </c>
      <c r="B475" s="2">
        <v>46035.347596180553</v>
      </c>
      <c r="C475" s="3" t="str">
        <f>IFERROR(VLOOKUP(A475,'Base Prueba'!A:C,3,),"NO REGISTRA")</f>
        <v>CATHERINE LUCIA PENAGOS RIVERA</v>
      </c>
      <c r="D475" s="4" t="str">
        <f>IFERROR(VLOOKUP(A475,'Base Prueba'!A:D,4,),"NO REGISTRA")</f>
        <v>LIDER DE REGISTRO Y CONTROL ACADEMICO</v>
      </c>
      <c r="E475" s="5" t="str">
        <f>IFERROR(VLOOKUP(A475,'Base Prueba'!A:E,5,),"NO REGISTRA")</f>
        <v>REGISTRO Y CONTROL ACADEMICO</v>
      </c>
    </row>
    <row r="476" spans="1:5" ht="15.75" x14ac:dyDescent="0.25">
      <c r="A476" s="10">
        <v>1000593372</v>
      </c>
      <c r="B476" s="2">
        <v>46035.351024074072</v>
      </c>
      <c r="C476" s="3" t="str">
        <f>IFERROR(VLOOKUP(A476,'Base Prueba'!A:C,3,),"NO REGISTRA")</f>
        <v>LAURA SOFIA CHAPARRO LOPEZ</v>
      </c>
      <c r="D476" s="4" t="str">
        <f>IFERROR(VLOOKUP(A476,'Base Prueba'!A:D,4,),"NO REGISTRA")</f>
        <v>AUXILIAR JURIDICO</v>
      </c>
      <c r="E476" s="5" t="str">
        <f>IFERROR(VLOOKUP(A476,'Base Prueba'!A:E,5,),"NO REGISTRA")</f>
        <v>SECRETARIA GENERAL</v>
      </c>
    </row>
    <row r="477" spans="1:5" ht="15.75" x14ac:dyDescent="0.25">
      <c r="A477" s="10">
        <v>53089882</v>
      </c>
      <c r="B477" s="2">
        <v>46035.355853703702</v>
      </c>
      <c r="C477" s="3" t="str">
        <f>IFERROR(VLOOKUP(A477,'Base Prueba'!A:C,3,),"NO REGISTRA")</f>
        <v>MARIA JOHANA ESCAMILLA MARTINEZ</v>
      </c>
      <c r="D477" s="4" t="str">
        <f>IFERROR(VLOOKUP(A477,'Base Prueba'!A:D,4,),"NO REGISTRA")</f>
        <v>PROMOTOR DE INFORMACIÓN</v>
      </c>
      <c r="E477" s="5" t="str">
        <f>IFERROR(VLOOKUP(A477,'Base Prueba'!A:E,5,),"NO REGISTRA")</f>
        <v>OFICINA DE MERCADEO</v>
      </c>
    </row>
    <row r="478" spans="1:5" ht="15.75" x14ac:dyDescent="0.25">
      <c r="A478" s="10">
        <v>1018413529</v>
      </c>
      <c r="B478" s="2">
        <v>46035.359998495369</v>
      </c>
      <c r="C478" s="3" t="str">
        <f>IFERROR(VLOOKUP(A478,'Base Prueba'!A:C,3,),"NO REGISTRA")</f>
        <v>FRANCY STELLA CHARRY MORENO</v>
      </c>
      <c r="D478" s="4" t="str">
        <f>IFERROR(VLOOKUP(A478,'Base Prueba'!A:D,4,),"NO REGISTRA")</f>
        <v>PROMOTOR COMERCIAL DEL CEA</v>
      </c>
      <c r="E478" s="5" t="str">
        <f>IFERROR(VLOOKUP(A478,'Base Prueba'!A:E,5,),"NO REGISTRA")</f>
        <v>OFICINA DE MERCADEO</v>
      </c>
    </row>
    <row r="479" spans="1:5" ht="15.75" x14ac:dyDescent="0.25">
      <c r="A479" s="10">
        <v>1032407386</v>
      </c>
      <c r="B479" s="2">
        <v>46035.361193402779</v>
      </c>
      <c r="C479" s="3" t="str">
        <f>IFERROR(VLOOKUP(A479,'Base Prueba'!A:C,3,),"NO REGISTRA")</f>
        <v>GINA PAOLA BAEZ GALVIS</v>
      </c>
      <c r="D479" s="4" t="str">
        <f>IFERROR(VLOOKUP(A479,'Base Prueba'!A:D,4,),"NO REGISTRA")</f>
        <v>PROMOTOR CALL CENTER</v>
      </c>
      <c r="E479" s="5" t="str">
        <f>IFERROR(VLOOKUP(A479,'Base Prueba'!A:E,5,),"NO REGISTRA")</f>
        <v>OFICINA DE MERCADEO</v>
      </c>
    </row>
    <row r="480" spans="1:5" ht="15.75" x14ac:dyDescent="0.25">
      <c r="A480" s="10">
        <v>1033709056</v>
      </c>
      <c r="B480" s="2">
        <v>46035.36225150463</v>
      </c>
      <c r="C480" s="3" t="str">
        <f>IFERROR(VLOOKUP(A480,'Base Prueba'!A:C,3,),"NO REGISTRA")</f>
        <v>YEIMY ALEXANDRA RODRIGUEZ PALACIO</v>
      </c>
      <c r="D480" s="4" t="str">
        <f>IFERROR(VLOOKUP(A480,'Base Prueba'!A:D,4,),"NO REGISTRA")</f>
        <v>PROMOTOR CALL CENTER</v>
      </c>
      <c r="E480" s="5" t="str">
        <f>IFERROR(VLOOKUP(A480,'Base Prueba'!A:E,5,),"NO REGISTRA")</f>
        <v>OFICINA DE MERCADEO</v>
      </c>
    </row>
    <row r="481" spans="1:5" ht="15.75" x14ac:dyDescent="0.25">
      <c r="A481" s="10">
        <v>1003690253</v>
      </c>
      <c r="B481" s="2">
        <v>46035.364583680559</v>
      </c>
      <c r="C481" s="3" t="str">
        <f>IFERROR(VLOOKUP(A481,'Base Prueba'!A:C,3,),"NO REGISTRA")</f>
        <v>MELISSA GONZALEZ PEDRAZA</v>
      </c>
      <c r="D481" s="4" t="str">
        <f>IFERROR(VLOOKUP(A481,'Base Prueba'!A:D,4,),"NO REGISTRA")</f>
        <v>LIDER DE JOVENES A LA E</v>
      </c>
      <c r="E481" s="5" t="str">
        <f>IFERROR(VLOOKUP(A481,'Base Prueba'!A:E,5,),"NO REGISTRA")</f>
        <v>DIRECCION DE BIENESTAR INSTITUCIONAL</v>
      </c>
    </row>
    <row r="482" spans="1:5" ht="15.75" x14ac:dyDescent="0.25">
      <c r="A482" s="10">
        <v>28798349</v>
      </c>
      <c r="B482" s="2">
        <v>46035.37249548611</v>
      </c>
      <c r="C482" s="3" t="str">
        <f>IFERROR(VLOOKUP(A482,'Base Prueba'!A:C,3,),"NO REGISTRA")</f>
        <v>MARTHA ISABEL TOVAR WILLIAMS</v>
      </c>
      <c r="D482" s="4" t="str">
        <f>IFERROR(VLOOKUP(A482,'Base Prueba'!A:D,4,),"NO REGISTRA")</f>
        <v>PROMOTOR CALL CENTER</v>
      </c>
      <c r="E482" s="5" t="str">
        <f>IFERROR(VLOOKUP(A482,'Base Prueba'!A:E,5,),"NO REGISTRA")</f>
        <v>OFICINA DE MERCADEO</v>
      </c>
    </row>
    <row r="483" spans="1:5" ht="15.75" x14ac:dyDescent="0.25">
      <c r="A483" s="10">
        <v>52472386</v>
      </c>
      <c r="B483" s="2">
        <v>46035.372628935183</v>
      </c>
      <c r="C483" s="3" t="str">
        <f>IFERROR(VLOOKUP(A483,'Base Prueba'!A:C,3,),"NO REGISTRA")</f>
        <v>ADRIANA MARCELA MORALES PARDO</v>
      </c>
      <c r="D483" s="4" t="str">
        <f>IFERROR(VLOOKUP(A483,'Base Prueba'!A:D,4,),"NO REGISTRA")</f>
        <v>PROMOTOR CALL CENTER</v>
      </c>
      <c r="E483" s="5" t="str">
        <f>IFERROR(VLOOKUP(A483,'Base Prueba'!A:E,5,),"NO REGISTRA")</f>
        <v>OFICINA DE MERCADEO</v>
      </c>
    </row>
    <row r="484" spans="1:5" ht="15.75" x14ac:dyDescent="0.25">
      <c r="A484" s="10">
        <v>1019105003</v>
      </c>
      <c r="B484" s="2">
        <v>46035.372962615744</v>
      </c>
      <c r="C484" s="3" t="str">
        <f>IFERROR(VLOOKUP(A484,'Base Prueba'!A:C,3,),"NO REGISTRA")</f>
        <v>DAISY JULIETH GASPAR MORENO</v>
      </c>
      <c r="D484" s="4" t="str">
        <f>IFERROR(VLOOKUP(A484,'Base Prueba'!A:D,4,),"NO REGISTRA")</f>
        <v>PROMOTOR CALL CENTER</v>
      </c>
      <c r="E484" s="5" t="str">
        <f>IFERROR(VLOOKUP(A484,'Base Prueba'!A:E,5,),"NO REGISTRA")</f>
        <v>OFICINA DE MERCADEO</v>
      </c>
    </row>
    <row r="485" spans="1:5" ht="15.75" x14ac:dyDescent="0.25">
      <c r="A485" s="10">
        <v>1016090131</v>
      </c>
      <c r="B485" s="2">
        <v>46035.374354861109</v>
      </c>
      <c r="C485" s="3" t="str">
        <f>IFERROR(VLOOKUP(A485,'Base Prueba'!A:C,3,),"NO REGISTRA")</f>
        <v>NICOLAS RODRIGUEZ PACHECO</v>
      </c>
      <c r="D485" s="4" t="str">
        <f>IFERROR(VLOOKUP(A485,'Base Prueba'!A:D,4,),"NO REGISTRA")</f>
        <v>COORDINADOR DE COMUNICACIONES</v>
      </c>
      <c r="E485" s="5" t="str">
        <f>IFERROR(VLOOKUP(A485,'Base Prueba'!A:E,5,),"NO REGISTRA")</f>
        <v>OFICINA DE MERCADEO</v>
      </c>
    </row>
    <row r="486" spans="1:5" ht="15.75" x14ac:dyDescent="0.25">
      <c r="A486" s="10">
        <v>1023961952</v>
      </c>
      <c r="B486" s="2">
        <v>46035.374443749999</v>
      </c>
      <c r="C486" s="3" t="str">
        <f>IFERROR(VLOOKUP(A486,'Base Prueba'!A:C,3,),"NO REGISTRA")</f>
        <v>ALEJANDRO PINZON MERCHAN</v>
      </c>
      <c r="D486" s="4" t="str">
        <f>IFERROR(VLOOKUP(A486,'Base Prueba'!A:D,4,),"NO REGISTRA")</f>
        <v>PROMOTOR CALL CENTER</v>
      </c>
      <c r="E486" s="5" t="str">
        <f>IFERROR(VLOOKUP(A486,'Base Prueba'!A:E,5,),"NO REGISTRA")</f>
        <v>OFICINA DE MERCADEO</v>
      </c>
    </row>
    <row r="487" spans="1:5" ht="15.75" x14ac:dyDescent="0.25">
      <c r="A487" s="10">
        <v>1000046533</v>
      </c>
      <c r="B487" s="2">
        <v>46035.381913310186</v>
      </c>
      <c r="C487" s="3" t="str">
        <f>IFERROR(VLOOKUP(A487,'Base Prueba'!A:C,3,),"NO REGISTRA")</f>
        <v>ERIKA JULIETH VALDERRAMA SANCHEZ</v>
      </c>
      <c r="D487" s="4" t="str">
        <f>IFERROR(VLOOKUP(A487,'Base Prueba'!A:D,4,),"NO REGISTRA")</f>
        <v>PROMOTOR CALL CENTER</v>
      </c>
      <c r="E487" s="5" t="str">
        <f>IFERROR(VLOOKUP(A487,'Base Prueba'!A:E,5,),"NO REGISTRA")</f>
        <v>OFICINA DE MERCADEO</v>
      </c>
    </row>
    <row r="488" spans="1:5" ht="15.75" x14ac:dyDescent="0.25">
      <c r="A488" s="10">
        <v>1018414290</v>
      </c>
      <c r="B488" s="2">
        <v>46035.382941435186</v>
      </c>
      <c r="C488" s="3" t="str">
        <f>IFERROR(VLOOKUP(A488,'Base Prueba'!A:C,3,),"NO REGISTRA")</f>
        <v>AMANDA LISBETH RODRIGUEZ LEON</v>
      </c>
      <c r="D488" s="4" t="str">
        <f>IFERROR(VLOOKUP(A488,'Base Prueba'!A:D,4,),"NO REGISTRA")</f>
        <v>PROMOTOR CALL CENTER</v>
      </c>
      <c r="E488" s="5" t="str">
        <f>IFERROR(VLOOKUP(A488,'Base Prueba'!A:E,5,),"NO REGISTRA")</f>
        <v>OFICINA DE MERCADEO</v>
      </c>
    </row>
    <row r="489" spans="1:5" ht="15.75" x14ac:dyDescent="0.25">
      <c r="A489" s="10">
        <v>52764929</v>
      </c>
      <c r="B489" s="2">
        <v>46035.384640856479</v>
      </c>
      <c r="C489" s="3" t="str">
        <f>IFERROR(VLOOKUP(A489,'Base Prueba'!A:C,3,),"NO REGISTRA")</f>
        <v>GUERLY YOHANA DURAN RIVERA</v>
      </c>
      <c r="D489" s="4" t="str">
        <f>IFERROR(VLOOKUP(A489,'Base Prueba'!A:D,4,),"NO REGISTRA")</f>
        <v>LIDER DE VINCULACION COLEGIOS</v>
      </c>
      <c r="E489" s="5" t="str">
        <f>IFERROR(VLOOKUP(A489,'Base Prueba'!A:E,5,),"NO REGISTRA")</f>
        <v>OFICINA DE MERCADEO</v>
      </c>
    </row>
    <row r="490" spans="1:5" ht="15.75" x14ac:dyDescent="0.25">
      <c r="A490" s="10">
        <v>1000365751</v>
      </c>
      <c r="B490" s="2">
        <v>46035.391899189817</v>
      </c>
      <c r="C490" s="3" t="str">
        <f>IFERROR(VLOOKUP(A490,'Base Prueba'!A:C,3,),"NO REGISTRA")</f>
        <v>JHOAN NICOLAS ESCAMILLA MANJARRES</v>
      </c>
      <c r="D490" s="4" t="str">
        <f>IFERROR(VLOOKUP(A490,'Base Prueba'!A:D,4,),"NO REGISTRA")</f>
        <v>APRENDIZ UNIVERSITARIO</v>
      </c>
      <c r="E490" s="5" t="str">
        <f>IFERROR(VLOOKUP(A490,'Base Prueba'!A:E,5,),"NO REGISTRA")</f>
        <v>OFICINA DE MERCADEO</v>
      </c>
    </row>
    <row r="491" spans="1:5" ht="15.75" x14ac:dyDescent="0.25">
      <c r="A491" s="10">
        <v>52443092</v>
      </c>
      <c r="B491" s="2">
        <v>46035.541151967591</v>
      </c>
      <c r="C491" s="3" t="str">
        <f>IFERROR(VLOOKUP(A491,'Base Prueba'!A:C,3,),"NO REGISTRA")</f>
        <v>LUZ MYRIAM SAAVEDRA CONTRERAS</v>
      </c>
      <c r="D491" s="4" t="str">
        <f>IFERROR(VLOOKUP(A491,'Base Prueba'!A:D,4,),"NO REGISTRA")</f>
        <v>AUXILIAR DE SERVICIOS</v>
      </c>
      <c r="E491" s="5" t="str">
        <f>IFERROR(VLOOKUP(A491,'Base Prueba'!A:E,5,),"NO REGISTRA")</f>
        <v>LOGISTICA Y SERVICIOS GENERALES</v>
      </c>
    </row>
    <row r="492" spans="1:5" ht="15.75" x14ac:dyDescent="0.25">
      <c r="A492" s="10">
        <v>1031802160</v>
      </c>
      <c r="B492" s="2">
        <v>46035.705064930553</v>
      </c>
      <c r="C492" s="3" t="str">
        <f>IFERROR(VLOOKUP(A492,'Base Prueba'!A:C,3,),"NO REGISTRA")</f>
        <v>LUISA MARIA MAHECHA SOTOMAYOR</v>
      </c>
      <c r="D492" s="4" t="str">
        <f>IFERROR(VLOOKUP(A492,'Base Prueba'!A:D,4,),"NO REGISTRA")</f>
        <v>APRENDIZ UNIVERSITARIO</v>
      </c>
      <c r="E492" s="5" t="str">
        <f>IFERROR(VLOOKUP(A492,'Base Prueba'!A:E,5,),"NO REGISTRA")</f>
        <v>OFICINA DE MERCADEO</v>
      </c>
    </row>
    <row r="493" spans="1:5" ht="15.75" x14ac:dyDescent="0.25">
      <c r="A493" s="10">
        <v>1030567635</v>
      </c>
      <c r="B493" s="2">
        <v>46035.750045370369</v>
      </c>
      <c r="C493" s="3" t="str">
        <f>IFERROR(VLOOKUP(A493,'Base Prueba'!A:C,3,),"NO REGISTRA")</f>
        <v>JEFFERSON ANDRES BARRETO DIAZ</v>
      </c>
      <c r="D493" s="4" t="str">
        <f>IFERROR(VLOOKUP(A493,'Base Prueba'!A:D,4,),"NO REGISTRA")</f>
        <v>AUXILIAR DE ARCHIVO</v>
      </c>
      <c r="E493" s="5" t="str">
        <f>IFERROR(VLOOKUP(A493,'Base Prueba'!A:E,5,),"NO REGISTRA")</f>
        <v>CENTRO DE GESTION DOCUMENTAL</v>
      </c>
    </row>
    <row r="494" spans="1:5" ht="15.75" x14ac:dyDescent="0.25">
      <c r="A494" s="10">
        <v>1000687931</v>
      </c>
      <c r="B494" s="2">
        <v>46035.751077777779</v>
      </c>
      <c r="C494" s="3" t="str">
        <f>IFERROR(VLOOKUP(A494,'Base Prueba'!A:C,3,),"NO REGISTRA")</f>
        <v>ANDRES FELIPE PUENTES TORRES</v>
      </c>
      <c r="D494" s="4" t="str">
        <f>IFERROR(VLOOKUP(A494,'Base Prueba'!A:D,4,),"NO REGISTRA")</f>
        <v>AUXILIAR ADMINISTRATIVO</v>
      </c>
      <c r="E494" s="5" t="str">
        <f>IFERROR(VLOOKUP(A494,'Base Prueba'!A:E,5,),"NO REGISTRA")</f>
        <v>REGISTRO Y CONTROL ACADEMICO</v>
      </c>
    </row>
    <row r="495" spans="1:5" ht="15.75" x14ac:dyDescent="0.25">
      <c r="A495" s="10">
        <v>1000467399</v>
      </c>
      <c r="B495" s="2">
        <v>46035.751469560186</v>
      </c>
      <c r="C495" s="3" t="str">
        <f>IFERROR(VLOOKUP(A495,'Base Prueba'!A:C,3,),"NO REGISTRA")</f>
        <v>BRANDO ESTIVEN DIAZ QUIMBAYA</v>
      </c>
      <c r="D495" s="4" t="str">
        <f>IFERROR(VLOOKUP(A495,'Base Prueba'!A:D,4,),"NO REGISTRA")</f>
        <v>APRENDIZ UNIVERSITARIO</v>
      </c>
      <c r="E495" s="5" t="str">
        <f>IFERROR(VLOOKUP(A495,'Base Prueba'!A:E,5,),"NO REGISTRA")</f>
        <v>DEPARTAMENTO DE GESTION HUMANA</v>
      </c>
    </row>
    <row r="496" spans="1:5" ht="15.75" x14ac:dyDescent="0.25">
      <c r="A496" s="10">
        <v>1193457976</v>
      </c>
      <c r="B496" s="2">
        <v>46035.751593634261</v>
      </c>
      <c r="C496" s="3" t="str">
        <f>IFERROR(VLOOKUP(A496,'Base Prueba'!A:C,3,),"NO REGISTRA")</f>
        <v>SEDENIS RIVAS ASPRILLA</v>
      </c>
      <c r="D496" s="4" t="str">
        <f>IFERROR(VLOOKUP(A496,'Base Prueba'!A:D,4,),"NO REGISTRA")</f>
        <v>APRENDIZ UNIVERSITARIO</v>
      </c>
      <c r="E496" s="5" t="str">
        <f>IFERROR(VLOOKUP(A496,'Base Prueba'!A:E,5,),"NO REGISTRA")</f>
        <v>DEPARTAMENTO DE GESTION HUMANA</v>
      </c>
    </row>
    <row r="497" spans="1:5" ht="15.75" x14ac:dyDescent="0.25">
      <c r="A497" s="10">
        <v>1087121273</v>
      </c>
      <c r="B497" s="2">
        <v>46035.751998032407</v>
      </c>
      <c r="C497" s="3" t="str">
        <f>IFERROR(VLOOKUP(A497,'Base Prueba'!A:C,3,),"NO REGISTRA")</f>
        <v>MAYRA ALEJANDRA CASTILLO ARBOLEDA</v>
      </c>
      <c r="D497" s="4" t="str">
        <f>IFERROR(VLOOKUP(A497,'Base Prueba'!A:D,4,),"NO REGISTRA")</f>
        <v>APOYO INTEGRAL DE MERCADEO</v>
      </c>
      <c r="E497" s="5" t="str">
        <f>IFERROR(VLOOKUP(A497,'Base Prueba'!A:E,5,),"NO REGISTRA")</f>
        <v>CENTRO DE GESTION DOCUMENTAL</v>
      </c>
    </row>
    <row r="498" spans="1:5" ht="15.75" x14ac:dyDescent="0.25">
      <c r="A498" s="10">
        <v>1022996882</v>
      </c>
      <c r="B498" s="2">
        <v>46035.752381481485</v>
      </c>
      <c r="C498" s="3" t="str">
        <f>IFERROR(VLOOKUP(A498,'Base Prueba'!A:C,3,),"NO REGISTRA")</f>
        <v>NANCY BRIGITH ALDANA GUEVARA</v>
      </c>
      <c r="D498" s="4" t="str">
        <f>IFERROR(VLOOKUP(A498,'Base Prueba'!A:D,4,),"NO REGISTRA")</f>
        <v>COORDINADORA DE GESTIÓN HUMANA</v>
      </c>
      <c r="E498" s="5" t="str">
        <f>IFERROR(VLOOKUP(A498,'Base Prueba'!A:E,5,),"NO REGISTRA")</f>
        <v>DEPARTAMENTO DE GESTION HUMANA</v>
      </c>
    </row>
    <row r="499" spans="1:5" ht="15.75" x14ac:dyDescent="0.25">
      <c r="A499" s="10">
        <v>1014266838</v>
      </c>
      <c r="B499" s="2">
        <v>46035.753260532409</v>
      </c>
      <c r="C499" s="3" t="str">
        <f>IFERROR(VLOOKUP(A499,'Base Prueba'!A:C,3,),"NO REGISTRA")</f>
        <v>JENNIFER ASTRID ROMERO HURTADO</v>
      </c>
      <c r="D499" s="4" t="str">
        <f>IFERROR(VLOOKUP(A499,'Base Prueba'!A:D,4,),"NO REGISTRA")</f>
        <v>LIDER DE RECAUDO</v>
      </c>
      <c r="E499" s="5" t="str">
        <f>IFERROR(VLOOKUP(A499,'Base Prueba'!A:E,5,),"NO REGISTRA")</f>
        <v>AREA FINANCIERA Y CONTABLE</v>
      </c>
    </row>
    <row r="500" spans="1:5" ht="15.75" x14ac:dyDescent="0.25">
      <c r="A500" s="10">
        <v>1000046533</v>
      </c>
      <c r="B500" s="2">
        <v>46035.754303935188</v>
      </c>
      <c r="C500" s="3" t="str">
        <f>IFERROR(VLOOKUP(A500,'Base Prueba'!A:C,3,),"NO REGISTRA")</f>
        <v>ERIKA JULIETH VALDERRAMA SANCHEZ</v>
      </c>
      <c r="D500" s="4" t="str">
        <f>IFERROR(VLOOKUP(A500,'Base Prueba'!A:D,4,),"NO REGISTRA")</f>
        <v>PROMOTOR CALL CENTER</v>
      </c>
      <c r="E500" s="5" t="str">
        <f>IFERROR(VLOOKUP(A500,'Base Prueba'!A:E,5,),"NO REGISTRA")</f>
        <v>OFICINA DE MERCADEO</v>
      </c>
    </row>
    <row r="501" spans="1:5" ht="15.75" x14ac:dyDescent="0.25">
      <c r="A501" s="10">
        <v>1049644802</v>
      </c>
      <c r="B501" s="2">
        <v>46035.756639467596</v>
      </c>
      <c r="C501" s="3" t="str">
        <f>IFERROR(VLOOKUP(A501,'Base Prueba'!A:C,3,),"NO REGISTRA")</f>
        <v>DANIELA ALEXANDRA CIPAMOCHA BOSIGA</v>
      </c>
      <c r="D501" s="4" t="str">
        <f>IFERROR(VLOOKUP(A501,'Base Prueba'!A:D,4,),"NO REGISTRA")</f>
        <v>LIDER DE DATOS Y SERVICIOS</v>
      </c>
      <c r="E501" s="5" t="str">
        <f>IFERROR(VLOOKUP(A501,'Base Prueba'!A:E,5,),"NO REGISTRA")</f>
        <v>OFICINA DE PLANEACION Y GESTION DE LA CALIDAD</v>
      </c>
    </row>
    <row r="502" spans="1:5" ht="15.75" x14ac:dyDescent="0.25">
      <c r="A502" s="10">
        <v>1032469638</v>
      </c>
      <c r="B502" s="2">
        <v>46035.756656481484</v>
      </c>
      <c r="C502" s="3" t="str">
        <f>IFERROR(VLOOKUP(A502,'Base Prueba'!A:C,3,),"NO REGISTRA")</f>
        <v>MAICOL JARBEY GUALTEROS CASTAÑEDA</v>
      </c>
      <c r="D502" s="4" t="str">
        <f>IFERROR(VLOOKUP(A502,'Base Prueba'!A:D,4,),"NO REGISTRA")</f>
        <v>COORDINADOR DEL SISTEMA INTERNO DE ASEGURAMIENTO DE LA CALIDAD - SIAC</v>
      </c>
      <c r="E502" s="5" t="str">
        <f>IFERROR(VLOOKUP(A502,'Base Prueba'!A:E,5,),"NO REGISTRA")</f>
        <v>OFICINA DE PLANEACION Y GESTION DE LA CALIDAD</v>
      </c>
    </row>
    <row r="503" spans="1:5" ht="15.75" x14ac:dyDescent="0.25">
      <c r="A503" s="10">
        <v>1012357415</v>
      </c>
      <c r="B503" s="2">
        <v>46035.756735069444</v>
      </c>
      <c r="C503" s="3" t="str">
        <f>IFERROR(VLOOKUP(A503,'Base Prueba'!A:C,3,),"NO REGISTRA")</f>
        <v>CINDY LORENA BOHORQUEZ LEYVA</v>
      </c>
      <c r="D503" s="4" t="str">
        <f>IFERROR(VLOOKUP(A503,'Base Prueba'!A:D,4,),"NO REGISTRA")</f>
        <v>ANALISTA DE TESORERIA</v>
      </c>
      <c r="E503" s="5" t="str">
        <f>IFERROR(VLOOKUP(A503,'Base Prueba'!A:E,5,),"NO REGISTRA")</f>
        <v>AREA FINANCIERA Y CONTABLE</v>
      </c>
    </row>
    <row r="504" spans="1:5" ht="15.75" x14ac:dyDescent="0.25">
      <c r="A504" s="10">
        <v>80238161</v>
      </c>
      <c r="B504" s="2">
        <v>46035.756929166666</v>
      </c>
      <c r="C504" s="3" t="str">
        <f>IFERROR(VLOOKUP(A504,'Base Prueba'!A:C,3,),"NO REGISTRA")</f>
        <v>GERMAN CARRANZA ESPITIA</v>
      </c>
      <c r="D504" s="4" t="str">
        <f>IFERROR(VLOOKUP(A504,'Base Prueba'!A:D,4,),"NO REGISTRA")</f>
        <v>TESORERO</v>
      </c>
      <c r="E504" s="5" t="str">
        <f>IFERROR(VLOOKUP(A504,'Base Prueba'!A:E,5,),"NO REGISTRA")</f>
        <v>AREA FINANCIERA Y CONTABLE</v>
      </c>
    </row>
    <row r="505" spans="1:5" ht="15.75" x14ac:dyDescent="0.25">
      <c r="A505" s="10">
        <v>1026599257</v>
      </c>
      <c r="B505" s="2">
        <v>46035.758044328701</v>
      </c>
      <c r="C505" s="3" t="str">
        <f>IFERROR(VLOOKUP(A505,'Base Prueba'!A:C,3,),"NO REGISTRA")</f>
        <v>YESENIA PAOLA PINEDA HURTADO</v>
      </c>
      <c r="D505" s="4" t="str">
        <f>IFERROR(VLOOKUP(A505,'Base Prueba'!A:D,4,),"NO REGISTRA")</f>
        <v>LIDER DE COMPRAS</v>
      </c>
      <c r="E505" s="5" t="str">
        <f>IFERROR(VLOOKUP(A505,'Base Prueba'!A:E,5,),"NO REGISTRA")</f>
        <v>AREA ADMINISTRATIVA</v>
      </c>
    </row>
    <row r="506" spans="1:5" ht="15.75" x14ac:dyDescent="0.25">
      <c r="A506" s="10">
        <v>1014977624</v>
      </c>
      <c r="B506" s="2">
        <v>46035.759172106482</v>
      </c>
      <c r="C506" s="3" t="str">
        <f>IFERROR(VLOOKUP(A506,'Base Prueba'!A:C,3,),"NO REGISTRA")</f>
        <v>NICCOLE VALENTINA HERNANDEZ MALAVER</v>
      </c>
      <c r="D506" s="4" t="str">
        <f>IFERROR(VLOOKUP(A506,'Base Prueba'!A:D,4,),"NO REGISTRA")</f>
        <v>APRENDIZ UNIVERSITARIO</v>
      </c>
      <c r="E506" s="5" t="str">
        <f>IFERROR(VLOOKUP(A506,'Base Prueba'!A:E,5,),"NO REGISTRA")</f>
        <v>AREA FINANCIERA Y CONTABLE</v>
      </c>
    </row>
    <row r="507" spans="1:5" ht="15.75" x14ac:dyDescent="0.25">
      <c r="A507" s="10">
        <v>1014308296</v>
      </c>
      <c r="B507" s="2">
        <v>46035.761695949077</v>
      </c>
      <c r="C507" s="3" t="str">
        <f>IFERROR(VLOOKUP(A507,'Base Prueba'!A:C,3,),"NO REGISTRA")</f>
        <v>DARLENE YULIANA MORENO CELEITA</v>
      </c>
      <c r="D507" s="4" t="str">
        <f>IFERROR(VLOOKUP(A507,'Base Prueba'!A:D,4,),"NO REGISTRA")</f>
        <v>CAJERO PRINCIPAL</v>
      </c>
      <c r="E507" s="5" t="str">
        <f>IFERROR(VLOOKUP(A507,'Base Prueba'!A:E,5,),"NO REGISTRA")</f>
        <v>AREA FINANCIERA Y CONTABLE</v>
      </c>
    </row>
    <row r="508" spans="1:5" ht="15.75" x14ac:dyDescent="0.25">
      <c r="A508" s="10">
        <v>1013616244</v>
      </c>
      <c r="B508" s="2">
        <v>46035.762778124998</v>
      </c>
      <c r="C508" s="3" t="str">
        <f>IFERROR(VLOOKUP(A508,'Base Prueba'!A:C,3,),"NO REGISTRA")</f>
        <v>DIANA CAROLINA MARIN BETANCOURT</v>
      </c>
      <c r="D508" s="4" t="str">
        <f>IFERROR(VLOOKUP(A508,'Base Prueba'!A:D,4,),"NO REGISTRA")</f>
        <v>AUXILIAR ADMINISTRATIVO</v>
      </c>
      <c r="E508" s="5" t="str">
        <f>IFERROR(VLOOKUP(A508,'Base Prueba'!A:E,5,),"NO REGISTRA")</f>
        <v>REGISTRO Y CONTROL ACADEMICO</v>
      </c>
    </row>
    <row r="509" spans="1:5" ht="15.75" x14ac:dyDescent="0.25">
      <c r="A509" s="10">
        <v>1013098645</v>
      </c>
      <c r="B509" s="2">
        <v>46035.763222800924</v>
      </c>
      <c r="C509" s="3" t="str">
        <f>IFERROR(VLOOKUP(A509,'Base Prueba'!A:C,3,),"NO REGISTRA")</f>
        <v>CATHERINE LUCIA PENAGOS RIVERA</v>
      </c>
      <c r="D509" s="4" t="str">
        <f>IFERROR(VLOOKUP(A509,'Base Prueba'!A:D,4,),"NO REGISTRA")</f>
        <v>LIDER DE REGISTRO Y CONTROL ACADEMICO</v>
      </c>
      <c r="E509" s="5" t="str">
        <f>IFERROR(VLOOKUP(A509,'Base Prueba'!A:E,5,),"NO REGISTRA")</f>
        <v>REGISTRO Y CONTROL ACADEMICO</v>
      </c>
    </row>
    <row r="510" spans="1:5" ht="15.75" x14ac:dyDescent="0.25">
      <c r="A510" s="10">
        <v>1000604979</v>
      </c>
      <c r="B510" s="2">
        <v>46035.766712962963</v>
      </c>
      <c r="C510" s="3" t="str">
        <f>IFERROR(VLOOKUP(A510,'Base Prueba'!A:C,3,),"NO REGISTRA")</f>
        <v>JULIETH TATIANA PARDO PINTO</v>
      </c>
      <c r="D510" s="4" t="str">
        <f>IFERROR(VLOOKUP(A510,'Base Prueba'!A:D,4,),"NO REGISTRA")</f>
        <v>AUXILIAR JURIDICO</v>
      </c>
      <c r="E510" s="5" t="str">
        <f>IFERROR(VLOOKUP(A510,'Base Prueba'!A:E,5,),"NO REGISTRA")</f>
        <v>SECRETARIA GENERAL</v>
      </c>
    </row>
    <row r="511" spans="1:5" ht="15.75" x14ac:dyDescent="0.25">
      <c r="A511" s="10">
        <v>1000593372</v>
      </c>
      <c r="B511" s="2">
        <v>46035.76714664352</v>
      </c>
      <c r="C511" s="3" t="str">
        <f>IFERROR(VLOOKUP(A511,'Base Prueba'!A:C,3,),"NO REGISTRA")</f>
        <v>LAURA SOFIA CHAPARRO LOPEZ</v>
      </c>
      <c r="D511" s="4" t="str">
        <f>IFERROR(VLOOKUP(A511,'Base Prueba'!A:D,4,),"NO REGISTRA")</f>
        <v>AUXILIAR JURIDICO</v>
      </c>
      <c r="E511" s="5" t="str">
        <f>IFERROR(VLOOKUP(A511,'Base Prueba'!A:E,5,),"NO REGISTRA")</f>
        <v>SECRETARIA GENERAL</v>
      </c>
    </row>
    <row r="512" spans="1:5" ht="15.75" x14ac:dyDescent="0.25">
      <c r="A512" s="10">
        <v>1000257136</v>
      </c>
      <c r="B512" s="2">
        <v>46035.770750462965</v>
      </c>
      <c r="C512" s="3" t="str">
        <f>IFERROR(VLOOKUP(A512,'Base Prueba'!A:C,3,),"NO REGISTRA")</f>
        <v>FRANCI VALENTINA CANO PUENTES</v>
      </c>
      <c r="D512" s="4" t="str">
        <f>IFERROR(VLOOKUP(A512,'Base Prueba'!A:D,4,),"NO REGISTRA")</f>
        <v>AUXILIAR CONTABLE</v>
      </c>
      <c r="E512" s="5" t="str">
        <f>IFERROR(VLOOKUP(A512,'Base Prueba'!A:E,5,),"NO REGISTRA")</f>
        <v>AREA FINANCIERA Y CONTABLE</v>
      </c>
    </row>
    <row r="513" spans="1:5" ht="15.75" x14ac:dyDescent="0.25">
      <c r="A513" s="10">
        <v>1000254831</v>
      </c>
      <c r="B513" s="2">
        <v>46035.772082060183</v>
      </c>
      <c r="C513" s="3" t="str">
        <f>IFERROR(VLOOKUP(A513,'Base Prueba'!A:C,3,),"NO REGISTRA")</f>
        <v>BRIDGET ROSSANA DIAZ BOGOTA</v>
      </c>
      <c r="D513" s="4" t="str">
        <f>IFERROR(VLOOKUP(A513,'Base Prueba'!A:D,4,),"NO REGISTRA")</f>
        <v>AUXILIAR DE DISEÑO</v>
      </c>
      <c r="E513" s="5" t="str">
        <f>IFERROR(VLOOKUP(A513,'Base Prueba'!A:E,5,),"NO REGISTRA")</f>
        <v>OFICINA DE MERCADEO</v>
      </c>
    </row>
    <row r="514" spans="1:5" ht="15.75" x14ac:dyDescent="0.25">
      <c r="A514" s="10">
        <v>52764929</v>
      </c>
      <c r="B514" s="2">
        <v>46035.773795486108</v>
      </c>
      <c r="C514" s="3" t="str">
        <f>IFERROR(VLOOKUP(A514,'Base Prueba'!A:C,3,),"NO REGISTRA")</f>
        <v>GUERLY YOHANA DURAN RIVERA</v>
      </c>
      <c r="D514" s="4" t="str">
        <f>IFERROR(VLOOKUP(A514,'Base Prueba'!A:D,4,),"NO REGISTRA")</f>
        <v>LIDER DE VINCULACION COLEGIOS</v>
      </c>
      <c r="E514" s="5" t="str">
        <f>IFERROR(VLOOKUP(A514,'Base Prueba'!A:E,5,),"NO REGISTRA")</f>
        <v>OFICINA DE MERCADEO</v>
      </c>
    </row>
    <row r="515" spans="1:5" ht="15.75" x14ac:dyDescent="0.25">
      <c r="A515" s="10">
        <v>1019105003</v>
      </c>
      <c r="B515" s="2">
        <v>46035.782346990738</v>
      </c>
      <c r="C515" s="3" t="str">
        <f>IFERROR(VLOOKUP(A515,'Base Prueba'!A:C,3,),"NO REGISTRA")</f>
        <v>DAISY JULIETH GASPAR MORENO</v>
      </c>
      <c r="D515" s="4" t="str">
        <f>IFERROR(VLOOKUP(A515,'Base Prueba'!A:D,4,),"NO REGISTRA")</f>
        <v>PROMOTOR CALL CENTER</v>
      </c>
      <c r="E515" s="5" t="str">
        <f>IFERROR(VLOOKUP(A515,'Base Prueba'!A:E,5,),"NO REGISTRA")</f>
        <v>OFICINA DE MERCADEO</v>
      </c>
    </row>
    <row r="516" spans="1:5" ht="15.75" x14ac:dyDescent="0.25">
      <c r="A516" s="10">
        <v>1018414290</v>
      </c>
      <c r="B516" s="2">
        <v>46035.782984606485</v>
      </c>
      <c r="C516" s="3" t="str">
        <f>IFERROR(VLOOKUP(A516,'Base Prueba'!A:C,3,),"NO REGISTRA")</f>
        <v>AMANDA LISBETH RODRIGUEZ LEON</v>
      </c>
      <c r="D516" s="4" t="str">
        <f>IFERROR(VLOOKUP(A516,'Base Prueba'!A:D,4,),"NO REGISTRA")</f>
        <v>PROMOTOR CALL CENTER</v>
      </c>
      <c r="E516" s="5" t="str">
        <f>IFERROR(VLOOKUP(A516,'Base Prueba'!A:E,5,),"NO REGISTRA")</f>
        <v>OFICINA DE MERCADEO</v>
      </c>
    </row>
    <row r="517" spans="1:5" ht="15.75" x14ac:dyDescent="0.25">
      <c r="A517" s="10">
        <v>52472386</v>
      </c>
      <c r="B517" s="2">
        <v>46035.783157291669</v>
      </c>
      <c r="C517" s="3" t="str">
        <f>IFERROR(VLOOKUP(A517,'Base Prueba'!A:C,3,),"NO REGISTRA")</f>
        <v>ADRIANA MARCELA MORALES PARDO</v>
      </c>
      <c r="D517" s="4" t="str">
        <f>IFERROR(VLOOKUP(A517,'Base Prueba'!A:D,4,),"NO REGISTRA")</f>
        <v>PROMOTOR CALL CENTER</v>
      </c>
      <c r="E517" s="5" t="str">
        <f>IFERROR(VLOOKUP(A517,'Base Prueba'!A:E,5,),"NO REGISTRA")</f>
        <v>OFICINA DE MERCADEO</v>
      </c>
    </row>
    <row r="518" spans="1:5" ht="15.75" x14ac:dyDescent="0.25">
      <c r="A518" s="10">
        <v>53089882</v>
      </c>
      <c r="B518" s="2">
        <v>46035.78525335648</v>
      </c>
      <c r="C518" s="3" t="str">
        <f>IFERROR(VLOOKUP(A518,'Base Prueba'!A:C,3,),"NO REGISTRA")</f>
        <v>MARIA JOHANA ESCAMILLA MARTINEZ</v>
      </c>
      <c r="D518" s="4" t="str">
        <f>IFERROR(VLOOKUP(A518,'Base Prueba'!A:D,4,),"NO REGISTRA")</f>
        <v>PROMOTOR DE INFORMACIÓN</v>
      </c>
      <c r="E518" s="5" t="str">
        <f>IFERROR(VLOOKUP(A518,'Base Prueba'!A:E,5,),"NO REGISTRA")</f>
        <v>OFICINA DE MERCADEO</v>
      </c>
    </row>
    <row r="519" spans="1:5" ht="15.75" x14ac:dyDescent="0.25">
      <c r="A519" s="10">
        <v>1033709056</v>
      </c>
      <c r="B519" s="2">
        <v>46035.785279861113</v>
      </c>
      <c r="C519" s="3" t="str">
        <f>IFERROR(VLOOKUP(A519,'Base Prueba'!A:C,3,),"NO REGISTRA")</f>
        <v>YEIMY ALEXANDRA RODRIGUEZ PALACIO</v>
      </c>
      <c r="D519" s="4" t="str">
        <f>IFERROR(VLOOKUP(A519,'Base Prueba'!A:D,4,),"NO REGISTRA")</f>
        <v>PROMOTOR CALL CENTER</v>
      </c>
      <c r="E519" s="5" t="str">
        <f>IFERROR(VLOOKUP(A519,'Base Prueba'!A:E,5,),"NO REGISTRA")</f>
        <v>OFICINA DE MERCADEO</v>
      </c>
    </row>
    <row r="520" spans="1:5" ht="15.75" x14ac:dyDescent="0.25">
      <c r="A520" s="10">
        <v>1032407386</v>
      </c>
      <c r="B520" s="2">
        <v>46035.785369444442</v>
      </c>
      <c r="C520" s="3" t="str">
        <f>IFERROR(VLOOKUP(A520,'Base Prueba'!A:C,3,),"NO REGISTRA")</f>
        <v>GINA PAOLA BAEZ GALVIS</v>
      </c>
      <c r="D520" s="4" t="str">
        <f>IFERROR(VLOOKUP(A520,'Base Prueba'!A:D,4,),"NO REGISTRA")</f>
        <v>PROMOTOR CALL CENTER</v>
      </c>
      <c r="E520" s="5" t="str">
        <f>IFERROR(VLOOKUP(A520,'Base Prueba'!A:E,5,),"NO REGISTRA")</f>
        <v>OFICINA DE MERCADEO</v>
      </c>
    </row>
    <row r="521" spans="1:5" ht="15.75" x14ac:dyDescent="0.25">
      <c r="A521" s="10">
        <v>1018413529</v>
      </c>
      <c r="B521" s="2">
        <v>46035.78541423611</v>
      </c>
      <c r="C521" s="3" t="str">
        <f>IFERROR(VLOOKUP(A521,'Base Prueba'!A:C,3,),"NO REGISTRA")</f>
        <v>FRANCY STELLA CHARRY MORENO</v>
      </c>
      <c r="D521" s="4" t="str">
        <f>IFERROR(VLOOKUP(A521,'Base Prueba'!A:D,4,),"NO REGISTRA")</f>
        <v>PROMOTOR COMERCIAL DEL CEA</v>
      </c>
      <c r="E521" s="5" t="str">
        <f>IFERROR(VLOOKUP(A521,'Base Prueba'!A:E,5,),"NO REGISTRA")</f>
        <v>OFICINA DE MERCADEO</v>
      </c>
    </row>
    <row r="522" spans="1:5" ht="15.75" x14ac:dyDescent="0.25">
      <c r="A522" s="10">
        <v>53932358</v>
      </c>
      <c r="B522" s="2">
        <v>46035.786841898145</v>
      </c>
      <c r="C522" s="3" t="str">
        <f>IFERROR(VLOOKUP(A522,'Base Prueba'!A:C,3,),"NO REGISTRA")</f>
        <v>DIANA MADELEYNE GAONA RODRIGUEZ</v>
      </c>
      <c r="D522" s="4" t="str">
        <f>IFERROR(VLOOKUP(A522,'Base Prueba'!A:D,4,),"NO REGISTRA")</f>
        <v>CONTADOR</v>
      </c>
      <c r="E522" s="5" t="str">
        <f>IFERROR(VLOOKUP(A522,'Base Prueba'!A:E,5,),"NO REGISTRA")</f>
        <v>AREA FINANCIERA Y CONTABLE</v>
      </c>
    </row>
    <row r="523" spans="1:5" ht="15.75" x14ac:dyDescent="0.25">
      <c r="A523" s="10">
        <v>1000457706</v>
      </c>
      <c r="B523" s="2">
        <v>46035.78688472222</v>
      </c>
      <c r="C523" s="3" t="str">
        <f>IFERROR(VLOOKUP(A523,'Base Prueba'!A:C,3,),"NO REGISTRA")</f>
        <v>CRISTIAN DANILO ARROYO SANABRIA</v>
      </c>
      <c r="D523" s="4" t="str">
        <f>IFERROR(VLOOKUP(A523,'Base Prueba'!A:D,4,),"NO REGISTRA")</f>
        <v>AUXILIAR CONTABLE</v>
      </c>
      <c r="E523" s="5" t="str">
        <f>IFERROR(VLOOKUP(A523,'Base Prueba'!A:E,5,),"NO REGISTRA")</f>
        <v>AREA FINANCIERA Y CONTABLE</v>
      </c>
    </row>
    <row r="524" spans="1:5" ht="15.75" x14ac:dyDescent="0.25">
      <c r="A524" s="10">
        <v>1023961952</v>
      </c>
      <c r="B524" s="2">
        <v>46035.792064814814</v>
      </c>
      <c r="C524" s="3" t="str">
        <f>IFERROR(VLOOKUP(A524,'Base Prueba'!A:C,3,),"NO REGISTRA")</f>
        <v>ALEJANDRO PINZON MERCHAN</v>
      </c>
      <c r="D524" s="4" t="str">
        <f>IFERROR(VLOOKUP(A524,'Base Prueba'!A:D,4,),"NO REGISTRA")</f>
        <v>PROMOTOR CALL CENTER</v>
      </c>
      <c r="E524" s="5" t="str">
        <f>IFERROR(VLOOKUP(A524,'Base Prueba'!A:E,5,),"NO REGISTRA")</f>
        <v>OFICINA DE MERCADEO</v>
      </c>
    </row>
    <row r="525" spans="1:5" ht="15.75" x14ac:dyDescent="0.25">
      <c r="A525" s="10">
        <v>28798349</v>
      </c>
      <c r="B525" s="2">
        <v>46035.792094907411</v>
      </c>
      <c r="C525" s="3" t="str">
        <f>IFERROR(VLOOKUP(A525,'Base Prueba'!A:C,3,),"NO REGISTRA")</f>
        <v>MARTHA ISABEL TOVAR WILLIAMS</v>
      </c>
      <c r="D525" s="4" t="str">
        <f>IFERROR(VLOOKUP(A525,'Base Prueba'!A:D,4,),"NO REGISTRA")</f>
        <v>PROMOTOR CALL CENTER</v>
      </c>
      <c r="E525" s="5" t="str">
        <f>IFERROR(VLOOKUP(A525,'Base Prueba'!A:E,5,),"NO REGISTRA")</f>
        <v>OFICINA DE MERCADEO</v>
      </c>
    </row>
    <row r="526" spans="1:5" ht="15.75" x14ac:dyDescent="0.25">
      <c r="A526" s="10">
        <v>1003690253</v>
      </c>
      <c r="B526" s="2">
        <v>46035.792139351855</v>
      </c>
      <c r="C526" s="3" t="str">
        <f>IFERROR(VLOOKUP(A526,'Base Prueba'!A:C,3,),"NO REGISTRA")</f>
        <v>MELISSA GONZALEZ PEDRAZA</v>
      </c>
      <c r="D526" s="4" t="str">
        <f>IFERROR(VLOOKUP(A526,'Base Prueba'!A:D,4,),"NO REGISTRA")</f>
        <v>LIDER DE JOVENES A LA E</v>
      </c>
      <c r="E526" s="5" t="str">
        <f>IFERROR(VLOOKUP(A526,'Base Prueba'!A:E,5,),"NO REGISTRA")</f>
        <v>DIRECCION DE BIENESTAR INSTITUCIONAL</v>
      </c>
    </row>
    <row r="527" spans="1:5" ht="15.75" x14ac:dyDescent="0.25">
      <c r="A527" s="10">
        <v>1087121273</v>
      </c>
      <c r="B527" s="2">
        <v>46036.312286921297</v>
      </c>
      <c r="C527" s="3" t="str">
        <f>IFERROR(VLOOKUP(A527,'Base Prueba'!A:C,3,),"NO REGISTRA")</f>
        <v>MAYRA ALEJANDRA CASTILLO ARBOLEDA</v>
      </c>
      <c r="D527" s="4" t="str">
        <f>IFERROR(VLOOKUP(A527,'Base Prueba'!A:D,4,),"NO REGISTRA")</f>
        <v>APOYO INTEGRAL DE MERCADEO</v>
      </c>
      <c r="E527" s="5" t="str">
        <f>IFERROR(VLOOKUP(A527,'Base Prueba'!A:E,5,),"NO REGISTRA")</f>
        <v>CENTRO DE GESTION DOCUMENTAL</v>
      </c>
    </row>
    <row r="528" spans="1:5" ht="15.75" x14ac:dyDescent="0.25">
      <c r="A528" s="10">
        <v>1013616244</v>
      </c>
      <c r="B528" s="2">
        <v>46036.316256828701</v>
      </c>
      <c r="C528" s="3" t="str">
        <f>IFERROR(VLOOKUP(A528,'Base Prueba'!A:C,3,),"NO REGISTRA")</f>
        <v>DIANA CAROLINA MARIN BETANCOURT</v>
      </c>
      <c r="D528" s="4" t="str">
        <f>IFERROR(VLOOKUP(A528,'Base Prueba'!A:D,4,),"NO REGISTRA")</f>
        <v>AUXILIAR ADMINISTRATIVO</v>
      </c>
      <c r="E528" s="5" t="str">
        <f>IFERROR(VLOOKUP(A528,'Base Prueba'!A:E,5,),"NO REGISTRA")</f>
        <v>REGISTRO Y CONTROL ACADEMICO</v>
      </c>
    </row>
    <row r="529" spans="1:5" ht="15.75" x14ac:dyDescent="0.25">
      <c r="A529" s="10">
        <v>1012357415</v>
      </c>
      <c r="B529" s="2">
        <v>46036.319604976852</v>
      </c>
      <c r="C529" s="3" t="str">
        <f>IFERROR(VLOOKUP(A529,'Base Prueba'!A:C,3,),"NO REGISTRA")</f>
        <v>CINDY LORENA BOHORQUEZ LEYVA</v>
      </c>
      <c r="D529" s="4" t="str">
        <f>IFERROR(VLOOKUP(A529,'Base Prueba'!A:D,4,),"NO REGISTRA")</f>
        <v>ANALISTA DE TESORERIA</v>
      </c>
      <c r="E529" s="5" t="str">
        <f>IFERROR(VLOOKUP(A529,'Base Prueba'!A:E,5,),"NO REGISTRA")</f>
        <v>AREA FINANCIERA Y CONTABLE</v>
      </c>
    </row>
    <row r="530" spans="1:5" ht="15.75" x14ac:dyDescent="0.25">
      <c r="A530" s="10">
        <v>1049644802</v>
      </c>
      <c r="B530" s="2">
        <v>46036.325996412037</v>
      </c>
      <c r="C530" s="3" t="str">
        <f>IFERROR(VLOOKUP(A530,'Base Prueba'!A:C,3,),"NO REGISTRA")</f>
        <v>DANIELA ALEXANDRA CIPAMOCHA BOSIGA</v>
      </c>
      <c r="D530" s="4" t="str">
        <f>IFERROR(VLOOKUP(A530,'Base Prueba'!A:D,4,),"NO REGISTRA")</f>
        <v>LIDER DE DATOS Y SERVICIOS</v>
      </c>
      <c r="E530" s="5" t="str">
        <f>IFERROR(VLOOKUP(A530,'Base Prueba'!A:E,5,),"NO REGISTRA")</f>
        <v>OFICINA DE PLANEACION Y GESTION DE LA CALIDAD</v>
      </c>
    </row>
    <row r="531" spans="1:5" ht="15.75" x14ac:dyDescent="0.25">
      <c r="A531" s="10">
        <v>1032469638</v>
      </c>
      <c r="B531" s="2">
        <v>46036.328344560185</v>
      </c>
      <c r="C531" s="3" t="str">
        <f>IFERROR(VLOOKUP(A531,'Base Prueba'!A:C,3,),"NO REGISTRA")</f>
        <v>MAICOL JARBEY GUALTEROS CASTAÑEDA</v>
      </c>
      <c r="D531" s="4" t="str">
        <f>IFERROR(VLOOKUP(A531,'Base Prueba'!A:D,4,),"NO REGISTRA")</f>
        <v>COORDINADOR DEL SISTEMA INTERNO DE ASEGURAMIENTO DE LA CALIDAD - SIAC</v>
      </c>
      <c r="E531" s="5" t="str">
        <f>IFERROR(VLOOKUP(A531,'Base Prueba'!A:E,5,),"NO REGISTRA")</f>
        <v>OFICINA DE PLANEACION Y GESTION DE LA CALIDAD</v>
      </c>
    </row>
    <row r="532" spans="1:5" ht="15.75" x14ac:dyDescent="0.25">
      <c r="A532" s="10">
        <v>1000257136</v>
      </c>
      <c r="B532" s="2">
        <v>46036.329198611114</v>
      </c>
      <c r="C532" s="3" t="str">
        <f>IFERROR(VLOOKUP(A532,'Base Prueba'!A:C,3,),"NO REGISTRA")</f>
        <v>FRANCI VALENTINA CANO PUENTES</v>
      </c>
      <c r="D532" s="4" t="str">
        <f>IFERROR(VLOOKUP(A532,'Base Prueba'!A:D,4,),"NO REGISTRA")</f>
        <v>AUXILIAR CONTABLE</v>
      </c>
      <c r="E532" s="5" t="str">
        <f>IFERROR(VLOOKUP(A532,'Base Prueba'!A:E,5,),"NO REGISTRA")</f>
        <v>AREA FINANCIERA Y CONTABLE</v>
      </c>
    </row>
    <row r="533" spans="1:5" ht="15.75" x14ac:dyDescent="0.25">
      <c r="A533" s="10">
        <v>1014308296</v>
      </c>
      <c r="B533" s="2">
        <v>46036.329830555558</v>
      </c>
      <c r="C533" s="3" t="str">
        <f>IFERROR(VLOOKUP(A533,'Base Prueba'!A:C,3,),"NO REGISTRA")</f>
        <v>DARLENE YULIANA MORENO CELEITA</v>
      </c>
      <c r="D533" s="4" t="str">
        <f>IFERROR(VLOOKUP(A533,'Base Prueba'!A:D,4,),"NO REGISTRA")</f>
        <v>CAJERO PRINCIPAL</v>
      </c>
      <c r="E533" s="5" t="str">
        <f>IFERROR(VLOOKUP(A533,'Base Prueba'!A:E,5,),"NO REGISTRA")</f>
        <v>AREA FINANCIERA Y CONTABLE</v>
      </c>
    </row>
    <row r="534" spans="1:5" ht="15.75" x14ac:dyDescent="0.25">
      <c r="A534" s="10">
        <v>1193457976</v>
      </c>
      <c r="B534" s="2">
        <v>46036.332588078702</v>
      </c>
      <c r="C534" s="3" t="str">
        <f>IFERROR(VLOOKUP(A534,'Base Prueba'!A:C,3,),"NO REGISTRA")</f>
        <v>SEDENIS RIVAS ASPRILLA</v>
      </c>
      <c r="D534" s="4" t="str">
        <f>IFERROR(VLOOKUP(A534,'Base Prueba'!A:D,4,),"NO REGISTRA")</f>
        <v>APRENDIZ UNIVERSITARIO</v>
      </c>
      <c r="E534" s="5" t="str">
        <f>IFERROR(VLOOKUP(A534,'Base Prueba'!A:E,5,),"NO REGISTRA")</f>
        <v>DEPARTAMENTO DE GESTION HUMANA</v>
      </c>
    </row>
    <row r="535" spans="1:5" ht="15.75" x14ac:dyDescent="0.25">
      <c r="A535" s="10">
        <v>1031802160</v>
      </c>
      <c r="B535" s="2">
        <v>46036.333515740742</v>
      </c>
      <c r="C535" s="3" t="str">
        <f>IFERROR(VLOOKUP(A535,'Base Prueba'!A:C,3,),"NO REGISTRA")</f>
        <v>LUISA MARIA MAHECHA SOTOMAYOR</v>
      </c>
      <c r="D535" s="4" t="str">
        <f>IFERROR(VLOOKUP(A535,'Base Prueba'!A:D,4,),"NO REGISTRA")</f>
        <v>APRENDIZ UNIVERSITARIO</v>
      </c>
      <c r="E535" s="5" t="str">
        <f>IFERROR(VLOOKUP(A535,'Base Prueba'!A:E,5,),"NO REGISTRA")</f>
        <v>OFICINA DE MERCADEO</v>
      </c>
    </row>
    <row r="536" spans="1:5" ht="15.75" x14ac:dyDescent="0.25">
      <c r="A536" s="10">
        <v>1026599257</v>
      </c>
      <c r="B536" s="2">
        <v>46036.338821759258</v>
      </c>
      <c r="C536" s="3" t="str">
        <f>IFERROR(VLOOKUP(A536,'Base Prueba'!A:C,3,),"NO REGISTRA")</f>
        <v>YESENIA PAOLA PINEDA HURTADO</v>
      </c>
      <c r="D536" s="4" t="str">
        <f>IFERROR(VLOOKUP(A536,'Base Prueba'!A:D,4,),"NO REGISTRA")</f>
        <v>LIDER DE COMPRAS</v>
      </c>
      <c r="E536" s="5" t="str">
        <f>IFERROR(VLOOKUP(A536,'Base Prueba'!A:E,5,),"NO REGISTRA")</f>
        <v>AREA ADMINISTRATIVA</v>
      </c>
    </row>
    <row r="537" spans="1:5" ht="15.75" x14ac:dyDescent="0.25">
      <c r="A537" s="10">
        <v>80238161</v>
      </c>
      <c r="B537" s="2">
        <v>46036.339233333332</v>
      </c>
      <c r="C537" s="3" t="str">
        <f>IFERROR(VLOOKUP(A537,'Base Prueba'!A:C,3,),"NO REGISTRA")</f>
        <v>GERMAN CARRANZA ESPITIA</v>
      </c>
      <c r="D537" s="4" t="str">
        <f>IFERROR(VLOOKUP(A537,'Base Prueba'!A:D,4,),"NO REGISTRA")</f>
        <v>TESORERO</v>
      </c>
      <c r="E537" s="5" t="str">
        <f>IFERROR(VLOOKUP(A537,'Base Prueba'!A:E,5,),"NO REGISTRA")</f>
        <v>AREA FINANCIERA Y CONTABLE</v>
      </c>
    </row>
    <row r="538" spans="1:5" ht="15.75" x14ac:dyDescent="0.25">
      <c r="A538" s="10">
        <v>1000687931</v>
      </c>
      <c r="B538" s="2">
        <v>46036.339490740742</v>
      </c>
      <c r="C538" s="3" t="str">
        <f>IFERROR(VLOOKUP(A538,'Base Prueba'!A:C,3,),"NO REGISTRA")</f>
        <v>ANDRES FELIPE PUENTES TORRES</v>
      </c>
      <c r="D538" s="4" t="str">
        <f>IFERROR(VLOOKUP(A538,'Base Prueba'!A:D,4,),"NO REGISTRA")</f>
        <v>AUXILIAR ADMINISTRATIVO</v>
      </c>
      <c r="E538" s="5" t="str">
        <f>IFERROR(VLOOKUP(A538,'Base Prueba'!A:E,5,),"NO REGISTRA")</f>
        <v>REGISTRO Y CONTROL ACADEMICO</v>
      </c>
    </row>
    <row r="539" spans="1:5" ht="15.75" x14ac:dyDescent="0.25">
      <c r="A539" s="10">
        <v>1000604979</v>
      </c>
      <c r="B539" s="2">
        <v>46036.340111226855</v>
      </c>
      <c r="C539" s="3" t="str">
        <f>IFERROR(VLOOKUP(A539,'Base Prueba'!A:C,3,),"NO REGISTRA")</f>
        <v>JULIETH TATIANA PARDO PINTO</v>
      </c>
      <c r="D539" s="4" t="str">
        <f>IFERROR(VLOOKUP(A539,'Base Prueba'!A:D,4,),"NO REGISTRA")</f>
        <v>AUXILIAR JURIDICO</v>
      </c>
      <c r="E539" s="5" t="str">
        <f>IFERROR(VLOOKUP(A539,'Base Prueba'!A:E,5,),"NO REGISTRA")</f>
        <v>SECRETARIA GENERAL</v>
      </c>
    </row>
    <row r="540" spans="1:5" ht="15.75" x14ac:dyDescent="0.25">
      <c r="A540" s="10">
        <v>1013098645</v>
      </c>
      <c r="B540" s="2">
        <v>46036.343246180557</v>
      </c>
      <c r="C540" s="3" t="str">
        <f>IFERROR(VLOOKUP(A540,'Base Prueba'!A:C,3,),"NO REGISTRA")</f>
        <v>CATHERINE LUCIA PENAGOS RIVERA</v>
      </c>
      <c r="D540" s="4" t="str">
        <f>IFERROR(VLOOKUP(A540,'Base Prueba'!A:D,4,),"NO REGISTRA")</f>
        <v>LIDER DE REGISTRO Y CONTROL ACADEMICO</v>
      </c>
      <c r="E540" s="5" t="str">
        <f>IFERROR(VLOOKUP(A540,'Base Prueba'!A:E,5,),"NO REGISTRA")</f>
        <v>REGISTRO Y CONTROL ACADEMICO</v>
      </c>
    </row>
    <row r="541" spans="1:5" ht="15.75" x14ac:dyDescent="0.25">
      <c r="A541" s="10">
        <v>1024505434</v>
      </c>
      <c r="B541" s="2">
        <v>46036.343349768518</v>
      </c>
      <c r="C541" s="3" t="str">
        <f>IFERROR(VLOOKUP(A541,'Base Prueba'!A:C,3,),"NO REGISTRA")</f>
        <v>CRISTIAN ALBERTO MELO TORRES</v>
      </c>
      <c r="D541" s="4" t="str">
        <f>IFERROR(VLOOKUP(A541,'Base Prueba'!A:D,4,),"NO REGISTRA")</f>
        <v>COORDINADOR DE INFRAESTRUCTURA</v>
      </c>
      <c r="E541" s="5" t="str">
        <f>IFERROR(VLOOKUP(A541,'Base Prueba'!A:E,5,),"NO REGISTRA")</f>
        <v>VICERRECTORIA ADMINISTRATIVA Y FINANCIERA</v>
      </c>
    </row>
    <row r="542" spans="1:5" ht="15.75" x14ac:dyDescent="0.25">
      <c r="A542" s="10" t="s">
        <v>3656</v>
      </c>
      <c r="B542" s="2">
        <v>46036.343353009259</v>
      </c>
      <c r="C542" s="3" t="str">
        <f>IFERROR(VLOOKUP(A542,'Base Prueba'!A:C,3,),"NO REGISTRA")</f>
        <v>NO REGISTRA</v>
      </c>
      <c r="D542" s="4" t="str">
        <f>IFERROR(VLOOKUP(A542,'Base Prueba'!A:D,4,),"NO REGISTRA")</f>
        <v>NO REGISTRA</v>
      </c>
      <c r="E542" s="5" t="str">
        <f>IFERROR(VLOOKUP(A542,'Base Prueba'!A:E,5,),"NO REGISTRA")</f>
        <v>NO REGISTRA</v>
      </c>
    </row>
    <row r="543" spans="1:5" ht="15.75" x14ac:dyDescent="0.25">
      <c r="A543" s="10">
        <v>1000457706</v>
      </c>
      <c r="B543" s="2">
        <v>46036.345496064816</v>
      </c>
      <c r="C543" s="3" t="str">
        <f>IFERROR(VLOOKUP(A543,'Base Prueba'!A:C,3,),"NO REGISTRA")</f>
        <v>CRISTIAN DANILO ARROYO SANABRIA</v>
      </c>
      <c r="D543" s="4" t="str">
        <f>IFERROR(VLOOKUP(A543,'Base Prueba'!A:D,4,),"NO REGISTRA")</f>
        <v>AUXILIAR CONTABLE</v>
      </c>
      <c r="E543" s="5" t="str">
        <f>IFERROR(VLOOKUP(A543,'Base Prueba'!A:E,5,),"NO REGISTRA")</f>
        <v>AREA FINANCIERA Y CONTABLE</v>
      </c>
    </row>
    <row r="544" spans="1:5" ht="15.75" x14ac:dyDescent="0.25">
      <c r="A544" s="10">
        <v>53932358</v>
      </c>
      <c r="B544" s="2">
        <v>46036.345823379626</v>
      </c>
      <c r="C544" s="3" t="str">
        <f>IFERROR(VLOOKUP(A544,'Base Prueba'!A:C,3,),"NO REGISTRA")</f>
        <v>DIANA MADELEYNE GAONA RODRIGUEZ</v>
      </c>
      <c r="D544" s="4" t="str">
        <f>IFERROR(VLOOKUP(A544,'Base Prueba'!A:D,4,),"NO REGISTRA")</f>
        <v>CONTADOR</v>
      </c>
      <c r="E544" s="5" t="str">
        <f>IFERROR(VLOOKUP(A544,'Base Prueba'!A:E,5,),"NO REGISTRA")</f>
        <v>AREA FINANCIERA Y CONTABLE</v>
      </c>
    </row>
    <row r="545" spans="1:5" ht="15.75" x14ac:dyDescent="0.25">
      <c r="A545" s="10">
        <v>1000593372</v>
      </c>
      <c r="B545" s="2">
        <v>46036.347117476849</v>
      </c>
      <c r="C545" s="3" t="str">
        <f>IFERROR(VLOOKUP(A545,'Base Prueba'!A:C,3,),"NO REGISTRA")</f>
        <v>LAURA SOFIA CHAPARRO LOPEZ</v>
      </c>
      <c r="D545" s="4" t="str">
        <f>IFERROR(VLOOKUP(A545,'Base Prueba'!A:D,4,),"NO REGISTRA")</f>
        <v>AUXILIAR JURIDICO</v>
      </c>
      <c r="E545" s="5" t="str">
        <f>IFERROR(VLOOKUP(A545,'Base Prueba'!A:E,5,),"NO REGISTRA")</f>
        <v>SECRETARIA GENERAL</v>
      </c>
    </row>
    <row r="546" spans="1:5" ht="15.75" x14ac:dyDescent="0.25">
      <c r="A546" s="10">
        <v>1014977624</v>
      </c>
      <c r="B546" s="2">
        <v>46036.353368055556</v>
      </c>
      <c r="C546" s="3" t="str">
        <f>IFERROR(VLOOKUP(A546,'Base Prueba'!A:C,3,),"NO REGISTRA")</f>
        <v>NICCOLE VALENTINA HERNANDEZ MALAVER</v>
      </c>
      <c r="D546" s="4" t="str">
        <f>IFERROR(VLOOKUP(A546,'Base Prueba'!A:D,4,),"NO REGISTRA")</f>
        <v>APRENDIZ UNIVERSITARIO</v>
      </c>
      <c r="E546" s="5" t="str">
        <f>IFERROR(VLOOKUP(A546,'Base Prueba'!A:E,5,),"NO REGISTRA")</f>
        <v>AREA FINANCIERA Y CONTABLE</v>
      </c>
    </row>
    <row r="547" spans="1:5" ht="15.75" x14ac:dyDescent="0.25">
      <c r="A547" s="10">
        <v>1033709056</v>
      </c>
      <c r="B547" s="2">
        <v>46036.360550115744</v>
      </c>
      <c r="C547" s="3" t="str">
        <f>IFERROR(VLOOKUP(A547,'Base Prueba'!A:C,3,),"NO REGISTRA")</f>
        <v>YEIMY ALEXANDRA RODRIGUEZ PALACIO</v>
      </c>
      <c r="D547" s="4" t="str">
        <f>IFERROR(VLOOKUP(A547,'Base Prueba'!A:D,4,),"NO REGISTRA")</f>
        <v>PROMOTOR CALL CENTER</v>
      </c>
      <c r="E547" s="5" t="str">
        <f>IFERROR(VLOOKUP(A547,'Base Prueba'!A:E,5,),"NO REGISTRA")</f>
        <v>OFICINA DE MERCADEO</v>
      </c>
    </row>
    <row r="548" spans="1:5" ht="15.75" x14ac:dyDescent="0.25">
      <c r="A548" s="10">
        <v>1018413529</v>
      </c>
      <c r="B548" s="2">
        <v>46036.362339004627</v>
      </c>
      <c r="C548" s="3" t="str">
        <f>IFERROR(VLOOKUP(A548,'Base Prueba'!A:C,3,),"NO REGISTRA")</f>
        <v>FRANCY STELLA CHARRY MORENO</v>
      </c>
      <c r="D548" s="4" t="str">
        <f>IFERROR(VLOOKUP(A548,'Base Prueba'!A:D,4,),"NO REGISTRA")</f>
        <v>PROMOTOR COMERCIAL DEL CEA</v>
      </c>
      <c r="E548" s="5" t="str">
        <f>IFERROR(VLOOKUP(A548,'Base Prueba'!A:E,5,),"NO REGISTRA")</f>
        <v>OFICINA DE MERCADEO</v>
      </c>
    </row>
    <row r="549" spans="1:5" ht="15.75" x14ac:dyDescent="0.25">
      <c r="A549" s="10">
        <v>80234243</v>
      </c>
      <c r="B549" s="2">
        <v>46036.363975</v>
      </c>
      <c r="C549" s="3" t="str">
        <f>IFERROR(VLOOKUP(A549,'Base Prueba'!A:C,3,),"NO REGISTRA")</f>
        <v>ARGENIS MARTINEZ MARTINEZ</v>
      </c>
      <c r="D549" s="4" t="str">
        <f>IFERROR(VLOOKUP(A549,'Base Prueba'!A:D,4,),"NO REGISTRA")</f>
        <v>LIDER CALL CENTER</v>
      </c>
      <c r="E549" s="5" t="str">
        <f>IFERROR(VLOOKUP(A549,'Base Prueba'!A:E,5,),"NO REGISTRA")</f>
        <v>OFICINA DE MERCADEO</v>
      </c>
    </row>
    <row r="550" spans="1:5" ht="15.75" x14ac:dyDescent="0.25">
      <c r="A550" s="10">
        <v>1032407386</v>
      </c>
      <c r="B550" s="2">
        <v>46036.367396412039</v>
      </c>
      <c r="C550" s="3" t="str">
        <f>IFERROR(VLOOKUP(A550,'Base Prueba'!A:C,3,),"NO REGISTRA")</f>
        <v>GINA PAOLA BAEZ GALVIS</v>
      </c>
      <c r="D550" s="4" t="str">
        <f>IFERROR(VLOOKUP(A550,'Base Prueba'!A:D,4,),"NO REGISTRA")</f>
        <v>PROMOTOR CALL CENTER</v>
      </c>
      <c r="E550" s="5" t="str">
        <f>IFERROR(VLOOKUP(A550,'Base Prueba'!A:E,5,),"NO REGISTRA")</f>
        <v>OFICINA DE MERCADEO</v>
      </c>
    </row>
    <row r="551" spans="1:5" ht="15.75" x14ac:dyDescent="0.25">
      <c r="A551" s="10">
        <v>52472386</v>
      </c>
      <c r="B551" s="2">
        <v>46036.370781018515</v>
      </c>
      <c r="C551" s="3" t="str">
        <f>IFERROR(VLOOKUP(A551,'Base Prueba'!A:C,3,),"NO REGISTRA")</f>
        <v>ADRIANA MARCELA MORALES PARDO</v>
      </c>
      <c r="D551" s="4" t="str">
        <f>IFERROR(VLOOKUP(A551,'Base Prueba'!A:D,4,),"NO REGISTRA")</f>
        <v>PROMOTOR CALL CENTER</v>
      </c>
      <c r="E551" s="5" t="str">
        <f>IFERROR(VLOOKUP(A551,'Base Prueba'!A:E,5,),"NO REGISTRA")</f>
        <v>OFICINA DE MERCADEO</v>
      </c>
    </row>
    <row r="552" spans="1:5" ht="15.75" x14ac:dyDescent="0.25">
      <c r="A552" s="10">
        <v>1000046533</v>
      </c>
      <c r="B552" s="2">
        <v>46036.37135671296</v>
      </c>
      <c r="C552" s="3" t="str">
        <f>IFERROR(VLOOKUP(A552,'Base Prueba'!A:C,3,),"NO REGISTRA")</f>
        <v>ERIKA JULIETH VALDERRAMA SANCHEZ</v>
      </c>
      <c r="D552" s="4" t="str">
        <f>IFERROR(VLOOKUP(A552,'Base Prueba'!A:D,4,),"NO REGISTRA")</f>
        <v>PROMOTOR CALL CENTER</v>
      </c>
      <c r="E552" s="5" t="str">
        <f>IFERROR(VLOOKUP(A552,'Base Prueba'!A:E,5,),"NO REGISTRA")</f>
        <v>OFICINA DE MERCADEO</v>
      </c>
    </row>
    <row r="553" spans="1:5" ht="15.75" x14ac:dyDescent="0.25">
      <c r="A553" s="10">
        <v>1003690253</v>
      </c>
      <c r="B553" s="2">
        <v>46036.372025231482</v>
      </c>
      <c r="C553" s="3" t="str">
        <f>IFERROR(VLOOKUP(A553,'Base Prueba'!A:C,3,),"NO REGISTRA")</f>
        <v>MELISSA GONZALEZ PEDRAZA</v>
      </c>
      <c r="D553" s="4" t="str">
        <f>IFERROR(VLOOKUP(A553,'Base Prueba'!A:D,4,),"NO REGISTRA")</f>
        <v>LIDER DE JOVENES A LA E</v>
      </c>
      <c r="E553" s="5" t="str">
        <f>IFERROR(VLOOKUP(A553,'Base Prueba'!A:E,5,),"NO REGISTRA")</f>
        <v>DIRECCION DE BIENESTAR INSTITUCIONAL</v>
      </c>
    </row>
    <row r="554" spans="1:5" ht="15.75" x14ac:dyDescent="0.25">
      <c r="A554" s="10">
        <v>1023961952</v>
      </c>
      <c r="B554" s="2">
        <v>46036.373736226851</v>
      </c>
      <c r="C554" s="3" t="str">
        <f>IFERROR(VLOOKUP(A554,'Base Prueba'!A:C,3,),"NO REGISTRA")</f>
        <v>ALEJANDRO PINZON MERCHAN</v>
      </c>
      <c r="D554" s="4" t="str">
        <f>IFERROR(VLOOKUP(A554,'Base Prueba'!A:D,4,),"NO REGISTRA")</f>
        <v>PROMOTOR CALL CENTER</v>
      </c>
      <c r="E554" s="5" t="str">
        <f>IFERROR(VLOOKUP(A554,'Base Prueba'!A:E,5,),"NO REGISTRA")</f>
        <v>OFICINA DE MERCADEO</v>
      </c>
    </row>
    <row r="555" spans="1:5" ht="15.75" x14ac:dyDescent="0.25">
      <c r="A555" s="10">
        <v>28798349</v>
      </c>
      <c r="B555" s="2">
        <v>46036.374761805557</v>
      </c>
      <c r="C555" s="3" t="str">
        <f>IFERROR(VLOOKUP(A555,'Base Prueba'!A:C,3,),"NO REGISTRA")</f>
        <v>MARTHA ISABEL TOVAR WILLIAMS</v>
      </c>
      <c r="D555" s="4" t="str">
        <f>IFERROR(VLOOKUP(A555,'Base Prueba'!A:D,4,),"NO REGISTRA")</f>
        <v>PROMOTOR CALL CENTER</v>
      </c>
      <c r="E555" s="5" t="str">
        <f>IFERROR(VLOOKUP(A555,'Base Prueba'!A:E,5,),"NO REGISTRA")</f>
        <v>OFICINA DE MERCADEO</v>
      </c>
    </row>
    <row r="556" spans="1:5" ht="15.75" x14ac:dyDescent="0.25">
      <c r="A556" s="10">
        <v>53089882</v>
      </c>
      <c r="B556" s="2">
        <v>46036.376328240738</v>
      </c>
      <c r="C556" s="3" t="str">
        <f>IFERROR(VLOOKUP(A556,'Base Prueba'!A:C,3,),"NO REGISTRA")</f>
        <v>MARIA JOHANA ESCAMILLA MARTINEZ</v>
      </c>
      <c r="D556" s="4" t="str">
        <f>IFERROR(VLOOKUP(A556,'Base Prueba'!A:D,4,),"NO REGISTRA")</f>
        <v>PROMOTOR DE INFORMACIÓN</v>
      </c>
      <c r="E556" s="5" t="str">
        <f>IFERROR(VLOOKUP(A556,'Base Prueba'!A:E,5,),"NO REGISTRA")</f>
        <v>OFICINA DE MERCADEO</v>
      </c>
    </row>
    <row r="557" spans="1:5" ht="15.75" x14ac:dyDescent="0.25">
      <c r="A557" s="10">
        <v>1014196857</v>
      </c>
      <c r="B557" s="2">
        <v>46036.376582060184</v>
      </c>
      <c r="C557" s="3" t="str">
        <f>IFERROR(VLOOKUP(A557,'Base Prueba'!A:C,3,),"NO REGISTRA")</f>
        <v>CARLOS ANDRES JIMENEZ PARDO</v>
      </c>
      <c r="D557" s="4" t="str">
        <f>IFERROR(VLOOKUP(A557,'Base Prueba'!A:D,4,),"NO REGISTRA")</f>
        <v>COORDINADOR DE MARKETING DIGITAL</v>
      </c>
      <c r="E557" s="5" t="str">
        <f>IFERROR(VLOOKUP(A557,'Base Prueba'!A:E,5,),"NO REGISTRA")</f>
        <v>OFICINA DE MERCADEO</v>
      </c>
    </row>
    <row r="558" spans="1:5" ht="15.75" x14ac:dyDescent="0.25">
      <c r="A558" s="10">
        <v>1018414290</v>
      </c>
      <c r="B558" s="2">
        <v>46036.379030787037</v>
      </c>
      <c r="C558" s="3" t="str">
        <f>IFERROR(VLOOKUP(A558,'Base Prueba'!A:C,3,),"NO REGISTRA")</f>
        <v>AMANDA LISBETH RODRIGUEZ LEON</v>
      </c>
      <c r="D558" s="4" t="str">
        <f>IFERROR(VLOOKUP(A558,'Base Prueba'!A:D,4,),"NO REGISTRA")</f>
        <v>PROMOTOR CALL CENTER</v>
      </c>
      <c r="E558" s="5" t="str">
        <f>IFERROR(VLOOKUP(A558,'Base Prueba'!A:E,5,),"NO REGISTRA")</f>
        <v>OFICINA DE MERCADEO</v>
      </c>
    </row>
    <row r="559" spans="1:5" ht="15.75" x14ac:dyDescent="0.25">
      <c r="A559" s="10">
        <v>1000254831</v>
      </c>
      <c r="B559" s="2">
        <v>46036.379800115741</v>
      </c>
      <c r="C559" s="3" t="str">
        <f>IFERROR(VLOOKUP(A559,'Base Prueba'!A:C,3,),"NO REGISTRA")</f>
        <v>BRIDGET ROSSANA DIAZ BOGOTA</v>
      </c>
      <c r="D559" s="4" t="str">
        <f>IFERROR(VLOOKUP(A559,'Base Prueba'!A:D,4,),"NO REGISTRA")</f>
        <v>AUXILIAR DE DISEÑO</v>
      </c>
      <c r="E559" s="5" t="str">
        <f>IFERROR(VLOOKUP(A559,'Base Prueba'!A:E,5,),"NO REGISTRA")</f>
        <v>OFICINA DE MERCADEO</v>
      </c>
    </row>
    <row r="560" spans="1:5" ht="15.75" x14ac:dyDescent="0.25">
      <c r="A560" s="10">
        <v>1019105003</v>
      </c>
      <c r="B560" s="2">
        <v>46036.383774074071</v>
      </c>
      <c r="C560" s="3" t="str">
        <f>IFERROR(VLOOKUP(A560,'Base Prueba'!A:C,3,),"NO REGISTRA")</f>
        <v>DAISY JULIETH GASPAR MORENO</v>
      </c>
      <c r="D560" s="4" t="str">
        <f>IFERROR(VLOOKUP(A560,'Base Prueba'!A:D,4,),"NO REGISTRA")</f>
        <v>PROMOTOR CALL CENTER</v>
      </c>
      <c r="E560" s="5" t="str">
        <f>IFERROR(VLOOKUP(A560,'Base Prueba'!A:E,5,),"NO REGISTRA")</f>
        <v>OFICINA DE MERCADEO</v>
      </c>
    </row>
    <row r="561" spans="1:5" ht="15.75" x14ac:dyDescent="0.25">
      <c r="A561" s="10">
        <v>52764929</v>
      </c>
      <c r="B561" s="2">
        <v>46036.391864120371</v>
      </c>
      <c r="C561" s="3" t="str">
        <f>IFERROR(VLOOKUP(A561,'Base Prueba'!A:C,3,),"NO REGISTRA")</f>
        <v>GUERLY YOHANA DURAN RIVERA</v>
      </c>
      <c r="D561" s="4" t="str">
        <f>IFERROR(VLOOKUP(A561,'Base Prueba'!A:D,4,),"NO REGISTRA")</f>
        <v>LIDER DE VINCULACION COLEGIOS</v>
      </c>
      <c r="E561" s="5" t="str">
        <f>IFERROR(VLOOKUP(A561,'Base Prueba'!A:E,5,),"NO REGISTRA")</f>
        <v>OFICINA DE MERCADEO</v>
      </c>
    </row>
    <row r="562" spans="1:5" ht="15.75" x14ac:dyDescent="0.25">
      <c r="A562" s="10">
        <v>52443092</v>
      </c>
      <c r="B562" s="2">
        <v>46036.541783217595</v>
      </c>
      <c r="C562" s="3" t="str">
        <f>IFERROR(VLOOKUP(A562,'Base Prueba'!A:C,3,),"NO REGISTRA")</f>
        <v>LUZ MYRIAM SAAVEDRA CONTRERAS</v>
      </c>
      <c r="D562" s="4" t="str">
        <f>IFERROR(VLOOKUP(A562,'Base Prueba'!A:D,4,),"NO REGISTRA")</f>
        <v>AUXILIAR DE SERVICIOS</v>
      </c>
      <c r="E562" s="5" t="str">
        <f>IFERROR(VLOOKUP(A562,'Base Prueba'!A:E,5,),"NO REGISTRA")</f>
        <v>LOGISTICA Y SERVICIOS GENERALES</v>
      </c>
    </row>
    <row r="563" spans="1:5" ht="15.75" x14ac:dyDescent="0.25">
      <c r="A563" s="10">
        <v>1031802160</v>
      </c>
      <c r="B563" s="2">
        <v>46036.706432060186</v>
      </c>
      <c r="C563" s="3" t="str">
        <f>IFERROR(VLOOKUP(A563,'Base Prueba'!A:C,3,),"NO REGISTRA")</f>
        <v>LUISA MARIA MAHECHA SOTOMAYOR</v>
      </c>
      <c r="D563" s="4" t="str">
        <f>IFERROR(VLOOKUP(A563,'Base Prueba'!A:D,4,),"NO REGISTRA")</f>
        <v>APRENDIZ UNIVERSITARIO</v>
      </c>
      <c r="E563" s="5" t="str">
        <f>IFERROR(VLOOKUP(A563,'Base Prueba'!A:E,5,),"NO REGISTRA")</f>
        <v>OFICINA DE MERCADEO</v>
      </c>
    </row>
    <row r="564" spans="1:5" ht="15.75" x14ac:dyDescent="0.25">
      <c r="A564" s="10">
        <v>1024505434</v>
      </c>
      <c r="B564" s="2">
        <v>46036.709211226851</v>
      </c>
      <c r="C564" s="3" t="str">
        <f>IFERROR(VLOOKUP(A564,'Base Prueba'!A:C,3,),"NO REGISTRA")</f>
        <v>CRISTIAN ALBERTO MELO TORRES</v>
      </c>
      <c r="D564" s="4" t="str">
        <f>IFERROR(VLOOKUP(A564,'Base Prueba'!A:D,4,),"NO REGISTRA")</f>
        <v>COORDINADOR DE INFRAESTRUCTURA</v>
      </c>
      <c r="E564" s="5" t="str">
        <f>IFERROR(VLOOKUP(A564,'Base Prueba'!A:E,5,),"NO REGISTRA")</f>
        <v>VICERRECTORIA ADMINISTRATIVA Y FINANCIERA</v>
      </c>
    </row>
    <row r="565" spans="1:5" ht="15.75" x14ac:dyDescent="0.25">
      <c r="A565" s="10">
        <v>1087121273</v>
      </c>
      <c r="B565" s="2">
        <v>46036.715486226851</v>
      </c>
      <c r="C565" s="3" t="str">
        <f>IFERROR(VLOOKUP(A565,'Base Prueba'!A:C,3,),"NO REGISTRA")</f>
        <v>MAYRA ALEJANDRA CASTILLO ARBOLEDA</v>
      </c>
      <c r="D565" s="4" t="str">
        <f>IFERROR(VLOOKUP(A565,'Base Prueba'!A:D,4,),"NO REGISTRA")</f>
        <v>APOYO INTEGRAL DE MERCADEO</v>
      </c>
      <c r="E565" s="5" t="str">
        <f>IFERROR(VLOOKUP(A565,'Base Prueba'!A:E,5,),"NO REGISTRA")</f>
        <v>CENTRO DE GESTION DOCUMENTAL</v>
      </c>
    </row>
    <row r="566" spans="1:5" ht="15.75" x14ac:dyDescent="0.25">
      <c r="A566" s="10">
        <v>1000046533</v>
      </c>
      <c r="B566" s="2">
        <v>46036.750167939812</v>
      </c>
      <c r="C566" s="3" t="str">
        <f>IFERROR(VLOOKUP(A566,'Base Prueba'!A:C,3,),"NO REGISTRA")</f>
        <v>ERIKA JULIETH VALDERRAMA SANCHEZ</v>
      </c>
      <c r="D566" s="4" t="str">
        <f>IFERROR(VLOOKUP(A566,'Base Prueba'!A:D,4,),"NO REGISTRA")</f>
        <v>PROMOTOR CALL CENTER</v>
      </c>
      <c r="E566" s="5" t="str">
        <f>IFERROR(VLOOKUP(A566,'Base Prueba'!A:E,5,),"NO REGISTRA")</f>
        <v>OFICINA DE MERCADEO</v>
      </c>
    </row>
    <row r="567" spans="1:5" ht="15.75" x14ac:dyDescent="0.25">
      <c r="A567" s="10">
        <v>1030567635</v>
      </c>
      <c r="B567" s="2">
        <v>46036.751176388891</v>
      </c>
      <c r="C567" s="3" t="str">
        <f>IFERROR(VLOOKUP(A567,'Base Prueba'!A:C,3,),"NO REGISTRA")</f>
        <v>JEFFERSON ANDRES BARRETO DIAZ</v>
      </c>
      <c r="D567" s="4" t="str">
        <f>IFERROR(VLOOKUP(A567,'Base Prueba'!A:D,4,),"NO REGISTRA")</f>
        <v>AUXILIAR DE ARCHIVO</v>
      </c>
      <c r="E567" s="5" t="str">
        <f>IFERROR(VLOOKUP(A567,'Base Prueba'!A:E,5,),"NO REGISTRA")</f>
        <v>CENTRO DE GESTION DOCUMENTAL</v>
      </c>
    </row>
    <row r="568" spans="1:5" ht="15.75" x14ac:dyDescent="0.25">
      <c r="A568" s="10">
        <v>1000467399</v>
      </c>
      <c r="B568" s="2">
        <v>46036.751255208335</v>
      </c>
      <c r="C568" s="3" t="str">
        <f>IFERROR(VLOOKUP(A568,'Base Prueba'!A:C,3,),"NO REGISTRA")</f>
        <v>BRANDO ESTIVEN DIAZ QUIMBAYA</v>
      </c>
      <c r="D568" s="4" t="str">
        <f>IFERROR(VLOOKUP(A568,'Base Prueba'!A:D,4,),"NO REGISTRA")</f>
        <v>APRENDIZ UNIVERSITARIO</v>
      </c>
      <c r="E568" s="5" t="str">
        <f>IFERROR(VLOOKUP(A568,'Base Prueba'!A:E,5,),"NO REGISTRA")</f>
        <v>DEPARTAMENTO DE GESTION HUMANA</v>
      </c>
    </row>
    <row r="569" spans="1:5" ht="15.75" x14ac:dyDescent="0.25">
      <c r="A569" s="10">
        <v>1193457976</v>
      </c>
      <c r="B569" s="2">
        <v>46036.751365856479</v>
      </c>
      <c r="C569" s="3" t="str">
        <f>IFERROR(VLOOKUP(A569,'Base Prueba'!A:C,3,),"NO REGISTRA")</f>
        <v>SEDENIS RIVAS ASPRILLA</v>
      </c>
      <c r="D569" s="4" t="str">
        <f>IFERROR(VLOOKUP(A569,'Base Prueba'!A:D,4,),"NO REGISTRA")</f>
        <v>APRENDIZ UNIVERSITARIO</v>
      </c>
      <c r="E569" s="5" t="str">
        <f>IFERROR(VLOOKUP(A569,'Base Prueba'!A:E,5,),"NO REGISTRA")</f>
        <v>DEPARTAMENTO DE GESTION HUMANA</v>
      </c>
    </row>
    <row r="570" spans="1:5" ht="15.75" x14ac:dyDescent="0.25">
      <c r="A570" s="10">
        <v>1032469638</v>
      </c>
      <c r="B570" s="2">
        <v>46036.752954050928</v>
      </c>
      <c r="C570" s="3" t="str">
        <f>IFERROR(VLOOKUP(A570,'Base Prueba'!A:C,3,),"NO REGISTRA")</f>
        <v>MAICOL JARBEY GUALTEROS CASTAÑEDA</v>
      </c>
      <c r="D570" s="4" t="str">
        <f>IFERROR(VLOOKUP(A570,'Base Prueba'!A:D,4,),"NO REGISTRA")</f>
        <v>COORDINADOR DEL SISTEMA INTERNO DE ASEGURAMIENTO DE LA CALIDAD - SIAC</v>
      </c>
      <c r="E570" s="5" t="str">
        <f>IFERROR(VLOOKUP(A570,'Base Prueba'!A:E,5,),"NO REGISTRA")</f>
        <v>OFICINA DE PLANEACION Y GESTION DE LA CALIDAD</v>
      </c>
    </row>
    <row r="571" spans="1:5" ht="15.75" x14ac:dyDescent="0.25">
      <c r="A571" s="10">
        <v>1022996882</v>
      </c>
      <c r="B571" s="2">
        <v>46036.752995486109</v>
      </c>
      <c r="C571" s="3" t="str">
        <f>IFERROR(VLOOKUP(A571,'Base Prueba'!A:C,3,),"NO REGISTRA")</f>
        <v>NANCY BRIGITH ALDANA GUEVARA</v>
      </c>
      <c r="D571" s="4" t="str">
        <f>IFERROR(VLOOKUP(A571,'Base Prueba'!A:D,4,),"NO REGISTRA")</f>
        <v>COORDINADORA DE GESTIÓN HUMANA</v>
      </c>
      <c r="E571" s="5" t="str">
        <f>IFERROR(VLOOKUP(A571,'Base Prueba'!A:E,5,),"NO REGISTRA")</f>
        <v>DEPARTAMENTO DE GESTION HUMANA</v>
      </c>
    </row>
    <row r="572" spans="1:5" ht="15.75" x14ac:dyDescent="0.25">
      <c r="A572" s="10">
        <v>1014266838</v>
      </c>
      <c r="B572" s="2">
        <v>46036.754195486108</v>
      </c>
      <c r="C572" s="3" t="str">
        <f>IFERROR(VLOOKUP(A572,'Base Prueba'!A:C,3,),"NO REGISTRA")</f>
        <v>JENNIFER ASTRID ROMERO HURTADO</v>
      </c>
      <c r="D572" s="4" t="str">
        <f>IFERROR(VLOOKUP(A572,'Base Prueba'!A:D,4,),"NO REGISTRA")</f>
        <v>LIDER DE RECAUDO</v>
      </c>
      <c r="E572" s="5" t="str">
        <f>IFERROR(VLOOKUP(A572,'Base Prueba'!A:E,5,),"NO REGISTRA")</f>
        <v>AREA FINANCIERA Y CONTABLE</v>
      </c>
    </row>
    <row r="573" spans="1:5" ht="15.75" x14ac:dyDescent="0.25">
      <c r="A573" s="10">
        <v>1049644802</v>
      </c>
      <c r="B573" s="2">
        <v>46036.754954745367</v>
      </c>
      <c r="C573" s="3" t="str">
        <f>IFERROR(VLOOKUP(A573,'Base Prueba'!A:C,3,),"NO REGISTRA")</f>
        <v>DANIELA ALEXANDRA CIPAMOCHA BOSIGA</v>
      </c>
      <c r="D573" s="4" t="str">
        <f>IFERROR(VLOOKUP(A573,'Base Prueba'!A:D,4,),"NO REGISTRA")</f>
        <v>LIDER DE DATOS Y SERVICIOS</v>
      </c>
      <c r="E573" s="5" t="str">
        <f>IFERROR(VLOOKUP(A573,'Base Prueba'!A:E,5,),"NO REGISTRA")</f>
        <v>OFICINA DE PLANEACION Y GESTION DE LA CALIDAD</v>
      </c>
    </row>
    <row r="574" spans="1:5" ht="15.75" x14ac:dyDescent="0.25">
      <c r="A574" s="10">
        <v>1000687931</v>
      </c>
      <c r="B574" s="2">
        <v>46036.754996990741</v>
      </c>
      <c r="C574" s="3" t="str">
        <f>IFERROR(VLOOKUP(A574,'Base Prueba'!A:C,3,),"NO REGISTRA")</f>
        <v>ANDRES FELIPE PUENTES TORRES</v>
      </c>
      <c r="D574" s="4" t="str">
        <f>IFERROR(VLOOKUP(A574,'Base Prueba'!A:D,4,),"NO REGISTRA")</f>
        <v>AUXILIAR ADMINISTRATIVO</v>
      </c>
      <c r="E574" s="5" t="str">
        <f>IFERROR(VLOOKUP(A574,'Base Prueba'!A:E,5,),"NO REGISTRA")</f>
        <v>REGISTRO Y CONTROL ACADEMICO</v>
      </c>
    </row>
    <row r="575" spans="1:5" ht="15.75" x14ac:dyDescent="0.25">
      <c r="A575" s="10">
        <v>1000604979</v>
      </c>
      <c r="B575" s="2">
        <v>46036.764594328706</v>
      </c>
      <c r="C575" s="3" t="str">
        <f>IFERROR(VLOOKUP(A575,'Base Prueba'!A:C,3,),"NO REGISTRA")</f>
        <v>JULIETH TATIANA PARDO PINTO</v>
      </c>
      <c r="D575" s="4" t="str">
        <f>IFERROR(VLOOKUP(A575,'Base Prueba'!A:D,4,),"NO REGISTRA")</f>
        <v>AUXILIAR JURIDICO</v>
      </c>
      <c r="E575" s="5" t="str">
        <f>IFERROR(VLOOKUP(A575,'Base Prueba'!A:E,5,),"NO REGISTRA")</f>
        <v>SECRETARIA GENERAL</v>
      </c>
    </row>
    <row r="576" spans="1:5" ht="15.75" x14ac:dyDescent="0.25">
      <c r="A576" s="10">
        <v>1000593372</v>
      </c>
      <c r="B576" s="2">
        <v>46036.764803935184</v>
      </c>
      <c r="C576" s="3" t="str">
        <f>IFERROR(VLOOKUP(A576,'Base Prueba'!A:C,3,),"NO REGISTRA")</f>
        <v>LAURA SOFIA CHAPARRO LOPEZ</v>
      </c>
      <c r="D576" s="4" t="str">
        <f>IFERROR(VLOOKUP(A576,'Base Prueba'!A:D,4,),"NO REGISTRA")</f>
        <v>AUXILIAR JURIDICO</v>
      </c>
      <c r="E576" s="5" t="str">
        <f>IFERROR(VLOOKUP(A576,'Base Prueba'!A:E,5,),"NO REGISTRA")</f>
        <v>SECRETARIA GENERAL</v>
      </c>
    </row>
    <row r="577" spans="1:5" ht="15.75" x14ac:dyDescent="0.25">
      <c r="A577" s="10">
        <v>1013616244</v>
      </c>
      <c r="B577" s="2">
        <v>46036.766455092591</v>
      </c>
      <c r="C577" s="3" t="str">
        <f>IFERROR(VLOOKUP(A577,'Base Prueba'!A:C,3,),"NO REGISTRA")</f>
        <v>DIANA CAROLINA MARIN BETANCOURT</v>
      </c>
      <c r="D577" s="4" t="str">
        <f>IFERROR(VLOOKUP(A577,'Base Prueba'!A:D,4,),"NO REGISTRA")</f>
        <v>AUXILIAR ADMINISTRATIVO</v>
      </c>
      <c r="E577" s="5" t="str">
        <f>IFERROR(VLOOKUP(A577,'Base Prueba'!A:E,5,),"NO REGISTRA")</f>
        <v>REGISTRO Y CONTROL ACADEMICO</v>
      </c>
    </row>
    <row r="578" spans="1:5" ht="15.75" x14ac:dyDescent="0.25">
      <c r="A578" s="10">
        <v>1013098645</v>
      </c>
      <c r="B578" s="2">
        <v>46036.76953125</v>
      </c>
      <c r="C578" s="3" t="str">
        <f>IFERROR(VLOOKUP(A578,'Base Prueba'!A:C,3,),"NO REGISTRA")</f>
        <v>CATHERINE LUCIA PENAGOS RIVERA</v>
      </c>
      <c r="D578" s="4" t="str">
        <f>IFERROR(VLOOKUP(A578,'Base Prueba'!A:D,4,),"NO REGISTRA")</f>
        <v>LIDER DE REGISTRO Y CONTROL ACADEMICO</v>
      </c>
      <c r="E578" s="5" t="str">
        <f>IFERROR(VLOOKUP(A578,'Base Prueba'!A:E,5,),"NO REGISTRA")</f>
        <v>REGISTRO Y CONTROL ACADEMICO</v>
      </c>
    </row>
    <row r="579" spans="1:5" ht="15.75" x14ac:dyDescent="0.25">
      <c r="A579" s="10">
        <v>1014977624</v>
      </c>
      <c r="B579" s="2">
        <v>46036.770542129627</v>
      </c>
      <c r="C579" s="3" t="str">
        <f>IFERROR(VLOOKUP(A579,'Base Prueba'!A:C,3,),"NO REGISTRA")</f>
        <v>NICCOLE VALENTINA HERNANDEZ MALAVER</v>
      </c>
      <c r="D579" s="4" t="str">
        <f>IFERROR(VLOOKUP(A579,'Base Prueba'!A:D,4,),"NO REGISTRA")</f>
        <v>APRENDIZ UNIVERSITARIO</v>
      </c>
      <c r="E579" s="5" t="str">
        <f>IFERROR(VLOOKUP(A579,'Base Prueba'!A:E,5,),"NO REGISTRA")</f>
        <v>AREA FINANCIERA Y CONTABLE</v>
      </c>
    </row>
    <row r="580" spans="1:5" ht="15.75" x14ac:dyDescent="0.25">
      <c r="A580" s="10">
        <v>1026599257</v>
      </c>
      <c r="B580" s="2">
        <v>46036.770798032405</v>
      </c>
      <c r="C580" s="3" t="str">
        <f>IFERROR(VLOOKUP(A580,'Base Prueba'!A:C,3,),"NO REGISTRA")</f>
        <v>YESENIA PAOLA PINEDA HURTADO</v>
      </c>
      <c r="D580" s="4" t="str">
        <f>IFERROR(VLOOKUP(A580,'Base Prueba'!A:D,4,),"NO REGISTRA")</f>
        <v>LIDER DE COMPRAS</v>
      </c>
      <c r="E580" s="5" t="str">
        <f>IFERROR(VLOOKUP(A580,'Base Prueba'!A:E,5,),"NO REGISTRA")</f>
        <v>AREA ADMINISTRATIVA</v>
      </c>
    </row>
    <row r="581" spans="1:5" ht="15.75" x14ac:dyDescent="0.25">
      <c r="A581" s="10">
        <v>52764929</v>
      </c>
      <c r="B581" s="2">
        <v>46036.771756712966</v>
      </c>
      <c r="C581" s="3" t="str">
        <f>IFERROR(VLOOKUP(A581,'Base Prueba'!A:C,3,),"NO REGISTRA")</f>
        <v>GUERLY YOHANA DURAN RIVERA</v>
      </c>
      <c r="D581" s="4" t="str">
        <f>IFERROR(VLOOKUP(A581,'Base Prueba'!A:D,4,),"NO REGISTRA")</f>
        <v>LIDER DE VINCULACION COLEGIOS</v>
      </c>
      <c r="E581" s="5" t="str">
        <f>IFERROR(VLOOKUP(A581,'Base Prueba'!A:E,5,),"NO REGISTRA")</f>
        <v>OFICINA DE MERCADEO</v>
      </c>
    </row>
    <row r="582" spans="1:5" ht="15.75" x14ac:dyDescent="0.25">
      <c r="A582" s="10">
        <v>1000254831</v>
      </c>
      <c r="B582" s="2">
        <v>46036.775838541667</v>
      </c>
      <c r="C582" s="3" t="str">
        <f>IFERROR(VLOOKUP(A582,'Base Prueba'!A:C,3,),"NO REGISTRA")</f>
        <v>BRIDGET ROSSANA DIAZ BOGOTA</v>
      </c>
      <c r="D582" s="4" t="str">
        <f>IFERROR(VLOOKUP(A582,'Base Prueba'!A:D,4,),"NO REGISTRA")</f>
        <v>AUXILIAR DE DISEÑO</v>
      </c>
      <c r="E582" s="5" t="str">
        <f>IFERROR(VLOOKUP(A582,'Base Prueba'!A:E,5,),"NO REGISTRA")</f>
        <v>OFICINA DE MERCADEO</v>
      </c>
    </row>
    <row r="583" spans="1:5" ht="15.75" x14ac:dyDescent="0.25">
      <c r="A583" s="10">
        <v>52472386</v>
      </c>
      <c r="B583" s="2">
        <v>46036.777746296299</v>
      </c>
      <c r="C583" s="3" t="str">
        <f>IFERROR(VLOOKUP(A583,'Base Prueba'!A:C,3,),"NO REGISTRA")</f>
        <v>ADRIANA MARCELA MORALES PARDO</v>
      </c>
      <c r="D583" s="4" t="str">
        <f>IFERROR(VLOOKUP(A583,'Base Prueba'!A:D,4,),"NO REGISTRA")</f>
        <v>PROMOTOR CALL CENTER</v>
      </c>
      <c r="E583" s="5" t="str">
        <f>IFERROR(VLOOKUP(A583,'Base Prueba'!A:E,5,),"NO REGISTRA")</f>
        <v>OFICINA DE MERCADEO</v>
      </c>
    </row>
    <row r="584" spans="1:5" ht="15.75" x14ac:dyDescent="0.25">
      <c r="A584" s="10">
        <v>1018414290</v>
      </c>
      <c r="B584" s="2">
        <v>46036.777829166669</v>
      </c>
      <c r="C584" s="3" t="str">
        <f>IFERROR(VLOOKUP(A584,'Base Prueba'!A:C,3,),"NO REGISTRA")</f>
        <v>AMANDA LISBETH RODRIGUEZ LEON</v>
      </c>
      <c r="D584" s="4" t="str">
        <f>IFERROR(VLOOKUP(A584,'Base Prueba'!A:D,4,),"NO REGISTRA")</f>
        <v>PROMOTOR CALL CENTER</v>
      </c>
      <c r="E584" s="5" t="str">
        <f>IFERROR(VLOOKUP(A584,'Base Prueba'!A:E,5,),"NO REGISTRA")</f>
        <v>OFICINA DE MERCADEO</v>
      </c>
    </row>
    <row r="585" spans="1:5" ht="15.75" x14ac:dyDescent="0.25">
      <c r="A585" s="10">
        <v>1033709056</v>
      </c>
      <c r="B585" s="2">
        <v>46036.780388657404</v>
      </c>
      <c r="C585" s="3" t="str">
        <f>IFERROR(VLOOKUP(A585,'Base Prueba'!A:C,3,),"NO REGISTRA")</f>
        <v>YEIMY ALEXANDRA RODRIGUEZ PALACIO</v>
      </c>
      <c r="D585" s="4" t="str">
        <f>IFERROR(VLOOKUP(A585,'Base Prueba'!A:D,4,),"NO REGISTRA")</f>
        <v>PROMOTOR CALL CENTER</v>
      </c>
      <c r="E585" s="5" t="str">
        <f>IFERROR(VLOOKUP(A585,'Base Prueba'!A:E,5,),"NO REGISTRA")</f>
        <v>OFICINA DE MERCADEO</v>
      </c>
    </row>
    <row r="586" spans="1:5" ht="15.75" x14ac:dyDescent="0.25">
      <c r="A586" s="10">
        <v>1019105003</v>
      </c>
      <c r="B586" s="2">
        <v>46036.780674189817</v>
      </c>
      <c r="C586" s="3" t="str">
        <f>IFERROR(VLOOKUP(A586,'Base Prueba'!A:C,3,),"NO REGISTRA")</f>
        <v>DAISY JULIETH GASPAR MORENO</v>
      </c>
      <c r="D586" s="4" t="str">
        <f>IFERROR(VLOOKUP(A586,'Base Prueba'!A:D,4,),"NO REGISTRA")</f>
        <v>PROMOTOR CALL CENTER</v>
      </c>
      <c r="E586" s="5" t="str">
        <f>IFERROR(VLOOKUP(A586,'Base Prueba'!A:E,5,),"NO REGISTRA")</f>
        <v>OFICINA DE MERCADEO</v>
      </c>
    </row>
    <row r="587" spans="1:5" ht="15.75" x14ac:dyDescent="0.25">
      <c r="A587" s="10">
        <v>28798349</v>
      </c>
      <c r="B587" s="2">
        <v>46036.782243055553</v>
      </c>
      <c r="C587" s="3" t="str">
        <f>IFERROR(VLOOKUP(A587,'Base Prueba'!A:C,3,),"NO REGISTRA")</f>
        <v>MARTHA ISABEL TOVAR WILLIAMS</v>
      </c>
      <c r="D587" s="4" t="str">
        <f>IFERROR(VLOOKUP(A587,'Base Prueba'!A:D,4,),"NO REGISTRA")</f>
        <v>PROMOTOR CALL CENTER</v>
      </c>
      <c r="E587" s="5" t="str">
        <f>IFERROR(VLOOKUP(A587,'Base Prueba'!A:E,5,),"NO REGISTRA")</f>
        <v>OFICINA DE MERCADEO</v>
      </c>
    </row>
    <row r="588" spans="1:5" ht="15.75" x14ac:dyDescent="0.25">
      <c r="A588" s="10">
        <v>1023961952</v>
      </c>
      <c r="B588" s="2">
        <v>46036.782310300929</v>
      </c>
      <c r="C588" s="3" t="str">
        <f>IFERROR(VLOOKUP(A588,'Base Prueba'!A:C,3,),"NO REGISTRA")</f>
        <v>ALEJANDRO PINZON MERCHAN</v>
      </c>
      <c r="D588" s="4" t="str">
        <f>IFERROR(VLOOKUP(A588,'Base Prueba'!A:D,4,),"NO REGISTRA")</f>
        <v>PROMOTOR CALL CENTER</v>
      </c>
      <c r="E588" s="5" t="str">
        <f>IFERROR(VLOOKUP(A588,'Base Prueba'!A:E,5,),"NO REGISTRA")</f>
        <v>OFICINA DE MERCADEO</v>
      </c>
    </row>
    <row r="589" spans="1:5" ht="15.75" x14ac:dyDescent="0.25">
      <c r="A589" s="10">
        <v>1003690253</v>
      </c>
      <c r="B589" s="2">
        <v>46036.78243634259</v>
      </c>
      <c r="C589" s="3" t="str">
        <f>IFERROR(VLOOKUP(A589,'Base Prueba'!A:C,3,),"NO REGISTRA")</f>
        <v>MELISSA GONZALEZ PEDRAZA</v>
      </c>
      <c r="D589" s="4" t="str">
        <f>IFERROR(VLOOKUP(A589,'Base Prueba'!A:D,4,),"NO REGISTRA")</f>
        <v>LIDER DE JOVENES A LA E</v>
      </c>
      <c r="E589" s="5" t="str">
        <f>IFERROR(VLOOKUP(A589,'Base Prueba'!A:E,5,),"NO REGISTRA")</f>
        <v>DIRECCION DE BIENESTAR INSTITUCIONAL</v>
      </c>
    </row>
    <row r="590" spans="1:5" ht="15.75" x14ac:dyDescent="0.25">
      <c r="A590" s="10">
        <v>1032407386</v>
      </c>
      <c r="B590" s="2">
        <v>46036.782694791669</v>
      </c>
      <c r="C590" s="3" t="str">
        <f>IFERROR(VLOOKUP(A590,'Base Prueba'!A:C,3,),"NO REGISTRA")</f>
        <v>GINA PAOLA BAEZ GALVIS</v>
      </c>
      <c r="D590" s="4" t="str">
        <f>IFERROR(VLOOKUP(A590,'Base Prueba'!A:D,4,),"NO REGISTRA")</f>
        <v>PROMOTOR CALL CENTER</v>
      </c>
      <c r="E590" s="5" t="str">
        <f>IFERROR(VLOOKUP(A590,'Base Prueba'!A:E,5,),"NO REGISTRA")</f>
        <v>OFICINA DE MERCADEO</v>
      </c>
    </row>
    <row r="591" spans="1:5" ht="15.75" x14ac:dyDescent="0.25">
      <c r="A591" s="10">
        <v>1000257136</v>
      </c>
      <c r="B591" s="2">
        <v>46036.784566550923</v>
      </c>
      <c r="C591" s="3" t="str">
        <f>IFERROR(VLOOKUP(A591,'Base Prueba'!A:C,3,),"NO REGISTRA")</f>
        <v>FRANCI VALENTINA CANO PUENTES</v>
      </c>
      <c r="D591" s="4" t="str">
        <f>IFERROR(VLOOKUP(A591,'Base Prueba'!A:D,4,),"NO REGISTRA")</f>
        <v>AUXILIAR CONTABLE</v>
      </c>
      <c r="E591" s="5" t="str">
        <f>IFERROR(VLOOKUP(A591,'Base Prueba'!A:E,5,),"NO REGISTRA")</f>
        <v>AREA FINANCIERA Y CONTABLE</v>
      </c>
    </row>
    <row r="592" spans="1:5" ht="15.75" x14ac:dyDescent="0.25">
      <c r="A592" s="10">
        <v>53089882</v>
      </c>
      <c r="B592" s="2">
        <v>46036.78836875</v>
      </c>
      <c r="C592" s="3" t="str">
        <f>IFERROR(VLOOKUP(A592,'Base Prueba'!A:C,3,),"NO REGISTRA")</f>
        <v>MARIA JOHANA ESCAMILLA MARTINEZ</v>
      </c>
      <c r="D592" s="4" t="str">
        <f>IFERROR(VLOOKUP(A592,'Base Prueba'!A:D,4,),"NO REGISTRA")</f>
        <v>PROMOTOR DE INFORMACIÓN</v>
      </c>
      <c r="E592" s="5" t="str">
        <f>IFERROR(VLOOKUP(A592,'Base Prueba'!A:E,5,),"NO REGISTRA")</f>
        <v>OFICINA DE MERCADEO</v>
      </c>
    </row>
    <row r="593" spans="1:5" ht="15.75" x14ac:dyDescent="0.25">
      <c r="A593" s="10">
        <v>1018413529</v>
      </c>
      <c r="B593" s="2">
        <v>46036.78850949074</v>
      </c>
      <c r="C593" s="3" t="str">
        <f>IFERROR(VLOOKUP(A593,'Base Prueba'!A:C,3,),"NO REGISTRA")</f>
        <v>FRANCY STELLA CHARRY MORENO</v>
      </c>
      <c r="D593" s="4" t="str">
        <f>IFERROR(VLOOKUP(A593,'Base Prueba'!A:D,4,),"NO REGISTRA")</f>
        <v>PROMOTOR COMERCIAL DEL CEA</v>
      </c>
      <c r="E593" s="5" t="str">
        <f>IFERROR(VLOOKUP(A593,'Base Prueba'!A:E,5,),"NO REGISTRA")</f>
        <v>OFICINA DE MERCADEO</v>
      </c>
    </row>
    <row r="594" spans="1:5" ht="15.75" x14ac:dyDescent="0.25">
      <c r="A594" s="10">
        <v>80238161</v>
      </c>
      <c r="B594" s="2">
        <v>46036.790704166669</v>
      </c>
      <c r="C594" s="3" t="str">
        <f>IFERROR(VLOOKUP(A594,'Base Prueba'!A:C,3,),"NO REGISTRA")</f>
        <v>GERMAN CARRANZA ESPITIA</v>
      </c>
      <c r="D594" s="4" t="str">
        <f>IFERROR(VLOOKUP(A594,'Base Prueba'!A:D,4,),"NO REGISTRA")</f>
        <v>TESORERO</v>
      </c>
      <c r="E594" s="5" t="str">
        <f>IFERROR(VLOOKUP(A594,'Base Prueba'!A:E,5,),"NO REGISTRA")</f>
        <v>AREA FINANCIERA Y CONTABLE</v>
      </c>
    </row>
    <row r="595" spans="1:5" ht="15.75" x14ac:dyDescent="0.25">
      <c r="A595" s="10">
        <v>1014308296</v>
      </c>
      <c r="B595" s="2">
        <v>46036.791428703706</v>
      </c>
      <c r="C595" s="3" t="str">
        <f>IFERROR(VLOOKUP(A595,'Base Prueba'!A:C,3,),"NO REGISTRA")</f>
        <v>DARLENE YULIANA MORENO CELEITA</v>
      </c>
      <c r="D595" s="4" t="str">
        <f>IFERROR(VLOOKUP(A595,'Base Prueba'!A:D,4,),"NO REGISTRA")</f>
        <v>CAJERO PRINCIPAL</v>
      </c>
      <c r="E595" s="5" t="str">
        <f>IFERROR(VLOOKUP(A595,'Base Prueba'!A:E,5,),"NO REGISTRA")</f>
        <v>AREA FINANCIERA Y CONTABLE</v>
      </c>
    </row>
    <row r="596" spans="1:5" ht="15.75" x14ac:dyDescent="0.25">
      <c r="A596" s="10">
        <v>80234243</v>
      </c>
      <c r="B596" s="2">
        <v>46036.794003935189</v>
      </c>
      <c r="C596" s="3" t="str">
        <f>IFERROR(VLOOKUP(A596,'Base Prueba'!A:C,3,),"NO REGISTRA")</f>
        <v>ARGENIS MARTINEZ MARTINEZ</v>
      </c>
      <c r="D596" s="4" t="str">
        <f>IFERROR(VLOOKUP(A596,'Base Prueba'!A:D,4,),"NO REGISTRA")</f>
        <v>LIDER CALL CENTER</v>
      </c>
      <c r="E596" s="5" t="str">
        <f>IFERROR(VLOOKUP(A596,'Base Prueba'!A:E,5,),"NO REGISTRA")</f>
        <v>OFICINA DE MERCADEO</v>
      </c>
    </row>
    <row r="597" spans="1:5" ht="15.75" x14ac:dyDescent="0.25">
      <c r="A597" s="10">
        <v>1000365751</v>
      </c>
      <c r="B597" s="2">
        <v>46036.796239583331</v>
      </c>
      <c r="C597" s="3" t="str">
        <f>IFERROR(VLOOKUP(A597,'Base Prueba'!A:C,3,),"NO REGISTRA")</f>
        <v>JHOAN NICOLAS ESCAMILLA MANJARRES</v>
      </c>
      <c r="D597" s="4" t="str">
        <f>IFERROR(VLOOKUP(A597,'Base Prueba'!A:D,4,),"NO REGISTRA")</f>
        <v>APRENDIZ UNIVERSITARIO</v>
      </c>
      <c r="E597" s="5" t="str">
        <f>IFERROR(VLOOKUP(A597,'Base Prueba'!A:E,5,),"NO REGISTRA")</f>
        <v>OFICINA DE MERCADEO</v>
      </c>
    </row>
    <row r="598" spans="1:5" ht="15.75" x14ac:dyDescent="0.25">
      <c r="A598" s="10">
        <v>1016090131</v>
      </c>
      <c r="B598" s="2">
        <v>46036.796284259261</v>
      </c>
      <c r="C598" s="3" t="str">
        <f>IFERROR(VLOOKUP(A598,'Base Prueba'!A:C,3,),"NO REGISTRA")</f>
        <v>NICOLAS RODRIGUEZ PACHECO</v>
      </c>
      <c r="D598" s="4" t="str">
        <f>IFERROR(VLOOKUP(A598,'Base Prueba'!A:D,4,),"NO REGISTRA")</f>
        <v>COORDINADOR DE COMUNICACIONES</v>
      </c>
      <c r="E598" s="5" t="str">
        <f>IFERROR(VLOOKUP(A598,'Base Prueba'!A:E,5,),"NO REGISTRA")</f>
        <v>OFICINA DE MERCADEO</v>
      </c>
    </row>
    <row r="599" spans="1:5" ht="15.75" x14ac:dyDescent="0.25">
      <c r="A599" s="10">
        <v>1014196857</v>
      </c>
      <c r="B599" s="2">
        <v>46036.79647685185</v>
      </c>
      <c r="C599" s="3" t="str">
        <f>IFERROR(VLOOKUP(A599,'Base Prueba'!A:C,3,),"NO REGISTRA")</f>
        <v>CARLOS ANDRES JIMENEZ PARDO</v>
      </c>
      <c r="D599" s="4" t="str">
        <f>IFERROR(VLOOKUP(A599,'Base Prueba'!A:D,4,),"NO REGISTRA")</f>
        <v>COORDINADOR DE MARKETING DIGITAL</v>
      </c>
      <c r="E599" s="5" t="str">
        <f>IFERROR(VLOOKUP(A599,'Base Prueba'!A:E,5,),"NO REGISTRA")</f>
        <v>OFICINA DE MERCADEO</v>
      </c>
    </row>
    <row r="600" spans="1:5" ht="15.75" x14ac:dyDescent="0.25">
      <c r="A600" s="10">
        <v>53932358</v>
      </c>
      <c r="B600" s="2">
        <v>46036.806874884256</v>
      </c>
      <c r="C600" s="3" t="str">
        <f>IFERROR(VLOOKUP(A600,'Base Prueba'!A:C,3,),"NO REGISTRA")</f>
        <v>DIANA MADELEYNE GAONA RODRIGUEZ</v>
      </c>
      <c r="D600" s="4" t="str">
        <f>IFERROR(VLOOKUP(A600,'Base Prueba'!A:D,4,),"NO REGISTRA")</f>
        <v>CONTADOR</v>
      </c>
      <c r="E600" s="5" t="str">
        <f>IFERROR(VLOOKUP(A600,'Base Prueba'!A:E,5,),"NO REGISTRA")</f>
        <v>AREA FINANCIERA Y CONTABLE</v>
      </c>
    </row>
    <row r="601" spans="1:5" ht="15.75" x14ac:dyDescent="0.25">
      <c r="A601" s="10">
        <v>1000457706</v>
      </c>
      <c r="B601" s="2">
        <v>46036.806961458336</v>
      </c>
      <c r="C601" s="3" t="str">
        <f>IFERROR(VLOOKUP(A601,'Base Prueba'!A:C,3,),"NO REGISTRA")</f>
        <v>CRISTIAN DANILO ARROYO SANABRIA</v>
      </c>
      <c r="D601" s="4" t="str">
        <f>IFERROR(VLOOKUP(A601,'Base Prueba'!A:D,4,),"NO REGISTRA")</f>
        <v>AUXILIAR CONTABLE</v>
      </c>
      <c r="E601" s="5" t="str">
        <f>IFERROR(VLOOKUP(A601,'Base Prueba'!A:E,5,),"NO REGISTRA")</f>
        <v>AREA FINANCIERA Y CONTABLE</v>
      </c>
    </row>
    <row r="602" spans="1:5" ht="15.75" x14ac:dyDescent="0.25">
      <c r="A602" s="10">
        <v>1012357415</v>
      </c>
      <c r="B602" s="2">
        <v>46036.817874768516</v>
      </c>
      <c r="C602" s="3" t="str">
        <f>IFERROR(VLOOKUP(A602,'Base Prueba'!A:C,3,),"NO REGISTRA")</f>
        <v>CINDY LORENA BOHORQUEZ LEYVA</v>
      </c>
      <c r="D602" s="4" t="str">
        <f>IFERROR(VLOOKUP(A602,'Base Prueba'!A:D,4,),"NO REGISTRA")</f>
        <v>ANALISTA DE TESORERIA</v>
      </c>
      <c r="E602" s="5" t="str">
        <f>IFERROR(VLOOKUP(A602,'Base Prueba'!A:E,5,),"NO REGISTRA")</f>
        <v>AREA FINANCIERA Y CONTABLE</v>
      </c>
    </row>
    <row r="603" spans="1:5" ht="15.75" x14ac:dyDescent="0.25">
      <c r="A603" s="10">
        <v>1013616244</v>
      </c>
      <c r="B603" s="2">
        <v>46037.292808796294</v>
      </c>
      <c r="C603" s="3" t="str">
        <f>IFERROR(VLOOKUP(A603,'Base Prueba'!A:C,3,),"NO REGISTRA")</f>
        <v>DIANA CAROLINA MARIN BETANCOURT</v>
      </c>
      <c r="D603" s="4" t="str">
        <f>IFERROR(VLOOKUP(A603,'Base Prueba'!A:D,4,),"NO REGISTRA")</f>
        <v>AUXILIAR ADMINISTRATIVO</v>
      </c>
      <c r="E603" s="5" t="str">
        <f>IFERROR(VLOOKUP(A603,'Base Prueba'!A:E,5,),"NO REGISTRA")</f>
        <v>REGISTRO Y CONTROL ACADEMICO</v>
      </c>
    </row>
    <row r="604" spans="1:5" ht="15.75" x14ac:dyDescent="0.25">
      <c r="A604" s="10">
        <v>1087121273</v>
      </c>
      <c r="B604" s="2">
        <v>46037.312943634257</v>
      </c>
      <c r="C604" s="3" t="str">
        <f>IFERROR(VLOOKUP(A604,'Base Prueba'!A:C,3,),"NO REGISTRA")</f>
        <v>MAYRA ALEJANDRA CASTILLO ARBOLEDA</v>
      </c>
      <c r="D604" s="4" t="str">
        <f>IFERROR(VLOOKUP(A604,'Base Prueba'!A:D,4,),"NO REGISTRA")</f>
        <v>APOYO INTEGRAL DE MERCADEO</v>
      </c>
      <c r="E604" s="5" t="str">
        <f>IFERROR(VLOOKUP(A604,'Base Prueba'!A:E,5,),"NO REGISTRA")</f>
        <v>CENTRO DE GESTION DOCUMENTAL</v>
      </c>
    </row>
    <row r="605" spans="1:5" ht="15.75" x14ac:dyDescent="0.25">
      <c r="A605" s="10">
        <v>1032469638</v>
      </c>
      <c r="B605" s="2">
        <v>46037.320240046298</v>
      </c>
      <c r="C605" s="3" t="str">
        <f>IFERROR(VLOOKUP(A605,'Base Prueba'!A:C,3,),"NO REGISTRA")</f>
        <v>MAICOL JARBEY GUALTEROS CASTAÑEDA</v>
      </c>
      <c r="D605" s="4" t="str">
        <f>IFERROR(VLOOKUP(A605,'Base Prueba'!A:D,4,),"NO REGISTRA")</f>
        <v>COORDINADOR DEL SISTEMA INTERNO DE ASEGURAMIENTO DE LA CALIDAD - SIAC</v>
      </c>
      <c r="E605" s="5" t="str">
        <f>IFERROR(VLOOKUP(A605,'Base Prueba'!A:E,5,),"NO REGISTRA")</f>
        <v>OFICINA DE PLANEACION Y GESTION DE LA CALIDAD</v>
      </c>
    </row>
    <row r="606" spans="1:5" ht="15.75" x14ac:dyDescent="0.25">
      <c r="A606" s="10">
        <v>1012357415</v>
      </c>
      <c r="B606" s="2">
        <v>46037.3265880787</v>
      </c>
      <c r="C606" s="3" t="str">
        <f>IFERROR(VLOOKUP(A606,'Base Prueba'!A:C,3,),"NO REGISTRA")</f>
        <v>CINDY LORENA BOHORQUEZ LEYVA</v>
      </c>
      <c r="D606" s="4" t="str">
        <f>IFERROR(VLOOKUP(A606,'Base Prueba'!A:D,4,),"NO REGISTRA")</f>
        <v>ANALISTA DE TESORERIA</v>
      </c>
      <c r="E606" s="5" t="str">
        <f>IFERROR(VLOOKUP(A606,'Base Prueba'!A:E,5,),"NO REGISTRA")</f>
        <v>AREA FINANCIERA Y CONTABLE</v>
      </c>
    </row>
    <row r="607" spans="1:5" ht="15.75" x14ac:dyDescent="0.25">
      <c r="A607" s="10">
        <v>1000604979</v>
      </c>
      <c r="B607" s="2">
        <v>46037.328967592592</v>
      </c>
      <c r="C607" s="3" t="str">
        <f>IFERROR(VLOOKUP(A607,'Base Prueba'!A:C,3,),"NO REGISTRA")</f>
        <v>JULIETH TATIANA PARDO PINTO</v>
      </c>
      <c r="D607" s="4" t="str">
        <f>IFERROR(VLOOKUP(A607,'Base Prueba'!A:D,4,),"NO REGISTRA")</f>
        <v>AUXILIAR JURIDICO</v>
      </c>
      <c r="E607" s="5" t="str">
        <f>IFERROR(VLOOKUP(A607,'Base Prueba'!A:E,5,),"NO REGISTRA")</f>
        <v>SECRETARIA GENERAL</v>
      </c>
    </row>
    <row r="608" spans="1:5" ht="15.75" x14ac:dyDescent="0.25">
      <c r="A608" s="10">
        <v>1193457976</v>
      </c>
      <c r="B608" s="2">
        <v>46037.32926111111</v>
      </c>
      <c r="C608" s="3" t="str">
        <f>IFERROR(VLOOKUP(A608,'Base Prueba'!A:C,3,),"NO REGISTRA")</f>
        <v>SEDENIS RIVAS ASPRILLA</v>
      </c>
      <c r="D608" s="4" t="str">
        <f>IFERROR(VLOOKUP(A608,'Base Prueba'!A:D,4,),"NO REGISTRA")</f>
        <v>APRENDIZ UNIVERSITARIO</v>
      </c>
      <c r="E608" s="5" t="str">
        <f>IFERROR(VLOOKUP(A608,'Base Prueba'!A:E,5,),"NO REGISTRA")</f>
        <v>DEPARTAMENTO DE GESTION HUMANA</v>
      </c>
    </row>
    <row r="609" spans="1:5" ht="15.75" x14ac:dyDescent="0.25">
      <c r="A609" s="10">
        <v>1031802160</v>
      </c>
      <c r="B609" s="2">
        <v>46037.329686805555</v>
      </c>
      <c r="C609" s="3" t="str">
        <f>IFERROR(VLOOKUP(A609,'Base Prueba'!A:C,3,),"NO REGISTRA")</f>
        <v>LUISA MARIA MAHECHA SOTOMAYOR</v>
      </c>
      <c r="D609" s="4" t="str">
        <f>IFERROR(VLOOKUP(A609,'Base Prueba'!A:D,4,),"NO REGISTRA")</f>
        <v>APRENDIZ UNIVERSITARIO</v>
      </c>
      <c r="E609" s="5" t="str">
        <f>IFERROR(VLOOKUP(A609,'Base Prueba'!A:E,5,),"NO REGISTRA")</f>
        <v>OFICINA DE MERCADEO</v>
      </c>
    </row>
    <row r="610" spans="1:5" ht="15.75" x14ac:dyDescent="0.25">
      <c r="A610" s="10">
        <v>1014308296</v>
      </c>
      <c r="B610" s="2">
        <v>46037.330534837965</v>
      </c>
      <c r="C610" s="3" t="str">
        <f>IFERROR(VLOOKUP(A610,'Base Prueba'!A:C,3,),"NO REGISTRA")</f>
        <v>DARLENE YULIANA MORENO CELEITA</v>
      </c>
      <c r="D610" s="4" t="str">
        <f>IFERROR(VLOOKUP(A610,'Base Prueba'!A:D,4,),"NO REGISTRA")</f>
        <v>CAJERO PRINCIPAL</v>
      </c>
      <c r="E610" s="5" t="str">
        <f>IFERROR(VLOOKUP(A610,'Base Prueba'!A:E,5,),"NO REGISTRA")</f>
        <v>AREA FINANCIERA Y CONTABLE</v>
      </c>
    </row>
    <row r="611" spans="1:5" ht="15.75" x14ac:dyDescent="0.25">
      <c r="A611" s="10">
        <v>1049644802</v>
      </c>
      <c r="B611" s="2">
        <v>46037.331504166665</v>
      </c>
      <c r="C611" s="3" t="str">
        <f>IFERROR(VLOOKUP(A611,'Base Prueba'!A:C,3,),"NO REGISTRA")</f>
        <v>DANIELA ALEXANDRA CIPAMOCHA BOSIGA</v>
      </c>
      <c r="D611" s="4" t="str">
        <f>IFERROR(VLOOKUP(A611,'Base Prueba'!A:D,4,),"NO REGISTRA")</f>
        <v>LIDER DE DATOS Y SERVICIOS</v>
      </c>
      <c r="E611" s="5" t="str">
        <f>IFERROR(VLOOKUP(A611,'Base Prueba'!A:E,5,),"NO REGISTRA")</f>
        <v>OFICINA DE PLANEACION Y GESTION DE LA CALIDAD</v>
      </c>
    </row>
    <row r="612" spans="1:5" ht="15.75" x14ac:dyDescent="0.25">
      <c r="A612" s="10">
        <v>1000257136</v>
      </c>
      <c r="B612" s="2">
        <v>46037.333279629631</v>
      </c>
      <c r="C612" s="3" t="str">
        <f>IFERROR(VLOOKUP(A612,'Base Prueba'!A:C,3,),"NO REGISTRA")</f>
        <v>FRANCI VALENTINA CANO PUENTES</v>
      </c>
      <c r="D612" s="4" t="str">
        <f>IFERROR(VLOOKUP(A612,'Base Prueba'!A:D,4,),"NO REGISTRA")</f>
        <v>AUXILIAR CONTABLE</v>
      </c>
      <c r="E612" s="5" t="str">
        <f>IFERROR(VLOOKUP(A612,'Base Prueba'!A:E,5,),"NO REGISTRA")</f>
        <v>AREA FINANCIERA Y CONTABLE</v>
      </c>
    </row>
    <row r="613" spans="1:5" ht="15.75" x14ac:dyDescent="0.25">
      <c r="A613" s="10">
        <v>1000687931</v>
      </c>
      <c r="B613" s="2">
        <v>46037.341578240739</v>
      </c>
      <c r="C613" s="3" t="str">
        <f>IFERROR(VLOOKUP(A613,'Base Prueba'!A:C,3,),"NO REGISTRA")</f>
        <v>ANDRES FELIPE PUENTES TORRES</v>
      </c>
      <c r="D613" s="4" t="str">
        <f>IFERROR(VLOOKUP(A613,'Base Prueba'!A:D,4,),"NO REGISTRA")</f>
        <v>AUXILIAR ADMINISTRATIVO</v>
      </c>
      <c r="E613" s="5" t="str">
        <f>IFERROR(VLOOKUP(A613,'Base Prueba'!A:E,5,),"NO REGISTRA")</f>
        <v>REGISTRO Y CONTROL ACADEMICO</v>
      </c>
    </row>
    <row r="614" spans="1:5" ht="15.75" x14ac:dyDescent="0.25">
      <c r="A614" s="10">
        <v>1026599257</v>
      </c>
      <c r="B614" s="2">
        <v>46037.343520601855</v>
      </c>
      <c r="C614" s="3" t="str">
        <f>IFERROR(VLOOKUP(A614,'Base Prueba'!A:C,3,),"NO REGISTRA")</f>
        <v>YESENIA PAOLA PINEDA HURTADO</v>
      </c>
      <c r="D614" s="4" t="str">
        <f>IFERROR(VLOOKUP(A614,'Base Prueba'!A:D,4,),"NO REGISTRA")</f>
        <v>LIDER DE COMPRAS</v>
      </c>
      <c r="E614" s="5" t="str">
        <f>IFERROR(VLOOKUP(A614,'Base Prueba'!A:E,5,),"NO REGISTRA")</f>
        <v>AREA ADMINISTRATIVA</v>
      </c>
    </row>
    <row r="615" spans="1:5" ht="15.75" x14ac:dyDescent="0.25">
      <c r="A615" s="10">
        <v>1013098645</v>
      </c>
      <c r="B615" s="2">
        <v>46037.344282523147</v>
      </c>
      <c r="C615" s="3" t="str">
        <f>IFERROR(VLOOKUP(A615,'Base Prueba'!A:C,3,),"NO REGISTRA")</f>
        <v>CATHERINE LUCIA PENAGOS RIVERA</v>
      </c>
      <c r="D615" s="4" t="str">
        <f>IFERROR(VLOOKUP(A615,'Base Prueba'!A:D,4,),"NO REGISTRA")</f>
        <v>LIDER DE REGISTRO Y CONTROL ACADEMICO</v>
      </c>
      <c r="E615" s="5" t="str">
        <f>IFERROR(VLOOKUP(A615,'Base Prueba'!A:E,5,),"NO REGISTRA")</f>
        <v>REGISTRO Y CONTROL ACADEMICO</v>
      </c>
    </row>
    <row r="616" spans="1:5" ht="15.75" x14ac:dyDescent="0.25">
      <c r="A616" s="10">
        <v>80238161</v>
      </c>
      <c r="B616" s="2">
        <v>46037.34501365741</v>
      </c>
      <c r="C616" s="3" t="str">
        <f>IFERROR(VLOOKUP(A616,'Base Prueba'!A:C,3,),"NO REGISTRA")</f>
        <v>GERMAN CARRANZA ESPITIA</v>
      </c>
      <c r="D616" s="4" t="str">
        <f>IFERROR(VLOOKUP(A616,'Base Prueba'!A:D,4,),"NO REGISTRA")</f>
        <v>TESORERO</v>
      </c>
      <c r="E616" s="5" t="str">
        <f>IFERROR(VLOOKUP(A616,'Base Prueba'!A:E,5,),"NO REGISTRA")</f>
        <v>AREA FINANCIERA Y CONTABLE</v>
      </c>
    </row>
    <row r="617" spans="1:5" ht="15.75" x14ac:dyDescent="0.25">
      <c r="A617" s="10">
        <v>1014977624</v>
      </c>
      <c r="B617" s="2">
        <v>46037.345280208334</v>
      </c>
      <c r="C617" s="3" t="str">
        <f>IFERROR(VLOOKUP(A617,'Base Prueba'!A:C,3,),"NO REGISTRA")</f>
        <v>NICCOLE VALENTINA HERNANDEZ MALAVER</v>
      </c>
      <c r="D617" s="4" t="str">
        <f>IFERROR(VLOOKUP(A617,'Base Prueba'!A:D,4,),"NO REGISTRA")</f>
        <v>APRENDIZ UNIVERSITARIO</v>
      </c>
      <c r="E617" s="5" t="str">
        <f>IFERROR(VLOOKUP(A617,'Base Prueba'!A:E,5,),"NO REGISTRA")</f>
        <v>AREA FINANCIERA Y CONTABLE</v>
      </c>
    </row>
    <row r="618" spans="1:5" ht="15.75" x14ac:dyDescent="0.25">
      <c r="A618" s="10">
        <v>53932358</v>
      </c>
      <c r="B618" s="2">
        <v>46037.347523958335</v>
      </c>
      <c r="C618" s="3" t="str">
        <f>IFERROR(VLOOKUP(A618,'Base Prueba'!A:C,3,),"NO REGISTRA")</f>
        <v>DIANA MADELEYNE GAONA RODRIGUEZ</v>
      </c>
      <c r="D618" s="4" t="str">
        <f>IFERROR(VLOOKUP(A618,'Base Prueba'!A:D,4,),"NO REGISTRA")</f>
        <v>CONTADOR</v>
      </c>
      <c r="E618" s="5" t="str">
        <f>IFERROR(VLOOKUP(A618,'Base Prueba'!A:E,5,),"NO REGISTRA")</f>
        <v>AREA FINANCIERA Y CONTABLE</v>
      </c>
    </row>
    <row r="619" spans="1:5" ht="15.75" x14ac:dyDescent="0.25">
      <c r="A619" s="10">
        <v>1024505434</v>
      </c>
      <c r="B619" s="2">
        <v>46037.348424884258</v>
      </c>
      <c r="C619" s="3" t="str">
        <f>IFERROR(VLOOKUP(A619,'Base Prueba'!A:C,3,),"NO REGISTRA")</f>
        <v>CRISTIAN ALBERTO MELO TORRES</v>
      </c>
      <c r="D619" s="4" t="str">
        <f>IFERROR(VLOOKUP(A619,'Base Prueba'!A:D,4,),"NO REGISTRA")</f>
        <v>COORDINADOR DE INFRAESTRUCTURA</v>
      </c>
      <c r="E619" s="5" t="str">
        <f>IFERROR(VLOOKUP(A619,'Base Prueba'!A:E,5,),"NO REGISTRA")</f>
        <v>VICERRECTORIA ADMINISTRATIVA Y FINANCIERA</v>
      </c>
    </row>
    <row r="620" spans="1:5" ht="15.75" x14ac:dyDescent="0.25">
      <c r="A620" s="10">
        <v>1000457706</v>
      </c>
      <c r="B620" s="2">
        <v>46037.353921180555</v>
      </c>
      <c r="C620" s="3" t="str">
        <f>IFERROR(VLOOKUP(A620,'Base Prueba'!A:C,3,),"NO REGISTRA")</f>
        <v>CRISTIAN DANILO ARROYO SANABRIA</v>
      </c>
      <c r="D620" s="4" t="str">
        <f>IFERROR(VLOOKUP(A620,'Base Prueba'!A:D,4,),"NO REGISTRA")</f>
        <v>AUXILIAR CONTABLE</v>
      </c>
      <c r="E620" s="5" t="str">
        <f>IFERROR(VLOOKUP(A620,'Base Prueba'!A:E,5,),"NO REGISTRA")</f>
        <v>AREA FINANCIERA Y CONTABLE</v>
      </c>
    </row>
    <row r="621" spans="1:5" ht="15.75" x14ac:dyDescent="0.25">
      <c r="A621" s="10">
        <v>1000593372</v>
      </c>
      <c r="B621" s="2">
        <v>46037.360049074072</v>
      </c>
      <c r="C621" s="3" t="str">
        <f>IFERROR(VLOOKUP(A621,'Base Prueba'!A:C,3,),"NO REGISTRA")</f>
        <v>LAURA SOFIA CHAPARRO LOPEZ</v>
      </c>
      <c r="D621" s="4" t="str">
        <f>IFERROR(VLOOKUP(A621,'Base Prueba'!A:D,4,),"NO REGISTRA")</f>
        <v>AUXILIAR JURIDICO</v>
      </c>
      <c r="E621" s="5" t="str">
        <f>IFERROR(VLOOKUP(A621,'Base Prueba'!A:E,5,),"NO REGISTRA")</f>
        <v>SECRETARIA GENERAL</v>
      </c>
    </row>
    <row r="622" spans="1:5" ht="15.75" x14ac:dyDescent="0.25">
      <c r="A622" s="10">
        <v>80234243</v>
      </c>
      <c r="B622" s="2">
        <v>46037.364657754631</v>
      </c>
      <c r="C622" s="3" t="str">
        <f>IFERROR(VLOOKUP(A622,'Base Prueba'!A:C,3,),"NO REGISTRA")</f>
        <v>ARGENIS MARTINEZ MARTINEZ</v>
      </c>
      <c r="D622" s="4" t="str">
        <f>IFERROR(VLOOKUP(A622,'Base Prueba'!A:D,4,),"NO REGISTRA")</f>
        <v>LIDER CALL CENTER</v>
      </c>
      <c r="E622" s="5" t="str">
        <f>IFERROR(VLOOKUP(A622,'Base Prueba'!A:E,5,),"NO REGISTRA")</f>
        <v>OFICINA DE MERCADEO</v>
      </c>
    </row>
    <row r="623" spans="1:5" ht="15.75" x14ac:dyDescent="0.25">
      <c r="A623" s="10">
        <v>1018413529</v>
      </c>
      <c r="B623" s="2">
        <v>46037.368524421297</v>
      </c>
      <c r="C623" s="3" t="str">
        <f>IFERROR(VLOOKUP(A623,'Base Prueba'!A:C,3,),"NO REGISTRA")</f>
        <v>FRANCY STELLA CHARRY MORENO</v>
      </c>
      <c r="D623" s="4" t="str">
        <f>IFERROR(VLOOKUP(A623,'Base Prueba'!A:D,4,),"NO REGISTRA")</f>
        <v>PROMOTOR COMERCIAL DEL CEA</v>
      </c>
      <c r="E623" s="5" t="str">
        <f>IFERROR(VLOOKUP(A623,'Base Prueba'!A:E,5,),"NO REGISTRA")</f>
        <v>OFICINA DE MERCADEO</v>
      </c>
    </row>
    <row r="624" spans="1:5" ht="15.75" x14ac:dyDescent="0.25">
      <c r="A624" s="10">
        <v>1018414290</v>
      </c>
      <c r="B624" s="2">
        <v>46037.369317013887</v>
      </c>
      <c r="C624" s="3" t="str">
        <f>IFERROR(VLOOKUP(A624,'Base Prueba'!A:C,3,),"NO REGISTRA")</f>
        <v>AMANDA LISBETH RODRIGUEZ LEON</v>
      </c>
      <c r="D624" s="4" t="str">
        <f>IFERROR(VLOOKUP(A624,'Base Prueba'!A:D,4,),"NO REGISTRA")</f>
        <v>PROMOTOR CALL CENTER</v>
      </c>
      <c r="E624" s="5" t="str">
        <f>IFERROR(VLOOKUP(A624,'Base Prueba'!A:E,5,),"NO REGISTRA")</f>
        <v>OFICINA DE MERCADEO</v>
      </c>
    </row>
    <row r="625" spans="1:5" ht="15.75" x14ac:dyDescent="0.25">
      <c r="A625" s="10">
        <v>1032407386</v>
      </c>
      <c r="B625" s="2">
        <v>46037.371307175927</v>
      </c>
      <c r="C625" s="3" t="str">
        <f>IFERROR(VLOOKUP(A625,'Base Prueba'!A:C,3,),"NO REGISTRA")</f>
        <v>GINA PAOLA BAEZ GALVIS</v>
      </c>
      <c r="D625" s="4" t="str">
        <f>IFERROR(VLOOKUP(A625,'Base Prueba'!A:D,4,),"NO REGISTRA")</f>
        <v>PROMOTOR CALL CENTER</v>
      </c>
      <c r="E625" s="5" t="str">
        <f>IFERROR(VLOOKUP(A625,'Base Prueba'!A:E,5,),"NO REGISTRA")</f>
        <v>OFICINA DE MERCADEO</v>
      </c>
    </row>
    <row r="626" spans="1:5" ht="15.75" x14ac:dyDescent="0.25">
      <c r="A626" s="10">
        <v>1019105003</v>
      </c>
      <c r="B626" s="2">
        <v>46037.372043055555</v>
      </c>
      <c r="C626" s="3" t="str">
        <f>IFERROR(VLOOKUP(A626,'Base Prueba'!A:C,3,),"NO REGISTRA")</f>
        <v>DAISY JULIETH GASPAR MORENO</v>
      </c>
      <c r="D626" s="4" t="str">
        <f>IFERROR(VLOOKUP(A626,'Base Prueba'!A:D,4,),"NO REGISTRA")</f>
        <v>PROMOTOR CALL CENTER</v>
      </c>
      <c r="E626" s="5" t="str">
        <f>IFERROR(VLOOKUP(A626,'Base Prueba'!A:E,5,),"NO REGISTRA")</f>
        <v>OFICINA DE MERCADEO</v>
      </c>
    </row>
    <row r="627" spans="1:5" ht="15.75" x14ac:dyDescent="0.25">
      <c r="A627" s="10">
        <v>1023961952</v>
      </c>
      <c r="B627" s="2">
        <v>46037.373246180556</v>
      </c>
      <c r="C627" s="3" t="str">
        <f>IFERROR(VLOOKUP(A627,'Base Prueba'!A:C,3,),"NO REGISTRA")</f>
        <v>ALEJANDRO PINZON MERCHAN</v>
      </c>
      <c r="D627" s="4" t="str">
        <f>IFERROR(VLOOKUP(A627,'Base Prueba'!A:D,4,),"NO REGISTRA")</f>
        <v>PROMOTOR CALL CENTER</v>
      </c>
      <c r="E627" s="5" t="str">
        <f>IFERROR(VLOOKUP(A627,'Base Prueba'!A:E,5,),"NO REGISTRA")</f>
        <v>OFICINA DE MERCADEO</v>
      </c>
    </row>
    <row r="628" spans="1:5" ht="15.75" x14ac:dyDescent="0.25">
      <c r="A628" s="10">
        <v>1003690253</v>
      </c>
      <c r="B628" s="2">
        <v>46037.373394212962</v>
      </c>
      <c r="C628" s="3" t="str">
        <f>IFERROR(VLOOKUP(A628,'Base Prueba'!A:C,3,),"NO REGISTRA")</f>
        <v>MELISSA GONZALEZ PEDRAZA</v>
      </c>
      <c r="D628" s="4" t="str">
        <f>IFERROR(VLOOKUP(A628,'Base Prueba'!A:D,4,),"NO REGISTRA")</f>
        <v>LIDER DE JOVENES A LA E</v>
      </c>
      <c r="E628" s="5" t="str">
        <f>IFERROR(VLOOKUP(A628,'Base Prueba'!A:E,5,),"NO REGISTRA")</f>
        <v>DIRECCION DE BIENESTAR INSTITUCIONAL</v>
      </c>
    </row>
    <row r="629" spans="1:5" ht="15.75" x14ac:dyDescent="0.25">
      <c r="A629" s="10">
        <v>52472386</v>
      </c>
      <c r="B629" s="2">
        <v>46037.375055439814</v>
      </c>
      <c r="C629" s="3" t="str">
        <f>IFERROR(VLOOKUP(A629,'Base Prueba'!A:C,3,),"NO REGISTRA")</f>
        <v>ADRIANA MARCELA MORALES PARDO</v>
      </c>
      <c r="D629" s="4" t="str">
        <f>IFERROR(VLOOKUP(A629,'Base Prueba'!A:D,4,),"NO REGISTRA")</f>
        <v>PROMOTOR CALL CENTER</v>
      </c>
      <c r="E629" s="5" t="str">
        <f>IFERROR(VLOOKUP(A629,'Base Prueba'!A:E,5,),"NO REGISTRA")</f>
        <v>OFICINA DE MERCADEO</v>
      </c>
    </row>
    <row r="630" spans="1:5" ht="15.75" x14ac:dyDescent="0.25">
      <c r="A630" s="10">
        <v>1000046533</v>
      </c>
      <c r="B630" s="2">
        <v>46037.376671759259</v>
      </c>
      <c r="C630" s="3" t="str">
        <f>IFERROR(VLOOKUP(A630,'Base Prueba'!A:C,3,),"NO REGISTRA")</f>
        <v>ERIKA JULIETH VALDERRAMA SANCHEZ</v>
      </c>
      <c r="D630" s="4" t="str">
        <f>IFERROR(VLOOKUP(A630,'Base Prueba'!A:D,4,),"NO REGISTRA")</f>
        <v>PROMOTOR CALL CENTER</v>
      </c>
      <c r="E630" s="5" t="str">
        <f>IFERROR(VLOOKUP(A630,'Base Prueba'!A:E,5,),"NO REGISTRA")</f>
        <v>OFICINA DE MERCADEO</v>
      </c>
    </row>
    <row r="631" spans="1:5" ht="15.75" x14ac:dyDescent="0.25">
      <c r="A631" s="10">
        <v>1016090131</v>
      </c>
      <c r="B631" s="2">
        <v>46037.380177777777</v>
      </c>
      <c r="C631" s="3" t="str">
        <f>IFERROR(VLOOKUP(A631,'Base Prueba'!A:C,3,),"NO REGISTRA")</f>
        <v>NICOLAS RODRIGUEZ PACHECO</v>
      </c>
      <c r="D631" s="4" t="str">
        <f>IFERROR(VLOOKUP(A631,'Base Prueba'!A:D,4,),"NO REGISTRA")</f>
        <v>COORDINADOR DE COMUNICACIONES</v>
      </c>
      <c r="E631" s="5" t="str">
        <f>IFERROR(VLOOKUP(A631,'Base Prueba'!A:E,5,),"NO REGISTRA")</f>
        <v>OFICINA DE MERCADEO</v>
      </c>
    </row>
    <row r="632" spans="1:5" ht="15.75" x14ac:dyDescent="0.25">
      <c r="A632" s="10">
        <v>53089882</v>
      </c>
      <c r="B632" s="2">
        <v>46037.386099074072</v>
      </c>
      <c r="C632" s="3" t="str">
        <f>IFERROR(VLOOKUP(A632,'Base Prueba'!A:C,3,),"NO REGISTRA")</f>
        <v>MARIA JOHANA ESCAMILLA MARTINEZ</v>
      </c>
      <c r="D632" s="4" t="str">
        <f>IFERROR(VLOOKUP(A632,'Base Prueba'!A:D,4,),"NO REGISTRA")</f>
        <v>PROMOTOR DE INFORMACIÓN</v>
      </c>
      <c r="E632" s="5" t="str">
        <f>IFERROR(VLOOKUP(A632,'Base Prueba'!A:E,5,),"NO REGISTRA")</f>
        <v>OFICINA DE MERCADEO</v>
      </c>
    </row>
    <row r="633" spans="1:5" ht="15.75" x14ac:dyDescent="0.25">
      <c r="A633" s="10">
        <v>1014196857</v>
      </c>
      <c r="B633" s="2">
        <v>46037.387079629632</v>
      </c>
      <c r="C633" s="3" t="str">
        <f>IFERROR(VLOOKUP(A633,'Base Prueba'!A:C,3,),"NO REGISTRA")</f>
        <v>CARLOS ANDRES JIMENEZ PARDO</v>
      </c>
      <c r="D633" s="4" t="str">
        <f>IFERROR(VLOOKUP(A633,'Base Prueba'!A:D,4,),"NO REGISTRA")</f>
        <v>COORDINADOR DE MARKETING DIGITAL</v>
      </c>
      <c r="E633" s="5" t="str">
        <f>IFERROR(VLOOKUP(A633,'Base Prueba'!A:E,5,),"NO REGISTRA")</f>
        <v>OFICINA DE MERCADEO</v>
      </c>
    </row>
    <row r="634" spans="1:5" ht="15.75" x14ac:dyDescent="0.25">
      <c r="A634" s="10">
        <v>1000254831</v>
      </c>
      <c r="B634" s="2">
        <v>46037.452808796297</v>
      </c>
      <c r="C634" s="3" t="str">
        <f>IFERROR(VLOOKUP(A634,'Base Prueba'!A:C,3,),"NO REGISTRA")</f>
        <v>BRIDGET ROSSANA DIAZ BOGOTA</v>
      </c>
      <c r="D634" s="4" t="str">
        <f>IFERROR(VLOOKUP(A634,'Base Prueba'!A:D,4,),"NO REGISTRA")</f>
        <v>AUXILIAR DE DISEÑO</v>
      </c>
      <c r="E634" s="5" t="str">
        <f>IFERROR(VLOOKUP(A634,'Base Prueba'!A:E,5,),"NO REGISTRA")</f>
        <v>OFICINA DE MERCADEO</v>
      </c>
    </row>
    <row r="635" spans="1:5" ht="15.75" x14ac:dyDescent="0.25">
      <c r="A635" s="10">
        <v>1033709056</v>
      </c>
      <c r="B635" s="2">
        <v>46037.560120833332</v>
      </c>
      <c r="C635" s="3" t="str">
        <f>IFERROR(VLOOKUP(A635,'Base Prueba'!A:C,3,),"NO REGISTRA")</f>
        <v>YEIMY ALEXANDRA RODRIGUEZ PALACIO</v>
      </c>
      <c r="D635" s="4" t="str">
        <f>IFERROR(VLOOKUP(A635,'Base Prueba'!A:D,4,),"NO REGISTRA")</f>
        <v>PROMOTOR CALL CENTER</v>
      </c>
      <c r="E635" s="5" t="str">
        <f>IFERROR(VLOOKUP(A635,'Base Prueba'!A:E,5,),"NO REGISTRA")</f>
        <v>OFICINA DE MERCADEO</v>
      </c>
    </row>
    <row r="636" spans="1:5" ht="15.75" x14ac:dyDescent="0.25">
      <c r="A636" s="10">
        <v>1014977624</v>
      </c>
      <c r="B636" s="2">
        <v>46037.568146180558</v>
      </c>
      <c r="C636" s="3" t="str">
        <f>IFERROR(VLOOKUP(A636,'Base Prueba'!A:C,3,),"NO REGISTRA")</f>
        <v>NICCOLE VALENTINA HERNANDEZ MALAVER</v>
      </c>
      <c r="D636" s="4" t="str">
        <f>IFERROR(VLOOKUP(A636,'Base Prueba'!A:D,4,),"NO REGISTRA")</f>
        <v>APRENDIZ UNIVERSITARIO</v>
      </c>
      <c r="E636" s="5" t="str">
        <f>IFERROR(VLOOKUP(A636,'Base Prueba'!A:E,5,),"NO REGISTRA")</f>
        <v>AREA FINANCIERA Y CONTABLE</v>
      </c>
    </row>
    <row r="637" spans="1:5" ht="15.75" x14ac:dyDescent="0.25">
      <c r="A637" s="10">
        <v>52443092</v>
      </c>
      <c r="B637" s="2">
        <v>46037.582412962962</v>
      </c>
      <c r="C637" s="3" t="str">
        <f>IFERROR(VLOOKUP(A637,'Base Prueba'!A:C,3,),"NO REGISTRA")</f>
        <v>LUZ MYRIAM SAAVEDRA CONTRERAS</v>
      </c>
      <c r="D637" s="4" t="str">
        <f>IFERROR(VLOOKUP(A637,'Base Prueba'!A:D,4,),"NO REGISTRA")</f>
        <v>AUXILIAR DE SERVICIOS</v>
      </c>
      <c r="E637" s="5" t="str">
        <f>IFERROR(VLOOKUP(A637,'Base Prueba'!A:E,5,),"NO REGISTRA")</f>
        <v>LOGISTICA Y SERVICIOS GENERALES</v>
      </c>
    </row>
    <row r="638" spans="1:5" ht="15.75" x14ac:dyDescent="0.25">
      <c r="A638" s="10">
        <v>1031802160</v>
      </c>
      <c r="B638" s="2">
        <v>46037.70622083333</v>
      </c>
      <c r="C638" s="3" t="str">
        <f>IFERROR(VLOOKUP(A638,'Base Prueba'!A:C,3,),"NO REGISTRA")</f>
        <v>LUISA MARIA MAHECHA SOTOMAYOR</v>
      </c>
      <c r="D638" s="4" t="str">
        <f>IFERROR(VLOOKUP(A638,'Base Prueba'!A:D,4,),"NO REGISTRA")</f>
        <v>APRENDIZ UNIVERSITARIO</v>
      </c>
      <c r="E638" s="5" t="str">
        <f>IFERROR(VLOOKUP(A638,'Base Prueba'!A:E,5,),"NO REGISTRA")</f>
        <v>OFICINA DE MERCADEO</v>
      </c>
    </row>
    <row r="639" spans="1:5" ht="15.75" x14ac:dyDescent="0.25">
      <c r="A639" s="10">
        <v>1024505434</v>
      </c>
      <c r="B639" s="2">
        <v>46037.714563078705</v>
      </c>
      <c r="C639" s="3" t="str">
        <f>IFERROR(VLOOKUP(A639,'Base Prueba'!A:C,3,),"NO REGISTRA")</f>
        <v>CRISTIAN ALBERTO MELO TORRES</v>
      </c>
      <c r="D639" s="4" t="str">
        <f>IFERROR(VLOOKUP(A639,'Base Prueba'!A:D,4,),"NO REGISTRA")</f>
        <v>COORDINADOR DE INFRAESTRUCTURA</v>
      </c>
      <c r="E639" s="5" t="str">
        <f>IFERROR(VLOOKUP(A639,'Base Prueba'!A:E,5,),"NO REGISTRA")</f>
        <v>VICERRECTORIA ADMINISTRATIVA Y FINANCIERA</v>
      </c>
    </row>
    <row r="640" spans="1:5" ht="15.75" x14ac:dyDescent="0.25">
      <c r="A640" s="10">
        <v>1087121273</v>
      </c>
      <c r="B640" s="2">
        <v>46037.716074652781</v>
      </c>
      <c r="C640" s="3" t="str">
        <f>IFERROR(VLOOKUP(A640,'Base Prueba'!A:C,3,),"NO REGISTRA")</f>
        <v>MAYRA ALEJANDRA CASTILLO ARBOLEDA</v>
      </c>
      <c r="D640" s="4" t="str">
        <f>IFERROR(VLOOKUP(A640,'Base Prueba'!A:D,4,),"NO REGISTRA")</f>
        <v>APOYO INTEGRAL DE MERCADEO</v>
      </c>
      <c r="E640" s="5" t="str">
        <f>IFERROR(VLOOKUP(A640,'Base Prueba'!A:E,5,),"NO REGISTRA")</f>
        <v>CENTRO DE GESTION DOCUMENTAL</v>
      </c>
    </row>
    <row r="641" spans="1:5" ht="15.75" x14ac:dyDescent="0.25">
      <c r="A641" s="10">
        <v>1049644802</v>
      </c>
      <c r="B641" s="2">
        <v>46037.750699537035</v>
      </c>
      <c r="C641" s="3" t="str">
        <f>IFERROR(VLOOKUP(A641,'Base Prueba'!A:C,3,),"NO REGISTRA")</f>
        <v>DANIELA ALEXANDRA CIPAMOCHA BOSIGA</v>
      </c>
      <c r="D641" s="4" t="str">
        <f>IFERROR(VLOOKUP(A641,'Base Prueba'!A:D,4,),"NO REGISTRA")</f>
        <v>LIDER DE DATOS Y SERVICIOS</v>
      </c>
      <c r="E641" s="5" t="str">
        <f>IFERROR(VLOOKUP(A641,'Base Prueba'!A:E,5,),"NO REGISTRA")</f>
        <v>OFICINA DE PLANEACION Y GESTION DE LA CALIDAD</v>
      </c>
    </row>
    <row r="642" spans="1:5" ht="15.75" x14ac:dyDescent="0.25">
      <c r="A642" s="10">
        <v>1000687931</v>
      </c>
      <c r="B642" s="2">
        <v>46037.750938078701</v>
      </c>
      <c r="C642" s="3" t="str">
        <f>IFERROR(VLOOKUP(A642,'Base Prueba'!A:C,3,),"NO REGISTRA")</f>
        <v>ANDRES FELIPE PUENTES TORRES</v>
      </c>
      <c r="D642" s="4" t="str">
        <f>IFERROR(VLOOKUP(A642,'Base Prueba'!A:D,4,),"NO REGISTRA")</f>
        <v>AUXILIAR ADMINISTRATIVO</v>
      </c>
      <c r="E642" s="5" t="str">
        <f>IFERROR(VLOOKUP(A642,'Base Prueba'!A:E,5,),"NO REGISTRA")</f>
        <v>REGISTRO Y CONTROL ACADEMICO</v>
      </c>
    </row>
    <row r="643" spans="1:5" ht="15.75" x14ac:dyDescent="0.25">
      <c r="A643" s="10">
        <v>1193457976</v>
      </c>
      <c r="B643" s="2">
        <v>46037.751446527778</v>
      </c>
      <c r="C643" s="3" t="str">
        <f>IFERROR(VLOOKUP(A643,'Base Prueba'!A:C,3,),"NO REGISTRA")</f>
        <v>SEDENIS RIVAS ASPRILLA</v>
      </c>
      <c r="D643" s="4" t="str">
        <f>IFERROR(VLOOKUP(A643,'Base Prueba'!A:D,4,),"NO REGISTRA")</f>
        <v>APRENDIZ UNIVERSITARIO</v>
      </c>
      <c r="E643" s="5" t="str">
        <f>IFERROR(VLOOKUP(A643,'Base Prueba'!A:E,5,),"NO REGISTRA")</f>
        <v>DEPARTAMENTO DE GESTION HUMANA</v>
      </c>
    </row>
    <row r="644" spans="1:5" ht="15.75" x14ac:dyDescent="0.25">
      <c r="A644" s="10">
        <v>1026599257</v>
      </c>
      <c r="B644" s="2">
        <v>46037.753313078705</v>
      </c>
      <c r="C644" s="3" t="str">
        <f>IFERROR(VLOOKUP(A644,'Base Prueba'!A:C,3,),"NO REGISTRA")</f>
        <v>YESENIA PAOLA PINEDA HURTADO</v>
      </c>
      <c r="D644" s="4" t="str">
        <f>IFERROR(VLOOKUP(A644,'Base Prueba'!A:D,4,),"NO REGISTRA")</f>
        <v>LIDER DE COMPRAS</v>
      </c>
      <c r="E644" s="5" t="str">
        <f>IFERROR(VLOOKUP(A644,'Base Prueba'!A:E,5,),"NO REGISTRA")</f>
        <v>AREA ADMINISTRATIVA</v>
      </c>
    </row>
    <row r="645" spans="1:5" ht="15.75" x14ac:dyDescent="0.25">
      <c r="A645" s="10">
        <v>1014266838</v>
      </c>
      <c r="B645" s="2">
        <v>46037.753426967596</v>
      </c>
      <c r="C645" s="3" t="str">
        <f>IFERROR(VLOOKUP(A645,'Base Prueba'!A:C,3,),"NO REGISTRA")</f>
        <v>JENNIFER ASTRID ROMERO HURTADO</v>
      </c>
      <c r="D645" s="4" t="str">
        <f>IFERROR(VLOOKUP(A645,'Base Prueba'!A:D,4,),"NO REGISTRA")</f>
        <v>LIDER DE RECAUDO</v>
      </c>
      <c r="E645" s="5" t="str">
        <f>IFERROR(VLOOKUP(A645,'Base Prueba'!A:E,5,),"NO REGISTRA")</f>
        <v>AREA FINANCIERA Y CONTABLE</v>
      </c>
    </row>
    <row r="646" spans="1:5" ht="15.75" x14ac:dyDescent="0.25">
      <c r="A646" s="10">
        <v>1022996882</v>
      </c>
      <c r="B646" s="2">
        <v>46037.754007523145</v>
      </c>
      <c r="C646" s="3" t="str">
        <f>IFERROR(VLOOKUP(A646,'Base Prueba'!A:C,3,),"NO REGISTRA")</f>
        <v>NANCY BRIGITH ALDANA GUEVARA</v>
      </c>
      <c r="D646" s="4" t="str">
        <f>IFERROR(VLOOKUP(A646,'Base Prueba'!A:D,4,),"NO REGISTRA")</f>
        <v>COORDINADORA DE GESTIÓN HUMANA</v>
      </c>
      <c r="E646" s="5" t="str">
        <f>IFERROR(VLOOKUP(A646,'Base Prueba'!A:E,5,),"NO REGISTRA")</f>
        <v>DEPARTAMENTO DE GESTION HUMANA</v>
      </c>
    </row>
    <row r="647" spans="1:5" ht="15.75" x14ac:dyDescent="0.25">
      <c r="A647" s="10">
        <v>1022996882</v>
      </c>
      <c r="B647" s="2">
        <v>46037.754024768517</v>
      </c>
      <c r="C647" s="3" t="str">
        <f>IFERROR(VLOOKUP(A647,'Base Prueba'!A:C,3,),"NO REGISTRA")</f>
        <v>NANCY BRIGITH ALDANA GUEVARA</v>
      </c>
      <c r="D647" s="4" t="str">
        <f>IFERROR(VLOOKUP(A647,'Base Prueba'!A:D,4,),"NO REGISTRA")</f>
        <v>COORDINADORA DE GESTIÓN HUMANA</v>
      </c>
      <c r="E647" s="5" t="str">
        <f>IFERROR(VLOOKUP(A647,'Base Prueba'!A:E,5,),"NO REGISTRA")</f>
        <v>DEPARTAMENTO DE GESTION HUMANA</v>
      </c>
    </row>
    <row r="648" spans="1:5" ht="15.75" x14ac:dyDescent="0.25">
      <c r="A648" s="10">
        <v>1000467399</v>
      </c>
      <c r="B648" s="2">
        <v>46037.754253819447</v>
      </c>
      <c r="C648" s="3" t="str">
        <f>IFERROR(VLOOKUP(A648,'Base Prueba'!A:C,3,),"NO REGISTRA")</f>
        <v>BRANDO ESTIVEN DIAZ QUIMBAYA</v>
      </c>
      <c r="D648" s="4" t="str">
        <f>IFERROR(VLOOKUP(A648,'Base Prueba'!A:D,4,),"NO REGISTRA")</f>
        <v>APRENDIZ UNIVERSITARIO</v>
      </c>
      <c r="E648" s="5" t="str">
        <f>IFERROR(VLOOKUP(A648,'Base Prueba'!A:E,5,),"NO REGISTRA")</f>
        <v>DEPARTAMENTO DE GESTION HUMANA</v>
      </c>
    </row>
    <row r="649" spans="1:5" ht="15.75" x14ac:dyDescent="0.25">
      <c r="A649" s="10">
        <v>1030567635</v>
      </c>
      <c r="B649" s="2">
        <v>46037.757174768522</v>
      </c>
      <c r="C649" s="3" t="str">
        <f>IFERROR(VLOOKUP(A649,'Base Prueba'!A:C,3,),"NO REGISTRA")</f>
        <v>JEFFERSON ANDRES BARRETO DIAZ</v>
      </c>
      <c r="D649" s="4" t="str">
        <f>IFERROR(VLOOKUP(A649,'Base Prueba'!A:D,4,),"NO REGISTRA")</f>
        <v>AUXILIAR DE ARCHIVO</v>
      </c>
      <c r="E649" s="5" t="str">
        <f>IFERROR(VLOOKUP(A649,'Base Prueba'!A:E,5,),"NO REGISTRA")</f>
        <v>CENTRO DE GESTION DOCUMENTAL</v>
      </c>
    </row>
    <row r="650" spans="1:5" ht="15.75" x14ac:dyDescent="0.25">
      <c r="A650" s="10">
        <v>1014196857</v>
      </c>
      <c r="B650" s="2">
        <v>46037.757671296298</v>
      </c>
      <c r="C650" s="3" t="str">
        <f>IFERROR(VLOOKUP(A650,'Base Prueba'!A:C,3,),"NO REGISTRA")</f>
        <v>CARLOS ANDRES JIMENEZ PARDO</v>
      </c>
      <c r="D650" s="4" t="str">
        <f>IFERROR(VLOOKUP(A650,'Base Prueba'!A:D,4,),"NO REGISTRA")</f>
        <v>COORDINADOR DE MARKETING DIGITAL</v>
      </c>
      <c r="E650" s="5" t="str">
        <f>IFERROR(VLOOKUP(A650,'Base Prueba'!A:E,5,),"NO REGISTRA")</f>
        <v>OFICINA DE MERCADEO</v>
      </c>
    </row>
    <row r="651" spans="1:5" ht="15.75" x14ac:dyDescent="0.25">
      <c r="A651" s="10">
        <v>1000365751</v>
      </c>
      <c r="B651" s="2">
        <v>46037.757818865743</v>
      </c>
      <c r="C651" s="3" t="str">
        <f>IFERROR(VLOOKUP(A651,'Base Prueba'!A:C,3,),"NO REGISTRA")</f>
        <v>JHOAN NICOLAS ESCAMILLA MANJARRES</v>
      </c>
      <c r="D651" s="4" t="str">
        <f>IFERROR(VLOOKUP(A651,'Base Prueba'!A:D,4,),"NO REGISTRA")</f>
        <v>APRENDIZ UNIVERSITARIO</v>
      </c>
      <c r="E651" s="5" t="str">
        <f>IFERROR(VLOOKUP(A651,'Base Prueba'!A:E,5,),"NO REGISTRA")</f>
        <v>OFICINA DE MERCADEO</v>
      </c>
    </row>
    <row r="652" spans="1:5" ht="15.75" x14ac:dyDescent="0.25">
      <c r="A652" s="10">
        <v>1016090131</v>
      </c>
      <c r="B652" s="2">
        <v>46037.757828587964</v>
      </c>
      <c r="C652" s="3" t="str">
        <f>IFERROR(VLOOKUP(A652,'Base Prueba'!A:C,3,),"NO REGISTRA")</f>
        <v>NICOLAS RODRIGUEZ PACHECO</v>
      </c>
      <c r="D652" s="4" t="str">
        <f>IFERROR(VLOOKUP(A652,'Base Prueba'!A:D,4,),"NO REGISTRA")</f>
        <v>COORDINADOR DE COMUNICACIONES</v>
      </c>
      <c r="E652" s="5" t="str">
        <f>IFERROR(VLOOKUP(A652,'Base Prueba'!A:E,5,),"NO REGISTRA")</f>
        <v>OFICINA DE MERCADEO</v>
      </c>
    </row>
    <row r="653" spans="1:5" ht="15.75" x14ac:dyDescent="0.25">
      <c r="A653" s="10">
        <v>1000593372</v>
      </c>
      <c r="B653" s="2">
        <v>46037.758144212959</v>
      </c>
      <c r="C653" s="3" t="str">
        <f>IFERROR(VLOOKUP(A653,'Base Prueba'!A:C,3,),"NO REGISTRA")</f>
        <v>LAURA SOFIA CHAPARRO LOPEZ</v>
      </c>
      <c r="D653" s="4" t="str">
        <f>IFERROR(VLOOKUP(A653,'Base Prueba'!A:D,4,),"NO REGISTRA")</f>
        <v>AUXILIAR JURIDICO</v>
      </c>
      <c r="E653" s="5" t="str">
        <f>IFERROR(VLOOKUP(A653,'Base Prueba'!A:E,5,),"NO REGISTRA")</f>
        <v>SECRETARIA GENERAL</v>
      </c>
    </row>
    <row r="654" spans="1:5" ht="15.75" x14ac:dyDescent="0.25">
      <c r="A654" s="10">
        <v>1000604979</v>
      </c>
      <c r="B654" s="2">
        <v>46037.758206944447</v>
      </c>
      <c r="C654" s="3" t="str">
        <f>IFERROR(VLOOKUP(A654,'Base Prueba'!A:C,3,),"NO REGISTRA")</f>
        <v>JULIETH TATIANA PARDO PINTO</v>
      </c>
      <c r="D654" s="4" t="str">
        <f>IFERROR(VLOOKUP(A654,'Base Prueba'!A:D,4,),"NO REGISTRA")</f>
        <v>AUXILIAR JURIDICO</v>
      </c>
      <c r="E654" s="5" t="str">
        <f>IFERROR(VLOOKUP(A654,'Base Prueba'!A:E,5,),"NO REGISTRA")</f>
        <v>SECRETARIA GENERAL</v>
      </c>
    </row>
    <row r="655" spans="1:5" ht="15.75" x14ac:dyDescent="0.25">
      <c r="A655" s="10">
        <v>1000254831</v>
      </c>
      <c r="B655" s="2">
        <v>46037.760470023146</v>
      </c>
      <c r="C655" s="3" t="str">
        <f>IFERROR(VLOOKUP(A655,'Base Prueba'!A:C,3,),"NO REGISTRA")</f>
        <v>BRIDGET ROSSANA DIAZ BOGOTA</v>
      </c>
      <c r="D655" s="4" t="str">
        <f>IFERROR(VLOOKUP(A655,'Base Prueba'!A:D,4,),"NO REGISTRA")</f>
        <v>AUXILIAR DE DISEÑO</v>
      </c>
      <c r="E655" s="5" t="str">
        <f>IFERROR(VLOOKUP(A655,'Base Prueba'!A:E,5,),"NO REGISTRA")</f>
        <v>OFICINA DE MERCADEO</v>
      </c>
    </row>
    <row r="656" spans="1:5" ht="15.75" x14ac:dyDescent="0.25">
      <c r="A656" s="10">
        <v>1003690253</v>
      </c>
      <c r="B656" s="2">
        <v>46037.762798379626</v>
      </c>
      <c r="C656" s="3" t="str">
        <f>IFERROR(VLOOKUP(A656,'Base Prueba'!A:C,3,),"NO REGISTRA")</f>
        <v>MELISSA GONZALEZ PEDRAZA</v>
      </c>
      <c r="D656" s="4" t="str">
        <f>IFERROR(VLOOKUP(A656,'Base Prueba'!A:D,4,),"NO REGISTRA")</f>
        <v>LIDER DE JOVENES A LA E</v>
      </c>
      <c r="E656" s="5" t="str">
        <f>IFERROR(VLOOKUP(A656,'Base Prueba'!A:E,5,),"NO REGISTRA")</f>
        <v>DIRECCION DE BIENESTAR INSTITUCIONAL</v>
      </c>
    </row>
    <row r="657" spans="1:5" ht="15.75" x14ac:dyDescent="0.25">
      <c r="A657" s="10">
        <v>1019105003</v>
      </c>
      <c r="B657" s="2">
        <v>46037.762888425925</v>
      </c>
      <c r="C657" s="3" t="str">
        <f>IFERROR(VLOOKUP(A657,'Base Prueba'!A:C,3,),"NO REGISTRA")</f>
        <v>DAISY JULIETH GASPAR MORENO</v>
      </c>
      <c r="D657" s="4" t="str">
        <f>IFERROR(VLOOKUP(A657,'Base Prueba'!A:D,4,),"NO REGISTRA")</f>
        <v>PROMOTOR CALL CENTER</v>
      </c>
      <c r="E657" s="5" t="str">
        <f>IFERROR(VLOOKUP(A657,'Base Prueba'!A:E,5,),"NO REGISTRA")</f>
        <v>OFICINA DE MERCADEO</v>
      </c>
    </row>
    <row r="658" spans="1:5" ht="15.75" x14ac:dyDescent="0.25">
      <c r="A658" s="10">
        <v>1023961952</v>
      </c>
      <c r="B658" s="2">
        <v>46037.762966550923</v>
      </c>
      <c r="C658" s="3" t="str">
        <f>IFERROR(VLOOKUP(A658,'Base Prueba'!A:C,3,),"NO REGISTRA")</f>
        <v>ALEJANDRO PINZON MERCHAN</v>
      </c>
      <c r="D658" s="4" t="str">
        <f>IFERROR(VLOOKUP(A658,'Base Prueba'!A:D,4,),"NO REGISTRA")</f>
        <v>PROMOTOR CALL CENTER</v>
      </c>
      <c r="E658" s="5" t="str">
        <f>IFERROR(VLOOKUP(A658,'Base Prueba'!A:E,5,),"NO REGISTRA")</f>
        <v>OFICINA DE MERCADEO</v>
      </c>
    </row>
    <row r="659" spans="1:5" ht="15.75" x14ac:dyDescent="0.25">
      <c r="A659" s="10">
        <v>1033709056</v>
      </c>
      <c r="B659" s="2">
        <v>46037.763045023145</v>
      </c>
      <c r="C659" s="3" t="str">
        <f>IFERROR(VLOOKUP(A659,'Base Prueba'!A:C,3,),"NO REGISTRA")</f>
        <v>YEIMY ALEXANDRA RODRIGUEZ PALACIO</v>
      </c>
      <c r="D659" s="4" t="str">
        <f>IFERROR(VLOOKUP(A659,'Base Prueba'!A:D,4,),"NO REGISTRA")</f>
        <v>PROMOTOR CALL CENTER</v>
      </c>
      <c r="E659" s="5" t="str">
        <f>IFERROR(VLOOKUP(A659,'Base Prueba'!A:E,5,),"NO REGISTRA")</f>
        <v>OFICINA DE MERCADEO</v>
      </c>
    </row>
    <row r="660" spans="1:5" ht="15.75" x14ac:dyDescent="0.25">
      <c r="A660" s="10">
        <v>53089882</v>
      </c>
      <c r="B660" s="2">
        <v>46037.763121759257</v>
      </c>
      <c r="C660" s="3" t="str">
        <f>IFERROR(VLOOKUP(A660,'Base Prueba'!A:C,3,),"NO REGISTRA")</f>
        <v>MARIA JOHANA ESCAMILLA MARTINEZ</v>
      </c>
      <c r="D660" s="4" t="str">
        <f>IFERROR(VLOOKUP(A660,'Base Prueba'!A:D,4,),"NO REGISTRA")</f>
        <v>PROMOTOR DE INFORMACIÓN</v>
      </c>
      <c r="E660" s="5" t="str">
        <f>IFERROR(VLOOKUP(A660,'Base Prueba'!A:E,5,),"NO REGISTRA")</f>
        <v>OFICINA DE MERCADEO</v>
      </c>
    </row>
    <row r="661" spans="1:5" ht="15.75" x14ac:dyDescent="0.25">
      <c r="A661" s="10">
        <v>1018413529</v>
      </c>
      <c r="B661" s="2">
        <v>46037.763220023146</v>
      </c>
      <c r="C661" s="3" t="str">
        <f>IFERROR(VLOOKUP(A661,'Base Prueba'!A:C,3,),"NO REGISTRA")</f>
        <v>FRANCY STELLA CHARRY MORENO</v>
      </c>
      <c r="D661" s="4" t="str">
        <f>IFERROR(VLOOKUP(A661,'Base Prueba'!A:D,4,),"NO REGISTRA")</f>
        <v>PROMOTOR COMERCIAL DEL CEA</v>
      </c>
      <c r="E661" s="5" t="str">
        <f>IFERROR(VLOOKUP(A661,'Base Prueba'!A:E,5,),"NO REGISTRA")</f>
        <v>OFICINA DE MERCADEO</v>
      </c>
    </row>
    <row r="662" spans="1:5" ht="15.75" x14ac:dyDescent="0.25">
      <c r="A662" s="10">
        <v>1013616244</v>
      </c>
      <c r="B662" s="2">
        <v>46037.76337951389</v>
      </c>
      <c r="C662" s="3" t="str">
        <f>IFERROR(VLOOKUP(A662,'Base Prueba'!A:C,3,),"NO REGISTRA")</f>
        <v>DIANA CAROLINA MARIN BETANCOURT</v>
      </c>
      <c r="D662" s="4" t="str">
        <f>IFERROR(VLOOKUP(A662,'Base Prueba'!A:D,4,),"NO REGISTRA")</f>
        <v>AUXILIAR ADMINISTRATIVO</v>
      </c>
      <c r="E662" s="5" t="str">
        <f>IFERROR(VLOOKUP(A662,'Base Prueba'!A:E,5,),"NO REGISTRA")</f>
        <v>REGISTRO Y CONTROL ACADEMICO</v>
      </c>
    </row>
    <row r="663" spans="1:5" ht="15.75" x14ac:dyDescent="0.25">
      <c r="A663" s="10">
        <v>1032407386</v>
      </c>
      <c r="B663" s="2">
        <v>46037.765620601851</v>
      </c>
      <c r="C663" s="3" t="str">
        <f>IFERROR(VLOOKUP(A663,'Base Prueba'!A:C,3,),"NO REGISTRA")</f>
        <v>GINA PAOLA BAEZ GALVIS</v>
      </c>
      <c r="D663" s="4" t="str">
        <f>IFERROR(VLOOKUP(A663,'Base Prueba'!A:D,4,),"NO REGISTRA")</f>
        <v>PROMOTOR CALL CENTER</v>
      </c>
      <c r="E663" s="5" t="str">
        <f>IFERROR(VLOOKUP(A663,'Base Prueba'!A:E,5,),"NO REGISTRA")</f>
        <v>OFICINA DE MERCADEO</v>
      </c>
    </row>
    <row r="664" spans="1:5" ht="15.75" x14ac:dyDescent="0.25">
      <c r="A664" s="10">
        <v>1018414290</v>
      </c>
      <c r="B664" s="2">
        <v>46037.765705439815</v>
      </c>
      <c r="C664" s="3" t="str">
        <f>IFERROR(VLOOKUP(A664,'Base Prueba'!A:C,3,),"NO REGISTRA")</f>
        <v>AMANDA LISBETH RODRIGUEZ LEON</v>
      </c>
      <c r="D664" s="4" t="str">
        <f>IFERROR(VLOOKUP(A664,'Base Prueba'!A:D,4,),"NO REGISTRA")</f>
        <v>PROMOTOR CALL CENTER</v>
      </c>
      <c r="E664" s="5" t="str">
        <f>IFERROR(VLOOKUP(A664,'Base Prueba'!A:E,5,),"NO REGISTRA")</f>
        <v>OFICINA DE MERCADEO</v>
      </c>
    </row>
    <row r="665" spans="1:5" ht="15.75" x14ac:dyDescent="0.25">
      <c r="A665" s="10">
        <v>52472386</v>
      </c>
      <c r="B665" s="2">
        <v>46037.765886458335</v>
      </c>
      <c r="C665" s="3" t="str">
        <f>IFERROR(VLOOKUP(A665,'Base Prueba'!A:C,3,),"NO REGISTRA")</f>
        <v>ADRIANA MARCELA MORALES PARDO</v>
      </c>
      <c r="D665" s="4" t="str">
        <f>IFERROR(VLOOKUP(A665,'Base Prueba'!A:D,4,),"NO REGISTRA")</f>
        <v>PROMOTOR CALL CENTER</v>
      </c>
      <c r="E665" s="5" t="str">
        <f>IFERROR(VLOOKUP(A665,'Base Prueba'!A:E,5,),"NO REGISTRA")</f>
        <v>OFICINA DE MERCADEO</v>
      </c>
    </row>
    <row r="666" spans="1:5" ht="15.75" x14ac:dyDescent="0.25">
      <c r="A666" s="10">
        <v>28798349</v>
      </c>
      <c r="B666" s="2">
        <v>46037.769647685185</v>
      </c>
      <c r="C666" s="3" t="str">
        <f>IFERROR(VLOOKUP(A666,'Base Prueba'!A:C,3,),"NO REGISTRA")</f>
        <v>MARTHA ISABEL TOVAR WILLIAMS</v>
      </c>
      <c r="D666" s="4" t="str">
        <f>IFERROR(VLOOKUP(A666,'Base Prueba'!A:D,4,),"NO REGISTRA")</f>
        <v>PROMOTOR CALL CENTER</v>
      </c>
      <c r="E666" s="5" t="str">
        <f>IFERROR(VLOOKUP(A666,'Base Prueba'!A:E,5,),"NO REGISTRA")</f>
        <v>OFICINA DE MERCADEO</v>
      </c>
    </row>
    <row r="667" spans="1:5" ht="15.75" x14ac:dyDescent="0.25">
      <c r="A667" s="10">
        <v>80234243</v>
      </c>
      <c r="B667" s="2">
        <v>46037.776373726854</v>
      </c>
      <c r="C667" s="3" t="str">
        <f>IFERROR(VLOOKUP(A667,'Base Prueba'!A:C,3,),"NO REGISTRA")</f>
        <v>ARGENIS MARTINEZ MARTINEZ</v>
      </c>
      <c r="D667" s="4" t="str">
        <f>IFERROR(VLOOKUP(A667,'Base Prueba'!A:D,4,),"NO REGISTRA")</f>
        <v>LIDER CALL CENTER</v>
      </c>
      <c r="E667" s="5" t="str">
        <f>IFERROR(VLOOKUP(A667,'Base Prueba'!A:E,5,),"NO REGISTRA")</f>
        <v>OFICINA DE MERCADEO</v>
      </c>
    </row>
    <row r="668" spans="1:5" ht="15.75" x14ac:dyDescent="0.25">
      <c r="A668" s="10">
        <v>1013098645</v>
      </c>
      <c r="B668" s="2">
        <v>46037.776514467594</v>
      </c>
      <c r="C668" s="3" t="str">
        <f>IFERROR(VLOOKUP(A668,'Base Prueba'!A:C,3,),"NO REGISTRA")</f>
        <v>CATHERINE LUCIA PENAGOS RIVERA</v>
      </c>
      <c r="D668" s="4" t="str">
        <f>IFERROR(VLOOKUP(A668,'Base Prueba'!A:D,4,),"NO REGISTRA")</f>
        <v>LIDER DE REGISTRO Y CONTROL ACADEMICO</v>
      </c>
      <c r="E668" s="5" t="str">
        <f>IFERROR(VLOOKUP(A668,'Base Prueba'!A:E,5,),"NO REGISTRA")</f>
        <v>REGISTRO Y CONTROL ACADEMICO</v>
      </c>
    </row>
    <row r="669" spans="1:5" ht="15.75" x14ac:dyDescent="0.25">
      <c r="A669" s="10">
        <v>1000257136</v>
      </c>
      <c r="B669" s="2">
        <v>46037.78689826389</v>
      </c>
      <c r="C669" s="3" t="str">
        <f>IFERROR(VLOOKUP(A669,'Base Prueba'!A:C,3,),"NO REGISTRA")</f>
        <v>FRANCI VALENTINA CANO PUENTES</v>
      </c>
      <c r="D669" s="4" t="str">
        <f>IFERROR(VLOOKUP(A669,'Base Prueba'!A:D,4,),"NO REGISTRA")</f>
        <v>AUXILIAR CONTABLE</v>
      </c>
      <c r="E669" s="5" t="str">
        <f>IFERROR(VLOOKUP(A669,'Base Prueba'!A:E,5,),"NO REGISTRA")</f>
        <v>AREA FINANCIERA Y CONTABLE</v>
      </c>
    </row>
    <row r="670" spans="1:5" ht="15.75" x14ac:dyDescent="0.25">
      <c r="A670" s="10">
        <v>53932358</v>
      </c>
      <c r="B670" s="2">
        <v>46037.787861226854</v>
      </c>
      <c r="C670" s="3" t="str">
        <f>IFERROR(VLOOKUP(A670,'Base Prueba'!A:C,3,),"NO REGISTRA")</f>
        <v>DIANA MADELEYNE GAONA RODRIGUEZ</v>
      </c>
      <c r="D670" s="4" t="str">
        <f>IFERROR(VLOOKUP(A670,'Base Prueba'!A:D,4,),"NO REGISTRA")</f>
        <v>CONTADOR</v>
      </c>
      <c r="E670" s="5" t="str">
        <f>IFERROR(VLOOKUP(A670,'Base Prueba'!A:E,5,),"NO REGISTRA")</f>
        <v>AREA FINANCIERA Y CONTABLE</v>
      </c>
    </row>
    <row r="671" spans="1:5" ht="15.75" x14ac:dyDescent="0.25">
      <c r="A671" s="10">
        <v>1012357415</v>
      </c>
      <c r="B671" s="2">
        <v>46037.792630324075</v>
      </c>
      <c r="C671" s="3" t="str">
        <f>IFERROR(VLOOKUP(A671,'Base Prueba'!A:C,3,),"NO REGISTRA")</f>
        <v>CINDY LORENA BOHORQUEZ LEYVA</v>
      </c>
      <c r="D671" s="4" t="str">
        <f>IFERROR(VLOOKUP(A671,'Base Prueba'!A:D,4,),"NO REGISTRA")</f>
        <v>ANALISTA DE TESORERIA</v>
      </c>
      <c r="E671" s="5" t="str">
        <f>IFERROR(VLOOKUP(A671,'Base Prueba'!A:E,5,),"NO REGISTRA")</f>
        <v>AREA FINANCIERA Y CONTABLE</v>
      </c>
    </row>
    <row r="672" spans="1:5" ht="15.75" x14ac:dyDescent="0.25">
      <c r="A672" s="10">
        <v>1000457706</v>
      </c>
      <c r="B672" s="2">
        <v>46037.793217708335</v>
      </c>
      <c r="C672" s="3" t="str">
        <f>IFERROR(VLOOKUP(A672,'Base Prueba'!A:C,3,),"NO REGISTRA")</f>
        <v>CRISTIAN DANILO ARROYO SANABRIA</v>
      </c>
      <c r="D672" s="4" t="str">
        <f>IFERROR(VLOOKUP(A672,'Base Prueba'!A:D,4,),"NO REGISTRA")</f>
        <v>AUXILIAR CONTABLE</v>
      </c>
      <c r="E672" s="5" t="str">
        <f>IFERROR(VLOOKUP(A672,'Base Prueba'!A:E,5,),"NO REGISTRA")</f>
        <v>AREA FINANCIERA Y CONTABLE</v>
      </c>
    </row>
    <row r="673" spans="1:5" ht="15.75" x14ac:dyDescent="0.25">
      <c r="A673" s="10">
        <v>1014308296</v>
      </c>
      <c r="B673" s="2">
        <v>46037.800876273148</v>
      </c>
      <c r="C673" s="3" t="str">
        <f>IFERROR(VLOOKUP(A673,'Base Prueba'!A:C,3,),"NO REGISTRA")</f>
        <v>DARLENE YULIANA MORENO CELEITA</v>
      </c>
      <c r="D673" s="4" t="str">
        <f>IFERROR(VLOOKUP(A673,'Base Prueba'!A:D,4,),"NO REGISTRA")</f>
        <v>CAJERO PRINCIPAL</v>
      </c>
      <c r="E673" s="5" t="str">
        <f>IFERROR(VLOOKUP(A673,'Base Prueba'!A:E,5,),"NO REGISTRA")</f>
        <v>AREA FINANCIERA Y CONTABLE</v>
      </c>
    </row>
    <row r="674" spans="1:5" ht="15.75" x14ac:dyDescent="0.25">
      <c r="A674" s="10">
        <v>80238161</v>
      </c>
      <c r="B674" s="2">
        <v>46037.803372453702</v>
      </c>
      <c r="C674" s="3" t="str">
        <f>IFERROR(VLOOKUP(A674,'Base Prueba'!A:C,3,),"NO REGISTRA")</f>
        <v>GERMAN CARRANZA ESPITIA</v>
      </c>
      <c r="D674" s="4" t="str">
        <f>IFERROR(VLOOKUP(A674,'Base Prueba'!A:D,4,),"NO REGISTRA")</f>
        <v>TESORERO</v>
      </c>
      <c r="E674" s="5" t="str">
        <f>IFERROR(VLOOKUP(A674,'Base Prueba'!A:E,5,),"NO REGISTRA")</f>
        <v>AREA FINANCIERA Y CONTABLE</v>
      </c>
    </row>
    <row r="675" spans="1:5" ht="15.75" x14ac:dyDescent="0.25">
      <c r="A675" s="10">
        <v>1013616244</v>
      </c>
      <c r="B675" s="2">
        <v>46038.294187962965</v>
      </c>
      <c r="C675" s="3" t="str">
        <f>IFERROR(VLOOKUP(A675,'Base Prueba'!A:C,3,),"NO REGISTRA")</f>
        <v>DIANA CAROLINA MARIN BETANCOURT</v>
      </c>
      <c r="D675" s="4" t="str">
        <f>IFERROR(VLOOKUP(A675,'Base Prueba'!A:D,4,),"NO REGISTRA")</f>
        <v>AUXILIAR ADMINISTRATIVO</v>
      </c>
      <c r="E675" s="5" t="str">
        <f>IFERROR(VLOOKUP(A675,'Base Prueba'!A:E,5,),"NO REGISTRA")</f>
        <v>REGISTRO Y CONTROL ACADEMICO</v>
      </c>
    </row>
    <row r="676" spans="1:5" ht="15.75" x14ac:dyDescent="0.25">
      <c r="A676" s="10">
        <v>1032469638</v>
      </c>
      <c r="B676" s="2">
        <v>46038.303062037034</v>
      </c>
      <c r="C676" s="3" t="str">
        <f>IFERROR(VLOOKUP(A676,'Base Prueba'!A:C,3,),"NO REGISTRA")</f>
        <v>MAICOL JARBEY GUALTEROS CASTAÑEDA</v>
      </c>
      <c r="D676" s="4" t="str">
        <f>IFERROR(VLOOKUP(A676,'Base Prueba'!A:D,4,),"NO REGISTRA")</f>
        <v>COORDINADOR DEL SISTEMA INTERNO DE ASEGURAMIENTO DE LA CALIDAD - SIAC</v>
      </c>
      <c r="E676" s="5" t="str">
        <f>IFERROR(VLOOKUP(A676,'Base Prueba'!A:E,5,),"NO REGISTRA")</f>
        <v>OFICINA DE PLANEACION Y GESTION DE LA CALIDAD</v>
      </c>
    </row>
    <row r="677" spans="1:5" ht="15.75" x14ac:dyDescent="0.25">
      <c r="A677" s="10">
        <v>1087121273</v>
      </c>
      <c r="B677" s="2">
        <v>46038.310579745368</v>
      </c>
      <c r="C677" s="3" t="str">
        <f>IFERROR(VLOOKUP(A677,'Base Prueba'!A:C,3,),"NO REGISTRA")</f>
        <v>MAYRA ALEJANDRA CASTILLO ARBOLEDA</v>
      </c>
      <c r="D677" s="4" t="str">
        <f>IFERROR(VLOOKUP(A677,'Base Prueba'!A:D,4,),"NO REGISTRA")</f>
        <v>APOYO INTEGRAL DE MERCADEO</v>
      </c>
      <c r="E677" s="5" t="str">
        <f>IFERROR(VLOOKUP(A677,'Base Prueba'!A:E,5,),"NO REGISTRA")</f>
        <v>CENTRO DE GESTION DOCUMENTAL</v>
      </c>
    </row>
    <row r="678" spans="1:5" ht="15.75" x14ac:dyDescent="0.25">
      <c r="A678" s="10">
        <v>1014308296</v>
      </c>
      <c r="B678" s="2">
        <v>46038.327118171299</v>
      </c>
      <c r="C678" s="3" t="str">
        <f>IFERROR(VLOOKUP(A678,'Base Prueba'!A:C,3,),"NO REGISTRA")</f>
        <v>DARLENE YULIANA MORENO CELEITA</v>
      </c>
      <c r="D678" s="4" t="str">
        <f>IFERROR(VLOOKUP(A678,'Base Prueba'!A:D,4,),"NO REGISTRA")</f>
        <v>CAJERO PRINCIPAL</v>
      </c>
      <c r="E678" s="5" t="str">
        <f>IFERROR(VLOOKUP(A678,'Base Prueba'!A:E,5,),"NO REGISTRA")</f>
        <v>AREA FINANCIERA Y CONTABLE</v>
      </c>
    </row>
    <row r="679" spans="1:5" ht="15.75" x14ac:dyDescent="0.25">
      <c r="A679" s="10">
        <v>1000257136</v>
      </c>
      <c r="B679" s="2">
        <v>46038.33034479167</v>
      </c>
      <c r="C679" s="3" t="str">
        <f>IFERROR(VLOOKUP(A679,'Base Prueba'!A:C,3,),"NO REGISTRA")</f>
        <v>FRANCI VALENTINA CANO PUENTES</v>
      </c>
      <c r="D679" s="4" t="str">
        <f>IFERROR(VLOOKUP(A679,'Base Prueba'!A:D,4,),"NO REGISTRA")</f>
        <v>AUXILIAR CONTABLE</v>
      </c>
      <c r="E679" s="5" t="str">
        <f>IFERROR(VLOOKUP(A679,'Base Prueba'!A:E,5,),"NO REGISTRA")</f>
        <v>AREA FINANCIERA Y CONTABLE</v>
      </c>
    </row>
    <row r="680" spans="1:5" ht="15.75" x14ac:dyDescent="0.25">
      <c r="A680" s="10">
        <v>1049644802</v>
      </c>
      <c r="B680" s="2">
        <v>46038.331936574075</v>
      </c>
      <c r="C680" s="3" t="str">
        <f>IFERROR(VLOOKUP(A680,'Base Prueba'!A:C,3,),"NO REGISTRA")</f>
        <v>DANIELA ALEXANDRA CIPAMOCHA BOSIGA</v>
      </c>
      <c r="D680" s="4" t="str">
        <f>IFERROR(VLOOKUP(A680,'Base Prueba'!A:D,4,),"NO REGISTRA")</f>
        <v>LIDER DE DATOS Y SERVICIOS</v>
      </c>
      <c r="E680" s="5" t="str">
        <f>IFERROR(VLOOKUP(A680,'Base Prueba'!A:E,5,),"NO REGISTRA")</f>
        <v>OFICINA DE PLANEACION Y GESTION DE LA CALIDAD</v>
      </c>
    </row>
    <row r="681" spans="1:5" ht="15.75" x14ac:dyDescent="0.25">
      <c r="A681" s="10">
        <v>1031802160</v>
      </c>
      <c r="B681" s="2">
        <v>46038.332468287037</v>
      </c>
      <c r="C681" s="3" t="str">
        <f>IFERROR(VLOOKUP(A681,'Base Prueba'!A:C,3,),"NO REGISTRA")</f>
        <v>LUISA MARIA MAHECHA SOTOMAYOR</v>
      </c>
      <c r="D681" s="4" t="str">
        <f>IFERROR(VLOOKUP(A681,'Base Prueba'!A:D,4,),"NO REGISTRA")</f>
        <v>APRENDIZ UNIVERSITARIO</v>
      </c>
      <c r="E681" s="5" t="str">
        <f>IFERROR(VLOOKUP(A681,'Base Prueba'!A:E,5,),"NO REGISTRA")</f>
        <v>OFICINA DE MERCADEO</v>
      </c>
    </row>
    <row r="682" spans="1:5" ht="15.75" x14ac:dyDescent="0.25">
      <c r="A682" s="10">
        <v>1193457976</v>
      </c>
      <c r="B682" s="2">
        <v>46038.339517476852</v>
      </c>
      <c r="C682" s="3" t="str">
        <f>IFERROR(VLOOKUP(A682,'Base Prueba'!A:C,3,),"NO REGISTRA")</f>
        <v>SEDENIS RIVAS ASPRILLA</v>
      </c>
      <c r="D682" s="4" t="str">
        <f>IFERROR(VLOOKUP(A682,'Base Prueba'!A:D,4,),"NO REGISTRA")</f>
        <v>APRENDIZ UNIVERSITARIO</v>
      </c>
      <c r="E682" s="5" t="str">
        <f>IFERROR(VLOOKUP(A682,'Base Prueba'!A:E,5,),"NO REGISTRA")</f>
        <v>DEPARTAMENTO DE GESTION HUMANA</v>
      </c>
    </row>
    <row r="683" spans="1:5" ht="15.75" x14ac:dyDescent="0.25">
      <c r="A683" s="10">
        <v>1014977624</v>
      </c>
      <c r="B683" s="2">
        <v>46038.339675810188</v>
      </c>
      <c r="C683" s="3" t="str">
        <f>IFERROR(VLOOKUP(A683,'Base Prueba'!A:C,3,),"NO REGISTRA")</f>
        <v>NICCOLE VALENTINA HERNANDEZ MALAVER</v>
      </c>
      <c r="D683" s="4" t="str">
        <f>IFERROR(VLOOKUP(A683,'Base Prueba'!A:D,4,),"NO REGISTRA")</f>
        <v>APRENDIZ UNIVERSITARIO</v>
      </c>
      <c r="E683" s="5" t="str">
        <f>IFERROR(VLOOKUP(A683,'Base Prueba'!A:E,5,),"NO REGISTRA")</f>
        <v>AREA FINANCIERA Y CONTABLE</v>
      </c>
    </row>
    <row r="684" spans="1:5" ht="15.75" x14ac:dyDescent="0.25">
      <c r="A684" s="10">
        <v>1000687931</v>
      </c>
      <c r="B684" s="2">
        <v>46038.34267395833</v>
      </c>
      <c r="C684" s="3" t="str">
        <f>IFERROR(VLOOKUP(A684,'Base Prueba'!A:C,3,),"NO REGISTRA")</f>
        <v>ANDRES FELIPE PUENTES TORRES</v>
      </c>
      <c r="D684" s="4" t="str">
        <f>IFERROR(VLOOKUP(A684,'Base Prueba'!A:D,4,),"NO REGISTRA")</f>
        <v>AUXILIAR ADMINISTRATIVO</v>
      </c>
      <c r="E684" s="5" t="str">
        <f>IFERROR(VLOOKUP(A684,'Base Prueba'!A:E,5,),"NO REGISTRA")</f>
        <v>REGISTRO Y CONTROL ACADEMICO</v>
      </c>
    </row>
    <row r="685" spans="1:5" ht="15.75" x14ac:dyDescent="0.25">
      <c r="A685" s="10">
        <v>1026599257</v>
      </c>
      <c r="B685" s="2">
        <v>46038.343480439813</v>
      </c>
      <c r="C685" s="3" t="str">
        <f>IFERROR(VLOOKUP(A685,'Base Prueba'!A:C,3,),"NO REGISTRA")</f>
        <v>YESENIA PAOLA PINEDA HURTADO</v>
      </c>
      <c r="D685" s="4" t="str">
        <f>IFERROR(VLOOKUP(A685,'Base Prueba'!A:D,4,),"NO REGISTRA")</f>
        <v>LIDER DE COMPRAS</v>
      </c>
      <c r="E685" s="5" t="str">
        <f>IFERROR(VLOOKUP(A685,'Base Prueba'!A:E,5,),"NO REGISTRA")</f>
        <v>AREA ADMINISTRATIVA</v>
      </c>
    </row>
    <row r="686" spans="1:5" ht="15.75" x14ac:dyDescent="0.25">
      <c r="A686" s="10">
        <v>1013098645</v>
      </c>
      <c r="B686" s="2">
        <v>46038.343536574073</v>
      </c>
      <c r="C686" s="3" t="str">
        <f>IFERROR(VLOOKUP(A686,'Base Prueba'!A:C,3,),"NO REGISTRA")</f>
        <v>CATHERINE LUCIA PENAGOS RIVERA</v>
      </c>
      <c r="D686" s="4" t="str">
        <f>IFERROR(VLOOKUP(A686,'Base Prueba'!A:D,4,),"NO REGISTRA")</f>
        <v>LIDER DE REGISTRO Y CONTROL ACADEMICO</v>
      </c>
      <c r="E686" s="5" t="str">
        <f>IFERROR(VLOOKUP(A686,'Base Prueba'!A:E,5,),"NO REGISTRA")</f>
        <v>REGISTRO Y CONTROL ACADEMICO</v>
      </c>
    </row>
    <row r="687" spans="1:5" ht="15.75" x14ac:dyDescent="0.25">
      <c r="A687" s="10">
        <v>1022996882</v>
      </c>
      <c r="B687" s="2">
        <v>46038.343689699075</v>
      </c>
      <c r="C687" s="3" t="str">
        <f>IFERROR(VLOOKUP(A687,'Base Prueba'!A:C,3,),"NO REGISTRA")</f>
        <v>NANCY BRIGITH ALDANA GUEVARA</v>
      </c>
      <c r="D687" s="4" t="str">
        <f>IFERROR(VLOOKUP(A687,'Base Prueba'!A:D,4,),"NO REGISTRA")</f>
        <v>COORDINADORA DE GESTIÓN HUMANA</v>
      </c>
      <c r="E687" s="5" t="str">
        <f>IFERROR(VLOOKUP(A687,'Base Prueba'!A:E,5,),"NO REGISTRA")</f>
        <v>DEPARTAMENTO DE GESTION HUMANA</v>
      </c>
    </row>
    <row r="688" spans="1:5" ht="15.75" x14ac:dyDescent="0.25">
      <c r="A688" s="10">
        <v>1000457706</v>
      </c>
      <c r="B688" s="2">
        <v>46038.34558854167</v>
      </c>
      <c r="C688" s="3" t="str">
        <f>IFERROR(VLOOKUP(A688,'Base Prueba'!A:C,3,),"NO REGISTRA")</f>
        <v>CRISTIAN DANILO ARROYO SANABRIA</v>
      </c>
      <c r="D688" s="4" t="str">
        <f>IFERROR(VLOOKUP(A688,'Base Prueba'!A:D,4,),"NO REGISTRA")</f>
        <v>AUXILIAR CONTABLE</v>
      </c>
      <c r="E688" s="5" t="str">
        <f>IFERROR(VLOOKUP(A688,'Base Prueba'!A:E,5,),"NO REGISTRA")</f>
        <v>AREA FINANCIERA Y CONTABLE</v>
      </c>
    </row>
    <row r="689" spans="1:5" ht="15.75" x14ac:dyDescent="0.25">
      <c r="A689" s="10">
        <v>1014266838</v>
      </c>
      <c r="B689" s="2">
        <v>46038.346396759262</v>
      </c>
      <c r="C689" s="3" t="str">
        <f>IFERROR(VLOOKUP(A689,'Base Prueba'!A:C,3,),"NO REGISTRA")</f>
        <v>JENNIFER ASTRID ROMERO HURTADO</v>
      </c>
      <c r="D689" s="4" t="str">
        <f>IFERROR(VLOOKUP(A689,'Base Prueba'!A:D,4,),"NO REGISTRA")</f>
        <v>LIDER DE RECAUDO</v>
      </c>
      <c r="E689" s="5" t="str">
        <f>IFERROR(VLOOKUP(A689,'Base Prueba'!A:E,5,),"NO REGISTRA")</f>
        <v>AREA FINANCIERA Y CONTABLE</v>
      </c>
    </row>
    <row r="690" spans="1:5" ht="15.75" x14ac:dyDescent="0.25">
      <c r="A690" s="10">
        <v>53932358</v>
      </c>
      <c r="B690" s="2">
        <v>46038.351865046294</v>
      </c>
      <c r="C690" s="3" t="str">
        <f>IFERROR(VLOOKUP(A690,'Base Prueba'!A:C,3,),"NO REGISTRA")</f>
        <v>DIANA MADELEYNE GAONA RODRIGUEZ</v>
      </c>
      <c r="D690" s="4" t="str">
        <f>IFERROR(VLOOKUP(A690,'Base Prueba'!A:D,4,),"NO REGISTRA")</f>
        <v>CONTADOR</v>
      </c>
      <c r="E690" s="5" t="str">
        <f>IFERROR(VLOOKUP(A690,'Base Prueba'!A:E,5,),"NO REGISTRA")</f>
        <v>AREA FINANCIERA Y CONTABLE</v>
      </c>
    </row>
    <row r="691" spans="1:5" ht="15.75" x14ac:dyDescent="0.25">
      <c r="A691" s="10">
        <v>1024505434</v>
      </c>
      <c r="B691" s="2">
        <v>46038.352106944447</v>
      </c>
      <c r="C691" s="3" t="str">
        <f>IFERROR(VLOOKUP(A691,'Base Prueba'!A:C,3,),"NO REGISTRA")</f>
        <v>CRISTIAN ALBERTO MELO TORRES</v>
      </c>
      <c r="D691" s="4" t="str">
        <f>IFERROR(VLOOKUP(A691,'Base Prueba'!A:D,4,),"NO REGISTRA")</f>
        <v>COORDINADOR DE INFRAESTRUCTURA</v>
      </c>
      <c r="E691" s="5" t="str">
        <f>IFERROR(VLOOKUP(A691,'Base Prueba'!A:E,5,),"NO REGISTRA")</f>
        <v>VICERRECTORIA ADMINISTRATIVA Y FINANCIERA</v>
      </c>
    </row>
    <row r="692" spans="1:5" ht="15.75" x14ac:dyDescent="0.25">
      <c r="A692" s="10">
        <v>80238161</v>
      </c>
      <c r="B692" s="2">
        <v>46038.355995138889</v>
      </c>
      <c r="C692" s="3" t="str">
        <f>IFERROR(VLOOKUP(A692,'Base Prueba'!A:C,3,),"NO REGISTRA")</f>
        <v>GERMAN CARRANZA ESPITIA</v>
      </c>
      <c r="D692" s="4" t="str">
        <f>IFERROR(VLOOKUP(A692,'Base Prueba'!A:D,4,),"NO REGISTRA")</f>
        <v>TESORERO</v>
      </c>
      <c r="E692" s="5" t="str">
        <f>IFERROR(VLOOKUP(A692,'Base Prueba'!A:E,5,),"NO REGISTRA")</f>
        <v>AREA FINANCIERA Y CONTABLE</v>
      </c>
    </row>
    <row r="693" spans="1:5" ht="15.75" x14ac:dyDescent="0.25">
      <c r="A693" s="10">
        <v>80234243</v>
      </c>
      <c r="B693" s="2">
        <v>46038.35614398148</v>
      </c>
      <c r="C693" s="3" t="str">
        <f>IFERROR(VLOOKUP(A693,'Base Prueba'!A:C,3,),"NO REGISTRA")</f>
        <v>ARGENIS MARTINEZ MARTINEZ</v>
      </c>
      <c r="D693" s="4" t="str">
        <f>IFERROR(VLOOKUP(A693,'Base Prueba'!A:D,4,),"NO REGISTRA")</f>
        <v>LIDER CALL CENTER</v>
      </c>
      <c r="E693" s="5" t="str">
        <f>IFERROR(VLOOKUP(A693,'Base Prueba'!A:E,5,),"NO REGISTRA")</f>
        <v>OFICINA DE MERCADEO</v>
      </c>
    </row>
    <row r="694" spans="1:5" ht="15.75" x14ac:dyDescent="0.25">
      <c r="A694" s="10">
        <v>1033709056</v>
      </c>
      <c r="B694" s="2">
        <v>46038.361877314812</v>
      </c>
      <c r="C694" s="3" t="str">
        <f>IFERROR(VLOOKUP(A694,'Base Prueba'!A:C,3,),"NO REGISTRA")</f>
        <v>YEIMY ALEXANDRA RODRIGUEZ PALACIO</v>
      </c>
      <c r="D694" s="4" t="str">
        <f>IFERROR(VLOOKUP(A694,'Base Prueba'!A:D,4,),"NO REGISTRA")</f>
        <v>PROMOTOR CALL CENTER</v>
      </c>
      <c r="E694" s="5" t="str">
        <f>IFERROR(VLOOKUP(A694,'Base Prueba'!A:E,5,),"NO REGISTRA")</f>
        <v>OFICINA DE MERCADEO</v>
      </c>
    </row>
    <row r="695" spans="1:5" ht="15.75" x14ac:dyDescent="0.25">
      <c r="A695" s="10">
        <v>1000593372</v>
      </c>
      <c r="B695" s="2">
        <v>46038.363465856484</v>
      </c>
      <c r="C695" s="3" t="str">
        <f>IFERROR(VLOOKUP(A695,'Base Prueba'!A:C,3,),"NO REGISTRA")</f>
        <v>LAURA SOFIA CHAPARRO LOPEZ</v>
      </c>
      <c r="D695" s="4" t="str">
        <f>IFERROR(VLOOKUP(A695,'Base Prueba'!A:D,4,),"NO REGISTRA")</f>
        <v>AUXILIAR JURIDICO</v>
      </c>
      <c r="E695" s="5" t="str">
        <f>IFERROR(VLOOKUP(A695,'Base Prueba'!A:E,5,),"NO REGISTRA")</f>
        <v>SECRETARIA GENERAL</v>
      </c>
    </row>
    <row r="696" spans="1:5" ht="15.75" x14ac:dyDescent="0.25">
      <c r="A696" s="10">
        <v>1000604979</v>
      </c>
      <c r="B696" s="2">
        <v>46038.363484259258</v>
      </c>
      <c r="C696" s="3" t="str">
        <f>IFERROR(VLOOKUP(A696,'Base Prueba'!A:C,3,),"NO REGISTRA")</f>
        <v>JULIETH TATIANA PARDO PINTO</v>
      </c>
      <c r="D696" s="4" t="str">
        <f>IFERROR(VLOOKUP(A696,'Base Prueba'!A:D,4,),"NO REGISTRA")</f>
        <v>AUXILIAR JURIDICO</v>
      </c>
      <c r="E696" s="5" t="str">
        <f>IFERROR(VLOOKUP(A696,'Base Prueba'!A:E,5,),"NO REGISTRA")</f>
        <v>SECRETARIA GENERAL</v>
      </c>
    </row>
    <row r="697" spans="1:5" ht="15.75" x14ac:dyDescent="0.25">
      <c r="A697" s="10">
        <v>1000254831</v>
      </c>
      <c r="B697" s="2">
        <v>46038.36855324074</v>
      </c>
      <c r="C697" s="3" t="str">
        <f>IFERROR(VLOOKUP(A697,'Base Prueba'!A:C,3,),"NO REGISTRA")</f>
        <v>BRIDGET ROSSANA DIAZ BOGOTA</v>
      </c>
      <c r="D697" s="4" t="str">
        <f>IFERROR(VLOOKUP(A697,'Base Prueba'!A:D,4,),"NO REGISTRA")</f>
        <v>AUXILIAR DE DISEÑO</v>
      </c>
      <c r="E697" s="5" t="str">
        <f>IFERROR(VLOOKUP(A697,'Base Prueba'!A:E,5,),"NO REGISTRA")</f>
        <v>OFICINA DE MERCADEO</v>
      </c>
    </row>
    <row r="698" spans="1:5" ht="15.75" x14ac:dyDescent="0.25">
      <c r="A698" s="10">
        <v>1016090131</v>
      </c>
      <c r="B698" s="2">
        <v>46038.369645486113</v>
      </c>
      <c r="C698" s="3" t="str">
        <f>IFERROR(VLOOKUP(A698,'Base Prueba'!A:C,3,),"NO REGISTRA")</f>
        <v>NICOLAS RODRIGUEZ PACHECO</v>
      </c>
      <c r="D698" s="4" t="str">
        <f>IFERROR(VLOOKUP(A698,'Base Prueba'!A:D,4,),"NO REGISTRA")</f>
        <v>COORDINADOR DE COMUNICACIONES</v>
      </c>
      <c r="E698" s="5" t="str">
        <f>IFERROR(VLOOKUP(A698,'Base Prueba'!A:E,5,),"NO REGISTRA")</f>
        <v>OFICINA DE MERCADEO</v>
      </c>
    </row>
    <row r="699" spans="1:5" ht="15.75" x14ac:dyDescent="0.25">
      <c r="A699" s="10">
        <v>52472386</v>
      </c>
      <c r="B699" s="2">
        <v>46038.372491666669</v>
      </c>
      <c r="C699" s="3" t="str">
        <f>IFERROR(VLOOKUP(A699,'Base Prueba'!A:C,3,),"NO REGISTRA")</f>
        <v>ADRIANA MARCELA MORALES PARDO</v>
      </c>
      <c r="D699" s="4" t="str">
        <f>IFERROR(VLOOKUP(A699,'Base Prueba'!A:D,4,),"NO REGISTRA")</f>
        <v>PROMOTOR CALL CENTER</v>
      </c>
      <c r="E699" s="5" t="str">
        <f>IFERROR(VLOOKUP(A699,'Base Prueba'!A:E,5,),"NO REGISTRA")</f>
        <v>OFICINA DE MERCADEO</v>
      </c>
    </row>
    <row r="700" spans="1:5" ht="15.75" x14ac:dyDescent="0.25">
      <c r="A700" s="10">
        <v>28798349</v>
      </c>
      <c r="B700" s="2">
        <v>46038.372681365741</v>
      </c>
      <c r="C700" s="3" t="str">
        <f>IFERROR(VLOOKUP(A700,'Base Prueba'!A:C,3,),"NO REGISTRA")</f>
        <v>MARTHA ISABEL TOVAR WILLIAMS</v>
      </c>
      <c r="D700" s="4" t="str">
        <f>IFERROR(VLOOKUP(A700,'Base Prueba'!A:D,4,),"NO REGISTRA")</f>
        <v>PROMOTOR CALL CENTER</v>
      </c>
      <c r="E700" s="5" t="str">
        <f>IFERROR(VLOOKUP(A700,'Base Prueba'!A:E,5,),"NO REGISTRA")</f>
        <v>OFICINA DE MERCADEO</v>
      </c>
    </row>
    <row r="701" spans="1:5" ht="15.75" x14ac:dyDescent="0.25">
      <c r="A701" s="10">
        <v>1032407386</v>
      </c>
      <c r="B701" s="2">
        <v>46038.374270601853</v>
      </c>
      <c r="C701" s="3" t="str">
        <f>IFERROR(VLOOKUP(A701,'Base Prueba'!A:C,3,),"NO REGISTRA")</f>
        <v>GINA PAOLA BAEZ GALVIS</v>
      </c>
      <c r="D701" s="4" t="str">
        <f>IFERROR(VLOOKUP(A701,'Base Prueba'!A:D,4,),"NO REGISTRA")</f>
        <v>PROMOTOR CALL CENTER</v>
      </c>
      <c r="E701" s="5" t="str">
        <f>IFERROR(VLOOKUP(A701,'Base Prueba'!A:E,5,),"NO REGISTRA")</f>
        <v>OFICINA DE MERCADEO</v>
      </c>
    </row>
    <row r="702" spans="1:5" ht="15.75" x14ac:dyDescent="0.25">
      <c r="A702" s="10">
        <v>1019105003</v>
      </c>
      <c r="B702" s="2">
        <v>46038.377310648146</v>
      </c>
      <c r="C702" s="3" t="str">
        <f>IFERROR(VLOOKUP(A702,'Base Prueba'!A:C,3,),"NO REGISTRA")</f>
        <v>DAISY JULIETH GASPAR MORENO</v>
      </c>
      <c r="D702" s="4" t="str">
        <f>IFERROR(VLOOKUP(A702,'Base Prueba'!A:D,4,),"NO REGISTRA")</f>
        <v>PROMOTOR CALL CENTER</v>
      </c>
      <c r="E702" s="5" t="str">
        <f>IFERROR(VLOOKUP(A702,'Base Prueba'!A:E,5,),"NO REGISTRA")</f>
        <v>OFICINA DE MERCADEO</v>
      </c>
    </row>
    <row r="703" spans="1:5" ht="15.75" x14ac:dyDescent="0.25">
      <c r="A703" s="10">
        <v>52764929</v>
      </c>
      <c r="B703" s="2">
        <v>46038.377560300927</v>
      </c>
      <c r="C703" s="3" t="str">
        <f>IFERROR(VLOOKUP(A703,'Base Prueba'!A:C,3,),"NO REGISTRA")</f>
        <v>GUERLY YOHANA DURAN RIVERA</v>
      </c>
      <c r="D703" s="4" t="str">
        <f>IFERROR(VLOOKUP(A703,'Base Prueba'!A:D,4,),"NO REGISTRA")</f>
        <v>LIDER DE VINCULACION COLEGIOS</v>
      </c>
      <c r="E703" s="5" t="str">
        <f>IFERROR(VLOOKUP(A703,'Base Prueba'!A:E,5,),"NO REGISTRA")</f>
        <v>OFICINA DE MERCADEO</v>
      </c>
    </row>
    <row r="704" spans="1:5" ht="15.75" x14ac:dyDescent="0.25">
      <c r="A704" s="10">
        <v>1023961952</v>
      </c>
      <c r="B704" s="2">
        <v>46038.378002546298</v>
      </c>
      <c r="C704" s="3" t="str">
        <f>IFERROR(VLOOKUP(A704,'Base Prueba'!A:C,3,),"NO REGISTRA")</f>
        <v>ALEJANDRO PINZON MERCHAN</v>
      </c>
      <c r="D704" s="4" t="str">
        <f>IFERROR(VLOOKUP(A704,'Base Prueba'!A:D,4,),"NO REGISTRA")</f>
        <v>PROMOTOR CALL CENTER</v>
      </c>
      <c r="E704" s="5" t="str">
        <f>IFERROR(VLOOKUP(A704,'Base Prueba'!A:E,5,),"NO REGISTRA")</f>
        <v>OFICINA DE MERCADEO</v>
      </c>
    </row>
    <row r="705" spans="1:5" ht="15.75" x14ac:dyDescent="0.25">
      <c r="A705" s="10">
        <v>1000046533</v>
      </c>
      <c r="B705" s="2">
        <v>46038.378186574075</v>
      </c>
      <c r="C705" s="3" t="str">
        <f>IFERROR(VLOOKUP(A705,'Base Prueba'!A:C,3,),"NO REGISTRA")</f>
        <v>ERIKA JULIETH VALDERRAMA SANCHEZ</v>
      </c>
      <c r="D705" s="4" t="str">
        <f>IFERROR(VLOOKUP(A705,'Base Prueba'!A:D,4,),"NO REGISTRA")</f>
        <v>PROMOTOR CALL CENTER</v>
      </c>
      <c r="E705" s="5" t="str">
        <f>IFERROR(VLOOKUP(A705,'Base Prueba'!A:E,5,),"NO REGISTRA")</f>
        <v>OFICINA DE MERCADEO</v>
      </c>
    </row>
    <row r="706" spans="1:5" ht="15.75" x14ac:dyDescent="0.25">
      <c r="A706" s="10">
        <v>53089882</v>
      </c>
      <c r="B706" s="2">
        <v>46038.378665277778</v>
      </c>
      <c r="C706" s="3" t="str">
        <f>IFERROR(VLOOKUP(A706,'Base Prueba'!A:C,3,),"NO REGISTRA")</f>
        <v>MARIA JOHANA ESCAMILLA MARTINEZ</v>
      </c>
      <c r="D706" s="4" t="str">
        <f>IFERROR(VLOOKUP(A706,'Base Prueba'!A:D,4,),"NO REGISTRA")</f>
        <v>PROMOTOR DE INFORMACIÓN</v>
      </c>
      <c r="E706" s="5" t="str">
        <f>IFERROR(VLOOKUP(A706,'Base Prueba'!A:E,5,),"NO REGISTRA")</f>
        <v>OFICINA DE MERCADEO</v>
      </c>
    </row>
    <row r="707" spans="1:5" ht="15.75" x14ac:dyDescent="0.25">
      <c r="A707" s="10">
        <v>1014196857</v>
      </c>
      <c r="B707" s="2">
        <v>46038.380704513889</v>
      </c>
      <c r="C707" s="3" t="str">
        <f>IFERROR(VLOOKUP(A707,'Base Prueba'!A:C,3,),"NO REGISTRA")</f>
        <v>CARLOS ANDRES JIMENEZ PARDO</v>
      </c>
      <c r="D707" s="4" t="str">
        <f>IFERROR(VLOOKUP(A707,'Base Prueba'!A:D,4,),"NO REGISTRA")</f>
        <v>COORDINADOR DE MARKETING DIGITAL</v>
      </c>
      <c r="E707" s="5" t="str">
        <f>IFERROR(VLOOKUP(A707,'Base Prueba'!A:E,5,),"NO REGISTRA")</f>
        <v>OFICINA DE MERCADEO</v>
      </c>
    </row>
    <row r="708" spans="1:5" ht="15.75" x14ac:dyDescent="0.25">
      <c r="A708" s="10">
        <v>1018413529</v>
      </c>
      <c r="B708" s="2">
        <v>46038.381851736114</v>
      </c>
      <c r="C708" s="3" t="str">
        <f>IFERROR(VLOOKUP(A708,'Base Prueba'!A:C,3,),"NO REGISTRA")</f>
        <v>FRANCY STELLA CHARRY MORENO</v>
      </c>
      <c r="D708" s="4" t="str">
        <f>IFERROR(VLOOKUP(A708,'Base Prueba'!A:D,4,),"NO REGISTRA")</f>
        <v>PROMOTOR COMERCIAL DEL CEA</v>
      </c>
      <c r="E708" s="5" t="str">
        <f>IFERROR(VLOOKUP(A708,'Base Prueba'!A:E,5,),"NO REGISTRA")</f>
        <v>OFICINA DE MERCADEO</v>
      </c>
    </row>
    <row r="709" spans="1:5" ht="15.75" x14ac:dyDescent="0.25">
      <c r="A709" s="10">
        <v>1023898029</v>
      </c>
      <c r="B709" s="2">
        <v>46038.381882175927</v>
      </c>
      <c r="C709" s="3" t="str">
        <f>IFERROR(VLOOKUP(A709,'Base Prueba'!A:C,3,),"NO REGISTRA")</f>
        <v>EMANUEL ENCISO CAMACHO</v>
      </c>
      <c r="D709" s="4" t="str">
        <f>IFERROR(VLOOKUP(A709,'Base Prueba'!A:D,4,),"NO REGISTRA")</f>
        <v>DECANO</v>
      </c>
      <c r="E709" s="5" t="str">
        <f>IFERROR(VLOOKUP(A709,'Base Prueba'!A:E,5,),"NO REGISTRA")</f>
        <v>FACULTAD DE COMINICACIÓN PERIODISMO Y ARTES</v>
      </c>
    </row>
    <row r="710" spans="1:5" ht="15.75" x14ac:dyDescent="0.25">
      <c r="A710" s="10">
        <v>1018414290</v>
      </c>
      <c r="B710" s="2">
        <v>46038.382957870374</v>
      </c>
      <c r="C710" s="3" t="str">
        <f>IFERROR(VLOOKUP(A710,'Base Prueba'!A:C,3,),"NO REGISTRA")</f>
        <v>AMANDA LISBETH RODRIGUEZ LEON</v>
      </c>
      <c r="D710" s="4" t="str">
        <f>IFERROR(VLOOKUP(A710,'Base Prueba'!A:D,4,),"NO REGISTRA")</f>
        <v>PROMOTOR CALL CENTER</v>
      </c>
      <c r="E710" s="5" t="str">
        <f>IFERROR(VLOOKUP(A710,'Base Prueba'!A:E,5,),"NO REGISTRA")</f>
        <v>OFICINA DE MERCADEO</v>
      </c>
    </row>
    <row r="711" spans="1:5" ht="15.75" x14ac:dyDescent="0.25">
      <c r="A711" s="10">
        <v>1003690253</v>
      </c>
      <c r="B711" s="2">
        <v>46038.385013541665</v>
      </c>
      <c r="C711" s="3" t="str">
        <f>IFERROR(VLOOKUP(A711,'Base Prueba'!A:C,3,),"NO REGISTRA")</f>
        <v>MELISSA GONZALEZ PEDRAZA</v>
      </c>
      <c r="D711" s="4" t="str">
        <f>IFERROR(VLOOKUP(A711,'Base Prueba'!A:D,4,),"NO REGISTRA")</f>
        <v>LIDER DE JOVENES A LA E</v>
      </c>
      <c r="E711" s="5" t="str">
        <f>IFERROR(VLOOKUP(A711,'Base Prueba'!A:E,5,),"NO REGISTRA")</f>
        <v>DIRECCION DE BIENESTAR INSTITUCIONAL</v>
      </c>
    </row>
    <row r="712" spans="1:5" ht="15.75" x14ac:dyDescent="0.25">
      <c r="A712" s="10">
        <v>1012357415</v>
      </c>
      <c r="B712" s="2">
        <v>46038.423445717592</v>
      </c>
      <c r="C712" s="3" t="str">
        <f>IFERROR(VLOOKUP(A712,'Base Prueba'!A:C,3,),"NO REGISTRA")</f>
        <v>CINDY LORENA BOHORQUEZ LEYVA</v>
      </c>
      <c r="D712" s="4" t="str">
        <f>IFERROR(VLOOKUP(A712,'Base Prueba'!A:D,4,),"NO REGISTRA")</f>
        <v>ANALISTA DE TESORERIA</v>
      </c>
      <c r="E712" s="5" t="str">
        <f>IFERROR(VLOOKUP(A712,'Base Prueba'!A:E,5,),"NO REGISTRA")</f>
        <v>AREA FINANCIERA Y CONTABLE</v>
      </c>
    </row>
    <row r="713" spans="1:5" ht="15.75" x14ac:dyDescent="0.25">
      <c r="A713" s="10">
        <v>52443092</v>
      </c>
      <c r="B713" s="2">
        <v>46038.583034027775</v>
      </c>
      <c r="C713" s="3" t="str">
        <f>IFERROR(VLOOKUP(A713,'Base Prueba'!A:C,3,),"NO REGISTRA")</f>
        <v>LUZ MYRIAM SAAVEDRA CONTRERAS</v>
      </c>
      <c r="D713" s="4" t="str">
        <f>IFERROR(VLOOKUP(A713,'Base Prueba'!A:D,4,),"NO REGISTRA")</f>
        <v>AUXILIAR DE SERVICIOS</v>
      </c>
      <c r="E713" s="5" t="str">
        <f>IFERROR(VLOOKUP(A713,'Base Prueba'!A:E,5,),"NO REGISTRA")</f>
        <v>LOGISTICA Y SERVICIOS GENERALES</v>
      </c>
    </row>
    <row r="714" spans="1:5" ht="15.75" x14ac:dyDescent="0.25">
      <c r="A714" s="10">
        <v>1000604979</v>
      </c>
      <c r="B714" s="2">
        <v>46038.642494097221</v>
      </c>
      <c r="C714" s="3" t="str">
        <f>IFERROR(VLOOKUP(A714,'Base Prueba'!A:C,3,),"NO REGISTRA")</f>
        <v>JULIETH TATIANA PARDO PINTO</v>
      </c>
      <c r="D714" s="4" t="str">
        <f>IFERROR(VLOOKUP(A714,'Base Prueba'!A:D,4,),"NO REGISTRA")</f>
        <v>AUXILIAR JURIDICO</v>
      </c>
      <c r="E714" s="5" t="str">
        <f>IFERROR(VLOOKUP(A714,'Base Prueba'!A:E,5,),"NO REGISTRA")</f>
        <v>SECRETARIA GENERAL</v>
      </c>
    </row>
    <row r="715" spans="1:5" ht="15.75" x14ac:dyDescent="0.25">
      <c r="A715" s="10">
        <v>1031802160</v>
      </c>
      <c r="B715" s="2">
        <v>46038.706233449077</v>
      </c>
      <c r="C715" s="3" t="str">
        <f>IFERROR(VLOOKUP(A715,'Base Prueba'!A:C,3,),"NO REGISTRA")</f>
        <v>LUISA MARIA MAHECHA SOTOMAYOR</v>
      </c>
      <c r="D715" s="4" t="str">
        <f>IFERROR(VLOOKUP(A715,'Base Prueba'!A:D,4,),"NO REGISTRA")</f>
        <v>APRENDIZ UNIVERSITARIO</v>
      </c>
      <c r="E715" s="5" t="str">
        <f>IFERROR(VLOOKUP(A715,'Base Prueba'!A:E,5,),"NO REGISTRA")</f>
        <v>OFICINA DE MERCADEO</v>
      </c>
    </row>
    <row r="716" spans="1:5" ht="15.75" x14ac:dyDescent="0.25">
      <c r="A716" s="10">
        <v>1024505434</v>
      </c>
      <c r="B716" s="2">
        <v>46038.708513888887</v>
      </c>
      <c r="C716" s="3" t="str">
        <f>IFERROR(VLOOKUP(A716,'Base Prueba'!A:C,3,),"NO REGISTRA")</f>
        <v>CRISTIAN ALBERTO MELO TORRES</v>
      </c>
      <c r="D716" s="4" t="str">
        <f>IFERROR(VLOOKUP(A716,'Base Prueba'!A:D,4,),"NO REGISTRA")</f>
        <v>COORDINADOR DE INFRAESTRUCTURA</v>
      </c>
      <c r="E716" s="5" t="str">
        <f>IFERROR(VLOOKUP(A716,'Base Prueba'!A:E,5,),"NO REGISTRA")</f>
        <v>VICERRECTORIA ADMINISTRATIVA Y FINANCIERA</v>
      </c>
    </row>
    <row r="717" spans="1:5" ht="15.75" x14ac:dyDescent="0.25">
      <c r="A717" s="10">
        <v>1000687931</v>
      </c>
      <c r="B717" s="2">
        <v>46038.710453935186</v>
      </c>
      <c r="C717" s="3" t="str">
        <f>IFERROR(VLOOKUP(A717,'Base Prueba'!A:C,3,),"NO REGISTRA")</f>
        <v>ANDRES FELIPE PUENTES TORRES</v>
      </c>
      <c r="D717" s="4" t="str">
        <f>IFERROR(VLOOKUP(A717,'Base Prueba'!A:D,4,),"NO REGISTRA")</f>
        <v>AUXILIAR ADMINISTRATIVO</v>
      </c>
      <c r="E717" s="5" t="str">
        <f>IFERROR(VLOOKUP(A717,'Base Prueba'!A:E,5,),"NO REGISTRA")</f>
        <v>REGISTRO Y CONTROL ACADEMICO</v>
      </c>
    </row>
    <row r="718" spans="1:5" ht="15.75" x14ac:dyDescent="0.25">
      <c r="A718" s="10">
        <v>1000593372</v>
      </c>
      <c r="B718" s="2">
        <v>46038.711096296298</v>
      </c>
      <c r="C718" s="3" t="str">
        <f>IFERROR(VLOOKUP(A718,'Base Prueba'!A:C,3,),"NO REGISTRA")</f>
        <v>LAURA SOFIA CHAPARRO LOPEZ</v>
      </c>
      <c r="D718" s="4" t="str">
        <f>IFERROR(VLOOKUP(A718,'Base Prueba'!A:D,4,),"NO REGISTRA")</f>
        <v>AUXILIAR JURIDICO</v>
      </c>
      <c r="E718" s="5" t="str">
        <f>IFERROR(VLOOKUP(A718,'Base Prueba'!A:E,5,),"NO REGISTRA")</f>
        <v>SECRETARIA GENERAL</v>
      </c>
    </row>
    <row r="719" spans="1:5" ht="15.75" x14ac:dyDescent="0.25">
      <c r="A719" s="10">
        <v>1193457976</v>
      </c>
      <c r="B719" s="2">
        <v>46038.712943981482</v>
      </c>
      <c r="C719" s="3" t="str">
        <f>IFERROR(VLOOKUP(A719,'Base Prueba'!A:C,3,),"NO REGISTRA")</f>
        <v>SEDENIS RIVAS ASPRILLA</v>
      </c>
      <c r="D719" s="4" t="str">
        <f>IFERROR(VLOOKUP(A719,'Base Prueba'!A:D,4,),"NO REGISTRA")</f>
        <v>APRENDIZ UNIVERSITARIO</v>
      </c>
      <c r="E719" s="5" t="str">
        <f>IFERROR(VLOOKUP(A719,'Base Prueba'!A:E,5,),"NO REGISTRA")</f>
        <v>DEPARTAMENTO DE GESTION HUMANA</v>
      </c>
    </row>
    <row r="720" spans="1:5" ht="15.75" x14ac:dyDescent="0.25">
      <c r="A720" s="10">
        <v>1000467399</v>
      </c>
      <c r="B720" s="2">
        <v>46038.713388194446</v>
      </c>
      <c r="C720" s="3" t="str">
        <f>IFERROR(VLOOKUP(A720,'Base Prueba'!A:C,3,),"NO REGISTRA")</f>
        <v>BRANDO ESTIVEN DIAZ QUIMBAYA</v>
      </c>
      <c r="D720" s="4" t="str">
        <f>IFERROR(VLOOKUP(A720,'Base Prueba'!A:D,4,),"NO REGISTRA")</f>
        <v>APRENDIZ UNIVERSITARIO</v>
      </c>
      <c r="E720" s="5" t="str">
        <f>IFERROR(VLOOKUP(A720,'Base Prueba'!A:E,5,),"NO REGISTRA")</f>
        <v>DEPARTAMENTO DE GESTION HUMANA</v>
      </c>
    </row>
    <row r="721" spans="1:5" ht="15.75" x14ac:dyDescent="0.25">
      <c r="A721" s="10">
        <v>1032469638</v>
      </c>
      <c r="B721" s="2">
        <v>46038.714311226853</v>
      </c>
      <c r="C721" s="3" t="str">
        <f>IFERROR(VLOOKUP(A721,'Base Prueba'!A:C,3,),"NO REGISTRA")</f>
        <v>MAICOL JARBEY GUALTEROS CASTAÑEDA</v>
      </c>
      <c r="D721" s="4" t="str">
        <f>IFERROR(VLOOKUP(A721,'Base Prueba'!A:D,4,),"NO REGISTRA")</f>
        <v>COORDINADOR DEL SISTEMA INTERNO DE ASEGURAMIENTO DE LA CALIDAD - SIAC</v>
      </c>
      <c r="E721" s="5" t="str">
        <f>IFERROR(VLOOKUP(A721,'Base Prueba'!A:E,5,),"NO REGISTRA")</f>
        <v>OFICINA DE PLANEACION Y GESTION DE LA CALIDAD</v>
      </c>
    </row>
    <row r="722" spans="1:5" ht="15.75" x14ac:dyDescent="0.25">
      <c r="A722" s="10">
        <v>1049644802</v>
      </c>
      <c r="B722" s="2">
        <v>46038.714426273145</v>
      </c>
      <c r="C722" s="3" t="str">
        <f>IFERROR(VLOOKUP(A722,'Base Prueba'!A:C,3,),"NO REGISTRA")</f>
        <v>DANIELA ALEXANDRA CIPAMOCHA BOSIGA</v>
      </c>
      <c r="D722" s="4" t="str">
        <f>IFERROR(VLOOKUP(A722,'Base Prueba'!A:D,4,),"NO REGISTRA")</f>
        <v>LIDER DE DATOS Y SERVICIOS</v>
      </c>
      <c r="E722" s="5" t="str">
        <f>IFERROR(VLOOKUP(A722,'Base Prueba'!A:E,5,),"NO REGISTRA")</f>
        <v>OFICINA DE PLANEACION Y GESTION DE LA CALIDAD</v>
      </c>
    </row>
    <row r="723" spans="1:5" ht="15.75" x14ac:dyDescent="0.25">
      <c r="A723" s="10">
        <v>1087121273</v>
      </c>
      <c r="B723" s="2">
        <v>46038.731312037038</v>
      </c>
      <c r="C723" s="3" t="str">
        <f>IFERROR(VLOOKUP(A723,'Base Prueba'!A:C,3,),"NO REGISTRA")</f>
        <v>MAYRA ALEJANDRA CASTILLO ARBOLEDA</v>
      </c>
      <c r="D723" s="4" t="str">
        <f>IFERROR(VLOOKUP(A723,'Base Prueba'!A:D,4,),"NO REGISTRA")</f>
        <v>APOYO INTEGRAL DE MERCADEO</v>
      </c>
      <c r="E723" s="5" t="str">
        <f>IFERROR(VLOOKUP(A723,'Base Prueba'!A:E,5,),"NO REGISTRA")</f>
        <v>CENTRO DE GESTION DOCUMENTAL</v>
      </c>
    </row>
    <row r="724" spans="1:5" ht="15.75" x14ac:dyDescent="0.25">
      <c r="A724" s="10">
        <v>80238161</v>
      </c>
      <c r="B724" s="2">
        <v>46038.742263194443</v>
      </c>
      <c r="C724" s="3" t="str">
        <f>IFERROR(VLOOKUP(A724,'Base Prueba'!A:C,3,),"NO REGISTRA")</f>
        <v>GERMAN CARRANZA ESPITIA</v>
      </c>
      <c r="D724" s="4" t="str">
        <f>IFERROR(VLOOKUP(A724,'Base Prueba'!A:D,4,),"NO REGISTRA")</f>
        <v>TESORERO</v>
      </c>
      <c r="E724" s="5" t="str">
        <f>IFERROR(VLOOKUP(A724,'Base Prueba'!A:E,5,),"NO REGISTRA")</f>
        <v>AREA FINANCIERA Y CONTABLE</v>
      </c>
    </row>
    <row r="725" spans="1:5" ht="15.75" x14ac:dyDescent="0.25">
      <c r="A725" s="10">
        <v>1026599257</v>
      </c>
      <c r="B725" s="2">
        <v>46038.744103240744</v>
      </c>
      <c r="C725" s="3" t="str">
        <f>IFERROR(VLOOKUP(A725,'Base Prueba'!A:C,3,),"NO REGISTRA")</f>
        <v>YESENIA PAOLA PINEDA HURTADO</v>
      </c>
      <c r="D725" s="4" t="str">
        <f>IFERROR(VLOOKUP(A725,'Base Prueba'!A:D,4,),"NO REGISTRA")</f>
        <v>LIDER DE COMPRAS</v>
      </c>
      <c r="E725" s="5" t="str">
        <f>IFERROR(VLOOKUP(A725,'Base Prueba'!A:E,5,),"NO REGISTRA")</f>
        <v>AREA ADMINISTRATIVA</v>
      </c>
    </row>
    <row r="726" spans="1:5" ht="15.75" x14ac:dyDescent="0.25">
      <c r="A726" s="10">
        <v>1000046533</v>
      </c>
      <c r="B726" s="2">
        <v>46038.749775578704</v>
      </c>
      <c r="C726" s="3" t="str">
        <f>IFERROR(VLOOKUP(A726,'Base Prueba'!A:C,3,),"NO REGISTRA")</f>
        <v>ERIKA JULIETH VALDERRAMA SANCHEZ</v>
      </c>
      <c r="D726" s="4" t="str">
        <f>IFERROR(VLOOKUP(A726,'Base Prueba'!A:D,4,),"NO REGISTRA")</f>
        <v>PROMOTOR CALL CENTER</v>
      </c>
      <c r="E726" s="5" t="str">
        <f>IFERROR(VLOOKUP(A726,'Base Prueba'!A:E,5,),"NO REGISTRA")</f>
        <v>OFICINA DE MERCADEO</v>
      </c>
    </row>
    <row r="727" spans="1:5" ht="15.75" x14ac:dyDescent="0.25">
      <c r="A727" s="10">
        <v>52764929</v>
      </c>
      <c r="B727" s="2">
        <v>46038.749980902779</v>
      </c>
      <c r="C727" s="3" t="str">
        <f>IFERROR(VLOOKUP(A727,'Base Prueba'!A:C,3,),"NO REGISTRA")</f>
        <v>GUERLY YOHANA DURAN RIVERA</v>
      </c>
      <c r="D727" s="4" t="str">
        <f>IFERROR(VLOOKUP(A727,'Base Prueba'!A:D,4,),"NO REGISTRA")</f>
        <v>LIDER DE VINCULACION COLEGIOS</v>
      </c>
      <c r="E727" s="5" t="str">
        <f>IFERROR(VLOOKUP(A727,'Base Prueba'!A:E,5,),"NO REGISTRA")</f>
        <v>OFICINA DE MERCADEO</v>
      </c>
    </row>
    <row r="728" spans="1:5" ht="15.75" x14ac:dyDescent="0.25">
      <c r="A728" s="10">
        <v>1014308296</v>
      </c>
      <c r="B728" s="2">
        <v>46038.75130358796</v>
      </c>
      <c r="C728" s="3" t="str">
        <f>IFERROR(VLOOKUP(A728,'Base Prueba'!A:C,3,),"NO REGISTRA")</f>
        <v>DARLENE YULIANA MORENO CELEITA</v>
      </c>
      <c r="D728" s="4" t="str">
        <f>IFERROR(VLOOKUP(A728,'Base Prueba'!A:D,4,),"NO REGISTRA")</f>
        <v>CAJERO PRINCIPAL</v>
      </c>
      <c r="E728" s="5" t="str">
        <f>IFERROR(VLOOKUP(A728,'Base Prueba'!A:E,5,),"NO REGISTRA")</f>
        <v>AREA FINANCIERA Y CONTABLE</v>
      </c>
    </row>
    <row r="729" spans="1:5" ht="15.75" x14ac:dyDescent="0.25">
      <c r="A729" s="10">
        <v>1013616244</v>
      </c>
      <c r="B729" s="2">
        <v>46038.751540972225</v>
      </c>
      <c r="C729" s="3" t="str">
        <f>IFERROR(VLOOKUP(A729,'Base Prueba'!A:C,3,),"NO REGISTRA")</f>
        <v>DIANA CAROLINA MARIN BETANCOURT</v>
      </c>
      <c r="D729" s="4" t="str">
        <f>IFERROR(VLOOKUP(A729,'Base Prueba'!A:D,4,),"NO REGISTRA")</f>
        <v>AUXILIAR ADMINISTRATIVO</v>
      </c>
      <c r="E729" s="5" t="str">
        <f>IFERROR(VLOOKUP(A729,'Base Prueba'!A:E,5,),"NO REGISTRA")</f>
        <v>REGISTRO Y CONTROL ACADEMICO</v>
      </c>
    </row>
    <row r="730" spans="1:5" ht="15.75" x14ac:dyDescent="0.25">
      <c r="A730" s="10">
        <v>1019105003</v>
      </c>
      <c r="B730" s="2">
        <v>46038.756161574071</v>
      </c>
      <c r="C730" s="3" t="str">
        <f>IFERROR(VLOOKUP(A730,'Base Prueba'!A:C,3,),"NO REGISTRA")</f>
        <v>DAISY JULIETH GASPAR MORENO</v>
      </c>
      <c r="D730" s="4" t="str">
        <f>IFERROR(VLOOKUP(A730,'Base Prueba'!A:D,4,),"NO REGISTRA")</f>
        <v>PROMOTOR CALL CENTER</v>
      </c>
      <c r="E730" s="5" t="str">
        <f>IFERROR(VLOOKUP(A730,'Base Prueba'!A:E,5,),"NO REGISTRA")</f>
        <v>OFICINA DE MERCADEO</v>
      </c>
    </row>
    <row r="731" spans="1:5" ht="15.75" x14ac:dyDescent="0.25">
      <c r="A731" s="10">
        <v>1000365751</v>
      </c>
      <c r="B731" s="2">
        <v>46038.756757175928</v>
      </c>
      <c r="C731" s="3" t="str">
        <f>IFERROR(VLOOKUP(A731,'Base Prueba'!A:C,3,),"NO REGISTRA")</f>
        <v>JHOAN NICOLAS ESCAMILLA MANJARRES</v>
      </c>
      <c r="D731" s="4" t="str">
        <f>IFERROR(VLOOKUP(A731,'Base Prueba'!A:D,4,),"NO REGISTRA")</f>
        <v>APRENDIZ UNIVERSITARIO</v>
      </c>
      <c r="E731" s="5" t="str">
        <f>IFERROR(VLOOKUP(A731,'Base Prueba'!A:E,5,),"NO REGISTRA")</f>
        <v>OFICINA DE MERCADEO</v>
      </c>
    </row>
    <row r="732" spans="1:5" ht="15.75" x14ac:dyDescent="0.25">
      <c r="A732" s="10">
        <v>1016090131</v>
      </c>
      <c r="B732" s="2">
        <v>46038.756808333332</v>
      </c>
      <c r="C732" s="3" t="str">
        <f>IFERROR(VLOOKUP(A732,'Base Prueba'!A:C,3,),"NO REGISTRA")</f>
        <v>NICOLAS RODRIGUEZ PACHECO</v>
      </c>
      <c r="D732" s="4" t="str">
        <f>IFERROR(VLOOKUP(A732,'Base Prueba'!A:D,4,),"NO REGISTRA")</f>
        <v>COORDINADOR DE COMUNICACIONES</v>
      </c>
      <c r="E732" s="5" t="str">
        <f>IFERROR(VLOOKUP(A732,'Base Prueba'!A:E,5,),"NO REGISTRA")</f>
        <v>OFICINA DE MERCADEO</v>
      </c>
    </row>
    <row r="733" spans="1:5" ht="15.75" x14ac:dyDescent="0.25">
      <c r="A733" s="10">
        <v>1014196857</v>
      </c>
      <c r="B733" s="2">
        <v>46038.756889467593</v>
      </c>
      <c r="C733" s="3" t="str">
        <f>IFERROR(VLOOKUP(A733,'Base Prueba'!A:C,3,),"NO REGISTRA")</f>
        <v>CARLOS ANDRES JIMENEZ PARDO</v>
      </c>
      <c r="D733" s="4" t="str">
        <f>IFERROR(VLOOKUP(A733,'Base Prueba'!A:D,4,),"NO REGISTRA")</f>
        <v>COORDINADOR DE MARKETING DIGITAL</v>
      </c>
      <c r="E733" s="5" t="str">
        <f>IFERROR(VLOOKUP(A733,'Base Prueba'!A:E,5,),"NO REGISTRA")</f>
        <v>OFICINA DE MERCADEO</v>
      </c>
    </row>
    <row r="734" spans="1:5" ht="15.75" x14ac:dyDescent="0.25">
      <c r="A734" s="10">
        <v>1033709056</v>
      </c>
      <c r="B734" s="2">
        <v>46038.758943171299</v>
      </c>
      <c r="C734" s="3" t="str">
        <f>IFERROR(VLOOKUP(A734,'Base Prueba'!A:C,3,),"NO REGISTRA")</f>
        <v>YEIMY ALEXANDRA RODRIGUEZ PALACIO</v>
      </c>
      <c r="D734" s="4" t="str">
        <f>IFERROR(VLOOKUP(A734,'Base Prueba'!A:D,4,),"NO REGISTRA")</f>
        <v>PROMOTOR CALL CENTER</v>
      </c>
      <c r="E734" s="5" t="str">
        <f>IFERROR(VLOOKUP(A734,'Base Prueba'!A:E,5,),"NO REGISTRA")</f>
        <v>OFICINA DE MERCADEO</v>
      </c>
    </row>
    <row r="735" spans="1:5" ht="15.75" x14ac:dyDescent="0.25">
      <c r="A735" s="10">
        <v>1000254831</v>
      </c>
      <c r="B735" s="2">
        <v>46038.758987152774</v>
      </c>
      <c r="C735" s="3" t="str">
        <f>IFERROR(VLOOKUP(A735,'Base Prueba'!A:C,3,),"NO REGISTRA")</f>
        <v>BRIDGET ROSSANA DIAZ BOGOTA</v>
      </c>
      <c r="D735" s="4" t="str">
        <f>IFERROR(VLOOKUP(A735,'Base Prueba'!A:D,4,),"NO REGISTRA")</f>
        <v>AUXILIAR DE DISEÑO</v>
      </c>
      <c r="E735" s="5" t="str">
        <f>IFERROR(VLOOKUP(A735,'Base Prueba'!A:E,5,),"NO REGISTRA")</f>
        <v>OFICINA DE MERCADEO</v>
      </c>
    </row>
    <row r="736" spans="1:5" ht="15.75" x14ac:dyDescent="0.25">
      <c r="A736" s="10">
        <v>1018414290</v>
      </c>
      <c r="B736" s="2">
        <v>46038.761071875</v>
      </c>
      <c r="C736" s="3" t="str">
        <f>IFERROR(VLOOKUP(A736,'Base Prueba'!A:C,3,),"NO REGISTRA")</f>
        <v>AMANDA LISBETH RODRIGUEZ LEON</v>
      </c>
      <c r="D736" s="4" t="str">
        <f>IFERROR(VLOOKUP(A736,'Base Prueba'!A:D,4,),"NO REGISTRA")</f>
        <v>PROMOTOR CALL CENTER</v>
      </c>
      <c r="E736" s="5" t="str">
        <f>IFERROR(VLOOKUP(A736,'Base Prueba'!A:E,5,),"NO REGISTRA")</f>
        <v>OFICINA DE MERCADEO</v>
      </c>
    </row>
    <row r="737" spans="1:5" ht="15.75" x14ac:dyDescent="0.25">
      <c r="A737" s="10">
        <v>1032407386</v>
      </c>
      <c r="B737" s="2">
        <v>46038.761109837964</v>
      </c>
      <c r="C737" s="3" t="str">
        <f>IFERROR(VLOOKUP(A737,'Base Prueba'!A:C,3,),"NO REGISTRA")</f>
        <v>GINA PAOLA BAEZ GALVIS</v>
      </c>
      <c r="D737" s="4" t="str">
        <f>IFERROR(VLOOKUP(A737,'Base Prueba'!A:D,4,),"NO REGISTRA")</f>
        <v>PROMOTOR CALL CENTER</v>
      </c>
      <c r="E737" s="5" t="str">
        <f>IFERROR(VLOOKUP(A737,'Base Prueba'!A:E,5,),"NO REGISTRA")</f>
        <v>OFICINA DE MERCADEO</v>
      </c>
    </row>
    <row r="738" spans="1:5" ht="15.75" x14ac:dyDescent="0.25">
      <c r="A738" s="10">
        <v>28798349</v>
      </c>
      <c r="B738" s="2">
        <v>46038.7611875</v>
      </c>
      <c r="C738" s="3" t="str">
        <f>IFERROR(VLOOKUP(A738,'Base Prueba'!A:C,3,),"NO REGISTRA")</f>
        <v>MARTHA ISABEL TOVAR WILLIAMS</v>
      </c>
      <c r="D738" s="4" t="str">
        <f>IFERROR(VLOOKUP(A738,'Base Prueba'!A:D,4,),"NO REGISTRA")</f>
        <v>PROMOTOR CALL CENTER</v>
      </c>
      <c r="E738" s="5" t="str">
        <f>IFERROR(VLOOKUP(A738,'Base Prueba'!A:E,5,),"NO REGISTRA")</f>
        <v>OFICINA DE MERCADEO</v>
      </c>
    </row>
    <row r="739" spans="1:5" ht="15.75" x14ac:dyDescent="0.25">
      <c r="A739" s="10">
        <v>1023961952</v>
      </c>
      <c r="B739" s="2">
        <v>46038.761677430557</v>
      </c>
      <c r="C739" s="3" t="str">
        <f>IFERROR(VLOOKUP(A739,'Base Prueba'!A:C,3,),"NO REGISTRA")</f>
        <v>ALEJANDRO PINZON MERCHAN</v>
      </c>
      <c r="D739" s="4" t="str">
        <f>IFERROR(VLOOKUP(A739,'Base Prueba'!A:D,4,),"NO REGISTRA")</f>
        <v>PROMOTOR CALL CENTER</v>
      </c>
      <c r="E739" s="5" t="str">
        <f>IFERROR(VLOOKUP(A739,'Base Prueba'!A:E,5,),"NO REGISTRA")</f>
        <v>OFICINA DE MERCADEO</v>
      </c>
    </row>
    <row r="740" spans="1:5" ht="15.75" x14ac:dyDescent="0.25">
      <c r="A740" s="10">
        <v>1003690253</v>
      </c>
      <c r="B740" s="2">
        <v>46038.761848148148</v>
      </c>
      <c r="C740" s="3" t="str">
        <f>IFERROR(VLOOKUP(A740,'Base Prueba'!A:C,3,),"NO REGISTRA")</f>
        <v>MELISSA GONZALEZ PEDRAZA</v>
      </c>
      <c r="D740" s="4" t="str">
        <f>IFERROR(VLOOKUP(A740,'Base Prueba'!A:D,4,),"NO REGISTRA")</f>
        <v>LIDER DE JOVENES A LA E</v>
      </c>
      <c r="E740" s="5" t="str">
        <f>IFERROR(VLOOKUP(A740,'Base Prueba'!A:E,5,),"NO REGISTRA")</f>
        <v>DIRECCION DE BIENESTAR INSTITUCIONAL</v>
      </c>
    </row>
    <row r="741" spans="1:5" ht="15.75" x14ac:dyDescent="0.25">
      <c r="A741" s="10">
        <v>53089882</v>
      </c>
      <c r="B741" s="2">
        <v>46038.764908333331</v>
      </c>
      <c r="C741" s="3" t="str">
        <f>IFERROR(VLOOKUP(A741,'Base Prueba'!A:C,3,),"NO REGISTRA")</f>
        <v>MARIA JOHANA ESCAMILLA MARTINEZ</v>
      </c>
      <c r="D741" s="4" t="str">
        <f>IFERROR(VLOOKUP(A741,'Base Prueba'!A:D,4,),"NO REGISTRA")</f>
        <v>PROMOTOR DE INFORMACIÓN</v>
      </c>
      <c r="E741" s="5" t="str">
        <f>IFERROR(VLOOKUP(A741,'Base Prueba'!A:E,5,),"NO REGISTRA")</f>
        <v>OFICINA DE MERCADEO</v>
      </c>
    </row>
    <row r="742" spans="1:5" ht="15.75" x14ac:dyDescent="0.25">
      <c r="A742" s="10">
        <v>1018413529</v>
      </c>
      <c r="B742" s="2">
        <v>46038.764962615744</v>
      </c>
      <c r="C742" s="3" t="str">
        <f>IFERROR(VLOOKUP(A742,'Base Prueba'!A:C,3,),"NO REGISTRA")</f>
        <v>FRANCY STELLA CHARRY MORENO</v>
      </c>
      <c r="D742" s="4" t="str">
        <f>IFERROR(VLOOKUP(A742,'Base Prueba'!A:D,4,),"NO REGISTRA")</f>
        <v>PROMOTOR COMERCIAL DEL CEA</v>
      </c>
      <c r="E742" s="5" t="str">
        <f>IFERROR(VLOOKUP(A742,'Base Prueba'!A:E,5,),"NO REGISTRA")</f>
        <v>OFICINA DE MERCADEO</v>
      </c>
    </row>
    <row r="743" spans="1:5" ht="15.75" x14ac:dyDescent="0.25">
      <c r="A743" s="10">
        <v>52472386</v>
      </c>
      <c r="B743" s="2">
        <v>46038.768240625002</v>
      </c>
      <c r="C743" s="3" t="str">
        <f>IFERROR(VLOOKUP(A743,'Base Prueba'!A:C,3,),"NO REGISTRA")</f>
        <v>ADRIANA MARCELA MORALES PARDO</v>
      </c>
      <c r="D743" s="4" t="str">
        <f>IFERROR(VLOOKUP(A743,'Base Prueba'!A:D,4,),"NO REGISTRA")</f>
        <v>PROMOTOR CALL CENTER</v>
      </c>
      <c r="E743" s="5" t="str">
        <f>IFERROR(VLOOKUP(A743,'Base Prueba'!A:E,5,),"NO REGISTRA")</f>
        <v>OFICINA DE MERCADEO</v>
      </c>
    </row>
    <row r="744" spans="1:5" ht="15.75" x14ac:dyDescent="0.25">
      <c r="A744" s="10">
        <v>1000257136</v>
      </c>
      <c r="B744" s="2">
        <v>46038.77788425926</v>
      </c>
      <c r="C744" s="3" t="str">
        <f>IFERROR(VLOOKUP(A744,'Base Prueba'!A:C,3,),"NO REGISTRA")</f>
        <v>FRANCI VALENTINA CANO PUENTES</v>
      </c>
      <c r="D744" s="4" t="str">
        <f>IFERROR(VLOOKUP(A744,'Base Prueba'!A:D,4,),"NO REGISTRA")</f>
        <v>AUXILIAR CONTABLE</v>
      </c>
      <c r="E744" s="5" t="str">
        <f>IFERROR(VLOOKUP(A744,'Base Prueba'!A:E,5,),"NO REGISTRA")</f>
        <v>AREA FINANCIERA Y CONTABLE</v>
      </c>
    </row>
    <row r="745" spans="1:5" ht="15.75" x14ac:dyDescent="0.25">
      <c r="A745" s="10">
        <v>80234243</v>
      </c>
      <c r="B745" s="2">
        <v>46038.778608912035</v>
      </c>
      <c r="C745" s="3" t="str">
        <f>IFERROR(VLOOKUP(A745,'Base Prueba'!A:C,3,),"NO REGISTRA")</f>
        <v>ARGENIS MARTINEZ MARTINEZ</v>
      </c>
      <c r="D745" s="4" t="str">
        <f>IFERROR(VLOOKUP(A745,'Base Prueba'!A:D,4,),"NO REGISTRA")</f>
        <v>LIDER CALL CENTER</v>
      </c>
      <c r="E745" s="5" t="str">
        <f>IFERROR(VLOOKUP(A745,'Base Prueba'!A:E,5,),"NO REGISTRA")</f>
        <v>OFICINA DE MERCADEO</v>
      </c>
    </row>
    <row r="746" spans="1:5" ht="15.75" x14ac:dyDescent="0.25">
      <c r="A746" s="10">
        <v>1000457706</v>
      </c>
      <c r="B746" s="2">
        <v>46038.780476504631</v>
      </c>
      <c r="C746" s="3" t="str">
        <f>IFERROR(VLOOKUP(A746,'Base Prueba'!A:C,3,),"NO REGISTRA")</f>
        <v>CRISTIAN DANILO ARROYO SANABRIA</v>
      </c>
      <c r="D746" s="4" t="str">
        <f>IFERROR(VLOOKUP(A746,'Base Prueba'!A:D,4,),"NO REGISTRA")</f>
        <v>AUXILIAR CONTABLE</v>
      </c>
      <c r="E746" s="5" t="str">
        <f>IFERROR(VLOOKUP(A746,'Base Prueba'!A:E,5,),"NO REGISTRA")</f>
        <v>AREA FINANCIERA Y CONTABLE</v>
      </c>
    </row>
    <row r="747" spans="1:5" ht="15.75" x14ac:dyDescent="0.25">
      <c r="A747" s="10">
        <v>1013098645</v>
      </c>
      <c r="B747" s="2">
        <v>46038.780986689817</v>
      </c>
      <c r="C747" s="3" t="str">
        <f>IFERROR(VLOOKUP(A747,'Base Prueba'!A:C,3,),"NO REGISTRA")</f>
        <v>CATHERINE LUCIA PENAGOS RIVERA</v>
      </c>
      <c r="D747" s="4" t="str">
        <f>IFERROR(VLOOKUP(A747,'Base Prueba'!A:D,4,),"NO REGISTRA")</f>
        <v>LIDER DE REGISTRO Y CONTROL ACADEMICO</v>
      </c>
      <c r="E747" s="5" t="str">
        <f>IFERROR(VLOOKUP(A747,'Base Prueba'!A:E,5,),"NO REGISTRA")</f>
        <v>REGISTRO Y CONTROL ACADEMICO</v>
      </c>
    </row>
    <row r="748" spans="1:5" ht="15.75" x14ac:dyDescent="0.25">
      <c r="A748" s="10">
        <v>1014977624</v>
      </c>
      <c r="B748" s="2">
        <v>46038.809825694443</v>
      </c>
      <c r="C748" s="3" t="str">
        <f>IFERROR(VLOOKUP(A748,'Base Prueba'!A:C,3,),"NO REGISTRA")</f>
        <v>NICCOLE VALENTINA HERNANDEZ MALAVER</v>
      </c>
      <c r="D748" s="4" t="str">
        <f>IFERROR(VLOOKUP(A748,'Base Prueba'!A:D,4,),"NO REGISTRA")</f>
        <v>APRENDIZ UNIVERSITARIO</v>
      </c>
      <c r="E748" s="5" t="str">
        <f>IFERROR(VLOOKUP(A748,'Base Prueba'!A:E,5,),"NO REGISTRA")</f>
        <v>AREA FINANCIERA Y CONTABLE</v>
      </c>
    </row>
    <row r="749" spans="1:5" ht="15.75" x14ac:dyDescent="0.25">
      <c r="A749" s="10">
        <v>1012357415</v>
      </c>
      <c r="B749" s="2">
        <v>46038.811152662034</v>
      </c>
      <c r="C749" s="3" t="str">
        <f>IFERROR(VLOOKUP(A749,'Base Prueba'!A:C,3,),"NO REGISTRA")</f>
        <v>CINDY LORENA BOHORQUEZ LEYVA</v>
      </c>
      <c r="D749" s="4" t="str">
        <f>IFERROR(VLOOKUP(A749,'Base Prueba'!A:D,4,),"NO REGISTRA")</f>
        <v>ANALISTA DE TESORERIA</v>
      </c>
      <c r="E749" s="5" t="str">
        <f>IFERROR(VLOOKUP(A749,'Base Prueba'!A:E,5,),"NO REGISTRA")</f>
        <v>AREA FINANCIERA Y CONTABLE</v>
      </c>
    </row>
    <row r="750" spans="1:5" ht="15.75" x14ac:dyDescent="0.25">
      <c r="A750" s="10">
        <v>53932358</v>
      </c>
      <c r="B750" s="2">
        <v>46038.831705092591</v>
      </c>
      <c r="C750" s="3" t="str">
        <f>IFERROR(VLOOKUP(A750,'Base Prueba'!A:C,3,),"NO REGISTRA")</f>
        <v>DIANA MADELEYNE GAONA RODRIGUEZ</v>
      </c>
      <c r="D750" s="4" t="str">
        <f>IFERROR(VLOOKUP(A750,'Base Prueba'!A:D,4,),"NO REGISTRA")</f>
        <v>CONTADOR</v>
      </c>
      <c r="E750" s="5" t="str">
        <f>IFERROR(VLOOKUP(A750,'Base Prueba'!A:E,5,),"NO REGISTRA")</f>
        <v>AREA FINANCIERA Y CONTABLE</v>
      </c>
    </row>
    <row r="751" spans="1:5" ht="15.75" x14ac:dyDescent="0.25">
      <c r="A751" s="10">
        <v>1014266838</v>
      </c>
      <c r="B751" s="2">
        <v>46038.831943518519</v>
      </c>
      <c r="C751" s="3" t="str">
        <f>IFERROR(VLOOKUP(A751,'Base Prueba'!A:C,3,),"NO REGISTRA")</f>
        <v>JENNIFER ASTRID ROMERO HURTADO</v>
      </c>
      <c r="D751" s="4" t="str">
        <f>IFERROR(VLOOKUP(A751,'Base Prueba'!A:D,4,),"NO REGISTRA")</f>
        <v>LIDER DE RECAUDO</v>
      </c>
      <c r="E751" s="5" t="str">
        <f>IFERROR(VLOOKUP(A751,'Base Prueba'!A:E,5,),"NO REGISTRA")</f>
        <v>AREA FINANCIERA Y CONTABLE</v>
      </c>
    </row>
    <row r="752" spans="1:5" ht="15.75" x14ac:dyDescent="0.25">
      <c r="A752" s="10">
        <v>1000254831</v>
      </c>
      <c r="B752" s="2">
        <v>46039.346371296298</v>
      </c>
      <c r="C752" s="3" t="str">
        <f>IFERROR(VLOOKUP(A752,'Base Prueba'!A:C,3,),"NO REGISTRA")</f>
        <v>BRIDGET ROSSANA DIAZ BOGOTA</v>
      </c>
      <c r="D752" s="4" t="str">
        <f>IFERROR(VLOOKUP(A752,'Base Prueba'!A:D,4,),"NO REGISTRA")</f>
        <v>AUXILIAR DE DISEÑO</v>
      </c>
      <c r="E752" s="5" t="str">
        <f>IFERROR(VLOOKUP(A752,'Base Prueba'!A:E,5,),"NO REGISTRA")</f>
        <v>OFICINA DE MERCADEO</v>
      </c>
    </row>
    <row r="753" spans="1:5" ht="15.75" x14ac:dyDescent="0.25">
      <c r="A753" s="10">
        <v>6</v>
      </c>
      <c r="B753" s="2">
        <v>46039.357280324075</v>
      </c>
      <c r="C753" s="3" t="str">
        <f>IFERROR(VLOOKUP(A753,'Base Prueba'!A:C,3,),"NO REGISTRA")</f>
        <v>NO REGISTRA</v>
      </c>
      <c r="D753" s="4" t="str">
        <f>IFERROR(VLOOKUP(A753,'Base Prueba'!A:D,4,),"NO REGISTRA")</f>
        <v>NO REGISTRA</v>
      </c>
      <c r="E753" s="5" t="str">
        <f>IFERROR(VLOOKUP(A753,'Base Prueba'!A:E,5,),"NO REGISTRA")</f>
        <v>NO REGISTRA</v>
      </c>
    </row>
    <row r="754" spans="1:5" ht="15.75" x14ac:dyDescent="0.25">
      <c r="A754" s="10">
        <v>1018414290</v>
      </c>
      <c r="B754" s="2">
        <v>46039.357285185186</v>
      </c>
      <c r="C754" s="3" t="str">
        <f>IFERROR(VLOOKUP(A754,'Base Prueba'!A:C,3,),"NO REGISTRA")</f>
        <v>AMANDA LISBETH RODRIGUEZ LEON</v>
      </c>
      <c r="D754" s="4" t="str">
        <f>IFERROR(VLOOKUP(A754,'Base Prueba'!A:D,4,),"NO REGISTRA")</f>
        <v>PROMOTOR CALL CENTER</v>
      </c>
      <c r="E754" s="5" t="str">
        <f>IFERROR(VLOOKUP(A754,'Base Prueba'!A:E,5,),"NO REGISTRA")</f>
        <v>OFICINA DE MERCADEO</v>
      </c>
    </row>
    <row r="755" spans="1:5" ht="15.75" x14ac:dyDescent="0.25">
      <c r="A755" s="10">
        <v>52472386</v>
      </c>
      <c r="B755" s="2">
        <v>46039.367150578706</v>
      </c>
      <c r="C755" s="3" t="str">
        <f>IFERROR(VLOOKUP(A755,'Base Prueba'!A:C,3,),"NO REGISTRA")</f>
        <v>ADRIANA MARCELA MORALES PARDO</v>
      </c>
      <c r="D755" s="4" t="str">
        <f>IFERROR(VLOOKUP(A755,'Base Prueba'!A:D,4,),"NO REGISTRA")</f>
        <v>PROMOTOR CALL CENTER</v>
      </c>
      <c r="E755" s="5" t="str">
        <f>IFERROR(VLOOKUP(A755,'Base Prueba'!A:E,5,),"NO REGISTRA")</f>
        <v>OFICINA DE MERCADEO</v>
      </c>
    </row>
    <row r="756" spans="1:5" ht="15.75" x14ac:dyDescent="0.25">
      <c r="A756" s="10">
        <v>1033709056</v>
      </c>
      <c r="B756" s="2">
        <v>46039.367342708334</v>
      </c>
      <c r="C756" s="3" t="str">
        <f>IFERROR(VLOOKUP(A756,'Base Prueba'!A:C,3,),"NO REGISTRA")</f>
        <v>YEIMY ALEXANDRA RODRIGUEZ PALACIO</v>
      </c>
      <c r="D756" s="4" t="str">
        <f>IFERROR(VLOOKUP(A756,'Base Prueba'!A:D,4,),"NO REGISTRA")</f>
        <v>PROMOTOR CALL CENTER</v>
      </c>
      <c r="E756" s="5" t="str">
        <f>IFERROR(VLOOKUP(A756,'Base Prueba'!A:E,5,),"NO REGISTRA")</f>
        <v>OFICINA DE MERCADEO</v>
      </c>
    </row>
    <row r="757" spans="1:5" ht="15.75" x14ac:dyDescent="0.25">
      <c r="A757" s="10">
        <v>80234243</v>
      </c>
      <c r="B757" s="2">
        <v>46039.367774768521</v>
      </c>
      <c r="C757" s="3" t="str">
        <f>IFERROR(VLOOKUP(A757,'Base Prueba'!A:C,3,),"NO REGISTRA")</f>
        <v>ARGENIS MARTINEZ MARTINEZ</v>
      </c>
      <c r="D757" s="4" t="str">
        <f>IFERROR(VLOOKUP(A757,'Base Prueba'!A:D,4,),"NO REGISTRA")</f>
        <v>LIDER CALL CENTER</v>
      </c>
      <c r="E757" s="5" t="str">
        <f>IFERROR(VLOOKUP(A757,'Base Prueba'!A:E,5,),"NO REGISTRA")</f>
        <v>OFICINA DE MERCADEO</v>
      </c>
    </row>
    <row r="758" spans="1:5" ht="15.75" x14ac:dyDescent="0.25">
      <c r="A758" s="10">
        <v>80238161</v>
      </c>
      <c r="B758" s="2">
        <v>46039.368860532406</v>
      </c>
      <c r="C758" s="3" t="str">
        <f>IFERROR(VLOOKUP(A758,'Base Prueba'!A:C,3,),"NO REGISTRA")</f>
        <v>GERMAN CARRANZA ESPITIA</v>
      </c>
      <c r="D758" s="4" t="str">
        <f>IFERROR(VLOOKUP(A758,'Base Prueba'!A:D,4,),"NO REGISTRA")</f>
        <v>TESORERO</v>
      </c>
      <c r="E758" s="5" t="str">
        <f>IFERROR(VLOOKUP(A758,'Base Prueba'!A:E,5,),"NO REGISTRA")</f>
        <v>AREA FINANCIERA Y CONTABLE</v>
      </c>
    </row>
    <row r="759" spans="1:5" ht="15.75" x14ac:dyDescent="0.25">
      <c r="A759" s="10">
        <v>1018413529</v>
      </c>
      <c r="B759" s="2">
        <v>46039.369462499999</v>
      </c>
      <c r="C759" s="3" t="str">
        <f>IFERROR(VLOOKUP(A759,'Base Prueba'!A:C,3,),"NO REGISTRA")</f>
        <v>FRANCY STELLA CHARRY MORENO</v>
      </c>
      <c r="D759" s="4" t="str">
        <f>IFERROR(VLOOKUP(A759,'Base Prueba'!A:D,4,),"NO REGISTRA")</f>
        <v>PROMOTOR COMERCIAL DEL CEA</v>
      </c>
      <c r="E759" s="5" t="str">
        <f>IFERROR(VLOOKUP(A759,'Base Prueba'!A:E,5,),"NO REGISTRA")</f>
        <v>OFICINA DE MERCADEO</v>
      </c>
    </row>
    <row r="760" spans="1:5" ht="15.75" x14ac:dyDescent="0.25">
      <c r="A760" s="10">
        <v>1032407386</v>
      </c>
      <c r="B760" s="2">
        <v>46039.370385648152</v>
      </c>
      <c r="C760" s="3" t="str">
        <f>IFERROR(VLOOKUP(A760,'Base Prueba'!A:C,3,),"NO REGISTRA")</f>
        <v>GINA PAOLA BAEZ GALVIS</v>
      </c>
      <c r="D760" s="4" t="str">
        <f>IFERROR(VLOOKUP(A760,'Base Prueba'!A:D,4,),"NO REGISTRA")</f>
        <v>PROMOTOR CALL CENTER</v>
      </c>
      <c r="E760" s="5" t="str">
        <f>IFERROR(VLOOKUP(A760,'Base Prueba'!A:E,5,),"NO REGISTRA")</f>
        <v>OFICINA DE MERCADEO</v>
      </c>
    </row>
    <row r="761" spans="1:5" ht="15.75" x14ac:dyDescent="0.25">
      <c r="A761" s="10">
        <v>28798349</v>
      </c>
      <c r="B761" s="2">
        <v>46039.370402893517</v>
      </c>
      <c r="C761" s="3" t="str">
        <f>IFERROR(VLOOKUP(A761,'Base Prueba'!A:C,3,),"NO REGISTRA")</f>
        <v>MARTHA ISABEL TOVAR WILLIAMS</v>
      </c>
      <c r="D761" s="4" t="str">
        <f>IFERROR(VLOOKUP(A761,'Base Prueba'!A:D,4,),"NO REGISTRA")</f>
        <v>PROMOTOR CALL CENTER</v>
      </c>
      <c r="E761" s="5" t="str">
        <f>IFERROR(VLOOKUP(A761,'Base Prueba'!A:E,5,),"NO REGISTRA")</f>
        <v>OFICINA DE MERCADEO</v>
      </c>
    </row>
    <row r="762" spans="1:5" ht="15.75" x14ac:dyDescent="0.25">
      <c r="A762" s="10">
        <v>1014308296</v>
      </c>
      <c r="B762" s="2">
        <v>46039.370845370373</v>
      </c>
      <c r="C762" s="3" t="str">
        <f>IFERROR(VLOOKUP(A762,'Base Prueba'!A:C,3,),"NO REGISTRA")</f>
        <v>DARLENE YULIANA MORENO CELEITA</v>
      </c>
      <c r="D762" s="4" t="str">
        <f>IFERROR(VLOOKUP(A762,'Base Prueba'!A:D,4,),"NO REGISTRA")</f>
        <v>CAJERO PRINCIPAL</v>
      </c>
      <c r="E762" s="5" t="str">
        <f>IFERROR(VLOOKUP(A762,'Base Prueba'!A:E,5,),"NO REGISTRA")</f>
        <v>AREA FINANCIERA Y CONTABLE</v>
      </c>
    </row>
    <row r="763" spans="1:5" ht="15.75" x14ac:dyDescent="0.25">
      <c r="A763" s="10">
        <v>1003690253</v>
      </c>
      <c r="B763" s="2">
        <v>46039.372469560185</v>
      </c>
      <c r="C763" s="3" t="str">
        <f>IFERROR(VLOOKUP(A763,'Base Prueba'!A:C,3,),"NO REGISTRA")</f>
        <v>MELISSA GONZALEZ PEDRAZA</v>
      </c>
      <c r="D763" s="4" t="str">
        <f>IFERROR(VLOOKUP(A763,'Base Prueba'!A:D,4,),"NO REGISTRA")</f>
        <v>LIDER DE JOVENES A LA E</v>
      </c>
      <c r="E763" s="5" t="str">
        <f>IFERROR(VLOOKUP(A763,'Base Prueba'!A:E,5,),"NO REGISTRA")</f>
        <v>DIRECCION DE BIENESTAR INSTITUCIONAL</v>
      </c>
    </row>
    <row r="764" spans="1:5" ht="15.75" x14ac:dyDescent="0.25">
      <c r="A764" s="10">
        <v>1023961952</v>
      </c>
      <c r="B764" s="2">
        <v>46039.375394907409</v>
      </c>
      <c r="C764" s="3" t="str">
        <f>IFERROR(VLOOKUP(A764,'Base Prueba'!A:C,3,),"NO REGISTRA")</f>
        <v>ALEJANDRO PINZON MERCHAN</v>
      </c>
      <c r="D764" s="4" t="str">
        <f>IFERROR(VLOOKUP(A764,'Base Prueba'!A:D,4,),"NO REGISTRA")</f>
        <v>PROMOTOR CALL CENTER</v>
      </c>
      <c r="E764" s="5" t="str">
        <f>IFERROR(VLOOKUP(A764,'Base Prueba'!A:E,5,),"NO REGISTRA")</f>
        <v>OFICINA DE MERCADEO</v>
      </c>
    </row>
    <row r="765" spans="1:5" ht="15.75" x14ac:dyDescent="0.25">
      <c r="A765" s="10">
        <v>53089882</v>
      </c>
      <c r="B765" s="2">
        <v>46039.377621990738</v>
      </c>
      <c r="C765" s="3" t="str">
        <f>IFERROR(VLOOKUP(A765,'Base Prueba'!A:C,3,),"NO REGISTRA")</f>
        <v>MARIA JOHANA ESCAMILLA MARTINEZ</v>
      </c>
      <c r="D765" s="4" t="str">
        <f>IFERROR(VLOOKUP(A765,'Base Prueba'!A:D,4,),"NO REGISTRA")</f>
        <v>PROMOTOR DE INFORMACIÓN</v>
      </c>
      <c r="E765" s="5" t="str">
        <f>IFERROR(VLOOKUP(A765,'Base Prueba'!A:E,5,),"NO REGISTRA")</f>
        <v>OFICINA DE MERCADEO</v>
      </c>
    </row>
    <row r="766" spans="1:5" ht="15.75" x14ac:dyDescent="0.25">
      <c r="A766" s="10">
        <v>52764929</v>
      </c>
      <c r="B766" s="2">
        <v>46039.380489699077</v>
      </c>
      <c r="C766" s="3" t="str">
        <f>IFERROR(VLOOKUP(A766,'Base Prueba'!A:C,3,),"NO REGISTRA")</f>
        <v>GUERLY YOHANA DURAN RIVERA</v>
      </c>
      <c r="D766" s="4" t="str">
        <f>IFERROR(VLOOKUP(A766,'Base Prueba'!A:D,4,),"NO REGISTRA")</f>
        <v>LIDER DE VINCULACION COLEGIOS</v>
      </c>
      <c r="E766" s="5" t="str">
        <f>IFERROR(VLOOKUP(A766,'Base Prueba'!A:E,5,),"NO REGISTRA")</f>
        <v>OFICINA DE MERCADEO</v>
      </c>
    </row>
    <row r="767" spans="1:5" ht="15.75" x14ac:dyDescent="0.25">
      <c r="A767" s="10">
        <v>1087121273</v>
      </c>
      <c r="B767" s="2">
        <v>46039.38298159722</v>
      </c>
      <c r="C767" s="3" t="str">
        <f>IFERROR(VLOOKUP(A767,'Base Prueba'!A:C,3,),"NO REGISTRA")</f>
        <v>MAYRA ALEJANDRA CASTILLO ARBOLEDA</v>
      </c>
      <c r="D767" s="4" t="str">
        <f>IFERROR(VLOOKUP(A767,'Base Prueba'!A:D,4,),"NO REGISTRA")</f>
        <v>APOYO INTEGRAL DE MERCADEO</v>
      </c>
      <c r="E767" s="5" t="str">
        <f>IFERROR(VLOOKUP(A767,'Base Prueba'!A:E,5,),"NO REGISTRA")</f>
        <v>CENTRO DE GESTION DOCUMENTAL</v>
      </c>
    </row>
    <row r="768" spans="1:5" ht="15.75" x14ac:dyDescent="0.25">
      <c r="A768" s="10">
        <v>1000254831</v>
      </c>
      <c r="B768" s="2">
        <v>46039.464339467595</v>
      </c>
      <c r="C768" s="3" t="str">
        <f>IFERROR(VLOOKUP(A768,'Base Prueba'!A:C,3,),"NO REGISTRA")</f>
        <v>BRIDGET ROSSANA DIAZ BOGOTA</v>
      </c>
      <c r="D768" s="4" t="str">
        <f>IFERROR(VLOOKUP(A768,'Base Prueba'!A:D,4,),"NO REGISTRA")</f>
        <v>AUXILIAR DE DISEÑO</v>
      </c>
      <c r="E768" s="5" t="str">
        <f>IFERROR(VLOOKUP(A768,'Base Prueba'!A:E,5,),"NO REGISTRA")</f>
        <v>OFICINA DE MERCADEO</v>
      </c>
    </row>
    <row r="769" spans="1:5" ht="15.75" x14ac:dyDescent="0.25">
      <c r="A769" s="10">
        <v>1000365751</v>
      </c>
      <c r="B769" s="2">
        <v>46039.500341319443</v>
      </c>
      <c r="C769" s="3" t="str">
        <f>IFERROR(VLOOKUP(A769,'Base Prueba'!A:C,3,),"NO REGISTRA")</f>
        <v>JHOAN NICOLAS ESCAMILLA MANJARRES</v>
      </c>
      <c r="D769" s="4" t="str">
        <f>IFERROR(VLOOKUP(A769,'Base Prueba'!A:D,4,),"NO REGISTRA")</f>
        <v>APRENDIZ UNIVERSITARIO</v>
      </c>
      <c r="E769" s="5" t="str">
        <f>IFERROR(VLOOKUP(A769,'Base Prueba'!A:E,5,),"NO REGISTRA")</f>
        <v>OFICINA DE MERCADEO</v>
      </c>
    </row>
    <row r="770" spans="1:5" ht="15.75" x14ac:dyDescent="0.25">
      <c r="A770" s="10">
        <v>52443092</v>
      </c>
      <c r="B770" s="2">
        <v>46039.501719675929</v>
      </c>
      <c r="C770" s="3" t="str">
        <f>IFERROR(VLOOKUP(A770,'Base Prueba'!A:C,3,),"NO REGISTRA")</f>
        <v>LUZ MYRIAM SAAVEDRA CONTRERAS</v>
      </c>
      <c r="D770" s="4" t="str">
        <f>IFERROR(VLOOKUP(A770,'Base Prueba'!A:D,4,),"NO REGISTRA")</f>
        <v>AUXILIAR DE SERVICIOS</v>
      </c>
      <c r="E770" s="5" t="str">
        <f>IFERROR(VLOOKUP(A770,'Base Prueba'!A:E,5,),"NO REGISTRA")</f>
        <v>LOGISTICA Y SERVICIOS GENERALES</v>
      </c>
    </row>
    <row r="771" spans="1:5" ht="15.75" x14ac:dyDescent="0.25">
      <c r="A771" s="10">
        <v>1013098645</v>
      </c>
      <c r="B771" s="2">
        <v>46039.502856944448</v>
      </c>
      <c r="C771" s="3" t="str">
        <f>IFERROR(VLOOKUP(A771,'Base Prueba'!A:C,3,),"NO REGISTRA")</f>
        <v>CATHERINE LUCIA PENAGOS RIVERA</v>
      </c>
      <c r="D771" s="4" t="str">
        <f>IFERROR(VLOOKUP(A771,'Base Prueba'!A:D,4,),"NO REGISTRA")</f>
        <v>LIDER DE REGISTRO Y CONTROL ACADEMICO</v>
      </c>
      <c r="E771" s="5" t="str">
        <f>IFERROR(VLOOKUP(A771,'Base Prueba'!A:E,5,),"NO REGISTRA")</f>
        <v>REGISTRO Y CONTROL ACADEMICO</v>
      </c>
    </row>
    <row r="772" spans="1:5" ht="15.75" x14ac:dyDescent="0.25">
      <c r="A772" s="10">
        <v>1014308296</v>
      </c>
      <c r="B772" s="2">
        <v>46039.505092476851</v>
      </c>
      <c r="C772" s="3" t="str">
        <f>IFERROR(VLOOKUP(A772,'Base Prueba'!A:C,3,),"NO REGISTRA")</f>
        <v>DARLENE YULIANA MORENO CELEITA</v>
      </c>
      <c r="D772" s="4" t="str">
        <f>IFERROR(VLOOKUP(A772,'Base Prueba'!A:D,4,),"NO REGISTRA")</f>
        <v>CAJERO PRINCIPAL</v>
      </c>
      <c r="E772" s="5" t="str">
        <f>IFERROR(VLOOKUP(A772,'Base Prueba'!A:E,5,),"NO REGISTRA")</f>
        <v>AREA FINANCIERA Y CONTABLE</v>
      </c>
    </row>
    <row r="773" spans="1:5" ht="15.75" x14ac:dyDescent="0.25">
      <c r="A773" s="10">
        <v>1087121273</v>
      </c>
      <c r="B773" s="2">
        <v>46039.505479050924</v>
      </c>
      <c r="C773" s="3" t="str">
        <f>IFERROR(VLOOKUP(A773,'Base Prueba'!A:C,3,),"NO REGISTRA")</f>
        <v>MAYRA ALEJANDRA CASTILLO ARBOLEDA</v>
      </c>
      <c r="D773" s="4" t="str">
        <f>IFERROR(VLOOKUP(A773,'Base Prueba'!A:D,4,),"NO REGISTRA")</f>
        <v>APOYO INTEGRAL DE MERCADEO</v>
      </c>
      <c r="E773" s="5" t="str">
        <f>IFERROR(VLOOKUP(A773,'Base Prueba'!A:E,5,),"NO REGISTRA")</f>
        <v>CENTRO DE GESTION DOCUMENTAL</v>
      </c>
    </row>
    <row r="774" spans="1:5" ht="15.75" x14ac:dyDescent="0.25">
      <c r="A774" s="10">
        <v>1018413529</v>
      </c>
      <c r="B774" s="2">
        <v>46039.510988773145</v>
      </c>
      <c r="C774" s="3" t="str">
        <f>IFERROR(VLOOKUP(A774,'Base Prueba'!A:C,3,),"NO REGISTRA")</f>
        <v>FRANCY STELLA CHARRY MORENO</v>
      </c>
      <c r="D774" s="4" t="str">
        <f>IFERROR(VLOOKUP(A774,'Base Prueba'!A:D,4,),"NO REGISTRA")</f>
        <v>PROMOTOR COMERCIAL DEL CEA</v>
      </c>
      <c r="E774" s="5" t="str">
        <f>IFERROR(VLOOKUP(A774,'Base Prueba'!A:E,5,),"NO REGISTRA")</f>
        <v>OFICINA DE MERCADEO</v>
      </c>
    </row>
    <row r="775" spans="1:5" ht="15.75" x14ac:dyDescent="0.25">
      <c r="A775" s="10">
        <v>80238161</v>
      </c>
      <c r="B775" s="2">
        <v>46039.511027893517</v>
      </c>
      <c r="C775" s="3" t="str">
        <f>IFERROR(VLOOKUP(A775,'Base Prueba'!A:C,3,),"NO REGISTRA")</f>
        <v>GERMAN CARRANZA ESPITIA</v>
      </c>
      <c r="D775" s="4" t="str">
        <f>IFERROR(VLOOKUP(A775,'Base Prueba'!A:D,4,),"NO REGISTRA")</f>
        <v>TESORERO</v>
      </c>
      <c r="E775" s="5" t="str">
        <f>IFERROR(VLOOKUP(A775,'Base Prueba'!A:E,5,),"NO REGISTRA")</f>
        <v>AREA FINANCIERA Y CONTABLE</v>
      </c>
    </row>
    <row r="776" spans="1:5" ht="15.75" x14ac:dyDescent="0.25">
      <c r="A776" s="10">
        <v>53089882</v>
      </c>
      <c r="B776" s="2">
        <v>46039.511151388891</v>
      </c>
      <c r="C776" s="3" t="str">
        <f>IFERROR(VLOOKUP(A776,'Base Prueba'!A:C,3,),"NO REGISTRA")</f>
        <v>MARIA JOHANA ESCAMILLA MARTINEZ</v>
      </c>
      <c r="D776" s="4" t="str">
        <f>IFERROR(VLOOKUP(A776,'Base Prueba'!A:D,4,),"NO REGISTRA")</f>
        <v>PROMOTOR DE INFORMACIÓN</v>
      </c>
      <c r="E776" s="5" t="str">
        <f>IFERROR(VLOOKUP(A776,'Base Prueba'!A:E,5,),"NO REGISTRA")</f>
        <v>OFICINA DE MERCADEO</v>
      </c>
    </row>
    <row r="777" spans="1:5" ht="15.75" x14ac:dyDescent="0.25">
      <c r="A777" s="10">
        <v>1003690253</v>
      </c>
      <c r="B777" s="2">
        <v>46039.517053703705</v>
      </c>
      <c r="C777" s="3" t="str">
        <f>IFERROR(VLOOKUP(A777,'Base Prueba'!A:C,3,),"NO REGISTRA")</f>
        <v>MELISSA GONZALEZ PEDRAZA</v>
      </c>
      <c r="D777" s="4" t="str">
        <f>IFERROR(VLOOKUP(A777,'Base Prueba'!A:D,4,),"NO REGISTRA")</f>
        <v>LIDER DE JOVENES A LA E</v>
      </c>
      <c r="E777" s="5" t="str">
        <f>IFERROR(VLOOKUP(A777,'Base Prueba'!A:E,5,),"NO REGISTRA")</f>
        <v>DIRECCION DE BIENESTAR INSTITUCIONAL</v>
      </c>
    </row>
    <row r="778" spans="1:5" ht="15.75" x14ac:dyDescent="0.25">
      <c r="A778" s="10">
        <v>1033709056</v>
      </c>
      <c r="B778" s="2">
        <v>46039.518036574074</v>
      </c>
      <c r="C778" s="3" t="str">
        <f>IFERROR(VLOOKUP(A778,'Base Prueba'!A:C,3,),"NO REGISTRA")</f>
        <v>YEIMY ALEXANDRA RODRIGUEZ PALACIO</v>
      </c>
      <c r="D778" s="4" t="str">
        <f>IFERROR(VLOOKUP(A778,'Base Prueba'!A:D,4,),"NO REGISTRA")</f>
        <v>PROMOTOR CALL CENTER</v>
      </c>
      <c r="E778" s="5" t="str">
        <f>IFERROR(VLOOKUP(A778,'Base Prueba'!A:E,5,),"NO REGISTRA")</f>
        <v>OFICINA DE MERCADEO</v>
      </c>
    </row>
    <row r="779" spans="1:5" ht="15.75" x14ac:dyDescent="0.25">
      <c r="A779" s="10">
        <v>28798349</v>
      </c>
      <c r="B779" s="2">
        <v>46039.51841527778</v>
      </c>
      <c r="C779" s="3" t="str">
        <f>IFERROR(VLOOKUP(A779,'Base Prueba'!A:C,3,),"NO REGISTRA")</f>
        <v>MARTHA ISABEL TOVAR WILLIAMS</v>
      </c>
      <c r="D779" s="4" t="str">
        <f>IFERROR(VLOOKUP(A779,'Base Prueba'!A:D,4,),"NO REGISTRA")</f>
        <v>PROMOTOR CALL CENTER</v>
      </c>
      <c r="E779" s="5" t="str">
        <f>IFERROR(VLOOKUP(A779,'Base Prueba'!A:E,5,),"NO REGISTRA")</f>
        <v>OFICINA DE MERCADEO</v>
      </c>
    </row>
    <row r="780" spans="1:5" ht="15.75" x14ac:dyDescent="0.25">
      <c r="A780" s="10">
        <v>1032407386</v>
      </c>
      <c r="B780" s="2">
        <v>46039.521940972219</v>
      </c>
      <c r="C780" s="3" t="str">
        <f>IFERROR(VLOOKUP(A780,'Base Prueba'!A:C,3,),"NO REGISTRA")</f>
        <v>GINA PAOLA BAEZ GALVIS</v>
      </c>
      <c r="D780" s="4" t="str">
        <f>IFERROR(VLOOKUP(A780,'Base Prueba'!A:D,4,),"NO REGISTRA")</f>
        <v>PROMOTOR CALL CENTER</v>
      </c>
      <c r="E780" s="5" t="str">
        <f>IFERROR(VLOOKUP(A780,'Base Prueba'!A:E,5,),"NO REGISTRA")</f>
        <v>OFICINA DE MERCADEO</v>
      </c>
    </row>
    <row r="781" spans="1:5" ht="15.75" x14ac:dyDescent="0.25">
      <c r="A781" s="10">
        <v>1016090131</v>
      </c>
      <c r="B781" s="2">
        <v>46039.527575925924</v>
      </c>
      <c r="C781" s="3" t="str">
        <f>IFERROR(VLOOKUP(A781,'Base Prueba'!A:C,3,),"NO REGISTRA")</f>
        <v>NICOLAS RODRIGUEZ PACHECO</v>
      </c>
      <c r="D781" s="4" t="str">
        <f>IFERROR(VLOOKUP(A781,'Base Prueba'!A:D,4,),"NO REGISTRA")</f>
        <v>COORDINADOR DE COMUNICACIONES</v>
      </c>
      <c r="E781" s="5" t="str">
        <f>IFERROR(VLOOKUP(A781,'Base Prueba'!A:E,5,),"NO REGISTRA")</f>
        <v>OFICINA DE MERCADEO</v>
      </c>
    </row>
    <row r="782" spans="1:5" ht="15.75" x14ac:dyDescent="0.25">
      <c r="A782" s="10">
        <v>52472386</v>
      </c>
      <c r="B782" s="2">
        <v>46039.528268981485</v>
      </c>
      <c r="C782" s="3" t="str">
        <f>IFERROR(VLOOKUP(A782,'Base Prueba'!A:C,3,),"NO REGISTRA")</f>
        <v>ADRIANA MARCELA MORALES PARDO</v>
      </c>
      <c r="D782" s="4" t="str">
        <f>IFERROR(VLOOKUP(A782,'Base Prueba'!A:D,4,),"NO REGISTRA")</f>
        <v>PROMOTOR CALL CENTER</v>
      </c>
      <c r="E782" s="5" t="str">
        <f>IFERROR(VLOOKUP(A782,'Base Prueba'!A:E,5,),"NO REGISTRA")</f>
        <v>OFICINA DE MERCADEO</v>
      </c>
    </row>
    <row r="783" spans="1:5" ht="15.75" x14ac:dyDescent="0.25">
      <c r="A783" s="10">
        <v>1023961952</v>
      </c>
      <c r="B783" s="2">
        <v>46039.530689814812</v>
      </c>
      <c r="C783" s="3" t="str">
        <f>IFERROR(VLOOKUP(A783,'Base Prueba'!A:C,3,),"NO REGISTRA")</f>
        <v>ALEJANDRO PINZON MERCHAN</v>
      </c>
      <c r="D783" s="4" t="str">
        <f>IFERROR(VLOOKUP(A783,'Base Prueba'!A:D,4,),"NO REGISTRA")</f>
        <v>PROMOTOR CALL CENTER</v>
      </c>
      <c r="E783" s="5" t="str">
        <f>IFERROR(VLOOKUP(A783,'Base Prueba'!A:E,5,),"NO REGISTRA")</f>
        <v>OFICINA DE MERCADEO</v>
      </c>
    </row>
    <row r="784" spans="1:5" ht="15.75" x14ac:dyDescent="0.25">
      <c r="A784" s="10">
        <v>1018414290</v>
      </c>
      <c r="B784" s="2">
        <v>46039.53576215278</v>
      </c>
      <c r="C784" s="3" t="str">
        <f>IFERROR(VLOOKUP(A784,'Base Prueba'!A:C,3,),"NO REGISTRA")</f>
        <v>AMANDA LISBETH RODRIGUEZ LEON</v>
      </c>
      <c r="D784" s="4" t="str">
        <f>IFERROR(VLOOKUP(A784,'Base Prueba'!A:D,4,),"NO REGISTRA")</f>
        <v>PROMOTOR CALL CENTER</v>
      </c>
      <c r="E784" s="5" t="str">
        <f>IFERROR(VLOOKUP(A784,'Base Prueba'!A:E,5,),"NO REGISTRA")</f>
        <v>OFICINA DE MERCADEO</v>
      </c>
    </row>
    <row r="785" spans="1:5" ht="15.75" x14ac:dyDescent="0.25">
      <c r="A785" s="10">
        <v>52764929</v>
      </c>
      <c r="B785" s="2">
        <v>46039.536690162036</v>
      </c>
      <c r="C785" s="3" t="str">
        <f>IFERROR(VLOOKUP(A785,'Base Prueba'!A:C,3,),"NO REGISTRA")</f>
        <v>GUERLY YOHANA DURAN RIVERA</v>
      </c>
      <c r="D785" s="4" t="str">
        <f>IFERROR(VLOOKUP(A785,'Base Prueba'!A:D,4,),"NO REGISTRA")</f>
        <v>LIDER DE VINCULACION COLEGIOS</v>
      </c>
      <c r="E785" s="5" t="str">
        <f>IFERROR(VLOOKUP(A785,'Base Prueba'!A:E,5,),"NO REGISTRA")</f>
        <v>OFICINA DE MERCADEO</v>
      </c>
    </row>
    <row r="786" spans="1:5" ht="15.75" x14ac:dyDescent="0.25">
      <c r="A786" s="10">
        <v>80234243</v>
      </c>
      <c r="B786" s="2">
        <v>46039.555315625003</v>
      </c>
      <c r="C786" s="3" t="str">
        <f>IFERROR(VLOOKUP(A786,'Base Prueba'!A:C,3,),"NO REGISTRA")</f>
        <v>ARGENIS MARTINEZ MARTINEZ</v>
      </c>
      <c r="D786" s="4" t="str">
        <f>IFERROR(VLOOKUP(A786,'Base Prueba'!A:D,4,),"NO REGISTRA")</f>
        <v>LIDER CALL CENTER</v>
      </c>
      <c r="E786" s="5" t="str">
        <f>IFERROR(VLOOKUP(A786,'Base Prueba'!A:E,5,),"NO REGISTRA")</f>
        <v>OFICINA DE MERCADEO</v>
      </c>
    </row>
    <row r="787" spans="1:5" ht="15.75" x14ac:dyDescent="0.25">
      <c r="A787" s="10">
        <v>1013616244</v>
      </c>
      <c r="B787" s="2">
        <v>46041.305943865744</v>
      </c>
      <c r="C787" s="3" t="str">
        <f>IFERROR(VLOOKUP(A787,'Base Prueba'!A:C,3,),"NO REGISTRA")</f>
        <v>DIANA CAROLINA MARIN BETANCOURT</v>
      </c>
      <c r="D787" s="4" t="str">
        <f>IFERROR(VLOOKUP(A787,'Base Prueba'!A:D,4,),"NO REGISTRA")</f>
        <v>AUXILIAR ADMINISTRATIVO</v>
      </c>
      <c r="E787" s="5" t="str">
        <f>IFERROR(VLOOKUP(A787,'Base Prueba'!A:E,5,),"NO REGISTRA")</f>
        <v>REGISTRO Y CONTROL ACADEMICO</v>
      </c>
    </row>
    <row r="788" spans="1:5" ht="15.75" x14ac:dyDescent="0.25">
      <c r="A788" s="10">
        <v>1000354041</v>
      </c>
      <c r="B788" s="2">
        <v>46041.321310416664</v>
      </c>
      <c r="C788" s="3" t="str">
        <f>IFERROR(VLOOKUP(A788,'Base Prueba'!A:C,3,),"NO REGISTRA")</f>
        <v>ANGIE NATALIA BOHORQUEZ SANCHEZ</v>
      </c>
      <c r="D788" s="4" t="str">
        <f>IFERROR(VLOOKUP(A788,'Base Prueba'!A:D,4,),"NO REGISTRA")</f>
        <v>APRENDIZ UNIVERSITARIO</v>
      </c>
      <c r="E788" s="5" t="str">
        <f>IFERROR(VLOOKUP(A788,'Base Prueba'!A:E,5,),"NO REGISTRA")</f>
        <v>OFICINA DE PLANEACION Y GESTION DE LA CALIDAD</v>
      </c>
    </row>
    <row r="789" spans="1:5" ht="15.75" x14ac:dyDescent="0.25">
      <c r="A789" s="10">
        <v>1087121273</v>
      </c>
      <c r="B789" s="2">
        <v>46041.324001388886</v>
      </c>
      <c r="C789" s="3" t="str">
        <f>IFERROR(VLOOKUP(A789,'Base Prueba'!A:C,3,),"NO REGISTRA")</f>
        <v>MAYRA ALEJANDRA CASTILLO ARBOLEDA</v>
      </c>
      <c r="D789" s="4" t="str">
        <f>IFERROR(VLOOKUP(A789,'Base Prueba'!A:D,4,),"NO REGISTRA")</f>
        <v>APOYO INTEGRAL DE MERCADEO</v>
      </c>
      <c r="E789" s="5" t="str">
        <f>IFERROR(VLOOKUP(A789,'Base Prueba'!A:E,5,),"NO REGISTRA")</f>
        <v>CENTRO DE GESTION DOCUMENTAL</v>
      </c>
    </row>
    <row r="790" spans="1:5" ht="15.75" x14ac:dyDescent="0.25">
      <c r="A790" s="10">
        <v>1018414290</v>
      </c>
      <c r="B790" s="2">
        <v>46041.32615601852</v>
      </c>
      <c r="C790" s="3" t="str">
        <f>IFERROR(VLOOKUP(A790,'Base Prueba'!A:C,3,),"NO REGISTRA")</f>
        <v>AMANDA LISBETH RODRIGUEZ LEON</v>
      </c>
      <c r="D790" s="4" t="str">
        <f>IFERROR(VLOOKUP(A790,'Base Prueba'!A:D,4,),"NO REGISTRA")</f>
        <v>PROMOTOR CALL CENTER</v>
      </c>
      <c r="E790" s="5" t="str">
        <f>IFERROR(VLOOKUP(A790,'Base Prueba'!A:E,5,),"NO REGISTRA")</f>
        <v>OFICINA DE MERCADEO</v>
      </c>
    </row>
    <row r="791" spans="1:5" ht="15.75" x14ac:dyDescent="0.25">
      <c r="A791" s="10">
        <v>1049644802</v>
      </c>
      <c r="B791" s="2">
        <v>46041.328825925928</v>
      </c>
      <c r="C791" s="3" t="str">
        <f>IFERROR(VLOOKUP(A791,'Base Prueba'!A:C,3,),"NO REGISTRA")</f>
        <v>DANIELA ALEXANDRA CIPAMOCHA BOSIGA</v>
      </c>
      <c r="D791" s="4" t="str">
        <f>IFERROR(VLOOKUP(A791,'Base Prueba'!A:D,4,),"NO REGISTRA")</f>
        <v>LIDER DE DATOS Y SERVICIOS</v>
      </c>
      <c r="E791" s="5" t="str">
        <f>IFERROR(VLOOKUP(A791,'Base Prueba'!A:E,5,),"NO REGISTRA")</f>
        <v>OFICINA DE PLANEACION Y GESTION DE LA CALIDAD</v>
      </c>
    </row>
    <row r="792" spans="1:5" ht="15.75" x14ac:dyDescent="0.25">
      <c r="A792" s="10">
        <v>1031802160</v>
      </c>
      <c r="B792" s="2">
        <v>46041.332428240741</v>
      </c>
      <c r="C792" s="3" t="str">
        <f>IFERROR(VLOOKUP(A792,'Base Prueba'!A:C,3,),"NO REGISTRA")</f>
        <v>LUISA MARIA MAHECHA SOTOMAYOR</v>
      </c>
      <c r="D792" s="4" t="str">
        <f>IFERROR(VLOOKUP(A792,'Base Prueba'!A:D,4,),"NO REGISTRA")</f>
        <v>APRENDIZ UNIVERSITARIO</v>
      </c>
      <c r="E792" s="5" t="str">
        <f>IFERROR(VLOOKUP(A792,'Base Prueba'!A:E,5,),"NO REGISTRA")</f>
        <v>OFICINA DE MERCADEO</v>
      </c>
    </row>
    <row r="793" spans="1:5" ht="15.75" x14ac:dyDescent="0.25">
      <c r="A793" s="10">
        <v>1013098645</v>
      </c>
      <c r="B793" s="2">
        <v>46041.33389490741</v>
      </c>
      <c r="C793" s="3" t="str">
        <f>IFERROR(VLOOKUP(A793,'Base Prueba'!A:C,3,),"NO REGISTRA")</f>
        <v>CATHERINE LUCIA PENAGOS RIVERA</v>
      </c>
      <c r="D793" s="4" t="str">
        <f>IFERROR(VLOOKUP(A793,'Base Prueba'!A:D,4,),"NO REGISTRA")</f>
        <v>LIDER DE REGISTRO Y CONTROL ACADEMICO</v>
      </c>
      <c r="E793" s="5" t="str">
        <f>IFERROR(VLOOKUP(A793,'Base Prueba'!A:E,5,),"NO REGISTRA")</f>
        <v>REGISTRO Y CONTROL ACADEMICO</v>
      </c>
    </row>
    <row r="794" spans="1:5" ht="15.75" x14ac:dyDescent="0.25">
      <c r="A794" s="10">
        <v>1193457976</v>
      </c>
      <c r="B794" s="2">
        <v>46041.336796643518</v>
      </c>
      <c r="C794" s="3" t="str">
        <f>IFERROR(VLOOKUP(A794,'Base Prueba'!A:C,3,),"NO REGISTRA")</f>
        <v>SEDENIS RIVAS ASPRILLA</v>
      </c>
      <c r="D794" s="4" t="str">
        <f>IFERROR(VLOOKUP(A794,'Base Prueba'!A:D,4,),"NO REGISTRA")</f>
        <v>APRENDIZ UNIVERSITARIO</v>
      </c>
      <c r="E794" s="5" t="str">
        <f>IFERROR(VLOOKUP(A794,'Base Prueba'!A:E,5,),"NO REGISTRA")</f>
        <v>DEPARTAMENTO DE GESTION HUMANA</v>
      </c>
    </row>
    <row r="795" spans="1:5" ht="15.75" x14ac:dyDescent="0.25">
      <c r="A795" s="10">
        <v>1014196857</v>
      </c>
      <c r="B795" s="2">
        <v>46041.338082175927</v>
      </c>
      <c r="C795" s="3" t="str">
        <f>IFERROR(VLOOKUP(A795,'Base Prueba'!A:C,3,),"NO REGISTRA")</f>
        <v>CARLOS ANDRES JIMENEZ PARDO</v>
      </c>
      <c r="D795" s="4" t="str">
        <f>IFERROR(VLOOKUP(A795,'Base Prueba'!A:D,4,),"NO REGISTRA")</f>
        <v>COORDINADOR DE MARKETING DIGITAL</v>
      </c>
      <c r="E795" s="5" t="str">
        <f>IFERROR(VLOOKUP(A795,'Base Prueba'!A:E,5,),"NO REGISTRA")</f>
        <v>OFICINA DE MERCADEO</v>
      </c>
    </row>
    <row r="796" spans="1:5" ht="15.75" x14ac:dyDescent="0.25">
      <c r="A796" s="10">
        <v>1024505434</v>
      </c>
      <c r="B796" s="2">
        <v>46041.339734490743</v>
      </c>
      <c r="C796" s="3" t="str">
        <f>IFERROR(VLOOKUP(A796,'Base Prueba'!A:C,3,),"NO REGISTRA")</f>
        <v>CRISTIAN ALBERTO MELO TORRES</v>
      </c>
      <c r="D796" s="4" t="str">
        <f>IFERROR(VLOOKUP(A796,'Base Prueba'!A:D,4,),"NO REGISTRA")</f>
        <v>COORDINADOR DE INFRAESTRUCTURA</v>
      </c>
      <c r="E796" s="5" t="str">
        <f>IFERROR(VLOOKUP(A796,'Base Prueba'!A:E,5,),"NO REGISTRA")</f>
        <v>VICERRECTORIA ADMINISTRATIVA Y FINANCIERA</v>
      </c>
    </row>
    <row r="797" spans="1:5" ht="15.75" x14ac:dyDescent="0.25">
      <c r="A797" s="10">
        <v>80238161</v>
      </c>
      <c r="B797" s="2">
        <v>46041.342694560182</v>
      </c>
      <c r="C797" s="3" t="str">
        <f>IFERROR(VLOOKUP(A797,'Base Prueba'!A:C,3,),"NO REGISTRA")</f>
        <v>GERMAN CARRANZA ESPITIA</v>
      </c>
      <c r="D797" s="4" t="str">
        <f>IFERROR(VLOOKUP(A797,'Base Prueba'!A:D,4,),"NO REGISTRA")</f>
        <v>TESORERO</v>
      </c>
      <c r="E797" s="5" t="str">
        <f>IFERROR(VLOOKUP(A797,'Base Prueba'!A:E,5,),"NO REGISTRA")</f>
        <v>AREA FINANCIERA Y CONTABLE</v>
      </c>
    </row>
    <row r="798" spans="1:5" ht="15.75" x14ac:dyDescent="0.25">
      <c r="A798" s="10">
        <v>53932358</v>
      </c>
      <c r="B798" s="2">
        <v>46041.345269097219</v>
      </c>
      <c r="C798" s="3" t="str">
        <f>IFERROR(VLOOKUP(A798,'Base Prueba'!A:C,3,),"NO REGISTRA")</f>
        <v>DIANA MADELEYNE GAONA RODRIGUEZ</v>
      </c>
      <c r="D798" s="4" t="str">
        <f>IFERROR(VLOOKUP(A798,'Base Prueba'!A:D,4,),"NO REGISTRA")</f>
        <v>CONTADOR</v>
      </c>
      <c r="E798" s="5" t="str">
        <f>IFERROR(VLOOKUP(A798,'Base Prueba'!A:E,5,),"NO REGISTRA")</f>
        <v>AREA FINANCIERA Y CONTABLE</v>
      </c>
    </row>
    <row r="799" spans="1:5" ht="15.75" x14ac:dyDescent="0.25">
      <c r="A799" s="10">
        <v>1000257136</v>
      </c>
      <c r="B799" s="2">
        <v>46041.345329282405</v>
      </c>
      <c r="C799" s="3" t="str">
        <f>IFERROR(VLOOKUP(A799,'Base Prueba'!A:C,3,),"NO REGISTRA")</f>
        <v>FRANCI VALENTINA CANO PUENTES</v>
      </c>
      <c r="D799" s="4" t="str">
        <f>IFERROR(VLOOKUP(A799,'Base Prueba'!A:D,4,),"NO REGISTRA")</f>
        <v>AUXILIAR CONTABLE</v>
      </c>
      <c r="E799" s="5" t="str">
        <f>IFERROR(VLOOKUP(A799,'Base Prueba'!A:E,5,),"NO REGISTRA")</f>
        <v>AREA FINANCIERA Y CONTABLE</v>
      </c>
    </row>
    <row r="800" spans="1:5" ht="15.75" x14ac:dyDescent="0.25">
      <c r="A800" s="10">
        <v>1000604979</v>
      </c>
      <c r="B800" s="2">
        <v>46041.345464467595</v>
      </c>
      <c r="C800" s="3" t="str">
        <f>IFERROR(VLOOKUP(A800,'Base Prueba'!A:C,3,),"NO REGISTRA")</f>
        <v>JULIETH TATIANA PARDO PINTO</v>
      </c>
      <c r="D800" s="4" t="str">
        <f>IFERROR(VLOOKUP(A800,'Base Prueba'!A:D,4,),"NO REGISTRA")</f>
        <v>AUXILIAR JURIDICO</v>
      </c>
      <c r="E800" s="5" t="str">
        <f>IFERROR(VLOOKUP(A800,'Base Prueba'!A:E,5,),"NO REGISTRA")</f>
        <v>SECRETARIA GENERAL</v>
      </c>
    </row>
    <row r="801" spans="1:5" ht="15.75" x14ac:dyDescent="0.25">
      <c r="A801" s="10">
        <v>1000457706</v>
      </c>
      <c r="B801" s="2">
        <v>46041.347719560188</v>
      </c>
      <c r="C801" s="3" t="str">
        <f>IFERROR(VLOOKUP(A801,'Base Prueba'!A:C,3,),"NO REGISTRA")</f>
        <v>CRISTIAN DANILO ARROYO SANABRIA</v>
      </c>
      <c r="D801" s="4" t="str">
        <f>IFERROR(VLOOKUP(A801,'Base Prueba'!A:D,4,),"NO REGISTRA")</f>
        <v>AUXILIAR CONTABLE</v>
      </c>
      <c r="E801" s="5" t="str">
        <f>IFERROR(VLOOKUP(A801,'Base Prueba'!A:E,5,),"NO REGISTRA")</f>
        <v>AREA FINANCIERA Y CONTABLE</v>
      </c>
    </row>
    <row r="802" spans="1:5" ht="15.75" x14ac:dyDescent="0.25">
      <c r="A802" s="10">
        <v>1000687931</v>
      </c>
      <c r="B802" s="2">
        <v>46041.347770601853</v>
      </c>
      <c r="C802" s="3" t="str">
        <f>IFERROR(VLOOKUP(A802,'Base Prueba'!A:C,3,),"NO REGISTRA")</f>
        <v>ANDRES FELIPE PUENTES TORRES</v>
      </c>
      <c r="D802" s="4" t="str">
        <f>IFERROR(VLOOKUP(A802,'Base Prueba'!A:D,4,),"NO REGISTRA")</f>
        <v>AUXILIAR ADMINISTRATIVO</v>
      </c>
      <c r="E802" s="5" t="str">
        <f>IFERROR(VLOOKUP(A802,'Base Prueba'!A:E,5,),"NO REGISTRA")</f>
        <v>REGISTRO Y CONTROL ACADEMICO</v>
      </c>
    </row>
    <row r="803" spans="1:5" ht="15.75" x14ac:dyDescent="0.25">
      <c r="A803" s="10">
        <v>1023883232</v>
      </c>
      <c r="B803" s="2">
        <v>46041.348102546297</v>
      </c>
      <c r="C803" s="3" t="str">
        <f>IFERROR(VLOOKUP(A803,'Base Prueba'!A:C,3,),"NO REGISTRA")</f>
        <v>MONICA ANDREA ACERO URBANO</v>
      </c>
      <c r="D803" s="4" t="str">
        <f>IFERROR(VLOOKUP(A803,'Base Prueba'!A:D,4,),"NO REGISTRA")</f>
        <v>APOYO INTEGRAL A GESTION HUMANA</v>
      </c>
      <c r="E803" s="5" t="str">
        <f>IFERROR(VLOOKUP(A803,'Base Prueba'!A:E,5,),"NO REGISTRA")</f>
        <v>DEPARTAMENTO DE GESTION HUMANA</v>
      </c>
    </row>
    <row r="804" spans="1:5" ht="15.75" x14ac:dyDescent="0.25">
      <c r="A804" s="10">
        <v>1032469638</v>
      </c>
      <c r="B804" s="2">
        <v>46041.349346643517</v>
      </c>
      <c r="C804" s="3" t="str">
        <f>IFERROR(VLOOKUP(A804,'Base Prueba'!A:C,3,),"NO REGISTRA")</f>
        <v>MAICOL JARBEY GUALTEROS CASTAÑEDA</v>
      </c>
      <c r="D804" s="4" t="str">
        <f>IFERROR(VLOOKUP(A804,'Base Prueba'!A:D,4,),"NO REGISTRA")</f>
        <v>COORDINADOR DEL SISTEMA INTERNO DE ASEGURAMIENTO DE LA CALIDAD - SIAC</v>
      </c>
      <c r="E804" s="5" t="str">
        <f>IFERROR(VLOOKUP(A804,'Base Prueba'!A:E,5,),"NO REGISTRA")</f>
        <v>OFICINA DE PLANEACION Y GESTION DE LA CALIDAD</v>
      </c>
    </row>
    <row r="805" spans="1:5" ht="15.75" x14ac:dyDescent="0.25">
      <c r="A805" s="10">
        <v>1000593372</v>
      </c>
      <c r="B805" s="2">
        <v>46041.356304398148</v>
      </c>
      <c r="C805" s="3" t="str">
        <f>IFERROR(VLOOKUP(A805,'Base Prueba'!A:C,3,),"NO REGISTRA")</f>
        <v>LAURA SOFIA CHAPARRO LOPEZ</v>
      </c>
      <c r="D805" s="4" t="str">
        <f>IFERROR(VLOOKUP(A805,'Base Prueba'!A:D,4,),"NO REGISTRA")</f>
        <v>AUXILIAR JURIDICO</v>
      </c>
      <c r="E805" s="5" t="str">
        <f>IFERROR(VLOOKUP(A805,'Base Prueba'!A:E,5,),"NO REGISTRA")</f>
        <v>SECRETARIA GENERAL</v>
      </c>
    </row>
    <row r="806" spans="1:5" ht="15.75" x14ac:dyDescent="0.25">
      <c r="A806" s="10">
        <v>1014977624</v>
      </c>
      <c r="B806" s="2">
        <v>46041.357503587962</v>
      </c>
      <c r="C806" s="3" t="str">
        <f>IFERROR(VLOOKUP(A806,'Base Prueba'!A:C,3,),"NO REGISTRA")</f>
        <v>NICCOLE VALENTINA HERNANDEZ MALAVER</v>
      </c>
      <c r="D806" s="4" t="str">
        <f>IFERROR(VLOOKUP(A806,'Base Prueba'!A:D,4,),"NO REGISTRA")</f>
        <v>APRENDIZ UNIVERSITARIO</v>
      </c>
      <c r="E806" s="5" t="str">
        <f>IFERROR(VLOOKUP(A806,'Base Prueba'!A:E,5,),"NO REGISTRA")</f>
        <v>AREA FINANCIERA Y CONTABLE</v>
      </c>
    </row>
    <row r="807" spans="1:5" ht="15.75" x14ac:dyDescent="0.25">
      <c r="A807" s="10">
        <v>1033709056</v>
      </c>
      <c r="B807" s="2">
        <v>46041.359689467594</v>
      </c>
      <c r="C807" s="3" t="str">
        <f>IFERROR(VLOOKUP(A807,'Base Prueba'!A:C,3,),"NO REGISTRA")</f>
        <v>YEIMY ALEXANDRA RODRIGUEZ PALACIO</v>
      </c>
      <c r="D807" s="4" t="str">
        <f>IFERROR(VLOOKUP(A807,'Base Prueba'!A:D,4,),"NO REGISTRA")</f>
        <v>PROMOTOR CALL CENTER</v>
      </c>
      <c r="E807" s="5" t="str">
        <f>IFERROR(VLOOKUP(A807,'Base Prueba'!A:E,5,),"NO REGISTRA")</f>
        <v>OFICINA DE MERCADEO</v>
      </c>
    </row>
    <row r="808" spans="1:5" ht="15.75" x14ac:dyDescent="0.25">
      <c r="A808" s="10">
        <v>1032407386</v>
      </c>
      <c r="B808" s="2">
        <v>46041.359891898152</v>
      </c>
      <c r="C808" s="3" t="str">
        <f>IFERROR(VLOOKUP(A808,'Base Prueba'!A:C,3,),"NO REGISTRA")</f>
        <v>GINA PAOLA BAEZ GALVIS</v>
      </c>
      <c r="D808" s="4" t="str">
        <f>IFERROR(VLOOKUP(A808,'Base Prueba'!A:D,4,),"NO REGISTRA")</f>
        <v>PROMOTOR CALL CENTER</v>
      </c>
      <c r="E808" s="5" t="str">
        <f>IFERROR(VLOOKUP(A808,'Base Prueba'!A:E,5,),"NO REGISTRA")</f>
        <v>OFICINA DE MERCADEO</v>
      </c>
    </row>
    <row r="809" spans="1:5" ht="15.75" x14ac:dyDescent="0.25">
      <c r="A809" s="10">
        <v>80234243</v>
      </c>
      <c r="B809" s="2">
        <v>46041.36605902778</v>
      </c>
      <c r="C809" s="3" t="str">
        <f>IFERROR(VLOOKUP(A809,'Base Prueba'!A:C,3,),"NO REGISTRA")</f>
        <v>ARGENIS MARTINEZ MARTINEZ</v>
      </c>
      <c r="D809" s="4" t="str">
        <f>IFERROR(VLOOKUP(A809,'Base Prueba'!A:D,4,),"NO REGISTRA")</f>
        <v>LIDER CALL CENTER</v>
      </c>
      <c r="E809" s="5" t="str">
        <f>IFERROR(VLOOKUP(A809,'Base Prueba'!A:E,5,),"NO REGISTRA")</f>
        <v>OFICINA DE MERCADEO</v>
      </c>
    </row>
    <row r="810" spans="1:5" ht="15.75" x14ac:dyDescent="0.25">
      <c r="A810" s="10">
        <v>1018413529</v>
      </c>
      <c r="B810" s="2">
        <v>46041.366281249997</v>
      </c>
      <c r="C810" s="3" t="str">
        <f>IFERROR(VLOOKUP(A810,'Base Prueba'!A:C,3,),"NO REGISTRA")</f>
        <v>FRANCY STELLA CHARRY MORENO</v>
      </c>
      <c r="D810" s="4" t="str">
        <f>IFERROR(VLOOKUP(A810,'Base Prueba'!A:D,4,),"NO REGISTRA")</f>
        <v>PROMOTOR COMERCIAL DEL CEA</v>
      </c>
      <c r="E810" s="5" t="str">
        <f>IFERROR(VLOOKUP(A810,'Base Prueba'!A:E,5,),"NO REGISTRA")</f>
        <v>OFICINA DE MERCADEO</v>
      </c>
    </row>
    <row r="811" spans="1:5" ht="15.75" x14ac:dyDescent="0.25">
      <c r="A811" s="10">
        <v>1000254831</v>
      </c>
      <c r="B811" s="2">
        <v>46041.366339699074</v>
      </c>
      <c r="C811" s="3" t="str">
        <f>IFERROR(VLOOKUP(A811,'Base Prueba'!A:C,3,),"NO REGISTRA")</f>
        <v>BRIDGET ROSSANA DIAZ BOGOTA</v>
      </c>
      <c r="D811" s="4" t="str">
        <f>IFERROR(VLOOKUP(A811,'Base Prueba'!A:D,4,),"NO REGISTRA")</f>
        <v>AUXILIAR DE DISEÑO</v>
      </c>
      <c r="E811" s="5" t="str">
        <f>IFERROR(VLOOKUP(A811,'Base Prueba'!A:E,5,),"NO REGISTRA")</f>
        <v>OFICINA DE MERCADEO</v>
      </c>
    </row>
    <row r="812" spans="1:5" ht="15.75" x14ac:dyDescent="0.25">
      <c r="A812" s="10">
        <v>52472386</v>
      </c>
      <c r="B812" s="2">
        <v>46041.368691550924</v>
      </c>
      <c r="C812" s="3" t="str">
        <f>IFERROR(VLOOKUP(A812,'Base Prueba'!A:C,3,),"NO REGISTRA")</f>
        <v>ADRIANA MARCELA MORALES PARDO</v>
      </c>
      <c r="D812" s="4" t="str">
        <f>IFERROR(VLOOKUP(A812,'Base Prueba'!A:D,4,),"NO REGISTRA")</f>
        <v>PROMOTOR CALL CENTER</v>
      </c>
      <c r="E812" s="5" t="str">
        <f>IFERROR(VLOOKUP(A812,'Base Prueba'!A:E,5,),"NO REGISTRA")</f>
        <v>OFICINA DE MERCADEO</v>
      </c>
    </row>
    <row r="813" spans="1:5" ht="15.75" x14ac:dyDescent="0.25">
      <c r="A813" s="10">
        <v>53089882</v>
      </c>
      <c r="B813" s="2">
        <v>46041.36959328704</v>
      </c>
      <c r="C813" s="3" t="str">
        <f>IFERROR(VLOOKUP(A813,'Base Prueba'!A:C,3,),"NO REGISTRA")</f>
        <v>MARIA JOHANA ESCAMILLA MARTINEZ</v>
      </c>
      <c r="D813" s="4" t="str">
        <f>IFERROR(VLOOKUP(A813,'Base Prueba'!A:D,4,),"NO REGISTRA")</f>
        <v>PROMOTOR DE INFORMACIÓN</v>
      </c>
      <c r="E813" s="5" t="str">
        <f>IFERROR(VLOOKUP(A813,'Base Prueba'!A:E,5,),"NO REGISTRA")</f>
        <v>OFICINA DE MERCADEO</v>
      </c>
    </row>
    <row r="814" spans="1:5" ht="15.75" x14ac:dyDescent="0.25">
      <c r="A814" s="10">
        <v>1016090131</v>
      </c>
      <c r="B814" s="2">
        <v>46041.371750810184</v>
      </c>
      <c r="C814" s="3" t="str">
        <f>IFERROR(VLOOKUP(A814,'Base Prueba'!A:C,3,),"NO REGISTRA")</f>
        <v>NICOLAS RODRIGUEZ PACHECO</v>
      </c>
      <c r="D814" s="4" t="str">
        <f>IFERROR(VLOOKUP(A814,'Base Prueba'!A:D,4,),"NO REGISTRA")</f>
        <v>COORDINADOR DE COMUNICACIONES</v>
      </c>
      <c r="E814" s="5" t="str">
        <f>IFERROR(VLOOKUP(A814,'Base Prueba'!A:E,5,),"NO REGISTRA")</f>
        <v>OFICINA DE MERCADEO</v>
      </c>
    </row>
    <row r="815" spans="1:5" ht="15.75" x14ac:dyDescent="0.25">
      <c r="A815" s="10">
        <v>1023961952</v>
      </c>
      <c r="B815" s="2">
        <v>46041.373618865742</v>
      </c>
      <c r="C815" s="3" t="str">
        <f>IFERROR(VLOOKUP(A815,'Base Prueba'!A:C,3,),"NO REGISTRA")</f>
        <v>ALEJANDRO PINZON MERCHAN</v>
      </c>
      <c r="D815" s="4" t="str">
        <f>IFERROR(VLOOKUP(A815,'Base Prueba'!A:D,4,),"NO REGISTRA")</f>
        <v>PROMOTOR CALL CENTER</v>
      </c>
      <c r="E815" s="5" t="str">
        <f>IFERROR(VLOOKUP(A815,'Base Prueba'!A:E,5,),"NO REGISTRA")</f>
        <v>OFICINA DE MERCADEO</v>
      </c>
    </row>
    <row r="816" spans="1:5" ht="15.75" x14ac:dyDescent="0.25">
      <c r="A816" s="10">
        <v>1019105003</v>
      </c>
      <c r="B816" s="2">
        <v>46041.376982986112</v>
      </c>
      <c r="C816" s="3" t="str">
        <f>IFERROR(VLOOKUP(A816,'Base Prueba'!A:C,3,),"NO REGISTRA")</f>
        <v>DAISY JULIETH GASPAR MORENO</v>
      </c>
      <c r="D816" s="4" t="str">
        <f>IFERROR(VLOOKUP(A816,'Base Prueba'!A:D,4,),"NO REGISTRA")</f>
        <v>PROMOTOR CALL CENTER</v>
      </c>
      <c r="E816" s="5" t="str">
        <f>IFERROR(VLOOKUP(A816,'Base Prueba'!A:E,5,),"NO REGISTRA")</f>
        <v>OFICINA DE MERCADEO</v>
      </c>
    </row>
    <row r="817" spans="1:5" ht="15.75" x14ac:dyDescent="0.25">
      <c r="A817" s="10">
        <v>1014308296</v>
      </c>
      <c r="B817" s="2">
        <v>46041.379266319447</v>
      </c>
      <c r="C817" s="3" t="str">
        <f>IFERROR(VLOOKUP(A817,'Base Prueba'!A:C,3,),"NO REGISTRA")</f>
        <v>DARLENE YULIANA MORENO CELEITA</v>
      </c>
      <c r="D817" s="4" t="str">
        <f>IFERROR(VLOOKUP(A817,'Base Prueba'!A:D,4,),"NO REGISTRA")</f>
        <v>CAJERO PRINCIPAL</v>
      </c>
      <c r="E817" s="5" t="str">
        <f>IFERROR(VLOOKUP(A817,'Base Prueba'!A:E,5,),"NO REGISTRA")</f>
        <v>AREA FINANCIERA Y CONTABLE</v>
      </c>
    </row>
    <row r="818" spans="1:5" ht="15.75" x14ac:dyDescent="0.25">
      <c r="A818" s="10">
        <v>28798349</v>
      </c>
      <c r="B818" s="2">
        <v>46041.382345949074</v>
      </c>
      <c r="C818" s="3" t="str">
        <f>IFERROR(VLOOKUP(A818,'Base Prueba'!A:C,3,),"NO REGISTRA")</f>
        <v>MARTHA ISABEL TOVAR WILLIAMS</v>
      </c>
      <c r="D818" s="4" t="str">
        <f>IFERROR(VLOOKUP(A818,'Base Prueba'!A:D,4,),"NO REGISTRA")</f>
        <v>PROMOTOR CALL CENTER</v>
      </c>
      <c r="E818" s="5" t="str">
        <f>IFERROR(VLOOKUP(A818,'Base Prueba'!A:E,5,),"NO REGISTRA")</f>
        <v>OFICINA DE MERCADEO</v>
      </c>
    </row>
    <row r="819" spans="1:5" ht="15.75" x14ac:dyDescent="0.25">
      <c r="A819" s="10">
        <v>52175674</v>
      </c>
      <c r="B819" s="2">
        <v>46041.390203819443</v>
      </c>
      <c r="C819" s="3" t="str">
        <f>IFERROR(VLOOKUP(A819,'Base Prueba'!A:C,3,),"NO REGISTRA")</f>
        <v>LUZ YANETH GOMEZ AREVALO</v>
      </c>
      <c r="D819" s="4" t="str">
        <f>IFERROR(VLOOKUP(A819,'Base Prueba'!A:D,4,),"NO REGISTRA")</f>
        <v>COORDINADORA DE ADMISIONES</v>
      </c>
      <c r="E819" s="5" t="str">
        <f>IFERROR(VLOOKUP(A819,'Base Prueba'!A:E,5,),"NO REGISTRA")</f>
        <v>OFICINA DE MERCADEO</v>
      </c>
    </row>
    <row r="820" spans="1:5" ht="15.75" x14ac:dyDescent="0.25">
      <c r="A820" s="10">
        <v>1003690253</v>
      </c>
      <c r="B820" s="2">
        <v>46041.394944097221</v>
      </c>
      <c r="C820" s="3" t="str">
        <f>IFERROR(VLOOKUP(A820,'Base Prueba'!A:C,3,),"NO REGISTRA")</f>
        <v>MELISSA GONZALEZ PEDRAZA</v>
      </c>
      <c r="D820" s="4" t="str">
        <f>IFERROR(VLOOKUP(A820,'Base Prueba'!A:D,4,),"NO REGISTRA")</f>
        <v>LIDER DE JOVENES A LA E</v>
      </c>
      <c r="E820" s="5" t="str">
        <f>IFERROR(VLOOKUP(A820,'Base Prueba'!A:E,5,),"NO REGISTRA")</f>
        <v>DIRECCION DE BIENESTAR INSTITUCIONAL</v>
      </c>
    </row>
    <row r="821" spans="1:5" ht="15.75" x14ac:dyDescent="0.25">
      <c r="A821" s="10">
        <v>52443092</v>
      </c>
      <c r="B821" s="2">
        <v>46041.54339421296</v>
      </c>
      <c r="C821" s="3" t="str">
        <f>IFERROR(VLOOKUP(A821,'Base Prueba'!A:C,3,),"NO REGISTRA")</f>
        <v>LUZ MYRIAM SAAVEDRA CONTRERAS</v>
      </c>
      <c r="D821" s="4" t="str">
        <f>IFERROR(VLOOKUP(A821,'Base Prueba'!A:D,4,),"NO REGISTRA")</f>
        <v>AUXILIAR DE SERVICIOS</v>
      </c>
      <c r="E821" s="5" t="str">
        <f>IFERROR(VLOOKUP(A821,'Base Prueba'!A:E,5,),"NO REGISTRA")</f>
        <v>LOGISTICA Y SERVICIOS GENERALES</v>
      </c>
    </row>
    <row r="822" spans="1:5" ht="15.75" x14ac:dyDescent="0.25">
      <c r="A822" s="10">
        <v>1000687931</v>
      </c>
      <c r="B822" s="2">
        <v>46041.62416550926</v>
      </c>
      <c r="C822" s="3" t="str">
        <f>IFERROR(VLOOKUP(A822,'Base Prueba'!A:C,3,),"NO REGISTRA")</f>
        <v>ANDRES FELIPE PUENTES TORRES</v>
      </c>
      <c r="D822" s="4" t="str">
        <f>IFERROR(VLOOKUP(A822,'Base Prueba'!A:D,4,),"NO REGISTRA")</f>
        <v>AUXILIAR ADMINISTRATIVO</v>
      </c>
      <c r="E822" s="5" t="str">
        <f>IFERROR(VLOOKUP(A822,'Base Prueba'!A:E,5,),"NO REGISTRA")</f>
        <v>REGISTRO Y CONTROL ACADEMICO</v>
      </c>
    </row>
    <row r="823" spans="1:5" ht="15.75" x14ac:dyDescent="0.25">
      <c r="A823" s="10">
        <v>1031802160</v>
      </c>
      <c r="B823" s="2">
        <v>46041.70699027778</v>
      </c>
      <c r="C823" s="3" t="str">
        <f>IFERROR(VLOOKUP(A823,'Base Prueba'!A:C,3,),"NO REGISTRA")</f>
        <v>LUISA MARIA MAHECHA SOTOMAYOR</v>
      </c>
      <c r="D823" s="4" t="str">
        <f>IFERROR(VLOOKUP(A823,'Base Prueba'!A:D,4,),"NO REGISTRA")</f>
        <v>APRENDIZ UNIVERSITARIO</v>
      </c>
      <c r="E823" s="5" t="str">
        <f>IFERROR(VLOOKUP(A823,'Base Prueba'!A:E,5,),"NO REGISTRA")</f>
        <v>OFICINA DE MERCADEO</v>
      </c>
    </row>
    <row r="824" spans="1:5" ht="15.75" x14ac:dyDescent="0.25">
      <c r="A824" s="10">
        <v>1000354041</v>
      </c>
      <c r="B824" s="2">
        <v>46041.748957638891</v>
      </c>
      <c r="C824" s="3" t="str">
        <f>IFERROR(VLOOKUP(A824,'Base Prueba'!A:C,3,),"NO REGISTRA")</f>
        <v>ANGIE NATALIA BOHORQUEZ SANCHEZ</v>
      </c>
      <c r="D824" s="4" t="str">
        <f>IFERROR(VLOOKUP(A824,'Base Prueba'!A:D,4,),"NO REGISTRA")</f>
        <v>APRENDIZ UNIVERSITARIO</v>
      </c>
      <c r="E824" s="5" t="str">
        <f>IFERROR(VLOOKUP(A824,'Base Prueba'!A:E,5,),"NO REGISTRA")</f>
        <v>OFICINA DE PLANEACION Y GESTION DE LA CALIDAD</v>
      </c>
    </row>
    <row r="825" spans="1:5" ht="15.75" x14ac:dyDescent="0.25">
      <c r="A825" s="10">
        <v>1000593372</v>
      </c>
      <c r="B825" s="2">
        <v>46041.749001851851</v>
      </c>
      <c r="C825" s="3" t="str">
        <f>IFERROR(VLOOKUP(A825,'Base Prueba'!A:C,3,),"NO REGISTRA")</f>
        <v>LAURA SOFIA CHAPARRO LOPEZ</v>
      </c>
      <c r="D825" s="4" t="str">
        <f>IFERROR(VLOOKUP(A825,'Base Prueba'!A:D,4,),"NO REGISTRA")</f>
        <v>AUXILIAR JURIDICO</v>
      </c>
      <c r="E825" s="5" t="str">
        <f>IFERROR(VLOOKUP(A825,'Base Prueba'!A:E,5,),"NO REGISTRA")</f>
        <v>SECRETARIA GENERAL</v>
      </c>
    </row>
    <row r="826" spans="1:5" ht="15.75" x14ac:dyDescent="0.25">
      <c r="A826" s="10">
        <v>1000604979</v>
      </c>
      <c r="B826" s="2">
        <v>46041.749016087961</v>
      </c>
      <c r="C826" s="3" t="str">
        <f>IFERROR(VLOOKUP(A826,'Base Prueba'!A:C,3,),"NO REGISTRA")</f>
        <v>JULIETH TATIANA PARDO PINTO</v>
      </c>
      <c r="D826" s="4" t="str">
        <f>IFERROR(VLOOKUP(A826,'Base Prueba'!A:D,4,),"NO REGISTRA")</f>
        <v>AUXILIAR JURIDICO</v>
      </c>
      <c r="E826" s="5" t="str">
        <f>IFERROR(VLOOKUP(A826,'Base Prueba'!A:E,5,),"NO REGISTRA")</f>
        <v>SECRETARIA GENERAL</v>
      </c>
    </row>
    <row r="827" spans="1:5" ht="15.75" x14ac:dyDescent="0.25">
      <c r="A827" s="10">
        <v>1022996882</v>
      </c>
      <c r="B827" s="2">
        <v>46041.751873032408</v>
      </c>
      <c r="C827" s="3" t="str">
        <f>IFERROR(VLOOKUP(A827,'Base Prueba'!A:C,3,),"NO REGISTRA")</f>
        <v>NANCY BRIGITH ALDANA GUEVARA</v>
      </c>
      <c r="D827" s="4" t="str">
        <f>IFERROR(VLOOKUP(A827,'Base Prueba'!A:D,4,),"NO REGISTRA")</f>
        <v>COORDINADORA DE GESTIÓN HUMANA</v>
      </c>
      <c r="E827" s="5" t="str">
        <f>IFERROR(VLOOKUP(A827,'Base Prueba'!A:E,5,),"NO REGISTRA")</f>
        <v>DEPARTAMENTO DE GESTION HUMANA</v>
      </c>
    </row>
    <row r="828" spans="1:5" ht="15.75" x14ac:dyDescent="0.25">
      <c r="A828" s="10">
        <v>1022996882</v>
      </c>
      <c r="B828" s="2">
        <v>46041.751919097223</v>
      </c>
      <c r="C828" s="3" t="str">
        <f>IFERROR(VLOOKUP(A828,'Base Prueba'!A:C,3,),"NO REGISTRA")</f>
        <v>NANCY BRIGITH ALDANA GUEVARA</v>
      </c>
      <c r="D828" s="4" t="str">
        <f>IFERROR(VLOOKUP(A828,'Base Prueba'!A:D,4,),"NO REGISTRA")</f>
        <v>COORDINADORA DE GESTIÓN HUMANA</v>
      </c>
      <c r="E828" s="5" t="str">
        <f>IFERROR(VLOOKUP(A828,'Base Prueba'!A:E,5,),"NO REGISTRA")</f>
        <v>DEPARTAMENTO DE GESTION HUMANA</v>
      </c>
    </row>
    <row r="829" spans="1:5" ht="15.75" x14ac:dyDescent="0.25">
      <c r="A829" s="10">
        <v>1193457976</v>
      </c>
      <c r="B829" s="2">
        <v>46041.751980671295</v>
      </c>
      <c r="C829" s="3" t="str">
        <f>IFERROR(VLOOKUP(A829,'Base Prueba'!A:C,3,),"NO REGISTRA")</f>
        <v>SEDENIS RIVAS ASPRILLA</v>
      </c>
      <c r="D829" s="4" t="str">
        <f>IFERROR(VLOOKUP(A829,'Base Prueba'!A:D,4,),"NO REGISTRA")</f>
        <v>APRENDIZ UNIVERSITARIO</v>
      </c>
      <c r="E829" s="5" t="str">
        <f>IFERROR(VLOOKUP(A829,'Base Prueba'!A:E,5,),"NO REGISTRA")</f>
        <v>DEPARTAMENTO DE GESTION HUMANA</v>
      </c>
    </row>
    <row r="830" spans="1:5" ht="15.75" x14ac:dyDescent="0.25">
      <c r="A830" s="10">
        <v>1026599257</v>
      </c>
      <c r="B830" s="2">
        <v>46041.752048263887</v>
      </c>
      <c r="C830" s="3" t="str">
        <f>IFERROR(VLOOKUP(A830,'Base Prueba'!A:C,3,),"NO REGISTRA")</f>
        <v>YESENIA PAOLA PINEDA HURTADO</v>
      </c>
      <c r="D830" s="4" t="str">
        <f>IFERROR(VLOOKUP(A830,'Base Prueba'!A:D,4,),"NO REGISTRA")</f>
        <v>LIDER DE COMPRAS</v>
      </c>
      <c r="E830" s="5" t="str">
        <f>IFERROR(VLOOKUP(A830,'Base Prueba'!A:E,5,),"NO REGISTRA")</f>
        <v>AREA ADMINISTRATIVA</v>
      </c>
    </row>
    <row r="831" spans="1:5" ht="15.75" x14ac:dyDescent="0.25">
      <c r="A831" s="10">
        <v>1014266838</v>
      </c>
      <c r="B831" s="2">
        <v>46041.752154745373</v>
      </c>
      <c r="C831" s="3" t="str">
        <f>IFERROR(VLOOKUP(A831,'Base Prueba'!A:C,3,),"NO REGISTRA")</f>
        <v>JENNIFER ASTRID ROMERO HURTADO</v>
      </c>
      <c r="D831" s="4" t="str">
        <f>IFERROR(VLOOKUP(A831,'Base Prueba'!A:D,4,),"NO REGISTRA")</f>
        <v>LIDER DE RECAUDO</v>
      </c>
      <c r="E831" s="5" t="str">
        <f>IFERROR(VLOOKUP(A831,'Base Prueba'!A:E,5,),"NO REGISTRA")</f>
        <v>AREA FINANCIERA Y CONTABLE</v>
      </c>
    </row>
    <row r="832" spans="1:5" ht="15.75" x14ac:dyDescent="0.25">
      <c r="A832" s="10">
        <v>1087121273</v>
      </c>
      <c r="B832" s="2">
        <v>46041.752206365738</v>
      </c>
      <c r="C832" s="3" t="str">
        <f>IFERROR(VLOOKUP(A832,'Base Prueba'!A:C,3,),"NO REGISTRA")</f>
        <v>MAYRA ALEJANDRA CASTILLO ARBOLEDA</v>
      </c>
      <c r="D832" s="4" t="str">
        <f>IFERROR(VLOOKUP(A832,'Base Prueba'!A:D,4,),"NO REGISTRA")</f>
        <v>APOYO INTEGRAL DE MERCADEO</v>
      </c>
      <c r="E832" s="5" t="str">
        <f>IFERROR(VLOOKUP(A832,'Base Prueba'!A:E,5,),"NO REGISTRA")</f>
        <v>CENTRO DE GESTION DOCUMENTAL</v>
      </c>
    </row>
    <row r="833" spans="1:5" ht="15.75" x14ac:dyDescent="0.25">
      <c r="A833" s="10">
        <v>1000467399</v>
      </c>
      <c r="B833" s="2">
        <v>46041.752341435182</v>
      </c>
      <c r="C833" s="3" t="str">
        <f>IFERROR(VLOOKUP(A833,'Base Prueba'!A:C,3,),"NO REGISTRA")</f>
        <v>BRANDO ESTIVEN DIAZ QUIMBAYA</v>
      </c>
      <c r="D833" s="4" t="str">
        <f>IFERROR(VLOOKUP(A833,'Base Prueba'!A:D,4,),"NO REGISTRA")</f>
        <v>APRENDIZ UNIVERSITARIO</v>
      </c>
      <c r="E833" s="5" t="str">
        <f>IFERROR(VLOOKUP(A833,'Base Prueba'!A:E,5,),"NO REGISTRA")</f>
        <v>DEPARTAMENTO DE GESTION HUMANA</v>
      </c>
    </row>
    <row r="834" spans="1:5" ht="15.75" x14ac:dyDescent="0.25">
      <c r="A834" s="10">
        <v>1049644802</v>
      </c>
      <c r="B834" s="2">
        <v>46041.754095833334</v>
      </c>
      <c r="C834" s="3" t="str">
        <f>IFERROR(VLOOKUP(A834,'Base Prueba'!A:C,3,),"NO REGISTRA")</f>
        <v>DANIELA ALEXANDRA CIPAMOCHA BOSIGA</v>
      </c>
      <c r="D834" s="4" t="str">
        <f>IFERROR(VLOOKUP(A834,'Base Prueba'!A:D,4,),"NO REGISTRA")</f>
        <v>LIDER DE DATOS Y SERVICIOS</v>
      </c>
      <c r="E834" s="5" t="str">
        <f>IFERROR(VLOOKUP(A834,'Base Prueba'!A:E,5,),"NO REGISTRA")</f>
        <v>OFICINA DE PLANEACION Y GESTION DE LA CALIDAD</v>
      </c>
    </row>
    <row r="835" spans="1:5" ht="15.75" x14ac:dyDescent="0.25">
      <c r="A835" s="10">
        <v>1032469638</v>
      </c>
      <c r="B835" s="2">
        <v>46041.754330208336</v>
      </c>
      <c r="C835" s="3" t="str">
        <f>IFERROR(VLOOKUP(A835,'Base Prueba'!A:C,3,),"NO REGISTRA")</f>
        <v>MAICOL JARBEY GUALTEROS CASTAÑEDA</v>
      </c>
      <c r="D835" s="4" t="str">
        <f>IFERROR(VLOOKUP(A835,'Base Prueba'!A:D,4,),"NO REGISTRA")</f>
        <v>COORDINADOR DEL SISTEMA INTERNO DE ASEGURAMIENTO DE LA CALIDAD - SIAC</v>
      </c>
      <c r="E835" s="5" t="str">
        <f>IFERROR(VLOOKUP(A835,'Base Prueba'!A:E,5,),"NO REGISTRA")</f>
        <v>OFICINA DE PLANEACION Y GESTION DE LA CALIDAD</v>
      </c>
    </row>
    <row r="836" spans="1:5" ht="15.75" x14ac:dyDescent="0.25">
      <c r="A836" s="10">
        <v>1023883232</v>
      </c>
      <c r="B836" s="2">
        <v>46041.754956481484</v>
      </c>
      <c r="C836" s="3" t="str">
        <f>IFERROR(VLOOKUP(A836,'Base Prueba'!A:C,3,),"NO REGISTRA")</f>
        <v>MONICA ANDREA ACERO URBANO</v>
      </c>
      <c r="D836" s="4" t="str">
        <f>IFERROR(VLOOKUP(A836,'Base Prueba'!A:D,4,),"NO REGISTRA")</f>
        <v>APOYO INTEGRAL A GESTION HUMANA</v>
      </c>
      <c r="E836" s="5" t="str">
        <f>IFERROR(VLOOKUP(A836,'Base Prueba'!A:E,5,),"NO REGISTRA")</f>
        <v>DEPARTAMENTO DE GESTION HUMANA</v>
      </c>
    </row>
    <row r="837" spans="1:5" ht="15.75" x14ac:dyDescent="0.25">
      <c r="A837" s="10">
        <v>1019105003</v>
      </c>
      <c r="B837" s="2">
        <v>46041.755026273146</v>
      </c>
      <c r="C837" s="3" t="str">
        <f>IFERROR(VLOOKUP(A837,'Base Prueba'!A:C,3,),"NO REGISTRA")</f>
        <v>DAISY JULIETH GASPAR MORENO</v>
      </c>
      <c r="D837" s="4" t="str">
        <f>IFERROR(VLOOKUP(A837,'Base Prueba'!A:D,4,),"NO REGISTRA")</f>
        <v>PROMOTOR CALL CENTER</v>
      </c>
      <c r="E837" s="5" t="str">
        <f>IFERROR(VLOOKUP(A837,'Base Prueba'!A:E,5,),"NO REGISTRA")</f>
        <v>OFICINA DE MERCADEO</v>
      </c>
    </row>
    <row r="838" spans="1:5" ht="15.75" x14ac:dyDescent="0.25">
      <c r="A838" s="10">
        <v>1014196857</v>
      </c>
      <c r="B838" s="2">
        <v>46041.755581597223</v>
      </c>
      <c r="C838" s="3" t="str">
        <f>IFERROR(VLOOKUP(A838,'Base Prueba'!A:C,3,),"NO REGISTRA")</f>
        <v>CARLOS ANDRES JIMENEZ PARDO</v>
      </c>
      <c r="D838" s="4" t="str">
        <f>IFERROR(VLOOKUP(A838,'Base Prueba'!A:D,4,),"NO REGISTRA")</f>
        <v>COORDINADOR DE MARKETING DIGITAL</v>
      </c>
      <c r="E838" s="5" t="str">
        <f>IFERROR(VLOOKUP(A838,'Base Prueba'!A:E,5,),"NO REGISTRA")</f>
        <v>OFICINA DE MERCADEO</v>
      </c>
    </row>
    <row r="839" spans="1:5" ht="15.75" x14ac:dyDescent="0.25">
      <c r="A839" s="10">
        <v>1000365751</v>
      </c>
      <c r="B839" s="2">
        <v>46041.755665509256</v>
      </c>
      <c r="C839" s="3" t="str">
        <f>IFERROR(VLOOKUP(A839,'Base Prueba'!A:C,3,),"NO REGISTRA")</f>
        <v>JHOAN NICOLAS ESCAMILLA MANJARRES</v>
      </c>
      <c r="D839" s="4" t="str">
        <f>IFERROR(VLOOKUP(A839,'Base Prueba'!A:D,4,),"NO REGISTRA")</f>
        <v>APRENDIZ UNIVERSITARIO</v>
      </c>
      <c r="E839" s="5" t="str">
        <f>IFERROR(VLOOKUP(A839,'Base Prueba'!A:E,5,),"NO REGISTRA")</f>
        <v>OFICINA DE MERCADEO</v>
      </c>
    </row>
    <row r="840" spans="1:5" ht="15.75" x14ac:dyDescent="0.25">
      <c r="A840" s="10">
        <v>1016090131</v>
      </c>
      <c r="B840" s="2">
        <v>46041.755699421294</v>
      </c>
      <c r="C840" s="3" t="str">
        <f>IFERROR(VLOOKUP(A840,'Base Prueba'!A:C,3,),"NO REGISTRA")</f>
        <v>NICOLAS RODRIGUEZ PACHECO</v>
      </c>
      <c r="D840" s="4" t="str">
        <f>IFERROR(VLOOKUP(A840,'Base Prueba'!A:D,4,),"NO REGISTRA")</f>
        <v>COORDINADOR DE COMUNICACIONES</v>
      </c>
      <c r="E840" s="5" t="str">
        <f>IFERROR(VLOOKUP(A840,'Base Prueba'!A:E,5,),"NO REGISTRA")</f>
        <v>OFICINA DE MERCADEO</v>
      </c>
    </row>
    <row r="841" spans="1:5" ht="15.75" x14ac:dyDescent="0.25">
      <c r="A841" s="10">
        <v>1000046533</v>
      </c>
      <c r="B841" s="2">
        <v>46041.75847847222</v>
      </c>
      <c r="C841" s="3" t="str">
        <f>IFERROR(VLOOKUP(A841,'Base Prueba'!A:C,3,),"NO REGISTRA")</f>
        <v>ERIKA JULIETH VALDERRAMA SANCHEZ</v>
      </c>
      <c r="D841" s="4" t="str">
        <f>IFERROR(VLOOKUP(A841,'Base Prueba'!A:D,4,),"NO REGISTRA")</f>
        <v>PROMOTOR CALL CENTER</v>
      </c>
      <c r="E841" s="5" t="str">
        <f>IFERROR(VLOOKUP(A841,'Base Prueba'!A:E,5,),"NO REGISTRA")</f>
        <v>OFICINA DE MERCADEO</v>
      </c>
    </row>
    <row r="842" spans="1:5" ht="15.75" x14ac:dyDescent="0.25">
      <c r="A842" s="10">
        <v>1014977624</v>
      </c>
      <c r="B842" s="2">
        <v>46041.758534375003</v>
      </c>
      <c r="C842" s="3" t="str">
        <f>IFERROR(VLOOKUP(A842,'Base Prueba'!A:C,3,),"NO REGISTRA")</f>
        <v>NICCOLE VALENTINA HERNANDEZ MALAVER</v>
      </c>
      <c r="D842" s="4" t="str">
        <f>IFERROR(VLOOKUP(A842,'Base Prueba'!A:D,4,),"NO REGISTRA")</f>
        <v>APRENDIZ UNIVERSITARIO</v>
      </c>
      <c r="E842" s="5" t="str">
        <f>IFERROR(VLOOKUP(A842,'Base Prueba'!A:E,5,),"NO REGISTRA")</f>
        <v>AREA FINANCIERA Y CONTABLE</v>
      </c>
    </row>
    <row r="843" spans="1:5" ht="15.75" x14ac:dyDescent="0.25">
      <c r="A843" s="10">
        <v>1000254831</v>
      </c>
      <c r="B843" s="2">
        <v>46041.758958101855</v>
      </c>
      <c r="C843" s="3" t="str">
        <f>IFERROR(VLOOKUP(A843,'Base Prueba'!A:C,3,),"NO REGISTRA")</f>
        <v>BRIDGET ROSSANA DIAZ BOGOTA</v>
      </c>
      <c r="D843" s="4" t="str">
        <f>IFERROR(VLOOKUP(A843,'Base Prueba'!A:D,4,),"NO REGISTRA")</f>
        <v>AUXILIAR DE DISEÑO</v>
      </c>
      <c r="E843" s="5" t="str">
        <f>IFERROR(VLOOKUP(A843,'Base Prueba'!A:E,5,),"NO REGISTRA")</f>
        <v>OFICINA DE MERCADEO</v>
      </c>
    </row>
    <row r="844" spans="1:5" ht="15.75" x14ac:dyDescent="0.25">
      <c r="A844" s="10">
        <v>1013616244</v>
      </c>
      <c r="B844" s="2">
        <v>46041.759657754628</v>
      </c>
      <c r="C844" s="3" t="str">
        <f>IFERROR(VLOOKUP(A844,'Base Prueba'!A:C,3,),"NO REGISTRA")</f>
        <v>DIANA CAROLINA MARIN BETANCOURT</v>
      </c>
      <c r="D844" s="4" t="str">
        <f>IFERROR(VLOOKUP(A844,'Base Prueba'!A:D,4,),"NO REGISTRA")</f>
        <v>AUXILIAR ADMINISTRATIVO</v>
      </c>
      <c r="E844" s="5" t="str">
        <f>IFERROR(VLOOKUP(A844,'Base Prueba'!A:E,5,),"NO REGISTRA")</f>
        <v>REGISTRO Y CONTROL ACADEMICO</v>
      </c>
    </row>
    <row r="845" spans="1:5" ht="15.75" x14ac:dyDescent="0.25">
      <c r="A845" s="10">
        <v>1023961952</v>
      </c>
      <c r="B845" s="2">
        <v>46041.761126620368</v>
      </c>
      <c r="C845" s="3" t="str">
        <f>IFERROR(VLOOKUP(A845,'Base Prueba'!A:C,3,),"NO REGISTRA")</f>
        <v>ALEJANDRO PINZON MERCHAN</v>
      </c>
      <c r="D845" s="4" t="str">
        <f>IFERROR(VLOOKUP(A845,'Base Prueba'!A:D,4,),"NO REGISTRA")</f>
        <v>PROMOTOR CALL CENTER</v>
      </c>
      <c r="E845" s="5" t="str">
        <f>IFERROR(VLOOKUP(A845,'Base Prueba'!A:E,5,),"NO REGISTRA")</f>
        <v>OFICINA DE MERCADEO</v>
      </c>
    </row>
    <row r="846" spans="1:5" ht="15.75" x14ac:dyDescent="0.25">
      <c r="A846" s="10">
        <v>1033709056</v>
      </c>
      <c r="B846" s="2">
        <v>46041.763413425928</v>
      </c>
      <c r="C846" s="3" t="str">
        <f>IFERROR(VLOOKUP(A846,'Base Prueba'!A:C,3,),"NO REGISTRA")</f>
        <v>YEIMY ALEXANDRA RODRIGUEZ PALACIO</v>
      </c>
      <c r="D846" s="4" t="str">
        <f>IFERROR(VLOOKUP(A846,'Base Prueba'!A:D,4,),"NO REGISTRA")</f>
        <v>PROMOTOR CALL CENTER</v>
      </c>
      <c r="E846" s="5" t="str">
        <f>IFERROR(VLOOKUP(A846,'Base Prueba'!A:E,5,),"NO REGISTRA")</f>
        <v>OFICINA DE MERCADEO</v>
      </c>
    </row>
    <row r="847" spans="1:5" ht="15.75" x14ac:dyDescent="0.25">
      <c r="A847" s="10">
        <v>53089882</v>
      </c>
      <c r="B847" s="2">
        <v>46041.765285300928</v>
      </c>
      <c r="C847" s="3" t="str">
        <f>IFERROR(VLOOKUP(A847,'Base Prueba'!A:C,3,),"NO REGISTRA")</f>
        <v>MARIA JOHANA ESCAMILLA MARTINEZ</v>
      </c>
      <c r="D847" s="4" t="str">
        <f>IFERROR(VLOOKUP(A847,'Base Prueba'!A:D,4,),"NO REGISTRA")</f>
        <v>PROMOTOR DE INFORMACIÓN</v>
      </c>
      <c r="E847" s="5" t="str">
        <f>IFERROR(VLOOKUP(A847,'Base Prueba'!A:E,5,),"NO REGISTRA")</f>
        <v>OFICINA DE MERCADEO</v>
      </c>
    </row>
    <row r="848" spans="1:5" ht="15.75" x14ac:dyDescent="0.25">
      <c r="A848" s="10">
        <v>6</v>
      </c>
      <c r="B848" s="2">
        <v>46041.765382986108</v>
      </c>
      <c r="C848" s="3" t="str">
        <f>IFERROR(VLOOKUP(A848,'Base Prueba'!A:C,3,),"NO REGISTRA")</f>
        <v>NO REGISTRA</v>
      </c>
      <c r="D848" s="4" t="str">
        <f>IFERROR(VLOOKUP(A848,'Base Prueba'!A:D,4,),"NO REGISTRA")</f>
        <v>NO REGISTRA</v>
      </c>
      <c r="E848" s="5" t="str">
        <f>IFERROR(VLOOKUP(A848,'Base Prueba'!A:E,5,),"NO REGISTRA")</f>
        <v>NO REGISTRA</v>
      </c>
    </row>
    <row r="849" spans="1:5" ht="15.75" x14ac:dyDescent="0.25">
      <c r="A849" s="10">
        <v>1000257136</v>
      </c>
      <c r="B849" s="2">
        <v>46041.767058564816</v>
      </c>
      <c r="C849" s="3" t="str">
        <f>IFERROR(VLOOKUP(A849,'Base Prueba'!A:C,3,),"NO REGISTRA")</f>
        <v>FRANCI VALENTINA CANO PUENTES</v>
      </c>
      <c r="D849" s="4" t="str">
        <f>IFERROR(VLOOKUP(A849,'Base Prueba'!A:D,4,),"NO REGISTRA")</f>
        <v>AUXILIAR CONTABLE</v>
      </c>
      <c r="E849" s="5" t="str">
        <f>IFERROR(VLOOKUP(A849,'Base Prueba'!A:E,5,),"NO REGISTRA")</f>
        <v>AREA FINANCIERA Y CONTABLE</v>
      </c>
    </row>
    <row r="850" spans="1:5" ht="15.75" x14ac:dyDescent="0.25">
      <c r="A850" s="10">
        <v>1032407386</v>
      </c>
      <c r="B850" s="2">
        <v>46041.769564930553</v>
      </c>
      <c r="C850" s="3" t="str">
        <f>IFERROR(VLOOKUP(A850,'Base Prueba'!A:C,3,),"NO REGISTRA")</f>
        <v>GINA PAOLA BAEZ GALVIS</v>
      </c>
      <c r="D850" s="4" t="str">
        <f>IFERROR(VLOOKUP(A850,'Base Prueba'!A:D,4,),"NO REGISTRA")</f>
        <v>PROMOTOR CALL CENTER</v>
      </c>
      <c r="E850" s="5" t="str">
        <f>IFERROR(VLOOKUP(A850,'Base Prueba'!A:E,5,),"NO REGISTRA")</f>
        <v>OFICINA DE MERCADEO</v>
      </c>
    </row>
    <row r="851" spans="1:5" ht="15.75" x14ac:dyDescent="0.25">
      <c r="A851" s="10">
        <v>1018414290</v>
      </c>
      <c r="B851" s="2">
        <v>46041.769683680555</v>
      </c>
      <c r="C851" s="3" t="str">
        <f>IFERROR(VLOOKUP(A851,'Base Prueba'!A:C,3,),"NO REGISTRA")</f>
        <v>AMANDA LISBETH RODRIGUEZ LEON</v>
      </c>
      <c r="D851" s="4" t="str">
        <f>IFERROR(VLOOKUP(A851,'Base Prueba'!A:D,4,),"NO REGISTRA")</f>
        <v>PROMOTOR CALL CENTER</v>
      </c>
      <c r="E851" s="5" t="str">
        <f>IFERROR(VLOOKUP(A851,'Base Prueba'!A:E,5,),"NO REGISTRA")</f>
        <v>OFICINA DE MERCADEO</v>
      </c>
    </row>
    <row r="852" spans="1:5" ht="15.75" x14ac:dyDescent="0.25">
      <c r="A852" s="10">
        <v>52472386</v>
      </c>
      <c r="B852" s="2">
        <v>46041.769754513887</v>
      </c>
      <c r="C852" s="3" t="str">
        <f>IFERROR(VLOOKUP(A852,'Base Prueba'!A:C,3,),"NO REGISTRA")</f>
        <v>ADRIANA MARCELA MORALES PARDO</v>
      </c>
      <c r="D852" s="4" t="str">
        <f>IFERROR(VLOOKUP(A852,'Base Prueba'!A:D,4,),"NO REGISTRA")</f>
        <v>PROMOTOR CALL CENTER</v>
      </c>
      <c r="E852" s="5" t="str">
        <f>IFERROR(VLOOKUP(A852,'Base Prueba'!A:E,5,),"NO REGISTRA")</f>
        <v>OFICINA DE MERCADEO</v>
      </c>
    </row>
    <row r="853" spans="1:5" ht="15.75" x14ac:dyDescent="0.25">
      <c r="A853" s="10">
        <v>80234243</v>
      </c>
      <c r="B853" s="2">
        <v>46041.770064004631</v>
      </c>
      <c r="C853" s="3" t="str">
        <f>IFERROR(VLOOKUP(A853,'Base Prueba'!A:C,3,),"NO REGISTRA")</f>
        <v>ARGENIS MARTINEZ MARTINEZ</v>
      </c>
      <c r="D853" s="4" t="str">
        <f>IFERROR(VLOOKUP(A853,'Base Prueba'!A:D,4,),"NO REGISTRA")</f>
        <v>LIDER CALL CENTER</v>
      </c>
      <c r="E853" s="5" t="str">
        <f>IFERROR(VLOOKUP(A853,'Base Prueba'!A:E,5,),"NO REGISTRA")</f>
        <v>OFICINA DE MERCADEO</v>
      </c>
    </row>
    <row r="854" spans="1:5" ht="15.75" x14ac:dyDescent="0.25">
      <c r="A854" s="10">
        <v>80234243</v>
      </c>
      <c r="B854" s="2">
        <v>46041.770097800923</v>
      </c>
      <c r="C854" s="3" t="str">
        <f>IFERROR(VLOOKUP(A854,'Base Prueba'!A:C,3,),"NO REGISTRA")</f>
        <v>ARGENIS MARTINEZ MARTINEZ</v>
      </c>
      <c r="D854" s="4" t="str">
        <f>IFERROR(VLOOKUP(A854,'Base Prueba'!A:D,4,),"NO REGISTRA")</f>
        <v>LIDER CALL CENTER</v>
      </c>
      <c r="E854" s="5" t="str">
        <f>IFERROR(VLOOKUP(A854,'Base Prueba'!A:E,5,),"NO REGISTRA")</f>
        <v>OFICINA DE MERCADEO</v>
      </c>
    </row>
    <row r="855" spans="1:5" ht="15.75" x14ac:dyDescent="0.25">
      <c r="A855" s="10">
        <v>1014308296</v>
      </c>
      <c r="B855" s="2">
        <v>46041.775244444441</v>
      </c>
      <c r="C855" s="3" t="str">
        <f>IFERROR(VLOOKUP(A855,'Base Prueba'!A:C,3,),"NO REGISTRA")</f>
        <v>DARLENE YULIANA MORENO CELEITA</v>
      </c>
      <c r="D855" s="4" t="str">
        <f>IFERROR(VLOOKUP(A855,'Base Prueba'!A:D,4,),"NO REGISTRA")</f>
        <v>CAJERO PRINCIPAL</v>
      </c>
      <c r="E855" s="5" t="str">
        <f>IFERROR(VLOOKUP(A855,'Base Prueba'!A:E,5,),"NO REGISTRA")</f>
        <v>AREA FINANCIERA Y CONTABLE</v>
      </c>
    </row>
    <row r="856" spans="1:5" ht="15.75" x14ac:dyDescent="0.25">
      <c r="A856" s="10">
        <v>1013098645</v>
      </c>
      <c r="B856" s="2">
        <v>46041.775297916669</v>
      </c>
      <c r="C856" s="3" t="str">
        <f>IFERROR(VLOOKUP(A856,'Base Prueba'!A:C,3,),"NO REGISTRA")</f>
        <v>CATHERINE LUCIA PENAGOS RIVERA</v>
      </c>
      <c r="D856" s="4" t="str">
        <f>IFERROR(VLOOKUP(A856,'Base Prueba'!A:D,4,),"NO REGISTRA")</f>
        <v>LIDER DE REGISTRO Y CONTROL ACADEMICO</v>
      </c>
      <c r="E856" s="5" t="str">
        <f>IFERROR(VLOOKUP(A856,'Base Prueba'!A:E,5,),"NO REGISTRA")</f>
        <v>REGISTRO Y CONTROL ACADEMICO</v>
      </c>
    </row>
    <row r="857" spans="1:5" ht="15.75" x14ac:dyDescent="0.25">
      <c r="A857" s="10">
        <v>80238161</v>
      </c>
      <c r="B857" s="2">
        <v>46041.775328009258</v>
      </c>
      <c r="C857" s="3" t="str">
        <f>IFERROR(VLOOKUP(A857,'Base Prueba'!A:C,3,),"NO REGISTRA")</f>
        <v>GERMAN CARRANZA ESPITIA</v>
      </c>
      <c r="D857" s="4" t="str">
        <f>IFERROR(VLOOKUP(A857,'Base Prueba'!A:D,4,),"NO REGISTRA")</f>
        <v>TESORERO</v>
      </c>
      <c r="E857" s="5" t="str">
        <f>IFERROR(VLOOKUP(A857,'Base Prueba'!A:E,5,),"NO REGISTRA")</f>
        <v>AREA FINANCIERA Y CONTABLE</v>
      </c>
    </row>
    <row r="858" spans="1:5" ht="15.75" x14ac:dyDescent="0.25">
      <c r="A858" s="10">
        <v>28798349</v>
      </c>
      <c r="B858" s="2">
        <v>46041.775667245369</v>
      </c>
      <c r="C858" s="3" t="str">
        <f>IFERROR(VLOOKUP(A858,'Base Prueba'!A:C,3,),"NO REGISTRA")</f>
        <v>MARTHA ISABEL TOVAR WILLIAMS</v>
      </c>
      <c r="D858" s="4" t="str">
        <f>IFERROR(VLOOKUP(A858,'Base Prueba'!A:D,4,),"NO REGISTRA")</f>
        <v>PROMOTOR CALL CENTER</v>
      </c>
      <c r="E858" s="5" t="str">
        <f>IFERROR(VLOOKUP(A858,'Base Prueba'!A:E,5,),"NO REGISTRA")</f>
        <v>OFICINA DE MERCADEO</v>
      </c>
    </row>
    <row r="859" spans="1:5" ht="15.75" x14ac:dyDescent="0.25">
      <c r="A859" s="10">
        <v>1003690253</v>
      </c>
      <c r="B859" s="2">
        <v>46041.775706134256</v>
      </c>
      <c r="C859" s="3" t="str">
        <f>IFERROR(VLOOKUP(A859,'Base Prueba'!A:C,3,),"NO REGISTRA")</f>
        <v>MELISSA GONZALEZ PEDRAZA</v>
      </c>
      <c r="D859" s="4" t="str">
        <f>IFERROR(VLOOKUP(A859,'Base Prueba'!A:D,4,),"NO REGISTRA")</f>
        <v>LIDER DE JOVENES A LA E</v>
      </c>
      <c r="E859" s="5" t="str">
        <f>IFERROR(VLOOKUP(A859,'Base Prueba'!A:E,5,),"NO REGISTRA")</f>
        <v>DIRECCION DE BIENESTAR INSTITUCIONAL</v>
      </c>
    </row>
    <row r="860" spans="1:5" ht="15.75" x14ac:dyDescent="0.25">
      <c r="A860" s="10">
        <v>53932358</v>
      </c>
      <c r="B860" s="2">
        <v>46041.78058958333</v>
      </c>
      <c r="C860" s="3" t="str">
        <f>IFERROR(VLOOKUP(A860,'Base Prueba'!A:C,3,),"NO REGISTRA")</f>
        <v>DIANA MADELEYNE GAONA RODRIGUEZ</v>
      </c>
      <c r="D860" s="4" t="str">
        <f>IFERROR(VLOOKUP(A860,'Base Prueba'!A:D,4,),"NO REGISTRA")</f>
        <v>CONTADOR</v>
      </c>
      <c r="E860" s="5" t="str">
        <f>IFERROR(VLOOKUP(A860,'Base Prueba'!A:E,5,),"NO REGISTRA")</f>
        <v>AREA FINANCIERA Y CONTABLE</v>
      </c>
    </row>
    <row r="861" spans="1:5" ht="15.75" x14ac:dyDescent="0.25">
      <c r="A861" s="10">
        <v>1000457706</v>
      </c>
      <c r="B861" s="2">
        <v>46041.780622337959</v>
      </c>
      <c r="C861" s="3" t="str">
        <f>IFERROR(VLOOKUP(A861,'Base Prueba'!A:C,3,),"NO REGISTRA")</f>
        <v>CRISTIAN DANILO ARROYO SANABRIA</v>
      </c>
      <c r="D861" s="4" t="str">
        <f>IFERROR(VLOOKUP(A861,'Base Prueba'!A:D,4,),"NO REGISTRA")</f>
        <v>AUXILIAR CONTABLE</v>
      </c>
      <c r="E861" s="5" t="str">
        <f>IFERROR(VLOOKUP(A861,'Base Prueba'!A:E,5,),"NO REGISTRA")</f>
        <v>AREA FINANCIERA Y CONTABLE</v>
      </c>
    </row>
    <row r="862" spans="1:5" ht="15.75" x14ac:dyDescent="0.25">
      <c r="A862" s="10">
        <v>52175674</v>
      </c>
      <c r="B862" s="2">
        <v>46041.798363425929</v>
      </c>
      <c r="C862" s="3" t="str">
        <f>IFERROR(VLOOKUP(A862,'Base Prueba'!A:C,3,),"NO REGISTRA")</f>
        <v>LUZ YANETH GOMEZ AREVALO</v>
      </c>
      <c r="D862" s="4" t="str">
        <f>IFERROR(VLOOKUP(A862,'Base Prueba'!A:D,4,),"NO REGISTRA")</f>
        <v>COORDINADORA DE ADMISIONES</v>
      </c>
      <c r="E862" s="5" t="str">
        <f>IFERROR(VLOOKUP(A862,'Base Prueba'!A:E,5,),"NO REGISTRA")</f>
        <v>OFICINA DE MERCADEO</v>
      </c>
    </row>
    <row r="863" spans="1:5" ht="15.75" x14ac:dyDescent="0.25">
      <c r="A863" s="10">
        <v>1000354041</v>
      </c>
      <c r="B863" s="2">
        <v>46042.285235300929</v>
      </c>
      <c r="C863" s="3" t="str">
        <f>IFERROR(VLOOKUP(A863,'Base Prueba'!A:C,3,),"NO REGISTRA")</f>
        <v>ANGIE NATALIA BOHORQUEZ SANCHEZ</v>
      </c>
      <c r="D863" s="4" t="str">
        <f>IFERROR(VLOOKUP(A863,'Base Prueba'!A:D,4,),"NO REGISTRA")</f>
        <v>APRENDIZ UNIVERSITARIO</v>
      </c>
      <c r="E863" s="5" t="str">
        <f>IFERROR(VLOOKUP(A863,'Base Prueba'!A:E,5,),"NO REGISTRA")</f>
        <v>OFICINA DE PLANEACION Y GESTION DE LA CALIDAD</v>
      </c>
    </row>
    <row r="864" spans="1:5" ht="15.75" x14ac:dyDescent="0.25">
      <c r="A864" s="10">
        <v>1087121273</v>
      </c>
      <c r="B864" s="2">
        <v>46042.312051157409</v>
      </c>
      <c r="C864" s="3" t="str">
        <f>IFERROR(VLOOKUP(A864,'Base Prueba'!A:C,3,),"NO REGISTRA")</f>
        <v>MAYRA ALEJANDRA CASTILLO ARBOLEDA</v>
      </c>
      <c r="D864" s="4" t="str">
        <f>IFERROR(VLOOKUP(A864,'Base Prueba'!A:D,4,),"NO REGISTRA")</f>
        <v>APOYO INTEGRAL DE MERCADEO</v>
      </c>
      <c r="E864" s="5" t="str">
        <f>IFERROR(VLOOKUP(A864,'Base Prueba'!A:E,5,),"NO REGISTRA")</f>
        <v>CENTRO DE GESTION DOCUMENTAL</v>
      </c>
    </row>
    <row r="865" spans="1:5" ht="15.75" x14ac:dyDescent="0.25">
      <c r="A865" s="10">
        <v>1013616244</v>
      </c>
      <c r="B865" s="2">
        <v>46042.317377546293</v>
      </c>
      <c r="C865" s="3" t="str">
        <f>IFERROR(VLOOKUP(A865,'Base Prueba'!A:C,3,),"NO REGISTRA")</f>
        <v>DIANA CAROLINA MARIN BETANCOURT</v>
      </c>
      <c r="D865" s="4" t="str">
        <f>IFERROR(VLOOKUP(A865,'Base Prueba'!A:D,4,),"NO REGISTRA")</f>
        <v>AUXILIAR ADMINISTRATIVO</v>
      </c>
      <c r="E865" s="5" t="str">
        <f>IFERROR(VLOOKUP(A865,'Base Prueba'!A:E,5,),"NO REGISTRA")</f>
        <v>REGISTRO Y CONTROL ACADEMICO</v>
      </c>
    </row>
    <row r="866" spans="1:5" ht="15.75" x14ac:dyDescent="0.25">
      <c r="A866" s="10">
        <v>1031802160</v>
      </c>
      <c r="B866" s="2">
        <v>46042.331729166668</v>
      </c>
      <c r="C866" s="3" t="str">
        <f>IFERROR(VLOOKUP(A866,'Base Prueba'!A:C,3,),"NO REGISTRA")</f>
        <v>LUISA MARIA MAHECHA SOTOMAYOR</v>
      </c>
      <c r="D866" s="4" t="str">
        <f>IFERROR(VLOOKUP(A866,'Base Prueba'!A:D,4,),"NO REGISTRA")</f>
        <v>APRENDIZ UNIVERSITARIO</v>
      </c>
      <c r="E866" s="5" t="str">
        <f>IFERROR(VLOOKUP(A866,'Base Prueba'!A:E,5,),"NO REGISTRA")</f>
        <v>OFICINA DE MERCADEO</v>
      </c>
    </row>
    <row r="867" spans="1:5" ht="15.75" x14ac:dyDescent="0.25">
      <c r="A867" s="10">
        <v>1049644802</v>
      </c>
      <c r="B867" s="2">
        <v>46042.335821759261</v>
      </c>
      <c r="C867" s="3" t="str">
        <f>IFERROR(VLOOKUP(A867,'Base Prueba'!A:C,3,),"NO REGISTRA")</f>
        <v>DANIELA ALEXANDRA CIPAMOCHA BOSIGA</v>
      </c>
      <c r="D867" s="4" t="str">
        <f>IFERROR(VLOOKUP(A867,'Base Prueba'!A:D,4,),"NO REGISTRA")</f>
        <v>LIDER DE DATOS Y SERVICIOS</v>
      </c>
      <c r="E867" s="5" t="str">
        <f>IFERROR(VLOOKUP(A867,'Base Prueba'!A:E,5,),"NO REGISTRA")</f>
        <v>OFICINA DE PLANEACION Y GESTION DE LA CALIDAD</v>
      </c>
    </row>
    <row r="868" spans="1:5" ht="15.75" x14ac:dyDescent="0.25">
      <c r="A868" s="10">
        <v>1014977624</v>
      </c>
      <c r="B868" s="2">
        <v>46042.335875810182</v>
      </c>
      <c r="C868" s="3" t="str">
        <f>IFERROR(VLOOKUP(A868,'Base Prueba'!A:C,3,),"NO REGISTRA")</f>
        <v>NICCOLE VALENTINA HERNANDEZ MALAVER</v>
      </c>
      <c r="D868" s="4" t="str">
        <f>IFERROR(VLOOKUP(A868,'Base Prueba'!A:D,4,),"NO REGISTRA")</f>
        <v>APRENDIZ UNIVERSITARIO</v>
      </c>
      <c r="E868" s="5" t="str">
        <f>IFERROR(VLOOKUP(A868,'Base Prueba'!A:E,5,),"NO REGISTRA")</f>
        <v>AREA FINANCIERA Y CONTABLE</v>
      </c>
    </row>
    <row r="869" spans="1:5" ht="15.75" x14ac:dyDescent="0.25">
      <c r="A869" s="10">
        <v>1000257136</v>
      </c>
      <c r="B869" s="2">
        <v>46042.336030092592</v>
      </c>
      <c r="C869" s="3" t="str">
        <f>IFERROR(VLOOKUP(A869,'Base Prueba'!A:C,3,),"NO REGISTRA")</f>
        <v>FRANCI VALENTINA CANO PUENTES</v>
      </c>
      <c r="D869" s="4" t="str">
        <f>IFERROR(VLOOKUP(A869,'Base Prueba'!A:D,4,),"NO REGISTRA")</f>
        <v>AUXILIAR CONTABLE</v>
      </c>
      <c r="E869" s="5" t="str">
        <f>IFERROR(VLOOKUP(A869,'Base Prueba'!A:E,5,),"NO REGISTRA")</f>
        <v>AREA FINANCIERA Y CONTABLE</v>
      </c>
    </row>
    <row r="870" spans="1:5" ht="15.75" x14ac:dyDescent="0.25">
      <c r="A870" s="10">
        <v>1022996882</v>
      </c>
      <c r="B870" s="2">
        <v>46042.340976157408</v>
      </c>
      <c r="C870" s="3" t="str">
        <f>IFERROR(VLOOKUP(A870,'Base Prueba'!A:C,3,),"NO REGISTRA")</f>
        <v>NANCY BRIGITH ALDANA GUEVARA</v>
      </c>
      <c r="D870" s="4" t="str">
        <f>IFERROR(VLOOKUP(A870,'Base Prueba'!A:D,4,),"NO REGISTRA")</f>
        <v>COORDINADORA DE GESTIÓN HUMANA</v>
      </c>
      <c r="E870" s="5" t="str">
        <f>IFERROR(VLOOKUP(A870,'Base Prueba'!A:E,5,),"NO REGISTRA")</f>
        <v>DEPARTAMENTO DE GESTION HUMANA</v>
      </c>
    </row>
    <row r="871" spans="1:5" ht="15.75" x14ac:dyDescent="0.25">
      <c r="A871" s="10">
        <v>1000687931</v>
      </c>
      <c r="B871" s="2">
        <v>46042.342564351849</v>
      </c>
      <c r="C871" s="3" t="str">
        <f>IFERROR(VLOOKUP(A871,'Base Prueba'!A:C,3,),"NO REGISTRA")</f>
        <v>ANDRES FELIPE PUENTES TORRES</v>
      </c>
      <c r="D871" s="4" t="str">
        <f>IFERROR(VLOOKUP(A871,'Base Prueba'!A:D,4,),"NO REGISTRA")</f>
        <v>AUXILIAR ADMINISTRATIVO</v>
      </c>
      <c r="E871" s="5" t="str">
        <f>IFERROR(VLOOKUP(A871,'Base Prueba'!A:E,5,),"NO REGISTRA")</f>
        <v>REGISTRO Y CONTROL ACADEMICO</v>
      </c>
    </row>
    <row r="872" spans="1:5" ht="15.75" x14ac:dyDescent="0.25">
      <c r="A872" s="10">
        <v>1016090131</v>
      </c>
      <c r="B872" s="2">
        <v>46042.342727314812</v>
      </c>
      <c r="C872" s="3" t="str">
        <f>IFERROR(VLOOKUP(A872,'Base Prueba'!A:C,3,),"NO REGISTRA")</f>
        <v>NICOLAS RODRIGUEZ PACHECO</v>
      </c>
      <c r="D872" s="4" t="str">
        <f>IFERROR(VLOOKUP(A872,'Base Prueba'!A:D,4,),"NO REGISTRA")</f>
        <v>COORDINADOR DE COMUNICACIONES</v>
      </c>
      <c r="E872" s="5" t="str">
        <f>IFERROR(VLOOKUP(A872,'Base Prueba'!A:E,5,),"NO REGISTRA")</f>
        <v>OFICINA DE MERCADEO</v>
      </c>
    </row>
    <row r="873" spans="1:5" ht="15.75" x14ac:dyDescent="0.25">
      <c r="A873" s="10">
        <v>80238161</v>
      </c>
      <c r="B873" s="2">
        <v>46042.342879166667</v>
      </c>
      <c r="C873" s="3" t="str">
        <f>IFERROR(VLOOKUP(A873,'Base Prueba'!A:C,3,),"NO REGISTRA")</f>
        <v>GERMAN CARRANZA ESPITIA</v>
      </c>
      <c r="D873" s="4" t="str">
        <f>IFERROR(VLOOKUP(A873,'Base Prueba'!A:D,4,),"NO REGISTRA")</f>
        <v>TESORERO</v>
      </c>
      <c r="E873" s="5" t="str">
        <f>IFERROR(VLOOKUP(A873,'Base Prueba'!A:E,5,),"NO REGISTRA")</f>
        <v>AREA FINANCIERA Y CONTABLE</v>
      </c>
    </row>
    <row r="874" spans="1:5" ht="15.75" x14ac:dyDescent="0.25">
      <c r="A874" s="10">
        <v>1193457976</v>
      </c>
      <c r="B874" s="2">
        <v>46042.34319097222</v>
      </c>
      <c r="C874" s="3" t="str">
        <f>IFERROR(VLOOKUP(A874,'Base Prueba'!A:C,3,),"NO REGISTRA")</f>
        <v>SEDENIS RIVAS ASPRILLA</v>
      </c>
      <c r="D874" s="4" t="str">
        <f>IFERROR(VLOOKUP(A874,'Base Prueba'!A:D,4,),"NO REGISTRA")</f>
        <v>APRENDIZ UNIVERSITARIO</v>
      </c>
      <c r="E874" s="5" t="str">
        <f>IFERROR(VLOOKUP(A874,'Base Prueba'!A:E,5,),"NO REGISTRA")</f>
        <v>DEPARTAMENTO DE GESTION HUMANA</v>
      </c>
    </row>
    <row r="875" spans="1:5" ht="15.75" x14ac:dyDescent="0.25">
      <c r="A875" s="10">
        <v>1013098645</v>
      </c>
      <c r="B875" s="2">
        <v>46042.344726736112</v>
      </c>
      <c r="C875" s="3" t="str">
        <f>IFERROR(VLOOKUP(A875,'Base Prueba'!A:C,3,),"NO REGISTRA")</f>
        <v>CATHERINE LUCIA PENAGOS RIVERA</v>
      </c>
      <c r="D875" s="4" t="str">
        <f>IFERROR(VLOOKUP(A875,'Base Prueba'!A:D,4,),"NO REGISTRA")</f>
        <v>LIDER DE REGISTRO Y CONTROL ACADEMICO</v>
      </c>
      <c r="E875" s="5" t="str">
        <f>IFERROR(VLOOKUP(A875,'Base Prueba'!A:E,5,),"NO REGISTRA")</f>
        <v>REGISTRO Y CONTROL ACADEMICO</v>
      </c>
    </row>
    <row r="876" spans="1:5" ht="15.75" x14ac:dyDescent="0.25">
      <c r="A876" s="10">
        <v>1026599257</v>
      </c>
      <c r="B876" s="2">
        <v>46042.345609606484</v>
      </c>
      <c r="C876" s="3" t="str">
        <f>IFERROR(VLOOKUP(A876,'Base Prueba'!A:C,3,),"NO REGISTRA")</f>
        <v>YESENIA PAOLA PINEDA HURTADO</v>
      </c>
      <c r="D876" s="4" t="str">
        <f>IFERROR(VLOOKUP(A876,'Base Prueba'!A:D,4,),"NO REGISTRA")</f>
        <v>LIDER DE COMPRAS</v>
      </c>
      <c r="E876" s="5" t="str">
        <f>IFERROR(VLOOKUP(A876,'Base Prueba'!A:E,5,),"NO REGISTRA")</f>
        <v>AREA ADMINISTRATIVA</v>
      </c>
    </row>
    <row r="877" spans="1:5" ht="15.75" x14ac:dyDescent="0.25">
      <c r="A877" s="10">
        <v>1000457706</v>
      </c>
      <c r="B877" s="2">
        <v>46042.349956944447</v>
      </c>
      <c r="C877" s="3" t="str">
        <f>IFERROR(VLOOKUP(A877,'Base Prueba'!A:C,3,),"NO REGISTRA")</f>
        <v>CRISTIAN DANILO ARROYO SANABRIA</v>
      </c>
      <c r="D877" s="4" t="str">
        <f>IFERROR(VLOOKUP(A877,'Base Prueba'!A:D,4,),"NO REGISTRA")</f>
        <v>AUXILIAR CONTABLE</v>
      </c>
      <c r="E877" s="5" t="str">
        <f>IFERROR(VLOOKUP(A877,'Base Prueba'!A:E,5,),"NO REGISTRA")</f>
        <v>AREA FINANCIERA Y CONTABLE</v>
      </c>
    </row>
    <row r="878" spans="1:5" ht="15.75" x14ac:dyDescent="0.25">
      <c r="A878" s="10">
        <v>1023883232</v>
      </c>
      <c r="B878" s="2">
        <v>46042.350003935186</v>
      </c>
      <c r="C878" s="3" t="str">
        <f>IFERROR(VLOOKUP(A878,'Base Prueba'!A:C,3,),"NO REGISTRA")</f>
        <v>MONICA ANDREA ACERO URBANO</v>
      </c>
      <c r="D878" s="4" t="str">
        <f>IFERROR(VLOOKUP(A878,'Base Prueba'!A:D,4,),"NO REGISTRA")</f>
        <v>APOYO INTEGRAL A GESTION HUMANA</v>
      </c>
      <c r="E878" s="5" t="str">
        <f>IFERROR(VLOOKUP(A878,'Base Prueba'!A:E,5,),"NO REGISTRA")</f>
        <v>DEPARTAMENTO DE GESTION HUMANA</v>
      </c>
    </row>
    <row r="879" spans="1:5" ht="15.75" x14ac:dyDescent="0.25">
      <c r="A879" s="10">
        <v>53932358</v>
      </c>
      <c r="B879" s="2">
        <v>46042.352616435186</v>
      </c>
      <c r="C879" s="3" t="str">
        <f>IFERROR(VLOOKUP(A879,'Base Prueba'!A:C,3,),"NO REGISTRA")</f>
        <v>DIANA MADELEYNE GAONA RODRIGUEZ</v>
      </c>
      <c r="D879" s="4" t="str">
        <f>IFERROR(VLOOKUP(A879,'Base Prueba'!A:D,4,),"NO REGISTRA")</f>
        <v>CONTADOR</v>
      </c>
      <c r="E879" s="5" t="str">
        <f>IFERROR(VLOOKUP(A879,'Base Prueba'!A:E,5,),"NO REGISTRA")</f>
        <v>AREA FINANCIERA Y CONTABLE</v>
      </c>
    </row>
    <row r="880" spans="1:5" ht="15.75" x14ac:dyDescent="0.25">
      <c r="A880" s="10">
        <v>1024505434</v>
      </c>
      <c r="B880" s="2">
        <v>46042.35727685185</v>
      </c>
      <c r="C880" s="3" t="str">
        <f>IFERROR(VLOOKUP(A880,'Base Prueba'!A:C,3,),"NO REGISTRA")</f>
        <v>CRISTIAN ALBERTO MELO TORRES</v>
      </c>
      <c r="D880" s="4" t="str">
        <f>IFERROR(VLOOKUP(A880,'Base Prueba'!A:D,4,),"NO REGISTRA")</f>
        <v>COORDINADOR DE INFRAESTRUCTURA</v>
      </c>
      <c r="E880" s="5" t="str">
        <f>IFERROR(VLOOKUP(A880,'Base Prueba'!A:E,5,),"NO REGISTRA")</f>
        <v>VICERRECTORIA ADMINISTRATIVA Y FINANCIERA</v>
      </c>
    </row>
    <row r="881" spans="1:5" ht="15.75" x14ac:dyDescent="0.25">
      <c r="A881" s="10">
        <v>1000593372</v>
      </c>
      <c r="B881" s="2">
        <v>46042.357393287035</v>
      </c>
      <c r="C881" s="3" t="str">
        <f>IFERROR(VLOOKUP(A881,'Base Prueba'!A:C,3,),"NO REGISTRA")</f>
        <v>LAURA SOFIA CHAPARRO LOPEZ</v>
      </c>
      <c r="D881" s="4" t="str">
        <f>IFERROR(VLOOKUP(A881,'Base Prueba'!A:D,4,),"NO REGISTRA")</f>
        <v>AUXILIAR JURIDICO</v>
      </c>
      <c r="E881" s="5" t="str">
        <f>IFERROR(VLOOKUP(A881,'Base Prueba'!A:E,5,),"NO REGISTRA")</f>
        <v>SECRETARIA GENERAL</v>
      </c>
    </row>
    <row r="882" spans="1:5" ht="15.75" x14ac:dyDescent="0.25">
      <c r="A882" s="10">
        <v>1000604979</v>
      </c>
      <c r="B882" s="2">
        <v>46042.357437384257</v>
      </c>
      <c r="C882" s="3" t="str">
        <f>IFERROR(VLOOKUP(A882,'Base Prueba'!A:C,3,),"NO REGISTRA")</f>
        <v>JULIETH TATIANA PARDO PINTO</v>
      </c>
      <c r="D882" s="4" t="str">
        <f>IFERROR(VLOOKUP(A882,'Base Prueba'!A:D,4,),"NO REGISTRA")</f>
        <v>AUXILIAR JURIDICO</v>
      </c>
      <c r="E882" s="5" t="str">
        <f>IFERROR(VLOOKUP(A882,'Base Prueba'!A:E,5,),"NO REGISTRA")</f>
        <v>SECRETARIA GENERAL</v>
      </c>
    </row>
    <row r="883" spans="1:5" ht="15.75" x14ac:dyDescent="0.25">
      <c r="A883" s="10">
        <v>1014196857</v>
      </c>
      <c r="B883" s="2">
        <v>46042.357519560188</v>
      </c>
      <c r="C883" s="3" t="str">
        <f>IFERROR(VLOOKUP(A883,'Base Prueba'!A:C,3,),"NO REGISTRA")</f>
        <v>CARLOS ANDRES JIMENEZ PARDO</v>
      </c>
      <c r="D883" s="4" t="str">
        <f>IFERROR(VLOOKUP(A883,'Base Prueba'!A:D,4,),"NO REGISTRA")</f>
        <v>COORDINADOR DE MARKETING DIGITAL</v>
      </c>
      <c r="E883" s="5" t="str">
        <f>IFERROR(VLOOKUP(A883,'Base Prueba'!A:E,5,),"NO REGISTRA")</f>
        <v>OFICINA DE MERCADEO</v>
      </c>
    </row>
    <row r="884" spans="1:5" ht="15.75" x14ac:dyDescent="0.25">
      <c r="A884" s="10">
        <v>80234243</v>
      </c>
      <c r="B884" s="2">
        <v>46042.36163900463</v>
      </c>
      <c r="C884" s="3" t="str">
        <f>IFERROR(VLOOKUP(A884,'Base Prueba'!A:C,3,),"NO REGISTRA")</f>
        <v>ARGENIS MARTINEZ MARTINEZ</v>
      </c>
      <c r="D884" s="4" t="str">
        <f>IFERROR(VLOOKUP(A884,'Base Prueba'!A:D,4,),"NO REGISTRA")</f>
        <v>LIDER CALL CENTER</v>
      </c>
      <c r="E884" s="5" t="str">
        <f>IFERROR(VLOOKUP(A884,'Base Prueba'!A:E,5,),"NO REGISTRA")</f>
        <v>OFICINA DE MERCADEO</v>
      </c>
    </row>
    <row r="885" spans="1:5" ht="15.75" x14ac:dyDescent="0.25">
      <c r="A885" s="10">
        <v>1018414290</v>
      </c>
      <c r="B885" s="2">
        <v>46042.365069097221</v>
      </c>
      <c r="C885" s="3" t="str">
        <f>IFERROR(VLOOKUP(A885,'Base Prueba'!A:C,3,),"NO REGISTRA")</f>
        <v>AMANDA LISBETH RODRIGUEZ LEON</v>
      </c>
      <c r="D885" s="4" t="str">
        <f>IFERROR(VLOOKUP(A885,'Base Prueba'!A:D,4,),"NO REGISTRA")</f>
        <v>PROMOTOR CALL CENTER</v>
      </c>
      <c r="E885" s="5" t="str">
        <f>IFERROR(VLOOKUP(A885,'Base Prueba'!A:E,5,),"NO REGISTRA")</f>
        <v>OFICINA DE MERCADEO</v>
      </c>
    </row>
    <row r="886" spans="1:5" ht="15.75" x14ac:dyDescent="0.25">
      <c r="A886" s="10">
        <v>52735929</v>
      </c>
      <c r="B886" s="2">
        <v>46042.366457407406</v>
      </c>
      <c r="C886" s="3" t="str">
        <f>IFERROR(VLOOKUP(A886,'Base Prueba'!A:C,3,),"NO REGISTRA")</f>
        <v>JEIMMY AREVALO MELO</v>
      </c>
      <c r="D886" s="4" t="str">
        <f>IFERROR(VLOOKUP(A886,'Base Prueba'!A:D,4,),"NO REGISTRA")</f>
        <v>COORDINADOR DE BIBLIOTECA</v>
      </c>
      <c r="E886" s="5" t="str">
        <f>IFERROR(VLOOKUP(A886,'Base Prueba'!A:E,5,),"NO REGISTRA")</f>
        <v>BIBLIOTECA</v>
      </c>
    </row>
    <row r="887" spans="1:5" ht="15.75" x14ac:dyDescent="0.25">
      <c r="A887" s="10">
        <v>1033709056</v>
      </c>
      <c r="B887" s="2">
        <v>46042.367671990738</v>
      </c>
      <c r="C887" s="3" t="str">
        <f>IFERROR(VLOOKUP(A887,'Base Prueba'!A:C,3,),"NO REGISTRA")</f>
        <v>YEIMY ALEXANDRA RODRIGUEZ PALACIO</v>
      </c>
      <c r="D887" s="4" t="str">
        <f>IFERROR(VLOOKUP(A887,'Base Prueba'!A:D,4,),"NO REGISTRA")</f>
        <v>PROMOTOR CALL CENTER</v>
      </c>
      <c r="E887" s="5" t="str">
        <f>IFERROR(VLOOKUP(A887,'Base Prueba'!A:E,5,),"NO REGISTRA")</f>
        <v>OFICINA DE MERCADEO</v>
      </c>
    </row>
    <row r="888" spans="1:5" ht="15.75" x14ac:dyDescent="0.25">
      <c r="A888" s="10">
        <v>1003690253</v>
      </c>
      <c r="B888" s="2">
        <v>46042.367870486109</v>
      </c>
      <c r="C888" s="3" t="str">
        <f>IFERROR(VLOOKUP(A888,'Base Prueba'!A:C,3,),"NO REGISTRA")</f>
        <v>MELISSA GONZALEZ PEDRAZA</v>
      </c>
      <c r="D888" s="4" t="str">
        <f>IFERROR(VLOOKUP(A888,'Base Prueba'!A:D,4,),"NO REGISTRA")</f>
        <v>LIDER DE JOVENES A LA E</v>
      </c>
      <c r="E888" s="5" t="str">
        <f>IFERROR(VLOOKUP(A888,'Base Prueba'!A:E,5,),"NO REGISTRA")</f>
        <v>DIRECCION DE BIENESTAR INSTITUCIONAL</v>
      </c>
    </row>
    <row r="889" spans="1:5" ht="15.75" x14ac:dyDescent="0.25">
      <c r="A889" s="10">
        <v>52472386</v>
      </c>
      <c r="B889" s="2">
        <v>46042.370515046299</v>
      </c>
      <c r="C889" s="3" t="str">
        <f>IFERROR(VLOOKUP(A889,'Base Prueba'!A:C,3,),"NO REGISTRA")</f>
        <v>ADRIANA MARCELA MORALES PARDO</v>
      </c>
      <c r="D889" s="4" t="str">
        <f>IFERROR(VLOOKUP(A889,'Base Prueba'!A:D,4,),"NO REGISTRA")</f>
        <v>PROMOTOR CALL CENTER</v>
      </c>
      <c r="E889" s="5" t="str">
        <f>IFERROR(VLOOKUP(A889,'Base Prueba'!A:E,5,),"NO REGISTRA")</f>
        <v>OFICINA DE MERCADEO</v>
      </c>
    </row>
    <row r="890" spans="1:5" ht="15.75" x14ac:dyDescent="0.25">
      <c r="A890" s="10">
        <v>1193265768</v>
      </c>
      <c r="B890" s="2">
        <v>46042.370667129631</v>
      </c>
      <c r="C890" s="3" t="str">
        <f>IFERROR(VLOOKUP(A890,'Base Prueba'!A:C,3,),"NO REGISTRA")</f>
        <v>SANTIAGO OSORIO CAMACHO</v>
      </c>
      <c r="D890" s="4" t="str">
        <f>IFERROR(VLOOKUP(A890,'Base Prueba'!A:D,4,),"NO REGISTRA")</f>
        <v>ANALISTA DE PAUTA</v>
      </c>
      <c r="E890" s="5" t="str">
        <f>IFERROR(VLOOKUP(A890,'Base Prueba'!A:E,5,),"NO REGISTRA")</f>
        <v>OFICINA DE MERCADEO</v>
      </c>
    </row>
    <row r="891" spans="1:5" ht="15.75" x14ac:dyDescent="0.25">
      <c r="A891" s="10">
        <v>1012426741</v>
      </c>
      <c r="B891" s="2">
        <v>46042.370729282404</v>
      </c>
      <c r="C891" s="3" t="str">
        <f>IFERROR(VLOOKUP(A891,'Base Prueba'!A:C,3,),"NO REGISTRA")</f>
        <v>CRISTIAN FABIAN ROJAS SANCENO</v>
      </c>
      <c r="D891" s="4" t="str">
        <f>IFERROR(VLOOKUP(A891,'Base Prueba'!A:D,4,),"NO REGISTRA")</f>
        <v>AUXILIAR DE REINTEGROS</v>
      </c>
      <c r="E891" s="5" t="str">
        <f>IFERROR(VLOOKUP(A891,'Base Prueba'!A:E,5,),"NO REGISTRA")</f>
        <v>DIRECCION DE BIENESTAR INSTITUCIONAL</v>
      </c>
    </row>
    <row r="892" spans="1:5" ht="15.75" x14ac:dyDescent="0.25">
      <c r="A892" s="10">
        <v>1018413529</v>
      </c>
      <c r="B892" s="2">
        <v>46042.370892476851</v>
      </c>
      <c r="C892" s="3" t="str">
        <f>IFERROR(VLOOKUP(A892,'Base Prueba'!A:C,3,),"NO REGISTRA")</f>
        <v>FRANCY STELLA CHARRY MORENO</v>
      </c>
      <c r="D892" s="4" t="str">
        <f>IFERROR(VLOOKUP(A892,'Base Prueba'!A:D,4,),"NO REGISTRA")</f>
        <v>PROMOTOR COMERCIAL DEL CEA</v>
      </c>
      <c r="E892" s="5" t="str">
        <f>IFERROR(VLOOKUP(A892,'Base Prueba'!A:E,5,),"NO REGISTRA")</f>
        <v>OFICINA DE MERCADEO</v>
      </c>
    </row>
    <row r="893" spans="1:5" ht="15.75" x14ac:dyDescent="0.25">
      <c r="A893" s="10">
        <v>1000254831</v>
      </c>
      <c r="B893" s="2">
        <v>46042.371818518521</v>
      </c>
      <c r="C893" s="3" t="str">
        <f>IFERROR(VLOOKUP(A893,'Base Prueba'!A:C,3,),"NO REGISTRA")</f>
        <v>BRIDGET ROSSANA DIAZ BOGOTA</v>
      </c>
      <c r="D893" s="4" t="str">
        <f>IFERROR(VLOOKUP(A893,'Base Prueba'!A:D,4,),"NO REGISTRA")</f>
        <v>AUXILIAR DE DISEÑO</v>
      </c>
      <c r="E893" s="5" t="str">
        <f>IFERROR(VLOOKUP(A893,'Base Prueba'!A:E,5,),"NO REGISTRA")</f>
        <v>OFICINA DE MERCADEO</v>
      </c>
    </row>
    <row r="894" spans="1:5" ht="15.75" x14ac:dyDescent="0.25">
      <c r="A894" s="10">
        <v>53089882</v>
      </c>
      <c r="B894" s="2">
        <v>46042.373413657406</v>
      </c>
      <c r="C894" s="3" t="str">
        <f>IFERROR(VLOOKUP(A894,'Base Prueba'!A:C,3,),"NO REGISTRA")</f>
        <v>MARIA JOHANA ESCAMILLA MARTINEZ</v>
      </c>
      <c r="D894" s="4" t="str">
        <f>IFERROR(VLOOKUP(A894,'Base Prueba'!A:D,4,),"NO REGISTRA")</f>
        <v>PROMOTOR DE INFORMACIÓN</v>
      </c>
      <c r="E894" s="5" t="str">
        <f>IFERROR(VLOOKUP(A894,'Base Prueba'!A:E,5,),"NO REGISTRA")</f>
        <v>OFICINA DE MERCADEO</v>
      </c>
    </row>
    <row r="895" spans="1:5" ht="15.75" x14ac:dyDescent="0.25">
      <c r="A895" s="10">
        <v>28798349</v>
      </c>
      <c r="B895" s="2">
        <v>46042.37450046296</v>
      </c>
      <c r="C895" s="3" t="str">
        <f>IFERROR(VLOOKUP(A895,'Base Prueba'!A:C,3,),"NO REGISTRA")</f>
        <v>MARTHA ISABEL TOVAR WILLIAMS</v>
      </c>
      <c r="D895" s="4" t="str">
        <f>IFERROR(VLOOKUP(A895,'Base Prueba'!A:D,4,),"NO REGISTRA")</f>
        <v>PROMOTOR CALL CENTER</v>
      </c>
      <c r="E895" s="5" t="str">
        <f>IFERROR(VLOOKUP(A895,'Base Prueba'!A:E,5,),"NO REGISTRA")</f>
        <v>OFICINA DE MERCADEO</v>
      </c>
    </row>
    <row r="896" spans="1:5" ht="15.75" x14ac:dyDescent="0.25">
      <c r="A896" s="10">
        <v>1000046533</v>
      </c>
      <c r="B896" s="2">
        <v>46042.37638159722</v>
      </c>
      <c r="C896" s="3" t="str">
        <f>IFERROR(VLOOKUP(A896,'Base Prueba'!A:C,3,),"NO REGISTRA")</f>
        <v>ERIKA JULIETH VALDERRAMA SANCHEZ</v>
      </c>
      <c r="D896" s="4" t="str">
        <f>IFERROR(VLOOKUP(A896,'Base Prueba'!A:D,4,),"NO REGISTRA")</f>
        <v>PROMOTOR CALL CENTER</v>
      </c>
      <c r="E896" s="5" t="str">
        <f>IFERROR(VLOOKUP(A896,'Base Prueba'!A:E,5,),"NO REGISTRA")</f>
        <v>OFICINA DE MERCADEO</v>
      </c>
    </row>
    <row r="897" spans="1:5" ht="15.75" x14ac:dyDescent="0.25">
      <c r="A897" s="10">
        <v>1019105003</v>
      </c>
      <c r="B897" s="2">
        <v>46042.376782175925</v>
      </c>
      <c r="C897" s="3" t="str">
        <f>IFERROR(VLOOKUP(A897,'Base Prueba'!A:C,3,),"NO REGISTRA")</f>
        <v>DAISY JULIETH GASPAR MORENO</v>
      </c>
      <c r="D897" s="4" t="str">
        <f>IFERROR(VLOOKUP(A897,'Base Prueba'!A:D,4,),"NO REGISTRA")</f>
        <v>PROMOTOR CALL CENTER</v>
      </c>
      <c r="E897" s="5" t="str">
        <f>IFERROR(VLOOKUP(A897,'Base Prueba'!A:E,5,),"NO REGISTRA")</f>
        <v>OFICINA DE MERCADEO</v>
      </c>
    </row>
    <row r="898" spans="1:5" ht="15.75" x14ac:dyDescent="0.25">
      <c r="A898" s="10">
        <v>1032407386</v>
      </c>
      <c r="B898" s="2">
        <v>46042.377577430554</v>
      </c>
      <c r="C898" s="3" t="str">
        <f>IFERROR(VLOOKUP(A898,'Base Prueba'!A:C,3,),"NO REGISTRA")</f>
        <v>GINA PAOLA BAEZ GALVIS</v>
      </c>
      <c r="D898" s="4" t="str">
        <f>IFERROR(VLOOKUP(A898,'Base Prueba'!A:D,4,),"NO REGISTRA")</f>
        <v>PROMOTOR CALL CENTER</v>
      </c>
      <c r="E898" s="5" t="str">
        <f>IFERROR(VLOOKUP(A898,'Base Prueba'!A:E,5,),"NO REGISTRA")</f>
        <v>OFICINA DE MERCADEO</v>
      </c>
    </row>
    <row r="899" spans="1:5" ht="15.75" x14ac:dyDescent="0.25">
      <c r="A899" s="10">
        <v>52764929</v>
      </c>
      <c r="B899" s="2">
        <v>46042.383255324072</v>
      </c>
      <c r="C899" s="3" t="str">
        <f>IFERROR(VLOOKUP(A899,'Base Prueba'!A:C,3,),"NO REGISTRA")</f>
        <v>GUERLY YOHANA DURAN RIVERA</v>
      </c>
      <c r="D899" s="4" t="str">
        <f>IFERROR(VLOOKUP(A899,'Base Prueba'!A:D,4,),"NO REGISTRA")</f>
        <v>LIDER DE VINCULACION COLEGIOS</v>
      </c>
      <c r="E899" s="5" t="str">
        <f>IFERROR(VLOOKUP(A899,'Base Prueba'!A:E,5,),"NO REGISTRA")</f>
        <v>OFICINA DE MERCADEO</v>
      </c>
    </row>
    <row r="900" spans="1:5" ht="15.75" x14ac:dyDescent="0.25">
      <c r="A900" s="10">
        <v>52175674</v>
      </c>
      <c r="B900" s="2">
        <v>46042.385863888892</v>
      </c>
      <c r="C900" s="3" t="str">
        <f>IFERROR(VLOOKUP(A900,'Base Prueba'!A:C,3,),"NO REGISTRA")</f>
        <v>LUZ YANETH GOMEZ AREVALO</v>
      </c>
      <c r="D900" s="4" t="str">
        <f>IFERROR(VLOOKUP(A900,'Base Prueba'!A:D,4,),"NO REGISTRA")</f>
        <v>COORDINADORA DE ADMISIONES</v>
      </c>
      <c r="E900" s="5" t="str">
        <f>IFERROR(VLOOKUP(A900,'Base Prueba'!A:E,5,),"NO REGISTRA")</f>
        <v>OFICINA DE MERCADEO</v>
      </c>
    </row>
    <row r="901" spans="1:5" ht="15.75" x14ac:dyDescent="0.25">
      <c r="A901" s="10">
        <v>1023961952</v>
      </c>
      <c r="B901" s="2">
        <v>46042.387824074074</v>
      </c>
      <c r="C901" s="3" t="str">
        <f>IFERROR(VLOOKUP(A901,'Base Prueba'!A:C,3,),"NO REGISTRA")</f>
        <v>ALEJANDRO PINZON MERCHAN</v>
      </c>
      <c r="D901" s="4" t="str">
        <f>IFERROR(VLOOKUP(A901,'Base Prueba'!A:D,4,),"NO REGISTRA")</f>
        <v>PROMOTOR CALL CENTER</v>
      </c>
      <c r="E901" s="5" t="str">
        <f>IFERROR(VLOOKUP(A901,'Base Prueba'!A:E,5,),"NO REGISTRA")</f>
        <v>OFICINA DE MERCADEO</v>
      </c>
    </row>
    <row r="902" spans="1:5" ht="15.75" x14ac:dyDescent="0.25">
      <c r="A902" s="10">
        <v>1014308296</v>
      </c>
      <c r="B902" s="2">
        <v>46042.425407754628</v>
      </c>
      <c r="C902" s="3" t="str">
        <f>IFERROR(VLOOKUP(A902,'Base Prueba'!A:C,3,),"NO REGISTRA")</f>
        <v>DARLENE YULIANA MORENO CELEITA</v>
      </c>
      <c r="D902" s="4" t="str">
        <f>IFERROR(VLOOKUP(A902,'Base Prueba'!A:D,4,),"NO REGISTRA")</f>
        <v>CAJERO PRINCIPAL</v>
      </c>
      <c r="E902" s="5" t="str">
        <f>IFERROR(VLOOKUP(A902,'Base Prueba'!A:E,5,),"NO REGISTRA")</f>
        <v>AREA FINANCIERA Y CONTABLE</v>
      </c>
    </row>
    <row r="903" spans="1:5" ht="15.75" x14ac:dyDescent="0.25">
      <c r="A903" s="10">
        <v>52443092</v>
      </c>
      <c r="B903" s="2">
        <v>46042.541686111108</v>
      </c>
      <c r="C903" s="3" t="str">
        <f>IFERROR(VLOOKUP(A903,'Base Prueba'!A:C,3,),"NO REGISTRA")</f>
        <v>LUZ MYRIAM SAAVEDRA CONTRERAS</v>
      </c>
      <c r="D903" s="4" t="str">
        <f>IFERROR(VLOOKUP(A903,'Base Prueba'!A:D,4,),"NO REGISTRA")</f>
        <v>AUXILIAR DE SERVICIOS</v>
      </c>
      <c r="E903" s="5" t="str">
        <f>IFERROR(VLOOKUP(A903,'Base Prueba'!A:E,5,),"NO REGISTRA")</f>
        <v>LOGISTICA Y SERVICIOS GENERALES</v>
      </c>
    </row>
    <row r="904" spans="1:5" ht="15.75" x14ac:dyDescent="0.25">
      <c r="A904" s="10">
        <v>1000354041</v>
      </c>
      <c r="B904" s="2">
        <v>46042.707884953707</v>
      </c>
      <c r="C904" s="3" t="str">
        <f>IFERROR(VLOOKUP(A904,'Base Prueba'!A:C,3,),"NO REGISTRA")</f>
        <v>ANGIE NATALIA BOHORQUEZ SANCHEZ</v>
      </c>
      <c r="D904" s="4" t="str">
        <f>IFERROR(VLOOKUP(A904,'Base Prueba'!A:D,4,),"NO REGISTRA")</f>
        <v>APRENDIZ UNIVERSITARIO</v>
      </c>
      <c r="E904" s="5" t="str">
        <f>IFERROR(VLOOKUP(A904,'Base Prueba'!A:E,5,),"NO REGISTRA")</f>
        <v>OFICINA DE PLANEACION Y GESTION DE LA CALIDAD</v>
      </c>
    </row>
    <row r="905" spans="1:5" ht="15.75" x14ac:dyDescent="0.25">
      <c r="A905" s="10">
        <v>1032407386</v>
      </c>
      <c r="B905" s="2">
        <v>46042.712852546298</v>
      </c>
      <c r="C905" s="3" t="str">
        <f>IFERROR(VLOOKUP(A905,'Base Prueba'!A:C,3,),"NO REGISTRA")</f>
        <v>GINA PAOLA BAEZ GALVIS</v>
      </c>
      <c r="D905" s="4" t="str">
        <f>IFERROR(VLOOKUP(A905,'Base Prueba'!A:D,4,),"NO REGISTRA")</f>
        <v>PROMOTOR CALL CENTER</v>
      </c>
      <c r="E905" s="5" t="str">
        <f>IFERROR(VLOOKUP(A905,'Base Prueba'!A:E,5,),"NO REGISTRA")</f>
        <v>OFICINA DE MERCADEO</v>
      </c>
    </row>
    <row r="906" spans="1:5" ht="15.75" x14ac:dyDescent="0.25">
      <c r="A906" s="10">
        <v>1000687931</v>
      </c>
      <c r="B906" s="2">
        <v>46042.715546296298</v>
      </c>
      <c r="C906" s="3" t="str">
        <f>IFERROR(VLOOKUP(A906,'Base Prueba'!A:C,3,),"NO REGISTRA")</f>
        <v>ANDRES FELIPE PUENTES TORRES</v>
      </c>
      <c r="D906" s="4" t="str">
        <f>IFERROR(VLOOKUP(A906,'Base Prueba'!A:D,4,),"NO REGISTRA")</f>
        <v>AUXILIAR ADMINISTRATIVO</v>
      </c>
      <c r="E906" s="5" t="str">
        <f>IFERROR(VLOOKUP(A906,'Base Prueba'!A:E,5,),"NO REGISTRA")</f>
        <v>REGISTRO Y CONTROL ACADEMICO</v>
      </c>
    </row>
    <row r="907" spans="1:5" ht="15.75" x14ac:dyDescent="0.25">
      <c r="A907" s="10">
        <v>1031802160</v>
      </c>
      <c r="B907" s="2">
        <v>46042.734539351855</v>
      </c>
      <c r="C907" s="3" t="str">
        <f>IFERROR(VLOOKUP(A907,'Base Prueba'!A:C,3,),"NO REGISTRA")</f>
        <v>LUISA MARIA MAHECHA SOTOMAYOR</v>
      </c>
      <c r="D907" s="4" t="str">
        <f>IFERROR(VLOOKUP(A907,'Base Prueba'!A:D,4,),"NO REGISTRA")</f>
        <v>APRENDIZ UNIVERSITARIO</v>
      </c>
      <c r="E907" s="5" t="str">
        <f>IFERROR(VLOOKUP(A907,'Base Prueba'!A:E,5,),"NO REGISTRA")</f>
        <v>OFICINA DE MERCADEO</v>
      </c>
    </row>
    <row r="908" spans="1:5" ht="15.75" x14ac:dyDescent="0.25">
      <c r="A908" s="10">
        <v>1000593372</v>
      </c>
      <c r="B908" s="2">
        <v>46042.752346643516</v>
      </c>
      <c r="C908" s="3" t="str">
        <f>IFERROR(VLOOKUP(A908,'Base Prueba'!A:C,3,),"NO REGISTRA")</f>
        <v>LAURA SOFIA CHAPARRO LOPEZ</v>
      </c>
      <c r="D908" s="4" t="str">
        <f>IFERROR(VLOOKUP(A908,'Base Prueba'!A:D,4,),"NO REGISTRA")</f>
        <v>AUXILIAR JURIDICO</v>
      </c>
      <c r="E908" s="5" t="str">
        <f>IFERROR(VLOOKUP(A908,'Base Prueba'!A:E,5,),"NO REGISTRA")</f>
        <v>SECRETARIA GENERAL</v>
      </c>
    </row>
    <row r="909" spans="1:5" ht="15.75" x14ac:dyDescent="0.25">
      <c r="A909" s="10">
        <v>1000604979</v>
      </c>
      <c r="B909" s="2">
        <v>46042.752400462959</v>
      </c>
      <c r="C909" s="3" t="str">
        <f>IFERROR(VLOOKUP(A909,'Base Prueba'!A:C,3,),"NO REGISTRA")</f>
        <v>JULIETH TATIANA PARDO PINTO</v>
      </c>
      <c r="D909" s="4" t="str">
        <f>IFERROR(VLOOKUP(A909,'Base Prueba'!A:D,4,),"NO REGISTRA")</f>
        <v>AUXILIAR JURIDICO</v>
      </c>
      <c r="E909" s="5" t="str">
        <f>IFERROR(VLOOKUP(A909,'Base Prueba'!A:E,5,),"NO REGISTRA")</f>
        <v>SECRETARIA GENERAL</v>
      </c>
    </row>
    <row r="910" spans="1:5" ht="15.75" x14ac:dyDescent="0.25">
      <c r="A910" s="10">
        <v>1013098645</v>
      </c>
      <c r="B910" s="2">
        <v>46042.753459490741</v>
      </c>
      <c r="C910" s="3" t="str">
        <f>IFERROR(VLOOKUP(A910,'Base Prueba'!A:C,3,),"NO REGISTRA")</f>
        <v>CATHERINE LUCIA PENAGOS RIVERA</v>
      </c>
      <c r="D910" s="4" t="str">
        <f>IFERROR(VLOOKUP(A910,'Base Prueba'!A:D,4,),"NO REGISTRA")</f>
        <v>LIDER DE REGISTRO Y CONTROL ACADEMICO</v>
      </c>
      <c r="E910" s="5" t="str">
        <f>IFERROR(VLOOKUP(A910,'Base Prueba'!A:E,5,),"NO REGISTRA")</f>
        <v>REGISTRO Y CONTROL ACADEMICO</v>
      </c>
    </row>
    <row r="911" spans="1:5" ht="15.75" x14ac:dyDescent="0.25">
      <c r="A911" s="10">
        <v>1049644802</v>
      </c>
      <c r="B911" s="2">
        <v>46042.754187962964</v>
      </c>
      <c r="C911" s="3" t="str">
        <f>IFERROR(VLOOKUP(A911,'Base Prueba'!A:C,3,),"NO REGISTRA")</f>
        <v>DANIELA ALEXANDRA CIPAMOCHA BOSIGA</v>
      </c>
      <c r="D911" s="4" t="str">
        <f>IFERROR(VLOOKUP(A911,'Base Prueba'!A:D,4,),"NO REGISTRA")</f>
        <v>LIDER DE DATOS Y SERVICIOS</v>
      </c>
      <c r="E911" s="5" t="str">
        <f>IFERROR(VLOOKUP(A911,'Base Prueba'!A:E,5,),"NO REGISTRA")</f>
        <v>OFICINA DE PLANEACION Y GESTION DE LA CALIDAD</v>
      </c>
    </row>
    <row r="912" spans="1:5" ht="15.75" x14ac:dyDescent="0.25">
      <c r="A912" s="10">
        <v>1013616244</v>
      </c>
      <c r="B912" s="2">
        <v>46042.754497222224</v>
      </c>
      <c r="C912" s="3" t="str">
        <f>IFERROR(VLOOKUP(A912,'Base Prueba'!A:C,3,),"NO REGISTRA")</f>
        <v>DIANA CAROLINA MARIN BETANCOURT</v>
      </c>
      <c r="D912" s="4" t="str">
        <f>IFERROR(VLOOKUP(A912,'Base Prueba'!A:D,4,),"NO REGISTRA")</f>
        <v>AUXILIAR ADMINISTRATIVO</v>
      </c>
      <c r="E912" s="5" t="str">
        <f>IFERROR(VLOOKUP(A912,'Base Prueba'!A:E,5,),"NO REGISTRA")</f>
        <v>REGISTRO Y CONTROL ACADEMICO</v>
      </c>
    </row>
    <row r="913" spans="1:5" ht="15.75" x14ac:dyDescent="0.25">
      <c r="A913" s="10">
        <v>1026599257</v>
      </c>
      <c r="B913" s="2">
        <v>46042.755473726851</v>
      </c>
      <c r="C913" s="3" t="str">
        <f>IFERROR(VLOOKUP(A913,'Base Prueba'!A:C,3,),"NO REGISTRA")</f>
        <v>YESENIA PAOLA PINEDA HURTADO</v>
      </c>
      <c r="D913" s="4" t="str">
        <f>IFERROR(VLOOKUP(A913,'Base Prueba'!A:D,4,),"NO REGISTRA")</f>
        <v>LIDER DE COMPRAS</v>
      </c>
      <c r="E913" s="5" t="str">
        <f>IFERROR(VLOOKUP(A913,'Base Prueba'!A:E,5,),"NO REGISTRA")</f>
        <v>AREA ADMINISTRATIVA</v>
      </c>
    </row>
    <row r="914" spans="1:5" ht="15.75" x14ac:dyDescent="0.25">
      <c r="A914" s="10">
        <v>1000467399</v>
      </c>
      <c r="B914" s="2">
        <v>46042.755578472221</v>
      </c>
      <c r="C914" s="3" t="str">
        <f>IFERROR(VLOOKUP(A914,'Base Prueba'!A:C,3,),"NO REGISTRA")</f>
        <v>BRANDO ESTIVEN DIAZ QUIMBAYA</v>
      </c>
      <c r="D914" s="4" t="str">
        <f>IFERROR(VLOOKUP(A914,'Base Prueba'!A:D,4,),"NO REGISTRA")</f>
        <v>APRENDIZ UNIVERSITARIO</v>
      </c>
      <c r="E914" s="5" t="str">
        <f>IFERROR(VLOOKUP(A914,'Base Prueba'!A:E,5,),"NO REGISTRA")</f>
        <v>DEPARTAMENTO DE GESTION HUMANA</v>
      </c>
    </row>
    <row r="915" spans="1:5" ht="15.75" x14ac:dyDescent="0.25">
      <c r="A915" s="10">
        <v>1022996882</v>
      </c>
      <c r="B915" s="2">
        <v>46042.759470833334</v>
      </c>
      <c r="C915" s="3" t="str">
        <f>IFERROR(VLOOKUP(A915,'Base Prueba'!A:C,3,),"NO REGISTRA")</f>
        <v>NANCY BRIGITH ALDANA GUEVARA</v>
      </c>
      <c r="D915" s="4" t="str">
        <f>IFERROR(VLOOKUP(A915,'Base Prueba'!A:D,4,),"NO REGISTRA")</f>
        <v>COORDINADORA DE GESTIÓN HUMANA</v>
      </c>
      <c r="E915" s="5" t="str">
        <f>IFERROR(VLOOKUP(A915,'Base Prueba'!A:E,5,),"NO REGISTRA")</f>
        <v>DEPARTAMENTO DE GESTION HUMANA</v>
      </c>
    </row>
    <row r="916" spans="1:5" ht="15.75" x14ac:dyDescent="0.25">
      <c r="A916" s="10">
        <v>1193457976</v>
      </c>
      <c r="B916" s="2">
        <v>46042.761924189814</v>
      </c>
      <c r="C916" s="3" t="str">
        <f>IFERROR(VLOOKUP(A916,'Base Prueba'!A:C,3,),"NO REGISTRA")</f>
        <v>SEDENIS RIVAS ASPRILLA</v>
      </c>
      <c r="D916" s="4" t="str">
        <f>IFERROR(VLOOKUP(A916,'Base Prueba'!A:D,4,),"NO REGISTRA")</f>
        <v>APRENDIZ UNIVERSITARIO</v>
      </c>
      <c r="E916" s="5" t="str">
        <f>IFERROR(VLOOKUP(A916,'Base Prueba'!A:E,5,),"NO REGISTRA")</f>
        <v>DEPARTAMENTO DE GESTION HUMANA</v>
      </c>
    </row>
    <row r="917" spans="1:5" ht="15.75" x14ac:dyDescent="0.25">
      <c r="A917" s="10">
        <v>1023883232</v>
      </c>
      <c r="B917" s="2">
        <v>46042.762096296297</v>
      </c>
      <c r="C917" s="3" t="str">
        <f>IFERROR(VLOOKUP(A917,'Base Prueba'!A:C,3,),"NO REGISTRA")</f>
        <v>MONICA ANDREA ACERO URBANO</v>
      </c>
      <c r="D917" s="4" t="str">
        <f>IFERROR(VLOOKUP(A917,'Base Prueba'!A:D,4,),"NO REGISTRA")</f>
        <v>APOYO INTEGRAL A GESTION HUMANA</v>
      </c>
      <c r="E917" s="5" t="str">
        <f>IFERROR(VLOOKUP(A917,'Base Prueba'!A:E,5,),"NO REGISTRA")</f>
        <v>DEPARTAMENTO DE GESTION HUMANA</v>
      </c>
    </row>
    <row r="918" spans="1:5" ht="15.75" x14ac:dyDescent="0.25">
      <c r="A918" s="10">
        <v>1087121273</v>
      </c>
      <c r="B918" s="2">
        <v>46042.762512847221</v>
      </c>
      <c r="C918" s="3" t="str">
        <f>IFERROR(VLOOKUP(A918,'Base Prueba'!A:C,3,),"NO REGISTRA")</f>
        <v>MAYRA ALEJANDRA CASTILLO ARBOLEDA</v>
      </c>
      <c r="D918" s="4" t="str">
        <f>IFERROR(VLOOKUP(A918,'Base Prueba'!A:D,4,),"NO REGISTRA")</f>
        <v>APOYO INTEGRAL DE MERCADEO</v>
      </c>
      <c r="E918" s="5" t="str">
        <f>IFERROR(VLOOKUP(A918,'Base Prueba'!A:E,5,),"NO REGISTRA")</f>
        <v>CENTRO DE GESTION DOCUMENTAL</v>
      </c>
    </row>
    <row r="919" spans="1:5" ht="15.75" x14ac:dyDescent="0.25">
      <c r="A919" s="10">
        <v>1014977624</v>
      </c>
      <c r="B919" s="2">
        <v>46042.763237037034</v>
      </c>
      <c r="C919" s="3" t="str">
        <f>IFERROR(VLOOKUP(A919,'Base Prueba'!A:C,3,),"NO REGISTRA")</f>
        <v>NICCOLE VALENTINA HERNANDEZ MALAVER</v>
      </c>
      <c r="D919" s="4" t="str">
        <f>IFERROR(VLOOKUP(A919,'Base Prueba'!A:D,4,),"NO REGISTRA")</f>
        <v>APRENDIZ UNIVERSITARIO</v>
      </c>
      <c r="E919" s="5" t="str">
        <f>IFERROR(VLOOKUP(A919,'Base Prueba'!A:E,5,),"NO REGISTRA")</f>
        <v>AREA FINANCIERA Y CONTABLE</v>
      </c>
    </row>
    <row r="920" spans="1:5" ht="15.75" x14ac:dyDescent="0.25">
      <c r="A920" s="10">
        <v>1000257136</v>
      </c>
      <c r="B920" s="2">
        <v>46042.765177777779</v>
      </c>
      <c r="C920" s="3" t="str">
        <f>IFERROR(VLOOKUP(A920,'Base Prueba'!A:C,3,),"NO REGISTRA")</f>
        <v>FRANCI VALENTINA CANO PUENTES</v>
      </c>
      <c r="D920" s="4" t="str">
        <f>IFERROR(VLOOKUP(A920,'Base Prueba'!A:D,4,),"NO REGISTRA")</f>
        <v>AUXILIAR CONTABLE</v>
      </c>
      <c r="E920" s="5" t="str">
        <f>IFERROR(VLOOKUP(A920,'Base Prueba'!A:E,5,),"NO REGISTRA")</f>
        <v>AREA FINANCIERA Y CONTABLE</v>
      </c>
    </row>
    <row r="921" spans="1:5" ht="15.75" x14ac:dyDescent="0.25">
      <c r="A921" s="10">
        <v>1012426741</v>
      </c>
      <c r="B921" s="2">
        <v>46042.771132407404</v>
      </c>
      <c r="C921" s="3" t="str">
        <f>IFERROR(VLOOKUP(A921,'Base Prueba'!A:C,3,),"NO REGISTRA")</f>
        <v>CRISTIAN FABIAN ROJAS SANCENO</v>
      </c>
      <c r="D921" s="4" t="str">
        <f>IFERROR(VLOOKUP(A921,'Base Prueba'!A:D,4,),"NO REGISTRA")</f>
        <v>AUXILIAR DE REINTEGROS</v>
      </c>
      <c r="E921" s="5" t="str">
        <f>IFERROR(VLOOKUP(A921,'Base Prueba'!A:E,5,),"NO REGISTRA")</f>
        <v>DIRECCION DE BIENESTAR INSTITUCIONAL</v>
      </c>
    </row>
    <row r="922" spans="1:5" ht="15.75" x14ac:dyDescent="0.25">
      <c r="A922" s="10">
        <v>1000046533</v>
      </c>
      <c r="B922" s="2">
        <v>46042.773056597223</v>
      </c>
      <c r="C922" s="3" t="str">
        <f>IFERROR(VLOOKUP(A922,'Base Prueba'!A:C,3,),"NO REGISTRA")</f>
        <v>ERIKA JULIETH VALDERRAMA SANCHEZ</v>
      </c>
      <c r="D922" s="4" t="str">
        <f>IFERROR(VLOOKUP(A922,'Base Prueba'!A:D,4,),"NO REGISTRA")</f>
        <v>PROMOTOR CALL CENTER</v>
      </c>
      <c r="E922" s="5" t="str">
        <f>IFERROR(VLOOKUP(A922,'Base Prueba'!A:E,5,),"NO REGISTRA")</f>
        <v>OFICINA DE MERCADEO</v>
      </c>
    </row>
    <row r="923" spans="1:5" ht="15.75" x14ac:dyDescent="0.25">
      <c r="A923" s="10">
        <v>1000365751</v>
      </c>
      <c r="B923" s="2">
        <v>46042.774372800923</v>
      </c>
      <c r="C923" s="3" t="str">
        <f>IFERROR(VLOOKUP(A923,'Base Prueba'!A:C,3,),"NO REGISTRA")</f>
        <v>JHOAN NICOLAS ESCAMILLA MANJARRES</v>
      </c>
      <c r="D923" s="4" t="str">
        <f>IFERROR(VLOOKUP(A923,'Base Prueba'!A:D,4,),"NO REGISTRA")</f>
        <v>APRENDIZ UNIVERSITARIO</v>
      </c>
      <c r="E923" s="5" t="str">
        <f>IFERROR(VLOOKUP(A923,'Base Prueba'!A:E,5,),"NO REGISTRA")</f>
        <v>OFICINA DE MERCADEO</v>
      </c>
    </row>
    <row r="924" spans="1:5" ht="15.75" x14ac:dyDescent="0.25">
      <c r="A924" s="10">
        <v>1016090131</v>
      </c>
      <c r="B924" s="2">
        <v>46042.774414236112</v>
      </c>
      <c r="C924" s="3" t="str">
        <f>IFERROR(VLOOKUP(A924,'Base Prueba'!A:C,3,),"NO REGISTRA")</f>
        <v>NICOLAS RODRIGUEZ PACHECO</v>
      </c>
      <c r="D924" s="4" t="str">
        <f>IFERROR(VLOOKUP(A924,'Base Prueba'!A:D,4,),"NO REGISTRA")</f>
        <v>COORDINADOR DE COMUNICACIONES</v>
      </c>
      <c r="E924" s="5" t="str">
        <f>IFERROR(VLOOKUP(A924,'Base Prueba'!A:E,5,),"NO REGISTRA")</f>
        <v>OFICINA DE MERCADEO</v>
      </c>
    </row>
    <row r="925" spans="1:5" ht="15.75" x14ac:dyDescent="0.25">
      <c r="A925" s="10" t="s">
        <v>3657</v>
      </c>
      <c r="B925" s="2">
        <v>46042.774421064816</v>
      </c>
      <c r="C925" s="3" t="str">
        <f>IFERROR(VLOOKUP(A925,'Base Prueba'!A:C,3,),"NO REGISTRA")</f>
        <v>NO REGISTRA</v>
      </c>
      <c r="D925" s="4" t="str">
        <f>IFERROR(VLOOKUP(A925,'Base Prueba'!A:D,4,),"NO REGISTRA")</f>
        <v>NO REGISTRA</v>
      </c>
      <c r="E925" s="5" t="str">
        <f>IFERROR(VLOOKUP(A925,'Base Prueba'!A:E,5,),"NO REGISTRA")</f>
        <v>NO REGISTRA</v>
      </c>
    </row>
    <row r="926" spans="1:5" ht="15.75" x14ac:dyDescent="0.25">
      <c r="A926" s="10">
        <v>1018414290</v>
      </c>
      <c r="B926" s="2">
        <v>46042.774539699072</v>
      </c>
      <c r="C926" s="3" t="str">
        <f>IFERROR(VLOOKUP(A926,'Base Prueba'!A:C,3,),"NO REGISTRA")</f>
        <v>AMANDA LISBETH RODRIGUEZ LEON</v>
      </c>
      <c r="D926" s="4" t="str">
        <f>IFERROR(VLOOKUP(A926,'Base Prueba'!A:D,4,),"NO REGISTRA")</f>
        <v>PROMOTOR CALL CENTER</v>
      </c>
      <c r="E926" s="5" t="str">
        <f>IFERROR(VLOOKUP(A926,'Base Prueba'!A:E,5,),"NO REGISTRA")</f>
        <v>OFICINA DE MERCADEO</v>
      </c>
    </row>
    <row r="927" spans="1:5" ht="15.75" x14ac:dyDescent="0.25">
      <c r="A927" s="10">
        <v>52472386</v>
      </c>
      <c r="B927" s="2">
        <v>46042.776576736112</v>
      </c>
      <c r="C927" s="3" t="str">
        <f>IFERROR(VLOOKUP(A927,'Base Prueba'!A:C,3,),"NO REGISTRA")</f>
        <v>ADRIANA MARCELA MORALES PARDO</v>
      </c>
      <c r="D927" s="4" t="str">
        <f>IFERROR(VLOOKUP(A927,'Base Prueba'!A:D,4,),"NO REGISTRA")</f>
        <v>PROMOTOR CALL CENTER</v>
      </c>
      <c r="E927" s="5" t="str">
        <f>IFERROR(VLOOKUP(A927,'Base Prueba'!A:E,5,),"NO REGISTRA")</f>
        <v>OFICINA DE MERCADEO</v>
      </c>
    </row>
    <row r="928" spans="1:5" ht="15.75" x14ac:dyDescent="0.25">
      <c r="A928" s="10">
        <v>1193265768</v>
      </c>
      <c r="B928" s="2">
        <v>46042.776791782409</v>
      </c>
      <c r="C928" s="3" t="str">
        <f>IFERROR(VLOOKUP(A928,'Base Prueba'!A:C,3,),"NO REGISTRA")</f>
        <v>SANTIAGO OSORIO CAMACHO</v>
      </c>
      <c r="D928" s="4" t="str">
        <f>IFERROR(VLOOKUP(A928,'Base Prueba'!A:D,4,),"NO REGISTRA")</f>
        <v>ANALISTA DE PAUTA</v>
      </c>
      <c r="E928" s="5" t="str">
        <f>IFERROR(VLOOKUP(A928,'Base Prueba'!A:E,5,),"NO REGISTRA")</f>
        <v>OFICINA DE MERCADEO</v>
      </c>
    </row>
    <row r="929" spans="1:5" ht="15.75" x14ac:dyDescent="0.25">
      <c r="A929" s="10">
        <v>1033709056</v>
      </c>
      <c r="B929" s="2">
        <v>46042.777162268518</v>
      </c>
      <c r="C929" s="3" t="str">
        <f>IFERROR(VLOOKUP(A929,'Base Prueba'!A:C,3,),"NO REGISTRA")</f>
        <v>YEIMY ALEXANDRA RODRIGUEZ PALACIO</v>
      </c>
      <c r="D929" s="4" t="str">
        <f>IFERROR(VLOOKUP(A929,'Base Prueba'!A:D,4,),"NO REGISTRA")</f>
        <v>PROMOTOR CALL CENTER</v>
      </c>
      <c r="E929" s="5" t="str">
        <f>IFERROR(VLOOKUP(A929,'Base Prueba'!A:E,5,),"NO REGISTRA")</f>
        <v>OFICINA DE MERCADEO</v>
      </c>
    </row>
    <row r="930" spans="1:5" ht="15.75" x14ac:dyDescent="0.25">
      <c r="A930" s="10">
        <v>53089882</v>
      </c>
      <c r="B930" s="2">
        <v>46042.777243287041</v>
      </c>
      <c r="C930" s="3" t="str">
        <f>IFERROR(VLOOKUP(A930,'Base Prueba'!A:C,3,),"NO REGISTRA")</f>
        <v>MARIA JOHANA ESCAMILLA MARTINEZ</v>
      </c>
      <c r="D930" s="4" t="str">
        <f>IFERROR(VLOOKUP(A930,'Base Prueba'!A:D,4,),"NO REGISTRA")</f>
        <v>PROMOTOR DE INFORMACIÓN</v>
      </c>
      <c r="E930" s="5" t="str">
        <f>IFERROR(VLOOKUP(A930,'Base Prueba'!A:E,5,),"NO REGISTRA")</f>
        <v>OFICINA DE MERCADEO</v>
      </c>
    </row>
    <row r="931" spans="1:5" ht="15.75" x14ac:dyDescent="0.25">
      <c r="A931" s="10">
        <v>1018413529</v>
      </c>
      <c r="B931" s="2">
        <v>46042.777323495371</v>
      </c>
      <c r="C931" s="3" t="str">
        <f>IFERROR(VLOOKUP(A931,'Base Prueba'!A:C,3,),"NO REGISTRA")</f>
        <v>FRANCY STELLA CHARRY MORENO</v>
      </c>
      <c r="D931" s="4" t="str">
        <f>IFERROR(VLOOKUP(A931,'Base Prueba'!A:D,4,),"NO REGISTRA")</f>
        <v>PROMOTOR COMERCIAL DEL CEA</v>
      </c>
      <c r="E931" s="5" t="str">
        <f>IFERROR(VLOOKUP(A931,'Base Prueba'!A:E,5,),"NO REGISTRA")</f>
        <v>OFICINA DE MERCADEO</v>
      </c>
    </row>
    <row r="932" spans="1:5" ht="15.75" x14ac:dyDescent="0.25">
      <c r="A932" s="10">
        <v>1003690253</v>
      </c>
      <c r="B932" s="2">
        <v>46042.777459606485</v>
      </c>
      <c r="C932" s="3" t="str">
        <f>IFERROR(VLOOKUP(A932,'Base Prueba'!A:C,3,),"NO REGISTRA")</f>
        <v>MELISSA GONZALEZ PEDRAZA</v>
      </c>
      <c r="D932" s="4" t="str">
        <f>IFERROR(VLOOKUP(A932,'Base Prueba'!A:D,4,),"NO REGISTRA")</f>
        <v>LIDER DE JOVENES A LA E</v>
      </c>
      <c r="E932" s="5" t="str">
        <f>IFERROR(VLOOKUP(A932,'Base Prueba'!A:E,5,),"NO REGISTRA")</f>
        <v>DIRECCION DE BIENESTAR INSTITUCIONAL</v>
      </c>
    </row>
    <row r="933" spans="1:5" ht="15.75" x14ac:dyDescent="0.25">
      <c r="A933" s="10">
        <v>53932358</v>
      </c>
      <c r="B933" s="2">
        <v>46042.779080208333</v>
      </c>
      <c r="C933" s="3" t="str">
        <f>IFERROR(VLOOKUP(A933,'Base Prueba'!A:C,3,),"NO REGISTRA")</f>
        <v>DIANA MADELEYNE GAONA RODRIGUEZ</v>
      </c>
      <c r="D933" s="4" t="str">
        <f>IFERROR(VLOOKUP(A933,'Base Prueba'!A:D,4,),"NO REGISTRA")</f>
        <v>CONTADOR</v>
      </c>
      <c r="E933" s="5" t="str">
        <f>IFERROR(VLOOKUP(A933,'Base Prueba'!A:E,5,),"NO REGISTRA")</f>
        <v>AREA FINANCIERA Y CONTABLE</v>
      </c>
    </row>
    <row r="934" spans="1:5" ht="15.75" x14ac:dyDescent="0.25">
      <c r="A934" s="10">
        <v>1000457706</v>
      </c>
      <c r="B934" s="2">
        <v>46042.779175810188</v>
      </c>
      <c r="C934" s="3" t="str">
        <f>IFERROR(VLOOKUP(A934,'Base Prueba'!A:C,3,),"NO REGISTRA")</f>
        <v>CRISTIAN DANILO ARROYO SANABRIA</v>
      </c>
      <c r="D934" s="4" t="str">
        <f>IFERROR(VLOOKUP(A934,'Base Prueba'!A:D,4,),"NO REGISTRA")</f>
        <v>AUXILIAR CONTABLE</v>
      </c>
      <c r="E934" s="5" t="str">
        <f>IFERROR(VLOOKUP(A934,'Base Prueba'!A:E,5,),"NO REGISTRA")</f>
        <v>AREA FINANCIERA Y CONTABLE</v>
      </c>
    </row>
    <row r="935" spans="1:5" ht="15.75" x14ac:dyDescent="0.25">
      <c r="A935" s="10">
        <v>80238161</v>
      </c>
      <c r="B935" s="2">
        <v>46042.781475810189</v>
      </c>
      <c r="C935" s="3" t="str">
        <f>IFERROR(VLOOKUP(A935,'Base Prueba'!A:C,3,),"NO REGISTRA")</f>
        <v>GERMAN CARRANZA ESPITIA</v>
      </c>
      <c r="D935" s="4" t="str">
        <f>IFERROR(VLOOKUP(A935,'Base Prueba'!A:D,4,),"NO REGISTRA")</f>
        <v>TESORERO</v>
      </c>
      <c r="E935" s="5" t="str">
        <f>IFERROR(VLOOKUP(A935,'Base Prueba'!A:E,5,),"NO REGISTRA")</f>
        <v>AREA FINANCIERA Y CONTABLE</v>
      </c>
    </row>
    <row r="936" spans="1:5" ht="15.75" x14ac:dyDescent="0.25">
      <c r="A936" s="10">
        <v>1023961952</v>
      </c>
      <c r="B936" s="2">
        <v>46042.786970833331</v>
      </c>
      <c r="C936" s="3" t="str">
        <f>IFERROR(VLOOKUP(A936,'Base Prueba'!A:C,3,),"NO REGISTRA")</f>
        <v>ALEJANDRO PINZON MERCHAN</v>
      </c>
      <c r="D936" s="4" t="str">
        <f>IFERROR(VLOOKUP(A936,'Base Prueba'!A:D,4,),"NO REGISTRA")</f>
        <v>PROMOTOR CALL CENTER</v>
      </c>
      <c r="E936" s="5" t="str">
        <f>IFERROR(VLOOKUP(A936,'Base Prueba'!A:E,5,),"NO REGISTRA")</f>
        <v>OFICINA DE MERCADEO</v>
      </c>
    </row>
    <row r="937" spans="1:5" ht="15.75" x14ac:dyDescent="0.25">
      <c r="A937" s="10">
        <v>28798349</v>
      </c>
      <c r="B937" s="2">
        <v>46042.787006597224</v>
      </c>
      <c r="C937" s="3" t="str">
        <f>IFERROR(VLOOKUP(A937,'Base Prueba'!A:C,3,),"NO REGISTRA")</f>
        <v>MARTHA ISABEL TOVAR WILLIAMS</v>
      </c>
      <c r="D937" s="4" t="str">
        <f>IFERROR(VLOOKUP(A937,'Base Prueba'!A:D,4,),"NO REGISTRA")</f>
        <v>PROMOTOR CALL CENTER</v>
      </c>
      <c r="E937" s="5" t="str">
        <f>IFERROR(VLOOKUP(A937,'Base Prueba'!A:E,5,),"NO REGISTRA")</f>
        <v>OFICINA DE MERCADEO</v>
      </c>
    </row>
    <row r="938" spans="1:5" ht="15.75" x14ac:dyDescent="0.25">
      <c r="A938" s="10">
        <v>1019105003</v>
      </c>
      <c r="B938" s="2">
        <v>46042.787157870371</v>
      </c>
      <c r="C938" s="3" t="str">
        <f>IFERROR(VLOOKUP(A938,'Base Prueba'!A:C,3,),"NO REGISTRA")</f>
        <v>DAISY JULIETH GASPAR MORENO</v>
      </c>
      <c r="D938" s="4" t="str">
        <f>IFERROR(VLOOKUP(A938,'Base Prueba'!A:D,4,),"NO REGISTRA")</f>
        <v>PROMOTOR CALL CENTER</v>
      </c>
      <c r="E938" s="5" t="str">
        <f>IFERROR(VLOOKUP(A938,'Base Prueba'!A:E,5,),"NO REGISTRA")</f>
        <v>OFICINA DE MERCADEO</v>
      </c>
    </row>
    <row r="939" spans="1:5" ht="15.75" x14ac:dyDescent="0.25">
      <c r="A939" s="10">
        <v>1014266838</v>
      </c>
      <c r="B939" s="2">
        <v>46042.790146990737</v>
      </c>
      <c r="C939" s="3" t="str">
        <f>IFERROR(VLOOKUP(A939,'Base Prueba'!A:C,3,),"NO REGISTRA")</f>
        <v>JENNIFER ASTRID ROMERO HURTADO</v>
      </c>
      <c r="D939" s="4" t="str">
        <f>IFERROR(VLOOKUP(A939,'Base Prueba'!A:D,4,),"NO REGISTRA")</f>
        <v>LIDER DE RECAUDO</v>
      </c>
      <c r="E939" s="5" t="str">
        <f>IFERROR(VLOOKUP(A939,'Base Prueba'!A:E,5,),"NO REGISTRA")</f>
        <v>AREA FINANCIERA Y CONTABLE</v>
      </c>
    </row>
    <row r="940" spans="1:5" ht="15.75" x14ac:dyDescent="0.25">
      <c r="A940" s="10">
        <v>80234243</v>
      </c>
      <c r="B940" s="2">
        <v>46042.790579745371</v>
      </c>
      <c r="C940" s="3" t="str">
        <f>IFERROR(VLOOKUP(A940,'Base Prueba'!A:C,3,),"NO REGISTRA")</f>
        <v>ARGENIS MARTINEZ MARTINEZ</v>
      </c>
      <c r="D940" s="4" t="str">
        <f>IFERROR(VLOOKUP(A940,'Base Prueba'!A:D,4,),"NO REGISTRA")</f>
        <v>LIDER CALL CENTER</v>
      </c>
      <c r="E940" s="5" t="str">
        <f>IFERROR(VLOOKUP(A940,'Base Prueba'!A:E,5,),"NO REGISTRA")</f>
        <v>OFICINA DE MERCADEO</v>
      </c>
    </row>
    <row r="941" spans="1:5" ht="15.75" x14ac:dyDescent="0.25">
      <c r="A941" s="10">
        <v>1014308296</v>
      </c>
      <c r="B941" s="2">
        <v>46042.792304861112</v>
      </c>
      <c r="C941" s="3" t="str">
        <f>IFERROR(VLOOKUP(A941,'Base Prueba'!A:C,3,),"NO REGISTRA")</f>
        <v>DARLENE YULIANA MORENO CELEITA</v>
      </c>
      <c r="D941" s="4" t="str">
        <f>IFERROR(VLOOKUP(A941,'Base Prueba'!A:D,4,),"NO REGISTRA")</f>
        <v>CAJERO PRINCIPAL</v>
      </c>
      <c r="E941" s="5" t="str">
        <f>IFERROR(VLOOKUP(A941,'Base Prueba'!A:E,5,),"NO REGISTRA")</f>
        <v>AREA FINANCIERA Y CONTABLE</v>
      </c>
    </row>
    <row r="942" spans="1:5" ht="15.75" x14ac:dyDescent="0.25">
      <c r="A942" s="10">
        <v>52175674</v>
      </c>
      <c r="B942" s="2">
        <v>46042.79863449074</v>
      </c>
      <c r="C942" s="3" t="str">
        <f>IFERROR(VLOOKUP(A942,'Base Prueba'!A:C,3,),"NO REGISTRA")</f>
        <v>LUZ YANETH GOMEZ AREVALO</v>
      </c>
      <c r="D942" s="4" t="str">
        <f>IFERROR(VLOOKUP(A942,'Base Prueba'!A:D,4,),"NO REGISTRA")</f>
        <v>COORDINADORA DE ADMISIONES</v>
      </c>
      <c r="E942" s="5" t="str">
        <f>IFERROR(VLOOKUP(A942,'Base Prueba'!A:E,5,),"NO REGISTRA")</f>
        <v>OFICINA DE MERCADEO</v>
      </c>
    </row>
    <row r="943" spans="1:5" ht="15.75" x14ac:dyDescent="0.25">
      <c r="A943" s="10">
        <v>52764929</v>
      </c>
      <c r="B943" s="2">
        <v>46042.821008796294</v>
      </c>
      <c r="C943" s="3" t="str">
        <f>IFERROR(VLOOKUP(A943,'Base Prueba'!A:C,3,),"NO REGISTRA")</f>
        <v>GUERLY YOHANA DURAN RIVERA</v>
      </c>
      <c r="D943" s="4" t="str">
        <f>IFERROR(VLOOKUP(A943,'Base Prueba'!A:D,4,),"NO REGISTRA")</f>
        <v>LIDER DE VINCULACION COLEGIOS</v>
      </c>
      <c r="E943" s="5" t="str">
        <f>IFERROR(VLOOKUP(A943,'Base Prueba'!A:E,5,),"NO REGISTRA")</f>
        <v>OFICINA DE MERCADEO</v>
      </c>
    </row>
    <row r="944" spans="1:5" ht="15.75" x14ac:dyDescent="0.25">
      <c r="A944" s="10">
        <v>1013616244</v>
      </c>
      <c r="B944" s="2">
        <v>46043.308110995371</v>
      </c>
      <c r="C944" s="3" t="str">
        <f>IFERROR(VLOOKUP(A944,'Base Prueba'!A:C,3,),"NO REGISTRA")</f>
        <v>DIANA CAROLINA MARIN BETANCOURT</v>
      </c>
      <c r="D944" s="4" t="str">
        <f>IFERROR(VLOOKUP(A944,'Base Prueba'!A:D,4,),"NO REGISTRA")</f>
        <v>AUXILIAR ADMINISTRATIVO</v>
      </c>
      <c r="E944" s="5" t="str">
        <f>IFERROR(VLOOKUP(A944,'Base Prueba'!A:E,5,),"NO REGISTRA")</f>
        <v>REGISTRO Y CONTROL ACADEMICO</v>
      </c>
    </row>
    <row r="945" spans="1:5" ht="15.75" x14ac:dyDescent="0.25">
      <c r="A945" s="10">
        <v>1087121273</v>
      </c>
      <c r="B945" s="2">
        <v>46043.314289120368</v>
      </c>
      <c r="C945" s="3" t="str">
        <f>IFERROR(VLOOKUP(A945,'Base Prueba'!A:C,3,),"NO REGISTRA")</f>
        <v>MAYRA ALEJANDRA CASTILLO ARBOLEDA</v>
      </c>
      <c r="D945" s="4" t="str">
        <f>IFERROR(VLOOKUP(A945,'Base Prueba'!A:D,4,),"NO REGISTRA")</f>
        <v>APOYO INTEGRAL DE MERCADEO</v>
      </c>
      <c r="E945" s="5" t="str">
        <f>IFERROR(VLOOKUP(A945,'Base Prueba'!A:E,5,),"NO REGISTRA")</f>
        <v>CENTRO DE GESTION DOCUMENTAL</v>
      </c>
    </row>
    <row r="946" spans="1:5" ht="15.75" x14ac:dyDescent="0.25">
      <c r="A946" s="10">
        <v>1000354041</v>
      </c>
      <c r="B946" s="2">
        <v>46043.324741550925</v>
      </c>
      <c r="C946" s="3" t="str">
        <f>IFERROR(VLOOKUP(A946,'Base Prueba'!A:C,3,),"NO REGISTRA")</f>
        <v>ANGIE NATALIA BOHORQUEZ SANCHEZ</v>
      </c>
      <c r="D946" s="4" t="str">
        <f>IFERROR(VLOOKUP(A946,'Base Prueba'!A:D,4,),"NO REGISTRA")</f>
        <v>APRENDIZ UNIVERSITARIO</v>
      </c>
      <c r="E946" s="5" t="str">
        <f>IFERROR(VLOOKUP(A946,'Base Prueba'!A:E,5,),"NO REGISTRA")</f>
        <v>OFICINA DE PLANEACION Y GESTION DE LA CALIDAD</v>
      </c>
    </row>
    <row r="947" spans="1:5" ht="15.75" x14ac:dyDescent="0.25">
      <c r="A947" s="10">
        <v>1031802160</v>
      </c>
      <c r="B947" s="2">
        <v>46043.333137847221</v>
      </c>
      <c r="C947" s="3" t="str">
        <f>IFERROR(VLOOKUP(A947,'Base Prueba'!A:C,3,),"NO REGISTRA")</f>
        <v>LUISA MARIA MAHECHA SOTOMAYOR</v>
      </c>
      <c r="D947" s="4" t="str">
        <f>IFERROR(VLOOKUP(A947,'Base Prueba'!A:D,4,),"NO REGISTRA")</f>
        <v>APRENDIZ UNIVERSITARIO</v>
      </c>
      <c r="E947" s="5" t="str">
        <f>IFERROR(VLOOKUP(A947,'Base Prueba'!A:E,5,),"NO REGISTRA")</f>
        <v>OFICINA DE MERCADEO</v>
      </c>
    </row>
    <row r="948" spans="1:5" ht="15.75" x14ac:dyDescent="0.25">
      <c r="A948" s="10">
        <v>1022996882</v>
      </c>
      <c r="B948" s="2">
        <v>46043.336434837962</v>
      </c>
      <c r="C948" s="3" t="str">
        <f>IFERROR(VLOOKUP(A948,'Base Prueba'!A:C,3,),"NO REGISTRA")</f>
        <v>NANCY BRIGITH ALDANA GUEVARA</v>
      </c>
      <c r="D948" s="4" t="str">
        <f>IFERROR(VLOOKUP(A948,'Base Prueba'!A:D,4,),"NO REGISTRA")</f>
        <v>COORDINADORA DE GESTIÓN HUMANA</v>
      </c>
      <c r="E948" s="5" t="str">
        <f>IFERROR(VLOOKUP(A948,'Base Prueba'!A:E,5,),"NO REGISTRA")</f>
        <v>DEPARTAMENTO DE GESTION HUMANA</v>
      </c>
    </row>
    <row r="949" spans="1:5" ht="15.75" x14ac:dyDescent="0.25">
      <c r="A949" s="10">
        <v>1049644802</v>
      </c>
      <c r="B949" s="2">
        <v>46043.337165972225</v>
      </c>
      <c r="C949" s="3" t="str">
        <f>IFERROR(VLOOKUP(A949,'Base Prueba'!A:C,3,),"NO REGISTRA")</f>
        <v>DANIELA ALEXANDRA CIPAMOCHA BOSIGA</v>
      </c>
      <c r="D949" s="4" t="str">
        <f>IFERROR(VLOOKUP(A949,'Base Prueba'!A:D,4,),"NO REGISTRA")</f>
        <v>LIDER DE DATOS Y SERVICIOS</v>
      </c>
      <c r="E949" s="5" t="str">
        <f>IFERROR(VLOOKUP(A949,'Base Prueba'!A:E,5,),"NO REGISTRA")</f>
        <v>OFICINA DE PLANEACION Y GESTION DE LA CALIDAD</v>
      </c>
    </row>
    <row r="950" spans="1:5" ht="15.75" x14ac:dyDescent="0.25">
      <c r="A950" s="10">
        <v>1000604979</v>
      </c>
      <c r="B950" s="2">
        <v>46043.340704861112</v>
      </c>
      <c r="C950" s="3" t="str">
        <f>IFERROR(VLOOKUP(A950,'Base Prueba'!A:C,3,),"NO REGISTRA")</f>
        <v>JULIETH TATIANA PARDO PINTO</v>
      </c>
      <c r="D950" s="4" t="str">
        <f>IFERROR(VLOOKUP(A950,'Base Prueba'!A:D,4,),"NO REGISTRA")</f>
        <v>AUXILIAR JURIDICO</v>
      </c>
      <c r="E950" s="5" t="str">
        <f>IFERROR(VLOOKUP(A950,'Base Prueba'!A:E,5,),"NO REGISTRA")</f>
        <v>SECRETARIA GENERAL</v>
      </c>
    </row>
    <row r="951" spans="1:5" ht="15.75" x14ac:dyDescent="0.25">
      <c r="A951" s="10">
        <v>1032469638</v>
      </c>
      <c r="B951" s="2">
        <v>46043.34283483796</v>
      </c>
      <c r="C951" s="3" t="str">
        <f>IFERROR(VLOOKUP(A951,'Base Prueba'!A:C,3,),"NO REGISTRA")</f>
        <v>MAICOL JARBEY GUALTEROS CASTAÑEDA</v>
      </c>
      <c r="D951" s="4" t="str">
        <f>IFERROR(VLOOKUP(A951,'Base Prueba'!A:D,4,),"NO REGISTRA")</f>
        <v>COORDINADOR DEL SISTEMA INTERNO DE ASEGURAMIENTO DE LA CALIDAD - SIAC</v>
      </c>
      <c r="E951" s="5" t="str">
        <f>IFERROR(VLOOKUP(A951,'Base Prueba'!A:E,5,),"NO REGISTRA")</f>
        <v>OFICINA DE PLANEACION Y GESTION DE LA CALIDAD</v>
      </c>
    </row>
    <row r="952" spans="1:5" ht="15.75" x14ac:dyDescent="0.25">
      <c r="A952" s="10">
        <v>1026599257</v>
      </c>
      <c r="B952" s="2">
        <v>46043.343346527778</v>
      </c>
      <c r="C952" s="3" t="str">
        <f>IFERROR(VLOOKUP(A952,'Base Prueba'!A:C,3,),"NO REGISTRA")</f>
        <v>YESENIA PAOLA PINEDA HURTADO</v>
      </c>
      <c r="D952" s="4" t="str">
        <f>IFERROR(VLOOKUP(A952,'Base Prueba'!A:D,4,),"NO REGISTRA")</f>
        <v>LIDER DE COMPRAS</v>
      </c>
      <c r="E952" s="5" t="str">
        <f>IFERROR(VLOOKUP(A952,'Base Prueba'!A:E,5,),"NO REGISTRA")</f>
        <v>AREA ADMINISTRATIVA</v>
      </c>
    </row>
    <row r="953" spans="1:5" ht="15.75" x14ac:dyDescent="0.25">
      <c r="A953" s="10">
        <v>1193457976</v>
      </c>
      <c r="B953" s="2">
        <v>46043.343755439812</v>
      </c>
      <c r="C953" s="3" t="str">
        <f>IFERROR(VLOOKUP(A953,'Base Prueba'!A:C,3,),"NO REGISTRA")</f>
        <v>SEDENIS RIVAS ASPRILLA</v>
      </c>
      <c r="D953" s="4" t="str">
        <f>IFERROR(VLOOKUP(A953,'Base Prueba'!A:D,4,),"NO REGISTRA")</f>
        <v>APRENDIZ UNIVERSITARIO</v>
      </c>
      <c r="E953" s="5" t="str">
        <f>IFERROR(VLOOKUP(A953,'Base Prueba'!A:E,5,),"NO REGISTRA")</f>
        <v>DEPARTAMENTO DE GESTION HUMANA</v>
      </c>
    </row>
    <row r="954" spans="1:5" ht="15.75" x14ac:dyDescent="0.25">
      <c r="A954" s="10">
        <v>1000257136</v>
      </c>
      <c r="B954" s="2">
        <v>46043.345486226855</v>
      </c>
      <c r="C954" s="3" t="str">
        <f>IFERROR(VLOOKUP(A954,'Base Prueba'!A:C,3,),"NO REGISTRA")</f>
        <v>FRANCI VALENTINA CANO PUENTES</v>
      </c>
      <c r="D954" s="4" t="str">
        <f>IFERROR(VLOOKUP(A954,'Base Prueba'!A:D,4,),"NO REGISTRA")</f>
        <v>AUXILIAR CONTABLE</v>
      </c>
      <c r="E954" s="5" t="str">
        <f>IFERROR(VLOOKUP(A954,'Base Prueba'!A:E,5,),"NO REGISTRA")</f>
        <v>AREA FINANCIERA Y CONTABLE</v>
      </c>
    </row>
    <row r="955" spans="1:5" ht="15.75" x14ac:dyDescent="0.25">
      <c r="A955" s="10">
        <v>1014977624</v>
      </c>
      <c r="B955" s="2">
        <v>46043.345719675926</v>
      </c>
      <c r="C955" s="3" t="str">
        <f>IFERROR(VLOOKUP(A955,'Base Prueba'!A:C,3,),"NO REGISTRA")</f>
        <v>NICCOLE VALENTINA HERNANDEZ MALAVER</v>
      </c>
      <c r="D955" s="4" t="str">
        <f>IFERROR(VLOOKUP(A955,'Base Prueba'!A:D,4,),"NO REGISTRA")</f>
        <v>APRENDIZ UNIVERSITARIO</v>
      </c>
      <c r="E955" s="5" t="str">
        <f>IFERROR(VLOOKUP(A955,'Base Prueba'!A:E,5,),"NO REGISTRA")</f>
        <v>AREA FINANCIERA Y CONTABLE</v>
      </c>
    </row>
    <row r="956" spans="1:5" ht="15.75" x14ac:dyDescent="0.25">
      <c r="A956" s="10">
        <v>53932358</v>
      </c>
      <c r="B956" s="2">
        <v>46043.346612615744</v>
      </c>
      <c r="C956" s="3" t="str">
        <f>IFERROR(VLOOKUP(A956,'Base Prueba'!A:C,3,),"NO REGISTRA")</f>
        <v>DIANA MADELEYNE GAONA RODRIGUEZ</v>
      </c>
      <c r="D956" s="4" t="str">
        <f>IFERROR(VLOOKUP(A956,'Base Prueba'!A:D,4,),"NO REGISTRA")</f>
        <v>CONTADOR</v>
      </c>
      <c r="E956" s="5" t="str">
        <f>IFERROR(VLOOKUP(A956,'Base Prueba'!A:E,5,),"NO REGISTRA")</f>
        <v>AREA FINANCIERA Y CONTABLE</v>
      </c>
    </row>
    <row r="957" spans="1:5" ht="15.75" x14ac:dyDescent="0.25">
      <c r="A957" s="10">
        <v>1013098645</v>
      </c>
      <c r="B957" s="2">
        <v>46043.34665324074</v>
      </c>
      <c r="C957" s="3" t="str">
        <f>IFERROR(VLOOKUP(A957,'Base Prueba'!A:C,3,),"NO REGISTRA")</f>
        <v>CATHERINE LUCIA PENAGOS RIVERA</v>
      </c>
      <c r="D957" s="4" t="str">
        <f>IFERROR(VLOOKUP(A957,'Base Prueba'!A:D,4,),"NO REGISTRA")</f>
        <v>LIDER DE REGISTRO Y CONTROL ACADEMICO</v>
      </c>
      <c r="E957" s="5" t="str">
        <f>IFERROR(VLOOKUP(A957,'Base Prueba'!A:E,5,),"NO REGISTRA")</f>
        <v>REGISTRO Y CONTROL ACADEMICO</v>
      </c>
    </row>
    <row r="958" spans="1:5" ht="15.75" x14ac:dyDescent="0.25">
      <c r="A958" s="10">
        <v>1023883232</v>
      </c>
      <c r="B958" s="2">
        <v>46043.347024189818</v>
      </c>
      <c r="C958" s="3" t="str">
        <f>IFERROR(VLOOKUP(A958,'Base Prueba'!A:C,3,),"NO REGISTRA")</f>
        <v>MONICA ANDREA ACERO URBANO</v>
      </c>
      <c r="D958" s="4" t="str">
        <f>IFERROR(VLOOKUP(A958,'Base Prueba'!A:D,4,),"NO REGISTRA")</f>
        <v>APOYO INTEGRAL A GESTION HUMANA</v>
      </c>
      <c r="E958" s="5" t="str">
        <f>IFERROR(VLOOKUP(A958,'Base Prueba'!A:E,5,),"NO REGISTRA")</f>
        <v>DEPARTAMENTO DE GESTION HUMANA</v>
      </c>
    </row>
    <row r="959" spans="1:5" ht="15.75" x14ac:dyDescent="0.25">
      <c r="A959" s="10">
        <v>80238161</v>
      </c>
      <c r="B959" s="2">
        <v>46043.347400694445</v>
      </c>
      <c r="C959" s="3" t="str">
        <f>IFERROR(VLOOKUP(A959,'Base Prueba'!A:C,3,),"NO REGISTRA")</f>
        <v>GERMAN CARRANZA ESPITIA</v>
      </c>
      <c r="D959" s="4" t="str">
        <f>IFERROR(VLOOKUP(A959,'Base Prueba'!A:D,4,),"NO REGISTRA")</f>
        <v>TESORERO</v>
      </c>
      <c r="E959" s="5" t="str">
        <f>IFERROR(VLOOKUP(A959,'Base Prueba'!A:E,5,),"NO REGISTRA")</f>
        <v>AREA FINANCIERA Y CONTABLE</v>
      </c>
    </row>
    <row r="960" spans="1:5" ht="15.75" x14ac:dyDescent="0.25">
      <c r="A960" s="10">
        <v>1000457706</v>
      </c>
      <c r="B960" s="2">
        <v>46043.347599768516</v>
      </c>
      <c r="C960" s="3" t="str">
        <f>IFERROR(VLOOKUP(A960,'Base Prueba'!A:C,3,),"NO REGISTRA")</f>
        <v>CRISTIAN DANILO ARROYO SANABRIA</v>
      </c>
      <c r="D960" s="4" t="str">
        <f>IFERROR(VLOOKUP(A960,'Base Prueba'!A:D,4,),"NO REGISTRA")</f>
        <v>AUXILIAR CONTABLE</v>
      </c>
      <c r="E960" s="5" t="str">
        <f>IFERROR(VLOOKUP(A960,'Base Prueba'!A:E,5,),"NO REGISTRA")</f>
        <v>AREA FINANCIERA Y CONTABLE</v>
      </c>
    </row>
    <row r="961" spans="1:5" ht="15.75" x14ac:dyDescent="0.25">
      <c r="A961" s="10">
        <v>1014266838</v>
      </c>
      <c r="B961" s="2">
        <v>46043.351542708333</v>
      </c>
      <c r="C961" s="3" t="str">
        <f>IFERROR(VLOOKUP(A961,'Base Prueba'!A:C,3,),"NO REGISTRA")</f>
        <v>JENNIFER ASTRID ROMERO HURTADO</v>
      </c>
      <c r="D961" s="4" t="str">
        <f>IFERROR(VLOOKUP(A961,'Base Prueba'!A:D,4,),"NO REGISTRA")</f>
        <v>LIDER DE RECAUDO</v>
      </c>
      <c r="E961" s="5" t="str">
        <f>IFERROR(VLOOKUP(A961,'Base Prueba'!A:E,5,),"NO REGISTRA")</f>
        <v>AREA FINANCIERA Y CONTABLE</v>
      </c>
    </row>
    <row r="962" spans="1:5" ht="15.75" x14ac:dyDescent="0.25">
      <c r="A962" s="10">
        <v>1000593372</v>
      </c>
      <c r="B962" s="2">
        <v>46043.352378935182</v>
      </c>
      <c r="C962" s="3" t="str">
        <f>IFERROR(VLOOKUP(A962,'Base Prueba'!A:C,3,),"NO REGISTRA")</f>
        <v>LAURA SOFIA CHAPARRO LOPEZ</v>
      </c>
      <c r="D962" s="4" t="str">
        <f>IFERROR(VLOOKUP(A962,'Base Prueba'!A:D,4,),"NO REGISTRA")</f>
        <v>AUXILIAR JURIDICO</v>
      </c>
      <c r="E962" s="5" t="str">
        <f>IFERROR(VLOOKUP(A962,'Base Prueba'!A:E,5,),"NO REGISTRA")</f>
        <v>SECRETARIA GENERAL</v>
      </c>
    </row>
    <row r="963" spans="1:5" ht="15.75" x14ac:dyDescent="0.25">
      <c r="A963" s="10">
        <v>1012357415</v>
      </c>
      <c r="B963" s="2">
        <v>46043.356755555556</v>
      </c>
      <c r="C963" s="3" t="str">
        <f>IFERROR(VLOOKUP(A963,'Base Prueba'!A:C,3,),"NO REGISTRA")</f>
        <v>CINDY LORENA BOHORQUEZ LEYVA</v>
      </c>
      <c r="D963" s="4" t="str">
        <f>IFERROR(VLOOKUP(A963,'Base Prueba'!A:D,4,),"NO REGISTRA")</f>
        <v>ANALISTA DE TESORERIA</v>
      </c>
      <c r="E963" s="5" t="str">
        <f>IFERROR(VLOOKUP(A963,'Base Prueba'!A:E,5,),"NO REGISTRA")</f>
        <v>AREA FINANCIERA Y CONTABLE</v>
      </c>
    </row>
    <row r="964" spans="1:5" ht="15.75" x14ac:dyDescent="0.25">
      <c r="A964" s="10">
        <v>80234243</v>
      </c>
      <c r="B964" s="2">
        <v>46043.357257060183</v>
      </c>
      <c r="C964" s="3" t="str">
        <f>IFERROR(VLOOKUP(A964,'Base Prueba'!A:C,3,),"NO REGISTRA")</f>
        <v>ARGENIS MARTINEZ MARTINEZ</v>
      </c>
      <c r="D964" s="4" t="str">
        <f>IFERROR(VLOOKUP(A964,'Base Prueba'!A:D,4,),"NO REGISTRA")</f>
        <v>LIDER CALL CENTER</v>
      </c>
      <c r="E964" s="5" t="str">
        <f>IFERROR(VLOOKUP(A964,'Base Prueba'!A:E,5,),"NO REGISTRA")</f>
        <v>OFICINA DE MERCADEO</v>
      </c>
    </row>
    <row r="965" spans="1:5" ht="15.75" x14ac:dyDescent="0.25">
      <c r="A965" s="10">
        <v>1032407386</v>
      </c>
      <c r="B965" s="2">
        <v>46043.36044074074</v>
      </c>
      <c r="C965" s="3" t="str">
        <f>IFERROR(VLOOKUP(A965,'Base Prueba'!A:C,3,),"NO REGISTRA")</f>
        <v>GINA PAOLA BAEZ GALVIS</v>
      </c>
      <c r="D965" s="4" t="str">
        <f>IFERROR(VLOOKUP(A965,'Base Prueba'!A:D,4,),"NO REGISTRA")</f>
        <v>PROMOTOR CALL CENTER</v>
      </c>
      <c r="E965" s="5" t="str">
        <f>IFERROR(VLOOKUP(A965,'Base Prueba'!A:E,5,),"NO REGISTRA")</f>
        <v>OFICINA DE MERCADEO</v>
      </c>
    </row>
    <row r="966" spans="1:5" ht="15.75" x14ac:dyDescent="0.25">
      <c r="A966" s="10">
        <v>1033709056</v>
      </c>
      <c r="B966" s="2">
        <v>46043.366212037035</v>
      </c>
      <c r="C966" s="3" t="str">
        <f>IFERROR(VLOOKUP(A966,'Base Prueba'!A:C,3,),"NO REGISTRA")</f>
        <v>YEIMY ALEXANDRA RODRIGUEZ PALACIO</v>
      </c>
      <c r="D966" s="4" t="str">
        <f>IFERROR(VLOOKUP(A966,'Base Prueba'!A:D,4,),"NO REGISTRA")</f>
        <v>PROMOTOR CALL CENTER</v>
      </c>
      <c r="E966" s="5" t="str">
        <f>IFERROR(VLOOKUP(A966,'Base Prueba'!A:E,5,),"NO REGISTRA")</f>
        <v>OFICINA DE MERCADEO</v>
      </c>
    </row>
    <row r="967" spans="1:5" ht="15.75" x14ac:dyDescent="0.25">
      <c r="A967" s="10">
        <v>52472386</v>
      </c>
      <c r="B967" s="2">
        <v>46043.369431250001</v>
      </c>
      <c r="C967" s="3" t="str">
        <f>IFERROR(VLOOKUP(A967,'Base Prueba'!A:C,3,),"NO REGISTRA")</f>
        <v>ADRIANA MARCELA MORALES PARDO</v>
      </c>
      <c r="D967" s="4" t="str">
        <f>IFERROR(VLOOKUP(A967,'Base Prueba'!A:D,4,),"NO REGISTRA")</f>
        <v>PROMOTOR CALL CENTER</v>
      </c>
      <c r="E967" s="5" t="str">
        <f>IFERROR(VLOOKUP(A967,'Base Prueba'!A:E,5,),"NO REGISTRA")</f>
        <v>OFICINA DE MERCADEO</v>
      </c>
    </row>
    <row r="968" spans="1:5" ht="15.75" x14ac:dyDescent="0.25">
      <c r="A968" s="10">
        <v>1003690253</v>
      </c>
      <c r="B968" s="2">
        <v>46043.372372453705</v>
      </c>
      <c r="C968" s="3" t="str">
        <f>IFERROR(VLOOKUP(A968,'Base Prueba'!A:C,3,),"NO REGISTRA")</f>
        <v>MELISSA GONZALEZ PEDRAZA</v>
      </c>
      <c r="D968" s="4" t="str">
        <f>IFERROR(VLOOKUP(A968,'Base Prueba'!A:D,4,),"NO REGISTRA")</f>
        <v>LIDER DE JOVENES A LA E</v>
      </c>
      <c r="E968" s="5" t="str">
        <f>IFERROR(VLOOKUP(A968,'Base Prueba'!A:E,5,),"NO REGISTRA")</f>
        <v>DIRECCION DE BIENESTAR INSTITUCIONAL</v>
      </c>
    </row>
    <row r="969" spans="1:5" ht="15.75" x14ac:dyDescent="0.25">
      <c r="A969" s="10">
        <v>28798349</v>
      </c>
      <c r="B969" s="2">
        <v>46043.372849768515</v>
      </c>
      <c r="C969" s="3" t="str">
        <f>IFERROR(VLOOKUP(A969,'Base Prueba'!A:C,3,),"NO REGISTRA")</f>
        <v>MARTHA ISABEL TOVAR WILLIAMS</v>
      </c>
      <c r="D969" s="4" t="str">
        <f>IFERROR(VLOOKUP(A969,'Base Prueba'!A:D,4,),"NO REGISTRA")</f>
        <v>PROMOTOR CALL CENTER</v>
      </c>
      <c r="E969" s="5" t="str">
        <f>IFERROR(VLOOKUP(A969,'Base Prueba'!A:E,5,),"NO REGISTRA")</f>
        <v>OFICINA DE MERCADEO</v>
      </c>
    </row>
    <row r="970" spans="1:5" ht="15.75" x14ac:dyDescent="0.25">
      <c r="A970" s="10">
        <v>52764929</v>
      </c>
      <c r="B970" s="2">
        <v>46043.373179629627</v>
      </c>
      <c r="C970" s="3" t="str">
        <f>IFERROR(VLOOKUP(A970,'Base Prueba'!A:C,3,),"NO REGISTRA")</f>
        <v>GUERLY YOHANA DURAN RIVERA</v>
      </c>
      <c r="D970" s="4" t="str">
        <f>IFERROR(VLOOKUP(A970,'Base Prueba'!A:D,4,),"NO REGISTRA")</f>
        <v>LIDER DE VINCULACION COLEGIOS</v>
      </c>
      <c r="E970" s="5" t="str">
        <f>IFERROR(VLOOKUP(A970,'Base Prueba'!A:E,5,),"NO REGISTRA")</f>
        <v>OFICINA DE MERCADEO</v>
      </c>
    </row>
    <row r="971" spans="1:5" ht="15.75" x14ac:dyDescent="0.25">
      <c r="A971" s="10">
        <v>1012426741</v>
      </c>
      <c r="B971" s="2">
        <v>46043.373347569446</v>
      </c>
      <c r="C971" s="3" t="str">
        <f>IFERROR(VLOOKUP(A971,'Base Prueba'!A:C,3,),"NO REGISTRA")</f>
        <v>CRISTIAN FABIAN ROJAS SANCENO</v>
      </c>
      <c r="D971" s="4" t="str">
        <f>IFERROR(VLOOKUP(A971,'Base Prueba'!A:D,4,),"NO REGISTRA")</f>
        <v>AUXILIAR DE REINTEGROS</v>
      </c>
      <c r="E971" s="5" t="str">
        <f>IFERROR(VLOOKUP(A971,'Base Prueba'!A:E,5,),"NO REGISTRA")</f>
        <v>DIRECCION DE BIENESTAR INSTITUCIONAL</v>
      </c>
    </row>
    <row r="972" spans="1:5" ht="15.75" x14ac:dyDescent="0.25">
      <c r="A972" s="10">
        <v>6</v>
      </c>
      <c r="B972" s="2">
        <v>46043.37483969907</v>
      </c>
      <c r="C972" s="3" t="str">
        <f>IFERROR(VLOOKUP(A972,'Base Prueba'!A:C,3,),"NO REGISTRA")</f>
        <v>NO REGISTRA</v>
      </c>
      <c r="D972" s="4" t="str">
        <f>IFERROR(VLOOKUP(A972,'Base Prueba'!A:D,4,),"NO REGISTRA")</f>
        <v>NO REGISTRA</v>
      </c>
      <c r="E972" s="5" t="str">
        <f>IFERROR(VLOOKUP(A972,'Base Prueba'!A:E,5,),"NO REGISTRA")</f>
        <v>NO REGISTRA</v>
      </c>
    </row>
    <row r="973" spans="1:5" ht="15.75" x14ac:dyDescent="0.25">
      <c r="A973" s="10">
        <v>1018414290</v>
      </c>
      <c r="B973" s="2">
        <v>46043.375036805555</v>
      </c>
      <c r="C973" s="3" t="str">
        <f>IFERROR(VLOOKUP(A973,'Base Prueba'!A:C,3,),"NO REGISTRA")</f>
        <v>AMANDA LISBETH RODRIGUEZ LEON</v>
      </c>
      <c r="D973" s="4" t="str">
        <f>IFERROR(VLOOKUP(A973,'Base Prueba'!A:D,4,),"NO REGISTRA")</f>
        <v>PROMOTOR CALL CENTER</v>
      </c>
      <c r="E973" s="5" t="str">
        <f>IFERROR(VLOOKUP(A973,'Base Prueba'!A:E,5,),"NO REGISTRA")</f>
        <v>OFICINA DE MERCADEO</v>
      </c>
    </row>
    <row r="974" spans="1:5" ht="15.75" x14ac:dyDescent="0.25">
      <c r="A974" s="10">
        <v>1014196857</v>
      </c>
      <c r="B974" s="2">
        <v>46043.375519675923</v>
      </c>
      <c r="C974" s="3" t="str">
        <f>IFERROR(VLOOKUP(A974,'Base Prueba'!A:C,3,),"NO REGISTRA")</f>
        <v>CARLOS ANDRES JIMENEZ PARDO</v>
      </c>
      <c r="D974" s="4" t="str">
        <f>IFERROR(VLOOKUP(A974,'Base Prueba'!A:D,4,),"NO REGISTRA")</f>
        <v>COORDINADOR DE MARKETING DIGITAL</v>
      </c>
      <c r="E974" s="5" t="str">
        <f>IFERROR(VLOOKUP(A974,'Base Prueba'!A:E,5,),"NO REGISTRA")</f>
        <v>OFICINA DE MERCADEO</v>
      </c>
    </row>
    <row r="975" spans="1:5" ht="15.75" x14ac:dyDescent="0.25">
      <c r="A975" s="10">
        <v>1193265768</v>
      </c>
      <c r="B975" s="2">
        <v>46043.376962268521</v>
      </c>
      <c r="C975" s="3" t="str">
        <f>IFERROR(VLOOKUP(A975,'Base Prueba'!A:C,3,),"NO REGISTRA")</f>
        <v>SANTIAGO OSORIO CAMACHO</v>
      </c>
      <c r="D975" s="4" t="str">
        <f>IFERROR(VLOOKUP(A975,'Base Prueba'!A:D,4,),"NO REGISTRA")</f>
        <v>ANALISTA DE PAUTA</v>
      </c>
      <c r="E975" s="5" t="str">
        <f>IFERROR(VLOOKUP(A975,'Base Prueba'!A:E,5,),"NO REGISTRA")</f>
        <v>OFICINA DE MERCADEO</v>
      </c>
    </row>
    <row r="976" spans="1:5" ht="15.75" x14ac:dyDescent="0.25">
      <c r="A976" s="10">
        <v>53089882</v>
      </c>
      <c r="B976" s="2">
        <v>46043.37824953704</v>
      </c>
      <c r="C976" s="3" t="str">
        <f>IFERROR(VLOOKUP(A976,'Base Prueba'!A:C,3,),"NO REGISTRA")</f>
        <v>MARIA JOHANA ESCAMILLA MARTINEZ</v>
      </c>
      <c r="D976" s="4" t="str">
        <f>IFERROR(VLOOKUP(A976,'Base Prueba'!A:D,4,),"NO REGISTRA")</f>
        <v>PROMOTOR DE INFORMACIÓN</v>
      </c>
      <c r="E976" s="5" t="str">
        <f>IFERROR(VLOOKUP(A976,'Base Prueba'!A:E,5,),"NO REGISTRA")</f>
        <v>OFICINA DE MERCADEO</v>
      </c>
    </row>
    <row r="977" spans="1:5" ht="15.75" x14ac:dyDescent="0.25">
      <c r="A977" s="10">
        <v>1018413529</v>
      </c>
      <c r="B977" s="2">
        <v>46043.380482638888</v>
      </c>
      <c r="C977" s="3" t="str">
        <f>IFERROR(VLOOKUP(A977,'Base Prueba'!A:C,3,),"NO REGISTRA")</f>
        <v>FRANCY STELLA CHARRY MORENO</v>
      </c>
      <c r="D977" s="4" t="str">
        <f>IFERROR(VLOOKUP(A977,'Base Prueba'!A:D,4,),"NO REGISTRA")</f>
        <v>PROMOTOR COMERCIAL DEL CEA</v>
      </c>
      <c r="E977" s="5" t="str">
        <f>IFERROR(VLOOKUP(A977,'Base Prueba'!A:E,5,),"NO REGISTRA")</f>
        <v>OFICINA DE MERCADEO</v>
      </c>
    </row>
    <row r="978" spans="1:5" ht="15.75" x14ac:dyDescent="0.25">
      <c r="A978" s="10">
        <v>1019105003</v>
      </c>
      <c r="B978" s="2">
        <v>46043.380973495368</v>
      </c>
      <c r="C978" s="3" t="str">
        <f>IFERROR(VLOOKUP(A978,'Base Prueba'!A:C,3,),"NO REGISTRA")</f>
        <v>DAISY JULIETH GASPAR MORENO</v>
      </c>
      <c r="D978" s="4" t="str">
        <f>IFERROR(VLOOKUP(A978,'Base Prueba'!A:D,4,),"NO REGISTRA")</f>
        <v>PROMOTOR CALL CENTER</v>
      </c>
      <c r="E978" s="5" t="str">
        <f>IFERROR(VLOOKUP(A978,'Base Prueba'!A:E,5,),"NO REGISTRA")</f>
        <v>OFICINA DE MERCADEO</v>
      </c>
    </row>
    <row r="979" spans="1:5" ht="15.75" x14ac:dyDescent="0.25">
      <c r="A979" s="10">
        <v>1016090131</v>
      </c>
      <c r="B979" s="2">
        <v>46043.382209837961</v>
      </c>
      <c r="C979" s="3" t="str">
        <f>IFERROR(VLOOKUP(A979,'Base Prueba'!A:C,3,),"NO REGISTRA")</f>
        <v>NICOLAS RODRIGUEZ PACHECO</v>
      </c>
      <c r="D979" s="4" t="str">
        <f>IFERROR(VLOOKUP(A979,'Base Prueba'!A:D,4,),"NO REGISTRA")</f>
        <v>COORDINADOR DE COMUNICACIONES</v>
      </c>
      <c r="E979" s="5" t="str">
        <f>IFERROR(VLOOKUP(A979,'Base Prueba'!A:E,5,),"NO REGISTRA")</f>
        <v>OFICINA DE MERCADEO</v>
      </c>
    </row>
    <row r="980" spans="1:5" ht="15.75" x14ac:dyDescent="0.25">
      <c r="A980" s="10">
        <v>1023961952</v>
      </c>
      <c r="B980" s="2">
        <v>46043.384634837967</v>
      </c>
      <c r="C980" s="3" t="str">
        <f>IFERROR(VLOOKUP(A980,'Base Prueba'!A:C,3,),"NO REGISTRA")</f>
        <v>ALEJANDRO PINZON MERCHAN</v>
      </c>
      <c r="D980" s="4" t="str">
        <f>IFERROR(VLOOKUP(A980,'Base Prueba'!A:D,4,),"NO REGISTRA")</f>
        <v>PROMOTOR CALL CENTER</v>
      </c>
      <c r="E980" s="5" t="str">
        <f>IFERROR(VLOOKUP(A980,'Base Prueba'!A:E,5,),"NO REGISTRA")</f>
        <v>OFICINA DE MERCADEO</v>
      </c>
    </row>
    <row r="981" spans="1:5" ht="15.75" x14ac:dyDescent="0.25">
      <c r="A981" s="10">
        <v>52175674</v>
      </c>
      <c r="B981" s="2">
        <v>46043.38679340278</v>
      </c>
      <c r="C981" s="3" t="str">
        <f>IFERROR(VLOOKUP(A981,'Base Prueba'!A:C,3,),"NO REGISTRA")</f>
        <v>LUZ YANETH GOMEZ AREVALO</v>
      </c>
      <c r="D981" s="4" t="str">
        <f>IFERROR(VLOOKUP(A981,'Base Prueba'!A:D,4,),"NO REGISTRA")</f>
        <v>COORDINADORA DE ADMISIONES</v>
      </c>
      <c r="E981" s="5" t="str">
        <f>IFERROR(VLOOKUP(A981,'Base Prueba'!A:E,5,),"NO REGISTRA")</f>
        <v>OFICINA DE MERCADEO</v>
      </c>
    </row>
    <row r="982" spans="1:5" ht="15.75" x14ac:dyDescent="0.25">
      <c r="A982" s="10">
        <v>1014308296</v>
      </c>
      <c r="B982" s="2">
        <v>46043.414566319443</v>
      </c>
      <c r="C982" s="3" t="str">
        <f>IFERROR(VLOOKUP(A982,'Base Prueba'!A:C,3,),"NO REGISTRA")</f>
        <v>DARLENE YULIANA MORENO CELEITA</v>
      </c>
      <c r="D982" s="4" t="str">
        <f>IFERROR(VLOOKUP(A982,'Base Prueba'!A:D,4,),"NO REGISTRA")</f>
        <v>CAJERO PRINCIPAL</v>
      </c>
      <c r="E982" s="5" t="str">
        <f>IFERROR(VLOOKUP(A982,'Base Prueba'!A:E,5,),"NO REGISTRA")</f>
        <v>AREA FINANCIERA Y CONTABLE</v>
      </c>
    </row>
    <row r="983" spans="1:5" ht="15.75" x14ac:dyDescent="0.25">
      <c r="A983" s="10">
        <v>1014977624</v>
      </c>
      <c r="B983" s="2">
        <v>46043.451147685184</v>
      </c>
      <c r="C983" s="3" t="str">
        <f>IFERROR(VLOOKUP(A983,'Base Prueba'!A:C,3,),"NO REGISTRA")</f>
        <v>NICCOLE VALENTINA HERNANDEZ MALAVER</v>
      </c>
      <c r="D983" s="4" t="str">
        <f>IFERROR(VLOOKUP(A983,'Base Prueba'!A:D,4,),"NO REGISTRA")</f>
        <v>APRENDIZ UNIVERSITARIO</v>
      </c>
      <c r="E983" s="5" t="str">
        <f>IFERROR(VLOOKUP(A983,'Base Prueba'!A:E,5,),"NO REGISTRA")</f>
        <v>AREA FINANCIERA Y CONTABLE</v>
      </c>
    </row>
    <row r="984" spans="1:5" ht="15.75" x14ac:dyDescent="0.25">
      <c r="A984" s="10">
        <v>52443092</v>
      </c>
      <c r="B984" s="2">
        <v>46043.539980555557</v>
      </c>
      <c r="C984" s="3" t="str">
        <f>IFERROR(VLOOKUP(A984,'Base Prueba'!A:C,3,),"NO REGISTRA")</f>
        <v>LUZ MYRIAM SAAVEDRA CONTRERAS</v>
      </c>
      <c r="D984" s="4" t="str">
        <f>IFERROR(VLOOKUP(A984,'Base Prueba'!A:D,4,),"NO REGISTRA")</f>
        <v>AUXILIAR DE SERVICIOS</v>
      </c>
      <c r="E984" s="5" t="str">
        <f>IFERROR(VLOOKUP(A984,'Base Prueba'!A:E,5,),"NO REGISTRA")</f>
        <v>LOGISTICA Y SERVICIOS GENERALES</v>
      </c>
    </row>
    <row r="985" spans="1:5" ht="15.75" x14ac:dyDescent="0.25">
      <c r="A985" s="10">
        <v>1031802160</v>
      </c>
      <c r="B985" s="2">
        <v>46043.705970717594</v>
      </c>
      <c r="C985" s="3" t="str">
        <f>IFERROR(VLOOKUP(A985,'Base Prueba'!A:C,3,),"NO REGISTRA")</f>
        <v>LUISA MARIA MAHECHA SOTOMAYOR</v>
      </c>
      <c r="D985" s="4" t="str">
        <f>IFERROR(VLOOKUP(A985,'Base Prueba'!A:D,4,),"NO REGISTRA")</f>
        <v>APRENDIZ UNIVERSITARIO</v>
      </c>
      <c r="E985" s="5" t="str">
        <f>IFERROR(VLOOKUP(A985,'Base Prueba'!A:E,5,),"NO REGISTRA")</f>
        <v>OFICINA DE MERCADEO</v>
      </c>
    </row>
    <row r="986" spans="1:5" ht="15.75" x14ac:dyDescent="0.25">
      <c r="A986" s="10">
        <v>1032469638</v>
      </c>
      <c r="B986" s="2">
        <v>46043.752344791668</v>
      </c>
      <c r="C986" s="3" t="str">
        <f>IFERROR(VLOOKUP(A986,'Base Prueba'!A:C,3,),"NO REGISTRA")</f>
        <v>MAICOL JARBEY GUALTEROS CASTAÑEDA</v>
      </c>
      <c r="D986" s="4" t="str">
        <f>IFERROR(VLOOKUP(A986,'Base Prueba'!A:D,4,),"NO REGISTRA")</f>
        <v>COORDINADOR DEL SISTEMA INTERNO DE ASEGURAMIENTO DE LA CALIDAD - SIAC</v>
      </c>
      <c r="E986" s="5" t="str">
        <f>IFERROR(VLOOKUP(A986,'Base Prueba'!A:E,5,),"NO REGISTRA")</f>
        <v>OFICINA DE PLANEACION Y GESTION DE LA CALIDAD</v>
      </c>
    </row>
    <row r="987" spans="1:5" ht="15.75" x14ac:dyDescent="0.25">
      <c r="A987" s="10">
        <v>1049644802</v>
      </c>
      <c r="B987" s="2">
        <v>46043.752419097225</v>
      </c>
      <c r="C987" s="3" t="str">
        <f>IFERROR(VLOOKUP(A987,'Base Prueba'!A:C,3,),"NO REGISTRA")</f>
        <v>DANIELA ALEXANDRA CIPAMOCHA BOSIGA</v>
      </c>
      <c r="D987" s="4" t="str">
        <f>IFERROR(VLOOKUP(A987,'Base Prueba'!A:D,4,),"NO REGISTRA")</f>
        <v>LIDER DE DATOS Y SERVICIOS</v>
      </c>
      <c r="E987" s="5" t="str">
        <f>IFERROR(VLOOKUP(A987,'Base Prueba'!A:E,5,),"NO REGISTRA")</f>
        <v>OFICINA DE PLANEACION Y GESTION DE LA CALIDAD</v>
      </c>
    </row>
    <row r="988" spans="1:5" ht="15.75" x14ac:dyDescent="0.25">
      <c r="A988" s="10">
        <v>1000467399</v>
      </c>
      <c r="B988" s="2">
        <v>46043.753334837966</v>
      </c>
      <c r="C988" s="3" t="str">
        <f>IFERROR(VLOOKUP(A988,'Base Prueba'!A:C,3,),"NO REGISTRA")</f>
        <v>BRANDO ESTIVEN DIAZ QUIMBAYA</v>
      </c>
      <c r="D988" s="4" t="str">
        <f>IFERROR(VLOOKUP(A988,'Base Prueba'!A:D,4,),"NO REGISTRA")</f>
        <v>APRENDIZ UNIVERSITARIO</v>
      </c>
      <c r="E988" s="5" t="str">
        <f>IFERROR(VLOOKUP(A988,'Base Prueba'!A:E,5,),"NO REGISTRA")</f>
        <v>DEPARTAMENTO DE GESTION HUMANA</v>
      </c>
    </row>
    <row r="989" spans="1:5" ht="15.75" x14ac:dyDescent="0.25">
      <c r="A989" s="10">
        <v>1000257136</v>
      </c>
      <c r="B989" s="2">
        <v>46043.761334606483</v>
      </c>
      <c r="C989" s="3" t="str">
        <f>IFERROR(VLOOKUP(A989,'Base Prueba'!A:C,3,),"NO REGISTRA")</f>
        <v>FRANCI VALENTINA CANO PUENTES</v>
      </c>
      <c r="D989" s="4" t="str">
        <f>IFERROR(VLOOKUP(A989,'Base Prueba'!A:D,4,),"NO REGISTRA")</f>
        <v>AUXILIAR CONTABLE</v>
      </c>
      <c r="E989" s="5" t="str">
        <f>IFERROR(VLOOKUP(A989,'Base Prueba'!A:E,5,),"NO REGISTRA")</f>
        <v>AREA FINANCIERA Y CONTABLE</v>
      </c>
    </row>
    <row r="990" spans="1:5" ht="15.75" x14ac:dyDescent="0.25">
      <c r="A990" s="10">
        <v>1000457706</v>
      </c>
      <c r="B990" s="2">
        <v>46043.761367129628</v>
      </c>
      <c r="C990" s="3" t="str">
        <f>IFERROR(VLOOKUP(A990,'Base Prueba'!A:C,3,),"NO REGISTRA")</f>
        <v>CRISTIAN DANILO ARROYO SANABRIA</v>
      </c>
      <c r="D990" s="4" t="str">
        <f>IFERROR(VLOOKUP(A990,'Base Prueba'!A:D,4,),"NO REGISTRA")</f>
        <v>AUXILIAR CONTABLE</v>
      </c>
      <c r="E990" s="5" t="str">
        <f>IFERROR(VLOOKUP(A990,'Base Prueba'!A:E,5,),"NO REGISTRA")</f>
        <v>AREA FINANCIERA Y CONTABLE</v>
      </c>
    </row>
    <row r="991" spans="1:5" ht="15.75" x14ac:dyDescent="0.25">
      <c r="A991" s="10">
        <v>1026599257</v>
      </c>
      <c r="B991" s="2">
        <v>46043.761398379633</v>
      </c>
      <c r="C991" s="3" t="str">
        <f>IFERROR(VLOOKUP(A991,'Base Prueba'!A:C,3,),"NO REGISTRA")</f>
        <v>YESENIA PAOLA PINEDA HURTADO</v>
      </c>
      <c r="D991" s="4" t="str">
        <f>IFERROR(VLOOKUP(A991,'Base Prueba'!A:D,4,),"NO REGISTRA")</f>
        <v>LIDER DE COMPRAS</v>
      </c>
      <c r="E991" s="5" t="str">
        <f>IFERROR(VLOOKUP(A991,'Base Prueba'!A:E,5,),"NO REGISTRA")</f>
        <v>AREA ADMINISTRATIVA</v>
      </c>
    </row>
    <row r="992" spans="1:5" ht="15.75" x14ac:dyDescent="0.25">
      <c r="A992" s="10">
        <v>1023883232</v>
      </c>
      <c r="B992" s="2">
        <v>46043.765948148146</v>
      </c>
      <c r="C992" s="3" t="str">
        <f>IFERROR(VLOOKUP(A992,'Base Prueba'!A:C,3,),"NO REGISTRA")</f>
        <v>MONICA ANDREA ACERO URBANO</v>
      </c>
      <c r="D992" s="4" t="str">
        <f>IFERROR(VLOOKUP(A992,'Base Prueba'!A:D,4,),"NO REGISTRA")</f>
        <v>APOYO INTEGRAL A GESTION HUMANA</v>
      </c>
      <c r="E992" s="5" t="str">
        <f>IFERROR(VLOOKUP(A992,'Base Prueba'!A:E,5,),"NO REGISTRA")</f>
        <v>DEPARTAMENTO DE GESTION HUMANA</v>
      </c>
    </row>
    <row r="993" spans="1:5" ht="15.75" x14ac:dyDescent="0.25">
      <c r="A993" s="10">
        <v>1087121273</v>
      </c>
      <c r="B993" s="2">
        <v>46043.765984837963</v>
      </c>
      <c r="C993" s="3" t="str">
        <f>IFERROR(VLOOKUP(A993,'Base Prueba'!A:C,3,),"NO REGISTRA")</f>
        <v>MAYRA ALEJANDRA CASTILLO ARBOLEDA</v>
      </c>
      <c r="D993" s="4" t="str">
        <f>IFERROR(VLOOKUP(A993,'Base Prueba'!A:D,4,),"NO REGISTRA")</f>
        <v>APOYO INTEGRAL DE MERCADEO</v>
      </c>
      <c r="E993" s="5" t="str">
        <f>IFERROR(VLOOKUP(A993,'Base Prueba'!A:E,5,),"NO REGISTRA")</f>
        <v>CENTRO DE GESTION DOCUMENTAL</v>
      </c>
    </row>
    <row r="994" spans="1:5" ht="15.75" x14ac:dyDescent="0.25">
      <c r="A994" s="10">
        <v>1000593372</v>
      </c>
      <c r="B994" s="2">
        <v>46043.766888888887</v>
      </c>
      <c r="C994" s="3" t="str">
        <f>IFERROR(VLOOKUP(A994,'Base Prueba'!A:C,3,),"NO REGISTRA")</f>
        <v>LAURA SOFIA CHAPARRO LOPEZ</v>
      </c>
      <c r="D994" s="4" t="str">
        <f>IFERROR(VLOOKUP(A994,'Base Prueba'!A:D,4,),"NO REGISTRA")</f>
        <v>AUXILIAR JURIDICO</v>
      </c>
      <c r="E994" s="5" t="str">
        <f>IFERROR(VLOOKUP(A994,'Base Prueba'!A:E,5,),"NO REGISTRA")</f>
        <v>SECRETARIA GENERAL</v>
      </c>
    </row>
    <row r="995" spans="1:5" ht="15.75" x14ac:dyDescent="0.25">
      <c r="A995" s="10">
        <v>1000604979</v>
      </c>
      <c r="B995" s="2">
        <v>46043.766912384257</v>
      </c>
      <c r="C995" s="3" t="str">
        <f>IFERROR(VLOOKUP(A995,'Base Prueba'!A:C,3,),"NO REGISTRA")</f>
        <v>JULIETH TATIANA PARDO PINTO</v>
      </c>
      <c r="D995" s="4" t="str">
        <f>IFERROR(VLOOKUP(A995,'Base Prueba'!A:D,4,),"NO REGISTRA")</f>
        <v>AUXILIAR JURIDICO</v>
      </c>
      <c r="E995" s="5" t="str">
        <f>IFERROR(VLOOKUP(A995,'Base Prueba'!A:E,5,),"NO REGISTRA")</f>
        <v>SECRETARIA GENERAL</v>
      </c>
    </row>
    <row r="996" spans="1:5" ht="15.75" x14ac:dyDescent="0.25">
      <c r="A996" s="10">
        <v>1014266838</v>
      </c>
      <c r="B996" s="2">
        <v>46043.770020138887</v>
      </c>
      <c r="C996" s="3" t="str">
        <f>IFERROR(VLOOKUP(A996,'Base Prueba'!A:C,3,),"NO REGISTRA")</f>
        <v>JENNIFER ASTRID ROMERO HURTADO</v>
      </c>
      <c r="D996" s="4" t="str">
        <f>IFERROR(VLOOKUP(A996,'Base Prueba'!A:D,4,),"NO REGISTRA")</f>
        <v>LIDER DE RECAUDO</v>
      </c>
      <c r="E996" s="5" t="str">
        <f>IFERROR(VLOOKUP(A996,'Base Prueba'!A:E,5,),"NO REGISTRA")</f>
        <v>AREA FINANCIERA Y CONTABLE</v>
      </c>
    </row>
    <row r="997" spans="1:5" ht="15.75" x14ac:dyDescent="0.25">
      <c r="A997" s="10">
        <v>1000365751</v>
      </c>
      <c r="B997" s="2">
        <v>46043.773565277777</v>
      </c>
      <c r="C997" s="3" t="str">
        <f>IFERROR(VLOOKUP(A997,'Base Prueba'!A:C,3,),"NO REGISTRA")</f>
        <v>JHOAN NICOLAS ESCAMILLA MANJARRES</v>
      </c>
      <c r="D997" s="4" t="str">
        <f>IFERROR(VLOOKUP(A997,'Base Prueba'!A:D,4,),"NO REGISTRA")</f>
        <v>APRENDIZ UNIVERSITARIO</v>
      </c>
      <c r="E997" s="5" t="str">
        <f>IFERROR(VLOOKUP(A997,'Base Prueba'!A:E,5,),"NO REGISTRA")</f>
        <v>OFICINA DE MERCADEO</v>
      </c>
    </row>
    <row r="998" spans="1:5" ht="15.75" x14ac:dyDescent="0.25">
      <c r="A998" s="10">
        <v>1016090131</v>
      </c>
      <c r="B998" s="2">
        <v>46043.773669097223</v>
      </c>
      <c r="C998" s="3" t="str">
        <f>IFERROR(VLOOKUP(A998,'Base Prueba'!A:C,3,),"NO REGISTRA")</f>
        <v>NICOLAS RODRIGUEZ PACHECO</v>
      </c>
      <c r="D998" s="4" t="str">
        <f>IFERROR(VLOOKUP(A998,'Base Prueba'!A:D,4,),"NO REGISTRA")</f>
        <v>COORDINADOR DE COMUNICACIONES</v>
      </c>
      <c r="E998" s="5" t="str">
        <f>IFERROR(VLOOKUP(A998,'Base Prueba'!A:E,5,),"NO REGISTRA")</f>
        <v>OFICINA DE MERCADEO</v>
      </c>
    </row>
    <row r="999" spans="1:5" ht="15.75" x14ac:dyDescent="0.25">
      <c r="A999" s="10">
        <v>1033709056</v>
      </c>
      <c r="B999" s="2">
        <v>46043.777739351855</v>
      </c>
      <c r="C999" s="3" t="str">
        <f>IFERROR(VLOOKUP(A999,'Base Prueba'!A:C,3,),"NO REGISTRA")</f>
        <v>YEIMY ALEXANDRA RODRIGUEZ PALACIO</v>
      </c>
      <c r="D999" s="4" t="str">
        <f>IFERROR(VLOOKUP(A999,'Base Prueba'!A:D,4,),"NO REGISTRA")</f>
        <v>PROMOTOR CALL CENTER</v>
      </c>
      <c r="E999" s="5" t="str">
        <f>IFERROR(VLOOKUP(A999,'Base Prueba'!A:E,5,),"NO REGISTRA")</f>
        <v>OFICINA DE MERCADEO</v>
      </c>
    </row>
    <row r="1000" spans="1:5" ht="15.75" x14ac:dyDescent="0.25">
      <c r="A1000" s="10">
        <v>1023961952</v>
      </c>
      <c r="B1000" s="2">
        <v>46043.778202546295</v>
      </c>
      <c r="C1000" s="3" t="str">
        <f>IFERROR(VLOOKUP(A1000,'Base Prueba'!A:C,3,),"NO REGISTRA")</f>
        <v>ALEJANDRO PINZON MERCHAN</v>
      </c>
      <c r="D1000" s="4" t="str">
        <f>IFERROR(VLOOKUP(A1000,'Base Prueba'!A:D,4,),"NO REGISTRA")</f>
        <v>PROMOTOR CALL CENTER</v>
      </c>
      <c r="E1000" s="5" t="str">
        <f>IFERROR(VLOOKUP(A1000,'Base Prueba'!A:E,5,),"NO REGISTRA")</f>
        <v>OFICINA DE MERCADEO</v>
      </c>
    </row>
    <row r="1001" spans="1:5" ht="15.75" x14ac:dyDescent="0.25">
      <c r="A1001" s="10">
        <v>1003690253</v>
      </c>
      <c r="B1001" s="2">
        <v>46043.779288888887</v>
      </c>
      <c r="C1001" s="3" t="str">
        <f>IFERROR(VLOOKUP(A1001,'Base Prueba'!A:C,3,),"NO REGISTRA")</f>
        <v>MELISSA GONZALEZ PEDRAZA</v>
      </c>
      <c r="D1001" s="4" t="str">
        <f>IFERROR(VLOOKUP(A1001,'Base Prueba'!A:D,4,),"NO REGISTRA")</f>
        <v>LIDER DE JOVENES A LA E</v>
      </c>
      <c r="E1001" s="5" t="str">
        <f>IFERROR(VLOOKUP(A1001,'Base Prueba'!A:E,5,),"NO REGISTRA")</f>
        <v>DIRECCION DE BIENESTAR INSTITUCIONAL</v>
      </c>
    </row>
    <row r="1002" spans="1:5" ht="15.75" x14ac:dyDescent="0.25">
      <c r="A1002" s="10">
        <v>1019105003</v>
      </c>
      <c r="B1002" s="2">
        <v>46043.780420370371</v>
      </c>
      <c r="C1002" s="3" t="str">
        <f>IFERROR(VLOOKUP(A1002,'Base Prueba'!A:C,3,),"NO REGISTRA")</f>
        <v>DAISY JULIETH GASPAR MORENO</v>
      </c>
      <c r="D1002" s="4" t="str">
        <f>IFERROR(VLOOKUP(A1002,'Base Prueba'!A:D,4,),"NO REGISTRA")</f>
        <v>PROMOTOR CALL CENTER</v>
      </c>
      <c r="E1002" s="5" t="str">
        <f>IFERROR(VLOOKUP(A1002,'Base Prueba'!A:E,5,),"NO REGISTRA")</f>
        <v>OFICINA DE MERCADEO</v>
      </c>
    </row>
    <row r="1003" spans="1:5" ht="15.75" x14ac:dyDescent="0.25">
      <c r="A1003" s="10">
        <v>28798349</v>
      </c>
      <c r="B1003" s="2">
        <v>46043.780481365742</v>
      </c>
      <c r="C1003" s="3" t="str">
        <f>IFERROR(VLOOKUP(A1003,'Base Prueba'!A:C,3,),"NO REGISTRA")</f>
        <v>MARTHA ISABEL TOVAR WILLIAMS</v>
      </c>
      <c r="D1003" s="4" t="str">
        <f>IFERROR(VLOOKUP(A1003,'Base Prueba'!A:D,4,),"NO REGISTRA")</f>
        <v>PROMOTOR CALL CENTER</v>
      </c>
      <c r="E1003" s="5" t="str">
        <f>IFERROR(VLOOKUP(A1003,'Base Prueba'!A:E,5,),"NO REGISTRA")</f>
        <v>OFICINA DE MERCADEO</v>
      </c>
    </row>
    <row r="1004" spans="1:5" ht="15.75" x14ac:dyDescent="0.25">
      <c r="A1004" s="10">
        <v>6</v>
      </c>
      <c r="B1004" s="2">
        <v>46043.781415393518</v>
      </c>
      <c r="C1004" s="3" t="str">
        <f>IFERROR(VLOOKUP(A1004,'Base Prueba'!A:C,3,),"NO REGISTRA")</f>
        <v>NO REGISTRA</v>
      </c>
      <c r="D1004" s="4" t="str">
        <f>IFERROR(VLOOKUP(A1004,'Base Prueba'!A:D,4,),"NO REGISTRA")</f>
        <v>NO REGISTRA</v>
      </c>
      <c r="E1004" s="5" t="str">
        <f>IFERROR(VLOOKUP(A1004,'Base Prueba'!A:E,5,),"NO REGISTRA")</f>
        <v>NO REGISTRA</v>
      </c>
    </row>
    <row r="1005" spans="1:5" ht="15.75" x14ac:dyDescent="0.25">
      <c r="A1005" s="10">
        <v>1018414290</v>
      </c>
      <c r="B1005" s="2">
        <v>46043.781502430553</v>
      </c>
      <c r="C1005" s="3" t="str">
        <f>IFERROR(VLOOKUP(A1005,'Base Prueba'!A:C,3,),"NO REGISTRA")</f>
        <v>AMANDA LISBETH RODRIGUEZ LEON</v>
      </c>
      <c r="D1005" s="4" t="str">
        <f>IFERROR(VLOOKUP(A1005,'Base Prueba'!A:D,4,),"NO REGISTRA")</f>
        <v>PROMOTOR CALL CENTER</v>
      </c>
      <c r="E1005" s="5" t="str">
        <f>IFERROR(VLOOKUP(A1005,'Base Prueba'!A:E,5,),"NO REGISTRA")</f>
        <v>OFICINA DE MERCADEO</v>
      </c>
    </row>
    <row r="1006" spans="1:5" ht="15.75" x14ac:dyDescent="0.25">
      <c r="A1006" s="10">
        <v>52472386</v>
      </c>
      <c r="B1006" s="2">
        <v>46043.781642013892</v>
      </c>
      <c r="C1006" s="3" t="str">
        <f>IFERROR(VLOOKUP(A1006,'Base Prueba'!A:C,3,),"NO REGISTRA")</f>
        <v>ADRIANA MARCELA MORALES PARDO</v>
      </c>
      <c r="D1006" s="4" t="str">
        <f>IFERROR(VLOOKUP(A1006,'Base Prueba'!A:D,4,),"NO REGISTRA")</f>
        <v>PROMOTOR CALL CENTER</v>
      </c>
      <c r="E1006" s="5" t="str">
        <f>IFERROR(VLOOKUP(A1006,'Base Prueba'!A:E,5,),"NO REGISTRA")</f>
        <v>OFICINA DE MERCADEO</v>
      </c>
    </row>
    <row r="1007" spans="1:5" ht="15.75" x14ac:dyDescent="0.25">
      <c r="A1007" s="10">
        <v>1018413529</v>
      </c>
      <c r="B1007" s="2">
        <v>46043.789481481479</v>
      </c>
      <c r="C1007" s="3" t="str">
        <f>IFERROR(VLOOKUP(A1007,'Base Prueba'!A:C,3,),"NO REGISTRA")</f>
        <v>FRANCY STELLA CHARRY MORENO</v>
      </c>
      <c r="D1007" s="4" t="str">
        <f>IFERROR(VLOOKUP(A1007,'Base Prueba'!A:D,4,),"NO REGISTRA")</f>
        <v>PROMOTOR COMERCIAL DEL CEA</v>
      </c>
      <c r="E1007" s="5" t="str">
        <f>IFERROR(VLOOKUP(A1007,'Base Prueba'!A:E,5,),"NO REGISTRA")</f>
        <v>OFICINA DE MERCADEO</v>
      </c>
    </row>
    <row r="1008" spans="1:5" ht="15.75" x14ac:dyDescent="0.25">
      <c r="A1008" s="10">
        <v>1032407386</v>
      </c>
      <c r="B1008" s="2">
        <v>46043.789501504631</v>
      </c>
      <c r="C1008" s="3" t="str">
        <f>IFERROR(VLOOKUP(A1008,'Base Prueba'!A:C,3,),"NO REGISTRA")</f>
        <v>GINA PAOLA BAEZ GALVIS</v>
      </c>
      <c r="D1008" s="4" t="str">
        <f>IFERROR(VLOOKUP(A1008,'Base Prueba'!A:D,4,),"NO REGISTRA")</f>
        <v>PROMOTOR CALL CENTER</v>
      </c>
      <c r="E1008" s="5" t="str">
        <f>IFERROR(VLOOKUP(A1008,'Base Prueba'!A:E,5,),"NO REGISTRA")</f>
        <v>OFICINA DE MERCADEO</v>
      </c>
    </row>
    <row r="1009" spans="1:5" ht="15.75" x14ac:dyDescent="0.25">
      <c r="A1009" s="10">
        <v>53089882</v>
      </c>
      <c r="B1009" s="2">
        <v>46043.78956863426</v>
      </c>
      <c r="C1009" s="3" t="str">
        <f>IFERROR(VLOOKUP(A1009,'Base Prueba'!A:C,3,),"NO REGISTRA")</f>
        <v>MARIA JOHANA ESCAMILLA MARTINEZ</v>
      </c>
      <c r="D1009" s="4" t="str">
        <f>IFERROR(VLOOKUP(A1009,'Base Prueba'!A:D,4,),"NO REGISTRA")</f>
        <v>PROMOTOR DE INFORMACIÓN</v>
      </c>
      <c r="E1009" s="5" t="str">
        <f>IFERROR(VLOOKUP(A1009,'Base Prueba'!A:E,5,),"NO REGISTRA")</f>
        <v>OFICINA DE MERCADEO</v>
      </c>
    </row>
    <row r="1010" spans="1:5" ht="15.75" x14ac:dyDescent="0.25">
      <c r="A1010" s="10">
        <v>1013616244</v>
      </c>
      <c r="B1010" s="2">
        <v>46043.79213425926</v>
      </c>
      <c r="C1010" s="3" t="str">
        <f>IFERROR(VLOOKUP(A1010,'Base Prueba'!A:C,3,),"NO REGISTRA")</f>
        <v>DIANA CAROLINA MARIN BETANCOURT</v>
      </c>
      <c r="D1010" s="4" t="str">
        <f>IFERROR(VLOOKUP(A1010,'Base Prueba'!A:D,4,),"NO REGISTRA")</f>
        <v>AUXILIAR ADMINISTRATIVO</v>
      </c>
      <c r="E1010" s="5" t="str">
        <f>IFERROR(VLOOKUP(A1010,'Base Prueba'!A:E,5,),"NO REGISTRA")</f>
        <v>REGISTRO Y CONTROL ACADEMICO</v>
      </c>
    </row>
    <row r="1011" spans="1:5" ht="15.75" x14ac:dyDescent="0.25">
      <c r="A1011" s="10">
        <v>52175674</v>
      </c>
      <c r="B1011" s="2">
        <v>46043.793028703702</v>
      </c>
      <c r="C1011" s="3" t="str">
        <f>IFERROR(VLOOKUP(A1011,'Base Prueba'!A:C,3,),"NO REGISTRA")</f>
        <v>LUZ YANETH GOMEZ AREVALO</v>
      </c>
      <c r="D1011" s="4" t="str">
        <f>IFERROR(VLOOKUP(A1011,'Base Prueba'!A:D,4,),"NO REGISTRA")</f>
        <v>COORDINADORA DE ADMISIONES</v>
      </c>
      <c r="E1011" s="5" t="str">
        <f>IFERROR(VLOOKUP(A1011,'Base Prueba'!A:E,5,),"NO REGISTRA")</f>
        <v>OFICINA DE MERCADEO</v>
      </c>
    </row>
    <row r="1012" spans="1:5" ht="15.75" x14ac:dyDescent="0.25">
      <c r="A1012" s="10">
        <v>80234243</v>
      </c>
      <c r="B1012" s="2">
        <v>46043.793891898145</v>
      </c>
      <c r="C1012" s="3" t="str">
        <f>IFERROR(VLOOKUP(A1012,'Base Prueba'!A:C,3,),"NO REGISTRA")</f>
        <v>ARGENIS MARTINEZ MARTINEZ</v>
      </c>
      <c r="D1012" s="4" t="str">
        <f>IFERROR(VLOOKUP(A1012,'Base Prueba'!A:D,4,),"NO REGISTRA")</f>
        <v>LIDER CALL CENTER</v>
      </c>
      <c r="E1012" s="5" t="str">
        <f>IFERROR(VLOOKUP(A1012,'Base Prueba'!A:E,5,),"NO REGISTRA")</f>
        <v>OFICINA DE MERCADEO</v>
      </c>
    </row>
    <row r="1013" spans="1:5" ht="15.75" x14ac:dyDescent="0.25">
      <c r="A1013" s="10">
        <v>1014308296</v>
      </c>
      <c r="B1013" s="2">
        <v>46043.795291666669</v>
      </c>
      <c r="C1013" s="3" t="str">
        <f>IFERROR(VLOOKUP(A1013,'Base Prueba'!A:C,3,),"NO REGISTRA")</f>
        <v>DARLENE YULIANA MORENO CELEITA</v>
      </c>
      <c r="D1013" s="4" t="str">
        <f>IFERROR(VLOOKUP(A1013,'Base Prueba'!A:D,4,),"NO REGISTRA")</f>
        <v>CAJERO PRINCIPAL</v>
      </c>
      <c r="E1013" s="5" t="str">
        <f>IFERROR(VLOOKUP(A1013,'Base Prueba'!A:E,5,),"NO REGISTRA")</f>
        <v>AREA FINANCIERA Y CONTABLE</v>
      </c>
    </row>
    <row r="1014" spans="1:5" ht="15.75" x14ac:dyDescent="0.25">
      <c r="A1014" s="10">
        <v>80238161</v>
      </c>
      <c r="B1014" s="2">
        <v>46043.795377199072</v>
      </c>
      <c r="C1014" s="3" t="str">
        <f>IFERROR(VLOOKUP(A1014,'Base Prueba'!A:C,3,),"NO REGISTRA")</f>
        <v>GERMAN CARRANZA ESPITIA</v>
      </c>
      <c r="D1014" s="4" t="str">
        <f>IFERROR(VLOOKUP(A1014,'Base Prueba'!A:D,4,),"NO REGISTRA")</f>
        <v>TESORERO</v>
      </c>
      <c r="E1014" s="5" t="str">
        <f>IFERROR(VLOOKUP(A1014,'Base Prueba'!A:E,5,),"NO REGISTRA")</f>
        <v>AREA FINANCIERA Y CONTABLE</v>
      </c>
    </row>
    <row r="1015" spans="1:5" ht="15.75" x14ac:dyDescent="0.25">
      <c r="A1015" s="10">
        <v>1012357415</v>
      </c>
      <c r="B1015" s="2">
        <v>46043.795450810183</v>
      </c>
      <c r="C1015" s="3" t="str">
        <f>IFERROR(VLOOKUP(A1015,'Base Prueba'!A:C,3,),"NO REGISTRA")</f>
        <v>CINDY LORENA BOHORQUEZ LEYVA</v>
      </c>
      <c r="D1015" s="4" t="str">
        <f>IFERROR(VLOOKUP(A1015,'Base Prueba'!A:D,4,),"NO REGISTRA")</f>
        <v>ANALISTA DE TESORERIA</v>
      </c>
      <c r="E1015" s="5" t="str">
        <f>IFERROR(VLOOKUP(A1015,'Base Prueba'!A:E,5,),"NO REGISTRA")</f>
        <v>AREA FINANCIERA Y CONTABLE</v>
      </c>
    </row>
    <row r="1016" spans="1:5" ht="15.75" x14ac:dyDescent="0.25">
      <c r="A1016" s="10">
        <v>1022996882</v>
      </c>
      <c r="B1016" s="2">
        <v>46043.798526388891</v>
      </c>
      <c r="C1016" s="3" t="str">
        <f>IFERROR(VLOOKUP(A1016,'Base Prueba'!A:C,3,),"NO REGISTRA")</f>
        <v>NANCY BRIGITH ALDANA GUEVARA</v>
      </c>
      <c r="D1016" s="4" t="str">
        <f>IFERROR(VLOOKUP(A1016,'Base Prueba'!A:D,4,),"NO REGISTRA")</f>
        <v>COORDINADORA DE GESTIÓN HUMANA</v>
      </c>
      <c r="E1016" s="5" t="str">
        <f>IFERROR(VLOOKUP(A1016,'Base Prueba'!A:E,5,),"NO REGISTRA")</f>
        <v>DEPARTAMENTO DE GESTION HUMANA</v>
      </c>
    </row>
    <row r="1017" spans="1:5" ht="15.75" x14ac:dyDescent="0.25">
      <c r="A1017" s="10">
        <v>1013098645</v>
      </c>
      <c r="B1017" s="2">
        <v>46043.803834027778</v>
      </c>
      <c r="C1017" s="3" t="str">
        <f>IFERROR(VLOOKUP(A1017,'Base Prueba'!A:C,3,),"NO REGISTRA")</f>
        <v>CATHERINE LUCIA PENAGOS RIVERA</v>
      </c>
      <c r="D1017" s="4" t="str">
        <f>IFERROR(VLOOKUP(A1017,'Base Prueba'!A:D,4,),"NO REGISTRA")</f>
        <v>LIDER DE REGISTRO Y CONTROL ACADEMICO</v>
      </c>
      <c r="E1017" s="5" t="str">
        <f>IFERROR(VLOOKUP(A1017,'Base Prueba'!A:E,5,),"NO REGISTRA")</f>
        <v>REGISTRO Y CONTROL ACADEMICO</v>
      </c>
    </row>
    <row r="1018" spans="1:5" ht="15.75" x14ac:dyDescent="0.25">
      <c r="A1018" s="10">
        <v>1014196857</v>
      </c>
      <c r="B1018" s="2">
        <v>46043.835552199074</v>
      </c>
      <c r="C1018" s="3" t="str">
        <f>IFERROR(VLOOKUP(A1018,'Base Prueba'!A:C,3,),"NO REGISTRA")</f>
        <v>CARLOS ANDRES JIMENEZ PARDO</v>
      </c>
      <c r="D1018" s="4" t="str">
        <f>IFERROR(VLOOKUP(A1018,'Base Prueba'!A:D,4,),"NO REGISTRA")</f>
        <v>COORDINADOR DE MARKETING DIGITAL</v>
      </c>
      <c r="E1018" s="5" t="str">
        <f>IFERROR(VLOOKUP(A1018,'Base Prueba'!A:E,5,),"NO REGISTRA")</f>
        <v>OFICINA DE MERCADEO</v>
      </c>
    </row>
    <row r="1019" spans="1:5" ht="15.75" x14ac:dyDescent="0.25">
      <c r="A1019" s="10">
        <v>1193265768</v>
      </c>
      <c r="B1019" s="2">
        <v>46043.83559328704</v>
      </c>
      <c r="C1019" s="3" t="str">
        <f>IFERROR(VLOOKUP(A1019,'Base Prueba'!A:C,3,),"NO REGISTRA")</f>
        <v>SANTIAGO OSORIO CAMACHO</v>
      </c>
      <c r="D1019" s="4" t="str">
        <f>IFERROR(VLOOKUP(A1019,'Base Prueba'!A:D,4,),"NO REGISTRA")</f>
        <v>ANALISTA DE PAUTA</v>
      </c>
      <c r="E1019" s="5" t="str">
        <f>IFERROR(VLOOKUP(A1019,'Base Prueba'!A:E,5,),"NO REGISTRA")</f>
        <v>OFICINA DE MERCADEO</v>
      </c>
    </row>
    <row r="1020" spans="1:5" ht="15.75" x14ac:dyDescent="0.25">
      <c r="A1020" s="10">
        <v>1087121273</v>
      </c>
      <c r="B1020" s="2">
        <v>46044.305704629631</v>
      </c>
      <c r="C1020" s="3" t="str">
        <f>IFERROR(VLOOKUP(A1020,'Base Prueba'!A:C,3,),"NO REGISTRA")</f>
        <v>MAYRA ALEJANDRA CASTILLO ARBOLEDA</v>
      </c>
      <c r="D1020" s="4" t="str">
        <f>IFERROR(VLOOKUP(A1020,'Base Prueba'!A:D,4,),"NO REGISTRA")</f>
        <v>APOYO INTEGRAL DE MERCADEO</v>
      </c>
      <c r="E1020" s="5" t="str">
        <f>IFERROR(VLOOKUP(A1020,'Base Prueba'!A:E,5,),"NO REGISTRA")</f>
        <v>CENTRO DE GESTION DOCUMENTAL</v>
      </c>
    </row>
    <row r="1021" spans="1:5" ht="15.75" x14ac:dyDescent="0.25">
      <c r="A1021" s="10">
        <v>1013616244</v>
      </c>
      <c r="B1021" s="2">
        <v>46044.308264699073</v>
      </c>
      <c r="C1021" s="3" t="str">
        <f>IFERROR(VLOOKUP(A1021,'Base Prueba'!A:C,3,),"NO REGISTRA")</f>
        <v>DIANA CAROLINA MARIN BETANCOURT</v>
      </c>
      <c r="D1021" s="4" t="str">
        <f>IFERROR(VLOOKUP(A1021,'Base Prueba'!A:D,4,),"NO REGISTRA")</f>
        <v>AUXILIAR ADMINISTRATIVO</v>
      </c>
      <c r="E1021" s="5" t="str">
        <f>IFERROR(VLOOKUP(A1021,'Base Prueba'!A:E,5,),"NO REGISTRA")</f>
        <v>REGISTRO Y CONTROL ACADEMICO</v>
      </c>
    </row>
    <row r="1022" spans="1:5" ht="15.75" x14ac:dyDescent="0.25">
      <c r="A1022" s="10">
        <v>1049644802</v>
      </c>
      <c r="B1022" s="2">
        <v>46044.327962615738</v>
      </c>
      <c r="C1022" s="3" t="str">
        <f>IFERROR(VLOOKUP(A1022,'Base Prueba'!A:C,3,),"NO REGISTRA")</f>
        <v>DANIELA ALEXANDRA CIPAMOCHA BOSIGA</v>
      </c>
      <c r="D1022" s="4" t="str">
        <f>IFERROR(VLOOKUP(A1022,'Base Prueba'!A:D,4,),"NO REGISTRA")</f>
        <v>LIDER DE DATOS Y SERVICIOS</v>
      </c>
      <c r="E1022" s="5" t="str">
        <f>IFERROR(VLOOKUP(A1022,'Base Prueba'!A:E,5,),"NO REGISTRA")</f>
        <v>OFICINA DE PLANEACION Y GESTION DE LA CALIDAD</v>
      </c>
    </row>
    <row r="1023" spans="1:5" ht="15.75" x14ac:dyDescent="0.25">
      <c r="A1023" s="10">
        <v>1031802160</v>
      </c>
      <c r="B1023" s="2">
        <v>46044.332215162038</v>
      </c>
      <c r="C1023" s="3" t="str">
        <f>IFERROR(VLOOKUP(A1023,'Base Prueba'!A:C,3,),"NO REGISTRA")</f>
        <v>LUISA MARIA MAHECHA SOTOMAYOR</v>
      </c>
      <c r="D1023" s="4" t="str">
        <f>IFERROR(VLOOKUP(A1023,'Base Prueba'!A:D,4,),"NO REGISTRA")</f>
        <v>APRENDIZ UNIVERSITARIO</v>
      </c>
      <c r="E1023" s="5" t="str">
        <f>IFERROR(VLOOKUP(A1023,'Base Prueba'!A:E,5,),"NO REGISTRA")</f>
        <v>OFICINA DE MERCADEO</v>
      </c>
    </row>
    <row r="1024" spans="1:5" ht="15.75" x14ac:dyDescent="0.25">
      <c r="A1024" s="10">
        <v>1012357415</v>
      </c>
      <c r="B1024" s="2">
        <v>46044.333983680554</v>
      </c>
      <c r="C1024" s="3" t="str">
        <f>IFERROR(VLOOKUP(A1024,'Base Prueba'!A:C,3,),"NO REGISTRA")</f>
        <v>CINDY LORENA BOHORQUEZ LEYVA</v>
      </c>
      <c r="D1024" s="4" t="str">
        <f>IFERROR(VLOOKUP(A1024,'Base Prueba'!A:D,4,),"NO REGISTRA")</f>
        <v>ANALISTA DE TESORERIA</v>
      </c>
      <c r="E1024" s="5" t="str">
        <f>IFERROR(VLOOKUP(A1024,'Base Prueba'!A:E,5,),"NO REGISTRA")</f>
        <v>AREA FINANCIERA Y CONTABLE</v>
      </c>
    </row>
    <row r="1025" spans="1:5" ht="15.75" x14ac:dyDescent="0.25">
      <c r="A1025" s="10">
        <v>1022996882</v>
      </c>
      <c r="B1025" s="2">
        <v>46044.334407754628</v>
      </c>
      <c r="C1025" s="3" t="str">
        <f>IFERROR(VLOOKUP(A1025,'Base Prueba'!A:C,3,),"NO REGISTRA")</f>
        <v>NANCY BRIGITH ALDANA GUEVARA</v>
      </c>
      <c r="D1025" s="4" t="str">
        <f>IFERROR(VLOOKUP(A1025,'Base Prueba'!A:D,4,),"NO REGISTRA")</f>
        <v>COORDINADORA DE GESTIÓN HUMANA</v>
      </c>
      <c r="E1025" s="5" t="str">
        <f>IFERROR(VLOOKUP(A1025,'Base Prueba'!A:E,5,),"NO REGISTRA")</f>
        <v>DEPARTAMENTO DE GESTION HUMANA</v>
      </c>
    </row>
    <row r="1026" spans="1:5" ht="15.75" x14ac:dyDescent="0.25">
      <c r="A1026" s="10">
        <v>1000354041</v>
      </c>
      <c r="B1026" s="2">
        <v>46044.336029398146</v>
      </c>
      <c r="C1026" s="3" t="str">
        <f>IFERROR(VLOOKUP(A1026,'Base Prueba'!A:C,3,),"NO REGISTRA")</f>
        <v>ANGIE NATALIA BOHORQUEZ SANCHEZ</v>
      </c>
      <c r="D1026" s="4" t="str">
        <f>IFERROR(VLOOKUP(A1026,'Base Prueba'!A:D,4,),"NO REGISTRA")</f>
        <v>APRENDIZ UNIVERSITARIO</v>
      </c>
      <c r="E1026" s="5" t="str">
        <f>IFERROR(VLOOKUP(A1026,'Base Prueba'!A:E,5,),"NO REGISTRA")</f>
        <v>OFICINA DE PLANEACION Y GESTION DE LA CALIDAD</v>
      </c>
    </row>
    <row r="1027" spans="1:5" ht="15.75" x14ac:dyDescent="0.25">
      <c r="A1027" s="10">
        <v>1000604979</v>
      </c>
      <c r="B1027" s="2">
        <v>46044.336439930557</v>
      </c>
      <c r="C1027" s="3" t="str">
        <f>IFERROR(VLOOKUP(A1027,'Base Prueba'!A:C,3,),"NO REGISTRA")</f>
        <v>JULIETH TATIANA PARDO PINTO</v>
      </c>
      <c r="D1027" s="4" t="str">
        <f>IFERROR(VLOOKUP(A1027,'Base Prueba'!A:D,4,),"NO REGISTRA")</f>
        <v>AUXILIAR JURIDICO</v>
      </c>
      <c r="E1027" s="5" t="str">
        <f>IFERROR(VLOOKUP(A1027,'Base Prueba'!A:E,5,),"NO REGISTRA")</f>
        <v>SECRETARIA GENERAL</v>
      </c>
    </row>
    <row r="1028" spans="1:5" ht="15.75" x14ac:dyDescent="0.25">
      <c r="A1028" s="10">
        <v>1000257136</v>
      </c>
      <c r="B1028" s="2">
        <v>46044.338983333335</v>
      </c>
      <c r="C1028" s="3" t="str">
        <f>IFERROR(VLOOKUP(A1028,'Base Prueba'!A:C,3,),"NO REGISTRA")</f>
        <v>FRANCI VALENTINA CANO PUENTES</v>
      </c>
      <c r="D1028" s="4" t="str">
        <f>IFERROR(VLOOKUP(A1028,'Base Prueba'!A:D,4,),"NO REGISTRA")</f>
        <v>AUXILIAR CONTABLE</v>
      </c>
      <c r="E1028" s="5" t="str">
        <f>IFERROR(VLOOKUP(A1028,'Base Prueba'!A:E,5,),"NO REGISTRA")</f>
        <v>AREA FINANCIERA Y CONTABLE</v>
      </c>
    </row>
    <row r="1029" spans="1:5" ht="15.75" x14ac:dyDescent="0.25">
      <c r="A1029" s="10">
        <v>1023883232</v>
      </c>
      <c r="B1029" s="2">
        <v>46044.340302199074</v>
      </c>
      <c r="C1029" s="3" t="str">
        <f>IFERROR(VLOOKUP(A1029,'Base Prueba'!A:C,3,),"NO REGISTRA")</f>
        <v>MONICA ANDREA ACERO URBANO</v>
      </c>
      <c r="D1029" s="4" t="str">
        <f>IFERROR(VLOOKUP(A1029,'Base Prueba'!A:D,4,),"NO REGISTRA")</f>
        <v>APOYO INTEGRAL A GESTION HUMANA</v>
      </c>
      <c r="E1029" s="5" t="str">
        <f>IFERROR(VLOOKUP(A1029,'Base Prueba'!A:E,5,),"NO REGISTRA")</f>
        <v>DEPARTAMENTO DE GESTION HUMANA</v>
      </c>
    </row>
    <row r="1030" spans="1:5" ht="15.75" x14ac:dyDescent="0.25">
      <c r="A1030" s="10">
        <v>1193457976</v>
      </c>
      <c r="B1030" s="2">
        <v>46044.341861111112</v>
      </c>
      <c r="C1030" s="3" t="str">
        <f>IFERROR(VLOOKUP(A1030,'Base Prueba'!A:C,3,),"NO REGISTRA")</f>
        <v>SEDENIS RIVAS ASPRILLA</v>
      </c>
      <c r="D1030" s="4" t="str">
        <f>IFERROR(VLOOKUP(A1030,'Base Prueba'!A:D,4,),"NO REGISTRA")</f>
        <v>APRENDIZ UNIVERSITARIO</v>
      </c>
      <c r="E1030" s="5" t="str">
        <f>IFERROR(VLOOKUP(A1030,'Base Prueba'!A:E,5,),"NO REGISTRA")</f>
        <v>DEPARTAMENTO DE GESTION HUMANA</v>
      </c>
    </row>
    <row r="1031" spans="1:5" ht="15.75" x14ac:dyDescent="0.25">
      <c r="A1031" s="10">
        <v>1014977624</v>
      </c>
      <c r="B1031" s="2">
        <v>46044.343580208333</v>
      </c>
      <c r="C1031" s="3" t="str">
        <f>IFERROR(VLOOKUP(A1031,'Base Prueba'!A:C,3,),"NO REGISTRA")</f>
        <v>NICCOLE VALENTINA HERNANDEZ MALAVER</v>
      </c>
      <c r="D1031" s="4" t="str">
        <f>IFERROR(VLOOKUP(A1031,'Base Prueba'!A:D,4,),"NO REGISTRA")</f>
        <v>APRENDIZ UNIVERSITARIO</v>
      </c>
      <c r="E1031" s="5" t="str">
        <f>IFERROR(VLOOKUP(A1031,'Base Prueba'!A:E,5,),"NO REGISTRA")</f>
        <v>AREA FINANCIERA Y CONTABLE</v>
      </c>
    </row>
    <row r="1032" spans="1:5" ht="15.75" x14ac:dyDescent="0.25">
      <c r="A1032" s="10">
        <v>1013098645</v>
      </c>
      <c r="B1032" s="2">
        <v>46044.344536111108</v>
      </c>
      <c r="C1032" s="3" t="str">
        <f>IFERROR(VLOOKUP(A1032,'Base Prueba'!A:C,3,),"NO REGISTRA")</f>
        <v>CATHERINE LUCIA PENAGOS RIVERA</v>
      </c>
      <c r="D1032" s="4" t="str">
        <f>IFERROR(VLOOKUP(A1032,'Base Prueba'!A:D,4,),"NO REGISTRA")</f>
        <v>LIDER DE REGISTRO Y CONTROL ACADEMICO</v>
      </c>
      <c r="E1032" s="5" t="str">
        <f>IFERROR(VLOOKUP(A1032,'Base Prueba'!A:E,5,),"NO REGISTRA")</f>
        <v>REGISTRO Y CONTROL ACADEMICO</v>
      </c>
    </row>
    <row r="1033" spans="1:5" ht="15.75" x14ac:dyDescent="0.25">
      <c r="A1033" s="10">
        <v>1026599257</v>
      </c>
      <c r="B1033" s="2">
        <v>46044.345310532408</v>
      </c>
      <c r="C1033" s="3" t="str">
        <f>IFERROR(VLOOKUP(A1033,'Base Prueba'!A:C,3,),"NO REGISTRA")</f>
        <v>YESENIA PAOLA PINEDA HURTADO</v>
      </c>
      <c r="D1033" s="4" t="str">
        <f>IFERROR(VLOOKUP(A1033,'Base Prueba'!A:D,4,),"NO REGISTRA")</f>
        <v>LIDER DE COMPRAS</v>
      </c>
      <c r="E1033" s="5" t="str">
        <f>IFERROR(VLOOKUP(A1033,'Base Prueba'!A:E,5,),"NO REGISTRA")</f>
        <v>AREA ADMINISTRATIVA</v>
      </c>
    </row>
    <row r="1034" spans="1:5" ht="15.75" x14ac:dyDescent="0.25">
      <c r="A1034" s="10">
        <v>80238161</v>
      </c>
      <c r="B1034" s="2">
        <v>46044.34539884259</v>
      </c>
      <c r="C1034" s="3" t="str">
        <f>IFERROR(VLOOKUP(A1034,'Base Prueba'!A:C,3,),"NO REGISTRA")</f>
        <v>GERMAN CARRANZA ESPITIA</v>
      </c>
      <c r="D1034" s="4" t="str">
        <f>IFERROR(VLOOKUP(A1034,'Base Prueba'!A:D,4,),"NO REGISTRA")</f>
        <v>TESORERO</v>
      </c>
      <c r="E1034" s="5" t="str">
        <f>IFERROR(VLOOKUP(A1034,'Base Prueba'!A:E,5,),"NO REGISTRA")</f>
        <v>AREA FINANCIERA Y CONTABLE</v>
      </c>
    </row>
    <row r="1035" spans="1:5" ht="15.75" x14ac:dyDescent="0.25">
      <c r="A1035" s="10">
        <v>53932358</v>
      </c>
      <c r="B1035" s="2">
        <v>46044.348651851855</v>
      </c>
      <c r="C1035" s="3" t="str">
        <f>IFERROR(VLOOKUP(A1035,'Base Prueba'!A:C,3,),"NO REGISTRA")</f>
        <v>DIANA MADELEYNE GAONA RODRIGUEZ</v>
      </c>
      <c r="D1035" s="4" t="str">
        <f>IFERROR(VLOOKUP(A1035,'Base Prueba'!A:D,4,),"NO REGISTRA")</f>
        <v>CONTADOR</v>
      </c>
      <c r="E1035" s="5" t="str">
        <f>IFERROR(VLOOKUP(A1035,'Base Prueba'!A:E,5,),"NO REGISTRA")</f>
        <v>AREA FINANCIERA Y CONTABLE</v>
      </c>
    </row>
    <row r="1036" spans="1:5" ht="15.75" x14ac:dyDescent="0.25">
      <c r="A1036" s="10">
        <v>1000457706</v>
      </c>
      <c r="B1036" s="2">
        <v>46044.349412962962</v>
      </c>
      <c r="C1036" s="3" t="str">
        <f>IFERROR(VLOOKUP(A1036,'Base Prueba'!A:C,3,),"NO REGISTRA")</f>
        <v>CRISTIAN DANILO ARROYO SANABRIA</v>
      </c>
      <c r="D1036" s="4" t="str">
        <f>IFERROR(VLOOKUP(A1036,'Base Prueba'!A:D,4,),"NO REGISTRA")</f>
        <v>AUXILIAR CONTABLE</v>
      </c>
      <c r="E1036" s="5" t="str">
        <f>IFERROR(VLOOKUP(A1036,'Base Prueba'!A:E,5,),"NO REGISTRA")</f>
        <v>AREA FINANCIERA Y CONTABLE</v>
      </c>
    </row>
    <row r="1037" spans="1:5" ht="15.75" x14ac:dyDescent="0.25">
      <c r="A1037" s="10">
        <v>1024505434</v>
      </c>
      <c r="B1037" s="2">
        <v>46044.354686805556</v>
      </c>
      <c r="C1037" s="3" t="str">
        <f>IFERROR(VLOOKUP(A1037,'Base Prueba'!A:C,3,),"NO REGISTRA")</f>
        <v>CRISTIAN ALBERTO MELO TORRES</v>
      </c>
      <c r="D1037" s="4" t="str">
        <f>IFERROR(VLOOKUP(A1037,'Base Prueba'!A:D,4,),"NO REGISTRA")</f>
        <v>COORDINADOR DE INFRAESTRUCTURA</v>
      </c>
      <c r="E1037" s="5" t="str">
        <f>IFERROR(VLOOKUP(A1037,'Base Prueba'!A:E,5,),"NO REGISTRA")</f>
        <v>VICERRECTORIA ADMINISTRATIVA Y FINANCIERA</v>
      </c>
    </row>
    <row r="1038" spans="1:5" ht="15.75" x14ac:dyDescent="0.25">
      <c r="A1038" s="10">
        <v>80234243</v>
      </c>
      <c r="B1038" s="2">
        <v>46044.35792858796</v>
      </c>
      <c r="C1038" s="3" t="str">
        <f>IFERROR(VLOOKUP(A1038,'Base Prueba'!A:C,3,),"NO REGISTRA")</f>
        <v>ARGENIS MARTINEZ MARTINEZ</v>
      </c>
      <c r="D1038" s="4" t="str">
        <f>IFERROR(VLOOKUP(A1038,'Base Prueba'!A:D,4,),"NO REGISTRA")</f>
        <v>LIDER CALL CENTER</v>
      </c>
      <c r="E1038" s="5" t="str">
        <f>IFERROR(VLOOKUP(A1038,'Base Prueba'!A:E,5,),"NO REGISTRA")</f>
        <v>OFICINA DE MERCADEO</v>
      </c>
    </row>
    <row r="1039" spans="1:5" ht="15.75" x14ac:dyDescent="0.25">
      <c r="A1039" s="10">
        <v>1032407386</v>
      </c>
      <c r="B1039" s="2">
        <v>46044.362992129631</v>
      </c>
      <c r="C1039" s="3" t="str">
        <f>IFERROR(VLOOKUP(A1039,'Base Prueba'!A:C,3,),"NO REGISTRA")</f>
        <v>GINA PAOLA BAEZ GALVIS</v>
      </c>
      <c r="D1039" s="4" t="str">
        <f>IFERROR(VLOOKUP(A1039,'Base Prueba'!A:D,4,),"NO REGISTRA")</f>
        <v>PROMOTOR CALL CENTER</v>
      </c>
      <c r="E1039" s="5" t="str">
        <f>IFERROR(VLOOKUP(A1039,'Base Prueba'!A:E,5,),"NO REGISTRA")</f>
        <v>OFICINA DE MERCADEO</v>
      </c>
    </row>
    <row r="1040" spans="1:5" ht="15.75" x14ac:dyDescent="0.25">
      <c r="A1040" s="10">
        <v>1033709056</v>
      </c>
      <c r="B1040" s="2">
        <v>46044.36361724537</v>
      </c>
      <c r="C1040" s="3" t="str">
        <f>IFERROR(VLOOKUP(A1040,'Base Prueba'!A:C,3,),"NO REGISTRA")</f>
        <v>YEIMY ALEXANDRA RODRIGUEZ PALACIO</v>
      </c>
      <c r="D1040" s="4" t="str">
        <f>IFERROR(VLOOKUP(A1040,'Base Prueba'!A:D,4,),"NO REGISTRA")</f>
        <v>PROMOTOR CALL CENTER</v>
      </c>
      <c r="E1040" s="5" t="str">
        <f>IFERROR(VLOOKUP(A1040,'Base Prueba'!A:E,5,),"NO REGISTRA")</f>
        <v>OFICINA DE MERCADEO</v>
      </c>
    </row>
    <row r="1041" spans="1:5" ht="15.75" x14ac:dyDescent="0.25">
      <c r="A1041" s="10">
        <v>1000593372</v>
      </c>
      <c r="B1041" s="2">
        <v>46044.364073842589</v>
      </c>
      <c r="C1041" s="3" t="str">
        <f>IFERROR(VLOOKUP(A1041,'Base Prueba'!A:C,3,),"NO REGISTRA")</f>
        <v>LAURA SOFIA CHAPARRO LOPEZ</v>
      </c>
      <c r="D1041" s="4" t="str">
        <f>IFERROR(VLOOKUP(A1041,'Base Prueba'!A:D,4,),"NO REGISTRA")</f>
        <v>AUXILIAR JURIDICO</v>
      </c>
      <c r="E1041" s="5" t="str">
        <f>IFERROR(VLOOKUP(A1041,'Base Prueba'!A:E,5,),"NO REGISTRA")</f>
        <v>SECRETARIA GENERAL</v>
      </c>
    </row>
    <row r="1042" spans="1:5" ht="15.75" x14ac:dyDescent="0.25">
      <c r="A1042" s="10">
        <v>1018413529</v>
      </c>
      <c r="B1042" s="2">
        <v>46044.364833217594</v>
      </c>
      <c r="C1042" s="3" t="str">
        <f>IFERROR(VLOOKUP(A1042,'Base Prueba'!A:C,3,),"NO REGISTRA")</f>
        <v>FRANCY STELLA CHARRY MORENO</v>
      </c>
      <c r="D1042" s="4" t="str">
        <f>IFERROR(VLOOKUP(A1042,'Base Prueba'!A:D,4,),"NO REGISTRA")</f>
        <v>PROMOTOR COMERCIAL DEL CEA</v>
      </c>
      <c r="E1042" s="5" t="str">
        <f>IFERROR(VLOOKUP(A1042,'Base Prueba'!A:E,5,),"NO REGISTRA")</f>
        <v>OFICINA DE MERCADEO</v>
      </c>
    </row>
    <row r="1043" spans="1:5" ht="15.75" x14ac:dyDescent="0.25">
      <c r="A1043" s="10">
        <v>1024549760</v>
      </c>
      <c r="B1043" s="2">
        <v>46044.366722685183</v>
      </c>
      <c r="C1043" s="3" t="str">
        <f>IFERROR(VLOOKUP(A1043,'Base Prueba'!A:C,3,),"NO REGISTRA")</f>
        <v>FRANCY YISETH JAIMES NEIRA</v>
      </c>
      <c r="D1043" s="4" t="str">
        <f>IFERROR(VLOOKUP(A1043,'Base Prueba'!A:D,4,),"NO REGISTRA")</f>
        <v>SECRETARIA ACADEMICA - ADMINISTRATIVA DE FACULTAD</v>
      </c>
      <c r="E1043" s="5" t="str">
        <f>IFERROR(VLOOKUP(A1043,'Base Prueba'!A:E,5,),"NO REGISTRA")</f>
        <v>FACULTAD DE COMINICACIÓN PERIODISMO Y ARTES</v>
      </c>
    </row>
    <row r="1044" spans="1:5" ht="15.75" x14ac:dyDescent="0.25">
      <c r="A1044" s="10">
        <v>1023961952</v>
      </c>
      <c r="B1044" s="2">
        <v>46044.369298148151</v>
      </c>
      <c r="C1044" s="3" t="str">
        <f>IFERROR(VLOOKUP(A1044,'Base Prueba'!A:C,3,),"NO REGISTRA")</f>
        <v>ALEJANDRO PINZON MERCHAN</v>
      </c>
      <c r="D1044" s="4" t="str">
        <f>IFERROR(VLOOKUP(A1044,'Base Prueba'!A:D,4,),"NO REGISTRA")</f>
        <v>PROMOTOR CALL CENTER</v>
      </c>
      <c r="E1044" s="5" t="str">
        <f>IFERROR(VLOOKUP(A1044,'Base Prueba'!A:E,5,),"NO REGISTRA")</f>
        <v>OFICINA DE MERCADEO</v>
      </c>
    </row>
    <row r="1045" spans="1:5" ht="15.75" x14ac:dyDescent="0.25">
      <c r="A1045" s="10">
        <v>1012426741</v>
      </c>
      <c r="B1045" s="2">
        <v>46044.371499537039</v>
      </c>
      <c r="C1045" s="3" t="str">
        <f>IFERROR(VLOOKUP(A1045,'Base Prueba'!A:C,3,),"NO REGISTRA")</f>
        <v>CRISTIAN FABIAN ROJAS SANCENO</v>
      </c>
      <c r="D1045" s="4" t="str">
        <f>IFERROR(VLOOKUP(A1045,'Base Prueba'!A:D,4,),"NO REGISTRA")</f>
        <v>AUXILIAR DE REINTEGROS</v>
      </c>
      <c r="E1045" s="5" t="str">
        <f>IFERROR(VLOOKUP(A1045,'Base Prueba'!A:E,5,),"NO REGISTRA")</f>
        <v>DIRECCION DE BIENESTAR INSTITUCIONAL</v>
      </c>
    </row>
    <row r="1046" spans="1:5" ht="15.75" x14ac:dyDescent="0.25">
      <c r="A1046" s="10">
        <v>1003690253</v>
      </c>
      <c r="B1046" s="2">
        <v>46044.372570486114</v>
      </c>
      <c r="C1046" s="3" t="str">
        <f>IFERROR(VLOOKUP(A1046,'Base Prueba'!A:C,3,),"NO REGISTRA")</f>
        <v>MELISSA GONZALEZ PEDRAZA</v>
      </c>
      <c r="D1046" s="4" t="str">
        <f>IFERROR(VLOOKUP(A1046,'Base Prueba'!A:D,4,),"NO REGISTRA")</f>
        <v>LIDER DE JOVENES A LA E</v>
      </c>
      <c r="E1046" s="5" t="str">
        <f>IFERROR(VLOOKUP(A1046,'Base Prueba'!A:E,5,),"NO REGISTRA")</f>
        <v>DIRECCION DE BIENESTAR INSTITUCIONAL</v>
      </c>
    </row>
    <row r="1047" spans="1:5" ht="15.75" x14ac:dyDescent="0.25">
      <c r="A1047" s="10">
        <v>52472386</v>
      </c>
      <c r="B1047" s="2">
        <v>46044.373822685186</v>
      </c>
      <c r="C1047" s="3" t="str">
        <f>IFERROR(VLOOKUP(A1047,'Base Prueba'!A:C,3,),"NO REGISTRA")</f>
        <v>ADRIANA MARCELA MORALES PARDO</v>
      </c>
      <c r="D1047" s="4" t="str">
        <f>IFERROR(VLOOKUP(A1047,'Base Prueba'!A:D,4,),"NO REGISTRA")</f>
        <v>PROMOTOR CALL CENTER</v>
      </c>
      <c r="E1047" s="5" t="str">
        <f>IFERROR(VLOOKUP(A1047,'Base Prueba'!A:E,5,),"NO REGISTRA")</f>
        <v>OFICINA DE MERCADEO</v>
      </c>
    </row>
    <row r="1048" spans="1:5" ht="15.75" x14ac:dyDescent="0.25">
      <c r="A1048" s="10">
        <v>1193265768</v>
      </c>
      <c r="B1048" s="2">
        <v>46044.37535613426</v>
      </c>
      <c r="C1048" s="3" t="str">
        <f>IFERROR(VLOOKUP(A1048,'Base Prueba'!A:C,3,),"NO REGISTRA")</f>
        <v>SANTIAGO OSORIO CAMACHO</v>
      </c>
      <c r="D1048" s="4" t="str">
        <f>IFERROR(VLOOKUP(A1048,'Base Prueba'!A:D,4,),"NO REGISTRA")</f>
        <v>ANALISTA DE PAUTA</v>
      </c>
      <c r="E1048" s="5" t="str">
        <f>IFERROR(VLOOKUP(A1048,'Base Prueba'!A:E,5,),"NO REGISTRA")</f>
        <v>OFICINA DE MERCADEO</v>
      </c>
    </row>
    <row r="1049" spans="1:5" ht="15.75" x14ac:dyDescent="0.25">
      <c r="A1049" s="10">
        <v>28798349</v>
      </c>
      <c r="B1049" s="2">
        <v>46044.379160185184</v>
      </c>
      <c r="C1049" s="3" t="str">
        <f>IFERROR(VLOOKUP(A1049,'Base Prueba'!A:C,3,),"NO REGISTRA")</f>
        <v>MARTHA ISABEL TOVAR WILLIAMS</v>
      </c>
      <c r="D1049" s="4" t="str">
        <f>IFERROR(VLOOKUP(A1049,'Base Prueba'!A:D,4,),"NO REGISTRA")</f>
        <v>PROMOTOR CALL CENTER</v>
      </c>
      <c r="E1049" s="5" t="str">
        <f>IFERROR(VLOOKUP(A1049,'Base Prueba'!A:E,5,),"NO REGISTRA")</f>
        <v>OFICINA DE MERCADEO</v>
      </c>
    </row>
    <row r="1050" spans="1:5" ht="15.75" x14ac:dyDescent="0.25">
      <c r="A1050" s="10">
        <v>1018414290</v>
      </c>
      <c r="B1050" s="2">
        <v>46044.379221990741</v>
      </c>
      <c r="C1050" s="3" t="str">
        <f>IFERROR(VLOOKUP(A1050,'Base Prueba'!A:C,3,),"NO REGISTRA")</f>
        <v>AMANDA LISBETH RODRIGUEZ LEON</v>
      </c>
      <c r="D1050" s="4" t="str">
        <f>IFERROR(VLOOKUP(A1050,'Base Prueba'!A:D,4,),"NO REGISTRA")</f>
        <v>PROMOTOR CALL CENTER</v>
      </c>
      <c r="E1050" s="5" t="str">
        <f>IFERROR(VLOOKUP(A1050,'Base Prueba'!A:E,5,),"NO REGISTRA")</f>
        <v>OFICINA DE MERCADEO</v>
      </c>
    </row>
    <row r="1051" spans="1:5" ht="15.75" x14ac:dyDescent="0.25">
      <c r="A1051" s="10">
        <v>1019105003</v>
      </c>
      <c r="B1051" s="2">
        <v>46044.379273379629</v>
      </c>
      <c r="C1051" s="3" t="str">
        <f>IFERROR(VLOOKUP(A1051,'Base Prueba'!A:C,3,),"NO REGISTRA")</f>
        <v>DAISY JULIETH GASPAR MORENO</v>
      </c>
      <c r="D1051" s="4" t="str">
        <f>IFERROR(VLOOKUP(A1051,'Base Prueba'!A:D,4,),"NO REGISTRA")</f>
        <v>PROMOTOR CALL CENTER</v>
      </c>
      <c r="E1051" s="5" t="str">
        <f>IFERROR(VLOOKUP(A1051,'Base Prueba'!A:E,5,),"NO REGISTRA")</f>
        <v>OFICINA DE MERCADEO</v>
      </c>
    </row>
    <row r="1052" spans="1:5" ht="15.75" x14ac:dyDescent="0.25">
      <c r="A1052" s="10">
        <v>53089882</v>
      </c>
      <c r="B1052" s="2">
        <v>46044.379392708332</v>
      </c>
      <c r="C1052" s="3" t="str">
        <f>IFERROR(VLOOKUP(A1052,'Base Prueba'!A:C,3,),"NO REGISTRA")</f>
        <v>MARIA JOHANA ESCAMILLA MARTINEZ</v>
      </c>
      <c r="D1052" s="4" t="str">
        <f>IFERROR(VLOOKUP(A1052,'Base Prueba'!A:D,4,),"NO REGISTRA")</f>
        <v>PROMOTOR DE INFORMACIÓN</v>
      </c>
      <c r="E1052" s="5" t="str">
        <f>IFERROR(VLOOKUP(A1052,'Base Prueba'!A:E,5,),"NO REGISTRA")</f>
        <v>OFICINA DE MERCADEO</v>
      </c>
    </row>
    <row r="1053" spans="1:5" ht="15.75" x14ac:dyDescent="0.25">
      <c r="A1053" s="10">
        <v>1014196857</v>
      </c>
      <c r="B1053" s="2">
        <v>46044.379719328703</v>
      </c>
      <c r="C1053" s="3" t="str">
        <f>IFERROR(VLOOKUP(A1053,'Base Prueba'!A:C,3,),"NO REGISTRA")</f>
        <v>CARLOS ANDRES JIMENEZ PARDO</v>
      </c>
      <c r="D1053" s="4" t="str">
        <f>IFERROR(VLOOKUP(A1053,'Base Prueba'!A:D,4,),"NO REGISTRA")</f>
        <v>COORDINADOR DE MARKETING DIGITAL</v>
      </c>
      <c r="E1053" s="5" t="str">
        <f>IFERROR(VLOOKUP(A1053,'Base Prueba'!A:E,5,),"NO REGISTRA")</f>
        <v>OFICINA DE MERCADEO</v>
      </c>
    </row>
    <row r="1054" spans="1:5" ht="15.75" x14ac:dyDescent="0.25">
      <c r="A1054" s="10">
        <v>52764929</v>
      </c>
      <c r="B1054" s="2">
        <v>46044.382968518519</v>
      </c>
      <c r="C1054" s="3" t="str">
        <f>IFERROR(VLOOKUP(A1054,'Base Prueba'!A:C,3,),"NO REGISTRA")</f>
        <v>GUERLY YOHANA DURAN RIVERA</v>
      </c>
      <c r="D1054" s="4" t="str">
        <f>IFERROR(VLOOKUP(A1054,'Base Prueba'!A:D,4,),"NO REGISTRA")</f>
        <v>LIDER DE VINCULACION COLEGIOS</v>
      </c>
      <c r="E1054" s="5" t="str">
        <f>IFERROR(VLOOKUP(A1054,'Base Prueba'!A:E,5,),"NO REGISTRA")</f>
        <v>OFICINA DE MERCADEO</v>
      </c>
    </row>
    <row r="1055" spans="1:5" ht="15.75" x14ac:dyDescent="0.25">
      <c r="A1055" s="10">
        <v>1014308296</v>
      </c>
      <c r="B1055" s="2">
        <v>46044.410945138887</v>
      </c>
      <c r="C1055" s="3" t="str">
        <f>IFERROR(VLOOKUP(A1055,'Base Prueba'!A:C,3,),"NO REGISTRA")</f>
        <v>DARLENE YULIANA MORENO CELEITA</v>
      </c>
      <c r="D1055" s="4" t="str">
        <f>IFERROR(VLOOKUP(A1055,'Base Prueba'!A:D,4,),"NO REGISTRA")</f>
        <v>CAJERO PRINCIPAL</v>
      </c>
      <c r="E1055" s="5" t="str">
        <f>IFERROR(VLOOKUP(A1055,'Base Prueba'!A:E,5,),"NO REGISTRA")</f>
        <v>AREA FINANCIERA Y CONTABLE</v>
      </c>
    </row>
    <row r="1056" spans="1:5" ht="15.75" x14ac:dyDescent="0.25">
      <c r="A1056" s="10">
        <v>1031802160</v>
      </c>
      <c r="B1056" s="2">
        <v>46044.705202083336</v>
      </c>
      <c r="C1056" s="3" t="str">
        <f>IFERROR(VLOOKUP(A1056,'Base Prueba'!A:C,3,),"NO REGISTRA")</f>
        <v>LUISA MARIA MAHECHA SOTOMAYOR</v>
      </c>
      <c r="D1056" s="4" t="str">
        <f>IFERROR(VLOOKUP(A1056,'Base Prueba'!A:D,4,),"NO REGISTRA")</f>
        <v>APRENDIZ UNIVERSITARIO</v>
      </c>
      <c r="E1056" s="5" t="str">
        <f>IFERROR(VLOOKUP(A1056,'Base Prueba'!A:E,5,),"NO REGISTRA")</f>
        <v>OFICINA DE MERCADEO</v>
      </c>
    </row>
    <row r="1057" spans="1:5" ht="15.75" x14ac:dyDescent="0.25">
      <c r="A1057" s="10">
        <v>52735929</v>
      </c>
      <c r="B1057" s="2">
        <v>46044.733943749998</v>
      </c>
      <c r="C1057" s="3" t="str">
        <f>IFERROR(VLOOKUP(A1057,'Base Prueba'!A:C,3,),"NO REGISTRA")</f>
        <v>JEIMMY AREVALO MELO</v>
      </c>
      <c r="D1057" s="4" t="str">
        <f>IFERROR(VLOOKUP(A1057,'Base Prueba'!A:D,4,),"NO REGISTRA")</f>
        <v>COORDINADOR DE BIBLIOTECA</v>
      </c>
      <c r="E1057" s="5" t="str">
        <f>IFERROR(VLOOKUP(A1057,'Base Prueba'!A:E,5,),"NO REGISTRA")</f>
        <v>BIBLIOTECA</v>
      </c>
    </row>
    <row r="1058" spans="1:5" ht="15.75" x14ac:dyDescent="0.25">
      <c r="A1058" s="10">
        <v>1000354041</v>
      </c>
      <c r="B1058" s="2">
        <v>46044.747135532409</v>
      </c>
      <c r="C1058" s="3" t="str">
        <f>IFERROR(VLOOKUP(A1058,'Base Prueba'!A:C,3,),"NO REGISTRA")</f>
        <v>ANGIE NATALIA BOHORQUEZ SANCHEZ</v>
      </c>
      <c r="D1058" s="4" t="str">
        <f>IFERROR(VLOOKUP(A1058,'Base Prueba'!A:D,4,),"NO REGISTRA")</f>
        <v>APRENDIZ UNIVERSITARIO</v>
      </c>
      <c r="E1058" s="5" t="str">
        <f>IFERROR(VLOOKUP(A1058,'Base Prueba'!A:E,5,),"NO REGISTRA")</f>
        <v>OFICINA DE PLANEACION Y GESTION DE LA CALIDAD</v>
      </c>
    </row>
    <row r="1059" spans="1:5" ht="15.75" x14ac:dyDescent="0.25">
      <c r="A1059" s="10">
        <v>1024505434</v>
      </c>
      <c r="B1059" s="2">
        <v>46044.748845254631</v>
      </c>
      <c r="C1059" s="3" t="str">
        <f>IFERROR(VLOOKUP(A1059,'Base Prueba'!A:C,3,),"NO REGISTRA")</f>
        <v>CRISTIAN ALBERTO MELO TORRES</v>
      </c>
      <c r="D1059" s="4" t="str">
        <f>IFERROR(VLOOKUP(A1059,'Base Prueba'!A:D,4,),"NO REGISTRA")</f>
        <v>COORDINADOR DE INFRAESTRUCTURA</v>
      </c>
      <c r="E1059" s="5" t="str">
        <f>IFERROR(VLOOKUP(A1059,'Base Prueba'!A:E,5,),"NO REGISTRA")</f>
        <v>VICERRECTORIA ADMINISTRATIVA Y FINANCIERA</v>
      </c>
    </row>
    <row r="1060" spans="1:5" ht="15.75" x14ac:dyDescent="0.25">
      <c r="A1060" s="10">
        <v>1000365751</v>
      </c>
      <c r="B1060" s="2">
        <v>46044.750592476848</v>
      </c>
      <c r="C1060" s="3" t="str">
        <f>IFERROR(VLOOKUP(A1060,'Base Prueba'!A:C,3,),"NO REGISTRA")</f>
        <v>JHOAN NICOLAS ESCAMILLA MANJARRES</v>
      </c>
      <c r="D1060" s="4" t="str">
        <f>IFERROR(VLOOKUP(A1060,'Base Prueba'!A:D,4,),"NO REGISTRA")</f>
        <v>APRENDIZ UNIVERSITARIO</v>
      </c>
      <c r="E1060" s="5" t="str">
        <f>IFERROR(VLOOKUP(A1060,'Base Prueba'!A:E,5,),"NO REGISTRA")</f>
        <v>OFICINA DE MERCADEO</v>
      </c>
    </row>
    <row r="1061" spans="1:5" ht="15.75" x14ac:dyDescent="0.25">
      <c r="A1061" s="10">
        <v>1014196857</v>
      </c>
      <c r="B1061" s="2">
        <v>46044.75299375</v>
      </c>
      <c r="C1061" s="3" t="str">
        <f>IFERROR(VLOOKUP(A1061,'Base Prueba'!A:C,3,),"NO REGISTRA")</f>
        <v>CARLOS ANDRES JIMENEZ PARDO</v>
      </c>
      <c r="D1061" s="4" t="str">
        <f>IFERROR(VLOOKUP(A1061,'Base Prueba'!A:D,4,),"NO REGISTRA")</f>
        <v>COORDINADOR DE MARKETING DIGITAL</v>
      </c>
      <c r="E1061" s="5" t="str">
        <f>IFERROR(VLOOKUP(A1061,'Base Prueba'!A:E,5,),"NO REGISTRA")</f>
        <v>OFICINA DE MERCADEO</v>
      </c>
    </row>
    <row r="1062" spans="1:5" ht="15.75" x14ac:dyDescent="0.25">
      <c r="A1062" s="10">
        <v>1000467399</v>
      </c>
      <c r="B1062" s="2">
        <v>46044.753205787034</v>
      </c>
      <c r="C1062" s="3" t="str">
        <f>IFERROR(VLOOKUP(A1062,'Base Prueba'!A:C,3,),"NO REGISTRA")</f>
        <v>BRANDO ESTIVEN DIAZ QUIMBAYA</v>
      </c>
      <c r="D1062" s="4" t="str">
        <f>IFERROR(VLOOKUP(A1062,'Base Prueba'!A:D,4,),"NO REGISTRA")</f>
        <v>APRENDIZ UNIVERSITARIO</v>
      </c>
      <c r="E1062" s="5" t="str">
        <f>IFERROR(VLOOKUP(A1062,'Base Prueba'!A:E,5,),"NO REGISTRA")</f>
        <v>DEPARTAMENTO DE GESTION HUMANA</v>
      </c>
    </row>
    <row r="1063" spans="1:5" ht="15.75" x14ac:dyDescent="0.25">
      <c r="A1063" s="10">
        <v>1193457976</v>
      </c>
      <c r="B1063" s="2">
        <v>46044.75393240741</v>
      </c>
      <c r="C1063" s="3" t="str">
        <f>IFERROR(VLOOKUP(A1063,'Base Prueba'!A:C,3,),"NO REGISTRA")</f>
        <v>SEDENIS RIVAS ASPRILLA</v>
      </c>
      <c r="D1063" s="4" t="str">
        <f>IFERROR(VLOOKUP(A1063,'Base Prueba'!A:D,4,),"NO REGISTRA")</f>
        <v>APRENDIZ UNIVERSITARIO</v>
      </c>
      <c r="E1063" s="5" t="str">
        <f>IFERROR(VLOOKUP(A1063,'Base Prueba'!A:E,5,),"NO REGISTRA")</f>
        <v>DEPARTAMENTO DE GESTION HUMANA</v>
      </c>
    </row>
    <row r="1064" spans="1:5" ht="15.75" x14ac:dyDescent="0.25">
      <c r="A1064" s="10">
        <v>1049644802</v>
      </c>
      <c r="B1064" s="2">
        <v>46044.754250115744</v>
      </c>
      <c r="C1064" s="3" t="str">
        <f>IFERROR(VLOOKUP(A1064,'Base Prueba'!A:C,3,),"NO REGISTRA")</f>
        <v>DANIELA ALEXANDRA CIPAMOCHA BOSIGA</v>
      </c>
      <c r="D1064" s="4" t="str">
        <f>IFERROR(VLOOKUP(A1064,'Base Prueba'!A:D,4,),"NO REGISTRA")</f>
        <v>LIDER DE DATOS Y SERVICIOS</v>
      </c>
      <c r="E1064" s="5" t="str">
        <f>IFERROR(VLOOKUP(A1064,'Base Prueba'!A:E,5,),"NO REGISTRA")</f>
        <v>OFICINA DE PLANEACION Y GESTION DE LA CALIDAD</v>
      </c>
    </row>
    <row r="1065" spans="1:5" ht="15.75" x14ac:dyDescent="0.25">
      <c r="A1065" s="10">
        <v>1000593372</v>
      </c>
      <c r="B1065" s="2">
        <v>46044.755880208337</v>
      </c>
      <c r="C1065" s="3" t="str">
        <f>IFERROR(VLOOKUP(A1065,'Base Prueba'!A:C,3,),"NO REGISTRA")</f>
        <v>LAURA SOFIA CHAPARRO LOPEZ</v>
      </c>
      <c r="D1065" s="4" t="str">
        <f>IFERROR(VLOOKUP(A1065,'Base Prueba'!A:D,4,),"NO REGISTRA")</f>
        <v>AUXILIAR JURIDICO</v>
      </c>
      <c r="E1065" s="5" t="str">
        <f>IFERROR(VLOOKUP(A1065,'Base Prueba'!A:E,5,),"NO REGISTRA")</f>
        <v>SECRETARIA GENERAL</v>
      </c>
    </row>
    <row r="1066" spans="1:5" ht="15.75" x14ac:dyDescent="0.25">
      <c r="A1066" s="10">
        <v>1000604979</v>
      </c>
      <c r="B1066" s="2">
        <v>46044.755970254628</v>
      </c>
      <c r="C1066" s="3" t="str">
        <f>IFERROR(VLOOKUP(A1066,'Base Prueba'!A:C,3,),"NO REGISTRA")</f>
        <v>JULIETH TATIANA PARDO PINTO</v>
      </c>
      <c r="D1066" s="4" t="str">
        <f>IFERROR(VLOOKUP(A1066,'Base Prueba'!A:D,4,),"NO REGISTRA")</f>
        <v>AUXILIAR JURIDICO</v>
      </c>
      <c r="E1066" s="5" t="str">
        <f>IFERROR(VLOOKUP(A1066,'Base Prueba'!A:E,5,),"NO REGISTRA")</f>
        <v>SECRETARIA GENERAL</v>
      </c>
    </row>
    <row r="1067" spans="1:5" ht="15.75" x14ac:dyDescent="0.25">
      <c r="A1067" s="10">
        <v>1026599257</v>
      </c>
      <c r="B1067" s="2">
        <v>46044.756752777779</v>
      </c>
      <c r="C1067" s="3" t="str">
        <f>IFERROR(VLOOKUP(A1067,'Base Prueba'!A:C,3,),"NO REGISTRA")</f>
        <v>YESENIA PAOLA PINEDA HURTADO</v>
      </c>
      <c r="D1067" s="4" t="str">
        <f>IFERROR(VLOOKUP(A1067,'Base Prueba'!A:D,4,),"NO REGISTRA")</f>
        <v>LIDER DE COMPRAS</v>
      </c>
      <c r="E1067" s="5" t="str">
        <f>IFERROR(VLOOKUP(A1067,'Base Prueba'!A:E,5,),"NO REGISTRA")</f>
        <v>AREA ADMINISTRATIVA</v>
      </c>
    </row>
    <row r="1068" spans="1:5" ht="15.75" x14ac:dyDescent="0.25">
      <c r="A1068" s="10">
        <v>1003690253</v>
      </c>
      <c r="B1068" s="2">
        <v>46044.756882638889</v>
      </c>
      <c r="C1068" s="3" t="str">
        <f>IFERROR(VLOOKUP(A1068,'Base Prueba'!A:C,3,),"NO REGISTRA")</f>
        <v>MELISSA GONZALEZ PEDRAZA</v>
      </c>
      <c r="D1068" s="4" t="str">
        <f>IFERROR(VLOOKUP(A1068,'Base Prueba'!A:D,4,),"NO REGISTRA")</f>
        <v>LIDER DE JOVENES A LA E</v>
      </c>
      <c r="E1068" s="5" t="str">
        <f>IFERROR(VLOOKUP(A1068,'Base Prueba'!A:E,5,),"NO REGISTRA")</f>
        <v>DIRECCION DE BIENESTAR INSTITUCIONAL</v>
      </c>
    </row>
    <row r="1069" spans="1:5" ht="15.75" x14ac:dyDescent="0.25">
      <c r="A1069" s="10">
        <v>1023883232</v>
      </c>
      <c r="B1069" s="2">
        <v>46044.757048148145</v>
      </c>
      <c r="C1069" s="3" t="str">
        <f>IFERROR(VLOOKUP(A1069,'Base Prueba'!A:C,3,),"NO REGISTRA")</f>
        <v>MONICA ANDREA ACERO URBANO</v>
      </c>
      <c r="D1069" s="4" t="str">
        <f>IFERROR(VLOOKUP(A1069,'Base Prueba'!A:D,4,),"NO REGISTRA")</f>
        <v>APOYO INTEGRAL A GESTION HUMANA</v>
      </c>
      <c r="E1069" s="5" t="str">
        <f>IFERROR(VLOOKUP(A1069,'Base Prueba'!A:E,5,),"NO REGISTRA")</f>
        <v>DEPARTAMENTO DE GESTION HUMANA</v>
      </c>
    </row>
    <row r="1070" spans="1:5" ht="15.75" x14ac:dyDescent="0.25">
      <c r="A1070" s="10">
        <v>1087121273</v>
      </c>
      <c r="B1070" s="2">
        <v>46044.757889814813</v>
      </c>
      <c r="C1070" s="3" t="str">
        <f>IFERROR(VLOOKUP(A1070,'Base Prueba'!A:C,3,),"NO REGISTRA")</f>
        <v>MAYRA ALEJANDRA CASTILLO ARBOLEDA</v>
      </c>
      <c r="D1070" s="4" t="str">
        <f>IFERROR(VLOOKUP(A1070,'Base Prueba'!A:D,4,),"NO REGISTRA")</f>
        <v>APOYO INTEGRAL DE MERCADEO</v>
      </c>
      <c r="E1070" s="5" t="str">
        <f>IFERROR(VLOOKUP(A1070,'Base Prueba'!A:E,5,),"NO REGISTRA")</f>
        <v>CENTRO DE GESTION DOCUMENTAL</v>
      </c>
    </row>
    <row r="1071" spans="1:5" ht="15.75" x14ac:dyDescent="0.25">
      <c r="A1071" s="10">
        <v>1019105003</v>
      </c>
      <c r="B1071" s="2">
        <v>46044.757909143518</v>
      </c>
      <c r="C1071" s="3" t="str">
        <f>IFERROR(VLOOKUP(A1071,'Base Prueba'!A:C,3,),"NO REGISTRA")</f>
        <v>DAISY JULIETH GASPAR MORENO</v>
      </c>
      <c r="D1071" s="4" t="str">
        <f>IFERROR(VLOOKUP(A1071,'Base Prueba'!A:D,4,),"NO REGISTRA")</f>
        <v>PROMOTOR CALL CENTER</v>
      </c>
      <c r="E1071" s="5" t="str">
        <f>IFERROR(VLOOKUP(A1071,'Base Prueba'!A:E,5,),"NO REGISTRA")</f>
        <v>OFICINA DE MERCADEO</v>
      </c>
    </row>
    <row r="1072" spans="1:5" ht="15.75" x14ac:dyDescent="0.25">
      <c r="A1072" s="10">
        <v>28798349</v>
      </c>
      <c r="B1072" s="2">
        <v>46044.757969675928</v>
      </c>
      <c r="C1072" s="3" t="str">
        <f>IFERROR(VLOOKUP(A1072,'Base Prueba'!A:C,3,),"NO REGISTRA")</f>
        <v>MARTHA ISABEL TOVAR WILLIAMS</v>
      </c>
      <c r="D1072" s="4" t="str">
        <f>IFERROR(VLOOKUP(A1072,'Base Prueba'!A:D,4,),"NO REGISTRA")</f>
        <v>PROMOTOR CALL CENTER</v>
      </c>
      <c r="E1072" s="5" t="str">
        <f>IFERROR(VLOOKUP(A1072,'Base Prueba'!A:E,5,),"NO REGISTRA")</f>
        <v>OFICINA DE MERCADEO</v>
      </c>
    </row>
    <row r="1073" spans="1:5" ht="15.75" x14ac:dyDescent="0.25">
      <c r="A1073" s="10">
        <v>1033709056</v>
      </c>
      <c r="B1073" s="2">
        <v>46044.758901041663</v>
      </c>
      <c r="C1073" s="3" t="str">
        <f>IFERROR(VLOOKUP(A1073,'Base Prueba'!A:C,3,),"NO REGISTRA")</f>
        <v>YEIMY ALEXANDRA RODRIGUEZ PALACIO</v>
      </c>
      <c r="D1073" s="4" t="str">
        <f>IFERROR(VLOOKUP(A1073,'Base Prueba'!A:D,4,),"NO REGISTRA")</f>
        <v>PROMOTOR CALL CENTER</v>
      </c>
      <c r="E1073" s="5" t="str">
        <f>IFERROR(VLOOKUP(A1073,'Base Prueba'!A:E,5,),"NO REGISTRA")</f>
        <v>OFICINA DE MERCADEO</v>
      </c>
    </row>
    <row r="1074" spans="1:5" ht="15.75" x14ac:dyDescent="0.25">
      <c r="A1074" s="10">
        <v>1193265768</v>
      </c>
      <c r="B1074" s="2">
        <v>46044.762389814816</v>
      </c>
      <c r="C1074" s="3" t="str">
        <f>IFERROR(VLOOKUP(A1074,'Base Prueba'!A:C,3,),"NO REGISTRA")</f>
        <v>SANTIAGO OSORIO CAMACHO</v>
      </c>
      <c r="D1074" s="4" t="str">
        <f>IFERROR(VLOOKUP(A1074,'Base Prueba'!A:D,4,),"NO REGISTRA")</f>
        <v>ANALISTA DE PAUTA</v>
      </c>
      <c r="E1074" s="5" t="str">
        <f>IFERROR(VLOOKUP(A1074,'Base Prueba'!A:E,5,),"NO REGISTRA")</f>
        <v>OFICINA DE MERCADEO</v>
      </c>
    </row>
    <row r="1075" spans="1:5" ht="15.75" x14ac:dyDescent="0.25">
      <c r="A1075" s="10">
        <v>52472386</v>
      </c>
      <c r="B1075" s="2">
        <v>46044.76620578704</v>
      </c>
      <c r="C1075" s="3" t="str">
        <f>IFERROR(VLOOKUP(A1075,'Base Prueba'!A:C,3,),"NO REGISTRA")</f>
        <v>ADRIANA MARCELA MORALES PARDO</v>
      </c>
      <c r="D1075" s="4" t="str">
        <f>IFERROR(VLOOKUP(A1075,'Base Prueba'!A:D,4,),"NO REGISTRA")</f>
        <v>PROMOTOR CALL CENTER</v>
      </c>
      <c r="E1075" s="5" t="str">
        <f>IFERROR(VLOOKUP(A1075,'Base Prueba'!A:E,5,),"NO REGISTRA")</f>
        <v>OFICINA DE MERCADEO</v>
      </c>
    </row>
    <row r="1076" spans="1:5" ht="15.75" x14ac:dyDescent="0.25">
      <c r="A1076" s="10">
        <v>53089882</v>
      </c>
      <c r="B1076" s="2">
        <v>46044.767673379632</v>
      </c>
      <c r="C1076" s="3" t="str">
        <f>IFERROR(VLOOKUP(A1076,'Base Prueba'!A:C,3,),"NO REGISTRA")</f>
        <v>MARIA JOHANA ESCAMILLA MARTINEZ</v>
      </c>
      <c r="D1076" s="4" t="str">
        <f>IFERROR(VLOOKUP(A1076,'Base Prueba'!A:D,4,),"NO REGISTRA")</f>
        <v>PROMOTOR DE INFORMACIÓN</v>
      </c>
      <c r="E1076" s="5" t="str">
        <f>IFERROR(VLOOKUP(A1076,'Base Prueba'!A:E,5,),"NO REGISTRA")</f>
        <v>OFICINA DE MERCADEO</v>
      </c>
    </row>
    <row r="1077" spans="1:5" ht="15.75" x14ac:dyDescent="0.25">
      <c r="A1077" s="10">
        <v>1018413529</v>
      </c>
      <c r="B1077" s="2">
        <v>46044.767720138887</v>
      </c>
      <c r="C1077" s="3" t="str">
        <f>IFERROR(VLOOKUP(A1077,'Base Prueba'!A:C,3,),"NO REGISTRA")</f>
        <v>FRANCY STELLA CHARRY MORENO</v>
      </c>
      <c r="D1077" s="4" t="str">
        <f>IFERROR(VLOOKUP(A1077,'Base Prueba'!A:D,4,),"NO REGISTRA")</f>
        <v>PROMOTOR COMERCIAL DEL CEA</v>
      </c>
      <c r="E1077" s="5" t="str">
        <f>IFERROR(VLOOKUP(A1077,'Base Prueba'!A:E,5,),"NO REGISTRA")</f>
        <v>OFICINA DE MERCADEO</v>
      </c>
    </row>
    <row r="1078" spans="1:5" ht="15.75" x14ac:dyDescent="0.25">
      <c r="A1078" s="10">
        <v>1014977624</v>
      </c>
      <c r="B1078" s="2">
        <v>46044.76787314815</v>
      </c>
      <c r="C1078" s="3" t="str">
        <f>IFERROR(VLOOKUP(A1078,'Base Prueba'!A:C,3,),"NO REGISTRA")</f>
        <v>NICCOLE VALENTINA HERNANDEZ MALAVER</v>
      </c>
      <c r="D1078" s="4" t="str">
        <f>IFERROR(VLOOKUP(A1078,'Base Prueba'!A:D,4,),"NO REGISTRA")</f>
        <v>APRENDIZ UNIVERSITARIO</v>
      </c>
      <c r="E1078" s="5" t="str">
        <f>IFERROR(VLOOKUP(A1078,'Base Prueba'!A:E,5,),"NO REGISTRA")</f>
        <v>AREA FINANCIERA Y CONTABLE</v>
      </c>
    </row>
    <row r="1079" spans="1:5" ht="15.75" x14ac:dyDescent="0.25">
      <c r="A1079" s="10">
        <v>1013616244</v>
      </c>
      <c r="B1079" s="2">
        <v>46044.776842939813</v>
      </c>
      <c r="C1079" s="3" t="str">
        <f>IFERROR(VLOOKUP(A1079,'Base Prueba'!A:C,3,),"NO REGISTRA")</f>
        <v>DIANA CAROLINA MARIN BETANCOURT</v>
      </c>
      <c r="D1079" s="4" t="str">
        <f>IFERROR(VLOOKUP(A1079,'Base Prueba'!A:D,4,),"NO REGISTRA")</f>
        <v>AUXILIAR ADMINISTRATIVO</v>
      </c>
      <c r="E1079" s="5" t="str">
        <f>IFERROR(VLOOKUP(A1079,'Base Prueba'!A:E,5,),"NO REGISTRA")</f>
        <v>REGISTRO Y CONTROL ACADEMICO</v>
      </c>
    </row>
    <row r="1080" spans="1:5" ht="15.75" x14ac:dyDescent="0.25">
      <c r="A1080" s="10">
        <v>1000257136</v>
      </c>
      <c r="B1080" s="2">
        <v>46044.77767048611</v>
      </c>
      <c r="C1080" s="3" t="str">
        <f>IFERROR(VLOOKUP(A1080,'Base Prueba'!A:C,3,),"NO REGISTRA")</f>
        <v>FRANCI VALENTINA CANO PUENTES</v>
      </c>
      <c r="D1080" s="4" t="str">
        <f>IFERROR(VLOOKUP(A1080,'Base Prueba'!A:D,4,),"NO REGISTRA")</f>
        <v>AUXILIAR CONTABLE</v>
      </c>
      <c r="E1080" s="5" t="str">
        <f>IFERROR(VLOOKUP(A1080,'Base Prueba'!A:E,5,),"NO REGISTRA")</f>
        <v>AREA FINANCIERA Y CONTABLE</v>
      </c>
    </row>
    <row r="1081" spans="1:5" ht="15.75" x14ac:dyDescent="0.25">
      <c r="A1081" s="10">
        <v>1000457706</v>
      </c>
      <c r="B1081" s="2">
        <v>46044.778668287036</v>
      </c>
      <c r="C1081" s="3" t="str">
        <f>IFERROR(VLOOKUP(A1081,'Base Prueba'!A:C,3,),"NO REGISTRA")</f>
        <v>CRISTIAN DANILO ARROYO SANABRIA</v>
      </c>
      <c r="D1081" s="4" t="str">
        <f>IFERROR(VLOOKUP(A1081,'Base Prueba'!A:D,4,),"NO REGISTRA")</f>
        <v>AUXILIAR CONTABLE</v>
      </c>
      <c r="E1081" s="5" t="str">
        <f>IFERROR(VLOOKUP(A1081,'Base Prueba'!A:E,5,),"NO REGISTRA")</f>
        <v>AREA FINANCIERA Y CONTABLE</v>
      </c>
    </row>
    <row r="1082" spans="1:5" ht="15.75" x14ac:dyDescent="0.25">
      <c r="A1082" s="10">
        <v>1013098645</v>
      </c>
      <c r="B1082" s="2">
        <v>46044.779466087966</v>
      </c>
      <c r="C1082" s="3" t="str">
        <f>IFERROR(VLOOKUP(A1082,'Base Prueba'!A:C,3,),"NO REGISTRA")</f>
        <v>CATHERINE LUCIA PENAGOS RIVERA</v>
      </c>
      <c r="D1082" s="4" t="str">
        <f>IFERROR(VLOOKUP(A1082,'Base Prueba'!A:D,4,),"NO REGISTRA")</f>
        <v>LIDER DE REGISTRO Y CONTROL ACADEMICO</v>
      </c>
      <c r="E1082" s="5" t="str">
        <f>IFERROR(VLOOKUP(A1082,'Base Prueba'!A:E,5,),"NO REGISTRA")</f>
        <v>REGISTRO Y CONTROL ACADEMICO</v>
      </c>
    </row>
    <row r="1083" spans="1:5" ht="15.75" x14ac:dyDescent="0.25">
      <c r="A1083" s="10">
        <v>1032407386</v>
      </c>
      <c r="B1083" s="2">
        <v>46044.787633680557</v>
      </c>
      <c r="C1083" s="3" t="str">
        <f>IFERROR(VLOOKUP(A1083,'Base Prueba'!A:C,3,),"NO REGISTRA")</f>
        <v>GINA PAOLA BAEZ GALVIS</v>
      </c>
      <c r="D1083" s="4" t="str">
        <f>IFERROR(VLOOKUP(A1083,'Base Prueba'!A:D,4,),"NO REGISTRA")</f>
        <v>PROMOTOR CALL CENTER</v>
      </c>
      <c r="E1083" s="5" t="str">
        <f>IFERROR(VLOOKUP(A1083,'Base Prueba'!A:E,5,),"NO REGISTRA")</f>
        <v>OFICINA DE MERCADEO</v>
      </c>
    </row>
    <row r="1084" spans="1:5" ht="15.75" x14ac:dyDescent="0.25">
      <c r="A1084" s="10">
        <v>1018414290</v>
      </c>
      <c r="B1084" s="2">
        <v>46044.787673379629</v>
      </c>
      <c r="C1084" s="3" t="str">
        <f>IFERROR(VLOOKUP(A1084,'Base Prueba'!A:C,3,),"NO REGISTRA")</f>
        <v>AMANDA LISBETH RODRIGUEZ LEON</v>
      </c>
      <c r="D1084" s="4" t="str">
        <f>IFERROR(VLOOKUP(A1084,'Base Prueba'!A:D,4,),"NO REGISTRA")</f>
        <v>PROMOTOR CALL CENTER</v>
      </c>
      <c r="E1084" s="5" t="str">
        <f>IFERROR(VLOOKUP(A1084,'Base Prueba'!A:E,5,),"NO REGISTRA")</f>
        <v>OFICINA DE MERCADEO</v>
      </c>
    </row>
    <row r="1085" spans="1:5" ht="15.75" x14ac:dyDescent="0.25">
      <c r="A1085" s="10">
        <v>1012357415</v>
      </c>
      <c r="B1085" s="2">
        <v>46044.797830787036</v>
      </c>
      <c r="C1085" s="3" t="str">
        <f>IFERROR(VLOOKUP(A1085,'Base Prueba'!A:C,3,),"NO REGISTRA")</f>
        <v>CINDY LORENA BOHORQUEZ LEYVA</v>
      </c>
      <c r="D1085" s="4" t="str">
        <f>IFERROR(VLOOKUP(A1085,'Base Prueba'!A:D,4,),"NO REGISTRA")</f>
        <v>ANALISTA DE TESORERIA</v>
      </c>
      <c r="E1085" s="5" t="str">
        <f>IFERROR(VLOOKUP(A1085,'Base Prueba'!A:E,5,),"NO REGISTRA")</f>
        <v>AREA FINANCIERA Y CONTABLE</v>
      </c>
    </row>
    <row r="1086" spans="1:5" ht="15.75" x14ac:dyDescent="0.25">
      <c r="A1086" s="10">
        <v>1014308296</v>
      </c>
      <c r="B1086" s="2">
        <v>46044.800143287037</v>
      </c>
      <c r="C1086" s="3" t="str">
        <f>IFERROR(VLOOKUP(A1086,'Base Prueba'!A:C,3,),"NO REGISTRA")</f>
        <v>DARLENE YULIANA MORENO CELEITA</v>
      </c>
      <c r="D1086" s="4" t="str">
        <f>IFERROR(VLOOKUP(A1086,'Base Prueba'!A:D,4,),"NO REGISTRA")</f>
        <v>CAJERO PRINCIPAL</v>
      </c>
      <c r="E1086" s="5" t="str">
        <f>IFERROR(VLOOKUP(A1086,'Base Prueba'!A:E,5,),"NO REGISTRA")</f>
        <v>AREA FINANCIERA Y CONTABLE</v>
      </c>
    </row>
    <row r="1087" spans="1:5" ht="15.75" x14ac:dyDescent="0.25">
      <c r="A1087" s="10">
        <v>80238161</v>
      </c>
      <c r="B1087" s="2">
        <v>46044.803951273148</v>
      </c>
      <c r="C1087" s="3" t="str">
        <f>IFERROR(VLOOKUP(A1087,'Base Prueba'!A:C,3,),"NO REGISTRA")</f>
        <v>GERMAN CARRANZA ESPITIA</v>
      </c>
      <c r="D1087" s="4" t="str">
        <f>IFERROR(VLOOKUP(A1087,'Base Prueba'!A:D,4,),"NO REGISTRA")</f>
        <v>TESORERO</v>
      </c>
      <c r="E1087" s="5" t="str">
        <f>IFERROR(VLOOKUP(A1087,'Base Prueba'!A:E,5,),"NO REGISTRA")</f>
        <v>AREA FINANCIERA Y CONTABLE</v>
      </c>
    </row>
    <row r="1088" spans="1:5" ht="15.75" x14ac:dyDescent="0.25">
      <c r="A1088" s="10">
        <v>1023961952</v>
      </c>
      <c r="B1088" s="2">
        <v>46044.808151736113</v>
      </c>
      <c r="C1088" s="3" t="str">
        <f>IFERROR(VLOOKUP(A1088,'Base Prueba'!A:C,3,),"NO REGISTRA")</f>
        <v>ALEJANDRO PINZON MERCHAN</v>
      </c>
      <c r="D1088" s="4" t="str">
        <f>IFERROR(VLOOKUP(A1088,'Base Prueba'!A:D,4,),"NO REGISTRA")</f>
        <v>PROMOTOR CALL CENTER</v>
      </c>
      <c r="E1088" s="5" t="str">
        <f>IFERROR(VLOOKUP(A1088,'Base Prueba'!A:E,5,),"NO REGISTRA")</f>
        <v>OFICINA DE MERCADEO</v>
      </c>
    </row>
    <row r="1089" spans="1:5" ht="15.75" x14ac:dyDescent="0.25">
      <c r="A1089" s="10">
        <v>80234243</v>
      </c>
      <c r="B1089" s="2">
        <v>46044.808198032406</v>
      </c>
      <c r="C1089" s="3" t="str">
        <f>IFERROR(VLOOKUP(A1089,'Base Prueba'!A:C,3,),"NO REGISTRA")</f>
        <v>ARGENIS MARTINEZ MARTINEZ</v>
      </c>
      <c r="D1089" s="4" t="str">
        <f>IFERROR(VLOOKUP(A1089,'Base Prueba'!A:D,4,),"NO REGISTRA")</f>
        <v>LIDER CALL CENTER</v>
      </c>
      <c r="E1089" s="5" t="str">
        <f>IFERROR(VLOOKUP(A1089,'Base Prueba'!A:E,5,),"NO REGISTRA")</f>
        <v>OFICINA DE MERCADEO</v>
      </c>
    </row>
    <row r="1090" spans="1:5" ht="15.75" x14ac:dyDescent="0.25">
      <c r="A1090" s="10">
        <v>53932358</v>
      </c>
      <c r="B1090" s="2">
        <v>46044.821074537038</v>
      </c>
      <c r="C1090" s="3" t="str">
        <f>IFERROR(VLOOKUP(A1090,'Base Prueba'!A:C,3,),"NO REGISTRA")</f>
        <v>DIANA MADELEYNE GAONA RODRIGUEZ</v>
      </c>
      <c r="D1090" s="4" t="str">
        <f>IFERROR(VLOOKUP(A1090,'Base Prueba'!A:D,4,),"NO REGISTRA")</f>
        <v>CONTADOR</v>
      </c>
      <c r="E1090" s="5" t="str">
        <f>IFERROR(VLOOKUP(A1090,'Base Prueba'!A:E,5,),"NO REGISTRA")</f>
        <v>AREA FINANCIERA Y CONTABLE</v>
      </c>
    </row>
    <row r="1091" spans="1:5" ht="15.75" x14ac:dyDescent="0.25">
      <c r="A1091" s="10">
        <v>1016090131</v>
      </c>
      <c r="B1091" s="2">
        <v>46044.829608333333</v>
      </c>
      <c r="C1091" s="3" t="str">
        <f>IFERROR(VLOOKUP(A1091,'Base Prueba'!A:C,3,),"NO REGISTRA")</f>
        <v>NICOLAS RODRIGUEZ PACHECO</v>
      </c>
      <c r="D1091" s="4" t="str">
        <f>IFERROR(VLOOKUP(A1091,'Base Prueba'!A:D,4,),"NO REGISTRA")</f>
        <v>COORDINADOR DE COMUNICACIONES</v>
      </c>
      <c r="E1091" s="5" t="str">
        <f>IFERROR(VLOOKUP(A1091,'Base Prueba'!A:E,5,),"NO REGISTRA")</f>
        <v>OFICINA DE MERCADEO</v>
      </c>
    </row>
    <row r="1092" spans="1:5" ht="15.75" x14ac:dyDescent="0.25">
      <c r="A1092" s="10">
        <v>1014266838</v>
      </c>
      <c r="B1092" s="2">
        <v>46044.837724074074</v>
      </c>
      <c r="C1092" s="3" t="str">
        <f>IFERROR(VLOOKUP(A1092,'Base Prueba'!A:C,3,),"NO REGISTRA")</f>
        <v>JENNIFER ASTRID ROMERO HURTADO</v>
      </c>
      <c r="D1092" s="4" t="str">
        <f>IFERROR(VLOOKUP(A1092,'Base Prueba'!A:D,4,),"NO REGISTRA")</f>
        <v>LIDER DE RECAUDO</v>
      </c>
      <c r="E1092" s="5" t="str">
        <f>IFERROR(VLOOKUP(A1092,'Base Prueba'!A:E,5,),"NO REGISTRA")</f>
        <v>AREA FINANCIERA Y CONTABLE</v>
      </c>
    </row>
    <row r="1093" spans="1:5" ht="15.75" x14ac:dyDescent="0.25">
      <c r="A1093" s="10">
        <v>1013616244</v>
      </c>
      <c r="B1093" s="2">
        <v>46045.308091435189</v>
      </c>
      <c r="C1093" s="3" t="str">
        <f>IFERROR(VLOOKUP(A1093,'Base Prueba'!A:C,3,),"NO REGISTRA")</f>
        <v>DIANA CAROLINA MARIN BETANCOURT</v>
      </c>
      <c r="D1093" s="4" t="str">
        <f>IFERROR(VLOOKUP(A1093,'Base Prueba'!A:D,4,),"NO REGISTRA")</f>
        <v>AUXILIAR ADMINISTRATIVO</v>
      </c>
      <c r="E1093" s="5" t="str">
        <f>IFERROR(VLOOKUP(A1093,'Base Prueba'!A:E,5,),"NO REGISTRA")</f>
        <v>REGISTRO Y CONTROL ACADEMICO</v>
      </c>
    </row>
    <row r="1094" spans="1:5" ht="15.75" x14ac:dyDescent="0.25">
      <c r="A1094" s="10">
        <v>1087121273</v>
      </c>
      <c r="B1094" s="2">
        <v>46045.315617245367</v>
      </c>
      <c r="C1094" s="3" t="str">
        <f>IFERROR(VLOOKUP(A1094,'Base Prueba'!A:C,3,),"NO REGISTRA")</f>
        <v>MAYRA ALEJANDRA CASTILLO ARBOLEDA</v>
      </c>
      <c r="D1094" s="4" t="str">
        <f>IFERROR(VLOOKUP(A1094,'Base Prueba'!A:D,4,),"NO REGISTRA")</f>
        <v>APOYO INTEGRAL DE MERCADEO</v>
      </c>
      <c r="E1094" s="5" t="str">
        <f>IFERROR(VLOOKUP(A1094,'Base Prueba'!A:E,5,),"NO REGISTRA")</f>
        <v>CENTRO DE GESTION DOCUMENTAL</v>
      </c>
    </row>
    <row r="1095" spans="1:5" ht="15.75" x14ac:dyDescent="0.25">
      <c r="A1095" s="10">
        <v>1012357415</v>
      </c>
      <c r="B1095" s="2">
        <v>46045.331310300928</v>
      </c>
      <c r="C1095" s="3" t="str">
        <f>IFERROR(VLOOKUP(A1095,'Base Prueba'!A:C,3,),"NO REGISTRA")</f>
        <v>CINDY LORENA BOHORQUEZ LEYVA</v>
      </c>
      <c r="D1095" s="4" t="str">
        <f>IFERROR(VLOOKUP(A1095,'Base Prueba'!A:D,4,),"NO REGISTRA")</f>
        <v>ANALISTA DE TESORERIA</v>
      </c>
      <c r="E1095" s="5" t="str">
        <f>IFERROR(VLOOKUP(A1095,'Base Prueba'!A:E,5,),"NO REGISTRA")</f>
        <v>AREA FINANCIERA Y CONTABLE</v>
      </c>
    </row>
    <row r="1096" spans="1:5" ht="15.75" x14ac:dyDescent="0.25">
      <c r="A1096" s="10">
        <v>1000257136</v>
      </c>
      <c r="B1096" s="2">
        <v>46045.333016550925</v>
      </c>
      <c r="C1096" s="3" t="str">
        <f>IFERROR(VLOOKUP(A1096,'Base Prueba'!A:C,3,),"NO REGISTRA")</f>
        <v>FRANCI VALENTINA CANO PUENTES</v>
      </c>
      <c r="D1096" s="4" t="str">
        <f>IFERROR(VLOOKUP(A1096,'Base Prueba'!A:D,4,),"NO REGISTRA")</f>
        <v>AUXILIAR CONTABLE</v>
      </c>
      <c r="E1096" s="5" t="str">
        <f>IFERROR(VLOOKUP(A1096,'Base Prueba'!A:E,5,),"NO REGISTRA")</f>
        <v>AREA FINANCIERA Y CONTABLE</v>
      </c>
    </row>
    <row r="1097" spans="1:5" ht="15.75" x14ac:dyDescent="0.25">
      <c r="A1097" s="10">
        <v>1031802160</v>
      </c>
      <c r="B1097" s="2">
        <v>46045.335362962964</v>
      </c>
      <c r="C1097" s="3" t="str">
        <f>IFERROR(VLOOKUP(A1097,'Base Prueba'!A:C,3,),"NO REGISTRA")</f>
        <v>LUISA MARIA MAHECHA SOTOMAYOR</v>
      </c>
      <c r="D1097" s="4" t="str">
        <f>IFERROR(VLOOKUP(A1097,'Base Prueba'!A:D,4,),"NO REGISTRA")</f>
        <v>APRENDIZ UNIVERSITARIO</v>
      </c>
      <c r="E1097" s="5" t="str">
        <f>IFERROR(VLOOKUP(A1097,'Base Prueba'!A:E,5,),"NO REGISTRA")</f>
        <v>OFICINA DE MERCADEO</v>
      </c>
    </row>
    <row r="1098" spans="1:5" ht="15.75" x14ac:dyDescent="0.25">
      <c r="A1098" s="10">
        <v>1049644802</v>
      </c>
      <c r="B1098" s="2">
        <v>46045.33591400463</v>
      </c>
      <c r="C1098" s="3" t="str">
        <f>IFERROR(VLOOKUP(A1098,'Base Prueba'!A:C,3,),"NO REGISTRA")</f>
        <v>DANIELA ALEXANDRA CIPAMOCHA BOSIGA</v>
      </c>
      <c r="D1098" s="4" t="str">
        <f>IFERROR(VLOOKUP(A1098,'Base Prueba'!A:D,4,),"NO REGISTRA")</f>
        <v>LIDER DE DATOS Y SERVICIOS</v>
      </c>
      <c r="E1098" s="5" t="str">
        <f>IFERROR(VLOOKUP(A1098,'Base Prueba'!A:E,5,),"NO REGISTRA")</f>
        <v>OFICINA DE PLANEACION Y GESTION DE LA CALIDAD</v>
      </c>
    </row>
    <row r="1099" spans="1:5" ht="15.75" x14ac:dyDescent="0.25">
      <c r="A1099" s="10">
        <v>53932358</v>
      </c>
      <c r="B1099" s="2">
        <v>46045.338333333333</v>
      </c>
      <c r="C1099" s="3" t="str">
        <f>IFERROR(VLOOKUP(A1099,'Base Prueba'!A:C,3,),"NO REGISTRA")</f>
        <v>DIANA MADELEYNE GAONA RODRIGUEZ</v>
      </c>
      <c r="D1099" s="4" t="str">
        <f>IFERROR(VLOOKUP(A1099,'Base Prueba'!A:D,4,),"NO REGISTRA")</f>
        <v>CONTADOR</v>
      </c>
      <c r="E1099" s="5" t="str">
        <f>IFERROR(VLOOKUP(A1099,'Base Prueba'!A:E,5,),"NO REGISTRA")</f>
        <v>AREA FINANCIERA Y CONTABLE</v>
      </c>
    </row>
    <row r="1100" spans="1:5" ht="15.75" x14ac:dyDescent="0.25">
      <c r="A1100" s="10">
        <v>1014266838</v>
      </c>
      <c r="B1100" s="2">
        <v>46045.33845358796</v>
      </c>
      <c r="C1100" s="3" t="str">
        <f>IFERROR(VLOOKUP(A1100,'Base Prueba'!A:C,3,),"NO REGISTRA")</f>
        <v>JENNIFER ASTRID ROMERO HURTADO</v>
      </c>
      <c r="D1100" s="4" t="str">
        <f>IFERROR(VLOOKUP(A1100,'Base Prueba'!A:D,4,),"NO REGISTRA")</f>
        <v>LIDER DE RECAUDO</v>
      </c>
      <c r="E1100" s="5" t="str">
        <f>IFERROR(VLOOKUP(A1100,'Base Prueba'!A:E,5,),"NO REGISTRA")</f>
        <v>AREA FINANCIERA Y CONTABLE</v>
      </c>
    </row>
    <row r="1101" spans="1:5" ht="15.75" x14ac:dyDescent="0.25">
      <c r="A1101" s="10">
        <v>1026599257</v>
      </c>
      <c r="B1101" s="2">
        <v>46045.343315509257</v>
      </c>
      <c r="C1101" s="3" t="str">
        <f>IFERROR(VLOOKUP(A1101,'Base Prueba'!A:C,3,),"NO REGISTRA")</f>
        <v>YESENIA PAOLA PINEDA HURTADO</v>
      </c>
      <c r="D1101" s="4" t="str">
        <f>IFERROR(VLOOKUP(A1101,'Base Prueba'!A:D,4,),"NO REGISTRA")</f>
        <v>LIDER DE COMPRAS</v>
      </c>
      <c r="E1101" s="5" t="str">
        <f>IFERROR(VLOOKUP(A1101,'Base Prueba'!A:E,5,),"NO REGISTRA")</f>
        <v>AREA ADMINISTRATIVA</v>
      </c>
    </row>
    <row r="1102" spans="1:5" ht="15.75" x14ac:dyDescent="0.25">
      <c r="A1102" s="10">
        <v>1193457976</v>
      </c>
      <c r="B1102" s="2">
        <v>46045.343694907409</v>
      </c>
      <c r="C1102" s="3" t="str">
        <f>IFERROR(VLOOKUP(A1102,'Base Prueba'!A:C,3,),"NO REGISTRA")</f>
        <v>SEDENIS RIVAS ASPRILLA</v>
      </c>
      <c r="D1102" s="4" t="str">
        <f>IFERROR(VLOOKUP(A1102,'Base Prueba'!A:D,4,),"NO REGISTRA")</f>
        <v>APRENDIZ UNIVERSITARIO</v>
      </c>
      <c r="E1102" s="5" t="str">
        <f>IFERROR(VLOOKUP(A1102,'Base Prueba'!A:E,5,),"NO REGISTRA")</f>
        <v>DEPARTAMENTO DE GESTION HUMANA</v>
      </c>
    </row>
    <row r="1103" spans="1:5" ht="15.75" x14ac:dyDescent="0.25">
      <c r="A1103" s="10">
        <v>80238161</v>
      </c>
      <c r="B1103" s="2">
        <v>46045.346165393516</v>
      </c>
      <c r="C1103" s="3" t="str">
        <f>IFERROR(VLOOKUP(A1103,'Base Prueba'!A:C,3,),"NO REGISTRA")</f>
        <v>GERMAN CARRANZA ESPITIA</v>
      </c>
      <c r="D1103" s="4" t="str">
        <f>IFERROR(VLOOKUP(A1103,'Base Prueba'!A:D,4,),"NO REGISTRA")</f>
        <v>TESORERO</v>
      </c>
      <c r="E1103" s="5" t="str">
        <f>IFERROR(VLOOKUP(A1103,'Base Prueba'!A:E,5,),"NO REGISTRA")</f>
        <v>AREA FINANCIERA Y CONTABLE</v>
      </c>
    </row>
    <row r="1104" spans="1:5" ht="15.75" x14ac:dyDescent="0.25">
      <c r="A1104" s="10">
        <v>1023883232</v>
      </c>
      <c r="B1104" s="2">
        <v>46045.350598611112</v>
      </c>
      <c r="C1104" s="3" t="str">
        <f>IFERROR(VLOOKUP(A1104,'Base Prueba'!A:C,3,),"NO REGISTRA")</f>
        <v>MONICA ANDREA ACERO URBANO</v>
      </c>
      <c r="D1104" s="4" t="str">
        <f>IFERROR(VLOOKUP(A1104,'Base Prueba'!A:D,4,),"NO REGISTRA")</f>
        <v>APOYO INTEGRAL A GESTION HUMANA</v>
      </c>
      <c r="E1104" s="5" t="str">
        <f>IFERROR(VLOOKUP(A1104,'Base Prueba'!A:E,5,),"NO REGISTRA")</f>
        <v>DEPARTAMENTO DE GESTION HUMANA</v>
      </c>
    </row>
    <row r="1105" spans="1:5" ht="15.75" x14ac:dyDescent="0.25">
      <c r="A1105" s="10">
        <v>1000457706</v>
      </c>
      <c r="B1105" s="2">
        <v>46045.352289467592</v>
      </c>
      <c r="C1105" s="3" t="str">
        <f>IFERROR(VLOOKUP(A1105,'Base Prueba'!A:C,3,),"NO REGISTRA")</f>
        <v>CRISTIAN DANILO ARROYO SANABRIA</v>
      </c>
      <c r="D1105" s="4" t="str">
        <f>IFERROR(VLOOKUP(A1105,'Base Prueba'!A:D,4,),"NO REGISTRA")</f>
        <v>AUXILIAR CONTABLE</v>
      </c>
      <c r="E1105" s="5" t="str">
        <f>IFERROR(VLOOKUP(A1105,'Base Prueba'!A:E,5,),"NO REGISTRA")</f>
        <v>AREA FINANCIERA Y CONTABLE</v>
      </c>
    </row>
    <row r="1106" spans="1:5" ht="15.75" x14ac:dyDescent="0.25">
      <c r="A1106" s="10">
        <v>1000593372</v>
      </c>
      <c r="B1106" s="2">
        <v>46045.355847453706</v>
      </c>
      <c r="C1106" s="3" t="str">
        <f>IFERROR(VLOOKUP(A1106,'Base Prueba'!A:C,3,),"NO REGISTRA")</f>
        <v>LAURA SOFIA CHAPARRO LOPEZ</v>
      </c>
      <c r="D1106" s="4" t="str">
        <f>IFERROR(VLOOKUP(A1106,'Base Prueba'!A:D,4,),"NO REGISTRA")</f>
        <v>AUXILIAR JURIDICO</v>
      </c>
      <c r="E1106" s="5" t="str">
        <f>IFERROR(VLOOKUP(A1106,'Base Prueba'!A:E,5,),"NO REGISTRA")</f>
        <v>SECRETARIA GENERAL</v>
      </c>
    </row>
    <row r="1107" spans="1:5" ht="15.75" x14ac:dyDescent="0.25">
      <c r="A1107" s="10">
        <v>1000604979</v>
      </c>
      <c r="B1107" s="2">
        <v>46045.355872800923</v>
      </c>
      <c r="C1107" s="3" t="str">
        <f>IFERROR(VLOOKUP(A1107,'Base Prueba'!A:C,3,),"NO REGISTRA")</f>
        <v>JULIETH TATIANA PARDO PINTO</v>
      </c>
      <c r="D1107" s="4" t="str">
        <f>IFERROR(VLOOKUP(A1107,'Base Prueba'!A:D,4,),"NO REGISTRA")</f>
        <v>AUXILIAR JURIDICO</v>
      </c>
      <c r="E1107" s="5" t="str">
        <f>IFERROR(VLOOKUP(A1107,'Base Prueba'!A:E,5,),"NO REGISTRA")</f>
        <v>SECRETARIA GENERAL</v>
      </c>
    </row>
    <row r="1108" spans="1:5" ht="15.75" x14ac:dyDescent="0.25">
      <c r="A1108" s="10">
        <v>1018413529</v>
      </c>
      <c r="B1108" s="2">
        <v>46045.357596180555</v>
      </c>
      <c r="C1108" s="3" t="str">
        <f>IFERROR(VLOOKUP(A1108,'Base Prueba'!A:C,3,),"NO REGISTRA")</f>
        <v>FRANCY STELLA CHARRY MORENO</v>
      </c>
      <c r="D1108" s="4" t="str">
        <f>IFERROR(VLOOKUP(A1108,'Base Prueba'!A:D,4,),"NO REGISTRA")</f>
        <v>PROMOTOR COMERCIAL DEL CEA</v>
      </c>
      <c r="E1108" s="5" t="str">
        <f>IFERROR(VLOOKUP(A1108,'Base Prueba'!A:E,5,),"NO REGISTRA")</f>
        <v>OFICINA DE MERCADEO</v>
      </c>
    </row>
    <row r="1109" spans="1:5" ht="15.75" x14ac:dyDescent="0.25">
      <c r="A1109" s="10">
        <v>1033709056</v>
      </c>
      <c r="B1109" s="2">
        <v>46045.365663310185</v>
      </c>
      <c r="C1109" s="3" t="str">
        <f>IFERROR(VLOOKUP(A1109,'Base Prueba'!A:C,3,),"NO REGISTRA")</f>
        <v>YEIMY ALEXANDRA RODRIGUEZ PALACIO</v>
      </c>
      <c r="D1109" s="4" t="str">
        <f>IFERROR(VLOOKUP(A1109,'Base Prueba'!A:D,4,),"NO REGISTRA")</f>
        <v>PROMOTOR CALL CENTER</v>
      </c>
      <c r="E1109" s="5" t="str">
        <f>IFERROR(VLOOKUP(A1109,'Base Prueba'!A:E,5,),"NO REGISTRA")</f>
        <v>OFICINA DE MERCADEO</v>
      </c>
    </row>
    <row r="1110" spans="1:5" ht="15.75" x14ac:dyDescent="0.25">
      <c r="A1110" s="10">
        <v>1032407386</v>
      </c>
      <c r="B1110" s="2">
        <v>46045.366493634261</v>
      </c>
      <c r="C1110" s="3" t="str">
        <f>IFERROR(VLOOKUP(A1110,'Base Prueba'!A:C,3,),"NO REGISTRA")</f>
        <v>GINA PAOLA BAEZ GALVIS</v>
      </c>
      <c r="D1110" s="4" t="str">
        <f>IFERROR(VLOOKUP(A1110,'Base Prueba'!A:D,4,),"NO REGISTRA")</f>
        <v>PROMOTOR CALL CENTER</v>
      </c>
      <c r="E1110" s="5" t="str">
        <f>IFERROR(VLOOKUP(A1110,'Base Prueba'!A:E,5,),"NO REGISTRA")</f>
        <v>OFICINA DE MERCADEO</v>
      </c>
    </row>
    <row r="1111" spans="1:5" ht="15.75" x14ac:dyDescent="0.25">
      <c r="A1111" s="10">
        <v>80234243</v>
      </c>
      <c r="B1111" s="2">
        <v>46045.36798865741</v>
      </c>
      <c r="C1111" s="3" t="str">
        <f>IFERROR(VLOOKUP(A1111,'Base Prueba'!A:C,3,),"NO REGISTRA")</f>
        <v>ARGENIS MARTINEZ MARTINEZ</v>
      </c>
      <c r="D1111" s="4" t="str">
        <f>IFERROR(VLOOKUP(A1111,'Base Prueba'!A:D,4,),"NO REGISTRA")</f>
        <v>LIDER CALL CENTER</v>
      </c>
      <c r="E1111" s="5" t="str">
        <f>IFERROR(VLOOKUP(A1111,'Base Prueba'!A:E,5,),"NO REGISTRA")</f>
        <v>OFICINA DE MERCADEO</v>
      </c>
    </row>
    <row r="1112" spans="1:5" ht="15.75" x14ac:dyDescent="0.25">
      <c r="A1112" s="10">
        <v>1012426741</v>
      </c>
      <c r="B1112" s="2">
        <v>46045.370583796299</v>
      </c>
      <c r="C1112" s="3" t="str">
        <f>IFERROR(VLOOKUP(A1112,'Base Prueba'!A:C,3,),"NO REGISTRA")</f>
        <v>CRISTIAN FABIAN ROJAS SANCENO</v>
      </c>
      <c r="D1112" s="4" t="str">
        <f>IFERROR(VLOOKUP(A1112,'Base Prueba'!A:D,4,),"NO REGISTRA")</f>
        <v>AUXILIAR DE REINTEGROS</v>
      </c>
      <c r="E1112" s="5" t="str">
        <f>IFERROR(VLOOKUP(A1112,'Base Prueba'!A:E,5,),"NO REGISTRA")</f>
        <v>DIRECCION DE BIENESTAR INSTITUCIONAL</v>
      </c>
    </row>
    <row r="1113" spans="1:5" ht="15.75" x14ac:dyDescent="0.25">
      <c r="A1113" s="10">
        <v>52472386</v>
      </c>
      <c r="B1113" s="2">
        <v>46045.370674768521</v>
      </c>
      <c r="C1113" s="3" t="str">
        <f>IFERROR(VLOOKUP(A1113,'Base Prueba'!A:C,3,),"NO REGISTRA")</f>
        <v>ADRIANA MARCELA MORALES PARDO</v>
      </c>
      <c r="D1113" s="4" t="str">
        <f>IFERROR(VLOOKUP(A1113,'Base Prueba'!A:D,4,),"NO REGISTRA")</f>
        <v>PROMOTOR CALL CENTER</v>
      </c>
      <c r="E1113" s="5" t="str">
        <f>IFERROR(VLOOKUP(A1113,'Base Prueba'!A:E,5,),"NO REGISTRA")</f>
        <v>OFICINA DE MERCADEO</v>
      </c>
    </row>
    <row r="1114" spans="1:5" ht="15.75" x14ac:dyDescent="0.25">
      <c r="A1114" s="10">
        <v>1018414290</v>
      </c>
      <c r="B1114" s="2">
        <v>46045.372117361112</v>
      </c>
      <c r="C1114" s="3" t="str">
        <f>IFERROR(VLOOKUP(A1114,'Base Prueba'!A:C,3,),"NO REGISTRA")</f>
        <v>AMANDA LISBETH RODRIGUEZ LEON</v>
      </c>
      <c r="D1114" s="4" t="str">
        <f>IFERROR(VLOOKUP(A1114,'Base Prueba'!A:D,4,),"NO REGISTRA")</f>
        <v>PROMOTOR CALL CENTER</v>
      </c>
      <c r="E1114" s="5" t="str">
        <f>IFERROR(VLOOKUP(A1114,'Base Prueba'!A:E,5,),"NO REGISTRA")</f>
        <v>OFICINA DE MERCADEO</v>
      </c>
    </row>
    <row r="1115" spans="1:5" ht="15.75" x14ac:dyDescent="0.25">
      <c r="A1115" s="10">
        <v>1193265768</v>
      </c>
      <c r="B1115" s="2">
        <v>46045.372841435186</v>
      </c>
      <c r="C1115" s="3" t="str">
        <f>IFERROR(VLOOKUP(A1115,'Base Prueba'!A:C,3,),"NO REGISTRA")</f>
        <v>SANTIAGO OSORIO CAMACHO</v>
      </c>
      <c r="D1115" s="4" t="str">
        <f>IFERROR(VLOOKUP(A1115,'Base Prueba'!A:D,4,),"NO REGISTRA")</f>
        <v>ANALISTA DE PAUTA</v>
      </c>
      <c r="E1115" s="5" t="str">
        <f>IFERROR(VLOOKUP(A1115,'Base Prueba'!A:E,5,),"NO REGISTRA")</f>
        <v>OFICINA DE MERCADEO</v>
      </c>
    </row>
    <row r="1116" spans="1:5" ht="15.75" x14ac:dyDescent="0.25">
      <c r="A1116" s="10">
        <v>1014196857</v>
      </c>
      <c r="B1116" s="2">
        <v>46045.374239236109</v>
      </c>
      <c r="C1116" s="3" t="str">
        <f>IFERROR(VLOOKUP(A1116,'Base Prueba'!A:C,3,),"NO REGISTRA")</f>
        <v>CARLOS ANDRES JIMENEZ PARDO</v>
      </c>
      <c r="D1116" s="4" t="str">
        <f>IFERROR(VLOOKUP(A1116,'Base Prueba'!A:D,4,),"NO REGISTRA")</f>
        <v>COORDINADOR DE MARKETING DIGITAL</v>
      </c>
      <c r="E1116" s="5" t="str">
        <f>IFERROR(VLOOKUP(A1116,'Base Prueba'!A:E,5,),"NO REGISTRA")</f>
        <v>OFICINA DE MERCADEO</v>
      </c>
    </row>
    <row r="1117" spans="1:5" ht="15.75" x14ac:dyDescent="0.25">
      <c r="A1117" s="10">
        <v>28798349</v>
      </c>
      <c r="B1117" s="2">
        <v>46045.380431018515</v>
      </c>
      <c r="C1117" s="3" t="str">
        <f>IFERROR(VLOOKUP(A1117,'Base Prueba'!A:C,3,),"NO REGISTRA")</f>
        <v>MARTHA ISABEL TOVAR WILLIAMS</v>
      </c>
      <c r="D1117" s="4" t="str">
        <f>IFERROR(VLOOKUP(A1117,'Base Prueba'!A:D,4,),"NO REGISTRA")</f>
        <v>PROMOTOR CALL CENTER</v>
      </c>
      <c r="E1117" s="5" t="str">
        <f>IFERROR(VLOOKUP(A1117,'Base Prueba'!A:E,5,),"NO REGISTRA")</f>
        <v>OFICINA DE MERCADEO</v>
      </c>
    </row>
    <row r="1118" spans="1:5" ht="15.75" x14ac:dyDescent="0.25">
      <c r="A1118" s="10">
        <v>1016090131</v>
      </c>
      <c r="B1118" s="2">
        <v>46045.38044108796</v>
      </c>
      <c r="C1118" s="3" t="str">
        <f>IFERROR(VLOOKUP(A1118,'Base Prueba'!A:C,3,),"NO REGISTRA")</f>
        <v>NICOLAS RODRIGUEZ PACHECO</v>
      </c>
      <c r="D1118" s="4" t="str">
        <f>IFERROR(VLOOKUP(A1118,'Base Prueba'!A:D,4,),"NO REGISTRA")</f>
        <v>COORDINADOR DE COMUNICACIONES</v>
      </c>
      <c r="E1118" s="5" t="str">
        <f>IFERROR(VLOOKUP(A1118,'Base Prueba'!A:E,5,),"NO REGISTRA")</f>
        <v>OFICINA DE MERCADEO</v>
      </c>
    </row>
    <row r="1119" spans="1:5" ht="15.75" x14ac:dyDescent="0.25">
      <c r="A1119" s="10">
        <v>1019105003</v>
      </c>
      <c r="B1119" s="2">
        <v>46045.380515046294</v>
      </c>
      <c r="C1119" s="3" t="str">
        <f>IFERROR(VLOOKUP(A1119,'Base Prueba'!A:C,3,),"NO REGISTRA")</f>
        <v>DAISY JULIETH GASPAR MORENO</v>
      </c>
      <c r="D1119" s="4" t="str">
        <f>IFERROR(VLOOKUP(A1119,'Base Prueba'!A:D,4,),"NO REGISTRA")</f>
        <v>PROMOTOR CALL CENTER</v>
      </c>
      <c r="E1119" s="5" t="str">
        <f>IFERROR(VLOOKUP(A1119,'Base Prueba'!A:E,5,),"NO REGISTRA")</f>
        <v>OFICINA DE MERCADEO</v>
      </c>
    </row>
    <row r="1120" spans="1:5" ht="15.75" x14ac:dyDescent="0.25">
      <c r="A1120" s="10">
        <v>53089882</v>
      </c>
      <c r="B1120" s="2">
        <v>46045.386332291666</v>
      </c>
      <c r="C1120" s="3" t="str">
        <f>IFERROR(VLOOKUP(A1120,'Base Prueba'!A:C,3,),"NO REGISTRA")</f>
        <v>MARIA JOHANA ESCAMILLA MARTINEZ</v>
      </c>
      <c r="D1120" s="4" t="str">
        <f>IFERROR(VLOOKUP(A1120,'Base Prueba'!A:D,4,),"NO REGISTRA")</f>
        <v>PROMOTOR DE INFORMACIÓN</v>
      </c>
      <c r="E1120" s="5" t="str">
        <f>IFERROR(VLOOKUP(A1120,'Base Prueba'!A:E,5,),"NO REGISTRA")</f>
        <v>OFICINA DE MERCADEO</v>
      </c>
    </row>
    <row r="1121" spans="1:5" ht="15.75" x14ac:dyDescent="0.25">
      <c r="A1121" s="10">
        <v>52175674</v>
      </c>
      <c r="B1121" s="2">
        <v>46045.39018263889</v>
      </c>
      <c r="C1121" s="3" t="str">
        <f>IFERROR(VLOOKUP(A1121,'Base Prueba'!A:C,3,),"NO REGISTRA")</f>
        <v>LUZ YANETH GOMEZ AREVALO</v>
      </c>
      <c r="D1121" s="4" t="str">
        <f>IFERROR(VLOOKUP(A1121,'Base Prueba'!A:D,4,),"NO REGISTRA")</f>
        <v>COORDINADORA DE ADMISIONES</v>
      </c>
      <c r="E1121" s="5" t="str">
        <f>IFERROR(VLOOKUP(A1121,'Base Prueba'!A:E,5,),"NO REGISTRA")</f>
        <v>OFICINA DE MERCADEO</v>
      </c>
    </row>
    <row r="1122" spans="1:5" ht="15.75" x14ac:dyDescent="0.25">
      <c r="A1122" s="10">
        <v>1003690253</v>
      </c>
      <c r="B1122" s="2">
        <v>46045.392581597225</v>
      </c>
      <c r="C1122" s="3" t="str">
        <f>IFERROR(VLOOKUP(A1122,'Base Prueba'!A:C,3,),"NO REGISTRA")</f>
        <v>MELISSA GONZALEZ PEDRAZA</v>
      </c>
      <c r="D1122" s="4" t="str">
        <f>IFERROR(VLOOKUP(A1122,'Base Prueba'!A:D,4,),"NO REGISTRA")</f>
        <v>LIDER DE JOVENES A LA E</v>
      </c>
      <c r="E1122" s="5" t="str">
        <f>IFERROR(VLOOKUP(A1122,'Base Prueba'!A:E,5,),"NO REGISTRA")</f>
        <v>DIRECCION DE BIENESTAR INSTITUCIONAL</v>
      </c>
    </row>
    <row r="1123" spans="1:5" ht="15.75" x14ac:dyDescent="0.25">
      <c r="A1123" s="10">
        <v>1023961952</v>
      </c>
      <c r="B1123" s="2">
        <v>46045.400027662035</v>
      </c>
      <c r="C1123" s="3" t="str">
        <f>IFERROR(VLOOKUP(A1123,'Base Prueba'!A:C,3,),"NO REGISTRA")</f>
        <v>ALEJANDRO PINZON MERCHAN</v>
      </c>
      <c r="D1123" s="4" t="str">
        <f>IFERROR(VLOOKUP(A1123,'Base Prueba'!A:D,4,),"NO REGISTRA")</f>
        <v>PROMOTOR CALL CENTER</v>
      </c>
      <c r="E1123" s="5" t="str">
        <f>IFERROR(VLOOKUP(A1123,'Base Prueba'!A:E,5,),"NO REGISTRA")</f>
        <v>OFICINA DE MERCADEO</v>
      </c>
    </row>
    <row r="1124" spans="1:5" ht="15.75" x14ac:dyDescent="0.25">
      <c r="A1124" s="10">
        <v>1014308296</v>
      </c>
      <c r="B1124" s="2">
        <v>46045.417259490743</v>
      </c>
      <c r="C1124" s="3" t="str">
        <f>IFERROR(VLOOKUP(A1124,'Base Prueba'!A:C,3,),"NO REGISTRA")</f>
        <v>DARLENE YULIANA MORENO CELEITA</v>
      </c>
      <c r="D1124" s="4" t="str">
        <f>IFERROR(VLOOKUP(A1124,'Base Prueba'!A:D,4,),"NO REGISTRA")</f>
        <v>CAJERO PRINCIPAL</v>
      </c>
      <c r="E1124" s="5" t="str">
        <f>IFERROR(VLOOKUP(A1124,'Base Prueba'!A:E,5,),"NO REGISTRA")</f>
        <v>AREA FINANCIERA Y CONTABLE</v>
      </c>
    </row>
    <row r="1125" spans="1:5" ht="15.75" x14ac:dyDescent="0.25">
      <c r="A1125" s="10">
        <v>1013098645</v>
      </c>
      <c r="B1125" s="2">
        <v>46045.518259027776</v>
      </c>
      <c r="C1125" s="3" t="str">
        <f>IFERROR(VLOOKUP(A1125,'Base Prueba'!A:C,3,),"NO REGISTRA")</f>
        <v>CATHERINE LUCIA PENAGOS RIVERA</v>
      </c>
      <c r="D1125" s="4" t="str">
        <f>IFERROR(VLOOKUP(A1125,'Base Prueba'!A:D,4,),"NO REGISTRA")</f>
        <v>LIDER DE REGISTRO Y CONTROL ACADEMICO</v>
      </c>
      <c r="E1125" s="5" t="str">
        <f>IFERROR(VLOOKUP(A1125,'Base Prueba'!A:E,5,),"NO REGISTRA")</f>
        <v>REGISTRO Y CONTROL ACADEMICO</v>
      </c>
    </row>
    <row r="1126" spans="1:5" ht="15.75" x14ac:dyDescent="0.25">
      <c r="A1126" s="10">
        <v>1031802160</v>
      </c>
      <c r="B1126" s="2">
        <v>46045.705550115737</v>
      </c>
      <c r="C1126" s="3" t="str">
        <f>IFERROR(VLOOKUP(A1126,'Base Prueba'!A:C,3,),"NO REGISTRA")</f>
        <v>LUISA MARIA MAHECHA SOTOMAYOR</v>
      </c>
      <c r="D1126" s="4" t="str">
        <f>IFERROR(VLOOKUP(A1126,'Base Prueba'!A:D,4,),"NO REGISTRA")</f>
        <v>APRENDIZ UNIVERSITARIO</v>
      </c>
      <c r="E1126" s="5" t="str">
        <f>IFERROR(VLOOKUP(A1126,'Base Prueba'!A:E,5,),"NO REGISTRA")</f>
        <v>OFICINA DE MERCADEO</v>
      </c>
    </row>
    <row r="1127" spans="1:5" ht="15.75" x14ac:dyDescent="0.25">
      <c r="A1127" s="10">
        <v>1024505434</v>
      </c>
      <c r="B1127" s="2">
        <v>46045.712067245368</v>
      </c>
      <c r="C1127" s="3" t="str">
        <f>IFERROR(VLOOKUP(A1127,'Base Prueba'!A:C,3,),"NO REGISTRA")</f>
        <v>CRISTIAN ALBERTO MELO TORRES</v>
      </c>
      <c r="D1127" s="4" t="str">
        <f>IFERROR(VLOOKUP(A1127,'Base Prueba'!A:D,4,),"NO REGISTRA")</f>
        <v>COORDINADOR DE INFRAESTRUCTURA</v>
      </c>
      <c r="E1127" s="5" t="str">
        <f>IFERROR(VLOOKUP(A1127,'Base Prueba'!A:E,5,),"NO REGISTRA")</f>
        <v>VICERRECTORIA ADMINISTRATIVA Y FINANCIERA</v>
      </c>
    </row>
    <row r="1128" spans="1:5" ht="15.75" x14ac:dyDescent="0.25">
      <c r="A1128" s="10">
        <v>53932358</v>
      </c>
      <c r="B1128" s="2">
        <v>46045.715119791668</v>
      </c>
      <c r="C1128" s="3" t="str">
        <f>IFERROR(VLOOKUP(A1128,'Base Prueba'!A:C,3,),"NO REGISTRA")</f>
        <v>DIANA MADELEYNE GAONA RODRIGUEZ</v>
      </c>
      <c r="D1128" s="4" t="str">
        <f>IFERROR(VLOOKUP(A1128,'Base Prueba'!A:D,4,),"NO REGISTRA")</f>
        <v>CONTADOR</v>
      </c>
      <c r="E1128" s="5" t="str">
        <f>IFERROR(VLOOKUP(A1128,'Base Prueba'!A:E,5,),"NO REGISTRA")</f>
        <v>AREA FINANCIERA Y CONTABLE</v>
      </c>
    </row>
    <row r="1129" spans="1:5" ht="15.75" x14ac:dyDescent="0.25">
      <c r="A1129" s="10">
        <v>1193457976</v>
      </c>
      <c r="B1129" s="2">
        <v>46045.716136574076</v>
      </c>
      <c r="C1129" s="3" t="str">
        <f>IFERROR(VLOOKUP(A1129,'Base Prueba'!A:C,3,),"NO REGISTRA")</f>
        <v>SEDENIS RIVAS ASPRILLA</v>
      </c>
      <c r="D1129" s="4" t="str">
        <f>IFERROR(VLOOKUP(A1129,'Base Prueba'!A:D,4,),"NO REGISTRA")</f>
        <v>APRENDIZ UNIVERSITARIO</v>
      </c>
      <c r="E1129" s="5" t="str">
        <f>IFERROR(VLOOKUP(A1129,'Base Prueba'!A:E,5,),"NO REGISTRA")</f>
        <v>DEPARTAMENTO DE GESTION HUMANA</v>
      </c>
    </row>
    <row r="1130" spans="1:5" ht="15.75" x14ac:dyDescent="0.25">
      <c r="A1130" s="10">
        <v>1032469638</v>
      </c>
      <c r="B1130" s="2">
        <v>46045.717002662037</v>
      </c>
      <c r="C1130" s="3" t="str">
        <f>IFERROR(VLOOKUP(A1130,'Base Prueba'!A:C,3,),"NO REGISTRA")</f>
        <v>MAICOL JARBEY GUALTEROS CASTAÑEDA</v>
      </c>
      <c r="D1130" s="4" t="str">
        <f>IFERROR(VLOOKUP(A1130,'Base Prueba'!A:D,4,),"NO REGISTRA")</f>
        <v>COORDINADOR DEL SISTEMA INTERNO DE ASEGURAMIENTO DE LA CALIDAD - SIAC</v>
      </c>
      <c r="E1130" s="5" t="str">
        <f>IFERROR(VLOOKUP(A1130,'Base Prueba'!A:E,5,),"NO REGISTRA")</f>
        <v>OFICINA DE PLANEACION Y GESTION DE LA CALIDAD</v>
      </c>
    </row>
    <row r="1131" spans="1:5" ht="15.75" x14ac:dyDescent="0.25">
      <c r="A1131" s="10">
        <v>1049644802</v>
      </c>
      <c r="B1131" s="2">
        <v>46045.717046296297</v>
      </c>
      <c r="C1131" s="3" t="str">
        <f>IFERROR(VLOOKUP(A1131,'Base Prueba'!A:C,3,),"NO REGISTRA")</f>
        <v>DANIELA ALEXANDRA CIPAMOCHA BOSIGA</v>
      </c>
      <c r="D1131" s="4" t="str">
        <f>IFERROR(VLOOKUP(A1131,'Base Prueba'!A:D,4,),"NO REGISTRA")</f>
        <v>LIDER DE DATOS Y SERVICIOS</v>
      </c>
      <c r="E1131" s="5" t="str">
        <f>IFERROR(VLOOKUP(A1131,'Base Prueba'!A:E,5,),"NO REGISTRA")</f>
        <v>OFICINA DE PLANEACION Y GESTION DE LA CALIDAD</v>
      </c>
    </row>
    <row r="1132" spans="1:5" ht="15.75" x14ac:dyDescent="0.25">
      <c r="A1132" s="10">
        <v>1022996882</v>
      </c>
      <c r="B1132" s="2">
        <v>46045.717273958333</v>
      </c>
      <c r="C1132" s="3" t="str">
        <f>IFERROR(VLOOKUP(A1132,'Base Prueba'!A:C,3,),"NO REGISTRA")</f>
        <v>NANCY BRIGITH ALDANA GUEVARA</v>
      </c>
      <c r="D1132" s="4" t="str">
        <f>IFERROR(VLOOKUP(A1132,'Base Prueba'!A:D,4,),"NO REGISTRA")</f>
        <v>COORDINADORA DE GESTIÓN HUMANA</v>
      </c>
      <c r="E1132" s="5" t="str">
        <f>IFERROR(VLOOKUP(A1132,'Base Prueba'!A:E,5,),"NO REGISTRA")</f>
        <v>DEPARTAMENTO DE GESTION HUMANA</v>
      </c>
    </row>
    <row r="1133" spans="1:5" ht="15.75" x14ac:dyDescent="0.25">
      <c r="A1133" s="10">
        <v>1026599257</v>
      </c>
      <c r="B1133" s="2">
        <v>46045.717565856481</v>
      </c>
      <c r="C1133" s="3" t="str">
        <f>IFERROR(VLOOKUP(A1133,'Base Prueba'!A:C,3,),"NO REGISTRA")</f>
        <v>YESENIA PAOLA PINEDA HURTADO</v>
      </c>
      <c r="D1133" s="4" t="str">
        <f>IFERROR(VLOOKUP(A1133,'Base Prueba'!A:D,4,),"NO REGISTRA")</f>
        <v>LIDER DE COMPRAS</v>
      </c>
      <c r="E1133" s="5" t="str">
        <f>IFERROR(VLOOKUP(A1133,'Base Prueba'!A:E,5,),"NO REGISTRA")</f>
        <v>AREA ADMINISTRATIVA</v>
      </c>
    </row>
    <row r="1134" spans="1:5" ht="15.75" x14ac:dyDescent="0.25">
      <c r="A1134" s="10">
        <v>1023883232</v>
      </c>
      <c r="B1134" s="2">
        <v>46045.717807291665</v>
      </c>
      <c r="C1134" s="3" t="str">
        <f>IFERROR(VLOOKUP(A1134,'Base Prueba'!A:C,3,),"NO REGISTRA")</f>
        <v>MONICA ANDREA ACERO URBANO</v>
      </c>
      <c r="D1134" s="4" t="str">
        <f>IFERROR(VLOOKUP(A1134,'Base Prueba'!A:D,4,),"NO REGISTRA")</f>
        <v>APOYO INTEGRAL A GESTION HUMANA</v>
      </c>
      <c r="E1134" s="5" t="str">
        <f>IFERROR(VLOOKUP(A1134,'Base Prueba'!A:E,5,),"NO REGISTRA")</f>
        <v>DEPARTAMENTO DE GESTION HUMANA</v>
      </c>
    </row>
    <row r="1135" spans="1:5" ht="15.75" x14ac:dyDescent="0.25">
      <c r="A1135" s="10">
        <v>1000257136</v>
      </c>
      <c r="B1135" s="2">
        <v>46045.72393738426</v>
      </c>
      <c r="C1135" s="3" t="str">
        <f>IFERROR(VLOOKUP(A1135,'Base Prueba'!A:C,3,),"NO REGISTRA")</f>
        <v>FRANCI VALENTINA CANO PUENTES</v>
      </c>
      <c r="D1135" s="4" t="str">
        <f>IFERROR(VLOOKUP(A1135,'Base Prueba'!A:D,4,),"NO REGISTRA")</f>
        <v>AUXILIAR CONTABLE</v>
      </c>
      <c r="E1135" s="5" t="str">
        <f>IFERROR(VLOOKUP(A1135,'Base Prueba'!A:E,5,),"NO REGISTRA")</f>
        <v>AREA FINANCIERA Y CONTABLE</v>
      </c>
    </row>
    <row r="1136" spans="1:5" ht="15.75" x14ac:dyDescent="0.25">
      <c r="A1136" s="10">
        <v>1013616244</v>
      </c>
      <c r="B1136" s="2">
        <v>46045.736037731484</v>
      </c>
      <c r="C1136" s="3" t="str">
        <f>IFERROR(VLOOKUP(A1136,'Base Prueba'!A:C,3,),"NO REGISTRA")</f>
        <v>DIANA CAROLINA MARIN BETANCOURT</v>
      </c>
      <c r="D1136" s="4" t="str">
        <f>IFERROR(VLOOKUP(A1136,'Base Prueba'!A:D,4,),"NO REGISTRA")</f>
        <v>AUXILIAR ADMINISTRATIVO</v>
      </c>
      <c r="E1136" s="5" t="str">
        <f>IFERROR(VLOOKUP(A1136,'Base Prueba'!A:E,5,),"NO REGISTRA")</f>
        <v>REGISTRO Y CONTROL ACADEMICO</v>
      </c>
    </row>
    <row r="1137" spans="1:5" ht="15.75" x14ac:dyDescent="0.25">
      <c r="A1137" s="10">
        <v>1000604979</v>
      </c>
      <c r="B1137" s="2">
        <v>46045.73651909722</v>
      </c>
      <c r="C1137" s="3" t="str">
        <f>IFERROR(VLOOKUP(A1137,'Base Prueba'!A:C,3,),"NO REGISTRA")</f>
        <v>JULIETH TATIANA PARDO PINTO</v>
      </c>
      <c r="D1137" s="4" t="str">
        <f>IFERROR(VLOOKUP(A1137,'Base Prueba'!A:D,4,),"NO REGISTRA")</f>
        <v>AUXILIAR JURIDICO</v>
      </c>
      <c r="E1137" s="5" t="str">
        <f>IFERROR(VLOOKUP(A1137,'Base Prueba'!A:E,5,),"NO REGISTRA")</f>
        <v>SECRETARIA GENERAL</v>
      </c>
    </row>
    <row r="1138" spans="1:5" ht="15.75" x14ac:dyDescent="0.25">
      <c r="A1138" s="10">
        <v>1000593372</v>
      </c>
      <c r="B1138" s="2">
        <v>46045.736558680554</v>
      </c>
      <c r="C1138" s="3" t="str">
        <f>IFERROR(VLOOKUP(A1138,'Base Prueba'!A:C,3,),"NO REGISTRA")</f>
        <v>LAURA SOFIA CHAPARRO LOPEZ</v>
      </c>
      <c r="D1138" s="4" t="str">
        <f>IFERROR(VLOOKUP(A1138,'Base Prueba'!A:D,4,),"NO REGISTRA")</f>
        <v>AUXILIAR JURIDICO</v>
      </c>
      <c r="E1138" s="5" t="str">
        <f>IFERROR(VLOOKUP(A1138,'Base Prueba'!A:E,5,),"NO REGISTRA")</f>
        <v>SECRETARIA GENERAL</v>
      </c>
    </row>
    <row r="1139" spans="1:5" ht="15.75" x14ac:dyDescent="0.25">
      <c r="A1139" s="10">
        <v>1016090131</v>
      </c>
      <c r="B1139" s="2">
        <v>46045.749178587961</v>
      </c>
      <c r="C1139" s="3" t="str">
        <f>IFERROR(VLOOKUP(A1139,'Base Prueba'!A:C,3,),"NO REGISTRA")</f>
        <v>NICOLAS RODRIGUEZ PACHECO</v>
      </c>
      <c r="D1139" s="4" t="str">
        <f>IFERROR(VLOOKUP(A1139,'Base Prueba'!A:D,4,),"NO REGISTRA")</f>
        <v>COORDINADOR DE COMUNICACIONES</v>
      </c>
      <c r="E1139" s="5" t="str">
        <f>IFERROR(VLOOKUP(A1139,'Base Prueba'!A:E,5,),"NO REGISTRA")</f>
        <v>OFICINA DE MERCADEO</v>
      </c>
    </row>
    <row r="1140" spans="1:5" ht="15.75" x14ac:dyDescent="0.25">
      <c r="A1140" s="10">
        <v>1022378300</v>
      </c>
      <c r="B1140" s="2">
        <v>46045.750969907407</v>
      </c>
      <c r="C1140" s="3" t="str">
        <f>IFERROR(VLOOKUP(A1140,'Base Prueba'!A:C,3,),"NO REGISTRA")</f>
        <v>FERNEY ANDRES CHASPUENGAL RAMIREZ</v>
      </c>
      <c r="D1140" s="4" t="str">
        <f>IFERROR(VLOOKUP(A1140,'Base Prueba'!A:D,4,),"NO REGISTRA")</f>
        <v>LÍDER DE DEPORTE Y CULTURA</v>
      </c>
      <c r="E1140" s="5" t="str">
        <f>IFERROR(VLOOKUP(A1140,'Base Prueba'!A:E,5,),"NO REGISTRA")</f>
        <v>DIRECCION DE BIENESTAR INSTITUCIONAL</v>
      </c>
    </row>
    <row r="1141" spans="1:5" ht="15.75" x14ac:dyDescent="0.25">
      <c r="A1141" s="10">
        <v>1019105003</v>
      </c>
      <c r="B1141" s="2">
        <v>46045.761936111114</v>
      </c>
      <c r="C1141" s="3" t="str">
        <f>IFERROR(VLOOKUP(A1141,'Base Prueba'!A:C,3,),"NO REGISTRA")</f>
        <v>DAISY JULIETH GASPAR MORENO</v>
      </c>
      <c r="D1141" s="4" t="str">
        <f>IFERROR(VLOOKUP(A1141,'Base Prueba'!A:D,4,),"NO REGISTRA")</f>
        <v>PROMOTOR CALL CENTER</v>
      </c>
      <c r="E1141" s="5" t="str">
        <f>IFERROR(VLOOKUP(A1141,'Base Prueba'!A:E,5,),"NO REGISTRA")</f>
        <v>OFICINA DE MERCADEO</v>
      </c>
    </row>
    <row r="1142" spans="1:5" ht="15.75" x14ac:dyDescent="0.25">
      <c r="A1142" s="10">
        <v>1000467399</v>
      </c>
      <c r="B1142" s="2">
        <v>46045.762566550926</v>
      </c>
      <c r="C1142" s="3" t="str">
        <f>IFERROR(VLOOKUP(A1142,'Base Prueba'!A:C,3,),"NO REGISTRA")</f>
        <v>BRANDO ESTIVEN DIAZ QUIMBAYA</v>
      </c>
      <c r="D1142" s="4" t="str">
        <f>IFERROR(VLOOKUP(A1142,'Base Prueba'!A:D,4,),"NO REGISTRA")</f>
        <v>APRENDIZ UNIVERSITARIO</v>
      </c>
      <c r="E1142" s="5" t="str">
        <f>IFERROR(VLOOKUP(A1142,'Base Prueba'!A:E,5,),"NO REGISTRA")</f>
        <v>DEPARTAMENTO DE GESTION HUMANA</v>
      </c>
    </row>
    <row r="1143" spans="1:5" ht="15.75" x14ac:dyDescent="0.25">
      <c r="A1143" s="10">
        <v>1033709056</v>
      </c>
      <c r="B1143" s="2">
        <v>46045.76453148148</v>
      </c>
      <c r="C1143" s="3" t="str">
        <f>IFERROR(VLOOKUP(A1143,'Base Prueba'!A:C,3,),"NO REGISTRA")</f>
        <v>YEIMY ALEXANDRA RODRIGUEZ PALACIO</v>
      </c>
      <c r="D1143" s="4" t="str">
        <f>IFERROR(VLOOKUP(A1143,'Base Prueba'!A:D,4,),"NO REGISTRA")</f>
        <v>PROMOTOR CALL CENTER</v>
      </c>
      <c r="E1143" s="5" t="str">
        <f>IFERROR(VLOOKUP(A1143,'Base Prueba'!A:E,5,),"NO REGISTRA")</f>
        <v>OFICINA DE MERCADEO</v>
      </c>
    </row>
    <row r="1144" spans="1:5" ht="15.75" x14ac:dyDescent="0.25">
      <c r="A1144" s="10">
        <v>1003690253</v>
      </c>
      <c r="B1144" s="2">
        <v>46045.765086805557</v>
      </c>
      <c r="C1144" s="3" t="str">
        <f>IFERROR(VLOOKUP(A1144,'Base Prueba'!A:C,3,),"NO REGISTRA")</f>
        <v>MELISSA GONZALEZ PEDRAZA</v>
      </c>
      <c r="D1144" s="4" t="str">
        <f>IFERROR(VLOOKUP(A1144,'Base Prueba'!A:D,4,),"NO REGISTRA")</f>
        <v>LIDER DE JOVENES A LA E</v>
      </c>
      <c r="E1144" s="5" t="str">
        <f>IFERROR(VLOOKUP(A1144,'Base Prueba'!A:E,5,),"NO REGISTRA")</f>
        <v>DIRECCION DE BIENESTAR INSTITUCIONAL</v>
      </c>
    </row>
    <row r="1145" spans="1:5" ht="15.75" x14ac:dyDescent="0.25">
      <c r="A1145" s="10">
        <v>28798349</v>
      </c>
      <c r="B1145" s="2">
        <v>46045.766329398146</v>
      </c>
      <c r="C1145" s="3" t="str">
        <f>IFERROR(VLOOKUP(A1145,'Base Prueba'!A:C,3,),"NO REGISTRA")</f>
        <v>MARTHA ISABEL TOVAR WILLIAMS</v>
      </c>
      <c r="D1145" s="4" t="str">
        <f>IFERROR(VLOOKUP(A1145,'Base Prueba'!A:D,4,),"NO REGISTRA")</f>
        <v>PROMOTOR CALL CENTER</v>
      </c>
      <c r="E1145" s="5" t="str">
        <f>IFERROR(VLOOKUP(A1145,'Base Prueba'!A:E,5,),"NO REGISTRA")</f>
        <v>OFICINA DE MERCADEO</v>
      </c>
    </row>
    <row r="1146" spans="1:5" ht="15.75" x14ac:dyDescent="0.25">
      <c r="A1146" s="10">
        <v>52472386</v>
      </c>
      <c r="B1146" s="2">
        <v>46045.766478819445</v>
      </c>
      <c r="C1146" s="3" t="str">
        <f>IFERROR(VLOOKUP(A1146,'Base Prueba'!A:C,3,),"NO REGISTRA")</f>
        <v>ADRIANA MARCELA MORALES PARDO</v>
      </c>
      <c r="D1146" s="4" t="str">
        <f>IFERROR(VLOOKUP(A1146,'Base Prueba'!A:D,4,),"NO REGISTRA")</f>
        <v>PROMOTOR CALL CENTER</v>
      </c>
      <c r="E1146" s="5" t="str">
        <f>IFERROR(VLOOKUP(A1146,'Base Prueba'!A:E,5,),"NO REGISTRA")</f>
        <v>OFICINA DE MERCADEO</v>
      </c>
    </row>
    <row r="1147" spans="1:5" ht="15.75" x14ac:dyDescent="0.25">
      <c r="A1147" s="10">
        <v>52175674</v>
      </c>
      <c r="B1147" s="2">
        <v>46045.768006944447</v>
      </c>
      <c r="C1147" s="3" t="str">
        <f>IFERROR(VLOOKUP(A1147,'Base Prueba'!A:C,3,),"NO REGISTRA")</f>
        <v>LUZ YANETH GOMEZ AREVALO</v>
      </c>
      <c r="D1147" s="4" t="str">
        <f>IFERROR(VLOOKUP(A1147,'Base Prueba'!A:D,4,),"NO REGISTRA")</f>
        <v>COORDINADORA DE ADMISIONES</v>
      </c>
      <c r="E1147" s="5" t="str">
        <f>IFERROR(VLOOKUP(A1147,'Base Prueba'!A:E,5,),"NO REGISTRA")</f>
        <v>OFICINA DE MERCADEO</v>
      </c>
    </row>
    <row r="1148" spans="1:5" ht="15.75" x14ac:dyDescent="0.25">
      <c r="A1148" s="10">
        <v>1012357415</v>
      </c>
      <c r="B1148" s="2">
        <v>46045.774565624997</v>
      </c>
      <c r="C1148" s="3" t="str">
        <f>IFERROR(VLOOKUP(A1148,'Base Prueba'!A:C,3,),"NO REGISTRA")</f>
        <v>CINDY LORENA BOHORQUEZ LEYVA</v>
      </c>
      <c r="D1148" s="4" t="str">
        <f>IFERROR(VLOOKUP(A1148,'Base Prueba'!A:D,4,),"NO REGISTRA")</f>
        <v>ANALISTA DE TESORERIA</v>
      </c>
      <c r="E1148" s="5" t="str">
        <f>IFERROR(VLOOKUP(A1148,'Base Prueba'!A:E,5,),"NO REGISTRA")</f>
        <v>AREA FINANCIERA Y CONTABLE</v>
      </c>
    </row>
    <row r="1149" spans="1:5" ht="15.75" x14ac:dyDescent="0.25">
      <c r="A1149" s="10">
        <v>1014266838</v>
      </c>
      <c r="B1149" s="2">
        <v>46045.774626041668</v>
      </c>
      <c r="C1149" s="3" t="str">
        <f>IFERROR(VLOOKUP(A1149,'Base Prueba'!A:C,3,),"NO REGISTRA")</f>
        <v>JENNIFER ASTRID ROMERO HURTADO</v>
      </c>
      <c r="D1149" s="4" t="str">
        <f>IFERROR(VLOOKUP(A1149,'Base Prueba'!A:D,4,),"NO REGISTRA")</f>
        <v>LIDER DE RECAUDO</v>
      </c>
      <c r="E1149" s="5" t="str">
        <f>IFERROR(VLOOKUP(A1149,'Base Prueba'!A:E,5,),"NO REGISTRA")</f>
        <v>AREA FINANCIERA Y CONTABLE</v>
      </c>
    </row>
    <row r="1150" spans="1:5" ht="15.75" x14ac:dyDescent="0.25">
      <c r="A1150" s="10">
        <v>53089882</v>
      </c>
      <c r="B1150" s="2">
        <v>46045.778196296298</v>
      </c>
      <c r="C1150" s="3" t="str">
        <f>IFERROR(VLOOKUP(A1150,'Base Prueba'!A:C,3,),"NO REGISTRA")</f>
        <v>MARIA JOHANA ESCAMILLA MARTINEZ</v>
      </c>
      <c r="D1150" s="4" t="str">
        <f>IFERROR(VLOOKUP(A1150,'Base Prueba'!A:D,4,),"NO REGISTRA")</f>
        <v>PROMOTOR DE INFORMACIÓN</v>
      </c>
      <c r="E1150" s="5" t="str">
        <f>IFERROR(VLOOKUP(A1150,'Base Prueba'!A:E,5,),"NO REGISTRA")</f>
        <v>OFICINA DE MERCADEO</v>
      </c>
    </row>
    <row r="1151" spans="1:5" ht="15.75" x14ac:dyDescent="0.25">
      <c r="A1151" s="10">
        <v>1018413529</v>
      </c>
      <c r="B1151" s="2">
        <v>46045.778277083336</v>
      </c>
      <c r="C1151" s="3" t="str">
        <f>IFERROR(VLOOKUP(A1151,'Base Prueba'!A:C,3,),"NO REGISTRA")</f>
        <v>FRANCY STELLA CHARRY MORENO</v>
      </c>
      <c r="D1151" s="4" t="str">
        <f>IFERROR(VLOOKUP(A1151,'Base Prueba'!A:D,4,),"NO REGISTRA")</f>
        <v>PROMOTOR COMERCIAL DEL CEA</v>
      </c>
      <c r="E1151" s="5" t="str">
        <f>IFERROR(VLOOKUP(A1151,'Base Prueba'!A:E,5,),"NO REGISTRA")</f>
        <v>OFICINA DE MERCADEO</v>
      </c>
    </row>
    <row r="1152" spans="1:5" ht="15.75" x14ac:dyDescent="0.25">
      <c r="A1152" s="10">
        <v>1023961952</v>
      </c>
      <c r="B1152" s="2">
        <v>46045.778306250002</v>
      </c>
      <c r="C1152" s="3" t="str">
        <f>IFERROR(VLOOKUP(A1152,'Base Prueba'!A:C,3,),"NO REGISTRA")</f>
        <v>ALEJANDRO PINZON MERCHAN</v>
      </c>
      <c r="D1152" s="4" t="str">
        <f>IFERROR(VLOOKUP(A1152,'Base Prueba'!A:D,4,),"NO REGISTRA")</f>
        <v>PROMOTOR CALL CENTER</v>
      </c>
      <c r="E1152" s="5" t="str">
        <f>IFERROR(VLOOKUP(A1152,'Base Prueba'!A:E,5,),"NO REGISTRA")</f>
        <v>OFICINA DE MERCADEO</v>
      </c>
    </row>
    <row r="1153" spans="1:5" ht="15.75" x14ac:dyDescent="0.25">
      <c r="A1153" s="10">
        <v>1032407386</v>
      </c>
      <c r="B1153" s="2">
        <v>46045.780654282411</v>
      </c>
      <c r="C1153" s="3" t="str">
        <f>IFERROR(VLOOKUP(A1153,'Base Prueba'!A:C,3,),"NO REGISTRA")</f>
        <v>GINA PAOLA BAEZ GALVIS</v>
      </c>
      <c r="D1153" s="4" t="str">
        <f>IFERROR(VLOOKUP(A1153,'Base Prueba'!A:D,4,),"NO REGISTRA")</f>
        <v>PROMOTOR CALL CENTER</v>
      </c>
      <c r="E1153" s="5" t="str">
        <f>IFERROR(VLOOKUP(A1153,'Base Prueba'!A:E,5,),"NO REGISTRA")</f>
        <v>OFICINA DE MERCADEO</v>
      </c>
    </row>
    <row r="1154" spans="1:5" ht="15.75" x14ac:dyDescent="0.25">
      <c r="A1154" s="10">
        <v>1018414290</v>
      </c>
      <c r="B1154" s="2">
        <v>46045.780687615741</v>
      </c>
      <c r="C1154" s="3" t="str">
        <f>IFERROR(VLOOKUP(A1154,'Base Prueba'!A:C,3,),"NO REGISTRA")</f>
        <v>AMANDA LISBETH RODRIGUEZ LEON</v>
      </c>
      <c r="D1154" s="4" t="str">
        <f>IFERROR(VLOOKUP(A1154,'Base Prueba'!A:D,4,),"NO REGISTRA")</f>
        <v>PROMOTOR CALL CENTER</v>
      </c>
      <c r="E1154" s="5" t="str">
        <f>IFERROR(VLOOKUP(A1154,'Base Prueba'!A:E,5,),"NO REGISTRA")</f>
        <v>OFICINA DE MERCADEO</v>
      </c>
    </row>
    <row r="1155" spans="1:5" ht="15.75" x14ac:dyDescent="0.25">
      <c r="A1155" s="10">
        <v>80234243</v>
      </c>
      <c r="B1155" s="2">
        <v>46045.784485185184</v>
      </c>
      <c r="C1155" s="3" t="str">
        <f>IFERROR(VLOOKUP(A1155,'Base Prueba'!A:C,3,),"NO REGISTRA")</f>
        <v>ARGENIS MARTINEZ MARTINEZ</v>
      </c>
      <c r="D1155" s="4" t="str">
        <f>IFERROR(VLOOKUP(A1155,'Base Prueba'!A:D,4,),"NO REGISTRA")</f>
        <v>LIDER CALL CENTER</v>
      </c>
      <c r="E1155" s="5" t="str">
        <f>IFERROR(VLOOKUP(A1155,'Base Prueba'!A:E,5,),"NO REGISTRA")</f>
        <v>OFICINA DE MERCADEO</v>
      </c>
    </row>
    <row r="1156" spans="1:5" ht="15.75" x14ac:dyDescent="0.25">
      <c r="A1156" s="10">
        <v>1000457706</v>
      </c>
      <c r="B1156" s="2">
        <v>46045.78560625</v>
      </c>
      <c r="C1156" s="3" t="str">
        <f>IFERROR(VLOOKUP(A1156,'Base Prueba'!A:C,3,),"NO REGISTRA")</f>
        <v>CRISTIAN DANILO ARROYO SANABRIA</v>
      </c>
      <c r="D1156" s="4" t="str">
        <f>IFERROR(VLOOKUP(A1156,'Base Prueba'!A:D,4,),"NO REGISTRA")</f>
        <v>AUXILIAR CONTABLE</v>
      </c>
      <c r="E1156" s="5" t="str">
        <f>IFERROR(VLOOKUP(A1156,'Base Prueba'!A:E,5,),"NO REGISTRA")</f>
        <v>AREA FINANCIERA Y CONTABLE</v>
      </c>
    </row>
    <row r="1157" spans="1:5" ht="15.75" x14ac:dyDescent="0.25">
      <c r="A1157" s="10">
        <v>1193265768</v>
      </c>
      <c r="B1157" s="2">
        <v>46045.792895370367</v>
      </c>
      <c r="C1157" s="3" t="str">
        <f>IFERROR(VLOOKUP(A1157,'Base Prueba'!A:C,3,),"NO REGISTRA")</f>
        <v>SANTIAGO OSORIO CAMACHO</v>
      </c>
      <c r="D1157" s="4" t="str">
        <f>IFERROR(VLOOKUP(A1157,'Base Prueba'!A:D,4,),"NO REGISTRA")</f>
        <v>ANALISTA DE PAUTA</v>
      </c>
      <c r="E1157" s="5" t="str">
        <f>IFERROR(VLOOKUP(A1157,'Base Prueba'!A:E,5,),"NO REGISTRA")</f>
        <v>OFICINA DE MERCADEO</v>
      </c>
    </row>
    <row r="1158" spans="1:5" ht="15.75" x14ac:dyDescent="0.25">
      <c r="A1158" s="10">
        <v>1000365751</v>
      </c>
      <c r="B1158" s="2">
        <v>46045.792914699072</v>
      </c>
      <c r="C1158" s="3" t="str">
        <f>IFERROR(VLOOKUP(A1158,'Base Prueba'!A:C,3,),"NO REGISTRA")</f>
        <v>JHOAN NICOLAS ESCAMILLA MANJARRES</v>
      </c>
      <c r="D1158" s="4" t="str">
        <f>IFERROR(VLOOKUP(A1158,'Base Prueba'!A:D,4,),"NO REGISTRA")</f>
        <v>APRENDIZ UNIVERSITARIO</v>
      </c>
      <c r="E1158" s="5" t="str">
        <f>IFERROR(VLOOKUP(A1158,'Base Prueba'!A:E,5,),"NO REGISTRA")</f>
        <v>OFICINA DE MERCADEO</v>
      </c>
    </row>
    <row r="1159" spans="1:5" ht="15.75" x14ac:dyDescent="0.25">
      <c r="A1159" s="10">
        <v>1014196857</v>
      </c>
      <c r="B1159" s="2">
        <v>46045.792971296294</v>
      </c>
      <c r="C1159" s="3" t="str">
        <f>IFERROR(VLOOKUP(A1159,'Base Prueba'!A:C,3,),"NO REGISTRA")</f>
        <v>CARLOS ANDRES JIMENEZ PARDO</v>
      </c>
      <c r="D1159" s="4" t="str">
        <f>IFERROR(VLOOKUP(A1159,'Base Prueba'!A:D,4,),"NO REGISTRA")</f>
        <v>COORDINADOR DE MARKETING DIGITAL</v>
      </c>
      <c r="E1159" s="5" t="str">
        <f>IFERROR(VLOOKUP(A1159,'Base Prueba'!A:E,5,),"NO REGISTRA")</f>
        <v>OFICINA DE MERCADEO</v>
      </c>
    </row>
    <row r="1160" spans="1:5" ht="15.75" x14ac:dyDescent="0.25">
      <c r="A1160" s="10">
        <v>1013616244</v>
      </c>
      <c r="B1160" s="2">
        <v>46046.314630208333</v>
      </c>
      <c r="C1160" s="3" t="str">
        <f>IFERROR(VLOOKUP(A1160,'Base Prueba'!A:C,3,),"NO REGISTRA")</f>
        <v>DIANA CAROLINA MARIN BETANCOURT</v>
      </c>
      <c r="D1160" s="4" t="str">
        <f>IFERROR(VLOOKUP(A1160,'Base Prueba'!A:D,4,),"NO REGISTRA")</f>
        <v>AUXILIAR ADMINISTRATIVO</v>
      </c>
      <c r="E1160" s="5" t="str">
        <f>IFERROR(VLOOKUP(A1160,'Base Prueba'!A:E,5,),"NO REGISTRA")</f>
        <v>REGISTRO Y CONTROL ACADEMICO</v>
      </c>
    </row>
    <row r="1161" spans="1:5" ht="15.75" x14ac:dyDescent="0.25">
      <c r="A1161" s="10">
        <v>1025322754</v>
      </c>
      <c r="B1161" s="2">
        <v>46046.338256712967</v>
      </c>
      <c r="C1161" s="3" t="str">
        <f>IFERROR(VLOOKUP(A1161,'Base Prueba'!A:C,3,),"NO REGISTRA")</f>
        <v>ALISON YULIANA BEJARANO RUIZ</v>
      </c>
      <c r="D1161" s="4" t="str">
        <f>IFERROR(VLOOKUP(A1161,'Base Prueba'!A:D,4,),"NO REGISTRA")</f>
        <v>AUXILIAR DE SISTEMAS</v>
      </c>
      <c r="E1161" s="5" t="str">
        <f>IFERROR(VLOOKUP(A1161,'Base Prueba'!A:E,5,),"NO REGISTRA")</f>
        <v>DEPARTAMENTO DE INFORMATICA Y TECNOLOGIA</v>
      </c>
    </row>
    <row r="1162" spans="1:5" ht="15.75" x14ac:dyDescent="0.25">
      <c r="A1162" s="10">
        <v>1018413529</v>
      </c>
      <c r="B1162" s="2">
        <v>46046.364653935183</v>
      </c>
      <c r="C1162" s="3" t="str">
        <f>IFERROR(VLOOKUP(A1162,'Base Prueba'!A:C,3,),"NO REGISTRA")</f>
        <v>FRANCY STELLA CHARRY MORENO</v>
      </c>
      <c r="D1162" s="4" t="str">
        <f>IFERROR(VLOOKUP(A1162,'Base Prueba'!A:D,4,),"NO REGISTRA")</f>
        <v>PROMOTOR COMERCIAL DEL CEA</v>
      </c>
      <c r="E1162" s="5" t="str">
        <f>IFERROR(VLOOKUP(A1162,'Base Prueba'!A:E,5,),"NO REGISTRA")</f>
        <v>OFICINA DE MERCADEO</v>
      </c>
    </row>
    <row r="1163" spans="1:5" ht="15.75" x14ac:dyDescent="0.25">
      <c r="A1163" s="10">
        <v>1033709056</v>
      </c>
      <c r="B1163" s="2">
        <v>46046.365825231478</v>
      </c>
      <c r="C1163" s="3" t="str">
        <f>IFERROR(VLOOKUP(A1163,'Base Prueba'!A:C,3,),"NO REGISTRA")</f>
        <v>YEIMY ALEXANDRA RODRIGUEZ PALACIO</v>
      </c>
      <c r="D1163" s="4" t="str">
        <f>IFERROR(VLOOKUP(A1163,'Base Prueba'!A:D,4,),"NO REGISTRA")</f>
        <v>PROMOTOR CALL CENTER</v>
      </c>
      <c r="E1163" s="5" t="str">
        <f>IFERROR(VLOOKUP(A1163,'Base Prueba'!A:E,5,),"NO REGISTRA")</f>
        <v>OFICINA DE MERCADEO</v>
      </c>
    </row>
    <row r="1164" spans="1:5" ht="15.75" x14ac:dyDescent="0.25">
      <c r="A1164" s="10">
        <v>52472386</v>
      </c>
      <c r="B1164" s="2">
        <v>46046.365999768517</v>
      </c>
      <c r="C1164" s="3" t="str">
        <f>IFERROR(VLOOKUP(A1164,'Base Prueba'!A:C,3,),"NO REGISTRA")</f>
        <v>ADRIANA MARCELA MORALES PARDO</v>
      </c>
      <c r="D1164" s="4" t="str">
        <f>IFERROR(VLOOKUP(A1164,'Base Prueba'!A:D,4,),"NO REGISTRA")</f>
        <v>PROMOTOR CALL CENTER</v>
      </c>
      <c r="E1164" s="5" t="str">
        <f>IFERROR(VLOOKUP(A1164,'Base Prueba'!A:E,5,),"NO REGISTRA")</f>
        <v>OFICINA DE MERCADEO</v>
      </c>
    </row>
    <row r="1165" spans="1:5" ht="15.75" x14ac:dyDescent="0.25">
      <c r="A1165" s="10">
        <v>1014308296</v>
      </c>
      <c r="B1165" s="2">
        <v>46046.366463425926</v>
      </c>
      <c r="C1165" s="3" t="str">
        <f>IFERROR(VLOOKUP(A1165,'Base Prueba'!A:C,3,),"NO REGISTRA")</f>
        <v>DARLENE YULIANA MORENO CELEITA</v>
      </c>
      <c r="D1165" s="4" t="str">
        <f>IFERROR(VLOOKUP(A1165,'Base Prueba'!A:D,4,),"NO REGISTRA")</f>
        <v>CAJERO PRINCIPAL</v>
      </c>
      <c r="E1165" s="5" t="str">
        <f>IFERROR(VLOOKUP(A1165,'Base Prueba'!A:E,5,),"NO REGISTRA")</f>
        <v>AREA FINANCIERA Y CONTABLE</v>
      </c>
    </row>
    <row r="1166" spans="1:5" ht="15.75" x14ac:dyDescent="0.25">
      <c r="A1166" s="10">
        <v>1030567635</v>
      </c>
      <c r="B1166" s="2">
        <v>46046.367714467589</v>
      </c>
      <c r="C1166" s="3" t="str">
        <f>IFERROR(VLOOKUP(A1166,'Base Prueba'!A:C,3,),"NO REGISTRA")</f>
        <v>JEFFERSON ANDRES BARRETO DIAZ</v>
      </c>
      <c r="D1166" s="4" t="str">
        <f>IFERROR(VLOOKUP(A1166,'Base Prueba'!A:D,4,),"NO REGISTRA")</f>
        <v>AUXILIAR DE ARCHIVO</v>
      </c>
      <c r="E1166" s="5" t="str">
        <f>IFERROR(VLOOKUP(A1166,'Base Prueba'!A:E,5,),"NO REGISTRA")</f>
        <v>CENTRO DE GESTION DOCUMENTAL</v>
      </c>
    </row>
    <row r="1167" spans="1:5" ht="15.75" x14ac:dyDescent="0.25">
      <c r="A1167" s="10">
        <v>80234243</v>
      </c>
      <c r="B1167" s="2">
        <v>46046.368393750003</v>
      </c>
      <c r="C1167" s="3" t="str">
        <f>IFERROR(VLOOKUP(A1167,'Base Prueba'!A:C,3,),"NO REGISTRA")</f>
        <v>ARGENIS MARTINEZ MARTINEZ</v>
      </c>
      <c r="D1167" s="4" t="str">
        <f>IFERROR(VLOOKUP(A1167,'Base Prueba'!A:D,4,),"NO REGISTRA")</f>
        <v>LIDER CALL CENTER</v>
      </c>
      <c r="E1167" s="5" t="str">
        <f>IFERROR(VLOOKUP(A1167,'Base Prueba'!A:E,5,),"NO REGISTRA")</f>
        <v>OFICINA DE MERCADEO</v>
      </c>
    </row>
    <row r="1168" spans="1:5" ht="15.75" x14ac:dyDescent="0.25">
      <c r="A1168" s="10">
        <v>1032407386</v>
      </c>
      <c r="B1168" s="2">
        <v>46046.369534143516</v>
      </c>
      <c r="C1168" s="3" t="str">
        <f>IFERROR(VLOOKUP(A1168,'Base Prueba'!A:C,3,),"NO REGISTRA")</f>
        <v>GINA PAOLA BAEZ GALVIS</v>
      </c>
      <c r="D1168" s="4" t="str">
        <f>IFERROR(VLOOKUP(A1168,'Base Prueba'!A:D,4,),"NO REGISTRA")</f>
        <v>PROMOTOR CALL CENTER</v>
      </c>
      <c r="E1168" s="5" t="str">
        <f>IFERROR(VLOOKUP(A1168,'Base Prueba'!A:E,5,),"NO REGISTRA")</f>
        <v>OFICINA DE MERCADEO</v>
      </c>
    </row>
    <row r="1169" spans="1:5" ht="15.75" x14ac:dyDescent="0.25">
      <c r="A1169" s="10">
        <v>1023961952</v>
      </c>
      <c r="B1169" s="2">
        <v>46046.370224652776</v>
      </c>
      <c r="C1169" s="3" t="str">
        <f>IFERROR(VLOOKUP(A1169,'Base Prueba'!A:C,3,),"NO REGISTRA")</f>
        <v>ALEJANDRO PINZON MERCHAN</v>
      </c>
      <c r="D1169" s="4" t="str">
        <f>IFERROR(VLOOKUP(A1169,'Base Prueba'!A:D,4,),"NO REGISTRA")</f>
        <v>PROMOTOR CALL CENTER</v>
      </c>
      <c r="E1169" s="5" t="str">
        <f>IFERROR(VLOOKUP(A1169,'Base Prueba'!A:E,5,),"NO REGISTRA")</f>
        <v>OFICINA DE MERCADEO</v>
      </c>
    </row>
    <row r="1170" spans="1:5" ht="15.75" x14ac:dyDescent="0.25">
      <c r="A1170" s="10">
        <v>1019105003</v>
      </c>
      <c r="B1170" s="2">
        <v>46046.372067939817</v>
      </c>
      <c r="C1170" s="3" t="str">
        <f>IFERROR(VLOOKUP(A1170,'Base Prueba'!A:C,3,),"NO REGISTRA")</f>
        <v>DAISY JULIETH GASPAR MORENO</v>
      </c>
      <c r="D1170" s="4" t="str">
        <f>IFERROR(VLOOKUP(A1170,'Base Prueba'!A:D,4,),"NO REGISTRA")</f>
        <v>PROMOTOR CALL CENTER</v>
      </c>
      <c r="E1170" s="5" t="str">
        <f>IFERROR(VLOOKUP(A1170,'Base Prueba'!A:E,5,),"NO REGISTRA")</f>
        <v>OFICINA DE MERCADEO</v>
      </c>
    </row>
    <row r="1171" spans="1:5" ht="15.75" x14ac:dyDescent="0.25">
      <c r="A1171" s="10">
        <v>1018414290</v>
      </c>
      <c r="B1171" s="2">
        <v>46046.375372337963</v>
      </c>
      <c r="C1171" s="3" t="str">
        <f>IFERROR(VLOOKUP(A1171,'Base Prueba'!A:C,3,),"NO REGISTRA")</f>
        <v>AMANDA LISBETH RODRIGUEZ LEON</v>
      </c>
      <c r="D1171" s="4" t="str">
        <f>IFERROR(VLOOKUP(A1171,'Base Prueba'!A:D,4,),"NO REGISTRA")</f>
        <v>PROMOTOR CALL CENTER</v>
      </c>
      <c r="E1171" s="5" t="str">
        <f>IFERROR(VLOOKUP(A1171,'Base Prueba'!A:E,5,),"NO REGISTRA")</f>
        <v>OFICINA DE MERCADEO</v>
      </c>
    </row>
    <row r="1172" spans="1:5" ht="15.75" x14ac:dyDescent="0.25">
      <c r="A1172" s="10">
        <v>1013098645</v>
      </c>
      <c r="B1172" s="2">
        <v>46046.377824074072</v>
      </c>
      <c r="C1172" s="3" t="str">
        <f>IFERROR(VLOOKUP(A1172,'Base Prueba'!A:C,3,),"NO REGISTRA")</f>
        <v>CATHERINE LUCIA PENAGOS RIVERA</v>
      </c>
      <c r="D1172" s="4" t="str">
        <f>IFERROR(VLOOKUP(A1172,'Base Prueba'!A:D,4,),"NO REGISTRA")</f>
        <v>LIDER DE REGISTRO Y CONTROL ACADEMICO</v>
      </c>
      <c r="E1172" s="5" t="str">
        <f>IFERROR(VLOOKUP(A1172,'Base Prueba'!A:E,5,),"NO REGISTRA")</f>
        <v>REGISTRO Y CONTROL ACADEMICO</v>
      </c>
    </row>
    <row r="1173" spans="1:5" ht="15.75" x14ac:dyDescent="0.25">
      <c r="A1173" s="10">
        <v>1012426741</v>
      </c>
      <c r="B1173" s="2">
        <v>46046.377860416665</v>
      </c>
      <c r="C1173" s="3" t="str">
        <f>IFERROR(VLOOKUP(A1173,'Base Prueba'!A:C,3,),"NO REGISTRA")</f>
        <v>CRISTIAN FABIAN ROJAS SANCENO</v>
      </c>
      <c r="D1173" s="4" t="str">
        <f>IFERROR(VLOOKUP(A1173,'Base Prueba'!A:D,4,),"NO REGISTRA")</f>
        <v>AUXILIAR DE REINTEGROS</v>
      </c>
      <c r="E1173" s="5" t="str">
        <f>IFERROR(VLOOKUP(A1173,'Base Prueba'!A:E,5,),"NO REGISTRA")</f>
        <v>DIRECCION DE BIENESTAR INSTITUCIONAL</v>
      </c>
    </row>
    <row r="1174" spans="1:5" ht="15.75" x14ac:dyDescent="0.25">
      <c r="A1174" s="10">
        <v>1012357415</v>
      </c>
      <c r="B1174" s="2">
        <v>46046.379720486111</v>
      </c>
      <c r="C1174" s="3" t="str">
        <f>IFERROR(VLOOKUP(A1174,'Base Prueba'!A:C,3,),"NO REGISTRA")</f>
        <v>CINDY LORENA BOHORQUEZ LEYVA</v>
      </c>
      <c r="D1174" s="4" t="str">
        <f>IFERROR(VLOOKUP(A1174,'Base Prueba'!A:D,4,),"NO REGISTRA")</f>
        <v>ANALISTA DE TESORERIA</v>
      </c>
      <c r="E1174" s="5" t="str">
        <f>IFERROR(VLOOKUP(A1174,'Base Prueba'!A:E,5,),"NO REGISTRA")</f>
        <v>AREA FINANCIERA Y CONTABLE</v>
      </c>
    </row>
    <row r="1175" spans="1:5" ht="15.75" x14ac:dyDescent="0.25">
      <c r="A1175" s="10">
        <v>28798349</v>
      </c>
      <c r="B1175" s="2">
        <v>46046.380131712962</v>
      </c>
      <c r="C1175" s="3" t="str">
        <f>IFERROR(VLOOKUP(A1175,'Base Prueba'!A:C,3,),"NO REGISTRA")</f>
        <v>MARTHA ISABEL TOVAR WILLIAMS</v>
      </c>
      <c r="D1175" s="4" t="str">
        <f>IFERROR(VLOOKUP(A1175,'Base Prueba'!A:D,4,),"NO REGISTRA")</f>
        <v>PROMOTOR CALL CENTER</v>
      </c>
      <c r="E1175" s="5" t="str">
        <f>IFERROR(VLOOKUP(A1175,'Base Prueba'!A:E,5,),"NO REGISTRA")</f>
        <v>OFICINA DE MERCADEO</v>
      </c>
    </row>
    <row r="1176" spans="1:5" ht="15.75" x14ac:dyDescent="0.25">
      <c r="A1176" s="10">
        <v>53089882</v>
      </c>
      <c r="B1176" s="2">
        <v>46046.38523472222</v>
      </c>
      <c r="C1176" s="3" t="str">
        <f>IFERROR(VLOOKUP(A1176,'Base Prueba'!A:C,3,),"NO REGISTRA")</f>
        <v>MARIA JOHANA ESCAMILLA MARTINEZ</v>
      </c>
      <c r="D1176" s="4" t="str">
        <f>IFERROR(VLOOKUP(A1176,'Base Prueba'!A:D,4,),"NO REGISTRA")</f>
        <v>PROMOTOR DE INFORMACIÓN</v>
      </c>
      <c r="E1176" s="5" t="str">
        <f>IFERROR(VLOOKUP(A1176,'Base Prueba'!A:E,5,),"NO REGISTRA")</f>
        <v>OFICINA DE MERCADEO</v>
      </c>
    </row>
    <row r="1177" spans="1:5" ht="15.75" x14ac:dyDescent="0.25">
      <c r="A1177" s="10">
        <v>1193265768</v>
      </c>
      <c r="B1177" s="2">
        <v>46046.405440046299</v>
      </c>
      <c r="C1177" s="3" t="str">
        <f>IFERROR(VLOOKUP(A1177,'Base Prueba'!A:C,3,),"NO REGISTRA")</f>
        <v>SANTIAGO OSORIO CAMACHO</v>
      </c>
      <c r="D1177" s="4" t="str">
        <f>IFERROR(VLOOKUP(A1177,'Base Prueba'!A:D,4,),"NO REGISTRA")</f>
        <v>ANALISTA DE PAUTA</v>
      </c>
      <c r="E1177" s="5" t="str">
        <f>IFERROR(VLOOKUP(A1177,'Base Prueba'!A:E,5,),"NO REGISTRA")</f>
        <v>OFICINA DE MERCADEO</v>
      </c>
    </row>
    <row r="1178" spans="1:5" ht="15.75" x14ac:dyDescent="0.25">
      <c r="A1178" s="10">
        <v>1000365751</v>
      </c>
      <c r="B1178" s="2">
        <v>46046.491938888888</v>
      </c>
      <c r="C1178" s="3" t="str">
        <f>IFERROR(VLOOKUP(A1178,'Base Prueba'!A:C,3,),"NO REGISTRA")</f>
        <v>JHOAN NICOLAS ESCAMILLA MANJARRES</v>
      </c>
      <c r="D1178" s="4" t="str">
        <f>IFERROR(VLOOKUP(A1178,'Base Prueba'!A:D,4,),"NO REGISTRA")</f>
        <v>APRENDIZ UNIVERSITARIO</v>
      </c>
      <c r="E1178" s="5" t="str">
        <f>IFERROR(VLOOKUP(A1178,'Base Prueba'!A:E,5,),"NO REGISTRA")</f>
        <v>OFICINA DE MERCADEO</v>
      </c>
    </row>
    <row r="1179" spans="1:5" ht="15.75" x14ac:dyDescent="0.25">
      <c r="A1179" s="10">
        <v>1022378300</v>
      </c>
      <c r="B1179" s="2">
        <v>46046.500118518517</v>
      </c>
      <c r="C1179" s="3" t="str">
        <f>IFERROR(VLOOKUP(A1179,'Base Prueba'!A:C,3,),"NO REGISTRA")</f>
        <v>FERNEY ANDRES CHASPUENGAL RAMIREZ</v>
      </c>
      <c r="D1179" s="4" t="str">
        <f>IFERROR(VLOOKUP(A1179,'Base Prueba'!A:D,4,),"NO REGISTRA")</f>
        <v>LÍDER DE DEPORTE Y CULTURA</v>
      </c>
      <c r="E1179" s="5" t="str">
        <f>IFERROR(VLOOKUP(A1179,'Base Prueba'!A:E,5,),"NO REGISTRA")</f>
        <v>DIRECCION DE BIENESTAR INSTITUCIONAL</v>
      </c>
    </row>
    <row r="1180" spans="1:5" ht="15.75" x14ac:dyDescent="0.25">
      <c r="A1180" s="10">
        <v>1012426741</v>
      </c>
      <c r="B1180" s="2">
        <v>46046.50036435185</v>
      </c>
      <c r="C1180" s="3" t="str">
        <f>IFERROR(VLOOKUP(A1180,'Base Prueba'!A:C,3,),"NO REGISTRA")</f>
        <v>CRISTIAN FABIAN ROJAS SANCENO</v>
      </c>
      <c r="D1180" s="4" t="str">
        <f>IFERROR(VLOOKUP(A1180,'Base Prueba'!A:D,4,),"NO REGISTRA")</f>
        <v>AUXILIAR DE REINTEGROS</v>
      </c>
      <c r="E1180" s="5" t="str">
        <f>IFERROR(VLOOKUP(A1180,'Base Prueba'!A:E,5,),"NO REGISTRA")</f>
        <v>DIRECCION DE BIENESTAR INSTITUCIONAL</v>
      </c>
    </row>
    <row r="1181" spans="1:5" ht="15.75" x14ac:dyDescent="0.25">
      <c r="A1181" s="10">
        <v>1030567635</v>
      </c>
      <c r="B1181" s="2">
        <v>46046.500907175927</v>
      </c>
      <c r="C1181" s="3" t="str">
        <f>IFERROR(VLOOKUP(A1181,'Base Prueba'!A:C,3,),"NO REGISTRA")</f>
        <v>JEFFERSON ANDRES BARRETO DIAZ</v>
      </c>
      <c r="D1181" s="4" t="str">
        <f>IFERROR(VLOOKUP(A1181,'Base Prueba'!A:D,4,),"NO REGISTRA")</f>
        <v>AUXILIAR DE ARCHIVO</v>
      </c>
      <c r="E1181" s="5" t="str">
        <f>IFERROR(VLOOKUP(A1181,'Base Prueba'!A:E,5,),"NO REGISTRA")</f>
        <v>CENTRO DE GESTION DOCUMENTAL</v>
      </c>
    </row>
    <row r="1182" spans="1:5" ht="15.75" x14ac:dyDescent="0.25">
      <c r="A1182" s="10">
        <v>1193265768</v>
      </c>
      <c r="B1182" s="2">
        <v>46046.501671412036</v>
      </c>
      <c r="C1182" s="3" t="str">
        <f>IFERROR(VLOOKUP(A1182,'Base Prueba'!A:C,3,),"NO REGISTRA")</f>
        <v>SANTIAGO OSORIO CAMACHO</v>
      </c>
      <c r="D1182" s="4" t="str">
        <f>IFERROR(VLOOKUP(A1182,'Base Prueba'!A:D,4,),"NO REGISTRA")</f>
        <v>ANALISTA DE PAUTA</v>
      </c>
      <c r="E1182" s="5" t="str">
        <f>IFERROR(VLOOKUP(A1182,'Base Prueba'!A:E,5,),"NO REGISTRA")</f>
        <v>OFICINA DE MERCADEO</v>
      </c>
    </row>
    <row r="1183" spans="1:5" ht="15.75" x14ac:dyDescent="0.25">
      <c r="A1183" s="10">
        <v>1019105003</v>
      </c>
      <c r="B1183" s="2">
        <v>46046.502493171298</v>
      </c>
      <c r="C1183" s="3" t="str">
        <f>IFERROR(VLOOKUP(A1183,'Base Prueba'!A:C,3,),"NO REGISTRA")</f>
        <v>DAISY JULIETH GASPAR MORENO</v>
      </c>
      <c r="D1183" s="4" t="str">
        <f>IFERROR(VLOOKUP(A1183,'Base Prueba'!A:D,4,),"NO REGISTRA")</f>
        <v>PROMOTOR CALL CENTER</v>
      </c>
      <c r="E1183" s="5" t="str">
        <f>IFERROR(VLOOKUP(A1183,'Base Prueba'!A:E,5,),"NO REGISTRA")</f>
        <v>OFICINA DE MERCADEO</v>
      </c>
    </row>
    <row r="1184" spans="1:5" ht="15.75" x14ac:dyDescent="0.25">
      <c r="A1184" s="10">
        <v>1033709056</v>
      </c>
      <c r="B1184" s="2">
        <v>46046.505710185185</v>
      </c>
      <c r="C1184" s="3" t="str">
        <f>IFERROR(VLOOKUP(A1184,'Base Prueba'!A:C,3,),"NO REGISTRA")</f>
        <v>YEIMY ALEXANDRA RODRIGUEZ PALACIO</v>
      </c>
      <c r="D1184" s="4" t="str">
        <f>IFERROR(VLOOKUP(A1184,'Base Prueba'!A:D,4,),"NO REGISTRA")</f>
        <v>PROMOTOR CALL CENTER</v>
      </c>
      <c r="E1184" s="5" t="str">
        <f>IFERROR(VLOOKUP(A1184,'Base Prueba'!A:E,5,),"NO REGISTRA")</f>
        <v>OFICINA DE MERCADEO</v>
      </c>
    </row>
    <row r="1185" spans="1:5" ht="15.75" x14ac:dyDescent="0.25">
      <c r="A1185" s="10">
        <v>1014308296</v>
      </c>
      <c r="B1185" s="2">
        <v>46046.505808333335</v>
      </c>
      <c r="C1185" s="3" t="str">
        <f>IFERROR(VLOOKUP(A1185,'Base Prueba'!A:C,3,),"NO REGISTRA")</f>
        <v>DARLENE YULIANA MORENO CELEITA</v>
      </c>
      <c r="D1185" s="4" t="str">
        <f>IFERROR(VLOOKUP(A1185,'Base Prueba'!A:D,4,),"NO REGISTRA")</f>
        <v>CAJERO PRINCIPAL</v>
      </c>
      <c r="E1185" s="5" t="str">
        <f>IFERROR(VLOOKUP(A1185,'Base Prueba'!A:E,5,),"NO REGISTRA")</f>
        <v>AREA FINANCIERA Y CONTABLE</v>
      </c>
    </row>
    <row r="1186" spans="1:5" ht="15.75" x14ac:dyDescent="0.25">
      <c r="A1186" s="10">
        <v>28798349</v>
      </c>
      <c r="B1186" s="2">
        <v>46046.506825578705</v>
      </c>
      <c r="C1186" s="3" t="str">
        <f>IFERROR(VLOOKUP(A1186,'Base Prueba'!A:C,3,),"NO REGISTRA")</f>
        <v>MARTHA ISABEL TOVAR WILLIAMS</v>
      </c>
      <c r="D1186" s="4" t="str">
        <f>IFERROR(VLOOKUP(A1186,'Base Prueba'!A:D,4,),"NO REGISTRA")</f>
        <v>PROMOTOR CALL CENTER</v>
      </c>
      <c r="E1186" s="5" t="str">
        <f>IFERROR(VLOOKUP(A1186,'Base Prueba'!A:E,5,),"NO REGISTRA")</f>
        <v>OFICINA DE MERCADEO</v>
      </c>
    </row>
    <row r="1187" spans="1:5" ht="15.75" x14ac:dyDescent="0.25">
      <c r="A1187" s="10">
        <v>52472386</v>
      </c>
      <c r="B1187" s="2">
        <v>46046.506903125002</v>
      </c>
      <c r="C1187" s="3" t="str">
        <f>IFERROR(VLOOKUP(A1187,'Base Prueba'!A:C,3,),"NO REGISTRA")</f>
        <v>ADRIANA MARCELA MORALES PARDO</v>
      </c>
      <c r="D1187" s="4" t="str">
        <f>IFERROR(VLOOKUP(A1187,'Base Prueba'!A:D,4,),"NO REGISTRA")</f>
        <v>PROMOTOR CALL CENTER</v>
      </c>
      <c r="E1187" s="5" t="str">
        <f>IFERROR(VLOOKUP(A1187,'Base Prueba'!A:E,5,),"NO REGISTRA")</f>
        <v>OFICINA DE MERCADEO</v>
      </c>
    </row>
    <row r="1188" spans="1:5" ht="15.75" x14ac:dyDescent="0.25">
      <c r="A1188" s="10">
        <v>1012357415</v>
      </c>
      <c r="B1188" s="2">
        <v>46046.507964351855</v>
      </c>
      <c r="C1188" s="3" t="str">
        <f>IFERROR(VLOOKUP(A1188,'Base Prueba'!A:C,3,),"NO REGISTRA")</f>
        <v>CINDY LORENA BOHORQUEZ LEYVA</v>
      </c>
      <c r="D1188" s="4" t="str">
        <f>IFERROR(VLOOKUP(A1188,'Base Prueba'!A:D,4,),"NO REGISTRA")</f>
        <v>ANALISTA DE TESORERIA</v>
      </c>
      <c r="E1188" s="5" t="str">
        <f>IFERROR(VLOOKUP(A1188,'Base Prueba'!A:E,5,),"NO REGISTRA")</f>
        <v>AREA FINANCIERA Y CONTABLE</v>
      </c>
    </row>
    <row r="1189" spans="1:5" ht="15.75" x14ac:dyDescent="0.25">
      <c r="A1189" s="10">
        <v>1032407386</v>
      </c>
      <c r="B1189" s="2">
        <v>46046.510355092592</v>
      </c>
      <c r="C1189" s="3" t="str">
        <f>IFERROR(VLOOKUP(A1189,'Base Prueba'!A:C,3,),"NO REGISTRA")</f>
        <v>GINA PAOLA BAEZ GALVIS</v>
      </c>
      <c r="D1189" s="4" t="str">
        <f>IFERROR(VLOOKUP(A1189,'Base Prueba'!A:D,4,),"NO REGISTRA")</f>
        <v>PROMOTOR CALL CENTER</v>
      </c>
      <c r="E1189" s="5" t="str">
        <f>IFERROR(VLOOKUP(A1189,'Base Prueba'!A:E,5,),"NO REGISTRA")</f>
        <v>OFICINA DE MERCADEO</v>
      </c>
    </row>
    <row r="1190" spans="1:5" ht="15.75" x14ac:dyDescent="0.25">
      <c r="A1190" s="10">
        <v>1018414290</v>
      </c>
      <c r="B1190" s="2">
        <v>46046.510446990738</v>
      </c>
      <c r="C1190" s="3" t="str">
        <f>IFERROR(VLOOKUP(A1190,'Base Prueba'!A:C,3,),"NO REGISTRA")</f>
        <v>AMANDA LISBETH RODRIGUEZ LEON</v>
      </c>
      <c r="D1190" s="4" t="str">
        <f>IFERROR(VLOOKUP(A1190,'Base Prueba'!A:D,4,),"NO REGISTRA")</f>
        <v>PROMOTOR CALL CENTER</v>
      </c>
      <c r="E1190" s="5" t="str">
        <f>IFERROR(VLOOKUP(A1190,'Base Prueba'!A:E,5,),"NO REGISTRA")</f>
        <v>OFICINA DE MERCADEO</v>
      </c>
    </row>
    <row r="1191" spans="1:5" ht="15.75" x14ac:dyDescent="0.25">
      <c r="A1191" s="10">
        <v>53089882</v>
      </c>
      <c r="B1191" s="2">
        <v>46046.512119675928</v>
      </c>
      <c r="C1191" s="3" t="str">
        <f>IFERROR(VLOOKUP(A1191,'Base Prueba'!A:C,3,),"NO REGISTRA")</f>
        <v>MARIA JOHANA ESCAMILLA MARTINEZ</v>
      </c>
      <c r="D1191" s="4" t="str">
        <f>IFERROR(VLOOKUP(A1191,'Base Prueba'!A:D,4,),"NO REGISTRA")</f>
        <v>PROMOTOR DE INFORMACIÓN</v>
      </c>
      <c r="E1191" s="5" t="str">
        <f>IFERROR(VLOOKUP(A1191,'Base Prueba'!A:E,5,),"NO REGISTRA")</f>
        <v>OFICINA DE MERCADEO</v>
      </c>
    </row>
    <row r="1192" spans="1:5" ht="15.75" x14ac:dyDescent="0.25">
      <c r="A1192" s="10">
        <v>1018413529</v>
      </c>
      <c r="B1192" s="2">
        <v>46046.512196875003</v>
      </c>
      <c r="C1192" s="3" t="str">
        <f>IFERROR(VLOOKUP(A1192,'Base Prueba'!A:C,3,),"NO REGISTRA")</f>
        <v>FRANCY STELLA CHARRY MORENO</v>
      </c>
      <c r="D1192" s="4" t="str">
        <f>IFERROR(VLOOKUP(A1192,'Base Prueba'!A:D,4,),"NO REGISTRA")</f>
        <v>PROMOTOR COMERCIAL DEL CEA</v>
      </c>
      <c r="E1192" s="5" t="str">
        <f>IFERROR(VLOOKUP(A1192,'Base Prueba'!A:E,5,),"NO REGISTRA")</f>
        <v>OFICINA DE MERCADEO</v>
      </c>
    </row>
    <row r="1193" spans="1:5" ht="15.75" x14ac:dyDescent="0.25">
      <c r="A1193" s="10">
        <v>52175674</v>
      </c>
      <c r="B1193" s="2">
        <v>46046.537666319447</v>
      </c>
      <c r="C1193" s="3" t="str">
        <f>IFERROR(VLOOKUP(A1193,'Base Prueba'!A:C,3,),"NO REGISTRA")</f>
        <v>LUZ YANETH GOMEZ AREVALO</v>
      </c>
      <c r="D1193" s="4" t="str">
        <f>IFERROR(VLOOKUP(A1193,'Base Prueba'!A:D,4,),"NO REGISTRA")</f>
        <v>COORDINADORA DE ADMISIONES</v>
      </c>
      <c r="E1193" s="5" t="str">
        <f>IFERROR(VLOOKUP(A1193,'Base Prueba'!A:E,5,),"NO REGISTRA")</f>
        <v>OFICINA DE MERCADEO</v>
      </c>
    </row>
    <row r="1194" spans="1:5" ht="15.75" x14ac:dyDescent="0.25">
      <c r="A1194" s="10">
        <v>80234243</v>
      </c>
      <c r="B1194" s="2">
        <v>46046.542369560186</v>
      </c>
      <c r="C1194" s="3" t="str">
        <f>IFERROR(VLOOKUP(A1194,'Base Prueba'!A:C,3,),"NO REGISTRA")</f>
        <v>ARGENIS MARTINEZ MARTINEZ</v>
      </c>
      <c r="D1194" s="4" t="str">
        <f>IFERROR(VLOOKUP(A1194,'Base Prueba'!A:D,4,),"NO REGISTRA")</f>
        <v>LIDER CALL CENTER</v>
      </c>
      <c r="E1194" s="5" t="str">
        <f>IFERROR(VLOOKUP(A1194,'Base Prueba'!A:E,5,),"NO REGISTRA")</f>
        <v>OFICINA DE MERCADEO</v>
      </c>
    </row>
    <row r="1195" spans="1:5" ht="15.75" x14ac:dyDescent="0.25">
      <c r="A1195" s="10">
        <v>1013616244</v>
      </c>
      <c r="B1195" s="2">
        <v>46046.551200810187</v>
      </c>
      <c r="C1195" s="3" t="str">
        <f>IFERROR(VLOOKUP(A1195,'Base Prueba'!A:C,3,),"NO REGISTRA")</f>
        <v>DIANA CAROLINA MARIN BETANCOURT</v>
      </c>
      <c r="D1195" s="4" t="str">
        <f>IFERROR(VLOOKUP(A1195,'Base Prueba'!A:D,4,),"NO REGISTRA")</f>
        <v>AUXILIAR ADMINISTRATIVO</v>
      </c>
      <c r="E1195" s="5" t="str">
        <f>IFERROR(VLOOKUP(A1195,'Base Prueba'!A:E,5,),"NO REGISTRA")</f>
        <v>REGISTRO Y CONTROL ACADEMICO</v>
      </c>
    </row>
    <row r="1196" spans="1:5" ht="15.75" x14ac:dyDescent="0.25">
      <c r="A1196" s="10">
        <v>1013098645</v>
      </c>
      <c r="B1196" s="2">
        <v>46046.551310879629</v>
      </c>
      <c r="C1196" s="3" t="str">
        <f>IFERROR(VLOOKUP(A1196,'Base Prueba'!A:C,3,),"NO REGISTRA")</f>
        <v>CATHERINE LUCIA PENAGOS RIVERA</v>
      </c>
      <c r="D1196" s="4" t="str">
        <f>IFERROR(VLOOKUP(A1196,'Base Prueba'!A:D,4,),"NO REGISTRA")</f>
        <v>LIDER DE REGISTRO Y CONTROL ACADEMICO</v>
      </c>
      <c r="E1196" s="5" t="str">
        <f>IFERROR(VLOOKUP(A1196,'Base Prueba'!A:E,5,),"NO REGISTRA")</f>
        <v>REGISTRO Y CONTROL ACADEMICO</v>
      </c>
    </row>
    <row r="1197" spans="1:5" ht="15.75" x14ac:dyDescent="0.25">
      <c r="A1197" s="10">
        <v>1024549760</v>
      </c>
      <c r="B1197" s="2">
        <v>46046.55250578704</v>
      </c>
      <c r="C1197" s="3" t="str">
        <f>IFERROR(VLOOKUP(A1197,'Base Prueba'!A:C,3,),"NO REGISTRA")</f>
        <v>FRANCY YISETH JAIMES NEIRA</v>
      </c>
      <c r="D1197" s="4" t="str">
        <f>IFERROR(VLOOKUP(A1197,'Base Prueba'!A:D,4,),"NO REGISTRA")</f>
        <v>SECRETARIA ACADEMICA - ADMINISTRATIVA DE FACULTAD</v>
      </c>
      <c r="E1197" s="5" t="str">
        <f>IFERROR(VLOOKUP(A1197,'Base Prueba'!A:E,5,),"NO REGISTRA")</f>
        <v>FACULTAD DE COMINICACIÓN PERIODISMO Y ARTES</v>
      </c>
    </row>
    <row r="1198" spans="1:5" ht="15.75" x14ac:dyDescent="0.25">
      <c r="A1198" s="10">
        <v>1013616244</v>
      </c>
      <c r="B1198" s="2">
        <v>46048.31316203704</v>
      </c>
      <c r="C1198" s="3" t="str">
        <f>IFERROR(VLOOKUP(A1198,'Base Prueba'!A:C,3,),"NO REGISTRA")</f>
        <v>DIANA CAROLINA MARIN BETANCOURT</v>
      </c>
      <c r="D1198" s="4" t="str">
        <f>IFERROR(VLOOKUP(A1198,'Base Prueba'!A:D,4,),"NO REGISTRA")</f>
        <v>AUXILIAR ADMINISTRATIVO</v>
      </c>
      <c r="E1198" s="5" t="str">
        <f>IFERROR(VLOOKUP(A1198,'Base Prueba'!A:E,5,),"NO REGISTRA")</f>
        <v>REGISTRO Y CONTROL ACADEMICO</v>
      </c>
    </row>
    <row r="1199" spans="1:5" ht="15.75" x14ac:dyDescent="0.25">
      <c r="A1199" s="10">
        <v>1087121273</v>
      </c>
      <c r="B1199" s="2">
        <v>46048.314109259256</v>
      </c>
      <c r="C1199" s="3" t="str">
        <f>IFERROR(VLOOKUP(A1199,'Base Prueba'!A:C,3,),"NO REGISTRA")</f>
        <v>MAYRA ALEJANDRA CASTILLO ARBOLEDA</v>
      </c>
      <c r="D1199" s="4" t="str">
        <f>IFERROR(VLOOKUP(A1199,'Base Prueba'!A:D,4,),"NO REGISTRA")</f>
        <v>APOYO INTEGRAL DE MERCADEO</v>
      </c>
      <c r="E1199" s="5" t="str">
        <f>IFERROR(VLOOKUP(A1199,'Base Prueba'!A:E,5,),"NO REGISTRA")</f>
        <v>CENTRO DE GESTION DOCUMENTAL</v>
      </c>
    </row>
    <row r="1200" spans="1:5" ht="15.75" x14ac:dyDescent="0.25">
      <c r="A1200" s="10">
        <v>53932358</v>
      </c>
      <c r="B1200" s="2">
        <v>46048.316550694442</v>
      </c>
      <c r="C1200" s="3" t="str">
        <f>IFERROR(VLOOKUP(A1200,'Base Prueba'!A:C,3,),"NO REGISTRA")</f>
        <v>DIANA MADELEYNE GAONA RODRIGUEZ</v>
      </c>
      <c r="D1200" s="4" t="str">
        <f>IFERROR(VLOOKUP(A1200,'Base Prueba'!A:D,4,),"NO REGISTRA")</f>
        <v>CONTADOR</v>
      </c>
      <c r="E1200" s="5" t="str">
        <f>IFERROR(VLOOKUP(A1200,'Base Prueba'!A:E,5,),"NO REGISTRA")</f>
        <v>AREA FINANCIERA Y CONTABLE</v>
      </c>
    </row>
    <row r="1201" spans="1:5" ht="15.75" x14ac:dyDescent="0.25">
      <c r="A1201" s="10">
        <v>1049644802</v>
      </c>
      <c r="B1201" s="2">
        <v>46048.329709259262</v>
      </c>
      <c r="C1201" s="3" t="str">
        <f>IFERROR(VLOOKUP(A1201,'Base Prueba'!A:C,3,),"NO REGISTRA")</f>
        <v>DANIELA ALEXANDRA CIPAMOCHA BOSIGA</v>
      </c>
      <c r="D1201" s="4" t="str">
        <f>IFERROR(VLOOKUP(A1201,'Base Prueba'!A:D,4,),"NO REGISTRA")</f>
        <v>LIDER DE DATOS Y SERVICIOS</v>
      </c>
      <c r="E1201" s="5" t="str">
        <f>IFERROR(VLOOKUP(A1201,'Base Prueba'!A:E,5,),"NO REGISTRA")</f>
        <v>OFICINA DE PLANEACION Y GESTION DE LA CALIDAD</v>
      </c>
    </row>
    <row r="1202" spans="1:5" ht="15.75" x14ac:dyDescent="0.25">
      <c r="A1202" s="10">
        <v>1012357415</v>
      </c>
      <c r="B1202" s="2">
        <v>46048.333181481481</v>
      </c>
      <c r="C1202" s="3" t="str">
        <f>IFERROR(VLOOKUP(A1202,'Base Prueba'!A:C,3,),"NO REGISTRA")</f>
        <v>CINDY LORENA BOHORQUEZ LEYVA</v>
      </c>
      <c r="D1202" s="4" t="str">
        <f>IFERROR(VLOOKUP(A1202,'Base Prueba'!A:D,4,),"NO REGISTRA")</f>
        <v>ANALISTA DE TESORERIA</v>
      </c>
      <c r="E1202" s="5" t="str">
        <f>IFERROR(VLOOKUP(A1202,'Base Prueba'!A:E,5,),"NO REGISTRA")</f>
        <v>AREA FINANCIERA Y CONTABLE</v>
      </c>
    </row>
    <row r="1203" spans="1:5" ht="15.75" x14ac:dyDescent="0.25">
      <c r="A1203" s="10">
        <v>1031802160</v>
      </c>
      <c r="B1203" s="2">
        <v>46048.335783912036</v>
      </c>
      <c r="C1203" s="3" t="str">
        <f>IFERROR(VLOOKUP(A1203,'Base Prueba'!A:C,3,),"NO REGISTRA")</f>
        <v>LUISA MARIA MAHECHA SOTOMAYOR</v>
      </c>
      <c r="D1203" s="4" t="str">
        <f>IFERROR(VLOOKUP(A1203,'Base Prueba'!A:D,4,),"NO REGISTRA")</f>
        <v>APRENDIZ UNIVERSITARIO</v>
      </c>
      <c r="E1203" s="5" t="str">
        <f>IFERROR(VLOOKUP(A1203,'Base Prueba'!A:E,5,),"NO REGISTRA")</f>
        <v>OFICINA DE MERCADEO</v>
      </c>
    </row>
    <row r="1204" spans="1:5" ht="15.75" x14ac:dyDescent="0.25">
      <c r="A1204" s="10">
        <v>1193457976</v>
      </c>
      <c r="B1204" s="2">
        <v>46048.33728310185</v>
      </c>
      <c r="C1204" s="3" t="str">
        <f>IFERROR(VLOOKUP(A1204,'Base Prueba'!A:C,3,),"NO REGISTRA")</f>
        <v>SEDENIS RIVAS ASPRILLA</v>
      </c>
      <c r="D1204" s="4" t="str">
        <f>IFERROR(VLOOKUP(A1204,'Base Prueba'!A:D,4,),"NO REGISTRA")</f>
        <v>APRENDIZ UNIVERSITARIO</v>
      </c>
      <c r="E1204" s="5" t="str">
        <f>IFERROR(VLOOKUP(A1204,'Base Prueba'!A:E,5,),"NO REGISTRA")</f>
        <v>DEPARTAMENTO DE GESTION HUMANA</v>
      </c>
    </row>
    <row r="1205" spans="1:5" ht="15.75" x14ac:dyDescent="0.25">
      <c r="A1205" s="10">
        <v>1000593372</v>
      </c>
      <c r="B1205" s="2">
        <v>46048.339945486114</v>
      </c>
      <c r="C1205" s="3" t="str">
        <f>IFERROR(VLOOKUP(A1205,'Base Prueba'!A:C,3,),"NO REGISTRA")</f>
        <v>LAURA SOFIA CHAPARRO LOPEZ</v>
      </c>
      <c r="D1205" s="4" t="str">
        <f>IFERROR(VLOOKUP(A1205,'Base Prueba'!A:D,4,),"NO REGISTRA")</f>
        <v>AUXILIAR JURIDICO</v>
      </c>
      <c r="E1205" s="5" t="str">
        <f>IFERROR(VLOOKUP(A1205,'Base Prueba'!A:E,5,),"NO REGISTRA")</f>
        <v>SECRETARIA GENERAL</v>
      </c>
    </row>
    <row r="1206" spans="1:5" ht="15.75" x14ac:dyDescent="0.25">
      <c r="A1206" s="10">
        <v>1000354041</v>
      </c>
      <c r="B1206" s="2">
        <v>46048.341515624998</v>
      </c>
      <c r="C1206" s="3" t="str">
        <f>IFERROR(VLOOKUP(A1206,'Base Prueba'!A:C,3,),"NO REGISTRA")</f>
        <v>ANGIE NATALIA BOHORQUEZ SANCHEZ</v>
      </c>
      <c r="D1206" s="4" t="str">
        <f>IFERROR(VLOOKUP(A1206,'Base Prueba'!A:D,4,),"NO REGISTRA")</f>
        <v>APRENDIZ UNIVERSITARIO</v>
      </c>
      <c r="E1206" s="5" t="str">
        <f>IFERROR(VLOOKUP(A1206,'Base Prueba'!A:E,5,),"NO REGISTRA")</f>
        <v>OFICINA DE PLANEACION Y GESTION DE LA CALIDAD</v>
      </c>
    </row>
    <row r="1207" spans="1:5" ht="15.75" x14ac:dyDescent="0.25">
      <c r="A1207" s="10">
        <v>1000257136</v>
      </c>
      <c r="B1207" s="2">
        <v>46048.34209027778</v>
      </c>
      <c r="C1207" s="3" t="str">
        <f>IFERROR(VLOOKUP(A1207,'Base Prueba'!A:C,3,),"NO REGISTRA")</f>
        <v>FRANCI VALENTINA CANO PUENTES</v>
      </c>
      <c r="D1207" s="4" t="str">
        <f>IFERROR(VLOOKUP(A1207,'Base Prueba'!A:D,4,),"NO REGISTRA")</f>
        <v>AUXILIAR CONTABLE</v>
      </c>
      <c r="E1207" s="5" t="str">
        <f>IFERROR(VLOOKUP(A1207,'Base Prueba'!A:E,5,),"NO REGISTRA")</f>
        <v>AREA FINANCIERA Y CONTABLE</v>
      </c>
    </row>
    <row r="1208" spans="1:5" ht="15.75" x14ac:dyDescent="0.25">
      <c r="A1208" s="10">
        <v>1013098645</v>
      </c>
      <c r="B1208" s="2">
        <v>46048.343275347223</v>
      </c>
      <c r="C1208" s="3" t="str">
        <f>IFERROR(VLOOKUP(A1208,'Base Prueba'!A:C,3,),"NO REGISTRA")</f>
        <v>CATHERINE LUCIA PENAGOS RIVERA</v>
      </c>
      <c r="D1208" s="4" t="str">
        <f>IFERROR(VLOOKUP(A1208,'Base Prueba'!A:D,4,),"NO REGISTRA")</f>
        <v>LIDER DE REGISTRO Y CONTROL ACADEMICO</v>
      </c>
      <c r="E1208" s="5" t="str">
        <f>IFERROR(VLOOKUP(A1208,'Base Prueba'!A:E,5,),"NO REGISTRA")</f>
        <v>REGISTRO Y CONTROL ACADEMICO</v>
      </c>
    </row>
    <row r="1209" spans="1:5" ht="15.75" x14ac:dyDescent="0.25">
      <c r="A1209" s="10">
        <v>1014977624</v>
      </c>
      <c r="B1209" s="2">
        <v>46048.344829050926</v>
      </c>
      <c r="C1209" s="3" t="str">
        <f>IFERROR(VLOOKUP(A1209,'Base Prueba'!A:C,3,),"NO REGISTRA")</f>
        <v>NICCOLE VALENTINA HERNANDEZ MALAVER</v>
      </c>
      <c r="D1209" s="4" t="str">
        <f>IFERROR(VLOOKUP(A1209,'Base Prueba'!A:D,4,),"NO REGISTRA")</f>
        <v>APRENDIZ UNIVERSITARIO</v>
      </c>
      <c r="E1209" s="5" t="str">
        <f>IFERROR(VLOOKUP(A1209,'Base Prueba'!A:E,5,),"NO REGISTRA")</f>
        <v>AREA FINANCIERA Y CONTABLE</v>
      </c>
    </row>
    <row r="1210" spans="1:5" ht="15.75" x14ac:dyDescent="0.25">
      <c r="A1210" s="10">
        <v>80238161</v>
      </c>
      <c r="B1210" s="2">
        <v>46048.348498148145</v>
      </c>
      <c r="C1210" s="3" t="str">
        <f>IFERROR(VLOOKUP(A1210,'Base Prueba'!A:C,3,),"NO REGISTRA")</f>
        <v>GERMAN CARRANZA ESPITIA</v>
      </c>
      <c r="D1210" s="4" t="str">
        <f>IFERROR(VLOOKUP(A1210,'Base Prueba'!A:D,4,),"NO REGISTRA")</f>
        <v>TESORERO</v>
      </c>
      <c r="E1210" s="5" t="str">
        <f>IFERROR(VLOOKUP(A1210,'Base Prueba'!A:E,5,),"NO REGISTRA")</f>
        <v>AREA FINANCIERA Y CONTABLE</v>
      </c>
    </row>
    <row r="1211" spans="1:5" ht="15.75" x14ac:dyDescent="0.25">
      <c r="A1211" s="10">
        <v>1000457706</v>
      </c>
      <c r="B1211" s="2">
        <v>46048.349924884256</v>
      </c>
      <c r="C1211" s="3" t="str">
        <f>IFERROR(VLOOKUP(A1211,'Base Prueba'!A:C,3,),"NO REGISTRA")</f>
        <v>CRISTIAN DANILO ARROYO SANABRIA</v>
      </c>
      <c r="D1211" s="4" t="str">
        <f>IFERROR(VLOOKUP(A1211,'Base Prueba'!A:D,4,),"NO REGISTRA")</f>
        <v>AUXILIAR CONTABLE</v>
      </c>
      <c r="E1211" s="5" t="str">
        <f>IFERROR(VLOOKUP(A1211,'Base Prueba'!A:E,5,),"NO REGISTRA")</f>
        <v>AREA FINANCIERA Y CONTABLE</v>
      </c>
    </row>
    <row r="1212" spans="1:5" ht="15.75" x14ac:dyDescent="0.25">
      <c r="A1212" s="10">
        <v>1032469638</v>
      </c>
      <c r="B1212" s="2">
        <v>46048.350762731483</v>
      </c>
      <c r="C1212" s="3" t="str">
        <f>IFERROR(VLOOKUP(A1212,'Base Prueba'!A:C,3,),"NO REGISTRA")</f>
        <v>MAICOL JARBEY GUALTEROS CASTAÑEDA</v>
      </c>
      <c r="D1212" s="4" t="str">
        <f>IFERROR(VLOOKUP(A1212,'Base Prueba'!A:D,4,),"NO REGISTRA")</f>
        <v>COORDINADOR DEL SISTEMA INTERNO DE ASEGURAMIENTO DE LA CALIDAD - SIAC</v>
      </c>
      <c r="E1212" s="5" t="str">
        <f>IFERROR(VLOOKUP(A1212,'Base Prueba'!A:E,5,),"NO REGISTRA")</f>
        <v>OFICINA DE PLANEACION Y GESTION DE LA CALIDAD</v>
      </c>
    </row>
    <row r="1213" spans="1:5" ht="15.75" x14ac:dyDescent="0.25">
      <c r="A1213" s="10">
        <v>1023883232</v>
      </c>
      <c r="B1213" s="2">
        <v>46048.353385648152</v>
      </c>
      <c r="C1213" s="3" t="str">
        <f>IFERROR(VLOOKUP(A1213,'Base Prueba'!A:C,3,),"NO REGISTRA")</f>
        <v>MONICA ANDREA ACERO URBANO</v>
      </c>
      <c r="D1213" s="4" t="str">
        <f>IFERROR(VLOOKUP(A1213,'Base Prueba'!A:D,4,),"NO REGISTRA")</f>
        <v>APOYO INTEGRAL A GESTION HUMANA</v>
      </c>
      <c r="E1213" s="5" t="str">
        <f>IFERROR(VLOOKUP(A1213,'Base Prueba'!A:E,5,),"NO REGISTRA")</f>
        <v>DEPARTAMENTO DE GESTION HUMANA</v>
      </c>
    </row>
    <row r="1214" spans="1:5" ht="15.75" x14ac:dyDescent="0.25">
      <c r="A1214" s="10">
        <v>1000604979</v>
      </c>
      <c r="B1214" s="2">
        <v>46048.35955173611</v>
      </c>
      <c r="C1214" s="3" t="str">
        <f>IFERROR(VLOOKUP(A1214,'Base Prueba'!A:C,3,),"NO REGISTRA")</f>
        <v>JULIETH TATIANA PARDO PINTO</v>
      </c>
      <c r="D1214" s="4" t="str">
        <f>IFERROR(VLOOKUP(A1214,'Base Prueba'!A:D,4,),"NO REGISTRA")</f>
        <v>AUXILIAR JURIDICO</v>
      </c>
      <c r="E1214" s="5" t="str">
        <f>IFERROR(VLOOKUP(A1214,'Base Prueba'!A:E,5,),"NO REGISTRA")</f>
        <v>SECRETARIA GENERAL</v>
      </c>
    </row>
    <row r="1215" spans="1:5" ht="15.75" x14ac:dyDescent="0.25">
      <c r="A1215" s="10">
        <v>1032407386</v>
      </c>
      <c r="B1215" s="2">
        <v>46048.361291550929</v>
      </c>
      <c r="C1215" s="3" t="str">
        <f>IFERROR(VLOOKUP(A1215,'Base Prueba'!A:C,3,),"NO REGISTRA")</f>
        <v>GINA PAOLA BAEZ GALVIS</v>
      </c>
      <c r="D1215" s="4" t="str">
        <f>IFERROR(VLOOKUP(A1215,'Base Prueba'!A:D,4,),"NO REGISTRA")</f>
        <v>PROMOTOR CALL CENTER</v>
      </c>
      <c r="E1215" s="5" t="str">
        <f>IFERROR(VLOOKUP(A1215,'Base Prueba'!A:E,5,),"NO REGISTRA")</f>
        <v>OFICINA DE MERCADEO</v>
      </c>
    </row>
    <row r="1216" spans="1:5" ht="15.75" x14ac:dyDescent="0.25">
      <c r="A1216" s="10">
        <v>80234243</v>
      </c>
      <c r="B1216" s="2">
        <v>46048.361732060184</v>
      </c>
      <c r="C1216" s="3" t="str">
        <f>IFERROR(VLOOKUP(A1216,'Base Prueba'!A:C,3,),"NO REGISTRA")</f>
        <v>ARGENIS MARTINEZ MARTINEZ</v>
      </c>
      <c r="D1216" s="4" t="str">
        <f>IFERROR(VLOOKUP(A1216,'Base Prueba'!A:D,4,),"NO REGISTRA")</f>
        <v>LIDER CALL CENTER</v>
      </c>
      <c r="E1216" s="5" t="str">
        <f>IFERROR(VLOOKUP(A1216,'Base Prueba'!A:E,5,),"NO REGISTRA")</f>
        <v>OFICINA DE MERCADEO</v>
      </c>
    </row>
    <row r="1217" spans="1:5" ht="15.75" x14ac:dyDescent="0.25">
      <c r="A1217" s="10">
        <v>52472386</v>
      </c>
      <c r="B1217" s="2">
        <v>46048.367177430555</v>
      </c>
      <c r="C1217" s="3" t="str">
        <f>IFERROR(VLOOKUP(A1217,'Base Prueba'!A:C,3,),"NO REGISTRA")</f>
        <v>ADRIANA MARCELA MORALES PARDO</v>
      </c>
      <c r="D1217" s="4" t="str">
        <f>IFERROR(VLOOKUP(A1217,'Base Prueba'!A:D,4,),"NO REGISTRA")</f>
        <v>PROMOTOR CALL CENTER</v>
      </c>
      <c r="E1217" s="5" t="str">
        <f>IFERROR(VLOOKUP(A1217,'Base Prueba'!A:E,5,),"NO REGISTRA")</f>
        <v>OFICINA DE MERCADEO</v>
      </c>
    </row>
    <row r="1218" spans="1:5" ht="15.75" x14ac:dyDescent="0.25">
      <c r="A1218" s="10">
        <v>1033709056</v>
      </c>
      <c r="B1218" s="2">
        <v>46048.367891666669</v>
      </c>
      <c r="C1218" s="3" t="str">
        <f>IFERROR(VLOOKUP(A1218,'Base Prueba'!A:C,3,),"NO REGISTRA")</f>
        <v>YEIMY ALEXANDRA RODRIGUEZ PALACIO</v>
      </c>
      <c r="D1218" s="4" t="str">
        <f>IFERROR(VLOOKUP(A1218,'Base Prueba'!A:D,4,),"NO REGISTRA")</f>
        <v>PROMOTOR CALL CENTER</v>
      </c>
      <c r="E1218" s="5" t="str">
        <f>IFERROR(VLOOKUP(A1218,'Base Prueba'!A:E,5,),"NO REGISTRA")</f>
        <v>OFICINA DE MERCADEO</v>
      </c>
    </row>
    <row r="1219" spans="1:5" ht="15.75" x14ac:dyDescent="0.25">
      <c r="A1219" s="10">
        <v>52175674</v>
      </c>
      <c r="B1219" s="2">
        <v>46048.368744328705</v>
      </c>
      <c r="C1219" s="3" t="str">
        <f>IFERROR(VLOOKUP(A1219,'Base Prueba'!A:C,3,),"NO REGISTRA")</f>
        <v>LUZ YANETH GOMEZ AREVALO</v>
      </c>
      <c r="D1219" s="4" t="str">
        <f>IFERROR(VLOOKUP(A1219,'Base Prueba'!A:D,4,),"NO REGISTRA")</f>
        <v>COORDINADORA DE ADMISIONES</v>
      </c>
      <c r="E1219" s="5" t="str">
        <f>IFERROR(VLOOKUP(A1219,'Base Prueba'!A:E,5,),"NO REGISTRA")</f>
        <v>OFICINA DE MERCADEO</v>
      </c>
    </row>
    <row r="1220" spans="1:5" ht="15.75" x14ac:dyDescent="0.25">
      <c r="A1220" s="10">
        <v>28798349</v>
      </c>
      <c r="B1220" s="2">
        <v>46048.370696759259</v>
      </c>
      <c r="C1220" s="3" t="str">
        <f>IFERROR(VLOOKUP(A1220,'Base Prueba'!A:C,3,),"NO REGISTRA")</f>
        <v>MARTHA ISABEL TOVAR WILLIAMS</v>
      </c>
      <c r="D1220" s="4" t="str">
        <f>IFERROR(VLOOKUP(A1220,'Base Prueba'!A:D,4,),"NO REGISTRA")</f>
        <v>PROMOTOR CALL CENTER</v>
      </c>
      <c r="E1220" s="5" t="str">
        <f>IFERROR(VLOOKUP(A1220,'Base Prueba'!A:E,5,),"NO REGISTRA")</f>
        <v>OFICINA DE MERCADEO</v>
      </c>
    </row>
    <row r="1221" spans="1:5" ht="15.75" x14ac:dyDescent="0.25">
      <c r="A1221" s="10">
        <v>1018413529</v>
      </c>
      <c r="B1221" s="2">
        <v>46048.371260995373</v>
      </c>
      <c r="C1221" s="3" t="str">
        <f>IFERROR(VLOOKUP(A1221,'Base Prueba'!A:C,3,),"NO REGISTRA")</f>
        <v>FRANCY STELLA CHARRY MORENO</v>
      </c>
      <c r="D1221" s="4" t="str">
        <f>IFERROR(VLOOKUP(A1221,'Base Prueba'!A:D,4,),"NO REGISTRA")</f>
        <v>PROMOTOR COMERCIAL DEL CEA</v>
      </c>
      <c r="E1221" s="5" t="str">
        <f>IFERROR(VLOOKUP(A1221,'Base Prueba'!A:E,5,),"NO REGISTRA")</f>
        <v>OFICINA DE MERCADEO</v>
      </c>
    </row>
    <row r="1222" spans="1:5" ht="15.75" x14ac:dyDescent="0.25">
      <c r="A1222" s="10">
        <v>1016090131</v>
      </c>
      <c r="B1222" s="2">
        <v>46048.374673495367</v>
      </c>
      <c r="C1222" s="3" t="str">
        <f>IFERROR(VLOOKUP(A1222,'Base Prueba'!A:C,3,),"NO REGISTRA")</f>
        <v>NICOLAS RODRIGUEZ PACHECO</v>
      </c>
      <c r="D1222" s="4" t="str">
        <f>IFERROR(VLOOKUP(A1222,'Base Prueba'!A:D,4,),"NO REGISTRA")</f>
        <v>COORDINADOR DE COMUNICACIONES</v>
      </c>
      <c r="E1222" s="5" t="str">
        <f>IFERROR(VLOOKUP(A1222,'Base Prueba'!A:E,5,),"NO REGISTRA")</f>
        <v>OFICINA DE MERCADEO</v>
      </c>
    </row>
    <row r="1223" spans="1:5" ht="15.75" x14ac:dyDescent="0.25">
      <c r="A1223" s="10">
        <v>1003690253</v>
      </c>
      <c r="B1223" s="2">
        <v>46048.375633217591</v>
      </c>
      <c r="C1223" s="3" t="str">
        <f>IFERROR(VLOOKUP(A1223,'Base Prueba'!A:C,3,),"NO REGISTRA")</f>
        <v>MELISSA GONZALEZ PEDRAZA</v>
      </c>
      <c r="D1223" s="4" t="str">
        <f>IFERROR(VLOOKUP(A1223,'Base Prueba'!A:D,4,),"NO REGISTRA")</f>
        <v>LIDER DE JOVENES A LA E</v>
      </c>
      <c r="E1223" s="5" t="str">
        <f>IFERROR(VLOOKUP(A1223,'Base Prueba'!A:E,5,),"NO REGISTRA")</f>
        <v>DIRECCION DE BIENESTAR INSTITUCIONAL</v>
      </c>
    </row>
    <row r="1224" spans="1:5" ht="15.75" x14ac:dyDescent="0.25">
      <c r="A1224" s="10">
        <v>1019105003</v>
      </c>
      <c r="B1224" s="2">
        <v>46048.376613773151</v>
      </c>
      <c r="C1224" s="3" t="str">
        <f>IFERROR(VLOOKUP(A1224,'Base Prueba'!A:C,3,),"NO REGISTRA")</f>
        <v>DAISY JULIETH GASPAR MORENO</v>
      </c>
      <c r="D1224" s="4" t="str">
        <f>IFERROR(VLOOKUP(A1224,'Base Prueba'!A:D,4,),"NO REGISTRA")</f>
        <v>PROMOTOR CALL CENTER</v>
      </c>
      <c r="E1224" s="5" t="str">
        <f>IFERROR(VLOOKUP(A1224,'Base Prueba'!A:E,5,),"NO REGISTRA")</f>
        <v>OFICINA DE MERCADEO</v>
      </c>
    </row>
    <row r="1225" spans="1:5" ht="15.75" x14ac:dyDescent="0.25">
      <c r="A1225" s="10">
        <v>53089882</v>
      </c>
      <c r="B1225" s="2">
        <v>46048.377283217589</v>
      </c>
      <c r="C1225" s="3" t="str">
        <f>IFERROR(VLOOKUP(A1225,'Base Prueba'!A:C,3,),"NO REGISTRA")</f>
        <v>MARIA JOHANA ESCAMILLA MARTINEZ</v>
      </c>
      <c r="D1225" s="4" t="str">
        <f>IFERROR(VLOOKUP(A1225,'Base Prueba'!A:D,4,),"NO REGISTRA")</f>
        <v>PROMOTOR DE INFORMACIÓN</v>
      </c>
      <c r="E1225" s="5" t="str">
        <f>IFERROR(VLOOKUP(A1225,'Base Prueba'!A:E,5,),"NO REGISTRA")</f>
        <v>OFICINA DE MERCADEO</v>
      </c>
    </row>
    <row r="1226" spans="1:5" ht="15.75" x14ac:dyDescent="0.25">
      <c r="A1226" s="10">
        <v>1012426741</v>
      </c>
      <c r="B1226" s="2">
        <v>46048.377799074071</v>
      </c>
      <c r="C1226" s="3" t="str">
        <f>IFERROR(VLOOKUP(A1226,'Base Prueba'!A:C,3,),"NO REGISTRA")</f>
        <v>CRISTIAN FABIAN ROJAS SANCENO</v>
      </c>
      <c r="D1226" s="4" t="str">
        <f>IFERROR(VLOOKUP(A1226,'Base Prueba'!A:D,4,),"NO REGISTRA")</f>
        <v>AUXILIAR DE REINTEGROS</v>
      </c>
      <c r="E1226" s="5" t="str">
        <f>IFERROR(VLOOKUP(A1226,'Base Prueba'!A:E,5,),"NO REGISTRA")</f>
        <v>DIRECCION DE BIENESTAR INSTITUCIONAL</v>
      </c>
    </row>
    <row r="1227" spans="1:5" ht="15.75" x14ac:dyDescent="0.25">
      <c r="A1227" s="10">
        <v>1014196857</v>
      </c>
      <c r="B1227" s="2">
        <v>46048.37991585648</v>
      </c>
      <c r="C1227" s="3" t="str">
        <f>IFERROR(VLOOKUP(A1227,'Base Prueba'!A:C,3,),"NO REGISTRA")</f>
        <v>CARLOS ANDRES JIMENEZ PARDO</v>
      </c>
      <c r="D1227" s="4" t="str">
        <f>IFERROR(VLOOKUP(A1227,'Base Prueba'!A:D,4,),"NO REGISTRA")</f>
        <v>COORDINADOR DE MARKETING DIGITAL</v>
      </c>
      <c r="E1227" s="5" t="str">
        <f>IFERROR(VLOOKUP(A1227,'Base Prueba'!A:E,5,),"NO REGISTRA")</f>
        <v>OFICINA DE MERCADEO</v>
      </c>
    </row>
    <row r="1228" spans="1:5" ht="15.75" x14ac:dyDescent="0.25">
      <c r="A1228" s="10">
        <v>52764929</v>
      </c>
      <c r="B1228" s="2">
        <v>46048.380506250003</v>
      </c>
      <c r="C1228" s="3" t="str">
        <f>IFERROR(VLOOKUP(A1228,'Base Prueba'!A:C,3,),"NO REGISTRA")</f>
        <v>GUERLY YOHANA DURAN RIVERA</v>
      </c>
      <c r="D1228" s="4" t="str">
        <f>IFERROR(VLOOKUP(A1228,'Base Prueba'!A:D,4,),"NO REGISTRA")</f>
        <v>LIDER DE VINCULACION COLEGIOS</v>
      </c>
      <c r="E1228" s="5" t="str">
        <f>IFERROR(VLOOKUP(A1228,'Base Prueba'!A:E,5,),"NO REGISTRA")</f>
        <v>OFICINA DE MERCADEO</v>
      </c>
    </row>
    <row r="1229" spans="1:5" ht="15.75" x14ac:dyDescent="0.25">
      <c r="A1229" s="10">
        <v>1193265768</v>
      </c>
      <c r="B1229" s="2">
        <v>46048.387840509262</v>
      </c>
      <c r="C1229" s="3" t="str">
        <f>IFERROR(VLOOKUP(A1229,'Base Prueba'!A:C,3,),"NO REGISTRA")</f>
        <v>SANTIAGO OSORIO CAMACHO</v>
      </c>
      <c r="D1229" s="4" t="str">
        <f>IFERROR(VLOOKUP(A1229,'Base Prueba'!A:D,4,),"NO REGISTRA")</f>
        <v>ANALISTA DE PAUTA</v>
      </c>
      <c r="E1229" s="5" t="str">
        <f>IFERROR(VLOOKUP(A1229,'Base Prueba'!A:E,5,),"NO REGISTRA")</f>
        <v>OFICINA DE MERCADEO</v>
      </c>
    </row>
    <row r="1230" spans="1:5" ht="15.75" x14ac:dyDescent="0.25">
      <c r="A1230" s="10">
        <v>1018414290</v>
      </c>
      <c r="B1230" s="2">
        <v>46048.419340972221</v>
      </c>
      <c r="C1230" s="3" t="str">
        <f>IFERROR(VLOOKUP(A1230,'Base Prueba'!A:C,3,),"NO REGISTRA")</f>
        <v>AMANDA LISBETH RODRIGUEZ LEON</v>
      </c>
      <c r="D1230" s="4" t="str">
        <f>IFERROR(VLOOKUP(A1230,'Base Prueba'!A:D,4,),"NO REGISTRA")</f>
        <v>PROMOTOR CALL CENTER</v>
      </c>
      <c r="E1230" s="5" t="str">
        <f>IFERROR(VLOOKUP(A1230,'Base Prueba'!A:E,5,),"NO REGISTRA")</f>
        <v>OFICINA DE MERCADEO</v>
      </c>
    </row>
    <row r="1231" spans="1:5" ht="15.75" x14ac:dyDescent="0.25">
      <c r="A1231" s="10">
        <v>52443092</v>
      </c>
      <c r="B1231" s="2">
        <v>46048.582680902779</v>
      </c>
      <c r="C1231" s="3" t="str">
        <f>IFERROR(VLOOKUP(A1231,'Base Prueba'!A:C,3,),"NO REGISTRA")</f>
        <v>LUZ MYRIAM SAAVEDRA CONTRERAS</v>
      </c>
      <c r="D1231" s="4" t="str">
        <f>IFERROR(VLOOKUP(A1231,'Base Prueba'!A:D,4,),"NO REGISTRA")</f>
        <v>AUXILIAR DE SERVICIOS</v>
      </c>
      <c r="E1231" s="5" t="str">
        <f>IFERROR(VLOOKUP(A1231,'Base Prueba'!A:E,5,),"NO REGISTRA")</f>
        <v>LOGISTICA Y SERVICIOS GENERALES</v>
      </c>
    </row>
    <row r="1232" spans="1:5" ht="15.75" x14ac:dyDescent="0.25">
      <c r="A1232" s="10">
        <v>1031802160</v>
      </c>
      <c r="B1232" s="2">
        <v>46048.706254398145</v>
      </c>
      <c r="C1232" s="3" t="str">
        <f>IFERROR(VLOOKUP(A1232,'Base Prueba'!A:C,3,),"NO REGISTRA")</f>
        <v>LUISA MARIA MAHECHA SOTOMAYOR</v>
      </c>
      <c r="D1232" s="4" t="str">
        <f>IFERROR(VLOOKUP(A1232,'Base Prueba'!A:D,4,),"NO REGISTRA")</f>
        <v>APRENDIZ UNIVERSITARIO</v>
      </c>
      <c r="E1232" s="5" t="str">
        <f>IFERROR(VLOOKUP(A1232,'Base Prueba'!A:E,5,),"NO REGISTRA")</f>
        <v>OFICINA DE MERCADEO</v>
      </c>
    </row>
    <row r="1233" spans="1:5" ht="15.75" x14ac:dyDescent="0.25">
      <c r="A1233" s="10">
        <v>1012426741</v>
      </c>
      <c r="B1233" s="2">
        <v>46048.75026458333</v>
      </c>
      <c r="C1233" s="3" t="str">
        <f>IFERROR(VLOOKUP(A1233,'Base Prueba'!A:C,3,),"NO REGISTRA")</f>
        <v>CRISTIAN FABIAN ROJAS SANCENO</v>
      </c>
      <c r="D1233" s="4" t="str">
        <f>IFERROR(VLOOKUP(A1233,'Base Prueba'!A:D,4,),"NO REGISTRA")</f>
        <v>AUXILIAR DE REINTEGROS</v>
      </c>
      <c r="E1233" s="5" t="str">
        <f>IFERROR(VLOOKUP(A1233,'Base Prueba'!A:E,5,),"NO REGISTRA")</f>
        <v>DIRECCION DE BIENESTAR INSTITUCIONAL</v>
      </c>
    </row>
    <row r="1234" spans="1:5" ht="15.75" x14ac:dyDescent="0.25">
      <c r="A1234" s="10">
        <v>1000467399</v>
      </c>
      <c r="B1234" s="2">
        <v>46048.752872800927</v>
      </c>
      <c r="C1234" s="3" t="str">
        <f>IFERROR(VLOOKUP(A1234,'Base Prueba'!A:C,3,),"NO REGISTRA")</f>
        <v>BRANDO ESTIVEN DIAZ QUIMBAYA</v>
      </c>
      <c r="D1234" s="4" t="str">
        <f>IFERROR(VLOOKUP(A1234,'Base Prueba'!A:D,4,),"NO REGISTRA")</f>
        <v>APRENDIZ UNIVERSITARIO</v>
      </c>
      <c r="E1234" s="5" t="str">
        <f>IFERROR(VLOOKUP(A1234,'Base Prueba'!A:E,5,),"NO REGISTRA")</f>
        <v>DEPARTAMENTO DE GESTION HUMANA</v>
      </c>
    </row>
    <row r="1235" spans="1:5" ht="15.75" x14ac:dyDescent="0.25">
      <c r="A1235" s="10">
        <v>1193457976</v>
      </c>
      <c r="B1235" s="2">
        <v>46048.753856944444</v>
      </c>
      <c r="C1235" s="3" t="str">
        <f>IFERROR(VLOOKUP(A1235,'Base Prueba'!A:C,3,),"NO REGISTRA")</f>
        <v>SEDENIS RIVAS ASPRILLA</v>
      </c>
      <c r="D1235" s="4" t="str">
        <f>IFERROR(VLOOKUP(A1235,'Base Prueba'!A:D,4,),"NO REGISTRA")</f>
        <v>APRENDIZ UNIVERSITARIO</v>
      </c>
      <c r="E1235" s="5" t="str">
        <f>IFERROR(VLOOKUP(A1235,'Base Prueba'!A:E,5,),"NO REGISTRA")</f>
        <v>DEPARTAMENTO DE GESTION HUMANA</v>
      </c>
    </row>
    <row r="1236" spans="1:5" ht="15.75" x14ac:dyDescent="0.25">
      <c r="A1236" s="10">
        <v>1022996882</v>
      </c>
      <c r="B1236" s="2">
        <v>46048.754395138887</v>
      </c>
      <c r="C1236" s="3" t="str">
        <f>IFERROR(VLOOKUP(A1236,'Base Prueba'!A:C,3,),"NO REGISTRA")</f>
        <v>NANCY BRIGITH ALDANA GUEVARA</v>
      </c>
      <c r="D1236" s="4" t="str">
        <f>IFERROR(VLOOKUP(A1236,'Base Prueba'!A:D,4,),"NO REGISTRA")</f>
        <v>COORDINADORA DE GESTIÓN HUMANA</v>
      </c>
      <c r="E1236" s="5" t="str">
        <f>IFERROR(VLOOKUP(A1236,'Base Prueba'!A:E,5,),"NO REGISTRA")</f>
        <v>DEPARTAMENTO DE GESTION HUMANA</v>
      </c>
    </row>
    <row r="1237" spans="1:5" ht="15.75" x14ac:dyDescent="0.25">
      <c r="A1237" s="10">
        <v>1000046533</v>
      </c>
      <c r="B1237" s="2">
        <v>46048.754524189811</v>
      </c>
      <c r="C1237" s="3" t="str">
        <f>IFERROR(VLOOKUP(A1237,'Base Prueba'!A:C,3,),"NO REGISTRA")</f>
        <v>ERIKA JULIETH VALDERRAMA SANCHEZ</v>
      </c>
      <c r="D1237" s="4" t="str">
        <f>IFERROR(VLOOKUP(A1237,'Base Prueba'!A:D,4,),"NO REGISTRA")</f>
        <v>PROMOTOR CALL CENTER</v>
      </c>
      <c r="E1237" s="5" t="str">
        <f>IFERROR(VLOOKUP(A1237,'Base Prueba'!A:E,5,),"NO REGISTRA")</f>
        <v>OFICINA DE MERCADEO</v>
      </c>
    </row>
    <row r="1238" spans="1:5" ht="15.75" x14ac:dyDescent="0.25">
      <c r="A1238" s="10">
        <v>1000354041</v>
      </c>
      <c r="B1238" s="2">
        <v>46048.755131134261</v>
      </c>
      <c r="C1238" s="3" t="str">
        <f>IFERROR(VLOOKUP(A1238,'Base Prueba'!A:C,3,),"NO REGISTRA")</f>
        <v>ANGIE NATALIA BOHORQUEZ SANCHEZ</v>
      </c>
      <c r="D1238" s="4" t="str">
        <f>IFERROR(VLOOKUP(A1238,'Base Prueba'!A:D,4,),"NO REGISTRA")</f>
        <v>APRENDIZ UNIVERSITARIO</v>
      </c>
      <c r="E1238" s="5" t="str">
        <f>IFERROR(VLOOKUP(A1238,'Base Prueba'!A:E,5,),"NO REGISTRA")</f>
        <v>OFICINA DE PLANEACION Y GESTION DE LA CALIDAD</v>
      </c>
    </row>
    <row r="1239" spans="1:5" ht="15.75" x14ac:dyDescent="0.25">
      <c r="A1239" s="10">
        <v>1003690253</v>
      </c>
      <c r="B1239" s="2">
        <v>46048.756141203703</v>
      </c>
      <c r="C1239" s="3" t="str">
        <f>IFERROR(VLOOKUP(A1239,'Base Prueba'!A:C,3,),"NO REGISTRA")</f>
        <v>MELISSA GONZALEZ PEDRAZA</v>
      </c>
      <c r="D1239" s="4" t="str">
        <f>IFERROR(VLOOKUP(A1239,'Base Prueba'!A:D,4,),"NO REGISTRA")</f>
        <v>LIDER DE JOVENES A LA E</v>
      </c>
      <c r="E1239" s="5" t="str">
        <f>IFERROR(VLOOKUP(A1239,'Base Prueba'!A:E,5,),"NO REGISTRA")</f>
        <v>DIRECCION DE BIENESTAR INSTITUCIONAL</v>
      </c>
    </row>
    <row r="1240" spans="1:5" ht="15.75" x14ac:dyDescent="0.25">
      <c r="A1240" s="10">
        <v>1033709056</v>
      </c>
      <c r="B1240" s="2">
        <v>46048.756645486108</v>
      </c>
      <c r="C1240" s="3" t="str">
        <f>IFERROR(VLOOKUP(A1240,'Base Prueba'!A:C,3,),"NO REGISTRA")</f>
        <v>YEIMY ALEXANDRA RODRIGUEZ PALACIO</v>
      </c>
      <c r="D1240" s="4" t="str">
        <f>IFERROR(VLOOKUP(A1240,'Base Prueba'!A:D,4,),"NO REGISTRA")</f>
        <v>PROMOTOR CALL CENTER</v>
      </c>
      <c r="E1240" s="5" t="str">
        <f>IFERROR(VLOOKUP(A1240,'Base Prueba'!A:E,5,),"NO REGISTRA")</f>
        <v>OFICINA DE MERCADEO</v>
      </c>
    </row>
    <row r="1241" spans="1:5" ht="15.75" x14ac:dyDescent="0.25">
      <c r="A1241" s="10">
        <v>1019105003</v>
      </c>
      <c r="B1241" s="2">
        <v>46048.756858796296</v>
      </c>
      <c r="C1241" s="3" t="str">
        <f>IFERROR(VLOOKUP(A1241,'Base Prueba'!A:C,3,),"NO REGISTRA")</f>
        <v>DAISY JULIETH GASPAR MORENO</v>
      </c>
      <c r="D1241" s="4" t="str">
        <f>IFERROR(VLOOKUP(A1241,'Base Prueba'!A:D,4,),"NO REGISTRA")</f>
        <v>PROMOTOR CALL CENTER</v>
      </c>
      <c r="E1241" s="5" t="str">
        <f>IFERROR(VLOOKUP(A1241,'Base Prueba'!A:E,5,),"NO REGISTRA")</f>
        <v>OFICINA DE MERCADEO</v>
      </c>
    </row>
    <row r="1242" spans="1:5" ht="15.75" x14ac:dyDescent="0.25">
      <c r="A1242" s="10">
        <v>1026599257</v>
      </c>
      <c r="B1242" s="2">
        <v>46048.756955902776</v>
      </c>
      <c r="C1242" s="3" t="str">
        <f>IFERROR(VLOOKUP(A1242,'Base Prueba'!A:C,3,),"NO REGISTRA")</f>
        <v>YESENIA PAOLA PINEDA HURTADO</v>
      </c>
      <c r="D1242" s="4" t="str">
        <f>IFERROR(VLOOKUP(A1242,'Base Prueba'!A:D,4,),"NO REGISTRA")</f>
        <v>LIDER DE COMPRAS</v>
      </c>
      <c r="E1242" s="5" t="str">
        <f>IFERROR(VLOOKUP(A1242,'Base Prueba'!A:E,5,),"NO REGISTRA")</f>
        <v>AREA ADMINISTRATIVA</v>
      </c>
    </row>
    <row r="1243" spans="1:5" ht="15.75" x14ac:dyDescent="0.25">
      <c r="A1243" s="10">
        <v>1018414290</v>
      </c>
      <c r="B1243" s="2">
        <v>46048.758634837963</v>
      </c>
      <c r="C1243" s="3" t="str">
        <f>IFERROR(VLOOKUP(A1243,'Base Prueba'!A:C,3,),"NO REGISTRA")</f>
        <v>AMANDA LISBETH RODRIGUEZ LEON</v>
      </c>
      <c r="D1243" s="4" t="str">
        <f>IFERROR(VLOOKUP(A1243,'Base Prueba'!A:D,4,),"NO REGISTRA")</f>
        <v>PROMOTOR CALL CENTER</v>
      </c>
      <c r="E1243" s="5" t="str">
        <f>IFERROR(VLOOKUP(A1243,'Base Prueba'!A:E,5,),"NO REGISTRA")</f>
        <v>OFICINA DE MERCADEO</v>
      </c>
    </row>
    <row r="1244" spans="1:5" ht="15.75" x14ac:dyDescent="0.25">
      <c r="A1244" s="10">
        <v>1000257136</v>
      </c>
      <c r="B1244" s="2">
        <v>46048.758813194443</v>
      </c>
      <c r="C1244" s="3" t="str">
        <f>IFERROR(VLOOKUP(A1244,'Base Prueba'!A:C,3,),"NO REGISTRA")</f>
        <v>FRANCI VALENTINA CANO PUENTES</v>
      </c>
      <c r="D1244" s="4" t="str">
        <f>IFERROR(VLOOKUP(A1244,'Base Prueba'!A:D,4,),"NO REGISTRA")</f>
        <v>AUXILIAR CONTABLE</v>
      </c>
      <c r="E1244" s="5" t="str">
        <f>IFERROR(VLOOKUP(A1244,'Base Prueba'!A:E,5,),"NO REGISTRA")</f>
        <v>AREA FINANCIERA Y CONTABLE</v>
      </c>
    </row>
    <row r="1245" spans="1:5" ht="15.75" x14ac:dyDescent="0.25">
      <c r="A1245" s="10">
        <v>1032407386</v>
      </c>
      <c r="B1245" s="2">
        <v>46048.759554050928</v>
      </c>
      <c r="C1245" s="3" t="str">
        <f>IFERROR(VLOOKUP(A1245,'Base Prueba'!A:C,3,),"NO REGISTRA")</f>
        <v>GINA PAOLA BAEZ GALVIS</v>
      </c>
      <c r="D1245" s="4" t="str">
        <f>IFERROR(VLOOKUP(A1245,'Base Prueba'!A:D,4,),"NO REGISTRA")</f>
        <v>PROMOTOR CALL CENTER</v>
      </c>
      <c r="E1245" s="5" t="str">
        <f>IFERROR(VLOOKUP(A1245,'Base Prueba'!A:E,5,),"NO REGISTRA")</f>
        <v>OFICINA DE MERCADEO</v>
      </c>
    </row>
    <row r="1246" spans="1:5" ht="15.75" x14ac:dyDescent="0.25">
      <c r="A1246" s="10">
        <v>1000365751</v>
      </c>
      <c r="B1246" s="2">
        <v>46048.760153009258</v>
      </c>
      <c r="C1246" s="3" t="str">
        <f>IFERROR(VLOOKUP(A1246,'Base Prueba'!A:C,3,),"NO REGISTRA")</f>
        <v>JHOAN NICOLAS ESCAMILLA MANJARRES</v>
      </c>
      <c r="D1246" s="4" t="str">
        <f>IFERROR(VLOOKUP(A1246,'Base Prueba'!A:D,4,),"NO REGISTRA")</f>
        <v>APRENDIZ UNIVERSITARIO</v>
      </c>
      <c r="E1246" s="5" t="str">
        <f>IFERROR(VLOOKUP(A1246,'Base Prueba'!A:E,5,),"NO REGISTRA")</f>
        <v>OFICINA DE MERCADEO</v>
      </c>
    </row>
    <row r="1247" spans="1:5" ht="15.75" x14ac:dyDescent="0.25">
      <c r="A1247" s="10">
        <v>1014977624</v>
      </c>
      <c r="B1247" s="2">
        <v>46048.76093611111</v>
      </c>
      <c r="C1247" s="3" t="str">
        <f>IFERROR(VLOOKUP(A1247,'Base Prueba'!A:C,3,),"NO REGISTRA")</f>
        <v>NICCOLE VALENTINA HERNANDEZ MALAVER</v>
      </c>
      <c r="D1247" s="4" t="str">
        <f>IFERROR(VLOOKUP(A1247,'Base Prueba'!A:D,4,),"NO REGISTRA")</f>
        <v>APRENDIZ UNIVERSITARIO</v>
      </c>
      <c r="E1247" s="5" t="str">
        <f>IFERROR(VLOOKUP(A1247,'Base Prueba'!A:E,5,),"NO REGISTRA")</f>
        <v>AREA FINANCIERA Y CONTABLE</v>
      </c>
    </row>
    <row r="1248" spans="1:5" ht="15.75" x14ac:dyDescent="0.25">
      <c r="A1248" s="10">
        <v>53932358</v>
      </c>
      <c r="B1248" s="2">
        <v>46048.76131238426</v>
      </c>
      <c r="C1248" s="3" t="str">
        <f>IFERROR(VLOOKUP(A1248,'Base Prueba'!A:C,3,),"NO REGISTRA")</f>
        <v>DIANA MADELEYNE GAONA RODRIGUEZ</v>
      </c>
      <c r="D1248" s="4" t="str">
        <f>IFERROR(VLOOKUP(A1248,'Base Prueba'!A:D,4,),"NO REGISTRA")</f>
        <v>CONTADOR</v>
      </c>
      <c r="E1248" s="5" t="str">
        <f>IFERROR(VLOOKUP(A1248,'Base Prueba'!A:E,5,),"NO REGISTRA")</f>
        <v>AREA FINANCIERA Y CONTABLE</v>
      </c>
    </row>
    <row r="1249" spans="1:5" ht="15.75" x14ac:dyDescent="0.25">
      <c r="A1249" s="10">
        <v>1032469638</v>
      </c>
      <c r="B1249" s="2">
        <v>46048.761394212961</v>
      </c>
      <c r="C1249" s="3" t="str">
        <f>IFERROR(VLOOKUP(A1249,'Base Prueba'!A:C,3,),"NO REGISTRA")</f>
        <v>MAICOL JARBEY GUALTEROS CASTAÑEDA</v>
      </c>
      <c r="D1249" s="4" t="str">
        <f>IFERROR(VLOOKUP(A1249,'Base Prueba'!A:D,4,),"NO REGISTRA")</f>
        <v>COORDINADOR DEL SISTEMA INTERNO DE ASEGURAMIENTO DE LA CALIDAD - SIAC</v>
      </c>
      <c r="E1249" s="5" t="str">
        <f>IFERROR(VLOOKUP(A1249,'Base Prueba'!A:E,5,),"NO REGISTRA")</f>
        <v>OFICINA DE PLANEACION Y GESTION DE LA CALIDAD</v>
      </c>
    </row>
    <row r="1250" spans="1:5" ht="15.75" x14ac:dyDescent="0.25">
      <c r="A1250" s="10">
        <v>1049644802</v>
      </c>
      <c r="B1250" s="2">
        <v>46048.761443518517</v>
      </c>
      <c r="C1250" s="3" t="str">
        <f>IFERROR(VLOOKUP(A1250,'Base Prueba'!A:C,3,),"NO REGISTRA")</f>
        <v>DANIELA ALEXANDRA CIPAMOCHA BOSIGA</v>
      </c>
      <c r="D1250" s="4" t="str">
        <f>IFERROR(VLOOKUP(A1250,'Base Prueba'!A:D,4,),"NO REGISTRA")</f>
        <v>LIDER DE DATOS Y SERVICIOS</v>
      </c>
      <c r="E1250" s="5" t="str">
        <f>IFERROR(VLOOKUP(A1250,'Base Prueba'!A:E,5,),"NO REGISTRA")</f>
        <v>OFICINA DE PLANEACION Y GESTION DE LA CALIDAD</v>
      </c>
    </row>
    <row r="1251" spans="1:5" ht="15.75" x14ac:dyDescent="0.25">
      <c r="A1251" s="10">
        <v>1018413529</v>
      </c>
      <c r="B1251" s="2">
        <v>46048.762372685182</v>
      </c>
      <c r="C1251" s="3" t="str">
        <f>IFERROR(VLOOKUP(A1251,'Base Prueba'!A:C,3,),"NO REGISTRA")</f>
        <v>FRANCY STELLA CHARRY MORENO</v>
      </c>
      <c r="D1251" s="4" t="str">
        <f>IFERROR(VLOOKUP(A1251,'Base Prueba'!A:D,4,),"NO REGISTRA")</f>
        <v>PROMOTOR COMERCIAL DEL CEA</v>
      </c>
      <c r="E1251" s="5" t="str">
        <f>IFERROR(VLOOKUP(A1251,'Base Prueba'!A:E,5,),"NO REGISTRA")</f>
        <v>OFICINA DE MERCADEO</v>
      </c>
    </row>
    <row r="1252" spans="1:5" ht="15.75" x14ac:dyDescent="0.25">
      <c r="A1252" s="10">
        <v>53089882</v>
      </c>
      <c r="B1252" s="2">
        <v>46048.762523032405</v>
      </c>
      <c r="C1252" s="3" t="str">
        <f>IFERROR(VLOOKUP(A1252,'Base Prueba'!A:C,3,),"NO REGISTRA")</f>
        <v>MARIA JOHANA ESCAMILLA MARTINEZ</v>
      </c>
      <c r="D1252" s="4" t="str">
        <f>IFERROR(VLOOKUP(A1252,'Base Prueba'!A:D,4,),"NO REGISTRA")</f>
        <v>PROMOTOR DE INFORMACIÓN</v>
      </c>
      <c r="E1252" s="5" t="str">
        <f>IFERROR(VLOOKUP(A1252,'Base Prueba'!A:E,5,),"NO REGISTRA")</f>
        <v>OFICINA DE MERCADEO</v>
      </c>
    </row>
    <row r="1253" spans="1:5" ht="15.75" x14ac:dyDescent="0.25">
      <c r="A1253" s="10">
        <v>52472386</v>
      </c>
      <c r="B1253" s="2">
        <v>46048.762799305558</v>
      </c>
      <c r="C1253" s="3" t="str">
        <f>IFERROR(VLOOKUP(A1253,'Base Prueba'!A:C,3,),"NO REGISTRA")</f>
        <v>ADRIANA MARCELA MORALES PARDO</v>
      </c>
      <c r="D1253" s="4" t="str">
        <f>IFERROR(VLOOKUP(A1253,'Base Prueba'!A:D,4,),"NO REGISTRA")</f>
        <v>PROMOTOR CALL CENTER</v>
      </c>
      <c r="E1253" s="5" t="str">
        <f>IFERROR(VLOOKUP(A1253,'Base Prueba'!A:E,5,),"NO REGISTRA")</f>
        <v>OFICINA DE MERCADEO</v>
      </c>
    </row>
    <row r="1254" spans="1:5" ht="15.75" x14ac:dyDescent="0.25">
      <c r="A1254" s="10">
        <v>1023883232</v>
      </c>
      <c r="B1254" s="2">
        <v>46048.762826620368</v>
      </c>
      <c r="C1254" s="3" t="str">
        <f>IFERROR(VLOOKUP(A1254,'Base Prueba'!A:C,3,),"NO REGISTRA")</f>
        <v>MONICA ANDREA ACERO URBANO</v>
      </c>
      <c r="D1254" s="4" t="str">
        <f>IFERROR(VLOOKUP(A1254,'Base Prueba'!A:D,4,),"NO REGISTRA")</f>
        <v>APOYO INTEGRAL A GESTION HUMANA</v>
      </c>
      <c r="E1254" s="5" t="str">
        <f>IFERROR(VLOOKUP(A1254,'Base Prueba'!A:E,5,),"NO REGISTRA")</f>
        <v>DEPARTAMENTO DE GESTION HUMANA</v>
      </c>
    </row>
    <row r="1255" spans="1:5" ht="15.75" x14ac:dyDescent="0.25">
      <c r="A1255" s="10">
        <v>1087121273</v>
      </c>
      <c r="B1255" s="2">
        <v>46048.762845949073</v>
      </c>
      <c r="C1255" s="3" t="str">
        <f>IFERROR(VLOOKUP(A1255,'Base Prueba'!A:C,3,),"NO REGISTRA")</f>
        <v>MAYRA ALEJANDRA CASTILLO ARBOLEDA</v>
      </c>
      <c r="D1255" s="4" t="str">
        <f>IFERROR(VLOOKUP(A1255,'Base Prueba'!A:D,4,),"NO REGISTRA")</f>
        <v>APOYO INTEGRAL DE MERCADEO</v>
      </c>
      <c r="E1255" s="5" t="str">
        <f>IFERROR(VLOOKUP(A1255,'Base Prueba'!A:E,5,),"NO REGISTRA")</f>
        <v>CENTRO DE GESTION DOCUMENTAL</v>
      </c>
    </row>
    <row r="1256" spans="1:5" ht="15.75" x14ac:dyDescent="0.25">
      <c r="A1256" s="10">
        <v>1193265768</v>
      </c>
      <c r="B1256" s="2">
        <v>46048.767108564818</v>
      </c>
      <c r="C1256" s="3" t="str">
        <f>IFERROR(VLOOKUP(A1256,'Base Prueba'!A:C,3,),"NO REGISTRA")</f>
        <v>SANTIAGO OSORIO CAMACHO</v>
      </c>
      <c r="D1256" s="4" t="str">
        <f>IFERROR(VLOOKUP(A1256,'Base Prueba'!A:D,4,),"NO REGISTRA")</f>
        <v>ANALISTA DE PAUTA</v>
      </c>
      <c r="E1256" s="5" t="str">
        <f>IFERROR(VLOOKUP(A1256,'Base Prueba'!A:E,5,),"NO REGISTRA")</f>
        <v>OFICINA DE MERCADEO</v>
      </c>
    </row>
    <row r="1257" spans="1:5" ht="15.75" x14ac:dyDescent="0.25">
      <c r="A1257" s="10">
        <v>1000457706</v>
      </c>
      <c r="B1257" s="2">
        <v>46048.767146874998</v>
      </c>
      <c r="C1257" s="3" t="str">
        <f>IFERROR(VLOOKUP(A1257,'Base Prueba'!A:C,3,),"NO REGISTRA")</f>
        <v>CRISTIAN DANILO ARROYO SANABRIA</v>
      </c>
      <c r="D1257" s="4" t="str">
        <f>IFERROR(VLOOKUP(A1257,'Base Prueba'!A:D,4,),"NO REGISTRA")</f>
        <v>AUXILIAR CONTABLE</v>
      </c>
      <c r="E1257" s="5" t="str">
        <f>IFERROR(VLOOKUP(A1257,'Base Prueba'!A:E,5,),"NO REGISTRA")</f>
        <v>AREA FINANCIERA Y CONTABLE</v>
      </c>
    </row>
    <row r="1258" spans="1:5" ht="15.75" x14ac:dyDescent="0.25">
      <c r="A1258" s="10">
        <v>52764929</v>
      </c>
      <c r="B1258" s="2">
        <v>46048.767232754632</v>
      </c>
      <c r="C1258" s="3" t="str">
        <f>IFERROR(VLOOKUP(A1258,'Base Prueba'!A:C,3,),"NO REGISTRA")</f>
        <v>GUERLY YOHANA DURAN RIVERA</v>
      </c>
      <c r="D1258" s="4" t="str">
        <f>IFERROR(VLOOKUP(A1258,'Base Prueba'!A:D,4,),"NO REGISTRA")</f>
        <v>LIDER DE VINCULACION COLEGIOS</v>
      </c>
      <c r="E1258" s="5" t="str">
        <f>IFERROR(VLOOKUP(A1258,'Base Prueba'!A:E,5,),"NO REGISTRA")</f>
        <v>OFICINA DE MERCADEO</v>
      </c>
    </row>
    <row r="1259" spans="1:5" ht="15.75" x14ac:dyDescent="0.25">
      <c r="A1259" s="10">
        <v>1014266838</v>
      </c>
      <c r="B1259" s="2">
        <v>46048.767737268521</v>
      </c>
      <c r="C1259" s="3" t="str">
        <f>IFERROR(VLOOKUP(A1259,'Base Prueba'!A:C,3,),"NO REGISTRA")</f>
        <v>JENNIFER ASTRID ROMERO HURTADO</v>
      </c>
      <c r="D1259" s="4" t="str">
        <f>IFERROR(VLOOKUP(A1259,'Base Prueba'!A:D,4,),"NO REGISTRA")</f>
        <v>LIDER DE RECAUDO</v>
      </c>
      <c r="E1259" s="5" t="str">
        <f>IFERROR(VLOOKUP(A1259,'Base Prueba'!A:E,5,),"NO REGISTRA")</f>
        <v>AREA FINANCIERA Y CONTABLE</v>
      </c>
    </row>
    <row r="1260" spans="1:5" ht="15.75" x14ac:dyDescent="0.25">
      <c r="A1260" s="10">
        <v>1014196857</v>
      </c>
      <c r="B1260" s="2">
        <v>46048.768747916663</v>
      </c>
      <c r="C1260" s="3" t="str">
        <f>IFERROR(VLOOKUP(A1260,'Base Prueba'!A:C,3,),"NO REGISTRA")</f>
        <v>CARLOS ANDRES JIMENEZ PARDO</v>
      </c>
      <c r="D1260" s="4" t="str">
        <f>IFERROR(VLOOKUP(A1260,'Base Prueba'!A:D,4,),"NO REGISTRA")</f>
        <v>COORDINADOR DE MARKETING DIGITAL</v>
      </c>
      <c r="E1260" s="5" t="str">
        <f>IFERROR(VLOOKUP(A1260,'Base Prueba'!A:E,5,),"NO REGISTRA")</f>
        <v>OFICINA DE MERCADEO</v>
      </c>
    </row>
    <row r="1261" spans="1:5" ht="15.75" x14ac:dyDescent="0.25">
      <c r="A1261" s="10">
        <v>1016090131</v>
      </c>
      <c r="B1261" s="2">
        <v>46048.769249189812</v>
      </c>
      <c r="C1261" s="3" t="str">
        <f>IFERROR(VLOOKUP(A1261,'Base Prueba'!A:C,3,),"NO REGISTRA")</f>
        <v>NICOLAS RODRIGUEZ PACHECO</v>
      </c>
      <c r="D1261" s="4" t="str">
        <f>IFERROR(VLOOKUP(A1261,'Base Prueba'!A:D,4,),"NO REGISTRA")</f>
        <v>COORDINADOR DE COMUNICACIONES</v>
      </c>
      <c r="E1261" s="5" t="str">
        <f>IFERROR(VLOOKUP(A1261,'Base Prueba'!A:E,5,),"NO REGISTRA")</f>
        <v>OFICINA DE MERCADEO</v>
      </c>
    </row>
    <row r="1262" spans="1:5" ht="15.75" x14ac:dyDescent="0.25">
      <c r="A1262" s="10">
        <v>1000604979</v>
      </c>
      <c r="B1262" s="2">
        <v>46048.769285879629</v>
      </c>
      <c r="C1262" s="3" t="str">
        <f>IFERROR(VLOOKUP(A1262,'Base Prueba'!A:C,3,),"NO REGISTRA")</f>
        <v>JULIETH TATIANA PARDO PINTO</v>
      </c>
      <c r="D1262" s="4" t="str">
        <f>IFERROR(VLOOKUP(A1262,'Base Prueba'!A:D,4,),"NO REGISTRA")</f>
        <v>AUXILIAR JURIDICO</v>
      </c>
      <c r="E1262" s="5" t="str">
        <f>IFERROR(VLOOKUP(A1262,'Base Prueba'!A:E,5,),"NO REGISTRA")</f>
        <v>SECRETARIA GENERAL</v>
      </c>
    </row>
    <row r="1263" spans="1:5" ht="15.75" x14ac:dyDescent="0.25">
      <c r="A1263" s="10">
        <v>1000593372</v>
      </c>
      <c r="B1263" s="2">
        <v>46048.769335763885</v>
      </c>
      <c r="C1263" s="3" t="str">
        <f>IFERROR(VLOOKUP(A1263,'Base Prueba'!A:C,3,),"NO REGISTRA")</f>
        <v>LAURA SOFIA CHAPARRO LOPEZ</v>
      </c>
      <c r="D1263" s="4" t="str">
        <f>IFERROR(VLOOKUP(A1263,'Base Prueba'!A:D,4,),"NO REGISTRA")</f>
        <v>AUXILIAR JURIDICO</v>
      </c>
      <c r="E1263" s="5" t="str">
        <f>IFERROR(VLOOKUP(A1263,'Base Prueba'!A:E,5,),"NO REGISTRA")</f>
        <v>SECRETARIA GENERAL</v>
      </c>
    </row>
    <row r="1264" spans="1:5" ht="15.75" x14ac:dyDescent="0.25">
      <c r="A1264" s="10">
        <v>28798349</v>
      </c>
      <c r="B1264" s="2">
        <v>46048.773548263889</v>
      </c>
      <c r="C1264" s="3" t="str">
        <f>IFERROR(VLOOKUP(A1264,'Base Prueba'!A:C,3,),"NO REGISTRA")</f>
        <v>MARTHA ISABEL TOVAR WILLIAMS</v>
      </c>
      <c r="D1264" s="4" t="str">
        <f>IFERROR(VLOOKUP(A1264,'Base Prueba'!A:D,4,),"NO REGISTRA")</f>
        <v>PROMOTOR CALL CENTER</v>
      </c>
      <c r="E1264" s="5" t="str">
        <f>IFERROR(VLOOKUP(A1264,'Base Prueba'!A:E,5,),"NO REGISTRA")</f>
        <v>OFICINA DE MERCADEO</v>
      </c>
    </row>
    <row r="1265" spans="1:5" ht="15.75" x14ac:dyDescent="0.25">
      <c r="A1265" s="10">
        <v>1024505434</v>
      </c>
      <c r="B1265" s="2">
        <v>46048.777149421294</v>
      </c>
      <c r="C1265" s="3" t="str">
        <f>IFERROR(VLOOKUP(A1265,'Base Prueba'!A:C,3,),"NO REGISTRA")</f>
        <v>CRISTIAN ALBERTO MELO TORRES</v>
      </c>
      <c r="D1265" s="4" t="str">
        <f>IFERROR(VLOOKUP(A1265,'Base Prueba'!A:D,4,),"NO REGISTRA")</f>
        <v>COORDINADOR DE INFRAESTRUCTURA</v>
      </c>
      <c r="E1265" s="5" t="str">
        <f>IFERROR(VLOOKUP(A1265,'Base Prueba'!A:E,5,),"NO REGISTRA")</f>
        <v>VICERRECTORIA ADMINISTRATIVA Y FINANCIERA</v>
      </c>
    </row>
    <row r="1266" spans="1:5" ht="15.75" x14ac:dyDescent="0.25">
      <c r="A1266" s="10">
        <v>80234243</v>
      </c>
      <c r="B1266" s="2">
        <v>46048.778957986113</v>
      </c>
      <c r="C1266" s="3" t="str">
        <f>IFERROR(VLOOKUP(A1266,'Base Prueba'!A:C,3,),"NO REGISTRA")</f>
        <v>ARGENIS MARTINEZ MARTINEZ</v>
      </c>
      <c r="D1266" s="4" t="str">
        <f>IFERROR(VLOOKUP(A1266,'Base Prueba'!A:D,4,),"NO REGISTRA")</f>
        <v>LIDER CALL CENTER</v>
      </c>
      <c r="E1266" s="5" t="str">
        <f>IFERROR(VLOOKUP(A1266,'Base Prueba'!A:E,5,),"NO REGISTRA")</f>
        <v>OFICINA DE MERCADEO</v>
      </c>
    </row>
    <row r="1267" spans="1:5" ht="15.75" x14ac:dyDescent="0.25">
      <c r="A1267" s="10">
        <v>1012357415</v>
      </c>
      <c r="B1267" s="2">
        <v>46048.791809027774</v>
      </c>
      <c r="C1267" s="3" t="str">
        <f>IFERROR(VLOOKUP(A1267,'Base Prueba'!A:C,3,),"NO REGISTRA")</f>
        <v>CINDY LORENA BOHORQUEZ LEYVA</v>
      </c>
      <c r="D1267" s="4" t="str">
        <f>IFERROR(VLOOKUP(A1267,'Base Prueba'!A:D,4,),"NO REGISTRA")</f>
        <v>ANALISTA DE TESORERIA</v>
      </c>
      <c r="E1267" s="5" t="str">
        <f>IFERROR(VLOOKUP(A1267,'Base Prueba'!A:E,5,),"NO REGISTRA")</f>
        <v>AREA FINANCIERA Y CONTABLE</v>
      </c>
    </row>
    <row r="1268" spans="1:5" ht="15.75" x14ac:dyDescent="0.25">
      <c r="A1268" s="10">
        <v>1014308296</v>
      </c>
      <c r="B1268" s="2">
        <v>46048.793036805553</v>
      </c>
      <c r="C1268" s="3" t="str">
        <f>IFERROR(VLOOKUP(A1268,'Base Prueba'!A:C,3,),"NO REGISTRA")</f>
        <v>DARLENE YULIANA MORENO CELEITA</v>
      </c>
      <c r="D1268" s="4" t="str">
        <f>IFERROR(VLOOKUP(A1268,'Base Prueba'!A:D,4,),"NO REGISTRA")</f>
        <v>CAJERO PRINCIPAL</v>
      </c>
      <c r="E1268" s="5" t="str">
        <f>IFERROR(VLOOKUP(A1268,'Base Prueba'!A:E,5,),"NO REGISTRA")</f>
        <v>AREA FINANCIERA Y CONTABLE</v>
      </c>
    </row>
    <row r="1269" spans="1:5" ht="15.75" x14ac:dyDescent="0.25">
      <c r="A1269" s="10">
        <v>80238161</v>
      </c>
      <c r="B1269" s="2">
        <v>46048.793070949076</v>
      </c>
      <c r="C1269" s="3" t="str">
        <f>IFERROR(VLOOKUP(A1269,'Base Prueba'!A:C,3,),"NO REGISTRA")</f>
        <v>GERMAN CARRANZA ESPITIA</v>
      </c>
      <c r="D1269" s="4" t="str">
        <f>IFERROR(VLOOKUP(A1269,'Base Prueba'!A:D,4,),"NO REGISTRA")</f>
        <v>TESORERO</v>
      </c>
      <c r="E1269" s="5" t="str">
        <f>IFERROR(VLOOKUP(A1269,'Base Prueba'!A:E,5,),"NO REGISTRA")</f>
        <v>AREA FINANCIERA Y CONTABLE</v>
      </c>
    </row>
    <row r="1270" spans="1:5" ht="15.75" x14ac:dyDescent="0.25">
      <c r="A1270" s="10">
        <v>1013098645</v>
      </c>
      <c r="B1270" s="2">
        <v>46048.801255092592</v>
      </c>
      <c r="C1270" s="3" t="str">
        <f>IFERROR(VLOOKUP(A1270,'Base Prueba'!A:C,3,),"NO REGISTRA")</f>
        <v>CATHERINE LUCIA PENAGOS RIVERA</v>
      </c>
      <c r="D1270" s="4" t="str">
        <f>IFERROR(VLOOKUP(A1270,'Base Prueba'!A:D,4,),"NO REGISTRA")</f>
        <v>LIDER DE REGISTRO Y CONTROL ACADEMICO</v>
      </c>
      <c r="E1270" s="5" t="str">
        <f>IFERROR(VLOOKUP(A1270,'Base Prueba'!A:E,5,),"NO REGISTRA")</f>
        <v>REGISTRO Y CONTROL ACADEMICO</v>
      </c>
    </row>
    <row r="1271" spans="1:5" ht="15.75" x14ac:dyDescent="0.25">
      <c r="A1271" s="10">
        <v>1013616244</v>
      </c>
      <c r="B1271" s="2">
        <v>46048.806945601849</v>
      </c>
      <c r="C1271" s="3" t="str">
        <f>IFERROR(VLOOKUP(A1271,'Base Prueba'!A:C,3,),"NO REGISTRA")</f>
        <v>DIANA CAROLINA MARIN BETANCOURT</v>
      </c>
      <c r="D1271" s="4" t="str">
        <f>IFERROR(VLOOKUP(A1271,'Base Prueba'!A:D,4,),"NO REGISTRA")</f>
        <v>AUXILIAR ADMINISTRATIVO</v>
      </c>
      <c r="E1271" s="5" t="str">
        <f>IFERROR(VLOOKUP(A1271,'Base Prueba'!A:E,5,),"NO REGISTRA")</f>
        <v>REGISTRO Y CONTROL ACADEMICO</v>
      </c>
    </row>
    <row r="1272" spans="1:5" ht="15.75" x14ac:dyDescent="0.25">
      <c r="A1272" s="10">
        <v>1000354041</v>
      </c>
      <c r="B1272" s="2">
        <v>46049.29202847222</v>
      </c>
      <c r="C1272" s="3" t="str">
        <f>IFERROR(VLOOKUP(A1272,'Base Prueba'!A:C,3,),"NO REGISTRA")</f>
        <v>ANGIE NATALIA BOHORQUEZ SANCHEZ</v>
      </c>
      <c r="D1272" s="4" t="str">
        <f>IFERROR(VLOOKUP(A1272,'Base Prueba'!A:D,4,),"NO REGISTRA")</f>
        <v>APRENDIZ UNIVERSITARIO</v>
      </c>
      <c r="E1272" s="5" t="str">
        <f>IFERROR(VLOOKUP(A1272,'Base Prueba'!A:E,5,),"NO REGISTRA")</f>
        <v>OFICINA DE PLANEACION Y GESTION DE LA CALIDAD</v>
      </c>
    </row>
    <row r="1273" spans="1:5" ht="15.75" x14ac:dyDescent="0.25">
      <c r="A1273" s="10">
        <v>1087121273</v>
      </c>
      <c r="B1273" s="2">
        <v>46049.305659259262</v>
      </c>
      <c r="C1273" s="3" t="str">
        <f>IFERROR(VLOOKUP(A1273,'Base Prueba'!A:C,3,),"NO REGISTRA")</f>
        <v>MAYRA ALEJANDRA CASTILLO ARBOLEDA</v>
      </c>
      <c r="D1273" s="4" t="str">
        <f>IFERROR(VLOOKUP(A1273,'Base Prueba'!A:D,4,),"NO REGISTRA")</f>
        <v>APOYO INTEGRAL DE MERCADEO</v>
      </c>
      <c r="E1273" s="5" t="str">
        <f>IFERROR(VLOOKUP(A1273,'Base Prueba'!A:E,5,),"NO REGISTRA")</f>
        <v>CENTRO DE GESTION DOCUMENTAL</v>
      </c>
    </row>
    <row r="1274" spans="1:5" ht="15.75" x14ac:dyDescent="0.25">
      <c r="A1274" s="10">
        <v>1013616244</v>
      </c>
      <c r="B1274" s="2">
        <v>46049.315591087965</v>
      </c>
      <c r="C1274" s="3" t="str">
        <f>IFERROR(VLOOKUP(A1274,'Base Prueba'!A:C,3,),"NO REGISTRA")</f>
        <v>DIANA CAROLINA MARIN BETANCOURT</v>
      </c>
      <c r="D1274" s="4" t="str">
        <f>IFERROR(VLOOKUP(A1274,'Base Prueba'!A:D,4,),"NO REGISTRA")</f>
        <v>AUXILIAR ADMINISTRATIVO</v>
      </c>
      <c r="E1274" s="5" t="str">
        <f>IFERROR(VLOOKUP(A1274,'Base Prueba'!A:E,5,),"NO REGISTRA")</f>
        <v>REGISTRO Y CONTROL ACADEMICO</v>
      </c>
    </row>
    <row r="1275" spans="1:5" ht="15.75" x14ac:dyDescent="0.25">
      <c r="A1275" s="10">
        <v>1014977624</v>
      </c>
      <c r="B1275" s="2">
        <v>46049.329770138887</v>
      </c>
      <c r="C1275" s="3" t="str">
        <f>IFERROR(VLOOKUP(A1275,'Base Prueba'!A:C,3,),"NO REGISTRA")</f>
        <v>NICCOLE VALENTINA HERNANDEZ MALAVER</v>
      </c>
      <c r="D1275" s="4" t="str">
        <f>IFERROR(VLOOKUP(A1275,'Base Prueba'!A:D,4,),"NO REGISTRA")</f>
        <v>APRENDIZ UNIVERSITARIO</v>
      </c>
      <c r="E1275" s="5" t="str">
        <f>IFERROR(VLOOKUP(A1275,'Base Prueba'!A:E,5,),"NO REGISTRA")</f>
        <v>AREA FINANCIERA Y CONTABLE</v>
      </c>
    </row>
    <row r="1276" spans="1:5" ht="15.75" x14ac:dyDescent="0.25">
      <c r="A1276" s="10">
        <v>1049644802</v>
      </c>
      <c r="B1276" s="2">
        <v>46049.335007175927</v>
      </c>
      <c r="C1276" s="3" t="str">
        <f>IFERROR(VLOOKUP(A1276,'Base Prueba'!A:C,3,),"NO REGISTRA")</f>
        <v>DANIELA ALEXANDRA CIPAMOCHA BOSIGA</v>
      </c>
      <c r="D1276" s="4" t="str">
        <f>IFERROR(VLOOKUP(A1276,'Base Prueba'!A:D,4,),"NO REGISTRA")</f>
        <v>LIDER DE DATOS Y SERVICIOS</v>
      </c>
      <c r="E1276" s="5" t="str">
        <f>IFERROR(VLOOKUP(A1276,'Base Prueba'!A:E,5,),"NO REGISTRA")</f>
        <v>OFICINA DE PLANEACION Y GESTION DE LA CALIDAD</v>
      </c>
    </row>
    <row r="1277" spans="1:5" ht="15.75" x14ac:dyDescent="0.25">
      <c r="A1277" s="10">
        <v>1031802160</v>
      </c>
      <c r="B1277" s="2">
        <v>46049.338009375002</v>
      </c>
      <c r="C1277" s="3" t="str">
        <f>IFERROR(VLOOKUP(A1277,'Base Prueba'!A:C,3,),"NO REGISTRA")</f>
        <v>LUISA MARIA MAHECHA SOTOMAYOR</v>
      </c>
      <c r="D1277" s="4" t="str">
        <f>IFERROR(VLOOKUP(A1277,'Base Prueba'!A:D,4,),"NO REGISTRA")</f>
        <v>APRENDIZ UNIVERSITARIO</v>
      </c>
      <c r="E1277" s="5" t="str">
        <f>IFERROR(VLOOKUP(A1277,'Base Prueba'!A:E,5,),"NO REGISTRA")</f>
        <v>OFICINA DE MERCADEO</v>
      </c>
    </row>
    <row r="1278" spans="1:5" ht="15.75" x14ac:dyDescent="0.25">
      <c r="A1278" s="10">
        <v>1000257136</v>
      </c>
      <c r="B1278" s="2">
        <v>46049.338389004632</v>
      </c>
      <c r="C1278" s="3" t="str">
        <f>IFERROR(VLOOKUP(A1278,'Base Prueba'!A:C,3,),"NO REGISTRA")</f>
        <v>FRANCI VALENTINA CANO PUENTES</v>
      </c>
      <c r="D1278" s="4" t="str">
        <f>IFERROR(VLOOKUP(A1278,'Base Prueba'!A:D,4,),"NO REGISTRA")</f>
        <v>AUXILIAR CONTABLE</v>
      </c>
      <c r="E1278" s="5" t="str">
        <f>IFERROR(VLOOKUP(A1278,'Base Prueba'!A:E,5,),"NO REGISTRA")</f>
        <v>AREA FINANCIERA Y CONTABLE</v>
      </c>
    </row>
    <row r="1279" spans="1:5" ht="15.75" x14ac:dyDescent="0.25">
      <c r="A1279" s="10">
        <v>1193457976</v>
      </c>
      <c r="B1279" s="2">
        <v>46049.341700115743</v>
      </c>
      <c r="C1279" s="3" t="str">
        <f>IFERROR(VLOOKUP(A1279,'Base Prueba'!A:C,3,),"NO REGISTRA")</f>
        <v>SEDENIS RIVAS ASPRILLA</v>
      </c>
      <c r="D1279" s="4" t="str">
        <f>IFERROR(VLOOKUP(A1279,'Base Prueba'!A:D,4,),"NO REGISTRA")</f>
        <v>APRENDIZ UNIVERSITARIO</v>
      </c>
      <c r="E1279" s="5" t="str">
        <f>IFERROR(VLOOKUP(A1279,'Base Prueba'!A:E,5,),"NO REGISTRA")</f>
        <v>DEPARTAMENTO DE GESTION HUMANA</v>
      </c>
    </row>
    <row r="1280" spans="1:5" ht="15.75" x14ac:dyDescent="0.25">
      <c r="A1280" s="10">
        <v>1000604979</v>
      </c>
      <c r="B1280" s="2">
        <v>46049.344788310184</v>
      </c>
      <c r="C1280" s="3" t="str">
        <f>IFERROR(VLOOKUP(A1280,'Base Prueba'!A:C,3,),"NO REGISTRA")</f>
        <v>JULIETH TATIANA PARDO PINTO</v>
      </c>
      <c r="D1280" s="4" t="str">
        <f>IFERROR(VLOOKUP(A1280,'Base Prueba'!A:D,4,),"NO REGISTRA")</f>
        <v>AUXILIAR JURIDICO</v>
      </c>
      <c r="E1280" s="5" t="str">
        <f>IFERROR(VLOOKUP(A1280,'Base Prueba'!A:E,5,),"NO REGISTRA")</f>
        <v>SECRETARIA GENERAL</v>
      </c>
    </row>
    <row r="1281" spans="1:5" ht="15.75" x14ac:dyDescent="0.25">
      <c r="A1281" s="10">
        <v>1000687931</v>
      </c>
      <c r="B1281" s="2">
        <v>46049.344864004626</v>
      </c>
      <c r="C1281" s="3" t="str">
        <f>IFERROR(VLOOKUP(A1281,'Base Prueba'!A:C,3,),"NO REGISTRA")</f>
        <v>ANDRES FELIPE PUENTES TORRES</v>
      </c>
      <c r="D1281" s="4" t="str">
        <f>IFERROR(VLOOKUP(A1281,'Base Prueba'!A:D,4,),"NO REGISTRA")</f>
        <v>AUXILIAR ADMINISTRATIVO</v>
      </c>
      <c r="E1281" s="5" t="str">
        <f>IFERROR(VLOOKUP(A1281,'Base Prueba'!A:E,5,),"NO REGISTRA")</f>
        <v>REGISTRO Y CONTROL ACADEMICO</v>
      </c>
    </row>
    <row r="1282" spans="1:5" ht="15.75" x14ac:dyDescent="0.25">
      <c r="A1282" s="10">
        <v>1012357415</v>
      </c>
      <c r="B1282" s="2">
        <v>46049.34836747685</v>
      </c>
      <c r="C1282" s="3" t="str">
        <f>IFERROR(VLOOKUP(A1282,'Base Prueba'!A:C,3,),"NO REGISTRA")</f>
        <v>CINDY LORENA BOHORQUEZ LEYVA</v>
      </c>
      <c r="D1282" s="4" t="str">
        <f>IFERROR(VLOOKUP(A1282,'Base Prueba'!A:D,4,),"NO REGISTRA")</f>
        <v>ANALISTA DE TESORERIA</v>
      </c>
      <c r="E1282" s="5" t="str">
        <f>IFERROR(VLOOKUP(A1282,'Base Prueba'!A:E,5,),"NO REGISTRA")</f>
        <v>AREA FINANCIERA Y CONTABLE</v>
      </c>
    </row>
    <row r="1283" spans="1:5" ht="15.75" x14ac:dyDescent="0.25">
      <c r="A1283" s="10">
        <v>53932358</v>
      </c>
      <c r="B1283" s="2">
        <v>46049.352507523145</v>
      </c>
      <c r="C1283" s="3" t="str">
        <f>IFERROR(VLOOKUP(A1283,'Base Prueba'!A:C,3,),"NO REGISTRA")</f>
        <v>DIANA MADELEYNE GAONA RODRIGUEZ</v>
      </c>
      <c r="D1283" s="4" t="str">
        <f>IFERROR(VLOOKUP(A1283,'Base Prueba'!A:D,4,),"NO REGISTRA")</f>
        <v>CONTADOR</v>
      </c>
      <c r="E1283" s="5" t="str">
        <f>IFERROR(VLOOKUP(A1283,'Base Prueba'!A:E,5,),"NO REGISTRA")</f>
        <v>AREA FINANCIERA Y CONTABLE</v>
      </c>
    </row>
    <row r="1284" spans="1:5" ht="15.75" x14ac:dyDescent="0.25">
      <c r="A1284" s="10">
        <v>1000457706</v>
      </c>
      <c r="B1284" s="2">
        <v>46049.35412048611</v>
      </c>
      <c r="C1284" s="3" t="str">
        <f>IFERROR(VLOOKUP(A1284,'Base Prueba'!A:C,3,),"NO REGISTRA")</f>
        <v>CRISTIAN DANILO ARROYO SANABRIA</v>
      </c>
      <c r="D1284" s="4" t="str">
        <f>IFERROR(VLOOKUP(A1284,'Base Prueba'!A:D,4,),"NO REGISTRA")</f>
        <v>AUXILIAR CONTABLE</v>
      </c>
      <c r="E1284" s="5" t="str">
        <f>IFERROR(VLOOKUP(A1284,'Base Prueba'!A:E,5,),"NO REGISTRA")</f>
        <v>AREA FINANCIERA Y CONTABLE</v>
      </c>
    </row>
    <row r="1285" spans="1:5" ht="15.75" x14ac:dyDescent="0.25">
      <c r="A1285" s="10">
        <v>1023883232</v>
      </c>
      <c r="B1285" s="2">
        <v>46049.356344675929</v>
      </c>
      <c r="C1285" s="3" t="str">
        <f>IFERROR(VLOOKUP(A1285,'Base Prueba'!A:C,3,),"NO REGISTRA")</f>
        <v>MONICA ANDREA ACERO URBANO</v>
      </c>
      <c r="D1285" s="4" t="str">
        <f>IFERROR(VLOOKUP(A1285,'Base Prueba'!A:D,4,),"NO REGISTRA")</f>
        <v>APOYO INTEGRAL A GESTION HUMANA</v>
      </c>
      <c r="E1285" s="5" t="str">
        <f>IFERROR(VLOOKUP(A1285,'Base Prueba'!A:E,5,),"NO REGISTRA")</f>
        <v>DEPARTAMENTO DE GESTION HUMANA</v>
      </c>
    </row>
    <row r="1286" spans="1:5" ht="15.75" x14ac:dyDescent="0.25">
      <c r="A1286" s="10">
        <v>1014196857</v>
      </c>
      <c r="B1286" s="2">
        <v>46049.361259953701</v>
      </c>
      <c r="C1286" s="3" t="str">
        <f>IFERROR(VLOOKUP(A1286,'Base Prueba'!A:C,3,),"NO REGISTRA")</f>
        <v>CARLOS ANDRES JIMENEZ PARDO</v>
      </c>
      <c r="D1286" s="4" t="str">
        <f>IFERROR(VLOOKUP(A1286,'Base Prueba'!A:D,4,),"NO REGISTRA")</f>
        <v>COORDINADOR DE MARKETING DIGITAL</v>
      </c>
      <c r="E1286" s="5" t="str">
        <f>IFERROR(VLOOKUP(A1286,'Base Prueba'!A:E,5,),"NO REGISTRA")</f>
        <v>OFICINA DE MERCADEO</v>
      </c>
    </row>
    <row r="1287" spans="1:5" ht="15.75" x14ac:dyDescent="0.25">
      <c r="A1287" s="10">
        <v>1018413529</v>
      </c>
      <c r="B1287" s="2">
        <v>46049.364459027776</v>
      </c>
      <c r="C1287" s="3" t="str">
        <f>IFERROR(VLOOKUP(A1287,'Base Prueba'!A:C,3,),"NO REGISTRA")</f>
        <v>FRANCY STELLA CHARRY MORENO</v>
      </c>
      <c r="D1287" s="4" t="str">
        <f>IFERROR(VLOOKUP(A1287,'Base Prueba'!A:D,4,),"NO REGISTRA")</f>
        <v>PROMOTOR COMERCIAL DEL CEA</v>
      </c>
      <c r="E1287" s="5" t="str">
        <f>IFERROR(VLOOKUP(A1287,'Base Prueba'!A:E,5,),"NO REGISTRA")</f>
        <v>OFICINA DE MERCADEO</v>
      </c>
    </row>
    <row r="1288" spans="1:5" ht="15.75" x14ac:dyDescent="0.25">
      <c r="A1288" s="10">
        <v>80234243</v>
      </c>
      <c r="B1288" s="2">
        <v>46049.364772685185</v>
      </c>
      <c r="C1288" s="3" t="str">
        <f>IFERROR(VLOOKUP(A1288,'Base Prueba'!A:C,3,),"NO REGISTRA")</f>
        <v>ARGENIS MARTINEZ MARTINEZ</v>
      </c>
      <c r="D1288" s="4" t="str">
        <f>IFERROR(VLOOKUP(A1288,'Base Prueba'!A:D,4,),"NO REGISTRA")</f>
        <v>LIDER CALL CENTER</v>
      </c>
      <c r="E1288" s="5" t="str">
        <f>IFERROR(VLOOKUP(A1288,'Base Prueba'!A:E,5,),"NO REGISTRA")</f>
        <v>OFICINA DE MERCADEO</v>
      </c>
    </row>
    <row r="1289" spans="1:5" ht="15.75" x14ac:dyDescent="0.25">
      <c r="A1289" s="10">
        <v>1003690253</v>
      </c>
      <c r="B1289" s="2">
        <v>46049.365836689816</v>
      </c>
      <c r="C1289" s="3" t="str">
        <f>IFERROR(VLOOKUP(A1289,'Base Prueba'!A:C,3,),"NO REGISTRA")</f>
        <v>MELISSA GONZALEZ PEDRAZA</v>
      </c>
      <c r="D1289" s="4" t="str">
        <f>IFERROR(VLOOKUP(A1289,'Base Prueba'!A:D,4,),"NO REGISTRA")</f>
        <v>LIDER DE JOVENES A LA E</v>
      </c>
      <c r="E1289" s="5" t="str">
        <f>IFERROR(VLOOKUP(A1289,'Base Prueba'!A:E,5,),"NO REGISTRA")</f>
        <v>DIRECCION DE BIENESTAR INSTITUCIONAL</v>
      </c>
    </row>
    <row r="1290" spans="1:5" ht="15.75" x14ac:dyDescent="0.25">
      <c r="A1290" s="10">
        <v>1033709056</v>
      </c>
      <c r="B1290" s="2">
        <v>46049.368309953701</v>
      </c>
      <c r="C1290" s="3" t="str">
        <f>IFERROR(VLOOKUP(A1290,'Base Prueba'!A:C,3,),"NO REGISTRA")</f>
        <v>YEIMY ALEXANDRA RODRIGUEZ PALACIO</v>
      </c>
      <c r="D1290" s="4" t="str">
        <f>IFERROR(VLOOKUP(A1290,'Base Prueba'!A:D,4,),"NO REGISTRA")</f>
        <v>PROMOTOR CALL CENTER</v>
      </c>
      <c r="E1290" s="5" t="str">
        <f>IFERROR(VLOOKUP(A1290,'Base Prueba'!A:E,5,),"NO REGISTRA")</f>
        <v>OFICINA DE MERCADEO</v>
      </c>
    </row>
    <row r="1291" spans="1:5" ht="15.75" x14ac:dyDescent="0.25">
      <c r="A1291" s="10">
        <v>1032407386</v>
      </c>
      <c r="B1291" s="2">
        <v>46049.368795138886</v>
      </c>
      <c r="C1291" s="3" t="str">
        <f>IFERROR(VLOOKUP(A1291,'Base Prueba'!A:C,3,),"NO REGISTRA")</f>
        <v>GINA PAOLA BAEZ GALVIS</v>
      </c>
      <c r="D1291" s="4" t="str">
        <f>IFERROR(VLOOKUP(A1291,'Base Prueba'!A:D,4,),"NO REGISTRA")</f>
        <v>PROMOTOR CALL CENTER</v>
      </c>
      <c r="E1291" s="5" t="str">
        <f>IFERROR(VLOOKUP(A1291,'Base Prueba'!A:E,5,),"NO REGISTRA")</f>
        <v>OFICINA DE MERCADEO</v>
      </c>
    </row>
    <row r="1292" spans="1:5" ht="15.75" x14ac:dyDescent="0.25">
      <c r="A1292" s="10">
        <v>1012426741</v>
      </c>
      <c r="B1292" s="2">
        <v>46049.369965393518</v>
      </c>
      <c r="C1292" s="3" t="str">
        <f>IFERROR(VLOOKUP(A1292,'Base Prueba'!A:C,3,),"NO REGISTRA")</f>
        <v>CRISTIAN FABIAN ROJAS SANCENO</v>
      </c>
      <c r="D1292" s="4" t="str">
        <f>IFERROR(VLOOKUP(A1292,'Base Prueba'!A:D,4,),"NO REGISTRA")</f>
        <v>AUXILIAR DE REINTEGROS</v>
      </c>
      <c r="E1292" s="5" t="str">
        <f>IFERROR(VLOOKUP(A1292,'Base Prueba'!A:E,5,),"NO REGISTRA")</f>
        <v>DIRECCION DE BIENESTAR INSTITUCIONAL</v>
      </c>
    </row>
    <row r="1293" spans="1:5" ht="15.75" x14ac:dyDescent="0.25">
      <c r="A1293" s="10">
        <v>52472386</v>
      </c>
      <c r="B1293" s="2">
        <v>46049.371638078701</v>
      </c>
      <c r="C1293" s="3" t="str">
        <f>IFERROR(VLOOKUP(A1293,'Base Prueba'!A:C,3,),"NO REGISTRA")</f>
        <v>ADRIANA MARCELA MORALES PARDO</v>
      </c>
      <c r="D1293" s="4" t="str">
        <f>IFERROR(VLOOKUP(A1293,'Base Prueba'!A:D,4,),"NO REGISTRA")</f>
        <v>PROMOTOR CALL CENTER</v>
      </c>
      <c r="E1293" s="5" t="str">
        <f>IFERROR(VLOOKUP(A1293,'Base Prueba'!A:E,5,),"NO REGISTRA")</f>
        <v>OFICINA DE MERCADEO</v>
      </c>
    </row>
    <row r="1294" spans="1:5" ht="15.75" x14ac:dyDescent="0.25">
      <c r="A1294" s="10">
        <v>1193265768</v>
      </c>
      <c r="B1294" s="2">
        <v>46049.373080439815</v>
      </c>
      <c r="C1294" s="3" t="str">
        <f>IFERROR(VLOOKUP(A1294,'Base Prueba'!A:C,3,),"NO REGISTRA")</f>
        <v>SANTIAGO OSORIO CAMACHO</v>
      </c>
      <c r="D1294" s="4" t="str">
        <f>IFERROR(VLOOKUP(A1294,'Base Prueba'!A:D,4,),"NO REGISTRA")</f>
        <v>ANALISTA DE PAUTA</v>
      </c>
      <c r="E1294" s="5" t="str">
        <f>IFERROR(VLOOKUP(A1294,'Base Prueba'!A:E,5,),"NO REGISTRA")</f>
        <v>OFICINA DE MERCADEO</v>
      </c>
    </row>
    <row r="1295" spans="1:5" ht="15.75" x14ac:dyDescent="0.25">
      <c r="A1295" s="10">
        <v>1000593372</v>
      </c>
      <c r="B1295" s="2">
        <v>46049.376807870372</v>
      </c>
      <c r="C1295" s="3" t="str">
        <f>IFERROR(VLOOKUP(A1295,'Base Prueba'!A:C,3,),"NO REGISTRA")</f>
        <v>LAURA SOFIA CHAPARRO LOPEZ</v>
      </c>
      <c r="D1295" s="4" t="str">
        <f>IFERROR(VLOOKUP(A1295,'Base Prueba'!A:D,4,),"NO REGISTRA")</f>
        <v>AUXILIAR JURIDICO</v>
      </c>
      <c r="E1295" s="5" t="str">
        <f>IFERROR(VLOOKUP(A1295,'Base Prueba'!A:E,5,),"NO REGISTRA")</f>
        <v>SECRETARIA GENERAL</v>
      </c>
    </row>
    <row r="1296" spans="1:5" ht="15.75" x14ac:dyDescent="0.25">
      <c r="A1296" s="10">
        <v>53089882</v>
      </c>
      <c r="B1296" s="2">
        <v>46049.379800462964</v>
      </c>
      <c r="C1296" s="3" t="str">
        <f>IFERROR(VLOOKUP(A1296,'Base Prueba'!A:C,3,),"NO REGISTRA")</f>
        <v>MARIA JOHANA ESCAMILLA MARTINEZ</v>
      </c>
      <c r="D1296" s="4" t="str">
        <f>IFERROR(VLOOKUP(A1296,'Base Prueba'!A:D,4,),"NO REGISTRA")</f>
        <v>PROMOTOR DE INFORMACIÓN</v>
      </c>
      <c r="E1296" s="5" t="str">
        <f>IFERROR(VLOOKUP(A1296,'Base Prueba'!A:E,5,),"NO REGISTRA")</f>
        <v>OFICINA DE MERCADEO</v>
      </c>
    </row>
    <row r="1297" spans="1:5" ht="15.75" x14ac:dyDescent="0.25">
      <c r="A1297" s="10">
        <v>1016090131</v>
      </c>
      <c r="B1297" s="2">
        <v>46049.381458449076</v>
      </c>
      <c r="C1297" s="3" t="str">
        <f>IFERROR(VLOOKUP(A1297,'Base Prueba'!A:C,3,),"NO REGISTRA")</f>
        <v>NICOLAS RODRIGUEZ PACHECO</v>
      </c>
      <c r="D1297" s="4" t="str">
        <f>IFERROR(VLOOKUP(A1297,'Base Prueba'!A:D,4,),"NO REGISTRA")</f>
        <v>COORDINADOR DE COMUNICACIONES</v>
      </c>
      <c r="E1297" s="5" t="str">
        <f>IFERROR(VLOOKUP(A1297,'Base Prueba'!A:E,5,),"NO REGISTRA")</f>
        <v>OFICINA DE MERCADEO</v>
      </c>
    </row>
    <row r="1298" spans="1:5" ht="15.75" x14ac:dyDescent="0.25">
      <c r="A1298" s="10">
        <v>28798349</v>
      </c>
      <c r="B1298" s="2">
        <v>46049.383050578705</v>
      </c>
      <c r="C1298" s="3" t="str">
        <f>IFERROR(VLOOKUP(A1298,'Base Prueba'!A:C,3,),"NO REGISTRA")</f>
        <v>MARTHA ISABEL TOVAR WILLIAMS</v>
      </c>
      <c r="D1298" s="4" t="str">
        <f>IFERROR(VLOOKUP(A1298,'Base Prueba'!A:D,4,),"NO REGISTRA")</f>
        <v>PROMOTOR CALL CENTER</v>
      </c>
      <c r="E1298" s="5" t="str">
        <f>IFERROR(VLOOKUP(A1298,'Base Prueba'!A:E,5,),"NO REGISTRA")</f>
        <v>OFICINA DE MERCADEO</v>
      </c>
    </row>
    <row r="1299" spans="1:5" ht="15.75" x14ac:dyDescent="0.25">
      <c r="A1299" s="10">
        <v>1018414290</v>
      </c>
      <c r="B1299" s="2">
        <v>46049.38721064815</v>
      </c>
      <c r="C1299" s="3" t="str">
        <f>IFERROR(VLOOKUP(A1299,'Base Prueba'!A:C,3,),"NO REGISTRA")</f>
        <v>AMANDA LISBETH RODRIGUEZ LEON</v>
      </c>
      <c r="D1299" s="4" t="str">
        <f>IFERROR(VLOOKUP(A1299,'Base Prueba'!A:D,4,),"NO REGISTRA")</f>
        <v>PROMOTOR CALL CENTER</v>
      </c>
      <c r="E1299" s="5" t="str">
        <f>IFERROR(VLOOKUP(A1299,'Base Prueba'!A:E,5,),"NO REGISTRA")</f>
        <v>OFICINA DE MERCADEO</v>
      </c>
    </row>
    <row r="1300" spans="1:5" ht="15.75" x14ac:dyDescent="0.25">
      <c r="A1300" s="10">
        <v>52764929</v>
      </c>
      <c r="B1300" s="2">
        <v>46049.387304282405</v>
      </c>
      <c r="C1300" s="3" t="str">
        <f>IFERROR(VLOOKUP(A1300,'Base Prueba'!A:C,3,),"NO REGISTRA")</f>
        <v>GUERLY YOHANA DURAN RIVERA</v>
      </c>
      <c r="D1300" s="4" t="str">
        <f>IFERROR(VLOOKUP(A1300,'Base Prueba'!A:D,4,),"NO REGISTRA")</f>
        <v>LIDER DE VINCULACION COLEGIOS</v>
      </c>
      <c r="E1300" s="5" t="str">
        <f>IFERROR(VLOOKUP(A1300,'Base Prueba'!A:E,5,),"NO REGISTRA")</f>
        <v>OFICINA DE MERCADEO</v>
      </c>
    </row>
    <row r="1301" spans="1:5" ht="15.75" x14ac:dyDescent="0.25">
      <c r="A1301" s="10">
        <v>1019105003</v>
      </c>
      <c r="B1301" s="2">
        <v>46049.38798900463</v>
      </c>
      <c r="C1301" s="3" t="str">
        <f>IFERROR(VLOOKUP(A1301,'Base Prueba'!A:C,3,),"NO REGISTRA")</f>
        <v>DAISY JULIETH GASPAR MORENO</v>
      </c>
      <c r="D1301" s="4" t="str">
        <f>IFERROR(VLOOKUP(A1301,'Base Prueba'!A:D,4,),"NO REGISTRA")</f>
        <v>PROMOTOR CALL CENTER</v>
      </c>
      <c r="E1301" s="5" t="str">
        <f>IFERROR(VLOOKUP(A1301,'Base Prueba'!A:E,5,),"NO REGISTRA")</f>
        <v>OFICINA DE MERCADEO</v>
      </c>
    </row>
    <row r="1302" spans="1:5" ht="15.75" x14ac:dyDescent="0.25">
      <c r="A1302" s="10">
        <v>52443092</v>
      </c>
      <c r="B1302" s="2">
        <v>46049.541328587962</v>
      </c>
      <c r="C1302" s="3" t="str">
        <f>IFERROR(VLOOKUP(A1302,'Base Prueba'!A:C,3,),"NO REGISTRA")</f>
        <v>LUZ MYRIAM SAAVEDRA CONTRERAS</v>
      </c>
      <c r="D1302" s="4" t="str">
        <f>IFERROR(VLOOKUP(A1302,'Base Prueba'!A:D,4,),"NO REGISTRA")</f>
        <v>AUXILIAR DE SERVICIOS</v>
      </c>
      <c r="E1302" s="5" t="str">
        <f>IFERROR(VLOOKUP(A1302,'Base Prueba'!A:E,5,),"NO REGISTRA")</f>
        <v>LOGISTICA Y SERVICIOS GENERALES</v>
      </c>
    </row>
    <row r="1303" spans="1:5" ht="15.75" x14ac:dyDescent="0.25">
      <c r="A1303" s="10">
        <v>1031802160</v>
      </c>
      <c r="B1303" s="2">
        <v>46049.70634733796</v>
      </c>
      <c r="C1303" s="3" t="str">
        <f>IFERROR(VLOOKUP(A1303,'Base Prueba'!A:C,3,),"NO REGISTRA")</f>
        <v>LUISA MARIA MAHECHA SOTOMAYOR</v>
      </c>
      <c r="D1303" s="4" t="str">
        <f>IFERROR(VLOOKUP(A1303,'Base Prueba'!A:D,4,),"NO REGISTRA")</f>
        <v>APRENDIZ UNIVERSITARIO</v>
      </c>
      <c r="E1303" s="5" t="str">
        <f>IFERROR(VLOOKUP(A1303,'Base Prueba'!A:E,5,),"NO REGISTRA")</f>
        <v>OFICINA DE MERCADEO</v>
      </c>
    </row>
    <row r="1304" spans="1:5" ht="15.75" x14ac:dyDescent="0.25">
      <c r="A1304" s="10">
        <v>1000354041</v>
      </c>
      <c r="B1304" s="2">
        <v>46049.708923379629</v>
      </c>
      <c r="C1304" s="3" t="str">
        <f>IFERROR(VLOOKUP(A1304,'Base Prueba'!A:C,3,),"NO REGISTRA")</f>
        <v>ANGIE NATALIA BOHORQUEZ SANCHEZ</v>
      </c>
      <c r="D1304" s="4" t="str">
        <f>IFERROR(VLOOKUP(A1304,'Base Prueba'!A:D,4,),"NO REGISTRA")</f>
        <v>APRENDIZ UNIVERSITARIO</v>
      </c>
      <c r="E1304" s="5" t="str">
        <f>IFERROR(VLOOKUP(A1304,'Base Prueba'!A:E,5,),"NO REGISTRA")</f>
        <v>OFICINA DE PLANEACION Y GESTION DE LA CALIDAD</v>
      </c>
    </row>
    <row r="1305" spans="1:5" ht="15.75" x14ac:dyDescent="0.25">
      <c r="A1305" s="10">
        <v>1024505434</v>
      </c>
      <c r="B1305" s="2">
        <v>46049.728072106482</v>
      </c>
      <c r="C1305" s="3" t="str">
        <f>IFERROR(VLOOKUP(A1305,'Base Prueba'!A:C,3,),"NO REGISTRA")</f>
        <v>CRISTIAN ALBERTO MELO TORRES</v>
      </c>
      <c r="D1305" s="4" t="str">
        <f>IFERROR(VLOOKUP(A1305,'Base Prueba'!A:D,4,),"NO REGISTRA")</f>
        <v>COORDINADOR DE INFRAESTRUCTURA</v>
      </c>
      <c r="E1305" s="5" t="str">
        <f>IFERROR(VLOOKUP(A1305,'Base Prueba'!A:E,5,),"NO REGISTRA")</f>
        <v>VICERRECTORIA ADMINISTRATIVA Y FINANCIERA</v>
      </c>
    </row>
    <row r="1306" spans="1:5" ht="15.75" x14ac:dyDescent="0.25">
      <c r="A1306" s="10">
        <v>1014266838</v>
      </c>
      <c r="B1306" s="2">
        <v>46049.735048148148</v>
      </c>
      <c r="C1306" s="3" t="str">
        <f>IFERROR(VLOOKUP(A1306,'Base Prueba'!A:C,3,),"NO REGISTRA")</f>
        <v>JENNIFER ASTRID ROMERO HURTADO</v>
      </c>
      <c r="D1306" s="4" t="str">
        <f>IFERROR(VLOOKUP(A1306,'Base Prueba'!A:D,4,),"NO REGISTRA")</f>
        <v>LIDER DE RECAUDO</v>
      </c>
      <c r="E1306" s="5" t="str">
        <f>IFERROR(VLOOKUP(A1306,'Base Prueba'!A:E,5,),"NO REGISTRA")</f>
        <v>AREA FINANCIERA Y CONTABLE</v>
      </c>
    </row>
    <row r="1307" spans="1:5" ht="15.75" x14ac:dyDescent="0.25">
      <c r="A1307" s="10">
        <v>1000687931</v>
      </c>
      <c r="B1307" s="2">
        <v>46049.751031828702</v>
      </c>
      <c r="C1307" s="3" t="str">
        <f>IFERROR(VLOOKUP(A1307,'Base Prueba'!A:C,3,),"NO REGISTRA")</f>
        <v>ANDRES FELIPE PUENTES TORRES</v>
      </c>
      <c r="D1307" s="4" t="str">
        <f>IFERROR(VLOOKUP(A1307,'Base Prueba'!A:D,4,),"NO REGISTRA")</f>
        <v>AUXILIAR ADMINISTRATIVO</v>
      </c>
      <c r="E1307" s="5" t="str">
        <f>IFERROR(VLOOKUP(A1307,'Base Prueba'!A:E,5,),"NO REGISTRA")</f>
        <v>REGISTRO Y CONTROL ACADEMICO</v>
      </c>
    </row>
    <row r="1308" spans="1:5" ht="15.75" x14ac:dyDescent="0.25">
      <c r="A1308" s="10">
        <v>1193457976</v>
      </c>
      <c r="B1308" s="2">
        <v>46049.751724074071</v>
      </c>
      <c r="C1308" s="3" t="str">
        <f>IFERROR(VLOOKUP(A1308,'Base Prueba'!A:C,3,),"NO REGISTRA")</f>
        <v>SEDENIS RIVAS ASPRILLA</v>
      </c>
      <c r="D1308" s="4" t="str">
        <f>IFERROR(VLOOKUP(A1308,'Base Prueba'!A:D,4,),"NO REGISTRA")</f>
        <v>APRENDIZ UNIVERSITARIO</v>
      </c>
      <c r="E1308" s="5" t="str">
        <f>IFERROR(VLOOKUP(A1308,'Base Prueba'!A:E,5,),"NO REGISTRA")</f>
        <v>DEPARTAMENTO DE GESTION HUMANA</v>
      </c>
    </row>
    <row r="1309" spans="1:5" ht="15.75" x14ac:dyDescent="0.25">
      <c r="A1309" s="10">
        <v>1000467399</v>
      </c>
      <c r="B1309" s="2">
        <v>46049.752054861114</v>
      </c>
      <c r="C1309" s="3" t="str">
        <f>IFERROR(VLOOKUP(A1309,'Base Prueba'!A:C,3,),"NO REGISTRA")</f>
        <v>BRANDO ESTIVEN DIAZ QUIMBAYA</v>
      </c>
      <c r="D1309" s="4" t="str">
        <f>IFERROR(VLOOKUP(A1309,'Base Prueba'!A:D,4,),"NO REGISTRA")</f>
        <v>APRENDIZ UNIVERSITARIO</v>
      </c>
      <c r="E1309" s="5" t="str">
        <f>IFERROR(VLOOKUP(A1309,'Base Prueba'!A:E,5,),"NO REGISTRA")</f>
        <v>DEPARTAMENTO DE GESTION HUMANA</v>
      </c>
    </row>
    <row r="1310" spans="1:5" ht="15.75" x14ac:dyDescent="0.25">
      <c r="A1310" s="10">
        <v>1022996882</v>
      </c>
      <c r="B1310" s="2">
        <v>46049.752742013887</v>
      </c>
      <c r="C1310" s="3" t="str">
        <f>IFERROR(VLOOKUP(A1310,'Base Prueba'!A:C,3,),"NO REGISTRA")</f>
        <v>NANCY BRIGITH ALDANA GUEVARA</v>
      </c>
      <c r="D1310" s="4" t="str">
        <f>IFERROR(VLOOKUP(A1310,'Base Prueba'!A:D,4,),"NO REGISTRA")</f>
        <v>COORDINADORA DE GESTIÓN HUMANA</v>
      </c>
      <c r="E1310" s="5" t="str">
        <f>IFERROR(VLOOKUP(A1310,'Base Prueba'!A:E,5,),"NO REGISTRA")</f>
        <v>DEPARTAMENTO DE GESTION HUMANA</v>
      </c>
    </row>
    <row r="1311" spans="1:5" ht="15.75" x14ac:dyDescent="0.25">
      <c r="A1311" s="10">
        <v>1032469638</v>
      </c>
      <c r="B1311" s="2">
        <v>46049.753084259261</v>
      </c>
      <c r="C1311" s="3" t="str">
        <f>IFERROR(VLOOKUP(A1311,'Base Prueba'!A:C,3,),"NO REGISTRA")</f>
        <v>MAICOL JARBEY GUALTEROS CASTAÑEDA</v>
      </c>
      <c r="D1311" s="4" t="str">
        <f>IFERROR(VLOOKUP(A1311,'Base Prueba'!A:D,4,),"NO REGISTRA")</f>
        <v>COORDINADOR DEL SISTEMA INTERNO DE ASEGURAMIENTO DE LA CALIDAD - SIAC</v>
      </c>
      <c r="E1311" s="5" t="str">
        <f>IFERROR(VLOOKUP(A1311,'Base Prueba'!A:E,5,),"NO REGISTRA")</f>
        <v>OFICINA DE PLANEACION Y GESTION DE LA CALIDAD</v>
      </c>
    </row>
    <row r="1312" spans="1:5" ht="15.75" x14ac:dyDescent="0.25">
      <c r="A1312" s="10">
        <v>1049644802</v>
      </c>
      <c r="B1312" s="2">
        <v>46049.753211342591</v>
      </c>
      <c r="C1312" s="3" t="str">
        <f>IFERROR(VLOOKUP(A1312,'Base Prueba'!A:C,3,),"NO REGISTRA")</f>
        <v>DANIELA ALEXANDRA CIPAMOCHA BOSIGA</v>
      </c>
      <c r="D1312" s="4" t="str">
        <f>IFERROR(VLOOKUP(A1312,'Base Prueba'!A:D,4,),"NO REGISTRA")</f>
        <v>LIDER DE DATOS Y SERVICIOS</v>
      </c>
      <c r="E1312" s="5" t="str">
        <f>IFERROR(VLOOKUP(A1312,'Base Prueba'!A:E,5,),"NO REGISTRA")</f>
        <v>OFICINA DE PLANEACION Y GESTION DE LA CALIDAD</v>
      </c>
    </row>
    <row r="1313" spans="1:5" ht="15.75" x14ac:dyDescent="0.25">
      <c r="A1313" s="10">
        <v>1012357415</v>
      </c>
      <c r="B1313" s="2">
        <v>46049.754100231483</v>
      </c>
      <c r="C1313" s="3" t="str">
        <f>IFERROR(VLOOKUP(A1313,'Base Prueba'!A:C,3,),"NO REGISTRA")</f>
        <v>CINDY LORENA BOHORQUEZ LEYVA</v>
      </c>
      <c r="D1313" s="4" t="str">
        <f>IFERROR(VLOOKUP(A1313,'Base Prueba'!A:D,4,),"NO REGISTRA")</f>
        <v>ANALISTA DE TESORERIA</v>
      </c>
      <c r="E1313" s="5" t="str">
        <f>IFERROR(VLOOKUP(A1313,'Base Prueba'!A:E,5,),"NO REGISTRA")</f>
        <v>AREA FINANCIERA Y CONTABLE</v>
      </c>
    </row>
    <row r="1314" spans="1:5" ht="15.75" x14ac:dyDescent="0.25">
      <c r="A1314" s="10">
        <v>1014977624</v>
      </c>
      <c r="B1314" s="2">
        <v>46049.7566568287</v>
      </c>
      <c r="C1314" s="3" t="str">
        <f>IFERROR(VLOOKUP(A1314,'Base Prueba'!A:C,3,),"NO REGISTRA")</f>
        <v>NICCOLE VALENTINA HERNANDEZ MALAVER</v>
      </c>
      <c r="D1314" s="4" t="str">
        <f>IFERROR(VLOOKUP(A1314,'Base Prueba'!A:D,4,),"NO REGISTRA")</f>
        <v>APRENDIZ UNIVERSITARIO</v>
      </c>
      <c r="E1314" s="5" t="str">
        <f>IFERROR(VLOOKUP(A1314,'Base Prueba'!A:E,5,),"NO REGISTRA")</f>
        <v>AREA FINANCIERA Y CONTABLE</v>
      </c>
    </row>
    <row r="1315" spans="1:5" ht="15.75" x14ac:dyDescent="0.25">
      <c r="A1315" s="10">
        <v>1023883232</v>
      </c>
      <c r="B1315" s="2">
        <v>46049.761485763891</v>
      </c>
      <c r="C1315" s="3" t="str">
        <f>IFERROR(VLOOKUP(A1315,'Base Prueba'!A:C,3,),"NO REGISTRA")</f>
        <v>MONICA ANDREA ACERO URBANO</v>
      </c>
      <c r="D1315" s="4" t="str">
        <f>IFERROR(VLOOKUP(A1315,'Base Prueba'!A:D,4,),"NO REGISTRA")</f>
        <v>APOYO INTEGRAL A GESTION HUMANA</v>
      </c>
      <c r="E1315" s="5" t="str">
        <f>IFERROR(VLOOKUP(A1315,'Base Prueba'!A:E,5,),"NO REGISTRA")</f>
        <v>DEPARTAMENTO DE GESTION HUMANA</v>
      </c>
    </row>
    <row r="1316" spans="1:5" ht="15.75" x14ac:dyDescent="0.25">
      <c r="A1316" s="10">
        <v>1087121273</v>
      </c>
      <c r="B1316" s="2">
        <v>46049.761899884259</v>
      </c>
      <c r="C1316" s="3" t="str">
        <f>IFERROR(VLOOKUP(A1316,'Base Prueba'!A:C,3,),"NO REGISTRA")</f>
        <v>MAYRA ALEJANDRA CASTILLO ARBOLEDA</v>
      </c>
      <c r="D1316" s="4" t="str">
        <f>IFERROR(VLOOKUP(A1316,'Base Prueba'!A:D,4,),"NO REGISTRA")</f>
        <v>APOYO INTEGRAL DE MERCADEO</v>
      </c>
      <c r="E1316" s="5" t="str">
        <f>IFERROR(VLOOKUP(A1316,'Base Prueba'!A:E,5,),"NO REGISTRA")</f>
        <v>CENTRO DE GESTION DOCUMENTAL</v>
      </c>
    </row>
    <row r="1317" spans="1:5" ht="15.75" x14ac:dyDescent="0.25">
      <c r="A1317" s="10">
        <v>1013616244</v>
      </c>
      <c r="B1317" s="2">
        <v>46049.765358564815</v>
      </c>
      <c r="C1317" s="3" t="str">
        <f>IFERROR(VLOOKUP(A1317,'Base Prueba'!A:C,3,),"NO REGISTRA")</f>
        <v>DIANA CAROLINA MARIN BETANCOURT</v>
      </c>
      <c r="D1317" s="4" t="str">
        <f>IFERROR(VLOOKUP(A1317,'Base Prueba'!A:D,4,),"NO REGISTRA")</f>
        <v>AUXILIAR ADMINISTRATIVO</v>
      </c>
      <c r="E1317" s="5" t="str">
        <f>IFERROR(VLOOKUP(A1317,'Base Prueba'!A:E,5,),"NO REGISTRA")</f>
        <v>REGISTRO Y CONTROL ACADEMICO</v>
      </c>
    </row>
    <row r="1318" spans="1:5" ht="15.75" x14ac:dyDescent="0.25">
      <c r="A1318" s="10">
        <v>1000593372</v>
      </c>
      <c r="B1318" s="2">
        <v>46049.769252662038</v>
      </c>
      <c r="C1318" s="3" t="str">
        <f>IFERROR(VLOOKUP(A1318,'Base Prueba'!A:C,3,),"NO REGISTRA")</f>
        <v>LAURA SOFIA CHAPARRO LOPEZ</v>
      </c>
      <c r="D1318" s="4" t="str">
        <f>IFERROR(VLOOKUP(A1318,'Base Prueba'!A:D,4,),"NO REGISTRA")</f>
        <v>AUXILIAR JURIDICO</v>
      </c>
      <c r="E1318" s="5" t="str">
        <f>IFERROR(VLOOKUP(A1318,'Base Prueba'!A:E,5,),"NO REGISTRA")</f>
        <v>SECRETARIA GENERAL</v>
      </c>
    </row>
    <row r="1319" spans="1:5" ht="15.75" x14ac:dyDescent="0.25">
      <c r="A1319" s="10">
        <v>1000604979</v>
      </c>
      <c r="B1319" s="2">
        <v>46049.76929502315</v>
      </c>
      <c r="C1319" s="3" t="str">
        <f>IFERROR(VLOOKUP(A1319,'Base Prueba'!A:C,3,),"NO REGISTRA")</f>
        <v>JULIETH TATIANA PARDO PINTO</v>
      </c>
      <c r="D1319" s="4" t="str">
        <f>IFERROR(VLOOKUP(A1319,'Base Prueba'!A:D,4,),"NO REGISTRA")</f>
        <v>AUXILIAR JURIDICO</v>
      </c>
      <c r="E1319" s="5" t="str">
        <f>IFERROR(VLOOKUP(A1319,'Base Prueba'!A:E,5,),"NO REGISTRA")</f>
        <v>SECRETARIA GENERAL</v>
      </c>
    </row>
    <row r="1320" spans="1:5" ht="15.75" x14ac:dyDescent="0.25">
      <c r="A1320" s="10">
        <v>1012426741</v>
      </c>
      <c r="B1320" s="2">
        <v>46049.771037384256</v>
      </c>
      <c r="C1320" s="3" t="str">
        <f>IFERROR(VLOOKUP(A1320,'Base Prueba'!A:C,3,),"NO REGISTRA")</f>
        <v>CRISTIAN FABIAN ROJAS SANCENO</v>
      </c>
      <c r="D1320" s="4" t="str">
        <f>IFERROR(VLOOKUP(A1320,'Base Prueba'!A:D,4,),"NO REGISTRA")</f>
        <v>AUXILIAR DE REINTEGROS</v>
      </c>
      <c r="E1320" s="5" t="str">
        <f>IFERROR(VLOOKUP(A1320,'Base Prueba'!A:E,5,),"NO REGISTRA")</f>
        <v>DIRECCION DE BIENESTAR INSTITUCIONAL</v>
      </c>
    </row>
    <row r="1321" spans="1:5" ht="15.75" x14ac:dyDescent="0.25">
      <c r="A1321" s="10">
        <v>1000257136</v>
      </c>
      <c r="B1321" s="2">
        <v>46049.77163275463</v>
      </c>
      <c r="C1321" s="3" t="str">
        <f>IFERROR(VLOOKUP(A1321,'Base Prueba'!A:C,3,),"NO REGISTRA")</f>
        <v>FRANCI VALENTINA CANO PUENTES</v>
      </c>
      <c r="D1321" s="4" t="str">
        <f>IFERROR(VLOOKUP(A1321,'Base Prueba'!A:D,4,),"NO REGISTRA")</f>
        <v>AUXILIAR CONTABLE</v>
      </c>
      <c r="E1321" s="5" t="str">
        <f>IFERROR(VLOOKUP(A1321,'Base Prueba'!A:E,5,),"NO REGISTRA")</f>
        <v>AREA FINANCIERA Y CONTABLE</v>
      </c>
    </row>
    <row r="1322" spans="1:5" ht="15.75" x14ac:dyDescent="0.25">
      <c r="A1322" s="10">
        <v>1000457706</v>
      </c>
      <c r="B1322" s="2">
        <v>46049.771666435183</v>
      </c>
      <c r="C1322" s="3" t="str">
        <f>IFERROR(VLOOKUP(A1322,'Base Prueba'!A:C,3,),"NO REGISTRA")</f>
        <v>CRISTIAN DANILO ARROYO SANABRIA</v>
      </c>
      <c r="D1322" s="4" t="str">
        <f>IFERROR(VLOOKUP(A1322,'Base Prueba'!A:D,4,),"NO REGISTRA")</f>
        <v>AUXILIAR CONTABLE</v>
      </c>
      <c r="E1322" s="5" t="str">
        <f>IFERROR(VLOOKUP(A1322,'Base Prueba'!A:E,5,),"NO REGISTRA")</f>
        <v>AREA FINANCIERA Y CONTABLE</v>
      </c>
    </row>
    <row r="1323" spans="1:5" ht="15.75" x14ac:dyDescent="0.25">
      <c r="A1323" s="10">
        <v>53932358</v>
      </c>
      <c r="B1323" s="2">
        <v>46049.778192013888</v>
      </c>
      <c r="C1323" s="3" t="str">
        <f>IFERROR(VLOOKUP(A1323,'Base Prueba'!A:C,3,),"NO REGISTRA")</f>
        <v>DIANA MADELEYNE GAONA RODRIGUEZ</v>
      </c>
      <c r="D1323" s="4" t="str">
        <f>IFERROR(VLOOKUP(A1323,'Base Prueba'!A:D,4,),"NO REGISTRA")</f>
        <v>CONTADOR</v>
      </c>
      <c r="E1323" s="5" t="str">
        <f>IFERROR(VLOOKUP(A1323,'Base Prueba'!A:E,5,),"NO REGISTRA")</f>
        <v>AREA FINANCIERA Y CONTABLE</v>
      </c>
    </row>
    <row r="1324" spans="1:5" ht="15.75" x14ac:dyDescent="0.25">
      <c r="A1324" s="10">
        <v>1003690253</v>
      </c>
      <c r="B1324" s="2">
        <v>46049.778625694446</v>
      </c>
      <c r="C1324" s="3" t="str">
        <f>IFERROR(VLOOKUP(A1324,'Base Prueba'!A:C,3,),"NO REGISTRA")</f>
        <v>MELISSA GONZALEZ PEDRAZA</v>
      </c>
      <c r="D1324" s="4" t="str">
        <f>IFERROR(VLOOKUP(A1324,'Base Prueba'!A:D,4,),"NO REGISTRA")</f>
        <v>LIDER DE JOVENES A LA E</v>
      </c>
      <c r="E1324" s="5" t="str">
        <f>IFERROR(VLOOKUP(A1324,'Base Prueba'!A:E,5,),"NO REGISTRA")</f>
        <v>DIRECCION DE BIENESTAR INSTITUCIONAL</v>
      </c>
    </row>
    <row r="1325" spans="1:5" ht="15.75" x14ac:dyDescent="0.25">
      <c r="A1325" s="10">
        <v>1018414290</v>
      </c>
      <c r="B1325" s="2">
        <v>46049.778765972223</v>
      </c>
      <c r="C1325" s="3" t="str">
        <f>IFERROR(VLOOKUP(A1325,'Base Prueba'!A:C,3,),"NO REGISTRA")</f>
        <v>AMANDA LISBETH RODRIGUEZ LEON</v>
      </c>
      <c r="D1325" s="4" t="str">
        <f>IFERROR(VLOOKUP(A1325,'Base Prueba'!A:D,4,),"NO REGISTRA")</f>
        <v>PROMOTOR CALL CENTER</v>
      </c>
      <c r="E1325" s="5" t="str">
        <f>IFERROR(VLOOKUP(A1325,'Base Prueba'!A:E,5,),"NO REGISTRA")</f>
        <v>OFICINA DE MERCADEO</v>
      </c>
    </row>
    <row r="1326" spans="1:5" ht="15.75" x14ac:dyDescent="0.25">
      <c r="A1326" s="10">
        <v>52472386</v>
      </c>
      <c r="B1326" s="2">
        <v>46049.77967546296</v>
      </c>
      <c r="C1326" s="3" t="str">
        <f>IFERROR(VLOOKUP(A1326,'Base Prueba'!A:C,3,),"NO REGISTRA")</f>
        <v>ADRIANA MARCELA MORALES PARDO</v>
      </c>
      <c r="D1326" s="4" t="str">
        <f>IFERROR(VLOOKUP(A1326,'Base Prueba'!A:D,4,),"NO REGISTRA")</f>
        <v>PROMOTOR CALL CENTER</v>
      </c>
      <c r="E1326" s="5" t="str">
        <f>IFERROR(VLOOKUP(A1326,'Base Prueba'!A:E,5,),"NO REGISTRA")</f>
        <v>OFICINA DE MERCADEO</v>
      </c>
    </row>
    <row r="1327" spans="1:5" ht="15.75" x14ac:dyDescent="0.25">
      <c r="A1327" s="10">
        <v>1032407386</v>
      </c>
      <c r="B1327" s="2">
        <v>46049.779825347221</v>
      </c>
      <c r="C1327" s="3" t="str">
        <f>IFERROR(VLOOKUP(A1327,'Base Prueba'!A:C,3,),"NO REGISTRA")</f>
        <v>GINA PAOLA BAEZ GALVIS</v>
      </c>
      <c r="D1327" s="4" t="str">
        <f>IFERROR(VLOOKUP(A1327,'Base Prueba'!A:D,4,),"NO REGISTRA")</f>
        <v>PROMOTOR CALL CENTER</v>
      </c>
      <c r="E1327" s="5" t="str">
        <f>IFERROR(VLOOKUP(A1327,'Base Prueba'!A:E,5,),"NO REGISTRA")</f>
        <v>OFICINA DE MERCADEO</v>
      </c>
    </row>
    <row r="1328" spans="1:5" ht="15.75" x14ac:dyDescent="0.25">
      <c r="A1328" s="10">
        <v>53089882</v>
      </c>
      <c r="B1328" s="2">
        <v>46049.782365740743</v>
      </c>
      <c r="C1328" s="3" t="str">
        <f>IFERROR(VLOOKUP(A1328,'Base Prueba'!A:C,3,),"NO REGISTRA")</f>
        <v>MARIA JOHANA ESCAMILLA MARTINEZ</v>
      </c>
      <c r="D1328" s="4" t="str">
        <f>IFERROR(VLOOKUP(A1328,'Base Prueba'!A:D,4,),"NO REGISTRA")</f>
        <v>PROMOTOR DE INFORMACIÓN</v>
      </c>
      <c r="E1328" s="5" t="str">
        <f>IFERROR(VLOOKUP(A1328,'Base Prueba'!A:E,5,),"NO REGISTRA")</f>
        <v>OFICINA DE MERCADEO</v>
      </c>
    </row>
    <row r="1329" spans="1:5" ht="15.75" x14ac:dyDescent="0.25">
      <c r="A1329" s="10">
        <v>1018413529</v>
      </c>
      <c r="B1329" s="2">
        <v>46049.782548726849</v>
      </c>
      <c r="C1329" s="3" t="str">
        <f>IFERROR(VLOOKUP(A1329,'Base Prueba'!A:C,3,),"NO REGISTRA")</f>
        <v>FRANCY STELLA CHARRY MORENO</v>
      </c>
      <c r="D1329" s="4" t="str">
        <f>IFERROR(VLOOKUP(A1329,'Base Prueba'!A:D,4,),"NO REGISTRA")</f>
        <v>PROMOTOR COMERCIAL DEL CEA</v>
      </c>
      <c r="E1329" s="5" t="str">
        <f>IFERROR(VLOOKUP(A1329,'Base Prueba'!A:E,5,),"NO REGISTRA")</f>
        <v>OFICINA DE MERCADEO</v>
      </c>
    </row>
    <row r="1330" spans="1:5" ht="15.75" x14ac:dyDescent="0.25">
      <c r="A1330" s="10">
        <v>1019105003</v>
      </c>
      <c r="B1330" s="2">
        <v>46049.782583333334</v>
      </c>
      <c r="C1330" s="3" t="str">
        <f>IFERROR(VLOOKUP(A1330,'Base Prueba'!A:C,3,),"NO REGISTRA")</f>
        <v>DAISY JULIETH GASPAR MORENO</v>
      </c>
      <c r="D1330" s="4" t="str">
        <f>IFERROR(VLOOKUP(A1330,'Base Prueba'!A:D,4,),"NO REGISTRA")</f>
        <v>PROMOTOR CALL CENTER</v>
      </c>
      <c r="E1330" s="5" t="str">
        <f>IFERROR(VLOOKUP(A1330,'Base Prueba'!A:E,5,),"NO REGISTRA")</f>
        <v>OFICINA DE MERCADEO</v>
      </c>
    </row>
    <row r="1331" spans="1:5" ht="15.75" x14ac:dyDescent="0.25">
      <c r="A1331" s="10">
        <v>28798349</v>
      </c>
      <c r="B1331" s="2">
        <v>46049.782680208336</v>
      </c>
      <c r="C1331" s="3" t="str">
        <f>IFERROR(VLOOKUP(A1331,'Base Prueba'!A:C,3,),"NO REGISTRA")</f>
        <v>MARTHA ISABEL TOVAR WILLIAMS</v>
      </c>
      <c r="D1331" s="4" t="str">
        <f>IFERROR(VLOOKUP(A1331,'Base Prueba'!A:D,4,),"NO REGISTRA")</f>
        <v>PROMOTOR CALL CENTER</v>
      </c>
      <c r="E1331" s="5" t="str">
        <f>IFERROR(VLOOKUP(A1331,'Base Prueba'!A:E,5,),"NO REGISTRA")</f>
        <v>OFICINA DE MERCADEO</v>
      </c>
    </row>
    <row r="1332" spans="1:5" ht="15.75" x14ac:dyDescent="0.25">
      <c r="A1332" s="10">
        <v>80234243</v>
      </c>
      <c r="B1332" s="2">
        <v>46049.788086805558</v>
      </c>
      <c r="C1332" s="3" t="str">
        <f>IFERROR(VLOOKUP(A1332,'Base Prueba'!A:C,3,),"NO REGISTRA")</f>
        <v>ARGENIS MARTINEZ MARTINEZ</v>
      </c>
      <c r="D1332" s="4" t="str">
        <f>IFERROR(VLOOKUP(A1332,'Base Prueba'!A:D,4,),"NO REGISTRA")</f>
        <v>LIDER CALL CENTER</v>
      </c>
      <c r="E1332" s="5" t="str">
        <f>IFERROR(VLOOKUP(A1332,'Base Prueba'!A:E,5,),"NO REGISTRA")</f>
        <v>OFICINA DE MERCADEO</v>
      </c>
    </row>
    <row r="1333" spans="1:5" ht="15.75" x14ac:dyDescent="0.25">
      <c r="A1333" s="10">
        <v>1000365751</v>
      </c>
      <c r="B1333" s="2">
        <v>46049.789505787034</v>
      </c>
      <c r="C1333" s="3" t="str">
        <f>IFERROR(VLOOKUP(A1333,'Base Prueba'!A:C,3,),"NO REGISTRA")</f>
        <v>JHOAN NICOLAS ESCAMILLA MANJARRES</v>
      </c>
      <c r="D1333" s="4" t="str">
        <f>IFERROR(VLOOKUP(A1333,'Base Prueba'!A:D,4,),"NO REGISTRA")</f>
        <v>APRENDIZ UNIVERSITARIO</v>
      </c>
      <c r="E1333" s="5" t="str">
        <f>IFERROR(VLOOKUP(A1333,'Base Prueba'!A:E,5,),"NO REGISTRA")</f>
        <v>OFICINA DE MERCADEO</v>
      </c>
    </row>
    <row r="1334" spans="1:5" ht="15.75" x14ac:dyDescent="0.25">
      <c r="A1334" s="10">
        <v>1193265768</v>
      </c>
      <c r="B1334" s="2">
        <v>46049.789551620372</v>
      </c>
      <c r="C1334" s="3" t="str">
        <f>IFERROR(VLOOKUP(A1334,'Base Prueba'!A:C,3,),"NO REGISTRA")</f>
        <v>SANTIAGO OSORIO CAMACHO</v>
      </c>
      <c r="D1334" s="4" t="str">
        <f>IFERROR(VLOOKUP(A1334,'Base Prueba'!A:D,4,),"NO REGISTRA")</f>
        <v>ANALISTA DE PAUTA</v>
      </c>
      <c r="E1334" s="5" t="str">
        <f>IFERROR(VLOOKUP(A1334,'Base Prueba'!A:E,5,),"NO REGISTRA")</f>
        <v>OFICINA DE MERCADEO</v>
      </c>
    </row>
    <row r="1335" spans="1:5" ht="15.75" x14ac:dyDescent="0.25">
      <c r="A1335" s="10">
        <v>1016090131</v>
      </c>
      <c r="B1335" s="2">
        <v>46049.789638078706</v>
      </c>
      <c r="C1335" s="3" t="str">
        <f>IFERROR(VLOOKUP(A1335,'Base Prueba'!A:C,3,),"NO REGISTRA")</f>
        <v>NICOLAS RODRIGUEZ PACHECO</v>
      </c>
      <c r="D1335" s="4" t="str">
        <f>IFERROR(VLOOKUP(A1335,'Base Prueba'!A:D,4,),"NO REGISTRA")</f>
        <v>COORDINADOR DE COMUNICACIONES</v>
      </c>
      <c r="E1335" s="5" t="str">
        <f>IFERROR(VLOOKUP(A1335,'Base Prueba'!A:E,5,),"NO REGISTRA")</f>
        <v>OFICINA DE MERCADEO</v>
      </c>
    </row>
    <row r="1336" spans="1:5" ht="15.75" x14ac:dyDescent="0.25">
      <c r="A1336" s="10">
        <v>1014196857</v>
      </c>
      <c r="B1336" s="2">
        <v>46049.789919791663</v>
      </c>
      <c r="C1336" s="3" t="str">
        <f>IFERROR(VLOOKUP(A1336,'Base Prueba'!A:C,3,),"NO REGISTRA")</f>
        <v>CARLOS ANDRES JIMENEZ PARDO</v>
      </c>
      <c r="D1336" s="4" t="str">
        <f>IFERROR(VLOOKUP(A1336,'Base Prueba'!A:D,4,),"NO REGISTRA")</f>
        <v>COORDINADOR DE MARKETING DIGITAL</v>
      </c>
      <c r="E1336" s="5" t="str">
        <f>IFERROR(VLOOKUP(A1336,'Base Prueba'!A:E,5,),"NO REGISTRA")</f>
        <v>OFICINA DE MERCADEO</v>
      </c>
    </row>
    <row r="1337" spans="1:5" ht="15.75" x14ac:dyDescent="0.25">
      <c r="A1337" s="10">
        <v>1013098645</v>
      </c>
      <c r="B1337" s="2">
        <v>46049.790439236109</v>
      </c>
      <c r="C1337" s="3" t="str">
        <f>IFERROR(VLOOKUP(A1337,'Base Prueba'!A:C,3,),"NO REGISTRA")</f>
        <v>CATHERINE LUCIA PENAGOS RIVERA</v>
      </c>
      <c r="D1337" s="4" t="str">
        <f>IFERROR(VLOOKUP(A1337,'Base Prueba'!A:D,4,),"NO REGISTRA")</f>
        <v>LIDER DE REGISTRO Y CONTROL ACADEMICO</v>
      </c>
      <c r="E1337" s="5" t="str">
        <f>IFERROR(VLOOKUP(A1337,'Base Prueba'!A:E,5,),"NO REGISTRA")</f>
        <v>REGISTRO Y CONTROL ACADEMICO</v>
      </c>
    </row>
    <row r="1338" spans="1:5" ht="15.75" x14ac:dyDescent="0.25">
      <c r="A1338" s="10">
        <v>1033709056</v>
      </c>
      <c r="B1338" s="2">
        <v>46049.790591087964</v>
      </c>
      <c r="C1338" s="3" t="str">
        <f>IFERROR(VLOOKUP(A1338,'Base Prueba'!A:C,3,),"NO REGISTRA")</f>
        <v>YEIMY ALEXANDRA RODRIGUEZ PALACIO</v>
      </c>
      <c r="D1338" s="4" t="str">
        <f>IFERROR(VLOOKUP(A1338,'Base Prueba'!A:D,4,),"NO REGISTRA")</f>
        <v>PROMOTOR CALL CENTER</v>
      </c>
      <c r="E1338" s="5" t="str">
        <f>IFERROR(VLOOKUP(A1338,'Base Prueba'!A:E,5,),"NO REGISTRA")</f>
        <v>OFICINA DE MERCADEO</v>
      </c>
    </row>
    <row r="1339" spans="1:5" ht="15.75" x14ac:dyDescent="0.25">
      <c r="A1339" s="10">
        <v>52764929</v>
      </c>
      <c r="B1339" s="2">
        <v>46049.792059953703</v>
      </c>
      <c r="C1339" s="3" t="str">
        <f>IFERROR(VLOOKUP(A1339,'Base Prueba'!A:C,3,),"NO REGISTRA")</f>
        <v>GUERLY YOHANA DURAN RIVERA</v>
      </c>
      <c r="D1339" s="4" t="str">
        <f>IFERROR(VLOOKUP(A1339,'Base Prueba'!A:D,4,),"NO REGISTRA")</f>
        <v>LIDER DE VINCULACION COLEGIOS</v>
      </c>
      <c r="E1339" s="5" t="str">
        <f>IFERROR(VLOOKUP(A1339,'Base Prueba'!A:E,5,),"NO REGISTRA")</f>
        <v>OFICINA DE MERCADEO</v>
      </c>
    </row>
    <row r="1340" spans="1:5" ht="15.75" x14ac:dyDescent="0.25">
      <c r="A1340" s="10">
        <v>1087121273</v>
      </c>
      <c r="B1340" s="2">
        <v>46050.324936226854</v>
      </c>
      <c r="C1340" s="3" t="str">
        <f>IFERROR(VLOOKUP(A1340,'Base Prueba'!A:C,3,),"NO REGISTRA")</f>
        <v>MAYRA ALEJANDRA CASTILLO ARBOLEDA</v>
      </c>
      <c r="D1340" s="4" t="str">
        <f>IFERROR(VLOOKUP(A1340,'Base Prueba'!A:D,4,),"NO REGISTRA")</f>
        <v>APOYO INTEGRAL DE MERCADEO</v>
      </c>
      <c r="E1340" s="5" t="str">
        <f>IFERROR(VLOOKUP(A1340,'Base Prueba'!A:E,5,),"NO REGISTRA")</f>
        <v>CENTRO DE GESTION DOCUMENTAL</v>
      </c>
    </row>
    <row r="1341" spans="1:5" ht="15.75" x14ac:dyDescent="0.25">
      <c r="A1341" s="10">
        <v>1000354041</v>
      </c>
      <c r="B1341" s="2">
        <v>46050.329150810183</v>
      </c>
      <c r="C1341" s="3" t="str">
        <f>IFERROR(VLOOKUP(A1341,'Base Prueba'!A:C,3,),"NO REGISTRA")</f>
        <v>ANGIE NATALIA BOHORQUEZ SANCHEZ</v>
      </c>
      <c r="D1341" s="4" t="str">
        <f>IFERROR(VLOOKUP(A1341,'Base Prueba'!A:D,4,),"NO REGISTRA")</f>
        <v>APRENDIZ UNIVERSITARIO</v>
      </c>
      <c r="E1341" s="5" t="str">
        <f>IFERROR(VLOOKUP(A1341,'Base Prueba'!A:E,5,),"NO REGISTRA")</f>
        <v>OFICINA DE PLANEACION Y GESTION DE LA CALIDAD</v>
      </c>
    </row>
    <row r="1342" spans="1:5" ht="15.75" x14ac:dyDescent="0.25">
      <c r="A1342" s="10">
        <v>80238161</v>
      </c>
      <c r="B1342" s="2">
        <v>46050.335805902774</v>
      </c>
      <c r="C1342" s="3" t="str">
        <f>IFERROR(VLOOKUP(A1342,'Base Prueba'!A:C,3,),"NO REGISTRA")</f>
        <v>GERMAN CARRANZA ESPITIA</v>
      </c>
      <c r="D1342" s="4" t="str">
        <f>IFERROR(VLOOKUP(A1342,'Base Prueba'!A:D,4,),"NO REGISTRA")</f>
        <v>TESORERO</v>
      </c>
      <c r="E1342" s="5" t="str">
        <f>IFERROR(VLOOKUP(A1342,'Base Prueba'!A:E,5,),"NO REGISTRA")</f>
        <v>AREA FINANCIERA Y CONTABLE</v>
      </c>
    </row>
    <row r="1343" spans="1:5" ht="15.75" x14ac:dyDescent="0.25">
      <c r="A1343" s="10">
        <v>1013616244</v>
      </c>
      <c r="B1343" s="2">
        <v>46050.336214814815</v>
      </c>
      <c r="C1343" s="3" t="str">
        <f>IFERROR(VLOOKUP(A1343,'Base Prueba'!A:C,3,),"NO REGISTRA")</f>
        <v>DIANA CAROLINA MARIN BETANCOURT</v>
      </c>
      <c r="D1343" s="4" t="str">
        <f>IFERROR(VLOOKUP(A1343,'Base Prueba'!A:D,4,),"NO REGISTRA")</f>
        <v>AUXILIAR ADMINISTRATIVO</v>
      </c>
      <c r="E1343" s="5" t="str">
        <f>IFERROR(VLOOKUP(A1343,'Base Prueba'!A:E,5,),"NO REGISTRA")</f>
        <v>REGISTRO Y CONTROL ACADEMICO</v>
      </c>
    </row>
    <row r="1344" spans="1:5" ht="15.75" x14ac:dyDescent="0.25">
      <c r="A1344" s="10">
        <v>1031802160</v>
      </c>
      <c r="B1344" s="2">
        <v>46050.33713900463</v>
      </c>
      <c r="C1344" s="3" t="str">
        <f>IFERROR(VLOOKUP(A1344,'Base Prueba'!A:C,3,),"NO REGISTRA")</f>
        <v>LUISA MARIA MAHECHA SOTOMAYOR</v>
      </c>
      <c r="D1344" s="4" t="str">
        <f>IFERROR(VLOOKUP(A1344,'Base Prueba'!A:D,4,),"NO REGISTRA")</f>
        <v>APRENDIZ UNIVERSITARIO</v>
      </c>
      <c r="E1344" s="5" t="str">
        <f>IFERROR(VLOOKUP(A1344,'Base Prueba'!A:E,5,),"NO REGISTRA")</f>
        <v>OFICINA DE MERCADEO</v>
      </c>
    </row>
    <row r="1345" spans="1:5" ht="15.75" x14ac:dyDescent="0.25">
      <c r="A1345" s="10">
        <v>1014977624</v>
      </c>
      <c r="B1345" s="2">
        <v>46050.343713078706</v>
      </c>
      <c r="C1345" s="3" t="str">
        <f>IFERROR(VLOOKUP(A1345,'Base Prueba'!A:C,3,),"NO REGISTRA")</f>
        <v>NICCOLE VALENTINA HERNANDEZ MALAVER</v>
      </c>
      <c r="D1345" s="4" t="str">
        <f>IFERROR(VLOOKUP(A1345,'Base Prueba'!A:D,4,),"NO REGISTRA")</f>
        <v>APRENDIZ UNIVERSITARIO</v>
      </c>
      <c r="E1345" s="5" t="str">
        <f>IFERROR(VLOOKUP(A1345,'Base Prueba'!A:E,5,),"NO REGISTRA")</f>
        <v>AREA FINANCIERA Y CONTABLE</v>
      </c>
    </row>
    <row r="1346" spans="1:5" ht="15.75" x14ac:dyDescent="0.25">
      <c r="A1346" s="10">
        <v>80234243</v>
      </c>
      <c r="B1346" s="2">
        <v>46050.344213657409</v>
      </c>
      <c r="C1346" s="3" t="str">
        <f>IFERROR(VLOOKUP(A1346,'Base Prueba'!A:C,3,),"NO REGISTRA")</f>
        <v>ARGENIS MARTINEZ MARTINEZ</v>
      </c>
      <c r="D1346" s="4" t="str">
        <f>IFERROR(VLOOKUP(A1346,'Base Prueba'!A:D,4,),"NO REGISTRA")</f>
        <v>LIDER CALL CENTER</v>
      </c>
      <c r="E1346" s="5" t="str">
        <f>IFERROR(VLOOKUP(A1346,'Base Prueba'!A:E,5,),"NO REGISTRA")</f>
        <v>OFICINA DE MERCADEO</v>
      </c>
    </row>
    <row r="1347" spans="1:5" ht="15.75" x14ac:dyDescent="0.25">
      <c r="A1347" s="10">
        <v>1012357415</v>
      </c>
      <c r="B1347" s="2">
        <v>46050.346712384257</v>
      </c>
      <c r="C1347" s="3" t="str">
        <f>IFERROR(VLOOKUP(A1347,'Base Prueba'!A:C,3,),"NO REGISTRA")</f>
        <v>CINDY LORENA BOHORQUEZ LEYVA</v>
      </c>
      <c r="D1347" s="4" t="str">
        <f>IFERROR(VLOOKUP(A1347,'Base Prueba'!A:D,4,),"NO REGISTRA")</f>
        <v>ANALISTA DE TESORERIA</v>
      </c>
      <c r="E1347" s="5" t="str">
        <f>IFERROR(VLOOKUP(A1347,'Base Prueba'!A:E,5,),"NO REGISTRA")</f>
        <v>AREA FINANCIERA Y CONTABLE</v>
      </c>
    </row>
    <row r="1348" spans="1:5" ht="15.75" x14ac:dyDescent="0.25">
      <c r="A1348" s="10">
        <v>1049644802</v>
      </c>
      <c r="B1348" s="2">
        <v>46050.346797685183</v>
      </c>
      <c r="C1348" s="3" t="str">
        <f>IFERROR(VLOOKUP(A1348,'Base Prueba'!A:C,3,),"NO REGISTRA")</f>
        <v>DANIELA ALEXANDRA CIPAMOCHA BOSIGA</v>
      </c>
      <c r="D1348" s="4" t="str">
        <f>IFERROR(VLOOKUP(A1348,'Base Prueba'!A:D,4,),"NO REGISTRA")</f>
        <v>LIDER DE DATOS Y SERVICIOS</v>
      </c>
      <c r="E1348" s="5" t="str">
        <f>IFERROR(VLOOKUP(A1348,'Base Prueba'!A:E,5,),"NO REGISTRA")</f>
        <v>OFICINA DE PLANEACION Y GESTION DE LA CALIDAD</v>
      </c>
    </row>
    <row r="1349" spans="1:5" ht="15.75" x14ac:dyDescent="0.25">
      <c r="A1349" s="10">
        <v>1000257136</v>
      </c>
      <c r="B1349" s="2">
        <v>46050.349736226854</v>
      </c>
      <c r="C1349" s="3" t="str">
        <f>IFERROR(VLOOKUP(A1349,'Base Prueba'!A:C,3,),"NO REGISTRA")</f>
        <v>FRANCI VALENTINA CANO PUENTES</v>
      </c>
      <c r="D1349" s="4" t="str">
        <f>IFERROR(VLOOKUP(A1349,'Base Prueba'!A:D,4,),"NO REGISTRA")</f>
        <v>AUXILIAR CONTABLE</v>
      </c>
      <c r="E1349" s="5" t="str">
        <f>IFERROR(VLOOKUP(A1349,'Base Prueba'!A:E,5,),"NO REGISTRA")</f>
        <v>AREA FINANCIERA Y CONTABLE</v>
      </c>
    </row>
    <row r="1350" spans="1:5" ht="15.75" x14ac:dyDescent="0.25">
      <c r="A1350" s="10">
        <v>53932358</v>
      </c>
      <c r="B1350" s="2">
        <v>46050.350457870372</v>
      </c>
      <c r="C1350" s="3" t="str">
        <f>IFERROR(VLOOKUP(A1350,'Base Prueba'!A:C,3,),"NO REGISTRA")</f>
        <v>DIANA MADELEYNE GAONA RODRIGUEZ</v>
      </c>
      <c r="D1350" s="4" t="str">
        <f>IFERROR(VLOOKUP(A1350,'Base Prueba'!A:D,4,),"NO REGISTRA")</f>
        <v>CONTADOR</v>
      </c>
      <c r="E1350" s="5" t="str">
        <f>IFERROR(VLOOKUP(A1350,'Base Prueba'!A:E,5,),"NO REGISTRA")</f>
        <v>AREA FINANCIERA Y CONTABLE</v>
      </c>
    </row>
    <row r="1351" spans="1:5" ht="15.75" x14ac:dyDescent="0.25">
      <c r="A1351" s="10">
        <v>1193457976</v>
      </c>
      <c r="B1351" s="2">
        <v>46050.354787384262</v>
      </c>
      <c r="C1351" s="3" t="str">
        <f>IFERROR(VLOOKUP(A1351,'Base Prueba'!A:C,3,),"NO REGISTRA")</f>
        <v>SEDENIS RIVAS ASPRILLA</v>
      </c>
      <c r="D1351" s="4" t="str">
        <f>IFERROR(VLOOKUP(A1351,'Base Prueba'!A:D,4,),"NO REGISTRA")</f>
        <v>APRENDIZ UNIVERSITARIO</v>
      </c>
      <c r="E1351" s="5" t="str">
        <f>IFERROR(VLOOKUP(A1351,'Base Prueba'!A:E,5,),"NO REGISTRA")</f>
        <v>DEPARTAMENTO DE GESTION HUMANA</v>
      </c>
    </row>
    <row r="1352" spans="1:5" ht="15.75" x14ac:dyDescent="0.25">
      <c r="A1352" s="10">
        <v>1023883232</v>
      </c>
      <c r="B1352" s="2">
        <v>46050.360314930556</v>
      </c>
      <c r="C1352" s="3" t="str">
        <f>IFERROR(VLOOKUP(A1352,'Base Prueba'!A:C,3,),"NO REGISTRA")</f>
        <v>MONICA ANDREA ACERO URBANO</v>
      </c>
      <c r="D1352" s="4" t="str">
        <f>IFERROR(VLOOKUP(A1352,'Base Prueba'!A:D,4,),"NO REGISTRA")</f>
        <v>APOYO INTEGRAL A GESTION HUMANA</v>
      </c>
      <c r="E1352" s="5" t="str">
        <f>IFERROR(VLOOKUP(A1352,'Base Prueba'!A:E,5,),"NO REGISTRA")</f>
        <v>DEPARTAMENTO DE GESTION HUMANA</v>
      </c>
    </row>
    <row r="1353" spans="1:5" ht="15.75" x14ac:dyDescent="0.25">
      <c r="A1353" s="10">
        <v>1000457706</v>
      </c>
      <c r="B1353" s="2">
        <v>46050.360962152779</v>
      </c>
      <c r="C1353" s="3" t="str">
        <f>IFERROR(VLOOKUP(A1353,'Base Prueba'!A:C,3,),"NO REGISTRA")</f>
        <v>CRISTIAN DANILO ARROYO SANABRIA</v>
      </c>
      <c r="D1353" s="4" t="str">
        <f>IFERROR(VLOOKUP(A1353,'Base Prueba'!A:D,4,),"NO REGISTRA")</f>
        <v>AUXILIAR CONTABLE</v>
      </c>
      <c r="E1353" s="5" t="str">
        <f>IFERROR(VLOOKUP(A1353,'Base Prueba'!A:E,5,),"NO REGISTRA")</f>
        <v>AREA FINANCIERA Y CONTABLE</v>
      </c>
    </row>
    <row r="1354" spans="1:5" ht="15.75" x14ac:dyDescent="0.25">
      <c r="A1354" s="10">
        <v>1000687931</v>
      </c>
      <c r="B1354" s="2">
        <v>46050.361950925922</v>
      </c>
      <c r="C1354" s="3" t="str">
        <f>IFERROR(VLOOKUP(A1354,'Base Prueba'!A:C,3,),"NO REGISTRA")</f>
        <v>ANDRES FELIPE PUENTES TORRES</v>
      </c>
      <c r="D1354" s="4" t="str">
        <f>IFERROR(VLOOKUP(A1354,'Base Prueba'!A:D,4,),"NO REGISTRA")</f>
        <v>AUXILIAR ADMINISTRATIVO</v>
      </c>
      <c r="E1354" s="5" t="str">
        <f>IFERROR(VLOOKUP(A1354,'Base Prueba'!A:E,5,),"NO REGISTRA")</f>
        <v>REGISTRO Y CONTROL ACADEMICO</v>
      </c>
    </row>
    <row r="1355" spans="1:5" ht="15.75" x14ac:dyDescent="0.25">
      <c r="A1355" s="10">
        <v>1000593372</v>
      </c>
      <c r="B1355" s="2">
        <v>46050.362678587961</v>
      </c>
      <c r="C1355" s="3" t="str">
        <f>IFERROR(VLOOKUP(A1355,'Base Prueba'!A:C,3,),"NO REGISTRA")</f>
        <v>LAURA SOFIA CHAPARRO LOPEZ</v>
      </c>
      <c r="D1355" s="4" t="str">
        <f>IFERROR(VLOOKUP(A1355,'Base Prueba'!A:D,4,),"NO REGISTRA")</f>
        <v>AUXILIAR JURIDICO</v>
      </c>
      <c r="E1355" s="5" t="str">
        <f>IFERROR(VLOOKUP(A1355,'Base Prueba'!A:E,5,),"NO REGISTRA")</f>
        <v>SECRETARIA GENERAL</v>
      </c>
    </row>
    <row r="1356" spans="1:5" ht="15.75" x14ac:dyDescent="0.25">
      <c r="A1356" s="10">
        <v>1000604979</v>
      </c>
      <c r="B1356" s="2">
        <v>46050.362702314815</v>
      </c>
      <c r="C1356" s="3" t="str">
        <f>IFERROR(VLOOKUP(A1356,'Base Prueba'!A:C,3,),"NO REGISTRA")</f>
        <v>JULIETH TATIANA PARDO PINTO</v>
      </c>
      <c r="D1356" s="4" t="str">
        <f>IFERROR(VLOOKUP(A1356,'Base Prueba'!A:D,4,),"NO REGISTRA")</f>
        <v>AUXILIAR JURIDICO</v>
      </c>
      <c r="E1356" s="5" t="str">
        <f>IFERROR(VLOOKUP(A1356,'Base Prueba'!A:E,5,),"NO REGISTRA")</f>
        <v>SECRETARIA GENERAL</v>
      </c>
    </row>
    <row r="1357" spans="1:5" ht="15.75" x14ac:dyDescent="0.25">
      <c r="A1357" s="10">
        <v>1018413529</v>
      </c>
      <c r="B1357" s="2">
        <v>46050.368564930555</v>
      </c>
      <c r="C1357" s="3" t="str">
        <f>IFERROR(VLOOKUP(A1357,'Base Prueba'!A:C,3,),"NO REGISTRA")</f>
        <v>FRANCY STELLA CHARRY MORENO</v>
      </c>
      <c r="D1357" s="4" t="str">
        <f>IFERROR(VLOOKUP(A1357,'Base Prueba'!A:D,4,),"NO REGISTRA")</f>
        <v>PROMOTOR COMERCIAL DEL CEA</v>
      </c>
      <c r="E1357" s="5" t="str">
        <f>IFERROR(VLOOKUP(A1357,'Base Prueba'!A:E,5,),"NO REGISTRA")</f>
        <v>OFICINA DE MERCADEO</v>
      </c>
    </row>
    <row r="1358" spans="1:5" ht="15.75" x14ac:dyDescent="0.25">
      <c r="A1358" s="10">
        <v>1024505434</v>
      </c>
      <c r="B1358" s="2">
        <v>46050.369314930555</v>
      </c>
      <c r="C1358" s="3" t="str">
        <f>IFERROR(VLOOKUP(A1358,'Base Prueba'!A:C,3,),"NO REGISTRA")</f>
        <v>CRISTIAN ALBERTO MELO TORRES</v>
      </c>
      <c r="D1358" s="4" t="str">
        <f>IFERROR(VLOOKUP(A1358,'Base Prueba'!A:D,4,),"NO REGISTRA")</f>
        <v>COORDINADOR DE INFRAESTRUCTURA</v>
      </c>
      <c r="E1358" s="5" t="str">
        <f>IFERROR(VLOOKUP(A1358,'Base Prueba'!A:E,5,),"NO REGISTRA")</f>
        <v>VICERRECTORIA ADMINISTRATIVA Y FINANCIERA</v>
      </c>
    </row>
    <row r="1359" spans="1:5" ht="15.75" x14ac:dyDescent="0.25">
      <c r="A1359" s="10">
        <v>1033709056</v>
      </c>
      <c r="B1359" s="2">
        <v>46050.370682407411</v>
      </c>
      <c r="C1359" s="3" t="str">
        <f>IFERROR(VLOOKUP(A1359,'Base Prueba'!A:C,3,),"NO REGISTRA")</f>
        <v>YEIMY ALEXANDRA RODRIGUEZ PALACIO</v>
      </c>
      <c r="D1359" s="4" t="str">
        <f>IFERROR(VLOOKUP(A1359,'Base Prueba'!A:D,4,),"NO REGISTRA")</f>
        <v>PROMOTOR CALL CENTER</v>
      </c>
      <c r="E1359" s="5" t="str">
        <f>IFERROR(VLOOKUP(A1359,'Base Prueba'!A:E,5,),"NO REGISTRA")</f>
        <v>OFICINA DE MERCADEO</v>
      </c>
    </row>
    <row r="1360" spans="1:5" ht="15.75" x14ac:dyDescent="0.25">
      <c r="A1360" s="10">
        <v>1012426741</v>
      </c>
      <c r="B1360" s="2">
        <v>46050.375421990742</v>
      </c>
      <c r="C1360" s="3" t="str">
        <f>IFERROR(VLOOKUP(A1360,'Base Prueba'!A:C,3,),"NO REGISTRA")</f>
        <v>CRISTIAN FABIAN ROJAS SANCENO</v>
      </c>
      <c r="D1360" s="4" t="str">
        <f>IFERROR(VLOOKUP(A1360,'Base Prueba'!A:D,4,),"NO REGISTRA")</f>
        <v>AUXILIAR DE REINTEGROS</v>
      </c>
      <c r="E1360" s="5" t="str">
        <f>IFERROR(VLOOKUP(A1360,'Base Prueba'!A:E,5,),"NO REGISTRA")</f>
        <v>DIRECCION DE BIENESTAR INSTITUCIONAL</v>
      </c>
    </row>
    <row r="1361" spans="1:5" ht="15.75" x14ac:dyDescent="0.25">
      <c r="A1361" s="10">
        <v>1023898029</v>
      </c>
      <c r="B1361" s="2">
        <v>46050.379074884258</v>
      </c>
      <c r="C1361" s="3" t="str">
        <f>IFERROR(VLOOKUP(A1361,'Base Prueba'!A:C,3,),"NO REGISTRA")</f>
        <v>EMANUEL ENCISO CAMACHO</v>
      </c>
      <c r="D1361" s="4" t="str">
        <f>IFERROR(VLOOKUP(A1361,'Base Prueba'!A:D,4,),"NO REGISTRA")</f>
        <v>DECANO</v>
      </c>
      <c r="E1361" s="5" t="str">
        <f>IFERROR(VLOOKUP(A1361,'Base Prueba'!A:E,5,),"NO REGISTRA")</f>
        <v>FACULTAD DE COMINICACIÓN PERIODISMO Y ARTES</v>
      </c>
    </row>
    <row r="1362" spans="1:5" ht="15.75" x14ac:dyDescent="0.25">
      <c r="A1362" s="10">
        <v>52472386</v>
      </c>
      <c r="B1362" s="2">
        <v>46050.37944837963</v>
      </c>
      <c r="C1362" s="3" t="str">
        <f>IFERROR(VLOOKUP(A1362,'Base Prueba'!A:C,3,),"NO REGISTRA")</f>
        <v>ADRIANA MARCELA MORALES PARDO</v>
      </c>
      <c r="D1362" s="4" t="str">
        <f>IFERROR(VLOOKUP(A1362,'Base Prueba'!A:D,4,),"NO REGISTRA")</f>
        <v>PROMOTOR CALL CENTER</v>
      </c>
      <c r="E1362" s="5" t="str">
        <f>IFERROR(VLOOKUP(A1362,'Base Prueba'!A:E,5,),"NO REGISTRA")</f>
        <v>OFICINA DE MERCADEO</v>
      </c>
    </row>
    <row r="1363" spans="1:5" ht="15.75" x14ac:dyDescent="0.25">
      <c r="A1363" s="10">
        <v>1032407386</v>
      </c>
      <c r="B1363" s="2">
        <v>46050.3800619213</v>
      </c>
      <c r="C1363" s="3" t="str">
        <f>IFERROR(VLOOKUP(A1363,'Base Prueba'!A:C,3,),"NO REGISTRA")</f>
        <v>GINA PAOLA BAEZ GALVIS</v>
      </c>
      <c r="D1363" s="4" t="str">
        <f>IFERROR(VLOOKUP(A1363,'Base Prueba'!A:D,4,),"NO REGISTRA")</f>
        <v>PROMOTOR CALL CENTER</v>
      </c>
      <c r="E1363" s="5" t="str">
        <f>IFERROR(VLOOKUP(A1363,'Base Prueba'!A:E,5,),"NO REGISTRA")</f>
        <v>OFICINA DE MERCADEO</v>
      </c>
    </row>
    <row r="1364" spans="1:5" ht="15.75" x14ac:dyDescent="0.25">
      <c r="A1364" s="10">
        <v>1018414290</v>
      </c>
      <c r="B1364" s="2">
        <v>46050.380086226854</v>
      </c>
      <c r="C1364" s="3" t="str">
        <f>IFERROR(VLOOKUP(A1364,'Base Prueba'!A:C,3,),"NO REGISTRA")</f>
        <v>AMANDA LISBETH RODRIGUEZ LEON</v>
      </c>
      <c r="D1364" s="4" t="str">
        <f>IFERROR(VLOOKUP(A1364,'Base Prueba'!A:D,4,),"NO REGISTRA")</f>
        <v>PROMOTOR CALL CENTER</v>
      </c>
      <c r="E1364" s="5" t="str">
        <f>IFERROR(VLOOKUP(A1364,'Base Prueba'!A:E,5,),"NO REGISTRA")</f>
        <v>OFICINA DE MERCADEO</v>
      </c>
    </row>
    <row r="1365" spans="1:5" ht="15.75" x14ac:dyDescent="0.25">
      <c r="A1365" s="10">
        <v>1003690253</v>
      </c>
      <c r="B1365" s="2">
        <v>46050.38174178241</v>
      </c>
      <c r="C1365" s="3" t="str">
        <f>IFERROR(VLOOKUP(A1365,'Base Prueba'!A:C,3,),"NO REGISTRA")</f>
        <v>MELISSA GONZALEZ PEDRAZA</v>
      </c>
      <c r="D1365" s="4" t="str">
        <f>IFERROR(VLOOKUP(A1365,'Base Prueba'!A:D,4,),"NO REGISTRA")</f>
        <v>LIDER DE JOVENES A LA E</v>
      </c>
      <c r="E1365" s="5" t="str">
        <f>IFERROR(VLOOKUP(A1365,'Base Prueba'!A:E,5,),"NO REGISTRA")</f>
        <v>DIRECCION DE BIENESTAR INSTITUCIONAL</v>
      </c>
    </row>
    <row r="1366" spans="1:5" ht="15.75" x14ac:dyDescent="0.25">
      <c r="A1366" s="10">
        <v>1014196857</v>
      </c>
      <c r="B1366" s="2">
        <v>46050.381809143517</v>
      </c>
      <c r="C1366" s="3" t="str">
        <f>IFERROR(VLOOKUP(A1366,'Base Prueba'!A:C,3,),"NO REGISTRA")</f>
        <v>CARLOS ANDRES JIMENEZ PARDO</v>
      </c>
      <c r="D1366" s="4" t="str">
        <f>IFERROR(VLOOKUP(A1366,'Base Prueba'!A:D,4,),"NO REGISTRA")</f>
        <v>COORDINADOR DE MARKETING DIGITAL</v>
      </c>
      <c r="E1366" s="5" t="str">
        <f>IFERROR(VLOOKUP(A1366,'Base Prueba'!A:E,5,),"NO REGISTRA")</f>
        <v>OFICINA DE MERCADEO</v>
      </c>
    </row>
    <row r="1367" spans="1:5" ht="15.75" x14ac:dyDescent="0.25">
      <c r="A1367" s="10">
        <v>1024549760</v>
      </c>
      <c r="B1367" s="2">
        <v>46050.382191435187</v>
      </c>
      <c r="C1367" s="3" t="str">
        <f>IFERROR(VLOOKUP(A1367,'Base Prueba'!A:C,3,),"NO REGISTRA")</f>
        <v>FRANCY YISETH JAIMES NEIRA</v>
      </c>
      <c r="D1367" s="4" t="str">
        <f>IFERROR(VLOOKUP(A1367,'Base Prueba'!A:D,4,),"NO REGISTRA")</f>
        <v>SECRETARIA ACADEMICA - ADMINISTRATIVA DE FACULTAD</v>
      </c>
      <c r="E1367" s="5" t="str">
        <f>IFERROR(VLOOKUP(A1367,'Base Prueba'!A:E,5,),"NO REGISTRA")</f>
        <v>FACULTAD DE COMINICACIÓN PERIODISMO Y ARTES</v>
      </c>
    </row>
    <row r="1368" spans="1:5" ht="15.75" x14ac:dyDescent="0.25">
      <c r="A1368" s="10">
        <v>1019105003</v>
      </c>
      <c r="B1368" s="2">
        <v>46050.384697337962</v>
      </c>
      <c r="C1368" s="3" t="str">
        <f>IFERROR(VLOOKUP(A1368,'Base Prueba'!A:C,3,),"NO REGISTRA")</f>
        <v>DAISY JULIETH GASPAR MORENO</v>
      </c>
      <c r="D1368" s="4" t="str">
        <f>IFERROR(VLOOKUP(A1368,'Base Prueba'!A:D,4,),"NO REGISTRA")</f>
        <v>PROMOTOR CALL CENTER</v>
      </c>
      <c r="E1368" s="5" t="str">
        <f>IFERROR(VLOOKUP(A1368,'Base Prueba'!A:E,5,),"NO REGISTRA")</f>
        <v>OFICINA DE MERCADEO</v>
      </c>
    </row>
    <row r="1369" spans="1:5" ht="15.75" x14ac:dyDescent="0.25">
      <c r="A1369" s="10">
        <v>28798349</v>
      </c>
      <c r="B1369" s="2">
        <v>46050.386368055559</v>
      </c>
      <c r="C1369" s="3" t="str">
        <f>IFERROR(VLOOKUP(A1369,'Base Prueba'!A:C,3,),"NO REGISTRA")</f>
        <v>MARTHA ISABEL TOVAR WILLIAMS</v>
      </c>
      <c r="D1369" s="4" t="str">
        <f>IFERROR(VLOOKUP(A1369,'Base Prueba'!A:D,4,),"NO REGISTRA")</f>
        <v>PROMOTOR CALL CENTER</v>
      </c>
      <c r="E1369" s="5" t="str">
        <f>IFERROR(VLOOKUP(A1369,'Base Prueba'!A:E,5,),"NO REGISTRA")</f>
        <v>OFICINA DE MERCADEO</v>
      </c>
    </row>
    <row r="1370" spans="1:5" ht="15.75" x14ac:dyDescent="0.25">
      <c r="A1370" s="10">
        <v>52175674</v>
      </c>
      <c r="B1370" s="2">
        <v>46050.388652083333</v>
      </c>
      <c r="C1370" s="3" t="str">
        <f>IFERROR(VLOOKUP(A1370,'Base Prueba'!A:C,3,),"NO REGISTRA")</f>
        <v>LUZ YANETH GOMEZ AREVALO</v>
      </c>
      <c r="D1370" s="4" t="str">
        <f>IFERROR(VLOOKUP(A1370,'Base Prueba'!A:D,4,),"NO REGISTRA")</f>
        <v>COORDINADORA DE ADMISIONES</v>
      </c>
      <c r="E1370" s="5" t="str">
        <f>IFERROR(VLOOKUP(A1370,'Base Prueba'!A:E,5,),"NO REGISTRA")</f>
        <v>OFICINA DE MERCADEO</v>
      </c>
    </row>
    <row r="1371" spans="1:5" ht="15.75" x14ac:dyDescent="0.25">
      <c r="A1371" s="10">
        <v>1193265768</v>
      </c>
      <c r="B1371" s="2">
        <v>46050.388862962966</v>
      </c>
      <c r="C1371" s="3" t="str">
        <f>IFERROR(VLOOKUP(A1371,'Base Prueba'!A:C,3,),"NO REGISTRA")</f>
        <v>SANTIAGO OSORIO CAMACHO</v>
      </c>
      <c r="D1371" s="4" t="str">
        <f>IFERROR(VLOOKUP(A1371,'Base Prueba'!A:D,4,),"NO REGISTRA")</f>
        <v>ANALISTA DE PAUTA</v>
      </c>
      <c r="E1371" s="5" t="str">
        <f>IFERROR(VLOOKUP(A1371,'Base Prueba'!A:E,5,),"NO REGISTRA")</f>
        <v>OFICINA DE MERCADEO</v>
      </c>
    </row>
    <row r="1372" spans="1:5" ht="15.75" x14ac:dyDescent="0.25">
      <c r="A1372" s="10">
        <v>53089882</v>
      </c>
      <c r="B1372" s="2">
        <v>46050.39225902778</v>
      </c>
      <c r="C1372" s="3" t="str">
        <f>IFERROR(VLOOKUP(A1372,'Base Prueba'!A:C,3,),"NO REGISTRA")</f>
        <v>MARIA JOHANA ESCAMILLA MARTINEZ</v>
      </c>
      <c r="D1372" s="4" t="str">
        <f>IFERROR(VLOOKUP(A1372,'Base Prueba'!A:D,4,),"NO REGISTRA")</f>
        <v>PROMOTOR DE INFORMACIÓN</v>
      </c>
      <c r="E1372" s="5" t="str">
        <f>IFERROR(VLOOKUP(A1372,'Base Prueba'!A:E,5,),"NO REGISTRA")</f>
        <v>OFICINA DE MERCADEO</v>
      </c>
    </row>
    <row r="1373" spans="1:5" ht="15.75" x14ac:dyDescent="0.25">
      <c r="A1373" s="10">
        <v>52443092</v>
      </c>
      <c r="B1373" s="2">
        <v>46050.543360995369</v>
      </c>
      <c r="C1373" s="3" t="str">
        <f>IFERROR(VLOOKUP(A1373,'Base Prueba'!A:C,3,),"NO REGISTRA")</f>
        <v>LUZ MYRIAM SAAVEDRA CONTRERAS</v>
      </c>
      <c r="D1373" s="4" t="str">
        <f>IFERROR(VLOOKUP(A1373,'Base Prueba'!A:D,4,),"NO REGISTRA")</f>
        <v>AUXILIAR DE SERVICIOS</v>
      </c>
      <c r="E1373" s="5" t="str">
        <f>IFERROR(VLOOKUP(A1373,'Base Prueba'!A:E,5,),"NO REGISTRA")</f>
        <v>LOGISTICA Y SERVICIOS GENERALES</v>
      </c>
    </row>
    <row r="1374" spans="1:5" ht="15.75" x14ac:dyDescent="0.25">
      <c r="A1374" s="10">
        <v>1031802160</v>
      </c>
      <c r="B1374" s="2">
        <v>46050.707321643516</v>
      </c>
      <c r="C1374" s="3" t="str">
        <f>IFERROR(VLOOKUP(A1374,'Base Prueba'!A:C,3,),"NO REGISTRA")</f>
        <v>LUISA MARIA MAHECHA SOTOMAYOR</v>
      </c>
      <c r="D1374" s="4" t="str">
        <f>IFERROR(VLOOKUP(A1374,'Base Prueba'!A:D,4,),"NO REGISTRA")</f>
        <v>APRENDIZ UNIVERSITARIO</v>
      </c>
      <c r="E1374" s="5" t="str">
        <f>IFERROR(VLOOKUP(A1374,'Base Prueba'!A:E,5,),"NO REGISTRA")</f>
        <v>OFICINA DE MERCADEO</v>
      </c>
    </row>
    <row r="1375" spans="1:5" ht="15.75" x14ac:dyDescent="0.25">
      <c r="A1375" s="10">
        <v>1000354041</v>
      </c>
      <c r="B1375" s="2">
        <v>46050.750332638891</v>
      </c>
      <c r="C1375" s="3" t="str">
        <f>IFERROR(VLOOKUP(A1375,'Base Prueba'!A:C,3,),"NO REGISTRA")</f>
        <v>ANGIE NATALIA BOHORQUEZ SANCHEZ</v>
      </c>
      <c r="D1375" s="4" t="str">
        <f>IFERROR(VLOOKUP(A1375,'Base Prueba'!A:D,4,),"NO REGISTRA")</f>
        <v>APRENDIZ UNIVERSITARIO</v>
      </c>
      <c r="E1375" s="5" t="str">
        <f>IFERROR(VLOOKUP(A1375,'Base Prueba'!A:E,5,),"NO REGISTRA")</f>
        <v>OFICINA DE PLANEACION Y GESTION DE LA CALIDAD</v>
      </c>
    </row>
    <row r="1376" spans="1:5" ht="15.75" x14ac:dyDescent="0.25">
      <c r="A1376" s="10">
        <v>1000467399</v>
      </c>
      <c r="B1376" s="2">
        <v>46050.752084375003</v>
      </c>
      <c r="C1376" s="3" t="str">
        <f>IFERROR(VLOOKUP(A1376,'Base Prueba'!A:C,3,),"NO REGISTRA")</f>
        <v>BRANDO ESTIVEN DIAZ QUIMBAYA</v>
      </c>
      <c r="D1376" s="4" t="str">
        <f>IFERROR(VLOOKUP(A1376,'Base Prueba'!A:D,4,),"NO REGISTRA")</f>
        <v>APRENDIZ UNIVERSITARIO</v>
      </c>
      <c r="E1376" s="5" t="str">
        <f>IFERROR(VLOOKUP(A1376,'Base Prueba'!A:E,5,),"NO REGISTRA")</f>
        <v>DEPARTAMENTO DE GESTION HUMANA</v>
      </c>
    </row>
    <row r="1377" spans="1:5" ht="15.75" x14ac:dyDescent="0.25">
      <c r="A1377" s="10">
        <v>1193457976</v>
      </c>
      <c r="B1377" s="2">
        <v>46050.757124305557</v>
      </c>
      <c r="C1377" s="3" t="str">
        <f>IFERROR(VLOOKUP(A1377,'Base Prueba'!A:C,3,),"NO REGISTRA")</f>
        <v>SEDENIS RIVAS ASPRILLA</v>
      </c>
      <c r="D1377" s="4" t="str">
        <f>IFERROR(VLOOKUP(A1377,'Base Prueba'!A:D,4,),"NO REGISTRA")</f>
        <v>APRENDIZ UNIVERSITARIO</v>
      </c>
      <c r="E1377" s="5" t="str">
        <f>IFERROR(VLOOKUP(A1377,'Base Prueba'!A:E,5,),"NO REGISTRA")</f>
        <v>DEPARTAMENTO DE GESTION HUMANA</v>
      </c>
    </row>
    <row r="1378" spans="1:5" ht="15.75" x14ac:dyDescent="0.25">
      <c r="A1378" s="10">
        <v>1022996882</v>
      </c>
      <c r="B1378" s="2">
        <v>46050.757321064812</v>
      </c>
      <c r="C1378" s="3" t="str">
        <f>IFERROR(VLOOKUP(A1378,'Base Prueba'!A:C,3,),"NO REGISTRA")</f>
        <v>NANCY BRIGITH ALDANA GUEVARA</v>
      </c>
      <c r="D1378" s="4" t="str">
        <f>IFERROR(VLOOKUP(A1378,'Base Prueba'!A:D,4,),"NO REGISTRA")</f>
        <v>COORDINADORA DE GESTIÓN HUMANA</v>
      </c>
      <c r="E1378" s="5" t="str">
        <f>IFERROR(VLOOKUP(A1378,'Base Prueba'!A:E,5,),"NO REGISTRA")</f>
        <v>DEPARTAMENTO DE GESTION HUMANA</v>
      </c>
    </row>
    <row r="1379" spans="1:5" ht="15.75" x14ac:dyDescent="0.25">
      <c r="A1379" s="10">
        <v>1014266838</v>
      </c>
      <c r="B1379" s="2">
        <v>46050.758145138891</v>
      </c>
      <c r="C1379" s="3" t="str">
        <f>IFERROR(VLOOKUP(A1379,'Base Prueba'!A:C,3,),"NO REGISTRA")</f>
        <v>JENNIFER ASTRID ROMERO HURTADO</v>
      </c>
      <c r="D1379" s="4" t="str">
        <f>IFERROR(VLOOKUP(A1379,'Base Prueba'!A:D,4,),"NO REGISTRA")</f>
        <v>LIDER DE RECAUDO</v>
      </c>
      <c r="E1379" s="5" t="str">
        <f>IFERROR(VLOOKUP(A1379,'Base Prueba'!A:E,5,),"NO REGISTRA")</f>
        <v>AREA FINANCIERA Y CONTABLE</v>
      </c>
    </row>
    <row r="1380" spans="1:5" ht="15.75" x14ac:dyDescent="0.25">
      <c r="A1380" s="10">
        <v>1032469638</v>
      </c>
      <c r="B1380" s="2">
        <v>46050.75918645833</v>
      </c>
      <c r="C1380" s="3" t="str">
        <f>IFERROR(VLOOKUP(A1380,'Base Prueba'!A:C,3,),"NO REGISTRA")</f>
        <v>MAICOL JARBEY GUALTEROS CASTAÑEDA</v>
      </c>
      <c r="D1380" s="4" t="str">
        <f>IFERROR(VLOOKUP(A1380,'Base Prueba'!A:D,4,),"NO REGISTRA")</f>
        <v>COORDINADOR DEL SISTEMA INTERNO DE ASEGURAMIENTO DE LA CALIDAD - SIAC</v>
      </c>
      <c r="E1380" s="5" t="str">
        <f>IFERROR(VLOOKUP(A1380,'Base Prueba'!A:E,5,),"NO REGISTRA")</f>
        <v>OFICINA DE PLANEACION Y GESTION DE LA CALIDAD</v>
      </c>
    </row>
    <row r="1381" spans="1:5" ht="15.75" x14ac:dyDescent="0.25">
      <c r="A1381" s="10">
        <v>1087121273</v>
      </c>
      <c r="B1381" s="2">
        <v>46050.759807870367</v>
      </c>
      <c r="C1381" s="3" t="str">
        <f>IFERROR(VLOOKUP(A1381,'Base Prueba'!A:C,3,),"NO REGISTRA")</f>
        <v>MAYRA ALEJANDRA CASTILLO ARBOLEDA</v>
      </c>
      <c r="D1381" s="4" t="str">
        <f>IFERROR(VLOOKUP(A1381,'Base Prueba'!A:D,4,),"NO REGISTRA")</f>
        <v>APOYO INTEGRAL DE MERCADEO</v>
      </c>
      <c r="E1381" s="5" t="str">
        <f>IFERROR(VLOOKUP(A1381,'Base Prueba'!A:E,5,),"NO REGISTRA")</f>
        <v>CENTRO DE GESTION DOCUMENTAL</v>
      </c>
    </row>
    <row r="1382" spans="1:5" ht="15.75" x14ac:dyDescent="0.25">
      <c r="A1382" s="10">
        <v>1023883232</v>
      </c>
      <c r="B1382" s="2">
        <v>46050.759830092589</v>
      </c>
      <c r="C1382" s="3" t="str">
        <f>IFERROR(VLOOKUP(A1382,'Base Prueba'!A:C,3,),"NO REGISTRA")</f>
        <v>MONICA ANDREA ACERO URBANO</v>
      </c>
      <c r="D1382" s="4" t="str">
        <f>IFERROR(VLOOKUP(A1382,'Base Prueba'!A:D,4,),"NO REGISTRA")</f>
        <v>APOYO INTEGRAL A GESTION HUMANA</v>
      </c>
      <c r="E1382" s="5" t="str">
        <f>IFERROR(VLOOKUP(A1382,'Base Prueba'!A:E,5,),"NO REGISTRA")</f>
        <v>DEPARTAMENTO DE GESTION HUMANA</v>
      </c>
    </row>
    <row r="1383" spans="1:5" ht="15.75" x14ac:dyDescent="0.25">
      <c r="A1383" s="10">
        <v>1000593372</v>
      </c>
      <c r="B1383" s="2">
        <v>46050.760014930558</v>
      </c>
      <c r="C1383" s="3" t="str">
        <f>IFERROR(VLOOKUP(A1383,'Base Prueba'!A:C,3,),"NO REGISTRA")</f>
        <v>LAURA SOFIA CHAPARRO LOPEZ</v>
      </c>
      <c r="D1383" s="4" t="str">
        <f>IFERROR(VLOOKUP(A1383,'Base Prueba'!A:D,4,),"NO REGISTRA")</f>
        <v>AUXILIAR JURIDICO</v>
      </c>
      <c r="E1383" s="5" t="str">
        <f>IFERROR(VLOOKUP(A1383,'Base Prueba'!A:E,5,),"NO REGISTRA")</f>
        <v>SECRETARIA GENERAL</v>
      </c>
    </row>
    <row r="1384" spans="1:5" ht="15.75" x14ac:dyDescent="0.25">
      <c r="A1384" s="10">
        <v>1000604979</v>
      </c>
      <c r="B1384" s="2">
        <v>46050.760052662037</v>
      </c>
      <c r="C1384" s="3" t="str">
        <f>IFERROR(VLOOKUP(A1384,'Base Prueba'!A:C,3,),"NO REGISTRA")</f>
        <v>JULIETH TATIANA PARDO PINTO</v>
      </c>
      <c r="D1384" s="4" t="str">
        <f>IFERROR(VLOOKUP(A1384,'Base Prueba'!A:D,4,),"NO REGISTRA")</f>
        <v>AUXILIAR JURIDICO</v>
      </c>
      <c r="E1384" s="5" t="str">
        <f>IFERROR(VLOOKUP(A1384,'Base Prueba'!A:E,5,),"NO REGISTRA")</f>
        <v>SECRETARIA GENERAL</v>
      </c>
    </row>
    <row r="1385" spans="1:5" ht="15.75" x14ac:dyDescent="0.25">
      <c r="A1385" s="10">
        <v>1014977624</v>
      </c>
      <c r="B1385" s="2">
        <v>46050.761148148151</v>
      </c>
      <c r="C1385" s="3" t="str">
        <f>IFERROR(VLOOKUP(A1385,'Base Prueba'!A:C,3,),"NO REGISTRA")</f>
        <v>NICCOLE VALENTINA HERNANDEZ MALAVER</v>
      </c>
      <c r="D1385" s="4" t="str">
        <f>IFERROR(VLOOKUP(A1385,'Base Prueba'!A:D,4,),"NO REGISTRA")</f>
        <v>APRENDIZ UNIVERSITARIO</v>
      </c>
      <c r="E1385" s="5" t="str">
        <f>IFERROR(VLOOKUP(A1385,'Base Prueba'!A:E,5,),"NO REGISTRA")</f>
        <v>AREA FINANCIERA Y CONTABLE</v>
      </c>
    </row>
    <row r="1386" spans="1:5" ht="15.75" x14ac:dyDescent="0.25">
      <c r="A1386" s="10">
        <v>1013616244</v>
      </c>
      <c r="B1386" s="2">
        <v>46050.762341087961</v>
      </c>
      <c r="C1386" s="3" t="str">
        <f>IFERROR(VLOOKUP(A1386,'Base Prueba'!A:C,3,),"NO REGISTRA")</f>
        <v>DIANA CAROLINA MARIN BETANCOURT</v>
      </c>
      <c r="D1386" s="4" t="str">
        <f>IFERROR(VLOOKUP(A1386,'Base Prueba'!A:D,4,),"NO REGISTRA")</f>
        <v>AUXILIAR ADMINISTRATIVO</v>
      </c>
      <c r="E1386" s="5" t="str">
        <f>IFERROR(VLOOKUP(A1386,'Base Prueba'!A:E,5,),"NO REGISTRA")</f>
        <v>REGISTRO Y CONTROL ACADEMICO</v>
      </c>
    </row>
    <row r="1387" spans="1:5" ht="15.75" x14ac:dyDescent="0.25">
      <c r="A1387" s="10">
        <v>1049644802</v>
      </c>
      <c r="B1387" s="2">
        <v>46050.762506018516</v>
      </c>
      <c r="C1387" s="3" t="str">
        <f>IFERROR(VLOOKUP(A1387,'Base Prueba'!A:C,3,),"NO REGISTRA")</f>
        <v>DANIELA ALEXANDRA CIPAMOCHA BOSIGA</v>
      </c>
      <c r="D1387" s="4" t="str">
        <f>IFERROR(VLOOKUP(A1387,'Base Prueba'!A:D,4,),"NO REGISTRA")</f>
        <v>LIDER DE DATOS Y SERVICIOS</v>
      </c>
      <c r="E1387" s="5" t="str">
        <f>IFERROR(VLOOKUP(A1387,'Base Prueba'!A:E,5,),"NO REGISTRA")</f>
        <v>OFICINA DE PLANEACION Y GESTION DE LA CALIDAD</v>
      </c>
    </row>
    <row r="1388" spans="1:5" ht="15.75" x14ac:dyDescent="0.25">
      <c r="A1388" s="10">
        <v>1000257136</v>
      </c>
      <c r="B1388" s="2">
        <v>46050.763370833331</v>
      </c>
      <c r="C1388" s="3" t="str">
        <f>IFERROR(VLOOKUP(A1388,'Base Prueba'!A:C,3,),"NO REGISTRA")</f>
        <v>FRANCI VALENTINA CANO PUENTES</v>
      </c>
      <c r="D1388" s="4" t="str">
        <f>IFERROR(VLOOKUP(A1388,'Base Prueba'!A:D,4,),"NO REGISTRA")</f>
        <v>AUXILIAR CONTABLE</v>
      </c>
      <c r="E1388" s="5" t="str">
        <f>IFERROR(VLOOKUP(A1388,'Base Prueba'!A:E,5,),"NO REGISTRA")</f>
        <v>AREA FINANCIERA Y CONTABLE</v>
      </c>
    </row>
    <row r="1389" spans="1:5" ht="15.75" x14ac:dyDescent="0.25">
      <c r="A1389" s="10">
        <v>1000687931</v>
      </c>
      <c r="B1389" s="2">
        <v>46050.765197800923</v>
      </c>
      <c r="C1389" s="3" t="str">
        <f>IFERROR(VLOOKUP(A1389,'Base Prueba'!A:C,3,),"NO REGISTRA")</f>
        <v>ANDRES FELIPE PUENTES TORRES</v>
      </c>
      <c r="D1389" s="4" t="str">
        <f>IFERROR(VLOOKUP(A1389,'Base Prueba'!A:D,4,),"NO REGISTRA")</f>
        <v>AUXILIAR ADMINISTRATIVO</v>
      </c>
      <c r="E1389" s="5" t="str">
        <f>IFERROR(VLOOKUP(A1389,'Base Prueba'!A:E,5,),"NO REGISTRA")</f>
        <v>REGISTRO Y CONTROL ACADEMICO</v>
      </c>
    </row>
    <row r="1390" spans="1:5" ht="15.75" x14ac:dyDescent="0.25">
      <c r="A1390" s="10">
        <v>1012426741</v>
      </c>
      <c r="B1390" s="2">
        <v>46050.770907986109</v>
      </c>
      <c r="C1390" s="3" t="str">
        <f>IFERROR(VLOOKUP(A1390,'Base Prueba'!A:C,3,),"NO REGISTRA")</f>
        <v>CRISTIAN FABIAN ROJAS SANCENO</v>
      </c>
      <c r="D1390" s="4" t="str">
        <f>IFERROR(VLOOKUP(A1390,'Base Prueba'!A:D,4,),"NO REGISTRA")</f>
        <v>AUXILIAR DE REINTEGROS</v>
      </c>
      <c r="E1390" s="5" t="str">
        <f>IFERROR(VLOOKUP(A1390,'Base Prueba'!A:E,5,),"NO REGISTRA")</f>
        <v>DIRECCION DE BIENESTAR INSTITUCIONAL</v>
      </c>
    </row>
    <row r="1391" spans="1:5" ht="15.75" x14ac:dyDescent="0.25">
      <c r="A1391" s="10">
        <v>1024505434</v>
      </c>
      <c r="B1391" s="2">
        <v>46050.771246064818</v>
      </c>
      <c r="C1391" s="3" t="str">
        <f>IFERROR(VLOOKUP(A1391,'Base Prueba'!A:C,3,),"NO REGISTRA")</f>
        <v>CRISTIAN ALBERTO MELO TORRES</v>
      </c>
      <c r="D1391" s="4" t="str">
        <f>IFERROR(VLOOKUP(A1391,'Base Prueba'!A:D,4,),"NO REGISTRA")</f>
        <v>COORDINADOR DE INFRAESTRUCTURA</v>
      </c>
      <c r="E1391" s="5" t="str">
        <f>IFERROR(VLOOKUP(A1391,'Base Prueba'!A:E,5,),"NO REGISTRA")</f>
        <v>VICERRECTORIA ADMINISTRATIVA Y FINANCIERA</v>
      </c>
    </row>
    <row r="1392" spans="1:5" ht="15.75" x14ac:dyDescent="0.25">
      <c r="A1392" s="10">
        <v>1000365751</v>
      </c>
      <c r="B1392" s="2">
        <v>46050.773115162039</v>
      </c>
      <c r="C1392" s="3" t="str">
        <f>IFERROR(VLOOKUP(A1392,'Base Prueba'!A:C,3,),"NO REGISTRA")</f>
        <v>JHOAN NICOLAS ESCAMILLA MANJARRES</v>
      </c>
      <c r="D1392" s="4" t="str">
        <f>IFERROR(VLOOKUP(A1392,'Base Prueba'!A:D,4,),"NO REGISTRA")</f>
        <v>APRENDIZ UNIVERSITARIO</v>
      </c>
      <c r="E1392" s="5" t="str">
        <f>IFERROR(VLOOKUP(A1392,'Base Prueba'!A:E,5,),"NO REGISTRA")</f>
        <v>OFICINA DE MERCADEO</v>
      </c>
    </row>
    <row r="1393" spans="1:5" ht="15.75" x14ac:dyDescent="0.25">
      <c r="A1393" s="10">
        <v>1016090131</v>
      </c>
      <c r="B1393" s="2">
        <v>46050.773166087965</v>
      </c>
      <c r="C1393" s="3" t="str">
        <f>IFERROR(VLOOKUP(A1393,'Base Prueba'!A:C,3,),"NO REGISTRA")</f>
        <v>NICOLAS RODRIGUEZ PACHECO</v>
      </c>
      <c r="D1393" s="4" t="str">
        <f>IFERROR(VLOOKUP(A1393,'Base Prueba'!A:D,4,),"NO REGISTRA")</f>
        <v>COORDINADOR DE COMUNICACIONES</v>
      </c>
      <c r="E1393" s="5" t="str">
        <f>IFERROR(VLOOKUP(A1393,'Base Prueba'!A:E,5,),"NO REGISTRA")</f>
        <v>OFICINA DE MERCADEO</v>
      </c>
    </row>
    <row r="1394" spans="1:5" ht="15.75" x14ac:dyDescent="0.25">
      <c r="A1394" s="10">
        <v>1033709056</v>
      </c>
      <c r="B1394" s="2">
        <v>46050.775967824076</v>
      </c>
      <c r="C1394" s="3" t="str">
        <f>IFERROR(VLOOKUP(A1394,'Base Prueba'!A:C,3,),"NO REGISTRA")</f>
        <v>YEIMY ALEXANDRA RODRIGUEZ PALACIO</v>
      </c>
      <c r="D1394" s="4" t="str">
        <f>IFERROR(VLOOKUP(A1394,'Base Prueba'!A:D,4,),"NO REGISTRA")</f>
        <v>PROMOTOR CALL CENTER</v>
      </c>
      <c r="E1394" s="5" t="str">
        <f>IFERROR(VLOOKUP(A1394,'Base Prueba'!A:E,5,),"NO REGISTRA")</f>
        <v>OFICINA DE MERCADEO</v>
      </c>
    </row>
    <row r="1395" spans="1:5" ht="15.75" x14ac:dyDescent="0.25">
      <c r="A1395" s="10">
        <v>1018414290</v>
      </c>
      <c r="B1395" s="2">
        <v>46050.77628784722</v>
      </c>
      <c r="C1395" s="3" t="str">
        <f>IFERROR(VLOOKUP(A1395,'Base Prueba'!A:C,3,),"NO REGISTRA")</f>
        <v>AMANDA LISBETH RODRIGUEZ LEON</v>
      </c>
      <c r="D1395" s="4" t="str">
        <f>IFERROR(VLOOKUP(A1395,'Base Prueba'!A:D,4,),"NO REGISTRA")</f>
        <v>PROMOTOR CALL CENTER</v>
      </c>
      <c r="E1395" s="5" t="str">
        <f>IFERROR(VLOOKUP(A1395,'Base Prueba'!A:E,5,),"NO REGISTRA")</f>
        <v>OFICINA DE MERCADEO</v>
      </c>
    </row>
    <row r="1396" spans="1:5" ht="15.75" x14ac:dyDescent="0.25">
      <c r="A1396" s="10">
        <v>52472386</v>
      </c>
      <c r="B1396" s="2">
        <v>46050.777068402778</v>
      </c>
      <c r="C1396" s="3" t="str">
        <f>IFERROR(VLOOKUP(A1396,'Base Prueba'!A:C,3,),"NO REGISTRA")</f>
        <v>ADRIANA MARCELA MORALES PARDO</v>
      </c>
      <c r="D1396" s="4" t="str">
        <f>IFERROR(VLOOKUP(A1396,'Base Prueba'!A:D,4,),"NO REGISTRA")</f>
        <v>PROMOTOR CALL CENTER</v>
      </c>
      <c r="E1396" s="5" t="str">
        <f>IFERROR(VLOOKUP(A1396,'Base Prueba'!A:E,5,),"NO REGISTRA")</f>
        <v>OFICINA DE MERCADEO</v>
      </c>
    </row>
    <row r="1397" spans="1:5" ht="15.75" x14ac:dyDescent="0.25">
      <c r="A1397" s="10">
        <v>1003690253</v>
      </c>
      <c r="B1397" s="2">
        <v>46050.779507523148</v>
      </c>
      <c r="C1397" s="3" t="str">
        <f>IFERROR(VLOOKUP(A1397,'Base Prueba'!A:C,3,),"NO REGISTRA")</f>
        <v>MELISSA GONZALEZ PEDRAZA</v>
      </c>
      <c r="D1397" s="4" t="str">
        <f>IFERROR(VLOOKUP(A1397,'Base Prueba'!A:D,4,),"NO REGISTRA")</f>
        <v>LIDER DE JOVENES A LA E</v>
      </c>
      <c r="E1397" s="5" t="str">
        <f>IFERROR(VLOOKUP(A1397,'Base Prueba'!A:E,5,),"NO REGISTRA")</f>
        <v>DIRECCION DE BIENESTAR INSTITUCIONAL</v>
      </c>
    </row>
    <row r="1398" spans="1:5" ht="15.75" x14ac:dyDescent="0.25">
      <c r="A1398" s="10">
        <v>1012357415</v>
      </c>
      <c r="B1398" s="2">
        <v>46050.781201620368</v>
      </c>
      <c r="C1398" s="3" t="str">
        <f>IFERROR(VLOOKUP(A1398,'Base Prueba'!A:C,3,),"NO REGISTRA")</f>
        <v>CINDY LORENA BOHORQUEZ LEYVA</v>
      </c>
      <c r="D1398" s="4" t="str">
        <f>IFERROR(VLOOKUP(A1398,'Base Prueba'!A:D,4,),"NO REGISTRA")</f>
        <v>ANALISTA DE TESORERIA</v>
      </c>
      <c r="E1398" s="5" t="str">
        <f>IFERROR(VLOOKUP(A1398,'Base Prueba'!A:E,5,),"NO REGISTRA")</f>
        <v>AREA FINANCIERA Y CONTABLE</v>
      </c>
    </row>
    <row r="1399" spans="1:5" ht="15.75" x14ac:dyDescent="0.25">
      <c r="A1399" s="10">
        <v>1193265768</v>
      </c>
      <c r="B1399" s="2">
        <v>46050.781386574075</v>
      </c>
      <c r="C1399" s="3" t="str">
        <f>IFERROR(VLOOKUP(A1399,'Base Prueba'!A:C,3,),"NO REGISTRA")</f>
        <v>SANTIAGO OSORIO CAMACHO</v>
      </c>
      <c r="D1399" s="4" t="str">
        <f>IFERROR(VLOOKUP(A1399,'Base Prueba'!A:D,4,),"NO REGISTRA")</f>
        <v>ANALISTA DE PAUTA</v>
      </c>
      <c r="E1399" s="5" t="str">
        <f>IFERROR(VLOOKUP(A1399,'Base Prueba'!A:E,5,),"NO REGISTRA")</f>
        <v>OFICINA DE MERCADEO</v>
      </c>
    </row>
    <row r="1400" spans="1:5" ht="15.75" x14ac:dyDescent="0.25">
      <c r="A1400" s="10">
        <v>1014196857</v>
      </c>
      <c r="B1400" s="2">
        <v>46050.781454861113</v>
      </c>
      <c r="C1400" s="3" t="str">
        <f>IFERROR(VLOOKUP(A1400,'Base Prueba'!A:C,3,),"NO REGISTRA")</f>
        <v>CARLOS ANDRES JIMENEZ PARDO</v>
      </c>
      <c r="D1400" s="4" t="str">
        <f>IFERROR(VLOOKUP(A1400,'Base Prueba'!A:D,4,),"NO REGISTRA")</f>
        <v>COORDINADOR DE MARKETING DIGITAL</v>
      </c>
      <c r="E1400" s="5" t="str">
        <f>IFERROR(VLOOKUP(A1400,'Base Prueba'!A:E,5,),"NO REGISTRA")</f>
        <v>OFICINA DE MERCADEO</v>
      </c>
    </row>
    <row r="1401" spans="1:5" ht="15.75" x14ac:dyDescent="0.25">
      <c r="A1401" s="10">
        <v>1019105003</v>
      </c>
      <c r="B1401" s="2">
        <v>46050.783158217593</v>
      </c>
      <c r="C1401" s="3" t="str">
        <f>IFERROR(VLOOKUP(A1401,'Base Prueba'!A:C,3,),"NO REGISTRA")</f>
        <v>DAISY JULIETH GASPAR MORENO</v>
      </c>
      <c r="D1401" s="4" t="str">
        <f>IFERROR(VLOOKUP(A1401,'Base Prueba'!A:D,4,),"NO REGISTRA")</f>
        <v>PROMOTOR CALL CENTER</v>
      </c>
      <c r="E1401" s="5" t="str">
        <f>IFERROR(VLOOKUP(A1401,'Base Prueba'!A:E,5,),"NO REGISTRA")</f>
        <v>OFICINA DE MERCADEO</v>
      </c>
    </row>
    <row r="1402" spans="1:5" ht="15.75" x14ac:dyDescent="0.25">
      <c r="A1402" s="10">
        <v>53089882</v>
      </c>
      <c r="B1402" s="2">
        <v>46050.785739004627</v>
      </c>
      <c r="C1402" s="3" t="str">
        <f>IFERROR(VLOOKUP(A1402,'Base Prueba'!A:C,3,),"NO REGISTRA")</f>
        <v>MARIA JOHANA ESCAMILLA MARTINEZ</v>
      </c>
      <c r="D1402" s="4" t="str">
        <f>IFERROR(VLOOKUP(A1402,'Base Prueba'!A:D,4,),"NO REGISTRA")</f>
        <v>PROMOTOR DE INFORMACIÓN</v>
      </c>
      <c r="E1402" s="5" t="str">
        <f>IFERROR(VLOOKUP(A1402,'Base Prueba'!A:E,5,),"NO REGISTRA")</f>
        <v>OFICINA DE MERCADEO</v>
      </c>
    </row>
    <row r="1403" spans="1:5" ht="15.75" x14ac:dyDescent="0.25">
      <c r="A1403" s="10">
        <v>1018413529</v>
      </c>
      <c r="B1403" s="2">
        <v>46050.785793287039</v>
      </c>
      <c r="C1403" s="3" t="str">
        <f>IFERROR(VLOOKUP(A1403,'Base Prueba'!A:C,3,),"NO REGISTRA")</f>
        <v>FRANCY STELLA CHARRY MORENO</v>
      </c>
      <c r="D1403" s="4" t="str">
        <f>IFERROR(VLOOKUP(A1403,'Base Prueba'!A:D,4,),"NO REGISTRA")</f>
        <v>PROMOTOR COMERCIAL DEL CEA</v>
      </c>
      <c r="E1403" s="5" t="str">
        <f>IFERROR(VLOOKUP(A1403,'Base Prueba'!A:E,5,),"NO REGISTRA")</f>
        <v>OFICINA DE MERCADEO</v>
      </c>
    </row>
    <row r="1404" spans="1:5" ht="15.75" x14ac:dyDescent="0.25">
      <c r="A1404" s="10">
        <v>52175674</v>
      </c>
      <c r="B1404" s="2">
        <v>46050.787155208331</v>
      </c>
      <c r="C1404" s="3" t="str">
        <f>IFERROR(VLOOKUP(A1404,'Base Prueba'!A:C,3,),"NO REGISTRA")</f>
        <v>LUZ YANETH GOMEZ AREVALO</v>
      </c>
      <c r="D1404" s="4" t="str">
        <f>IFERROR(VLOOKUP(A1404,'Base Prueba'!A:D,4,),"NO REGISTRA")</f>
        <v>COORDINADORA DE ADMISIONES</v>
      </c>
      <c r="E1404" s="5" t="str">
        <f>IFERROR(VLOOKUP(A1404,'Base Prueba'!A:E,5,),"NO REGISTRA")</f>
        <v>OFICINA DE MERCADEO</v>
      </c>
    </row>
    <row r="1405" spans="1:5" ht="15.75" x14ac:dyDescent="0.25">
      <c r="A1405" s="10">
        <v>1000457706</v>
      </c>
      <c r="B1405" s="2">
        <v>46050.788051157404</v>
      </c>
      <c r="C1405" s="3" t="str">
        <f>IFERROR(VLOOKUP(A1405,'Base Prueba'!A:C,3,),"NO REGISTRA")</f>
        <v>CRISTIAN DANILO ARROYO SANABRIA</v>
      </c>
      <c r="D1405" s="4" t="str">
        <f>IFERROR(VLOOKUP(A1405,'Base Prueba'!A:D,4,),"NO REGISTRA")</f>
        <v>AUXILIAR CONTABLE</v>
      </c>
      <c r="E1405" s="5" t="str">
        <f>IFERROR(VLOOKUP(A1405,'Base Prueba'!A:E,5,),"NO REGISTRA")</f>
        <v>AREA FINANCIERA Y CONTABLE</v>
      </c>
    </row>
    <row r="1406" spans="1:5" ht="15.75" x14ac:dyDescent="0.25">
      <c r="A1406" s="10">
        <v>53932358</v>
      </c>
      <c r="B1406" s="2">
        <v>46050.788147916668</v>
      </c>
      <c r="C1406" s="3" t="str">
        <f>IFERROR(VLOOKUP(A1406,'Base Prueba'!A:C,3,),"NO REGISTRA")</f>
        <v>DIANA MADELEYNE GAONA RODRIGUEZ</v>
      </c>
      <c r="D1406" s="4" t="str">
        <f>IFERROR(VLOOKUP(A1406,'Base Prueba'!A:D,4,),"NO REGISTRA")</f>
        <v>CONTADOR</v>
      </c>
      <c r="E1406" s="5" t="str">
        <f>IFERROR(VLOOKUP(A1406,'Base Prueba'!A:E,5,),"NO REGISTRA")</f>
        <v>AREA FINANCIERA Y CONTABLE</v>
      </c>
    </row>
    <row r="1407" spans="1:5" ht="15.75" x14ac:dyDescent="0.25">
      <c r="A1407" s="10">
        <v>80238161</v>
      </c>
      <c r="B1407" s="2">
        <v>46050.800881944444</v>
      </c>
      <c r="C1407" s="3" t="str">
        <f>IFERROR(VLOOKUP(A1407,'Base Prueba'!A:C,3,),"NO REGISTRA")</f>
        <v>GERMAN CARRANZA ESPITIA</v>
      </c>
      <c r="D1407" s="4" t="str">
        <f>IFERROR(VLOOKUP(A1407,'Base Prueba'!A:D,4,),"NO REGISTRA")</f>
        <v>TESORERO</v>
      </c>
      <c r="E1407" s="5" t="str">
        <f>IFERROR(VLOOKUP(A1407,'Base Prueba'!A:E,5,),"NO REGISTRA")</f>
        <v>AREA FINANCIERA Y CONTABLE</v>
      </c>
    </row>
    <row r="1408" spans="1:5" ht="15.75" x14ac:dyDescent="0.25">
      <c r="A1408" s="10">
        <v>28798349</v>
      </c>
      <c r="B1408" s="2">
        <v>46050.801866203707</v>
      </c>
      <c r="C1408" s="3" t="str">
        <f>IFERROR(VLOOKUP(A1408,'Base Prueba'!A:C,3,),"NO REGISTRA")</f>
        <v>MARTHA ISABEL TOVAR WILLIAMS</v>
      </c>
      <c r="D1408" s="4" t="str">
        <f>IFERROR(VLOOKUP(A1408,'Base Prueba'!A:D,4,),"NO REGISTRA")</f>
        <v>PROMOTOR CALL CENTER</v>
      </c>
      <c r="E1408" s="5" t="str">
        <f>IFERROR(VLOOKUP(A1408,'Base Prueba'!A:E,5,),"NO REGISTRA")</f>
        <v>OFICINA DE MERCADEO</v>
      </c>
    </row>
    <row r="1409" spans="1:5" ht="15.75" x14ac:dyDescent="0.25">
      <c r="A1409" s="10">
        <v>1032407386</v>
      </c>
      <c r="B1409" s="2">
        <v>46050.802008680555</v>
      </c>
      <c r="C1409" s="3" t="str">
        <f>IFERROR(VLOOKUP(A1409,'Base Prueba'!A:C,3,),"NO REGISTRA")</f>
        <v>GINA PAOLA BAEZ GALVIS</v>
      </c>
      <c r="D1409" s="4" t="str">
        <f>IFERROR(VLOOKUP(A1409,'Base Prueba'!A:D,4,),"NO REGISTRA")</f>
        <v>PROMOTOR CALL CENTER</v>
      </c>
      <c r="E1409" s="5" t="str">
        <f>IFERROR(VLOOKUP(A1409,'Base Prueba'!A:E,5,),"NO REGISTRA")</f>
        <v>OFICINA DE MERCADEO</v>
      </c>
    </row>
    <row r="1410" spans="1:5" ht="15.75" x14ac:dyDescent="0.25">
      <c r="A1410" s="10">
        <v>80234243</v>
      </c>
      <c r="B1410" s="2">
        <v>46050.810592708331</v>
      </c>
      <c r="C1410" s="3" t="str">
        <f>IFERROR(VLOOKUP(A1410,'Base Prueba'!A:C,3,),"NO REGISTRA")</f>
        <v>ARGENIS MARTINEZ MARTINEZ</v>
      </c>
      <c r="D1410" s="4" t="str">
        <f>IFERROR(VLOOKUP(A1410,'Base Prueba'!A:D,4,),"NO REGISTRA")</f>
        <v>LIDER CALL CENTER</v>
      </c>
      <c r="E1410" s="5" t="str">
        <f>IFERROR(VLOOKUP(A1410,'Base Prueba'!A:E,5,),"NO REGISTRA")</f>
        <v>OFICINA DE MERCADEO</v>
      </c>
    </row>
    <row r="1411" spans="1:5" ht="15.75" x14ac:dyDescent="0.25">
      <c r="A1411" s="10">
        <v>1013098645</v>
      </c>
      <c r="B1411" s="2">
        <v>46050.850817824074</v>
      </c>
      <c r="C1411" s="3" t="str">
        <f>IFERROR(VLOOKUP(A1411,'Base Prueba'!A:C,3,),"NO REGISTRA")</f>
        <v>CATHERINE LUCIA PENAGOS RIVERA</v>
      </c>
      <c r="D1411" s="4" t="str">
        <f>IFERROR(VLOOKUP(A1411,'Base Prueba'!A:D,4,),"NO REGISTRA")</f>
        <v>LIDER DE REGISTRO Y CONTROL ACADEMICO</v>
      </c>
      <c r="E1411" s="5" t="str">
        <f>IFERROR(VLOOKUP(A1411,'Base Prueba'!A:E,5,),"NO REGISTRA")</f>
        <v>REGISTRO Y CONTROL ACADEMICO</v>
      </c>
    </row>
    <row r="1412" spans="1:5" ht="15.75" x14ac:dyDescent="0.25">
      <c r="A1412" s="10">
        <v>1473024</v>
      </c>
      <c r="B1412" s="2">
        <v>46050.864403472224</v>
      </c>
      <c r="C1412" s="3" t="str">
        <f>IFERROR(VLOOKUP(A1412,'Base Prueba'!A:C,3,),"NO REGISTRA")</f>
        <v>GUILLERMO MUÑOZ PAJOY</v>
      </c>
      <c r="D1412" s="4" t="str">
        <f>IFERROR(VLOOKUP(A1412,'Base Prueba'!A:D,4,),"NO REGISTRA")</f>
        <v>AUXILIAR DE SERVICIOS  GENERALES</v>
      </c>
      <c r="E1412" s="5" t="str">
        <f>IFERROR(VLOOKUP(A1412,'Base Prueba'!A:E,5,),"NO REGISTRA")</f>
        <v>LOGISTICA Y SERVICIOS GENERALES</v>
      </c>
    </row>
    <row r="1413" spans="1:5" ht="15.75" x14ac:dyDescent="0.25">
      <c r="A1413" s="10">
        <v>1014308296</v>
      </c>
      <c r="B1413" s="2">
        <v>46051.313832175925</v>
      </c>
      <c r="C1413" s="3" t="str">
        <f>IFERROR(VLOOKUP(A1413,'Base Prueba'!A:C,3,),"NO REGISTRA")</f>
        <v>DARLENE YULIANA MORENO CELEITA</v>
      </c>
      <c r="D1413" s="4" t="str">
        <f>IFERROR(VLOOKUP(A1413,'Base Prueba'!A:D,4,),"NO REGISTRA")</f>
        <v>CAJERO PRINCIPAL</v>
      </c>
      <c r="E1413" s="5" t="str">
        <f>IFERROR(VLOOKUP(A1413,'Base Prueba'!A:E,5,),"NO REGISTRA")</f>
        <v>AREA FINANCIERA Y CONTABLE</v>
      </c>
    </row>
    <row r="1414" spans="1:5" ht="15.75" x14ac:dyDescent="0.25">
      <c r="A1414" s="10">
        <v>1087121273</v>
      </c>
      <c r="B1414" s="2">
        <v>46051.318155439818</v>
      </c>
      <c r="C1414" s="3" t="str">
        <f>IFERROR(VLOOKUP(A1414,'Base Prueba'!A:C,3,),"NO REGISTRA")</f>
        <v>MAYRA ALEJANDRA CASTILLO ARBOLEDA</v>
      </c>
      <c r="D1414" s="4" t="str">
        <f>IFERROR(VLOOKUP(A1414,'Base Prueba'!A:D,4,),"NO REGISTRA")</f>
        <v>APOYO INTEGRAL DE MERCADEO</v>
      </c>
      <c r="E1414" s="5" t="str">
        <f>IFERROR(VLOOKUP(A1414,'Base Prueba'!A:E,5,),"NO REGISTRA")</f>
        <v>CENTRO DE GESTION DOCUMENTAL</v>
      </c>
    </row>
    <row r="1415" spans="1:5" ht="15.75" x14ac:dyDescent="0.25">
      <c r="A1415" s="10">
        <v>1000257136</v>
      </c>
      <c r="B1415" s="2">
        <v>46051.320401736113</v>
      </c>
      <c r="C1415" s="3" t="str">
        <f>IFERROR(VLOOKUP(A1415,'Base Prueba'!A:C,3,),"NO REGISTRA")</f>
        <v>FRANCI VALENTINA CANO PUENTES</v>
      </c>
      <c r="D1415" s="4" t="str">
        <f>IFERROR(VLOOKUP(A1415,'Base Prueba'!A:D,4,),"NO REGISTRA")</f>
        <v>AUXILIAR CONTABLE</v>
      </c>
      <c r="E1415" s="5" t="str">
        <f>IFERROR(VLOOKUP(A1415,'Base Prueba'!A:E,5,),"NO REGISTRA")</f>
        <v>AREA FINANCIERA Y CONTABLE</v>
      </c>
    </row>
    <row r="1416" spans="1:5" ht="15.75" x14ac:dyDescent="0.25">
      <c r="A1416" s="10">
        <v>1013616244</v>
      </c>
      <c r="B1416" s="2">
        <v>46051.323661111113</v>
      </c>
      <c r="C1416" s="3" t="str">
        <f>IFERROR(VLOOKUP(A1416,'Base Prueba'!A:C,3,),"NO REGISTRA")</f>
        <v>DIANA CAROLINA MARIN BETANCOURT</v>
      </c>
      <c r="D1416" s="4" t="str">
        <f>IFERROR(VLOOKUP(A1416,'Base Prueba'!A:D,4,),"NO REGISTRA")</f>
        <v>AUXILIAR ADMINISTRATIVO</v>
      </c>
      <c r="E1416" s="5" t="str">
        <f>IFERROR(VLOOKUP(A1416,'Base Prueba'!A:E,5,),"NO REGISTRA")</f>
        <v>REGISTRO Y CONTROL ACADEMICO</v>
      </c>
    </row>
    <row r="1417" spans="1:5" ht="15.75" x14ac:dyDescent="0.25">
      <c r="A1417" s="10">
        <v>1000354041</v>
      </c>
      <c r="B1417" s="2">
        <v>46051.329866435182</v>
      </c>
      <c r="C1417" s="3" t="str">
        <f>IFERROR(VLOOKUP(A1417,'Base Prueba'!A:C,3,),"NO REGISTRA")</f>
        <v>ANGIE NATALIA BOHORQUEZ SANCHEZ</v>
      </c>
      <c r="D1417" s="4" t="str">
        <f>IFERROR(VLOOKUP(A1417,'Base Prueba'!A:D,4,),"NO REGISTRA")</f>
        <v>APRENDIZ UNIVERSITARIO</v>
      </c>
      <c r="E1417" s="5" t="str">
        <f>IFERROR(VLOOKUP(A1417,'Base Prueba'!A:E,5,),"NO REGISTRA")</f>
        <v>OFICINA DE PLANEACION Y GESTION DE LA CALIDAD</v>
      </c>
    </row>
    <row r="1418" spans="1:5" ht="15.75" x14ac:dyDescent="0.25">
      <c r="A1418" s="10">
        <v>53932358</v>
      </c>
      <c r="B1418" s="2">
        <v>46051.330327777781</v>
      </c>
      <c r="C1418" s="3" t="str">
        <f>IFERROR(VLOOKUP(A1418,'Base Prueba'!A:C,3,),"NO REGISTRA")</f>
        <v>DIANA MADELEYNE GAONA RODRIGUEZ</v>
      </c>
      <c r="D1418" s="4" t="str">
        <f>IFERROR(VLOOKUP(A1418,'Base Prueba'!A:D,4,),"NO REGISTRA")</f>
        <v>CONTADOR</v>
      </c>
      <c r="E1418" s="5" t="str">
        <f>IFERROR(VLOOKUP(A1418,'Base Prueba'!A:E,5,),"NO REGISTRA")</f>
        <v>AREA FINANCIERA Y CONTABLE</v>
      </c>
    </row>
    <row r="1419" spans="1:5" ht="15.75" x14ac:dyDescent="0.25">
      <c r="A1419" s="10">
        <v>1012357415</v>
      </c>
      <c r="B1419" s="2">
        <v>46051.333109375002</v>
      </c>
      <c r="C1419" s="3" t="str">
        <f>IFERROR(VLOOKUP(A1419,'Base Prueba'!A:C,3,),"NO REGISTRA")</f>
        <v>CINDY LORENA BOHORQUEZ LEYVA</v>
      </c>
      <c r="D1419" s="4" t="str">
        <f>IFERROR(VLOOKUP(A1419,'Base Prueba'!A:D,4,),"NO REGISTRA")</f>
        <v>ANALISTA DE TESORERIA</v>
      </c>
      <c r="E1419" s="5" t="str">
        <f>IFERROR(VLOOKUP(A1419,'Base Prueba'!A:E,5,),"NO REGISTRA")</f>
        <v>AREA FINANCIERA Y CONTABLE</v>
      </c>
    </row>
    <row r="1420" spans="1:5" ht="15.75" x14ac:dyDescent="0.25">
      <c r="A1420" s="10">
        <v>1031802160</v>
      </c>
      <c r="B1420" s="2">
        <v>46051.333565277775</v>
      </c>
      <c r="C1420" s="3" t="str">
        <f>IFERROR(VLOOKUP(A1420,'Base Prueba'!A:C,3,),"NO REGISTRA")</f>
        <v>LUISA MARIA MAHECHA SOTOMAYOR</v>
      </c>
      <c r="D1420" s="4" t="str">
        <f>IFERROR(VLOOKUP(A1420,'Base Prueba'!A:D,4,),"NO REGISTRA")</f>
        <v>APRENDIZ UNIVERSITARIO</v>
      </c>
      <c r="E1420" s="5" t="str">
        <f>IFERROR(VLOOKUP(A1420,'Base Prueba'!A:E,5,),"NO REGISTRA")</f>
        <v>OFICINA DE MERCADEO</v>
      </c>
    </row>
    <row r="1421" spans="1:5" ht="15.75" x14ac:dyDescent="0.25">
      <c r="A1421" s="10">
        <v>1014977624</v>
      </c>
      <c r="B1421" s="2">
        <v>46051.335396875002</v>
      </c>
      <c r="C1421" s="3" t="str">
        <f>IFERROR(VLOOKUP(A1421,'Base Prueba'!A:C,3,),"NO REGISTRA")</f>
        <v>NICCOLE VALENTINA HERNANDEZ MALAVER</v>
      </c>
      <c r="D1421" s="4" t="str">
        <f>IFERROR(VLOOKUP(A1421,'Base Prueba'!A:D,4,),"NO REGISTRA")</f>
        <v>APRENDIZ UNIVERSITARIO</v>
      </c>
      <c r="E1421" s="5" t="str">
        <f>IFERROR(VLOOKUP(A1421,'Base Prueba'!A:E,5,),"NO REGISTRA")</f>
        <v>AREA FINANCIERA Y CONTABLE</v>
      </c>
    </row>
    <row r="1422" spans="1:5" ht="15.75" x14ac:dyDescent="0.25">
      <c r="A1422" s="10">
        <v>1049644802</v>
      </c>
      <c r="B1422" s="2">
        <v>46051.337267476854</v>
      </c>
      <c r="C1422" s="3" t="str">
        <f>IFERROR(VLOOKUP(A1422,'Base Prueba'!A:C,3,),"NO REGISTRA")</f>
        <v>DANIELA ALEXANDRA CIPAMOCHA BOSIGA</v>
      </c>
      <c r="D1422" s="4" t="str">
        <f>IFERROR(VLOOKUP(A1422,'Base Prueba'!A:D,4,),"NO REGISTRA")</f>
        <v>LIDER DE DATOS Y SERVICIOS</v>
      </c>
      <c r="E1422" s="5" t="str">
        <f>IFERROR(VLOOKUP(A1422,'Base Prueba'!A:E,5,),"NO REGISTRA")</f>
        <v>OFICINA DE PLANEACION Y GESTION DE LA CALIDAD</v>
      </c>
    </row>
    <row r="1423" spans="1:5" ht="15.75" x14ac:dyDescent="0.25">
      <c r="A1423" s="10">
        <v>1193457976</v>
      </c>
      <c r="B1423" s="2">
        <v>46051.337309722221</v>
      </c>
      <c r="C1423" s="3" t="str">
        <f>IFERROR(VLOOKUP(A1423,'Base Prueba'!A:C,3,),"NO REGISTRA")</f>
        <v>SEDENIS RIVAS ASPRILLA</v>
      </c>
      <c r="D1423" s="4" t="str">
        <f>IFERROR(VLOOKUP(A1423,'Base Prueba'!A:D,4,),"NO REGISTRA")</f>
        <v>APRENDIZ UNIVERSITARIO</v>
      </c>
      <c r="E1423" s="5" t="str">
        <f>IFERROR(VLOOKUP(A1423,'Base Prueba'!A:E,5,),"NO REGISTRA")</f>
        <v>DEPARTAMENTO DE GESTION HUMANA</v>
      </c>
    </row>
    <row r="1424" spans="1:5" ht="15.75" x14ac:dyDescent="0.25">
      <c r="A1424" s="10">
        <v>1003690253</v>
      </c>
      <c r="B1424" s="2">
        <v>46051.34001550926</v>
      </c>
      <c r="C1424" s="3" t="str">
        <f>IFERROR(VLOOKUP(A1424,'Base Prueba'!A:C,3,),"NO REGISTRA")</f>
        <v>MELISSA GONZALEZ PEDRAZA</v>
      </c>
      <c r="D1424" s="4" t="str">
        <f>IFERROR(VLOOKUP(A1424,'Base Prueba'!A:D,4,),"NO REGISTRA")</f>
        <v>LIDER DE JOVENES A LA E</v>
      </c>
      <c r="E1424" s="5" t="str">
        <f>IFERROR(VLOOKUP(A1424,'Base Prueba'!A:E,5,),"NO REGISTRA")</f>
        <v>DIRECCION DE BIENESTAR INSTITUCIONAL</v>
      </c>
    </row>
    <row r="1425" spans="1:5" ht="15.75" x14ac:dyDescent="0.25">
      <c r="A1425" s="10">
        <v>1000604979</v>
      </c>
      <c r="B1425" s="2">
        <v>46051.340615856483</v>
      </c>
      <c r="C1425" s="3" t="str">
        <f>IFERROR(VLOOKUP(A1425,'Base Prueba'!A:C,3,),"NO REGISTRA")</f>
        <v>JULIETH TATIANA PARDO PINTO</v>
      </c>
      <c r="D1425" s="4" t="str">
        <f>IFERROR(VLOOKUP(A1425,'Base Prueba'!A:D,4,),"NO REGISTRA")</f>
        <v>AUXILIAR JURIDICO</v>
      </c>
      <c r="E1425" s="5" t="str">
        <f>IFERROR(VLOOKUP(A1425,'Base Prueba'!A:E,5,),"NO REGISTRA")</f>
        <v>SECRETARIA GENERAL</v>
      </c>
    </row>
    <row r="1426" spans="1:5" ht="15.75" x14ac:dyDescent="0.25">
      <c r="A1426" s="10">
        <v>1023883232</v>
      </c>
      <c r="B1426" s="2">
        <v>46051.346409027778</v>
      </c>
      <c r="C1426" s="3" t="str">
        <f>IFERROR(VLOOKUP(A1426,'Base Prueba'!A:C,3,),"NO REGISTRA")</f>
        <v>MONICA ANDREA ACERO URBANO</v>
      </c>
      <c r="D1426" s="4" t="str">
        <f>IFERROR(VLOOKUP(A1426,'Base Prueba'!A:D,4,),"NO REGISTRA")</f>
        <v>APOYO INTEGRAL A GESTION HUMANA</v>
      </c>
      <c r="E1426" s="5" t="str">
        <f>IFERROR(VLOOKUP(A1426,'Base Prueba'!A:E,5,),"NO REGISTRA")</f>
        <v>DEPARTAMENTO DE GESTION HUMANA</v>
      </c>
    </row>
    <row r="1427" spans="1:5" ht="15.75" x14ac:dyDescent="0.25">
      <c r="A1427" s="10">
        <v>1000687931</v>
      </c>
      <c r="B1427" s="2">
        <v>46051.347606249998</v>
      </c>
      <c r="C1427" s="3" t="str">
        <f>IFERROR(VLOOKUP(A1427,'Base Prueba'!A:C,3,),"NO REGISTRA")</f>
        <v>ANDRES FELIPE PUENTES TORRES</v>
      </c>
      <c r="D1427" s="4" t="str">
        <f>IFERROR(VLOOKUP(A1427,'Base Prueba'!A:D,4,),"NO REGISTRA")</f>
        <v>AUXILIAR ADMINISTRATIVO</v>
      </c>
      <c r="E1427" s="5" t="str">
        <f>IFERROR(VLOOKUP(A1427,'Base Prueba'!A:E,5,),"NO REGISTRA")</f>
        <v>REGISTRO Y CONTROL ACADEMICO</v>
      </c>
    </row>
    <row r="1428" spans="1:5" ht="15.75" x14ac:dyDescent="0.25">
      <c r="A1428" s="10">
        <v>1000593372</v>
      </c>
      <c r="B1428" s="2">
        <v>46051.34968402778</v>
      </c>
      <c r="C1428" s="3" t="str">
        <f>IFERROR(VLOOKUP(A1428,'Base Prueba'!A:C,3,),"NO REGISTRA")</f>
        <v>LAURA SOFIA CHAPARRO LOPEZ</v>
      </c>
      <c r="D1428" s="4" t="str">
        <f>IFERROR(VLOOKUP(A1428,'Base Prueba'!A:D,4,),"NO REGISTRA")</f>
        <v>AUXILIAR JURIDICO</v>
      </c>
      <c r="E1428" s="5" t="str">
        <f>IFERROR(VLOOKUP(A1428,'Base Prueba'!A:E,5,),"NO REGISTRA")</f>
        <v>SECRETARIA GENERAL</v>
      </c>
    </row>
    <row r="1429" spans="1:5" ht="15.75" x14ac:dyDescent="0.25">
      <c r="A1429" s="10">
        <v>1000457706</v>
      </c>
      <c r="B1429" s="2">
        <v>46051.350822453707</v>
      </c>
      <c r="C1429" s="3" t="str">
        <f>IFERROR(VLOOKUP(A1429,'Base Prueba'!A:C,3,),"NO REGISTRA")</f>
        <v>CRISTIAN DANILO ARROYO SANABRIA</v>
      </c>
      <c r="D1429" s="4" t="str">
        <f>IFERROR(VLOOKUP(A1429,'Base Prueba'!A:D,4,),"NO REGISTRA")</f>
        <v>AUXILIAR CONTABLE</v>
      </c>
      <c r="E1429" s="5" t="str">
        <f>IFERROR(VLOOKUP(A1429,'Base Prueba'!A:E,5,),"NO REGISTRA")</f>
        <v>AREA FINANCIERA Y CONTABLE</v>
      </c>
    </row>
    <row r="1430" spans="1:5" ht="15.75" x14ac:dyDescent="0.25">
      <c r="A1430" s="10">
        <v>52474489</v>
      </c>
      <c r="B1430" s="2">
        <v>46051.35564710648</v>
      </c>
      <c r="C1430" s="3" t="str">
        <f>IFERROR(VLOOKUP(A1430,'Base Prueba'!A:C,3,),"NO REGISTRA")</f>
        <v>ADRIANA JIMENA SOTO BOCANEGRA</v>
      </c>
      <c r="D1430" s="4" t="str">
        <f>IFERROR(VLOOKUP(A1430,'Base Prueba'!A:D,4,),"NO REGISTRA")</f>
        <v>COORDINADOR DE LA OFICINA DE REGISTRO Y CONTROL</v>
      </c>
      <c r="E1430" s="5" t="str">
        <f>IFERROR(VLOOKUP(A1430,'Base Prueba'!A:E,5,),"NO REGISTRA")</f>
        <v>REGISTRO Y CONTROL ACADEMICO</v>
      </c>
    </row>
    <row r="1431" spans="1:5" ht="15.75" x14ac:dyDescent="0.25">
      <c r="A1431" s="10">
        <v>1012426741</v>
      </c>
      <c r="B1431" s="2">
        <v>46051.357340046299</v>
      </c>
      <c r="C1431" s="3" t="str">
        <f>IFERROR(VLOOKUP(A1431,'Base Prueba'!A:C,3,),"NO REGISTRA")</f>
        <v>CRISTIAN FABIAN ROJAS SANCENO</v>
      </c>
      <c r="D1431" s="4" t="str">
        <f>IFERROR(VLOOKUP(A1431,'Base Prueba'!A:D,4,),"NO REGISTRA")</f>
        <v>AUXILIAR DE REINTEGROS</v>
      </c>
      <c r="E1431" s="5" t="str">
        <f>IFERROR(VLOOKUP(A1431,'Base Prueba'!A:E,5,),"NO REGISTRA")</f>
        <v>DIRECCION DE BIENESTAR INSTITUCIONAL</v>
      </c>
    </row>
    <row r="1432" spans="1:5" ht="15.75" x14ac:dyDescent="0.25">
      <c r="A1432" s="10">
        <v>80234243</v>
      </c>
      <c r="B1432" s="2">
        <v>46051.358856250001</v>
      </c>
      <c r="C1432" s="3" t="str">
        <f>IFERROR(VLOOKUP(A1432,'Base Prueba'!A:C,3,),"NO REGISTRA")</f>
        <v>ARGENIS MARTINEZ MARTINEZ</v>
      </c>
      <c r="D1432" s="4" t="str">
        <f>IFERROR(VLOOKUP(A1432,'Base Prueba'!A:D,4,),"NO REGISTRA")</f>
        <v>LIDER CALL CENTER</v>
      </c>
      <c r="E1432" s="5" t="str">
        <f>IFERROR(VLOOKUP(A1432,'Base Prueba'!A:E,5,),"NO REGISTRA")</f>
        <v>OFICINA DE MERCADEO</v>
      </c>
    </row>
    <row r="1433" spans="1:5" ht="15.75" x14ac:dyDescent="0.25">
      <c r="A1433" s="10">
        <v>1032407386</v>
      </c>
      <c r="B1433" s="2">
        <v>46051.367125578705</v>
      </c>
      <c r="C1433" s="3" t="str">
        <f>IFERROR(VLOOKUP(A1433,'Base Prueba'!A:C,3,),"NO REGISTRA")</f>
        <v>GINA PAOLA BAEZ GALVIS</v>
      </c>
      <c r="D1433" s="4" t="str">
        <f>IFERROR(VLOOKUP(A1433,'Base Prueba'!A:D,4,),"NO REGISTRA")</f>
        <v>PROMOTOR CALL CENTER</v>
      </c>
      <c r="E1433" s="5" t="str">
        <f>IFERROR(VLOOKUP(A1433,'Base Prueba'!A:E,5,),"NO REGISTRA")</f>
        <v>OFICINA DE MERCADEO</v>
      </c>
    </row>
    <row r="1434" spans="1:5" ht="15.75" x14ac:dyDescent="0.25">
      <c r="A1434" s="10">
        <v>1033709056</v>
      </c>
      <c r="B1434" s="2">
        <v>46051.370524305552</v>
      </c>
      <c r="C1434" s="3" t="str">
        <f>IFERROR(VLOOKUP(A1434,'Base Prueba'!A:C,3,),"NO REGISTRA")</f>
        <v>YEIMY ALEXANDRA RODRIGUEZ PALACIO</v>
      </c>
      <c r="D1434" s="4" t="str">
        <f>IFERROR(VLOOKUP(A1434,'Base Prueba'!A:D,4,),"NO REGISTRA")</f>
        <v>PROMOTOR CALL CENTER</v>
      </c>
      <c r="E1434" s="5" t="str">
        <f>IFERROR(VLOOKUP(A1434,'Base Prueba'!A:E,5,),"NO REGISTRA")</f>
        <v>OFICINA DE MERCADEO</v>
      </c>
    </row>
    <row r="1435" spans="1:5" ht="15.75" x14ac:dyDescent="0.25">
      <c r="A1435" s="10">
        <v>1018414290</v>
      </c>
      <c r="B1435" s="2">
        <v>46051.371926504631</v>
      </c>
      <c r="C1435" s="3" t="str">
        <f>IFERROR(VLOOKUP(A1435,'Base Prueba'!A:C,3,),"NO REGISTRA")</f>
        <v>AMANDA LISBETH RODRIGUEZ LEON</v>
      </c>
      <c r="D1435" s="4" t="str">
        <f>IFERROR(VLOOKUP(A1435,'Base Prueba'!A:D,4,),"NO REGISTRA")</f>
        <v>PROMOTOR CALL CENTER</v>
      </c>
      <c r="E1435" s="5" t="str">
        <f>IFERROR(VLOOKUP(A1435,'Base Prueba'!A:E,5,),"NO REGISTRA")</f>
        <v>OFICINA DE MERCADEO</v>
      </c>
    </row>
    <row r="1436" spans="1:5" ht="15.75" x14ac:dyDescent="0.25">
      <c r="A1436" s="10">
        <v>28798349</v>
      </c>
      <c r="B1436" s="2">
        <v>46051.375048726855</v>
      </c>
      <c r="C1436" s="3" t="str">
        <f>IFERROR(VLOOKUP(A1436,'Base Prueba'!A:C,3,),"NO REGISTRA")</f>
        <v>MARTHA ISABEL TOVAR WILLIAMS</v>
      </c>
      <c r="D1436" s="4" t="str">
        <f>IFERROR(VLOOKUP(A1436,'Base Prueba'!A:D,4,),"NO REGISTRA")</f>
        <v>PROMOTOR CALL CENTER</v>
      </c>
      <c r="E1436" s="5" t="str">
        <f>IFERROR(VLOOKUP(A1436,'Base Prueba'!A:E,5,),"NO REGISTRA")</f>
        <v>OFICINA DE MERCADEO</v>
      </c>
    </row>
    <row r="1437" spans="1:5" ht="15.75" x14ac:dyDescent="0.25">
      <c r="A1437" s="10">
        <v>1019105003</v>
      </c>
      <c r="B1437" s="2">
        <v>46051.375134837966</v>
      </c>
      <c r="C1437" s="3" t="str">
        <f>IFERROR(VLOOKUP(A1437,'Base Prueba'!A:C,3,),"NO REGISTRA")</f>
        <v>DAISY JULIETH GASPAR MORENO</v>
      </c>
      <c r="D1437" s="4" t="str">
        <f>IFERROR(VLOOKUP(A1437,'Base Prueba'!A:D,4,),"NO REGISTRA")</f>
        <v>PROMOTOR CALL CENTER</v>
      </c>
      <c r="E1437" s="5" t="str">
        <f>IFERROR(VLOOKUP(A1437,'Base Prueba'!A:E,5,),"NO REGISTRA")</f>
        <v>OFICINA DE MERCADEO</v>
      </c>
    </row>
    <row r="1438" spans="1:5" ht="15.75" x14ac:dyDescent="0.25">
      <c r="A1438" s="10">
        <v>53089882</v>
      </c>
      <c r="B1438" s="2">
        <v>46051.375562731482</v>
      </c>
      <c r="C1438" s="3" t="str">
        <f>IFERROR(VLOOKUP(A1438,'Base Prueba'!A:C,3,),"NO REGISTRA")</f>
        <v>MARIA JOHANA ESCAMILLA MARTINEZ</v>
      </c>
      <c r="D1438" s="4" t="str">
        <f>IFERROR(VLOOKUP(A1438,'Base Prueba'!A:D,4,),"NO REGISTRA")</f>
        <v>PROMOTOR DE INFORMACIÓN</v>
      </c>
      <c r="E1438" s="5" t="str">
        <f>IFERROR(VLOOKUP(A1438,'Base Prueba'!A:E,5,),"NO REGISTRA")</f>
        <v>OFICINA DE MERCADEO</v>
      </c>
    </row>
    <row r="1439" spans="1:5" ht="15.75" x14ac:dyDescent="0.25">
      <c r="A1439" s="10">
        <v>6</v>
      </c>
      <c r="B1439" s="2">
        <v>46051.377527777775</v>
      </c>
      <c r="C1439" s="3" t="str">
        <f>IFERROR(VLOOKUP(A1439,'Base Prueba'!A:C,3,),"NO REGISTRA")</f>
        <v>NO REGISTRA</v>
      </c>
      <c r="D1439" s="4" t="str">
        <f>IFERROR(VLOOKUP(A1439,'Base Prueba'!A:D,4,),"NO REGISTRA")</f>
        <v>NO REGISTRA</v>
      </c>
      <c r="E1439" s="5" t="str">
        <f>IFERROR(VLOOKUP(A1439,'Base Prueba'!A:E,5,),"NO REGISTRA")</f>
        <v>NO REGISTRA</v>
      </c>
    </row>
    <row r="1440" spans="1:5" ht="15.75" x14ac:dyDescent="0.25">
      <c r="A1440" s="10">
        <v>1018413529</v>
      </c>
      <c r="B1440" s="2">
        <v>46051.377534837964</v>
      </c>
      <c r="C1440" s="3" t="str">
        <f>IFERROR(VLOOKUP(A1440,'Base Prueba'!A:C,3,),"NO REGISTRA")</f>
        <v>FRANCY STELLA CHARRY MORENO</v>
      </c>
      <c r="D1440" s="4" t="str">
        <f>IFERROR(VLOOKUP(A1440,'Base Prueba'!A:D,4,),"NO REGISTRA")</f>
        <v>PROMOTOR COMERCIAL DEL CEA</v>
      </c>
      <c r="E1440" s="5" t="str">
        <f>IFERROR(VLOOKUP(A1440,'Base Prueba'!A:E,5,),"NO REGISTRA")</f>
        <v>OFICINA DE MERCADEO</v>
      </c>
    </row>
    <row r="1441" spans="1:5" ht="15.75" x14ac:dyDescent="0.25">
      <c r="A1441" s="10">
        <v>1016090131</v>
      </c>
      <c r="B1441" s="2">
        <v>46051.379061342595</v>
      </c>
      <c r="C1441" s="3" t="str">
        <f>IFERROR(VLOOKUP(A1441,'Base Prueba'!A:C,3,),"NO REGISTRA")</f>
        <v>NICOLAS RODRIGUEZ PACHECO</v>
      </c>
      <c r="D1441" s="4" t="str">
        <f>IFERROR(VLOOKUP(A1441,'Base Prueba'!A:D,4,),"NO REGISTRA")</f>
        <v>COORDINADOR DE COMUNICACIONES</v>
      </c>
      <c r="E1441" s="5" t="str">
        <f>IFERROR(VLOOKUP(A1441,'Base Prueba'!A:E,5,),"NO REGISTRA")</f>
        <v>OFICINA DE MERCADEO</v>
      </c>
    </row>
    <row r="1442" spans="1:5" ht="15.75" x14ac:dyDescent="0.25">
      <c r="A1442" s="10">
        <v>1193265768</v>
      </c>
      <c r="B1442" s="2">
        <v>46051.382481250002</v>
      </c>
      <c r="C1442" s="3" t="str">
        <f>IFERROR(VLOOKUP(A1442,'Base Prueba'!A:C,3,),"NO REGISTRA")</f>
        <v>SANTIAGO OSORIO CAMACHO</v>
      </c>
      <c r="D1442" s="4" t="str">
        <f>IFERROR(VLOOKUP(A1442,'Base Prueba'!A:D,4,),"NO REGISTRA")</f>
        <v>ANALISTA DE PAUTA</v>
      </c>
      <c r="E1442" s="5" t="str">
        <f>IFERROR(VLOOKUP(A1442,'Base Prueba'!A:E,5,),"NO REGISTRA")</f>
        <v>OFICINA DE MERCADEO</v>
      </c>
    </row>
    <row r="1443" spans="1:5" ht="15.75" x14ac:dyDescent="0.25">
      <c r="A1443" s="10">
        <v>1014196857</v>
      </c>
      <c r="B1443" s="2">
        <v>46051.38597048611</v>
      </c>
      <c r="C1443" s="3" t="str">
        <f>IFERROR(VLOOKUP(A1443,'Base Prueba'!A:C,3,),"NO REGISTRA")</f>
        <v>CARLOS ANDRES JIMENEZ PARDO</v>
      </c>
      <c r="D1443" s="4" t="str">
        <f>IFERROR(VLOOKUP(A1443,'Base Prueba'!A:D,4,),"NO REGISTRA")</f>
        <v>COORDINADOR DE MARKETING DIGITAL</v>
      </c>
      <c r="E1443" s="5" t="str">
        <f>IFERROR(VLOOKUP(A1443,'Base Prueba'!A:E,5,),"NO REGISTRA")</f>
        <v>OFICINA DE MERCADEO</v>
      </c>
    </row>
    <row r="1444" spans="1:5" ht="15.75" x14ac:dyDescent="0.25">
      <c r="A1444" s="10">
        <v>52443092</v>
      </c>
      <c r="B1444" s="2">
        <v>46051.581724421296</v>
      </c>
      <c r="C1444" s="3" t="str">
        <f>IFERROR(VLOOKUP(A1444,'Base Prueba'!A:C,3,),"NO REGISTRA")</f>
        <v>LUZ MYRIAM SAAVEDRA CONTRERAS</v>
      </c>
      <c r="D1444" s="4" t="str">
        <f>IFERROR(VLOOKUP(A1444,'Base Prueba'!A:D,4,),"NO REGISTRA")</f>
        <v>AUXILIAR DE SERVICIOS</v>
      </c>
      <c r="E1444" s="5" t="str">
        <f>IFERROR(VLOOKUP(A1444,'Base Prueba'!A:E,5,),"NO REGISTRA")</f>
        <v>LOGISTICA Y SERVICIOS GENERALES</v>
      </c>
    </row>
    <row r="1445" spans="1:5" ht="15.75" x14ac:dyDescent="0.25">
      <c r="A1445" s="10">
        <v>1031802160</v>
      </c>
      <c r="B1445" s="2">
        <v>46051.704250000003</v>
      </c>
      <c r="C1445" s="3" t="str">
        <f>IFERROR(VLOOKUP(A1445,'Base Prueba'!A:C,3,),"NO REGISTRA")</f>
        <v>LUISA MARIA MAHECHA SOTOMAYOR</v>
      </c>
      <c r="D1445" s="4" t="str">
        <f>IFERROR(VLOOKUP(A1445,'Base Prueba'!A:D,4,),"NO REGISTRA")</f>
        <v>APRENDIZ UNIVERSITARIO</v>
      </c>
      <c r="E1445" s="5" t="str">
        <f>IFERROR(VLOOKUP(A1445,'Base Prueba'!A:E,5,),"NO REGISTRA")</f>
        <v>OFICINA DE MERCADEO</v>
      </c>
    </row>
    <row r="1446" spans="1:5" ht="15.75" x14ac:dyDescent="0.25">
      <c r="A1446" s="10">
        <v>1000354041</v>
      </c>
      <c r="B1446" s="2">
        <v>46051.748341435188</v>
      </c>
      <c r="C1446" s="3" t="str">
        <f>IFERROR(VLOOKUP(A1446,'Base Prueba'!A:C,3,),"NO REGISTRA")</f>
        <v>ANGIE NATALIA BOHORQUEZ SANCHEZ</v>
      </c>
      <c r="D1446" s="4" t="str">
        <f>IFERROR(VLOOKUP(A1446,'Base Prueba'!A:D,4,),"NO REGISTRA")</f>
        <v>APRENDIZ UNIVERSITARIO</v>
      </c>
      <c r="E1446" s="5" t="str">
        <f>IFERROR(VLOOKUP(A1446,'Base Prueba'!A:E,5,),"NO REGISTRA")</f>
        <v>OFICINA DE PLANEACION Y GESTION DE LA CALIDAD</v>
      </c>
    </row>
    <row r="1447" spans="1:5" ht="15.75" x14ac:dyDescent="0.25">
      <c r="A1447" s="10">
        <v>1049644802</v>
      </c>
      <c r="B1447" s="2">
        <v>46051.753966666663</v>
      </c>
      <c r="C1447" s="3" t="str">
        <f>IFERROR(VLOOKUP(A1447,'Base Prueba'!A:C,3,),"NO REGISTRA")</f>
        <v>DANIELA ALEXANDRA CIPAMOCHA BOSIGA</v>
      </c>
      <c r="D1447" s="4" t="str">
        <f>IFERROR(VLOOKUP(A1447,'Base Prueba'!A:D,4,),"NO REGISTRA")</f>
        <v>LIDER DE DATOS Y SERVICIOS</v>
      </c>
      <c r="E1447" s="5" t="str">
        <f>IFERROR(VLOOKUP(A1447,'Base Prueba'!A:E,5,),"NO REGISTRA")</f>
        <v>OFICINA DE PLANEACION Y GESTION DE LA CALIDAD</v>
      </c>
    </row>
    <row r="1448" spans="1:5" ht="15.75" x14ac:dyDescent="0.25">
      <c r="A1448" s="10">
        <v>1000365751</v>
      </c>
      <c r="B1448" s="2">
        <v>46051.754599074076</v>
      </c>
      <c r="C1448" s="3" t="str">
        <f>IFERROR(VLOOKUP(A1448,'Base Prueba'!A:C,3,),"NO REGISTRA")</f>
        <v>JHOAN NICOLAS ESCAMILLA MANJARRES</v>
      </c>
      <c r="D1448" s="4" t="str">
        <f>IFERROR(VLOOKUP(A1448,'Base Prueba'!A:D,4,),"NO REGISTRA")</f>
        <v>APRENDIZ UNIVERSITARIO</v>
      </c>
      <c r="E1448" s="5" t="str">
        <f>IFERROR(VLOOKUP(A1448,'Base Prueba'!A:E,5,),"NO REGISTRA")</f>
        <v>OFICINA DE MERCADEO</v>
      </c>
    </row>
    <row r="1449" spans="1:5" ht="15.75" x14ac:dyDescent="0.25">
      <c r="A1449" s="10">
        <v>1014196857</v>
      </c>
      <c r="B1449" s="2">
        <v>46051.754696759257</v>
      </c>
      <c r="C1449" s="3" t="str">
        <f>IFERROR(VLOOKUP(A1449,'Base Prueba'!A:C,3,),"NO REGISTRA")</f>
        <v>CARLOS ANDRES JIMENEZ PARDO</v>
      </c>
      <c r="D1449" s="4" t="str">
        <f>IFERROR(VLOOKUP(A1449,'Base Prueba'!A:D,4,),"NO REGISTRA")</f>
        <v>COORDINADOR DE MARKETING DIGITAL</v>
      </c>
      <c r="E1449" s="5" t="str">
        <f>IFERROR(VLOOKUP(A1449,'Base Prueba'!A:E,5,),"NO REGISTRA")</f>
        <v>OFICINA DE MERCADEO</v>
      </c>
    </row>
    <row r="1450" spans="1:5" ht="15.75" x14ac:dyDescent="0.25">
      <c r="A1450" s="10">
        <v>1016090131</v>
      </c>
      <c r="B1450" s="2">
        <v>46051.754818981484</v>
      </c>
      <c r="C1450" s="3" t="str">
        <f>IFERROR(VLOOKUP(A1450,'Base Prueba'!A:C,3,),"NO REGISTRA")</f>
        <v>NICOLAS RODRIGUEZ PACHECO</v>
      </c>
      <c r="D1450" s="4" t="str">
        <f>IFERROR(VLOOKUP(A1450,'Base Prueba'!A:D,4,),"NO REGISTRA")</f>
        <v>COORDINADOR DE COMUNICACIONES</v>
      </c>
      <c r="E1450" s="5" t="str">
        <f>IFERROR(VLOOKUP(A1450,'Base Prueba'!A:E,5,),"NO REGISTRA")</f>
        <v>OFICINA DE MERCADEO</v>
      </c>
    </row>
    <row r="1451" spans="1:5" ht="15.75" x14ac:dyDescent="0.25">
      <c r="A1451" s="10">
        <v>1193457976</v>
      </c>
      <c r="B1451" s="2">
        <v>46051.755383217591</v>
      </c>
      <c r="C1451" s="3" t="str">
        <f>IFERROR(VLOOKUP(A1451,'Base Prueba'!A:C,3,),"NO REGISTRA")</f>
        <v>SEDENIS RIVAS ASPRILLA</v>
      </c>
      <c r="D1451" s="4" t="str">
        <f>IFERROR(VLOOKUP(A1451,'Base Prueba'!A:D,4,),"NO REGISTRA")</f>
        <v>APRENDIZ UNIVERSITARIO</v>
      </c>
      <c r="E1451" s="5" t="str">
        <f>IFERROR(VLOOKUP(A1451,'Base Prueba'!A:E,5,),"NO REGISTRA")</f>
        <v>DEPARTAMENTO DE GESTION HUMANA</v>
      </c>
    </row>
    <row r="1452" spans="1:5" ht="15.75" x14ac:dyDescent="0.25">
      <c r="A1452" s="10">
        <v>1033709056</v>
      </c>
      <c r="B1452" s="2">
        <v>46051.756419675927</v>
      </c>
      <c r="C1452" s="3" t="str">
        <f>IFERROR(VLOOKUP(A1452,'Base Prueba'!A:C,3,),"NO REGISTRA")</f>
        <v>YEIMY ALEXANDRA RODRIGUEZ PALACIO</v>
      </c>
      <c r="D1452" s="4" t="str">
        <f>IFERROR(VLOOKUP(A1452,'Base Prueba'!A:D,4,),"NO REGISTRA")</f>
        <v>PROMOTOR CALL CENTER</v>
      </c>
      <c r="E1452" s="5" t="str">
        <f>IFERROR(VLOOKUP(A1452,'Base Prueba'!A:E,5,),"NO REGISTRA")</f>
        <v>OFICINA DE MERCADEO</v>
      </c>
    </row>
    <row r="1453" spans="1:5" ht="15.75" x14ac:dyDescent="0.25">
      <c r="A1453" s="10">
        <v>1000687931</v>
      </c>
      <c r="B1453" s="2">
        <v>46051.756798032409</v>
      </c>
      <c r="C1453" s="3" t="str">
        <f>IFERROR(VLOOKUP(A1453,'Base Prueba'!A:C,3,),"NO REGISTRA")</f>
        <v>ANDRES FELIPE PUENTES TORRES</v>
      </c>
      <c r="D1453" s="4" t="str">
        <f>IFERROR(VLOOKUP(A1453,'Base Prueba'!A:D,4,),"NO REGISTRA")</f>
        <v>AUXILIAR ADMINISTRATIVO</v>
      </c>
      <c r="E1453" s="5" t="str">
        <f>IFERROR(VLOOKUP(A1453,'Base Prueba'!A:E,5,),"NO REGISTRA")</f>
        <v>REGISTRO Y CONTROL ACADEMICO</v>
      </c>
    </row>
    <row r="1454" spans="1:5" ht="15.75" x14ac:dyDescent="0.25">
      <c r="A1454" s="10">
        <v>1087121273</v>
      </c>
      <c r="B1454" s="2">
        <v>46051.75795983796</v>
      </c>
      <c r="C1454" s="3" t="str">
        <f>IFERROR(VLOOKUP(A1454,'Base Prueba'!A:C,3,),"NO REGISTRA")</f>
        <v>MAYRA ALEJANDRA CASTILLO ARBOLEDA</v>
      </c>
      <c r="D1454" s="4" t="str">
        <f>IFERROR(VLOOKUP(A1454,'Base Prueba'!A:D,4,),"NO REGISTRA")</f>
        <v>APOYO INTEGRAL DE MERCADEO</v>
      </c>
      <c r="E1454" s="5" t="str">
        <f>IFERROR(VLOOKUP(A1454,'Base Prueba'!A:E,5,),"NO REGISTRA")</f>
        <v>CENTRO DE GESTION DOCUMENTAL</v>
      </c>
    </row>
    <row r="1455" spans="1:5" ht="15.75" x14ac:dyDescent="0.25">
      <c r="A1455" s="10">
        <v>1023883232</v>
      </c>
      <c r="B1455" s="2">
        <v>46051.758028935183</v>
      </c>
      <c r="C1455" s="3" t="str">
        <f>IFERROR(VLOOKUP(A1455,'Base Prueba'!A:C,3,),"NO REGISTRA")</f>
        <v>MONICA ANDREA ACERO URBANO</v>
      </c>
      <c r="D1455" s="4" t="str">
        <f>IFERROR(VLOOKUP(A1455,'Base Prueba'!A:D,4,),"NO REGISTRA")</f>
        <v>APOYO INTEGRAL A GESTION HUMANA</v>
      </c>
      <c r="E1455" s="5" t="str">
        <f>IFERROR(VLOOKUP(A1455,'Base Prueba'!A:E,5,),"NO REGISTRA")</f>
        <v>DEPARTAMENTO DE GESTION HUMANA</v>
      </c>
    </row>
    <row r="1456" spans="1:5" ht="15.75" x14ac:dyDescent="0.25">
      <c r="A1456" s="10">
        <v>1193265768</v>
      </c>
      <c r="B1456" s="2">
        <v>46051.758077199076</v>
      </c>
      <c r="C1456" s="3" t="str">
        <f>IFERROR(VLOOKUP(A1456,'Base Prueba'!A:C,3,),"NO REGISTRA")</f>
        <v>SANTIAGO OSORIO CAMACHO</v>
      </c>
      <c r="D1456" s="4" t="str">
        <f>IFERROR(VLOOKUP(A1456,'Base Prueba'!A:D,4,),"NO REGISTRA")</f>
        <v>ANALISTA DE PAUTA</v>
      </c>
      <c r="E1456" s="5" t="str">
        <f>IFERROR(VLOOKUP(A1456,'Base Prueba'!A:E,5,),"NO REGISTRA")</f>
        <v>OFICINA DE MERCADEO</v>
      </c>
    </row>
    <row r="1457" spans="1:5" ht="15.75" x14ac:dyDescent="0.25">
      <c r="A1457" s="10">
        <v>1014977624</v>
      </c>
      <c r="B1457" s="2">
        <v>46051.758285763892</v>
      </c>
      <c r="C1457" s="3" t="str">
        <f>IFERROR(VLOOKUP(A1457,'Base Prueba'!A:C,3,),"NO REGISTRA")</f>
        <v>NICCOLE VALENTINA HERNANDEZ MALAVER</v>
      </c>
      <c r="D1457" s="4" t="str">
        <f>IFERROR(VLOOKUP(A1457,'Base Prueba'!A:D,4,),"NO REGISTRA")</f>
        <v>APRENDIZ UNIVERSITARIO</v>
      </c>
      <c r="E1457" s="5" t="str">
        <f>IFERROR(VLOOKUP(A1457,'Base Prueba'!A:E,5,),"NO REGISTRA")</f>
        <v>AREA FINANCIERA Y CONTABLE</v>
      </c>
    </row>
    <row r="1458" spans="1:5" ht="15.75" x14ac:dyDescent="0.25">
      <c r="A1458" s="10">
        <v>1014266838</v>
      </c>
      <c r="B1458" s="2">
        <v>46051.761012499999</v>
      </c>
      <c r="C1458" s="3" t="str">
        <f>IFERROR(VLOOKUP(A1458,'Base Prueba'!A:C,3,),"NO REGISTRA")</f>
        <v>JENNIFER ASTRID ROMERO HURTADO</v>
      </c>
      <c r="D1458" s="4" t="str">
        <f>IFERROR(VLOOKUP(A1458,'Base Prueba'!A:D,4,),"NO REGISTRA")</f>
        <v>LIDER DE RECAUDO</v>
      </c>
      <c r="E1458" s="5" t="str">
        <f>IFERROR(VLOOKUP(A1458,'Base Prueba'!A:E,5,),"NO REGISTRA")</f>
        <v>AREA FINANCIERA Y CONTABLE</v>
      </c>
    </row>
    <row r="1459" spans="1:5" ht="15.75" x14ac:dyDescent="0.25">
      <c r="A1459" s="10">
        <v>1018414290</v>
      </c>
      <c r="B1459" s="2">
        <v>46051.76157696759</v>
      </c>
      <c r="C1459" s="3" t="str">
        <f>IFERROR(VLOOKUP(A1459,'Base Prueba'!A:C,3,),"NO REGISTRA")</f>
        <v>AMANDA LISBETH RODRIGUEZ LEON</v>
      </c>
      <c r="D1459" s="4" t="str">
        <f>IFERROR(VLOOKUP(A1459,'Base Prueba'!A:D,4,),"NO REGISTRA")</f>
        <v>PROMOTOR CALL CENTER</v>
      </c>
      <c r="E1459" s="5" t="str">
        <f>IFERROR(VLOOKUP(A1459,'Base Prueba'!A:E,5,),"NO REGISTRA")</f>
        <v>OFICINA DE MERCADEO</v>
      </c>
    </row>
    <row r="1460" spans="1:5" ht="15.75" x14ac:dyDescent="0.25">
      <c r="A1460" s="10">
        <v>1019105003</v>
      </c>
      <c r="B1460" s="2">
        <v>46051.761688194441</v>
      </c>
      <c r="C1460" s="3" t="str">
        <f>IFERROR(VLOOKUP(A1460,'Base Prueba'!A:C,3,),"NO REGISTRA")</f>
        <v>DAISY JULIETH GASPAR MORENO</v>
      </c>
      <c r="D1460" s="4" t="str">
        <f>IFERROR(VLOOKUP(A1460,'Base Prueba'!A:D,4,),"NO REGISTRA")</f>
        <v>PROMOTOR CALL CENTER</v>
      </c>
      <c r="E1460" s="5" t="str">
        <f>IFERROR(VLOOKUP(A1460,'Base Prueba'!A:E,5,),"NO REGISTRA")</f>
        <v>OFICINA DE MERCADEO</v>
      </c>
    </row>
    <row r="1461" spans="1:5" ht="15.75" x14ac:dyDescent="0.25">
      <c r="A1461" s="10">
        <v>1003690253</v>
      </c>
      <c r="B1461" s="2">
        <v>46051.761947106483</v>
      </c>
      <c r="C1461" s="3" t="str">
        <f>IFERROR(VLOOKUP(A1461,'Base Prueba'!A:C,3,),"NO REGISTRA")</f>
        <v>MELISSA GONZALEZ PEDRAZA</v>
      </c>
      <c r="D1461" s="4" t="str">
        <f>IFERROR(VLOOKUP(A1461,'Base Prueba'!A:D,4,),"NO REGISTRA")</f>
        <v>LIDER DE JOVENES A LA E</v>
      </c>
      <c r="E1461" s="5" t="str">
        <f>IFERROR(VLOOKUP(A1461,'Base Prueba'!A:E,5,),"NO REGISTRA")</f>
        <v>DIRECCION DE BIENESTAR INSTITUCIONAL</v>
      </c>
    </row>
    <row r="1462" spans="1:5" ht="15.75" x14ac:dyDescent="0.25">
      <c r="A1462" s="10">
        <v>52735929</v>
      </c>
      <c r="B1462" s="2">
        <v>46051.762247106482</v>
      </c>
      <c r="C1462" s="3" t="str">
        <f>IFERROR(VLOOKUP(A1462,'Base Prueba'!A:C,3,),"NO REGISTRA")</f>
        <v>JEIMMY AREVALO MELO</v>
      </c>
      <c r="D1462" s="4" t="str">
        <f>IFERROR(VLOOKUP(A1462,'Base Prueba'!A:D,4,),"NO REGISTRA")</f>
        <v>COORDINADOR DE BIBLIOTECA</v>
      </c>
      <c r="E1462" s="5" t="str">
        <f>IFERROR(VLOOKUP(A1462,'Base Prueba'!A:E,5,),"NO REGISTRA")</f>
        <v>BIBLIOTECA</v>
      </c>
    </row>
    <row r="1463" spans="1:5" ht="15.75" x14ac:dyDescent="0.25">
      <c r="A1463" s="10">
        <v>52175674</v>
      </c>
      <c r="B1463" s="2">
        <v>46051.765206481483</v>
      </c>
      <c r="C1463" s="3" t="str">
        <f>IFERROR(VLOOKUP(A1463,'Base Prueba'!A:C,3,),"NO REGISTRA")</f>
        <v>LUZ YANETH GOMEZ AREVALO</v>
      </c>
      <c r="D1463" s="4" t="str">
        <f>IFERROR(VLOOKUP(A1463,'Base Prueba'!A:D,4,),"NO REGISTRA")</f>
        <v>COORDINADORA DE ADMISIONES</v>
      </c>
      <c r="E1463" s="5" t="str">
        <f>IFERROR(VLOOKUP(A1463,'Base Prueba'!A:E,5,),"NO REGISTRA")</f>
        <v>OFICINA DE MERCADEO</v>
      </c>
    </row>
    <row r="1464" spans="1:5" ht="15.75" x14ac:dyDescent="0.25">
      <c r="A1464" s="10">
        <v>1000257136</v>
      </c>
      <c r="B1464" s="2">
        <v>46051.765552314813</v>
      </c>
      <c r="C1464" s="3" t="str">
        <f>IFERROR(VLOOKUP(A1464,'Base Prueba'!A:C,3,),"NO REGISTRA")</f>
        <v>FRANCI VALENTINA CANO PUENTES</v>
      </c>
      <c r="D1464" s="4" t="str">
        <f>IFERROR(VLOOKUP(A1464,'Base Prueba'!A:D,4,),"NO REGISTRA")</f>
        <v>AUXILIAR CONTABLE</v>
      </c>
      <c r="E1464" s="5" t="str">
        <f>IFERROR(VLOOKUP(A1464,'Base Prueba'!A:E,5,),"NO REGISTRA")</f>
        <v>AREA FINANCIERA Y CONTABLE</v>
      </c>
    </row>
    <row r="1465" spans="1:5" ht="15.75" x14ac:dyDescent="0.25">
      <c r="A1465" s="10">
        <v>1013616244</v>
      </c>
      <c r="B1465" s="2">
        <v>46051.768592592591</v>
      </c>
      <c r="C1465" s="3" t="str">
        <f>IFERROR(VLOOKUP(A1465,'Base Prueba'!A:C,3,),"NO REGISTRA")</f>
        <v>DIANA CAROLINA MARIN BETANCOURT</v>
      </c>
      <c r="D1465" s="4" t="str">
        <f>IFERROR(VLOOKUP(A1465,'Base Prueba'!A:D,4,),"NO REGISTRA")</f>
        <v>AUXILIAR ADMINISTRATIVO</v>
      </c>
      <c r="E1465" s="5" t="str">
        <f>IFERROR(VLOOKUP(A1465,'Base Prueba'!A:E,5,),"NO REGISTRA")</f>
        <v>REGISTRO Y CONTROL ACADEMICO</v>
      </c>
    </row>
    <row r="1466" spans="1:5" ht="15.75" x14ac:dyDescent="0.25">
      <c r="A1466" s="10">
        <v>1032407386</v>
      </c>
      <c r="B1466" s="2">
        <v>46051.775130555558</v>
      </c>
      <c r="C1466" s="3" t="str">
        <f>IFERROR(VLOOKUP(A1466,'Base Prueba'!A:C,3,),"NO REGISTRA")</f>
        <v>GINA PAOLA BAEZ GALVIS</v>
      </c>
      <c r="D1466" s="4" t="str">
        <f>IFERROR(VLOOKUP(A1466,'Base Prueba'!A:D,4,),"NO REGISTRA")</f>
        <v>PROMOTOR CALL CENTER</v>
      </c>
      <c r="E1466" s="5" t="str">
        <f>IFERROR(VLOOKUP(A1466,'Base Prueba'!A:E,5,),"NO REGISTRA")</f>
        <v>OFICINA DE MERCADEO</v>
      </c>
    </row>
    <row r="1467" spans="1:5" ht="15.75" x14ac:dyDescent="0.25">
      <c r="A1467" s="10">
        <v>53089882</v>
      </c>
      <c r="B1467" s="2">
        <v>46051.775178819444</v>
      </c>
      <c r="C1467" s="3" t="str">
        <f>IFERROR(VLOOKUP(A1467,'Base Prueba'!A:C,3,),"NO REGISTRA")</f>
        <v>MARIA JOHANA ESCAMILLA MARTINEZ</v>
      </c>
      <c r="D1467" s="4" t="str">
        <f>IFERROR(VLOOKUP(A1467,'Base Prueba'!A:D,4,),"NO REGISTRA")</f>
        <v>PROMOTOR DE INFORMACIÓN</v>
      </c>
      <c r="E1467" s="5" t="str">
        <f>IFERROR(VLOOKUP(A1467,'Base Prueba'!A:E,5,),"NO REGISTRA")</f>
        <v>OFICINA DE MERCADEO</v>
      </c>
    </row>
    <row r="1468" spans="1:5" ht="15.75" x14ac:dyDescent="0.25">
      <c r="A1468" s="10">
        <v>1018413529</v>
      </c>
      <c r="B1468" s="2">
        <v>46051.775221875003</v>
      </c>
      <c r="C1468" s="3" t="str">
        <f>IFERROR(VLOOKUP(A1468,'Base Prueba'!A:C,3,),"NO REGISTRA")</f>
        <v>FRANCY STELLA CHARRY MORENO</v>
      </c>
      <c r="D1468" s="4" t="str">
        <f>IFERROR(VLOOKUP(A1468,'Base Prueba'!A:D,4,),"NO REGISTRA")</f>
        <v>PROMOTOR COMERCIAL DEL CEA</v>
      </c>
      <c r="E1468" s="5" t="str">
        <f>IFERROR(VLOOKUP(A1468,'Base Prueba'!A:E,5,),"NO REGISTRA")</f>
        <v>OFICINA DE MERCADEO</v>
      </c>
    </row>
    <row r="1469" spans="1:5" ht="15.75" x14ac:dyDescent="0.25">
      <c r="A1469" s="10">
        <v>28798349</v>
      </c>
      <c r="B1469" s="2">
        <v>46051.775391550924</v>
      </c>
      <c r="C1469" s="3" t="str">
        <f>IFERROR(VLOOKUP(A1469,'Base Prueba'!A:C,3,),"NO REGISTRA")</f>
        <v>MARTHA ISABEL TOVAR WILLIAMS</v>
      </c>
      <c r="D1469" s="4" t="str">
        <f>IFERROR(VLOOKUP(A1469,'Base Prueba'!A:D,4,),"NO REGISTRA")</f>
        <v>PROMOTOR CALL CENTER</v>
      </c>
      <c r="E1469" s="5" t="str">
        <f>IFERROR(VLOOKUP(A1469,'Base Prueba'!A:E,5,),"NO REGISTRA")</f>
        <v>OFICINA DE MERCADEO</v>
      </c>
    </row>
    <row r="1470" spans="1:5" ht="15.75" x14ac:dyDescent="0.25">
      <c r="A1470" s="10">
        <v>52472386</v>
      </c>
      <c r="B1470" s="2">
        <v>46051.775424421299</v>
      </c>
      <c r="C1470" s="3" t="str">
        <f>IFERROR(VLOOKUP(A1470,'Base Prueba'!A:C,3,),"NO REGISTRA")</f>
        <v>ADRIANA MARCELA MORALES PARDO</v>
      </c>
      <c r="D1470" s="4" t="str">
        <f>IFERROR(VLOOKUP(A1470,'Base Prueba'!A:D,4,),"NO REGISTRA")</f>
        <v>PROMOTOR CALL CENTER</v>
      </c>
      <c r="E1470" s="5" t="str">
        <f>IFERROR(VLOOKUP(A1470,'Base Prueba'!A:E,5,),"NO REGISTRA")</f>
        <v>OFICINA DE MERCADEO</v>
      </c>
    </row>
    <row r="1471" spans="1:5" ht="15.75" x14ac:dyDescent="0.25">
      <c r="A1471" s="10">
        <v>1014308296</v>
      </c>
      <c r="B1471" s="2">
        <v>46051.779018865738</v>
      </c>
      <c r="C1471" s="3" t="str">
        <f>IFERROR(VLOOKUP(A1471,'Base Prueba'!A:C,3,),"NO REGISTRA")</f>
        <v>DARLENE YULIANA MORENO CELEITA</v>
      </c>
      <c r="D1471" s="4" t="str">
        <f>IFERROR(VLOOKUP(A1471,'Base Prueba'!A:D,4,),"NO REGISTRA")</f>
        <v>CAJERO PRINCIPAL</v>
      </c>
      <c r="E1471" s="5" t="str">
        <f>IFERROR(VLOOKUP(A1471,'Base Prueba'!A:E,5,),"NO REGISTRA")</f>
        <v>AREA FINANCIERA Y CONTABLE</v>
      </c>
    </row>
    <row r="1472" spans="1:5" ht="15.75" x14ac:dyDescent="0.25">
      <c r="A1472" s="10">
        <v>1000593372</v>
      </c>
      <c r="B1472" s="2">
        <v>46051.780113541667</v>
      </c>
      <c r="C1472" s="3" t="str">
        <f>IFERROR(VLOOKUP(A1472,'Base Prueba'!A:C,3,),"NO REGISTRA")</f>
        <v>LAURA SOFIA CHAPARRO LOPEZ</v>
      </c>
      <c r="D1472" s="4" t="str">
        <f>IFERROR(VLOOKUP(A1472,'Base Prueba'!A:D,4,),"NO REGISTRA")</f>
        <v>AUXILIAR JURIDICO</v>
      </c>
      <c r="E1472" s="5" t="str">
        <f>IFERROR(VLOOKUP(A1472,'Base Prueba'!A:E,5,),"NO REGISTRA")</f>
        <v>SECRETARIA GENERAL</v>
      </c>
    </row>
    <row r="1473" spans="1:5" ht="15.75" x14ac:dyDescent="0.25">
      <c r="A1473" s="10">
        <v>1000604979</v>
      </c>
      <c r="B1473" s="2">
        <v>46051.780136458336</v>
      </c>
      <c r="C1473" s="3" t="str">
        <f>IFERROR(VLOOKUP(A1473,'Base Prueba'!A:C,3,),"NO REGISTRA")</f>
        <v>JULIETH TATIANA PARDO PINTO</v>
      </c>
      <c r="D1473" s="4" t="str">
        <f>IFERROR(VLOOKUP(A1473,'Base Prueba'!A:D,4,),"NO REGISTRA")</f>
        <v>AUXILIAR JURIDICO</v>
      </c>
      <c r="E1473" s="5" t="str">
        <f>IFERROR(VLOOKUP(A1473,'Base Prueba'!A:E,5,),"NO REGISTRA")</f>
        <v>SECRETARIA GENERAL</v>
      </c>
    </row>
    <row r="1474" spans="1:5" ht="15.75" x14ac:dyDescent="0.25">
      <c r="A1474" s="10">
        <v>80238161</v>
      </c>
      <c r="B1474" s="2">
        <v>46051.787189120369</v>
      </c>
      <c r="C1474" s="3" t="str">
        <f>IFERROR(VLOOKUP(A1474,'Base Prueba'!A:C,3,),"NO REGISTRA")</f>
        <v>GERMAN CARRANZA ESPITIA</v>
      </c>
      <c r="D1474" s="4" t="str">
        <f>IFERROR(VLOOKUP(A1474,'Base Prueba'!A:D,4,),"NO REGISTRA")</f>
        <v>TESORERO</v>
      </c>
      <c r="E1474" s="5" t="str">
        <f>IFERROR(VLOOKUP(A1474,'Base Prueba'!A:E,5,),"NO REGISTRA")</f>
        <v>AREA FINANCIERA Y CONTABLE</v>
      </c>
    </row>
    <row r="1475" spans="1:5" ht="15.75" x14ac:dyDescent="0.25">
      <c r="A1475" s="10">
        <v>1000457706</v>
      </c>
      <c r="B1475" s="2">
        <v>46051.78907997685</v>
      </c>
      <c r="C1475" s="3" t="str">
        <f>IFERROR(VLOOKUP(A1475,'Base Prueba'!A:C,3,),"NO REGISTRA")</f>
        <v>CRISTIAN DANILO ARROYO SANABRIA</v>
      </c>
      <c r="D1475" s="4" t="str">
        <f>IFERROR(VLOOKUP(A1475,'Base Prueba'!A:D,4,),"NO REGISTRA")</f>
        <v>AUXILIAR CONTABLE</v>
      </c>
      <c r="E1475" s="5" t="str">
        <f>IFERROR(VLOOKUP(A1475,'Base Prueba'!A:E,5,),"NO REGISTRA")</f>
        <v>AREA FINANCIERA Y CONTABLE</v>
      </c>
    </row>
    <row r="1476" spans="1:5" ht="15.75" x14ac:dyDescent="0.25">
      <c r="A1476" s="10">
        <v>80234243</v>
      </c>
      <c r="B1476" s="2">
        <v>46051.793003125</v>
      </c>
      <c r="C1476" s="3" t="str">
        <f>IFERROR(VLOOKUP(A1476,'Base Prueba'!A:C,3,),"NO REGISTRA")</f>
        <v>ARGENIS MARTINEZ MARTINEZ</v>
      </c>
      <c r="D1476" s="4" t="str">
        <f>IFERROR(VLOOKUP(A1476,'Base Prueba'!A:D,4,),"NO REGISTRA")</f>
        <v>LIDER CALL CENTER</v>
      </c>
      <c r="E1476" s="5" t="str">
        <f>IFERROR(VLOOKUP(A1476,'Base Prueba'!A:E,5,),"NO REGISTRA")</f>
        <v>OFICINA DE MERCADEO</v>
      </c>
    </row>
    <row r="1477" spans="1:5" ht="15.75" x14ac:dyDescent="0.25">
      <c r="A1477" s="10">
        <v>52764929</v>
      </c>
      <c r="B1477" s="2">
        <v>46051.793778125</v>
      </c>
      <c r="C1477" s="3" t="str">
        <f>IFERROR(VLOOKUP(A1477,'Base Prueba'!A:C,3,),"NO REGISTRA")</f>
        <v>GUERLY YOHANA DURAN RIVERA</v>
      </c>
      <c r="D1477" s="4" t="str">
        <f>IFERROR(VLOOKUP(A1477,'Base Prueba'!A:D,4,),"NO REGISTRA")</f>
        <v>LIDER DE VINCULACION COLEGIOS</v>
      </c>
      <c r="E1477" s="5" t="str">
        <f>IFERROR(VLOOKUP(A1477,'Base Prueba'!A:E,5,),"NO REGISTRA")</f>
        <v>OFICINA DE MERCADEO</v>
      </c>
    </row>
    <row r="1478" spans="1:5" ht="15.75" x14ac:dyDescent="0.25">
      <c r="A1478" s="10">
        <v>52474489</v>
      </c>
      <c r="B1478" s="2">
        <v>46051.794483101854</v>
      </c>
      <c r="C1478" s="3" t="str">
        <f>IFERROR(VLOOKUP(A1478,'Base Prueba'!A:C,3,),"NO REGISTRA")</f>
        <v>ADRIANA JIMENA SOTO BOCANEGRA</v>
      </c>
      <c r="D1478" s="4" t="str">
        <f>IFERROR(VLOOKUP(A1478,'Base Prueba'!A:D,4,),"NO REGISTRA")</f>
        <v>COORDINADOR DE LA OFICINA DE REGISTRO Y CONTROL</v>
      </c>
      <c r="E1478" s="5" t="str">
        <f>IFERROR(VLOOKUP(A1478,'Base Prueba'!A:E,5,),"NO REGISTRA")</f>
        <v>REGISTRO Y CONTROL ACADEMICO</v>
      </c>
    </row>
    <row r="1479" spans="1:5" ht="15.75" x14ac:dyDescent="0.25">
      <c r="A1479" s="10">
        <v>1012357415</v>
      </c>
      <c r="B1479" s="2">
        <v>46051.809695023148</v>
      </c>
      <c r="C1479" s="3" t="str">
        <f>IFERROR(VLOOKUP(A1479,'Base Prueba'!A:C,3,),"NO REGISTRA")</f>
        <v>CINDY LORENA BOHORQUEZ LEYVA</v>
      </c>
      <c r="D1479" s="4" t="str">
        <f>IFERROR(VLOOKUP(A1479,'Base Prueba'!A:D,4,),"NO REGISTRA")</f>
        <v>ANALISTA DE TESORERIA</v>
      </c>
      <c r="E1479" s="5" t="str">
        <f>IFERROR(VLOOKUP(A1479,'Base Prueba'!A:E,5,),"NO REGISTRA")</f>
        <v>AREA FINANCIERA Y CONTABLE</v>
      </c>
    </row>
    <row r="1480" spans="1:5" ht="15.75" x14ac:dyDescent="0.25">
      <c r="A1480" s="10">
        <v>53932358</v>
      </c>
      <c r="B1480" s="2">
        <v>46051.846561689817</v>
      </c>
      <c r="C1480" s="3" t="str">
        <f>IFERROR(VLOOKUP(A1480,'Base Prueba'!A:C,3,),"NO REGISTRA")</f>
        <v>DIANA MADELEYNE GAONA RODRIGUEZ</v>
      </c>
      <c r="D1480" s="4" t="str">
        <f>IFERROR(VLOOKUP(A1480,'Base Prueba'!A:D,4,),"NO REGISTRA")</f>
        <v>CONTADOR</v>
      </c>
      <c r="E1480" s="5" t="str">
        <f>IFERROR(VLOOKUP(A1480,'Base Prueba'!A:E,5,),"NO REGISTRA")</f>
        <v>AREA FINANCIERA Y CONTABLE</v>
      </c>
    </row>
    <row r="1481" spans="1:5" ht="15.75" x14ac:dyDescent="0.25">
      <c r="A1481" s="10">
        <v>79452150</v>
      </c>
      <c r="B1481" s="2">
        <v>46051.860740162039</v>
      </c>
      <c r="C1481" s="3" t="str">
        <f>IFERROR(VLOOKUP(A1481,'Base Prueba'!A:C,3,),"NO REGISTRA")</f>
        <v>JUAN CARLOS PAZ CUBILLOS</v>
      </c>
      <c r="D1481" s="4" t="str">
        <f>IFERROR(VLOOKUP(A1481,'Base Prueba'!A:D,4,),"NO REGISTRA")</f>
        <v>ANALISTA DE SISTEMAS</v>
      </c>
      <c r="E1481" s="5" t="str">
        <f>IFERROR(VLOOKUP(A1481,'Base Prueba'!A:E,5,),"NO REGISTRA")</f>
        <v>DEPARTAMENTO DE INFORMATICA Y TECNOLOGIA</v>
      </c>
    </row>
    <row r="1482" spans="1:5" ht="15.75" x14ac:dyDescent="0.25">
      <c r="A1482" s="10">
        <v>1016090131</v>
      </c>
      <c r="B1482" s="2">
        <v>46052.304726273149</v>
      </c>
      <c r="C1482" s="3" t="str">
        <f>IFERROR(VLOOKUP(A1482,'Base Prueba'!A:C,3,),"NO REGISTRA")</f>
        <v>NICOLAS RODRIGUEZ PACHECO</v>
      </c>
      <c r="D1482" s="4" t="str">
        <f>IFERROR(VLOOKUP(A1482,'Base Prueba'!A:D,4,),"NO REGISTRA")</f>
        <v>COORDINADOR DE COMUNICACIONES</v>
      </c>
      <c r="E1482" s="5" t="str">
        <f>IFERROR(VLOOKUP(A1482,'Base Prueba'!A:E,5,),"NO REGISTRA")</f>
        <v>OFICINA DE MERCADEO</v>
      </c>
    </row>
    <row r="1483" spans="1:5" ht="15.75" x14ac:dyDescent="0.25">
      <c r="A1483" s="10">
        <v>1087121273</v>
      </c>
      <c r="B1483" s="2">
        <v>46052.314180787034</v>
      </c>
      <c r="C1483" s="3" t="str">
        <f>IFERROR(VLOOKUP(A1483,'Base Prueba'!A:C,3,),"NO REGISTRA")</f>
        <v>MAYRA ALEJANDRA CASTILLO ARBOLEDA</v>
      </c>
      <c r="D1483" s="4" t="str">
        <f>IFERROR(VLOOKUP(A1483,'Base Prueba'!A:D,4,),"NO REGISTRA")</f>
        <v>APOYO INTEGRAL DE MERCADEO</v>
      </c>
      <c r="E1483" s="5" t="str">
        <f>IFERROR(VLOOKUP(A1483,'Base Prueba'!A:E,5,),"NO REGISTRA")</f>
        <v>CENTRO DE GESTION DOCUMENTAL</v>
      </c>
    </row>
    <row r="1484" spans="1:5" ht="15.75" x14ac:dyDescent="0.25">
      <c r="A1484" s="10">
        <v>1032469638</v>
      </c>
      <c r="B1484" s="2">
        <v>46052.316230555552</v>
      </c>
      <c r="C1484" s="3" t="str">
        <f>IFERROR(VLOOKUP(A1484,'Base Prueba'!A:C,3,),"NO REGISTRA")</f>
        <v>MAICOL JARBEY GUALTEROS CASTAÑEDA</v>
      </c>
      <c r="D1484" s="4" t="str">
        <f>IFERROR(VLOOKUP(A1484,'Base Prueba'!A:D,4,),"NO REGISTRA")</f>
        <v>COORDINADOR DEL SISTEMA INTERNO DE ASEGURAMIENTO DE LA CALIDAD - SIAC</v>
      </c>
      <c r="E1484" s="5" t="str">
        <f>IFERROR(VLOOKUP(A1484,'Base Prueba'!A:E,5,),"NO REGISTRA")</f>
        <v>OFICINA DE PLANEACION Y GESTION DE LA CALIDAD</v>
      </c>
    </row>
    <row r="1485" spans="1:5" ht="15.75" x14ac:dyDescent="0.25">
      <c r="A1485" s="10">
        <v>53932358</v>
      </c>
      <c r="B1485" s="2">
        <v>46052.325742939815</v>
      </c>
      <c r="C1485" s="3" t="str">
        <f>IFERROR(VLOOKUP(A1485,'Base Prueba'!A:C,3,),"NO REGISTRA")</f>
        <v>DIANA MADELEYNE GAONA RODRIGUEZ</v>
      </c>
      <c r="D1485" s="4" t="str">
        <f>IFERROR(VLOOKUP(A1485,'Base Prueba'!A:D,4,),"NO REGISTRA")</f>
        <v>CONTADOR</v>
      </c>
      <c r="E1485" s="5" t="str">
        <f>IFERROR(VLOOKUP(A1485,'Base Prueba'!A:E,5,),"NO REGISTRA")</f>
        <v>AREA FINANCIERA Y CONTABLE</v>
      </c>
    </row>
    <row r="1486" spans="1:5" ht="15.75" x14ac:dyDescent="0.25">
      <c r="A1486" s="10">
        <v>1000354041</v>
      </c>
      <c r="B1486" s="2">
        <v>46052.329180092594</v>
      </c>
      <c r="C1486" s="3" t="str">
        <f>IFERROR(VLOOKUP(A1486,'Base Prueba'!A:C,3,),"NO REGISTRA")</f>
        <v>ANGIE NATALIA BOHORQUEZ SANCHEZ</v>
      </c>
      <c r="D1486" s="4" t="str">
        <f>IFERROR(VLOOKUP(A1486,'Base Prueba'!A:D,4,),"NO REGISTRA")</f>
        <v>APRENDIZ UNIVERSITARIO</v>
      </c>
      <c r="E1486" s="5" t="str">
        <f>IFERROR(VLOOKUP(A1486,'Base Prueba'!A:E,5,),"NO REGISTRA")</f>
        <v>OFICINA DE PLANEACION Y GESTION DE LA CALIDAD</v>
      </c>
    </row>
    <row r="1487" spans="1:5" ht="15.75" x14ac:dyDescent="0.25">
      <c r="A1487" s="10">
        <v>1049644802</v>
      </c>
      <c r="B1487" s="2">
        <v>46052.330563194446</v>
      </c>
      <c r="C1487" s="3" t="str">
        <f>IFERROR(VLOOKUP(A1487,'Base Prueba'!A:C,3,),"NO REGISTRA")</f>
        <v>DANIELA ALEXANDRA CIPAMOCHA BOSIGA</v>
      </c>
      <c r="D1487" s="4" t="str">
        <f>IFERROR(VLOOKUP(A1487,'Base Prueba'!A:D,4,),"NO REGISTRA")</f>
        <v>LIDER DE DATOS Y SERVICIOS</v>
      </c>
      <c r="E1487" s="5" t="str">
        <f>IFERROR(VLOOKUP(A1487,'Base Prueba'!A:E,5,),"NO REGISTRA")</f>
        <v>OFICINA DE PLANEACION Y GESTION DE LA CALIDAD</v>
      </c>
    </row>
    <row r="1488" spans="1:5" ht="15.75" x14ac:dyDescent="0.25">
      <c r="A1488" s="10">
        <v>1031802160</v>
      </c>
      <c r="B1488" s="2">
        <v>46052.33063611111</v>
      </c>
      <c r="C1488" s="3" t="str">
        <f>IFERROR(VLOOKUP(A1488,'Base Prueba'!A:C,3,),"NO REGISTRA")</f>
        <v>LUISA MARIA MAHECHA SOTOMAYOR</v>
      </c>
      <c r="D1488" s="4" t="str">
        <f>IFERROR(VLOOKUP(A1488,'Base Prueba'!A:D,4,),"NO REGISTRA")</f>
        <v>APRENDIZ UNIVERSITARIO</v>
      </c>
      <c r="E1488" s="5" t="str">
        <f>IFERROR(VLOOKUP(A1488,'Base Prueba'!A:E,5,),"NO REGISTRA")</f>
        <v>OFICINA DE MERCADEO</v>
      </c>
    </row>
    <row r="1489" spans="1:5" ht="15.75" x14ac:dyDescent="0.25">
      <c r="A1489" s="10">
        <v>1000257136</v>
      </c>
      <c r="B1489" s="2">
        <v>46052.332460300924</v>
      </c>
      <c r="C1489" s="3" t="str">
        <f>IFERROR(VLOOKUP(A1489,'Base Prueba'!A:C,3,),"NO REGISTRA")</f>
        <v>FRANCI VALENTINA CANO PUENTES</v>
      </c>
      <c r="D1489" s="4" t="str">
        <f>IFERROR(VLOOKUP(A1489,'Base Prueba'!A:D,4,),"NO REGISTRA")</f>
        <v>AUXILIAR CONTABLE</v>
      </c>
      <c r="E1489" s="5" t="str">
        <f>IFERROR(VLOOKUP(A1489,'Base Prueba'!A:E,5,),"NO REGISTRA")</f>
        <v>AREA FINANCIERA Y CONTABLE</v>
      </c>
    </row>
    <row r="1490" spans="1:5" ht="15.75" x14ac:dyDescent="0.25">
      <c r="A1490" s="10">
        <v>1014308296</v>
      </c>
      <c r="B1490" s="2">
        <v>46052.332842708332</v>
      </c>
      <c r="C1490" s="3" t="str">
        <f>IFERROR(VLOOKUP(A1490,'Base Prueba'!A:C,3,),"NO REGISTRA")</f>
        <v>DARLENE YULIANA MORENO CELEITA</v>
      </c>
      <c r="D1490" s="4" t="str">
        <f>IFERROR(VLOOKUP(A1490,'Base Prueba'!A:D,4,),"NO REGISTRA")</f>
        <v>CAJERO PRINCIPAL</v>
      </c>
      <c r="E1490" s="5" t="str">
        <f>IFERROR(VLOOKUP(A1490,'Base Prueba'!A:E,5,),"NO REGISTRA")</f>
        <v>AREA FINANCIERA Y CONTABLE</v>
      </c>
    </row>
    <row r="1491" spans="1:5" ht="15.75" x14ac:dyDescent="0.25">
      <c r="A1491" s="10">
        <v>1013616244</v>
      </c>
      <c r="B1491" s="2">
        <v>46052.332862615738</v>
      </c>
      <c r="C1491" s="3" t="str">
        <f>IFERROR(VLOOKUP(A1491,'Base Prueba'!A:C,3,),"NO REGISTRA")</f>
        <v>DIANA CAROLINA MARIN BETANCOURT</v>
      </c>
      <c r="D1491" s="4" t="str">
        <f>IFERROR(VLOOKUP(A1491,'Base Prueba'!A:D,4,),"NO REGISTRA")</f>
        <v>AUXILIAR ADMINISTRATIVO</v>
      </c>
      <c r="E1491" s="5" t="str">
        <f>IFERROR(VLOOKUP(A1491,'Base Prueba'!A:E,5,),"NO REGISTRA")</f>
        <v>REGISTRO Y CONTROL ACADEMICO</v>
      </c>
    </row>
    <row r="1492" spans="1:5" ht="15.75" x14ac:dyDescent="0.25">
      <c r="A1492" s="10">
        <v>1000687931</v>
      </c>
      <c r="B1492" s="2">
        <v>46052.332947685187</v>
      </c>
      <c r="C1492" s="3" t="str">
        <f>IFERROR(VLOOKUP(A1492,'Base Prueba'!A:C,3,),"NO REGISTRA")</f>
        <v>ANDRES FELIPE PUENTES TORRES</v>
      </c>
      <c r="D1492" s="4" t="str">
        <f>IFERROR(VLOOKUP(A1492,'Base Prueba'!A:D,4,),"NO REGISTRA")</f>
        <v>AUXILIAR ADMINISTRATIVO</v>
      </c>
      <c r="E1492" s="5" t="str">
        <f>IFERROR(VLOOKUP(A1492,'Base Prueba'!A:E,5,),"NO REGISTRA")</f>
        <v>REGISTRO Y CONTROL ACADEMICO</v>
      </c>
    </row>
    <row r="1493" spans="1:5" ht="15.75" x14ac:dyDescent="0.25">
      <c r="A1493" s="10">
        <v>1193457976</v>
      </c>
      <c r="B1493" s="2">
        <v>46052.338281249999</v>
      </c>
      <c r="C1493" s="3" t="str">
        <f>IFERROR(VLOOKUP(A1493,'Base Prueba'!A:C,3,),"NO REGISTRA")</f>
        <v>SEDENIS RIVAS ASPRILLA</v>
      </c>
      <c r="D1493" s="4" t="str">
        <f>IFERROR(VLOOKUP(A1493,'Base Prueba'!A:D,4,),"NO REGISTRA")</f>
        <v>APRENDIZ UNIVERSITARIO</v>
      </c>
      <c r="E1493" s="5" t="str">
        <f>IFERROR(VLOOKUP(A1493,'Base Prueba'!A:E,5,),"NO REGISTRA")</f>
        <v>DEPARTAMENTO DE GESTION HUMANA</v>
      </c>
    </row>
    <row r="1494" spans="1:5" ht="15.75" x14ac:dyDescent="0.25">
      <c r="A1494" s="10">
        <v>1014977624</v>
      </c>
      <c r="B1494" s="2">
        <v>46052.338700462962</v>
      </c>
      <c r="C1494" s="3" t="str">
        <f>IFERROR(VLOOKUP(A1494,'Base Prueba'!A:C,3,),"NO REGISTRA")</f>
        <v>NICCOLE VALENTINA HERNANDEZ MALAVER</v>
      </c>
      <c r="D1494" s="4" t="str">
        <f>IFERROR(VLOOKUP(A1494,'Base Prueba'!A:D,4,),"NO REGISTRA")</f>
        <v>APRENDIZ UNIVERSITARIO</v>
      </c>
      <c r="E1494" s="5" t="str">
        <f>IFERROR(VLOOKUP(A1494,'Base Prueba'!A:E,5,),"NO REGISTRA")</f>
        <v>AREA FINANCIERA Y CONTABLE</v>
      </c>
    </row>
    <row r="1495" spans="1:5" ht="15.75" x14ac:dyDescent="0.25">
      <c r="A1495" s="10">
        <v>1012357415</v>
      </c>
      <c r="B1495" s="2">
        <v>46052.340737500002</v>
      </c>
      <c r="C1495" s="3" t="str">
        <f>IFERROR(VLOOKUP(A1495,'Base Prueba'!A:C,3,),"NO REGISTRA")</f>
        <v>CINDY LORENA BOHORQUEZ LEYVA</v>
      </c>
      <c r="D1495" s="4" t="str">
        <f>IFERROR(VLOOKUP(A1495,'Base Prueba'!A:D,4,),"NO REGISTRA")</f>
        <v>ANALISTA DE TESORERIA</v>
      </c>
      <c r="E1495" s="5" t="str">
        <f>IFERROR(VLOOKUP(A1495,'Base Prueba'!A:E,5,),"NO REGISTRA")</f>
        <v>AREA FINANCIERA Y CONTABLE</v>
      </c>
    </row>
    <row r="1496" spans="1:5" ht="15.75" x14ac:dyDescent="0.25">
      <c r="A1496" s="10">
        <v>1000604979</v>
      </c>
      <c r="B1496" s="2">
        <v>46052.347111921299</v>
      </c>
      <c r="C1496" s="3" t="str">
        <f>IFERROR(VLOOKUP(A1496,'Base Prueba'!A:C,3,),"NO REGISTRA")</f>
        <v>JULIETH TATIANA PARDO PINTO</v>
      </c>
      <c r="D1496" s="4" t="str">
        <f>IFERROR(VLOOKUP(A1496,'Base Prueba'!A:D,4,),"NO REGISTRA")</f>
        <v>AUXILIAR JURIDICO</v>
      </c>
      <c r="E1496" s="5" t="str">
        <f>IFERROR(VLOOKUP(A1496,'Base Prueba'!A:E,5,),"NO REGISTRA")</f>
        <v>SECRETARIA GENERAL</v>
      </c>
    </row>
    <row r="1497" spans="1:5" ht="15.75" x14ac:dyDescent="0.25">
      <c r="A1497" s="10">
        <v>1024505434</v>
      </c>
      <c r="B1497" s="2">
        <v>46052.347499537034</v>
      </c>
      <c r="C1497" s="3" t="str">
        <f>IFERROR(VLOOKUP(A1497,'Base Prueba'!A:C,3,),"NO REGISTRA")</f>
        <v>CRISTIAN ALBERTO MELO TORRES</v>
      </c>
      <c r="D1497" s="4" t="str">
        <f>IFERROR(VLOOKUP(A1497,'Base Prueba'!A:D,4,),"NO REGISTRA")</f>
        <v>COORDINADOR DE INFRAESTRUCTURA</v>
      </c>
      <c r="E1497" s="5" t="str">
        <f>IFERROR(VLOOKUP(A1497,'Base Prueba'!A:E,5,),"NO REGISTRA")</f>
        <v>VICERRECTORIA ADMINISTRATIVA Y FINANCIERA</v>
      </c>
    </row>
    <row r="1498" spans="1:5" ht="15.75" x14ac:dyDescent="0.25">
      <c r="A1498" s="10">
        <v>1023883232</v>
      </c>
      <c r="B1498" s="2">
        <v>46052.347942245367</v>
      </c>
      <c r="C1498" s="3" t="str">
        <f>IFERROR(VLOOKUP(A1498,'Base Prueba'!A:C,3,),"NO REGISTRA")</f>
        <v>MONICA ANDREA ACERO URBANO</v>
      </c>
      <c r="D1498" s="4" t="str">
        <f>IFERROR(VLOOKUP(A1498,'Base Prueba'!A:D,4,),"NO REGISTRA")</f>
        <v>APOYO INTEGRAL A GESTION HUMANA</v>
      </c>
      <c r="E1498" s="5" t="str">
        <f>IFERROR(VLOOKUP(A1498,'Base Prueba'!A:E,5,),"NO REGISTRA")</f>
        <v>DEPARTAMENTO DE GESTION HUMANA</v>
      </c>
    </row>
    <row r="1499" spans="1:5" ht="15.75" x14ac:dyDescent="0.25">
      <c r="A1499" s="10">
        <v>1000457706</v>
      </c>
      <c r="B1499" s="2">
        <v>46052.351132986114</v>
      </c>
      <c r="C1499" s="3" t="str">
        <f>IFERROR(VLOOKUP(A1499,'Base Prueba'!A:C,3,),"NO REGISTRA")</f>
        <v>CRISTIAN DANILO ARROYO SANABRIA</v>
      </c>
      <c r="D1499" s="4" t="str">
        <f>IFERROR(VLOOKUP(A1499,'Base Prueba'!A:D,4,),"NO REGISTRA")</f>
        <v>AUXILIAR CONTABLE</v>
      </c>
      <c r="E1499" s="5" t="str">
        <f>IFERROR(VLOOKUP(A1499,'Base Prueba'!A:E,5,),"NO REGISTRA")</f>
        <v>AREA FINANCIERA Y CONTABLE</v>
      </c>
    </row>
    <row r="1500" spans="1:5" ht="15.75" x14ac:dyDescent="0.25">
      <c r="A1500" s="10">
        <v>80234243</v>
      </c>
      <c r="B1500" s="2">
        <v>46052.354969791668</v>
      </c>
      <c r="C1500" s="3" t="str">
        <f>IFERROR(VLOOKUP(A1500,'Base Prueba'!A:C,3,),"NO REGISTRA")</f>
        <v>ARGENIS MARTINEZ MARTINEZ</v>
      </c>
      <c r="D1500" s="4" t="str">
        <f>IFERROR(VLOOKUP(A1500,'Base Prueba'!A:D,4,),"NO REGISTRA")</f>
        <v>LIDER CALL CENTER</v>
      </c>
      <c r="E1500" s="5" t="str">
        <f>IFERROR(VLOOKUP(A1500,'Base Prueba'!A:E,5,),"NO REGISTRA")</f>
        <v>OFICINA DE MERCADEO</v>
      </c>
    </row>
    <row r="1501" spans="1:5" ht="15.75" x14ac:dyDescent="0.25">
      <c r="A1501" s="10">
        <v>1032407386</v>
      </c>
      <c r="B1501" s="2">
        <v>46052.355522106482</v>
      </c>
      <c r="C1501" s="3" t="str">
        <f>IFERROR(VLOOKUP(A1501,'Base Prueba'!A:C,3,),"NO REGISTRA")</f>
        <v>GINA PAOLA BAEZ GALVIS</v>
      </c>
      <c r="D1501" s="4" t="str">
        <f>IFERROR(VLOOKUP(A1501,'Base Prueba'!A:D,4,),"NO REGISTRA")</f>
        <v>PROMOTOR CALL CENTER</v>
      </c>
      <c r="E1501" s="5" t="str">
        <f>IFERROR(VLOOKUP(A1501,'Base Prueba'!A:E,5,),"NO REGISTRA")</f>
        <v>OFICINA DE MERCADEO</v>
      </c>
    </row>
    <row r="1502" spans="1:5" ht="15.75" x14ac:dyDescent="0.25">
      <c r="A1502" s="10">
        <v>1000593372</v>
      </c>
      <c r="B1502" s="2">
        <v>46052.356506481483</v>
      </c>
      <c r="C1502" s="3" t="str">
        <f>IFERROR(VLOOKUP(A1502,'Base Prueba'!A:C,3,),"NO REGISTRA")</f>
        <v>LAURA SOFIA CHAPARRO LOPEZ</v>
      </c>
      <c r="D1502" s="4" t="str">
        <f>IFERROR(VLOOKUP(A1502,'Base Prueba'!A:D,4,),"NO REGISTRA")</f>
        <v>AUXILIAR JURIDICO</v>
      </c>
      <c r="E1502" s="5" t="str">
        <f>IFERROR(VLOOKUP(A1502,'Base Prueba'!A:E,5,),"NO REGISTRA")</f>
        <v>SECRETARIA GENERAL</v>
      </c>
    </row>
    <row r="1503" spans="1:5" ht="15.75" x14ac:dyDescent="0.25">
      <c r="A1503" s="10">
        <v>52474489</v>
      </c>
      <c r="B1503" s="2">
        <v>46052.356836689818</v>
      </c>
      <c r="C1503" s="3" t="str">
        <f>IFERROR(VLOOKUP(A1503,'Base Prueba'!A:C,3,),"NO REGISTRA")</f>
        <v>ADRIANA JIMENA SOTO BOCANEGRA</v>
      </c>
      <c r="D1503" s="4" t="str">
        <f>IFERROR(VLOOKUP(A1503,'Base Prueba'!A:D,4,),"NO REGISTRA")</f>
        <v>COORDINADOR DE LA OFICINA DE REGISTRO Y CONTROL</v>
      </c>
      <c r="E1503" s="5" t="str">
        <f>IFERROR(VLOOKUP(A1503,'Base Prueba'!A:E,5,),"NO REGISTRA")</f>
        <v>REGISTRO Y CONTROL ACADEMICO</v>
      </c>
    </row>
    <row r="1504" spans="1:5" ht="15.75" x14ac:dyDescent="0.25">
      <c r="A1504" s="10">
        <v>1033709056</v>
      </c>
      <c r="B1504" s="2">
        <v>46052.358005092596</v>
      </c>
      <c r="C1504" s="3" t="str">
        <f>IFERROR(VLOOKUP(A1504,'Base Prueba'!A:C,3,),"NO REGISTRA")</f>
        <v>YEIMY ALEXANDRA RODRIGUEZ PALACIO</v>
      </c>
      <c r="D1504" s="4" t="str">
        <f>IFERROR(VLOOKUP(A1504,'Base Prueba'!A:D,4,),"NO REGISTRA")</f>
        <v>PROMOTOR CALL CENTER</v>
      </c>
      <c r="E1504" s="5" t="str">
        <f>IFERROR(VLOOKUP(A1504,'Base Prueba'!A:E,5,),"NO REGISTRA")</f>
        <v>OFICINA DE MERCADEO</v>
      </c>
    </row>
    <row r="1505" spans="1:5" ht="15.75" x14ac:dyDescent="0.25">
      <c r="A1505" s="10">
        <v>1018413529</v>
      </c>
      <c r="B1505" s="2">
        <v>46052.360806597222</v>
      </c>
      <c r="C1505" s="3" t="str">
        <f>IFERROR(VLOOKUP(A1505,'Base Prueba'!A:C,3,),"NO REGISTRA")</f>
        <v>FRANCY STELLA CHARRY MORENO</v>
      </c>
      <c r="D1505" s="4" t="str">
        <f>IFERROR(VLOOKUP(A1505,'Base Prueba'!A:D,4,),"NO REGISTRA")</f>
        <v>PROMOTOR COMERCIAL DEL CEA</v>
      </c>
      <c r="E1505" s="5" t="str">
        <f>IFERROR(VLOOKUP(A1505,'Base Prueba'!A:E,5,),"NO REGISTRA")</f>
        <v>OFICINA DE MERCADEO</v>
      </c>
    </row>
    <row r="1506" spans="1:5" ht="15.75" x14ac:dyDescent="0.25">
      <c r="A1506" s="10">
        <v>1003690253</v>
      </c>
      <c r="B1506" s="2">
        <v>46052.366315856481</v>
      </c>
      <c r="C1506" s="3" t="str">
        <f>IFERROR(VLOOKUP(A1506,'Base Prueba'!A:C,3,),"NO REGISTRA")</f>
        <v>MELISSA GONZALEZ PEDRAZA</v>
      </c>
      <c r="D1506" s="4" t="str">
        <f>IFERROR(VLOOKUP(A1506,'Base Prueba'!A:D,4,),"NO REGISTRA")</f>
        <v>LIDER DE JOVENES A LA E</v>
      </c>
      <c r="E1506" s="5" t="str">
        <f>IFERROR(VLOOKUP(A1506,'Base Prueba'!A:E,5,),"NO REGISTRA")</f>
        <v>DIRECCION DE BIENESTAR INSTITUCIONAL</v>
      </c>
    </row>
    <row r="1507" spans="1:5" ht="15.75" x14ac:dyDescent="0.25">
      <c r="A1507" s="10">
        <v>1193265768</v>
      </c>
      <c r="B1507" s="2">
        <v>46052.366531828702</v>
      </c>
      <c r="C1507" s="3" t="str">
        <f>IFERROR(VLOOKUP(A1507,'Base Prueba'!A:C,3,),"NO REGISTRA")</f>
        <v>SANTIAGO OSORIO CAMACHO</v>
      </c>
      <c r="D1507" s="4" t="str">
        <f>IFERROR(VLOOKUP(A1507,'Base Prueba'!A:D,4,),"NO REGISTRA")</f>
        <v>ANALISTA DE PAUTA</v>
      </c>
      <c r="E1507" s="5" t="str">
        <f>IFERROR(VLOOKUP(A1507,'Base Prueba'!A:E,5,),"NO REGISTRA")</f>
        <v>OFICINA DE MERCADEO</v>
      </c>
    </row>
    <row r="1508" spans="1:5" ht="15.75" x14ac:dyDescent="0.25">
      <c r="A1508" s="10">
        <v>52735929</v>
      </c>
      <c r="B1508" s="2">
        <v>46052.366709027781</v>
      </c>
      <c r="C1508" s="3" t="str">
        <f>IFERROR(VLOOKUP(A1508,'Base Prueba'!A:C,3,),"NO REGISTRA")</f>
        <v>JEIMMY AREVALO MELO</v>
      </c>
      <c r="D1508" s="4" t="str">
        <f>IFERROR(VLOOKUP(A1508,'Base Prueba'!A:D,4,),"NO REGISTRA")</f>
        <v>COORDINADOR DE BIBLIOTECA</v>
      </c>
      <c r="E1508" s="5" t="str">
        <f>IFERROR(VLOOKUP(A1508,'Base Prueba'!A:E,5,),"NO REGISTRA")</f>
        <v>BIBLIOTECA</v>
      </c>
    </row>
    <row r="1509" spans="1:5" ht="15.75" x14ac:dyDescent="0.25">
      <c r="A1509" s="10">
        <v>52472386</v>
      </c>
      <c r="B1509" s="2">
        <v>46052.367818634259</v>
      </c>
      <c r="C1509" s="3" t="str">
        <f>IFERROR(VLOOKUP(A1509,'Base Prueba'!A:C,3,),"NO REGISTRA")</f>
        <v>ADRIANA MARCELA MORALES PARDO</v>
      </c>
      <c r="D1509" s="4" t="str">
        <f>IFERROR(VLOOKUP(A1509,'Base Prueba'!A:D,4,),"NO REGISTRA")</f>
        <v>PROMOTOR CALL CENTER</v>
      </c>
      <c r="E1509" s="5" t="str">
        <f>IFERROR(VLOOKUP(A1509,'Base Prueba'!A:E,5,),"NO REGISTRA")</f>
        <v>OFICINA DE MERCADEO</v>
      </c>
    </row>
    <row r="1510" spans="1:5" ht="15.75" x14ac:dyDescent="0.25">
      <c r="A1510" s="10">
        <v>1012426741</v>
      </c>
      <c r="B1510" s="2">
        <v>46052.371893518517</v>
      </c>
      <c r="C1510" s="3" t="str">
        <f>IFERROR(VLOOKUP(A1510,'Base Prueba'!A:C,3,),"NO REGISTRA")</f>
        <v>CRISTIAN FABIAN ROJAS SANCENO</v>
      </c>
      <c r="D1510" s="4" t="str">
        <f>IFERROR(VLOOKUP(A1510,'Base Prueba'!A:D,4,),"NO REGISTRA")</f>
        <v>AUXILIAR DE REINTEGROS</v>
      </c>
      <c r="E1510" s="5" t="str">
        <f>IFERROR(VLOOKUP(A1510,'Base Prueba'!A:E,5,),"NO REGISTRA")</f>
        <v>DIRECCION DE BIENESTAR INSTITUCIONAL</v>
      </c>
    </row>
    <row r="1511" spans="1:5" ht="15.75" x14ac:dyDescent="0.25">
      <c r="A1511" s="10">
        <v>28798349</v>
      </c>
      <c r="B1511" s="2">
        <v>46052.372045370372</v>
      </c>
      <c r="C1511" s="3" t="str">
        <f>IFERROR(VLOOKUP(A1511,'Base Prueba'!A:C,3,),"NO REGISTRA")</f>
        <v>MARTHA ISABEL TOVAR WILLIAMS</v>
      </c>
      <c r="D1511" s="4" t="str">
        <f>IFERROR(VLOOKUP(A1511,'Base Prueba'!A:D,4,),"NO REGISTRA")</f>
        <v>PROMOTOR CALL CENTER</v>
      </c>
      <c r="E1511" s="5" t="str">
        <f>IFERROR(VLOOKUP(A1511,'Base Prueba'!A:E,5,),"NO REGISTRA")</f>
        <v>OFICINA DE MERCADEO</v>
      </c>
    </row>
    <row r="1512" spans="1:5" ht="15.75" x14ac:dyDescent="0.25">
      <c r="A1512" s="10">
        <v>1018414290</v>
      </c>
      <c r="B1512" s="2">
        <v>46052.372121180553</v>
      </c>
      <c r="C1512" s="3" t="str">
        <f>IFERROR(VLOOKUP(A1512,'Base Prueba'!A:C,3,),"NO REGISTRA")</f>
        <v>AMANDA LISBETH RODRIGUEZ LEON</v>
      </c>
      <c r="D1512" s="4" t="str">
        <f>IFERROR(VLOOKUP(A1512,'Base Prueba'!A:D,4,),"NO REGISTRA")</f>
        <v>PROMOTOR CALL CENTER</v>
      </c>
      <c r="E1512" s="5" t="str">
        <f>IFERROR(VLOOKUP(A1512,'Base Prueba'!A:E,5,),"NO REGISTRA")</f>
        <v>OFICINA DE MERCADEO</v>
      </c>
    </row>
    <row r="1513" spans="1:5" ht="15.75" x14ac:dyDescent="0.25">
      <c r="A1513" s="10">
        <v>1019105003</v>
      </c>
      <c r="B1513" s="2">
        <v>46052.372910879632</v>
      </c>
      <c r="C1513" s="3" t="str">
        <f>IFERROR(VLOOKUP(A1513,'Base Prueba'!A:C,3,),"NO REGISTRA")</f>
        <v>DAISY JULIETH GASPAR MORENO</v>
      </c>
      <c r="D1513" s="4" t="str">
        <f>IFERROR(VLOOKUP(A1513,'Base Prueba'!A:D,4,),"NO REGISTRA")</f>
        <v>PROMOTOR CALL CENTER</v>
      </c>
      <c r="E1513" s="5" t="str">
        <f>IFERROR(VLOOKUP(A1513,'Base Prueba'!A:E,5,),"NO REGISTRA")</f>
        <v>OFICINA DE MERCADEO</v>
      </c>
    </row>
    <row r="1514" spans="1:5" ht="15.75" x14ac:dyDescent="0.25">
      <c r="A1514" s="10">
        <v>1014196857</v>
      </c>
      <c r="B1514" s="2">
        <v>46052.373975925926</v>
      </c>
      <c r="C1514" s="3" t="str">
        <f>IFERROR(VLOOKUP(A1514,'Base Prueba'!A:C,3,),"NO REGISTRA")</f>
        <v>CARLOS ANDRES JIMENEZ PARDO</v>
      </c>
      <c r="D1514" s="4" t="str">
        <f>IFERROR(VLOOKUP(A1514,'Base Prueba'!A:D,4,),"NO REGISTRA")</f>
        <v>COORDINADOR DE MARKETING DIGITAL</v>
      </c>
      <c r="E1514" s="5" t="str">
        <f>IFERROR(VLOOKUP(A1514,'Base Prueba'!A:E,5,),"NO REGISTRA")</f>
        <v>OFICINA DE MERCADEO</v>
      </c>
    </row>
    <row r="1515" spans="1:5" ht="15.75" x14ac:dyDescent="0.25">
      <c r="A1515" s="10">
        <v>1014211708</v>
      </c>
      <c r="B1515" s="2">
        <v>46052.376204513886</v>
      </c>
      <c r="C1515" s="3" t="str">
        <f>IFERROR(VLOOKUP(A1515,'Base Prueba'!A:C,3,),"NO REGISTRA")</f>
        <v>JUAN MANUEL MERCADO FUENTES</v>
      </c>
      <c r="D1515" s="4" t="str">
        <f>IFERROR(VLOOKUP(A1515,'Base Prueba'!A:D,4,),"NO REGISTRA")</f>
        <v>COORDINADOR DE DISEÑO E IMAGEN INSTITUCIONAL</v>
      </c>
      <c r="E1515" s="5" t="str">
        <f>IFERROR(VLOOKUP(A1515,'Base Prueba'!A:E,5,),"NO REGISTRA")</f>
        <v>OFICINA DE MERCADEO</v>
      </c>
    </row>
    <row r="1516" spans="1:5" ht="15.75" x14ac:dyDescent="0.25">
      <c r="A1516" s="10">
        <v>52764929</v>
      </c>
      <c r="B1516" s="2">
        <v>46052.376406134259</v>
      </c>
      <c r="C1516" s="3" t="str">
        <f>IFERROR(VLOOKUP(A1516,'Base Prueba'!A:C,3,),"NO REGISTRA")</f>
        <v>GUERLY YOHANA DURAN RIVERA</v>
      </c>
      <c r="D1516" s="4" t="str">
        <f>IFERROR(VLOOKUP(A1516,'Base Prueba'!A:D,4,),"NO REGISTRA")</f>
        <v>LIDER DE VINCULACION COLEGIOS</v>
      </c>
      <c r="E1516" s="5" t="str">
        <f>IFERROR(VLOOKUP(A1516,'Base Prueba'!A:E,5,),"NO REGISTRA")</f>
        <v>OFICINA DE MERCADEO</v>
      </c>
    </row>
    <row r="1517" spans="1:5" ht="15.75" x14ac:dyDescent="0.25">
      <c r="A1517" s="10">
        <v>53089882</v>
      </c>
      <c r="B1517" s="2">
        <v>46052.378207291666</v>
      </c>
      <c r="C1517" s="3" t="str">
        <f>IFERROR(VLOOKUP(A1517,'Base Prueba'!A:C,3,),"NO REGISTRA")</f>
        <v>MARIA JOHANA ESCAMILLA MARTINEZ</v>
      </c>
      <c r="D1517" s="4" t="str">
        <f>IFERROR(VLOOKUP(A1517,'Base Prueba'!A:D,4,),"NO REGISTRA")</f>
        <v>PROMOTOR DE INFORMACIÓN</v>
      </c>
      <c r="E1517" s="5" t="str">
        <f>IFERROR(VLOOKUP(A1517,'Base Prueba'!A:E,5,),"NO REGISTRA")</f>
        <v>OFICINA DE MERCADEO</v>
      </c>
    </row>
    <row r="1518" spans="1:5" ht="15.75" x14ac:dyDescent="0.25">
      <c r="A1518" s="10">
        <v>1014266838</v>
      </c>
      <c r="B1518" s="2">
        <v>46052.410338425929</v>
      </c>
      <c r="C1518" s="3" t="str">
        <f>IFERROR(VLOOKUP(A1518,'Base Prueba'!A:C,3,),"NO REGISTRA")</f>
        <v>JENNIFER ASTRID ROMERO HURTADO</v>
      </c>
      <c r="D1518" s="4" t="str">
        <f>IFERROR(VLOOKUP(A1518,'Base Prueba'!A:D,4,),"NO REGISTRA")</f>
        <v>LIDER DE RECAUDO</v>
      </c>
      <c r="E1518" s="5" t="str">
        <f>IFERROR(VLOOKUP(A1518,'Base Prueba'!A:E,5,),"NO REGISTRA")</f>
        <v>AREA FINANCIERA Y CONTABLE</v>
      </c>
    </row>
    <row r="1519" spans="1:5" ht="15.75" x14ac:dyDescent="0.25">
      <c r="A1519" s="10">
        <v>52443092</v>
      </c>
      <c r="B1519" s="2">
        <v>46052.541111342594</v>
      </c>
      <c r="C1519" s="3" t="str">
        <f>IFERROR(VLOOKUP(A1519,'Base Prueba'!A:C,3,),"NO REGISTRA")</f>
        <v>LUZ MYRIAM SAAVEDRA CONTRERAS</v>
      </c>
      <c r="D1519" s="4" t="str">
        <f>IFERROR(VLOOKUP(A1519,'Base Prueba'!A:D,4,),"NO REGISTRA")</f>
        <v>AUXILIAR DE SERVICIOS</v>
      </c>
      <c r="E1519" s="5" t="str">
        <f>IFERROR(VLOOKUP(A1519,'Base Prueba'!A:E,5,),"NO REGISTRA")</f>
        <v>LOGISTICA Y SERVICIOS GENERALES</v>
      </c>
    </row>
    <row r="1520" spans="1:5" ht="15.75" x14ac:dyDescent="0.25">
      <c r="A1520" s="10">
        <v>1032407386</v>
      </c>
      <c r="B1520" s="2">
        <v>46052.574233564817</v>
      </c>
      <c r="C1520" s="3" t="str">
        <f>IFERROR(VLOOKUP(A1520,'Base Prueba'!A:C,3,),"NO REGISTRA")</f>
        <v>GINA PAOLA BAEZ GALVIS</v>
      </c>
      <c r="D1520" s="4" t="str">
        <f>IFERROR(VLOOKUP(A1520,'Base Prueba'!A:D,4,),"NO REGISTRA")</f>
        <v>PROMOTOR CALL CENTER</v>
      </c>
      <c r="E1520" s="5" t="str">
        <f>IFERROR(VLOOKUP(A1520,'Base Prueba'!A:E,5,),"NO REGISTRA")</f>
        <v>OFICINA DE MERCADEO</v>
      </c>
    </row>
    <row r="1521" spans="1:5" ht="15.75" x14ac:dyDescent="0.25">
      <c r="A1521" s="10">
        <v>1031802160</v>
      </c>
      <c r="B1521" s="2">
        <v>46052.706201273148</v>
      </c>
      <c r="C1521" s="3" t="str">
        <f>IFERROR(VLOOKUP(A1521,'Base Prueba'!A:C,3,),"NO REGISTRA")</f>
        <v>LUISA MARIA MAHECHA SOTOMAYOR</v>
      </c>
      <c r="D1521" s="4" t="str">
        <f>IFERROR(VLOOKUP(A1521,'Base Prueba'!A:D,4,),"NO REGISTRA")</f>
        <v>APRENDIZ UNIVERSITARIO</v>
      </c>
      <c r="E1521" s="5" t="str">
        <f>IFERROR(VLOOKUP(A1521,'Base Prueba'!A:E,5,),"NO REGISTRA")</f>
        <v>OFICINA DE MERCADEO</v>
      </c>
    </row>
    <row r="1522" spans="1:5" ht="15.75" x14ac:dyDescent="0.25">
      <c r="A1522" s="10">
        <v>1000354041</v>
      </c>
      <c r="B1522" s="2">
        <v>46052.70906458333</v>
      </c>
      <c r="C1522" s="3" t="str">
        <f>IFERROR(VLOOKUP(A1522,'Base Prueba'!A:C,3,),"NO REGISTRA")</f>
        <v>ANGIE NATALIA BOHORQUEZ SANCHEZ</v>
      </c>
      <c r="D1522" s="4" t="str">
        <f>IFERROR(VLOOKUP(A1522,'Base Prueba'!A:D,4,),"NO REGISTRA")</f>
        <v>APRENDIZ UNIVERSITARIO</v>
      </c>
      <c r="E1522" s="5" t="str">
        <f>IFERROR(VLOOKUP(A1522,'Base Prueba'!A:E,5,),"NO REGISTRA")</f>
        <v>OFICINA DE PLANEACION Y GESTION DE LA CALIDAD</v>
      </c>
    </row>
    <row r="1523" spans="1:5" ht="15.75" x14ac:dyDescent="0.25">
      <c r="A1523" s="10">
        <v>1000687931</v>
      </c>
      <c r="B1523" s="2">
        <v>46052.710861111111</v>
      </c>
      <c r="C1523" s="3" t="str">
        <f>IFERROR(VLOOKUP(A1523,'Base Prueba'!A:C,3,),"NO REGISTRA")</f>
        <v>ANDRES FELIPE PUENTES TORRES</v>
      </c>
      <c r="D1523" s="4" t="str">
        <f>IFERROR(VLOOKUP(A1523,'Base Prueba'!A:D,4,),"NO REGISTRA")</f>
        <v>AUXILIAR ADMINISTRATIVO</v>
      </c>
      <c r="E1523" s="5" t="str">
        <f>IFERROR(VLOOKUP(A1523,'Base Prueba'!A:E,5,),"NO REGISTRA")</f>
        <v>REGISTRO Y CONTROL ACADEMICO</v>
      </c>
    </row>
    <row r="1524" spans="1:5" ht="15.75" x14ac:dyDescent="0.25">
      <c r="A1524" s="10">
        <v>1014977624</v>
      </c>
      <c r="B1524" s="2">
        <v>46052.714761689815</v>
      </c>
      <c r="C1524" s="3" t="str">
        <f>IFERROR(VLOOKUP(A1524,'Base Prueba'!A:C,3,),"NO REGISTRA")</f>
        <v>NICCOLE VALENTINA HERNANDEZ MALAVER</v>
      </c>
      <c r="D1524" s="4" t="str">
        <f>IFERROR(VLOOKUP(A1524,'Base Prueba'!A:D,4,),"NO REGISTRA")</f>
        <v>APRENDIZ UNIVERSITARIO</v>
      </c>
      <c r="E1524" s="5" t="str">
        <f>IFERROR(VLOOKUP(A1524,'Base Prueba'!A:E,5,),"NO REGISTRA")</f>
        <v>AREA FINANCIERA Y CONTABLE</v>
      </c>
    </row>
    <row r="1525" spans="1:5" ht="15.75" x14ac:dyDescent="0.25">
      <c r="A1525" s="10">
        <v>1193457976</v>
      </c>
      <c r="B1525" s="2">
        <v>46052.714873379628</v>
      </c>
      <c r="C1525" s="3" t="str">
        <f>IFERROR(VLOOKUP(A1525,'Base Prueba'!A:C,3,),"NO REGISTRA")</f>
        <v>SEDENIS RIVAS ASPRILLA</v>
      </c>
      <c r="D1525" s="4" t="str">
        <f>IFERROR(VLOOKUP(A1525,'Base Prueba'!A:D,4,),"NO REGISTRA")</f>
        <v>APRENDIZ UNIVERSITARIO</v>
      </c>
      <c r="E1525" s="5" t="str">
        <f>IFERROR(VLOOKUP(A1525,'Base Prueba'!A:E,5,),"NO REGISTRA")</f>
        <v>DEPARTAMENTO DE GESTION HUMANA</v>
      </c>
    </row>
    <row r="1526" spans="1:5" ht="15.75" x14ac:dyDescent="0.25">
      <c r="A1526" s="10">
        <v>1014266838</v>
      </c>
      <c r="B1526" s="2">
        <v>46052.716709837965</v>
      </c>
      <c r="C1526" s="3" t="str">
        <f>IFERROR(VLOOKUP(A1526,'Base Prueba'!A:C,3,),"NO REGISTRA")</f>
        <v>JENNIFER ASTRID ROMERO HURTADO</v>
      </c>
      <c r="D1526" s="4" t="str">
        <f>IFERROR(VLOOKUP(A1526,'Base Prueba'!A:D,4,),"NO REGISTRA")</f>
        <v>LIDER DE RECAUDO</v>
      </c>
      <c r="E1526" s="5" t="str">
        <f>IFERROR(VLOOKUP(A1526,'Base Prueba'!A:E,5,),"NO REGISTRA")</f>
        <v>AREA FINANCIERA Y CONTABLE</v>
      </c>
    </row>
    <row r="1527" spans="1:5" ht="15.75" x14ac:dyDescent="0.25">
      <c r="A1527" s="10">
        <v>1049644802</v>
      </c>
      <c r="B1527" s="2">
        <v>46052.716832060185</v>
      </c>
      <c r="C1527" s="3" t="str">
        <f>IFERROR(VLOOKUP(A1527,'Base Prueba'!A:C,3,),"NO REGISTRA")</f>
        <v>DANIELA ALEXANDRA CIPAMOCHA BOSIGA</v>
      </c>
      <c r="D1527" s="4" t="str">
        <f>IFERROR(VLOOKUP(A1527,'Base Prueba'!A:D,4,),"NO REGISTRA")</f>
        <v>LIDER DE DATOS Y SERVICIOS</v>
      </c>
      <c r="E1527" s="5" t="str">
        <f>IFERROR(VLOOKUP(A1527,'Base Prueba'!A:E,5,),"NO REGISTRA")</f>
        <v>OFICINA DE PLANEACION Y GESTION DE LA CALIDAD</v>
      </c>
    </row>
    <row r="1528" spans="1:5" ht="15.75" x14ac:dyDescent="0.25">
      <c r="A1528" s="10">
        <v>53932358</v>
      </c>
      <c r="B1528" s="2">
        <v>46052.717752199074</v>
      </c>
      <c r="C1528" s="3" t="str">
        <f>IFERROR(VLOOKUP(A1528,'Base Prueba'!A:C,3,),"NO REGISTRA")</f>
        <v>DIANA MADELEYNE GAONA RODRIGUEZ</v>
      </c>
      <c r="D1528" s="4" t="str">
        <f>IFERROR(VLOOKUP(A1528,'Base Prueba'!A:D,4,),"NO REGISTRA")</f>
        <v>CONTADOR</v>
      </c>
      <c r="E1528" s="5" t="str">
        <f>IFERROR(VLOOKUP(A1528,'Base Prueba'!A:E,5,),"NO REGISTRA")</f>
        <v>AREA FINANCIERA Y CONTABLE</v>
      </c>
    </row>
    <row r="1529" spans="1:5" ht="15.75" x14ac:dyDescent="0.25">
      <c r="A1529" s="10">
        <v>1087121273</v>
      </c>
      <c r="B1529" s="2">
        <v>46052.720764930556</v>
      </c>
      <c r="C1529" s="3" t="str">
        <f>IFERROR(VLOOKUP(A1529,'Base Prueba'!A:C,3,),"NO REGISTRA")</f>
        <v>MAYRA ALEJANDRA CASTILLO ARBOLEDA</v>
      </c>
      <c r="D1529" s="4" t="str">
        <f>IFERROR(VLOOKUP(A1529,'Base Prueba'!A:D,4,),"NO REGISTRA")</f>
        <v>APOYO INTEGRAL DE MERCADEO</v>
      </c>
      <c r="E1529" s="5" t="str">
        <f>IFERROR(VLOOKUP(A1529,'Base Prueba'!A:E,5,),"NO REGISTRA")</f>
        <v>CENTRO DE GESTION DOCUMENTAL</v>
      </c>
    </row>
    <row r="1530" spans="1:5" ht="15.75" x14ac:dyDescent="0.25">
      <c r="A1530" s="10">
        <v>1032469638</v>
      </c>
      <c r="B1530" s="2">
        <v>46052.72294861111</v>
      </c>
      <c r="C1530" s="3" t="str">
        <f>IFERROR(VLOOKUP(A1530,'Base Prueba'!A:C,3,),"NO REGISTRA")</f>
        <v>MAICOL JARBEY GUALTEROS CASTAÑEDA</v>
      </c>
      <c r="D1530" s="4" t="str">
        <f>IFERROR(VLOOKUP(A1530,'Base Prueba'!A:D,4,),"NO REGISTRA")</f>
        <v>COORDINADOR DEL SISTEMA INTERNO DE ASEGURAMIENTO DE LA CALIDAD - SIAC</v>
      </c>
      <c r="E1530" s="5" t="str">
        <f>IFERROR(VLOOKUP(A1530,'Base Prueba'!A:E,5,),"NO REGISTRA")</f>
        <v>OFICINA DE PLANEACION Y GESTION DE LA CALIDAD</v>
      </c>
    </row>
    <row r="1531" spans="1:5" ht="15.75" x14ac:dyDescent="0.25">
      <c r="A1531" s="10">
        <v>1000593372</v>
      </c>
      <c r="B1531" s="2">
        <v>46052.727966319442</v>
      </c>
      <c r="C1531" s="3" t="str">
        <f>IFERROR(VLOOKUP(A1531,'Base Prueba'!A:C,3,),"NO REGISTRA")</f>
        <v>LAURA SOFIA CHAPARRO LOPEZ</v>
      </c>
      <c r="D1531" s="4" t="str">
        <f>IFERROR(VLOOKUP(A1531,'Base Prueba'!A:D,4,),"NO REGISTRA")</f>
        <v>AUXILIAR JURIDICO</v>
      </c>
      <c r="E1531" s="5" t="str">
        <f>IFERROR(VLOOKUP(A1531,'Base Prueba'!A:E,5,),"NO REGISTRA")</f>
        <v>SECRETARIA GENERAL</v>
      </c>
    </row>
    <row r="1532" spans="1:5" ht="15.75" x14ac:dyDescent="0.25">
      <c r="A1532" s="10">
        <v>1000604979</v>
      </c>
      <c r="B1532" s="2">
        <v>46052.728086574076</v>
      </c>
      <c r="C1532" s="3" t="str">
        <f>IFERROR(VLOOKUP(A1532,'Base Prueba'!A:C,3,),"NO REGISTRA")</f>
        <v>JULIETH TATIANA PARDO PINTO</v>
      </c>
      <c r="D1532" s="4" t="str">
        <f>IFERROR(VLOOKUP(A1532,'Base Prueba'!A:D,4,),"NO REGISTRA")</f>
        <v>AUXILIAR JURIDICO</v>
      </c>
      <c r="E1532" s="5" t="str">
        <f>IFERROR(VLOOKUP(A1532,'Base Prueba'!A:E,5,),"NO REGISTRA")</f>
        <v>SECRETARIA GENERAL</v>
      </c>
    </row>
    <row r="1533" spans="1:5" ht="15.75" x14ac:dyDescent="0.25">
      <c r="A1533" s="10">
        <v>1016090131</v>
      </c>
      <c r="B1533" s="2">
        <v>46052.728734027776</v>
      </c>
      <c r="C1533" s="3" t="str">
        <f>IFERROR(VLOOKUP(A1533,'Base Prueba'!A:C,3,),"NO REGISTRA")</f>
        <v>NICOLAS RODRIGUEZ PACHECO</v>
      </c>
      <c r="D1533" s="4" t="str">
        <f>IFERROR(VLOOKUP(A1533,'Base Prueba'!A:D,4,),"NO REGISTRA")</f>
        <v>COORDINADOR DE COMUNICACIONES</v>
      </c>
      <c r="E1533" s="5" t="str">
        <f>IFERROR(VLOOKUP(A1533,'Base Prueba'!A:E,5,),"NO REGISTRA")</f>
        <v>OFICINA DE MERCADEO</v>
      </c>
    </row>
    <row r="1534" spans="1:5" ht="15.75" x14ac:dyDescent="0.25">
      <c r="A1534" s="10">
        <v>1000457706</v>
      </c>
      <c r="B1534" s="2">
        <v>46052.741695717596</v>
      </c>
      <c r="C1534" s="3" t="str">
        <f>IFERROR(VLOOKUP(A1534,'Base Prueba'!A:C,3,),"NO REGISTRA")</f>
        <v>CRISTIAN DANILO ARROYO SANABRIA</v>
      </c>
      <c r="D1534" s="4" t="str">
        <f>IFERROR(VLOOKUP(A1534,'Base Prueba'!A:D,4,),"NO REGISTRA")</f>
        <v>AUXILIAR CONTABLE</v>
      </c>
      <c r="E1534" s="5" t="str">
        <f>IFERROR(VLOOKUP(A1534,'Base Prueba'!A:E,5,),"NO REGISTRA")</f>
        <v>AREA FINANCIERA Y CONTABLE</v>
      </c>
    </row>
    <row r="1535" spans="1:5" ht="15.75" x14ac:dyDescent="0.25">
      <c r="A1535" s="10">
        <v>1014308296</v>
      </c>
      <c r="B1535" s="2">
        <v>46052.743349305558</v>
      </c>
      <c r="C1535" s="3" t="str">
        <f>IFERROR(VLOOKUP(A1535,'Base Prueba'!A:C,3,),"NO REGISTRA")</f>
        <v>DARLENE YULIANA MORENO CELEITA</v>
      </c>
      <c r="D1535" s="4" t="str">
        <f>IFERROR(VLOOKUP(A1535,'Base Prueba'!A:D,4,),"NO REGISTRA")</f>
        <v>CAJERO PRINCIPAL</v>
      </c>
      <c r="E1535" s="5" t="str">
        <f>IFERROR(VLOOKUP(A1535,'Base Prueba'!A:E,5,),"NO REGISTRA")</f>
        <v>AREA FINANCIERA Y CONTABLE</v>
      </c>
    </row>
    <row r="1536" spans="1:5" ht="15.75" x14ac:dyDescent="0.25">
      <c r="A1536" s="10">
        <v>80238161</v>
      </c>
      <c r="B1536" s="2">
        <v>46052.743574074077</v>
      </c>
      <c r="C1536" s="3" t="str">
        <f>IFERROR(VLOOKUP(A1536,'Base Prueba'!A:C,3,),"NO REGISTRA")</f>
        <v>GERMAN CARRANZA ESPITIA</v>
      </c>
      <c r="D1536" s="4" t="str">
        <f>IFERROR(VLOOKUP(A1536,'Base Prueba'!A:D,4,),"NO REGISTRA")</f>
        <v>TESORERO</v>
      </c>
      <c r="E1536" s="5" t="str">
        <f>IFERROR(VLOOKUP(A1536,'Base Prueba'!A:E,5,),"NO REGISTRA")</f>
        <v>AREA FINANCIERA Y CONTABLE</v>
      </c>
    </row>
    <row r="1537" spans="1:5" ht="15.75" x14ac:dyDescent="0.25">
      <c r="A1537" s="10">
        <v>1012357415</v>
      </c>
      <c r="B1537" s="2">
        <v>46052.746024074077</v>
      </c>
      <c r="C1537" s="3" t="str">
        <f>IFERROR(VLOOKUP(A1537,'Base Prueba'!A:C,3,),"NO REGISTRA")</f>
        <v>CINDY LORENA BOHORQUEZ LEYVA</v>
      </c>
      <c r="D1537" s="4" t="str">
        <f>IFERROR(VLOOKUP(A1537,'Base Prueba'!A:D,4,),"NO REGISTRA")</f>
        <v>ANALISTA DE TESORERIA</v>
      </c>
      <c r="E1537" s="5" t="str">
        <f>IFERROR(VLOOKUP(A1537,'Base Prueba'!A:E,5,),"NO REGISTRA")</f>
        <v>AREA FINANCIERA Y CONTABLE</v>
      </c>
    </row>
    <row r="1538" spans="1:5" ht="15.75" x14ac:dyDescent="0.25">
      <c r="A1538" s="10">
        <v>1014211708</v>
      </c>
      <c r="B1538" s="2">
        <v>46052.749256249997</v>
      </c>
      <c r="C1538" s="3" t="str">
        <f>IFERROR(VLOOKUP(A1538,'Base Prueba'!A:C,3,),"NO REGISTRA")</f>
        <v>JUAN MANUEL MERCADO FUENTES</v>
      </c>
      <c r="D1538" s="4" t="str">
        <f>IFERROR(VLOOKUP(A1538,'Base Prueba'!A:D,4,),"NO REGISTRA")</f>
        <v>COORDINADOR DE DISEÑO E IMAGEN INSTITUCIONAL</v>
      </c>
      <c r="E1538" s="5" t="str">
        <f>IFERROR(VLOOKUP(A1538,'Base Prueba'!A:E,5,),"NO REGISTRA")</f>
        <v>OFICINA DE MERCADEO</v>
      </c>
    </row>
    <row r="1539" spans="1:5" ht="15.75" x14ac:dyDescent="0.25">
      <c r="A1539" s="10">
        <v>52764929</v>
      </c>
      <c r="B1539" s="2">
        <v>46052.752080555554</v>
      </c>
      <c r="C1539" s="3" t="str">
        <f>IFERROR(VLOOKUP(A1539,'Base Prueba'!A:C,3,),"NO REGISTRA")</f>
        <v>GUERLY YOHANA DURAN RIVERA</v>
      </c>
      <c r="D1539" s="4" t="str">
        <f>IFERROR(VLOOKUP(A1539,'Base Prueba'!A:D,4,),"NO REGISTRA")</f>
        <v>LIDER DE VINCULACION COLEGIOS</v>
      </c>
      <c r="E1539" s="5" t="str">
        <f>IFERROR(VLOOKUP(A1539,'Base Prueba'!A:E,5,),"NO REGISTRA")</f>
        <v>OFICINA DE MERCADEO</v>
      </c>
    </row>
    <row r="1540" spans="1:5" ht="15.75" x14ac:dyDescent="0.25">
      <c r="A1540" s="10">
        <v>52474489</v>
      </c>
      <c r="B1540" s="2">
        <v>46052.75295115741</v>
      </c>
      <c r="C1540" s="3" t="str">
        <f>IFERROR(VLOOKUP(A1540,'Base Prueba'!A:C,3,),"NO REGISTRA")</f>
        <v>ADRIANA JIMENA SOTO BOCANEGRA</v>
      </c>
      <c r="D1540" s="4" t="str">
        <f>IFERROR(VLOOKUP(A1540,'Base Prueba'!A:D,4,),"NO REGISTRA")</f>
        <v>COORDINADOR DE LA OFICINA DE REGISTRO Y CONTROL</v>
      </c>
      <c r="E1540" s="5" t="str">
        <f>IFERROR(VLOOKUP(A1540,'Base Prueba'!A:E,5,),"NO REGISTRA")</f>
        <v>REGISTRO Y CONTROL ACADEMICO</v>
      </c>
    </row>
    <row r="1541" spans="1:5" ht="15.75" x14ac:dyDescent="0.25">
      <c r="A1541" s="10">
        <v>1019105003</v>
      </c>
      <c r="B1541" s="2">
        <v>46052.753662731484</v>
      </c>
      <c r="C1541" s="3" t="str">
        <f>IFERROR(VLOOKUP(A1541,'Base Prueba'!A:C,3,),"NO REGISTRA")</f>
        <v>DAISY JULIETH GASPAR MORENO</v>
      </c>
      <c r="D1541" s="4" t="str">
        <f>IFERROR(VLOOKUP(A1541,'Base Prueba'!A:D,4,),"NO REGISTRA")</f>
        <v>PROMOTOR CALL CENTER</v>
      </c>
      <c r="E1541" s="5" t="str">
        <f>IFERROR(VLOOKUP(A1541,'Base Prueba'!A:E,5,),"NO REGISTRA")</f>
        <v>OFICINA DE MERCADEO</v>
      </c>
    </row>
    <row r="1542" spans="1:5" ht="15.75" x14ac:dyDescent="0.25">
      <c r="A1542" s="10">
        <v>1018414290</v>
      </c>
      <c r="B1542" s="2">
        <v>46052.753714120372</v>
      </c>
      <c r="C1542" s="3" t="str">
        <f>IFERROR(VLOOKUP(A1542,'Base Prueba'!A:C,3,),"NO REGISTRA")</f>
        <v>AMANDA LISBETH RODRIGUEZ LEON</v>
      </c>
      <c r="D1542" s="4" t="str">
        <f>IFERROR(VLOOKUP(A1542,'Base Prueba'!A:D,4,),"NO REGISTRA")</f>
        <v>PROMOTOR CALL CENTER</v>
      </c>
      <c r="E1542" s="5" t="str">
        <f>IFERROR(VLOOKUP(A1542,'Base Prueba'!A:E,5,),"NO REGISTRA")</f>
        <v>OFICINA DE MERCADEO</v>
      </c>
    </row>
    <row r="1543" spans="1:5" ht="15.75" x14ac:dyDescent="0.25">
      <c r="A1543" s="10">
        <v>1000257136</v>
      </c>
      <c r="B1543" s="2">
        <v>46052.753965509262</v>
      </c>
      <c r="C1543" s="3" t="str">
        <f>IFERROR(VLOOKUP(A1543,'Base Prueba'!A:C,3,),"NO REGISTRA")</f>
        <v>FRANCI VALENTINA CANO PUENTES</v>
      </c>
      <c r="D1543" s="4" t="str">
        <f>IFERROR(VLOOKUP(A1543,'Base Prueba'!A:D,4,),"NO REGISTRA")</f>
        <v>AUXILIAR CONTABLE</v>
      </c>
      <c r="E1543" s="5" t="str">
        <f>IFERROR(VLOOKUP(A1543,'Base Prueba'!A:E,5,),"NO REGISTRA")</f>
        <v>AREA FINANCIERA Y CONTABLE</v>
      </c>
    </row>
    <row r="1544" spans="1:5" ht="15.75" x14ac:dyDescent="0.25">
      <c r="A1544" s="10">
        <v>1003690253</v>
      </c>
      <c r="B1544" s="2">
        <v>46052.754583101851</v>
      </c>
      <c r="C1544" s="3" t="str">
        <f>IFERROR(VLOOKUP(A1544,'Base Prueba'!A:C,3,),"NO REGISTRA")</f>
        <v>MELISSA GONZALEZ PEDRAZA</v>
      </c>
      <c r="D1544" s="4" t="str">
        <f>IFERROR(VLOOKUP(A1544,'Base Prueba'!A:D,4,),"NO REGISTRA")</f>
        <v>LIDER DE JOVENES A LA E</v>
      </c>
      <c r="E1544" s="5" t="str">
        <f>IFERROR(VLOOKUP(A1544,'Base Prueba'!A:E,5,),"NO REGISTRA")</f>
        <v>DIRECCION DE BIENESTAR INSTITUCIONAL</v>
      </c>
    </row>
    <row r="1545" spans="1:5" ht="15.75" x14ac:dyDescent="0.25">
      <c r="A1545" s="10">
        <v>1013616244</v>
      </c>
      <c r="B1545" s="2">
        <v>46052.756401851853</v>
      </c>
      <c r="C1545" s="3" t="str">
        <f>IFERROR(VLOOKUP(A1545,'Base Prueba'!A:C,3,),"NO REGISTRA")</f>
        <v>DIANA CAROLINA MARIN BETANCOURT</v>
      </c>
      <c r="D1545" s="4" t="str">
        <f>IFERROR(VLOOKUP(A1545,'Base Prueba'!A:D,4,),"NO REGISTRA")</f>
        <v>AUXILIAR ADMINISTRATIVO</v>
      </c>
      <c r="E1545" s="5" t="str">
        <f>IFERROR(VLOOKUP(A1545,'Base Prueba'!A:E,5,),"NO REGISTRA")</f>
        <v>REGISTRO Y CONTROL ACADEMICO</v>
      </c>
    </row>
    <row r="1546" spans="1:5" ht="15.75" x14ac:dyDescent="0.25">
      <c r="A1546" s="10">
        <v>1033709056</v>
      </c>
      <c r="B1546" s="2">
        <v>46052.767055671298</v>
      </c>
      <c r="C1546" s="3" t="str">
        <f>IFERROR(VLOOKUP(A1546,'Base Prueba'!A:C,3,),"NO REGISTRA")</f>
        <v>YEIMY ALEXANDRA RODRIGUEZ PALACIO</v>
      </c>
      <c r="D1546" s="4" t="str">
        <f>IFERROR(VLOOKUP(A1546,'Base Prueba'!A:D,4,),"NO REGISTRA")</f>
        <v>PROMOTOR CALL CENTER</v>
      </c>
      <c r="E1546" s="5" t="str">
        <f>IFERROR(VLOOKUP(A1546,'Base Prueba'!A:E,5,),"NO REGISTRA")</f>
        <v>OFICINA DE MERCADEO</v>
      </c>
    </row>
    <row r="1547" spans="1:5" ht="15.75" x14ac:dyDescent="0.25">
      <c r="A1547" s="10">
        <v>52175674</v>
      </c>
      <c r="B1547" s="2">
        <v>46052.770214351855</v>
      </c>
      <c r="C1547" s="3" t="str">
        <f>IFERROR(VLOOKUP(A1547,'Base Prueba'!A:C,3,),"NO REGISTRA")</f>
        <v>LUZ YANETH GOMEZ AREVALO</v>
      </c>
      <c r="D1547" s="4" t="str">
        <f>IFERROR(VLOOKUP(A1547,'Base Prueba'!A:D,4,),"NO REGISTRA")</f>
        <v>COORDINADORA DE ADMISIONES</v>
      </c>
      <c r="E1547" s="5" t="str">
        <f>IFERROR(VLOOKUP(A1547,'Base Prueba'!A:E,5,),"NO REGISTRA")</f>
        <v>OFICINA DE MERCADEO</v>
      </c>
    </row>
    <row r="1548" spans="1:5" ht="15.75" x14ac:dyDescent="0.25">
      <c r="A1548" s="10">
        <v>1023883232</v>
      </c>
      <c r="B1548" s="2">
        <v>46052.777828703707</v>
      </c>
      <c r="C1548" s="3" t="str">
        <f>IFERROR(VLOOKUP(A1548,'Base Prueba'!A:C,3,),"NO REGISTRA")</f>
        <v>MONICA ANDREA ACERO URBANO</v>
      </c>
      <c r="D1548" s="4" t="str">
        <f>IFERROR(VLOOKUP(A1548,'Base Prueba'!A:D,4,),"NO REGISTRA")</f>
        <v>APOYO INTEGRAL A GESTION HUMANA</v>
      </c>
      <c r="E1548" s="5" t="str">
        <f>IFERROR(VLOOKUP(A1548,'Base Prueba'!A:E,5,),"NO REGISTRA")</f>
        <v>DEPARTAMENTO DE GESTION HUMANA</v>
      </c>
    </row>
    <row r="1549" spans="1:5" ht="15.75" x14ac:dyDescent="0.25">
      <c r="A1549" s="10">
        <v>1022996882</v>
      </c>
      <c r="B1549" s="2">
        <v>46052.777912731479</v>
      </c>
      <c r="C1549" s="3" t="str">
        <f>IFERROR(VLOOKUP(A1549,'Base Prueba'!A:C,3,),"NO REGISTRA")</f>
        <v>NANCY BRIGITH ALDANA GUEVARA</v>
      </c>
      <c r="D1549" s="4" t="str">
        <f>IFERROR(VLOOKUP(A1549,'Base Prueba'!A:D,4,),"NO REGISTRA")</f>
        <v>COORDINADORA DE GESTIÓN HUMANA</v>
      </c>
      <c r="E1549" s="5" t="str">
        <f>IFERROR(VLOOKUP(A1549,'Base Prueba'!A:E,5,),"NO REGISTRA")</f>
        <v>DEPARTAMENTO DE GESTION HUMANA</v>
      </c>
    </row>
    <row r="1550" spans="1:5" ht="15.75" x14ac:dyDescent="0.25">
      <c r="A1550" s="10">
        <v>28798349</v>
      </c>
      <c r="B1550" s="2">
        <v>46052.781306481484</v>
      </c>
      <c r="C1550" s="3" t="str">
        <f>IFERROR(VLOOKUP(A1550,'Base Prueba'!A:C,3,),"NO REGISTRA")</f>
        <v>MARTHA ISABEL TOVAR WILLIAMS</v>
      </c>
      <c r="D1550" s="4" t="str">
        <f>IFERROR(VLOOKUP(A1550,'Base Prueba'!A:D,4,),"NO REGISTRA")</f>
        <v>PROMOTOR CALL CENTER</v>
      </c>
      <c r="E1550" s="5" t="str">
        <f>IFERROR(VLOOKUP(A1550,'Base Prueba'!A:E,5,),"NO REGISTRA")</f>
        <v>OFICINA DE MERCADEO</v>
      </c>
    </row>
    <row r="1551" spans="1:5" ht="15.75" x14ac:dyDescent="0.25">
      <c r="A1551" s="10">
        <v>53089882</v>
      </c>
      <c r="B1551" s="2">
        <v>46052.781412962962</v>
      </c>
      <c r="C1551" s="3" t="str">
        <f>IFERROR(VLOOKUP(A1551,'Base Prueba'!A:C,3,),"NO REGISTRA")</f>
        <v>MARIA JOHANA ESCAMILLA MARTINEZ</v>
      </c>
      <c r="D1551" s="4" t="str">
        <f>IFERROR(VLOOKUP(A1551,'Base Prueba'!A:D,4,),"NO REGISTRA")</f>
        <v>PROMOTOR DE INFORMACIÓN</v>
      </c>
      <c r="E1551" s="5" t="str">
        <f>IFERROR(VLOOKUP(A1551,'Base Prueba'!A:E,5,),"NO REGISTRA")</f>
        <v>OFICINA DE MERCADEO</v>
      </c>
    </row>
    <row r="1552" spans="1:5" ht="15.75" x14ac:dyDescent="0.25">
      <c r="A1552" s="10">
        <v>1018413529</v>
      </c>
      <c r="B1552" s="2">
        <v>46052.781480324076</v>
      </c>
      <c r="C1552" s="3" t="str">
        <f>IFERROR(VLOOKUP(A1552,'Base Prueba'!A:C,3,),"NO REGISTRA")</f>
        <v>FRANCY STELLA CHARRY MORENO</v>
      </c>
      <c r="D1552" s="4" t="str">
        <f>IFERROR(VLOOKUP(A1552,'Base Prueba'!A:D,4,),"NO REGISTRA")</f>
        <v>PROMOTOR COMERCIAL DEL CEA</v>
      </c>
      <c r="E1552" s="5" t="str">
        <f>IFERROR(VLOOKUP(A1552,'Base Prueba'!A:E,5,),"NO REGISTRA")</f>
        <v>OFICINA DE MERCADEO</v>
      </c>
    </row>
    <row r="1553" spans="1:5" ht="15.75" x14ac:dyDescent="0.25">
      <c r="A1553" s="10">
        <v>1193265768</v>
      </c>
      <c r="B1553" s="2">
        <v>46052.790310763892</v>
      </c>
      <c r="C1553" s="3" t="str">
        <f>IFERROR(VLOOKUP(A1553,'Base Prueba'!A:C,3,),"NO REGISTRA")</f>
        <v>SANTIAGO OSORIO CAMACHO</v>
      </c>
      <c r="D1553" s="4" t="str">
        <f>IFERROR(VLOOKUP(A1553,'Base Prueba'!A:D,4,),"NO REGISTRA")</f>
        <v>ANALISTA DE PAUTA</v>
      </c>
      <c r="E1553" s="5" t="str">
        <f>IFERROR(VLOOKUP(A1553,'Base Prueba'!A:E,5,),"NO REGISTRA")</f>
        <v>OFICINA DE MERCADEO</v>
      </c>
    </row>
    <row r="1554" spans="1:5" ht="15.75" x14ac:dyDescent="0.25">
      <c r="A1554" s="10">
        <v>1014196857</v>
      </c>
      <c r="B1554" s="2">
        <v>46052.790493981483</v>
      </c>
      <c r="C1554" s="3" t="str">
        <f>IFERROR(VLOOKUP(A1554,'Base Prueba'!A:C,3,),"NO REGISTRA")</f>
        <v>CARLOS ANDRES JIMENEZ PARDO</v>
      </c>
      <c r="D1554" s="4" t="str">
        <f>IFERROR(VLOOKUP(A1554,'Base Prueba'!A:D,4,),"NO REGISTRA")</f>
        <v>COORDINADOR DE MARKETING DIGITAL</v>
      </c>
      <c r="E1554" s="5" t="str">
        <f>IFERROR(VLOOKUP(A1554,'Base Prueba'!A:E,5,),"NO REGISTRA")</f>
        <v>OFICINA DE MERCADEO</v>
      </c>
    </row>
    <row r="1555" spans="1:5" ht="15.75" x14ac:dyDescent="0.25">
      <c r="A1555" s="10">
        <v>52472386</v>
      </c>
      <c r="B1555" s="2">
        <v>46052.804559490738</v>
      </c>
      <c r="C1555" s="3" t="str">
        <f>IFERROR(VLOOKUP(A1555,'Base Prueba'!A:C,3,),"NO REGISTRA")</f>
        <v>ADRIANA MARCELA MORALES PARDO</v>
      </c>
      <c r="D1555" s="4" t="str">
        <f>IFERROR(VLOOKUP(A1555,'Base Prueba'!A:D,4,),"NO REGISTRA")</f>
        <v>PROMOTOR CALL CENTER</v>
      </c>
      <c r="E1555" s="5" t="str">
        <f>IFERROR(VLOOKUP(A1555,'Base Prueba'!A:E,5,),"NO REGISTRA")</f>
        <v>OFICINA DE MERCADEO</v>
      </c>
    </row>
    <row r="1556" spans="1:5" ht="15.75" x14ac:dyDescent="0.25">
      <c r="A1556" s="10">
        <v>80234243</v>
      </c>
      <c r="B1556" s="2">
        <v>46052.809380671293</v>
      </c>
      <c r="C1556" s="3" t="str">
        <f>IFERROR(VLOOKUP(A1556,'Base Prueba'!A:C,3,),"NO REGISTRA")</f>
        <v>ARGENIS MARTINEZ MARTINEZ</v>
      </c>
      <c r="D1556" s="4" t="str">
        <f>IFERROR(VLOOKUP(A1556,'Base Prueba'!A:D,4,),"NO REGISTRA")</f>
        <v>LIDER CALL CENTER</v>
      </c>
      <c r="E1556" s="5" t="str">
        <f>IFERROR(VLOOKUP(A1556,'Base Prueba'!A:E,5,),"NO REGISTRA")</f>
        <v>OFICINA DE MERCADEO</v>
      </c>
    </row>
    <row r="1557" spans="1:5" ht="15.75" x14ac:dyDescent="0.25">
      <c r="A1557" s="10">
        <v>1016090131</v>
      </c>
      <c r="B1557" s="2">
        <v>46053.317660416666</v>
      </c>
      <c r="C1557" s="3" t="str">
        <f>IFERROR(VLOOKUP(A1557,'Base Prueba'!A:C,3,),"NO REGISTRA")</f>
        <v>NICOLAS RODRIGUEZ PACHECO</v>
      </c>
      <c r="D1557" s="4" t="str">
        <f>IFERROR(VLOOKUP(A1557,'Base Prueba'!A:D,4,),"NO REGISTRA")</f>
        <v>COORDINADOR DE COMUNICACIONES</v>
      </c>
      <c r="E1557" s="5" t="str">
        <f>IFERROR(VLOOKUP(A1557,'Base Prueba'!A:E,5,),"NO REGISTRA")</f>
        <v>OFICINA DE MERCADEO</v>
      </c>
    </row>
    <row r="1558" spans="1:5" ht="15.75" x14ac:dyDescent="0.25">
      <c r="A1558" s="10">
        <v>1193457976</v>
      </c>
      <c r="B1558" s="2">
        <v>46053.327656828704</v>
      </c>
      <c r="C1558" s="3" t="str">
        <f>IFERROR(VLOOKUP(A1558,'Base Prueba'!A:C,3,),"NO REGISTRA")</f>
        <v>SEDENIS RIVAS ASPRILLA</v>
      </c>
      <c r="D1558" s="4" t="str">
        <f>IFERROR(VLOOKUP(A1558,'Base Prueba'!A:D,4,),"NO REGISTRA")</f>
        <v>APRENDIZ UNIVERSITARIO</v>
      </c>
      <c r="E1558" s="5" t="str">
        <f>IFERROR(VLOOKUP(A1558,'Base Prueba'!A:E,5,),"NO REGISTRA")</f>
        <v>DEPARTAMENTO DE GESTION HUMANA</v>
      </c>
    </row>
    <row r="1559" spans="1:5" ht="15.75" x14ac:dyDescent="0.25">
      <c r="A1559" s="10">
        <v>1022996882</v>
      </c>
      <c r="B1559" s="2">
        <v>46053.328097685182</v>
      </c>
      <c r="C1559" s="3" t="str">
        <f>IFERROR(VLOOKUP(A1559,'Base Prueba'!A:C,3,),"NO REGISTRA")</f>
        <v>NANCY BRIGITH ALDANA GUEVARA</v>
      </c>
      <c r="D1559" s="4" t="str">
        <f>IFERROR(VLOOKUP(A1559,'Base Prueba'!A:D,4,),"NO REGISTRA")</f>
        <v>COORDINADORA DE GESTIÓN HUMANA</v>
      </c>
      <c r="E1559" s="5" t="str">
        <f>IFERROR(VLOOKUP(A1559,'Base Prueba'!A:E,5,),"NO REGISTRA")</f>
        <v>DEPARTAMENTO DE GESTION HUMANA</v>
      </c>
    </row>
    <row r="1560" spans="1:5" ht="15.75" x14ac:dyDescent="0.25">
      <c r="A1560" s="10">
        <v>1023883232</v>
      </c>
      <c r="B1560" s="2">
        <v>46053.328511111111</v>
      </c>
      <c r="C1560" s="3" t="str">
        <f>IFERROR(VLOOKUP(A1560,'Base Prueba'!A:C,3,),"NO REGISTRA")</f>
        <v>MONICA ANDREA ACERO URBANO</v>
      </c>
      <c r="D1560" s="4" t="str">
        <f>IFERROR(VLOOKUP(A1560,'Base Prueba'!A:D,4,),"NO REGISTRA")</f>
        <v>APOYO INTEGRAL A GESTION HUMANA</v>
      </c>
      <c r="E1560" s="5" t="str">
        <f>IFERROR(VLOOKUP(A1560,'Base Prueba'!A:E,5,),"NO REGISTRA")</f>
        <v>DEPARTAMENTO DE GESTION HUMANA</v>
      </c>
    </row>
    <row r="1561" spans="1:5" ht="15.75" x14ac:dyDescent="0.25">
      <c r="A1561" s="10">
        <v>1031802160</v>
      </c>
      <c r="B1561" s="2">
        <v>46053.329986111108</v>
      </c>
      <c r="C1561" s="3" t="str">
        <f>IFERROR(VLOOKUP(A1561,'Base Prueba'!A:C,3,),"NO REGISTRA")</f>
        <v>LUISA MARIA MAHECHA SOTOMAYOR</v>
      </c>
      <c r="D1561" s="4" t="str">
        <f>IFERROR(VLOOKUP(A1561,'Base Prueba'!A:D,4,),"NO REGISTRA")</f>
        <v>APRENDIZ UNIVERSITARIO</v>
      </c>
      <c r="E1561" s="5" t="str">
        <f>IFERROR(VLOOKUP(A1561,'Base Prueba'!A:E,5,),"NO REGISTRA")</f>
        <v>OFICINA DE MERCADEO</v>
      </c>
    </row>
    <row r="1562" spans="1:5" ht="15.75" x14ac:dyDescent="0.25">
      <c r="A1562" s="10">
        <v>1013616244</v>
      </c>
      <c r="B1562" s="2">
        <v>46053.330638078703</v>
      </c>
      <c r="C1562" s="3" t="str">
        <f>IFERROR(VLOOKUP(A1562,'Base Prueba'!A:C,3,),"NO REGISTRA")</f>
        <v>DIANA CAROLINA MARIN BETANCOURT</v>
      </c>
      <c r="D1562" s="4" t="str">
        <f>IFERROR(VLOOKUP(A1562,'Base Prueba'!A:D,4,),"NO REGISTRA")</f>
        <v>AUXILIAR ADMINISTRATIVO</v>
      </c>
      <c r="E1562" s="5" t="str">
        <f>IFERROR(VLOOKUP(A1562,'Base Prueba'!A:E,5,),"NO REGISTRA")</f>
        <v>REGISTRO Y CONTROL ACADEMICO</v>
      </c>
    </row>
    <row r="1563" spans="1:5" ht="15.75" x14ac:dyDescent="0.25">
      <c r="A1563" s="10">
        <v>1014211708</v>
      </c>
      <c r="B1563" s="2">
        <v>46053.336235069444</v>
      </c>
      <c r="C1563" s="3" t="str">
        <f>IFERROR(VLOOKUP(A1563,'Base Prueba'!A:C,3,),"NO REGISTRA")</f>
        <v>JUAN MANUEL MERCADO FUENTES</v>
      </c>
      <c r="D1563" s="4" t="str">
        <f>IFERROR(VLOOKUP(A1563,'Base Prueba'!A:D,4,),"NO REGISTRA")</f>
        <v>COORDINADOR DE DISEÑO E IMAGEN INSTITUCIONAL</v>
      </c>
      <c r="E1563" s="5" t="str">
        <f>IFERROR(VLOOKUP(A1563,'Base Prueba'!A:E,5,),"NO REGISTRA")</f>
        <v>OFICINA DE MERCADEO</v>
      </c>
    </row>
    <row r="1564" spans="1:5" ht="15.75" x14ac:dyDescent="0.25">
      <c r="A1564" s="10">
        <v>28798349</v>
      </c>
      <c r="B1564" s="2">
        <v>46053.3456568287</v>
      </c>
      <c r="C1564" s="3" t="str">
        <f>IFERROR(VLOOKUP(A1564,'Base Prueba'!A:C,3,),"NO REGISTRA")</f>
        <v>MARTHA ISABEL TOVAR WILLIAMS</v>
      </c>
      <c r="D1564" s="4" t="str">
        <f>IFERROR(VLOOKUP(A1564,'Base Prueba'!A:D,4,),"NO REGISTRA")</f>
        <v>PROMOTOR CALL CENTER</v>
      </c>
      <c r="E1564" s="5" t="str">
        <f>IFERROR(VLOOKUP(A1564,'Base Prueba'!A:E,5,),"NO REGISTRA")</f>
        <v>OFICINA DE MERCADEO</v>
      </c>
    </row>
    <row r="1565" spans="1:5" ht="15.75" x14ac:dyDescent="0.25">
      <c r="A1565" s="10">
        <v>80234243</v>
      </c>
      <c r="B1565" s="2">
        <v>46053.354924768515</v>
      </c>
      <c r="C1565" s="3" t="str">
        <f>IFERROR(VLOOKUP(A1565,'Base Prueba'!A:C,3,),"NO REGISTRA")</f>
        <v>ARGENIS MARTINEZ MARTINEZ</v>
      </c>
      <c r="D1565" s="4" t="str">
        <f>IFERROR(VLOOKUP(A1565,'Base Prueba'!A:D,4,),"NO REGISTRA")</f>
        <v>LIDER CALL CENTER</v>
      </c>
      <c r="E1565" s="5" t="str">
        <f>IFERROR(VLOOKUP(A1565,'Base Prueba'!A:E,5,),"NO REGISTRA")</f>
        <v>OFICINA DE MERCADEO</v>
      </c>
    </row>
    <row r="1566" spans="1:5" ht="15.75" x14ac:dyDescent="0.25">
      <c r="A1566" s="10">
        <v>1019105003</v>
      </c>
      <c r="B1566" s="2">
        <v>46053.358888541668</v>
      </c>
      <c r="C1566" s="3" t="str">
        <f>IFERROR(VLOOKUP(A1566,'Base Prueba'!A:C,3,),"NO REGISTRA")</f>
        <v>DAISY JULIETH GASPAR MORENO</v>
      </c>
      <c r="D1566" s="4" t="str">
        <f>IFERROR(VLOOKUP(A1566,'Base Prueba'!A:D,4,),"NO REGISTRA")</f>
        <v>PROMOTOR CALL CENTER</v>
      </c>
      <c r="E1566" s="5" t="str">
        <f>IFERROR(VLOOKUP(A1566,'Base Prueba'!A:E,5,),"NO REGISTRA")</f>
        <v>OFICINA DE MERCADEO</v>
      </c>
    </row>
    <row r="1567" spans="1:5" ht="15.75" x14ac:dyDescent="0.25">
      <c r="A1567" s="10">
        <v>1032407386</v>
      </c>
      <c r="B1567" s="2">
        <v>46053.363912384259</v>
      </c>
      <c r="C1567" s="3" t="str">
        <f>IFERROR(VLOOKUP(A1567,'Base Prueba'!A:C,3,),"NO REGISTRA")</f>
        <v>GINA PAOLA BAEZ GALVIS</v>
      </c>
      <c r="D1567" s="4" t="str">
        <f>IFERROR(VLOOKUP(A1567,'Base Prueba'!A:D,4,),"NO REGISTRA")</f>
        <v>PROMOTOR CALL CENTER</v>
      </c>
      <c r="E1567" s="5" t="str">
        <f>IFERROR(VLOOKUP(A1567,'Base Prueba'!A:E,5,),"NO REGISTRA")</f>
        <v>OFICINA DE MERCADEO</v>
      </c>
    </row>
    <row r="1568" spans="1:5" ht="15.75" x14ac:dyDescent="0.25">
      <c r="A1568" s="10">
        <v>52474489</v>
      </c>
      <c r="B1568" s="2">
        <v>46053.364985416665</v>
      </c>
      <c r="C1568" s="3" t="str">
        <f>IFERROR(VLOOKUP(A1568,'Base Prueba'!A:C,3,),"NO REGISTRA")</f>
        <v>ADRIANA JIMENA SOTO BOCANEGRA</v>
      </c>
      <c r="D1568" s="4" t="str">
        <f>IFERROR(VLOOKUP(A1568,'Base Prueba'!A:D,4,),"NO REGISTRA")</f>
        <v>COORDINADOR DE LA OFICINA DE REGISTRO Y CONTROL</v>
      </c>
      <c r="E1568" s="5" t="str">
        <f>IFERROR(VLOOKUP(A1568,'Base Prueba'!A:E,5,),"NO REGISTRA")</f>
        <v>REGISTRO Y CONTROL ACADEMICO</v>
      </c>
    </row>
    <row r="1569" spans="1:5" ht="15.75" x14ac:dyDescent="0.25">
      <c r="A1569" s="10">
        <v>52472386</v>
      </c>
      <c r="B1569" s="2">
        <v>46053.365197106483</v>
      </c>
      <c r="C1569" s="3" t="str">
        <f>IFERROR(VLOOKUP(A1569,'Base Prueba'!A:C,3,),"NO REGISTRA")</f>
        <v>ADRIANA MARCELA MORALES PARDO</v>
      </c>
      <c r="D1569" s="4" t="str">
        <f>IFERROR(VLOOKUP(A1569,'Base Prueba'!A:D,4,),"NO REGISTRA")</f>
        <v>PROMOTOR CALL CENTER</v>
      </c>
      <c r="E1569" s="5" t="str">
        <f>IFERROR(VLOOKUP(A1569,'Base Prueba'!A:E,5,),"NO REGISTRA")</f>
        <v>OFICINA DE MERCADEO</v>
      </c>
    </row>
    <row r="1570" spans="1:5" ht="15.75" x14ac:dyDescent="0.25">
      <c r="A1570" s="10">
        <v>1018413529</v>
      </c>
      <c r="B1570" s="2">
        <v>46053.365911458335</v>
      </c>
      <c r="C1570" s="3" t="str">
        <f>IFERROR(VLOOKUP(A1570,'Base Prueba'!A:C,3,),"NO REGISTRA")</f>
        <v>FRANCY STELLA CHARRY MORENO</v>
      </c>
      <c r="D1570" s="4" t="str">
        <f>IFERROR(VLOOKUP(A1570,'Base Prueba'!A:D,4,),"NO REGISTRA")</f>
        <v>PROMOTOR COMERCIAL DEL CEA</v>
      </c>
      <c r="E1570" s="5" t="str">
        <f>IFERROR(VLOOKUP(A1570,'Base Prueba'!A:E,5,),"NO REGISTRA")</f>
        <v>OFICINA DE MERCADEO</v>
      </c>
    </row>
    <row r="1571" spans="1:5" ht="15.75" x14ac:dyDescent="0.25">
      <c r="A1571" s="10">
        <v>1012426741</v>
      </c>
      <c r="B1571" s="2">
        <v>46053.371899305559</v>
      </c>
      <c r="C1571" s="3" t="str">
        <f>IFERROR(VLOOKUP(A1571,'Base Prueba'!A:C,3,),"NO REGISTRA")</f>
        <v>CRISTIAN FABIAN ROJAS SANCENO</v>
      </c>
      <c r="D1571" s="4" t="str">
        <f>IFERROR(VLOOKUP(A1571,'Base Prueba'!A:D,4,),"NO REGISTRA")</f>
        <v>AUXILIAR DE REINTEGROS</v>
      </c>
      <c r="E1571" s="5" t="str">
        <f>IFERROR(VLOOKUP(A1571,'Base Prueba'!A:E,5,),"NO REGISTRA")</f>
        <v>DIRECCION DE BIENESTAR INSTITUCIONAL</v>
      </c>
    </row>
    <row r="1572" spans="1:5" ht="15.75" x14ac:dyDescent="0.25">
      <c r="A1572" s="10">
        <v>1033709056</v>
      </c>
      <c r="B1572" s="2">
        <v>46053.374396180552</v>
      </c>
      <c r="C1572" s="3" t="str">
        <f>IFERROR(VLOOKUP(A1572,'Base Prueba'!A:C,3,),"NO REGISTRA")</f>
        <v>YEIMY ALEXANDRA RODRIGUEZ PALACIO</v>
      </c>
      <c r="D1572" s="4" t="str">
        <f>IFERROR(VLOOKUP(A1572,'Base Prueba'!A:D,4,),"NO REGISTRA")</f>
        <v>PROMOTOR CALL CENTER</v>
      </c>
      <c r="E1572" s="5" t="str">
        <f>IFERROR(VLOOKUP(A1572,'Base Prueba'!A:E,5,),"NO REGISTRA")</f>
        <v>OFICINA DE MERCADEO</v>
      </c>
    </row>
    <row r="1573" spans="1:5" ht="15.75" x14ac:dyDescent="0.25">
      <c r="A1573" s="10">
        <v>1087121273</v>
      </c>
      <c r="B1573" s="2">
        <v>46053.37539212963</v>
      </c>
      <c r="C1573" s="3" t="str">
        <f>IFERROR(VLOOKUP(A1573,'Base Prueba'!A:C,3,),"NO REGISTRA")</f>
        <v>MAYRA ALEJANDRA CASTILLO ARBOLEDA</v>
      </c>
      <c r="D1573" s="4" t="str">
        <f>IFERROR(VLOOKUP(A1573,'Base Prueba'!A:D,4,),"NO REGISTRA")</f>
        <v>APOYO INTEGRAL DE MERCADEO</v>
      </c>
      <c r="E1573" s="5" t="str">
        <f>IFERROR(VLOOKUP(A1573,'Base Prueba'!A:E,5,),"NO REGISTRA")</f>
        <v>CENTRO DE GESTION DOCUMENTAL</v>
      </c>
    </row>
    <row r="1574" spans="1:5" ht="15.75" x14ac:dyDescent="0.25">
      <c r="A1574" s="10">
        <v>1000687931</v>
      </c>
      <c r="B1574" s="2">
        <v>46053.376095254629</v>
      </c>
      <c r="C1574" s="3" t="str">
        <f>IFERROR(VLOOKUP(A1574,'Base Prueba'!A:C,3,),"NO REGISTRA")</f>
        <v>ANDRES FELIPE PUENTES TORRES</v>
      </c>
      <c r="D1574" s="4" t="str">
        <f>IFERROR(VLOOKUP(A1574,'Base Prueba'!A:D,4,),"NO REGISTRA")</f>
        <v>AUXILIAR ADMINISTRATIVO</v>
      </c>
      <c r="E1574" s="5" t="str">
        <f>IFERROR(VLOOKUP(A1574,'Base Prueba'!A:E,5,),"NO REGISTRA")</f>
        <v>REGISTRO Y CONTROL ACADEMICO</v>
      </c>
    </row>
    <row r="1575" spans="1:5" ht="15.75" x14ac:dyDescent="0.25">
      <c r="A1575" s="10">
        <v>52764929</v>
      </c>
      <c r="B1575" s="2">
        <v>46053.376142245368</v>
      </c>
      <c r="C1575" s="3" t="str">
        <f>IFERROR(VLOOKUP(A1575,'Base Prueba'!A:C,3,),"NO REGISTRA")</f>
        <v>GUERLY YOHANA DURAN RIVERA</v>
      </c>
      <c r="D1575" s="4" t="str">
        <f>IFERROR(VLOOKUP(A1575,'Base Prueba'!A:D,4,),"NO REGISTRA")</f>
        <v>LIDER DE VINCULACION COLEGIOS</v>
      </c>
      <c r="E1575" s="5" t="str">
        <f>IFERROR(VLOOKUP(A1575,'Base Prueba'!A:E,5,),"NO REGISTRA")</f>
        <v>OFICINA DE MERCADEO</v>
      </c>
    </row>
    <row r="1576" spans="1:5" ht="15.75" x14ac:dyDescent="0.25">
      <c r="A1576" s="10">
        <v>1018414290</v>
      </c>
      <c r="B1576" s="2">
        <v>46053.377102662038</v>
      </c>
      <c r="C1576" s="3" t="str">
        <f>IFERROR(VLOOKUP(A1576,'Base Prueba'!A:C,3,),"NO REGISTRA")</f>
        <v>AMANDA LISBETH RODRIGUEZ LEON</v>
      </c>
      <c r="D1576" s="4" t="str">
        <f>IFERROR(VLOOKUP(A1576,'Base Prueba'!A:D,4,),"NO REGISTRA")</f>
        <v>PROMOTOR CALL CENTER</v>
      </c>
      <c r="E1576" s="5" t="str">
        <f>IFERROR(VLOOKUP(A1576,'Base Prueba'!A:E,5,),"NO REGISTRA")</f>
        <v>OFICINA DE MERCADEO</v>
      </c>
    </row>
    <row r="1577" spans="1:5" ht="15.75" x14ac:dyDescent="0.25">
      <c r="A1577" s="10">
        <v>1003690253</v>
      </c>
      <c r="B1577" s="2">
        <v>46053.380585069448</v>
      </c>
      <c r="C1577" s="3" t="str">
        <f>IFERROR(VLOOKUP(A1577,'Base Prueba'!A:C,3,),"NO REGISTRA")</f>
        <v>MELISSA GONZALEZ PEDRAZA</v>
      </c>
      <c r="D1577" s="4" t="str">
        <f>IFERROR(VLOOKUP(A1577,'Base Prueba'!A:D,4,),"NO REGISTRA")</f>
        <v>LIDER DE JOVENES A LA E</v>
      </c>
      <c r="E1577" s="5" t="str">
        <f>IFERROR(VLOOKUP(A1577,'Base Prueba'!A:E,5,),"NO REGISTRA")</f>
        <v>DIRECCION DE BIENESTAR INSTITUCIONAL</v>
      </c>
    </row>
    <row r="1578" spans="1:5" ht="15.75" x14ac:dyDescent="0.25">
      <c r="A1578" s="10">
        <v>1000604979</v>
      </c>
      <c r="B1578" s="2">
        <v>46053.435787847222</v>
      </c>
      <c r="C1578" s="3" t="str">
        <f>IFERROR(VLOOKUP(A1578,'Base Prueba'!A:C,3,),"NO REGISTRA")</f>
        <v>JULIETH TATIANA PARDO PINTO</v>
      </c>
      <c r="D1578" s="4" t="str">
        <f>IFERROR(VLOOKUP(A1578,'Base Prueba'!A:D,4,),"NO REGISTRA")</f>
        <v>AUXILIAR JURIDICO</v>
      </c>
      <c r="E1578" s="5" t="str">
        <f>IFERROR(VLOOKUP(A1578,'Base Prueba'!A:E,5,),"NO REGISTRA")</f>
        <v>SECRETARIA GENERAL</v>
      </c>
    </row>
    <row r="1579" spans="1:5" ht="15.75" x14ac:dyDescent="0.25">
      <c r="A1579" s="10">
        <v>1000604979</v>
      </c>
      <c r="B1579" s="2">
        <v>46053.496565277776</v>
      </c>
      <c r="C1579" s="3" t="str">
        <f>IFERROR(VLOOKUP(A1579,'Base Prueba'!A:C,3,),"NO REGISTRA")</f>
        <v>JULIETH TATIANA PARDO PINTO</v>
      </c>
      <c r="D1579" s="4" t="str">
        <f>IFERROR(VLOOKUP(A1579,'Base Prueba'!A:D,4,),"NO REGISTRA")</f>
        <v>AUXILIAR JURIDICO</v>
      </c>
      <c r="E1579" s="5" t="str">
        <f>IFERROR(VLOOKUP(A1579,'Base Prueba'!A:E,5,),"NO REGISTRA")</f>
        <v>SECRETARIA GENERAL</v>
      </c>
    </row>
    <row r="1580" spans="1:5" ht="15.75" x14ac:dyDescent="0.25">
      <c r="A1580" s="10">
        <v>1026599257</v>
      </c>
      <c r="B1580" s="2">
        <v>46053.499720486114</v>
      </c>
      <c r="C1580" s="3" t="str">
        <f>IFERROR(VLOOKUP(A1580,'Base Prueba'!A:C,3,),"NO REGISTRA")</f>
        <v>YESENIA PAOLA PINEDA HURTADO</v>
      </c>
      <c r="D1580" s="4" t="str">
        <f>IFERROR(VLOOKUP(A1580,'Base Prueba'!A:D,4,),"NO REGISTRA")</f>
        <v>LIDER DE COMPRAS</v>
      </c>
      <c r="E1580" s="5" t="str">
        <f>IFERROR(VLOOKUP(A1580,'Base Prueba'!A:E,5,),"NO REGISTRA")</f>
        <v>AREA ADMINISTRATIVA</v>
      </c>
    </row>
    <row r="1581" spans="1:5" ht="15.75" x14ac:dyDescent="0.25">
      <c r="A1581" s="10">
        <v>1000467399</v>
      </c>
      <c r="B1581" s="2">
        <v>46053.500128935186</v>
      </c>
      <c r="C1581" s="3" t="str">
        <f>IFERROR(VLOOKUP(A1581,'Base Prueba'!A:C,3,),"NO REGISTRA")</f>
        <v>BRANDO ESTIVEN DIAZ QUIMBAYA</v>
      </c>
      <c r="D1581" s="4" t="str">
        <f>IFERROR(VLOOKUP(A1581,'Base Prueba'!A:D,4,),"NO REGISTRA")</f>
        <v>APRENDIZ UNIVERSITARIO</v>
      </c>
      <c r="E1581" s="5" t="str">
        <f>IFERROR(VLOOKUP(A1581,'Base Prueba'!A:E,5,),"NO REGISTRA")</f>
        <v>DEPARTAMENTO DE GESTION HUMANA</v>
      </c>
    </row>
    <row r="1582" spans="1:5" ht="15.75" x14ac:dyDescent="0.25">
      <c r="A1582" s="10">
        <v>52443092</v>
      </c>
      <c r="B1582" s="2">
        <v>46053.503588888889</v>
      </c>
      <c r="C1582" s="3" t="str">
        <f>IFERROR(VLOOKUP(A1582,'Base Prueba'!A:C,3,),"NO REGISTRA")</f>
        <v>LUZ MYRIAM SAAVEDRA CONTRERAS</v>
      </c>
      <c r="D1582" s="4" t="str">
        <f>IFERROR(VLOOKUP(A1582,'Base Prueba'!A:D,4,),"NO REGISTRA")</f>
        <v>AUXILIAR DE SERVICIOS</v>
      </c>
      <c r="E1582" s="5" t="str">
        <f>IFERROR(VLOOKUP(A1582,'Base Prueba'!A:E,5,),"NO REGISTRA")</f>
        <v>LOGISTICA Y SERVICIOS GENERALES</v>
      </c>
    </row>
    <row r="1583" spans="1:5" ht="15.75" x14ac:dyDescent="0.25">
      <c r="A1583" s="10">
        <v>1031802160</v>
      </c>
      <c r="B1583" s="2">
        <v>46053.508952199074</v>
      </c>
      <c r="C1583" s="3" t="str">
        <f>IFERROR(VLOOKUP(A1583,'Base Prueba'!A:C,3,),"NO REGISTRA")</f>
        <v>LUISA MARIA MAHECHA SOTOMAYOR</v>
      </c>
      <c r="D1583" s="4" t="str">
        <f>IFERROR(VLOOKUP(A1583,'Base Prueba'!A:D,4,),"NO REGISTRA")</f>
        <v>APRENDIZ UNIVERSITARIO</v>
      </c>
      <c r="E1583" s="5" t="str">
        <f>IFERROR(VLOOKUP(A1583,'Base Prueba'!A:E,5,),"NO REGISTRA")</f>
        <v>OFICINA DE MERCADEO</v>
      </c>
    </row>
    <row r="1584" spans="1:5" ht="15.75" x14ac:dyDescent="0.25">
      <c r="A1584" s="10">
        <v>1000687931</v>
      </c>
      <c r="B1584" s="2">
        <v>46053.50902164352</v>
      </c>
      <c r="C1584" s="3" t="str">
        <f>IFERROR(VLOOKUP(A1584,'Base Prueba'!A:C,3,),"NO REGISTRA")</f>
        <v>ANDRES FELIPE PUENTES TORRES</v>
      </c>
      <c r="D1584" s="4" t="str">
        <f>IFERROR(VLOOKUP(A1584,'Base Prueba'!A:D,4,),"NO REGISTRA")</f>
        <v>AUXILIAR ADMINISTRATIVO</v>
      </c>
      <c r="E1584" s="5" t="str">
        <f>IFERROR(VLOOKUP(A1584,'Base Prueba'!A:E,5,),"NO REGISTRA")</f>
        <v>REGISTRO Y CONTROL ACADEMICO</v>
      </c>
    </row>
    <row r="1585" spans="1:5" ht="15.75" x14ac:dyDescent="0.25">
      <c r="A1585" s="10">
        <v>1014211708</v>
      </c>
      <c r="B1585" s="2">
        <v>46053.510577083332</v>
      </c>
      <c r="C1585" s="3" t="str">
        <f>IFERROR(VLOOKUP(A1585,'Base Prueba'!A:C,3,),"NO REGISTRA")</f>
        <v>JUAN MANUEL MERCADO FUENTES</v>
      </c>
      <c r="D1585" s="4" t="str">
        <f>IFERROR(VLOOKUP(A1585,'Base Prueba'!A:D,4,),"NO REGISTRA")</f>
        <v>COORDINADOR DE DISEÑO E IMAGEN INSTITUCIONAL</v>
      </c>
      <c r="E1585" s="5" t="str">
        <f>IFERROR(VLOOKUP(A1585,'Base Prueba'!A:E,5,),"NO REGISTRA")</f>
        <v>OFICINA DE MERCADEO</v>
      </c>
    </row>
    <row r="1586" spans="1:5" ht="15.75" x14ac:dyDescent="0.25">
      <c r="A1586" s="10">
        <v>1193265768</v>
      </c>
      <c r="B1586" s="2">
        <v>46053.512623726849</v>
      </c>
      <c r="C1586" s="3" t="str">
        <f>IFERROR(VLOOKUP(A1586,'Base Prueba'!A:C,3,),"NO REGISTRA")</f>
        <v>SANTIAGO OSORIO CAMACHO</v>
      </c>
      <c r="D1586" s="4" t="str">
        <f>IFERROR(VLOOKUP(A1586,'Base Prueba'!A:D,4,),"NO REGISTRA")</f>
        <v>ANALISTA DE PAUTA</v>
      </c>
      <c r="E1586" s="5" t="str">
        <f>IFERROR(VLOOKUP(A1586,'Base Prueba'!A:E,5,),"NO REGISTRA")</f>
        <v>OFICINA DE MERCADEO</v>
      </c>
    </row>
    <row r="1587" spans="1:5" ht="15.75" x14ac:dyDescent="0.25">
      <c r="A1587" s="10">
        <v>1014196857</v>
      </c>
      <c r="B1587" s="2">
        <v>46053.512732175928</v>
      </c>
      <c r="C1587" s="3" t="str">
        <f>IFERROR(VLOOKUP(A1587,'Base Prueba'!A:C,3,),"NO REGISTRA")</f>
        <v>CARLOS ANDRES JIMENEZ PARDO</v>
      </c>
      <c r="D1587" s="4" t="str">
        <f>IFERROR(VLOOKUP(A1587,'Base Prueba'!A:D,4,),"NO REGISTRA")</f>
        <v>COORDINADOR DE MARKETING DIGITAL</v>
      </c>
      <c r="E1587" s="5" t="str">
        <f>IFERROR(VLOOKUP(A1587,'Base Prueba'!A:E,5,),"NO REGISTRA")</f>
        <v>OFICINA DE MERCADEO</v>
      </c>
    </row>
    <row r="1588" spans="1:5" ht="15.75" x14ac:dyDescent="0.25">
      <c r="A1588" s="10">
        <v>1012426741</v>
      </c>
      <c r="B1588" s="2">
        <v>46053.513228935182</v>
      </c>
      <c r="C1588" s="3" t="str">
        <f>IFERROR(VLOOKUP(A1588,'Base Prueba'!A:C,3,),"NO REGISTRA")</f>
        <v>CRISTIAN FABIAN ROJAS SANCENO</v>
      </c>
      <c r="D1588" s="4" t="str">
        <f>IFERROR(VLOOKUP(A1588,'Base Prueba'!A:D,4,),"NO REGISTRA")</f>
        <v>AUXILIAR DE REINTEGROS</v>
      </c>
      <c r="E1588" s="5" t="str">
        <f>IFERROR(VLOOKUP(A1588,'Base Prueba'!A:E,5,),"NO REGISTRA")</f>
        <v>DIRECCION DE BIENESTAR INSTITUCIONAL</v>
      </c>
    </row>
    <row r="1589" spans="1:5" ht="15.75" x14ac:dyDescent="0.25">
      <c r="A1589" s="10">
        <v>52764929</v>
      </c>
      <c r="B1589" s="2">
        <v>46053.515118750001</v>
      </c>
      <c r="C1589" s="3" t="str">
        <f>IFERROR(VLOOKUP(A1589,'Base Prueba'!A:C,3,),"NO REGISTRA")</f>
        <v>GUERLY YOHANA DURAN RIVERA</v>
      </c>
      <c r="D1589" s="4" t="str">
        <f>IFERROR(VLOOKUP(A1589,'Base Prueba'!A:D,4,),"NO REGISTRA")</f>
        <v>LIDER DE VINCULACION COLEGIOS</v>
      </c>
      <c r="E1589" s="5" t="str">
        <f>IFERROR(VLOOKUP(A1589,'Base Prueba'!A:E,5,),"NO REGISTRA")</f>
        <v>OFICINA DE MERCADEO</v>
      </c>
    </row>
    <row r="1590" spans="1:5" ht="15.75" x14ac:dyDescent="0.25">
      <c r="A1590" s="10">
        <v>1087121273</v>
      </c>
      <c r="B1590" s="2">
        <v>46053.52328587963</v>
      </c>
      <c r="C1590" s="3" t="str">
        <f>IFERROR(VLOOKUP(A1590,'Base Prueba'!A:C,3,),"NO REGISTRA")</f>
        <v>MAYRA ALEJANDRA CASTILLO ARBOLEDA</v>
      </c>
      <c r="D1590" s="4" t="str">
        <f>IFERROR(VLOOKUP(A1590,'Base Prueba'!A:D,4,),"NO REGISTRA")</f>
        <v>APOYO INTEGRAL DE MERCADEO</v>
      </c>
      <c r="E1590" s="5" t="str">
        <f>IFERROR(VLOOKUP(A1590,'Base Prueba'!A:E,5,),"NO REGISTRA")</f>
        <v>CENTRO DE GESTION DOCUMENTAL</v>
      </c>
    </row>
    <row r="1591" spans="1:5" ht="15.75" x14ac:dyDescent="0.25">
      <c r="A1591" s="10">
        <v>52474489</v>
      </c>
      <c r="B1591" s="2">
        <v>46053.543651041669</v>
      </c>
      <c r="C1591" s="3" t="str">
        <f>IFERROR(VLOOKUP(A1591,'Base Prueba'!A:C,3,),"NO REGISTRA")</f>
        <v>ADRIANA JIMENA SOTO BOCANEGRA</v>
      </c>
      <c r="D1591" s="4" t="str">
        <f>IFERROR(VLOOKUP(A1591,'Base Prueba'!A:D,4,),"NO REGISTRA")</f>
        <v>COORDINADOR DE LA OFICINA DE REGISTRO Y CONTROL</v>
      </c>
      <c r="E1591" s="5" t="str">
        <f>IFERROR(VLOOKUP(A1591,'Base Prueba'!A:E,5,),"NO REGISTRA")</f>
        <v>REGISTRO Y CONTROL ACADEMICO</v>
      </c>
    </row>
    <row r="1592" spans="1:5" ht="15.75" x14ac:dyDescent="0.25">
      <c r="A1592" s="10">
        <v>1013616244</v>
      </c>
      <c r="B1592" s="2">
        <v>46053.546501851852</v>
      </c>
      <c r="C1592" s="3" t="str">
        <f>IFERROR(VLOOKUP(A1592,'Base Prueba'!A:C,3,),"NO REGISTRA")</f>
        <v>DIANA CAROLINA MARIN BETANCOURT</v>
      </c>
      <c r="D1592" s="4" t="str">
        <f>IFERROR(VLOOKUP(A1592,'Base Prueba'!A:D,4,),"NO REGISTRA")</f>
        <v>AUXILIAR ADMINISTRATIVO</v>
      </c>
      <c r="E1592" s="5" t="str">
        <f>IFERROR(VLOOKUP(A1592,'Base Prueba'!A:E,5,),"NO REGISTRA")</f>
        <v>REGISTRO Y CONTROL ACADEMICO</v>
      </c>
    </row>
    <row r="1593" spans="1:5" ht="15.75" x14ac:dyDescent="0.25">
      <c r="A1593" s="10">
        <v>1003690253</v>
      </c>
      <c r="B1593" s="2">
        <v>46053.55194675926</v>
      </c>
      <c r="C1593" s="3" t="str">
        <f>IFERROR(VLOOKUP(A1593,'Base Prueba'!A:C,3,),"NO REGISTRA")</f>
        <v>MELISSA GONZALEZ PEDRAZA</v>
      </c>
      <c r="D1593" s="4" t="str">
        <f>IFERROR(VLOOKUP(A1593,'Base Prueba'!A:D,4,),"NO REGISTRA")</f>
        <v>LIDER DE JOVENES A LA E</v>
      </c>
      <c r="E1593" s="5" t="str">
        <f>IFERROR(VLOOKUP(A1593,'Base Prueba'!A:E,5,),"NO REGISTRA")</f>
        <v>DIRECCION DE BIENESTAR INSTITUCIONAL</v>
      </c>
    </row>
    <row r="1594" spans="1:5" ht="15.75" x14ac:dyDescent="0.25">
      <c r="A1594" s="10">
        <v>1012357415</v>
      </c>
      <c r="B1594" s="2">
        <v>46053.553580555556</v>
      </c>
      <c r="C1594" s="3" t="str">
        <f>IFERROR(VLOOKUP(A1594,'Base Prueba'!A:C,3,),"NO REGISTRA")</f>
        <v>CINDY LORENA BOHORQUEZ LEYVA</v>
      </c>
      <c r="D1594" s="4" t="str">
        <f>IFERROR(VLOOKUP(A1594,'Base Prueba'!A:D,4,),"NO REGISTRA")</f>
        <v>ANALISTA DE TESORERIA</v>
      </c>
      <c r="E1594" s="5" t="str">
        <f>IFERROR(VLOOKUP(A1594,'Base Prueba'!A:E,5,),"NO REGISTRA")</f>
        <v>AREA FINANCIERA Y CONTABLE</v>
      </c>
    </row>
    <row r="1595" spans="1:5" ht="15.75" x14ac:dyDescent="0.25">
      <c r="A1595" s="10">
        <v>1018413529</v>
      </c>
      <c r="B1595" s="2">
        <v>46053.561091782409</v>
      </c>
      <c r="C1595" s="3" t="str">
        <f>IFERROR(VLOOKUP(A1595,'Base Prueba'!A:C,3,),"NO REGISTRA")</f>
        <v>FRANCY STELLA CHARRY MORENO</v>
      </c>
      <c r="D1595" s="4" t="str">
        <f>IFERROR(VLOOKUP(A1595,'Base Prueba'!A:D,4,),"NO REGISTRA")</f>
        <v>PROMOTOR COMERCIAL DEL CEA</v>
      </c>
      <c r="E1595" s="5" t="str">
        <f>IFERROR(VLOOKUP(A1595,'Base Prueba'!A:E,5,),"NO REGISTRA")</f>
        <v>OFICINA DE MERCADEO</v>
      </c>
    </row>
    <row r="1596" spans="1:5" ht="15.75" x14ac:dyDescent="0.25">
      <c r="A1596" s="10">
        <v>1022996882</v>
      </c>
      <c r="B1596" s="2">
        <v>46053.581651851855</v>
      </c>
      <c r="C1596" s="3" t="str">
        <f>IFERROR(VLOOKUP(A1596,'Base Prueba'!A:C,3,),"NO REGISTRA")</f>
        <v>NANCY BRIGITH ALDANA GUEVARA</v>
      </c>
      <c r="D1596" s="4" t="str">
        <f>IFERROR(VLOOKUP(A1596,'Base Prueba'!A:D,4,),"NO REGISTRA")</f>
        <v>COORDINADORA DE GESTIÓN HUMANA</v>
      </c>
      <c r="E1596" s="5" t="str">
        <f>IFERROR(VLOOKUP(A1596,'Base Prueba'!A:E,5,),"NO REGISTRA")</f>
        <v>DEPARTAMENTO DE GESTION HUMANA</v>
      </c>
    </row>
    <row r="1597" spans="1:5" ht="15.75" x14ac:dyDescent="0.25">
      <c r="A1597" s="10">
        <v>1193457976</v>
      </c>
      <c r="B1597" s="2">
        <v>46053.581733217594</v>
      </c>
      <c r="C1597" s="3" t="str">
        <f>IFERROR(VLOOKUP(A1597,'Base Prueba'!A:C,3,),"NO REGISTRA")</f>
        <v>SEDENIS RIVAS ASPRILLA</v>
      </c>
      <c r="D1597" s="4" t="str">
        <f>IFERROR(VLOOKUP(A1597,'Base Prueba'!A:D,4,),"NO REGISTRA")</f>
        <v>APRENDIZ UNIVERSITARIO</v>
      </c>
      <c r="E1597" s="5" t="str">
        <f>IFERROR(VLOOKUP(A1597,'Base Prueba'!A:E,5,),"NO REGISTRA")</f>
        <v>DEPARTAMENTO DE GESTION HUMANA</v>
      </c>
    </row>
    <row r="1598" spans="1:5" ht="15.75" x14ac:dyDescent="0.25">
      <c r="A1598" s="10">
        <v>52472386</v>
      </c>
      <c r="B1598" s="2">
        <v>46053.590353125001</v>
      </c>
      <c r="C1598" s="3" t="str">
        <f>IFERROR(VLOOKUP(A1598,'Base Prueba'!A:C,3,),"NO REGISTRA")</f>
        <v>ADRIANA MARCELA MORALES PARDO</v>
      </c>
      <c r="D1598" s="4" t="str">
        <f>IFERROR(VLOOKUP(A1598,'Base Prueba'!A:D,4,),"NO REGISTRA")</f>
        <v>PROMOTOR CALL CENTER</v>
      </c>
      <c r="E1598" s="5" t="str">
        <f>IFERROR(VLOOKUP(A1598,'Base Prueba'!A:E,5,),"NO REGISTRA")</f>
        <v>OFICINA DE MERCADEO</v>
      </c>
    </row>
    <row r="1599" spans="1:5" ht="15.75" x14ac:dyDescent="0.25">
      <c r="A1599" s="10">
        <v>28798349</v>
      </c>
      <c r="B1599" s="2">
        <v>46053.606733680557</v>
      </c>
      <c r="C1599" s="3" t="str">
        <f>IFERROR(VLOOKUP(A1599,'Base Prueba'!A:C,3,),"NO REGISTRA")</f>
        <v>MARTHA ISABEL TOVAR WILLIAMS</v>
      </c>
      <c r="D1599" s="4" t="str">
        <f>IFERROR(VLOOKUP(A1599,'Base Prueba'!A:D,4,),"NO REGISTRA")</f>
        <v>PROMOTOR CALL CENTER</v>
      </c>
      <c r="E1599" s="5" t="str">
        <f>IFERROR(VLOOKUP(A1599,'Base Prueba'!A:E,5,),"NO REGISTRA")</f>
        <v>OFICINA DE MERCADEO</v>
      </c>
    </row>
    <row r="1600" spans="1:5" ht="15.75" x14ac:dyDescent="0.25">
      <c r="A1600" s="10">
        <v>1023883232</v>
      </c>
      <c r="B1600" s="2">
        <v>46053.615950462961</v>
      </c>
      <c r="C1600" s="3" t="str">
        <f>IFERROR(VLOOKUP(A1600,'Base Prueba'!A:C,3,),"NO REGISTRA")</f>
        <v>MONICA ANDREA ACERO URBANO</v>
      </c>
      <c r="D1600" s="4" t="str">
        <f>IFERROR(VLOOKUP(A1600,'Base Prueba'!A:D,4,),"NO REGISTRA")</f>
        <v>APOYO INTEGRAL A GESTION HUMANA</v>
      </c>
      <c r="E1600" s="5" t="str">
        <f>IFERROR(VLOOKUP(A1600,'Base Prueba'!A:E,5,),"NO REGISTRA")</f>
        <v>DEPARTAMENTO DE GESTION HUMANA</v>
      </c>
    </row>
    <row r="1601" spans="1:5" ht="15.75" x14ac:dyDescent="0.25">
      <c r="A1601" s="10">
        <v>80234243</v>
      </c>
      <c r="B1601" s="2">
        <v>46053.624410763892</v>
      </c>
      <c r="C1601" s="3" t="str">
        <f>IFERROR(VLOOKUP(A1601,'Base Prueba'!A:C,3,),"NO REGISTRA")</f>
        <v>ARGENIS MARTINEZ MARTINEZ</v>
      </c>
      <c r="D1601" s="4" t="str">
        <f>IFERROR(VLOOKUP(A1601,'Base Prueba'!A:D,4,),"NO REGISTRA")</f>
        <v>LIDER CALL CENTER</v>
      </c>
      <c r="E1601" s="5" t="str">
        <f>IFERROR(VLOOKUP(A1601,'Base Prueba'!A:E,5,),"NO REGISTRA")</f>
        <v>OFICINA DE MERCADEO</v>
      </c>
    </row>
    <row r="1602" spans="1:5" ht="15.75" x14ac:dyDescent="0.25">
      <c r="A1602" s="10">
        <v>1033709056</v>
      </c>
      <c r="B1602" s="2">
        <v>46053.678446180558</v>
      </c>
      <c r="C1602" s="3" t="str">
        <f>IFERROR(VLOOKUP(A1602,'Base Prueba'!A:C,3,),"NO REGISTRA")</f>
        <v>YEIMY ALEXANDRA RODRIGUEZ PALACIO</v>
      </c>
      <c r="D1602" s="4" t="str">
        <f>IFERROR(VLOOKUP(A1602,'Base Prueba'!A:D,4,),"NO REGISTRA")</f>
        <v>PROMOTOR CALL CENTER</v>
      </c>
      <c r="E1602" s="5" t="str">
        <f>IFERROR(VLOOKUP(A1602,'Base Prueba'!A:E,5,),"NO REGISTRA")</f>
        <v>OFICINA DE MERCADEO</v>
      </c>
    </row>
    <row r="1603" spans="1:5" ht="15.75" x14ac:dyDescent="0.25">
      <c r="A1603" s="10">
        <v>1014308296</v>
      </c>
      <c r="B1603" s="2">
        <v>46055.286466203703</v>
      </c>
      <c r="C1603" s="3" t="str">
        <f>IFERROR(VLOOKUP(A1603,'Base Prueba'!A:C,3,),"NO REGISTRA")</f>
        <v>DARLENE YULIANA MORENO CELEITA</v>
      </c>
      <c r="D1603" s="4" t="str">
        <f>IFERROR(VLOOKUP(A1603,'Base Prueba'!A:D,4,),"NO REGISTRA")</f>
        <v>CAJERO PRINCIPAL</v>
      </c>
      <c r="E1603" s="5" t="str">
        <f>IFERROR(VLOOKUP(A1603,'Base Prueba'!A:E,5,),"NO REGISTRA")</f>
        <v>AREA FINANCIERA Y CONTABLE</v>
      </c>
    </row>
    <row r="1604" spans="1:5" ht="15.75" x14ac:dyDescent="0.25">
      <c r="A1604" s="10">
        <v>1087121273</v>
      </c>
      <c r="B1604" s="2">
        <v>46055.318956249997</v>
      </c>
      <c r="C1604" s="3" t="str">
        <f>IFERROR(VLOOKUP(A1604,'Base Prueba'!A:C,3,),"NO REGISTRA")</f>
        <v>MAYRA ALEJANDRA CASTILLO ARBOLEDA</v>
      </c>
      <c r="D1604" s="4" t="str">
        <f>IFERROR(VLOOKUP(A1604,'Base Prueba'!A:D,4,),"NO REGISTRA")</f>
        <v>APOYO INTEGRAL DE MERCADEO</v>
      </c>
      <c r="E1604" s="5" t="str">
        <f>IFERROR(VLOOKUP(A1604,'Base Prueba'!A:E,5,),"NO REGISTRA")</f>
        <v>CENTRO DE GESTION DOCUMENTAL</v>
      </c>
    </row>
    <row r="1605" spans="1:5" ht="15.75" x14ac:dyDescent="0.25">
      <c r="A1605" s="10">
        <v>53932358</v>
      </c>
      <c r="B1605" s="2">
        <v>46055.332594328705</v>
      </c>
      <c r="C1605" s="3" t="str">
        <f>IFERROR(VLOOKUP(A1605,'Base Prueba'!A:C,3,),"NO REGISTRA")</f>
        <v>DIANA MADELEYNE GAONA RODRIGUEZ</v>
      </c>
      <c r="D1605" s="4" t="str">
        <f>IFERROR(VLOOKUP(A1605,'Base Prueba'!A:D,4,),"NO REGISTRA")</f>
        <v>CONTADOR</v>
      </c>
      <c r="E1605" s="5" t="str">
        <f>IFERROR(VLOOKUP(A1605,'Base Prueba'!A:E,5,),"NO REGISTRA")</f>
        <v>AREA FINANCIERA Y CONTABLE</v>
      </c>
    </row>
    <row r="1606" spans="1:5" ht="15.75" x14ac:dyDescent="0.25">
      <c r="A1606" s="10">
        <v>1031802160</v>
      </c>
      <c r="B1606" s="2">
        <v>46055.332680902779</v>
      </c>
      <c r="C1606" s="3" t="str">
        <f>IFERROR(VLOOKUP(A1606,'Base Prueba'!A:C,3,),"NO REGISTRA")</f>
        <v>LUISA MARIA MAHECHA SOTOMAYOR</v>
      </c>
      <c r="D1606" s="4" t="str">
        <f>IFERROR(VLOOKUP(A1606,'Base Prueba'!A:D,4,),"NO REGISTRA")</f>
        <v>APRENDIZ UNIVERSITARIO</v>
      </c>
      <c r="E1606" s="5" t="str">
        <f>IFERROR(VLOOKUP(A1606,'Base Prueba'!A:E,5,),"NO REGISTRA")</f>
        <v>OFICINA DE MERCADEO</v>
      </c>
    </row>
    <row r="1607" spans="1:5" ht="15.75" x14ac:dyDescent="0.25">
      <c r="A1607" s="10">
        <v>1013616244</v>
      </c>
      <c r="B1607" s="2">
        <v>46055.335474421299</v>
      </c>
      <c r="C1607" s="3" t="str">
        <f>IFERROR(VLOOKUP(A1607,'Base Prueba'!A:C,3,),"NO REGISTRA")</f>
        <v>DIANA CAROLINA MARIN BETANCOURT</v>
      </c>
      <c r="D1607" s="4" t="str">
        <f>IFERROR(VLOOKUP(A1607,'Base Prueba'!A:D,4,),"NO REGISTRA")</f>
        <v>AUXILIAR ADMINISTRATIVO</v>
      </c>
      <c r="E1607" s="5" t="str">
        <f>IFERROR(VLOOKUP(A1607,'Base Prueba'!A:E,5,),"NO REGISTRA")</f>
        <v>REGISTRO Y CONTROL ACADEMICO</v>
      </c>
    </row>
    <row r="1608" spans="1:5" ht="15.75" x14ac:dyDescent="0.25">
      <c r="A1608" s="10">
        <v>1049644802</v>
      </c>
      <c r="B1608" s="2">
        <v>46055.338196412034</v>
      </c>
      <c r="C1608" s="3" t="str">
        <f>IFERROR(VLOOKUP(A1608,'Base Prueba'!A:C,3,),"NO REGISTRA")</f>
        <v>DANIELA ALEXANDRA CIPAMOCHA BOSIGA</v>
      </c>
      <c r="D1608" s="4" t="str">
        <f>IFERROR(VLOOKUP(A1608,'Base Prueba'!A:D,4,),"NO REGISTRA")</f>
        <v>LIDER DE DATOS Y SERVICIOS</v>
      </c>
      <c r="E1608" s="5" t="str">
        <f>IFERROR(VLOOKUP(A1608,'Base Prueba'!A:E,5,),"NO REGISTRA")</f>
        <v>OFICINA DE PLANEACION Y GESTION DE LA CALIDAD</v>
      </c>
    </row>
    <row r="1609" spans="1:5" ht="15.75" x14ac:dyDescent="0.25">
      <c r="A1609" s="10">
        <v>1193457976</v>
      </c>
      <c r="B1609" s="2">
        <v>46055.338251388886</v>
      </c>
      <c r="C1609" s="3" t="str">
        <f>IFERROR(VLOOKUP(A1609,'Base Prueba'!A:C,3,),"NO REGISTRA")</f>
        <v>SEDENIS RIVAS ASPRILLA</v>
      </c>
      <c r="D1609" s="4" t="str">
        <f>IFERROR(VLOOKUP(A1609,'Base Prueba'!A:D,4,),"NO REGISTRA")</f>
        <v>APRENDIZ UNIVERSITARIO</v>
      </c>
      <c r="E1609" s="5" t="str">
        <f>IFERROR(VLOOKUP(A1609,'Base Prueba'!A:E,5,),"NO REGISTRA")</f>
        <v>DEPARTAMENTO DE GESTION HUMANA</v>
      </c>
    </row>
    <row r="1610" spans="1:5" ht="15.75" x14ac:dyDescent="0.25">
      <c r="A1610" s="10">
        <v>1022996882</v>
      </c>
      <c r="B1610" s="2">
        <v>46055.340464699075</v>
      </c>
      <c r="C1610" s="3" t="str">
        <f>IFERROR(VLOOKUP(A1610,'Base Prueba'!A:C,3,),"NO REGISTRA")</f>
        <v>NANCY BRIGITH ALDANA GUEVARA</v>
      </c>
      <c r="D1610" s="4" t="str">
        <f>IFERROR(VLOOKUP(A1610,'Base Prueba'!A:D,4,),"NO REGISTRA")</f>
        <v>COORDINADORA DE GESTIÓN HUMANA</v>
      </c>
      <c r="E1610" s="5" t="str">
        <f>IFERROR(VLOOKUP(A1610,'Base Prueba'!A:E,5,),"NO REGISTRA")</f>
        <v>DEPARTAMENTO DE GESTION HUMANA</v>
      </c>
    </row>
    <row r="1611" spans="1:5" ht="15.75" x14ac:dyDescent="0.25">
      <c r="A1611" s="10">
        <v>1012357415</v>
      </c>
      <c r="B1611" s="2">
        <v>46055.34169548611</v>
      </c>
      <c r="C1611" s="3" t="str">
        <f>IFERROR(VLOOKUP(A1611,'Base Prueba'!A:C,3,),"NO REGISTRA")</f>
        <v>CINDY LORENA BOHORQUEZ LEYVA</v>
      </c>
      <c r="D1611" s="4" t="str">
        <f>IFERROR(VLOOKUP(A1611,'Base Prueba'!A:D,4,),"NO REGISTRA")</f>
        <v>ANALISTA DE TESORERIA</v>
      </c>
      <c r="E1611" s="5" t="str">
        <f>IFERROR(VLOOKUP(A1611,'Base Prueba'!A:E,5,),"NO REGISTRA")</f>
        <v>AREA FINANCIERA Y CONTABLE</v>
      </c>
    </row>
    <row r="1612" spans="1:5" ht="15.75" x14ac:dyDescent="0.25">
      <c r="A1612" s="10">
        <v>1014977624</v>
      </c>
      <c r="B1612" s="2">
        <v>46055.343530208331</v>
      </c>
      <c r="C1612" s="3" t="str">
        <f>IFERROR(VLOOKUP(A1612,'Base Prueba'!A:C,3,),"NO REGISTRA")</f>
        <v>NICCOLE VALENTINA HERNANDEZ MALAVER</v>
      </c>
      <c r="D1612" s="4" t="str">
        <f>IFERROR(VLOOKUP(A1612,'Base Prueba'!A:D,4,),"NO REGISTRA")</f>
        <v>APRENDIZ UNIVERSITARIO</v>
      </c>
      <c r="E1612" s="5" t="str">
        <f>IFERROR(VLOOKUP(A1612,'Base Prueba'!A:E,5,),"NO REGISTRA")</f>
        <v>AREA FINANCIERA Y CONTABLE</v>
      </c>
    </row>
    <row r="1613" spans="1:5" ht="15.75" x14ac:dyDescent="0.25">
      <c r="A1613" s="10">
        <v>1000687931</v>
      </c>
      <c r="B1613" s="2">
        <v>46055.344564467596</v>
      </c>
      <c r="C1613" s="3" t="str">
        <f>IFERROR(VLOOKUP(A1613,'Base Prueba'!A:C,3,),"NO REGISTRA")</f>
        <v>ANDRES FELIPE PUENTES TORRES</v>
      </c>
      <c r="D1613" s="4" t="str">
        <f>IFERROR(VLOOKUP(A1613,'Base Prueba'!A:D,4,),"NO REGISTRA")</f>
        <v>AUXILIAR ADMINISTRATIVO</v>
      </c>
      <c r="E1613" s="5" t="str">
        <f>IFERROR(VLOOKUP(A1613,'Base Prueba'!A:E,5,),"NO REGISTRA")</f>
        <v>REGISTRO Y CONTROL ACADEMICO</v>
      </c>
    </row>
    <row r="1614" spans="1:5" ht="15.75" x14ac:dyDescent="0.25">
      <c r="A1614" s="10">
        <v>1023883232</v>
      </c>
      <c r="B1614" s="2">
        <v>46055.351129976851</v>
      </c>
      <c r="C1614" s="3" t="str">
        <f>IFERROR(VLOOKUP(A1614,'Base Prueba'!A:C,3,),"NO REGISTRA")</f>
        <v>MONICA ANDREA ACERO URBANO</v>
      </c>
      <c r="D1614" s="4" t="str">
        <f>IFERROR(VLOOKUP(A1614,'Base Prueba'!A:D,4,),"NO REGISTRA")</f>
        <v>APOYO INTEGRAL A GESTION HUMANA</v>
      </c>
      <c r="E1614" s="5" t="str">
        <f>IFERROR(VLOOKUP(A1614,'Base Prueba'!A:E,5,),"NO REGISTRA")</f>
        <v>DEPARTAMENTO DE GESTION HUMANA</v>
      </c>
    </row>
    <row r="1615" spans="1:5" ht="15.75" x14ac:dyDescent="0.25">
      <c r="A1615" s="10">
        <v>1000593372</v>
      </c>
      <c r="B1615" s="2">
        <v>46055.354361342594</v>
      </c>
      <c r="C1615" s="3" t="str">
        <f>IFERROR(VLOOKUP(A1615,'Base Prueba'!A:C,3,),"NO REGISTRA")</f>
        <v>LAURA SOFIA CHAPARRO LOPEZ</v>
      </c>
      <c r="D1615" s="4" t="str">
        <f>IFERROR(VLOOKUP(A1615,'Base Prueba'!A:D,4,),"NO REGISTRA")</f>
        <v>AUXILIAR JURIDICO</v>
      </c>
      <c r="E1615" s="5" t="str">
        <f>IFERROR(VLOOKUP(A1615,'Base Prueba'!A:E,5,),"NO REGISTRA")</f>
        <v>SECRETARIA GENERAL</v>
      </c>
    </row>
    <row r="1616" spans="1:5" ht="15.75" x14ac:dyDescent="0.25">
      <c r="A1616" s="10">
        <v>80238161</v>
      </c>
      <c r="B1616" s="2">
        <v>46055.355049074074</v>
      </c>
      <c r="C1616" s="3" t="str">
        <f>IFERROR(VLOOKUP(A1616,'Base Prueba'!A:C,3,),"NO REGISTRA")</f>
        <v>GERMAN CARRANZA ESPITIA</v>
      </c>
      <c r="D1616" s="4" t="str">
        <f>IFERROR(VLOOKUP(A1616,'Base Prueba'!A:D,4,),"NO REGISTRA")</f>
        <v>TESORERO</v>
      </c>
      <c r="E1616" s="5" t="str">
        <f>IFERROR(VLOOKUP(A1616,'Base Prueba'!A:E,5,),"NO REGISTRA")</f>
        <v>AREA FINANCIERA Y CONTABLE</v>
      </c>
    </row>
    <row r="1617" spans="1:5" ht="15.75" x14ac:dyDescent="0.25">
      <c r="A1617" s="10">
        <v>1000257136</v>
      </c>
      <c r="B1617" s="2">
        <v>46055.355113541664</v>
      </c>
      <c r="C1617" s="3" t="str">
        <f>IFERROR(VLOOKUP(A1617,'Base Prueba'!A:C,3,),"NO REGISTRA")</f>
        <v>FRANCI VALENTINA CANO PUENTES</v>
      </c>
      <c r="D1617" s="4" t="str">
        <f>IFERROR(VLOOKUP(A1617,'Base Prueba'!A:D,4,),"NO REGISTRA")</f>
        <v>AUXILIAR CONTABLE</v>
      </c>
      <c r="E1617" s="5" t="str">
        <f>IFERROR(VLOOKUP(A1617,'Base Prueba'!A:E,5,),"NO REGISTRA")</f>
        <v>AREA FINANCIERA Y CONTABLE</v>
      </c>
    </row>
    <row r="1618" spans="1:5" ht="15.75" x14ac:dyDescent="0.25">
      <c r="A1618" s="10">
        <v>1000457706</v>
      </c>
      <c r="B1618" s="2">
        <v>46055.355126388888</v>
      </c>
      <c r="C1618" s="3" t="str">
        <f>IFERROR(VLOOKUP(A1618,'Base Prueba'!A:C,3,),"NO REGISTRA")</f>
        <v>CRISTIAN DANILO ARROYO SANABRIA</v>
      </c>
      <c r="D1618" s="4" t="str">
        <f>IFERROR(VLOOKUP(A1618,'Base Prueba'!A:D,4,),"NO REGISTRA")</f>
        <v>AUXILIAR CONTABLE</v>
      </c>
      <c r="E1618" s="5" t="str">
        <f>IFERROR(VLOOKUP(A1618,'Base Prueba'!A:E,5,),"NO REGISTRA")</f>
        <v>AREA FINANCIERA Y CONTABLE</v>
      </c>
    </row>
    <row r="1619" spans="1:5" ht="15.75" x14ac:dyDescent="0.25">
      <c r="A1619" s="10">
        <v>52474489</v>
      </c>
      <c r="B1619" s="2">
        <v>46055.355451157404</v>
      </c>
      <c r="C1619" s="3" t="str">
        <f>IFERROR(VLOOKUP(A1619,'Base Prueba'!A:C,3,),"NO REGISTRA")</f>
        <v>ADRIANA JIMENA SOTO BOCANEGRA</v>
      </c>
      <c r="D1619" s="4" t="str">
        <f>IFERROR(VLOOKUP(A1619,'Base Prueba'!A:D,4,),"NO REGISTRA")</f>
        <v>COORDINADOR DE LA OFICINA DE REGISTRO Y CONTROL</v>
      </c>
      <c r="E1619" s="5" t="str">
        <f>IFERROR(VLOOKUP(A1619,'Base Prueba'!A:E,5,),"NO REGISTRA")</f>
        <v>REGISTRO Y CONTROL ACADEMICO</v>
      </c>
    </row>
    <row r="1620" spans="1:5" ht="15.75" x14ac:dyDescent="0.25">
      <c r="A1620" s="10">
        <v>80234243</v>
      </c>
      <c r="B1620" s="2">
        <v>46055.356086574073</v>
      </c>
      <c r="C1620" s="3" t="str">
        <f>IFERROR(VLOOKUP(A1620,'Base Prueba'!A:C,3,),"NO REGISTRA")</f>
        <v>ARGENIS MARTINEZ MARTINEZ</v>
      </c>
      <c r="D1620" s="4" t="str">
        <f>IFERROR(VLOOKUP(A1620,'Base Prueba'!A:D,4,),"NO REGISTRA")</f>
        <v>LIDER CALL CENTER</v>
      </c>
      <c r="E1620" s="5" t="str">
        <f>IFERROR(VLOOKUP(A1620,'Base Prueba'!A:E,5,),"NO REGISTRA")</f>
        <v>OFICINA DE MERCADEO</v>
      </c>
    </row>
    <row r="1621" spans="1:5" ht="15.75" x14ac:dyDescent="0.25">
      <c r="A1621" s="10">
        <v>1032407386</v>
      </c>
      <c r="B1621" s="2">
        <v>46055.358229513891</v>
      </c>
      <c r="C1621" s="3" t="str">
        <f>IFERROR(VLOOKUP(A1621,'Base Prueba'!A:C,3,),"NO REGISTRA")</f>
        <v>GINA PAOLA BAEZ GALVIS</v>
      </c>
      <c r="D1621" s="4" t="str">
        <f>IFERROR(VLOOKUP(A1621,'Base Prueba'!A:D,4,),"NO REGISTRA")</f>
        <v>PROMOTOR CALL CENTER</v>
      </c>
      <c r="E1621" s="5" t="str">
        <f>IFERROR(VLOOKUP(A1621,'Base Prueba'!A:E,5,),"NO REGISTRA")</f>
        <v>OFICINA DE MERCADEO</v>
      </c>
    </row>
    <row r="1622" spans="1:5" ht="15.75" x14ac:dyDescent="0.25">
      <c r="A1622" s="10">
        <v>1018413529</v>
      </c>
      <c r="B1622" s="2">
        <v>46055.358918055557</v>
      </c>
      <c r="C1622" s="3" t="str">
        <f>IFERROR(VLOOKUP(A1622,'Base Prueba'!A:C,3,),"NO REGISTRA")</f>
        <v>FRANCY STELLA CHARRY MORENO</v>
      </c>
      <c r="D1622" s="4" t="str">
        <f>IFERROR(VLOOKUP(A1622,'Base Prueba'!A:D,4,),"NO REGISTRA")</f>
        <v>PROMOTOR COMERCIAL DEL CEA</v>
      </c>
      <c r="E1622" s="5" t="str">
        <f>IFERROR(VLOOKUP(A1622,'Base Prueba'!A:E,5,),"NO REGISTRA")</f>
        <v>OFICINA DE MERCADEO</v>
      </c>
    </row>
    <row r="1623" spans="1:5" ht="15.75" x14ac:dyDescent="0.25">
      <c r="A1623" s="10">
        <v>1000604979</v>
      </c>
      <c r="B1623" s="2">
        <v>46055.367562847219</v>
      </c>
      <c r="C1623" s="3" t="str">
        <f>IFERROR(VLOOKUP(A1623,'Base Prueba'!A:C,3,),"NO REGISTRA")</f>
        <v>JULIETH TATIANA PARDO PINTO</v>
      </c>
      <c r="D1623" s="4" t="str">
        <f>IFERROR(VLOOKUP(A1623,'Base Prueba'!A:D,4,),"NO REGISTRA")</f>
        <v>AUXILIAR JURIDICO</v>
      </c>
      <c r="E1623" s="5" t="str">
        <f>IFERROR(VLOOKUP(A1623,'Base Prueba'!A:E,5,),"NO REGISTRA")</f>
        <v>SECRETARIA GENERAL</v>
      </c>
    </row>
    <row r="1624" spans="1:5" ht="15.75" x14ac:dyDescent="0.25">
      <c r="A1624" s="10">
        <v>1003690253</v>
      </c>
      <c r="B1624" s="2">
        <v>46055.37040659722</v>
      </c>
      <c r="C1624" s="3" t="str">
        <f>IFERROR(VLOOKUP(A1624,'Base Prueba'!A:C,3,),"NO REGISTRA")</f>
        <v>MELISSA GONZALEZ PEDRAZA</v>
      </c>
      <c r="D1624" s="4" t="str">
        <f>IFERROR(VLOOKUP(A1624,'Base Prueba'!A:D,4,),"NO REGISTRA")</f>
        <v>LIDER DE JOVENES A LA E</v>
      </c>
      <c r="E1624" s="5" t="str">
        <f>IFERROR(VLOOKUP(A1624,'Base Prueba'!A:E,5,),"NO REGISTRA")</f>
        <v>DIRECCION DE BIENESTAR INSTITUCIONAL</v>
      </c>
    </row>
    <row r="1625" spans="1:5" ht="15.75" x14ac:dyDescent="0.25">
      <c r="A1625" s="10">
        <v>52472386</v>
      </c>
      <c r="B1625" s="2">
        <v>46055.37178090278</v>
      </c>
      <c r="C1625" s="3" t="str">
        <f>IFERROR(VLOOKUP(A1625,'Base Prueba'!A:C,3,),"NO REGISTRA")</f>
        <v>ADRIANA MARCELA MORALES PARDO</v>
      </c>
      <c r="D1625" s="4" t="str">
        <f>IFERROR(VLOOKUP(A1625,'Base Prueba'!A:D,4,),"NO REGISTRA")</f>
        <v>PROMOTOR CALL CENTER</v>
      </c>
      <c r="E1625" s="5" t="str">
        <f>IFERROR(VLOOKUP(A1625,'Base Prueba'!A:E,5,),"NO REGISTRA")</f>
        <v>OFICINA DE MERCADEO</v>
      </c>
    </row>
    <row r="1626" spans="1:5" ht="15.75" x14ac:dyDescent="0.25">
      <c r="A1626" s="10">
        <v>1033709056</v>
      </c>
      <c r="B1626" s="2">
        <v>46055.373239814813</v>
      </c>
      <c r="C1626" s="3" t="str">
        <f>IFERROR(VLOOKUP(A1626,'Base Prueba'!A:C,3,),"NO REGISTRA")</f>
        <v>YEIMY ALEXANDRA RODRIGUEZ PALACIO</v>
      </c>
      <c r="D1626" s="4" t="str">
        <f>IFERROR(VLOOKUP(A1626,'Base Prueba'!A:D,4,),"NO REGISTRA")</f>
        <v>PROMOTOR CALL CENTER</v>
      </c>
      <c r="E1626" s="5" t="str">
        <f>IFERROR(VLOOKUP(A1626,'Base Prueba'!A:E,5,),"NO REGISTRA")</f>
        <v>OFICINA DE MERCADEO</v>
      </c>
    </row>
    <row r="1627" spans="1:5" ht="15.75" x14ac:dyDescent="0.25">
      <c r="A1627" s="10">
        <v>1016090131</v>
      </c>
      <c r="B1627" s="2">
        <v>46055.376223726853</v>
      </c>
      <c r="C1627" s="3" t="str">
        <f>IFERROR(VLOOKUP(A1627,'Base Prueba'!A:C,3,),"NO REGISTRA")</f>
        <v>NICOLAS RODRIGUEZ PACHECO</v>
      </c>
      <c r="D1627" s="4" t="str">
        <f>IFERROR(VLOOKUP(A1627,'Base Prueba'!A:D,4,),"NO REGISTRA")</f>
        <v>COORDINADOR DE COMUNICACIONES</v>
      </c>
      <c r="E1627" s="5" t="str">
        <f>IFERROR(VLOOKUP(A1627,'Base Prueba'!A:E,5,),"NO REGISTRA")</f>
        <v>OFICINA DE MERCADEO</v>
      </c>
    </row>
    <row r="1628" spans="1:5" ht="15.75" x14ac:dyDescent="0.25">
      <c r="A1628" s="10">
        <v>1019105003</v>
      </c>
      <c r="B1628" s="2">
        <v>46055.376259375</v>
      </c>
      <c r="C1628" s="3" t="str">
        <f>IFERROR(VLOOKUP(A1628,'Base Prueba'!A:C,3,),"NO REGISTRA")</f>
        <v>DAISY JULIETH GASPAR MORENO</v>
      </c>
      <c r="D1628" s="4" t="str">
        <f>IFERROR(VLOOKUP(A1628,'Base Prueba'!A:D,4,),"NO REGISTRA")</f>
        <v>PROMOTOR CALL CENTER</v>
      </c>
      <c r="E1628" s="5" t="str">
        <f>IFERROR(VLOOKUP(A1628,'Base Prueba'!A:E,5,),"NO REGISTRA")</f>
        <v>OFICINA DE MERCADEO</v>
      </c>
    </row>
    <row r="1629" spans="1:5" ht="15.75" x14ac:dyDescent="0.25">
      <c r="A1629" s="10">
        <v>1014196857</v>
      </c>
      <c r="B1629" s="2">
        <v>46055.378218749996</v>
      </c>
      <c r="C1629" s="3" t="str">
        <f>IFERROR(VLOOKUP(A1629,'Base Prueba'!A:C,3,),"NO REGISTRA")</f>
        <v>CARLOS ANDRES JIMENEZ PARDO</v>
      </c>
      <c r="D1629" s="4" t="str">
        <f>IFERROR(VLOOKUP(A1629,'Base Prueba'!A:D,4,),"NO REGISTRA")</f>
        <v>COORDINADOR DE MARKETING DIGITAL</v>
      </c>
      <c r="E1629" s="5" t="str">
        <f>IFERROR(VLOOKUP(A1629,'Base Prueba'!A:E,5,),"NO REGISTRA")</f>
        <v>OFICINA DE MERCADEO</v>
      </c>
    </row>
    <row r="1630" spans="1:5" ht="15.75" x14ac:dyDescent="0.25">
      <c r="A1630" s="10">
        <v>1018414290</v>
      </c>
      <c r="B1630" s="2">
        <v>46055.378694907406</v>
      </c>
      <c r="C1630" s="3" t="str">
        <f>IFERROR(VLOOKUP(A1630,'Base Prueba'!A:C,3,),"NO REGISTRA")</f>
        <v>AMANDA LISBETH RODRIGUEZ LEON</v>
      </c>
      <c r="D1630" s="4" t="str">
        <f>IFERROR(VLOOKUP(A1630,'Base Prueba'!A:D,4,),"NO REGISTRA")</f>
        <v>PROMOTOR CALL CENTER</v>
      </c>
      <c r="E1630" s="5" t="str">
        <f>IFERROR(VLOOKUP(A1630,'Base Prueba'!A:E,5,),"NO REGISTRA")</f>
        <v>OFICINA DE MERCADEO</v>
      </c>
    </row>
    <row r="1631" spans="1:5" ht="15.75" x14ac:dyDescent="0.25">
      <c r="A1631" s="10">
        <v>52764929</v>
      </c>
      <c r="B1631" s="2">
        <v>46055.379131481481</v>
      </c>
      <c r="C1631" s="3" t="str">
        <f>IFERROR(VLOOKUP(A1631,'Base Prueba'!A:C,3,),"NO REGISTRA")</f>
        <v>GUERLY YOHANA DURAN RIVERA</v>
      </c>
      <c r="D1631" s="4" t="str">
        <f>IFERROR(VLOOKUP(A1631,'Base Prueba'!A:D,4,),"NO REGISTRA")</f>
        <v>LIDER DE VINCULACION COLEGIOS</v>
      </c>
      <c r="E1631" s="5" t="str">
        <f>IFERROR(VLOOKUP(A1631,'Base Prueba'!A:E,5,),"NO REGISTRA")</f>
        <v>OFICINA DE MERCADEO</v>
      </c>
    </row>
    <row r="1632" spans="1:5" ht="15.75" x14ac:dyDescent="0.25">
      <c r="A1632" s="10">
        <v>28798349</v>
      </c>
      <c r="B1632" s="2">
        <v>46055.381729745372</v>
      </c>
      <c r="C1632" s="3" t="str">
        <f>IFERROR(VLOOKUP(A1632,'Base Prueba'!A:C,3,),"NO REGISTRA")</f>
        <v>MARTHA ISABEL TOVAR WILLIAMS</v>
      </c>
      <c r="D1632" s="4" t="str">
        <f>IFERROR(VLOOKUP(A1632,'Base Prueba'!A:D,4,),"NO REGISTRA")</f>
        <v>PROMOTOR CALL CENTER</v>
      </c>
      <c r="E1632" s="5" t="str">
        <f>IFERROR(VLOOKUP(A1632,'Base Prueba'!A:E,5,),"NO REGISTRA")</f>
        <v>OFICINA DE MERCADEO</v>
      </c>
    </row>
    <row r="1633" spans="1:5" ht="15.75" x14ac:dyDescent="0.25">
      <c r="A1633" s="10">
        <v>1014211708</v>
      </c>
      <c r="B1633" s="2">
        <v>46055.384784374997</v>
      </c>
      <c r="C1633" s="3" t="str">
        <f>IFERROR(VLOOKUP(A1633,'Base Prueba'!A:C,3,),"NO REGISTRA")</f>
        <v>JUAN MANUEL MERCADO FUENTES</v>
      </c>
      <c r="D1633" s="4" t="str">
        <f>IFERROR(VLOOKUP(A1633,'Base Prueba'!A:D,4,),"NO REGISTRA")</f>
        <v>COORDINADOR DE DISEÑO E IMAGEN INSTITUCIONAL</v>
      </c>
      <c r="E1633" s="5" t="str">
        <f>IFERROR(VLOOKUP(A1633,'Base Prueba'!A:E,5,),"NO REGISTRA")</f>
        <v>OFICINA DE MERCADEO</v>
      </c>
    </row>
    <row r="1634" spans="1:5" ht="15.75" x14ac:dyDescent="0.25">
      <c r="A1634" s="10">
        <v>53089882</v>
      </c>
      <c r="B1634" s="2">
        <v>46055.389143865737</v>
      </c>
      <c r="C1634" s="3" t="str">
        <f>IFERROR(VLOOKUP(A1634,'Base Prueba'!A:C,3,),"NO REGISTRA")</f>
        <v>MARIA JOHANA ESCAMILLA MARTINEZ</v>
      </c>
      <c r="D1634" s="4" t="str">
        <f>IFERROR(VLOOKUP(A1634,'Base Prueba'!A:D,4,),"NO REGISTRA")</f>
        <v>PROMOTOR DE INFORMACIÓN</v>
      </c>
      <c r="E1634" s="5" t="str">
        <f>IFERROR(VLOOKUP(A1634,'Base Prueba'!A:E,5,),"NO REGISTRA")</f>
        <v>OFICINA DE MERCADEO</v>
      </c>
    </row>
    <row r="1635" spans="1:5" ht="15.75" x14ac:dyDescent="0.25">
      <c r="A1635" s="10">
        <v>1193265768</v>
      </c>
      <c r="B1635" s="2">
        <v>46055.39067847222</v>
      </c>
      <c r="C1635" s="3" t="str">
        <f>IFERROR(VLOOKUP(A1635,'Base Prueba'!A:C,3,),"NO REGISTRA")</f>
        <v>SANTIAGO OSORIO CAMACHO</v>
      </c>
      <c r="D1635" s="4" t="str">
        <f>IFERROR(VLOOKUP(A1635,'Base Prueba'!A:D,4,),"NO REGISTRA")</f>
        <v>ANALISTA DE PAUTA</v>
      </c>
      <c r="E1635" s="5" t="str">
        <f>IFERROR(VLOOKUP(A1635,'Base Prueba'!A:E,5,),"NO REGISTRA")</f>
        <v>OFICINA DE MERCADEO</v>
      </c>
    </row>
    <row r="1636" spans="1:5" ht="15.75" x14ac:dyDescent="0.25">
      <c r="A1636" s="10">
        <v>1087121273</v>
      </c>
      <c r="B1636" s="2">
        <v>46055.691884375003</v>
      </c>
      <c r="C1636" s="3" t="str">
        <f>IFERROR(VLOOKUP(A1636,'Base Prueba'!A:C,3,),"NO REGISTRA")</f>
        <v>MAYRA ALEJANDRA CASTILLO ARBOLEDA</v>
      </c>
      <c r="D1636" s="4" t="str">
        <f>IFERROR(VLOOKUP(A1636,'Base Prueba'!A:D,4,),"NO REGISTRA")</f>
        <v>APOYO INTEGRAL DE MERCADEO</v>
      </c>
      <c r="E1636" s="5" t="str">
        <f>IFERROR(VLOOKUP(A1636,'Base Prueba'!A:E,5,),"NO REGISTRA")</f>
        <v>CENTRO DE GESTION DOCUMENTAL</v>
      </c>
    </row>
    <row r="1637" spans="1:5" ht="15.75" x14ac:dyDescent="0.25">
      <c r="A1637" s="10">
        <v>1031802160</v>
      </c>
      <c r="B1637" s="2">
        <v>46055.705834143519</v>
      </c>
      <c r="C1637" s="3" t="str">
        <f>IFERROR(VLOOKUP(A1637,'Base Prueba'!A:C,3,),"NO REGISTRA")</f>
        <v>LUISA MARIA MAHECHA SOTOMAYOR</v>
      </c>
      <c r="D1637" s="4" t="str">
        <f>IFERROR(VLOOKUP(A1637,'Base Prueba'!A:D,4,),"NO REGISTRA")</f>
        <v>APRENDIZ UNIVERSITARIO</v>
      </c>
      <c r="E1637" s="5" t="str">
        <f>IFERROR(VLOOKUP(A1637,'Base Prueba'!A:E,5,),"NO REGISTRA")</f>
        <v>OFICINA DE MERCADEO</v>
      </c>
    </row>
    <row r="1638" spans="1:5" ht="15.75" x14ac:dyDescent="0.25">
      <c r="A1638" s="10">
        <v>1014308296</v>
      </c>
      <c r="B1638" s="2">
        <v>46055.712755092594</v>
      </c>
      <c r="C1638" s="3" t="str">
        <f>IFERROR(VLOOKUP(A1638,'Base Prueba'!A:C,3,),"NO REGISTRA")</f>
        <v>DARLENE YULIANA MORENO CELEITA</v>
      </c>
      <c r="D1638" s="4" t="str">
        <f>IFERROR(VLOOKUP(A1638,'Base Prueba'!A:D,4,),"NO REGISTRA")</f>
        <v>CAJERO PRINCIPAL</v>
      </c>
      <c r="E1638" s="5" t="str">
        <f>IFERROR(VLOOKUP(A1638,'Base Prueba'!A:E,5,),"NO REGISTRA")</f>
        <v>AREA FINANCIERA Y CONTABLE</v>
      </c>
    </row>
    <row r="1639" spans="1:5" ht="15.75" x14ac:dyDescent="0.25">
      <c r="A1639" s="10">
        <v>1026599257</v>
      </c>
      <c r="B1639" s="2">
        <v>46055.713719907406</v>
      </c>
      <c r="C1639" s="3" t="str">
        <f>IFERROR(VLOOKUP(A1639,'Base Prueba'!A:C,3,),"NO REGISTRA")</f>
        <v>YESENIA PAOLA PINEDA HURTADO</v>
      </c>
      <c r="D1639" s="4" t="str">
        <f>IFERROR(VLOOKUP(A1639,'Base Prueba'!A:D,4,),"NO REGISTRA")</f>
        <v>LIDER DE COMPRAS</v>
      </c>
      <c r="E1639" s="5" t="str">
        <f>IFERROR(VLOOKUP(A1639,'Base Prueba'!A:E,5,),"NO REGISTRA")</f>
        <v>AREA ADMINISTRATIVA</v>
      </c>
    </row>
    <row r="1640" spans="1:5" ht="15.75" x14ac:dyDescent="0.25">
      <c r="A1640" s="10">
        <v>52735929</v>
      </c>
      <c r="B1640" s="2">
        <v>46055.753030902779</v>
      </c>
      <c r="C1640" s="3" t="str">
        <f>IFERROR(VLOOKUP(A1640,'Base Prueba'!A:C,3,),"NO REGISTRA")</f>
        <v>JEIMMY AREVALO MELO</v>
      </c>
      <c r="D1640" s="4" t="str">
        <f>IFERROR(VLOOKUP(A1640,'Base Prueba'!A:D,4,),"NO REGISTRA")</f>
        <v>COORDINADOR DE BIBLIOTECA</v>
      </c>
      <c r="E1640" s="5" t="str">
        <f>IFERROR(VLOOKUP(A1640,'Base Prueba'!A:E,5,),"NO REGISTRA")</f>
        <v>BIBLIOTECA</v>
      </c>
    </row>
    <row r="1641" spans="1:5" ht="15.75" x14ac:dyDescent="0.25">
      <c r="A1641" s="10">
        <v>1000687931</v>
      </c>
      <c r="B1641" s="2">
        <v>46055.754537152781</v>
      </c>
      <c r="C1641" s="3" t="str">
        <f>IFERROR(VLOOKUP(A1641,'Base Prueba'!A:C,3,),"NO REGISTRA")</f>
        <v>ANDRES FELIPE PUENTES TORRES</v>
      </c>
      <c r="D1641" s="4" t="str">
        <f>IFERROR(VLOOKUP(A1641,'Base Prueba'!A:D,4,),"NO REGISTRA")</f>
        <v>AUXILIAR ADMINISTRATIVO</v>
      </c>
      <c r="E1641" s="5" t="str">
        <f>IFERROR(VLOOKUP(A1641,'Base Prueba'!A:E,5,),"NO REGISTRA")</f>
        <v>REGISTRO Y CONTROL ACADEMICO</v>
      </c>
    </row>
    <row r="1642" spans="1:5" ht="15.75" x14ac:dyDescent="0.25">
      <c r="A1642" s="10">
        <v>1014211708</v>
      </c>
      <c r="B1642" s="2">
        <v>46055.755741435183</v>
      </c>
      <c r="C1642" s="3" t="str">
        <f>IFERROR(VLOOKUP(A1642,'Base Prueba'!A:C,3,),"NO REGISTRA")</f>
        <v>JUAN MANUEL MERCADO FUENTES</v>
      </c>
      <c r="D1642" s="4" t="str">
        <f>IFERROR(VLOOKUP(A1642,'Base Prueba'!A:D,4,),"NO REGISTRA")</f>
        <v>COORDINADOR DE DISEÑO E IMAGEN INSTITUCIONAL</v>
      </c>
      <c r="E1642" s="5" t="str">
        <f>IFERROR(VLOOKUP(A1642,'Base Prueba'!A:E,5,),"NO REGISTRA")</f>
        <v>OFICINA DE MERCADEO</v>
      </c>
    </row>
    <row r="1643" spans="1:5" ht="15.75" x14ac:dyDescent="0.25">
      <c r="A1643" s="10">
        <v>1033709056</v>
      </c>
      <c r="B1643" s="2">
        <v>46055.7573849537</v>
      </c>
      <c r="C1643" s="3" t="str">
        <f>IFERROR(VLOOKUP(A1643,'Base Prueba'!A:C,3,),"NO REGISTRA")</f>
        <v>YEIMY ALEXANDRA RODRIGUEZ PALACIO</v>
      </c>
      <c r="D1643" s="4" t="str">
        <f>IFERROR(VLOOKUP(A1643,'Base Prueba'!A:D,4,),"NO REGISTRA")</f>
        <v>PROMOTOR CALL CENTER</v>
      </c>
      <c r="E1643" s="5" t="str">
        <f>IFERROR(VLOOKUP(A1643,'Base Prueba'!A:E,5,),"NO REGISTRA")</f>
        <v>OFICINA DE MERCADEO</v>
      </c>
    </row>
    <row r="1644" spans="1:5" ht="15.75" x14ac:dyDescent="0.25">
      <c r="A1644" s="10">
        <v>1019105003</v>
      </c>
      <c r="B1644" s="2">
        <v>46055.759213773148</v>
      </c>
      <c r="C1644" s="3" t="str">
        <f>IFERROR(VLOOKUP(A1644,'Base Prueba'!A:C,3,),"NO REGISTRA")</f>
        <v>DAISY JULIETH GASPAR MORENO</v>
      </c>
      <c r="D1644" s="4" t="str">
        <f>IFERROR(VLOOKUP(A1644,'Base Prueba'!A:D,4,),"NO REGISTRA")</f>
        <v>PROMOTOR CALL CENTER</v>
      </c>
      <c r="E1644" s="5" t="str">
        <f>IFERROR(VLOOKUP(A1644,'Base Prueba'!A:E,5,),"NO REGISTRA")</f>
        <v>OFICINA DE MERCADEO</v>
      </c>
    </row>
    <row r="1645" spans="1:5" ht="15.75" x14ac:dyDescent="0.25">
      <c r="A1645" s="10">
        <v>1000467399</v>
      </c>
      <c r="B1645" s="2">
        <v>46055.75927037037</v>
      </c>
      <c r="C1645" s="3" t="str">
        <f>IFERROR(VLOOKUP(A1645,'Base Prueba'!A:C,3,),"NO REGISTRA")</f>
        <v>BRANDO ESTIVEN DIAZ QUIMBAYA</v>
      </c>
      <c r="D1645" s="4" t="str">
        <f>IFERROR(VLOOKUP(A1645,'Base Prueba'!A:D,4,),"NO REGISTRA")</f>
        <v>APRENDIZ UNIVERSITARIO</v>
      </c>
      <c r="E1645" s="5" t="str">
        <f>IFERROR(VLOOKUP(A1645,'Base Prueba'!A:E,5,),"NO REGISTRA")</f>
        <v>DEPARTAMENTO DE GESTION HUMANA</v>
      </c>
    </row>
    <row r="1646" spans="1:5" ht="15.75" x14ac:dyDescent="0.25">
      <c r="A1646" s="10">
        <v>1014977624</v>
      </c>
      <c r="B1646" s="2">
        <v>46055.760303356481</v>
      </c>
      <c r="C1646" s="3" t="str">
        <f>IFERROR(VLOOKUP(A1646,'Base Prueba'!A:C,3,),"NO REGISTRA")</f>
        <v>NICCOLE VALENTINA HERNANDEZ MALAVER</v>
      </c>
      <c r="D1646" s="4" t="str">
        <f>IFERROR(VLOOKUP(A1646,'Base Prueba'!A:D,4,),"NO REGISTRA")</f>
        <v>APRENDIZ UNIVERSITARIO</v>
      </c>
      <c r="E1646" s="5" t="str">
        <f>IFERROR(VLOOKUP(A1646,'Base Prueba'!A:E,5,),"NO REGISTRA")</f>
        <v>AREA FINANCIERA Y CONTABLE</v>
      </c>
    </row>
    <row r="1647" spans="1:5" ht="15.75" x14ac:dyDescent="0.25">
      <c r="A1647" s="10">
        <v>1032469638</v>
      </c>
      <c r="B1647" s="2">
        <v>46055.761936574076</v>
      </c>
      <c r="C1647" s="3" t="str">
        <f>IFERROR(VLOOKUP(A1647,'Base Prueba'!A:C,3,),"NO REGISTRA")</f>
        <v>MAICOL JARBEY GUALTEROS CASTAÑEDA</v>
      </c>
      <c r="D1647" s="4" t="str">
        <f>IFERROR(VLOOKUP(A1647,'Base Prueba'!A:D,4,),"NO REGISTRA")</f>
        <v>COORDINADOR DEL SISTEMA INTERNO DE ASEGURAMIENTO DE LA CALIDAD - SIAC</v>
      </c>
      <c r="E1647" s="5" t="str">
        <f>IFERROR(VLOOKUP(A1647,'Base Prueba'!A:E,5,),"NO REGISTRA")</f>
        <v>OFICINA DE PLANEACION Y GESTION DE LA CALIDAD</v>
      </c>
    </row>
    <row r="1648" spans="1:5" ht="15.75" x14ac:dyDescent="0.25">
      <c r="A1648" s="10">
        <v>1049644802</v>
      </c>
      <c r="B1648" s="2">
        <v>46055.761988310187</v>
      </c>
      <c r="C1648" s="3" t="str">
        <f>IFERROR(VLOOKUP(A1648,'Base Prueba'!A:C,3,),"NO REGISTRA")</f>
        <v>DANIELA ALEXANDRA CIPAMOCHA BOSIGA</v>
      </c>
      <c r="D1648" s="4" t="str">
        <f>IFERROR(VLOOKUP(A1648,'Base Prueba'!A:D,4,),"NO REGISTRA")</f>
        <v>LIDER DE DATOS Y SERVICIOS</v>
      </c>
      <c r="E1648" s="5" t="str">
        <f>IFERROR(VLOOKUP(A1648,'Base Prueba'!A:E,5,),"NO REGISTRA")</f>
        <v>OFICINA DE PLANEACION Y GESTION DE LA CALIDAD</v>
      </c>
    </row>
    <row r="1649" spans="1:5" ht="15.75" x14ac:dyDescent="0.25">
      <c r="A1649" s="10">
        <v>1016090131</v>
      </c>
      <c r="B1649" s="2">
        <v>46055.7620306713</v>
      </c>
      <c r="C1649" s="3" t="str">
        <f>IFERROR(VLOOKUP(A1649,'Base Prueba'!A:C,3,),"NO REGISTRA")</f>
        <v>NICOLAS RODRIGUEZ PACHECO</v>
      </c>
      <c r="D1649" s="4" t="str">
        <f>IFERROR(VLOOKUP(A1649,'Base Prueba'!A:D,4,),"NO REGISTRA")</f>
        <v>COORDINADOR DE COMUNICACIONES</v>
      </c>
      <c r="E1649" s="5" t="str">
        <f>IFERROR(VLOOKUP(A1649,'Base Prueba'!A:E,5,),"NO REGISTRA")</f>
        <v>OFICINA DE MERCADEO</v>
      </c>
    </row>
    <row r="1650" spans="1:5" ht="15.75" x14ac:dyDescent="0.25">
      <c r="A1650" s="10">
        <v>53089882</v>
      </c>
      <c r="B1650" s="2">
        <v>46055.766338541667</v>
      </c>
      <c r="C1650" s="3" t="str">
        <f>IFERROR(VLOOKUP(A1650,'Base Prueba'!A:C,3,),"NO REGISTRA")</f>
        <v>MARIA JOHANA ESCAMILLA MARTINEZ</v>
      </c>
      <c r="D1650" s="4" t="str">
        <f>IFERROR(VLOOKUP(A1650,'Base Prueba'!A:D,4,),"NO REGISTRA")</f>
        <v>PROMOTOR DE INFORMACIÓN</v>
      </c>
      <c r="E1650" s="5" t="str">
        <f>IFERROR(VLOOKUP(A1650,'Base Prueba'!A:E,5,),"NO REGISTRA")</f>
        <v>OFICINA DE MERCADEO</v>
      </c>
    </row>
    <row r="1651" spans="1:5" ht="15.75" x14ac:dyDescent="0.25">
      <c r="A1651" s="10">
        <v>53089882</v>
      </c>
      <c r="B1651" s="2">
        <v>46055.766363194445</v>
      </c>
      <c r="C1651" s="3" t="str">
        <f>IFERROR(VLOOKUP(A1651,'Base Prueba'!A:C,3,),"NO REGISTRA")</f>
        <v>MARIA JOHANA ESCAMILLA MARTINEZ</v>
      </c>
      <c r="D1651" s="4" t="str">
        <f>IFERROR(VLOOKUP(A1651,'Base Prueba'!A:D,4,),"NO REGISTRA")</f>
        <v>PROMOTOR DE INFORMACIÓN</v>
      </c>
      <c r="E1651" s="5" t="str">
        <f>IFERROR(VLOOKUP(A1651,'Base Prueba'!A:E,5,),"NO REGISTRA")</f>
        <v>OFICINA DE MERCADEO</v>
      </c>
    </row>
    <row r="1652" spans="1:5" ht="15.75" x14ac:dyDescent="0.25">
      <c r="A1652" s="10">
        <v>1018413529</v>
      </c>
      <c r="B1652" s="2">
        <v>46055.766516550924</v>
      </c>
      <c r="C1652" s="3" t="str">
        <f>IFERROR(VLOOKUP(A1652,'Base Prueba'!A:C,3,),"NO REGISTRA")</f>
        <v>FRANCY STELLA CHARRY MORENO</v>
      </c>
      <c r="D1652" s="4" t="str">
        <f>IFERROR(VLOOKUP(A1652,'Base Prueba'!A:D,4,),"NO REGISTRA")</f>
        <v>PROMOTOR COMERCIAL DEL CEA</v>
      </c>
      <c r="E1652" s="5" t="str">
        <f>IFERROR(VLOOKUP(A1652,'Base Prueba'!A:E,5,),"NO REGISTRA")</f>
        <v>OFICINA DE MERCADEO</v>
      </c>
    </row>
    <row r="1653" spans="1:5" ht="15.75" x14ac:dyDescent="0.25">
      <c r="A1653" s="10">
        <v>1193457976</v>
      </c>
      <c r="B1653" s="2">
        <v>46055.767131250002</v>
      </c>
      <c r="C1653" s="3" t="str">
        <f>IFERROR(VLOOKUP(A1653,'Base Prueba'!A:C,3,),"NO REGISTRA")</f>
        <v>SEDENIS RIVAS ASPRILLA</v>
      </c>
      <c r="D1653" s="4" t="str">
        <f>IFERROR(VLOOKUP(A1653,'Base Prueba'!A:D,4,),"NO REGISTRA")</f>
        <v>APRENDIZ UNIVERSITARIO</v>
      </c>
      <c r="E1653" s="5" t="str">
        <f>IFERROR(VLOOKUP(A1653,'Base Prueba'!A:E,5,),"NO REGISTRA")</f>
        <v>DEPARTAMENTO DE GESTION HUMANA</v>
      </c>
    </row>
    <row r="1654" spans="1:5" ht="15.75" x14ac:dyDescent="0.25">
      <c r="A1654" s="10">
        <v>1032407386</v>
      </c>
      <c r="B1654" s="2">
        <v>46055.768644097225</v>
      </c>
      <c r="C1654" s="3" t="str">
        <f>IFERROR(VLOOKUP(A1654,'Base Prueba'!A:C,3,),"NO REGISTRA")</f>
        <v>GINA PAOLA BAEZ GALVIS</v>
      </c>
      <c r="D1654" s="4" t="str">
        <f>IFERROR(VLOOKUP(A1654,'Base Prueba'!A:D,4,),"NO REGISTRA")</f>
        <v>PROMOTOR CALL CENTER</v>
      </c>
      <c r="E1654" s="5" t="str">
        <f>IFERROR(VLOOKUP(A1654,'Base Prueba'!A:E,5,),"NO REGISTRA")</f>
        <v>OFICINA DE MERCADEO</v>
      </c>
    </row>
    <row r="1655" spans="1:5" ht="15.75" x14ac:dyDescent="0.25">
      <c r="A1655" s="10">
        <v>1018414290</v>
      </c>
      <c r="B1655" s="2">
        <v>46055.768673958337</v>
      </c>
      <c r="C1655" s="3" t="str">
        <f>IFERROR(VLOOKUP(A1655,'Base Prueba'!A:C,3,),"NO REGISTRA")</f>
        <v>AMANDA LISBETH RODRIGUEZ LEON</v>
      </c>
      <c r="D1655" s="4" t="str">
        <f>IFERROR(VLOOKUP(A1655,'Base Prueba'!A:D,4,),"NO REGISTRA")</f>
        <v>PROMOTOR CALL CENTER</v>
      </c>
      <c r="E1655" s="5" t="str">
        <f>IFERROR(VLOOKUP(A1655,'Base Prueba'!A:E,5,),"NO REGISTRA")</f>
        <v>OFICINA DE MERCADEO</v>
      </c>
    </row>
    <row r="1656" spans="1:5" ht="15.75" x14ac:dyDescent="0.25">
      <c r="A1656" s="10">
        <v>52472386</v>
      </c>
      <c r="B1656" s="2">
        <v>46055.768756597223</v>
      </c>
      <c r="C1656" s="3" t="str">
        <f>IFERROR(VLOOKUP(A1656,'Base Prueba'!A:C,3,),"NO REGISTRA")</f>
        <v>ADRIANA MARCELA MORALES PARDO</v>
      </c>
      <c r="D1656" s="4" t="str">
        <f>IFERROR(VLOOKUP(A1656,'Base Prueba'!A:D,4,),"NO REGISTRA")</f>
        <v>PROMOTOR CALL CENTER</v>
      </c>
      <c r="E1656" s="5" t="str">
        <f>IFERROR(VLOOKUP(A1656,'Base Prueba'!A:E,5,),"NO REGISTRA")</f>
        <v>OFICINA DE MERCADEO</v>
      </c>
    </row>
    <row r="1657" spans="1:5" ht="15.75" x14ac:dyDescent="0.25">
      <c r="A1657" s="10">
        <v>1193265768</v>
      </c>
      <c r="B1657" s="2">
        <v>46055.76885</v>
      </c>
      <c r="C1657" s="3" t="str">
        <f>IFERROR(VLOOKUP(A1657,'Base Prueba'!A:C,3,),"NO REGISTRA")</f>
        <v>SANTIAGO OSORIO CAMACHO</v>
      </c>
      <c r="D1657" s="4" t="str">
        <f>IFERROR(VLOOKUP(A1657,'Base Prueba'!A:D,4,),"NO REGISTRA")</f>
        <v>ANALISTA DE PAUTA</v>
      </c>
      <c r="E1657" s="5" t="str">
        <f>IFERROR(VLOOKUP(A1657,'Base Prueba'!A:E,5,),"NO REGISTRA")</f>
        <v>OFICINA DE MERCADEO</v>
      </c>
    </row>
    <row r="1658" spans="1:5" ht="15.75" x14ac:dyDescent="0.25">
      <c r="A1658" s="10">
        <v>1014196857</v>
      </c>
      <c r="B1658" s="2">
        <v>46055.769821759262</v>
      </c>
      <c r="C1658" s="3" t="str">
        <f>IFERROR(VLOOKUP(A1658,'Base Prueba'!A:C,3,),"NO REGISTRA")</f>
        <v>CARLOS ANDRES JIMENEZ PARDO</v>
      </c>
      <c r="D1658" s="4" t="str">
        <f>IFERROR(VLOOKUP(A1658,'Base Prueba'!A:D,4,),"NO REGISTRA")</f>
        <v>COORDINADOR DE MARKETING DIGITAL</v>
      </c>
      <c r="E1658" s="5" t="str">
        <f>IFERROR(VLOOKUP(A1658,'Base Prueba'!A:E,5,),"NO REGISTRA")</f>
        <v>OFICINA DE MERCADEO</v>
      </c>
    </row>
    <row r="1659" spans="1:5" ht="15.75" x14ac:dyDescent="0.25">
      <c r="A1659" s="10">
        <v>1000324729</v>
      </c>
      <c r="B1659" s="2">
        <v>46055.773209953702</v>
      </c>
      <c r="C1659" s="3" t="str">
        <f>IFERROR(VLOOKUP(A1659,'Base Prueba'!A:C,3,),"NO REGISTRA")</f>
        <v>ANYIE VANESSA TINOCO CAMACHO</v>
      </c>
      <c r="D1659" s="4" t="str">
        <f>IFERROR(VLOOKUP(A1659,'Base Prueba'!A:D,4,),"NO REGISTRA")</f>
        <v>LIDER DE REGISTRO Y CONTROL</v>
      </c>
      <c r="E1659" s="5" t="str">
        <f>IFERROR(VLOOKUP(A1659,'Base Prueba'!A:E,5,),"NO REGISTRA")</f>
        <v>REGISTRO Y CONTROL ACADEMICO</v>
      </c>
    </row>
    <row r="1660" spans="1:5" ht="15.75" x14ac:dyDescent="0.25">
      <c r="A1660" s="10">
        <v>1030567635</v>
      </c>
      <c r="B1660" s="2">
        <v>46055.774166087962</v>
      </c>
      <c r="C1660" s="3" t="str">
        <f>IFERROR(VLOOKUP(A1660,'Base Prueba'!A:C,3,),"NO REGISTRA")</f>
        <v>JEFFERSON ANDRES BARRETO DIAZ</v>
      </c>
      <c r="D1660" s="4" t="str">
        <f>IFERROR(VLOOKUP(A1660,'Base Prueba'!A:D,4,),"NO REGISTRA")</f>
        <v>AUXILIAR DE ARCHIVO</v>
      </c>
      <c r="E1660" s="5" t="str">
        <f>IFERROR(VLOOKUP(A1660,'Base Prueba'!A:E,5,),"NO REGISTRA")</f>
        <v>CENTRO DE GESTION DOCUMENTAL</v>
      </c>
    </row>
    <row r="1661" spans="1:5" ht="15.75" x14ac:dyDescent="0.25">
      <c r="A1661" s="10">
        <v>1023883232</v>
      </c>
      <c r="B1661" s="2">
        <v>46055.776637499999</v>
      </c>
      <c r="C1661" s="3" t="str">
        <f>IFERROR(VLOOKUP(A1661,'Base Prueba'!A:C,3,),"NO REGISTRA")</f>
        <v>MONICA ANDREA ACERO URBANO</v>
      </c>
      <c r="D1661" s="4" t="str">
        <f>IFERROR(VLOOKUP(A1661,'Base Prueba'!A:D,4,),"NO REGISTRA")</f>
        <v>APOYO INTEGRAL A GESTION HUMANA</v>
      </c>
      <c r="E1661" s="5" t="str">
        <f>IFERROR(VLOOKUP(A1661,'Base Prueba'!A:E,5,),"NO REGISTRA")</f>
        <v>DEPARTAMENTO DE GESTION HUMANA</v>
      </c>
    </row>
    <row r="1662" spans="1:5" ht="15.75" x14ac:dyDescent="0.25">
      <c r="A1662" s="10">
        <v>1000457706</v>
      </c>
      <c r="B1662" s="2">
        <v>46055.780286458335</v>
      </c>
      <c r="C1662" s="3" t="str">
        <f>IFERROR(VLOOKUP(A1662,'Base Prueba'!A:C,3,),"NO REGISTRA")</f>
        <v>CRISTIAN DANILO ARROYO SANABRIA</v>
      </c>
      <c r="D1662" s="4" t="str">
        <f>IFERROR(VLOOKUP(A1662,'Base Prueba'!A:D,4,),"NO REGISTRA")</f>
        <v>AUXILIAR CONTABLE</v>
      </c>
      <c r="E1662" s="5" t="str">
        <f>IFERROR(VLOOKUP(A1662,'Base Prueba'!A:E,5,),"NO REGISTRA")</f>
        <v>AREA FINANCIERA Y CONTABLE</v>
      </c>
    </row>
    <row r="1663" spans="1:5" ht="15.75" x14ac:dyDescent="0.25">
      <c r="A1663" s="10">
        <v>1000257136</v>
      </c>
      <c r="B1663" s="2">
        <v>46055.78029328704</v>
      </c>
      <c r="C1663" s="3" t="str">
        <f>IFERROR(VLOOKUP(A1663,'Base Prueba'!A:C,3,),"NO REGISTRA")</f>
        <v>FRANCI VALENTINA CANO PUENTES</v>
      </c>
      <c r="D1663" s="4" t="str">
        <f>IFERROR(VLOOKUP(A1663,'Base Prueba'!A:D,4,),"NO REGISTRA")</f>
        <v>AUXILIAR CONTABLE</v>
      </c>
      <c r="E1663" s="5" t="str">
        <f>IFERROR(VLOOKUP(A1663,'Base Prueba'!A:E,5,),"NO REGISTRA")</f>
        <v>AREA FINANCIERA Y CONTABLE</v>
      </c>
    </row>
    <row r="1664" spans="1:5" ht="15.75" x14ac:dyDescent="0.25">
      <c r="A1664" s="10">
        <v>53932358</v>
      </c>
      <c r="B1664" s="2">
        <v>46055.780596875004</v>
      </c>
      <c r="C1664" s="3" t="str">
        <f>IFERROR(VLOOKUP(A1664,'Base Prueba'!A:C,3,),"NO REGISTRA")</f>
        <v>DIANA MADELEYNE GAONA RODRIGUEZ</v>
      </c>
      <c r="D1664" s="4" t="str">
        <f>IFERROR(VLOOKUP(A1664,'Base Prueba'!A:D,4,),"NO REGISTRA")</f>
        <v>CONTADOR</v>
      </c>
      <c r="E1664" s="5" t="str">
        <f>IFERROR(VLOOKUP(A1664,'Base Prueba'!A:E,5,),"NO REGISTRA")</f>
        <v>AREA FINANCIERA Y CONTABLE</v>
      </c>
    </row>
    <row r="1665" spans="1:5" ht="15.75" x14ac:dyDescent="0.25">
      <c r="A1665" s="10">
        <v>1013616244</v>
      </c>
      <c r="B1665" s="2">
        <v>46055.782351620372</v>
      </c>
      <c r="C1665" s="3" t="str">
        <f>IFERROR(VLOOKUP(A1665,'Base Prueba'!A:C,3,),"NO REGISTRA")</f>
        <v>DIANA CAROLINA MARIN BETANCOURT</v>
      </c>
      <c r="D1665" s="4" t="str">
        <f>IFERROR(VLOOKUP(A1665,'Base Prueba'!A:D,4,),"NO REGISTRA")</f>
        <v>AUXILIAR ADMINISTRATIVO</v>
      </c>
      <c r="E1665" s="5" t="str">
        <f>IFERROR(VLOOKUP(A1665,'Base Prueba'!A:E,5,),"NO REGISTRA")</f>
        <v>REGISTRO Y CONTROL ACADEMICO</v>
      </c>
    </row>
    <row r="1666" spans="1:5" ht="15.75" x14ac:dyDescent="0.25">
      <c r="A1666" s="10">
        <v>1024505434</v>
      </c>
      <c r="B1666" s="2">
        <v>46055.78476574074</v>
      </c>
      <c r="C1666" s="3" t="str">
        <f>IFERROR(VLOOKUP(A1666,'Base Prueba'!A:C,3,),"NO REGISTRA")</f>
        <v>CRISTIAN ALBERTO MELO TORRES</v>
      </c>
      <c r="D1666" s="4" t="str">
        <f>IFERROR(VLOOKUP(A1666,'Base Prueba'!A:D,4,),"NO REGISTRA")</f>
        <v>COORDINADOR DE INFRAESTRUCTURA</v>
      </c>
      <c r="E1666" s="5" t="str">
        <f>IFERROR(VLOOKUP(A1666,'Base Prueba'!A:E,5,),"NO REGISTRA")</f>
        <v>VICERRECTORIA ADMINISTRATIVA Y FINANCIERA</v>
      </c>
    </row>
    <row r="1667" spans="1:5" ht="15.75" x14ac:dyDescent="0.25">
      <c r="A1667" s="10">
        <v>28798349</v>
      </c>
      <c r="B1667" s="2">
        <v>46055.791949768522</v>
      </c>
      <c r="C1667" s="3" t="str">
        <f>IFERROR(VLOOKUP(A1667,'Base Prueba'!A:C,3,),"NO REGISTRA")</f>
        <v>MARTHA ISABEL TOVAR WILLIAMS</v>
      </c>
      <c r="D1667" s="4" t="str">
        <f>IFERROR(VLOOKUP(A1667,'Base Prueba'!A:D,4,),"NO REGISTRA")</f>
        <v>PROMOTOR CALL CENTER</v>
      </c>
      <c r="E1667" s="5" t="str">
        <f>IFERROR(VLOOKUP(A1667,'Base Prueba'!A:E,5,),"NO REGISTRA")</f>
        <v>OFICINA DE MERCADEO</v>
      </c>
    </row>
    <row r="1668" spans="1:5" ht="15.75" x14ac:dyDescent="0.25">
      <c r="A1668" s="10">
        <v>1003690253</v>
      </c>
      <c r="B1668" s="2">
        <v>46055.793791550925</v>
      </c>
      <c r="C1668" s="3" t="str">
        <f>IFERROR(VLOOKUP(A1668,'Base Prueba'!A:C,3,),"NO REGISTRA")</f>
        <v>MELISSA GONZALEZ PEDRAZA</v>
      </c>
      <c r="D1668" s="4" t="str">
        <f>IFERROR(VLOOKUP(A1668,'Base Prueba'!A:D,4,),"NO REGISTRA")</f>
        <v>LIDER DE JOVENES A LA E</v>
      </c>
      <c r="E1668" s="5" t="str">
        <f>IFERROR(VLOOKUP(A1668,'Base Prueba'!A:E,5,),"NO REGISTRA")</f>
        <v>DIRECCION DE BIENESTAR INSTITUCIONAL</v>
      </c>
    </row>
    <row r="1669" spans="1:5" ht="15.75" x14ac:dyDescent="0.25">
      <c r="A1669" s="10">
        <v>52175674</v>
      </c>
      <c r="B1669" s="2">
        <v>46055.799335532407</v>
      </c>
      <c r="C1669" s="3" t="str">
        <f>IFERROR(VLOOKUP(A1669,'Base Prueba'!A:C,3,),"NO REGISTRA")</f>
        <v>LUZ YANETH GOMEZ AREVALO</v>
      </c>
      <c r="D1669" s="4" t="str">
        <f>IFERROR(VLOOKUP(A1669,'Base Prueba'!A:D,4,),"NO REGISTRA")</f>
        <v>COORDINADORA DE ADMISIONES</v>
      </c>
      <c r="E1669" s="5" t="str">
        <f>IFERROR(VLOOKUP(A1669,'Base Prueba'!A:E,5,),"NO REGISTRA")</f>
        <v>OFICINA DE MERCADEO</v>
      </c>
    </row>
    <row r="1670" spans="1:5" ht="15.75" x14ac:dyDescent="0.25">
      <c r="A1670" s="10">
        <v>1000593372</v>
      </c>
      <c r="B1670" s="2">
        <v>46055.802356712964</v>
      </c>
      <c r="C1670" s="3" t="str">
        <f>IFERROR(VLOOKUP(A1670,'Base Prueba'!A:C,3,),"NO REGISTRA")</f>
        <v>LAURA SOFIA CHAPARRO LOPEZ</v>
      </c>
      <c r="D1670" s="4" t="str">
        <f>IFERROR(VLOOKUP(A1670,'Base Prueba'!A:D,4,),"NO REGISTRA")</f>
        <v>AUXILIAR JURIDICO</v>
      </c>
      <c r="E1670" s="5" t="str">
        <f>IFERROR(VLOOKUP(A1670,'Base Prueba'!A:E,5,),"NO REGISTRA")</f>
        <v>SECRETARIA GENERAL</v>
      </c>
    </row>
    <row r="1671" spans="1:5" ht="15.75" x14ac:dyDescent="0.25">
      <c r="A1671" s="10">
        <v>1000604979</v>
      </c>
      <c r="B1671" s="2">
        <v>46055.802373726852</v>
      </c>
      <c r="C1671" s="3" t="str">
        <f>IFERROR(VLOOKUP(A1671,'Base Prueba'!A:C,3,),"NO REGISTRA")</f>
        <v>JULIETH TATIANA PARDO PINTO</v>
      </c>
      <c r="D1671" s="4" t="str">
        <f>IFERROR(VLOOKUP(A1671,'Base Prueba'!A:D,4,),"NO REGISTRA")</f>
        <v>AUXILIAR JURIDICO</v>
      </c>
      <c r="E1671" s="5" t="str">
        <f>IFERROR(VLOOKUP(A1671,'Base Prueba'!A:E,5,),"NO REGISTRA")</f>
        <v>SECRETARIA GENERAL</v>
      </c>
    </row>
    <row r="1672" spans="1:5" ht="15.75" x14ac:dyDescent="0.25">
      <c r="A1672" s="10">
        <v>80234243</v>
      </c>
      <c r="B1672" s="2">
        <v>46055.805426388892</v>
      </c>
      <c r="C1672" s="3" t="str">
        <f>IFERROR(VLOOKUP(A1672,'Base Prueba'!A:C,3,),"NO REGISTRA")</f>
        <v>ARGENIS MARTINEZ MARTINEZ</v>
      </c>
      <c r="D1672" s="4" t="str">
        <f>IFERROR(VLOOKUP(A1672,'Base Prueba'!A:D,4,),"NO REGISTRA")</f>
        <v>LIDER CALL CENTER</v>
      </c>
      <c r="E1672" s="5" t="str">
        <f>IFERROR(VLOOKUP(A1672,'Base Prueba'!A:E,5,),"NO REGISTRA")</f>
        <v>OFICINA DE MERCADEO</v>
      </c>
    </row>
    <row r="1673" spans="1:5" ht="15.75" x14ac:dyDescent="0.25">
      <c r="A1673" s="10">
        <v>1012357415</v>
      </c>
      <c r="B1673" s="2">
        <v>46055.80703773148</v>
      </c>
      <c r="C1673" s="3" t="str">
        <f>IFERROR(VLOOKUP(A1673,'Base Prueba'!A:C,3,),"NO REGISTRA")</f>
        <v>CINDY LORENA BOHORQUEZ LEYVA</v>
      </c>
      <c r="D1673" s="4" t="str">
        <f>IFERROR(VLOOKUP(A1673,'Base Prueba'!A:D,4,),"NO REGISTRA")</f>
        <v>ANALISTA DE TESORERIA</v>
      </c>
      <c r="E1673" s="5" t="str">
        <f>IFERROR(VLOOKUP(A1673,'Base Prueba'!A:E,5,),"NO REGISTRA")</f>
        <v>AREA FINANCIERA Y CONTABLE</v>
      </c>
    </row>
    <row r="1674" spans="1:5" ht="15.75" x14ac:dyDescent="0.25">
      <c r="A1674" s="10">
        <v>52474489</v>
      </c>
      <c r="B1674" s="2">
        <v>46055.811539467592</v>
      </c>
      <c r="C1674" s="3" t="str">
        <f>IFERROR(VLOOKUP(A1674,'Base Prueba'!A:C,3,),"NO REGISTRA")</f>
        <v>ADRIANA JIMENA SOTO BOCANEGRA</v>
      </c>
      <c r="D1674" s="4" t="str">
        <f>IFERROR(VLOOKUP(A1674,'Base Prueba'!A:D,4,),"NO REGISTRA")</f>
        <v>COORDINADOR DE LA OFICINA DE REGISTRO Y CONTROL</v>
      </c>
      <c r="E1674" s="5" t="str">
        <f>IFERROR(VLOOKUP(A1674,'Base Prueba'!A:E,5,),"NO REGISTRA")</f>
        <v>REGISTRO Y CONTROL ACADEMICO</v>
      </c>
    </row>
    <row r="1675" spans="1:5" ht="15.75" x14ac:dyDescent="0.25">
      <c r="A1675" s="10">
        <v>1000046533</v>
      </c>
      <c r="B1675" s="2">
        <v>46056.30435972222</v>
      </c>
      <c r="C1675" s="3" t="str">
        <f>IFERROR(VLOOKUP(A1675,'Base Prueba'!A:C,3,),"NO REGISTRA")</f>
        <v>ERIKA JULIETH VALDERRAMA SANCHEZ</v>
      </c>
      <c r="D1675" s="4" t="str">
        <f>IFERROR(VLOOKUP(A1675,'Base Prueba'!A:D,4,),"NO REGISTRA")</f>
        <v>PROMOTOR CALL CENTER</v>
      </c>
      <c r="E1675" s="5" t="str">
        <f>IFERROR(VLOOKUP(A1675,'Base Prueba'!A:E,5,),"NO REGISTRA")</f>
        <v>OFICINA DE MERCADEO</v>
      </c>
    </row>
    <row r="1676" spans="1:5" ht="15.75" x14ac:dyDescent="0.25">
      <c r="A1676" s="10">
        <v>1087121273</v>
      </c>
      <c r="B1676" s="2">
        <v>46056.308677430556</v>
      </c>
      <c r="C1676" s="3" t="str">
        <f>IFERROR(VLOOKUP(A1676,'Base Prueba'!A:C,3,),"NO REGISTRA")</f>
        <v>MAYRA ALEJANDRA CASTILLO ARBOLEDA</v>
      </c>
      <c r="D1676" s="4" t="str">
        <f>IFERROR(VLOOKUP(A1676,'Base Prueba'!A:D,4,),"NO REGISTRA")</f>
        <v>APOYO INTEGRAL DE MERCADEO</v>
      </c>
      <c r="E1676" s="5" t="str">
        <f>IFERROR(VLOOKUP(A1676,'Base Prueba'!A:E,5,),"NO REGISTRA")</f>
        <v>CENTRO DE GESTION DOCUMENTAL</v>
      </c>
    </row>
    <row r="1677" spans="1:5" ht="15.75" x14ac:dyDescent="0.25">
      <c r="A1677" s="10">
        <v>1013616244</v>
      </c>
      <c r="B1677" s="2">
        <v>46056.328300000001</v>
      </c>
      <c r="C1677" s="3" t="str">
        <f>IFERROR(VLOOKUP(A1677,'Base Prueba'!A:C,3,),"NO REGISTRA")</f>
        <v>DIANA CAROLINA MARIN BETANCOURT</v>
      </c>
      <c r="D1677" s="4" t="str">
        <f>IFERROR(VLOOKUP(A1677,'Base Prueba'!A:D,4,),"NO REGISTRA")</f>
        <v>AUXILIAR ADMINISTRATIVO</v>
      </c>
      <c r="E1677" s="5" t="str">
        <f>IFERROR(VLOOKUP(A1677,'Base Prueba'!A:E,5,),"NO REGISTRA")</f>
        <v>REGISTRO Y CONTROL ACADEMICO</v>
      </c>
    </row>
    <row r="1678" spans="1:5" ht="15.75" x14ac:dyDescent="0.25">
      <c r="A1678" s="10">
        <v>53932358</v>
      </c>
      <c r="B1678" s="2">
        <v>46056.332800115742</v>
      </c>
      <c r="C1678" s="3" t="str">
        <f>IFERROR(VLOOKUP(A1678,'Base Prueba'!A:C,3,),"NO REGISTRA")</f>
        <v>DIANA MADELEYNE GAONA RODRIGUEZ</v>
      </c>
      <c r="D1678" s="4" t="str">
        <f>IFERROR(VLOOKUP(A1678,'Base Prueba'!A:D,4,),"NO REGISTRA")</f>
        <v>CONTADOR</v>
      </c>
      <c r="E1678" s="5" t="str">
        <f>IFERROR(VLOOKUP(A1678,'Base Prueba'!A:E,5,),"NO REGISTRA")</f>
        <v>AREA FINANCIERA Y CONTABLE</v>
      </c>
    </row>
    <row r="1679" spans="1:5" ht="15.75" x14ac:dyDescent="0.25">
      <c r="A1679" s="10">
        <v>1031802160</v>
      </c>
      <c r="B1679" s="2">
        <v>46056.3332099537</v>
      </c>
      <c r="C1679" s="3" t="str">
        <f>IFERROR(VLOOKUP(A1679,'Base Prueba'!A:C,3,),"NO REGISTRA")</f>
        <v>LUISA MARIA MAHECHA SOTOMAYOR</v>
      </c>
      <c r="D1679" s="4" t="str">
        <f>IFERROR(VLOOKUP(A1679,'Base Prueba'!A:D,4,),"NO REGISTRA")</f>
        <v>APRENDIZ UNIVERSITARIO</v>
      </c>
      <c r="E1679" s="5" t="str">
        <f>IFERROR(VLOOKUP(A1679,'Base Prueba'!A:E,5,),"NO REGISTRA")</f>
        <v>OFICINA DE MERCADEO</v>
      </c>
    </row>
    <row r="1680" spans="1:5" ht="15.75" x14ac:dyDescent="0.25">
      <c r="A1680" s="10">
        <v>1000324729</v>
      </c>
      <c r="B1680" s="2">
        <v>46056.335654745373</v>
      </c>
      <c r="C1680" s="3" t="str">
        <f>IFERROR(VLOOKUP(A1680,'Base Prueba'!A:C,3,),"NO REGISTRA")</f>
        <v>ANYIE VANESSA TINOCO CAMACHO</v>
      </c>
      <c r="D1680" s="4" t="str">
        <f>IFERROR(VLOOKUP(A1680,'Base Prueba'!A:D,4,),"NO REGISTRA")</f>
        <v>LIDER DE REGISTRO Y CONTROL</v>
      </c>
      <c r="E1680" s="5" t="str">
        <f>IFERROR(VLOOKUP(A1680,'Base Prueba'!A:E,5,),"NO REGISTRA")</f>
        <v>REGISTRO Y CONTROL ACADEMICO</v>
      </c>
    </row>
    <row r="1681" spans="1:5" ht="15.75" x14ac:dyDescent="0.25">
      <c r="A1681" s="10">
        <v>1000257136</v>
      </c>
      <c r="B1681" s="2">
        <v>46056.336561921293</v>
      </c>
      <c r="C1681" s="3" t="str">
        <f>IFERROR(VLOOKUP(A1681,'Base Prueba'!A:C,3,),"NO REGISTRA")</f>
        <v>FRANCI VALENTINA CANO PUENTES</v>
      </c>
      <c r="D1681" s="4" t="str">
        <f>IFERROR(VLOOKUP(A1681,'Base Prueba'!A:D,4,),"NO REGISTRA")</f>
        <v>AUXILIAR CONTABLE</v>
      </c>
      <c r="E1681" s="5" t="str">
        <f>IFERROR(VLOOKUP(A1681,'Base Prueba'!A:E,5,),"NO REGISTRA")</f>
        <v>AREA FINANCIERA Y CONTABLE</v>
      </c>
    </row>
    <row r="1682" spans="1:5" ht="15.75" x14ac:dyDescent="0.25">
      <c r="A1682" s="10">
        <v>1012357415</v>
      </c>
      <c r="B1682" s="2">
        <v>46056.339204282405</v>
      </c>
      <c r="C1682" s="3" t="str">
        <f>IFERROR(VLOOKUP(A1682,'Base Prueba'!A:C,3,),"NO REGISTRA")</f>
        <v>CINDY LORENA BOHORQUEZ LEYVA</v>
      </c>
      <c r="D1682" s="4" t="str">
        <f>IFERROR(VLOOKUP(A1682,'Base Prueba'!A:D,4,),"NO REGISTRA")</f>
        <v>ANALISTA DE TESORERIA</v>
      </c>
      <c r="E1682" s="5" t="str">
        <f>IFERROR(VLOOKUP(A1682,'Base Prueba'!A:E,5,),"NO REGISTRA")</f>
        <v>AREA FINANCIERA Y CONTABLE</v>
      </c>
    </row>
    <row r="1683" spans="1:5" ht="15.75" x14ac:dyDescent="0.25">
      <c r="A1683" s="10">
        <v>1193457976</v>
      </c>
      <c r="B1683" s="2">
        <v>46056.339540740744</v>
      </c>
      <c r="C1683" s="3" t="str">
        <f>IFERROR(VLOOKUP(A1683,'Base Prueba'!A:C,3,),"NO REGISTRA")</f>
        <v>SEDENIS RIVAS ASPRILLA</v>
      </c>
      <c r="D1683" s="4" t="str">
        <f>IFERROR(VLOOKUP(A1683,'Base Prueba'!A:D,4,),"NO REGISTRA")</f>
        <v>APRENDIZ UNIVERSITARIO</v>
      </c>
      <c r="E1683" s="5" t="str">
        <f>IFERROR(VLOOKUP(A1683,'Base Prueba'!A:E,5,),"NO REGISTRA")</f>
        <v>DEPARTAMENTO DE GESTION HUMANA</v>
      </c>
    </row>
    <row r="1684" spans="1:5" ht="15.75" x14ac:dyDescent="0.25">
      <c r="A1684" s="10">
        <v>1022996882</v>
      </c>
      <c r="B1684" s="2">
        <v>46056.33967627315</v>
      </c>
      <c r="C1684" s="3" t="str">
        <f>IFERROR(VLOOKUP(A1684,'Base Prueba'!A:C,3,),"NO REGISTRA")</f>
        <v>NANCY BRIGITH ALDANA GUEVARA</v>
      </c>
      <c r="D1684" s="4" t="str">
        <f>IFERROR(VLOOKUP(A1684,'Base Prueba'!A:D,4,),"NO REGISTRA")</f>
        <v>COORDINADORA DE GESTIÓN HUMANA</v>
      </c>
      <c r="E1684" s="5" t="str">
        <f>IFERROR(VLOOKUP(A1684,'Base Prueba'!A:E,5,),"NO REGISTRA")</f>
        <v>DEPARTAMENTO DE GESTION HUMANA</v>
      </c>
    </row>
    <row r="1685" spans="1:5" ht="15.75" x14ac:dyDescent="0.25">
      <c r="A1685" s="10">
        <v>1014977624</v>
      </c>
      <c r="B1685" s="2">
        <v>46056.34146087963</v>
      </c>
      <c r="C1685" s="3" t="str">
        <f>IFERROR(VLOOKUP(A1685,'Base Prueba'!A:C,3,),"NO REGISTRA")</f>
        <v>NICCOLE VALENTINA HERNANDEZ MALAVER</v>
      </c>
      <c r="D1685" s="4" t="str">
        <f>IFERROR(VLOOKUP(A1685,'Base Prueba'!A:D,4,),"NO REGISTRA")</f>
        <v>APRENDIZ UNIVERSITARIO</v>
      </c>
      <c r="E1685" s="5" t="str">
        <f>IFERROR(VLOOKUP(A1685,'Base Prueba'!A:E,5,),"NO REGISTRA")</f>
        <v>AREA FINANCIERA Y CONTABLE</v>
      </c>
    </row>
    <row r="1686" spans="1:5" ht="15.75" x14ac:dyDescent="0.25">
      <c r="A1686" s="10">
        <v>1014308296</v>
      </c>
      <c r="B1686" s="2">
        <v>46056.343476041664</v>
      </c>
      <c r="C1686" s="3" t="str">
        <f>IFERROR(VLOOKUP(A1686,'Base Prueba'!A:C,3,),"NO REGISTRA")</f>
        <v>DARLENE YULIANA MORENO CELEITA</v>
      </c>
      <c r="D1686" s="4" t="str">
        <f>IFERROR(VLOOKUP(A1686,'Base Prueba'!A:D,4,),"NO REGISTRA")</f>
        <v>CAJERO PRINCIPAL</v>
      </c>
      <c r="E1686" s="5" t="str">
        <f>IFERROR(VLOOKUP(A1686,'Base Prueba'!A:E,5,),"NO REGISTRA")</f>
        <v>AREA FINANCIERA Y CONTABLE</v>
      </c>
    </row>
    <row r="1687" spans="1:5" ht="15.75" x14ac:dyDescent="0.25">
      <c r="A1687" s="10">
        <v>1000687931</v>
      </c>
      <c r="B1687" s="2">
        <v>46056.345004629628</v>
      </c>
      <c r="C1687" s="3" t="str">
        <f>IFERROR(VLOOKUP(A1687,'Base Prueba'!A:C,3,),"NO REGISTRA")</f>
        <v>ANDRES FELIPE PUENTES TORRES</v>
      </c>
      <c r="D1687" s="4" t="str">
        <f>IFERROR(VLOOKUP(A1687,'Base Prueba'!A:D,4,),"NO REGISTRA")</f>
        <v>AUXILIAR ADMINISTRATIVO</v>
      </c>
      <c r="E1687" s="5" t="str">
        <f>IFERROR(VLOOKUP(A1687,'Base Prueba'!A:E,5,),"NO REGISTRA")</f>
        <v>REGISTRO Y CONTROL ACADEMICO</v>
      </c>
    </row>
    <row r="1688" spans="1:5" ht="15.75" x14ac:dyDescent="0.25">
      <c r="A1688" s="10">
        <v>1049644802</v>
      </c>
      <c r="B1688" s="2">
        <v>46056.345374999997</v>
      </c>
      <c r="C1688" s="3" t="str">
        <f>IFERROR(VLOOKUP(A1688,'Base Prueba'!A:C,3,),"NO REGISTRA")</f>
        <v>DANIELA ALEXANDRA CIPAMOCHA BOSIGA</v>
      </c>
      <c r="D1688" s="4" t="str">
        <f>IFERROR(VLOOKUP(A1688,'Base Prueba'!A:D,4,),"NO REGISTRA")</f>
        <v>LIDER DE DATOS Y SERVICIOS</v>
      </c>
      <c r="E1688" s="5" t="str">
        <f>IFERROR(VLOOKUP(A1688,'Base Prueba'!A:E,5,),"NO REGISTRA")</f>
        <v>OFICINA DE PLANEACION Y GESTION DE LA CALIDAD</v>
      </c>
    </row>
    <row r="1689" spans="1:5" ht="15.75" x14ac:dyDescent="0.25">
      <c r="A1689" s="10">
        <v>1023883232</v>
      </c>
      <c r="B1689" s="2">
        <v>46056.349192476853</v>
      </c>
      <c r="C1689" s="3" t="str">
        <f>IFERROR(VLOOKUP(A1689,'Base Prueba'!A:C,3,),"NO REGISTRA")</f>
        <v>MONICA ANDREA ACERO URBANO</v>
      </c>
      <c r="D1689" s="4" t="str">
        <f>IFERROR(VLOOKUP(A1689,'Base Prueba'!A:D,4,),"NO REGISTRA")</f>
        <v>APOYO INTEGRAL A GESTION HUMANA</v>
      </c>
      <c r="E1689" s="5" t="str">
        <f>IFERROR(VLOOKUP(A1689,'Base Prueba'!A:E,5,),"NO REGISTRA")</f>
        <v>DEPARTAMENTO DE GESTION HUMANA</v>
      </c>
    </row>
    <row r="1690" spans="1:5" ht="15.75" x14ac:dyDescent="0.25">
      <c r="A1690" s="10">
        <v>1000457706</v>
      </c>
      <c r="B1690" s="2">
        <v>46056.352230902776</v>
      </c>
      <c r="C1690" s="3" t="str">
        <f>IFERROR(VLOOKUP(A1690,'Base Prueba'!A:C,3,),"NO REGISTRA")</f>
        <v>CRISTIAN DANILO ARROYO SANABRIA</v>
      </c>
      <c r="D1690" s="4" t="str">
        <f>IFERROR(VLOOKUP(A1690,'Base Prueba'!A:D,4,),"NO REGISTRA")</f>
        <v>AUXILIAR CONTABLE</v>
      </c>
      <c r="E1690" s="5" t="str">
        <f>IFERROR(VLOOKUP(A1690,'Base Prueba'!A:E,5,),"NO REGISTRA")</f>
        <v>AREA FINANCIERA Y CONTABLE</v>
      </c>
    </row>
    <row r="1691" spans="1:5" ht="15.75" x14ac:dyDescent="0.25">
      <c r="A1691" s="10">
        <v>1000593372</v>
      </c>
      <c r="B1691" s="2">
        <v>46056.357243865743</v>
      </c>
      <c r="C1691" s="3" t="str">
        <f>IFERROR(VLOOKUP(A1691,'Base Prueba'!A:C,3,),"NO REGISTRA")</f>
        <v>LAURA SOFIA CHAPARRO LOPEZ</v>
      </c>
      <c r="D1691" s="4" t="str">
        <f>IFERROR(VLOOKUP(A1691,'Base Prueba'!A:D,4,),"NO REGISTRA")</f>
        <v>AUXILIAR JURIDICO</v>
      </c>
      <c r="E1691" s="5" t="str">
        <f>IFERROR(VLOOKUP(A1691,'Base Prueba'!A:E,5,),"NO REGISTRA")</f>
        <v>SECRETARIA GENERAL</v>
      </c>
    </row>
    <row r="1692" spans="1:5" ht="15.75" x14ac:dyDescent="0.25">
      <c r="A1692" s="10">
        <v>1000604979</v>
      </c>
      <c r="B1692" s="2">
        <v>46056.357379398149</v>
      </c>
      <c r="C1692" s="3" t="str">
        <f>IFERROR(VLOOKUP(A1692,'Base Prueba'!A:C,3,),"NO REGISTRA")</f>
        <v>JULIETH TATIANA PARDO PINTO</v>
      </c>
      <c r="D1692" s="4" t="str">
        <f>IFERROR(VLOOKUP(A1692,'Base Prueba'!A:D,4,),"NO REGISTRA")</f>
        <v>AUXILIAR JURIDICO</v>
      </c>
      <c r="E1692" s="5" t="str">
        <f>IFERROR(VLOOKUP(A1692,'Base Prueba'!A:E,5,),"NO REGISTRA")</f>
        <v>SECRETARIA GENERAL</v>
      </c>
    </row>
    <row r="1693" spans="1:5" ht="15.75" x14ac:dyDescent="0.25">
      <c r="A1693" s="10">
        <v>80234243</v>
      </c>
      <c r="B1693" s="2">
        <v>46056.36114212963</v>
      </c>
      <c r="C1693" s="3" t="str">
        <f>IFERROR(VLOOKUP(A1693,'Base Prueba'!A:C,3,),"NO REGISTRA")</f>
        <v>ARGENIS MARTINEZ MARTINEZ</v>
      </c>
      <c r="D1693" s="4" t="str">
        <f>IFERROR(VLOOKUP(A1693,'Base Prueba'!A:D,4,),"NO REGISTRA")</f>
        <v>LIDER CALL CENTER</v>
      </c>
      <c r="E1693" s="5" t="str">
        <f>IFERROR(VLOOKUP(A1693,'Base Prueba'!A:E,5,),"NO REGISTRA")</f>
        <v>OFICINA DE MERCADEO</v>
      </c>
    </row>
    <row r="1694" spans="1:5" ht="15.75" x14ac:dyDescent="0.25">
      <c r="A1694" s="10">
        <v>1032407386</v>
      </c>
      <c r="B1694" s="2">
        <v>46056.371055787036</v>
      </c>
      <c r="C1694" s="3" t="str">
        <f>IFERROR(VLOOKUP(A1694,'Base Prueba'!A:C,3,),"NO REGISTRA")</f>
        <v>GINA PAOLA BAEZ GALVIS</v>
      </c>
      <c r="D1694" s="4" t="str">
        <f>IFERROR(VLOOKUP(A1694,'Base Prueba'!A:D,4,),"NO REGISTRA")</f>
        <v>PROMOTOR CALL CENTER</v>
      </c>
      <c r="E1694" s="5" t="str">
        <f>IFERROR(VLOOKUP(A1694,'Base Prueba'!A:E,5,),"NO REGISTRA")</f>
        <v>OFICINA DE MERCADEO</v>
      </c>
    </row>
    <row r="1695" spans="1:5" ht="15.75" x14ac:dyDescent="0.25">
      <c r="A1695" s="10">
        <v>1033709056</v>
      </c>
      <c r="B1695" s="2">
        <v>46056.373260069442</v>
      </c>
      <c r="C1695" s="3" t="str">
        <f>IFERROR(VLOOKUP(A1695,'Base Prueba'!A:C,3,),"NO REGISTRA")</f>
        <v>YEIMY ALEXANDRA RODRIGUEZ PALACIO</v>
      </c>
      <c r="D1695" s="4" t="str">
        <f>IFERROR(VLOOKUP(A1695,'Base Prueba'!A:D,4,),"NO REGISTRA")</f>
        <v>PROMOTOR CALL CENTER</v>
      </c>
      <c r="E1695" s="5" t="str">
        <f>IFERROR(VLOOKUP(A1695,'Base Prueba'!A:E,5,),"NO REGISTRA")</f>
        <v>OFICINA DE MERCADEO</v>
      </c>
    </row>
    <row r="1696" spans="1:5" ht="15.75" x14ac:dyDescent="0.25">
      <c r="A1696" s="10">
        <v>1003690253</v>
      </c>
      <c r="B1696" s="2">
        <v>46056.374154861114</v>
      </c>
      <c r="C1696" s="3" t="str">
        <f>IFERROR(VLOOKUP(A1696,'Base Prueba'!A:C,3,),"NO REGISTRA")</f>
        <v>MELISSA GONZALEZ PEDRAZA</v>
      </c>
      <c r="D1696" s="4" t="str">
        <f>IFERROR(VLOOKUP(A1696,'Base Prueba'!A:D,4,),"NO REGISTRA")</f>
        <v>LIDER DE JOVENES A LA E</v>
      </c>
      <c r="E1696" s="5" t="str">
        <f>IFERROR(VLOOKUP(A1696,'Base Prueba'!A:E,5,),"NO REGISTRA")</f>
        <v>DIRECCION DE BIENESTAR INSTITUCIONAL</v>
      </c>
    </row>
    <row r="1697" spans="1:5" ht="15.75" x14ac:dyDescent="0.25">
      <c r="A1697" s="10">
        <v>53089882</v>
      </c>
      <c r="B1697" s="2">
        <v>46056.376600115742</v>
      </c>
      <c r="C1697" s="3" t="str">
        <f>IFERROR(VLOOKUP(A1697,'Base Prueba'!A:C,3,),"NO REGISTRA")</f>
        <v>MARIA JOHANA ESCAMILLA MARTINEZ</v>
      </c>
      <c r="D1697" s="4" t="str">
        <f>IFERROR(VLOOKUP(A1697,'Base Prueba'!A:D,4,),"NO REGISTRA")</f>
        <v>PROMOTOR DE INFORMACIÓN</v>
      </c>
      <c r="E1697" s="5" t="str">
        <f>IFERROR(VLOOKUP(A1697,'Base Prueba'!A:E,5,),"NO REGISTRA")</f>
        <v>OFICINA DE MERCADEO</v>
      </c>
    </row>
    <row r="1698" spans="1:5" ht="15.75" x14ac:dyDescent="0.25">
      <c r="A1698" s="10">
        <v>1012426741</v>
      </c>
      <c r="B1698" s="2">
        <v>46056.377269560187</v>
      </c>
      <c r="C1698" s="3" t="str">
        <f>IFERROR(VLOOKUP(A1698,'Base Prueba'!A:C,3,),"NO REGISTRA")</f>
        <v>CRISTIAN FABIAN ROJAS SANCENO</v>
      </c>
      <c r="D1698" s="4" t="str">
        <f>IFERROR(VLOOKUP(A1698,'Base Prueba'!A:D,4,),"NO REGISTRA")</f>
        <v>AUXILIAR DE REINTEGROS</v>
      </c>
      <c r="E1698" s="5" t="str">
        <f>IFERROR(VLOOKUP(A1698,'Base Prueba'!A:E,5,),"NO REGISTRA")</f>
        <v>DIRECCION DE BIENESTAR INSTITUCIONAL</v>
      </c>
    </row>
    <row r="1699" spans="1:5" ht="15.75" x14ac:dyDescent="0.25">
      <c r="A1699" s="10">
        <v>28798349</v>
      </c>
      <c r="B1699" s="2">
        <v>46056.377590393517</v>
      </c>
      <c r="C1699" s="3" t="str">
        <f>IFERROR(VLOOKUP(A1699,'Base Prueba'!A:C,3,),"NO REGISTRA")</f>
        <v>MARTHA ISABEL TOVAR WILLIAMS</v>
      </c>
      <c r="D1699" s="4" t="str">
        <f>IFERROR(VLOOKUP(A1699,'Base Prueba'!A:D,4,),"NO REGISTRA")</f>
        <v>PROMOTOR CALL CENTER</v>
      </c>
      <c r="E1699" s="5" t="str">
        <f>IFERROR(VLOOKUP(A1699,'Base Prueba'!A:E,5,),"NO REGISTRA")</f>
        <v>OFICINA DE MERCADEO</v>
      </c>
    </row>
    <row r="1700" spans="1:5" ht="15.75" x14ac:dyDescent="0.25">
      <c r="A1700" s="10">
        <v>52472386</v>
      </c>
      <c r="B1700" s="2">
        <v>46056.377617129627</v>
      </c>
      <c r="C1700" s="3" t="str">
        <f>IFERROR(VLOOKUP(A1700,'Base Prueba'!A:C,3,),"NO REGISTRA")</f>
        <v>ADRIANA MARCELA MORALES PARDO</v>
      </c>
      <c r="D1700" s="4" t="str">
        <f>IFERROR(VLOOKUP(A1700,'Base Prueba'!A:D,4,),"NO REGISTRA")</f>
        <v>PROMOTOR CALL CENTER</v>
      </c>
      <c r="E1700" s="5" t="str">
        <f>IFERROR(VLOOKUP(A1700,'Base Prueba'!A:E,5,),"NO REGISTRA")</f>
        <v>OFICINA DE MERCADEO</v>
      </c>
    </row>
    <row r="1701" spans="1:5" ht="15.75" x14ac:dyDescent="0.25">
      <c r="A1701" s="10">
        <v>1018414290</v>
      </c>
      <c r="B1701" s="2">
        <v>46056.377854629631</v>
      </c>
      <c r="C1701" s="3" t="str">
        <f>IFERROR(VLOOKUP(A1701,'Base Prueba'!A:C,3,),"NO REGISTRA")</f>
        <v>AMANDA LISBETH RODRIGUEZ LEON</v>
      </c>
      <c r="D1701" s="4" t="str">
        <f>IFERROR(VLOOKUP(A1701,'Base Prueba'!A:D,4,),"NO REGISTRA")</f>
        <v>PROMOTOR CALL CENTER</v>
      </c>
      <c r="E1701" s="5" t="str">
        <f>IFERROR(VLOOKUP(A1701,'Base Prueba'!A:E,5,),"NO REGISTRA")</f>
        <v>OFICINA DE MERCADEO</v>
      </c>
    </row>
    <row r="1702" spans="1:5" ht="15.75" x14ac:dyDescent="0.25">
      <c r="A1702" s="10">
        <v>1018413529</v>
      </c>
      <c r="B1702" s="2">
        <v>46056.378121296293</v>
      </c>
      <c r="C1702" s="3" t="str">
        <f>IFERROR(VLOOKUP(A1702,'Base Prueba'!A:C,3,),"NO REGISTRA")</f>
        <v>FRANCY STELLA CHARRY MORENO</v>
      </c>
      <c r="D1702" s="4" t="str">
        <f>IFERROR(VLOOKUP(A1702,'Base Prueba'!A:D,4,),"NO REGISTRA")</f>
        <v>PROMOTOR COMERCIAL DEL CEA</v>
      </c>
      <c r="E1702" s="5" t="str">
        <f>IFERROR(VLOOKUP(A1702,'Base Prueba'!A:E,5,),"NO REGISTRA")</f>
        <v>OFICINA DE MERCADEO</v>
      </c>
    </row>
    <row r="1703" spans="1:5" ht="15.75" x14ac:dyDescent="0.25">
      <c r="A1703" s="10">
        <v>1014196857</v>
      </c>
      <c r="B1703" s="2">
        <v>46056.38016458333</v>
      </c>
      <c r="C1703" s="3" t="str">
        <f>IFERROR(VLOOKUP(A1703,'Base Prueba'!A:C,3,),"NO REGISTRA")</f>
        <v>CARLOS ANDRES JIMENEZ PARDO</v>
      </c>
      <c r="D1703" s="4" t="str">
        <f>IFERROR(VLOOKUP(A1703,'Base Prueba'!A:D,4,),"NO REGISTRA")</f>
        <v>COORDINADOR DE MARKETING DIGITAL</v>
      </c>
      <c r="E1703" s="5" t="str">
        <f>IFERROR(VLOOKUP(A1703,'Base Prueba'!A:E,5,),"NO REGISTRA")</f>
        <v>OFICINA DE MERCADEO</v>
      </c>
    </row>
    <row r="1704" spans="1:5" ht="15.75" x14ac:dyDescent="0.25">
      <c r="A1704" s="10">
        <v>1019105003</v>
      </c>
      <c r="B1704" s="2">
        <v>46056.381883333335</v>
      </c>
      <c r="C1704" s="3" t="str">
        <f>IFERROR(VLOOKUP(A1704,'Base Prueba'!A:C,3,),"NO REGISTRA")</f>
        <v>DAISY JULIETH GASPAR MORENO</v>
      </c>
      <c r="D1704" s="4" t="str">
        <f>IFERROR(VLOOKUP(A1704,'Base Prueba'!A:D,4,),"NO REGISTRA")</f>
        <v>PROMOTOR CALL CENTER</v>
      </c>
      <c r="E1704" s="5" t="str">
        <f>IFERROR(VLOOKUP(A1704,'Base Prueba'!A:E,5,),"NO REGISTRA")</f>
        <v>OFICINA DE MERCADEO</v>
      </c>
    </row>
    <row r="1705" spans="1:5" ht="15.75" x14ac:dyDescent="0.25">
      <c r="A1705" s="10">
        <v>52764929</v>
      </c>
      <c r="B1705" s="2">
        <v>46056.388131712964</v>
      </c>
      <c r="C1705" s="3" t="str">
        <f>IFERROR(VLOOKUP(A1705,'Base Prueba'!A:C,3,),"NO REGISTRA")</f>
        <v>GUERLY YOHANA DURAN RIVERA</v>
      </c>
      <c r="D1705" s="4" t="str">
        <f>IFERROR(VLOOKUP(A1705,'Base Prueba'!A:D,4,),"NO REGISTRA")</f>
        <v>LIDER DE VINCULACION COLEGIOS</v>
      </c>
      <c r="E1705" s="5" t="str">
        <f>IFERROR(VLOOKUP(A1705,'Base Prueba'!A:E,5,),"NO REGISTRA")</f>
        <v>OFICINA DE MERCADEO</v>
      </c>
    </row>
    <row r="1706" spans="1:5" ht="15.75" x14ac:dyDescent="0.25">
      <c r="A1706" s="10">
        <v>1014211708</v>
      </c>
      <c r="B1706" s="2">
        <v>46056.390123263889</v>
      </c>
      <c r="C1706" s="3" t="str">
        <f>IFERROR(VLOOKUP(A1706,'Base Prueba'!A:C,3,),"NO REGISTRA")</f>
        <v>JUAN MANUEL MERCADO FUENTES</v>
      </c>
      <c r="D1706" s="4" t="str">
        <f>IFERROR(VLOOKUP(A1706,'Base Prueba'!A:D,4,),"NO REGISTRA")</f>
        <v>COORDINADOR DE DISEÑO E IMAGEN INSTITUCIONAL</v>
      </c>
      <c r="E1706" s="5" t="str">
        <f>IFERROR(VLOOKUP(A1706,'Base Prueba'!A:E,5,),"NO REGISTRA")</f>
        <v>OFICINA DE MERCADEO</v>
      </c>
    </row>
    <row r="1707" spans="1:5" ht="15.75" x14ac:dyDescent="0.25">
      <c r="A1707" s="10">
        <v>52443092</v>
      </c>
      <c r="B1707" s="2">
        <v>46056.541590972221</v>
      </c>
      <c r="C1707" s="3" t="str">
        <f>IFERROR(VLOOKUP(A1707,'Base Prueba'!A:C,3,),"NO REGISTRA")</f>
        <v>LUZ MYRIAM SAAVEDRA CONTRERAS</v>
      </c>
      <c r="D1707" s="4" t="str">
        <f>IFERROR(VLOOKUP(A1707,'Base Prueba'!A:D,4,),"NO REGISTRA")</f>
        <v>AUXILIAR DE SERVICIOS</v>
      </c>
      <c r="E1707" s="5" t="str">
        <f>IFERROR(VLOOKUP(A1707,'Base Prueba'!A:E,5,),"NO REGISTRA")</f>
        <v>LOGISTICA Y SERVICIOS GENERALES</v>
      </c>
    </row>
    <row r="1708" spans="1:5" ht="15.75" x14ac:dyDescent="0.25">
      <c r="A1708" s="10">
        <v>1031802160</v>
      </c>
      <c r="B1708" s="2">
        <v>46056.706618171294</v>
      </c>
      <c r="C1708" s="3" t="str">
        <f>IFERROR(VLOOKUP(A1708,'Base Prueba'!A:C,3,),"NO REGISTRA")</f>
        <v>LUISA MARIA MAHECHA SOTOMAYOR</v>
      </c>
      <c r="D1708" s="4" t="str">
        <f>IFERROR(VLOOKUP(A1708,'Base Prueba'!A:D,4,),"NO REGISTRA")</f>
        <v>APRENDIZ UNIVERSITARIO</v>
      </c>
      <c r="E1708" s="5" t="str">
        <f>IFERROR(VLOOKUP(A1708,'Base Prueba'!A:E,5,),"NO REGISTRA")</f>
        <v>OFICINA DE MERCADEO</v>
      </c>
    </row>
    <row r="1709" spans="1:5" ht="15.75" x14ac:dyDescent="0.25">
      <c r="A1709" s="10">
        <v>1000687931</v>
      </c>
      <c r="B1709" s="2">
        <v>46056.709543055556</v>
      </c>
      <c r="C1709" s="3" t="str">
        <f>IFERROR(VLOOKUP(A1709,'Base Prueba'!A:C,3,),"NO REGISTRA")</f>
        <v>ANDRES FELIPE PUENTES TORRES</v>
      </c>
      <c r="D1709" s="4" t="str">
        <f>IFERROR(VLOOKUP(A1709,'Base Prueba'!A:D,4,),"NO REGISTRA")</f>
        <v>AUXILIAR ADMINISTRATIVO</v>
      </c>
      <c r="E1709" s="5" t="str">
        <f>IFERROR(VLOOKUP(A1709,'Base Prueba'!A:E,5,),"NO REGISTRA")</f>
        <v>REGISTRO Y CONTROL ACADEMICO</v>
      </c>
    </row>
    <row r="1710" spans="1:5" ht="15.75" x14ac:dyDescent="0.25">
      <c r="A1710" s="10">
        <v>1087121273</v>
      </c>
      <c r="B1710" s="2">
        <v>46056.718442476849</v>
      </c>
      <c r="C1710" s="3" t="str">
        <f>IFERROR(VLOOKUP(A1710,'Base Prueba'!A:C,3,),"NO REGISTRA")</f>
        <v>MAYRA ALEJANDRA CASTILLO ARBOLEDA</v>
      </c>
      <c r="D1710" s="4" t="str">
        <f>IFERROR(VLOOKUP(A1710,'Base Prueba'!A:D,4,),"NO REGISTRA")</f>
        <v>APOYO INTEGRAL DE MERCADEO</v>
      </c>
      <c r="E1710" s="5" t="str">
        <f>IFERROR(VLOOKUP(A1710,'Base Prueba'!A:E,5,),"NO REGISTRA")</f>
        <v>CENTRO DE GESTION DOCUMENTAL</v>
      </c>
    </row>
    <row r="1711" spans="1:5" ht="15.75" x14ac:dyDescent="0.25">
      <c r="A1711" s="10">
        <v>1014308296</v>
      </c>
      <c r="B1711" s="2">
        <v>46056.75411134259</v>
      </c>
      <c r="C1711" s="3" t="str">
        <f>IFERROR(VLOOKUP(A1711,'Base Prueba'!A:C,3,),"NO REGISTRA")</f>
        <v>DARLENE YULIANA MORENO CELEITA</v>
      </c>
      <c r="D1711" s="4" t="str">
        <f>IFERROR(VLOOKUP(A1711,'Base Prueba'!A:D,4,),"NO REGISTRA")</f>
        <v>CAJERO PRINCIPAL</v>
      </c>
      <c r="E1711" s="5" t="str">
        <f>IFERROR(VLOOKUP(A1711,'Base Prueba'!A:E,5,),"NO REGISTRA")</f>
        <v>AREA FINANCIERA Y CONTABLE</v>
      </c>
    </row>
    <row r="1712" spans="1:5" ht="15.75" x14ac:dyDescent="0.25">
      <c r="A1712" s="10">
        <v>1049644802</v>
      </c>
      <c r="B1712" s="2">
        <v>46056.755623611112</v>
      </c>
      <c r="C1712" s="3" t="str">
        <f>IFERROR(VLOOKUP(A1712,'Base Prueba'!A:C,3,),"NO REGISTRA")</f>
        <v>DANIELA ALEXANDRA CIPAMOCHA BOSIGA</v>
      </c>
      <c r="D1712" s="4" t="str">
        <f>IFERROR(VLOOKUP(A1712,'Base Prueba'!A:D,4,),"NO REGISTRA")</f>
        <v>LIDER DE DATOS Y SERVICIOS</v>
      </c>
      <c r="E1712" s="5" t="str">
        <f>IFERROR(VLOOKUP(A1712,'Base Prueba'!A:E,5,),"NO REGISTRA")</f>
        <v>OFICINA DE PLANEACION Y GESTION DE LA CALIDAD</v>
      </c>
    </row>
    <row r="1713" spans="1:5" ht="15.75" x14ac:dyDescent="0.25">
      <c r="A1713" s="10">
        <v>1193457976</v>
      </c>
      <c r="B1713" s="2">
        <v>46056.757168750002</v>
      </c>
      <c r="C1713" s="3" t="str">
        <f>IFERROR(VLOOKUP(A1713,'Base Prueba'!A:C,3,),"NO REGISTRA")</f>
        <v>SEDENIS RIVAS ASPRILLA</v>
      </c>
      <c r="D1713" s="4" t="str">
        <f>IFERROR(VLOOKUP(A1713,'Base Prueba'!A:D,4,),"NO REGISTRA")</f>
        <v>APRENDIZ UNIVERSITARIO</v>
      </c>
      <c r="E1713" s="5" t="str">
        <f>IFERROR(VLOOKUP(A1713,'Base Prueba'!A:E,5,),"NO REGISTRA")</f>
        <v>DEPARTAMENTO DE GESTION HUMANA</v>
      </c>
    </row>
    <row r="1714" spans="1:5" ht="15.75" x14ac:dyDescent="0.25">
      <c r="A1714" s="10">
        <v>1022996882</v>
      </c>
      <c r="B1714" s="2">
        <v>46056.75760636574</v>
      </c>
      <c r="C1714" s="3" t="str">
        <f>IFERROR(VLOOKUP(A1714,'Base Prueba'!A:C,3,),"NO REGISTRA")</f>
        <v>NANCY BRIGITH ALDANA GUEVARA</v>
      </c>
      <c r="D1714" s="4" t="str">
        <f>IFERROR(VLOOKUP(A1714,'Base Prueba'!A:D,4,),"NO REGISTRA")</f>
        <v>COORDINADORA DE GESTIÓN HUMANA</v>
      </c>
      <c r="E1714" s="5" t="str">
        <f>IFERROR(VLOOKUP(A1714,'Base Prueba'!A:E,5,),"NO REGISTRA")</f>
        <v>DEPARTAMENTO DE GESTION HUMANA</v>
      </c>
    </row>
    <row r="1715" spans="1:5" ht="15.75" x14ac:dyDescent="0.25">
      <c r="A1715" s="10">
        <v>1014977624</v>
      </c>
      <c r="B1715" s="2">
        <v>46056.759957638889</v>
      </c>
      <c r="C1715" s="3" t="str">
        <f>IFERROR(VLOOKUP(A1715,'Base Prueba'!A:C,3,),"NO REGISTRA")</f>
        <v>NICCOLE VALENTINA HERNANDEZ MALAVER</v>
      </c>
      <c r="D1715" s="4" t="str">
        <f>IFERROR(VLOOKUP(A1715,'Base Prueba'!A:D,4,),"NO REGISTRA")</f>
        <v>APRENDIZ UNIVERSITARIO</v>
      </c>
      <c r="E1715" s="5" t="str">
        <f>IFERROR(VLOOKUP(A1715,'Base Prueba'!A:E,5,),"NO REGISTRA")</f>
        <v>AREA FINANCIERA Y CONTABLE</v>
      </c>
    </row>
    <row r="1716" spans="1:5" ht="15.75" x14ac:dyDescent="0.25">
      <c r="A1716" s="10">
        <v>1000593372</v>
      </c>
      <c r="B1716" s="2">
        <v>46056.76063287037</v>
      </c>
      <c r="C1716" s="3" t="str">
        <f>IFERROR(VLOOKUP(A1716,'Base Prueba'!A:C,3,),"NO REGISTRA")</f>
        <v>LAURA SOFIA CHAPARRO LOPEZ</v>
      </c>
      <c r="D1716" s="4" t="str">
        <f>IFERROR(VLOOKUP(A1716,'Base Prueba'!A:D,4,),"NO REGISTRA")</f>
        <v>AUXILIAR JURIDICO</v>
      </c>
      <c r="E1716" s="5" t="str">
        <f>IFERROR(VLOOKUP(A1716,'Base Prueba'!A:E,5,),"NO REGISTRA")</f>
        <v>SECRETARIA GENERAL</v>
      </c>
    </row>
    <row r="1717" spans="1:5" ht="15.75" x14ac:dyDescent="0.25">
      <c r="A1717" s="10">
        <v>1000604979</v>
      </c>
      <c r="B1717" s="2">
        <v>46056.760692939817</v>
      </c>
      <c r="C1717" s="3" t="str">
        <f>IFERROR(VLOOKUP(A1717,'Base Prueba'!A:C,3,),"NO REGISTRA")</f>
        <v>JULIETH TATIANA PARDO PINTO</v>
      </c>
      <c r="D1717" s="4" t="str">
        <f>IFERROR(VLOOKUP(A1717,'Base Prueba'!A:D,4,),"NO REGISTRA")</f>
        <v>AUXILIAR JURIDICO</v>
      </c>
      <c r="E1717" s="5" t="str">
        <f>IFERROR(VLOOKUP(A1717,'Base Prueba'!A:E,5,),"NO REGISTRA")</f>
        <v>SECRETARIA GENERAL</v>
      </c>
    </row>
    <row r="1718" spans="1:5" ht="15.75" x14ac:dyDescent="0.25">
      <c r="A1718" s="10">
        <v>1000257136</v>
      </c>
      <c r="B1718" s="2">
        <v>46056.762328356483</v>
      </c>
      <c r="C1718" s="3" t="str">
        <f>IFERROR(VLOOKUP(A1718,'Base Prueba'!A:C,3,),"NO REGISTRA")</f>
        <v>FRANCI VALENTINA CANO PUENTES</v>
      </c>
      <c r="D1718" s="4" t="str">
        <f>IFERROR(VLOOKUP(A1718,'Base Prueba'!A:D,4,),"NO REGISTRA")</f>
        <v>AUXILIAR CONTABLE</v>
      </c>
      <c r="E1718" s="5" t="str">
        <f>IFERROR(VLOOKUP(A1718,'Base Prueba'!A:E,5,),"NO REGISTRA")</f>
        <v>AREA FINANCIERA Y CONTABLE</v>
      </c>
    </row>
    <row r="1719" spans="1:5" ht="15.75" x14ac:dyDescent="0.25">
      <c r="A1719" s="10">
        <v>1000457706</v>
      </c>
      <c r="B1719" s="2">
        <v>46056.768845601851</v>
      </c>
      <c r="C1719" s="3" t="str">
        <f>IFERROR(VLOOKUP(A1719,'Base Prueba'!A:C,3,),"NO REGISTRA")</f>
        <v>CRISTIAN DANILO ARROYO SANABRIA</v>
      </c>
      <c r="D1719" s="4" t="str">
        <f>IFERROR(VLOOKUP(A1719,'Base Prueba'!A:D,4,),"NO REGISTRA")</f>
        <v>AUXILIAR CONTABLE</v>
      </c>
      <c r="E1719" s="5" t="str">
        <f>IFERROR(VLOOKUP(A1719,'Base Prueba'!A:E,5,),"NO REGISTRA")</f>
        <v>AREA FINANCIERA Y CONTABLE</v>
      </c>
    </row>
    <row r="1720" spans="1:5" ht="15.75" x14ac:dyDescent="0.25">
      <c r="A1720" s="10">
        <v>1000324729</v>
      </c>
      <c r="B1720" s="2">
        <v>46056.76989236111</v>
      </c>
      <c r="C1720" s="3" t="str">
        <f>IFERROR(VLOOKUP(A1720,'Base Prueba'!A:C,3,),"NO REGISTRA")</f>
        <v>ANYIE VANESSA TINOCO CAMACHO</v>
      </c>
      <c r="D1720" s="4" t="str">
        <f>IFERROR(VLOOKUP(A1720,'Base Prueba'!A:D,4,),"NO REGISTRA")</f>
        <v>LIDER DE REGISTRO Y CONTROL</v>
      </c>
      <c r="E1720" s="5" t="str">
        <f>IFERROR(VLOOKUP(A1720,'Base Prueba'!A:E,5,),"NO REGISTRA")</f>
        <v>REGISTRO Y CONTROL ACADEMICO</v>
      </c>
    </row>
    <row r="1721" spans="1:5" ht="15.75" x14ac:dyDescent="0.25">
      <c r="A1721" s="10">
        <v>1013616244</v>
      </c>
      <c r="B1721" s="2">
        <v>46056.769905555557</v>
      </c>
      <c r="C1721" s="3" t="str">
        <f>IFERROR(VLOOKUP(A1721,'Base Prueba'!A:C,3,),"NO REGISTRA")</f>
        <v>DIANA CAROLINA MARIN BETANCOURT</v>
      </c>
      <c r="D1721" s="4" t="str">
        <f>IFERROR(VLOOKUP(A1721,'Base Prueba'!A:D,4,),"NO REGISTRA")</f>
        <v>AUXILIAR ADMINISTRATIVO</v>
      </c>
      <c r="E1721" s="5" t="str">
        <f>IFERROR(VLOOKUP(A1721,'Base Prueba'!A:E,5,),"NO REGISTRA")</f>
        <v>REGISTRO Y CONTROL ACADEMICO</v>
      </c>
    </row>
    <row r="1722" spans="1:5" ht="15.75" x14ac:dyDescent="0.25">
      <c r="A1722" s="10">
        <v>1014196857</v>
      </c>
      <c r="B1722" s="2">
        <v>46056.772306365739</v>
      </c>
      <c r="C1722" s="3" t="str">
        <f>IFERROR(VLOOKUP(A1722,'Base Prueba'!A:C,3,),"NO REGISTRA")</f>
        <v>CARLOS ANDRES JIMENEZ PARDO</v>
      </c>
      <c r="D1722" s="4" t="str">
        <f>IFERROR(VLOOKUP(A1722,'Base Prueba'!A:D,4,),"NO REGISTRA")</f>
        <v>COORDINADOR DE MARKETING DIGITAL</v>
      </c>
      <c r="E1722" s="5" t="str">
        <f>IFERROR(VLOOKUP(A1722,'Base Prueba'!A:E,5,),"NO REGISTRA")</f>
        <v>OFICINA DE MERCADEO</v>
      </c>
    </row>
    <row r="1723" spans="1:5" ht="15.75" x14ac:dyDescent="0.25">
      <c r="A1723" s="10">
        <v>1023883232</v>
      </c>
      <c r="B1723" s="2">
        <v>46056.772672106483</v>
      </c>
      <c r="C1723" s="3" t="str">
        <f>IFERROR(VLOOKUP(A1723,'Base Prueba'!A:C,3,),"NO REGISTRA")</f>
        <v>MONICA ANDREA ACERO URBANO</v>
      </c>
      <c r="D1723" s="4" t="str">
        <f>IFERROR(VLOOKUP(A1723,'Base Prueba'!A:D,4,),"NO REGISTRA")</f>
        <v>APOYO INTEGRAL A GESTION HUMANA</v>
      </c>
      <c r="E1723" s="5" t="str">
        <f>IFERROR(VLOOKUP(A1723,'Base Prueba'!A:E,5,),"NO REGISTRA")</f>
        <v>DEPARTAMENTO DE GESTION HUMANA</v>
      </c>
    </row>
    <row r="1724" spans="1:5" ht="15.75" x14ac:dyDescent="0.25">
      <c r="A1724" s="10">
        <v>1032469638</v>
      </c>
      <c r="B1724" s="2">
        <v>46056.772868055552</v>
      </c>
      <c r="C1724" s="3" t="str">
        <f>IFERROR(VLOOKUP(A1724,'Base Prueba'!A:C,3,),"NO REGISTRA")</f>
        <v>MAICOL JARBEY GUALTEROS CASTAÑEDA</v>
      </c>
      <c r="D1724" s="4" t="str">
        <f>IFERROR(VLOOKUP(A1724,'Base Prueba'!A:D,4,),"NO REGISTRA")</f>
        <v>COORDINADOR DEL SISTEMA INTERNO DE ASEGURAMIENTO DE LA CALIDAD - SIAC</v>
      </c>
      <c r="E1724" s="5" t="str">
        <f>IFERROR(VLOOKUP(A1724,'Base Prueba'!A:E,5,),"NO REGISTRA")</f>
        <v>OFICINA DE PLANEACION Y GESTION DE LA CALIDAD</v>
      </c>
    </row>
    <row r="1725" spans="1:5" ht="15.75" x14ac:dyDescent="0.25">
      <c r="A1725" s="10">
        <v>1032407386</v>
      </c>
      <c r="B1725" s="2">
        <v>46056.776153356484</v>
      </c>
      <c r="C1725" s="3" t="str">
        <f>IFERROR(VLOOKUP(A1725,'Base Prueba'!A:C,3,),"NO REGISTRA")</f>
        <v>GINA PAOLA BAEZ GALVIS</v>
      </c>
      <c r="D1725" s="4" t="str">
        <f>IFERROR(VLOOKUP(A1725,'Base Prueba'!A:D,4,),"NO REGISTRA")</f>
        <v>PROMOTOR CALL CENTER</v>
      </c>
      <c r="E1725" s="5" t="str">
        <f>IFERROR(VLOOKUP(A1725,'Base Prueba'!A:E,5,),"NO REGISTRA")</f>
        <v>OFICINA DE MERCADEO</v>
      </c>
    </row>
    <row r="1726" spans="1:5" ht="15.75" x14ac:dyDescent="0.25">
      <c r="A1726" s="10">
        <v>1033709056</v>
      </c>
      <c r="B1726" s="2">
        <v>46056.776206481481</v>
      </c>
      <c r="C1726" s="3" t="str">
        <f>IFERROR(VLOOKUP(A1726,'Base Prueba'!A:C,3,),"NO REGISTRA")</f>
        <v>YEIMY ALEXANDRA RODRIGUEZ PALACIO</v>
      </c>
      <c r="D1726" s="4" t="str">
        <f>IFERROR(VLOOKUP(A1726,'Base Prueba'!A:D,4,),"NO REGISTRA")</f>
        <v>PROMOTOR CALL CENTER</v>
      </c>
      <c r="E1726" s="5" t="str">
        <f>IFERROR(VLOOKUP(A1726,'Base Prueba'!A:E,5,),"NO REGISTRA")</f>
        <v>OFICINA DE MERCADEO</v>
      </c>
    </row>
    <row r="1727" spans="1:5" ht="15.75" x14ac:dyDescent="0.25">
      <c r="A1727" s="10">
        <v>1018414290</v>
      </c>
      <c r="B1727" s="2">
        <v>46056.776227083334</v>
      </c>
      <c r="C1727" s="3" t="str">
        <f>IFERROR(VLOOKUP(A1727,'Base Prueba'!A:C,3,),"NO REGISTRA")</f>
        <v>AMANDA LISBETH RODRIGUEZ LEON</v>
      </c>
      <c r="D1727" s="4" t="str">
        <f>IFERROR(VLOOKUP(A1727,'Base Prueba'!A:D,4,),"NO REGISTRA")</f>
        <v>PROMOTOR CALL CENTER</v>
      </c>
      <c r="E1727" s="5" t="str">
        <f>IFERROR(VLOOKUP(A1727,'Base Prueba'!A:E,5,),"NO REGISTRA")</f>
        <v>OFICINA DE MERCADEO</v>
      </c>
    </row>
    <row r="1728" spans="1:5" ht="15.75" x14ac:dyDescent="0.25">
      <c r="A1728" s="10">
        <v>1014211708</v>
      </c>
      <c r="B1728" s="2">
        <v>46056.777769907407</v>
      </c>
      <c r="C1728" s="3" t="str">
        <f>IFERROR(VLOOKUP(A1728,'Base Prueba'!A:C,3,),"NO REGISTRA")</f>
        <v>JUAN MANUEL MERCADO FUENTES</v>
      </c>
      <c r="D1728" s="4" t="str">
        <f>IFERROR(VLOOKUP(A1728,'Base Prueba'!A:D,4,),"NO REGISTRA")</f>
        <v>COORDINADOR DE DISEÑO E IMAGEN INSTITUCIONAL</v>
      </c>
      <c r="E1728" s="5" t="str">
        <f>IFERROR(VLOOKUP(A1728,'Base Prueba'!A:E,5,),"NO REGISTRA")</f>
        <v>OFICINA DE MERCADEO</v>
      </c>
    </row>
    <row r="1729" spans="1:5" ht="15.75" x14ac:dyDescent="0.25">
      <c r="A1729" s="10">
        <v>1026599257</v>
      </c>
      <c r="B1729" s="2">
        <v>46056.778586689812</v>
      </c>
      <c r="C1729" s="3" t="str">
        <f>IFERROR(VLOOKUP(A1729,'Base Prueba'!A:C,3,),"NO REGISTRA")</f>
        <v>YESENIA PAOLA PINEDA HURTADO</v>
      </c>
      <c r="D1729" s="4" t="str">
        <f>IFERROR(VLOOKUP(A1729,'Base Prueba'!A:D,4,),"NO REGISTRA")</f>
        <v>LIDER DE COMPRAS</v>
      </c>
      <c r="E1729" s="5" t="str">
        <f>IFERROR(VLOOKUP(A1729,'Base Prueba'!A:E,5,),"NO REGISTRA")</f>
        <v>AREA ADMINISTRATIVA</v>
      </c>
    </row>
    <row r="1730" spans="1:5" ht="15.75" x14ac:dyDescent="0.25">
      <c r="A1730" s="10">
        <v>1019105003</v>
      </c>
      <c r="B1730" s="2">
        <v>46056.778669907406</v>
      </c>
      <c r="C1730" s="3" t="str">
        <f>IFERROR(VLOOKUP(A1730,'Base Prueba'!A:C,3,),"NO REGISTRA")</f>
        <v>DAISY JULIETH GASPAR MORENO</v>
      </c>
      <c r="D1730" s="4" t="str">
        <f>IFERROR(VLOOKUP(A1730,'Base Prueba'!A:D,4,),"NO REGISTRA")</f>
        <v>PROMOTOR CALL CENTER</v>
      </c>
      <c r="E1730" s="5" t="str">
        <f>IFERROR(VLOOKUP(A1730,'Base Prueba'!A:E,5,),"NO REGISTRA")</f>
        <v>OFICINA DE MERCADEO</v>
      </c>
    </row>
    <row r="1731" spans="1:5" ht="15.75" x14ac:dyDescent="0.25">
      <c r="A1731" s="10">
        <v>52472386</v>
      </c>
      <c r="B1731" s="2">
        <v>46056.778702199073</v>
      </c>
      <c r="C1731" s="3" t="str">
        <f>IFERROR(VLOOKUP(A1731,'Base Prueba'!A:C,3,),"NO REGISTRA")</f>
        <v>ADRIANA MARCELA MORALES PARDO</v>
      </c>
      <c r="D1731" s="4" t="str">
        <f>IFERROR(VLOOKUP(A1731,'Base Prueba'!A:D,4,),"NO REGISTRA")</f>
        <v>PROMOTOR CALL CENTER</v>
      </c>
      <c r="E1731" s="5" t="str">
        <f>IFERROR(VLOOKUP(A1731,'Base Prueba'!A:E,5,),"NO REGISTRA")</f>
        <v>OFICINA DE MERCADEO</v>
      </c>
    </row>
    <row r="1732" spans="1:5" ht="15.75" x14ac:dyDescent="0.25">
      <c r="A1732" s="10">
        <v>1012426741</v>
      </c>
      <c r="B1732" s="2">
        <v>46056.779280671297</v>
      </c>
      <c r="C1732" s="3" t="str">
        <f>IFERROR(VLOOKUP(A1732,'Base Prueba'!A:C,3,),"NO REGISTRA")</f>
        <v>CRISTIAN FABIAN ROJAS SANCENO</v>
      </c>
      <c r="D1732" s="4" t="str">
        <f>IFERROR(VLOOKUP(A1732,'Base Prueba'!A:D,4,),"NO REGISTRA")</f>
        <v>AUXILIAR DE REINTEGROS</v>
      </c>
      <c r="E1732" s="5" t="str">
        <f>IFERROR(VLOOKUP(A1732,'Base Prueba'!A:E,5,),"NO REGISTRA")</f>
        <v>DIRECCION DE BIENESTAR INSTITUCIONAL</v>
      </c>
    </row>
    <row r="1733" spans="1:5" ht="15.75" x14ac:dyDescent="0.25">
      <c r="A1733" s="10">
        <v>1003690253</v>
      </c>
      <c r="B1733" s="2">
        <v>46056.77958159722</v>
      </c>
      <c r="C1733" s="3" t="str">
        <f>IFERROR(VLOOKUP(A1733,'Base Prueba'!A:C,3,),"NO REGISTRA")</f>
        <v>MELISSA GONZALEZ PEDRAZA</v>
      </c>
      <c r="D1733" s="4" t="str">
        <f>IFERROR(VLOOKUP(A1733,'Base Prueba'!A:D,4,),"NO REGISTRA")</f>
        <v>LIDER DE JOVENES A LA E</v>
      </c>
      <c r="E1733" s="5" t="str">
        <f>IFERROR(VLOOKUP(A1733,'Base Prueba'!A:E,5,),"NO REGISTRA")</f>
        <v>DIRECCION DE BIENESTAR INSTITUCIONAL</v>
      </c>
    </row>
    <row r="1734" spans="1:5" ht="15.75" x14ac:dyDescent="0.25">
      <c r="A1734" s="10">
        <v>52474489</v>
      </c>
      <c r="B1734" s="2">
        <v>46056.782181828705</v>
      </c>
      <c r="C1734" s="3" t="str">
        <f>IFERROR(VLOOKUP(A1734,'Base Prueba'!A:C,3,),"NO REGISTRA")</f>
        <v>ADRIANA JIMENA SOTO BOCANEGRA</v>
      </c>
      <c r="D1734" s="4" t="str">
        <f>IFERROR(VLOOKUP(A1734,'Base Prueba'!A:D,4,),"NO REGISTRA")</f>
        <v>COORDINADOR DE LA OFICINA DE REGISTRO Y CONTROL</v>
      </c>
      <c r="E1734" s="5" t="str">
        <f>IFERROR(VLOOKUP(A1734,'Base Prueba'!A:E,5,),"NO REGISTRA")</f>
        <v>REGISTRO Y CONTROL ACADEMICO</v>
      </c>
    </row>
    <row r="1735" spans="1:5" ht="15.75" x14ac:dyDescent="0.25">
      <c r="A1735" s="10">
        <v>53089882</v>
      </c>
      <c r="B1735" s="2">
        <v>46056.783008333332</v>
      </c>
      <c r="C1735" s="3" t="str">
        <f>IFERROR(VLOOKUP(A1735,'Base Prueba'!A:C,3,),"NO REGISTRA")</f>
        <v>MARIA JOHANA ESCAMILLA MARTINEZ</v>
      </c>
      <c r="D1735" s="4" t="str">
        <f>IFERROR(VLOOKUP(A1735,'Base Prueba'!A:D,4,),"NO REGISTRA")</f>
        <v>PROMOTOR DE INFORMACIÓN</v>
      </c>
      <c r="E1735" s="5" t="str">
        <f>IFERROR(VLOOKUP(A1735,'Base Prueba'!A:E,5,),"NO REGISTRA")</f>
        <v>OFICINA DE MERCADEO</v>
      </c>
    </row>
    <row r="1736" spans="1:5" ht="15.75" x14ac:dyDescent="0.25">
      <c r="A1736" s="10">
        <v>1018413529</v>
      </c>
      <c r="B1736" s="2">
        <v>46056.78313113426</v>
      </c>
      <c r="C1736" s="3" t="str">
        <f>IFERROR(VLOOKUP(A1736,'Base Prueba'!A:C,3,),"NO REGISTRA")</f>
        <v>FRANCY STELLA CHARRY MORENO</v>
      </c>
      <c r="D1736" s="4" t="str">
        <f>IFERROR(VLOOKUP(A1736,'Base Prueba'!A:D,4,),"NO REGISTRA")</f>
        <v>PROMOTOR COMERCIAL DEL CEA</v>
      </c>
      <c r="E1736" s="5" t="str">
        <f>IFERROR(VLOOKUP(A1736,'Base Prueba'!A:E,5,),"NO REGISTRA")</f>
        <v>OFICINA DE MERCADEO</v>
      </c>
    </row>
    <row r="1737" spans="1:5" ht="15.75" x14ac:dyDescent="0.25">
      <c r="A1737" s="10">
        <v>1012357415</v>
      </c>
      <c r="B1737" s="2">
        <v>46056.788072222225</v>
      </c>
      <c r="C1737" s="3" t="str">
        <f>IFERROR(VLOOKUP(A1737,'Base Prueba'!A:C,3,),"NO REGISTRA")</f>
        <v>CINDY LORENA BOHORQUEZ LEYVA</v>
      </c>
      <c r="D1737" s="4" t="str">
        <f>IFERROR(VLOOKUP(A1737,'Base Prueba'!A:D,4,),"NO REGISTRA")</f>
        <v>ANALISTA DE TESORERIA</v>
      </c>
      <c r="E1737" s="5" t="str">
        <f>IFERROR(VLOOKUP(A1737,'Base Prueba'!A:E,5,),"NO REGISTRA")</f>
        <v>AREA FINANCIERA Y CONTABLE</v>
      </c>
    </row>
    <row r="1738" spans="1:5" ht="15.75" x14ac:dyDescent="0.25">
      <c r="A1738" s="10">
        <v>28798349</v>
      </c>
      <c r="B1738" s="2">
        <v>46056.790335648147</v>
      </c>
      <c r="C1738" s="3" t="str">
        <f>IFERROR(VLOOKUP(A1738,'Base Prueba'!A:C,3,),"NO REGISTRA")</f>
        <v>MARTHA ISABEL TOVAR WILLIAMS</v>
      </c>
      <c r="D1738" s="4" t="str">
        <f>IFERROR(VLOOKUP(A1738,'Base Prueba'!A:D,4,),"NO REGISTRA")</f>
        <v>PROMOTOR CALL CENTER</v>
      </c>
      <c r="E1738" s="5" t="str">
        <f>IFERROR(VLOOKUP(A1738,'Base Prueba'!A:E,5,),"NO REGISTRA")</f>
        <v>OFICINA DE MERCADEO</v>
      </c>
    </row>
    <row r="1739" spans="1:5" ht="15.75" x14ac:dyDescent="0.25">
      <c r="A1739" s="10">
        <v>80234243</v>
      </c>
      <c r="B1739" s="2">
        <v>46056.798950694443</v>
      </c>
      <c r="C1739" s="3" t="str">
        <f>IFERROR(VLOOKUP(A1739,'Base Prueba'!A:C,3,),"NO REGISTRA")</f>
        <v>ARGENIS MARTINEZ MARTINEZ</v>
      </c>
      <c r="D1739" s="4" t="str">
        <f>IFERROR(VLOOKUP(A1739,'Base Prueba'!A:D,4,),"NO REGISTRA")</f>
        <v>LIDER CALL CENTER</v>
      </c>
      <c r="E1739" s="5" t="str">
        <f>IFERROR(VLOOKUP(A1739,'Base Prueba'!A:E,5,),"NO REGISTRA")</f>
        <v>OFICINA DE MERCADEO</v>
      </c>
    </row>
    <row r="1740" spans="1:5" ht="15.75" x14ac:dyDescent="0.25">
      <c r="A1740" s="10">
        <v>1193265768</v>
      </c>
      <c r="B1740" s="2">
        <v>46056.801875115743</v>
      </c>
      <c r="C1740" s="3" t="str">
        <f>IFERROR(VLOOKUP(A1740,'Base Prueba'!A:C,3,),"NO REGISTRA")</f>
        <v>SANTIAGO OSORIO CAMACHO</v>
      </c>
      <c r="D1740" s="4" t="str">
        <f>IFERROR(VLOOKUP(A1740,'Base Prueba'!A:D,4,),"NO REGISTRA")</f>
        <v>ANALISTA DE PAUTA</v>
      </c>
      <c r="E1740" s="5" t="str">
        <f>IFERROR(VLOOKUP(A1740,'Base Prueba'!A:E,5,),"NO REGISTRA")</f>
        <v>OFICINA DE MERCADEO</v>
      </c>
    </row>
    <row r="1741" spans="1:5" ht="15.75" x14ac:dyDescent="0.25">
      <c r="A1741" s="10">
        <v>52175674</v>
      </c>
      <c r="B1741" s="2">
        <v>46056.821829745371</v>
      </c>
      <c r="C1741" s="3" t="str">
        <f>IFERROR(VLOOKUP(A1741,'Base Prueba'!A:C,3,),"NO REGISTRA")</f>
        <v>LUZ YANETH GOMEZ AREVALO</v>
      </c>
      <c r="D1741" s="4" t="str">
        <f>IFERROR(VLOOKUP(A1741,'Base Prueba'!A:D,4,),"NO REGISTRA")</f>
        <v>COORDINADORA DE ADMISIONES</v>
      </c>
      <c r="E1741" s="5" t="str">
        <f>IFERROR(VLOOKUP(A1741,'Base Prueba'!A:E,5,),"NO REGISTRA")</f>
        <v>OFICINA DE MERCADEO</v>
      </c>
    </row>
    <row r="1742" spans="1:5" ht="15.75" x14ac:dyDescent="0.25">
      <c r="A1742" s="10">
        <v>53932358</v>
      </c>
      <c r="B1742" s="2">
        <v>46056.836851504631</v>
      </c>
      <c r="C1742" s="3" t="str">
        <f>IFERROR(VLOOKUP(A1742,'Base Prueba'!A:C,3,),"NO REGISTRA")</f>
        <v>DIANA MADELEYNE GAONA RODRIGUEZ</v>
      </c>
      <c r="D1742" s="4" t="str">
        <f>IFERROR(VLOOKUP(A1742,'Base Prueba'!A:D,4,),"NO REGISTRA")</f>
        <v>CONTADOR</v>
      </c>
      <c r="E1742" s="5" t="str">
        <f>IFERROR(VLOOKUP(A1742,'Base Prueba'!A:E,5,),"NO REGISTRA")</f>
        <v>AREA FINANCIERA Y CONTABLE</v>
      </c>
    </row>
    <row r="1743" spans="1:5" ht="15.75" x14ac:dyDescent="0.25">
      <c r="A1743" s="10">
        <v>1000046533</v>
      </c>
      <c r="B1743" s="2">
        <v>46057.301188194448</v>
      </c>
      <c r="C1743" s="3" t="str">
        <f>IFERROR(VLOOKUP(A1743,'Base Prueba'!A:C,3,),"NO REGISTRA")</f>
        <v>ERIKA JULIETH VALDERRAMA SANCHEZ</v>
      </c>
      <c r="D1743" s="4" t="str">
        <f>IFERROR(VLOOKUP(A1743,'Base Prueba'!A:D,4,),"NO REGISTRA")</f>
        <v>PROMOTOR CALL CENTER</v>
      </c>
      <c r="E1743" s="5" t="str">
        <f>IFERROR(VLOOKUP(A1743,'Base Prueba'!A:E,5,),"NO REGISTRA")</f>
        <v>OFICINA DE MERCADEO</v>
      </c>
    </row>
    <row r="1744" spans="1:5" ht="15.75" x14ac:dyDescent="0.25">
      <c r="A1744" s="10">
        <v>1000324729</v>
      </c>
      <c r="B1744" s="2">
        <v>46057.310389930557</v>
      </c>
      <c r="C1744" s="3" t="str">
        <f>IFERROR(VLOOKUP(A1744,'Base Prueba'!A:C,3,),"NO REGISTRA")</f>
        <v>ANYIE VANESSA TINOCO CAMACHO</v>
      </c>
      <c r="D1744" s="4" t="str">
        <f>IFERROR(VLOOKUP(A1744,'Base Prueba'!A:D,4,),"NO REGISTRA")</f>
        <v>LIDER DE REGISTRO Y CONTROL</v>
      </c>
      <c r="E1744" s="5" t="str">
        <f>IFERROR(VLOOKUP(A1744,'Base Prueba'!A:E,5,),"NO REGISTRA")</f>
        <v>REGISTRO Y CONTROL ACADEMICO</v>
      </c>
    </row>
    <row r="1745" spans="1:5" ht="15.75" x14ac:dyDescent="0.25">
      <c r="A1745" s="10">
        <v>1087121273</v>
      </c>
      <c r="B1745" s="2">
        <v>46057.311481828707</v>
      </c>
      <c r="C1745" s="3" t="str">
        <f>IFERROR(VLOOKUP(A1745,'Base Prueba'!A:C,3,),"NO REGISTRA")</f>
        <v>MAYRA ALEJANDRA CASTILLO ARBOLEDA</v>
      </c>
      <c r="D1745" s="4" t="str">
        <f>IFERROR(VLOOKUP(A1745,'Base Prueba'!A:D,4,),"NO REGISTRA")</f>
        <v>APOYO INTEGRAL DE MERCADEO</v>
      </c>
      <c r="E1745" s="5" t="str">
        <f>IFERROR(VLOOKUP(A1745,'Base Prueba'!A:E,5,),"NO REGISTRA")</f>
        <v>CENTRO DE GESTION DOCUMENTAL</v>
      </c>
    </row>
    <row r="1746" spans="1:5" ht="15.75" x14ac:dyDescent="0.25">
      <c r="A1746" s="10">
        <v>1013616244</v>
      </c>
      <c r="B1746" s="2">
        <v>46057.317759722224</v>
      </c>
      <c r="C1746" s="3" t="str">
        <f>IFERROR(VLOOKUP(A1746,'Base Prueba'!A:C,3,),"NO REGISTRA")</f>
        <v>DIANA CAROLINA MARIN BETANCOURT</v>
      </c>
      <c r="D1746" s="4" t="str">
        <f>IFERROR(VLOOKUP(A1746,'Base Prueba'!A:D,4,),"NO REGISTRA")</f>
        <v>AUXILIAR ADMINISTRATIVO</v>
      </c>
      <c r="E1746" s="5" t="str">
        <f>IFERROR(VLOOKUP(A1746,'Base Prueba'!A:E,5,),"NO REGISTRA")</f>
        <v>REGISTRO Y CONTROL ACADEMICO</v>
      </c>
    </row>
    <row r="1747" spans="1:5" ht="15.75" x14ac:dyDescent="0.25">
      <c r="A1747" s="10">
        <v>53932358</v>
      </c>
      <c r="B1747" s="2">
        <v>46057.324131597219</v>
      </c>
      <c r="C1747" s="3" t="str">
        <f>IFERROR(VLOOKUP(A1747,'Base Prueba'!A:C,3,),"NO REGISTRA")</f>
        <v>DIANA MADELEYNE GAONA RODRIGUEZ</v>
      </c>
      <c r="D1747" s="4" t="str">
        <f>IFERROR(VLOOKUP(A1747,'Base Prueba'!A:D,4,),"NO REGISTRA")</f>
        <v>CONTADOR</v>
      </c>
      <c r="E1747" s="5" t="str">
        <f>IFERROR(VLOOKUP(A1747,'Base Prueba'!A:E,5,),"NO REGISTRA")</f>
        <v>AREA FINANCIERA Y CONTABLE</v>
      </c>
    </row>
    <row r="1748" spans="1:5" ht="15.75" x14ac:dyDescent="0.25">
      <c r="A1748" s="10">
        <v>1014308296</v>
      </c>
      <c r="B1748" s="2">
        <v>46057.329419560185</v>
      </c>
      <c r="C1748" s="3" t="str">
        <f>IFERROR(VLOOKUP(A1748,'Base Prueba'!A:C,3,),"NO REGISTRA")</f>
        <v>DARLENE YULIANA MORENO CELEITA</v>
      </c>
      <c r="D1748" s="4" t="str">
        <f>IFERROR(VLOOKUP(A1748,'Base Prueba'!A:D,4,),"NO REGISTRA")</f>
        <v>CAJERO PRINCIPAL</v>
      </c>
      <c r="E1748" s="5" t="str">
        <f>IFERROR(VLOOKUP(A1748,'Base Prueba'!A:E,5,),"NO REGISTRA")</f>
        <v>AREA FINANCIERA Y CONTABLE</v>
      </c>
    </row>
    <row r="1749" spans="1:5" ht="15.75" x14ac:dyDescent="0.25">
      <c r="A1749" s="10">
        <v>1031802160</v>
      </c>
      <c r="B1749" s="2">
        <v>46057.332930208337</v>
      </c>
      <c r="C1749" s="3" t="str">
        <f>IFERROR(VLOOKUP(A1749,'Base Prueba'!A:C,3,),"NO REGISTRA")</f>
        <v>LUISA MARIA MAHECHA SOTOMAYOR</v>
      </c>
      <c r="D1749" s="4" t="str">
        <f>IFERROR(VLOOKUP(A1749,'Base Prueba'!A:D,4,),"NO REGISTRA")</f>
        <v>APRENDIZ UNIVERSITARIO</v>
      </c>
      <c r="E1749" s="5" t="str">
        <f>IFERROR(VLOOKUP(A1749,'Base Prueba'!A:E,5,),"NO REGISTRA")</f>
        <v>OFICINA DE MERCADEO</v>
      </c>
    </row>
    <row r="1750" spans="1:5" ht="15.75" x14ac:dyDescent="0.25">
      <c r="A1750" s="10">
        <v>1022996882</v>
      </c>
      <c r="B1750" s="2">
        <v>46057.336976273145</v>
      </c>
      <c r="C1750" s="3" t="str">
        <f>IFERROR(VLOOKUP(A1750,'Base Prueba'!A:C,3,),"NO REGISTRA")</f>
        <v>NANCY BRIGITH ALDANA GUEVARA</v>
      </c>
      <c r="D1750" s="4" t="str">
        <f>IFERROR(VLOOKUP(A1750,'Base Prueba'!A:D,4,),"NO REGISTRA")</f>
        <v>COORDINADORA DE GESTIÓN HUMANA</v>
      </c>
      <c r="E1750" s="5" t="str">
        <f>IFERROR(VLOOKUP(A1750,'Base Prueba'!A:E,5,),"NO REGISTRA")</f>
        <v>DEPARTAMENTO DE GESTION HUMANA</v>
      </c>
    </row>
    <row r="1751" spans="1:5" ht="15.75" x14ac:dyDescent="0.25">
      <c r="A1751" s="10">
        <v>1000257136</v>
      </c>
      <c r="B1751" s="2">
        <v>46057.337345717591</v>
      </c>
      <c r="C1751" s="3" t="str">
        <f>IFERROR(VLOOKUP(A1751,'Base Prueba'!A:C,3,),"NO REGISTRA")</f>
        <v>FRANCI VALENTINA CANO PUENTES</v>
      </c>
      <c r="D1751" s="4" t="str">
        <f>IFERROR(VLOOKUP(A1751,'Base Prueba'!A:D,4,),"NO REGISTRA")</f>
        <v>AUXILIAR CONTABLE</v>
      </c>
      <c r="E1751" s="5" t="str">
        <f>IFERROR(VLOOKUP(A1751,'Base Prueba'!A:E,5,),"NO REGISTRA")</f>
        <v>AREA FINANCIERA Y CONTABLE</v>
      </c>
    </row>
    <row r="1752" spans="1:5" ht="15.75" x14ac:dyDescent="0.25">
      <c r="A1752" s="10">
        <v>1000604979</v>
      </c>
      <c r="B1752" s="2">
        <v>46057.339293287034</v>
      </c>
      <c r="C1752" s="3" t="str">
        <f>IFERROR(VLOOKUP(A1752,'Base Prueba'!A:C,3,),"NO REGISTRA")</f>
        <v>JULIETH TATIANA PARDO PINTO</v>
      </c>
      <c r="D1752" s="4" t="str">
        <f>IFERROR(VLOOKUP(A1752,'Base Prueba'!A:D,4,),"NO REGISTRA")</f>
        <v>AUXILIAR JURIDICO</v>
      </c>
      <c r="E1752" s="5" t="str">
        <f>IFERROR(VLOOKUP(A1752,'Base Prueba'!A:E,5,),"NO REGISTRA")</f>
        <v>SECRETARIA GENERAL</v>
      </c>
    </row>
    <row r="1753" spans="1:5" ht="15.75" x14ac:dyDescent="0.25">
      <c r="A1753" s="10">
        <v>1012357415</v>
      </c>
      <c r="B1753" s="2">
        <v>46057.341824884257</v>
      </c>
      <c r="C1753" s="3" t="str">
        <f>IFERROR(VLOOKUP(A1753,'Base Prueba'!A:C,3,),"NO REGISTRA")</f>
        <v>CINDY LORENA BOHORQUEZ LEYVA</v>
      </c>
      <c r="D1753" s="4" t="str">
        <f>IFERROR(VLOOKUP(A1753,'Base Prueba'!A:D,4,),"NO REGISTRA")</f>
        <v>ANALISTA DE TESORERIA</v>
      </c>
      <c r="E1753" s="5" t="str">
        <f>IFERROR(VLOOKUP(A1753,'Base Prueba'!A:E,5,),"NO REGISTRA")</f>
        <v>AREA FINANCIERA Y CONTABLE</v>
      </c>
    </row>
    <row r="1754" spans="1:5" ht="15.75" x14ac:dyDescent="0.25">
      <c r="A1754" s="10">
        <v>1014977624</v>
      </c>
      <c r="B1754" s="2">
        <v>46057.341894675927</v>
      </c>
      <c r="C1754" s="3" t="str">
        <f>IFERROR(VLOOKUP(A1754,'Base Prueba'!A:C,3,),"NO REGISTRA")</f>
        <v>NICCOLE VALENTINA HERNANDEZ MALAVER</v>
      </c>
      <c r="D1754" s="4" t="str">
        <f>IFERROR(VLOOKUP(A1754,'Base Prueba'!A:D,4,),"NO REGISTRA")</f>
        <v>APRENDIZ UNIVERSITARIO</v>
      </c>
      <c r="E1754" s="5" t="str">
        <f>IFERROR(VLOOKUP(A1754,'Base Prueba'!A:E,5,),"NO REGISTRA")</f>
        <v>AREA FINANCIERA Y CONTABLE</v>
      </c>
    </row>
    <row r="1755" spans="1:5" ht="15.75" x14ac:dyDescent="0.25">
      <c r="A1755" s="10">
        <v>1193457976</v>
      </c>
      <c r="B1755" s="2">
        <v>46057.342488078706</v>
      </c>
      <c r="C1755" s="3" t="str">
        <f>IFERROR(VLOOKUP(A1755,'Base Prueba'!A:C,3,),"NO REGISTRA")</f>
        <v>SEDENIS RIVAS ASPRILLA</v>
      </c>
      <c r="D1755" s="4" t="str">
        <f>IFERROR(VLOOKUP(A1755,'Base Prueba'!A:D,4,),"NO REGISTRA")</f>
        <v>APRENDIZ UNIVERSITARIO</v>
      </c>
      <c r="E1755" s="5" t="str">
        <f>IFERROR(VLOOKUP(A1755,'Base Prueba'!A:E,5,),"NO REGISTRA")</f>
        <v>DEPARTAMENTO DE GESTION HUMANA</v>
      </c>
    </row>
    <row r="1756" spans="1:5" ht="15.75" x14ac:dyDescent="0.25">
      <c r="A1756" s="10">
        <v>1000687931</v>
      </c>
      <c r="B1756" s="2">
        <v>46057.342515393517</v>
      </c>
      <c r="C1756" s="3" t="str">
        <f>IFERROR(VLOOKUP(A1756,'Base Prueba'!A:C,3,),"NO REGISTRA")</f>
        <v>ANDRES FELIPE PUENTES TORRES</v>
      </c>
      <c r="D1756" s="4" t="str">
        <f>IFERROR(VLOOKUP(A1756,'Base Prueba'!A:D,4,),"NO REGISTRA")</f>
        <v>AUXILIAR ADMINISTRATIVO</v>
      </c>
      <c r="E1756" s="5" t="str">
        <f>IFERROR(VLOOKUP(A1756,'Base Prueba'!A:E,5,),"NO REGISTRA")</f>
        <v>REGISTRO Y CONTROL ACADEMICO</v>
      </c>
    </row>
    <row r="1757" spans="1:5" ht="15.75" x14ac:dyDescent="0.25">
      <c r="A1757" s="10">
        <v>1023883232</v>
      </c>
      <c r="B1757" s="2">
        <v>46057.342891550928</v>
      </c>
      <c r="C1757" s="3" t="str">
        <f>IFERROR(VLOOKUP(A1757,'Base Prueba'!A:C,3,),"NO REGISTRA")</f>
        <v>MONICA ANDREA ACERO URBANO</v>
      </c>
      <c r="D1757" s="4" t="str">
        <f>IFERROR(VLOOKUP(A1757,'Base Prueba'!A:D,4,),"NO REGISTRA")</f>
        <v>APOYO INTEGRAL A GESTION HUMANA</v>
      </c>
      <c r="E1757" s="5" t="str">
        <f>IFERROR(VLOOKUP(A1757,'Base Prueba'!A:E,5,),"NO REGISTRA")</f>
        <v>DEPARTAMENTO DE GESTION HUMANA</v>
      </c>
    </row>
    <row r="1758" spans="1:5" ht="15.75" x14ac:dyDescent="0.25">
      <c r="A1758" s="10">
        <v>1049644802</v>
      </c>
      <c r="B1758" s="2">
        <v>46057.343681134262</v>
      </c>
      <c r="C1758" s="3" t="str">
        <f>IFERROR(VLOOKUP(A1758,'Base Prueba'!A:C,3,),"NO REGISTRA")</f>
        <v>DANIELA ALEXANDRA CIPAMOCHA BOSIGA</v>
      </c>
      <c r="D1758" s="4" t="str">
        <f>IFERROR(VLOOKUP(A1758,'Base Prueba'!A:D,4,),"NO REGISTRA")</f>
        <v>LIDER DE DATOS Y SERVICIOS</v>
      </c>
      <c r="E1758" s="5" t="str">
        <f>IFERROR(VLOOKUP(A1758,'Base Prueba'!A:E,5,),"NO REGISTRA")</f>
        <v>OFICINA DE PLANEACION Y GESTION DE LA CALIDAD</v>
      </c>
    </row>
    <row r="1759" spans="1:5" ht="15.75" x14ac:dyDescent="0.25">
      <c r="A1759" s="10">
        <v>725</v>
      </c>
      <c r="B1759" s="2">
        <v>46057.35166724537</v>
      </c>
      <c r="C1759" s="3" t="str">
        <f>IFERROR(VLOOKUP(A1759,'Base Prueba'!A:C,3,),"NO REGISTRA")</f>
        <v>NO REGISTRA</v>
      </c>
      <c r="D1759" s="4" t="str">
        <f>IFERROR(VLOOKUP(A1759,'Base Prueba'!A:D,4,),"NO REGISTRA")</f>
        <v>NO REGISTRA</v>
      </c>
      <c r="E1759" s="5" t="str">
        <f>IFERROR(VLOOKUP(A1759,'Base Prueba'!A:E,5,),"NO REGISTRA")</f>
        <v>NO REGISTRA</v>
      </c>
    </row>
    <row r="1760" spans="1:5" ht="15.75" x14ac:dyDescent="0.25">
      <c r="A1760" s="10">
        <v>1000457706</v>
      </c>
      <c r="B1760" s="2">
        <v>46057.3529494213</v>
      </c>
      <c r="C1760" s="3" t="str">
        <f>IFERROR(VLOOKUP(A1760,'Base Prueba'!A:C,3,),"NO REGISTRA")</f>
        <v>CRISTIAN DANILO ARROYO SANABRIA</v>
      </c>
      <c r="D1760" s="4" t="str">
        <f>IFERROR(VLOOKUP(A1760,'Base Prueba'!A:D,4,),"NO REGISTRA")</f>
        <v>AUXILIAR CONTABLE</v>
      </c>
      <c r="E1760" s="5" t="str">
        <f>IFERROR(VLOOKUP(A1760,'Base Prueba'!A:E,5,),"NO REGISTRA")</f>
        <v>AREA FINANCIERA Y CONTABLE</v>
      </c>
    </row>
    <row r="1761" spans="1:5" ht="15.75" x14ac:dyDescent="0.25">
      <c r="A1761" s="10">
        <v>1000593372</v>
      </c>
      <c r="B1761" s="2">
        <v>46057.355712037039</v>
      </c>
      <c r="C1761" s="3" t="str">
        <f>IFERROR(VLOOKUP(A1761,'Base Prueba'!A:C,3,),"NO REGISTRA")</f>
        <v>LAURA SOFIA CHAPARRO LOPEZ</v>
      </c>
      <c r="D1761" s="4" t="str">
        <f>IFERROR(VLOOKUP(A1761,'Base Prueba'!A:D,4,),"NO REGISTRA")</f>
        <v>AUXILIAR JURIDICO</v>
      </c>
      <c r="E1761" s="5" t="str">
        <f>IFERROR(VLOOKUP(A1761,'Base Prueba'!A:E,5,),"NO REGISTRA")</f>
        <v>SECRETARIA GENERAL</v>
      </c>
    </row>
    <row r="1762" spans="1:5" ht="15.75" x14ac:dyDescent="0.25">
      <c r="A1762" s="10">
        <v>1032407386</v>
      </c>
      <c r="B1762" s="2">
        <v>46057.357341550924</v>
      </c>
      <c r="C1762" s="3" t="str">
        <f>IFERROR(VLOOKUP(A1762,'Base Prueba'!A:C,3,),"NO REGISTRA")</f>
        <v>GINA PAOLA BAEZ GALVIS</v>
      </c>
      <c r="D1762" s="4" t="str">
        <f>IFERROR(VLOOKUP(A1762,'Base Prueba'!A:D,4,),"NO REGISTRA")</f>
        <v>PROMOTOR CALL CENTER</v>
      </c>
      <c r="E1762" s="5" t="str">
        <f>IFERROR(VLOOKUP(A1762,'Base Prueba'!A:E,5,),"NO REGISTRA")</f>
        <v>OFICINA DE MERCADEO</v>
      </c>
    </row>
    <row r="1763" spans="1:5" ht="15.75" x14ac:dyDescent="0.25">
      <c r="A1763" s="10">
        <v>1032469638</v>
      </c>
      <c r="B1763" s="2">
        <v>46057.35903796296</v>
      </c>
      <c r="C1763" s="3" t="str">
        <f>IFERROR(VLOOKUP(A1763,'Base Prueba'!A:C,3,),"NO REGISTRA")</f>
        <v>MAICOL JARBEY GUALTEROS CASTAÑEDA</v>
      </c>
      <c r="D1763" s="4" t="str">
        <f>IFERROR(VLOOKUP(A1763,'Base Prueba'!A:D,4,),"NO REGISTRA")</f>
        <v>COORDINADOR DEL SISTEMA INTERNO DE ASEGURAMIENTO DE LA CALIDAD - SIAC</v>
      </c>
      <c r="E1763" s="5" t="str">
        <f>IFERROR(VLOOKUP(A1763,'Base Prueba'!A:E,5,),"NO REGISTRA")</f>
        <v>OFICINA DE PLANEACION Y GESTION DE LA CALIDAD</v>
      </c>
    </row>
    <row r="1764" spans="1:5" ht="15.75" x14ac:dyDescent="0.25">
      <c r="A1764" s="10">
        <v>80234243</v>
      </c>
      <c r="B1764" s="2">
        <v>46057.362250578706</v>
      </c>
      <c r="C1764" s="3" t="str">
        <f>IFERROR(VLOOKUP(A1764,'Base Prueba'!A:C,3,),"NO REGISTRA")</f>
        <v>ARGENIS MARTINEZ MARTINEZ</v>
      </c>
      <c r="D1764" s="4" t="str">
        <f>IFERROR(VLOOKUP(A1764,'Base Prueba'!A:D,4,),"NO REGISTRA")</f>
        <v>LIDER CALL CENTER</v>
      </c>
      <c r="E1764" s="5" t="str">
        <f>IFERROR(VLOOKUP(A1764,'Base Prueba'!A:E,5,),"NO REGISTRA")</f>
        <v>OFICINA DE MERCADEO</v>
      </c>
    </row>
    <row r="1765" spans="1:5" ht="15.75" x14ac:dyDescent="0.25">
      <c r="A1765" s="10">
        <v>28798349</v>
      </c>
      <c r="B1765" s="2">
        <v>46057.37230023148</v>
      </c>
      <c r="C1765" s="3" t="str">
        <f>IFERROR(VLOOKUP(A1765,'Base Prueba'!A:C,3,),"NO REGISTRA")</f>
        <v>MARTHA ISABEL TOVAR WILLIAMS</v>
      </c>
      <c r="D1765" s="4" t="str">
        <f>IFERROR(VLOOKUP(A1765,'Base Prueba'!A:D,4,),"NO REGISTRA")</f>
        <v>PROMOTOR CALL CENTER</v>
      </c>
      <c r="E1765" s="5" t="str">
        <f>IFERROR(VLOOKUP(A1765,'Base Prueba'!A:E,5,),"NO REGISTRA")</f>
        <v>OFICINA DE MERCADEO</v>
      </c>
    </row>
    <row r="1766" spans="1:5" ht="15.75" x14ac:dyDescent="0.25">
      <c r="A1766" s="10">
        <v>1019105003</v>
      </c>
      <c r="B1766" s="2">
        <v>46057.372352662038</v>
      </c>
      <c r="C1766" s="3" t="str">
        <f>IFERROR(VLOOKUP(A1766,'Base Prueba'!A:C,3,),"NO REGISTRA")</f>
        <v>DAISY JULIETH GASPAR MORENO</v>
      </c>
      <c r="D1766" s="4" t="str">
        <f>IFERROR(VLOOKUP(A1766,'Base Prueba'!A:D,4,),"NO REGISTRA")</f>
        <v>PROMOTOR CALL CENTER</v>
      </c>
      <c r="E1766" s="5" t="str">
        <f>IFERROR(VLOOKUP(A1766,'Base Prueba'!A:E,5,),"NO REGISTRA")</f>
        <v>OFICINA DE MERCADEO</v>
      </c>
    </row>
    <row r="1767" spans="1:5" ht="15.75" x14ac:dyDescent="0.25">
      <c r="A1767" s="10">
        <v>1003690253</v>
      </c>
      <c r="B1767" s="2">
        <v>46057.372785416665</v>
      </c>
      <c r="C1767" s="3" t="str">
        <f>IFERROR(VLOOKUP(A1767,'Base Prueba'!A:C,3,),"NO REGISTRA")</f>
        <v>MELISSA GONZALEZ PEDRAZA</v>
      </c>
      <c r="D1767" s="4" t="str">
        <f>IFERROR(VLOOKUP(A1767,'Base Prueba'!A:D,4,),"NO REGISTRA")</f>
        <v>LIDER DE JOVENES A LA E</v>
      </c>
      <c r="E1767" s="5" t="str">
        <f>IFERROR(VLOOKUP(A1767,'Base Prueba'!A:E,5,),"NO REGISTRA")</f>
        <v>DIRECCION DE BIENESTAR INSTITUCIONAL</v>
      </c>
    </row>
    <row r="1768" spans="1:5" ht="15.75" x14ac:dyDescent="0.25">
      <c r="A1768" s="10">
        <v>1033709056</v>
      </c>
      <c r="B1768" s="2">
        <v>46057.373881481479</v>
      </c>
      <c r="C1768" s="3" t="str">
        <f>IFERROR(VLOOKUP(A1768,'Base Prueba'!A:C,3,),"NO REGISTRA")</f>
        <v>YEIMY ALEXANDRA RODRIGUEZ PALACIO</v>
      </c>
      <c r="D1768" s="4" t="str">
        <f>IFERROR(VLOOKUP(A1768,'Base Prueba'!A:D,4,),"NO REGISTRA")</f>
        <v>PROMOTOR CALL CENTER</v>
      </c>
      <c r="E1768" s="5" t="str">
        <f>IFERROR(VLOOKUP(A1768,'Base Prueba'!A:E,5,),"NO REGISTRA")</f>
        <v>OFICINA DE MERCADEO</v>
      </c>
    </row>
    <row r="1769" spans="1:5" ht="15.75" x14ac:dyDescent="0.25">
      <c r="A1769" s="10">
        <v>53089882</v>
      </c>
      <c r="B1769" s="2">
        <v>46057.374003935183</v>
      </c>
      <c r="C1769" s="3" t="str">
        <f>IFERROR(VLOOKUP(A1769,'Base Prueba'!A:C,3,),"NO REGISTRA")</f>
        <v>MARIA JOHANA ESCAMILLA MARTINEZ</v>
      </c>
      <c r="D1769" s="4" t="str">
        <f>IFERROR(VLOOKUP(A1769,'Base Prueba'!A:D,4,),"NO REGISTRA")</f>
        <v>PROMOTOR DE INFORMACIÓN</v>
      </c>
      <c r="E1769" s="5" t="str">
        <f>IFERROR(VLOOKUP(A1769,'Base Prueba'!A:E,5,),"NO REGISTRA")</f>
        <v>OFICINA DE MERCADEO</v>
      </c>
    </row>
    <row r="1770" spans="1:5" ht="15.75" x14ac:dyDescent="0.25">
      <c r="A1770" s="10">
        <v>1016090131</v>
      </c>
      <c r="B1770" s="2">
        <v>46057.376065972225</v>
      </c>
      <c r="C1770" s="3" t="str">
        <f>IFERROR(VLOOKUP(A1770,'Base Prueba'!A:C,3,),"NO REGISTRA")</f>
        <v>NICOLAS RODRIGUEZ PACHECO</v>
      </c>
      <c r="D1770" s="4" t="str">
        <f>IFERROR(VLOOKUP(A1770,'Base Prueba'!A:D,4,),"NO REGISTRA")</f>
        <v>COORDINADOR DE COMUNICACIONES</v>
      </c>
      <c r="E1770" s="5" t="str">
        <f>IFERROR(VLOOKUP(A1770,'Base Prueba'!A:E,5,),"NO REGISTRA")</f>
        <v>OFICINA DE MERCADEO</v>
      </c>
    </row>
    <row r="1771" spans="1:5" ht="15.75" x14ac:dyDescent="0.25">
      <c r="A1771" s="10">
        <v>52472386</v>
      </c>
      <c r="B1771" s="2">
        <v>46057.376334837965</v>
      </c>
      <c r="C1771" s="3" t="str">
        <f>IFERROR(VLOOKUP(A1771,'Base Prueba'!A:C,3,),"NO REGISTRA")</f>
        <v>ADRIANA MARCELA MORALES PARDO</v>
      </c>
      <c r="D1771" s="4" t="str">
        <f>IFERROR(VLOOKUP(A1771,'Base Prueba'!A:D,4,),"NO REGISTRA")</f>
        <v>PROMOTOR CALL CENTER</v>
      </c>
      <c r="E1771" s="5" t="str">
        <f>IFERROR(VLOOKUP(A1771,'Base Prueba'!A:E,5,),"NO REGISTRA")</f>
        <v>OFICINA DE MERCADEO</v>
      </c>
    </row>
    <row r="1772" spans="1:5" ht="15.75" x14ac:dyDescent="0.25">
      <c r="A1772" s="10">
        <v>1012426741</v>
      </c>
      <c r="B1772" s="2">
        <v>46057.376371412036</v>
      </c>
      <c r="C1772" s="3" t="str">
        <f>IFERROR(VLOOKUP(A1772,'Base Prueba'!A:C,3,),"NO REGISTRA")</f>
        <v>CRISTIAN FABIAN ROJAS SANCENO</v>
      </c>
      <c r="D1772" s="4" t="str">
        <f>IFERROR(VLOOKUP(A1772,'Base Prueba'!A:D,4,),"NO REGISTRA")</f>
        <v>AUXILIAR DE REINTEGROS</v>
      </c>
      <c r="E1772" s="5" t="str">
        <f>IFERROR(VLOOKUP(A1772,'Base Prueba'!A:E,5,),"NO REGISTRA")</f>
        <v>DIRECCION DE BIENESTAR INSTITUCIONAL</v>
      </c>
    </row>
    <row r="1773" spans="1:5" ht="15.75" x14ac:dyDescent="0.25">
      <c r="A1773" s="10">
        <v>1018413529</v>
      </c>
      <c r="B1773" s="2">
        <v>46057.377683796294</v>
      </c>
      <c r="C1773" s="3" t="str">
        <f>IFERROR(VLOOKUP(A1773,'Base Prueba'!A:C,3,),"NO REGISTRA")</f>
        <v>FRANCY STELLA CHARRY MORENO</v>
      </c>
      <c r="D1773" s="4" t="str">
        <f>IFERROR(VLOOKUP(A1773,'Base Prueba'!A:D,4,),"NO REGISTRA")</f>
        <v>PROMOTOR COMERCIAL DEL CEA</v>
      </c>
      <c r="E1773" s="5" t="str">
        <f>IFERROR(VLOOKUP(A1773,'Base Prueba'!A:E,5,),"NO REGISTRA")</f>
        <v>OFICINA DE MERCADEO</v>
      </c>
    </row>
    <row r="1774" spans="1:5" ht="15.75" x14ac:dyDescent="0.25">
      <c r="A1774" s="10">
        <v>1014196857</v>
      </c>
      <c r="B1774" s="2">
        <v>46057.379164699072</v>
      </c>
      <c r="C1774" s="3" t="str">
        <f>IFERROR(VLOOKUP(A1774,'Base Prueba'!A:C,3,),"NO REGISTRA")</f>
        <v>CARLOS ANDRES JIMENEZ PARDO</v>
      </c>
      <c r="D1774" s="4" t="str">
        <f>IFERROR(VLOOKUP(A1774,'Base Prueba'!A:D,4,),"NO REGISTRA")</f>
        <v>COORDINADOR DE MARKETING DIGITAL</v>
      </c>
      <c r="E1774" s="5" t="str">
        <f>IFERROR(VLOOKUP(A1774,'Base Prueba'!A:E,5,),"NO REGISTRA")</f>
        <v>OFICINA DE MERCADEO</v>
      </c>
    </row>
    <row r="1775" spans="1:5" ht="15.75" x14ac:dyDescent="0.25">
      <c r="A1775" s="10">
        <v>1018414290</v>
      </c>
      <c r="B1775" s="2">
        <v>46057.380078819442</v>
      </c>
      <c r="C1775" s="3" t="str">
        <f>IFERROR(VLOOKUP(A1775,'Base Prueba'!A:C,3,),"NO REGISTRA")</f>
        <v>AMANDA LISBETH RODRIGUEZ LEON</v>
      </c>
      <c r="D1775" s="4" t="str">
        <f>IFERROR(VLOOKUP(A1775,'Base Prueba'!A:D,4,),"NO REGISTRA")</f>
        <v>PROMOTOR CALL CENTER</v>
      </c>
      <c r="E1775" s="5" t="str">
        <f>IFERROR(VLOOKUP(A1775,'Base Prueba'!A:E,5,),"NO REGISTRA")</f>
        <v>OFICINA DE MERCADEO</v>
      </c>
    </row>
    <row r="1776" spans="1:5" ht="15.75" x14ac:dyDescent="0.25">
      <c r="A1776" s="10">
        <v>1014211708</v>
      </c>
      <c r="B1776" s="2">
        <v>46057.380704629628</v>
      </c>
      <c r="C1776" s="3" t="str">
        <f>IFERROR(VLOOKUP(A1776,'Base Prueba'!A:C,3,),"NO REGISTRA")</f>
        <v>JUAN MANUEL MERCADO FUENTES</v>
      </c>
      <c r="D1776" s="4" t="str">
        <f>IFERROR(VLOOKUP(A1776,'Base Prueba'!A:D,4,),"NO REGISTRA")</f>
        <v>COORDINADOR DE DISEÑO E IMAGEN INSTITUCIONAL</v>
      </c>
      <c r="E1776" s="5" t="str">
        <f>IFERROR(VLOOKUP(A1776,'Base Prueba'!A:E,5,),"NO REGISTRA")</f>
        <v>OFICINA DE MERCADEO</v>
      </c>
    </row>
    <row r="1777" spans="1:5" ht="15.75" x14ac:dyDescent="0.25">
      <c r="A1777" s="10">
        <v>1193265768</v>
      </c>
      <c r="B1777" s="2">
        <v>46057.386305208332</v>
      </c>
      <c r="C1777" s="3" t="str">
        <f>IFERROR(VLOOKUP(A1777,'Base Prueba'!A:C,3,),"NO REGISTRA")</f>
        <v>SANTIAGO OSORIO CAMACHO</v>
      </c>
      <c r="D1777" s="4" t="str">
        <f>IFERROR(VLOOKUP(A1777,'Base Prueba'!A:D,4,),"NO REGISTRA")</f>
        <v>ANALISTA DE PAUTA</v>
      </c>
      <c r="E1777" s="5" t="str">
        <f>IFERROR(VLOOKUP(A1777,'Base Prueba'!A:E,5,),"NO REGISTRA")</f>
        <v>OFICINA DE MERCADEO</v>
      </c>
    </row>
    <row r="1778" spans="1:5" ht="15.75" x14ac:dyDescent="0.25">
      <c r="A1778" s="10">
        <v>52764929</v>
      </c>
      <c r="B1778" s="2">
        <v>46057.387945254632</v>
      </c>
      <c r="C1778" s="3" t="str">
        <f>IFERROR(VLOOKUP(A1778,'Base Prueba'!A:C,3,),"NO REGISTRA")</f>
        <v>GUERLY YOHANA DURAN RIVERA</v>
      </c>
      <c r="D1778" s="4" t="str">
        <f>IFERROR(VLOOKUP(A1778,'Base Prueba'!A:D,4,),"NO REGISTRA")</f>
        <v>LIDER DE VINCULACION COLEGIOS</v>
      </c>
      <c r="E1778" s="5" t="str">
        <f>IFERROR(VLOOKUP(A1778,'Base Prueba'!A:E,5,),"NO REGISTRA")</f>
        <v>OFICINA DE MERCADEO</v>
      </c>
    </row>
    <row r="1779" spans="1:5" ht="15.75" x14ac:dyDescent="0.25">
      <c r="A1779" s="10">
        <v>52175674</v>
      </c>
      <c r="B1779" s="2">
        <v>46057.389433449076</v>
      </c>
      <c r="C1779" s="3" t="str">
        <f>IFERROR(VLOOKUP(A1779,'Base Prueba'!A:C,3,),"NO REGISTRA")</f>
        <v>LUZ YANETH GOMEZ AREVALO</v>
      </c>
      <c r="D1779" s="4" t="str">
        <f>IFERROR(VLOOKUP(A1779,'Base Prueba'!A:D,4,),"NO REGISTRA")</f>
        <v>COORDINADORA DE ADMISIONES</v>
      </c>
      <c r="E1779" s="5" t="str">
        <f>IFERROR(VLOOKUP(A1779,'Base Prueba'!A:E,5,),"NO REGISTRA")</f>
        <v>OFICINA DE MERCADEO</v>
      </c>
    </row>
    <row r="1780" spans="1:5" ht="15.75" x14ac:dyDescent="0.25">
      <c r="A1780" s="10">
        <v>52443092</v>
      </c>
      <c r="B1780" s="2">
        <v>46057.542585532407</v>
      </c>
      <c r="C1780" s="3" t="str">
        <f>IFERROR(VLOOKUP(A1780,'Base Prueba'!A:C,3,),"NO REGISTRA")</f>
        <v>LUZ MYRIAM SAAVEDRA CONTRERAS</v>
      </c>
      <c r="D1780" s="4" t="str">
        <f>IFERROR(VLOOKUP(A1780,'Base Prueba'!A:D,4,),"NO REGISTRA")</f>
        <v>AUXILIAR DE SERVICIOS</v>
      </c>
      <c r="E1780" s="5" t="str">
        <f>IFERROR(VLOOKUP(A1780,'Base Prueba'!A:E,5,),"NO REGISTRA")</f>
        <v>LOGISTICA Y SERVICIOS GENERALES</v>
      </c>
    </row>
    <row r="1781" spans="1:5" ht="15.75" x14ac:dyDescent="0.25">
      <c r="A1781" s="10">
        <v>1014977624</v>
      </c>
      <c r="B1781" s="2">
        <v>46057.556311111111</v>
      </c>
      <c r="C1781" s="3" t="str">
        <f>IFERROR(VLOOKUP(A1781,'Base Prueba'!A:C,3,),"NO REGISTRA")</f>
        <v>NICCOLE VALENTINA HERNANDEZ MALAVER</v>
      </c>
      <c r="D1781" s="4" t="str">
        <f>IFERROR(VLOOKUP(A1781,'Base Prueba'!A:D,4,),"NO REGISTRA")</f>
        <v>APRENDIZ UNIVERSITARIO</v>
      </c>
      <c r="E1781" s="5" t="str">
        <f>IFERROR(VLOOKUP(A1781,'Base Prueba'!A:E,5,),"NO REGISTRA")</f>
        <v>AREA FINANCIERA Y CONTABLE</v>
      </c>
    </row>
    <row r="1782" spans="1:5" ht="15.75" x14ac:dyDescent="0.25">
      <c r="A1782" s="10">
        <v>1000687931</v>
      </c>
      <c r="B1782" s="2">
        <v>46057.709588541664</v>
      </c>
      <c r="C1782" s="3" t="str">
        <f>IFERROR(VLOOKUP(A1782,'Base Prueba'!A:C,3,),"NO REGISTRA")</f>
        <v>ANDRES FELIPE PUENTES TORRES</v>
      </c>
      <c r="D1782" s="4" t="str">
        <f>IFERROR(VLOOKUP(A1782,'Base Prueba'!A:D,4,),"NO REGISTRA")</f>
        <v>AUXILIAR ADMINISTRATIVO</v>
      </c>
      <c r="E1782" s="5" t="str">
        <f>IFERROR(VLOOKUP(A1782,'Base Prueba'!A:E,5,),"NO REGISTRA")</f>
        <v>REGISTRO Y CONTROL ACADEMICO</v>
      </c>
    </row>
    <row r="1783" spans="1:5" ht="15.75" x14ac:dyDescent="0.25">
      <c r="A1783" s="10">
        <v>1031802160</v>
      </c>
      <c r="B1783" s="2">
        <v>46057.716190856481</v>
      </c>
      <c r="C1783" s="3" t="str">
        <f>IFERROR(VLOOKUP(A1783,'Base Prueba'!A:C,3,),"NO REGISTRA")</f>
        <v>LUISA MARIA MAHECHA SOTOMAYOR</v>
      </c>
      <c r="D1783" s="4" t="str">
        <f>IFERROR(VLOOKUP(A1783,'Base Prueba'!A:D,4,),"NO REGISTRA")</f>
        <v>APRENDIZ UNIVERSITARIO</v>
      </c>
      <c r="E1783" s="5" t="str">
        <f>IFERROR(VLOOKUP(A1783,'Base Prueba'!A:E,5,),"NO REGISTRA")</f>
        <v>OFICINA DE MERCADEO</v>
      </c>
    </row>
    <row r="1784" spans="1:5" ht="15.75" x14ac:dyDescent="0.25">
      <c r="A1784" s="10">
        <v>1087121273</v>
      </c>
      <c r="B1784" s="2">
        <v>46057.724426273147</v>
      </c>
      <c r="C1784" s="3" t="str">
        <f>IFERROR(VLOOKUP(A1784,'Base Prueba'!A:C,3,),"NO REGISTRA")</f>
        <v>MAYRA ALEJANDRA CASTILLO ARBOLEDA</v>
      </c>
      <c r="D1784" s="4" t="str">
        <f>IFERROR(VLOOKUP(A1784,'Base Prueba'!A:D,4,),"NO REGISTRA")</f>
        <v>APOYO INTEGRAL DE MERCADEO</v>
      </c>
      <c r="E1784" s="5" t="str">
        <f>IFERROR(VLOOKUP(A1784,'Base Prueba'!A:E,5,),"NO REGISTRA")</f>
        <v>CENTRO DE GESTION DOCUMENTAL</v>
      </c>
    </row>
    <row r="1785" spans="1:5" ht="15.75" x14ac:dyDescent="0.25">
      <c r="A1785" s="10">
        <v>1024505434</v>
      </c>
      <c r="B1785" s="2">
        <v>46057.731871064818</v>
      </c>
      <c r="C1785" s="3" t="str">
        <f>IFERROR(VLOOKUP(A1785,'Base Prueba'!A:C,3,),"NO REGISTRA")</f>
        <v>CRISTIAN ALBERTO MELO TORRES</v>
      </c>
      <c r="D1785" s="4" t="str">
        <f>IFERROR(VLOOKUP(A1785,'Base Prueba'!A:D,4,),"NO REGISTRA")</f>
        <v>COORDINADOR DE INFRAESTRUCTURA</v>
      </c>
      <c r="E1785" s="5" t="str">
        <f>IFERROR(VLOOKUP(A1785,'Base Prueba'!A:E,5,),"NO REGISTRA")</f>
        <v>VICERRECTORIA ADMINISTRATIVA Y FINANCIERA</v>
      </c>
    </row>
    <row r="1786" spans="1:5" ht="15.75" x14ac:dyDescent="0.25">
      <c r="A1786" s="10">
        <v>1049644802</v>
      </c>
      <c r="B1786" s="2">
        <v>46057.752279629633</v>
      </c>
      <c r="C1786" s="3" t="str">
        <f>IFERROR(VLOOKUP(A1786,'Base Prueba'!A:C,3,),"NO REGISTRA")</f>
        <v>DANIELA ALEXANDRA CIPAMOCHA BOSIGA</v>
      </c>
      <c r="D1786" s="4" t="str">
        <f>IFERROR(VLOOKUP(A1786,'Base Prueba'!A:D,4,),"NO REGISTRA")</f>
        <v>LIDER DE DATOS Y SERVICIOS</v>
      </c>
      <c r="E1786" s="5" t="str">
        <f>IFERROR(VLOOKUP(A1786,'Base Prueba'!A:E,5,),"NO REGISTRA")</f>
        <v>OFICINA DE PLANEACION Y GESTION DE LA CALIDAD</v>
      </c>
    </row>
    <row r="1787" spans="1:5" ht="15.75" x14ac:dyDescent="0.25">
      <c r="A1787" s="10">
        <v>1000467399</v>
      </c>
      <c r="B1787" s="2">
        <v>46057.754277893517</v>
      </c>
      <c r="C1787" s="3" t="str">
        <f>IFERROR(VLOOKUP(A1787,'Base Prueba'!A:C,3,),"NO REGISTRA")</f>
        <v>BRANDO ESTIVEN DIAZ QUIMBAYA</v>
      </c>
      <c r="D1787" s="4" t="str">
        <f>IFERROR(VLOOKUP(A1787,'Base Prueba'!A:D,4,),"NO REGISTRA")</f>
        <v>APRENDIZ UNIVERSITARIO</v>
      </c>
      <c r="E1787" s="5" t="str">
        <f>IFERROR(VLOOKUP(A1787,'Base Prueba'!A:E,5,),"NO REGISTRA")</f>
        <v>DEPARTAMENTO DE GESTION HUMANA</v>
      </c>
    </row>
    <row r="1788" spans="1:5" ht="15.75" x14ac:dyDescent="0.25">
      <c r="A1788" s="10">
        <v>1193457976</v>
      </c>
      <c r="B1788" s="2">
        <v>46057.754998495373</v>
      </c>
      <c r="C1788" s="3" t="str">
        <f>IFERROR(VLOOKUP(A1788,'Base Prueba'!A:C,3,),"NO REGISTRA")</f>
        <v>SEDENIS RIVAS ASPRILLA</v>
      </c>
      <c r="D1788" s="4" t="str">
        <f>IFERROR(VLOOKUP(A1788,'Base Prueba'!A:D,4,),"NO REGISTRA")</f>
        <v>APRENDIZ UNIVERSITARIO</v>
      </c>
      <c r="E1788" s="5" t="str">
        <f>IFERROR(VLOOKUP(A1788,'Base Prueba'!A:E,5,),"NO REGISTRA")</f>
        <v>DEPARTAMENTO DE GESTION HUMANA</v>
      </c>
    </row>
    <row r="1789" spans="1:5" ht="15.75" x14ac:dyDescent="0.25">
      <c r="A1789" s="10">
        <v>1022996882</v>
      </c>
      <c r="B1789" s="2">
        <v>46057.755313425929</v>
      </c>
      <c r="C1789" s="3" t="str">
        <f>IFERROR(VLOOKUP(A1789,'Base Prueba'!A:C,3,),"NO REGISTRA")</f>
        <v>NANCY BRIGITH ALDANA GUEVARA</v>
      </c>
      <c r="D1789" s="4" t="str">
        <f>IFERROR(VLOOKUP(A1789,'Base Prueba'!A:D,4,),"NO REGISTRA")</f>
        <v>COORDINADORA DE GESTIÓN HUMANA</v>
      </c>
      <c r="E1789" s="5" t="str">
        <f>IFERROR(VLOOKUP(A1789,'Base Prueba'!A:E,5,),"NO REGISTRA")</f>
        <v>DEPARTAMENTO DE GESTION HUMANA</v>
      </c>
    </row>
    <row r="1790" spans="1:5" ht="15.75" x14ac:dyDescent="0.25">
      <c r="A1790" s="10">
        <v>1032469638</v>
      </c>
      <c r="B1790" s="2">
        <v>46057.756469907406</v>
      </c>
      <c r="C1790" s="3" t="str">
        <f>IFERROR(VLOOKUP(A1790,'Base Prueba'!A:C,3,),"NO REGISTRA")</f>
        <v>MAICOL JARBEY GUALTEROS CASTAÑEDA</v>
      </c>
      <c r="D1790" s="4" t="str">
        <f>IFERROR(VLOOKUP(A1790,'Base Prueba'!A:D,4,),"NO REGISTRA")</f>
        <v>COORDINADOR DEL SISTEMA INTERNO DE ASEGURAMIENTO DE LA CALIDAD - SIAC</v>
      </c>
      <c r="E1790" s="5" t="str">
        <f>IFERROR(VLOOKUP(A1790,'Base Prueba'!A:E,5,),"NO REGISTRA")</f>
        <v>OFICINA DE PLANEACION Y GESTION DE LA CALIDAD</v>
      </c>
    </row>
    <row r="1791" spans="1:5" ht="15.75" x14ac:dyDescent="0.25">
      <c r="A1791" s="10">
        <v>1033709056</v>
      </c>
      <c r="B1791" s="2">
        <v>46057.75675</v>
      </c>
      <c r="C1791" s="3" t="str">
        <f>IFERROR(VLOOKUP(A1791,'Base Prueba'!A:C,3,),"NO REGISTRA")</f>
        <v>YEIMY ALEXANDRA RODRIGUEZ PALACIO</v>
      </c>
      <c r="D1791" s="4" t="str">
        <f>IFERROR(VLOOKUP(A1791,'Base Prueba'!A:D,4,),"NO REGISTRA")</f>
        <v>PROMOTOR CALL CENTER</v>
      </c>
      <c r="E1791" s="5" t="str">
        <f>IFERROR(VLOOKUP(A1791,'Base Prueba'!A:E,5,),"NO REGISTRA")</f>
        <v>OFICINA DE MERCADEO</v>
      </c>
    </row>
    <row r="1792" spans="1:5" ht="15.75" x14ac:dyDescent="0.25">
      <c r="A1792" s="10">
        <v>1023883232</v>
      </c>
      <c r="B1792" s="2">
        <v>46057.75677453704</v>
      </c>
      <c r="C1792" s="3" t="str">
        <f>IFERROR(VLOOKUP(A1792,'Base Prueba'!A:C,3,),"NO REGISTRA")</f>
        <v>MONICA ANDREA ACERO URBANO</v>
      </c>
      <c r="D1792" s="4" t="str">
        <f>IFERROR(VLOOKUP(A1792,'Base Prueba'!A:D,4,),"NO REGISTRA")</f>
        <v>APOYO INTEGRAL A GESTION HUMANA</v>
      </c>
      <c r="E1792" s="5" t="str">
        <f>IFERROR(VLOOKUP(A1792,'Base Prueba'!A:E,5,),"NO REGISTRA")</f>
        <v>DEPARTAMENTO DE GESTION HUMANA</v>
      </c>
    </row>
    <row r="1793" spans="1:5" ht="15.75" x14ac:dyDescent="0.25">
      <c r="A1793" s="10">
        <v>1014308296</v>
      </c>
      <c r="B1793" s="2">
        <v>46057.756860532405</v>
      </c>
      <c r="C1793" s="3" t="str">
        <f>IFERROR(VLOOKUP(A1793,'Base Prueba'!A:C,3,),"NO REGISTRA")</f>
        <v>DARLENE YULIANA MORENO CELEITA</v>
      </c>
      <c r="D1793" s="4" t="str">
        <f>IFERROR(VLOOKUP(A1793,'Base Prueba'!A:D,4,),"NO REGISTRA")</f>
        <v>CAJERO PRINCIPAL</v>
      </c>
      <c r="E1793" s="5" t="str">
        <f>IFERROR(VLOOKUP(A1793,'Base Prueba'!A:E,5,),"NO REGISTRA")</f>
        <v>AREA FINANCIERA Y CONTABLE</v>
      </c>
    </row>
    <row r="1794" spans="1:5" ht="15.75" x14ac:dyDescent="0.25">
      <c r="A1794" s="10">
        <v>1000593372</v>
      </c>
      <c r="B1794" s="2">
        <v>46057.759070370368</v>
      </c>
      <c r="C1794" s="3" t="str">
        <f>IFERROR(VLOOKUP(A1794,'Base Prueba'!A:C,3,),"NO REGISTRA")</f>
        <v>LAURA SOFIA CHAPARRO LOPEZ</v>
      </c>
      <c r="D1794" s="4" t="str">
        <f>IFERROR(VLOOKUP(A1794,'Base Prueba'!A:D,4,),"NO REGISTRA")</f>
        <v>AUXILIAR JURIDICO</v>
      </c>
      <c r="E1794" s="5" t="str">
        <f>IFERROR(VLOOKUP(A1794,'Base Prueba'!A:E,5,),"NO REGISTRA")</f>
        <v>SECRETARIA GENERAL</v>
      </c>
    </row>
    <row r="1795" spans="1:5" ht="15.75" x14ac:dyDescent="0.25">
      <c r="A1795" s="10">
        <v>1000604979</v>
      </c>
      <c r="B1795" s="2">
        <v>46057.759090856482</v>
      </c>
      <c r="C1795" s="3" t="str">
        <f>IFERROR(VLOOKUP(A1795,'Base Prueba'!A:C,3,),"NO REGISTRA")</f>
        <v>JULIETH TATIANA PARDO PINTO</v>
      </c>
      <c r="D1795" s="4" t="str">
        <f>IFERROR(VLOOKUP(A1795,'Base Prueba'!A:D,4,),"NO REGISTRA")</f>
        <v>AUXILIAR JURIDICO</v>
      </c>
      <c r="E1795" s="5" t="str">
        <f>IFERROR(VLOOKUP(A1795,'Base Prueba'!A:E,5,),"NO REGISTRA")</f>
        <v>SECRETARIA GENERAL</v>
      </c>
    </row>
    <row r="1796" spans="1:5" ht="15.75" x14ac:dyDescent="0.25">
      <c r="A1796" s="10">
        <v>1012357415</v>
      </c>
      <c r="B1796" s="2">
        <v>46057.760634027778</v>
      </c>
      <c r="C1796" s="3" t="str">
        <f>IFERROR(VLOOKUP(A1796,'Base Prueba'!A:C,3,),"NO REGISTRA")</f>
        <v>CINDY LORENA BOHORQUEZ LEYVA</v>
      </c>
      <c r="D1796" s="4" t="str">
        <f>IFERROR(VLOOKUP(A1796,'Base Prueba'!A:D,4,),"NO REGISTRA")</f>
        <v>ANALISTA DE TESORERIA</v>
      </c>
      <c r="E1796" s="5" t="str">
        <f>IFERROR(VLOOKUP(A1796,'Base Prueba'!A:E,5,),"NO REGISTRA")</f>
        <v>AREA FINANCIERA Y CONTABLE</v>
      </c>
    </row>
    <row r="1797" spans="1:5" ht="15.75" x14ac:dyDescent="0.25">
      <c r="A1797" s="10">
        <v>1026599257</v>
      </c>
      <c r="B1797" s="2">
        <v>46057.767666087966</v>
      </c>
      <c r="C1797" s="3" t="str">
        <f>IFERROR(VLOOKUP(A1797,'Base Prueba'!A:C,3,),"NO REGISTRA")</f>
        <v>YESENIA PAOLA PINEDA HURTADO</v>
      </c>
      <c r="D1797" s="4" t="str">
        <f>IFERROR(VLOOKUP(A1797,'Base Prueba'!A:D,4,),"NO REGISTRA")</f>
        <v>LIDER DE COMPRAS</v>
      </c>
      <c r="E1797" s="5" t="str">
        <f>IFERROR(VLOOKUP(A1797,'Base Prueba'!A:E,5,),"NO REGISTRA")</f>
        <v>AREA ADMINISTRATIVA</v>
      </c>
    </row>
    <row r="1798" spans="1:5" ht="15.75" x14ac:dyDescent="0.25">
      <c r="A1798" s="10">
        <v>1012426741</v>
      </c>
      <c r="B1798" s="2">
        <v>46057.771079050923</v>
      </c>
      <c r="C1798" s="3" t="str">
        <f>IFERROR(VLOOKUP(A1798,'Base Prueba'!A:C,3,),"NO REGISTRA")</f>
        <v>CRISTIAN FABIAN ROJAS SANCENO</v>
      </c>
      <c r="D1798" s="4" t="str">
        <f>IFERROR(VLOOKUP(A1798,'Base Prueba'!A:D,4,),"NO REGISTRA")</f>
        <v>AUXILIAR DE REINTEGROS</v>
      </c>
      <c r="E1798" s="5" t="str">
        <f>IFERROR(VLOOKUP(A1798,'Base Prueba'!A:E,5,),"NO REGISTRA")</f>
        <v>DIRECCION DE BIENESTAR INSTITUCIONAL</v>
      </c>
    </row>
    <row r="1799" spans="1:5" ht="15.75" x14ac:dyDescent="0.25">
      <c r="A1799" s="10">
        <v>1000257136</v>
      </c>
      <c r="B1799" s="2">
        <v>46057.771876620369</v>
      </c>
      <c r="C1799" s="3" t="str">
        <f>IFERROR(VLOOKUP(A1799,'Base Prueba'!A:C,3,),"NO REGISTRA")</f>
        <v>FRANCI VALENTINA CANO PUENTES</v>
      </c>
      <c r="D1799" s="4" t="str">
        <f>IFERROR(VLOOKUP(A1799,'Base Prueba'!A:D,4,),"NO REGISTRA")</f>
        <v>AUXILIAR CONTABLE</v>
      </c>
      <c r="E1799" s="5" t="str">
        <f>IFERROR(VLOOKUP(A1799,'Base Prueba'!A:E,5,),"NO REGISTRA")</f>
        <v>AREA FINANCIERA Y CONTABLE</v>
      </c>
    </row>
    <row r="1800" spans="1:5" ht="15.75" x14ac:dyDescent="0.25">
      <c r="A1800" s="10">
        <v>1019105003</v>
      </c>
      <c r="B1800" s="2">
        <v>46057.772433564816</v>
      </c>
      <c r="C1800" s="3" t="str">
        <f>IFERROR(VLOOKUP(A1800,'Base Prueba'!A:C,3,),"NO REGISTRA")</f>
        <v>DAISY JULIETH GASPAR MORENO</v>
      </c>
      <c r="D1800" s="4" t="str">
        <f>IFERROR(VLOOKUP(A1800,'Base Prueba'!A:D,4,),"NO REGISTRA")</f>
        <v>PROMOTOR CALL CENTER</v>
      </c>
      <c r="E1800" s="5" t="str">
        <f>IFERROR(VLOOKUP(A1800,'Base Prueba'!A:E,5,),"NO REGISTRA")</f>
        <v>OFICINA DE MERCADEO</v>
      </c>
    </row>
    <row r="1801" spans="1:5" ht="15.75" x14ac:dyDescent="0.25">
      <c r="A1801" s="10">
        <v>1003690253</v>
      </c>
      <c r="B1801" s="2">
        <v>46057.773161805555</v>
      </c>
      <c r="C1801" s="3" t="str">
        <f>IFERROR(VLOOKUP(A1801,'Base Prueba'!A:C,3,),"NO REGISTRA")</f>
        <v>MELISSA GONZALEZ PEDRAZA</v>
      </c>
      <c r="D1801" s="4" t="str">
        <f>IFERROR(VLOOKUP(A1801,'Base Prueba'!A:D,4,),"NO REGISTRA")</f>
        <v>LIDER DE JOVENES A LA E</v>
      </c>
      <c r="E1801" s="5" t="str">
        <f>IFERROR(VLOOKUP(A1801,'Base Prueba'!A:E,5,),"NO REGISTRA")</f>
        <v>DIRECCION DE BIENESTAR INSTITUCIONAL</v>
      </c>
    </row>
    <row r="1802" spans="1:5" ht="15.75" x14ac:dyDescent="0.25">
      <c r="A1802" s="10">
        <v>1032407386</v>
      </c>
      <c r="B1802" s="2">
        <v>46057.775117013887</v>
      </c>
      <c r="C1802" s="3" t="str">
        <f>IFERROR(VLOOKUP(A1802,'Base Prueba'!A:C,3,),"NO REGISTRA")</f>
        <v>GINA PAOLA BAEZ GALVIS</v>
      </c>
      <c r="D1802" s="4" t="str">
        <f>IFERROR(VLOOKUP(A1802,'Base Prueba'!A:D,4,),"NO REGISTRA")</f>
        <v>PROMOTOR CALL CENTER</v>
      </c>
      <c r="E1802" s="5" t="str">
        <f>IFERROR(VLOOKUP(A1802,'Base Prueba'!A:E,5,),"NO REGISTRA")</f>
        <v>OFICINA DE MERCADEO</v>
      </c>
    </row>
    <row r="1803" spans="1:5" ht="15.75" x14ac:dyDescent="0.25">
      <c r="A1803" s="10">
        <v>1018414290</v>
      </c>
      <c r="B1803" s="2">
        <v>46057.775224074074</v>
      </c>
      <c r="C1803" s="3" t="str">
        <f>IFERROR(VLOOKUP(A1803,'Base Prueba'!A:C,3,),"NO REGISTRA")</f>
        <v>AMANDA LISBETH RODRIGUEZ LEON</v>
      </c>
      <c r="D1803" s="4" t="str">
        <f>IFERROR(VLOOKUP(A1803,'Base Prueba'!A:D,4,),"NO REGISTRA")</f>
        <v>PROMOTOR CALL CENTER</v>
      </c>
      <c r="E1803" s="5" t="str">
        <f>IFERROR(VLOOKUP(A1803,'Base Prueba'!A:E,5,),"NO REGISTRA")</f>
        <v>OFICINA DE MERCADEO</v>
      </c>
    </row>
    <row r="1804" spans="1:5" ht="15.75" x14ac:dyDescent="0.25">
      <c r="A1804" s="10">
        <v>28798349</v>
      </c>
      <c r="B1804" s="2">
        <v>46057.775994097225</v>
      </c>
      <c r="C1804" s="3" t="str">
        <f>IFERROR(VLOOKUP(A1804,'Base Prueba'!A:C,3,),"NO REGISTRA")</f>
        <v>MARTHA ISABEL TOVAR WILLIAMS</v>
      </c>
      <c r="D1804" s="4" t="str">
        <f>IFERROR(VLOOKUP(A1804,'Base Prueba'!A:D,4,),"NO REGISTRA")</f>
        <v>PROMOTOR CALL CENTER</v>
      </c>
      <c r="E1804" s="5" t="str">
        <f>IFERROR(VLOOKUP(A1804,'Base Prueba'!A:E,5,),"NO REGISTRA")</f>
        <v>OFICINA DE MERCADEO</v>
      </c>
    </row>
    <row r="1805" spans="1:5" ht="15.75" x14ac:dyDescent="0.25">
      <c r="A1805" s="10">
        <v>52472386</v>
      </c>
      <c r="B1805" s="2">
        <v>46057.776051620371</v>
      </c>
      <c r="C1805" s="3" t="str">
        <f>IFERROR(VLOOKUP(A1805,'Base Prueba'!A:C,3,),"NO REGISTRA")</f>
        <v>ADRIANA MARCELA MORALES PARDO</v>
      </c>
      <c r="D1805" s="4" t="str">
        <f>IFERROR(VLOOKUP(A1805,'Base Prueba'!A:D,4,),"NO REGISTRA")</f>
        <v>PROMOTOR CALL CENTER</v>
      </c>
      <c r="E1805" s="5" t="str">
        <f>IFERROR(VLOOKUP(A1805,'Base Prueba'!A:E,5,),"NO REGISTRA")</f>
        <v>OFICINA DE MERCADEO</v>
      </c>
    </row>
    <row r="1806" spans="1:5" ht="15.75" x14ac:dyDescent="0.25">
      <c r="A1806" s="10">
        <v>1014211708</v>
      </c>
      <c r="B1806" s="2">
        <v>46057.777846874997</v>
      </c>
      <c r="C1806" s="3" t="str">
        <f>IFERROR(VLOOKUP(A1806,'Base Prueba'!A:C,3,),"NO REGISTRA")</f>
        <v>JUAN MANUEL MERCADO FUENTES</v>
      </c>
      <c r="D1806" s="4" t="str">
        <f>IFERROR(VLOOKUP(A1806,'Base Prueba'!A:D,4,),"NO REGISTRA")</f>
        <v>COORDINADOR DE DISEÑO E IMAGEN INSTITUCIONAL</v>
      </c>
      <c r="E1806" s="5" t="str">
        <f>IFERROR(VLOOKUP(A1806,'Base Prueba'!A:E,5,),"NO REGISTRA")</f>
        <v>OFICINA DE MERCADEO</v>
      </c>
    </row>
    <row r="1807" spans="1:5" ht="15.75" x14ac:dyDescent="0.25">
      <c r="A1807" s="10">
        <v>1000324729</v>
      </c>
      <c r="B1807" s="2">
        <v>46057.77814652778</v>
      </c>
      <c r="C1807" s="3" t="str">
        <f>IFERROR(VLOOKUP(A1807,'Base Prueba'!A:C,3,),"NO REGISTRA")</f>
        <v>ANYIE VANESSA TINOCO CAMACHO</v>
      </c>
      <c r="D1807" s="4" t="str">
        <f>IFERROR(VLOOKUP(A1807,'Base Prueba'!A:D,4,),"NO REGISTRA")</f>
        <v>LIDER DE REGISTRO Y CONTROL</v>
      </c>
      <c r="E1807" s="5" t="str">
        <f>IFERROR(VLOOKUP(A1807,'Base Prueba'!A:E,5,),"NO REGISTRA")</f>
        <v>REGISTRO Y CONTROL ACADEMICO</v>
      </c>
    </row>
    <row r="1808" spans="1:5" ht="15.75" x14ac:dyDescent="0.25">
      <c r="A1808" s="10">
        <v>1013616244</v>
      </c>
      <c r="B1808" s="2">
        <v>46057.778221759261</v>
      </c>
      <c r="C1808" s="3" t="str">
        <f>IFERROR(VLOOKUP(A1808,'Base Prueba'!A:C,3,),"NO REGISTRA")</f>
        <v>DIANA CAROLINA MARIN BETANCOURT</v>
      </c>
      <c r="D1808" s="4" t="str">
        <f>IFERROR(VLOOKUP(A1808,'Base Prueba'!A:D,4,),"NO REGISTRA")</f>
        <v>AUXILIAR ADMINISTRATIVO</v>
      </c>
      <c r="E1808" s="5" t="str">
        <f>IFERROR(VLOOKUP(A1808,'Base Prueba'!A:E,5,),"NO REGISTRA")</f>
        <v>REGISTRO Y CONTROL ACADEMICO</v>
      </c>
    </row>
    <row r="1809" spans="1:5" ht="15.75" x14ac:dyDescent="0.25">
      <c r="A1809" s="10">
        <v>1193265768</v>
      </c>
      <c r="B1809" s="2">
        <v>46057.778535532409</v>
      </c>
      <c r="C1809" s="3" t="str">
        <f>IFERROR(VLOOKUP(A1809,'Base Prueba'!A:C,3,),"NO REGISTRA")</f>
        <v>SANTIAGO OSORIO CAMACHO</v>
      </c>
      <c r="D1809" s="4" t="str">
        <f>IFERROR(VLOOKUP(A1809,'Base Prueba'!A:D,4,),"NO REGISTRA")</f>
        <v>ANALISTA DE PAUTA</v>
      </c>
      <c r="E1809" s="5" t="str">
        <f>IFERROR(VLOOKUP(A1809,'Base Prueba'!A:E,5,),"NO REGISTRA")</f>
        <v>OFICINA DE MERCADEO</v>
      </c>
    </row>
    <row r="1810" spans="1:5" ht="15.75" x14ac:dyDescent="0.25">
      <c r="A1810" s="10">
        <v>1014196857</v>
      </c>
      <c r="B1810" s="2">
        <v>46057.778565624998</v>
      </c>
      <c r="C1810" s="3" t="str">
        <f>IFERROR(VLOOKUP(A1810,'Base Prueba'!A:C,3,),"NO REGISTRA")</f>
        <v>CARLOS ANDRES JIMENEZ PARDO</v>
      </c>
      <c r="D1810" s="4" t="str">
        <f>IFERROR(VLOOKUP(A1810,'Base Prueba'!A:D,4,),"NO REGISTRA")</f>
        <v>COORDINADOR DE MARKETING DIGITAL</v>
      </c>
      <c r="E1810" s="5" t="str">
        <f>IFERROR(VLOOKUP(A1810,'Base Prueba'!A:E,5,),"NO REGISTRA")</f>
        <v>OFICINA DE MERCADEO</v>
      </c>
    </row>
    <row r="1811" spans="1:5" ht="15.75" x14ac:dyDescent="0.25">
      <c r="A1811" s="10">
        <v>53089882</v>
      </c>
      <c r="B1811" s="2">
        <v>46057.779710416668</v>
      </c>
      <c r="C1811" s="3" t="str">
        <f>IFERROR(VLOOKUP(A1811,'Base Prueba'!A:C,3,),"NO REGISTRA")</f>
        <v>MARIA JOHANA ESCAMILLA MARTINEZ</v>
      </c>
      <c r="D1811" s="4" t="str">
        <f>IFERROR(VLOOKUP(A1811,'Base Prueba'!A:D,4,),"NO REGISTRA")</f>
        <v>PROMOTOR DE INFORMACIÓN</v>
      </c>
      <c r="E1811" s="5" t="str">
        <f>IFERROR(VLOOKUP(A1811,'Base Prueba'!A:E,5,),"NO REGISTRA")</f>
        <v>OFICINA DE MERCADEO</v>
      </c>
    </row>
    <row r="1812" spans="1:5" ht="15.75" x14ac:dyDescent="0.25">
      <c r="A1812" s="10">
        <v>1018413529</v>
      </c>
      <c r="B1812" s="2">
        <v>46057.780043865743</v>
      </c>
      <c r="C1812" s="3" t="str">
        <f>IFERROR(VLOOKUP(A1812,'Base Prueba'!A:C,3,),"NO REGISTRA")</f>
        <v>FRANCY STELLA CHARRY MORENO</v>
      </c>
      <c r="D1812" s="4" t="str">
        <f>IFERROR(VLOOKUP(A1812,'Base Prueba'!A:D,4,),"NO REGISTRA")</f>
        <v>PROMOTOR COMERCIAL DEL CEA</v>
      </c>
      <c r="E1812" s="5" t="str">
        <f>IFERROR(VLOOKUP(A1812,'Base Prueba'!A:E,5,),"NO REGISTRA")</f>
        <v>OFICINA DE MERCADEO</v>
      </c>
    </row>
    <row r="1813" spans="1:5" ht="15.75" x14ac:dyDescent="0.25">
      <c r="A1813" s="10">
        <v>52764929</v>
      </c>
      <c r="B1813" s="2">
        <v>46057.787603703706</v>
      </c>
      <c r="C1813" s="3" t="str">
        <f>IFERROR(VLOOKUP(A1813,'Base Prueba'!A:C,3,),"NO REGISTRA")</f>
        <v>GUERLY YOHANA DURAN RIVERA</v>
      </c>
      <c r="D1813" s="4" t="str">
        <f>IFERROR(VLOOKUP(A1813,'Base Prueba'!A:D,4,),"NO REGISTRA")</f>
        <v>LIDER DE VINCULACION COLEGIOS</v>
      </c>
      <c r="E1813" s="5" t="str">
        <f>IFERROR(VLOOKUP(A1813,'Base Prueba'!A:E,5,),"NO REGISTRA")</f>
        <v>OFICINA DE MERCADEO</v>
      </c>
    </row>
    <row r="1814" spans="1:5" ht="15.75" x14ac:dyDescent="0.25">
      <c r="A1814" s="10">
        <v>80234243</v>
      </c>
      <c r="B1814" s="2">
        <v>46057.793765509261</v>
      </c>
      <c r="C1814" s="3" t="str">
        <f>IFERROR(VLOOKUP(A1814,'Base Prueba'!A:C,3,),"NO REGISTRA")</f>
        <v>ARGENIS MARTINEZ MARTINEZ</v>
      </c>
      <c r="D1814" s="4" t="str">
        <f>IFERROR(VLOOKUP(A1814,'Base Prueba'!A:D,4,),"NO REGISTRA")</f>
        <v>LIDER CALL CENTER</v>
      </c>
      <c r="E1814" s="5" t="str">
        <f>IFERROR(VLOOKUP(A1814,'Base Prueba'!A:E,5,),"NO REGISTRA")</f>
        <v>OFICINA DE MERCADEO</v>
      </c>
    </row>
    <row r="1815" spans="1:5" ht="15.75" x14ac:dyDescent="0.25">
      <c r="A1815" s="10">
        <v>52175674</v>
      </c>
      <c r="B1815" s="2">
        <v>46057.8047224537</v>
      </c>
      <c r="C1815" s="3" t="str">
        <f>IFERROR(VLOOKUP(A1815,'Base Prueba'!A:C,3,),"NO REGISTRA")</f>
        <v>LUZ YANETH GOMEZ AREVALO</v>
      </c>
      <c r="D1815" s="4" t="str">
        <f>IFERROR(VLOOKUP(A1815,'Base Prueba'!A:D,4,),"NO REGISTRA")</f>
        <v>COORDINADORA DE ADMISIONES</v>
      </c>
      <c r="E1815" s="5" t="str">
        <f>IFERROR(VLOOKUP(A1815,'Base Prueba'!A:E,5,),"NO REGISTRA")</f>
        <v>OFICINA DE MERCADEO</v>
      </c>
    </row>
    <row r="1816" spans="1:5" ht="15.75" x14ac:dyDescent="0.25">
      <c r="A1816" s="10">
        <v>1000457706</v>
      </c>
      <c r="B1816" s="2">
        <v>46057.812133796295</v>
      </c>
      <c r="C1816" s="3" t="str">
        <f>IFERROR(VLOOKUP(A1816,'Base Prueba'!A:C,3,),"NO REGISTRA")</f>
        <v>CRISTIAN DANILO ARROYO SANABRIA</v>
      </c>
      <c r="D1816" s="4" t="str">
        <f>IFERROR(VLOOKUP(A1816,'Base Prueba'!A:D,4,),"NO REGISTRA")</f>
        <v>AUXILIAR CONTABLE</v>
      </c>
      <c r="E1816" s="5" t="str">
        <f>IFERROR(VLOOKUP(A1816,'Base Prueba'!A:E,5,),"NO REGISTRA")</f>
        <v>AREA FINANCIERA Y CONTABLE</v>
      </c>
    </row>
    <row r="1817" spans="1:5" ht="15.75" x14ac:dyDescent="0.25">
      <c r="A1817" s="10">
        <v>1016090131</v>
      </c>
      <c r="B1817" s="2">
        <v>46057.815833796296</v>
      </c>
      <c r="C1817" s="3" t="str">
        <f>IFERROR(VLOOKUP(A1817,'Base Prueba'!A:C,3,),"NO REGISTRA")</f>
        <v>NICOLAS RODRIGUEZ PACHECO</v>
      </c>
      <c r="D1817" s="4" t="str">
        <f>IFERROR(VLOOKUP(A1817,'Base Prueba'!A:D,4,),"NO REGISTRA")</f>
        <v>COORDINADOR DE COMUNICACIONES</v>
      </c>
      <c r="E1817" s="5" t="str">
        <f>IFERROR(VLOOKUP(A1817,'Base Prueba'!A:E,5,),"NO REGISTRA")</f>
        <v>OFICINA DE MERCADEO</v>
      </c>
    </row>
    <row r="1818" spans="1:5" ht="15.75" x14ac:dyDescent="0.25">
      <c r="A1818" s="10">
        <v>53932358</v>
      </c>
      <c r="B1818" s="2">
        <v>46057.826617708335</v>
      </c>
      <c r="C1818" s="3" t="str">
        <f>IFERROR(VLOOKUP(A1818,'Base Prueba'!A:C,3,),"NO REGISTRA")</f>
        <v>DIANA MADELEYNE GAONA RODRIGUEZ</v>
      </c>
      <c r="D1818" s="4" t="str">
        <f>IFERROR(VLOOKUP(A1818,'Base Prueba'!A:D,4,),"NO REGISTRA")</f>
        <v>CONTADOR</v>
      </c>
      <c r="E1818" s="5" t="str">
        <f>IFERROR(VLOOKUP(A1818,'Base Prueba'!A:E,5,),"NO REGISTRA")</f>
        <v>AREA FINANCIERA Y CONTABLE</v>
      </c>
    </row>
    <row r="1819" spans="1:5" ht="15.75" x14ac:dyDescent="0.25">
      <c r="A1819" s="10">
        <v>1014266838</v>
      </c>
      <c r="B1819" s="2">
        <v>46057.82666111111</v>
      </c>
      <c r="C1819" s="3" t="str">
        <f>IFERROR(VLOOKUP(A1819,'Base Prueba'!A:C,3,),"NO REGISTRA")</f>
        <v>JENNIFER ASTRID ROMERO HURTADO</v>
      </c>
      <c r="D1819" s="4" t="str">
        <f>IFERROR(VLOOKUP(A1819,'Base Prueba'!A:D,4,),"NO REGISTRA")</f>
        <v>LIDER DE RECAUDO</v>
      </c>
      <c r="E1819" s="5" t="str">
        <f>IFERROR(VLOOKUP(A1819,'Base Prueba'!A:E,5,),"NO REGISTRA")</f>
        <v>AREA FINANCIERA Y CONTABLE</v>
      </c>
    </row>
    <row r="1820" spans="1:5" ht="15.75" x14ac:dyDescent="0.25">
      <c r="A1820" s="10">
        <v>1087121273</v>
      </c>
      <c r="B1820" s="2">
        <v>46058.30893298611</v>
      </c>
      <c r="C1820" s="3" t="str">
        <f>IFERROR(VLOOKUP(A1820,'Base Prueba'!A:C,3,),"NO REGISTRA")</f>
        <v>MAYRA ALEJANDRA CASTILLO ARBOLEDA</v>
      </c>
      <c r="D1820" s="4" t="str">
        <f>IFERROR(VLOOKUP(A1820,'Base Prueba'!A:D,4,),"NO REGISTRA")</f>
        <v>APOYO INTEGRAL DE MERCADEO</v>
      </c>
      <c r="E1820" s="5" t="str">
        <f>IFERROR(VLOOKUP(A1820,'Base Prueba'!A:E,5,),"NO REGISTRA")</f>
        <v>CENTRO DE GESTION DOCUMENTAL</v>
      </c>
    </row>
    <row r="1821" spans="1:5" ht="15.75" x14ac:dyDescent="0.25">
      <c r="A1821" s="10">
        <v>1000324729</v>
      </c>
      <c r="B1821" s="2">
        <v>46058.310585879626</v>
      </c>
      <c r="C1821" s="3" t="str">
        <f>IFERROR(VLOOKUP(A1821,'Base Prueba'!A:C,3,),"NO REGISTRA")</f>
        <v>ANYIE VANESSA TINOCO CAMACHO</v>
      </c>
      <c r="D1821" s="4" t="str">
        <f>IFERROR(VLOOKUP(A1821,'Base Prueba'!A:D,4,),"NO REGISTRA")</f>
        <v>LIDER DE REGISTRO Y CONTROL</v>
      </c>
      <c r="E1821" s="5" t="str">
        <f>IFERROR(VLOOKUP(A1821,'Base Prueba'!A:E,5,),"NO REGISTRA")</f>
        <v>REGISTRO Y CONTROL ACADEMICO</v>
      </c>
    </row>
    <row r="1822" spans="1:5" ht="15.75" x14ac:dyDescent="0.25">
      <c r="A1822" s="10">
        <v>1013616244</v>
      </c>
      <c r="B1822" s="2">
        <v>46058.316712037034</v>
      </c>
      <c r="C1822" s="3" t="str">
        <f>IFERROR(VLOOKUP(A1822,'Base Prueba'!A:C,3,),"NO REGISTRA")</f>
        <v>DIANA CAROLINA MARIN BETANCOURT</v>
      </c>
      <c r="D1822" s="4" t="str">
        <f>IFERROR(VLOOKUP(A1822,'Base Prueba'!A:D,4,),"NO REGISTRA")</f>
        <v>AUXILIAR ADMINISTRATIVO</v>
      </c>
      <c r="E1822" s="5" t="str">
        <f>IFERROR(VLOOKUP(A1822,'Base Prueba'!A:E,5,),"NO REGISTRA")</f>
        <v>REGISTRO Y CONTROL ACADEMICO</v>
      </c>
    </row>
    <row r="1823" spans="1:5" ht="15.75" x14ac:dyDescent="0.25">
      <c r="A1823" s="10">
        <v>1031802160</v>
      </c>
      <c r="B1823" s="2">
        <v>46058.32669814815</v>
      </c>
      <c r="C1823" s="3" t="str">
        <f>IFERROR(VLOOKUP(A1823,'Base Prueba'!A:C,3,),"NO REGISTRA")</f>
        <v>LUISA MARIA MAHECHA SOTOMAYOR</v>
      </c>
      <c r="D1823" s="4" t="str">
        <f>IFERROR(VLOOKUP(A1823,'Base Prueba'!A:D,4,),"NO REGISTRA")</f>
        <v>APRENDIZ UNIVERSITARIO</v>
      </c>
      <c r="E1823" s="5" t="str">
        <f>IFERROR(VLOOKUP(A1823,'Base Prueba'!A:E,5,),"NO REGISTRA")</f>
        <v>OFICINA DE MERCADEO</v>
      </c>
    </row>
    <row r="1824" spans="1:5" ht="15.75" x14ac:dyDescent="0.25">
      <c r="A1824" s="10">
        <v>1000257136</v>
      </c>
      <c r="B1824" s="2">
        <v>46058.329160300927</v>
      </c>
      <c r="C1824" s="3" t="str">
        <f>IFERROR(VLOOKUP(A1824,'Base Prueba'!A:C,3,),"NO REGISTRA")</f>
        <v>FRANCI VALENTINA CANO PUENTES</v>
      </c>
      <c r="D1824" s="4" t="str">
        <f>IFERROR(VLOOKUP(A1824,'Base Prueba'!A:D,4,),"NO REGISTRA")</f>
        <v>AUXILIAR CONTABLE</v>
      </c>
      <c r="E1824" s="5" t="str">
        <f>IFERROR(VLOOKUP(A1824,'Base Prueba'!A:E,5,),"NO REGISTRA")</f>
        <v>AREA FINANCIERA Y CONTABLE</v>
      </c>
    </row>
    <row r="1825" spans="1:5" ht="15.75" x14ac:dyDescent="0.25">
      <c r="A1825" s="10">
        <v>1014308296</v>
      </c>
      <c r="B1825" s="2">
        <v>46058.329944212965</v>
      </c>
      <c r="C1825" s="3" t="str">
        <f>IFERROR(VLOOKUP(A1825,'Base Prueba'!A:C,3,),"NO REGISTRA")</f>
        <v>DARLENE YULIANA MORENO CELEITA</v>
      </c>
      <c r="D1825" s="4" t="str">
        <f>IFERROR(VLOOKUP(A1825,'Base Prueba'!A:D,4,),"NO REGISTRA")</f>
        <v>CAJERO PRINCIPAL</v>
      </c>
      <c r="E1825" s="5" t="str">
        <f>IFERROR(VLOOKUP(A1825,'Base Prueba'!A:E,5,),"NO REGISTRA")</f>
        <v>AREA FINANCIERA Y CONTABLE</v>
      </c>
    </row>
    <row r="1826" spans="1:5" ht="15.75" x14ac:dyDescent="0.25">
      <c r="A1826" s="10">
        <v>1049644802</v>
      </c>
      <c r="B1826" s="2">
        <v>46058.331023032406</v>
      </c>
      <c r="C1826" s="3" t="str">
        <f>IFERROR(VLOOKUP(A1826,'Base Prueba'!A:C,3,),"NO REGISTRA")</f>
        <v>DANIELA ALEXANDRA CIPAMOCHA BOSIGA</v>
      </c>
      <c r="D1826" s="4" t="str">
        <f>IFERROR(VLOOKUP(A1826,'Base Prueba'!A:D,4,),"NO REGISTRA")</f>
        <v>LIDER DE DATOS Y SERVICIOS</v>
      </c>
      <c r="E1826" s="5" t="str">
        <f>IFERROR(VLOOKUP(A1826,'Base Prueba'!A:E,5,),"NO REGISTRA")</f>
        <v>OFICINA DE PLANEACION Y GESTION DE LA CALIDAD</v>
      </c>
    </row>
    <row r="1827" spans="1:5" ht="15.75" x14ac:dyDescent="0.25">
      <c r="A1827" s="10">
        <v>53932358</v>
      </c>
      <c r="B1827" s="2">
        <v>46058.335170370374</v>
      </c>
      <c r="C1827" s="3" t="str">
        <f>IFERROR(VLOOKUP(A1827,'Base Prueba'!A:C,3,),"NO REGISTRA")</f>
        <v>DIANA MADELEYNE GAONA RODRIGUEZ</v>
      </c>
      <c r="D1827" s="4" t="str">
        <f>IFERROR(VLOOKUP(A1827,'Base Prueba'!A:D,4,),"NO REGISTRA")</f>
        <v>CONTADOR</v>
      </c>
      <c r="E1827" s="5" t="str">
        <f>IFERROR(VLOOKUP(A1827,'Base Prueba'!A:E,5,),"NO REGISTRA")</f>
        <v>AREA FINANCIERA Y CONTABLE</v>
      </c>
    </row>
    <row r="1828" spans="1:5" ht="15.75" x14ac:dyDescent="0.25">
      <c r="A1828" s="10">
        <v>1014977624</v>
      </c>
      <c r="B1828" s="2">
        <v>46058.33648888889</v>
      </c>
      <c r="C1828" s="3" t="str">
        <f>IFERROR(VLOOKUP(A1828,'Base Prueba'!A:C,3,),"NO REGISTRA")</f>
        <v>NICCOLE VALENTINA HERNANDEZ MALAVER</v>
      </c>
      <c r="D1828" s="4" t="str">
        <f>IFERROR(VLOOKUP(A1828,'Base Prueba'!A:D,4,),"NO REGISTRA")</f>
        <v>APRENDIZ UNIVERSITARIO</v>
      </c>
      <c r="E1828" s="5" t="str">
        <f>IFERROR(VLOOKUP(A1828,'Base Prueba'!A:E,5,),"NO REGISTRA")</f>
        <v>AREA FINANCIERA Y CONTABLE</v>
      </c>
    </row>
    <row r="1829" spans="1:5" ht="15.75" x14ac:dyDescent="0.25">
      <c r="A1829" s="10">
        <v>1000687931</v>
      </c>
      <c r="B1829" s="2">
        <v>46058.33969050926</v>
      </c>
      <c r="C1829" s="3" t="str">
        <f>IFERROR(VLOOKUP(A1829,'Base Prueba'!A:C,3,),"NO REGISTRA")</f>
        <v>ANDRES FELIPE PUENTES TORRES</v>
      </c>
      <c r="D1829" s="4" t="str">
        <f>IFERROR(VLOOKUP(A1829,'Base Prueba'!A:D,4,),"NO REGISTRA")</f>
        <v>AUXILIAR ADMINISTRATIVO</v>
      </c>
      <c r="E1829" s="5" t="str">
        <f>IFERROR(VLOOKUP(A1829,'Base Prueba'!A:E,5,),"NO REGISTRA")</f>
        <v>REGISTRO Y CONTROL ACADEMICO</v>
      </c>
    </row>
    <row r="1830" spans="1:5" ht="15.75" x14ac:dyDescent="0.25">
      <c r="A1830" s="10">
        <v>1023883232</v>
      </c>
      <c r="B1830" s="2">
        <v>46058.343311805555</v>
      </c>
      <c r="C1830" s="3" t="str">
        <f>IFERROR(VLOOKUP(A1830,'Base Prueba'!A:C,3,),"NO REGISTRA")</f>
        <v>MONICA ANDREA ACERO URBANO</v>
      </c>
      <c r="D1830" s="4" t="str">
        <f>IFERROR(VLOOKUP(A1830,'Base Prueba'!A:D,4,),"NO REGISTRA")</f>
        <v>APOYO INTEGRAL A GESTION HUMANA</v>
      </c>
      <c r="E1830" s="5" t="str">
        <f>IFERROR(VLOOKUP(A1830,'Base Prueba'!A:E,5,),"NO REGISTRA")</f>
        <v>DEPARTAMENTO DE GESTION HUMANA</v>
      </c>
    </row>
    <row r="1831" spans="1:5" ht="15.75" x14ac:dyDescent="0.25">
      <c r="A1831" s="10">
        <v>1193457976</v>
      </c>
      <c r="B1831" s="2">
        <v>46058.343594212965</v>
      </c>
      <c r="C1831" s="3" t="str">
        <f>IFERROR(VLOOKUP(A1831,'Base Prueba'!A:C,3,),"NO REGISTRA")</f>
        <v>SEDENIS RIVAS ASPRILLA</v>
      </c>
      <c r="D1831" s="4" t="str">
        <f>IFERROR(VLOOKUP(A1831,'Base Prueba'!A:D,4,),"NO REGISTRA")</f>
        <v>APRENDIZ UNIVERSITARIO</v>
      </c>
      <c r="E1831" s="5" t="str">
        <f>IFERROR(VLOOKUP(A1831,'Base Prueba'!A:E,5,),"NO REGISTRA")</f>
        <v>DEPARTAMENTO DE GESTION HUMANA</v>
      </c>
    </row>
    <row r="1832" spans="1:5" ht="15.75" x14ac:dyDescent="0.25">
      <c r="A1832" s="10">
        <v>28798349</v>
      </c>
      <c r="B1832" s="2">
        <v>46058.347018518522</v>
      </c>
      <c r="C1832" s="3" t="str">
        <f>IFERROR(VLOOKUP(A1832,'Base Prueba'!A:C,3,),"NO REGISTRA")</f>
        <v>MARTHA ISABEL TOVAR WILLIAMS</v>
      </c>
      <c r="D1832" s="4" t="str">
        <f>IFERROR(VLOOKUP(A1832,'Base Prueba'!A:D,4,),"NO REGISTRA")</f>
        <v>PROMOTOR CALL CENTER</v>
      </c>
      <c r="E1832" s="5" t="str">
        <f>IFERROR(VLOOKUP(A1832,'Base Prueba'!A:E,5,),"NO REGISTRA")</f>
        <v>OFICINA DE MERCADEO</v>
      </c>
    </row>
    <row r="1833" spans="1:5" ht="15.75" x14ac:dyDescent="0.25">
      <c r="A1833" s="10">
        <v>1000593372</v>
      </c>
      <c r="B1833" s="2">
        <v>46058.347970370371</v>
      </c>
      <c r="C1833" s="3" t="str">
        <f>IFERROR(VLOOKUP(A1833,'Base Prueba'!A:C,3,),"NO REGISTRA")</f>
        <v>LAURA SOFIA CHAPARRO LOPEZ</v>
      </c>
      <c r="D1833" s="4" t="str">
        <f>IFERROR(VLOOKUP(A1833,'Base Prueba'!A:D,4,),"NO REGISTRA")</f>
        <v>AUXILIAR JURIDICO</v>
      </c>
      <c r="E1833" s="5" t="str">
        <f>IFERROR(VLOOKUP(A1833,'Base Prueba'!A:E,5,),"NO REGISTRA")</f>
        <v>SECRETARIA GENERAL</v>
      </c>
    </row>
    <row r="1834" spans="1:5" ht="15.75" x14ac:dyDescent="0.25">
      <c r="A1834" s="10">
        <v>1000604979</v>
      </c>
      <c r="B1834" s="2">
        <v>46058.348103240744</v>
      </c>
      <c r="C1834" s="3" t="str">
        <f>IFERROR(VLOOKUP(A1834,'Base Prueba'!A:C,3,),"NO REGISTRA")</f>
        <v>JULIETH TATIANA PARDO PINTO</v>
      </c>
      <c r="D1834" s="4" t="str">
        <f>IFERROR(VLOOKUP(A1834,'Base Prueba'!A:D,4,),"NO REGISTRA")</f>
        <v>AUXILIAR JURIDICO</v>
      </c>
      <c r="E1834" s="5" t="str">
        <f>IFERROR(VLOOKUP(A1834,'Base Prueba'!A:E,5,),"NO REGISTRA")</f>
        <v>SECRETARIA GENERAL</v>
      </c>
    </row>
    <row r="1835" spans="1:5" ht="15.75" x14ac:dyDescent="0.25">
      <c r="A1835" s="10">
        <v>1000457706</v>
      </c>
      <c r="B1835" s="2">
        <v>46058.353171643517</v>
      </c>
      <c r="C1835" s="3" t="str">
        <f>IFERROR(VLOOKUP(A1835,'Base Prueba'!A:C,3,),"NO REGISTRA")</f>
        <v>CRISTIAN DANILO ARROYO SANABRIA</v>
      </c>
      <c r="D1835" s="4" t="str">
        <f>IFERROR(VLOOKUP(A1835,'Base Prueba'!A:D,4,),"NO REGISTRA")</f>
        <v>AUXILIAR CONTABLE</v>
      </c>
      <c r="E1835" s="5" t="str">
        <f>IFERROR(VLOOKUP(A1835,'Base Prueba'!A:E,5,),"NO REGISTRA")</f>
        <v>AREA FINANCIERA Y CONTABLE</v>
      </c>
    </row>
    <row r="1836" spans="1:5" ht="15.75" x14ac:dyDescent="0.25">
      <c r="A1836" s="10">
        <v>1003690253</v>
      </c>
      <c r="B1836" s="2">
        <v>46058.355296759262</v>
      </c>
      <c r="C1836" s="3" t="str">
        <f>IFERROR(VLOOKUP(A1836,'Base Prueba'!A:C,3,),"NO REGISTRA")</f>
        <v>MELISSA GONZALEZ PEDRAZA</v>
      </c>
      <c r="D1836" s="4" t="str">
        <f>IFERROR(VLOOKUP(A1836,'Base Prueba'!A:D,4,),"NO REGISTRA")</f>
        <v>LIDER DE JOVENES A LA E</v>
      </c>
      <c r="E1836" s="5" t="str">
        <f>IFERROR(VLOOKUP(A1836,'Base Prueba'!A:E,5,),"NO REGISTRA")</f>
        <v>DIRECCION DE BIENESTAR INSTITUCIONAL</v>
      </c>
    </row>
    <row r="1837" spans="1:5" ht="15.75" x14ac:dyDescent="0.25">
      <c r="A1837" s="10">
        <v>52472386</v>
      </c>
      <c r="B1837" s="2">
        <v>46058.359143634261</v>
      </c>
      <c r="C1837" s="3" t="str">
        <f>IFERROR(VLOOKUP(A1837,'Base Prueba'!A:C,3,),"NO REGISTRA")</f>
        <v>ADRIANA MARCELA MORALES PARDO</v>
      </c>
      <c r="D1837" s="4" t="str">
        <f>IFERROR(VLOOKUP(A1837,'Base Prueba'!A:D,4,),"NO REGISTRA")</f>
        <v>PROMOTOR CALL CENTER</v>
      </c>
      <c r="E1837" s="5" t="str">
        <f>IFERROR(VLOOKUP(A1837,'Base Prueba'!A:E,5,),"NO REGISTRA")</f>
        <v>OFICINA DE MERCADEO</v>
      </c>
    </row>
    <row r="1838" spans="1:5" ht="15.75" x14ac:dyDescent="0.25">
      <c r="A1838" s="10">
        <v>80234243</v>
      </c>
      <c r="B1838" s="2">
        <v>46058.361961458337</v>
      </c>
      <c r="C1838" s="3" t="str">
        <f>IFERROR(VLOOKUP(A1838,'Base Prueba'!A:C,3,),"NO REGISTRA")</f>
        <v>ARGENIS MARTINEZ MARTINEZ</v>
      </c>
      <c r="D1838" s="4" t="str">
        <f>IFERROR(VLOOKUP(A1838,'Base Prueba'!A:D,4,),"NO REGISTRA")</f>
        <v>LIDER CALL CENTER</v>
      </c>
      <c r="E1838" s="5" t="str">
        <f>IFERROR(VLOOKUP(A1838,'Base Prueba'!A:E,5,),"NO REGISTRA")</f>
        <v>OFICINA DE MERCADEO</v>
      </c>
    </row>
    <row r="1839" spans="1:5" ht="15.75" x14ac:dyDescent="0.25">
      <c r="A1839" s="10">
        <v>1024505434</v>
      </c>
      <c r="B1839" s="2">
        <v>46058.36399189815</v>
      </c>
      <c r="C1839" s="3" t="str">
        <f>IFERROR(VLOOKUP(A1839,'Base Prueba'!A:C,3,),"NO REGISTRA")</f>
        <v>CRISTIAN ALBERTO MELO TORRES</v>
      </c>
      <c r="D1839" s="4" t="str">
        <f>IFERROR(VLOOKUP(A1839,'Base Prueba'!A:D,4,),"NO REGISTRA")</f>
        <v>COORDINADOR DE INFRAESTRUCTURA</v>
      </c>
      <c r="E1839" s="5" t="str">
        <f>IFERROR(VLOOKUP(A1839,'Base Prueba'!A:E,5,),"NO REGISTRA")</f>
        <v>VICERRECTORIA ADMINISTRATIVA Y FINANCIERA</v>
      </c>
    </row>
    <row r="1840" spans="1:5" ht="15.75" x14ac:dyDescent="0.25">
      <c r="A1840" s="10">
        <v>1019105003</v>
      </c>
      <c r="B1840" s="2">
        <v>46058.364356365739</v>
      </c>
      <c r="C1840" s="3" t="str">
        <f>IFERROR(VLOOKUP(A1840,'Base Prueba'!A:C,3,),"NO REGISTRA")</f>
        <v>DAISY JULIETH GASPAR MORENO</v>
      </c>
      <c r="D1840" s="4" t="str">
        <f>IFERROR(VLOOKUP(A1840,'Base Prueba'!A:D,4,),"NO REGISTRA")</f>
        <v>PROMOTOR CALL CENTER</v>
      </c>
      <c r="E1840" s="5" t="str">
        <f>IFERROR(VLOOKUP(A1840,'Base Prueba'!A:E,5,),"NO REGISTRA")</f>
        <v>OFICINA DE MERCADEO</v>
      </c>
    </row>
    <row r="1841" spans="1:5" ht="15.75" x14ac:dyDescent="0.25">
      <c r="A1841" s="10">
        <v>1018413529</v>
      </c>
      <c r="B1841" s="2">
        <v>46058.364448148146</v>
      </c>
      <c r="C1841" s="3" t="str">
        <f>IFERROR(VLOOKUP(A1841,'Base Prueba'!A:C,3,),"NO REGISTRA")</f>
        <v>FRANCY STELLA CHARRY MORENO</v>
      </c>
      <c r="D1841" s="4" t="str">
        <f>IFERROR(VLOOKUP(A1841,'Base Prueba'!A:D,4,),"NO REGISTRA")</f>
        <v>PROMOTOR COMERCIAL DEL CEA</v>
      </c>
      <c r="E1841" s="5" t="str">
        <f>IFERROR(VLOOKUP(A1841,'Base Prueba'!A:E,5,),"NO REGISTRA")</f>
        <v>OFICINA DE MERCADEO</v>
      </c>
    </row>
    <row r="1842" spans="1:5" ht="15.75" x14ac:dyDescent="0.25">
      <c r="A1842" s="10">
        <v>1032407386</v>
      </c>
      <c r="B1842" s="2">
        <v>46058.37071354167</v>
      </c>
      <c r="C1842" s="3" t="str">
        <f>IFERROR(VLOOKUP(A1842,'Base Prueba'!A:C,3,),"NO REGISTRA")</f>
        <v>GINA PAOLA BAEZ GALVIS</v>
      </c>
      <c r="D1842" s="4" t="str">
        <f>IFERROR(VLOOKUP(A1842,'Base Prueba'!A:D,4,),"NO REGISTRA")</f>
        <v>PROMOTOR CALL CENTER</v>
      </c>
      <c r="E1842" s="5" t="str">
        <f>IFERROR(VLOOKUP(A1842,'Base Prueba'!A:E,5,),"NO REGISTRA")</f>
        <v>OFICINA DE MERCADEO</v>
      </c>
    </row>
    <row r="1843" spans="1:5" ht="15.75" x14ac:dyDescent="0.25">
      <c r="A1843" s="10">
        <v>52764929</v>
      </c>
      <c r="B1843" s="2">
        <v>46058.373834953702</v>
      </c>
      <c r="C1843" s="3" t="str">
        <f>IFERROR(VLOOKUP(A1843,'Base Prueba'!A:C,3,),"NO REGISTRA")</f>
        <v>GUERLY YOHANA DURAN RIVERA</v>
      </c>
      <c r="D1843" s="4" t="str">
        <f>IFERROR(VLOOKUP(A1843,'Base Prueba'!A:D,4,),"NO REGISTRA")</f>
        <v>LIDER DE VINCULACION COLEGIOS</v>
      </c>
      <c r="E1843" s="5" t="str">
        <f>IFERROR(VLOOKUP(A1843,'Base Prueba'!A:E,5,),"NO REGISTRA")</f>
        <v>OFICINA DE MERCADEO</v>
      </c>
    </row>
    <row r="1844" spans="1:5" ht="15.75" x14ac:dyDescent="0.25">
      <c r="A1844" s="10">
        <v>1016090131</v>
      </c>
      <c r="B1844" s="2">
        <v>46058.37439016204</v>
      </c>
      <c r="C1844" s="3" t="str">
        <f>IFERROR(VLOOKUP(A1844,'Base Prueba'!A:C,3,),"NO REGISTRA")</f>
        <v>NICOLAS RODRIGUEZ PACHECO</v>
      </c>
      <c r="D1844" s="4" t="str">
        <f>IFERROR(VLOOKUP(A1844,'Base Prueba'!A:D,4,),"NO REGISTRA")</f>
        <v>COORDINADOR DE COMUNICACIONES</v>
      </c>
      <c r="E1844" s="5" t="str">
        <f>IFERROR(VLOOKUP(A1844,'Base Prueba'!A:E,5,),"NO REGISTRA")</f>
        <v>OFICINA DE MERCADEO</v>
      </c>
    </row>
    <row r="1845" spans="1:5" ht="15.75" x14ac:dyDescent="0.25">
      <c r="A1845" s="10">
        <v>1018414290</v>
      </c>
      <c r="B1845" s="2">
        <v>46058.374823611113</v>
      </c>
      <c r="C1845" s="3" t="str">
        <f>IFERROR(VLOOKUP(A1845,'Base Prueba'!A:C,3,),"NO REGISTRA")</f>
        <v>AMANDA LISBETH RODRIGUEZ LEON</v>
      </c>
      <c r="D1845" s="4" t="str">
        <f>IFERROR(VLOOKUP(A1845,'Base Prueba'!A:D,4,),"NO REGISTRA")</f>
        <v>PROMOTOR CALL CENTER</v>
      </c>
      <c r="E1845" s="5" t="str">
        <f>IFERROR(VLOOKUP(A1845,'Base Prueba'!A:E,5,),"NO REGISTRA")</f>
        <v>OFICINA DE MERCADEO</v>
      </c>
    </row>
    <row r="1846" spans="1:5" ht="15.75" x14ac:dyDescent="0.25">
      <c r="A1846" s="10">
        <v>1012426741</v>
      </c>
      <c r="B1846" s="2">
        <v>46058.375985416664</v>
      </c>
      <c r="C1846" s="3" t="str">
        <f>IFERROR(VLOOKUP(A1846,'Base Prueba'!A:C,3,),"NO REGISTRA")</f>
        <v>CRISTIAN FABIAN ROJAS SANCENO</v>
      </c>
      <c r="D1846" s="4" t="str">
        <f>IFERROR(VLOOKUP(A1846,'Base Prueba'!A:D,4,),"NO REGISTRA")</f>
        <v>AUXILIAR DE REINTEGROS</v>
      </c>
      <c r="E1846" s="5" t="str">
        <f>IFERROR(VLOOKUP(A1846,'Base Prueba'!A:E,5,),"NO REGISTRA")</f>
        <v>DIRECCION DE BIENESTAR INSTITUCIONAL</v>
      </c>
    </row>
    <row r="1847" spans="1:5" ht="15.75" x14ac:dyDescent="0.25">
      <c r="A1847" s="10">
        <v>53089882</v>
      </c>
      <c r="B1847" s="2">
        <v>46058.376711805555</v>
      </c>
      <c r="C1847" s="3" t="str">
        <f>IFERROR(VLOOKUP(A1847,'Base Prueba'!A:C,3,),"NO REGISTRA")</f>
        <v>MARIA JOHANA ESCAMILLA MARTINEZ</v>
      </c>
      <c r="D1847" s="4" t="str">
        <f>IFERROR(VLOOKUP(A1847,'Base Prueba'!A:D,4,),"NO REGISTRA")</f>
        <v>PROMOTOR DE INFORMACIÓN</v>
      </c>
      <c r="E1847" s="5" t="str">
        <f>IFERROR(VLOOKUP(A1847,'Base Prueba'!A:E,5,),"NO REGISTRA")</f>
        <v>OFICINA DE MERCADEO</v>
      </c>
    </row>
    <row r="1848" spans="1:5" ht="15.75" x14ac:dyDescent="0.25">
      <c r="A1848" s="10">
        <v>1033709056</v>
      </c>
      <c r="B1848" s="2">
        <v>46058.377908101851</v>
      </c>
      <c r="C1848" s="3" t="str">
        <f>IFERROR(VLOOKUP(A1848,'Base Prueba'!A:C,3,),"NO REGISTRA")</f>
        <v>YEIMY ALEXANDRA RODRIGUEZ PALACIO</v>
      </c>
      <c r="D1848" s="4" t="str">
        <f>IFERROR(VLOOKUP(A1848,'Base Prueba'!A:D,4,),"NO REGISTRA")</f>
        <v>PROMOTOR CALL CENTER</v>
      </c>
      <c r="E1848" s="5" t="str">
        <f>IFERROR(VLOOKUP(A1848,'Base Prueba'!A:E,5,),"NO REGISTRA")</f>
        <v>OFICINA DE MERCADEO</v>
      </c>
    </row>
    <row r="1849" spans="1:5" ht="15.75" x14ac:dyDescent="0.25">
      <c r="A1849" s="10">
        <v>1014196857</v>
      </c>
      <c r="B1849" s="2">
        <v>46058.382562037033</v>
      </c>
      <c r="C1849" s="3" t="str">
        <f>IFERROR(VLOOKUP(A1849,'Base Prueba'!A:C,3,),"NO REGISTRA")</f>
        <v>CARLOS ANDRES JIMENEZ PARDO</v>
      </c>
      <c r="D1849" s="4" t="str">
        <f>IFERROR(VLOOKUP(A1849,'Base Prueba'!A:D,4,),"NO REGISTRA")</f>
        <v>COORDINADOR DE MARKETING DIGITAL</v>
      </c>
      <c r="E1849" s="5" t="str">
        <f>IFERROR(VLOOKUP(A1849,'Base Prueba'!A:E,5,),"NO REGISTRA")</f>
        <v>OFICINA DE MERCADEO</v>
      </c>
    </row>
    <row r="1850" spans="1:5" ht="15.75" x14ac:dyDescent="0.25">
      <c r="A1850" s="10">
        <v>52175674</v>
      </c>
      <c r="B1850" s="2">
        <v>46058.38435601852</v>
      </c>
      <c r="C1850" s="3" t="str">
        <f>IFERROR(VLOOKUP(A1850,'Base Prueba'!A:C,3,),"NO REGISTRA")</f>
        <v>LUZ YANETH GOMEZ AREVALO</v>
      </c>
      <c r="D1850" s="4" t="str">
        <f>IFERROR(VLOOKUP(A1850,'Base Prueba'!A:D,4,),"NO REGISTRA")</f>
        <v>COORDINADORA DE ADMISIONES</v>
      </c>
      <c r="E1850" s="5" t="str">
        <f>IFERROR(VLOOKUP(A1850,'Base Prueba'!A:E,5,),"NO REGISTRA")</f>
        <v>OFICINA DE MERCADEO</v>
      </c>
    </row>
    <row r="1851" spans="1:5" ht="15.75" x14ac:dyDescent="0.25">
      <c r="A1851" s="10">
        <v>1000593372</v>
      </c>
      <c r="B1851" s="2">
        <v>46058.551190972219</v>
      </c>
      <c r="C1851" s="3" t="str">
        <f>IFERROR(VLOOKUP(A1851,'Base Prueba'!A:C,3,),"NO REGISTRA")</f>
        <v>LAURA SOFIA CHAPARRO LOPEZ</v>
      </c>
      <c r="D1851" s="4" t="str">
        <f>IFERROR(VLOOKUP(A1851,'Base Prueba'!A:D,4,),"NO REGISTRA")</f>
        <v>AUXILIAR JURIDICO</v>
      </c>
      <c r="E1851" s="5" t="str">
        <f>IFERROR(VLOOKUP(A1851,'Base Prueba'!A:E,5,),"NO REGISTRA")</f>
        <v>SECRETARIA GENERAL</v>
      </c>
    </row>
    <row r="1852" spans="1:5" ht="15.75" x14ac:dyDescent="0.25">
      <c r="A1852" s="10">
        <v>52443092</v>
      </c>
      <c r="B1852" s="2">
        <v>46058.582424884262</v>
      </c>
      <c r="C1852" s="3" t="str">
        <f>IFERROR(VLOOKUP(A1852,'Base Prueba'!A:C,3,),"NO REGISTRA")</f>
        <v>LUZ MYRIAM SAAVEDRA CONTRERAS</v>
      </c>
      <c r="D1852" s="4" t="str">
        <f>IFERROR(VLOOKUP(A1852,'Base Prueba'!A:D,4,),"NO REGISTRA")</f>
        <v>AUXILIAR DE SERVICIOS</v>
      </c>
      <c r="E1852" s="5" t="str">
        <f>IFERROR(VLOOKUP(A1852,'Base Prueba'!A:E,5,),"NO REGISTRA")</f>
        <v>LOGISTICA Y SERVICIOS GENERALES</v>
      </c>
    </row>
    <row r="1853" spans="1:5" ht="15.75" x14ac:dyDescent="0.25">
      <c r="A1853" s="10">
        <v>1031802160</v>
      </c>
      <c r="B1853" s="2">
        <v>46058.706261342595</v>
      </c>
      <c r="C1853" s="3" t="str">
        <f>IFERROR(VLOOKUP(A1853,'Base Prueba'!A:C,3,),"NO REGISTRA")</f>
        <v>LUISA MARIA MAHECHA SOTOMAYOR</v>
      </c>
      <c r="D1853" s="4" t="str">
        <f>IFERROR(VLOOKUP(A1853,'Base Prueba'!A:D,4,),"NO REGISTRA")</f>
        <v>APRENDIZ UNIVERSITARIO</v>
      </c>
      <c r="E1853" s="5" t="str">
        <f>IFERROR(VLOOKUP(A1853,'Base Prueba'!A:E,5,),"NO REGISTRA")</f>
        <v>OFICINA DE MERCADEO</v>
      </c>
    </row>
    <row r="1854" spans="1:5" ht="15.75" x14ac:dyDescent="0.25">
      <c r="A1854" s="10">
        <v>1000687931</v>
      </c>
      <c r="B1854" s="2">
        <v>46058.709800462966</v>
      </c>
      <c r="C1854" s="3" t="str">
        <f>IFERROR(VLOOKUP(A1854,'Base Prueba'!A:C,3,),"NO REGISTRA")</f>
        <v>ANDRES FELIPE PUENTES TORRES</v>
      </c>
      <c r="D1854" s="4" t="str">
        <f>IFERROR(VLOOKUP(A1854,'Base Prueba'!A:D,4,),"NO REGISTRA")</f>
        <v>AUXILIAR ADMINISTRATIVO</v>
      </c>
      <c r="E1854" s="5" t="str">
        <f>IFERROR(VLOOKUP(A1854,'Base Prueba'!A:E,5,),"NO REGISTRA")</f>
        <v>REGISTRO Y CONTROL ACADEMICO</v>
      </c>
    </row>
    <row r="1855" spans="1:5" ht="15.75" x14ac:dyDescent="0.25">
      <c r="A1855" s="10">
        <v>1087121273</v>
      </c>
      <c r="B1855" s="2">
        <v>46058.720441203703</v>
      </c>
      <c r="C1855" s="3" t="str">
        <f>IFERROR(VLOOKUP(A1855,'Base Prueba'!A:C,3,),"NO REGISTRA")</f>
        <v>MAYRA ALEJANDRA CASTILLO ARBOLEDA</v>
      </c>
      <c r="D1855" s="4" t="str">
        <f>IFERROR(VLOOKUP(A1855,'Base Prueba'!A:D,4,),"NO REGISTRA")</f>
        <v>APOYO INTEGRAL DE MERCADEO</v>
      </c>
      <c r="E1855" s="5" t="str">
        <f>IFERROR(VLOOKUP(A1855,'Base Prueba'!A:E,5,),"NO REGISTRA")</f>
        <v>CENTRO DE GESTION DOCUMENTAL</v>
      </c>
    </row>
    <row r="1856" spans="1:5" ht="15.75" x14ac:dyDescent="0.25">
      <c r="A1856" s="10">
        <v>1049644802</v>
      </c>
      <c r="B1856" s="2">
        <v>46058.723624421298</v>
      </c>
      <c r="C1856" s="3" t="str">
        <f>IFERROR(VLOOKUP(A1856,'Base Prueba'!A:C,3,),"NO REGISTRA")</f>
        <v>DANIELA ALEXANDRA CIPAMOCHA BOSIGA</v>
      </c>
      <c r="D1856" s="4" t="str">
        <f>IFERROR(VLOOKUP(A1856,'Base Prueba'!A:D,4,),"NO REGISTRA")</f>
        <v>LIDER DE DATOS Y SERVICIOS</v>
      </c>
      <c r="E1856" s="5" t="str">
        <f>IFERROR(VLOOKUP(A1856,'Base Prueba'!A:E,5,),"NO REGISTRA")</f>
        <v>OFICINA DE PLANEACION Y GESTION DE LA CALIDAD</v>
      </c>
    </row>
    <row r="1857" spans="1:5" ht="15.75" x14ac:dyDescent="0.25">
      <c r="A1857" s="10">
        <v>1000604979</v>
      </c>
      <c r="B1857" s="2">
        <v>46058.74549548611</v>
      </c>
      <c r="C1857" s="3" t="str">
        <f>IFERROR(VLOOKUP(A1857,'Base Prueba'!A:C,3,),"NO REGISTRA")</f>
        <v>JULIETH TATIANA PARDO PINTO</v>
      </c>
      <c r="D1857" s="4" t="str">
        <f>IFERROR(VLOOKUP(A1857,'Base Prueba'!A:D,4,),"NO REGISTRA")</f>
        <v>AUXILIAR JURIDICO</v>
      </c>
      <c r="E1857" s="5" t="str">
        <f>IFERROR(VLOOKUP(A1857,'Base Prueba'!A:E,5,),"NO REGISTRA")</f>
        <v>SECRETARIA GENERAL</v>
      </c>
    </row>
    <row r="1858" spans="1:5" ht="15.75" x14ac:dyDescent="0.25">
      <c r="A1858" s="10">
        <v>1012426741</v>
      </c>
      <c r="B1858" s="2">
        <v>46058.750961458332</v>
      </c>
      <c r="C1858" s="3" t="str">
        <f>IFERROR(VLOOKUP(A1858,'Base Prueba'!A:C,3,),"NO REGISTRA")</f>
        <v>CRISTIAN FABIAN ROJAS SANCENO</v>
      </c>
      <c r="D1858" s="4" t="str">
        <f>IFERROR(VLOOKUP(A1858,'Base Prueba'!A:D,4,),"NO REGISTRA")</f>
        <v>AUXILIAR DE REINTEGROS</v>
      </c>
      <c r="E1858" s="5" t="str">
        <f>IFERROR(VLOOKUP(A1858,'Base Prueba'!A:E,5,),"NO REGISTRA")</f>
        <v>DIRECCION DE BIENESTAR INSTITUCIONAL</v>
      </c>
    </row>
    <row r="1859" spans="1:5" ht="15.75" x14ac:dyDescent="0.25">
      <c r="A1859" s="10">
        <v>1193457976</v>
      </c>
      <c r="B1859" s="2">
        <v>46058.751325231482</v>
      </c>
      <c r="C1859" s="3" t="str">
        <f>IFERROR(VLOOKUP(A1859,'Base Prueba'!A:C,3,),"NO REGISTRA")</f>
        <v>SEDENIS RIVAS ASPRILLA</v>
      </c>
      <c r="D1859" s="4" t="str">
        <f>IFERROR(VLOOKUP(A1859,'Base Prueba'!A:D,4,),"NO REGISTRA")</f>
        <v>APRENDIZ UNIVERSITARIO</v>
      </c>
      <c r="E1859" s="5" t="str">
        <f>IFERROR(VLOOKUP(A1859,'Base Prueba'!A:E,5,),"NO REGISTRA")</f>
        <v>DEPARTAMENTO DE GESTION HUMANA</v>
      </c>
    </row>
    <row r="1860" spans="1:5" ht="15.75" x14ac:dyDescent="0.25">
      <c r="A1860" s="10">
        <v>1014308296</v>
      </c>
      <c r="B1860" s="2">
        <v>46058.751468287039</v>
      </c>
      <c r="C1860" s="3" t="str">
        <f>IFERROR(VLOOKUP(A1860,'Base Prueba'!A:C,3,),"NO REGISTRA")</f>
        <v>DARLENE YULIANA MORENO CELEITA</v>
      </c>
      <c r="D1860" s="4" t="str">
        <f>IFERROR(VLOOKUP(A1860,'Base Prueba'!A:D,4,),"NO REGISTRA")</f>
        <v>CAJERO PRINCIPAL</v>
      </c>
      <c r="E1860" s="5" t="str">
        <f>IFERROR(VLOOKUP(A1860,'Base Prueba'!A:E,5,),"NO REGISTRA")</f>
        <v>AREA FINANCIERA Y CONTABLE</v>
      </c>
    </row>
    <row r="1861" spans="1:5" ht="15.75" x14ac:dyDescent="0.25">
      <c r="A1861" s="10">
        <v>1000467399</v>
      </c>
      <c r="B1861" s="2">
        <v>46058.751641087962</v>
      </c>
      <c r="C1861" s="3" t="str">
        <f>IFERROR(VLOOKUP(A1861,'Base Prueba'!A:C,3,),"NO REGISTRA")</f>
        <v>BRANDO ESTIVEN DIAZ QUIMBAYA</v>
      </c>
      <c r="D1861" s="4" t="str">
        <f>IFERROR(VLOOKUP(A1861,'Base Prueba'!A:D,4,),"NO REGISTRA")</f>
        <v>APRENDIZ UNIVERSITARIO</v>
      </c>
      <c r="E1861" s="5" t="str">
        <f>IFERROR(VLOOKUP(A1861,'Base Prueba'!A:E,5,),"NO REGISTRA")</f>
        <v>DEPARTAMENTO DE GESTION HUMANA</v>
      </c>
    </row>
    <row r="1862" spans="1:5" ht="15.75" x14ac:dyDescent="0.25">
      <c r="A1862" s="10">
        <v>1026599257</v>
      </c>
      <c r="B1862" s="2">
        <v>46058.752563425929</v>
      </c>
      <c r="C1862" s="3" t="str">
        <f>IFERROR(VLOOKUP(A1862,'Base Prueba'!A:C,3,),"NO REGISTRA")</f>
        <v>YESENIA PAOLA PINEDA HURTADO</v>
      </c>
      <c r="D1862" s="4" t="str">
        <f>IFERROR(VLOOKUP(A1862,'Base Prueba'!A:D,4,),"NO REGISTRA")</f>
        <v>LIDER DE COMPRAS</v>
      </c>
      <c r="E1862" s="5" t="str">
        <f>IFERROR(VLOOKUP(A1862,'Base Prueba'!A:E,5,),"NO REGISTRA")</f>
        <v>AREA ADMINISTRATIVA</v>
      </c>
    </row>
    <row r="1863" spans="1:5" ht="15.75" x14ac:dyDescent="0.25">
      <c r="A1863" s="10">
        <v>1023883232</v>
      </c>
      <c r="B1863" s="2">
        <v>46058.752768865743</v>
      </c>
      <c r="C1863" s="3" t="str">
        <f>IFERROR(VLOOKUP(A1863,'Base Prueba'!A:C,3,),"NO REGISTRA")</f>
        <v>MONICA ANDREA ACERO URBANO</v>
      </c>
      <c r="D1863" s="4" t="str">
        <f>IFERROR(VLOOKUP(A1863,'Base Prueba'!A:D,4,),"NO REGISTRA")</f>
        <v>APOYO INTEGRAL A GESTION HUMANA</v>
      </c>
      <c r="E1863" s="5" t="str">
        <f>IFERROR(VLOOKUP(A1863,'Base Prueba'!A:E,5,),"NO REGISTRA")</f>
        <v>DEPARTAMENTO DE GESTION HUMANA</v>
      </c>
    </row>
    <row r="1864" spans="1:5" ht="15.75" x14ac:dyDescent="0.25">
      <c r="A1864" s="10">
        <v>1022996882</v>
      </c>
      <c r="B1864" s="2">
        <v>46058.753053472225</v>
      </c>
      <c r="C1864" s="3" t="str">
        <f>IFERROR(VLOOKUP(A1864,'Base Prueba'!A:C,3,),"NO REGISTRA")</f>
        <v>NANCY BRIGITH ALDANA GUEVARA</v>
      </c>
      <c r="D1864" s="4" t="str">
        <f>IFERROR(VLOOKUP(A1864,'Base Prueba'!A:D,4,),"NO REGISTRA")</f>
        <v>COORDINADORA DE GESTIÓN HUMANA</v>
      </c>
      <c r="E1864" s="5" t="str">
        <f>IFERROR(VLOOKUP(A1864,'Base Prueba'!A:E,5,),"NO REGISTRA")</f>
        <v>DEPARTAMENTO DE GESTION HUMANA</v>
      </c>
    </row>
    <row r="1865" spans="1:5" ht="15.75" x14ac:dyDescent="0.25">
      <c r="A1865" s="10">
        <v>1019105003</v>
      </c>
      <c r="B1865" s="2">
        <v>46058.753922337964</v>
      </c>
      <c r="C1865" s="3" t="str">
        <f>IFERROR(VLOOKUP(A1865,'Base Prueba'!A:C,3,),"NO REGISTRA")</f>
        <v>DAISY JULIETH GASPAR MORENO</v>
      </c>
      <c r="D1865" s="4" t="str">
        <f>IFERROR(VLOOKUP(A1865,'Base Prueba'!A:D,4,),"NO REGISTRA")</f>
        <v>PROMOTOR CALL CENTER</v>
      </c>
      <c r="E1865" s="5" t="str">
        <f>IFERROR(VLOOKUP(A1865,'Base Prueba'!A:E,5,),"NO REGISTRA")</f>
        <v>OFICINA DE MERCADEO</v>
      </c>
    </row>
    <row r="1866" spans="1:5" ht="15.75" x14ac:dyDescent="0.25">
      <c r="A1866" s="10">
        <v>1032407386</v>
      </c>
      <c r="B1866" s="2">
        <v>46058.754136805554</v>
      </c>
      <c r="C1866" s="3" t="str">
        <f>IFERROR(VLOOKUP(A1866,'Base Prueba'!A:C,3,),"NO REGISTRA")</f>
        <v>GINA PAOLA BAEZ GALVIS</v>
      </c>
      <c r="D1866" s="4" t="str">
        <f>IFERROR(VLOOKUP(A1866,'Base Prueba'!A:D,4,),"NO REGISTRA")</f>
        <v>PROMOTOR CALL CENTER</v>
      </c>
      <c r="E1866" s="5" t="str">
        <f>IFERROR(VLOOKUP(A1866,'Base Prueba'!A:E,5,),"NO REGISTRA")</f>
        <v>OFICINA DE MERCADEO</v>
      </c>
    </row>
    <row r="1867" spans="1:5" ht="15.75" x14ac:dyDescent="0.25">
      <c r="A1867" s="10">
        <v>1018414290</v>
      </c>
      <c r="B1867" s="2">
        <v>46058.754186342594</v>
      </c>
      <c r="C1867" s="3" t="str">
        <f>IFERROR(VLOOKUP(A1867,'Base Prueba'!A:C,3,),"NO REGISTRA")</f>
        <v>AMANDA LISBETH RODRIGUEZ LEON</v>
      </c>
      <c r="D1867" s="4" t="str">
        <f>IFERROR(VLOOKUP(A1867,'Base Prueba'!A:D,4,),"NO REGISTRA")</f>
        <v>PROMOTOR CALL CENTER</v>
      </c>
      <c r="E1867" s="5" t="str">
        <f>IFERROR(VLOOKUP(A1867,'Base Prueba'!A:E,5,),"NO REGISTRA")</f>
        <v>OFICINA DE MERCADEO</v>
      </c>
    </row>
    <row r="1868" spans="1:5" ht="15.75" x14ac:dyDescent="0.25">
      <c r="A1868" s="10">
        <v>52175674</v>
      </c>
      <c r="B1868" s="2">
        <v>46058.754998495373</v>
      </c>
      <c r="C1868" s="3" t="str">
        <f>IFERROR(VLOOKUP(A1868,'Base Prueba'!A:C,3,),"NO REGISTRA")</f>
        <v>LUZ YANETH GOMEZ AREVALO</v>
      </c>
      <c r="D1868" s="4" t="str">
        <f>IFERROR(VLOOKUP(A1868,'Base Prueba'!A:D,4,),"NO REGISTRA")</f>
        <v>COORDINADORA DE ADMISIONES</v>
      </c>
      <c r="E1868" s="5" t="str">
        <f>IFERROR(VLOOKUP(A1868,'Base Prueba'!A:E,5,),"NO REGISTRA")</f>
        <v>OFICINA DE MERCADEO</v>
      </c>
    </row>
    <row r="1869" spans="1:5" ht="15.75" x14ac:dyDescent="0.25">
      <c r="A1869" s="10">
        <v>1003690253</v>
      </c>
      <c r="B1869" s="2">
        <v>46058.755490046293</v>
      </c>
      <c r="C1869" s="3" t="str">
        <f>IFERROR(VLOOKUP(A1869,'Base Prueba'!A:C,3,),"NO REGISTRA")</f>
        <v>MELISSA GONZALEZ PEDRAZA</v>
      </c>
      <c r="D1869" s="4" t="str">
        <f>IFERROR(VLOOKUP(A1869,'Base Prueba'!A:D,4,),"NO REGISTRA")</f>
        <v>LIDER DE JOVENES A LA E</v>
      </c>
      <c r="E1869" s="5" t="str">
        <f>IFERROR(VLOOKUP(A1869,'Base Prueba'!A:E,5,),"NO REGISTRA")</f>
        <v>DIRECCION DE BIENESTAR INSTITUCIONAL</v>
      </c>
    </row>
    <row r="1870" spans="1:5" ht="15.75" x14ac:dyDescent="0.25">
      <c r="A1870" s="10">
        <v>1000046533</v>
      </c>
      <c r="B1870" s="2">
        <v>46058.755691550927</v>
      </c>
      <c r="C1870" s="3" t="str">
        <f>IFERROR(VLOOKUP(A1870,'Base Prueba'!A:C,3,),"NO REGISTRA")</f>
        <v>ERIKA JULIETH VALDERRAMA SANCHEZ</v>
      </c>
      <c r="D1870" s="4" t="str">
        <f>IFERROR(VLOOKUP(A1870,'Base Prueba'!A:D,4,),"NO REGISTRA")</f>
        <v>PROMOTOR CALL CENTER</v>
      </c>
      <c r="E1870" s="5" t="str">
        <f>IFERROR(VLOOKUP(A1870,'Base Prueba'!A:E,5,),"NO REGISTRA")</f>
        <v>OFICINA DE MERCADEO</v>
      </c>
    </row>
    <row r="1871" spans="1:5" ht="15.75" x14ac:dyDescent="0.25">
      <c r="A1871" s="10">
        <v>28798349</v>
      </c>
      <c r="B1871" s="2">
        <v>46058.756002546295</v>
      </c>
      <c r="C1871" s="3" t="str">
        <f>IFERROR(VLOOKUP(A1871,'Base Prueba'!A:C,3,),"NO REGISTRA")</f>
        <v>MARTHA ISABEL TOVAR WILLIAMS</v>
      </c>
      <c r="D1871" s="4" t="str">
        <f>IFERROR(VLOOKUP(A1871,'Base Prueba'!A:D,4,),"NO REGISTRA")</f>
        <v>PROMOTOR CALL CENTER</v>
      </c>
      <c r="E1871" s="5" t="str">
        <f>IFERROR(VLOOKUP(A1871,'Base Prueba'!A:E,5,),"NO REGISTRA")</f>
        <v>OFICINA DE MERCADEO</v>
      </c>
    </row>
    <row r="1872" spans="1:5" ht="15.75" x14ac:dyDescent="0.25">
      <c r="A1872" s="10">
        <v>52472386</v>
      </c>
      <c r="B1872" s="2">
        <v>46058.75629675926</v>
      </c>
      <c r="C1872" s="3" t="str">
        <f>IFERROR(VLOOKUP(A1872,'Base Prueba'!A:C,3,),"NO REGISTRA")</f>
        <v>ADRIANA MARCELA MORALES PARDO</v>
      </c>
      <c r="D1872" s="4" t="str">
        <f>IFERROR(VLOOKUP(A1872,'Base Prueba'!A:D,4,),"NO REGISTRA")</f>
        <v>PROMOTOR CALL CENTER</v>
      </c>
      <c r="E1872" s="5" t="str">
        <f>IFERROR(VLOOKUP(A1872,'Base Prueba'!A:E,5,),"NO REGISTRA")</f>
        <v>OFICINA DE MERCADEO</v>
      </c>
    </row>
    <row r="1873" spans="1:5" ht="15.75" x14ac:dyDescent="0.25">
      <c r="A1873" s="10">
        <v>1014977624</v>
      </c>
      <c r="B1873" s="2">
        <v>46058.759582986109</v>
      </c>
      <c r="C1873" s="3" t="str">
        <f>IFERROR(VLOOKUP(A1873,'Base Prueba'!A:C,3,),"NO REGISTRA")</f>
        <v>NICCOLE VALENTINA HERNANDEZ MALAVER</v>
      </c>
      <c r="D1873" s="4" t="str">
        <f>IFERROR(VLOOKUP(A1873,'Base Prueba'!A:D,4,),"NO REGISTRA")</f>
        <v>APRENDIZ UNIVERSITARIO</v>
      </c>
      <c r="E1873" s="5" t="str">
        <f>IFERROR(VLOOKUP(A1873,'Base Prueba'!A:E,5,),"NO REGISTRA")</f>
        <v>AREA FINANCIERA Y CONTABLE</v>
      </c>
    </row>
    <row r="1874" spans="1:5" ht="15.75" x14ac:dyDescent="0.25">
      <c r="A1874" s="10">
        <v>1033709056</v>
      </c>
      <c r="B1874" s="2">
        <v>46058.761171412036</v>
      </c>
      <c r="C1874" s="3" t="str">
        <f>IFERROR(VLOOKUP(A1874,'Base Prueba'!A:C,3,),"NO REGISTRA")</f>
        <v>YEIMY ALEXANDRA RODRIGUEZ PALACIO</v>
      </c>
      <c r="D1874" s="4" t="str">
        <f>IFERROR(VLOOKUP(A1874,'Base Prueba'!A:D,4,),"NO REGISTRA")</f>
        <v>PROMOTOR CALL CENTER</v>
      </c>
      <c r="E1874" s="5" t="str">
        <f>IFERROR(VLOOKUP(A1874,'Base Prueba'!A:E,5,),"NO REGISTRA")</f>
        <v>OFICINA DE MERCADEO</v>
      </c>
    </row>
    <row r="1875" spans="1:5" ht="15.75" x14ac:dyDescent="0.25">
      <c r="A1875" s="10">
        <v>53089882</v>
      </c>
      <c r="B1875" s="2">
        <v>46058.761272222226</v>
      </c>
      <c r="C1875" s="3" t="str">
        <f>IFERROR(VLOOKUP(A1875,'Base Prueba'!A:C,3,),"NO REGISTRA")</f>
        <v>MARIA JOHANA ESCAMILLA MARTINEZ</v>
      </c>
      <c r="D1875" s="4" t="str">
        <f>IFERROR(VLOOKUP(A1875,'Base Prueba'!A:D,4,),"NO REGISTRA")</f>
        <v>PROMOTOR DE INFORMACIÓN</v>
      </c>
      <c r="E1875" s="5" t="str">
        <f>IFERROR(VLOOKUP(A1875,'Base Prueba'!A:E,5,),"NO REGISTRA")</f>
        <v>OFICINA DE MERCADEO</v>
      </c>
    </row>
    <row r="1876" spans="1:5" ht="15.75" x14ac:dyDescent="0.25">
      <c r="A1876" s="10">
        <v>1018413529</v>
      </c>
      <c r="B1876" s="2">
        <v>46058.76132395833</v>
      </c>
      <c r="C1876" s="3" t="str">
        <f>IFERROR(VLOOKUP(A1876,'Base Prueba'!A:C,3,),"NO REGISTRA")</f>
        <v>FRANCY STELLA CHARRY MORENO</v>
      </c>
      <c r="D1876" s="4" t="str">
        <f>IFERROR(VLOOKUP(A1876,'Base Prueba'!A:D,4,),"NO REGISTRA")</f>
        <v>PROMOTOR COMERCIAL DEL CEA</v>
      </c>
      <c r="E1876" s="5" t="str">
        <f>IFERROR(VLOOKUP(A1876,'Base Prueba'!A:E,5,),"NO REGISTRA")</f>
        <v>OFICINA DE MERCADEO</v>
      </c>
    </row>
    <row r="1877" spans="1:5" ht="15.75" x14ac:dyDescent="0.25">
      <c r="A1877" s="10">
        <v>1000257136</v>
      </c>
      <c r="B1877" s="2">
        <v>46058.76482222222</v>
      </c>
      <c r="C1877" s="3" t="str">
        <f>IFERROR(VLOOKUP(A1877,'Base Prueba'!A:C,3,),"NO REGISTRA")</f>
        <v>FRANCI VALENTINA CANO PUENTES</v>
      </c>
      <c r="D1877" s="4" t="str">
        <f>IFERROR(VLOOKUP(A1877,'Base Prueba'!A:D,4,),"NO REGISTRA")</f>
        <v>AUXILIAR CONTABLE</v>
      </c>
      <c r="E1877" s="5" t="str">
        <f>IFERROR(VLOOKUP(A1877,'Base Prueba'!A:E,5,),"NO REGISTRA")</f>
        <v>AREA FINANCIERA Y CONTABLE</v>
      </c>
    </row>
    <row r="1878" spans="1:5" ht="15.75" x14ac:dyDescent="0.25">
      <c r="A1878" s="10">
        <v>1000324729</v>
      </c>
      <c r="B1878" s="2">
        <v>46058.765487152777</v>
      </c>
      <c r="C1878" s="3" t="str">
        <f>IFERROR(VLOOKUP(A1878,'Base Prueba'!A:C,3,),"NO REGISTRA")</f>
        <v>ANYIE VANESSA TINOCO CAMACHO</v>
      </c>
      <c r="D1878" s="4" t="str">
        <f>IFERROR(VLOOKUP(A1878,'Base Prueba'!A:D,4,),"NO REGISTRA")</f>
        <v>LIDER DE REGISTRO Y CONTROL</v>
      </c>
      <c r="E1878" s="5" t="str">
        <f>IFERROR(VLOOKUP(A1878,'Base Prueba'!A:E,5,),"NO REGISTRA")</f>
        <v>REGISTRO Y CONTROL ACADEMICO</v>
      </c>
    </row>
    <row r="1879" spans="1:5" ht="15.75" x14ac:dyDescent="0.25">
      <c r="A1879" s="10">
        <v>1013616244</v>
      </c>
      <c r="B1879" s="2">
        <v>46058.765537847219</v>
      </c>
      <c r="C1879" s="3" t="str">
        <f>IFERROR(VLOOKUP(A1879,'Base Prueba'!A:C,3,),"NO REGISTRA")</f>
        <v>DIANA CAROLINA MARIN BETANCOURT</v>
      </c>
      <c r="D1879" s="4" t="str">
        <f>IFERROR(VLOOKUP(A1879,'Base Prueba'!A:D,4,),"NO REGISTRA")</f>
        <v>AUXILIAR ADMINISTRATIVO</v>
      </c>
      <c r="E1879" s="5" t="str">
        <f>IFERROR(VLOOKUP(A1879,'Base Prueba'!A:E,5,),"NO REGISTRA")</f>
        <v>REGISTRO Y CONTROL ACADEMICO</v>
      </c>
    </row>
    <row r="1880" spans="1:5" ht="15.75" x14ac:dyDescent="0.25">
      <c r="A1880" s="10">
        <v>52764929</v>
      </c>
      <c r="B1880" s="2">
        <v>46058.767957986114</v>
      </c>
      <c r="C1880" s="3" t="str">
        <f>IFERROR(VLOOKUP(A1880,'Base Prueba'!A:C,3,),"NO REGISTRA")</f>
        <v>GUERLY YOHANA DURAN RIVERA</v>
      </c>
      <c r="D1880" s="4" t="str">
        <f>IFERROR(VLOOKUP(A1880,'Base Prueba'!A:D,4,),"NO REGISTRA")</f>
        <v>LIDER DE VINCULACION COLEGIOS</v>
      </c>
      <c r="E1880" s="5" t="str">
        <f>IFERROR(VLOOKUP(A1880,'Base Prueba'!A:E,5,),"NO REGISTRA")</f>
        <v>OFICINA DE MERCADEO</v>
      </c>
    </row>
    <row r="1881" spans="1:5" ht="15.75" x14ac:dyDescent="0.25">
      <c r="A1881" s="10">
        <v>80234243</v>
      </c>
      <c r="B1881" s="2">
        <v>46058.777135069446</v>
      </c>
      <c r="C1881" s="3" t="str">
        <f>IFERROR(VLOOKUP(A1881,'Base Prueba'!A:C,3,),"NO REGISTRA")</f>
        <v>ARGENIS MARTINEZ MARTINEZ</v>
      </c>
      <c r="D1881" s="4" t="str">
        <f>IFERROR(VLOOKUP(A1881,'Base Prueba'!A:D,4,),"NO REGISTRA")</f>
        <v>LIDER CALL CENTER</v>
      </c>
      <c r="E1881" s="5" t="str">
        <f>IFERROR(VLOOKUP(A1881,'Base Prueba'!A:E,5,),"NO REGISTRA")</f>
        <v>OFICINA DE MERCADEO</v>
      </c>
    </row>
    <row r="1882" spans="1:5" ht="15.75" x14ac:dyDescent="0.25">
      <c r="A1882" s="10">
        <v>1193265768</v>
      </c>
      <c r="B1882" s="2">
        <v>46058.781895717591</v>
      </c>
      <c r="C1882" s="3" t="str">
        <f>IFERROR(VLOOKUP(A1882,'Base Prueba'!A:C,3,),"NO REGISTRA")</f>
        <v>SANTIAGO OSORIO CAMACHO</v>
      </c>
      <c r="D1882" s="4" t="str">
        <f>IFERROR(VLOOKUP(A1882,'Base Prueba'!A:D,4,),"NO REGISTRA")</f>
        <v>ANALISTA DE PAUTA</v>
      </c>
      <c r="E1882" s="5" t="str">
        <f>IFERROR(VLOOKUP(A1882,'Base Prueba'!A:E,5,),"NO REGISTRA")</f>
        <v>OFICINA DE MERCADEO</v>
      </c>
    </row>
    <row r="1883" spans="1:5" ht="15.75" x14ac:dyDescent="0.25">
      <c r="A1883" s="10">
        <v>1014196857</v>
      </c>
      <c r="B1883" s="2">
        <v>46058.782009490744</v>
      </c>
      <c r="C1883" s="3" t="str">
        <f>IFERROR(VLOOKUP(A1883,'Base Prueba'!A:C,3,),"NO REGISTRA")</f>
        <v>CARLOS ANDRES JIMENEZ PARDO</v>
      </c>
      <c r="D1883" s="4" t="str">
        <f>IFERROR(VLOOKUP(A1883,'Base Prueba'!A:D,4,),"NO REGISTRA")</f>
        <v>COORDINADOR DE MARKETING DIGITAL</v>
      </c>
      <c r="E1883" s="5" t="str">
        <f>IFERROR(VLOOKUP(A1883,'Base Prueba'!A:E,5,),"NO REGISTRA")</f>
        <v>OFICINA DE MERCADEO</v>
      </c>
    </row>
    <row r="1884" spans="1:5" ht="15.75" x14ac:dyDescent="0.25">
      <c r="A1884" s="10">
        <v>1000457706</v>
      </c>
      <c r="B1884" s="2">
        <v>46058.783571643522</v>
      </c>
      <c r="C1884" s="3" t="str">
        <f>IFERROR(VLOOKUP(A1884,'Base Prueba'!A:C,3,),"NO REGISTRA")</f>
        <v>CRISTIAN DANILO ARROYO SANABRIA</v>
      </c>
      <c r="D1884" s="4" t="str">
        <f>IFERROR(VLOOKUP(A1884,'Base Prueba'!A:D,4,),"NO REGISTRA")</f>
        <v>AUXILIAR CONTABLE</v>
      </c>
      <c r="E1884" s="5" t="str">
        <f>IFERROR(VLOOKUP(A1884,'Base Prueba'!A:E,5,),"NO REGISTRA")</f>
        <v>AREA FINANCIERA Y CONTABLE</v>
      </c>
    </row>
    <row r="1885" spans="1:5" ht="15.75" x14ac:dyDescent="0.25">
      <c r="A1885" s="10">
        <v>53932358</v>
      </c>
      <c r="B1885" s="2">
        <v>46058.810696180553</v>
      </c>
      <c r="C1885" s="3" t="str">
        <f>IFERROR(VLOOKUP(A1885,'Base Prueba'!A:C,3,),"NO REGISTRA")</f>
        <v>DIANA MADELEYNE GAONA RODRIGUEZ</v>
      </c>
      <c r="D1885" s="4" t="str">
        <f>IFERROR(VLOOKUP(A1885,'Base Prueba'!A:D,4,),"NO REGISTRA")</f>
        <v>CONTADOR</v>
      </c>
      <c r="E1885" s="5" t="str">
        <f>IFERROR(VLOOKUP(A1885,'Base Prueba'!A:E,5,),"NO REGISTRA")</f>
        <v>AREA FINANCIERA Y CONTABLE</v>
      </c>
    </row>
    <row r="1886" spans="1:5" ht="15.75" x14ac:dyDescent="0.25">
      <c r="A1886" s="10">
        <v>1087121273</v>
      </c>
      <c r="B1886" s="2">
        <v>46059.301442824071</v>
      </c>
      <c r="C1886" s="3" t="str">
        <f>IFERROR(VLOOKUP(A1886,'Base Prueba'!A:C,3,),"NO REGISTRA")</f>
        <v>MAYRA ALEJANDRA CASTILLO ARBOLEDA</v>
      </c>
      <c r="D1886" s="4" t="str">
        <f>IFERROR(VLOOKUP(A1886,'Base Prueba'!A:D,4,),"NO REGISTRA")</f>
        <v>APOYO INTEGRAL DE MERCADEO</v>
      </c>
      <c r="E1886" s="5" t="str">
        <f>IFERROR(VLOOKUP(A1886,'Base Prueba'!A:E,5,),"NO REGISTRA")</f>
        <v>CENTRO DE GESTION DOCUMENTAL</v>
      </c>
    </row>
    <row r="1887" spans="1:5" ht="15.75" x14ac:dyDescent="0.25">
      <c r="A1887" s="10">
        <v>1000324729</v>
      </c>
      <c r="B1887" s="2">
        <v>46059.312685879631</v>
      </c>
      <c r="C1887" s="3" t="str">
        <f>IFERROR(VLOOKUP(A1887,'Base Prueba'!A:C,3,),"NO REGISTRA")</f>
        <v>ANYIE VANESSA TINOCO CAMACHO</v>
      </c>
      <c r="D1887" s="4" t="str">
        <f>IFERROR(VLOOKUP(A1887,'Base Prueba'!A:D,4,),"NO REGISTRA")</f>
        <v>LIDER DE REGISTRO Y CONTROL</v>
      </c>
      <c r="E1887" s="5" t="str">
        <f>IFERROR(VLOOKUP(A1887,'Base Prueba'!A:E,5,),"NO REGISTRA")</f>
        <v>REGISTRO Y CONTROL ACADEMICO</v>
      </c>
    </row>
    <row r="1888" spans="1:5" ht="15.75" x14ac:dyDescent="0.25">
      <c r="A1888" s="10">
        <v>1013616244</v>
      </c>
      <c r="B1888" s="2">
        <v>46059.320446527781</v>
      </c>
      <c r="C1888" s="3" t="str">
        <f>IFERROR(VLOOKUP(A1888,'Base Prueba'!A:C,3,),"NO REGISTRA")</f>
        <v>DIANA CAROLINA MARIN BETANCOURT</v>
      </c>
      <c r="D1888" s="4" t="str">
        <f>IFERROR(VLOOKUP(A1888,'Base Prueba'!A:D,4,),"NO REGISTRA")</f>
        <v>AUXILIAR ADMINISTRATIVO</v>
      </c>
      <c r="E1888" s="5" t="str">
        <f>IFERROR(VLOOKUP(A1888,'Base Prueba'!A:E,5,),"NO REGISTRA")</f>
        <v>REGISTRO Y CONTROL ACADEMICO</v>
      </c>
    </row>
    <row r="1889" spans="1:5" ht="15.75" x14ac:dyDescent="0.25">
      <c r="A1889" s="10">
        <v>1031802160</v>
      </c>
      <c r="B1889" s="2">
        <v>46059.334929282406</v>
      </c>
      <c r="C1889" s="3" t="str">
        <f>IFERROR(VLOOKUP(A1889,'Base Prueba'!A:C,3,),"NO REGISTRA")</f>
        <v>LUISA MARIA MAHECHA SOTOMAYOR</v>
      </c>
      <c r="D1889" s="4" t="str">
        <f>IFERROR(VLOOKUP(A1889,'Base Prueba'!A:D,4,),"NO REGISTRA")</f>
        <v>APRENDIZ UNIVERSITARIO</v>
      </c>
      <c r="E1889" s="5" t="str">
        <f>IFERROR(VLOOKUP(A1889,'Base Prueba'!A:E,5,),"NO REGISTRA")</f>
        <v>OFICINA DE MERCADEO</v>
      </c>
    </row>
    <row r="1890" spans="1:5" ht="15.75" x14ac:dyDescent="0.25">
      <c r="A1890" s="10">
        <v>1014308296</v>
      </c>
      <c r="B1890" s="2">
        <v>46059.335630787034</v>
      </c>
      <c r="C1890" s="3" t="str">
        <f>IFERROR(VLOOKUP(A1890,'Base Prueba'!A:C,3,),"NO REGISTRA")</f>
        <v>DARLENE YULIANA MORENO CELEITA</v>
      </c>
      <c r="D1890" s="4" t="str">
        <f>IFERROR(VLOOKUP(A1890,'Base Prueba'!A:D,4,),"NO REGISTRA")</f>
        <v>CAJERO PRINCIPAL</v>
      </c>
      <c r="E1890" s="5" t="str">
        <f>IFERROR(VLOOKUP(A1890,'Base Prueba'!A:E,5,),"NO REGISTRA")</f>
        <v>AREA FINANCIERA Y CONTABLE</v>
      </c>
    </row>
    <row r="1891" spans="1:5" ht="15.75" x14ac:dyDescent="0.25">
      <c r="A1891" s="10">
        <v>80238161</v>
      </c>
      <c r="B1891" s="2">
        <v>46059.336133217592</v>
      </c>
      <c r="C1891" s="3" t="str">
        <f>IFERROR(VLOOKUP(A1891,'Base Prueba'!A:C,3,),"NO REGISTRA")</f>
        <v>GERMAN CARRANZA ESPITIA</v>
      </c>
      <c r="D1891" s="4" t="str">
        <f>IFERROR(VLOOKUP(A1891,'Base Prueba'!A:D,4,),"NO REGISTRA")</f>
        <v>TESORERO</v>
      </c>
      <c r="E1891" s="5" t="str">
        <f>IFERROR(VLOOKUP(A1891,'Base Prueba'!A:E,5,),"NO REGISTRA")</f>
        <v>AREA FINANCIERA Y CONTABLE</v>
      </c>
    </row>
    <row r="1892" spans="1:5" ht="15.75" x14ac:dyDescent="0.25">
      <c r="A1892" s="10">
        <v>80725196</v>
      </c>
      <c r="B1892" s="2">
        <v>46059.336178240737</v>
      </c>
      <c r="C1892" s="3" t="str">
        <f>IFERROR(VLOOKUP(A1892,'Base Prueba'!A:C,3,),"NO REGISTRA")</f>
        <v>YEISON YOSET TOVAR BARBOSA</v>
      </c>
      <c r="D1892" s="4" t="str">
        <f>IFERROR(VLOOKUP(A1892,'Base Prueba'!A:D,4,),"NO REGISTRA")</f>
        <v>LIDER GESTION DOCUMENTAL</v>
      </c>
      <c r="E1892" s="5" t="str">
        <f>IFERROR(VLOOKUP(A1892,'Base Prueba'!A:E,5,),"NO REGISTRA")</f>
        <v>CENTRO DE GESTION DOCUMENTAL</v>
      </c>
    </row>
    <row r="1893" spans="1:5" ht="15.75" x14ac:dyDescent="0.25">
      <c r="A1893" s="10">
        <v>1000257136</v>
      </c>
      <c r="B1893" s="2">
        <v>46059.337248842596</v>
      </c>
      <c r="C1893" s="3" t="str">
        <f>IFERROR(VLOOKUP(A1893,'Base Prueba'!A:C,3,),"NO REGISTRA")</f>
        <v>FRANCI VALENTINA CANO PUENTES</v>
      </c>
      <c r="D1893" s="4" t="str">
        <f>IFERROR(VLOOKUP(A1893,'Base Prueba'!A:D,4,),"NO REGISTRA")</f>
        <v>AUXILIAR CONTABLE</v>
      </c>
      <c r="E1893" s="5" t="str">
        <f>IFERROR(VLOOKUP(A1893,'Base Prueba'!A:E,5,),"NO REGISTRA")</f>
        <v>AREA FINANCIERA Y CONTABLE</v>
      </c>
    </row>
    <row r="1894" spans="1:5" ht="15.75" x14ac:dyDescent="0.25">
      <c r="A1894" s="10">
        <v>1000687931</v>
      </c>
      <c r="B1894" s="2">
        <v>46059.338643518517</v>
      </c>
      <c r="C1894" s="3" t="str">
        <f>IFERROR(VLOOKUP(A1894,'Base Prueba'!A:C,3,),"NO REGISTRA")</f>
        <v>ANDRES FELIPE PUENTES TORRES</v>
      </c>
      <c r="D1894" s="4" t="str">
        <f>IFERROR(VLOOKUP(A1894,'Base Prueba'!A:D,4,),"NO REGISTRA")</f>
        <v>AUXILIAR ADMINISTRATIVO</v>
      </c>
      <c r="E1894" s="5" t="str">
        <f>IFERROR(VLOOKUP(A1894,'Base Prueba'!A:E,5,),"NO REGISTRA")</f>
        <v>REGISTRO Y CONTROL ACADEMICO</v>
      </c>
    </row>
    <row r="1895" spans="1:5" ht="15.75" x14ac:dyDescent="0.25">
      <c r="A1895" s="10">
        <v>1049644802</v>
      </c>
      <c r="B1895" s="2">
        <v>46059.339920254628</v>
      </c>
      <c r="C1895" s="3" t="str">
        <f>IFERROR(VLOOKUP(A1895,'Base Prueba'!A:C,3,),"NO REGISTRA")</f>
        <v>DANIELA ALEXANDRA CIPAMOCHA BOSIGA</v>
      </c>
      <c r="D1895" s="4" t="str">
        <f>IFERROR(VLOOKUP(A1895,'Base Prueba'!A:D,4,),"NO REGISTRA")</f>
        <v>LIDER DE DATOS Y SERVICIOS</v>
      </c>
      <c r="E1895" s="5" t="str">
        <f>IFERROR(VLOOKUP(A1895,'Base Prueba'!A:E,5,),"NO REGISTRA")</f>
        <v>OFICINA DE PLANEACION Y GESTION DE LA CALIDAD</v>
      </c>
    </row>
    <row r="1896" spans="1:5" ht="15.75" x14ac:dyDescent="0.25">
      <c r="A1896" s="10">
        <v>1193457976</v>
      </c>
      <c r="B1896" s="2">
        <v>46059.340882870369</v>
      </c>
      <c r="C1896" s="3" t="str">
        <f>IFERROR(VLOOKUP(A1896,'Base Prueba'!A:C,3,),"NO REGISTRA")</f>
        <v>SEDENIS RIVAS ASPRILLA</v>
      </c>
      <c r="D1896" s="4" t="str">
        <f>IFERROR(VLOOKUP(A1896,'Base Prueba'!A:D,4,),"NO REGISTRA")</f>
        <v>APRENDIZ UNIVERSITARIO</v>
      </c>
      <c r="E1896" s="5" t="str">
        <f>IFERROR(VLOOKUP(A1896,'Base Prueba'!A:E,5,),"NO REGISTRA")</f>
        <v>DEPARTAMENTO DE GESTION HUMANA</v>
      </c>
    </row>
    <row r="1897" spans="1:5" ht="15.75" x14ac:dyDescent="0.25">
      <c r="A1897" s="10">
        <v>1024505434</v>
      </c>
      <c r="B1897" s="2">
        <v>46059.344719212961</v>
      </c>
      <c r="C1897" s="3" t="str">
        <f>IFERROR(VLOOKUP(A1897,'Base Prueba'!A:C,3,),"NO REGISTRA")</f>
        <v>CRISTIAN ALBERTO MELO TORRES</v>
      </c>
      <c r="D1897" s="4" t="str">
        <f>IFERROR(VLOOKUP(A1897,'Base Prueba'!A:D,4,),"NO REGISTRA")</f>
        <v>COORDINADOR DE INFRAESTRUCTURA</v>
      </c>
      <c r="E1897" s="5" t="str">
        <f>IFERROR(VLOOKUP(A1897,'Base Prueba'!A:E,5,),"NO REGISTRA")</f>
        <v>VICERRECTORIA ADMINISTRATIVA Y FINANCIERA</v>
      </c>
    </row>
    <row r="1898" spans="1:5" ht="15.75" x14ac:dyDescent="0.25">
      <c r="A1898" s="10">
        <v>1032469638</v>
      </c>
      <c r="B1898" s="2">
        <v>46059.34519039352</v>
      </c>
      <c r="C1898" s="3" t="str">
        <f>IFERROR(VLOOKUP(A1898,'Base Prueba'!A:C,3,),"NO REGISTRA")</f>
        <v>MAICOL JARBEY GUALTEROS CASTAÑEDA</v>
      </c>
      <c r="D1898" s="4" t="str">
        <f>IFERROR(VLOOKUP(A1898,'Base Prueba'!A:D,4,),"NO REGISTRA")</f>
        <v>COORDINADOR DEL SISTEMA INTERNO DE ASEGURAMIENTO DE LA CALIDAD - SIAC</v>
      </c>
      <c r="E1898" s="5" t="str">
        <f>IFERROR(VLOOKUP(A1898,'Base Prueba'!A:E,5,),"NO REGISTRA")</f>
        <v>OFICINA DE PLANEACION Y GESTION DE LA CALIDAD</v>
      </c>
    </row>
    <row r="1899" spans="1:5" ht="15.75" x14ac:dyDescent="0.25">
      <c r="A1899" s="10">
        <v>1000457706</v>
      </c>
      <c r="B1899" s="2">
        <v>46059.350377314811</v>
      </c>
      <c r="C1899" s="3" t="str">
        <f>IFERROR(VLOOKUP(A1899,'Base Prueba'!A:C,3,),"NO REGISTRA")</f>
        <v>CRISTIAN DANILO ARROYO SANABRIA</v>
      </c>
      <c r="D1899" s="4" t="str">
        <f>IFERROR(VLOOKUP(A1899,'Base Prueba'!A:D,4,),"NO REGISTRA")</f>
        <v>AUXILIAR CONTABLE</v>
      </c>
      <c r="E1899" s="5" t="str">
        <f>IFERROR(VLOOKUP(A1899,'Base Prueba'!A:E,5,),"NO REGISTRA")</f>
        <v>AREA FINANCIERA Y CONTABLE</v>
      </c>
    </row>
    <row r="1900" spans="1:5" ht="15.75" x14ac:dyDescent="0.25">
      <c r="A1900" s="10">
        <v>1023883232</v>
      </c>
      <c r="B1900" s="2">
        <v>46059.350391782405</v>
      </c>
      <c r="C1900" s="3" t="str">
        <f>IFERROR(VLOOKUP(A1900,'Base Prueba'!A:C,3,),"NO REGISTRA")</f>
        <v>MONICA ANDREA ACERO URBANO</v>
      </c>
      <c r="D1900" s="4" t="str">
        <f>IFERROR(VLOOKUP(A1900,'Base Prueba'!A:D,4,),"NO REGISTRA")</f>
        <v>APOYO INTEGRAL A GESTION HUMANA</v>
      </c>
      <c r="E1900" s="5" t="str">
        <f>IFERROR(VLOOKUP(A1900,'Base Prueba'!A:E,5,),"NO REGISTRA")</f>
        <v>DEPARTAMENTO DE GESTION HUMANA</v>
      </c>
    </row>
    <row r="1901" spans="1:5" ht="15.75" x14ac:dyDescent="0.25">
      <c r="A1901" s="10">
        <v>1014977624</v>
      </c>
      <c r="B1901" s="2">
        <v>46059.350455439817</v>
      </c>
      <c r="C1901" s="3" t="str">
        <f>IFERROR(VLOOKUP(A1901,'Base Prueba'!A:C,3,),"NO REGISTRA")</f>
        <v>NICCOLE VALENTINA HERNANDEZ MALAVER</v>
      </c>
      <c r="D1901" s="4" t="str">
        <f>IFERROR(VLOOKUP(A1901,'Base Prueba'!A:D,4,),"NO REGISTRA")</f>
        <v>APRENDIZ UNIVERSITARIO</v>
      </c>
      <c r="E1901" s="5" t="str">
        <f>IFERROR(VLOOKUP(A1901,'Base Prueba'!A:E,5,),"NO REGISTRA")</f>
        <v>AREA FINANCIERA Y CONTABLE</v>
      </c>
    </row>
    <row r="1902" spans="1:5" ht="15.75" x14ac:dyDescent="0.25">
      <c r="A1902" s="10">
        <v>1003690253</v>
      </c>
      <c r="B1902" s="2">
        <v>46059.35174953704</v>
      </c>
      <c r="C1902" s="3" t="str">
        <f>IFERROR(VLOOKUP(A1902,'Base Prueba'!A:C,3,),"NO REGISTRA")</f>
        <v>MELISSA GONZALEZ PEDRAZA</v>
      </c>
      <c r="D1902" s="4" t="str">
        <f>IFERROR(VLOOKUP(A1902,'Base Prueba'!A:D,4,),"NO REGISTRA")</f>
        <v>LIDER DE JOVENES A LA E</v>
      </c>
      <c r="E1902" s="5" t="str">
        <f>IFERROR(VLOOKUP(A1902,'Base Prueba'!A:E,5,),"NO REGISTRA")</f>
        <v>DIRECCION DE BIENESTAR INSTITUCIONAL</v>
      </c>
    </row>
    <row r="1903" spans="1:5" ht="15.75" x14ac:dyDescent="0.25">
      <c r="A1903" s="10">
        <v>1019105003</v>
      </c>
      <c r="B1903" s="2">
        <v>46059.365283449071</v>
      </c>
      <c r="C1903" s="3" t="str">
        <f>IFERROR(VLOOKUP(A1903,'Base Prueba'!A:C,3,),"NO REGISTRA")</f>
        <v>DAISY JULIETH GASPAR MORENO</v>
      </c>
      <c r="D1903" s="4" t="str">
        <f>IFERROR(VLOOKUP(A1903,'Base Prueba'!A:D,4,),"NO REGISTRA")</f>
        <v>PROMOTOR CALL CENTER</v>
      </c>
      <c r="E1903" s="5" t="str">
        <f>IFERROR(VLOOKUP(A1903,'Base Prueba'!A:E,5,),"NO REGISTRA")</f>
        <v>OFICINA DE MERCADEO</v>
      </c>
    </row>
    <row r="1904" spans="1:5" ht="15.75" x14ac:dyDescent="0.25">
      <c r="A1904" s="10">
        <v>80234243</v>
      </c>
      <c r="B1904" s="2">
        <v>46059.365336805553</v>
      </c>
      <c r="C1904" s="3" t="str">
        <f>IFERROR(VLOOKUP(A1904,'Base Prueba'!A:C,3,),"NO REGISTRA")</f>
        <v>ARGENIS MARTINEZ MARTINEZ</v>
      </c>
      <c r="D1904" s="4" t="str">
        <f>IFERROR(VLOOKUP(A1904,'Base Prueba'!A:D,4,),"NO REGISTRA")</f>
        <v>LIDER CALL CENTER</v>
      </c>
      <c r="E1904" s="5" t="str">
        <f>IFERROR(VLOOKUP(A1904,'Base Prueba'!A:E,5,),"NO REGISTRA")</f>
        <v>OFICINA DE MERCADEO</v>
      </c>
    </row>
    <row r="1905" spans="1:5" ht="15.75" x14ac:dyDescent="0.25">
      <c r="A1905" s="10">
        <v>1033709056</v>
      </c>
      <c r="B1905" s="2">
        <v>46059.367069097221</v>
      </c>
      <c r="C1905" s="3" t="str">
        <f>IFERROR(VLOOKUP(A1905,'Base Prueba'!A:C,3,),"NO REGISTRA")</f>
        <v>YEIMY ALEXANDRA RODRIGUEZ PALACIO</v>
      </c>
      <c r="D1905" s="4" t="str">
        <f>IFERROR(VLOOKUP(A1905,'Base Prueba'!A:D,4,),"NO REGISTRA")</f>
        <v>PROMOTOR CALL CENTER</v>
      </c>
      <c r="E1905" s="5" t="str">
        <f>IFERROR(VLOOKUP(A1905,'Base Prueba'!A:E,5,),"NO REGISTRA")</f>
        <v>OFICINA DE MERCADEO</v>
      </c>
    </row>
    <row r="1906" spans="1:5" ht="15.75" x14ac:dyDescent="0.25">
      <c r="A1906" s="10">
        <v>52472386</v>
      </c>
      <c r="B1906" s="2">
        <v>46059.368784722225</v>
      </c>
      <c r="C1906" s="3" t="str">
        <f>IFERROR(VLOOKUP(A1906,'Base Prueba'!A:C,3,),"NO REGISTRA")</f>
        <v>ADRIANA MARCELA MORALES PARDO</v>
      </c>
      <c r="D1906" s="4" t="str">
        <f>IFERROR(VLOOKUP(A1906,'Base Prueba'!A:D,4,),"NO REGISTRA")</f>
        <v>PROMOTOR CALL CENTER</v>
      </c>
      <c r="E1906" s="5" t="str">
        <f>IFERROR(VLOOKUP(A1906,'Base Prueba'!A:E,5,),"NO REGISTRA")</f>
        <v>OFICINA DE MERCADEO</v>
      </c>
    </row>
    <row r="1907" spans="1:5" ht="15.75" x14ac:dyDescent="0.25">
      <c r="A1907" s="10">
        <v>1018414290</v>
      </c>
      <c r="B1907" s="2">
        <v>46059.369093287038</v>
      </c>
      <c r="C1907" s="3" t="str">
        <f>IFERROR(VLOOKUP(A1907,'Base Prueba'!A:C,3,),"NO REGISTRA")</f>
        <v>AMANDA LISBETH RODRIGUEZ LEON</v>
      </c>
      <c r="D1907" s="4" t="str">
        <f>IFERROR(VLOOKUP(A1907,'Base Prueba'!A:D,4,),"NO REGISTRA")</f>
        <v>PROMOTOR CALL CENTER</v>
      </c>
      <c r="E1907" s="5" t="str">
        <f>IFERROR(VLOOKUP(A1907,'Base Prueba'!A:E,5,),"NO REGISTRA")</f>
        <v>OFICINA DE MERCADEO</v>
      </c>
    </row>
    <row r="1908" spans="1:5" ht="15.75" x14ac:dyDescent="0.25">
      <c r="A1908" s="10">
        <v>1000593372</v>
      </c>
      <c r="B1908" s="2">
        <v>46059.370528240739</v>
      </c>
      <c r="C1908" s="3" t="str">
        <f>IFERROR(VLOOKUP(A1908,'Base Prueba'!A:C,3,),"NO REGISTRA")</f>
        <v>LAURA SOFIA CHAPARRO LOPEZ</v>
      </c>
      <c r="D1908" s="4" t="str">
        <f>IFERROR(VLOOKUP(A1908,'Base Prueba'!A:D,4,),"NO REGISTRA")</f>
        <v>AUXILIAR JURIDICO</v>
      </c>
      <c r="E1908" s="5" t="str">
        <f>IFERROR(VLOOKUP(A1908,'Base Prueba'!A:E,5,),"NO REGISTRA")</f>
        <v>SECRETARIA GENERAL</v>
      </c>
    </row>
    <row r="1909" spans="1:5" ht="15.75" x14ac:dyDescent="0.25">
      <c r="A1909" s="10">
        <v>1000604979</v>
      </c>
      <c r="B1909" s="2">
        <v>46059.370556134258</v>
      </c>
      <c r="C1909" s="3" t="str">
        <f>IFERROR(VLOOKUP(A1909,'Base Prueba'!A:C,3,),"NO REGISTRA")</f>
        <v>JULIETH TATIANA PARDO PINTO</v>
      </c>
      <c r="D1909" s="4" t="str">
        <f>IFERROR(VLOOKUP(A1909,'Base Prueba'!A:D,4,),"NO REGISTRA")</f>
        <v>AUXILIAR JURIDICO</v>
      </c>
      <c r="E1909" s="5" t="str">
        <f>IFERROR(VLOOKUP(A1909,'Base Prueba'!A:E,5,),"NO REGISTRA")</f>
        <v>SECRETARIA GENERAL</v>
      </c>
    </row>
    <row r="1910" spans="1:5" ht="15.75" x14ac:dyDescent="0.25">
      <c r="A1910" s="10">
        <v>1012426741</v>
      </c>
      <c r="B1910" s="2">
        <v>46059.371434490742</v>
      </c>
      <c r="C1910" s="3" t="str">
        <f>IFERROR(VLOOKUP(A1910,'Base Prueba'!A:C,3,),"NO REGISTRA")</f>
        <v>CRISTIAN FABIAN ROJAS SANCENO</v>
      </c>
      <c r="D1910" s="4" t="str">
        <f>IFERROR(VLOOKUP(A1910,'Base Prueba'!A:D,4,),"NO REGISTRA")</f>
        <v>AUXILIAR DE REINTEGROS</v>
      </c>
      <c r="E1910" s="5" t="str">
        <f>IFERROR(VLOOKUP(A1910,'Base Prueba'!A:E,5,),"NO REGISTRA")</f>
        <v>DIRECCION DE BIENESTAR INSTITUCIONAL</v>
      </c>
    </row>
    <row r="1911" spans="1:5" ht="15.75" x14ac:dyDescent="0.25">
      <c r="A1911" s="10">
        <v>53089882</v>
      </c>
      <c r="B1911" s="2">
        <v>46059.374835648145</v>
      </c>
      <c r="C1911" s="3" t="str">
        <f>IFERROR(VLOOKUP(A1911,'Base Prueba'!A:C,3,),"NO REGISTRA")</f>
        <v>MARIA JOHANA ESCAMILLA MARTINEZ</v>
      </c>
      <c r="D1911" s="4" t="str">
        <f>IFERROR(VLOOKUP(A1911,'Base Prueba'!A:D,4,),"NO REGISTRA")</f>
        <v>PROMOTOR DE INFORMACIÓN</v>
      </c>
      <c r="E1911" s="5" t="str">
        <f>IFERROR(VLOOKUP(A1911,'Base Prueba'!A:E,5,),"NO REGISTRA")</f>
        <v>OFICINA DE MERCADEO</v>
      </c>
    </row>
    <row r="1912" spans="1:5" ht="15.75" x14ac:dyDescent="0.25">
      <c r="A1912" s="10">
        <v>1018413529</v>
      </c>
      <c r="B1912" s="2">
        <v>46059.374891666666</v>
      </c>
      <c r="C1912" s="3" t="str">
        <f>IFERROR(VLOOKUP(A1912,'Base Prueba'!A:C,3,),"NO REGISTRA")</f>
        <v>FRANCY STELLA CHARRY MORENO</v>
      </c>
      <c r="D1912" s="4" t="str">
        <f>IFERROR(VLOOKUP(A1912,'Base Prueba'!A:D,4,),"NO REGISTRA")</f>
        <v>PROMOTOR COMERCIAL DEL CEA</v>
      </c>
      <c r="E1912" s="5" t="str">
        <f>IFERROR(VLOOKUP(A1912,'Base Prueba'!A:E,5,),"NO REGISTRA")</f>
        <v>OFICINA DE MERCADEO</v>
      </c>
    </row>
    <row r="1913" spans="1:5" ht="15.75" x14ac:dyDescent="0.25">
      <c r="A1913" s="10">
        <v>1014196857</v>
      </c>
      <c r="B1913" s="2">
        <v>46059.376072569445</v>
      </c>
      <c r="C1913" s="3" t="str">
        <f>IFERROR(VLOOKUP(A1913,'Base Prueba'!A:C,3,),"NO REGISTRA")</f>
        <v>CARLOS ANDRES JIMENEZ PARDO</v>
      </c>
      <c r="D1913" s="4" t="str">
        <f>IFERROR(VLOOKUP(A1913,'Base Prueba'!A:D,4,),"NO REGISTRA")</f>
        <v>COORDINADOR DE MARKETING DIGITAL</v>
      </c>
      <c r="E1913" s="5" t="str">
        <f>IFERROR(VLOOKUP(A1913,'Base Prueba'!A:E,5,),"NO REGISTRA")</f>
        <v>OFICINA DE MERCADEO</v>
      </c>
    </row>
    <row r="1914" spans="1:5" ht="15.75" x14ac:dyDescent="0.25">
      <c r="A1914" s="10">
        <v>1016090131</v>
      </c>
      <c r="B1914" s="2">
        <v>46059.378777314814</v>
      </c>
      <c r="C1914" s="3" t="str">
        <f>IFERROR(VLOOKUP(A1914,'Base Prueba'!A:C,3,),"NO REGISTRA")</f>
        <v>NICOLAS RODRIGUEZ PACHECO</v>
      </c>
      <c r="D1914" s="4" t="str">
        <f>IFERROR(VLOOKUP(A1914,'Base Prueba'!A:D,4,),"NO REGISTRA")</f>
        <v>COORDINADOR DE COMUNICACIONES</v>
      </c>
      <c r="E1914" s="5" t="str">
        <f>IFERROR(VLOOKUP(A1914,'Base Prueba'!A:E,5,),"NO REGISTRA")</f>
        <v>OFICINA DE MERCADEO</v>
      </c>
    </row>
    <row r="1915" spans="1:5" ht="15.75" x14ac:dyDescent="0.25">
      <c r="A1915" s="10">
        <v>52764929</v>
      </c>
      <c r="B1915" s="2">
        <v>46059.38024849537</v>
      </c>
      <c r="C1915" s="3" t="str">
        <f>IFERROR(VLOOKUP(A1915,'Base Prueba'!A:C,3,),"NO REGISTRA")</f>
        <v>GUERLY YOHANA DURAN RIVERA</v>
      </c>
      <c r="D1915" s="4" t="str">
        <f>IFERROR(VLOOKUP(A1915,'Base Prueba'!A:D,4,),"NO REGISTRA")</f>
        <v>LIDER DE VINCULACION COLEGIOS</v>
      </c>
      <c r="E1915" s="5" t="str">
        <f>IFERROR(VLOOKUP(A1915,'Base Prueba'!A:E,5,),"NO REGISTRA")</f>
        <v>OFICINA DE MERCADEO</v>
      </c>
    </row>
    <row r="1916" spans="1:5" ht="15.75" x14ac:dyDescent="0.25">
      <c r="A1916" s="10">
        <v>1032407386</v>
      </c>
      <c r="B1916" s="2">
        <v>46059.380326967592</v>
      </c>
      <c r="C1916" s="3" t="str">
        <f>IFERROR(VLOOKUP(A1916,'Base Prueba'!A:C,3,),"NO REGISTRA")</f>
        <v>GINA PAOLA BAEZ GALVIS</v>
      </c>
      <c r="D1916" s="4" t="str">
        <f>IFERROR(VLOOKUP(A1916,'Base Prueba'!A:D,4,),"NO REGISTRA")</f>
        <v>PROMOTOR CALL CENTER</v>
      </c>
      <c r="E1916" s="5" t="str">
        <f>IFERROR(VLOOKUP(A1916,'Base Prueba'!A:E,5,),"NO REGISTRA")</f>
        <v>OFICINA DE MERCADEO</v>
      </c>
    </row>
    <row r="1917" spans="1:5" ht="15.75" x14ac:dyDescent="0.25">
      <c r="A1917" s="10">
        <v>28798349</v>
      </c>
      <c r="B1917" s="2">
        <v>46059.383785069447</v>
      </c>
      <c r="C1917" s="3" t="str">
        <f>IFERROR(VLOOKUP(A1917,'Base Prueba'!A:C,3,),"NO REGISTRA")</f>
        <v>MARTHA ISABEL TOVAR WILLIAMS</v>
      </c>
      <c r="D1917" s="4" t="str">
        <f>IFERROR(VLOOKUP(A1917,'Base Prueba'!A:D,4,),"NO REGISTRA")</f>
        <v>PROMOTOR CALL CENTER</v>
      </c>
      <c r="E1917" s="5" t="str">
        <f>IFERROR(VLOOKUP(A1917,'Base Prueba'!A:E,5,),"NO REGISTRA")</f>
        <v>OFICINA DE MERCADEO</v>
      </c>
    </row>
    <row r="1918" spans="1:5" ht="15.75" x14ac:dyDescent="0.25">
      <c r="A1918" s="10">
        <v>28798349</v>
      </c>
      <c r="B1918" s="2">
        <v>46059.383805324076</v>
      </c>
      <c r="C1918" s="3" t="str">
        <f>IFERROR(VLOOKUP(A1918,'Base Prueba'!A:C,3,),"NO REGISTRA")</f>
        <v>MARTHA ISABEL TOVAR WILLIAMS</v>
      </c>
      <c r="D1918" s="4" t="str">
        <f>IFERROR(VLOOKUP(A1918,'Base Prueba'!A:D,4,),"NO REGISTRA")</f>
        <v>PROMOTOR CALL CENTER</v>
      </c>
      <c r="E1918" s="5" t="str">
        <f>IFERROR(VLOOKUP(A1918,'Base Prueba'!A:E,5,),"NO REGISTRA")</f>
        <v>OFICINA DE MERCADEO</v>
      </c>
    </row>
    <row r="1919" spans="1:5" ht="15.75" x14ac:dyDescent="0.25">
      <c r="A1919" s="10">
        <v>28798349</v>
      </c>
      <c r="B1919" s="2">
        <v>46059.383827083337</v>
      </c>
      <c r="C1919" s="3" t="str">
        <f>IFERROR(VLOOKUP(A1919,'Base Prueba'!A:C,3,),"NO REGISTRA")</f>
        <v>MARTHA ISABEL TOVAR WILLIAMS</v>
      </c>
      <c r="D1919" s="4" t="str">
        <f>IFERROR(VLOOKUP(A1919,'Base Prueba'!A:D,4,),"NO REGISTRA")</f>
        <v>PROMOTOR CALL CENTER</v>
      </c>
      <c r="E1919" s="5" t="str">
        <f>IFERROR(VLOOKUP(A1919,'Base Prueba'!A:E,5,),"NO REGISTRA")</f>
        <v>OFICINA DE MERCADEO</v>
      </c>
    </row>
    <row r="1920" spans="1:5" ht="15.75" x14ac:dyDescent="0.25">
      <c r="A1920" s="10">
        <v>1193265768</v>
      </c>
      <c r="B1920" s="2">
        <v>46059.393315046298</v>
      </c>
      <c r="C1920" s="3" t="str">
        <f>IFERROR(VLOOKUP(A1920,'Base Prueba'!A:C,3,),"NO REGISTRA")</f>
        <v>SANTIAGO OSORIO CAMACHO</v>
      </c>
      <c r="D1920" s="4" t="str">
        <f>IFERROR(VLOOKUP(A1920,'Base Prueba'!A:D,4,),"NO REGISTRA")</f>
        <v>ANALISTA DE PAUTA</v>
      </c>
      <c r="E1920" s="5" t="str">
        <f>IFERROR(VLOOKUP(A1920,'Base Prueba'!A:E,5,),"NO REGISTRA")</f>
        <v>OFICINA DE MERCADEO</v>
      </c>
    </row>
    <row r="1921" spans="1:5" ht="15.75" x14ac:dyDescent="0.25">
      <c r="A1921" s="10">
        <v>1000354041</v>
      </c>
      <c r="B1921" s="2">
        <v>46059.398318171297</v>
      </c>
      <c r="C1921" s="3" t="str">
        <f>IFERROR(VLOOKUP(A1921,'Base Prueba'!A:C,3,),"NO REGISTRA")</f>
        <v>ANGIE NATALIA BOHORQUEZ SANCHEZ</v>
      </c>
      <c r="D1921" s="4" t="str">
        <f>IFERROR(VLOOKUP(A1921,'Base Prueba'!A:D,4,),"NO REGISTRA")</f>
        <v>APRENDIZ UNIVERSITARIO</v>
      </c>
      <c r="E1921" s="5" t="str">
        <f>IFERROR(VLOOKUP(A1921,'Base Prueba'!A:E,5,),"NO REGISTRA")</f>
        <v>OFICINA DE PLANEACION Y GESTION DE LA CALIDAD</v>
      </c>
    </row>
    <row r="1922" spans="1:5" ht="15.75" x14ac:dyDescent="0.25">
      <c r="A1922" s="10">
        <v>52175674</v>
      </c>
      <c r="B1922" s="2">
        <v>46059.398577546293</v>
      </c>
      <c r="C1922" s="3" t="str">
        <f>IFERROR(VLOOKUP(A1922,'Base Prueba'!A:C,3,),"NO REGISTRA")</f>
        <v>LUZ YANETH GOMEZ AREVALO</v>
      </c>
      <c r="D1922" s="4" t="str">
        <f>IFERROR(VLOOKUP(A1922,'Base Prueba'!A:D,4,),"NO REGISTRA")</f>
        <v>COORDINADORA DE ADMISIONES</v>
      </c>
      <c r="E1922" s="5" t="str">
        <f>IFERROR(VLOOKUP(A1922,'Base Prueba'!A:E,5,),"NO REGISTRA")</f>
        <v>OFICINA DE MERCADEO</v>
      </c>
    </row>
    <row r="1923" spans="1:5" ht="15.75" x14ac:dyDescent="0.25">
      <c r="A1923" s="10">
        <v>53932358</v>
      </c>
      <c r="B1923" s="2">
        <v>46059.480915856482</v>
      </c>
      <c r="C1923" s="3" t="str">
        <f>IFERROR(VLOOKUP(A1923,'Base Prueba'!A:C,3,),"NO REGISTRA")</f>
        <v>DIANA MADELEYNE GAONA RODRIGUEZ</v>
      </c>
      <c r="D1923" s="4" t="str">
        <f>IFERROR(VLOOKUP(A1923,'Base Prueba'!A:D,4,),"NO REGISTRA")</f>
        <v>CONTADOR</v>
      </c>
      <c r="E1923" s="5" t="str">
        <f>IFERROR(VLOOKUP(A1923,'Base Prueba'!A:E,5,),"NO REGISTRA")</f>
        <v>AREA FINANCIERA Y CONTABLE</v>
      </c>
    </row>
    <row r="1924" spans="1:5" ht="15.75" x14ac:dyDescent="0.25">
      <c r="A1924" s="10">
        <v>53089882</v>
      </c>
      <c r="B1924" s="2">
        <v>46059.589109143519</v>
      </c>
      <c r="C1924" s="3" t="str">
        <f>IFERROR(VLOOKUP(A1924,'Base Prueba'!A:C,3,),"NO REGISTRA")</f>
        <v>MARIA JOHANA ESCAMILLA MARTINEZ</v>
      </c>
      <c r="D1924" s="4" t="str">
        <f>IFERROR(VLOOKUP(A1924,'Base Prueba'!A:D,4,),"NO REGISTRA")</f>
        <v>PROMOTOR DE INFORMACIÓN</v>
      </c>
      <c r="E1924" s="5" t="str">
        <f>IFERROR(VLOOKUP(A1924,'Base Prueba'!A:E,5,),"NO REGISTRA")</f>
        <v>OFICINA DE MERCADEO</v>
      </c>
    </row>
    <row r="1925" spans="1:5" ht="15.75" x14ac:dyDescent="0.25">
      <c r="A1925" s="10">
        <v>1031802160</v>
      </c>
      <c r="B1925" s="2">
        <v>46059.708703356482</v>
      </c>
      <c r="C1925" s="3" t="str">
        <f>IFERROR(VLOOKUP(A1925,'Base Prueba'!A:C,3,),"NO REGISTRA")</f>
        <v>LUISA MARIA MAHECHA SOTOMAYOR</v>
      </c>
      <c r="D1925" s="4" t="str">
        <f>IFERROR(VLOOKUP(A1925,'Base Prueba'!A:D,4,),"NO REGISTRA")</f>
        <v>APRENDIZ UNIVERSITARIO</v>
      </c>
      <c r="E1925" s="5" t="str">
        <f>IFERROR(VLOOKUP(A1925,'Base Prueba'!A:E,5,),"NO REGISTRA")</f>
        <v>OFICINA DE MERCADEO</v>
      </c>
    </row>
    <row r="1926" spans="1:5" ht="15.75" x14ac:dyDescent="0.25">
      <c r="A1926" s="10">
        <v>1032469638</v>
      </c>
      <c r="B1926" s="2">
        <v>46059.711507986111</v>
      </c>
      <c r="C1926" s="3" t="str">
        <f>IFERROR(VLOOKUP(A1926,'Base Prueba'!A:C,3,),"NO REGISTRA")</f>
        <v>MAICOL JARBEY GUALTEROS CASTAÑEDA</v>
      </c>
      <c r="D1926" s="4" t="str">
        <f>IFERROR(VLOOKUP(A1926,'Base Prueba'!A:D,4,),"NO REGISTRA")</f>
        <v>COORDINADOR DEL SISTEMA INTERNO DE ASEGURAMIENTO DE LA CALIDAD - SIAC</v>
      </c>
      <c r="E1926" s="5" t="str">
        <f>IFERROR(VLOOKUP(A1926,'Base Prueba'!A:E,5,),"NO REGISTRA")</f>
        <v>OFICINA DE PLANEACION Y GESTION DE LA CALIDAD</v>
      </c>
    </row>
    <row r="1927" spans="1:5" ht="15.75" x14ac:dyDescent="0.25">
      <c r="A1927" s="10">
        <v>1000354041</v>
      </c>
      <c r="B1927" s="2">
        <v>46059.71203865741</v>
      </c>
      <c r="C1927" s="3" t="str">
        <f>IFERROR(VLOOKUP(A1927,'Base Prueba'!A:C,3,),"NO REGISTRA")</f>
        <v>ANGIE NATALIA BOHORQUEZ SANCHEZ</v>
      </c>
      <c r="D1927" s="4" t="str">
        <f>IFERROR(VLOOKUP(A1927,'Base Prueba'!A:D,4,),"NO REGISTRA")</f>
        <v>APRENDIZ UNIVERSITARIO</v>
      </c>
      <c r="E1927" s="5" t="str">
        <f>IFERROR(VLOOKUP(A1927,'Base Prueba'!A:E,5,),"NO REGISTRA")</f>
        <v>OFICINA DE PLANEACION Y GESTION DE LA CALIDAD</v>
      </c>
    </row>
    <row r="1928" spans="1:5" ht="15.75" x14ac:dyDescent="0.25">
      <c r="A1928" s="10">
        <v>1000467399</v>
      </c>
      <c r="B1928" s="2">
        <v>46059.712160185183</v>
      </c>
      <c r="C1928" s="3" t="str">
        <f>IFERROR(VLOOKUP(A1928,'Base Prueba'!A:C,3,),"NO REGISTRA")</f>
        <v>BRANDO ESTIVEN DIAZ QUIMBAYA</v>
      </c>
      <c r="D1928" s="4" t="str">
        <f>IFERROR(VLOOKUP(A1928,'Base Prueba'!A:D,4,),"NO REGISTRA")</f>
        <v>APRENDIZ UNIVERSITARIO</v>
      </c>
      <c r="E1928" s="5" t="str">
        <f>IFERROR(VLOOKUP(A1928,'Base Prueba'!A:E,5,),"NO REGISTRA")</f>
        <v>DEPARTAMENTO DE GESTION HUMANA</v>
      </c>
    </row>
    <row r="1929" spans="1:5" ht="15.75" x14ac:dyDescent="0.25">
      <c r="A1929" s="10">
        <v>1193457976</v>
      </c>
      <c r="B1929" s="2">
        <v>46059.713134837963</v>
      </c>
      <c r="C1929" s="3" t="str">
        <f>IFERROR(VLOOKUP(A1929,'Base Prueba'!A:C,3,),"NO REGISTRA")</f>
        <v>SEDENIS RIVAS ASPRILLA</v>
      </c>
      <c r="D1929" s="4" t="str">
        <f>IFERROR(VLOOKUP(A1929,'Base Prueba'!A:D,4,),"NO REGISTRA")</f>
        <v>APRENDIZ UNIVERSITARIO</v>
      </c>
      <c r="E1929" s="5" t="str">
        <f>IFERROR(VLOOKUP(A1929,'Base Prueba'!A:E,5,),"NO REGISTRA")</f>
        <v>DEPARTAMENTO DE GESTION HUMANA</v>
      </c>
    </row>
    <row r="1930" spans="1:5" ht="15.75" x14ac:dyDescent="0.25">
      <c r="A1930" s="10">
        <v>1014308296</v>
      </c>
      <c r="B1930" s="2">
        <v>46059.71334988426</v>
      </c>
      <c r="C1930" s="3" t="str">
        <f>IFERROR(VLOOKUP(A1930,'Base Prueba'!A:C,3,),"NO REGISTRA")</f>
        <v>DARLENE YULIANA MORENO CELEITA</v>
      </c>
      <c r="D1930" s="4" t="str">
        <f>IFERROR(VLOOKUP(A1930,'Base Prueba'!A:D,4,),"NO REGISTRA")</f>
        <v>CAJERO PRINCIPAL</v>
      </c>
      <c r="E1930" s="5" t="str">
        <f>IFERROR(VLOOKUP(A1930,'Base Prueba'!A:E,5,),"NO REGISTRA")</f>
        <v>AREA FINANCIERA Y CONTABLE</v>
      </c>
    </row>
    <row r="1931" spans="1:5" ht="15.75" x14ac:dyDescent="0.25">
      <c r="A1931" s="10">
        <v>1022996882</v>
      </c>
      <c r="B1931" s="2">
        <v>46059.713545370367</v>
      </c>
      <c r="C1931" s="3" t="str">
        <f>IFERROR(VLOOKUP(A1931,'Base Prueba'!A:C,3,),"NO REGISTRA")</f>
        <v>NANCY BRIGITH ALDANA GUEVARA</v>
      </c>
      <c r="D1931" s="4" t="str">
        <f>IFERROR(VLOOKUP(A1931,'Base Prueba'!A:D,4,),"NO REGISTRA")</f>
        <v>COORDINADORA DE GESTIÓN HUMANA</v>
      </c>
      <c r="E1931" s="5" t="str">
        <f>IFERROR(VLOOKUP(A1931,'Base Prueba'!A:E,5,),"NO REGISTRA")</f>
        <v>DEPARTAMENTO DE GESTION HUMANA</v>
      </c>
    </row>
    <row r="1932" spans="1:5" ht="15.75" x14ac:dyDescent="0.25">
      <c r="A1932" s="10">
        <v>1000687931</v>
      </c>
      <c r="B1932" s="2">
        <v>46059.715850347224</v>
      </c>
      <c r="C1932" s="3" t="str">
        <f>IFERROR(VLOOKUP(A1932,'Base Prueba'!A:C,3,),"NO REGISTRA")</f>
        <v>ANDRES FELIPE PUENTES TORRES</v>
      </c>
      <c r="D1932" s="4" t="str">
        <f>IFERROR(VLOOKUP(A1932,'Base Prueba'!A:D,4,),"NO REGISTRA")</f>
        <v>AUXILIAR ADMINISTRATIVO</v>
      </c>
      <c r="E1932" s="5" t="str">
        <f>IFERROR(VLOOKUP(A1932,'Base Prueba'!A:E,5,),"NO REGISTRA")</f>
        <v>REGISTRO Y CONTROL ACADEMICO</v>
      </c>
    </row>
    <row r="1933" spans="1:5" ht="15.75" x14ac:dyDescent="0.25">
      <c r="A1933" s="10">
        <v>1014977624</v>
      </c>
      <c r="B1933" s="2">
        <v>46059.71719664352</v>
      </c>
      <c r="C1933" s="3" t="str">
        <f>IFERROR(VLOOKUP(A1933,'Base Prueba'!A:C,3,),"NO REGISTRA")</f>
        <v>NICCOLE VALENTINA HERNANDEZ MALAVER</v>
      </c>
      <c r="D1933" s="4" t="str">
        <f>IFERROR(VLOOKUP(A1933,'Base Prueba'!A:D,4,),"NO REGISTRA")</f>
        <v>APRENDIZ UNIVERSITARIO</v>
      </c>
      <c r="E1933" s="5" t="str">
        <f>IFERROR(VLOOKUP(A1933,'Base Prueba'!A:E,5,),"NO REGISTRA")</f>
        <v>AREA FINANCIERA Y CONTABLE</v>
      </c>
    </row>
    <row r="1934" spans="1:5" ht="15.75" x14ac:dyDescent="0.25">
      <c r="A1934" s="10">
        <v>1000604979</v>
      </c>
      <c r="B1934" s="2">
        <v>46059.736497106482</v>
      </c>
      <c r="C1934" s="3" t="str">
        <f>IFERROR(VLOOKUP(A1934,'Base Prueba'!A:C,3,),"NO REGISTRA")</f>
        <v>JULIETH TATIANA PARDO PINTO</v>
      </c>
      <c r="D1934" s="4" t="str">
        <f>IFERROR(VLOOKUP(A1934,'Base Prueba'!A:D,4,),"NO REGISTRA")</f>
        <v>AUXILIAR JURIDICO</v>
      </c>
      <c r="E1934" s="5" t="str">
        <f>IFERROR(VLOOKUP(A1934,'Base Prueba'!A:E,5,),"NO REGISTRA")</f>
        <v>SECRETARIA GENERAL</v>
      </c>
    </row>
    <row r="1935" spans="1:5" ht="15.75" x14ac:dyDescent="0.25">
      <c r="A1935" s="10">
        <v>1000593372</v>
      </c>
      <c r="B1935" s="2">
        <v>46059.736553472219</v>
      </c>
      <c r="C1935" s="3" t="str">
        <f>IFERROR(VLOOKUP(A1935,'Base Prueba'!A:C,3,),"NO REGISTRA")</f>
        <v>LAURA SOFIA CHAPARRO LOPEZ</v>
      </c>
      <c r="D1935" s="4" t="str">
        <f>IFERROR(VLOOKUP(A1935,'Base Prueba'!A:D,4,),"NO REGISTRA")</f>
        <v>AUXILIAR JURIDICO</v>
      </c>
      <c r="E1935" s="5" t="str">
        <f>IFERROR(VLOOKUP(A1935,'Base Prueba'!A:E,5,),"NO REGISTRA")</f>
        <v>SECRETARIA GENERAL</v>
      </c>
    </row>
    <row r="1936" spans="1:5" ht="15.75" x14ac:dyDescent="0.25">
      <c r="A1936" s="10">
        <v>1000324729</v>
      </c>
      <c r="B1936" s="2">
        <v>46059.73751053241</v>
      </c>
      <c r="C1936" s="3" t="str">
        <f>IFERROR(VLOOKUP(A1936,'Base Prueba'!A:C,3,),"NO REGISTRA")</f>
        <v>ANYIE VANESSA TINOCO CAMACHO</v>
      </c>
      <c r="D1936" s="4" t="str">
        <f>IFERROR(VLOOKUP(A1936,'Base Prueba'!A:D,4,),"NO REGISTRA")</f>
        <v>LIDER DE REGISTRO Y CONTROL</v>
      </c>
      <c r="E1936" s="5" t="str">
        <f>IFERROR(VLOOKUP(A1936,'Base Prueba'!A:E,5,),"NO REGISTRA")</f>
        <v>REGISTRO Y CONTROL ACADEMICO</v>
      </c>
    </row>
    <row r="1937" spans="1:5" ht="15.75" x14ac:dyDescent="0.25">
      <c r="A1937" s="10">
        <v>1013616244</v>
      </c>
      <c r="B1937" s="2">
        <v>46059.737525925928</v>
      </c>
      <c r="C1937" s="3" t="str">
        <f>IFERROR(VLOOKUP(A1937,'Base Prueba'!A:C,3,),"NO REGISTRA")</f>
        <v>DIANA CAROLINA MARIN BETANCOURT</v>
      </c>
      <c r="D1937" s="4" t="str">
        <f>IFERROR(VLOOKUP(A1937,'Base Prueba'!A:D,4,),"NO REGISTRA")</f>
        <v>AUXILIAR ADMINISTRATIVO</v>
      </c>
      <c r="E1937" s="5" t="str">
        <f>IFERROR(VLOOKUP(A1937,'Base Prueba'!A:E,5,),"NO REGISTRA")</f>
        <v>REGISTRO Y CONTROL ACADEMICO</v>
      </c>
    </row>
    <row r="1938" spans="1:5" ht="15.75" x14ac:dyDescent="0.25">
      <c r="A1938" s="10">
        <v>1000257136</v>
      </c>
      <c r="B1938" s="2">
        <v>46059.745255092595</v>
      </c>
      <c r="C1938" s="3" t="str">
        <f>IFERROR(VLOOKUP(A1938,'Base Prueba'!A:C,3,),"NO REGISTRA")</f>
        <v>FRANCI VALENTINA CANO PUENTES</v>
      </c>
      <c r="D1938" s="4" t="str">
        <f>IFERROR(VLOOKUP(A1938,'Base Prueba'!A:D,4,),"NO REGISTRA")</f>
        <v>AUXILIAR CONTABLE</v>
      </c>
      <c r="E1938" s="5" t="str">
        <f>IFERROR(VLOOKUP(A1938,'Base Prueba'!A:E,5,),"NO REGISTRA")</f>
        <v>AREA FINANCIERA Y CONTABLE</v>
      </c>
    </row>
    <row r="1939" spans="1:5" ht="15.75" x14ac:dyDescent="0.25">
      <c r="A1939" s="10">
        <v>1000457706</v>
      </c>
      <c r="B1939" s="2">
        <v>46059.745888194448</v>
      </c>
      <c r="C1939" s="3" t="str">
        <f>IFERROR(VLOOKUP(A1939,'Base Prueba'!A:C,3,),"NO REGISTRA")</f>
        <v>CRISTIAN DANILO ARROYO SANABRIA</v>
      </c>
      <c r="D1939" s="4" t="str">
        <f>IFERROR(VLOOKUP(A1939,'Base Prueba'!A:D,4,),"NO REGISTRA")</f>
        <v>AUXILIAR CONTABLE</v>
      </c>
      <c r="E1939" s="5" t="str">
        <f>IFERROR(VLOOKUP(A1939,'Base Prueba'!A:E,5,),"NO REGISTRA")</f>
        <v>AREA FINANCIERA Y CONTABLE</v>
      </c>
    </row>
    <row r="1940" spans="1:5" ht="15.75" x14ac:dyDescent="0.25">
      <c r="A1940" s="10">
        <v>1023883232</v>
      </c>
      <c r="B1940" s="2">
        <v>46059.749614120374</v>
      </c>
      <c r="C1940" s="3" t="str">
        <f>IFERROR(VLOOKUP(A1940,'Base Prueba'!A:C,3,),"NO REGISTRA")</f>
        <v>MONICA ANDREA ACERO URBANO</v>
      </c>
      <c r="D1940" s="4" t="str">
        <f>IFERROR(VLOOKUP(A1940,'Base Prueba'!A:D,4,),"NO REGISTRA")</f>
        <v>APOYO INTEGRAL A GESTION HUMANA</v>
      </c>
      <c r="E1940" s="5" t="str">
        <f>IFERROR(VLOOKUP(A1940,'Base Prueba'!A:E,5,),"NO REGISTRA")</f>
        <v>DEPARTAMENTO DE GESTION HUMANA</v>
      </c>
    </row>
    <row r="1941" spans="1:5" ht="15.75" x14ac:dyDescent="0.25">
      <c r="A1941" s="10">
        <v>1012426741</v>
      </c>
      <c r="B1941" s="2">
        <v>46059.750697222225</v>
      </c>
      <c r="C1941" s="3" t="str">
        <f>IFERROR(VLOOKUP(A1941,'Base Prueba'!A:C,3,),"NO REGISTRA")</f>
        <v>CRISTIAN FABIAN ROJAS SANCENO</v>
      </c>
      <c r="D1941" s="4" t="str">
        <f>IFERROR(VLOOKUP(A1941,'Base Prueba'!A:D,4,),"NO REGISTRA")</f>
        <v>AUXILIAR DE REINTEGROS</v>
      </c>
      <c r="E1941" s="5" t="str">
        <f>IFERROR(VLOOKUP(A1941,'Base Prueba'!A:E,5,),"NO REGISTRA")</f>
        <v>DIRECCION DE BIENESTAR INSTITUCIONAL</v>
      </c>
    </row>
    <row r="1942" spans="1:5" ht="15.75" x14ac:dyDescent="0.25">
      <c r="A1942" s="10">
        <v>1018413529</v>
      </c>
      <c r="B1942" s="2">
        <v>46059.751937847221</v>
      </c>
      <c r="C1942" s="3" t="str">
        <f>IFERROR(VLOOKUP(A1942,'Base Prueba'!A:C,3,),"NO REGISTRA")</f>
        <v>FRANCY STELLA CHARRY MORENO</v>
      </c>
      <c r="D1942" s="4" t="str">
        <f>IFERROR(VLOOKUP(A1942,'Base Prueba'!A:D,4,),"NO REGISTRA")</f>
        <v>PROMOTOR COMERCIAL DEL CEA</v>
      </c>
      <c r="E1942" s="5" t="str">
        <f>IFERROR(VLOOKUP(A1942,'Base Prueba'!A:E,5,),"NO REGISTRA")</f>
        <v>OFICINA DE MERCADEO</v>
      </c>
    </row>
    <row r="1943" spans="1:5" ht="15.75" x14ac:dyDescent="0.25">
      <c r="A1943" s="10">
        <v>52472386</v>
      </c>
      <c r="B1943" s="2">
        <v>46059.75355509259</v>
      </c>
      <c r="C1943" s="3" t="str">
        <f>IFERROR(VLOOKUP(A1943,'Base Prueba'!A:C,3,),"NO REGISTRA")</f>
        <v>ADRIANA MARCELA MORALES PARDO</v>
      </c>
      <c r="D1943" s="4" t="str">
        <f>IFERROR(VLOOKUP(A1943,'Base Prueba'!A:D,4,),"NO REGISTRA")</f>
        <v>PROMOTOR CALL CENTER</v>
      </c>
      <c r="E1943" s="5" t="str">
        <f>IFERROR(VLOOKUP(A1943,'Base Prueba'!A:E,5,),"NO REGISTRA")</f>
        <v>OFICINA DE MERCADEO</v>
      </c>
    </row>
    <row r="1944" spans="1:5" ht="15.75" x14ac:dyDescent="0.25">
      <c r="A1944" s="10">
        <v>28798349</v>
      </c>
      <c r="B1944" s="2">
        <v>46059.753873611109</v>
      </c>
      <c r="C1944" s="3" t="str">
        <f>IFERROR(VLOOKUP(A1944,'Base Prueba'!A:C,3,),"NO REGISTRA")</f>
        <v>MARTHA ISABEL TOVAR WILLIAMS</v>
      </c>
      <c r="D1944" s="4" t="str">
        <f>IFERROR(VLOOKUP(A1944,'Base Prueba'!A:D,4,),"NO REGISTRA")</f>
        <v>PROMOTOR CALL CENTER</v>
      </c>
      <c r="E1944" s="5" t="str">
        <f>IFERROR(VLOOKUP(A1944,'Base Prueba'!A:E,5,),"NO REGISTRA")</f>
        <v>OFICINA DE MERCADEO</v>
      </c>
    </row>
    <row r="1945" spans="1:5" ht="15.75" x14ac:dyDescent="0.25">
      <c r="A1945" s="10">
        <v>1019105003</v>
      </c>
      <c r="B1945" s="2">
        <v>46059.754490277781</v>
      </c>
      <c r="C1945" s="3" t="str">
        <f>IFERROR(VLOOKUP(A1945,'Base Prueba'!A:C,3,),"NO REGISTRA")</f>
        <v>DAISY JULIETH GASPAR MORENO</v>
      </c>
      <c r="D1945" s="4" t="str">
        <f>IFERROR(VLOOKUP(A1945,'Base Prueba'!A:D,4,),"NO REGISTRA")</f>
        <v>PROMOTOR CALL CENTER</v>
      </c>
      <c r="E1945" s="5" t="str">
        <f>IFERROR(VLOOKUP(A1945,'Base Prueba'!A:E,5,),"NO REGISTRA")</f>
        <v>OFICINA DE MERCADEO</v>
      </c>
    </row>
    <row r="1946" spans="1:5" ht="15.75" x14ac:dyDescent="0.25">
      <c r="A1946" s="10">
        <v>52764929</v>
      </c>
      <c r="B1946" s="2">
        <v>46059.756652199074</v>
      </c>
      <c r="C1946" s="3" t="str">
        <f>IFERROR(VLOOKUP(A1946,'Base Prueba'!A:C,3,),"NO REGISTRA")</f>
        <v>GUERLY YOHANA DURAN RIVERA</v>
      </c>
      <c r="D1946" s="4" t="str">
        <f>IFERROR(VLOOKUP(A1946,'Base Prueba'!A:D,4,),"NO REGISTRA")</f>
        <v>LIDER DE VINCULACION COLEGIOS</v>
      </c>
      <c r="E1946" s="5" t="str">
        <f>IFERROR(VLOOKUP(A1946,'Base Prueba'!A:E,5,),"NO REGISTRA")</f>
        <v>OFICINA DE MERCADEO</v>
      </c>
    </row>
    <row r="1947" spans="1:5" ht="15.75" x14ac:dyDescent="0.25">
      <c r="A1947" s="10">
        <v>1014196857</v>
      </c>
      <c r="B1947" s="2">
        <v>46059.759035648145</v>
      </c>
      <c r="C1947" s="3" t="str">
        <f>IFERROR(VLOOKUP(A1947,'Base Prueba'!A:C,3,),"NO REGISTRA")</f>
        <v>CARLOS ANDRES JIMENEZ PARDO</v>
      </c>
      <c r="D1947" s="4" t="str">
        <f>IFERROR(VLOOKUP(A1947,'Base Prueba'!A:D,4,),"NO REGISTRA")</f>
        <v>COORDINADOR DE MARKETING DIGITAL</v>
      </c>
      <c r="E1947" s="5" t="str">
        <f>IFERROR(VLOOKUP(A1947,'Base Prueba'!A:E,5,),"NO REGISTRA")</f>
        <v>OFICINA DE MERCADEO</v>
      </c>
    </row>
    <row r="1948" spans="1:5" ht="15.75" x14ac:dyDescent="0.25">
      <c r="A1948" s="10">
        <v>1193265768</v>
      </c>
      <c r="B1948" s="2">
        <v>46059.759071643515</v>
      </c>
      <c r="C1948" s="3" t="str">
        <f>IFERROR(VLOOKUP(A1948,'Base Prueba'!A:C,3,),"NO REGISTRA")</f>
        <v>SANTIAGO OSORIO CAMACHO</v>
      </c>
      <c r="D1948" s="4" t="str">
        <f>IFERROR(VLOOKUP(A1948,'Base Prueba'!A:D,4,),"NO REGISTRA")</f>
        <v>ANALISTA DE PAUTA</v>
      </c>
      <c r="E1948" s="5" t="str">
        <f>IFERROR(VLOOKUP(A1948,'Base Prueba'!A:E,5,),"NO REGISTRA")</f>
        <v>OFICINA DE MERCADEO</v>
      </c>
    </row>
    <row r="1949" spans="1:5" ht="15.75" x14ac:dyDescent="0.25">
      <c r="A1949" s="10">
        <v>53932358</v>
      </c>
      <c r="B1949" s="2">
        <v>46059.75916134259</v>
      </c>
      <c r="C1949" s="3" t="str">
        <f>IFERROR(VLOOKUP(A1949,'Base Prueba'!A:C,3,),"NO REGISTRA")</f>
        <v>DIANA MADELEYNE GAONA RODRIGUEZ</v>
      </c>
      <c r="D1949" s="4" t="str">
        <f>IFERROR(VLOOKUP(A1949,'Base Prueba'!A:D,4,),"NO REGISTRA")</f>
        <v>CONTADOR</v>
      </c>
      <c r="E1949" s="5" t="str">
        <f>IFERROR(VLOOKUP(A1949,'Base Prueba'!A:E,5,),"NO REGISTRA")</f>
        <v>AREA FINANCIERA Y CONTABLE</v>
      </c>
    </row>
    <row r="1950" spans="1:5" ht="15.75" x14ac:dyDescent="0.25">
      <c r="A1950" s="10">
        <v>1003690253</v>
      </c>
      <c r="B1950" s="2">
        <v>46059.759588657405</v>
      </c>
      <c r="C1950" s="3" t="str">
        <f>IFERROR(VLOOKUP(A1950,'Base Prueba'!A:C,3,),"NO REGISTRA")</f>
        <v>MELISSA GONZALEZ PEDRAZA</v>
      </c>
      <c r="D1950" s="4" t="str">
        <f>IFERROR(VLOOKUP(A1950,'Base Prueba'!A:D,4,),"NO REGISTRA")</f>
        <v>LIDER DE JOVENES A LA E</v>
      </c>
      <c r="E1950" s="5" t="str">
        <f>IFERROR(VLOOKUP(A1950,'Base Prueba'!A:E,5,),"NO REGISTRA")</f>
        <v>DIRECCION DE BIENESTAR INSTITUCIONAL</v>
      </c>
    </row>
    <row r="1951" spans="1:5" ht="15.75" x14ac:dyDescent="0.25">
      <c r="A1951" s="10">
        <v>52474489</v>
      </c>
      <c r="B1951" s="2">
        <v>46059.766007754632</v>
      </c>
      <c r="C1951" s="3" t="str">
        <f>IFERROR(VLOOKUP(A1951,'Base Prueba'!A:C,3,),"NO REGISTRA")</f>
        <v>ADRIANA JIMENA SOTO BOCANEGRA</v>
      </c>
      <c r="D1951" s="4" t="str">
        <f>IFERROR(VLOOKUP(A1951,'Base Prueba'!A:D,4,),"NO REGISTRA")</f>
        <v>COORDINADOR DE LA OFICINA DE REGISTRO Y CONTROL</v>
      </c>
      <c r="E1951" s="5" t="str">
        <f>IFERROR(VLOOKUP(A1951,'Base Prueba'!A:E,5,),"NO REGISTRA")</f>
        <v>REGISTRO Y CONTROL ACADEMICO</v>
      </c>
    </row>
    <row r="1952" spans="1:5" ht="15.75" x14ac:dyDescent="0.25">
      <c r="A1952" s="10">
        <v>1018414290</v>
      </c>
      <c r="B1952" s="2">
        <v>46059.771588194446</v>
      </c>
      <c r="C1952" s="3" t="str">
        <f>IFERROR(VLOOKUP(A1952,'Base Prueba'!A:C,3,),"NO REGISTRA")</f>
        <v>AMANDA LISBETH RODRIGUEZ LEON</v>
      </c>
      <c r="D1952" s="4" t="str">
        <f>IFERROR(VLOOKUP(A1952,'Base Prueba'!A:D,4,),"NO REGISTRA")</f>
        <v>PROMOTOR CALL CENTER</v>
      </c>
      <c r="E1952" s="5" t="str">
        <f>IFERROR(VLOOKUP(A1952,'Base Prueba'!A:E,5,),"NO REGISTRA")</f>
        <v>OFICINA DE MERCADEO</v>
      </c>
    </row>
    <row r="1953" spans="1:5" ht="15.75" x14ac:dyDescent="0.25">
      <c r="A1953" s="10">
        <v>1032407386</v>
      </c>
      <c r="B1953" s="2">
        <v>46059.771620949075</v>
      </c>
      <c r="C1953" s="3" t="str">
        <f>IFERROR(VLOOKUP(A1953,'Base Prueba'!A:C,3,),"NO REGISTRA")</f>
        <v>GINA PAOLA BAEZ GALVIS</v>
      </c>
      <c r="D1953" s="4" t="str">
        <f>IFERROR(VLOOKUP(A1953,'Base Prueba'!A:D,4,),"NO REGISTRA")</f>
        <v>PROMOTOR CALL CENTER</v>
      </c>
      <c r="E1953" s="5" t="str">
        <f>IFERROR(VLOOKUP(A1953,'Base Prueba'!A:E,5,),"NO REGISTRA")</f>
        <v>OFICINA DE MERCADEO</v>
      </c>
    </row>
    <row r="1954" spans="1:5" ht="15.75" x14ac:dyDescent="0.25">
      <c r="A1954" s="10">
        <v>80234243</v>
      </c>
      <c r="B1954" s="2">
        <v>46059.774725578704</v>
      </c>
      <c r="C1954" s="3" t="str">
        <f>IFERROR(VLOOKUP(A1954,'Base Prueba'!A:C,3,),"NO REGISTRA")</f>
        <v>ARGENIS MARTINEZ MARTINEZ</v>
      </c>
      <c r="D1954" s="4" t="str">
        <f>IFERROR(VLOOKUP(A1954,'Base Prueba'!A:D,4,),"NO REGISTRA")</f>
        <v>LIDER CALL CENTER</v>
      </c>
      <c r="E1954" s="5" t="str">
        <f>IFERROR(VLOOKUP(A1954,'Base Prueba'!A:E,5,),"NO REGISTRA")</f>
        <v>OFICINA DE MERCADEO</v>
      </c>
    </row>
    <row r="1955" spans="1:5" ht="15.75" x14ac:dyDescent="0.25">
      <c r="A1955" s="10">
        <v>1033709056</v>
      </c>
      <c r="B1955" s="2">
        <v>46059.781590162034</v>
      </c>
      <c r="C1955" s="3" t="str">
        <f>IFERROR(VLOOKUP(A1955,'Base Prueba'!A:C,3,),"NO REGISTRA")</f>
        <v>YEIMY ALEXANDRA RODRIGUEZ PALACIO</v>
      </c>
      <c r="D1955" s="4" t="str">
        <f>IFERROR(VLOOKUP(A1955,'Base Prueba'!A:D,4,),"NO REGISTRA")</f>
        <v>PROMOTOR CALL CENTER</v>
      </c>
      <c r="E1955" s="5" t="str">
        <f>IFERROR(VLOOKUP(A1955,'Base Prueba'!A:E,5,),"NO REGISTRA")</f>
        <v>OFICINA DE MERCADEO</v>
      </c>
    </row>
    <row r="1956" spans="1:5" ht="15.75" x14ac:dyDescent="0.25">
      <c r="A1956" s="10">
        <v>1016090131</v>
      </c>
      <c r="B1956" s="2">
        <v>46059.78805289352</v>
      </c>
      <c r="C1956" s="3" t="str">
        <f>IFERROR(VLOOKUP(A1956,'Base Prueba'!A:C,3,),"NO REGISTRA")</f>
        <v>NICOLAS RODRIGUEZ PACHECO</v>
      </c>
      <c r="D1956" s="4" t="str">
        <f>IFERROR(VLOOKUP(A1956,'Base Prueba'!A:D,4,),"NO REGISTRA")</f>
        <v>COORDINADOR DE COMUNICACIONES</v>
      </c>
      <c r="E1956" s="5" t="str">
        <f>IFERROR(VLOOKUP(A1956,'Base Prueba'!A:E,5,),"NO REGISTRA")</f>
        <v>OFICINA DE MERCADEO</v>
      </c>
    </row>
    <row r="1957" spans="1:5" ht="15.75" x14ac:dyDescent="0.25">
      <c r="A1957" s="10">
        <v>1000324729</v>
      </c>
      <c r="B1957" s="2">
        <v>46060.327346180558</v>
      </c>
      <c r="C1957" s="3" t="str">
        <f>IFERROR(VLOOKUP(A1957,'Base Prueba'!A:C,3,),"NO REGISTRA")</f>
        <v>ANYIE VANESSA TINOCO CAMACHO</v>
      </c>
      <c r="D1957" s="4" t="str">
        <f>IFERROR(VLOOKUP(A1957,'Base Prueba'!A:D,4,),"NO REGISTRA")</f>
        <v>LIDER DE REGISTRO Y CONTROL</v>
      </c>
      <c r="E1957" s="5" t="str">
        <f>IFERROR(VLOOKUP(A1957,'Base Prueba'!A:E,5,),"NO REGISTRA")</f>
        <v>REGISTRO Y CONTROL ACADEMICO</v>
      </c>
    </row>
    <row r="1958" spans="1:5" ht="15.75" x14ac:dyDescent="0.25">
      <c r="A1958" s="10">
        <v>1013616244</v>
      </c>
      <c r="B1958" s="2">
        <v>46060.330491203706</v>
      </c>
      <c r="C1958" s="3" t="str">
        <f>IFERROR(VLOOKUP(A1958,'Base Prueba'!A:C,3,),"NO REGISTRA")</f>
        <v>DIANA CAROLINA MARIN BETANCOURT</v>
      </c>
      <c r="D1958" s="4" t="str">
        <f>IFERROR(VLOOKUP(A1958,'Base Prueba'!A:D,4,),"NO REGISTRA")</f>
        <v>AUXILIAR ADMINISTRATIVO</v>
      </c>
      <c r="E1958" s="5" t="str">
        <f>IFERROR(VLOOKUP(A1958,'Base Prueba'!A:E,5,),"NO REGISTRA")</f>
        <v>REGISTRO Y CONTROL ACADEMICO</v>
      </c>
    </row>
    <row r="1959" spans="1:5" ht="15.75" x14ac:dyDescent="0.25">
      <c r="A1959" s="10">
        <v>1087121273</v>
      </c>
      <c r="B1959" s="2">
        <v>46060.343919560182</v>
      </c>
      <c r="C1959" s="3" t="str">
        <f>IFERROR(VLOOKUP(A1959,'Base Prueba'!A:C,3,),"NO REGISTRA")</f>
        <v>MAYRA ALEJANDRA CASTILLO ARBOLEDA</v>
      </c>
      <c r="D1959" s="4" t="str">
        <f>IFERROR(VLOOKUP(A1959,'Base Prueba'!A:D,4,),"NO REGISTRA")</f>
        <v>APOYO INTEGRAL DE MERCADEO</v>
      </c>
      <c r="E1959" s="5" t="str">
        <f>IFERROR(VLOOKUP(A1959,'Base Prueba'!A:E,5,),"NO REGISTRA")</f>
        <v>CENTRO DE GESTION DOCUMENTAL</v>
      </c>
    </row>
    <row r="1960" spans="1:5" ht="15.75" x14ac:dyDescent="0.25">
      <c r="A1960" s="10">
        <v>1000457706</v>
      </c>
      <c r="B1960" s="2">
        <v>46060.34574675926</v>
      </c>
      <c r="C1960" s="3" t="str">
        <f>IFERROR(VLOOKUP(A1960,'Base Prueba'!A:C,3,),"NO REGISTRA")</f>
        <v>CRISTIAN DANILO ARROYO SANABRIA</v>
      </c>
      <c r="D1960" s="4" t="str">
        <f>IFERROR(VLOOKUP(A1960,'Base Prueba'!A:D,4,),"NO REGISTRA")</f>
        <v>AUXILIAR CONTABLE</v>
      </c>
      <c r="E1960" s="5" t="str">
        <f>IFERROR(VLOOKUP(A1960,'Base Prueba'!A:E,5,),"NO REGISTRA")</f>
        <v>AREA FINANCIERA Y CONTABLE</v>
      </c>
    </row>
    <row r="1961" spans="1:5" ht="15.75" x14ac:dyDescent="0.25">
      <c r="A1961" s="10">
        <v>80234243</v>
      </c>
      <c r="B1961" s="2">
        <v>46060.361065277779</v>
      </c>
      <c r="C1961" s="3" t="str">
        <f>IFERROR(VLOOKUP(A1961,'Base Prueba'!A:C,3,),"NO REGISTRA")</f>
        <v>ARGENIS MARTINEZ MARTINEZ</v>
      </c>
      <c r="D1961" s="4" t="str">
        <f>IFERROR(VLOOKUP(A1961,'Base Prueba'!A:D,4,),"NO REGISTRA")</f>
        <v>LIDER CALL CENTER</v>
      </c>
      <c r="E1961" s="5" t="str">
        <f>IFERROR(VLOOKUP(A1961,'Base Prueba'!A:E,5,),"NO REGISTRA")</f>
        <v>OFICINA DE MERCADEO</v>
      </c>
    </row>
    <row r="1962" spans="1:5" ht="15.75" x14ac:dyDescent="0.25">
      <c r="A1962" s="10">
        <v>1033709056</v>
      </c>
      <c r="B1962" s="2">
        <v>46060.365221296299</v>
      </c>
      <c r="C1962" s="3" t="str">
        <f>IFERROR(VLOOKUP(A1962,'Base Prueba'!A:C,3,),"NO REGISTRA")</f>
        <v>YEIMY ALEXANDRA RODRIGUEZ PALACIO</v>
      </c>
      <c r="D1962" s="4" t="str">
        <f>IFERROR(VLOOKUP(A1962,'Base Prueba'!A:D,4,),"NO REGISTRA")</f>
        <v>PROMOTOR CALL CENTER</v>
      </c>
      <c r="E1962" s="5" t="str">
        <f>IFERROR(VLOOKUP(A1962,'Base Prueba'!A:E,5,),"NO REGISTRA")</f>
        <v>OFICINA DE MERCADEO</v>
      </c>
    </row>
    <row r="1963" spans="1:5" ht="15.75" x14ac:dyDescent="0.25">
      <c r="A1963" s="10">
        <v>52472386</v>
      </c>
      <c r="B1963" s="2">
        <v>46060.365434490741</v>
      </c>
      <c r="C1963" s="3" t="str">
        <f>IFERROR(VLOOKUP(A1963,'Base Prueba'!A:C,3,),"NO REGISTRA")</f>
        <v>ADRIANA MARCELA MORALES PARDO</v>
      </c>
      <c r="D1963" s="4" t="str">
        <f>IFERROR(VLOOKUP(A1963,'Base Prueba'!A:D,4,),"NO REGISTRA")</f>
        <v>PROMOTOR CALL CENTER</v>
      </c>
      <c r="E1963" s="5" t="str">
        <f>IFERROR(VLOOKUP(A1963,'Base Prueba'!A:E,5,),"NO REGISTRA")</f>
        <v>OFICINA DE MERCADEO</v>
      </c>
    </row>
    <row r="1964" spans="1:5" ht="15.75" x14ac:dyDescent="0.25">
      <c r="A1964" s="10">
        <v>1032407386</v>
      </c>
      <c r="B1964" s="2">
        <v>46060.370192708331</v>
      </c>
      <c r="C1964" s="3" t="str">
        <f>IFERROR(VLOOKUP(A1964,'Base Prueba'!A:C,3,),"NO REGISTRA")</f>
        <v>GINA PAOLA BAEZ GALVIS</v>
      </c>
      <c r="D1964" s="4" t="str">
        <f>IFERROR(VLOOKUP(A1964,'Base Prueba'!A:D,4,),"NO REGISTRA")</f>
        <v>PROMOTOR CALL CENTER</v>
      </c>
      <c r="E1964" s="5" t="str">
        <f>IFERROR(VLOOKUP(A1964,'Base Prueba'!A:E,5,),"NO REGISTRA")</f>
        <v>OFICINA DE MERCADEO</v>
      </c>
    </row>
    <row r="1965" spans="1:5" ht="15.75" x14ac:dyDescent="0.25">
      <c r="A1965" s="10">
        <v>1012426741</v>
      </c>
      <c r="B1965" s="2">
        <v>46060.371409953703</v>
      </c>
      <c r="C1965" s="3" t="str">
        <f>IFERROR(VLOOKUP(A1965,'Base Prueba'!A:C,3,),"NO REGISTRA")</f>
        <v>CRISTIAN FABIAN ROJAS SANCENO</v>
      </c>
      <c r="D1965" s="4" t="str">
        <f>IFERROR(VLOOKUP(A1965,'Base Prueba'!A:D,4,),"NO REGISTRA")</f>
        <v>AUXILIAR DE REINTEGROS</v>
      </c>
      <c r="E1965" s="5" t="str">
        <f>IFERROR(VLOOKUP(A1965,'Base Prueba'!A:E,5,),"NO REGISTRA")</f>
        <v>DIRECCION DE BIENESTAR INSTITUCIONAL</v>
      </c>
    </row>
    <row r="1966" spans="1:5" ht="15.75" x14ac:dyDescent="0.25">
      <c r="A1966" s="10">
        <v>1018413529</v>
      </c>
      <c r="B1966" s="2">
        <v>46060.373240856483</v>
      </c>
      <c r="C1966" s="3" t="str">
        <f>IFERROR(VLOOKUP(A1966,'Base Prueba'!A:C,3,),"NO REGISTRA")</f>
        <v>FRANCY STELLA CHARRY MORENO</v>
      </c>
      <c r="D1966" s="4" t="str">
        <f>IFERROR(VLOOKUP(A1966,'Base Prueba'!A:D,4,),"NO REGISTRA")</f>
        <v>PROMOTOR COMERCIAL DEL CEA</v>
      </c>
      <c r="E1966" s="5" t="str">
        <f>IFERROR(VLOOKUP(A1966,'Base Prueba'!A:E,5,),"NO REGISTRA")</f>
        <v>OFICINA DE MERCADEO</v>
      </c>
    </row>
    <row r="1967" spans="1:5" ht="15.75" x14ac:dyDescent="0.25">
      <c r="A1967" s="10">
        <v>53089882</v>
      </c>
      <c r="B1967" s="2">
        <v>46060.374718865743</v>
      </c>
      <c r="C1967" s="3" t="str">
        <f>IFERROR(VLOOKUP(A1967,'Base Prueba'!A:C,3,),"NO REGISTRA")</f>
        <v>MARIA JOHANA ESCAMILLA MARTINEZ</v>
      </c>
      <c r="D1967" s="4" t="str">
        <f>IFERROR(VLOOKUP(A1967,'Base Prueba'!A:D,4,),"NO REGISTRA")</f>
        <v>PROMOTOR DE INFORMACIÓN</v>
      </c>
      <c r="E1967" s="5" t="str">
        <f>IFERROR(VLOOKUP(A1967,'Base Prueba'!A:E,5,),"NO REGISTRA")</f>
        <v>OFICINA DE MERCADEO</v>
      </c>
    </row>
    <row r="1968" spans="1:5" ht="15.75" x14ac:dyDescent="0.25">
      <c r="A1968" s="10">
        <v>1019105003</v>
      </c>
      <c r="B1968" s="2">
        <v>46060.376208796297</v>
      </c>
      <c r="C1968" s="3" t="str">
        <f>IFERROR(VLOOKUP(A1968,'Base Prueba'!A:C,3,),"NO REGISTRA")</f>
        <v>DAISY JULIETH GASPAR MORENO</v>
      </c>
      <c r="D1968" s="4" t="str">
        <f>IFERROR(VLOOKUP(A1968,'Base Prueba'!A:D,4,),"NO REGISTRA")</f>
        <v>PROMOTOR CALL CENTER</v>
      </c>
      <c r="E1968" s="5" t="str">
        <f>IFERROR(VLOOKUP(A1968,'Base Prueba'!A:E,5,),"NO REGISTRA")</f>
        <v>OFICINA DE MERCADEO</v>
      </c>
    </row>
    <row r="1969" spans="1:5" ht="15.75" x14ac:dyDescent="0.25">
      <c r="A1969" s="10">
        <v>1014308296</v>
      </c>
      <c r="B1969" s="2">
        <v>46060.376450810189</v>
      </c>
      <c r="C1969" s="3" t="str">
        <f>IFERROR(VLOOKUP(A1969,'Base Prueba'!A:C,3,),"NO REGISTRA")</f>
        <v>DARLENE YULIANA MORENO CELEITA</v>
      </c>
      <c r="D1969" s="4" t="str">
        <f>IFERROR(VLOOKUP(A1969,'Base Prueba'!A:D,4,),"NO REGISTRA")</f>
        <v>CAJERO PRINCIPAL</v>
      </c>
      <c r="E1969" s="5" t="str">
        <f>IFERROR(VLOOKUP(A1969,'Base Prueba'!A:E,5,),"NO REGISTRA")</f>
        <v>AREA FINANCIERA Y CONTABLE</v>
      </c>
    </row>
    <row r="1970" spans="1:5" ht="15.75" x14ac:dyDescent="0.25">
      <c r="A1970" s="10">
        <v>1018414290</v>
      </c>
      <c r="B1970" s="2">
        <v>46060.377602430555</v>
      </c>
      <c r="C1970" s="3" t="str">
        <f>IFERROR(VLOOKUP(A1970,'Base Prueba'!A:C,3,),"NO REGISTRA")</f>
        <v>AMANDA LISBETH RODRIGUEZ LEON</v>
      </c>
      <c r="D1970" s="4" t="str">
        <f>IFERROR(VLOOKUP(A1970,'Base Prueba'!A:D,4,),"NO REGISTRA")</f>
        <v>PROMOTOR CALL CENTER</v>
      </c>
      <c r="E1970" s="5" t="str">
        <f>IFERROR(VLOOKUP(A1970,'Base Prueba'!A:E,5,),"NO REGISTRA")</f>
        <v>OFICINA DE MERCADEO</v>
      </c>
    </row>
    <row r="1971" spans="1:5" ht="15.75" x14ac:dyDescent="0.25">
      <c r="A1971" s="10">
        <v>1000687931</v>
      </c>
      <c r="B1971" s="2">
        <v>46060.379361342595</v>
      </c>
      <c r="C1971" s="3" t="str">
        <f>IFERROR(VLOOKUP(A1971,'Base Prueba'!A:C,3,),"NO REGISTRA")</f>
        <v>ANDRES FELIPE PUENTES TORRES</v>
      </c>
      <c r="D1971" s="4" t="str">
        <f>IFERROR(VLOOKUP(A1971,'Base Prueba'!A:D,4,),"NO REGISTRA")</f>
        <v>AUXILIAR ADMINISTRATIVO</v>
      </c>
      <c r="E1971" s="5" t="str">
        <f>IFERROR(VLOOKUP(A1971,'Base Prueba'!A:E,5,),"NO REGISTRA")</f>
        <v>REGISTRO Y CONTROL ACADEMICO</v>
      </c>
    </row>
    <row r="1972" spans="1:5" ht="15.75" x14ac:dyDescent="0.25">
      <c r="A1972" s="10">
        <v>28798349</v>
      </c>
      <c r="B1972" s="2">
        <v>46060.385185763887</v>
      </c>
      <c r="C1972" s="3" t="str">
        <f>IFERROR(VLOOKUP(A1972,'Base Prueba'!A:C,3,),"NO REGISTRA")</f>
        <v>MARTHA ISABEL TOVAR WILLIAMS</v>
      </c>
      <c r="D1972" s="4" t="str">
        <f>IFERROR(VLOOKUP(A1972,'Base Prueba'!A:D,4,),"NO REGISTRA")</f>
        <v>PROMOTOR CALL CENTER</v>
      </c>
      <c r="E1972" s="5" t="str">
        <f>IFERROR(VLOOKUP(A1972,'Base Prueba'!A:E,5,),"NO REGISTRA")</f>
        <v>OFICINA DE MERCADEO</v>
      </c>
    </row>
    <row r="1973" spans="1:5" ht="15.75" x14ac:dyDescent="0.25">
      <c r="A1973" s="10">
        <v>52764929</v>
      </c>
      <c r="B1973" s="2">
        <v>46060.385363078705</v>
      </c>
      <c r="C1973" s="3" t="str">
        <f>IFERROR(VLOOKUP(A1973,'Base Prueba'!A:C,3,),"NO REGISTRA")</f>
        <v>GUERLY YOHANA DURAN RIVERA</v>
      </c>
      <c r="D1973" s="4" t="str">
        <f>IFERROR(VLOOKUP(A1973,'Base Prueba'!A:D,4,),"NO REGISTRA")</f>
        <v>LIDER DE VINCULACION COLEGIOS</v>
      </c>
      <c r="E1973" s="5" t="str">
        <f>IFERROR(VLOOKUP(A1973,'Base Prueba'!A:E,5,),"NO REGISTRA")</f>
        <v>OFICINA DE MERCADEO</v>
      </c>
    </row>
    <row r="1974" spans="1:5" ht="15.75" x14ac:dyDescent="0.25">
      <c r="A1974" s="10">
        <v>1003690253</v>
      </c>
      <c r="B1974" s="2">
        <v>46060.386092592591</v>
      </c>
      <c r="C1974" s="3" t="str">
        <f>IFERROR(VLOOKUP(A1974,'Base Prueba'!A:C,3,),"NO REGISTRA")</f>
        <v>MELISSA GONZALEZ PEDRAZA</v>
      </c>
      <c r="D1974" s="4" t="str">
        <f>IFERROR(VLOOKUP(A1974,'Base Prueba'!A:D,4,),"NO REGISTRA")</f>
        <v>LIDER DE JOVENES A LA E</v>
      </c>
      <c r="E1974" s="5" t="str">
        <f>IFERROR(VLOOKUP(A1974,'Base Prueba'!A:E,5,),"NO REGISTRA")</f>
        <v>DIRECCION DE BIENESTAR INSTITUCIONAL</v>
      </c>
    </row>
    <row r="1975" spans="1:5" ht="15.75" x14ac:dyDescent="0.25">
      <c r="A1975" s="10">
        <v>1032425800</v>
      </c>
      <c r="B1975" s="2">
        <v>46060.406708333336</v>
      </c>
      <c r="C1975" s="3" t="str">
        <f>IFERROR(VLOOKUP(A1975,'Base Prueba'!A:C,3,),"NO REGISTRA")</f>
        <v>LUIS ALEJANDRO REY DUQUE</v>
      </c>
      <c r="D1975" s="4" t="str">
        <f>IFERROR(VLOOKUP(A1975,'Base Prueba'!A:D,4,),"NO REGISTRA")</f>
        <v>DOCENTE DE MEDIO TIEMPO</v>
      </c>
      <c r="E1975" s="5" t="str">
        <f>IFERROR(VLOOKUP(A1975,'Base Prueba'!A:E,5,),"NO REGISTRA")</f>
        <v>CIENCIAS DE LA INFORMACION Y BIBLIOTECOLOGIA</v>
      </c>
    </row>
    <row r="1976" spans="1:5" ht="15.75" x14ac:dyDescent="0.25">
      <c r="A1976" s="10">
        <v>1012426741</v>
      </c>
      <c r="B1976" s="2">
        <v>46060.500371180555</v>
      </c>
      <c r="C1976" s="3" t="str">
        <f>IFERROR(VLOOKUP(A1976,'Base Prueba'!A:C,3,),"NO REGISTRA")</f>
        <v>CRISTIAN FABIAN ROJAS SANCENO</v>
      </c>
      <c r="D1976" s="4" t="str">
        <f>IFERROR(VLOOKUP(A1976,'Base Prueba'!A:D,4,),"NO REGISTRA")</f>
        <v>AUXILIAR DE REINTEGROS</v>
      </c>
      <c r="E1976" s="5" t="str">
        <f>IFERROR(VLOOKUP(A1976,'Base Prueba'!A:E,5,),"NO REGISTRA")</f>
        <v>DIRECCION DE BIENESTAR INSTITUCIONAL</v>
      </c>
    </row>
    <row r="1977" spans="1:5" ht="15.75" x14ac:dyDescent="0.25">
      <c r="A1977" s="10">
        <v>52443092</v>
      </c>
      <c r="B1977" s="2">
        <v>46060.501251851849</v>
      </c>
      <c r="C1977" s="3" t="str">
        <f>IFERROR(VLOOKUP(A1977,'Base Prueba'!A:C,3,),"NO REGISTRA")</f>
        <v>LUZ MYRIAM SAAVEDRA CONTRERAS</v>
      </c>
      <c r="D1977" s="4" t="str">
        <f>IFERROR(VLOOKUP(A1977,'Base Prueba'!A:D,4,),"NO REGISTRA")</f>
        <v>AUXILIAR DE SERVICIOS</v>
      </c>
      <c r="E1977" s="5" t="str">
        <f>IFERROR(VLOOKUP(A1977,'Base Prueba'!A:E,5,),"NO REGISTRA")</f>
        <v>LOGISTICA Y SERVICIOS GENERALES</v>
      </c>
    </row>
    <row r="1978" spans="1:5" ht="15.75" x14ac:dyDescent="0.25">
      <c r="A1978" s="10">
        <v>1000687931</v>
      </c>
      <c r="B1978" s="2">
        <v>46060.501563310187</v>
      </c>
      <c r="C1978" s="3" t="str">
        <f>IFERROR(VLOOKUP(A1978,'Base Prueba'!A:C,3,),"NO REGISTRA")</f>
        <v>ANDRES FELIPE PUENTES TORRES</v>
      </c>
      <c r="D1978" s="4" t="str">
        <f>IFERROR(VLOOKUP(A1978,'Base Prueba'!A:D,4,),"NO REGISTRA")</f>
        <v>AUXILIAR ADMINISTRATIVO</v>
      </c>
      <c r="E1978" s="5" t="str">
        <f>IFERROR(VLOOKUP(A1978,'Base Prueba'!A:E,5,),"NO REGISTRA")</f>
        <v>REGISTRO Y CONTROL ACADEMICO</v>
      </c>
    </row>
    <row r="1979" spans="1:5" ht="15.75" x14ac:dyDescent="0.25">
      <c r="A1979" s="10">
        <v>1087121273</v>
      </c>
      <c r="B1979" s="2">
        <v>46060.503005208331</v>
      </c>
      <c r="C1979" s="3" t="str">
        <f>IFERROR(VLOOKUP(A1979,'Base Prueba'!A:C,3,),"NO REGISTRA")</f>
        <v>MAYRA ALEJANDRA CASTILLO ARBOLEDA</v>
      </c>
      <c r="D1979" s="4" t="str">
        <f>IFERROR(VLOOKUP(A1979,'Base Prueba'!A:D,4,),"NO REGISTRA")</f>
        <v>APOYO INTEGRAL DE MERCADEO</v>
      </c>
      <c r="E1979" s="5" t="str">
        <f>IFERROR(VLOOKUP(A1979,'Base Prueba'!A:E,5,),"NO REGISTRA")</f>
        <v>CENTRO DE GESTION DOCUMENTAL</v>
      </c>
    </row>
    <row r="1980" spans="1:5" ht="15.75" x14ac:dyDescent="0.25">
      <c r="A1980" s="10">
        <v>52764929</v>
      </c>
      <c r="B1980" s="2">
        <v>46060.503810995368</v>
      </c>
      <c r="C1980" s="3" t="str">
        <f>IFERROR(VLOOKUP(A1980,'Base Prueba'!A:C,3,),"NO REGISTRA")</f>
        <v>GUERLY YOHANA DURAN RIVERA</v>
      </c>
      <c r="D1980" s="4" t="str">
        <f>IFERROR(VLOOKUP(A1980,'Base Prueba'!A:D,4,),"NO REGISTRA")</f>
        <v>LIDER DE VINCULACION COLEGIOS</v>
      </c>
      <c r="E1980" s="5" t="str">
        <f>IFERROR(VLOOKUP(A1980,'Base Prueba'!A:E,5,),"NO REGISTRA")</f>
        <v>OFICINA DE MERCADEO</v>
      </c>
    </row>
    <row r="1981" spans="1:5" ht="15.75" x14ac:dyDescent="0.25">
      <c r="A1981" s="10">
        <v>1193265768</v>
      </c>
      <c r="B1981" s="2">
        <v>46060.505534490738</v>
      </c>
      <c r="C1981" s="3" t="str">
        <f>IFERROR(VLOOKUP(A1981,'Base Prueba'!A:C,3,),"NO REGISTRA")</f>
        <v>SANTIAGO OSORIO CAMACHO</v>
      </c>
      <c r="D1981" s="4" t="str">
        <f>IFERROR(VLOOKUP(A1981,'Base Prueba'!A:D,4,),"NO REGISTRA")</f>
        <v>ANALISTA DE PAUTA</v>
      </c>
      <c r="E1981" s="5" t="str">
        <f>IFERROR(VLOOKUP(A1981,'Base Prueba'!A:E,5,),"NO REGISTRA")</f>
        <v>OFICINA DE MERCADEO</v>
      </c>
    </row>
    <row r="1982" spans="1:5" ht="15.75" x14ac:dyDescent="0.25">
      <c r="A1982" s="10">
        <v>1018413529</v>
      </c>
      <c r="B1982" s="2">
        <v>46060.507210763892</v>
      </c>
      <c r="C1982" s="3" t="str">
        <f>IFERROR(VLOOKUP(A1982,'Base Prueba'!A:C,3,),"NO REGISTRA")</f>
        <v>FRANCY STELLA CHARRY MORENO</v>
      </c>
      <c r="D1982" s="4" t="str">
        <f>IFERROR(VLOOKUP(A1982,'Base Prueba'!A:D,4,),"NO REGISTRA")</f>
        <v>PROMOTOR COMERCIAL DEL CEA</v>
      </c>
      <c r="E1982" s="5" t="str">
        <f>IFERROR(VLOOKUP(A1982,'Base Prueba'!A:E,5,),"NO REGISTRA")</f>
        <v>OFICINA DE MERCADEO</v>
      </c>
    </row>
    <row r="1983" spans="1:5" ht="15.75" x14ac:dyDescent="0.25">
      <c r="A1983" s="10">
        <v>1033709056</v>
      </c>
      <c r="B1983" s="2">
        <v>46060.507261342595</v>
      </c>
      <c r="C1983" s="3" t="str">
        <f>IFERROR(VLOOKUP(A1983,'Base Prueba'!A:C,3,),"NO REGISTRA")</f>
        <v>YEIMY ALEXANDRA RODRIGUEZ PALACIO</v>
      </c>
      <c r="D1983" s="4" t="str">
        <f>IFERROR(VLOOKUP(A1983,'Base Prueba'!A:D,4,),"NO REGISTRA")</f>
        <v>PROMOTOR CALL CENTER</v>
      </c>
      <c r="E1983" s="5" t="str">
        <f>IFERROR(VLOOKUP(A1983,'Base Prueba'!A:E,5,),"NO REGISTRA")</f>
        <v>OFICINA DE MERCADEO</v>
      </c>
    </row>
    <row r="1984" spans="1:5" ht="15.75" x14ac:dyDescent="0.25">
      <c r="A1984" s="10">
        <v>53089882</v>
      </c>
      <c r="B1984" s="2">
        <v>46060.507364930556</v>
      </c>
      <c r="C1984" s="3" t="str">
        <f>IFERROR(VLOOKUP(A1984,'Base Prueba'!A:C,3,),"NO REGISTRA")</f>
        <v>MARIA JOHANA ESCAMILLA MARTINEZ</v>
      </c>
      <c r="D1984" s="4" t="str">
        <f>IFERROR(VLOOKUP(A1984,'Base Prueba'!A:D,4,),"NO REGISTRA")</f>
        <v>PROMOTOR DE INFORMACIÓN</v>
      </c>
      <c r="E1984" s="5" t="str">
        <f>IFERROR(VLOOKUP(A1984,'Base Prueba'!A:E,5,),"NO REGISTRA")</f>
        <v>OFICINA DE MERCADEO</v>
      </c>
    </row>
    <row r="1985" spans="1:5" ht="15.75" x14ac:dyDescent="0.25">
      <c r="A1985" s="10">
        <v>1000457706</v>
      </c>
      <c r="B1985" s="2">
        <v>46060.509453009261</v>
      </c>
      <c r="C1985" s="3" t="str">
        <f>IFERROR(VLOOKUP(A1985,'Base Prueba'!A:C,3,),"NO REGISTRA")</f>
        <v>CRISTIAN DANILO ARROYO SANABRIA</v>
      </c>
      <c r="D1985" s="4" t="str">
        <f>IFERROR(VLOOKUP(A1985,'Base Prueba'!A:D,4,),"NO REGISTRA")</f>
        <v>AUXILIAR CONTABLE</v>
      </c>
      <c r="E1985" s="5" t="str">
        <f>IFERROR(VLOOKUP(A1985,'Base Prueba'!A:E,5,),"NO REGISTRA")</f>
        <v>AREA FINANCIERA Y CONTABLE</v>
      </c>
    </row>
    <row r="1986" spans="1:5" ht="15.75" x14ac:dyDescent="0.25">
      <c r="A1986" s="10">
        <v>52472386</v>
      </c>
      <c r="B1986" s="2">
        <v>46060.513781712965</v>
      </c>
      <c r="C1986" s="3" t="str">
        <f>IFERROR(VLOOKUP(A1986,'Base Prueba'!A:C,3,),"NO REGISTRA")</f>
        <v>ADRIANA MARCELA MORALES PARDO</v>
      </c>
      <c r="D1986" s="4" t="str">
        <f>IFERROR(VLOOKUP(A1986,'Base Prueba'!A:D,4,),"NO REGISTRA")</f>
        <v>PROMOTOR CALL CENTER</v>
      </c>
      <c r="E1986" s="5" t="str">
        <f>IFERROR(VLOOKUP(A1986,'Base Prueba'!A:E,5,),"NO REGISTRA")</f>
        <v>OFICINA DE MERCADEO</v>
      </c>
    </row>
    <row r="1987" spans="1:5" ht="15.75" x14ac:dyDescent="0.25">
      <c r="A1987" s="10">
        <v>1000324729</v>
      </c>
      <c r="B1987" s="2">
        <v>46060.522932523148</v>
      </c>
      <c r="C1987" s="3" t="str">
        <f>IFERROR(VLOOKUP(A1987,'Base Prueba'!A:C,3,),"NO REGISTRA")</f>
        <v>ANYIE VANESSA TINOCO CAMACHO</v>
      </c>
      <c r="D1987" s="4" t="str">
        <f>IFERROR(VLOOKUP(A1987,'Base Prueba'!A:D,4,),"NO REGISTRA")</f>
        <v>LIDER DE REGISTRO Y CONTROL</v>
      </c>
      <c r="E1987" s="5" t="str">
        <f>IFERROR(VLOOKUP(A1987,'Base Prueba'!A:E,5,),"NO REGISTRA")</f>
        <v>REGISTRO Y CONTROL ACADEMICO</v>
      </c>
    </row>
    <row r="1988" spans="1:5" ht="15.75" x14ac:dyDescent="0.25">
      <c r="A1988" s="10">
        <v>1003690253</v>
      </c>
      <c r="B1988" s="2">
        <v>46060.52958923611</v>
      </c>
      <c r="C1988" s="3" t="str">
        <f>IFERROR(VLOOKUP(A1988,'Base Prueba'!A:C,3,),"NO REGISTRA")</f>
        <v>MELISSA GONZALEZ PEDRAZA</v>
      </c>
      <c r="D1988" s="4" t="str">
        <f>IFERROR(VLOOKUP(A1988,'Base Prueba'!A:D,4,),"NO REGISTRA")</f>
        <v>LIDER DE JOVENES A LA E</v>
      </c>
      <c r="E1988" s="5" t="str">
        <f>IFERROR(VLOOKUP(A1988,'Base Prueba'!A:E,5,),"NO REGISTRA")</f>
        <v>DIRECCION DE BIENESTAR INSTITUCIONAL</v>
      </c>
    </row>
    <row r="1989" spans="1:5" ht="15.75" x14ac:dyDescent="0.25">
      <c r="A1989" s="10">
        <v>28798349</v>
      </c>
      <c r="B1989" s="2">
        <v>46060.529660416665</v>
      </c>
      <c r="C1989" s="3" t="str">
        <f>IFERROR(VLOOKUP(A1989,'Base Prueba'!A:C,3,),"NO REGISTRA")</f>
        <v>MARTHA ISABEL TOVAR WILLIAMS</v>
      </c>
      <c r="D1989" s="4" t="str">
        <f>IFERROR(VLOOKUP(A1989,'Base Prueba'!A:D,4,),"NO REGISTRA")</f>
        <v>PROMOTOR CALL CENTER</v>
      </c>
      <c r="E1989" s="5" t="str">
        <f>IFERROR(VLOOKUP(A1989,'Base Prueba'!A:E,5,),"NO REGISTRA")</f>
        <v>OFICINA DE MERCADEO</v>
      </c>
    </row>
    <row r="1990" spans="1:5" ht="15.75" x14ac:dyDescent="0.25">
      <c r="A1990" s="10">
        <v>1019105003</v>
      </c>
      <c r="B1990" s="2">
        <v>46060.536259490742</v>
      </c>
      <c r="C1990" s="3" t="str">
        <f>IFERROR(VLOOKUP(A1990,'Base Prueba'!A:C,3,),"NO REGISTRA")</f>
        <v>DAISY JULIETH GASPAR MORENO</v>
      </c>
      <c r="D1990" s="4" t="str">
        <f>IFERROR(VLOOKUP(A1990,'Base Prueba'!A:D,4,),"NO REGISTRA")</f>
        <v>PROMOTOR CALL CENTER</v>
      </c>
      <c r="E1990" s="5" t="str">
        <f>IFERROR(VLOOKUP(A1990,'Base Prueba'!A:E,5,),"NO REGISTRA")</f>
        <v>OFICINA DE MERCADEO</v>
      </c>
    </row>
    <row r="1991" spans="1:5" ht="15.75" x14ac:dyDescent="0.25">
      <c r="A1991" s="10">
        <v>1032407386</v>
      </c>
      <c r="B1991" s="2">
        <v>46060.536610648145</v>
      </c>
      <c r="C1991" s="3" t="str">
        <f>IFERROR(VLOOKUP(A1991,'Base Prueba'!A:C,3,),"NO REGISTRA")</f>
        <v>GINA PAOLA BAEZ GALVIS</v>
      </c>
      <c r="D1991" s="4" t="str">
        <f>IFERROR(VLOOKUP(A1991,'Base Prueba'!A:D,4,),"NO REGISTRA")</f>
        <v>PROMOTOR CALL CENTER</v>
      </c>
      <c r="E1991" s="5" t="str">
        <f>IFERROR(VLOOKUP(A1991,'Base Prueba'!A:E,5,),"NO REGISTRA")</f>
        <v>OFICINA DE MERCADEO</v>
      </c>
    </row>
    <row r="1992" spans="1:5" ht="15.75" x14ac:dyDescent="0.25">
      <c r="A1992" s="10">
        <v>1018414290</v>
      </c>
      <c r="B1992" s="2">
        <v>46060.536704745369</v>
      </c>
      <c r="C1992" s="3" t="str">
        <f>IFERROR(VLOOKUP(A1992,'Base Prueba'!A:C,3,),"NO REGISTRA")</f>
        <v>AMANDA LISBETH RODRIGUEZ LEON</v>
      </c>
      <c r="D1992" s="4" t="str">
        <f>IFERROR(VLOOKUP(A1992,'Base Prueba'!A:D,4,),"NO REGISTRA")</f>
        <v>PROMOTOR CALL CENTER</v>
      </c>
      <c r="E1992" s="5" t="str">
        <f>IFERROR(VLOOKUP(A1992,'Base Prueba'!A:E,5,),"NO REGISTRA")</f>
        <v>OFICINA DE MERCADEO</v>
      </c>
    </row>
    <row r="1993" spans="1:5" ht="15.75" x14ac:dyDescent="0.25">
      <c r="A1993" s="10">
        <v>80234243</v>
      </c>
      <c r="B1993" s="2">
        <v>46060.53730625</v>
      </c>
      <c r="C1993" s="3" t="str">
        <f>IFERROR(VLOOKUP(A1993,'Base Prueba'!A:C,3,),"NO REGISTRA")</f>
        <v>ARGENIS MARTINEZ MARTINEZ</v>
      </c>
      <c r="D1993" s="4" t="str">
        <f>IFERROR(VLOOKUP(A1993,'Base Prueba'!A:D,4,),"NO REGISTRA")</f>
        <v>LIDER CALL CENTER</v>
      </c>
      <c r="E1993" s="5" t="str">
        <f>IFERROR(VLOOKUP(A1993,'Base Prueba'!A:E,5,),"NO REGISTRA")</f>
        <v>OFICINA DE MERCADEO</v>
      </c>
    </row>
    <row r="1994" spans="1:5" ht="15.75" x14ac:dyDescent="0.25">
      <c r="A1994" s="10">
        <v>1013616244</v>
      </c>
      <c r="B1994" s="2">
        <v>46060.611598726849</v>
      </c>
      <c r="C1994" s="3" t="str">
        <f>IFERROR(VLOOKUP(A1994,'Base Prueba'!A:C,3,),"NO REGISTRA")</f>
        <v>DIANA CAROLINA MARIN BETANCOURT</v>
      </c>
      <c r="D1994" s="4" t="str">
        <f>IFERROR(VLOOKUP(A1994,'Base Prueba'!A:D,4,),"NO REGISTRA")</f>
        <v>AUXILIAR ADMINISTRATIVO</v>
      </c>
      <c r="E1994" s="5" t="str">
        <f>IFERROR(VLOOKUP(A1994,'Base Prueba'!A:E,5,),"NO REGISTRA")</f>
        <v>REGISTRO Y CONTROL ACADEMICO</v>
      </c>
    </row>
    <row r="1995" spans="1:5" ht="15.75" x14ac:dyDescent="0.25">
      <c r="A1995" s="10">
        <v>1014308296</v>
      </c>
      <c r="B1995" s="2">
        <v>46062.29740023148</v>
      </c>
      <c r="C1995" s="3" t="str">
        <f>IFERROR(VLOOKUP(A1995,'Base Prueba'!A:C,3,),"NO REGISTRA")</f>
        <v>DARLENE YULIANA MORENO CELEITA</v>
      </c>
      <c r="D1995" s="4" t="str">
        <f>IFERROR(VLOOKUP(A1995,'Base Prueba'!A:D,4,),"NO REGISTRA")</f>
        <v>CAJERO PRINCIPAL</v>
      </c>
      <c r="E1995" s="5" t="str">
        <f>IFERROR(VLOOKUP(A1995,'Base Prueba'!A:E,5,),"NO REGISTRA")</f>
        <v>AREA FINANCIERA Y CONTABLE</v>
      </c>
    </row>
    <row r="1996" spans="1:5" ht="15.75" x14ac:dyDescent="0.25">
      <c r="A1996" s="10">
        <v>1000324729</v>
      </c>
      <c r="B1996" s="2">
        <v>46062.306836342592</v>
      </c>
      <c r="C1996" s="3" t="str">
        <f>IFERROR(VLOOKUP(A1996,'Base Prueba'!A:C,3,),"NO REGISTRA")</f>
        <v>ANYIE VANESSA TINOCO CAMACHO</v>
      </c>
      <c r="D1996" s="4" t="str">
        <f>IFERROR(VLOOKUP(A1996,'Base Prueba'!A:D,4,),"NO REGISTRA")</f>
        <v>LIDER DE REGISTRO Y CONTROL</v>
      </c>
      <c r="E1996" s="5" t="str">
        <f>IFERROR(VLOOKUP(A1996,'Base Prueba'!A:E,5,),"NO REGISTRA")</f>
        <v>REGISTRO Y CONTROL ACADEMICO</v>
      </c>
    </row>
    <row r="1997" spans="1:5" ht="15.75" x14ac:dyDescent="0.25">
      <c r="A1997" s="10">
        <v>1013616244</v>
      </c>
      <c r="B1997" s="2">
        <v>46062.320523958333</v>
      </c>
      <c r="C1997" s="3" t="str">
        <f>IFERROR(VLOOKUP(A1997,'Base Prueba'!A:C,3,),"NO REGISTRA")</f>
        <v>DIANA CAROLINA MARIN BETANCOURT</v>
      </c>
      <c r="D1997" s="4" t="str">
        <f>IFERROR(VLOOKUP(A1997,'Base Prueba'!A:D,4,),"NO REGISTRA")</f>
        <v>AUXILIAR ADMINISTRATIVO</v>
      </c>
      <c r="E1997" s="5" t="str">
        <f>IFERROR(VLOOKUP(A1997,'Base Prueba'!A:E,5,),"NO REGISTRA")</f>
        <v>REGISTRO Y CONTROL ACADEMICO</v>
      </c>
    </row>
    <row r="1998" spans="1:5" ht="15.75" x14ac:dyDescent="0.25">
      <c r="A1998" s="10">
        <v>1087121273</v>
      </c>
      <c r="B1998" s="2">
        <v>46062.320592129632</v>
      </c>
      <c r="C1998" s="3" t="str">
        <f>IFERROR(VLOOKUP(A1998,'Base Prueba'!A:C,3,),"NO REGISTRA")</f>
        <v>MAYRA ALEJANDRA CASTILLO ARBOLEDA</v>
      </c>
      <c r="D1998" s="4" t="str">
        <f>IFERROR(VLOOKUP(A1998,'Base Prueba'!A:D,4,),"NO REGISTRA")</f>
        <v>APOYO INTEGRAL DE MERCADEO</v>
      </c>
      <c r="E1998" s="5" t="str">
        <f>IFERROR(VLOOKUP(A1998,'Base Prueba'!A:E,5,),"NO REGISTRA")</f>
        <v>CENTRO DE GESTION DOCUMENTAL</v>
      </c>
    </row>
    <row r="1999" spans="1:5" ht="15.75" x14ac:dyDescent="0.25">
      <c r="A1999" s="10">
        <v>1000257136</v>
      </c>
      <c r="B1999" s="2">
        <v>46062.323780208331</v>
      </c>
      <c r="C1999" s="3" t="str">
        <f>IFERROR(VLOOKUP(A1999,'Base Prueba'!A:C,3,),"NO REGISTRA")</f>
        <v>FRANCI VALENTINA CANO PUENTES</v>
      </c>
      <c r="D1999" s="4" t="str">
        <f>IFERROR(VLOOKUP(A1999,'Base Prueba'!A:D,4,),"NO REGISTRA")</f>
        <v>AUXILIAR CONTABLE</v>
      </c>
      <c r="E1999" s="5" t="str">
        <f>IFERROR(VLOOKUP(A1999,'Base Prueba'!A:E,5,),"NO REGISTRA")</f>
        <v>AREA FINANCIERA Y CONTABLE</v>
      </c>
    </row>
    <row r="2000" spans="1:5" ht="15.75" x14ac:dyDescent="0.25">
      <c r="A2000" s="10">
        <v>1014266838</v>
      </c>
      <c r="B2000" s="2">
        <v>46062.324207060185</v>
      </c>
      <c r="C2000" s="3" t="str">
        <f>IFERROR(VLOOKUP(A2000,'Base Prueba'!A:C,3,),"NO REGISTRA")</f>
        <v>JENNIFER ASTRID ROMERO HURTADO</v>
      </c>
      <c r="D2000" s="4" t="str">
        <f>IFERROR(VLOOKUP(A2000,'Base Prueba'!A:D,4,),"NO REGISTRA")</f>
        <v>LIDER DE RECAUDO</v>
      </c>
      <c r="E2000" s="5" t="str">
        <f>IFERROR(VLOOKUP(A2000,'Base Prueba'!A:E,5,),"NO REGISTRA")</f>
        <v>AREA FINANCIERA Y CONTABLE</v>
      </c>
    </row>
    <row r="2001" spans="1:5" ht="15.75" x14ac:dyDescent="0.25">
      <c r="A2001" s="10">
        <v>1000354041</v>
      </c>
      <c r="B2001" s="2">
        <v>46062.326711574075</v>
      </c>
      <c r="C2001" s="3" t="str">
        <f>IFERROR(VLOOKUP(A2001,'Base Prueba'!A:C,3,),"NO REGISTRA")</f>
        <v>ANGIE NATALIA BOHORQUEZ SANCHEZ</v>
      </c>
      <c r="D2001" s="4" t="str">
        <f>IFERROR(VLOOKUP(A2001,'Base Prueba'!A:D,4,),"NO REGISTRA")</f>
        <v>APRENDIZ UNIVERSITARIO</v>
      </c>
      <c r="E2001" s="5" t="str">
        <f>IFERROR(VLOOKUP(A2001,'Base Prueba'!A:E,5,),"NO REGISTRA")</f>
        <v>OFICINA DE PLANEACION Y GESTION DE LA CALIDAD</v>
      </c>
    </row>
    <row r="2002" spans="1:5" ht="15.75" x14ac:dyDescent="0.25">
      <c r="A2002" s="10">
        <v>1031802160</v>
      </c>
      <c r="B2002" s="2">
        <v>46062.329036921299</v>
      </c>
      <c r="C2002" s="3" t="str">
        <f>IFERROR(VLOOKUP(A2002,'Base Prueba'!A:C,3,),"NO REGISTRA")</f>
        <v>LUISA MARIA MAHECHA SOTOMAYOR</v>
      </c>
      <c r="D2002" s="4" t="str">
        <f>IFERROR(VLOOKUP(A2002,'Base Prueba'!A:D,4,),"NO REGISTRA")</f>
        <v>APRENDIZ UNIVERSITARIO</v>
      </c>
      <c r="E2002" s="5" t="str">
        <f>IFERROR(VLOOKUP(A2002,'Base Prueba'!A:E,5,),"NO REGISTRA")</f>
        <v>OFICINA DE MERCADEO</v>
      </c>
    </row>
    <row r="2003" spans="1:5" ht="15.75" x14ac:dyDescent="0.25">
      <c r="A2003" s="10">
        <v>1012357415</v>
      </c>
      <c r="B2003" s="2">
        <v>46062.333986111109</v>
      </c>
      <c r="C2003" s="3" t="str">
        <f>IFERROR(VLOOKUP(A2003,'Base Prueba'!A:C,3,),"NO REGISTRA")</f>
        <v>CINDY LORENA BOHORQUEZ LEYVA</v>
      </c>
      <c r="D2003" s="4" t="str">
        <f>IFERROR(VLOOKUP(A2003,'Base Prueba'!A:D,4,),"NO REGISTRA")</f>
        <v>ANALISTA DE TESORERIA</v>
      </c>
      <c r="E2003" s="5" t="str">
        <f>IFERROR(VLOOKUP(A2003,'Base Prueba'!A:E,5,),"NO REGISTRA")</f>
        <v>AREA FINANCIERA Y CONTABLE</v>
      </c>
    </row>
    <row r="2004" spans="1:5" ht="15.75" x14ac:dyDescent="0.25">
      <c r="A2004" s="10">
        <v>1193457976</v>
      </c>
      <c r="B2004" s="2">
        <v>46062.338247106483</v>
      </c>
      <c r="C2004" s="3" t="str">
        <f>IFERROR(VLOOKUP(A2004,'Base Prueba'!A:C,3,),"NO REGISTRA")</f>
        <v>SEDENIS RIVAS ASPRILLA</v>
      </c>
      <c r="D2004" s="4" t="str">
        <f>IFERROR(VLOOKUP(A2004,'Base Prueba'!A:D,4,),"NO REGISTRA")</f>
        <v>APRENDIZ UNIVERSITARIO</v>
      </c>
      <c r="E2004" s="5" t="str">
        <f>IFERROR(VLOOKUP(A2004,'Base Prueba'!A:E,5,),"NO REGISTRA")</f>
        <v>DEPARTAMENTO DE GESTION HUMANA</v>
      </c>
    </row>
    <row r="2005" spans="1:5" ht="15.75" x14ac:dyDescent="0.25">
      <c r="A2005" s="10">
        <v>53932358</v>
      </c>
      <c r="B2005" s="2">
        <v>46062.338316782407</v>
      </c>
      <c r="C2005" s="3" t="str">
        <f>IFERROR(VLOOKUP(A2005,'Base Prueba'!A:C,3,),"NO REGISTRA")</f>
        <v>DIANA MADELEYNE GAONA RODRIGUEZ</v>
      </c>
      <c r="D2005" s="4" t="str">
        <f>IFERROR(VLOOKUP(A2005,'Base Prueba'!A:D,4,),"NO REGISTRA")</f>
        <v>CONTADOR</v>
      </c>
      <c r="E2005" s="5" t="str">
        <f>IFERROR(VLOOKUP(A2005,'Base Prueba'!A:E,5,),"NO REGISTRA")</f>
        <v>AREA FINANCIERA Y CONTABLE</v>
      </c>
    </row>
    <row r="2006" spans="1:5" ht="15.75" x14ac:dyDescent="0.25">
      <c r="A2006" s="10">
        <v>1000593372</v>
      </c>
      <c r="B2006" s="2">
        <v>46062.341830787038</v>
      </c>
      <c r="C2006" s="3" t="str">
        <f>IFERROR(VLOOKUP(A2006,'Base Prueba'!A:C,3,),"NO REGISTRA")</f>
        <v>LAURA SOFIA CHAPARRO LOPEZ</v>
      </c>
      <c r="D2006" s="4" t="str">
        <f>IFERROR(VLOOKUP(A2006,'Base Prueba'!A:D,4,),"NO REGISTRA")</f>
        <v>AUXILIAR JURIDICO</v>
      </c>
      <c r="E2006" s="5" t="str">
        <f>IFERROR(VLOOKUP(A2006,'Base Prueba'!A:E,5,),"NO REGISTRA")</f>
        <v>SECRETARIA GENERAL</v>
      </c>
    </row>
    <row r="2007" spans="1:5" ht="15.75" x14ac:dyDescent="0.25">
      <c r="A2007" s="10">
        <v>1000687931</v>
      </c>
      <c r="B2007" s="2">
        <v>46062.342512037038</v>
      </c>
      <c r="C2007" s="3" t="str">
        <f>IFERROR(VLOOKUP(A2007,'Base Prueba'!A:C,3,),"NO REGISTRA")</f>
        <v>ANDRES FELIPE PUENTES TORRES</v>
      </c>
      <c r="D2007" s="4" t="str">
        <f>IFERROR(VLOOKUP(A2007,'Base Prueba'!A:D,4,),"NO REGISTRA")</f>
        <v>AUXILIAR ADMINISTRATIVO</v>
      </c>
      <c r="E2007" s="5" t="str">
        <f>IFERROR(VLOOKUP(A2007,'Base Prueba'!A:E,5,),"NO REGISTRA")</f>
        <v>REGISTRO Y CONTROL ACADEMICO</v>
      </c>
    </row>
    <row r="2008" spans="1:5" ht="15.75" x14ac:dyDescent="0.25">
      <c r="A2008" s="10">
        <v>1026599257</v>
      </c>
      <c r="B2008" s="2">
        <v>46062.345997222219</v>
      </c>
      <c r="C2008" s="3" t="str">
        <f>IFERROR(VLOOKUP(A2008,'Base Prueba'!A:C,3,),"NO REGISTRA")</f>
        <v>YESENIA PAOLA PINEDA HURTADO</v>
      </c>
      <c r="D2008" s="4" t="str">
        <f>IFERROR(VLOOKUP(A2008,'Base Prueba'!A:D,4,),"NO REGISTRA")</f>
        <v>LIDER DE COMPRAS</v>
      </c>
      <c r="E2008" s="5" t="str">
        <f>IFERROR(VLOOKUP(A2008,'Base Prueba'!A:E,5,),"NO REGISTRA")</f>
        <v>AREA ADMINISTRATIVA</v>
      </c>
    </row>
    <row r="2009" spans="1:5" ht="15.75" x14ac:dyDescent="0.25">
      <c r="A2009" s="10">
        <v>1023883232</v>
      </c>
      <c r="B2009" s="2">
        <v>46062.347266087963</v>
      </c>
      <c r="C2009" s="3" t="str">
        <f>IFERROR(VLOOKUP(A2009,'Base Prueba'!A:C,3,),"NO REGISTRA")</f>
        <v>MONICA ANDREA ACERO URBANO</v>
      </c>
      <c r="D2009" s="4" t="str">
        <f>IFERROR(VLOOKUP(A2009,'Base Prueba'!A:D,4,),"NO REGISTRA")</f>
        <v>APOYO INTEGRAL A GESTION HUMANA</v>
      </c>
      <c r="E2009" s="5" t="str">
        <f>IFERROR(VLOOKUP(A2009,'Base Prueba'!A:E,5,),"NO REGISTRA")</f>
        <v>DEPARTAMENTO DE GESTION HUMANA</v>
      </c>
    </row>
    <row r="2010" spans="1:5" ht="15.75" x14ac:dyDescent="0.25">
      <c r="A2010" s="10">
        <v>1014196857</v>
      </c>
      <c r="B2010" s="2">
        <v>46062.347911458332</v>
      </c>
      <c r="C2010" s="3" t="str">
        <f>IFERROR(VLOOKUP(A2010,'Base Prueba'!A:C,3,),"NO REGISTRA")</f>
        <v>CARLOS ANDRES JIMENEZ PARDO</v>
      </c>
      <c r="D2010" s="4" t="str">
        <f>IFERROR(VLOOKUP(A2010,'Base Prueba'!A:D,4,),"NO REGISTRA")</f>
        <v>COORDINADOR DE MARKETING DIGITAL</v>
      </c>
      <c r="E2010" s="5" t="str">
        <f>IFERROR(VLOOKUP(A2010,'Base Prueba'!A:E,5,),"NO REGISTRA")</f>
        <v>OFICINA DE MERCADEO</v>
      </c>
    </row>
    <row r="2011" spans="1:5" ht="15.75" x14ac:dyDescent="0.25">
      <c r="A2011" s="10">
        <v>1014977624</v>
      </c>
      <c r="B2011" s="2">
        <v>46062.349859027781</v>
      </c>
      <c r="C2011" s="3" t="str">
        <f>IFERROR(VLOOKUP(A2011,'Base Prueba'!A:C,3,),"NO REGISTRA")</f>
        <v>NICCOLE VALENTINA HERNANDEZ MALAVER</v>
      </c>
      <c r="D2011" s="4" t="str">
        <f>IFERROR(VLOOKUP(A2011,'Base Prueba'!A:D,4,),"NO REGISTRA")</f>
        <v>APRENDIZ UNIVERSITARIO</v>
      </c>
      <c r="E2011" s="5" t="str">
        <f>IFERROR(VLOOKUP(A2011,'Base Prueba'!A:E,5,),"NO REGISTRA")</f>
        <v>AREA FINANCIERA Y CONTABLE</v>
      </c>
    </row>
    <row r="2012" spans="1:5" ht="15.75" x14ac:dyDescent="0.25">
      <c r="A2012" s="10">
        <v>1024505434</v>
      </c>
      <c r="B2012" s="2">
        <v>46062.351718865742</v>
      </c>
      <c r="C2012" s="3" t="str">
        <f>IFERROR(VLOOKUP(A2012,'Base Prueba'!A:C,3,),"NO REGISTRA")</f>
        <v>CRISTIAN ALBERTO MELO TORRES</v>
      </c>
      <c r="D2012" s="4" t="str">
        <f>IFERROR(VLOOKUP(A2012,'Base Prueba'!A:D,4,),"NO REGISTRA")</f>
        <v>COORDINADOR DE INFRAESTRUCTURA</v>
      </c>
      <c r="E2012" s="5" t="str">
        <f>IFERROR(VLOOKUP(A2012,'Base Prueba'!A:E,5,),"NO REGISTRA")</f>
        <v>VICERRECTORIA ADMINISTRATIVA Y FINANCIERA</v>
      </c>
    </row>
    <row r="2013" spans="1:5" ht="15.75" x14ac:dyDescent="0.25">
      <c r="A2013" s="10">
        <v>725</v>
      </c>
      <c r="B2013" s="2">
        <v>46062.351722569445</v>
      </c>
      <c r="C2013" s="3" t="str">
        <f>IFERROR(VLOOKUP(A2013,'Base Prueba'!A:C,3,),"NO REGISTRA")</f>
        <v>NO REGISTRA</v>
      </c>
      <c r="D2013" s="4" t="str">
        <f>IFERROR(VLOOKUP(A2013,'Base Prueba'!A:D,4,),"NO REGISTRA")</f>
        <v>NO REGISTRA</v>
      </c>
      <c r="E2013" s="5" t="str">
        <f>IFERROR(VLOOKUP(A2013,'Base Prueba'!A:E,5,),"NO REGISTRA")</f>
        <v>NO REGISTRA</v>
      </c>
    </row>
    <row r="2014" spans="1:5" ht="15.75" x14ac:dyDescent="0.25">
      <c r="A2014" s="10">
        <v>1000457706</v>
      </c>
      <c r="B2014" s="2">
        <v>46062.352551041666</v>
      </c>
      <c r="C2014" s="3" t="str">
        <f>IFERROR(VLOOKUP(A2014,'Base Prueba'!A:C,3,),"NO REGISTRA")</f>
        <v>CRISTIAN DANILO ARROYO SANABRIA</v>
      </c>
      <c r="D2014" s="4" t="str">
        <f>IFERROR(VLOOKUP(A2014,'Base Prueba'!A:D,4,),"NO REGISTRA")</f>
        <v>AUXILIAR CONTABLE</v>
      </c>
      <c r="E2014" s="5" t="str">
        <f>IFERROR(VLOOKUP(A2014,'Base Prueba'!A:E,5,),"NO REGISTRA")</f>
        <v>AREA FINANCIERA Y CONTABLE</v>
      </c>
    </row>
    <row r="2015" spans="1:5" ht="15.75" x14ac:dyDescent="0.25">
      <c r="A2015" s="10">
        <v>1018413529</v>
      </c>
      <c r="B2015" s="2">
        <v>46062.354291087962</v>
      </c>
      <c r="C2015" s="3" t="str">
        <f>IFERROR(VLOOKUP(A2015,'Base Prueba'!A:C,3,),"NO REGISTRA")</f>
        <v>FRANCY STELLA CHARRY MORENO</v>
      </c>
      <c r="D2015" s="4" t="str">
        <f>IFERROR(VLOOKUP(A2015,'Base Prueba'!A:D,4,),"NO REGISTRA")</f>
        <v>PROMOTOR COMERCIAL DEL CEA</v>
      </c>
      <c r="E2015" s="5" t="str">
        <f>IFERROR(VLOOKUP(A2015,'Base Prueba'!A:E,5,),"NO REGISTRA")</f>
        <v>OFICINA DE MERCADEO</v>
      </c>
    </row>
    <row r="2016" spans="1:5" ht="15.75" x14ac:dyDescent="0.25">
      <c r="A2016" s="10">
        <v>1049644802</v>
      </c>
      <c r="B2016" s="2">
        <v>46062.358028472219</v>
      </c>
      <c r="C2016" s="3" t="str">
        <f>IFERROR(VLOOKUP(A2016,'Base Prueba'!A:C,3,),"NO REGISTRA")</f>
        <v>DANIELA ALEXANDRA CIPAMOCHA BOSIGA</v>
      </c>
      <c r="D2016" s="4" t="str">
        <f>IFERROR(VLOOKUP(A2016,'Base Prueba'!A:D,4,),"NO REGISTRA")</f>
        <v>LIDER DE DATOS Y SERVICIOS</v>
      </c>
      <c r="E2016" s="5" t="str">
        <f>IFERROR(VLOOKUP(A2016,'Base Prueba'!A:E,5,),"NO REGISTRA")</f>
        <v>OFICINA DE PLANEACION Y GESTION DE LA CALIDAD</v>
      </c>
    </row>
    <row r="2017" spans="1:5" ht="15.75" x14ac:dyDescent="0.25">
      <c r="A2017" s="10">
        <v>1033709056</v>
      </c>
      <c r="B2017" s="2">
        <v>46062.360263888891</v>
      </c>
      <c r="C2017" s="3" t="str">
        <f>IFERROR(VLOOKUP(A2017,'Base Prueba'!A:C,3,),"NO REGISTRA")</f>
        <v>YEIMY ALEXANDRA RODRIGUEZ PALACIO</v>
      </c>
      <c r="D2017" s="4" t="str">
        <f>IFERROR(VLOOKUP(A2017,'Base Prueba'!A:D,4,),"NO REGISTRA")</f>
        <v>PROMOTOR CALL CENTER</v>
      </c>
      <c r="E2017" s="5" t="str">
        <f>IFERROR(VLOOKUP(A2017,'Base Prueba'!A:E,5,),"NO REGISTRA")</f>
        <v>OFICINA DE MERCADEO</v>
      </c>
    </row>
    <row r="2018" spans="1:5" ht="15.75" x14ac:dyDescent="0.25">
      <c r="A2018" s="10">
        <v>1032407386</v>
      </c>
      <c r="B2018" s="2">
        <v>46062.367340972225</v>
      </c>
      <c r="C2018" s="3" t="str">
        <f>IFERROR(VLOOKUP(A2018,'Base Prueba'!A:C,3,),"NO REGISTRA")</f>
        <v>GINA PAOLA BAEZ GALVIS</v>
      </c>
      <c r="D2018" s="4" t="str">
        <f>IFERROR(VLOOKUP(A2018,'Base Prueba'!A:D,4,),"NO REGISTRA")</f>
        <v>PROMOTOR CALL CENTER</v>
      </c>
      <c r="E2018" s="5" t="str">
        <f>IFERROR(VLOOKUP(A2018,'Base Prueba'!A:E,5,),"NO REGISTRA")</f>
        <v>OFICINA DE MERCADEO</v>
      </c>
    </row>
    <row r="2019" spans="1:5" ht="15.75" x14ac:dyDescent="0.25">
      <c r="A2019" s="10">
        <v>1193265768</v>
      </c>
      <c r="B2019" s="2">
        <v>46062.367366550927</v>
      </c>
      <c r="C2019" s="3" t="str">
        <f>IFERROR(VLOOKUP(A2019,'Base Prueba'!A:C,3,),"NO REGISTRA")</f>
        <v>SANTIAGO OSORIO CAMACHO</v>
      </c>
      <c r="D2019" s="4" t="str">
        <f>IFERROR(VLOOKUP(A2019,'Base Prueba'!A:D,4,),"NO REGISTRA")</f>
        <v>ANALISTA DE PAUTA</v>
      </c>
      <c r="E2019" s="5" t="str">
        <f>IFERROR(VLOOKUP(A2019,'Base Prueba'!A:E,5,),"NO REGISTRA")</f>
        <v>OFICINA DE MERCADEO</v>
      </c>
    </row>
    <row r="2020" spans="1:5" ht="15.75" x14ac:dyDescent="0.25">
      <c r="A2020" s="10">
        <v>1012426741</v>
      </c>
      <c r="B2020" s="2">
        <v>46062.371421875003</v>
      </c>
      <c r="C2020" s="3" t="str">
        <f>IFERROR(VLOOKUP(A2020,'Base Prueba'!A:C,3,),"NO REGISTRA")</f>
        <v>CRISTIAN FABIAN ROJAS SANCENO</v>
      </c>
      <c r="D2020" s="4" t="str">
        <f>IFERROR(VLOOKUP(A2020,'Base Prueba'!A:D,4,),"NO REGISTRA")</f>
        <v>AUXILIAR DE REINTEGROS</v>
      </c>
      <c r="E2020" s="5" t="str">
        <f>IFERROR(VLOOKUP(A2020,'Base Prueba'!A:E,5,),"NO REGISTRA")</f>
        <v>DIRECCION DE BIENESTAR INSTITUCIONAL</v>
      </c>
    </row>
    <row r="2021" spans="1:5" ht="15.75" x14ac:dyDescent="0.25">
      <c r="A2021" s="10">
        <v>1000604979</v>
      </c>
      <c r="B2021" s="2">
        <v>46062.371813425925</v>
      </c>
      <c r="C2021" s="3" t="str">
        <f>IFERROR(VLOOKUP(A2021,'Base Prueba'!A:C,3,),"NO REGISTRA")</f>
        <v>JULIETH TATIANA PARDO PINTO</v>
      </c>
      <c r="D2021" s="4" t="str">
        <f>IFERROR(VLOOKUP(A2021,'Base Prueba'!A:D,4,),"NO REGISTRA")</f>
        <v>AUXILIAR JURIDICO</v>
      </c>
      <c r="E2021" s="5" t="str">
        <f>IFERROR(VLOOKUP(A2021,'Base Prueba'!A:E,5,),"NO REGISTRA")</f>
        <v>SECRETARIA GENERAL</v>
      </c>
    </row>
    <row r="2022" spans="1:5" ht="15.75" x14ac:dyDescent="0.25">
      <c r="A2022" s="10">
        <v>1003690253</v>
      </c>
      <c r="B2022" s="2">
        <v>46062.37367361111</v>
      </c>
      <c r="C2022" s="3" t="str">
        <f>IFERROR(VLOOKUP(A2022,'Base Prueba'!A:C,3,),"NO REGISTRA")</f>
        <v>MELISSA GONZALEZ PEDRAZA</v>
      </c>
      <c r="D2022" s="4" t="str">
        <f>IFERROR(VLOOKUP(A2022,'Base Prueba'!A:D,4,),"NO REGISTRA")</f>
        <v>LIDER DE JOVENES A LA E</v>
      </c>
      <c r="E2022" s="5" t="str">
        <f>IFERROR(VLOOKUP(A2022,'Base Prueba'!A:E,5,),"NO REGISTRA")</f>
        <v>DIRECCION DE BIENESTAR INSTITUCIONAL</v>
      </c>
    </row>
    <row r="2023" spans="1:5" ht="15.75" x14ac:dyDescent="0.25">
      <c r="A2023" s="10">
        <v>52472386</v>
      </c>
      <c r="B2023" s="2">
        <v>46062.373897685182</v>
      </c>
      <c r="C2023" s="3" t="str">
        <f>IFERROR(VLOOKUP(A2023,'Base Prueba'!A:C,3,),"NO REGISTRA")</f>
        <v>ADRIANA MARCELA MORALES PARDO</v>
      </c>
      <c r="D2023" s="4" t="str">
        <f>IFERROR(VLOOKUP(A2023,'Base Prueba'!A:D,4,),"NO REGISTRA")</f>
        <v>PROMOTOR CALL CENTER</v>
      </c>
      <c r="E2023" s="5" t="str">
        <f>IFERROR(VLOOKUP(A2023,'Base Prueba'!A:E,5,),"NO REGISTRA")</f>
        <v>OFICINA DE MERCADEO</v>
      </c>
    </row>
    <row r="2024" spans="1:5" ht="15.75" x14ac:dyDescent="0.25">
      <c r="A2024" s="10">
        <v>53089882</v>
      </c>
      <c r="B2024" s="2">
        <v>46062.376696874999</v>
      </c>
      <c r="C2024" s="3" t="str">
        <f>IFERROR(VLOOKUP(A2024,'Base Prueba'!A:C,3,),"NO REGISTRA")</f>
        <v>MARIA JOHANA ESCAMILLA MARTINEZ</v>
      </c>
      <c r="D2024" s="4" t="str">
        <f>IFERROR(VLOOKUP(A2024,'Base Prueba'!A:D,4,),"NO REGISTRA")</f>
        <v>PROMOTOR DE INFORMACIÓN</v>
      </c>
      <c r="E2024" s="5" t="str">
        <f>IFERROR(VLOOKUP(A2024,'Base Prueba'!A:E,5,),"NO REGISTRA")</f>
        <v>OFICINA DE MERCADEO</v>
      </c>
    </row>
    <row r="2025" spans="1:5" ht="15.75" x14ac:dyDescent="0.25">
      <c r="A2025" s="10">
        <v>1000046533</v>
      </c>
      <c r="B2025" s="2">
        <v>46062.376981597219</v>
      </c>
      <c r="C2025" s="3" t="str">
        <f>IFERROR(VLOOKUP(A2025,'Base Prueba'!A:C,3,),"NO REGISTRA")</f>
        <v>ERIKA JULIETH VALDERRAMA SANCHEZ</v>
      </c>
      <c r="D2025" s="4" t="str">
        <f>IFERROR(VLOOKUP(A2025,'Base Prueba'!A:D,4,),"NO REGISTRA")</f>
        <v>PROMOTOR CALL CENTER</v>
      </c>
      <c r="E2025" s="5" t="str">
        <f>IFERROR(VLOOKUP(A2025,'Base Prueba'!A:E,5,),"NO REGISTRA")</f>
        <v>OFICINA DE MERCADEO</v>
      </c>
    </row>
    <row r="2026" spans="1:5" ht="15.75" x14ac:dyDescent="0.25">
      <c r="A2026" s="10">
        <v>52764929</v>
      </c>
      <c r="B2026" s="2">
        <v>46062.386047685184</v>
      </c>
      <c r="C2026" s="3" t="str">
        <f>IFERROR(VLOOKUP(A2026,'Base Prueba'!A:C,3,),"NO REGISTRA")</f>
        <v>GUERLY YOHANA DURAN RIVERA</v>
      </c>
      <c r="D2026" s="4" t="str">
        <f>IFERROR(VLOOKUP(A2026,'Base Prueba'!A:D,4,),"NO REGISTRA")</f>
        <v>LIDER DE VINCULACION COLEGIOS</v>
      </c>
      <c r="E2026" s="5" t="str">
        <f>IFERROR(VLOOKUP(A2026,'Base Prueba'!A:E,5,),"NO REGISTRA")</f>
        <v>OFICINA DE MERCADEO</v>
      </c>
    </row>
    <row r="2027" spans="1:5" ht="15.75" x14ac:dyDescent="0.25">
      <c r="A2027" s="10">
        <v>1018414290</v>
      </c>
      <c r="B2027" s="2">
        <v>46062.387697222221</v>
      </c>
      <c r="C2027" s="3" t="str">
        <f>IFERROR(VLOOKUP(A2027,'Base Prueba'!A:C,3,),"NO REGISTRA")</f>
        <v>AMANDA LISBETH RODRIGUEZ LEON</v>
      </c>
      <c r="D2027" s="4" t="str">
        <f>IFERROR(VLOOKUP(A2027,'Base Prueba'!A:D,4,),"NO REGISTRA")</f>
        <v>PROMOTOR CALL CENTER</v>
      </c>
      <c r="E2027" s="5" t="str">
        <f>IFERROR(VLOOKUP(A2027,'Base Prueba'!A:E,5,),"NO REGISTRA")</f>
        <v>OFICINA DE MERCADEO</v>
      </c>
    </row>
    <row r="2028" spans="1:5" ht="15.75" x14ac:dyDescent="0.25">
      <c r="A2028" s="10">
        <v>28798349</v>
      </c>
      <c r="B2028" s="2">
        <v>46062.387725578701</v>
      </c>
      <c r="C2028" s="3" t="str">
        <f>IFERROR(VLOOKUP(A2028,'Base Prueba'!A:C,3,),"NO REGISTRA")</f>
        <v>MARTHA ISABEL TOVAR WILLIAMS</v>
      </c>
      <c r="D2028" s="4" t="str">
        <f>IFERROR(VLOOKUP(A2028,'Base Prueba'!A:D,4,),"NO REGISTRA")</f>
        <v>PROMOTOR CALL CENTER</v>
      </c>
      <c r="E2028" s="5" t="str">
        <f>IFERROR(VLOOKUP(A2028,'Base Prueba'!A:E,5,),"NO REGISTRA")</f>
        <v>OFICINA DE MERCADEO</v>
      </c>
    </row>
    <row r="2029" spans="1:5" ht="15.75" x14ac:dyDescent="0.25">
      <c r="A2029" s="10">
        <v>52443092</v>
      </c>
      <c r="B2029" s="2">
        <v>46062.470357407408</v>
      </c>
      <c r="C2029" s="3" t="str">
        <f>IFERROR(VLOOKUP(A2029,'Base Prueba'!A:C,3,),"NO REGISTRA")</f>
        <v>LUZ MYRIAM SAAVEDRA CONTRERAS</v>
      </c>
      <c r="D2029" s="4" t="str">
        <f>IFERROR(VLOOKUP(A2029,'Base Prueba'!A:D,4,),"NO REGISTRA")</f>
        <v>AUXILIAR DE SERVICIOS</v>
      </c>
      <c r="E2029" s="5" t="str">
        <f>IFERROR(VLOOKUP(A2029,'Base Prueba'!A:E,5,),"NO REGISTRA")</f>
        <v>LOGISTICA Y SERVICIOS GENERALES</v>
      </c>
    </row>
    <row r="2030" spans="1:5" ht="15.75" x14ac:dyDescent="0.25">
      <c r="A2030" s="10">
        <v>1000257136</v>
      </c>
      <c r="B2030" s="2">
        <v>46062.633229513885</v>
      </c>
      <c r="C2030" s="3" t="str">
        <f>IFERROR(VLOOKUP(A2030,'Base Prueba'!A:C,3,),"NO REGISTRA")</f>
        <v>FRANCI VALENTINA CANO PUENTES</v>
      </c>
      <c r="D2030" s="4" t="str">
        <f>IFERROR(VLOOKUP(A2030,'Base Prueba'!A:D,4,),"NO REGISTRA")</f>
        <v>AUXILIAR CONTABLE</v>
      </c>
      <c r="E2030" s="5" t="str">
        <f>IFERROR(VLOOKUP(A2030,'Base Prueba'!A:E,5,),"NO REGISTRA")</f>
        <v>AREA FINANCIERA Y CONTABLE</v>
      </c>
    </row>
    <row r="2031" spans="1:5" ht="15.75" x14ac:dyDescent="0.25">
      <c r="A2031" s="10">
        <v>1031802160</v>
      </c>
      <c r="B2031" s="2">
        <v>46062.707613888888</v>
      </c>
      <c r="C2031" s="3" t="str">
        <f>IFERROR(VLOOKUP(A2031,'Base Prueba'!A:C,3,),"NO REGISTRA")</f>
        <v>LUISA MARIA MAHECHA SOTOMAYOR</v>
      </c>
      <c r="D2031" s="4" t="str">
        <f>IFERROR(VLOOKUP(A2031,'Base Prueba'!A:D,4,),"NO REGISTRA")</f>
        <v>APRENDIZ UNIVERSITARIO</v>
      </c>
      <c r="E2031" s="5" t="str">
        <f>IFERROR(VLOOKUP(A2031,'Base Prueba'!A:E,5,),"NO REGISTRA")</f>
        <v>OFICINA DE MERCADEO</v>
      </c>
    </row>
    <row r="2032" spans="1:5" ht="15.75" x14ac:dyDescent="0.25">
      <c r="A2032" s="10">
        <v>1012426741</v>
      </c>
      <c r="B2032" s="2">
        <v>46062.750217592591</v>
      </c>
      <c r="C2032" s="3" t="str">
        <f>IFERROR(VLOOKUP(A2032,'Base Prueba'!A:C,3,),"NO REGISTRA")</f>
        <v>CRISTIAN FABIAN ROJAS SANCENO</v>
      </c>
      <c r="D2032" s="4" t="str">
        <f>IFERROR(VLOOKUP(A2032,'Base Prueba'!A:D,4,),"NO REGISTRA")</f>
        <v>AUXILIAR DE REINTEGROS</v>
      </c>
      <c r="E2032" s="5" t="str">
        <f>IFERROR(VLOOKUP(A2032,'Base Prueba'!A:E,5,),"NO REGISTRA")</f>
        <v>DIRECCION DE BIENESTAR INSTITUCIONAL</v>
      </c>
    </row>
    <row r="2033" spans="1:5" ht="15.75" x14ac:dyDescent="0.25">
      <c r="A2033" s="10">
        <v>1000354041</v>
      </c>
      <c r="B2033" s="2">
        <v>46062.750313888886</v>
      </c>
      <c r="C2033" s="3" t="str">
        <f>IFERROR(VLOOKUP(A2033,'Base Prueba'!A:C,3,),"NO REGISTRA")</f>
        <v>ANGIE NATALIA BOHORQUEZ SANCHEZ</v>
      </c>
      <c r="D2033" s="4" t="str">
        <f>IFERROR(VLOOKUP(A2033,'Base Prueba'!A:D,4,),"NO REGISTRA")</f>
        <v>APRENDIZ UNIVERSITARIO</v>
      </c>
      <c r="E2033" s="5" t="str">
        <f>IFERROR(VLOOKUP(A2033,'Base Prueba'!A:E,5,),"NO REGISTRA")</f>
        <v>OFICINA DE PLANEACION Y GESTION DE LA CALIDAD</v>
      </c>
    </row>
    <row r="2034" spans="1:5" ht="15.75" x14ac:dyDescent="0.25">
      <c r="A2034" s="10">
        <v>1014266838</v>
      </c>
      <c r="B2034" s="2">
        <v>46062.750892824071</v>
      </c>
      <c r="C2034" s="3" t="str">
        <f>IFERROR(VLOOKUP(A2034,'Base Prueba'!A:C,3,),"NO REGISTRA")</f>
        <v>JENNIFER ASTRID ROMERO HURTADO</v>
      </c>
      <c r="D2034" s="4" t="str">
        <f>IFERROR(VLOOKUP(A2034,'Base Prueba'!A:D,4,),"NO REGISTRA")</f>
        <v>LIDER DE RECAUDO</v>
      </c>
      <c r="E2034" s="5" t="str">
        <f>IFERROR(VLOOKUP(A2034,'Base Prueba'!A:E,5,),"NO REGISTRA")</f>
        <v>AREA FINANCIERA Y CONTABLE</v>
      </c>
    </row>
    <row r="2035" spans="1:5" ht="15.75" x14ac:dyDescent="0.25">
      <c r="A2035" s="10">
        <v>1012357415</v>
      </c>
      <c r="B2035" s="2">
        <v>46062.751127430558</v>
      </c>
      <c r="C2035" s="3" t="str">
        <f>IFERROR(VLOOKUP(A2035,'Base Prueba'!A:C,3,),"NO REGISTRA")</f>
        <v>CINDY LORENA BOHORQUEZ LEYVA</v>
      </c>
      <c r="D2035" s="4" t="str">
        <f>IFERROR(VLOOKUP(A2035,'Base Prueba'!A:D,4,),"NO REGISTRA")</f>
        <v>ANALISTA DE TESORERIA</v>
      </c>
      <c r="E2035" s="5" t="str">
        <f>IFERROR(VLOOKUP(A2035,'Base Prueba'!A:E,5,),"NO REGISTRA")</f>
        <v>AREA FINANCIERA Y CONTABLE</v>
      </c>
    </row>
    <row r="2036" spans="1:5" ht="15.75" x14ac:dyDescent="0.25">
      <c r="A2036" s="10">
        <v>1000593372</v>
      </c>
      <c r="B2036" s="2">
        <v>46062.751547337961</v>
      </c>
      <c r="C2036" s="3" t="str">
        <f>IFERROR(VLOOKUP(A2036,'Base Prueba'!A:C,3,),"NO REGISTRA")</f>
        <v>LAURA SOFIA CHAPARRO LOPEZ</v>
      </c>
      <c r="D2036" s="4" t="str">
        <f>IFERROR(VLOOKUP(A2036,'Base Prueba'!A:D,4,),"NO REGISTRA")</f>
        <v>AUXILIAR JURIDICO</v>
      </c>
      <c r="E2036" s="5" t="str">
        <f>IFERROR(VLOOKUP(A2036,'Base Prueba'!A:E,5,),"NO REGISTRA")</f>
        <v>SECRETARIA GENERAL</v>
      </c>
    </row>
    <row r="2037" spans="1:5" ht="15.75" x14ac:dyDescent="0.25">
      <c r="A2037" s="10">
        <v>1000604979</v>
      </c>
      <c r="B2037" s="2">
        <v>46062.751587152779</v>
      </c>
      <c r="C2037" s="3" t="str">
        <f>IFERROR(VLOOKUP(A2037,'Base Prueba'!A:C,3,),"NO REGISTRA")</f>
        <v>JULIETH TATIANA PARDO PINTO</v>
      </c>
      <c r="D2037" s="4" t="str">
        <f>IFERROR(VLOOKUP(A2037,'Base Prueba'!A:D,4,),"NO REGISTRA")</f>
        <v>AUXILIAR JURIDICO</v>
      </c>
      <c r="E2037" s="5" t="str">
        <f>IFERROR(VLOOKUP(A2037,'Base Prueba'!A:E,5,),"NO REGISTRA")</f>
        <v>SECRETARIA GENERAL</v>
      </c>
    </row>
    <row r="2038" spans="1:5" ht="15.75" x14ac:dyDescent="0.25">
      <c r="A2038" s="10">
        <v>1000046533</v>
      </c>
      <c r="B2038" s="2">
        <v>46062.752107175926</v>
      </c>
      <c r="C2038" s="3" t="str">
        <f>IFERROR(VLOOKUP(A2038,'Base Prueba'!A:C,3,),"NO REGISTRA")</f>
        <v>ERIKA JULIETH VALDERRAMA SANCHEZ</v>
      </c>
      <c r="D2038" s="4" t="str">
        <f>IFERROR(VLOOKUP(A2038,'Base Prueba'!A:D,4,),"NO REGISTRA")</f>
        <v>PROMOTOR CALL CENTER</v>
      </c>
      <c r="E2038" s="5" t="str">
        <f>IFERROR(VLOOKUP(A2038,'Base Prueba'!A:E,5,),"NO REGISTRA")</f>
        <v>OFICINA DE MERCADEO</v>
      </c>
    </row>
    <row r="2039" spans="1:5" ht="15.75" x14ac:dyDescent="0.25">
      <c r="A2039" s="10">
        <v>1000687931</v>
      </c>
      <c r="B2039" s="2">
        <v>46062.752455324073</v>
      </c>
      <c r="C2039" s="3" t="str">
        <f>IFERROR(VLOOKUP(A2039,'Base Prueba'!A:C,3,),"NO REGISTRA")</f>
        <v>ANDRES FELIPE PUENTES TORRES</v>
      </c>
      <c r="D2039" s="4" t="str">
        <f>IFERROR(VLOOKUP(A2039,'Base Prueba'!A:D,4,),"NO REGISTRA")</f>
        <v>AUXILIAR ADMINISTRATIVO</v>
      </c>
      <c r="E2039" s="5" t="str">
        <f>IFERROR(VLOOKUP(A2039,'Base Prueba'!A:E,5,),"NO REGISTRA")</f>
        <v>REGISTRO Y CONTROL ACADEMICO</v>
      </c>
    </row>
    <row r="2040" spans="1:5" ht="15.75" x14ac:dyDescent="0.25">
      <c r="A2040" s="10">
        <v>1000467399</v>
      </c>
      <c r="B2040" s="2">
        <v>46062.752605787035</v>
      </c>
      <c r="C2040" s="3" t="str">
        <f>IFERROR(VLOOKUP(A2040,'Base Prueba'!A:C,3,),"NO REGISTRA")</f>
        <v>BRANDO ESTIVEN DIAZ QUIMBAYA</v>
      </c>
      <c r="D2040" s="4" t="str">
        <f>IFERROR(VLOOKUP(A2040,'Base Prueba'!A:D,4,),"NO REGISTRA")</f>
        <v>APRENDIZ UNIVERSITARIO</v>
      </c>
      <c r="E2040" s="5" t="str">
        <f>IFERROR(VLOOKUP(A2040,'Base Prueba'!A:E,5,),"NO REGISTRA")</f>
        <v>DEPARTAMENTO DE GESTION HUMANA</v>
      </c>
    </row>
    <row r="2041" spans="1:5" ht="15.75" x14ac:dyDescent="0.25">
      <c r="A2041" s="10">
        <v>52175674</v>
      </c>
      <c r="B2041" s="2">
        <v>46062.753292476853</v>
      </c>
      <c r="C2041" s="3" t="str">
        <f>IFERROR(VLOOKUP(A2041,'Base Prueba'!A:C,3,),"NO REGISTRA")</f>
        <v>LUZ YANETH GOMEZ AREVALO</v>
      </c>
      <c r="D2041" s="4" t="str">
        <f>IFERROR(VLOOKUP(A2041,'Base Prueba'!A:D,4,),"NO REGISTRA")</f>
        <v>COORDINADORA DE ADMISIONES</v>
      </c>
      <c r="E2041" s="5" t="str">
        <f>IFERROR(VLOOKUP(A2041,'Base Prueba'!A:E,5,),"NO REGISTRA")</f>
        <v>OFICINA DE MERCADEO</v>
      </c>
    </row>
    <row r="2042" spans="1:5" ht="15.75" x14ac:dyDescent="0.25">
      <c r="A2042" s="10">
        <v>1049644802</v>
      </c>
      <c r="B2042" s="2">
        <v>46062.753825462962</v>
      </c>
      <c r="C2042" s="3" t="str">
        <f>IFERROR(VLOOKUP(A2042,'Base Prueba'!A:C,3,),"NO REGISTRA")</f>
        <v>DANIELA ALEXANDRA CIPAMOCHA BOSIGA</v>
      </c>
      <c r="D2042" s="4" t="str">
        <f>IFERROR(VLOOKUP(A2042,'Base Prueba'!A:D,4,),"NO REGISTRA")</f>
        <v>LIDER DE DATOS Y SERVICIOS</v>
      </c>
      <c r="E2042" s="5" t="str">
        <f>IFERROR(VLOOKUP(A2042,'Base Prueba'!A:E,5,),"NO REGISTRA")</f>
        <v>OFICINA DE PLANEACION Y GESTION DE LA CALIDAD</v>
      </c>
    </row>
    <row r="2043" spans="1:5" ht="15.75" x14ac:dyDescent="0.25">
      <c r="A2043" s="10">
        <v>1032469638</v>
      </c>
      <c r="B2043" s="2">
        <v>46062.753944212964</v>
      </c>
      <c r="C2043" s="3" t="str">
        <f>IFERROR(VLOOKUP(A2043,'Base Prueba'!A:C,3,),"NO REGISTRA")</f>
        <v>MAICOL JARBEY GUALTEROS CASTAÑEDA</v>
      </c>
      <c r="D2043" s="4" t="str">
        <f>IFERROR(VLOOKUP(A2043,'Base Prueba'!A:D,4,),"NO REGISTRA")</f>
        <v>COORDINADOR DEL SISTEMA INTERNO DE ASEGURAMIENTO DE LA CALIDAD - SIAC</v>
      </c>
      <c r="E2043" s="5" t="str">
        <f>IFERROR(VLOOKUP(A2043,'Base Prueba'!A:E,5,),"NO REGISTRA")</f>
        <v>OFICINA DE PLANEACION Y GESTION DE LA CALIDAD</v>
      </c>
    </row>
    <row r="2044" spans="1:5" ht="15.75" x14ac:dyDescent="0.25">
      <c r="A2044" s="10">
        <v>1026599257</v>
      </c>
      <c r="B2044" s="2">
        <v>46062.755672685184</v>
      </c>
      <c r="C2044" s="3" t="str">
        <f>IFERROR(VLOOKUP(A2044,'Base Prueba'!A:C,3,),"NO REGISTRA")</f>
        <v>YESENIA PAOLA PINEDA HURTADO</v>
      </c>
      <c r="D2044" s="4" t="str">
        <f>IFERROR(VLOOKUP(A2044,'Base Prueba'!A:D,4,),"NO REGISTRA")</f>
        <v>LIDER DE COMPRAS</v>
      </c>
      <c r="E2044" s="5" t="str">
        <f>IFERROR(VLOOKUP(A2044,'Base Prueba'!A:E,5,),"NO REGISTRA")</f>
        <v>AREA ADMINISTRATIVA</v>
      </c>
    </row>
    <row r="2045" spans="1:5" ht="15.75" x14ac:dyDescent="0.25">
      <c r="A2045" s="10">
        <v>1193457976</v>
      </c>
      <c r="B2045" s="2">
        <v>46062.757198032406</v>
      </c>
      <c r="C2045" s="3" t="str">
        <f>IFERROR(VLOOKUP(A2045,'Base Prueba'!A:C,3,),"NO REGISTRA")</f>
        <v>SEDENIS RIVAS ASPRILLA</v>
      </c>
      <c r="D2045" s="4" t="str">
        <f>IFERROR(VLOOKUP(A2045,'Base Prueba'!A:D,4,),"NO REGISTRA")</f>
        <v>APRENDIZ UNIVERSITARIO</v>
      </c>
      <c r="E2045" s="5" t="str">
        <f>IFERROR(VLOOKUP(A2045,'Base Prueba'!A:E,5,),"NO REGISTRA")</f>
        <v>DEPARTAMENTO DE GESTION HUMANA</v>
      </c>
    </row>
    <row r="2046" spans="1:5" ht="15.75" x14ac:dyDescent="0.25">
      <c r="A2046" s="10">
        <v>1087121273</v>
      </c>
      <c r="B2046" s="2">
        <v>46062.757500347223</v>
      </c>
      <c r="C2046" s="3" t="str">
        <f>IFERROR(VLOOKUP(A2046,'Base Prueba'!A:C,3,),"NO REGISTRA")</f>
        <v>MAYRA ALEJANDRA CASTILLO ARBOLEDA</v>
      </c>
      <c r="D2046" s="4" t="str">
        <f>IFERROR(VLOOKUP(A2046,'Base Prueba'!A:D,4,),"NO REGISTRA")</f>
        <v>APOYO INTEGRAL DE MERCADEO</v>
      </c>
      <c r="E2046" s="5" t="str">
        <f>IFERROR(VLOOKUP(A2046,'Base Prueba'!A:E,5,),"NO REGISTRA")</f>
        <v>CENTRO DE GESTION DOCUMENTAL</v>
      </c>
    </row>
    <row r="2047" spans="1:5" ht="15.75" x14ac:dyDescent="0.25">
      <c r="A2047" s="10">
        <v>1023883232</v>
      </c>
      <c r="B2047" s="2">
        <v>46062.757896990741</v>
      </c>
      <c r="C2047" s="3" t="str">
        <f>IFERROR(VLOOKUP(A2047,'Base Prueba'!A:C,3,),"NO REGISTRA")</f>
        <v>MONICA ANDREA ACERO URBANO</v>
      </c>
      <c r="D2047" s="4" t="str">
        <f>IFERROR(VLOOKUP(A2047,'Base Prueba'!A:D,4,),"NO REGISTRA")</f>
        <v>APOYO INTEGRAL A GESTION HUMANA</v>
      </c>
      <c r="E2047" s="5" t="str">
        <f>IFERROR(VLOOKUP(A2047,'Base Prueba'!A:E,5,),"NO REGISTRA")</f>
        <v>DEPARTAMENTO DE GESTION HUMANA</v>
      </c>
    </row>
    <row r="2048" spans="1:5" ht="15.75" x14ac:dyDescent="0.25">
      <c r="A2048" s="10">
        <v>80238161</v>
      </c>
      <c r="B2048" s="2">
        <v>46062.758513773151</v>
      </c>
      <c r="C2048" s="3" t="str">
        <f>IFERROR(VLOOKUP(A2048,'Base Prueba'!A:C,3,),"NO REGISTRA")</f>
        <v>GERMAN CARRANZA ESPITIA</v>
      </c>
      <c r="D2048" s="4" t="str">
        <f>IFERROR(VLOOKUP(A2048,'Base Prueba'!A:D,4,),"NO REGISTRA")</f>
        <v>TESORERO</v>
      </c>
      <c r="E2048" s="5" t="str">
        <f>IFERROR(VLOOKUP(A2048,'Base Prueba'!A:E,5,),"NO REGISTRA")</f>
        <v>AREA FINANCIERA Y CONTABLE</v>
      </c>
    </row>
    <row r="2049" spans="1:5" ht="15.75" x14ac:dyDescent="0.25">
      <c r="A2049" s="10">
        <v>1033709056</v>
      </c>
      <c r="B2049" s="2">
        <v>46062.758573842591</v>
      </c>
      <c r="C2049" s="3" t="str">
        <f>IFERROR(VLOOKUP(A2049,'Base Prueba'!A:C,3,),"NO REGISTRA")</f>
        <v>YEIMY ALEXANDRA RODRIGUEZ PALACIO</v>
      </c>
      <c r="D2049" s="4" t="str">
        <f>IFERROR(VLOOKUP(A2049,'Base Prueba'!A:D,4,),"NO REGISTRA")</f>
        <v>PROMOTOR CALL CENTER</v>
      </c>
      <c r="E2049" s="5" t="str">
        <f>IFERROR(VLOOKUP(A2049,'Base Prueba'!A:E,5,),"NO REGISTRA")</f>
        <v>OFICINA DE MERCADEO</v>
      </c>
    </row>
    <row r="2050" spans="1:5" ht="15.75" x14ac:dyDescent="0.25">
      <c r="A2050" s="10">
        <v>53089882</v>
      </c>
      <c r="B2050" s="2">
        <v>46062.759868518522</v>
      </c>
      <c r="C2050" s="3" t="str">
        <f>IFERROR(VLOOKUP(A2050,'Base Prueba'!A:C,3,),"NO REGISTRA")</f>
        <v>MARIA JOHANA ESCAMILLA MARTINEZ</v>
      </c>
      <c r="D2050" s="4" t="str">
        <f>IFERROR(VLOOKUP(A2050,'Base Prueba'!A:D,4,),"NO REGISTRA")</f>
        <v>PROMOTOR DE INFORMACIÓN</v>
      </c>
      <c r="E2050" s="5" t="str">
        <f>IFERROR(VLOOKUP(A2050,'Base Prueba'!A:E,5,),"NO REGISTRA")</f>
        <v>OFICINA DE MERCADEO</v>
      </c>
    </row>
    <row r="2051" spans="1:5" ht="15.75" x14ac:dyDescent="0.25">
      <c r="A2051" s="10">
        <v>6</v>
      </c>
      <c r="B2051" s="2">
        <v>46062.760128240741</v>
      </c>
      <c r="C2051" s="3" t="str">
        <f>IFERROR(VLOOKUP(A2051,'Base Prueba'!A:C,3,),"NO REGISTRA")</f>
        <v>NO REGISTRA</v>
      </c>
      <c r="D2051" s="4" t="str">
        <f>IFERROR(VLOOKUP(A2051,'Base Prueba'!A:D,4,),"NO REGISTRA")</f>
        <v>NO REGISTRA</v>
      </c>
      <c r="E2051" s="5" t="str">
        <f>IFERROR(VLOOKUP(A2051,'Base Prueba'!A:E,5,),"NO REGISTRA")</f>
        <v>NO REGISTRA</v>
      </c>
    </row>
    <row r="2052" spans="1:5" ht="15.75" x14ac:dyDescent="0.25">
      <c r="A2052" s="10">
        <v>1018413529</v>
      </c>
      <c r="B2052" s="2">
        <v>46062.760131597221</v>
      </c>
      <c r="C2052" s="3" t="str">
        <f>IFERROR(VLOOKUP(A2052,'Base Prueba'!A:C,3,),"NO REGISTRA")</f>
        <v>FRANCY STELLA CHARRY MORENO</v>
      </c>
      <c r="D2052" s="4" t="str">
        <f>IFERROR(VLOOKUP(A2052,'Base Prueba'!A:D,4,),"NO REGISTRA")</f>
        <v>PROMOTOR COMERCIAL DEL CEA</v>
      </c>
      <c r="E2052" s="5" t="str">
        <f>IFERROR(VLOOKUP(A2052,'Base Prueba'!A:E,5,),"NO REGISTRA")</f>
        <v>OFICINA DE MERCADEO</v>
      </c>
    </row>
    <row r="2053" spans="1:5" ht="15.75" x14ac:dyDescent="0.25">
      <c r="A2053" s="10">
        <v>1014977624</v>
      </c>
      <c r="B2053" s="2">
        <v>46062.762280324074</v>
      </c>
      <c r="C2053" s="3" t="str">
        <f>IFERROR(VLOOKUP(A2053,'Base Prueba'!A:C,3,),"NO REGISTRA")</f>
        <v>NICCOLE VALENTINA HERNANDEZ MALAVER</v>
      </c>
      <c r="D2053" s="4" t="str">
        <f>IFERROR(VLOOKUP(A2053,'Base Prueba'!A:D,4,),"NO REGISTRA")</f>
        <v>APRENDIZ UNIVERSITARIO</v>
      </c>
      <c r="E2053" s="5" t="str">
        <f>IFERROR(VLOOKUP(A2053,'Base Prueba'!A:E,5,),"NO REGISTRA")</f>
        <v>AREA FINANCIERA Y CONTABLE</v>
      </c>
    </row>
    <row r="2054" spans="1:5" ht="15.75" x14ac:dyDescent="0.25">
      <c r="A2054" s="10">
        <v>1193265768</v>
      </c>
      <c r="B2054" s="2">
        <v>46062.762810300927</v>
      </c>
      <c r="C2054" s="3" t="str">
        <f>IFERROR(VLOOKUP(A2054,'Base Prueba'!A:C,3,),"NO REGISTRA")</f>
        <v>SANTIAGO OSORIO CAMACHO</v>
      </c>
      <c r="D2054" s="4" t="str">
        <f>IFERROR(VLOOKUP(A2054,'Base Prueba'!A:D,4,),"NO REGISTRA")</f>
        <v>ANALISTA DE PAUTA</v>
      </c>
      <c r="E2054" s="5" t="str">
        <f>IFERROR(VLOOKUP(A2054,'Base Prueba'!A:E,5,),"NO REGISTRA")</f>
        <v>OFICINA DE MERCADEO</v>
      </c>
    </row>
    <row r="2055" spans="1:5" ht="15.75" x14ac:dyDescent="0.25">
      <c r="A2055" s="10">
        <v>1014196857</v>
      </c>
      <c r="B2055" s="2">
        <v>46062.763312384261</v>
      </c>
      <c r="C2055" s="3" t="str">
        <f>IFERROR(VLOOKUP(A2055,'Base Prueba'!A:C,3,),"NO REGISTRA")</f>
        <v>CARLOS ANDRES JIMENEZ PARDO</v>
      </c>
      <c r="D2055" s="4" t="str">
        <f>IFERROR(VLOOKUP(A2055,'Base Prueba'!A:D,4,),"NO REGISTRA")</f>
        <v>COORDINADOR DE MARKETING DIGITAL</v>
      </c>
      <c r="E2055" s="5" t="str">
        <f>IFERROR(VLOOKUP(A2055,'Base Prueba'!A:E,5,),"NO REGISTRA")</f>
        <v>OFICINA DE MERCADEO</v>
      </c>
    </row>
    <row r="2056" spans="1:5" ht="15.75" x14ac:dyDescent="0.25">
      <c r="A2056" s="10">
        <v>1018414290</v>
      </c>
      <c r="B2056" s="2">
        <v>46062.76336203704</v>
      </c>
      <c r="C2056" s="3" t="str">
        <f>IFERROR(VLOOKUP(A2056,'Base Prueba'!A:C,3,),"NO REGISTRA")</f>
        <v>AMANDA LISBETH RODRIGUEZ LEON</v>
      </c>
      <c r="D2056" s="4" t="str">
        <f>IFERROR(VLOOKUP(A2056,'Base Prueba'!A:D,4,),"NO REGISTRA")</f>
        <v>PROMOTOR CALL CENTER</v>
      </c>
      <c r="E2056" s="5" t="str">
        <f>IFERROR(VLOOKUP(A2056,'Base Prueba'!A:E,5,),"NO REGISTRA")</f>
        <v>OFICINA DE MERCADEO</v>
      </c>
    </row>
    <row r="2057" spans="1:5" ht="15.75" x14ac:dyDescent="0.25">
      <c r="A2057" s="10">
        <v>1032407386</v>
      </c>
      <c r="B2057" s="2">
        <v>46062.763414004628</v>
      </c>
      <c r="C2057" s="3" t="str">
        <f>IFERROR(VLOOKUP(A2057,'Base Prueba'!A:C,3,),"NO REGISTRA")</f>
        <v>GINA PAOLA BAEZ GALVIS</v>
      </c>
      <c r="D2057" s="4" t="str">
        <f>IFERROR(VLOOKUP(A2057,'Base Prueba'!A:D,4,),"NO REGISTRA")</f>
        <v>PROMOTOR CALL CENTER</v>
      </c>
      <c r="E2057" s="5" t="str">
        <f>IFERROR(VLOOKUP(A2057,'Base Prueba'!A:E,5,),"NO REGISTRA")</f>
        <v>OFICINA DE MERCADEO</v>
      </c>
    </row>
    <row r="2058" spans="1:5" ht="15.75" x14ac:dyDescent="0.25">
      <c r="A2058" s="10">
        <v>1003690253</v>
      </c>
      <c r="B2058" s="2">
        <v>46062.763762152776</v>
      </c>
      <c r="C2058" s="3" t="str">
        <f>IFERROR(VLOOKUP(A2058,'Base Prueba'!A:C,3,),"NO REGISTRA")</f>
        <v>MELISSA GONZALEZ PEDRAZA</v>
      </c>
      <c r="D2058" s="4" t="str">
        <f>IFERROR(VLOOKUP(A2058,'Base Prueba'!A:D,4,),"NO REGISTRA")</f>
        <v>LIDER DE JOVENES A LA E</v>
      </c>
      <c r="E2058" s="5" t="str">
        <f>IFERROR(VLOOKUP(A2058,'Base Prueba'!A:E,5,),"NO REGISTRA")</f>
        <v>DIRECCION DE BIENESTAR INSTITUCIONAL</v>
      </c>
    </row>
    <row r="2059" spans="1:5" ht="15.75" x14ac:dyDescent="0.25">
      <c r="A2059" s="10">
        <v>1000457706</v>
      </c>
      <c r="B2059" s="2">
        <v>46062.764519675926</v>
      </c>
      <c r="C2059" s="3" t="str">
        <f>IFERROR(VLOOKUP(A2059,'Base Prueba'!A:C,3,),"NO REGISTRA")</f>
        <v>CRISTIAN DANILO ARROYO SANABRIA</v>
      </c>
      <c r="D2059" s="4" t="str">
        <f>IFERROR(VLOOKUP(A2059,'Base Prueba'!A:D,4,),"NO REGISTRA")</f>
        <v>AUXILIAR CONTABLE</v>
      </c>
      <c r="E2059" s="5" t="str">
        <f>IFERROR(VLOOKUP(A2059,'Base Prueba'!A:E,5,),"NO REGISTRA")</f>
        <v>AREA FINANCIERA Y CONTABLE</v>
      </c>
    </row>
    <row r="2060" spans="1:5" ht="15.75" x14ac:dyDescent="0.25">
      <c r="A2060" s="10">
        <v>28798349</v>
      </c>
      <c r="B2060" s="2">
        <v>46062.766429050927</v>
      </c>
      <c r="C2060" s="3" t="str">
        <f>IFERROR(VLOOKUP(A2060,'Base Prueba'!A:C,3,),"NO REGISTRA")</f>
        <v>MARTHA ISABEL TOVAR WILLIAMS</v>
      </c>
      <c r="D2060" s="4" t="str">
        <f>IFERROR(VLOOKUP(A2060,'Base Prueba'!A:D,4,),"NO REGISTRA")</f>
        <v>PROMOTOR CALL CENTER</v>
      </c>
      <c r="E2060" s="5" t="str">
        <f>IFERROR(VLOOKUP(A2060,'Base Prueba'!A:E,5,),"NO REGISTRA")</f>
        <v>OFICINA DE MERCADEO</v>
      </c>
    </row>
    <row r="2061" spans="1:5" ht="15.75" x14ac:dyDescent="0.25">
      <c r="A2061" s="10">
        <v>52472386</v>
      </c>
      <c r="B2061" s="2">
        <v>46062.76647696759</v>
      </c>
      <c r="C2061" s="3" t="str">
        <f>IFERROR(VLOOKUP(A2061,'Base Prueba'!A:C,3,),"NO REGISTRA")</f>
        <v>ADRIANA MARCELA MORALES PARDO</v>
      </c>
      <c r="D2061" s="4" t="str">
        <f>IFERROR(VLOOKUP(A2061,'Base Prueba'!A:D,4,),"NO REGISTRA")</f>
        <v>PROMOTOR CALL CENTER</v>
      </c>
      <c r="E2061" s="5" t="str">
        <f>IFERROR(VLOOKUP(A2061,'Base Prueba'!A:E,5,),"NO REGISTRA")</f>
        <v>OFICINA DE MERCADEO</v>
      </c>
    </row>
    <row r="2062" spans="1:5" ht="15.75" x14ac:dyDescent="0.25">
      <c r="A2062" s="10">
        <v>1000324729</v>
      </c>
      <c r="B2062" s="2">
        <v>46062.768358680558</v>
      </c>
      <c r="C2062" s="3" t="str">
        <f>IFERROR(VLOOKUP(A2062,'Base Prueba'!A:C,3,),"NO REGISTRA")</f>
        <v>ANYIE VANESSA TINOCO CAMACHO</v>
      </c>
      <c r="D2062" s="4" t="str">
        <f>IFERROR(VLOOKUP(A2062,'Base Prueba'!A:D,4,),"NO REGISTRA")</f>
        <v>LIDER DE REGISTRO Y CONTROL</v>
      </c>
      <c r="E2062" s="5" t="str">
        <f>IFERROR(VLOOKUP(A2062,'Base Prueba'!A:E,5,),"NO REGISTRA")</f>
        <v>REGISTRO Y CONTROL ACADEMICO</v>
      </c>
    </row>
    <row r="2063" spans="1:5" ht="15.75" x14ac:dyDescent="0.25">
      <c r="A2063" s="10">
        <v>1013616244</v>
      </c>
      <c r="B2063" s="2">
        <v>46062.768401273148</v>
      </c>
      <c r="C2063" s="3" t="str">
        <f>IFERROR(VLOOKUP(A2063,'Base Prueba'!A:C,3,),"NO REGISTRA")</f>
        <v>DIANA CAROLINA MARIN BETANCOURT</v>
      </c>
      <c r="D2063" s="4" t="str">
        <f>IFERROR(VLOOKUP(A2063,'Base Prueba'!A:D,4,),"NO REGISTRA")</f>
        <v>AUXILIAR ADMINISTRATIVO</v>
      </c>
      <c r="E2063" s="5" t="str">
        <f>IFERROR(VLOOKUP(A2063,'Base Prueba'!A:E,5,),"NO REGISTRA")</f>
        <v>REGISTRO Y CONTROL ACADEMICO</v>
      </c>
    </row>
    <row r="2064" spans="1:5" ht="15.75" x14ac:dyDescent="0.25">
      <c r="A2064" s="10">
        <v>80234243</v>
      </c>
      <c r="B2064" s="2">
        <v>46062.769583333335</v>
      </c>
      <c r="C2064" s="3" t="str">
        <f>IFERROR(VLOOKUP(A2064,'Base Prueba'!A:C,3,),"NO REGISTRA")</f>
        <v>ARGENIS MARTINEZ MARTINEZ</v>
      </c>
      <c r="D2064" s="4" t="str">
        <f>IFERROR(VLOOKUP(A2064,'Base Prueba'!A:D,4,),"NO REGISTRA")</f>
        <v>LIDER CALL CENTER</v>
      </c>
      <c r="E2064" s="5" t="str">
        <f>IFERROR(VLOOKUP(A2064,'Base Prueba'!A:E,5,),"NO REGISTRA")</f>
        <v>OFICINA DE MERCADEO</v>
      </c>
    </row>
    <row r="2065" spans="1:5" ht="15.75" x14ac:dyDescent="0.25">
      <c r="A2065" s="10">
        <v>1016090131</v>
      </c>
      <c r="B2065" s="2">
        <v>46062.772594212962</v>
      </c>
      <c r="C2065" s="3" t="str">
        <f>IFERROR(VLOOKUP(A2065,'Base Prueba'!A:C,3,),"NO REGISTRA")</f>
        <v>NICOLAS RODRIGUEZ PACHECO</v>
      </c>
      <c r="D2065" s="4" t="str">
        <f>IFERROR(VLOOKUP(A2065,'Base Prueba'!A:D,4,),"NO REGISTRA")</f>
        <v>COORDINADOR DE COMUNICACIONES</v>
      </c>
      <c r="E2065" s="5" t="str">
        <f>IFERROR(VLOOKUP(A2065,'Base Prueba'!A:E,5,),"NO REGISTRA")</f>
        <v>OFICINA DE MERCADEO</v>
      </c>
    </row>
    <row r="2066" spans="1:5" ht="15.75" x14ac:dyDescent="0.25">
      <c r="A2066" s="10">
        <v>1024505434</v>
      </c>
      <c r="B2066" s="2">
        <v>46062.776403356482</v>
      </c>
      <c r="C2066" s="3" t="str">
        <f>IFERROR(VLOOKUP(A2066,'Base Prueba'!A:C,3,),"NO REGISTRA")</f>
        <v>CRISTIAN ALBERTO MELO TORRES</v>
      </c>
      <c r="D2066" s="4" t="str">
        <f>IFERROR(VLOOKUP(A2066,'Base Prueba'!A:D,4,),"NO REGISTRA")</f>
        <v>COORDINADOR DE INFRAESTRUCTURA</v>
      </c>
      <c r="E2066" s="5" t="str">
        <f>IFERROR(VLOOKUP(A2066,'Base Prueba'!A:E,5,),"NO REGISTRA")</f>
        <v>VICERRECTORIA ADMINISTRATIVA Y FINANCIERA</v>
      </c>
    </row>
    <row r="2067" spans="1:5" ht="15.75" x14ac:dyDescent="0.25">
      <c r="A2067" s="10">
        <v>52764929</v>
      </c>
      <c r="B2067" s="2">
        <v>46062.780957754629</v>
      </c>
      <c r="C2067" s="3" t="str">
        <f>IFERROR(VLOOKUP(A2067,'Base Prueba'!A:C,3,),"NO REGISTRA")</f>
        <v>GUERLY YOHANA DURAN RIVERA</v>
      </c>
      <c r="D2067" s="4" t="str">
        <f>IFERROR(VLOOKUP(A2067,'Base Prueba'!A:D,4,),"NO REGISTRA")</f>
        <v>LIDER DE VINCULACION COLEGIOS</v>
      </c>
      <c r="E2067" s="5" t="str">
        <f>IFERROR(VLOOKUP(A2067,'Base Prueba'!A:E,5,),"NO REGISTRA")</f>
        <v>OFICINA DE MERCADEO</v>
      </c>
    </row>
    <row r="2068" spans="1:5" ht="15.75" x14ac:dyDescent="0.25">
      <c r="A2068" s="10">
        <v>52443092</v>
      </c>
      <c r="B2068" s="2">
        <v>46062.7899875</v>
      </c>
      <c r="C2068" s="3" t="str">
        <f>IFERROR(VLOOKUP(A2068,'Base Prueba'!A:C,3,),"NO REGISTRA")</f>
        <v>LUZ MYRIAM SAAVEDRA CONTRERAS</v>
      </c>
      <c r="D2068" s="4" t="str">
        <f>IFERROR(VLOOKUP(A2068,'Base Prueba'!A:D,4,),"NO REGISTRA")</f>
        <v>AUXILIAR DE SERVICIOS</v>
      </c>
      <c r="E2068" s="5" t="str">
        <f>IFERROR(VLOOKUP(A2068,'Base Prueba'!A:E,5,),"NO REGISTRA")</f>
        <v>LOGISTICA Y SERVICIOS GENERALES</v>
      </c>
    </row>
    <row r="2069" spans="1:5" ht="15.75" x14ac:dyDescent="0.25">
      <c r="A2069" s="10">
        <v>53932358</v>
      </c>
      <c r="B2069" s="2">
        <v>46062.813082523149</v>
      </c>
      <c r="C2069" s="3" t="str">
        <f>IFERROR(VLOOKUP(A2069,'Base Prueba'!A:C,3,),"NO REGISTRA")</f>
        <v>DIANA MADELEYNE GAONA RODRIGUEZ</v>
      </c>
      <c r="D2069" s="4" t="str">
        <f>IFERROR(VLOOKUP(A2069,'Base Prueba'!A:D,4,),"NO REGISTRA")</f>
        <v>CONTADOR</v>
      </c>
      <c r="E2069" s="5" t="str">
        <f>IFERROR(VLOOKUP(A2069,'Base Prueba'!A:E,5,),"NO REGISTRA")</f>
        <v>AREA FINANCIERA Y CONTABLE</v>
      </c>
    </row>
    <row r="2070" spans="1:5" ht="15.75" x14ac:dyDescent="0.25">
      <c r="A2070" s="10">
        <v>1000354041</v>
      </c>
      <c r="B2070" s="2">
        <v>46063.288938425925</v>
      </c>
      <c r="C2070" s="3" t="str">
        <f>IFERROR(VLOOKUP(A2070,'Base Prueba'!A:C,3,),"NO REGISTRA")</f>
        <v>ANGIE NATALIA BOHORQUEZ SANCHEZ</v>
      </c>
      <c r="D2070" s="4" t="str">
        <f>IFERROR(VLOOKUP(A2070,'Base Prueba'!A:D,4,),"NO REGISTRA")</f>
        <v>APRENDIZ UNIVERSITARIO</v>
      </c>
      <c r="E2070" s="5" t="str">
        <f>IFERROR(VLOOKUP(A2070,'Base Prueba'!A:E,5,),"NO REGISTRA")</f>
        <v>OFICINA DE PLANEACION Y GESTION DE LA CALIDAD</v>
      </c>
    </row>
    <row r="2071" spans="1:5" ht="15.75" x14ac:dyDescent="0.25">
      <c r="A2071" s="10">
        <v>1000324729</v>
      </c>
      <c r="B2071" s="2">
        <v>46063.313736458331</v>
      </c>
      <c r="C2071" s="3" t="str">
        <f>IFERROR(VLOOKUP(A2071,'Base Prueba'!A:C,3,),"NO REGISTRA")</f>
        <v>ANYIE VANESSA TINOCO CAMACHO</v>
      </c>
      <c r="D2071" s="4" t="str">
        <f>IFERROR(VLOOKUP(A2071,'Base Prueba'!A:D,4,),"NO REGISTRA")</f>
        <v>LIDER DE REGISTRO Y CONTROL</v>
      </c>
      <c r="E2071" s="5" t="str">
        <f>IFERROR(VLOOKUP(A2071,'Base Prueba'!A:E,5,),"NO REGISTRA")</f>
        <v>REGISTRO Y CONTROL ACADEMICO</v>
      </c>
    </row>
    <row r="2072" spans="1:5" ht="15.75" x14ac:dyDescent="0.25">
      <c r="A2072" s="10">
        <v>1087121273</v>
      </c>
      <c r="B2072" s="2">
        <v>46063.314602430553</v>
      </c>
      <c r="C2072" s="3" t="str">
        <f>IFERROR(VLOOKUP(A2072,'Base Prueba'!A:C,3,),"NO REGISTRA")</f>
        <v>MAYRA ALEJANDRA CASTILLO ARBOLEDA</v>
      </c>
      <c r="D2072" s="4" t="str">
        <f>IFERROR(VLOOKUP(A2072,'Base Prueba'!A:D,4,),"NO REGISTRA")</f>
        <v>APOYO INTEGRAL DE MERCADEO</v>
      </c>
      <c r="E2072" s="5" t="str">
        <f>IFERROR(VLOOKUP(A2072,'Base Prueba'!A:E,5,),"NO REGISTRA")</f>
        <v>CENTRO DE GESTION DOCUMENTAL</v>
      </c>
    </row>
    <row r="2073" spans="1:5" ht="15.75" x14ac:dyDescent="0.25">
      <c r="A2073" s="10">
        <v>1014308296</v>
      </c>
      <c r="B2073" s="2">
        <v>46063.323466435184</v>
      </c>
      <c r="C2073" s="3" t="str">
        <f>IFERROR(VLOOKUP(A2073,'Base Prueba'!A:C,3,),"NO REGISTRA")</f>
        <v>DARLENE YULIANA MORENO CELEITA</v>
      </c>
      <c r="D2073" s="4" t="str">
        <f>IFERROR(VLOOKUP(A2073,'Base Prueba'!A:D,4,),"NO REGISTRA")</f>
        <v>CAJERO PRINCIPAL</v>
      </c>
      <c r="E2073" s="5" t="str">
        <f>IFERROR(VLOOKUP(A2073,'Base Prueba'!A:E,5,),"NO REGISTRA")</f>
        <v>AREA FINANCIERA Y CONTABLE</v>
      </c>
    </row>
    <row r="2074" spans="1:5" ht="15.75" x14ac:dyDescent="0.25">
      <c r="A2074" s="10">
        <v>1013616244</v>
      </c>
      <c r="B2074" s="2">
        <v>46063.327971180559</v>
      </c>
      <c r="C2074" s="3" t="str">
        <f>IFERROR(VLOOKUP(A2074,'Base Prueba'!A:C,3,),"NO REGISTRA")</f>
        <v>DIANA CAROLINA MARIN BETANCOURT</v>
      </c>
      <c r="D2074" s="4" t="str">
        <f>IFERROR(VLOOKUP(A2074,'Base Prueba'!A:D,4,),"NO REGISTRA")</f>
        <v>AUXILIAR ADMINISTRATIVO</v>
      </c>
      <c r="E2074" s="5" t="str">
        <f>IFERROR(VLOOKUP(A2074,'Base Prueba'!A:E,5,),"NO REGISTRA")</f>
        <v>REGISTRO Y CONTROL ACADEMICO</v>
      </c>
    </row>
    <row r="2075" spans="1:5" ht="15.75" x14ac:dyDescent="0.25">
      <c r="A2075" s="10">
        <v>1012357415</v>
      </c>
      <c r="B2075" s="2">
        <v>46063.329591898146</v>
      </c>
      <c r="C2075" s="3" t="str">
        <f>IFERROR(VLOOKUP(A2075,'Base Prueba'!A:C,3,),"NO REGISTRA")</f>
        <v>CINDY LORENA BOHORQUEZ LEYVA</v>
      </c>
      <c r="D2075" s="4" t="str">
        <f>IFERROR(VLOOKUP(A2075,'Base Prueba'!A:D,4,),"NO REGISTRA")</f>
        <v>ANALISTA DE TESORERIA</v>
      </c>
      <c r="E2075" s="5" t="str">
        <f>IFERROR(VLOOKUP(A2075,'Base Prueba'!A:E,5,),"NO REGISTRA")</f>
        <v>AREA FINANCIERA Y CONTABLE</v>
      </c>
    </row>
    <row r="2076" spans="1:5" ht="15.75" x14ac:dyDescent="0.25">
      <c r="A2076" s="10">
        <v>1014196857</v>
      </c>
      <c r="B2076" s="2">
        <v>46063.332543865741</v>
      </c>
      <c r="C2076" s="3" t="str">
        <f>IFERROR(VLOOKUP(A2076,'Base Prueba'!A:C,3,),"NO REGISTRA")</f>
        <v>CARLOS ANDRES JIMENEZ PARDO</v>
      </c>
      <c r="D2076" s="4" t="str">
        <f>IFERROR(VLOOKUP(A2076,'Base Prueba'!A:D,4,),"NO REGISTRA")</f>
        <v>COORDINADOR DE MARKETING DIGITAL</v>
      </c>
      <c r="E2076" s="5" t="str">
        <f>IFERROR(VLOOKUP(A2076,'Base Prueba'!A:E,5,),"NO REGISTRA")</f>
        <v>OFICINA DE MERCADEO</v>
      </c>
    </row>
    <row r="2077" spans="1:5" ht="15.75" x14ac:dyDescent="0.25">
      <c r="A2077" s="10">
        <v>1000257136</v>
      </c>
      <c r="B2077" s="2">
        <v>46063.336498726851</v>
      </c>
      <c r="C2077" s="3" t="str">
        <f>IFERROR(VLOOKUP(A2077,'Base Prueba'!A:C,3,),"NO REGISTRA")</f>
        <v>FRANCI VALENTINA CANO PUENTES</v>
      </c>
      <c r="D2077" s="4" t="str">
        <f>IFERROR(VLOOKUP(A2077,'Base Prueba'!A:D,4,),"NO REGISTRA")</f>
        <v>AUXILIAR CONTABLE</v>
      </c>
      <c r="E2077" s="5" t="str">
        <f>IFERROR(VLOOKUP(A2077,'Base Prueba'!A:E,5,),"NO REGISTRA")</f>
        <v>AREA FINANCIERA Y CONTABLE</v>
      </c>
    </row>
    <row r="2078" spans="1:5" ht="15.75" x14ac:dyDescent="0.25">
      <c r="A2078" s="10">
        <v>1014977624</v>
      </c>
      <c r="B2078" s="2">
        <v>46063.33803136574</v>
      </c>
      <c r="C2078" s="3" t="str">
        <f>IFERROR(VLOOKUP(A2078,'Base Prueba'!A:C,3,),"NO REGISTRA")</f>
        <v>NICCOLE VALENTINA HERNANDEZ MALAVER</v>
      </c>
      <c r="D2078" s="4" t="str">
        <f>IFERROR(VLOOKUP(A2078,'Base Prueba'!A:D,4,),"NO REGISTRA")</f>
        <v>APRENDIZ UNIVERSITARIO</v>
      </c>
      <c r="E2078" s="5" t="str">
        <f>IFERROR(VLOOKUP(A2078,'Base Prueba'!A:E,5,),"NO REGISTRA")</f>
        <v>AREA FINANCIERA Y CONTABLE</v>
      </c>
    </row>
    <row r="2079" spans="1:5" ht="15.75" x14ac:dyDescent="0.25">
      <c r="A2079" s="10">
        <v>53932358</v>
      </c>
      <c r="B2079" s="2">
        <v>46063.339058217593</v>
      </c>
      <c r="C2079" s="3" t="str">
        <f>IFERROR(VLOOKUP(A2079,'Base Prueba'!A:C,3,),"NO REGISTRA")</f>
        <v>DIANA MADELEYNE GAONA RODRIGUEZ</v>
      </c>
      <c r="D2079" s="4" t="str">
        <f>IFERROR(VLOOKUP(A2079,'Base Prueba'!A:D,4,),"NO REGISTRA")</f>
        <v>CONTADOR</v>
      </c>
      <c r="E2079" s="5" t="str">
        <f>IFERROR(VLOOKUP(A2079,'Base Prueba'!A:E,5,),"NO REGISTRA")</f>
        <v>AREA FINANCIERA Y CONTABLE</v>
      </c>
    </row>
    <row r="2080" spans="1:5" ht="15.75" x14ac:dyDescent="0.25">
      <c r="A2080" s="10">
        <v>1193457976</v>
      </c>
      <c r="B2080" s="2">
        <v>46063.342329050924</v>
      </c>
      <c r="C2080" s="3" t="str">
        <f>IFERROR(VLOOKUP(A2080,'Base Prueba'!A:C,3,),"NO REGISTRA")</f>
        <v>SEDENIS RIVAS ASPRILLA</v>
      </c>
      <c r="D2080" s="4" t="str">
        <f>IFERROR(VLOOKUP(A2080,'Base Prueba'!A:D,4,),"NO REGISTRA")</f>
        <v>APRENDIZ UNIVERSITARIO</v>
      </c>
      <c r="E2080" s="5" t="str">
        <f>IFERROR(VLOOKUP(A2080,'Base Prueba'!A:E,5,),"NO REGISTRA")</f>
        <v>DEPARTAMENTO DE GESTION HUMANA</v>
      </c>
    </row>
    <row r="2081" spans="1:5" ht="15.75" x14ac:dyDescent="0.25">
      <c r="A2081" s="10">
        <v>1000687931</v>
      </c>
      <c r="B2081" s="2">
        <v>46063.343953703705</v>
      </c>
      <c r="C2081" s="3" t="str">
        <f>IFERROR(VLOOKUP(A2081,'Base Prueba'!A:C,3,),"NO REGISTRA")</f>
        <v>ANDRES FELIPE PUENTES TORRES</v>
      </c>
      <c r="D2081" s="4" t="str">
        <f>IFERROR(VLOOKUP(A2081,'Base Prueba'!A:D,4,),"NO REGISTRA")</f>
        <v>AUXILIAR ADMINISTRATIVO</v>
      </c>
      <c r="E2081" s="5" t="str">
        <f>IFERROR(VLOOKUP(A2081,'Base Prueba'!A:E,5,),"NO REGISTRA")</f>
        <v>REGISTRO Y CONTROL ACADEMICO</v>
      </c>
    </row>
    <row r="2082" spans="1:5" ht="15.75" x14ac:dyDescent="0.25">
      <c r="A2082" s="10">
        <v>1032469638</v>
      </c>
      <c r="B2082" s="2">
        <v>46063.344941898147</v>
      </c>
      <c r="C2082" s="3" t="str">
        <f>IFERROR(VLOOKUP(A2082,'Base Prueba'!A:C,3,),"NO REGISTRA")</f>
        <v>MAICOL JARBEY GUALTEROS CASTAÑEDA</v>
      </c>
      <c r="D2082" s="4" t="str">
        <f>IFERROR(VLOOKUP(A2082,'Base Prueba'!A:D,4,),"NO REGISTRA")</f>
        <v>COORDINADOR DEL SISTEMA INTERNO DE ASEGURAMIENTO DE LA CALIDAD - SIAC</v>
      </c>
      <c r="E2082" s="5" t="str">
        <f>IFERROR(VLOOKUP(A2082,'Base Prueba'!A:E,5,),"NO REGISTRA")</f>
        <v>OFICINA DE PLANEACION Y GESTION DE LA CALIDAD</v>
      </c>
    </row>
    <row r="2083" spans="1:5" ht="15.75" x14ac:dyDescent="0.25">
      <c r="A2083" s="10">
        <v>1049644802</v>
      </c>
      <c r="B2083" s="2">
        <v>46063.345704282408</v>
      </c>
      <c r="C2083" s="3" t="str">
        <f>IFERROR(VLOOKUP(A2083,'Base Prueba'!A:C,3,),"NO REGISTRA")</f>
        <v>DANIELA ALEXANDRA CIPAMOCHA BOSIGA</v>
      </c>
      <c r="D2083" s="4" t="str">
        <f>IFERROR(VLOOKUP(A2083,'Base Prueba'!A:D,4,),"NO REGISTRA")</f>
        <v>LIDER DE DATOS Y SERVICIOS</v>
      </c>
      <c r="E2083" s="5" t="str">
        <f>IFERROR(VLOOKUP(A2083,'Base Prueba'!A:E,5,),"NO REGISTRA")</f>
        <v>OFICINA DE PLANEACION Y GESTION DE LA CALIDAD</v>
      </c>
    </row>
    <row r="2084" spans="1:5" ht="15.75" x14ac:dyDescent="0.25">
      <c r="A2084" s="10">
        <v>1024505434</v>
      </c>
      <c r="B2084" s="2">
        <v>46063.348512731478</v>
      </c>
      <c r="C2084" s="3" t="str">
        <f>IFERROR(VLOOKUP(A2084,'Base Prueba'!A:C,3,),"NO REGISTRA")</f>
        <v>CRISTIAN ALBERTO MELO TORRES</v>
      </c>
      <c r="D2084" s="4" t="str">
        <f>IFERROR(VLOOKUP(A2084,'Base Prueba'!A:D,4,),"NO REGISTRA")</f>
        <v>COORDINADOR DE INFRAESTRUCTURA</v>
      </c>
      <c r="E2084" s="5" t="str">
        <f>IFERROR(VLOOKUP(A2084,'Base Prueba'!A:E,5,),"NO REGISTRA")</f>
        <v>VICERRECTORIA ADMINISTRATIVA Y FINANCIERA</v>
      </c>
    </row>
    <row r="2085" spans="1:5" ht="15.75" x14ac:dyDescent="0.25">
      <c r="A2085" s="10">
        <v>1000457706</v>
      </c>
      <c r="B2085" s="2">
        <v>46063.350402662036</v>
      </c>
      <c r="C2085" s="3" t="str">
        <f>IFERROR(VLOOKUP(A2085,'Base Prueba'!A:C,3,),"NO REGISTRA")</f>
        <v>CRISTIAN DANILO ARROYO SANABRIA</v>
      </c>
      <c r="D2085" s="4" t="str">
        <f>IFERROR(VLOOKUP(A2085,'Base Prueba'!A:D,4,),"NO REGISTRA")</f>
        <v>AUXILIAR CONTABLE</v>
      </c>
      <c r="E2085" s="5" t="str">
        <f>IFERROR(VLOOKUP(A2085,'Base Prueba'!A:E,5,),"NO REGISTRA")</f>
        <v>AREA FINANCIERA Y CONTABLE</v>
      </c>
    </row>
    <row r="2086" spans="1:5" ht="15.75" x14ac:dyDescent="0.25">
      <c r="A2086" s="10">
        <v>1023883232</v>
      </c>
      <c r="B2086" s="2">
        <v>46063.351648379627</v>
      </c>
      <c r="C2086" s="3" t="str">
        <f>IFERROR(VLOOKUP(A2086,'Base Prueba'!A:C,3,),"NO REGISTRA")</f>
        <v>MONICA ANDREA ACERO URBANO</v>
      </c>
      <c r="D2086" s="4" t="str">
        <f>IFERROR(VLOOKUP(A2086,'Base Prueba'!A:D,4,),"NO REGISTRA")</f>
        <v>APOYO INTEGRAL A GESTION HUMANA</v>
      </c>
      <c r="E2086" s="5" t="str">
        <f>IFERROR(VLOOKUP(A2086,'Base Prueba'!A:E,5,),"NO REGISTRA")</f>
        <v>DEPARTAMENTO DE GESTION HUMANA</v>
      </c>
    </row>
    <row r="2087" spans="1:5" ht="15.75" x14ac:dyDescent="0.25">
      <c r="A2087" s="10">
        <v>1000604979</v>
      </c>
      <c r="B2087" s="2">
        <v>46063.353747569447</v>
      </c>
      <c r="C2087" s="3" t="str">
        <f>IFERROR(VLOOKUP(A2087,'Base Prueba'!A:C,3,),"NO REGISTRA")</f>
        <v>JULIETH TATIANA PARDO PINTO</v>
      </c>
      <c r="D2087" s="4" t="str">
        <f>IFERROR(VLOOKUP(A2087,'Base Prueba'!A:D,4,),"NO REGISTRA")</f>
        <v>AUXILIAR JURIDICO</v>
      </c>
      <c r="E2087" s="5" t="str">
        <f>IFERROR(VLOOKUP(A2087,'Base Prueba'!A:E,5,),"NO REGISTRA")</f>
        <v>SECRETARIA GENERAL</v>
      </c>
    </row>
    <row r="2088" spans="1:5" ht="15.75" x14ac:dyDescent="0.25">
      <c r="A2088" s="10">
        <v>1003690253</v>
      </c>
      <c r="B2088" s="2">
        <v>46063.364750694447</v>
      </c>
      <c r="C2088" s="3" t="str">
        <f>IFERROR(VLOOKUP(A2088,'Base Prueba'!A:C,3,),"NO REGISTRA")</f>
        <v>MELISSA GONZALEZ PEDRAZA</v>
      </c>
      <c r="D2088" s="4" t="str">
        <f>IFERROR(VLOOKUP(A2088,'Base Prueba'!A:D,4,),"NO REGISTRA")</f>
        <v>LIDER DE JOVENES A LA E</v>
      </c>
      <c r="E2088" s="5" t="str">
        <f>IFERROR(VLOOKUP(A2088,'Base Prueba'!A:E,5,),"NO REGISTRA")</f>
        <v>DIRECCION DE BIENESTAR INSTITUCIONAL</v>
      </c>
    </row>
    <row r="2089" spans="1:5" ht="15.75" x14ac:dyDescent="0.25">
      <c r="A2089" s="10">
        <v>52472386</v>
      </c>
      <c r="B2089" s="2">
        <v>46063.366688078706</v>
      </c>
      <c r="C2089" s="3" t="str">
        <f>IFERROR(VLOOKUP(A2089,'Base Prueba'!A:C,3,),"NO REGISTRA")</f>
        <v>ADRIANA MARCELA MORALES PARDO</v>
      </c>
      <c r="D2089" s="4" t="str">
        <f>IFERROR(VLOOKUP(A2089,'Base Prueba'!A:D,4,),"NO REGISTRA")</f>
        <v>PROMOTOR CALL CENTER</v>
      </c>
      <c r="E2089" s="5" t="str">
        <f>IFERROR(VLOOKUP(A2089,'Base Prueba'!A:E,5,),"NO REGISTRA")</f>
        <v>OFICINA DE MERCADEO</v>
      </c>
    </row>
    <row r="2090" spans="1:5" ht="15.75" x14ac:dyDescent="0.25">
      <c r="A2090" s="10">
        <v>80234243</v>
      </c>
      <c r="B2090" s="2">
        <v>46063.368596296299</v>
      </c>
      <c r="C2090" s="3" t="str">
        <f>IFERROR(VLOOKUP(A2090,'Base Prueba'!A:C,3,),"NO REGISTRA")</f>
        <v>ARGENIS MARTINEZ MARTINEZ</v>
      </c>
      <c r="D2090" s="4" t="str">
        <f>IFERROR(VLOOKUP(A2090,'Base Prueba'!A:D,4,),"NO REGISTRA")</f>
        <v>LIDER CALL CENTER</v>
      </c>
      <c r="E2090" s="5" t="str">
        <f>IFERROR(VLOOKUP(A2090,'Base Prueba'!A:E,5,),"NO REGISTRA")</f>
        <v>OFICINA DE MERCADEO</v>
      </c>
    </row>
    <row r="2091" spans="1:5" ht="15.75" x14ac:dyDescent="0.25">
      <c r="A2091" s="10">
        <v>1193265768</v>
      </c>
      <c r="B2091" s="2">
        <v>46063.369051041664</v>
      </c>
      <c r="C2091" s="3" t="str">
        <f>IFERROR(VLOOKUP(A2091,'Base Prueba'!A:C,3,),"NO REGISTRA")</f>
        <v>SANTIAGO OSORIO CAMACHO</v>
      </c>
      <c r="D2091" s="4" t="str">
        <f>IFERROR(VLOOKUP(A2091,'Base Prueba'!A:D,4,),"NO REGISTRA")</f>
        <v>ANALISTA DE PAUTA</v>
      </c>
      <c r="E2091" s="5" t="str">
        <f>IFERROR(VLOOKUP(A2091,'Base Prueba'!A:E,5,),"NO REGISTRA")</f>
        <v>OFICINA DE MERCADEO</v>
      </c>
    </row>
    <row r="2092" spans="1:5" ht="15.75" x14ac:dyDescent="0.25">
      <c r="A2092" s="10">
        <v>1014266838</v>
      </c>
      <c r="B2092" s="2">
        <v>46063.369493055558</v>
      </c>
      <c r="C2092" s="3" t="str">
        <f>IFERROR(VLOOKUP(A2092,'Base Prueba'!A:C,3,),"NO REGISTRA")</f>
        <v>JENNIFER ASTRID ROMERO HURTADO</v>
      </c>
      <c r="D2092" s="4" t="str">
        <f>IFERROR(VLOOKUP(A2092,'Base Prueba'!A:D,4,),"NO REGISTRA")</f>
        <v>LIDER DE RECAUDO</v>
      </c>
      <c r="E2092" s="5" t="str">
        <f>IFERROR(VLOOKUP(A2092,'Base Prueba'!A:E,5,),"NO REGISTRA")</f>
        <v>AREA FINANCIERA Y CONTABLE</v>
      </c>
    </row>
    <row r="2093" spans="1:5" ht="15.75" x14ac:dyDescent="0.25">
      <c r="A2093" s="10">
        <v>1019105003</v>
      </c>
      <c r="B2093" s="2">
        <v>46063.370794328701</v>
      </c>
      <c r="C2093" s="3" t="str">
        <f>IFERROR(VLOOKUP(A2093,'Base Prueba'!A:C,3,),"NO REGISTRA")</f>
        <v>DAISY JULIETH GASPAR MORENO</v>
      </c>
      <c r="D2093" s="4" t="str">
        <f>IFERROR(VLOOKUP(A2093,'Base Prueba'!A:D,4,),"NO REGISTRA")</f>
        <v>PROMOTOR CALL CENTER</v>
      </c>
      <c r="E2093" s="5" t="str">
        <f>IFERROR(VLOOKUP(A2093,'Base Prueba'!A:E,5,),"NO REGISTRA")</f>
        <v>OFICINA DE MERCADEO</v>
      </c>
    </row>
    <row r="2094" spans="1:5" ht="15.75" x14ac:dyDescent="0.25">
      <c r="A2094" s="10">
        <v>1033709056</v>
      </c>
      <c r="B2094" s="2">
        <v>46063.37203460648</v>
      </c>
      <c r="C2094" s="3" t="str">
        <f>IFERROR(VLOOKUP(A2094,'Base Prueba'!A:C,3,),"NO REGISTRA")</f>
        <v>YEIMY ALEXANDRA RODRIGUEZ PALACIO</v>
      </c>
      <c r="D2094" s="4" t="str">
        <f>IFERROR(VLOOKUP(A2094,'Base Prueba'!A:D,4,),"NO REGISTRA")</f>
        <v>PROMOTOR CALL CENTER</v>
      </c>
      <c r="E2094" s="5" t="str">
        <f>IFERROR(VLOOKUP(A2094,'Base Prueba'!A:E,5,),"NO REGISTRA")</f>
        <v>OFICINA DE MERCADEO</v>
      </c>
    </row>
    <row r="2095" spans="1:5" ht="15.75" x14ac:dyDescent="0.25">
      <c r="A2095" s="10">
        <v>1000161811</v>
      </c>
      <c r="B2095" s="2">
        <v>46063.373037847225</v>
      </c>
      <c r="C2095" s="3" t="str">
        <f>IFERROR(VLOOKUP(A2095,'Base Prueba'!A:C,3,),"NO REGISTRA")</f>
        <v>DIEGO ANDRES VARON ROZO</v>
      </c>
      <c r="D2095" s="4" t="str">
        <f>IFERROR(VLOOKUP(A2095,'Base Prueba'!A:D,4,),"NO REGISTRA")</f>
        <v>APRENDIZ UNIVERSITARIO</v>
      </c>
      <c r="E2095" s="5" t="str">
        <f>IFERROR(VLOOKUP(A2095,'Base Prueba'!A:E,5,),"NO REGISTRA")</f>
        <v>OFICINA DE MERCADEO</v>
      </c>
    </row>
    <row r="2096" spans="1:5" ht="15.75" x14ac:dyDescent="0.25">
      <c r="A2096" s="10">
        <v>28798349</v>
      </c>
      <c r="B2096" s="2">
        <v>46063.375022337961</v>
      </c>
      <c r="C2096" s="3" t="str">
        <f>IFERROR(VLOOKUP(A2096,'Base Prueba'!A:C,3,),"NO REGISTRA")</f>
        <v>MARTHA ISABEL TOVAR WILLIAMS</v>
      </c>
      <c r="D2096" s="4" t="str">
        <f>IFERROR(VLOOKUP(A2096,'Base Prueba'!A:D,4,),"NO REGISTRA")</f>
        <v>PROMOTOR CALL CENTER</v>
      </c>
      <c r="E2096" s="5" t="str">
        <f>IFERROR(VLOOKUP(A2096,'Base Prueba'!A:E,5,),"NO REGISTRA")</f>
        <v>OFICINA DE MERCADEO</v>
      </c>
    </row>
    <row r="2097" spans="1:5" ht="15.75" x14ac:dyDescent="0.25">
      <c r="A2097" s="10">
        <v>1018414290</v>
      </c>
      <c r="B2097" s="2">
        <v>46063.377490393519</v>
      </c>
      <c r="C2097" s="3" t="str">
        <f>IFERROR(VLOOKUP(A2097,'Base Prueba'!A:C,3,),"NO REGISTRA")</f>
        <v>AMANDA LISBETH RODRIGUEZ LEON</v>
      </c>
      <c r="D2097" s="4" t="str">
        <f>IFERROR(VLOOKUP(A2097,'Base Prueba'!A:D,4,),"NO REGISTRA")</f>
        <v>PROMOTOR CALL CENTER</v>
      </c>
      <c r="E2097" s="5" t="str">
        <f>IFERROR(VLOOKUP(A2097,'Base Prueba'!A:E,5,),"NO REGISTRA")</f>
        <v>OFICINA DE MERCADEO</v>
      </c>
    </row>
    <row r="2098" spans="1:5" ht="15.75" x14ac:dyDescent="0.25">
      <c r="A2098" s="10">
        <v>1000046533</v>
      </c>
      <c r="B2098" s="2">
        <v>46063.379254976855</v>
      </c>
      <c r="C2098" s="3" t="str">
        <f>IFERROR(VLOOKUP(A2098,'Base Prueba'!A:C,3,),"NO REGISTRA")</f>
        <v>ERIKA JULIETH VALDERRAMA SANCHEZ</v>
      </c>
      <c r="D2098" s="4" t="str">
        <f>IFERROR(VLOOKUP(A2098,'Base Prueba'!A:D,4,),"NO REGISTRA")</f>
        <v>PROMOTOR CALL CENTER</v>
      </c>
      <c r="E2098" s="5" t="str">
        <f>IFERROR(VLOOKUP(A2098,'Base Prueba'!A:E,5,),"NO REGISTRA")</f>
        <v>OFICINA DE MERCADEO</v>
      </c>
    </row>
    <row r="2099" spans="1:5" ht="15.75" x14ac:dyDescent="0.25">
      <c r="A2099" s="10">
        <v>1012426741</v>
      </c>
      <c r="B2099" s="2">
        <v>46063.37966712963</v>
      </c>
      <c r="C2099" s="3" t="str">
        <f>IFERROR(VLOOKUP(A2099,'Base Prueba'!A:C,3,),"NO REGISTRA")</f>
        <v>CRISTIAN FABIAN ROJAS SANCENO</v>
      </c>
      <c r="D2099" s="4" t="str">
        <f>IFERROR(VLOOKUP(A2099,'Base Prueba'!A:D,4,),"NO REGISTRA")</f>
        <v>AUXILIAR DE REINTEGROS</v>
      </c>
      <c r="E2099" s="5" t="str">
        <f>IFERROR(VLOOKUP(A2099,'Base Prueba'!A:E,5,),"NO REGISTRA")</f>
        <v>DIRECCION DE BIENESTAR INSTITUCIONAL</v>
      </c>
    </row>
    <row r="2100" spans="1:5" ht="15.75" x14ac:dyDescent="0.25">
      <c r="A2100" s="10">
        <v>1016090131</v>
      </c>
      <c r="B2100" s="2">
        <v>46063.382405555552</v>
      </c>
      <c r="C2100" s="3" t="str">
        <f>IFERROR(VLOOKUP(A2100,'Base Prueba'!A:C,3,),"NO REGISTRA")</f>
        <v>NICOLAS RODRIGUEZ PACHECO</v>
      </c>
      <c r="D2100" s="4" t="str">
        <f>IFERROR(VLOOKUP(A2100,'Base Prueba'!A:D,4,),"NO REGISTRA")</f>
        <v>COORDINADOR DE COMUNICACIONES</v>
      </c>
      <c r="E2100" s="5" t="str">
        <f>IFERROR(VLOOKUP(A2100,'Base Prueba'!A:E,5,),"NO REGISTRA")</f>
        <v>OFICINA DE MERCADEO</v>
      </c>
    </row>
    <row r="2101" spans="1:5" ht="15.75" x14ac:dyDescent="0.25">
      <c r="A2101" s="10">
        <v>52764929</v>
      </c>
      <c r="B2101" s="2">
        <v>46063.386391898151</v>
      </c>
      <c r="C2101" s="3" t="str">
        <f>IFERROR(VLOOKUP(A2101,'Base Prueba'!A:C,3,),"NO REGISTRA")</f>
        <v>GUERLY YOHANA DURAN RIVERA</v>
      </c>
      <c r="D2101" s="4" t="str">
        <f>IFERROR(VLOOKUP(A2101,'Base Prueba'!A:D,4,),"NO REGISTRA")</f>
        <v>LIDER DE VINCULACION COLEGIOS</v>
      </c>
      <c r="E2101" s="5" t="str">
        <f>IFERROR(VLOOKUP(A2101,'Base Prueba'!A:E,5,),"NO REGISTRA")</f>
        <v>OFICINA DE MERCADEO</v>
      </c>
    </row>
    <row r="2102" spans="1:5" ht="15.75" x14ac:dyDescent="0.25">
      <c r="A2102" s="10">
        <v>1018413529</v>
      </c>
      <c r="B2102" s="2">
        <v>46063.446787037035</v>
      </c>
      <c r="C2102" s="3" t="str">
        <f>IFERROR(VLOOKUP(A2102,'Base Prueba'!A:C,3,),"NO REGISTRA")</f>
        <v>FRANCY STELLA CHARRY MORENO</v>
      </c>
      <c r="D2102" s="4" t="str">
        <f>IFERROR(VLOOKUP(A2102,'Base Prueba'!A:D,4,),"NO REGISTRA")</f>
        <v>PROMOTOR COMERCIAL DEL CEA</v>
      </c>
      <c r="E2102" s="5" t="str">
        <f>IFERROR(VLOOKUP(A2102,'Base Prueba'!A:E,5,),"NO REGISTRA")</f>
        <v>OFICINA DE MERCADEO</v>
      </c>
    </row>
    <row r="2103" spans="1:5" ht="15.75" x14ac:dyDescent="0.25">
      <c r="A2103" s="10">
        <v>52443092</v>
      </c>
      <c r="B2103" s="2">
        <v>46063.494099768519</v>
      </c>
      <c r="C2103" s="3" t="str">
        <f>IFERROR(VLOOKUP(A2103,'Base Prueba'!A:C,3,),"NO REGISTRA")</f>
        <v>LUZ MYRIAM SAAVEDRA CONTRERAS</v>
      </c>
      <c r="D2103" s="4" t="str">
        <f>IFERROR(VLOOKUP(A2103,'Base Prueba'!A:D,4,),"NO REGISTRA")</f>
        <v>AUXILIAR DE SERVICIOS</v>
      </c>
      <c r="E2103" s="5" t="str">
        <f>IFERROR(VLOOKUP(A2103,'Base Prueba'!A:E,5,),"NO REGISTRA")</f>
        <v>LOGISTICA Y SERVICIOS GENERALES</v>
      </c>
    </row>
    <row r="2104" spans="1:5" ht="15.75" x14ac:dyDescent="0.25">
      <c r="A2104" s="10">
        <v>1018414290</v>
      </c>
      <c r="B2104" s="2">
        <v>46063.518817476855</v>
      </c>
      <c r="C2104" s="3" t="str">
        <f>IFERROR(VLOOKUP(A2104,'Base Prueba'!A:C,3,),"NO REGISTRA")</f>
        <v>AMANDA LISBETH RODRIGUEZ LEON</v>
      </c>
      <c r="D2104" s="4" t="str">
        <f>IFERROR(VLOOKUP(A2104,'Base Prueba'!A:D,4,),"NO REGISTRA")</f>
        <v>PROMOTOR CALL CENTER</v>
      </c>
      <c r="E2104" s="5" t="str">
        <f>IFERROR(VLOOKUP(A2104,'Base Prueba'!A:E,5,),"NO REGISTRA")</f>
        <v>OFICINA DE MERCADEO</v>
      </c>
    </row>
    <row r="2105" spans="1:5" ht="15.75" x14ac:dyDescent="0.25">
      <c r="A2105" s="10">
        <v>1000687931</v>
      </c>
      <c r="B2105" s="2">
        <v>46063.711041319446</v>
      </c>
      <c r="C2105" s="3" t="str">
        <f>IFERROR(VLOOKUP(A2105,'Base Prueba'!A:C,3,),"NO REGISTRA")</f>
        <v>ANDRES FELIPE PUENTES TORRES</v>
      </c>
      <c r="D2105" s="4" t="str">
        <f>IFERROR(VLOOKUP(A2105,'Base Prueba'!A:D,4,),"NO REGISTRA")</f>
        <v>AUXILIAR ADMINISTRATIVO</v>
      </c>
      <c r="E2105" s="5" t="str">
        <f>IFERROR(VLOOKUP(A2105,'Base Prueba'!A:E,5,),"NO REGISTRA")</f>
        <v>REGISTRO Y CONTROL ACADEMICO</v>
      </c>
    </row>
    <row r="2106" spans="1:5" ht="15.75" x14ac:dyDescent="0.25">
      <c r="A2106" s="10">
        <v>1024505434</v>
      </c>
      <c r="B2106" s="2">
        <v>46063.72111111111</v>
      </c>
      <c r="C2106" s="3" t="str">
        <f>IFERROR(VLOOKUP(A2106,'Base Prueba'!A:C,3,),"NO REGISTRA")</f>
        <v>CRISTIAN ALBERTO MELO TORRES</v>
      </c>
      <c r="D2106" s="4" t="str">
        <f>IFERROR(VLOOKUP(A2106,'Base Prueba'!A:D,4,),"NO REGISTRA")</f>
        <v>COORDINADOR DE INFRAESTRUCTURA</v>
      </c>
      <c r="E2106" s="5" t="str">
        <f>IFERROR(VLOOKUP(A2106,'Base Prueba'!A:E,5,),"NO REGISTRA")</f>
        <v>VICERRECTORIA ADMINISTRATIVA Y FINANCIERA</v>
      </c>
    </row>
    <row r="2107" spans="1:5" ht="15.75" x14ac:dyDescent="0.25">
      <c r="A2107" s="10">
        <v>1022996882</v>
      </c>
      <c r="B2107" s="2">
        <v>46063.752766782411</v>
      </c>
      <c r="C2107" s="3" t="str">
        <f>IFERROR(VLOOKUP(A2107,'Base Prueba'!A:C,3,),"NO REGISTRA")</f>
        <v>NANCY BRIGITH ALDANA GUEVARA</v>
      </c>
      <c r="D2107" s="4" t="str">
        <f>IFERROR(VLOOKUP(A2107,'Base Prueba'!A:D,4,),"NO REGISTRA")</f>
        <v>COORDINADORA DE GESTIÓN HUMANA</v>
      </c>
      <c r="E2107" s="5" t="str">
        <f>IFERROR(VLOOKUP(A2107,'Base Prueba'!A:E,5,),"NO REGISTRA")</f>
        <v>DEPARTAMENTO DE GESTION HUMANA</v>
      </c>
    </row>
    <row r="2108" spans="1:5" ht="15.75" x14ac:dyDescent="0.25">
      <c r="A2108" s="10">
        <v>1032469638</v>
      </c>
      <c r="B2108" s="2">
        <v>46063.752814699073</v>
      </c>
      <c r="C2108" s="3" t="str">
        <f>IFERROR(VLOOKUP(A2108,'Base Prueba'!A:C,3,),"NO REGISTRA")</f>
        <v>MAICOL JARBEY GUALTEROS CASTAÑEDA</v>
      </c>
      <c r="D2108" s="4" t="str">
        <f>IFERROR(VLOOKUP(A2108,'Base Prueba'!A:D,4,),"NO REGISTRA")</f>
        <v>COORDINADOR DEL SISTEMA INTERNO DE ASEGURAMIENTO DE LA CALIDAD - SIAC</v>
      </c>
      <c r="E2108" s="5" t="str">
        <f>IFERROR(VLOOKUP(A2108,'Base Prueba'!A:E,5,),"NO REGISTRA")</f>
        <v>OFICINA DE PLANEACION Y GESTION DE LA CALIDAD</v>
      </c>
    </row>
    <row r="2109" spans="1:5" ht="15.75" x14ac:dyDescent="0.25">
      <c r="A2109" s="10">
        <v>1193457976</v>
      </c>
      <c r="B2109" s="2">
        <v>46063.752992824077</v>
      </c>
      <c r="C2109" s="3" t="str">
        <f>IFERROR(VLOOKUP(A2109,'Base Prueba'!A:C,3,),"NO REGISTRA")</f>
        <v>SEDENIS RIVAS ASPRILLA</v>
      </c>
      <c r="D2109" s="4" t="str">
        <f>IFERROR(VLOOKUP(A2109,'Base Prueba'!A:D,4,),"NO REGISTRA")</f>
        <v>APRENDIZ UNIVERSITARIO</v>
      </c>
      <c r="E2109" s="5" t="str">
        <f>IFERROR(VLOOKUP(A2109,'Base Prueba'!A:E,5,),"NO REGISTRA")</f>
        <v>DEPARTAMENTO DE GESTION HUMANA</v>
      </c>
    </row>
    <row r="2110" spans="1:5" ht="15.75" x14ac:dyDescent="0.25">
      <c r="A2110" s="10">
        <v>1023883232</v>
      </c>
      <c r="B2110" s="2">
        <v>46063.753983680559</v>
      </c>
      <c r="C2110" s="3" t="str">
        <f>IFERROR(VLOOKUP(A2110,'Base Prueba'!A:C,3,),"NO REGISTRA")</f>
        <v>MONICA ANDREA ACERO URBANO</v>
      </c>
      <c r="D2110" s="4" t="str">
        <f>IFERROR(VLOOKUP(A2110,'Base Prueba'!A:D,4,),"NO REGISTRA")</f>
        <v>APOYO INTEGRAL A GESTION HUMANA</v>
      </c>
      <c r="E2110" s="5" t="str">
        <f>IFERROR(VLOOKUP(A2110,'Base Prueba'!A:E,5,),"NO REGISTRA")</f>
        <v>DEPARTAMENTO DE GESTION HUMANA</v>
      </c>
    </row>
    <row r="2111" spans="1:5" ht="15.75" x14ac:dyDescent="0.25">
      <c r="A2111" s="10">
        <v>1049644802</v>
      </c>
      <c r="B2111" s="2">
        <v>46063.755100462964</v>
      </c>
      <c r="C2111" s="3" t="str">
        <f>IFERROR(VLOOKUP(A2111,'Base Prueba'!A:C,3,),"NO REGISTRA")</f>
        <v>DANIELA ALEXANDRA CIPAMOCHA BOSIGA</v>
      </c>
      <c r="D2111" s="4" t="str">
        <f>IFERROR(VLOOKUP(A2111,'Base Prueba'!A:D,4,),"NO REGISTRA")</f>
        <v>LIDER DE DATOS Y SERVICIOS</v>
      </c>
      <c r="E2111" s="5" t="str">
        <f>IFERROR(VLOOKUP(A2111,'Base Prueba'!A:E,5,),"NO REGISTRA")</f>
        <v>OFICINA DE PLANEACION Y GESTION DE LA CALIDAD</v>
      </c>
    </row>
    <row r="2112" spans="1:5" ht="15.75" x14ac:dyDescent="0.25">
      <c r="A2112" s="10">
        <v>1000467399</v>
      </c>
      <c r="B2112" s="2">
        <v>46063.755231944444</v>
      </c>
      <c r="C2112" s="3" t="str">
        <f>IFERROR(VLOOKUP(A2112,'Base Prueba'!A:C,3,),"NO REGISTRA")</f>
        <v>BRANDO ESTIVEN DIAZ QUIMBAYA</v>
      </c>
      <c r="D2112" s="4" t="str">
        <f>IFERROR(VLOOKUP(A2112,'Base Prueba'!A:D,4,),"NO REGISTRA")</f>
        <v>APRENDIZ UNIVERSITARIO</v>
      </c>
      <c r="E2112" s="5" t="str">
        <f>IFERROR(VLOOKUP(A2112,'Base Prueba'!A:E,5,),"NO REGISTRA")</f>
        <v>DEPARTAMENTO DE GESTION HUMANA</v>
      </c>
    </row>
    <row r="2113" spans="1:5" ht="15.75" x14ac:dyDescent="0.25">
      <c r="A2113" s="10">
        <v>1014266838</v>
      </c>
      <c r="B2113" s="2">
        <v>46063.755838888887</v>
      </c>
      <c r="C2113" s="3" t="str">
        <f>IFERROR(VLOOKUP(A2113,'Base Prueba'!A:C,3,),"NO REGISTRA")</f>
        <v>JENNIFER ASTRID ROMERO HURTADO</v>
      </c>
      <c r="D2113" s="4" t="str">
        <f>IFERROR(VLOOKUP(A2113,'Base Prueba'!A:D,4,),"NO REGISTRA")</f>
        <v>LIDER DE RECAUDO</v>
      </c>
      <c r="E2113" s="5" t="str">
        <f>IFERROR(VLOOKUP(A2113,'Base Prueba'!A:E,5,),"NO REGISTRA")</f>
        <v>AREA FINANCIERA Y CONTABLE</v>
      </c>
    </row>
    <row r="2114" spans="1:5" ht="15.75" x14ac:dyDescent="0.25">
      <c r="A2114" s="10">
        <v>1000161811</v>
      </c>
      <c r="B2114" s="2">
        <v>46063.756037384257</v>
      </c>
      <c r="C2114" s="3" t="str">
        <f>IFERROR(VLOOKUP(A2114,'Base Prueba'!A:C,3,),"NO REGISTRA")</f>
        <v>DIEGO ANDRES VARON ROZO</v>
      </c>
      <c r="D2114" s="4" t="str">
        <f>IFERROR(VLOOKUP(A2114,'Base Prueba'!A:D,4,),"NO REGISTRA")</f>
        <v>APRENDIZ UNIVERSITARIO</v>
      </c>
      <c r="E2114" s="5" t="str">
        <f>IFERROR(VLOOKUP(A2114,'Base Prueba'!A:E,5,),"NO REGISTRA")</f>
        <v>OFICINA DE MERCADEO</v>
      </c>
    </row>
    <row r="2115" spans="1:5" ht="15.75" x14ac:dyDescent="0.25">
      <c r="A2115" s="10">
        <v>1014308296</v>
      </c>
      <c r="B2115" s="2">
        <v>46063.757966898149</v>
      </c>
      <c r="C2115" s="3" t="str">
        <f>IFERROR(VLOOKUP(A2115,'Base Prueba'!A:C,3,),"NO REGISTRA")</f>
        <v>DARLENE YULIANA MORENO CELEITA</v>
      </c>
      <c r="D2115" s="4" t="str">
        <f>IFERROR(VLOOKUP(A2115,'Base Prueba'!A:D,4,),"NO REGISTRA")</f>
        <v>CAJERO PRINCIPAL</v>
      </c>
      <c r="E2115" s="5" t="str">
        <f>IFERROR(VLOOKUP(A2115,'Base Prueba'!A:E,5,),"NO REGISTRA")</f>
        <v>AREA FINANCIERA Y CONTABLE</v>
      </c>
    </row>
    <row r="2116" spans="1:5" ht="15.75" x14ac:dyDescent="0.25">
      <c r="A2116" s="10">
        <v>1014977624</v>
      </c>
      <c r="B2116" s="2">
        <v>46063.758553703701</v>
      </c>
      <c r="C2116" s="3" t="str">
        <f>IFERROR(VLOOKUP(A2116,'Base Prueba'!A:C,3,),"NO REGISTRA")</f>
        <v>NICCOLE VALENTINA HERNANDEZ MALAVER</v>
      </c>
      <c r="D2116" s="4" t="str">
        <f>IFERROR(VLOOKUP(A2116,'Base Prueba'!A:D,4,),"NO REGISTRA")</f>
        <v>APRENDIZ UNIVERSITARIO</v>
      </c>
      <c r="E2116" s="5" t="str">
        <f>IFERROR(VLOOKUP(A2116,'Base Prueba'!A:E,5,),"NO REGISTRA")</f>
        <v>AREA FINANCIERA Y CONTABLE</v>
      </c>
    </row>
    <row r="2117" spans="1:5" ht="15.75" x14ac:dyDescent="0.25">
      <c r="A2117" s="10">
        <v>1087121273</v>
      </c>
      <c r="B2117" s="2">
        <v>46063.75862523148</v>
      </c>
      <c r="C2117" s="3" t="str">
        <f>IFERROR(VLOOKUP(A2117,'Base Prueba'!A:C,3,),"NO REGISTRA")</f>
        <v>MAYRA ALEJANDRA CASTILLO ARBOLEDA</v>
      </c>
      <c r="D2117" s="4" t="str">
        <f>IFERROR(VLOOKUP(A2117,'Base Prueba'!A:D,4,),"NO REGISTRA")</f>
        <v>APOYO INTEGRAL DE MERCADEO</v>
      </c>
      <c r="E2117" s="5" t="str">
        <f>IFERROR(VLOOKUP(A2117,'Base Prueba'!A:E,5,),"NO REGISTRA")</f>
        <v>CENTRO DE GESTION DOCUMENTAL</v>
      </c>
    </row>
    <row r="2118" spans="1:5" ht="15.75" x14ac:dyDescent="0.25">
      <c r="A2118" s="10">
        <v>1026599257</v>
      </c>
      <c r="B2118" s="2">
        <v>46063.761467013886</v>
      </c>
      <c r="C2118" s="3" t="str">
        <f>IFERROR(VLOOKUP(A2118,'Base Prueba'!A:C,3,),"NO REGISTRA")</f>
        <v>YESENIA PAOLA PINEDA HURTADO</v>
      </c>
      <c r="D2118" s="4" t="str">
        <f>IFERROR(VLOOKUP(A2118,'Base Prueba'!A:D,4,),"NO REGISTRA")</f>
        <v>LIDER DE COMPRAS</v>
      </c>
      <c r="E2118" s="5" t="str">
        <f>IFERROR(VLOOKUP(A2118,'Base Prueba'!A:E,5,),"NO REGISTRA")</f>
        <v>AREA ADMINISTRATIVA</v>
      </c>
    </row>
    <row r="2119" spans="1:5" ht="15.75" x14ac:dyDescent="0.25">
      <c r="A2119" s="10">
        <v>1000324729</v>
      </c>
      <c r="B2119" s="2">
        <v>46063.762217361109</v>
      </c>
      <c r="C2119" s="3" t="str">
        <f>IFERROR(VLOOKUP(A2119,'Base Prueba'!A:C,3,),"NO REGISTRA")</f>
        <v>ANYIE VANESSA TINOCO CAMACHO</v>
      </c>
      <c r="D2119" s="4" t="str">
        <f>IFERROR(VLOOKUP(A2119,'Base Prueba'!A:D,4,),"NO REGISTRA")</f>
        <v>LIDER DE REGISTRO Y CONTROL</v>
      </c>
      <c r="E2119" s="5" t="str">
        <f>IFERROR(VLOOKUP(A2119,'Base Prueba'!A:E,5,),"NO REGISTRA")</f>
        <v>REGISTRO Y CONTROL ACADEMICO</v>
      </c>
    </row>
    <row r="2120" spans="1:5" ht="15.75" x14ac:dyDescent="0.25">
      <c r="A2120" s="10">
        <v>1000604979</v>
      </c>
      <c r="B2120" s="2">
        <v>46063.763158680558</v>
      </c>
      <c r="C2120" s="3" t="str">
        <f>IFERROR(VLOOKUP(A2120,'Base Prueba'!A:C,3,),"NO REGISTRA")</f>
        <v>JULIETH TATIANA PARDO PINTO</v>
      </c>
      <c r="D2120" s="4" t="str">
        <f>IFERROR(VLOOKUP(A2120,'Base Prueba'!A:D,4,),"NO REGISTRA")</f>
        <v>AUXILIAR JURIDICO</v>
      </c>
      <c r="E2120" s="5" t="str">
        <f>IFERROR(VLOOKUP(A2120,'Base Prueba'!A:E,5,),"NO REGISTRA")</f>
        <v>SECRETARIA GENERAL</v>
      </c>
    </row>
    <row r="2121" spans="1:5" ht="15.75" x14ac:dyDescent="0.25">
      <c r="A2121" s="10">
        <v>1000593372</v>
      </c>
      <c r="B2121" s="2">
        <v>46063.763272453703</v>
      </c>
      <c r="C2121" s="3" t="str">
        <f>IFERROR(VLOOKUP(A2121,'Base Prueba'!A:C,3,),"NO REGISTRA")</f>
        <v>LAURA SOFIA CHAPARRO LOPEZ</v>
      </c>
      <c r="D2121" s="4" t="str">
        <f>IFERROR(VLOOKUP(A2121,'Base Prueba'!A:D,4,),"NO REGISTRA")</f>
        <v>AUXILIAR JURIDICO</v>
      </c>
      <c r="E2121" s="5" t="str">
        <f>IFERROR(VLOOKUP(A2121,'Base Prueba'!A:E,5,),"NO REGISTRA")</f>
        <v>SECRETARIA GENERAL</v>
      </c>
    </row>
    <row r="2122" spans="1:5" ht="15.75" x14ac:dyDescent="0.25">
      <c r="A2122" s="10">
        <v>80238161</v>
      </c>
      <c r="B2122" s="2">
        <v>46063.763432638887</v>
      </c>
      <c r="C2122" s="3" t="str">
        <f>IFERROR(VLOOKUP(A2122,'Base Prueba'!A:C,3,),"NO REGISTRA")</f>
        <v>GERMAN CARRANZA ESPITIA</v>
      </c>
      <c r="D2122" s="4" t="str">
        <f>IFERROR(VLOOKUP(A2122,'Base Prueba'!A:D,4,),"NO REGISTRA")</f>
        <v>TESORERO</v>
      </c>
      <c r="E2122" s="5" t="str">
        <f>IFERROR(VLOOKUP(A2122,'Base Prueba'!A:E,5,),"NO REGISTRA")</f>
        <v>AREA FINANCIERA Y CONTABLE</v>
      </c>
    </row>
    <row r="2123" spans="1:5" ht="15.75" x14ac:dyDescent="0.25">
      <c r="A2123" s="10">
        <v>1014196857</v>
      </c>
      <c r="B2123" s="2">
        <v>46063.766313888889</v>
      </c>
      <c r="C2123" s="3" t="str">
        <f>IFERROR(VLOOKUP(A2123,'Base Prueba'!A:C,3,),"NO REGISTRA")</f>
        <v>CARLOS ANDRES JIMENEZ PARDO</v>
      </c>
      <c r="D2123" s="4" t="str">
        <f>IFERROR(VLOOKUP(A2123,'Base Prueba'!A:D,4,),"NO REGISTRA")</f>
        <v>COORDINADOR DE MARKETING DIGITAL</v>
      </c>
      <c r="E2123" s="5" t="str">
        <f>IFERROR(VLOOKUP(A2123,'Base Prueba'!A:E,5,),"NO REGISTRA")</f>
        <v>OFICINA DE MERCADEO</v>
      </c>
    </row>
    <row r="2124" spans="1:5" ht="15.75" x14ac:dyDescent="0.25">
      <c r="A2124" s="10">
        <v>53089882</v>
      </c>
      <c r="B2124" s="2">
        <v>46063.769785648146</v>
      </c>
      <c r="C2124" s="3" t="str">
        <f>IFERROR(VLOOKUP(A2124,'Base Prueba'!A:C,3,),"NO REGISTRA")</f>
        <v>MARIA JOHANA ESCAMILLA MARTINEZ</v>
      </c>
      <c r="D2124" s="4" t="str">
        <f>IFERROR(VLOOKUP(A2124,'Base Prueba'!A:D,4,),"NO REGISTRA")</f>
        <v>PROMOTOR DE INFORMACIÓN</v>
      </c>
      <c r="E2124" s="5" t="str">
        <f>IFERROR(VLOOKUP(A2124,'Base Prueba'!A:E,5,),"NO REGISTRA")</f>
        <v>OFICINA DE MERCADEO</v>
      </c>
    </row>
    <row r="2125" spans="1:5" ht="15.75" x14ac:dyDescent="0.25">
      <c r="A2125" s="10">
        <v>1012426741</v>
      </c>
      <c r="B2125" s="2">
        <v>46063.770921527779</v>
      </c>
      <c r="C2125" s="3" t="str">
        <f>IFERROR(VLOOKUP(A2125,'Base Prueba'!A:C,3,),"NO REGISTRA")</f>
        <v>CRISTIAN FABIAN ROJAS SANCENO</v>
      </c>
      <c r="D2125" s="4" t="str">
        <f>IFERROR(VLOOKUP(A2125,'Base Prueba'!A:D,4,),"NO REGISTRA")</f>
        <v>AUXILIAR DE REINTEGROS</v>
      </c>
      <c r="E2125" s="5" t="str">
        <f>IFERROR(VLOOKUP(A2125,'Base Prueba'!A:E,5,),"NO REGISTRA")</f>
        <v>DIRECCION DE BIENESTAR INSTITUCIONAL</v>
      </c>
    </row>
    <row r="2126" spans="1:5" ht="15.75" x14ac:dyDescent="0.25">
      <c r="A2126" s="10">
        <v>1019105003</v>
      </c>
      <c r="B2126" s="2">
        <v>46063.772358217589</v>
      </c>
      <c r="C2126" s="3" t="str">
        <f>IFERROR(VLOOKUP(A2126,'Base Prueba'!A:C,3,),"NO REGISTRA")</f>
        <v>DAISY JULIETH GASPAR MORENO</v>
      </c>
      <c r="D2126" s="4" t="str">
        <f>IFERROR(VLOOKUP(A2126,'Base Prueba'!A:D,4,),"NO REGISTRA")</f>
        <v>PROMOTOR CALL CENTER</v>
      </c>
      <c r="E2126" s="5" t="str">
        <f>IFERROR(VLOOKUP(A2126,'Base Prueba'!A:E,5,),"NO REGISTRA")</f>
        <v>OFICINA DE MERCADEO</v>
      </c>
    </row>
    <row r="2127" spans="1:5" ht="15.75" x14ac:dyDescent="0.25">
      <c r="A2127" s="10">
        <v>1018413529</v>
      </c>
      <c r="B2127" s="2">
        <v>46063.772931712963</v>
      </c>
      <c r="C2127" s="3" t="str">
        <f>IFERROR(VLOOKUP(A2127,'Base Prueba'!A:C,3,),"NO REGISTRA")</f>
        <v>FRANCY STELLA CHARRY MORENO</v>
      </c>
      <c r="D2127" s="4" t="str">
        <f>IFERROR(VLOOKUP(A2127,'Base Prueba'!A:D,4,),"NO REGISTRA")</f>
        <v>PROMOTOR COMERCIAL DEL CEA</v>
      </c>
      <c r="E2127" s="5" t="str">
        <f>IFERROR(VLOOKUP(A2127,'Base Prueba'!A:E,5,),"NO REGISTRA")</f>
        <v>OFICINA DE MERCADEO</v>
      </c>
    </row>
    <row r="2128" spans="1:5" ht="15.75" x14ac:dyDescent="0.25">
      <c r="A2128" s="10">
        <v>1000046533</v>
      </c>
      <c r="B2128" s="2">
        <v>46063.774228009257</v>
      </c>
      <c r="C2128" s="3" t="str">
        <f>IFERROR(VLOOKUP(A2128,'Base Prueba'!A:C,3,),"NO REGISTRA")</f>
        <v>ERIKA JULIETH VALDERRAMA SANCHEZ</v>
      </c>
      <c r="D2128" s="4" t="str">
        <f>IFERROR(VLOOKUP(A2128,'Base Prueba'!A:D,4,),"NO REGISTRA")</f>
        <v>PROMOTOR CALL CENTER</v>
      </c>
      <c r="E2128" s="5" t="str">
        <f>IFERROR(VLOOKUP(A2128,'Base Prueba'!A:E,5,),"NO REGISTRA")</f>
        <v>OFICINA DE MERCADEO</v>
      </c>
    </row>
    <row r="2129" spans="1:5" ht="15.75" x14ac:dyDescent="0.25">
      <c r="A2129" s="10">
        <v>1003690253</v>
      </c>
      <c r="B2129" s="2">
        <v>46063.775943402776</v>
      </c>
      <c r="C2129" s="3" t="str">
        <f>IFERROR(VLOOKUP(A2129,'Base Prueba'!A:C,3,),"NO REGISTRA")</f>
        <v>MELISSA GONZALEZ PEDRAZA</v>
      </c>
      <c r="D2129" s="4" t="str">
        <f>IFERROR(VLOOKUP(A2129,'Base Prueba'!A:D,4,),"NO REGISTRA")</f>
        <v>LIDER DE JOVENES A LA E</v>
      </c>
      <c r="E2129" s="5" t="str">
        <f>IFERROR(VLOOKUP(A2129,'Base Prueba'!A:E,5,),"NO REGISTRA")</f>
        <v>DIRECCION DE BIENESTAR INSTITUCIONAL</v>
      </c>
    </row>
    <row r="2130" spans="1:5" ht="15.75" x14ac:dyDescent="0.25">
      <c r="A2130" s="10">
        <v>1033709056</v>
      </c>
      <c r="B2130" s="2">
        <v>46063.77693634259</v>
      </c>
      <c r="C2130" s="3" t="str">
        <f>IFERROR(VLOOKUP(A2130,'Base Prueba'!A:C,3,),"NO REGISTRA")</f>
        <v>YEIMY ALEXANDRA RODRIGUEZ PALACIO</v>
      </c>
      <c r="D2130" s="4" t="str">
        <f>IFERROR(VLOOKUP(A2130,'Base Prueba'!A:D,4,),"NO REGISTRA")</f>
        <v>PROMOTOR CALL CENTER</v>
      </c>
      <c r="E2130" s="5" t="str">
        <f>IFERROR(VLOOKUP(A2130,'Base Prueba'!A:E,5,),"NO REGISTRA")</f>
        <v>OFICINA DE MERCADEO</v>
      </c>
    </row>
    <row r="2131" spans="1:5" ht="15.75" x14ac:dyDescent="0.25">
      <c r="A2131" s="10">
        <v>28798349</v>
      </c>
      <c r="B2131" s="2">
        <v>46063.77838275463</v>
      </c>
      <c r="C2131" s="3" t="str">
        <f>IFERROR(VLOOKUP(A2131,'Base Prueba'!A:C,3,),"NO REGISTRA")</f>
        <v>MARTHA ISABEL TOVAR WILLIAMS</v>
      </c>
      <c r="D2131" s="4" t="str">
        <f>IFERROR(VLOOKUP(A2131,'Base Prueba'!A:D,4,),"NO REGISTRA")</f>
        <v>PROMOTOR CALL CENTER</v>
      </c>
      <c r="E2131" s="5" t="str">
        <f>IFERROR(VLOOKUP(A2131,'Base Prueba'!A:E,5,),"NO REGISTRA")</f>
        <v>OFICINA DE MERCADEO</v>
      </c>
    </row>
    <row r="2132" spans="1:5" ht="15.75" x14ac:dyDescent="0.25">
      <c r="A2132" s="10">
        <v>52472386</v>
      </c>
      <c r="B2132" s="2">
        <v>46063.778471527781</v>
      </c>
      <c r="C2132" s="3" t="str">
        <f>IFERROR(VLOOKUP(A2132,'Base Prueba'!A:C,3,),"NO REGISTRA")</f>
        <v>ADRIANA MARCELA MORALES PARDO</v>
      </c>
      <c r="D2132" s="4" t="str">
        <f>IFERROR(VLOOKUP(A2132,'Base Prueba'!A:D,4,),"NO REGISTRA")</f>
        <v>PROMOTOR CALL CENTER</v>
      </c>
      <c r="E2132" s="5" t="str">
        <f>IFERROR(VLOOKUP(A2132,'Base Prueba'!A:E,5,),"NO REGISTRA")</f>
        <v>OFICINA DE MERCADEO</v>
      </c>
    </row>
    <row r="2133" spans="1:5" ht="15.75" x14ac:dyDescent="0.25">
      <c r="A2133" s="10">
        <v>1193265768</v>
      </c>
      <c r="B2133" s="2">
        <v>46063.778988541664</v>
      </c>
      <c r="C2133" s="3" t="str">
        <f>IFERROR(VLOOKUP(A2133,'Base Prueba'!A:C,3,),"NO REGISTRA")</f>
        <v>SANTIAGO OSORIO CAMACHO</v>
      </c>
      <c r="D2133" s="4" t="str">
        <f>IFERROR(VLOOKUP(A2133,'Base Prueba'!A:D,4,),"NO REGISTRA")</f>
        <v>ANALISTA DE PAUTA</v>
      </c>
      <c r="E2133" s="5" t="str">
        <f>IFERROR(VLOOKUP(A2133,'Base Prueba'!A:E,5,),"NO REGISTRA")</f>
        <v>OFICINA DE MERCADEO</v>
      </c>
    </row>
    <row r="2134" spans="1:5" ht="15.75" x14ac:dyDescent="0.25">
      <c r="A2134" s="10">
        <v>1013616244</v>
      </c>
      <c r="B2134" s="2">
        <v>46063.779734490738</v>
      </c>
      <c r="C2134" s="3" t="str">
        <f>IFERROR(VLOOKUP(A2134,'Base Prueba'!A:C,3,),"NO REGISTRA")</f>
        <v>DIANA CAROLINA MARIN BETANCOURT</v>
      </c>
      <c r="D2134" s="4" t="str">
        <f>IFERROR(VLOOKUP(A2134,'Base Prueba'!A:D,4,),"NO REGISTRA")</f>
        <v>AUXILIAR ADMINISTRATIVO</v>
      </c>
      <c r="E2134" s="5" t="str">
        <f>IFERROR(VLOOKUP(A2134,'Base Prueba'!A:E,5,),"NO REGISTRA")</f>
        <v>REGISTRO Y CONTROL ACADEMICO</v>
      </c>
    </row>
    <row r="2135" spans="1:5" ht="15.75" x14ac:dyDescent="0.25">
      <c r="A2135" s="10">
        <v>1000257136</v>
      </c>
      <c r="B2135" s="2">
        <v>46063.781901967595</v>
      </c>
      <c r="C2135" s="3" t="str">
        <f>IFERROR(VLOOKUP(A2135,'Base Prueba'!A:C,3,),"NO REGISTRA")</f>
        <v>FRANCI VALENTINA CANO PUENTES</v>
      </c>
      <c r="D2135" s="4" t="str">
        <f>IFERROR(VLOOKUP(A2135,'Base Prueba'!A:D,4,),"NO REGISTRA")</f>
        <v>AUXILIAR CONTABLE</v>
      </c>
      <c r="E2135" s="5" t="str">
        <f>IFERROR(VLOOKUP(A2135,'Base Prueba'!A:E,5,),"NO REGISTRA")</f>
        <v>AREA FINANCIERA Y CONTABLE</v>
      </c>
    </row>
    <row r="2136" spans="1:5" ht="15.75" x14ac:dyDescent="0.25">
      <c r="A2136" s="10">
        <v>1000457706</v>
      </c>
      <c r="B2136" s="2">
        <v>46063.782362268517</v>
      </c>
      <c r="C2136" s="3" t="str">
        <f>IFERROR(VLOOKUP(A2136,'Base Prueba'!A:C,3,),"NO REGISTRA")</f>
        <v>CRISTIAN DANILO ARROYO SANABRIA</v>
      </c>
      <c r="D2136" s="4" t="str">
        <f>IFERROR(VLOOKUP(A2136,'Base Prueba'!A:D,4,),"NO REGISTRA")</f>
        <v>AUXILIAR CONTABLE</v>
      </c>
      <c r="E2136" s="5" t="str">
        <f>IFERROR(VLOOKUP(A2136,'Base Prueba'!A:E,5,),"NO REGISTRA")</f>
        <v>AREA FINANCIERA Y CONTABLE</v>
      </c>
    </row>
    <row r="2137" spans="1:5" ht="15.75" x14ac:dyDescent="0.25">
      <c r="A2137" s="10">
        <v>80234243</v>
      </c>
      <c r="B2137" s="2">
        <v>46063.785751504627</v>
      </c>
      <c r="C2137" s="3" t="str">
        <f>IFERROR(VLOOKUP(A2137,'Base Prueba'!A:C,3,),"NO REGISTRA")</f>
        <v>ARGENIS MARTINEZ MARTINEZ</v>
      </c>
      <c r="D2137" s="4" t="str">
        <f>IFERROR(VLOOKUP(A2137,'Base Prueba'!A:D,4,),"NO REGISTRA")</f>
        <v>LIDER CALL CENTER</v>
      </c>
      <c r="E2137" s="5" t="str">
        <f>IFERROR(VLOOKUP(A2137,'Base Prueba'!A:E,5,),"NO REGISTRA")</f>
        <v>OFICINA DE MERCADEO</v>
      </c>
    </row>
    <row r="2138" spans="1:5" ht="15.75" x14ac:dyDescent="0.25">
      <c r="A2138" s="10">
        <v>52474489</v>
      </c>
      <c r="B2138" s="2">
        <v>46063.787143518515</v>
      </c>
      <c r="C2138" s="3" t="str">
        <f>IFERROR(VLOOKUP(A2138,'Base Prueba'!A:C,3,),"NO REGISTRA")</f>
        <v>ADRIANA JIMENA SOTO BOCANEGRA</v>
      </c>
      <c r="D2138" s="4" t="str">
        <f>IFERROR(VLOOKUP(A2138,'Base Prueba'!A:D,4,),"NO REGISTRA")</f>
        <v>COORDINADOR DE LA OFICINA DE REGISTRO Y CONTROL</v>
      </c>
      <c r="E2138" s="5" t="str">
        <f>IFERROR(VLOOKUP(A2138,'Base Prueba'!A:E,5,),"NO REGISTRA")</f>
        <v>REGISTRO Y CONTROL ACADEMICO</v>
      </c>
    </row>
    <row r="2139" spans="1:5" ht="15.75" x14ac:dyDescent="0.25">
      <c r="A2139" s="10">
        <v>52443092</v>
      </c>
      <c r="B2139" s="2">
        <v>46063.788709375003</v>
      </c>
      <c r="C2139" s="3" t="str">
        <f>IFERROR(VLOOKUP(A2139,'Base Prueba'!A:C,3,),"NO REGISTRA")</f>
        <v>LUZ MYRIAM SAAVEDRA CONTRERAS</v>
      </c>
      <c r="D2139" s="4" t="str">
        <f>IFERROR(VLOOKUP(A2139,'Base Prueba'!A:D,4,),"NO REGISTRA")</f>
        <v>AUXILIAR DE SERVICIOS</v>
      </c>
      <c r="E2139" s="5" t="str">
        <f>IFERROR(VLOOKUP(A2139,'Base Prueba'!A:E,5,),"NO REGISTRA")</f>
        <v>LOGISTICA Y SERVICIOS GENERALES</v>
      </c>
    </row>
    <row r="2140" spans="1:5" ht="15.75" x14ac:dyDescent="0.25">
      <c r="A2140" s="10">
        <v>1012357415</v>
      </c>
      <c r="B2140" s="2">
        <v>46063.803667476852</v>
      </c>
      <c r="C2140" s="3" t="str">
        <f>IFERROR(VLOOKUP(A2140,'Base Prueba'!A:C,3,),"NO REGISTRA")</f>
        <v>CINDY LORENA BOHORQUEZ LEYVA</v>
      </c>
      <c r="D2140" s="4" t="str">
        <f>IFERROR(VLOOKUP(A2140,'Base Prueba'!A:D,4,),"NO REGISTRA")</f>
        <v>ANALISTA DE TESORERIA</v>
      </c>
      <c r="E2140" s="5" t="str">
        <f>IFERROR(VLOOKUP(A2140,'Base Prueba'!A:E,5,),"NO REGISTRA")</f>
        <v>AREA FINANCIERA Y CONTABLE</v>
      </c>
    </row>
    <row r="2141" spans="1:5" ht="15.75" x14ac:dyDescent="0.25">
      <c r="A2141" s="10">
        <v>53932358</v>
      </c>
      <c r="B2141" s="2">
        <v>46063.825115740743</v>
      </c>
      <c r="C2141" s="3" t="str">
        <f>IFERROR(VLOOKUP(A2141,'Base Prueba'!A:C,3,),"NO REGISTRA")</f>
        <v>DIANA MADELEYNE GAONA RODRIGUEZ</v>
      </c>
      <c r="D2141" s="4" t="str">
        <f>IFERROR(VLOOKUP(A2141,'Base Prueba'!A:D,4,),"NO REGISTRA")</f>
        <v>CONTADOR</v>
      </c>
      <c r="E2141" s="5" t="str">
        <f>IFERROR(VLOOKUP(A2141,'Base Prueba'!A:E,5,),"NO REGISTRA")</f>
        <v>AREA FINANCIERA Y CONTABLE</v>
      </c>
    </row>
    <row r="2142" spans="1:5" ht="15.75" x14ac:dyDescent="0.25">
      <c r="A2142" s="10">
        <v>52764929</v>
      </c>
      <c r="B2142" s="2">
        <v>46063.863490277778</v>
      </c>
      <c r="C2142" s="3" t="str">
        <f>IFERROR(VLOOKUP(A2142,'Base Prueba'!A:C,3,),"NO REGISTRA")</f>
        <v>GUERLY YOHANA DURAN RIVERA</v>
      </c>
      <c r="D2142" s="4" t="str">
        <f>IFERROR(VLOOKUP(A2142,'Base Prueba'!A:D,4,),"NO REGISTRA")</f>
        <v>LIDER DE VINCULACION COLEGIOS</v>
      </c>
      <c r="E2142" s="5" t="str">
        <f>IFERROR(VLOOKUP(A2142,'Base Prueba'!A:E,5,),"NO REGISTRA")</f>
        <v>OFICINA DE MERCADEO</v>
      </c>
    </row>
    <row r="2143" spans="1:5" ht="15.75" x14ac:dyDescent="0.25">
      <c r="A2143" s="10">
        <v>1087121273</v>
      </c>
      <c r="B2143" s="2">
        <v>46064.311899768516</v>
      </c>
      <c r="C2143" s="3" t="str">
        <f>IFERROR(VLOOKUP(A2143,'Base Prueba'!A:C,3,),"NO REGISTRA")</f>
        <v>MAYRA ALEJANDRA CASTILLO ARBOLEDA</v>
      </c>
      <c r="D2143" s="4" t="str">
        <f>IFERROR(VLOOKUP(A2143,'Base Prueba'!A:D,4,),"NO REGISTRA")</f>
        <v>APOYO INTEGRAL DE MERCADEO</v>
      </c>
      <c r="E2143" s="5" t="str">
        <f>IFERROR(VLOOKUP(A2143,'Base Prueba'!A:E,5,),"NO REGISTRA")</f>
        <v>CENTRO DE GESTION DOCUMENTAL</v>
      </c>
    </row>
    <row r="2144" spans="1:5" ht="15.75" x14ac:dyDescent="0.25">
      <c r="A2144" s="10">
        <v>1013616244</v>
      </c>
      <c r="B2144" s="2">
        <v>46064.313018055553</v>
      </c>
      <c r="C2144" s="3" t="str">
        <f>IFERROR(VLOOKUP(A2144,'Base Prueba'!A:C,3,),"NO REGISTRA")</f>
        <v>DIANA CAROLINA MARIN BETANCOURT</v>
      </c>
      <c r="D2144" s="4" t="str">
        <f>IFERROR(VLOOKUP(A2144,'Base Prueba'!A:D,4,),"NO REGISTRA")</f>
        <v>AUXILIAR ADMINISTRATIVO</v>
      </c>
      <c r="E2144" s="5" t="str">
        <f>IFERROR(VLOOKUP(A2144,'Base Prueba'!A:E,5,),"NO REGISTRA")</f>
        <v>REGISTRO Y CONTROL ACADEMICO</v>
      </c>
    </row>
    <row r="2145" spans="1:5" ht="15.75" x14ac:dyDescent="0.25">
      <c r="A2145" s="10">
        <v>1031802160</v>
      </c>
      <c r="B2145" s="2">
        <v>46064.329820601852</v>
      </c>
      <c r="C2145" s="3" t="str">
        <f>IFERROR(VLOOKUP(A2145,'Base Prueba'!A:C,3,),"NO REGISTRA")</f>
        <v>LUISA MARIA MAHECHA SOTOMAYOR</v>
      </c>
      <c r="D2145" s="4" t="str">
        <f>IFERROR(VLOOKUP(A2145,'Base Prueba'!A:D,4,),"NO REGISTRA")</f>
        <v>APRENDIZ UNIVERSITARIO</v>
      </c>
      <c r="E2145" s="5" t="str">
        <f>IFERROR(VLOOKUP(A2145,'Base Prueba'!A:E,5,),"NO REGISTRA")</f>
        <v>OFICINA DE MERCADEO</v>
      </c>
    </row>
    <row r="2146" spans="1:5" ht="15.75" x14ac:dyDescent="0.25">
      <c r="A2146" s="10">
        <v>1000324729</v>
      </c>
      <c r="B2146" s="2">
        <v>46064.330940740743</v>
      </c>
      <c r="C2146" s="3" t="str">
        <f>IFERROR(VLOOKUP(A2146,'Base Prueba'!A:C,3,),"NO REGISTRA")</f>
        <v>ANYIE VANESSA TINOCO CAMACHO</v>
      </c>
      <c r="D2146" s="4" t="str">
        <f>IFERROR(VLOOKUP(A2146,'Base Prueba'!A:D,4,),"NO REGISTRA")</f>
        <v>LIDER DE REGISTRO Y CONTROL</v>
      </c>
      <c r="E2146" s="5" t="str">
        <f>IFERROR(VLOOKUP(A2146,'Base Prueba'!A:E,5,),"NO REGISTRA")</f>
        <v>REGISTRO Y CONTROL ACADEMICO</v>
      </c>
    </row>
    <row r="2147" spans="1:5" ht="15.75" x14ac:dyDescent="0.25">
      <c r="A2147" s="10">
        <v>1000354041</v>
      </c>
      <c r="B2147" s="2">
        <v>46064.331784374997</v>
      </c>
      <c r="C2147" s="3" t="str">
        <f>IFERROR(VLOOKUP(A2147,'Base Prueba'!A:C,3,),"NO REGISTRA")</f>
        <v>ANGIE NATALIA BOHORQUEZ SANCHEZ</v>
      </c>
      <c r="D2147" s="4" t="str">
        <f>IFERROR(VLOOKUP(A2147,'Base Prueba'!A:D,4,),"NO REGISTRA")</f>
        <v>APRENDIZ UNIVERSITARIO</v>
      </c>
      <c r="E2147" s="5" t="str">
        <f>IFERROR(VLOOKUP(A2147,'Base Prueba'!A:E,5,),"NO REGISTRA")</f>
        <v>OFICINA DE PLANEACION Y GESTION DE LA CALIDAD</v>
      </c>
    </row>
    <row r="2148" spans="1:5" ht="15.75" x14ac:dyDescent="0.25">
      <c r="A2148" s="10">
        <v>1012357415</v>
      </c>
      <c r="B2148" s="2">
        <v>46064.335561342596</v>
      </c>
      <c r="C2148" s="3" t="str">
        <f>IFERROR(VLOOKUP(A2148,'Base Prueba'!A:C,3,),"NO REGISTRA")</f>
        <v>CINDY LORENA BOHORQUEZ LEYVA</v>
      </c>
      <c r="D2148" s="4" t="str">
        <f>IFERROR(VLOOKUP(A2148,'Base Prueba'!A:D,4,),"NO REGISTRA")</f>
        <v>ANALISTA DE TESORERIA</v>
      </c>
      <c r="E2148" s="5" t="str">
        <f>IFERROR(VLOOKUP(A2148,'Base Prueba'!A:E,5,),"NO REGISTRA")</f>
        <v>AREA FINANCIERA Y CONTABLE</v>
      </c>
    </row>
    <row r="2149" spans="1:5" ht="15.75" x14ac:dyDescent="0.25">
      <c r="A2149" s="10">
        <v>1022996882</v>
      </c>
      <c r="B2149" s="2">
        <v>46064.337049652779</v>
      </c>
      <c r="C2149" s="3" t="str">
        <f>IFERROR(VLOOKUP(A2149,'Base Prueba'!A:C,3,),"NO REGISTRA")</f>
        <v>NANCY BRIGITH ALDANA GUEVARA</v>
      </c>
      <c r="D2149" s="4" t="str">
        <f>IFERROR(VLOOKUP(A2149,'Base Prueba'!A:D,4,),"NO REGISTRA")</f>
        <v>COORDINADORA DE GESTIÓN HUMANA</v>
      </c>
      <c r="E2149" s="5" t="str">
        <f>IFERROR(VLOOKUP(A2149,'Base Prueba'!A:E,5,),"NO REGISTRA")</f>
        <v>DEPARTAMENTO DE GESTION HUMANA</v>
      </c>
    </row>
    <row r="2150" spans="1:5" ht="15.75" x14ac:dyDescent="0.25">
      <c r="A2150" s="10">
        <v>1014266838</v>
      </c>
      <c r="B2150" s="2">
        <v>46064.338252314818</v>
      </c>
      <c r="C2150" s="3" t="str">
        <f>IFERROR(VLOOKUP(A2150,'Base Prueba'!A:C,3,),"NO REGISTRA")</f>
        <v>JENNIFER ASTRID ROMERO HURTADO</v>
      </c>
      <c r="D2150" s="4" t="str">
        <f>IFERROR(VLOOKUP(A2150,'Base Prueba'!A:D,4,),"NO REGISTRA")</f>
        <v>LIDER DE RECAUDO</v>
      </c>
      <c r="E2150" s="5" t="str">
        <f>IFERROR(VLOOKUP(A2150,'Base Prueba'!A:E,5,),"NO REGISTRA")</f>
        <v>AREA FINANCIERA Y CONTABLE</v>
      </c>
    </row>
    <row r="2151" spans="1:5" ht="15.75" x14ac:dyDescent="0.25">
      <c r="A2151" s="10">
        <v>1014977624</v>
      </c>
      <c r="B2151" s="2">
        <v>46064.33839675926</v>
      </c>
      <c r="C2151" s="3" t="str">
        <f>IFERROR(VLOOKUP(A2151,'Base Prueba'!A:C,3,),"NO REGISTRA")</f>
        <v>NICCOLE VALENTINA HERNANDEZ MALAVER</v>
      </c>
      <c r="D2151" s="4" t="str">
        <f>IFERROR(VLOOKUP(A2151,'Base Prueba'!A:D,4,),"NO REGISTRA")</f>
        <v>APRENDIZ UNIVERSITARIO</v>
      </c>
      <c r="E2151" s="5" t="str">
        <f>IFERROR(VLOOKUP(A2151,'Base Prueba'!A:E,5,),"NO REGISTRA")</f>
        <v>AREA FINANCIERA Y CONTABLE</v>
      </c>
    </row>
    <row r="2152" spans="1:5" ht="15.75" x14ac:dyDescent="0.25">
      <c r="A2152" s="10">
        <v>80234243</v>
      </c>
      <c r="B2152" s="2">
        <v>46064.34124652778</v>
      </c>
      <c r="C2152" s="3" t="str">
        <f>IFERROR(VLOOKUP(A2152,'Base Prueba'!A:C,3,),"NO REGISTRA")</f>
        <v>ARGENIS MARTINEZ MARTINEZ</v>
      </c>
      <c r="D2152" s="4" t="str">
        <f>IFERROR(VLOOKUP(A2152,'Base Prueba'!A:D,4,),"NO REGISTRA")</f>
        <v>LIDER CALL CENTER</v>
      </c>
      <c r="E2152" s="5" t="str">
        <f>IFERROR(VLOOKUP(A2152,'Base Prueba'!A:E,5,),"NO REGISTRA")</f>
        <v>OFICINA DE MERCADEO</v>
      </c>
    </row>
    <row r="2153" spans="1:5" ht="15.75" x14ac:dyDescent="0.25">
      <c r="A2153" s="10">
        <v>1000257136</v>
      </c>
      <c r="B2153" s="2">
        <v>46064.342826736109</v>
      </c>
      <c r="C2153" s="3" t="str">
        <f>IFERROR(VLOOKUP(A2153,'Base Prueba'!A:C,3,),"NO REGISTRA")</f>
        <v>FRANCI VALENTINA CANO PUENTES</v>
      </c>
      <c r="D2153" s="4" t="str">
        <f>IFERROR(VLOOKUP(A2153,'Base Prueba'!A:D,4,),"NO REGISTRA")</f>
        <v>AUXILIAR CONTABLE</v>
      </c>
      <c r="E2153" s="5" t="str">
        <f>IFERROR(VLOOKUP(A2153,'Base Prueba'!A:E,5,),"NO REGISTRA")</f>
        <v>AREA FINANCIERA Y CONTABLE</v>
      </c>
    </row>
    <row r="2154" spans="1:5" ht="15.75" x14ac:dyDescent="0.25">
      <c r="A2154" s="10">
        <v>1049644802</v>
      </c>
      <c r="B2154" s="2">
        <v>46064.343651388888</v>
      </c>
      <c r="C2154" s="3" t="str">
        <f>IFERROR(VLOOKUP(A2154,'Base Prueba'!A:C,3,),"NO REGISTRA")</f>
        <v>DANIELA ALEXANDRA CIPAMOCHA BOSIGA</v>
      </c>
      <c r="D2154" s="4" t="str">
        <f>IFERROR(VLOOKUP(A2154,'Base Prueba'!A:D,4,),"NO REGISTRA")</f>
        <v>LIDER DE DATOS Y SERVICIOS</v>
      </c>
      <c r="E2154" s="5" t="str">
        <f>IFERROR(VLOOKUP(A2154,'Base Prueba'!A:E,5,),"NO REGISTRA")</f>
        <v>OFICINA DE PLANEACION Y GESTION DE LA CALIDAD</v>
      </c>
    </row>
    <row r="2155" spans="1:5" ht="15.75" x14ac:dyDescent="0.25">
      <c r="A2155" s="10">
        <v>1032469638</v>
      </c>
      <c r="B2155" s="2">
        <v>46064.344079282404</v>
      </c>
      <c r="C2155" s="3" t="str">
        <f>IFERROR(VLOOKUP(A2155,'Base Prueba'!A:C,3,),"NO REGISTRA")</f>
        <v>MAICOL JARBEY GUALTEROS CASTAÑEDA</v>
      </c>
      <c r="D2155" s="4" t="str">
        <f>IFERROR(VLOOKUP(A2155,'Base Prueba'!A:D,4,),"NO REGISTRA")</f>
        <v>COORDINADOR DEL SISTEMA INTERNO DE ASEGURAMIENTO DE LA CALIDAD - SIAC</v>
      </c>
      <c r="E2155" s="5" t="str">
        <f>IFERROR(VLOOKUP(A2155,'Base Prueba'!A:E,5,),"NO REGISTRA")</f>
        <v>OFICINA DE PLANEACION Y GESTION DE LA CALIDAD</v>
      </c>
    </row>
    <row r="2156" spans="1:5" ht="15.75" x14ac:dyDescent="0.25">
      <c r="A2156" s="10">
        <v>1014308296</v>
      </c>
      <c r="B2156" s="2">
        <v>46064.344134953702</v>
      </c>
      <c r="C2156" s="3" t="str">
        <f>IFERROR(VLOOKUP(A2156,'Base Prueba'!A:C,3,),"NO REGISTRA")</f>
        <v>DARLENE YULIANA MORENO CELEITA</v>
      </c>
      <c r="D2156" s="4" t="str">
        <f>IFERROR(VLOOKUP(A2156,'Base Prueba'!A:D,4,),"NO REGISTRA")</f>
        <v>CAJERO PRINCIPAL</v>
      </c>
      <c r="E2156" s="5" t="str">
        <f>IFERROR(VLOOKUP(A2156,'Base Prueba'!A:E,5,),"NO REGISTRA")</f>
        <v>AREA FINANCIERA Y CONTABLE</v>
      </c>
    </row>
    <row r="2157" spans="1:5" ht="15.75" x14ac:dyDescent="0.25">
      <c r="A2157" s="10">
        <v>1193457976</v>
      </c>
      <c r="B2157" s="2">
        <v>46064.344720370369</v>
      </c>
      <c r="C2157" s="3" t="str">
        <f>IFERROR(VLOOKUP(A2157,'Base Prueba'!A:C,3,),"NO REGISTRA")</f>
        <v>SEDENIS RIVAS ASPRILLA</v>
      </c>
      <c r="D2157" s="4" t="str">
        <f>IFERROR(VLOOKUP(A2157,'Base Prueba'!A:D,4,),"NO REGISTRA")</f>
        <v>APRENDIZ UNIVERSITARIO</v>
      </c>
      <c r="E2157" s="5" t="str">
        <f>IFERROR(VLOOKUP(A2157,'Base Prueba'!A:E,5,),"NO REGISTRA")</f>
        <v>DEPARTAMENTO DE GESTION HUMANA</v>
      </c>
    </row>
    <row r="2158" spans="1:5" ht="15.75" x14ac:dyDescent="0.25">
      <c r="A2158" s="10">
        <v>1000687931</v>
      </c>
      <c r="B2158" s="2">
        <v>46064.345485185186</v>
      </c>
      <c r="C2158" s="3" t="str">
        <f>IFERROR(VLOOKUP(A2158,'Base Prueba'!A:C,3,),"NO REGISTRA")</f>
        <v>ANDRES FELIPE PUENTES TORRES</v>
      </c>
      <c r="D2158" s="4" t="str">
        <f>IFERROR(VLOOKUP(A2158,'Base Prueba'!A:D,4,),"NO REGISTRA")</f>
        <v>AUXILIAR ADMINISTRATIVO</v>
      </c>
      <c r="E2158" s="5" t="str">
        <f>IFERROR(VLOOKUP(A2158,'Base Prueba'!A:E,5,),"NO REGISTRA")</f>
        <v>REGISTRO Y CONTROL ACADEMICO</v>
      </c>
    </row>
    <row r="2159" spans="1:5" ht="15.75" x14ac:dyDescent="0.25">
      <c r="A2159" s="10">
        <v>1023883232</v>
      </c>
      <c r="B2159" s="2">
        <v>46064.346156828702</v>
      </c>
      <c r="C2159" s="3" t="str">
        <f>IFERROR(VLOOKUP(A2159,'Base Prueba'!A:C,3,),"NO REGISTRA")</f>
        <v>MONICA ANDREA ACERO URBANO</v>
      </c>
      <c r="D2159" s="4" t="str">
        <f>IFERROR(VLOOKUP(A2159,'Base Prueba'!A:D,4,),"NO REGISTRA")</f>
        <v>APOYO INTEGRAL A GESTION HUMANA</v>
      </c>
      <c r="E2159" s="5" t="str">
        <f>IFERROR(VLOOKUP(A2159,'Base Prueba'!A:E,5,),"NO REGISTRA")</f>
        <v>DEPARTAMENTO DE GESTION HUMANA</v>
      </c>
    </row>
    <row r="2160" spans="1:5" ht="15.75" x14ac:dyDescent="0.25">
      <c r="A2160" s="10">
        <v>1000457706</v>
      </c>
      <c r="B2160" s="2">
        <v>46064.346425694443</v>
      </c>
      <c r="C2160" s="3" t="str">
        <f>IFERROR(VLOOKUP(A2160,'Base Prueba'!A:C,3,),"NO REGISTRA")</f>
        <v>CRISTIAN DANILO ARROYO SANABRIA</v>
      </c>
      <c r="D2160" s="4" t="str">
        <f>IFERROR(VLOOKUP(A2160,'Base Prueba'!A:D,4,),"NO REGISTRA")</f>
        <v>AUXILIAR CONTABLE</v>
      </c>
      <c r="E2160" s="5" t="str">
        <f>IFERROR(VLOOKUP(A2160,'Base Prueba'!A:E,5,),"NO REGISTRA")</f>
        <v>AREA FINANCIERA Y CONTABLE</v>
      </c>
    </row>
    <row r="2161" spans="1:5" ht="15.75" x14ac:dyDescent="0.25">
      <c r="A2161" s="10">
        <v>53932358</v>
      </c>
      <c r="B2161" s="2">
        <v>46064.349639930559</v>
      </c>
      <c r="C2161" s="3" t="str">
        <f>IFERROR(VLOOKUP(A2161,'Base Prueba'!A:C,3,),"NO REGISTRA")</f>
        <v>DIANA MADELEYNE GAONA RODRIGUEZ</v>
      </c>
      <c r="D2161" s="4" t="str">
        <f>IFERROR(VLOOKUP(A2161,'Base Prueba'!A:D,4,),"NO REGISTRA")</f>
        <v>CONTADOR</v>
      </c>
      <c r="E2161" s="5" t="str">
        <f>IFERROR(VLOOKUP(A2161,'Base Prueba'!A:E,5,),"NO REGISTRA")</f>
        <v>AREA FINANCIERA Y CONTABLE</v>
      </c>
    </row>
    <row r="2162" spans="1:5" ht="15.75" x14ac:dyDescent="0.25">
      <c r="A2162" s="10">
        <v>1024505434</v>
      </c>
      <c r="B2162" s="2">
        <v>46064.349803935183</v>
      </c>
      <c r="C2162" s="3" t="str">
        <f>IFERROR(VLOOKUP(A2162,'Base Prueba'!A:C,3,),"NO REGISTRA")</f>
        <v>CRISTIAN ALBERTO MELO TORRES</v>
      </c>
      <c r="D2162" s="4" t="str">
        <f>IFERROR(VLOOKUP(A2162,'Base Prueba'!A:D,4,),"NO REGISTRA")</f>
        <v>COORDINADOR DE INFRAESTRUCTURA</v>
      </c>
      <c r="E2162" s="5" t="str">
        <f>IFERROR(VLOOKUP(A2162,'Base Prueba'!A:E,5,),"NO REGISTRA")</f>
        <v>VICERRECTORIA ADMINISTRATIVA Y FINANCIERA</v>
      </c>
    </row>
    <row r="2163" spans="1:5" ht="15.75" x14ac:dyDescent="0.25">
      <c r="A2163" s="10">
        <v>52474489</v>
      </c>
      <c r="B2163" s="2">
        <v>46064.353460995371</v>
      </c>
      <c r="C2163" s="3" t="str">
        <f>IFERROR(VLOOKUP(A2163,'Base Prueba'!A:C,3,),"NO REGISTRA")</f>
        <v>ADRIANA JIMENA SOTO BOCANEGRA</v>
      </c>
      <c r="D2163" s="4" t="str">
        <f>IFERROR(VLOOKUP(A2163,'Base Prueba'!A:D,4,),"NO REGISTRA")</f>
        <v>COORDINADOR DE LA OFICINA DE REGISTRO Y CONTROL</v>
      </c>
      <c r="E2163" s="5" t="str">
        <f>IFERROR(VLOOKUP(A2163,'Base Prueba'!A:E,5,),"NO REGISTRA")</f>
        <v>REGISTRO Y CONTROL ACADEMICO</v>
      </c>
    </row>
    <row r="2164" spans="1:5" ht="15.75" x14ac:dyDescent="0.25">
      <c r="A2164" s="10">
        <v>1000593372</v>
      </c>
      <c r="B2164" s="2">
        <v>46064.359230671296</v>
      </c>
      <c r="C2164" s="3" t="str">
        <f>IFERROR(VLOOKUP(A2164,'Base Prueba'!A:C,3,),"NO REGISTRA")</f>
        <v>LAURA SOFIA CHAPARRO LOPEZ</v>
      </c>
      <c r="D2164" s="4" t="str">
        <f>IFERROR(VLOOKUP(A2164,'Base Prueba'!A:D,4,),"NO REGISTRA")</f>
        <v>AUXILIAR JURIDICO</v>
      </c>
      <c r="E2164" s="5" t="str">
        <f>IFERROR(VLOOKUP(A2164,'Base Prueba'!A:E,5,),"NO REGISTRA")</f>
        <v>SECRETARIA GENERAL</v>
      </c>
    </row>
    <row r="2165" spans="1:5" ht="15.75" x14ac:dyDescent="0.25">
      <c r="A2165" s="10">
        <v>1018413529</v>
      </c>
      <c r="B2165" s="2">
        <v>46064.360175578702</v>
      </c>
      <c r="C2165" s="3" t="str">
        <f>IFERROR(VLOOKUP(A2165,'Base Prueba'!A:C,3,),"NO REGISTRA")</f>
        <v>FRANCY STELLA CHARRY MORENO</v>
      </c>
      <c r="D2165" s="4" t="str">
        <f>IFERROR(VLOOKUP(A2165,'Base Prueba'!A:D,4,),"NO REGISTRA")</f>
        <v>PROMOTOR COMERCIAL DEL CEA</v>
      </c>
      <c r="E2165" s="5" t="str">
        <f>IFERROR(VLOOKUP(A2165,'Base Prueba'!A:E,5,),"NO REGISTRA")</f>
        <v>OFICINA DE MERCADEO</v>
      </c>
    </row>
    <row r="2166" spans="1:5" ht="15.75" x14ac:dyDescent="0.25">
      <c r="A2166" s="10">
        <v>1032407386</v>
      </c>
      <c r="B2166" s="2">
        <v>46064.363491203701</v>
      </c>
      <c r="C2166" s="3" t="str">
        <f>IFERROR(VLOOKUP(A2166,'Base Prueba'!A:C,3,),"NO REGISTRA")</f>
        <v>GINA PAOLA BAEZ GALVIS</v>
      </c>
      <c r="D2166" s="4" t="str">
        <f>IFERROR(VLOOKUP(A2166,'Base Prueba'!A:D,4,),"NO REGISTRA")</f>
        <v>PROMOTOR CALL CENTER</v>
      </c>
      <c r="E2166" s="5" t="str">
        <f>IFERROR(VLOOKUP(A2166,'Base Prueba'!A:E,5,),"NO REGISTRA")</f>
        <v>OFICINA DE MERCADEO</v>
      </c>
    </row>
    <row r="2167" spans="1:5" ht="15.75" x14ac:dyDescent="0.25">
      <c r="A2167" s="10">
        <v>1000604979</v>
      </c>
      <c r="B2167" s="2">
        <v>46064.364722685183</v>
      </c>
      <c r="C2167" s="3" t="str">
        <f>IFERROR(VLOOKUP(A2167,'Base Prueba'!A:C,3,),"NO REGISTRA")</f>
        <v>JULIETH TATIANA PARDO PINTO</v>
      </c>
      <c r="D2167" s="4" t="str">
        <f>IFERROR(VLOOKUP(A2167,'Base Prueba'!A:D,4,),"NO REGISTRA")</f>
        <v>AUXILIAR JURIDICO</v>
      </c>
      <c r="E2167" s="5" t="str">
        <f>IFERROR(VLOOKUP(A2167,'Base Prueba'!A:E,5,),"NO REGISTRA")</f>
        <v>SECRETARIA GENERAL</v>
      </c>
    </row>
    <row r="2168" spans="1:5" ht="15.75" x14ac:dyDescent="0.25">
      <c r="A2168" s="10">
        <v>52472386</v>
      </c>
      <c r="B2168" s="2">
        <v>46064.369102199074</v>
      </c>
      <c r="C2168" s="3" t="str">
        <f>IFERROR(VLOOKUP(A2168,'Base Prueba'!A:C,3,),"NO REGISTRA")</f>
        <v>ADRIANA MARCELA MORALES PARDO</v>
      </c>
      <c r="D2168" s="4" t="str">
        <f>IFERROR(VLOOKUP(A2168,'Base Prueba'!A:D,4,),"NO REGISTRA")</f>
        <v>PROMOTOR CALL CENTER</v>
      </c>
      <c r="E2168" s="5" t="str">
        <f>IFERROR(VLOOKUP(A2168,'Base Prueba'!A:E,5,),"NO REGISTRA")</f>
        <v>OFICINA DE MERCADEO</v>
      </c>
    </row>
    <row r="2169" spans="1:5" ht="15.75" x14ac:dyDescent="0.25">
      <c r="A2169" s="10">
        <v>1033709056</v>
      </c>
      <c r="B2169" s="2">
        <v>46064.369750347221</v>
      </c>
      <c r="C2169" s="3" t="str">
        <f>IFERROR(VLOOKUP(A2169,'Base Prueba'!A:C,3,),"NO REGISTRA")</f>
        <v>YEIMY ALEXANDRA RODRIGUEZ PALACIO</v>
      </c>
      <c r="D2169" s="4" t="str">
        <f>IFERROR(VLOOKUP(A2169,'Base Prueba'!A:D,4,),"NO REGISTRA")</f>
        <v>PROMOTOR CALL CENTER</v>
      </c>
      <c r="E2169" s="5" t="str">
        <f>IFERROR(VLOOKUP(A2169,'Base Prueba'!A:E,5,),"NO REGISTRA")</f>
        <v>OFICINA DE MERCADEO</v>
      </c>
    </row>
    <row r="2170" spans="1:5" ht="15.75" x14ac:dyDescent="0.25">
      <c r="A2170" s="10">
        <v>1003690253</v>
      </c>
      <c r="B2170" s="2">
        <v>46064.373063310188</v>
      </c>
      <c r="C2170" s="3" t="str">
        <f>IFERROR(VLOOKUP(A2170,'Base Prueba'!A:C,3,),"NO REGISTRA")</f>
        <v>MELISSA GONZALEZ PEDRAZA</v>
      </c>
      <c r="D2170" s="4" t="str">
        <f>IFERROR(VLOOKUP(A2170,'Base Prueba'!A:D,4,),"NO REGISTRA")</f>
        <v>LIDER DE JOVENES A LA E</v>
      </c>
      <c r="E2170" s="5" t="str">
        <f>IFERROR(VLOOKUP(A2170,'Base Prueba'!A:E,5,),"NO REGISTRA")</f>
        <v>DIRECCION DE BIENESTAR INSTITUCIONAL</v>
      </c>
    </row>
    <row r="2171" spans="1:5" ht="15.75" x14ac:dyDescent="0.25">
      <c r="A2171" s="10">
        <v>1012426741</v>
      </c>
      <c r="B2171" s="2">
        <v>46064.37409351852</v>
      </c>
      <c r="C2171" s="3" t="str">
        <f>IFERROR(VLOOKUP(A2171,'Base Prueba'!A:C,3,),"NO REGISTRA")</f>
        <v>CRISTIAN FABIAN ROJAS SANCENO</v>
      </c>
      <c r="D2171" s="4" t="str">
        <f>IFERROR(VLOOKUP(A2171,'Base Prueba'!A:D,4,),"NO REGISTRA")</f>
        <v>AUXILIAR DE REINTEGROS</v>
      </c>
      <c r="E2171" s="5" t="str">
        <f>IFERROR(VLOOKUP(A2171,'Base Prueba'!A:E,5,),"NO REGISTRA")</f>
        <v>DIRECCION DE BIENESTAR INSTITUCIONAL</v>
      </c>
    </row>
    <row r="2172" spans="1:5" ht="15.75" x14ac:dyDescent="0.25">
      <c r="A2172" s="10">
        <v>52764929</v>
      </c>
      <c r="B2172" s="2">
        <v>46064.375464351855</v>
      </c>
      <c r="C2172" s="3" t="str">
        <f>IFERROR(VLOOKUP(A2172,'Base Prueba'!A:C,3,),"NO REGISTRA")</f>
        <v>GUERLY YOHANA DURAN RIVERA</v>
      </c>
      <c r="D2172" s="4" t="str">
        <f>IFERROR(VLOOKUP(A2172,'Base Prueba'!A:D,4,),"NO REGISTRA")</f>
        <v>LIDER DE VINCULACION COLEGIOS</v>
      </c>
      <c r="E2172" s="5" t="str">
        <f>IFERROR(VLOOKUP(A2172,'Base Prueba'!A:E,5,),"NO REGISTRA")</f>
        <v>OFICINA DE MERCADEO</v>
      </c>
    </row>
    <row r="2173" spans="1:5" ht="15.75" x14ac:dyDescent="0.25">
      <c r="A2173" s="10">
        <v>28798349</v>
      </c>
      <c r="B2173" s="2">
        <v>46064.375850694443</v>
      </c>
      <c r="C2173" s="3" t="str">
        <f>IFERROR(VLOOKUP(A2173,'Base Prueba'!A:C,3,),"NO REGISTRA")</f>
        <v>MARTHA ISABEL TOVAR WILLIAMS</v>
      </c>
      <c r="D2173" s="4" t="str">
        <f>IFERROR(VLOOKUP(A2173,'Base Prueba'!A:D,4,),"NO REGISTRA")</f>
        <v>PROMOTOR CALL CENTER</v>
      </c>
      <c r="E2173" s="5" t="str">
        <f>IFERROR(VLOOKUP(A2173,'Base Prueba'!A:E,5,),"NO REGISTRA")</f>
        <v>OFICINA DE MERCADEO</v>
      </c>
    </row>
    <row r="2174" spans="1:5" ht="15.75" x14ac:dyDescent="0.25">
      <c r="A2174" s="10">
        <v>53089882</v>
      </c>
      <c r="B2174" s="2">
        <v>46064.377492245367</v>
      </c>
      <c r="C2174" s="3" t="str">
        <f>IFERROR(VLOOKUP(A2174,'Base Prueba'!A:C,3,),"NO REGISTRA")</f>
        <v>MARIA JOHANA ESCAMILLA MARTINEZ</v>
      </c>
      <c r="D2174" s="4" t="str">
        <f>IFERROR(VLOOKUP(A2174,'Base Prueba'!A:D,4,),"NO REGISTRA")</f>
        <v>PROMOTOR DE INFORMACIÓN</v>
      </c>
      <c r="E2174" s="5" t="str">
        <f>IFERROR(VLOOKUP(A2174,'Base Prueba'!A:E,5,),"NO REGISTRA")</f>
        <v>OFICINA DE MERCADEO</v>
      </c>
    </row>
    <row r="2175" spans="1:5" ht="15.75" x14ac:dyDescent="0.25">
      <c r="A2175" s="10">
        <v>1000046533</v>
      </c>
      <c r="B2175" s="2">
        <v>46064.378872453701</v>
      </c>
      <c r="C2175" s="3" t="str">
        <f>IFERROR(VLOOKUP(A2175,'Base Prueba'!A:C,3,),"NO REGISTRA")</f>
        <v>ERIKA JULIETH VALDERRAMA SANCHEZ</v>
      </c>
      <c r="D2175" s="4" t="str">
        <f>IFERROR(VLOOKUP(A2175,'Base Prueba'!A:D,4,),"NO REGISTRA")</f>
        <v>PROMOTOR CALL CENTER</v>
      </c>
      <c r="E2175" s="5" t="str">
        <f>IFERROR(VLOOKUP(A2175,'Base Prueba'!A:E,5,),"NO REGISTRA")</f>
        <v>OFICINA DE MERCADEO</v>
      </c>
    </row>
    <row r="2176" spans="1:5" ht="15.75" x14ac:dyDescent="0.25">
      <c r="A2176" s="10">
        <v>1000161811</v>
      </c>
      <c r="B2176" s="2">
        <v>46064.379023263886</v>
      </c>
      <c r="C2176" s="3" t="str">
        <f>IFERROR(VLOOKUP(A2176,'Base Prueba'!A:C,3,),"NO REGISTRA")</f>
        <v>DIEGO ANDRES VARON ROZO</v>
      </c>
      <c r="D2176" s="4" t="str">
        <f>IFERROR(VLOOKUP(A2176,'Base Prueba'!A:D,4,),"NO REGISTRA")</f>
        <v>APRENDIZ UNIVERSITARIO</v>
      </c>
      <c r="E2176" s="5" t="str">
        <f>IFERROR(VLOOKUP(A2176,'Base Prueba'!A:E,5,),"NO REGISTRA")</f>
        <v>OFICINA DE MERCADEO</v>
      </c>
    </row>
    <row r="2177" spans="1:5" ht="15.75" x14ac:dyDescent="0.25">
      <c r="A2177" s="10">
        <v>1193265768</v>
      </c>
      <c r="B2177" s="2">
        <v>46064.382864004627</v>
      </c>
      <c r="C2177" s="3" t="str">
        <f>IFERROR(VLOOKUP(A2177,'Base Prueba'!A:C,3,),"NO REGISTRA")</f>
        <v>SANTIAGO OSORIO CAMACHO</v>
      </c>
      <c r="D2177" s="4" t="str">
        <f>IFERROR(VLOOKUP(A2177,'Base Prueba'!A:D,4,),"NO REGISTRA")</f>
        <v>ANALISTA DE PAUTA</v>
      </c>
      <c r="E2177" s="5" t="str">
        <f>IFERROR(VLOOKUP(A2177,'Base Prueba'!A:E,5,),"NO REGISTRA")</f>
        <v>OFICINA DE MERCADEO</v>
      </c>
    </row>
    <row r="2178" spans="1:5" ht="15.75" x14ac:dyDescent="0.25">
      <c r="A2178" s="10">
        <v>1016090131</v>
      </c>
      <c r="B2178" s="2">
        <v>46064.382876851851</v>
      </c>
      <c r="C2178" s="3" t="str">
        <f>IFERROR(VLOOKUP(A2178,'Base Prueba'!A:C,3,),"NO REGISTRA")</f>
        <v>NICOLAS RODRIGUEZ PACHECO</v>
      </c>
      <c r="D2178" s="4" t="str">
        <f>IFERROR(VLOOKUP(A2178,'Base Prueba'!A:D,4,),"NO REGISTRA")</f>
        <v>COORDINADOR DE COMUNICACIONES</v>
      </c>
      <c r="E2178" s="5" t="str">
        <f>IFERROR(VLOOKUP(A2178,'Base Prueba'!A:E,5,),"NO REGISTRA")</f>
        <v>OFICINA DE MERCADEO</v>
      </c>
    </row>
    <row r="2179" spans="1:5" ht="15.75" x14ac:dyDescent="0.25">
      <c r="A2179" s="10">
        <v>1019105003</v>
      </c>
      <c r="B2179" s="2">
        <v>46064.384428356483</v>
      </c>
      <c r="C2179" s="3" t="str">
        <f>IFERROR(VLOOKUP(A2179,'Base Prueba'!A:C,3,),"NO REGISTRA")</f>
        <v>DAISY JULIETH GASPAR MORENO</v>
      </c>
      <c r="D2179" s="4" t="str">
        <f>IFERROR(VLOOKUP(A2179,'Base Prueba'!A:D,4,),"NO REGISTRA")</f>
        <v>PROMOTOR CALL CENTER</v>
      </c>
      <c r="E2179" s="5" t="str">
        <f>IFERROR(VLOOKUP(A2179,'Base Prueba'!A:E,5,),"NO REGISTRA")</f>
        <v>OFICINA DE MERCADEO</v>
      </c>
    </row>
    <row r="2180" spans="1:5" ht="15.75" x14ac:dyDescent="0.25">
      <c r="A2180" s="10">
        <v>52175674</v>
      </c>
      <c r="B2180" s="2">
        <v>46064.385205787039</v>
      </c>
      <c r="C2180" s="3" t="str">
        <f>IFERROR(VLOOKUP(A2180,'Base Prueba'!A:C,3,),"NO REGISTRA")</f>
        <v>LUZ YANETH GOMEZ AREVALO</v>
      </c>
      <c r="D2180" s="4" t="str">
        <f>IFERROR(VLOOKUP(A2180,'Base Prueba'!A:D,4,),"NO REGISTRA")</f>
        <v>COORDINADORA DE ADMISIONES</v>
      </c>
      <c r="E2180" s="5" t="str">
        <f>IFERROR(VLOOKUP(A2180,'Base Prueba'!A:E,5,),"NO REGISTRA")</f>
        <v>OFICINA DE MERCADEO</v>
      </c>
    </row>
    <row r="2181" spans="1:5" ht="15.75" x14ac:dyDescent="0.25">
      <c r="A2181" s="10">
        <v>52443092</v>
      </c>
      <c r="B2181" s="2">
        <v>46064.507073842593</v>
      </c>
      <c r="C2181" s="3" t="str">
        <f>IFERROR(VLOOKUP(A2181,'Base Prueba'!A:C,3,),"NO REGISTRA")</f>
        <v>LUZ MYRIAM SAAVEDRA CONTRERAS</v>
      </c>
      <c r="D2181" s="4" t="str">
        <f>IFERROR(VLOOKUP(A2181,'Base Prueba'!A:D,4,),"NO REGISTRA")</f>
        <v>AUXILIAR DE SERVICIOS</v>
      </c>
      <c r="E2181" s="5" t="str">
        <f>IFERROR(VLOOKUP(A2181,'Base Prueba'!A:E,5,),"NO REGISTRA")</f>
        <v>LOGISTICA Y SERVICIOS GENERALES</v>
      </c>
    </row>
    <row r="2182" spans="1:5" ht="15.75" x14ac:dyDescent="0.25">
      <c r="A2182" s="10">
        <v>1049644802</v>
      </c>
      <c r="B2182" s="2">
        <v>46064.589145254628</v>
      </c>
      <c r="C2182" s="3" t="str">
        <f>IFERROR(VLOOKUP(A2182,'Base Prueba'!A:C,3,),"NO REGISTRA")</f>
        <v>DANIELA ALEXANDRA CIPAMOCHA BOSIGA</v>
      </c>
      <c r="D2182" s="4" t="str">
        <f>IFERROR(VLOOKUP(A2182,'Base Prueba'!A:D,4,),"NO REGISTRA")</f>
        <v>LIDER DE DATOS Y SERVICIOS</v>
      </c>
      <c r="E2182" s="5" t="str">
        <f>IFERROR(VLOOKUP(A2182,'Base Prueba'!A:E,5,),"NO REGISTRA")</f>
        <v>OFICINA DE PLANEACION Y GESTION DE LA CALIDAD</v>
      </c>
    </row>
    <row r="2183" spans="1:5" ht="15.75" x14ac:dyDescent="0.25">
      <c r="A2183" s="10">
        <v>1023883232</v>
      </c>
      <c r="B2183" s="2">
        <v>46064.627374537034</v>
      </c>
      <c r="C2183" s="3" t="str">
        <f>IFERROR(VLOOKUP(A2183,'Base Prueba'!A:C,3,),"NO REGISTRA")</f>
        <v>MONICA ANDREA ACERO URBANO</v>
      </c>
      <c r="D2183" s="4" t="str">
        <f>IFERROR(VLOOKUP(A2183,'Base Prueba'!A:D,4,),"NO REGISTRA")</f>
        <v>APOYO INTEGRAL A GESTION HUMANA</v>
      </c>
      <c r="E2183" s="5" t="str">
        <f>IFERROR(VLOOKUP(A2183,'Base Prueba'!A:E,5,),"NO REGISTRA")</f>
        <v>DEPARTAMENTO DE GESTION HUMANA</v>
      </c>
    </row>
    <row r="2184" spans="1:5" ht="15.75" x14ac:dyDescent="0.25">
      <c r="A2184" s="10">
        <v>1031802160</v>
      </c>
      <c r="B2184" s="2">
        <v>46064.707960763888</v>
      </c>
      <c r="C2184" s="3" t="str">
        <f>IFERROR(VLOOKUP(A2184,'Base Prueba'!A:C,3,),"NO REGISTRA")</f>
        <v>LUISA MARIA MAHECHA SOTOMAYOR</v>
      </c>
      <c r="D2184" s="4" t="str">
        <f>IFERROR(VLOOKUP(A2184,'Base Prueba'!A:D,4,),"NO REGISTRA")</f>
        <v>APRENDIZ UNIVERSITARIO</v>
      </c>
      <c r="E2184" s="5" t="str">
        <f>IFERROR(VLOOKUP(A2184,'Base Prueba'!A:E,5,),"NO REGISTRA")</f>
        <v>OFICINA DE MERCADEO</v>
      </c>
    </row>
    <row r="2185" spans="1:5" ht="15.75" x14ac:dyDescent="0.25">
      <c r="A2185" s="10">
        <v>52472386</v>
      </c>
      <c r="B2185" s="2">
        <v>46064.720020717592</v>
      </c>
      <c r="C2185" s="3" t="str">
        <f>IFERROR(VLOOKUP(A2185,'Base Prueba'!A:C,3,),"NO REGISTRA")</f>
        <v>ADRIANA MARCELA MORALES PARDO</v>
      </c>
      <c r="D2185" s="4" t="str">
        <f>IFERROR(VLOOKUP(A2185,'Base Prueba'!A:D,4,),"NO REGISTRA")</f>
        <v>PROMOTOR CALL CENTER</v>
      </c>
      <c r="E2185" s="5" t="str">
        <f>IFERROR(VLOOKUP(A2185,'Base Prueba'!A:E,5,),"NO REGISTRA")</f>
        <v>OFICINA DE MERCADEO</v>
      </c>
    </row>
    <row r="2186" spans="1:5" ht="15.75" x14ac:dyDescent="0.25">
      <c r="A2186" s="10">
        <v>1024505434</v>
      </c>
      <c r="B2186" s="2">
        <v>46064.724393634257</v>
      </c>
      <c r="C2186" s="3" t="str">
        <f>IFERROR(VLOOKUP(A2186,'Base Prueba'!A:C,3,),"NO REGISTRA")</f>
        <v>CRISTIAN ALBERTO MELO TORRES</v>
      </c>
      <c r="D2186" s="4" t="str">
        <f>IFERROR(VLOOKUP(A2186,'Base Prueba'!A:D,4,),"NO REGISTRA")</f>
        <v>COORDINADOR DE INFRAESTRUCTURA</v>
      </c>
      <c r="E2186" s="5" t="str">
        <f>IFERROR(VLOOKUP(A2186,'Base Prueba'!A:E,5,),"NO REGISTRA")</f>
        <v>VICERRECTORIA ADMINISTRATIVA Y FINANCIERA</v>
      </c>
    </row>
    <row r="2187" spans="1:5" ht="15.75" x14ac:dyDescent="0.25">
      <c r="A2187" s="10">
        <v>1000687931</v>
      </c>
      <c r="B2187" s="2">
        <v>46064.725238541665</v>
      </c>
      <c r="C2187" s="3" t="str">
        <f>IFERROR(VLOOKUP(A2187,'Base Prueba'!A:C,3,),"NO REGISTRA")</f>
        <v>ANDRES FELIPE PUENTES TORRES</v>
      </c>
      <c r="D2187" s="4" t="str">
        <f>IFERROR(VLOOKUP(A2187,'Base Prueba'!A:D,4,),"NO REGISTRA")</f>
        <v>AUXILIAR ADMINISTRATIVO</v>
      </c>
      <c r="E2187" s="5" t="str">
        <f>IFERROR(VLOOKUP(A2187,'Base Prueba'!A:E,5,),"NO REGISTRA")</f>
        <v>REGISTRO Y CONTROL ACADEMICO</v>
      </c>
    </row>
    <row r="2188" spans="1:5" ht="15.75" x14ac:dyDescent="0.25">
      <c r="A2188" s="10">
        <v>1000354041</v>
      </c>
      <c r="B2188" s="2">
        <v>46064.750929861111</v>
      </c>
      <c r="C2188" s="3" t="str">
        <f>IFERROR(VLOOKUP(A2188,'Base Prueba'!A:C,3,),"NO REGISTRA")</f>
        <v>ANGIE NATALIA BOHORQUEZ SANCHEZ</v>
      </c>
      <c r="D2188" s="4" t="str">
        <f>IFERROR(VLOOKUP(A2188,'Base Prueba'!A:D,4,),"NO REGISTRA")</f>
        <v>APRENDIZ UNIVERSITARIO</v>
      </c>
      <c r="E2188" s="5" t="str">
        <f>IFERROR(VLOOKUP(A2188,'Base Prueba'!A:E,5,),"NO REGISTRA")</f>
        <v>OFICINA DE PLANEACION Y GESTION DE LA CALIDAD</v>
      </c>
    </row>
    <row r="2189" spans="1:5" ht="15.75" x14ac:dyDescent="0.25">
      <c r="A2189" s="10">
        <v>1000467399</v>
      </c>
      <c r="B2189" s="2">
        <v>46064.751228587964</v>
      </c>
      <c r="C2189" s="3" t="str">
        <f>IFERROR(VLOOKUP(A2189,'Base Prueba'!A:C,3,),"NO REGISTRA")</f>
        <v>BRANDO ESTIVEN DIAZ QUIMBAYA</v>
      </c>
      <c r="D2189" s="4" t="str">
        <f>IFERROR(VLOOKUP(A2189,'Base Prueba'!A:D,4,),"NO REGISTRA")</f>
        <v>APRENDIZ UNIVERSITARIO</v>
      </c>
      <c r="E2189" s="5" t="str">
        <f>IFERROR(VLOOKUP(A2189,'Base Prueba'!A:E,5,),"NO REGISTRA")</f>
        <v>DEPARTAMENTO DE GESTION HUMANA</v>
      </c>
    </row>
    <row r="2190" spans="1:5" ht="15.75" x14ac:dyDescent="0.25">
      <c r="A2190" s="10">
        <v>1193457976</v>
      </c>
      <c r="B2190" s="2">
        <v>46064.753054050925</v>
      </c>
      <c r="C2190" s="3" t="str">
        <f>IFERROR(VLOOKUP(A2190,'Base Prueba'!A:C,3,),"NO REGISTRA")</f>
        <v>SEDENIS RIVAS ASPRILLA</v>
      </c>
      <c r="D2190" s="4" t="str">
        <f>IFERROR(VLOOKUP(A2190,'Base Prueba'!A:D,4,),"NO REGISTRA")</f>
        <v>APRENDIZ UNIVERSITARIO</v>
      </c>
      <c r="E2190" s="5" t="str">
        <f>IFERROR(VLOOKUP(A2190,'Base Prueba'!A:E,5,),"NO REGISTRA")</f>
        <v>DEPARTAMENTO DE GESTION HUMANA</v>
      </c>
    </row>
    <row r="2191" spans="1:5" ht="15.75" x14ac:dyDescent="0.25">
      <c r="A2191" s="10">
        <v>1022996882</v>
      </c>
      <c r="B2191" s="2">
        <v>46064.753297453703</v>
      </c>
      <c r="C2191" s="3" t="str">
        <f>IFERROR(VLOOKUP(A2191,'Base Prueba'!A:C,3,),"NO REGISTRA")</f>
        <v>NANCY BRIGITH ALDANA GUEVARA</v>
      </c>
      <c r="D2191" s="4" t="str">
        <f>IFERROR(VLOOKUP(A2191,'Base Prueba'!A:D,4,),"NO REGISTRA")</f>
        <v>COORDINADORA DE GESTIÓN HUMANA</v>
      </c>
      <c r="E2191" s="5" t="str">
        <f>IFERROR(VLOOKUP(A2191,'Base Prueba'!A:E,5,),"NO REGISTRA")</f>
        <v>DEPARTAMENTO DE GESTION HUMANA</v>
      </c>
    </row>
    <row r="2192" spans="1:5" ht="15.75" x14ac:dyDescent="0.25">
      <c r="A2192" s="10">
        <v>1087121273</v>
      </c>
      <c r="B2192" s="2">
        <v>46064.754925810186</v>
      </c>
      <c r="C2192" s="3" t="str">
        <f>IFERROR(VLOOKUP(A2192,'Base Prueba'!A:C,3,),"NO REGISTRA")</f>
        <v>MAYRA ALEJANDRA CASTILLO ARBOLEDA</v>
      </c>
      <c r="D2192" s="4" t="str">
        <f>IFERROR(VLOOKUP(A2192,'Base Prueba'!A:D,4,),"NO REGISTRA")</f>
        <v>APOYO INTEGRAL DE MERCADEO</v>
      </c>
      <c r="E2192" s="5" t="str">
        <f>IFERROR(VLOOKUP(A2192,'Base Prueba'!A:E,5,),"NO REGISTRA")</f>
        <v>CENTRO DE GESTION DOCUMENTAL</v>
      </c>
    </row>
    <row r="2193" spans="1:5" ht="15.75" x14ac:dyDescent="0.25">
      <c r="A2193" s="10">
        <v>1014308296</v>
      </c>
      <c r="B2193" s="2">
        <v>46064.756057175924</v>
      </c>
      <c r="C2193" s="3" t="str">
        <f>IFERROR(VLOOKUP(A2193,'Base Prueba'!A:C,3,),"NO REGISTRA")</f>
        <v>DARLENE YULIANA MORENO CELEITA</v>
      </c>
      <c r="D2193" s="4" t="str">
        <f>IFERROR(VLOOKUP(A2193,'Base Prueba'!A:D,4,),"NO REGISTRA")</f>
        <v>CAJERO PRINCIPAL</v>
      </c>
      <c r="E2193" s="5" t="str">
        <f>IFERROR(VLOOKUP(A2193,'Base Prueba'!A:E,5,),"NO REGISTRA")</f>
        <v>AREA FINANCIERA Y CONTABLE</v>
      </c>
    </row>
    <row r="2194" spans="1:5" ht="15.75" x14ac:dyDescent="0.25">
      <c r="A2194" s="10">
        <v>1014266838</v>
      </c>
      <c r="B2194" s="2">
        <v>46064.756171527777</v>
      </c>
      <c r="C2194" s="3" t="str">
        <f>IFERROR(VLOOKUP(A2194,'Base Prueba'!A:C,3,),"NO REGISTRA")</f>
        <v>JENNIFER ASTRID ROMERO HURTADO</v>
      </c>
      <c r="D2194" s="4" t="str">
        <f>IFERROR(VLOOKUP(A2194,'Base Prueba'!A:D,4,),"NO REGISTRA")</f>
        <v>LIDER DE RECAUDO</v>
      </c>
      <c r="E2194" s="5" t="str">
        <f>IFERROR(VLOOKUP(A2194,'Base Prueba'!A:E,5,),"NO REGISTRA")</f>
        <v>AREA FINANCIERA Y CONTABLE</v>
      </c>
    </row>
    <row r="2195" spans="1:5" ht="15.75" x14ac:dyDescent="0.25">
      <c r="A2195" s="10">
        <v>80238161</v>
      </c>
      <c r="B2195" s="2">
        <v>46064.757577546297</v>
      </c>
      <c r="C2195" s="3" t="str">
        <f>IFERROR(VLOOKUP(A2195,'Base Prueba'!A:C,3,),"NO REGISTRA")</f>
        <v>GERMAN CARRANZA ESPITIA</v>
      </c>
      <c r="D2195" s="4" t="str">
        <f>IFERROR(VLOOKUP(A2195,'Base Prueba'!A:D,4,),"NO REGISTRA")</f>
        <v>TESORERO</v>
      </c>
      <c r="E2195" s="5" t="str">
        <f>IFERROR(VLOOKUP(A2195,'Base Prueba'!A:E,5,),"NO REGISTRA")</f>
        <v>AREA FINANCIERA Y CONTABLE</v>
      </c>
    </row>
    <row r="2196" spans="1:5" ht="15.75" x14ac:dyDescent="0.25">
      <c r="A2196" s="10">
        <v>1026599257</v>
      </c>
      <c r="B2196" s="2">
        <v>46064.761426620367</v>
      </c>
      <c r="C2196" s="3" t="str">
        <f>IFERROR(VLOOKUP(A2196,'Base Prueba'!A:C,3,),"NO REGISTRA")</f>
        <v>YESENIA PAOLA PINEDA HURTADO</v>
      </c>
      <c r="D2196" s="4" t="str">
        <f>IFERROR(VLOOKUP(A2196,'Base Prueba'!A:D,4,),"NO REGISTRA")</f>
        <v>LIDER DE COMPRAS</v>
      </c>
      <c r="E2196" s="5" t="str">
        <f>IFERROR(VLOOKUP(A2196,'Base Prueba'!A:E,5,),"NO REGISTRA")</f>
        <v>AREA ADMINISTRATIVA</v>
      </c>
    </row>
    <row r="2197" spans="1:5" ht="15.75" x14ac:dyDescent="0.25">
      <c r="A2197" s="10">
        <v>1000604979</v>
      </c>
      <c r="B2197" s="2">
        <v>46064.766109027776</v>
      </c>
      <c r="C2197" s="3" t="str">
        <f>IFERROR(VLOOKUP(A2197,'Base Prueba'!A:C,3,),"NO REGISTRA")</f>
        <v>JULIETH TATIANA PARDO PINTO</v>
      </c>
      <c r="D2197" s="4" t="str">
        <f>IFERROR(VLOOKUP(A2197,'Base Prueba'!A:D,4,),"NO REGISTRA")</f>
        <v>AUXILIAR JURIDICO</v>
      </c>
      <c r="E2197" s="5" t="str">
        <f>IFERROR(VLOOKUP(A2197,'Base Prueba'!A:E,5,),"NO REGISTRA")</f>
        <v>SECRETARIA GENERAL</v>
      </c>
    </row>
    <row r="2198" spans="1:5" ht="15.75" x14ac:dyDescent="0.25">
      <c r="A2198" s="10">
        <v>1012357415</v>
      </c>
      <c r="B2198" s="2">
        <v>46064.768270601853</v>
      </c>
      <c r="C2198" s="3" t="str">
        <f>IFERROR(VLOOKUP(A2198,'Base Prueba'!A:C,3,),"NO REGISTRA")</f>
        <v>CINDY LORENA BOHORQUEZ LEYVA</v>
      </c>
      <c r="D2198" s="4" t="str">
        <f>IFERROR(VLOOKUP(A2198,'Base Prueba'!A:D,4,),"NO REGISTRA")</f>
        <v>ANALISTA DE TESORERIA</v>
      </c>
      <c r="E2198" s="5" t="str">
        <f>IFERROR(VLOOKUP(A2198,'Base Prueba'!A:E,5,),"NO REGISTRA")</f>
        <v>AREA FINANCIERA Y CONTABLE</v>
      </c>
    </row>
    <row r="2199" spans="1:5" ht="15.75" x14ac:dyDescent="0.25">
      <c r="A2199" s="10">
        <v>1000324729</v>
      </c>
      <c r="B2199" s="2">
        <v>46064.771088425929</v>
      </c>
      <c r="C2199" s="3" t="str">
        <f>IFERROR(VLOOKUP(A2199,'Base Prueba'!A:C,3,),"NO REGISTRA")</f>
        <v>ANYIE VANESSA TINOCO CAMACHO</v>
      </c>
      <c r="D2199" s="4" t="str">
        <f>IFERROR(VLOOKUP(A2199,'Base Prueba'!A:D,4,),"NO REGISTRA")</f>
        <v>LIDER DE REGISTRO Y CONTROL</v>
      </c>
      <c r="E2199" s="5" t="str">
        <f>IFERROR(VLOOKUP(A2199,'Base Prueba'!A:E,5,),"NO REGISTRA")</f>
        <v>REGISTRO Y CONTROL ACADEMICO</v>
      </c>
    </row>
    <row r="2200" spans="1:5" ht="15.75" x14ac:dyDescent="0.25">
      <c r="A2200" s="10">
        <v>1000046533</v>
      </c>
      <c r="B2200" s="2">
        <v>46064.771540624999</v>
      </c>
      <c r="C2200" s="3" t="str">
        <f>IFERROR(VLOOKUP(A2200,'Base Prueba'!A:C,3,),"NO REGISTRA")</f>
        <v>ERIKA JULIETH VALDERRAMA SANCHEZ</v>
      </c>
      <c r="D2200" s="4" t="str">
        <f>IFERROR(VLOOKUP(A2200,'Base Prueba'!A:D,4,),"NO REGISTRA")</f>
        <v>PROMOTOR CALL CENTER</v>
      </c>
      <c r="E2200" s="5" t="str">
        <f>IFERROR(VLOOKUP(A2200,'Base Prueba'!A:E,5,),"NO REGISTRA")</f>
        <v>OFICINA DE MERCADEO</v>
      </c>
    </row>
    <row r="2201" spans="1:5" ht="15.75" x14ac:dyDescent="0.25">
      <c r="A2201" s="10">
        <v>1012426741</v>
      </c>
      <c r="B2201" s="2">
        <v>46064.771595601851</v>
      </c>
      <c r="C2201" s="3" t="str">
        <f>IFERROR(VLOOKUP(A2201,'Base Prueba'!A:C,3,),"NO REGISTRA")</f>
        <v>CRISTIAN FABIAN ROJAS SANCENO</v>
      </c>
      <c r="D2201" s="4" t="str">
        <f>IFERROR(VLOOKUP(A2201,'Base Prueba'!A:D,4,),"NO REGISTRA")</f>
        <v>AUXILIAR DE REINTEGROS</v>
      </c>
      <c r="E2201" s="5" t="str">
        <f>IFERROR(VLOOKUP(A2201,'Base Prueba'!A:E,5,),"NO REGISTRA")</f>
        <v>DIRECCION DE BIENESTAR INSTITUCIONAL</v>
      </c>
    </row>
    <row r="2202" spans="1:5" ht="15.75" x14ac:dyDescent="0.25">
      <c r="A2202" s="10">
        <v>1032469638</v>
      </c>
      <c r="B2202" s="2">
        <v>46064.773310532408</v>
      </c>
      <c r="C2202" s="3" t="str">
        <f>IFERROR(VLOOKUP(A2202,'Base Prueba'!A:C,3,),"NO REGISTRA")</f>
        <v>MAICOL JARBEY GUALTEROS CASTAÑEDA</v>
      </c>
      <c r="D2202" s="4" t="str">
        <f>IFERROR(VLOOKUP(A2202,'Base Prueba'!A:D,4,),"NO REGISTRA")</f>
        <v>COORDINADOR DEL SISTEMA INTERNO DE ASEGURAMIENTO DE LA CALIDAD - SIAC</v>
      </c>
      <c r="E2202" s="5" t="str">
        <f>IFERROR(VLOOKUP(A2202,'Base Prueba'!A:E,5,),"NO REGISTRA")</f>
        <v>OFICINA DE PLANEACION Y GESTION DE LA CALIDAD</v>
      </c>
    </row>
    <row r="2203" spans="1:5" ht="15.75" x14ac:dyDescent="0.25">
      <c r="A2203" s="10">
        <v>52474489</v>
      </c>
      <c r="B2203" s="2">
        <v>46064.773367245369</v>
      </c>
      <c r="C2203" s="3" t="str">
        <f>IFERROR(VLOOKUP(A2203,'Base Prueba'!A:C,3,),"NO REGISTRA")</f>
        <v>ADRIANA JIMENA SOTO BOCANEGRA</v>
      </c>
      <c r="D2203" s="4" t="str">
        <f>IFERROR(VLOOKUP(A2203,'Base Prueba'!A:D,4,),"NO REGISTRA")</f>
        <v>COORDINADOR DE LA OFICINA DE REGISTRO Y CONTROL</v>
      </c>
      <c r="E2203" s="5" t="str">
        <f>IFERROR(VLOOKUP(A2203,'Base Prueba'!A:E,5,),"NO REGISTRA")</f>
        <v>REGISTRO Y CONTROL ACADEMICO</v>
      </c>
    </row>
    <row r="2204" spans="1:5" ht="15.75" x14ac:dyDescent="0.25">
      <c r="A2204" s="10">
        <v>52764929</v>
      </c>
      <c r="B2204" s="2">
        <v>46064.773612500001</v>
      </c>
      <c r="C2204" s="3" t="str">
        <f>IFERROR(VLOOKUP(A2204,'Base Prueba'!A:C,3,),"NO REGISTRA")</f>
        <v>GUERLY YOHANA DURAN RIVERA</v>
      </c>
      <c r="D2204" s="4" t="str">
        <f>IFERROR(VLOOKUP(A2204,'Base Prueba'!A:D,4,),"NO REGISTRA")</f>
        <v>LIDER DE VINCULACION COLEGIOS</v>
      </c>
      <c r="E2204" s="5" t="str">
        <f>IFERROR(VLOOKUP(A2204,'Base Prueba'!A:E,5,),"NO REGISTRA")</f>
        <v>OFICINA DE MERCADEO</v>
      </c>
    </row>
    <row r="2205" spans="1:5" ht="15.75" x14ac:dyDescent="0.25">
      <c r="A2205" s="10">
        <v>52175674</v>
      </c>
      <c r="B2205" s="2">
        <v>46064.775667476853</v>
      </c>
      <c r="C2205" s="3" t="str">
        <f>IFERROR(VLOOKUP(A2205,'Base Prueba'!A:C,3,),"NO REGISTRA")</f>
        <v>LUZ YANETH GOMEZ AREVALO</v>
      </c>
      <c r="D2205" s="4" t="str">
        <f>IFERROR(VLOOKUP(A2205,'Base Prueba'!A:D,4,),"NO REGISTRA")</f>
        <v>COORDINADORA DE ADMISIONES</v>
      </c>
      <c r="E2205" s="5" t="str">
        <f>IFERROR(VLOOKUP(A2205,'Base Prueba'!A:E,5,),"NO REGISTRA")</f>
        <v>OFICINA DE MERCADEO</v>
      </c>
    </row>
    <row r="2206" spans="1:5" ht="15.75" x14ac:dyDescent="0.25">
      <c r="A2206" s="10">
        <v>1193265768</v>
      </c>
      <c r="B2206" s="2">
        <v>46064.77746759259</v>
      </c>
      <c r="C2206" s="3" t="str">
        <f>IFERROR(VLOOKUP(A2206,'Base Prueba'!A:C,3,),"NO REGISTRA")</f>
        <v>SANTIAGO OSORIO CAMACHO</v>
      </c>
      <c r="D2206" s="4" t="str">
        <f>IFERROR(VLOOKUP(A2206,'Base Prueba'!A:D,4,),"NO REGISTRA")</f>
        <v>ANALISTA DE PAUTA</v>
      </c>
      <c r="E2206" s="5" t="str">
        <f>IFERROR(VLOOKUP(A2206,'Base Prueba'!A:E,5,),"NO REGISTRA")</f>
        <v>OFICINA DE MERCADEO</v>
      </c>
    </row>
    <row r="2207" spans="1:5" ht="15.75" x14ac:dyDescent="0.25">
      <c r="A2207" s="10">
        <v>1014196857</v>
      </c>
      <c r="B2207" s="2">
        <v>46064.777635069448</v>
      </c>
      <c r="C2207" s="3" t="str">
        <f>IFERROR(VLOOKUP(A2207,'Base Prueba'!A:C,3,),"NO REGISTRA")</f>
        <v>CARLOS ANDRES JIMENEZ PARDO</v>
      </c>
      <c r="D2207" s="4" t="str">
        <f>IFERROR(VLOOKUP(A2207,'Base Prueba'!A:D,4,),"NO REGISTRA")</f>
        <v>COORDINADOR DE MARKETING DIGITAL</v>
      </c>
      <c r="E2207" s="5" t="str">
        <f>IFERROR(VLOOKUP(A2207,'Base Prueba'!A:E,5,),"NO REGISTRA")</f>
        <v>OFICINA DE MERCADEO</v>
      </c>
    </row>
    <row r="2208" spans="1:5" ht="15.75" x14ac:dyDescent="0.25">
      <c r="A2208" s="10">
        <v>1033709056</v>
      </c>
      <c r="B2208" s="2">
        <v>46064.778194791666</v>
      </c>
      <c r="C2208" s="3" t="str">
        <f>IFERROR(VLOOKUP(A2208,'Base Prueba'!A:C,3,),"NO REGISTRA")</f>
        <v>YEIMY ALEXANDRA RODRIGUEZ PALACIO</v>
      </c>
      <c r="D2208" s="4" t="str">
        <f>IFERROR(VLOOKUP(A2208,'Base Prueba'!A:D,4,),"NO REGISTRA")</f>
        <v>PROMOTOR CALL CENTER</v>
      </c>
      <c r="E2208" s="5" t="str">
        <f>IFERROR(VLOOKUP(A2208,'Base Prueba'!A:E,5,),"NO REGISTRA")</f>
        <v>OFICINA DE MERCADEO</v>
      </c>
    </row>
    <row r="2209" spans="1:5" ht="15.75" x14ac:dyDescent="0.25">
      <c r="A2209" s="10">
        <v>1003690253</v>
      </c>
      <c r="B2209" s="2">
        <v>46064.779626157404</v>
      </c>
      <c r="C2209" s="3" t="str">
        <f>IFERROR(VLOOKUP(A2209,'Base Prueba'!A:C,3,),"NO REGISTRA")</f>
        <v>MELISSA GONZALEZ PEDRAZA</v>
      </c>
      <c r="D2209" s="4" t="str">
        <f>IFERROR(VLOOKUP(A2209,'Base Prueba'!A:D,4,),"NO REGISTRA")</f>
        <v>LIDER DE JOVENES A LA E</v>
      </c>
      <c r="E2209" s="5" t="str">
        <f>IFERROR(VLOOKUP(A2209,'Base Prueba'!A:E,5,),"NO REGISTRA")</f>
        <v>DIRECCION DE BIENESTAR INSTITUCIONAL</v>
      </c>
    </row>
    <row r="2210" spans="1:5" ht="15.75" x14ac:dyDescent="0.25">
      <c r="A2210" s="10">
        <v>1019105003</v>
      </c>
      <c r="B2210" s="2">
        <v>46064.780060185185</v>
      </c>
      <c r="C2210" s="3" t="str">
        <f>IFERROR(VLOOKUP(A2210,'Base Prueba'!A:C,3,),"NO REGISTRA")</f>
        <v>DAISY JULIETH GASPAR MORENO</v>
      </c>
      <c r="D2210" s="4" t="str">
        <f>IFERROR(VLOOKUP(A2210,'Base Prueba'!A:D,4,),"NO REGISTRA")</f>
        <v>PROMOTOR CALL CENTER</v>
      </c>
      <c r="E2210" s="5" t="str">
        <f>IFERROR(VLOOKUP(A2210,'Base Prueba'!A:E,5,),"NO REGISTRA")</f>
        <v>OFICINA DE MERCADEO</v>
      </c>
    </row>
    <row r="2211" spans="1:5" ht="15.75" x14ac:dyDescent="0.25">
      <c r="A2211" s="10">
        <v>1032407386</v>
      </c>
      <c r="B2211" s="2">
        <v>46064.782330555558</v>
      </c>
      <c r="C2211" s="3" t="str">
        <f>IFERROR(VLOOKUP(A2211,'Base Prueba'!A:C,3,),"NO REGISTRA")</f>
        <v>GINA PAOLA BAEZ GALVIS</v>
      </c>
      <c r="D2211" s="4" t="str">
        <f>IFERROR(VLOOKUP(A2211,'Base Prueba'!A:D,4,),"NO REGISTRA")</f>
        <v>PROMOTOR CALL CENTER</v>
      </c>
      <c r="E2211" s="5" t="str">
        <f>IFERROR(VLOOKUP(A2211,'Base Prueba'!A:E,5,),"NO REGISTRA")</f>
        <v>OFICINA DE MERCADEO</v>
      </c>
    </row>
    <row r="2212" spans="1:5" ht="15.75" x14ac:dyDescent="0.25">
      <c r="A2212" s="10">
        <v>28798349</v>
      </c>
      <c r="B2212" s="2">
        <v>46064.782356944444</v>
      </c>
      <c r="C2212" s="3" t="str">
        <f>IFERROR(VLOOKUP(A2212,'Base Prueba'!A:C,3,),"NO REGISTRA")</f>
        <v>MARTHA ISABEL TOVAR WILLIAMS</v>
      </c>
      <c r="D2212" s="4" t="str">
        <f>IFERROR(VLOOKUP(A2212,'Base Prueba'!A:D,4,),"NO REGISTRA")</f>
        <v>PROMOTOR CALL CENTER</v>
      </c>
      <c r="E2212" s="5" t="str">
        <f>IFERROR(VLOOKUP(A2212,'Base Prueba'!A:E,5,),"NO REGISTRA")</f>
        <v>OFICINA DE MERCADEO</v>
      </c>
    </row>
    <row r="2213" spans="1:5" ht="15.75" x14ac:dyDescent="0.25">
      <c r="A2213" s="10">
        <v>53089882</v>
      </c>
      <c r="B2213" s="2">
        <v>46064.784264236114</v>
      </c>
      <c r="C2213" s="3" t="str">
        <f>IFERROR(VLOOKUP(A2213,'Base Prueba'!A:C,3,),"NO REGISTRA")</f>
        <v>MARIA JOHANA ESCAMILLA MARTINEZ</v>
      </c>
      <c r="D2213" s="4" t="str">
        <f>IFERROR(VLOOKUP(A2213,'Base Prueba'!A:D,4,),"NO REGISTRA")</f>
        <v>PROMOTOR DE INFORMACIÓN</v>
      </c>
      <c r="E2213" s="5" t="str">
        <f>IFERROR(VLOOKUP(A2213,'Base Prueba'!A:E,5,),"NO REGISTRA")</f>
        <v>OFICINA DE MERCADEO</v>
      </c>
    </row>
    <row r="2214" spans="1:5" ht="15.75" x14ac:dyDescent="0.25">
      <c r="A2214" s="10">
        <v>1018413529</v>
      </c>
      <c r="B2214" s="2">
        <v>46064.784323611108</v>
      </c>
      <c r="C2214" s="3" t="str">
        <f>IFERROR(VLOOKUP(A2214,'Base Prueba'!A:C,3,),"NO REGISTRA")</f>
        <v>FRANCY STELLA CHARRY MORENO</v>
      </c>
      <c r="D2214" s="4" t="str">
        <f>IFERROR(VLOOKUP(A2214,'Base Prueba'!A:D,4,),"NO REGISTRA")</f>
        <v>PROMOTOR COMERCIAL DEL CEA</v>
      </c>
      <c r="E2214" s="5" t="str">
        <f>IFERROR(VLOOKUP(A2214,'Base Prueba'!A:E,5,),"NO REGISTRA")</f>
        <v>OFICINA DE MERCADEO</v>
      </c>
    </row>
    <row r="2215" spans="1:5" ht="15.75" x14ac:dyDescent="0.25">
      <c r="A2215" s="10">
        <v>80234243</v>
      </c>
      <c r="B2215" s="2">
        <v>46064.790671759256</v>
      </c>
      <c r="C2215" s="3" t="str">
        <f>IFERROR(VLOOKUP(A2215,'Base Prueba'!A:C,3,),"NO REGISTRA")</f>
        <v>ARGENIS MARTINEZ MARTINEZ</v>
      </c>
      <c r="D2215" s="4" t="str">
        <f>IFERROR(VLOOKUP(A2215,'Base Prueba'!A:D,4,),"NO REGISTRA")</f>
        <v>LIDER CALL CENTER</v>
      </c>
      <c r="E2215" s="5" t="str">
        <f>IFERROR(VLOOKUP(A2215,'Base Prueba'!A:E,5,),"NO REGISTRA")</f>
        <v>OFICINA DE MERCADEO</v>
      </c>
    </row>
    <row r="2216" spans="1:5" ht="15.75" x14ac:dyDescent="0.25">
      <c r="A2216" s="10">
        <v>1013616244</v>
      </c>
      <c r="B2216" s="2">
        <v>46064.791189930555</v>
      </c>
      <c r="C2216" s="3" t="str">
        <f>IFERROR(VLOOKUP(A2216,'Base Prueba'!A:C,3,),"NO REGISTRA")</f>
        <v>DIANA CAROLINA MARIN BETANCOURT</v>
      </c>
      <c r="D2216" s="4" t="str">
        <f>IFERROR(VLOOKUP(A2216,'Base Prueba'!A:D,4,),"NO REGISTRA")</f>
        <v>AUXILIAR ADMINISTRATIVO</v>
      </c>
      <c r="E2216" s="5" t="str">
        <f>IFERROR(VLOOKUP(A2216,'Base Prueba'!A:E,5,),"NO REGISTRA")</f>
        <v>REGISTRO Y CONTROL ACADEMICO</v>
      </c>
    </row>
    <row r="2217" spans="1:5" ht="15.75" x14ac:dyDescent="0.25">
      <c r="A2217" s="10">
        <v>52443092</v>
      </c>
      <c r="B2217" s="2">
        <v>46064.794347106479</v>
      </c>
      <c r="C2217" s="3" t="str">
        <f>IFERROR(VLOOKUP(A2217,'Base Prueba'!A:C,3,),"NO REGISTRA")</f>
        <v>LUZ MYRIAM SAAVEDRA CONTRERAS</v>
      </c>
      <c r="D2217" s="4" t="str">
        <f>IFERROR(VLOOKUP(A2217,'Base Prueba'!A:D,4,),"NO REGISTRA")</f>
        <v>AUXILIAR DE SERVICIOS</v>
      </c>
      <c r="E2217" s="5" t="str">
        <f>IFERROR(VLOOKUP(A2217,'Base Prueba'!A:E,5,),"NO REGISTRA")</f>
        <v>LOGISTICA Y SERVICIOS GENERALES</v>
      </c>
    </row>
    <row r="2218" spans="1:5" ht="15.75" x14ac:dyDescent="0.25">
      <c r="A2218" s="10">
        <v>1016090131</v>
      </c>
      <c r="B2218" s="2">
        <v>46064.798375115737</v>
      </c>
      <c r="C2218" s="3" t="str">
        <f>IFERROR(VLOOKUP(A2218,'Base Prueba'!A:C,3,),"NO REGISTRA")</f>
        <v>NICOLAS RODRIGUEZ PACHECO</v>
      </c>
      <c r="D2218" s="4" t="str">
        <f>IFERROR(VLOOKUP(A2218,'Base Prueba'!A:D,4,),"NO REGISTRA")</f>
        <v>COORDINADOR DE COMUNICACIONES</v>
      </c>
      <c r="E2218" s="5" t="str">
        <f>IFERROR(VLOOKUP(A2218,'Base Prueba'!A:E,5,),"NO REGISTRA")</f>
        <v>OFICINA DE MERCADEO</v>
      </c>
    </row>
    <row r="2219" spans="1:5" ht="15.75" x14ac:dyDescent="0.25">
      <c r="A2219" s="10">
        <v>1000593372</v>
      </c>
      <c r="B2219" s="2">
        <v>46064.800900694441</v>
      </c>
      <c r="C2219" s="3" t="str">
        <f>IFERROR(VLOOKUP(A2219,'Base Prueba'!A:C,3,),"NO REGISTRA")</f>
        <v>LAURA SOFIA CHAPARRO LOPEZ</v>
      </c>
      <c r="D2219" s="4" t="str">
        <f>IFERROR(VLOOKUP(A2219,'Base Prueba'!A:D,4,),"NO REGISTRA")</f>
        <v>AUXILIAR JURIDICO</v>
      </c>
      <c r="E2219" s="5" t="str">
        <f>IFERROR(VLOOKUP(A2219,'Base Prueba'!A:E,5,),"NO REGISTRA")</f>
        <v>SECRETARIA GENERAL</v>
      </c>
    </row>
    <row r="2220" spans="1:5" ht="15.75" x14ac:dyDescent="0.25">
      <c r="A2220" s="10">
        <v>1014977624</v>
      </c>
      <c r="B2220" s="2">
        <v>46064.824215277775</v>
      </c>
      <c r="C2220" s="3" t="str">
        <f>IFERROR(VLOOKUP(A2220,'Base Prueba'!A:C,3,),"NO REGISTRA")</f>
        <v>NICCOLE VALENTINA HERNANDEZ MALAVER</v>
      </c>
      <c r="D2220" s="4" t="str">
        <f>IFERROR(VLOOKUP(A2220,'Base Prueba'!A:D,4,),"NO REGISTRA")</f>
        <v>APRENDIZ UNIVERSITARIO</v>
      </c>
      <c r="E2220" s="5" t="str">
        <f>IFERROR(VLOOKUP(A2220,'Base Prueba'!A:E,5,),"NO REGISTRA")</f>
        <v>AREA FINANCIERA Y CONTABLE</v>
      </c>
    </row>
    <row r="2221" spans="1:5" ht="15.75" x14ac:dyDescent="0.25">
      <c r="A2221" s="10">
        <v>1000257136</v>
      </c>
      <c r="B2221" s="2">
        <v>46064.824327893519</v>
      </c>
      <c r="C2221" s="3" t="str">
        <f>IFERROR(VLOOKUP(A2221,'Base Prueba'!A:C,3,),"NO REGISTRA")</f>
        <v>FRANCI VALENTINA CANO PUENTES</v>
      </c>
      <c r="D2221" s="4" t="str">
        <f>IFERROR(VLOOKUP(A2221,'Base Prueba'!A:D,4,),"NO REGISTRA")</f>
        <v>AUXILIAR CONTABLE</v>
      </c>
      <c r="E2221" s="5" t="str">
        <f>IFERROR(VLOOKUP(A2221,'Base Prueba'!A:E,5,),"NO REGISTRA")</f>
        <v>AREA FINANCIERA Y CONTABLE</v>
      </c>
    </row>
    <row r="2222" spans="1:5" ht="15.75" x14ac:dyDescent="0.25">
      <c r="A2222" s="10">
        <v>1000457706</v>
      </c>
      <c r="B2222" s="2">
        <v>46064.824516782406</v>
      </c>
      <c r="C2222" s="3" t="str">
        <f>IFERROR(VLOOKUP(A2222,'Base Prueba'!A:C,3,),"NO REGISTRA")</f>
        <v>CRISTIAN DANILO ARROYO SANABRIA</v>
      </c>
      <c r="D2222" s="4" t="str">
        <f>IFERROR(VLOOKUP(A2222,'Base Prueba'!A:D,4,),"NO REGISTRA")</f>
        <v>AUXILIAR CONTABLE</v>
      </c>
      <c r="E2222" s="5" t="str">
        <f>IFERROR(VLOOKUP(A2222,'Base Prueba'!A:E,5,),"NO REGISTRA")</f>
        <v>AREA FINANCIERA Y CONTABLE</v>
      </c>
    </row>
    <row r="2223" spans="1:5" ht="15.75" x14ac:dyDescent="0.25">
      <c r="A2223" s="10">
        <v>53932358</v>
      </c>
      <c r="B2223" s="2">
        <v>46064.882531828705</v>
      </c>
      <c r="C2223" s="3" t="str">
        <f>IFERROR(VLOOKUP(A2223,'Base Prueba'!A:C,3,),"NO REGISTRA")</f>
        <v>DIANA MADELEYNE GAONA RODRIGUEZ</v>
      </c>
      <c r="D2223" s="4" t="str">
        <f>IFERROR(VLOOKUP(A2223,'Base Prueba'!A:D,4,),"NO REGISTRA")</f>
        <v>CONTADOR</v>
      </c>
      <c r="E2223" s="5" t="str">
        <f>IFERROR(VLOOKUP(A2223,'Base Prueba'!A:E,5,),"NO REGISTRA")</f>
        <v>AREA FINANCIERA Y CONTABLE</v>
      </c>
    </row>
    <row r="2224" spans="1:5" ht="15.75" x14ac:dyDescent="0.25">
      <c r="A2224" s="10">
        <v>1087121273</v>
      </c>
      <c r="B2224" s="2">
        <v>46065.306787847221</v>
      </c>
      <c r="C2224" s="3" t="str">
        <f>IFERROR(VLOOKUP(A2224,'Base Prueba'!A:C,3,),"NO REGISTRA")</f>
        <v>MAYRA ALEJANDRA CASTILLO ARBOLEDA</v>
      </c>
      <c r="D2224" s="4" t="str">
        <f>IFERROR(VLOOKUP(A2224,'Base Prueba'!A:D,4,),"NO REGISTRA")</f>
        <v>APOYO INTEGRAL DE MERCADEO</v>
      </c>
      <c r="E2224" s="5" t="str">
        <f>IFERROR(VLOOKUP(A2224,'Base Prueba'!A:E,5,),"NO REGISTRA")</f>
        <v>CENTRO DE GESTION DOCUMENTAL</v>
      </c>
    </row>
    <row r="2225" spans="1:5" ht="15.75" x14ac:dyDescent="0.25">
      <c r="A2225" s="10">
        <v>1013616244</v>
      </c>
      <c r="B2225" s="2">
        <v>46065.315113194447</v>
      </c>
      <c r="C2225" s="3" t="str">
        <f>IFERROR(VLOOKUP(A2225,'Base Prueba'!A:C,3,),"NO REGISTRA")</f>
        <v>DIANA CAROLINA MARIN BETANCOURT</v>
      </c>
      <c r="D2225" s="4" t="str">
        <f>IFERROR(VLOOKUP(A2225,'Base Prueba'!A:D,4,),"NO REGISTRA")</f>
        <v>AUXILIAR ADMINISTRATIVO</v>
      </c>
      <c r="E2225" s="5" t="str">
        <f>IFERROR(VLOOKUP(A2225,'Base Prueba'!A:E,5,),"NO REGISTRA")</f>
        <v>REGISTRO Y CONTROL ACADEMICO</v>
      </c>
    </row>
    <row r="2226" spans="1:5" ht="15.75" x14ac:dyDescent="0.25">
      <c r="A2226" s="10">
        <v>1000324729</v>
      </c>
      <c r="B2226" s="2">
        <v>46065.317286574071</v>
      </c>
      <c r="C2226" s="3" t="str">
        <f>IFERROR(VLOOKUP(A2226,'Base Prueba'!A:C,3,),"NO REGISTRA")</f>
        <v>ANYIE VANESSA TINOCO CAMACHO</v>
      </c>
      <c r="D2226" s="4" t="str">
        <f>IFERROR(VLOOKUP(A2226,'Base Prueba'!A:D,4,),"NO REGISTRA")</f>
        <v>LIDER DE REGISTRO Y CONTROL</v>
      </c>
      <c r="E2226" s="5" t="str">
        <f>IFERROR(VLOOKUP(A2226,'Base Prueba'!A:E,5,),"NO REGISTRA")</f>
        <v>REGISTRO Y CONTROL ACADEMICO</v>
      </c>
    </row>
    <row r="2227" spans="1:5" ht="15.75" x14ac:dyDescent="0.25">
      <c r="A2227" s="10">
        <v>1031802160</v>
      </c>
      <c r="B2227" s="2">
        <v>46065.327935416666</v>
      </c>
      <c r="C2227" s="3" t="str">
        <f>IFERROR(VLOOKUP(A2227,'Base Prueba'!A:C,3,),"NO REGISTRA")</f>
        <v>LUISA MARIA MAHECHA SOTOMAYOR</v>
      </c>
      <c r="D2227" s="4" t="str">
        <f>IFERROR(VLOOKUP(A2227,'Base Prueba'!A:D,4,),"NO REGISTRA")</f>
        <v>APRENDIZ UNIVERSITARIO</v>
      </c>
      <c r="E2227" s="5" t="str">
        <f>IFERROR(VLOOKUP(A2227,'Base Prueba'!A:E,5,),"NO REGISTRA")</f>
        <v>OFICINA DE MERCADEO</v>
      </c>
    </row>
    <row r="2228" spans="1:5" ht="15.75" x14ac:dyDescent="0.25">
      <c r="A2228" s="10">
        <v>1012357415</v>
      </c>
      <c r="B2228" s="2">
        <v>46065.330001967595</v>
      </c>
      <c r="C2228" s="3" t="str">
        <f>IFERROR(VLOOKUP(A2228,'Base Prueba'!A:C,3,),"NO REGISTRA")</f>
        <v>CINDY LORENA BOHORQUEZ LEYVA</v>
      </c>
      <c r="D2228" s="4" t="str">
        <f>IFERROR(VLOOKUP(A2228,'Base Prueba'!A:D,4,),"NO REGISTRA")</f>
        <v>ANALISTA DE TESORERIA</v>
      </c>
      <c r="E2228" s="5" t="str">
        <f>IFERROR(VLOOKUP(A2228,'Base Prueba'!A:E,5,),"NO REGISTRA")</f>
        <v>AREA FINANCIERA Y CONTABLE</v>
      </c>
    </row>
    <row r="2229" spans="1:5" ht="15.75" x14ac:dyDescent="0.25">
      <c r="A2229" s="10">
        <v>1000354041</v>
      </c>
      <c r="B2229" s="2">
        <v>46065.332362384259</v>
      </c>
      <c r="C2229" s="3" t="str">
        <f>IFERROR(VLOOKUP(A2229,'Base Prueba'!A:C,3,),"NO REGISTRA")</f>
        <v>ANGIE NATALIA BOHORQUEZ SANCHEZ</v>
      </c>
      <c r="D2229" s="4" t="str">
        <f>IFERROR(VLOOKUP(A2229,'Base Prueba'!A:D,4,),"NO REGISTRA")</f>
        <v>APRENDIZ UNIVERSITARIO</v>
      </c>
      <c r="E2229" s="5" t="str">
        <f>IFERROR(VLOOKUP(A2229,'Base Prueba'!A:E,5,),"NO REGISTRA")</f>
        <v>OFICINA DE PLANEACION Y GESTION DE LA CALIDAD</v>
      </c>
    </row>
    <row r="2230" spans="1:5" ht="15.75" x14ac:dyDescent="0.25">
      <c r="A2230" s="10">
        <v>80238161</v>
      </c>
      <c r="B2230" s="2">
        <v>46065.334499074073</v>
      </c>
      <c r="C2230" s="3" t="str">
        <f>IFERROR(VLOOKUP(A2230,'Base Prueba'!A:C,3,),"NO REGISTRA")</f>
        <v>GERMAN CARRANZA ESPITIA</v>
      </c>
      <c r="D2230" s="4" t="str">
        <f>IFERROR(VLOOKUP(A2230,'Base Prueba'!A:D,4,),"NO REGISTRA")</f>
        <v>TESORERO</v>
      </c>
      <c r="E2230" s="5" t="str">
        <f>IFERROR(VLOOKUP(A2230,'Base Prueba'!A:E,5,),"NO REGISTRA")</f>
        <v>AREA FINANCIERA Y CONTABLE</v>
      </c>
    </row>
    <row r="2231" spans="1:5" ht="15.75" x14ac:dyDescent="0.25">
      <c r="A2231" s="10">
        <v>80725196</v>
      </c>
      <c r="B2231" s="2">
        <v>46065.334543865742</v>
      </c>
      <c r="C2231" s="3" t="str">
        <f>IFERROR(VLOOKUP(A2231,'Base Prueba'!A:C,3,),"NO REGISTRA")</f>
        <v>YEISON YOSET TOVAR BARBOSA</v>
      </c>
      <c r="D2231" s="4" t="str">
        <f>IFERROR(VLOOKUP(A2231,'Base Prueba'!A:D,4,),"NO REGISTRA")</f>
        <v>LIDER GESTION DOCUMENTAL</v>
      </c>
      <c r="E2231" s="5" t="str">
        <f>IFERROR(VLOOKUP(A2231,'Base Prueba'!A:E,5,),"NO REGISTRA")</f>
        <v>CENTRO DE GESTION DOCUMENTAL</v>
      </c>
    </row>
    <row r="2232" spans="1:5" ht="15.75" x14ac:dyDescent="0.25">
      <c r="A2232" s="10">
        <v>1014977624</v>
      </c>
      <c r="B2232" s="2">
        <v>46065.336622337963</v>
      </c>
      <c r="C2232" s="3" t="str">
        <f>IFERROR(VLOOKUP(A2232,'Base Prueba'!A:C,3,),"NO REGISTRA")</f>
        <v>NICCOLE VALENTINA HERNANDEZ MALAVER</v>
      </c>
      <c r="D2232" s="4" t="str">
        <f>IFERROR(VLOOKUP(A2232,'Base Prueba'!A:D,4,),"NO REGISTRA")</f>
        <v>APRENDIZ UNIVERSITARIO</v>
      </c>
      <c r="E2232" s="5" t="str">
        <f>IFERROR(VLOOKUP(A2232,'Base Prueba'!A:E,5,),"NO REGISTRA")</f>
        <v>AREA FINANCIERA Y CONTABLE</v>
      </c>
    </row>
    <row r="2233" spans="1:5" ht="15.75" x14ac:dyDescent="0.25">
      <c r="A2233" s="10">
        <v>1000257136</v>
      </c>
      <c r="B2233" s="2">
        <v>46065.338540972225</v>
      </c>
      <c r="C2233" s="3" t="str">
        <f>IFERROR(VLOOKUP(A2233,'Base Prueba'!A:C,3,),"NO REGISTRA")</f>
        <v>FRANCI VALENTINA CANO PUENTES</v>
      </c>
      <c r="D2233" s="4" t="str">
        <f>IFERROR(VLOOKUP(A2233,'Base Prueba'!A:D,4,),"NO REGISTRA")</f>
        <v>AUXILIAR CONTABLE</v>
      </c>
      <c r="E2233" s="5" t="str">
        <f>IFERROR(VLOOKUP(A2233,'Base Prueba'!A:E,5,),"NO REGISTRA")</f>
        <v>AREA FINANCIERA Y CONTABLE</v>
      </c>
    </row>
    <row r="2234" spans="1:5" ht="15.75" x14ac:dyDescent="0.25">
      <c r="A2234" s="10">
        <v>1022996882</v>
      </c>
      <c r="B2234" s="2">
        <v>46065.339354166666</v>
      </c>
      <c r="C2234" s="3" t="str">
        <f>IFERROR(VLOOKUP(A2234,'Base Prueba'!A:C,3,),"NO REGISTRA")</f>
        <v>NANCY BRIGITH ALDANA GUEVARA</v>
      </c>
      <c r="D2234" s="4" t="str">
        <f>IFERROR(VLOOKUP(A2234,'Base Prueba'!A:D,4,),"NO REGISTRA")</f>
        <v>COORDINADORA DE GESTIÓN HUMANA</v>
      </c>
      <c r="E2234" s="5" t="str">
        <f>IFERROR(VLOOKUP(A2234,'Base Prueba'!A:E,5,),"NO REGISTRA")</f>
        <v>DEPARTAMENTO DE GESTION HUMANA</v>
      </c>
    </row>
    <row r="2235" spans="1:5" ht="15.75" x14ac:dyDescent="0.25">
      <c r="A2235" s="10">
        <v>1014308296</v>
      </c>
      <c r="B2235" s="2">
        <v>46065.340689930556</v>
      </c>
      <c r="C2235" s="3" t="str">
        <f>IFERROR(VLOOKUP(A2235,'Base Prueba'!A:C,3,),"NO REGISTRA")</f>
        <v>DARLENE YULIANA MORENO CELEITA</v>
      </c>
      <c r="D2235" s="4" t="str">
        <f>IFERROR(VLOOKUP(A2235,'Base Prueba'!A:D,4,),"NO REGISTRA")</f>
        <v>CAJERO PRINCIPAL</v>
      </c>
      <c r="E2235" s="5" t="str">
        <f>IFERROR(VLOOKUP(A2235,'Base Prueba'!A:E,5,),"NO REGISTRA")</f>
        <v>AREA FINANCIERA Y CONTABLE</v>
      </c>
    </row>
    <row r="2236" spans="1:5" ht="15.75" x14ac:dyDescent="0.25">
      <c r="A2236" s="10">
        <v>1000687931</v>
      </c>
      <c r="B2236" s="2">
        <v>46065.342558449076</v>
      </c>
      <c r="C2236" s="3" t="str">
        <f>IFERROR(VLOOKUP(A2236,'Base Prueba'!A:C,3,),"NO REGISTRA")</f>
        <v>ANDRES FELIPE PUENTES TORRES</v>
      </c>
      <c r="D2236" s="4" t="str">
        <f>IFERROR(VLOOKUP(A2236,'Base Prueba'!A:D,4,),"NO REGISTRA")</f>
        <v>AUXILIAR ADMINISTRATIVO</v>
      </c>
      <c r="E2236" s="5" t="str">
        <f>IFERROR(VLOOKUP(A2236,'Base Prueba'!A:E,5,),"NO REGISTRA")</f>
        <v>REGISTRO Y CONTROL ACADEMICO</v>
      </c>
    </row>
    <row r="2237" spans="1:5" ht="15.75" x14ac:dyDescent="0.25">
      <c r="A2237" s="10">
        <v>1026599257</v>
      </c>
      <c r="B2237" s="2">
        <v>46065.343089699076</v>
      </c>
      <c r="C2237" s="3" t="str">
        <f>IFERROR(VLOOKUP(A2237,'Base Prueba'!A:C,3,),"NO REGISTRA")</f>
        <v>YESENIA PAOLA PINEDA HURTADO</v>
      </c>
      <c r="D2237" s="4" t="str">
        <f>IFERROR(VLOOKUP(A2237,'Base Prueba'!A:D,4,),"NO REGISTRA")</f>
        <v>LIDER DE COMPRAS</v>
      </c>
      <c r="E2237" s="5" t="str">
        <f>IFERROR(VLOOKUP(A2237,'Base Prueba'!A:E,5,),"NO REGISTRA")</f>
        <v>AREA ADMINISTRATIVA</v>
      </c>
    </row>
    <row r="2238" spans="1:5" ht="15.75" x14ac:dyDescent="0.25">
      <c r="A2238" s="10">
        <v>1193457976</v>
      </c>
      <c r="B2238" s="2">
        <v>46065.343479629628</v>
      </c>
      <c r="C2238" s="3" t="str">
        <f>IFERROR(VLOOKUP(A2238,'Base Prueba'!A:C,3,),"NO REGISTRA")</f>
        <v>SEDENIS RIVAS ASPRILLA</v>
      </c>
      <c r="D2238" s="4" t="str">
        <f>IFERROR(VLOOKUP(A2238,'Base Prueba'!A:D,4,),"NO REGISTRA")</f>
        <v>APRENDIZ UNIVERSITARIO</v>
      </c>
      <c r="E2238" s="5" t="str">
        <f>IFERROR(VLOOKUP(A2238,'Base Prueba'!A:E,5,),"NO REGISTRA")</f>
        <v>DEPARTAMENTO DE GESTION HUMANA</v>
      </c>
    </row>
    <row r="2239" spans="1:5" ht="15.75" x14ac:dyDescent="0.25">
      <c r="A2239" s="10">
        <v>1023883232</v>
      </c>
      <c r="B2239" s="2">
        <v>46065.343752199071</v>
      </c>
      <c r="C2239" s="3" t="str">
        <f>IFERROR(VLOOKUP(A2239,'Base Prueba'!A:C,3,),"NO REGISTRA")</f>
        <v>MONICA ANDREA ACERO URBANO</v>
      </c>
      <c r="D2239" s="4" t="str">
        <f>IFERROR(VLOOKUP(A2239,'Base Prueba'!A:D,4,),"NO REGISTRA")</f>
        <v>APOYO INTEGRAL A GESTION HUMANA</v>
      </c>
      <c r="E2239" s="5" t="str">
        <f>IFERROR(VLOOKUP(A2239,'Base Prueba'!A:E,5,),"NO REGISTRA")</f>
        <v>DEPARTAMENTO DE GESTION HUMANA</v>
      </c>
    </row>
    <row r="2240" spans="1:5" ht="15.75" x14ac:dyDescent="0.25">
      <c r="A2240" s="10">
        <v>1049644802</v>
      </c>
      <c r="B2240" s="2">
        <v>46065.345990624999</v>
      </c>
      <c r="C2240" s="3" t="str">
        <f>IFERROR(VLOOKUP(A2240,'Base Prueba'!A:C,3,),"NO REGISTRA")</f>
        <v>DANIELA ALEXANDRA CIPAMOCHA BOSIGA</v>
      </c>
      <c r="D2240" s="4" t="str">
        <f>IFERROR(VLOOKUP(A2240,'Base Prueba'!A:D,4,),"NO REGISTRA")</f>
        <v>LIDER DE DATOS Y SERVICIOS</v>
      </c>
      <c r="E2240" s="5" t="str">
        <f>IFERROR(VLOOKUP(A2240,'Base Prueba'!A:E,5,),"NO REGISTRA")</f>
        <v>OFICINA DE PLANEACION Y GESTION DE LA CALIDAD</v>
      </c>
    </row>
    <row r="2241" spans="1:5" ht="15.75" x14ac:dyDescent="0.25">
      <c r="A2241" s="10">
        <v>1000457706</v>
      </c>
      <c r="B2241" s="2">
        <v>46065.351856018518</v>
      </c>
      <c r="C2241" s="3" t="str">
        <f>IFERROR(VLOOKUP(A2241,'Base Prueba'!A:C,3,),"NO REGISTRA")</f>
        <v>CRISTIAN DANILO ARROYO SANABRIA</v>
      </c>
      <c r="D2241" s="4" t="str">
        <f>IFERROR(VLOOKUP(A2241,'Base Prueba'!A:D,4,),"NO REGISTRA")</f>
        <v>AUXILIAR CONTABLE</v>
      </c>
      <c r="E2241" s="5" t="str">
        <f>IFERROR(VLOOKUP(A2241,'Base Prueba'!A:E,5,),"NO REGISTRA")</f>
        <v>AREA FINANCIERA Y CONTABLE</v>
      </c>
    </row>
    <row r="2242" spans="1:5" ht="15.75" x14ac:dyDescent="0.25">
      <c r="A2242" s="10">
        <v>1018413529</v>
      </c>
      <c r="B2242" s="2">
        <v>46065.352600578706</v>
      </c>
      <c r="C2242" s="3" t="str">
        <f>IFERROR(VLOOKUP(A2242,'Base Prueba'!A:C,3,),"NO REGISTRA")</f>
        <v>FRANCY STELLA CHARRY MORENO</v>
      </c>
      <c r="D2242" s="4" t="str">
        <f>IFERROR(VLOOKUP(A2242,'Base Prueba'!A:D,4,),"NO REGISTRA")</f>
        <v>PROMOTOR COMERCIAL DEL CEA</v>
      </c>
      <c r="E2242" s="5" t="str">
        <f>IFERROR(VLOOKUP(A2242,'Base Prueba'!A:E,5,),"NO REGISTRA")</f>
        <v>OFICINA DE MERCADEO</v>
      </c>
    </row>
    <row r="2243" spans="1:5" ht="15.75" x14ac:dyDescent="0.25">
      <c r="A2243" s="10">
        <v>1003690253</v>
      </c>
      <c r="B2243" s="2">
        <v>46065.355788310182</v>
      </c>
      <c r="C2243" s="3" t="str">
        <f>IFERROR(VLOOKUP(A2243,'Base Prueba'!A:C,3,),"NO REGISTRA")</f>
        <v>MELISSA GONZALEZ PEDRAZA</v>
      </c>
      <c r="D2243" s="4" t="str">
        <f>IFERROR(VLOOKUP(A2243,'Base Prueba'!A:D,4,),"NO REGISTRA")</f>
        <v>LIDER DE JOVENES A LA E</v>
      </c>
      <c r="E2243" s="5" t="str">
        <f>IFERROR(VLOOKUP(A2243,'Base Prueba'!A:E,5,),"NO REGISTRA")</f>
        <v>DIRECCION DE BIENESTAR INSTITUCIONAL</v>
      </c>
    </row>
    <row r="2244" spans="1:5" ht="15.75" x14ac:dyDescent="0.25">
      <c r="A2244" s="10">
        <v>53932358</v>
      </c>
      <c r="B2244" s="2">
        <v>46065.35715729167</v>
      </c>
      <c r="C2244" s="3" t="str">
        <f>IFERROR(VLOOKUP(A2244,'Base Prueba'!A:C,3,),"NO REGISTRA")</f>
        <v>DIANA MADELEYNE GAONA RODRIGUEZ</v>
      </c>
      <c r="D2244" s="4" t="str">
        <f>IFERROR(VLOOKUP(A2244,'Base Prueba'!A:D,4,),"NO REGISTRA")</f>
        <v>CONTADOR</v>
      </c>
      <c r="E2244" s="5" t="str">
        <f>IFERROR(VLOOKUP(A2244,'Base Prueba'!A:E,5,),"NO REGISTRA")</f>
        <v>AREA FINANCIERA Y CONTABLE</v>
      </c>
    </row>
    <row r="2245" spans="1:5" ht="15.75" x14ac:dyDescent="0.25">
      <c r="A2245" s="10">
        <v>1000593372</v>
      </c>
      <c r="B2245" s="2">
        <v>46065.360809837963</v>
      </c>
      <c r="C2245" s="3" t="str">
        <f>IFERROR(VLOOKUP(A2245,'Base Prueba'!A:C,3,),"NO REGISTRA")</f>
        <v>LAURA SOFIA CHAPARRO LOPEZ</v>
      </c>
      <c r="D2245" s="4" t="str">
        <f>IFERROR(VLOOKUP(A2245,'Base Prueba'!A:D,4,),"NO REGISTRA")</f>
        <v>AUXILIAR JURIDICO</v>
      </c>
      <c r="E2245" s="5" t="str">
        <f>IFERROR(VLOOKUP(A2245,'Base Prueba'!A:E,5,),"NO REGISTRA")</f>
        <v>SECRETARIA GENERAL</v>
      </c>
    </row>
    <row r="2246" spans="1:5" ht="15.75" x14ac:dyDescent="0.25">
      <c r="A2246" s="10">
        <v>1014196857</v>
      </c>
      <c r="B2246" s="2">
        <v>46065.361131365738</v>
      </c>
      <c r="C2246" s="3" t="str">
        <f>IFERROR(VLOOKUP(A2246,'Base Prueba'!A:C,3,),"NO REGISTRA")</f>
        <v>CARLOS ANDRES JIMENEZ PARDO</v>
      </c>
      <c r="D2246" s="4" t="str">
        <f>IFERROR(VLOOKUP(A2246,'Base Prueba'!A:D,4,),"NO REGISTRA")</f>
        <v>COORDINADOR DE MARKETING DIGITAL</v>
      </c>
      <c r="E2246" s="5" t="str">
        <f>IFERROR(VLOOKUP(A2246,'Base Prueba'!A:E,5,),"NO REGISTRA")</f>
        <v>OFICINA DE MERCADEO</v>
      </c>
    </row>
    <row r="2247" spans="1:5" ht="15.75" x14ac:dyDescent="0.25">
      <c r="A2247" s="10">
        <v>80234243</v>
      </c>
      <c r="B2247" s="2">
        <v>46065.365712500003</v>
      </c>
      <c r="C2247" s="3" t="str">
        <f>IFERROR(VLOOKUP(A2247,'Base Prueba'!A:C,3,),"NO REGISTRA")</f>
        <v>ARGENIS MARTINEZ MARTINEZ</v>
      </c>
      <c r="D2247" s="4" t="str">
        <f>IFERROR(VLOOKUP(A2247,'Base Prueba'!A:D,4,),"NO REGISTRA")</f>
        <v>LIDER CALL CENTER</v>
      </c>
      <c r="E2247" s="5" t="str">
        <f>IFERROR(VLOOKUP(A2247,'Base Prueba'!A:E,5,),"NO REGISTRA")</f>
        <v>OFICINA DE MERCADEO</v>
      </c>
    </row>
    <row r="2248" spans="1:5" ht="15.75" x14ac:dyDescent="0.25">
      <c r="A2248" s="10">
        <v>52472386</v>
      </c>
      <c r="B2248" s="2">
        <v>46065.365937847222</v>
      </c>
      <c r="C2248" s="3" t="str">
        <f>IFERROR(VLOOKUP(A2248,'Base Prueba'!A:C,3,),"NO REGISTRA")</f>
        <v>ADRIANA MARCELA MORALES PARDO</v>
      </c>
      <c r="D2248" s="4" t="str">
        <f>IFERROR(VLOOKUP(A2248,'Base Prueba'!A:D,4,),"NO REGISTRA")</f>
        <v>PROMOTOR CALL CENTER</v>
      </c>
      <c r="E2248" s="5" t="str">
        <f>IFERROR(VLOOKUP(A2248,'Base Prueba'!A:E,5,),"NO REGISTRA")</f>
        <v>OFICINA DE MERCADEO</v>
      </c>
    </row>
    <row r="2249" spans="1:5" ht="15.75" x14ac:dyDescent="0.25">
      <c r="A2249" s="10">
        <v>1033709056</v>
      </c>
      <c r="B2249" s="2">
        <v>46065.367273148149</v>
      </c>
      <c r="C2249" s="3" t="str">
        <f>IFERROR(VLOOKUP(A2249,'Base Prueba'!A:C,3,),"NO REGISTRA")</f>
        <v>YEIMY ALEXANDRA RODRIGUEZ PALACIO</v>
      </c>
      <c r="D2249" s="4" t="str">
        <f>IFERROR(VLOOKUP(A2249,'Base Prueba'!A:D,4,),"NO REGISTRA")</f>
        <v>PROMOTOR CALL CENTER</v>
      </c>
      <c r="E2249" s="5" t="str">
        <f>IFERROR(VLOOKUP(A2249,'Base Prueba'!A:E,5,),"NO REGISTRA")</f>
        <v>OFICINA DE MERCADEO</v>
      </c>
    </row>
    <row r="2250" spans="1:5" ht="15.75" x14ac:dyDescent="0.25">
      <c r="A2250" s="10">
        <v>1032407386</v>
      </c>
      <c r="B2250" s="2">
        <v>46065.370787731481</v>
      </c>
      <c r="C2250" s="3" t="str">
        <f>IFERROR(VLOOKUP(A2250,'Base Prueba'!A:C,3,),"NO REGISTRA")</f>
        <v>GINA PAOLA BAEZ GALVIS</v>
      </c>
      <c r="D2250" s="4" t="str">
        <f>IFERROR(VLOOKUP(A2250,'Base Prueba'!A:D,4,),"NO REGISTRA")</f>
        <v>PROMOTOR CALL CENTER</v>
      </c>
      <c r="E2250" s="5" t="str">
        <f>IFERROR(VLOOKUP(A2250,'Base Prueba'!A:E,5,),"NO REGISTRA")</f>
        <v>OFICINA DE MERCADEO</v>
      </c>
    </row>
    <row r="2251" spans="1:5" ht="15.75" x14ac:dyDescent="0.25">
      <c r="A2251" s="10">
        <v>53089882</v>
      </c>
      <c r="B2251" s="2">
        <v>46065.372610648148</v>
      </c>
      <c r="C2251" s="3" t="str">
        <f>IFERROR(VLOOKUP(A2251,'Base Prueba'!A:C,3,),"NO REGISTRA")</f>
        <v>MARIA JOHANA ESCAMILLA MARTINEZ</v>
      </c>
      <c r="D2251" s="4" t="str">
        <f>IFERROR(VLOOKUP(A2251,'Base Prueba'!A:D,4,),"NO REGISTRA")</f>
        <v>PROMOTOR DE INFORMACIÓN</v>
      </c>
      <c r="E2251" s="5" t="str">
        <f>IFERROR(VLOOKUP(A2251,'Base Prueba'!A:E,5,),"NO REGISTRA")</f>
        <v>OFICINA DE MERCADEO</v>
      </c>
    </row>
    <row r="2252" spans="1:5" ht="15.75" x14ac:dyDescent="0.25">
      <c r="A2252" s="10">
        <v>1000161811</v>
      </c>
      <c r="B2252" s="2">
        <v>46065.373234953702</v>
      </c>
      <c r="C2252" s="3" t="str">
        <f>IFERROR(VLOOKUP(A2252,'Base Prueba'!A:C,3,),"NO REGISTRA")</f>
        <v>DIEGO ANDRES VARON ROZO</v>
      </c>
      <c r="D2252" s="4" t="str">
        <f>IFERROR(VLOOKUP(A2252,'Base Prueba'!A:D,4,),"NO REGISTRA")</f>
        <v>APRENDIZ UNIVERSITARIO</v>
      </c>
      <c r="E2252" s="5" t="str">
        <f>IFERROR(VLOOKUP(A2252,'Base Prueba'!A:E,5,),"NO REGISTRA")</f>
        <v>OFICINA DE MERCADEO</v>
      </c>
    </row>
    <row r="2253" spans="1:5" ht="15.75" x14ac:dyDescent="0.25">
      <c r="A2253" s="10">
        <v>28798349</v>
      </c>
      <c r="B2253" s="2">
        <v>46065.374023379627</v>
      </c>
      <c r="C2253" s="3" t="str">
        <f>IFERROR(VLOOKUP(A2253,'Base Prueba'!A:C,3,),"NO REGISTRA")</f>
        <v>MARTHA ISABEL TOVAR WILLIAMS</v>
      </c>
      <c r="D2253" s="4" t="str">
        <f>IFERROR(VLOOKUP(A2253,'Base Prueba'!A:D,4,),"NO REGISTRA")</f>
        <v>PROMOTOR CALL CENTER</v>
      </c>
      <c r="E2253" s="5" t="str">
        <f>IFERROR(VLOOKUP(A2253,'Base Prueba'!A:E,5,),"NO REGISTRA")</f>
        <v>OFICINA DE MERCADEO</v>
      </c>
    </row>
    <row r="2254" spans="1:5" ht="15.75" x14ac:dyDescent="0.25">
      <c r="A2254" s="10">
        <v>1019105003</v>
      </c>
      <c r="B2254" s="2">
        <v>46065.374637384259</v>
      </c>
      <c r="C2254" s="3" t="str">
        <f>IFERROR(VLOOKUP(A2254,'Base Prueba'!A:C,3,),"NO REGISTRA")</f>
        <v>DAISY JULIETH GASPAR MORENO</v>
      </c>
      <c r="D2254" s="4" t="str">
        <f>IFERROR(VLOOKUP(A2254,'Base Prueba'!A:D,4,),"NO REGISTRA")</f>
        <v>PROMOTOR CALL CENTER</v>
      </c>
      <c r="E2254" s="5" t="str">
        <f>IFERROR(VLOOKUP(A2254,'Base Prueba'!A:E,5,),"NO REGISTRA")</f>
        <v>OFICINA DE MERCADEO</v>
      </c>
    </row>
    <row r="2255" spans="1:5" ht="15.75" x14ac:dyDescent="0.25">
      <c r="A2255" s="10">
        <v>1014266838</v>
      </c>
      <c r="B2255" s="2">
        <v>46065.374817476855</v>
      </c>
      <c r="C2255" s="3" t="str">
        <f>IFERROR(VLOOKUP(A2255,'Base Prueba'!A:C,3,),"NO REGISTRA")</f>
        <v>JENNIFER ASTRID ROMERO HURTADO</v>
      </c>
      <c r="D2255" s="4" t="str">
        <f>IFERROR(VLOOKUP(A2255,'Base Prueba'!A:D,4,),"NO REGISTRA")</f>
        <v>LIDER DE RECAUDO</v>
      </c>
      <c r="E2255" s="5" t="str">
        <f>IFERROR(VLOOKUP(A2255,'Base Prueba'!A:E,5,),"NO REGISTRA")</f>
        <v>AREA FINANCIERA Y CONTABLE</v>
      </c>
    </row>
    <row r="2256" spans="1:5" ht="15.75" x14ac:dyDescent="0.25">
      <c r="A2256" s="10">
        <v>1016090131</v>
      </c>
      <c r="B2256" s="2">
        <v>46065.376249652778</v>
      </c>
      <c r="C2256" s="3" t="str">
        <f>IFERROR(VLOOKUP(A2256,'Base Prueba'!A:C,3,),"NO REGISTRA")</f>
        <v>NICOLAS RODRIGUEZ PACHECO</v>
      </c>
      <c r="D2256" s="4" t="str">
        <f>IFERROR(VLOOKUP(A2256,'Base Prueba'!A:D,4,),"NO REGISTRA")</f>
        <v>COORDINADOR DE COMUNICACIONES</v>
      </c>
      <c r="E2256" s="5" t="str">
        <f>IFERROR(VLOOKUP(A2256,'Base Prueba'!A:E,5,),"NO REGISTRA")</f>
        <v>OFICINA DE MERCADEO</v>
      </c>
    </row>
    <row r="2257" spans="1:5" ht="15.75" x14ac:dyDescent="0.25">
      <c r="A2257" s="10">
        <v>1018414290</v>
      </c>
      <c r="B2257" s="2">
        <v>46065.377464930556</v>
      </c>
      <c r="C2257" s="3" t="str">
        <f>IFERROR(VLOOKUP(A2257,'Base Prueba'!A:C,3,),"NO REGISTRA")</f>
        <v>AMANDA LISBETH RODRIGUEZ LEON</v>
      </c>
      <c r="D2257" s="4" t="str">
        <f>IFERROR(VLOOKUP(A2257,'Base Prueba'!A:D,4,),"NO REGISTRA")</f>
        <v>PROMOTOR CALL CENTER</v>
      </c>
      <c r="E2257" s="5" t="str">
        <f>IFERROR(VLOOKUP(A2257,'Base Prueba'!A:E,5,),"NO REGISTRA")</f>
        <v>OFICINA DE MERCADEO</v>
      </c>
    </row>
    <row r="2258" spans="1:5" ht="15.75" x14ac:dyDescent="0.25">
      <c r="A2258" s="10">
        <v>1000046533</v>
      </c>
      <c r="B2258" s="2">
        <v>46065.378320601849</v>
      </c>
      <c r="C2258" s="3" t="str">
        <f>IFERROR(VLOOKUP(A2258,'Base Prueba'!A:C,3,),"NO REGISTRA")</f>
        <v>ERIKA JULIETH VALDERRAMA SANCHEZ</v>
      </c>
      <c r="D2258" s="4" t="str">
        <f>IFERROR(VLOOKUP(A2258,'Base Prueba'!A:D,4,),"NO REGISTRA")</f>
        <v>PROMOTOR CALL CENTER</v>
      </c>
      <c r="E2258" s="5" t="str">
        <f>IFERROR(VLOOKUP(A2258,'Base Prueba'!A:E,5,),"NO REGISTRA")</f>
        <v>OFICINA DE MERCADEO</v>
      </c>
    </row>
    <row r="2259" spans="1:5" ht="15.75" x14ac:dyDescent="0.25">
      <c r="A2259" s="10">
        <v>1193265768</v>
      </c>
      <c r="B2259" s="2">
        <v>46065.378719560184</v>
      </c>
      <c r="C2259" s="3" t="str">
        <f>IFERROR(VLOOKUP(A2259,'Base Prueba'!A:C,3,),"NO REGISTRA")</f>
        <v>SANTIAGO OSORIO CAMACHO</v>
      </c>
      <c r="D2259" s="4" t="str">
        <f>IFERROR(VLOOKUP(A2259,'Base Prueba'!A:D,4,),"NO REGISTRA")</f>
        <v>ANALISTA DE PAUTA</v>
      </c>
      <c r="E2259" s="5" t="str">
        <f>IFERROR(VLOOKUP(A2259,'Base Prueba'!A:E,5,),"NO REGISTRA")</f>
        <v>OFICINA DE MERCADEO</v>
      </c>
    </row>
    <row r="2260" spans="1:5" ht="15.75" x14ac:dyDescent="0.25">
      <c r="A2260" s="10">
        <v>52175674</v>
      </c>
      <c r="B2260" s="2">
        <v>46065.384754398146</v>
      </c>
      <c r="C2260" s="3" t="str">
        <f>IFERROR(VLOOKUP(A2260,'Base Prueba'!A:C,3,),"NO REGISTRA")</f>
        <v>LUZ YANETH GOMEZ AREVALO</v>
      </c>
      <c r="D2260" s="4" t="str">
        <f>IFERROR(VLOOKUP(A2260,'Base Prueba'!A:D,4,),"NO REGISTRA")</f>
        <v>COORDINADORA DE ADMISIONES</v>
      </c>
      <c r="E2260" s="5" t="str">
        <f>IFERROR(VLOOKUP(A2260,'Base Prueba'!A:E,5,),"NO REGISTRA")</f>
        <v>OFICINA DE MERCADEO</v>
      </c>
    </row>
    <row r="2261" spans="1:5" ht="15.75" x14ac:dyDescent="0.25">
      <c r="A2261" s="10">
        <v>52764929</v>
      </c>
      <c r="B2261" s="2">
        <v>46065.386403009259</v>
      </c>
      <c r="C2261" s="3" t="str">
        <f>IFERROR(VLOOKUP(A2261,'Base Prueba'!A:C,3,),"NO REGISTRA")</f>
        <v>GUERLY YOHANA DURAN RIVERA</v>
      </c>
      <c r="D2261" s="4" t="str">
        <f>IFERROR(VLOOKUP(A2261,'Base Prueba'!A:D,4,),"NO REGISTRA")</f>
        <v>LIDER DE VINCULACION COLEGIOS</v>
      </c>
      <c r="E2261" s="5" t="str">
        <f>IFERROR(VLOOKUP(A2261,'Base Prueba'!A:E,5,),"NO REGISTRA")</f>
        <v>OFICINA DE MERCADEO</v>
      </c>
    </row>
    <row r="2262" spans="1:5" ht="15.75" x14ac:dyDescent="0.25">
      <c r="A2262" s="10">
        <v>52443092</v>
      </c>
      <c r="B2262" s="2">
        <v>46065.48023587963</v>
      </c>
      <c r="C2262" s="3" t="str">
        <f>IFERROR(VLOOKUP(A2262,'Base Prueba'!A:C,3,),"NO REGISTRA")</f>
        <v>LUZ MYRIAM SAAVEDRA CONTRERAS</v>
      </c>
      <c r="D2262" s="4" t="str">
        <f>IFERROR(VLOOKUP(A2262,'Base Prueba'!A:D,4,),"NO REGISTRA")</f>
        <v>AUXILIAR DE SERVICIOS</v>
      </c>
      <c r="E2262" s="5" t="str">
        <f>IFERROR(VLOOKUP(A2262,'Base Prueba'!A:E,5,),"NO REGISTRA")</f>
        <v>LOGISTICA Y SERVICIOS GENERALES</v>
      </c>
    </row>
    <row r="2263" spans="1:5" ht="15.75" x14ac:dyDescent="0.25">
      <c r="A2263" s="10">
        <v>1018414290</v>
      </c>
      <c r="B2263" s="2">
        <v>46065.54996851852</v>
      </c>
      <c r="C2263" s="3" t="str">
        <f>IFERROR(VLOOKUP(A2263,'Base Prueba'!A:C,3,),"NO REGISTRA")</f>
        <v>AMANDA LISBETH RODRIGUEZ LEON</v>
      </c>
      <c r="D2263" s="4" t="str">
        <f>IFERROR(VLOOKUP(A2263,'Base Prueba'!A:D,4,),"NO REGISTRA")</f>
        <v>PROMOTOR CALL CENTER</v>
      </c>
      <c r="E2263" s="5" t="str">
        <f>IFERROR(VLOOKUP(A2263,'Base Prueba'!A:E,5,),"NO REGISTRA")</f>
        <v>OFICINA DE MERCADEO</v>
      </c>
    </row>
    <row r="2264" spans="1:5" ht="15.75" x14ac:dyDescent="0.25">
      <c r="A2264" s="10">
        <v>1031802160</v>
      </c>
      <c r="B2264" s="2">
        <v>46065.706582986109</v>
      </c>
      <c r="C2264" s="3" t="str">
        <f>IFERROR(VLOOKUP(A2264,'Base Prueba'!A:C,3,),"NO REGISTRA")</f>
        <v>LUISA MARIA MAHECHA SOTOMAYOR</v>
      </c>
      <c r="D2264" s="4" t="str">
        <f>IFERROR(VLOOKUP(A2264,'Base Prueba'!A:D,4,),"NO REGISTRA")</f>
        <v>APRENDIZ UNIVERSITARIO</v>
      </c>
      <c r="E2264" s="5" t="str">
        <f>IFERROR(VLOOKUP(A2264,'Base Prueba'!A:E,5,),"NO REGISTRA")</f>
        <v>OFICINA DE MERCADEO</v>
      </c>
    </row>
    <row r="2265" spans="1:5" ht="15.75" x14ac:dyDescent="0.25">
      <c r="A2265" s="10">
        <v>1000687931</v>
      </c>
      <c r="B2265" s="2">
        <v>46065.709953587961</v>
      </c>
      <c r="C2265" s="3" t="str">
        <f>IFERROR(VLOOKUP(A2265,'Base Prueba'!A:C,3,),"NO REGISTRA")</f>
        <v>ANDRES FELIPE PUENTES TORRES</v>
      </c>
      <c r="D2265" s="4" t="str">
        <f>IFERROR(VLOOKUP(A2265,'Base Prueba'!A:D,4,),"NO REGISTRA")</f>
        <v>AUXILIAR ADMINISTRATIVO</v>
      </c>
      <c r="E2265" s="5" t="str">
        <f>IFERROR(VLOOKUP(A2265,'Base Prueba'!A:E,5,),"NO REGISTRA")</f>
        <v>REGISTRO Y CONTROL ACADEMICO</v>
      </c>
    </row>
    <row r="2266" spans="1:5" ht="15.75" x14ac:dyDescent="0.25">
      <c r="A2266" s="10">
        <v>1024505434</v>
      </c>
      <c r="B2266" s="2">
        <v>46065.731277893516</v>
      </c>
      <c r="C2266" s="3" t="str">
        <f>IFERROR(VLOOKUP(A2266,'Base Prueba'!A:C,3,),"NO REGISTRA")</f>
        <v>CRISTIAN ALBERTO MELO TORRES</v>
      </c>
      <c r="D2266" s="4" t="str">
        <f>IFERROR(VLOOKUP(A2266,'Base Prueba'!A:D,4,),"NO REGISTRA")</f>
        <v>COORDINADOR DE INFRAESTRUCTURA</v>
      </c>
      <c r="E2266" s="5" t="str">
        <f>IFERROR(VLOOKUP(A2266,'Base Prueba'!A:E,5,),"NO REGISTRA")</f>
        <v>VICERRECTORIA ADMINISTRATIVA Y FINANCIERA</v>
      </c>
    </row>
    <row r="2267" spans="1:5" ht="15.75" x14ac:dyDescent="0.25">
      <c r="A2267" s="10">
        <v>80238161</v>
      </c>
      <c r="B2267" s="2">
        <v>46065.751433564816</v>
      </c>
      <c r="C2267" s="3" t="str">
        <f>IFERROR(VLOOKUP(A2267,'Base Prueba'!A:C,3,),"NO REGISTRA")</f>
        <v>GERMAN CARRANZA ESPITIA</v>
      </c>
      <c r="D2267" s="4" t="str">
        <f>IFERROR(VLOOKUP(A2267,'Base Prueba'!A:D,4,),"NO REGISTRA")</f>
        <v>TESORERO</v>
      </c>
      <c r="E2267" s="5" t="str">
        <f>IFERROR(VLOOKUP(A2267,'Base Prueba'!A:E,5,),"NO REGISTRA")</f>
        <v>AREA FINANCIERA Y CONTABLE</v>
      </c>
    </row>
    <row r="2268" spans="1:5" ht="15.75" x14ac:dyDescent="0.25">
      <c r="A2268" s="10">
        <v>1014308296</v>
      </c>
      <c r="B2268" s="2">
        <v>46065.752141550925</v>
      </c>
      <c r="C2268" s="3" t="str">
        <f>IFERROR(VLOOKUP(A2268,'Base Prueba'!A:C,3,),"NO REGISTRA")</f>
        <v>DARLENE YULIANA MORENO CELEITA</v>
      </c>
      <c r="D2268" s="4" t="str">
        <f>IFERROR(VLOOKUP(A2268,'Base Prueba'!A:D,4,),"NO REGISTRA")</f>
        <v>CAJERO PRINCIPAL</v>
      </c>
      <c r="E2268" s="5" t="str">
        <f>IFERROR(VLOOKUP(A2268,'Base Prueba'!A:E,5,),"NO REGISTRA")</f>
        <v>AREA FINANCIERA Y CONTABLE</v>
      </c>
    </row>
    <row r="2269" spans="1:5" ht="15.75" x14ac:dyDescent="0.25">
      <c r="A2269" s="10">
        <v>1000467399</v>
      </c>
      <c r="B2269" s="2">
        <v>46065.752163425925</v>
      </c>
      <c r="C2269" s="3" t="str">
        <f>IFERROR(VLOOKUP(A2269,'Base Prueba'!A:C,3,),"NO REGISTRA")</f>
        <v>BRANDO ESTIVEN DIAZ QUIMBAYA</v>
      </c>
      <c r="D2269" s="4" t="str">
        <f>IFERROR(VLOOKUP(A2269,'Base Prueba'!A:D,4,),"NO REGISTRA")</f>
        <v>APRENDIZ UNIVERSITARIO</v>
      </c>
      <c r="E2269" s="5" t="str">
        <f>IFERROR(VLOOKUP(A2269,'Base Prueba'!A:E,5,),"NO REGISTRA")</f>
        <v>DEPARTAMENTO DE GESTION HUMANA</v>
      </c>
    </row>
    <row r="2270" spans="1:5" ht="15.75" x14ac:dyDescent="0.25">
      <c r="A2270" s="10">
        <v>1193457976</v>
      </c>
      <c r="B2270" s="2">
        <v>46065.752508680554</v>
      </c>
      <c r="C2270" s="3" t="str">
        <f>IFERROR(VLOOKUP(A2270,'Base Prueba'!A:C,3,),"NO REGISTRA")</f>
        <v>SEDENIS RIVAS ASPRILLA</v>
      </c>
      <c r="D2270" s="4" t="str">
        <f>IFERROR(VLOOKUP(A2270,'Base Prueba'!A:D,4,),"NO REGISTRA")</f>
        <v>APRENDIZ UNIVERSITARIO</v>
      </c>
      <c r="E2270" s="5" t="str">
        <f>IFERROR(VLOOKUP(A2270,'Base Prueba'!A:E,5,),"NO REGISTRA")</f>
        <v>DEPARTAMENTO DE GESTION HUMANA</v>
      </c>
    </row>
    <row r="2271" spans="1:5" ht="15.75" x14ac:dyDescent="0.25">
      <c r="A2271" s="10">
        <v>1000593372</v>
      </c>
      <c r="B2271" s="2">
        <v>46065.752730555556</v>
      </c>
      <c r="C2271" s="3" t="str">
        <f>IFERROR(VLOOKUP(A2271,'Base Prueba'!A:C,3,),"NO REGISTRA")</f>
        <v>LAURA SOFIA CHAPARRO LOPEZ</v>
      </c>
      <c r="D2271" s="4" t="str">
        <f>IFERROR(VLOOKUP(A2271,'Base Prueba'!A:D,4,),"NO REGISTRA")</f>
        <v>AUXILIAR JURIDICO</v>
      </c>
      <c r="E2271" s="5" t="str">
        <f>IFERROR(VLOOKUP(A2271,'Base Prueba'!A:E,5,),"NO REGISTRA")</f>
        <v>SECRETARIA GENERAL</v>
      </c>
    </row>
    <row r="2272" spans="1:5" ht="15.75" x14ac:dyDescent="0.25">
      <c r="A2272" s="10">
        <v>1014266838</v>
      </c>
      <c r="B2272" s="2">
        <v>46065.753142939815</v>
      </c>
      <c r="C2272" s="3" t="str">
        <f>IFERROR(VLOOKUP(A2272,'Base Prueba'!A:C,3,),"NO REGISTRA")</f>
        <v>JENNIFER ASTRID ROMERO HURTADO</v>
      </c>
      <c r="D2272" s="4" t="str">
        <f>IFERROR(VLOOKUP(A2272,'Base Prueba'!A:D,4,),"NO REGISTRA")</f>
        <v>LIDER DE RECAUDO</v>
      </c>
      <c r="E2272" s="5" t="str">
        <f>IFERROR(VLOOKUP(A2272,'Base Prueba'!A:E,5,),"NO REGISTRA")</f>
        <v>AREA FINANCIERA Y CONTABLE</v>
      </c>
    </row>
    <row r="2273" spans="1:5" ht="15.75" x14ac:dyDescent="0.25">
      <c r="A2273" s="10">
        <v>1022996882</v>
      </c>
      <c r="B2273" s="2">
        <v>46065.753158796295</v>
      </c>
      <c r="C2273" s="3" t="str">
        <f>IFERROR(VLOOKUP(A2273,'Base Prueba'!A:C,3,),"NO REGISTRA")</f>
        <v>NANCY BRIGITH ALDANA GUEVARA</v>
      </c>
      <c r="D2273" s="4" t="str">
        <f>IFERROR(VLOOKUP(A2273,'Base Prueba'!A:D,4,),"NO REGISTRA")</f>
        <v>COORDINADORA DE GESTIÓN HUMANA</v>
      </c>
      <c r="E2273" s="5" t="str">
        <f>IFERROR(VLOOKUP(A2273,'Base Prueba'!A:E,5,),"NO REGISTRA")</f>
        <v>DEPARTAMENTO DE GESTION HUMANA</v>
      </c>
    </row>
    <row r="2274" spans="1:5" ht="15.75" x14ac:dyDescent="0.25">
      <c r="A2274" s="10">
        <v>1000046533</v>
      </c>
      <c r="B2274" s="2">
        <v>46065.753315046299</v>
      </c>
      <c r="C2274" s="3" t="str">
        <f>IFERROR(VLOOKUP(A2274,'Base Prueba'!A:C,3,),"NO REGISTRA")</f>
        <v>ERIKA JULIETH VALDERRAMA SANCHEZ</v>
      </c>
      <c r="D2274" s="4" t="str">
        <f>IFERROR(VLOOKUP(A2274,'Base Prueba'!A:D,4,),"NO REGISTRA")</f>
        <v>PROMOTOR CALL CENTER</v>
      </c>
      <c r="E2274" s="5" t="str">
        <f>IFERROR(VLOOKUP(A2274,'Base Prueba'!A:E,5,),"NO REGISTRA")</f>
        <v>OFICINA DE MERCADEO</v>
      </c>
    </row>
    <row r="2275" spans="1:5" ht="15.75" x14ac:dyDescent="0.25">
      <c r="A2275" s="10">
        <v>1087121273</v>
      </c>
      <c r="B2275" s="2">
        <v>46065.754377314814</v>
      </c>
      <c r="C2275" s="3" t="str">
        <f>IFERROR(VLOOKUP(A2275,'Base Prueba'!A:C,3,),"NO REGISTRA")</f>
        <v>MAYRA ALEJANDRA CASTILLO ARBOLEDA</v>
      </c>
      <c r="D2275" s="4" t="str">
        <f>IFERROR(VLOOKUP(A2275,'Base Prueba'!A:D,4,),"NO REGISTRA")</f>
        <v>APOYO INTEGRAL DE MERCADEO</v>
      </c>
      <c r="E2275" s="5" t="str">
        <f>IFERROR(VLOOKUP(A2275,'Base Prueba'!A:E,5,),"NO REGISTRA")</f>
        <v>CENTRO DE GESTION DOCUMENTAL</v>
      </c>
    </row>
    <row r="2276" spans="1:5" ht="15.75" x14ac:dyDescent="0.25">
      <c r="A2276" s="10">
        <v>1023883232</v>
      </c>
      <c r="B2276" s="2">
        <v>46065.754482638891</v>
      </c>
      <c r="C2276" s="3" t="str">
        <f>IFERROR(VLOOKUP(A2276,'Base Prueba'!A:C,3,),"NO REGISTRA")</f>
        <v>MONICA ANDREA ACERO URBANO</v>
      </c>
      <c r="D2276" s="4" t="str">
        <f>IFERROR(VLOOKUP(A2276,'Base Prueba'!A:D,4,),"NO REGISTRA")</f>
        <v>APOYO INTEGRAL A GESTION HUMANA</v>
      </c>
      <c r="E2276" s="5" t="str">
        <f>IFERROR(VLOOKUP(A2276,'Base Prueba'!A:E,5,),"NO REGISTRA")</f>
        <v>DEPARTAMENTO DE GESTION HUMANA</v>
      </c>
    </row>
    <row r="2277" spans="1:5" ht="15.75" x14ac:dyDescent="0.25">
      <c r="A2277" s="10">
        <v>1049644802</v>
      </c>
      <c r="B2277" s="2">
        <v>46065.75524525463</v>
      </c>
      <c r="C2277" s="3" t="str">
        <f>IFERROR(VLOOKUP(A2277,'Base Prueba'!A:C,3,),"NO REGISTRA")</f>
        <v>DANIELA ALEXANDRA CIPAMOCHA BOSIGA</v>
      </c>
      <c r="D2277" s="4" t="str">
        <f>IFERROR(VLOOKUP(A2277,'Base Prueba'!A:D,4,),"NO REGISTRA")</f>
        <v>LIDER DE DATOS Y SERVICIOS</v>
      </c>
      <c r="E2277" s="5" t="str">
        <f>IFERROR(VLOOKUP(A2277,'Base Prueba'!A:E,5,),"NO REGISTRA")</f>
        <v>OFICINA DE PLANEACION Y GESTION DE LA CALIDAD</v>
      </c>
    </row>
    <row r="2278" spans="1:5" ht="15.75" x14ac:dyDescent="0.25">
      <c r="A2278" s="10">
        <v>1012357415</v>
      </c>
      <c r="B2278" s="2">
        <v>46065.755376851848</v>
      </c>
      <c r="C2278" s="3" t="str">
        <f>IFERROR(VLOOKUP(A2278,'Base Prueba'!A:C,3,),"NO REGISTRA")</f>
        <v>CINDY LORENA BOHORQUEZ LEYVA</v>
      </c>
      <c r="D2278" s="4" t="str">
        <f>IFERROR(VLOOKUP(A2278,'Base Prueba'!A:D,4,),"NO REGISTRA")</f>
        <v>ANALISTA DE TESORERIA</v>
      </c>
      <c r="E2278" s="5" t="str">
        <f>IFERROR(VLOOKUP(A2278,'Base Prueba'!A:E,5,),"NO REGISTRA")</f>
        <v>AREA FINANCIERA Y CONTABLE</v>
      </c>
    </row>
    <row r="2279" spans="1:5" ht="15.75" x14ac:dyDescent="0.25">
      <c r="A2279" s="10">
        <v>1003690253</v>
      </c>
      <c r="B2279" s="2">
        <v>46065.755598842596</v>
      </c>
      <c r="C2279" s="3" t="str">
        <f>IFERROR(VLOOKUP(A2279,'Base Prueba'!A:C,3,),"NO REGISTRA")</f>
        <v>MELISSA GONZALEZ PEDRAZA</v>
      </c>
      <c r="D2279" s="4" t="str">
        <f>IFERROR(VLOOKUP(A2279,'Base Prueba'!A:D,4,),"NO REGISTRA")</f>
        <v>LIDER DE JOVENES A LA E</v>
      </c>
      <c r="E2279" s="5" t="str">
        <f>IFERROR(VLOOKUP(A2279,'Base Prueba'!A:E,5,),"NO REGISTRA")</f>
        <v>DIRECCION DE BIENESTAR INSTITUCIONAL</v>
      </c>
    </row>
    <row r="2280" spans="1:5" ht="15.75" x14ac:dyDescent="0.25">
      <c r="A2280" s="10">
        <v>1032407386</v>
      </c>
      <c r="B2280" s="2">
        <v>46065.755642708333</v>
      </c>
      <c r="C2280" s="3" t="str">
        <f>IFERROR(VLOOKUP(A2280,'Base Prueba'!A:C,3,),"NO REGISTRA")</f>
        <v>GINA PAOLA BAEZ GALVIS</v>
      </c>
      <c r="D2280" s="4" t="str">
        <f>IFERROR(VLOOKUP(A2280,'Base Prueba'!A:D,4,),"NO REGISTRA")</f>
        <v>PROMOTOR CALL CENTER</v>
      </c>
      <c r="E2280" s="5" t="str">
        <f>IFERROR(VLOOKUP(A2280,'Base Prueba'!A:E,5,),"NO REGISTRA")</f>
        <v>OFICINA DE MERCADEO</v>
      </c>
    </row>
    <row r="2281" spans="1:5" ht="15.75" x14ac:dyDescent="0.25">
      <c r="A2281" s="10">
        <v>28798349</v>
      </c>
      <c r="B2281" s="2">
        <v>46065.756916782404</v>
      </c>
      <c r="C2281" s="3" t="str">
        <f>IFERROR(VLOOKUP(A2281,'Base Prueba'!A:C,3,),"NO REGISTRA")</f>
        <v>MARTHA ISABEL TOVAR WILLIAMS</v>
      </c>
      <c r="D2281" s="4" t="str">
        <f>IFERROR(VLOOKUP(A2281,'Base Prueba'!A:D,4,),"NO REGISTRA")</f>
        <v>PROMOTOR CALL CENTER</v>
      </c>
      <c r="E2281" s="5" t="str">
        <f>IFERROR(VLOOKUP(A2281,'Base Prueba'!A:E,5,),"NO REGISTRA")</f>
        <v>OFICINA DE MERCADEO</v>
      </c>
    </row>
    <row r="2282" spans="1:5" ht="15.75" x14ac:dyDescent="0.25">
      <c r="A2282" s="10">
        <v>1019105003</v>
      </c>
      <c r="B2282" s="2">
        <v>46065.757218287035</v>
      </c>
      <c r="C2282" s="3" t="str">
        <f>IFERROR(VLOOKUP(A2282,'Base Prueba'!A:C,3,),"NO REGISTRA")</f>
        <v>DAISY JULIETH GASPAR MORENO</v>
      </c>
      <c r="D2282" s="4" t="str">
        <f>IFERROR(VLOOKUP(A2282,'Base Prueba'!A:D,4,),"NO REGISTRA")</f>
        <v>PROMOTOR CALL CENTER</v>
      </c>
      <c r="E2282" s="5" t="str">
        <f>IFERROR(VLOOKUP(A2282,'Base Prueba'!A:E,5,),"NO REGISTRA")</f>
        <v>OFICINA DE MERCADEO</v>
      </c>
    </row>
    <row r="2283" spans="1:5" ht="15.75" x14ac:dyDescent="0.25">
      <c r="A2283" s="10">
        <v>52472386</v>
      </c>
      <c r="B2283" s="2">
        <v>46065.757574189818</v>
      </c>
      <c r="C2283" s="3" t="str">
        <f>IFERROR(VLOOKUP(A2283,'Base Prueba'!A:C,3,),"NO REGISTRA")</f>
        <v>ADRIANA MARCELA MORALES PARDO</v>
      </c>
      <c r="D2283" s="4" t="str">
        <f>IFERROR(VLOOKUP(A2283,'Base Prueba'!A:D,4,),"NO REGISTRA")</f>
        <v>PROMOTOR CALL CENTER</v>
      </c>
      <c r="E2283" s="5" t="str">
        <f>IFERROR(VLOOKUP(A2283,'Base Prueba'!A:E,5,),"NO REGISTRA")</f>
        <v>OFICINA DE MERCADEO</v>
      </c>
    </row>
    <row r="2284" spans="1:5" ht="15.75" x14ac:dyDescent="0.25">
      <c r="A2284" s="10">
        <v>1000324729</v>
      </c>
      <c r="B2284" s="2">
        <v>46065.75804872685</v>
      </c>
      <c r="C2284" s="3" t="str">
        <f>IFERROR(VLOOKUP(A2284,'Base Prueba'!A:C,3,),"NO REGISTRA")</f>
        <v>ANYIE VANESSA TINOCO CAMACHO</v>
      </c>
      <c r="D2284" s="4" t="str">
        <f>IFERROR(VLOOKUP(A2284,'Base Prueba'!A:D,4,),"NO REGISTRA")</f>
        <v>LIDER DE REGISTRO Y CONTROL</v>
      </c>
      <c r="E2284" s="5" t="str">
        <f>IFERROR(VLOOKUP(A2284,'Base Prueba'!A:E,5,),"NO REGISTRA")</f>
        <v>REGISTRO Y CONTROL ACADEMICO</v>
      </c>
    </row>
    <row r="2285" spans="1:5" ht="15.75" x14ac:dyDescent="0.25">
      <c r="A2285" s="10">
        <v>1033709056</v>
      </c>
      <c r="B2285" s="2">
        <v>46065.758672569442</v>
      </c>
      <c r="C2285" s="3" t="str">
        <f>IFERROR(VLOOKUP(A2285,'Base Prueba'!A:C,3,),"NO REGISTRA")</f>
        <v>YEIMY ALEXANDRA RODRIGUEZ PALACIO</v>
      </c>
      <c r="D2285" s="4" t="str">
        <f>IFERROR(VLOOKUP(A2285,'Base Prueba'!A:D,4,),"NO REGISTRA")</f>
        <v>PROMOTOR CALL CENTER</v>
      </c>
      <c r="E2285" s="5" t="str">
        <f>IFERROR(VLOOKUP(A2285,'Base Prueba'!A:E,5,),"NO REGISTRA")</f>
        <v>OFICINA DE MERCADEO</v>
      </c>
    </row>
    <row r="2286" spans="1:5" ht="15.75" x14ac:dyDescent="0.25">
      <c r="A2286" s="10">
        <v>1014196857</v>
      </c>
      <c r="B2286" s="2">
        <v>46065.768493750002</v>
      </c>
      <c r="C2286" s="3" t="str">
        <f>IFERROR(VLOOKUP(A2286,'Base Prueba'!A:C,3,),"NO REGISTRA")</f>
        <v>CARLOS ANDRES JIMENEZ PARDO</v>
      </c>
      <c r="D2286" s="4" t="str">
        <f>IFERROR(VLOOKUP(A2286,'Base Prueba'!A:D,4,),"NO REGISTRA")</f>
        <v>COORDINADOR DE MARKETING DIGITAL</v>
      </c>
      <c r="E2286" s="5" t="str">
        <f>IFERROR(VLOOKUP(A2286,'Base Prueba'!A:E,5,),"NO REGISTRA")</f>
        <v>OFICINA DE MERCADEO</v>
      </c>
    </row>
    <row r="2287" spans="1:5" ht="15.75" x14ac:dyDescent="0.25">
      <c r="A2287" s="10">
        <v>1193265768</v>
      </c>
      <c r="B2287" s="2">
        <v>46065.768531018519</v>
      </c>
      <c r="C2287" s="3" t="str">
        <f>IFERROR(VLOOKUP(A2287,'Base Prueba'!A:C,3,),"NO REGISTRA")</f>
        <v>SANTIAGO OSORIO CAMACHO</v>
      </c>
      <c r="D2287" s="4" t="str">
        <f>IFERROR(VLOOKUP(A2287,'Base Prueba'!A:D,4,),"NO REGISTRA")</f>
        <v>ANALISTA DE PAUTA</v>
      </c>
      <c r="E2287" s="5" t="str">
        <f>IFERROR(VLOOKUP(A2287,'Base Prueba'!A:E,5,),"NO REGISTRA")</f>
        <v>OFICINA DE MERCADEO</v>
      </c>
    </row>
    <row r="2288" spans="1:5" ht="15.75" x14ac:dyDescent="0.25">
      <c r="A2288" s="10">
        <v>53089882</v>
      </c>
      <c r="B2288" s="2">
        <v>46065.770165162037</v>
      </c>
      <c r="C2288" s="3" t="str">
        <f>IFERROR(VLOOKUP(A2288,'Base Prueba'!A:C,3,),"NO REGISTRA")</f>
        <v>MARIA JOHANA ESCAMILLA MARTINEZ</v>
      </c>
      <c r="D2288" s="4" t="str">
        <f>IFERROR(VLOOKUP(A2288,'Base Prueba'!A:D,4,),"NO REGISTRA")</f>
        <v>PROMOTOR DE INFORMACIÓN</v>
      </c>
      <c r="E2288" s="5" t="str">
        <f>IFERROR(VLOOKUP(A2288,'Base Prueba'!A:E,5,),"NO REGISTRA")</f>
        <v>OFICINA DE MERCADEO</v>
      </c>
    </row>
    <row r="2289" spans="1:5" ht="15.75" x14ac:dyDescent="0.25">
      <c r="A2289" s="10">
        <v>1018413529</v>
      </c>
      <c r="B2289" s="2">
        <v>46065.77034722222</v>
      </c>
      <c r="C2289" s="3" t="str">
        <f>IFERROR(VLOOKUP(A2289,'Base Prueba'!A:C,3,),"NO REGISTRA")</f>
        <v>FRANCY STELLA CHARRY MORENO</v>
      </c>
      <c r="D2289" s="4" t="str">
        <f>IFERROR(VLOOKUP(A2289,'Base Prueba'!A:D,4,),"NO REGISTRA")</f>
        <v>PROMOTOR COMERCIAL DEL CEA</v>
      </c>
      <c r="E2289" s="5" t="str">
        <f>IFERROR(VLOOKUP(A2289,'Base Prueba'!A:E,5,),"NO REGISTRA")</f>
        <v>OFICINA DE MERCADEO</v>
      </c>
    </row>
    <row r="2290" spans="1:5" ht="15.75" x14ac:dyDescent="0.25">
      <c r="A2290" s="10">
        <v>52175674</v>
      </c>
      <c r="B2290" s="2">
        <v>46065.770884722224</v>
      </c>
      <c r="C2290" s="3" t="str">
        <f>IFERROR(VLOOKUP(A2290,'Base Prueba'!A:C,3,),"NO REGISTRA")</f>
        <v>LUZ YANETH GOMEZ AREVALO</v>
      </c>
      <c r="D2290" s="4" t="str">
        <f>IFERROR(VLOOKUP(A2290,'Base Prueba'!A:D,4,),"NO REGISTRA")</f>
        <v>COORDINADORA DE ADMISIONES</v>
      </c>
      <c r="E2290" s="5" t="str">
        <f>IFERROR(VLOOKUP(A2290,'Base Prueba'!A:E,5,),"NO REGISTRA")</f>
        <v>OFICINA DE MERCADEO</v>
      </c>
    </row>
    <row r="2291" spans="1:5" ht="15.75" x14ac:dyDescent="0.25">
      <c r="A2291" s="10">
        <v>1013616244</v>
      </c>
      <c r="B2291" s="2">
        <v>46065.772169791664</v>
      </c>
      <c r="C2291" s="3" t="str">
        <f>IFERROR(VLOOKUP(A2291,'Base Prueba'!A:C,3,),"NO REGISTRA")</f>
        <v>DIANA CAROLINA MARIN BETANCOURT</v>
      </c>
      <c r="D2291" s="4" t="str">
        <f>IFERROR(VLOOKUP(A2291,'Base Prueba'!A:D,4,),"NO REGISTRA")</f>
        <v>AUXILIAR ADMINISTRATIVO</v>
      </c>
      <c r="E2291" s="5" t="str">
        <f>IFERROR(VLOOKUP(A2291,'Base Prueba'!A:E,5,),"NO REGISTRA")</f>
        <v>REGISTRO Y CONTROL ACADEMICO</v>
      </c>
    </row>
    <row r="2292" spans="1:5" ht="15.75" x14ac:dyDescent="0.25">
      <c r="A2292" s="10">
        <v>52474489</v>
      </c>
      <c r="B2292" s="2">
        <v>46065.777480671299</v>
      </c>
      <c r="C2292" s="3" t="str">
        <f>IFERROR(VLOOKUP(A2292,'Base Prueba'!A:C,3,),"NO REGISTRA")</f>
        <v>ADRIANA JIMENA SOTO BOCANEGRA</v>
      </c>
      <c r="D2292" s="4" t="str">
        <f>IFERROR(VLOOKUP(A2292,'Base Prueba'!A:D,4,),"NO REGISTRA")</f>
        <v>COORDINADOR DE LA OFICINA DE REGISTRO Y CONTROL</v>
      </c>
      <c r="E2292" s="5" t="str">
        <f>IFERROR(VLOOKUP(A2292,'Base Prueba'!A:E,5,),"NO REGISTRA")</f>
        <v>REGISTRO Y CONTROL ACADEMICO</v>
      </c>
    </row>
    <row r="2293" spans="1:5" ht="15.75" x14ac:dyDescent="0.25">
      <c r="A2293" s="10">
        <v>1000161811</v>
      </c>
      <c r="B2293" s="2">
        <v>46065.78377094907</v>
      </c>
      <c r="C2293" s="3" t="str">
        <f>IFERROR(VLOOKUP(A2293,'Base Prueba'!A:C,3,),"NO REGISTRA")</f>
        <v>DIEGO ANDRES VARON ROZO</v>
      </c>
      <c r="D2293" s="4" t="str">
        <f>IFERROR(VLOOKUP(A2293,'Base Prueba'!A:D,4,),"NO REGISTRA")</f>
        <v>APRENDIZ UNIVERSITARIO</v>
      </c>
      <c r="E2293" s="5" t="str">
        <f>IFERROR(VLOOKUP(A2293,'Base Prueba'!A:E,5,),"NO REGISTRA")</f>
        <v>OFICINA DE MERCADEO</v>
      </c>
    </row>
    <row r="2294" spans="1:5" ht="15.75" x14ac:dyDescent="0.25">
      <c r="A2294" s="10">
        <v>1000257136</v>
      </c>
      <c r="B2294" s="2">
        <v>46065.784881712963</v>
      </c>
      <c r="C2294" s="3" t="str">
        <f>IFERROR(VLOOKUP(A2294,'Base Prueba'!A:C,3,),"NO REGISTRA")</f>
        <v>FRANCI VALENTINA CANO PUENTES</v>
      </c>
      <c r="D2294" s="4" t="str">
        <f>IFERROR(VLOOKUP(A2294,'Base Prueba'!A:D,4,),"NO REGISTRA")</f>
        <v>AUXILIAR CONTABLE</v>
      </c>
      <c r="E2294" s="5" t="str">
        <f>IFERROR(VLOOKUP(A2294,'Base Prueba'!A:E,5,),"NO REGISTRA")</f>
        <v>AREA FINANCIERA Y CONTABLE</v>
      </c>
    </row>
    <row r="2295" spans="1:5" ht="15.75" x14ac:dyDescent="0.25">
      <c r="A2295" s="10">
        <v>1000457706</v>
      </c>
      <c r="B2295" s="2">
        <v>46065.785401504632</v>
      </c>
      <c r="C2295" s="3" t="str">
        <f>IFERROR(VLOOKUP(A2295,'Base Prueba'!A:C,3,),"NO REGISTRA")</f>
        <v>CRISTIAN DANILO ARROYO SANABRIA</v>
      </c>
      <c r="D2295" s="4" t="str">
        <f>IFERROR(VLOOKUP(A2295,'Base Prueba'!A:D,4,),"NO REGISTRA")</f>
        <v>AUXILIAR CONTABLE</v>
      </c>
      <c r="E2295" s="5" t="str">
        <f>IFERROR(VLOOKUP(A2295,'Base Prueba'!A:E,5,),"NO REGISTRA")</f>
        <v>AREA FINANCIERA Y CONTABLE</v>
      </c>
    </row>
    <row r="2296" spans="1:5" ht="15.75" x14ac:dyDescent="0.25">
      <c r="A2296" s="10">
        <v>80234243</v>
      </c>
      <c r="B2296" s="2">
        <v>46065.79114814815</v>
      </c>
      <c r="C2296" s="3" t="str">
        <f>IFERROR(VLOOKUP(A2296,'Base Prueba'!A:C,3,),"NO REGISTRA")</f>
        <v>ARGENIS MARTINEZ MARTINEZ</v>
      </c>
      <c r="D2296" s="4" t="str">
        <f>IFERROR(VLOOKUP(A2296,'Base Prueba'!A:D,4,),"NO REGISTRA")</f>
        <v>LIDER CALL CENTER</v>
      </c>
      <c r="E2296" s="5" t="str">
        <f>IFERROR(VLOOKUP(A2296,'Base Prueba'!A:E,5,),"NO REGISTRA")</f>
        <v>OFICINA DE MERCADEO</v>
      </c>
    </row>
    <row r="2297" spans="1:5" ht="15.75" x14ac:dyDescent="0.25">
      <c r="A2297" s="10">
        <v>52443092</v>
      </c>
      <c r="B2297" s="2">
        <v>46065.793690740742</v>
      </c>
      <c r="C2297" s="3" t="str">
        <f>IFERROR(VLOOKUP(A2297,'Base Prueba'!A:C,3,),"NO REGISTRA")</f>
        <v>LUZ MYRIAM SAAVEDRA CONTRERAS</v>
      </c>
      <c r="D2297" s="4" t="str">
        <f>IFERROR(VLOOKUP(A2297,'Base Prueba'!A:D,4,),"NO REGISTRA")</f>
        <v>AUXILIAR DE SERVICIOS</v>
      </c>
      <c r="E2297" s="5" t="str">
        <f>IFERROR(VLOOKUP(A2297,'Base Prueba'!A:E,5,),"NO REGISTRA")</f>
        <v>LOGISTICA Y SERVICIOS GENERALES</v>
      </c>
    </row>
    <row r="2298" spans="1:5" ht="15.75" x14ac:dyDescent="0.25">
      <c r="A2298" s="10">
        <v>53932358</v>
      </c>
      <c r="B2298" s="2">
        <v>46065.861309837965</v>
      </c>
      <c r="C2298" s="3" t="str">
        <f>IFERROR(VLOOKUP(A2298,'Base Prueba'!A:C,3,),"NO REGISTRA")</f>
        <v>DIANA MADELEYNE GAONA RODRIGUEZ</v>
      </c>
      <c r="D2298" s="4" t="str">
        <f>IFERROR(VLOOKUP(A2298,'Base Prueba'!A:D,4,),"NO REGISTRA")</f>
        <v>CONTADOR</v>
      </c>
      <c r="E2298" s="5" t="str">
        <f>IFERROR(VLOOKUP(A2298,'Base Prueba'!A:E,5,),"NO REGISTRA")</f>
        <v>AREA FINANCIERA Y CONTABLE</v>
      </c>
    </row>
    <row r="2299" spans="1:5" ht="15.75" x14ac:dyDescent="0.25">
      <c r="A2299" s="10">
        <v>1000324729</v>
      </c>
      <c r="B2299" s="2">
        <v>46066.314766550924</v>
      </c>
      <c r="C2299" s="3" t="str">
        <f>IFERROR(VLOOKUP(A2299,'Base Prueba'!A:C,3,),"NO REGISTRA")</f>
        <v>ANYIE VANESSA TINOCO CAMACHO</v>
      </c>
      <c r="D2299" s="4" t="str">
        <f>IFERROR(VLOOKUP(A2299,'Base Prueba'!A:D,4,),"NO REGISTRA")</f>
        <v>LIDER DE REGISTRO Y CONTROL</v>
      </c>
      <c r="E2299" s="5" t="str">
        <f>IFERROR(VLOOKUP(A2299,'Base Prueba'!A:E,5,),"NO REGISTRA")</f>
        <v>REGISTRO Y CONTROL ACADEMICO</v>
      </c>
    </row>
    <row r="2300" spans="1:5" ht="15.75" x14ac:dyDescent="0.25">
      <c r="A2300" s="10">
        <v>1013616244</v>
      </c>
      <c r="B2300" s="2">
        <v>46066.315467824075</v>
      </c>
      <c r="C2300" s="3" t="str">
        <f>IFERROR(VLOOKUP(A2300,'Base Prueba'!A:C,3,),"NO REGISTRA")</f>
        <v>DIANA CAROLINA MARIN BETANCOURT</v>
      </c>
      <c r="D2300" s="4" t="str">
        <f>IFERROR(VLOOKUP(A2300,'Base Prueba'!A:D,4,),"NO REGISTRA")</f>
        <v>AUXILIAR ADMINISTRATIVO</v>
      </c>
      <c r="E2300" s="5" t="str">
        <f>IFERROR(VLOOKUP(A2300,'Base Prueba'!A:E,5,),"NO REGISTRA")</f>
        <v>REGISTRO Y CONTROL ACADEMICO</v>
      </c>
    </row>
    <row r="2301" spans="1:5" ht="15.75" x14ac:dyDescent="0.25">
      <c r="A2301" s="10">
        <v>1087121273</v>
      </c>
      <c r="B2301" s="2">
        <v>46066.318301851854</v>
      </c>
      <c r="C2301" s="3" t="str">
        <f>IFERROR(VLOOKUP(A2301,'Base Prueba'!A:C,3,),"NO REGISTRA")</f>
        <v>MAYRA ALEJANDRA CASTILLO ARBOLEDA</v>
      </c>
      <c r="D2301" s="4" t="str">
        <f>IFERROR(VLOOKUP(A2301,'Base Prueba'!A:D,4,),"NO REGISTRA")</f>
        <v>APOYO INTEGRAL DE MERCADEO</v>
      </c>
      <c r="E2301" s="5" t="str">
        <f>IFERROR(VLOOKUP(A2301,'Base Prueba'!A:E,5,),"NO REGISTRA")</f>
        <v>CENTRO DE GESTION DOCUMENTAL</v>
      </c>
    </row>
    <row r="2302" spans="1:5" ht="15.75" x14ac:dyDescent="0.25">
      <c r="A2302" s="10">
        <v>1031802160</v>
      </c>
      <c r="B2302" s="2">
        <v>46066.33192060185</v>
      </c>
      <c r="C2302" s="3" t="str">
        <f>IFERROR(VLOOKUP(A2302,'Base Prueba'!A:C,3,),"NO REGISTRA")</f>
        <v>LUISA MARIA MAHECHA SOTOMAYOR</v>
      </c>
      <c r="D2302" s="4" t="str">
        <f>IFERROR(VLOOKUP(A2302,'Base Prueba'!A:D,4,),"NO REGISTRA")</f>
        <v>APRENDIZ UNIVERSITARIO</v>
      </c>
      <c r="E2302" s="5" t="str">
        <f>IFERROR(VLOOKUP(A2302,'Base Prueba'!A:E,5,),"NO REGISTRA")</f>
        <v>OFICINA DE MERCADEO</v>
      </c>
    </row>
    <row r="2303" spans="1:5" ht="15.75" x14ac:dyDescent="0.25">
      <c r="A2303" s="10">
        <v>1000467399</v>
      </c>
      <c r="B2303" s="2">
        <v>46066.335384143516</v>
      </c>
      <c r="C2303" s="3" t="str">
        <f>IFERROR(VLOOKUP(A2303,'Base Prueba'!A:C,3,),"NO REGISTRA")</f>
        <v>BRANDO ESTIVEN DIAZ QUIMBAYA</v>
      </c>
      <c r="D2303" s="4" t="str">
        <f>IFERROR(VLOOKUP(A2303,'Base Prueba'!A:D,4,),"NO REGISTRA")</f>
        <v>APRENDIZ UNIVERSITARIO</v>
      </c>
      <c r="E2303" s="5" t="str">
        <f>IFERROR(VLOOKUP(A2303,'Base Prueba'!A:E,5,),"NO REGISTRA")</f>
        <v>DEPARTAMENTO DE GESTION HUMANA</v>
      </c>
    </row>
    <row r="2304" spans="1:5" ht="15.75" x14ac:dyDescent="0.25">
      <c r="A2304" s="10">
        <v>1014308296</v>
      </c>
      <c r="B2304" s="2">
        <v>46066.339112731483</v>
      </c>
      <c r="C2304" s="3" t="str">
        <f>IFERROR(VLOOKUP(A2304,'Base Prueba'!A:C,3,),"NO REGISTRA")</f>
        <v>DARLENE YULIANA MORENO CELEITA</v>
      </c>
      <c r="D2304" s="4" t="str">
        <f>IFERROR(VLOOKUP(A2304,'Base Prueba'!A:D,4,),"NO REGISTRA")</f>
        <v>CAJERO PRINCIPAL</v>
      </c>
      <c r="E2304" s="5" t="str">
        <f>IFERROR(VLOOKUP(A2304,'Base Prueba'!A:E,5,),"NO REGISTRA")</f>
        <v>AREA FINANCIERA Y CONTABLE</v>
      </c>
    </row>
    <row r="2305" spans="1:5" ht="15.75" x14ac:dyDescent="0.25">
      <c r="A2305" s="10">
        <v>1014977624</v>
      </c>
      <c r="B2305" s="2">
        <v>46066.339523958333</v>
      </c>
      <c r="C2305" s="3" t="str">
        <f>IFERROR(VLOOKUP(A2305,'Base Prueba'!A:C,3,),"NO REGISTRA")</f>
        <v>NICCOLE VALENTINA HERNANDEZ MALAVER</v>
      </c>
      <c r="D2305" s="4" t="str">
        <f>IFERROR(VLOOKUP(A2305,'Base Prueba'!A:D,4,),"NO REGISTRA")</f>
        <v>APRENDIZ UNIVERSITARIO</v>
      </c>
      <c r="E2305" s="5" t="str">
        <f>IFERROR(VLOOKUP(A2305,'Base Prueba'!A:E,5,),"NO REGISTRA")</f>
        <v>AREA FINANCIERA Y CONTABLE</v>
      </c>
    </row>
    <row r="2306" spans="1:5" ht="15.75" x14ac:dyDescent="0.25">
      <c r="A2306" s="10">
        <v>1012357415</v>
      </c>
      <c r="B2306" s="2">
        <v>46066.342847569445</v>
      </c>
      <c r="C2306" s="3" t="str">
        <f>IFERROR(VLOOKUP(A2306,'Base Prueba'!A:C,3,),"NO REGISTRA")</f>
        <v>CINDY LORENA BOHORQUEZ LEYVA</v>
      </c>
      <c r="D2306" s="4" t="str">
        <f>IFERROR(VLOOKUP(A2306,'Base Prueba'!A:D,4,),"NO REGISTRA")</f>
        <v>ANALISTA DE TESORERIA</v>
      </c>
      <c r="E2306" s="5" t="str">
        <f>IFERROR(VLOOKUP(A2306,'Base Prueba'!A:E,5,),"NO REGISTRA")</f>
        <v>AREA FINANCIERA Y CONTABLE</v>
      </c>
    </row>
    <row r="2307" spans="1:5" ht="15.75" x14ac:dyDescent="0.25">
      <c r="A2307" s="10">
        <v>1022996882</v>
      </c>
      <c r="B2307" s="2">
        <v>46066.343621527776</v>
      </c>
      <c r="C2307" s="3" t="str">
        <f>IFERROR(VLOOKUP(A2307,'Base Prueba'!A:C,3,),"NO REGISTRA")</f>
        <v>NANCY BRIGITH ALDANA GUEVARA</v>
      </c>
      <c r="D2307" s="4" t="str">
        <f>IFERROR(VLOOKUP(A2307,'Base Prueba'!A:D,4,),"NO REGISTRA")</f>
        <v>COORDINADORA DE GESTIÓN HUMANA</v>
      </c>
      <c r="E2307" s="5" t="str">
        <f>IFERROR(VLOOKUP(A2307,'Base Prueba'!A:E,5,),"NO REGISTRA")</f>
        <v>DEPARTAMENTO DE GESTION HUMANA</v>
      </c>
    </row>
    <row r="2308" spans="1:5" ht="15.75" x14ac:dyDescent="0.25">
      <c r="A2308" s="10">
        <v>1000161811</v>
      </c>
      <c r="B2308" s="2">
        <v>46066.344278819444</v>
      </c>
      <c r="C2308" s="3" t="str">
        <f>IFERROR(VLOOKUP(A2308,'Base Prueba'!A:C,3,),"NO REGISTRA")</f>
        <v>DIEGO ANDRES VARON ROZO</v>
      </c>
      <c r="D2308" s="4" t="str">
        <f>IFERROR(VLOOKUP(A2308,'Base Prueba'!A:D,4,),"NO REGISTRA")</f>
        <v>APRENDIZ UNIVERSITARIO</v>
      </c>
      <c r="E2308" s="5" t="str">
        <f>IFERROR(VLOOKUP(A2308,'Base Prueba'!A:E,5,),"NO REGISTRA")</f>
        <v>OFICINA DE MERCADEO</v>
      </c>
    </row>
    <row r="2309" spans="1:5" ht="15.75" x14ac:dyDescent="0.25">
      <c r="A2309" s="10">
        <v>1193457976</v>
      </c>
      <c r="B2309" s="2">
        <v>46066.34493634259</v>
      </c>
      <c r="C2309" s="3" t="str">
        <f>IFERROR(VLOOKUP(A2309,'Base Prueba'!A:C,3,),"NO REGISTRA")</f>
        <v>SEDENIS RIVAS ASPRILLA</v>
      </c>
      <c r="D2309" s="4" t="str">
        <f>IFERROR(VLOOKUP(A2309,'Base Prueba'!A:D,4,),"NO REGISTRA")</f>
        <v>APRENDIZ UNIVERSITARIO</v>
      </c>
      <c r="E2309" s="5" t="str">
        <f>IFERROR(VLOOKUP(A2309,'Base Prueba'!A:E,5,),"NO REGISTRA")</f>
        <v>DEPARTAMENTO DE GESTION HUMANA</v>
      </c>
    </row>
    <row r="2310" spans="1:5" ht="15.75" x14ac:dyDescent="0.25">
      <c r="A2310" s="10">
        <v>1000687931</v>
      </c>
      <c r="B2310" s="2">
        <v>46066.345877314816</v>
      </c>
      <c r="C2310" s="3" t="str">
        <f>IFERROR(VLOOKUP(A2310,'Base Prueba'!A:C,3,),"NO REGISTRA")</f>
        <v>ANDRES FELIPE PUENTES TORRES</v>
      </c>
      <c r="D2310" s="4" t="str">
        <f>IFERROR(VLOOKUP(A2310,'Base Prueba'!A:D,4,),"NO REGISTRA")</f>
        <v>AUXILIAR ADMINISTRATIVO</v>
      </c>
      <c r="E2310" s="5" t="str">
        <f>IFERROR(VLOOKUP(A2310,'Base Prueba'!A:E,5,),"NO REGISTRA")</f>
        <v>REGISTRO Y CONTROL ACADEMICO</v>
      </c>
    </row>
    <row r="2311" spans="1:5" ht="15.75" x14ac:dyDescent="0.25">
      <c r="A2311" s="10">
        <v>1023883232</v>
      </c>
      <c r="B2311" s="2">
        <v>46066.346754513892</v>
      </c>
      <c r="C2311" s="3" t="str">
        <f>IFERROR(VLOOKUP(A2311,'Base Prueba'!A:C,3,),"NO REGISTRA")</f>
        <v>MONICA ANDREA ACERO URBANO</v>
      </c>
      <c r="D2311" s="4" t="str">
        <f>IFERROR(VLOOKUP(A2311,'Base Prueba'!A:D,4,),"NO REGISTRA")</f>
        <v>APOYO INTEGRAL A GESTION HUMANA</v>
      </c>
      <c r="E2311" s="5" t="str">
        <f>IFERROR(VLOOKUP(A2311,'Base Prueba'!A:E,5,),"NO REGISTRA")</f>
        <v>DEPARTAMENTO DE GESTION HUMANA</v>
      </c>
    </row>
    <row r="2312" spans="1:5" ht="15.75" x14ac:dyDescent="0.25">
      <c r="A2312" s="10">
        <v>1000457706</v>
      </c>
      <c r="B2312" s="2">
        <v>46066.347517013892</v>
      </c>
      <c r="C2312" s="3" t="str">
        <f>IFERROR(VLOOKUP(A2312,'Base Prueba'!A:C,3,),"NO REGISTRA")</f>
        <v>CRISTIAN DANILO ARROYO SANABRIA</v>
      </c>
      <c r="D2312" s="4" t="str">
        <f>IFERROR(VLOOKUP(A2312,'Base Prueba'!A:D,4,),"NO REGISTRA")</f>
        <v>AUXILIAR CONTABLE</v>
      </c>
      <c r="E2312" s="5" t="str">
        <f>IFERROR(VLOOKUP(A2312,'Base Prueba'!A:E,5,),"NO REGISTRA")</f>
        <v>AREA FINANCIERA Y CONTABLE</v>
      </c>
    </row>
    <row r="2313" spans="1:5" ht="15.75" x14ac:dyDescent="0.25">
      <c r="A2313" s="10">
        <v>1014266838</v>
      </c>
      <c r="B2313" s="2">
        <v>46066.347599421293</v>
      </c>
      <c r="C2313" s="3" t="str">
        <f>IFERROR(VLOOKUP(A2313,'Base Prueba'!A:C,3,),"NO REGISTRA")</f>
        <v>JENNIFER ASTRID ROMERO HURTADO</v>
      </c>
      <c r="D2313" s="4" t="str">
        <f>IFERROR(VLOOKUP(A2313,'Base Prueba'!A:D,4,),"NO REGISTRA")</f>
        <v>LIDER DE RECAUDO</v>
      </c>
      <c r="E2313" s="5" t="str">
        <f>IFERROR(VLOOKUP(A2313,'Base Prueba'!A:E,5,),"NO REGISTRA")</f>
        <v>AREA FINANCIERA Y CONTABLE</v>
      </c>
    </row>
    <row r="2314" spans="1:5" ht="15.75" x14ac:dyDescent="0.25">
      <c r="A2314" s="10">
        <v>1000257136</v>
      </c>
      <c r="B2314" s="2">
        <v>46066.351700694446</v>
      </c>
      <c r="C2314" s="3" t="str">
        <f>IFERROR(VLOOKUP(A2314,'Base Prueba'!A:C,3,),"NO REGISTRA")</f>
        <v>FRANCI VALENTINA CANO PUENTES</v>
      </c>
      <c r="D2314" s="4" t="str">
        <f>IFERROR(VLOOKUP(A2314,'Base Prueba'!A:D,4,),"NO REGISTRA")</f>
        <v>AUXILIAR CONTABLE</v>
      </c>
      <c r="E2314" s="5" t="str">
        <f>IFERROR(VLOOKUP(A2314,'Base Prueba'!A:E,5,),"NO REGISTRA")</f>
        <v>AREA FINANCIERA Y CONTABLE</v>
      </c>
    </row>
    <row r="2315" spans="1:5" ht="15.75" x14ac:dyDescent="0.25">
      <c r="A2315" s="10">
        <v>1049644802</v>
      </c>
      <c r="B2315" s="2">
        <v>46066.35725173611</v>
      </c>
      <c r="C2315" s="3" t="str">
        <f>IFERROR(VLOOKUP(A2315,'Base Prueba'!A:C,3,),"NO REGISTRA")</f>
        <v>DANIELA ALEXANDRA CIPAMOCHA BOSIGA</v>
      </c>
      <c r="D2315" s="4" t="str">
        <f>IFERROR(VLOOKUP(A2315,'Base Prueba'!A:D,4,),"NO REGISTRA")</f>
        <v>LIDER DE DATOS Y SERVICIOS</v>
      </c>
      <c r="E2315" s="5" t="str">
        <f>IFERROR(VLOOKUP(A2315,'Base Prueba'!A:E,5,),"NO REGISTRA")</f>
        <v>OFICINA DE PLANEACION Y GESTION DE LA CALIDAD</v>
      </c>
    </row>
    <row r="2316" spans="1:5" ht="15.75" x14ac:dyDescent="0.25">
      <c r="A2316" s="10">
        <v>1024505434</v>
      </c>
      <c r="B2316" s="2">
        <v>46066.358479282404</v>
      </c>
      <c r="C2316" s="3" t="str">
        <f>IFERROR(VLOOKUP(A2316,'Base Prueba'!A:C,3,),"NO REGISTRA")</f>
        <v>CRISTIAN ALBERTO MELO TORRES</v>
      </c>
      <c r="D2316" s="4" t="str">
        <f>IFERROR(VLOOKUP(A2316,'Base Prueba'!A:D,4,),"NO REGISTRA")</f>
        <v>COORDINADOR DE INFRAESTRUCTURA</v>
      </c>
      <c r="E2316" s="5" t="str">
        <f>IFERROR(VLOOKUP(A2316,'Base Prueba'!A:E,5,),"NO REGISTRA")</f>
        <v>VICERRECTORIA ADMINISTRATIVA Y FINANCIERA</v>
      </c>
    </row>
    <row r="2317" spans="1:5" ht="15.75" x14ac:dyDescent="0.25">
      <c r="A2317" s="10">
        <v>1014196857</v>
      </c>
      <c r="B2317" s="2">
        <v>46066.36380752315</v>
      </c>
      <c r="C2317" s="3" t="str">
        <f>IFERROR(VLOOKUP(A2317,'Base Prueba'!A:C,3,),"NO REGISTRA")</f>
        <v>CARLOS ANDRES JIMENEZ PARDO</v>
      </c>
      <c r="D2317" s="4" t="str">
        <f>IFERROR(VLOOKUP(A2317,'Base Prueba'!A:D,4,),"NO REGISTRA")</f>
        <v>COORDINADOR DE MARKETING DIGITAL</v>
      </c>
      <c r="E2317" s="5" t="str">
        <f>IFERROR(VLOOKUP(A2317,'Base Prueba'!A:E,5,),"NO REGISTRA")</f>
        <v>OFICINA DE MERCADEO</v>
      </c>
    </row>
    <row r="2318" spans="1:5" ht="15.75" x14ac:dyDescent="0.25">
      <c r="A2318" s="10">
        <v>1000593372</v>
      </c>
      <c r="B2318" s="2">
        <v>46066.366898842592</v>
      </c>
      <c r="C2318" s="3" t="str">
        <f>IFERROR(VLOOKUP(A2318,'Base Prueba'!A:C,3,),"NO REGISTRA")</f>
        <v>LAURA SOFIA CHAPARRO LOPEZ</v>
      </c>
      <c r="D2318" s="4" t="str">
        <f>IFERROR(VLOOKUP(A2318,'Base Prueba'!A:D,4,),"NO REGISTRA")</f>
        <v>AUXILIAR JURIDICO</v>
      </c>
      <c r="E2318" s="5" t="str">
        <f>IFERROR(VLOOKUP(A2318,'Base Prueba'!A:E,5,),"NO REGISTRA")</f>
        <v>SECRETARIA GENERAL</v>
      </c>
    </row>
    <row r="2319" spans="1:5" ht="15.75" x14ac:dyDescent="0.25">
      <c r="A2319" s="10">
        <v>53932358</v>
      </c>
      <c r="B2319" s="2">
        <v>46066.367491898149</v>
      </c>
      <c r="C2319" s="3" t="str">
        <f>IFERROR(VLOOKUP(A2319,'Base Prueba'!A:C,3,),"NO REGISTRA")</f>
        <v>DIANA MADELEYNE GAONA RODRIGUEZ</v>
      </c>
      <c r="D2319" s="4" t="str">
        <f>IFERROR(VLOOKUP(A2319,'Base Prueba'!A:D,4,),"NO REGISTRA")</f>
        <v>CONTADOR</v>
      </c>
      <c r="E2319" s="5" t="str">
        <f>IFERROR(VLOOKUP(A2319,'Base Prueba'!A:E,5,),"NO REGISTRA")</f>
        <v>AREA FINANCIERA Y CONTABLE</v>
      </c>
    </row>
    <row r="2320" spans="1:5" ht="15.75" x14ac:dyDescent="0.25">
      <c r="A2320" s="10">
        <v>1032407386</v>
      </c>
      <c r="B2320" s="2">
        <v>46066.369170833335</v>
      </c>
      <c r="C2320" s="3" t="str">
        <f>IFERROR(VLOOKUP(A2320,'Base Prueba'!A:C,3,),"NO REGISTRA")</f>
        <v>GINA PAOLA BAEZ GALVIS</v>
      </c>
      <c r="D2320" s="4" t="str">
        <f>IFERROR(VLOOKUP(A2320,'Base Prueba'!A:D,4,),"NO REGISTRA")</f>
        <v>PROMOTOR CALL CENTER</v>
      </c>
      <c r="E2320" s="5" t="str">
        <f>IFERROR(VLOOKUP(A2320,'Base Prueba'!A:E,5,),"NO REGISTRA")</f>
        <v>OFICINA DE MERCADEO</v>
      </c>
    </row>
    <row r="2321" spans="1:5" ht="15.75" x14ac:dyDescent="0.25">
      <c r="A2321" s="10">
        <v>1033709056</v>
      </c>
      <c r="B2321" s="2">
        <v>46066.371040393518</v>
      </c>
      <c r="C2321" s="3" t="str">
        <f>IFERROR(VLOOKUP(A2321,'Base Prueba'!A:C,3,),"NO REGISTRA")</f>
        <v>YEIMY ALEXANDRA RODRIGUEZ PALACIO</v>
      </c>
      <c r="D2321" s="4" t="str">
        <f>IFERROR(VLOOKUP(A2321,'Base Prueba'!A:D,4,),"NO REGISTRA")</f>
        <v>PROMOTOR CALL CENTER</v>
      </c>
      <c r="E2321" s="5" t="str">
        <f>IFERROR(VLOOKUP(A2321,'Base Prueba'!A:E,5,),"NO REGISTRA")</f>
        <v>OFICINA DE MERCADEO</v>
      </c>
    </row>
    <row r="2322" spans="1:5" ht="15.75" x14ac:dyDescent="0.25">
      <c r="A2322" s="10">
        <v>80234243</v>
      </c>
      <c r="B2322" s="2">
        <v>46066.37251458333</v>
      </c>
      <c r="C2322" s="3" t="str">
        <f>IFERROR(VLOOKUP(A2322,'Base Prueba'!A:C,3,),"NO REGISTRA")</f>
        <v>ARGENIS MARTINEZ MARTINEZ</v>
      </c>
      <c r="D2322" s="4" t="str">
        <f>IFERROR(VLOOKUP(A2322,'Base Prueba'!A:D,4,),"NO REGISTRA")</f>
        <v>LIDER CALL CENTER</v>
      </c>
      <c r="E2322" s="5" t="str">
        <f>IFERROR(VLOOKUP(A2322,'Base Prueba'!A:E,5,),"NO REGISTRA")</f>
        <v>OFICINA DE MERCADEO</v>
      </c>
    </row>
    <row r="2323" spans="1:5" ht="15.75" x14ac:dyDescent="0.25">
      <c r="A2323" s="10">
        <v>1018413529</v>
      </c>
      <c r="B2323" s="2">
        <v>46066.372596759262</v>
      </c>
      <c r="C2323" s="3" t="str">
        <f>IFERROR(VLOOKUP(A2323,'Base Prueba'!A:C,3,),"NO REGISTRA")</f>
        <v>FRANCY STELLA CHARRY MORENO</v>
      </c>
      <c r="D2323" s="4" t="str">
        <f>IFERROR(VLOOKUP(A2323,'Base Prueba'!A:D,4,),"NO REGISTRA")</f>
        <v>PROMOTOR COMERCIAL DEL CEA</v>
      </c>
      <c r="E2323" s="5" t="str">
        <f>IFERROR(VLOOKUP(A2323,'Base Prueba'!A:E,5,),"NO REGISTRA")</f>
        <v>OFICINA DE MERCADEO</v>
      </c>
    </row>
    <row r="2324" spans="1:5" ht="15.75" x14ac:dyDescent="0.25">
      <c r="A2324" s="10">
        <v>1193265768</v>
      </c>
      <c r="B2324" s="2">
        <v>46066.373238425927</v>
      </c>
      <c r="C2324" s="3" t="str">
        <f>IFERROR(VLOOKUP(A2324,'Base Prueba'!A:C,3,),"NO REGISTRA")</f>
        <v>SANTIAGO OSORIO CAMACHO</v>
      </c>
      <c r="D2324" s="4" t="str">
        <f>IFERROR(VLOOKUP(A2324,'Base Prueba'!A:D,4,),"NO REGISTRA")</f>
        <v>ANALISTA DE PAUTA</v>
      </c>
      <c r="E2324" s="5" t="str">
        <f>IFERROR(VLOOKUP(A2324,'Base Prueba'!A:E,5,),"NO REGISTRA")</f>
        <v>OFICINA DE MERCADEO</v>
      </c>
    </row>
    <row r="2325" spans="1:5" ht="15.75" x14ac:dyDescent="0.25">
      <c r="A2325" s="10">
        <v>52472386</v>
      </c>
      <c r="B2325" s="2">
        <v>46066.374750810188</v>
      </c>
      <c r="C2325" s="3" t="str">
        <f>IFERROR(VLOOKUP(A2325,'Base Prueba'!A:C,3,),"NO REGISTRA")</f>
        <v>ADRIANA MARCELA MORALES PARDO</v>
      </c>
      <c r="D2325" s="4" t="str">
        <f>IFERROR(VLOOKUP(A2325,'Base Prueba'!A:D,4,),"NO REGISTRA")</f>
        <v>PROMOTOR CALL CENTER</v>
      </c>
      <c r="E2325" s="5" t="str">
        <f>IFERROR(VLOOKUP(A2325,'Base Prueba'!A:E,5,),"NO REGISTRA")</f>
        <v>OFICINA DE MERCADEO</v>
      </c>
    </row>
    <row r="2326" spans="1:5" ht="15.75" x14ac:dyDescent="0.25">
      <c r="A2326" s="10">
        <v>1018414290</v>
      </c>
      <c r="B2326" s="2">
        <v>46066.376515509262</v>
      </c>
      <c r="C2326" s="3" t="str">
        <f>IFERROR(VLOOKUP(A2326,'Base Prueba'!A:C,3,),"NO REGISTRA")</f>
        <v>AMANDA LISBETH RODRIGUEZ LEON</v>
      </c>
      <c r="D2326" s="4" t="str">
        <f>IFERROR(VLOOKUP(A2326,'Base Prueba'!A:D,4,),"NO REGISTRA")</f>
        <v>PROMOTOR CALL CENTER</v>
      </c>
      <c r="E2326" s="5" t="str">
        <f>IFERROR(VLOOKUP(A2326,'Base Prueba'!A:E,5,),"NO REGISTRA")</f>
        <v>OFICINA DE MERCADEO</v>
      </c>
    </row>
    <row r="2327" spans="1:5" ht="15.75" x14ac:dyDescent="0.25">
      <c r="A2327" s="10">
        <v>1000046533</v>
      </c>
      <c r="B2327" s="2">
        <v>46066.378031134256</v>
      </c>
      <c r="C2327" s="3" t="str">
        <f>IFERROR(VLOOKUP(A2327,'Base Prueba'!A:C,3,),"NO REGISTRA")</f>
        <v>ERIKA JULIETH VALDERRAMA SANCHEZ</v>
      </c>
      <c r="D2327" s="4" t="str">
        <f>IFERROR(VLOOKUP(A2327,'Base Prueba'!A:D,4,),"NO REGISTRA")</f>
        <v>PROMOTOR CALL CENTER</v>
      </c>
      <c r="E2327" s="5" t="str">
        <f>IFERROR(VLOOKUP(A2327,'Base Prueba'!A:E,5,),"NO REGISTRA")</f>
        <v>OFICINA DE MERCADEO</v>
      </c>
    </row>
    <row r="2328" spans="1:5" ht="15.75" x14ac:dyDescent="0.25">
      <c r="A2328" s="10">
        <v>1019105003</v>
      </c>
      <c r="B2328" s="2">
        <v>46066.379833449071</v>
      </c>
      <c r="C2328" s="3" t="str">
        <f>IFERROR(VLOOKUP(A2328,'Base Prueba'!A:C,3,),"NO REGISTRA")</f>
        <v>DAISY JULIETH GASPAR MORENO</v>
      </c>
      <c r="D2328" s="4" t="str">
        <f>IFERROR(VLOOKUP(A2328,'Base Prueba'!A:D,4,),"NO REGISTRA")</f>
        <v>PROMOTOR CALL CENTER</v>
      </c>
      <c r="E2328" s="5" t="str">
        <f>IFERROR(VLOOKUP(A2328,'Base Prueba'!A:E,5,),"NO REGISTRA")</f>
        <v>OFICINA DE MERCADEO</v>
      </c>
    </row>
    <row r="2329" spans="1:5" ht="15.75" x14ac:dyDescent="0.25">
      <c r="A2329" s="10">
        <v>28798349</v>
      </c>
      <c r="B2329" s="2">
        <v>46066.381731944442</v>
      </c>
      <c r="C2329" s="3" t="str">
        <f>IFERROR(VLOOKUP(A2329,'Base Prueba'!A:C,3,),"NO REGISTRA")</f>
        <v>MARTHA ISABEL TOVAR WILLIAMS</v>
      </c>
      <c r="D2329" s="4" t="str">
        <f>IFERROR(VLOOKUP(A2329,'Base Prueba'!A:D,4,),"NO REGISTRA")</f>
        <v>PROMOTOR CALL CENTER</v>
      </c>
      <c r="E2329" s="5" t="str">
        <f>IFERROR(VLOOKUP(A2329,'Base Prueba'!A:E,5,),"NO REGISTRA")</f>
        <v>OFICINA DE MERCADEO</v>
      </c>
    </row>
    <row r="2330" spans="1:5" ht="15.75" x14ac:dyDescent="0.25">
      <c r="A2330" s="10">
        <v>52443092</v>
      </c>
      <c r="B2330" s="2">
        <v>46066.461365625</v>
      </c>
      <c r="C2330" s="3" t="str">
        <f>IFERROR(VLOOKUP(A2330,'Base Prueba'!A:C,3,),"NO REGISTRA")</f>
        <v>LUZ MYRIAM SAAVEDRA CONTRERAS</v>
      </c>
      <c r="D2330" s="4" t="str">
        <f>IFERROR(VLOOKUP(A2330,'Base Prueba'!A:D,4,),"NO REGISTRA")</f>
        <v>AUXILIAR DE SERVICIOS</v>
      </c>
      <c r="E2330" s="5" t="str">
        <f>IFERROR(VLOOKUP(A2330,'Base Prueba'!A:E,5,),"NO REGISTRA")</f>
        <v>LOGISTICA Y SERVICIOS GENERALES</v>
      </c>
    </row>
    <row r="2331" spans="1:5" ht="15.75" x14ac:dyDescent="0.25">
      <c r="A2331" s="10">
        <v>52443092</v>
      </c>
      <c r="B2331" s="2">
        <v>46066.461411689816</v>
      </c>
      <c r="C2331" s="3" t="str">
        <f>IFERROR(VLOOKUP(A2331,'Base Prueba'!A:C,3,),"NO REGISTRA")</f>
        <v>LUZ MYRIAM SAAVEDRA CONTRERAS</v>
      </c>
      <c r="D2331" s="4" t="str">
        <f>IFERROR(VLOOKUP(A2331,'Base Prueba'!A:D,4,),"NO REGISTRA")</f>
        <v>AUXILIAR DE SERVICIOS</v>
      </c>
      <c r="E2331" s="5" t="str">
        <f>IFERROR(VLOOKUP(A2331,'Base Prueba'!A:E,5,),"NO REGISTRA")</f>
        <v>LOGISTICA Y SERVICIOS GENERALES</v>
      </c>
    </row>
    <row r="2332" spans="1:5" ht="15.75" x14ac:dyDescent="0.25">
      <c r="A2332" s="10">
        <v>1018414290</v>
      </c>
      <c r="B2332" s="2">
        <v>46066.546547569444</v>
      </c>
      <c r="C2332" s="3" t="str">
        <f>IFERROR(VLOOKUP(A2332,'Base Prueba'!A:C,3,),"NO REGISTRA")</f>
        <v>AMANDA LISBETH RODRIGUEZ LEON</v>
      </c>
      <c r="D2332" s="4" t="str">
        <f>IFERROR(VLOOKUP(A2332,'Base Prueba'!A:D,4,),"NO REGISTRA")</f>
        <v>PROMOTOR CALL CENTER</v>
      </c>
      <c r="E2332" s="5" t="str">
        <f>IFERROR(VLOOKUP(A2332,'Base Prueba'!A:E,5,),"NO REGISTRA")</f>
        <v>OFICINA DE MERCADEO</v>
      </c>
    </row>
    <row r="2333" spans="1:5" ht="15.75" x14ac:dyDescent="0.25">
      <c r="A2333" s="10">
        <v>1019105003</v>
      </c>
      <c r="B2333" s="2">
        <v>46066.629165046295</v>
      </c>
      <c r="C2333" s="3" t="str">
        <f>IFERROR(VLOOKUP(A2333,'Base Prueba'!A:C,3,),"NO REGISTRA")</f>
        <v>DAISY JULIETH GASPAR MORENO</v>
      </c>
      <c r="D2333" s="4" t="str">
        <f>IFERROR(VLOOKUP(A2333,'Base Prueba'!A:D,4,),"NO REGISTRA")</f>
        <v>PROMOTOR CALL CENTER</v>
      </c>
      <c r="E2333" s="5" t="str">
        <f>IFERROR(VLOOKUP(A2333,'Base Prueba'!A:E,5,),"NO REGISTRA")</f>
        <v>OFICINA DE MERCADEO</v>
      </c>
    </row>
    <row r="2334" spans="1:5" ht="15.75" x14ac:dyDescent="0.25">
      <c r="A2334" s="10">
        <v>1031802160</v>
      </c>
      <c r="B2334" s="2">
        <v>46066.706412500003</v>
      </c>
      <c r="C2334" s="3" t="str">
        <f>IFERROR(VLOOKUP(A2334,'Base Prueba'!A:C,3,),"NO REGISTRA")</f>
        <v>LUISA MARIA MAHECHA SOTOMAYOR</v>
      </c>
      <c r="D2334" s="4" t="str">
        <f>IFERROR(VLOOKUP(A2334,'Base Prueba'!A:D,4,),"NO REGISTRA")</f>
        <v>APRENDIZ UNIVERSITARIO</v>
      </c>
      <c r="E2334" s="5" t="str">
        <f>IFERROR(VLOOKUP(A2334,'Base Prueba'!A:E,5,),"NO REGISTRA")</f>
        <v>OFICINA DE MERCADEO</v>
      </c>
    </row>
    <row r="2335" spans="1:5" ht="15.75" x14ac:dyDescent="0.25">
      <c r="A2335" s="10">
        <v>1000467399</v>
      </c>
      <c r="B2335" s="2">
        <v>46066.70954733796</v>
      </c>
      <c r="C2335" s="3" t="str">
        <f>IFERROR(VLOOKUP(A2335,'Base Prueba'!A:C,3,),"NO REGISTRA")</f>
        <v>BRANDO ESTIVEN DIAZ QUIMBAYA</v>
      </c>
      <c r="D2335" s="4" t="str">
        <f>IFERROR(VLOOKUP(A2335,'Base Prueba'!A:D,4,),"NO REGISTRA")</f>
        <v>APRENDIZ UNIVERSITARIO</v>
      </c>
      <c r="E2335" s="5" t="str">
        <f>IFERROR(VLOOKUP(A2335,'Base Prueba'!A:E,5,),"NO REGISTRA")</f>
        <v>DEPARTAMENTO DE GESTION HUMANA</v>
      </c>
    </row>
    <row r="2336" spans="1:5" ht="15.75" x14ac:dyDescent="0.25">
      <c r="A2336" s="10">
        <v>1193457976</v>
      </c>
      <c r="B2336" s="2">
        <v>46066.710115856484</v>
      </c>
      <c r="C2336" s="3" t="str">
        <f>IFERROR(VLOOKUP(A2336,'Base Prueba'!A:C,3,),"NO REGISTRA")</f>
        <v>SEDENIS RIVAS ASPRILLA</v>
      </c>
      <c r="D2336" s="4" t="str">
        <f>IFERROR(VLOOKUP(A2336,'Base Prueba'!A:D,4,),"NO REGISTRA")</f>
        <v>APRENDIZ UNIVERSITARIO</v>
      </c>
      <c r="E2336" s="5" t="str">
        <f>IFERROR(VLOOKUP(A2336,'Base Prueba'!A:E,5,),"NO REGISTRA")</f>
        <v>DEPARTAMENTO DE GESTION HUMANA</v>
      </c>
    </row>
    <row r="2337" spans="1:5" ht="15.75" x14ac:dyDescent="0.25">
      <c r="A2337" s="10">
        <v>1087121273</v>
      </c>
      <c r="B2337" s="2">
        <v>46066.712456365742</v>
      </c>
      <c r="C2337" s="3" t="str">
        <f>IFERROR(VLOOKUP(A2337,'Base Prueba'!A:C,3,),"NO REGISTRA")</f>
        <v>MAYRA ALEJANDRA CASTILLO ARBOLEDA</v>
      </c>
      <c r="D2337" s="4" t="str">
        <f>IFERROR(VLOOKUP(A2337,'Base Prueba'!A:D,4,),"NO REGISTRA")</f>
        <v>APOYO INTEGRAL DE MERCADEO</v>
      </c>
      <c r="E2337" s="5" t="str">
        <f>IFERROR(VLOOKUP(A2337,'Base Prueba'!A:E,5,),"NO REGISTRA")</f>
        <v>CENTRO DE GESTION DOCUMENTAL</v>
      </c>
    </row>
    <row r="2338" spans="1:5" ht="15.75" x14ac:dyDescent="0.25">
      <c r="A2338" s="10">
        <v>725</v>
      </c>
      <c r="B2338" s="2">
        <v>46066.712535300925</v>
      </c>
      <c r="C2338" s="3" t="str">
        <f>IFERROR(VLOOKUP(A2338,'Base Prueba'!A:C,3,),"NO REGISTRA")</f>
        <v>NO REGISTRA</v>
      </c>
      <c r="D2338" s="4" t="str">
        <f>IFERROR(VLOOKUP(A2338,'Base Prueba'!A:D,4,),"NO REGISTRA")</f>
        <v>NO REGISTRA</v>
      </c>
      <c r="E2338" s="5" t="str">
        <f>IFERROR(VLOOKUP(A2338,'Base Prueba'!A:E,5,),"NO REGISTRA")</f>
        <v>NO REGISTRA</v>
      </c>
    </row>
    <row r="2339" spans="1:5" ht="15.75" x14ac:dyDescent="0.25">
      <c r="A2339" s="10">
        <v>1014266838</v>
      </c>
      <c r="B2339" s="2">
        <v>46066.71266701389</v>
      </c>
      <c r="C2339" s="3" t="str">
        <f>IFERROR(VLOOKUP(A2339,'Base Prueba'!A:C,3,),"NO REGISTRA")</f>
        <v>JENNIFER ASTRID ROMERO HURTADO</v>
      </c>
      <c r="D2339" s="4" t="str">
        <f>IFERROR(VLOOKUP(A2339,'Base Prueba'!A:D,4,),"NO REGISTRA")</f>
        <v>LIDER DE RECAUDO</v>
      </c>
      <c r="E2339" s="5" t="str">
        <f>IFERROR(VLOOKUP(A2339,'Base Prueba'!A:E,5,),"NO REGISTRA")</f>
        <v>AREA FINANCIERA Y CONTABLE</v>
      </c>
    </row>
    <row r="2340" spans="1:5" ht="15.75" x14ac:dyDescent="0.25">
      <c r="A2340" s="10">
        <v>1049644802</v>
      </c>
      <c r="B2340" s="2">
        <v>46066.712714583336</v>
      </c>
      <c r="C2340" s="3" t="str">
        <f>IFERROR(VLOOKUP(A2340,'Base Prueba'!A:C,3,),"NO REGISTRA")</f>
        <v>DANIELA ALEXANDRA CIPAMOCHA BOSIGA</v>
      </c>
      <c r="D2340" s="4" t="str">
        <f>IFERROR(VLOOKUP(A2340,'Base Prueba'!A:D,4,),"NO REGISTRA")</f>
        <v>LIDER DE DATOS Y SERVICIOS</v>
      </c>
      <c r="E2340" s="5" t="str">
        <f>IFERROR(VLOOKUP(A2340,'Base Prueba'!A:E,5,),"NO REGISTRA")</f>
        <v>OFICINA DE PLANEACION Y GESTION DE LA CALIDAD</v>
      </c>
    </row>
    <row r="2341" spans="1:5" ht="15.75" x14ac:dyDescent="0.25">
      <c r="A2341" s="10">
        <v>1000593372</v>
      </c>
      <c r="B2341" s="2">
        <v>46066.718834490741</v>
      </c>
      <c r="C2341" s="3" t="str">
        <f>IFERROR(VLOOKUP(A2341,'Base Prueba'!A:C,3,),"NO REGISTRA")</f>
        <v>LAURA SOFIA CHAPARRO LOPEZ</v>
      </c>
      <c r="D2341" s="4" t="str">
        <f>IFERROR(VLOOKUP(A2341,'Base Prueba'!A:D,4,),"NO REGISTRA")</f>
        <v>AUXILIAR JURIDICO</v>
      </c>
      <c r="E2341" s="5" t="str">
        <f>IFERROR(VLOOKUP(A2341,'Base Prueba'!A:E,5,),"NO REGISTRA")</f>
        <v>SECRETARIA GENERAL</v>
      </c>
    </row>
    <row r="2342" spans="1:5" ht="15.75" x14ac:dyDescent="0.25">
      <c r="A2342" s="10">
        <v>1026599257</v>
      </c>
      <c r="B2342" s="2">
        <v>46066.72182013889</v>
      </c>
      <c r="C2342" s="3" t="str">
        <f>IFERROR(VLOOKUP(A2342,'Base Prueba'!A:C,3,),"NO REGISTRA")</f>
        <v>YESENIA PAOLA PINEDA HURTADO</v>
      </c>
      <c r="D2342" s="4" t="str">
        <f>IFERROR(VLOOKUP(A2342,'Base Prueba'!A:D,4,),"NO REGISTRA")</f>
        <v>LIDER DE COMPRAS</v>
      </c>
      <c r="E2342" s="5" t="str">
        <f>IFERROR(VLOOKUP(A2342,'Base Prueba'!A:E,5,),"NO REGISTRA")</f>
        <v>AREA ADMINISTRATIVA</v>
      </c>
    </row>
    <row r="2343" spans="1:5" ht="15.75" x14ac:dyDescent="0.25">
      <c r="A2343" s="10">
        <v>1000687931</v>
      </c>
      <c r="B2343" s="2">
        <v>46066.722975694443</v>
      </c>
      <c r="C2343" s="3" t="str">
        <f>IFERROR(VLOOKUP(A2343,'Base Prueba'!A:C,3,),"NO REGISTRA")</f>
        <v>ANDRES FELIPE PUENTES TORRES</v>
      </c>
      <c r="D2343" s="4" t="str">
        <f>IFERROR(VLOOKUP(A2343,'Base Prueba'!A:D,4,),"NO REGISTRA")</f>
        <v>AUXILIAR ADMINISTRATIVO</v>
      </c>
      <c r="E2343" s="5" t="str">
        <f>IFERROR(VLOOKUP(A2343,'Base Prueba'!A:E,5,),"NO REGISTRA")</f>
        <v>REGISTRO Y CONTROL ACADEMICO</v>
      </c>
    </row>
    <row r="2344" spans="1:5" ht="15.75" x14ac:dyDescent="0.25">
      <c r="A2344" s="10">
        <v>1014977624</v>
      </c>
      <c r="B2344" s="2">
        <v>46066.724251504631</v>
      </c>
      <c r="C2344" s="3" t="str">
        <f>IFERROR(VLOOKUP(A2344,'Base Prueba'!A:C,3,),"NO REGISTRA")</f>
        <v>NICCOLE VALENTINA HERNANDEZ MALAVER</v>
      </c>
      <c r="D2344" s="4" t="str">
        <f>IFERROR(VLOOKUP(A2344,'Base Prueba'!A:D,4,),"NO REGISTRA")</f>
        <v>APRENDIZ UNIVERSITARIO</v>
      </c>
      <c r="E2344" s="5" t="str">
        <f>IFERROR(VLOOKUP(A2344,'Base Prueba'!A:E,5,),"NO REGISTRA")</f>
        <v>AREA FINANCIERA Y CONTABLE</v>
      </c>
    </row>
    <row r="2345" spans="1:5" ht="15.75" x14ac:dyDescent="0.25">
      <c r="A2345" s="10">
        <v>1014308296</v>
      </c>
      <c r="B2345" s="2">
        <v>46066.729031134259</v>
      </c>
      <c r="C2345" s="3" t="str">
        <f>IFERROR(VLOOKUP(A2345,'Base Prueba'!A:C,3,),"NO REGISTRA")</f>
        <v>DARLENE YULIANA MORENO CELEITA</v>
      </c>
      <c r="D2345" s="4" t="str">
        <f>IFERROR(VLOOKUP(A2345,'Base Prueba'!A:D,4,),"NO REGISTRA")</f>
        <v>CAJERO PRINCIPAL</v>
      </c>
      <c r="E2345" s="5" t="str">
        <f>IFERROR(VLOOKUP(A2345,'Base Prueba'!A:E,5,),"NO REGISTRA")</f>
        <v>AREA FINANCIERA Y CONTABLE</v>
      </c>
    </row>
    <row r="2346" spans="1:5" ht="15.75" x14ac:dyDescent="0.25">
      <c r="A2346" s="10">
        <v>1000457706</v>
      </c>
      <c r="B2346" s="2">
        <v>46066.73056585648</v>
      </c>
      <c r="C2346" s="3" t="str">
        <f>IFERROR(VLOOKUP(A2346,'Base Prueba'!A:C,3,),"NO REGISTRA")</f>
        <v>CRISTIAN DANILO ARROYO SANABRIA</v>
      </c>
      <c r="D2346" s="4" t="str">
        <f>IFERROR(VLOOKUP(A2346,'Base Prueba'!A:D,4,),"NO REGISTRA")</f>
        <v>AUXILIAR CONTABLE</v>
      </c>
      <c r="E2346" s="5" t="str">
        <f>IFERROR(VLOOKUP(A2346,'Base Prueba'!A:E,5,),"NO REGISTRA")</f>
        <v>AREA FINANCIERA Y CONTABLE</v>
      </c>
    </row>
    <row r="2347" spans="1:5" ht="15.75" x14ac:dyDescent="0.25">
      <c r="A2347" s="10">
        <v>1000257136</v>
      </c>
      <c r="B2347" s="2">
        <v>46066.731097222226</v>
      </c>
      <c r="C2347" s="3" t="str">
        <f>IFERROR(VLOOKUP(A2347,'Base Prueba'!A:C,3,),"NO REGISTRA")</f>
        <v>FRANCI VALENTINA CANO PUENTES</v>
      </c>
      <c r="D2347" s="4" t="str">
        <f>IFERROR(VLOOKUP(A2347,'Base Prueba'!A:D,4,),"NO REGISTRA")</f>
        <v>AUXILIAR CONTABLE</v>
      </c>
      <c r="E2347" s="5" t="str">
        <f>IFERROR(VLOOKUP(A2347,'Base Prueba'!A:E,5,),"NO REGISTRA")</f>
        <v>AREA FINANCIERA Y CONTABLE</v>
      </c>
    </row>
    <row r="2348" spans="1:5" ht="15.75" x14ac:dyDescent="0.25">
      <c r="A2348" s="10">
        <v>1022996882</v>
      </c>
      <c r="B2348" s="2">
        <v>46066.737799652779</v>
      </c>
      <c r="C2348" s="3" t="str">
        <f>IFERROR(VLOOKUP(A2348,'Base Prueba'!A:C,3,),"NO REGISTRA")</f>
        <v>NANCY BRIGITH ALDANA GUEVARA</v>
      </c>
      <c r="D2348" s="4" t="str">
        <f>IFERROR(VLOOKUP(A2348,'Base Prueba'!A:D,4,),"NO REGISTRA")</f>
        <v>COORDINADORA DE GESTIÓN HUMANA</v>
      </c>
      <c r="E2348" s="5" t="str">
        <f>IFERROR(VLOOKUP(A2348,'Base Prueba'!A:E,5,),"NO REGISTRA")</f>
        <v>DEPARTAMENTO DE GESTION HUMANA</v>
      </c>
    </row>
    <row r="2349" spans="1:5" ht="15.75" x14ac:dyDescent="0.25">
      <c r="A2349" s="10">
        <v>1000324729</v>
      </c>
      <c r="B2349" s="2">
        <v>46066.739886921299</v>
      </c>
      <c r="C2349" s="3" t="str">
        <f>IFERROR(VLOOKUP(A2349,'Base Prueba'!A:C,3,),"NO REGISTRA")</f>
        <v>ANYIE VANESSA TINOCO CAMACHO</v>
      </c>
      <c r="D2349" s="4" t="str">
        <f>IFERROR(VLOOKUP(A2349,'Base Prueba'!A:D,4,),"NO REGISTRA")</f>
        <v>LIDER DE REGISTRO Y CONTROL</v>
      </c>
      <c r="E2349" s="5" t="str">
        <f>IFERROR(VLOOKUP(A2349,'Base Prueba'!A:E,5,),"NO REGISTRA")</f>
        <v>REGISTRO Y CONTROL ACADEMICO</v>
      </c>
    </row>
    <row r="2350" spans="1:5" ht="15.75" x14ac:dyDescent="0.25">
      <c r="A2350" s="10">
        <v>1013616244</v>
      </c>
      <c r="B2350" s="2">
        <v>46066.739912268516</v>
      </c>
      <c r="C2350" s="3" t="str">
        <f>IFERROR(VLOOKUP(A2350,'Base Prueba'!A:C,3,),"NO REGISTRA")</f>
        <v>DIANA CAROLINA MARIN BETANCOURT</v>
      </c>
      <c r="D2350" s="4" t="str">
        <f>IFERROR(VLOOKUP(A2350,'Base Prueba'!A:D,4,),"NO REGISTRA")</f>
        <v>AUXILIAR ADMINISTRATIVO</v>
      </c>
      <c r="E2350" s="5" t="str">
        <f>IFERROR(VLOOKUP(A2350,'Base Prueba'!A:E,5,),"NO REGISTRA")</f>
        <v>REGISTRO Y CONTROL ACADEMICO</v>
      </c>
    </row>
    <row r="2351" spans="1:5" ht="15.75" x14ac:dyDescent="0.25">
      <c r="A2351" s="10">
        <v>1000046533</v>
      </c>
      <c r="B2351" s="2">
        <v>46066.751272453701</v>
      </c>
      <c r="C2351" s="3" t="str">
        <f>IFERROR(VLOOKUP(A2351,'Base Prueba'!A:C,3,),"NO REGISTRA")</f>
        <v>ERIKA JULIETH VALDERRAMA SANCHEZ</v>
      </c>
      <c r="D2351" s="4" t="str">
        <f>IFERROR(VLOOKUP(A2351,'Base Prueba'!A:D,4,),"NO REGISTRA")</f>
        <v>PROMOTOR CALL CENTER</v>
      </c>
      <c r="E2351" s="5" t="str">
        <f>IFERROR(VLOOKUP(A2351,'Base Prueba'!A:E,5,),"NO REGISTRA")</f>
        <v>OFICINA DE MERCADEO</v>
      </c>
    </row>
    <row r="2352" spans="1:5" ht="15.75" x14ac:dyDescent="0.25">
      <c r="A2352" s="10">
        <v>1012357415</v>
      </c>
      <c r="B2352" s="2">
        <v>46066.753188078706</v>
      </c>
      <c r="C2352" s="3" t="str">
        <f>IFERROR(VLOOKUP(A2352,'Base Prueba'!A:C,3,),"NO REGISTRA")</f>
        <v>CINDY LORENA BOHORQUEZ LEYVA</v>
      </c>
      <c r="D2352" s="4" t="str">
        <f>IFERROR(VLOOKUP(A2352,'Base Prueba'!A:D,4,),"NO REGISTRA")</f>
        <v>ANALISTA DE TESORERIA</v>
      </c>
      <c r="E2352" s="5" t="str">
        <f>IFERROR(VLOOKUP(A2352,'Base Prueba'!A:E,5,),"NO REGISTRA")</f>
        <v>AREA FINANCIERA Y CONTABLE</v>
      </c>
    </row>
    <row r="2353" spans="1:5" ht="15.75" x14ac:dyDescent="0.25">
      <c r="A2353" s="10">
        <v>1033709056</v>
      </c>
      <c r="B2353" s="2">
        <v>46066.757903356483</v>
      </c>
      <c r="C2353" s="3" t="str">
        <f>IFERROR(VLOOKUP(A2353,'Base Prueba'!A:C,3,),"NO REGISTRA")</f>
        <v>YEIMY ALEXANDRA RODRIGUEZ PALACIO</v>
      </c>
      <c r="D2353" s="4" t="str">
        <f>IFERROR(VLOOKUP(A2353,'Base Prueba'!A:D,4,),"NO REGISTRA")</f>
        <v>PROMOTOR CALL CENTER</v>
      </c>
      <c r="E2353" s="5" t="str">
        <f>IFERROR(VLOOKUP(A2353,'Base Prueba'!A:E,5,),"NO REGISTRA")</f>
        <v>OFICINA DE MERCADEO</v>
      </c>
    </row>
    <row r="2354" spans="1:5" ht="15.75" x14ac:dyDescent="0.25">
      <c r="A2354" s="10">
        <v>1023883232</v>
      </c>
      <c r="B2354" s="2">
        <v>46066.761411226849</v>
      </c>
      <c r="C2354" s="3" t="str">
        <f>IFERROR(VLOOKUP(A2354,'Base Prueba'!A:C,3,),"NO REGISTRA")</f>
        <v>MONICA ANDREA ACERO URBANO</v>
      </c>
      <c r="D2354" s="4" t="str">
        <f>IFERROR(VLOOKUP(A2354,'Base Prueba'!A:D,4,),"NO REGISTRA")</f>
        <v>APOYO INTEGRAL A GESTION HUMANA</v>
      </c>
      <c r="E2354" s="5" t="str">
        <f>IFERROR(VLOOKUP(A2354,'Base Prueba'!A:E,5,),"NO REGISTRA")</f>
        <v>DEPARTAMENTO DE GESTION HUMANA</v>
      </c>
    </row>
    <row r="2355" spans="1:5" ht="15.75" x14ac:dyDescent="0.25">
      <c r="A2355" s="10">
        <v>52472386</v>
      </c>
      <c r="B2355" s="2">
        <v>46066.765574074074</v>
      </c>
      <c r="C2355" s="3" t="str">
        <f>IFERROR(VLOOKUP(A2355,'Base Prueba'!A:C,3,),"NO REGISTRA")</f>
        <v>ADRIANA MARCELA MORALES PARDO</v>
      </c>
      <c r="D2355" s="4" t="str">
        <f>IFERROR(VLOOKUP(A2355,'Base Prueba'!A:D,4,),"NO REGISTRA")</f>
        <v>PROMOTOR CALL CENTER</v>
      </c>
      <c r="E2355" s="5" t="str">
        <f>IFERROR(VLOOKUP(A2355,'Base Prueba'!A:E,5,),"NO REGISTRA")</f>
        <v>OFICINA DE MERCADEO</v>
      </c>
    </row>
    <row r="2356" spans="1:5" ht="15.75" x14ac:dyDescent="0.25">
      <c r="A2356" s="10">
        <v>53089882</v>
      </c>
      <c r="B2356" s="2">
        <v>46066.766782870371</v>
      </c>
      <c r="C2356" s="3" t="str">
        <f>IFERROR(VLOOKUP(A2356,'Base Prueba'!A:C,3,),"NO REGISTRA")</f>
        <v>MARIA JOHANA ESCAMILLA MARTINEZ</v>
      </c>
      <c r="D2356" s="4" t="str">
        <f>IFERROR(VLOOKUP(A2356,'Base Prueba'!A:D,4,),"NO REGISTRA")</f>
        <v>PROMOTOR DE INFORMACIÓN</v>
      </c>
      <c r="E2356" s="5" t="str">
        <f>IFERROR(VLOOKUP(A2356,'Base Prueba'!A:E,5,),"NO REGISTRA")</f>
        <v>OFICINA DE MERCADEO</v>
      </c>
    </row>
    <row r="2357" spans="1:5" ht="15.75" x14ac:dyDescent="0.25">
      <c r="A2357" s="10">
        <v>1032407386</v>
      </c>
      <c r="B2357" s="2">
        <v>46066.767409143518</v>
      </c>
      <c r="C2357" s="3" t="str">
        <f>IFERROR(VLOOKUP(A2357,'Base Prueba'!A:C,3,),"NO REGISTRA")</f>
        <v>GINA PAOLA BAEZ GALVIS</v>
      </c>
      <c r="D2357" s="4" t="str">
        <f>IFERROR(VLOOKUP(A2357,'Base Prueba'!A:D,4,),"NO REGISTRA")</f>
        <v>PROMOTOR CALL CENTER</v>
      </c>
      <c r="E2357" s="5" t="str">
        <f>IFERROR(VLOOKUP(A2357,'Base Prueba'!A:E,5,),"NO REGISTRA")</f>
        <v>OFICINA DE MERCADEO</v>
      </c>
    </row>
    <row r="2358" spans="1:5" ht="15.75" x14ac:dyDescent="0.25">
      <c r="A2358" s="10">
        <v>28798349</v>
      </c>
      <c r="B2358" s="2">
        <v>46066.767495254629</v>
      </c>
      <c r="C2358" s="3" t="str">
        <f>IFERROR(VLOOKUP(A2358,'Base Prueba'!A:C,3,),"NO REGISTRA")</f>
        <v>MARTHA ISABEL TOVAR WILLIAMS</v>
      </c>
      <c r="D2358" s="4" t="str">
        <f>IFERROR(VLOOKUP(A2358,'Base Prueba'!A:D,4,),"NO REGISTRA")</f>
        <v>PROMOTOR CALL CENTER</v>
      </c>
      <c r="E2358" s="5" t="str">
        <f>IFERROR(VLOOKUP(A2358,'Base Prueba'!A:E,5,),"NO REGISTRA")</f>
        <v>OFICINA DE MERCADEO</v>
      </c>
    </row>
    <row r="2359" spans="1:5" ht="15.75" x14ac:dyDescent="0.25">
      <c r="A2359" s="10">
        <v>1018413529</v>
      </c>
      <c r="B2359" s="2">
        <v>46066.768648379628</v>
      </c>
      <c r="C2359" s="3" t="str">
        <f>IFERROR(VLOOKUP(A2359,'Base Prueba'!A:C,3,),"NO REGISTRA")</f>
        <v>FRANCY STELLA CHARRY MORENO</v>
      </c>
      <c r="D2359" s="4" t="str">
        <f>IFERROR(VLOOKUP(A2359,'Base Prueba'!A:D,4,),"NO REGISTRA")</f>
        <v>PROMOTOR COMERCIAL DEL CEA</v>
      </c>
      <c r="E2359" s="5" t="str">
        <f>IFERROR(VLOOKUP(A2359,'Base Prueba'!A:E,5,),"NO REGISTRA")</f>
        <v>OFICINA DE MERCADEO</v>
      </c>
    </row>
    <row r="2360" spans="1:5" ht="15.75" x14ac:dyDescent="0.25">
      <c r="A2360" s="10">
        <v>1193265768</v>
      </c>
      <c r="B2360" s="2">
        <v>46066.770781712963</v>
      </c>
      <c r="C2360" s="3" t="str">
        <f>IFERROR(VLOOKUP(A2360,'Base Prueba'!A:C,3,),"NO REGISTRA")</f>
        <v>SANTIAGO OSORIO CAMACHO</v>
      </c>
      <c r="D2360" s="4" t="str">
        <f>IFERROR(VLOOKUP(A2360,'Base Prueba'!A:D,4,),"NO REGISTRA")</f>
        <v>ANALISTA DE PAUTA</v>
      </c>
      <c r="E2360" s="5" t="str">
        <f>IFERROR(VLOOKUP(A2360,'Base Prueba'!A:E,5,),"NO REGISTRA")</f>
        <v>OFICINA DE MERCADEO</v>
      </c>
    </row>
    <row r="2361" spans="1:5" ht="15.75" x14ac:dyDescent="0.25">
      <c r="A2361" s="10">
        <v>1014196857</v>
      </c>
      <c r="B2361" s="2">
        <v>46066.770807175926</v>
      </c>
      <c r="C2361" s="3" t="str">
        <f>IFERROR(VLOOKUP(A2361,'Base Prueba'!A:C,3,),"NO REGISTRA")</f>
        <v>CARLOS ANDRES JIMENEZ PARDO</v>
      </c>
      <c r="D2361" s="4" t="str">
        <f>IFERROR(VLOOKUP(A2361,'Base Prueba'!A:D,4,),"NO REGISTRA")</f>
        <v>COORDINADOR DE MARKETING DIGITAL</v>
      </c>
      <c r="E2361" s="5" t="str">
        <f>IFERROR(VLOOKUP(A2361,'Base Prueba'!A:E,5,),"NO REGISTRA")</f>
        <v>OFICINA DE MERCADEO</v>
      </c>
    </row>
    <row r="2362" spans="1:5" ht="15.75" x14ac:dyDescent="0.25">
      <c r="A2362" s="10">
        <v>1016090131</v>
      </c>
      <c r="B2362" s="2">
        <v>46066.774145254632</v>
      </c>
      <c r="C2362" s="3" t="str">
        <f>IFERROR(VLOOKUP(A2362,'Base Prueba'!A:C,3,),"NO REGISTRA")</f>
        <v>NICOLAS RODRIGUEZ PACHECO</v>
      </c>
      <c r="D2362" s="4" t="str">
        <f>IFERROR(VLOOKUP(A2362,'Base Prueba'!A:D,4,),"NO REGISTRA")</f>
        <v>COORDINADOR DE COMUNICACIONES</v>
      </c>
      <c r="E2362" s="5" t="str">
        <f>IFERROR(VLOOKUP(A2362,'Base Prueba'!A:E,5,),"NO REGISTRA")</f>
        <v>OFICINA DE MERCADEO</v>
      </c>
    </row>
    <row r="2363" spans="1:5" ht="15.75" x14ac:dyDescent="0.25">
      <c r="A2363" s="10">
        <v>1000161811</v>
      </c>
      <c r="B2363" s="2">
        <v>46066.774247337962</v>
      </c>
      <c r="C2363" s="3" t="str">
        <f>IFERROR(VLOOKUP(A2363,'Base Prueba'!A:C,3,),"NO REGISTRA")</f>
        <v>DIEGO ANDRES VARON ROZO</v>
      </c>
      <c r="D2363" s="4" t="str">
        <f>IFERROR(VLOOKUP(A2363,'Base Prueba'!A:D,4,),"NO REGISTRA")</f>
        <v>APRENDIZ UNIVERSITARIO</v>
      </c>
      <c r="E2363" s="5" t="str">
        <f>IFERROR(VLOOKUP(A2363,'Base Prueba'!A:E,5,),"NO REGISTRA")</f>
        <v>OFICINA DE MERCADEO</v>
      </c>
    </row>
    <row r="2364" spans="1:5" ht="15.75" x14ac:dyDescent="0.25">
      <c r="A2364" s="10">
        <v>52175674</v>
      </c>
      <c r="B2364" s="2">
        <v>46066.778618750002</v>
      </c>
      <c r="C2364" s="3" t="str">
        <f>IFERROR(VLOOKUP(A2364,'Base Prueba'!A:C,3,),"NO REGISTRA")</f>
        <v>LUZ YANETH GOMEZ AREVALO</v>
      </c>
      <c r="D2364" s="4" t="str">
        <f>IFERROR(VLOOKUP(A2364,'Base Prueba'!A:D,4,),"NO REGISTRA")</f>
        <v>COORDINADORA DE ADMISIONES</v>
      </c>
      <c r="E2364" s="5" t="str">
        <f>IFERROR(VLOOKUP(A2364,'Base Prueba'!A:E,5,),"NO REGISTRA")</f>
        <v>OFICINA DE MERCADEO</v>
      </c>
    </row>
    <row r="2365" spans="1:5" ht="15.75" x14ac:dyDescent="0.25">
      <c r="A2365" s="10">
        <v>52474489</v>
      </c>
      <c r="B2365" s="2">
        <v>46066.781090393517</v>
      </c>
      <c r="C2365" s="3" t="str">
        <f>IFERROR(VLOOKUP(A2365,'Base Prueba'!A:C,3,),"NO REGISTRA")</f>
        <v>ADRIANA JIMENA SOTO BOCANEGRA</v>
      </c>
      <c r="D2365" s="4" t="str">
        <f>IFERROR(VLOOKUP(A2365,'Base Prueba'!A:D,4,),"NO REGISTRA")</f>
        <v>COORDINADOR DE LA OFICINA DE REGISTRO Y CONTROL</v>
      </c>
      <c r="E2365" s="5" t="str">
        <f>IFERROR(VLOOKUP(A2365,'Base Prueba'!A:E,5,),"NO REGISTRA")</f>
        <v>REGISTRO Y CONTROL ACADEMICO</v>
      </c>
    </row>
    <row r="2366" spans="1:5" ht="15.75" x14ac:dyDescent="0.25">
      <c r="A2366" s="10">
        <v>52443092</v>
      </c>
      <c r="B2366" s="2">
        <v>46066.792023148148</v>
      </c>
      <c r="C2366" s="3" t="str">
        <f>IFERROR(VLOOKUP(A2366,'Base Prueba'!A:C,3,),"NO REGISTRA")</f>
        <v>LUZ MYRIAM SAAVEDRA CONTRERAS</v>
      </c>
      <c r="D2366" s="4" t="str">
        <f>IFERROR(VLOOKUP(A2366,'Base Prueba'!A:D,4,),"NO REGISTRA")</f>
        <v>AUXILIAR DE SERVICIOS</v>
      </c>
      <c r="E2366" s="5" t="str">
        <f>IFERROR(VLOOKUP(A2366,'Base Prueba'!A:E,5,),"NO REGISTRA")</f>
        <v>LOGISTICA Y SERVICIOS GENERALES</v>
      </c>
    </row>
    <row r="2367" spans="1:5" ht="15.75" x14ac:dyDescent="0.25">
      <c r="A2367" s="10">
        <v>80234243</v>
      </c>
      <c r="B2367" s="2">
        <v>46066.795192361111</v>
      </c>
      <c r="C2367" s="3" t="str">
        <f>IFERROR(VLOOKUP(A2367,'Base Prueba'!A:C,3,),"NO REGISTRA")</f>
        <v>ARGENIS MARTINEZ MARTINEZ</v>
      </c>
      <c r="D2367" s="4" t="str">
        <f>IFERROR(VLOOKUP(A2367,'Base Prueba'!A:D,4,),"NO REGISTRA")</f>
        <v>LIDER CALL CENTER</v>
      </c>
      <c r="E2367" s="5" t="str">
        <f>IFERROR(VLOOKUP(A2367,'Base Prueba'!A:E,5,),"NO REGISTRA")</f>
        <v>OFICINA DE MERCADEO</v>
      </c>
    </row>
    <row r="2368" spans="1:5" ht="15.75" x14ac:dyDescent="0.25">
      <c r="A2368" s="10">
        <v>53932358</v>
      </c>
      <c r="B2368" s="2">
        <v>46066.827685416669</v>
      </c>
      <c r="C2368" s="3" t="str">
        <f>IFERROR(VLOOKUP(A2368,'Base Prueba'!A:C,3,),"NO REGISTRA")</f>
        <v>DIANA MADELEYNE GAONA RODRIGUEZ</v>
      </c>
      <c r="D2368" s="4" t="str">
        <f>IFERROR(VLOOKUP(A2368,'Base Prueba'!A:D,4,),"NO REGISTRA")</f>
        <v>CONTADOR</v>
      </c>
      <c r="E2368" s="5" t="str">
        <f>IFERROR(VLOOKUP(A2368,'Base Prueba'!A:E,5,),"NO REGISTRA")</f>
        <v>AREA FINANCIERA Y CONTABLE</v>
      </c>
    </row>
    <row r="2369" spans="1:5" ht="15.75" x14ac:dyDescent="0.25">
      <c r="A2369" s="10">
        <v>1013616244</v>
      </c>
      <c r="B2369" s="2">
        <v>46067.317227662039</v>
      </c>
      <c r="C2369" s="3" t="str">
        <f>IFERROR(VLOOKUP(A2369,'Base Prueba'!A:C,3,),"NO REGISTRA")</f>
        <v>DIANA CAROLINA MARIN BETANCOURT</v>
      </c>
      <c r="D2369" s="4" t="str">
        <f>IFERROR(VLOOKUP(A2369,'Base Prueba'!A:D,4,),"NO REGISTRA")</f>
        <v>AUXILIAR ADMINISTRATIVO</v>
      </c>
      <c r="E2369" s="5" t="str">
        <f>IFERROR(VLOOKUP(A2369,'Base Prueba'!A:E,5,),"NO REGISTRA")</f>
        <v>REGISTRO Y CONTROL ACADEMICO</v>
      </c>
    </row>
    <row r="2370" spans="1:5" ht="15.75" x14ac:dyDescent="0.25">
      <c r="A2370" s="10">
        <v>1031802160</v>
      </c>
      <c r="B2370" s="2">
        <v>46067.329089583334</v>
      </c>
      <c r="C2370" s="3" t="str">
        <f>IFERROR(VLOOKUP(A2370,'Base Prueba'!A:C,3,),"NO REGISTRA")</f>
        <v>LUISA MARIA MAHECHA SOTOMAYOR</v>
      </c>
      <c r="D2370" s="4" t="str">
        <f>IFERROR(VLOOKUP(A2370,'Base Prueba'!A:D,4,),"NO REGISTRA")</f>
        <v>APRENDIZ UNIVERSITARIO</v>
      </c>
      <c r="E2370" s="5" t="str">
        <f>IFERROR(VLOOKUP(A2370,'Base Prueba'!A:E,5,),"NO REGISTRA")</f>
        <v>OFICINA DE MERCADEO</v>
      </c>
    </row>
    <row r="2371" spans="1:5" ht="15.75" x14ac:dyDescent="0.25">
      <c r="A2371" s="10">
        <v>1000161811</v>
      </c>
      <c r="B2371" s="2">
        <v>46067.337496180553</v>
      </c>
      <c r="C2371" s="3" t="str">
        <f>IFERROR(VLOOKUP(A2371,'Base Prueba'!A:C,3,),"NO REGISTRA")</f>
        <v>DIEGO ANDRES VARON ROZO</v>
      </c>
      <c r="D2371" s="4" t="str">
        <f>IFERROR(VLOOKUP(A2371,'Base Prueba'!A:D,4,),"NO REGISTRA")</f>
        <v>APRENDIZ UNIVERSITARIO</v>
      </c>
      <c r="E2371" s="5" t="str">
        <f>IFERROR(VLOOKUP(A2371,'Base Prueba'!A:E,5,),"NO REGISTRA")</f>
        <v>OFICINA DE MERCADEO</v>
      </c>
    </row>
    <row r="2372" spans="1:5" ht="15.75" x14ac:dyDescent="0.25">
      <c r="A2372" s="10">
        <v>1000324729</v>
      </c>
      <c r="B2372" s="2">
        <v>46067.348980439812</v>
      </c>
      <c r="C2372" s="3" t="str">
        <f>IFERROR(VLOOKUP(A2372,'Base Prueba'!A:C,3,),"NO REGISTRA")</f>
        <v>ANYIE VANESSA TINOCO CAMACHO</v>
      </c>
      <c r="D2372" s="4" t="str">
        <f>IFERROR(VLOOKUP(A2372,'Base Prueba'!A:D,4,),"NO REGISTRA")</f>
        <v>LIDER DE REGISTRO Y CONTROL</v>
      </c>
      <c r="E2372" s="5" t="str">
        <f>IFERROR(VLOOKUP(A2372,'Base Prueba'!A:E,5,),"NO REGISTRA")</f>
        <v>REGISTRO Y CONTROL ACADEMICO</v>
      </c>
    </row>
    <row r="2373" spans="1:5" ht="15.75" x14ac:dyDescent="0.25">
      <c r="A2373" s="10">
        <v>1032407386</v>
      </c>
      <c r="B2373" s="2">
        <v>46067.360335648147</v>
      </c>
      <c r="C2373" s="3" t="str">
        <f>IFERROR(VLOOKUP(A2373,'Base Prueba'!A:C,3,),"NO REGISTRA")</f>
        <v>GINA PAOLA BAEZ GALVIS</v>
      </c>
      <c r="D2373" s="4" t="str">
        <f>IFERROR(VLOOKUP(A2373,'Base Prueba'!A:D,4,),"NO REGISTRA")</f>
        <v>PROMOTOR CALL CENTER</v>
      </c>
      <c r="E2373" s="5" t="str">
        <f>IFERROR(VLOOKUP(A2373,'Base Prueba'!A:E,5,),"NO REGISTRA")</f>
        <v>OFICINA DE MERCADEO</v>
      </c>
    </row>
    <row r="2374" spans="1:5" ht="15.75" x14ac:dyDescent="0.25">
      <c r="A2374" s="10">
        <v>80234243</v>
      </c>
      <c r="B2374" s="2">
        <v>46067.363196990744</v>
      </c>
      <c r="C2374" s="3" t="str">
        <f>IFERROR(VLOOKUP(A2374,'Base Prueba'!A:C,3,),"NO REGISTRA")</f>
        <v>ARGENIS MARTINEZ MARTINEZ</v>
      </c>
      <c r="D2374" s="4" t="str">
        <f>IFERROR(VLOOKUP(A2374,'Base Prueba'!A:D,4,),"NO REGISTRA")</f>
        <v>LIDER CALL CENTER</v>
      </c>
      <c r="E2374" s="5" t="str">
        <f>IFERROR(VLOOKUP(A2374,'Base Prueba'!A:E,5,),"NO REGISTRA")</f>
        <v>OFICINA DE MERCADEO</v>
      </c>
    </row>
    <row r="2375" spans="1:5" ht="15.75" x14ac:dyDescent="0.25">
      <c r="A2375" s="10">
        <v>1033709056</v>
      </c>
      <c r="B2375" s="2">
        <v>46067.365194212965</v>
      </c>
      <c r="C2375" s="3" t="str">
        <f>IFERROR(VLOOKUP(A2375,'Base Prueba'!A:C,3,),"NO REGISTRA")</f>
        <v>YEIMY ALEXANDRA RODRIGUEZ PALACIO</v>
      </c>
      <c r="D2375" s="4" t="str">
        <f>IFERROR(VLOOKUP(A2375,'Base Prueba'!A:D,4,),"NO REGISTRA")</f>
        <v>PROMOTOR CALL CENTER</v>
      </c>
      <c r="E2375" s="5" t="str">
        <f>IFERROR(VLOOKUP(A2375,'Base Prueba'!A:E,5,),"NO REGISTRA")</f>
        <v>OFICINA DE MERCADEO</v>
      </c>
    </row>
    <row r="2376" spans="1:5" ht="15.75" x14ac:dyDescent="0.25">
      <c r="A2376" s="10">
        <v>28798349</v>
      </c>
      <c r="B2376" s="2">
        <v>46067.370069791665</v>
      </c>
      <c r="C2376" s="3" t="str">
        <f>IFERROR(VLOOKUP(A2376,'Base Prueba'!A:C,3,),"NO REGISTRA")</f>
        <v>MARTHA ISABEL TOVAR WILLIAMS</v>
      </c>
      <c r="D2376" s="4" t="str">
        <f>IFERROR(VLOOKUP(A2376,'Base Prueba'!A:D,4,),"NO REGISTRA")</f>
        <v>PROMOTOR CALL CENTER</v>
      </c>
      <c r="E2376" s="5" t="str">
        <f>IFERROR(VLOOKUP(A2376,'Base Prueba'!A:E,5,),"NO REGISTRA")</f>
        <v>OFICINA DE MERCADEO</v>
      </c>
    </row>
    <row r="2377" spans="1:5" ht="15.75" x14ac:dyDescent="0.25">
      <c r="A2377" s="10">
        <v>1019105003</v>
      </c>
      <c r="B2377" s="2">
        <v>46067.370523958336</v>
      </c>
      <c r="C2377" s="3" t="str">
        <f>IFERROR(VLOOKUP(A2377,'Base Prueba'!A:C,3,),"NO REGISTRA")</f>
        <v>DAISY JULIETH GASPAR MORENO</v>
      </c>
      <c r="D2377" s="4" t="str">
        <f>IFERROR(VLOOKUP(A2377,'Base Prueba'!A:D,4,),"NO REGISTRA")</f>
        <v>PROMOTOR CALL CENTER</v>
      </c>
      <c r="E2377" s="5" t="str">
        <f>IFERROR(VLOOKUP(A2377,'Base Prueba'!A:E,5,),"NO REGISTRA")</f>
        <v>OFICINA DE MERCADEO</v>
      </c>
    </row>
    <row r="2378" spans="1:5" ht="15.75" x14ac:dyDescent="0.25">
      <c r="A2378" s="10">
        <v>52175674</v>
      </c>
      <c r="B2378" s="2">
        <v>46067.37353611111</v>
      </c>
      <c r="C2378" s="3" t="str">
        <f>IFERROR(VLOOKUP(A2378,'Base Prueba'!A:C,3,),"NO REGISTRA")</f>
        <v>LUZ YANETH GOMEZ AREVALO</v>
      </c>
      <c r="D2378" s="4" t="str">
        <f>IFERROR(VLOOKUP(A2378,'Base Prueba'!A:D,4,),"NO REGISTRA")</f>
        <v>COORDINADORA DE ADMISIONES</v>
      </c>
      <c r="E2378" s="5" t="str">
        <f>IFERROR(VLOOKUP(A2378,'Base Prueba'!A:E,5,),"NO REGISTRA")</f>
        <v>OFICINA DE MERCADEO</v>
      </c>
    </row>
    <row r="2379" spans="1:5" ht="15.75" x14ac:dyDescent="0.25">
      <c r="A2379" s="10">
        <v>1003690253</v>
      </c>
      <c r="B2379" s="2">
        <v>46067.375414467591</v>
      </c>
      <c r="C2379" s="3" t="str">
        <f>IFERROR(VLOOKUP(A2379,'Base Prueba'!A:C,3,),"NO REGISTRA")</f>
        <v>MELISSA GONZALEZ PEDRAZA</v>
      </c>
      <c r="D2379" s="4" t="str">
        <f>IFERROR(VLOOKUP(A2379,'Base Prueba'!A:D,4,),"NO REGISTRA")</f>
        <v>LIDER DE JOVENES A LA E</v>
      </c>
      <c r="E2379" s="5" t="str">
        <f>IFERROR(VLOOKUP(A2379,'Base Prueba'!A:E,5,),"NO REGISTRA")</f>
        <v>DIRECCION DE BIENESTAR INSTITUCIONAL</v>
      </c>
    </row>
    <row r="2380" spans="1:5" ht="15.75" x14ac:dyDescent="0.25">
      <c r="A2380" s="10">
        <v>1018413529</v>
      </c>
      <c r="B2380" s="2">
        <v>46067.375526851851</v>
      </c>
      <c r="C2380" s="3" t="str">
        <f>IFERROR(VLOOKUP(A2380,'Base Prueba'!A:C,3,),"NO REGISTRA")</f>
        <v>FRANCY STELLA CHARRY MORENO</v>
      </c>
      <c r="D2380" s="4" t="str">
        <f>IFERROR(VLOOKUP(A2380,'Base Prueba'!A:D,4,),"NO REGISTRA")</f>
        <v>PROMOTOR COMERCIAL DEL CEA</v>
      </c>
      <c r="E2380" s="5" t="str">
        <f>IFERROR(VLOOKUP(A2380,'Base Prueba'!A:E,5,),"NO REGISTRA")</f>
        <v>OFICINA DE MERCADEO</v>
      </c>
    </row>
    <row r="2381" spans="1:5" ht="15.75" x14ac:dyDescent="0.25">
      <c r="A2381" s="10">
        <v>53089882</v>
      </c>
      <c r="B2381" s="2">
        <v>46067.37641597222</v>
      </c>
      <c r="C2381" s="3" t="str">
        <f>IFERROR(VLOOKUP(A2381,'Base Prueba'!A:C,3,),"NO REGISTRA")</f>
        <v>MARIA JOHANA ESCAMILLA MARTINEZ</v>
      </c>
      <c r="D2381" s="4" t="str">
        <f>IFERROR(VLOOKUP(A2381,'Base Prueba'!A:D,4,),"NO REGISTRA")</f>
        <v>PROMOTOR DE INFORMACIÓN</v>
      </c>
      <c r="E2381" s="5" t="str">
        <f>IFERROR(VLOOKUP(A2381,'Base Prueba'!A:E,5,),"NO REGISTRA")</f>
        <v>OFICINA DE MERCADEO</v>
      </c>
    </row>
    <row r="2382" spans="1:5" ht="15.75" x14ac:dyDescent="0.25">
      <c r="A2382" s="10">
        <v>52472386</v>
      </c>
      <c r="B2382" s="2">
        <v>46067.376467013892</v>
      </c>
      <c r="C2382" s="3" t="str">
        <f>IFERROR(VLOOKUP(A2382,'Base Prueba'!A:C,3,),"NO REGISTRA")</f>
        <v>ADRIANA MARCELA MORALES PARDO</v>
      </c>
      <c r="D2382" s="4" t="str">
        <f>IFERROR(VLOOKUP(A2382,'Base Prueba'!A:D,4,),"NO REGISTRA")</f>
        <v>PROMOTOR CALL CENTER</v>
      </c>
      <c r="E2382" s="5" t="str">
        <f>IFERROR(VLOOKUP(A2382,'Base Prueba'!A:E,5,),"NO REGISTRA")</f>
        <v>OFICINA DE MERCADEO</v>
      </c>
    </row>
    <row r="2383" spans="1:5" ht="15.75" x14ac:dyDescent="0.25">
      <c r="A2383" s="10">
        <v>1018414290</v>
      </c>
      <c r="B2383" s="2">
        <v>46067.381429398149</v>
      </c>
      <c r="C2383" s="3" t="str">
        <f>IFERROR(VLOOKUP(A2383,'Base Prueba'!A:C,3,),"NO REGISTRA")</f>
        <v>AMANDA LISBETH RODRIGUEZ LEON</v>
      </c>
      <c r="D2383" s="4" t="str">
        <f>IFERROR(VLOOKUP(A2383,'Base Prueba'!A:D,4,),"NO REGISTRA")</f>
        <v>PROMOTOR CALL CENTER</v>
      </c>
      <c r="E2383" s="5" t="str">
        <f>IFERROR(VLOOKUP(A2383,'Base Prueba'!A:E,5,),"NO REGISTRA")</f>
        <v>OFICINA DE MERCADEO</v>
      </c>
    </row>
    <row r="2384" spans="1:5" ht="15.75" x14ac:dyDescent="0.25">
      <c r="A2384" s="10">
        <v>52764929</v>
      </c>
      <c r="B2384" s="2">
        <v>46067.390429629631</v>
      </c>
      <c r="C2384" s="3" t="str">
        <f>IFERROR(VLOOKUP(A2384,'Base Prueba'!A:C,3,),"NO REGISTRA")</f>
        <v>GUERLY YOHANA DURAN RIVERA</v>
      </c>
      <c r="D2384" s="4" t="str">
        <f>IFERROR(VLOOKUP(A2384,'Base Prueba'!A:D,4,),"NO REGISTRA")</f>
        <v>LIDER DE VINCULACION COLEGIOS</v>
      </c>
      <c r="E2384" s="5" t="str">
        <f>IFERROR(VLOOKUP(A2384,'Base Prueba'!A:E,5,),"NO REGISTRA")</f>
        <v>OFICINA DE MERCADEO</v>
      </c>
    </row>
    <row r="2385" spans="1:5" ht="15.75" x14ac:dyDescent="0.25">
      <c r="A2385" s="10">
        <v>1000687931</v>
      </c>
      <c r="B2385" s="2">
        <v>46067.394414467592</v>
      </c>
      <c r="C2385" s="3" t="str">
        <f>IFERROR(VLOOKUP(A2385,'Base Prueba'!A:C,3,),"NO REGISTRA")</f>
        <v>ANDRES FELIPE PUENTES TORRES</v>
      </c>
      <c r="D2385" s="4" t="str">
        <f>IFERROR(VLOOKUP(A2385,'Base Prueba'!A:D,4,),"NO REGISTRA")</f>
        <v>AUXILIAR ADMINISTRATIVO</v>
      </c>
      <c r="E2385" s="5" t="str">
        <f>IFERROR(VLOOKUP(A2385,'Base Prueba'!A:E,5,),"NO REGISTRA")</f>
        <v>REGISTRO Y CONTROL ACADEMICO</v>
      </c>
    </row>
    <row r="2386" spans="1:5" ht="15.75" x14ac:dyDescent="0.25">
      <c r="A2386" s="10">
        <v>1193265768</v>
      </c>
      <c r="B2386" s="2">
        <v>46067.412833101851</v>
      </c>
      <c r="C2386" s="3" t="str">
        <f>IFERROR(VLOOKUP(A2386,'Base Prueba'!A:C,3,),"NO REGISTRA")</f>
        <v>SANTIAGO OSORIO CAMACHO</v>
      </c>
      <c r="D2386" s="4" t="str">
        <f>IFERROR(VLOOKUP(A2386,'Base Prueba'!A:D,4,),"NO REGISTRA")</f>
        <v>ANALISTA DE PAUTA</v>
      </c>
      <c r="E2386" s="5" t="str">
        <f>IFERROR(VLOOKUP(A2386,'Base Prueba'!A:E,5,),"NO REGISTRA")</f>
        <v>OFICINA DE MERCADEO</v>
      </c>
    </row>
    <row r="2387" spans="1:5" ht="15.75" x14ac:dyDescent="0.25">
      <c r="A2387" s="10">
        <v>1024505434</v>
      </c>
      <c r="B2387" s="2">
        <v>46067.502530555554</v>
      </c>
      <c r="C2387" s="3" t="str">
        <f>IFERROR(VLOOKUP(A2387,'Base Prueba'!A:C,3,),"NO REGISTRA")</f>
        <v>CRISTIAN ALBERTO MELO TORRES</v>
      </c>
      <c r="D2387" s="4" t="str">
        <f>IFERROR(VLOOKUP(A2387,'Base Prueba'!A:D,4,),"NO REGISTRA")</f>
        <v>COORDINADOR DE INFRAESTRUCTURA</v>
      </c>
      <c r="E2387" s="5" t="str">
        <f>IFERROR(VLOOKUP(A2387,'Base Prueba'!A:E,5,),"NO REGISTRA")</f>
        <v>VICERRECTORIA ADMINISTRATIVA Y FINANCIERA</v>
      </c>
    </row>
    <row r="2388" spans="1:5" ht="15.75" x14ac:dyDescent="0.25">
      <c r="A2388" s="10">
        <v>1000687931</v>
      </c>
      <c r="B2388" s="2">
        <v>46067.503928472222</v>
      </c>
      <c r="C2388" s="3" t="str">
        <f>IFERROR(VLOOKUP(A2388,'Base Prueba'!A:C,3,),"NO REGISTRA")</f>
        <v>ANDRES FELIPE PUENTES TORRES</v>
      </c>
      <c r="D2388" s="4" t="str">
        <f>IFERROR(VLOOKUP(A2388,'Base Prueba'!A:D,4,),"NO REGISTRA")</f>
        <v>AUXILIAR ADMINISTRATIVO</v>
      </c>
      <c r="E2388" s="5" t="str">
        <f>IFERROR(VLOOKUP(A2388,'Base Prueba'!A:E,5,),"NO REGISTRA")</f>
        <v>REGISTRO Y CONTROL ACADEMICO</v>
      </c>
    </row>
    <row r="2389" spans="1:5" ht="15.75" x14ac:dyDescent="0.25">
      <c r="A2389" s="10">
        <v>1031802160</v>
      </c>
      <c r="B2389" s="2">
        <v>46067.504582291665</v>
      </c>
      <c r="C2389" s="3" t="str">
        <f>IFERROR(VLOOKUP(A2389,'Base Prueba'!A:C,3,),"NO REGISTRA")</f>
        <v>LUISA MARIA MAHECHA SOTOMAYOR</v>
      </c>
      <c r="D2389" s="4" t="str">
        <f>IFERROR(VLOOKUP(A2389,'Base Prueba'!A:D,4,),"NO REGISTRA")</f>
        <v>APRENDIZ UNIVERSITARIO</v>
      </c>
      <c r="E2389" s="5" t="str">
        <f>IFERROR(VLOOKUP(A2389,'Base Prueba'!A:E,5,),"NO REGISTRA")</f>
        <v>OFICINA DE MERCADEO</v>
      </c>
    </row>
    <row r="2390" spans="1:5" ht="15.75" x14ac:dyDescent="0.25">
      <c r="A2390" s="10">
        <v>52443092</v>
      </c>
      <c r="B2390" s="2">
        <v>46067.505024074075</v>
      </c>
      <c r="C2390" s="3" t="str">
        <f>IFERROR(VLOOKUP(A2390,'Base Prueba'!A:C,3,),"NO REGISTRA")</f>
        <v>LUZ MYRIAM SAAVEDRA CONTRERAS</v>
      </c>
      <c r="D2390" s="4" t="str">
        <f>IFERROR(VLOOKUP(A2390,'Base Prueba'!A:D,4,),"NO REGISTRA")</f>
        <v>AUXILIAR DE SERVICIOS</v>
      </c>
      <c r="E2390" s="5" t="str">
        <f>IFERROR(VLOOKUP(A2390,'Base Prueba'!A:E,5,),"NO REGISTRA")</f>
        <v>LOGISTICA Y SERVICIOS GENERALES</v>
      </c>
    </row>
    <row r="2391" spans="1:5" ht="15.75" x14ac:dyDescent="0.25">
      <c r="A2391" s="10">
        <v>1000324729</v>
      </c>
      <c r="B2391" s="2">
        <v>46067.506964351851</v>
      </c>
      <c r="C2391" s="3" t="str">
        <f>IFERROR(VLOOKUP(A2391,'Base Prueba'!A:C,3,),"NO REGISTRA")</f>
        <v>ANYIE VANESSA TINOCO CAMACHO</v>
      </c>
      <c r="D2391" s="4" t="str">
        <f>IFERROR(VLOOKUP(A2391,'Base Prueba'!A:D,4,),"NO REGISTRA")</f>
        <v>LIDER DE REGISTRO Y CONTROL</v>
      </c>
      <c r="E2391" s="5" t="str">
        <f>IFERROR(VLOOKUP(A2391,'Base Prueba'!A:E,5,),"NO REGISTRA")</f>
        <v>REGISTRO Y CONTROL ACADEMICO</v>
      </c>
    </row>
    <row r="2392" spans="1:5" ht="15.75" x14ac:dyDescent="0.25">
      <c r="A2392" s="10">
        <v>1019105003</v>
      </c>
      <c r="B2392" s="2">
        <v>46067.508128240741</v>
      </c>
      <c r="C2392" s="3" t="str">
        <f>IFERROR(VLOOKUP(A2392,'Base Prueba'!A:C,3,),"NO REGISTRA")</f>
        <v>DAISY JULIETH GASPAR MORENO</v>
      </c>
      <c r="D2392" s="4" t="str">
        <f>IFERROR(VLOOKUP(A2392,'Base Prueba'!A:D,4,),"NO REGISTRA")</f>
        <v>PROMOTOR CALL CENTER</v>
      </c>
      <c r="E2392" s="5" t="str">
        <f>IFERROR(VLOOKUP(A2392,'Base Prueba'!A:E,5,),"NO REGISTRA")</f>
        <v>OFICINA DE MERCADEO</v>
      </c>
    </row>
    <row r="2393" spans="1:5" ht="15.75" x14ac:dyDescent="0.25">
      <c r="A2393" s="10">
        <v>1033709056</v>
      </c>
      <c r="B2393" s="2">
        <v>46067.508497337963</v>
      </c>
      <c r="C2393" s="3" t="str">
        <f>IFERROR(VLOOKUP(A2393,'Base Prueba'!A:C,3,),"NO REGISTRA")</f>
        <v>YEIMY ALEXANDRA RODRIGUEZ PALACIO</v>
      </c>
      <c r="D2393" s="4" t="str">
        <f>IFERROR(VLOOKUP(A2393,'Base Prueba'!A:D,4,),"NO REGISTRA")</f>
        <v>PROMOTOR CALL CENTER</v>
      </c>
      <c r="E2393" s="5" t="str">
        <f>IFERROR(VLOOKUP(A2393,'Base Prueba'!A:E,5,),"NO REGISTRA")</f>
        <v>OFICINA DE MERCADEO</v>
      </c>
    </row>
    <row r="2394" spans="1:5" ht="15.75" x14ac:dyDescent="0.25">
      <c r="A2394" s="10">
        <v>1032407386</v>
      </c>
      <c r="B2394" s="2">
        <v>46067.510657523148</v>
      </c>
      <c r="C2394" s="3" t="str">
        <f>IFERROR(VLOOKUP(A2394,'Base Prueba'!A:C,3,),"NO REGISTRA")</f>
        <v>GINA PAOLA BAEZ GALVIS</v>
      </c>
      <c r="D2394" s="4" t="str">
        <f>IFERROR(VLOOKUP(A2394,'Base Prueba'!A:D,4,),"NO REGISTRA")</f>
        <v>PROMOTOR CALL CENTER</v>
      </c>
      <c r="E2394" s="5" t="str">
        <f>IFERROR(VLOOKUP(A2394,'Base Prueba'!A:E,5,),"NO REGISTRA")</f>
        <v>OFICINA DE MERCADEO</v>
      </c>
    </row>
    <row r="2395" spans="1:5" ht="15.75" x14ac:dyDescent="0.25">
      <c r="A2395" s="10">
        <v>52472386</v>
      </c>
      <c r="B2395" s="2">
        <v>46067.5154287037</v>
      </c>
      <c r="C2395" s="3" t="str">
        <f>IFERROR(VLOOKUP(A2395,'Base Prueba'!A:C,3,),"NO REGISTRA")</f>
        <v>ADRIANA MARCELA MORALES PARDO</v>
      </c>
      <c r="D2395" s="4" t="str">
        <f>IFERROR(VLOOKUP(A2395,'Base Prueba'!A:D,4,),"NO REGISTRA")</f>
        <v>PROMOTOR CALL CENTER</v>
      </c>
      <c r="E2395" s="5" t="str">
        <f>IFERROR(VLOOKUP(A2395,'Base Prueba'!A:E,5,),"NO REGISTRA")</f>
        <v>OFICINA DE MERCADEO</v>
      </c>
    </row>
    <row r="2396" spans="1:5" ht="15.75" x14ac:dyDescent="0.25">
      <c r="A2396" s="10">
        <v>1003690253</v>
      </c>
      <c r="B2396" s="2">
        <v>46067.516118055559</v>
      </c>
      <c r="C2396" s="3" t="str">
        <f>IFERROR(VLOOKUP(A2396,'Base Prueba'!A:C,3,),"NO REGISTRA")</f>
        <v>MELISSA GONZALEZ PEDRAZA</v>
      </c>
      <c r="D2396" s="4" t="str">
        <f>IFERROR(VLOOKUP(A2396,'Base Prueba'!A:D,4,),"NO REGISTRA")</f>
        <v>LIDER DE JOVENES A LA E</v>
      </c>
      <c r="E2396" s="5" t="str">
        <f>IFERROR(VLOOKUP(A2396,'Base Prueba'!A:E,5,),"NO REGISTRA")</f>
        <v>DIRECCION DE BIENESTAR INSTITUCIONAL</v>
      </c>
    </row>
    <row r="2397" spans="1:5" ht="15.75" x14ac:dyDescent="0.25">
      <c r="A2397" s="10">
        <v>28798349</v>
      </c>
      <c r="B2397" s="2">
        <v>46067.516218518518</v>
      </c>
      <c r="C2397" s="3" t="str">
        <f>IFERROR(VLOOKUP(A2397,'Base Prueba'!A:C,3,),"NO REGISTRA")</f>
        <v>MARTHA ISABEL TOVAR WILLIAMS</v>
      </c>
      <c r="D2397" s="4" t="str">
        <f>IFERROR(VLOOKUP(A2397,'Base Prueba'!A:D,4,),"NO REGISTRA")</f>
        <v>PROMOTOR CALL CENTER</v>
      </c>
      <c r="E2397" s="5" t="str">
        <f>IFERROR(VLOOKUP(A2397,'Base Prueba'!A:E,5,),"NO REGISTRA")</f>
        <v>OFICINA DE MERCADEO</v>
      </c>
    </row>
    <row r="2398" spans="1:5" ht="15.75" x14ac:dyDescent="0.25">
      <c r="A2398" s="10">
        <v>1193265768</v>
      </c>
      <c r="B2398" s="2">
        <v>46067.518046412035</v>
      </c>
      <c r="C2398" s="3" t="str">
        <f>IFERROR(VLOOKUP(A2398,'Base Prueba'!A:C,3,),"NO REGISTRA")</f>
        <v>SANTIAGO OSORIO CAMACHO</v>
      </c>
      <c r="D2398" s="4" t="str">
        <f>IFERROR(VLOOKUP(A2398,'Base Prueba'!A:D,4,),"NO REGISTRA")</f>
        <v>ANALISTA DE PAUTA</v>
      </c>
      <c r="E2398" s="5" t="str">
        <f>IFERROR(VLOOKUP(A2398,'Base Prueba'!A:E,5,),"NO REGISTRA")</f>
        <v>OFICINA DE MERCADEO</v>
      </c>
    </row>
    <row r="2399" spans="1:5" ht="15.75" x14ac:dyDescent="0.25">
      <c r="A2399" s="10">
        <v>1018413529</v>
      </c>
      <c r="B2399" s="2">
        <v>46067.520948495374</v>
      </c>
      <c r="C2399" s="3" t="str">
        <f>IFERROR(VLOOKUP(A2399,'Base Prueba'!A:C,3,),"NO REGISTRA")</f>
        <v>FRANCY STELLA CHARRY MORENO</v>
      </c>
      <c r="D2399" s="4" t="str">
        <f>IFERROR(VLOOKUP(A2399,'Base Prueba'!A:D,4,),"NO REGISTRA")</f>
        <v>PROMOTOR COMERCIAL DEL CEA</v>
      </c>
      <c r="E2399" s="5" t="str">
        <f>IFERROR(VLOOKUP(A2399,'Base Prueba'!A:E,5,),"NO REGISTRA")</f>
        <v>OFICINA DE MERCADEO</v>
      </c>
    </row>
    <row r="2400" spans="1:5" ht="15.75" x14ac:dyDescent="0.25">
      <c r="A2400" s="10">
        <v>52175674</v>
      </c>
      <c r="B2400" s="2">
        <v>46067.527144560183</v>
      </c>
      <c r="C2400" s="3" t="str">
        <f>IFERROR(VLOOKUP(A2400,'Base Prueba'!A:C,3,),"NO REGISTRA")</f>
        <v>LUZ YANETH GOMEZ AREVALO</v>
      </c>
      <c r="D2400" s="4" t="str">
        <f>IFERROR(VLOOKUP(A2400,'Base Prueba'!A:D,4,),"NO REGISTRA")</f>
        <v>COORDINADORA DE ADMISIONES</v>
      </c>
      <c r="E2400" s="5" t="str">
        <f>IFERROR(VLOOKUP(A2400,'Base Prueba'!A:E,5,),"NO REGISTRA")</f>
        <v>OFICINA DE MERCADEO</v>
      </c>
    </row>
    <row r="2401" spans="1:5" ht="15.75" x14ac:dyDescent="0.25">
      <c r="A2401" s="10">
        <v>1013616244</v>
      </c>
      <c r="B2401" s="2">
        <v>46067.540662037034</v>
      </c>
      <c r="C2401" s="3" t="str">
        <f>IFERROR(VLOOKUP(A2401,'Base Prueba'!A:C,3,),"NO REGISTRA")</f>
        <v>DIANA CAROLINA MARIN BETANCOURT</v>
      </c>
      <c r="D2401" s="4" t="str">
        <f>IFERROR(VLOOKUP(A2401,'Base Prueba'!A:D,4,),"NO REGISTRA")</f>
        <v>AUXILIAR ADMINISTRATIVO</v>
      </c>
      <c r="E2401" s="5" t="str">
        <f>IFERROR(VLOOKUP(A2401,'Base Prueba'!A:E,5,),"NO REGISTRA")</f>
        <v>REGISTRO Y CONTROL ACADEMICO</v>
      </c>
    </row>
    <row r="2402" spans="1:5" ht="15.75" x14ac:dyDescent="0.25">
      <c r="A2402" s="10">
        <v>53089882</v>
      </c>
      <c r="B2402" s="2">
        <v>46067.5556125</v>
      </c>
      <c r="C2402" s="3" t="str">
        <f>IFERROR(VLOOKUP(A2402,'Base Prueba'!A:C,3,),"NO REGISTRA")</f>
        <v>MARIA JOHANA ESCAMILLA MARTINEZ</v>
      </c>
      <c r="D2402" s="4" t="str">
        <f>IFERROR(VLOOKUP(A2402,'Base Prueba'!A:D,4,),"NO REGISTRA")</f>
        <v>PROMOTOR DE INFORMACIÓN</v>
      </c>
      <c r="E2402" s="5" t="str">
        <f>IFERROR(VLOOKUP(A2402,'Base Prueba'!A:E,5,),"NO REGISTRA")</f>
        <v>OFICINA DE MERCADEO</v>
      </c>
    </row>
    <row r="2403" spans="1:5" ht="15.75" x14ac:dyDescent="0.25">
      <c r="A2403" s="10">
        <v>1018414290</v>
      </c>
      <c r="B2403" s="2">
        <v>46067.557167013889</v>
      </c>
      <c r="C2403" s="3" t="str">
        <f>IFERROR(VLOOKUP(A2403,'Base Prueba'!A:C,3,),"NO REGISTRA")</f>
        <v>AMANDA LISBETH RODRIGUEZ LEON</v>
      </c>
      <c r="D2403" s="4" t="str">
        <f>IFERROR(VLOOKUP(A2403,'Base Prueba'!A:D,4,),"NO REGISTRA")</f>
        <v>PROMOTOR CALL CENTER</v>
      </c>
      <c r="E2403" s="5" t="str">
        <f>IFERROR(VLOOKUP(A2403,'Base Prueba'!A:E,5,),"NO REGISTRA")</f>
        <v>OFICINA DE MERCADEO</v>
      </c>
    </row>
    <row r="2404" spans="1:5" ht="15.75" x14ac:dyDescent="0.25">
      <c r="A2404" s="10">
        <v>80234243</v>
      </c>
      <c r="B2404" s="2">
        <v>46067.567777893521</v>
      </c>
      <c r="C2404" s="3" t="str">
        <f>IFERROR(VLOOKUP(A2404,'Base Prueba'!A:C,3,),"NO REGISTRA")</f>
        <v>ARGENIS MARTINEZ MARTINEZ</v>
      </c>
      <c r="D2404" s="4" t="str">
        <f>IFERROR(VLOOKUP(A2404,'Base Prueba'!A:D,4,),"NO REGISTRA")</f>
        <v>LIDER CALL CENTER</v>
      </c>
      <c r="E2404" s="5" t="str">
        <f>IFERROR(VLOOKUP(A2404,'Base Prueba'!A:E,5,),"NO REGISTRA")</f>
        <v>OFICINA DE MERCADEO</v>
      </c>
    </row>
    <row r="2405" spans="1:5" ht="15.75" x14ac:dyDescent="0.25">
      <c r="A2405" s="10">
        <v>1000324729</v>
      </c>
      <c r="B2405" s="2">
        <v>46069.306877546296</v>
      </c>
      <c r="C2405" s="3" t="str">
        <f>IFERROR(VLOOKUP(A2405,'Base Prueba'!A:C,3,),"NO REGISTRA")</f>
        <v>ANYIE VANESSA TINOCO CAMACHO</v>
      </c>
      <c r="D2405" s="4" t="str">
        <f>IFERROR(VLOOKUP(A2405,'Base Prueba'!A:D,4,),"NO REGISTRA")</f>
        <v>LIDER DE REGISTRO Y CONTROL</v>
      </c>
      <c r="E2405" s="5" t="str">
        <f>IFERROR(VLOOKUP(A2405,'Base Prueba'!A:E,5,),"NO REGISTRA")</f>
        <v>REGISTRO Y CONTROL ACADEMICO</v>
      </c>
    </row>
    <row r="2406" spans="1:5" ht="15.75" x14ac:dyDescent="0.25">
      <c r="A2406" s="10">
        <v>1013616244</v>
      </c>
      <c r="B2406" s="2">
        <v>46069.316897800927</v>
      </c>
      <c r="C2406" s="3" t="str">
        <f>IFERROR(VLOOKUP(A2406,'Base Prueba'!A:C,3,),"NO REGISTRA")</f>
        <v>DIANA CAROLINA MARIN BETANCOURT</v>
      </c>
      <c r="D2406" s="4" t="str">
        <f>IFERROR(VLOOKUP(A2406,'Base Prueba'!A:D,4,),"NO REGISTRA")</f>
        <v>AUXILIAR ADMINISTRATIVO</v>
      </c>
      <c r="E2406" s="5" t="str">
        <f>IFERROR(VLOOKUP(A2406,'Base Prueba'!A:E,5,),"NO REGISTRA")</f>
        <v>REGISTRO Y CONTROL ACADEMICO</v>
      </c>
    </row>
    <row r="2407" spans="1:5" ht="15.75" x14ac:dyDescent="0.25">
      <c r="A2407" s="10">
        <v>1087121273</v>
      </c>
      <c r="B2407" s="2">
        <v>46069.319479745369</v>
      </c>
      <c r="C2407" s="3" t="str">
        <f>IFERROR(VLOOKUP(A2407,'Base Prueba'!A:C,3,),"NO REGISTRA")</f>
        <v>MAYRA ALEJANDRA CASTILLO ARBOLEDA</v>
      </c>
      <c r="D2407" s="4" t="str">
        <f>IFERROR(VLOOKUP(A2407,'Base Prueba'!A:D,4,),"NO REGISTRA")</f>
        <v>APOYO INTEGRAL DE MERCADEO</v>
      </c>
      <c r="E2407" s="5" t="str">
        <f>IFERROR(VLOOKUP(A2407,'Base Prueba'!A:E,5,),"NO REGISTRA")</f>
        <v>CENTRO DE GESTION DOCUMENTAL</v>
      </c>
    </row>
    <row r="2408" spans="1:5" ht="15.75" x14ac:dyDescent="0.25">
      <c r="A2408" s="10">
        <v>1031802160</v>
      </c>
      <c r="B2408" s="2">
        <v>46069.329410995371</v>
      </c>
      <c r="C2408" s="3" t="str">
        <f>IFERROR(VLOOKUP(A2408,'Base Prueba'!A:C,3,),"NO REGISTRA")</f>
        <v>LUISA MARIA MAHECHA SOTOMAYOR</v>
      </c>
      <c r="D2408" s="4" t="str">
        <f>IFERROR(VLOOKUP(A2408,'Base Prueba'!A:D,4,),"NO REGISTRA")</f>
        <v>APRENDIZ UNIVERSITARIO</v>
      </c>
      <c r="E2408" s="5" t="str">
        <f>IFERROR(VLOOKUP(A2408,'Base Prueba'!A:E,5,),"NO REGISTRA")</f>
        <v>OFICINA DE MERCADEO</v>
      </c>
    </row>
    <row r="2409" spans="1:5" ht="15.75" x14ac:dyDescent="0.25">
      <c r="A2409" s="10">
        <v>1000257136</v>
      </c>
      <c r="B2409" s="2">
        <v>46069.334299074071</v>
      </c>
      <c r="C2409" s="3" t="str">
        <f>IFERROR(VLOOKUP(A2409,'Base Prueba'!A:C,3,),"NO REGISTRA")</f>
        <v>FRANCI VALENTINA CANO PUENTES</v>
      </c>
      <c r="D2409" s="4" t="str">
        <f>IFERROR(VLOOKUP(A2409,'Base Prueba'!A:D,4,),"NO REGISTRA")</f>
        <v>AUXILIAR CONTABLE</v>
      </c>
      <c r="E2409" s="5" t="str">
        <f>IFERROR(VLOOKUP(A2409,'Base Prueba'!A:E,5,),"NO REGISTRA")</f>
        <v>AREA FINANCIERA Y CONTABLE</v>
      </c>
    </row>
    <row r="2410" spans="1:5" ht="15.75" x14ac:dyDescent="0.25">
      <c r="A2410" s="10">
        <v>1049644802</v>
      </c>
      <c r="B2410" s="2">
        <v>46069.337137615737</v>
      </c>
      <c r="C2410" s="3" t="str">
        <f>IFERROR(VLOOKUP(A2410,'Base Prueba'!A:C,3,),"NO REGISTRA")</f>
        <v>DANIELA ALEXANDRA CIPAMOCHA BOSIGA</v>
      </c>
      <c r="D2410" s="4" t="str">
        <f>IFERROR(VLOOKUP(A2410,'Base Prueba'!A:D,4,),"NO REGISTRA")</f>
        <v>LIDER DE DATOS Y SERVICIOS</v>
      </c>
      <c r="E2410" s="5" t="str">
        <f>IFERROR(VLOOKUP(A2410,'Base Prueba'!A:E,5,),"NO REGISTRA")</f>
        <v>OFICINA DE PLANEACION Y GESTION DE LA CALIDAD</v>
      </c>
    </row>
    <row r="2411" spans="1:5" ht="15.75" x14ac:dyDescent="0.25">
      <c r="A2411" s="10">
        <v>1193457976</v>
      </c>
      <c r="B2411" s="2">
        <v>46069.341428356478</v>
      </c>
      <c r="C2411" s="3" t="str">
        <f>IFERROR(VLOOKUP(A2411,'Base Prueba'!A:C,3,),"NO REGISTRA")</f>
        <v>SEDENIS RIVAS ASPRILLA</v>
      </c>
      <c r="D2411" s="4" t="str">
        <f>IFERROR(VLOOKUP(A2411,'Base Prueba'!A:D,4,),"NO REGISTRA")</f>
        <v>APRENDIZ UNIVERSITARIO</v>
      </c>
      <c r="E2411" s="5" t="str">
        <f>IFERROR(VLOOKUP(A2411,'Base Prueba'!A:E,5,),"NO REGISTRA")</f>
        <v>DEPARTAMENTO DE GESTION HUMANA</v>
      </c>
    </row>
    <row r="2412" spans="1:5" ht="15.75" x14ac:dyDescent="0.25">
      <c r="A2412" s="10">
        <v>1012357415</v>
      </c>
      <c r="B2412" s="2">
        <v>46069.342412152779</v>
      </c>
      <c r="C2412" s="3" t="str">
        <f>IFERROR(VLOOKUP(A2412,'Base Prueba'!A:C,3,),"NO REGISTRA")</f>
        <v>CINDY LORENA BOHORQUEZ LEYVA</v>
      </c>
      <c r="D2412" s="4" t="str">
        <f>IFERROR(VLOOKUP(A2412,'Base Prueba'!A:D,4,),"NO REGISTRA")</f>
        <v>ANALISTA DE TESORERIA</v>
      </c>
      <c r="E2412" s="5" t="str">
        <f>IFERROR(VLOOKUP(A2412,'Base Prueba'!A:E,5,),"NO REGISTRA")</f>
        <v>AREA FINANCIERA Y CONTABLE</v>
      </c>
    </row>
    <row r="2413" spans="1:5" ht="15.75" x14ac:dyDescent="0.25">
      <c r="A2413" s="10">
        <v>1032407386</v>
      </c>
      <c r="B2413" s="2">
        <v>46069.346313888891</v>
      </c>
      <c r="C2413" s="3" t="str">
        <f>IFERROR(VLOOKUP(A2413,'Base Prueba'!A:C,3,),"NO REGISTRA")</f>
        <v>GINA PAOLA BAEZ GALVIS</v>
      </c>
      <c r="D2413" s="4" t="str">
        <f>IFERROR(VLOOKUP(A2413,'Base Prueba'!A:D,4,),"NO REGISTRA")</f>
        <v>PROMOTOR CALL CENTER</v>
      </c>
      <c r="E2413" s="5" t="str">
        <f>IFERROR(VLOOKUP(A2413,'Base Prueba'!A:E,5,),"NO REGISTRA")</f>
        <v>OFICINA DE MERCADEO</v>
      </c>
    </row>
    <row r="2414" spans="1:5" ht="15.75" x14ac:dyDescent="0.25">
      <c r="A2414" s="10">
        <v>1024505434</v>
      </c>
      <c r="B2414" s="2">
        <v>46069.349729745372</v>
      </c>
      <c r="C2414" s="3" t="str">
        <f>IFERROR(VLOOKUP(A2414,'Base Prueba'!A:C,3,),"NO REGISTRA")</f>
        <v>CRISTIAN ALBERTO MELO TORRES</v>
      </c>
      <c r="D2414" s="4" t="str">
        <f>IFERROR(VLOOKUP(A2414,'Base Prueba'!A:D,4,),"NO REGISTRA")</f>
        <v>COORDINADOR DE INFRAESTRUCTURA</v>
      </c>
      <c r="E2414" s="5" t="str">
        <f>IFERROR(VLOOKUP(A2414,'Base Prueba'!A:E,5,),"NO REGISTRA")</f>
        <v>VICERRECTORIA ADMINISTRATIVA Y FINANCIERA</v>
      </c>
    </row>
    <row r="2415" spans="1:5" ht="15.75" x14ac:dyDescent="0.25">
      <c r="A2415" s="10">
        <v>1023883232</v>
      </c>
      <c r="B2415" s="2">
        <v>46069.350547453701</v>
      </c>
      <c r="C2415" s="3" t="str">
        <f>IFERROR(VLOOKUP(A2415,'Base Prueba'!A:C,3,),"NO REGISTRA")</f>
        <v>MONICA ANDREA ACERO URBANO</v>
      </c>
      <c r="D2415" s="4" t="str">
        <f>IFERROR(VLOOKUP(A2415,'Base Prueba'!A:D,4,),"NO REGISTRA")</f>
        <v>APOYO INTEGRAL A GESTION HUMANA</v>
      </c>
      <c r="E2415" s="5" t="str">
        <f>IFERROR(VLOOKUP(A2415,'Base Prueba'!A:E,5,),"NO REGISTRA")</f>
        <v>DEPARTAMENTO DE GESTION HUMANA</v>
      </c>
    </row>
    <row r="2416" spans="1:5" ht="15.75" x14ac:dyDescent="0.25">
      <c r="A2416" s="10">
        <v>1003690253</v>
      </c>
      <c r="B2416" s="2">
        <v>46069.35110428241</v>
      </c>
      <c r="C2416" s="3" t="str">
        <f>IFERROR(VLOOKUP(A2416,'Base Prueba'!A:C,3,),"NO REGISTRA")</f>
        <v>MELISSA GONZALEZ PEDRAZA</v>
      </c>
      <c r="D2416" s="4" t="str">
        <f>IFERROR(VLOOKUP(A2416,'Base Prueba'!A:D,4,),"NO REGISTRA")</f>
        <v>LIDER DE JOVENES A LA E</v>
      </c>
      <c r="E2416" s="5" t="str">
        <f>IFERROR(VLOOKUP(A2416,'Base Prueba'!A:E,5,),"NO REGISTRA")</f>
        <v>DIRECCION DE BIENESTAR INSTITUCIONAL</v>
      </c>
    </row>
    <row r="2417" spans="1:5" ht="15.75" x14ac:dyDescent="0.25">
      <c r="A2417" s="10">
        <v>1000687931</v>
      </c>
      <c r="B2417" s="2">
        <v>46069.351759143516</v>
      </c>
      <c r="C2417" s="3" t="str">
        <f>IFERROR(VLOOKUP(A2417,'Base Prueba'!A:C,3,),"NO REGISTRA")</f>
        <v>ANDRES FELIPE PUENTES TORRES</v>
      </c>
      <c r="D2417" s="4" t="str">
        <f>IFERROR(VLOOKUP(A2417,'Base Prueba'!A:D,4,),"NO REGISTRA")</f>
        <v>AUXILIAR ADMINISTRATIVO</v>
      </c>
      <c r="E2417" s="5" t="str">
        <f>IFERROR(VLOOKUP(A2417,'Base Prueba'!A:E,5,),"NO REGISTRA")</f>
        <v>REGISTRO Y CONTROL ACADEMICO</v>
      </c>
    </row>
    <row r="2418" spans="1:5" ht="15.75" x14ac:dyDescent="0.25">
      <c r="A2418" s="10">
        <v>1000457706</v>
      </c>
      <c r="B2418" s="2">
        <v>46069.352052314818</v>
      </c>
      <c r="C2418" s="3" t="str">
        <f>IFERROR(VLOOKUP(A2418,'Base Prueba'!A:C,3,),"NO REGISTRA")</f>
        <v>CRISTIAN DANILO ARROYO SANABRIA</v>
      </c>
      <c r="D2418" s="4" t="str">
        <f>IFERROR(VLOOKUP(A2418,'Base Prueba'!A:D,4,),"NO REGISTRA")</f>
        <v>AUXILIAR CONTABLE</v>
      </c>
      <c r="E2418" s="5" t="str">
        <f>IFERROR(VLOOKUP(A2418,'Base Prueba'!A:E,5,),"NO REGISTRA")</f>
        <v>AREA FINANCIERA Y CONTABLE</v>
      </c>
    </row>
    <row r="2419" spans="1:5" ht="15.75" x14ac:dyDescent="0.25">
      <c r="A2419" s="10">
        <v>1000593372</v>
      </c>
      <c r="B2419" s="2">
        <v>46069.355662499998</v>
      </c>
      <c r="C2419" s="3" t="str">
        <f>IFERROR(VLOOKUP(A2419,'Base Prueba'!A:C,3,),"NO REGISTRA")</f>
        <v>LAURA SOFIA CHAPARRO LOPEZ</v>
      </c>
      <c r="D2419" s="4" t="str">
        <f>IFERROR(VLOOKUP(A2419,'Base Prueba'!A:D,4,),"NO REGISTRA")</f>
        <v>AUXILIAR JURIDICO</v>
      </c>
      <c r="E2419" s="5" t="str">
        <f>IFERROR(VLOOKUP(A2419,'Base Prueba'!A:E,5,),"NO REGISTRA")</f>
        <v>SECRETARIA GENERAL</v>
      </c>
    </row>
    <row r="2420" spans="1:5" ht="15.75" x14ac:dyDescent="0.25">
      <c r="A2420" s="10">
        <v>80234243</v>
      </c>
      <c r="B2420" s="2">
        <v>46069.35589363426</v>
      </c>
      <c r="C2420" s="3" t="str">
        <f>IFERROR(VLOOKUP(A2420,'Base Prueba'!A:C,3,),"NO REGISTRA")</f>
        <v>ARGENIS MARTINEZ MARTINEZ</v>
      </c>
      <c r="D2420" s="4" t="str">
        <f>IFERROR(VLOOKUP(A2420,'Base Prueba'!A:D,4,),"NO REGISTRA")</f>
        <v>LIDER CALL CENTER</v>
      </c>
      <c r="E2420" s="5" t="str">
        <f>IFERROR(VLOOKUP(A2420,'Base Prueba'!A:E,5,),"NO REGISTRA")</f>
        <v>OFICINA DE MERCADEO</v>
      </c>
    </row>
    <row r="2421" spans="1:5" ht="15.75" x14ac:dyDescent="0.25">
      <c r="A2421" s="10">
        <v>53932358</v>
      </c>
      <c r="B2421" s="2">
        <v>46069.357172569442</v>
      </c>
      <c r="C2421" s="3" t="str">
        <f>IFERROR(VLOOKUP(A2421,'Base Prueba'!A:C,3,),"NO REGISTRA")</f>
        <v>DIANA MADELEYNE GAONA RODRIGUEZ</v>
      </c>
      <c r="D2421" s="4" t="str">
        <f>IFERROR(VLOOKUP(A2421,'Base Prueba'!A:D,4,),"NO REGISTRA")</f>
        <v>CONTADOR</v>
      </c>
      <c r="E2421" s="5" t="str">
        <f>IFERROR(VLOOKUP(A2421,'Base Prueba'!A:E,5,),"NO REGISTRA")</f>
        <v>AREA FINANCIERA Y CONTABLE</v>
      </c>
    </row>
    <row r="2422" spans="1:5" ht="15.75" x14ac:dyDescent="0.25">
      <c r="A2422" s="10">
        <v>1032469638</v>
      </c>
      <c r="B2422" s="2">
        <v>46069.360090277776</v>
      </c>
      <c r="C2422" s="3" t="str">
        <f>IFERROR(VLOOKUP(A2422,'Base Prueba'!A:C,3,),"NO REGISTRA")</f>
        <v>MAICOL JARBEY GUALTEROS CASTAÑEDA</v>
      </c>
      <c r="D2422" s="4" t="str">
        <f>IFERROR(VLOOKUP(A2422,'Base Prueba'!A:D,4,),"NO REGISTRA")</f>
        <v>COORDINADOR DEL SISTEMA INTERNO DE ASEGURAMIENTO DE LA CALIDAD - SIAC</v>
      </c>
      <c r="E2422" s="5" t="str">
        <f>IFERROR(VLOOKUP(A2422,'Base Prueba'!A:E,5,),"NO REGISTRA")</f>
        <v>OFICINA DE PLANEACION Y GESTION DE LA CALIDAD</v>
      </c>
    </row>
    <row r="2423" spans="1:5" ht="15.75" x14ac:dyDescent="0.25">
      <c r="A2423" s="10">
        <v>1193265768</v>
      </c>
      <c r="B2423" s="2">
        <v>46069.36767939815</v>
      </c>
      <c r="C2423" s="3" t="str">
        <f>IFERROR(VLOOKUP(A2423,'Base Prueba'!A:C,3,),"NO REGISTRA")</f>
        <v>SANTIAGO OSORIO CAMACHO</v>
      </c>
      <c r="D2423" s="4" t="str">
        <f>IFERROR(VLOOKUP(A2423,'Base Prueba'!A:D,4,),"NO REGISTRA")</f>
        <v>ANALISTA DE PAUTA</v>
      </c>
      <c r="E2423" s="5" t="str">
        <f>IFERROR(VLOOKUP(A2423,'Base Prueba'!A:E,5,),"NO REGISTRA")</f>
        <v>OFICINA DE MERCADEO</v>
      </c>
    </row>
    <row r="2424" spans="1:5" ht="15.75" x14ac:dyDescent="0.25">
      <c r="A2424" s="10">
        <v>1018414290</v>
      </c>
      <c r="B2424" s="2">
        <v>46069.368721064813</v>
      </c>
      <c r="C2424" s="3" t="str">
        <f>IFERROR(VLOOKUP(A2424,'Base Prueba'!A:C,3,),"NO REGISTRA")</f>
        <v>AMANDA LISBETH RODRIGUEZ LEON</v>
      </c>
      <c r="D2424" s="4" t="str">
        <f>IFERROR(VLOOKUP(A2424,'Base Prueba'!A:D,4,),"NO REGISTRA")</f>
        <v>PROMOTOR CALL CENTER</v>
      </c>
      <c r="E2424" s="5" t="str">
        <f>IFERROR(VLOOKUP(A2424,'Base Prueba'!A:E,5,),"NO REGISTRA")</f>
        <v>OFICINA DE MERCADEO</v>
      </c>
    </row>
    <row r="2425" spans="1:5" ht="15.75" x14ac:dyDescent="0.25">
      <c r="A2425" s="10">
        <v>52764929</v>
      </c>
      <c r="B2425" s="2">
        <v>46069.369031944443</v>
      </c>
      <c r="C2425" s="3" t="str">
        <f>IFERROR(VLOOKUP(A2425,'Base Prueba'!A:C,3,),"NO REGISTRA")</f>
        <v>GUERLY YOHANA DURAN RIVERA</v>
      </c>
      <c r="D2425" s="4" t="str">
        <f>IFERROR(VLOOKUP(A2425,'Base Prueba'!A:D,4,),"NO REGISTRA")</f>
        <v>LIDER DE VINCULACION COLEGIOS</v>
      </c>
      <c r="E2425" s="5" t="str">
        <f>IFERROR(VLOOKUP(A2425,'Base Prueba'!A:E,5,),"NO REGISTRA")</f>
        <v>OFICINA DE MERCADEO</v>
      </c>
    </row>
    <row r="2426" spans="1:5" ht="15.75" x14ac:dyDescent="0.25">
      <c r="A2426" s="10">
        <v>1000161811</v>
      </c>
      <c r="B2426" s="2">
        <v>46069.370060995374</v>
      </c>
      <c r="C2426" s="3" t="str">
        <f>IFERROR(VLOOKUP(A2426,'Base Prueba'!A:C,3,),"NO REGISTRA")</f>
        <v>DIEGO ANDRES VARON ROZO</v>
      </c>
      <c r="D2426" s="4" t="str">
        <f>IFERROR(VLOOKUP(A2426,'Base Prueba'!A:D,4,),"NO REGISTRA")</f>
        <v>APRENDIZ UNIVERSITARIO</v>
      </c>
      <c r="E2426" s="5" t="str">
        <f>IFERROR(VLOOKUP(A2426,'Base Prueba'!A:E,5,),"NO REGISTRA")</f>
        <v>OFICINA DE MERCADEO</v>
      </c>
    </row>
    <row r="2427" spans="1:5" ht="15.75" x14ac:dyDescent="0.25">
      <c r="A2427" s="10">
        <v>1033709056</v>
      </c>
      <c r="B2427" s="2">
        <v>46069.372075578707</v>
      </c>
      <c r="C2427" s="3" t="str">
        <f>IFERROR(VLOOKUP(A2427,'Base Prueba'!A:C,3,),"NO REGISTRA")</f>
        <v>YEIMY ALEXANDRA RODRIGUEZ PALACIO</v>
      </c>
      <c r="D2427" s="4" t="str">
        <f>IFERROR(VLOOKUP(A2427,'Base Prueba'!A:D,4,),"NO REGISTRA")</f>
        <v>PROMOTOR CALL CENTER</v>
      </c>
      <c r="E2427" s="5" t="str">
        <f>IFERROR(VLOOKUP(A2427,'Base Prueba'!A:E,5,),"NO REGISTRA")</f>
        <v>OFICINA DE MERCADEO</v>
      </c>
    </row>
    <row r="2428" spans="1:5" ht="15.75" x14ac:dyDescent="0.25">
      <c r="A2428" s="10">
        <v>28798349</v>
      </c>
      <c r="B2428" s="2">
        <v>46069.373639930556</v>
      </c>
      <c r="C2428" s="3" t="str">
        <f>IFERROR(VLOOKUP(A2428,'Base Prueba'!A:C,3,),"NO REGISTRA")</f>
        <v>MARTHA ISABEL TOVAR WILLIAMS</v>
      </c>
      <c r="D2428" s="4" t="str">
        <f>IFERROR(VLOOKUP(A2428,'Base Prueba'!A:D,4,),"NO REGISTRA")</f>
        <v>PROMOTOR CALL CENTER</v>
      </c>
      <c r="E2428" s="5" t="str">
        <f>IFERROR(VLOOKUP(A2428,'Base Prueba'!A:E,5,),"NO REGISTRA")</f>
        <v>OFICINA DE MERCADEO</v>
      </c>
    </row>
    <row r="2429" spans="1:5" ht="15.75" x14ac:dyDescent="0.25">
      <c r="A2429" s="10">
        <v>28798349</v>
      </c>
      <c r="B2429" s="2">
        <v>46069.373651504633</v>
      </c>
      <c r="C2429" s="3" t="str">
        <f>IFERROR(VLOOKUP(A2429,'Base Prueba'!A:C,3,),"NO REGISTRA")</f>
        <v>MARTHA ISABEL TOVAR WILLIAMS</v>
      </c>
      <c r="D2429" s="4" t="str">
        <f>IFERROR(VLOOKUP(A2429,'Base Prueba'!A:D,4,),"NO REGISTRA")</f>
        <v>PROMOTOR CALL CENTER</v>
      </c>
      <c r="E2429" s="5" t="str">
        <f>IFERROR(VLOOKUP(A2429,'Base Prueba'!A:E,5,),"NO REGISTRA")</f>
        <v>OFICINA DE MERCADEO</v>
      </c>
    </row>
    <row r="2430" spans="1:5" ht="15.75" x14ac:dyDescent="0.25">
      <c r="A2430" s="10">
        <v>1018413529</v>
      </c>
      <c r="B2430" s="2">
        <v>46069.375511689817</v>
      </c>
      <c r="C2430" s="3" t="str">
        <f>IFERROR(VLOOKUP(A2430,'Base Prueba'!A:C,3,),"NO REGISTRA")</f>
        <v>FRANCY STELLA CHARRY MORENO</v>
      </c>
      <c r="D2430" s="4" t="str">
        <f>IFERROR(VLOOKUP(A2430,'Base Prueba'!A:D,4,),"NO REGISTRA")</f>
        <v>PROMOTOR COMERCIAL DEL CEA</v>
      </c>
      <c r="E2430" s="5" t="str">
        <f>IFERROR(VLOOKUP(A2430,'Base Prueba'!A:E,5,),"NO REGISTRA")</f>
        <v>OFICINA DE MERCADEO</v>
      </c>
    </row>
    <row r="2431" spans="1:5" ht="15.75" x14ac:dyDescent="0.25">
      <c r="A2431" s="10">
        <v>1019105003</v>
      </c>
      <c r="B2431" s="2">
        <v>46069.377516666667</v>
      </c>
      <c r="C2431" s="3" t="str">
        <f>IFERROR(VLOOKUP(A2431,'Base Prueba'!A:C,3,),"NO REGISTRA")</f>
        <v>DAISY JULIETH GASPAR MORENO</v>
      </c>
      <c r="D2431" s="4" t="str">
        <f>IFERROR(VLOOKUP(A2431,'Base Prueba'!A:D,4,),"NO REGISTRA")</f>
        <v>PROMOTOR CALL CENTER</v>
      </c>
      <c r="E2431" s="5" t="str">
        <f>IFERROR(VLOOKUP(A2431,'Base Prueba'!A:E,5,),"NO REGISTRA")</f>
        <v>OFICINA DE MERCADEO</v>
      </c>
    </row>
    <row r="2432" spans="1:5" ht="15.75" x14ac:dyDescent="0.25">
      <c r="A2432" s="10">
        <v>1016090131</v>
      </c>
      <c r="B2432" s="2">
        <v>46069.378067939811</v>
      </c>
      <c r="C2432" s="3" t="str">
        <f>IFERROR(VLOOKUP(A2432,'Base Prueba'!A:C,3,),"NO REGISTRA")</f>
        <v>NICOLAS RODRIGUEZ PACHECO</v>
      </c>
      <c r="D2432" s="4" t="str">
        <f>IFERROR(VLOOKUP(A2432,'Base Prueba'!A:D,4,),"NO REGISTRA")</f>
        <v>COORDINADOR DE COMUNICACIONES</v>
      </c>
      <c r="E2432" s="5" t="str">
        <f>IFERROR(VLOOKUP(A2432,'Base Prueba'!A:E,5,),"NO REGISTRA")</f>
        <v>OFICINA DE MERCADEO</v>
      </c>
    </row>
    <row r="2433" spans="1:5" ht="15.75" x14ac:dyDescent="0.25">
      <c r="A2433" s="10">
        <v>1000046533</v>
      </c>
      <c r="B2433" s="2">
        <v>46069.378226273147</v>
      </c>
      <c r="C2433" s="3" t="str">
        <f>IFERROR(VLOOKUP(A2433,'Base Prueba'!A:C,3,),"NO REGISTRA")</f>
        <v>ERIKA JULIETH VALDERRAMA SANCHEZ</v>
      </c>
      <c r="D2433" s="4" t="str">
        <f>IFERROR(VLOOKUP(A2433,'Base Prueba'!A:D,4,),"NO REGISTRA")</f>
        <v>PROMOTOR CALL CENTER</v>
      </c>
      <c r="E2433" s="5" t="str">
        <f>IFERROR(VLOOKUP(A2433,'Base Prueba'!A:E,5,),"NO REGISTRA")</f>
        <v>OFICINA DE MERCADEO</v>
      </c>
    </row>
    <row r="2434" spans="1:5" ht="15.75" x14ac:dyDescent="0.25">
      <c r="A2434" s="10">
        <v>1023961952</v>
      </c>
      <c r="B2434" s="2">
        <v>46069.378469791664</v>
      </c>
      <c r="C2434" s="3" t="str">
        <f>IFERROR(VLOOKUP(A2434,'Base Prueba'!A:C,3,),"NO REGISTRA")</f>
        <v>ALEJANDRO PINZON MERCHAN</v>
      </c>
      <c r="D2434" s="4" t="str">
        <f>IFERROR(VLOOKUP(A2434,'Base Prueba'!A:D,4,),"NO REGISTRA")</f>
        <v>PROMOTOR CALL CENTER</v>
      </c>
      <c r="E2434" s="5" t="str">
        <f>IFERROR(VLOOKUP(A2434,'Base Prueba'!A:E,5,),"NO REGISTRA")</f>
        <v>OFICINA DE MERCADEO</v>
      </c>
    </row>
    <row r="2435" spans="1:5" ht="15.75" x14ac:dyDescent="0.25">
      <c r="A2435" s="10">
        <v>52472386</v>
      </c>
      <c r="B2435" s="2">
        <v>46069.380424189818</v>
      </c>
      <c r="C2435" s="3" t="str">
        <f>IFERROR(VLOOKUP(A2435,'Base Prueba'!A:C,3,),"NO REGISTRA")</f>
        <v>ADRIANA MARCELA MORALES PARDO</v>
      </c>
      <c r="D2435" s="4" t="str">
        <f>IFERROR(VLOOKUP(A2435,'Base Prueba'!A:D,4,),"NO REGISTRA")</f>
        <v>PROMOTOR CALL CENTER</v>
      </c>
      <c r="E2435" s="5" t="str">
        <f>IFERROR(VLOOKUP(A2435,'Base Prueba'!A:E,5,),"NO REGISTRA")</f>
        <v>OFICINA DE MERCADEO</v>
      </c>
    </row>
    <row r="2436" spans="1:5" ht="15.75" x14ac:dyDescent="0.25">
      <c r="A2436" s="10">
        <v>52175674</v>
      </c>
      <c r="B2436" s="2">
        <v>46069.381610300923</v>
      </c>
      <c r="C2436" s="3" t="str">
        <f>IFERROR(VLOOKUP(A2436,'Base Prueba'!A:C,3,),"NO REGISTRA")</f>
        <v>LUZ YANETH GOMEZ AREVALO</v>
      </c>
      <c r="D2436" s="4" t="str">
        <f>IFERROR(VLOOKUP(A2436,'Base Prueba'!A:D,4,),"NO REGISTRA")</f>
        <v>COORDINADORA DE ADMISIONES</v>
      </c>
      <c r="E2436" s="5" t="str">
        <f>IFERROR(VLOOKUP(A2436,'Base Prueba'!A:E,5,),"NO REGISTRA")</f>
        <v>OFICINA DE MERCADEO</v>
      </c>
    </row>
    <row r="2437" spans="1:5" ht="15.75" x14ac:dyDescent="0.25">
      <c r="A2437" s="10">
        <v>1000604979</v>
      </c>
      <c r="B2437" s="2">
        <v>46069.382431481485</v>
      </c>
      <c r="C2437" s="3" t="str">
        <f>IFERROR(VLOOKUP(A2437,'Base Prueba'!A:C,3,),"NO REGISTRA")</f>
        <v>JULIETH TATIANA PARDO PINTO</v>
      </c>
      <c r="D2437" s="4" t="str">
        <f>IFERROR(VLOOKUP(A2437,'Base Prueba'!A:D,4,),"NO REGISTRA")</f>
        <v>AUXILIAR JURIDICO</v>
      </c>
      <c r="E2437" s="5" t="str">
        <f>IFERROR(VLOOKUP(A2437,'Base Prueba'!A:E,5,),"NO REGISTRA")</f>
        <v>SECRETARIA GENERAL</v>
      </c>
    </row>
    <row r="2438" spans="1:5" ht="15.75" x14ac:dyDescent="0.25">
      <c r="A2438" s="10">
        <v>1014196857</v>
      </c>
      <c r="B2438" s="2">
        <v>46069.383186226849</v>
      </c>
      <c r="C2438" s="3" t="str">
        <f>IFERROR(VLOOKUP(A2438,'Base Prueba'!A:C,3,),"NO REGISTRA")</f>
        <v>CARLOS ANDRES JIMENEZ PARDO</v>
      </c>
      <c r="D2438" s="4" t="str">
        <f>IFERROR(VLOOKUP(A2438,'Base Prueba'!A:D,4,),"NO REGISTRA")</f>
        <v>COORDINADOR DE MARKETING DIGITAL</v>
      </c>
      <c r="E2438" s="5" t="str">
        <f>IFERROR(VLOOKUP(A2438,'Base Prueba'!A:E,5,),"NO REGISTRA")</f>
        <v>OFICINA DE MERCADEO</v>
      </c>
    </row>
    <row r="2439" spans="1:5" ht="15.75" x14ac:dyDescent="0.25">
      <c r="A2439" s="10">
        <v>1014977624</v>
      </c>
      <c r="B2439" s="2">
        <v>46069.546222569443</v>
      </c>
      <c r="C2439" s="3" t="str">
        <f>IFERROR(VLOOKUP(A2439,'Base Prueba'!A:C,3,),"NO REGISTRA")</f>
        <v>NICCOLE VALENTINA HERNANDEZ MALAVER</v>
      </c>
      <c r="D2439" s="4" t="str">
        <f>IFERROR(VLOOKUP(A2439,'Base Prueba'!A:D,4,),"NO REGISTRA")</f>
        <v>APRENDIZ UNIVERSITARIO</v>
      </c>
      <c r="E2439" s="5" t="str">
        <f>IFERROR(VLOOKUP(A2439,'Base Prueba'!A:E,5,),"NO REGISTRA")</f>
        <v>AREA FINANCIERA Y CONTABLE</v>
      </c>
    </row>
    <row r="2440" spans="1:5" ht="15.75" x14ac:dyDescent="0.25">
      <c r="A2440" s="10">
        <v>52443092</v>
      </c>
      <c r="B2440" s="2">
        <v>46069.580961921296</v>
      </c>
      <c r="C2440" s="3" t="str">
        <f>IFERROR(VLOOKUP(A2440,'Base Prueba'!A:C,3,),"NO REGISTRA")</f>
        <v>LUZ MYRIAM SAAVEDRA CONTRERAS</v>
      </c>
      <c r="D2440" s="4" t="str">
        <f>IFERROR(VLOOKUP(A2440,'Base Prueba'!A:D,4,),"NO REGISTRA")</f>
        <v>AUXILIAR DE SERVICIOS</v>
      </c>
      <c r="E2440" s="5" t="str">
        <f>IFERROR(VLOOKUP(A2440,'Base Prueba'!A:E,5,),"NO REGISTRA")</f>
        <v>LOGISTICA Y SERVICIOS GENERALES</v>
      </c>
    </row>
    <row r="2441" spans="1:5" ht="15.75" x14ac:dyDescent="0.25">
      <c r="A2441" s="10">
        <v>1031802160</v>
      </c>
      <c r="B2441" s="2">
        <v>46069.705723495368</v>
      </c>
      <c r="C2441" s="3" t="str">
        <f>IFERROR(VLOOKUP(A2441,'Base Prueba'!A:C,3,),"NO REGISTRA")</f>
        <v>LUISA MARIA MAHECHA SOTOMAYOR</v>
      </c>
      <c r="D2441" s="4" t="str">
        <f>IFERROR(VLOOKUP(A2441,'Base Prueba'!A:D,4,),"NO REGISTRA")</f>
        <v>APRENDIZ UNIVERSITARIO</v>
      </c>
      <c r="E2441" s="5" t="str">
        <f>IFERROR(VLOOKUP(A2441,'Base Prueba'!A:E,5,),"NO REGISTRA")</f>
        <v>OFICINA DE MERCADEO</v>
      </c>
    </row>
    <row r="2442" spans="1:5" ht="15.75" x14ac:dyDescent="0.25">
      <c r="A2442" s="10">
        <v>1193457976</v>
      </c>
      <c r="B2442" s="2">
        <v>46069.752331365744</v>
      </c>
      <c r="C2442" s="3" t="str">
        <f>IFERROR(VLOOKUP(A2442,'Base Prueba'!A:C,3,),"NO REGISTRA")</f>
        <v>SEDENIS RIVAS ASPRILLA</v>
      </c>
      <c r="D2442" s="4" t="str">
        <f>IFERROR(VLOOKUP(A2442,'Base Prueba'!A:D,4,),"NO REGISTRA")</f>
        <v>APRENDIZ UNIVERSITARIO</v>
      </c>
      <c r="E2442" s="5" t="str">
        <f>IFERROR(VLOOKUP(A2442,'Base Prueba'!A:E,5,),"NO REGISTRA")</f>
        <v>DEPARTAMENTO DE GESTION HUMANA</v>
      </c>
    </row>
    <row r="2443" spans="1:5" ht="15.75" x14ac:dyDescent="0.25">
      <c r="A2443" s="10">
        <v>1022996882</v>
      </c>
      <c r="B2443" s="2">
        <v>46069.752451851855</v>
      </c>
      <c r="C2443" s="3" t="str">
        <f>IFERROR(VLOOKUP(A2443,'Base Prueba'!A:C,3,),"NO REGISTRA")</f>
        <v>NANCY BRIGITH ALDANA GUEVARA</v>
      </c>
      <c r="D2443" s="4" t="str">
        <f>IFERROR(VLOOKUP(A2443,'Base Prueba'!A:D,4,),"NO REGISTRA")</f>
        <v>COORDINADORA DE GESTIÓN HUMANA</v>
      </c>
      <c r="E2443" s="5" t="str">
        <f>IFERROR(VLOOKUP(A2443,'Base Prueba'!A:E,5,),"NO REGISTRA")</f>
        <v>DEPARTAMENTO DE GESTION HUMANA</v>
      </c>
    </row>
    <row r="2444" spans="1:5" ht="15.75" x14ac:dyDescent="0.25">
      <c r="A2444" s="10">
        <v>1049644802</v>
      </c>
      <c r="B2444" s="2">
        <v>46069.75247673611</v>
      </c>
      <c r="C2444" s="3" t="str">
        <f>IFERROR(VLOOKUP(A2444,'Base Prueba'!A:C,3,),"NO REGISTRA")</f>
        <v>DANIELA ALEXANDRA CIPAMOCHA BOSIGA</v>
      </c>
      <c r="D2444" s="4" t="str">
        <f>IFERROR(VLOOKUP(A2444,'Base Prueba'!A:D,4,),"NO REGISTRA")</f>
        <v>LIDER DE DATOS Y SERVICIOS</v>
      </c>
      <c r="E2444" s="5" t="str">
        <f>IFERROR(VLOOKUP(A2444,'Base Prueba'!A:E,5,),"NO REGISTRA")</f>
        <v>OFICINA DE PLANEACION Y GESTION DE LA CALIDAD</v>
      </c>
    </row>
    <row r="2445" spans="1:5" ht="15.75" x14ac:dyDescent="0.25">
      <c r="A2445" s="10">
        <v>1000467399</v>
      </c>
      <c r="B2445" s="2">
        <v>46069.752873379628</v>
      </c>
      <c r="C2445" s="3" t="str">
        <f>IFERROR(VLOOKUP(A2445,'Base Prueba'!A:C,3,),"NO REGISTRA")</f>
        <v>BRANDO ESTIVEN DIAZ QUIMBAYA</v>
      </c>
      <c r="D2445" s="4" t="str">
        <f>IFERROR(VLOOKUP(A2445,'Base Prueba'!A:D,4,),"NO REGISTRA")</f>
        <v>APRENDIZ UNIVERSITARIO</v>
      </c>
      <c r="E2445" s="5" t="str">
        <f>IFERROR(VLOOKUP(A2445,'Base Prueba'!A:E,5,),"NO REGISTRA")</f>
        <v>DEPARTAMENTO DE GESTION HUMANA</v>
      </c>
    </row>
    <row r="2446" spans="1:5" ht="15.75" x14ac:dyDescent="0.25">
      <c r="A2446" s="10">
        <v>52472386</v>
      </c>
      <c r="B2446" s="2">
        <v>46069.754000694447</v>
      </c>
      <c r="C2446" s="3" t="str">
        <f>IFERROR(VLOOKUP(A2446,'Base Prueba'!A:C,3,),"NO REGISTRA")</f>
        <v>ADRIANA MARCELA MORALES PARDO</v>
      </c>
      <c r="D2446" s="4" t="str">
        <f>IFERROR(VLOOKUP(A2446,'Base Prueba'!A:D,4,),"NO REGISTRA")</f>
        <v>PROMOTOR CALL CENTER</v>
      </c>
      <c r="E2446" s="5" t="str">
        <f>IFERROR(VLOOKUP(A2446,'Base Prueba'!A:E,5,),"NO REGISTRA")</f>
        <v>OFICINA DE MERCADEO</v>
      </c>
    </row>
    <row r="2447" spans="1:5" ht="15.75" x14ac:dyDescent="0.25">
      <c r="A2447" s="10">
        <v>1014266838</v>
      </c>
      <c r="B2447" s="2">
        <v>46069.754353009259</v>
      </c>
      <c r="C2447" s="3" t="str">
        <f>IFERROR(VLOOKUP(A2447,'Base Prueba'!A:C,3,),"NO REGISTRA")</f>
        <v>JENNIFER ASTRID ROMERO HURTADO</v>
      </c>
      <c r="D2447" s="4" t="str">
        <f>IFERROR(VLOOKUP(A2447,'Base Prueba'!A:D,4,),"NO REGISTRA")</f>
        <v>LIDER DE RECAUDO</v>
      </c>
      <c r="E2447" s="5" t="str">
        <f>IFERROR(VLOOKUP(A2447,'Base Prueba'!A:E,5,),"NO REGISTRA")</f>
        <v>AREA FINANCIERA Y CONTABLE</v>
      </c>
    </row>
    <row r="2448" spans="1:5" ht="15.75" x14ac:dyDescent="0.25">
      <c r="A2448" s="10">
        <v>1023883232</v>
      </c>
      <c r="B2448" s="2">
        <v>46069.754804976852</v>
      </c>
      <c r="C2448" s="3" t="str">
        <f>IFERROR(VLOOKUP(A2448,'Base Prueba'!A:C,3,),"NO REGISTRA")</f>
        <v>MONICA ANDREA ACERO URBANO</v>
      </c>
      <c r="D2448" s="4" t="str">
        <f>IFERROR(VLOOKUP(A2448,'Base Prueba'!A:D,4,),"NO REGISTRA")</f>
        <v>APOYO INTEGRAL A GESTION HUMANA</v>
      </c>
      <c r="E2448" s="5" t="str">
        <f>IFERROR(VLOOKUP(A2448,'Base Prueba'!A:E,5,),"NO REGISTRA")</f>
        <v>DEPARTAMENTO DE GESTION HUMANA</v>
      </c>
    </row>
    <row r="2449" spans="1:5" ht="15.75" x14ac:dyDescent="0.25">
      <c r="A2449" s="10">
        <v>1087121273</v>
      </c>
      <c r="B2449" s="2">
        <v>46069.755106018521</v>
      </c>
      <c r="C2449" s="3" t="str">
        <f>IFERROR(VLOOKUP(A2449,'Base Prueba'!A:C,3,),"NO REGISTRA")</f>
        <v>MAYRA ALEJANDRA CASTILLO ARBOLEDA</v>
      </c>
      <c r="D2449" s="4" t="str">
        <f>IFERROR(VLOOKUP(A2449,'Base Prueba'!A:D,4,),"NO REGISTRA")</f>
        <v>APOYO INTEGRAL DE MERCADEO</v>
      </c>
      <c r="E2449" s="5" t="str">
        <f>IFERROR(VLOOKUP(A2449,'Base Prueba'!A:E,5,),"NO REGISTRA")</f>
        <v>CENTRO DE GESTION DOCUMENTAL</v>
      </c>
    </row>
    <row r="2450" spans="1:5" ht="15.75" x14ac:dyDescent="0.25">
      <c r="A2450" s="10">
        <v>1019105003</v>
      </c>
      <c r="B2450" s="2">
        <v>46069.755186921298</v>
      </c>
      <c r="C2450" s="3" t="str">
        <f>IFERROR(VLOOKUP(A2450,'Base Prueba'!A:C,3,),"NO REGISTRA")</f>
        <v>DAISY JULIETH GASPAR MORENO</v>
      </c>
      <c r="D2450" s="4" t="str">
        <f>IFERROR(VLOOKUP(A2450,'Base Prueba'!A:D,4,),"NO REGISTRA")</f>
        <v>PROMOTOR CALL CENTER</v>
      </c>
      <c r="E2450" s="5" t="str">
        <f>IFERROR(VLOOKUP(A2450,'Base Prueba'!A:E,5,),"NO REGISTRA")</f>
        <v>OFICINA DE MERCADEO</v>
      </c>
    </row>
    <row r="2451" spans="1:5" ht="15.75" x14ac:dyDescent="0.25">
      <c r="A2451" s="10">
        <v>1000687931</v>
      </c>
      <c r="B2451" s="2">
        <v>46069.755758217594</v>
      </c>
      <c r="C2451" s="3" t="str">
        <f>IFERROR(VLOOKUP(A2451,'Base Prueba'!A:C,3,),"NO REGISTRA")</f>
        <v>ANDRES FELIPE PUENTES TORRES</v>
      </c>
      <c r="D2451" s="4" t="str">
        <f>IFERROR(VLOOKUP(A2451,'Base Prueba'!A:D,4,),"NO REGISTRA")</f>
        <v>AUXILIAR ADMINISTRATIVO</v>
      </c>
      <c r="E2451" s="5" t="str">
        <f>IFERROR(VLOOKUP(A2451,'Base Prueba'!A:E,5,),"NO REGISTRA")</f>
        <v>REGISTRO Y CONTROL ACADEMICO</v>
      </c>
    </row>
    <row r="2452" spans="1:5" ht="15.75" x14ac:dyDescent="0.25">
      <c r="A2452" s="10">
        <v>1018414290</v>
      </c>
      <c r="B2452" s="2">
        <v>46069.756581365742</v>
      </c>
      <c r="C2452" s="3" t="str">
        <f>IFERROR(VLOOKUP(A2452,'Base Prueba'!A:C,3,),"NO REGISTRA")</f>
        <v>AMANDA LISBETH RODRIGUEZ LEON</v>
      </c>
      <c r="D2452" s="4" t="str">
        <f>IFERROR(VLOOKUP(A2452,'Base Prueba'!A:D,4,),"NO REGISTRA")</f>
        <v>PROMOTOR CALL CENTER</v>
      </c>
      <c r="E2452" s="5" t="str">
        <f>IFERROR(VLOOKUP(A2452,'Base Prueba'!A:E,5,),"NO REGISTRA")</f>
        <v>OFICINA DE MERCADEO</v>
      </c>
    </row>
    <row r="2453" spans="1:5" ht="15.75" x14ac:dyDescent="0.25">
      <c r="A2453" s="10">
        <v>1032407386</v>
      </c>
      <c r="B2453" s="2">
        <v>46069.756630787037</v>
      </c>
      <c r="C2453" s="3" t="str">
        <f>IFERROR(VLOOKUP(A2453,'Base Prueba'!A:C,3,),"NO REGISTRA")</f>
        <v>GINA PAOLA BAEZ GALVIS</v>
      </c>
      <c r="D2453" s="4" t="str">
        <f>IFERROR(VLOOKUP(A2453,'Base Prueba'!A:D,4,),"NO REGISTRA")</f>
        <v>PROMOTOR CALL CENTER</v>
      </c>
      <c r="E2453" s="5" t="str">
        <f>IFERROR(VLOOKUP(A2453,'Base Prueba'!A:E,5,),"NO REGISTRA")</f>
        <v>OFICINA DE MERCADEO</v>
      </c>
    </row>
    <row r="2454" spans="1:5" ht="15.75" x14ac:dyDescent="0.25">
      <c r="A2454" s="10">
        <v>1014977624</v>
      </c>
      <c r="B2454" s="2">
        <v>46069.757693634259</v>
      </c>
      <c r="C2454" s="3" t="str">
        <f>IFERROR(VLOOKUP(A2454,'Base Prueba'!A:C,3,),"NO REGISTRA")</f>
        <v>NICCOLE VALENTINA HERNANDEZ MALAVER</v>
      </c>
      <c r="D2454" s="4" t="str">
        <f>IFERROR(VLOOKUP(A2454,'Base Prueba'!A:D,4,),"NO REGISTRA")</f>
        <v>APRENDIZ UNIVERSITARIO</v>
      </c>
      <c r="E2454" s="5" t="str">
        <f>IFERROR(VLOOKUP(A2454,'Base Prueba'!A:E,5,),"NO REGISTRA")</f>
        <v>AREA FINANCIERA Y CONTABLE</v>
      </c>
    </row>
    <row r="2455" spans="1:5" ht="15.75" x14ac:dyDescent="0.25">
      <c r="A2455" s="10">
        <v>1000046533</v>
      </c>
      <c r="B2455" s="2">
        <v>46069.757948379629</v>
      </c>
      <c r="C2455" s="3" t="str">
        <f>IFERROR(VLOOKUP(A2455,'Base Prueba'!A:C,3,),"NO REGISTRA")</f>
        <v>ERIKA JULIETH VALDERRAMA SANCHEZ</v>
      </c>
      <c r="D2455" s="4" t="str">
        <f>IFERROR(VLOOKUP(A2455,'Base Prueba'!A:D,4,),"NO REGISTRA")</f>
        <v>PROMOTOR CALL CENTER</v>
      </c>
      <c r="E2455" s="5" t="str">
        <f>IFERROR(VLOOKUP(A2455,'Base Prueba'!A:E,5,),"NO REGISTRA")</f>
        <v>OFICINA DE MERCADEO</v>
      </c>
    </row>
    <row r="2456" spans="1:5" ht="15.75" x14ac:dyDescent="0.25">
      <c r="A2456" s="10">
        <v>1003690253</v>
      </c>
      <c r="B2456" s="2">
        <v>46069.759435185188</v>
      </c>
      <c r="C2456" s="3" t="str">
        <f>IFERROR(VLOOKUP(A2456,'Base Prueba'!A:C,3,),"NO REGISTRA")</f>
        <v>MELISSA GONZALEZ PEDRAZA</v>
      </c>
      <c r="D2456" s="4" t="str">
        <f>IFERROR(VLOOKUP(A2456,'Base Prueba'!A:D,4,),"NO REGISTRA")</f>
        <v>LIDER DE JOVENES A LA E</v>
      </c>
      <c r="E2456" s="5" t="str">
        <f>IFERROR(VLOOKUP(A2456,'Base Prueba'!A:E,5,),"NO REGISTRA")</f>
        <v>DIRECCION DE BIENESTAR INSTITUCIONAL</v>
      </c>
    </row>
    <row r="2457" spans="1:5" ht="15.75" x14ac:dyDescent="0.25">
      <c r="A2457" s="10">
        <v>1000593372</v>
      </c>
      <c r="B2457" s="2">
        <v>46069.760095254627</v>
      </c>
      <c r="C2457" s="3" t="str">
        <f>IFERROR(VLOOKUP(A2457,'Base Prueba'!A:C,3,),"NO REGISTRA")</f>
        <v>LAURA SOFIA CHAPARRO LOPEZ</v>
      </c>
      <c r="D2457" s="4" t="str">
        <f>IFERROR(VLOOKUP(A2457,'Base Prueba'!A:D,4,),"NO REGISTRA")</f>
        <v>AUXILIAR JURIDICO</v>
      </c>
      <c r="E2457" s="5" t="str">
        <f>IFERROR(VLOOKUP(A2457,'Base Prueba'!A:E,5,),"NO REGISTRA")</f>
        <v>SECRETARIA GENERAL</v>
      </c>
    </row>
    <row r="2458" spans="1:5" ht="15.75" x14ac:dyDescent="0.25">
      <c r="A2458" s="10">
        <v>1033709056</v>
      </c>
      <c r="B2458" s="2">
        <v>46069.764407986113</v>
      </c>
      <c r="C2458" s="3" t="str">
        <f>IFERROR(VLOOKUP(A2458,'Base Prueba'!A:C,3,),"NO REGISTRA")</f>
        <v>YEIMY ALEXANDRA RODRIGUEZ PALACIO</v>
      </c>
      <c r="D2458" s="4" t="str">
        <f>IFERROR(VLOOKUP(A2458,'Base Prueba'!A:D,4,),"NO REGISTRA")</f>
        <v>PROMOTOR CALL CENTER</v>
      </c>
      <c r="E2458" s="5" t="str">
        <f>IFERROR(VLOOKUP(A2458,'Base Prueba'!A:E,5,),"NO REGISTRA")</f>
        <v>OFICINA DE MERCADEO</v>
      </c>
    </row>
    <row r="2459" spans="1:5" ht="15.75" x14ac:dyDescent="0.25">
      <c r="A2459" s="10">
        <v>1018413529</v>
      </c>
      <c r="B2459" s="2">
        <v>46069.764462268518</v>
      </c>
      <c r="C2459" s="3" t="str">
        <f>IFERROR(VLOOKUP(A2459,'Base Prueba'!A:C,3,),"NO REGISTRA")</f>
        <v>FRANCY STELLA CHARRY MORENO</v>
      </c>
      <c r="D2459" s="4" t="str">
        <f>IFERROR(VLOOKUP(A2459,'Base Prueba'!A:D,4,),"NO REGISTRA")</f>
        <v>PROMOTOR COMERCIAL DEL CEA</v>
      </c>
      <c r="E2459" s="5" t="str">
        <f>IFERROR(VLOOKUP(A2459,'Base Prueba'!A:E,5,),"NO REGISTRA")</f>
        <v>OFICINA DE MERCADEO</v>
      </c>
    </row>
    <row r="2460" spans="1:5" ht="15.75" x14ac:dyDescent="0.25">
      <c r="A2460" s="10">
        <v>1000257136</v>
      </c>
      <c r="B2460" s="2">
        <v>46069.764942592592</v>
      </c>
      <c r="C2460" s="3" t="str">
        <f>IFERROR(VLOOKUP(A2460,'Base Prueba'!A:C,3,),"NO REGISTRA")</f>
        <v>FRANCI VALENTINA CANO PUENTES</v>
      </c>
      <c r="D2460" s="4" t="str">
        <f>IFERROR(VLOOKUP(A2460,'Base Prueba'!A:D,4,),"NO REGISTRA")</f>
        <v>AUXILIAR CONTABLE</v>
      </c>
      <c r="E2460" s="5" t="str">
        <f>IFERROR(VLOOKUP(A2460,'Base Prueba'!A:E,5,),"NO REGISTRA")</f>
        <v>AREA FINANCIERA Y CONTABLE</v>
      </c>
    </row>
    <row r="2461" spans="1:5" ht="15.75" x14ac:dyDescent="0.25">
      <c r="A2461" s="10">
        <v>1023961952</v>
      </c>
      <c r="B2461" s="2">
        <v>46069.765210069447</v>
      </c>
      <c r="C2461" s="3" t="str">
        <f>IFERROR(VLOOKUP(A2461,'Base Prueba'!A:C,3,),"NO REGISTRA")</f>
        <v>ALEJANDRO PINZON MERCHAN</v>
      </c>
      <c r="D2461" s="4" t="str">
        <f>IFERROR(VLOOKUP(A2461,'Base Prueba'!A:D,4,),"NO REGISTRA")</f>
        <v>PROMOTOR CALL CENTER</v>
      </c>
      <c r="E2461" s="5" t="str">
        <f>IFERROR(VLOOKUP(A2461,'Base Prueba'!A:E,5,),"NO REGISTRA")</f>
        <v>OFICINA DE MERCADEO</v>
      </c>
    </row>
    <row r="2462" spans="1:5" ht="15.75" x14ac:dyDescent="0.25">
      <c r="A2462" s="10">
        <v>28798349</v>
      </c>
      <c r="B2462" s="2">
        <v>46069.765229745368</v>
      </c>
      <c r="C2462" s="3" t="str">
        <f>IFERROR(VLOOKUP(A2462,'Base Prueba'!A:C,3,),"NO REGISTRA")</f>
        <v>MARTHA ISABEL TOVAR WILLIAMS</v>
      </c>
      <c r="D2462" s="4" t="str">
        <f>IFERROR(VLOOKUP(A2462,'Base Prueba'!A:D,4,),"NO REGISTRA")</f>
        <v>PROMOTOR CALL CENTER</v>
      </c>
      <c r="E2462" s="5" t="str">
        <f>IFERROR(VLOOKUP(A2462,'Base Prueba'!A:E,5,),"NO REGISTRA")</f>
        <v>OFICINA DE MERCADEO</v>
      </c>
    </row>
    <row r="2463" spans="1:5" ht="15.75" x14ac:dyDescent="0.25">
      <c r="A2463" s="10">
        <v>1012357415</v>
      </c>
      <c r="B2463" s="2">
        <v>46069.765282870372</v>
      </c>
      <c r="C2463" s="3" t="str">
        <f>IFERROR(VLOOKUP(A2463,'Base Prueba'!A:C,3,),"NO REGISTRA")</f>
        <v>CINDY LORENA BOHORQUEZ LEYVA</v>
      </c>
      <c r="D2463" s="4" t="str">
        <f>IFERROR(VLOOKUP(A2463,'Base Prueba'!A:D,4,),"NO REGISTRA")</f>
        <v>ANALISTA DE TESORERIA</v>
      </c>
      <c r="E2463" s="5" t="str">
        <f>IFERROR(VLOOKUP(A2463,'Base Prueba'!A:E,5,),"NO REGISTRA")</f>
        <v>AREA FINANCIERA Y CONTABLE</v>
      </c>
    </row>
    <row r="2464" spans="1:5" ht="15.75" x14ac:dyDescent="0.25">
      <c r="A2464" s="10">
        <v>1000161811</v>
      </c>
      <c r="B2464" s="2">
        <v>46069.766594097222</v>
      </c>
      <c r="C2464" s="3" t="str">
        <f>IFERROR(VLOOKUP(A2464,'Base Prueba'!A:C,3,),"NO REGISTRA")</f>
        <v>DIEGO ANDRES VARON ROZO</v>
      </c>
      <c r="D2464" s="4" t="str">
        <f>IFERROR(VLOOKUP(A2464,'Base Prueba'!A:D,4,),"NO REGISTRA")</f>
        <v>APRENDIZ UNIVERSITARIO</v>
      </c>
      <c r="E2464" s="5" t="str">
        <f>IFERROR(VLOOKUP(A2464,'Base Prueba'!A:E,5,),"NO REGISTRA")</f>
        <v>OFICINA DE MERCADEO</v>
      </c>
    </row>
    <row r="2465" spans="1:5" ht="15.75" x14ac:dyDescent="0.25">
      <c r="A2465" s="10">
        <v>1000324729</v>
      </c>
      <c r="B2465" s="2">
        <v>46069.769278703701</v>
      </c>
      <c r="C2465" s="3" t="str">
        <f>IFERROR(VLOOKUP(A2465,'Base Prueba'!A:C,3,),"NO REGISTRA")</f>
        <v>ANYIE VANESSA TINOCO CAMACHO</v>
      </c>
      <c r="D2465" s="4" t="str">
        <f>IFERROR(VLOOKUP(A2465,'Base Prueba'!A:D,4,),"NO REGISTRA")</f>
        <v>LIDER DE REGISTRO Y CONTROL</v>
      </c>
      <c r="E2465" s="5" t="str">
        <f>IFERROR(VLOOKUP(A2465,'Base Prueba'!A:E,5,),"NO REGISTRA")</f>
        <v>REGISTRO Y CONTROL ACADEMICO</v>
      </c>
    </row>
    <row r="2466" spans="1:5" ht="15.75" x14ac:dyDescent="0.25">
      <c r="A2466" s="10">
        <v>1013616244</v>
      </c>
      <c r="B2466" s="2">
        <v>46069.769290856479</v>
      </c>
      <c r="C2466" s="3" t="str">
        <f>IFERROR(VLOOKUP(A2466,'Base Prueba'!A:C,3,),"NO REGISTRA")</f>
        <v>DIANA CAROLINA MARIN BETANCOURT</v>
      </c>
      <c r="D2466" s="4" t="str">
        <f>IFERROR(VLOOKUP(A2466,'Base Prueba'!A:D,4,),"NO REGISTRA")</f>
        <v>AUXILIAR ADMINISTRATIVO</v>
      </c>
      <c r="E2466" s="5" t="str">
        <f>IFERROR(VLOOKUP(A2466,'Base Prueba'!A:E,5,),"NO REGISTRA")</f>
        <v>REGISTRO Y CONTROL ACADEMICO</v>
      </c>
    </row>
    <row r="2467" spans="1:5" ht="15.75" x14ac:dyDescent="0.25">
      <c r="A2467" s="10">
        <v>80234243</v>
      </c>
      <c r="B2467" s="2">
        <v>46069.769485185185</v>
      </c>
      <c r="C2467" s="3" t="str">
        <f>IFERROR(VLOOKUP(A2467,'Base Prueba'!A:C,3,),"NO REGISTRA")</f>
        <v>ARGENIS MARTINEZ MARTINEZ</v>
      </c>
      <c r="D2467" s="4" t="str">
        <f>IFERROR(VLOOKUP(A2467,'Base Prueba'!A:D,4,),"NO REGISTRA")</f>
        <v>LIDER CALL CENTER</v>
      </c>
      <c r="E2467" s="5" t="str">
        <f>IFERROR(VLOOKUP(A2467,'Base Prueba'!A:E,5,),"NO REGISTRA")</f>
        <v>OFICINA DE MERCADEO</v>
      </c>
    </row>
    <row r="2468" spans="1:5" ht="15.75" x14ac:dyDescent="0.25">
      <c r="A2468" s="10">
        <v>1000457706</v>
      </c>
      <c r="B2468" s="2">
        <v>46069.772903356483</v>
      </c>
      <c r="C2468" s="3" t="str">
        <f>IFERROR(VLOOKUP(A2468,'Base Prueba'!A:C,3,),"NO REGISTRA")</f>
        <v>CRISTIAN DANILO ARROYO SANABRIA</v>
      </c>
      <c r="D2468" s="4" t="str">
        <f>IFERROR(VLOOKUP(A2468,'Base Prueba'!A:D,4,),"NO REGISTRA")</f>
        <v>AUXILIAR CONTABLE</v>
      </c>
      <c r="E2468" s="5" t="str">
        <f>IFERROR(VLOOKUP(A2468,'Base Prueba'!A:E,5,),"NO REGISTRA")</f>
        <v>AREA FINANCIERA Y CONTABLE</v>
      </c>
    </row>
    <row r="2469" spans="1:5" ht="15.75" x14ac:dyDescent="0.25">
      <c r="A2469" s="10">
        <v>53932358</v>
      </c>
      <c r="B2469" s="2">
        <v>46069.772939930554</v>
      </c>
      <c r="C2469" s="3" t="str">
        <f>IFERROR(VLOOKUP(A2469,'Base Prueba'!A:C,3,),"NO REGISTRA")</f>
        <v>DIANA MADELEYNE GAONA RODRIGUEZ</v>
      </c>
      <c r="D2469" s="4" t="str">
        <f>IFERROR(VLOOKUP(A2469,'Base Prueba'!A:D,4,),"NO REGISTRA")</f>
        <v>CONTADOR</v>
      </c>
      <c r="E2469" s="5" t="str">
        <f>IFERROR(VLOOKUP(A2469,'Base Prueba'!A:E,5,),"NO REGISTRA")</f>
        <v>AREA FINANCIERA Y CONTABLE</v>
      </c>
    </row>
    <row r="2470" spans="1:5" ht="15.75" x14ac:dyDescent="0.25">
      <c r="A2470" s="10">
        <v>1193265768</v>
      </c>
      <c r="B2470" s="2">
        <v>46069.773873379629</v>
      </c>
      <c r="C2470" s="3" t="str">
        <f>IFERROR(VLOOKUP(A2470,'Base Prueba'!A:C,3,),"NO REGISTRA")</f>
        <v>SANTIAGO OSORIO CAMACHO</v>
      </c>
      <c r="D2470" s="4" t="str">
        <f>IFERROR(VLOOKUP(A2470,'Base Prueba'!A:D,4,),"NO REGISTRA")</f>
        <v>ANALISTA DE PAUTA</v>
      </c>
      <c r="E2470" s="5" t="str">
        <f>IFERROR(VLOOKUP(A2470,'Base Prueba'!A:E,5,),"NO REGISTRA")</f>
        <v>OFICINA DE MERCADEO</v>
      </c>
    </row>
    <row r="2471" spans="1:5" ht="15.75" x14ac:dyDescent="0.25">
      <c r="A2471" s="10">
        <v>1000604979</v>
      </c>
      <c r="B2471" s="2">
        <v>46069.785330671293</v>
      </c>
      <c r="C2471" s="3" t="str">
        <f>IFERROR(VLOOKUP(A2471,'Base Prueba'!A:C,3,),"NO REGISTRA")</f>
        <v>JULIETH TATIANA PARDO PINTO</v>
      </c>
      <c r="D2471" s="4" t="str">
        <f>IFERROR(VLOOKUP(A2471,'Base Prueba'!A:D,4,),"NO REGISTRA")</f>
        <v>AUXILIAR JURIDICO</v>
      </c>
      <c r="E2471" s="5" t="str">
        <f>IFERROR(VLOOKUP(A2471,'Base Prueba'!A:E,5,),"NO REGISTRA")</f>
        <v>SECRETARIA GENERAL</v>
      </c>
    </row>
    <row r="2472" spans="1:5" ht="15.75" x14ac:dyDescent="0.25">
      <c r="A2472" s="10">
        <v>52474489</v>
      </c>
      <c r="B2472" s="2">
        <v>46069.790568865741</v>
      </c>
      <c r="C2472" s="3" t="str">
        <f>IFERROR(VLOOKUP(A2472,'Base Prueba'!A:C,3,),"NO REGISTRA")</f>
        <v>ADRIANA JIMENA SOTO BOCANEGRA</v>
      </c>
      <c r="D2472" s="4" t="str">
        <f>IFERROR(VLOOKUP(A2472,'Base Prueba'!A:D,4,),"NO REGISTRA")</f>
        <v>COORDINADOR DE LA OFICINA DE REGISTRO Y CONTROL</v>
      </c>
      <c r="E2472" s="5" t="str">
        <f>IFERROR(VLOOKUP(A2472,'Base Prueba'!A:E,5,),"NO REGISTRA")</f>
        <v>REGISTRO Y CONTROL ACADEMICO</v>
      </c>
    </row>
    <row r="2473" spans="1:5" ht="15.75" x14ac:dyDescent="0.25">
      <c r="A2473" s="10">
        <v>52175674</v>
      </c>
      <c r="B2473" s="2">
        <v>46069.798299652779</v>
      </c>
      <c r="C2473" s="3" t="str">
        <f>IFERROR(VLOOKUP(A2473,'Base Prueba'!A:C,3,),"NO REGISTRA")</f>
        <v>LUZ YANETH GOMEZ AREVALO</v>
      </c>
      <c r="D2473" s="4" t="str">
        <f>IFERROR(VLOOKUP(A2473,'Base Prueba'!A:D,4,),"NO REGISTRA")</f>
        <v>COORDINADORA DE ADMISIONES</v>
      </c>
      <c r="E2473" s="5" t="str">
        <f>IFERROR(VLOOKUP(A2473,'Base Prueba'!A:E,5,),"NO REGISTRA")</f>
        <v>OFICINA DE MERCADEO</v>
      </c>
    </row>
    <row r="2474" spans="1:5" ht="15.75" x14ac:dyDescent="0.25">
      <c r="A2474" s="10">
        <v>1014196857</v>
      </c>
      <c r="B2474" s="2">
        <v>46069.812208101852</v>
      </c>
      <c r="C2474" s="3" t="str">
        <f>IFERROR(VLOOKUP(A2474,'Base Prueba'!A:C,3,),"NO REGISTRA")</f>
        <v>CARLOS ANDRES JIMENEZ PARDO</v>
      </c>
      <c r="D2474" s="4" t="str">
        <f>IFERROR(VLOOKUP(A2474,'Base Prueba'!A:D,4,),"NO REGISTRA")</f>
        <v>COORDINADOR DE MARKETING DIGITAL</v>
      </c>
      <c r="E2474" s="5" t="str">
        <f>IFERROR(VLOOKUP(A2474,'Base Prueba'!A:E,5,),"NO REGISTRA")</f>
        <v>OFICINA DE MERCADEO</v>
      </c>
    </row>
    <row r="2475" spans="1:5" ht="15.75" x14ac:dyDescent="0.25">
      <c r="A2475" s="10">
        <v>1087121273</v>
      </c>
      <c r="B2475" s="2">
        <v>46070.311085879628</v>
      </c>
      <c r="C2475" s="3" t="str">
        <f>IFERROR(VLOOKUP(A2475,'Base Prueba'!A:C,3,),"NO REGISTRA")</f>
        <v>MAYRA ALEJANDRA CASTILLO ARBOLEDA</v>
      </c>
      <c r="D2475" s="4" t="str">
        <f>IFERROR(VLOOKUP(A2475,'Base Prueba'!A:D,4,),"NO REGISTRA")</f>
        <v>APOYO INTEGRAL DE MERCADEO</v>
      </c>
      <c r="E2475" s="5" t="str">
        <f>IFERROR(VLOOKUP(A2475,'Base Prueba'!A:E,5,),"NO REGISTRA")</f>
        <v>CENTRO DE GESTION DOCUMENTAL</v>
      </c>
    </row>
    <row r="2476" spans="1:5" ht="15.75" x14ac:dyDescent="0.25">
      <c r="A2476" s="10">
        <v>1013616244</v>
      </c>
      <c r="B2476" s="2">
        <v>46070.320108101849</v>
      </c>
      <c r="C2476" s="3" t="str">
        <f>IFERROR(VLOOKUP(A2476,'Base Prueba'!A:C,3,),"NO REGISTRA")</f>
        <v>DIANA CAROLINA MARIN BETANCOURT</v>
      </c>
      <c r="D2476" s="4" t="str">
        <f>IFERROR(VLOOKUP(A2476,'Base Prueba'!A:D,4,),"NO REGISTRA")</f>
        <v>AUXILIAR ADMINISTRATIVO</v>
      </c>
      <c r="E2476" s="5" t="str">
        <f>IFERROR(VLOOKUP(A2476,'Base Prueba'!A:E,5,),"NO REGISTRA")</f>
        <v>REGISTRO Y CONTROL ACADEMICO</v>
      </c>
    </row>
    <row r="2477" spans="1:5" ht="15.75" x14ac:dyDescent="0.25">
      <c r="A2477" s="10">
        <v>53932358</v>
      </c>
      <c r="B2477" s="2">
        <v>46070.321663078706</v>
      </c>
      <c r="C2477" s="3" t="str">
        <f>IFERROR(VLOOKUP(A2477,'Base Prueba'!A:C,3,),"NO REGISTRA")</f>
        <v>DIANA MADELEYNE GAONA RODRIGUEZ</v>
      </c>
      <c r="D2477" s="4" t="str">
        <f>IFERROR(VLOOKUP(A2477,'Base Prueba'!A:D,4,),"NO REGISTRA")</f>
        <v>CONTADOR</v>
      </c>
      <c r="E2477" s="5" t="str">
        <f>IFERROR(VLOOKUP(A2477,'Base Prueba'!A:E,5,),"NO REGISTRA")</f>
        <v>AREA FINANCIERA Y CONTABLE</v>
      </c>
    </row>
    <row r="2478" spans="1:5" ht="15.75" x14ac:dyDescent="0.25">
      <c r="A2478" s="10">
        <v>1012357415</v>
      </c>
      <c r="B2478" s="2">
        <v>46070.325429282406</v>
      </c>
      <c r="C2478" s="3" t="str">
        <f>IFERROR(VLOOKUP(A2478,'Base Prueba'!A:C,3,),"NO REGISTRA")</f>
        <v>CINDY LORENA BOHORQUEZ LEYVA</v>
      </c>
      <c r="D2478" s="4" t="str">
        <f>IFERROR(VLOOKUP(A2478,'Base Prueba'!A:D,4,),"NO REGISTRA")</f>
        <v>ANALISTA DE TESORERIA</v>
      </c>
      <c r="E2478" s="5" t="str">
        <f>IFERROR(VLOOKUP(A2478,'Base Prueba'!A:E,5,),"NO REGISTRA")</f>
        <v>AREA FINANCIERA Y CONTABLE</v>
      </c>
    </row>
    <row r="2479" spans="1:5" ht="15.75" x14ac:dyDescent="0.25">
      <c r="A2479" s="10">
        <v>1000324729</v>
      </c>
      <c r="B2479" s="2">
        <v>46070.327462152774</v>
      </c>
      <c r="C2479" s="3" t="str">
        <f>IFERROR(VLOOKUP(A2479,'Base Prueba'!A:C,3,),"NO REGISTRA")</f>
        <v>ANYIE VANESSA TINOCO CAMACHO</v>
      </c>
      <c r="D2479" s="4" t="str">
        <f>IFERROR(VLOOKUP(A2479,'Base Prueba'!A:D,4,),"NO REGISTRA")</f>
        <v>LIDER DE REGISTRO Y CONTROL</v>
      </c>
      <c r="E2479" s="5" t="str">
        <f>IFERROR(VLOOKUP(A2479,'Base Prueba'!A:E,5,),"NO REGISTRA")</f>
        <v>REGISTRO Y CONTROL ACADEMICO</v>
      </c>
    </row>
    <row r="2480" spans="1:5" ht="15.75" x14ac:dyDescent="0.25">
      <c r="A2480" s="10">
        <v>1031802160</v>
      </c>
      <c r="B2480" s="2">
        <v>46070.329619675926</v>
      </c>
      <c r="C2480" s="3" t="str">
        <f>IFERROR(VLOOKUP(A2480,'Base Prueba'!A:C,3,),"NO REGISTRA")</f>
        <v>LUISA MARIA MAHECHA SOTOMAYOR</v>
      </c>
      <c r="D2480" s="4" t="str">
        <f>IFERROR(VLOOKUP(A2480,'Base Prueba'!A:D,4,),"NO REGISTRA")</f>
        <v>APRENDIZ UNIVERSITARIO</v>
      </c>
      <c r="E2480" s="5" t="str">
        <f>IFERROR(VLOOKUP(A2480,'Base Prueba'!A:E,5,),"NO REGISTRA")</f>
        <v>OFICINA DE MERCADEO</v>
      </c>
    </row>
    <row r="2481" spans="1:5" ht="15.75" x14ac:dyDescent="0.25">
      <c r="A2481" s="10">
        <v>1000257136</v>
      </c>
      <c r="B2481" s="2">
        <v>46070.339495949076</v>
      </c>
      <c r="C2481" s="3" t="str">
        <f>IFERROR(VLOOKUP(A2481,'Base Prueba'!A:C,3,),"NO REGISTRA")</f>
        <v>FRANCI VALENTINA CANO PUENTES</v>
      </c>
      <c r="D2481" s="4" t="str">
        <f>IFERROR(VLOOKUP(A2481,'Base Prueba'!A:D,4,),"NO REGISTRA")</f>
        <v>AUXILIAR CONTABLE</v>
      </c>
      <c r="E2481" s="5" t="str">
        <f>IFERROR(VLOOKUP(A2481,'Base Prueba'!A:E,5,),"NO REGISTRA")</f>
        <v>AREA FINANCIERA Y CONTABLE</v>
      </c>
    </row>
    <row r="2482" spans="1:5" ht="15.75" x14ac:dyDescent="0.25">
      <c r="A2482" s="10">
        <v>1032469638</v>
      </c>
      <c r="B2482" s="2">
        <v>46070.343051388889</v>
      </c>
      <c r="C2482" s="3" t="str">
        <f>IFERROR(VLOOKUP(A2482,'Base Prueba'!A:C,3,),"NO REGISTRA")</f>
        <v>MAICOL JARBEY GUALTEROS CASTAÑEDA</v>
      </c>
      <c r="D2482" s="4" t="str">
        <f>IFERROR(VLOOKUP(A2482,'Base Prueba'!A:D,4,),"NO REGISTRA")</f>
        <v>COORDINADOR DEL SISTEMA INTERNO DE ASEGURAMIENTO DE LA CALIDAD - SIAC</v>
      </c>
      <c r="E2482" s="5" t="str">
        <f>IFERROR(VLOOKUP(A2482,'Base Prueba'!A:E,5,),"NO REGISTRA")</f>
        <v>OFICINA DE PLANEACION Y GESTION DE LA CALIDAD</v>
      </c>
    </row>
    <row r="2483" spans="1:5" ht="15.75" x14ac:dyDescent="0.25">
      <c r="A2483" s="10">
        <v>1000687931</v>
      </c>
      <c r="B2483" s="2">
        <v>46070.343951388888</v>
      </c>
      <c r="C2483" s="3" t="str">
        <f>IFERROR(VLOOKUP(A2483,'Base Prueba'!A:C,3,),"NO REGISTRA")</f>
        <v>ANDRES FELIPE PUENTES TORRES</v>
      </c>
      <c r="D2483" s="4" t="str">
        <f>IFERROR(VLOOKUP(A2483,'Base Prueba'!A:D,4,),"NO REGISTRA")</f>
        <v>AUXILIAR ADMINISTRATIVO</v>
      </c>
      <c r="E2483" s="5" t="str">
        <f>IFERROR(VLOOKUP(A2483,'Base Prueba'!A:E,5,),"NO REGISTRA")</f>
        <v>REGISTRO Y CONTROL ACADEMICO</v>
      </c>
    </row>
    <row r="2484" spans="1:5" ht="15.75" x14ac:dyDescent="0.25">
      <c r="A2484" s="10">
        <v>1014977624</v>
      </c>
      <c r="B2484" s="2">
        <v>46070.344328703701</v>
      </c>
      <c r="C2484" s="3" t="str">
        <f>IFERROR(VLOOKUP(A2484,'Base Prueba'!A:C,3,),"NO REGISTRA")</f>
        <v>NICCOLE VALENTINA HERNANDEZ MALAVER</v>
      </c>
      <c r="D2484" s="4" t="str">
        <f>IFERROR(VLOOKUP(A2484,'Base Prueba'!A:D,4,),"NO REGISTRA")</f>
        <v>APRENDIZ UNIVERSITARIO</v>
      </c>
      <c r="E2484" s="5" t="str">
        <f>IFERROR(VLOOKUP(A2484,'Base Prueba'!A:E,5,),"NO REGISTRA")</f>
        <v>AREA FINANCIERA Y CONTABLE</v>
      </c>
    </row>
    <row r="2485" spans="1:5" ht="15.75" x14ac:dyDescent="0.25">
      <c r="A2485" s="10">
        <v>1026599257</v>
      </c>
      <c r="B2485" s="2">
        <v>46070.345959259263</v>
      </c>
      <c r="C2485" s="3" t="str">
        <f>IFERROR(VLOOKUP(A2485,'Base Prueba'!A:C,3,),"NO REGISTRA")</f>
        <v>YESENIA PAOLA PINEDA HURTADO</v>
      </c>
      <c r="D2485" s="4" t="str">
        <f>IFERROR(VLOOKUP(A2485,'Base Prueba'!A:D,4,),"NO REGISTRA")</f>
        <v>LIDER DE COMPRAS</v>
      </c>
      <c r="E2485" s="5" t="str">
        <f>IFERROR(VLOOKUP(A2485,'Base Prueba'!A:E,5,),"NO REGISTRA")</f>
        <v>AREA ADMINISTRATIVA</v>
      </c>
    </row>
    <row r="2486" spans="1:5" ht="15.75" x14ac:dyDescent="0.25">
      <c r="A2486" s="10">
        <v>1022996882</v>
      </c>
      <c r="B2486" s="2">
        <v>46070.346336226852</v>
      </c>
      <c r="C2486" s="3" t="str">
        <f>IFERROR(VLOOKUP(A2486,'Base Prueba'!A:C,3,),"NO REGISTRA")</f>
        <v>NANCY BRIGITH ALDANA GUEVARA</v>
      </c>
      <c r="D2486" s="4" t="str">
        <f>IFERROR(VLOOKUP(A2486,'Base Prueba'!A:D,4,),"NO REGISTRA")</f>
        <v>COORDINADORA DE GESTIÓN HUMANA</v>
      </c>
      <c r="E2486" s="5" t="str">
        <f>IFERROR(VLOOKUP(A2486,'Base Prueba'!A:E,5,),"NO REGISTRA")</f>
        <v>DEPARTAMENTO DE GESTION HUMANA</v>
      </c>
    </row>
    <row r="2487" spans="1:5" ht="15.75" x14ac:dyDescent="0.25">
      <c r="A2487" s="10">
        <v>1193457976</v>
      </c>
      <c r="B2487" s="2">
        <v>46070.347202199075</v>
      </c>
      <c r="C2487" s="3" t="str">
        <f>IFERROR(VLOOKUP(A2487,'Base Prueba'!A:C,3,),"NO REGISTRA")</f>
        <v>SEDENIS RIVAS ASPRILLA</v>
      </c>
      <c r="D2487" s="4" t="str">
        <f>IFERROR(VLOOKUP(A2487,'Base Prueba'!A:D,4,),"NO REGISTRA")</f>
        <v>APRENDIZ UNIVERSITARIO</v>
      </c>
      <c r="E2487" s="5" t="str">
        <f>IFERROR(VLOOKUP(A2487,'Base Prueba'!A:E,5,),"NO REGISTRA")</f>
        <v>DEPARTAMENTO DE GESTION HUMANA</v>
      </c>
    </row>
    <row r="2488" spans="1:5" ht="15.75" x14ac:dyDescent="0.25">
      <c r="A2488" s="10">
        <v>1000604979</v>
      </c>
      <c r="B2488" s="2">
        <v>46070.347570601851</v>
      </c>
      <c r="C2488" s="3" t="str">
        <f>IFERROR(VLOOKUP(A2488,'Base Prueba'!A:C,3,),"NO REGISTRA")</f>
        <v>JULIETH TATIANA PARDO PINTO</v>
      </c>
      <c r="D2488" s="4" t="str">
        <f>IFERROR(VLOOKUP(A2488,'Base Prueba'!A:D,4,),"NO REGISTRA")</f>
        <v>AUXILIAR JURIDICO</v>
      </c>
      <c r="E2488" s="5" t="str">
        <f>IFERROR(VLOOKUP(A2488,'Base Prueba'!A:E,5,),"NO REGISTRA")</f>
        <v>SECRETARIA GENERAL</v>
      </c>
    </row>
    <row r="2489" spans="1:5" ht="15.75" x14ac:dyDescent="0.25">
      <c r="A2489" s="10">
        <v>1049644802</v>
      </c>
      <c r="B2489" s="2">
        <v>46070.351071874997</v>
      </c>
      <c r="C2489" s="3" t="str">
        <f>IFERROR(VLOOKUP(A2489,'Base Prueba'!A:C,3,),"NO REGISTRA")</f>
        <v>DANIELA ALEXANDRA CIPAMOCHA BOSIGA</v>
      </c>
      <c r="D2489" s="4" t="str">
        <f>IFERROR(VLOOKUP(A2489,'Base Prueba'!A:D,4,),"NO REGISTRA")</f>
        <v>LIDER DE DATOS Y SERVICIOS</v>
      </c>
      <c r="E2489" s="5" t="str">
        <f>IFERROR(VLOOKUP(A2489,'Base Prueba'!A:E,5,),"NO REGISTRA")</f>
        <v>OFICINA DE PLANEACION Y GESTION DE LA CALIDAD</v>
      </c>
    </row>
    <row r="2490" spans="1:5" ht="15.75" x14ac:dyDescent="0.25">
      <c r="A2490" s="10">
        <v>1023883232</v>
      </c>
      <c r="B2490" s="2">
        <v>46070.355552893518</v>
      </c>
      <c r="C2490" s="3" t="str">
        <f>IFERROR(VLOOKUP(A2490,'Base Prueba'!A:C,3,),"NO REGISTRA")</f>
        <v>MONICA ANDREA ACERO URBANO</v>
      </c>
      <c r="D2490" s="4" t="str">
        <f>IFERROR(VLOOKUP(A2490,'Base Prueba'!A:D,4,),"NO REGISTRA")</f>
        <v>APOYO INTEGRAL A GESTION HUMANA</v>
      </c>
      <c r="E2490" s="5" t="str">
        <f>IFERROR(VLOOKUP(A2490,'Base Prueba'!A:E,5,),"NO REGISTRA")</f>
        <v>DEPARTAMENTO DE GESTION HUMANA</v>
      </c>
    </row>
    <row r="2491" spans="1:5" ht="15.75" x14ac:dyDescent="0.25">
      <c r="A2491" s="10">
        <v>1000457706</v>
      </c>
      <c r="B2491" s="2">
        <v>46070.359093865743</v>
      </c>
      <c r="C2491" s="3" t="str">
        <f>IFERROR(VLOOKUP(A2491,'Base Prueba'!A:C,3,),"NO REGISTRA")</f>
        <v>CRISTIAN DANILO ARROYO SANABRIA</v>
      </c>
      <c r="D2491" s="4" t="str">
        <f>IFERROR(VLOOKUP(A2491,'Base Prueba'!A:D,4,),"NO REGISTRA")</f>
        <v>AUXILIAR CONTABLE</v>
      </c>
      <c r="E2491" s="5" t="str">
        <f>IFERROR(VLOOKUP(A2491,'Base Prueba'!A:E,5,),"NO REGISTRA")</f>
        <v>AREA FINANCIERA Y CONTABLE</v>
      </c>
    </row>
    <row r="2492" spans="1:5" ht="15.75" x14ac:dyDescent="0.25">
      <c r="A2492" s="10">
        <v>52472386</v>
      </c>
      <c r="B2492" s="2">
        <v>46070.364689930553</v>
      </c>
      <c r="C2492" s="3" t="str">
        <f>IFERROR(VLOOKUP(A2492,'Base Prueba'!A:C,3,),"NO REGISTRA")</f>
        <v>ADRIANA MARCELA MORALES PARDO</v>
      </c>
      <c r="D2492" s="4" t="str">
        <f>IFERROR(VLOOKUP(A2492,'Base Prueba'!A:D,4,),"NO REGISTRA")</f>
        <v>PROMOTOR CALL CENTER</v>
      </c>
      <c r="E2492" s="5" t="str">
        <f>IFERROR(VLOOKUP(A2492,'Base Prueba'!A:E,5,),"NO REGISTRA")</f>
        <v>OFICINA DE MERCADEO</v>
      </c>
    </row>
    <row r="2493" spans="1:5" ht="15.75" x14ac:dyDescent="0.25">
      <c r="A2493" s="10">
        <v>1032407386</v>
      </c>
      <c r="B2493" s="2">
        <v>46070.366066435185</v>
      </c>
      <c r="C2493" s="3" t="str">
        <f>IFERROR(VLOOKUP(A2493,'Base Prueba'!A:C,3,),"NO REGISTRA")</f>
        <v>GINA PAOLA BAEZ GALVIS</v>
      </c>
      <c r="D2493" s="4" t="str">
        <f>IFERROR(VLOOKUP(A2493,'Base Prueba'!A:D,4,),"NO REGISTRA")</f>
        <v>PROMOTOR CALL CENTER</v>
      </c>
      <c r="E2493" s="5" t="str">
        <f>IFERROR(VLOOKUP(A2493,'Base Prueba'!A:E,5,),"NO REGISTRA")</f>
        <v>OFICINA DE MERCADEO</v>
      </c>
    </row>
    <row r="2494" spans="1:5" ht="15.75" x14ac:dyDescent="0.25">
      <c r="A2494" s="10">
        <v>1033709056</v>
      </c>
      <c r="B2494" s="2">
        <v>46070.366999189813</v>
      </c>
      <c r="C2494" s="3" t="str">
        <f>IFERROR(VLOOKUP(A2494,'Base Prueba'!A:C,3,),"NO REGISTRA")</f>
        <v>YEIMY ALEXANDRA RODRIGUEZ PALACIO</v>
      </c>
      <c r="D2494" s="4" t="str">
        <f>IFERROR(VLOOKUP(A2494,'Base Prueba'!A:D,4,),"NO REGISTRA")</f>
        <v>PROMOTOR CALL CENTER</v>
      </c>
      <c r="E2494" s="5" t="str">
        <f>IFERROR(VLOOKUP(A2494,'Base Prueba'!A:E,5,),"NO REGISTRA")</f>
        <v>OFICINA DE MERCADEO</v>
      </c>
    </row>
    <row r="2495" spans="1:5" ht="15.75" x14ac:dyDescent="0.25">
      <c r="A2495" s="10">
        <v>80234243</v>
      </c>
      <c r="B2495" s="2">
        <v>46070.368011458333</v>
      </c>
      <c r="C2495" s="3" t="str">
        <f>IFERROR(VLOOKUP(A2495,'Base Prueba'!A:C,3,),"NO REGISTRA")</f>
        <v>ARGENIS MARTINEZ MARTINEZ</v>
      </c>
      <c r="D2495" s="4" t="str">
        <f>IFERROR(VLOOKUP(A2495,'Base Prueba'!A:D,4,),"NO REGISTRA")</f>
        <v>LIDER CALL CENTER</v>
      </c>
      <c r="E2495" s="5" t="str">
        <f>IFERROR(VLOOKUP(A2495,'Base Prueba'!A:E,5,),"NO REGISTRA")</f>
        <v>OFICINA DE MERCADEO</v>
      </c>
    </row>
    <row r="2496" spans="1:5" ht="15.75" x14ac:dyDescent="0.25">
      <c r="A2496" s="10">
        <v>1000593372</v>
      </c>
      <c r="B2496" s="2">
        <v>46070.368261805554</v>
      </c>
      <c r="C2496" s="3" t="str">
        <f>IFERROR(VLOOKUP(A2496,'Base Prueba'!A:C,3,),"NO REGISTRA")</f>
        <v>LAURA SOFIA CHAPARRO LOPEZ</v>
      </c>
      <c r="D2496" s="4" t="str">
        <f>IFERROR(VLOOKUP(A2496,'Base Prueba'!A:D,4,),"NO REGISTRA")</f>
        <v>AUXILIAR JURIDICO</v>
      </c>
      <c r="E2496" s="5" t="str">
        <f>IFERROR(VLOOKUP(A2496,'Base Prueba'!A:E,5,),"NO REGISTRA")</f>
        <v>SECRETARIA GENERAL</v>
      </c>
    </row>
    <row r="2497" spans="1:5" ht="15.75" x14ac:dyDescent="0.25">
      <c r="A2497" s="10">
        <v>1012426741</v>
      </c>
      <c r="B2497" s="2">
        <v>46070.370751967595</v>
      </c>
      <c r="C2497" s="3" t="str">
        <f>IFERROR(VLOOKUP(A2497,'Base Prueba'!A:C,3,),"NO REGISTRA")</f>
        <v>CRISTIAN FABIAN ROJAS SANCENO</v>
      </c>
      <c r="D2497" s="4" t="str">
        <f>IFERROR(VLOOKUP(A2497,'Base Prueba'!A:D,4,),"NO REGISTRA")</f>
        <v>AUXILIAR DE REINTEGROS</v>
      </c>
      <c r="E2497" s="5" t="str">
        <f>IFERROR(VLOOKUP(A2497,'Base Prueba'!A:E,5,),"NO REGISTRA")</f>
        <v>DIRECCION DE BIENESTAR INSTITUCIONAL</v>
      </c>
    </row>
    <row r="2498" spans="1:5" ht="15.75" x14ac:dyDescent="0.25">
      <c r="A2498" s="10">
        <v>52764929</v>
      </c>
      <c r="B2498" s="2">
        <v>46070.371240162036</v>
      </c>
      <c r="C2498" s="3" t="str">
        <f>IFERROR(VLOOKUP(A2498,'Base Prueba'!A:C,3,),"NO REGISTRA")</f>
        <v>GUERLY YOHANA DURAN RIVERA</v>
      </c>
      <c r="D2498" s="4" t="str">
        <f>IFERROR(VLOOKUP(A2498,'Base Prueba'!A:D,4,),"NO REGISTRA")</f>
        <v>LIDER DE VINCULACION COLEGIOS</v>
      </c>
      <c r="E2498" s="5" t="str">
        <f>IFERROR(VLOOKUP(A2498,'Base Prueba'!A:E,5,),"NO REGISTRA")</f>
        <v>OFICINA DE MERCADEO</v>
      </c>
    </row>
    <row r="2499" spans="1:5" ht="15.75" x14ac:dyDescent="0.25">
      <c r="A2499" s="10">
        <v>1193265768</v>
      </c>
      <c r="B2499" s="2">
        <v>46070.371787384262</v>
      </c>
      <c r="C2499" s="3" t="str">
        <f>IFERROR(VLOOKUP(A2499,'Base Prueba'!A:C,3,),"NO REGISTRA")</f>
        <v>SANTIAGO OSORIO CAMACHO</v>
      </c>
      <c r="D2499" s="4" t="str">
        <f>IFERROR(VLOOKUP(A2499,'Base Prueba'!A:D,4,),"NO REGISTRA")</f>
        <v>ANALISTA DE PAUTA</v>
      </c>
      <c r="E2499" s="5" t="str">
        <f>IFERROR(VLOOKUP(A2499,'Base Prueba'!A:E,5,),"NO REGISTRA")</f>
        <v>OFICINA DE MERCADEO</v>
      </c>
    </row>
    <row r="2500" spans="1:5" ht="15.75" x14ac:dyDescent="0.25">
      <c r="A2500" s="10">
        <v>1018414290</v>
      </c>
      <c r="B2500" s="2">
        <v>46070.372112268517</v>
      </c>
      <c r="C2500" s="3" t="str">
        <f>IFERROR(VLOOKUP(A2500,'Base Prueba'!A:C,3,),"NO REGISTRA")</f>
        <v>AMANDA LISBETH RODRIGUEZ LEON</v>
      </c>
      <c r="D2500" s="4" t="str">
        <f>IFERROR(VLOOKUP(A2500,'Base Prueba'!A:D,4,),"NO REGISTRA")</f>
        <v>PROMOTOR CALL CENTER</v>
      </c>
      <c r="E2500" s="5" t="str">
        <f>IFERROR(VLOOKUP(A2500,'Base Prueba'!A:E,5,),"NO REGISTRA")</f>
        <v>OFICINA DE MERCADEO</v>
      </c>
    </row>
    <row r="2501" spans="1:5" ht="15.75" x14ac:dyDescent="0.25">
      <c r="A2501" s="10">
        <v>1023961952</v>
      </c>
      <c r="B2501" s="2">
        <v>46070.374851157409</v>
      </c>
      <c r="C2501" s="3" t="str">
        <f>IFERROR(VLOOKUP(A2501,'Base Prueba'!A:C,3,),"NO REGISTRA")</f>
        <v>ALEJANDRO PINZON MERCHAN</v>
      </c>
      <c r="D2501" s="4" t="str">
        <f>IFERROR(VLOOKUP(A2501,'Base Prueba'!A:D,4,),"NO REGISTRA")</f>
        <v>PROMOTOR CALL CENTER</v>
      </c>
      <c r="E2501" s="5" t="str">
        <f>IFERROR(VLOOKUP(A2501,'Base Prueba'!A:E,5,),"NO REGISTRA")</f>
        <v>OFICINA DE MERCADEO</v>
      </c>
    </row>
    <row r="2502" spans="1:5" ht="15.75" x14ac:dyDescent="0.25">
      <c r="A2502" s="10">
        <v>28798349</v>
      </c>
      <c r="B2502" s="2">
        <v>46070.375369328707</v>
      </c>
      <c r="C2502" s="3" t="str">
        <f>IFERROR(VLOOKUP(A2502,'Base Prueba'!A:C,3,),"NO REGISTRA")</f>
        <v>MARTHA ISABEL TOVAR WILLIAMS</v>
      </c>
      <c r="D2502" s="4" t="str">
        <f>IFERROR(VLOOKUP(A2502,'Base Prueba'!A:D,4,),"NO REGISTRA")</f>
        <v>PROMOTOR CALL CENTER</v>
      </c>
      <c r="E2502" s="5" t="str">
        <f>IFERROR(VLOOKUP(A2502,'Base Prueba'!A:E,5,),"NO REGISTRA")</f>
        <v>OFICINA DE MERCADEO</v>
      </c>
    </row>
    <row r="2503" spans="1:5" ht="15.75" x14ac:dyDescent="0.25">
      <c r="A2503" s="10">
        <v>6</v>
      </c>
      <c r="B2503" s="2">
        <v>46070.37541064815</v>
      </c>
      <c r="C2503" s="3" t="str">
        <f>IFERROR(VLOOKUP(A2503,'Base Prueba'!A:C,3,),"NO REGISTRA")</f>
        <v>NO REGISTRA</v>
      </c>
      <c r="D2503" s="4" t="str">
        <f>IFERROR(VLOOKUP(A2503,'Base Prueba'!A:D,4,),"NO REGISTRA")</f>
        <v>NO REGISTRA</v>
      </c>
      <c r="E2503" s="5" t="str">
        <f>IFERROR(VLOOKUP(A2503,'Base Prueba'!A:E,5,),"NO REGISTRA")</f>
        <v>NO REGISTRA</v>
      </c>
    </row>
    <row r="2504" spans="1:5" ht="15.75" x14ac:dyDescent="0.25">
      <c r="A2504" s="10">
        <v>1018413529</v>
      </c>
      <c r="B2504" s="2">
        <v>46070.375415509261</v>
      </c>
      <c r="C2504" s="3" t="str">
        <f>IFERROR(VLOOKUP(A2504,'Base Prueba'!A:C,3,),"NO REGISTRA")</f>
        <v>FRANCY STELLA CHARRY MORENO</v>
      </c>
      <c r="D2504" s="4" t="str">
        <f>IFERROR(VLOOKUP(A2504,'Base Prueba'!A:D,4,),"NO REGISTRA")</f>
        <v>PROMOTOR COMERCIAL DEL CEA</v>
      </c>
      <c r="E2504" s="5" t="str">
        <f>IFERROR(VLOOKUP(A2504,'Base Prueba'!A:E,5,),"NO REGISTRA")</f>
        <v>OFICINA DE MERCADEO</v>
      </c>
    </row>
    <row r="2505" spans="1:5" ht="15.75" x14ac:dyDescent="0.25">
      <c r="A2505" s="10">
        <v>1019105003</v>
      </c>
      <c r="B2505" s="2">
        <v>46070.375545023147</v>
      </c>
      <c r="C2505" s="3" t="str">
        <f>IFERROR(VLOOKUP(A2505,'Base Prueba'!A:C,3,),"NO REGISTRA")</f>
        <v>DAISY JULIETH GASPAR MORENO</v>
      </c>
      <c r="D2505" s="4" t="str">
        <f>IFERROR(VLOOKUP(A2505,'Base Prueba'!A:D,4,),"NO REGISTRA")</f>
        <v>PROMOTOR CALL CENTER</v>
      </c>
      <c r="E2505" s="5" t="str">
        <f>IFERROR(VLOOKUP(A2505,'Base Prueba'!A:E,5,),"NO REGISTRA")</f>
        <v>OFICINA DE MERCADEO</v>
      </c>
    </row>
    <row r="2506" spans="1:5" ht="15.75" x14ac:dyDescent="0.25">
      <c r="A2506" s="10">
        <v>1016090131</v>
      </c>
      <c r="B2506" s="2">
        <v>46070.376227430555</v>
      </c>
      <c r="C2506" s="3" t="str">
        <f>IFERROR(VLOOKUP(A2506,'Base Prueba'!A:C,3,),"NO REGISTRA")</f>
        <v>NICOLAS RODRIGUEZ PACHECO</v>
      </c>
      <c r="D2506" s="4" t="str">
        <f>IFERROR(VLOOKUP(A2506,'Base Prueba'!A:D,4,),"NO REGISTRA")</f>
        <v>COORDINADOR DE COMUNICACIONES</v>
      </c>
      <c r="E2506" s="5" t="str">
        <f>IFERROR(VLOOKUP(A2506,'Base Prueba'!A:E,5,),"NO REGISTRA")</f>
        <v>OFICINA DE MERCADEO</v>
      </c>
    </row>
    <row r="2507" spans="1:5" ht="15.75" x14ac:dyDescent="0.25">
      <c r="A2507" s="10">
        <v>1000161811</v>
      </c>
      <c r="B2507" s="2">
        <v>46070.376515046293</v>
      </c>
      <c r="C2507" s="3" t="str">
        <f>IFERROR(VLOOKUP(A2507,'Base Prueba'!A:C,3,),"NO REGISTRA")</f>
        <v>DIEGO ANDRES VARON ROZO</v>
      </c>
      <c r="D2507" s="4" t="str">
        <f>IFERROR(VLOOKUP(A2507,'Base Prueba'!A:D,4,),"NO REGISTRA")</f>
        <v>APRENDIZ UNIVERSITARIO</v>
      </c>
      <c r="E2507" s="5" t="str">
        <f>IFERROR(VLOOKUP(A2507,'Base Prueba'!A:E,5,),"NO REGISTRA")</f>
        <v>OFICINA DE MERCADEO</v>
      </c>
    </row>
    <row r="2508" spans="1:5" ht="15.75" x14ac:dyDescent="0.25">
      <c r="A2508" s="10">
        <v>1014196857</v>
      </c>
      <c r="B2508" s="2">
        <v>46070.379550810183</v>
      </c>
      <c r="C2508" s="3" t="str">
        <f>IFERROR(VLOOKUP(A2508,'Base Prueba'!A:C,3,),"NO REGISTRA")</f>
        <v>CARLOS ANDRES JIMENEZ PARDO</v>
      </c>
      <c r="D2508" s="4" t="str">
        <f>IFERROR(VLOOKUP(A2508,'Base Prueba'!A:D,4,),"NO REGISTRA")</f>
        <v>COORDINADOR DE MARKETING DIGITAL</v>
      </c>
      <c r="E2508" s="5" t="str">
        <f>IFERROR(VLOOKUP(A2508,'Base Prueba'!A:E,5,),"NO REGISTRA")</f>
        <v>OFICINA DE MERCADEO</v>
      </c>
    </row>
    <row r="2509" spans="1:5" ht="15.75" x14ac:dyDescent="0.25">
      <c r="A2509" s="10">
        <v>53089882</v>
      </c>
      <c r="B2509" s="2">
        <v>46070.387492013891</v>
      </c>
      <c r="C2509" s="3" t="str">
        <f>IFERROR(VLOOKUP(A2509,'Base Prueba'!A:C,3,),"NO REGISTRA")</f>
        <v>MARIA JOHANA ESCAMILLA MARTINEZ</v>
      </c>
      <c r="D2509" s="4" t="str">
        <f>IFERROR(VLOOKUP(A2509,'Base Prueba'!A:D,4,),"NO REGISTRA")</f>
        <v>PROMOTOR DE INFORMACIÓN</v>
      </c>
      <c r="E2509" s="5" t="str">
        <f>IFERROR(VLOOKUP(A2509,'Base Prueba'!A:E,5,),"NO REGISTRA")</f>
        <v>OFICINA DE MERCADEO</v>
      </c>
    </row>
    <row r="2510" spans="1:5" ht="15.75" x14ac:dyDescent="0.25">
      <c r="A2510" s="10">
        <v>52443092</v>
      </c>
      <c r="B2510" s="2">
        <v>46070.539973032406</v>
      </c>
      <c r="C2510" s="3" t="str">
        <f>IFERROR(VLOOKUP(A2510,'Base Prueba'!A:C,3,),"NO REGISTRA")</f>
        <v>LUZ MYRIAM SAAVEDRA CONTRERAS</v>
      </c>
      <c r="D2510" s="4" t="str">
        <f>IFERROR(VLOOKUP(A2510,'Base Prueba'!A:D,4,),"NO REGISTRA")</f>
        <v>AUXILIAR DE SERVICIOS</v>
      </c>
      <c r="E2510" s="5" t="str">
        <f>IFERROR(VLOOKUP(A2510,'Base Prueba'!A:E,5,),"NO REGISTRA")</f>
        <v>LOGISTICA Y SERVICIOS GENERALES</v>
      </c>
    </row>
    <row r="2511" spans="1:5" ht="15.75" x14ac:dyDescent="0.25">
      <c r="A2511" s="10">
        <v>1193457976</v>
      </c>
      <c r="B2511" s="2">
        <v>46070.5569755787</v>
      </c>
      <c r="C2511" s="3" t="str">
        <f>IFERROR(VLOOKUP(A2511,'Base Prueba'!A:C,3,),"NO REGISTRA")</f>
        <v>SEDENIS RIVAS ASPRILLA</v>
      </c>
      <c r="D2511" s="4" t="str">
        <f>IFERROR(VLOOKUP(A2511,'Base Prueba'!A:D,4,),"NO REGISTRA")</f>
        <v>APRENDIZ UNIVERSITARIO</v>
      </c>
      <c r="E2511" s="5" t="str">
        <f>IFERROR(VLOOKUP(A2511,'Base Prueba'!A:E,5,),"NO REGISTRA")</f>
        <v>DEPARTAMENTO DE GESTION HUMANA</v>
      </c>
    </row>
    <row r="2512" spans="1:5" ht="15.75" x14ac:dyDescent="0.25">
      <c r="A2512" s="10">
        <v>1087121273</v>
      </c>
      <c r="B2512" s="2">
        <v>46070.626603703706</v>
      </c>
      <c r="C2512" s="3" t="str">
        <f>IFERROR(VLOOKUP(A2512,'Base Prueba'!A:C,3,),"NO REGISTRA")</f>
        <v>MAYRA ALEJANDRA CASTILLO ARBOLEDA</v>
      </c>
      <c r="D2512" s="4" t="str">
        <f>IFERROR(VLOOKUP(A2512,'Base Prueba'!A:D,4,),"NO REGISTRA")</f>
        <v>APOYO INTEGRAL DE MERCADEO</v>
      </c>
      <c r="E2512" s="5" t="str">
        <f>IFERROR(VLOOKUP(A2512,'Base Prueba'!A:E,5,),"NO REGISTRA")</f>
        <v>CENTRO DE GESTION DOCUMENTAL</v>
      </c>
    </row>
    <row r="2513" spans="1:5" ht="15.75" x14ac:dyDescent="0.25">
      <c r="A2513" s="10">
        <v>1031802160</v>
      </c>
      <c r="B2513" s="2">
        <v>46070.722096412035</v>
      </c>
      <c r="C2513" s="3" t="str">
        <f>IFERROR(VLOOKUP(A2513,'Base Prueba'!A:C,3,),"NO REGISTRA")</f>
        <v>LUISA MARIA MAHECHA SOTOMAYOR</v>
      </c>
      <c r="D2513" s="4" t="str">
        <f>IFERROR(VLOOKUP(A2513,'Base Prueba'!A:D,4,),"NO REGISTRA")</f>
        <v>APRENDIZ UNIVERSITARIO</v>
      </c>
      <c r="E2513" s="5" t="str">
        <f>IFERROR(VLOOKUP(A2513,'Base Prueba'!A:E,5,),"NO REGISTRA")</f>
        <v>OFICINA DE MERCADEO</v>
      </c>
    </row>
    <row r="2514" spans="1:5" ht="15.75" x14ac:dyDescent="0.25">
      <c r="A2514" s="10">
        <v>1000687931</v>
      </c>
      <c r="B2514" s="2">
        <v>46070.725764120369</v>
      </c>
      <c r="C2514" s="3" t="str">
        <f>IFERROR(VLOOKUP(A2514,'Base Prueba'!A:C,3,),"NO REGISTRA")</f>
        <v>ANDRES FELIPE PUENTES TORRES</v>
      </c>
      <c r="D2514" s="4" t="str">
        <f>IFERROR(VLOOKUP(A2514,'Base Prueba'!A:D,4,),"NO REGISTRA")</f>
        <v>AUXILIAR ADMINISTRATIVO</v>
      </c>
      <c r="E2514" s="5" t="str">
        <f>IFERROR(VLOOKUP(A2514,'Base Prueba'!A:E,5,),"NO REGISTRA")</f>
        <v>REGISTRO Y CONTROL ACADEMICO</v>
      </c>
    </row>
    <row r="2515" spans="1:5" ht="15.75" x14ac:dyDescent="0.25">
      <c r="A2515" s="10">
        <v>1030567635</v>
      </c>
      <c r="B2515" s="2">
        <v>46070.751134375001</v>
      </c>
      <c r="C2515" s="3" t="str">
        <f>IFERROR(VLOOKUP(A2515,'Base Prueba'!A:C,3,),"NO REGISTRA")</f>
        <v>JEFFERSON ANDRES BARRETO DIAZ</v>
      </c>
      <c r="D2515" s="4" t="str">
        <f>IFERROR(VLOOKUP(A2515,'Base Prueba'!A:D,4,),"NO REGISTRA")</f>
        <v>AUXILIAR DE ARCHIVO</v>
      </c>
      <c r="E2515" s="5" t="str">
        <f>IFERROR(VLOOKUP(A2515,'Base Prueba'!A:E,5,),"NO REGISTRA")</f>
        <v>CENTRO DE GESTION DOCUMENTAL</v>
      </c>
    </row>
    <row r="2516" spans="1:5" ht="15.75" x14ac:dyDescent="0.25">
      <c r="A2516" s="10">
        <v>1000467399</v>
      </c>
      <c r="B2516" s="2">
        <v>46070.753733680554</v>
      </c>
      <c r="C2516" s="3" t="str">
        <f>IFERROR(VLOOKUP(A2516,'Base Prueba'!A:C,3,),"NO REGISTRA")</f>
        <v>BRANDO ESTIVEN DIAZ QUIMBAYA</v>
      </c>
      <c r="D2516" s="4" t="str">
        <f>IFERROR(VLOOKUP(A2516,'Base Prueba'!A:D,4,),"NO REGISTRA")</f>
        <v>APRENDIZ UNIVERSITARIO</v>
      </c>
      <c r="E2516" s="5" t="str">
        <f>IFERROR(VLOOKUP(A2516,'Base Prueba'!A:E,5,),"NO REGISTRA")</f>
        <v>DEPARTAMENTO DE GESTION HUMANA</v>
      </c>
    </row>
    <row r="2517" spans="1:5" ht="15.75" x14ac:dyDescent="0.25">
      <c r="A2517" s="10">
        <v>1022996882</v>
      </c>
      <c r="B2517" s="2">
        <v>46070.754245023149</v>
      </c>
      <c r="C2517" s="3" t="str">
        <f>IFERROR(VLOOKUP(A2517,'Base Prueba'!A:C,3,),"NO REGISTRA")</f>
        <v>NANCY BRIGITH ALDANA GUEVARA</v>
      </c>
      <c r="D2517" s="4" t="str">
        <f>IFERROR(VLOOKUP(A2517,'Base Prueba'!A:D,4,),"NO REGISTRA")</f>
        <v>COORDINADORA DE GESTIÓN HUMANA</v>
      </c>
      <c r="E2517" s="5" t="str">
        <f>IFERROR(VLOOKUP(A2517,'Base Prueba'!A:E,5,),"NO REGISTRA")</f>
        <v>DEPARTAMENTO DE GESTION HUMANA</v>
      </c>
    </row>
    <row r="2518" spans="1:5" ht="15.75" x14ac:dyDescent="0.25">
      <c r="A2518" s="10">
        <v>1049644802</v>
      </c>
      <c r="B2518" s="2">
        <v>46070.754550347221</v>
      </c>
      <c r="C2518" s="3" t="str">
        <f>IFERROR(VLOOKUP(A2518,'Base Prueba'!A:C,3,),"NO REGISTRA")</f>
        <v>DANIELA ALEXANDRA CIPAMOCHA BOSIGA</v>
      </c>
      <c r="D2518" s="4" t="str">
        <f>IFERROR(VLOOKUP(A2518,'Base Prueba'!A:D,4,),"NO REGISTRA")</f>
        <v>LIDER DE DATOS Y SERVICIOS</v>
      </c>
      <c r="E2518" s="5" t="str">
        <f>IFERROR(VLOOKUP(A2518,'Base Prueba'!A:E,5,),"NO REGISTRA")</f>
        <v>OFICINA DE PLANEACION Y GESTION DE LA CALIDAD</v>
      </c>
    </row>
    <row r="2519" spans="1:5" ht="15.75" x14ac:dyDescent="0.25">
      <c r="A2519" s="10">
        <v>1032469638</v>
      </c>
      <c r="B2519" s="2">
        <v>46070.754588310185</v>
      </c>
      <c r="C2519" s="3" t="str">
        <f>IFERROR(VLOOKUP(A2519,'Base Prueba'!A:C,3,),"NO REGISTRA")</f>
        <v>MAICOL JARBEY GUALTEROS CASTAÑEDA</v>
      </c>
      <c r="D2519" s="4" t="str">
        <f>IFERROR(VLOOKUP(A2519,'Base Prueba'!A:D,4,),"NO REGISTRA")</f>
        <v>COORDINADOR DEL SISTEMA INTERNO DE ASEGURAMIENTO DE LA CALIDAD - SIAC</v>
      </c>
      <c r="E2519" s="5" t="str">
        <f>IFERROR(VLOOKUP(A2519,'Base Prueba'!A:E,5,),"NO REGISTRA")</f>
        <v>OFICINA DE PLANEACION Y GESTION DE LA CALIDAD</v>
      </c>
    </row>
    <row r="2520" spans="1:5" ht="15.75" x14ac:dyDescent="0.25">
      <c r="A2520" s="10">
        <v>1023883232</v>
      </c>
      <c r="B2520" s="2">
        <v>46070.754827546298</v>
      </c>
      <c r="C2520" s="3" t="str">
        <f>IFERROR(VLOOKUP(A2520,'Base Prueba'!A:C,3,),"NO REGISTRA")</f>
        <v>MONICA ANDREA ACERO URBANO</v>
      </c>
      <c r="D2520" s="4" t="str">
        <f>IFERROR(VLOOKUP(A2520,'Base Prueba'!A:D,4,),"NO REGISTRA")</f>
        <v>APOYO INTEGRAL A GESTION HUMANA</v>
      </c>
      <c r="E2520" s="5" t="str">
        <f>IFERROR(VLOOKUP(A2520,'Base Prueba'!A:E,5,),"NO REGISTRA")</f>
        <v>DEPARTAMENTO DE GESTION HUMANA</v>
      </c>
    </row>
    <row r="2521" spans="1:5" ht="15.75" x14ac:dyDescent="0.25">
      <c r="A2521" s="10">
        <v>1014977624</v>
      </c>
      <c r="B2521" s="2">
        <v>46070.761568402777</v>
      </c>
      <c r="C2521" s="3" t="str">
        <f>IFERROR(VLOOKUP(A2521,'Base Prueba'!A:C,3,),"NO REGISTRA")</f>
        <v>NICCOLE VALENTINA HERNANDEZ MALAVER</v>
      </c>
      <c r="D2521" s="4" t="str">
        <f>IFERROR(VLOOKUP(A2521,'Base Prueba'!A:D,4,),"NO REGISTRA")</f>
        <v>APRENDIZ UNIVERSITARIO</v>
      </c>
      <c r="E2521" s="5" t="str">
        <f>IFERROR(VLOOKUP(A2521,'Base Prueba'!A:E,5,),"NO REGISTRA")</f>
        <v>AREA FINANCIERA Y CONTABLE</v>
      </c>
    </row>
    <row r="2522" spans="1:5" ht="15.75" x14ac:dyDescent="0.25">
      <c r="A2522" s="10">
        <v>1000593372</v>
      </c>
      <c r="B2522" s="2">
        <v>46070.767617361111</v>
      </c>
      <c r="C2522" s="3" t="str">
        <f>IFERROR(VLOOKUP(A2522,'Base Prueba'!A:C,3,),"NO REGISTRA")</f>
        <v>LAURA SOFIA CHAPARRO LOPEZ</v>
      </c>
      <c r="D2522" s="4" t="str">
        <f>IFERROR(VLOOKUP(A2522,'Base Prueba'!A:D,4,),"NO REGISTRA")</f>
        <v>AUXILIAR JURIDICO</v>
      </c>
      <c r="E2522" s="5" t="str">
        <f>IFERROR(VLOOKUP(A2522,'Base Prueba'!A:E,5,),"NO REGISTRA")</f>
        <v>SECRETARIA GENERAL</v>
      </c>
    </row>
    <row r="2523" spans="1:5" ht="15.75" x14ac:dyDescent="0.25">
      <c r="A2523" s="10">
        <v>1000161811</v>
      </c>
      <c r="B2523" s="2">
        <v>46070.768133449077</v>
      </c>
      <c r="C2523" s="3" t="str">
        <f>IFERROR(VLOOKUP(A2523,'Base Prueba'!A:C,3,),"NO REGISTRA")</f>
        <v>DIEGO ANDRES VARON ROZO</v>
      </c>
      <c r="D2523" s="4" t="str">
        <f>IFERROR(VLOOKUP(A2523,'Base Prueba'!A:D,4,),"NO REGISTRA")</f>
        <v>APRENDIZ UNIVERSITARIO</v>
      </c>
      <c r="E2523" s="5" t="str">
        <f>IFERROR(VLOOKUP(A2523,'Base Prueba'!A:E,5,),"NO REGISTRA")</f>
        <v>OFICINA DE MERCADEO</v>
      </c>
    </row>
    <row r="2524" spans="1:5" ht="15.75" x14ac:dyDescent="0.25">
      <c r="A2524" s="10">
        <v>1012426741</v>
      </c>
      <c r="B2524" s="2">
        <v>46070.770901851851</v>
      </c>
      <c r="C2524" s="3" t="str">
        <f>IFERROR(VLOOKUP(A2524,'Base Prueba'!A:C,3,),"NO REGISTRA")</f>
        <v>CRISTIAN FABIAN ROJAS SANCENO</v>
      </c>
      <c r="D2524" s="4" t="str">
        <f>IFERROR(VLOOKUP(A2524,'Base Prueba'!A:D,4,),"NO REGISTRA")</f>
        <v>AUXILIAR DE REINTEGROS</v>
      </c>
      <c r="E2524" s="5" t="str">
        <f>IFERROR(VLOOKUP(A2524,'Base Prueba'!A:E,5,),"NO REGISTRA")</f>
        <v>DIRECCION DE BIENESTAR INSTITUCIONAL</v>
      </c>
    </row>
    <row r="2525" spans="1:5" ht="15.75" x14ac:dyDescent="0.25">
      <c r="A2525" s="10">
        <v>1000046533</v>
      </c>
      <c r="B2525" s="2">
        <v>46070.772597106479</v>
      </c>
      <c r="C2525" s="3" t="str">
        <f>IFERROR(VLOOKUP(A2525,'Base Prueba'!A:C,3,),"NO REGISTRA")</f>
        <v>ERIKA JULIETH VALDERRAMA SANCHEZ</v>
      </c>
      <c r="D2525" s="4" t="str">
        <f>IFERROR(VLOOKUP(A2525,'Base Prueba'!A:D,4,),"NO REGISTRA")</f>
        <v>PROMOTOR CALL CENTER</v>
      </c>
      <c r="E2525" s="5" t="str">
        <f>IFERROR(VLOOKUP(A2525,'Base Prueba'!A:E,5,),"NO REGISTRA")</f>
        <v>OFICINA DE MERCADEO</v>
      </c>
    </row>
    <row r="2526" spans="1:5" ht="15.75" x14ac:dyDescent="0.25">
      <c r="A2526" s="10">
        <v>52764929</v>
      </c>
      <c r="B2526" s="2">
        <v>46070.773245949073</v>
      </c>
      <c r="C2526" s="3" t="str">
        <f>IFERROR(VLOOKUP(A2526,'Base Prueba'!A:C,3,),"NO REGISTRA")</f>
        <v>GUERLY YOHANA DURAN RIVERA</v>
      </c>
      <c r="D2526" s="4" t="str">
        <f>IFERROR(VLOOKUP(A2526,'Base Prueba'!A:D,4,),"NO REGISTRA")</f>
        <v>LIDER DE VINCULACION COLEGIOS</v>
      </c>
      <c r="E2526" s="5" t="str">
        <f>IFERROR(VLOOKUP(A2526,'Base Prueba'!A:E,5,),"NO REGISTRA")</f>
        <v>OFICINA DE MERCADEO</v>
      </c>
    </row>
    <row r="2527" spans="1:5" ht="15.75" x14ac:dyDescent="0.25">
      <c r="A2527" s="10">
        <v>1019105003</v>
      </c>
      <c r="B2527" s="2">
        <v>46070.777025000003</v>
      </c>
      <c r="C2527" s="3" t="str">
        <f>IFERROR(VLOOKUP(A2527,'Base Prueba'!A:C,3,),"NO REGISTRA")</f>
        <v>DAISY JULIETH GASPAR MORENO</v>
      </c>
      <c r="D2527" s="4" t="str">
        <f>IFERROR(VLOOKUP(A2527,'Base Prueba'!A:D,4,),"NO REGISTRA")</f>
        <v>PROMOTOR CALL CENTER</v>
      </c>
      <c r="E2527" s="5" t="str">
        <f>IFERROR(VLOOKUP(A2527,'Base Prueba'!A:E,5,),"NO REGISTRA")</f>
        <v>OFICINA DE MERCADEO</v>
      </c>
    </row>
    <row r="2528" spans="1:5" ht="15.75" x14ac:dyDescent="0.25">
      <c r="A2528" s="10">
        <v>1000324729</v>
      </c>
      <c r="B2528" s="2">
        <v>46070.777843055555</v>
      </c>
      <c r="C2528" s="3" t="str">
        <f>IFERROR(VLOOKUP(A2528,'Base Prueba'!A:C,3,),"NO REGISTRA")</f>
        <v>ANYIE VANESSA TINOCO CAMACHO</v>
      </c>
      <c r="D2528" s="4" t="str">
        <f>IFERROR(VLOOKUP(A2528,'Base Prueba'!A:D,4,),"NO REGISTRA")</f>
        <v>LIDER DE REGISTRO Y CONTROL</v>
      </c>
      <c r="E2528" s="5" t="str">
        <f>IFERROR(VLOOKUP(A2528,'Base Prueba'!A:E,5,),"NO REGISTRA")</f>
        <v>REGISTRO Y CONTROL ACADEMICO</v>
      </c>
    </row>
    <row r="2529" spans="1:5" ht="15.75" x14ac:dyDescent="0.25">
      <c r="A2529" s="10">
        <v>1033709056</v>
      </c>
      <c r="B2529" s="2">
        <v>46070.779176736112</v>
      </c>
      <c r="C2529" s="3" t="str">
        <f>IFERROR(VLOOKUP(A2529,'Base Prueba'!A:C,3,),"NO REGISTRA")</f>
        <v>YEIMY ALEXANDRA RODRIGUEZ PALACIO</v>
      </c>
      <c r="D2529" s="4" t="str">
        <f>IFERROR(VLOOKUP(A2529,'Base Prueba'!A:D,4,),"NO REGISTRA")</f>
        <v>PROMOTOR CALL CENTER</v>
      </c>
      <c r="E2529" s="5" t="str">
        <f>IFERROR(VLOOKUP(A2529,'Base Prueba'!A:E,5,),"NO REGISTRA")</f>
        <v>OFICINA DE MERCADEO</v>
      </c>
    </row>
    <row r="2530" spans="1:5" ht="15.75" x14ac:dyDescent="0.25">
      <c r="A2530" s="10">
        <v>28798349</v>
      </c>
      <c r="B2530" s="2">
        <v>46070.781447453701</v>
      </c>
      <c r="C2530" s="3" t="str">
        <f>IFERROR(VLOOKUP(A2530,'Base Prueba'!A:C,3,),"NO REGISTRA")</f>
        <v>MARTHA ISABEL TOVAR WILLIAMS</v>
      </c>
      <c r="D2530" s="4" t="str">
        <f>IFERROR(VLOOKUP(A2530,'Base Prueba'!A:D,4,),"NO REGISTRA")</f>
        <v>PROMOTOR CALL CENTER</v>
      </c>
      <c r="E2530" s="5" t="str">
        <f>IFERROR(VLOOKUP(A2530,'Base Prueba'!A:E,5,),"NO REGISTRA")</f>
        <v>OFICINA DE MERCADEO</v>
      </c>
    </row>
    <row r="2531" spans="1:5" ht="15.75" x14ac:dyDescent="0.25">
      <c r="A2531" s="10">
        <v>1032407386</v>
      </c>
      <c r="B2531" s="2">
        <v>46070.781481481485</v>
      </c>
      <c r="C2531" s="3" t="str">
        <f>IFERROR(VLOOKUP(A2531,'Base Prueba'!A:C,3,),"NO REGISTRA")</f>
        <v>GINA PAOLA BAEZ GALVIS</v>
      </c>
      <c r="D2531" s="4" t="str">
        <f>IFERROR(VLOOKUP(A2531,'Base Prueba'!A:D,4,),"NO REGISTRA")</f>
        <v>PROMOTOR CALL CENTER</v>
      </c>
      <c r="E2531" s="5" t="str">
        <f>IFERROR(VLOOKUP(A2531,'Base Prueba'!A:E,5,),"NO REGISTRA")</f>
        <v>OFICINA DE MERCADEO</v>
      </c>
    </row>
    <row r="2532" spans="1:5" ht="15.75" x14ac:dyDescent="0.25">
      <c r="A2532" s="10">
        <v>1018414290</v>
      </c>
      <c r="B2532" s="2">
        <v>46070.781515393515</v>
      </c>
      <c r="C2532" s="3" t="str">
        <f>IFERROR(VLOOKUP(A2532,'Base Prueba'!A:C,3,),"NO REGISTRA")</f>
        <v>AMANDA LISBETH RODRIGUEZ LEON</v>
      </c>
      <c r="D2532" s="4" t="str">
        <f>IFERROR(VLOOKUP(A2532,'Base Prueba'!A:D,4,),"NO REGISTRA")</f>
        <v>PROMOTOR CALL CENTER</v>
      </c>
      <c r="E2532" s="5" t="str">
        <f>IFERROR(VLOOKUP(A2532,'Base Prueba'!A:E,5,),"NO REGISTRA")</f>
        <v>OFICINA DE MERCADEO</v>
      </c>
    </row>
    <row r="2533" spans="1:5" ht="15.75" x14ac:dyDescent="0.25">
      <c r="A2533" s="10">
        <v>52472386</v>
      </c>
      <c r="B2533" s="2">
        <v>46070.781571527776</v>
      </c>
      <c r="C2533" s="3" t="str">
        <f>IFERROR(VLOOKUP(A2533,'Base Prueba'!A:C,3,),"NO REGISTRA")</f>
        <v>ADRIANA MARCELA MORALES PARDO</v>
      </c>
      <c r="D2533" s="4" t="str">
        <f>IFERROR(VLOOKUP(A2533,'Base Prueba'!A:D,4,),"NO REGISTRA")</f>
        <v>PROMOTOR CALL CENTER</v>
      </c>
      <c r="E2533" s="5" t="str">
        <f>IFERROR(VLOOKUP(A2533,'Base Prueba'!A:E,5,),"NO REGISTRA")</f>
        <v>OFICINA DE MERCADEO</v>
      </c>
    </row>
    <row r="2534" spans="1:5" ht="15.75" x14ac:dyDescent="0.25">
      <c r="A2534" s="10">
        <v>1023961952</v>
      </c>
      <c r="B2534" s="2">
        <v>46070.781657754633</v>
      </c>
      <c r="C2534" s="3" t="str">
        <f>IFERROR(VLOOKUP(A2534,'Base Prueba'!A:C,3,),"NO REGISTRA")</f>
        <v>ALEJANDRO PINZON MERCHAN</v>
      </c>
      <c r="D2534" s="4" t="str">
        <f>IFERROR(VLOOKUP(A2534,'Base Prueba'!A:D,4,),"NO REGISTRA")</f>
        <v>PROMOTOR CALL CENTER</v>
      </c>
      <c r="E2534" s="5" t="str">
        <f>IFERROR(VLOOKUP(A2534,'Base Prueba'!A:E,5,),"NO REGISTRA")</f>
        <v>OFICINA DE MERCADEO</v>
      </c>
    </row>
    <row r="2535" spans="1:5" ht="15.75" x14ac:dyDescent="0.25">
      <c r="A2535" s="10">
        <v>1000257136</v>
      </c>
      <c r="B2535" s="2">
        <v>46070.783718981482</v>
      </c>
      <c r="C2535" s="3" t="str">
        <f>IFERROR(VLOOKUP(A2535,'Base Prueba'!A:C,3,),"NO REGISTRA")</f>
        <v>FRANCI VALENTINA CANO PUENTES</v>
      </c>
      <c r="D2535" s="4" t="str">
        <f>IFERROR(VLOOKUP(A2535,'Base Prueba'!A:D,4,),"NO REGISTRA")</f>
        <v>AUXILIAR CONTABLE</v>
      </c>
      <c r="E2535" s="5" t="str">
        <f>IFERROR(VLOOKUP(A2535,'Base Prueba'!A:E,5,),"NO REGISTRA")</f>
        <v>AREA FINANCIERA Y CONTABLE</v>
      </c>
    </row>
    <row r="2536" spans="1:5" ht="15.75" x14ac:dyDescent="0.25">
      <c r="A2536" s="10">
        <v>53089882</v>
      </c>
      <c r="B2536" s="2">
        <v>46070.783875694447</v>
      </c>
      <c r="C2536" s="3" t="str">
        <f>IFERROR(VLOOKUP(A2536,'Base Prueba'!A:C,3,),"NO REGISTRA")</f>
        <v>MARIA JOHANA ESCAMILLA MARTINEZ</v>
      </c>
      <c r="D2536" s="4" t="str">
        <f>IFERROR(VLOOKUP(A2536,'Base Prueba'!A:D,4,),"NO REGISTRA")</f>
        <v>PROMOTOR DE INFORMACIÓN</v>
      </c>
      <c r="E2536" s="5" t="str">
        <f>IFERROR(VLOOKUP(A2536,'Base Prueba'!A:E,5,),"NO REGISTRA")</f>
        <v>OFICINA DE MERCADEO</v>
      </c>
    </row>
    <row r="2537" spans="1:5" ht="15.75" x14ac:dyDescent="0.25">
      <c r="A2537" s="10">
        <v>1018413529</v>
      </c>
      <c r="B2537" s="2">
        <v>46070.784006365742</v>
      </c>
      <c r="C2537" s="3" t="str">
        <f>IFERROR(VLOOKUP(A2537,'Base Prueba'!A:C,3,),"NO REGISTRA")</f>
        <v>FRANCY STELLA CHARRY MORENO</v>
      </c>
      <c r="D2537" s="4" t="str">
        <f>IFERROR(VLOOKUP(A2537,'Base Prueba'!A:D,4,),"NO REGISTRA")</f>
        <v>PROMOTOR COMERCIAL DEL CEA</v>
      </c>
      <c r="E2537" s="5" t="str">
        <f>IFERROR(VLOOKUP(A2537,'Base Prueba'!A:E,5,),"NO REGISTRA")</f>
        <v>OFICINA DE MERCADEO</v>
      </c>
    </row>
    <row r="2538" spans="1:5" ht="15.75" x14ac:dyDescent="0.25">
      <c r="A2538" s="10">
        <v>80234243</v>
      </c>
      <c r="B2538" s="2">
        <v>46070.788931481482</v>
      </c>
      <c r="C2538" s="3" t="str">
        <f>IFERROR(VLOOKUP(A2538,'Base Prueba'!A:C,3,),"NO REGISTRA")</f>
        <v>ARGENIS MARTINEZ MARTINEZ</v>
      </c>
      <c r="D2538" s="4" t="str">
        <f>IFERROR(VLOOKUP(A2538,'Base Prueba'!A:D,4,),"NO REGISTRA")</f>
        <v>LIDER CALL CENTER</v>
      </c>
      <c r="E2538" s="5" t="str">
        <f>IFERROR(VLOOKUP(A2538,'Base Prueba'!A:E,5,),"NO REGISTRA")</f>
        <v>OFICINA DE MERCADEO</v>
      </c>
    </row>
    <row r="2539" spans="1:5" ht="15.75" x14ac:dyDescent="0.25">
      <c r="A2539" s="10">
        <v>1193265768</v>
      </c>
      <c r="B2539" s="2">
        <v>46070.79272002315</v>
      </c>
      <c r="C2539" s="3" t="str">
        <f>IFERROR(VLOOKUP(A2539,'Base Prueba'!A:C,3,),"NO REGISTRA")</f>
        <v>SANTIAGO OSORIO CAMACHO</v>
      </c>
      <c r="D2539" s="4" t="str">
        <f>IFERROR(VLOOKUP(A2539,'Base Prueba'!A:D,4,),"NO REGISTRA")</f>
        <v>ANALISTA DE PAUTA</v>
      </c>
      <c r="E2539" s="5" t="str">
        <f>IFERROR(VLOOKUP(A2539,'Base Prueba'!A:E,5,),"NO REGISTRA")</f>
        <v>OFICINA DE MERCADEO</v>
      </c>
    </row>
    <row r="2540" spans="1:5" ht="15.75" x14ac:dyDescent="0.25">
      <c r="A2540" s="10">
        <v>1014196857</v>
      </c>
      <c r="B2540" s="2">
        <v>46070.792911226854</v>
      </c>
      <c r="C2540" s="3" t="str">
        <f>IFERROR(VLOOKUP(A2540,'Base Prueba'!A:C,3,),"NO REGISTRA")</f>
        <v>CARLOS ANDRES JIMENEZ PARDO</v>
      </c>
      <c r="D2540" s="4" t="str">
        <f>IFERROR(VLOOKUP(A2540,'Base Prueba'!A:D,4,),"NO REGISTRA")</f>
        <v>COORDINADOR DE MARKETING DIGITAL</v>
      </c>
      <c r="E2540" s="5" t="str">
        <f>IFERROR(VLOOKUP(A2540,'Base Prueba'!A:E,5,),"NO REGISTRA")</f>
        <v>OFICINA DE MERCADEO</v>
      </c>
    </row>
    <row r="2541" spans="1:5" ht="15.75" x14ac:dyDescent="0.25">
      <c r="A2541" s="10">
        <v>52175674</v>
      </c>
      <c r="B2541" s="2">
        <v>46070.797037731485</v>
      </c>
      <c r="C2541" s="3" t="str">
        <f>IFERROR(VLOOKUP(A2541,'Base Prueba'!A:C,3,),"NO REGISTRA")</f>
        <v>LUZ YANETH GOMEZ AREVALO</v>
      </c>
      <c r="D2541" s="4" t="str">
        <f>IFERROR(VLOOKUP(A2541,'Base Prueba'!A:D,4,),"NO REGISTRA")</f>
        <v>COORDINADORA DE ADMISIONES</v>
      </c>
      <c r="E2541" s="5" t="str">
        <f>IFERROR(VLOOKUP(A2541,'Base Prueba'!A:E,5,),"NO REGISTRA")</f>
        <v>OFICINA DE MERCADEO</v>
      </c>
    </row>
    <row r="2542" spans="1:5" ht="15.75" x14ac:dyDescent="0.25">
      <c r="A2542" s="10">
        <v>1012357415</v>
      </c>
      <c r="B2542" s="2">
        <v>46070.798538888892</v>
      </c>
      <c r="C2542" s="3" t="str">
        <f>IFERROR(VLOOKUP(A2542,'Base Prueba'!A:C,3,),"NO REGISTRA")</f>
        <v>CINDY LORENA BOHORQUEZ LEYVA</v>
      </c>
      <c r="D2542" s="4" t="str">
        <f>IFERROR(VLOOKUP(A2542,'Base Prueba'!A:D,4,),"NO REGISTRA")</f>
        <v>ANALISTA DE TESORERIA</v>
      </c>
      <c r="E2542" s="5" t="str">
        <f>IFERROR(VLOOKUP(A2542,'Base Prueba'!A:E,5,),"NO REGISTRA")</f>
        <v>AREA FINANCIERA Y CONTABLE</v>
      </c>
    </row>
    <row r="2543" spans="1:5" ht="15.75" x14ac:dyDescent="0.25">
      <c r="A2543" s="10">
        <v>1000604979</v>
      </c>
      <c r="B2543" s="2">
        <v>46070.799221643516</v>
      </c>
      <c r="C2543" s="3" t="str">
        <f>IFERROR(VLOOKUP(A2543,'Base Prueba'!A:C,3,),"NO REGISTRA")</f>
        <v>JULIETH TATIANA PARDO PINTO</v>
      </c>
      <c r="D2543" s="4" t="str">
        <f>IFERROR(VLOOKUP(A2543,'Base Prueba'!A:D,4,),"NO REGISTRA")</f>
        <v>AUXILIAR JURIDICO</v>
      </c>
      <c r="E2543" s="5" t="str">
        <f>IFERROR(VLOOKUP(A2543,'Base Prueba'!A:E,5,),"NO REGISTRA")</f>
        <v>SECRETARIA GENERAL</v>
      </c>
    </row>
    <row r="2544" spans="1:5" ht="15.75" x14ac:dyDescent="0.25">
      <c r="A2544" s="10">
        <v>1000457706</v>
      </c>
      <c r="B2544" s="2">
        <v>46070.800908101854</v>
      </c>
      <c r="C2544" s="3" t="str">
        <f>IFERROR(VLOOKUP(A2544,'Base Prueba'!A:C,3,),"NO REGISTRA")</f>
        <v>CRISTIAN DANILO ARROYO SANABRIA</v>
      </c>
      <c r="D2544" s="4" t="str">
        <f>IFERROR(VLOOKUP(A2544,'Base Prueba'!A:D,4,),"NO REGISTRA")</f>
        <v>AUXILIAR CONTABLE</v>
      </c>
      <c r="E2544" s="5" t="str">
        <f>IFERROR(VLOOKUP(A2544,'Base Prueba'!A:E,5,),"NO REGISTRA")</f>
        <v>AREA FINANCIERA Y CONTABLE</v>
      </c>
    </row>
    <row r="2545" spans="1:5" ht="15.75" x14ac:dyDescent="0.25">
      <c r="A2545" s="10">
        <v>53932358</v>
      </c>
      <c r="B2545" s="2">
        <v>46070.800958912034</v>
      </c>
      <c r="C2545" s="3" t="str">
        <f>IFERROR(VLOOKUP(A2545,'Base Prueba'!A:C,3,),"NO REGISTRA")</f>
        <v>DIANA MADELEYNE GAONA RODRIGUEZ</v>
      </c>
      <c r="D2545" s="4" t="str">
        <f>IFERROR(VLOOKUP(A2545,'Base Prueba'!A:D,4,),"NO REGISTRA")</f>
        <v>CONTADOR</v>
      </c>
      <c r="E2545" s="5" t="str">
        <f>IFERROR(VLOOKUP(A2545,'Base Prueba'!A:E,5,),"NO REGISTRA")</f>
        <v>AREA FINANCIERA Y CONTABLE</v>
      </c>
    </row>
    <row r="2546" spans="1:5" ht="15.75" x14ac:dyDescent="0.25">
      <c r="A2546" s="10">
        <v>52474489</v>
      </c>
      <c r="B2546" s="2">
        <v>46070.803845601855</v>
      </c>
      <c r="C2546" s="3" t="str">
        <f>IFERROR(VLOOKUP(A2546,'Base Prueba'!A:C,3,),"NO REGISTRA")</f>
        <v>ADRIANA JIMENA SOTO BOCANEGRA</v>
      </c>
      <c r="D2546" s="4" t="str">
        <f>IFERROR(VLOOKUP(A2546,'Base Prueba'!A:D,4,),"NO REGISTRA")</f>
        <v>COORDINADOR DE LA OFICINA DE REGISTRO Y CONTROL</v>
      </c>
      <c r="E2546" s="5" t="str">
        <f>IFERROR(VLOOKUP(A2546,'Base Prueba'!A:E,5,),"NO REGISTRA")</f>
        <v>REGISTRO Y CONTROL ACADEMICO</v>
      </c>
    </row>
    <row r="2547" spans="1:5" ht="15.75" x14ac:dyDescent="0.25">
      <c r="A2547" s="10">
        <v>1013616244</v>
      </c>
      <c r="B2547" s="2">
        <v>46070.833880671293</v>
      </c>
      <c r="C2547" s="3" t="str">
        <f>IFERROR(VLOOKUP(A2547,'Base Prueba'!A:C,3,),"NO REGISTRA")</f>
        <v>DIANA CAROLINA MARIN BETANCOURT</v>
      </c>
      <c r="D2547" s="4" t="str">
        <f>IFERROR(VLOOKUP(A2547,'Base Prueba'!A:D,4,),"NO REGISTRA")</f>
        <v>AUXILIAR ADMINISTRATIVO</v>
      </c>
      <c r="E2547" s="5" t="str">
        <f>IFERROR(VLOOKUP(A2547,'Base Prueba'!A:E,5,),"NO REGISTRA")</f>
        <v>REGISTRO Y CONTROL ACADEMICO</v>
      </c>
    </row>
    <row r="2548" spans="1:5" ht="15.75" x14ac:dyDescent="0.25">
      <c r="A2548" s="10">
        <v>1087121273</v>
      </c>
      <c r="B2548" s="2">
        <v>46071.30697662037</v>
      </c>
      <c r="C2548" s="3" t="str">
        <f>IFERROR(VLOOKUP(A2548,'Base Prueba'!A:C,3,),"NO REGISTRA")</f>
        <v>MAYRA ALEJANDRA CASTILLO ARBOLEDA</v>
      </c>
      <c r="D2548" s="4" t="str">
        <f>IFERROR(VLOOKUP(A2548,'Base Prueba'!A:D,4,),"NO REGISTRA")</f>
        <v>APOYO INTEGRAL DE MERCADEO</v>
      </c>
      <c r="E2548" s="5" t="str">
        <f>IFERROR(VLOOKUP(A2548,'Base Prueba'!A:E,5,),"NO REGISTRA")</f>
        <v>CENTRO DE GESTION DOCUMENTAL</v>
      </c>
    </row>
    <row r="2549" spans="1:5" ht="15.75" x14ac:dyDescent="0.25">
      <c r="A2549" s="10">
        <v>1000324729</v>
      </c>
      <c r="B2549" s="2">
        <v>46071.325070601852</v>
      </c>
      <c r="C2549" s="3" t="str">
        <f>IFERROR(VLOOKUP(A2549,'Base Prueba'!A:C,3,),"NO REGISTRA")</f>
        <v>ANYIE VANESSA TINOCO CAMACHO</v>
      </c>
      <c r="D2549" s="4" t="str">
        <f>IFERROR(VLOOKUP(A2549,'Base Prueba'!A:D,4,),"NO REGISTRA")</f>
        <v>LIDER DE REGISTRO Y CONTROL</v>
      </c>
      <c r="E2549" s="5" t="str">
        <f>IFERROR(VLOOKUP(A2549,'Base Prueba'!A:E,5,),"NO REGISTRA")</f>
        <v>REGISTRO Y CONTROL ACADEMICO</v>
      </c>
    </row>
    <row r="2550" spans="1:5" ht="15.75" x14ac:dyDescent="0.25">
      <c r="A2550" s="10">
        <v>53932358</v>
      </c>
      <c r="B2550" s="2">
        <v>46071.33194236111</v>
      </c>
      <c r="C2550" s="3" t="str">
        <f>IFERROR(VLOOKUP(A2550,'Base Prueba'!A:C,3,),"NO REGISTRA")</f>
        <v>DIANA MADELEYNE GAONA RODRIGUEZ</v>
      </c>
      <c r="D2550" s="4" t="str">
        <f>IFERROR(VLOOKUP(A2550,'Base Prueba'!A:D,4,),"NO REGISTRA")</f>
        <v>CONTADOR</v>
      </c>
      <c r="E2550" s="5" t="str">
        <f>IFERROR(VLOOKUP(A2550,'Base Prueba'!A:E,5,),"NO REGISTRA")</f>
        <v>AREA FINANCIERA Y CONTABLE</v>
      </c>
    </row>
    <row r="2551" spans="1:5" ht="15.75" x14ac:dyDescent="0.25">
      <c r="A2551" s="10">
        <v>1014308296</v>
      </c>
      <c r="B2551" s="2">
        <v>46071.335151504631</v>
      </c>
      <c r="C2551" s="3" t="str">
        <f>IFERROR(VLOOKUP(A2551,'Base Prueba'!A:C,3,),"NO REGISTRA")</f>
        <v>DARLENE YULIANA MORENO CELEITA</v>
      </c>
      <c r="D2551" s="4" t="str">
        <f>IFERROR(VLOOKUP(A2551,'Base Prueba'!A:D,4,),"NO REGISTRA")</f>
        <v>CAJERO PRINCIPAL</v>
      </c>
      <c r="E2551" s="5" t="str">
        <f>IFERROR(VLOOKUP(A2551,'Base Prueba'!A:E,5,),"NO REGISTRA")</f>
        <v>AREA FINANCIERA Y CONTABLE</v>
      </c>
    </row>
    <row r="2552" spans="1:5" ht="15.75" x14ac:dyDescent="0.25">
      <c r="A2552" s="10">
        <v>1031802160</v>
      </c>
      <c r="B2552" s="2">
        <v>46071.335264467591</v>
      </c>
      <c r="C2552" s="3" t="str">
        <f>IFERROR(VLOOKUP(A2552,'Base Prueba'!A:C,3,),"NO REGISTRA")</f>
        <v>LUISA MARIA MAHECHA SOTOMAYOR</v>
      </c>
      <c r="D2552" s="4" t="str">
        <f>IFERROR(VLOOKUP(A2552,'Base Prueba'!A:D,4,),"NO REGISTRA")</f>
        <v>APRENDIZ UNIVERSITARIO</v>
      </c>
      <c r="E2552" s="5" t="str">
        <f>IFERROR(VLOOKUP(A2552,'Base Prueba'!A:E,5,),"NO REGISTRA")</f>
        <v>OFICINA DE MERCADEO</v>
      </c>
    </row>
    <row r="2553" spans="1:5" ht="15.75" x14ac:dyDescent="0.25">
      <c r="A2553" s="10">
        <v>1014977624</v>
      </c>
      <c r="B2553" s="2">
        <v>46071.339313773147</v>
      </c>
      <c r="C2553" s="3" t="str">
        <f>IFERROR(VLOOKUP(A2553,'Base Prueba'!A:C,3,),"NO REGISTRA")</f>
        <v>NICCOLE VALENTINA HERNANDEZ MALAVER</v>
      </c>
      <c r="D2553" s="4" t="str">
        <f>IFERROR(VLOOKUP(A2553,'Base Prueba'!A:D,4,),"NO REGISTRA")</f>
        <v>APRENDIZ UNIVERSITARIO</v>
      </c>
      <c r="E2553" s="5" t="str">
        <f>IFERROR(VLOOKUP(A2553,'Base Prueba'!A:E,5,),"NO REGISTRA")</f>
        <v>AREA FINANCIERA Y CONTABLE</v>
      </c>
    </row>
    <row r="2554" spans="1:5" ht="15.75" x14ac:dyDescent="0.25">
      <c r="A2554" s="10">
        <v>1000257136</v>
      </c>
      <c r="B2554" s="2">
        <v>46071.339436458336</v>
      </c>
      <c r="C2554" s="3" t="str">
        <f>IFERROR(VLOOKUP(A2554,'Base Prueba'!A:C,3,),"NO REGISTRA")</f>
        <v>FRANCI VALENTINA CANO PUENTES</v>
      </c>
      <c r="D2554" s="4" t="str">
        <f>IFERROR(VLOOKUP(A2554,'Base Prueba'!A:D,4,),"NO REGISTRA")</f>
        <v>AUXILIAR CONTABLE</v>
      </c>
      <c r="E2554" s="5" t="str">
        <f>IFERROR(VLOOKUP(A2554,'Base Prueba'!A:E,5,),"NO REGISTRA")</f>
        <v>AREA FINANCIERA Y CONTABLE</v>
      </c>
    </row>
    <row r="2555" spans="1:5" ht="15.75" x14ac:dyDescent="0.25">
      <c r="A2555" s="10">
        <v>1000457706</v>
      </c>
      <c r="B2555" s="2">
        <v>46071.339459606483</v>
      </c>
      <c r="C2555" s="3" t="str">
        <f>IFERROR(VLOOKUP(A2555,'Base Prueba'!A:C,3,),"NO REGISTRA")</f>
        <v>CRISTIAN DANILO ARROYO SANABRIA</v>
      </c>
      <c r="D2555" s="4" t="str">
        <f>IFERROR(VLOOKUP(A2555,'Base Prueba'!A:D,4,),"NO REGISTRA")</f>
        <v>AUXILIAR CONTABLE</v>
      </c>
      <c r="E2555" s="5" t="str">
        <f>IFERROR(VLOOKUP(A2555,'Base Prueba'!A:E,5,),"NO REGISTRA")</f>
        <v>AREA FINANCIERA Y CONTABLE</v>
      </c>
    </row>
    <row r="2556" spans="1:5" ht="15.75" x14ac:dyDescent="0.25">
      <c r="A2556" s="10">
        <v>1023883232</v>
      </c>
      <c r="B2556" s="2">
        <v>46071.340882060184</v>
      </c>
      <c r="C2556" s="3" t="str">
        <f>IFERROR(VLOOKUP(A2556,'Base Prueba'!A:C,3,),"NO REGISTRA")</f>
        <v>MONICA ANDREA ACERO URBANO</v>
      </c>
      <c r="D2556" s="4" t="str">
        <f>IFERROR(VLOOKUP(A2556,'Base Prueba'!A:D,4,),"NO REGISTRA")</f>
        <v>APOYO INTEGRAL A GESTION HUMANA</v>
      </c>
      <c r="E2556" s="5" t="str">
        <f>IFERROR(VLOOKUP(A2556,'Base Prueba'!A:E,5,),"NO REGISTRA")</f>
        <v>DEPARTAMENTO DE GESTION HUMANA</v>
      </c>
    </row>
    <row r="2557" spans="1:5" ht="15.75" x14ac:dyDescent="0.25">
      <c r="A2557" s="10">
        <v>1193457976</v>
      </c>
      <c r="B2557" s="2">
        <v>46071.346432175924</v>
      </c>
      <c r="C2557" s="3" t="str">
        <f>IFERROR(VLOOKUP(A2557,'Base Prueba'!A:C,3,),"NO REGISTRA")</f>
        <v>SEDENIS RIVAS ASPRILLA</v>
      </c>
      <c r="D2557" s="4" t="str">
        <f>IFERROR(VLOOKUP(A2557,'Base Prueba'!A:D,4,),"NO REGISTRA")</f>
        <v>APRENDIZ UNIVERSITARIO</v>
      </c>
      <c r="E2557" s="5" t="str">
        <f>IFERROR(VLOOKUP(A2557,'Base Prueba'!A:E,5,),"NO REGISTRA")</f>
        <v>DEPARTAMENTO DE GESTION HUMANA</v>
      </c>
    </row>
    <row r="2558" spans="1:5" ht="15.75" x14ac:dyDescent="0.25">
      <c r="A2558" s="10">
        <v>1022996882</v>
      </c>
      <c r="B2558" s="2">
        <v>46071.347790740743</v>
      </c>
      <c r="C2558" s="3" t="str">
        <f>IFERROR(VLOOKUP(A2558,'Base Prueba'!A:C,3,),"NO REGISTRA")</f>
        <v>NANCY BRIGITH ALDANA GUEVARA</v>
      </c>
      <c r="D2558" s="4" t="str">
        <f>IFERROR(VLOOKUP(A2558,'Base Prueba'!A:D,4,),"NO REGISTRA")</f>
        <v>COORDINADORA DE GESTIÓN HUMANA</v>
      </c>
      <c r="E2558" s="5" t="str">
        <f>IFERROR(VLOOKUP(A2558,'Base Prueba'!A:E,5,),"NO REGISTRA")</f>
        <v>DEPARTAMENTO DE GESTION HUMANA</v>
      </c>
    </row>
    <row r="2559" spans="1:5" ht="15.75" x14ac:dyDescent="0.25">
      <c r="A2559" s="10">
        <v>1049644802</v>
      </c>
      <c r="B2559" s="2">
        <v>46071.348463657407</v>
      </c>
      <c r="C2559" s="3" t="str">
        <f>IFERROR(VLOOKUP(A2559,'Base Prueba'!A:C,3,),"NO REGISTRA")</f>
        <v>DANIELA ALEXANDRA CIPAMOCHA BOSIGA</v>
      </c>
      <c r="D2559" s="4" t="str">
        <f>IFERROR(VLOOKUP(A2559,'Base Prueba'!A:D,4,),"NO REGISTRA")</f>
        <v>LIDER DE DATOS Y SERVICIOS</v>
      </c>
      <c r="E2559" s="5" t="str">
        <f>IFERROR(VLOOKUP(A2559,'Base Prueba'!A:E,5,),"NO REGISTRA")</f>
        <v>OFICINA DE PLANEACION Y GESTION DE LA CALIDAD</v>
      </c>
    </row>
    <row r="2560" spans="1:5" ht="15.75" x14ac:dyDescent="0.25">
      <c r="A2560" s="10">
        <v>1000687931</v>
      </c>
      <c r="B2560" s="2">
        <v>46071.350330555557</v>
      </c>
      <c r="C2560" s="3" t="str">
        <f>IFERROR(VLOOKUP(A2560,'Base Prueba'!A:C,3,),"NO REGISTRA")</f>
        <v>ANDRES FELIPE PUENTES TORRES</v>
      </c>
      <c r="D2560" s="4" t="str">
        <f>IFERROR(VLOOKUP(A2560,'Base Prueba'!A:D,4,),"NO REGISTRA")</f>
        <v>AUXILIAR ADMINISTRATIVO</v>
      </c>
      <c r="E2560" s="5" t="str">
        <f>IFERROR(VLOOKUP(A2560,'Base Prueba'!A:E,5,),"NO REGISTRA")</f>
        <v>REGISTRO Y CONTROL ACADEMICO</v>
      </c>
    </row>
    <row r="2561" spans="1:5" ht="15.75" x14ac:dyDescent="0.25">
      <c r="A2561" s="10">
        <v>1000604979</v>
      </c>
      <c r="B2561" s="2">
        <v>46071.352397453702</v>
      </c>
      <c r="C2561" s="3" t="str">
        <f>IFERROR(VLOOKUP(A2561,'Base Prueba'!A:C,3,),"NO REGISTRA")</f>
        <v>JULIETH TATIANA PARDO PINTO</v>
      </c>
      <c r="D2561" s="4" t="str">
        <f>IFERROR(VLOOKUP(A2561,'Base Prueba'!A:D,4,),"NO REGISTRA")</f>
        <v>AUXILIAR JURIDICO</v>
      </c>
      <c r="E2561" s="5" t="str">
        <f>IFERROR(VLOOKUP(A2561,'Base Prueba'!A:E,5,),"NO REGISTRA")</f>
        <v>SECRETARIA GENERAL</v>
      </c>
    </row>
    <row r="2562" spans="1:5" ht="15.75" x14ac:dyDescent="0.25">
      <c r="A2562" s="10">
        <v>1032469638</v>
      </c>
      <c r="B2562" s="2">
        <v>46071.35602835648</v>
      </c>
      <c r="C2562" s="3" t="str">
        <f>IFERROR(VLOOKUP(A2562,'Base Prueba'!A:C,3,),"NO REGISTRA")</f>
        <v>MAICOL JARBEY GUALTEROS CASTAÑEDA</v>
      </c>
      <c r="D2562" s="4" t="str">
        <f>IFERROR(VLOOKUP(A2562,'Base Prueba'!A:D,4,),"NO REGISTRA")</f>
        <v>COORDINADOR DEL SISTEMA INTERNO DE ASEGURAMIENTO DE LA CALIDAD - SIAC</v>
      </c>
      <c r="E2562" s="5" t="str">
        <f>IFERROR(VLOOKUP(A2562,'Base Prueba'!A:E,5,),"NO REGISTRA")</f>
        <v>OFICINA DE PLANEACION Y GESTION DE LA CALIDAD</v>
      </c>
    </row>
    <row r="2563" spans="1:5" ht="15.75" x14ac:dyDescent="0.25">
      <c r="A2563" s="10">
        <v>80234243</v>
      </c>
      <c r="B2563" s="2">
        <v>46071.356902199077</v>
      </c>
      <c r="C2563" s="3" t="str">
        <f>IFERROR(VLOOKUP(A2563,'Base Prueba'!A:C,3,),"NO REGISTRA")</f>
        <v>ARGENIS MARTINEZ MARTINEZ</v>
      </c>
      <c r="D2563" s="4" t="str">
        <f>IFERROR(VLOOKUP(A2563,'Base Prueba'!A:D,4,),"NO REGISTRA")</f>
        <v>LIDER CALL CENTER</v>
      </c>
      <c r="E2563" s="5" t="str">
        <f>IFERROR(VLOOKUP(A2563,'Base Prueba'!A:E,5,),"NO REGISTRA")</f>
        <v>OFICINA DE MERCADEO</v>
      </c>
    </row>
    <row r="2564" spans="1:5" ht="15.75" x14ac:dyDescent="0.25">
      <c r="A2564" s="10">
        <v>1012357415</v>
      </c>
      <c r="B2564" s="2">
        <v>46071.360125115738</v>
      </c>
      <c r="C2564" s="3" t="str">
        <f>IFERROR(VLOOKUP(A2564,'Base Prueba'!A:C,3,),"NO REGISTRA")</f>
        <v>CINDY LORENA BOHORQUEZ LEYVA</v>
      </c>
      <c r="D2564" s="4" t="str">
        <f>IFERROR(VLOOKUP(A2564,'Base Prueba'!A:D,4,),"NO REGISTRA")</f>
        <v>ANALISTA DE TESORERIA</v>
      </c>
      <c r="E2564" s="5" t="str">
        <f>IFERROR(VLOOKUP(A2564,'Base Prueba'!A:E,5,),"NO REGISTRA")</f>
        <v>AREA FINANCIERA Y CONTABLE</v>
      </c>
    </row>
    <row r="2565" spans="1:5" ht="15.75" x14ac:dyDescent="0.25">
      <c r="A2565" s="10">
        <v>1033709056</v>
      </c>
      <c r="B2565" s="2">
        <v>46071.360525694443</v>
      </c>
      <c r="C2565" s="3" t="str">
        <f>IFERROR(VLOOKUP(A2565,'Base Prueba'!A:C,3,),"NO REGISTRA")</f>
        <v>YEIMY ALEXANDRA RODRIGUEZ PALACIO</v>
      </c>
      <c r="D2565" s="4" t="str">
        <f>IFERROR(VLOOKUP(A2565,'Base Prueba'!A:D,4,),"NO REGISTRA")</f>
        <v>PROMOTOR CALL CENTER</v>
      </c>
      <c r="E2565" s="5" t="str">
        <f>IFERROR(VLOOKUP(A2565,'Base Prueba'!A:E,5,),"NO REGISTRA")</f>
        <v>OFICINA DE MERCADEO</v>
      </c>
    </row>
    <row r="2566" spans="1:5" ht="15.75" x14ac:dyDescent="0.25">
      <c r="A2566" s="10">
        <v>1032407386</v>
      </c>
      <c r="B2566" s="2">
        <v>46071.363972569445</v>
      </c>
      <c r="C2566" s="3" t="str">
        <f>IFERROR(VLOOKUP(A2566,'Base Prueba'!A:C,3,),"NO REGISTRA")</f>
        <v>GINA PAOLA BAEZ GALVIS</v>
      </c>
      <c r="D2566" s="4" t="str">
        <f>IFERROR(VLOOKUP(A2566,'Base Prueba'!A:D,4,),"NO REGISTRA")</f>
        <v>PROMOTOR CALL CENTER</v>
      </c>
      <c r="E2566" s="5" t="str">
        <f>IFERROR(VLOOKUP(A2566,'Base Prueba'!A:E,5,),"NO REGISTRA")</f>
        <v>OFICINA DE MERCADEO</v>
      </c>
    </row>
    <row r="2567" spans="1:5" ht="15.75" x14ac:dyDescent="0.25">
      <c r="A2567" s="10">
        <v>52472386</v>
      </c>
      <c r="B2567" s="2">
        <v>46071.366394444442</v>
      </c>
      <c r="C2567" s="3" t="str">
        <f>IFERROR(VLOOKUP(A2567,'Base Prueba'!A:C,3,),"NO REGISTRA")</f>
        <v>ADRIANA MARCELA MORALES PARDO</v>
      </c>
      <c r="D2567" s="4" t="str">
        <f>IFERROR(VLOOKUP(A2567,'Base Prueba'!A:D,4,),"NO REGISTRA")</f>
        <v>PROMOTOR CALL CENTER</v>
      </c>
      <c r="E2567" s="5" t="str">
        <f>IFERROR(VLOOKUP(A2567,'Base Prueba'!A:E,5,),"NO REGISTRA")</f>
        <v>OFICINA DE MERCADEO</v>
      </c>
    </row>
    <row r="2568" spans="1:5" ht="15.75" x14ac:dyDescent="0.25">
      <c r="A2568" s="10">
        <v>1018413529</v>
      </c>
      <c r="B2568" s="2">
        <v>46071.369282175925</v>
      </c>
      <c r="C2568" s="3" t="str">
        <f>IFERROR(VLOOKUP(A2568,'Base Prueba'!A:C,3,),"NO REGISTRA")</f>
        <v>FRANCY STELLA CHARRY MORENO</v>
      </c>
      <c r="D2568" s="4" t="str">
        <f>IFERROR(VLOOKUP(A2568,'Base Prueba'!A:D,4,),"NO REGISTRA")</f>
        <v>PROMOTOR COMERCIAL DEL CEA</v>
      </c>
      <c r="E2568" s="5" t="str">
        <f>IFERROR(VLOOKUP(A2568,'Base Prueba'!A:E,5,),"NO REGISTRA")</f>
        <v>OFICINA DE MERCADEO</v>
      </c>
    </row>
    <row r="2569" spans="1:5" ht="15.75" x14ac:dyDescent="0.25">
      <c r="A2569" s="10">
        <v>1000046533</v>
      </c>
      <c r="B2569" s="2">
        <v>46071.371696064816</v>
      </c>
      <c r="C2569" s="3" t="str">
        <f>IFERROR(VLOOKUP(A2569,'Base Prueba'!A:C,3,),"NO REGISTRA")</f>
        <v>ERIKA JULIETH VALDERRAMA SANCHEZ</v>
      </c>
      <c r="D2569" s="4" t="str">
        <f>IFERROR(VLOOKUP(A2569,'Base Prueba'!A:D,4,),"NO REGISTRA")</f>
        <v>PROMOTOR CALL CENTER</v>
      </c>
      <c r="E2569" s="5" t="str">
        <f>IFERROR(VLOOKUP(A2569,'Base Prueba'!A:E,5,),"NO REGISTRA")</f>
        <v>OFICINA DE MERCADEO</v>
      </c>
    </row>
    <row r="2570" spans="1:5" ht="15.75" x14ac:dyDescent="0.25">
      <c r="A2570" s="10">
        <v>28798349</v>
      </c>
      <c r="B2570" s="2">
        <v>46071.372772685187</v>
      </c>
      <c r="C2570" s="3" t="str">
        <f>IFERROR(VLOOKUP(A2570,'Base Prueba'!A:C,3,),"NO REGISTRA")</f>
        <v>MARTHA ISABEL TOVAR WILLIAMS</v>
      </c>
      <c r="D2570" s="4" t="str">
        <f>IFERROR(VLOOKUP(A2570,'Base Prueba'!A:D,4,),"NO REGISTRA")</f>
        <v>PROMOTOR CALL CENTER</v>
      </c>
      <c r="E2570" s="5" t="str">
        <f>IFERROR(VLOOKUP(A2570,'Base Prueba'!A:E,5,),"NO REGISTRA")</f>
        <v>OFICINA DE MERCADEO</v>
      </c>
    </row>
    <row r="2571" spans="1:5" ht="15.75" x14ac:dyDescent="0.25">
      <c r="A2571" s="10">
        <v>1012426741</v>
      </c>
      <c r="B2571" s="2">
        <v>46071.372820370372</v>
      </c>
      <c r="C2571" s="3" t="str">
        <f>IFERROR(VLOOKUP(A2571,'Base Prueba'!A:C,3,),"NO REGISTRA")</f>
        <v>CRISTIAN FABIAN ROJAS SANCENO</v>
      </c>
      <c r="D2571" s="4" t="str">
        <f>IFERROR(VLOOKUP(A2571,'Base Prueba'!A:D,4,),"NO REGISTRA")</f>
        <v>AUXILIAR DE REINTEGROS</v>
      </c>
      <c r="E2571" s="5" t="str">
        <f>IFERROR(VLOOKUP(A2571,'Base Prueba'!A:E,5,),"NO REGISTRA")</f>
        <v>DIRECCION DE BIENESTAR INSTITUCIONAL</v>
      </c>
    </row>
    <row r="2572" spans="1:5" ht="15.75" x14ac:dyDescent="0.25">
      <c r="A2572" s="10">
        <v>1000593372</v>
      </c>
      <c r="B2572" s="2">
        <v>46071.372877546295</v>
      </c>
      <c r="C2572" s="3" t="str">
        <f>IFERROR(VLOOKUP(A2572,'Base Prueba'!A:C,3,),"NO REGISTRA")</f>
        <v>LAURA SOFIA CHAPARRO LOPEZ</v>
      </c>
      <c r="D2572" s="4" t="str">
        <f>IFERROR(VLOOKUP(A2572,'Base Prueba'!A:D,4,),"NO REGISTRA")</f>
        <v>AUXILIAR JURIDICO</v>
      </c>
      <c r="E2572" s="5" t="str">
        <f>IFERROR(VLOOKUP(A2572,'Base Prueba'!A:E,5,),"NO REGISTRA")</f>
        <v>SECRETARIA GENERAL</v>
      </c>
    </row>
    <row r="2573" spans="1:5" ht="15.75" x14ac:dyDescent="0.25">
      <c r="A2573" s="10">
        <v>53089882</v>
      </c>
      <c r="B2573" s="2">
        <v>46071.374272800924</v>
      </c>
      <c r="C2573" s="3" t="str">
        <f>IFERROR(VLOOKUP(A2573,'Base Prueba'!A:C,3,),"NO REGISTRA")</f>
        <v>MARIA JOHANA ESCAMILLA MARTINEZ</v>
      </c>
      <c r="D2573" s="4" t="str">
        <f>IFERROR(VLOOKUP(A2573,'Base Prueba'!A:D,4,),"NO REGISTRA")</f>
        <v>PROMOTOR DE INFORMACIÓN</v>
      </c>
      <c r="E2573" s="5" t="str">
        <f>IFERROR(VLOOKUP(A2573,'Base Prueba'!A:E,5,),"NO REGISTRA")</f>
        <v>OFICINA DE MERCADEO</v>
      </c>
    </row>
    <row r="2574" spans="1:5" ht="15.75" x14ac:dyDescent="0.25">
      <c r="A2574" s="10">
        <v>1023961952</v>
      </c>
      <c r="B2574" s="2">
        <v>46071.375140046293</v>
      </c>
      <c r="C2574" s="3" t="str">
        <f>IFERROR(VLOOKUP(A2574,'Base Prueba'!A:C,3,),"NO REGISTRA")</f>
        <v>ALEJANDRO PINZON MERCHAN</v>
      </c>
      <c r="D2574" s="4" t="str">
        <f>IFERROR(VLOOKUP(A2574,'Base Prueba'!A:D,4,),"NO REGISTRA")</f>
        <v>PROMOTOR CALL CENTER</v>
      </c>
      <c r="E2574" s="5" t="str">
        <f>IFERROR(VLOOKUP(A2574,'Base Prueba'!A:E,5,),"NO REGISTRA")</f>
        <v>OFICINA DE MERCADEO</v>
      </c>
    </row>
    <row r="2575" spans="1:5" ht="15.75" x14ac:dyDescent="0.25">
      <c r="A2575" s="10">
        <v>1018414290</v>
      </c>
      <c r="B2575" s="2">
        <v>46071.376758333332</v>
      </c>
      <c r="C2575" s="3" t="str">
        <f>IFERROR(VLOOKUP(A2575,'Base Prueba'!A:C,3,),"NO REGISTRA")</f>
        <v>AMANDA LISBETH RODRIGUEZ LEON</v>
      </c>
      <c r="D2575" s="4" t="str">
        <f>IFERROR(VLOOKUP(A2575,'Base Prueba'!A:D,4,),"NO REGISTRA")</f>
        <v>PROMOTOR CALL CENTER</v>
      </c>
      <c r="E2575" s="5" t="str">
        <f>IFERROR(VLOOKUP(A2575,'Base Prueba'!A:E,5,),"NO REGISTRA")</f>
        <v>OFICINA DE MERCADEO</v>
      </c>
    </row>
    <row r="2576" spans="1:5" ht="15.75" x14ac:dyDescent="0.25">
      <c r="A2576" s="10">
        <v>1019105003</v>
      </c>
      <c r="B2576" s="2">
        <v>46071.37680150463</v>
      </c>
      <c r="C2576" s="3" t="str">
        <f>IFERROR(VLOOKUP(A2576,'Base Prueba'!A:C,3,),"NO REGISTRA")</f>
        <v>DAISY JULIETH GASPAR MORENO</v>
      </c>
      <c r="D2576" s="4" t="str">
        <f>IFERROR(VLOOKUP(A2576,'Base Prueba'!A:D,4,),"NO REGISTRA")</f>
        <v>PROMOTOR CALL CENTER</v>
      </c>
      <c r="E2576" s="5" t="str">
        <f>IFERROR(VLOOKUP(A2576,'Base Prueba'!A:E,5,),"NO REGISTRA")</f>
        <v>OFICINA DE MERCADEO</v>
      </c>
    </row>
    <row r="2577" spans="1:5" ht="15.75" x14ac:dyDescent="0.25">
      <c r="A2577" s="10">
        <v>1014196857</v>
      </c>
      <c r="B2577" s="2">
        <v>46071.380421643516</v>
      </c>
      <c r="C2577" s="3" t="str">
        <f>IFERROR(VLOOKUP(A2577,'Base Prueba'!A:C,3,),"NO REGISTRA")</f>
        <v>CARLOS ANDRES JIMENEZ PARDO</v>
      </c>
      <c r="D2577" s="4" t="str">
        <f>IFERROR(VLOOKUP(A2577,'Base Prueba'!A:D,4,),"NO REGISTRA")</f>
        <v>COORDINADOR DE MARKETING DIGITAL</v>
      </c>
      <c r="E2577" s="5" t="str">
        <f>IFERROR(VLOOKUP(A2577,'Base Prueba'!A:E,5,),"NO REGISTRA")</f>
        <v>OFICINA DE MERCADEO</v>
      </c>
    </row>
    <row r="2578" spans="1:5" ht="15.75" x14ac:dyDescent="0.25">
      <c r="A2578" s="10">
        <v>52764929</v>
      </c>
      <c r="B2578" s="2">
        <v>46071.384406944446</v>
      </c>
      <c r="C2578" s="3" t="str">
        <f>IFERROR(VLOOKUP(A2578,'Base Prueba'!A:C,3,),"NO REGISTRA")</f>
        <v>GUERLY YOHANA DURAN RIVERA</v>
      </c>
      <c r="D2578" s="4" t="str">
        <f>IFERROR(VLOOKUP(A2578,'Base Prueba'!A:D,4,),"NO REGISTRA")</f>
        <v>LIDER DE VINCULACION COLEGIOS</v>
      </c>
      <c r="E2578" s="5" t="str">
        <f>IFERROR(VLOOKUP(A2578,'Base Prueba'!A:E,5,),"NO REGISTRA")</f>
        <v>OFICINA DE MERCADEO</v>
      </c>
    </row>
    <row r="2579" spans="1:5" ht="15.75" x14ac:dyDescent="0.25">
      <c r="A2579" s="10">
        <v>52175674</v>
      </c>
      <c r="B2579" s="2">
        <v>46071.384859027778</v>
      </c>
      <c r="C2579" s="3" t="str">
        <f>IFERROR(VLOOKUP(A2579,'Base Prueba'!A:C,3,),"NO REGISTRA")</f>
        <v>LUZ YANETH GOMEZ AREVALO</v>
      </c>
      <c r="D2579" s="4" t="str">
        <f>IFERROR(VLOOKUP(A2579,'Base Prueba'!A:D,4,),"NO REGISTRA")</f>
        <v>COORDINADORA DE ADMISIONES</v>
      </c>
      <c r="E2579" s="5" t="str">
        <f>IFERROR(VLOOKUP(A2579,'Base Prueba'!A:E,5,),"NO REGISTRA")</f>
        <v>OFICINA DE MERCADEO</v>
      </c>
    </row>
    <row r="2580" spans="1:5" ht="15.75" x14ac:dyDescent="0.25">
      <c r="A2580" s="10">
        <v>1193265768</v>
      </c>
      <c r="B2580" s="2">
        <v>46071.38529421296</v>
      </c>
      <c r="C2580" s="3" t="str">
        <f>IFERROR(VLOOKUP(A2580,'Base Prueba'!A:C,3,),"NO REGISTRA")</f>
        <v>SANTIAGO OSORIO CAMACHO</v>
      </c>
      <c r="D2580" s="4" t="str">
        <f>IFERROR(VLOOKUP(A2580,'Base Prueba'!A:D,4,),"NO REGISTRA")</f>
        <v>ANALISTA DE PAUTA</v>
      </c>
      <c r="E2580" s="5" t="str">
        <f>IFERROR(VLOOKUP(A2580,'Base Prueba'!A:E,5,),"NO REGISTRA")</f>
        <v>OFICINA DE MERCADEO</v>
      </c>
    </row>
    <row r="2581" spans="1:5" ht="15.75" x14ac:dyDescent="0.25">
      <c r="A2581" s="10">
        <v>1000161811</v>
      </c>
      <c r="B2581" s="2">
        <v>46071.400645717593</v>
      </c>
      <c r="C2581" s="3" t="str">
        <f>IFERROR(VLOOKUP(A2581,'Base Prueba'!A:C,3,),"NO REGISTRA")</f>
        <v>DIEGO ANDRES VARON ROZO</v>
      </c>
      <c r="D2581" s="4" t="str">
        <f>IFERROR(VLOOKUP(A2581,'Base Prueba'!A:D,4,),"NO REGISTRA")</f>
        <v>APRENDIZ UNIVERSITARIO</v>
      </c>
      <c r="E2581" s="5" t="str">
        <f>IFERROR(VLOOKUP(A2581,'Base Prueba'!A:E,5,),"NO REGISTRA")</f>
        <v>OFICINA DE MERCADEO</v>
      </c>
    </row>
    <row r="2582" spans="1:5" ht="15.75" x14ac:dyDescent="0.25">
      <c r="A2582" s="10">
        <v>1013616244</v>
      </c>
      <c r="B2582" s="2">
        <v>46071.541526851855</v>
      </c>
      <c r="C2582" s="3" t="str">
        <f>IFERROR(VLOOKUP(A2582,'Base Prueba'!A:C,3,),"NO REGISTRA")</f>
        <v>DIANA CAROLINA MARIN BETANCOURT</v>
      </c>
      <c r="D2582" s="4" t="str">
        <f>IFERROR(VLOOKUP(A2582,'Base Prueba'!A:D,4,),"NO REGISTRA")</f>
        <v>AUXILIAR ADMINISTRATIVO</v>
      </c>
      <c r="E2582" s="5" t="str">
        <f>IFERROR(VLOOKUP(A2582,'Base Prueba'!A:E,5,),"NO REGISTRA")</f>
        <v>REGISTRO Y CONTROL ACADEMICO</v>
      </c>
    </row>
    <row r="2583" spans="1:5" ht="15.75" x14ac:dyDescent="0.25">
      <c r="A2583" s="10">
        <v>52443092</v>
      </c>
      <c r="B2583" s="2">
        <v>46071.541612384259</v>
      </c>
      <c r="C2583" s="3" t="str">
        <f>IFERROR(VLOOKUP(A2583,'Base Prueba'!A:C,3,),"NO REGISTRA")</f>
        <v>LUZ MYRIAM SAAVEDRA CONTRERAS</v>
      </c>
      <c r="D2583" s="4" t="str">
        <f>IFERROR(VLOOKUP(A2583,'Base Prueba'!A:D,4,),"NO REGISTRA")</f>
        <v>AUXILIAR DE SERVICIOS</v>
      </c>
      <c r="E2583" s="5" t="str">
        <f>IFERROR(VLOOKUP(A2583,'Base Prueba'!A:E,5,),"NO REGISTRA")</f>
        <v>LOGISTICA Y SERVICIOS GENERALES</v>
      </c>
    </row>
    <row r="2584" spans="1:5" ht="15.75" x14ac:dyDescent="0.25">
      <c r="A2584" s="10">
        <v>1032407386</v>
      </c>
      <c r="B2584" s="2">
        <v>46071.648041782406</v>
      </c>
      <c r="C2584" s="3" t="str">
        <f>IFERROR(VLOOKUP(A2584,'Base Prueba'!A:C,3,),"NO REGISTRA")</f>
        <v>GINA PAOLA BAEZ GALVIS</v>
      </c>
      <c r="D2584" s="4" t="str">
        <f>IFERROR(VLOOKUP(A2584,'Base Prueba'!A:D,4,),"NO REGISTRA")</f>
        <v>PROMOTOR CALL CENTER</v>
      </c>
      <c r="E2584" s="5" t="str">
        <f>IFERROR(VLOOKUP(A2584,'Base Prueba'!A:E,5,),"NO REGISTRA")</f>
        <v>OFICINA DE MERCADEO</v>
      </c>
    </row>
    <row r="2585" spans="1:5" ht="15.75" x14ac:dyDescent="0.25">
      <c r="A2585" s="10">
        <v>1031802160</v>
      </c>
      <c r="B2585" s="2">
        <v>46071.707050694444</v>
      </c>
      <c r="C2585" s="3" t="str">
        <f>IFERROR(VLOOKUP(A2585,'Base Prueba'!A:C,3,),"NO REGISTRA")</f>
        <v>LUISA MARIA MAHECHA SOTOMAYOR</v>
      </c>
      <c r="D2585" s="4" t="str">
        <f>IFERROR(VLOOKUP(A2585,'Base Prueba'!A:D,4,),"NO REGISTRA")</f>
        <v>APRENDIZ UNIVERSITARIO</v>
      </c>
      <c r="E2585" s="5" t="str">
        <f>IFERROR(VLOOKUP(A2585,'Base Prueba'!A:E,5,),"NO REGISTRA")</f>
        <v>OFICINA DE MERCADEO</v>
      </c>
    </row>
    <row r="2586" spans="1:5" ht="15.75" x14ac:dyDescent="0.25">
      <c r="A2586" s="10">
        <v>1087121273</v>
      </c>
      <c r="B2586" s="2">
        <v>46071.717755092592</v>
      </c>
      <c r="C2586" s="3" t="str">
        <f>IFERROR(VLOOKUP(A2586,'Base Prueba'!A:C,3,),"NO REGISTRA")</f>
        <v>MAYRA ALEJANDRA CASTILLO ARBOLEDA</v>
      </c>
      <c r="D2586" s="4" t="str">
        <f>IFERROR(VLOOKUP(A2586,'Base Prueba'!A:D,4,),"NO REGISTRA")</f>
        <v>APOYO INTEGRAL DE MERCADEO</v>
      </c>
      <c r="E2586" s="5" t="str">
        <f>IFERROR(VLOOKUP(A2586,'Base Prueba'!A:E,5,),"NO REGISTRA")</f>
        <v>CENTRO DE GESTION DOCUMENTAL</v>
      </c>
    </row>
    <row r="2587" spans="1:5" ht="15.75" x14ac:dyDescent="0.25">
      <c r="A2587" s="10">
        <v>1024505434</v>
      </c>
      <c r="B2587" s="2">
        <v>46071.722980439816</v>
      </c>
      <c r="C2587" s="3" t="str">
        <f>IFERROR(VLOOKUP(A2587,'Base Prueba'!A:C,3,),"NO REGISTRA")</f>
        <v>CRISTIAN ALBERTO MELO TORRES</v>
      </c>
      <c r="D2587" s="4" t="str">
        <f>IFERROR(VLOOKUP(A2587,'Base Prueba'!A:D,4,),"NO REGISTRA")</f>
        <v>COORDINADOR DE INFRAESTRUCTURA</v>
      </c>
      <c r="E2587" s="5" t="str">
        <f>IFERROR(VLOOKUP(A2587,'Base Prueba'!A:E,5,),"NO REGISTRA")</f>
        <v>VICERRECTORIA ADMINISTRATIVA Y FINANCIERA</v>
      </c>
    </row>
    <row r="2588" spans="1:5" ht="15.75" x14ac:dyDescent="0.25">
      <c r="A2588" s="10">
        <v>1000467399</v>
      </c>
      <c r="B2588" s="2">
        <v>46071.752428356478</v>
      </c>
      <c r="C2588" s="3" t="str">
        <f>IFERROR(VLOOKUP(A2588,'Base Prueba'!A:C,3,),"NO REGISTRA")</f>
        <v>BRANDO ESTIVEN DIAZ QUIMBAYA</v>
      </c>
      <c r="D2588" s="4" t="str">
        <f>IFERROR(VLOOKUP(A2588,'Base Prueba'!A:D,4,),"NO REGISTRA")</f>
        <v>APRENDIZ UNIVERSITARIO</v>
      </c>
      <c r="E2588" s="5" t="str">
        <f>IFERROR(VLOOKUP(A2588,'Base Prueba'!A:E,5,),"NO REGISTRA")</f>
        <v>DEPARTAMENTO DE GESTION HUMANA</v>
      </c>
    </row>
    <row r="2589" spans="1:5" ht="15.75" x14ac:dyDescent="0.25">
      <c r="A2589" s="10">
        <v>1049644802</v>
      </c>
      <c r="B2589" s="2">
        <v>46071.753375231485</v>
      </c>
      <c r="C2589" s="3" t="str">
        <f>IFERROR(VLOOKUP(A2589,'Base Prueba'!A:C,3,),"NO REGISTRA")</f>
        <v>DANIELA ALEXANDRA CIPAMOCHA BOSIGA</v>
      </c>
      <c r="D2589" s="4" t="str">
        <f>IFERROR(VLOOKUP(A2589,'Base Prueba'!A:D,4,),"NO REGISTRA")</f>
        <v>LIDER DE DATOS Y SERVICIOS</v>
      </c>
      <c r="E2589" s="5" t="str">
        <f>IFERROR(VLOOKUP(A2589,'Base Prueba'!A:E,5,),"NO REGISTRA")</f>
        <v>OFICINA DE PLANEACION Y GESTION DE LA CALIDAD</v>
      </c>
    </row>
    <row r="2590" spans="1:5" ht="15.75" x14ac:dyDescent="0.25">
      <c r="A2590" s="10">
        <v>80238161</v>
      </c>
      <c r="B2590" s="2">
        <v>46071.754428819448</v>
      </c>
      <c r="C2590" s="3" t="str">
        <f>IFERROR(VLOOKUP(A2590,'Base Prueba'!A:C,3,),"NO REGISTRA")</f>
        <v>GERMAN CARRANZA ESPITIA</v>
      </c>
      <c r="D2590" s="4" t="str">
        <f>IFERROR(VLOOKUP(A2590,'Base Prueba'!A:D,4,),"NO REGISTRA")</f>
        <v>TESORERO</v>
      </c>
      <c r="E2590" s="5" t="str">
        <f>IFERROR(VLOOKUP(A2590,'Base Prueba'!A:E,5,),"NO REGISTRA")</f>
        <v>AREA FINANCIERA Y CONTABLE</v>
      </c>
    </row>
    <row r="2591" spans="1:5" ht="15.75" x14ac:dyDescent="0.25">
      <c r="A2591" s="10">
        <v>1022996882</v>
      </c>
      <c r="B2591" s="2">
        <v>46071.754596064813</v>
      </c>
      <c r="C2591" s="3" t="str">
        <f>IFERROR(VLOOKUP(A2591,'Base Prueba'!A:C,3,),"NO REGISTRA")</f>
        <v>NANCY BRIGITH ALDANA GUEVARA</v>
      </c>
      <c r="D2591" s="4" t="str">
        <f>IFERROR(VLOOKUP(A2591,'Base Prueba'!A:D,4,),"NO REGISTRA")</f>
        <v>COORDINADORA DE GESTIÓN HUMANA</v>
      </c>
      <c r="E2591" s="5" t="str">
        <f>IFERROR(VLOOKUP(A2591,'Base Prueba'!A:E,5,),"NO REGISTRA")</f>
        <v>DEPARTAMENTO DE GESTION HUMANA</v>
      </c>
    </row>
    <row r="2592" spans="1:5" ht="15.75" x14ac:dyDescent="0.25">
      <c r="A2592" s="10">
        <v>1193457976</v>
      </c>
      <c r="B2592" s="2">
        <v>46071.755445949071</v>
      </c>
      <c r="C2592" s="3" t="str">
        <f>IFERROR(VLOOKUP(A2592,'Base Prueba'!A:C,3,),"NO REGISTRA")</f>
        <v>SEDENIS RIVAS ASPRILLA</v>
      </c>
      <c r="D2592" s="4" t="str">
        <f>IFERROR(VLOOKUP(A2592,'Base Prueba'!A:D,4,),"NO REGISTRA")</f>
        <v>APRENDIZ UNIVERSITARIO</v>
      </c>
      <c r="E2592" s="5" t="str">
        <f>IFERROR(VLOOKUP(A2592,'Base Prueba'!A:E,5,),"NO REGISTRA")</f>
        <v>DEPARTAMENTO DE GESTION HUMANA</v>
      </c>
    </row>
    <row r="2593" spans="1:5" ht="15.75" x14ac:dyDescent="0.25">
      <c r="A2593" s="10">
        <v>1000593372</v>
      </c>
      <c r="B2593" s="2">
        <v>46071.756275115738</v>
      </c>
      <c r="C2593" s="3" t="str">
        <f>IFERROR(VLOOKUP(A2593,'Base Prueba'!A:C,3,),"NO REGISTRA")</f>
        <v>LAURA SOFIA CHAPARRO LOPEZ</v>
      </c>
      <c r="D2593" s="4" t="str">
        <f>IFERROR(VLOOKUP(A2593,'Base Prueba'!A:D,4,),"NO REGISTRA")</f>
        <v>AUXILIAR JURIDICO</v>
      </c>
      <c r="E2593" s="5" t="str">
        <f>IFERROR(VLOOKUP(A2593,'Base Prueba'!A:E,5,),"NO REGISTRA")</f>
        <v>SECRETARIA GENERAL</v>
      </c>
    </row>
    <row r="2594" spans="1:5" ht="15.75" x14ac:dyDescent="0.25">
      <c r="A2594" s="10">
        <v>1023883232</v>
      </c>
      <c r="B2594" s="2">
        <v>46071.756516898145</v>
      </c>
      <c r="C2594" s="3" t="str">
        <f>IFERROR(VLOOKUP(A2594,'Base Prueba'!A:C,3,),"NO REGISTRA")</f>
        <v>MONICA ANDREA ACERO URBANO</v>
      </c>
      <c r="D2594" s="4" t="str">
        <f>IFERROR(VLOOKUP(A2594,'Base Prueba'!A:D,4,),"NO REGISTRA")</f>
        <v>APOYO INTEGRAL A GESTION HUMANA</v>
      </c>
      <c r="E2594" s="5" t="str">
        <f>IFERROR(VLOOKUP(A2594,'Base Prueba'!A:E,5,),"NO REGISTRA")</f>
        <v>DEPARTAMENTO DE GESTION HUMANA</v>
      </c>
    </row>
    <row r="2595" spans="1:5" ht="15.75" x14ac:dyDescent="0.25">
      <c r="A2595" s="10">
        <v>1014308296</v>
      </c>
      <c r="B2595" s="2">
        <v>46071.757576388889</v>
      </c>
      <c r="C2595" s="3" t="str">
        <f>IFERROR(VLOOKUP(A2595,'Base Prueba'!A:C,3,),"NO REGISTRA")</f>
        <v>DARLENE YULIANA MORENO CELEITA</v>
      </c>
      <c r="D2595" s="4" t="str">
        <f>IFERROR(VLOOKUP(A2595,'Base Prueba'!A:D,4,),"NO REGISTRA")</f>
        <v>CAJERO PRINCIPAL</v>
      </c>
      <c r="E2595" s="5" t="str">
        <f>IFERROR(VLOOKUP(A2595,'Base Prueba'!A:E,5,),"NO REGISTRA")</f>
        <v>AREA FINANCIERA Y CONTABLE</v>
      </c>
    </row>
    <row r="2596" spans="1:5" ht="15.75" x14ac:dyDescent="0.25">
      <c r="A2596" s="10">
        <v>1014977624</v>
      </c>
      <c r="B2596" s="2">
        <v>46071.758445254629</v>
      </c>
      <c r="C2596" s="3" t="str">
        <f>IFERROR(VLOOKUP(A2596,'Base Prueba'!A:C,3,),"NO REGISTRA")</f>
        <v>NICCOLE VALENTINA HERNANDEZ MALAVER</v>
      </c>
      <c r="D2596" s="4" t="str">
        <f>IFERROR(VLOOKUP(A2596,'Base Prueba'!A:D,4,),"NO REGISTRA")</f>
        <v>APRENDIZ UNIVERSITARIO</v>
      </c>
      <c r="E2596" s="5" t="str">
        <f>IFERROR(VLOOKUP(A2596,'Base Prueba'!A:E,5,),"NO REGISTRA")</f>
        <v>AREA FINANCIERA Y CONTABLE</v>
      </c>
    </row>
    <row r="2597" spans="1:5" ht="15.75" x14ac:dyDescent="0.25">
      <c r="A2597" s="10">
        <v>1000457706</v>
      </c>
      <c r="B2597" s="2">
        <v>46071.758825925928</v>
      </c>
      <c r="C2597" s="3" t="str">
        <f>IFERROR(VLOOKUP(A2597,'Base Prueba'!A:C,3,),"NO REGISTRA")</f>
        <v>CRISTIAN DANILO ARROYO SANABRIA</v>
      </c>
      <c r="D2597" s="4" t="str">
        <f>IFERROR(VLOOKUP(A2597,'Base Prueba'!A:D,4,),"NO REGISTRA")</f>
        <v>AUXILIAR CONTABLE</v>
      </c>
      <c r="E2597" s="5" t="str">
        <f>IFERROR(VLOOKUP(A2597,'Base Prueba'!A:E,5,),"NO REGISTRA")</f>
        <v>AREA FINANCIERA Y CONTABLE</v>
      </c>
    </row>
    <row r="2598" spans="1:5" ht="15.75" x14ac:dyDescent="0.25">
      <c r="A2598" s="10">
        <v>1000257136</v>
      </c>
      <c r="B2598" s="2">
        <v>46071.75886840278</v>
      </c>
      <c r="C2598" s="3" t="str">
        <f>IFERROR(VLOOKUP(A2598,'Base Prueba'!A:C,3,),"NO REGISTRA")</f>
        <v>FRANCI VALENTINA CANO PUENTES</v>
      </c>
      <c r="D2598" s="4" t="str">
        <f>IFERROR(VLOOKUP(A2598,'Base Prueba'!A:D,4,),"NO REGISTRA")</f>
        <v>AUXILIAR CONTABLE</v>
      </c>
      <c r="E2598" s="5" t="str">
        <f>IFERROR(VLOOKUP(A2598,'Base Prueba'!A:E,5,),"NO REGISTRA")</f>
        <v>AREA FINANCIERA Y CONTABLE</v>
      </c>
    </row>
    <row r="2599" spans="1:5" ht="15.75" x14ac:dyDescent="0.25">
      <c r="A2599" s="10">
        <v>53932358</v>
      </c>
      <c r="B2599" s="2">
        <v>46071.759822337961</v>
      </c>
      <c r="C2599" s="3" t="str">
        <f>IFERROR(VLOOKUP(A2599,'Base Prueba'!A:C,3,),"NO REGISTRA")</f>
        <v>DIANA MADELEYNE GAONA RODRIGUEZ</v>
      </c>
      <c r="D2599" s="4" t="str">
        <f>IFERROR(VLOOKUP(A2599,'Base Prueba'!A:D,4,),"NO REGISTRA")</f>
        <v>CONTADOR</v>
      </c>
      <c r="E2599" s="5" t="str">
        <f>IFERROR(VLOOKUP(A2599,'Base Prueba'!A:E,5,),"NO REGISTRA")</f>
        <v>AREA FINANCIERA Y CONTABLE</v>
      </c>
    </row>
    <row r="2600" spans="1:5" ht="15.75" x14ac:dyDescent="0.25">
      <c r="A2600" s="10">
        <v>1000324729</v>
      </c>
      <c r="B2600" s="2">
        <v>46071.760078935185</v>
      </c>
      <c r="C2600" s="3" t="str">
        <f>IFERROR(VLOOKUP(A2600,'Base Prueba'!A:C,3,),"NO REGISTRA")</f>
        <v>ANYIE VANESSA TINOCO CAMACHO</v>
      </c>
      <c r="D2600" s="4" t="str">
        <f>IFERROR(VLOOKUP(A2600,'Base Prueba'!A:D,4,),"NO REGISTRA")</f>
        <v>LIDER DE REGISTRO Y CONTROL</v>
      </c>
      <c r="E2600" s="5" t="str">
        <f>IFERROR(VLOOKUP(A2600,'Base Prueba'!A:E,5,),"NO REGISTRA")</f>
        <v>REGISTRO Y CONTROL ACADEMICO</v>
      </c>
    </row>
    <row r="2601" spans="1:5" ht="15.75" x14ac:dyDescent="0.25">
      <c r="A2601" s="10">
        <v>1026599257</v>
      </c>
      <c r="B2601" s="2">
        <v>46071.765238657405</v>
      </c>
      <c r="C2601" s="3" t="str">
        <f>IFERROR(VLOOKUP(A2601,'Base Prueba'!A:C,3,),"NO REGISTRA")</f>
        <v>YESENIA PAOLA PINEDA HURTADO</v>
      </c>
      <c r="D2601" s="4" t="str">
        <f>IFERROR(VLOOKUP(A2601,'Base Prueba'!A:D,4,),"NO REGISTRA")</f>
        <v>LIDER DE COMPRAS</v>
      </c>
      <c r="E2601" s="5" t="str">
        <f>IFERROR(VLOOKUP(A2601,'Base Prueba'!A:E,5,),"NO REGISTRA")</f>
        <v>AREA ADMINISTRATIVA</v>
      </c>
    </row>
    <row r="2602" spans="1:5" ht="15.75" x14ac:dyDescent="0.25">
      <c r="A2602" s="10">
        <v>1000687931</v>
      </c>
      <c r="B2602" s="2">
        <v>46071.767101736114</v>
      </c>
      <c r="C2602" s="3" t="str">
        <f>IFERROR(VLOOKUP(A2602,'Base Prueba'!A:C,3,),"NO REGISTRA")</f>
        <v>ANDRES FELIPE PUENTES TORRES</v>
      </c>
      <c r="D2602" s="4" t="str">
        <f>IFERROR(VLOOKUP(A2602,'Base Prueba'!A:D,4,),"NO REGISTRA")</f>
        <v>AUXILIAR ADMINISTRATIVO</v>
      </c>
      <c r="E2602" s="5" t="str">
        <f>IFERROR(VLOOKUP(A2602,'Base Prueba'!A:E,5,),"NO REGISTRA")</f>
        <v>REGISTRO Y CONTROL ACADEMICO</v>
      </c>
    </row>
    <row r="2603" spans="1:5" ht="15.75" x14ac:dyDescent="0.25">
      <c r="A2603" s="10">
        <v>1012426741</v>
      </c>
      <c r="B2603" s="2">
        <v>46071.770870138891</v>
      </c>
      <c r="C2603" s="3" t="str">
        <f>IFERROR(VLOOKUP(A2603,'Base Prueba'!A:C,3,),"NO REGISTRA")</f>
        <v>CRISTIAN FABIAN ROJAS SANCENO</v>
      </c>
      <c r="D2603" s="4" t="str">
        <f>IFERROR(VLOOKUP(A2603,'Base Prueba'!A:D,4,),"NO REGISTRA")</f>
        <v>AUXILIAR DE REINTEGROS</v>
      </c>
      <c r="E2603" s="5" t="str">
        <f>IFERROR(VLOOKUP(A2603,'Base Prueba'!A:E,5,),"NO REGISTRA")</f>
        <v>DIRECCION DE BIENESTAR INSTITUCIONAL</v>
      </c>
    </row>
    <row r="2604" spans="1:5" ht="15.75" x14ac:dyDescent="0.25">
      <c r="A2604" s="10">
        <v>28798349</v>
      </c>
      <c r="B2604" s="2">
        <v>46071.772997685184</v>
      </c>
      <c r="C2604" s="3" t="str">
        <f>IFERROR(VLOOKUP(A2604,'Base Prueba'!A:C,3,),"NO REGISTRA")</f>
        <v>MARTHA ISABEL TOVAR WILLIAMS</v>
      </c>
      <c r="D2604" s="4" t="str">
        <f>IFERROR(VLOOKUP(A2604,'Base Prueba'!A:D,4,),"NO REGISTRA")</f>
        <v>PROMOTOR CALL CENTER</v>
      </c>
      <c r="E2604" s="5" t="str">
        <f>IFERROR(VLOOKUP(A2604,'Base Prueba'!A:E,5,),"NO REGISTRA")</f>
        <v>OFICINA DE MERCADEO</v>
      </c>
    </row>
    <row r="2605" spans="1:5" ht="15.75" x14ac:dyDescent="0.25">
      <c r="A2605" s="10">
        <v>1000046533</v>
      </c>
      <c r="B2605" s="2">
        <v>46071.773089351853</v>
      </c>
      <c r="C2605" s="3" t="str">
        <f>IFERROR(VLOOKUP(A2605,'Base Prueba'!A:C,3,),"NO REGISTRA")</f>
        <v>ERIKA JULIETH VALDERRAMA SANCHEZ</v>
      </c>
      <c r="D2605" s="4" t="str">
        <f>IFERROR(VLOOKUP(A2605,'Base Prueba'!A:D,4,),"NO REGISTRA")</f>
        <v>PROMOTOR CALL CENTER</v>
      </c>
      <c r="E2605" s="5" t="str">
        <f>IFERROR(VLOOKUP(A2605,'Base Prueba'!A:E,5,),"NO REGISTRA")</f>
        <v>OFICINA DE MERCADEO</v>
      </c>
    </row>
    <row r="2606" spans="1:5" ht="15.75" x14ac:dyDescent="0.25">
      <c r="A2606" s="10">
        <v>1018414290</v>
      </c>
      <c r="B2606" s="2">
        <v>46071.773110300928</v>
      </c>
      <c r="C2606" s="3" t="str">
        <f>IFERROR(VLOOKUP(A2606,'Base Prueba'!A:C,3,),"NO REGISTRA")</f>
        <v>AMANDA LISBETH RODRIGUEZ LEON</v>
      </c>
      <c r="D2606" s="4" t="str">
        <f>IFERROR(VLOOKUP(A2606,'Base Prueba'!A:D,4,),"NO REGISTRA")</f>
        <v>PROMOTOR CALL CENTER</v>
      </c>
      <c r="E2606" s="5" t="str">
        <f>IFERROR(VLOOKUP(A2606,'Base Prueba'!A:E,5,),"NO REGISTRA")</f>
        <v>OFICINA DE MERCADEO</v>
      </c>
    </row>
    <row r="2607" spans="1:5" ht="15.75" x14ac:dyDescent="0.25">
      <c r="A2607" s="10">
        <v>52472386</v>
      </c>
      <c r="B2607" s="2">
        <v>46071.773423726852</v>
      </c>
      <c r="C2607" s="3" t="str">
        <f>IFERROR(VLOOKUP(A2607,'Base Prueba'!A:C,3,),"NO REGISTRA")</f>
        <v>ADRIANA MARCELA MORALES PARDO</v>
      </c>
      <c r="D2607" s="4" t="str">
        <f>IFERROR(VLOOKUP(A2607,'Base Prueba'!A:D,4,),"NO REGISTRA")</f>
        <v>PROMOTOR CALL CENTER</v>
      </c>
      <c r="E2607" s="5" t="str">
        <f>IFERROR(VLOOKUP(A2607,'Base Prueba'!A:E,5,),"NO REGISTRA")</f>
        <v>OFICINA DE MERCADEO</v>
      </c>
    </row>
    <row r="2608" spans="1:5" ht="15.75" x14ac:dyDescent="0.25">
      <c r="A2608" s="10">
        <v>52175674</v>
      </c>
      <c r="B2608" s="2">
        <v>46071.773656249999</v>
      </c>
      <c r="C2608" s="3" t="str">
        <f>IFERROR(VLOOKUP(A2608,'Base Prueba'!A:C,3,),"NO REGISTRA")</f>
        <v>LUZ YANETH GOMEZ AREVALO</v>
      </c>
      <c r="D2608" s="4" t="str">
        <f>IFERROR(VLOOKUP(A2608,'Base Prueba'!A:D,4,),"NO REGISTRA")</f>
        <v>COORDINADORA DE ADMISIONES</v>
      </c>
      <c r="E2608" s="5" t="str">
        <f>IFERROR(VLOOKUP(A2608,'Base Prueba'!A:E,5,),"NO REGISTRA")</f>
        <v>OFICINA DE MERCADEO</v>
      </c>
    </row>
    <row r="2609" spans="1:5" ht="15.75" x14ac:dyDescent="0.25">
      <c r="A2609" s="10">
        <v>1019105003</v>
      </c>
      <c r="B2609" s="2">
        <v>46071.774000231482</v>
      </c>
      <c r="C2609" s="3" t="str">
        <f>IFERROR(VLOOKUP(A2609,'Base Prueba'!A:C,3,),"NO REGISTRA")</f>
        <v>DAISY JULIETH GASPAR MORENO</v>
      </c>
      <c r="D2609" s="4" t="str">
        <f>IFERROR(VLOOKUP(A2609,'Base Prueba'!A:D,4,),"NO REGISTRA")</f>
        <v>PROMOTOR CALL CENTER</v>
      </c>
      <c r="E2609" s="5" t="str">
        <f>IFERROR(VLOOKUP(A2609,'Base Prueba'!A:E,5,),"NO REGISTRA")</f>
        <v>OFICINA DE MERCADEO</v>
      </c>
    </row>
    <row r="2610" spans="1:5" ht="15.75" x14ac:dyDescent="0.25">
      <c r="A2610" s="10">
        <v>52764929</v>
      </c>
      <c r="B2610" s="2">
        <v>46071.774708217592</v>
      </c>
      <c r="C2610" s="3" t="str">
        <f>IFERROR(VLOOKUP(A2610,'Base Prueba'!A:C,3,),"NO REGISTRA")</f>
        <v>GUERLY YOHANA DURAN RIVERA</v>
      </c>
      <c r="D2610" s="4" t="str">
        <f>IFERROR(VLOOKUP(A2610,'Base Prueba'!A:D,4,),"NO REGISTRA")</f>
        <v>LIDER DE VINCULACION COLEGIOS</v>
      </c>
      <c r="E2610" s="5" t="str">
        <f>IFERROR(VLOOKUP(A2610,'Base Prueba'!A:E,5,),"NO REGISTRA")</f>
        <v>OFICINA DE MERCADEO</v>
      </c>
    </row>
    <row r="2611" spans="1:5" ht="15.75" x14ac:dyDescent="0.25">
      <c r="A2611" s="10">
        <v>1033709056</v>
      </c>
      <c r="B2611" s="2">
        <v>46071.775870717589</v>
      </c>
      <c r="C2611" s="3" t="str">
        <f>IFERROR(VLOOKUP(A2611,'Base Prueba'!A:C,3,),"NO REGISTRA")</f>
        <v>YEIMY ALEXANDRA RODRIGUEZ PALACIO</v>
      </c>
      <c r="D2611" s="4" t="str">
        <f>IFERROR(VLOOKUP(A2611,'Base Prueba'!A:D,4,),"NO REGISTRA")</f>
        <v>PROMOTOR CALL CENTER</v>
      </c>
      <c r="E2611" s="5" t="str">
        <f>IFERROR(VLOOKUP(A2611,'Base Prueba'!A:E,5,),"NO REGISTRA")</f>
        <v>OFICINA DE MERCADEO</v>
      </c>
    </row>
    <row r="2612" spans="1:5" ht="15.75" x14ac:dyDescent="0.25">
      <c r="A2612" s="10">
        <v>1018413529</v>
      </c>
      <c r="B2612" s="2">
        <v>46071.780757175926</v>
      </c>
      <c r="C2612" s="3" t="str">
        <f>IFERROR(VLOOKUP(A2612,'Base Prueba'!A:C,3,),"NO REGISTRA")</f>
        <v>FRANCY STELLA CHARRY MORENO</v>
      </c>
      <c r="D2612" s="4" t="str">
        <f>IFERROR(VLOOKUP(A2612,'Base Prueba'!A:D,4,),"NO REGISTRA")</f>
        <v>PROMOTOR COMERCIAL DEL CEA</v>
      </c>
      <c r="E2612" s="5" t="str">
        <f>IFERROR(VLOOKUP(A2612,'Base Prueba'!A:E,5,),"NO REGISTRA")</f>
        <v>OFICINA DE MERCADEO</v>
      </c>
    </row>
    <row r="2613" spans="1:5" ht="15.75" x14ac:dyDescent="0.25">
      <c r="A2613" s="10">
        <v>53089882</v>
      </c>
      <c r="B2613" s="2">
        <v>46071.780904513886</v>
      </c>
      <c r="C2613" s="3" t="str">
        <f>IFERROR(VLOOKUP(A2613,'Base Prueba'!A:C,3,),"NO REGISTRA")</f>
        <v>MARIA JOHANA ESCAMILLA MARTINEZ</v>
      </c>
      <c r="D2613" s="4" t="str">
        <f>IFERROR(VLOOKUP(A2613,'Base Prueba'!A:D,4,),"NO REGISTRA")</f>
        <v>PROMOTOR DE INFORMACIÓN</v>
      </c>
      <c r="E2613" s="5" t="str">
        <f>IFERROR(VLOOKUP(A2613,'Base Prueba'!A:E,5,),"NO REGISTRA")</f>
        <v>OFICINA DE MERCADEO</v>
      </c>
    </row>
    <row r="2614" spans="1:5" ht="15.75" x14ac:dyDescent="0.25">
      <c r="A2614" s="10">
        <v>1023961952</v>
      </c>
      <c r="B2614" s="2">
        <v>46071.781089351854</v>
      </c>
      <c r="C2614" s="3" t="str">
        <f>IFERROR(VLOOKUP(A2614,'Base Prueba'!A:C,3,),"NO REGISTRA")</f>
        <v>ALEJANDRO PINZON MERCHAN</v>
      </c>
      <c r="D2614" s="4" t="str">
        <f>IFERROR(VLOOKUP(A2614,'Base Prueba'!A:D,4,),"NO REGISTRA")</f>
        <v>PROMOTOR CALL CENTER</v>
      </c>
      <c r="E2614" s="5" t="str">
        <f>IFERROR(VLOOKUP(A2614,'Base Prueba'!A:E,5,),"NO REGISTRA")</f>
        <v>OFICINA DE MERCADEO</v>
      </c>
    </row>
    <row r="2615" spans="1:5" ht="15.75" x14ac:dyDescent="0.25">
      <c r="A2615" s="10">
        <v>1014196857</v>
      </c>
      <c r="B2615" s="2">
        <v>46071.787974305553</v>
      </c>
      <c r="C2615" s="3" t="str">
        <f>IFERROR(VLOOKUP(A2615,'Base Prueba'!A:C,3,),"NO REGISTRA")</f>
        <v>CARLOS ANDRES JIMENEZ PARDO</v>
      </c>
      <c r="D2615" s="4" t="str">
        <f>IFERROR(VLOOKUP(A2615,'Base Prueba'!A:D,4,),"NO REGISTRA")</f>
        <v>COORDINADOR DE MARKETING DIGITAL</v>
      </c>
      <c r="E2615" s="5" t="str">
        <f>IFERROR(VLOOKUP(A2615,'Base Prueba'!A:E,5,),"NO REGISTRA")</f>
        <v>OFICINA DE MERCADEO</v>
      </c>
    </row>
    <row r="2616" spans="1:5" ht="15.75" x14ac:dyDescent="0.25">
      <c r="A2616" s="10">
        <v>1193265768</v>
      </c>
      <c r="B2616" s="2">
        <v>46071.788024421294</v>
      </c>
      <c r="C2616" s="3" t="str">
        <f>IFERROR(VLOOKUP(A2616,'Base Prueba'!A:C,3,),"NO REGISTRA")</f>
        <v>SANTIAGO OSORIO CAMACHO</v>
      </c>
      <c r="D2616" s="4" t="str">
        <f>IFERROR(VLOOKUP(A2616,'Base Prueba'!A:D,4,),"NO REGISTRA")</f>
        <v>ANALISTA DE PAUTA</v>
      </c>
      <c r="E2616" s="5" t="str">
        <f>IFERROR(VLOOKUP(A2616,'Base Prueba'!A:E,5,),"NO REGISTRA")</f>
        <v>OFICINA DE MERCADEO</v>
      </c>
    </row>
    <row r="2617" spans="1:5" ht="15.75" x14ac:dyDescent="0.25">
      <c r="A2617" s="10">
        <v>1000604979</v>
      </c>
      <c r="B2617" s="2">
        <v>46071.796677662038</v>
      </c>
      <c r="C2617" s="3" t="str">
        <f>IFERROR(VLOOKUP(A2617,'Base Prueba'!A:C,3,),"NO REGISTRA")</f>
        <v>JULIETH TATIANA PARDO PINTO</v>
      </c>
      <c r="D2617" s="4" t="str">
        <f>IFERROR(VLOOKUP(A2617,'Base Prueba'!A:D,4,),"NO REGISTRA")</f>
        <v>AUXILIAR JURIDICO</v>
      </c>
      <c r="E2617" s="5" t="str">
        <f>IFERROR(VLOOKUP(A2617,'Base Prueba'!A:E,5,),"NO REGISTRA")</f>
        <v>SECRETARIA GENERAL</v>
      </c>
    </row>
    <row r="2618" spans="1:5" ht="15.75" x14ac:dyDescent="0.25">
      <c r="A2618" s="10">
        <v>80234243</v>
      </c>
      <c r="B2618" s="2">
        <v>46071.799440972223</v>
      </c>
      <c r="C2618" s="3" t="str">
        <f>IFERROR(VLOOKUP(A2618,'Base Prueba'!A:C,3,),"NO REGISTRA")</f>
        <v>ARGENIS MARTINEZ MARTINEZ</v>
      </c>
      <c r="D2618" s="4" t="str">
        <f>IFERROR(VLOOKUP(A2618,'Base Prueba'!A:D,4,),"NO REGISTRA")</f>
        <v>LIDER CALL CENTER</v>
      </c>
      <c r="E2618" s="5" t="str">
        <f>IFERROR(VLOOKUP(A2618,'Base Prueba'!A:E,5,),"NO REGISTRA")</f>
        <v>OFICINA DE MERCADEO</v>
      </c>
    </row>
    <row r="2619" spans="1:5" ht="15.75" x14ac:dyDescent="0.25">
      <c r="A2619" s="10">
        <v>1013616244</v>
      </c>
      <c r="B2619" s="2">
        <v>46071.801105439816</v>
      </c>
      <c r="C2619" s="3" t="str">
        <f>IFERROR(VLOOKUP(A2619,'Base Prueba'!A:C,3,),"NO REGISTRA")</f>
        <v>DIANA CAROLINA MARIN BETANCOURT</v>
      </c>
      <c r="D2619" s="4" t="str">
        <f>IFERROR(VLOOKUP(A2619,'Base Prueba'!A:D,4,),"NO REGISTRA")</f>
        <v>AUXILIAR ADMINISTRATIVO</v>
      </c>
      <c r="E2619" s="5" t="str">
        <f>IFERROR(VLOOKUP(A2619,'Base Prueba'!A:E,5,),"NO REGISTRA")</f>
        <v>REGISTRO Y CONTROL ACADEMICO</v>
      </c>
    </row>
    <row r="2620" spans="1:5" ht="15.75" x14ac:dyDescent="0.25">
      <c r="A2620" s="10">
        <v>1012357415</v>
      </c>
      <c r="B2620" s="2">
        <v>46071.802453240743</v>
      </c>
      <c r="C2620" s="3" t="str">
        <f>IFERROR(VLOOKUP(A2620,'Base Prueba'!A:C,3,),"NO REGISTRA")</f>
        <v>CINDY LORENA BOHORQUEZ LEYVA</v>
      </c>
      <c r="D2620" s="4" t="str">
        <f>IFERROR(VLOOKUP(A2620,'Base Prueba'!A:D,4,),"NO REGISTRA")</f>
        <v>ANALISTA DE TESORERIA</v>
      </c>
      <c r="E2620" s="5" t="str">
        <f>IFERROR(VLOOKUP(A2620,'Base Prueba'!A:E,5,),"NO REGISTRA")</f>
        <v>AREA FINANCIERA Y CONTABLE</v>
      </c>
    </row>
    <row r="2621" spans="1:5" ht="15.75" x14ac:dyDescent="0.25">
      <c r="A2621" s="10">
        <v>52474489</v>
      </c>
      <c r="B2621" s="2">
        <v>46071.815779861114</v>
      </c>
      <c r="C2621" s="3" t="str">
        <f>IFERROR(VLOOKUP(A2621,'Base Prueba'!A:C,3,),"NO REGISTRA")</f>
        <v>ADRIANA JIMENA SOTO BOCANEGRA</v>
      </c>
      <c r="D2621" s="4" t="str">
        <f>IFERROR(VLOOKUP(A2621,'Base Prueba'!A:D,4,),"NO REGISTRA")</f>
        <v>COORDINADOR DE LA OFICINA DE REGISTRO Y CONTROL</v>
      </c>
      <c r="E2621" s="5" t="str">
        <f>IFERROR(VLOOKUP(A2621,'Base Prueba'!A:E,5,),"NO REGISTRA")</f>
        <v>REGISTRO Y CONTROL ACADEMICO</v>
      </c>
    </row>
    <row r="2622" spans="1:5" ht="15.75" x14ac:dyDescent="0.25">
      <c r="A2622" s="10">
        <v>1000324729</v>
      </c>
      <c r="B2622" s="2">
        <v>46072.314950810185</v>
      </c>
      <c r="C2622" s="3" t="str">
        <f>IFERROR(VLOOKUP(A2622,'Base Prueba'!A:C,3,),"NO REGISTRA")</f>
        <v>ANYIE VANESSA TINOCO CAMACHO</v>
      </c>
      <c r="D2622" s="4" t="str">
        <f>IFERROR(VLOOKUP(A2622,'Base Prueba'!A:D,4,),"NO REGISTRA")</f>
        <v>LIDER DE REGISTRO Y CONTROL</v>
      </c>
      <c r="E2622" s="5" t="str">
        <f>IFERROR(VLOOKUP(A2622,'Base Prueba'!A:E,5,),"NO REGISTRA")</f>
        <v>REGISTRO Y CONTROL ACADEMICO</v>
      </c>
    </row>
    <row r="2623" spans="1:5" ht="15.75" x14ac:dyDescent="0.25">
      <c r="A2623" s="10">
        <v>1013616244</v>
      </c>
      <c r="B2623" s="2">
        <v>46072.325130671299</v>
      </c>
      <c r="C2623" s="3" t="str">
        <f>IFERROR(VLOOKUP(A2623,'Base Prueba'!A:C,3,),"NO REGISTRA")</f>
        <v>DIANA CAROLINA MARIN BETANCOURT</v>
      </c>
      <c r="D2623" s="4" t="str">
        <f>IFERROR(VLOOKUP(A2623,'Base Prueba'!A:D,4,),"NO REGISTRA")</f>
        <v>AUXILIAR ADMINISTRATIVO</v>
      </c>
      <c r="E2623" s="5" t="str">
        <f>IFERROR(VLOOKUP(A2623,'Base Prueba'!A:E,5,),"NO REGISTRA")</f>
        <v>REGISTRO Y CONTROL ACADEMICO</v>
      </c>
    </row>
    <row r="2624" spans="1:5" ht="15.75" x14ac:dyDescent="0.25">
      <c r="A2624" s="10">
        <v>1000257136</v>
      </c>
      <c r="B2624" s="2">
        <v>46072.327084027776</v>
      </c>
      <c r="C2624" s="3" t="str">
        <f>IFERROR(VLOOKUP(A2624,'Base Prueba'!A:C,3,),"NO REGISTRA")</f>
        <v>FRANCI VALENTINA CANO PUENTES</v>
      </c>
      <c r="D2624" s="4" t="str">
        <f>IFERROR(VLOOKUP(A2624,'Base Prueba'!A:D,4,),"NO REGISTRA")</f>
        <v>AUXILIAR CONTABLE</v>
      </c>
      <c r="E2624" s="5" t="str">
        <f>IFERROR(VLOOKUP(A2624,'Base Prueba'!A:E,5,),"NO REGISTRA")</f>
        <v>AREA FINANCIERA Y CONTABLE</v>
      </c>
    </row>
    <row r="2625" spans="1:5" ht="15.75" x14ac:dyDescent="0.25">
      <c r="A2625" s="10">
        <v>1031802160</v>
      </c>
      <c r="B2625" s="2">
        <v>46072.334355787039</v>
      </c>
      <c r="C2625" s="3" t="str">
        <f>IFERROR(VLOOKUP(A2625,'Base Prueba'!A:C,3,),"NO REGISTRA")</f>
        <v>LUISA MARIA MAHECHA SOTOMAYOR</v>
      </c>
      <c r="D2625" s="4" t="str">
        <f>IFERROR(VLOOKUP(A2625,'Base Prueba'!A:D,4,),"NO REGISTRA")</f>
        <v>APRENDIZ UNIVERSITARIO</v>
      </c>
      <c r="E2625" s="5" t="str">
        <f>IFERROR(VLOOKUP(A2625,'Base Prueba'!A:E,5,),"NO REGISTRA")</f>
        <v>OFICINA DE MERCADEO</v>
      </c>
    </row>
    <row r="2626" spans="1:5" ht="15.75" x14ac:dyDescent="0.25">
      <c r="A2626" s="10">
        <v>80238161</v>
      </c>
      <c r="B2626" s="2">
        <v>46072.335899421298</v>
      </c>
      <c r="C2626" s="3" t="str">
        <f>IFERROR(VLOOKUP(A2626,'Base Prueba'!A:C,3,),"NO REGISTRA")</f>
        <v>GERMAN CARRANZA ESPITIA</v>
      </c>
      <c r="D2626" s="4" t="str">
        <f>IFERROR(VLOOKUP(A2626,'Base Prueba'!A:D,4,),"NO REGISTRA")</f>
        <v>TESORERO</v>
      </c>
      <c r="E2626" s="5" t="str">
        <f>IFERROR(VLOOKUP(A2626,'Base Prueba'!A:E,5,),"NO REGISTRA")</f>
        <v>AREA FINANCIERA Y CONTABLE</v>
      </c>
    </row>
    <row r="2627" spans="1:5" ht="15.75" x14ac:dyDescent="0.25">
      <c r="A2627" s="10">
        <v>1014977624</v>
      </c>
      <c r="B2627" s="2">
        <v>46072.335971759261</v>
      </c>
      <c r="C2627" s="3" t="str">
        <f>IFERROR(VLOOKUP(A2627,'Base Prueba'!A:C,3,),"NO REGISTRA")</f>
        <v>NICCOLE VALENTINA HERNANDEZ MALAVER</v>
      </c>
      <c r="D2627" s="4" t="str">
        <f>IFERROR(VLOOKUP(A2627,'Base Prueba'!A:D,4,),"NO REGISTRA")</f>
        <v>APRENDIZ UNIVERSITARIO</v>
      </c>
      <c r="E2627" s="5" t="str">
        <f>IFERROR(VLOOKUP(A2627,'Base Prueba'!A:E,5,),"NO REGISTRA")</f>
        <v>AREA FINANCIERA Y CONTABLE</v>
      </c>
    </row>
    <row r="2628" spans="1:5" ht="15.75" x14ac:dyDescent="0.25">
      <c r="A2628" s="10">
        <v>1000467399</v>
      </c>
      <c r="B2628" s="2">
        <v>46072.336024305558</v>
      </c>
      <c r="C2628" s="3" t="str">
        <f>IFERROR(VLOOKUP(A2628,'Base Prueba'!A:C,3,),"NO REGISTRA")</f>
        <v>BRANDO ESTIVEN DIAZ QUIMBAYA</v>
      </c>
      <c r="D2628" s="4" t="str">
        <f>IFERROR(VLOOKUP(A2628,'Base Prueba'!A:D,4,),"NO REGISTRA")</f>
        <v>APRENDIZ UNIVERSITARIO</v>
      </c>
      <c r="E2628" s="5" t="str">
        <f>IFERROR(VLOOKUP(A2628,'Base Prueba'!A:E,5,),"NO REGISTRA")</f>
        <v>DEPARTAMENTO DE GESTION HUMANA</v>
      </c>
    </row>
    <row r="2629" spans="1:5" ht="15.75" x14ac:dyDescent="0.25">
      <c r="A2629" s="10">
        <v>1000457706</v>
      </c>
      <c r="B2629" s="2">
        <v>46072.337833449077</v>
      </c>
      <c r="C2629" s="3" t="str">
        <f>IFERROR(VLOOKUP(A2629,'Base Prueba'!A:C,3,),"NO REGISTRA")</f>
        <v>CRISTIAN DANILO ARROYO SANABRIA</v>
      </c>
      <c r="D2629" s="4" t="str">
        <f>IFERROR(VLOOKUP(A2629,'Base Prueba'!A:D,4,),"NO REGISTRA")</f>
        <v>AUXILIAR CONTABLE</v>
      </c>
      <c r="E2629" s="5" t="str">
        <f>IFERROR(VLOOKUP(A2629,'Base Prueba'!A:E,5,),"NO REGISTRA")</f>
        <v>AREA FINANCIERA Y CONTABLE</v>
      </c>
    </row>
    <row r="2630" spans="1:5" ht="15.75" x14ac:dyDescent="0.25">
      <c r="A2630" s="10">
        <v>1049644802</v>
      </c>
      <c r="B2630" s="2">
        <v>46072.338682870373</v>
      </c>
      <c r="C2630" s="3" t="str">
        <f>IFERROR(VLOOKUP(A2630,'Base Prueba'!A:C,3,),"NO REGISTRA")</f>
        <v>DANIELA ALEXANDRA CIPAMOCHA BOSIGA</v>
      </c>
      <c r="D2630" s="4" t="str">
        <f>IFERROR(VLOOKUP(A2630,'Base Prueba'!A:D,4,),"NO REGISTRA")</f>
        <v>LIDER DE DATOS Y SERVICIOS</v>
      </c>
      <c r="E2630" s="5" t="str">
        <f>IFERROR(VLOOKUP(A2630,'Base Prueba'!A:E,5,),"NO REGISTRA")</f>
        <v>OFICINA DE PLANEACION Y GESTION DE LA CALIDAD</v>
      </c>
    </row>
    <row r="2631" spans="1:5" ht="15.75" x14ac:dyDescent="0.25">
      <c r="A2631" s="10">
        <v>1000593372</v>
      </c>
      <c r="B2631" s="2">
        <v>46072.338742361113</v>
      </c>
      <c r="C2631" s="3" t="str">
        <f>IFERROR(VLOOKUP(A2631,'Base Prueba'!A:C,3,),"NO REGISTRA")</f>
        <v>LAURA SOFIA CHAPARRO LOPEZ</v>
      </c>
      <c r="D2631" s="4" t="str">
        <f>IFERROR(VLOOKUP(A2631,'Base Prueba'!A:D,4,),"NO REGISTRA")</f>
        <v>AUXILIAR JURIDICO</v>
      </c>
      <c r="E2631" s="5" t="str">
        <f>IFERROR(VLOOKUP(A2631,'Base Prueba'!A:E,5,),"NO REGISTRA")</f>
        <v>SECRETARIA GENERAL</v>
      </c>
    </row>
    <row r="2632" spans="1:5" ht="15.75" x14ac:dyDescent="0.25">
      <c r="A2632" s="10">
        <v>1014308296</v>
      </c>
      <c r="B2632" s="2">
        <v>46072.339449999999</v>
      </c>
      <c r="C2632" s="3" t="str">
        <f>IFERROR(VLOOKUP(A2632,'Base Prueba'!A:C,3,),"NO REGISTRA")</f>
        <v>DARLENE YULIANA MORENO CELEITA</v>
      </c>
      <c r="D2632" s="4" t="str">
        <f>IFERROR(VLOOKUP(A2632,'Base Prueba'!A:D,4,),"NO REGISTRA")</f>
        <v>CAJERO PRINCIPAL</v>
      </c>
      <c r="E2632" s="5" t="str">
        <f>IFERROR(VLOOKUP(A2632,'Base Prueba'!A:E,5,),"NO REGISTRA")</f>
        <v>AREA FINANCIERA Y CONTABLE</v>
      </c>
    </row>
    <row r="2633" spans="1:5" ht="15.75" x14ac:dyDescent="0.25">
      <c r="A2633" s="10">
        <v>1023883232</v>
      </c>
      <c r="B2633" s="2">
        <v>46072.339469212966</v>
      </c>
      <c r="C2633" s="3" t="str">
        <f>IFERROR(VLOOKUP(A2633,'Base Prueba'!A:C,3,),"NO REGISTRA")</f>
        <v>MONICA ANDREA ACERO URBANO</v>
      </c>
      <c r="D2633" s="4" t="str">
        <f>IFERROR(VLOOKUP(A2633,'Base Prueba'!A:D,4,),"NO REGISTRA")</f>
        <v>APOYO INTEGRAL A GESTION HUMANA</v>
      </c>
      <c r="E2633" s="5" t="str">
        <f>IFERROR(VLOOKUP(A2633,'Base Prueba'!A:E,5,),"NO REGISTRA")</f>
        <v>DEPARTAMENTO DE GESTION HUMANA</v>
      </c>
    </row>
    <row r="2634" spans="1:5" ht="15.75" x14ac:dyDescent="0.25">
      <c r="A2634" s="10">
        <v>1032469638</v>
      </c>
      <c r="B2634" s="2">
        <v>46072.34089363426</v>
      </c>
      <c r="C2634" s="3" t="str">
        <f>IFERROR(VLOOKUP(A2634,'Base Prueba'!A:C,3,),"NO REGISTRA")</f>
        <v>MAICOL JARBEY GUALTEROS CASTAÑEDA</v>
      </c>
      <c r="D2634" s="4" t="str">
        <f>IFERROR(VLOOKUP(A2634,'Base Prueba'!A:D,4,),"NO REGISTRA")</f>
        <v>COORDINADOR DEL SISTEMA INTERNO DE ASEGURAMIENTO DE LA CALIDAD - SIAC</v>
      </c>
      <c r="E2634" s="5" t="str">
        <f>IFERROR(VLOOKUP(A2634,'Base Prueba'!A:E,5,),"NO REGISTRA")</f>
        <v>OFICINA DE PLANEACION Y GESTION DE LA CALIDAD</v>
      </c>
    </row>
    <row r="2635" spans="1:5" ht="15.75" x14ac:dyDescent="0.25">
      <c r="A2635" s="10">
        <v>1012357415</v>
      </c>
      <c r="B2635" s="2">
        <v>46072.34142650463</v>
      </c>
      <c r="C2635" s="3" t="str">
        <f>IFERROR(VLOOKUP(A2635,'Base Prueba'!A:C,3,),"NO REGISTRA")</f>
        <v>CINDY LORENA BOHORQUEZ LEYVA</v>
      </c>
      <c r="D2635" s="4" t="str">
        <f>IFERROR(VLOOKUP(A2635,'Base Prueba'!A:D,4,),"NO REGISTRA")</f>
        <v>ANALISTA DE TESORERIA</v>
      </c>
      <c r="E2635" s="5" t="str">
        <f>IFERROR(VLOOKUP(A2635,'Base Prueba'!A:E,5,),"NO REGISTRA")</f>
        <v>AREA FINANCIERA Y CONTABLE</v>
      </c>
    </row>
    <row r="2636" spans="1:5" ht="15.75" x14ac:dyDescent="0.25">
      <c r="A2636" s="10">
        <v>1193457976</v>
      </c>
      <c r="B2636" s="2">
        <v>46072.344614583337</v>
      </c>
      <c r="C2636" s="3" t="str">
        <f>IFERROR(VLOOKUP(A2636,'Base Prueba'!A:C,3,),"NO REGISTRA")</f>
        <v>SEDENIS RIVAS ASPRILLA</v>
      </c>
      <c r="D2636" s="4" t="str">
        <f>IFERROR(VLOOKUP(A2636,'Base Prueba'!A:D,4,),"NO REGISTRA")</f>
        <v>APRENDIZ UNIVERSITARIO</v>
      </c>
      <c r="E2636" s="5" t="str">
        <f>IFERROR(VLOOKUP(A2636,'Base Prueba'!A:E,5,),"NO REGISTRA")</f>
        <v>DEPARTAMENTO DE GESTION HUMANA</v>
      </c>
    </row>
    <row r="2637" spans="1:5" ht="15.75" x14ac:dyDescent="0.25">
      <c r="A2637" s="10">
        <v>80234243</v>
      </c>
      <c r="B2637" s="2">
        <v>46072.345554976855</v>
      </c>
      <c r="C2637" s="3" t="str">
        <f>IFERROR(VLOOKUP(A2637,'Base Prueba'!A:C,3,),"NO REGISTRA")</f>
        <v>ARGENIS MARTINEZ MARTINEZ</v>
      </c>
      <c r="D2637" s="4" t="str">
        <f>IFERROR(VLOOKUP(A2637,'Base Prueba'!A:D,4,),"NO REGISTRA")</f>
        <v>LIDER CALL CENTER</v>
      </c>
      <c r="E2637" s="5" t="str">
        <f>IFERROR(VLOOKUP(A2637,'Base Prueba'!A:E,5,),"NO REGISTRA")</f>
        <v>OFICINA DE MERCADEO</v>
      </c>
    </row>
    <row r="2638" spans="1:5" ht="15.75" x14ac:dyDescent="0.25">
      <c r="A2638" s="10">
        <v>1000687931</v>
      </c>
      <c r="B2638" s="2">
        <v>46072.347528124999</v>
      </c>
      <c r="C2638" s="3" t="str">
        <f>IFERROR(VLOOKUP(A2638,'Base Prueba'!A:C,3,),"NO REGISTRA")</f>
        <v>ANDRES FELIPE PUENTES TORRES</v>
      </c>
      <c r="D2638" s="4" t="str">
        <f>IFERROR(VLOOKUP(A2638,'Base Prueba'!A:D,4,),"NO REGISTRA")</f>
        <v>AUXILIAR ADMINISTRATIVO</v>
      </c>
      <c r="E2638" s="5" t="str">
        <f>IFERROR(VLOOKUP(A2638,'Base Prueba'!A:E,5,),"NO REGISTRA")</f>
        <v>REGISTRO Y CONTROL ACADEMICO</v>
      </c>
    </row>
    <row r="2639" spans="1:5" ht="15.75" x14ac:dyDescent="0.25">
      <c r="A2639" s="10">
        <v>1000604979</v>
      </c>
      <c r="B2639" s="2">
        <v>46072.349653240744</v>
      </c>
      <c r="C2639" s="3" t="str">
        <f>IFERROR(VLOOKUP(A2639,'Base Prueba'!A:C,3,),"NO REGISTRA")</f>
        <v>JULIETH TATIANA PARDO PINTO</v>
      </c>
      <c r="D2639" s="4" t="str">
        <f>IFERROR(VLOOKUP(A2639,'Base Prueba'!A:D,4,),"NO REGISTRA")</f>
        <v>AUXILIAR JURIDICO</v>
      </c>
      <c r="E2639" s="5" t="str">
        <f>IFERROR(VLOOKUP(A2639,'Base Prueba'!A:E,5,),"NO REGISTRA")</f>
        <v>SECRETARIA GENERAL</v>
      </c>
    </row>
    <row r="2640" spans="1:5" ht="15.75" x14ac:dyDescent="0.25">
      <c r="A2640" s="10">
        <v>1087121273</v>
      </c>
      <c r="B2640" s="2">
        <v>46072.351391203701</v>
      </c>
      <c r="C2640" s="3" t="str">
        <f>IFERROR(VLOOKUP(A2640,'Base Prueba'!A:C,3,),"NO REGISTRA")</f>
        <v>MAYRA ALEJANDRA CASTILLO ARBOLEDA</v>
      </c>
      <c r="D2640" s="4" t="str">
        <f>IFERROR(VLOOKUP(A2640,'Base Prueba'!A:D,4,),"NO REGISTRA")</f>
        <v>APOYO INTEGRAL DE MERCADEO</v>
      </c>
      <c r="E2640" s="5" t="str">
        <f>IFERROR(VLOOKUP(A2640,'Base Prueba'!A:E,5,),"NO REGISTRA")</f>
        <v>CENTRO DE GESTION DOCUMENTAL</v>
      </c>
    </row>
    <row r="2641" spans="1:5" ht="15.75" x14ac:dyDescent="0.25">
      <c r="A2641" s="10">
        <v>1024505434</v>
      </c>
      <c r="B2641" s="2">
        <v>46072.35269039352</v>
      </c>
      <c r="C2641" s="3" t="str">
        <f>IFERROR(VLOOKUP(A2641,'Base Prueba'!A:C,3,),"NO REGISTRA")</f>
        <v>CRISTIAN ALBERTO MELO TORRES</v>
      </c>
      <c r="D2641" s="4" t="str">
        <f>IFERROR(VLOOKUP(A2641,'Base Prueba'!A:D,4,),"NO REGISTRA")</f>
        <v>COORDINADOR DE INFRAESTRUCTURA</v>
      </c>
      <c r="E2641" s="5" t="str">
        <f>IFERROR(VLOOKUP(A2641,'Base Prueba'!A:E,5,),"NO REGISTRA")</f>
        <v>VICERRECTORIA ADMINISTRATIVA Y FINANCIERA</v>
      </c>
    </row>
    <row r="2642" spans="1:5" ht="15.75" x14ac:dyDescent="0.25">
      <c r="A2642" s="10">
        <v>1018413529</v>
      </c>
      <c r="B2642" s="2">
        <v>46072.353869328705</v>
      </c>
      <c r="C2642" s="3" t="str">
        <f>IFERROR(VLOOKUP(A2642,'Base Prueba'!A:C,3,),"NO REGISTRA")</f>
        <v>FRANCY STELLA CHARRY MORENO</v>
      </c>
      <c r="D2642" s="4" t="str">
        <f>IFERROR(VLOOKUP(A2642,'Base Prueba'!A:D,4,),"NO REGISTRA")</f>
        <v>PROMOTOR COMERCIAL DEL CEA</v>
      </c>
      <c r="E2642" s="5" t="str">
        <f>IFERROR(VLOOKUP(A2642,'Base Prueba'!A:E,5,),"NO REGISTRA")</f>
        <v>OFICINA DE MERCADEO</v>
      </c>
    </row>
    <row r="2643" spans="1:5" ht="15.75" x14ac:dyDescent="0.25">
      <c r="A2643" s="10">
        <v>53932358</v>
      </c>
      <c r="B2643" s="2">
        <v>46072.355700578701</v>
      </c>
      <c r="C2643" s="3" t="str">
        <f>IFERROR(VLOOKUP(A2643,'Base Prueba'!A:C,3,),"NO REGISTRA")</f>
        <v>DIANA MADELEYNE GAONA RODRIGUEZ</v>
      </c>
      <c r="D2643" s="4" t="str">
        <f>IFERROR(VLOOKUP(A2643,'Base Prueba'!A:D,4,),"NO REGISTRA")</f>
        <v>CONTADOR</v>
      </c>
      <c r="E2643" s="5" t="str">
        <f>IFERROR(VLOOKUP(A2643,'Base Prueba'!A:E,5,),"NO REGISTRA")</f>
        <v>AREA FINANCIERA Y CONTABLE</v>
      </c>
    </row>
    <row r="2644" spans="1:5" ht="15.75" x14ac:dyDescent="0.25">
      <c r="A2644" s="10">
        <v>1032407386</v>
      </c>
      <c r="B2644" s="2">
        <v>46072.356460763891</v>
      </c>
      <c r="C2644" s="3" t="str">
        <f>IFERROR(VLOOKUP(A2644,'Base Prueba'!A:C,3,),"NO REGISTRA")</f>
        <v>GINA PAOLA BAEZ GALVIS</v>
      </c>
      <c r="D2644" s="4" t="str">
        <f>IFERROR(VLOOKUP(A2644,'Base Prueba'!A:D,4,),"NO REGISTRA")</f>
        <v>PROMOTOR CALL CENTER</v>
      </c>
      <c r="E2644" s="5" t="str">
        <f>IFERROR(VLOOKUP(A2644,'Base Prueba'!A:E,5,),"NO REGISTRA")</f>
        <v>OFICINA DE MERCADEO</v>
      </c>
    </row>
    <row r="2645" spans="1:5" ht="15.75" x14ac:dyDescent="0.25">
      <c r="A2645" s="10">
        <v>28798349</v>
      </c>
      <c r="B2645" s="2">
        <v>46072.363099768518</v>
      </c>
      <c r="C2645" s="3" t="str">
        <f>IFERROR(VLOOKUP(A2645,'Base Prueba'!A:C,3,),"NO REGISTRA")</f>
        <v>MARTHA ISABEL TOVAR WILLIAMS</v>
      </c>
      <c r="D2645" s="4" t="str">
        <f>IFERROR(VLOOKUP(A2645,'Base Prueba'!A:D,4,),"NO REGISTRA")</f>
        <v>PROMOTOR CALL CENTER</v>
      </c>
      <c r="E2645" s="5" t="str">
        <f>IFERROR(VLOOKUP(A2645,'Base Prueba'!A:E,5,),"NO REGISTRA")</f>
        <v>OFICINA DE MERCADEO</v>
      </c>
    </row>
    <row r="2646" spans="1:5" ht="15.75" x14ac:dyDescent="0.25">
      <c r="A2646" s="10">
        <v>1033709056</v>
      </c>
      <c r="B2646" s="2">
        <v>46072.370460763887</v>
      </c>
      <c r="C2646" s="3" t="str">
        <f>IFERROR(VLOOKUP(A2646,'Base Prueba'!A:C,3,),"NO REGISTRA")</f>
        <v>YEIMY ALEXANDRA RODRIGUEZ PALACIO</v>
      </c>
      <c r="D2646" s="4" t="str">
        <f>IFERROR(VLOOKUP(A2646,'Base Prueba'!A:D,4,),"NO REGISTRA")</f>
        <v>PROMOTOR CALL CENTER</v>
      </c>
      <c r="E2646" s="5" t="str">
        <f>IFERROR(VLOOKUP(A2646,'Base Prueba'!A:E,5,),"NO REGISTRA")</f>
        <v>OFICINA DE MERCADEO</v>
      </c>
    </row>
    <row r="2647" spans="1:5" ht="15.75" x14ac:dyDescent="0.25">
      <c r="A2647" s="10">
        <v>1019105003</v>
      </c>
      <c r="B2647" s="2">
        <v>46072.370594907406</v>
      </c>
      <c r="C2647" s="3" t="str">
        <f>IFERROR(VLOOKUP(A2647,'Base Prueba'!A:C,3,),"NO REGISTRA")</f>
        <v>DAISY JULIETH GASPAR MORENO</v>
      </c>
      <c r="D2647" s="4" t="str">
        <f>IFERROR(VLOOKUP(A2647,'Base Prueba'!A:D,4,),"NO REGISTRA")</f>
        <v>PROMOTOR CALL CENTER</v>
      </c>
      <c r="E2647" s="5" t="str">
        <f>IFERROR(VLOOKUP(A2647,'Base Prueba'!A:E,5,),"NO REGISTRA")</f>
        <v>OFICINA DE MERCADEO</v>
      </c>
    </row>
    <row r="2648" spans="1:5" ht="15.75" x14ac:dyDescent="0.25">
      <c r="A2648" s="10">
        <v>1003690253</v>
      </c>
      <c r="B2648" s="2">
        <v>46072.371732291664</v>
      </c>
      <c r="C2648" s="3" t="str">
        <f>IFERROR(VLOOKUP(A2648,'Base Prueba'!A:C,3,),"NO REGISTRA")</f>
        <v>MELISSA GONZALEZ PEDRAZA</v>
      </c>
      <c r="D2648" s="4" t="str">
        <f>IFERROR(VLOOKUP(A2648,'Base Prueba'!A:D,4,),"NO REGISTRA")</f>
        <v>LIDER DE JOVENES A LA E</v>
      </c>
      <c r="E2648" s="5" t="str">
        <f>IFERROR(VLOOKUP(A2648,'Base Prueba'!A:E,5,),"NO REGISTRA")</f>
        <v>DIRECCION DE BIENESTAR INSTITUCIONAL</v>
      </c>
    </row>
    <row r="2649" spans="1:5" ht="15.75" x14ac:dyDescent="0.25">
      <c r="A2649" s="10">
        <v>1000046533</v>
      </c>
      <c r="B2649" s="2">
        <v>46072.371834606478</v>
      </c>
      <c r="C2649" s="3" t="str">
        <f>IFERROR(VLOOKUP(A2649,'Base Prueba'!A:C,3,),"NO REGISTRA")</f>
        <v>ERIKA JULIETH VALDERRAMA SANCHEZ</v>
      </c>
      <c r="D2649" s="4" t="str">
        <f>IFERROR(VLOOKUP(A2649,'Base Prueba'!A:D,4,),"NO REGISTRA")</f>
        <v>PROMOTOR CALL CENTER</v>
      </c>
      <c r="E2649" s="5" t="str">
        <f>IFERROR(VLOOKUP(A2649,'Base Prueba'!A:E,5,),"NO REGISTRA")</f>
        <v>OFICINA DE MERCADEO</v>
      </c>
    </row>
    <row r="2650" spans="1:5" ht="15.75" x14ac:dyDescent="0.25">
      <c r="A2650" s="10">
        <v>1012426741</v>
      </c>
      <c r="B2650" s="2">
        <v>46072.372919675923</v>
      </c>
      <c r="C2650" s="3" t="str">
        <f>IFERROR(VLOOKUP(A2650,'Base Prueba'!A:C,3,),"NO REGISTRA")</f>
        <v>CRISTIAN FABIAN ROJAS SANCENO</v>
      </c>
      <c r="D2650" s="4" t="str">
        <f>IFERROR(VLOOKUP(A2650,'Base Prueba'!A:D,4,),"NO REGISTRA")</f>
        <v>AUXILIAR DE REINTEGROS</v>
      </c>
      <c r="E2650" s="5" t="str">
        <f>IFERROR(VLOOKUP(A2650,'Base Prueba'!A:E,5,),"NO REGISTRA")</f>
        <v>DIRECCION DE BIENESTAR INSTITUCIONAL</v>
      </c>
    </row>
    <row r="2651" spans="1:5" ht="15.75" x14ac:dyDescent="0.25">
      <c r="A2651" s="10">
        <v>1000161811</v>
      </c>
      <c r="B2651" s="2">
        <v>46072.373671990739</v>
      </c>
      <c r="C2651" s="3" t="str">
        <f>IFERROR(VLOOKUP(A2651,'Base Prueba'!A:C,3,),"NO REGISTRA")</f>
        <v>DIEGO ANDRES VARON ROZO</v>
      </c>
      <c r="D2651" s="4" t="str">
        <f>IFERROR(VLOOKUP(A2651,'Base Prueba'!A:D,4,),"NO REGISTRA")</f>
        <v>APRENDIZ UNIVERSITARIO</v>
      </c>
      <c r="E2651" s="5" t="str">
        <f>IFERROR(VLOOKUP(A2651,'Base Prueba'!A:E,5,),"NO REGISTRA")</f>
        <v>OFICINA DE MERCADEO</v>
      </c>
    </row>
    <row r="2652" spans="1:5" ht="15.75" x14ac:dyDescent="0.25">
      <c r="A2652" s="10">
        <v>1023961952</v>
      </c>
      <c r="B2652" s="2">
        <v>46072.376089120371</v>
      </c>
      <c r="C2652" s="3" t="str">
        <f>IFERROR(VLOOKUP(A2652,'Base Prueba'!A:C,3,),"NO REGISTRA")</f>
        <v>ALEJANDRO PINZON MERCHAN</v>
      </c>
      <c r="D2652" s="4" t="str">
        <f>IFERROR(VLOOKUP(A2652,'Base Prueba'!A:D,4,),"NO REGISTRA")</f>
        <v>PROMOTOR CALL CENTER</v>
      </c>
      <c r="E2652" s="5" t="str">
        <f>IFERROR(VLOOKUP(A2652,'Base Prueba'!A:E,5,),"NO REGISTRA")</f>
        <v>OFICINA DE MERCADEO</v>
      </c>
    </row>
    <row r="2653" spans="1:5" ht="15.75" x14ac:dyDescent="0.25">
      <c r="A2653" s="10">
        <v>52472386</v>
      </c>
      <c r="B2653" s="2">
        <v>46072.376128935182</v>
      </c>
      <c r="C2653" s="3" t="str">
        <f>IFERROR(VLOOKUP(A2653,'Base Prueba'!A:C,3,),"NO REGISTRA")</f>
        <v>ADRIANA MARCELA MORALES PARDO</v>
      </c>
      <c r="D2653" s="4" t="str">
        <f>IFERROR(VLOOKUP(A2653,'Base Prueba'!A:D,4,),"NO REGISTRA")</f>
        <v>PROMOTOR CALL CENTER</v>
      </c>
      <c r="E2653" s="5" t="str">
        <f>IFERROR(VLOOKUP(A2653,'Base Prueba'!A:E,5,),"NO REGISTRA")</f>
        <v>OFICINA DE MERCADEO</v>
      </c>
    </row>
    <row r="2654" spans="1:5" ht="15.75" x14ac:dyDescent="0.25">
      <c r="A2654" s="10">
        <v>1014196857</v>
      </c>
      <c r="B2654" s="2">
        <v>46072.377850810182</v>
      </c>
      <c r="C2654" s="3" t="str">
        <f>IFERROR(VLOOKUP(A2654,'Base Prueba'!A:C,3,),"NO REGISTRA")</f>
        <v>CARLOS ANDRES JIMENEZ PARDO</v>
      </c>
      <c r="D2654" s="4" t="str">
        <f>IFERROR(VLOOKUP(A2654,'Base Prueba'!A:D,4,),"NO REGISTRA")</f>
        <v>COORDINADOR DE MARKETING DIGITAL</v>
      </c>
      <c r="E2654" s="5" t="str">
        <f>IFERROR(VLOOKUP(A2654,'Base Prueba'!A:E,5,),"NO REGISTRA")</f>
        <v>OFICINA DE MERCADEO</v>
      </c>
    </row>
    <row r="2655" spans="1:5" ht="15.75" x14ac:dyDescent="0.25">
      <c r="A2655" s="10">
        <v>1018414290</v>
      </c>
      <c r="B2655" s="2">
        <v>46072.378722222224</v>
      </c>
      <c r="C2655" s="3" t="str">
        <f>IFERROR(VLOOKUP(A2655,'Base Prueba'!A:C,3,),"NO REGISTRA")</f>
        <v>AMANDA LISBETH RODRIGUEZ LEON</v>
      </c>
      <c r="D2655" s="4" t="str">
        <f>IFERROR(VLOOKUP(A2655,'Base Prueba'!A:D,4,),"NO REGISTRA")</f>
        <v>PROMOTOR CALL CENTER</v>
      </c>
      <c r="E2655" s="5" t="str">
        <f>IFERROR(VLOOKUP(A2655,'Base Prueba'!A:E,5,),"NO REGISTRA")</f>
        <v>OFICINA DE MERCADEO</v>
      </c>
    </row>
    <row r="2656" spans="1:5" ht="15.75" x14ac:dyDescent="0.25">
      <c r="A2656" s="10">
        <v>1193265768</v>
      </c>
      <c r="B2656" s="2">
        <v>46072.380766203707</v>
      </c>
      <c r="C2656" s="3" t="str">
        <f>IFERROR(VLOOKUP(A2656,'Base Prueba'!A:C,3,),"NO REGISTRA")</f>
        <v>SANTIAGO OSORIO CAMACHO</v>
      </c>
      <c r="D2656" s="4" t="str">
        <f>IFERROR(VLOOKUP(A2656,'Base Prueba'!A:D,4,),"NO REGISTRA")</f>
        <v>ANALISTA DE PAUTA</v>
      </c>
      <c r="E2656" s="5" t="str">
        <f>IFERROR(VLOOKUP(A2656,'Base Prueba'!A:E,5,),"NO REGISTRA")</f>
        <v>OFICINA DE MERCADEO</v>
      </c>
    </row>
    <row r="2657" spans="1:5" ht="15.75" x14ac:dyDescent="0.25">
      <c r="A2657" s="10">
        <v>53089882</v>
      </c>
      <c r="B2657" s="2">
        <v>46072.38080324074</v>
      </c>
      <c r="C2657" s="3" t="str">
        <f>IFERROR(VLOOKUP(A2657,'Base Prueba'!A:C,3,),"NO REGISTRA")</f>
        <v>MARIA JOHANA ESCAMILLA MARTINEZ</v>
      </c>
      <c r="D2657" s="4" t="str">
        <f>IFERROR(VLOOKUP(A2657,'Base Prueba'!A:D,4,),"NO REGISTRA")</f>
        <v>PROMOTOR DE INFORMACIÓN</v>
      </c>
      <c r="E2657" s="5" t="str">
        <f>IFERROR(VLOOKUP(A2657,'Base Prueba'!A:E,5,),"NO REGISTRA")</f>
        <v>OFICINA DE MERCADEO</v>
      </c>
    </row>
    <row r="2658" spans="1:5" ht="15.75" x14ac:dyDescent="0.25">
      <c r="A2658" s="10">
        <v>1016090131</v>
      </c>
      <c r="B2658" s="2">
        <v>46072.383001736111</v>
      </c>
      <c r="C2658" s="3" t="str">
        <f>IFERROR(VLOOKUP(A2658,'Base Prueba'!A:C,3,),"NO REGISTRA")</f>
        <v>NICOLAS RODRIGUEZ PACHECO</v>
      </c>
      <c r="D2658" s="4" t="str">
        <f>IFERROR(VLOOKUP(A2658,'Base Prueba'!A:D,4,),"NO REGISTRA")</f>
        <v>COORDINADOR DE COMUNICACIONES</v>
      </c>
      <c r="E2658" s="5" t="str">
        <f>IFERROR(VLOOKUP(A2658,'Base Prueba'!A:E,5,),"NO REGISTRA")</f>
        <v>OFICINA DE MERCADEO</v>
      </c>
    </row>
    <row r="2659" spans="1:5" ht="15.75" x14ac:dyDescent="0.25">
      <c r="A2659" s="10">
        <v>52175674</v>
      </c>
      <c r="B2659" s="2">
        <v>46072.387506828702</v>
      </c>
      <c r="C2659" s="3" t="str">
        <f>IFERROR(VLOOKUP(A2659,'Base Prueba'!A:C,3,),"NO REGISTRA")</f>
        <v>LUZ YANETH GOMEZ AREVALO</v>
      </c>
      <c r="D2659" s="4" t="str">
        <f>IFERROR(VLOOKUP(A2659,'Base Prueba'!A:D,4,),"NO REGISTRA")</f>
        <v>COORDINADORA DE ADMISIONES</v>
      </c>
      <c r="E2659" s="5" t="str">
        <f>IFERROR(VLOOKUP(A2659,'Base Prueba'!A:E,5,),"NO REGISTRA")</f>
        <v>OFICINA DE MERCADEO</v>
      </c>
    </row>
    <row r="2660" spans="1:5" ht="15.75" x14ac:dyDescent="0.25">
      <c r="A2660" s="10">
        <v>52764929</v>
      </c>
      <c r="B2660" s="2">
        <v>46072.389709490744</v>
      </c>
      <c r="C2660" s="3" t="str">
        <f>IFERROR(VLOOKUP(A2660,'Base Prueba'!A:C,3,),"NO REGISTRA")</f>
        <v>GUERLY YOHANA DURAN RIVERA</v>
      </c>
      <c r="D2660" s="4" t="str">
        <f>IFERROR(VLOOKUP(A2660,'Base Prueba'!A:D,4,),"NO REGISTRA")</f>
        <v>LIDER DE VINCULACION COLEGIOS</v>
      </c>
      <c r="E2660" s="5" t="str">
        <f>IFERROR(VLOOKUP(A2660,'Base Prueba'!A:E,5,),"NO REGISTRA")</f>
        <v>OFICINA DE MERCADEO</v>
      </c>
    </row>
    <row r="2661" spans="1:5" ht="15.75" x14ac:dyDescent="0.25">
      <c r="A2661" s="10">
        <v>52443092</v>
      </c>
      <c r="B2661" s="2">
        <v>46072.583360185185</v>
      </c>
      <c r="C2661" s="3" t="str">
        <f>IFERROR(VLOOKUP(A2661,'Base Prueba'!A:C,3,),"NO REGISTRA")</f>
        <v>LUZ MYRIAM SAAVEDRA CONTRERAS</v>
      </c>
      <c r="D2661" s="4" t="str">
        <f>IFERROR(VLOOKUP(A2661,'Base Prueba'!A:D,4,),"NO REGISTRA")</f>
        <v>AUXILIAR DE SERVICIOS</v>
      </c>
      <c r="E2661" s="5" t="str">
        <f>IFERROR(VLOOKUP(A2661,'Base Prueba'!A:E,5,),"NO REGISTRA")</f>
        <v>LOGISTICA Y SERVICIOS GENERALES</v>
      </c>
    </row>
    <row r="2662" spans="1:5" ht="15.75" x14ac:dyDescent="0.25">
      <c r="A2662" s="10">
        <v>1000593372</v>
      </c>
      <c r="B2662" s="2">
        <v>46072.664971180558</v>
      </c>
      <c r="C2662" s="3" t="str">
        <f>IFERROR(VLOOKUP(A2662,'Base Prueba'!A:C,3,),"NO REGISTRA")</f>
        <v>LAURA SOFIA CHAPARRO LOPEZ</v>
      </c>
      <c r="D2662" s="4" t="str">
        <f>IFERROR(VLOOKUP(A2662,'Base Prueba'!A:D,4,),"NO REGISTRA")</f>
        <v>AUXILIAR JURIDICO</v>
      </c>
      <c r="E2662" s="5" t="str">
        <f>IFERROR(VLOOKUP(A2662,'Base Prueba'!A:E,5,),"NO REGISTRA")</f>
        <v>SECRETARIA GENERAL</v>
      </c>
    </row>
    <row r="2663" spans="1:5" ht="15.75" x14ac:dyDescent="0.25">
      <c r="A2663" s="10">
        <v>1024549760</v>
      </c>
      <c r="B2663" s="2">
        <v>46072.69908622685</v>
      </c>
      <c r="C2663" s="3" t="str">
        <f>IFERROR(VLOOKUP(A2663,'Base Prueba'!A:C,3,),"NO REGISTRA")</f>
        <v>FRANCY YISETH JAIMES NEIRA</v>
      </c>
      <c r="D2663" s="4" t="str">
        <f>IFERROR(VLOOKUP(A2663,'Base Prueba'!A:D,4,),"NO REGISTRA")</f>
        <v>SECRETARIA ACADEMICA - ADMINISTRATIVA DE FACULTAD</v>
      </c>
      <c r="E2663" s="5" t="str">
        <f>IFERROR(VLOOKUP(A2663,'Base Prueba'!A:E,5,),"NO REGISTRA")</f>
        <v>FACULTAD DE COMINICACIÓN PERIODISMO Y ARTES</v>
      </c>
    </row>
    <row r="2664" spans="1:5" ht="15.75" x14ac:dyDescent="0.25">
      <c r="A2664" s="10">
        <v>1031802160</v>
      </c>
      <c r="B2664" s="2">
        <v>46072.706928240739</v>
      </c>
      <c r="C2664" s="3" t="str">
        <f>IFERROR(VLOOKUP(A2664,'Base Prueba'!A:C,3,),"NO REGISTRA")</f>
        <v>LUISA MARIA MAHECHA SOTOMAYOR</v>
      </c>
      <c r="D2664" s="4" t="str">
        <f>IFERROR(VLOOKUP(A2664,'Base Prueba'!A:D,4,),"NO REGISTRA")</f>
        <v>APRENDIZ UNIVERSITARIO</v>
      </c>
      <c r="E2664" s="5" t="str">
        <f>IFERROR(VLOOKUP(A2664,'Base Prueba'!A:E,5,),"NO REGISTRA")</f>
        <v>OFICINA DE MERCADEO</v>
      </c>
    </row>
    <row r="2665" spans="1:5" ht="15.75" x14ac:dyDescent="0.25">
      <c r="A2665" s="10">
        <v>1087121273</v>
      </c>
      <c r="B2665" s="2">
        <v>46072.711982175926</v>
      </c>
      <c r="C2665" s="3" t="str">
        <f>IFERROR(VLOOKUP(A2665,'Base Prueba'!A:C,3,),"NO REGISTRA")</f>
        <v>MAYRA ALEJANDRA CASTILLO ARBOLEDA</v>
      </c>
      <c r="D2665" s="4" t="str">
        <f>IFERROR(VLOOKUP(A2665,'Base Prueba'!A:D,4,),"NO REGISTRA")</f>
        <v>APOYO INTEGRAL DE MERCADEO</v>
      </c>
      <c r="E2665" s="5" t="str">
        <f>IFERROR(VLOOKUP(A2665,'Base Prueba'!A:E,5,),"NO REGISTRA")</f>
        <v>CENTRO DE GESTION DOCUMENTAL</v>
      </c>
    </row>
    <row r="2666" spans="1:5" ht="15.75" x14ac:dyDescent="0.25">
      <c r="A2666" s="10">
        <v>1032407386</v>
      </c>
      <c r="B2666" s="2">
        <v>46072.714632060182</v>
      </c>
      <c r="C2666" s="3" t="str">
        <f>IFERROR(VLOOKUP(A2666,'Base Prueba'!A:C,3,),"NO REGISTRA")</f>
        <v>GINA PAOLA BAEZ GALVIS</v>
      </c>
      <c r="D2666" s="4" t="str">
        <f>IFERROR(VLOOKUP(A2666,'Base Prueba'!A:D,4,),"NO REGISTRA")</f>
        <v>PROMOTOR CALL CENTER</v>
      </c>
      <c r="E2666" s="5" t="str">
        <f>IFERROR(VLOOKUP(A2666,'Base Prueba'!A:E,5,),"NO REGISTRA")</f>
        <v>OFICINA DE MERCADEO</v>
      </c>
    </row>
    <row r="2667" spans="1:5" ht="15.75" x14ac:dyDescent="0.25">
      <c r="A2667" s="10">
        <v>1003690253</v>
      </c>
      <c r="B2667" s="2">
        <v>46072.714727314815</v>
      </c>
      <c r="C2667" s="3" t="str">
        <f>IFERROR(VLOOKUP(A2667,'Base Prueba'!A:C,3,),"NO REGISTRA")</f>
        <v>MELISSA GONZALEZ PEDRAZA</v>
      </c>
      <c r="D2667" s="4" t="str">
        <f>IFERROR(VLOOKUP(A2667,'Base Prueba'!A:D,4,),"NO REGISTRA")</f>
        <v>LIDER DE JOVENES A LA E</v>
      </c>
      <c r="E2667" s="5" t="str">
        <f>IFERROR(VLOOKUP(A2667,'Base Prueba'!A:E,5,),"NO REGISTRA")</f>
        <v>DIRECCION DE BIENESTAR INSTITUCIONAL</v>
      </c>
    </row>
    <row r="2668" spans="1:5" ht="15.75" x14ac:dyDescent="0.25">
      <c r="A2668" s="10">
        <v>28798349</v>
      </c>
      <c r="B2668" s="2">
        <v>46072.71479027778</v>
      </c>
      <c r="C2668" s="3" t="str">
        <f>IFERROR(VLOOKUP(A2668,'Base Prueba'!A:C,3,),"NO REGISTRA")</f>
        <v>MARTHA ISABEL TOVAR WILLIAMS</v>
      </c>
      <c r="D2668" s="4" t="str">
        <f>IFERROR(VLOOKUP(A2668,'Base Prueba'!A:D,4,),"NO REGISTRA")</f>
        <v>PROMOTOR CALL CENTER</v>
      </c>
      <c r="E2668" s="5" t="str">
        <f>IFERROR(VLOOKUP(A2668,'Base Prueba'!A:E,5,),"NO REGISTRA")</f>
        <v>OFICINA DE MERCADEO</v>
      </c>
    </row>
    <row r="2669" spans="1:5" ht="15.75" x14ac:dyDescent="0.25">
      <c r="A2669" s="10">
        <v>1000687931</v>
      </c>
      <c r="B2669" s="2">
        <v>46072.715087615739</v>
      </c>
      <c r="C2669" s="3" t="str">
        <f>IFERROR(VLOOKUP(A2669,'Base Prueba'!A:C,3,),"NO REGISTRA")</f>
        <v>ANDRES FELIPE PUENTES TORRES</v>
      </c>
      <c r="D2669" s="4" t="str">
        <f>IFERROR(VLOOKUP(A2669,'Base Prueba'!A:D,4,),"NO REGISTRA")</f>
        <v>AUXILIAR ADMINISTRATIVO</v>
      </c>
      <c r="E2669" s="5" t="str">
        <f>IFERROR(VLOOKUP(A2669,'Base Prueba'!A:E,5,),"NO REGISTRA")</f>
        <v>REGISTRO Y CONTROL ACADEMICO</v>
      </c>
    </row>
    <row r="2670" spans="1:5" ht="15.75" x14ac:dyDescent="0.25">
      <c r="A2670" s="10">
        <v>1033709056</v>
      </c>
      <c r="B2670" s="2">
        <v>46072.717802314815</v>
      </c>
      <c r="C2670" s="3" t="str">
        <f>IFERROR(VLOOKUP(A2670,'Base Prueba'!A:C,3,),"NO REGISTRA")</f>
        <v>YEIMY ALEXANDRA RODRIGUEZ PALACIO</v>
      </c>
      <c r="D2670" s="4" t="str">
        <f>IFERROR(VLOOKUP(A2670,'Base Prueba'!A:D,4,),"NO REGISTRA")</f>
        <v>PROMOTOR CALL CENTER</v>
      </c>
      <c r="E2670" s="5" t="str">
        <f>IFERROR(VLOOKUP(A2670,'Base Prueba'!A:E,5,),"NO REGISTRA")</f>
        <v>OFICINA DE MERCADEO</v>
      </c>
    </row>
    <row r="2671" spans="1:5" ht="15.75" x14ac:dyDescent="0.25">
      <c r="A2671" s="10">
        <v>1012426741</v>
      </c>
      <c r="B2671" s="2">
        <v>46072.750244560186</v>
      </c>
      <c r="C2671" s="3" t="str">
        <f>IFERROR(VLOOKUP(A2671,'Base Prueba'!A:C,3,),"NO REGISTRA")</f>
        <v>CRISTIAN FABIAN ROJAS SANCENO</v>
      </c>
      <c r="D2671" s="4" t="str">
        <f>IFERROR(VLOOKUP(A2671,'Base Prueba'!A:D,4,),"NO REGISTRA")</f>
        <v>AUXILIAR DE REINTEGROS</v>
      </c>
      <c r="E2671" s="5" t="str">
        <f>IFERROR(VLOOKUP(A2671,'Base Prueba'!A:E,5,),"NO REGISTRA")</f>
        <v>DIRECCION DE BIENESTAR INSTITUCIONAL</v>
      </c>
    </row>
    <row r="2672" spans="1:5" ht="15.75" x14ac:dyDescent="0.25">
      <c r="A2672" s="10">
        <v>1000046533</v>
      </c>
      <c r="B2672" s="2">
        <v>46072.751079398149</v>
      </c>
      <c r="C2672" s="3" t="str">
        <f>IFERROR(VLOOKUP(A2672,'Base Prueba'!A:C,3,),"NO REGISTRA")</f>
        <v>ERIKA JULIETH VALDERRAMA SANCHEZ</v>
      </c>
      <c r="D2672" s="4" t="str">
        <f>IFERROR(VLOOKUP(A2672,'Base Prueba'!A:D,4,),"NO REGISTRA")</f>
        <v>PROMOTOR CALL CENTER</v>
      </c>
      <c r="E2672" s="5" t="str">
        <f>IFERROR(VLOOKUP(A2672,'Base Prueba'!A:E,5,),"NO REGISTRA")</f>
        <v>OFICINA DE MERCADEO</v>
      </c>
    </row>
    <row r="2673" spans="1:5" ht="15.75" x14ac:dyDescent="0.25">
      <c r="A2673" s="10">
        <v>1000467399</v>
      </c>
      <c r="B2673" s="2">
        <v>46072.751111574071</v>
      </c>
      <c r="C2673" s="3" t="str">
        <f>IFERROR(VLOOKUP(A2673,'Base Prueba'!A:C,3,),"NO REGISTRA")</f>
        <v>BRANDO ESTIVEN DIAZ QUIMBAYA</v>
      </c>
      <c r="D2673" s="4" t="str">
        <f>IFERROR(VLOOKUP(A2673,'Base Prueba'!A:D,4,),"NO REGISTRA")</f>
        <v>APRENDIZ UNIVERSITARIO</v>
      </c>
      <c r="E2673" s="5" t="str">
        <f>IFERROR(VLOOKUP(A2673,'Base Prueba'!A:E,5,),"NO REGISTRA")</f>
        <v>DEPARTAMENTO DE GESTION HUMANA</v>
      </c>
    </row>
    <row r="2674" spans="1:5" ht="15.75" x14ac:dyDescent="0.25">
      <c r="A2674" s="10">
        <v>1193457976</v>
      </c>
      <c r="B2674" s="2">
        <v>46072.751218287034</v>
      </c>
      <c r="C2674" s="3" t="str">
        <f>IFERROR(VLOOKUP(A2674,'Base Prueba'!A:C,3,),"NO REGISTRA")</f>
        <v>SEDENIS RIVAS ASPRILLA</v>
      </c>
      <c r="D2674" s="4" t="str">
        <f>IFERROR(VLOOKUP(A2674,'Base Prueba'!A:D,4,),"NO REGISTRA")</f>
        <v>APRENDIZ UNIVERSITARIO</v>
      </c>
      <c r="E2674" s="5" t="str">
        <f>IFERROR(VLOOKUP(A2674,'Base Prueba'!A:E,5,),"NO REGISTRA")</f>
        <v>DEPARTAMENTO DE GESTION HUMANA</v>
      </c>
    </row>
    <row r="2675" spans="1:5" ht="15.75" x14ac:dyDescent="0.25">
      <c r="A2675" s="10">
        <v>1023883232</v>
      </c>
      <c r="B2675" s="2">
        <v>46072.751328935185</v>
      </c>
      <c r="C2675" s="3" t="str">
        <f>IFERROR(VLOOKUP(A2675,'Base Prueba'!A:C,3,),"NO REGISTRA")</f>
        <v>MONICA ANDREA ACERO URBANO</v>
      </c>
      <c r="D2675" s="4" t="str">
        <f>IFERROR(VLOOKUP(A2675,'Base Prueba'!A:D,4,),"NO REGISTRA")</f>
        <v>APOYO INTEGRAL A GESTION HUMANA</v>
      </c>
      <c r="E2675" s="5" t="str">
        <f>IFERROR(VLOOKUP(A2675,'Base Prueba'!A:E,5,),"NO REGISTRA")</f>
        <v>DEPARTAMENTO DE GESTION HUMANA</v>
      </c>
    </row>
    <row r="2676" spans="1:5" ht="15.75" x14ac:dyDescent="0.25">
      <c r="A2676" s="10">
        <v>1022996882</v>
      </c>
      <c r="B2676" s="2">
        <v>46072.751551157409</v>
      </c>
      <c r="C2676" s="3" t="str">
        <f>IFERROR(VLOOKUP(A2676,'Base Prueba'!A:C,3,),"NO REGISTRA")</f>
        <v>NANCY BRIGITH ALDANA GUEVARA</v>
      </c>
      <c r="D2676" s="4" t="str">
        <f>IFERROR(VLOOKUP(A2676,'Base Prueba'!A:D,4,),"NO REGISTRA")</f>
        <v>COORDINADORA DE GESTIÓN HUMANA</v>
      </c>
      <c r="E2676" s="5" t="str">
        <f>IFERROR(VLOOKUP(A2676,'Base Prueba'!A:E,5,),"NO REGISTRA")</f>
        <v>DEPARTAMENTO DE GESTION HUMANA</v>
      </c>
    </row>
    <row r="2677" spans="1:5" ht="15.75" x14ac:dyDescent="0.25">
      <c r="A2677" s="10">
        <v>1049644802</v>
      </c>
      <c r="B2677" s="2">
        <v>46072.751936342589</v>
      </c>
      <c r="C2677" s="3" t="str">
        <f>IFERROR(VLOOKUP(A2677,'Base Prueba'!A:C,3,),"NO REGISTRA")</f>
        <v>DANIELA ALEXANDRA CIPAMOCHA BOSIGA</v>
      </c>
      <c r="D2677" s="4" t="str">
        <f>IFERROR(VLOOKUP(A2677,'Base Prueba'!A:D,4,),"NO REGISTRA")</f>
        <v>LIDER DE DATOS Y SERVICIOS</v>
      </c>
      <c r="E2677" s="5" t="str">
        <f>IFERROR(VLOOKUP(A2677,'Base Prueba'!A:E,5,),"NO REGISTRA")</f>
        <v>OFICINA DE PLANEACION Y GESTION DE LA CALIDAD</v>
      </c>
    </row>
    <row r="2678" spans="1:5" ht="15.75" x14ac:dyDescent="0.25">
      <c r="A2678" s="10">
        <v>1016090131</v>
      </c>
      <c r="B2678" s="2">
        <v>46072.75218541667</v>
      </c>
      <c r="C2678" s="3" t="str">
        <f>IFERROR(VLOOKUP(A2678,'Base Prueba'!A:C,3,),"NO REGISTRA")</f>
        <v>NICOLAS RODRIGUEZ PACHECO</v>
      </c>
      <c r="D2678" s="4" t="str">
        <f>IFERROR(VLOOKUP(A2678,'Base Prueba'!A:D,4,),"NO REGISTRA")</f>
        <v>COORDINADOR DE COMUNICACIONES</v>
      </c>
      <c r="E2678" s="5" t="str">
        <f>IFERROR(VLOOKUP(A2678,'Base Prueba'!A:E,5,),"NO REGISTRA")</f>
        <v>OFICINA DE MERCADEO</v>
      </c>
    </row>
    <row r="2679" spans="1:5" ht="15.75" x14ac:dyDescent="0.25">
      <c r="A2679" s="10">
        <v>1026599257</v>
      </c>
      <c r="B2679" s="2">
        <v>46072.753276967589</v>
      </c>
      <c r="C2679" s="3" t="str">
        <f>IFERROR(VLOOKUP(A2679,'Base Prueba'!A:C,3,),"NO REGISTRA")</f>
        <v>YESENIA PAOLA PINEDA HURTADO</v>
      </c>
      <c r="D2679" s="4" t="str">
        <f>IFERROR(VLOOKUP(A2679,'Base Prueba'!A:D,4,),"NO REGISTRA")</f>
        <v>LIDER DE COMPRAS</v>
      </c>
      <c r="E2679" s="5" t="str">
        <f>IFERROR(VLOOKUP(A2679,'Base Prueba'!A:E,5,),"NO REGISTRA")</f>
        <v>AREA ADMINISTRATIVA</v>
      </c>
    </row>
    <row r="2680" spans="1:5" ht="15.75" x14ac:dyDescent="0.25">
      <c r="A2680" s="10">
        <v>1030567635</v>
      </c>
      <c r="B2680" s="2">
        <v>46072.75425208333</v>
      </c>
      <c r="C2680" s="3" t="str">
        <f>IFERROR(VLOOKUP(A2680,'Base Prueba'!A:C,3,),"NO REGISTRA")</f>
        <v>JEFFERSON ANDRES BARRETO DIAZ</v>
      </c>
      <c r="D2680" s="4" t="str">
        <f>IFERROR(VLOOKUP(A2680,'Base Prueba'!A:D,4,),"NO REGISTRA")</f>
        <v>AUXILIAR DE ARCHIVO</v>
      </c>
      <c r="E2680" s="5" t="str">
        <f>IFERROR(VLOOKUP(A2680,'Base Prueba'!A:E,5,),"NO REGISTRA")</f>
        <v>CENTRO DE GESTION DOCUMENTAL</v>
      </c>
    </row>
    <row r="2681" spans="1:5" ht="15.75" x14ac:dyDescent="0.25">
      <c r="A2681" s="10">
        <v>1014308296</v>
      </c>
      <c r="B2681" s="2">
        <v>46072.754302893518</v>
      </c>
      <c r="C2681" s="3" t="str">
        <f>IFERROR(VLOOKUP(A2681,'Base Prueba'!A:C,3,),"NO REGISTRA")</f>
        <v>DARLENE YULIANA MORENO CELEITA</v>
      </c>
      <c r="D2681" s="4" t="str">
        <f>IFERROR(VLOOKUP(A2681,'Base Prueba'!A:D,4,),"NO REGISTRA")</f>
        <v>CAJERO PRINCIPAL</v>
      </c>
      <c r="E2681" s="5" t="str">
        <f>IFERROR(VLOOKUP(A2681,'Base Prueba'!A:E,5,),"NO REGISTRA")</f>
        <v>AREA FINANCIERA Y CONTABLE</v>
      </c>
    </row>
    <row r="2682" spans="1:5" ht="15.75" x14ac:dyDescent="0.25">
      <c r="A2682" s="10">
        <v>1018413529</v>
      </c>
      <c r="B2682" s="2">
        <v>46072.754517939815</v>
      </c>
      <c r="C2682" s="3" t="str">
        <f>IFERROR(VLOOKUP(A2682,'Base Prueba'!A:C,3,),"NO REGISTRA")</f>
        <v>FRANCY STELLA CHARRY MORENO</v>
      </c>
      <c r="D2682" s="4" t="str">
        <f>IFERROR(VLOOKUP(A2682,'Base Prueba'!A:D,4,),"NO REGISTRA")</f>
        <v>PROMOTOR COMERCIAL DEL CEA</v>
      </c>
      <c r="E2682" s="5" t="str">
        <f>IFERROR(VLOOKUP(A2682,'Base Prueba'!A:E,5,),"NO REGISTRA")</f>
        <v>OFICINA DE MERCADEO</v>
      </c>
    </row>
    <row r="2683" spans="1:5" ht="15.75" x14ac:dyDescent="0.25">
      <c r="A2683" s="10">
        <v>53089882</v>
      </c>
      <c r="B2683" s="2">
        <v>46072.754609837961</v>
      </c>
      <c r="C2683" s="3" t="str">
        <f>IFERROR(VLOOKUP(A2683,'Base Prueba'!A:C,3,),"NO REGISTRA")</f>
        <v>MARIA JOHANA ESCAMILLA MARTINEZ</v>
      </c>
      <c r="D2683" s="4" t="str">
        <f>IFERROR(VLOOKUP(A2683,'Base Prueba'!A:D,4,),"NO REGISTRA")</f>
        <v>PROMOTOR DE INFORMACIÓN</v>
      </c>
      <c r="E2683" s="5" t="str">
        <f>IFERROR(VLOOKUP(A2683,'Base Prueba'!A:E,5,),"NO REGISTRA")</f>
        <v>OFICINA DE MERCADEO</v>
      </c>
    </row>
    <row r="2684" spans="1:5" ht="15.75" x14ac:dyDescent="0.25">
      <c r="A2684" s="10">
        <v>52175674</v>
      </c>
      <c r="B2684" s="2">
        <v>46072.75477349537</v>
      </c>
      <c r="C2684" s="3" t="str">
        <f>IFERROR(VLOOKUP(A2684,'Base Prueba'!A:C,3,),"NO REGISTRA")</f>
        <v>LUZ YANETH GOMEZ AREVALO</v>
      </c>
      <c r="D2684" s="4" t="str">
        <f>IFERROR(VLOOKUP(A2684,'Base Prueba'!A:D,4,),"NO REGISTRA")</f>
        <v>COORDINADORA DE ADMISIONES</v>
      </c>
      <c r="E2684" s="5" t="str">
        <f>IFERROR(VLOOKUP(A2684,'Base Prueba'!A:E,5,),"NO REGISTRA")</f>
        <v>OFICINA DE MERCADEO</v>
      </c>
    </row>
    <row r="2685" spans="1:5" ht="15.75" x14ac:dyDescent="0.25">
      <c r="A2685" s="10">
        <v>1000604979</v>
      </c>
      <c r="B2685" s="2">
        <v>46072.755566666667</v>
      </c>
      <c r="C2685" s="3" t="str">
        <f>IFERROR(VLOOKUP(A2685,'Base Prueba'!A:C,3,),"NO REGISTRA")</f>
        <v>JULIETH TATIANA PARDO PINTO</v>
      </c>
      <c r="D2685" s="4" t="str">
        <f>IFERROR(VLOOKUP(A2685,'Base Prueba'!A:D,4,),"NO REGISTRA")</f>
        <v>AUXILIAR JURIDICO</v>
      </c>
      <c r="E2685" s="5" t="str">
        <f>IFERROR(VLOOKUP(A2685,'Base Prueba'!A:E,5,),"NO REGISTRA")</f>
        <v>SECRETARIA GENERAL</v>
      </c>
    </row>
    <row r="2686" spans="1:5" ht="15.75" x14ac:dyDescent="0.25">
      <c r="A2686" s="10">
        <v>1019105003</v>
      </c>
      <c r="B2686" s="2">
        <v>46072.756680671293</v>
      </c>
      <c r="C2686" s="3" t="str">
        <f>IFERROR(VLOOKUP(A2686,'Base Prueba'!A:C,3,),"NO REGISTRA")</f>
        <v>DAISY JULIETH GASPAR MORENO</v>
      </c>
      <c r="D2686" s="4" t="str">
        <f>IFERROR(VLOOKUP(A2686,'Base Prueba'!A:D,4,),"NO REGISTRA")</f>
        <v>PROMOTOR CALL CENTER</v>
      </c>
      <c r="E2686" s="5" t="str">
        <f>IFERROR(VLOOKUP(A2686,'Base Prueba'!A:E,5,),"NO REGISTRA")</f>
        <v>OFICINA DE MERCADEO</v>
      </c>
    </row>
    <row r="2687" spans="1:5" ht="15.75" x14ac:dyDescent="0.25">
      <c r="A2687" s="10">
        <v>1193265768</v>
      </c>
      <c r="B2687" s="2">
        <v>46072.756765509257</v>
      </c>
      <c r="C2687" s="3" t="str">
        <f>IFERROR(VLOOKUP(A2687,'Base Prueba'!A:C,3,),"NO REGISTRA")</f>
        <v>SANTIAGO OSORIO CAMACHO</v>
      </c>
      <c r="D2687" s="4" t="str">
        <f>IFERROR(VLOOKUP(A2687,'Base Prueba'!A:D,4,),"NO REGISTRA")</f>
        <v>ANALISTA DE PAUTA</v>
      </c>
      <c r="E2687" s="5" t="str">
        <f>IFERROR(VLOOKUP(A2687,'Base Prueba'!A:E,5,),"NO REGISTRA")</f>
        <v>OFICINA DE MERCADEO</v>
      </c>
    </row>
    <row r="2688" spans="1:5" ht="15.75" x14ac:dyDescent="0.25">
      <c r="A2688" s="10">
        <v>1014196857</v>
      </c>
      <c r="B2688" s="2">
        <v>46072.756790740743</v>
      </c>
      <c r="C2688" s="3" t="str">
        <f>IFERROR(VLOOKUP(A2688,'Base Prueba'!A:C,3,),"NO REGISTRA")</f>
        <v>CARLOS ANDRES JIMENEZ PARDO</v>
      </c>
      <c r="D2688" s="4" t="str">
        <f>IFERROR(VLOOKUP(A2688,'Base Prueba'!A:D,4,),"NO REGISTRA")</f>
        <v>COORDINADOR DE MARKETING DIGITAL</v>
      </c>
      <c r="E2688" s="5" t="str">
        <f>IFERROR(VLOOKUP(A2688,'Base Prueba'!A:E,5,),"NO REGISTRA")</f>
        <v>OFICINA DE MERCADEO</v>
      </c>
    </row>
    <row r="2689" spans="1:5" ht="15.75" x14ac:dyDescent="0.25">
      <c r="A2689" s="10">
        <v>52764929</v>
      </c>
      <c r="B2689" s="2">
        <v>46072.756931481483</v>
      </c>
      <c r="C2689" s="3" t="str">
        <f>IFERROR(VLOOKUP(A2689,'Base Prueba'!A:C,3,),"NO REGISTRA")</f>
        <v>GUERLY YOHANA DURAN RIVERA</v>
      </c>
      <c r="D2689" s="4" t="str">
        <f>IFERROR(VLOOKUP(A2689,'Base Prueba'!A:D,4,),"NO REGISTRA")</f>
        <v>LIDER DE VINCULACION COLEGIOS</v>
      </c>
      <c r="E2689" s="5" t="str">
        <f>IFERROR(VLOOKUP(A2689,'Base Prueba'!A:E,5,),"NO REGISTRA")</f>
        <v>OFICINA DE MERCADEO</v>
      </c>
    </row>
    <row r="2690" spans="1:5" ht="15.75" x14ac:dyDescent="0.25">
      <c r="A2690" s="10">
        <v>1000324729</v>
      </c>
      <c r="B2690" s="2">
        <v>46072.757068055558</v>
      </c>
      <c r="C2690" s="3" t="str">
        <f>IFERROR(VLOOKUP(A2690,'Base Prueba'!A:C,3,),"NO REGISTRA")</f>
        <v>ANYIE VANESSA TINOCO CAMACHO</v>
      </c>
      <c r="D2690" s="4" t="str">
        <f>IFERROR(VLOOKUP(A2690,'Base Prueba'!A:D,4,),"NO REGISTRA")</f>
        <v>LIDER DE REGISTRO Y CONTROL</v>
      </c>
      <c r="E2690" s="5" t="str">
        <f>IFERROR(VLOOKUP(A2690,'Base Prueba'!A:E,5,),"NO REGISTRA")</f>
        <v>REGISTRO Y CONTROL ACADEMICO</v>
      </c>
    </row>
    <row r="2691" spans="1:5" ht="15.75" x14ac:dyDescent="0.25">
      <c r="A2691" s="10">
        <v>52472386</v>
      </c>
      <c r="B2691" s="2">
        <v>46072.757545601853</v>
      </c>
      <c r="C2691" s="3" t="str">
        <f>IFERROR(VLOOKUP(A2691,'Base Prueba'!A:C,3,),"NO REGISTRA")</f>
        <v>ADRIANA MARCELA MORALES PARDO</v>
      </c>
      <c r="D2691" s="4" t="str">
        <f>IFERROR(VLOOKUP(A2691,'Base Prueba'!A:D,4,),"NO REGISTRA")</f>
        <v>PROMOTOR CALL CENTER</v>
      </c>
      <c r="E2691" s="5" t="str">
        <f>IFERROR(VLOOKUP(A2691,'Base Prueba'!A:E,5,),"NO REGISTRA")</f>
        <v>OFICINA DE MERCADEO</v>
      </c>
    </row>
    <row r="2692" spans="1:5" ht="15.75" x14ac:dyDescent="0.25">
      <c r="A2692" s="10">
        <v>1023961952</v>
      </c>
      <c r="B2692" s="2">
        <v>46072.759732754632</v>
      </c>
      <c r="C2692" s="3" t="str">
        <f>IFERROR(VLOOKUP(A2692,'Base Prueba'!A:C,3,),"NO REGISTRA")</f>
        <v>ALEJANDRO PINZON MERCHAN</v>
      </c>
      <c r="D2692" s="4" t="str">
        <f>IFERROR(VLOOKUP(A2692,'Base Prueba'!A:D,4,),"NO REGISTRA")</f>
        <v>PROMOTOR CALL CENTER</v>
      </c>
      <c r="E2692" s="5" t="str">
        <f>IFERROR(VLOOKUP(A2692,'Base Prueba'!A:E,5,),"NO REGISTRA")</f>
        <v>OFICINA DE MERCADEO</v>
      </c>
    </row>
    <row r="2693" spans="1:5" ht="15.75" x14ac:dyDescent="0.25">
      <c r="A2693" s="10">
        <v>1018414290</v>
      </c>
      <c r="B2693" s="2">
        <v>46072.760089236108</v>
      </c>
      <c r="C2693" s="3" t="str">
        <f>IFERROR(VLOOKUP(A2693,'Base Prueba'!A:C,3,),"NO REGISTRA")</f>
        <v>AMANDA LISBETH RODRIGUEZ LEON</v>
      </c>
      <c r="D2693" s="4" t="str">
        <f>IFERROR(VLOOKUP(A2693,'Base Prueba'!A:D,4,),"NO REGISTRA")</f>
        <v>PROMOTOR CALL CENTER</v>
      </c>
      <c r="E2693" s="5" t="str">
        <f>IFERROR(VLOOKUP(A2693,'Base Prueba'!A:E,5,),"NO REGISTRA")</f>
        <v>OFICINA DE MERCADEO</v>
      </c>
    </row>
    <row r="2694" spans="1:5" ht="15.75" x14ac:dyDescent="0.25">
      <c r="A2694" s="10">
        <v>1014977624</v>
      </c>
      <c r="B2694" s="2">
        <v>46072.760304282405</v>
      </c>
      <c r="C2694" s="3" t="str">
        <f>IFERROR(VLOOKUP(A2694,'Base Prueba'!A:C,3,),"NO REGISTRA")</f>
        <v>NICCOLE VALENTINA HERNANDEZ MALAVER</v>
      </c>
      <c r="D2694" s="4" t="str">
        <f>IFERROR(VLOOKUP(A2694,'Base Prueba'!A:D,4,),"NO REGISTRA")</f>
        <v>APRENDIZ UNIVERSITARIO</v>
      </c>
      <c r="E2694" s="5" t="str">
        <f>IFERROR(VLOOKUP(A2694,'Base Prueba'!A:E,5,),"NO REGISTRA")</f>
        <v>AREA FINANCIERA Y CONTABLE</v>
      </c>
    </row>
    <row r="2695" spans="1:5" ht="15.75" x14ac:dyDescent="0.25">
      <c r="A2695" s="10">
        <v>1000457706</v>
      </c>
      <c r="B2695" s="2">
        <v>46072.760345833332</v>
      </c>
      <c r="C2695" s="3" t="str">
        <f>IFERROR(VLOOKUP(A2695,'Base Prueba'!A:C,3,),"NO REGISTRA")</f>
        <v>CRISTIAN DANILO ARROYO SANABRIA</v>
      </c>
      <c r="D2695" s="4" t="str">
        <f>IFERROR(VLOOKUP(A2695,'Base Prueba'!A:D,4,),"NO REGISTRA")</f>
        <v>AUXILIAR CONTABLE</v>
      </c>
      <c r="E2695" s="5" t="str">
        <f>IFERROR(VLOOKUP(A2695,'Base Prueba'!A:E,5,),"NO REGISTRA")</f>
        <v>AREA FINANCIERA Y CONTABLE</v>
      </c>
    </row>
    <row r="2696" spans="1:5" ht="15.75" x14ac:dyDescent="0.25">
      <c r="A2696" s="10">
        <v>80238161</v>
      </c>
      <c r="B2696" s="2">
        <v>46072.763285300927</v>
      </c>
      <c r="C2696" s="3" t="str">
        <f>IFERROR(VLOOKUP(A2696,'Base Prueba'!A:C,3,),"NO REGISTRA")</f>
        <v>GERMAN CARRANZA ESPITIA</v>
      </c>
      <c r="D2696" s="4" t="str">
        <f>IFERROR(VLOOKUP(A2696,'Base Prueba'!A:D,4,),"NO REGISTRA")</f>
        <v>TESORERO</v>
      </c>
      <c r="E2696" s="5" t="str">
        <f>IFERROR(VLOOKUP(A2696,'Base Prueba'!A:E,5,),"NO REGISTRA")</f>
        <v>AREA FINANCIERA Y CONTABLE</v>
      </c>
    </row>
    <row r="2697" spans="1:5" ht="15.75" x14ac:dyDescent="0.25">
      <c r="A2697" s="10">
        <v>1000257136</v>
      </c>
      <c r="B2697" s="2">
        <v>46072.763645023151</v>
      </c>
      <c r="C2697" s="3" t="str">
        <f>IFERROR(VLOOKUP(A2697,'Base Prueba'!A:C,3,),"NO REGISTRA")</f>
        <v>FRANCI VALENTINA CANO PUENTES</v>
      </c>
      <c r="D2697" s="4" t="str">
        <f>IFERROR(VLOOKUP(A2697,'Base Prueba'!A:D,4,),"NO REGISTRA")</f>
        <v>AUXILIAR CONTABLE</v>
      </c>
      <c r="E2697" s="5" t="str">
        <f>IFERROR(VLOOKUP(A2697,'Base Prueba'!A:E,5,),"NO REGISTRA")</f>
        <v>AREA FINANCIERA Y CONTABLE</v>
      </c>
    </row>
    <row r="2698" spans="1:5" ht="15.75" x14ac:dyDescent="0.25">
      <c r="A2698" s="10">
        <v>53932358</v>
      </c>
      <c r="B2698" s="2">
        <v>46072.765641550926</v>
      </c>
      <c r="C2698" s="3" t="str">
        <f>IFERROR(VLOOKUP(A2698,'Base Prueba'!A:C,3,),"NO REGISTRA")</f>
        <v>DIANA MADELEYNE GAONA RODRIGUEZ</v>
      </c>
      <c r="D2698" s="4" t="str">
        <f>IFERROR(VLOOKUP(A2698,'Base Prueba'!A:D,4,),"NO REGISTRA")</f>
        <v>CONTADOR</v>
      </c>
      <c r="E2698" s="5" t="str">
        <f>IFERROR(VLOOKUP(A2698,'Base Prueba'!A:E,5,),"NO REGISTRA")</f>
        <v>AREA FINANCIERA Y CONTABLE</v>
      </c>
    </row>
    <row r="2699" spans="1:5" ht="15.75" x14ac:dyDescent="0.25">
      <c r="A2699" s="10">
        <v>80234243</v>
      </c>
      <c r="B2699" s="2">
        <v>46072.766471990741</v>
      </c>
      <c r="C2699" s="3" t="str">
        <f>IFERROR(VLOOKUP(A2699,'Base Prueba'!A:C,3,),"NO REGISTRA")</f>
        <v>ARGENIS MARTINEZ MARTINEZ</v>
      </c>
      <c r="D2699" s="4" t="str">
        <f>IFERROR(VLOOKUP(A2699,'Base Prueba'!A:D,4,),"NO REGISTRA")</f>
        <v>LIDER CALL CENTER</v>
      </c>
      <c r="E2699" s="5" t="str">
        <f>IFERROR(VLOOKUP(A2699,'Base Prueba'!A:E,5,),"NO REGISTRA")</f>
        <v>OFICINA DE MERCADEO</v>
      </c>
    </row>
    <row r="2700" spans="1:5" ht="15.75" x14ac:dyDescent="0.25">
      <c r="A2700" s="10">
        <v>1000161811</v>
      </c>
      <c r="B2700" s="2">
        <v>46072.770486574074</v>
      </c>
      <c r="C2700" s="3" t="str">
        <f>IFERROR(VLOOKUP(A2700,'Base Prueba'!A:C,3,),"NO REGISTRA")</f>
        <v>DIEGO ANDRES VARON ROZO</v>
      </c>
      <c r="D2700" s="4" t="str">
        <f>IFERROR(VLOOKUP(A2700,'Base Prueba'!A:D,4,),"NO REGISTRA")</f>
        <v>APRENDIZ UNIVERSITARIO</v>
      </c>
      <c r="E2700" s="5" t="str">
        <f>IFERROR(VLOOKUP(A2700,'Base Prueba'!A:E,5,),"NO REGISTRA")</f>
        <v>OFICINA DE MERCADEO</v>
      </c>
    </row>
    <row r="2701" spans="1:5" ht="15.75" x14ac:dyDescent="0.25">
      <c r="A2701" s="10">
        <v>52474489</v>
      </c>
      <c r="B2701" s="2">
        <v>46072.790167361112</v>
      </c>
      <c r="C2701" s="3" t="str">
        <f>IFERROR(VLOOKUP(A2701,'Base Prueba'!A:C,3,),"NO REGISTRA")</f>
        <v>ADRIANA JIMENA SOTO BOCANEGRA</v>
      </c>
      <c r="D2701" s="4" t="str">
        <f>IFERROR(VLOOKUP(A2701,'Base Prueba'!A:D,4,),"NO REGISTRA")</f>
        <v>COORDINADOR DE LA OFICINA DE REGISTRO Y CONTROL</v>
      </c>
      <c r="E2701" s="5" t="str">
        <f>IFERROR(VLOOKUP(A2701,'Base Prueba'!A:E,5,),"NO REGISTRA")</f>
        <v>REGISTRO Y CONTROL ACADEMICO</v>
      </c>
    </row>
    <row r="2702" spans="1:5" ht="15.75" x14ac:dyDescent="0.25">
      <c r="A2702" s="10">
        <v>1012357415</v>
      </c>
      <c r="B2702" s="2">
        <v>46072.795882407408</v>
      </c>
      <c r="C2702" s="3" t="str">
        <f>IFERROR(VLOOKUP(A2702,'Base Prueba'!A:C,3,),"NO REGISTRA")</f>
        <v>CINDY LORENA BOHORQUEZ LEYVA</v>
      </c>
      <c r="D2702" s="4" t="str">
        <f>IFERROR(VLOOKUP(A2702,'Base Prueba'!A:D,4,),"NO REGISTRA")</f>
        <v>ANALISTA DE TESORERIA</v>
      </c>
      <c r="E2702" s="5" t="str">
        <f>IFERROR(VLOOKUP(A2702,'Base Prueba'!A:E,5,),"NO REGISTRA")</f>
        <v>AREA FINANCIERA Y CONTABLE</v>
      </c>
    </row>
    <row r="2703" spans="1:5" ht="15.75" x14ac:dyDescent="0.25">
      <c r="A2703" s="10">
        <v>1013616244</v>
      </c>
      <c r="B2703" s="2">
        <v>46072.805524768519</v>
      </c>
      <c r="C2703" s="3" t="str">
        <f>IFERROR(VLOOKUP(A2703,'Base Prueba'!A:C,3,),"NO REGISTRA")</f>
        <v>DIANA CAROLINA MARIN BETANCOURT</v>
      </c>
      <c r="D2703" s="4" t="str">
        <f>IFERROR(VLOOKUP(A2703,'Base Prueba'!A:D,4,),"NO REGISTRA")</f>
        <v>AUXILIAR ADMINISTRATIVO</v>
      </c>
      <c r="E2703" s="5" t="str">
        <f>IFERROR(VLOOKUP(A2703,'Base Prueba'!A:E,5,),"NO REGISTRA")</f>
        <v>REGISTRO Y CONTROL ACADEMICO</v>
      </c>
    </row>
    <row r="2704" spans="1:5" ht="15.75" x14ac:dyDescent="0.25">
      <c r="A2704" s="10">
        <v>52443092</v>
      </c>
      <c r="B2704" s="2">
        <v>46073.247288425926</v>
      </c>
      <c r="C2704" s="3" t="str">
        <f>IFERROR(VLOOKUP(A2704,'Base Prueba'!A:C,3,),"NO REGISTRA")</f>
        <v>LUZ MYRIAM SAAVEDRA CONTRERAS</v>
      </c>
      <c r="D2704" s="4" t="str">
        <f>IFERROR(VLOOKUP(A2704,'Base Prueba'!A:D,4,),"NO REGISTRA")</f>
        <v>AUXILIAR DE SERVICIOS</v>
      </c>
      <c r="E2704" s="5" t="str">
        <f>IFERROR(VLOOKUP(A2704,'Base Prueba'!A:E,5,),"NO REGISTRA")</f>
        <v>LOGISTICA Y SERVICIOS GENERALES</v>
      </c>
    </row>
    <row r="2705" spans="1:5" ht="15.75" x14ac:dyDescent="0.25">
      <c r="A2705" s="10">
        <v>1000324729</v>
      </c>
      <c r="B2705" s="2">
        <v>46073.297596412034</v>
      </c>
      <c r="C2705" s="3" t="str">
        <f>IFERROR(VLOOKUP(A2705,'Base Prueba'!A:C,3,),"NO REGISTRA")</f>
        <v>ANYIE VANESSA TINOCO CAMACHO</v>
      </c>
      <c r="D2705" s="4" t="str">
        <f>IFERROR(VLOOKUP(A2705,'Base Prueba'!A:D,4,),"NO REGISTRA")</f>
        <v>LIDER DE REGISTRO Y CONTROL</v>
      </c>
      <c r="E2705" s="5" t="str">
        <f>IFERROR(VLOOKUP(A2705,'Base Prueba'!A:E,5,),"NO REGISTRA")</f>
        <v>REGISTRO Y CONTROL ACADEMICO</v>
      </c>
    </row>
    <row r="2706" spans="1:5" ht="15.75" x14ac:dyDescent="0.25">
      <c r="A2706" s="10">
        <v>1087121273</v>
      </c>
      <c r="B2706" s="2">
        <v>46073.311122800929</v>
      </c>
      <c r="C2706" s="3" t="str">
        <f>IFERROR(VLOOKUP(A2706,'Base Prueba'!A:C,3,),"NO REGISTRA")</f>
        <v>MAYRA ALEJANDRA CASTILLO ARBOLEDA</v>
      </c>
      <c r="D2706" s="4" t="str">
        <f>IFERROR(VLOOKUP(A2706,'Base Prueba'!A:D,4,),"NO REGISTRA")</f>
        <v>APOYO INTEGRAL DE MERCADEO</v>
      </c>
      <c r="E2706" s="5" t="str">
        <f>IFERROR(VLOOKUP(A2706,'Base Prueba'!A:E,5,),"NO REGISTRA")</f>
        <v>CENTRO DE GESTION DOCUMENTAL</v>
      </c>
    </row>
    <row r="2707" spans="1:5" ht="15.75" x14ac:dyDescent="0.25">
      <c r="A2707" s="10">
        <v>1013616244</v>
      </c>
      <c r="B2707" s="2">
        <v>46073.318463657408</v>
      </c>
      <c r="C2707" s="3" t="str">
        <f>IFERROR(VLOOKUP(A2707,'Base Prueba'!A:C,3,),"NO REGISTRA")</f>
        <v>DIANA CAROLINA MARIN BETANCOURT</v>
      </c>
      <c r="D2707" s="4" t="str">
        <f>IFERROR(VLOOKUP(A2707,'Base Prueba'!A:D,4,),"NO REGISTRA")</f>
        <v>AUXILIAR ADMINISTRATIVO</v>
      </c>
      <c r="E2707" s="5" t="str">
        <f>IFERROR(VLOOKUP(A2707,'Base Prueba'!A:E,5,),"NO REGISTRA")</f>
        <v>REGISTRO Y CONTROL ACADEMICO</v>
      </c>
    </row>
    <row r="2708" spans="1:5" ht="15.75" x14ac:dyDescent="0.25">
      <c r="A2708" s="10">
        <v>1031802160</v>
      </c>
      <c r="B2708" s="2">
        <v>46073.331872800925</v>
      </c>
      <c r="C2708" s="3" t="str">
        <f>IFERROR(VLOOKUP(A2708,'Base Prueba'!A:C,3,),"NO REGISTRA")</f>
        <v>LUISA MARIA MAHECHA SOTOMAYOR</v>
      </c>
      <c r="D2708" s="4" t="str">
        <f>IFERROR(VLOOKUP(A2708,'Base Prueba'!A:D,4,),"NO REGISTRA")</f>
        <v>APRENDIZ UNIVERSITARIO</v>
      </c>
      <c r="E2708" s="5" t="str">
        <f>IFERROR(VLOOKUP(A2708,'Base Prueba'!A:E,5,),"NO REGISTRA")</f>
        <v>OFICINA DE MERCADEO</v>
      </c>
    </row>
    <row r="2709" spans="1:5" ht="15.75" x14ac:dyDescent="0.25">
      <c r="A2709" s="10">
        <v>53932358</v>
      </c>
      <c r="B2709" s="2">
        <v>46073.332184375002</v>
      </c>
      <c r="C2709" s="3" t="str">
        <f>IFERROR(VLOOKUP(A2709,'Base Prueba'!A:C,3,),"NO REGISTRA")</f>
        <v>DIANA MADELEYNE GAONA RODRIGUEZ</v>
      </c>
      <c r="D2709" s="4" t="str">
        <f>IFERROR(VLOOKUP(A2709,'Base Prueba'!A:D,4,),"NO REGISTRA")</f>
        <v>CONTADOR</v>
      </c>
      <c r="E2709" s="5" t="str">
        <f>IFERROR(VLOOKUP(A2709,'Base Prueba'!A:E,5,),"NO REGISTRA")</f>
        <v>AREA FINANCIERA Y CONTABLE</v>
      </c>
    </row>
    <row r="2710" spans="1:5" ht="15.75" x14ac:dyDescent="0.25">
      <c r="A2710" s="10">
        <v>1000467399</v>
      </c>
      <c r="B2710" s="2">
        <v>46073.333243749999</v>
      </c>
      <c r="C2710" s="3" t="str">
        <f>IFERROR(VLOOKUP(A2710,'Base Prueba'!A:C,3,),"NO REGISTRA")</f>
        <v>BRANDO ESTIVEN DIAZ QUIMBAYA</v>
      </c>
      <c r="D2710" s="4" t="str">
        <f>IFERROR(VLOOKUP(A2710,'Base Prueba'!A:D,4,),"NO REGISTRA")</f>
        <v>APRENDIZ UNIVERSITARIO</v>
      </c>
      <c r="E2710" s="5" t="str">
        <f>IFERROR(VLOOKUP(A2710,'Base Prueba'!A:E,5,),"NO REGISTRA")</f>
        <v>DEPARTAMENTO DE GESTION HUMANA</v>
      </c>
    </row>
    <row r="2711" spans="1:5" ht="15.75" x14ac:dyDescent="0.25">
      <c r="A2711" s="10">
        <v>1014308296</v>
      </c>
      <c r="B2711" s="2">
        <v>46073.336141435182</v>
      </c>
      <c r="C2711" s="3" t="str">
        <f>IFERROR(VLOOKUP(A2711,'Base Prueba'!A:C,3,),"NO REGISTRA")</f>
        <v>DARLENE YULIANA MORENO CELEITA</v>
      </c>
      <c r="D2711" s="4" t="str">
        <f>IFERROR(VLOOKUP(A2711,'Base Prueba'!A:D,4,),"NO REGISTRA")</f>
        <v>CAJERO PRINCIPAL</v>
      </c>
      <c r="E2711" s="5" t="str">
        <f>IFERROR(VLOOKUP(A2711,'Base Prueba'!A:E,5,),"NO REGISTRA")</f>
        <v>AREA FINANCIERA Y CONTABLE</v>
      </c>
    </row>
    <row r="2712" spans="1:5" ht="15.75" x14ac:dyDescent="0.25">
      <c r="A2712" s="10">
        <v>1193457976</v>
      </c>
      <c r="B2712" s="2">
        <v>46073.336747685185</v>
      </c>
      <c r="C2712" s="3" t="str">
        <f>IFERROR(VLOOKUP(A2712,'Base Prueba'!A:C,3,),"NO REGISTRA")</f>
        <v>SEDENIS RIVAS ASPRILLA</v>
      </c>
      <c r="D2712" s="4" t="str">
        <f>IFERROR(VLOOKUP(A2712,'Base Prueba'!A:D,4,),"NO REGISTRA")</f>
        <v>APRENDIZ UNIVERSITARIO</v>
      </c>
      <c r="E2712" s="5" t="str">
        <f>IFERROR(VLOOKUP(A2712,'Base Prueba'!A:E,5,),"NO REGISTRA")</f>
        <v>DEPARTAMENTO DE GESTION HUMANA</v>
      </c>
    </row>
    <row r="2713" spans="1:5" ht="15.75" x14ac:dyDescent="0.25">
      <c r="A2713" s="10">
        <v>1049644802</v>
      </c>
      <c r="B2713" s="2">
        <v>46073.3384568287</v>
      </c>
      <c r="C2713" s="3" t="str">
        <f>IFERROR(VLOOKUP(A2713,'Base Prueba'!A:C,3,),"NO REGISTRA")</f>
        <v>DANIELA ALEXANDRA CIPAMOCHA BOSIGA</v>
      </c>
      <c r="D2713" s="4" t="str">
        <f>IFERROR(VLOOKUP(A2713,'Base Prueba'!A:D,4,),"NO REGISTRA")</f>
        <v>LIDER DE DATOS Y SERVICIOS</v>
      </c>
      <c r="E2713" s="5" t="str">
        <f>IFERROR(VLOOKUP(A2713,'Base Prueba'!A:E,5,),"NO REGISTRA")</f>
        <v>OFICINA DE PLANEACION Y GESTION DE LA CALIDAD</v>
      </c>
    </row>
    <row r="2714" spans="1:5" ht="15.75" x14ac:dyDescent="0.25">
      <c r="A2714" s="10">
        <v>1014977624</v>
      </c>
      <c r="B2714" s="2">
        <v>46073.339330324074</v>
      </c>
      <c r="C2714" s="3" t="str">
        <f>IFERROR(VLOOKUP(A2714,'Base Prueba'!A:C,3,),"NO REGISTRA")</f>
        <v>NICCOLE VALENTINA HERNANDEZ MALAVER</v>
      </c>
      <c r="D2714" s="4" t="str">
        <f>IFERROR(VLOOKUP(A2714,'Base Prueba'!A:D,4,),"NO REGISTRA")</f>
        <v>APRENDIZ UNIVERSITARIO</v>
      </c>
      <c r="E2714" s="5" t="str">
        <f>IFERROR(VLOOKUP(A2714,'Base Prueba'!A:E,5,),"NO REGISTRA")</f>
        <v>AREA FINANCIERA Y CONTABLE</v>
      </c>
    </row>
    <row r="2715" spans="1:5" ht="15.75" x14ac:dyDescent="0.25">
      <c r="A2715" s="10">
        <v>1000457706</v>
      </c>
      <c r="B2715" s="2">
        <v>46073.339594560188</v>
      </c>
      <c r="C2715" s="3" t="str">
        <f>IFERROR(VLOOKUP(A2715,'Base Prueba'!A:C,3,),"NO REGISTRA")</f>
        <v>CRISTIAN DANILO ARROYO SANABRIA</v>
      </c>
      <c r="D2715" s="4" t="str">
        <f>IFERROR(VLOOKUP(A2715,'Base Prueba'!A:D,4,),"NO REGISTRA")</f>
        <v>AUXILIAR CONTABLE</v>
      </c>
      <c r="E2715" s="5" t="str">
        <f>IFERROR(VLOOKUP(A2715,'Base Prueba'!A:E,5,),"NO REGISTRA")</f>
        <v>AREA FINANCIERA Y CONTABLE</v>
      </c>
    </row>
    <row r="2716" spans="1:5" ht="15.75" x14ac:dyDescent="0.25">
      <c r="A2716" s="10">
        <v>1024549760</v>
      </c>
      <c r="B2716" s="2">
        <v>46073.340492361109</v>
      </c>
      <c r="C2716" s="3" t="str">
        <f>IFERROR(VLOOKUP(A2716,'Base Prueba'!A:C,3,),"NO REGISTRA")</f>
        <v>FRANCY YISETH JAIMES NEIRA</v>
      </c>
      <c r="D2716" s="4" t="str">
        <f>IFERROR(VLOOKUP(A2716,'Base Prueba'!A:D,4,),"NO REGISTRA")</f>
        <v>SECRETARIA ACADEMICA - ADMINISTRATIVA DE FACULTAD</v>
      </c>
      <c r="E2716" s="5" t="str">
        <f>IFERROR(VLOOKUP(A2716,'Base Prueba'!A:E,5,),"NO REGISTRA")</f>
        <v>FACULTAD DE COMINICACIÓN PERIODISMO Y ARTES</v>
      </c>
    </row>
    <row r="2717" spans="1:5" ht="15.75" x14ac:dyDescent="0.25">
      <c r="A2717" s="10">
        <v>1000257136</v>
      </c>
      <c r="B2717" s="2">
        <v>46073.340607060185</v>
      </c>
      <c r="C2717" s="3" t="str">
        <f>IFERROR(VLOOKUP(A2717,'Base Prueba'!A:C,3,),"NO REGISTRA")</f>
        <v>FRANCI VALENTINA CANO PUENTES</v>
      </c>
      <c r="D2717" s="4" t="str">
        <f>IFERROR(VLOOKUP(A2717,'Base Prueba'!A:D,4,),"NO REGISTRA")</f>
        <v>AUXILIAR CONTABLE</v>
      </c>
      <c r="E2717" s="5" t="str">
        <f>IFERROR(VLOOKUP(A2717,'Base Prueba'!A:E,5,),"NO REGISTRA")</f>
        <v>AREA FINANCIERA Y CONTABLE</v>
      </c>
    </row>
    <row r="2718" spans="1:5" ht="15.75" x14ac:dyDescent="0.25">
      <c r="A2718" s="10">
        <v>1023883232</v>
      </c>
      <c r="B2718" s="2">
        <v>46073.342219791666</v>
      </c>
      <c r="C2718" s="3" t="str">
        <f>IFERROR(VLOOKUP(A2718,'Base Prueba'!A:C,3,),"NO REGISTRA")</f>
        <v>MONICA ANDREA ACERO URBANO</v>
      </c>
      <c r="D2718" s="4" t="str">
        <f>IFERROR(VLOOKUP(A2718,'Base Prueba'!A:D,4,),"NO REGISTRA")</f>
        <v>APOYO INTEGRAL A GESTION HUMANA</v>
      </c>
      <c r="E2718" s="5" t="str">
        <f>IFERROR(VLOOKUP(A2718,'Base Prueba'!A:E,5,),"NO REGISTRA")</f>
        <v>DEPARTAMENTO DE GESTION HUMANA</v>
      </c>
    </row>
    <row r="2719" spans="1:5" ht="15.75" x14ac:dyDescent="0.25">
      <c r="A2719" s="10">
        <v>80725196</v>
      </c>
      <c r="B2719" s="2">
        <v>46073.342251851849</v>
      </c>
      <c r="C2719" s="3" t="str">
        <f>IFERROR(VLOOKUP(A2719,'Base Prueba'!A:C,3,),"NO REGISTRA")</f>
        <v>YEISON YOSET TOVAR BARBOSA</v>
      </c>
      <c r="D2719" s="4" t="str">
        <f>IFERROR(VLOOKUP(A2719,'Base Prueba'!A:D,4,),"NO REGISTRA")</f>
        <v>LIDER GESTION DOCUMENTAL</v>
      </c>
      <c r="E2719" s="5" t="str">
        <f>IFERROR(VLOOKUP(A2719,'Base Prueba'!A:E,5,),"NO REGISTRA")</f>
        <v>CENTRO DE GESTION DOCUMENTAL</v>
      </c>
    </row>
    <row r="2720" spans="1:5" ht="15.75" x14ac:dyDescent="0.25">
      <c r="A2720" s="10">
        <v>1000687931</v>
      </c>
      <c r="B2720" s="2">
        <v>46073.344754398146</v>
      </c>
      <c r="C2720" s="3" t="str">
        <f>IFERROR(VLOOKUP(A2720,'Base Prueba'!A:C,3,),"NO REGISTRA")</f>
        <v>ANDRES FELIPE PUENTES TORRES</v>
      </c>
      <c r="D2720" s="4" t="str">
        <f>IFERROR(VLOOKUP(A2720,'Base Prueba'!A:D,4,),"NO REGISTRA")</f>
        <v>AUXILIAR ADMINISTRATIVO</v>
      </c>
      <c r="E2720" s="5" t="str">
        <f>IFERROR(VLOOKUP(A2720,'Base Prueba'!A:E,5,),"NO REGISTRA")</f>
        <v>REGISTRO Y CONTROL ACADEMICO</v>
      </c>
    </row>
    <row r="2721" spans="1:5" ht="15.75" x14ac:dyDescent="0.25">
      <c r="A2721" s="10">
        <v>80238161</v>
      </c>
      <c r="B2721" s="2">
        <v>46073.344907060186</v>
      </c>
      <c r="C2721" s="3" t="str">
        <f>IFERROR(VLOOKUP(A2721,'Base Prueba'!A:C,3,),"NO REGISTRA")</f>
        <v>GERMAN CARRANZA ESPITIA</v>
      </c>
      <c r="D2721" s="4" t="str">
        <f>IFERROR(VLOOKUP(A2721,'Base Prueba'!A:D,4,),"NO REGISTRA")</f>
        <v>TESORERO</v>
      </c>
      <c r="E2721" s="5" t="str">
        <f>IFERROR(VLOOKUP(A2721,'Base Prueba'!A:E,5,),"NO REGISTRA")</f>
        <v>AREA FINANCIERA Y CONTABLE</v>
      </c>
    </row>
    <row r="2722" spans="1:5" ht="15.75" x14ac:dyDescent="0.25">
      <c r="A2722" s="10">
        <v>1032469638</v>
      </c>
      <c r="B2722" s="2">
        <v>46073.34913101852</v>
      </c>
      <c r="C2722" s="3" t="str">
        <f>IFERROR(VLOOKUP(A2722,'Base Prueba'!A:C,3,),"NO REGISTRA")</f>
        <v>MAICOL JARBEY GUALTEROS CASTAÑEDA</v>
      </c>
      <c r="D2722" s="4" t="str">
        <f>IFERROR(VLOOKUP(A2722,'Base Prueba'!A:D,4,),"NO REGISTRA")</f>
        <v>COORDINADOR DEL SISTEMA INTERNO DE ASEGURAMIENTO DE LA CALIDAD - SIAC</v>
      </c>
      <c r="E2722" s="5" t="str">
        <f>IFERROR(VLOOKUP(A2722,'Base Prueba'!A:E,5,),"NO REGISTRA")</f>
        <v>OFICINA DE PLANEACION Y GESTION DE LA CALIDAD</v>
      </c>
    </row>
    <row r="2723" spans="1:5" ht="15.75" x14ac:dyDescent="0.25">
      <c r="A2723" s="10">
        <v>1032407386</v>
      </c>
      <c r="B2723" s="2">
        <v>46073.353597106485</v>
      </c>
      <c r="C2723" s="3" t="str">
        <f>IFERROR(VLOOKUP(A2723,'Base Prueba'!A:C,3,),"NO REGISTRA")</f>
        <v>GINA PAOLA BAEZ GALVIS</v>
      </c>
      <c r="D2723" s="4" t="str">
        <f>IFERROR(VLOOKUP(A2723,'Base Prueba'!A:D,4,),"NO REGISTRA")</f>
        <v>PROMOTOR CALL CENTER</v>
      </c>
      <c r="E2723" s="5" t="str">
        <f>IFERROR(VLOOKUP(A2723,'Base Prueba'!A:E,5,),"NO REGISTRA")</f>
        <v>OFICINA DE MERCADEO</v>
      </c>
    </row>
    <row r="2724" spans="1:5" ht="15.75" x14ac:dyDescent="0.25">
      <c r="A2724" s="10">
        <v>1000604979</v>
      </c>
      <c r="B2724" s="2">
        <v>46073.353976388891</v>
      </c>
      <c r="C2724" s="3" t="str">
        <f>IFERROR(VLOOKUP(A2724,'Base Prueba'!A:C,3,),"NO REGISTRA")</f>
        <v>JULIETH TATIANA PARDO PINTO</v>
      </c>
      <c r="D2724" s="4" t="str">
        <f>IFERROR(VLOOKUP(A2724,'Base Prueba'!A:D,4,),"NO REGISTRA")</f>
        <v>AUXILIAR JURIDICO</v>
      </c>
      <c r="E2724" s="5" t="str">
        <f>IFERROR(VLOOKUP(A2724,'Base Prueba'!A:E,5,),"NO REGISTRA")</f>
        <v>SECRETARIA GENERAL</v>
      </c>
    </row>
    <row r="2725" spans="1:5" ht="15.75" x14ac:dyDescent="0.25">
      <c r="A2725" s="10">
        <v>6</v>
      </c>
      <c r="B2725" s="2">
        <v>46073.354615856479</v>
      </c>
      <c r="C2725" s="3" t="str">
        <f>IFERROR(VLOOKUP(A2725,'Base Prueba'!A:C,3,),"NO REGISTRA")</f>
        <v>NO REGISTRA</v>
      </c>
      <c r="D2725" s="4" t="str">
        <f>IFERROR(VLOOKUP(A2725,'Base Prueba'!A:D,4,),"NO REGISTRA")</f>
        <v>NO REGISTRA</v>
      </c>
      <c r="E2725" s="5" t="str">
        <f>IFERROR(VLOOKUP(A2725,'Base Prueba'!A:E,5,),"NO REGISTRA")</f>
        <v>NO REGISTRA</v>
      </c>
    </row>
    <row r="2726" spans="1:5" ht="15.75" x14ac:dyDescent="0.25">
      <c r="A2726" s="10">
        <v>1018413529</v>
      </c>
      <c r="B2726" s="2">
        <v>46073.354621990744</v>
      </c>
      <c r="C2726" s="3" t="str">
        <f>IFERROR(VLOOKUP(A2726,'Base Prueba'!A:C,3,),"NO REGISTRA")</f>
        <v>FRANCY STELLA CHARRY MORENO</v>
      </c>
      <c r="D2726" s="4" t="str">
        <f>IFERROR(VLOOKUP(A2726,'Base Prueba'!A:D,4,),"NO REGISTRA")</f>
        <v>PROMOTOR COMERCIAL DEL CEA</v>
      </c>
      <c r="E2726" s="5" t="str">
        <f>IFERROR(VLOOKUP(A2726,'Base Prueba'!A:E,5,),"NO REGISTRA")</f>
        <v>OFICINA DE MERCADEO</v>
      </c>
    </row>
    <row r="2727" spans="1:5" ht="15.75" x14ac:dyDescent="0.25">
      <c r="A2727" s="10">
        <v>52472386</v>
      </c>
      <c r="B2727" s="2">
        <v>46073.365231597221</v>
      </c>
      <c r="C2727" s="3" t="str">
        <f>IFERROR(VLOOKUP(A2727,'Base Prueba'!A:C,3,),"NO REGISTRA")</f>
        <v>ADRIANA MARCELA MORALES PARDO</v>
      </c>
      <c r="D2727" s="4" t="str">
        <f>IFERROR(VLOOKUP(A2727,'Base Prueba'!A:D,4,),"NO REGISTRA")</f>
        <v>PROMOTOR CALL CENTER</v>
      </c>
      <c r="E2727" s="5" t="str">
        <f>IFERROR(VLOOKUP(A2727,'Base Prueba'!A:E,5,),"NO REGISTRA")</f>
        <v>OFICINA DE MERCADEO</v>
      </c>
    </row>
    <row r="2728" spans="1:5" ht="15.75" x14ac:dyDescent="0.25">
      <c r="A2728" s="10">
        <v>52764929</v>
      </c>
      <c r="B2728" s="2">
        <v>46073.367674074078</v>
      </c>
      <c r="C2728" s="3" t="str">
        <f>IFERROR(VLOOKUP(A2728,'Base Prueba'!A:C,3,),"NO REGISTRA")</f>
        <v>GUERLY YOHANA DURAN RIVERA</v>
      </c>
      <c r="D2728" s="4" t="str">
        <f>IFERROR(VLOOKUP(A2728,'Base Prueba'!A:D,4,),"NO REGISTRA")</f>
        <v>LIDER DE VINCULACION COLEGIOS</v>
      </c>
      <c r="E2728" s="5" t="str">
        <f>IFERROR(VLOOKUP(A2728,'Base Prueba'!A:E,5,),"NO REGISTRA")</f>
        <v>OFICINA DE MERCADEO</v>
      </c>
    </row>
    <row r="2729" spans="1:5" ht="15.75" x14ac:dyDescent="0.25">
      <c r="A2729" s="10">
        <v>1012357415</v>
      </c>
      <c r="B2729" s="2">
        <v>46073.367921874997</v>
      </c>
      <c r="C2729" s="3" t="str">
        <f>IFERROR(VLOOKUP(A2729,'Base Prueba'!A:C,3,),"NO REGISTRA")</f>
        <v>CINDY LORENA BOHORQUEZ LEYVA</v>
      </c>
      <c r="D2729" s="4" t="str">
        <f>IFERROR(VLOOKUP(A2729,'Base Prueba'!A:D,4,),"NO REGISTRA")</f>
        <v>ANALISTA DE TESORERIA</v>
      </c>
      <c r="E2729" s="5" t="str">
        <f>IFERROR(VLOOKUP(A2729,'Base Prueba'!A:E,5,),"NO REGISTRA")</f>
        <v>AREA FINANCIERA Y CONTABLE</v>
      </c>
    </row>
    <row r="2730" spans="1:5" ht="15.75" x14ac:dyDescent="0.25">
      <c r="A2730" s="10">
        <v>1019105003</v>
      </c>
      <c r="B2730" s="2">
        <v>46073.368006481483</v>
      </c>
      <c r="C2730" s="3" t="str">
        <f>IFERROR(VLOOKUP(A2730,'Base Prueba'!A:C,3,),"NO REGISTRA")</f>
        <v>DAISY JULIETH GASPAR MORENO</v>
      </c>
      <c r="D2730" s="4" t="str">
        <f>IFERROR(VLOOKUP(A2730,'Base Prueba'!A:D,4,),"NO REGISTRA")</f>
        <v>PROMOTOR CALL CENTER</v>
      </c>
      <c r="E2730" s="5" t="str">
        <f>IFERROR(VLOOKUP(A2730,'Base Prueba'!A:E,5,),"NO REGISTRA")</f>
        <v>OFICINA DE MERCADEO</v>
      </c>
    </row>
    <row r="2731" spans="1:5" ht="15.75" x14ac:dyDescent="0.25">
      <c r="A2731" s="10">
        <v>1014196857</v>
      </c>
      <c r="B2731" s="2">
        <v>46073.369148148151</v>
      </c>
      <c r="C2731" s="3" t="str">
        <f>IFERROR(VLOOKUP(A2731,'Base Prueba'!A:C,3,),"NO REGISTRA")</f>
        <v>CARLOS ANDRES JIMENEZ PARDO</v>
      </c>
      <c r="D2731" s="4" t="str">
        <f>IFERROR(VLOOKUP(A2731,'Base Prueba'!A:D,4,),"NO REGISTRA")</f>
        <v>COORDINADOR DE MARKETING DIGITAL</v>
      </c>
      <c r="E2731" s="5" t="str">
        <f>IFERROR(VLOOKUP(A2731,'Base Prueba'!A:E,5,),"NO REGISTRA")</f>
        <v>OFICINA DE MERCADEO</v>
      </c>
    </row>
    <row r="2732" spans="1:5" ht="15.75" x14ac:dyDescent="0.25">
      <c r="A2732" s="10">
        <v>1012426741</v>
      </c>
      <c r="B2732" s="2">
        <v>46073.370188078705</v>
      </c>
      <c r="C2732" s="3" t="str">
        <f>IFERROR(VLOOKUP(A2732,'Base Prueba'!A:C,3,),"NO REGISTRA")</f>
        <v>CRISTIAN FABIAN ROJAS SANCENO</v>
      </c>
      <c r="D2732" s="4" t="str">
        <f>IFERROR(VLOOKUP(A2732,'Base Prueba'!A:D,4,),"NO REGISTRA")</f>
        <v>AUXILIAR DE REINTEGROS</v>
      </c>
      <c r="E2732" s="5" t="str">
        <f>IFERROR(VLOOKUP(A2732,'Base Prueba'!A:E,5,),"NO REGISTRA")</f>
        <v>DIRECCION DE BIENESTAR INSTITUCIONAL</v>
      </c>
    </row>
    <row r="2733" spans="1:5" ht="15.75" x14ac:dyDescent="0.25">
      <c r="A2733" s="10">
        <v>80234243</v>
      </c>
      <c r="B2733" s="2">
        <v>46073.373830787037</v>
      </c>
      <c r="C2733" s="3" t="str">
        <f>IFERROR(VLOOKUP(A2733,'Base Prueba'!A:C,3,),"NO REGISTRA")</f>
        <v>ARGENIS MARTINEZ MARTINEZ</v>
      </c>
      <c r="D2733" s="4" t="str">
        <f>IFERROR(VLOOKUP(A2733,'Base Prueba'!A:D,4,),"NO REGISTRA")</f>
        <v>LIDER CALL CENTER</v>
      </c>
      <c r="E2733" s="5" t="str">
        <f>IFERROR(VLOOKUP(A2733,'Base Prueba'!A:E,5,),"NO REGISTRA")</f>
        <v>OFICINA DE MERCADEO</v>
      </c>
    </row>
    <row r="2734" spans="1:5" ht="15.75" x14ac:dyDescent="0.25">
      <c r="A2734" s="10">
        <v>1000161811</v>
      </c>
      <c r="B2734" s="2">
        <v>46073.374335532404</v>
      </c>
      <c r="C2734" s="3" t="str">
        <f>IFERROR(VLOOKUP(A2734,'Base Prueba'!A:C,3,),"NO REGISTRA")</f>
        <v>DIEGO ANDRES VARON ROZO</v>
      </c>
      <c r="D2734" s="4" t="str">
        <f>IFERROR(VLOOKUP(A2734,'Base Prueba'!A:D,4,),"NO REGISTRA")</f>
        <v>APRENDIZ UNIVERSITARIO</v>
      </c>
      <c r="E2734" s="5" t="str">
        <f>IFERROR(VLOOKUP(A2734,'Base Prueba'!A:E,5,),"NO REGISTRA")</f>
        <v>OFICINA DE MERCADEO</v>
      </c>
    </row>
    <row r="2735" spans="1:5" ht="15.75" x14ac:dyDescent="0.25">
      <c r="A2735" s="10">
        <v>28798349</v>
      </c>
      <c r="B2735" s="2">
        <v>46073.376856712966</v>
      </c>
      <c r="C2735" s="3" t="str">
        <f>IFERROR(VLOOKUP(A2735,'Base Prueba'!A:C,3,),"NO REGISTRA")</f>
        <v>MARTHA ISABEL TOVAR WILLIAMS</v>
      </c>
      <c r="D2735" s="4" t="str">
        <f>IFERROR(VLOOKUP(A2735,'Base Prueba'!A:D,4,),"NO REGISTRA")</f>
        <v>PROMOTOR CALL CENTER</v>
      </c>
      <c r="E2735" s="5" t="str">
        <f>IFERROR(VLOOKUP(A2735,'Base Prueba'!A:E,5,),"NO REGISTRA")</f>
        <v>OFICINA DE MERCADEO</v>
      </c>
    </row>
    <row r="2736" spans="1:5" ht="15.75" x14ac:dyDescent="0.25">
      <c r="A2736" s="10">
        <v>6</v>
      </c>
      <c r="B2736" s="2">
        <v>46073.377565740739</v>
      </c>
      <c r="C2736" s="3" t="str">
        <f>IFERROR(VLOOKUP(A2736,'Base Prueba'!A:C,3,),"NO REGISTRA")</f>
        <v>NO REGISTRA</v>
      </c>
      <c r="D2736" s="4" t="str">
        <f>IFERROR(VLOOKUP(A2736,'Base Prueba'!A:D,4,),"NO REGISTRA")</f>
        <v>NO REGISTRA</v>
      </c>
      <c r="E2736" s="5" t="str">
        <f>IFERROR(VLOOKUP(A2736,'Base Prueba'!A:E,5,),"NO REGISTRA")</f>
        <v>NO REGISTRA</v>
      </c>
    </row>
    <row r="2737" spans="1:5" ht="15.75" x14ac:dyDescent="0.25">
      <c r="A2737" s="10">
        <v>53089882</v>
      </c>
      <c r="B2737" s="2">
        <v>46073.377967939814</v>
      </c>
      <c r="C2737" s="3" t="str">
        <f>IFERROR(VLOOKUP(A2737,'Base Prueba'!A:C,3,),"NO REGISTRA")</f>
        <v>MARIA JOHANA ESCAMILLA MARTINEZ</v>
      </c>
      <c r="D2737" s="4" t="str">
        <f>IFERROR(VLOOKUP(A2737,'Base Prueba'!A:D,4,),"NO REGISTRA")</f>
        <v>PROMOTOR DE INFORMACIÓN</v>
      </c>
      <c r="E2737" s="5" t="str">
        <f>IFERROR(VLOOKUP(A2737,'Base Prueba'!A:E,5,),"NO REGISTRA")</f>
        <v>OFICINA DE MERCADEO</v>
      </c>
    </row>
    <row r="2738" spans="1:5" ht="15.75" x14ac:dyDescent="0.25">
      <c r="A2738" s="10">
        <v>1000046533</v>
      </c>
      <c r="B2738" s="2">
        <v>46073.380595717594</v>
      </c>
      <c r="C2738" s="3" t="str">
        <f>IFERROR(VLOOKUP(A2738,'Base Prueba'!A:C,3,),"NO REGISTRA")</f>
        <v>ERIKA JULIETH VALDERRAMA SANCHEZ</v>
      </c>
      <c r="D2738" s="4" t="str">
        <f>IFERROR(VLOOKUP(A2738,'Base Prueba'!A:D,4,),"NO REGISTRA")</f>
        <v>PROMOTOR CALL CENTER</v>
      </c>
      <c r="E2738" s="5" t="str">
        <f>IFERROR(VLOOKUP(A2738,'Base Prueba'!A:E,5,),"NO REGISTRA")</f>
        <v>OFICINA DE MERCADEO</v>
      </c>
    </row>
    <row r="2739" spans="1:5" ht="15.75" x14ac:dyDescent="0.25">
      <c r="A2739" s="10">
        <v>52175674</v>
      </c>
      <c r="B2739" s="2">
        <v>46073.381320370368</v>
      </c>
      <c r="C2739" s="3" t="str">
        <f>IFERROR(VLOOKUP(A2739,'Base Prueba'!A:C,3,),"NO REGISTRA")</f>
        <v>LUZ YANETH GOMEZ AREVALO</v>
      </c>
      <c r="D2739" s="4" t="str">
        <f>IFERROR(VLOOKUP(A2739,'Base Prueba'!A:D,4,),"NO REGISTRA")</f>
        <v>COORDINADORA DE ADMISIONES</v>
      </c>
      <c r="E2739" s="5" t="str">
        <f>IFERROR(VLOOKUP(A2739,'Base Prueba'!A:E,5,),"NO REGISTRA")</f>
        <v>OFICINA DE MERCADEO</v>
      </c>
    </row>
    <row r="2740" spans="1:5" ht="15.75" x14ac:dyDescent="0.25">
      <c r="A2740" s="10">
        <v>1016090131</v>
      </c>
      <c r="B2740" s="2">
        <v>46073.382047453706</v>
      </c>
      <c r="C2740" s="3" t="str">
        <f>IFERROR(VLOOKUP(A2740,'Base Prueba'!A:C,3,),"NO REGISTRA")</f>
        <v>NICOLAS RODRIGUEZ PACHECO</v>
      </c>
      <c r="D2740" s="4" t="str">
        <f>IFERROR(VLOOKUP(A2740,'Base Prueba'!A:D,4,),"NO REGISTRA")</f>
        <v>COORDINADOR DE COMUNICACIONES</v>
      </c>
      <c r="E2740" s="5" t="str">
        <f>IFERROR(VLOOKUP(A2740,'Base Prueba'!A:E,5,),"NO REGISTRA")</f>
        <v>OFICINA DE MERCADEO</v>
      </c>
    </row>
    <row r="2741" spans="1:5" ht="15.75" x14ac:dyDescent="0.25">
      <c r="A2741" s="10">
        <v>1000593372</v>
      </c>
      <c r="B2741" s="2">
        <v>46073.464789814818</v>
      </c>
      <c r="C2741" s="3" t="str">
        <f>IFERROR(VLOOKUP(A2741,'Base Prueba'!A:C,3,),"NO REGISTRA")</f>
        <v>LAURA SOFIA CHAPARRO LOPEZ</v>
      </c>
      <c r="D2741" s="4" t="str">
        <f>IFERROR(VLOOKUP(A2741,'Base Prueba'!A:D,4,),"NO REGISTRA")</f>
        <v>AUXILIAR JURIDICO</v>
      </c>
      <c r="E2741" s="5" t="str">
        <f>IFERROR(VLOOKUP(A2741,'Base Prueba'!A:E,5,),"NO REGISTRA")</f>
        <v>SECRETARIA GENERAL</v>
      </c>
    </row>
    <row r="2742" spans="1:5" ht="15.75" x14ac:dyDescent="0.25">
      <c r="A2742" s="10">
        <v>1023961952</v>
      </c>
      <c r="B2742" s="2">
        <v>46073.563030902777</v>
      </c>
      <c r="C2742" s="3" t="str">
        <f>IFERROR(VLOOKUP(A2742,'Base Prueba'!A:C,3,),"NO REGISTRA")</f>
        <v>ALEJANDRO PINZON MERCHAN</v>
      </c>
      <c r="D2742" s="4" t="str">
        <f>IFERROR(VLOOKUP(A2742,'Base Prueba'!A:D,4,),"NO REGISTRA")</f>
        <v>PROMOTOR CALL CENTER</v>
      </c>
      <c r="E2742" s="5" t="str">
        <f>IFERROR(VLOOKUP(A2742,'Base Prueba'!A:E,5,),"NO REGISTRA")</f>
        <v>OFICINA DE MERCADEO</v>
      </c>
    </row>
    <row r="2743" spans="1:5" ht="15.75" x14ac:dyDescent="0.25">
      <c r="A2743" s="10">
        <v>52443092</v>
      </c>
      <c r="B2743" s="2">
        <v>46073.583982523145</v>
      </c>
      <c r="C2743" s="3" t="str">
        <f>IFERROR(VLOOKUP(A2743,'Base Prueba'!A:C,3,),"NO REGISTRA")</f>
        <v>LUZ MYRIAM SAAVEDRA CONTRERAS</v>
      </c>
      <c r="D2743" s="4" t="str">
        <f>IFERROR(VLOOKUP(A2743,'Base Prueba'!A:D,4,),"NO REGISTRA")</f>
        <v>AUXILIAR DE SERVICIOS</v>
      </c>
      <c r="E2743" s="5" t="str">
        <f>IFERROR(VLOOKUP(A2743,'Base Prueba'!A:E,5,),"NO REGISTRA")</f>
        <v>LOGISTICA Y SERVICIOS GENERALES</v>
      </c>
    </row>
    <row r="2744" spans="1:5" ht="15.75" x14ac:dyDescent="0.25">
      <c r="A2744" s="10">
        <v>1020716152</v>
      </c>
      <c r="B2744" s="2">
        <v>46073.685010300927</v>
      </c>
      <c r="C2744" s="3" t="str">
        <f>IFERROR(VLOOKUP(A2744,'Base Prueba'!A:C,3,),"NO REGISTRA")</f>
        <v>JORGE ARMANDO JURADO PERALTA</v>
      </c>
      <c r="D2744" s="4" t="str">
        <f>IFERROR(VLOOKUP(A2744,'Base Prueba'!A:D,4,),"NO REGISTRA")</f>
        <v>DOCENTE DE TIEMPO COMPLETO</v>
      </c>
      <c r="E2744" s="5" t="str">
        <f>IFERROR(VLOOKUP(A2744,'Base Prueba'!A:E,5,),"NO REGISTRA")</f>
        <v>CIENCIAS DE LA INFORMACION Y BIBLIOTECOLOGIA</v>
      </c>
    </row>
    <row r="2745" spans="1:5" ht="15.75" x14ac:dyDescent="0.25">
      <c r="A2745" s="10">
        <v>1031802160</v>
      </c>
      <c r="B2745" s="2">
        <v>46073.706846412038</v>
      </c>
      <c r="C2745" s="3" t="str">
        <f>IFERROR(VLOOKUP(A2745,'Base Prueba'!A:C,3,),"NO REGISTRA")</f>
        <v>LUISA MARIA MAHECHA SOTOMAYOR</v>
      </c>
      <c r="D2745" s="4" t="str">
        <f>IFERROR(VLOOKUP(A2745,'Base Prueba'!A:D,4,),"NO REGISTRA")</f>
        <v>APRENDIZ UNIVERSITARIO</v>
      </c>
      <c r="E2745" s="5" t="str">
        <f>IFERROR(VLOOKUP(A2745,'Base Prueba'!A:E,5,),"NO REGISTRA")</f>
        <v>OFICINA DE MERCADEO</v>
      </c>
    </row>
    <row r="2746" spans="1:5" ht="15.75" x14ac:dyDescent="0.25">
      <c r="A2746" s="10">
        <v>1000467399</v>
      </c>
      <c r="B2746" s="2">
        <v>46073.709857175927</v>
      </c>
      <c r="C2746" s="3" t="str">
        <f>IFERROR(VLOOKUP(A2746,'Base Prueba'!A:C,3,),"NO REGISTRA")</f>
        <v>BRANDO ESTIVEN DIAZ QUIMBAYA</v>
      </c>
      <c r="D2746" s="4" t="str">
        <f>IFERROR(VLOOKUP(A2746,'Base Prueba'!A:D,4,),"NO REGISTRA")</f>
        <v>APRENDIZ UNIVERSITARIO</v>
      </c>
      <c r="E2746" s="5" t="str">
        <f>IFERROR(VLOOKUP(A2746,'Base Prueba'!A:E,5,),"NO REGISTRA")</f>
        <v>DEPARTAMENTO DE GESTION HUMANA</v>
      </c>
    </row>
    <row r="2747" spans="1:5" ht="15.75" x14ac:dyDescent="0.25">
      <c r="A2747" s="10">
        <v>1000687931</v>
      </c>
      <c r="B2747" s="2">
        <v>46073.710538541665</v>
      </c>
      <c r="C2747" s="3" t="str">
        <f>IFERROR(VLOOKUP(A2747,'Base Prueba'!A:C,3,),"NO REGISTRA")</f>
        <v>ANDRES FELIPE PUENTES TORRES</v>
      </c>
      <c r="D2747" s="4" t="str">
        <f>IFERROR(VLOOKUP(A2747,'Base Prueba'!A:D,4,),"NO REGISTRA")</f>
        <v>AUXILIAR ADMINISTRATIVO</v>
      </c>
      <c r="E2747" s="5" t="str">
        <f>IFERROR(VLOOKUP(A2747,'Base Prueba'!A:E,5,),"NO REGISTRA")</f>
        <v>REGISTRO Y CONTROL ACADEMICO</v>
      </c>
    </row>
    <row r="2748" spans="1:5" ht="15.75" x14ac:dyDescent="0.25">
      <c r="A2748" s="10">
        <v>1012357415</v>
      </c>
      <c r="B2748" s="2">
        <v>46073.711430208336</v>
      </c>
      <c r="C2748" s="3" t="str">
        <f>IFERROR(VLOOKUP(A2748,'Base Prueba'!A:C,3,),"NO REGISTRA")</f>
        <v>CINDY LORENA BOHORQUEZ LEYVA</v>
      </c>
      <c r="D2748" s="4" t="str">
        <f>IFERROR(VLOOKUP(A2748,'Base Prueba'!A:D,4,),"NO REGISTRA")</f>
        <v>ANALISTA DE TESORERIA</v>
      </c>
      <c r="E2748" s="5" t="str">
        <f>IFERROR(VLOOKUP(A2748,'Base Prueba'!A:E,5,),"NO REGISTRA")</f>
        <v>AREA FINANCIERA Y CONTABLE</v>
      </c>
    </row>
    <row r="2749" spans="1:5" ht="15.75" x14ac:dyDescent="0.25">
      <c r="A2749" s="10">
        <v>1193457976</v>
      </c>
      <c r="B2749" s="2">
        <v>46073.711908101854</v>
      </c>
      <c r="C2749" s="3" t="str">
        <f>IFERROR(VLOOKUP(A2749,'Base Prueba'!A:C,3,),"NO REGISTRA")</f>
        <v>SEDENIS RIVAS ASPRILLA</v>
      </c>
      <c r="D2749" s="4" t="str">
        <f>IFERROR(VLOOKUP(A2749,'Base Prueba'!A:D,4,),"NO REGISTRA")</f>
        <v>APRENDIZ UNIVERSITARIO</v>
      </c>
      <c r="E2749" s="5" t="str">
        <f>IFERROR(VLOOKUP(A2749,'Base Prueba'!A:E,5,),"NO REGISTRA")</f>
        <v>DEPARTAMENTO DE GESTION HUMANA</v>
      </c>
    </row>
    <row r="2750" spans="1:5" ht="15.75" x14ac:dyDescent="0.25">
      <c r="A2750" s="10">
        <v>1087121273</v>
      </c>
      <c r="B2750" s="2">
        <v>46073.71208229167</v>
      </c>
      <c r="C2750" s="3" t="str">
        <f>IFERROR(VLOOKUP(A2750,'Base Prueba'!A:C,3,),"NO REGISTRA")</f>
        <v>MAYRA ALEJANDRA CASTILLO ARBOLEDA</v>
      </c>
      <c r="D2750" s="4" t="str">
        <f>IFERROR(VLOOKUP(A2750,'Base Prueba'!A:D,4,),"NO REGISTRA")</f>
        <v>APOYO INTEGRAL DE MERCADEO</v>
      </c>
      <c r="E2750" s="5" t="str">
        <f>IFERROR(VLOOKUP(A2750,'Base Prueba'!A:E,5,),"NO REGISTRA")</f>
        <v>CENTRO DE GESTION DOCUMENTAL</v>
      </c>
    </row>
    <row r="2751" spans="1:5" ht="15.75" x14ac:dyDescent="0.25">
      <c r="A2751" s="10">
        <v>1049644802</v>
      </c>
      <c r="B2751" s="2">
        <v>46073.713347800927</v>
      </c>
      <c r="C2751" s="3" t="str">
        <f>IFERROR(VLOOKUP(A2751,'Base Prueba'!A:C,3,),"NO REGISTRA")</f>
        <v>DANIELA ALEXANDRA CIPAMOCHA BOSIGA</v>
      </c>
      <c r="D2751" s="4" t="str">
        <f>IFERROR(VLOOKUP(A2751,'Base Prueba'!A:D,4,),"NO REGISTRA")</f>
        <v>LIDER DE DATOS Y SERVICIOS</v>
      </c>
      <c r="E2751" s="5" t="str">
        <f>IFERROR(VLOOKUP(A2751,'Base Prueba'!A:E,5,),"NO REGISTRA")</f>
        <v>OFICINA DE PLANEACION Y GESTION DE LA CALIDAD</v>
      </c>
    </row>
    <row r="2752" spans="1:5" ht="15.75" x14ac:dyDescent="0.25">
      <c r="A2752" s="10">
        <v>1032469638</v>
      </c>
      <c r="B2752" s="2">
        <v>46073.713366782409</v>
      </c>
      <c r="C2752" s="3" t="str">
        <f>IFERROR(VLOOKUP(A2752,'Base Prueba'!A:C,3,),"NO REGISTRA")</f>
        <v>MAICOL JARBEY GUALTEROS CASTAÑEDA</v>
      </c>
      <c r="D2752" s="4" t="str">
        <f>IFERROR(VLOOKUP(A2752,'Base Prueba'!A:D,4,),"NO REGISTRA")</f>
        <v>COORDINADOR DEL SISTEMA INTERNO DE ASEGURAMIENTO DE LA CALIDAD - SIAC</v>
      </c>
      <c r="E2752" s="5" t="str">
        <f>IFERROR(VLOOKUP(A2752,'Base Prueba'!A:E,5,),"NO REGISTRA")</f>
        <v>OFICINA DE PLANEACION Y GESTION DE LA CALIDAD</v>
      </c>
    </row>
    <row r="2753" spans="1:5" ht="15.75" x14ac:dyDescent="0.25">
      <c r="A2753" s="10">
        <v>1014308296</v>
      </c>
      <c r="B2753" s="2">
        <v>46073.717359490744</v>
      </c>
      <c r="C2753" s="3" t="str">
        <f>IFERROR(VLOOKUP(A2753,'Base Prueba'!A:C,3,),"NO REGISTRA")</f>
        <v>DARLENE YULIANA MORENO CELEITA</v>
      </c>
      <c r="D2753" s="4" t="str">
        <f>IFERROR(VLOOKUP(A2753,'Base Prueba'!A:D,4,),"NO REGISTRA")</f>
        <v>CAJERO PRINCIPAL</v>
      </c>
      <c r="E2753" s="5" t="str">
        <f>IFERROR(VLOOKUP(A2753,'Base Prueba'!A:E,5,),"NO REGISTRA")</f>
        <v>AREA FINANCIERA Y CONTABLE</v>
      </c>
    </row>
    <row r="2754" spans="1:5" ht="15.75" x14ac:dyDescent="0.25">
      <c r="A2754" s="10">
        <v>1000593372</v>
      </c>
      <c r="B2754" s="2">
        <v>46073.719501273146</v>
      </c>
      <c r="C2754" s="3" t="str">
        <f>IFERROR(VLOOKUP(A2754,'Base Prueba'!A:C,3,),"NO REGISTRA")</f>
        <v>LAURA SOFIA CHAPARRO LOPEZ</v>
      </c>
      <c r="D2754" s="4" t="str">
        <f>IFERROR(VLOOKUP(A2754,'Base Prueba'!A:D,4,),"NO REGISTRA")</f>
        <v>AUXILIAR JURIDICO</v>
      </c>
      <c r="E2754" s="5" t="str">
        <f>IFERROR(VLOOKUP(A2754,'Base Prueba'!A:E,5,),"NO REGISTRA")</f>
        <v>SECRETARIA GENERAL</v>
      </c>
    </row>
    <row r="2755" spans="1:5" ht="15.75" x14ac:dyDescent="0.25">
      <c r="A2755" s="10">
        <v>1000604979</v>
      </c>
      <c r="B2755" s="2">
        <v>46073.71952337963</v>
      </c>
      <c r="C2755" s="3" t="str">
        <f>IFERROR(VLOOKUP(A2755,'Base Prueba'!A:C,3,),"NO REGISTRA")</f>
        <v>JULIETH TATIANA PARDO PINTO</v>
      </c>
      <c r="D2755" s="4" t="str">
        <f>IFERROR(VLOOKUP(A2755,'Base Prueba'!A:D,4,),"NO REGISTRA")</f>
        <v>AUXILIAR JURIDICO</v>
      </c>
      <c r="E2755" s="5" t="str">
        <f>IFERROR(VLOOKUP(A2755,'Base Prueba'!A:E,5,),"NO REGISTRA")</f>
        <v>SECRETARIA GENERAL</v>
      </c>
    </row>
    <row r="2756" spans="1:5" ht="15.75" x14ac:dyDescent="0.25">
      <c r="A2756" s="10">
        <v>1000324729</v>
      </c>
      <c r="B2756" s="2">
        <v>46073.722030555553</v>
      </c>
      <c r="C2756" s="3" t="str">
        <f>IFERROR(VLOOKUP(A2756,'Base Prueba'!A:C,3,),"NO REGISTRA")</f>
        <v>ANYIE VANESSA TINOCO CAMACHO</v>
      </c>
      <c r="D2756" s="4" t="str">
        <f>IFERROR(VLOOKUP(A2756,'Base Prueba'!A:D,4,),"NO REGISTRA")</f>
        <v>LIDER DE REGISTRO Y CONTROL</v>
      </c>
      <c r="E2756" s="5" t="str">
        <f>IFERROR(VLOOKUP(A2756,'Base Prueba'!A:E,5,),"NO REGISTRA")</f>
        <v>REGISTRO Y CONTROL ACADEMICO</v>
      </c>
    </row>
    <row r="2757" spans="1:5" ht="15.75" x14ac:dyDescent="0.25">
      <c r="A2757" s="10">
        <v>80238161</v>
      </c>
      <c r="B2757" s="2">
        <v>46073.730697916668</v>
      </c>
      <c r="C2757" s="3" t="str">
        <f>IFERROR(VLOOKUP(A2757,'Base Prueba'!A:C,3,),"NO REGISTRA")</f>
        <v>GERMAN CARRANZA ESPITIA</v>
      </c>
      <c r="D2757" s="4" t="str">
        <f>IFERROR(VLOOKUP(A2757,'Base Prueba'!A:D,4,),"NO REGISTRA")</f>
        <v>TESORERO</v>
      </c>
      <c r="E2757" s="5" t="str">
        <f>IFERROR(VLOOKUP(A2757,'Base Prueba'!A:E,5,),"NO REGISTRA")</f>
        <v>AREA FINANCIERA Y CONTABLE</v>
      </c>
    </row>
    <row r="2758" spans="1:5" ht="15.75" x14ac:dyDescent="0.25">
      <c r="A2758" s="10">
        <v>1022996882</v>
      </c>
      <c r="B2758" s="2">
        <v>46073.74672476852</v>
      </c>
      <c r="C2758" s="3" t="str">
        <f>IFERROR(VLOOKUP(A2758,'Base Prueba'!A:C,3,),"NO REGISTRA")</f>
        <v>NANCY BRIGITH ALDANA GUEVARA</v>
      </c>
      <c r="D2758" s="4" t="str">
        <f>IFERROR(VLOOKUP(A2758,'Base Prueba'!A:D,4,),"NO REGISTRA")</f>
        <v>COORDINADORA DE GESTIÓN HUMANA</v>
      </c>
      <c r="E2758" s="5" t="str">
        <f>IFERROR(VLOOKUP(A2758,'Base Prueba'!A:E,5,),"NO REGISTRA")</f>
        <v>DEPARTAMENTO DE GESTION HUMANA</v>
      </c>
    </row>
    <row r="2759" spans="1:5" ht="15.75" x14ac:dyDescent="0.25">
      <c r="A2759" s="10">
        <v>1026599257</v>
      </c>
      <c r="B2759" s="2">
        <v>46073.747841203702</v>
      </c>
      <c r="C2759" s="3" t="str">
        <f>IFERROR(VLOOKUP(A2759,'Base Prueba'!A:C,3,),"NO REGISTRA")</f>
        <v>YESENIA PAOLA PINEDA HURTADO</v>
      </c>
      <c r="D2759" s="4" t="str">
        <f>IFERROR(VLOOKUP(A2759,'Base Prueba'!A:D,4,),"NO REGISTRA")</f>
        <v>LIDER DE COMPRAS</v>
      </c>
      <c r="E2759" s="5" t="str">
        <f>IFERROR(VLOOKUP(A2759,'Base Prueba'!A:E,5,),"NO REGISTRA")</f>
        <v>AREA ADMINISTRATIVA</v>
      </c>
    </row>
    <row r="2760" spans="1:5" ht="15.75" x14ac:dyDescent="0.25">
      <c r="A2760" s="10">
        <v>1000457706</v>
      </c>
      <c r="B2760" s="2">
        <v>46073.748415277776</v>
      </c>
      <c r="C2760" s="3" t="str">
        <f>IFERROR(VLOOKUP(A2760,'Base Prueba'!A:C,3,),"NO REGISTRA")</f>
        <v>CRISTIAN DANILO ARROYO SANABRIA</v>
      </c>
      <c r="D2760" s="4" t="str">
        <f>IFERROR(VLOOKUP(A2760,'Base Prueba'!A:D,4,),"NO REGISTRA")</f>
        <v>AUXILIAR CONTABLE</v>
      </c>
      <c r="E2760" s="5" t="str">
        <f>IFERROR(VLOOKUP(A2760,'Base Prueba'!A:E,5,),"NO REGISTRA")</f>
        <v>AREA FINANCIERA Y CONTABLE</v>
      </c>
    </row>
    <row r="2761" spans="1:5" ht="15.75" x14ac:dyDescent="0.25">
      <c r="A2761" s="10">
        <v>1000257136</v>
      </c>
      <c r="B2761" s="2">
        <v>46073.748468981481</v>
      </c>
      <c r="C2761" s="3" t="str">
        <f>IFERROR(VLOOKUP(A2761,'Base Prueba'!A:C,3,),"NO REGISTRA")</f>
        <v>FRANCI VALENTINA CANO PUENTES</v>
      </c>
      <c r="D2761" s="4" t="str">
        <f>IFERROR(VLOOKUP(A2761,'Base Prueba'!A:D,4,),"NO REGISTRA")</f>
        <v>AUXILIAR CONTABLE</v>
      </c>
      <c r="E2761" s="5" t="str">
        <f>IFERROR(VLOOKUP(A2761,'Base Prueba'!A:E,5,),"NO REGISTRA")</f>
        <v>AREA FINANCIERA Y CONTABLE</v>
      </c>
    </row>
    <row r="2762" spans="1:5" ht="15.75" x14ac:dyDescent="0.25">
      <c r="A2762" s="10">
        <v>1012426741</v>
      </c>
      <c r="B2762" s="2">
        <v>46073.750067361114</v>
      </c>
      <c r="C2762" s="3" t="str">
        <f>IFERROR(VLOOKUP(A2762,'Base Prueba'!A:C,3,),"NO REGISTRA")</f>
        <v>CRISTIAN FABIAN ROJAS SANCENO</v>
      </c>
      <c r="D2762" s="4" t="str">
        <f>IFERROR(VLOOKUP(A2762,'Base Prueba'!A:D,4,),"NO REGISTRA")</f>
        <v>AUXILIAR DE REINTEGROS</v>
      </c>
      <c r="E2762" s="5" t="str">
        <f>IFERROR(VLOOKUP(A2762,'Base Prueba'!A:E,5,),"NO REGISTRA")</f>
        <v>DIRECCION DE BIENESTAR INSTITUCIONAL</v>
      </c>
    </row>
    <row r="2763" spans="1:5" ht="15.75" x14ac:dyDescent="0.25">
      <c r="A2763" s="10">
        <v>52175674</v>
      </c>
      <c r="B2763" s="2">
        <v>46073.752247800927</v>
      </c>
      <c r="C2763" s="3" t="str">
        <f>IFERROR(VLOOKUP(A2763,'Base Prueba'!A:C,3,),"NO REGISTRA")</f>
        <v>LUZ YANETH GOMEZ AREVALO</v>
      </c>
      <c r="D2763" s="4" t="str">
        <f>IFERROR(VLOOKUP(A2763,'Base Prueba'!A:D,4,),"NO REGISTRA")</f>
        <v>COORDINADORA DE ADMISIONES</v>
      </c>
      <c r="E2763" s="5" t="str">
        <f>IFERROR(VLOOKUP(A2763,'Base Prueba'!A:E,5,),"NO REGISTRA")</f>
        <v>OFICINA DE MERCADEO</v>
      </c>
    </row>
    <row r="2764" spans="1:5" ht="15.75" x14ac:dyDescent="0.25">
      <c r="A2764" s="10">
        <v>1019105003</v>
      </c>
      <c r="B2764" s="2">
        <v>46073.754849652774</v>
      </c>
      <c r="C2764" s="3" t="str">
        <f>IFERROR(VLOOKUP(A2764,'Base Prueba'!A:C,3,),"NO REGISTRA")</f>
        <v>DAISY JULIETH GASPAR MORENO</v>
      </c>
      <c r="D2764" s="4" t="str">
        <f>IFERROR(VLOOKUP(A2764,'Base Prueba'!A:D,4,),"NO REGISTRA")</f>
        <v>PROMOTOR CALL CENTER</v>
      </c>
      <c r="E2764" s="5" t="str">
        <f>IFERROR(VLOOKUP(A2764,'Base Prueba'!A:E,5,),"NO REGISTRA")</f>
        <v>OFICINA DE MERCADEO</v>
      </c>
    </row>
    <row r="2765" spans="1:5" ht="15.75" x14ac:dyDescent="0.25">
      <c r="A2765" s="10">
        <v>52472386</v>
      </c>
      <c r="B2765" s="2">
        <v>46073.754882638888</v>
      </c>
      <c r="C2765" s="3" t="str">
        <f>IFERROR(VLOOKUP(A2765,'Base Prueba'!A:C,3,),"NO REGISTRA")</f>
        <v>ADRIANA MARCELA MORALES PARDO</v>
      </c>
      <c r="D2765" s="4" t="str">
        <f>IFERROR(VLOOKUP(A2765,'Base Prueba'!A:D,4,),"NO REGISTRA")</f>
        <v>PROMOTOR CALL CENTER</v>
      </c>
      <c r="E2765" s="5" t="str">
        <f>IFERROR(VLOOKUP(A2765,'Base Prueba'!A:E,5,),"NO REGISTRA")</f>
        <v>OFICINA DE MERCADEO</v>
      </c>
    </row>
    <row r="2766" spans="1:5" ht="15.75" x14ac:dyDescent="0.25">
      <c r="A2766" s="10">
        <v>1000046533</v>
      </c>
      <c r="B2766" s="2">
        <v>46073.75635358796</v>
      </c>
      <c r="C2766" s="3" t="str">
        <f>IFERROR(VLOOKUP(A2766,'Base Prueba'!A:C,3,),"NO REGISTRA")</f>
        <v>ERIKA JULIETH VALDERRAMA SANCHEZ</v>
      </c>
      <c r="D2766" s="4" t="str">
        <f>IFERROR(VLOOKUP(A2766,'Base Prueba'!A:D,4,),"NO REGISTRA")</f>
        <v>PROMOTOR CALL CENTER</v>
      </c>
      <c r="E2766" s="5" t="str">
        <f>IFERROR(VLOOKUP(A2766,'Base Prueba'!A:E,5,),"NO REGISTRA")</f>
        <v>OFICINA DE MERCADEO</v>
      </c>
    </row>
    <row r="2767" spans="1:5" ht="15.75" x14ac:dyDescent="0.25">
      <c r="A2767" s="10">
        <v>1018414290</v>
      </c>
      <c r="B2767" s="2">
        <v>46073.756582060189</v>
      </c>
      <c r="C2767" s="3" t="str">
        <f>IFERROR(VLOOKUP(A2767,'Base Prueba'!A:C,3,),"NO REGISTRA")</f>
        <v>AMANDA LISBETH RODRIGUEZ LEON</v>
      </c>
      <c r="D2767" s="4" t="str">
        <f>IFERROR(VLOOKUP(A2767,'Base Prueba'!A:D,4,),"NO REGISTRA")</f>
        <v>PROMOTOR CALL CENTER</v>
      </c>
      <c r="E2767" s="5" t="str">
        <f>IFERROR(VLOOKUP(A2767,'Base Prueba'!A:E,5,),"NO REGISTRA")</f>
        <v>OFICINA DE MERCADEO</v>
      </c>
    </row>
    <row r="2768" spans="1:5" ht="15.75" x14ac:dyDescent="0.25">
      <c r="A2768" s="10">
        <v>28798349</v>
      </c>
      <c r="B2768" s="2">
        <v>46073.758969097224</v>
      </c>
      <c r="C2768" s="3" t="str">
        <f>IFERROR(VLOOKUP(A2768,'Base Prueba'!A:C,3,),"NO REGISTRA")</f>
        <v>MARTHA ISABEL TOVAR WILLIAMS</v>
      </c>
      <c r="D2768" s="4" t="str">
        <f>IFERROR(VLOOKUP(A2768,'Base Prueba'!A:D,4,),"NO REGISTRA")</f>
        <v>PROMOTOR CALL CENTER</v>
      </c>
      <c r="E2768" s="5" t="str">
        <f>IFERROR(VLOOKUP(A2768,'Base Prueba'!A:E,5,),"NO REGISTRA")</f>
        <v>OFICINA DE MERCADEO</v>
      </c>
    </row>
    <row r="2769" spans="1:5" ht="15.75" x14ac:dyDescent="0.25">
      <c r="A2769" s="10">
        <v>1023961952</v>
      </c>
      <c r="B2769" s="2">
        <v>46073.759243865738</v>
      </c>
      <c r="C2769" s="3" t="str">
        <f>IFERROR(VLOOKUP(A2769,'Base Prueba'!A:C,3,),"NO REGISTRA")</f>
        <v>ALEJANDRO PINZON MERCHAN</v>
      </c>
      <c r="D2769" s="4" t="str">
        <f>IFERROR(VLOOKUP(A2769,'Base Prueba'!A:D,4,),"NO REGISTRA")</f>
        <v>PROMOTOR CALL CENTER</v>
      </c>
      <c r="E2769" s="5" t="str">
        <f>IFERROR(VLOOKUP(A2769,'Base Prueba'!A:E,5,),"NO REGISTRA")</f>
        <v>OFICINA DE MERCADEO</v>
      </c>
    </row>
    <row r="2770" spans="1:5" ht="15.75" x14ac:dyDescent="0.25">
      <c r="A2770" s="10">
        <v>1032407386</v>
      </c>
      <c r="B2770" s="2">
        <v>46073.760107060189</v>
      </c>
      <c r="C2770" s="3" t="str">
        <f>IFERROR(VLOOKUP(A2770,'Base Prueba'!A:C,3,),"NO REGISTRA")</f>
        <v>GINA PAOLA BAEZ GALVIS</v>
      </c>
      <c r="D2770" s="4" t="str">
        <f>IFERROR(VLOOKUP(A2770,'Base Prueba'!A:D,4,),"NO REGISTRA")</f>
        <v>PROMOTOR CALL CENTER</v>
      </c>
      <c r="E2770" s="5" t="str">
        <f>IFERROR(VLOOKUP(A2770,'Base Prueba'!A:E,5,),"NO REGISTRA")</f>
        <v>OFICINA DE MERCADEO</v>
      </c>
    </row>
    <row r="2771" spans="1:5" ht="15.75" x14ac:dyDescent="0.25">
      <c r="A2771" s="10">
        <v>53089882</v>
      </c>
      <c r="B2771" s="2">
        <v>46073.760733564814</v>
      </c>
      <c r="C2771" s="3" t="str">
        <f>IFERROR(VLOOKUP(A2771,'Base Prueba'!A:C,3,),"NO REGISTRA")</f>
        <v>MARIA JOHANA ESCAMILLA MARTINEZ</v>
      </c>
      <c r="D2771" s="4" t="str">
        <f>IFERROR(VLOOKUP(A2771,'Base Prueba'!A:D,4,),"NO REGISTRA")</f>
        <v>PROMOTOR DE INFORMACIÓN</v>
      </c>
      <c r="E2771" s="5" t="str">
        <f>IFERROR(VLOOKUP(A2771,'Base Prueba'!A:E,5,),"NO REGISTRA")</f>
        <v>OFICINA DE MERCADEO</v>
      </c>
    </row>
    <row r="2772" spans="1:5" ht="15.75" x14ac:dyDescent="0.25">
      <c r="A2772" s="10">
        <v>1018413529</v>
      </c>
      <c r="B2772" s="2">
        <v>46073.760927662035</v>
      </c>
      <c r="C2772" s="3" t="str">
        <f>IFERROR(VLOOKUP(A2772,'Base Prueba'!A:C,3,),"NO REGISTRA")</f>
        <v>FRANCY STELLA CHARRY MORENO</v>
      </c>
      <c r="D2772" s="4" t="str">
        <f>IFERROR(VLOOKUP(A2772,'Base Prueba'!A:D,4,),"NO REGISTRA")</f>
        <v>PROMOTOR COMERCIAL DEL CEA</v>
      </c>
      <c r="E2772" s="5" t="str">
        <f>IFERROR(VLOOKUP(A2772,'Base Prueba'!A:E,5,),"NO REGISTRA")</f>
        <v>OFICINA DE MERCADEO</v>
      </c>
    </row>
    <row r="2773" spans="1:5" ht="15.75" x14ac:dyDescent="0.25">
      <c r="A2773" s="10">
        <v>1193265768</v>
      </c>
      <c r="B2773" s="2">
        <v>46073.769065046297</v>
      </c>
      <c r="C2773" s="3" t="str">
        <f>IFERROR(VLOOKUP(A2773,'Base Prueba'!A:C,3,),"NO REGISTRA")</f>
        <v>SANTIAGO OSORIO CAMACHO</v>
      </c>
      <c r="D2773" s="4" t="str">
        <f>IFERROR(VLOOKUP(A2773,'Base Prueba'!A:D,4,),"NO REGISTRA")</f>
        <v>ANALISTA DE PAUTA</v>
      </c>
      <c r="E2773" s="5" t="str">
        <f>IFERROR(VLOOKUP(A2773,'Base Prueba'!A:E,5,),"NO REGISTRA")</f>
        <v>OFICINA DE MERCADEO</v>
      </c>
    </row>
    <row r="2774" spans="1:5" ht="15.75" x14ac:dyDescent="0.25">
      <c r="A2774" s="10">
        <v>1014196857</v>
      </c>
      <c r="B2774" s="2">
        <v>46073.769164467594</v>
      </c>
      <c r="C2774" s="3" t="str">
        <f>IFERROR(VLOOKUP(A2774,'Base Prueba'!A:C,3,),"NO REGISTRA")</f>
        <v>CARLOS ANDRES JIMENEZ PARDO</v>
      </c>
      <c r="D2774" s="4" t="str">
        <f>IFERROR(VLOOKUP(A2774,'Base Prueba'!A:D,4,),"NO REGISTRA")</f>
        <v>COORDINADOR DE MARKETING DIGITAL</v>
      </c>
      <c r="E2774" s="5" t="str">
        <f>IFERROR(VLOOKUP(A2774,'Base Prueba'!A:E,5,),"NO REGISTRA")</f>
        <v>OFICINA DE MERCADEO</v>
      </c>
    </row>
    <row r="2775" spans="1:5" ht="15.75" x14ac:dyDescent="0.25">
      <c r="A2775" s="10">
        <v>52764929</v>
      </c>
      <c r="B2775" s="2">
        <v>46073.769868981479</v>
      </c>
      <c r="C2775" s="3" t="str">
        <f>IFERROR(VLOOKUP(A2775,'Base Prueba'!A:C,3,),"NO REGISTRA")</f>
        <v>GUERLY YOHANA DURAN RIVERA</v>
      </c>
      <c r="D2775" s="4" t="str">
        <f>IFERROR(VLOOKUP(A2775,'Base Prueba'!A:D,4,),"NO REGISTRA")</f>
        <v>LIDER DE VINCULACION COLEGIOS</v>
      </c>
      <c r="E2775" s="5" t="str">
        <f>IFERROR(VLOOKUP(A2775,'Base Prueba'!A:E,5,),"NO REGISTRA")</f>
        <v>OFICINA DE MERCADEO</v>
      </c>
    </row>
    <row r="2776" spans="1:5" ht="15.75" x14ac:dyDescent="0.25">
      <c r="A2776" s="10">
        <v>1000161811</v>
      </c>
      <c r="B2776" s="2">
        <v>46073.774302893522</v>
      </c>
      <c r="C2776" s="3" t="str">
        <f>IFERROR(VLOOKUP(A2776,'Base Prueba'!A:C,3,),"NO REGISTRA")</f>
        <v>DIEGO ANDRES VARON ROZO</v>
      </c>
      <c r="D2776" s="4" t="str">
        <f>IFERROR(VLOOKUP(A2776,'Base Prueba'!A:D,4,),"NO REGISTRA")</f>
        <v>APRENDIZ UNIVERSITARIO</v>
      </c>
      <c r="E2776" s="5" t="str">
        <f>IFERROR(VLOOKUP(A2776,'Base Prueba'!A:E,5,),"NO REGISTRA")</f>
        <v>OFICINA DE MERCADEO</v>
      </c>
    </row>
    <row r="2777" spans="1:5" ht="15.75" x14ac:dyDescent="0.25">
      <c r="A2777" s="10">
        <v>52474489</v>
      </c>
      <c r="B2777" s="2">
        <v>46073.778270601855</v>
      </c>
      <c r="C2777" s="3" t="str">
        <f>IFERROR(VLOOKUP(A2777,'Base Prueba'!A:C,3,),"NO REGISTRA")</f>
        <v>ADRIANA JIMENA SOTO BOCANEGRA</v>
      </c>
      <c r="D2777" s="4" t="str">
        <f>IFERROR(VLOOKUP(A2777,'Base Prueba'!A:D,4,),"NO REGISTRA")</f>
        <v>COORDINADOR DE LA OFICINA DE REGISTRO Y CONTROL</v>
      </c>
      <c r="E2777" s="5" t="str">
        <f>IFERROR(VLOOKUP(A2777,'Base Prueba'!A:E,5,),"NO REGISTRA")</f>
        <v>REGISTRO Y CONTROL ACADEMICO</v>
      </c>
    </row>
    <row r="2778" spans="1:5" ht="15.75" x14ac:dyDescent="0.25">
      <c r="A2778" s="10">
        <v>80234243</v>
      </c>
      <c r="B2778" s="2">
        <v>46073.779671990742</v>
      </c>
      <c r="C2778" s="3" t="str">
        <f>IFERROR(VLOOKUP(A2778,'Base Prueba'!A:C,3,),"NO REGISTRA")</f>
        <v>ARGENIS MARTINEZ MARTINEZ</v>
      </c>
      <c r="D2778" s="4" t="str">
        <f>IFERROR(VLOOKUP(A2778,'Base Prueba'!A:D,4,),"NO REGISTRA")</f>
        <v>LIDER CALL CENTER</v>
      </c>
      <c r="E2778" s="5" t="str">
        <f>IFERROR(VLOOKUP(A2778,'Base Prueba'!A:E,5,),"NO REGISTRA")</f>
        <v>OFICINA DE MERCADEO</v>
      </c>
    </row>
    <row r="2779" spans="1:5" ht="15.75" x14ac:dyDescent="0.25">
      <c r="A2779" s="10">
        <v>1013616244</v>
      </c>
      <c r="B2779" s="2">
        <v>46073.783954398146</v>
      </c>
      <c r="C2779" s="3" t="str">
        <f>IFERROR(VLOOKUP(A2779,'Base Prueba'!A:C,3,),"NO REGISTRA")</f>
        <v>DIANA CAROLINA MARIN BETANCOURT</v>
      </c>
      <c r="D2779" s="4" t="str">
        <f>IFERROR(VLOOKUP(A2779,'Base Prueba'!A:D,4,),"NO REGISTRA")</f>
        <v>AUXILIAR ADMINISTRATIVO</v>
      </c>
      <c r="E2779" s="5" t="str">
        <f>IFERROR(VLOOKUP(A2779,'Base Prueba'!A:E,5,),"NO REGISTRA")</f>
        <v>REGISTRO Y CONTROL ACADEMICO</v>
      </c>
    </row>
    <row r="2780" spans="1:5" ht="15.75" x14ac:dyDescent="0.25">
      <c r="A2780" s="10">
        <v>1016090131</v>
      </c>
      <c r="B2780" s="2">
        <v>46073.796338657405</v>
      </c>
      <c r="C2780" s="3" t="str">
        <f>IFERROR(VLOOKUP(A2780,'Base Prueba'!A:C,3,),"NO REGISTRA")</f>
        <v>NICOLAS RODRIGUEZ PACHECO</v>
      </c>
      <c r="D2780" s="4" t="str">
        <f>IFERROR(VLOOKUP(A2780,'Base Prueba'!A:D,4,),"NO REGISTRA")</f>
        <v>COORDINADOR DE COMUNICACIONES</v>
      </c>
      <c r="E2780" s="5" t="str">
        <f>IFERROR(VLOOKUP(A2780,'Base Prueba'!A:E,5,),"NO REGISTRA")</f>
        <v>OFICINA DE MERCADEO</v>
      </c>
    </row>
    <row r="2781" spans="1:5" ht="15.75" x14ac:dyDescent="0.25">
      <c r="A2781" s="10">
        <v>53932358</v>
      </c>
      <c r="B2781" s="2">
        <v>46073.85794976852</v>
      </c>
      <c r="C2781" s="3" t="str">
        <f>IFERROR(VLOOKUP(A2781,'Base Prueba'!A:C,3,),"NO REGISTRA")</f>
        <v>DIANA MADELEYNE GAONA RODRIGUEZ</v>
      </c>
      <c r="D2781" s="4" t="str">
        <f>IFERROR(VLOOKUP(A2781,'Base Prueba'!A:D,4,),"NO REGISTRA")</f>
        <v>CONTADOR</v>
      </c>
      <c r="E2781" s="5" t="str">
        <f>IFERROR(VLOOKUP(A2781,'Base Prueba'!A:E,5,),"NO REGISTRA")</f>
        <v>AREA FINANCIERA Y CONTABLE</v>
      </c>
    </row>
    <row r="2782" spans="1:5" ht="15.75" x14ac:dyDescent="0.25">
      <c r="A2782" s="10">
        <v>1013616244</v>
      </c>
      <c r="B2782" s="2">
        <v>46074.306879861113</v>
      </c>
      <c r="C2782" s="3" t="str">
        <f>IFERROR(VLOOKUP(A2782,'Base Prueba'!A:C,3,),"NO REGISTRA")</f>
        <v>DIANA CAROLINA MARIN BETANCOURT</v>
      </c>
      <c r="D2782" s="4" t="str">
        <f>IFERROR(VLOOKUP(A2782,'Base Prueba'!A:D,4,),"NO REGISTRA")</f>
        <v>AUXILIAR ADMINISTRATIVO</v>
      </c>
      <c r="E2782" s="5" t="str">
        <f>IFERROR(VLOOKUP(A2782,'Base Prueba'!A:E,5,),"NO REGISTRA")</f>
        <v>REGISTRO Y CONTROL ACADEMICO</v>
      </c>
    </row>
    <row r="2783" spans="1:5" ht="15.75" x14ac:dyDescent="0.25">
      <c r="A2783" s="10">
        <v>80234243</v>
      </c>
      <c r="B2783" s="2">
        <v>46074.333135069443</v>
      </c>
      <c r="C2783" s="3" t="str">
        <f>IFERROR(VLOOKUP(A2783,'Base Prueba'!A:C,3,),"NO REGISTRA")</f>
        <v>ARGENIS MARTINEZ MARTINEZ</v>
      </c>
      <c r="D2783" s="4" t="str">
        <f>IFERROR(VLOOKUP(A2783,'Base Prueba'!A:D,4,),"NO REGISTRA")</f>
        <v>LIDER CALL CENTER</v>
      </c>
      <c r="E2783" s="5" t="str">
        <f>IFERROR(VLOOKUP(A2783,'Base Prueba'!A:E,5,),"NO REGISTRA")</f>
        <v>OFICINA DE MERCADEO</v>
      </c>
    </row>
    <row r="2784" spans="1:5" ht="15.75" x14ac:dyDescent="0.25">
      <c r="A2784" s="10">
        <v>1031802160</v>
      </c>
      <c r="B2784" s="2">
        <v>46074.334162037034</v>
      </c>
      <c r="C2784" s="3" t="str">
        <f>IFERROR(VLOOKUP(A2784,'Base Prueba'!A:C,3,),"NO REGISTRA")</f>
        <v>LUISA MARIA MAHECHA SOTOMAYOR</v>
      </c>
      <c r="D2784" s="4" t="str">
        <f>IFERROR(VLOOKUP(A2784,'Base Prueba'!A:D,4,),"NO REGISTRA")</f>
        <v>APRENDIZ UNIVERSITARIO</v>
      </c>
      <c r="E2784" s="5" t="str">
        <f>IFERROR(VLOOKUP(A2784,'Base Prueba'!A:E,5,),"NO REGISTRA")</f>
        <v>OFICINA DE MERCADEO</v>
      </c>
    </row>
    <row r="2785" spans="1:5" ht="15.75" x14ac:dyDescent="0.25">
      <c r="A2785" s="10">
        <v>1022996882</v>
      </c>
      <c r="B2785" s="2">
        <v>46074.334525694445</v>
      </c>
      <c r="C2785" s="3" t="str">
        <f>IFERROR(VLOOKUP(A2785,'Base Prueba'!A:C,3,),"NO REGISTRA")</f>
        <v>NANCY BRIGITH ALDANA GUEVARA</v>
      </c>
      <c r="D2785" s="4" t="str">
        <f>IFERROR(VLOOKUP(A2785,'Base Prueba'!A:D,4,),"NO REGISTRA")</f>
        <v>COORDINADORA DE GESTIÓN HUMANA</v>
      </c>
      <c r="E2785" s="5" t="str">
        <f>IFERROR(VLOOKUP(A2785,'Base Prueba'!A:E,5,),"NO REGISTRA")</f>
        <v>DEPARTAMENTO DE GESTION HUMANA</v>
      </c>
    </row>
    <row r="2786" spans="1:5" ht="15.75" x14ac:dyDescent="0.25">
      <c r="A2786" s="10">
        <v>1000324729</v>
      </c>
      <c r="B2786" s="2">
        <v>46074.335145138888</v>
      </c>
      <c r="C2786" s="3" t="str">
        <f>IFERROR(VLOOKUP(A2786,'Base Prueba'!A:C,3,),"NO REGISTRA")</f>
        <v>ANYIE VANESSA TINOCO CAMACHO</v>
      </c>
      <c r="D2786" s="4" t="str">
        <f>IFERROR(VLOOKUP(A2786,'Base Prueba'!A:D,4,),"NO REGISTRA")</f>
        <v>LIDER DE REGISTRO Y CONTROL</v>
      </c>
      <c r="E2786" s="5" t="str">
        <f>IFERROR(VLOOKUP(A2786,'Base Prueba'!A:E,5,),"NO REGISTRA")</f>
        <v>REGISTRO Y CONTROL ACADEMICO</v>
      </c>
    </row>
    <row r="2787" spans="1:5" ht="15.75" x14ac:dyDescent="0.25">
      <c r="A2787" s="10">
        <v>1000257136</v>
      </c>
      <c r="B2787" s="2">
        <v>46074.338683912036</v>
      </c>
      <c r="C2787" s="3" t="str">
        <f>IFERROR(VLOOKUP(A2787,'Base Prueba'!A:C,3,),"NO REGISTRA")</f>
        <v>FRANCI VALENTINA CANO PUENTES</v>
      </c>
      <c r="D2787" s="4" t="str">
        <f>IFERROR(VLOOKUP(A2787,'Base Prueba'!A:D,4,),"NO REGISTRA")</f>
        <v>AUXILIAR CONTABLE</v>
      </c>
      <c r="E2787" s="5" t="str">
        <f>IFERROR(VLOOKUP(A2787,'Base Prueba'!A:E,5,),"NO REGISTRA")</f>
        <v>AREA FINANCIERA Y CONTABLE</v>
      </c>
    </row>
    <row r="2788" spans="1:5" ht="15.75" x14ac:dyDescent="0.25">
      <c r="A2788" s="10">
        <v>1016090131</v>
      </c>
      <c r="B2788" s="2">
        <v>46074.34931597222</v>
      </c>
      <c r="C2788" s="3" t="str">
        <f>IFERROR(VLOOKUP(A2788,'Base Prueba'!A:C,3,),"NO REGISTRA")</f>
        <v>NICOLAS RODRIGUEZ PACHECO</v>
      </c>
      <c r="D2788" s="4" t="str">
        <f>IFERROR(VLOOKUP(A2788,'Base Prueba'!A:D,4,),"NO REGISTRA")</f>
        <v>COORDINADOR DE COMUNICACIONES</v>
      </c>
      <c r="E2788" s="5" t="str">
        <f>IFERROR(VLOOKUP(A2788,'Base Prueba'!A:E,5,),"NO REGISTRA")</f>
        <v>OFICINA DE MERCADEO</v>
      </c>
    </row>
    <row r="2789" spans="1:5" ht="15.75" x14ac:dyDescent="0.25">
      <c r="A2789" s="10">
        <v>52472386</v>
      </c>
      <c r="B2789" s="2">
        <v>46074.351142013889</v>
      </c>
      <c r="C2789" s="3" t="str">
        <f>IFERROR(VLOOKUP(A2789,'Base Prueba'!A:C,3,),"NO REGISTRA")</f>
        <v>ADRIANA MARCELA MORALES PARDO</v>
      </c>
      <c r="D2789" s="4" t="str">
        <f>IFERROR(VLOOKUP(A2789,'Base Prueba'!A:D,4,),"NO REGISTRA")</f>
        <v>PROMOTOR CALL CENTER</v>
      </c>
      <c r="E2789" s="5" t="str">
        <f>IFERROR(VLOOKUP(A2789,'Base Prueba'!A:E,5,),"NO REGISTRA")</f>
        <v>OFICINA DE MERCADEO</v>
      </c>
    </row>
    <row r="2790" spans="1:5" ht="15.75" x14ac:dyDescent="0.25">
      <c r="A2790" s="10">
        <v>1018414290</v>
      </c>
      <c r="B2790" s="2">
        <v>46074.353653356484</v>
      </c>
      <c r="C2790" s="3" t="str">
        <f>IFERROR(VLOOKUP(A2790,'Base Prueba'!A:C,3,),"NO REGISTRA")</f>
        <v>AMANDA LISBETH RODRIGUEZ LEON</v>
      </c>
      <c r="D2790" s="4" t="str">
        <f>IFERROR(VLOOKUP(A2790,'Base Prueba'!A:D,4,),"NO REGISTRA")</f>
        <v>PROMOTOR CALL CENTER</v>
      </c>
      <c r="E2790" s="5" t="str">
        <f>IFERROR(VLOOKUP(A2790,'Base Prueba'!A:E,5,),"NO REGISTRA")</f>
        <v>OFICINA DE MERCADEO</v>
      </c>
    </row>
    <row r="2791" spans="1:5" ht="15.75" x14ac:dyDescent="0.25">
      <c r="A2791" s="10">
        <v>1000604979</v>
      </c>
      <c r="B2791" s="2">
        <v>46074.358162037039</v>
      </c>
      <c r="C2791" s="3" t="str">
        <f>IFERROR(VLOOKUP(A2791,'Base Prueba'!A:C,3,),"NO REGISTRA")</f>
        <v>JULIETH TATIANA PARDO PINTO</v>
      </c>
      <c r="D2791" s="4" t="str">
        <f>IFERROR(VLOOKUP(A2791,'Base Prueba'!A:D,4,),"NO REGISTRA")</f>
        <v>AUXILIAR JURIDICO</v>
      </c>
      <c r="E2791" s="5" t="str">
        <f>IFERROR(VLOOKUP(A2791,'Base Prueba'!A:E,5,),"NO REGISTRA")</f>
        <v>SECRETARIA GENERAL</v>
      </c>
    </row>
    <row r="2792" spans="1:5" ht="15.75" x14ac:dyDescent="0.25">
      <c r="A2792" s="10">
        <v>1000046533</v>
      </c>
      <c r="B2792" s="2">
        <v>46074.367016319447</v>
      </c>
      <c r="C2792" s="3" t="str">
        <f>IFERROR(VLOOKUP(A2792,'Base Prueba'!A:C,3,),"NO REGISTRA")</f>
        <v>ERIKA JULIETH VALDERRAMA SANCHEZ</v>
      </c>
      <c r="D2792" s="4" t="str">
        <f>IFERROR(VLOOKUP(A2792,'Base Prueba'!A:D,4,),"NO REGISTRA")</f>
        <v>PROMOTOR CALL CENTER</v>
      </c>
      <c r="E2792" s="5" t="str">
        <f>IFERROR(VLOOKUP(A2792,'Base Prueba'!A:E,5,),"NO REGISTRA")</f>
        <v>OFICINA DE MERCADEO</v>
      </c>
    </row>
    <row r="2793" spans="1:5" ht="15.75" x14ac:dyDescent="0.25">
      <c r="A2793" s="10">
        <v>1019105003</v>
      </c>
      <c r="B2793" s="2">
        <v>46074.367786574076</v>
      </c>
      <c r="C2793" s="3" t="str">
        <f>IFERROR(VLOOKUP(A2793,'Base Prueba'!A:C,3,),"NO REGISTRA")</f>
        <v>DAISY JULIETH GASPAR MORENO</v>
      </c>
      <c r="D2793" s="4" t="str">
        <f>IFERROR(VLOOKUP(A2793,'Base Prueba'!A:D,4,),"NO REGISTRA")</f>
        <v>PROMOTOR CALL CENTER</v>
      </c>
      <c r="E2793" s="5" t="str">
        <f>IFERROR(VLOOKUP(A2793,'Base Prueba'!A:E,5,),"NO REGISTRA")</f>
        <v>OFICINA DE MERCADEO</v>
      </c>
    </row>
    <row r="2794" spans="1:5" ht="15.75" x14ac:dyDescent="0.25">
      <c r="A2794" s="10">
        <v>1018413529</v>
      </c>
      <c r="B2794" s="2">
        <v>46074.368378472223</v>
      </c>
      <c r="C2794" s="3" t="str">
        <f>IFERROR(VLOOKUP(A2794,'Base Prueba'!A:C,3,),"NO REGISTRA")</f>
        <v>FRANCY STELLA CHARRY MORENO</v>
      </c>
      <c r="D2794" s="4" t="str">
        <f>IFERROR(VLOOKUP(A2794,'Base Prueba'!A:D,4,),"NO REGISTRA")</f>
        <v>PROMOTOR COMERCIAL DEL CEA</v>
      </c>
      <c r="E2794" s="5" t="str">
        <f>IFERROR(VLOOKUP(A2794,'Base Prueba'!A:E,5,),"NO REGISTRA")</f>
        <v>OFICINA DE MERCADEO</v>
      </c>
    </row>
    <row r="2795" spans="1:5" ht="15.75" x14ac:dyDescent="0.25">
      <c r="A2795" s="10">
        <v>1087121273</v>
      </c>
      <c r="B2795" s="2">
        <v>46074.371041782404</v>
      </c>
      <c r="C2795" s="3" t="str">
        <f>IFERROR(VLOOKUP(A2795,'Base Prueba'!A:C,3,),"NO REGISTRA")</f>
        <v>MAYRA ALEJANDRA CASTILLO ARBOLEDA</v>
      </c>
      <c r="D2795" s="4" t="str">
        <f>IFERROR(VLOOKUP(A2795,'Base Prueba'!A:D,4,),"NO REGISTRA")</f>
        <v>APOYO INTEGRAL DE MERCADEO</v>
      </c>
      <c r="E2795" s="5" t="str">
        <f>IFERROR(VLOOKUP(A2795,'Base Prueba'!A:E,5,),"NO REGISTRA")</f>
        <v>CENTRO DE GESTION DOCUMENTAL</v>
      </c>
    </row>
    <row r="2796" spans="1:5" ht="15.75" x14ac:dyDescent="0.25">
      <c r="A2796" s="10">
        <v>1012426741</v>
      </c>
      <c r="B2796" s="2">
        <v>46074.371192592589</v>
      </c>
      <c r="C2796" s="3" t="str">
        <f>IFERROR(VLOOKUP(A2796,'Base Prueba'!A:C,3,),"NO REGISTRA")</f>
        <v>CRISTIAN FABIAN ROJAS SANCENO</v>
      </c>
      <c r="D2796" s="4" t="str">
        <f>IFERROR(VLOOKUP(A2796,'Base Prueba'!A:D,4,),"NO REGISTRA")</f>
        <v>AUXILIAR DE REINTEGROS</v>
      </c>
      <c r="E2796" s="5" t="str">
        <f>IFERROR(VLOOKUP(A2796,'Base Prueba'!A:E,5,),"NO REGISTRA")</f>
        <v>DIRECCION DE BIENESTAR INSTITUCIONAL</v>
      </c>
    </row>
    <row r="2797" spans="1:5" ht="15.75" x14ac:dyDescent="0.25">
      <c r="A2797" s="10">
        <v>52175674</v>
      </c>
      <c r="B2797" s="2">
        <v>46074.372601157411</v>
      </c>
      <c r="C2797" s="3" t="str">
        <f>IFERROR(VLOOKUP(A2797,'Base Prueba'!A:C,3,),"NO REGISTRA")</f>
        <v>LUZ YANETH GOMEZ AREVALO</v>
      </c>
      <c r="D2797" s="4" t="str">
        <f>IFERROR(VLOOKUP(A2797,'Base Prueba'!A:D,4,),"NO REGISTRA")</f>
        <v>COORDINADORA DE ADMISIONES</v>
      </c>
      <c r="E2797" s="5" t="str">
        <f>IFERROR(VLOOKUP(A2797,'Base Prueba'!A:E,5,),"NO REGISTRA")</f>
        <v>OFICINA DE MERCADEO</v>
      </c>
    </row>
    <row r="2798" spans="1:5" ht="15.75" x14ac:dyDescent="0.25">
      <c r="A2798" s="10">
        <v>53089882</v>
      </c>
      <c r="B2798" s="2">
        <v>46074.373794791667</v>
      </c>
      <c r="C2798" s="3" t="str">
        <f>IFERROR(VLOOKUP(A2798,'Base Prueba'!A:C,3,),"NO REGISTRA")</f>
        <v>MARIA JOHANA ESCAMILLA MARTINEZ</v>
      </c>
      <c r="D2798" s="4" t="str">
        <f>IFERROR(VLOOKUP(A2798,'Base Prueba'!A:D,4,),"NO REGISTRA")</f>
        <v>PROMOTOR DE INFORMACIÓN</v>
      </c>
      <c r="E2798" s="5" t="str">
        <f>IFERROR(VLOOKUP(A2798,'Base Prueba'!A:E,5,),"NO REGISTRA")</f>
        <v>OFICINA DE MERCADEO</v>
      </c>
    </row>
    <row r="2799" spans="1:5" ht="15.75" x14ac:dyDescent="0.25">
      <c r="A2799" s="10">
        <v>1000687931</v>
      </c>
      <c r="B2799" s="2">
        <v>46074.376492592593</v>
      </c>
      <c r="C2799" s="3" t="str">
        <f>IFERROR(VLOOKUP(A2799,'Base Prueba'!A:C,3,),"NO REGISTRA")</f>
        <v>ANDRES FELIPE PUENTES TORRES</v>
      </c>
      <c r="D2799" s="4" t="str">
        <f>IFERROR(VLOOKUP(A2799,'Base Prueba'!A:D,4,),"NO REGISTRA")</f>
        <v>AUXILIAR ADMINISTRATIVO</v>
      </c>
      <c r="E2799" s="5" t="str">
        <f>IFERROR(VLOOKUP(A2799,'Base Prueba'!A:E,5,),"NO REGISTRA")</f>
        <v>REGISTRO Y CONTROL ACADEMICO</v>
      </c>
    </row>
    <row r="2800" spans="1:5" ht="15.75" x14ac:dyDescent="0.25">
      <c r="A2800" s="10">
        <v>1000161811</v>
      </c>
      <c r="B2800" s="2">
        <v>46074.377342824075</v>
      </c>
      <c r="C2800" s="3" t="str">
        <f>IFERROR(VLOOKUP(A2800,'Base Prueba'!A:C,3,),"NO REGISTRA")</f>
        <v>DIEGO ANDRES VARON ROZO</v>
      </c>
      <c r="D2800" s="4" t="str">
        <f>IFERROR(VLOOKUP(A2800,'Base Prueba'!A:D,4,),"NO REGISTRA")</f>
        <v>APRENDIZ UNIVERSITARIO</v>
      </c>
      <c r="E2800" s="5" t="str">
        <f>IFERROR(VLOOKUP(A2800,'Base Prueba'!A:E,5,),"NO REGISTRA")</f>
        <v>OFICINA DE MERCADEO</v>
      </c>
    </row>
    <row r="2801" spans="1:5" ht="15.75" x14ac:dyDescent="0.25">
      <c r="A2801" s="10">
        <v>1023961952</v>
      </c>
      <c r="B2801" s="2">
        <v>46074.378204513887</v>
      </c>
      <c r="C2801" s="3" t="str">
        <f>IFERROR(VLOOKUP(A2801,'Base Prueba'!A:C,3,),"NO REGISTRA")</f>
        <v>ALEJANDRO PINZON MERCHAN</v>
      </c>
      <c r="D2801" s="4" t="str">
        <f>IFERROR(VLOOKUP(A2801,'Base Prueba'!A:D,4,),"NO REGISTRA")</f>
        <v>PROMOTOR CALL CENTER</v>
      </c>
      <c r="E2801" s="5" t="str">
        <f>IFERROR(VLOOKUP(A2801,'Base Prueba'!A:E,5,),"NO REGISTRA")</f>
        <v>OFICINA DE MERCADEO</v>
      </c>
    </row>
    <row r="2802" spans="1:5" ht="15.75" x14ac:dyDescent="0.25">
      <c r="A2802" s="10">
        <v>1003690253</v>
      </c>
      <c r="B2802" s="2">
        <v>46074.378857754629</v>
      </c>
      <c r="C2802" s="3" t="str">
        <f>IFERROR(VLOOKUP(A2802,'Base Prueba'!A:C,3,),"NO REGISTRA")</f>
        <v>MELISSA GONZALEZ PEDRAZA</v>
      </c>
      <c r="D2802" s="4" t="str">
        <f>IFERROR(VLOOKUP(A2802,'Base Prueba'!A:D,4,),"NO REGISTRA")</f>
        <v>LIDER DE JOVENES A LA E</v>
      </c>
      <c r="E2802" s="5" t="str">
        <f>IFERROR(VLOOKUP(A2802,'Base Prueba'!A:E,5,),"NO REGISTRA")</f>
        <v>DIRECCION DE BIENESTAR INSTITUCIONAL</v>
      </c>
    </row>
    <row r="2803" spans="1:5" ht="15.75" x14ac:dyDescent="0.25">
      <c r="A2803" s="10">
        <v>1014211708</v>
      </c>
      <c r="B2803" s="2">
        <v>46074.380134490741</v>
      </c>
      <c r="C2803" s="3" t="str">
        <f>IFERROR(VLOOKUP(A2803,'Base Prueba'!A:C,3,),"NO REGISTRA")</f>
        <v>JUAN MANUEL MERCADO FUENTES</v>
      </c>
      <c r="D2803" s="4" t="str">
        <f>IFERROR(VLOOKUP(A2803,'Base Prueba'!A:D,4,),"NO REGISTRA")</f>
        <v>COORDINADOR DE DISEÑO E IMAGEN INSTITUCIONAL</v>
      </c>
      <c r="E2803" s="5" t="str">
        <f>IFERROR(VLOOKUP(A2803,'Base Prueba'!A:E,5,),"NO REGISTRA")</f>
        <v>OFICINA DE MERCADEO</v>
      </c>
    </row>
    <row r="2804" spans="1:5" ht="15.75" x14ac:dyDescent="0.25">
      <c r="A2804" s="10">
        <v>52474489</v>
      </c>
      <c r="B2804" s="2">
        <v>46074.385045370371</v>
      </c>
      <c r="C2804" s="3" t="str">
        <f>IFERROR(VLOOKUP(A2804,'Base Prueba'!A:C,3,),"NO REGISTRA")</f>
        <v>ADRIANA JIMENA SOTO BOCANEGRA</v>
      </c>
      <c r="D2804" s="4" t="str">
        <f>IFERROR(VLOOKUP(A2804,'Base Prueba'!A:D,4,),"NO REGISTRA")</f>
        <v>COORDINADOR DE LA OFICINA DE REGISTRO Y CONTROL</v>
      </c>
      <c r="E2804" s="5" t="str">
        <f>IFERROR(VLOOKUP(A2804,'Base Prueba'!A:E,5,),"NO REGISTRA")</f>
        <v>REGISTRO Y CONTROL ACADEMICO</v>
      </c>
    </row>
    <row r="2805" spans="1:5" ht="15.75" x14ac:dyDescent="0.25">
      <c r="A2805" s="10">
        <v>28798349</v>
      </c>
      <c r="B2805" s="2">
        <v>46074.385407870373</v>
      </c>
      <c r="C2805" s="3" t="str">
        <f>IFERROR(VLOOKUP(A2805,'Base Prueba'!A:C,3,),"NO REGISTRA")</f>
        <v>MARTHA ISABEL TOVAR WILLIAMS</v>
      </c>
      <c r="D2805" s="4" t="str">
        <f>IFERROR(VLOOKUP(A2805,'Base Prueba'!A:D,4,),"NO REGISTRA")</f>
        <v>PROMOTOR CALL CENTER</v>
      </c>
      <c r="E2805" s="5" t="str">
        <f>IFERROR(VLOOKUP(A2805,'Base Prueba'!A:E,5,),"NO REGISTRA")</f>
        <v>OFICINA DE MERCADEO</v>
      </c>
    </row>
    <row r="2806" spans="1:5" ht="15.75" x14ac:dyDescent="0.25">
      <c r="A2806" s="10">
        <v>52764929</v>
      </c>
      <c r="B2806" s="2">
        <v>46074.390879166669</v>
      </c>
      <c r="C2806" s="3" t="str">
        <f>IFERROR(VLOOKUP(A2806,'Base Prueba'!A:C,3,),"NO REGISTRA")</f>
        <v>GUERLY YOHANA DURAN RIVERA</v>
      </c>
      <c r="D2806" s="4" t="str">
        <f>IFERROR(VLOOKUP(A2806,'Base Prueba'!A:D,4,),"NO REGISTRA")</f>
        <v>LIDER DE VINCULACION COLEGIOS</v>
      </c>
      <c r="E2806" s="5" t="str">
        <f>IFERROR(VLOOKUP(A2806,'Base Prueba'!A:E,5,),"NO REGISTRA")</f>
        <v>OFICINA DE MERCADEO</v>
      </c>
    </row>
    <row r="2807" spans="1:5" ht="15.75" x14ac:dyDescent="0.25">
      <c r="A2807" s="10">
        <v>1193265768</v>
      </c>
      <c r="B2807" s="2">
        <v>46074.395089930556</v>
      </c>
      <c r="C2807" s="3" t="str">
        <f>IFERROR(VLOOKUP(A2807,'Base Prueba'!A:C,3,),"NO REGISTRA")</f>
        <v>SANTIAGO OSORIO CAMACHO</v>
      </c>
      <c r="D2807" s="4" t="str">
        <f>IFERROR(VLOOKUP(A2807,'Base Prueba'!A:D,4,),"NO REGISTRA")</f>
        <v>ANALISTA DE PAUTA</v>
      </c>
      <c r="E2807" s="5" t="str">
        <f>IFERROR(VLOOKUP(A2807,'Base Prueba'!A:E,5,),"NO REGISTRA")</f>
        <v>OFICINA DE MERCADEO</v>
      </c>
    </row>
    <row r="2808" spans="1:5" ht="15.75" x14ac:dyDescent="0.25">
      <c r="A2808" s="10">
        <v>1032425800</v>
      </c>
      <c r="B2808" s="2">
        <v>46074.408222453705</v>
      </c>
      <c r="C2808" s="3" t="str">
        <f>IFERROR(VLOOKUP(A2808,'Base Prueba'!A:C,3,),"NO REGISTRA")</f>
        <v>LUIS ALEJANDRO REY DUQUE</v>
      </c>
      <c r="D2808" s="4" t="str">
        <f>IFERROR(VLOOKUP(A2808,'Base Prueba'!A:D,4,),"NO REGISTRA")</f>
        <v>DOCENTE DE MEDIO TIEMPO</v>
      </c>
      <c r="E2808" s="5" t="str">
        <f>IFERROR(VLOOKUP(A2808,'Base Prueba'!A:E,5,),"NO REGISTRA")</f>
        <v>CIENCIAS DE LA INFORMACION Y BIBLIOTECOLOGIA</v>
      </c>
    </row>
    <row r="2809" spans="1:5" ht="15.75" x14ac:dyDescent="0.25">
      <c r="A2809" s="10">
        <v>1019105003</v>
      </c>
      <c r="B2809" s="2">
        <v>46074.469085763893</v>
      </c>
      <c r="C2809" s="3" t="str">
        <f>IFERROR(VLOOKUP(A2809,'Base Prueba'!A:C,3,),"NO REGISTRA")</f>
        <v>DAISY JULIETH GASPAR MORENO</v>
      </c>
      <c r="D2809" s="4" t="str">
        <f>IFERROR(VLOOKUP(A2809,'Base Prueba'!A:D,4,),"NO REGISTRA")</f>
        <v>PROMOTOR CALL CENTER</v>
      </c>
      <c r="E2809" s="5" t="str">
        <f>IFERROR(VLOOKUP(A2809,'Base Prueba'!A:E,5,),"NO REGISTRA")</f>
        <v>OFICINA DE MERCADEO</v>
      </c>
    </row>
    <row r="2810" spans="1:5" ht="15.75" x14ac:dyDescent="0.25">
      <c r="A2810" s="10">
        <v>1012426741</v>
      </c>
      <c r="B2810" s="2">
        <v>46074.500211458333</v>
      </c>
      <c r="C2810" s="3" t="str">
        <f>IFERROR(VLOOKUP(A2810,'Base Prueba'!A:C,3,),"NO REGISTRA")</f>
        <v>CRISTIAN FABIAN ROJAS SANCENO</v>
      </c>
      <c r="D2810" s="4" t="str">
        <f>IFERROR(VLOOKUP(A2810,'Base Prueba'!A:D,4,),"NO REGISTRA")</f>
        <v>AUXILIAR DE REINTEGROS</v>
      </c>
      <c r="E2810" s="5" t="str">
        <f>IFERROR(VLOOKUP(A2810,'Base Prueba'!A:E,5,),"NO REGISTRA")</f>
        <v>DIRECCION DE BIENESTAR INSTITUCIONAL</v>
      </c>
    </row>
    <row r="2811" spans="1:5" ht="15.75" x14ac:dyDescent="0.25">
      <c r="A2811" s="10">
        <v>1000046533</v>
      </c>
      <c r="B2811" s="2">
        <v>46074.501024074074</v>
      </c>
      <c r="C2811" s="3" t="str">
        <f>IFERROR(VLOOKUP(A2811,'Base Prueba'!A:C,3,),"NO REGISTRA")</f>
        <v>ERIKA JULIETH VALDERRAMA SANCHEZ</v>
      </c>
      <c r="D2811" s="4" t="str">
        <f>IFERROR(VLOOKUP(A2811,'Base Prueba'!A:D,4,),"NO REGISTRA")</f>
        <v>PROMOTOR CALL CENTER</v>
      </c>
      <c r="E2811" s="5" t="str">
        <f>IFERROR(VLOOKUP(A2811,'Base Prueba'!A:E,5,),"NO REGISTRA")</f>
        <v>OFICINA DE MERCADEO</v>
      </c>
    </row>
    <row r="2812" spans="1:5" ht="15.75" x14ac:dyDescent="0.25">
      <c r="A2812" s="10">
        <v>52175674</v>
      </c>
      <c r="B2812" s="2">
        <v>46074.502215972221</v>
      </c>
      <c r="C2812" s="3" t="str">
        <f>IFERROR(VLOOKUP(A2812,'Base Prueba'!A:C,3,),"NO REGISTRA")</f>
        <v>LUZ YANETH GOMEZ AREVALO</v>
      </c>
      <c r="D2812" s="4" t="str">
        <f>IFERROR(VLOOKUP(A2812,'Base Prueba'!A:D,4,),"NO REGISTRA")</f>
        <v>COORDINADORA DE ADMISIONES</v>
      </c>
      <c r="E2812" s="5" t="str">
        <f>IFERROR(VLOOKUP(A2812,'Base Prueba'!A:E,5,),"NO REGISTRA")</f>
        <v>OFICINA DE MERCADEO</v>
      </c>
    </row>
    <row r="2813" spans="1:5" ht="15.75" x14ac:dyDescent="0.25">
      <c r="A2813" s="10">
        <v>52472386</v>
      </c>
      <c r="B2813" s="2">
        <v>46074.502990046298</v>
      </c>
      <c r="C2813" s="3" t="str">
        <f>IFERROR(VLOOKUP(A2813,'Base Prueba'!A:C,3,),"NO REGISTRA")</f>
        <v>ADRIANA MARCELA MORALES PARDO</v>
      </c>
      <c r="D2813" s="4" t="str">
        <f>IFERROR(VLOOKUP(A2813,'Base Prueba'!A:D,4,),"NO REGISTRA")</f>
        <v>PROMOTOR CALL CENTER</v>
      </c>
      <c r="E2813" s="5" t="str">
        <f>IFERROR(VLOOKUP(A2813,'Base Prueba'!A:E,5,),"NO REGISTRA")</f>
        <v>OFICINA DE MERCADEO</v>
      </c>
    </row>
    <row r="2814" spans="1:5" ht="15.75" x14ac:dyDescent="0.25">
      <c r="A2814" s="10">
        <v>1087121273</v>
      </c>
      <c r="B2814" s="2">
        <v>46074.503454282407</v>
      </c>
      <c r="C2814" s="3" t="str">
        <f>IFERROR(VLOOKUP(A2814,'Base Prueba'!A:C,3,),"NO REGISTRA")</f>
        <v>MAYRA ALEJANDRA CASTILLO ARBOLEDA</v>
      </c>
      <c r="D2814" s="4" t="str">
        <f>IFERROR(VLOOKUP(A2814,'Base Prueba'!A:D,4,),"NO REGISTRA")</f>
        <v>APOYO INTEGRAL DE MERCADEO</v>
      </c>
      <c r="E2814" s="5" t="str">
        <f>IFERROR(VLOOKUP(A2814,'Base Prueba'!A:E,5,),"NO REGISTRA")</f>
        <v>CENTRO DE GESTION DOCUMENTAL</v>
      </c>
    </row>
    <row r="2815" spans="1:5" ht="15.75" x14ac:dyDescent="0.25">
      <c r="A2815" s="10">
        <v>80238161</v>
      </c>
      <c r="B2815" s="2">
        <v>46074.503606481485</v>
      </c>
      <c r="C2815" s="3" t="str">
        <f>IFERROR(VLOOKUP(A2815,'Base Prueba'!A:C,3,),"NO REGISTRA")</f>
        <v>GERMAN CARRANZA ESPITIA</v>
      </c>
      <c r="D2815" s="4" t="str">
        <f>IFERROR(VLOOKUP(A2815,'Base Prueba'!A:D,4,),"NO REGISTRA")</f>
        <v>TESORERO</v>
      </c>
      <c r="E2815" s="5" t="str">
        <f>IFERROR(VLOOKUP(A2815,'Base Prueba'!A:E,5,),"NO REGISTRA")</f>
        <v>AREA FINANCIERA Y CONTABLE</v>
      </c>
    </row>
    <row r="2816" spans="1:5" ht="15.75" x14ac:dyDescent="0.25">
      <c r="A2816" s="10">
        <v>1000161811</v>
      </c>
      <c r="B2816" s="2">
        <v>46074.506418287034</v>
      </c>
      <c r="C2816" s="3" t="str">
        <f>IFERROR(VLOOKUP(A2816,'Base Prueba'!A:C,3,),"NO REGISTRA")</f>
        <v>DIEGO ANDRES VARON ROZO</v>
      </c>
      <c r="D2816" s="4" t="str">
        <f>IFERROR(VLOOKUP(A2816,'Base Prueba'!A:D,4,),"NO REGISTRA")</f>
        <v>APRENDIZ UNIVERSITARIO</v>
      </c>
      <c r="E2816" s="5" t="str">
        <f>IFERROR(VLOOKUP(A2816,'Base Prueba'!A:E,5,),"NO REGISTRA")</f>
        <v>OFICINA DE MERCADEO</v>
      </c>
    </row>
    <row r="2817" spans="1:5" ht="15.75" x14ac:dyDescent="0.25">
      <c r="A2817" s="10">
        <v>1016090131</v>
      </c>
      <c r="B2817" s="2">
        <v>46074.506657523147</v>
      </c>
      <c r="C2817" s="3" t="str">
        <f>IFERROR(VLOOKUP(A2817,'Base Prueba'!A:C,3,),"NO REGISTRA")</f>
        <v>NICOLAS RODRIGUEZ PACHECO</v>
      </c>
      <c r="D2817" s="4" t="str">
        <f>IFERROR(VLOOKUP(A2817,'Base Prueba'!A:D,4,),"NO REGISTRA")</f>
        <v>COORDINADOR DE COMUNICACIONES</v>
      </c>
      <c r="E2817" s="5" t="str">
        <f>IFERROR(VLOOKUP(A2817,'Base Prueba'!A:E,5,),"NO REGISTRA")</f>
        <v>OFICINA DE MERCADEO</v>
      </c>
    </row>
    <row r="2818" spans="1:5" ht="15.75" x14ac:dyDescent="0.25">
      <c r="A2818" s="10">
        <v>52764929</v>
      </c>
      <c r="B2818" s="2">
        <v>46074.507309490742</v>
      </c>
      <c r="C2818" s="3" t="str">
        <f>IFERROR(VLOOKUP(A2818,'Base Prueba'!A:C,3,),"NO REGISTRA")</f>
        <v>GUERLY YOHANA DURAN RIVERA</v>
      </c>
      <c r="D2818" s="4" t="str">
        <f>IFERROR(VLOOKUP(A2818,'Base Prueba'!A:D,4,),"NO REGISTRA")</f>
        <v>LIDER DE VINCULACION COLEGIOS</v>
      </c>
      <c r="E2818" s="5" t="str">
        <f>IFERROR(VLOOKUP(A2818,'Base Prueba'!A:E,5,),"NO REGISTRA")</f>
        <v>OFICINA DE MERCADEO</v>
      </c>
    </row>
    <row r="2819" spans="1:5" ht="15.75" x14ac:dyDescent="0.25">
      <c r="A2819" s="10">
        <v>1031802160</v>
      </c>
      <c r="B2819" s="2">
        <v>46074.507351967593</v>
      </c>
      <c r="C2819" s="3" t="str">
        <f>IFERROR(VLOOKUP(A2819,'Base Prueba'!A:C,3,),"NO REGISTRA")</f>
        <v>LUISA MARIA MAHECHA SOTOMAYOR</v>
      </c>
      <c r="D2819" s="4" t="str">
        <f>IFERROR(VLOOKUP(A2819,'Base Prueba'!A:D,4,),"NO REGISTRA")</f>
        <v>APRENDIZ UNIVERSITARIO</v>
      </c>
      <c r="E2819" s="5" t="str">
        <f>IFERROR(VLOOKUP(A2819,'Base Prueba'!A:E,5,),"NO REGISTRA")</f>
        <v>OFICINA DE MERCADEO</v>
      </c>
    </row>
    <row r="2820" spans="1:5" ht="15.75" x14ac:dyDescent="0.25">
      <c r="A2820" s="10">
        <v>1014211708</v>
      </c>
      <c r="B2820" s="2">
        <v>46074.507463425929</v>
      </c>
      <c r="C2820" s="3" t="str">
        <f>IFERROR(VLOOKUP(A2820,'Base Prueba'!A:C,3,),"NO REGISTRA")</f>
        <v>JUAN MANUEL MERCADO FUENTES</v>
      </c>
      <c r="D2820" s="4" t="str">
        <f>IFERROR(VLOOKUP(A2820,'Base Prueba'!A:D,4,),"NO REGISTRA")</f>
        <v>COORDINADOR DE DISEÑO E IMAGEN INSTITUCIONAL</v>
      </c>
      <c r="E2820" s="5" t="str">
        <f>IFERROR(VLOOKUP(A2820,'Base Prueba'!A:E,5,),"NO REGISTRA")</f>
        <v>OFICINA DE MERCADEO</v>
      </c>
    </row>
    <row r="2821" spans="1:5" ht="15.75" x14ac:dyDescent="0.25">
      <c r="A2821" s="10">
        <v>1000687931</v>
      </c>
      <c r="B2821" s="2">
        <v>46074.507589583336</v>
      </c>
      <c r="C2821" s="3" t="str">
        <f>IFERROR(VLOOKUP(A2821,'Base Prueba'!A:C,3,),"NO REGISTRA")</f>
        <v>ANDRES FELIPE PUENTES TORRES</v>
      </c>
      <c r="D2821" s="4" t="str">
        <f>IFERROR(VLOOKUP(A2821,'Base Prueba'!A:D,4,),"NO REGISTRA")</f>
        <v>AUXILIAR ADMINISTRATIVO</v>
      </c>
      <c r="E2821" s="5" t="str">
        <f>IFERROR(VLOOKUP(A2821,'Base Prueba'!A:E,5,),"NO REGISTRA")</f>
        <v>REGISTRO Y CONTROL ACADEMICO</v>
      </c>
    </row>
    <row r="2822" spans="1:5" ht="15.75" x14ac:dyDescent="0.25">
      <c r="A2822" s="10">
        <v>1193265768</v>
      </c>
      <c r="B2822" s="2">
        <v>46074.508072106481</v>
      </c>
      <c r="C2822" s="3" t="str">
        <f>IFERROR(VLOOKUP(A2822,'Base Prueba'!A:C,3,),"NO REGISTRA")</f>
        <v>SANTIAGO OSORIO CAMACHO</v>
      </c>
      <c r="D2822" s="4" t="str">
        <f>IFERROR(VLOOKUP(A2822,'Base Prueba'!A:D,4,),"NO REGISTRA")</f>
        <v>ANALISTA DE PAUTA</v>
      </c>
      <c r="E2822" s="5" t="str">
        <f>IFERROR(VLOOKUP(A2822,'Base Prueba'!A:E,5,),"NO REGISTRA")</f>
        <v>OFICINA DE MERCADEO</v>
      </c>
    </row>
    <row r="2823" spans="1:5" ht="15.75" x14ac:dyDescent="0.25">
      <c r="A2823" s="10">
        <v>1018413529</v>
      </c>
      <c r="B2823" s="2">
        <v>46074.515245833332</v>
      </c>
      <c r="C2823" s="3" t="str">
        <f>IFERROR(VLOOKUP(A2823,'Base Prueba'!A:C,3,),"NO REGISTRA")</f>
        <v>FRANCY STELLA CHARRY MORENO</v>
      </c>
      <c r="D2823" s="4" t="str">
        <f>IFERROR(VLOOKUP(A2823,'Base Prueba'!A:D,4,),"NO REGISTRA")</f>
        <v>PROMOTOR COMERCIAL DEL CEA</v>
      </c>
      <c r="E2823" s="5" t="str">
        <f>IFERROR(VLOOKUP(A2823,'Base Prueba'!A:E,5,),"NO REGISTRA")</f>
        <v>OFICINA DE MERCADEO</v>
      </c>
    </row>
    <row r="2824" spans="1:5" ht="15.75" x14ac:dyDescent="0.25">
      <c r="A2824" s="10">
        <v>53089882</v>
      </c>
      <c r="B2824" s="2">
        <v>46074.515293402779</v>
      </c>
      <c r="C2824" s="3" t="str">
        <f>IFERROR(VLOOKUP(A2824,'Base Prueba'!A:C,3,),"NO REGISTRA")</f>
        <v>MARIA JOHANA ESCAMILLA MARTINEZ</v>
      </c>
      <c r="D2824" s="4" t="str">
        <f>IFERROR(VLOOKUP(A2824,'Base Prueba'!A:D,4,),"NO REGISTRA")</f>
        <v>PROMOTOR DE INFORMACIÓN</v>
      </c>
      <c r="E2824" s="5" t="str">
        <f>IFERROR(VLOOKUP(A2824,'Base Prueba'!A:E,5,),"NO REGISTRA")</f>
        <v>OFICINA DE MERCADEO</v>
      </c>
    </row>
    <row r="2825" spans="1:5" ht="15.75" x14ac:dyDescent="0.25">
      <c r="A2825" s="10">
        <v>1000604979</v>
      </c>
      <c r="B2825" s="2">
        <v>46074.521239583337</v>
      </c>
      <c r="C2825" s="3" t="str">
        <f>IFERROR(VLOOKUP(A2825,'Base Prueba'!A:C,3,),"NO REGISTRA")</f>
        <v>JULIETH TATIANA PARDO PINTO</v>
      </c>
      <c r="D2825" s="4" t="str">
        <f>IFERROR(VLOOKUP(A2825,'Base Prueba'!A:D,4,),"NO REGISTRA")</f>
        <v>AUXILIAR JURIDICO</v>
      </c>
      <c r="E2825" s="5" t="str">
        <f>IFERROR(VLOOKUP(A2825,'Base Prueba'!A:E,5,),"NO REGISTRA")</f>
        <v>SECRETARIA GENERAL</v>
      </c>
    </row>
    <row r="2826" spans="1:5" ht="15.75" x14ac:dyDescent="0.25">
      <c r="A2826" s="10">
        <v>1018414290</v>
      </c>
      <c r="B2826" s="2">
        <v>46074.522404745374</v>
      </c>
      <c r="C2826" s="3" t="str">
        <f>IFERROR(VLOOKUP(A2826,'Base Prueba'!A:C,3,),"NO REGISTRA")</f>
        <v>AMANDA LISBETH RODRIGUEZ LEON</v>
      </c>
      <c r="D2826" s="4" t="str">
        <f>IFERROR(VLOOKUP(A2826,'Base Prueba'!A:D,4,),"NO REGISTRA")</f>
        <v>PROMOTOR CALL CENTER</v>
      </c>
      <c r="E2826" s="5" t="str">
        <f>IFERROR(VLOOKUP(A2826,'Base Prueba'!A:E,5,),"NO REGISTRA")</f>
        <v>OFICINA DE MERCADEO</v>
      </c>
    </row>
    <row r="2827" spans="1:5" ht="15.75" x14ac:dyDescent="0.25">
      <c r="A2827" s="10">
        <v>28798349</v>
      </c>
      <c r="B2827" s="2">
        <v>46074.522451504628</v>
      </c>
      <c r="C2827" s="3" t="str">
        <f>IFERROR(VLOOKUP(A2827,'Base Prueba'!A:C,3,),"NO REGISTRA")</f>
        <v>MARTHA ISABEL TOVAR WILLIAMS</v>
      </c>
      <c r="D2827" s="4" t="str">
        <f>IFERROR(VLOOKUP(A2827,'Base Prueba'!A:D,4,),"NO REGISTRA")</f>
        <v>PROMOTOR CALL CENTER</v>
      </c>
      <c r="E2827" s="5" t="str">
        <f>IFERROR(VLOOKUP(A2827,'Base Prueba'!A:E,5,),"NO REGISTRA")</f>
        <v>OFICINA DE MERCADEO</v>
      </c>
    </row>
    <row r="2828" spans="1:5" ht="15.75" x14ac:dyDescent="0.25">
      <c r="A2828" s="10" t="s">
        <v>3678</v>
      </c>
      <c r="B2828" s="2">
        <v>46074.523370138886</v>
      </c>
      <c r="C2828" s="3" t="str">
        <f>IFERROR(VLOOKUP(A2828,'Base Prueba'!A:C,3,),"NO REGISTRA")</f>
        <v>NO REGISTRA</v>
      </c>
      <c r="D2828" s="4" t="str">
        <f>IFERROR(VLOOKUP(A2828,'Base Prueba'!A:D,4,),"NO REGISTRA")</f>
        <v>NO REGISTRA</v>
      </c>
      <c r="E2828" s="5" t="str">
        <f>IFERROR(VLOOKUP(A2828,'Base Prueba'!A:E,5,),"NO REGISTRA")</f>
        <v>NO REGISTRA</v>
      </c>
    </row>
    <row r="2829" spans="1:5" ht="15.75" x14ac:dyDescent="0.25">
      <c r="A2829" s="10">
        <v>1003690253</v>
      </c>
      <c r="B2829" s="2">
        <v>46074.523420949074</v>
      </c>
      <c r="C2829" s="3" t="str">
        <f>IFERROR(VLOOKUP(A2829,'Base Prueba'!A:C,3,),"NO REGISTRA")</f>
        <v>MELISSA GONZALEZ PEDRAZA</v>
      </c>
      <c r="D2829" s="4" t="str">
        <f>IFERROR(VLOOKUP(A2829,'Base Prueba'!A:D,4,),"NO REGISTRA")</f>
        <v>LIDER DE JOVENES A LA E</v>
      </c>
      <c r="E2829" s="5" t="str">
        <f>IFERROR(VLOOKUP(A2829,'Base Prueba'!A:E,5,),"NO REGISTRA")</f>
        <v>DIRECCION DE BIENESTAR INSTITUCIONAL</v>
      </c>
    </row>
    <row r="2830" spans="1:5" ht="15.75" x14ac:dyDescent="0.25">
      <c r="A2830" s="10">
        <v>1023961952</v>
      </c>
      <c r="B2830" s="2">
        <v>46074.524023032405</v>
      </c>
      <c r="C2830" s="3" t="str">
        <f>IFERROR(VLOOKUP(A2830,'Base Prueba'!A:C,3,),"NO REGISTRA")</f>
        <v>ALEJANDRO PINZON MERCHAN</v>
      </c>
      <c r="D2830" s="4" t="str">
        <f>IFERROR(VLOOKUP(A2830,'Base Prueba'!A:D,4,),"NO REGISTRA")</f>
        <v>PROMOTOR CALL CENTER</v>
      </c>
      <c r="E2830" s="5" t="str">
        <f>IFERROR(VLOOKUP(A2830,'Base Prueba'!A:E,5,),"NO REGISTRA")</f>
        <v>OFICINA DE MERCADEO</v>
      </c>
    </row>
    <row r="2831" spans="1:5" ht="15.75" x14ac:dyDescent="0.25">
      <c r="A2831" s="10">
        <v>80234243</v>
      </c>
      <c r="B2831" s="2">
        <v>46074.542352662036</v>
      </c>
      <c r="C2831" s="3" t="str">
        <f>IFERROR(VLOOKUP(A2831,'Base Prueba'!A:C,3,),"NO REGISTRA")</f>
        <v>ARGENIS MARTINEZ MARTINEZ</v>
      </c>
      <c r="D2831" s="4" t="str">
        <f>IFERROR(VLOOKUP(A2831,'Base Prueba'!A:D,4,),"NO REGISTRA")</f>
        <v>LIDER CALL CENTER</v>
      </c>
      <c r="E2831" s="5" t="str">
        <f>IFERROR(VLOOKUP(A2831,'Base Prueba'!A:E,5,),"NO REGISTRA")</f>
        <v>OFICINA DE MERCADEO</v>
      </c>
    </row>
    <row r="2832" spans="1:5" ht="15.75" x14ac:dyDescent="0.25">
      <c r="A2832" s="10">
        <v>1000257136</v>
      </c>
      <c r="B2832" s="2">
        <v>46074.552559374999</v>
      </c>
      <c r="C2832" s="3" t="str">
        <f>IFERROR(VLOOKUP(A2832,'Base Prueba'!A:C,3,),"NO REGISTRA")</f>
        <v>FRANCI VALENTINA CANO PUENTES</v>
      </c>
      <c r="D2832" s="4" t="str">
        <f>IFERROR(VLOOKUP(A2832,'Base Prueba'!A:D,4,),"NO REGISTRA")</f>
        <v>AUXILIAR CONTABLE</v>
      </c>
      <c r="E2832" s="5" t="str">
        <f>IFERROR(VLOOKUP(A2832,'Base Prueba'!A:E,5,),"NO REGISTRA")</f>
        <v>AREA FINANCIERA Y CONTABLE</v>
      </c>
    </row>
    <row r="2833" spans="1:5" ht="15.75" x14ac:dyDescent="0.25">
      <c r="A2833" s="10">
        <v>1022996882</v>
      </c>
      <c r="B2833" s="2">
        <v>46074.562321180558</v>
      </c>
      <c r="C2833" s="3" t="str">
        <f>IFERROR(VLOOKUP(A2833,'Base Prueba'!A:C,3,),"NO REGISTRA")</f>
        <v>NANCY BRIGITH ALDANA GUEVARA</v>
      </c>
      <c r="D2833" s="4" t="str">
        <f>IFERROR(VLOOKUP(A2833,'Base Prueba'!A:D,4,),"NO REGISTRA")</f>
        <v>COORDINADORA DE GESTIÓN HUMANA</v>
      </c>
      <c r="E2833" s="5" t="str">
        <f>IFERROR(VLOOKUP(A2833,'Base Prueba'!A:E,5,),"NO REGISTRA")</f>
        <v>DEPARTAMENTO DE GESTION HUMANA</v>
      </c>
    </row>
    <row r="2834" spans="1:5" ht="15.75" x14ac:dyDescent="0.25">
      <c r="A2834" s="10">
        <v>52474489</v>
      </c>
      <c r="B2834" s="2">
        <v>46074.591096643519</v>
      </c>
      <c r="C2834" s="3" t="str">
        <f>IFERROR(VLOOKUP(A2834,'Base Prueba'!A:C,3,),"NO REGISTRA")</f>
        <v>ADRIANA JIMENA SOTO BOCANEGRA</v>
      </c>
      <c r="D2834" s="4" t="str">
        <f>IFERROR(VLOOKUP(A2834,'Base Prueba'!A:D,4,),"NO REGISTRA")</f>
        <v>COORDINADOR DE LA OFICINA DE REGISTRO Y CONTROL</v>
      </c>
      <c r="E2834" s="5" t="str">
        <f>IFERROR(VLOOKUP(A2834,'Base Prueba'!A:E,5,),"NO REGISTRA")</f>
        <v>REGISTRO Y CONTROL ACADEMICO</v>
      </c>
    </row>
    <row r="2835" spans="1:5" ht="15.75" x14ac:dyDescent="0.25">
      <c r="A2835" s="10">
        <v>1013616244</v>
      </c>
      <c r="B2835" s="2">
        <v>46074.603955555554</v>
      </c>
      <c r="C2835" s="3" t="str">
        <f>IFERROR(VLOOKUP(A2835,'Base Prueba'!A:C,3,),"NO REGISTRA")</f>
        <v>DIANA CAROLINA MARIN BETANCOURT</v>
      </c>
      <c r="D2835" s="4" t="str">
        <f>IFERROR(VLOOKUP(A2835,'Base Prueba'!A:D,4,),"NO REGISTRA")</f>
        <v>AUXILIAR ADMINISTRATIVO</v>
      </c>
      <c r="E2835" s="5" t="str">
        <f>IFERROR(VLOOKUP(A2835,'Base Prueba'!A:E,5,),"NO REGISTRA")</f>
        <v>REGISTRO Y CONTROL ACADEMICO</v>
      </c>
    </row>
    <row r="2836" spans="1:5" ht="15.75" x14ac:dyDescent="0.25">
      <c r="A2836" s="10">
        <v>1013616244</v>
      </c>
      <c r="B2836" s="2">
        <v>46076.314088541665</v>
      </c>
      <c r="C2836" s="3" t="str">
        <f>IFERROR(VLOOKUP(A2836,'Base Prueba'!A:C,3,),"NO REGISTRA")</f>
        <v>DIANA CAROLINA MARIN BETANCOURT</v>
      </c>
      <c r="D2836" s="4" t="str">
        <f>IFERROR(VLOOKUP(A2836,'Base Prueba'!A:D,4,),"NO REGISTRA")</f>
        <v>AUXILIAR ADMINISTRATIVO</v>
      </c>
      <c r="E2836" s="5" t="str">
        <f>IFERROR(VLOOKUP(A2836,'Base Prueba'!A:E,5,),"NO REGISTRA")</f>
        <v>REGISTRO Y CONTROL ACADEMICO</v>
      </c>
    </row>
    <row r="2837" spans="1:5" ht="15.75" x14ac:dyDescent="0.25">
      <c r="A2837" s="10">
        <v>1087121273</v>
      </c>
      <c r="B2837" s="2">
        <v>46076.315714930555</v>
      </c>
      <c r="C2837" s="3" t="str">
        <f>IFERROR(VLOOKUP(A2837,'Base Prueba'!A:C,3,),"NO REGISTRA")</f>
        <v>MAYRA ALEJANDRA CASTILLO ARBOLEDA</v>
      </c>
      <c r="D2837" s="4" t="str">
        <f>IFERROR(VLOOKUP(A2837,'Base Prueba'!A:D,4,),"NO REGISTRA")</f>
        <v>APOYO INTEGRAL DE MERCADEO</v>
      </c>
      <c r="E2837" s="5" t="str">
        <f>IFERROR(VLOOKUP(A2837,'Base Prueba'!A:E,5,),"NO REGISTRA")</f>
        <v>CENTRO DE GESTION DOCUMENTAL</v>
      </c>
    </row>
    <row r="2838" spans="1:5" ht="15.75" x14ac:dyDescent="0.25">
      <c r="A2838" s="10">
        <v>1000324729</v>
      </c>
      <c r="B2838" s="2">
        <v>46076.31623113426</v>
      </c>
      <c r="C2838" s="3" t="str">
        <f>IFERROR(VLOOKUP(A2838,'Base Prueba'!A:C,3,),"NO REGISTRA")</f>
        <v>ANYIE VANESSA TINOCO CAMACHO</v>
      </c>
      <c r="D2838" s="4" t="str">
        <f>IFERROR(VLOOKUP(A2838,'Base Prueba'!A:D,4,),"NO REGISTRA")</f>
        <v>LIDER DE REGISTRO Y CONTROL</v>
      </c>
      <c r="E2838" s="5" t="str">
        <f>IFERROR(VLOOKUP(A2838,'Base Prueba'!A:E,5,),"NO REGISTRA")</f>
        <v>REGISTRO Y CONTROL ACADEMICO</v>
      </c>
    </row>
    <row r="2839" spans="1:5" ht="15.75" x14ac:dyDescent="0.25">
      <c r="A2839" s="10">
        <v>1032469638</v>
      </c>
      <c r="B2839" s="2">
        <v>46076.325698032408</v>
      </c>
      <c r="C2839" s="3" t="str">
        <f>IFERROR(VLOOKUP(A2839,'Base Prueba'!A:C,3,),"NO REGISTRA")</f>
        <v>MAICOL JARBEY GUALTEROS CASTAÑEDA</v>
      </c>
      <c r="D2839" s="4" t="str">
        <f>IFERROR(VLOOKUP(A2839,'Base Prueba'!A:D,4,),"NO REGISTRA")</f>
        <v>COORDINADOR DEL SISTEMA INTERNO DE ASEGURAMIENTO DE LA CALIDAD - SIAC</v>
      </c>
      <c r="E2839" s="5" t="str">
        <f>IFERROR(VLOOKUP(A2839,'Base Prueba'!A:E,5,),"NO REGISTRA")</f>
        <v>OFICINA DE PLANEACION Y GESTION DE LA CALIDAD</v>
      </c>
    </row>
    <row r="2840" spans="1:5" ht="15.75" x14ac:dyDescent="0.25">
      <c r="A2840" s="10">
        <v>1000257136</v>
      </c>
      <c r="B2840" s="2">
        <v>46076.326451851855</v>
      </c>
      <c r="C2840" s="3" t="str">
        <f>IFERROR(VLOOKUP(A2840,'Base Prueba'!A:C,3,),"NO REGISTRA")</f>
        <v>FRANCI VALENTINA CANO PUENTES</v>
      </c>
      <c r="D2840" s="4" t="str">
        <f>IFERROR(VLOOKUP(A2840,'Base Prueba'!A:D,4,),"NO REGISTRA")</f>
        <v>AUXILIAR CONTABLE</v>
      </c>
      <c r="E2840" s="5" t="str">
        <f>IFERROR(VLOOKUP(A2840,'Base Prueba'!A:E,5,),"NO REGISTRA")</f>
        <v>AREA FINANCIERA Y CONTABLE</v>
      </c>
    </row>
    <row r="2841" spans="1:5" ht="15.75" x14ac:dyDescent="0.25">
      <c r="A2841" s="10">
        <v>1049644802</v>
      </c>
      <c r="B2841" s="2">
        <v>46076.334496296295</v>
      </c>
      <c r="C2841" s="3" t="str">
        <f>IFERROR(VLOOKUP(A2841,'Base Prueba'!A:C,3,),"NO REGISTRA")</f>
        <v>DANIELA ALEXANDRA CIPAMOCHA BOSIGA</v>
      </c>
      <c r="D2841" s="4" t="str">
        <f>IFERROR(VLOOKUP(A2841,'Base Prueba'!A:D,4,),"NO REGISTRA")</f>
        <v>LIDER DE DATOS Y SERVICIOS</v>
      </c>
      <c r="E2841" s="5" t="str">
        <f>IFERROR(VLOOKUP(A2841,'Base Prueba'!A:E,5,),"NO REGISTRA")</f>
        <v>OFICINA DE PLANEACION Y GESTION DE LA CALIDAD</v>
      </c>
    </row>
    <row r="2842" spans="1:5" ht="15.75" x14ac:dyDescent="0.25">
      <c r="A2842" s="10">
        <v>1031802160</v>
      </c>
      <c r="B2842" s="2">
        <v>46076.3363875</v>
      </c>
      <c r="C2842" s="3" t="str">
        <f>IFERROR(VLOOKUP(A2842,'Base Prueba'!A:C,3,),"NO REGISTRA")</f>
        <v>LUISA MARIA MAHECHA SOTOMAYOR</v>
      </c>
      <c r="D2842" s="4" t="str">
        <f>IFERROR(VLOOKUP(A2842,'Base Prueba'!A:D,4,),"NO REGISTRA")</f>
        <v>APRENDIZ UNIVERSITARIO</v>
      </c>
      <c r="E2842" s="5" t="str">
        <f>IFERROR(VLOOKUP(A2842,'Base Prueba'!A:E,5,),"NO REGISTRA")</f>
        <v>OFICINA DE MERCADEO</v>
      </c>
    </row>
    <row r="2843" spans="1:5" ht="15.75" x14ac:dyDescent="0.25">
      <c r="A2843" s="10">
        <v>1014308296</v>
      </c>
      <c r="B2843" s="2">
        <v>46076.338521064812</v>
      </c>
      <c r="C2843" s="3" t="str">
        <f>IFERROR(VLOOKUP(A2843,'Base Prueba'!A:C,3,),"NO REGISTRA")</f>
        <v>DARLENE YULIANA MORENO CELEITA</v>
      </c>
      <c r="D2843" s="4" t="str">
        <f>IFERROR(VLOOKUP(A2843,'Base Prueba'!A:D,4,),"NO REGISTRA")</f>
        <v>CAJERO PRINCIPAL</v>
      </c>
      <c r="E2843" s="5" t="str">
        <f>IFERROR(VLOOKUP(A2843,'Base Prueba'!A:E,5,),"NO REGISTRA")</f>
        <v>AREA FINANCIERA Y CONTABLE</v>
      </c>
    </row>
    <row r="2844" spans="1:5" ht="15.75" x14ac:dyDescent="0.25">
      <c r="A2844" s="10">
        <v>1014977624</v>
      </c>
      <c r="B2844" s="2">
        <v>46076.339129976855</v>
      </c>
      <c r="C2844" s="3" t="str">
        <f>IFERROR(VLOOKUP(A2844,'Base Prueba'!A:C,3,),"NO REGISTRA")</f>
        <v>NICCOLE VALENTINA HERNANDEZ MALAVER</v>
      </c>
      <c r="D2844" s="4" t="str">
        <f>IFERROR(VLOOKUP(A2844,'Base Prueba'!A:D,4,),"NO REGISTRA")</f>
        <v>APRENDIZ UNIVERSITARIO</v>
      </c>
      <c r="E2844" s="5" t="str">
        <f>IFERROR(VLOOKUP(A2844,'Base Prueba'!A:E,5,),"NO REGISTRA")</f>
        <v>AREA FINANCIERA Y CONTABLE</v>
      </c>
    </row>
    <row r="2845" spans="1:5" ht="15.75" x14ac:dyDescent="0.25">
      <c r="A2845" s="10">
        <v>1193457976</v>
      </c>
      <c r="B2845" s="2">
        <v>46076.339501273149</v>
      </c>
      <c r="C2845" s="3" t="str">
        <f>IFERROR(VLOOKUP(A2845,'Base Prueba'!A:C,3,),"NO REGISTRA")</f>
        <v>SEDENIS RIVAS ASPRILLA</v>
      </c>
      <c r="D2845" s="4" t="str">
        <f>IFERROR(VLOOKUP(A2845,'Base Prueba'!A:D,4,),"NO REGISTRA")</f>
        <v>APRENDIZ UNIVERSITARIO</v>
      </c>
      <c r="E2845" s="5" t="str">
        <f>IFERROR(VLOOKUP(A2845,'Base Prueba'!A:E,5,),"NO REGISTRA")</f>
        <v>DEPARTAMENTO DE GESTION HUMANA</v>
      </c>
    </row>
    <row r="2846" spans="1:5" ht="15.75" x14ac:dyDescent="0.25">
      <c r="A2846" s="10">
        <v>1000457706</v>
      </c>
      <c r="B2846" s="2">
        <v>46076.339947106484</v>
      </c>
      <c r="C2846" s="3" t="str">
        <f>IFERROR(VLOOKUP(A2846,'Base Prueba'!A:C,3,),"NO REGISTRA")</f>
        <v>CRISTIAN DANILO ARROYO SANABRIA</v>
      </c>
      <c r="D2846" s="4" t="str">
        <f>IFERROR(VLOOKUP(A2846,'Base Prueba'!A:D,4,),"NO REGISTRA")</f>
        <v>AUXILIAR CONTABLE</v>
      </c>
      <c r="E2846" s="5" t="str">
        <f>IFERROR(VLOOKUP(A2846,'Base Prueba'!A:E,5,),"NO REGISTRA")</f>
        <v>AREA FINANCIERA Y CONTABLE</v>
      </c>
    </row>
    <row r="2847" spans="1:5" ht="15.75" x14ac:dyDescent="0.25">
      <c r="A2847" s="10">
        <v>53932358</v>
      </c>
      <c r="B2847" s="2">
        <v>46076.34082928241</v>
      </c>
      <c r="C2847" s="3" t="str">
        <f>IFERROR(VLOOKUP(A2847,'Base Prueba'!A:C,3,),"NO REGISTRA")</f>
        <v>DIANA MADELEYNE GAONA RODRIGUEZ</v>
      </c>
      <c r="D2847" s="4" t="str">
        <f>IFERROR(VLOOKUP(A2847,'Base Prueba'!A:D,4,),"NO REGISTRA")</f>
        <v>CONTADOR</v>
      </c>
      <c r="E2847" s="5" t="str">
        <f>IFERROR(VLOOKUP(A2847,'Base Prueba'!A:E,5,),"NO REGISTRA")</f>
        <v>AREA FINANCIERA Y CONTABLE</v>
      </c>
    </row>
    <row r="2848" spans="1:5" ht="15.75" x14ac:dyDescent="0.25">
      <c r="A2848" s="10">
        <v>80238161</v>
      </c>
      <c r="B2848" s="2">
        <v>46076.341007060182</v>
      </c>
      <c r="C2848" s="3" t="str">
        <f>IFERROR(VLOOKUP(A2848,'Base Prueba'!A:C,3,),"NO REGISTRA")</f>
        <v>GERMAN CARRANZA ESPITIA</v>
      </c>
      <c r="D2848" s="4" t="str">
        <f>IFERROR(VLOOKUP(A2848,'Base Prueba'!A:D,4,),"NO REGISTRA")</f>
        <v>TESORERO</v>
      </c>
      <c r="E2848" s="5" t="str">
        <f>IFERROR(VLOOKUP(A2848,'Base Prueba'!A:E,5,),"NO REGISTRA")</f>
        <v>AREA FINANCIERA Y CONTABLE</v>
      </c>
    </row>
    <row r="2849" spans="1:5" ht="15.75" x14ac:dyDescent="0.25">
      <c r="A2849" s="10">
        <v>80725196</v>
      </c>
      <c r="B2849" s="2">
        <v>46076.343749537038</v>
      </c>
      <c r="C2849" s="3" t="str">
        <f>IFERROR(VLOOKUP(A2849,'Base Prueba'!A:C,3,),"NO REGISTRA")</f>
        <v>YEISON YOSET TOVAR BARBOSA</v>
      </c>
      <c r="D2849" s="4" t="str">
        <f>IFERROR(VLOOKUP(A2849,'Base Prueba'!A:D,4,),"NO REGISTRA")</f>
        <v>LIDER GESTION DOCUMENTAL</v>
      </c>
      <c r="E2849" s="5" t="str">
        <f>IFERROR(VLOOKUP(A2849,'Base Prueba'!A:E,5,),"NO REGISTRA")</f>
        <v>CENTRO DE GESTION DOCUMENTAL</v>
      </c>
    </row>
    <row r="2850" spans="1:5" ht="15.75" x14ac:dyDescent="0.25">
      <c r="A2850" s="10">
        <v>1000593372</v>
      </c>
      <c r="B2850" s="2">
        <v>46076.343855555555</v>
      </c>
      <c r="C2850" s="3" t="str">
        <f>IFERROR(VLOOKUP(A2850,'Base Prueba'!A:C,3,),"NO REGISTRA")</f>
        <v>LAURA SOFIA CHAPARRO LOPEZ</v>
      </c>
      <c r="D2850" s="4" t="str">
        <f>IFERROR(VLOOKUP(A2850,'Base Prueba'!A:D,4,),"NO REGISTRA")</f>
        <v>AUXILIAR JURIDICO</v>
      </c>
      <c r="E2850" s="5" t="str">
        <f>IFERROR(VLOOKUP(A2850,'Base Prueba'!A:E,5,),"NO REGISTRA")</f>
        <v>SECRETARIA GENERAL</v>
      </c>
    </row>
    <row r="2851" spans="1:5" ht="15.75" x14ac:dyDescent="0.25">
      <c r="A2851" s="10">
        <v>1000687931</v>
      </c>
      <c r="B2851" s="2">
        <v>46076.344022685182</v>
      </c>
      <c r="C2851" s="3" t="str">
        <f>IFERROR(VLOOKUP(A2851,'Base Prueba'!A:C,3,),"NO REGISTRA")</f>
        <v>ANDRES FELIPE PUENTES TORRES</v>
      </c>
      <c r="D2851" s="4" t="str">
        <f>IFERROR(VLOOKUP(A2851,'Base Prueba'!A:D,4,),"NO REGISTRA")</f>
        <v>AUXILIAR ADMINISTRATIVO</v>
      </c>
      <c r="E2851" s="5" t="str">
        <f>IFERROR(VLOOKUP(A2851,'Base Prueba'!A:E,5,),"NO REGISTRA")</f>
        <v>REGISTRO Y CONTROL ACADEMICO</v>
      </c>
    </row>
    <row r="2852" spans="1:5" ht="15.75" x14ac:dyDescent="0.25">
      <c r="A2852" s="10">
        <v>1023883232</v>
      </c>
      <c r="B2852" s="2">
        <v>46076.347740740741</v>
      </c>
      <c r="C2852" s="3" t="str">
        <f>IFERROR(VLOOKUP(A2852,'Base Prueba'!A:C,3,),"NO REGISTRA")</f>
        <v>MONICA ANDREA ACERO URBANO</v>
      </c>
      <c r="D2852" s="4" t="str">
        <f>IFERROR(VLOOKUP(A2852,'Base Prueba'!A:D,4,),"NO REGISTRA")</f>
        <v>APOYO INTEGRAL A GESTION HUMANA</v>
      </c>
      <c r="E2852" s="5" t="str">
        <f>IFERROR(VLOOKUP(A2852,'Base Prueba'!A:E,5,),"NO REGISTRA")</f>
        <v>DEPARTAMENTO DE GESTION HUMANA</v>
      </c>
    </row>
    <row r="2853" spans="1:5" ht="15.75" x14ac:dyDescent="0.25">
      <c r="A2853" s="10">
        <v>1000604979</v>
      </c>
      <c r="B2853" s="2">
        <v>46076.36757303241</v>
      </c>
      <c r="C2853" s="3" t="str">
        <f>IFERROR(VLOOKUP(A2853,'Base Prueba'!A:C,3,),"NO REGISTRA")</f>
        <v>JULIETH TATIANA PARDO PINTO</v>
      </c>
      <c r="D2853" s="4" t="str">
        <f>IFERROR(VLOOKUP(A2853,'Base Prueba'!A:D,4,),"NO REGISTRA")</f>
        <v>AUXILIAR JURIDICO</v>
      </c>
      <c r="E2853" s="5" t="str">
        <f>IFERROR(VLOOKUP(A2853,'Base Prueba'!A:E,5,),"NO REGISTRA")</f>
        <v>SECRETARIA GENERAL</v>
      </c>
    </row>
    <row r="2854" spans="1:5" ht="15.75" x14ac:dyDescent="0.25">
      <c r="A2854" s="10">
        <v>1016090131</v>
      </c>
      <c r="B2854" s="2">
        <v>46076.376909606479</v>
      </c>
      <c r="C2854" s="3" t="str">
        <f>IFERROR(VLOOKUP(A2854,'Base Prueba'!A:C,3,),"NO REGISTRA")</f>
        <v>NICOLAS RODRIGUEZ PACHECO</v>
      </c>
      <c r="D2854" s="4" t="str">
        <f>IFERROR(VLOOKUP(A2854,'Base Prueba'!A:D,4,),"NO REGISTRA")</f>
        <v>COORDINADOR DE COMUNICACIONES</v>
      </c>
      <c r="E2854" s="5" t="str">
        <f>IFERROR(VLOOKUP(A2854,'Base Prueba'!A:E,5,),"NO REGISTRA")</f>
        <v>OFICINA DE MERCADEO</v>
      </c>
    </row>
    <row r="2855" spans="1:5" ht="15.75" x14ac:dyDescent="0.25">
      <c r="A2855" s="10">
        <v>1014196857</v>
      </c>
      <c r="B2855" s="2">
        <v>46076.377488194441</v>
      </c>
      <c r="C2855" s="3" t="str">
        <f>IFERROR(VLOOKUP(A2855,'Base Prueba'!A:C,3,),"NO REGISTRA")</f>
        <v>CARLOS ANDRES JIMENEZ PARDO</v>
      </c>
      <c r="D2855" s="4" t="str">
        <f>IFERROR(VLOOKUP(A2855,'Base Prueba'!A:D,4,),"NO REGISTRA")</f>
        <v>COORDINADOR DE MARKETING DIGITAL</v>
      </c>
      <c r="E2855" s="5" t="str">
        <f>IFERROR(VLOOKUP(A2855,'Base Prueba'!A:E,5,),"NO REGISTRA")</f>
        <v>OFICINA DE MERCADEO</v>
      </c>
    </row>
    <row r="2856" spans="1:5" ht="15.75" x14ac:dyDescent="0.25">
      <c r="A2856" s="10">
        <v>1000046533</v>
      </c>
      <c r="B2856" s="2">
        <v>46076.377983680555</v>
      </c>
      <c r="C2856" s="3" t="str">
        <f>IFERROR(VLOOKUP(A2856,'Base Prueba'!A:C,3,),"NO REGISTRA")</f>
        <v>ERIKA JULIETH VALDERRAMA SANCHEZ</v>
      </c>
      <c r="D2856" s="4" t="str">
        <f>IFERROR(VLOOKUP(A2856,'Base Prueba'!A:D,4,),"NO REGISTRA")</f>
        <v>PROMOTOR CALL CENTER</v>
      </c>
      <c r="E2856" s="5" t="str">
        <f>IFERROR(VLOOKUP(A2856,'Base Prueba'!A:E,5,),"NO REGISTRA")</f>
        <v>OFICINA DE MERCADEO</v>
      </c>
    </row>
    <row r="2857" spans="1:5" ht="15.75" x14ac:dyDescent="0.25">
      <c r="A2857" s="10">
        <v>1193265768</v>
      </c>
      <c r="B2857" s="2">
        <v>46076.378779513892</v>
      </c>
      <c r="C2857" s="3" t="str">
        <f>IFERROR(VLOOKUP(A2857,'Base Prueba'!A:C,3,),"NO REGISTRA")</f>
        <v>SANTIAGO OSORIO CAMACHO</v>
      </c>
      <c r="D2857" s="4" t="str">
        <f>IFERROR(VLOOKUP(A2857,'Base Prueba'!A:D,4,),"NO REGISTRA")</f>
        <v>ANALISTA DE PAUTA</v>
      </c>
      <c r="E2857" s="5" t="str">
        <f>IFERROR(VLOOKUP(A2857,'Base Prueba'!A:E,5,),"NO REGISTRA")</f>
        <v>OFICINA DE MERCADEO</v>
      </c>
    </row>
    <row r="2858" spans="1:5" ht="15.75" x14ac:dyDescent="0.25">
      <c r="A2858" s="10">
        <v>52764929</v>
      </c>
      <c r="B2858" s="2">
        <v>46076.379948379632</v>
      </c>
      <c r="C2858" s="3" t="str">
        <f>IFERROR(VLOOKUP(A2858,'Base Prueba'!A:C,3,),"NO REGISTRA")</f>
        <v>GUERLY YOHANA DURAN RIVERA</v>
      </c>
      <c r="D2858" s="4" t="str">
        <f>IFERROR(VLOOKUP(A2858,'Base Prueba'!A:D,4,),"NO REGISTRA")</f>
        <v>LIDER DE VINCULACION COLEGIOS</v>
      </c>
      <c r="E2858" s="5" t="str">
        <f>IFERROR(VLOOKUP(A2858,'Base Prueba'!A:E,5,),"NO REGISTRA")</f>
        <v>OFICINA DE MERCADEO</v>
      </c>
    </row>
    <row r="2859" spans="1:5" ht="15.75" x14ac:dyDescent="0.25">
      <c r="A2859" s="10">
        <v>52443092</v>
      </c>
      <c r="B2859" s="2">
        <v>46076.451988078705</v>
      </c>
      <c r="C2859" s="3" t="str">
        <f>IFERROR(VLOOKUP(A2859,'Base Prueba'!A:C,3,),"NO REGISTRA")</f>
        <v>LUZ MYRIAM SAAVEDRA CONTRERAS</v>
      </c>
      <c r="D2859" s="4" t="str">
        <f>IFERROR(VLOOKUP(A2859,'Base Prueba'!A:D,4,),"NO REGISTRA")</f>
        <v>AUXILIAR DE SERVICIOS</v>
      </c>
      <c r="E2859" s="5" t="str">
        <f>IFERROR(VLOOKUP(A2859,'Base Prueba'!A:E,5,),"NO REGISTRA")</f>
        <v>LOGISTICA Y SERVICIOS GENERALES</v>
      </c>
    </row>
    <row r="2860" spans="1:5" ht="15.75" x14ac:dyDescent="0.25">
      <c r="A2860" s="10">
        <v>1000593372</v>
      </c>
      <c r="B2860" s="2">
        <v>46076.504778356481</v>
      </c>
      <c r="C2860" s="3" t="str">
        <f>IFERROR(VLOOKUP(A2860,'Base Prueba'!A:C,3,),"NO REGISTRA")</f>
        <v>LAURA SOFIA CHAPARRO LOPEZ</v>
      </c>
      <c r="D2860" s="4" t="str">
        <f>IFERROR(VLOOKUP(A2860,'Base Prueba'!A:D,4,),"NO REGISTRA")</f>
        <v>AUXILIAR JURIDICO</v>
      </c>
      <c r="E2860" s="5" t="str">
        <f>IFERROR(VLOOKUP(A2860,'Base Prueba'!A:E,5,),"NO REGISTRA")</f>
        <v>SECRETARIA GENERAL</v>
      </c>
    </row>
    <row r="2861" spans="1:5" ht="15.75" x14ac:dyDescent="0.25">
      <c r="A2861" s="10">
        <v>1000604979</v>
      </c>
      <c r="B2861" s="2">
        <v>46076.504801620373</v>
      </c>
      <c r="C2861" s="3" t="str">
        <f>IFERROR(VLOOKUP(A2861,'Base Prueba'!A:C,3,),"NO REGISTRA")</f>
        <v>JULIETH TATIANA PARDO PINTO</v>
      </c>
      <c r="D2861" s="4" t="str">
        <f>IFERROR(VLOOKUP(A2861,'Base Prueba'!A:D,4,),"NO REGISTRA")</f>
        <v>AUXILIAR JURIDICO</v>
      </c>
      <c r="E2861" s="5" t="str">
        <f>IFERROR(VLOOKUP(A2861,'Base Prueba'!A:E,5,),"NO REGISTRA")</f>
        <v>SECRETARIA GENERAL</v>
      </c>
    </row>
    <row r="2862" spans="1:5" ht="15.75" x14ac:dyDescent="0.25">
      <c r="A2862" s="10">
        <v>1031802160</v>
      </c>
      <c r="B2862" s="2">
        <v>46076.708418981485</v>
      </c>
      <c r="C2862" s="3" t="str">
        <f>IFERROR(VLOOKUP(A2862,'Base Prueba'!A:C,3,),"NO REGISTRA")</f>
        <v>LUISA MARIA MAHECHA SOTOMAYOR</v>
      </c>
      <c r="D2862" s="4" t="str">
        <f>IFERROR(VLOOKUP(A2862,'Base Prueba'!A:D,4,),"NO REGISTRA")</f>
        <v>APRENDIZ UNIVERSITARIO</v>
      </c>
      <c r="E2862" s="5" t="str">
        <f>IFERROR(VLOOKUP(A2862,'Base Prueba'!A:E,5,),"NO REGISTRA")</f>
        <v>OFICINA DE MERCADEO</v>
      </c>
    </row>
    <row r="2863" spans="1:5" ht="15.75" x14ac:dyDescent="0.25">
      <c r="A2863" s="10">
        <v>1000046533</v>
      </c>
      <c r="B2863" s="2">
        <v>46076.750359375001</v>
      </c>
      <c r="C2863" s="3" t="str">
        <f>IFERROR(VLOOKUP(A2863,'Base Prueba'!A:C,3,),"NO REGISTRA")</f>
        <v>ERIKA JULIETH VALDERRAMA SANCHEZ</v>
      </c>
      <c r="D2863" s="4" t="str">
        <f>IFERROR(VLOOKUP(A2863,'Base Prueba'!A:D,4,),"NO REGISTRA")</f>
        <v>PROMOTOR CALL CENTER</v>
      </c>
      <c r="E2863" s="5" t="str">
        <f>IFERROR(VLOOKUP(A2863,'Base Prueba'!A:E,5,),"NO REGISTRA")</f>
        <v>OFICINA DE MERCADEO</v>
      </c>
    </row>
    <row r="2864" spans="1:5" ht="15.75" x14ac:dyDescent="0.25">
      <c r="A2864" s="10">
        <v>1087121273</v>
      </c>
      <c r="B2864" s="2">
        <v>46076.75066597222</v>
      </c>
      <c r="C2864" s="3" t="str">
        <f>IFERROR(VLOOKUP(A2864,'Base Prueba'!A:C,3,),"NO REGISTRA")</f>
        <v>MAYRA ALEJANDRA CASTILLO ARBOLEDA</v>
      </c>
      <c r="D2864" s="4" t="str">
        <f>IFERROR(VLOOKUP(A2864,'Base Prueba'!A:D,4,),"NO REGISTRA")</f>
        <v>APOYO INTEGRAL DE MERCADEO</v>
      </c>
      <c r="E2864" s="5" t="str">
        <f>IFERROR(VLOOKUP(A2864,'Base Prueba'!A:E,5,),"NO REGISTRA")</f>
        <v>CENTRO DE GESTION DOCUMENTAL</v>
      </c>
    </row>
    <row r="2865" spans="1:5" ht="15.75" x14ac:dyDescent="0.25">
      <c r="A2865" s="10">
        <v>1193265768</v>
      </c>
      <c r="B2865" s="2">
        <v>46076.753347685182</v>
      </c>
      <c r="C2865" s="3" t="str">
        <f>IFERROR(VLOOKUP(A2865,'Base Prueba'!A:C,3,),"NO REGISTRA")</f>
        <v>SANTIAGO OSORIO CAMACHO</v>
      </c>
      <c r="D2865" s="4" t="str">
        <f>IFERROR(VLOOKUP(A2865,'Base Prueba'!A:D,4,),"NO REGISTRA")</f>
        <v>ANALISTA DE PAUTA</v>
      </c>
      <c r="E2865" s="5" t="str">
        <f>IFERROR(VLOOKUP(A2865,'Base Prueba'!A:E,5,),"NO REGISTRA")</f>
        <v>OFICINA DE MERCADEO</v>
      </c>
    </row>
    <row r="2866" spans="1:5" ht="15.75" x14ac:dyDescent="0.25">
      <c r="A2866" s="10">
        <v>1016090131</v>
      </c>
      <c r="B2866" s="2">
        <v>46076.753464351852</v>
      </c>
      <c r="C2866" s="3" t="str">
        <f>IFERROR(VLOOKUP(A2866,'Base Prueba'!A:C,3,),"NO REGISTRA")</f>
        <v>NICOLAS RODRIGUEZ PACHECO</v>
      </c>
      <c r="D2866" s="4" t="str">
        <f>IFERROR(VLOOKUP(A2866,'Base Prueba'!A:D,4,),"NO REGISTRA")</f>
        <v>COORDINADOR DE COMUNICACIONES</v>
      </c>
      <c r="E2866" s="5" t="str">
        <f>IFERROR(VLOOKUP(A2866,'Base Prueba'!A:E,5,),"NO REGISTRA")</f>
        <v>OFICINA DE MERCADEO</v>
      </c>
    </row>
    <row r="2867" spans="1:5" ht="15.75" x14ac:dyDescent="0.25">
      <c r="A2867" s="10">
        <v>1014196857</v>
      </c>
      <c r="B2867" s="2">
        <v>46076.753502314816</v>
      </c>
      <c r="C2867" s="3" t="str">
        <f>IFERROR(VLOOKUP(A2867,'Base Prueba'!A:C,3,),"NO REGISTRA")</f>
        <v>CARLOS ANDRES JIMENEZ PARDO</v>
      </c>
      <c r="D2867" s="4" t="str">
        <f>IFERROR(VLOOKUP(A2867,'Base Prueba'!A:D,4,),"NO REGISTRA")</f>
        <v>COORDINADOR DE MARKETING DIGITAL</v>
      </c>
      <c r="E2867" s="5" t="str">
        <f>IFERROR(VLOOKUP(A2867,'Base Prueba'!A:E,5,),"NO REGISTRA")</f>
        <v>OFICINA DE MERCADEO</v>
      </c>
    </row>
    <row r="2868" spans="1:5" ht="15.75" x14ac:dyDescent="0.25">
      <c r="A2868" s="10">
        <v>80238161</v>
      </c>
      <c r="B2868" s="2">
        <v>46076.753639236114</v>
      </c>
      <c r="C2868" s="3" t="str">
        <f>IFERROR(VLOOKUP(A2868,'Base Prueba'!A:C,3,),"NO REGISTRA")</f>
        <v>GERMAN CARRANZA ESPITIA</v>
      </c>
      <c r="D2868" s="4" t="str">
        <f>IFERROR(VLOOKUP(A2868,'Base Prueba'!A:D,4,),"NO REGISTRA")</f>
        <v>TESORERO</v>
      </c>
      <c r="E2868" s="5" t="str">
        <f>IFERROR(VLOOKUP(A2868,'Base Prueba'!A:E,5,),"NO REGISTRA")</f>
        <v>AREA FINANCIERA Y CONTABLE</v>
      </c>
    </row>
    <row r="2869" spans="1:5" ht="15.75" x14ac:dyDescent="0.25">
      <c r="A2869" s="10">
        <v>52764929</v>
      </c>
      <c r="B2869" s="2">
        <v>46076.754160069446</v>
      </c>
      <c r="C2869" s="3" t="str">
        <f>IFERROR(VLOOKUP(A2869,'Base Prueba'!A:C,3,),"NO REGISTRA")</f>
        <v>GUERLY YOHANA DURAN RIVERA</v>
      </c>
      <c r="D2869" s="4" t="str">
        <f>IFERROR(VLOOKUP(A2869,'Base Prueba'!A:D,4,),"NO REGISTRA")</f>
        <v>LIDER DE VINCULACION COLEGIOS</v>
      </c>
      <c r="E2869" s="5" t="str">
        <f>IFERROR(VLOOKUP(A2869,'Base Prueba'!A:E,5,),"NO REGISTRA")</f>
        <v>OFICINA DE MERCADEO</v>
      </c>
    </row>
    <row r="2870" spans="1:5" ht="15.75" x14ac:dyDescent="0.25">
      <c r="A2870" s="10">
        <v>1014308296</v>
      </c>
      <c r="B2870" s="2">
        <v>46076.754316782404</v>
      </c>
      <c r="C2870" s="3" t="str">
        <f>IFERROR(VLOOKUP(A2870,'Base Prueba'!A:C,3,),"NO REGISTRA")</f>
        <v>DARLENE YULIANA MORENO CELEITA</v>
      </c>
      <c r="D2870" s="4" t="str">
        <f>IFERROR(VLOOKUP(A2870,'Base Prueba'!A:D,4,),"NO REGISTRA")</f>
        <v>CAJERO PRINCIPAL</v>
      </c>
      <c r="E2870" s="5" t="str">
        <f>IFERROR(VLOOKUP(A2870,'Base Prueba'!A:E,5,),"NO REGISTRA")</f>
        <v>AREA FINANCIERA Y CONTABLE</v>
      </c>
    </row>
    <row r="2871" spans="1:5" ht="15.75" x14ac:dyDescent="0.25">
      <c r="A2871" s="10">
        <v>1193457976</v>
      </c>
      <c r="B2871" s="2">
        <v>46076.754586689814</v>
      </c>
      <c r="C2871" s="3" t="str">
        <f>IFERROR(VLOOKUP(A2871,'Base Prueba'!A:C,3,),"NO REGISTRA")</f>
        <v>SEDENIS RIVAS ASPRILLA</v>
      </c>
      <c r="D2871" s="4" t="str">
        <f>IFERROR(VLOOKUP(A2871,'Base Prueba'!A:D,4,),"NO REGISTRA")</f>
        <v>APRENDIZ UNIVERSITARIO</v>
      </c>
      <c r="E2871" s="5" t="str">
        <f>IFERROR(VLOOKUP(A2871,'Base Prueba'!A:E,5,),"NO REGISTRA")</f>
        <v>DEPARTAMENTO DE GESTION HUMANA</v>
      </c>
    </row>
    <row r="2872" spans="1:5" ht="15.75" x14ac:dyDescent="0.25">
      <c r="A2872" s="10">
        <v>1022996882</v>
      </c>
      <c r="B2872" s="2">
        <v>46076.754869328703</v>
      </c>
      <c r="C2872" s="3" t="str">
        <f>IFERROR(VLOOKUP(A2872,'Base Prueba'!A:C,3,),"NO REGISTRA")</f>
        <v>NANCY BRIGITH ALDANA GUEVARA</v>
      </c>
      <c r="D2872" s="4" t="str">
        <f>IFERROR(VLOOKUP(A2872,'Base Prueba'!A:D,4,),"NO REGISTRA")</f>
        <v>COORDINADORA DE GESTIÓN HUMANA</v>
      </c>
      <c r="E2872" s="5" t="str">
        <f>IFERROR(VLOOKUP(A2872,'Base Prueba'!A:E,5,),"NO REGISTRA")</f>
        <v>DEPARTAMENTO DE GESTION HUMANA</v>
      </c>
    </row>
    <row r="2873" spans="1:5" ht="15.75" x14ac:dyDescent="0.25">
      <c r="A2873" s="10">
        <v>1026599257</v>
      </c>
      <c r="B2873" s="2">
        <v>46076.755231134259</v>
      </c>
      <c r="C2873" s="3" t="str">
        <f>IFERROR(VLOOKUP(A2873,'Base Prueba'!A:C,3,),"NO REGISTRA")</f>
        <v>YESENIA PAOLA PINEDA HURTADO</v>
      </c>
      <c r="D2873" s="4" t="str">
        <f>IFERROR(VLOOKUP(A2873,'Base Prueba'!A:D,4,),"NO REGISTRA")</f>
        <v>LIDER DE COMPRAS</v>
      </c>
      <c r="E2873" s="5" t="str">
        <f>IFERROR(VLOOKUP(A2873,'Base Prueba'!A:E,5,),"NO REGISTRA")</f>
        <v>AREA ADMINISTRATIVA</v>
      </c>
    </row>
    <row r="2874" spans="1:5" ht="15.75" x14ac:dyDescent="0.25">
      <c r="A2874" s="10">
        <v>1000687931</v>
      </c>
      <c r="B2874" s="2">
        <v>46076.755776388891</v>
      </c>
      <c r="C2874" s="3" t="str">
        <f>IFERROR(VLOOKUP(A2874,'Base Prueba'!A:C,3,),"NO REGISTRA")</f>
        <v>ANDRES FELIPE PUENTES TORRES</v>
      </c>
      <c r="D2874" s="4" t="str">
        <f>IFERROR(VLOOKUP(A2874,'Base Prueba'!A:D,4,),"NO REGISTRA")</f>
        <v>AUXILIAR ADMINISTRATIVO</v>
      </c>
      <c r="E2874" s="5" t="str">
        <f>IFERROR(VLOOKUP(A2874,'Base Prueba'!A:E,5,),"NO REGISTRA")</f>
        <v>REGISTRO Y CONTROL ACADEMICO</v>
      </c>
    </row>
    <row r="2875" spans="1:5" ht="15.75" x14ac:dyDescent="0.25">
      <c r="A2875" s="10">
        <v>1023883232</v>
      </c>
      <c r="B2875" s="2">
        <v>46076.755837962963</v>
      </c>
      <c r="C2875" s="3" t="str">
        <f>IFERROR(VLOOKUP(A2875,'Base Prueba'!A:C,3,),"NO REGISTRA")</f>
        <v>MONICA ANDREA ACERO URBANO</v>
      </c>
      <c r="D2875" s="4" t="str">
        <f>IFERROR(VLOOKUP(A2875,'Base Prueba'!A:D,4,),"NO REGISTRA")</f>
        <v>APOYO INTEGRAL A GESTION HUMANA</v>
      </c>
      <c r="E2875" s="5" t="str">
        <f>IFERROR(VLOOKUP(A2875,'Base Prueba'!A:E,5,),"NO REGISTRA")</f>
        <v>DEPARTAMENTO DE GESTION HUMANA</v>
      </c>
    </row>
    <row r="2876" spans="1:5" ht="15.75" x14ac:dyDescent="0.25">
      <c r="A2876" s="10">
        <v>1024505434</v>
      </c>
      <c r="B2876" s="2">
        <v>46076.760184837964</v>
      </c>
      <c r="C2876" s="3" t="str">
        <f>IFERROR(VLOOKUP(A2876,'Base Prueba'!A:C,3,),"NO REGISTRA")</f>
        <v>CRISTIAN ALBERTO MELO TORRES</v>
      </c>
      <c r="D2876" s="4" t="str">
        <f>IFERROR(VLOOKUP(A2876,'Base Prueba'!A:D,4,),"NO REGISTRA")</f>
        <v>COORDINADOR DE INFRAESTRUCTURA</v>
      </c>
      <c r="E2876" s="5" t="str">
        <f>IFERROR(VLOOKUP(A2876,'Base Prueba'!A:E,5,),"NO REGISTRA")</f>
        <v>VICERRECTORIA ADMINISTRATIVA Y FINANCIERA</v>
      </c>
    </row>
    <row r="2877" spans="1:5" ht="15.75" x14ac:dyDescent="0.25">
      <c r="A2877" s="10">
        <v>1000257136</v>
      </c>
      <c r="B2877" s="2">
        <v>46076.76029085648</v>
      </c>
      <c r="C2877" s="3" t="str">
        <f>IFERROR(VLOOKUP(A2877,'Base Prueba'!A:C,3,),"NO REGISTRA")</f>
        <v>FRANCI VALENTINA CANO PUENTES</v>
      </c>
      <c r="D2877" s="4" t="str">
        <f>IFERROR(VLOOKUP(A2877,'Base Prueba'!A:D,4,),"NO REGISTRA")</f>
        <v>AUXILIAR CONTABLE</v>
      </c>
      <c r="E2877" s="5" t="str">
        <f>IFERROR(VLOOKUP(A2877,'Base Prueba'!A:E,5,),"NO REGISTRA")</f>
        <v>AREA FINANCIERA Y CONTABLE</v>
      </c>
    </row>
    <row r="2878" spans="1:5" ht="15.75" x14ac:dyDescent="0.25">
      <c r="A2878" s="10">
        <v>1000161811</v>
      </c>
      <c r="B2878" s="2">
        <v>46076.760644560185</v>
      </c>
      <c r="C2878" s="3" t="str">
        <f>IFERROR(VLOOKUP(A2878,'Base Prueba'!A:C,3,),"NO REGISTRA")</f>
        <v>DIEGO ANDRES VARON ROZO</v>
      </c>
      <c r="D2878" s="4" t="str">
        <f>IFERROR(VLOOKUP(A2878,'Base Prueba'!A:D,4,),"NO REGISTRA")</f>
        <v>APRENDIZ UNIVERSITARIO</v>
      </c>
      <c r="E2878" s="5" t="str">
        <f>IFERROR(VLOOKUP(A2878,'Base Prueba'!A:E,5,),"NO REGISTRA")</f>
        <v>OFICINA DE MERCADEO</v>
      </c>
    </row>
    <row r="2879" spans="1:5" ht="15.75" x14ac:dyDescent="0.25">
      <c r="A2879" s="10">
        <v>1000324729</v>
      </c>
      <c r="B2879" s="2">
        <v>46076.766736342594</v>
      </c>
      <c r="C2879" s="3" t="str">
        <f>IFERROR(VLOOKUP(A2879,'Base Prueba'!A:C,3,),"NO REGISTRA")</f>
        <v>ANYIE VANESSA TINOCO CAMACHO</v>
      </c>
      <c r="D2879" s="4" t="str">
        <f>IFERROR(VLOOKUP(A2879,'Base Prueba'!A:D,4,),"NO REGISTRA")</f>
        <v>LIDER DE REGISTRO Y CONTROL</v>
      </c>
      <c r="E2879" s="5" t="str">
        <f>IFERROR(VLOOKUP(A2879,'Base Prueba'!A:E,5,),"NO REGISTRA")</f>
        <v>REGISTRO Y CONTROL ACADEMICO</v>
      </c>
    </row>
    <row r="2880" spans="1:5" ht="15.75" x14ac:dyDescent="0.25">
      <c r="A2880" s="10">
        <v>1000457706</v>
      </c>
      <c r="B2880" s="2">
        <v>46076.773146527776</v>
      </c>
      <c r="C2880" s="3" t="str">
        <f>IFERROR(VLOOKUP(A2880,'Base Prueba'!A:C,3,),"NO REGISTRA")</f>
        <v>CRISTIAN DANILO ARROYO SANABRIA</v>
      </c>
      <c r="D2880" s="4" t="str">
        <f>IFERROR(VLOOKUP(A2880,'Base Prueba'!A:D,4,),"NO REGISTRA")</f>
        <v>AUXILIAR CONTABLE</v>
      </c>
      <c r="E2880" s="5" t="str">
        <f>IFERROR(VLOOKUP(A2880,'Base Prueba'!A:E,5,),"NO REGISTRA")</f>
        <v>AREA FINANCIERA Y CONTABLE</v>
      </c>
    </row>
    <row r="2881" spans="1:5" ht="15.75" x14ac:dyDescent="0.25">
      <c r="A2881" s="10">
        <v>1014977624</v>
      </c>
      <c r="B2881" s="2">
        <v>46076.773184375001</v>
      </c>
      <c r="C2881" s="3" t="str">
        <f>IFERROR(VLOOKUP(A2881,'Base Prueba'!A:C,3,),"NO REGISTRA")</f>
        <v>NICCOLE VALENTINA HERNANDEZ MALAVER</v>
      </c>
      <c r="D2881" s="4" t="str">
        <f>IFERROR(VLOOKUP(A2881,'Base Prueba'!A:D,4,),"NO REGISTRA")</f>
        <v>APRENDIZ UNIVERSITARIO</v>
      </c>
      <c r="E2881" s="5" t="str">
        <f>IFERROR(VLOOKUP(A2881,'Base Prueba'!A:E,5,),"NO REGISTRA")</f>
        <v>AREA FINANCIERA Y CONTABLE</v>
      </c>
    </row>
    <row r="2882" spans="1:5" ht="15.75" x14ac:dyDescent="0.25">
      <c r="A2882" s="10">
        <v>52443092</v>
      </c>
      <c r="B2882" s="2">
        <v>46076.790649884257</v>
      </c>
      <c r="C2882" s="3" t="str">
        <f>IFERROR(VLOOKUP(A2882,'Base Prueba'!A:C,3,),"NO REGISTRA")</f>
        <v>LUZ MYRIAM SAAVEDRA CONTRERAS</v>
      </c>
      <c r="D2882" s="4" t="str">
        <f>IFERROR(VLOOKUP(A2882,'Base Prueba'!A:D,4,),"NO REGISTRA")</f>
        <v>AUXILIAR DE SERVICIOS</v>
      </c>
      <c r="E2882" s="5" t="str">
        <f>IFERROR(VLOOKUP(A2882,'Base Prueba'!A:E,5,),"NO REGISTRA")</f>
        <v>LOGISTICA Y SERVICIOS GENERALES</v>
      </c>
    </row>
    <row r="2883" spans="1:5" ht="15.75" x14ac:dyDescent="0.25">
      <c r="A2883" s="10">
        <v>52474489</v>
      </c>
      <c r="B2883" s="2">
        <v>46076.845096759258</v>
      </c>
      <c r="C2883" s="3" t="str">
        <f>IFERROR(VLOOKUP(A2883,'Base Prueba'!A:C,3,),"NO REGISTRA")</f>
        <v>ADRIANA JIMENA SOTO BOCANEGRA</v>
      </c>
      <c r="D2883" s="4" t="str">
        <f>IFERROR(VLOOKUP(A2883,'Base Prueba'!A:D,4,),"NO REGISTRA")</f>
        <v>COORDINADOR DE LA OFICINA DE REGISTRO Y CONTROL</v>
      </c>
      <c r="E2883" s="5" t="str">
        <f>IFERROR(VLOOKUP(A2883,'Base Prueba'!A:E,5,),"NO REGISTRA")</f>
        <v>REGISTRO Y CONTROL ACADEMICO</v>
      </c>
    </row>
    <row r="2884" spans="1:5" ht="15.75" x14ac:dyDescent="0.25">
      <c r="A2884" s="10">
        <v>1013616244</v>
      </c>
      <c r="B2884" s="2">
        <v>46076.846734953702</v>
      </c>
      <c r="C2884" s="3" t="str">
        <f>IFERROR(VLOOKUP(A2884,'Base Prueba'!A:C,3,),"NO REGISTRA")</f>
        <v>DIANA CAROLINA MARIN BETANCOURT</v>
      </c>
      <c r="D2884" s="4" t="str">
        <f>IFERROR(VLOOKUP(A2884,'Base Prueba'!A:D,4,),"NO REGISTRA")</f>
        <v>AUXILIAR ADMINISTRATIVO</v>
      </c>
      <c r="E2884" s="5" t="str">
        <f>IFERROR(VLOOKUP(A2884,'Base Prueba'!A:E,5,),"NO REGISTRA")</f>
        <v>REGISTRO Y CONTROL ACADEMICO</v>
      </c>
    </row>
    <row r="2885" spans="1:5" ht="15.75" x14ac:dyDescent="0.25">
      <c r="A2885" s="10">
        <v>53932358</v>
      </c>
      <c r="B2885" s="2">
        <v>46076.854077546297</v>
      </c>
      <c r="C2885" s="3" t="str">
        <f>IFERROR(VLOOKUP(A2885,'Base Prueba'!A:C,3,),"NO REGISTRA")</f>
        <v>DIANA MADELEYNE GAONA RODRIGUEZ</v>
      </c>
      <c r="D2885" s="4" t="str">
        <f>IFERROR(VLOOKUP(A2885,'Base Prueba'!A:D,4,),"NO REGISTRA")</f>
        <v>CONTADOR</v>
      </c>
      <c r="E2885" s="5" t="str">
        <f>IFERROR(VLOOKUP(A2885,'Base Prueba'!A:E,5,),"NO REGISTRA")</f>
        <v>AREA FINANCIERA Y CONTABLE</v>
      </c>
    </row>
    <row r="2886" spans="1:5" ht="15.75" x14ac:dyDescent="0.25">
      <c r="A2886" s="10">
        <v>1087121273</v>
      </c>
      <c r="B2886" s="2">
        <v>46077.30576354167</v>
      </c>
      <c r="C2886" s="3" t="str">
        <f>IFERROR(VLOOKUP(A2886,'Base Prueba'!A:C,3,),"NO REGISTRA")</f>
        <v>MAYRA ALEJANDRA CASTILLO ARBOLEDA</v>
      </c>
      <c r="D2886" s="4" t="str">
        <f>IFERROR(VLOOKUP(A2886,'Base Prueba'!A:D,4,),"NO REGISTRA")</f>
        <v>APOYO INTEGRAL DE MERCADEO</v>
      </c>
      <c r="E2886" s="5" t="str">
        <f>IFERROR(VLOOKUP(A2886,'Base Prueba'!A:E,5,),"NO REGISTRA")</f>
        <v>CENTRO DE GESTION DOCUMENTAL</v>
      </c>
    </row>
    <row r="2887" spans="1:5" ht="15.75" x14ac:dyDescent="0.25">
      <c r="A2887" s="10">
        <v>1032469638</v>
      </c>
      <c r="B2887" s="2">
        <v>46077.323446064816</v>
      </c>
      <c r="C2887" s="3" t="str">
        <f>IFERROR(VLOOKUP(A2887,'Base Prueba'!A:C,3,),"NO REGISTRA")</f>
        <v>MAICOL JARBEY GUALTEROS CASTAÑEDA</v>
      </c>
      <c r="D2887" s="4" t="str">
        <f>IFERROR(VLOOKUP(A2887,'Base Prueba'!A:D,4,),"NO REGISTRA")</f>
        <v>COORDINADOR DEL SISTEMA INTERNO DE ASEGURAMIENTO DE LA CALIDAD - SIAC</v>
      </c>
      <c r="E2887" s="5" t="str">
        <f>IFERROR(VLOOKUP(A2887,'Base Prueba'!A:E,5,),"NO REGISTRA")</f>
        <v>OFICINA DE PLANEACION Y GESTION DE LA CALIDAD</v>
      </c>
    </row>
    <row r="2888" spans="1:5" ht="15.75" x14ac:dyDescent="0.25">
      <c r="A2888" s="10">
        <v>1031802160</v>
      </c>
      <c r="B2888" s="2">
        <v>46077.331644212965</v>
      </c>
      <c r="C2888" s="3" t="str">
        <f>IFERROR(VLOOKUP(A2888,'Base Prueba'!A:C,3,),"NO REGISTRA")</f>
        <v>LUISA MARIA MAHECHA SOTOMAYOR</v>
      </c>
      <c r="D2888" s="4" t="str">
        <f>IFERROR(VLOOKUP(A2888,'Base Prueba'!A:D,4,),"NO REGISTRA")</f>
        <v>APRENDIZ UNIVERSITARIO</v>
      </c>
      <c r="E2888" s="5" t="str">
        <f>IFERROR(VLOOKUP(A2888,'Base Prueba'!A:E,5,),"NO REGISTRA")</f>
        <v>OFICINA DE MERCADEO</v>
      </c>
    </row>
    <row r="2889" spans="1:5" ht="15.75" x14ac:dyDescent="0.25">
      <c r="A2889" s="10">
        <v>1013616244</v>
      </c>
      <c r="B2889" s="2">
        <v>46077.331758449072</v>
      </c>
      <c r="C2889" s="3" t="str">
        <f>IFERROR(VLOOKUP(A2889,'Base Prueba'!A:C,3,),"NO REGISTRA")</f>
        <v>DIANA CAROLINA MARIN BETANCOURT</v>
      </c>
      <c r="D2889" s="4" t="str">
        <f>IFERROR(VLOOKUP(A2889,'Base Prueba'!A:D,4,),"NO REGISTRA")</f>
        <v>AUXILIAR ADMINISTRATIVO</v>
      </c>
      <c r="E2889" s="5" t="str">
        <f>IFERROR(VLOOKUP(A2889,'Base Prueba'!A:E,5,),"NO REGISTRA")</f>
        <v>REGISTRO Y CONTROL ACADEMICO</v>
      </c>
    </row>
    <row r="2890" spans="1:5" ht="15.75" x14ac:dyDescent="0.25">
      <c r="A2890" s="10">
        <v>1049644802</v>
      </c>
      <c r="B2890" s="2">
        <v>46077.337657870368</v>
      </c>
      <c r="C2890" s="3" t="str">
        <f>IFERROR(VLOOKUP(A2890,'Base Prueba'!A:C,3,),"NO REGISTRA")</f>
        <v>DANIELA ALEXANDRA CIPAMOCHA BOSIGA</v>
      </c>
      <c r="D2890" s="4" t="str">
        <f>IFERROR(VLOOKUP(A2890,'Base Prueba'!A:D,4,),"NO REGISTRA")</f>
        <v>LIDER DE DATOS Y SERVICIOS</v>
      </c>
      <c r="E2890" s="5" t="str">
        <f>IFERROR(VLOOKUP(A2890,'Base Prueba'!A:E,5,),"NO REGISTRA")</f>
        <v>OFICINA DE PLANEACION Y GESTION DE LA CALIDAD</v>
      </c>
    </row>
    <row r="2891" spans="1:5" ht="15.75" x14ac:dyDescent="0.25">
      <c r="A2891" s="10">
        <v>1022996882</v>
      </c>
      <c r="B2891" s="2">
        <v>46077.339066319444</v>
      </c>
      <c r="C2891" s="3" t="str">
        <f>IFERROR(VLOOKUP(A2891,'Base Prueba'!A:C,3,),"NO REGISTRA")</f>
        <v>NANCY BRIGITH ALDANA GUEVARA</v>
      </c>
      <c r="D2891" s="4" t="str">
        <f>IFERROR(VLOOKUP(A2891,'Base Prueba'!A:D,4,),"NO REGISTRA")</f>
        <v>COORDINADORA DE GESTIÓN HUMANA</v>
      </c>
      <c r="E2891" s="5" t="str">
        <f>IFERROR(VLOOKUP(A2891,'Base Prueba'!A:E,5,),"NO REGISTRA")</f>
        <v>DEPARTAMENTO DE GESTION HUMANA</v>
      </c>
    </row>
    <row r="2892" spans="1:5" ht="15.75" x14ac:dyDescent="0.25">
      <c r="A2892" s="10">
        <v>80238161</v>
      </c>
      <c r="B2892" s="2">
        <v>46077.339796180553</v>
      </c>
      <c r="C2892" s="3" t="str">
        <f>IFERROR(VLOOKUP(A2892,'Base Prueba'!A:C,3,),"NO REGISTRA")</f>
        <v>GERMAN CARRANZA ESPITIA</v>
      </c>
      <c r="D2892" s="4" t="str">
        <f>IFERROR(VLOOKUP(A2892,'Base Prueba'!A:D,4,),"NO REGISTRA")</f>
        <v>TESORERO</v>
      </c>
      <c r="E2892" s="5" t="str">
        <f>IFERROR(VLOOKUP(A2892,'Base Prueba'!A:E,5,),"NO REGISTRA")</f>
        <v>AREA FINANCIERA Y CONTABLE</v>
      </c>
    </row>
    <row r="2893" spans="1:5" ht="15.75" x14ac:dyDescent="0.25">
      <c r="A2893" s="10">
        <v>1026599257</v>
      </c>
      <c r="B2893" s="2">
        <v>46077.342627546299</v>
      </c>
      <c r="C2893" s="3" t="str">
        <f>IFERROR(VLOOKUP(A2893,'Base Prueba'!A:C,3,),"NO REGISTRA")</f>
        <v>YESENIA PAOLA PINEDA HURTADO</v>
      </c>
      <c r="D2893" s="4" t="str">
        <f>IFERROR(VLOOKUP(A2893,'Base Prueba'!A:D,4,),"NO REGISTRA")</f>
        <v>LIDER DE COMPRAS</v>
      </c>
      <c r="E2893" s="5" t="str">
        <f>IFERROR(VLOOKUP(A2893,'Base Prueba'!A:E,5,),"NO REGISTRA")</f>
        <v>AREA ADMINISTRATIVA</v>
      </c>
    </row>
    <row r="2894" spans="1:5" ht="15.75" x14ac:dyDescent="0.25">
      <c r="A2894" s="10">
        <v>1014977624</v>
      </c>
      <c r="B2894" s="2">
        <v>46077.344691550927</v>
      </c>
      <c r="C2894" s="3" t="str">
        <f>IFERROR(VLOOKUP(A2894,'Base Prueba'!A:C,3,),"NO REGISTRA")</f>
        <v>NICCOLE VALENTINA HERNANDEZ MALAVER</v>
      </c>
      <c r="D2894" s="4" t="str">
        <f>IFERROR(VLOOKUP(A2894,'Base Prueba'!A:D,4,),"NO REGISTRA")</f>
        <v>APRENDIZ UNIVERSITARIO</v>
      </c>
      <c r="E2894" s="5" t="str">
        <f>IFERROR(VLOOKUP(A2894,'Base Prueba'!A:E,5,),"NO REGISTRA")</f>
        <v>AREA FINANCIERA Y CONTABLE</v>
      </c>
    </row>
    <row r="2895" spans="1:5" ht="15.75" x14ac:dyDescent="0.25">
      <c r="A2895" s="10">
        <v>1193457976</v>
      </c>
      <c r="B2895" s="2">
        <v>46077.344801851854</v>
      </c>
      <c r="C2895" s="3" t="str">
        <f>IFERROR(VLOOKUP(A2895,'Base Prueba'!A:C,3,),"NO REGISTRA")</f>
        <v>SEDENIS RIVAS ASPRILLA</v>
      </c>
      <c r="D2895" s="4" t="str">
        <f>IFERROR(VLOOKUP(A2895,'Base Prueba'!A:D,4,),"NO REGISTRA")</f>
        <v>APRENDIZ UNIVERSITARIO</v>
      </c>
      <c r="E2895" s="5" t="str">
        <f>IFERROR(VLOOKUP(A2895,'Base Prueba'!A:E,5,),"NO REGISTRA")</f>
        <v>DEPARTAMENTO DE GESTION HUMANA</v>
      </c>
    </row>
    <row r="2896" spans="1:5" ht="15.75" x14ac:dyDescent="0.25">
      <c r="A2896" s="10">
        <v>1000324729</v>
      </c>
      <c r="B2896" s="2">
        <v>46077.345560879628</v>
      </c>
      <c r="C2896" s="3" t="str">
        <f>IFERROR(VLOOKUP(A2896,'Base Prueba'!A:C,3,),"NO REGISTRA")</f>
        <v>ANYIE VANESSA TINOCO CAMACHO</v>
      </c>
      <c r="D2896" s="4" t="str">
        <f>IFERROR(VLOOKUP(A2896,'Base Prueba'!A:D,4,),"NO REGISTRA")</f>
        <v>LIDER DE REGISTRO Y CONTROL</v>
      </c>
      <c r="E2896" s="5" t="str">
        <f>IFERROR(VLOOKUP(A2896,'Base Prueba'!A:E,5,),"NO REGISTRA")</f>
        <v>REGISTRO Y CONTROL ACADEMICO</v>
      </c>
    </row>
    <row r="2897" spans="1:5" ht="15.75" x14ac:dyDescent="0.25">
      <c r="A2897" s="10">
        <v>1000604979</v>
      </c>
      <c r="B2897" s="2">
        <v>46077.346961689815</v>
      </c>
      <c r="C2897" s="3" t="str">
        <f>IFERROR(VLOOKUP(A2897,'Base Prueba'!A:C,3,),"NO REGISTRA")</f>
        <v>JULIETH TATIANA PARDO PINTO</v>
      </c>
      <c r="D2897" s="4" t="str">
        <f>IFERROR(VLOOKUP(A2897,'Base Prueba'!A:D,4,),"NO REGISTRA")</f>
        <v>AUXILIAR JURIDICO</v>
      </c>
      <c r="E2897" s="5" t="str">
        <f>IFERROR(VLOOKUP(A2897,'Base Prueba'!A:E,5,),"NO REGISTRA")</f>
        <v>SECRETARIA GENERAL</v>
      </c>
    </row>
    <row r="2898" spans="1:5" ht="15.75" x14ac:dyDescent="0.25">
      <c r="A2898" s="10">
        <v>1000457706</v>
      </c>
      <c r="B2898" s="2">
        <v>46077.347101041669</v>
      </c>
      <c r="C2898" s="3" t="str">
        <f>IFERROR(VLOOKUP(A2898,'Base Prueba'!A:C,3,),"NO REGISTRA")</f>
        <v>CRISTIAN DANILO ARROYO SANABRIA</v>
      </c>
      <c r="D2898" s="4" t="str">
        <f>IFERROR(VLOOKUP(A2898,'Base Prueba'!A:D,4,),"NO REGISTRA")</f>
        <v>AUXILIAR CONTABLE</v>
      </c>
      <c r="E2898" s="5" t="str">
        <f>IFERROR(VLOOKUP(A2898,'Base Prueba'!A:E,5,),"NO REGISTRA")</f>
        <v>AREA FINANCIERA Y CONTABLE</v>
      </c>
    </row>
    <row r="2899" spans="1:5" ht="15.75" x14ac:dyDescent="0.25">
      <c r="A2899" s="10">
        <v>1023883232</v>
      </c>
      <c r="B2899" s="2">
        <v>46077.347778356481</v>
      </c>
      <c r="C2899" s="3" t="str">
        <f>IFERROR(VLOOKUP(A2899,'Base Prueba'!A:C,3,),"NO REGISTRA")</f>
        <v>MONICA ANDREA ACERO URBANO</v>
      </c>
      <c r="D2899" s="4" t="str">
        <f>IFERROR(VLOOKUP(A2899,'Base Prueba'!A:D,4,),"NO REGISTRA")</f>
        <v>APOYO INTEGRAL A GESTION HUMANA</v>
      </c>
      <c r="E2899" s="5" t="str">
        <f>IFERROR(VLOOKUP(A2899,'Base Prueba'!A:E,5,),"NO REGISTRA")</f>
        <v>DEPARTAMENTO DE GESTION HUMANA</v>
      </c>
    </row>
    <row r="2900" spans="1:5" ht="15.75" x14ac:dyDescent="0.25">
      <c r="A2900" s="10">
        <v>1000687931</v>
      </c>
      <c r="B2900" s="2">
        <v>46077.349287037039</v>
      </c>
      <c r="C2900" s="3" t="str">
        <f>IFERROR(VLOOKUP(A2900,'Base Prueba'!A:C,3,),"NO REGISTRA")</f>
        <v>ANDRES FELIPE PUENTES TORRES</v>
      </c>
      <c r="D2900" s="4" t="str">
        <f>IFERROR(VLOOKUP(A2900,'Base Prueba'!A:D,4,),"NO REGISTRA")</f>
        <v>AUXILIAR ADMINISTRATIVO</v>
      </c>
      <c r="E2900" s="5" t="str">
        <f>IFERROR(VLOOKUP(A2900,'Base Prueba'!A:E,5,),"NO REGISTRA")</f>
        <v>REGISTRO Y CONTROL ACADEMICO</v>
      </c>
    </row>
    <row r="2901" spans="1:5" ht="15.75" x14ac:dyDescent="0.25">
      <c r="A2901" s="10">
        <v>1000257136</v>
      </c>
      <c r="B2901" s="2">
        <v>46077.351234027781</v>
      </c>
      <c r="C2901" s="3" t="str">
        <f>IFERROR(VLOOKUP(A2901,'Base Prueba'!A:C,3,),"NO REGISTRA")</f>
        <v>FRANCI VALENTINA CANO PUENTES</v>
      </c>
      <c r="D2901" s="4" t="str">
        <f>IFERROR(VLOOKUP(A2901,'Base Prueba'!A:D,4,),"NO REGISTRA")</f>
        <v>AUXILIAR CONTABLE</v>
      </c>
      <c r="E2901" s="5" t="str">
        <f>IFERROR(VLOOKUP(A2901,'Base Prueba'!A:E,5,),"NO REGISTRA")</f>
        <v>AREA FINANCIERA Y CONTABLE</v>
      </c>
    </row>
    <row r="2902" spans="1:5" ht="15.75" x14ac:dyDescent="0.25">
      <c r="A2902" s="10">
        <v>1014196857</v>
      </c>
      <c r="B2902" s="2">
        <v>46077.355089814817</v>
      </c>
      <c r="C2902" s="3" t="str">
        <f>IFERROR(VLOOKUP(A2902,'Base Prueba'!A:C,3,),"NO REGISTRA")</f>
        <v>CARLOS ANDRES JIMENEZ PARDO</v>
      </c>
      <c r="D2902" s="4" t="str">
        <f>IFERROR(VLOOKUP(A2902,'Base Prueba'!A:D,4,),"NO REGISTRA")</f>
        <v>COORDINADOR DE MARKETING DIGITAL</v>
      </c>
      <c r="E2902" s="5" t="str">
        <f>IFERROR(VLOOKUP(A2902,'Base Prueba'!A:E,5,),"NO REGISTRA")</f>
        <v>OFICINA DE MERCADEO</v>
      </c>
    </row>
    <row r="2903" spans="1:5" ht="15.75" x14ac:dyDescent="0.25">
      <c r="A2903" s="10">
        <v>1014308296</v>
      </c>
      <c r="B2903" s="2">
        <v>46077.35753090278</v>
      </c>
      <c r="C2903" s="3" t="str">
        <f>IFERROR(VLOOKUP(A2903,'Base Prueba'!A:C,3,),"NO REGISTRA")</f>
        <v>DARLENE YULIANA MORENO CELEITA</v>
      </c>
      <c r="D2903" s="4" t="str">
        <f>IFERROR(VLOOKUP(A2903,'Base Prueba'!A:D,4,),"NO REGISTRA")</f>
        <v>CAJERO PRINCIPAL</v>
      </c>
      <c r="E2903" s="5" t="str">
        <f>IFERROR(VLOOKUP(A2903,'Base Prueba'!A:E,5,),"NO REGISTRA")</f>
        <v>AREA FINANCIERA Y CONTABLE</v>
      </c>
    </row>
    <row r="2904" spans="1:5" ht="15.75" x14ac:dyDescent="0.25">
      <c r="A2904" s="10">
        <v>1018413529</v>
      </c>
      <c r="B2904" s="2">
        <v>46077.360196064816</v>
      </c>
      <c r="C2904" s="3" t="str">
        <f>IFERROR(VLOOKUP(A2904,'Base Prueba'!A:C,3,),"NO REGISTRA")</f>
        <v>FRANCY STELLA CHARRY MORENO</v>
      </c>
      <c r="D2904" s="4" t="str">
        <f>IFERROR(VLOOKUP(A2904,'Base Prueba'!A:D,4,),"NO REGISTRA")</f>
        <v>PROMOTOR COMERCIAL DEL CEA</v>
      </c>
      <c r="E2904" s="5" t="str">
        <f>IFERROR(VLOOKUP(A2904,'Base Prueba'!A:E,5,),"NO REGISTRA")</f>
        <v>OFICINA DE MERCADEO</v>
      </c>
    </row>
    <row r="2905" spans="1:5" ht="15.75" x14ac:dyDescent="0.25">
      <c r="A2905" s="10">
        <v>1000593372</v>
      </c>
      <c r="B2905" s="2">
        <v>46077.362775810187</v>
      </c>
      <c r="C2905" s="3" t="str">
        <f>IFERROR(VLOOKUP(A2905,'Base Prueba'!A:C,3,),"NO REGISTRA")</f>
        <v>LAURA SOFIA CHAPARRO LOPEZ</v>
      </c>
      <c r="D2905" s="4" t="str">
        <f>IFERROR(VLOOKUP(A2905,'Base Prueba'!A:D,4,),"NO REGISTRA")</f>
        <v>AUXILIAR JURIDICO</v>
      </c>
      <c r="E2905" s="5" t="str">
        <f>IFERROR(VLOOKUP(A2905,'Base Prueba'!A:E,5,),"NO REGISTRA")</f>
        <v>SECRETARIA GENERAL</v>
      </c>
    </row>
    <row r="2906" spans="1:5" ht="15.75" x14ac:dyDescent="0.25">
      <c r="A2906" s="10">
        <v>1032407386</v>
      </c>
      <c r="B2906" s="2">
        <v>46077.366282407405</v>
      </c>
      <c r="C2906" s="3" t="str">
        <f>IFERROR(VLOOKUP(A2906,'Base Prueba'!A:C,3,),"NO REGISTRA")</f>
        <v>GINA PAOLA BAEZ GALVIS</v>
      </c>
      <c r="D2906" s="4" t="str">
        <f>IFERROR(VLOOKUP(A2906,'Base Prueba'!A:D,4,),"NO REGISTRA")</f>
        <v>PROMOTOR CALL CENTER</v>
      </c>
      <c r="E2906" s="5" t="str">
        <f>IFERROR(VLOOKUP(A2906,'Base Prueba'!A:E,5,),"NO REGISTRA")</f>
        <v>OFICINA DE MERCADEO</v>
      </c>
    </row>
    <row r="2907" spans="1:5" ht="15.75" x14ac:dyDescent="0.25">
      <c r="A2907" s="10">
        <v>1033709056</v>
      </c>
      <c r="B2907" s="2">
        <v>46077.370485648149</v>
      </c>
      <c r="C2907" s="3" t="str">
        <f>IFERROR(VLOOKUP(A2907,'Base Prueba'!A:C,3,),"NO REGISTRA")</f>
        <v>YEIMY ALEXANDRA RODRIGUEZ PALACIO</v>
      </c>
      <c r="D2907" s="4" t="str">
        <f>IFERROR(VLOOKUP(A2907,'Base Prueba'!A:D,4,),"NO REGISTRA")</f>
        <v>PROMOTOR CALL CENTER</v>
      </c>
      <c r="E2907" s="5" t="str">
        <f>IFERROR(VLOOKUP(A2907,'Base Prueba'!A:E,5,),"NO REGISTRA")</f>
        <v>OFICINA DE MERCADEO</v>
      </c>
    </row>
    <row r="2908" spans="1:5" ht="15.75" x14ac:dyDescent="0.25">
      <c r="A2908" s="10">
        <v>80234243</v>
      </c>
      <c r="B2908" s="2">
        <v>46077.371085300925</v>
      </c>
      <c r="C2908" s="3" t="str">
        <f>IFERROR(VLOOKUP(A2908,'Base Prueba'!A:C,3,),"NO REGISTRA")</f>
        <v>ARGENIS MARTINEZ MARTINEZ</v>
      </c>
      <c r="D2908" s="4" t="str">
        <f>IFERROR(VLOOKUP(A2908,'Base Prueba'!A:D,4,),"NO REGISTRA")</f>
        <v>LIDER CALL CENTER</v>
      </c>
      <c r="E2908" s="5" t="str">
        <f>IFERROR(VLOOKUP(A2908,'Base Prueba'!A:E,5,),"NO REGISTRA")</f>
        <v>OFICINA DE MERCADEO</v>
      </c>
    </row>
    <row r="2909" spans="1:5" ht="15.75" x14ac:dyDescent="0.25">
      <c r="A2909" s="10">
        <v>52472386</v>
      </c>
      <c r="B2909" s="2">
        <v>46077.372367129632</v>
      </c>
      <c r="C2909" s="3" t="str">
        <f>IFERROR(VLOOKUP(A2909,'Base Prueba'!A:C,3,),"NO REGISTRA")</f>
        <v>ADRIANA MARCELA MORALES PARDO</v>
      </c>
      <c r="D2909" s="4" t="str">
        <f>IFERROR(VLOOKUP(A2909,'Base Prueba'!A:D,4,),"NO REGISTRA")</f>
        <v>PROMOTOR CALL CENTER</v>
      </c>
      <c r="E2909" s="5" t="str">
        <f>IFERROR(VLOOKUP(A2909,'Base Prueba'!A:E,5,),"NO REGISTRA")</f>
        <v>OFICINA DE MERCADEO</v>
      </c>
    </row>
    <row r="2910" spans="1:5" ht="15.75" x14ac:dyDescent="0.25">
      <c r="A2910" s="10">
        <v>1016090131</v>
      </c>
      <c r="B2910" s="2">
        <v>46077.372983564812</v>
      </c>
      <c r="C2910" s="3" t="str">
        <f>IFERROR(VLOOKUP(A2910,'Base Prueba'!A:C,3,),"NO REGISTRA")</f>
        <v>NICOLAS RODRIGUEZ PACHECO</v>
      </c>
      <c r="D2910" s="4" t="str">
        <f>IFERROR(VLOOKUP(A2910,'Base Prueba'!A:D,4,),"NO REGISTRA")</f>
        <v>COORDINADOR DE COMUNICACIONES</v>
      </c>
      <c r="E2910" s="5" t="str">
        <f>IFERROR(VLOOKUP(A2910,'Base Prueba'!A:E,5,),"NO REGISTRA")</f>
        <v>OFICINA DE MERCADEO</v>
      </c>
    </row>
    <row r="2911" spans="1:5" ht="15.75" x14ac:dyDescent="0.25">
      <c r="A2911" s="10">
        <v>1023961952</v>
      </c>
      <c r="B2911" s="2">
        <v>46077.373397222225</v>
      </c>
      <c r="C2911" s="3" t="str">
        <f>IFERROR(VLOOKUP(A2911,'Base Prueba'!A:C,3,),"NO REGISTRA")</f>
        <v>ALEJANDRO PINZON MERCHAN</v>
      </c>
      <c r="D2911" s="4" t="str">
        <f>IFERROR(VLOOKUP(A2911,'Base Prueba'!A:D,4,),"NO REGISTRA")</f>
        <v>PROMOTOR CALL CENTER</v>
      </c>
      <c r="E2911" s="5" t="str">
        <f>IFERROR(VLOOKUP(A2911,'Base Prueba'!A:E,5,),"NO REGISTRA")</f>
        <v>OFICINA DE MERCADEO</v>
      </c>
    </row>
    <row r="2912" spans="1:5" ht="15.75" x14ac:dyDescent="0.25">
      <c r="A2912" s="10">
        <v>1019105003</v>
      </c>
      <c r="B2912" s="2">
        <v>46077.374672800928</v>
      </c>
      <c r="C2912" s="3" t="str">
        <f>IFERROR(VLOOKUP(A2912,'Base Prueba'!A:C,3,),"NO REGISTRA")</f>
        <v>DAISY JULIETH GASPAR MORENO</v>
      </c>
      <c r="D2912" s="4" t="str">
        <f>IFERROR(VLOOKUP(A2912,'Base Prueba'!A:D,4,),"NO REGISTRA")</f>
        <v>PROMOTOR CALL CENTER</v>
      </c>
      <c r="E2912" s="5" t="str">
        <f>IFERROR(VLOOKUP(A2912,'Base Prueba'!A:E,5,),"NO REGISTRA")</f>
        <v>OFICINA DE MERCADEO</v>
      </c>
    </row>
    <row r="2913" spans="1:5" ht="15.75" x14ac:dyDescent="0.25">
      <c r="A2913" s="10">
        <v>1012426741</v>
      </c>
      <c r="B2913" s="2">
        <v>46077.375068402776</v>
      </c>
      <c r="C2913" s="3" t="str">
        <f>IFERROR(VLOOKUP(A2913,'Base Prueba'!A:C,3,),"NO REGISTRA")</f>
        <v>CRISTIAN FABIAN ROJAS SANCENO</v>
      </c>
      <c r="D2913" s="4" t="str">
        <f>IFERROR(VLOOKUP(A2913,'Base Prueba'!A:D,4,),"NO REGISTRA")</f>
        <v>AUXILIAR DE REINTEGROS</v>
      </c>
      <c r="E2913" s="5" t="str">
        <f>IFERROR(VLOOKUP(A2913,'Base Prueba'!A:E,5,),"NO REGISTRA")</f>
        <v>DIRECCION DE BIENESTAR INSTITUCIONAL</v>
      </c>
    </row>
    <row r="2914" spans="1:5" ht="15.75" x14ac:dyDescent="0.25">
      <c r="A2914" s="10">
        <v>1003690253</v>
      </c>
      <c r="B2914" s="2">
        <v>46077.377635648147</v>
      </c>
      <c r="C2914" s="3" t="str">
        <f>IFERROR(VLOOKUP(A2914,'Base Prueba'!A:C,3,),"NO REGISTRA")</f>
        <v>MELISSA GONZALEZ PEDRAZA</v>
      </c>
      <c r="D2914" s="4" t="str">
        <f>IFERROR(VLOOKUP(A2914,'Base Prueba'!A:D,4,),"NO REGISTRA")</f>
        <v>LIDER DE JOVENES A LA E</v>
      </c>
      <c r="E2914" s="5" t="str">
        <f>IFERROR(VLOOKUP(A2914,'Base Prueba'!A:E,5,),"NO REGISTRA")</f>
        <v>DIRECCION DE BIENESTAR INSTITUCIONAL</v>
      </c>
    </row>
    <row r="2915" spans="1:5" ht="15.75" x14ac:dyDescent="0.25">
      <c r="A2915" s="10">
        <v>52175674</v>
      </c>
      <c r="B2915" s="2">
        <v>46077.383754861112</v>
      </c>
      <c r="C2915" s="3" t="str">
        <f>IFERROR(VLOOKUP(A2915,'Base Prueba'!A:C,3,),"NO REGISTRA")</f>
        <v>LUZ YANETH GOMEZ AREVALO</v>
      </c>
      <c r="D2915" s="4" t="str">
        <f>IFERROR(VLOOKUP(A2915,'Base Prueba'!A:D,4,),"NO REGISTRA")</f>
        <v>COORDINADORA DE ADMISIONES</v>
      </c>
      <c r="E2915" s="5" t="str">
        <f>IFERROR(VLOOKUP(A2915,'Base Prueba'!A:E,5,),"NO REGISTRA")</f>
        <v>OFICINA DE MERCADEO</v>
      </c>
    </row>
    <row r="2916" spans="1:5" ht="15.75" x14ac:dyDescent="0.25">
      <c r="A2916" s="10">
        <v>28798349</v>
      </c>
      <c r="B2916" s="2">
        <v>46077.383837499998</v>
      </c>
      <c r="C2916" s="3" t="str">
        <f>IFERROR(VLOOKUP(A2916,'Base Prueba'!A:C,3,),"NO REGISTRA")</f>
        <v>MARTHA ISABEL TOVAR WILLIAMS</v>
      </c>
      <c r="D2916" s="4" t="str">
        <f>IFERROR(VLOOKUP(A2916,'Base Prueba'!A:D,4,),"NO REGISTRA")</f>
        <v>PROMOTOR CALL CENTER</v>
      </c>
      <c r="E2916" s="5" t="str">
        <f>IFERROR(VLOOKUP(A2916,'Base Prueba'!A:E,5,),"NO REGISTRA")</f>
        <v>OFICINA DE MERCADEO</v>
      </c>
    </row>
    <row r="2917" spans="1:5" ht="15.75" x14ac:dyDescent="0.25">
      <c r="A2917" s="10">
        <v>1193265768</v>
      </c>
      <c r="B2917" s="2">
        <v>46077.38457037037</v>
      </c>
      <c r="C2917" s="3" t="str">
        <f>IFERROR(VLOOKUP(A2917,'Base Prueba'!A:C,3,),"NO REGISTRA")</f>
        <v>SANTIAGO OSORIO CAMACHO</v>
      </c>
      <c r="D2917" s="4" t="str">
        <f>IFERROR(VLOOKUP(A2917,'Base Prueba'!A:D,4,),"NO REGISTRA")</f>
        <v>ANALISTA DE PAUTA</v>
      </c>
      <c r="E2917" s="5" t="str">
        <f>IFERROR(VLOOKUP(A2917,'Base Prueba'!A:E,5,),"NO REGISTRA")</f>
        <v>OFICINA DE MERCADEO</v>
      </c>
    </row>
    <row r="2918" spans="1:5" ht="15.75" x14ac:dyDescent="0.25">
      <c r="A2918" s="10">
        <v>52764929</v>
      </c>
      <c r="B2918" s="2">
        <v>46077.386377662035</v>
      </c>
      <c r="C2918" s="3" t="str">
        <f>IFERROR(VLOOKUP(A2918,'Base Prueba'!A:C,3,),"NO REGISTRA")</f>
        <v>GUERLY YOHANA DURAN RIVERA</v>
      </c>
      <c r="D2918" s="4" t="str">
        <f>IFERROR(VLOOKUP(A2918,'Base Prueba'!A:D,4,),"NO REGISTRA")</f>
        <v>LIDER DE VINCULACION COLEGIOS</v>
      </c>
      <c r="E2918" s="5" t="str">
        <f>IFERROR(VLOOKUP(A2918,'Base Prueba'!A:E,5,),"NO REGISTRA")</f>
        <v>OFICINA DE MERCADEO</v>
      </c>
    </row>
    <row r="2919" spans="1:5" ht="15.75" x14ac:dyDescent="0.25">
      <c r="A2919" s="10">
        <v>53932358</v>
      </c>
      <c r="B2919" s="2">
        <v>46077.449995601855</v>
      </c>
      <c r="C2919" s="3" t="str">
        <f>IFERROR(VLOOKUP(A2919,'Base Prueba'!A:C,3,),"NO REGISTRA")</f>
        <v>DIANA MADELEYNE GAONA RODRIGUEZ</v>
      </c>
      <c r="D2919" s="4" t="str">
        <f>IFERROR(VLOOKUP(A2919,'Base Prueba'!A:D,4,),"NO REGISTRA")</f>
        <v>CONTADOR</v>
      </c>
      <c r="E2919" s="5" t="str">
        <f>IFERROR(VLOOKUP(A2919,'Base Prueba'!A:E,5,),"NO REGISTRA")</f>
        <v>AREA FINANCIERA Y CONTABLE</v>
      </c>
    </row>
    <row r="2920" spans="1:5" ht="15.75" x14ac:dyDescent="0.25">
      <c r="A2920" s="10">
        <v>52443092</v>
      </c>
      <c r="B2920" s="2">
        <v>46077.499112962963</v>
      </c>
      <c r="C2920" s="3" t="str">
        <f>IFERROR(VLOOKUP(A2920,'Base Prueba'!A:C,3,),"NO REGISTRA")</f>
        <v>LUZ MYRIAM SAAVEDRA CONTRERAS</v>
      </c>
      <c r="D2920" s="4" t="str">
        <f>IFERROR(VLOOKUP(A2920,'Base Prueba'!A:D,4,),"NO REGISTRA")</f>
        <v>AUXILIAR DE SERVICIOS</v>
      </c>
      <c r="E2920" s="5" t="str">
        <f>IFERROR(VLOOKUP(A2920,'Base Prueba'!A:E,5,),"NO REGISTRA")</f>
        <v>LOGISTICA Y SERVICIOS GENERALES</v>
      </c>
    </row>
    <row r="2921" spans="1:5" ht="15.75" x14ac:dyDescent="0.25">
      <c r="A2921" s="10">
        <v>52443092</v>
      </c>
      <c r="B2921" s="2">
        <v>46077.499154282406</v>
      </c>
      <c r="C2921" s="3" t="str">
        <f>IFERROR(VLOOKUP(A2921,'Base Prueba'!A:C,3,),"NO REGISTRA")</f>
        <v>LUZ MYRIAM SAAVEDRA CONTRERAS</v>
      </c>
      <c r="D2921" s="4" t="str">
        <f>IFERROR(VLOOKUP(A2921,'Base Prueba'!A:D,4,),"NO REGISTRA")</f>
        <v>AUXILIAR DE SERVICIOS</v>
      </c>
      <c r="E2921" s="5" t="str">
        <f>IFERROR(VLOOKUP(A2921,'Base Prueba'!A:E,5,),"NO REGISTRA")</f>
        <v>LOGISTICA Y SERVICIOS GENERALES</v>
      </c>
    </row>
    <row r="2922" spans="1:5" ht="15.75" x14ac:dyDescent="0.25">
      <c r="A2922" s="10">
        <v>1031802160</v>
      </c>
      <c r="B2922" s="2">
        <v>46077.708436574074</v>
      </c>
      <c r="C2922" s="3" t="str">
        <f>IFERROR(VLOOKUP(A2922,'Base Prueba'!A:C,3,),"NO REGISTRA")</f>
        <v>LUISA MARIA MAHECHA SOTOMAYOR</v>
      </c>
      <c r="D2922" s="4" t="str">
        <f>IFERROR(VLOOKUP(A2922,'Base Prueba'!A:D,4,),"NO REGISTRA")</f>
        <v>APRENDIZ UNIVERSITARIO</v>
      </c>
      <c r="E2922" s="5" t="str">
        <f>IFERROR(VLOOKUP(A2922,'Base Prueba'!A:E,5,),"NO REGISTRA")</f>
        <v>OFICINA DE MERCADEO</v>
      </c>
    </row>
    <row r="2923" spans="1:5" ht="15.75" x14ac:dyDescent="0.25">
      <c r="A2923" s="10">
        <v>1000687931</v>
      </c>
      <c r="B2923" s="2">
        <v>46077.716338078702</v>
      </c>
      <c r="C2923" s="3" t="str">
        <f>IFERROR(VLOOKUP(A2923,'Base Prueba'!A:C,3,),"NO REGISTRA")</f>
        <v>ANDRES FELIPE PUENTES TORRES</v>
      </c>
      <c r="D2923" s="4" t="str">
        <f>IFERROR(VLOOKUP(A2923,'Base Prueba'!A:D,4,),"NO REGISTRA")</f>
        <v>AUXILIAR ADMINISTRATIVO</v>
      </c>
      <c r="E2923" s="5" t="str">
        <f>IFERROR(VLOOKUP(A2923,'Base Prueba'!A:E,5,),"NO REGISTRA")</f>
        <v>REGISTRO Y CONTROL ACADEMICO</v>
      </c>
    </row>
    <row r="2924" spans="1:5" ht="15.75" x14ac:dyDescent="0.25">
      <c r="A2924" s="10">
        <v>1024505434</v>
      </c>
      <c r="B2924" s="2">
        <v>46077.731789930556</v>
      </c>
      <c r="C2924" s="3" t="str">
        <f>IFERROR(VLOOKUP(A2924,'Base Prueba'!A:C,3,),"NO REGISTRA")</f>
        <v>CRISTIAN ALBERTO MELO TORRES</v>
      </c>
      <c r="D2924" s="4" t="str">
        <f>IFERROR(VLOOKUP(A2924,'Base Prueba'!A:D,4,),"NO REGISTRA")</f>
        <v>COORDINADOR DE INFRAESTRUCTURA</v>
      </c>
      <c r="E2924" s="5" t="str">
        <f>IFERROR(VLOOKUP(A2924,'Base Prueba'!A:E,5,),"NO REGISTRA")</f>
        <v>VICERRECTORIA ADMINISTRATIVA Y FINANCIERA</v>
      </c>
    </row>
    <row r="2925" spans="1:5" ht="15.75" x14ac:dyDescent="0.25">
      <c r="A2925" s="10">
        <v>1000467399</v>
      </c>
      <c r="B2925" s="2">
        <v>46077.751742939814</v>
      </c>
      <c r="C2925" s="3" t="str">
        <f>IFERROR(VLOOKUP(A2925,'Base Prueba'!A:C,3,),"NO REGISTRA")</f>
        <v>BRANDO ESTIVEN DIAZ QUIMBAYA</v>
      </c>
      <c r="D2925" s="4" t="str">
        <f>IFERROR(VLOOKUP(A2925,'Base Prueba'!A:D,4,),"NO REGISTRA")</f>
        <v>APRENDIZ UNIVERSITARIO</v>
      </c>
      <c r="E2925" s="5" t="str">
        <f>IFERROR(VLOOKUP(A2925,'Base Prueba'!A:E,5,),"NO REGISTRA")</f>
        <v>DEPARTAMENTO DE GESTION HUMANA</v>
      </c>
    </row>
    <row r="2926" spans="1:5" ht="15.75" x14ac:dyDescent="0.25">
      <c r="A2926" s="10">
        <v>1193457976</v>
      </c>
      <c r="B2926" s="2">
        <v>46077.75293865741</v>
      </c>
      <c r="C2926" s="3" t="str">
        <f>IFERROR(VLOOKUP(A2926,'Base Prueba'!A:C,3,),"NO REGISTRA")</f>
        <v>SEDENIS RIVAS ASPRILLA</v>
      </c>
      <c r="D2926" s="4" t="str">
        <f>IFERROR(VLOOKUP(A2926,'Base Prueba'!A:D,4,),"NO REGISTRA")</f>
        <v>APRENDIZ UNIVERSITARIO</v>
      </c>
      <c r="E2926" s="5" t="str">
        <f>IFERROR(VLOOKUP(A2926,'Base Prueba'!A:E,5,),"NO REGISTRA")</f>
        <v>DEPARTAMENTO DE GESTION HUMANA</v>
      </c>
    </row>
    <row r="2927" spans="1:5" ht="15.75" x14ac:dyDescent="0.25">
      <c r="A2927" s="10">
        <v>1032469638</v>
      </c>
      <c r="B2927" s="2">
        <v>46077.753870949076</v>
      </c>
      <c r="C2927" s="3" t="str">
        <f>IFERROR(VLOOKUP(A2927,'Base Prueba'!A:C,3,),"NO REGISTRA")</f>
        <v>MAICOL JARBEY GUALTEROS CASTAÑEDA</v>
      </c>
      <c r="D2927" s="4" t="str">
        <f>IFERROR(VLOOKUP(A2927,'Base Prueba'!A:D,4,),"NO REGISTRA")</f>
        <v>COORDINADOR DEL SISTEMA INTERNO DE ASEGURAMIENTO DE LA CALIDAD - SIAC</v>
      </c>
      <c r="E2927" s="5" t="str">
        <f>IFERROR(VLOOKUP(A2927,'Base Prueba'!A:E,5,),"NO REGISTRA")</f>
        <v>OFICINA DE PLANEACION Y GESTION DE LA CALIDAD</v>
      </c>
    </row>
    <row r="2928" spans="1:5" ht="15.75" x14ac:dyDescent="0.25">
      <c r="A2928" s="10">
        <v>1049644802</v>
      </c>
      <c r="B2928" s="2">
        <v>46077.753907175924</v>
      </c>
      <c r="C2928" s="3" t="str">
        <f>IFERROR(VLOOKUP(A2928,'Base Prueba'!A:C,3,),"NO REGISTRA")</f>
        <v>DANIELA ALEXANDRA CIPAMOCHA BOSIGA</v>
      </c>
      <c r="D2928" s="4" t="str">
        <f>IFERROR(VLOOKUP(A2928,'Base Prueba'!A:D,4,),"NO REGISTRA")</f>
        <v>LIDER DE DATOS Y SERVICIOS</v>
      </c>
      <c r="E2928" s="5" t="str">
        <f>IFERROR(VLOOKUP(A2928,'Base Prueba'!A:E,5,),"NO REGISTRA")</f>
        <v>OFICINA DE PLANEACION Y GESTION DE LA CALIDAD</v>
      </c>
    </row>
    <row r="2929" spans="1:5" ht="15.75" x14ac:dyDescent="0.25">
      <c r="A2929" s="10">
        <v>1000604979</v>
      </c>
      <c r="B2929" s="2">
        <v>46077.759820023151</v>
      </c>
      <c r="C2929" s="3" t="str">
        <f>IFERROR(VLOOKUP(A2929,'Base Prueba'!A:C,3,),"NO REGISTRA")</f>
        <v>JULIETH TATIANA PARDO PINTO</v>
      </c>
      <c r="D2929" s="4" t="str">
        <f>IFERROR(VLOOKUP(A2929,'Base Prueba'!A:D,4,),"NO REGISTRA")</f>
        <v>AUXILIAR JURIDICO</v>
      </c>
      <c r="E2929" s="5" t="str">
        <f>IFERROR(VLOOKUP(A2929,'Base Prueba'!A:E,5,),"NO REGISTRA")</f>
        <v>SECRETARIA GENERAL</v>
      </c>
    </row>
    <row r="2930" spans="1:5" ht="15.75" x14ac:dyDescent="0.25">
      <c r="A2930" s="10">
        <v>1000593372</v>
      </c>
      <c r="B2930" s="2">
        <v>46077.759834143515</v>
      </c>
      <c r="C2930" s="3" t="str">
        <f>IFERROR(VLOOKUP(A2930,'Base Prueba'!A:C,3,),"NO REGISTRA")</f>
        <v>LAURA SOFIA CHAPARRO LOPEZ</v>
      </c>
      <c r="D2930" s="4" t="str">
        <f>IFERROR(VLOOKUP(A2930,'Base Prueba'!A:D,4,),"NO REGISTRA")</f>
        <v>AUXILIAR JURIDICO</v>
      </c>
      <c r="E2930" s="5" t="str">
        <f>IFERROR(VLOOKUP(A2930,'Base Prueba'!A:E,5,),"NO REGISTRA")</f>
        <v>SECRETARIA GENERAL</v>
      </c>
    </row>
    <row r="2931" spans="1:5" ht="15.75" x14ac:dyDescent="0.25">
      <c r="A2931" s="10">
        <v>1023883232</v>
      </c>
      <c r="B2931" s="2">
        <v>46077.759941898148</v>
      </c>
      <c r="C2931" s="3" t="str">
        <f>IFERROR(VLOOKUP(A2931,'Base Prueba'!A:C,3,),"NO REGISTRA")</f>
        <v>MONICA ANDREA ACERO URBANO</v>
      </c>
      <c r="D2931" s="4" t="str">
        <f>IFERROR(VLOOKUP(A2931,'Base Prueba'!A:D,4,),"NO REGISTRA")</f>
        <v>APOYO INTEGRAL A GESTION HUMANA</v>
      </c>
      <c r="E2931" s="5" t="str">
        <f>IFERROR(VLOOKUP(A2931,'Base Prueba'!A:E,5,),"NO REGISTRA")</f>
        <v>DEPARTAMENTO DE GESTION HUMANA</v>
      </c>
    </row>
    <row r="2932" spans="1:5" ht="15.75" x14ac:dyDescent="0.25">
      <c r="A2932" s="10">
        <v>1087121273</v>
      </c>
      <c r="B2932" s="2">
        <v>46077.759989699072</v>
      </c>
      <c r="C2932" s="3" t="str">
        <f>IFERROR(VLOOKUP(A2932,'Base Prueba'!A:C,3,),"NO REGISTRA")</f>
        <v>MAYRA ALEJANDRA CASTILLO ARBOLEDA</v>
      </c>
      <c r="D2932" s="4" t="str">
        <f>IFERROR(VLOOKUP(A2932,'Base Prueba'!A:D,4,),"NO REGISTRA")</f>
        <v>APOYO INTEGRAL DE MERCADEO</v>
      </c>
      <c r="E2932" s="5" t="str">
        <f>IFERROR(VLOOKUP(A2932,'Base Prueba'!A:E,5,),"NO REGISTRA")</f>
        <v>CENTRO DE GESTION DOCUMENTAL</v>
      </c>
    </row>
    <row r="2933" spans="1:5" ht="15.75" x14ac:dyDescent="0.25">
      <c r="A2933" s="10">
        <v>1014977624</v>
      </c>
      <c r="B2933" s="2">
        <v>46077.76696990741</v>
      </c>
      <c r="C2933" s="3" t="str">
        <f>IFERROR(VLOOKUP(A2933,'Base Prueba'!A:C,3,),"NO REGISTRA")</f>
        <v>NICCOLE VALENTINA HERNANDEZ MALAVER</v>
      </c>
      <c r="D2933" s="4" t="str">
        <f>IFERROR(VLOOKUP(A2933,'Base Prueba'!A:D,4,),"NO REGISTRA")</f>
        <v>APRENDIZ UNIVERSITARIO</v>
      </c>
      <c r="E2933" s="5" t="str">
        <f>IFERROR(VLOOKUP(A2933,'Base Prueba'!A:E,5,),"NO REGISTRA")</f>
        <v>AREA FINANCIERA Y CONTABLE</v>
      </c>
    </row>
    <row r="2934" spans="1:5" ht="15.75" x14ac:dyDescent="0.25">
      <c r="A2934" s="10">
        <v>1026599257</v>
      </c>
      <c r="B2934" s="2">
        <v>46077.767944791667</v>
      </c>
      <c r="C2934" s="3" t="str">
        <f>IFERROR(VLOOKUP(A2934,'Base Prueba'!A:C,3,),"NO REGISTRA")</f>
        <v>YESENIA PAOLA PINEDA HURTADO</v>
      </c>
      <c r="D2934" s="4" t="str">
        <f>IFERROR(VLOOKUP(A2934,'Base Prueba'!A:D,4,),"NO REGISTRA")</f>
        <v>LIDER DE COMPRAS</v>
      </c>
      <c r="E2934" s="5" t="str">
        <f>IFERROR(VLOOKUP(A2934,'Base Prueba'!A:E,5,),"NO REGISTRA")</f>
        <v>AREA ADMINISTRATIVA</v>
      </c>
    </row>
    <row r="2935" spans="1:5" ht="15.75" x14ac:dyDescent="0.25">
      <c r="A2935" s="10">
        <v>1000257136</v>
      </c>
      <c r="B2935" s="2">
        <v>46077.770320370371</v>
      </c>
      <c r="C2935" s="3" t="str">
        <f>IFERROR(VLOOKUP(A2935,'Base Prueba'!A:C,3,),"NO REGISTRA")</f>
        <v>FRANCI VALENTINA CANO PUENTES</v>
      </c>
      <c r="D2935" s="4" t="str">
        <f>IFERROR(VLOOKUP(A2935,'Base Prueba'!A:D,4,),"NO REGISTRA")</f>
        <v>AUXILIAR CONTABLE</v>
      </c>
      <c r="E2935" s="5" t="str">
        <f>IFERROR(VLOOKUP(A2935,'Base Prueba'!A:E,5,),"NO REGISTRA")</f>
        <v>AREA FINANCIERA Y CONTABLE</v>
      </c>
    </row>
    <row r="2936" spans="1:5" ht="15.75" x14ac:dyDescent="0.25">
      <c r="A2936" s="10">
        <v>1022996882</v>
      </c>
      <c r="B2936" s="2">
        <v>46077.770409606484</v>
      </c>
      <c r="C2936" s="3" t="str">
        <f>IFERROR(VLOOKUP(A2936,'Base Prueba'!A:C,3,),"NO REGISTRA")</f>
        <v>NANCY BRIGITH ALDANA GUEVARA</v>
      </c>
      <c r="D2936" s="4" t="str">
        <f>IFERROR(VLOOKUP(A2936,'Base Prueba'!A:D,4,),"NO REGISTRA")</f>
        <v>COORDINADORA DE GESTIÓN HUMANA</v>
      </c>
      <c r="E2936" s="5" t="str">
        <f>IFERROR(VLOOKUP(A2936,'Base Prueba'!A:E,5,),"NO REGISTRA")</f>
        <v>DEPARTAMENTO DE GESTION HUMANA</v>
      </c>
    </row>
    <row r="2937" spans="1:5" ht="15.75" x14ac:dyDescent="0.25">
      <c r="A2937" s="10">
        <v>1000457706</v>
      </c>
      <c r="B2937" s="2">
        <v>46077.770429050928</v>
      </c>
      <c r="C2937" s="3" t="str">
        <f>IFERROR(VLOOKUP(A2937,'Base Prueba'!A:C,3,),"NO REGISTRA")</f>
        <v>CRISTIAN DANILO ARROYO SANABRIA</v>
      </c>
      <c r="D2937" s="4" t="str">
        <f>IFERROR(VLOOKUP(A2937,'Base Prueba'!A:D,4,),"NO REGISTRA")</f>
        <v>AUXILIAR CONTABLE</v>
      </c>
      <c r="E2937" s="5" t="str">
        <f>IFERROR(VLOOKUP(A2937,'Base Prueba'!A:E,5,),"NO REGISTRA")</f>
        <v>AREA FINANCIERA Y CONTABLE</v>
      </c>
    </row>
    <row r="2938" spans="1:5" ht="15.75" x14ac:dyDescent="0.25">
      <c r="A2938" s="10">
        <v>52175674</v>
      </c>
      <c r="B2938" s="2">
        <v>46077.773120949074</v>
      </c>
      <c r="C2938" s="3" t="str">
        <f>IFERROR(VLOOKUP(A2938,'Base Prueba'!A:C,3,),"NO REGISTRA")</f>
        <v>LUZ YANETH GOMEZ AREVALO</v>
      </c>
      <c r="D2938" s="4" t="str">
        <f>IFERROR(VLOOKUP(A2938,'Base Prueba'!A:D,4,),"NO REGISTRA")</f>
        <v>COORDINADORA DE ADMISIONES</v>
      </c>
      <c r="E2938" s="5" t="str">
        <f>IFERROR(VLOOKUP(A2938,'Base Prueba'!A:E,5,),"NO REGISTRA")</f>
        <v>OFICINA DE MERCADEO</v>
      </c>
    </row>
    <row r="2939" spans="1:5" ht="15.75" x14ac:dyDescent="0.25">
      <c r="A2939" s="10">
        <v>1000046533</v>
      </c>
      <c r="B2939" s="2">
        <v>46077.773161111108</v>
      </c>
      <c r="C2939" s="3" t="str">
        <f>IFERROR(VLOOKUP(A2939,'Base Prueba'!A:C,3,),"NO REGISTRA")</f>
        <v>ERIKA JULIETH VALDERRAMA SANCHEZ</v>
      </c>
      <c r="D2939" s="4" t="str">
        <f>IFERROR(VLOOKUP(A2939,'Base Prueba'!A:D,4,),"NO REGISTRA")</f>
        <v>PROMOTOR CALL CENTER</v>
      </c>
      <c r="E2939" s="5" t="str">
        <f>IFERROR(VLOOKUP(A2939,'Base Prueba'!A:E,5,),"NO REGISTRA")</f>
        <v>OFICINA DE MERCADEO</v>
      </c>
    </row>
    <row r="2940" spans="1:5" ht="15.75" x14ac:dyDescent="0.25">
      <c r="A2940" s="10">
        <v>1033709056</v>
      </c>
      <c r="B2940" s="2">
        <v>46077.773269097219</v>
      </c>
      <c r="C2940" s="3" t="str">
        <f>IFERROR(VLOOKUP(A2940,'Base Prueba'!A:C,3,),"NO REGISTRA")</f>
        <v>YEIMY ALEXANDRA RODRIGUEZ PALACIO</v>
      </c>
      <c r="D2940" s="4" t="str">
        <f>IFERROR(VLOOKUP(A2940,'Base Prueba'!A:D,4,),"NO REGISTRA")</f>
        <v>PROMOTOR CALL CENTER</v>
      </c>
      <c r="E2940" s="5" t="str">
        <f>IFERROR(VLOOKUP(A2940,'Base Prueba'!A:E,5,),"NO REGISTRA")</f>
        <v>OFICINA DE MERCADEO</v>
      </c>
    </row>
    <row r="2941" spans="1:5" ht="15.75" x14ac:dyDescent="0.25">
      <c r="A2941" s="10">
        <v>52472386</v>
      </c>
      <c r="B2941" s="2">
        <v>46077.773849652775</v>
      </c>
      <c r="C2941" s="3" t="str">
        <f>IFERROR(VLOOKUP(A2941,'Base Prueba'!A:C,3,),"NO REGISTRA")</f>
        <v>ADRIANA MARCELA MORALES PARDO</v>
      </c>
      <c r="D2941" s="4" t="str">
        <f>IFERROR(VLOOKUP(A2941,'Base Prueba'!A:D,4,),"NO REGISTRA")</f>
        <v>PROMOTOR CALL CENTER</v>
      </c>
      <c r="E2941" s="5" t="str">
        <f>IFERROR(VLOOKUP(A2941,'Base Prueba'!A:E,5,),"NO REGISTRA")</f>
        <v>OFICINA DE MERCADEO</v>
      </c>
    </row>
    <row r="2942" spans="1:5" ht="15.75" x14ac:dyDescent="0.25">
      <c r="A2942" s="10">
        <v>1032407386</v>
      </c>
      <c r="B2942" s="2">
        <v>46077.775799305557</v>
      </c>
      <c r="C2942" s="3" t="str">
        <f>IFERROR(VLOOKUP(A2942,'Base Prueba'!A:C,3,),"NO REGISTRA")</f>
        <v>GINA PAOLA BAEZ GALVIS</v>
      </c>
      <c r="D2942" s="4" t="str">
        <f>IFERROR(VLOOKUP(A2942,'Base Prueba'!A:D,4,),"NO REGISTRA")</f>
        <v>PROMOTOR CALL CENTER</v>
      </c>
      <c r="E2942" s="5" t="str">
        <f>IFERROR(VLOOKUP(A2942,'Base Prueba'!A:E,5,),"NO REGISTRA")</f>
        <v>OFICINA DE MERCADEO</v>
      </c>
    </row>
    <row r="2943" spans="1:5" ht="15.75" x14ac:dyDescent="0.25">
      <c r="A2943" s="10">
        <v>28798349</v>
      </c>
      <c r="B2943" s="2">
        <v>46077.77583726852</v>
      </c>
      <c r="C2943" s="3" t="str">
        <f>IFERROR(VLOOKUP(A2943,'Base Prueba'!A:C,3,),"NO REGISTRA")</f>
        <v>MARTHA ISABEL TOVAR WILLIAMS</v>
      </c>
      <c r="D2943" s="4" t="str">
        <f>IFERROR(VLOOKUP(A2943,'Base Prueba'!A:D,4,),"NO REGISTRA")</f>
        <v>PROMOTOR CALL CENTER</v>
      </c>
      <c r="E2943" s="5" t="str">
        <f>IFERROR(VLOOKUP(A2943,'Base Prueba'!A:E,5,),"NO REGISTRA")</f>
        <v>OFICINA DE MERCADEO</v>
      </c>
    </row>
    <row r="2944" spans="1:5" ht="15.75" x14ac:dyDescent="0.25">
      <c r="A2944" s="10">
        <v>1023961952</v>
      </c>
      <c r="B2944" s="2">
        <v>46077.775942361113</v>
      </c>
      <c r="C2944" s="3" t="str">
        <f>IFERROR(VLOOKUP(A2944,'Base Prueba'!A:C,3,),"NO REGISTRA")</f>
        <v>ALEJANDRO PINZON MERCHAN</v>
      </c>
      <c r="D2944" s="4" t="str">
        <f>IFERROR(VLOOKUP(A2944,'Base Prueba'!A:D,4,),"NO REGISTRA")</f>
        <v>PROMOTOR CALL CENTER</v>
      </c>
      <c r="E2944" s="5" t="str">
        <f>IFERROR(VLOOKUP(A2944,'Base Prueba'!A:E,5,),"NO REGISTRA")</f>
        <v>OFICINA DE MERCADEO</v>
      </c>
    </row>
    <row r="2945" spans="1:5" ht="15.75" x14ac:dyDescent="0.25">
      <c r="A2945" s="10">
        <v>1003690253</v>
      </c>
      <c r="B2945" s="2">
        <v>46077.775990509261</v>
      </c>
      <c r="C2945" s="3" t="str">
        <f>IFERROR(VLOOKUP(A2945,'Base Prueba'!A:C,3,),"NO REGISTRA")</f>
        <v>MELISSA GONZALEZ PEDRAZA</v>
      </c>
      <c r="D2945" s="4" t="str">
        <f>IFERROR(VLOOKUP(A2945,'Base Prueba'!A:D,4,),"NO REGISTRA")</f>
        <v>LIDER DE JOVENES A LA E</v>
      </c>
      <c r="E2945" s="5" t="str">
        <f>IFERROR(VLOOKUP(A2945,'Base Prueba'!A:E,5,),"NO REGISTRA")</f>
        <v>DIRECCION DE BIENESTAR INSTITUCIONAL</v>
      </c>
    </row>
    <row r="2946" spans="1:5" ht="15.75" x14ac:dyDescent="0.25">
      <c r="A2946" s="10">
        <v>1014308296</v>
      </c>
      <c r="B2946" s="2">
        <v>46077.776833217591</v>
      </c>
      <c r="C2946" s="3" t="str">
        <f>IFERROR(VLOOKUP(A2946,'Base Prueba'!A:C,3,),"NO REGISTRA")</f>
        <v>DARLENE YULIANA MORENO CELEITA</v>
      </c>
      <c r="D2946" s="4" t="str">
        <f>IFERROR(VLOOKUP(A2946,'Base Prueba'!A:D,4,),"NO REGISTRA")</f>
        <v>CAJERO PRINCIPAL</v>
      </c>
      <c r="E2946" s="5" t="str">
        <f>IFERROR(VLOOKUP(A2946,'Base Prueba'!A:E,5,),"NO REGISTRA")</f>
        <v>AREA FINANCIERA Y CONTABLE</v>
      </c>
    </row>
    <row r="2947" spans="1:5" ht="15.75" x14ac:dyDescent="0.25">
      <c r="A2947" s="10">
        <v>1019105003</v>
      </c>
      <c r="B2947" s="2">
        <v>46077.777386226851</v>
      </c>
      <c r="C2947" s="3" t="str">
        <f>IFERROR(VLOOKUP(A2947,'Base Prueba'!A:C,3,),"NO REGISTRA")</f>
        <v>DAISY JULIETH GASPAR MORENO</v>
      </c>
      <c r="D2947" s="4" t="str">
        <f>IFERROR(VLOOKUP(A2947,'Base Prueba'!A:D,4,),"NO REGISTRA")</f>
        <v>PROMOTOR CALL CENTER</v>
      </c>
      <c r="E2947" s="5" t="str">
        <f>IFERROR(VLOOKUP(A2947,'Base Prueba'!A:E,5,),"NO REGISTRA")</f>
        <v>OFICINA DE MERCADEO</v>
      </c>
    </row>
    <row r="2948" spans="1:5" ht="15.75" x14ac:dyDescent="0.25">
      <c r="A2948" s="10">
        <v>1193265768</v>
      </c>
      <c r="B2948" s="2">
        <v>46077.779195370371</v>
      </c>
      <c r="C2948" s="3" t="str">
        <f>IFERROR(VLOOKUP(A2948,'Base Prueba'!A:C,3,),"NO REGISTRA")</f>
        <v>SANTIAGO OSORIO CAMACHO</v>
      </c>
      <c r="D2948" s="4" t="str">
        <f>IFERROR(VLOOKUP(A2948,'Base Prueba'!A:D,4,),"NO REGISTRA")</f>
        <v>ANALISTA DE PAUTA</v>
      </c>
      <c r="E2948" s="5" t="str">
        <f>IFERROR(VLOOKUP(A2948,'Base Prueba'!A:E,5,),"NO REGISTRA")</f>
        <v>OFICINA DE MERCADEO</v>
      </c>
    </row>
    <row r="2949" spans="1:5" ht="15.75" x14ac:dyDescent="0.25">
      <c r="A2949" s="10">
        <v>1014196857</v>
      </c>
      <c r="B2949" s="2">
        <v>46077.779228703701</v>
      </c>
      <c r="C2949" s="3" t="str">
        <f>IFERROR(VLOOKUP(A2949,'Base Prueba'!A:C,3,),"NO REGISTRA")</f>
        <v>CARLOS ANDRES JIMENEZ PARDO</v>
      </c>
      <c r="D2949" s="4" t="str">
        <f>IFERROR(VLOOKUP(A2949,'Base Prueba'!A:D,4,),"NO REGISTRA")</f>
        <v>COORDINADOR DE MARKETING DIGITAL</v>
      </c>
      <c r="E2949" s="5" t="str">
        <f>IFERROR(VLOOKUP(A2949,'Base Prueba'!A:E,5,),"NO REGISTRA")</f>
        <v>OFICINA DE MERCADEO</v>
      </c>
    </row>
    <row r="2950" spans="1:5" ht="15.75" x14ac:dyDescent="0.25">
      <c r="A2950" s="10">
        <v>53089882</v>
      </c>
      <c r="B2950" s="2">
        <v>46077.782696875001</v>
      </c>
      <c r="C2950" s="3" t="str">
        <f>IFERROR(VLOOKUP(A2950,'Base Prueba'!A:C,3,),"NO REGISTRA")</f>
        <v>MARIA JOHANA ESCAMILLA MARTINEZ</v>
      </c>
      <c r="D2950" s="4" t="str">
        <f>IFERROR(VLOOKUP(A2950,'Base Prueba'!A:D,4,),"NO REGISTRA")</f>
        <v>PROMOTOR DE INFORMACIÓN</v>
      </c>
      <c r="E2950" s="5" t="str">
        <f>IFERROR(VLOOKUP(A2950,'Base Prueba'!A:E,5,),"NO REGISTRA")</f>
        <v>OFICINA DE MERCADEO</v>
      </c>
    </row>
    <row r="2951" spans="1:5" ht="15.75" x14ac:dyDescent="0.25">
      <c r="A2951" s="10">
        <v>1018413529</v>
      </c>
      <c r="B2951" s="2">
        <v>46077.782809027776</v>
      </c>
      <c r="C2951" s="3" t="str">
        <f>IFERROR(VLOOKUP(A2951,'Base Prueba'!A:C,3,),"NO REGISTRA")</f>
        <v>FRANCY STELLA CHARRY MORENO</v>
      </c>
      <c r="D2951" s="4" t="str">
        <f>IFERROR(VLOOKUP(A2951,'Base Prueba'!A:D,4,),"NO REGISTRA")</f>
        <v>PROMOTOR COMERCIAL DEL CEA</v>
      </c>
      <c r="E2951" s="5" t="str">
        <f>IFERROR(VLOOKUP(A2951,'Base Prueba'!A:E,5,),"NO REGISTRA")</f>
        <v>OFICINA DE MERCADEO</v>
      </c>
    </row>
    <row r="2952" spans="1:5" ht="15.75" x14ac:dyDescent="0.25">
      <c r="A2952" s="10">
        <v>1000161811</v>
      </c>
      <c r="B2952" s="2">
        <v>46077.785136458333</v>
      </c>
      <c r="C2952" s="3" t="str">
        <f>IFERROR(VLOOKUP(A2952,'Base Prueba'!A:C,3,),"NO REGISTRA")</f>
        <v>DIEGO ANDRES VARON ROZO</v>
      </c>
      <c r="D2952" s="4" t="str">
        <f>IFERROR(VLOOKUP(A2952,'Base Prueba'!A:D,4,),"NO REGISTRA")</f>
        <v>APRENDIZ UNIVERSITARIO</v>
      </c>
      <c r="E2952" s="5" t="str">
        <f>IFERROR(VLOOKUP(A2952,'Base Prueba'!A:E,5,),"NO REGISTRA")</f>
        <v>OFICINA DE MERCADEO</v>
      </c>
    </row>
    <row r="2953" spans="1:5" ht="15.75" x14ac:dyDescent="0.25">
      <c r="A2953" s="10">
        <v>52764929</v>
      </c>
      <c r="B2953" s="2">
        <v>46077.785564930557</v>
      </c>
      <c r="C2953" s="3" t="str">
        <f>IFERROR(VLOOKUP(A2953,'Base Prueba'!A:C,3,),"NO REGISTRA")</f>
        <v>GUERLY YOHANA DURAN RIVERA</v>
      </c>
      <c r="D2953" s="4" t="str">
        <f>IFERROR(VLOOKUP(A2953,'Base Prueba'!A:D,4,),"NO REGISTRA")</f>
        <v>LIDER DE VINCULACION COLEGIOS</v>
      </c>
      <c r="E2953" s="5" t="str">
        <f>IFERROR(VLOOKUP(A2953,'Base Prueba'!A:E,5,),"NO REGISTRA")</f>
        <v>OFICINA DE MERCADEO</v>
      </c>
    </row>
    <row r="2954" spans="1:5" ht="15.75" x14ac:dyDescent="0.25">
      <c r="A2954" s="10">
        <v>52443092</v>
      </c>
      <c r="B2954" s="2">
        <v>46077.791023495367</v>
      </c>
      <c r="C2954" s="3" t="str">
        <f>IFERROR(VLOOKUP(A2954,'Base Prueba'!A:C,3,),"NO REGISTRA")</f>
        <v>LUZ MYRIAM SAAVEDRA CONTRERAS</v>
      </c>
      <c r="D2954" s="4" t="str">
        <f>IFERROR(VLOOKUP(A2954,'Base Prueba'!A:D,4,),"NO REGISTRA")</f>
        <v>AUXILIAR DE SERVICIOS</v>
      </c>
      <c r="E2954" s="5" t="str">
        <f>IFERROR(VLOOKUP(A2954,'Base Prueba'!A:E,5,),"NO REGISTRA")</f>
        <v>LOGISTICA Y SERVICIOS GENERALES</v>
      </c>
    </row>
    <row r="2955" spans="1:5" ht="15.75" x14ac:dyDescent="0.25">
      <c r="A2955" s="10">
        <v>80234243</v>
      </c>
      <c r="B2955" s="2">
        <v>46077.794707175926</v>
      </c>
      <c r="C2955" s="3" t="str">
        <f>IFERROR(VLOOKUP(A2955,'Base Prueba'!A:C,3,),"NO REGISTRA")</f>
        <v>ARGENIS MARTINEZ MARTINEZ</v>
      </c>
      <c r="D2955" s="4" t="str">
        <f>IFERROR(VLOOKUP(A2955,'Base Prueba'!A:D,4,),"NO REGISTRA")</f>
        <v>LIDER CALL CENTER</v>
      </c>
      <c r="E2955" s="5" t="str">
        <f>IFERROR(VLOOKUP(A2955,'Base Prueba'!A:E,5,),"NO REGISTRA")</f>
        <v>OFICINA DE MERCADEO</v>
      </c>
    </row>
    <row r="2956" spans="1:5" ht="15.75" x14ac:dyDescent="0.25">
      <c r="A2956" s="10">
        <v>80238161</v>
      </c>
      <c r="B2956" s="2">
        <v>46077.807079166669</v>
      </c>
      <c r="C2956" s="3" t="str">
        <f>IFERROR(VLOOKUP(A2956,'Base Prueba'!A:C,3,),"NO REGISTRA")</f>
        <v>GERMAN CARRANZA ESPITIA</v>
      </c>
      <c r="D2956" s="4" t="str">
        <f>IFERROR(VLOOKUP(A2956,'Base Prueba'!A:D,4,),"NO REGISTRA")</f>
        <v>TESORERO</v>
      </c>
      <c r="E2956" s="5" t="str">
        <f>IFERROR(VLOOKUP(A2956,'Base Prueba'!A:E,5,),"NO REGISTRA")</f>
        <v>AREA FINANCIERA Y CONTABLE</v>
      </c>
    </row>
    <row r="2957" spans="1:5" ht="15.75" x14ac:dyDescent="0.25">
      <c r="A2957" s="10">
        <v>52474489</v>
      </c>
      <c r="B2957" s="2">
        <v>46077.811324421295</v>
      </c>
      <c r="C2957" s="3" t="str">
        <f>IFERROR(VLOOKUP(A2957,'Base Prueba'!A:C,3,),"NO REGISTRA")</f>
        <v>ADRIANA JIMENA SOTO BOCANEGRA</v>
      </c>
      <c r="D2957" s="4" t="str">
        <f>IFERROR(VLOOKUP(A2957,'Base Prueba'!A:D,4,),"NO REGISTRA")</f>
        <v>COORDINADOR DE LA OFICINA DE REGISTRO Y CONTROL</v>
      </c>
      <c r="E2957" s="5" t="str">
        <f>IFERROR(VLOOKUP(A2957,'Base Prueba'!A:E,5,),"NO REGISTRA")</f>
        <v>REGISTRO Y CONTROL ACADEMICO</v>
      </c>
    </row>
    <row r="2958" spans="1:5" ht="15.75" x14ac:dyDescent="0.25">
      <c r="A2958" s="10">
        <v>1000324729</v>
      </c>
      <c r="B2958" s="2">
        <v>46077.813088078707</v>
      </c>
      <c r="C2958" s="3" t="str">
        <f>IFERROR(VLOOKUP(A2958,'Base Prueba'!A:C,3,),"NO REGISTRA")</f>
        <v>ANYIE VANESSA TINOCO CAMACHO</v>
      </c>
      <c r="D2958" s="4" t="str">
        <f>IFERROR(VLOOKUP(A2958,'Base Prueba'!A:D,4,),"NO REGISTRA")</f>
        <v>LIDER DE REGISTRO Y CONTROL</v>
      </c>
      <c r="E2958" s="5" t="str">
        <f>IFERROR(VLOOKUP(A2958,'Base Prueba'!A:E,5,),"NO REGISTRA")</f>
        <v>REGISTRO Y CONTROL ACADEMICO</v>
      </c>
    </row>
    <row r="2959" spans="1:5" ht="15.75" x14ac:dyDescent="0.25">
      <c r="A2959" s="10">
        <v>1013616244</v>
      </c>
      <c r="B2959" s="2">
        <v>46077.813116087964</v>
      </c>
      <c r="C2959" s="3" t="str">
        <f>IFERROR(VLOOKUP(A2959,'Base Prueba'!A:C,3,),"NO REGISTRA")</f>
        <v>DIANA CAROLINA MARIN BETANCOURT</v>
      </c>
      <c r="D2959" s="4" t="str">
        <f>IFERROR(VLOOKUP(A2959,'Base Prueba'!A:D,4,),"NO REGISTRA")</f>
        <v>AUXILIAR ADMINISTRATIVO</v>
      </c>
      <c r="E2959" s="5" t="str">
        <f>IFERROR(VLOOKUP(A2959,'Base Prueba'!A:E,5,),"NO REGISTRA")</f>
        <v>REGISTRO Y CONTROL ACADEMICO</v>
      </c>
    </row>
    <row r="2960" spans="1:5" ht="15.75" x14ac:dyDescent="0.25">
      <c r="A2960" s="10">
        <v>53932358</v>
      </c>
      <c r="B2960" s="2">
        <v>46077.829151388891</v>
      </c>
      <c r="C2960" s="3" t="str">
        <f>IFERROR(VLOOKUP(A2960,'Base Prueba'!A:C,3,),"NO REGISTRA")</f>
        <v>DIANA MADELEYNE GAONA RODRIGUEZ</v>
      </c>
      <c r="D2960" s="4" t="str">
        <f>IFERROR(VLOOKUP(A2960,'Base Prueba'!A:D,4,),"NO REGISTRA")</f>
        <v>CONTADOR</v>
      </c>
      <c r="E2960" s="5" t="str">
        <f>IFERROR(VLOOKUP(A2960,'Base Prueba'!A:E,5,),"NO REGISTRA")</f>
        <v>AREA FINANCIERA Y CONTABLE</v>
      </c>
    </row>
    <row r="2961" spans="1:5" ht="15.75" x14ac:dyDescent="0.25">
      <c r="A2961" s="10">
        <v>1000324729</v>
      </c>
      <c r="B2961" s="2">
        <v>46078.312439467591</v>
      </c>
      <c r="C2961" s="3" t="str">
        <f>IFERROR(VLOOKUP(A2961,'Base Prueba'!A:C,3,),"NO REGISTRA")</f>
        <v>ANYIE VANESSA TINOCO CAMACHO</v>
      </c>
      <c r="D2961" s="4" t="str">
        <f>IFERROR(VLOOKUP(A2961,'Base Prueba'!A:D,4,),"NO REGISTRA")</f>
        <v>LIDER DE REGISTRO Y CONTROL</v>
      </c>
      <c r="E2961" s="5" t="str">
        <f>IFERROR(VLOOKUP(A2961,'Base Prueba'!A:E,5,),"NO REGISTRA")</f>
        <v>REGISTRO Y CONTROL ACADEMICO</v>
      </c>
    </row>
    <row r="2962" spans="1:5" ht="15.75" x14ac:dyDescent="0.25">
      <c r="A2962" s="10">
        <v>1087121273</v>
      </c>
      <c r="B2962" s="2">
        <v>46078.315383333334</v>
      </c>
      <c r="C2962" s="3" t="str">
        <f>IFERROR(VLOOKUP(A2962,'Base Prueba'!A:C,3,),"NO REGISTRA")</f>
        <v>MAYRA ALEJANDRA CASTILLO ARBOLEDA</v>
      </c>
      <c r="D2962" s="4" t="str">
        <f>IFERROR(VLOOKUP(A2962,'Base Prueba'!A:D,4,),"NO REGISTRA")</f>
        <v>APOYO INTEGRAL DE MERCADEO</v>
      </c>
      <c r="E2962" s="5" t="str">
        <f>IFERROR(VLOOKUP(A2962,'Base Prueba'!A:E,5,),"NO REGISTRA")</f>
        <v>CENTRO DE GESTION DOCUMENTAL</v>
      </c>
    </row>
    <row r="2963" spans="1:5" ht="15.75" x14ac:dyDescent="0.25">
      <c r="A2963" s="10">
        <v>1013616244</v>
      </c>
      <c r="B2963" s="2">
        <v>46078.321804398147</v>
      </c>
      <c r="C2963" s="3" t="str">
        <f>IFERROR(VLOOKUP(A2963,'Base Prueba'!A:C,3,),"NO REGISTRA")</f>
        <v>DIANA CAROLINA MARIN BETANCOURT</v>
      </c>
      <c r="D2963" s="4" t="str">
        <f>IFERROR(VLOOKUP(A2963,'Base Prueba'!A:D,4,),"NO REGISTRA")</f>
        <v>AUXILIAR ADMINISTRATIVO</v>
      </c>
      <c r="E2963" s="5" t="str">
        <f>IFERROR(VLOOKUP(A2963,'Base Prueba'!A:E,5,),"NO REGISTRA")</f>
        <v>REGISTRO Y CONTROL ACADEMICO</v>
      </c>
    </row>
    <row r="2964" spans="1:5" ht="15.75" x14ac:dyDescent="0.25">
      <c r="A2964" s="10">
        <v>1016090131</v>
      </c>
      <c r="B2964" s="2">
        <v>46078.322813888888</v>
      </c>
      <c r="C2964" s="3" t="str">
        <f>IFERROR(VLOOKUP(A2964,'Base Prueba'!A:C,3,),"NO REGISTRA")</f>
        <v>NICOLAS RODRIGUEZ PACHECO</v>
      </c>
      <c r="D2964" s="4" t="str">
        <f>IFERROR(VLOOKUP(A2964,'Base Prueba'!A:D,4,),"NO REGISTRA")</f>
        <v>COORDINADOR DE COMUNICACIONES</v>
      </c>
      <c r="E2964" s="5" t="str">
        <f>IFERROR(VLOOKUP(A2964,'Base Prueba'!A:E,5,),"NO REGISTRA")</f>
        <v>OFICINA DE MERCADEO</v>
      </c>
    </row>
    <row r="2965" spans="1:5" ht="15.75" x14ac:dyDescent="0.25">
      <c r="A2965" s="10">
        <v>1012357415</v>
      </c>
      <c r="B2965" s="2">
        <v>46078.330189814813</v>
      </c>
      <c r="C2965" s="3" t="str">
        <f>IFERROR(VLOOKUP(A2965,'Base Prueba'!A:C,3,),"NO REGISTRA")</f>
        <v>CINDY LORENA BOHORQUEZ LEYVA</v>
      </c>
      <c r="D2965" s="4" t="str">
        <f>IFERROR(VLOOKUP(A2965,'Base Prueba'!A:D,4,),"NO REGISTRA")</f>
        <v>ANALISTA DE TESORERIA</v>
      </c>
      <c r="E2965" s="5" t="str">
        <f>IFERROR(VLOOKUP(A2965,'Base Prueba'!A:E,5,),"NO REGISTRA")</f>
        <v>AREA FINANCIERA Y CONTABLE</v>
      </c>
    </row>
    <row r="2966" spans="1:5" ht="15.75" x14ac:dyDescent="0.25">
      <c r="A2966" s="10">
        <v>80725196</v>
      </c>
      <c r="B2966" s="2">
        <v>46078.332066435185</v>
      </c>
      <c r="C2966" s="3" t="str">
        <f>IFERROR(VLOOKUP(A2966,'Base Prueba'!A:C,3,),"NO REGISTRA")</f>
        <v>YEISON YOSET TOVAR BARBOSA</v>
      </c>
      <c r="D2966" s="4" t="str">
        <f>IFERROR(VLOOKUP(A2966,'Base Prueba'!A:D,4,),"NO REGISTRA")</f>
        <v>LIDER GESTION DOCUMENTAL</v>
      </c>
      <c r="E2966" s="5" t="str">
        <f>IFERROR(VLOOKUP(A2966,'Base Prueba'!A:E,5,),"NO REGISTRA")</f>
        <v>CENTRO DE GESTION DOCUMENTAL</v>
      </c>
    </row>
    <row r="2967" spans="1:5" ht="15.75" x14ac:dyDescent="0.25">
      <c r="A2967" s="10">
        <v>1031802160</v>
      </c>
      <c r="B2967" s="2">
        <v>46078.335149074075</v>
      </c>
      <c r="C2967" s="3" t="str">
        <f>IFERROR(VLOOKUP(A2967,'Base Prueba'!A:C,3,),"NO REGISTRA")</f>
        <v>LUISA MARIA MAHECHA SOTOMAYOR</v>
      </c>
      <c r="D2967" s="4" t="str">
        <f>IFERROR(VLOOKUP(A2967,'Base Prueba'!A:D,4,),"NO REGISTRA")</f>
        <v>APRENDIZ UNIVERSITARIO</v>
      </c>
      <c r="E2967" s="5" t="str">
        <f>IFERROR(VLOOKUP(A2967,'Base Prueba'!A:E,5,),"NO REGISTRA")</f>
        <v>OFICINA DE MERCADEO</v>
      </c>
    </row>
    <row r="2968" spans="1:5" ht="15.75" x14ac:dyDescent="0.25">
      <c r="A2968" s="10">
        <v>1014308296</v>
      </c>
      <c r="B2968" s="2">
        <v>46078.335282754633</v>
      </c>
      <c r="C2968" s="3" t="str">
        <f>IFERROR(VLOOKUP(A2968,'Base Prueba'!A:C,3,),"NO REGISTRA")</f>
        <v>DARLENE YULIANA MORENO CELEITA</v>
      </c>
      <c r="D2968" s="4" t="str">
        <f>IFERROR(VLOOKUP(A2968,'Base Prueba'!A:D,4,),"NO REGISTRA")</f>
        <v>CAJERO PRINCIPAL</v>
      </c>
      <c r="E2968" s="5" t="str">
        <f>IFERROR(VLOOKUP(A2968,'Base Prueba'!A:E,5,),"NO REGISTRA")</f>
        <v>AREA FINANCIERA Y CONTABLE</v>
      </c>
    </row>
    <row r="2969" spans="1:5" ht="15.75" x14ac:dyDescent="0.25">
      <c r="A2969" s="10">
        <v>1000257136</v>
      </c>
      <c r="B2969" s="2">
        <v>46078.336266666665</v>
      </c>
      <c r="C2969" s="3" t="str">
        <f>IFERROR(VLOOKUP(A2969,'Base Prueba'!A:C,3,),"NO REGISTRA")</f>
        <v>FRANCI VALENTINA CANO PUENTES</v>
      </c>
      <c r="D2969" s="4" t="str">
        <f>IFERROR(VLOOKUP(A2969,'Base Prueba'!A:D,4,),"NO REGISTRA")</f>
        <v>AUXILIAR CONTABLE</v>
      </c>
      <c r="E2969" s="5" t="str">
        <f>IFERROR(VLOOKUP(A2969,'Base Prueba'!A:E,5,),"NO REGISTRA")</f>
        <v>AREA FINANCIERA Y CONTABLE</v>
      </c>
    </row>
    <row r="2970" spans="1:5" ht="15.75" x14ac:dyDescent="0.25">
      <c r="A2970" s="10">
        <v>1018413529</v>
      </c>
      <c r="B2970" s="2">
        <v>46078.336767592591</v>
      </c>
      <c r="C2970" s="3" t="str">
        <f>IFERROR(VLOOKUP(A2970,'Base Prueba'!A:C,3,),"NO REGISTRA")</f>
        <v>FRANCY STELLA CHARRY MORENO</v>
      </c>
      <c r="D2970" s="4" t="str">
        <f>IFERROR(VLOOKUP(A2970,'Base Prueba'!A:D,4,),"NO REGISTRA")</f>
        <v>PROMOTOR COMERCIAL DEL CEA</v>
      </c>
      <c r="E2970" s="5" t="str">
        <f>IFERROR(VLOOKUP(A2970,'Base Prueba'!A:E,5,),"NO REGISTRA")</f>
        <v>OFICINA DE MERCADEO</v>
      </c>
    </row>
    <row r="2971" spans="1:5" ht="15.75" x14ac:dyDescent="0.25">
      <c r="A2971" s="10">
        <v>1014977624</v>
      </c>
      <c r="B2971" s="2">
        <v>46078.33943078704</v>
      </c>
      <c r="C2971" s="3" t="str">
        <f>IFERROR(VLOOKUP(A2971,'Base Prueba'!A:C,3,),"NO REGISTRA")</f>
        <v>NICCOLE VALENTINA HERNANDEZ MALAVER</v>
      </c>
      <c r="D2971" s="4" t="str">
        <f>IFERROR(VLOOKUP(A2971,'Base Prueba'!A:D,4,),"NO REGISTRA")</f>
        <v>APRENDIZ UNIVERSITARIO</v>
      </c>
      <c r="E2971" s="5" t="str">
        <f>IFERROR(VLOOKUP(A2971,'Base Prueba'!A:E,5,),"NO REGISTRA")</f>
        <v>AREA FINANCIERA Y CONTABLE</v>
      </c>
    </row>
    <row r="2972" spans="1:5" ht="15.75" x14ac:dyDescent="0.25">
      <c r="A2972" s="10">
        <v>80238161</v>
      </c>
      <c r="B2972" s="2">
        <v>46078.340232407405</v>
      </c>
      <c r="C2972" s="3" t="str">
        <f>IFERROR(VLOOKUP(A2972,'Base Prueba'!A:C,3,),"NO REGISTRA")</f>
        <v>GERMAN CARRANZA ESPITIA</v>
      </c>
      <c r="D2972" s="4" t="str">
        <f>IFERROR(VLOOKUP(A2972,'Base Prueba'!A:D,4,),"NO REGISTRA")</f>
        <v>TESORERO</v>
      </c>
      <c r="E2972" s="5" t="str">
        <f>IFERROR(VLOOKUP(A2972,'Base Prueba'!A:E,5,),"NO REGISTRA")</f>
        <v>AREA FINANCIERA Y CONTABLE</v>
      </c>
    </row>
    <row r="2973" spans="1:5" ht="15.75" x14ac:dyDescent="0.25">
      <c r="A2973" s="10">
        <v>1193457976</v>
      </c>
      <c r="B2973" s="2">
        <v>46078.343700925929</v>
      </c>
      <c r="C2973" s="3" t="str">
        <f>IFERROR(VLOOKUP(A2973,'Base Prueba'!A:C,3,),"NO REGISTRA")</f>
        <v>SEDENIS RIVAS ASPRILLA</v>
      </c>
      <c r="D2973" s="4" t="str">
        <f>IFERROR(VLOOKUP(A2973,'Base Prueba'!A:D,4,),"NO REGISTRA")</f>
        <v>APRENDIZ UNIVERSITARIO</v>
      </c>
      <c r="E2973" s="5" t="str">
        <f>IFERROR(VLOOKUP(A2973,'Base Prueba'!A:E,5,),"NO REGISTRA")</f>
        <v>DEPARTAMENTO DE GESTION HUMANA</v>
      </c>
    </row>
    <row r="2974" spans="1:5" ht="15.75" x14ac:dyDescent="0.25">
      <c r="A2974" s="10">
        <v>1026599257</v>
      </c>
      <c r="B2974" s="2">
        <v>46078.344020254626</v>
      </c>
      <c r="C2974" s="3" t="str">
        <f>IFERROR(VLOOKUP(A2974,'Base Prueba'!A:C,3,),"NO REGISTRA")</f>
        <v>YESENIA PAOLA PINEDA HURTADO</v>
      </c>
      <c r="D2974" s="4" t="str">
        <f>IFERROR(VLOOKUP(A2974,'Base Prueba'!A:D,4,),"NO REGISTRA")</f>
        <v>LIDER DE COMPRAS</v>
      </c>
      <c r="E2974" s="5" t="str">
        <f>IFERROR(VLOOKUP(A2974,'Base Prueba'!A:E,5,),"NO REGISTRA")</f>
        <v>AREA ADMINISTRATIVA</v>
      </c>
    </row>
    <row r="2975" spans="1:5" ht="15.75" x14ac:dyDescent="0.25">
      <c r="A2975" s="10">
        <v>1000457706</v>
      </c>
      <c r="B2975" s="2">
        <v>46078.345447337961</v>
      </c>
      <c r="C2975" s="3" t="str">
        <f>IFERROR(VLOOKUP(A2975,'Base Prueba'!A:C,3,),"NO REGISTRA")</f>
        <v>CRISTIAN DANILO ARROYO SANABRIA</v>
      </c>
      <c r="D2975" s="4" t="str">
        <f>IFERROR(VLOOKUP(A2975,'Base Prueba'!A:D,4,),"NO REGISTRA")</f>
        <v>AUXILIAR CONTABLE</v>
      </c>
      <c r="E2975" s="5" t="str">
        <f>IFERROR(VLOOKUP(A2975,'Base Prueba'!A:E,5,),"NO REGISTRA")</f>
        <v>AREA FINANCIERA Y CONTABLE</v>
      </c>
    </row>
    <row r="2976" spans="1:5" ht="15.75" x14ac:dyDescent="0.25">
      <c r="A2976" s="10">
        <v>1000604979</v>
      </c>
      <c r="B2976" s="2">
        <v>46078.3461193287</v>
      </c>
      <c r="C2976" s="3" t="str">
        <f>IFERROR(VLOOKUP(A2976,'Base Prueba'!A:C,3,),"NO REGISTRA")</f>
        <v>JULIETH TATIANA PARDO PINTO</v>
      </c>
      <c r="D2976" s="4" t="str">
        <f>IFERROR(VLOOKUP(A2976,'Base Prueba'!A:D,4,),"NO REGISTRA")</f>
        <v>AUXILIAR JURIDICO</v>
      </c>
      <c r="E2976" s="5" t="str">
        <f>IFERROR(VLOOKUP(A2976,'Base Prueba'!A:E,5,),"NO REGISTRA")</f>
        <v>SECRETARIA GENERAL</v>
      </c>
    </row>
    <row r="2977" spans="1:5" ht="15.75" x14ac:dyDescent="0.25">
      <c r="A2977" s="10">
        <v>1000687931</v>
      </c>
      <c r="B2977" s="2">
        <v>46078.348114814813</v>
      </c>
      <c r="C2977" s="3" t="str">
        <f>IFERROR(VLOOKUP(A2977,'Base Prueba'!A:C,3,),"NO REGISTRA")</f>
        <v>ANDRES FELIPE PUENTES TORRES</v>
      </c>
      <c r="D2977" s="4" t="str">
        <f>IFERROR(VLOOKUP(A2977,'Base Prueba'!A:D,4,),"NO REGISTRA")</f>
        <v>AUXILIAR ADMINISTRATIVO</v>
      </c>
      <c r="E2977" s="5" t="str">
        <f>IFERROR(VLOOKUP(A2977,'Base Prueba'!A:E,5,),"NO REGISTRA")</f>
        <v>REGISTRO Y CONTROL ACADEMICO</v>
      </c>
    </row>
    <row r="2978" spans="1:5" ht="15.75" x14ac:dyDescent="0.25">
      <c r="A2978" s="10">
        <v>1023883232</v>
      </c>
      <c r="B2978" s="2">
        <v>46078.350478819448</v>
      </c>
      <c r="C2978" s="3" t="str">
        <f>IFERROR(VLOOKUP(A2978,'Base Prueba'!A:C,3,),"NO REGISTRA")</f>
        <v>MONICA ANDREA ACERO URBANO</v>
      </c>
      <c r="D2978" s="4" t="str">
        <f>IFERROR(VLOOKUP(A2978,'Base Prueba'!A:D,4,),"NO REGISTRA")</f>
        <v>APOYO INTEGRAL A GESTION HUMANA</v>
      </c>
      <c r="E2978" s="5" t="str">
        <f>IFERROR(VLOOKUP(A2978,'Base Prueba'!A:E,5,),"NO REGISTRA")</f>
        <v>DEPARTAMENTO DE GESTION HUMANA</v>
      </c>
    </row>
    <row r="2979" spans="1:5" ht="15.75" x14ac:dyDescent="0.25">
      <c r="A2979" s="10">
        <v>1032469638</v>
      </c>
      <c r="B2979" s="2">
        <v>46078.351342824077</v>
      </c>
      <c r="C2979" s="3" t="str">
        <f>IFERROR(VLOOKUP(A2979,'Base Prueba'!A:C,3,),"NO REGISTRA")</f>
        <v>MAICOL JARBEY GUALTEROS CASTAÑEDA</v>
      </c>
      <c r="D2979" s="4" t="str">
        <f>IFERROR(VLOOKUP(A2979,'Base Prueba'!A:D,4,),"NO REGISTRA")</f>
        <v>COORDINADOR DEL SISTEMA INTERNO DE ASEGURAMIENTO DE LA CALIDAD - SIAC</v>
      </c>
      <c r="E2979" s="5" t="str">
        <f>IFERROR(VLOOKUP(A2979,'Base Prueba'!A:E,5,),"NO REGISTRA")</f>
        <v>OFICINA DE PLANEACION Y GESTION DE LA CALIDAD</v>
      </c>
    </row>
    <row r="2980" spans="1:5" ht="15.75" x14ac:dyDescent="0.25">
      <c r="A2980" s="10">
        <v>1049644802</v>
      </c>
      <c r="B2980" s="2">
        <v>46078.357843171296</v>
      </c>
      <c r="C2980" s="3" t="str">
        <f>IFERROR(VLOOKUP(A2980,'Base Prueba'!A:C,3,),"NO REGISTRA")</f>
        <v>DANIELA ALEXANDRA CIPAMOCHA BOSIGA</v>
      </c>
      <c r="D2980" s="4" t="str">
        <f>IFERROR(VLOOKUP(A2980,'Base Prueba'!A:D,4,),"NO REGISTRA")</f>
        <v>LIDER DE DATOS Y SERVICIOS</v>
      </c>
      <c r="E2980" s="5" t="str">
        <f>IFERROR(VLOOKUP(A2980,'Base Prueba'!A:E,5,),"NO REGISTRA")</f>
        <v>OFICINA DE PLANEACION Y GESTION DE LA CALIDAD</v>
      </c>
    </row>
    <row r="2981" spans="1:5" ht="15.75" x14ac:dyDescent="0.25">
      <c r="A2981" s="10">
        <v>53932358</v>
      </c>
      <c r="B2981" s="2">
        <v>46078.361090046295</v>
      </c>
      <c r="C2981" s="3" t="str">
        <f>IFERROR(VLOOKUP(A2981,'Base Prueba'!A:C,3,),"NO REGISTRA")</f>
        <v>DIANA MADELEYNE GAONA RODRIGUEZ</v>
      </c>
      <c r="D2981" s="4" t="str">
        <f>IFERROR(VLOOKUP(A2981,'Base Prueba'!A:D,4,),"NO REGISTRA")</f>
        <v>CONTADOR</v>
      </c>
      <c r="E2981" s="5" t="str">
        <f>IFERROR(VLOOKUP(A2981,'Base Prueba'!A:E,5,),"NO REGISTRA")</f>
        <v>AREA FINANCIERA Y CONTABLE</v>
      </c>
    </row>
    <row r="2982" spans="1:5" ht="15.75" x14ac:dyDescent="0.25">
      <c r="A2982" s="10">
        <v>1014211708</v>
      </c>
      <c r="B2982" s="2">
        <v>46078.362497916663</v>
      </c>
      <c r="C2982" s="3" t="str">
        <f>IFERROR(VLOOKUP(A2982,'Base Prueba'!A:C,3,),"NO REGISTRA")</f>
        <v>JUAN MANUEL MERCADO FUENTES</v>
      </c>
      <c r="D2982" s="4" t="str">
        <f>IFERROR(VLOOKUP(A2982,'Base Prueba'!A:D,4,),"NO REGISTRA")</f>
        <v>COORDINADOR DE DISEÑO E IMAGEN INSTITUCIONAL</v>
      </c>
      <c r="E2982" s="5" t="str">
        <f>IFERROR(VLOOKUP(A2982,'Base Prueba'!A:E,5,),"NO REGISTRA")</f>
        <v>OFICINA DE MERCADEO</v>
      </c>
    </row>
    <row r="2983" spans="1:5" ht="15.75" x14ac:dyDescent="0.25">
      <c r="A2983" s="10">
        <v>1000046533</v>
      </c>
      <c r="B2983" s="2">
        <v>46078.362622337962</v>
      </c>
      <c r="C2983" s="3" t="str">
        <f>IFERROR(VLOOKUP(A2983,'Base Prueba'!A:C,3,),"NO REGISTRA")</f>
        <v>ERIKA JULIETH VALDERRAMA SANCHEZ</v>
      </c>
      <c r="D2983" s="4" t="str">
        <f>IFERROR(VLOOKUP(A2983,'Base Prueba'!A:D,4,),"NO REGISTRA")</f>
        <v>PROMOTOR CALL CENTER</v>
      </c>
      <c r="E2983" s="5" t="str">
        <f>IFERROR(VLOOKUP(A2983,'Base Prueba'!A:E,5,),"NO REGISTRA")</f>
        <v>OFICINA DE MERCADEO</v>
      </c>
    </row>
    <row r="2984" spans="1:5" ht="15.75" x14ac:dyDescent="0.25">
      <c r="A2984" s="10">
        <v>1032407386</v>
      </c>
      <c r="B2984" s="2">
        <v>46078.364334027778</v>
      </c>
      <c r="C2984" s="3" t="str">
        <f>IFERROR(VLOOKUP(A2984,'Base Prueba'!A:C,3,),"NO REGISTRA")</f>
        <v>GINA PAOLA BAEZ GALVIS</v>
      </c>
      <c r="D2984" s="4" t="str">
        <f>IFERROR(VLOOKUP(A2984,'Base Prueba'!A:D,4,),"NO REGISTRA")</f>
        <v>PROMOTOR CALL CENTER</v>
      </c>
      <c r="E2984" s="5" t="str">
        <f>IFERROR(VLOOKUP(A2984,'Base Prueba'!A:E,5,),"NO REGISTRA")</f>
        <v>OFICINA DE MERCADEO</v>
      </c>
    </row>
    <row r="2985" spans="1:5" ht="15.75" x14ac:dyDescent="0.25">
      <c r="A2985" s="10">
        <v>1033709056</v>
      </c>
      <c r="B2985" s="2">
        <v>46078.364655787038</v>
      </c>
      <c r="C2985" s="3" t="str">
        <f>IFERROR(VLOOKUP(A2985,'Base Prueba'!A:C,3,),"NO REGISTRA")</f>
        <v>YEIMY ALEXANDRA RODRIGUEZ PALACIO</v>
      </c>
      <c r="D2985" s="4" t="str">
        <f>IFERROR(VLOOKUP(A2985,'Base Prueba'!A:D,4,),"NO REGISTRA")</f>
        <v>PROMOTOR CALL CENTER</v>
      </c>
      <c r="E2985" s="5" t="str">
        <f>IFERROR(VLOOKUP(A2985,'Base Prueba'!A:E,5,),"NO REGISTRA")</f>
        <v>OFICINA DE MERCADEO</v>
      </c>
    </row>
    <row r="2986" spans="1:5" ht="15.75" x14ac:dyDescent="0.25">
      <c r="A2986" s="10">
        <v>1003690253</v>
      </c>
      <c r="B2986" s="2">
        <v>46078.365623495367</v>
      </c>
      <c r="C2986" s="3" t="str">
        <f>IFERROR(VLOOKUP(A2986,'Base Prueba'!A:C,3,),"NO REGISTRA")</f>
        <v>MELISSA GONZALEZ PEDRAZA</v>
      </c>
      <c r="D2986" s="4" t="str">
        <f>IFERROR(VLOOKUP(A2986,'Base Prueba'!A:D,4,),"NO REGISTRA")</f>
        <v>LIDER DE JOVENES A LA E</v>
      </c>
      <c r="E2986" s="5" t="str">
        <f>IFERROR(VLOOKUP(A2986,'Base Prueba'!A:E,5,),"NO REGISTRA")</f>
        <v>DIRECCION DE BIENESTAR INSTITUCIONAL</v>
      </c>
    </row>
    <row r="2987" spans="1:5" ht="15.75" x14ac:dyDescent="0.25">
      <c r="A2987" s="10">
        <v>53089882</v>
      </c>
      <c r="B2987" s="2">
        <v>46078.371605439817</v>
      </c>
      <c r="C2987" s="3" t="str">
        <f>IFERROR(VLOOKUP(A2987,'Base Prueba'!A:C,3,),"NO REGISTRA")</f>
        <v>MARIA JOHANA ESCAMILLA MARTINEZ</v>
      </c>
      <c r="D2987" s="4" t="str">
        <f>IFERROR(VLOOKUP(A2987,'Base Prueba'!A:D,4,),"NO REGISTRA")</f>
        <v>PROMOTOR DE INFORMACIÓN</v>
      </c>
      <c r="E2987" s="5" t="str">
        <f>IFERROR(VLOOKUP(A2987,'Base Prueba'!A:E,5,),"NO REGISTRA")</f>
        <v>OFICINA DE MERCADEO</v>
      </c>
    </row>
    <row r="2988" spans="1:5" ht="15.75" x14ac:dyDescent="0.25">
      <c r="A2988" s="10">
        <v>52472386</v>
      </c>
      <c r="B2988" s="2">
        <v>46078.373331828705</v>
      </c>
      <c r="C2988" s="3" t="str">
        <f>IFERROR(VLOOKUP(A2988,'Base Prueba'!A:C,3,),"NO REGISTRA")</f>
        <v>ADRIANA MARCELA MORALES PARDO</v>
      </c>
      <c r="D2988" s="4" t="str">
        <f>IFERROR(VLOOKUP(A2988,'Base Prueba'!A:D,4,),"NO REGISTRA")</f>
        <v>PROMOTOR CALL CENTER</v>
      </c>
      <c r="E2988" s="5" t="str">
        <f>IFERROR(VLOOKUP(A2988,'Base Prueba'!A:E,5,),"NO REGISTRA")</f>
        <v>OFICINA DE MERCADEO</v>
      </c>
    </row>
    <row r="2989" spans="1:5" ht="15.75" x14ac:dyDescent="0.25">
      <c r="A2989" s="10">
        <v>1023961952</v>
      </c>
      <c r="B2989" s="2">
        <v>46078.374945254633</v>
      </c>
      <c r="C2989" s="3" t="str">
        <f>IFERROR(VLOOKUP(A2989,'Base Prueba'!A:C,3,),"NO REGISTRA")</f>
        <v>ALEJANDRO PINZON MERCHAN</v>
      </c>
      <c r="D2989" s="4" t="str">
        <f>IFERROR(VLOOKUP(A2989,'Base Prueba'!A:D,4,),"NO REGISTRA")</f>
        <v>PROMOTOR CALL CENTER</v>
      </c>
      <c r="E2989" s="5" t="str">
        <f>IFERROR(VLOOKUP(A2989,'Base Prueba'!A:E,5,),"NO REGISTRA")</f>
        <v>OFICINA DE MERCADEO</v>
      </c>
    </row>
    <row r="2990" spans="1:5" ht="15.75" x14ac:dyDescent="0.25">
      <c r="A2990" s="10">
        <v>1019105003</v>
      </c>
      <c r="B2990" s="2">
        <v>46078.376733333331</v>
      </c>
      <c r="C2990" s="3" t="str">
        <f>IFERROR(VLOOKUP(A2990,'Base Prueba'!A:C,3,),"NO REGISTRA")</f>
        <v>DAISY JULIETH GASPAR MORENO</v>
      </c>
      <c r="D2990" s="4" t="str">
        <f>IFERROR(VLOOKUP(A2990,'Base Prueba'!A:D,4,),"NO REGISTRA")</f>
        <v>PROMOTOR CALL CENTER</v>
      </c>
      <c r="E2990" s="5" t="str">
        <f>IFERROR(VLOOKUP(A2990,'Base Prueba'!A:E,5,),"NO REGISTRA")</f>
        <v>OFICINA DE MERCADEO</v>
      </c>
    </row>
    <row r="2991" spans="1:5" ht="15.75" x14ac:dyDescent="0.25">
      <c r="A2991" s="10">
        <v>28798349</v>
      </c>
      <c r="B2991" s="2">
        <v>46078.378872453701</v>
      </c>
      <c r="C2991" s="3" t="str">
        <f>IFERROR(VLOOKUP(A2991,'Base Prueba'!A:C,3,),"NO REGISTRA")</f>
        <v>MARTHA ISABEL TOVAR WILLIAMS</v>
      </c>
      <c r="D2991" s="4" t="str">
        <f>IFERROR(VLOOKUP(A2991,'Base Prueba'!A:D,4,),"NO REGISTRA")</f>
        <v>PROMOTOR CALL CENTER</v>
      </c>
      <c r="E2991" s="5" t="str">
        <f>IFERROR(VLOOKUP(A2991,'Base Prueba'!A:E,5,),"NO REGISTRA")</f>
        <v>OFICINA DE MERCADEO</v>
      </c>
    </row>
    <row r="2992" spans="1:5" ht="15.75" x14ac:dyDescent="0.25">
      <c r="A2992" s="10">
        <v>1000593372</v>
      </c>
      <c r="B2992" s="2">
        <v>46078.383147106484</v>
      </c>
      <c r="C2992" s="3" t="str">
        <f>IFERROR(VLOOKUP(A2992,'Base Prueba'!A:C,3,),"NO REGISTRA")</f>
        <v>LAURA SOFIA CHAPARRO LOPEZ</v>
      </c>
      <c r="D2992" s="4" t="str">
        <f>IFERROR(VLOOKUP(A2992,'Base Prueba'!A:D,4,),"NO REGISTRA")</f>
        <v>AUXILIAR JURIDICO</v>
      </c>
      <c r="E2992" s="5" t="str">
        <f>IFERROR(VLOOKUP(A2992,'Base Prueba'!A:E,5,),"NO REGISTRA")</f>
        <v>SECRETARIA GENERAL</v>
      </c>
    </row>
    <row r="2993" spans="1:5" ht="15.75" x14ac:dyDescent="0.25">
      <c r="A2993" s="10">
        <v>52175674</v>
      </c>
      <c r="B2993" s="2">
        <v>46078.384334027774</v>
      </c>
      <c r="C2993" s="3" t="str">
        <f>IFERROR(VLOOKUP(A2993,'Base Prueba'!A:C,3,),"NO REGISTRA")</f>
        <v>LUZ YANETH GOMEZ AREVALO</v>
      </c>
      <c r="D2993" s="4" t="str">
        <f>IFERROR(VLOOKUP(A2993,'Base Prueba'!A:D,4,),"NO REGISTRA")</f>
        <v>COORDINADORA DE ADMISIONES</v>
      </c>
      <c r="E2993" s="5" t="str">
        <f>IFERROR(VLOOKUP(A2993,'Base Prueba'!A:E,5,),"NO REGISTRA")</f>
        <v>OFICINA DE MERCADEO</v>
      </c>
    </row>
    <row r="2994" spans="1:5" ht="15.75" x14ac:dyDescent="0.25">
      <c r="A2994" s="10">
        <v>52764929</v>
      </c>
      <c r="B2994" s="2">
        <v>46078.384423148149</v>
      </c>
      <c r="C2994" s="3" t="str">
        <f>IFERROR(VLOOKUP(A2994,'Base Prueba'!A:C,3,),"NO REGISTRA")</f>
        <v>GUERLY YOHANA DURAN RIVERA</v>
      </c>
      <c r="D2994" s="4" t="str">
        <f>IFERROR(VLOOKUP(A2994,'Base Prueba'!A:D,4,),"NO REGISTRA")</f>
        <v>LIDER DE VINCULACION COLEGIOS</v>
      </c>
      <c r="E2994" s="5" t="str">
        <f>IFERROR(VLOOKUP(A2994,'Base Prueba'!A:E,5,),"NO REGISTRA")</f>
        <v>OFICINA DE MERCADEO</v>
      </c>
    </row>
    <row r="2995" spans="1:5" ht="15.75" x14ac:dyDescent="0.25">
      <c r="A2995" s="10">
        <v>1193265768</v>
      </c>
      <c r="B2995" s="2">
        <v>46078.385639120374</v>
      </c>
      <c r="C2995" s="3" t="str">
        <f>IFERROR(VLOOKUP(A2995,'Base Prueba'!A:C,3,),"NO REGISTRA")</f>
        <v>SANTIAGO OSORIO CAMACHO</v>
      </c>
      <c r="D2995" s="4" t="str">
        <f>IFERROR(VLOOKUP(A2995,'Base Prueba'!A:D,4,),"NO REGISTRA")</f>
        <v>ANALISTA DE PAUTA</v>
      </c>
      <c r="E2995" s="5" t="str">
        <f>IFERROR(VLOOKUP(A2995,'Base Prueba'!A:E,5,),"NO REGISTRA")</f>
        <v>OFICINA DE MERCADEO</v>
      </c>
    </row>
    <row r="2996" spans="1:5" ht="15.75" x14ac:dyDescent="0.25">
      <c r="A2996" s="10">
        <v>52443092</v>
      </c>
      <c r="B2996" s="2">
        <v>46078.492330439818</v>
      </c>
      <c r="C2996" s="3" t="str">
        <f>IFERROR(VLOOKUP(A2996,'Base Prueba'!A:C,3,),"NO REGISTRA")</f>
        <v>LUZ MYRIAM SAAVEDRA CONTRERAS</v>
      </c>
      <c r="D2996" s="4" t="str">
        <f>IFERROR(VLOOKUP(A2996,'Base Prueba'!A:D,4,),"NO REGISTRA")</f>
        <v>AUXILIAR DE SERVICIOS</v>
      </c>
      <c r="E2996" s="5" t="str">
        <f>IFERROR(VLOOKUP(A2996,'Base Prueba'!A:E,5,),"NO REGISTRA")</f>
        <v>LOGISTICA Y SERVICIOS GENERALES</v>
      </c>
    </row>
    <row r="2997" spans="1:5" ht="15.75" x14ac:dyDescent="0.25">
      <c r="A2997" s="10">
        <v>80234243</v>
      </c>
      <c r="B2997" s="2">
        <v>46078.573383564813</v>
      </c>
      <c r="C2997" s="3" t="str">
        <f>IFERROR(VLOOKUP(A2997,'Base Prueba'!A:C,3,),"NO REGISTRA")</f>
        <v>ARGENIS MARTINEZ MARTINEZ</v>
      </c>
      <c r="D2997" s="4" t="str">
        <f>IFERROR(VLOOKUP(A2997,'Base Prueba'!A:D,4,),"NO REGISTRA")</f>
        <v>LIDER CALL CENTER</v>
      </c>
      <c r="E2997" s="5" t="str">
        <f>IFERROR(VLOOKUP(A2997,'Base Prueba'!A:E,5,),"NO REGISTRA")</f>
        <v>OFICINA DE MERCADEO</v>
      </c>
    </row>
    <row r="2998" spans="1:5" ht="15.75" x14ac:dyDescent="0.25">
      <c r="A2998" s="10">
        <v>1031802160</v>
      </c>
      <c r="B2998" s="2">
        <v>46078.708291898147</v>
      </c>
      <c r="C2998" s="3" t="str">
        <f>IFERROR(VLOOKUP(A2998,'Base Prueba'!A:C,3,),"NO REGISTRA")</f>
        <v>LUISA MARIA MAHECHA SOTOMAYOR</v>
      </c>
      <c r="D2998" s="4" t="str">
        <f>IFERROR(VLOOKUP(A2998,'Base Prueba'!A:D,4,),"NO REGISTRA")</f>
        <v>APRENDIZ UNIVERSITARIO</v>
      </c>
      <c r="E2998" s="5" t="str">
        <f>IFERROR(VLOOKUP(A2998,'Base Prueba'!A:E,5,),"NO REGISTRA")</f>
        <v>OFICINA DE MERCADEO</v>
      </c>
    </row>
    <row r="2999" spans="1:5" ht="15.75" x14ac:dyDescent="0.25">
      <c r="A2999" s="10">
        <v>1024505434</v>
      </c>
      <c r="B2999" s="2">
        <v>46078.709967013892</v>
      </c>
      <c r="C2999" s="3" t="str">
        <f>IFERROR(VLOOKUP(A2999,'Base Prueba'!A:C,3,),"NO REGISTRA")</f>
        <v>CRISTIAN ALBERTO MELO TORRES</v>
      </c>
      <c r="D2999" s="4" t="str">
        <f>IFERROR(VLOOKUP(A2999,'Base Prueba'!A:D,4,),"NO REGISTRA")</f>
        <v>COORDINADOR DE INFRAESTRUCTURA</v>
      </c>
      <c r="E2999" s="5" t="str">
        <f>IFERROR(VLOOKUP(A2999,'Base Prueba'!A:E,5,),"NO REGISTRA")</f>
        <v>VICERRECTORIA ADMINISTRATIVA Y FINANCIERA</v>
      </c>
    </row>
    <row r="3000" spans="1:5" ht="15.75" x14ac:dyDescent="0.25">
      <c r="A3000" s="10">
        <v>1000687931</v>
      </c>
      <c r="B3000" s="2">
        <v>46078.710325578701</v>
      </c>
      <c r="C3000" s="3" t="str">
        <f>IFERROR(VLOOKUP(A3000,'Base Prueba'!A:C,3,),"NO REGISTRA")</f>
        <v>ANDRES FELIPE PUENTES TORRES</v>
      </c>
      <c r="D3000" s="4" t="str">
        <f>IFERROR(VLOOKUP(A3000,'Base Prueba'!A:D,4,),"NO REGISTRA")</f>
        <v>AUXILIAR ADMINISTRATIVO</v>
      </c>
      <c r="E3000" s="5" t="str">
        <f>IFERROR(VLOOKUP(A3000,'Base Prueba'!A:E,5,),"NO REGISTRA")</f>
        <v>REGISTRO Y CONTROL ACADEMICO</v>
      </c>
    </row>
    <row r="3001" spans="1:5" ht="15.75" x14ac:dyDescent="0.25">
      <c r="A3001" s="10">
        <v>52472386</v>
      </c>
      <c r="B3001" s="2">
        <v>46078.736678819441</v>
      </c>
      <c r="C3001" s="3" t="str">
        <f>IFERROR(VLOOKUP(A3001,'Base Prueba'!A:C,3,),"NO REGISTRA")</f>
        <v>ADRIANA MARCELA MORALES PARDO</v>
      </c>
      <c r="D3001" s="4" t="str">
        <f>IFERROR(VLOOKUP(A3001,'Base Prueba'!A:D,4,),"NO REGISTRA")</f>
        <v>PROMOTOR CALL CENTER</v>
      </c>
      <c r="E3001" s="5" t="str">
        <f>IFERROR(VLOOKUP(A3001,'Base Prueba'!A:E,5,),"NO REGISTRA")</f>
        <v>OFICINA DE MERCADEO</v>
      </c>
    </row>
    <row r="3002" spans="1:5" ht="15.75" x14ac:dyDescent="0.25">
      <c r="A3002" s="10">
        <v>1032407386</v>
      </c>
      <c r="B3002" s="2">
        <v>46078.738799999999</v>
      </c>
      <c r="C3002" s="3" t="str">
        <f>IFERROR(VLOOKUP(A3002,'Base Prueba'!A:C,3,),"NO REGISTRA")</f>
        <v>GINA PAOLA BAEZ GALVIS</v>
      </c>
      <c r="D3002" s="4" t="str">
        <f>IFERROR(VLOOKUP(A3002,'Base Prueba'!A:D,4,),"NO REGISTRA")</f>
        <v>PROMOTOR CALL CENTER</v>
      </c>
      <c r="E3002" s="5" t="str">
        <f>IFERROR(VLOOKUP(A3002,'Base Prueba'!A:E,5,),"NO REGISTRA")</f>
        <v>OFICINA DE MERCADEO</v>
      </c>
    </row>
    <row r="3003" spans="1:5" ht="15.75" x14ac:dyDescent="0.25">
      <c r="A3003" s="10">
        <v>1019105003</v>
      </c>
      <c r="B3003" s="2">
        <v>46078.740474421298</v>
      </c>
      <c r="C3003" s="3" t="str">
        <f>IFERROR(VLOOKUP(A3003,'Base Prueba'!A:C,3,),"NO REGISTRA")</f>
        <v>DAISY JULIETH GASPAR MORENO</v>
      </c>
      <c r="D3003" s="4" t="str">
        <f>IFERROR(VLOOKUP(A3003,'Base Prueba'!A:D,4,),"NO REGISTRA")</f>
        <v>PROMOTOR CALL CENTER</v>
      </c>
      <c r="E3003" s="5" t="str">
        <f>IFERROR(VLOOKUP(A3003,'Base Prueba'!A:E,5,),"NO REGISTRA")</f>
        <v>OFICINA DE MERCADEO</v>
      </c>
    </row>
    <row r="3004" spans="1:5" ht="15.75" x14ac:dyDescent="0.25">
      <c r="A3004" s="10">
        <v>28798349</v>
      </c>
      <c r="B3004" s="2">
        <v>46078.74107650463</v>
      </c>
      <c r="C3004" s="3" t="str">
        <f>IFERROR(VLOOKUP(A3004,'Base Prueba'!A:C,3,),"NO REGISTRA")</f>
        <v>MARTHA ISABEL TOVAR WILLIAMS</v>
      </c>
      <c r="D3004" s="4" t="str">
        <f>IFERROR(VLOOKUP(A3004,'Base Prueba'!A:D,4,),"NO REGISTRA")</f>
        <v>PROMOTOR CALL CENTER</v>
      </c>
      <c r="E3004" s="5" t="str">
        <f>IFERROR(VLOOKUP(A3004,'Base Prueba'!A:E,5,),"NO REGISTRA")</f>
        <v>OFICINA DE MERCADEO</v>
      </c>
    </row>
    <row r="3005" spans="1:5" ht="15.75" x14ac:dyDescent="0.25">
      <c r="A3005" s="10">
        <v>1003690253</v>
      </c>
      <c r="B3005" s="2">
        <v>46078.741721759259</v>
      </c>
      <c r="C3005" s="3" t="str">
        <f>IFERROR(VLOOKUP(A3005,'Base Prueba'!A:C,3,),"NO REGISTRA")</f>
        <v>MELISSA GONZALEZ PEDRAZA</v>
      </c>
      <c r="D3005" s="4" t="str">
        <f>IFERROR(VLOOKUP(A3005,'Base Prueba'!A:D,4,),"NO REGISTRA")</f>
        <v>LIDER DE JOVENES A LA E</v>
      </c>
      <c r="E3005" s="5" t="str">
        <f>IFERROR(VLOOKUP(A3005,'Base Prueba'!A:E,5,),"NO REGISTRA")</f>
        <v>DIRECCION DE BIENESTAR INSTITUCIONAL</v>
      </c>
    </row>
    <row r="3006" spans="1:5" ht="15.75" x14ac:dyDescent="0.25">
      <c r="A3006" s="10">
        <v>1023961952</v>
      </c>
      <c r="B3006" s="2">
        <v>46078.741991087962</v>
      </c>
      <c r="C3006" s="3" t="str">
        <f>IFERROR(VLOOKUP(A3006,'Base Prueba'!A:C,3,),"NO REGISTRA")</f>
        <v>ALEJANDRO PINZON MERCHAN</v>
      </c>
      <c r="D3006" s="4" t="str">
        <f>IFERROR(VLOOKUP(A3006,'Base Prueba'!A:D,4,),"NO REGISTRA")</f>
        <v>PROMOTOR CALL CENTER</v>
      </c>
      <c r="E3006" s="5" t="str">
        <f>IFERROR(VLOOKUP(A3006,'Base Prueba'!A:E,5,),"NO REGISTRA")</f>
        <v>OFICINA DE MERCADEO</v>
      </c>
    </row>
    <row r="3007" spans="1:5" ht="15.75" x14ac:dyDescent="0.25">
      <c r="A3007" s="10">
        <v>1018413529</v>
      </c>
      <c r="B3007" s="2">
        <v>46078.742137847221</v>
      </c>
      <c r="C3007" s="3" t="str">
        <f>IFERROR(VLOOKUP(A3007,'Base Prueba'!A:C,3,),"NO REGISTRA")</f>
        <v>FRANCY STELLA CHARRY MORENO</v>
      </c>
      <c r="D3007" s="4" t="str">
        <f>IFERROR(VLOOKUP(A3007,'Base Prueba'!A:D,4,),"NO REGISTRA")</f>
        <v>PROMOTOR COMERCIAL DEL CEA</v>
      </c>
      <c r="E3007" s="5" t="str">
        <f>IFERROR(VLOOKUP(A3007,'Base Prueba'!A:E,5,),"NO REGISTRA")</f>
        <v>OFICINA DE MERCADEO</v>
      </c>
    </row>
    <row r="3008" spans="1:5" ht="15.75" x14ac:dyDescent="0.25">
      <c r="A3008" s="10">
        <v>1033709056</v>
      </c>
      <c r="B3008" s="2">
        <v>46078.742584953703</v>
      </c>
      <c r="C3008" s="3" t="str">
        <f>IFERROR(VLOOKUP(A3008,'Base Prueba'!A:C,3,),"NO REGISTRA")</f>
        <v>YEIMY ALEXANDRA RODRIGUEZ PALACIO</v>
      </c>
      <c r="D3008" s="4" t="str">
        <f>IFERROR(VLOOKUP(A3008,'Base Prueba'!A:D,4,),"NO REGISTRA")</f>
        <v>PROMOTOR CALL CENTER</v>
      </c>
      <c r="E3008" s="5" t="str">
        <f>IFERROR(VLOOKUP(A3008,'Base Prueba'!A:E,5,),"NO REGISTRA")</f>
        <v>OFICINA DE MERCADEO</v>
      </c>
    </row>
    <row r="3009" spans="1:5" ht="15.75" x14ac:dyDescent="0.25">
      <c r="A3009" s="10">
        <v>53089882</v>
      </c>
      <c r="B3009" s="2">
        <v>46078.742858217593</v>
      </c>
      <c r="C3009" s="3" t="str">
        <f>IFERROR(VLOOKUP(A3009,'Base Prueba'!A:C,3,),"NO REGISTRA")</f>
        <v>MARIA JOHANA ESCAMILLA MARTINEZ</v>
      </c>
      <c r="D3009" s="4" t="str">
        <f>IFERROR(VLOOKUP(A3009,'Base Prueba'!A:D,4,),"NO REGISTRA")</f>
        <v>PROMOTOR DE INFORMACIÓN</v>
      </c>
      <c r="E3009" s="5" t="str">
        <f>IFERROR(VLOOKUP(A3009,'Base Prueba'!A:E,5,),"NO REGISTRA")</f>
        <v>OFICINA DE MERCADEO</v>
      </c>
    </row>
    <row r="3010" spans="1:5" ht="15.75" x14ac:dyDescent="0.25">
      <c r="A3010" s="10">
        <v>52764929</v>
      </c>
      <c r="B3010" s="2">
        <v>46078.749731249998</v>
      </c>
      <c r="C3010" s="3" t="str">
        <f>IFERROR(VLOOKUP(A3010,'Base Prueba'!A:C,3,),"NO REGISTRA")</f>
        <v>GUERLY YOHANA DURAN RIVERA</v>
      </c>
      <c r="D3010" s="4" t="str">
        <f>IFERROR(VLOOKUP(A3010,'Base Prueba'!A:D,4,),"NO REGISTRA")</f>
        <v>LIDER DE VINCULACION COLEGIOS</v>
      </c>
      <c r="E3010" s="5" t="str">
        <f>IFERROR(VLOOKUP(A3010,'Base Prueba'!A:E,5,),"NO REGISTRA")</f>
        <v>OFICINA DE MERCADEO</v>
      </c>
    </row>
    <row r="3011" spans="1:5" ht="15.75" x14ac:dyDescent="0.25">
      <c r="A3011" s="10">
        <v>1012357415</v>
      </c>
      <c r="B3011" s="2">
        <v>46078.75089826389</v>
      </c>
      <c r="C3011" s="3" t="str">
        <f>IFERROR(VLOOKUP(A3011,'Base Prueba'!A:C,3,),"NO REGISTRA")</f>
        <v>CINDY LORENA BOHORQUEZ LEYVA</v>
      </c>
      <c r="D3011" s="4" t="str">
        <f>IFERROR(VLOOKUP(A3011,'Base Prueba'!A:D,4,),"NO REGISTRA")</f>
        <v>ANALISTA DE TESORERIA</v>
      </c>
      <c r="E3011" s="5" t="str">
        <f>IFERROR(VLOOKUP(A3011,'Base Prueba'!A:E,5,),"NO REGISTRA")</f>
        <v>AREA FINANCIERA Y CONTABLE</v>
      </c>
    </row>
    <row r="3012" spans="1:5" ht="15.75" x14ac:dyDescent="0.25">
      <c r="A3012" s="10">
        <v>1000467399</v>
      </c>
      <c r="B3012" s="2">
        <v>46078.751788541667</v>
      </c>
      <c r="C3012" s="3" t="str">
        <f>IFERROR(VLOOKUP(A3012,'Base Prueba'!A:C,3,),"NO REGISTRA")</f>
        <v>BRANDO ESTIVEN DIAZ QUIMBAYA</v>
      </c>
      <c r="D3012" s="4" t="str">
        <f>IFERROR(VLOOKUP(A3012,'Base Prueba'!A:D,4,),"NO REGISTRA")</f>
        <v>APRENDIZ UNIVERSITARIO</v>
      </c>
      <c r="E3012" s="5" t="str">
        <f>IFERROR(VLOOKUP(A3012,'Base Prueba'!A:E,5,),"NO REGISTRA")</f>
        <v>DEPARTAMENTO DE GESTION HUMANA</v>
      </c>
    </row>
    <row r="3013" spans="1:5" ht="15.75" x14ac:dyDescent="0.25">
      <c r="A3013" s="10">
        <v>1014308296</v>
      </c>
      <c r="B3013" s="2">
        <v>46078.752574305552</v>
      </c>
      <c r="C3013" s="3" t="str">
        <f>IFERROR(VLOOKUP(A3013,'Base Prueba'!A:C,3,),"NO REGISTRA")</f>
        <v>DARLENE YULIANA MORENO CELEITA</v>
      </c>
      <c r="D3013" s="4" t="str">
        <f>IFERROR(VLOOKUP(A3013,'Base Prueba'!A:D,4,),"NO REGISTRA")</f>
        <v>CAJERO PRINCIPAL</v>
      </c>
      <c r="E3013" s="5" t="str">
        <f>IFERROR(VLOOKUP(A3013,'Base Prueba'!A:E,5,),"NO REGISTRA")</f>
        <v>AREA FINANCIERA Y CONTABLE</v>
      </c>
    </row>
    <row r="3014" spans="1:5" ht="15.75" x14ac:dyDescent="0.25">
      <c r="A3014" s="10">
        <v>1193457976</v>
      </c>
      <c r="B3014" s="2">
        <v>46078.752785532408</v>
      </c>
      <c r="C3014" s="3" t="str">
        <f>IFERROR(VLOOKUP(A3014,'Base Prueba'!A:C,3,),"NO REGISTRA")</f>
        <v>SEDENIS RIVAS ASPRILLA</v>
      </c>
      <c r="D3014" s="4" t="str">
        <f>IFERROR(VLOOKUP(A3014,'Base Prueba'!A:D,4,),"NO REGISTRA")</f>
        <v>APRENDIZ UNIVERSITARIO</v>
      </c>
      <c r="E3014" s="5" t="str">
        <f>IFERROR(VLOOKUP(A3014,'Base Prueba'!A:E,5,),"NO REGISTRA")</f>
        <v>DEPARTAMENTO DE GESTION HUMANA</v>
      </c>
    </row>
    <row r="3015" spans="1:5" ht="15.75" x14ac:dyDescent="0.25">
      <c r="A3015" s="10">
        <v>80725196</v>
      </c>
      <c r="B3015" s="2">
        <v>46078.752853472222</v>
      </c>
      <c r="C3015" s="3" t="str">
        <f>IFERROR(VLOOKUP(A3015,'Base Prueba'!A:C,3,),"NO REGISTRA")</f>
        <v>YEISON YOSET TOVAR BARBOSA</v>
      </c>
      <c r="D3015" s="4" t="str">
        <f>IFERROR(VLOOKUP(A3015,'Base Prueba'!A:D,4,),"NO REGISTRA")</f>
        <v>LIDER GESTION DOCUMENTAL</v>
      </c>
      <c r="E3015" s="5" t="str">
        <f>IFERROR(VLOOKUP(A3015,'Base Prueba'!A:E,5,),"NO REGISTRA")</f>
        <v>CENTRO DE GESTION DOCUMENTAL</v>
      </c>
    </row>
    <row r="3016" spans="1:5" ht="15.75" x14ac:dyDescent="0.25">
      <c r="A3016" s="10">
        <v>1023883232</v>
      </c>
      <c r="B3016" s="2">
        <v>46078.754188657411</v>
      </c>
      <c r="C3016" s="3" t="str">
        <f>IFERROR(VLOOKUP(A3016,'Base Prueba'!A:C,3,),"NO REGISTRA")</f>
        <v>MONICA ANDREA ACERO URBANO</v>
      </c>
      <c r="D3016" s="4" t="str">
        <f>IFERROR(VLOOKUP(A3016,'Base Prueba'!A:D,4,),"NO REGISTRA")</f>
        <v>APOYO INTEGRAL A GESTION HUMANA</v>
      </c>
      <c r="E3016" s="5" t="str">
        <f>IFERROR(VLOOKUP(A3016,'Base Prueba'!A:E,5,),"NO REGISTRA")</f>
        <v>DEPARTAMENTO DE GESTION HUMANA</v>
      </c>
    </row>
    <row r="3017" spans="1:5" ht="15.75" x14ac:dyDescent="0.25">
      <c r="A3017" s="10">
        <v>1087121273</v>
      </c>
      <c r="B3017" s="2">
        <v>46078.754356481484</v>
      </c>
      <c r="C3017" s="3" t="str">
        <f>IFERROR(VLOOKUP(A3017,'Base Prueba'!A:C,3,),"NO REGISTRA")</f>
        <v>MAYRA ALEJANDRA CASTILLO ARBOLEDA</v>
      </c>
      <c r="D3017" s="4" t="str">
        <f>IFERROR(VLOOKUP(A3017,'Base Prueba'!A:D,4,),"NO REGISTRA")</f>
        <v>APOYO INTEGRAL DE MERCADEO</v>
      </c>
      <c r="E3017" s="5" t="str">
        <f>IFERROR(VLOOKUP(A3017,'Base Prueba'!A:E,5,),"NO REGISTRA")</f>
        <v>CENTRO DE GESTION DOCUMENTAL</v>
      </c>
    </row>
    <row r="3018" spans="1:5" ht="15.75" x14ac:dyDescent="0.25">
      <c r="A3018" s="10">
        <v>1014977624</v>
      </c>
      <c r="B3018" s="2">
        <v>46078.754825925927</v>
      </c>
      <c r="C3018" s="3" t="str">
        <f>IFERROR(VLOOKUP(A3018,'Base Prueba'!A:C,3,),"NO REGISTRA")</f>
        <v>NICCOLE VALENTINA HERNANDEZ MALAVER</v>
      </c>
      <c r="D3018" s="4" t="str">
        <f>IFERROR(VLOOKUP(A3018,'Base Prueba'!A:D,4,),"NO REGISTRA")</f>
        <v>APRENDIZ UNIVERSITARIO</v>
      </c>
      <c r="E3018" s="5" t="str">
        <f>IFERROR(VLOOKUP(A3018,'Base Prueba'!A:E,5,),"NO REGISTRA")</f>
        <v>AREA FINANCIERA Y CONTABLE</v>
      </c>
    </row>
    <row r="3019" spans="1:5" ht="15.75" x14ac:dyDescent="0.25">
      <c r="A3019" s="10">
        <v>1026599257</v>
      </c>
      <c r="B3019" s="2">
        <v>46078.75615671296</v>
      </c>
      <c r="C3019" s="3" t="str">
        <f>IFERROR(VLOOKUP(A3019,'Base Prueba'!A:C,3,),"NO REGISTRA")</f>
        <v>YESENIA PAOLA PINEDA HURTADO</v>
      </c>
      <c r="D3019" s="4" t="str">
        <f>IFERROR(VLOOKUP(A3019,'Base Prueba'!A:D,4,),"NO REGISTRA")</f>
        <v>LIDER DE COMPRAS</v>
      </c>
      <c r="E3019" s="5" t="str">
        <f>IFERROR(VLOOKUP(A3019,'Base Prueba'!A:E,5,),"NO REGISTRA")</f>
        <v>AREA ADMINISTRATIVA</v>
      </c>
    </row>
    <row r="3020" spans="1:5" ht="15.75" x14ac:dyDescent="0.25">
      <c r="A3020" s="10">
        <v>80234243</v>
      </c>
      <c r="B3020" s="2">
        <v>46078.756685995373</v>
      </c>
      <c r="C3020" s="3" t="str">
        <f>IFERROR(VLOOKUP(A3020,'Base Prueba'!A:C,3,),"NO REGISTRA")</f>
        <v>ARGENIS MARTINEZ MARTINEZ</v>
      </c>
      <c r="D3020" s="4" t="str">
        <f>IFERROR(VLOOKUP(A3020,'Base Prueba'!A:D,4,),"NO REGISTRA")</f>
        <v>LIDER CALL CENTER</v>
      </c>
      <c r="E3020" s="5" t="str">
        <f>IFERROR(VLOOKUP(A3020,'Base Prueba'!A:E,5,),"NO REGISTRA")</f>
        <v>OFICINA DE MERCADEO</v>
      </c>
    </row>
    <row r="3021" spans="1:5" ht="15.75" x14ac:dyDescent="0.25">
      <c r="A3021" s="10">
        <v>1049644802</v>
      </c>
      <c r="B3021" s="2">
        <v>46078.758247916667</v>
      </c>
      <c r="C3021" s="3" t="str">
        <f>IFERROR(VLOOKUP(A3021,'Base Prueba'!A:C,3,),"NO REGISTRA")</f>
        <v>DANIELA ALEXANDRA CIPAMOCHA BOSIGA</v>
      </c>
      <c r="D3021" s="4" t="str">
        <f>IFERROR(VLOOKUP(A3021,'Base Prueba'!A:D,4,),"NO REGISTRA")</f>
        <v>LIDER DE DATOS Y SERVICIOS</v>
      </c>
      <c r="E3021" s="5" t="str">
        <f>IFERROR(VLOOKUP(A3021,'Base Prueba'!A:E,5,),"NO REGISTRA")</f>
        <v>OFICINA DE PLANEACION Y GESTION DE LA CALIDAD</v>
      </c>
    </row>
    <row r="3022" spans="1:5" ht="15.75" x14ac:dyDescent="0.25">
      <c r="A3022" s="10">
        <v>1032469638</v>
      </c>
      <c r="B3022" s="2">
        <v>46078.758264699078</v>
      </c>
      <c r="C3022" s="3" t="str">
        <f>IFERROR(VLOOKUP(A3022,'Base Prueba'!A:C,3,),"NO REGISTRA")</f>
        <v>MAICOL JARBEY GUALTEROS CASTAÑEDA</v>
      </c>
      <c r="D3022" s="4" t="str">
        <f>IFERROR(VLOOKUP(A3022,'Base Prueba'!A:D,4,),"NO REGISTRA")</f>
        <v>COORDINADOR DEL SISTEMA INTERNO DE ASEGURAMIENTO DE LA CALIDAD - SIAC</v>
      </c>
      <c r="E3022" s="5" t="str">
        <f>IFERROR(VLOOKUP(A3022,'Base Prueba'!A:E,5,),"NO REGISTRA")</f>
        <v>OFICINA DE PLANEACION Y GESTION DE LA CALIDAD</v>
      </c>
    </row>
    <row r="3023" spans="1:5" ht="15.75" x14ac:dyDescent="0.25">
      <c r="A3023" s="10">
        <v>1000593372</v>
      </c>
      <c r="B3023" s="2">
        <v>46078.761766087962</v>
      </c>
      <c r="C3023" s="3" t="str">
        <f>IFERROR(VLOOKUP(A3023,'Base Prueba'!A:C,3,),"NO REGISTRA")</f>
        <v>LAURA SOFIA CHAPARRO LOPEZ</v>
      </c>
      <c r="D3023" s="4" t="str">
        <f>IFERROR(VLOOKUP(A3023,'Base Prueba'!A:D,4,),"NO REGISTRA")</f>
        <v>AUXILIAR JURIDICO</v>
      </c>
      <c r="E3023" s="5" t="str">
        <f>IFERROR(VLOOKUP(A3023,'Base Prueba'!A:E,5,),"NO REGISTRA")</f>
        <v>SECRETARIA GENERAL</v>
      </c>
    </row>
    <row r="3024" spans="1:5" ht="15.75" x14ac:dyDescent="0.25">
      <c r="A3024" s="10">
        <v>1000604979</v>
      </c>
      <c r="B3024" s="2">
        <v>46078.761790856479</v>
      </c>
      <c r="C3024" s="3" t="str">
        <f>IFERROR(VLOOKUP(A3024,'Base Prueba'!A:C,3,),"NO REGISTRA")</f>
        <v>JULIETH TATIANA PARDO PINTO</v>
      </c>
      <c r="D3024" s="4" t="str">
        <f>IFERROR(VLOOKUP(A3024,'Base Prueba'!A:D,4,),"NO REGISTRA")</f>
        <v>AUXILIAR JURIDICO</v>
      </c>
      <c r="E3024" s="5" t="str">
        <f>IFERROR(VLOOKUP(A3024,'Base Prueba'!A:E,5,),"NO REGISTRA")</f>
        <v>SECRETARIA GENERAL</v>
      </c>
    </row>
    <row r="3025" spans="1:5" ht="15.75" x14ac:dyDescent="0.25">
      <c r="A3025" s="10">
        <v>1013616244</v>
      </c>
      <c r="B3025" s="2">
        <v>46078.766264814818</v>
      </c>
      <c r="C3025" s="3" t="str">
        <f>IFERROR(VLOOKUP(A3025,'Base Prueba'!A:C,3,),"NO REGISTRA")</f>
        <v>DIANA CAROLINA MARIN BETANCOURT</v>
      </c>
      <c r="D3025" s="4" t="str">
        <f>IFERROR(VLOOKUP(A3025,'Base Prueba'!A:D,4,),"NO REGISTRA")</f>
        <v>AUXILIAR ADMINISTRATIVO</v>
      </c>
      <c r="E3025" s="5" t="str">
        <f>IFERROR(VLOOKUP(A3025,'Base Prueba'!A:E,5,),"NO REGISTRA")</f>
        <v>REGISTRO Y CONTROL ACADEMICO</v>
      </c>
    </row>
    <row r="3026" spans="1:5" ht="15.75" x14ac:dyDescent="0.25">
      <c r="A3026" s="10">
        <v>1000324729</v>
      </c>
      <c r="B3026" s="2">
        <v>46078.76863298611</v>
      </c>
      <c r="C3026" s="3" t="str">
        <f>IFERROR(VLOOKUP(A3026,'Base Prueba'!A:C,3,),"NO REGISTRA")</f>
        <v>ANYIE VANESSA TINOCO CAMACHO</v>
      </c>
      <c r="D3026" s="4" t="str">
        <f>IFERROR(VLOOKUP(A3026,'Base Prueba'!A:D,4,),"NO REGISTRA")</f>
        <v>LIDER DE REGISTRO Y CONTROL</v>
      </c>
      <c r="E3026" s="5" t="str">
        <f>IFERROR(VLOOKUP(A3026,'Base Prueba'!A:E,5,),"NO REGISTRA")</f>
        <v>REGISTRO Y CONTROL ACADEMICO</v>
      </c>
    </row>
    <row r="3027" spans="1:5" ht="15.75" x14ac:dyDescent="0.25">
      <c r="A3027" s="10">
        <v>1000457706</v>
      </c>
      <c r="B3027" s="2">
        <v>46078.771706597225</v>
      </c>
      <c r="C3027" s="3" t="str">
        <f>IFERROR(VLOOKUP(A3027,'Base Prueba'!A:C,3,),"NO REGISTRA")</f>
        <v>CRISTIAN DANILO ARROYO SANABRIA</v>
      </c>
      <c r="D3027" s="4" t="str">
        <f>IFERROR(VLOOKUP(A3027,'Base Prueba'!A:D,4,),"NO REGISTRA")</f>
        <v>AUXILIAR CONTABLE</v>
      </c>
      <c r="E3027" s="5" t="str">
        <f>IFERROR(VLOOKUP(A3027,'Base Prueba'!A:E,5,),"NO REGISTRA")</f>
        <v>AREA FINANCIERA Y CONTABLE</v>
      </c>
    </row>
    <row r="3028" spans="1:5" ht="15.75" x14ac:dyDescent="0.25">
      <c r="A3028" s="10">
        <v>80238161</v>
      </c>
      <c r="B3028" s="2">
        <v>46078.781264467594</v>
      </c>
      <c r="C3028" s="3" t="str">
        <f>IFERROR(VLOOKUP(A3028,'Base Prueba'!A:C,3,),"NO REGISTRA")</f>
        <v>GERMAN CARRANZA ESPITIA</v>
      </c>
      <c r="D3028" s="4" t="str">
        <f>IFERROR(VLOOKUP(A3028,'Base Prueba'!A:D,4,),"NO REGISTRA")</f>
        <v>TESORERO</v>
      </c>
      <c r="E3028" s="5" t="str">
        <f>IFERROR(VLOOKUP(A3028,'Base Prueba'!A:E,5,),"NO REGISTRA")</f>
        <v>AREA FINANCIERA Y CONTABLE</v>
      </c>
    </row>
    <row r="3029" spans="1:5" ht="15.75" x14ac:dyDescent="0.25">
      <c r="A3029" s="10">
        <v>52443092</v>
      </c>
      <c r="B3029" s="2">
        <v>46078.788485185185</v>
      </c>
      <c r="C3029" s="3" t="str">
        <f>IFERROR(VLOOKUP(A3029,'Base Prueba'!A:C,3,),"NO REGISTRA")</f>
        <v>LUZ MYRIAM SAAVEDRA CONTRERAS</v>
      </c>
      <c r="D3029" s="4" t="str">
        <f>IFERROR(VLOOKUP(A3029,'Base Prueba'!A:D,4,),"NO REGISTRA")</f>
        <v>AUXILIAR DE SERVICIOS</v>
      </c>
      <c r="E3029" s="5" t="str">
        <f>IFERROR(VLOOKUP(A3029,'Base Prueba'!A:E,5,),"NO REGISTRA")</f>
        <v>LOGISTICA Y SERVICIOS GENERALES</v>
      </c>
    </row>
    <row r="3030" spans="1:5" ht="15.75" x14ac:dyDescent="0.25">
      <c r="A3030" s="10">
        <v>52474489</v>
      </c>
      <c r="B3030" s="2">
        <v>46078.798077314816</v>
      </c>
      <c r="C3030" s="3" t="str">
        <f>IFERROR(VLOOKUP(A3030,'Base Prueba'!A:C,3,),"NO REGISTRA")</f>
        <v>ADRIANA JIMENA SOTO BOCANEGRA</v>
      </c>
      <c r="D3030" s="4" t="str">
        <f>IFERROR(VLOOKUP(A3030,'Base Prueba'!A:D,4,),"NO REGISTRA")</f>
        <v>COORDINADOR DE LA OFICINA DE REGISTRO Y CONTROL</v>
      </c>
      <c r="E3030" s="5" t="str">
        <f>IFERROR(VLOOKUP(A3030,'Base Prueba'!A:E,5,),"NO REGISTRA")</f>
        <v>REGISTRO Y CONTROL ACADEMICO</v>
      </c>
    </row>
    <row r="3031" spans="1:5" ht="15.75" x14ac:dyDescent="0.25">
      <c r="A3031" s="10">
        <v>1000257136</v>
      </c>
      <c r="B3031" s="2">
        <v>46078.806619212963</v>
      </c>
      <c r="C3031" s="3" t="str">
        <f>IFERROR(VLOOKUP(A3031,'Base Prueba'!A:C,3,),"NO REGISTRA")</f>
        <v>FRANCI VALENTINA CANO PUENTES</v>
      </c>
      <c r="D3031" s="4" t="str">
        <f>IFERROR(VLOOKUP(A3031,'Base Prueba'!A:D,4,),"NO REGISTRA")</f>
        <v>AUXILIAR CONTABLE</v>
      </c>
      <c r="E3031" s="5" t="str">
        <f>IFERROR(VLOOKUP(A3031,'Base Prueba'!A:E,5,),"NO REGISTRA")</f>
        <v>AREA FINANCIERA Y CONTABLE</v>
      </c>
    </row>
    <row r="3032" spans="1:5" ht="15.75" x14ac:dyDescent="0.25">
      <c r="A3032" s="10">
        <v>53932358</v>
      </c>
      <c r="B3032" s="2">
        <v>46078.808553587965</v>
      </c>
      <c r="C3032" s="3" t="str">
        <f>IFERROR(VLOOKUP(A3032,'Base Prueba'!A:C,3,),"NO REGISTRA")</f>
        <v>DIANA MADELEYNE GAONA RODRIGUEZ</v>
      </c>
      <c r="D3032" s="4" t="str">
        <f>IFERROR(VLOOKUP(A3032,'Base Prueba'!A:D,4,),"NO REGISTRA")</f>
        <v>CONTADOR</v>
      </c>
      <c r="E3032" s="5" t="str">
        <f>IFERROR(VLOOKUP(A3032,'Base Prueba'!A:E,5,),"NO REGISTRA")</f>
        <v>AREA FINANCIERA Y CONTABLE</v>
      </c>
    </row>
    <row r="3033" spans="1:5" ht="15.75" x14ac:dyDescent="0.25">
      <c r="A3033" s="10">
        <v>1087121273</v>
      </c>
      <c r="B3033" s="2">
        <v>46079.307183333331</v>
      </c>
      <c r="C3033" s="3" t="str">
        <f>IFERROR(VLOOKUP(A3033,'Base Prueba'!A:C,3,),"NO REGISTRA")</f>
        <v>MAYRA ALEJANDRA CASTILLO ARBOLEDA</v>
      </c>
      <c r="D3033" s="4" t="str">
        <f>IFERROR(VLOOKUP(A3033,'Base Prueba'!A:D,4,),"NO REGISTRA")</f>
        <v>APOYO INTEGRAL DE MERCADEO</v>
      </c>
      <c r="E3033" s="5" t="str">
        <f>IFERROR(VLOOKUP(A3033,'Base Prueba'!A:E,5,),"NO REGISTRA")</f>
        <v>CENTRO DE GESTION DOCUMENTAL</v>
      </c>
    </row>
    <row r="3034" spans="1:5" ht="15.75" x14ac:dyDescent="0.25">
      <c r="A3034" s="10">
        <v>80725196</v>
      </c>
      <c r="B3034" s="2">
        <v>46079.312543171298</v>
      </c>
      <c r="C3034" s="3" t="str">
        <f>IFERROR(VLOOKUP(A3034,'Base Prueba'!A:C,3,),"NO REGISTRA")</f>
        <v>YEISON YOSET TOVAR BARBOSA</v>
      </c>
      <c r="D3034" s="4" t="str">
        <f>IFERROR(VLOOKUP(A3034,'Base Prueba'!A:D,4,),"NO REGISTRA")</f>
        <v>LIDER GESTION DOCUMENTAL</v>
      </c>
      <c r="E3034" s="5" t="str">
        <f>IFERROR(VLOOKUP(A3034,'Base Prueba'!A:E,5,),"NO REGISTRA")</f>
        <v>CENTRO DE GESTION DOCUMENTAL</v>
      </c>
    </row>
    <row r="3035" spans="1:5" ht="15.75" x14ac:dyDescent="0.25">
      <c r="A3035" s="10">
        <v>1013616244</v>
      </c>
      <c r="B3035" s="2">
        <v>46079.316874074073</v>
      </c>
      <c r="C3035" s="3" t="str">
        <f>IFERROR(VLOOKUP(A3035,'Base Prueba'!A:C,3,),"NO REGISTRA")</f>
        <v>DIANA CAROLINA MARIN BETANCOURT</v>
      </c>
      <c r="D3035" s="4" t="str">
        <f>IFERROR(VLOOKUP(A3035,'Base Prueba'!A:D,4,),"NO REGISTRA")</f>
        <v>AUXILIAR ADMINISTRATIVO</v>
      </c>
      <c r="E3035" s="5" t="str">
        <f>IFERROR(VLOOKUP(A3035,'Base Prueba'!A:E,5,),"NO REGISTRA")</f>
        <v>REGISTRO Y CONTROL ACADEMICO</v>
      </c>
    </row>
    <row r="3036" spans="1:5" ht="15.75" x14ac:dyDescent="0.25">
      <c r="A3036" s="10">
        <v>1014308296</v>
      </c>
      <c r="B3036" s="2">
        <v>46079.328946759262</v>
      </c>
      <c r="C3036" s="3" t="str">
        <f>IFERROR(VLOOKUP(A3036,'Base Prueba'!A:C,3,),"NO REGISTRA")</f>
        <v>DARLENE YULIANA MORENO CELEITA</v>
      </c>
      <c r="D3036" s="4" t="str">
        <f>IFERROR(VLOOKUP(A3036,'Base Prueba'!A:D,4,),"NO REGISTRA")</f>
        <v>CAJERO PRINCIPAL</v>
      </c>
      <c r="E3036" s="5" t="str">
        <f>IFERROR(VLOOKUP(A3036,'Base Prueba'!A:E,5,),"NO REGISTRA")</f>
        <v>AREA FINANCIERA Y CONTABLE</v>
      </c>
    </row>
    <row r="3037" spans="1:5" ht="15.75" x14ac:dyDescent="0.25">
      <c r="A3037" s="10">
        <v>1000324729</v>
      </c>
      <c r="B3037" s="2">
        <v>46079.33243761574</v>
      </c>
      <c r="C3037" s="3" t="str">
        <f>IFERROR(VLOOKUP(A3037,'Base Prueba'!A:C,3,),"NO REGISTRA")</f>
        <v>ANYIE VANESSA TINOCO CAMACHO</v>
      </c>
      <c r="D3037" s="4" t="str">
        <f>IFERROR(VLOOKUP(A3037,'Base Prueba'!A:D,4,),"NO REGISTRA")</f>
        <v>LIDER DE REGISTRO Y CONTROL</v>
      </c>
      <c r="E3037" s="5" t="str">
        <f>IFERROR(VLOOKUP(A3037,'Base Prueba'!A:E,5,),"NO REGISTRA")</f>
        <v>REGISTRO Y CONTROL ACADEMICO</v>
      </c>
    </row>
    <row r="3038" spans="1:5" ht="15.75" x14ac:dyDescent="0.25">
      <c r="A3038" s="10">
        <v>1031802160</v>
      </c>
      <c r="B3038" s="2">
        <v>46079.33634814815</v>
      </c>
      <c r="C3038" s="3" t="str">
        <f>IFERROR(VLOOKUP(A3038,'Base Prueba'!A:C,3,),"NO REGISTRA")</f>
        <v>LUISA MARIA MAHECHA SOTOMAYOR</v>
      </c>
      <c r="D3038" s="4" t="str">
        <f>IFERROR(VLOOKUP(A3038,'Base Prueba'!A:D,4,),"NO REGISTRA")</f>
        <v>APRENDIZ UNIVERSITARIO</v>
      </c>
      <c r="E3038" s="5" t="str">
        <f>IFERROR(VLOOKUP(A3038,'Base Prueba'!A:E,5,),"NO REGISTRA")</f>
        <v>OFICINA DE MERCADEO</v>
      </c>
    </row>
    <row r="3039" spans="1:5" ht="15.75" x14ac:dyDescent="0.25">
      <c r="A3039" s="10">
        <v>1012357415</v>
      </c>
      <c r="B3039" s="2">
        <v>46079.340139351851</v>
      </c>
      <c r="C3039" s="3" t="str">
        <f>IFERROR(VLOOKUP(A3039,'Base Prueba'!A:C,3,),"NO REGISTRA")</f>
        <v>CINDY LORENA BOHORQUEZ LEYVA</v>
      </c>
      <c r="D3039" s="4" t="str">
        <f>IFERROR(VLOOKUP(A3039,'Base Prueba'!A:D,4,),"NO REGISTRA")</f>
        <v>ANALISTA DE TESORERIA</v>
      </c>
      <c r="E3039" s="5" t="str">
        <f>IFERROR(VLOOKUP(A3039,'Base Prueba'!A:E,5,),"NO REGISTRA")</f>
        <v>AREA FINANCIERA Y CONTABLE</v>
      </c>
    </row>
    <row r="3040" spans="1:5" ht="15.75" x14ac:dyDescent="0.25">
      <c r="A3040" s="10">
        <v>1049644802</v>
      </c>
      <c r="B3040" s="2">
        <v>46079.341973379633</v>
      </c>
      <c r="C3040" s="3" t="str">
        <f>IFERROR(VLOOKUP(A3040,'Base Prueba'!A:C,3,),"NO REGISTRA")</f>
        <v>DANIELA ALEXANDRA CIPAMOCHA BOSIGA</v>
      </c>
      <c r="D3040" s="4" t="str">
        <f>IFERROR(VLOOKUP(A3040,'Base Prueba'!A:D,4,),"NO REGISTRA")</f>
        <v>LIDER DE DATOS Y SERVICIOS</v>
      </c>
      <c r="E3040" s="5" t="str">
        <f>IFERROR(VLOOKUP(A3040,'Base Prueba'!A:E,5,),"NO REGISTRA")</f>
        <v>OFICINA DE PLANEACION Y GESTION DE LA CALIDAD</v>
      </c>
    </row>
    <row r="3041" spans="1:5" ht="15.75" x14ac:dyDescent="0.25">
      <c r="A3041" s="10">
        <v>1000467399</v>
      </c>
      <c r="B3041" s="2">
        <v>46079.343638888888</v>
      </c>
      <c r="C3041" s="3" t="str">
        <f>IFERROR(VLOOKUP(A3041,'Base Prueba'!A:C,3,),"NO REGISTRA")</f>
        <v>BRANDO ESTIVEN DIAZ QUIMBAYA</v>
      </c>
      <c r="D3041" s="4" t="str">
        <f>IFERROR(VLOOKUP(A3041,'Base Prueba'!A:D,4,),"NO REGISTRA")</f>
        <v>APRENDIZ UNIVERSITARIO</v>
      </c>
      <c r="E3041" s="5" t="str">
        <f>IFERROR(VLOOKUP(A3041,'Base Prueba'!A:E,5,),"NO REGISTRA")</f>
        <v>DEPARTAMENTO DE GESTION HUMANA</v>
      </c>
    </row>
    <row r="3042" spans="1:5" ht="15.75" x14ac:dyDescent="0.25">
      <c r="A3042" s="10">
        <v>80238161</v>
      </c>
      <c r="B3042" s="2">
        <v>46079.343879050924</v>
      </c>
      <c r="C3042" s="3" t="str">
        <f>IFERROR(VLOOKUP(A3042,'Base Prueba'!A:C,3,),"NO REGISTRA")</f>
        <v>GERMAN CARRANZA ESPITIA</v>
      </c>
      <c r="D3042" s="4" t="str">
        <f>IFERROR(VLOOKUP(A3042,'Base Prueba'!A:D,4,),"NO REGISTRA")</f>
        <v>TESORERO</v>
      </c>
      <c r="E3042" s="5" t="str">
        <f>IFERROR(VLOOKUP(A3042,'Base Prueba'!A:E,5,),"NO REGISTRA")</f>
        <v>AREA FINANCIERA Y CONTABLE</v>
      </c>
    </row>
    <row r="3043" spans="1:5" ht="15.75" x14ac:dyDescent="0.25">
      <c r="A3043" s="10">
        <v>1000687931</v>
      </c>
      <c r="B3043" s="2">
        <v>46079.343976157405</v>
      </c>
      <c r="C3043" s="3" t="str">
        <f>IFERROR(VLOOKUP(A3043,'Base Prueba'!A:C,3,),"NO REGISTRA")</f>
        <v>ANDRES FELIPE PUENTES TORRES</v>
      </c>
      <c r="D3043" s="4" t="str">
        <f>IFERROR(VLOOKUP(A3043,'Base Prueba'!A:D,4,),"NO REGISTRA")</f>
        <v>AUXILIAR ADMINISTRATIVO</v>
      </c>
      <c r="E3043" s="5" t="str">
        <f>IFERROR(VLOOKUP(A3043,'Base Prueba'!A:E,5,),"NO REGISTRA")</f>
        <v>REGISTRO Y CONTROL ACADEMICO</v>
      </c>
    </row>
    <row r="3044" spans="1:5" ht="15.75" x14ac:dyDescent="0.25">
      <c r="A3044" s="10">
        <v>1000257136</v>
      </c>
      <c r="B3044" s="2">
        <v>46079.344224537039</v>
      </c>
      <c r="C3044" s="3" t="str">
        <f>IFERROR(VLOOKUP(A3044,'Base Prueba'!A:C,3,),"NO REGISTRA")</f>
        <v>FRANCI VALENTINA CANO PUENTES</v>
      </c>
      <c r="D3044" s="4" t="str">
        <f>IFERROR(VLOOKUP(A3044,'Base Prueba'!A:D,4,),"NO REGISTRA")</f>
        <v>AUXILIAR CONTABLE</v>
      </c>
      <c r="E3044" s="5" t="str">
        <f>IFERROR(VLOOKUP(A3044,'Base Prueba'!A:E,5,),"NO REGISTRA")</f>
        <v>AREA FINANCIERA Y CONTABLE</v>
      </c>
    </row>
    <row r="3045" spans="1:5" ht="15.75" x14ac:dyDescent="0.25">
      <c r="A3045" s="10">
        <v>1193457976</v>
      </c>
      <c r="B3045" s="2">
        <v>46079.345078472223</v>
      </c>
      <c r="C3045" s="3" t="str">
        <f>IFERROR(VLOOKUP(A3045,'Base Prueba'!A:C,3,),"NO REGISTRA")</f>
        <v>SEDENIS RIVAS ASPRILLA</v>
      </c>
      <c r="D3045" s="4" t="str">
        <f>IFERROR(VLOOKUP(A3045,'Base Prueba'!A:D,4,),"NO REGISTRA")</f>
        <v>APRENDIZ UNIVERSITARIO</v>
      </c>
      <c r="E3045" s="5" t="str">
        <f>IFERROR(VLOOKUP(A3045,'Base Prueba'!A:E,5,),"NO REGISTRA")</f>
        <v>DEPARTAMENTO DE GESTION HUMANA</v>
      </c>
    </row>
    <row r="3046" spans="1:5" ht="15.75" x14ac:dyDescent="0.25">
      <c r="A3046" s="10">
        <v>1026599257</v>
      </c>
      <c r="B3046" s="2">
        <v>46079.347300000001</v>
      </c>
      <c r="C3046" s="3" t="str">
        <f>IFERROR(VLOOKUP(A3046,'Base Prueba'!A:C,3,),"NO REGISTRA")</f>
        <v>YESENIA PAOLA PINEDA HURTADO</v>
      </c>
      <c r="D3046" s="4" t="str">
        <f>IFERROR(VLOOKUP(A3046,'Base Prueba'!A:D,4,),"NO REGISTRA")</f>
        <v>LIDER DE COMPRAS</v>
      </c>
      <c r="E3046" s="5" t="str">
        <f>IFERROR(VLOOKUP(A3046,'Base Prueba'!A:E,5,),"NO REGISTRA")</f>
        <v>AREA ADMINISTRATIVA</v>
      </c>
    </row>
    <row r="3047" spans="1:5" ht="15.75" x14ac:dyDescent="0.25">
      <c r="A3047" s="10">
        <v>1000457706</v>
      </c>
      <c r="B3047" s="2">
        <v>46079.347853472224</v>
      </c>
      <c r="C3047" s="3" t="str">
        <f>IFERROR(VLOOKUP(A3047,'Base Prueba'!A:C,3,),"NO REGISTRA")</f>
        <v>CRISTIAN DANILO ARROYO SANABRIA</v>
      </c>
      <c r="D3047" s="4" t="str">
        <f>IFERROR(VLOOKUP(A3047,'Base Prueba'!A:D,4,),"NO REGISTRA")</f>
        <v>AUXILIAR CONTABLE</v>
      </c>
      <c r="E3047" s="5" t="str">
        <f>IFERROR(VLOOKUP(A3047,'Base Prueba'!A:E,5,),"NO REGISTRA")</f>
        <v>AREA FINANCIERA Y CONTABLE</v>
      </c>
    </row>
    <row r="3048" spans="1:5" ht="15.75" x14ac:dyDescent="0.25">
      <c r="A3048" s="10">
        <v>1014977624</v>
      </c>
      <c r="B3048" s="2">
        <v>46079.348975810186</v>
      </c>
      <c r="C3048" s="3" t="str">
        <f>IFERROR(VLOOKUP(A3048,'Base Prueba'!A:C,3,),"NO REGISTRA")</f>
        <v>NICCOLE VALENTINA HERNANDEZ MALAVER</v>
      </c>
      <c r="D3048" s="4" t="str">
        <f>IFERROR(VLOOKUP(A3048,'Base Prueba'!A:D,4,),"NO REGISTRA")</f>
        <v>APRENDIZ UNIVERSITARIO</v>
      </c>
      <c r="E3048" s="5" t="str">
        <f>IFERROR(VLOOKUP(A3048,'Base Prueba'!A:E,5,),"NO REGISTRA")</f>
        <v>AREA FINANCIERA Y CONTABLE</v>
      </c>
    </row>
    <row r="3049" spans="1:5" ht="15.75" x14ac:dyDescent="0.25">
      <c r="A3049" s="10">
        <v>1023883232</v>
      </c>
      <c r="B3049" s="2">
        <v>46079.348999652779</v>
      </c>
      <c r="C3049" s="3" t="str">
        <f>IFERROR(VLOOKUP(A3049,'Base Prueba'!A:C,3,),"NO REGISTRA")</f>
        <v>MONICA ANDREA ACERO URBANO</v>
      </c>
      <c r="D3049" s="4" t="str">
        <f>IFERROR(VLOOKUP(A3049,'Base Prueba'!A:D,4,),"NO REGISTRA")</f>
        <v>APOYO INTEGRAL A GESTION HUMANA</v>
      </c>
      <c r="E3049" s="5" t="str">
        <f>IFERROR(VLOOKUP(A3049,'Base Prueba'!A:E,5,),"NO REGISTRA")</f>
        <v>DEPARTAMENTO DE GESTION HUMANA</v>
      </c>
    </row>
    <row r="3050" spans="1:5" ht="15.75" x14ac:dyDescent="0.25">
      <c r="A3050" s="10">
        <v>1024505434</v>
      </c>
      <c r="B3050" s="2">
        <v>46079.354010185183</v>
      </c>
      <c r="C3050" s="3" t="str">
        <f>IFERROR(VLOOKUP(A3050,'Base Prueba'!A:C,3,),"NO REGISTRA")</f>
        <v>CRISTIAN ALBERTO MELO TORRES</v>
      </c>
      <c r="D3050" s="4" t="str">
        <f>IFERROR(VLOOKUP(A3050,'Base Prueba'!A:D,4,),"NO REGISTRA")</f>
        <v>COORDINADOR DE INFRAESTRUCTURA</v>
      </c>
      <c r="E3050" s="5" t="str">
        <f>IFERROR(VLOOKUP(A3050,'Base Prueba'!A:E,5,),"NO REGISTRA")</f>
        <v>VICERRECTORIA ADMINISTRATIVA Y FINANCIERA</v>
      </c>
    </row>
    <row r="3051" spans="1:5" ht="15.75" x14ac:dyDescent="0.25">
      <c r="A3051" s="10">
        <v>1000593372</v>
      </c>
      <c r="B3051" s="2">
        <v>46079.358326273148</v>
      </c>
      <c r="C3051" s="3" t="str">
        <f>IFERROR(VLOOKUP(A3051,'Base Prueba'!A:C,3,),"NO REGISTRA")</f>
        <v>LAURA SOFIA CHAPARRO LOPEZ</v>
      </c>
      <c r="D3051" s="4" t="str">
        <f>IFERROR(VLOOKUP(A3051,'Base Prueba'!A:D,4,),"NO REGISTRA")</f>
        <v>AUXILIAR JURIDICO</v>
      </c>
      <c r="E3051" s="5" t="str">
        <f>IFERROR(VLOOKUP(A3051,'Base Prueba'!A:E,5,),"NO REGISTRA")</f>
        <v>SECRETARIA GENERAL</v>
      </c>
    </row>
    <row r="3052" spans="1:5" ht="15.75" x14ac:dyDescent="0.25">
      <c r="A3052" s="10">
        <v>1033709056</v>
      </c>
      <c r="B3052" s="2">
        <v>46079.369250000003</v>
      </c>
      <c r="C3052" s="3" t="str">
        <f>IFERROR(VLOOKUP(A3052,'Base Prueba'!A:C,3,),"NO REGISTRA")</f>
        <v>YEIMY ALEXANDRA RODRIGUEZ PALACIO</v>
      </c>
      <c r="D3052" s="4" t="str">
        <f>IFERROR(VLOOKUP(A3052,'Base Prueba'!A:D,4,),"NO REGISTRA")</f>
        <v>PROMOTOR CALL CENTER</v>
      </c>
      <c r="E3052" s="5" t="str">
        <f>IFERROR(VLOOKUP(A3052,'Base Prueba'!A:E,5,),"NO REGISTRA")</f>
        <v>OFICINA DE MERCADEO</v>
      </c>
    </row>
    <row r="3053" spans="1:5" ht="15.75" x14ac:dyDescent="0.25">
      <c r="A3053" s="10">
        <v>1032407386</v>
      </c>
      <c r="B3053" s="2">
        <v>46079.36949409722</v>
      </c>
      <c r="C3053" s="3" t="str">
        <f>IFERROR(VLOOKUP(A3053,'Base Prueba'!A:C,3,),"NO REGISTRA")</f>
        <v>GINA PAOLA BAEZ GALVIS</v>
      </c>
      <c r="D3053" s="4" t="str">
        <f>IFERROR(VLOOKUP(A3053,'Base Prueba'!A:D,4,),"NO REGISTRA")</f>
        <v>PROMOTOR CALL CENTER</v>
      </c>
      <c r="E3053" s="5" t="str">
        <f>IFERROR(VLOOKUP(A3053,'Base Prueba'!A:E,5,),"NO REGISTRA")</f>
        <v>OFICINA DE MERCADEO</v>
      </c>
    </row>
    <row r="3054" spans="1:5" ht="15.75" x14ac:dyDescent="0.25">
      <c r="A3054" s="10">
        <v>52472386</v>
      </c>
      <c r="B3054" s="2">
        <v>46079.371148842591</v>
      </c>
      <c r="C3054" s="3" t="str">
        <f>IFERROR(VLOOKUP(A3054,'Base Prueba'!A:C,3,),"NO REGISTRA")</f>
        <v>ADRIANA MARCELA MORALES PARDO</v>
      </c>
      <c r="D3054" s="4" t="str">
        <f>IFERROR(VLOOKUP(A3054,'Base Prueba'!A:D,4,),"NO REGISTRA")</f>
        <v>PROMOTOR CALL CENTER</v>
      </c>
      <c r="E3054" s="5" t="str">
        <f>IFERROR(VLOOKUP(A3054,'Base Prueba'!A:E,5,),"NO REGISTRA")</f>
        <v>OFICINA DE MERCADEO</v>
      </c>
    </row>
    <row r="3055" spans="1:5" ht="15.75" x14ac:dyDescent="0.25">
      <c r="A3055" s="10">
        <v>1012426741</v>
      </c>
      <c r="B3055" s="2">
        <v>46079.371280902778</v>
      </c>
      <c r="C3055" s="3" t="str">
        <f>IFERROR(VLOOKUP(A3055,'Base Prueba'!A:C,3,),"NO REGISTRA")</f>
        <v>CRISTIAN FABIAN ROJAS SANCENO</v>
      </c>
      <c r="D3055" s="4" t="str">
        <f>IFERROR(VLOOKUP(A3055,'Base Prueba'!A:D,4,),"NO REGISTRA")</f>
        <v>AUXILIAR DE REINTEGROS</v>
      </c>
      <c r="E3055" s="5" t="str">
        <f>IFERROR(VLOOKUP(A3055,'Base Prueba'!A:E,5,),"NO REGISTRA")</f>
        <v>DIRECCION DE BIENESTAR INSTITUCIONAL</v>
      </c>
    </row>
    <row r="3056" spans="1:5" ht="15.75" x14ac:dyDescent="0.25">
      <c r="A3056" s="10">
        <v>53932358</v>
      </c>
      <c r="B3056" s="2">
        <v>46079.372404282411</v>
      </c>
      <c r="C3056" s="3" t="str">
        <f>IFERROR(VLOOKUP(A3056,'Base Prueba'!A:C,3,),"NO REGISTRA")</f>
        <v>DIANA MADELEYNE GAONA RODRIGUEZ</v>
      </c>
      <c r="D3056" s="4" t="str">
        <f>IFERROR(VLOOKUP(A3056,'Base Prueba'!A:D,4,),"NO REGISTRA")</f>
        <v>CONTADOR</v>
      </c>
      <c r="E3056" s="5" t="str">
        <f>IFERROR(VLOOKUP(A3056,'Base Prueba'!A:E,5,),"NO REGISTRA")</f>
        <v>AREA FINANCIERA Y CONTABLE</v>
      </c>
    </row>
    <row r="3057" spans="1:5" ht="15.75" x14ac:dyDescent="0.25">
      <c r="A3057" s="10">
        <v>1000046533</v>
      </c>
      <c r="B3057" s="2">
        <v>46079.372530208333</v>
      </c>
      <c r="C3057" s="3" t="str">
        <f>IFERROR(VLOOKUP(A3057,'Base Prueba'!A:C,3,),"NO REGISTRA")</f>
        <v>ERIKA JULIETH VALDERRAMA SANCHEZ</v>
      </c>
      <c r="D3057" s="4" t="str">
        <f>IFERROR(VLOOKUP(A3057,'Base Prueba'!A:D,4,),"NO REGISTRA")</f>
        <v>PROMOTOR CALL CENTER</v>
      </c>
      <c r="E3057" s="5" t="str">
        <f>IFERROR(VLOOKUP(A3057,'Base Prueba'!A:E,5,),"NO REGISTRA")</f>
        <v>OFICINA DE MERCADEO</v>
      </c>
    </row>
    <row r="3058" spans="1:5" ht="15.75" x14ac:dyDescent="0.25">
      <c r="A3058" s="10">
        <v>80234243</v>
      </c>
      <c r="B3058" s="2">
        <v>46079.372827430554</v>
      </c>
      <c r="C3058" s="3" t="str">
        <f>IFERROR(VLOOKUP(A3058,'Base Prueba'!A:C,3,),"NO REGISTRA")</f>
        <v>ARGENIS MARTINEZ MARTINEZ</v>
      </c>
      <c r="D3058" s="4" t="str">
        <f>IFERROR(VLOOKUP(A3058,'Base Prueba'!A:D,4,),"NO REGISTRA")</f>
        <v>LIDER CALL CENTER</v>
      </c>
      <c r="E3058" s="5" t="str">
        <f>IFERROR(VLOOKUP(A3058,'Base Prueba'!A:E,5,),"NO REGISTRA")</f>
        <v>OFICINA DE MERCADEO</v>
      </c>
    </row>
    <row r="3059" spans="1:5" ht="15.75" x14ac:dyDescent="0.25">
      <c r="A3059" s="10">
        <v>6</v>
      </c>
      <c r="B3059" s="2">
        <v>46079.373239814813</v>
      </c>
      <c r="C3059" s="3" t="str">
        <f>IFERROR(VLOOKUP(A3059,'Base Prueba'!A:C,3,),"NO REGISTRA")</f>
        <v>NO REGISTRA</v>
      </c>
      <c r="D3059" s="4" t="str">
        <f>IFERROR(VLOOKUP(A3059,'Base Prueba'!A:D,4,),"NO REGISTRA")</f>
        <v>NO REGISTRA</v>
      </c>
      <c r="E3059" s="5" t="str">
        <f>IFERROR(VLOOKUP(A3059,'Base Prueba'!A:E,5,),"NO REGISTRA")</f>
        <v>NO REGISTRA</v>
      </c>
    </row>
    <row r="3060" spans="1:5" ht="15.75" x14ac:dyDescent="0.25">
      <c r="A3060" s="10">
        <v>1003690253</v>
      </c>
      <c r="B3060" s="2">
        <v>46079.374177083337</v>
      </c>
      <c r="C3060" s="3" t="str">
        <f>IFERROR(VLOOKUP(A3060,'Base Prueba'!A:C,3,),"NO REGISTRA")</f>
        <v>MELISSA GONZALEZ PEDRAZA</v>
      </c>
      <c r="D3060" s="4" t="str">
        <f>IFERROR(VLOOKUP(A3060,'Base Prueba'!A:D,4,),"NO REGISTRA")</f>
        <v>LIDER DE JOVENES A LA E</v>
      </c>
      <c r="E3060" s="5" t="str">
        <f>IFERROR(VLOOKUP(A3060,'Base Prueba'!A:E,5,),"NO REGISTRA")</f>
        <v>DIRECCION DE BIENESTAR INSTITUCIONAL</v>
      </c>
    </row>
    <row r="3061" spans="1:5" ht="15.75" x14ac:dyDescent="0.25">
      <c r="A3061" s="10">
        <v>1016090131</v>
      </c>
      <c r="B3061" s="2">
        <v>46079.374674421299</v>
      </c>
      <c r="C3061" s="3" t="str">
        <f>IFERROR(VLOOKUP(A3061,'Base Prueba'!A:C,3,),"NO REGISTRA")</f>
        <v>NICOLAS RODRIGUEZ PACHECO</v>
      </c>
      <c r="D3061" s="4" t="str">
        <f>IFERROR(VLOOKUP(A3061,'Base Prueba'!A:D,4,),"NO REGISTRA")</f>
        <v>COORDINADOR DE COMUNICACIONES</v>
      </c>
      <c r="E3061" s="5" t="str">
        <f>IFERROR(VLOOKUP(A3061,'Base Prueba'!A:E,5,),"NO REGISTRA")</f>
        <v>OFICINA DE MERCADEO</v>
      </c>
    </row>
    <row r="3062" spans="1:5" ht="15.75" x14ac:dyDescent="0.25">
      <c r="A3062" s="10">
        <v>1193265768</v>
      </c>
      <c r="B3062" s="2">
        <v>46079.374749537033</v>
      </c>
      <c r="C3062" s="3" t="str">
        <f>IFERROR(VLOOKUP(A3062,'Base Prueba'!A:C,3,),"NO REGISTRA")</f>
        <v>SANTIAGO OSORIO CAMACHO</v>
      </c>
      <c r="D3062" s="4" t="str">
        <f>IFERROR(VLOOKUP(A3062,'Base Prueba'!A:D,4,),"NO REGISTRA")</f>
        <v>ANALISTA DE PAUTA</v>
      </c>
      <c r="E3062" s="5" t="str">
        <f>IFERROR(VLOOKUP(A3062,'Base Prueba'!A:E,5,),"NO REGISTRA")</f>
        <v>OFICINA DE MERCADEO</v>
      </c>
    </row>
    <row r="3063" spans="1:5" ht="15.75" x14ac:dyDescent="0.25">
      <c r="A3063" s="10">
        <v>28798349</v>
      </c>
      <c r="B3063" s="2">
        <v>46079.37602974537</v>
      </c>
      <c r="C3063" s="3" t="str">
        <f>IFERROR(VLOOKUP(A3063,'Base Prueba'!A:C,3,),"NO REGISTRA")</f>
        <v>MARTHA ISABEL TOVAR WILLIAMS</v>
      </c>
      <c r="D3063" s="4" t="str">
        <f>IFERROR(VLOOKUP(A3063,'Base Prueba'!A:D,4,),"NO REGISTRA")</f>
        <v>PROMOTOR CALL CENTER</v>
      </c>
      <c r="E3063" s="5" t="str">
        <f>IFERROR(VLOOKUP(A3063,'Base Prueba'!A:E,5,),"NO REGISTRA")</f>
        <v>OFICINA DE MERCADEO</v>
      </c>
    </row>
    <row r="3064" spans="1:5" ht="15.75" x14ac:dyDescent="0.25">
      <c r="A3064" s="10">
        <v>52175674</v>
      </c>
      <c r="B3064" s="2">
        <v>46079.376096412037</v>
      </c>
      <c r="C3064" s="3" t="str">
        <f>IFERROR(VLOOKUP(A3064,'Base Prueba'!A:C,3,),"NO REGISTRA")</f>
        <v>LUZ YANETH GOMEZ AREVALO</v>
      </c>
      <c r="D3064" s="4" t="str">
        <f>IFERROR(VLOOKUP(A3064,'Base Prueba'!A:D,4,),"NO REGISTRA")</f>
        <v>COORDINADORA DE ADMISIONES</v>
      </c>
      <c r="E3064" s="5" t="str">
        <f>IFERROR(VLOOKUP(A3064,'Base Prueba'!A:E,5,),"NO REGISTRA")</f>
        <v>OFICINA DE MERCADEO</v>
      </c>
    </row>
    <row r="3065" spans="1:5" ht="15.75" x14ac:dyDescent="0.25">
      <c r="A3065" s="10">
        <v>53089882</v>
      </c>
      <c r="B3065" s="2">
        <v>46079.377238078705</v>
      </c>
      <c r="C3065" s="3" t="str">
        <f>IFERROR(VLOOKUP(A3065,'Base Prueba'!A:C,3,),"NO REGISTRA")</f>
        <v>MARIA JOHANA ESCAMILLA MARTINEZ</v>
      </c>
      <c r="D3065" s="4" t="str">
        <f>IFERROR(VLOOKUP(A3065,'Base Prueba'!A:D,4,),"NO REGISTRA")</f>
        <v>PROMOTOR DE INFORMACIÓN</v>
      </c>
      <c r="E3065" s="5" t="str">
        <f>IFERROR(VLOOKUP(A3065,'Base Prueba'!A:E,5,),"NO REGISTRA")</f>
        <v>OFICINA DE MERCADEO</v>
      </c>
    </row>
    <row r="3066" spans="1:5" ht="15.75" x14ac:dyDescent="0.25">
      <c r="A3066" s="10">
        <v>1018414290</v>
      </c>
      <c r="B3066" s="2">
        <v>46079.380876388888</v>
      </c>
      <c r="C3066" s="3" t="str">
        <f>IFERROR(VLOOKUP(A3066,'Base Prueba'!A:C,3,),"NO REGISTRA")</f>
        <v>AMANDA LISBETH RODRIGUEZ LEON</v>
      </c>
      <c r="D3066" s="4" t="str">
        <f>IFERROR(VLOOKUP(A3066,'Base Prueba'!A:D,4,),"NO REGISTRA")</f>
        <v>PROMOTOR CALL CENTER</v>
      </c>
      <c r="E3066" s="5" t="str">
        <f>IFERROR(VLOOKUP(A3066,'Base Prueba'!A:E,5,),"NO REGISTRA")</f>
        <v>OFICINA DE MERCADEO</v>
      </c>
    </row>
    <row r="3067" spans="1:5" ht="15.75" x14ac:dyDescent="0.25">
      <c r="A3067" s="10">
        <v>1023961952</v>
      </c>
      <c r="B3067" s="2">
        <v>46079.384644212965</v>
      </c>
      <c r="C3067" s="3" t="str">
        <f>IFERROR(VLOOKUP(A3067,'Base Prueba'!A:C,3,),"NO REGISTRA")</f>
        <v>ALEJANDRO PINZON MERCHAN</v>
      </c>
      <c r="D3067" s="4" t="str">
        <f>IFERROR(VLOOKUP(A3067,'Base Prueba'!A:D,4,),"NO REGISTRA")</f>
        <v>PROMOTOR CALL CENTER</v>
      </c>
      <c r="E3067" s="5" t="str">
        <f>IFERROR(VLOOKUP(A3067,'Base Prueba'!A:E,5,),"NO REGISTRA")</f>
        <v>OFICINA DE MERCADEO</v>
      </c>
    </row>
    <row r="3068" spans="1:5" ht="15.75" x14ac:dyDescent="0.25">
      <c r="A3068" s="10">
        <v>52764929</v>
      </c>
      <c r="B3068" s="2">
        <v>46079.389118287036</v>
      </c>
      <c r="C3068" s="3" t="str">
        <f>IFERROR(VLOOKUP(A3068,'Base Prueba'!A:C,3,),"NO REGISTRA")</f>
        <v>GUERLY YOHANA DURAN RIVERA</v>
      </c>
      <c r="D3068" s="4" t="str">
        <f>IFERROR(VLOOKUP(A3068,'Base Prueba'!A:D,4,),"NO REGISTRA")</f>
        <v>LIDER DE VINCULACION COLEGIOS</v>
      </c>
      <c r="E3068" s="5" t="str">
        <f>IFERROR(VLOOKUP(A3068,'Base Prueba'!A:E,5,),"NO REGISTRA")</f>
        <v>OFICINA DE MERCADEO</v>
      </c>
    </row>
    <row r="3069" spans="1:5" ht="15.75" x14ac:dyDescent="0.25">
      <c r="A3069" s="10">
        <v>1000604979</v>
      </c>
      <c r="B3069" s="2">
        <v>46079.391225231484</v>
      </c>
      <c r="C3069" s="3" t="str">
        <f>IFERROR(VLOOKUP(A3069,'Base Prueba'!A:C,3,),"NO REGISTRA")</f>
        <v>JULIETH TATIANA PARDO PINTO</v>
      </c>
      <c r="D3069" s="4" t="str">
        <f>IFERROR(VLOOKUP(A3069,'Base Prueba'!A:D,4,),"NO REGISTRA")</f>
        <v>AUXILIAR JURIDICO</v>
      </c>
      <c r="E3069" s="5" t="str">
        <f>IFERROR(VLOOKUP(A3069,'Base Prueba'!A:E,5,),"NO REGISTRA")</f>
        <v>SECRETARIA GENERAL</v>
      </c>
    </row>
    <row r="3070" spans="1:5" ht="15.75" x14ac:dyDescent="0.25">
      <c r="A3070" s="10">
        <v>1018414290</v>
      </c>
      <c r="B3070" s="2">
        <v>46079.442595949076</v>
      </c>
      <c r="C3070" s="3" t="str">
        <f>IFERROR(VLOOKUP(A3070,'Base Prueba'!A:C,3,),"NO REGISTRA")</f>
        <v>AMANDA LISBETH RODRIGUEZ LEON</v>
      </c>
      <c r="D3070" s="4" t="str">
        <f>IFERROR(VLOOKUP(A3070,'Base Prueba'!A:D,4,),"NO REGISTRA")</f>
        <v>PROMOTOR CALL CENTER</v>
      </c>
      <c r="E3070" s="5" t="str">
        <f>IFERROR(VLOOKUP(A3070,'Base Prueba'!A:E,5,),"NO REGISTRA")</f>
        <v>OFICINA DE MERCADEO</v>
      </c>
    </row>
    <row r="3071" spans="1:5" ht="15.75" x14ac:dyDescent="0.25">
      <c r="A3071" s="10">
        <v>52443092</v>
      </c>
      <c r="B3071" s="2">
        <v>46079.497114814818</v>
      </c>
      <c r="C3071" s="3" t="str">
        <f>IFERROR(VLOOKUP(A3071,'Base Prueba'!A:C,3,),"NO REGISTRA")</f>
        <v>LUZ MYRIAM SAAVEDRA CONTRERAS</v>
      </c>
      <c r="D3071" s="4" t="str">
        <f>IFERROR(VLOOKUP(A3071,'Base Prueba'!A:D,4,),"NO REGISTRA")</f>
        <v>AUXILIAR DE SERVICIOS</v>
      </c>
      <c r="E3071" s="5" t="str">
        <f>IFERROR(VLOOKUP(A3071,'Base Prueba'!A:E,5,),"NO REGISTRA")</f>
        <v>LOGISTICA Y SERVICIOS GENERALES</v>
      </c>
    </row>
    <row r="3072" spans="1:5" ht="15.75" x14ac:dyDescent="0.25">
      <c r="A3072" s="10">
        <v>79872151</v>
      </c>
      <c r="B3072" s="2">
        <v>46079.675518865741</v>
      </c>
      <c r="C3072" s="3" t="str">
        <f>IFERROR(VLOOKUP(A3072,'Base Prueba'!A:C,3,),"NO REGISTRA")</f>
        <v>HECTOR ALIRIO MARTINEZ TORRES</v>
      </c>
      <c r="D3072" s="4" t="str">
        <f>IFERROR(VLOOKUP(A3072,'Base Prueba'!A:D,4,),"NO REGISTRA")</f>
        <v>DOCENTE DE TIEMPO COMPLETO</v>
      </c>
      <c r="E3072" s="5" t="str">
        <f>IFERROR(VLOOKUP(A3072,'Base Prueba'!A:E,5,),"NO REGISTRA")</f>
        <v>CIENCIAS DE LA INFORMACION Y BIBLIOTECOLOGIA</v>
      </c>
    </row>
    <row r="3073" spans="1:5" ht="15.75" x14ac:dyDescent="0.25">
      <c r="A3073" s="10">
        <v>1031802160</v>
      </c>
      <c r="B3073" s="2">
        <v>46079.707037962966</v>
      </c>
      <c r="C3073" s="3" t="str">
        <f>IFERROR(VLOOKUP(A3073,'Base Prueba'!A:C,3,),"NO REGISTRA")</f>
        <v>LUISA MARIA MAHECHA SOTOMAYOR</v>
      </c>
      <c r="D3073" s="4" t="str">
        <f>IFERROR(VLOOKUP(A3073,'Base Prueba'!A:D,4,),"NO REGISTRA")</f>
        <v>APRENDIZ UNIVERSITARIO</v>
      </c>
      <c r="E3073" s="5" t="str">
        <f>IFERROR(VLOOKUP(A3073,'Base Prueba'!A:E,5,),"NO REGISTRA")</f>
        <v>OFICINA DE MERCADEO</v>
      </c>
    </row>
    <row r="3074" spans="1:5" ht="15.75" x14ac:dyDescent="0.25">
      <c r="A3074" s="10">
        <v>71</v>
      </c>
      <c r="B3074" s="2">
        <v>46079.713764583335</v>
      </c>
      <c r="C3074" s="3" t="str">
        <f>IFERROR(VLOOKUP(A3074,'Base Prueba'!A:C,3,),"NO REGISTRA")</f>
        <v>NO REGISTRA</v>
      </c>
      <c r="D3074" s="4" t="str">
        <f>IFERROR(VLOOKUP(A3074,'Base Prueba'!A:D,4,),"NO REGISTRA")</f>
        <v>NO REGISTRA</v>
      </c>
      <c r="E3074" s="5" t="str">
        <f>IFERROR(VLOOKUP(A3074,'Base Prueba'!A:E,5,),"NO REGISTRA")</f>
        <v>NO REGISTRA</v>
      </c>
    </row>
    <row r="3075" spans="1:5" ht="15.75" x14ac:dyDescent="0.25">
      <c r="A3075" s="10">
        <v>1000687931</v>
      </c>
      <c r="B3075" s="2">
        <v>46079.714174421293</v>
      </c>
      <c r="C3075" s="3" t="str">
        <f>IFERROR(VLOOKUP(A3075,'Base Prueba'!A:C,3,),"NO REGISTRA")</f>
        <v>ANDRES FELIPE PUENTES TORRES</v>
      </c>
      <c r="D3075" s="4" t="str">
        <f>IFERROR(VLOOKUP(A3075,'Base Prueba'!A:D,4,),"NO REGISTRA")</f>
        <v>AUXILIAR ADMINISTRATIVO</v>
      </c>
      <c r="E3075" s="5" t="str">
        <f>IFERROR(VLOOKUP(A3075,'Base Prueba'!A:E,5,),"NO REGISTRA")</f>
        <v>REGISTRO Y CONTROL ACADEMICO</v>
      </c>
    </row>
    <row r="3076" spans="1:5" ht="15.75" x14ac:dyDescent="0.25">
      <c r="A3076" s="10">
        <v>52175674</v>
      </c>
      <c r="B3076" s="2">
        <v>46079.749725694448</v>
      </c>
      <c r="C3076" s="3" t="str">
        <f>IFERROR(VLOOKUP(A3076,'Base Prueba'!A:C,3,),"NO REGISTRA")</f>
        <v>LUZ YANETH GOMEZ AREVALO</v>
      </c>
      <c r="D3076" s="4" t="str">
        <f>IFERROR(VLOOKUP(A3076,'Base Prueba'!A:D,4,),"NO REGISTRA")</f>
        <v>COORDINADORA DE ADMISIONES</v>
      </c>
      <c r="E3076" s="5" t="str">
        <f>IFERROR(VLOOKUP(A3076,'Base Prueba'!A:E,5,),"NO REGISTRA")</f>
        <v>OFICINA DE MERCADEO</v>
      </c>
    </row>
    <row r="3077" spans="1:5" ht="15.75" x14ac:dyDescent="0.25">
      <c r="A3077" s="10">
        <v>1012426741</v>
      </c>
      <c r="B3077" s="2">
        <v>46079.750292013887</v>
      </c>
      <c r="C3077" s="3" t="str">
        <f>IFERROR(VLOOKUP(A3077,'Base Prueba'!A:C,3,),"NO REGISTRA")</f>
        <v>CRISTIAN FABIAN ROJAS SANCENO</v>
      </c>
      <c r="D3077" s="4" t="str">
        <f>IFERROR(VLOOKUP(A3077,'Base Prueba'!A:D,4,),"NO REGISTRA")</f>
        <v>AUXILIAR DE REINTEGROS</v>
      </c>
      <c r="E3077" s="5" t="str">
        <f>IFERROR(VLOOKUP(A3077,'Base Prueba'!A:E,5,),"NO REGISTRA")</f>
        <v>DIRECCION DE BIENESTAR INSTITUCIONAL</v>
      </c>
    </row>
    <row r="3078" spans="1:5" ht="15.75" x14ac:dyDescent="0.25">
      <c r="A3078" s="10">
        <v>1000467399</v>
      </c>
      <c r="B3078" s="2">
        <v>46079.751729629628</v>
      </c>
      <c r="C3078" s="3" t="str">
        <f>IFERROR(VLOOKUP(A3078,'Base Prueba'!A:C,3,),"NO REGISTRA")</f>
        <v>BRANDO ESTIVEN DIAZ QUIMBAYA</v>
      </c>
      <c r="D3078" s="4" t="str">
        <f>IFERROR(VLOOKUP(A3078,'Base Prueba'!A:D,4,),"NO REGISTRA")</f>
        <v>APRENDIZ UNIVERSITARIO</v>
      </c>
      <c r="E3078" s="5" t="str">
        <f>IFERROR(VLOOKUP(A3078,'Base Prueba'!A:E,5,),"NO REGISTRA")</f>
        <v>DEPARTAMENTO DE GESTION HUMANA</v>
      </c>
    </row>
    <row r="3079" spans="1:5" ht="15.75" x14ac:dyDescent="0.25">
      <c r="A3079" s="10">
        <v>1049644802</v>
      </c>
      <c r="B3079" s="2">
        <v>46079.752495138891</v>
      </c>
      <c r="C3079" s="3" t="str">
        <f>IFERROR(VLOOKUP(A3079,'Base Prueba'!A:C,3,),"NO REGISTRA")</f>
        <v>DANIELA ALEXANDRA CIPAMOCHA BOSIGA</v>
      </c>
      <c r="D3079" s="4" t="str">
        <f>IFERROR(VLOOKUP(A3079,'Base Prueba'!A:D,4,),"NO REGISTRA")</f>
        <v>LIDER DE DATOS Y SERVICIOS</v>
      </c>
      <c r="E3079" s="5" t="str">
        <f>IFERROR(VLOOKUP(A3079,'Base Prueba'!A:E,5,),"NO REGISTRA")</f>
        <v>OFICINA DE PLANEACION Y GESTION DE LA CALIDAD</v>
      </c>
    </row>
    <row r="3080" spans="1:5" ht="15.75" x14ac:dyDescent="0.25">
      <c r="A3080" s="10">
        <v>1026599257</v>
      </c>
      <c r="B3080" s="2">
        <v>46079.752774884262</v>
      </c>
      <c r="C3080" s="3" t="str">
        <f>IFERROR(VLOOKUP(A3080,'Base Prueba'!A:C,3,),"NO REGISTRA")</f>
        <v>YESENIA PAOLA PINEDA HURTADO</v>
      </c>
      <c r="D3080" s="4" t="str">
        <f>IFERROR(VLOOKUP(A3080,'Base Prueba'!A:D,4,),"NO REGISTRA")</f>
        <v>LIDER DE COMPRAS</v>
      </c>
      <c r="E3080" s="5" t="str">
        <f>IFERROR(VLOOKUP(A3080,'Base Prueba'!A:E,5,),"NO REGISTRA")</f>
        <v>AREA ADMINISTRATIVA</v>
      </c>
    </row>
    <row r="3081" spans="1:5" ht="15.75" x14ac:dyDescent="0.25">
      <c r="A3081" s="10">
        <v>1014308296</v>
      </c>
      <c r="B3081" s="2">
        <v>46079.753044560188</v>
      </c>
      <c r="C3081" s="3" t="str">
        <f>IFERROR(VLOOKUP(A3081,'Base Prueba'!A:C,3,),"NO REGISTRA")</f>
        <v>DARLENE YULIANA MORENO CELEITA</v>
      </c>
      <c r="D3081" s="4" t="str">
        <f>IFERROR(VLOOKUP(A3081,'Base Prueba'!A:D,4,),"NO REGISTRA")</f>
        <v>CAJERO PRINCIPAL</v>
      </c>
      <c r="E3081" s="5" t="str">
        <f>IFERROR(VLOOKUP(A3081,'Base Prueba'!A:E,5,),"NO REGISTRA")</f>
        <v>AREA FINANCIERA Y CONTABLE</v>
      </c>
    </row>
    <row r="3082" spans="1:5" ht="15.75" x14ac:dyDescent="0.25">
      <c r="A3082" s="10">
        <v>1193457976</v>
      </c>
      <c r="B3082" s="2">
        <v>46079.754217824076</v>
      </c>
      <c r="C3082" s="3" t="str">
        <f>IFERROR(VLOOKUP(A3082,'Base Prueba'!A:C,3,),"NO REGISTRA")</f>
        <v>SEDENIS RIVAS ASPRILLA</v>
      </c>
      <c r="D3082" s="4" t="str">
        <f>IFERROR(VLOOKUP(A3082,'Base Prueba'!A:D,4,),"NO REGISTRA")</f>
        <v>APRENDIZ UNIVERSITARIO</v>
      </c>
      <c r="E3082" s="5" t="str">
        <f>IFERROR(VLOOKUP(A3082,'Base Prueba'!A:E,5,),"NO REGISTRA")</f>
        <v>DEPARTAMENTO DE GESTION HUMANA</v>
      </c>
    </row>
    <row r="3083" spans="1:5" ht="15.75" x14ac:dyDescent="0.25">
      <c r="A3083" s="10">
        <v>1033709056</v>
      </c>
      <c r="B3083" s="2">
        <v>46079.754395254633</v>
      </c>
      <c r="C3083" s="3" t="str">
        <f>IFERROR(VLOOKUP(A3083,'Base Prueba'!A:C,3,),"NO REGISTRA")</f>
        <v>YEIMY ALEXANDRA RODRIGUEZ PALACIO</v>
      </c>
      <c r="D3083" s="4" t="str">
        <f>IFERROR(VLOOKUP(A3083,'Base Prueba'!A:D,4,),"NO REGISTRA")</f>
        <v>PROMOTOR CALL CENTER</v>
      </c>
      <c r="E3083" s="5" t="str">
        <f>IFERROR(VLOOKUP(A3083,'Base Prueba'!A:E,5,),"NO REGISTRA")</f>
        <v>OFICINA DE MERCADEO</v>
      </c>
    </row>
    <row r="3084" spans="1:5" ht="15.75" x14ac:dyDescent="0.25">
      <c r="A3084" s="10">
        <v>1023883232</v>
      </c>
      <c r="B3084" s="2">
        <v>46079.754687499997</v>
      </c>
      <c r="C3084" s="3" t="str">
        <f>IFERROR(VLOOKUP(A3084,'Base Prueba'!A:C,3,),"NO REGISTRA")</f>
        <v>MONICA ANDREA ACERO URBANO</v>
      </c>
      <c r="D3084" s="4" t="str">
        <f>IFERROR(VLOOKUP(A3084,'Base Prueba'!A:D,4,),"NO REGISTRA")</f>
        <v>APOYO INTEGRAL A GESTION HUMANA</v>
      </c>
      <c r="E3084" s="5" t="str">
        <f>IFERROR(VLOOKUP(A3084,'Base Prueba'!A:E,5,),"NO REGISTRA")</f>
        <v>DEPARTAMENTO DE GESTION HUMANA</v>
      </c>
    </row>
    <row r="3085" spans="1:5" ht="15.75" x14ac:dyDescent="0.25">
      <c r="A3085" s="10">
        <v>1023961952</v>
      </c>
      <c r="B3085" s="2">
        <v>46079.755116319444</v>
      </c>
      <c r="C3085" s="3" t="str">
        <f>IFERROR(VLOOKUP(A3085,'Base Prueba'!A:C,3,),"NO REGISTRA")</f>
        <v>ALEJANDRO PINZON MERCHAN</v>
      </c>
      <c r="D3085" s="4" t="str">
        <f>IFERROR(VLOOKUP(A3085,'Base Prueba'!A:D,4,),"NO REGISTRA")</f>
        <v>PROMOTOR CALL CENTER</v>
      </c>
      <c r="E3085" s="5" t="str">
        <f>IFERROR(VLOOKUP(A3085,'Base Prueba'!A:E,5,),"NO REGISTRA")</f>
        <v>OFICINA DE MERCADEO</v>
      </c>
    </row>
    <row r="3086" spans="1:5" ht="15.75" x14ac:dyDescent="0.25">
      <c r="A3086" s="10">
        <v>1087121273</v>
      </c>
      <c r="B3086" s="2">
        <v>46079.755192013887</v>
      </c>
      <c r="C3086" s="3" t="str">
        <f>IFERROR(VLOOKUP(A3086,'Base Prueba'!A:C,3,),"NO REGISTRA")</f>
        <v>MAYRA ALEJANDRA CASTILLO ARBOLEDA</v>
      </c>
      <c r="D3086" s="4" t="str">
        <f>IFERROR(VLOOKUP(A3086,'Base Prueba'!A:D,4,),"NO REGISTRA")</f>
        <v>APOYO INTEGRAL DE MERCADEO</v>
      </c>
      <c r="E3086" s="5" t="str">
        <f>IFERROR(VLOOKUP(A3086,'Base Prueba'!A:E,5,),"NO REGISTRA")</f>
        <v>CENTRO DE GESTION DOCUMENTAL</v>
      </c>
    </row>
    <row r="3087" spans="1:5" ht="15.75" x14ac:dyDescent="0.25">
      <c r="A3087" s="10">
        <v>28798349</v>
      </c>
      <c r="B3087" s="2">
        <v>46079.75522835648</v>
      </c>
      <c r="C3087" s="3" t="str">
        <f>IFERROR(VLOOKUP(A3087,'Base Prueba'!A:C,3,),"NO REGISTRA")</f>
        <v>MARTHA ISABEL TOVAR WILLIAMS</v>
      </c>
      <c r="D3087" s="4" t="str">
        <f>IFERROR(VLOOKUP(A3087,'Base Prueba'!A:D,4,),"NO REGISTRA")</f>
        <v>PROMOTOR CALL CENTER</v>
      </c>
      <c r="E3087" s="5" t="str">
        <f>IFERROR(VLOOKUP(A3087,'Base Prueba'!A:E,5,),"NO REGISTRA")</f>
        <v>OFICINA DE MERCADEO</v>
      </c>
    </row>
    <row r="3088" spans="1:5" ht="15.75" x14ac:dyDescent="0.25">
      <c r="A3088" s="10">
        <v>1003690253</v>
      </c>
      <c r="B3088" s="2">
        <v>46079.755303819446</v>
      </c>
      <c r="C3088" s="3" t="str">
        <f>IFERROR(VLOOKUP(A3088,'Base Prueba'!A:C,3,),"NO REGISTRA")</f>
        <v>MELISSA GONZALEZ PEDRAZA</v>
      </c>
      <c r="D3088" s="4" t="str">
        <f>IFERROR(VLOOKUP(A3088,'Base Prueba'!A:D,4,),"NO REGISTRA")</f>
        <v>LIDER DE JOVENES A LA E</v>
      </c>
      <c r="E3088" s="5" t="str">
        <f>IFERROR(VLOOKUP(A3088,'Base Prueba'!A:E,5,),"NO REGISTRA")</f>
        <v>DIRECCION DE BIENESTAR INSTITUCIONAL</v>
      </c>
    </row>
    <row r="3089" spans="1:5" ht="15.75" x14ac:dyDescent="0.25">
      <c r="A3089" s="10">
        <v>52472386</v>
      </c>
      <c r="B3089" s="2">
        <v>46079.755692592589</v>
      </c>
      <c r="C3089" s="3" t="str">
        <f>IFERROR(VLOOKUP(A3089,'Base Prueba'!A:C,3,),"NO REGISTRA")</f>
        <v>ADRIANA MARCELA MORALES PARDO</v>
      </c>
      <c r="D3089" s="4" t="str">
        <f>IFERROR(VLOOKUP(A3089,'Base Prueba'!A:D,4,),"NO REGISTRA")</f>
        <v>PROMOTOR CALL CENTER</v>
      </c>
      <c r="E3089" s="5" t="str">
        <f>IFERROR(VLOOKUP(A3089,'Base Prueba'!A:E,5,),"NO REGISTRA")</f>
        <v>OFICINA DE MERCADEO</v>
      </c>
    </row>
    <row r="3090" spans="1:5" ht="15.75" x14ac:dyDescent="0.25">
      <c r="A3090" s="10">
        <v>1000046533</v>
      </c>
      <c r="B3090" s="2">
        <v>46079.755866203704</v>
      </c>
      <c r="C3090" s="3" t="str">
        <f>IFERROR(VLOOKUP(A3090,'Base Prueba'!A:C,3,),"NO REGISTRA")</f>
        <v>ERIKA JULIETH VALDERRAMA SANCHEZ</v>
      </c>
      <c r="D3090" s="4" t="str">
        <f>IFERROR(VLOOKUP(A3090,'Base Prueba'!A:D,4,),"NO REGISTRA")</f>
        <v>PROMOTOR CALL CENTER</v>
      </c>
      <c r="E3090" s="5" t="str">
        <f>IFERROR(VLOOKUP(A3090,'Base Prueba'!A:E,5,),"NO REGISTRA")</f>
        <v>OFICINA DE MERCADEO</v>
      </c>
    </row>
    <row r="3091" spans="1:5" ht="15.75" x14ac:dyDescent="0.25">
      <c r="A3091" s="10">
        <v>1000324729</v>
      </c>
      <c r="B3091" s="2">
        <v>46079.757829629627</v>
      </c>
      <c r="C3091" s="3" t="str">
        <f>IFERROR(VLOOKUP(A3091,'Base Prueba'!A:C,3,),"NO REGISTRA")</f>
        <v>ANYIE VANESSA TINOCO CAMACHO</v>
      </c>
      <c r="D3091" s="4" t="str">
        <f>IFERROR(VLOOKUP(A3091,'Base Prueba'!A:D,4,),"NO REGISTRA")</f>
        <v>LIDER DE REGISTRO Y CONTROL</v>
      </c>
      <c r="E3091" s="5" t="str">
        <f>IFERROR(VLOOKUP(A3091,'Base Prueba'!A:E,5,),"NO REGISTRA")</f>
        <v>REGISTRO Y CONTROL ACADEMICO</v>
      </c>
    </row>
    <row r="3092" spans="1:5" ht="15.75" x14ac:dyDescent="0.25">
      <c r="A3092" s="10">
        <v>1016090131</v>
      </c>
      <c r="B3092" s="2">
        <v>46079.759287499997</v>
      </c>
      <c r="C3092" s="3" t="str">
        <f>IFERROR(VLOOKUP(A3092,'Base Prueba'!A:C,3,),"NO REGISTRA")</f>
        <v>NICOLAS RODRIGUEZ PACHECO</v>
      </c>
      <c r="D3092" s="4" t="str">
        <f>IFERROR(VLOOKUP(A3092,'Base Prueba'!A:D,4,),"NO REGISTRA")</f>
        <v>COORDINADOR DE COMUNICACIONES</v>
      </c>
      <c r="E3092" s="5" t="str">
        <f>IFERROR(VLOOKUP(A3092,'Base Prueba'!A:E,5,),"NO REGISTRA")</f>
        <v>OFICINA DE MERCADEO</v>
      </c>
    </row>
    <row r="3093" spans="1:5" ht="15.75" x14ac:dyDescent="0.25">
      <c r="A3093" s="10">
        <v>1000161811</v>
      </c>
      <c r="B3093" s="2">
        <v>46079.759490972225</v>
      </c>
      <c r="C3093" s="3" t="str">
        <f>IFERROR(VLOOKUP(A3093,'Base Prueba'!A:C,3,),"NO REGISTRA")</f>
        <v>DIEGO ANDRES VARON ROZO</v>
      </c>
      <c r="D3093" s="4" t="str">
        <f>IFERROR(VLOOKUP(A3093,'Base Prueba'!A:D,4,),"NO REGISTRA")</f>
        <v>APRENDIZ UNIVERSITARIO</v>
      </c>
      <c r="E3093" s="5" t="str">
        <f>IFERROR(VLOOKUP(A3093,'Base Prueba'!A:E,5,),"NO REGISTRA")</f>
        <v>OFICINA DE MERCADEO</v>
      </c>
    </row>
    <row r="3094" spans="1:5" ht="15.75" x14ac:dyDescent="0.25">
      <c r="A3094" s="10">
        <v>1000604979</v>
      </c>
      <c r="B3094" s="2">
        <v>46079.759775925922</v>
      </c>
      <c r="C3094" s="3" t="str">
        <f>IFERROR(VLOOKUP(A3094,'Base Prueba'!A:C,3,),"NO REGISTRA")</f>
        <v>JULIETH TATIANA PARDO PINTO</v>
      </c>
      <c r="D3094" s="4" t="str">
        <f>IFERROR(VLOOKUP(A3094,'Base Prueba'!A:D,4,),"NO REGISTRA")</f>
        <v>AUXILIAR JURIDICO</v>
      </c>
      <c r="E3094" s="5" t="str">
        <f>IFERROR(VLOOKUP(A3094,'Base Prueba'!A:E,5,),"NO REGISTRA")</f>
        <v>SECRETARIA GENERAL</v>
      </c>
    </row>
    <row r="3095" spans="1:5" ht="15.75" x14ac:dyDescent="0.25">
      <c r="A3095" s="10">
        <v>1000593372</v>
      </c>
      <c r="B3095" s="2">
        <v>46079.759809606483</v>
      </c>
      <c r="C3095" s="3" t="str">
        <f>IFERROR(VLOOKUP(A3095,'Base Prueba'!A:C,3,),"NO REGISTRA")</f>
        <v>LAURA SOFIA CHAPARRO LOPEZ</v>
      </c>
      <c r="D3095" s="4" t="str">
        <f>IFERROR(VLOOKUP(A3095,'Base Prueba'!A:D,4,),"NO REGISTRA")</f>
        <v>AUXILIAR JURIDICO</v>
      </c>
      <c r="E3095" s="5" t="str">
        <f>IFERROR(VLOOKUP(A3095,'Base Prueba'!A:E,5,),"NO REGISTRA")</f>
        <v>SECRETARIA GENERAL</v>
      </c>
    </row>
    <row r="3096" spans="1:5" ht="15.75" x14ac:dyDescent="0.25">
      <c r="A3096" s="10">
        <v>1012357415</v>
      </c>
      <c r="B3096" s="2">
        <v>46079.760717013887</v>
      </c>
      <c r="C3096" s="3" t="str">
        <f>IFERROR(VLOOKUP(A3096,'Base Prueba'!A:C,3,),"NO REGISTRA")</f>
        <v>CINDY LORENA BOHORQUEZ LEYVA</v>
      </c>
      <c r="D3096" s="4" t="str">
        <f>IFERROR(VLOOKUP(A3096,'Base Prueba'!A:D,4,),"NO REGISTRA")</f>
        <v>ANALISTA DE TESORERIA</v>
      </c>
      <c r="E3096" s="5" t="str">
        <f>IFERROR(VLOOKUP(A3096,'Base Prueba'!A:E,5,),"NO REGISTRA")</f>
        <v>AREA FINANCIERA Y CONTABLE</v>
      </c>
    </row>
    <row r="3097" spans="1:5" ht="15.75" x14ac:dyDescent="0.25">
      <c r="A3097" s="10">
        <v>1193265768</v>
      </c>
      <c r="B3097" s="2">
        <v>46079.761158796297</v>
      </c>
      <c r="C3097" s="3" t="str">
        <f>IFERROR(VLOOKUP(A3097,'Base Prueba'!A:C,3,),"NO REGISTRA")</f>
        <v>SANTIAGO OSORIO CAMACHO</v>
      </c>
      <c r="D3097" s="4" t="str">
        <f>IFERROR(VLOOKUP(A3097,'Base Prueba'!A:D,4,),"NO REGISTRA")</f>
        <v>ANALISTA DE PAUTA</v>
      </c>
      <c r="E3097" s="5" t="str">
        <f>IFERROR(VLOOKUP(A3097,'Base Prueba'!A:E,5,),"NO REGISTRA")</f>
        <v>OFICINA DE MERCADEO</v>
      </c>
    </row>
    <row r="3098" spans="1:5" ht="15.75" x14ac:dyDescent="0.25">
      <c r="A3098" s="10">
        <v>80238161</v>
      </c>
      <c r="B3098" s="2">
        <v>46079.762778703705</v>
      </c>
      <c r="C3098" s="3" t="str">
        <f>IFERROR(VLOOKUP(A3098,'Base Prueba'!A:C,3,),"NO REGISTRA")</f>
        <v>GERMAN CARRANZA ESPITIA</v>
      </c>
      <c r="D3098" s="4" t="str">
        <f>IFERROR(VLOOKUP(A3098,'Base Prueba'!A:D,4,),"NO REGISTRA")</f>
        <v>TESORERO</v>
      </c>
      <c r="E3098" s="5" t="str">
        <f>IFERROR(VLOOKUP(A3098,'Base Prueba'!A:E,5,),"NO REGISTRA")</f>
        <v>AREA FINANCIERA Y CONTABLE</v>
      </c>
    </row>
    <row r="3099" spans="1:5" ht="15.75" x14ac:dyDescent="0.25">
      <c r="A3099" s="10">
        <v>1032407386</v>
      </c>
      <c r="B3099" s="2">
        <v>46079.763413657405</v>
      </c>
      <c r="C3099" s="3" t="str">
        <f>IFERROR(VLOOKUP(A3099,'Base Prueba'!A:C,3,),"NO REGISTRA")</f>
        <v>GINA PAOLA BAEZ GALVIS</v>
      </c>
      <c r="D3099" s="4" t="str">
        <f>IFERROR(VLOOKUP(A3099,'Base Prueba'!A:D,4,),"NO REGISTRA")</f>
        <v>PROMOTOR CALL CENTER</v>
      </c>
      <c r="E3099" s="5" t="str">
        <f>IFERROR(VLOOKUP(A3099,'Base Prueba'!A:E,5,),"NO REGISTRA")</f>
        <v>OFICINA DE MERCADEO</v>
      </c>
    </row>
    <row r="3100" spans="1:5" ht="15.75" x14ac:dyDescent="0.25">
      <c r="A3100" s="10">
        <v>53089882</v>
      </c>
      <c r="B3100" s="2">
        <v>46079.763491203703</v>
      </c>
      <c r="C3100" s="3" t="str">
        <f>IFERROR(VLOOKUP(A3100,'Base Prueba'!A:C,3,),"NO REGISTRA")</f>
        <v>MARIA JOHANA ESCAMILLA MARTINEZ</v>
      </c>
      <c r="D3100" s="4" t="str">
        <f>IFERROR(VLOOKUP(A3100,'Base Prueba'!A:D,4,),"NO REGISTRA")</f>
        <v>PROMOTOR DE INFORMACIÓN</v>
      </c>
      <c r="E3100" s="5" t="str">
        <f>IFERROR(VLOOKUP(A3100,'Base Prueba'!A:E,5,),"NO REGISTRA")</f>
        <v>OFICINA DE MERCADEO</v>
      </c>
    </row>
    <row r="3101" spans="1:5" ht="15.75" x14ac:dyDescent="0.25">
      <c r="A3101" s="10">
        <v>52764929</v>
      </c>
      <c r="B3101" s="2">
        <v>46079.765262962967</v>
      </c>
      <c r="C3101" s="3" t="str">
        <f>IFERROR(VLOOKUP(A3101,'Base Prueba'!A:C,3,),"NO REGISTRA")</f>
        <v>GUERLY YOHANA DURAN RIVERA</v>
      </c>
      <c r="D3101" s="4" t="str">
        <f>IFERROR(VLOOKUP(A3101,'Base Prueba'!A:D,4,),"NO REGISTRA")</f>
        <v>LIDER DE VINCULACION COLEGIOS</v>
      </c>
      <c r="E3101" s="5" t="str">
        <f>IFERROR(VLOOKUP(A3101,'Base Prueba'!A:E,5,),"NO REGISTRA")</f>
        <v>OFICINA DE MERCADEO</v>
      </c>
    </row>
    <row r="3102" spans="1:5" ht="15.75" x14ac:dyDescent="0.25">
      <c r="A3102" s="10">
        <v>1000257136</v>
      </c>
      <c r="B3102" s="2">
        <v>46079.76580439815</v>
      </c>
      <c r="C3102" s="3" t="str">
        <f>IFERROR(VLOOKUP(A3102,'Base Prueba'!A:C,3,),"NO REGISTRA")</f>
        <v>FRANCI VALENTINA CANO PUENTES</v>
      </c>
      <c r="D3102" s="4" t="str">
        <f>IFERROR(VLOOKUP(A3102,'Base Prueba'!A:D,4,),"NO REGISTRA")</f>
        <v>AUXILIAR CONTABLE</v>
      </c>
      <c r="E3102" s="5" t="str">
        <f>IFERROR(VLOOKUP(A3102,'Base Prueba'!A:E,5,),"NO REGISTRA")</f>
        <v>AREA FINANCIERA Y CONTABLE</v>
      </c>
    </row>
    <row r="3103" spans="1:5" ht="15.75" x14ac:dyDescent="0.25">
      <c r="A3103" s="10">
        <v>1000457706</v>
      </c>
      <c r="B3103" s="2">
        <v>46079.765947106484</v>
      </c>
      <c r="C3103" s="3" t="str">
        <f>IFERROR(VLOOKUP(A3103,'Base Prueba'!A:C,3,),"NO REGISTRA")</f>
        <v>CRISTIAN DANILO ARROYO SANABRIA</v>
      </c>
      <c r="D3103" s="4" t="str">
        <f>IFERROR(VLOOKUP(A3103,'Base Prueba'!A:D,4,),"NO REGISTRA")</f>
        <v>AUXILIAR CONTABLE</v>
      </c>
      <c r="E3103" s="5" t="str">
        <f>IFERROR(VLOOKUP(A3103,'Base Prueba'!A:E,5,),"NO REGISTRA")</f>
        <v>AREA FINANCIERA Y CONTABLE</v>
      </c>
    </row>
    <row r="3104" spans="1:5" ht="15.75" x14ac:dyDescent="0.25">
      <c r="A3104" s="10">
        <v>80234243</v>
      </c>
      <c r="B3104" s="2">
        <v>46079.766864814817</v>
      </c>
      <c r="C3104" s="3" t="str">
        <f>IFERROR(VLOOKUP(A3104,'Base Prueba'!A:C,3,),"NO REGISTRA")</f>
        <v>ARGENIS MARTINEZ MARTINEZ</v>
      </c>
      <c r="D3104" s="4" t="str">
        <f>IFERROR(VLOOKUP(A3104,'Base Prueba'!A:D,4,),"NO REGISTRA")</f>
        <v>LIDER CALL CENTER</v>
      </c>
      <c r="E3104" s="5" t="str">
        <f>IFERROR(VLOOKUP(A3104,'Base Prueba'!A:E,5,),"NO REGISTRA")</f>
        <v>OFICINA DE MERCADEO</v>
      </c>
    </row>
    <row r="3105" spans="1:5" ht="15.75" x14ac:dyDescent="0.25">
      <c r="A3105" s="10">
        <v>1014977624</v>
      </c>
      <c r="B3105" s="2">
        <v>46079.767406712963</v>
      </c>
      <c r="C3105" s="3" t="str">
        <f>IFERROR(VLOOKUP(A3105,'Base Prueba'!A:C,3,),"NO REGISTRA")</f>
        <v>NICCOLE VALENTINA HERNANDEZ MALAVER</v>
      </c>
      <c r="D3105" s="4" t="str">
        <f>IFERROR(VLOOKUP(A3105,'Base Prueba'!A:D,4,),"NO REGISTRA")</f>
        <v>APRENDIZ UNIVERSITARIO</v>
      </c>
      <c r="E3105" s="5" t="str">
        <f>IFERROR(VLOOKUP(A3105,'Base Prueba'!A:E,5,),"NO REGISTRA")</f>
        <v>AREA FINANCIERA Y CONTABLE</v>
      </c>
    </row>
    <row r="3106" spans="1:5" ht="15.75" x14ac:dyDescent="0.25">
      <c r="A3106" s="10">
        <v>1013616244</v>
      </c>
      <c r="B3106" s="2">
        <v>46079.782987152779</v>
      </c>
      <c r="C3106" s="3" t="str">
        <f>IFERROR(VLOOKUP(A3106,'Base Prueba'!A:C,3,),"NO REGISTRA")</f>
        <v>DIANA CAROLINA MARIN BETANCOURT</v>
      </c>
      <c r="D3106" s="4" t="str">
        <f>IFERROR(VLOOKUP(A3106,'Base Prueba'!A:D,4,),"NO REGISTRA")</f>
        <v>AUXILIAR ADMINISTRATIVO</v>
      </c>
      <c r="E3106" s="5" t="str">
        <f>IFERROR(VLOOKUP(A3106,'Base Prueba'!A:E,5,),"NO REGISTRA")</f>
        <v>REGISTRO Y CONTROL ACADEMICO</v>
      </c>
    </row>
    <row r="3107" spans="1:5" ht="15.75" x14ac:dyDescent="0.25">
      <c r="A3107" s="10">
        <v>52443092</v>
      </c>
      <c r="B3107" s="2">
        <v>46079.790831365739</v>
      </c>
      <c r="C3107" s="3" t="str">
        <f>IFERROR(VLOOKUP(A3107,'Base Prueba'!A:C,3,),"NO REGISTRA")</f>
        <v>LUZ MYRIAM SAAVEDRA CONTRERAS</v>
      </c>
      <c r="D3107" s="4" t="str">
        <f>IFERROR(VLOOKUP(A3107,'Base Prueba'!A:D,4,),"NO REGISTRA")</f>
        <v>AUXILIAR DE SERVICIOS</v>
      </c>
      <c r="E3107" s="5" t="str">
        <f>IFERROR(VLOOKUP(A3107,'Base Prueba'!A:E,5,),"NO REGISTRA")</f>
        <v>LOGISTICA Y SERVICIOS GENERALES</v>
      </c>
    </row>
    <row r="3108" spans="1:5" ht="15.75" x14ac:dyDescent="0.25">
      <c r="A3108" s="10">
        <v>52474489</v>
      </c>
      <c r="B3108" s="2">
        <v>46079.804216435186</v>
      </c>
      <c r="C3108" s="3" t="str">
        <f>IFERROR(VLOOKUP(A3108,'Base Prueba'!A:C,3,),"NO REGISTRA")</f>
        <v>ADRIANA JIMENA SOTO BOCANEGRA</v>
      </c>
      <c r="D3108" s="4" t="str">
        <f>IFERROR(VLOOKUP(A3108,'Base Prueba'!A:D,4,),"NO REGISTRA")</f>
        <v>COORDINADOR DE LA OFICINA DE REGISTRO Y CONTROL</v>
      </c>
      <c r="E3108" s="5" t="str">
        <f>IFERROR(VLOOKUP(A3108,'Base Prueba'!A:E,5,),"NO REGISTRA")</f>
        <v>REGISTRO Y CONTROL ACADEMICO</v>
      </c>
    </row>
    <row r="3109" spans="1:5" ht="15.75" x14ac:dyDescent="0.25">
      <c r="A3109" s="10">
        <v>53932358</v>
      </c>
      <c r="B3109" s="2">
        <v>46079.872884490738</v>
      </c>
      <c r="C3109" s="3" t="str">
        <f>IFERROR(VLOOKUP(A3109,'Base Prueba'!A:C,3,),"NO REGISTRA")</f>
        <v>DIANA MADELEYNE GAONA RODRIGUEZ</v>
      </c>
      <c r="D3109" s="4" t="str">
        <f>IFERROR(VLOOKUP(A3109,'Base Prueba'!A:D,4,),"NO REGISTRA")</f>
        <v>CONTADOR</v>
      </c>
      <c r="E3109" s="5" t="str">
        <f>IFERROR(VLOOKUP(A3109,'Base Prueba'!A:E,5,),"NO REGISTRA")</f>
        <v>AREA FINANCIERA Y CONTABLE</v>
      </c>
    </row>
    <row r="3110" spans="1:5" ht="15.75" x14ac:dyDescent="0.25">
      <c r="A3110" s="10">
        <v>1087121273</v>
      </c>
      <c r="B3110" s="2">
        <v>46080.308475231483</v>
      </c>
      <c r="C3110" s="3" t="str">
        <f>IFERROR(VLOOKUP(A3110,'Base Prueba'!A:C,3,),"NO REGISTRA")</f>
        <v>MAYRA ALEJANDRA CASTILLO ARBOLEDA</v>
      </c>
      <c r="D3110" s="4" t="str">
        <f>IFERROR(VLOOKUP(A3110,'Base Prueba'!A:D,4,),"NO REGISTRA")</f>
        <v>APOYO INTEGRAL DE MERCADEO</v>
      </c>
      <c r="E3110" s="5" t="str">
        <f>IFERROR(VLOOKUP(A3110,'Base Prueba'!A:E,5,),"NO REGISTRA")</f>
        <v>CENTRO DE GESTION DOCUMENTAL</v>
      </c>
    </row>
    <row r="3111" spans="1:5" ht="15.75" x14ac:dyDescent="0.25">
      <c r="A3111" s="10">
        <v>1013616244</v>
      </c>
      <c r="B3111" s="2">
        <v>46080.318372569447</v>
      </c>
      <c r="C3111" s="3" t="str">
        <f>IFERROR(VLOOKUP(A3111,'Base Prueba'!A:C,3,),"NO REGISTRA")</f>
        <v>DIANA CAROLINA MARIN BETANCOURT</v>
      </c>
      <c r="D3111" s="4" t="str">
        <f>IFERROR(VLOOKUP(A3111,'Base Prueba'!A:D,4,),"NO REGISTRA")</f>
        <v>AUXILIAR ADMINISTRATIVO</v>
      </c>
      <c r="E3111" s="5" t="str">
        <f>IFERROR(VLOOKUP(A3111,'Base Prueba'!A:E,5,),"NO REGISTRA")</f>
        <v>REGISTRO Y CONTROL ACADEMICO</v>
      </c>
    </row>
    <row r="3112" spans="1:5" ht="15.75" x14ac:dyDescent="0.25">
      <c r="A3112" s="10">
        <v>1012357415</v>
      </c>
      <c r="B3112" s="2">
        <v>46080.329656712966</v>
      </c>
      <c r="C3112" s="3" t="str">
        <f>IFERROR(VLOOKUP(A3112,'Base Prueba'!A:C,3,),"NO REGISTRA")</f>
        <v>CINDY LORENA BOHORQUEZ LEYVA</v>
      </c>
      <c r="D3112" s="4" t="str">
        <f>IFERROR(VLOOKUP(A3112,'Base Prueba'!A:D,4,),"NO REGISTRA")</f>
        <v>ANALISTA DE TESORERIA</v>
      </c>
      <c r="E3112" s="5" t="str">
        <f>IFERROR(VLOOKUP(A3112,'Base Prueba'!A:E,5,),"NO REGISTRA")</f>
        <v>AREA FINANCIERA Y CONTABLE</v>
      </c>
    </row>
    <row r="3113" spans="1:5" ht="15.75" x14ac:dyDescent="0.25">
      <c r="A3113" s="10">
        <v>1000324729</v>
      </c>
      <c r="B3113" s="2">
        <v>46080.332038310182</v>
      </c>
      <c r="C3113" s="3" t="str">
        <f>IFERROR(VLOOKUP(A3113,'Base Prueba'!A:C,3,),"NO REGISTRA")</f>
        <v>ANYIE VANESSA TINOCO CAMACHO</v>
      </c>
      <c r="D3113" s="4" t="str">
        <f>IFERROR(VLOOKUP(A3113,'Base Prueba'!A:D,4,),"NO REGISTRA")</f>
        <v>LIDER DE REGISTRO Y CONTROL</v>
      </c>
      <c r="E3113" s="5" t="str">
        <f>IFERROR(VLOOKUP(A3113,'Base Prueba'!A:E,5,),"NO REGISTRA")</f>
        <v>REGISTRO Y CONTROL ACADEMICO</v>
      </c>
    </row>
    <row r="3114" spans="1:5" ht="15.75" x14ac:dyDescent="0.25">
      <c r="A3114" s="10">
        <v>1014308296</v>
      </c>
      <c r="B3114" s="2">
        <v>46080.332144097221</v>
      </c>
      <c r="C3114" s="3" t="str">
        <f>IFERROR(VLOOKUP(A3114,'Base Prueba'!A:C,3,),"NO REGISTRA")</f>
        <v>DARLENE YULIANA MORENO CELEITA</v>
      </c>
      <c r="D3114" s="4" t="str">
        <f>IFERROR(VLOOKUP(A3114,'Base Prueba'!A:D,4,),"NO REGISTRA")</f>
        <v>CAJERO PRINCIPAL</v>
      </c>
      <c r="E3114" s="5" t="str">
        <f>IFERROR(VLOOKUP(A3114,'Base Prueba'!A:E,5,),"NO REGISTRA")</f>
        <v>AREA FINANCIERA Y CONTABLE</v>
      </c>
    </row>
    <row r="3115" spans="1:5" ht="15.75" x14ac:dyDescent="0.25">
      <c r="A3115" s="10">
        <v>1031802160</v>
      </c>
      <c r="B3115" s="2">
        <v>46080.332192708331</v>
      </c>
      <c r="C3115" s="3" t="str">
        <f>IFERROR(VLOOKUP(A3115,'Base Prueba'!A:C,3,),"NO REGISTRA")</f>
        <v>LUISA MARIA MAHECHA SOTOMAYOR</v>
      </c>
      <c r="D3115" s="4" t="str">
        <f>IFERROR(VLOOKUP(A3115,'Base Prueba'!A:D,4,),"NO REGISTRA")</f>
        <v>APRENDIZ UNIVERSITARIO</v>
      </c>
      <c r="E3115" s="5" t="str">
        <f>IFERROR(VLOOKUP(A3115,'Base Prueba'!A:E,5,),"NO REGISTRA")</f>
        <v>OFICINA DE MERCADEO</v>
      </c>
    </row>
    <row r="3116" spans="1:5" ht="15.75" x14ac:dyDescent="0.25">
      <c r="A3116" s="10">
        <v>1000257136</v>
      </c>
      <c r="B3116" s="2">
        <v>46080.332703587963</v>
      </c>
      <c r="C3116" s="3" t="str">
        <f>IFERROR(VLOOKUP(A3116,'Base Prueba'!A:C,3,),"NO REGISTRA")</f>
        <v>FRANCI VALENTINA CANO PUENTES</v>
      </c>
      <c r="D3116" s="4" t="str">
        <f>IFERROR(VLOOKUP(A3116,'Base Prueba'!A:D,4,),"NO REGISTRA")</f>
        <v>AUXILIAR CONTABLE</v>
      </c>
      <c r="E3116" s="5" t="str">
        <f>IFERROR(VLOOKUP(A3116,'Base Prueba'!A:E,5,),"NO REGISTRA")</f>
        <v>AREA FINANCIERA Y CONTABLE</v>
      </c>
    </row>
    <row r="3117" spans="1:5" ht="15.75" x14ac:dyDescent="0.25">
      <c r="A3117" s="10">
        <v>1049644802</v>
      </c>
      <c r="B3117" s="2">
        <v>46080.334319791669</v>
      </c>
      <c r="C3117" s="3" t="str">
        <f>IFERROR(VLOOKUP(A3117,'Base Prueba'!A:C,3,),"NO REGISTRA")</f>
        <v>DANIELA ALEXANDRA CIPAMOCHA BOSIGA</v>
      </c>
      <c r="D3117" s="4" t="str">
        <f>IFERROR(VLOOKUP(A3117,'Base Prueba'!A:D,4,),"NO REGISTRA")</f>
        <v>LIDER DE DATOS Y SERVICIOS</v>
      </c>
      <c r="E3117" s="5" t="str">
        <f>IFERROR(VLOOKUP(A3117,'Base Prueba'!A:E,5,),"NO REGISTRA")</f>
        <v>OFICINA DE PLANEACION Y GESTION DE LA CALIDAD</v>
      </c>
    </row>
    <row r="3118" spans="1:5" ht="15.75" x14ac:dyDescent="0.25">
      <c r="A3118" s="10">
        <v>1003690253</v>
      </c>
      <c r="B3118" s="2">
        <v>46080.337794791667</v>
      </c>
      <c r="C3118" s="3" t="str">
        <f>IFERROR(VLOOKUP(A3118,'Base Prueba'!A:C,3,),"NO REGISTRA")</f>
        <v>MELISSA GONZALEZ PEDRAZA</v>
      </c>
      <c r="D3118" s="4" t="str">
        <f>IFERROR(VLOOKUP(A3118,'Base Prueba'!A:D,4,),"NO REGISTRA")</f>
        <v>LIDER DE JOVENES A LA E</v>
      </c>
      <c r="E3118" s="5" t="str">
        <f>IFERROR(VLOOKUP(A3118,'Base Prueba'!A:E,5,),"NO REGISTRA")</f>
        <v>DIRECCION DE BIENESTAR INSTITUCIONAL</v>
      </c>
    </row>
    <row r="3119" spans="1:5" ht="15.75" x14ac:dyDescent="0.25">
      <c r="A3119" s="10">
        <v>1014977624</v>
      </c>
      <c r="B3119" s="2">
        <v>46080.339862152781</v>
      </c>
      <c r="C3119" s="3" t="str">
        <f>IFERROR(VLOOKUP(A3119,'Base Prueba'!A:C,3,),"NO REGISTRA")</f>
        <v>NICCOLE VALENTINA HERNANDEZ MALAVER</v>
      </c>
      <c r="D3119" s="4" t="str">
        <f>IFERROR(VLOOKUP(A3119,'Base Prueba'!A:D,4,),"NO REGISTRA")</f>
        <v>APRENDIZ UNIVERSITARIO</v>
      </c>
      <c r="E3119" s="5" t="str">
        <f>IFERROR(VLOOKUP(A3119,'Base Prueba'!A:E,5,),"NO REGISTRA")</f>
        <v>AREA FINANCIERA Y CONTABLE</v>
      </c>
    </row>
    <row r="3120" spans="1:5" ht="15.75" x14ac:dyDescent="0.25">
      <c r="A3120" s="10">
        <v>1000467399</v>
      </c>
      <c r="B3120" s="2">
        <v>46080.34125740741</v>
      </c>
      <c r="C3120" s="3" t="str">
        <f>IFERROR(VLOOKUP(A3120,'Base Prueba'!A:C,3,),"NO REGISTRA")</f>
        <v>BRANDO ESTIVEN DIAZ QUIMBAYA</v>
      </c>
      <c r="D3120" s="4" t="str">
        <f>IFERROR(VLOOKUP(A3120,'Base Prueba'!A:D,4,),"NO REGISTRA")</f>
        <v>APRENDIZ UNIVERSITARIO</v>
      </c>
      <c r="E3120" s="5" t="str">
        <f>IFERROR(VLOOKUP(A3120,'Base Prueba'!A:E,5,),"NO REGISTRA")</f>
        <v>DEPARTAMENTO DE GESTION HUMANA</v>
      </c>
    </row>
    <row r="3121" spans="1:5" ht="15.75" x14ac:dyDescent="0.25">
      <c r="A3121" s="10">
        <v>1193457976</v>
      </c>
      <c r="B3121" s="2">
        <v>46080.341362268518</v>
      </c>
      <c r="C3121" s="3" t="str">
        <f>IFERROR(VLOOKUP(A3121,'Base Prueba'!A:C,3,),"NO REGISTRA")</f>
        <v>SEDENIS RIVAS ASPRILLA</v>
      </c>
      <c r="D3121" s="4" t="str">
        <f>IFERROR(VLOOKUP(A3121,'Base Prueba'!A:D,4,),"NO REGISTRA")</f>
        <v>APRENDIZ UNIVERSITARIO</v>
      </c>
      <c r="E3121" s="5" t="str">
        <f>IFERROR(VLOOKUP(A3121,'Base Prueba'!A:E,5,),"NO REGISTRA")</f>
        <v>DEPARTAMENTO DE GESTION HUMANA</v>
      </c>
    </row>
    <row r="3122" spans="1:5" ht="15.75" x14ac:dyDescent="0.25">
      <c r="A3122" s="10">
        <v>80238161</v>
      </c>
      <c r="B3122" s="2">
        <v>46080.342990046294</v>
      </c>
      <c r="C3122" s="3" t="str">
        <f>IFERROR(VLOOKUP(A3122,'Base Prueba'!A:C,3,),"NO REGISTRA")</f>
        <v>GERMAN CARRANZA ESPITIA</v>
      </c>
      <c r="D3122" s="4" t="str">
        <f>IFERROR(VLOOKUP(A3122,'Base Prueba'!A:D,4,),"NO REGISTRA")</f>
        <v>TESORERO</v>
      </c>
      <c r="E3122" s="5" t="str">
        <f>IFERROR(VLOOKUP(A3122,'Base Prueba'!A:E,5,),"NO REGISTRA")</f>
        <v>AREA FINANCIERA Y CONTABLE</v>
      </c>
    </row>
    <row r="3123" spans="1:5" ht="15.75" x14ac:dyDescent="0.25">
      <c r="A3123" s="10">
        <v>1000457706</v>
      </c>
      <c r="B3123" s="2">
        <v>46080.344395023145</v>
      </c>
      <c r="C3123" s="3" t="str">
        <f>IFERROR(VLOOKUP(A3123,'Base Prueba'!A:C,3,),"NO REGISTRA")</f>
        <v>CRISTIAN DANILO ARROYO SANABRIA</v>
      </c>
      <c r="D3123" s="4" t="str">
        <f>IFERROR(VLOOKUP(A3123,'Base Prueba'!A:D,4,),"NO REGISTRA")</f>
        <v>AUXILIAR CONTABLE</v>
      </c>
      <c r="E3123" s="5" t="str">
        <f>IFERROR(VLOOKUP(A3123,'Base Prueba'!A:E,5,),"NO REGISTRA")</f>
        <v>AREA FINANCIERA Y CONTABLE</v>
      </c>
    </row>
    <row r="3124" spans="1:5" ht="15.75" x14ac:dyDescent="0.25">
      <c r="A3124" s="10">
        <v>1000604979</v>
      </c>
      <c r="B3124" s="2">
        <v>46080.346284490741</v>
      </c>
      <c r="C3124" s="3" t="str">
        <f>IFERROR(VLOOKUP(A3124,'Base Prueba'!A:C,3,),"NO REGISTRA")</f>
        <v>JULIETH TATIANA PARDO PINTO</v>
      </c>
      <c r="D3124" s="4" t="str">
        <f>IFERROR(VLOOKUP(A3124,'Base Prueba'!A:D,4,),"NO REGISTRA")</f>
        <v>AUXILIAR JURIDICO</v>
      </c>
      <c r="E3124" s="5" t="str">
        <f>IFERROR(VLOOKUP(A3124,'Base Prueba'!A:E,5,),"NO REGISTRA")</f>
        <v>SECRETARIA GENERAL</v>
      </c>
    </row>
    <row r="3125" spans="1:5" ht="15.75" x14ac:dyDescent="0.25">
      <c r="A3125" s="10">
        <v>1023883232</v>
      </c>
      <c r="B3125" s="2">
        <v>46080.346778587962</v>
      </c>
      <c r="C3125" s="3" t="str">
        <f>IFERROR(VLOOKUP(A3125,'Base Prueba'!A:C,3,),"NO REGISTRA")</f>
        <v>MONICA ANDREA ACERO URBANO</v>
      </c>
      <c r="D3125" s="4" t="str">
        <f>IFERROR(VLOOKUP(A3125,'Base Prueba'!A:D,4,),"NO REGISTRA")</f>
        <v>APOYO INTEGRAL A GESTION HUMANA</v>
      </c>
      <c r="E3125" s="5" t="str">
        <f>IFERROR(VLOOKUP(A3125,'Base Prueba'!A:E,5,),"NO REGISTRA")</f>
        <v>DEPARTAMENTO DE GESTION HUMANA</v>
      </c>
    </row>
    <row r="3126" spans="1:5" ht="15.75" x14ac:dyDescent="0.25">
      <c r="A3126" s="10">
        <v>80234243</v>
      </c>
      <c r="B3126" s="2">
        <v>46080.346827546295</v>
      </c>
      <c r="C3126" s="3" t="str">
        <f>IFERROR(VLOOKUP(A3126,'Base Prueba'!A:C,3,),"NO REGISTRA")</f>
        <v>ARGENIS MARTINEZ MARTINEZ</v>
      </c>
      <c r="D3126" s="4" t="str">
        <f>IFERROR(VLOOKUP(A3126,'Base Prueba'!A:D,4,),"NO REGISTRA")</f>
        <v>LIDER CALL CENTER</v>
      </c>
      <c r="E3126" s="5" t="str">
        <f>IFERROR(VLOOKUP(A3126,'Base Prueba'!A:E,5,),"NO REGISTRA")</f>
        <v>OFICINA DE MERCADEO</v>
      </c>
    </row>
    <row r="3127" spans="1:5" ht="15.75" x14ac:dyDescent="0.25">
      <c r="A3127" s="10">
        <v>53932358</v>
      </c>
      <c r="B3127" s="2">
        <v>46080.34707974537</v>
      </c>
      <c r="C3127" s="3" t="str">
        <f>IFERROR(VLOOKUP(A3127,'Base Prueba'!A:C,3,),"NO REGISTRA")</f>
        <v>DIANA MADELEYNE GAONA RODRIGUEZ</v>
      </c>
      <c r="D3127" s="4" t="str">
        <f>IFERROR(VLOOKUP(A3127,'Base Prueba'!A:D,4,),"NO REGISTRA")</f>
        <v>CONTADOR</v>
      </c>
      <c r="E3127" s="5" t="str">
        <f>IFERROR(VLOOKUP(A3127,'Base Prueba'!A:E,5,),"NO REGISTRA")</f>
        <v>AREA FINANCIERA Y CONTABLE</v>
      </c>
    </row>
    <row r="3128" spans="1:5" ht="15.75" x14ac:dyDescent="0.25">
      <c r="A3128" s="10">
        <v>1032469638</v>
      </c>
      <c r="B3128" s="2">
        <v>46080.351923263886</v>
      </c>
      <c r="C3128" s="3" t="str">
        <f>IFERROR(VLOOKUP(A3128,'Base Prueba'!A:C,3,),"NO REGISTRA")</f>
        <v>MAICOL JARBEY GUALTEROS CASTAÑEDA</v>
      </c>
      <c r="D3128" s="4" t="str">
        <f>IFERROR(VLOOKUP(A3128,'Base Prueba'!A:D,4,),"NO REGISTRA")</f>
        <v>COORDINADOR DEL SISTEMA INTERNO DE ASEGURAMIENTO DE LA CALIDAD - SIAC</v>
      </c>
      <c r="E3128" s="5" t="str">
        <f>IFERROR(VLOOKUP(A3128,'Base Prueba'!A:E,5,),"NO REGISTRA")</f>
        <v>OFICINA DE PLANEACION Y GESTION DE LA CALIDAD</v>
      </c>
    </row>
    <row r="3129" spans="1:5" ht="15.75" x14ac:dyDescent="0.25">
      <c r="A3129" s="10">
        <v>1000687931</v>
      </c>
      <c r="B3129" s="2">
        <v>46080.353412384262</v>
      </c>
      <c r="C3129" s="3" t="str">
        <f>IFERROR(VLOOKUP(A3129,'Base Prueba'!A:C,3,),"NO REGISTRA")</f>
        <v>ANDRES FELIPE PUENTES TORRES</v>
      </c>
      <c r="D3129" s="4" t="str">
        <f>IFERROR(VLOOKUP(A3129,'Base Prueba'!A:D,4,),"NO REGISTRA")</f>
        <v>AUXILIAR ADMINISTRATIVO</v>
      </c>
      <c r="E3129" s="5" t="str">
        <f>IFERROR(VLOOKUP(A3129,'Base Prueba'!A:E,5,),"NO REGISTRA")</f>
        <v>REGISTRO Y CONTROL ACADEMICO</v>
      </c>
    </row>
    <row r="3130" spans="1:5" ht="15.75" x14ac:dyDescent="0.25">
      <c r="A3130" s="10">
        <v>1033709056</v>
      </c>
      <c r="B3130" s="2">
        <v>46080.366814236113</v>
      </c>
      <c r="C3130" s="3" t="str">
        <f>IFERROR(VLOOKUP(A3130,'Base Prueba'!A:C,3,),"NO REGISTRA")</f>
        <v>YEIMY ALEXANDRA RODRIGUEZ PALACIO</v>
      </c>
      <c r="D3130" s="4" t="str">
        <f>IFERROR(VLOOKUP(A3130,'Base Prueba'!A:D,4,),"NO REGISTRA")</f>
        <v>PROMOTOR CALL CENTER</v>
      </c>
      <c r="E3130" s="5" t="str">
        <f>IFERROR(VLOOKUP(A3130,'Base Prueba'!A:E,5,),"NO REGISTRA")</f>
        <v>OFICINA DE MERCADEO</v>
      </c>
    </row>
    <row r="3131" spans="1:5" ht="15.75" x14ac:dyDescent="0.25">
      <c r="A3131" s="10">
        <v>1000593372</v>
      </c>
      <c r="B3131" s="2">
        <v>46080.368314004627</v>
      </c>
      <c r="C3131" s="3" t="str">
        <f>IFERROR(VLOOKUP(A3131,'Base Prueba'!A:C,3,),"NO REGISTRA")</f>
        <v>LAURA SOFIA CHAPARRO LOPEZ</v>
      </c>
      <c r="D3131" s="4" t="str">
        <f>IFERROR(VLOOKUP(A3131,'Base Prueba'!A:D,4,),"NO REGISTRA")</f>
        <v>AUXILIAR JURIDICO</v>
      </c>
      <c r="E3131" s="5" t="str">
        <f>IFERROR(VLOOKUP(A3131,'Base Prueba'!A:E,5,),"NO REGISTRA")</f>
        <v>SECRETARIA GENERAL</v>
      </c>
    </row>
    <row r="3132" spans="1:5" ht="15.75" x14ac:dyDescent="0.25">
      <c r="A3132" s="10">
        <v>1016090131</v>
      </c>
      <c r="B3132" s="2">
        <v>46080.368341666668</v>
      </c>
      <c r="C3132" s="3" t="str">
        <f>IFERROR(VLOOKUP(A3132,'Base Prueba'!A:C,3,),"NO REGISTRA")</f>
        <v>NICOLAS RODRIGUEZ PACHECO</v>
      </c>
      <c r="D3132" s="4" t="str">
        <f>IFERROR(VLOOKUP(A3132,'Base Prueba'!A:D,4,),"NO REGISTRA")</f>
        <v>COORDINADOR DE COMUNICACIONES</v>
      </c>
      <c r="E3132" s="5" t="str">
        <f>IFERROR(VLOOKUP(A3132,'Base Prueba'!A:E,5,),"NO REGISTRA")</f>
        <v>OFICINA DE MERCADEO</v>
      </c>
    </row>
    <row r="3133" spans="1:5" ht="15.75" x14ac:dyDescent="0.25">
      <c r="A3133" s="10">
        <v>1018413529</v>
      </c>
      <c r="B3133" s="2">
        <v>46080.368614004627</v>
      </c>
      <c r="C3133" s="3" t="str">
        <f>IFERROR(VLOOKUP(A3133,'Base Prueba'!A:C,3,),"NO REGISTRA")</f>
        <v>FRANCY STELLA CHARRY MORENO</v>
      </c>
      <c r="D3133" s="4" t="str">
        <f>IFERROR(VLOOKUP(A3133,'Base Prueba'!A:D,4,),"NO REGISTRA")</f>
        <v>PROMOTOR COMERCIAL DEL CEA</v>
      </c>
      <c r="E3133" s="5" t="str">
        <f>IFERROR(VLOOKUP(A3133,'Base Prueba'!A:E,5,),"NO REGISTRA")</f>
        <v>OFICINA DE MERCADEO</v>
      </c>
    </row>
    <row r="3134" spans="1:5" ht="15.75" x14ac:dyDescent="0.25">
      <c r="A3134" s="10">
        <v>52472386</v>
      </c>
      <c r="B3134" s="2">
        <v>46080.36883402778</v>
      </c>
      <c r="C3134" s="3" t="str">
        <f>IFERROR(VLOOKUP(A3134,'Base Prueba'!A:C,3,),"NO REGISTRA")</f>
        <v>ADRIANA MARCELA MORALES PARDO</v>
      </c>
      <c r="D3134" s="4" t="str">
        <f>IFERROR(VLOOKUP(A3134,'Base Prueba'!A:D,4,),"NO REGISTRA")</f>
        <v>PROMOTOR CALL CENTER</v>
      </c>
      <c r="E3134" s="5" t="str">
        <f>IFERROR(VLOOKUP(A3134,'Base Prueba'!A:E,5,),"NO REGISTRA")</f>
        <v>OFICINA DE MERCADEO</v>
      </c>
    </row>
    <row r="3135" spans="1:5" ht="15.75" x14ac:dyDescent="0.25">
      <c r="A3135" s="10">
        <v>1032407386</v>
      </c>
      <c r="B3135" s="2">
        <v>46080.371128819446</v>
      </c>
      <c r="C3135" s="3" t="str">
        <f>IFERROR(VLOOKUP(A3135,'Base Prueba'!A:C,3,),"NO REGISTRA")</f>
        <v>GINA PAOLA BAEZ GALVIS</v>
      </c>
      <c r="D3135" s="4" t="str">
        <f>IFERROR(VLOOKUP(A3135,'Base Prueba'!A:D,4,),"NO REGISTRA")</f>
        <v>PROMOTOR CALL CENTER</v>
      </c>
      <c r="E3135" s="5" t="str">
        <f>IFERROR(VLOOKUP(A3135,'Base Prueba'!A:E,5,),"NO REGISTRA")</f>
        <v>OFICINA DE MERCADEO</v>
      </c>
    </row>
    <row r="3136" spans="1:5" ht="15.75" x14ac:dyDescent="0.25">
      <c r="A3136" s="10">
        <v>1012426741</v>
      </c>
      <c r="B3136" s="2">
        <v>46080.372464930559</v>
      </c>
      <c r="C3136" s="3" t="str">
        <f>IFERROR(VLOOKUP(A3136,'Base Prueba'!A:C,3,),"NO REGISTRA")</f>
        <v>CRISTIAN FABIAN ROJAS SANCENO</v>
      </c>
      <c r="D3136" s="4" t="str">
        <f>IFERROR(VLOOKUP(A3136,'Base Prueba'!A:D,4,),"NO REGISTRA")</f>
        <v>AUXILIAR DE REINTEGROS</v>
      </c>
      <c r="E3136" s="5" t="str">
        <f>IFERROR(VLOOKUP(A3136,'Base Prueba'!A:E,5,),"NO REGISTRA")</f>
        <v>DIRECCION DE BIENESTAR INSTITUCIONAL</v>
      </c>
    </row>
    <row r="3137" spans="1:5" ht="15.75" x14ac:dyDescent="0.25">
      <c r="A3137" s="10">
        <v>1014196857</v>
      </c>
      <c r="B3137" s="2">
        <v>46080.373965740742</v>
      </c>
      <c r="C3137" s="3" t="str">
        <f>IFERROR(VLOOKUP(A3137,'Base Prueba'!A:C,3,),"NO REGISTRA")</f>
        <v>CARLOS ANDRES JIMENEZ PARDO</v>
      </c>
      <c r="D3137" s="4" t="str">
        <f>IFERROR(VLOOKUP(A3137,'Base Prueba'!A:D,4,),"NO REGISTRA")</f>
        <v>COORDINADOR DE MARKETING DIGITAL</v>
      </c>
      <c r="E3137" s="5" t="str">
        <f>IFERROR(VLOOKUP(A3137,'Base Prueba'!A:E,5,),"NO REGISTRA")</f>
        <v>OFICINA DE MERCADEO</v>
      </c>
    </row>
    <row r="3138" spans="1:5" ht="15.75" x14ac:dyDescent="0.25">
      <c r="A3138" s="10">
        <v>1019105003</v>
      </c>
      <c r="B3138" s="2">
        <v>46080.374224652776</v>
      </c>
      <c r="C3138" s="3" t="str">
        <f>IFERROR(VLOOKUP(A3138,'Base Prueba'!A:C,3,),"NO REGISTRA")</f>
        <v>DAISY JULIETH GASPAR MORENO</v>
      </c>
      <c r="D3138" s="4" t="str">
        <f>IFERROR(VLOOKUP(A3138,'Base Prueba'!A:D,4,),"NO REGISTRA")</f>
        <v>PROMOTOR CALL CENTER</v>
      </c>
      <c r="E3138" s="5" t="str">
        <f>IFERROR(VLOOKUP(A3138,'Base Prueba'!A:E,5,),"NO REGISTRA")</f>
        <v>OFICINA DE MERCADEO</v>
      </c>
    </row>
    <row r="3139" spans="1:5" ht="15.75" x14ac:dyDescent="0.25">
      <c r="A3139" s="10">
        <v>1023961952</v>
      </c>
      <c r="B3139" s="2">
        <v>46080.375421296296</v>
      </c>
      <c r="C3139" s="3" t="str">
        <f>IFERROR(VLOOKUP(A3139,'Base Prueba'!A:C,3,),"NO REGISTRA")</f>
        <v>ALEJANDRO PINZON MERCHAN</v>
      </c>
      <c r="D3139" s="4" t="str">
        <f>IFERROR(VLOOKUP(A3139,'Base Prueba'!A:D,4,),"NO REGISTRA")</f>
        <v>PROMOTOR CALL CENTER</v>
      </c>
      <c r="E3139" s="5" t="str">
        <f>IFERROR(VLOOKUP(A3139,'Base Prueba'!A:E,5,),"NO REGISTRA")</f>
        <v>OFICINA DE MERCADEO</v>
      </c>
    </row>
    <row r="3140" spans="1:5" ht="15.75" x14ac:dyDescent="0.25">
      <c r="A3140" s="10">
        <v>1193265768</v>
      </c>
      <c r="B3140" s="2">
        <v>46080.377281712965</v>
      </c>
      <c r="C3140" s="3" t="str">
        <f>IFERROR(VLOOKUP(A3140,'Base Prueba'!A:C,3,),"NO REGISTRA")</f>
        <v>SANTIAGO OSORIO CAMACHO</v>
      </c>
      <c r="D3140" s="4" t="str">
        <f>IFERROR(VLOOKUP(A3140,'Base Prueba'!A:D,4,),"NO REGISTRA")</f>
        <v>ANALISTA DE PAUTA</v>
      </c>
      <c r="E3140" s="5" t="str">
        <f>IFERROR(VLOOKUP(A3140,'Base Prueba'!A:E,5,),"NO REGISTRA")</f>
        <v>OFICINA DE MERCADEO</v>
      </c>
    </row>
    <row r="3141" spans="1:5" ht="15.75" x14ac:dyDescent="0.25">
      <c r="A3141" s="10">
        <v>1000046533</v>
      </c>
      <c r="B3141" s="2">
        <v>46080.381460879631</v>
      </c>
      <c r="C3141" s="3" t="str">
        <f>IFERROR(VLOOKUP(A3141,'Base Prueba'!A:C,3,),"NO REGISTRA")</f>
        <v>ERIKA JULIETH VALDERRAMA SANCHEZ</v>
      </c>
      <c r="D3141" s="4" t="str">
        <f>IFERROR(VLOOKUP(A3141,'Base Prueba'!A:D,4,),"NO REGISTRA")</f>
        <v>PROMOTOR CALL CENTER</v>
      </c>
      <c r="E3141" s="5" t="str">
        <f>IFERROR(VLOOKUP(A3141,'Base Prueba'!A:E,5,),"NO REGISTRA")</f>
        <v>OFICINA DE MERCADEO</v>
      </c>
    </row>
    <row r="3142" spans="1:5" ht="15.75" x14ac:dyDescent="0.25">
      <c r="A3142" s="10">
        <v>28798349</v>
      </c>
      <c r="B3142" s="2">
        <v>46080.381520023147</v>
      </c>
      <c r="C3142" s="3" t="str">
        <f>IFERROR(VLOOKUP(A3142,'Base Prueba'!A:C,3,),"NO REGISTRA")</f>
        <v>MARTHA ISABEL TOVAR WILLIAMS</v>
      </c>
      <c r="D3142" s="4" t="str">
        <f>IFERROR(VLOOKUP(A3142,'Base Prueba'!A:D,4,),"NO REGISTRA")</f>
        <v>PROMOTOR CALL CENTER</v>
      </c>
      <c r="E3142" s="5" t="str">
        <f>IFERROR(VLOOKUP(A3142,'Base Prueba'!A:E,5,),"NO REGISTRA")</f>
        <v>OFICINA DE MERCADEO</v>
      </c>
    </row>
    <row r="3143" spans="1:5" ht="15.75" x14ac:dyDescent="0.25">
      <c r="A3143" s="10">
        <v>53089882</v>
      </c>
      <c r="B3143" s="2">
        <v>46080.384111342595</v>
      </c>
      <c r="C3143" s="3" t="str">
        <f>IFERROR(VLOOKUP(A3143,'Base Prueba'!A:C,3,),"NO REGISTRA")</f>
        <v>MARIA JOHANA ESCAMILLA MARTINEZ</v>
      </c>
      <c r="D3143" s="4" t="str">
        <f>IFERROR(VLOOKUP(A3143,'Base Prueba'!A:D,4,),"NO REGISTRA")</f>
        <v>PROMOTOR DE INFORMACIÓN</v>
      </c>
      <c r="E3143" s="5" t="str">
        <f>IFERROR(VLOOKUP(A3143,'Base Prueba'!A:E,5,),"NO REGISTRA")</f>
        <v>OFICINA DE MERCADEO</v>
      </c>
    </row>
    <row r="3144" spans="1:5" ht="15.75" x14ac:dyDescent="0.25">
      <c r="A3144" s="10">
        <v>52764929</v>
      </c>
      <c r="B3144" s="2">
        <v>46080.384465740739</v>
      </c>
      <c r="C3144" s="3" t="str">
        <f>IFERROR(VLOOKUP(A3144,'Base Prueba'!A:C,3,),"NO REGISTRA")</f>
        <v>GUERLY YOHANA DURAN RIVERA</v>
      </c>
      <c r="D3144" s="4" t="str">
        <f>IFERROR(VLOOKUP(A3144,'Base Prueba'!A:D,4,),"NO REGISTRA")</f>
        <v>LIDER DE VINCULACION COLEGIOS</v>
      </c>
      <c r="E3144" s="5" t="str">
        <f>IFERROR(VLOOKUP(A3144,'Base Prueba'!A:E,5,),"NO REGISTRA")</f>
        <v>OFICINA DE MERCADEO</v>
      </c>
    </row>
    <row r="3145" spans="1:5" ht="15.75" x14ac:dyDescent="0.25">
      <c r="A3145" s="10">
        <v>52735929</v>
      </c>
      <c r="B3145" s="2">
        <v>46080.404741550927</v>
      </c>
      <c r="C3145" s="3" t="str">
        <f>IFERROR(VLOOKUP(A3145,'Base Prueba'!A:C,3,),"NO REGISTRA")</f>
        <v>JEIMMY AREVALO MELO</v>
      </c>
      <c r="D3145" s="4" t="str">
        <f>IFERROR(VLOOKUP(A3145,'Base Prueba'!A:D,4,),"NO REGISTRA")</f>
        <v>COORDINADOR DE BIBLIOTECA</v>
      </c>
      <c r="E3145" s="5" t="str">
        <f>IFERROR(VLOOKUP(A3145,'Base Prueba'!A:E,5,),"NO REGISTRA")</f>
        <v>BIBLIOTECA</v>
      </c>
    </row>
    <row r="3146" spans="1:5" ht="15.75" x14ac:dyDescent="0.25">
      <c r="A3146" s="10">
        <v>52443092</v>
      </c>
      <c r="B3146" s="2">
        <v>46080.453047916664</v>
      </c>
      <c r="C3146" s="3" t="str">
        <f>IFERROR(VLOOKUP(A3146,'Base Prueba'!A:C,3,),"NO REGISTRA")</f>
        <v>LUZ MYRIAM SAAVEDRA CONTRERAS</v>
      </c>
      <c r="D3146" s="4" t="str">
        <f>IFERROR(VLOOKUP(A3146,'Base Prueba'!A:D,4,),"NO REGISTRA")</f>
        <v>AUXILIAR DE SERVICIOS</v>
      </c>
      <c r="E3146" s="5" t="str">
        <f>IFERROR(VLOOKUP(A3146,'Base Prueba'!A:E,5,),"NO REGISTRA")</f>
        <v>LOGISTICA Y SERVICIOS GENERALES</v>
      </c>
    </row>
    <row r="3147" spans="1:5" ht="15.75" x14ac:dyDescent="0.25">
      <c r="A3147" s="10">
        <v>1031802160</v>
      </c>
      <c r="B3147" s="2">
        <v>46080.706157754626</v>
      </c>
      <c r="C3147" s="3" t="str">
        <f>IFERROR(VLOOKUP(A3147,'Base Prueba'!A:C,3,),"NO REGISTRA")</f>
        <v>LUISA MARIA MAHECHA SOTOMAYOR</v>
      </c>
      <c r="D3147" s="4" t="str">
        <f>IFERROR(VLOOKUP(A3147,'Base Prueba'!A:D,4,),"NO REGISTRA")</f>
        <v>APRENDIZ UNIVERSITARIO</v>
      </c>
      <c r="E3147" s="5" t="str">
        <f>IFERROR(VLOOKUP(A3147,'Base Prueba'!A:E,5,),"NO REGISTRA")</f>
        <v>OFICINA DE MERCADEO</v>
      </c>
    </row>
    <row r="3148" spans="1:5" ht="15.75" x14ac:dyDescent="0.25">
      <c r="A3148" s="10">
        <v>1000467399</v>
      </c>
      <c r="B3148" s="2">
        <v>46080.708771296297</v>
      </c>
      <c r="C3148" s="3" t="str">
        <f>IFERROR(VLOOKUP(A3148,'Base Prueba'!A:C,3,),"NO REGISTRA")</f>
        <v>BRANDO ESTIVEN DIAZ QUIMBAYA</v>
      </c>
      <c r="D3148" s="4" t="str">
        <f>IFERROR(VLOOKUP(A3148,'Base Prueba'!A:D,4,),"NO REGISTRA")</f>
        <v>APRENDIZ UNIVERSITARIO</v>
      </c>
      <c r="E3148" s="5" t="str">
        <f>IFERROR(VLOOKUP(A3148,'Base Prueba'!A:E,5,),"NO REGISTRA")</f>
        <v>DEPARTAMENTO DE GESTION HUMANA</v>
      </c>
    </row>
    <row r="3149" spans="1:5" ht="15.75" x14ac:dyDescent="0.25">
      <c r="A3149" s="10">
        <v>1012357415</v>
      </c>
      <c r="B3149" s="2">
        <v>46080.709335185187</v>
      </c>
      <c r="C3149" s="3" t="str">
        <f>IFERROR(VLOOKUP(A3149,'Base Prueba'!A:C,3,),"NO REGISTRA")</f>
        <v>CINDY LORENA BOHORQUEZ LEYVA</v>
      </c>
      <c r="D3149" s="4" t="str">
        <f>IFERROR(VLOOKUP(A3149,'Base Prueba'!A:D,4,),"NO REGISTRA")</f>
        <v>ANALISTA DE TESORERIA</v>
      </c>
      <c r="E3149" s="5" t="str">
        <f>IFERROR(VLOOKUP(A3149,'Base Prueba'!A:E,5,),"NO REGISTRA")</f>
        <v>AREA FINANCIERA Y CONTABLE</v>
      </c>
    </row>
    <row r="3150" spans="1:5" ht="15.75" x14ac:dyDescent="0.25">
      <c r="A3150" s="10">
        <v>1193457976</v>
      </c>
      <c r="B3150" s="2">
        <v>46080.709522453704</v>
      </c>
      <c r="C3150" s="3" t="str">
        <f>IFERROR(VLOOKUP(A3150,'Base Prueba'!A:C,3,),"NO REGISTRA")</f>
        <v>SEDENIS RIVAS ASPRILLA</v>
      </c>
      <c r="D3150" s="4" t="str">
        <f>IFERROR(VLOOKUP(A3150,'Base Prueba'!A:D,4,),"NO REGISTRA")</f>
        <v>APRENDIZ UNIVERSITARIO</v>
      </c>
      <c r="E3150" s="5" t="str">
        <f>IFERROR(VLOOKUP(A3150,'Base Prueba'!A:E,5,),"NO REGISTRA")</f>
        <v>DEPARTAMENTO DE GESTION HUMANA</v>
      </c>
    </row>
    <row r="3151" spans="1:5" ht="15.75" x14ac:dyDescent="0.25">
      <c r="A3151" s="10">
        <v>80238161</v>
      </c>
      <c r="B3151" s="2">
        <v>46080.710530555552</v>
      </c>
      <c r="C3151" s="3" t="str">
        <f>IFERROR(VLOOKUP(A3151,'Base Prueba'!A:C,3,),"NO REGISTRA")</f>
        <v>GERMAN CARRANZA ESPITIA</v>
      </c>
      <c r="D3151" s="4" t="str">
        <f>IFERROR(VLOOKUP(A3151,'Base Prueba'!A:D,4,),"NO REGISTRA")</f>
        <v>TESORERO</v>
      </c>
      <c r="E3151" s="5" t="str">
        <f>IFERROR(VLOOKUP(A3151,'Base Prueba'!A:E,5,),"NO REGISTRA")</f>
        <v>AREA FINANCIERA Y CONTABLE</v>
      </c>
    </row>
    <row r="3152" spans="1:5" ht="15.75" x14ac:dyDescent="0.25">
      <c r="A3152" s="10">
        <v>1032469638</v>
      </c>
      <c r="B3152" s="2">
        <v>46080.712461805553</v>
      </c>
      <c r="C3152" s="3" t="str">
        <f>IFERROR(VLOOKUP(A3152,'Base Prueba'!A:C,3,),"NO REGISTRA")</f>
        <v>MAICOL JARBEY GUALTEROS CASTAÑEDA</v>
      </c>
      <c r="D3152" s="4" t="str">
        <f>IFERROR(VLOOKUP(A3152,'Base Prueba'!A:D,4,),"NO REGISTRA")</f>
        <v>COORDINADOR DEL SISTEMA INTERNO DE ASEGURAMIENTO DE LA CALIDAD - SIAC</v>
      </c>
      <c r="E3152" s="5" t="str">
        <f>IFERROR(VLOOKUP(A3152,'Base Prueba'!A:E,5,),"NO REGISTRA")</f>
        <v>OFICINA DE PLANEACION Y GESTION DE LA CALIDAD</v>
      </c>
    </row>
    <row r="3153" spans="1:5" ht="15.75" x14ac:dyDescent="0.25">
      <c r="A3153" s="10">
        <v>1087121273</v>
      </c>
      <c r="B3153" s="2">
        <v>46080.712919675927</v>
      </c>
      <c r="C3153" s="3" t="str">
        <f>IFERROR(VLOOKUP(A3153,'Base Prueba'!A:C,3,),"NO REGISTRA")</f>
        <v>MAYRA ALEJANDRA CASTILLO ARBOLEDA</v>
      </c>
      <c r="D3153" s="4" t="str">
        <f>IFERROR(VLOOKUP(A3153,'Base Prueba'!A:D,4,),"NO REGISTRA")</f>
        <v>APOYO INTEGRAL DE MERCADEO</v>
      </c>
      <c r="E3153" s="5" t="str">
        <f>IFERROR(VLOOKUP(A3153,'Base Prueba'!A:E,5,),"NO REGISTRA")</f>
        <v>CENTRO DE GESTION DOCUMENTAL</v>
      </c>
    </row>
    <row r="3154" spans="1:5" ht="15.75" x14ac:dyDescent="0.25">
      <c r="A3154" s="10">
        <v>1049644802</v>
      </c>
      <c r="B3154" s="2">
        <v>46080.71328171296</v>
      </c>
      <c r="C3154" s="3" t="str">
        <f>IFERROR(VLOOKUP(A3154,'Base Prueba'!A:C,3,),"NO REGISTRA")</f>
        <v>DANIELA ALEXANDRA CIPAMOCHA BOSIGA</v>
      </c>
      <c r="D3154" s="4" t="str">
        <f>IFERROR(VLOOKUP(A3154,'Base Prueba'!A:D,4,),"NO REGISTRA")</f>
        <v>LIDER DE DATOS Y SERVICIOS</v>
      </c>
      <c r="E3154" s="5" t="str">
        <f>IFERROR(VLOOKUP(A3154,'Base Prueba'!A:E,5,),"NO REGISTRA")</f>
        <v>OFICINA DE PLANEACION Y GESTION DE LA CALIDAD</v>
      </c>
    </row>
    <row r="3155" spans="1:5" ht="15.75" x14ac:dyDescent="0.25">
      <c r="A3155" s="10">
        <v>1014977624</v>
      </c>
      <c r="B3155" s="2">
        <v>46080.714223958334</v>
      </c>
      <c r="C3155" s="3" t="str">
        <f>IFERROR(VLOOKUP(A3155,'Base Prueba'!A:C,3,),"NO REGISTRA")</f>
        <v>NICCOLE VALENTINA HERNANDEZ MALAVER</v>
      </c>
      <c r="D3155" s="4" t="str">
        <f>IFERROR(VLOOKUP(A3155,'Base Prueba'!A:D,4,),"NO REGISTRA")</f>
        <v>APRENDIZ UNIVERSITARIO</v>
      </c>
      <c r="E3155" s="5" t="str">
        <f>IFERROR(VLOOKUP(A3155,'Base Prueba'!A:E,5,),"NO REGISTRA")</f>
        <v>AREA FINANCIERA Y CONTABLE</v>
      </c>
    </row>
    <row r="3156" spans="1:5" ht="15.75" x14ac:dyDescent="0.25">
      <c r="A3156" s="10">
        <v>1000457706</v>
      </c>
      <c r="B3156" s="2">
        <v>46080.71482685185</v>
      </c>
      <c r="C3156" s="3" t="str">
        <f>IFERROR(VLOOKUP(A3156,'Base Prueba'!A:C,3,),"NO REGISTRA")</f>
        <v>CRISTIAN DANILO ARROYO SANABRIA</v>
      </c>
      <c r="D3156" s="4" t="str">
        <f>IFERROR(VLOOKUP(A3156,'Base Prueba'!A:D,4,),"NO REGISTRA")</f>
        <v>AUXILIAR CONTABLE</v>
      </c>
      <c r="E3156" s="5" t="str">
        <f>IFERROR(VLOOKUP(A3156,'Base Prueba'!A:E,5,),"NO REGISTRA")</f>
        <v>AREA FINANCIERA Y CONTABLE</v>
      </c>
    </row>
    <row r="3157" spans="1:5" ht="15.75" x14ac:dyDescent="0.25">
      <c r="A3157" s="10">
        <v>53932358</v>
      </c>
      <c r="B3157" s="2">
        <v>46080.720571064812</v>
      </c>
      <c r="C3157" s="3" t="str">
        <f>IFERROR(VLOOKUP(A3157,'Base Prueba'!A:C,3,),"NO REGISTRA")</f>
        <v>DIANA MADELEYNE GAONA RODRIGUEZ</v>
      </c>
      <c r="D3157" s="4" t="str">
        <f>IFERROR(VLOOKUP(A3157,'Base Prueba'!A:D,4,),"NO REGISTRA")</f>
        <v>CONTADOR</v>
      </c>
      <c r="E3157" s="5" t="str">
        <f>IFERROR(VLOOKUP(A3157,'Base Prueba'!A:E,5,),"NO REGISTRA")</f>
        <v>AREA FINANCIERA Y CONTABLE</v>
      </c>
    </row>
    <row r="3158" spans="1:5" ht="15.75" x14ac:dyDescent="0.25">
      <c r="A3158" s="10">
        <v>1022996882</v>
      </c>
      <c r="B3158" s="2">
        <v>46080.720614583333</v>
      </c>
      <c r="C3158" s="3" t="str">
        <f>IFERROR(VLOOKUP(A3158,'Base Prueba'!A:C,3,),"NO REGISTRA")</f>
        <v>NANCY BRIGITH ALDANA GUEVARA</v>
      </c>
      <c r="D3158" s="4" t="str">
        <f>IFERROR(VLOOKUP(A3158,'Base Prueba'!A:D,4,),"NO REGISTRA")</f>
        <v>COORDINADORA DE GESTIÓN HUMANA</v>
      </c>
      <c r="E3158" s="5" t="str">
        <f>IFERROR(VLOOKUP(A3158,'Base Prueba'!A:E,5,),"NO REGISTRA")</f>
        <v>DEPARTAMENTO DE GESTION HUMANA</v>
      </c>
    </row>
    <row r="3159" spans="1:5" ht="15.75" x14ac:dyDescent="0.25">
      <c r="A3159" s="10">
        <v>1026599257</v>
      </c>
      <c r="B3159" s="2">
        <v>46080.721997222223</v>
      </c>
      <c r="C3159" s="3" t="str">
        <f>IFERROR(VLOOKUP(A3159,'Base Prueba'!A:C,3,),"NO REGISTRA")</f>
        <v>YESENIA PAOLA PINEDA HURTADO</v>
      </c>
      <c r="D3159" s="4" t="str">
        <f>IFERROR(VLOOKUP(A3159,'Base Prueba'!A:D,4,),"NO REGISTRA")</f>
        <v>LIDER DE COMPRAS</v>
      </c>
      <c r="E3159" s="5" t="str">
        <f>IFERROR(VLOOKUP(A3159,'Base Prueba'!A:E,5,),"NO REGISTRA")</f>
        <v>AREA ADMINISTRATIVA</v>
      </c>
    </row>
    <row r="3160" spans="1:5" ht="15.75" x14ac:dyDescent="0.25">
      <c r="A3160" s="10">
        <v>1000324729</v>
      </c>
      <c r="B3160" s="2">
        <v>46080.722713194446</v>
      </c>
      <c r="C3160" s="3" t="str">
        <f>IFERROR(VLOOKUP(A3160,'Base Prueba'!A:C,3,),"NO REGISTRA")</f>
        <v>ANYIE VANESSA TINOCO CAMACHO</v>
      </c>
      <c r="D3160" s="4" t="str">
        <f>IFERROR(VLOOKUP(A3160,'Base Prueba'!A:D,4,),"NO REGISTRA")</f>
        <v>LIDER DE REGISTRO Y CONTROL</v>
      </c>
      <c r="E3160" s="5" t="str">
        <f>IFERROR(VLOOKUP(A3160,'Base Prueba'!A:E,5,),"NO REGISTRA")</f>
        <v>REGISTRO Y CONTROL ACADEMICO</v>
      </c>
    </row>
    <row r="3161" spans="1:5" ht="15.75" x14ac:dyDescent="0.25">
      <c r="A3161" s="10">
        <v>1000257136</v>
      </c>
      <c r="B3161" s="2">
        <v>46080.736909143518</v>
      </c>
      <c r="C3161" s="3" t="str">
        <f>IFERROR(VLOOKUP(A3161,'Base Prueba'!A:C,3,),"NO REGISTRA")</f>
        <v>FRANCI VALENTINA CANO PUENTES</v>
      </c>
      <c r="D3161" s="4" t="str">
        <f>IFERROR(VLOOKUP(A3161,'Base Prueba'!A:D,4,),"NO REGISTRA")</f>
        <v>AUXILIAR CONTABLE</v>
      </c>
      <c r="E3161" s="5" t="str">
        <f>IFERROR(VLOOKUP(A3161,'Base Prueba'!A:E,5,),"NO REGISTRA")</f>
        <v>AREA FINANCIERA Y CONTABLE</v>
      </c>
    </row>
    <row r="3162" spans="1:5" ht="15.75" x14ac:dyDescent="0.25">
      <c r="A3162" s="10">
        <v>1000593372</v>
      </c>
      <c r="B3162" s="2">
        <v>46080.745655092593</v>
      </c>
      <c r="C3162" s="3" t="str">
        <f>IFERROR(VLOOKUP(A3162,'Base Prueba'!A:C,3,),"NO REGISTRA")</f>
        <v>LAURA SOFIA CHAPARRO LOPEZ</v>
      </c>
      <c r="D3162" s="4" t="str">
        <f>IFERROR(VLOOKUP(A3162,'Base Prueba'!A:D,4,),"NO REGISTRA")</f>
        <v>AUXILIAR JURIDICO</v>
      </c>
      <c r="E3162" s="5" t="str">
        <f>IFERROR(VLOOKUP(A3162,'Base Prueba'!A:E,5,),"NO REGISTRA")</f>
        <v>SECRETARIA GENERAL</v>
      </c>
    </row>
    <row r="3163" spans="1:5" ht="15.75" x14ac:dyDescent="0.25">
      <c r="A3163" s="10">
        <v>1000604979</v>
      </c>
      <c r="B3163" s="2">
        <v>46080.745743749998</v>
      </c>
      <c r="C3163" s="3" t="str">
        <f>IFERROR(VLOOKUP(A3163,'Base Prueba'!A:C,3,),"NO REGISTRA")</f>
        <v>JULIETH TATIANA PARDO PINTO</v>
      </c>
      <c r="D3163" s="4" t="str">
        <f>IFERROR(VLOOKUP(A3163,'Base Prueba'!A:D,4,),"NO REGISTRA")</f>
        <v>AUXILIAR JURIDICO</v>
      </c>
      <c r="E3163" s="5" t="str">
        <f>IFERROR(VLOOKUP(A3163,'Base Prueba'!A:E,5,),"NO REGISTRA")</f>
        <v>SECRETARIA GENERAL</v>
      </c>
    </row>
    <row r="3164" spans="1:5" ht="15.75" x14ac:dyDescent="0.25">
      <c r="A3164" s="10">
        <v>1012426741</v>
      </c>
      <c r="B3164" s="2">
        <v>46080.750112731483</v>
      </c>
      <c r="C3164" s="3" t="str">
        <f>IFERROR(VLOOKUP(A3164,'Base Prueba'!A:C,3,),"NO REGISTRA")</f>
        <v>CRISTIAN FABIAN ROJAS SANCENO</v>
      </c>
      <c r="D3164" s="4" t="str">
        <f>IFERROR(VLOOKUP(A3164,'Base Prueba'!A:D,4,),"NO REGISTRA")</f>
        <v>AUXILIAR DE REINTEGROS</v>
      </c>
      <c r="E3164" s="5" t="str">
        <f>IFERROR(VLOOKUP(A3164,'Base Prueba'!A:E,5,),"NO REGISTRA")</f>
        <v>DIRECCION DE BIENESTAR INSTITUCIONAL</v>
      </c>
    </row>
    <row r="3165" spans="1:5" ht="15.75" x14ac:dyDescent="0.25">
      <c r="A3165" s="10">
        <v>1000046533</v>
      </c>
      <c r="B3165" s="2">
        <v>46080.751355902779</v>
      </c>
      <c r="C3165" s="3" t="str">
        <f>IFERROR(VLOOKUP(A3165,'Base Prueba'!A:C,3,),"NO REGISTRA")</f>
        <v>ERIKA JULIETH VALDERRAMA SANCHEZ</v>
      </c>
      <c r="D3165" s="4" t="str">
        <f>IFERROR(VLOOKUP(A3165,'Base Prueba'!A:D,4,),"NO REGISTRA")</f>
        <v>PROMOTOR CALL CENTER</v>
      </c>
      <c r="E3165" s="5" t="str">
        <f>IFERROR(VLOOKUP(A3165,'Base Prueba'!A:E,5,),"NO REGISTRA")</f>
        <v>OFICINA DE MERCADEO</v>
      </c>
    </row>
    <row r="3166" spans="1:5" ht="15.75" x14ac:dyDescent="0.25">
      <c r="A3166" s="10">
        <v>1033709056</v>
      </c>
      <c r="B3166" s="2">
        <v>46080.753507060188</v>
      </c>
      <c r="C3166" s="3" t="str">
        <f>IFERROR(VLOOKUP(A3166,'Base Prueba'!A:C,3,),"NO REGISTRA")</f>
        <v>YEIMY ALEXANDRA RODRIGUEZ PALACIO</v>
      </c>
      <c r="D3166" s="4" t="str">
        <f>IFERROR(VLOOKUP(A3166,'Base Prueba'!A:D,4,),"NO REGISTRA")</f>
        <v>PROMOTOR CALL CENTER</v>
      </c>
      <c r="E3166" s="5" t="str">
        <f>IFERROR(VLOOKUP(A3166,'Base Prueba'!A:E,5,),"NO REGISTRA")</f>
        <v>OFICINA DE MERCADEO</v>
      </c>
    </row>
    <row r="3167" spans="1:5" ht="15.75" x14ac:dyDescent="0.25">
      <c r="A3167" s="10">
        <v>52764929</v>
      </c>
      <c r="B3167" s="2">
        <v>46080.753900000003</v>
      </c>
      <c r="C3167" s="3" t="str">
        <f>IFERROR(VLOOKUP(A3167,'Base Prueba'!A:C,3,),"NO REGISTRA")</f>
        <v>GUERLY YOHANA DURAN RIVERA</v>
      </c>
      <c r="D3167" s="4" t="str">
        <f>IFERROR(VLOOKUP(A3167,'Base Prueba'!A:D,4,),"NO REGISTRA")</f>
        <v>LIDER DE VINCULACION COLEGIOS</v>
      </c>
      <c r="E3167" s="5" t="str">
        <f>IFERROR(VLOOKUP(A3167,'Base Prueba'!A:E,5,),"NO REGISTRA")</f>
        <v>OFICINA DE MERCADEO</v>
      </c>
    </row>
    <row r="3168" spans="1:5" ht="15.75" x14ac:dyDescent="0.25">
      <c r="A3168" s="10">
        <v>1023883232</v>
      </c>
      <c r="B3168" s="2">
        <v>46080.753977314816</v>
      </c>
      <c r="C3168" s="3" t="str">
        <f>IFERROR(VLOOKUP(A3168,'Base Prueba'!A:C,3,),"NO REGISTRA")</f>
        <v>MONICA ANDREA ACERO URBANO</v>
      </c>
      <c r="D3168" s="4" t="str">
        <f>IFERROR(VLOOKUP(A3168,'Base Prueba'!A:D,4,),"NO REGISTRA")</f>
        <v>APOYO INTEGRAL A GESTION HUMANA</v>
      </c>
      <c r="E3168" s="5" t="str">
        <f>IFERROR(VLOOKUP(A3168,'Base Prueba'!A:E,5,),"NO REGISTRA")</f>
        <v>DEPARTAMENTO DE GESTION HUMANA</v>
      </c>
    </row>
    <row r="3169" spans="1:5" ht="15.75" x14ac:dyDescent="0.25">
      <c r="A3169" s="10">
        <v>1016090131</v>
      </c>
      <c r="B3169" s="2">
        <v>46080.754154282411</v>
      </c>
      <c r="C3169" s="3" t="str">
        <f>IFERROR(VLOOKUP(A3169,'Base Prueba'!A:C,3,),"NO REGISTRA")</f>
        <v>NICOLAS RODRIGUEZ PACHECO</v>
      </c>
      <c r="D3169" s="4" t="str">
        <f>IFERROR(VLOOKUP(A3169,'Base Prueba'!A:D,4,),"NO REGISTRA")</f>
        <v>COORDINADOR DE COMUNICACIONES</v>
      </c>
      <c r="E3169" s="5" t="str">
        <f>IFERROR(VLOOKUP(A3169,'Base Prueba'!A:E,5,),"NO REGISTRA")</f>
        <v>OFICINA DE MERCADEO</v>
      </c>
    </row>
    <row r="3170" spans="1:5" ht="15.75" x14ac:dyDescent="0.25">
      <c r="A3170" s="10">
        <v>52175674</v>
      </c>
      <c r="B3170" s="2">
        <v>46080.754593171296</v>
      </c>
      <c r="C3170" s="3" t="str">
        <f>IFERROR(VLOOKUP(A3170,'Base Prueba'!A:C,3,),"NO REGISTRA")</f>
        <v>LUZ YANETH GOMEZ AREVALO</v>
      </c>
      <c r="D3170" s="4" t="str">
        <f>IFERROR(VLOOKUP(A3170,'Base Prueba'!A:D,4,),"NO REGISTRA")</f>
        <v>COORDINADORA DE ADMISIONES</v>
      </c>
      <c r="E3170" s="5" t="str">
        <f>IFERROR(VLOOKUP(A3170,'Base Prueba'!A:E,5,),"NO REGISTRA")</f>
        <v>OFICINA DE MERCADEO</v>
      </c>
    </row>
    <row r="3171" spans="1:5" ht="15.75" x14ac:dyDescent="0.25">
      <c r="A3171" s="10">
        <v>1000161811</v>
      </c>
      <c r="B3171" s="2">
        <v>46080.755495486112</v>
      </c>
      <c r="C3171" s="3" t="str">
        <f>IFERROR(VLOOKUP(A3171,'Base Prueba'!A:C,3,),"NO REGISTRA")</f>
        <v>DIEGO ANDRES VARON ROZO</v>
      </c>
      <c r="D3171" s="4" t="str">
        <f>IFERROR(VLOOKUP(A3171,'Base Prueba'!A:D,4,),"NO REGISTRA")</f>
        <v>APRENDIZ UNIVERSITARIO</v>
      </c>
      <c r="E3171" s="5" t="str">
        <f>IFERROR(VLOOKUP(A3171,'Base Prueba'!A:E,5,),"NO REGISTRA")</f>
        <v>OFICINA DE MERCADEO</v>
      </c>
    </row>
    <row r="3172" spans="1:5" ht="15.75" x14ac:dyDescent="0.25">
      <c r="A3172" s="10">
        <v>1023961952</v>
      </c>
      <c r="B3172" s="2">
        <v>46080.755942476855</v>
      </c>
      <c r="C3172" s="3" t="str">
        <f>IFERROR(VLOOKUP(A3172,'Base Prueba'!A:C,3,),"NO REGISTRA")</f>
        <v>ALEJANDRO PINZON MERCHAN</v>
      </c>
      <c r="D3172" s="4" t="str">
        <f>IFERROR(VLOOKUP(A3172,'Base Prueba'!A:D,4,),"NO REGISTRA")</f>
        <v>PROMOTOR CALL CENTER</v>
      </c>
      <c r="E3172" s="5" t="str">
        <f>IFERROR(VLOOKUP(A3172,'Base Prueba'!A:E,5,),"NO REGISTRA")</f>
        <v>OFICINA DE MERCADEO</v>
      </c>
    </row>
    <row r="3173" spans="1:5" ht="15.75" x14ac:dyDescent="0.25">
      <c r="A3173" s="10">
        <v>1019105003</v>
      </c>
      <c r="B3173" s="2">
        <v>46080.759956134258</v>
      </c>
      <c r="C3173" s="3" t="str">
        <f>IFERROR(VLOOKUP(A3173,'Base Prueba'!A:C,3,),"NO REGISTRA")</f>
        <v>DAISY JULIETH GASPAR MORENO</v>
      </c>
      <c r="D3173" s="4" t="str">
        <f>IFERROR(VLOOKUP(A3173,'Base Prueba'!A:D,4,),"NO REGISTRA")</f>
        <v>PROMOTOR CALL CENTER</v>
      </c>
      <c r="E3173" s="5" t="str">
        <f>IFERROR(VLOOKUP(A3173,'Base Prueba'!A:E,5,),"NO REGISTRA")</f>
        <v>OFICINA DE MERCADEO</v>
      </c>
    </row>
    <row r="3174" spans="1:5" ht="15.75" x14ac:dyDescent="0.25">
      <c r="A3174" s="10">
        <v>1014308296</v>
      </c>
      <c r="B3174" s="2">
        <v>46080.76069722222</v>
      </c>
      <c r="C3174" s="3" t="str">
        <f>IFERROR(VLOOKUP(A3174,'Base Prueba'!A:C,3,),"NO REGISTRA")</f>
        <v>DARLENE YULIANA MORENO CELEITA</v>
      </c>
      <c r="D3174" s="4" t="str">
        <f>IFERROR(VLOOKUP(A3174,'Base Prueba'!A:D,4,),"NO REGISTRA")</f>
        <v>CAJERO PRINCIPAL</v>
      </c>
      <c r="E3174" s="5" t="str">
        <f>IFERROR(VLOOKUP(A3174,'Base Prueba'!A:E,5,),"NO REGISTRA")</f>
        <v>AREA FINANCIERA Y CONTABLE</v>
      </c>
    </row>
    <row r="3175" spans="1:5" ht="15.75" x14ac:dyDescent="0.25">
      <c r="A3175" s="10">
        <v>1018413529</v>
      </c>
      <c r="B3175" s="2">
        <v>46080.761392245367</v>
      </c>
      <c r="C3175" s="3" t="str">
        <f>IFERROR(VLOOKUP(A3175,'Base Prueba'!A:C,3,),"NO REGISTRA")</f>
        <v>FRANCY STELLA CHARRY MORENO</v>
      </c>
      <c r="D3175" s="4" t="str">
        <f>IFERROR(VLOOKUP(A3175,'Base Prueba'!A:D,4,),"NO REGISTRA")</f>
        <v>PROMOTOR COMERCIAL DEL CEA</v>
      </c>
      <c r="E3175" s="5" t="str">
        <f>IFERROR(VLOOKUP(A3175,'Base Prueba'!A:E,5,),"NO REGISTRA")</f>
        <v>OFICINA DE MERCADEO</v>
      </c>
    </row>
    <row r="3176" spans="1:5" ht="15.75" x14ac:dyDescent="0.25">
      <c r="A3176" s="10">
        <v>53089882</v>
      </c>
      <c r="B3176" s="2">
        <v>46080.761564930559</v>
      </c>
      <c r="C3176" s="3" t="str">
        <f>IFERROR(VLOOKUP(A3176,'Base Prueba'!A:C,3,),"NO REGISTRA")</f>
        <v>MARIA JOHANA ESCAMILLA MARTINEZ</v>
      </c>
      <c r="D3176" s="4" t="str">
        <f>IFERROR(VLOOKUP(A3176,'Base Prueba'!A:D,4,),"NO REGISTRA")</f>
        <v>PROMOTOR DE INFORMACIÓN</v>
      </c>
      <c r="E3176" s="5" t="str">
        <f>IFERROR(VLOOKUP(A3176,'Base Prueba'!A:E,5,),"NO REGISTRA")</f>
        <v>OFICINA DE MERCADEO</v>
      </c>
    </row>
    <row r="3177" spans="1:5" ht="15.75" x14ac:dyDescent="0.25">
      <c r="A3177" s="10">
        <v>1014196857</v>
      </c>
      <c r="B3177" s="2">
        <v>46080.762003935182</v>
      </c>
      <c r="C3177" s="3" t="str">
        <f>IFERROR(VLOOKUP(A3177,'Base Prueba'!A:C,3,),"NO REGISTRA")</f>
        <v>CARLOS ANDRES JIMENEZ PARDO</v>
      </c>
      <c r="D3177" s="4" t="str">
        <f>IFERROR(VLOOKUP(A3177,'Base Prueba'!A:D,4,),"NO REGISTRA")</f>
        <v>COORDINADOR DE MARKETING DIGITAL</v>
      </c>
      <c r="E3177" s="5" t="str">
        <f>IFERROR(VLOOKUP(A3177,'Base Prueba'!A:E,5,),"NO REGISTRA")</f>
        <v>OFICINA DE MERCADEO</v>
      </c>
    </row>
    <row r="3178" spans="1:5" ht="15.75" x14ac:dyDescent="0.25">
      <c r="A3178" s="10">
        <v>1014211708</v>
      </c>
      <c r="B3178" s="2">
        <v>46080.762754398151</v>
      </c>
      <c r="C3178" s="3" t="str">
        <f>IFERROR(VLOOKUP(A3178,'Base Prueba'!A:C,3,),"NO REGISTRA")</f>
        <v>JUAN MANUEL MERCADO FUENTES</v>
      </c>
      <c r="D3178" s="4" t="str">
        <f>IFERROR(VLOOKUP(A3178,'Base Prueba'!A:D,4,),"NO REGISTRA")</f>
        <v>COORDINADOR DE DISEÑO E IMAGEN INSTITUCIONAL</v>
      </c>
      <c r="E3178" s="5" t="str">
        <f>IFERROR(VLOOKUP(A3178,'Base Prueba'!A:E,5,),"NO REGISTRA")</f>
        <v>OFICINA DE MERCADEO</v>
      </c>
    </row>
    <row r="3179" spans="1:5" ht="15.75" x14ac:dyDescent="0.25">
      <c r="A3179" s="10">
        <v>1193265768</v>
      </c>
      <c r="B3179" s="2">
        <v>46080.762940162036</v>
      </c>
      <c r="C3179" s="3" t="str">
        <f>IFERROR(VLOOKUP(A3179,'Base Prueba'!A:C,3,),"NO REGISTRA")</f>
        <v>SANTIAGO OSORIO CAMACHO</v>
      </c>
      <c r="D3179" s="4" t="str">
        <f>IFERROR(VLOOKUP(A3179,'Base Prueba'!A:D,4,),"NO REGISTRA")</f>
        <v>ANALISTA DE PAUTA</v>
      </c>
      <c r="E3179" s="5" t="str">
        <f>IFERROR(VLOOKUP(A3179,'Base Prueba'!A:E,5,),"NO REGISTRA")</f>
        <v>OFICINA DE MERCADEO</v>
      </c>
    </row>
    <row r="3180" spans="1:5" ht="15.75" x14ac:dyDescent="0.25">
      <c r="A3180" s="10">
        <v>1032407386</v>
      </c>
      <c r="B3180" s="2">
        <v>46080.765438888891</v>
      </c>
      <c r="C3180" s="3" t="str">
        <f>IFERROR(VLOOKUP(A3180,'Base Prueba'!A:C,3,),"NO REGISTRA")</f>
        <v>GINA PAOLA BAEZ GALVIS</v>
      </c>
      <c r="D3180" s="4" t="str">
        <f>IFERROR(VLOOKUP(A3180,'Base Prueba'!A:D,4,),"NO REGISTRA")</f>
        <v>PROMOTOR CALL CENTER</v>
      </c>
      <c r="E3180" s="5" t="str">
        <f>IFERROR(VLOOKUP(A3180,'Base Prueba'!A:E,5,),"NO REGISTRA")</f>
        <v>OFICINA DE MERCADEO</v>
      </c>
    </row>
    <row r="3181" spans="1:5" ht="15.75" x14ac:dyDescent="0.25">
      <c r="A3181" s="10">
        <v>1003690253</v>
      </c>
      <c r="B3181" s="2">
        <v>46080.765555092592</v>
      </c>
      <c r="C3181" s="3" t="str">
        <f>IFERROR(VLOOKUP(A3181,'Base Prueba'!A:C,3,),"NO REGISTRA")</f>
        <v>MELISSA GONZALEZ PEDRAZA</v>
      </c>
      <c r="D3181" s="4" t="str">
        <f>IFERROR(VLOOKUP(A3181,'Base Prueba'!A:D,4,),"NO REGISTRA")</f>
        <v>LIDER DE JOVENES A LA E</v>
      </c>
      <c r="E3181" s="5" t="str">
        <f>IFERROR(VLOOKUP(A3181,'Base Prueba'!A:E,5,),"NO REGISTRA")</f>
        <v>DIRECCION DE BIENESTAR INSTITUCIONAL</v>
      </c>
    </row>
    <row r="3182" spans="1:5" ht="15.75" x14ac:dyDescent="0.25">
      <c r="A3182" s="10">
        <v>28798349</v>
      </c>
      <c r="B3182" s="2">
        <v>46080.76905289352</v>
      </c>
      <c r="C3182" s="3" t="str">
        <f>IFERROR(VLOOKUP(A3182,'Base Prueba'!A:C,3,),"NO REGISTRA")</f>
        <v>MARTHA ISABEL TOVAR WILLIAMS</v>
      </c>
      <c r="D3182" s="4" t="str">
        <f>IFERROR(VLOOKUP(A3182,'Base Prueba'!A:D,4,),"NO REGISTRA")</f>
        <v>PROMOTOR CALL CENTER</v>
      </c>
      <c r="E3182" s="5" t="str">
        <f>IFERROR(VLOOKUP(A3182,'Base Prueba'!A:E,5,),"NO REGISTRA")</f>
        <v>OFICINA DE MERCADEO</v>
      </c>
    </row>
    <row r="3183" spans="1:5" ht="15.75" x14ac:dyDescent="0.25">
      <c r="A3183" s="10">
        <v>80234243</v>
      </c>
      <c r="B3183" s="2">
        <v>46080.780168634257</v>
      </c>
      <c r="C3183" s="3" t="str">
        <f>IFERROR(VLOOKUP(A3183,'Base Prueba'!A:C,3,),"NO REGISTRA")</f>
        <v>ARGENIS MARTINEZ MARTINEZ</v>
      </c>
      <c r="D3183" s="4" t="str">
        <f>IFERROR(VLOOKUP(A3183,'Base Prueba'!A:D,4,),"NO REGISTRA")</f>
        <v>LIDER CALL CENTER</v>
      </c>
      <c r="E3183" s="5" t="str">
        <f>IFERROR(VLOOKUP(A3183,'Base Prueba'!A:E,5,),"NO REGISTRA")</f>
        <v>OFICINA DE MERCADEO</v>
      </c>
    </row>
    <row r="3184" spans="1:5" ht="15.75" x14ac:dyDescent="0.25">
      <c r="A3184" s="10">
        <v>52472386</v>
      </c>
      <c r="B3184" s="2">
        <v>46080.783691319448</v>
      </c>
      <c r="C3184" s="3" t="str">
        <f>IFERROR(VLOOKUP(A3184,'Base Prueba'!A:C,3,),"NO REGISTRA")</f>
        <v>ADRIANA MARCELA MORALES PARDO</v>
      </c>
      <c r="D3184" s="4" t="str">
        <f>IFERROR(VLOOKUP(A3184,'Base Prueba'!A:D,4,),"NO REGISTRA")</f>
        <v>PROMOTOR CALL CENTER</v>
      </c>
      <c r="E3184" s="5" t="str">
        <f>IFERROR(VLOOKUP(A3184,'Base Prueba'!A:E,5,),"NO REGISTRA")</f>
        <v>OFICINA DE MERCADEO</v>
      </c>
    </row>
    <row r="3185" spans="1:5" ht="15.75" x14ac:dyDescent="0.25">
      <c r="A3185" s="10">
        <v>52443092</v>
      </c>
      <c r="B3185" s="2">
        <v>46080.791698032408</v>
      </c>
      <c r="C3185" s="3" t="str">
        <f>IFERROR(VLOOKUP(A3185,'Base Prueba'!A:C,3,),"NO REGISTRA")</f>
        <v>LUZ MYRIAM SAAVEDRA CONTRERAS</v>
      </c>
      <c r="D3185" s="4" t="str">
        <f>IFERROR(VLOOKUP(A3185,'Base Prueba'!A:D,4,),"NO REGISTRA")</f>
        <v>AUXILIAR DE SERVICIOS</v>
      </c>
      <c r="E3185" s="5" t="str">
        <f>IFERROR(VLOOKUP(A3185,'Base Prueba'!A:E,5,),"NO REGISTRA")</f>
        <v>LOGISTICA Y SERVICIOS GENERALES</v>
      </c>
    </row>
    <row r="3186" spans="1:5" ht="15.75" x14ac:dyDescent="0.25">
      <c r="A3186" s="10">
        <v>1013616244</v>
      </c>
      <c r="B3186" s="2">
        <v>46080.798772800925</v>
      </c>
      <c r="C3186" s="3" t="str">
        <f>IFERROR(VLOOKUP(A3186,'Base Prueba'!A:C,3,),"NO REGISTRA")</f>
        <v>DIANA CAROLINA MARIN BETANCOURT</v>
      </c>
      <c r="D3186" s="4" t="str">
        <f>IFERROR(VLOOKUP(A3186,'Base Prueba'!A:D,4,),"NO REGISTRA")</f>
        <v>AUXILIAR ADMINISTRATIVO</v>
      </c>
      <c r="E3186" s="5" t="str">
        <f>IFERROR(VLOOKUP(A3186,'Base Prueba'!A:E,5,),"NO REGISTRA")</f>
        <v>REGISTRO Y CONTROL ACADEMICO</v>
      </c>
    </row>
    <row r="3187" spans="1:5" ht="15.75" x14ac:dyDescent="0.25">
      <c r="A3187" s="10">
        <v>52474489</v>
      </c>
      <c r="B3187" s="2">
        <v>46080.810181828703</v>
      </c>
      <c r="C3187" s="3" t="str">
        <f>IFERROR(VLOOKUP(A3187,'Base Prueba'!A:C,3,),"NO REGISTRA")</f>
        <v>ADRIANA JIMENA SOTO BOCANEGRA</v>
      </c>
      <c r="D3187" s="4" t="str">
        <f>IFERROR(VLOOKUP(A3187,'Base Prueba'!A:D,4,),"NO REGISTRA")</f>
        <v>COORDINADOR DE LA OFICINA DE REGISTRO Y CONTROL</v>
      </c>
      <c r="E3187" s="5" t="str">
        <f>IFERROR(VLOOKUP(A3187,'Base Prueba'!A:E,5,),"NO REGISTRA")</f>
        <v>REGISTRO Y CONTROL ACADEMICO</v>
      </c>
    </row>
    <row r="3188" spans="1:5" ht="15.75" x14ac:dyDescent="0.25">
      <c r="A3188" s="10">
        <v>1013616244</v>
      </c>
      <c r="B3188" s="2">
        <v>46081.309909953707</v>
      </c>
      <c r="C3188" s="3" t="str">
        <f>IFERROR(VLOOKUP(A3188,'Base Prueba'!A:C,3,),"NO REGISTRA")</f>
        <v>DIANA CAROLINA MARIN BETANCOURT</v>
      </c>
      <c r="D3188" s="4" t="str">
        <f>IFERROR(VLOOKUP(A3188,'Base Prueba'!A:D,4,),"NO REGISTRA")</f>
        <v>AUXILIAR ADMINISTRATIVO</v>
      </c>
      <c r="E3188" s="5" t="str">
        <f>IFERROR(VLOOKUP(A3188,'Base Prueba'!A:E,5,),"NO REGISTRA")</f>
        <v>REGISTRO Y CONTROL ACADEMICO</v>
      </c>
    </row>
    <row r="3189" spans="1:5" ht="15.75" x14ac:dyDescent="0.25">
      <c r="A3189" s="10">
        <v>1031802160</v>
      </c>
      <c r="B3189" s="2">
        <v>46081.335621874998</v>
      </c>
      <c r="C3189" s="3" t="str">
        <f>IFERROR(VLOOKUP(A3189,'Base Prueba'!A:C,3,),"NO REGISTRA")</f>
        <v>LUISA MARIA MAHECHA SOTOMAYOR</v>
      </c>
      <c r="D3189" s="4" t="str">
        <f>IFERROR(VLOOKUP(A3189,'Base Prueba'!A:D,4,),"NO REGISTRA")</f>
        <v>APRENDIZ UNIVERSITARIO</v>
      </c>
      <c r="E3189" s="5" t="str">
        <f>IFERROR(VLOOKUP(A3189,'Base Prueba'!A:E,5,),"NO REGISTRA")</f>
        <v>OFICINA DE MERCADEO</v>
      </c>
    </row>
    <row r="3190" spans="1:5" ht="15.75" x14ac:dyDescent="0.25">
      <c r="A3190" s="10">
        <v>1000324729</v>
      </c>
      <c r="B3190" s="2">
        <v>46081.355247222222</v>
      </c>
      <c r="C3190" s="3" t="str">
        <f>IFERROR(VLOOKUP(A3190,'Base Prueba'!A:C,3,),"NO REGISTRA")</f>
        <v>ANYIE VANESSA TINOCO CAMACHO</v>
      </c>
      <c r="D3190" s="4" t="str">
        <f>IFERROR(VLOOKUP(A3190,'Base Prueba'!A:D,4,),"NO REGISTRA")</f>
        <v>LIDER DE REGISTRO Y CONTROL</v>
      </c>
      <c r="E3190" s="5" t="str">
        <f>IFERROR(VLOOKUP(A3190,'Base Prueba'!A:E,5,),"NO REGISTRA")</f>
        <v>REGISTRO Y CONTROL ACADEMICO</v>
      </c>
    </row>
    <row r="3191" spans="1:5" ht="15.75" x14ac:dyDescent="0.25">
      <c r="A3191" s="10">
        <v>53089882</v>
      </c>
      <c r="B3191" s="2">
        <v>46081.355617824076</v>
      </c>
      <c r="C3191" s="3" t="str">
        <f>IFERROR(VLOOKUP(A3191,'Base Prueba'!A:C,3,),"NO REGISTRA")</f>
        <v>MARIA JOHANA ESCAMILLA MARTINEZ</v>
      </c>
      <c r="D3191" s="4" t="str">
        <f>IFERROR(VLOOKUP(A3191,'Base Prueba'!A:D,4,),"NO REGISTRA")</f>
        <v>PROMOTOR DE INFORMACIÓN</v>
      </c>
      <c r="E3191" s="5" t="str">
        <f>IFERROR(VLOOKUP(A3191,'Base Prueba'!A:E,5,),"NO REGISTRA")</f>
        <v>OFICINA DE MERCADEO</v>
      </c>
    </row>
    <row r="3192" spans="1:5" ht="15.75" x14ac:dyDescent="0.25">
      <c r="A3192" s="10">
        <v>1033709056</v>
      </c>
      <c r="B3192" s="2">
        <v>46081.368340046298</v>
      </c>
      <c r="C3192" s="3" t="str">
        <f>IFERROR(VLOOKUP(A3192,'Base Prueba'!A:C,3,),"NO REGISTRA")</f>
        <v>YEIMY ALEXANDRA RODRIGUEZ PALACIO</v>
      </c>
      <c r="D3192" s="4" t="str">
        <f>IFERROR(VLOOKUP(A3192,'Base Prueba'!A:D,4,),"NO REGISTRA")</f>
        <v>PROMOTOR CALL CENTER</v>
      </c>
      <c r="E3192" s="5" t="str">
        <f>IFERROR(VLOOKUP(A3192,'Base Prueba'!A:E,5,),"NO REGISTRA")</f>
        <v>OFICINA DE MERCADEO</v>
      </c>
    </row>
    <row r="3193" spans="1:5" ht="15.75" x14ac:dyDescent="0.25">
      <c r="A3193" s="10">
        <v>1012357415</v>
      </c>
      <c r="B3193" s="2">
        <v>46081.369378703705</v>
      </c>
      <c r="C3193" s="3" t="str">
        <f>IFERROR(VLOOKUP(A3193,'Base Prueba'!A:C,3,),"NO REGISTRA")</f>
        <v>CINDY LORENA BOHORQUEZ LEYVA</v>
      </c>
      <c r="D3193" s="4" t="str">
        <f>IFERROR(VLOOKUP(A3193,'Base Prueba'!A:D,4,),"NO REGISTRA")</f>
        <v>ANALISTA DE TESORERIA</v>
      </c>
      <c r="E3193" s="5" t="str">
        <f>IFERROR(VLOOKUP(A3193,'Base Prueba'!A:E,5,),"NO REGISTRA")</f>
        <v>AREA FINANCIERA Y CONTABLE</v>
      </c>
    </row>
    <row r="3194" spans="1:5" ht="15.75" x14ac:dyDescent="0.25">
      <c r="A3194" s="10">
        <v>1000604979</v>
      </c>
      <c r="B3194" s="2">
        <v>46081.370105208334</v>
      </c>
      <c r="C3194" s="3" t="str">
        <f>IFERROR(VLOOKUP(A3194,'Base Prueba'!A:C,3,),"NO REGISTRA")</f>
        <v>JULIETH TATIANA PARDO PINTO</v>
      </c>
      <c r="D3194" s="4" t="str">
        <f>IFERROR(VLOOKUP(A3194,'Base Prueba'!A:D,4,),"NO REGISTRA")</f>
        <v>AUXILIAR JURIDICO</v>
      </c>
      <c r="E3194" s="5" t="str">
        <f>IFERROR(VLOOKUP(A3194,'Base Prueba'!A:E,5,),"NO REGISTRA")</f>
        <v>SECRETARIA GENERAL</v>
      </c>
    </row>
    <row r="3195" spans="1:5" ht="15.75" x14ac:dyDescent="0.25">
      <c r="A3195" s="10">
        <v>1014211708</v>
      </c>
      <c r="B3195" s="2">
        <v>46081.371912847222</v>
      </c>
      <c r="C3195" s="3" t="str">
        <f>IFERROR(VLOOKUP(A3195,'Base Prueba'!A:C,3,),"NO REGISTRA")</f>
        <v>JUAN MANUEL MERCADO FUENTES</v>
      </c>
      <c r="D3195" s="4" t="str">
        <f>IFERROR(VLOOKUP(A3195,'Base Prueba'!A:D,4,),"NO REGISTRA")</f>
        <v>COORDINADOR DE DISEÑO E IMAGEN INSTITUCIONAL</v>
      </c>
      <c r="E3195" s="5" t="str">
        <f>IFERROR(VLOOKUP(A3195,'Base Prueba'!A:E,5,),"NO REGISTRA")</f>
        <v>OFICINA DE MERCADEO</v>
      </c>
    </row>
    <row r="3196" spans="1:5" ht="15.75" x14ac:dyDescent="0.25">
      <c r="A3196" s="10">
        <v>80234243</v>
      </c>
      <c r="B3196" s="2">
        <v>46081.373143634257</v>
      </c>
      <c r="C3196" s="3" t="str">
        <f>IFERROR(VLOOKUP(A3196,'Base Prueba'!A:C,3,),"NO REGISTRA")</f>
        <v>ARGENIS MARTINEZ MARTINEZ</v>
      </c>
      <c r="D3196" s="4" t="str">
        <f>IFERROR(VLOOKUP(A3196,'Base Prueba'!A:D,4,),"NO REGISTRA")</f>
        <v>LIDER CALL CENTER</v>
      </c>
      <c r="E3196" s="5" t="str">
        <f>IFERROR(VLOOKUP(A3196,'Base Prueba'!A:E,5,),"NO REGISTRA")</f>
        <v>OFICINA DE MERCADEO</v>
      </c>
    </row>
    <row r="3197" spans="1:5" ht="15.75" x14ac:dyDescent="0.25">
      <c r="A3197" s="10">
        <v>1000046533</v>
      </c>
      <c r="B3197" s="2">
        <v>46081.37405046296</v>
      </c>
      <c r="C3197" s="3" t="str">
        <f>IFERROR(VLOOKUP(A3197,'Base Prueba'!A:C,3,),"NO REGISTRA")</f>
        <v>ERIKA JULIETH VALDERRAMA SANCHEZ</v>
      </c>
      <c r="D3197" s="4" t="str">
        <f>IFERROR(VLOOKUP(A3197,'Base Prueba'!A:D,4,),"NO REGISTRA")</f>
        <v>PROMOTOR CALL CENTER</v>
      </c>
      <c r="E3197" s="5" t="str">
        <f>IFERROR(VLOOKUP(A3197,'Base Prueba'!A:E,5,),"NO REGISTRA")</f>
        <v>OFICINA DE MERCADEO</v>
      </c>
    </row>
    <row r="3198" spans="1:5" ht="15.75" x14ac:dyDescent="0.25">
      <c r="A3198" s="10">
        <v>28798349</v>
      </c>
      <c r="B3198" s="2">
        <v>46081.374870486114</v>
      </c>
      <c r="C3198" s="3" t="str">
        <f>IFERROR(VLOOKUP(A3198,'Base Prueba'!A:C,3,),"NO REGISTRA")</f>
        <v>MARTHA ISABEL TOVAR WILLIAMS</v>
      </c>
      <c r="D3198" s="4" t="str">
        <f>IFERROR(VLOOKUP(A3198,'Base Prueba'!A:D,4,),"NO REGISTRA")</f>
        <v>PROMOTOR CALL CENTER</v>
      </c>
      <c r="E3198" s="5" t="str">
        <f>IFERROR(VLOOKUP(A3198,'Base Prueba'!A:E,5,),"NO REGISTRA")</f>
        <v>OFICINA DE MERCADEO</v>
      </c>
    </row>
    <row r="3199" spans="1:5" ht="15.75" x14ac:dyDescent="0.25">
      <c r="A3199" s="10">
        <v>1018414290</v>
      </c>
      <c r="B3199" s="2">
        <v>46081.375677199074</v>
      </c>
      <c r="C3199" s="3" t="str">
        <f>IFERROR(VLOOKUP(A3199,'Base Prueba'!A:C,3,),"NO REGISTRA")</f>
        <v>AMANDA LISBETH RODRIGUEZ LEON</v>
      </c>
      <c r="D3199" s="4" t="str">
        <f>IFERROR(VLOOKUP(A3199,'Base Prueba'!A:D,4,),"NO REGISTRA")</f>
        <v>PROMOTOR CALL CENTER</v>
      </c>
      <c r="E3199" s="5" t="str">
        <f>IFERROR(VLOOKUP(A3199,'Base Prueba'!A:E,5,),"NO REGISTRA")</f>
        <v>OFICINA DE MERCADEO</v>
      </c>
    </row>
    <row r="3200" spans="1:5" ht="15.75" x14ac:dyDescent="0.25">
      <c r="A3200" s="10">
        <v>1012426741</v>
      </c>
      <c r="B3200" s="2">
        <v>46081.375897337966</v>
      </c>
      <c r="C3200" s="3" t="str">
        <f>IFERROR(VLOOKUP(A3200,'Base Prueba'!A:C,3,),"NO REGISTRA")</f>
        <v>CRISTIAN FABIAN ROJAS SANCENO</v>
      </c>
      <c r="D3200" s="4" t="str">
        <f>IFERROR(VLOOKUP(A3200,'Base Prueba'!A:D,4,),"NO REGISTRA")</f>
        <v>AUXILIAR DE REINTEGROS</v>
      </c>
      <c r="E3200" s="5" t="str">
        <f>IFERROR(VLOOKUP(A3200,'Base Prueba'!A:E,5,),"NO REGISTRA")</f>
        <v>DIRECCION DE BIENESTAR INSTITUCIONAL</v>
      </c>
    </row>
    <row r="3201" spans="1:5" ht="15.75" x14ac:dyDescent="0.25">
      <c r="A3201" s="10">
        <v>1032407386</v>
      </c>
      <c r="B3201" s="2">
        <v>46081.377616782411</v>
      </c>
      <c r="C3201" s="3" t="str">
        <f>IFERROR(VLOOKUP(A3201,'Base Prueba'!A:C,3,),"NO REGISTRA")</f>
        <v>GINA PAOLA BAEZ GALVIS</v>
      </c>
      <c r="D3201" s="4" t="str">
        <f>IFERROR(VLOOKUP(A3201,'Base Prueba'!A:D,4,),"NO REGISTRA")</f>
        <v>PROMOTOR CALL CENTER</v>
      </c>
      <c r="E3201" s="5" t="str">
        <f>IFERROR(VLOOKUP(A3201,'Base Prueba'!A:E,5,),"NO REGISTRA")</f>
        <v>OFICINA DE MERCADEO</v>
      </c>
    </row>
    <row r="3202" spans="1:5" ht="15.75" x14ac:dyDescent="0.25">
      <c r="A3202" s="10">
        <v>52764929</v>
      </c>
      <c r="B3202" s="2">
        <v>46081.378300578705</v>
      </c>
      <c r="C3202" s="3" t="str">
        <f>IFERROR(VLOOKUP(A3202,'Base Prueba'!A:C,3,),"NO REGISTRA")</f>
        <v>GUERLY YOHANA DURAN RIVERA</v>
      </c>
      <c r="D3202" s="4" t="str">
        <f>IFERROR(VLOOKUP(A3202,'Base Prueba'!A:D,4,),"NO REGISTRA")</f>
        <v>LIDER DE VINCULACION COLEGIOS</v>
      </c>
      <c r="E3202" s="5" t="str">
        <f>IFERROR(VLOOKUP(A3202,'Base Prueba'!A:E,5,),"NO REGISTRA")</f>
        <v>OFICINA DE MERCADEO</v>
      </c>
    </row>
    <row r="3203" spans="1:5" ht="15.75" x14ac:dyDescent="0.25">
      <c r="A3203" s="10">
        <v>1003690253</v>
      </c>
      <c r="B3203" s="2">
        <v>46081.378695717591</v>
      </c>
      <c r="C3203" s="3" t="str">
        <f>IFERROR(VLOOKUP(A3203,'Base Prueba'!A:C,3,),"NO REGISTRA")</f>
        <v>MELISSA GONZALEZ PEDRAZA</v>
      </c>
      <c r="D3203" s="4" t="str">
        <f>IFERROR(VLOOKUP(A3203,'Base Prueba'!A:D,4,),"NO REGISTRA")</f>
        <v>LIDER DE JOVENES A LA E</v>
      </c>
      <c r="E3203" s="5" t="str">
        <f>IFERROR(VLOOKUP(A3203,'Base Prueba'!A:E,5,),"NO REGISTRA")</f>
        <v>DIRECCION DE BIENESTAR INSTITUCIONAL</v>
      </c>
    </row>
    <row r="3204" spans="1:5" ht="15.75" x14ac:dyDescent="0.25">
      <c r="A3204" s="10">
        <v>52175674</v>
      </c>
      <c r="B3204" s="2">
        <v>46081.384085532409</v>
      </c>
      <c r="C3204" s="3" t="str">
        <f>IFERROR(VLOOKUP(A3204,'Base Prueba'!A:C,3,),"NO REGISTRA")</f>
        <v>LUZ YANETH GOMEZ AREVALO</v>
      </c>
      <c r="D3204" s="4" t="str">
        <f>IFERROR(VLOOKUP(A3204,'Base Prueba'!A:D,4,),"NO REGISTRA")</f>
        <v>COORDINADORA DE ADMISIONES</v>
      </c>
      <c r="E3204" s="5" t="str">
        <f>IFERROR(VLOOKUP(A3204,'Base Prueba'!A:E,5,),"NO REGISTRA")</f>
        <v>OFICINA DE MERCADEO</v>
      </c>
    </row>
    <row r="3205" spans="1:5" ht="15.75" x14ac:dyDescent="0.25">
      <c r="A3205" s="10">
        <v>1032425800</v>
      </c>
      <c r="B3205" s="2">
        <v>46081.407269097224</v>
      </c>
      <c r="C3205" s="3" t="str">
        <f>IFERROR(VLOOKUP(A3205,'Base Prueba'!A:C,3,),"NO REGISTRA")</f>
        <v>LUIS ALEJANDRO REY DUQUE</v>
      </c>
      <c r="D3205" s="4" t="str">
        <f>IFERROR(VLOOKUP(A3205,'Base Prueba'!A:D,4,),"NO REGISTRA")</f>
        <v>DOCENTE DE MEDIO TIEMPO</v>
      </c>
      <c r="E3205" s="5" t="str">
        <f>IFERROR(VLOOKUP(A3205,'Base Prueba'!A:E,5,),"NO REGISTRA")</f>
        <v>CIENCIAS DE LA INFORMACION Y BIBLIOTECOLOGIA</v>
      </c>
    </row>
    <row r="3206" spans="1:5" ht="15.75" x14ac:dyDescent="0.25">
      <c r="A3206" s="10">
        <v>53089882</v>
      </c>
      <c r="B3206" s="2">
        <v>46081.487031712961</v>
      </c>
      <c r="C3206" s="3" t="str">
        <f>IFERROR(VLOOKUP(A3206,'Base Prueba'!A:C,3,),"NO REGISTRA")</f>
        <v>MARIA JOHANA ESCAMILLA MARTINEZ</v>
      </c>
      <c r="D3206" s="4" t="str">
        <f>IFERROR(VLOOKUP(A3206,'Base Prueba'!A:D,4,),"NO REGISTRA")</f>
        <v>PROMOTOR DE INFORMACIÓN</v>
      </c>
      <c r="E3206" s="5" t="str">
        <f>IFERROR(VLOOKUP(A3206,'Base Prueba'!A:E,5,),"NO REGISTRA")</f>
        <v>OFICINA DE MERCADEO</v>
      </c>
    </row>
    <row r="3207" spans="1:5" ht="15.75" x14ac:dyDescent="0.25">
      <c r="A3207" s="10">
        <v>1012426741</v>
      </c>
      <c r="B3207" s="2">
        <v>46081.500181828706</v>
      </c>
      <c r="C3207" s="3" t="str">
        <f>IFERROR(VLOOKUP(A3207,'Base Prueba'!A:C,3,),"NO REGISTRA")</f>
        <v>CRISTIAN FABIAN ROJAS SANCENO</v>
      </c>
      <c r="D3207" s="4" t="str">
        <f>IFERROR(VLOOKUP(A3207,'Base Prueba'!A:D,4,),"NO REGISTRA")</f>
        <v>AUXILIAR DE REINTEGROS</v>
      </c>
      <c r="E3207" s="5" t="str">
        <f>IFERROR(VLOOKUP(A3207,'Base Prueba'!A:E,5,),"NO REGISTRA")</f>
        <v>DIRECCION DE BIENESTAR INSTITUCIONAL</v>
      </c>
    </row>
    <row r="3208" spans="1:5" ht="15.75" x14ac:dyDescent="0.25">
      <c r="A3208" s="10">
        <v>1031802160</v>
      </c>
      <c r="B3208" s="2">
        <v>46081.502419444441</v>
      </c>
      <c r="C3208" s="3" t="str">
        <f>IFERROR(VLOOKUP(A3208,'Base Prueba'!A:C,3,),"NO REGISTRA")</f>
        <v>LUISA MARIA MAHECHA SOTOMAYOR</v>
      </c>
      <c r="D3208" s="4" t="str">
        <f>IFERROR(VLOOKUP(A3208,'Base Prueba'!A:D,4,),"NO REGISTRA")</f>
        <v>APRENDIZ UNIVERSITARIO</v>
      </c>
      <c r="E3208" s="5" t="str">
        <f>IFERROR(VLOOKUP(A3208,'Base Prueba'!A:E,5,),"NO REGISTRA")</f>
        <v>OFICINA DE MERCADEO</v>
      </c>
    </row>
    <row r="3209" spans="1:5" ht="15.75" x14ac:dyDescent="0.25">
      <c r="A3209" s="10">
        <v>1012357415</v>
      </c>
      <c r="B3209" s="2">
        <v>46081.502943287036</v>
      </c>
      <c r="C3209" s="3" t="str">
        <f>IFERROR(VLOOKUP(A3209,'Base Prueba'!A:C,3,),"NO REGISTRA")</f>
        <v>CINDY LORENA BOHORQUEZ LEYVA</v>
      </c>
      <c r="D3209" s="4" t="str">
        <f>IFERROR(VLOOKUP(A3209,'Base Prueba'!A:D,4,),"NO REGISTRA")</f>
        <v>ANALISTA DE TESORERIA</v>
      </c>
      <c r="E3209" s="5" t="str">
        <f>IFERROR(VLOOKUP(A3209,'Base Prueba'!A:E,5,),"NO REGISTRA")</f>
        <v>AREA FINANCIERA Y CONTABLE</v>
      </c>
    </row>
    <row r="3210" spans="1:5" ht="15.75" x14ac:dyDescent="0.25">
      <c r="A3210" s="10">
        <v>1000046533</v>
      </c>
      <c r="B3210" s="2">
        <v>46081.50298391204</v>
      </c>
      <c r="C3210" s="3" t="str">
        <f>IFERROR(VLOOKUP(A3210,'Base Prueba'!A:C,3,),"NO REGISTRA")</f>
        <v>ERIKA JULIETH VALDERRAMA SANCHEZ</v>
      </c>
      <c r="D3210" s="4" t="str">
        <f>IFERROR(VLOOKUP(A3210,'Base Prueba'!A:D,4,),"NO REGISTRA")</f>
        <v>PROMOTOR CALL CENTER</v>
      </c>
      <c r="E3210" s="5" t="str">
        <f>IFERROR(VLOOKUP(A3210,'Base Prueba'!A:E,5,),"NO REGISTRA")</f>
        <v>OFICINA DE MERCADEO</v>
      </c>
    </row>
    <row r="3211" spans="1:5" ht="15.75" x14ac:dyDescent="0.25">
      <c r="A3211" s="10">
        <v>1033709056</v>
      </c>
      <c r="B3211" s="2">
        <v>46081.505263310188</v>
      </c>
      <c r="C3211" s="3" t="str">
        <f>IFERROR(VLOOKUP(A3211,'Base Prueba'!A:C,3,),"NO REGISTRA")</f>
        <v>YEIMY ALEXANDRA RODRIGUEZ PALACIO</v>
      </c>
      <c r="D3211" s="4" t="str">
        <f>IFERROR(VLOOKUP(A3211,'Base Prueba'!A:D,4,),"NO REGISTRA")</f>
        <v>PROMOTOR CALL CENTER</v>
      </c>
      <c r="E3211" s="5" t="str">
        <f>IFERROR(VLOOKUP(A3211,'Base Prueba'!A:E,5,),"NO REGISTRA")</f>
        <v>OFICINA DE MERCADEO</v>
      </c>
    </row>
    <row r="3212" spans="1:5" ht="15.75" x14ac:dyDescent="0.25">
      <c r="A3212" s="10">
        <v>1018414290</v>
      </c>
      <c r="B3212" s="2">
        <v>46081.50554421296</v>
      </c>
      <c r="C3212" s="3" t="str">
        <f>IFERROR(VLOOKUP(A3212,'Base Prueba'!A:C,3,),"NO REGISTRA")</f>
        <v>AMANDA LISBETH RODRIGUEZ LEON</v>
      </c>
      <c r="D3212" s="4" t="str">
        <f>IFERROR(VLOOKUP(A3212,'Base Prueba'!A:D,4,),"NO REGISTRA")</f>
        <v>PROMOTOR CALL CENTER</v>
      </c>
      <c r="E3212" s="5" t="str">
        <f>IFERROR(VLOOKUP(A3212,'Base Prueba'!A:E,5,),"NO REGISTRA")</f>
        <v>OFICINA DE MERCADEO</v>
      </c>
    </row>
    <row r="3213" spans="1:5" ht="15.75" x14ac:dyDescent="0.25">
      <c r="A3213" s="10">
        <v>52764929</v>
      </c>
      <c r="B3213" s="2">
        <v>46081.506813888889</v>
      </c>
      <c r="C3213" s="3" t="str">
        <f>IFERROR(VLOOKUP(A3213,'Base Prueba'!A:C,3,),"NO REGISTRA")</f>
        <v>GUERLY YOHANA DURAN RIVERA</v>
      </c>
      <c r="D3213" s="4" t="str">
        <f>IFERROR(VLOOKUP(A3213,'Base Prueba'!A:D,4,),"NO REGISTRA")</f>
        <v>LIDER DE VINCULACION COLEGIOS</v>
      </c>
      <c r="E3213" s="5" t="str">
        <f>IFERROR(VLOOKUP(A3213,'Base Prueba'!A:E,5,),"NO REGISTRA")</f>
        <v>OFICINA DE MERCADEO</v>
      </c>
    </row>
    <row r="3214" spans="1:5" ht="15.75" x14ac:dyDescent="0.25">
      <c r="A3214" s="10">
        <v>1000324729</v>
      </c>
      <c r="B3214" s="2">
        <v>46081.507727314813</v>
      </c>
      <c r="C3214" s="3" t="str">
        <f>IFERROR(VLOOKUP(A3214,'Base Prueba'!A:C,3,),"NO REGISTRA")</f>
        <v>ANYIE VANESSA TINOCO CAMACHO</v>
      </c>
      <c r="D3214" s="4" t="str">
        <f>IFERROR(VLOOKUP(A3214,'Base Prueba'!A:D,4,),"NO REGISTRA")</f>
        <v>LIDER DE REGISTRO Y CONTROL</v>
      </c>
      <c r="E3214" s="5" t="str">
        <f>IFERROR(VLOOKUP(A3214,'Base Prueba'!A:E,5,),"NO REGISTRA")</f>
        <v>REGISTRO Y CONTROL ACADEMICO</v>
      </c>
    </row>
    <row r="3215" spans="1:5" ht="15.75" x14ac:dyDescent="0.25">
      <c r="A3215" s="10">
        <v>52175674</v>
      </c>
      <c r="B3215" s="2">
        <v>46081.510802777775</v>
      </c>
      <c r="C3215" s="3" t="str">
        <f>IFERROR(VLOOKUP(A3215,'Base Prueba'!A:C,3,),"NO REGISTRA")</f>
        <v>LUZ YANETH GOMEZ AREVALO</v>
      </c>
      <c r="D3215" s="4" t="str">
        <f>IFERROR(VLOOKUP(A3215,'Base Prueba'!A:D,4,),"NO REGISTRA")</f>
        <v>COORDINADORA DE ADMISIONES</v>
      </c>
      <c r="E3215" s="5" t="str">
        <f>IFERROR(VLOOKUP(A3215,'Base Prueba'!A:E,5,),"NO REGISTRA")</f>
        <v>OFICINA DE MERCADEO</v>
      </c>
    </row>
    <row r="3216" spans="1:5" ht="15.75" x14ac:dyDescent="0.25">
      <c r="A3216" s="10">
        <v>1016090131</v>
      </c>
      <c r="B3216" s="2">
        <v>46081.512150000002</v>
      </c>
      <c r="C3216" s="3" t="str">
        <f>IFERROR(VLOOKUP(A3216,'Base Prueba'!A:C,3,),"NO REGISTRA")</f>
        <v>NICOLAS RODRIGUEZ PACHECO</v>
      </c>
      <c r="D3216" s="4" t="str">
        <f>IFERROR(VLOOKUP(A3216,'Base Prueba'!A:D,4,),"NO REGISTRA")</f>
        <v>COORDINADOR DE COMUNICACIONES</v>
      </c>
      <c r="E3216" s="5" t="str">
        <f>IFERROR(VLOOKUP(A3216,'Base Prueba'!A:E,5,),"NO REGISTRA")</f>
        <v>OFICINA DE MERCADEO</v>
      </c>
    </row>
    <row r="3217" spans="1:5" ht="15.75" x14ac:dyDescent="0.25">
      <c r="A3217" s="10">
        <v>1000161811</v>
      </c>
      <c r="B3217" s="2">
        <v>46081.51231435185</v>
      </c>
      <c r="C3217" s="3" t="str">
        <f>IFERROR(VLOOKUP(A3217,'Base Prueba'!A:C,3,),"NO REGISTRA")</f>
        <v>DIEGO ANDRES VARON ROZO</v>
      </c>
      <c r="D3217" s="4" t="str">
        <f>IFERROR(VLOOKUP(A3217,'Base Prueba'!A:D,4,),"NO REGISTRA")</f>
        <v>APRENDIZ UNIVERSITARIO</v>
      </c>
      <c r="E3217" s="5" t="str">
        <f>IFERROR(VLOOKUP(A3217,'Base Prueba'!A:E,5,),"NO REGISTRA")</f>
        <v>OFICINA DE MERCADEO</v>
      </c>
    </row>
    <row r="3218" spans="1:5" ht="15.75" x14ac:dyDescent="0.25">
      <c r="A3218" s="10">
        <v>1193265768</v>
      </c>
      <c r="B3218" s="2">
        <v>46081.513594212964</v>
      </c>
      <c r="C3218" s="3" t="str">
        <f>IFERROR(VLOOKUP(A3218,'Base Prueba'!A:C,3,),"NO REGISTRA")</f>
        <v>SANTIAGO OSORIO CAMACHO</v>
      </c>
      <c r="D3218" s="4" t="str">
        <f>IFERROR(VLOOKUP(A3218,'Base Prueba'!A:D,4,),"NO REGISTRA")</f>
        <v>ANALISTA DE PAUTA</v>
      </c>
      <c r="E3218" s="5" t="str">
        <f>IFERROR(VLOOKUP(A3218,'Base Prueba'!A:E,5,),"NO REGISTRA")</f>
        <v>OFICINA DE MERCADEO</v>
      </c>
    </row>
    <row r="3219" spans="1:5" ht="15.75" x14ac:dyDescent="0.25">
      <c r="A3219" s="10">
        <v>1014211708</v>
      </c>
      <c r="B3219" s="2">
        <v>46081.513612152776</v>
      </c>
      <c r="C3219" s="3" t="str">
        <f>IFERROR(VLOOKUP(A3219,'Base Prueba'!A:C,3,),"NO REGISTRA")</f>
        <v>JUAN MANUEL MERCADO FUENTES</v>
      </c>
      <c r="D3219" s="4" t="str">
        <f>IFERROR(VLOOKUP(A3219,'Base Prueba'!A:D,4,),"NO REGISTRA")</f>
        <v>COORDINADOR DE DISEÑO E IMAGEN INSTITUCIONAL</v>
      </c>
      <c r="E3219" s="5" t="str">
        <f>IFERROR(VLOOKUP(A3219,'Base Prueba'!A:E,5,),"NO REGISTRA")</f>
        <v>OFICINA DE MERCADEO</v>
      </c>
    </row>
    <row r="3220" spans="1:5" ht="15.75" x14ac:dyDescent="0.25">
      <c r="A3220" s="10">
        <v>1014196857</v>
      </c>
      <c r="B3220" s="2">
        <v>46081.513646412037</v>
      </c>
      <c r="C3220" s="3" t="str">
        <f>IFERROR(VLOOKUP(A3220,'Base Prueba'!A:C,3,),"NO REGISTRA")</f>
        <v>CARLOS ANDRES JIMENEZ PARDO</v>
      </c>
      <c r="D3220" s="4" t="str">
        <f>IFERROR(VLOOKUP(A3220,'Base Prueba'!A:D,4,),"NO REGISTRA")</f>
        <v>COORDINADOR DE MARKETING DIGITAL</v>
      </c>
      <c r="E3220" s="5" t="str">
        <f>IFERROR(VLOOKUP(A3220,'Base Prueba'!A:E,5,),"NO REGISTRA")</f>
        <v>OFICINA DE MERCADEO</v>
      </c>
    </row>
    <row r="3221" spans="1:5" ht="15.75" x14ac:dyDescent="0.25">
      <c r="A3221" s="10">
        <v>28798349</v>
      </c>
      <c r="B3221" s="2">
        <v>46081.518465046298</v>
      </c>
      <c r="C3221" s="3" t="str">
        <f>IFERROR(VLOOKUP(A3221,'Base Prueba'!A:C,3,),"NO REGISTRA")</f>
        <v>MARTHA ISABEL TOVAR WILLIAMS</v>
      </c>
      <c r="D3221" s="4" t="str">
        <f>IFERROR(VLOOKUP(A3221,'Base Prueba'!A:D,4,),"NO REGISTRA")</f>
        <v>PROMOTOR CALL CENTER</v>
      </c>
      <c r="E3221" s="5" t="str">
        <f>IFERROR(VLOOKUP(A3221,'Base Prueba'!A:E,5,),"NO REGISTRA")</f>
        <v>OFICINA DE MERCADEO</v>
      </c>
    </row>
    <row r="3222" spans="1:5" ht="15.75" x14ac:dyDescent="0.25">
      <c r="A3222" s="10">
        <v>80234243</v>
      </c>
      <c r="B3222" s="2">
        <v>46081.526861689817</v>
      </c>
      <c r="C3222" s="3" t="str">
        <f>IFERROR(VLOOKUP(A3222,'Base Prueba'!A:C,3,),"NO REGISTRA")</f>
        <v>ARGENIS MARTINEZ MARTINEZ</v>
      </c>
      <c r="D3222" s="4" t="str">
        <f>IFERROR(VLOOKUP(A3222,'Base Prueba'!A:D,4,),"NO REGISTRA")</f>
        <v>LIDER CALL CENTER</v>
      </c>
      <c r="E3222" s="5" t="str">
        <f>IFERROR(VLOOKUP(A3222,'Base Prueba'!A:E,5,),"NO REGISTRA")</f>
        <v>OFICINA DE MERCADEO</v>
      </c>
    </row>
    <row r="3223" spans="1:5" ht="15.75" x14ac:dyDescent="0.25">
      <c r="A3223" s="10">
        <v>1000604979</v>
      </c>
      <c r="B3223" s="2">
        <v>46081.529390162039</v>
      </c>
      <c r="C3223" s="3" t="str">
        <f>IFERROR(VLOOKUP(A3223,'Base Prueba'!A:C,3,),"NO REGISTRA")</f>
        <v>JULIETH TATIANA PARDO PINTO</v>
      </c>
      <c r="D3223" s="4" t="str">
        <f>IFERROR(VLOOKUP(A3223,'Base Prueba'!A:D,4,),"NO REGISTRA")</f>
        <v>AUXILIAR JURIDICO</v>
      </c>
      <c r="E3223" s="5" t="str">
        <f>IFERROR(VLOOKUP(A3223,'Base Prueba'!A:E,5,),"NO REGISTRA")</f>
        <v>SECRETARIA GENERAL</v>
      </c>
    </row>
    <row r="3224" spans="1:5" ht="15.75" x14ac:dyDescent="0.25">
      <c r="A3224" s="10">
        <v>1003690253</v>
      </c>
      <c r="B3224" s="2">
        <v>46081.540890162039</v>
      </c>
      <c r="C3224" s="3" t="str">
        <f>IFERROR(VLOOKUP(A3224,'Base Prueba'!A:C,3,),"NO REGISTRA")</f>
        <v>MELISSA GONZALEZ PEDRAZA</v>
      </c>
      <c r="D3224" s="4" t="str">
        <f>IFERROR(VLOOKUP(A3224,'Base Prueba'!A:D,4,),"NO REGISTRA")</f>
        <v>LIDER DE JOVENES A LA E</v>
      </c>
      <c r="E3224" s="5" t="str">
        <f>IFERROR(VLOOKUP(A3224,'Base Prueba'!A:E,5,),"NO REGISTRA")</f>
        <v>DIRECCION DE BIENESTAR INSTITUCIONAL</v>
      </c>
    </row>
    <row r="3225" spans="1:5" ht="15.75" x14ac:dyDescent="0.25">
      <c r="A3225" s="10">
        <v>1000324729</v>
      </c>
      <c r="B3225" s="2">
        <v>46083.314447800927</v>
      </c>
      <c r="C3225" s="3" t="str">
        <f>IFERROR(VLOOKUP(A3225,'Base Prueba'!A:C,3,),"NO REGISTRA")</f>
        <v>ANYIE VANESSA TINOCO CAMACHO</v>
      </c>
      <c r="D3225" s="4" t="str">
        <f>IFERROR(VLOOKUP(A3225,'Base Prueba'!A:D,4,),"NO REGISTRA")</f>
        <v>LIDER DE REGISTRO Y CONTROL</v>
      </c>
      <c r="E3225" s="5" t="str">
        <f>IFERROR(VLOOKUP(A3225,'Base Prueba'!A:E,5,),"NO REGISTRA")</f>
        <v>REGISTRO Y CONTROL ACADEMICO</v>
      </c>
    </row>
    <row r="3226" spans="1:5" ht="15.75" x14ac:dyDescent="0.25">
      <c r="A3226" s="10">
        <v>1012357415</v>
      </c>
      <c r="B3226" s="2">
        <v>46083.32206539352</v>
      </c>
      <c r="C3226" s="3" t="str">
        <f>IFERROR(VLOOKUP(A3226,'Base Prueba'!A:C,3,),"NO REGISTRA")</f>
        <v>CINDY LORENA BOHORQUEZ LEYVA</v>
      </c>
      <c r="D3226" s="4" t="str">
        <f>IFERROR(VLOOKUP(A3226,'Base Prueba'!A:D,4,),"NO REGISTRA")</f>
        <v>ANALISTA DE TESORERIA</v>
      </c>
      <c r="E3226" s="5" t="str">
        <f>IFERROR(VLOOKUP(A3226,'Base Prueba'!A:E,5,),"NO REGISTRA")</f>
        <v>AREA FINANCIERA Y CONTABLE</v>
      </c>
    </row>
    <row r="3227" spans="1:5" ht="15.75" x14ac:dyDescent="0.25">
      <c r="A3227" s="10">
        <v>1013616244</v>
      </c>
      <c r="B3227" s="2">
        <v>46083.322746874997</v>
      </c>
      <c r="C3227" s="3" t="str">
        <f>IFERROR(VLOOKUP(A3227,'Base Prueba'!A:C,3,),"NO REGISTRA")</f>
        <v>DIANA CAROLINA MARIN BETANCOURT</v>
      </c>
      <c r="D3227" s="4" t="str">
        <f>IFERROR(VLOOKUP(A3227,'Base Prueba'!A:D,4,),"NO REGISTRA")</f>
        <v>AUXILIAR ADMINISTRATIVO</v>
      </c>
      <c r="E3227" s="5" t="str">
        <f>IFERROR(VLOOKUP(A3227,'Base Prueba'!A:E,5,),"NO REGISTRA")</f>
        <v>REGISTRO Y CONTROL ACADEMICO</v>
      </c>
    </row>
    <row r="3228" spans="1:5" ht="15.75" x14ac:dyDescent="0.25">
      <c r="A3228" s="10">
        <v>1000257136</v>
      </c>
      <c r="B3228" s="2">
        <v>46083.324224305557</v>
      </c>
      <c r="C3228" s="3" t="str">
        <f>IFERROR(VLOOKUP(A3228,'Base Prueba'!A:C,3,),"NO REGISTRA")</f>
        <v>FRANCI VALENTINA CANO PUENTES</v>
      </c>
      <c r="D3228" s="4" t="str">
        <f>IFERROR(VLOOKUP(A3228,'Base Prueba'!A:D,4,),"NO REGISTRA")</f>
        <v>AUXILIAR CONTABLE</v>
      </c>
      <c r="E3228" s="5" t="str">
        <f>IFERROR(VLOOKUP(A3228,'Base Prueba'!A:E,5,),"NO REGISTRA")</f>
        <v>AREA FINANCIERA Y CONTABLE</v>
      </c>
    </row>
    <row r="3229" spans="1:5" ht="15.75" x14ac:dyDescent="0.25">
      <c r="A3229" s="10">
        <v>53932358</v>
      </c>
      <c r="B3229" s="2">
        <v>46083.333744444448</v>
      </c>
      <c r="C3229" s="3" t="str">
        <f>IFERROR(VLOOKUP(A3229,'Base Prueba'!A:C,3,),"NO REGISTRA")</f>
        <v>DIANA MADELEYNE GAONA RODRIGUEZ</v>
      </c>
      <c r="D3229" s="4" t="str">
        <f>IFERROR(VLOOKUP(A3229,'Base Prueba'!A:D,4,),"NO REGISTRA")</f>
        <v>CONTADOR</v>
      </c>
      <c r="E3229" s="5" t="str">
        <f>IFERROR(VLOOKUP(A3229,'Base Prueba'!A:E,5,),"NO REGISTRA")</f>
        <v>AREA FINANCIERA Y CONTABLE</v>
      </c>
    </row>
    <row r="3230" spans="1:5" ht="15.75" x14ac:dyDescent="0.25">
      <c r="A3230" s="10">
        <v>1049644802</v>
      </c>
      <c r="B3230" s="2">
        <v>46083.334904745374</v>
      </c>
      <c r="C3230" s="3" t="str">
        <f>IFERROR(VLOOKUP(A3230,'Base Prueba'!A:C,3,),"NO REGISTRA")</f>
        <v>DANIELA ALEXANDRA CIPAMOCHA BOSIGA</v>
      </c>
      <c r="D3230" s="4" t="str">
        <f>IFERROR(VLOOKUP(A3230,'Base Prueba'!A:D,4,),"NO REGISTRA")</f>
        <v>LIDER DE DATOS Y SERVICIOS</v>
      </c>
      <c r="E3230" s="5" t="str">
        <f>IFERROR(VLOOKUP(A3230,'Base Prueba'!A:E,5,),"NO REGISTRA")</f>
        <v>OFICINA DE PLANEACION Y GESTION DE LA CALIDAD</v>
      </c>
    </row>
    <row r="3231" spans="1:5" ht="15.75" x14ac:dyDescent="0.25">
      <c r="A3231" s="10">
        <v>1026599257</v>
      </c>
      <c r="B3231" s="2">
        <v>46083.340415046296</v>
      </c>
      <c r="C3231" s="3" t="str">
        <f>IFERROR(VLOOKUP(A3231,'Base Prueba'!A:C,3,),"NO REGISTRA")</f>
        <v>YESENIA PAOLA PINEDA HURTADO</v>
      </c>
      <c r="D3231" s="4" t="str">
        <f>IFERROR(VLOOKUP(A3231,'Base Prueba'!A:D,4,),"NO REGISTRA")</f>
        <v>LIDER DE COMPRAS</v>
      </c>
      <c r="E3231" s="5" t="str">
        <f>IFERROR(VLOOKUP(A3231,'Base Prueba'!A:E,5,),"NO REGISTRA")</f>
        <v>AREA ADMINISTRATIVA</v>
      </c>
    </row>
    <row r="3232" spans="1:5" ht="15.75" x14ac:dyDescent="0.25">
      <c r="A3232" s="10">
        <v>80238161</v>
      </c>
      <c r="B3232" s="2">
        <v>46083.340463425928</v>
      </c>
      <c r="C3232" s="3" t="str">
        <f>IFERROR(VLOOKUP(A3232,'Base Prueba'!A:C,3,),"NO REGISTRA")</f>
        <v>GERMAN CARRANZA ESPITIA</v>
      </c>
      <c r="D3232" s="4" t="str">
        <f>IFERROR(VLOOKUP(A3232,'Base Prueba'!A:D,4,),"NO REGISTRA")</f>
        <v>TESORERO</v>
      </c>
      <c r="E3232" s="5" t="str">
        <f>IFERROR(VLOOKUP(A3232,'Base Prueba'!A:E,5,),"NO REGISTRA")</f>
        <v>AREA FINANCIERA Y CONTABLE</v>
      </c>
    </row>
    <row r="3233" spans="1:5" ht="15.75" x14ac:dyDescent="0.25">
      <c r="A3233" s="10">
        <v>1031802160</v>
      </c>
      <c r="B3233" s="2">
        <v>46083.340541087964</v>
      </c>
      <c r="C3233" s="3" t="str">
        <f>IFERROR(VLOOKUP(A3233,'Base Prueba'!A:C,3,),"NO REGISTRA")</f>
        <v>LUISA MARIA MAHECHA SOTOMAYOR</v>
      </c>
      <c r="D3233" s="4" t="str">
        <f>IFERROR(VLOOKUP(A3233,'Base Prueba'!A:D,4,),"NO REGISTRA")</f>
        <v>APRENDIZ UNIVERSITARIO</v>
      </c>
      <c r="E3233" s="5" t="str">
        <f>IFERROR(VLOOKUP(A3233,'Base Prueba'!A:E,5,),"NO REGISTRA")</f>
        <v>OFICINA DE MERCADEO</v>
      </c>
    </row>
    <row r="3234" spans="1:5" ht="15.75" x14ac:dyDescent="0.25">
      <c r="A3234" s="10">
        <v>1000457706</v>
      </c>
      <c r="B3234" s="2">
        <v>46083.341401736114</v>
      </c>
      <c r="C3234" s="3" t="str">
        <f>IFERROR(VLOOKUP(A3234,'Base Prueba'!A:C,3,),"NO REGISTRA")</f>
        <v>CRISTIAN DANILO ARROYO SANABRIA</v>
      </c>
      <c r="D3234" s="4" t="str">
        <f>IFERROR(VLOOKUP(A3234,'Base Prueba'!A:D,4,),"NO REGISTRA")</f>
        <v>AUXILIAR CONTABLE</v>
      </c>
      <c r="E3234" s="5" t="str">
        <f>IFERROR(VLOOKUP(A3234,'Base Prueba'!A:E,5,),"NO REGISTRA")</f>
        <v>AREA FINANCIERA Y CONTABLE</v>
      </c>
    </row>
    <row r="3235" spans="1:5" ht="15.75" x14ac:dyDescent="0.25">
      <c r="A3235" s="10">
        <v>1032469638</v>
      </c>
      <c r="B3235" s="2">
        <v>46083.346114814813</v>
      </c>
      <c r="C3235" s="3" t="str">
        <f>IFERROR(VLOOKUP(A3235,'Base Prueba'!A:C,3,),"NO REGISTRA")</f>
        <v>MAICOL JARBEY GUALTEROS CASTAÑEDA</v>
      </c>
      <c r="D3235" s="4" t="str">
        <f>IFERROR(VLOOKUP(A3235,'Base Prueba'!A:D,4,),"NO REGISTRA")</f>
        <v>COORDINADOR DEL SISTEMA INTERNO DE ASEGURAMIENTO DE LA CALIDAD - SIAC</v>
      </c>
      <c r="E3235" s="5" t="str">
        <f>IFERROR(VLOOKUP(A3235,'Base Prueba'!A:E,5,),"NO REGISTRA")</f>
        <v>OFICINA DE PLANEACION Y GESTION DE LA CALIDAD</v>
      </c>
    </row>
    <row r="3236" spans="1:5" ht="15.75" x14ac:dyDescent="0.25">
      <c r="A3236" s="10">
        <v>1000604979</v>
      </c>
      <c r="B3236" s="2">
        <v>46083.346860532409</v>
      </c>
      <c r="C3236" s="3" t="str">
        <f>IFERROR(VLOOKUP(A3236,'Base Prueba'!A:C,3,),"NO REGISTRA")</f>
        <v>JULIETH TATIANA PARDO PINTO</v>
      </c>
      <c r="D3236" s="4" t="str">
        <f>IFERROR(VLOOKUP(A3236,'Base Prueba'!A:D,4,),"NO REGISTRA")</f>
        <v>AUXILIAR JURIDICO</v>
      </c>
      <c r="E3236" s="5" t="str">
        <f>IFERROR(VLOOKUP(A3236,'Base Prueba'!A:E,5,),"NO REGISTRA")</f>
        <v>SECRETARIA GENERAL</v>
      </c>
    </row>
    <row r="3237" spans="1:5" ht="15.75" x14ac:dyDescent="0.25">
      <c r="A3237" s="10">
        <v>1014977624</v>
      </c>
      <c r="B3237" s="2">
        <v>46083.349378009261</v>
      </c>
      <c r="C3237" s="3" t="str">
        <f>IFERROR(VLOOKUP(A3237,'Base Prueba'!A:C,3,),"NO REGISTRA")</f>
        <v>NICCOLE VALENTINA HERNANDEZ MALAVER</v>
      </c>
      <c r="D3237" s="4" t="str">
        <f>IFERROR(VLOOKUP(A3237,'Base Prueba'!A:D,4,),"NO REGISTRA")</f>
        <v>APRENDIZ UNIVERSITARIO</v>
      </c>
      <c r="E3237" s="5" t="str">
        <f>IFERROR(VLOOKUP(A3237,'Base Prueba'!A:E,5,),"NO REGISTRA")</f>
        <v>AREA FINANCIERA Y CONTABLE</v>
      </c>
    </row>
    <row r="3238" spans="1:5" ht="15.75" x14ac:dyDescent="0.25">
      <c r="A3238" s="10">
        <v>1193457976</v>
      </c>
      <c r="B3238" s="2">
        <v>46083.35199560185</v>
      </c>
      <c r="C3238" s="3" t="str">
        <f>IFERROR(VLOOKUP(A3238,'Base Prueba'!A:C,3,),"NO REGISTRA")</f>
        <v>SEDENIS RIVAS ASPRILLA</v>
      </c>
      <c r="D3238" s="4" t="str">
        <f>IFERROR(VLOOKUP(A3238,'Base Prueba'!A:D,4,),"NO REGISTRA")</f>
        <v>APRENDIZ UNIVERSITARIO</v>
      </c>
      <c r="E3238" s="5" t="str">
        <f>IFERROR(VLOOKUP(A3238,'Base Prueba'!A:E,5,),"NO REGISTRA")</f>
        <v>DEPARTAMENTO DE GESTION HUMANA</v>
      </c>
    </row>
    <row r="3239" spans="1:5" ht="15.75" x14ac:dyDescent="0.25">
      <c r="A3239" s="10">
        <v>1023883232</v>
      </c>
      <c r="B3239" s="2">
        <v>46083.353283796299</v>
      </c>
      <c r="C3239" s="3" t="str">
        <f>IFERROR(VLOOKUP(A3239,'Base Prueba'!A:C,3,),"NO REGISTRA")</f>
        <v>MONICA ANDREA ACERO URBANO</v>
      </c>
      <c r="D3239" s="4" t="str">
        <f>IFERROR(VLOOKUP(A3239,'Base Prueba'!A:D,4,),"NO REGISTRA")</f>
        <v>APOYO INTEGRAL A GESTION HUMANA</v>
      </c>
      <c r="E3239" s="5" t="str">
        <f>IFERROR(VLOOKUP(A3239,'Base Prueba'!A:E,5,),"NO REGISTRA")</f>
        <v>DEPARTAMENTO DE GESTION HUMANA</v>
      </c>
    </row>
    <row r="3240" spans="1:5" ht="15.75" x14ac:dyDescent="0.25">
      <c r="A3240" s="10">
        <v>1032407386</v>
      </c>
      <c r="B3240" s="2">
        <v>46083.362117129633</v>
      </c>
      <c r="C3240" s="3" t="str">
        <f>IFERROR(VLOOKUP(A3240,'Base Prueba'!A:C,3,),"NO REGISTRA")</f>
        <v>GINA PAOLA BAEZ GALVIS</v>
      </c>
      <c r="D3240" s="4" t="str">
        <f>IFERROR(VLOOKUP(A3240,'Base Prueba'!A:D,4,),"NO REGISTRA")</f>
        <v>PROMOTOR CALL CENTER</v>
      </c>
      <c r="E3240" s="5" t="str">
        <f>IFERROR(VLOOKUP(A3240,'Base Prueba'!A:E,5,),"NO REGISTRA")</f>
        <v>OFICINA DE MERCADEO</v>
      </c>
    </row>
    <row r="3241" spans="1:5" ht="15.75" x14ac:dyDescent="0.25">
      <c r="A3241" s="10">
        <v>80234243</v>
      </c>
      <c r="B3241" s="2">
        <v>46083.362951620373</v>
      </c>
      <c r="C3241" s="3" t="str">
        <f>IFERROR(VLOOKUP(A3241,'Base Prueba'!A:C,3,),"NO REGISTRA")</f>
        <v>ARGENIS MARTINEZ MARTINEZ</v>
      </c>
      <c r="D3241" s="4" t="str">
        <f>IFERROR(VLOOKUP(A3241,'Base Prueba'!A:D,4,),"NO REGISTRA")</f>
        <v>LIDER CALL CENTER</v>
      </c>
      <c r="E3241" s="5" t="str">
        <f>IFERROR(VLOOKUP(A3241,'Base Prueba'!A:E,5,),"NO REGISTRA")</f>
        <v>OFICINA DE MERCADEO</v>
      </c>
    </row>
    <row r="3242" spans="1:5" ht="15.75" x14ac:dyDescent="0.25">
      <c r="A3242" s="10">
        <v>1019105003</v>
      </c>
      <c r="B3242" s="2">
        <v>46083.369273379627</v>
      </c>
      <c r="C3242" s="3" t="str">
        <f>IFERROR(VLOOKUP(A3242,'Base Prueba'!A:C,3,),"NO REGISTRA")</f>
        <v>DAISY JULIETH GASPAR MORENO</v>
      </c>
      <c r="D3242" s="4" t="str">
        <f>IFERROR(VLOOKUP(A3242,'Base Prueba'!A:D,4,),"NO REGISTRA")</f>
        <v>PROMOTOR CALL CENTER</v>
      </c>
      <c r="E3242" s="5" t="str">
        <f>IFERROR(VLOOKUP(A3242,'Base Prueba'!A:E,5,),"NO REGISTRA")</f>
        <v>OFICINA DE MERCADEO</v>
      </c>
    </row>
    <row r="3243" spans="1:5" ht="15.75" x14ac:dyDescent="0.25">
      <c r="A3243" s="10">
        <v>1033709056</v>
      </c>
      <c r="B3243" s="2">
        <v>46083.369972453707</v>
      </c>
      <c r="C3243" s="3" t="str">
        <f>IFERROR(VLOOKUP(A3243,'Base Prueba'!A:C,3,),"NO REGISTRA")</f>
        <v>YEIMY ALEXANDRA RODRIGUEZ PALACIO</v>
      </c>
      <c r="D3243" s="4" t="str">
        <f>IFERROR(VLOOKUP(A3243,'Base Prueba'!A:D,4,),"NO REGISTRA")</f>
        <v>PROMOTOR CALL CENTER</v>
      </c>
      <c r="E3243" s="5" t="str">
        <f>IFERROR(VLOOKUP(A3243,'Base Prueba'!A:E,5,),"NO REGISTRA")</f>
        <v>OFICINA DE MERCADEO</v>
      </c>
    </row>
    <row r="3244" spans="1:5" ht="15.75" x14ac:dyDescent="0.25">
      <c r="A3244" s="10">
        <v>1003690253</v>
      </c>
      <c r="B3244" s="2">
        <v>46083.370025810182</v>
      </c>
      <c r="C3244" s="3" t="str">
        <f>IFERROR(VLOOKUP(A3244,'Base Prueba'!A:C,3,),"NO REGISTRA")</f>
        <v>MELISSA GONZALEZ PEDRAZA</v>
      </c>
      <c r="D3244" s="4" t="str">
        <f>IFERROR(VLOOKUP(A3244,'Base Prueba'!A:D,4,),"NO REGISTRA")</f>
        <v>LIDER DE JOVENES A LA E</v>
      </c>
      <c r="E3244" s="5" t="str">
        <f>IFERROR(VLOOKUP(A3244,'Base Prueba'!A:E,5,),"NO REGISTRA")</f>
        <v>DIRECCION DE BIENESTAR INSTITUCIONAL</v>
      </c>
    </row>
    <row r="3245" spans="1:5" ht="15.75" x14ac:dyDescent="0.25">
      <c r="A3245" s="10">
        <v>1000046533</v>
      </c>
      <c r="B3245" s="2">
        <v>46083.372224537037</v>
      </c>
      <c r="C3245" s="3" t="str">
        <f>IFERROR(VLOOKUP(A3245,'Base Prueba'!A:C,3,),"NO REGISTRA")</f>
        <v>ERIKA JULIETH VALDERRAMA SANCHEZ</v>
      </c>
      <c r="D3245" s="4" t="str">
        <f>IFERROR(VLOOKUP(A3245,'Base Prueba'!A:D,4,),"NO REGISTRA")</f>
        <v>PROMOTOR CALL CENTER</v>
      </c>
      <c r="E3245" s="5" t="str">
        <f>IFERROR(VLOOKUP(A3245,'Base Prueba'!A:E,5,),"NO REGISTRA")</f>
        <v>OFICINA DE MERCADEO</v>
      </c>
    </row>
    <row r="3246" spans="1:5" ht="15.75" x14ac:dyDescent="0.25">
      <c r="A3246" s="10">
        <v>1000593372</v>
      </c>
      <c r="B3246" s="2">
        <v>46083.372320601855</v>
      </c>
      <c r="C3246" s="3" t="str">
        <f>IFERROR(VLOOKUP(A3246,'Base Prueba'!A:C,3,),"NO REGISTRA")</f>
        <v>LAURA SOFIA CHAPARRO LOPEZ</v>
      </c>
      <c r="D3246" s="4" t="str">
        <f>IFERROR(VLOOKUP(A3246,'Base Prueba'!A:D,4,),"NO REGISTRA")</f>
        <v>AUXILIAR JURIDICO</v>
      </c>
      <c r="E3246" s="5" t="str">
        <f>IFERROR(VLOOKUP(A3246,'Base Prueba'!A:E,5,),"NO REGISTRA")</f>
        <v>SECRETARIA GENERAL</v>
      </c>
    </row>
    <row r="3247" spans="1:5" ht="15.75" x14ac:dyDescent="0.25">
      <c r="A3247" s="10">
        <v>1016090131</v>
      </c>
      <c r="B3247" s="2">
        <v>46083.372385069444</v>
      </c>
      <c r="C3247" s="3" t="str">
        <f>IFERROR(VLOOKUP(A3247,'Base Prueba'!A:C,3,),"NO REGISTRA")</f>
        <v>NICOLAS RODRIGUEZ PACHECO</v>
      </c>
      <c r="D3247" s="4" t="str">
        <f>IFERROR(VLOOKUP(A3247,'Base Prueba'!A:D,4,),"NO REGISTRA")</f>
        <v>COORDINADOR DE COMUNICACIONES</v>
      </c>
      <c r="E3247" s="5" t="str">
        <f>IFERROR(VLOOKUP(A3247,'Base Prueba'!A:E,5,),"NO REGISTRA")</f>
        <v>OFICINA DE MERCADEO</v>
      </c>
    </row>
    <row r="3248" spans="1:5" ht="15.75" x14ac:dyDescent="0.25">
      <c r="A3248" s="10">
        <v>52472386</v>
      </c>
      <c r="B3248" s="2">
        <v>46083.372905439814</v>
      </c>
      <c r="C3248" s="3" t="str">
        <f>IFERROR(VLOOKUP(A3248,'Base Prueba'!A:C,3,),"NO REGISTRA")</f>
        <v>ADRIANA MARCELA MORALES PARDO</v>
      </c>
      <c r="D3248" s="4" t="str">
        <f>IFERROR(VLOOKUP(A3248,'Base Prueba'!A:D,4,),"NO REGISTRA")</f>
        <v>PROMOTOR CALL CENTER</v>
      </c>
      <c r="E3248" s="5" t="str">
        <f>IFERROR(VLOOKUP(A3248,'Base Prueba'!A:E,5,),"NO REGISTRA")</f>
        <v>OFICINA DE MERCADEO</v>
      </c>
    </row>
    <row r="3249" spans="1:5" ht="15.75" x14ac:dyDescent="0.25">
      <c r="A3249" s="10">
        <v>1014196857</v>
      </c>
      <c r="B3249" s="2">
        <v>46083.375497222223</v>
      </c>
      <c r="C3249" s="3" t="str">
        <f>IFERROR(VLOOKUP(A3249,'Base Prueba'!A:C,3,),"NO REGISTRA")</f>
        <v>CARLOS ANDRES JIMENEZ PARDO</v>
      </c>
      <c r="D3249" s="4" t="str">
        <f>IFERROR(VLOOKUP(A3249,'Base Prueba'!A:D,4,),"NO REGISTRA")</f>
        <v>COORDINADOR DE MARKETING DIGITAL</v>
      </c>
      <c r="E3249" s="5" t="str">
        <f>IFERROR(VLOOKUP(A3249,'Base Prueba'!A:E,5,),"NO REGISTRA")</f>
        <v>OFICINA DE MERCADEO</v>
      </c>
    </row>
    <row r="3250" spans="1:5" ht="15.75" x14ac:dyDescent="0.25">
      <c r="A3250" s="10">
        <v>1193265768</v>
      </c>
      <c r="B3250" s="2">
        <v>46083.375538310182</v>
      </c>
      <c r="C3250" s="3" t="str">
        <f>IFERROR(VLOOKUP(A3250,'Base Prueba'!A:C,3,),"NO REGISTRA")</f>
        <v>SANTIAGO OSORIO CAMACHO</v>
      </c>
      <c r="D3250" s="4" t="str">
        <f>IFERROR(VLOOKUP(A3250,'Base Prueba'!A:D,4,),"NO REGISTRA")</f>
        <v>ANALISTA DE PAUTA</v>
      </c>
      <c r="E3250" s="5" t="str">
        <f>IFERROR(VLOOKUP(A3250,'Base Prueba'!A:E,5,),"NO REGISTRA")</f>
        <v>OFICINA DE MERCADEO</v>
      </c>
    </row>
    <row r="3251" spans="1:5" ht="15.75" x14ac:dyDescent="0.25">
      <c r="A3251" s="10">
        <v>1014308296</v>
      </c>
      <c r="B3251" s="2">
        <v>46083.376975115738</v>
      </c>
      <c r="C3251" s="3" t="str">
        <f>IFERROR(VLOOKUP(A3251,'Base Prueba'!A:C,3,),"NO REGISTRA")</f>
        <v>DARLENE YULIANA MORENO CELEITA</v>
      </c>
      <c r="D3251" s="4" t="str">
        <f>IFERROR(VLOOKUP(A3251,'Base Prueba'!A:D,4,),"NO REGISTRA")</f>
        <v>CAJERO PRINCIPAL</v>
      </c>
      <c r="E3251" s="5" t="str">
        <f>IFERROR(VLOOKUP(A3251,'Base Prueba'!A:E,5,),"NO REGISTRA")</f>
        <v>AREA FINANCIERA Y CONTABLE</v>
      </c>
    </row>
    <row r="3252" spans="1:5" ht="15.75" x14ac:dyDescent="0.25">
      <c r="A3252" s="10">
        <v>1018414290</v>
      </c>
      <c r="B3252" s="2">
        <v>46083.377273958336</v>
      </c>
      <c r="C3252" s="3" t="str">
        <f>IFERROR(VLOOKUP(A3252,'Base Prueba'!A:C,3,),"NO REGISTRA")</f>
        <v>AMANDA LISBETH RODRIGUEZ LEON</v>
      </c>
      <c r="D3252" s="4" t="str">
        <f>IFERROR(VLOOKUP(A3252,'Base Prueba'!A:D,4,),"NO REGISTRA")</f>
        <v>PROMOTOR CALL CENTER</v>
      </c>
      <c r="E3252" s="5" t="str">
        <f>IFERROR(VLOOKUP(A3252,'Base Prueba'!A:E,5,),"NO REGISTRA")</f>
        <v>OFICINA DE MERCADEO</v>
      </c>
    </row>
    <row r="3253" spans="1:5" ht="15.75" x14ac:dyDescent="0.25">
      <c r="A3253" s="10">
        <v>1014211708</v>
      </c>
      <c r="B3253" s="2">
        <v>46083.377367129629</v>
      </c>
      <c r="C3253" s="3" t="str">
        <f>IFERROR(VLOOKUP(A3253,'Base Prueba'!A:C,3,),"NO REGISTRA")</f>
        <v>JUAN MANUEL MERCADO FUENTES</v>
      </c>
      <c r="D3253" s="4" t="str">
        <f>IFERROR(VLOOKUP(A3253,'Base Prueba'!A:D,4,),"NO REGISTRA")</f>
        <v>COORDINADOR DE DISEÑO E IMAGEN INSTITUCIONAL</v>
      </c>
      <c r="E3253" s="5" t="str">
        <f>IFERROR(VLOOKUP(A3253,'Base Prueba'!A:E,5,),"NO REGISTRA")</f>
        <v>OFICINA DE MERCADEO</v>
      </c>
    </row>
    <row r="3254" spans="1:5" ht="15.75" x14ac:dyDescent="0.25">
      <c r="A3254" s="10">
        <v>28798349</v>
      </c>
      <c r="B3254" s="2">
        <v>46083.377889004631</v>
      </c>
      <c r="C3254" s="3" t="str">
        <f>IFERROR(VLOOKUP(A3254,'Base Prueba'!A:C,3,),"NO REGISTRA")</f>
        <v>MARTHA ISABEL TOVAR WILLIAMS</v>
      </c>
      <c r="D3254" s="4" t="str">
        <f>IFERROR(VLOOKUP(A3254,'Base Prueba'!A:D,4,),"NO REGISTRA")</f>
        <v>PROMOTOR CALL CENTER</v>
      </c>
      <c r="E3254" s="5" t="str">
        <f>IFERROR(VLOOKUP(A3254,'Base Prueba'!A:E,5,),"NO REGISTRA")</f>
        <v>OFICINA DE MERCADEO</v>
      </c>
    </row>
    <row r="3255" spans="1:5" ht="15.75" x14ac:dyDescent="0.25">
      <c r="A3255" s="10">
        <v>1023961952</v>
      </c>
      <c r="B3255" s="2">
        <v>46083.379147222222</v>
      </c>
      <c r="C3255" s="3" t="str">
        <f>IFERROR(VLOOKUP(A3255,'Base Prueba'!A:C,3,),"NO REGISTRA")</f>
        <v>ALEJANDRO PINZON MERCHAN</v>
      </c>
      <c r="D3255" s="4" t="str">
        <f>IFERROR(VLOOKUP(A3255,'Base Prueba'!A:D,4,),"NO REGISTRA")</f>
        <v>PROMOTOR CALL CENTER</v>
      </c>
      <c r="E3255" s="5" t="str">
        <f>IFERROR(VLOOKUP(A3255,'Base Prueba'!A:E,5,),"NO REGISTRA")</f>
        <v>OFICINA DE MERCADEO</v>
      </c>
    </row>
    <row r="3256" spans="1:5" ht="15.75" x14ac:dyDescent="0.25">
      <c r="A3256" s="10">
        <v>1012426741</v>
      </c>
      <c r="B3256" s="2">
        <v>46083.38096736111</v>
      </c>
      <c r="C3256" s="3" t="str">
        <f>IFERROR(VLOOKUP(A3256,'Base Prueba'!A:C,3,),"NO REGISTRA")</f>
        <v>CRISTIAN FABIAN ROJAS SANCENO</v>
      </c>
      <c r="D3256" s="4" t="str">
        <f>IFERROR(VLOOKUP(A3256,'Base Prueba'!A:D,4,),"NO REGISTRA")</f>
        <v>AUXILIAR DE REINTEGROS</v>
      </c>
      <c r="E3256" s="5" t="str">
        <f>IFERROR(VLOOKUP(A3256,'Base Prueba'!A:E,5,),"NO REGISTRA")</f>
        <v>DIRECCION DE BIENESTAR INSTITUCIONAL</v>
      </c>
    </row>
    <row r="3257" spans="1:5" ht="15.75" x14ac:dyDescent="0.25">
      <c r="A3257" s="10">
        <v>52764929</v>
      </c>
      <c r="B3257" s="2">
        <v>46083.388694675923</v>
      </c>
      <c r="C3257" s="3" t="str">
        <f>IFERROR(VLOOKUP(A3257,'Base Prueba'!A:C,3,),"NO REGISTRA")</f>
        <v>GUERLY YOHANA DURAN RIVERA</v>
      </c>
      <c r="D3257" s="4" t="str">
        <f>IFERROR(VLOOKUP(A3257,'Base Prueba'!A:D,4,),"NO REGISTRA")</f>
        <v>LIDER DE VINCULACION COLEGIOS</v>
      </c>
      <c r="E3257" s="5" t="str">
        <f>IFERROR(VLOOKUP(A3257,'Base Prueba'!A:E,5,),"NO REGISTRA")</f>
        <v>OFICINA DE MERCADEO</v>
      </c>
    </row>
    <row r="3258" spans="1:5" ht="15.75" x14ac:dyDescent="0.25">
      <c r="A3258" s="10">
        <v>53089882</v>
      </c>
      <c r="B3258" s="2">
        <v>46083.405398495372</v>
      </c>
      <c r="C3258" s="3" t="str">
        <f>IFERROR(VLOOKUP(A3258,'Base Prueba'!A:C,3,),"NO REGISTRA")</f>
        <v>MARIA JOHANA ESCAMILLA MARTINEZ</v>
      </c>
      <c r="D3258" s="4" t="str">
        <f>IFERROR(VLOOKUP(A3258,'Base Prueba'!A:D,4,),"NO REGISTRA")</f>
        <v>PROMOTOR DE INFORMACIÓN</v>
      </c>
      <c r="E3258" s="5" t="str">
        <f>IFERROR(VLOOKUP(A3258,'Base Prueba'!A:E,5,),"NO REGISTRA")</f>
        <v>OFICINA DE MERCADEO</v>
      </c>
    </row>
    <row r="3259" spans="1:5" ht="15.75" x14ac:dyDescent="0.25">
      <c r="A3259" s="10">
        <v>52443092</v>
      </c>
      <c r="B3259" s="2">
        <v>46083.595877083331</v>
      </c>
      <c r="C3259" s="3" t="str">
        <f>IFERROR(VLOOKUP(A3259,'Base Prueba'!A:C,3,),"NO REGISTRA")</f>
        <v>LUZ MYRIAM SAAVEDRA CONTRERAS</v>
      </c>
      <c r="D3259" s="4" t="str">
        <f>IFERROR(VLOOKUP(A3259,'Base Prueba'!A:D,4,),"NO REGISTRA")</f>
        <v>AUXILIAR DE SERVICIOS</v>
      </c>
      <c r="E3259" s="5" t="str">
        <f>IFERROR(VLOOKUP(A3259,'Base Prueba'!A:E,5,),"NO REGISTRA")</f>
        <v>LOGISTICA Y SERVICIOS GENERALES</v>
      </c>
    </row>
    <row r="3260" spans="1:5" ht="15.75" x14ac:dyDescent="0.25">
      <c r="A3260" s="10">
        <v>1031802160</v>
      </c>
      <c r="B3260" s="2">
        <v>46083.707596296299</v>
      </c>
      <c r="C3260" s="3" t="str">
        <f>IFERROR(VLOOKUP(A3260,'Base Prueba'!A:C,3,),"NO REGISTRA")</f>
        <v>LUISA MARIA MAHECHA SOTOMAYOR</v>
      </c>
      <c r="D3260" s="4" t="str">
        <f>IFERROR(VLOOKUP(A3260,'Base Prueba'!A:D,4,),"NO REGISTRA")</f>
        <v>APRENDIZ UNIVERSITARIO</v>
      </c>
      <c r="E3260" s="5" t="str">
        <f>IFERROR(VLOOKUP(A3260,'Base Prueba'!A:E,5,),"NO REGISTRA")</f>
        <v>OFICINA DE MERCADEO</v>
      </c>
    </row>
    <row r="3261" spans="1:5" ht="15.75" x14ac:dyDescent="0.25">
      <c r="A3261" s="10">
        <v>1024505434</v>
      </c>
      <c r="B3261" s="2">
        <v>46083.746711921296</v>
      </c>
      <c r="C3261" s="3" t="str">
        <f>IFERROR(VLOOKUP(A3261,'Base Prueba'!A:C,3,),"NO REGISTRA")</f>
        <v>CRISTIAN ALBERTO MELO TORRES</v>
      </c>
      <c r="D3261" s="4" t="str">
        <f>IFERROR(VLOOKUP(A3261,'Base Prueba'!A:D,4,),"NO REGISTRA")</f>
        <v>COORDINADOR DE INFRAESTRUCTURA</v>
      </c>
      <c r="E3261" s="5" t="str">
        <f>IFERROR(VLOOKUP(A3261,'Base Prueba'!A:E,5,),"NO REGISTRA")</f>
        <v>VICERRECTORIA ADMINISTRATIVA Y FINANCIERA</v>
      </c>
    </row>
    <row r="3262" spans="1:5" ht="15.75" x14ac:dyDescent="0.25">
      <c r="A3262" s="10">
        <v>1012426741</v>
      </c>
      <c r="B3262" s="2">
        <v>46083.750217129629</v>
      </c>
      <c r="C3262" s="3" t="str">
        <f>IFERROR(VLOOKUP(A3262,'Base Prueba'!A:C,3,),"NO REGISTRA")</f>
        <v>CRISTIAN FABIAN ROJAS SANCENO</v>
      </c>
      <c r="D3262" s="4" t="str">
        <f>IFERROR(VLOOKUP(A3262,'Base Prueba'!A:D,4,),"NO REGISTRA")</f>
        <v>AUXILIAR DE REINTEGROS</v>
      </c>
      <c r="E3262" s="5" t="str">
        <f>IFERROR(VLOOKUP(A3262,'Base Prueba'!A:E,5,),"NO REGISTRA")</f>
        <v>DIRECCION DE BIENESTAR INSTITUCIONAL</v>
      </c>
    </row>
    <row r="3263" spans="1:5" ht="15.75" x14ac:dyDescent="0.25">
      <c r="A3263" s="10">
        <v>1000604979</v>
      </c>
      <c r="B3263" s="2">
        <v>46083.750642939813</v>
      </c>
      <c r="C3263" s="3" t="str">
        <f>IFERROR(VLOOKUP(A3263,'Base Prueba'!A:C,3,),"NO REGISTRA")</f>
        <v>JULIETH TATIANA PARDO PINTO</v>
      </c>
      <c r="D3263" s="4" t="str">
        <f>IFERROR(VLOOKUP(A3263,'Base Prueba'!A:D,4,),"NO REGISTRA")</f>
        <v>AUXILIAR JURIDICO</v>
      </c>
      <c r="E3263" s="5" t="str">
        <f>IFERROR(VLOOKUP(A3263,'Base Prueba'!A:E,5,),"NO REGISTRA")</f>
        <v>SECRETARIA GENERAL</v>
      </c>
    </row>
    <row r="3264" spans="1:5" ht="15.75" x14ac:dyDescent="0.25">
      <c r="A3264" s="10">
        <v>1000593372</v>
      </c>
      <c r="B3264" s="2">
        <v>46083.750749421299</v>
      </c>
      <c r="C3264" s="3" t="str">
        <f>IFERROR(VLOOKUP(A3264,'Base Prueba'!A:C,3,),"NO REGISTRA")</f>
        <v>LAURA SOFIA CHAPARRO LOPEZ</v>
      </c>
      <c r="D3264" s="4" t="str">
        <f>IFERROR(VLOOKUP(A3264,'Base Prueba'!A:D,4,),"NO REGISTRA")</f>
        <v>AUXILIAR JURIDICO</v>
      </c>
      <c r="E3264" s="5" t="str">
        <f>IFERROR(VLOOKUP(A3264,'Base Prueba'!A:E,5,),"NO REGISTRA")</f>
        <v>SECRETARIA GENERAL</v>
      </c>
    </row>
    <row r="3265" spans="1:5" ht="15.75" x14ac:dyDescent="0.25">
      <c r="A3265" s="10">
        <v>1000046533</v>
      </c>
      <c r="B3265" s="2">
        <v>46083.752623958331</v>
      </c>
      <c r="C3265" s="3" t="str">
        <f>IFERROR(VLOOKUP(A3265,'Base Prueba'!A:C,3,),"NO REGISTRA")</f>
        <v>ERIKA JULIETH VALDERRAMA SANCHEZ</v>
      </c>
      <c r="D3265" s="4" t="str">
        <f>IFERROR(VLOOKUP(A3265,'Base Prueba'!A:D,4,),"NO REGISTRA")</f>
        <v>PROMOTOR CALL CENTER</v>
      </c>
      <c r="E3265" s="5" t="str">
        <f>IFERROR(VLOOKUP(A3265,'Base Prueba'!A:E,5,),"NO REGISTRA")</f>
        <v>OFICINA DE MERCADEO</v>
      </c>
    </row>
    <row r="3266" spans="1:5" ht="15.75" x14ac:dyDescent="0.25">
      <c r="A3266" s="10">
        <v>52175674</v>
      </c>
      <c r="B3266" s="2">
        <v>46083.753279629629</v>
      </c>
      <c r="C3266" s="3" t="str">
        <f>IFERROR(VLOOKUP(A3266,'Base Prueba'!A:C,3,),"NO REGISTRA")</f>
        <v>LUZ YANETH GOMEZ AREVALO</v>
      </c>
      <c r="D3266" s="4" t="str">
        <f>IFERROR(VLOOKUP(A3266,'Base Prueba'!A:D,4,),"NO REGISTRA")</f>
        <v>COORDINADORA DE ADMISIONES</v>
      </c>
      <c r="E3266" s="5" t="str">
        <f>IFERROR(VLOOKUP(A3266,'Base Prueba'!A:E,5,),"NO REGISTRA")</f>
        <v>OFICINA DE MERCADEO</v>
      </c>
    </row>
    <row r="3267" spans="1:5" ht="15.75" x14ac:dyDescent="0.25">
      <c r="A3267" s="10">
        <v>1049644802</v>
      </c>
      <c r="B3267" s="2">
        <v>46083.753358912036</v>
      </c>
      <c r="C3267" s="3" t="str">
        <f>IFERROR(VLOOKUP(A3267,'Base Prueba'!A:C,3,),"NO REGISTRA")</f>
        <v>DANIELA ALEXANDRA CIPAMOCHA BOSIGA</v>
      </c>
      <c r="D3267" s="4" t="str">
        <f>IFERROR(VLOOKUP(A3267,'Base Prueba'!A:D,4,),"NO REGISTRA")</f>
        <v>LIDER DE DATOS Y SERVICIOS</v>
      </c>
      <c r="E3267" s="5" t="str">
        <f>IFERROR(VLOOKUP(A3267,'Base Prueba'!A:E,5,),"NO REGISTRA")</f>
        <v>OFICINA DE PLANEACION Y GESTION DE LA CALIDAD</v>
      </c>
    </row>
    <row r="3268" spans="1:5" ht="15.75" x14ac:dyDescent="0.25">
      <c r="A3268" s="10">
        <v>1000467399</v>
      </c>
      <c r="B3268" s="2">
        <v>46083.753824305553</v>
      </c>
      <c r="C3268" s="3" t="str">
        <f>IFERROR(VLOOKUP(A3268,'Base Prueba'!A:C,3,),"NO REGISTRA")</f>
        <v>BRANDO ESTIVEN DIAZ QUIMBAYA</v>
      </c>
      <c r="D3268" s="4" t="str">
        <f>IFERROR(VLOOKUP(A3268,'Base Prueba'!A:D,4,),"NO REGISTRA")</f>
        <v>APRENDIZ UNIVERSITARIO</v>
      </c>
      <c r="E3268" s="5" t="str">
        <f>IFERROR(VLOOKUP(A3268,'Base Prueba'!A:E,5,),"NO REGISTRA")</f>
        <v>DEPARTAMENTO DE GESTION HUMANA</v>
      </c>
    </row>
    <row r="3269" spans="1:5" ht="15.75" x14ac:dyDescent="0.25">
      <c r="A3269" s="10">
        <v>1193457976</v>
      </c>
      <c r="B3269" s="2">
        <v>46083.753909490741</v>
      </c>
      <c r="C3269" s="3" t="str">
        <f>IFERROR(VLOOKUP(A3269,'Base Prueba'!A:C,3,),"NO REGISTRA")</f>
        <v>SEDENIS RIVAS ASPRILLA</v>
      </c>
      <c r="D3269" s="4" t="str">
        <f>IFERROR(VLOOKUP(A3269,'Base Prueba'!A:D,4,),"NO REGISTRA")</f>
        <v>APRENDIZ UNIVERSITARIO</v>
      </c>
      <c r="E3269" s="5" t="str">
        <f>IFERROR(VLOOKUP(A3269,'Base Prueba'!A:E,5,),"NO REGISTRA")</f>
        <v>DEPARTAMENTO DE GESTION HUMANA</v>
      </c>
    </row>
    <row r="3270" spans="1:5" ht="15.75" x14ac:dyDescent="0.25">
      <c r="A3270" s="10">
        <v>1032469638</v>
      </c>
      <c r="B3270" s="2">
        <v>46083.753963425923</v>
      </c>
      <c r="C3270" s="3" t="str">
        <f>IFERROR(VLOOKUP(A3270,'Base Prueba'!A:C,3,),"NO REGISTRA")</f>
        <v>MAICOL JARBEY GUALTEROS CASTAÑEDA</v>
      </c>
      <c r="D3270" s="4" t="str">
        <f>IFERROR(VLOOKUP(A3270,'Base Prueba'!A:D,4,),"NO REGISTRA")</f>
        <v>COORDINADOR DEL SISTEMA INTERNO DE ASEGURAMIENTO DE LA CALIDAD - SIAC</v>
      </c>
      <c r="E3270" s="5" t="str">
        <f>IFERROR(VLOOKUP(A3270,'Base Prueba'!A:E,5,),"NO REGISTRA")</f>
        <v>OFICINA DE PLANEACION Y GESTION DE LA CALIDAD</v>
      </c>
    </row>
    <row r="3271" spans="1:5" ht="15.75" x14ac:dyDescent="0.25">
      <c r="A3271" s="10">
        <v>1026599257</v>
      </c>
      <c r="B3271" s="2">
        <v>46083.754166435188</v>
      </c>
      <c r="C3271" s="3" t="str">
        <f>IFERROR(VLOOKUP(A3271,'Base Prueba'!A:C,3,),"NO REGISTRA")</f>
        <v>YESENIA PAOLA PINEDA HURTADO</v>
      </c>
      <c r="D3271" s="4" t="str">
        <f>IFERROR(VLOOKUP(A3271,'Base Prueba'!A:D,4,),"NO REGISTRA")</f>
        <v>LIDER DE COMPRAS</v>
      </c>
      <c r="E3271" s="5" t="str">
        <f>IFERROR(VLOOKUP(A3271,'Base Prueba'!A:E,5,),"NO REGISTRA")</f>
        <v>AREA ADMINISTRATIVA</v>
      </c>
    </row>
    <row r="3272" spans="1:5" ht="15.75" x14ac:dyDescent="0.25">
      <c r="A3272" s="10">
        <v>1016090131</v>
      </c>
      <c r="B3272" s="2">
        <v>46083.754544328702</v>
      </c>
      <c r="C3272" s="3" t="str">
        <f>IFERROR(VLOOKUP(A3272,'Base Prueba'!A:C,3,),"NO REGISTRA")</f>
        <v>NICOLAS RODRIGUEZ PACHECO</v>
      </c>
      <c r="D3272" s="4" t="str">
        <f>IFERROR(VLOOKUP(A3272,'Base Prueba'!A:D,4,),"NO REGISTRA")</f>
        <v>COORDINADOR DE COMUNICACIONES</v>
      </c>
      <c r="E3272" s="5" t="str">
        <f>IFERROR(VLOOKUP(A3272,'Base Prueba'!A:E,5,),"NO REGISTRA")</f>
        <v>OFICINA DE MERCADEO</v>
      </c>
    </row>
    <row r="3273" spans="1:5" ht="15.75" x14ac:dyDescent="0.25">
      <c r="A3273" s="10">
        <v>1022996882</v>
      </c>
      <c r="B3273" s="2">
        <v>46083.755777430553</v>
      </c>
      <c r="C3273" s="3" t="str">
        <f>IFERROR(VLOOKUP(A3273,'Base Prueba'!A:C,3,),"NO REGISTRA")</f>
        <v>NANCY BRIGITH ALDANA GUEVARA</v>
      </c>
      <c r="D3273" s="4" t="str">
        <f>IFERROR(VLOOKUP(A3273,'Base Prueba'!A:D,4,),"NO REGISTRA")</f>
        <v>COORDINADORA DE GESTIÓN HUMANA</v>
      </c>
      <c r="E3273" s="5" t="str">
        <f>IFERROR(VLOOKUP(A3273,'Base Prueba'!A:E,5,),"NO REGISTRA")</f>
        <v>DEPARTAMENTO DE GESTION HUMANA</v>
      </c>
    </row>
    <row r="3274" spans="1:5" ht="15.75" x14ac:dyDescent="0.25">
      <c r="A3274" s="10">
        <v>1014196857</v>
      </c>
      <c r="B3274" s="2">
        <v>46083.756165046296</v>
      </c>
      <c r="C3274" s="3" t="str">
        <f>IFERROR(VLOOKUP(A3274,'Base Prueba'!A:C,3,),"NO REGISTRA")</f>
        <v>CARLOS ANDRES JIMENEZ PARDO</v>
      </c>
      <c r="D3274" s="4" t="str">
        <f>IFERROR(VLOOKUP(A3274,'Base Prueba'!A:D,4,),"NO REGISTRA")</f>
        <v>COORDINADOR DE MARKETING DIGITAL</v>
      </c>
      <c r="E3274" s="5" t="str">
        <f>IFERROR(VLOOKUP(A3274,'Base Prueba'!A:E,5,),"NO REGISTRA")</f>
        <v>OFICINA DE MERCADEO</v>
      </c>
    </row>
    <row r="3275" spans="1:5" ht="15.75" x14ac:dyDescent="0.25">
      <c r="A3275" s="10">
        <v>1193265768</v>
      </c>
      <c r="B3275" s="2">
        <v>46083.756185879633</v>
      </c>
      <c r="C3275" s="3" t="str">
        <f>IFERROR(VLOOKUP(A3275,'Base Prueba'!A:C,3,),"NO REGISTRA")</f>
        <v>SANTIAGO OSORIO CAMACHO</v>
      </c>
      <c r="D3275" s="4" t="str">
        <f>IFERROR(VLOOKUP(A3275,'Base Prueba'!A:D,4,),"NO REGISTRA")</f>
        <v>ANALISTA DE PAUTA</v>
      </c>
      <c r="E3275" s="5" t="str">
        <f>IFERROR(VLOOKUP(A3275,'Base Prueba'!A:E,5,),"NO REGISTRA")</f>
        <v>OFICINA DE MERCADEO</v>
      </c>
    </row>
    <row r="3276" spans="1:5" ht="15.75" x14ac:dyDescent="0.25">
      <c r="A3276" s="10">
        <v>1033709056</v>
      </c>
      <c r="B3276" s="2">
        <v>46083.75677083333</v>
      </c>
      <c r="C3276" s="3" t="str">
        <f>IFERROR(VLOOKUP(A3276,'Base Prueba'!A:C,3,),"NO REGISTRA")</f>
        <v>YEIMY ALEXANDRA RODRIGUEZ PALACIO</v>
      </c>
      <c r="D3276" s="4" t="str">
        <f>IFERROR(VLOOKUP(A3276,'Base Prueba'!A:D,4,),"NO REGISTRA")</f>
        <v>PROMOTOR CALL CENTER</v>
      </c>
      <c r="E3276" s="5" t="str">
        <f>IFERROR(VLOOKUP(A3276,'Base Prueba'!A:E,5,),"NO REGISTRA")</f>
        <v>OFICINA DE MERCADEO</v>
      </c>
    </row>
    <row r="3277" spans="1:5" ht="15.75" x14ac:dyDescent="0.25">
      <c r="A3277" s="10">
        <v>53089882</v>
      </c>
      <c r="B3277" s="2">
        <v>46083.757652083332</v>
      </c>
      <c r="C3277" s="3" t="str">
        <f>IFERROR(VLOOKUP(A3277,'Base Prueba'!A:C,3,),"NO REGISTRA")</f>
        <v>MARIA JOHANA ESCAMILLA MARTINEZ</v>
      </c>
      <c r="D3277" s="4" t="str">
        <f>IFERROR(VLOOKUP(A3277,'Base Prueba'!A:D,4,),"NO REGISTRA")</f>
        <v>PROMOTOR DE INFORMACIÓN</v>
      </c>
      <c r="E3277" s="5" t="str">
        <f>IFERROR(VLOOKUP(A3277,'Base Prueba'!A:E,5,),"NO REGISTRA")</f>
        <v>OFICINA DE MERCADEO</v>
      </c>
    </row>
    <row r="3278" spans="1:5" ht="15.75" x14ac:dyDescent="0.25">
      <c r="A3278" s="10">
        <v>1012357415</v>
      </c>
      <c r="B3278" s="2">
        <v>46083.757689930557</v>
      </c>
      <c r="C3278" s="3" t="str">
        <f>IFERROR(VLOOKUP(A3278,'Base Prueba'!A:C,3,),"NO REGISTRA")</f>
        <v>CINDY LORENA BOHORQUEZ LEYVA</v>
      </c>
      <c r="D3278" s="4" t="str">
        <f>IFERROR(VLOOKUP(A3278,'Base Prueba'!A:D,4,),"NO REGISTRA")</f>
        <v>ANALISTA DE TESORERIA</v>
      </c>
      <c r="E3278" s="5" t="str">
        <f>IFERROR(VLOOKUP(A3278,'Base Prueba'!A:E,5,),"NO REGISTRA")</f>
        <v>AREA FINANCIERA Y CONTABLE</v>
      </c>
    </row>
    <row r="3279" spans="1:5" ht="15.75" x14ac:dyDescent="0.25">
      <c r="A3279" s="10">
        <v>1019105003</v>
      </c>
      <c r="B3279" s="2">
        <v>46083.757761226851</v>
      </c>
      <c r="C3279" s="3" t="str">
        <f>IFERROR(VLOOKUP(A3279,'Base Prueba'!A:C,3,),"NO REGISTRA")</f>
        <v>DAISY JULIETH GASPAR MORENO</v>
      </c>
      <c r="D3279" s="4" t="str">
        <f>IFERROR(VLOOKUP(A3279,'Base Prueba'!A:D,4,),"NO REGISTRA")</f>
        <v>PROMOTOR CALL CENTER</v>
      </c>
      <c r="E3279" s="5" t="str">
        <f>IFERROR(VLOOKUP(A3279,'Base Prueba'!A:E,5,),"NO REGISTRA")</f>
        <v>OFICINA DE MERCADEO</v>
      </c>
    </row>
    <row r="3280" spans="1:5" ht="15.75" x14ac:dyDescent="0.25">
      <c r="A3280" s="10">
        <v>28798349</v>
      </c>
      <c r="B3280" s="2">
        <v>46083.758232175926</v>
      </c>
      <c r="C3280" s="3" t="str">
        <f>IFERROR(VLOOKUP(A3280,'Base Prueba'!A:C,3,),"NO REGISTRA")</f>
        <v>MARTHA ISABEL TOVAR WILLIAMS</v>
      </c>
      <c r="D3280" s="4" t="str">
        <f>IFERROR(VLOOKUP(A3280,'Base Prueba'!A:D,4,),"NO REGISTRA")</f>
        <v>PROMOTOR CALL CENTER</v>
      </c>
      <c r="E3280" s="5" t="str">
        <f>IFERROR(VLOOKUP(A3280,'Base Prueba'!A:E,5,),"NO REGISTRA")</f>
        <v>OFICINA DE MERCADEO</v>
      </c>
    </row>
    <row r="3281" spans="1:5" ht="15.75" x14ac:dyDescent="0.25">
      <c r="A3281" s="10">
        <v>1003690253</v>
      </c>
      <c r="B3281" s="2">
        <v>46083.758591782411</v>
      </c>
      <c r="C3281" s="3" t="str">
        <f>IFERROR(VLOOKUP(A3281,'Base Prueba'!A:C,3,),"NO REGISTRA")</f>
        <v>MELISSA GONZALEZ PEDRAZA</v>
      </c>
      <c r="D3281" s="4" t="str">
        <f>IFERROR(VLOOKUP(A3281,'Base Prueba'!A:D,4,),"NO REGISTRA")</f>
        <v>LIDER DE JOVENES A LA E</v>
      </c>
      <c r="E3281" s="5" t="str">
        <f>IFERROR(VLOOKUP(A3281,'Base Prueba'!A:E,5,),"NO REGISTRA")</f>
        <v>DIRECCION DE BIENESTAR INSTITUCIONAL</v>
      </c>
    </row>
    <row r="3282" spans="1:5" ht="15.75" x14ac:dyDescent="0.25">
      <c r="A3282" s="10">
        <v>1023961952</v>
      </c>
      <c r="B3282" s="2">
        <v>46083.75891527778</v>
      </c>
      <c r="C3282" s="3" t="str">
        <f>IFERROR(VLOOKUP(A3282,'Base Prueba'!A:C,3,),"NO REGISTRA")</f>
        <v>ALEJANDRO PINZON MERCHAN</v>
      </c>
      <c r="D3282" s="4" t="str">
        <f>IFERROR(VLOOKUP(A3282,'Base Prueba'!A:D,4,),"NO REGISTRA")</f>
        <v>PROMOTOR CALL CENTER</v>
      </c>
      <c r="E3282" s="5" t="str">
        <f>IFERROR(VLOOKUP(A3282,'Base Prueba'!A:E,5,),"NO REGISTRA")</f>
        <v>OFICINA DE MERCADEO</v>
      </c>
    </row>
    <row r="3283" spans="1:5" ht="15.75" x14ac:dyDescent="0.25">
      <c r="A3283" s="10">
        <v>1018414290</v>
      </c>
      <c r="B3283" s="2">
        <v>46083.759079861113</v>
      </c>
      <c r="C3283" s="3" t="str">
        <f>IFERROR(VLOOKUP(A3283,'Base Prueba'!A:C,3,),"NO REGISTRA")</f>
        <v>AMANDA LISBETH RODRIGUEZ LEON</v>
      </c>
      <c r="D3283" s="4" t="str">
        <f>IFERROR(VLOOKUP(A3283,'Base Prueba'!A:D,4,),"NO REGISTRA")</f>
        <v>PROMOTOR CALL CENTER</v>
      </c>
      <c r="E3283" s="5" t="str">
        <f>IFERROR(VLOOKUP(A3283,'Base Prueba'!A:E,5,),"NO REGISTRA")</f>
        <v>OFICINA DE MERCADEO</v>
      </c>
    </row>
    <row r="3284" spans="1:5" ht="15.75" x14ac:dyDescent="0.25">
      <c r="A3284" s="10">
        <v>1032407386</v>
      </c>
      <c r="B3284" s="2">
        <v>46083.759122337964</v>
      </c>
      <c r="C3284" s="3" t="str">
        <f>IFERROR(VLOOKUP(A3284,'Base Prueba'!A:C,3,),"NO REGISTRA")</f>
        <v>GINA PAOLA BAEZ GALVIS</v>
      </c>
      <c r="D3284" s="4" t="str">
        <f>IFERROR(VLOOKUP(A3284,'Base Prueba'!A:D,4,),"NO REGISTRA")</f>
        <v>PROMOTOR CALL CENTER</v>
      </c>
      <c r="E3284" s="5" t="str">
        <f>IFERROR(VLOOKUP(A3284,'Base Prueba'!A:E,5,),"NO REGISTRA")</f>
        <v>OFICINA DE MERCADEO</v>
      </c>
    </row>
    <row r="3285" spans="1:5" ht="15.75" x14ac:dyDescent="0.25">
      <c r="A3285" s="10">
        <v>1023883232</v>
      </c>
      <c r="B3285" s="2">
        <v>46083.759242708336</v>
      </c>
      <c r="C3285" s="3" t="str">
        <f>IFERROR(VLOOKUP(A3285,'Base Prueba'!A:C,3,),"NO REGISTRA")</f>
        <v>MONICA ANDREA ACERO URBANO</v>
      </c>
      <c r="D3285" s="4" t="str">
        <f>IFERROR(VLOOKUP(A3285,'Base Prueba'!A:D,4,),"NO REGISTRA")</f>
        <v>APOYO INTEGRAL A GESTION HUMANA</v>
      </c>
      <c r="E3285" s="5" t="str">
        <f>IFERROR(VLOOKUP(A3285,'Base Prueba'!A:E,5,),"NO REGISTRA")</f>
        <v>DEPARTAMENTO DE GESTION HUMANA</v>
      </c>
    </row>
    <row r="3286" spans="1:5" ht="15.75" x14ac:dyDescent="0.25">
      <c r="A3286" s="10">
        <v>1000457706</v>
      </c>
      <c r="B3286" s="2">
        <v>46083.76038310185</v>
      </c>
      <c r="C3286" s="3" t="str">
        <f>IFERROR(VLOOKUP(A3286,'Base Prueba'!A:C,3,),"NO REGISTRA")</f>
        <v>CRISTIAN DANILO ARROYO SANABRIA</v>
      </c>
      <c r="D3286" s="4" t="str">
        <f>IFERROR(VLOOKUP(A3286,'Base Prueba'!A:D,4,),"NO REGISTRA")</f>
        <v>AUXILIAR CONTABLE</v>
      </c>
      <c r="E3286" s="5" t="str">
        <f>IFERROR(VLOOKUP(A3286,'Base Prueba'!A:E,5,),"NO REGISTRA")</f>
        <v>AREA FINANCIERA Y CONTABLE</v>
      </c>
    </row>
    <row r="3287" spans="1:5" ht="15.75" x14ac:dyDescent="0.25">
      <c r="A3287" s="10">
        <v>1014977624</v>
      </c>
      <c r="B3287" s="2">
        <v>46083.760421296298</v>
      </c>
      <c r="C3287" s="3" t="str">
        <f>IFERROR(VLOOKUP(A3287,'Base Prueba'!A:C,3,),"NO REGISTRA")</f>
        <v>NICCOLE VALENTINA HERNANDEZ MALAVER</v>
      </c>
      <c r="D3287" s="4" t="str">
        <f>IFERROR(VLOOKUP(A3287,'Base Prueba'!A:D,4,),"NO REGISTRA")</f>
        <v>APRENDIZ UNIVERSITARIO</v>
      </c>
      <c r="E3287" s="5" t="str">
        <f>IFERROR(VLOOKUP(A3287,'Base Prueba'!A:E,5,),"NO REGISTRA")</f>
        <v>AREA FINANCIERA Y CONTABLE</v>
      </c>
    </row>
    <row r="3288" spans="1:5" ht="15.75" x14ac:dyDescent="0.25">
      <c r="A3288" s="10">
        <v>80238161</v>
      </c>
      <c r="B3288" s="2">
        <v>46083.762160069447</v>
      </c>
      <c r="C3288" s="3" t="str">
        <f>IFERROR(VLOOKUP(A3288,'Base Prueba'!A:C,3,),"NO REGISTRA")</f>
        <v>GERMAN CARRANZA ESPITIA</v>
      </c>
      <c r="D3288" s="4" t="str">
        <f>IFERROR(VLOOKUP(A3288,'Base Prueba'!A:D,4,),"NO REGISTRA")</f>
        <v>TESORERO</v>
      </c>
      <c r="E3288" s="5" t="str">
        <f>IFERROR(VLOOKUP(A3288,'Base Prueba'!A:E,5,),"NO REGISTRA")</f>
        <v>AREA FINANCIERA Y CONTABLE</v>
      </c>
    </row>
    <row r="3289" spans="1:5" ht="15.75" x14ac:dyDescent="0.25">
      <c r="A3289" s="10">
        <v>1000324729</v>
      </c>
      <c r="B3289" s="2">
        <v>46083.763229976852</v>
      </c>
      <c r="C3289" s="3" t="str">
        <f>IFERROR(VLOOKUP(A3289,'Base Prueba'!A:C,3,),"NO REGISTRA")</f>
        <v>ANYIE VANESSA TINOCO CAMACHO</v>
      </c>
      <c r="D3289" s="4" t="str">
        <f>IFERROR(VLOOKUP(A3289,'Base Prueba'!A:D,4,),"NO REGISTRA")</f>
        <v>LIDER DE REGISTRO Y CONTROL</v>
      </c>
      <c r="E3289" s="5" t="str">
        <f>IFERROR(VLOOKUP(A3289,'Base Prueba'!A:E,5,),"NO REGISTRA")</f>
        <v>REGISTRO Y CONTROL ACADEMICO</v>
      </c>
    </row>
    <row r="3290" spans="1:5" ht="15.75" x14ac:dyDescent="0.25">
      <c r="A3290" s="10">
        <v>1000257136</v>
      </c>
      <c r="B3290" s="2">
        <v>46083.763327546294</v>
      </c>
      <c r="C3290" s="3" t="str">
        <f>IFERROR(VLOOKUP(A3290,'Base Prueba'!A:C,3,),"NO REGISTRA")</f>
        <v>FRANCI VALENTINA CANO PUENTES</v>
      </c>
      <c r="D3290" s="4" t="str">
        <f>IFERROR(VLOOKUP(A3290,'Base Prueba'!A:D,4,),"NO REGISTRA")</f>
        <v>AUXILIAR CONTABLE</v>
      </c>
      <c r="E3290" s="5" t="str">
        <f>IFERROR(VLOOKUP(A3290,'Base Prueba'!A:E,5,),"NO REGISTRA")</f>
        <v>AREA FINANCIERA Y CONTABLE</v>
      </c>
    </row>
    <row r="3291" spans="1:5" ht="15.75" x14ac:dyDescent="0.25">
      <c r="A3291" s="10">
        <v>1000161811</v>
      </c>
      <c r="B3291" s="2">
        <v>46083.763725694444</v>
      </c>
      <c r="C3291" s="3" t="str">
        <f>IFERROR(VLOOKUP(A3291,'Base Prueba'!A:C,3,),"NO REGISTRA")</f>
        <v>DIEGO ANDRES VARON ROZO</v>
      </c>
      <c r="D3291" s="4" t="str">
        <f>IFERROR(VLOOKUP(A3291,'Base Prueba'!A:D,4,),"NO REGISTRA")</f>
        <v>APRENDIZ UNIVERSITARIO</v>
      </c>
      <c r="E3291" s="5" t="str">
        <f>IFERROR(VLOOKUP(A3291,'Base Prueba'!A:E,5,),"NO REGISTRA")</f>
        <v>OFICINA DE MERCADEO</v>
      </c>
    </row>
    <row r="3292" spans="1:5" ht="15.75" x14ac:dyDescent="0.25">
      <c r="A3292" s="10">
        <v>52472386</v>
      </c>
      <c r="B3292" s="2">
        <v>46083.764728472219</v>
      </c>
      <c r="C3292" s="3" t="str">
        <f>IFERROR(VLOOKUP(A3292,'Base Prueba'!A:C,3,),"NO REGISTRA")</f>
        <v>ADRIANA MARCELA MORALES PARDO</v>
      </c>
      <c r="D3292" s="4" t="str">
        <f>IFERROR(VLOOKUP(A3292,'Base Prueba'!A:D,4,),"NO REGISTRA")</f>
        <v>PROMOTOR CALL CENTER</v>
      </c>
      <c r="E3292" s="5" t="str">
        <f>IFERROR(VLOOKUP(A3292,'Base Prueba'!A:E,5,),"NO REGISTRA")</f>
        <v>OFICINA DE MERCADEO</v>
      </c>
    </row>
    <row r="3293" spans="1:5" ht="15.75" x14ac:dyDescent="0.25">
      <c r="A3293" s="10">
        <v>53932358</v>
      </c>
      <c r="B3293" s="2">
        <v>46083.766069791665</v>
      </c>
      <c r="C3293" s="3" t="str">
        <f>IFERROR(VLOOKUP(A3293,'Base Prueba'!A:C,3,),"NO REGISTRA")</f>
        <v>DIANA MADELEYNE GAONA RODRIGUEZ</v>
      </c>
      <c r="D3293" s="4" t="str">
        <f>IFERROR(VLOOKUP(A3293,'Base Prueba'!A:D,4,),"NO REGISTRA")</f>
        <v>CONTADOR</v>
      </c>
      <c r="E3293" s="5" t="str">
        <f>IFERROR(VLOOKUP(A3293,'Base Prueba'!A:E,5,),"NO REGISTRA")</f>
        <v>AREA FINANCIERA Y CONTABLE</v>
      </c>
    </row>
    <row r="3294" spans="1:5" ht="15.75" x14ac:dyDescent="0.25">
      <c r="A3294" s="10">
        <v>80234243</v>
      </c>
      <c r="B3294" s="2">
        <v>46083.767661226855</v>
      </c>
      <c r="C3294" s="3" t="str">
        <f>IFERROR(VLOOKUP(A3294,'Base Prueba'!A:C,3,),"NO REGISTRA")</f>
        <v>ARGENIS MARTINEZ MARTINEZ</v>
      </c>
      <c r="D3294" s="4" t="str">
        <f>IFERROR(VLOOKUP(A3294,'Base Prueba'!A:D,4,),"NO REGISTRA")</f>
        <v>LIDER CALL CENTER</v>
      </c>
      <c r="E3294" s="5" t="str">
        <f>IFERROR(VLOOKUP(A3294,'Base Prueba'!A:E,5,),"NO REGISTRA")</f>
        <v>OFICINA DE MERCADEO</v>
      </c>
    </row>
    <row r="3295" spans="1:5" ht="15.75" x14ac:dyDescent="0.25">
      <c r="A3295" s="10">
        <v>1013616244</v>
      </c>
      <c r="B3295" s="2">
        <v>46083.791370949075</v>
      </c>
      <c r="C3295" s="3" t="str">
        <f>IFERROR(VLOOKUP(A3295,'Base Prueba'!A:C,3,),"NO REGISTRA")</f>
        <v>DIANA CAROLINA MARIN BETANCOURT</v>
      </c>
      <c r="D3295" s="4" t="str">
        <f>IFERROR(VLOOKUP(A3295,'Base Prueba'!A:D,4,),"NO REGISTRA")</f>
        <v>AUXILIAR ADMINISTRATIVO</v>
      </c>
      <c r="E3295" s="5" t="str">
        <f>IFERROR(VLOOKUP(A3295,'Base Prueba'!A:E,5,),"NO REGISTRA")</f>
        <v>REGISTRO Y CONTROL ACADEMICO</v>
      </c>
    </row>
    <row r="3296" spans="1:5" ht="15.75" x14ac:dyDescent="0.25">
      <c r="A3296" s="10">
        <v>1014211708</v>
      </c>
      <c r="B3296" s="2">
        <v>46083.792468518521</v>
      </c>
      <c r="C3296" s="3" t="str">
        <f>IFERROR(VLOOKUP(A3296,'Base Prueba'!A:C,3,),"NO REGISTRA")</f>
        <v>JUAN MANUEL MERCADO FUENTES</v>
      </c>
      <c r="D3296" s="4" t="str">
        <f>IFERROR(VLOOKUP(A3296,'Base Prueba'!A:D,4,),"NO REGISTRA")</f>
        <v>COORDINADOR DE DISEÑO E IMAGEN INSTITUCIONAL</v>
      </c>
      <c r="E3296" s="5" t="str">
        <f>IFERROR(VLOOKUP(A3296,'Base Prueba'!A:E,5,),"NO REGISTRA")</f>
        <v>OFICINA DE MERCADEO</v>
      </c>
    </row>
    <row r="3297" spans="1:5" ht="15.75" x14ac:dyDescent="0.25">
      <c r="A3297" s="10">
        <v>52474489</v>
      </c>
      <c r="B3297" s="2">
        <v>46083.795016087963</v>
      </c>
      <c r="C3297" s="3" t="str">
        <f>IFERROR(VLOOKUP(A3297,'Base Prueba'!A:C,3,),"NO REGISTRA")</f>
        <v>ADRIANA JIMENA SOTO BOCANEGRA</v>
      </c>
      <c r="D3297" s="4" t="str">
        <f>IFERROR(VLOOKUP(A3297,'Base Prueba'!A:D,4,),"NO REGISTRA")</f>
        <v>COORDINADOR DE LA OFICINA DE REGISTRO Y CONTROL</v>
      </c>
      <c r="E3297" s="5" t="str">
        <f>IFERROR(VLOOKUP(A3297,'Base Prueba'!A:E,5,),"NO REGISTRA")</f>
        <v>REGISTRO Y CONTROL ACADEMICO</v>
      </c>
    </row>
    <row r="3298" spans="1:5" ht="15.75" x14ac:dyDescent="0.25">
      <c r="A3298" s="10">
        <v>1000324729</v>
      </c>
      <c r="B3298" s="2">
        <v>46084.312677893518</v>
      </c>
      <c r="C3298" s="3" t="str">
        <f>IFERROR(VLOOKUP(A3298,'Base Prueba'!A:C,3,),"NO REGISTRA")</f>
        <v>ANYIE VANESSA TINOCO CAMACHO</v>
      </c>
      <c r="D3298" s="4" t="str">
        <f>IFERROR(VLOOKUP(A3298,'Base Prueba'!A:D,4,),"NO REGISTRA")</f>
        <v>LIDER DE REGISTRO Y CONTROL</v>
      </c>
      <c r="E3298" s="5" t="str">
        <f>IFERROR(VLOOKUP(A3298,'Base Prueba'!A:E,5,),"NO REGISTRA")</f>
        <v>REGISTRO Y CONTROL ACADEMICO</v>
      </c>
    </row>
    <row r="3299" spans="1:5" ht="15.75" x14ac:dyDescent="0.25">
      <c r="A3299" s="10">
        <v>1010184333</v>
      </c>
      <c r="B3299" s="2">
        <v>46084.315377199076</v>
      </c>
      <c r="C3299" s="3" t="str">
        <f>IFERROR(VLOOKUP(A3299,'Base Prueba'!A:C,3,),"NO REGISTRA")</f>
        <v>AKON ANDRES GARZON ALVAREZ</v>
      </c>
      <c r="D3299" s="4" t="str">
        <f>IFERROR(VLOOKUP(A3299,'Base Prueba'!A:D,4,),"NO REGISTRA")</f>
        <v>APRENDIZ UNIVERSITARIO</v>
      </c>
      <c r="E3299" s="5" t="str">
        <f>IFERROR(VLOOKUP(A3299,'Base Prueba'!A:E,5,),"NO REGISTRA")</f>
        <v>SECRETARIA GENERAL</v>
      </c>
    </row>
    <row r="3300" spans="1:5" ht="15.75" x14ac:dyDescent="0.25">
      <c r="A3300" s="10">
        <v>1013616244</v>
      </c>
      <c r="B3300" s="2">
        <v>46084.322017824074</v>
      </c>
      <c r="C3300" s="3" t="str">
        <f>IFERROR(VLOOKUP(A3300,'Base Prueba'!A:C,3,),"NO REGISTRA")</f>
        <v>DIANA CAROLINA MARIN BETANCOURT</v>
      </c>
      <c r="D3300" s="4" t="str">
        <f>IFERROR(VLOOKUP(A3300,'Base Prueba'!A:D,4,),"NO REGISTRA")</f>
        <v>AUXILIAR ADMINISTRATIVO</v>
      </c>
      <c r="E3300" s="5" t="str">
        <f>IFERROR(VLOOKUP(A3300,'Base Prueba'!A:E,5,),"NO REGISTRA")</f>
        <v>REGISTRO Y CONTROL ACADEMICO</v>
      </c>
    </row>
    <row r="3301" spans="1:5" ht="15.75" x14ac:dyDescent="0.25">
      <c r="A3301" s="10">
        <v>1003690253</v>
      </c>
      <c r="B3301" s="2">
        <v>46084.328915625003</v>
      </c>
      <c r="C3301" s="3" t="str">
        <f>IFERROR(VLOOKUP(A3301,'Base Prueba'!A:C,3,),"NO REGISTRA")</f>
        <v>MELISSA GONZALEZ PEDRAZA</v>
      </c>
      <c r="D3301" s="4" t="str">
        <f>IFERROR(VLOOKUP(A3301,'Base Prueba'!A:D,4,),"NO REGISTRA")</f>
        <v>LIDER DE JOVENES A LA E</v>
      </c>
      <c r="E3301" s="5" t="str">
        <f>IFERROR(VLOOKUP(A3301,'Base Prueba'!A:E,5,),"NO REGISTRA")</f>
        <v>DIRECCION DE BIENESTAR INSTITUCIONAL</v>
      </c>
    </row>
    <row r="3302" spans="1:5" ht="15.75" x14ac:dyDescent="0.25">
      <c r="A3302" s="10">
        <v>1000257136</v>
      </c>
      <c r="B3302" s="2">
        <v>46084.330292245373</v>
      </c>
      <c r="C3302" s="3" t="str">
        <f>IFERROR(VLOOKUP(A3302,'Base Prueba'!A:C,3,),"NO REGISTRA")</f>
        <v>FRANCI VALENTINA CANO PUENTES</v>
      </c>
      <c r="D3302" s="4" t="str">
        <f>IFERROR(VLOOKUP(A3302,'Base Prueba'!A:D,4,),"NO REGISTRA")</f>
        <v>AUXILIAR CONTABLE</v>
      </c>
      <c r="E3302" s="5" t="str">
        <f>IFERROR(VLOOKUP(A3302,'Base Prueba'!A:E,5,),"NO REGISTRA")</f>
        <v>AREA FINANCIERA Y CONTABLE</v>
      </c>
    </row>
    <row r="3303" spans="1:5" ht="15.75" x14ac:dyDescent="0.25">
      <c r="A3303" s="10">
        <v>1014977624</v>
      </c>
      <c r="B3303" s="2">
        <v>46084.337960763885</v>
      </c>
      <c r="C3303" s="3" t="str">
        <f>IFERROR(VLOOKUP(A3303,'Base Prueba'!A:C,3,),"NO REGISTRA")</f>
        <v>NICCOLE VALENTINA HERNANDEZ MALAVER</v>
      </c>
      <c r="D3303" s="4" t="str">
        <f>IFERROR(VLOOKUP(A3303,'Base Prueba'!A:D,4,),"NO REGISTRA")</f>
        <v>APRENDIZ UNIVERSITARIO</v>
      </c>
      <c r="E3303" s="5" t="str">
        <f>IFERROR(VLOOKUP(A3303,'Base Prueba'!A:E,5,),"NO REGISTRA")</f>
        <v>AREA FINANCIERA Y CONTABLE</v>
      </c>
    </row>
    <row r="3304" spans="1:5" ht="15.75" x14ac:dyDescent="0.25">
      <c r="A3304" s="10">
        <v>80238161</v>
      </c>
      <c r="B3304" s="2">
        <v>46084.343471643515</v>
      </c>
      <c r="C3304" s="3" t="str">
        <f>IFERROR(VLOOKUP(A3304,'Base Prueba'!A:C,3,),"NO REGISTRA")</f>
        <v>GERMAN CARRANZA ESPITIA</v>
      </c>
      <c r="D3304" s="4" t="str">
        <f>IFERROR(VLOOKUP(A3304,'Base Prueba'!A:D,4,),"NO REGISTRA")</f>
        <v>TESORERO</v>
      </c>
      <c r="E3304" s="5" t="str">
        <f>IFERROR(VLOOKUP(A3304,'Base Prueba'!A:E,5,),"NO REGISTRA")</f>
        <v>AREA FINANCIERA Y CONTABLE</v>
      </c>
    </row>
    <row r="3305" spans="1:5" ht="15.75" x14ac:dyDescent="0.25">
      <c r="A3305" s="10">
        <v>1014196857</v>
      </c>
      <c r="B3305" s="2">
        <v>46084.346216319442</v>
      </c>
      <c r="C3305" s="3" t="str">
        <f>IFERROR(VLOOKUP(A3305,'Base Prueba'!A:C,3,),"NO REGISTRA")</f>
        <v>CARLOS ANDRES JIMENEZ PARDO</v>
      </c>
      <c r="D3305" s="4" t="str">
        <f>IFERROR(VLOOKUP(A3305,'Base Prueba'!A:D,4,),"NO REGISTRA")</f>
        <v>COORDINADOR DE MARKETING DIGITAL</v>
      </c>
      <c r="E3305" s="5" t="str">
        <f>IFERROR(VLOOKUP(A3305,'Base Prueba'!A:E,5,),"NO REGISTRA")</f>
        <v>OFICINA DE MERCADEO</v>
      </c>
    </row>
    <row r="3306" spans="1:5" ht="15.75" x14ac:dyDescent="0.25">
      <c r="A3306" s="10">
        <v>1000467399</v>
      </c>
      <c r="B3306" s="2">
        <v>46084.349705671295</v>
      </c>
      <c r="C3306" s="3" t="str">
        <f>IFERROR(VLOOKUP(A3306,'Base Prueba'!A:C,3,),"NO REGISTRA")</f>
        <v>BRANDO ESTIVEN DIAZ QUIMBAYA</v>
      </c>
      <c r="D3306" s="4" t="str">
        <f>IFERROR(VLOOKUP(A3306,'Base Prueba'!A:D,4,),"NO REGISTRA")</f>
        <v>APRENDIZ UNIVERSITARIO</v>
      </c>
      <c r="E3306" s="5" t="str">
        <f>IFERROR(VLOOKUP(A3306,'Base Prueba'!A:E,5,),"NO REGISTRA")</f>
        <v>DEPARTAMENTO DE GESTION HUMANA</v>
      </c>
    </row>
    <row r="3307" spans="1:5" ht="15.75" x14ac:dyDescent="0.25">
      <c r="A3307" s="10">
        <v>1012357415</v>
      </c>
      <c r="B3307" s="2">
        <v>46084.354079976853</v>
      </c>
      <c r="C3307" s="3" t="str">
        <f>IFERROR(VLOOKUP(A3307,'Base Prueba'!A:C,3,),"NO REGISTRA")</f>
        <v>CINDY LORENA BOHORQUEZ LEYVA</v>
      </c>
      <c r="D3307" s="4" t="str">
        <f>IFERROR(VLOOKUP(A3307,'Base Prueba'!A:D,4,),"NO REGISTRA")</f>
        <v>ANALISTA DE TESORERIA</v>
      </c>
      <c r="E3307" s="5" t="str">
        <f>IFERROR(VLOOKUP(A3307,'Base Prueba'!A:E,5,),"NO REGISTRA")</f>
        <v>AREA FINANCIERA Y CONTABLE</v>
      </c>
    </row>
    <row r="3308" spans="1:5" ht="15.75" x14ac:dyDescent="0.25">
      <c r="A3308" s="10">
        <v>1049644802</v>
      </c>
      <c r="B3308" s="2">
        <v>46084.357408680553</v>
      </c>
      <c r="C3308" s="3" t="str">
        <f>IFERROR(VLOOKUP(A3308,'Base Prueba'!A:C,3,),"NO REGISTRA")</f>
        <v>DANIELA ALEXANDRA CIPAMOCHA BOSIGA</v>
      </c>
      <c r="D3308" s="4" t="str">
        <f>IFERROR(VLOOKUP(A3308,'Base Prueba'!A:D,4,),"NO REGISTRA")</f>
        <v>LIDER DE DATOS Y SERVICIOS</v>
      </c>
      <c r="E3308" s="5" t="str">
        <f>IFERROR(VLOOKUP(A3308,'Base Prueba'!A:E,5,),"NO REGISTRA")</f>
        <v>OFICINA DE PLANEACION Y GESTION DE LA CALIDAD</v>
      </c>
    </row>
    <row r="3309" spans="1:5" ht="15.75" x14ac:dyDescent="0.25">
      <c r="A3309" s="10">
        <v>1000593372</v>
      </c>
      <c r="B3309" s="2">
        <v>46084.357457060185</v>
      </c>
      <c r="C3309" s="3" t="str">
        <f>IFERROR(VLOOKUP(A3309,'Base Prueba'!A:C,3,),"NO REGISTRA")</f>
        <v>LAURA SOFIA CHAPARRO LOPEZ</v>
      </c>
      <c r="D3309" s="4" t="str">
        <f>IFERROR(VLOOKUP(A3309,'Base Prueba'!A:D,4,),"NO REGISTRA")</f>
        <v>AUXILIAR JURIDICO</v>
      </c>
      <c r="E3309" s="5" t="str">
        <f>IFERROR(VLOOKUP(A3309,'Base Prueba'!A:E,5,),"NO REGISTRA")</f>
        <v>SECRETARIA GENERAL</v>
      </c>
    </row>
    <row r="3310" spans="1:5" ht="15.75" x14ac:dyDescent="0.25">
      <c r="A3310" s="10">
        <v>1031802160</v>
      </c>
      <c r="B3310" s="2">
        <v>46084.358568981479</v>
      </c>
      <c r="C3310" s="3" t="str">
        <f>IFERROR(VLOOKUP(A3310,'Base Prueba'!A:C,3,),"NO REGISTRA")</f>
        <v>LUISA MARIA MAHECHA SOTOMAYOR</v>
      </c>
      <c r="D3310" s="4" t="str">
        <f>IFERROR(VLOOKUP(A3310,'Base Prueba'!A:D,4,),"NO REGISTRA")</f>
        <v>APRENDIZ UNIVERSITARIO</v>
      </c>
      <c r="E3310" s="5" t="str">
        <f>IFERROR(VLOOKUP(A3310,'Base Prueba'!A:E,5,),"NO REGISTRA")</f>
        <v>OFICINA DE MERCADEO</v>
      </c>
    </row>
    <row r="3311" spans="1:5" ht="15.75" x14ac:dyDescent="0.25">
      <c r="A3311" s="10">
        <v>1033709056</v>
      </c>
      <c r="B3311" s="2">
        <v>46084.360412847222</v>
      </c>
      <c r="C3311" s="3" t="str">
        <f>IFERROR(VLOOKUP(A3311,'Base Prueba'!A:C,3,),"NO REGISTRA")</f>
        <v>YEIMY ALEXANDRA RODRIGUEZ PALACIO</v>
      </c>
      <c r="D3311" s="4" t="str">
        <f>IFERROR(VLOOKUP(A3311,'Base Prueba'!A:D,4,),"NO REGISTRA")</f>
        <v>PROMOTOR CALL CENTER</v>
      </c>
      <c r="E3311" s="5" t="str">
        <f>IFERROR(VLOOKUP(A3311,'Base Prueba'!A:E,5,),"NO REGISTRA")</f>
        <v>OFICINA DE MERCADEO</v>
      </c>
    </row>
    <row r="3312" spans="1:5" ht="15.75" x14ac:dyDescent="0.25">
      <c r="A3312" s="10">
        <v>1023883232</v>
      </c>
      <c r="B3312" s="2">
        <v>46084.363872222224</v>
      </c>
      <c r="C3312" s="3" t="str">
        <f>IFERROR(VLOOKUP(A3312,'Base Prueba'!A:C,3,),"NO REGISTRA")</f>
        <v>MONICA ANDREA ACERO URBANO</v>
      </c>
      <c r="D3312" s="4" t="str">
        <f>IFERROR(VLOOKUP(A3312,'Base Prueba'!A:D,4,),"NO REGISTRA")</f>
        <v>APOYO INTEGRAL A GESTION HUMANA</v>
      </c>
      <c r="E3312" s="5" t="str">
        <f>IFERROR(VLOOKUP(A3312,'Base Prueba'!A:E,5,),"NO REGISTRA")</f>
        <v>DEPARTAMENTO DE GESTION HUMANA</v>
      </c>
    </row>
    <row r="3313" spans="1:5" ht="15.75" x14ac:dyDescent="0.25">
      <c r="A3313" s="10">
        <v>1018413529</v>
      </c>
      <c r="B3313" s="2">
        <v>46084.36503252315</v>
      </c>
      <c r="C3313" s="3" t="str">
        <f>IFERROR(VLOOKUP(A3313,'Base Prueba'!A:C,3,),"NO REGISTRA")</f>
        <v>FRANCY STELLA CHARRY MORENO</v>
      </c>
      <c r="D3313" s="4" t="str">
        <f>IFERROR(VLOOKUP(A3313,'Base Prueba'!A:D,4,),"NO REGISTRA")</f>
        <v>PROMOTOR COMERCIAL DEL CEA</v>
      </c>
      <c r="E3313" s="5" t="str">
        <f>IFERROR(VLOOKUP(A3313,'Base Prueba'!A:E,5,),"NO REGISTRA")</f>
        <v>OFICINA DE MERCADEO</v>
      </c>
    </row>
    <row r="3314" spans="1:5" ht="15.75" x14ac:dyDescent="0.25">
      <c r="A3314" s="10">
        <v>80234243</v>
      </c>
      <c r="B3314" s="2">
        <v>46084.367673726854</v>
      </c>
      <c r="C3314" s="3" t="str">
        <f>IFERROR(VLOOKUP(A3314,'Base Prueba'!A:C,3,),"NO REGISTRA")</f>
        <v>ARGENIS MARTINEZ MARTINEZ</v>
      </c>
      <c r="D3314" s="4" t="str">
        <f>IFERROR(VLOOKUP(A3314,'Base Prueba'!A:D,4,),"NO REGISTRA")</f>
        <v>LIDER CALL CENTER</v>
      </c>
      <c r="E3314" s="5" t="str">
        <f>IFERROR(VLOOKUP(A3314,'Base Prueba'!A:E,5,),"NO REGISTRA")</f>
        <v>OFICINA DE MERCADEO</v>
      </c>
    </row>
    <row r="3315" spans="1:5" ht="15.75" x14ac:dyDescent="0.25">
      <c r="A3315" s="10">
        <v>1023961952</v>
      </c>
      <c r="B3315" s="2">
        <v>46084.372214583331</v>
      </c>
      <c r="C3315" s="3" t="str">
        <f>IFERROR(VLOOKUP(A3315,'Base Prueba'!A:C,3,),"NO REGISTRA")</f>
        <v>ALEJANDRO PINZON MERCHAN</v>
      </c>
      <c r="D3315" s="4" t="str">
        <f>IFERROR(VLOOKUP(A3315,'Base Prueba'!A:D,4,),"NO REGISTRA")</f>
        <v>PROMOTOR CALL CENTER</v>
      </c>
      <c r="E3315" s="5" t="str">
        <f>IFERROR(VLOOKUP(A3315,'Base Prueba'!A:E,5,),"NO REGISTRA")</f>
        <v>OFICINA DE MERCADEO</v>
      </c>
    </row>
    <row r="3316" spans="1:5" ht="15.75" x14ac:dyDescent="0.25">
      <c r="A3316" s="10">
        <v>1000046533</v>
      </c>
      <c r="B3316" s="2">
        <v>46084.374451967589</v>
      </c>
      <c r="C3316" s="3" t="str">
        <f>IFERROR(VLOOKUP(A3316,'Base Prueba'!A:C,3,),"NO REGISTRA")</f>
        <v>ERIKA JULIETH VALDERRAMA SANCHEZ</v>
      </c>
      <c r="D3316" s="4" t="str">
        <f>IFERROR(VLOOKUP(A3316,'Base Prueba'!A:D,4,),"NO REGISTRA")</f>
        <v>PROMOTOR CALL CENTER</v>
      </c>
      <c r="E3316" s="5" t="str">
        <f>IFERROR(VLOOKUP(A3316,'Base Prueba'!A:E,5,),"NO REGISTRA")</f>
        <v>OFICINA DE MERCADEO</v>
      </c>
    </row>
    <row r="3317" spans="1:5" ht="15.75" x14ac:dyDescent="0.25">
      <c r="A3317" s="10">
        <v>1000457706</v>
      </c>
      <c r="B3317" s="2">
        <v>46084.374518865741</v>
      </c>
      <c r="C3317" s="3" t="str">
        <f>IFERROR(VLOOKUP(A3317,'Base Prueba'!A:C,3,),"NO REGISTRA")</f>
        <v>CRISTIAN DANILO ARROYO SANABRIA</v>
      </c>
      <c r="D3317" s="4" t="str">
        <f>IFERROR(VLOOKUP(A3317,'Base Prueba'!A:D,4,),"NO REGISTRA")</f>
        <v>AUXILIAR CONTABLE</v>
      </c>
      <c r="E3317" s="5" t="str">
        <f>IFERROR(VLOOKUP(A3317,'Base Prueba'!A:E,5,),"NO REGISTRA")</f>
        <v>AREA FINANCIERA Y CONTABLE</v>
      </c>
    </row>
    <row r="3318" spans="1:5" ht="15.75" x14ac:dyDescent="0.25">
      <c r="A3318" s="10">
        <v>1016090131</v>
      </c>
      <c r="B3318" s="2">
        <v>46084.375883217595</v>
      </c>
      <c r="C3318" s="3" t="str">
        <f>IFERROR(VLOOKUP(A3318,'Base Prueba'!A:C,3,),"NO REGISTRA")</f>
        <v>NICOLAS RODRIGUEZ PACHECO</v>
      </c>
      <c r="D3318" s="4" t="str">
        <f>IFERROR(VLOOKUP(A3318,'Base Prueba'!A:D,4,),"NO REGISTRA")</f>
        <v>COORDINADOR DE COMUNICACIONES</v>
      </c>
      <c r="E3318" s="5" t="str">
        <f>IFERROR(VLOOKUP(A3318,'Base Prueba'!A:E,5,),"NO REGISTRA")</f>
        <v>OFICINA DE MERCADEO</v>
      </c>
    </row>
    <row r="3319" spans="1:5" ht="15.75" x14ac:dyDescent="0.25">
      <c r="A3319" s="10">
        <v>1193457976</v>
      </c>
      <c r="B3319" s="2">
        <v>46084.37619988426</v>
      </c>
      <c r="C3319" s="3" t="str">
        <f>IFERROR(VLOOKUP(A3319,'Base Prueba'!A:C,3,),"NO REGISTRA")</f>
        <v>SEDENIS RIVAS ASPRILLA</v>
      </c>
      <c r="D3319" s="4" t="str">
        <f>IFERROR(VLOOKUP(A3319,'Base Prueba'!A:D,4,),"NO REGISTRA")</f>
        <v>APRENDIZ UNIVERSITARIO</v>
      </c>
      <c r="E3319" s="5" t="str">
        <f>IFERROR(VLOOKUP(A3319,'Base Prueba'!A:E,5,),"NO REGISTRA")</f>
        <v>DEPARTAMENTO DE GESTION HUMANA</v>
      </c>
    </row>
    <row r="3320" spans="1:5" ht="15.75" x14ac:dyDescent="0.25">
      <c r="A3320" s="10">
        <v>28798349</v>
      </c>
      <c r="B3320" s="2">
        <v>46084.376685300929</v>
      </c>
      <c r="C3320" s="3" t="str">
        <f>IFERROR(VLOOKUP(A3320,'Base Prueba'!A:C,3,),"NO REGISTRA")</f>
        <v>MARTHA ISABEL TOVAR WILLIAMS</v>
      </c>
      <c r="D3320" s="4" t="str">
        <f>IFERROR(VLOOKUP(A3320,'Base Prueba'!A:D,4,),"NO REGISTRA")</f>
        <v>PROMOTOR CALL CENTER</v>
      </c>
      <c r="E3320" s="5" t="str">
        <f>IFERROR(VLOOKUP(A3320,'Base Prueba'!A:E,5,),"NO REGISTRA")</f>
        <v>OFICINA DE MERCADEO</v>
      </c>
    </row>
    <row r="3321" spans="1:5" ht="15.75" x14ac:dyDescent="0.25">
      <c r="A3321" s="10">
        <v>52764929</v>
      </c>
      <c r="B3321" s="2">
        <v>46084.377040277781</v>
      </c>
      <c r="C3321" s="3" t="str">
        <f>IFERROR(VLOOKUP(A3321,'Base Prueba'!A:C,3,),"NO REGISTRA")</f>
        <v>GUERLY YOHANA DURAN RIVERA</v>
      </c>
      <c r="D3321" s="4" t="str">
        <f>IFERROR(VLOOKUP(A3321,'Base Prueba'!A:D,4,),"NO REGISTRA")</f>
        <v>LIDER DE VINCULACION COLEGIOS</v>
      </c>
      <c r="E3321" s="5" t="str">
        <f>IFERROR(VLOOKUP(A3321,'Base Prueba'!A:E,5,),"NO REGISTRA")</f>
        <v>OFICINA DE MERCADEO</v>
      </c>
    </row>
    <row r="3322" spans="1:5" ht="15.75" x14ac:dyDescent="0.25">
      <c r="A3322" s="10">
        <v>1019105003</v>
      </c>
      <c r="B3322" s="2">
        <v>46084.377335879632</v>
      </c>
      <c r="C3322" s="3" t="str">
        <f>IFERROR(VLOOKUP(A3322,'Base Prueba'!A:C,3,),"NO REGISTRA")</f>
        <v>DAISY JULIETH GASPAR MORENO</v>
      </c>
      <c r="D3322" s="4" t="str">
        <f>IFERROR(VLOOKUP(A3322,'Base Prueba'!A:D,4,),"NO REGISTRA")</f>
        <v>PROMOTOR CALL CENTER</v>
      </c>
      <c r="E3322" s="5" t="str">
        <f>IFERROR(VLOOKUP(A3322,'Base Prueba'!A:E,5,),"NO REGISTRA")</f>
        <v>OFICINA DE MERCADEO</v>
      </c>
    </row>
    <row r="3323" spans="1:5" ht="15.75" x14ac:dyDescent="0.25">
      <c r="A3323" s="10">
        <v>53089882</v>
      </c>
      <c r="B3323" s="2">
        <v>46084.380639930554</v>
      </c>
      <c r="C3323" s="3" t="str">
        <f>IFERROR(VLOOKUP(A3323,'Base Prueba'!A:C,3,),"NO REGISTRA")</f>
        <v>MARIA JOHANA ESCAMILLA MARTINEZ</v>
      </c>
      <c r="D3323" s="4" t="str">
        <f>IFERROR(VLOOKUP(A3323,'Base Prueba'!A:D,4,),"NO REGISTRA")</f>
        <v>PROMOTOR DE INFORMACIÓN</v>
      </c>
      <c r="E3323" s="5" t="str">
        <f>IFERROR(VLOOKUP(A3323,'Base Prueba'!A:E,5,),"NO REGISTRA")</f>
        <v>OFICINA DE MERCADEO</v>
      </c>
    </row>
    <row r="3324" spans="1:5" ht="15.75" x14ac:dyDescent="0.25">
      <c r="A3324" s="10">
        <v>1014211708</v>
      </c>
      <c r="B3324" s="2">
        <v>46084.380688310186</v>
      </c>
      <c r="C3324" s="3" t="str">
        <f>IFERROR(VLOOKUP(A3324,'Base Prueba'!A:C,3,),"NO REGISTRA")</f>
        <v>JUAN MANUEL MERCADO FUENTES</v>
      </c>
      <c r="D3324" s="4" t="str">
        <f>IFERROR(VLOOKUP(A3324,'Base Prueba'!A:D,4,),"NO REGISTRA")</f>
        <v>COORDINADOR DE DISEÑO E IMAGEN INSTITUCIONAL</v>
      </c>
      <c r="E3324" s="5" t="str">
        <f>IFERROR(VLOOKUP(A3324,'Base Prueba'!A:E,5,),"NO REGISTRA")</f>
        <v>OFICINA DE MERCADEO</v>
      </c>
    </row>
    <row r="3325" spans="1:5" ht="15.75" x14ac:dyDescent="0.25">
      <c r="A3325" s="10">
        <v>1032407386</v>
      </c>
      <c r="B3325" s="2">
        <v>46084.381144328705</v>
      </c>
      <c r="C3325" s="3" t="str">
        <f>IFERROR(VLOOKUP(A3325,'Base Prueba'!A:C,3,),"NO REGISTRA")</f>
        <v>GINA PAOLA BAEZ GALVIS</v>
      </c>
      <c r="D3325" s="4" t="str">
        <f>IFERROR(VLOOKUP(A3325,'Base Prueba'!A:D,4,),"NO REGISTRA")</f>
        <v>PROMOTOR CALL CENTER</v>
      </c>
      <c r="E3325" s="5" t="str">
        <f>IFERROR(VLOOKUP(A3325,'Base Prueba'!A:E,5,),"NO REGISTRA")</f>
        <v>OFICINA DE MERCADEO</v>
      </c>
    </row>
    <row r="3326" spans="1:5" ht="15.75" x14ac:dyDescent="0.25">
      <c r="A3326" s="10">
        <v>52472386</v>
      </c>
      <c r="B3326" s="2">
        <v>46084.383673611112</v>
      </c>
      <c r="C3326" s="3" t="str">
        <f>IFERROR(VLOOKUP(A3326,'Base Prueba'!A:C,3,),"NO REGISTRA")</f>
        <v>ADRIANA MARCELA MORALES PARDO</v>
      </c>
      <c r="D3326" s="4" t="str">
        <f>IFERROR(VLOOKUP(A3326,'Base Prueba'!A:D,4,),"NO REGISTRA")</f>
        <v>PROMOTOR CALL CENTER</v>
      </c>
      <c r="E3326" s="5" t="str">
        <f>IFERROR(VLOOKUP(A3326,'Base Prueba'!A:E,5,),"NO REGISTRA")</f>
        <v>OFICINA DE MERCADEO</v>
      </c>
    </row>
    <row r="3327" spans="1:5" ht="15.75" x14ac:dyDescent="0.25">
      <c r="A3327" s="10">
        <v>53932358</v>
      </c>
      <c r="B3327" s="2">
        <v>46084.384816087964</v>
      </c>
      <c r="C3327" s="3" t="str">
        <f>IFERROR(VLOOKUP(A3327,'Base Prueba'!A:C,3,),"NO REGISTRA")</f>
        <v>DIANA MADELEYNE GAONA RODRIGUEZ</v>
      </c>
      <c r="D3327" s="4" t="str">
        <f>IFERROR(VLOOKUP(A3327,'Base Prueba'!A:D,4,),"NO REGISTRA")</f>
        <v>CONTADOR</v>
      </c>
      <c r="E3327" s="5" t="str">
        <f>IFERROR(VLOOKUP(A3327,'Base Prueba'!A:E,5,),"NO REGISTRA")</f>
        <v>AREA FINANCIERA Y CONTABLE</v>
      </c>
    </row>
    <row r="3328" spans="1:5" ht="15.75" x14ac:dyDescent="0.25">
      <c r="A3328" s="10">
        <v>1000604979</v>
      </c>
      <c r="B3328" s="2">
        <v>46084.388867361115</v>
      </c>
      <c r="C3328" s="3" t="str">
        <f>IFERROR(VLOOKUP(A3328,'Base Prueba'!A:C,3,),"NO REGISTRA")</f>
        <v>JULIETH TATIANA PARDO PINTO</v>
      </c>
      <c r="D3328" s="4" t="str">
        <f>IFERROR(VLOOKUP(A3328,'Base Prueba'!A:D,4,),"NO REGISTRA")</f>
        <v>AUXILIAR JURIDICO</v>
      </c>
      <c r="E3328" s="5" t="str">
        <f>IFERROR(VLOOKUP(A3328,'Base Prueba'!A:E,5,),"NO REGISTRA")</f>
        <v>SECRETARIA GENERAL</v>
      </c>
    </row>
    <row r="3329" spans="1:5" ht="15.75" x14ac:dyDescent="0.25">
      <c r="A3329" s="10">
        <v>1012426741</v>
      </c>
      <c r="B3329" s="2">
        <v>46084.397123495371</v>
      </c>
      <c r="C3329" s="3" t="str">
        <f>IFERROR(VLOOKUP(A3329,'Base Prueba'!A:C,3,),"NO REGISTRA")</f>
        <v>CRISTIAN FABIAN ROJAS SANCENO</v>
      </c>
      <c r="D3329" s="4" t="str">
        <f>IFERROR(VLOOKUP(A3329,'Base Prueba'!A:D,4,),"NO REGISTRA")</f>
        <v>AUXILIAR DE REINTEGROS</v>
      </c>
      <c r="E3329" s="5" t="str">
        <f>IFERROR(VLOOKUP(A3329,'Base Prueba'!A:E,5,),"NO REGISTRA")</f>
        <v>DIRECCION DE BIENESTAR INSTITUCIONAL</v>
      </c>
    </row>
    <row r="3330" spans="1:5" ht="15.75" x14ac:dyDescent="0.25">
      <c r="A3330" s="10">
        <v>1018414290</v>
      </c>
      <c r="B3330" s="2">
        <v>46084.397946874997</v>
      </c>
      <c r="C3330" s="3" t="str">
        <f>IFERROR(VLOOKUP(A3330,'Base Prueba'!A:C,3,),"NO REGISTRA")</f>
        <v>AMANDA LISBETH RODRIGUEZ LEON</v>
      </c>
      <c r="D3330" s="4" t="str">
        <f>IFERROR(VLOOKUP(A3330,'Base Prueba'!A:D,4,),"NO REGISTRA")</f>
        <v>PROMOTOR CALL CENTER</v>
      </c>
      <c r="E3330" s="5" t="str">
        <f>IFERROR(VLOOKUP(A3330,'Base Prueba'!A:E,5,),"NO REGISTRA")</f>
        <v>OFICINA DE MERCADEO</v>
      </c>
    </row>
    <row r="3331" spans="1:5" ht="15.75" x14ac:dyDescent="0.25">
      <c r="A3331" s="10">
        <v>52443092</v>
      </c>
      <c r="B3331" s="2">
        <v>46084.541082638891</v>
      </c>
      <c r="C3331" s="3" t="str">
        <f>IFERROR(VLOOKUP(A3331,'Base Prueba'!A:C,3,),"NO REGISTRA")</f>
        <v>LUZ MYRIAM SAAVEDRA CONTRERAS</v>
      </c>
      <c r="D3331" s="4" t="str">
        <f>IFERROR(VLOOKUP(A3331,'Base Prueba'!A:D,4,),"NO REGISTRA")</f>
        <v>AUXILIAR DE SERVICIOS</v>
      </c>
      <c r="E3331" s="5" t="str">
        <f>IFERROR(VLOOKUP(A3331,'Base Prueba'!A:E,5,),"NO REGISTRA")</f>
        <v>LOGISTICA Y SERVICIOS GENERALES</v>
      </c>
    </row>
    <row r="3332" spans="1:5" ht="15.75" x14ac:dyDescent="0.25">
      <c r="A3332" s="10">
        <v>1000467399</v>
      </c>
      <c r="B3332" s="2">
        <v>46084.667773148147</v>
      </c>
      <c r="C3332" s="3" t="str">
        <f>IFERROR(VLOOKUP(A3332,'Base Prueba'!A:C,3,),"NO REGISTRA")</f>
        <v>BRANDO ESTIVEN DIAZ QUIMBAYA</v>
      </c>
      <c r="D3332" s="4" t="str">
        <f>IFERROR(VLOOKUP(A3332,'Base Prueba'!A:D,4,),"NO REGISTRA")</f>
        <v>APRENDIZ UNIVERSITARIO</v>
      </c>
      <c r="E3332" s="5" t="str">
        <f>IFERROR(VLOOKUP(A3332,'Base Prueba'!A:E,5,),"NO REGISTRA")</f>
        <v>DEPARTAMENTO DE GESTION HUMANA</v>
      </c>
    </row>
    <row r="3333" spans="1:5" ht="15.75" x14ac:dyDescent="0.25">
      <c r="A3333" s="10">
        <v>1012357415</v>
      </c>
      <c r="B3333" s="2">
        <v>46084.678118402779</v>
      </c>
      <c r="C3333" s="3" t="str">
        <f>IFERROR(VLOOKUP(A3333,'Base Prueba'!A:C,3,),"NO REGISTRA")</f>
        <v>CINDY LORENA BOHORQUEZ LEYVA</v>
      </c>
      <c r="D3333" s="4" t="str">
        <f>IFERROR(VLOOKUP(A3333,'Base Prueba'!A:D,4,),"NO REGISTRA")</f>
        <v>ANALISTA DE TESORERIA</v>
      </c>
      <c r="E3333" s="5" t="str">
        <f>IFERROR(VLOOKUP(A3333,'Base Prueba'!A:E,5,),"NO REGISTRA")</f>
        <v>AREA FINANCIERA Y CONTABLE</v>
      </c>
    </row>
    <row r="3334" spans="1:5" ht="15.75" x14ac:dyDescent="0.25">
      <c r="A3334" s="10">
        <v>1031802160</v>
      </c>
      <c r="B3334" s="2">
        <v>46084.710322800929</v>
      </c>
      <c r="C3334" s="3" t="str">
        <f>IFERROR(VLOOKUP(A3334,'Base Prueba'!A:C,3,),"NO REGISTRA")</f>
        <v>LUISA MARIA MAHECHA SOTOMAYOR</v>
      </c>
      <c r="D3334" s="4" t="str">
        <f>IFERROR(VLOOKUP(A3334,'Base Prueba'!A:D,4,),"NO REGISTRA")</f>
        <v>APRENDIZ UNIVERSITARIO</v>
      </c>
      <c r="E3334" s="5" t="str">
        <f>IFERROR(VLOOKUP(A3334,'Base Prueba'!A:E,5,),"NO REGISTRA")</f>
        <v>OFICINA DE MERCADEO</v>
      </c>
    </row>
    <row r="3335" spans="1:5" ht="15.75" x14ac:dyDescent="0.25">
      <c r="A3335" s="10">
        <v>1010184333</v>
      </c>
      <c r="B3335" s="2">
        <v>46084.733117708332</v>
      </c>
      <c r="C3335" s="3" t="str">
        <f>IFERROR(VLOOKUP(A3335,'Base Prueba'!A:C,3,),"NO REGISTRA")</f>
        <v>AKON ANDRES GARZON ALVAREZ</v>
      </c>
      <c r="D3335" s="4" t="str">
        <f>IFERROR(VLOOKUP(A3335,'Base Prueba'!A:D,4,),"NO REGISTRA")</f>
        <v>APRENDIZ UNIVERSITARIO</v>
      </c>
      <c r="E3335" s="5" t="str">
        <f>IFERROR(VLOOKUP(A3335,'Base Prueba'!A:E,5,),"NO REGISTRA")</f>
        <v>SECRETARIA GENERAL</v>
      </c>
    </row>
    <row r="3336" spans="1:5" ht="15.75" x14ac:dyDescent="0.25">
      <c r="A3336" s="10">
        <v>1000604979</v>
      </c>
      <c r="B3336" s="2">
        <v>46084.75175358796</v>
      </c>
      <c r="C3336" s="3" t="str">
        <f>IFERROR(VLOOKUP(A3336,'Base Prueba'!A:C,3,),"NO REGISTRA")</f>
        <v>JULIETH TATIANA PARDO PINTO</v>
      </c>
      <c r="D3336" s="4" t="str">
        <f>IFERROR(VLOOKUP(A3336,'Base Prueba'!A:D,4,),"NO REGISTRA")</f>
        <v>AUXILIAR JURIDICO</v>
      </c>
      <c r="E3336" s="5" t="str">
        <f>IFERROR(VLOOKUP(A3336,'Base Prueba'!A:E,5,),"NO REGISTRA")</f>
        <v>SECRETARIA GENERAL</v>
      </c>
    </row>
    <row r="3337" spans="1:5" ht="15.75" x14ac:dyDescent="0.25">
      <c r="A3337" s="10">
        <v>1000593372</v>
      </c>
      <c r="B3337" s="2">
        <v>46084.75177800926</v>
      </c>
      <c r="C3337" s="3" t="str">
        <f>IFERROR(VLOOKUP(A3337,'Base Prueba'!A:C,3,),"NO REGISTRA")</f>
        <v>LAURA SOFIA CHAPARRO LOPEZ</v>
      </c>
      <c r="D3337" s="4" t="str">
        <f>IFERROR(VLOOKUP(A3337,'Base Prueba'!A:D,4,),"NO REGISTRA")</f>
        <v>AUXILIAR JURIDICO</v>
      </c>
      <c r="E3337" s="5" t="str">
        <f>IFERROR(VLOOKUP(A3337,'Base Prueba'!A:E,5,),"NO REGISTRA")</f>
        <v>SECRETARIA GENERAL</v>
      </c>
    </row>
    <row r="3338" spans="1:5" ht="15.75" x14ac:dyDescent="0.25">
      <c r="A3338" s="10">
        <v>1026599257</v>
      </c>
      <c r="B3338" s="2">
        <v>46084.752582754627</v>
      </c>
      <c r="C3338" s="3" t="str">
        <f>IFERROR(VLOOKUP(A3338,'Base Prueba'!A:C,3,),"NO REGISTRA")</f>
        <v>YESENIA PAOLA PINEDA HURTADO</v>
      </c>
      <c r="D3338" s="4" t="str">
        <f>IFERROR(VLOOKUP(A3338,'Base Prueba'!A:D,4,),"NO REGISTRA")</f>
        <v>LIDER DE COMPRAS</v>
      </c>
      <c r="E3338" s="5" t="str">
        <f>IFERROR(VLOOKUP(A3338,'Base Prueba'!A:E,5,),"NO REGISTRA")</f>
        <v>AREA ADMINISTRATIVA</v>
      </c>
    </row>
    <row r="3339" spans="1:5" ht="15.75" x14ac:dyDescent="0.25">
      <c r="A3339" s="10">
        <v>1019047808</v>
      </c>
      <c r="B3339" s="2">
        <v>46084.755006134263</v>
      </c>
      <c r="C3339" s="3" t="str">
        <f>IFERROR(VLOOKUP(A3339,'Base Prueba'!A:C,3,),"NO REGISTRA")</f>
        <v>NO REGISTRA</v>
      </c>
      <c r="D3339" s="4" t="str">
        <f>IFERROR(VLOOKUP(A3339,'Base Prueba'!A:D,4,),"NO REGISTRA")</f>
        <v>NO REGISTRA</v>
      </c>
      <c r="E3339" s="5" t="str">
        <f>IFERROR(VLOOKUP(A3339,'Base Prueba'!A:E,5,),"NO REGISTRA")</f>
        <v>NO REGISTRA</v>
      </c>
    </row>
    <row r="3340" spans="1:5" ht="15.75" x14ac:dyDescent="0.25">
      <c r="A3340" s="10">
        <v>1014977624</v>
      </c>
      <c r="B3340" s="2">
        <v>46084.755780902778</v>
      </c>
      <c r="C3340" s="3" t="str">
        <f>IFERROR(VLOOKUP(A3340,'Base Prueba'!A:C,3,),"NO REGISTRA")</f>
        <v>NICCOLE VALENTINA HERNANDEZ MALAVER</v>
      </c>
      <c r="D3340" s="4" t="str">
        <f>IFERROR(VLOOKUP(A3340,'Base Prueba'!A:D,4,),"NO REGISTRA")</f>
        <v>APRENDIZ UNIVERSITARIO</v>
      </c>
      <c r="E3340" s="5" t="str">
        <f>IFERROR(VLOOKUP(A3340,'Base Prueba'!A:E,5,),"NO REGISTRA")</f>
        <v>AREA FINANCIERA Y CONTABLE</v>
      </c>
    </row>
    <row r="3341" spans="1:5" ht="15.75" x14ac:dyDescent="0.25">
      <c r="A3341" s="10">
        <v>1032469638</v>
      </c>
      <c r="B3341" s="2">
        <v>46084.756094791665</v>
      </c>
      <c r="C3341" s="3" t="str">
        <f>IFERROR(VLOOKUP(A3341,'Base Prueba'!A:C,3,),"NO REGISTRA")</f>
        <v>MAICOL JARBEY GUALTEROS CASTAÑEDA</v>
      </c>
      <c r="D3341" s="4" t="str">
        <f>IFERROR(VLOOKUP(A3341,'Base Prueba'!A:D,4,),"NO REGISTRA")</f>
        <v>COORDINADOR DEL SISTEMA INTERNO DE ASEGURAMIENTO DE LA CALIDAD - SIAC</v>
      </c>
      <c r="E3341" s="5" t="str">
        <f>IFERROR(VLOOKUP(A3341,'Base Prueba'!A:E,5,),"NO REGISTRA")</f>
        <v>OFICINA DE PLANEACION Y GESTION DE LA CALIDAD</v>
      </c>
    </row>
    <row r="3342" spans="1:5" ht="15.75" x14ac:dyDescent="0.25">
      <c r="A3342" s="10">
        <v>1049644802</v>
      </c>
      <c r="B3342" s="2">
        <v>46084.756114467593</v>
      </c>
      <c r="C3342" s="3" t="str">
        <f>IFERROR(VLOOKUP(A3342,'Base Prueba'!A:C,3,),"NO REGISTRA")</f>
        <v>DANIELA ALEXANDRA CIPAMOCHA BOSIGA</v>
      </c>
      <c r="D3342" s="4" t="str">
        <f>IFERROR(VLOOKUP(A3342,'Base Prueba'!A:D,4,),"NO REGISTRA")</f>
        <v>LIDER DE DATOS Y SERVICIOS</v>
      </c>
      <c r="E3342" s="5" t="str">
        <f>IFERROR(VLOOKUP(A3342,'Base Prueba'!A:E,5,),"NO REGISTRA")</f>
        <v>OFICINA DE PLANEACION Y GESTION DE LA CALIDAD</v>
      </c>
    </row>
    <row r="3343" spans="1:5" ht="15.75" x14ac:dyDescent="0.25">
      <c r="A3343" s="10">
        <v>1000257136</v>
      </c>
      <c r="B3343" s="2">
        <v>46084.757111921295</v>
      </c>
      <c r="C3343" s="3" t="str">
        <f>IFERROR(VLOOKUP(A3343,'Base Prueba'!A:C,3,),"NO REGISTRA")</f>
        <v>FRANCI VALENTINA CANO PUENTES</v>
      </c>
      <c r="D3343" s="4" t="str">
        <f>IFERROR(VLOOKUP(A3343,'Base Prueba'!A:D,4,),"NO REGISTRA")</f>
        <v>AUXILIAR CONTABLE</v>
      </c>
      <c r="E3343" s="5" t="str">
        <f>IFERROR(VLOOKUP(A3343,'Base Prueba'!A:E,5,),"NO REGISTRA")</f>
        <v>AREA FINANCIERA Y CONTABLE</v>
      </c>
    </row>
    <row r="3344" spans="1:5" ht="15.75" x14ac:dyDescent="0.25">
      <c r="A3344" s="10">
        <v>1000324729</v>
      </c>
      <c r="B3344" s="2">
        <v>46084.759081249998</v>
      </c>
      <c r="C3344" s="3" t="str">
        <f>IFERROR(VLOOKUP(A3344,'Base Prueba'!A:C,3,),"NO REGISTRA")</f>
        <v>ANYIE VANESSA TINOCO CAMACHO</v>
      </c>
      <c r="D3344" s="4" t="str">
        <f>IFERROR(VLOOKUP(A3344,'Base Prueba'!A:D,4,),"NO REGISTRA")</f>
        <v>LIDER DE REGISTRO Y CONTROL</v>
      </c>
      <c r="E3344" s="5" t="str">
        <f>IFERROR(VLOOKUP(A3344,'Base Prueba'!A:E,5,),"NO REGISTRA")</f>
        <v>REGISTRO Y CONTROL ACADEMICO</v>
      </c>
    </row>
    <row r="3345" spans="1:5" ht="15.75" x14ac:dyDescent="0.25">
      <c r="A3345" s="10">
        <v>1000457706</v>
      </c>
      <c r="B3345" s="2">
        <v>46084.759106597223</v>
      </c>
      <c r="C3345" s="3" t="str">
        <f>IFERROR(VLOOKUP(A3345,'Base Prueba'!A:C,3,),"NO REGISTRA")</f>
        <v>CRISTIAN DANILO ARROYO SANABRIA</v>
      </c>
      <c r="D3345" s="4" t="str">
        <f>IFERROR(VLOOKUP(A3345,'Base Prueba'!A:D,4,),"NO REGISTRA")</f>
        <v>AUXILIAR CONTABLE</v>
      </c>
      <c r="E3345" s="5" t="str">
        <f>IFERROR(VLOOKUP(A3345,'Base Prueba'!A:E,5,),"NO REGISTRA")</f>
        <v>AREA FINANCIERA Y CONTABLE</v>
      </c>
    </row>
    <row r="3346" spans="1:5" ht="15.75" x14ac:dyDescent="0.25">
      <c r="A3346" s="10">
        <v>1193457976</v>
      </c>
      <c r="B3346" s="2">
        <v>46084.75917060185</v>
      </c>
      <c r="C3346" s="3" t="str">
        <f>IFERROR(VLOOKUP(A3346,'Base Prueba'!A:C,3,),"NO REGISTRA")</f>
        <v>SEDENIS RIVAS ASPRILLA</v>
      </c>
      <c r="D3346" s="4" t="str">
        <f>IFERROR(VLOOKUP(A3346,'Base Prueba'!A:D,4,),"NO REGISTRA")</f>
        <v>APRENDIZ UNIVERSITARIO</v>
      </c>
      <c r="E3346" s="5" t="str">
        <f>IFERROR(VLOOKUP(A3346,'Base Prueba'!A:E,5,),"NO REGISTRA")</f>
        <v>DEPARTAMENTO DE GESTION HUMANA</v>
      </c>
    </row>
    <row r="3347" spans="1:5" ht="15.75" x14ac:dyDescent="0.25">
      <c r="A3347" s="10">
        <v>1022996882</v>
      </c>
      <c r="B3347" s="2">
        <v>46084.759295949072</v>
      </c>
      <c r="C3347" s="3" t="str">
        <f>IFERROR(VLOOKUP(A3347,'Base Prueba'!A:C,3,),"NO REGISTRA")</f>
        <v>NANCY BRIGITH ALDANA GUEVARA</v>
      </c>
      <c r="D3347" s="4" t="str">
        <f>IFERROR(VLOOKUP(A3347,'Base Prueba'!A:D,4,),"NO REGISTRA")</f>
        <v>COORDINADORA DE GESTIÓN HUMANA</v>
      </c>
      <c r="E3347" s="5" t="str">
        <f>IFERROR(VLOOKUP(A3347,'Base Prueba'!A:E,5,),"NO REGISTRA")</f>
        <v>DEPARTAMENTO DE GESTION HUMANA</v>
      </c>
    </row>
    <row r="3348" spans="1:5" ht="15.75" x14ac:dyDescent="0.25">
      <c r="A3348" s="10">
        <v>1087121273</v>
      </c>
      <c r="B3348" s="2">
        <v>46084.760359722219</v>
      </c>
      <c r="C3348" s="3" t="str">
        <f>IFERROR(VLOOKUP(A3348,'Base Prueba'!A:C,3,),"NO REGISTRA")</f>
        <v>MAYRA ALEJANDRA CASTILLO ARBOLEDA</v>
      </c>
      <c r="D3348" s="4" t="str">
        <f>IFERROR(VLOOKUP(A3348,'Base Prueba'!A:D,4,),"NO REGISTRA")</f>
        <v>APOYO INTEGRAL DE MERCADEO</v>
      </c>
      <c r="E3348" s="5" t="str">
        <f>IFERROR(VLOOKUP(A3348,'Base Prueba'!A:E,5,),"NO REGISTRA")</f>
        <v>CENTRO DE GESTION DOCUMENTAL</v>
      </c>
    </row>
    <row r="3349" spans="1:5" ht="15.75" x14ac:dyDescent="0.25">
      <c r="A3349" s="10">
        <v>1023883232</v>
      </c>
      <c r="B3349" s="2">
        <v>46084.760512152781</v>
      </c>
      <c r="C3349" s="3" t="str">
        <f>IFERROR(VLOOKUP(A3349,'Base Prueba'!A:C,3,),"NO REGISTRA")</f>
        <v>MONICA ANDREA ACERO URBANO</v>
      </c>
      <c r="D3349" s="4" t="str">
        <f>IFERROR(VLOOKUP(A3349,'Base Prueba'!A:D,4,),"NO REGISTRA")</f>
        <v>APOYO INTEGRAL A GESTION HUMANA</v>
      </c>
      <c r="E3349" s="5" t="str">
        <f>IFERROR(VLOOKUP(A3349,'Base Prueba'!A:E,5,),"NO REGISTRA")</f>
        <v>DEPARTAMENTO DE GESTION HUMANA</v>
      </c>
    </row>
    <row r="3350" spans="1:5" ht="15.75" x14ac:dyDescent="0.25">
      <c r="A3350" s="10">
        <v>53932358</v>
      </c>
      <c r="B3350" s="2">
        <v>46084.761534606485</v>
      </c>
      <c r="C3350" s="3" t="str">
        <f>IFERROR(VLOOKUP(A3350,'Base Prueba'!A:C,3,),"NO REGISTRA")</f>
        <v>DIANA MADELEYNE GAONA RODRIGUEZ</v>
      </c>
      <c r="D3350" s="4" t="str">
        <f>IFERROR(VLOOKUP(A3350,'Base Prueba'!A:D,4,),"NO REGISTRA")</f>
        <v>CONTADOR</v>
      </c>
      <c r="E3350" s="5" t="str">
        <f>IFERROR(VLOOKUP(A3350,'Base Prueba'!A:E,5,),"NO REGISTRA")</f>
        <v>AREA FINANCIERA Y CONTABLE</v>
      </c>
    </row>
    <row r="3351" spans="1:5" ht="15.75" x14ac:dyDescent="0.25">
      <c r="A3351" s="10">
        <v>1012426741</v>
      </c>
      <c r="B3351" s="2">
        <v>46084.771079976854</v>
      </c>
      <c r="C3351" s="3" t="str">
        <f>IFERROR(VLOOKUP(A3351,'Base Prueba'!A:C,3,),"NO REGISTRA")</f>
        <v>CRISTIAN FABIAN ROJAS SANCENO</v>
      </c>
      <c r="D3351" s="4" t="str">
        <f>IFERROR(VLOOKUP(A3351,'Base Prueba'!A:D,4,),"NO REGISTRA")</f>
        <v>AUXILIAR DE REINTEGROS</v>
      </c>
      <c r="E3351" s="5" t="str">
        <f>IFERROR(VLOOKUP(A3351,'Base Prueba'!A:E,5,),"NO REGISTRA")</f>
        <v>DIRECCION DE BIENESTAR INSTITUCIONAL</v>
      </c>
    </row>
    <row r="3352" spans="1:5" ht="15.75" x14ac:dyDescent="0.25">
      <c r="A3352" s="10">
        <v>1000046533</v>
      </c>
      <c r="B3352" s="2">
        <v>46084.771281944442</v>
      </c>
      <c r="C3352" s="3" t="str">
        <f>IFERROR(VLOOKUP(A3352,'Base Prueba'!A:C,3,),"NO REGISTRA")</f>
        <v>ERIKA JULIETH VALDERRAMA SANCHEZ</v>
      </c>
      <c r="D3352" s="4" t="str">
        <f>IFERROR(VLOOKUP(A3352,'Base Prueba'!A:D,4,),"NO REGISTRA")</f>
        <v>PROMOTOR CALL CENTER</v>
      </c>
      <c r="E3352" s="5" t="str">
        <f>IFERROR(VLOOKUP(A3352,'Base Prueba'!A:E,5,),"NO REGISTRA")</f>
        <v>OFICINA DE MERCADEO</v>
      </c>
    </row>
    <row r="3353" spans="1:5" ht="15.75" x14ac:dyDescent="0.25">
      <c r="A3353" s="10">
        <v>52175674</v>
      </c>
      <c r="B3353" s="2">
        <v>46084.776609143519</v>
      </c>
      <c r="C3353" s="3" t="str">
        <f>IFERROR(VLOOKUP(A3353,'Base Prueba'!A:C,3,),"NO REGISTRA")</f>
        <v>LUZ YANETH GOMEZ AREVALO</v>
      </c>
      <c r="D3353" s="4" t="str">
        <f>IFERROR(VLOOKUP(A3353,'Base Prueba'!A:D,4,),"NO REGISTRA")</f>
        <v>COORDINADORA DE ADMISIONES</v>
      </c>
      <c r="E3353" s="5" t="str">
        <f>IFERROR(VLOOKUP(A3353,'Base Prueba'!A:E,5,),"NO REGISTRA")</f>
        <v>OFICINA DE MERCADEO</v>
      </c>
    </row>
    <row r="3354" spans="1:5" ht="15.75" x14ac:dyDescent="0.25">
      <c r="A3354" s="10">
        <v>52472386</v>
      </c>
      <c r="B3354" s="2">
        <v>46084.779103703702</v>
      </c>
      <c r="C3354" s="3" t="str">
        <f>IFERROR(VLOOKUP(A3354,'Base Prueba'!A:C,3,),"NO REGISTRA")</f>
        <v>ADRIANA MARCELA MORALES PARDO</v>
      </c>
      <c r="D3354" s="4" t="str">
        <f>IFERROR(VLOOKUP(A3354,'Base Prueba'!A:D,4,),"NO REGISTRA")</f>
        <v>PROMOTOR CALL CENTER</v>
      </c>
      <c r="E3354" s="5" t="str">
        <f>IFERROR(VLOOKUP(A3354,'Base Prueba'!A:E,5,),"NO REGISTRA")</f>
        <v>OFICINA DE MERCADEO</v>
      </c>
    </row>
    <row r="3355" spans="1:5" ht="15.75" x14ac:dyDescent="0.25">
      <c r="A3355" s="10">
        <v>1033709056</v>
      </c>
      <c r="B3355" s="2">
        <v>46084.779175462965</v>
      </c>
      <c r="C3355" s="3" t="str">
        <f>IFERROR(VLOOKUP(A3355,'Base Prueba'!A:C,3,),"NO REGISTRA")</f>
        <v>YEIMY ALEXANDRA RODRIGUEZ PALACIO</v>
      </c>
      <c r="D3355" s="4" t="str">
        <f>IFERROR(VLOOKUP(A3355,'Base Prueba'!A:D,4,),"NO REGISTRA")</f>
        <v>PROMOTOR CALL CENTER</v>
      </c>
      <c r="E3355" s="5" t="str">
        <f>IFERROR(VLOOKUP(A3355,'Base Prueba'!A:E,5,),"NO REGISTRA")</f>
        <v>OFICINA DE MERCADEO</v>
      </c>
    </row>
    <row r="3356" spans="1:5" ht="15.75" x14ac:dyDescent="0.25">
      <c r="A3356" s="10">
        <v>1018413529</v>
      </c>
      <c r="B3356" s="2">
        <v>46084.78142013889</v>
      </c>
      <c r="C3356" s="3" t="str">
        <f>IFERROR(VLOOKUP(A3356,'Base Prueba'!A:C,3,),"NO REGISTRA")</f>
        <v>FRANCY STELLA CHARRY MORENO</v>
      </c>
      <c r="D3356" s="4" t="str">
        <f>IFERROR(VLOOKUP(A3356,'Base Prueba'!A:D,4,),"NO REGISTRA")</f>
        <v>PROMOTOR COMERCIAL DEL CEA</v>
      </c>
      <c r="E3356" s="5" t="str">
        <f>IFERROR(VLOOKUP(A3356,'Base Prueba'!A:E,5,),"NO REGISTRA")</f>
        <v>OFICINA DE MERCADEO</v>
      </c>
    </row>
    <row r="3357" spans="1:5" ht="15.75" x14ac:dyDescent="0.25">
      <c r="A3357" s="10">
        <v>1019105003</v>
      </c>
      <c r="B3357" s="2">
        <v>46084.781488310182</v>
      </c>
      <c r="C3357" s="3" t="str">
        <f>IFERROR(VLOOKUP(A3357,'Base Prueba'!A:C,3,),"NO REGISTRA")</f>
        <v>DAISY JULIETH GASPAR MORENO</v>
      </c>
      <c r="D3357" s="4" t="str">
        <f>IFERROR(VLOOKUP(A3357,'Base Prueba'!A:D,4,),"NO REGISTRA")</f>
        <v>PROMOTOR CALL CENTER</v>
      </c>
      <c r="E3357" s="5" t="str">
        <f>IFERROR(VLOOKUP(A3357,'Base Prueba'!A:E,5,),"NO REGISTRA")</f>
        <v>OFICINA DE MERCADEO</v>
      </c>
    </row>
    <row r="3358" spans="1:5" ht="15.75" x14ac:dyDescent="0.25">
      <c r="A3358" s="10">
        <v>28798349</v>
      </c>
      <c r="B3358" s="2">
        <v>46084.781600578703</v>
      </c>
      <c r="C3358" s="3" t="str">
        <f>IFERROR(VLOOKUP(A3358,'Base Prueba'!A:C,3,),"NO REGISTRA")</f>
        <v>MARTHA ISABEL TOVAR WILLIAMS</v>
      </c>
      <c r="D3358" s="4" t="str">
        <f>IFERROR(VLOOKUP(A3358,'Base Prueba'!A:D,4,),"NO REGISTRA")</f>
        <v>PROMOTOR CALL CENTER</v>
      </c>
      <c r="E3358" s="5" t="str">
        <f>IFERROR(VLOOKUP(A3358,'Base Prueba'!A:E,5,),"NO REGISTRA")</f>
        <v>OFICINA DE MERCADEO</v>
      </c>
    </row>
    <row r="3359" spans="1:5" ht="15.75" x14ac:dyDescent="0.25">
      <c r="A3359" s="10">
        <v>53089882</v>
      </c>
      <c r="B3359" s="2">
        <v>46084.781627199074</v>
      </c>
      <c r="C3359" s="3" t="str">
        <f>IFERROR(VLOOKUP(A3359,'Base Prueba'!A:C,3,),"NO REGISTRA")</f>
        <v>MARIA JOHANA ESCAMILLA MARTINEZ</v>
      </c>
      <c r="D3359" s="4" t="str">
        <f>IFERROR(VLOOKUP(A3359,'Base Prueba'!A:D,4,),"NO REGISTRA")</f>
        <v>PROMOTOR DE INFORMACIÓN</v>
      </c>
      <c r="E3359" s="5" t="str">
        <f>IFERROR(VLOOKUP(A3359,'Base Prueba'!A:E,5,),"NO REGISTRA")</f>
        <v>OFICINA DE MERCADEO</v>
      </c>
    </row>
    <row r="3360" spans="1:5" ht="15.75" x14ac:dyDescent="0.25">
      <c r="A3360" s="10">
        <v>1023961952</v>
      </c>
      <c r="B3360" s="2">
        <v>46084.781722569445</v>
      </c>
      <c r="C3360" s="3" t="str">
        <f>IFERROR(VLOOKUP(A3360,'Base Prueba'!A:C,3,),"NO REGISTRA")</f>
        <v>ALEJANDRO PINZON MERCHAN</v>
      </c>
      <c r="D3360" s="4" t="str">
        <f>IFERROR(VLOOKUP(A3360,'Base Prueba'!A:D,4,),"NO REGISTRA")</f>
        <v>PROMOTOR CALL CENTER</v>
      </c>
      <c r="E3360" s="5" t="str">
        <f>IFERROR(VLOOKUP(A3360,'Base Prueba'!A:E,5,),"NO REGISTRA")</f>
        <v>OFICINA DE MERCADEO</v>
      </c>
    </row>
    <row r="3361" spans="1:5" ht="15.75" x14ac:dyDescent="0.25">
      <c r="A3361" s="10">
        <v>1003690253</v>
      </c>
      <c r="B3361" s="2">
        <v>46084.781790393521</v>
      </c>
      <c r="C3361" s="3" t="str">
        <f>IFERROR(VLOOKUP(A3361,'Base Prueba'!A:C,3,),"NO REGISTRA")</f>
        <v>MELISSA GONZALEZ PEDRAZA</v>
      </c>
      <c r="D3361" s="4" t="str">
        <f>IFERROR(VLOOKUP(A3361,'Base Prueba'!A:D,4,),"NO REGISTRA")</f>
        <v>LIDER DE JOVENES A LA E</v>
      </c>
      <c r="E3361" s="5" t="str">
        <f>IFERROR(VLOOKUP(A3361,'Base Prueba'!A:E,5,),"NO REGISTRA")</f>
        <v>DIRECCION DE BIENESTAR INSTITUCIONAL</v>
      </c>
    </row>
    <row r="3362" spans="1:5" ht="15.75" x14ac:dyDescent="0.25">
      <c r="A3362" s="10">
        <v>1032407386</v>
      </c>
      <c r="B3362" s="2">
        <v>46084.785145601854</v>
      </c>
      <c r="C3362" s="3" t="str">
        <f>IFERROR(VLOOKUP(A3362,'Base Prueba'!A:C,3,),"NO REGISTRA")</f>
        <v>GINA PAOLA BAEZ GALVIS</v>
      </c>
      <c r="D3362" s="4" t="str">
        <f>IFERROR(VLOOKUP(A3362,'Base Prueba'!A:D,4,),"NO REGISTRA")</f>
        <v>PROMOTOR CALL CENTER</v>
      </c>
      <c r="E3362" s="5" t="str">
        <f>IFERROR(VLOOKUP(A3362,'Base Prueba'!A:E,5,),"NO REGISTRA")</f>
        <v>OFICINA DE MERCADEO</v>
      </c>
    </row>
    <row r="3363" spans="1:5" ht="15.75" x14ac:dyDescent="0.25">
      <c r="A3363" s="10">
        <v>1018414290</v>
      </c>
      <c r="B3363" s="2">
        <v>46084.785201041668</v>
      </c>
      <c r="C3363" s="3" t="str">
        <f>IFERROR(VLOOKUP(A3363,'Base Prueba'!A:C,3,),"NO REGISTRA")</f>
        <v>AMANDA LISBETH RODRIGUEZ LEON</v>
      </c>
      <c r="D3363" s="4" t="str">
        <f>IFERROR(VLOOKUP(A3363,'Base Prueba'!A:D,4,),"NO REGISTRA")</f>
        <v>PROMOTOR CALL CENTER</v>
      </c>
      <c r="E3363" s="5" t="str">
        <f>IFERROR(VLOOKUP(A3363,'Base Prueba'!A:E,5,),"NO REGISTRA")</f>
        <v>OFICINA DE MERCADEO</v>
      </c>
    </row>
    <row r="3364" spans="1:5" ht="15.75" x14ac:dyDescent="0.25">
      <c r="A3364" s="10">
        <v>80234243</v>
      </c>
      <c r="B3364" s="2">
        <v>46084.793322106481</v>
      </c>
      <c r="C3364" s="3" t="str">
        <f>IFERROR(VLOOKUP(A3364,'Base Prueba'!A:C,3,),"NO REGISTRA")</f>
        <v>ARGENIS MARTINEZ MARTINEZ</v>
      </c>
      <c r="D3364" s="4" t="str">
        <f>IFERROR(VLOOKUP(A3364,'Base Prueba'!A:D,4,),"NO REGISTRA")</f>
        <v>LIDER CALL CENTER</v>
      </c>
      <c r="E3364" s="5" t="str">
        <f>IFERROR(VLOOKUP(A3364,'Base Prueba'!A:E,5,),"NO REGISTRA")</f>
        <v>OFICINA DE MERCADEO</v>
      </c>
    </row>
    <row r="3365" spans="1:5" ht="15.75" x14ac:dyDescent="0.25">
      <c r="A3365" s="10">
        <v>80238161</v>
      </c>
      <c r="B3365" s="2">
        <v>46084.796263194447</v>
      </c>
      <c r="C3365" s="3" t="str">
        <f>IFERROR(VLOOKUP(A3365,'Base Prueba'!A:C,3,),"NO REGISTRA")</f>
        <v>GERMAN CARRANZA ESPITIA</v>
      </c>
      <c r="D3365" s="4" t="str">
        <f>IFERROR(VLOOKUP(A3365,'Base Prueba'!A:D,4,),"NO REGISTRA")</f>
        <v>TESORERO</v>
      </c>
      <c r="E3365" s="5" t="str">
        <f>IFERROR(VLOOKUP(A3365,'Base Prueba'!A:E,5,),"NO REGISTRA")</f>
        <v>AREA FINANCIERA Y CONTABLE</v>
      </c>
    </row>
    <row r="3366" spans="1:5" ht="15.75" x14ac:dyDescent="0.25">
      <c r="A3366" s="10">
        <v>52474489</v>
      </c>
      <c r="B3366" s="2">
        <v>46084.800080092595</v>
      </c>
      <c r="C3366" s="3" t="str">
        <f>IFERROR(VLOOKUP(A3366,'Base Prueba'!A:C,3,),"NO REGISTRA")</f>
        <v>ADRIANA JIMENA SOTO BOCANEGRA</v>
      </c>
      <c r="D3366" s="4" t="str">
        <f>IFERROR(VLOOKUP(A3366,'Base Prueba'!A:D,4,),"NO REGISTRA")</f>
        <v>COORDINADOR DE LA OFICINA DE REGISTRO Y CONTROL</v>
      </c>
      <c r="E3366" s="5" t="str">
        <f>IFERROR(VLOOKUP(A3366,'Base Prueba'!A:E,5,),"NO REGISTRA")</f>
        <v>REGISTRO Y CONTROL ACADEMICO</v>
      </c>
    </row>
    <row r="3367" spans="1:5" ht="15.75" x14ac:dyDescent="0.25">
      <c r="A3367" s="10">
        <v>1013616244</v>
      </c>
      <c r="B3367" s="2">
        <v>46084.810331134257</v>
      </c>
      <c r="C3367" s="3" t="str">
        <f>IFERROR(VLOOKUP(A3367,'Base Prueba'!A:C,3,),"NO REGISTRA")</f>
        <v>DIANA CAROLINA MARIN BETANCOURT</v>
      </c>
      <c r="D3367" s="4" t="str">
        <f>IFERROR(VLOOKUP(A3367,'Base Prueba'!A:D,4,),"NO REGISTRA")</f>
        <v>AUXILIAR ADMINISTRATIVO</v>
      </c>
      <c r="E3367" s="5" t="str">
        <f>IFERROR(VLOOKUP(A3367,'Base Prueba'!A:E,5,),"NO REGISTRA")</f>
        <v>REGISTRO Y CONTROL ACADEMICO</v>
      </c>
    </row>
    <row r="3368" spans="1:5" ht="15.75" x14ac:dyDescent="0.25">
      <c r="A3368" s="10">
        <v>1014196857</v>
      </c>
      <c r="B3368" s="2">
        <v>46084.820794212967</v>
      </c>
      <c r="C3368" s="3" t="str">
        <f>IFERROR(VLOOKUP(A3368,'Base Prueba'!A:C,3,),"NO REGISTRA")</f>
        <v>CARLOS ANDRES JIMENEZ PARDO</v>
      </c>
      <c r="D3368" s="4" t="str">
        <f>IFERROR(VLOOKUP(A3368,'Base Prueba'!A:D,4,),"NO REGISTRA")</f>
        <v>COORDINADOR DE MARKETING DIGITAL</v>
      </c>
      <c r="E3368" s="5" t="str">
        <f>IFERROR(VLOOKUP(A3368,'Base Prueba'!A:E,5,),"NO REGISTRA")</f>
        <v>OFICINA DE MERCADEO</v>
      </c>
    </row>
    <row r="3369" spans="1:5" ht="15.75" x14ac:dyDescent="0.25">
      <c r="A3369" s="10">
        <v>1193265768</v>
      </c>
      <c r="B3369" s="2">
        <v>46084.820870370371</v>
      </c>
      <c r="C3369" s="3" t="str">
        <f>IFERROR(VLOOKUP(A3369,'Base Prueba'!A:C,3,),"NO REGISTRA")</f>
        <v>SANTIAGO OSORIO CAMACHO</v>
      </c>
      <c r="D3369" s="4" t="str">
        <f>IFERROR(VLOOKUP(A3369,'Base Prueba'!A:D,4,),"NO REGISTRA")</f>
        <v>ANALISTA DE PAUTA</v>
      </c>
      <c r="E3369" s="5" t="str">
        <f>IFERROR(VLOOKUP(A3369,'Base Prueba'!A:E,5,),"NO REGISTRA")</f>
        <v>OFICINA DE MERCADEO</v>
      </c>
    </row>
    <row r="3370" spans="1:5" ht="15.75" x14ac:dyDescent="0.25">
      <c r="A3370" s="10">
        <v>52764929</v>
      </c>
      <c r="B3370" s="2">
        <v>46084.82098773148</v>
      </c>
      <c r="C3370" s="3" t="str">
        <f>IFERROR(VLOOKUP(A3370,'Base Prueba'!A:C,3,),"NO REGISTRA")</f>
        <v>GUERLY YOHANA DURAN RIVERA</v>
      </c>
      <c r="D3370" s="4" t="str">
        <f>IFERROR(VLOOKUP(A3370,'Base Prueba'!A:D,4,),"NO REGISTRA")</f>
        <v>LIDER DE VINCULACION COLEGIOS</v>
      </c>
      <c r="E3370" s="5" t="str">
        <f>IFERROR(VLOOKUP(A3370,'Base Prueba'!A:E,5,),"NO REGISTRA")</f>
        <v>OFICINA DE MERCADEO</v>
      </c>
    </row>
    <row r="3371" spans="1:5" ht="15.75" x14ac:dyDescent="0.25">
      <c r="A3371" s="10">
        <v>1016090131</v>
      </c>
      <c r="B3371" s="2">
        <v>46084.821012384258</v>
      </c>
      <c r="C3371" s="3" t="str">
        <f>IFERROR(VLOOKUP(A3371,'Base Prueba'!A:C,3,),"NO REGISTRA")</f>
        <v>NICOLAS RODRIGUEZ PACHECO</v>
      </c>
      <c r="D3371" s="4" t="str">
        <f>IFERROR(VLOOKUP(A3371,'Base Prueba'!A:D,4,),"NO REGISTRA")</f>
        <v>COORDINADOR DE COMUNICACIONES</v>
      </c>
      <c r="E3371" s="5" t="str">
        <f>IFERROR(VLOOKUP(A3371,'Base Prueba'!A:E,5,),"NO REGISTRA")</f>
        <v>OFICINA DE MERCADEO</v>
      </c>
    </row>
    <row r="3372" spans="1:5" ht="15.75" x14ac:dyDescent="0.25">
      <c r="A3372" s="10">
        <v>1087121273</v>
      </c>
      <c r="B3372" s="2">
        <v>46085.308957060188</v>
      </c>
      <c r="C3372" s="3" t="str">
        <f>IFERROR(VLOOKUP(A3372,'Base Prueba'!A:C,3,),"NO REGISTRA")</f>
        <v>MAYRA ALEJANDRA CASTILLO ARBOLEDA</v>
      </c>
      <c r="D3372" s="4" t="str">
        <f>IFERROR(VLOOKUP(A3372,'Base Prueba'!A:D,4,),"NO REGISTRA")</f>
        <v>APOYO INTEGRAL DE MERCADEO</v>
      </c>
      <c r="E3372" s="5" t="str">
        <f>IFERROR(VLOOKUP(A3372,'Base Prueba'!A:E,5,),"NO REGISTRA")</f>
        <v>CENTRO DE GESTION DOCUMENTAL</v>
      </c>
    </row>
    <row r="3373" spans="1:5" ht="15.75" x14ac:dyDescent="0.25">
      <c r="A3373" s="10">
        <v>1032407386</v>
      </c>
      <c r="B3373" s="2">
        <v>46085.319966550924</v>
      </c>
      <c r="C3373" s="3" t="str">
        <f>IFERROR(VLOOKUP(A3373,'Base Prueba'!A:C,3,),"NO REGISTRA")</f>
        <v>GINA PAOLA BAEZ GALVIS</v>
      </c>
      <c r="D3373" s="4" t="str">
        <f>IFERROR(VLOOKUP(A3373,'Base Prueba'!A:D,4,),"NO REGISTRA")</f>
        <v>PROMOTOR CALL CENTER</v>
      </c>
      <c r="E3373" s="5" t="str">
        <f>IFERROR(VLOOKUP(A3373,'Base Prueba'!A:E,5,),"NO REGISTRA")</f>
        <v>OFICINA DE MERCADEO</v>
      </c>
    </row>
    <row r="3374" spans="1:5" ht="15.75" x14ac:dyDescent="0.25">
      <c r="A3374" s="10">
        <v>1010184333</v>
      </c>
      <c r="B3374" s="2">
        <v>46085.320153587963</v>
      </c>
      <c r="C3374" s="3" t="str">
        <f>IFERROR(VLOOKUP(A3374,'Base Prueba'!A:C,3,),"NO REGISTRA")</f>
        <v>AKON ANDRES GARZON ALVAREZ</v>
      </c>
      <c r="D3374" s="4" t="str">
        <f>IFERROR(VLOOKUP(A3374,'Base Prueba'!A:D,4,),"NO REGISTRA")</f>
        <v>APRENDIZ UNIVERSITARIO</v>
      </c>
      <c r="E3374" s="5" t="str">
        <f>IFERROR(VLOOKUP(A3374,'Base Prueba'!A:E,5,),"NO REGISTRA")</f>
        <v>SECRETARIA GENERAL</v>
      </c>
    </row>
    <row r="3375" spans="1:5" ht="15.75" x14ac:dyDescent="0.25">
      <c r="A3375" s="10">
        <v>1000257136</v>
      </c>
      <c r="B3375" s="2">
        <v>46085.320217939814</v>
      </c>
      <c r="C3375" s="3" t="str">
        <f>IFERROR(VLOOKUP(A3375,'Base Prueba'!A:C,3,),"NO REGISTRA")</f>
        <v>FRANCI VALENTINA CANO PUENTES</v>
      </c>
      <c r="D3375" s="4" t="str">
        <f>IFERROR(VLOOKUP(A3375,'Base Prueba'!A:D,4,),"NO REGISTRA")</f>
        <v>AUXILIAR CONTABLE</v>
      </c>
      <c r="E3375" s="5" t="str">
        <f>IFERROR(VLOOKUP(A3375,'Base Prueba'!A:E,5,),"NO REGISTRA")</f>
        <v>AREA FINANCIERA Y CONTABLE</v>
      </c>
    </row>
    <row r="3376" spans="1:5" ht="15.75" x14ac:dyDescent="0.25">
      <c r="A3376" s="10">
        <v>1013616244</v>
      </c>
      <c r="B3376" s="2">
        <v>46085.321008101855</v>
      </c>
      <c r="C3376" s="3" t="str">
        <f>IFERROR(VLOOKUP(A3376,'Base Prueba'!A:C,3,),"NO REGISTRA")</f>
        <v>DIANA CAROLINA MARIN BETANCOURT</v>
      </c>
      <c r="D3376" s="4" t="str">
        <f>IFERROR(VLOOKUP(A3376,'Base Prueba'!A:D,4,),"NO REGISTRA")</f>
        <v>AUXILIAR ADMINISTRATIVO</v>
      </c>
      <c r="E3376" s="5" t="str">
        <f>IFERROR(VLOOKUP(A3376,'Base Prueba'!A:E,5,),"NO REGISTRA")</f>
        <v>REGISTRO Y CONTROL ACADEMICO</v>
      </c>
    </row>
    <row r="3377" spans="1:5" ht="15.75" x14ac:dyDescent="0.25">
      <c r="A3377" s="10">
        <v>1000324729</v>
      </c>
      <c r="B3377" s="2">
        <v>46085.321052199077</v>
      </c>
      <c r="C3377" s="3" t="str">
        <f>IFERROR(VLOOKUP(A3377,'Base Prueba'!A:C,3,),"NO REGISTRA")</f>
        <v>ANYIE VANESSA TINOCO CAMACHO</v>
      </c>
      <c r="D3377" s="4" t="str">
        <f>IFERROR(VLOOKUP(A3377,'Base Prueba'!A:D,4,),"NO REGISTRA")</f>
        <v>LIDER DE REGISTRO Y CONTROL</v>
      </c>
      <c r="E3377" s="5" t="str">
        <f>IFERROR(VLOOKUP(A3377,'Base Prueba'!A:E,5,),"NO REGISTRA")</f>
        <v>REGISTRO Y CONTROL ACADEMICO</v>
      </c>
    </row>
    <row r="3378" spans="1:5" ht="15.75" x14ac:dyDescent="0.25">
      <c r="A3378" s="10">
        <v>1032469638</v>
      </c>
      <c r="B3378" s="2">
        <v>46085.324901157408</v>
      </c>
      <c r="C3378" s="3" t="str">
        <f>IFERROR(VLOOKUP(A3378,'Base Prueba'!A:C,3,),"NO REGISTRA")</f>
        <v>MAICOL JARBEY GUALTEROS CASTAÑEDA</v>
      </c>
      <c r="D3378" s="4" t="str">
        <f>IFERROR(VLOOKUP(A3378,'Base Prueba'!A:D,4,),"NO REGISTRA")</f>
        <v>COORDINADOR DEL SISTEMA INTERNO DE ASEGURAMIENTO DE LA CALIDAD - SIAC</v>
      </c>
      <c r="E3378" s="5" t="str">
        <f>IFERROR(VLOOKUP(A3378,'Base Prueba'!A:E,5,),"NO REGISTRA")</f>
        <v>OFICINA DE PLANEACION Y GESTION DE LA CALIDAD</v>
      </c>
    </row>
    <row r="3379" spans="1:5" ht="15.75" x14ac:dyDescent="0.25">
      <c r="A3379" s="10">
        <v>1031802160</v>
      </c>
      <c r="B3379" s="2">
        <v>46085.325726620373</v>
      </c>
      <c r="C3379" s="3" t="str">
        <f>IFERROR(VLOOKUP(A3379,'Base Prueba'!A:C,3,),"NO REGISTRA")</f>
        <v>LUISA MARIA MAHECHA SOTOMAYOR</v>
      </c>
      <c r="D3379" s="4" t="str">
        <f>IFERROR(VLOOKUP(A3379,'Base Prueba'!A:D,4,),"NO REGISTRA")</f>
        <v>APRENDIZ UNIVERSITARIO</v>
      </c>
      <c r="E3379" s="5" t="str">
        <f>IFERROR(VLOOKUP(A3379,'Base Prueba'!A:E,5,),"NO REGISTRA")</f>
        <v>OFICINA DE MERCADEO</v>
      </c>
    </row>
    <row r="3380" spans="1:5" ht="15.75" x14ac:dyDescent="0.25">
      <c r="A3380" s="10">
        <v>80725196</v>
      </c>
      <c r="B3380" s="2">
        <v>46085.327572916663</v>
      </c>
      <c r="C3380" s="3" t="str">
        <f>IFERROR(VLOOKUP(A3380,'Base Prueba'!A:C,3,),"NO REGISTRA")</f>
        <v>YEISON YOSET TOVAR BARBOSA</v>
      </c>
      <c r="D3380" s="4" t="str">
        <f>IFERROR(VLOOKUP(A3380,'Base Prueba'!A:D,4,),"NO REGISTRA")</f>
        <v>LIDER GESTION DOCUMENTAL</v>
      </c>
      <c r="E3380" s="5" t="str">
        <f>IFERROR(VLOOKUP(A3380,'Base Prueba'!A:E,5,),"NO REGISTRA")</f>
        <v>CENTRO DE GESTION DOCUMENTAL</v>
      </c>
    </row>
    <row r="3381" spans="1:5" ht="15.75" x14ac:dyDescent="0.25">
      <c r="A3381" s="10">
        <v>80725196</v>
      </c>
      <c r="B3381" s="2">
        <v>46085.327598379627</v>
      </c>
      <c r="C3381" s="3" t="str">
        <f>IFERROR(VLOOKUP(A3381,'Base Prueba'!A:C,3,),"NO REGISTRA")</f>
        <v>YEISON YOSET TOVAR BARBOSA</v>
      </c>
      <c r="D3381" s="4" t="str">
        <f>IFERROR(VLOOKUP(A3381,'Base Prueba'!A:D,4,),"NO REGISTRA")</f>
        <v>LIDER GESTION DOCUMENTAL</v>
      </c>
      <c r="E3381" s="5" t="str">
        <f>IFERROR(VLOOKUP(A3381,'Base Prueba'!A:E,5,),"NO REGISTRA")</f>
        <v>CENTRO DE GESTION DOCUMENTAL</v>
      </c>
    </row>
    <row r="3382" spans="1:5" ht="15.75" x14ac:dyDescent="0.25">
      <c r="A3382" s="10">
        <v>1014266838</v>
      </c>
      <c r="B3382" s="2">
        <v>46085.335990856482</v>
      </c>
      <c r="C3382" s="3" t="str">
        <f>IFERROR(VLOOKUP(A3382,'Base Prueba'!A:C,3,),"NO REGISTRA")</f>
        <v>JENNIFER ASTRID ROMERO HURTADO</v>
      </c>
      <c r="D3382" s="4" t="str">
        <f>IFERROR(VLOOKUP(A3382,'Base Prueba'!A:D,4,),"NO REGISTRA")</f>
        <v>LIDER DE RECAUDO</v>
      </c>
      <c r="E3382" s="5" t="str">
        <f>IFERROR(VLOOKUP(A3382,'Base Prueba'!A:E,5,),"NO REGISTRA")</f>
        <v>AREA FINANCIERA Y CONTABLE</v>
      </c>
    </row>
    <row r="3383" spans="1:5" ht="15.75" x14ac:dyDescent="0.25">
      <c r="A3383" s="10">
        <v>80238161</v>
      </c>
      <c r="B3383" s="2">
        <v>46085.336093055557</v>
      </c>
      <c r="C3383" s="3" t="str">
        <f>IFERROR(VLOOKUP(A3383,'Base Prueba'!A:C,3,),"NO REGISTRA")</f>
        <v>GERMAN CARRANZA ESPITIA</v>
      </c>
      <c r="D3383" s="4" t="str">
        <f>IFERROR(VLOOKUP(A3383,'Base Prueba'!A:D,4,),"NO REGISTRA")</f>
        <v>TESORERO</v>
      </c>
      <c r="E3383" s="5" t="str">
        <f>IFERROR(VLOOKUP(A3383,'Base Prueba'!A:E,5,),"NO REGISTRA")</f>
        <v>AREA FINANCIERA Y CONTABLE</v>
      </c>
    </row>
    <row r="3384" spans="1:5" ht="15.75" x14ac:dyDescent="0.25">
      <c r="A3384" s="10">
        <v>53932358</v>
      </c>
      <c r="B3384" s="2">
        <v>46085.342694212966</v>
      </c>
      <c r="C3384" s="3" t="str">
        <f>IFERROR(VLOOKUP(A3384,'Base Prueba'!A:C,3,),"NO REGISTRA")</f>
        <v>DIANA MADELEYNE GAONA RODRIGUEZ</v>
      </c>
      <c r="D3384" s="4" t="str">
        <f>IFERROR(VLOOKUP(A3384,'Base Prueba'!A:D,4,),"NO REGISTRA")</f>
        <v>CONTADOR</v>
      </c>
      <c r="E3384" s="5" t="str">
        <f>IFERROR(VLOOKUP(A3384,'Base Prueba'!A:E,5,),"NO REGISTRA")</f>
        <v>AREA FINANCIERA Y CONTABLE</v>
      </c>
    </row>
    <row r="3385" spans="1:5" ht="15.75" x14ac:dyDescent="0.25">
      <c r="A3385" s="10">
        <v>1193457976</v>
      </c>
      <c r="B3385" s="2">
        <v>46085.343649652779</v>
      </c>
      <c r="C3385" s="3" t="str">
        <f>IFERROR(VLOOKUP(A3385,'Base Prueba'!A:C,3,),"NO REGISTRA")</f>
        <v>SEDENIS RIVAS ASPRILLA</v>
      </c>
      <c r="D3385" s="4" t="str">
        <f>IFERROR(VLOOKUP(A3385,'Base Prueba'!A:D,4,),"NO REGISTRA")</f>
        <v>APRENDIZ UNIVERSITARIO</v>
      </c>
      <c r="E3385" s="5" t="str">
        <f>IFERROR(VLOOKUP(A3385,'Base Prueba'!A:E,5,),"NO REGISTRA")</f>
        <v>DEPARTAMENTO DE GESTION HUMANA</v>
      </c>
    </row>
    <row r="3386" spans="1:5" ht="15.75" x14ac:dyDescent="0.25">
      <c r="A3386" s="10">
        <v>1049644802</v>
      </c>
      <c r="B3386" s="2">
        <v>46085.344813541669</v>
      </c>
      <c r="C3386" s="3" t="str">
        <f>IFERROR(VLOOKUP(A3386,'Base Prueba'!A:C,3,),"NO REGISTRA")</f>
        <v>DANIELA ALEXANDRA CIPAMOCHA BOSIGA</v>
      </c>
      <c r="D3386" s="4" t="str">
        <f>IFERROR(VLOOKUP(A3386,'Base Prueba'!A:D,4,),"NO REGISTRA")</f>
        <v>LIDER DE DATOS Y SERVICIOS</v>
      </c>
      <c r="E3386" s="5" t="str">
        <f>IFERROR(VLOOKUP(A3386,'Base Prueba'!A:E,5,),"NO REGISTRA")</f>
        <v>OFICINA DE PLANEACION Y GESTION DE LA CALIDAD</v>
      </c>
    </row>
    <row r="3387" spans="1:5" ht="15.75" x14ac:dyDescent="0.25">
      <c r="A3387" s="10">
        <v>1000457706</v>
      </c>
      <c r="B3387" s="2">
        <v>46085.345625578702</v>
      </c>
      <c r="C3387" s="3" t="str">
        <f>IFERROR(VLOOKUP(A3387,'Base Prueba'!A:C,3,),"NO REGISTRA")</f>
        <v>CRISTIAN DANILO ARROYO SANABRIA</v>
      </c>
      <c r="D3387" s="4" t="str">
        <f>IFERROR(VLOOKUP(A3387,'Base Prueba'!A:D,4,),"NO REGISTRA")</f>
        <v>AUXILIAR CONTABLE</v>
      </c>
      <c r="E3387" s="5" t="str">
        <f>IFERROR(VLOOKUP(A3387,'Base Prueba'!A:E,5,),"NO REGISTRA")</f>
        <v>AREA FINANCIERA Y CONTABLE</v>
      </c>
    </row>
    <row r="3388" spans="1:5" ht="15.75" x14ac:dyDescent="0.25">
      <c r="A3388" s="10">
        <v>1014977624</v>
      </c>
      <c r="B3388" s="2">
        <v>46085.345757754629</v>
      </c>
      <c r="C3388" s="3" t="str">
        <f>IFERROR(VLOOKUP(A3388,'Base Prueba'!A:C,3,),"NO REGISTRA")</f>
        <v>NICCOLE VALENTINA HERNANDEZ MALAVER</v>
      </c>
      <c r="D3388" s="4" t="str">
        <f>IFERROR(VLOOKUP(A3388,'Base Prueba'!A:D,4,),"NO REGISTRA")</f>
        <v>APRENDIZ UNIVERSITARIO</v>
      </c>
      <c r="E3388" s="5" t="str">
        <f>IFERROR(VLOOKUP(A3388,'Base Prueba'!A:E,5,),"NO REGISTRA")</f>
        <v>AREA FINANCIERA Y CONTABLE</v>
      </c>
    </row>
    <row r="3389" spans="1:5" ht="15.75" x14ac:dyDescent="0.25">
      <c r="A3389" s="10">
        <v>1012357415</v>
      </c>
      <c r="B3389" s="2">
        <v>46085.349127430556</v>
      </c>
      <c r="C3389" s="3" t="str">
        <f>IFERROR(VLOOKUP(A3389,'Base Prueba'!A:C,3,),"NO REGISTRA")</f>
        <v>CINDY LORENA BOHORQUEZ LEYVA</v>
      </c>
      <c r="D3389" s="4" t="str">
        <f>IFERROR(VLOOKUP(A3389,'Base Prueba'!A:D,4,),"NO REGISTRA")</f>
        <v>ANALISTA DE TESORERIA</v>
      </c>
      <c r="E3389" s="5" t="str">
        <f>IFERROR(VLOOKUP(A3389,'Base Prueba'!A:E,5,),"NO REGISTRA")</f>
        <v>AREA FINANCIERA Y CONTABLE</v>
      </c>
    </row>
    <row r="3390" spans="1:5" ht="15.75" x14ac:dyDescent="0.25">
      <c r="A3390" s="10">
        <v>1023883232</v>
      </c>
      <c r="B3390" s="2">
        <v>46085.350530439813</v>
      </c>
      <c r="C3390" s="3" t="str">
        <f>IFERROR(VLOOKUP(A3390,'Base Prueba'!A:C,3,),"NO REGISTRA")</f>
        <v>MONICA ANDREA ACERO URBANO</v>
      </c>
      <c r="D3390" s="4" t="str">
        <f>IFERROR(VLOOKUP(A3390,'Base Prueba'!A:D,4,),"NO REGISTRA")</f>
        <v>APOYO INTEGRAL A GESTION HUMANA</v>
      </c>
      <c r="E3390" s="5" t="str">
        <f>IFERROR(VLOOKUP(A3390,'Base Prueba'!A:E,5,),"NO REGISTRA")</f>
        <v>DEPARTAMENTO DE GESTION HUMANA</v>
      </c>
    </row>
    <row r="3391" spans="1:5" ht="15.75" x14ac:dyDescent="0.25">
      <c r="A3391" s="10">
        <v>1014196857</v>
      </c>
      <c r="B3391" s="2">
        <v>46085.35439479167</v>
      </c>
      <c r="C3391" s="3" t="str">
        <f>IFERROR(VLOOKUP(A3391,'Base Prueba'!A:C,3,),"NO REGISTRA")</f>
        <v>CARLOS ANDRES JIMENEZ PARDO</v>
      </c>
      <c r="D3391" s="4" t="str">
        <f>IFERROR(VLOOKUP(A3391,'Base Prueba'!A:D,4,),"NO REGISTRA")</f>
        <v>COORDINADOR DE MARKETING DIGITAL</v>
      </c>
      <c r="E3391" s="5" t="str">
        <f>IFERROR(VLOOKUP(A3391,'Base Prueba'!A:E,5,),"NO REGISTRA")</f>
        <v>OFICINA DE MERCADEO</v>
      </c>
    </row>
    <row r="3392" spans="1:5" ht="15.75" x14ac:dyDescent="0.25">
      <c r="A3392" s="10">
        <v>1000604979</v>
      </c>
      <c r="B3392" s="2">
        <v>46085.355831365741</v>
      </c>
      <c r="C3392" s="3" t="str">
        <f>IFERROR(VLOOKUP(A3392,'Base Prueba'!A:C,3,),"NO REGISTRA")</f>
        <v>JULIETH TATIANA PARDO PINTO</v>
      </c>
      <c r="D3392" s="4" t="str">
        <f>IFERROR(VLOOKUP(A3392,'Base Prueba'!A:D,4,),"NO REGISTRA")</f>
        <v>AUXILIAR JURIDICO</v>
      </c>
      <c r="E3392" s="5" t="str">
        <f>IFERROR(VLOOKUP(A3392,'Base Prueba'!A:E,5,),"NO REGISTRA")</f>
        <v>SECRETARIA GENERAL</v>
      </c>
    </row>
    <row r="3393" spans="1:5" ht="15.75" x14ac:dyDescent="0.25">
      <c r="A3393" s="10">
        <v>1000593372</v>
      </c>
      <c r="B3393" s="2">
        <v>46085.355864236109</v>
      </c>
      <c r="C3393" s="3" t="str">
        <f>IFERROR(VLOOKUP(A3393,'Base Prueba'!A:C,3,),"NO REGISTRA")</f>
        <v>LAURA SOFIA CHAPARRO LOPEZ</v>
      </c>
      <c r="D3393" s="4" t="str">
        <f>IFERROR(VLOOKUP(A3393,'Base Prueba'!A:D,4,),"NO REGISTRA")</f>
        <v>AUXILIAR JURIDICO</v>
      </c>
      <c r="E3393" s="5" t="str">
        <f>IFERROR(VLOOKUP(A3393,'Base Prueba'!A:E,5,),"NO REGISTRA")</f>
        <v>SECRETARIA GENERAL</v>
      </c>
    </row>
    <row r="3394" spans="1:5" ht="15.75" x14ac:dyDescent="0.25">
      <c r="A3394" s="10">
        <v>1016090131</v>
      </c>
      <c r="B3394" s="2">
        <v>46085.35823460648</v>
      </c>
      <c r="C3394" s="3" t="str">
        <f>IFERROR(VLOOKUP(A3394,'Base Prueba'!A:C,3,),"NO REGISTRA")</f>
        <v>NICOLAS RODRIGUEZ PACHECO</v>
      </c>
      <c r="D3394" s="4" t="str">
        <f>IFERROR(VLOOKUP(A3394,'Base Prueba'!A:D,4,),"NO REGISTRA")</f>
        <v>COORDINADOR DE COMUNICACIONES</v>
      </c>
      <c r="E3394" s="5" t="str">
        <f>IFERROR(VLOOKUP(A3394,'Base Prueba'!A:E,5,),"NO REGISTRA")</f>
        <v>OFICINA DE MERCADEO</v>
      </c>
    </row>
    <row r="3395" spans="1:5" ht="15.75" x14ac:dyDescent="0.25">
      <c r="A3395" s="10">
        <v>1018414290</v>
      </c>
      <c r="B3395" s="2">
        <v>46085.359855555558</v>
      </c>
      <c r="C3395" s="3" t="str">
        <f>IFERROR(VLOOKUP(A3395,'Base Prueba'!A:C,3,),"NO REGISTRA")</f>
        <v>AMANDA LISBETH RODRIGUEZ LEON</v>
      </c>
      <c r="D3395" s="4" t="str">
        <f>IFERROR(VLOOKUP(A3395,'Base Prueba'!A:D,4,),"NO REGISTRA")</f>
        <v>PROMOTOR CALL CENTER</v>
      </c>
      <c r="E3395" s="5" t="str">
        <f>IFERROR(VLOOKUP(A3395,'Base Prueba'!A:E,5,),"NO REGISTRA")</f>
        <v>OFICINA DE MERCADEO</v>
      </c>
    </row>
    <row r="3396" spans="1:5" ht="15.75" x14ac:dyDescent="0.25">
      <c r="A3396" s="10">
        <v>1003690253</v>
      </c>
      <c r="B3396" s="2">
        <v>46085.363278935183</v>
      </c>
      <c r="C3396" s="3" t="str">
        <f>IFERROR(VLOOKUP(A3396,'Base Prueba'!A:C,3,),"NO REGISTRA")</f>
        <v>MELISSA GONZALEZ PEDRAZA</v>
      </c>
      <c r="D3396" s="4" t="str">
        <f>IFERROR(VLOOKUP(A3396,'Base Prueba'!A:D,4,),"NO REGISTRA")</f>
        <v>LIDER DE JOVENES A LA E</v>
      </c>
      <c r="E3396" s="5" t="str">
        <f>IFERROR(VLOOKUP(A3396,'Base Prueba'!A:E,5,),"NO REGISTRA")</f>
        <v>DIRECCION DE BIENESTAR INSTITUCIONAL</v>
      </c>
    </row>
    <row r="3397" spans="1:5" ht="15.75" x14ac:dyDescent="0.25">
      <c r="A3397" s="10">
        <v>1033709056</v>
      </c>
      <c r="B3397" s="2">
        <v>46085.366974305558</v>
      </c>
      <c r="C3397" s="3" t="str">
        <f>IFERROR(VLOOKUP(A3397,'Base Prueba'!A:C,3,),"NO REGISTRA")</f>
        <v>YEIMY ALEXANDRA RODRIGUEZ PALACIO</v>
      </c>
      <c r="D3397" s="4" t="str">
        <f>IFERROR(VLOOKUP(A3397,'Base Prueba'!A:D,4,),"NO REGISTRA")</f>
        <v>PROMOTOR CALL CENTER</v>
      </c>
      <c r="E3397" s="5" t="str">
        <f>IFERROR(VLOOKUP(A3397,'Base Prueba'!A:E,5,),"NO REGISTRA")</f>
        <v>OFICINA DE MERCADEO</v>
      </c>
    </row>
    <row r="3398" spans="1:5" ht="15.75" x14ac:dyDescent="0.25">
      <c r="A3398" s="10">
        <v>52472386</v>
      </c>
      <c r="B3398" s="2">
        <v>46085.370111574077</v>
      </c>
      <c r="C3398" s="3" t="str">
        <f>IFERROR(VLOOKUP(A3398,'Base Prueba'!A:C,3,),"NO REGISTRA")</f>
        <v>ADRIANA MARCELA MORALES PARDO</v>
      </c>
      <c r="D3398" s="4" t="str">
        <f>IFERROR(VLOOKUP(A3398,'Base Prueba'!A:D,4,),"NO REGISTRA")</f>
        <v>PROMOTOR CALL CENTER</v>
      </c>
      <c r="E3398" s="5" t="str">
        <f>IFERROR(VLOOKUP(A3398,'Base Prueba'!A:E,5,),"NO REGISTRA")</f>
        <v>OFICINA DE MERCADEO</v>
      </c>
    </row>
    <row r="3399" spans="1:5" ht="15.75" x14ac:dyDescent="0.25">
      <c r="A3399" s="10">
        <v>28798349</v>
      </c>
      <c r="B3399" s="2">
        <v>46085.370181365739</v>
      </c>
      <c r="C3399" s="3" t="str">
        <f>IFERROR(VLOOKUP(A3399,'Base Prueba'!A:C,3,),"NO REGISTRA")</f>
        <v>MARTHA ISABEL TOVAR WILLIAMS</v>
      </c>
      <c r="D3399" s="4" t="str">
        <f>IFERROR(VLOOKUP(A3399,'Base Prueba'!A:D,4,),"NO REGISTRA")</f>
        <v>PROMOTOR CALL CENTER</v>
      </c>
      <c r="E3399" s="5" t="str">
        <f>IFERROR(VLOOKUP(A3399,'Base Prueba'!A:E,5,),"NO REGISTRA")</f>
        <v>OFICINA DE MERCADEO</v>
      </c>
    </row>
    <row r="3400" spans="1:5" ht="15.75" x14ac:dyDescent="0.25">
      <c r="A3400" s="10">
        <v>1000046533</v>
      </c>
      <c r="B3400" s="2">
        <v>46085.371282638887</v>
      </c>
      <c r="C3400" s="3" t="str">
        <f>IFERROR(VLOOKUP(A3400,'Base Prueba'!A:C,3,),"NO REGISTRA")</f>
        <v>ERIKA JULIETH VALDERRAMA SANCHEZ</v>
      </c>
      <c r="D3400" s="4" t="str">
        <f>IFERROR(VLOOKUP(A3400,'Base Prueba'!A:D,4,),"NO REGISTRA")</f>
        <v>PROMOTOR CALL CENTER</v>
      </c>
      <c r="E3400" s="5" t="str">
        <f>IFERROR(VLOOKUP(A3400,'Base Prueba'!A:E,5,),"NO REGISTRA")</f>
        <v>OFICINA DE MERCADEO</v>
      </c>
    </row>
    <row r="3401" spans="1:5" ht="15.75" x14ac:dyDescent="0.25">
      <c r="A3401" s="10">
        <v>53089882</v>
      </c>
      <c r="B3401" s="2">
        <v>46085.371823263886</v>
      </c>
      <c r="C3401" s="3" t="str">
        <f>IFERROR(VLOOKUP(A3401,'Base Prueba'!A:C,3,),"NO REGISTRA")</f>
        <v>MARIA JOHANA ESCAMILLA MARTINEZ</v>
      </c>
      <c r="D3401" s="4" t="str">
        <f>IFERROR(VLOOKUP(A3401,'Base Prueba'!A:D,4,),"NO REGISTRA")</f>
        <v>PROMOTOR DE INFORMACIÓN</v>
      </c>
      <c r="E3401" s="5" t="str">
        <f>IFERROR(VLOOKUP(A3401,'Base Prueba'!A:E,5,),"NO REGISTRA")</f>
        <v>OFICINA DE MERCADEO</v>
      </c>
    </row>
    <row r="3402" spans="1:5" ht="15.75" x14ac:dyDescent="0.25">
      <c r="A3402" s="10">
        <v>80234243</v>
      </c>
      <c r="B3402" s="2">
        <v>46085.37210601852</v>
      </c>
      <c r="C3402" s="3" t="str">
        <f>IFERROR(VLOOKUP(A3402,'Base Prueba'!A:C,3,),"NO REGISTRA")</f>
        <v>ARGENIS MARTINEZ MARTINEZ</v>
      </c>
      <c r="D3402" s="4" t="str">
        <f>IFERROR(VLOOKUP(A3402,'Base Prueba'!A:D,4,),"NO REGISTRA")</f>
        <v>LIDER CALL CENTER</v>
      </c>
      <c r="E3402" s="5" t="str">
        <f>IFERROR(VLOOKUP(A3402,'Base Prueba'!A:E,5,),"NO REGISTRA")</f>
        <v>OFICINA DE MERCADEO</v>
      </c>
    </row>
    <row r="3403" spans="1:5" ht="15.75" x14ac:dyDescent="0.25">
      <c r="A3403" s="10">
        <v>1018413529</v>
      </c>
      <c r="B3403" s="2">
        <v>46085.373220717593</v>
      </c>
      <c r="C3403" s="3" t="str">
        <f>IFERROR(VLOOKUP(A3403,'Base Prueba'!A:C,3,),"NO REGISTRA")</f>
        <v>FRANCY STELLA CHARRY MORENO</v>
      </c>
      <c r="D3403" s="4" t="str">
        <f>IFERROR(VLOOKUP(A3403,'Base Prueba'!A:D,4,),"NO REGISTRA")</f>
        <v>PROMOTOR COMERCIAL DEL CEA</v>
      </c>
      <c r="E3403" s="5" t="str">
        <f>IFERROR(VLOOKUP(A3403,'Base Prueba'!A:E,5,),"NO REGISTRA")</f>
        <v>OFICINA DE MERCADEO</v>
      </c>
    </row>
    <row r="3404" spans="1:5" ht="15.75" x14ac:dyDescent="0.25">
      <c r="A3404" s="10">
        <v>1019105003</v>
      </c>
      <c r="B3404" s="2">
        <v>46085.37490127315</v>
      </c>
      <c r="C3404" s="3" t="str">
        <f>IFERROR(VLOOKUP(A3404,'Base Prueba'!A:C,3,),"NO REGISTRA")</f>
        <v>DAISY JULIETH GASPAR MORENO</v>
      </c>
      <c r="D3404" s="4" t="str">
        <f>IFERROR(VLOOKUP(A3404,'Base Prueba'!A:D,4,),"NO REGISTRA")</f>
        <v>PROMOTOR CALL CENTER</v>
      </c>
      <c r="E3404" s="5" t="str">
        <f>IFERROR(VLOOKUP(A3404,'Base Prueba'!A:E,5,),"NO REGISTRA")</f>
        <v>OFICINA DE MERCADEO</v>
      </c>
    </row>
    <row r="3405" spans="1:5" ht="15.75" x14ac:dyDescent="0.25">
      <c r="A3405" s="10">
        <v>1012426741</v>
      </c>
      <c r="B3405" s="2">
        <v>46085.374995370374</v>
      </c>
      <c r="C3405" s="3" t="str">
        <f>IFERROR(VLOOKUP(A3405,'Base Prueba'!A:C,3,),"NO REGISTRA")</f>
        <v>CRISTIAN FABIAN ROJAS SANCENO</v>
      </c>
      <c r="D3405" s="4" t="str">
        <f>IFERROR(VLOOKUP(A3405,'Base Prueba'!A:D,4,),"NO REGISTRA")</f>
        <v>AUXILIAR DE REINTEGROS</v>
      </c>
      <c r="E3405" s="5" t="str">
        <f>IFERROR(VLOOKUP(A3405,'Base Prueba'!A:E,5,),"NO REGISTRA")</f>
        <v>DIRECCION DE BIENESTAR INSTITUCIONAL</v>
      </c>
    </row>
    <row r="3406" spans="1:5" ht="15.75" x14ac:dyDescent="0.25">
      <c r="A3406" s="10">
        <v>52175674</v>
      </c>
      <c r="B3406" s="2">
        <v>46085.376754629629</v>
      </c>
      <c r="C3406" s="3" t="str">
        <f>IFERROR(VLOOKUP(A3406,'Base Prueba'!A:C,3,),"NO REGISTRA")</f>
        <v>LUZ YANETH GOMEZ AREVALO</v>
      </c>
      <c r="D3406" s="4" t="str">
        <f>IFERROR(VLOOKUP(A3406,'Base Prueba'!A:D,4,),"NO REGISTRA")</f>
        <v>COORDINADORA DE ADMISIONES</v>
      </c>
      <c r="E3406" s="5" t="str">
        <f>IFERROR(VLOOKUP(A3406,'Base Prueba'!A:E,5,),"NO REGISTRA")</f>
        <v>OFICINA DE MERCADEO</v>
      </c>
    </row>
    <row r="3407" spans="1:5" ht="15.75" x14ac:dyDescent="0.25">
      <c r="A3407" s="10">
        <v>1023961952</v>
      </c>
      <c r="B3407" s="2">
        <v>46085.376944444448</v>
      </c>
      <c r="C3407" s="3" t="str">
        <f>IFERROR(VLOOKUP(A3407,'Base Prueba'!A:C,3,),"NO REGISTRA")</f>
        <v>ALEJANDRO PINZON MERCHAN</v>
      </c>
      <c r="D3407" s="4" t="str">
        <f>IFERROR(VLOOKUP(A3407,'Base Prueba'!A:D,4,),"NO REGISTRA")</f>
        <v>PROMOTOR CALL CENTER</v>
      </c>
      <c r="E3407" s="5" t="str">
        <f>IFERROR(VLOOKUP(A3407,'Base Prueba'!A:E,5,),"NO REGISTRA")</f>
        <v>OFICINA DE MERCADEO</v>
      </c>
    </row>
    <row r="3408" spans="1:5" ht="15.75" x14ac:dyDescent="0.25">
      <c r="A3408" s="10">
        <v>52764929</v>
      </c>
      <c r="B3408" s="2">
        <v>46085.383621759262</v>
      </c>
      <c r="C3408" s="3" t="str">
        <f>IFERROR(VLOOKUP(A3408,'Base Prueba'!A:C,3,),"NO REGISTRA")</f>
        <v>GUERLY YOHANA DURAN RIVERA</v>
      </c>
      <c r="D3408" s="4" t="str">
        <f>IFERROR(VLOOKUP(A3408,'Base Prueba'!A:D,4,),"NO REGISTRA")</f>
        <v>LIDER DE VINCULACION COLEGIOS</v>
      </c>
      <c r="E3408" s="5" t="str">
        <f>IFERROR(VLOOKUP(A3408,'Base Prueba'!A:E,5,),"NO REGISTRA")</f>
        <v>OFICINA DE MERCADEO</v>
      </c>
    </row>
    <row r="3409" spans="1:5" ht="15.75" x14ac:dyDescent="0.25">
      <c r="A3409" s="10">
        <v>52443092</v>
      </c>
      <c r="B3409" s="2">
        <v>46085.537398726854</v>
      </c>
      <c r="C3409" s="3" t="str">
        <f>IFERROR(VLOOKUP(A3409,'Base Prueba'!A:C,3,),"NO REGISTRA")</f>
        <v>LUZ MYRIAM SAAVEDRA CONTRERAS</v>
      </c>
      <c r="D3409" s="4" t="str">
        <f>IFERROR(VLOOKUP(A3409,'Base Prueba'!A:D,4,),"NO REGISTRA")</f>
        <v>AUXILIAR DE SERVICIOS</v>
      </c>
      <c r="E3409" s="5" t="str">
        <f>IFERROR(VLOOKUP(A3409,'Base Prueba'!A:E,5,),"NO REGISTRA")</f>
        <v>LOGISTICA Y SERVICIOS GENERALES</v>
      </c>
    </row>
    <row r="3410" spans="1:5" ht="15.75" x14ac:dyDescent="0.25">
      <c r="A3410" s="10">
        <v>1031802160</v>
      </c>
      <c r="B3410" s="2">
        <v>46085.705078587962</v>
      </c>
      <c r="C3410" s="3" t="str">
        <f>IFERROR(VLOOKUP(A3410,'Base Prueba'!A:C,3,),"NO REGISTRA")</f>
        <v>LUISA MARIA MAHECHA SOTOMAYOR</v>
      </c>
      <c r="D3410" s="4" t="str">
        <f>IFERROR(VLOOKUP(A3410,'Base Prueba'!A:D,4,),"NO REGISTRA")</f>
        <v>APRENDIZ UNIVERSITARIO</v>
      </c>
      <c r="E3410" s="5" t="str">
        <f>IFERROR(VLOOKUP(A3410,'Base Prueba'!A:E,5,),"NO REGISTRA")</f>
        <v>OFICINA DE MERCADEO</v>
      </c>
    </row>
    <row r="3411" spans="1:5" ht="15.75" x14ac:dyDescent="0.25">
      <c r="A3411" s="10">
        <v>1000467399</v>
      </c>
      <c r="B3411" s="2">
        <v>46085.751297685187</v>
      </c>
      <c r="C3411" s="3" t="str">
        <f>IFERROR(VLOOKUP(A3411,'Base Prueba'!A:C,3,),"NO REGISTRA")</f>
        <v>BRANDO ESTIVEN DIAZ QUIMBAYA</v>
      </c>
      <c r="D3411" s="4" t="str">
        <f>IFERROR(VLOOKUP(A3411,'Base Prueba'!A:D,4,),"NO REGISTRA")</f>
        <v>APRENDIZ UNIVERSITARIO</v>
      </c>
      <c r="E3411" s="5" t="str">
        <f>IFERROR(VLOOKUP(A3411,'Base Prueba'!A:E,5,),"NO REGISTRA")</f>
        <v>DEPARTAMENTO DE GESTION HUMANA</v>
      </c>
    </row>
    <row r="3412" spans="1:5" ht="15.75" x14ac:dyDescent="0.25">
      <c r="A3412" s="10">
        <v>1010184333</v>
      </c>
      <c r="B3412" s="2">
        <v>46085.752001388886</v>
      </c>
      <c r="C3412" s="3" t="str">
        <f>IFERROR(VLOOKUP(A3412,'Base Prueba'!A:C,3,),"NO REGISTRA")</f>
        <v>AKON ANDRES GARZON ALVAREZ</v>
      </c>
      <c r="D3412" s="4" t="str">
        <f>IFERROR(VLOOKUP(A3412,'Base Prueba'!A:D,4,),"NO REGISTRA")</f>
        <v>APRENDIZ UNIVERSITARIO</v>
      </c>
      <c r="E3412" s="5" t="str">
        <f>IFERROR(VLOOKUP(A3412,'Base Prueba'!A:E,5,),"NO REGISTRA")</f>
        <v>SECRETARIA GENERAL</v>
      </c>
    </row>
    <row r="3413" spans="1:5" ht="15.75" x14ac:dyDescent="0.25">
      <c r="A3413" s="10">
        <v>1193457976</v>
      </c>
      <c r="B3413" s="2">
        <v>46085.753278472221</v>
      </c>
      <c r="C3413" s="3" t="str">
        <f>IFERROR(VLOOKUP(A3413,'Base Prueba'!A:C,3,),"NO REGISTRA")</f>
        <v>SEDENIS RIVAS ASPRILLA</v>
      </c>
      <c r="D3413" s="4" t="str">
        <f>IFERROR(VLOOKUP(A3413,'Base Prueba'!A:D,4,),"NO REGISTRA")</f>
        <v>APRENDIZ UNIVERSITARIO</v>
      </c>
      <c r="E3413" s="5" t="str">
        <f>IFERROR(VLOOKUP(A3413,'Base Prueba'!A:E,5,),"NO REGISTRA")</f>
        <v>DEPARTAMENTO DE GESTION HUMANA</v>
      </c>
    </row>
    <row r="3414" spans="1:5" ht="15.75" x14ac:dyDescent="0.25">
      <c r="A3414" s="10">
        <v>1000593372</v>
      </c>
      <c r="B3414" s="2">
        <v>46085.756063194443</v>
      </c>
      <c r="C3414" s="3" t="str">
        <f>IFERROR(VLOOKUP(A3414,'Base Prueba'!A:C,3,),"NO REGISTRA")</f>
        <v>LAURA SOFIA CHAPARRO LOPEZ</v>
      </c>
      <c r="D3414" s="4" t="str">
        <f>IFERROR(VLOOKUP(A3414,'Base Prueba'!A:D,4,),"NO REGISTRA")</f>
        <v>AUXILIAR JURIDICO</v>
      </c>
      <c r="E3414" s="5" t="str">
        <f>IFERROR(VLOOKUP(A3414,'Base Prueba'!A:E,5,),"NO REGISTRA")</f>
        <v>SECRETARIA GENERAL</v>
      </c>
    </row>
    <row r="3415" spans="1:5" ht="15.75" x14ac:dyDescent="0.25">
      <c r="A3415" s="10">
        <v>1000604979</v>
      </c>
      <c r="B3415" s="2">
        <v>46085.756086689813</v>
      </c>
      <c r="C3415" s="3" t="str">
        <f>IFERROR(VLOOKUP(A3415,'Base Prueba'!A:C,3,),"NO REGISTRA")</f>
        <v>JULIETH TATIANA PARDO PINTO</v>
      </c>
      <c r="D3415" s="4" t="str">
        <f>IFERROR(VLOOKUP(A3415,'Base Prueba'!A:D,4,),"NO REGISTRA")</f>
        <v>AUXILIAR JURIDICO</v>
      </c>
      <c r="E3415" s="5" t="str">
        <f>IFERROR(VLOOKUP(A3415,'Base Prueba'!A:E,5,),"NO REGISTRA")</f>
        <v>SECRETARIA GENERAL</v>
      </c>
    </row>
    <row r="3416" spans="1:5" ht="15.75" x14ac:dyDescent="0.25">
      <c r="A3416" s="10">
        <v>1049644802</v>
      </c>
      <c r="B3416" s="2">
        <v>46085.756641319444</v>
      </c>
      <c r="C3416" s="3" t="str">
        <f>IFERROR(VLOOKUP(A3416,'Base Prueba'!A:C,3,),"NO REGISTRA")</f>
        <v>DANIELA ALEXANDRA CIPAMOCHA BOSIGA</v>
      </c>
      <c r="D3416" s="4" t="str">
        <f>IFERROR(VLOOKUP(A3416,'Base Prueba'!A:D,4,),"NO REGISTRA")</f>
        <v>LIDER DE DATOS Y SERVICIOS</v>
      </c>
      <c r="E3416" s="5" t="str">
        <f>IFERROR(VLOOKUP(A3416,'Base Prueba'!A:E,5,),"NO REGISTRA")</f>
        <v>OFICINA DE PLANEACION Y GESTION DE LA CALIDAD</v>
      </c>
    </row>
    <row r="3417" spans="1:5" ht="15.75" x14ac:dyDescent="0.25">
      <c r="A3417" s="10">
        <v>1000457706</v>
      </c>
      <c r="B3417" s="2">
        <v>46085.759545370369</v>
      </c>
      <c r="C3417" s="3" t="str">
        <f>IFERROR(VLOOKUP(A3417,'Base Prueba'!A:C,3,),"NO REGISTRA")</f>
        <v>CRISTIAN DANILO ARROYO SANABRIA</v>
      </c>
      <c r="D3417" s="4" t="str">
        <f>IFERROR(VLOOKUP(A3417,'Base Prueba'!A:D,4,),"NO REGISTRA")</f>
        <v>AUXILIAR CONTABLE</v>
      </c>
      <c r="E3417" s="5" t="str">
        <f>IFERROR(VLOOKUP(A3417,'Base Prueba'!A:E,5,),"NO REGISTRA")</f>
        <v>AREA FINANCIERA Y CONTABLE</v>
      </c>
    </row>
    <row r="3418" spans="1:5" ht="15.75" x14ac:dyDescent="0.25">
      <c r="A3418" s="10">
        <v>1014977624</v>
      </c>
      <c r="B3418" s="2">
        <v>46085.759568634261</v>
      </c>
      <c r="C3418" s="3" t="str">
        <f>IFERROR(VLOOKUP(A3418,'Base Prueba'!A:C,3,),"NO REGISTRA")</f>
        <v>NICCOLE VALENTINA HERNANDEZ MALAVER</v>
      </c>
      <c r="D3418" s="4" t="str">
        <f>IFERROR(VLOOKUP(A3418,'Base Prueba'!A:D,4,),"NO REGISTRA")</f>
        <v>APRENDIZ UNIVERSITARIO</v>
      </c>
      <c r="E3418" s="5" t="str">
        <f>IFERROR(VLOOKUP(A3418,'Base Prueba'!A:E,5,),"NO REGISTRA")</f>
        <v>AREA FINANCIERA Y CONTABLE</v>
      </c>
    </row>
    <row r="3419" spans="1:5" ht="15.75" x14ac:dyDescent="0.25">
      <c r="A3419" s="10">
        <v>1012426741</v>
      </c>
      <c r="B3419" s="2">
        <v>46085.760431481482</v>
      </c>
      <c r="C3419" s="3" t="str">
        <f>IFERROR(VLOOKUP(A3419,'Base Prueba'!A:C,3,),"NO REGISTRA")</f>
        <v>CRISTIAN FABIAN ROJAS SANCENO</v>
      </c>
      <c r="D3419" s="4" t="str">
        <f>IFERROR(VLOOKUP(A3419,'Base Prueba'!A:D,4,),"NO REGISTRA")</f>
        <v>AUXILIAR DE REINTEGROS</v>
      </c>
      <c r="E3419" s="5" t="str">
        <f>IFERROR(VLOOKUP(A3419,'Base Prueba'!A:E,5,),"NO REGISTRA")</f>
        <v>DIRECCION DE BIENESTAR INSTITUCIONAL</v>
      </c>
    </row>
    <row r="3420" spans="1:5" ht="15.75" x14ac:dyDescent="0.25">
      <c r="A3420" s="10">
        <v>1000046533</v>
      </c>
      <c r="B3420" s="2">
        <v>46085.762231365741</v>
      </c>
      <c r="C3420" s="3" t="str">
        <f>IFERROR(VLOOKUP(A3420,'Base Prueba'!A:C,3,),"NO REGISTRA")</f>
        <v>ERIKA JULIETH VALDERRAMA SANCHEZ</v>
      </c>
      <c r="D3420" s="4" t="str">
        <f>IFERROR(VLOOKUP(A3420,'Base Prueba'!A:D,4,),"NO REGISTRA")</f>
        <v>PROMOTOR CALL CENTER</v>
      </c>
      <c r="E3420" s="5" t="str">
        <f>IFERROR(VLOOKUP(A3420,'Base Prueba'!A:E,5,),"NO REGISTRA")</f>
        <v>OFICINA DE MERCADEO</v>
      </c>
    </row>
    <row r="3421" spans="1:5" ht="15.75" x14ac:dyDescent="0.25">
      <c r="A3421" s="10">
        <v>1022996882</v>
      </c>
      <c r="B3421" s="2">
        <v>46085.763282870372</v>
      </c>
      <c r="C3421" s="3" t="str">
        <f>IFERROR(VLOOKUP(A3421,'Base Prueba'!A:C,3,),"NO REGISTRA")</f>
        <v>NANCY BRIGITH ALDANA GUEVARA</v>
      </c>
      <c r="D3421" s="4" t="str">
        <f>IFERROR(VLOOKUP(A3421,'Base Prueba'!A:D,4,),"NO REGISTRA")</f>
        <v>COORDINADORA DE GESTIÓN HUMANA</v>
      </c>
      <c r="E3421" s="5" t="str">
        <f>IFERROR(VLOOKUP(A3421,'Base Prueba'!A:E,5,),"NO REGISTRA")</f>
        <v>DEPARTAMENTO DE GESTION HUMANA</v>
      </c>
    </row>
    <row r="3422" spans="1:5" ht="15.75" x14ac:dyDescent="0.25">
      <c r="A3422" s="10">
        <v>1023883232</v>
      </c>
      <c r="B3422" s="2">
        <v>46085.763630787034</v>
      </c>
      <c r="C3422" s="3" t="str">
        <f>IFERROR(VLOOKUP(A3422,'Base Prueba'!A:C,3,),"NO REGISTRA")</f>
        <v>MONICA ANDREA ACERO URBANO</v>
      </c>
      <c r="D3422" s="4" t="str">
        <f>IFERROR(VLOOKUP(A3422,'Base Prueba'!A:D,4,),"NO REGISTRA")</f>
        <v>APOYO INTEGRAL A GESTION HUMANA</v>
      </c>
      <c r="E3422" s="5" t="str">
        <f>IFERROR(VLOOKUP(A3422,'Base Prueba'!A:E,5,),"NO REGISTRA")</f>
        <v>DEPARTAMENTO DE GESTION HUMANA</v>
      </c>
    </row>
    <row r="3423" spans="1:5" ht="15.75" x14ac:dyDescent="0.25">
      <c r="A3423" s="10">
        <v>1087121273</v>
      </c>
      <c r="B3423" s="2">
        <v>46085.763690856482</v>
      </c>
      <c r="C3423" s="3" t="str">
        <f>IFERROR(VLOOKUP(A3423,'Base Prueba'!A:C,3,),"NO REGISTRA")</f>
        <v>MAYRA ALEJANDRA CASTILLO ARBOLEDA</v>
      </c>
      <c r="D3423" s="4" t="str">
        <f>IFERROR(VLOOKUP(A3423,'Base Prueba'!A:D,4,),"NO REGISTRA")</f>
        <v>APOYO INTEGRAL DE MERCADEO</v>
      </c>
      <c r="E3423" s="5" t="str">
        <f>IFERROR(VLOOKUP(A3423,'Base Prueba'!A:E,5,),"NO REGISTRA")</f>
        <v>CENTRO DE GESTION DOCUMENTAL</v>
      </c>
    </row>
    <row r="3424" spans="1:5" ht="15.75" x14ac:dyDescent="0.25">
      <c r="A3424" s="10">
        <v>1012357415</v>
      </c>
      <c r="B3424" s="2">
        <v>46085.765317361111</v>
      </c>
      <c r="C3424" s="3" t="str">
        <f>IFERROR(VLOOKUP(A3424,'Base Prueba'!A:C,3,),"NO REGISTRA")</f>
        <v>CINDY LORENA BOHORQUEZ LEYVA</v>
      </c>
      <c r="D3424" s="4" t="str">
        <f>IFERROR(VLOOKUP(A3424,'Base Prueba'!A:D,4,),"NO REGISTRA")</f>
        <v>ANALISTA DE TESORERIA</v>
      </c>
      <c r="E3424" s="5" t="str">
        <f>IFERROR(VLOOKUP(A3424,'Base Prueba'!A:E,5,),"NO REGISTRA")</f>
        <v>AREA FINANCIERA Y CONTABLE</v>
      </c>
    </row>
    <row r="3425" spans="1:5" ht="15.75" x14ac:dyDescent="0.25">
      <c r="A3425" s="10">
        <v>1000257136</v>
      </c>
      <c r="B3425" s="2">
        <v>46085.765509259261</v>
      </c>
      <c r="C3425" s="3" t="str">
        <f>IFERROR(VLOOKUP(A3425,'Base Prueba'!A:C,3,),"NO REGISTRA")</f>
        <v>FRANCI VALENTINA CANO PUENTES</v>
      </c>
      <c r="D3425" s="4" t="str">
        <f>IFERROR(VLOOKUP(A3425,'Base Prueba'!A:D,4,),"NO REGISTRA")</f>
        <v>AUXILIAR CONTABLE</v>
      </c>
      <c r="E3425" s="5" t="str">
        <f>IFERROR(VLOOKUP(A3425,'Base Prueba'!A:E,5,),"NO REGISTRA")</f>
        <v>AREA FINANCIERA Y CONTABLE</v>
      </c>
    </row>
    <row r="3426" spans="1:5" ht="15.75" x14ac:dyDescent="0.25">
      <c r="A3426" s="10">
        <v>52764929</v>
      </c>
      <c r="B3426" s="2">
        <v>46085.771704629631</v>
      </c>
      <c r="C3426" s="3" t="str">
        <f>IFERROR(VLOOKUP(A3426,'Base Prueba'!A:C,3,),"NO REGISTRA")</f>
        <v>GUERLY YOHANA DURAN RIVERA</v>
      </c>
      <c r="D3426" s="4" t="str">
        <f>IFERROR(VLOOKUP(A3426,'Base Prueba'!A:D,4,),"NO REGISTRA")</f>
        <v>LIDER DE VINCULACION COLEGIOS</v>
      </c>
      <c r="E3426" s="5" t="str">
        <f>IFERROR(VLOOKUP(A3426,'Base Prueba'!A:E,5,),"NO REGISTRA")</f>
        <v>OFICINA DE MERCADEO</v>
      </c>
    </row>
    <row r="3427" spans="1:5" ht="15.75" x14ac:dyDescent="0.25">
      <c r="A3427" s="10">
        <v>80191732</v>
      </c>
      <c r="B3427" s="2">
        <v>46085.772423263887</v>
      </c>
      <c r="C3427" s="3" t="str">
        <f>IFERROR(VLOOKUP(A3427,'Base Prueba'!A:C,3,),"NO REGISTRA")</f>
        <v>DANIEL MAURICIO ZAMBRANO TUNJANO</v>
      </c>
      <c r="D3427" s="4" t="str">
        <f>IFERROR(VLOOKUP(A3427,'Base Prueba'!A:D,4,),"NO REGISTRA")</f>
        <v>COORDINADOR DE DISEÑO E IMAGEN INSTITUCIONAL</v>
      </c>
      <c r="E3427" s="5" t="str">
        <f>IFERROR(VLOOKUP(A3427,'Base Prueba'!A:E,5,),"NO REGISTRA")</f>
        <v>OFICINA DE MERCADEO</v>
      </c>
    </row>
    <row r="3428" spans="1:5" ht="15.75" x14ac:dyDescent="0.25">
      <c r="A3428" s="10">
        <v>1032469638</v>
      </c>
      <c r="B3428" s="2">
        <v>46085.775320833331</v>
      </c>
      <c r="C3428" s="3" t="str">
        <f>IFERROR(VLOOKUP(A3428,'Base Prueba'!A:C,3,),"NO REGISTRA")</f>
        <v>MAICOL JARBEY GUALTEROS CASTAÑEDA</v>
      </c>
      <c r="D3428" s="4" t="str">
        <f>IFERROR(VLOOKUP(A3428,'Base Prueba'!A:D,4,),"NO REGISTRA")</f>
        <v>COORDINADOR DEL SISTEMA INTERNO DE ASEGURAMIENTO DE LA CALIDAD - SIAC</v>
      </c>
      <c r="E3428" s="5" t="str">
        <f>IFERROR(VLOOKUP(A3428,'Base Prueba'!A:E,5,),"NO REGISTRA")</f>
        <v>OFICINA DE PLANEACION Y GESTION DE LA CALIDAD</v>
      </c>
    </row>
    <row r="3429" spans="1:5" ht="15.75" x14ac:dyDescent="0.25">
      <c r="A3429" s="10">
        <v>1019105003</v>
      </c>
      <c r="B3429" s="2">
        <v>46085.775390625</v>
      </c>
      <c r="C3429" s="3" t="str">
        <f>IFERROR(VLOOKUP(A3429,'Base Prueba'!A:C,3,),"NO REGISTRA")</f>
        <v>DAISY JULIETH GASPAR MORENO</v>
      </c>
      <c r="D3429" s="4" t="str">
        <f>IFERROR(VLOOKUP(A3429,'Base Prueba'!A:D,4,),"NO REGISTRA")</f>
        <v>PROMOTOR CALL CENTER</v>
      </c>
      <c r="E3429" s="5" t="str">
        <f>IFERROR(VLOOKUP(A3429,'Base Prueba'!A:E,5,),"NO REGISTRA")</f>
        <v>OFICINA DE MERCADEO</v>
      </c>
    </row>
    <row r="3430" spans="1:5" ht="15.75" x14ac:dyDescent="0.25">
      <c r="A3430" s="10">
        <v>1033709056</v>
      </c>
      <c r="B3430" s="2">
        <v>46085.775708564812</v>
      </c>
      <c r="C3430" s="3" t="str">
        <f>IFERROR(VLOOKUP(A3430,'Base Prueba'!A:C,3,),"NO REGISTRA")</f>
        <v>YEIMY ALEXANDRA RODRIGUEZ PALACIO</v>
      </c>
      <c r="D3430" s="4" t="str">
        <f>IFERROR(VLOOKUP(A3430,'Base Prueba'!A:D,4,),"NO REGISTRA")</f>
        <v>PROMOTOR CALL CENTER</v>
      </c>
      <c r="E3430" s="5" t="str">
        <f>IFERROR(VLOOKUP(A3430,'Base Prueba'!A:E,5,),"NO REGISTRA")</f>
        <v>OFICINA DE MERCADEO</v>
      </c>
    </row>
    <row r="3431" spans="1:5" ht="15.75" x14ac:dyDescent="0.25">
      <c r="A3431" s="10">
        <v>52472386</v>
      </c>
      <c r="B3431" s="2">
        <v>46085.775760648146</v>
      </c>
      <c r="C3431" s="3" t="str">
        <f>IFERROR(VLOOKUP(A3431,'Base Prueba'!A:C,3,),"NO REGISTRA")</f>
        <v>ADRIANA MARCELA MORALES PARDO</v>
      </c>
      <c r="D3431" s="4" t="str">
        <f>IFERROR(VLOOKUP(A3431,'Base Prueba'!A:D,4,),"NO REGISTRA")</f>
        <v>PROMOTOR CALL CENTER</v>
      </c>
      <c r="E3431" s="5" t="str">
        <f>IFERROR(VLOOKUP(A3431,'Base Prueba'!A:E,5,),"NO REGISTRA")</f>
        <v>OFICINA DE MERCADEO</v>
      </c>
    </row>
    <row r="3432" spans="1:5" ht="15.75" x14ac:dyDescent="0.25">
      <c r="A3432" s="10">
        <v>1014196857</v>
      </c>
      <c r="B3432" s="2">
        <v>46085.776235879632</v>
      </c>
      <c r="C3432" s="3" t="str">
        <f>IFERROR(VLOOKUP(A3432,'Base Prueba'!A:C,3,),"NO REGISTRA")</f>
        <v>CARLOS ANDRES JIMENEZ PARDO</v>
      </c>
      <c r="D3432" s="4" t="str">
        <f>IFERROR(VLOOKUP(A3432,'Base Prueba'!A:D,4,),"NO REGISTRA")</f>
        <v>COORDINADOR DE MARKETING DIGITAL</v>
      </c>
      <c r="E3432" s="5" t="str">
        <f>IFERROR(VLOOKUP(A3432,'Base Prueba'!A:E,5,),"NO REGISTRA")</f>
        <v>OFICINA DE MERCADEO</v>
      </c>
    </row>
    <row r="3433" spans="1:5" ht="15.75" x14ac:dyDescent="0.25">
      <c r="A3433" s="10">
        <v>28798349</v>
      </c>
      <c r="B3433" s="2">
        <v>46085.776946180558</v>
      </c>
      <c r="C3433" s="3" t="str">
        <f>IFERROR(VLOOKUP(A3433,'Base Prueba'!A:C,3,),"NO REGISTRA")</f>
        <v>MARTHA ISABEL TOVAR WILLIAMS</v>
      </c>
      <c r="D3433" s="4" t="str">
        <f>IFERROR(VLOOKUP(A3433,'Base Prueba'!A:D,4,),"NO REGISTRA")</f>
        <v>PROMOTOR CALL CENTER</v>
      </c>
      <c r="E3433" s="5" t="str">
        <f>IFERROR(VLOOKUP(A3433,'Base Prueba'!A:E,5,),"NO REGISTRA")</f>
        <v>OFICINA DE MERCADEO</v>
      </c>
    </row>
    <row r="3434" spans="1:5" ht="15.75" x14ac:dyDescent="0.25">
      <c r="A3434" s="10">
        <v>1003690253</v>
      </c>
      <c r="B3434" s="2">
        <v>46085.777357060186</v>
      </c>
      <c r="C3434" s="3" t="str">
        <f>IFERROR(VLOOKUP(A3434,'Base Prueba'!A:C,3,),"NO REGISTRA")</f>
        <v>MELISSA GONZALEZ PEDRAZA</v>
      </c>
      <c r="D3434" s="4" t="str">
        <f>IFERROR(VLOOKUP(A3434,'Base Prueba'!A:D,4,),"NO REGISTRA")</f>
        <v>LIDER DE JOVENES A LA E</v>
      </c>
      <c r="E3434" s="5" t="str">
        <f>IFERROR(VLOOKUP(A3434,'Base Prueba'!A:E,5,),"NO REGISTRA")</f>
        <v>DIRECCION DE BIENESTAR INSTITUCIONAL</v>
      </c>
    </row>
    <row r="3435" spans="1:5" ht="15.75" x14ac:dyDescent="0.25">
      <c r="A3435" s="10">
        <v>1023961952</v>
      </c>
      <c r="B3435" s="2">
        <v>46085.779123726854</v>
      </c>
      <c r="C3435" s="3" t="str">
        <f>IFERROR(VLOOKUP(A3435,'Base Prueba'!A:C,3,),"NO REGISTRA")</f>
        <v>ALEJANDRO PINZON MERCHAN</v>
      </c>
      <c r="D3435" s="4" t="str">
        <f>IFERROR(VLOOKUP(A3435,'Base Prueba'!A:D,4,),"NO REGISTRA")</f>
        <v>PROMOTOR CALL CENTER</v>
      </c>
      <c r="E3435" s="5" t="str">
        <f>IFERROR(VLOOKUP(A3435,'Base Prueba'!A:E,5,),"NO REGISTRA")</f>
        <v>OFICINA DE MERCADEO</v>
      </c>
    </row>
    <row r="3436" spans="1:5" ht="15.75" x14ac:dyDescent="0.25">
      <c r="A3436" s="10">
        <v>53089882</v>
      </c>
      <c r="B3436" s="2">
        <v>46085.779234837966</v>
      </c>
      <c r="C3436" s="3" t="str">
        <f>IFERROR(VLOOKUP(A3436,'Base Prueba'!A:C,3,),"NO REGISTRA")</f>
        <v>MARIA JOHANA ESCAMILLA MARTINEZ</v>
      </c>
      <c r="D3436" s="4" t="str">
        <f>IFERROR(VLOOKUP(A3436,'Base Prueba'!A:D,4,),"NO REGISTRA")</f>
        <v>PROMOTOR DE INFORMACIÓN</v>
      </c>
      <c r="E3436" s="5" t="str">
        <f>IFERROR(VLOOKUP(A3436,'Base Prueba'!A:E,5,),"NO REGISTRA")</f>
        <v>OFICINA DE MERCADEO</v>
      </c>
    </row>
    <row r="3437" spans="1:5" ht="15.75" x14ac:dyDescent="0.25">
      <c r="A3437" s="10">
        <v>1018413529</v>
      </c>
      <c r="B3437" s="2">
        <v>46085.779588541664</v>
      </c>
      <c r="C3437" s="3" t="str">
        <f>IFERROR(VLOOKUP(A3437,'Base Prueba'!A:C,3,),"NO REGISTRA")</f>
        <v>FRANCY STELLA CHARRY MORENO</v>
      </c>
      <c r="D3437" s="4" t="str">
        <f>IFERROR(VLOOKUP(A3437,'Base Prueba'!A:D,4,),"NO REGISTRA")</f>
        <v>PROMOTOR COMERCIAL DEL CEA</v>
      </c>
      <c r="E3437" s="5" t="str">
        <f>IFERROR(VLOOKUP(A3437,'Base Prueba'!A:E,5,),"NO REGISTRA")</f>
        <v>OFICINA DE MERCADEO</v>
      </c>
    </row>
    <row r="3438" spans="1:5" ht="15.75" x14ac:dyDescent="0.25">
      <c r="A3438" s="10">
        <v>1032407386</v>
      </c>
      <c r="B3438" s="2">
        <v>46085.781144675922</v>
      </c>
      <c r="C3438" s="3" t="str">
        <f>IFERROR(VLOOKUP(A3438,'Base Prueba'!A:C,3,),"NO REGISTRA")</f>
        <v>GINA PAOLA BAEZ GALVIS</v>
      </c>
      <c r="D3438" s="4" t="str">
        <f>IFERROR(VLOOKUP(A3438,'Base Prueba'!A:D,4,),"NO REGISTRA")</f>
        <v>PROMOTOR CALL CENTER</v>
      </c>
      <c r="E3438" s="5" t="str">
        <f>IFERROR(VLOOKUP(A3438,'Base Prueba'!A:E,5,),"NO REGISTRA")</f>
        <v>OFICINA DE MERCADEO</v>
      </c>
    </row>
    <row r="3439" spans="1:5" ht="15.75" x14ac:dyDescent="0.25">
      <c r="A3439" s="10">
        <v>1018414290</v>
      </c>
      <c r="B3439" s="2">
        <v>46085.781742939813</v>
      </c>
      <c r="C3439" s="3" t="str">
        <f>IFERROR(VLOOKUP(A3439,'Base Prueba'!A:C,3,),"NO REGISTRA")</f>
        <v>AMANDA LISBETH RODRIGUEZ LEON</v>
      </c>
      <c r="D3439" s="4" t="str">
        <f>IFERROR(VLOOKUP(A3439,'Base Prueba'!A:D,4,),"NO REGISTRA")</f>
        <v>PROMOTOR CALL CENTER</v>
      </c>
      <c r="E3439" s="5" t="str">
        <f>IFERROR(VLOOKUP(A3439,'Base Prueba'!A:E,5,),"NO REGISTRA")</f>
        <v>OFICINA DE MERCADEO</v>
      </c>
    </row>
    <row r="3440" spans="1:5" ht="15.75" x14ac:dyDescent="0.25">
      <c r="A3440" s="10">
        <v>6</v>
      </c>
      <c r="B3440" s="2">
        <v>46085.781746990739</v>
      </c>
      <c r="C3440" s="3" t="str">
        <f>IFERROR(VLOOKUP(A3440,'Base Prueba'!A:C,3,),"NO REGISTRA")</f>
        <v>NO REGISTRA</v>
      </c>
      <c r="D3440" s="4" t="str">
        <f>IFERROR(VLOOKUP(A3440,'Base Prueba'!A:D,4,),"NO REGISTRA")</f>
        <v>NO REGISTRA</v>
      </c>
      <c r="E3440" s="5" t="str">
        <f>IFERROR(VLOOKUP(A3440,'Base Prueba'!A:E,5,),"NO REGISTRA")</f>
        <v>NO REGISTRA</v>
      </c>
    </row>
    <row r="3441" spans="1:5" ht="15.75" x14ac:dyDescent="0.25">
      <c r="A3441" s="10">
        <v>80234243</v>
      </c>
      <c r="B3441" s="2">
        <v>46085.787434837963</v>
      </c>
      <c r="C3441" s="3" t="str">
        <f>IFERROR(VLOOKUP(A3441,'Base Prueba'!A:C,3,),"NO REGISTRA")</f>
        <v>ARGENIS MARTINEZ MARTINEZ</v>
      </c>
      <c r="D3441" s="4" t="str">
        <f>IFERROR(VLOOKUP(A3441,'Base Prueba'!A:D,4,),"NO REGISTRA")</f>
        <v>LIDER CALL CENTER</v>
      </c>
      <c r="E3441" s="5" t="str">
        <f>IFERROR(VLOOKUP(A3441,'Base Prueba'!A:E,5,),"NO REGISTRA")</f>
        <v>OFICINA DE MERCADEO</v>
      </c>
    </row>
    <row r="3442" spans="1:5" ht="15.75" x14ac:dyDescent="0.25">
      <c r="A3442" s="10">
        <v>1000324729</v>
      </c>
      <c r="B3442" s="2">
        <v>46085.792867824071</v>
      </c>
      <c r="C3442" s="3" t="str">
        <f>IFERROR(VLOOKUP(A3442,'Base Prueba'!A:C,3,),"NO REGISTRA")</f>
        <v>ANYIE VANESSA TINOCO CAMACHO</v>
      </c>
      <c r="D3442" s="4" t="str">
        <f>IFERROR(VLOOKUP(A3442,'Base Prueba'!A:D,4,),"NO REGISTRA")</f>
        <v>LIDER DE REGISTRO Y CONTROL</v>
      </c>
      <c r="E3442" s="5" t="str">
        <f>IFERROR(VLOOKUP(A3442,'Base Prueba'!A:E,5,),"NO REGISTRA")</f>
        <v>REGISTRO Y CONTROL ACADEMICO</v>
      </c>
    </row>
    <row r="3443" spans="1:5" ht="15.75" x14ac:dyDescent="0.25">
      <c r="A3443" s="10">
        <v>1013616244</v>
      </c>
      <c r="B3443" s="2">
        <v>46085.792879976849</v>
      </c>
      <c r="C3443" s="3" t="str">
        <f>IFERROR(VLOOKUP(A3443,'Base Prueba'!A:C,3,),"NO REGISTRA")</f>
        <v>DIANA CAROLINA MARIN BETANCOURT</v>
      </c>
      <c r="D3443" s="4" t="str">
        <f>IFERROR(VLOOKUP(A3443,'Base Prueba'!A:D,4,),"NO REGISTRA")</f>
        <v>AUXILIAR ADMINISTRATIVO</v>
      </c>
      <c r="E3443" s="5" t="str">
        <f>IFERROR(VLOOKUP(A3443,'Base Prueba'!A:E,5,),"NO REGISTRA")</f>
        <v>REGISTRO Y CONTROL ACADEMICO</v>
      </c>
    </row>
    <row r="3444" spans="1:5" ht="15.75" x14ac:dyDescent="0.25">
      <c r="A3444" s="10">
        <v>52474489</v>
      </c>
      <c r="B3444" s="2">
        <v>46085.796669212963</v>
      </c>
      <c r="C3444" s="3" t="str">
        <f>IFERROR(VLOOKUP(A3444,'Base Prueba'!A:C,3,),"NO REGISTRA")</f>
        <v>ADRIANA JIMENA SOTO BOCANEGRA</v>
      </c>
      <c r="D3444" s="4" t="str">
        <f>IFERROR(VLOOKUP(A3444,'Base Prueba'!A:D,4,),"NO REGISTRA")</f>
        <v>COORDINADOR DE LA OFICINA DE REGISTRO Y CONTROL</v>
      </c>
      <c r="E3444" s="5" t="str">
        <f>IFERROR(VLOOKUP(A3444,'Base Prueba'!A:E,5,),"NO REGISTRA")</f>
        <v>REGISTRO Y CONTROL ACADEMICO</v>
      </c>
    </row>
    <row r="3445" spans="1:5" ht="15.75" x14ac:dyDescent="0.25">
      <c r="A3445" s="10">
        <v>53932358</v>
      </c>
      <c r="B3445" s="2">
        <v>46085.800957407409</v>
      </c>
      <c r="C3445" s="3" t="str">
        <f>IFERROR(VLOOKUP(A3445,'Base Prueba'!A:C,3,),"NO REGISTRA")</f>
        <v>DIANA MADELEYNE GAONA RODRIGUEZ</v>
      </c>
      <c r="D3445" s="4" t="str">
        <f>IFERROR(VLOOKUP(A3445,'Base Prueba'!A:D,4,),"NO REGISTRA")</f>
        <v>CONTADOR</v>
      </c>
      <c r="E3445" s="5" t="str">
        <f>IFERROR(VLOOKUP(A3445,'Base Prueba'!A:E,5,),"NO REGISTRA")</f>
        <v>AREA FINANCIERA Y CONTABLE</v>
      </c>
    </row>
    <row r="3446" spans="1:5" ht="15.75" x14ac:dyDescent="0.25">
      <c r="A3446" s="10">
        <v>80238161</v>
      </c>
      <c r="B3446" s="2">
        <v>46085.803871875003</v>
      </c>
      <c r="C3446" s="3" t="str">
        <f>IFERROR(VLOOKUP(A3446,'Base Prueba'!A:C,3,),"NO REGISTRA")</f>
        <v>GERMAN CARRANZA ESPITIA</v>
      </c>
      <c r="D3446" s="4" t="str">
        <f>IFERROR(VLOOKUP(A3446,'Base Prueba'!A:D,4,),"NO REGISTRA")</f>
        <v>TESORERO</v>
      </c>
      <c r="E3446" s="5" t="str">
        <f>IFERROR(VLOOKUP(A3446,'Base Prueba'!A:E,5,),"NO REGISTRA")</f>
        <v>AREA FINANCIERA Y CONTABLE</v>
      </c>
    </row>
    <row r="3447" spans="1:5" ht="15.75" x14ac:dyDescent="0.25">
      <c r="A3447" s="10">
        <v>1000324729</v>
      </c>
      <c r="B3447" s="2">
        <v>46086.312465277777</v>
      </c>
      <c r="C3447" s="3" t="str">
        <f>IFERROR(VLOOKUP(A3447,'Base Prueba'!A:C,3,),"NO REGISTRA")</f>
        <v>ANYIE VANESSA TINOCO CAMACHO</v>
      </c>
      <c r="D3447" s="4" t="str">
        <f>IFERROR(VLOOKUP(A3447,'Base Prueba'!A:D,4,),"NO REGISTRA")</f>
        <v>LIDER DE REGISTRO Y CONTROL</v>
      </c>
      <c r="E3447" s="5" t="str">
        <f>IFERROR(VLOOKUP(A3447,'Base Prueba'!A:E,5,),"NO REGISTRA")</f>
        <v>REGISTRO Y CONTROL ACADEMICO</v>
      </c>
    </row>
    <row r="3448" spans="1:5" ht="15.75" x14ac:dyDescent="0.25">
      <c r="A3448" s="10">
        <v>1087121273</v>
      </c>
      <c r="B3448" s="2">
        <v>46086.314745833333</v>
      </c>
      <c r="C3448" s="3" t="str">
        <f>IFERROR(VLOOKUP(A3448,'Base Prueba'!A:C,3,),"NO REGISTRA")</f>
        <v>MAYRA ALEJANDRA CASTILLO ARBOLEDA</v>
      </c>
      <c r="D3448" s="4" t="str">
        <f>IFERROR(VLOOKUP(A3448,'Base Prueba'!A:D,4,),"NO REGISTRA")</f>
        <v>APOYO INTEGRAL DE MERCADEO</v>
      </c>
      <c r="E3448" s="5" t="str">
        <f>IFERROR(VLOOKUP(A3448,'Base Prueba'!A:E,5,),"NO REGISTRA")</f>
        <v>CENTRO DE GESTION DOCUMENTAL</v>
      </c>
    </row>
    <row r="3449" spans="1:5" ht="15.75" x14ac:dyDescent="0.25">
      <c r="A3449" s="10">
        <v>1013616244</v>
      </c>
      <c r="B3449" s="2">
        <v>46086.32245659722</v>
      </c>
      <c r="C3449" s="3" t="str">
        <f>IFERROR(VLOOKUP(A3449,'Base Prueba'!A:C,3,),"NO REGISTRA")</f>
        <v>DIANA CAROLINA MARIN BETANCOURT</v>
      </c>
      <c r="D3449" s="4" t="str">
        <f>IFERROR(VLOOKUP(A3449,'Base Prueba'!A:D,4,),"NO REGISTRA")</f>
        <v>AUXILIAR ADMINISTRATIVO</v>
      </c>
      <c r="E3449" s="5" t="str">
        <f>IFERROR(VLOOKUP(A3449,'Base Prueba'!A:E,5,),"NO REGISTRA")</f>
        <v>REGISTRO Y CONTROL ACADEMICO</v>
      </c>
    </row>
    <row r="3450" spans="1:5" ht="15.75" x14ac:dyDescent="0.25">
      <c r="A3450" s="10">
        <v>80725196</v>
      </c>
      <c r="B3450" s="2">
        <v>46086.324416203701</v>
      </c>
      <c r="C3450" s="3" t="str">
        <f>IFERROR(VLOOKUP(A3450,'Base Prueba'!A:C,3,),"NO REGISTRA")</f>
        <v>YEISON YOSET TOVAR BARBOSA</v>
      </c>
      <c r="D3450" s="4" t="str">
        <f>IFERROR(VLOOKUP(A3450,'Base Prueba'!A:D,4,),"NO REGISTRA")</f>
        <v>LIDER GESTION DOCUMENTAL</v>
      </c>
      <c r="E3450" s="5" t="str">
        <f>IFERROR(VLOOKUP(A3450,'Base Prueba'!A:E,5,),"NO REGISTRA")</f>
        <v>CENTRO DE GESTION DOCUMENTAL</v>
      </c>
    </row>
    <row r="3451" spans="1:5" ht="15.75" x14ac:dyDescent="0.25">
      <c r="A3451" s="10">
        <v>1010184333</v>
      </c>
      <c r="B3451" s="2">
        <v>46086.325570023146</v>
      </c>
      <c r="C3451" s="3" t="str">
        <f>IFERROR(VLOOKUP(A3451,'Base Prueba'!A:C,3,),"NO REGISTRA")</f>
        <v>AKON ANDRES GARZON ALVAREZ</v>
      </c>
      <c r="D3451" s="4" t="str">
        <f>IFERROR(VLOOKUP(A3451,'Base Prueba'!A:D,4,),"NO REGISTRA")</f>
        <v>APRENDIZ UNIVERSITARIO</v>
      </c>
      <c r="E3451" s="5" t="str">
        <f>IFERROR(VLOOKUP(A3451,'Base Prueba'!A:E,5,),"NO REGISTRA")</f>
        <v>SECRETARIA GENERAL</v>
      </c>
    </row>
    <row r="3452" spans="1:5" ht="15.75" x14ac:dyDescent="0.25">
      <c r="A3452" s="10">
        <v>1000593372</v>
      </c>
      <c r="B3452" s="2">
        <v>46086.334284375</v>
      </c>
      <c r="C3452" s="3" t="str">
        <f>IFERROR(VLOOKUP(A3452,'Base Prueba'!A:C,3,),"NO REGISTRA")</f>
        <v>LAURA SOFIA CHAPARRO LOPEZ</v>
      </c>
      <c r="D3452" s="4" t="str">
        <f>IFERROR(VLOOKUP(A3452,'Base Prueba'!A:D,4,),"NO REGISTRA")</f>
        <v>AUXILIAR JURIDICO</v>
      </c>
      <c r="E3452" s="5" t="str">
        <f>IFERROR(VLOOKUP(A3452,'Base Prueba'!A:E,5,),"NO REGISTRA")</f>
        <v>SECRETARIA GENERAL</v>
      </c>
    </row>
    <row r="3453" spans="1:5" ht="15.75" x14ac:dyDescent="0.25">
      <c r="A3453" s="10">
        <v>1000604979</v>
      </c>
      <c r="B3453" s="2">
        <v>46086.334319444446</v>
      </c>
      <c r="C3453" s="3" t="str">
        <f>IFERROR(VLOOKUP(A3453,'Base Prueba'!A:C,3,),"NO REGISTRA")</f>
        <v>JULIETH TATIANA PARDO PINTO</v>
      </c>
      <c r="D3453" s="4" t="str">
        <f>IFERROR(VLOOKUP(A3453,'Base Prueba'!A:D,4,),"NO REGISTRA")</f>
        <v>AUXILIAR JURIDICO</v>
      </c>
      <c r="E3453" s="5" t="str">
        <f>IFERROR(VLOOKUP(A3453,'Base Prueba'!A:E,5,),"NO REGISTRA")</f>
        <v>SECRETARIA GENERAL</v>
      </c>
    </row>
    <row r="3454" spans="1:5" ht="15.75" x14ac:dyDescent="0.25">
      <c r="A3454" s="10">
        <v>80238161</v>
      </c>
      <c r="B3454" s="2">
        <v>46086.335552430559</v>
      </c>
      <c r="C3454" s="3" t="str">
        <f>IFERROR(VLOOKUP(A3454,'Base Prueba'!A:C,3,),"NO REGISTRA")</f>
        <v>GERMAN CARRANZA ESPITIA</v>
      </c>
      <c r="D3454" s="4" t="str">
        <f>IFERROR(VLOOKUP(A3454,'Base Prueba'!A:D,4,),"NO REGISTRA")</f>
        <v>TESORERO</v>
      </c>
      <c r="E3454" s="5" t="str">
        <f>IFERROR(VLOOKUP(A3454,'Base Prueba'!A:E,5,),"NO REGISTRA")</f>
        <v>AREA FINANCIERA Y CONTABLE</v>
      </c>
    </row>
    <row r="3455" spans="1:5" ht="15.75" x14ac:dyDescent="0.25">
      <c r="A3455" s="10">
        <v>1031802160</v>
      </c>
      <c r="B3455" s="2">
        <v>46086.336298726848</v>
      </c>
      <c r="C3455" s="3" t="str">
        <f>IFERROR(VLOOKUP(A3455,'Base Prueba'!A:C,3,),"NO REGISTRA")</f>
        <v>LUISA MARIA MAHECHA SOTOMAYOR</v>
      </c>
      <c r="D3455" s="4" t="str">
        <f>IFERROR(VLOOKUP(A3455,'Base Prueba'!A:D,4,),"NO REGISTRA")</f>
        <v>APRENDIZ UNIVERSITARIO</v>
      </c>
      <c r="E3455" s="5" t="str">
        <f>IFERROR(VLOOKUP(A3455,'Base Prueba'!A:E,5,),"NO REGISTRA")</f>
        <v>OFICINA DE MERCADEO</v>
      </c>
    </row>
    <row r="3456" spans="1:5" ht="15.75" x14ac:dyDescent="0.25">
      <c r="A3456" s="10">
        <v>1000257136</v>
      </c>
      <c r="B3456" s="2">
        <v>46086.33633726852</v>
      </c>
      <c r="C3456" s="3" t="str">
        <f>IFERROR(VLOOKUP(A3456,'Base Prueba'!A:C,3,),"NO REGISTRA")</f>
        <v>FRANCI VALENTINA CANO PUENTES</v>
      </c>
      <c r="D3456" s="4" t="str">
        <f>IFERROR(VLOOKUP(A3456,'Base Prueba'!A:D,4,),"NO REGISTRA")</f>
        <v>AUXILIAR CONTABLE</v>
      </c>
      <c r="E3456" s="5" t="str">
        <f>IFERROR(VLOOKUP(A3456,'Base Prueba'!A:E,5,),"NO REGISTRA")</f>
        <v>AREA FINANCIERA Y CONTABLE</v>
      </c>
    </row>
    <row r="3457" spans="1:5" ht="15.75" x14ac:dyDescent="0.25">
      <c r="A3457" s="10">
        <v>1049644802</v>
      </c>
      <c r="B3457" s="2">
        <v>46086.337102083337</v>
      </c>
      <c r="C3457" s="3" t="str">
        <f>IFERROR(VLOOKUP(A3457,'Base Prueba'!A:C,3,),"NO REGISTRA")</f>
        <v>DANIELA ALEXANDRA CIPAMOCHA BOSIGA</v>
      </c>
      <c r="D3457" s="4" t="str">
        <f>IFERROR(VLOOKUP(A3457,'Base Prueba'!A:D,4,),"NO REGISTRA")</f>
        <v>LIDER DE DATOS Y SERVICIOS</v>
      </c>
      <c r="E3457" s="5" t="str">
        <f>IFERROR(VLOOKUP(A3457,'Base Prueba'!A:E,5,),"NO REGISTRA")</f>
        <v>OFICINA DE PLANEACION Y GESTION DE LA CALIDAD</v>
      </c>
    </row>
    <row r="3458" spans="1:5" ht="15.75" x14ac:dyDescent="0.25">
      <c r="A3458" s="10">
        <v>1014977624</v>
      </c>
      <c r="B3458" s="2">
        <v>46086.339366435182</v>
      </c>
      <c r="C3458" s="3" t="str">
        <f>IFERROR(VLOOKUP(A3458,'Base Prueba'!A:C,3,),"NO REGISTRA")</f>
        <v>NICCOLE VALENTINA HERNANDEZ MALAVER</v>
      </c>
      <c r="D3458" s="4" t="str">
        <f>IFERROR(VLOOKUP(A3458,'Base Prueba'!A:D,4,),"NO REGISTRA")</f>
        <v>APRENDIZ UNIVERSITARIO</v>
      </c>
      <c r="E3458" s="5" t="str">
        <f>IFERROR(VLOOKUP(A3458,'Base Prueba'!A:E,5,),"NO REGISTRA")</f>
        <v>AREA FINANCIERA Y CONTABLE</v>
      </c>
    </row>
    <row r="3459" spans="1:5" ht="15.75" x14ac:dyDescent="0.25">
      <c r="A3459" s="10">
        <v>53932358</v>
      </c>
      <c r="B3459" s="2">
        <v>46086.340351851853</v>
      </c>
      <c r="C3459" s="3" t="str">
        <f>IFERROR(VLOOKUP(A3459,'Base Prueba'!A:C,3,),"NO REGISTRA")</f>
        <v>DIANA MADELEYNE GAONA RODRIGUEZ</v>
      </c>
      <c r="D3459" s="4" t="str">
        <f>IFERROR(VLOOKUP(A3459,'Base Prueba'!A:D,4,),"NO REGISTRA")</f>
        <v>CONTADOR</v>
      </c>
      <c r="E3459" s="5" t="str">
        <f>IFERROR(VLOOKUP(A3459,'Base Prueba'!A:E,5,),"NO REGISTRA")</f>
        <v>AREA FINANCIERA Y CONTABLE</v>
      </c>
    </row>
    <row r="3460" spans="1:5" ht="15.75" x14ac:dyDescent="0.25">
      <c r="A3460" s="10">
        <v>1000457706</v>
      </c>
      <c r="B3460" s="2">
        <v>46086.341133449074</v>
      </c>
      <c r="C3460" s="3" t="str">
        <f>IFERROR(VLOOKUP(A3460,'Base Prueba'!A:C,3,),"NO REGISTRA")</f>
        <v>CRISTIAN DANILO ARROYO SANABRIA</v>
      </c>
      <c r="D3460" s="4" t="str">
        <f>IFERROR(VLOOKUP(A3460,'Base Prueba'!A:D,4,),"NO REGISTRA")</f>
        <v>AUXILIAR CONTABLE</v>
      </c>
      <c r="E3460" s="5" t="str">
        <f>IFERROR(VLOOKUP(A3460,'Base Prueba'!A:E,5,),"NO REGISTRA")</f>
        <v>AREA FINANCIERA Y CONTABLE</v>
      </c>
    </row>
    <row r="3461" spans="1:5" ht="15.75" x14ac:dyDescent="0.25">
      <c r="A3461" s="10">
        <v>1022996882</v>
      </c>
      <c r="B3461" s="2">
        <v>46086.342243171297</v>
      </c>
      <c r="C3461" s="3" t="str">
        <f>IFERROR(VLOOKUP(A3461,'Base Prueba'!A:C,3,),"NO REGISTRA")</f>
        <v>NANCY BRIGITH ALDANA GUEVARA</v>
      </c>
      <c r="D3461" s="4" t="str">
        <f>IFERROR(VLOOKUP(A3461,'Base Prueba'!A:D,4,),"NO REGISTRA")</f>
        <v>COORDINADORA DE GESTIÓN HUMANA</v>
      </c>
      <c r="E3461" s="5" t="str">
        <f>IFERROR(VLOOKUP(A3461,'Base Prueba'!A:E,5,),"NO REGISTRA")</f>
        <v>DEPARTAMENTO DE GESTION HUMANA</v>
      </c>
    </row>
    <row r="3462" spans="1:5" ht="15.75" x14ac:dyDescent="0.25">
      <c r="A3462" s="10">
        <v>1012357415</v>
      </c>
      <c r="B3462" s="2">
        <v>46086.344480439817</v>
      </c>
      <c r="C3462" s="3" t="str">
        <f>IFERROR(VLOOKUP(A3462,'Base Prueba'!A:C,3,),"NO REGISTRA")</f>
        <v>CINDY LORENA BOHORQUEZ LEYVA</v>
      </c>
      <c r="D3462" s="4" t="str">
        <f>IFERROR(VLOOKUP(A3462,'Base Prueba'!A:D,4,),"NO REGISTRA")</f>
        <v>ANALISTA DE TESORERIA</v>
      </c>
      <c r="E3462" s="5" t="str">
        <f>IFERROR(VLOOKUP(A3462,'Base Prueba'!A:E,5,),"NO REGISTRA")</f>
        <v>AREA FINANCIERA Y CONTABLE</v>
      </c>
    </row>
    <row r="3463" spans="1:5" ht="15.75" x14ac:dyDescent="0.25">
      <c r="A3463" s="10">
        <v>1193457976</v>
      </c>
      <c r="B3463" s="2">
        <v>46086.346501736109</v>
      </c>
      <c r="C3463" s="3" t="str">
        <f>IFERROR(VLOOKUP(A3463,'Base Prueba'!A:C,3,),"NO REGISTRA")</f>
        <v>SEDENIS RIVAS ASPRILLA</v>
      </c>
      <c r="D3463" s="4" t="str">
        <f>IFERROR(VLOOKUP(A3463,'Base Prueba'!A:D,4,),"NO REGISTRA")</f>
        <v>APRENDIZ UNIVERSITARIO</v>
      </c>
      <c r="E3463" s="5" t="str">
        <f>IFERROR(VLOOKUP(A3463,'Base Prueba'!A:E,5,),"NO REGISTRA")</f>
        <v>DEPARTAMENTO DE GESTION HUMANA</v>
      </c>
    </row>
    <row r="3464" spans="1:5" ht="15.75" x14ac:dyDescent="0.25">
      <c r="A3464" s="10">
        <v>1023883232</v>
      </c>
      <c r="B3464" s="2">
        <v>46086.357473495373</v>
      </c>
      <c r="C3464" s="3" t="str">
        <f>IFERROR(VLOOKUP(A3464,'Base Prueba'!A:C,3,),"NO REGISTRA")</f>
        <v>MONICA ANDREA ACERO URBANO</v>
      </c>
      <c r="D3464" s="4" t="str">
        <f>IFERROR(VLOOKUP(A3464,'Base Prueba'!A:D,4,),"NO REGISTRA")</f>
        <v>APOYO INTEGRAL A GESTION HUMANA</v>
      </c>
      <c r="E3464" s="5" t="str">
        <f>IFERROR(VLOOKUP(A3464,'Base Prueba'!A:E,5,),"NO REGISTRA")</f>
        <v>DEPARTAMENTO DE GESTION HUMANA</v>
      </c>
    </row>
    <row r="3465" spans="1:5" ht="15.75" x14ac:dyDescent="0.25">
      <c r="A3465" s="10">
        <v>1033709056</v>
      </c>
      <c r="B3465" s="2">
        <v>46086.35752766204</v>
      </c>
      <c r="C3465" s="3" t="str">
        <f>IFERROR(VLOOKUP(A3465,'Base Prueba'!A:C,3,),"NO REGISTRA")</f>
        <v>YEIMY ALEXANDRA RODRIGUEZ PALACIO</v>
      </c>
      <c r="D3465" s="4" t="str">
        <f>IFERROR(VLOOKUP(A3465,'Base Prueba'!A:D,4,),"NO REGISTRA")</f>
        <v>PROMOTOR CALL CENTER</v>
      </c>
      <c r="E3465" s="5" t="str">
        <f>IFERROR(VLOOKUP(A3465,'Base Prueba'!A:E,5,),"NO REGISTRA")</f>
        <v>OFICINA DE MERCADEO</v>
      </c>
    </row>
    <row r="3466" spans="1:5" ht="15.75" x14ac:dyDescent="0.25">
      <c r="A3466" s="10">
        <v>1003690253</v>
      </c>
      <c r="B3466" s="2">
        <v>46086.36238958333</v>
      </c>
      <c r="C3466" s="3" t="str">
        <f>IFERROR(VLOOKUP(A3466,'Base Prueba'!A:C,3,),"NO REGISTRA")</f>
        <v>MELISSA GONZALEZ PEDRAZA</v>
      </c>
      <c r="D3466" s="4" t="str">
        <f>IFERROR(VLOOKUP(A3466,'Base Prueba'!A:D,4,),"NO REGISTRA")</f>
        <v>LIDER DE JOVENES A LA E</v>
      </c>
      <c r="E3466" s="5" t="str">
        <f>IFERROR(VLOOKUP(A3466,'Base Prueba'!A:E,5,),"NO REGISTRA")</f>
        <v>DIRECCION DE BIENESTAR INSTITUCIONAL</v>
      </c>
    </row>
    <row r="3467" spans="1:5" ht="15.75" x14ac:dyDescent="0.25">
      <c r="A3467" s="10">
        <v>80191732</v>
      </c>
      <c r="B3467" s="2">
        <v>46086.362884953705</v>
      </c>
      <c r="C3467" s="3" t="str">
        <f>IFERROR(VLOOKUP(A3467,'Base Prueba'!A:C,3,),"NO REGISTRA")</f>
        <v>DANIEL MAURICIO ZAMBRANO TUNJANO</v>
      </c>
      <c r="D3467" s="4" t="str">
        <f>IFERROR(VLOOKUP(A3467,'Base Prueba'!A:D,4,),"NO REGISTRA")</f>
        <v>COORDINADOR DE DISEÑO E IMAGEN INSTITUCIONAL</v>
      </c>
      <c r="E3467" s="5" t="str">
        <f>IFERROR(VLOOKUP(A3467,'Base Prueba'!A:E,5,),"NO REGISTRA")</f>
        <v>OFICINA DE MERCADEO</v>
      </c>
    </row>
    <row r="3468" spans="1:5" ht="15.75" x14ac:dyDescent="0.25">
      <c r="A3468" s="10">
        <v>52472386</v>
      </c>
      <c r="B3468" s="2">
        <v>46086.363995486114</v>
      </c>
      <c r="C3468" s="3" t="str">
        <f>IFERROR(VLOOKUP(A3468,'Base Prueba'!A:C,3,),"NO REGISTRA")</f>
        <v>ADRIANA MARCELA MORALES PARDO</v>
      </c>
      <c r="D3468" s="4" t="str">
        <f>IFERROR(VLOOKUP(A3468,'Base Prueba'!A:D,4,),"NO REGISTRA")</f>
        <v>PROMOTOR CALL CENTER</v>
      </c>
      <c r="E3468" s="5" t="str">
        <f>IFERROR(VLOOKUP(A3468,'Base Prueba'!A:E,5,),"NO REGISTRA")</f>
        <v>OFICINA DE MERCADEO</v>
      </c>
    </row>
    <row r="3469" spans="1:5" ht="15.75" x14ac:dyDescent="0.25">
      <c r="A3469" s="10">
        <v>1032407386</v>
      </c>
      <c r="B3469" s="2">
        <v>46086.364396527781</v>
      </c>
      <c r="C3469" s="3" t="str">
        <f>IFERROR(VLOOKUP(A3469,'Base Prueba'!A:C,3,),"NO REGISTRA")</f>
        <v>GINA PAOLA BAEZ GALVIS</v>
      </c>
      <c r="D3469" s="4" t="str">
        <f>IFERROR(VLOOKUP(A3469,'Base Prueba'!A:D,4,),"NO REGISTRA")</f>
        <v>PROMOTOR CALL CENTER</v>
      </c>
      <c r="E3469" s="5" t="str">
        <f>IFERROR(VLOOKUP(A3469,'Base Prueba'!A:E,5,),"NO REGISTRA")</f>
        <v>OFICINA DE MERCADEO</v>
      </c>
    </row>
    <row r="3470" spans="1:5" ht="15.75" x14ac:dyDescent="0.25">
      <c r="A3470" s="10">
        <v>1018413529</v>
      </c>
      <c r="B3470" s="2">
        <v>46086.366774768518</v>
      </c>
      <c r="C3470" s="3" t="str">
        <f>IFERROR(VLOOKUP(A3470,'Base Prueba'!A:C,3,),"NO REGISTRA")</f>
        <v>FRANCY STELLA CHARRY MORENO</v>
      </c>
      <c r="D3470" s="4" t="str">
        <f>IFERROR(VLOOKUP(A3470,'Base Prueba'!A:D,4,),"NO REGISTRA")</f>
        <v>PROMOTOR COMERCIAL DEL CEA</v>
      </c>
      <c r="E3470" s="5" t="str">
        <f>IFERROR(VLOOKUP(A3470,'Base Prueba'!A:E,5,),"NO REGISTRA")</f>
        <v>OFICINA DE MERCADEO</v>
      </c>
    </row>
    <row r="3471" spans="1:5" ht="15.75" x14ac:dyDescent="0.25">
      <c r="A3471" s="10">
        <v>80234243</v>
      </c>
      <c r="B3471" s="2">
        <v>46086.369297916666</v>
      </c>
      <c r="C3471" s="3" t="str">
        <f>IFERROR(VLOOKUP(A3471,'Base Prueba'!A:C,3,),"NO REGISTRA")</f>
        <v>ARGENIS MARTINEZ MARTINEZ</v>
      </c>
      <c r="D3471" s="4" t="str">
        <f>IFERROR(VLOOKUP(A3471,'Base Prueba'!A:D,4,),"NO REGISTRA")</f>
        <v>LIDER CALL CENTER</v>
      </c>
      <c r="E3471" s="5" t="str">
        <f>IFERROR(VLOOKUP(A3471,'Base Prueba'!A:E,5,),"NO REGISTRA")</f>
        <v>OFICINA DE MERCADEO</v>
      </c>
    </row>
    <row r="3472" spans="1:5" ht="15.75" x14ac:dyDescent="0.25">
      <c r="A3472" s="10">
        <v>28798349</v>
      </c>
      <c r="B3472" s="2">
        <v>46086.370717708334</v>
      </c>
      <c r="C3472" s="3" t="str">
        <f>IFERROR(VLOOKUP(A3472,'Base Prueba'!A:C,3,),"NO REGISTRA")</f>
        <v>MARTHA ISABEL TOVAR WILLIAMS</v>
      </c>
      <c r="D3472" s="4" t="str">
        <f>IFERROR(VLOOKUP(A3472,'Base Prueba'!A:D,4,),"NO REGISTRA")</f>
        <v>PROMOTOR CALL CENTER</v>
      </c>
      <c r="E3472" s="5" t="str">
        <f>IFERROR(VLOOKUP(A3472,'Base Prueba'!A:E,5,),"NO REGISTRA")</f>
        <v>OFICINA DE MERCADEO</v>
      </c>
    </row>
    <row r="3473" spans="1:5" ht="15.75" x14ac:dyDescent="0.25">
      <c r="A3473" s="10">
        <v>1000046533</v>
      </c>
      <c r="B3473" s="2">
        <v>46086.372636111111</v>
      </c>
      <c r="C3473" s="3" t="str">
        <f>IFERROR(VLOOKUP(A3473,'Base Prueba'!A:C,3,),"NO REGISTRA")</f>
        <v>ERIKA JULIETH VALDERRAMA SANCHEZ</v>
      </c>
      <c r="D3473" s="4" t="str">
        <f>IFERROR(VLOOKUP(A3473,'Base Prueba'!A:D,4,),"NO REGISTRA")</f>
        <v>PROMOTOR CALL CENTER</v>
      </c>
      <c r="E3473" s="5" t="str">
        <f>IFERROR(VLOOKUP(A3473,'Base Prueba'!A:E,5,),"NO REGISTRA")</f>
        <v>OFICINA DE MERCADEO</v>
      </c>
    </row>
    <row r="3474" spans="1:5" ht="15.75" x14ac:dyDescent="0.25">
      <c r="A3474" s="10">
        <v>1014196857</v>
      </c>
      <c r="B3474" s="2">
        <v>46086.372976851853</v>
      </c>
      <c r="C3474" s="3" t="str">
        <f>IFERROR(VLOOKUP(A3474,'Base Prueba'!A:C,3,),"NO REGISTRA")</f>
        <v>CARLOS ANDRES JIMENEZ PARDO</v>
      </c>
      <c r="D3474" s="4" t="str">
        <f>IFERROR(VLOOKUP(A3474,'Base Prueba'!A:D,4,),"NO REGISTRA")</f>
        <v>COORDINADOR DE MARKETING DIGITAL</v>
      </c>
      <c r="E3474" s="5" t="str">
        <f>IFERROR(VLOOKUP(A3474,'Base Prueba'!A:E,5,),"NO REGISTRA")</f>
        <v>OFICINA DE MERCADEO</v>
      </c>
    </row>
    <row r="3475" spans="1:5" ht="15.75" x14ac:dyDescent="0.25">
      <c r="A3475" s="10">
        <v>53089882</v>
      </c>
      <c r="B3475" s="2">
        <v>46086.373753356478</v>
      </c>
      <c r="C3475" s="3" t="str">
        <f>IFERROR(VLOOKUP(A3475,'Base Prueba'!A:C,3,),"NO REGISTRA")</f>
        <v>MARIA JOHANA ESCAMILLA MARTINEZ</v>
      </c>
      <c r="D3475" s="4" t="str">
        <f>IFERROR(VLOOKUP(A3475,'Base Prueba'!A:D,4,),"NO REGISTRA")</f>
        <v>PROMOTOR DE INFORMACIÓN</v>
      </c>
      <c r="E3475" s="5" t="str">
        <f>IFERROR(VLOOKUP(A3475,'Base Prueba'!A:E,5,),"NO REGISTRA")</f>
        <v>OFICINA DE MERCADEO</v>
      </c>
    </row>
    <row r="3476" spans="1:5" ht="15.75" x14ac:dyDescent="0.25">
      <c r="A3476" s="10">
        <v>1016090131</v>
      </c>
      <c r="B3476" s="2">
        <v>46086.374714583333</v>
      </c>
      <c r="C3476" s="3" t="str">
        <f>IFERROR(VLOOKUP(A3476,'Base Prueba'!A:C,3,),"NO REGISTRA")</f>
        <v>NICOLAS RODRIGUEZ PACHECO</v>
      </c>
      <c r="D3476" s="4" t="str">
        <f>IFERROR(VLOOKUP(A3476,'Base Prueba'!A:D,4,),"NO REGISTRA")</f>
        <v>COORDINADOR DE COMUNICACIONES</v>
      </c>
      <c r="E3476" s="5" t="str">
        <f>IFERROR(VLOOKUP(A3476,'Base Prueba'!A:E,5,),"NO REGISTRA")</f>
        <v>OFICINA DE MERCADEO</v>
      </c>
    </row>
    <row r="3477" spans="1:5" ht="15.75" x14ac:dyDescent="0.25">
      <c r="A3477" s="10">
        <v>1023961952</v>
      </c>
      <c r="B3477" s="2">
        <v>46086.375518981484</v>
      </c>
      <c r="C3477" s="3" t="str">
        <f>IFERROR(VLOOKUP(A3477,'Base Prueba'!A:C,3,),"NO REGISTRA")</f>
        <v>ALEJANDRO PINZON MERCHAN</v>
      </c>
      <c r="D3477" s="4" t="str">
        <f>IFERROR(VLOOKUP(A3477,'Base Prueba'!A:D,4,),"NO REGISTRA")</f>
        <v>PROMOTOR CALL CENTER</v>
      </c>
      <c r="E3477" s="5" t="str">
        <f>IFERROR(VLOOKUP(A3477,'Base Prueba'!A:E,5,),"NO REGISTRA")</f>
        <v>OFICINA DE MERCADEO</v>
      </c>
    </row>
    <row r="3478" spans="1:5" ht="15.75" x14ac:dyDescent="0.25">
      <c r="A3478" s="10">
        <v>1012426741</v>
      </c>
      <c r="B3478" s="2">
        <v>46086.376349999999</v>
      </c>
      <c r="C3478" s="3" t="str">
        <f>IFERROR(VLOOKUP(A3478,'Base Prueba'!A:C,3,),"NO REGISTRA")</f>
        <v>CRISTIAN FABIAN ROJAS SANCENO</v>
      </c>
      <c r="D3478" s="4" t="str">
        <f>IFERROR(VLOOKUP(A3478,'Base Prueba'!A:D,4,),"NO REGISTRA")</f>
        <v>AUXILIAR DE REINTEGROS</v>
      </c>
      <c r="E3478" s="5" t="str">
        <f>IFERROR(VLOOKUP(A3478,'Base Prueba'!A:E,5,),"NO REGISTRA")</f>
        <v>DIRECCION DE BIENESTAR INSTITUCIONAL</v>
      </c>
    </row>
    <row r="3479" spans="1:5" ht="15.75" x14ac:dyDescent="0.25">
      <c r="A3479" s="10">
        <v>1019105003</v>
      </c>
      <c r="B3479" s="2">
        <v>46086.37894166667</v>
      </c>
      <c r="C3479" s="3" t="str">
        <f>IFERROR(VLOOKUP(A3479,'Base Prueba'!A:C,3,),"NO REGISTRA")</f>
        <v>DAISY JULIETH GASPAR MORENO</v>
      </c>
      <c r="D3479" s="4" t="str">
        <f>IFERROR(VLOOKUP(A3479,'Base Prueba'!A:D,4,),"NO REGISTRA")</f>
        <v>PROMOTOR CALL CENTER</v>
      </c>
      <c r="E3479" s="5" t="str">
        <f>IFERROR(VLOOKUP(A3479,'Base Prueba'!A:E,5,),"NO REGISTRA")</f>
        <v>OFICINA DE MERCADEO</v>
      </c>
    </row>
    <row r="3480" spans="1:5" ht="15.75" x14ac:dyDescent="0.25">
      <c r="A3480" s="10">
        <v>1018414290</v>
      </c>
      <c r="B3480" s="2">
        <v>46086.383707986111</v>
      </c>
      <c r="C3480" s="3" t="str">
        <f>IFERROR(VLOOKUP(A3480,'Base Prueba'!A:C,3,),"NO REGISTRA")</f>
        <v>AMANDA LISBETH RODRIGUEZ LEON</v>
      </c>
      <c r="D3480" s="4" t="str">
        <f>IFERROR(VLOOKUP(A3480,'Base Prueba'!A:D,4,),"NO REGISTRA")</f>
        <v>PROMOTOR CALL CENTER</v>
      </c>
      <c r="E3480" s="5" t="str">
        <f>IFERROR(VLOOKUP(A3480,'Base Prueba'!A:E,5,),"NO REGISTRA")</f>
        <v>OFICINA DE MERCADEO</v>
      </c>
    </row>
    <row r="3481" spans="1:5" ht="15.75" x14ac:dyDescent="0.25">
      <c r="A3481" s="10">
        <v>52175674</v>
      </c>
      <c r="B3481" s="2">
        <v>46086.384803356479</v>
      </c>
      <c r="C3481" s="3" t="str">
        <f>IFERROR(VLOOKUP(A3481,'Base Prueba'!A:C,3,),"NO REGISTRA")</f>
        <v>LUZ YANETH GOMEZ AREVALO</v>
      </c>
      <c r="D3481" s="4" t="str">
        <f>IFERROR(VLOOKUP(A3481,'Base Prueba'!A:D,4,),"NO REGISTRA")</f>
        <v>COORDINADORA DE ADMISIONES</v>
      </c>
      <c r="E3481" s="5" t="str">
        <f>IFERROR(VLOOKUP(A3481,'Base Prueba'!A:E,5,),"NO REGISTRA")</f>
        <v>OFICINA DE MERCADEO</v>
      </c>
    </row>
    <row r="3482" spans="1:5" ht="15.75" x14ac:dyDescent="0.25">
      <c r="A3482" s="10">
        <v>52764929</v>
      </c>
      <c r="B3482" s="2">
        <v>46086.392231597223</v>
      </c>
      <c r="C3482" s="3" t="str">
        <f>IFERROR(VLOOKUP(A3482,'Base Prueba'!A:C,3,),"NO REGISTRA")</f>
        <v>GUERLY YOHANA DURAN RIVERA</v>
      </c>
      <c r="D3482" s="4" t="str">
        <f>IFERROR(VLOOKUP(A3482,'Base Prueba'!A:D,4,),"NO REGISTRA")</f>
        <v>LIDER DE VINCULACION COLEGIOS</v>
      </c>
      <c r="E3482" s="5" t="str">
        <f>IFERROR(VLOOKUP(A3482,'Base Prueba'!A:E,5,),"NO REGISTRA")</f>
        <v>OFICINA DE MERCADEO</v>
      </c>
    </row>
    <row r="3483" spans="1:5" ht="15.75" x14ac:dyDescent="0.25">
      <c r="A3483" s="10">
        <v>1023898029</v>
      </c>
      <c r="B3483" s="2">
        <v>46086.399750925928</v>
      </c>
      <c r="C3483" s="3" t="str">
        <f>IFERROR(VLOOKUP(A3483,'Base Prueba'!A:C,3,),"NO REGISTRA")</f>
        <v>EMANUEL ENCISO CAMACHO</v>
      </c>
      <c r="D3483" s="4" t="str">
        <f>IFERROR(VLOOKUP(A3483,'Base Prueba'!A:D,4,),"NO REGISTRA")</f>
        <v>DECANO</v>
      </c>
      <c r="E3483" s="5" t="str">
        <f>IFERROR(VLOOKUP(A3483,'Base Prueba'!A:E,5,),"NO REGISTRA")</f>
        <v>FACULTAD DE COMINICACIÓN PERIODISMO Y ARTES</v>
      </c>
    </row>
    <row r="3484" spans="1:5" ht="15.75" x14ac:dyDescent="0.25">
      <c r="A3484" s="10">
        <v>1010184333</v>
      </c>
      <c r="B3484" s="2">
        <v>46086.489595370367</v>
      </c>
      <c r="C3484" s="3" t="str">
        <f>IFERROR(VLOOKUP(A3484,'Base Prueba'!A:C,3,),"NO REGISTRA")</f>
        <v>AKON ANDRES GARZON ALVAREZ</v>
      </c>
      <c r="D3484" s="4" t="str">
        <f>IFERROR(VLOOKUP(A3484,'Base Prueba'!A:D,4,),"NO REGISTRA")</f>
        <v>APRENDIZ UNIVERSITARIO</v>
      </c>
      <c r="E3484" s="5" t="str">
        <f>IFERROR(VLOOKUP(A3484,'Base Prueba'!A:E,5,),"NO REGISTRA")</f>
        <v>SECRETARIA GENERAL</v>
      </c>
    </row>
    <row r="3485" spans="1:5" ht="15.75" x14ac:dyDescent="0.25">
      <c r="A3485" s="10">
        <v>52443092</v>
      </c>
      <c r="B3485" s="2">
        <v>46086.578557754627</v>
      </c>
      <c r="C3485" s="3" t="str">
        <f>IFERROR(VLOOKUP(A3485,'Base Prueba'!A:C,3,),"NO REGISTRA")</f>
        <v>LUZ MYRIAM SAAVEDRA CONTRERAS</v>
      </c>
      <c r="D3485" s="4" t="str">
        <f>IFERROR(VLOOKUP(A3485,'Base Prueba'!A:D,4,),"NO REGISTRA")</f>
        <v>AUXILIAR DE SERVICIOS</v>
      </c>
      <c r="E3485" s="5" t="str">
        <f>IFERROR(VLOOKUP(A3485,'Base Prueba'!A:E,5,),"NO REGISTRA")</f>
        <v>LOGISTICA Y SERVICIOS GENERALES</v>
      </c>
    </row>
    <row r="3486" spans="1:5" ht="15.75" x14ac:dyDescent="0.25">
      <c r="A3486" s="10">
        <v>1031802160</v>
      </c>
      <c r="B3486" s="2">
        <v>46086.707420949075</v>
      </c>
      <c r="C3486" s="3" t="str">
        <f>IFERROR(VLOOKUP(A3486,'Base Prueba'!A:C,3,),"NO REGISTRA")</f>
        <v>LUISA MARIA MAHECHA SOTOMAYOR</v>
      </c>
      <c r="D3486" s="4" t="str">
        <f>IFERROR(VLOOKUP(A3486,'Base Prueba'!A:D,4,),"NO REGISTRA")</f>
        <v>APRENDIZ UNIVERSITARIO</v>
      </c>
      <c r="E3486" s="5" t="str">
        <f>IFERROR(VLOOKUP(A3486,'Base Prueba'!A:E,5,),"NO REGISTRA")</f>
        <v>OFICINA DE MERCADEO</v>
      </c>
    </row>
    <row r="3487" spans="1:5" ht="15.75" x14ac:dyDescent="0.25">
      <c r="A3487" s="10">
        <v>1024505434</v>
      </c>
      <c r="B3487" s="2">
        <v>46086.713365740739</v>
      </c>
      <c r="C3487" s="3" t="str">
        <f>IFERROR(VLOOKUP(A3487,'Base Prueba'!A:C,3,),"NO REGISTRA")</f>
        <v>CRISTIAN ALBERTO MELO TORRES</v>
      </c>
      <c r="D3487" s="4" t="str">
        <f>IFERROR(VLOOKUP(A3487,'Base Prueba'!A:D,4,),"NO REGISTRA")</f>
        <v>COORDINADOR DE INFRAESTRUCTURA</v>
      </c>
      <c r="E3487" s="5" t="str">
        <f>IFERROR(VLOOKUP(A3487,'Base Prueba'!A:E,5,),"NO REGISTRA")</f>
        <v>VICERRECTORIA ADMINISTRATIVA Y FINANCIERA</v>
      </c>
    </row>
    <row r="3488" spans="1:5" ht="15.75" x14ac:dyDescent="0.25">
      <c r="A3488" s="10">
        <v>80234243</v>
      </c>
      <c r="B3488" s="2">
        <v>46086.730335879627</v>
      </c>
      <c r="C3488" s="3" t="str">
        <f>IFERROR(VLOOKUP(A3488,'Base Prueba'!A:C,3,),"NO REGISTRA")</f>
        <v>ARGENIS MARTINEZ MARTINEZ</v>
      </c>
      <c r="D3488" s="4" t="str">
        <f>IFERROR(VLOOKUP(A3488,'Base Prueba'!A:D,4,),"NO REGISTRA")</f>
        <v>LIDER CALL CENTER</v>
      </c>
      <c r="E3488" s="5" t="str">
        <f>IFERROR(VLOOKUP(A3488,'Base Prueba'!A:E,5,),"NO REGISTRA")</f>
        <v>OFICINA DE MERCADEO</v>
      </c>
    </row>
    <row r="3489" spans="1:5" ht="15.75" x14ac:dyDescent="0.25">
      <c r="A3489" s="10">
        <v>1012426741</v>
      </c>
      <c r="B3489" s="2">
        <v>46086.750086111111</v>
      </c>
      <c r="C3489" s="3" t="str">
        <f>IFERROR(VLOOKUP(A3489,'Base Prueba'!A:C,3,),"NO REGISTRA")</f>
        <v>CRISTIAN FABIAN ROJAS SANCENO</v>
      </c>
      <c r="D3489" s="4" t="str">
        <f>IFERROR(VLOOKUP(A3489,'Base Prueba'!A:D,4,),"NO REGISTRA")</f>
        <v>AUXILIAR DE REINTEGROS</v>
      </c>
      <c r="E3489" s="5" t="str">
        <f>IFERROR(VLOOKUP(A3489,'Base Prueba'!A:E,5,),"NO REGISTRA")</f>
        <v>DIRECCION DE BIENESTAR INSTITUCIONAL</v>
      </c>
    </row>
    <row r="3490" spans="1:5" ht="15.75" x14ac:dyDescent="0.25">
      <c r="A3490" s="10">
        <v>52472386</v>
      </c>
      <c r="B3490" s="2">
        <v>46086.751998842592</v>
      </c>
      <c r="C3490" s="3" t="str">
        <f>IFERROR(VLOOKUP(A3490,'Base Prueba'!A:C,3,),"NO REGISTRA")</f>
        <v>ADRIANA MARCELA MORALES PARDO</v>
      </c>
      <c r="D3490" s="4" t="str">
        <f>IFERROR(VLOOKUP(A3490,'Base Prueba'!A:D,4,),"NO REGISTRA")</f>
        <v>PROMOTOR CALL CENTER</v>
      </c>
      <c r="E3490" s="5" t="str">
        <f>IFERROR(VLOOKUP(A3490,'Base Prueba'!A:E,5,),"NO REGISTRA")</f>
        <v>OFICINA DE MERCADEO</v>
      </c>
    </row>
    <row r="3491" spans="1:5" ht="15.75" x14ac:dyDescent="0.25">
      <c r="A3491" s="10">
        <v>1049644802</v>
      </c>
      <c r="B3491" s="2">
        <v>46086.754212615742</v>
      </c>
      <c r="C3491" s="3" t="str">
        <f>IFERROR(VLOOKUP(A3491,'Base Prueba'!A:C,3,),"NO REGISTRA")</f>
        <v>DANIELA ALEXANDRA CIPAMOCHA BOSIGA</v>
      </c>
      <c r="D3491" s="4" t="str">
        <f>IFERROR(VLOOKUP(A3491,'Base Prueba'!A:D,4,),"NO REGISTRA")</f>
        <v>LIDER DE DATOS Y SERVICIOS</v>
      </c>
      <c r="E3491" s="5" t="str">
        <f>IFERROR(VLOOKUP(A3491,'Base Prueba'!A:E,5,),"NO REGISTRA")</f>
        <v>OFICINA DE PLANEACION Y GESTION DE LA CALIDAD</v>
      </c>
    </row>
    <row r="3492" spans="1:5" ht="15.75" x14ac:dyDescent="0.25">
      <c r="A3492" s="10">
        <v>1000467399</v>
      </c>
      <c r="B3492" s="2">
        <v>46086.754467592589</v>
      </c>
      <c r="C3492" s="3" t="str">
        <f>IFERROR(VLOOKUP(A3492,'Base Prueba'!A:C,3,),"NO REGISTRA")</f>
        <v>BRANDO ESTIVEN DIAZ QUIMBAYA</v>
      </c>
      <c r="D3492" s="4" t="str">
        <f>IFERROR(VLOOKUP(A3492,'Base Prueba'!A:D,4,),"NO REGISTRA")</f>
        <v>APRENDIZ UNIVERSITARIO</v>
      </c>
      <c r="E3492" s="5" t="str">
        <f>IFERROR(VLOOKUP(A3492,'Base Prueba'!A:E,5,),"NO REGISTRA")</f>
        <v>DEPARTAMENTO DE GESTION HUMANA</v>
      </c>
    </row>
    <row r="3493" spans="1:5" ht="15.75" x14ac:dyDescent="0.25">
      <c r="A3493" s="10">
        <v>1193457976</v>
      </c>
      <c r="B3493" s="2">
        <v>46086.755747800926</v>
      </c>
      <c r="C3493" s="3" t="str">
        <f>IFERROR(VLOOKUP(A3493,'Base Prueba'!A:C,3,),"NO REGISTRA")</f>
        <v>SEDENIS RIVAS ASPRILLA</v>
      </c>
      <c r="D3493" s="4" t="str">
        <f>IFERROR(VLOOKUP(A3493,'Base Prueba'!A:D,4,),"NO REGISTRA")</f>
        <v>APRENDIZ UNIVERSITARIO</v>
      </c>
      <c r="E3493" s="5" t="str">
        <f>IFERROR(VLOOKUP(A3493,'Base Prueba'!A:E,5,),"NO REGISTRA")</f>
        <v>DEPARTAMENTO DE GESTION HUMANA</v>
      </c>
    </row>
    <row r="3494" spans="1:5" ht="15.75" x14ac:dyDescent="0.25">
      <c r="A3494" s="10">
        <v>1016090131</v>
      </c>
      <c r="B3494" s="2">
        <v>46086.756230671293</v>
      </c>
      <c r="C3494" s="3" t="str">
        <f>IFERROR(VLOOKUP(A3494,'Base Prueba'!A:C,3,),"NO REGISTRA")</f>
        <v>NICOLAS RODRIGUEZ PACHECO</v>
      </c>
      <c r="D3494" s="4" t="str">
        <f>IFERROR(VLOOKUP(A3494,'Base Prueba'!A:D,4,),"NO REGISTRA")</f>
        <v>COORDINADOR DE COMUNICACIONES</v>
      </c>
      <c r="E3494" s="5" t="str">
        <f>IFERROR(VLOOKUP(A3494,'Base Prueba'!A:E,5,),"NO REGISTRA")</f>
        <v>OFICINA DE MERCADEO</v>
      </c>
    </row>
    <row r="3495" spans="1:5" ht="15.75" x14ac:dyDescent="0.25">
      <c r="A3495" s="10">
        <v>1023883232</v>
      </c>
      <c r="B3495" s="2">
        <v>46086.756706250002</v>
      </c>
      <c r="C3495" s="3" t="str">
        <f>IFERROR(VLOOKUP(A3495,'Base Prueba'!A:C,3,),"NO REGISTRA")</f>
        <v>MONICA ANDREA ACERO URBANO</v>
      </c>
      <c r="D3495" s="4" t="str">
        <f>IFERROR(VLOOKUP(A3495,'Base Prueba'!A:D,4,),"NO REGISTRA")</f>
        <v>APOYO INTEGRAL A GESTION HUMANA</v>
      </c>
      <c r="E3495" s="5" t="str">
        <f>IFERROR(VLOOKUP(A3495,'Base Prueba'!A:E,5,),"NO REGISTRA")</f>
        <v>DEPARTAMENTO DE GESTION HUMANA</v>
      </c>
    </row>
    <row r="3496" spans="1:5" ht="15.75" x14ac:dyDescent="0.25">
      <c r="A3496" s="10">
        <v>1022996882</v>
      </c>
      <c r="B3496" s="2">
        <v>46086.75678935185</v>
      </c>
      <c r="C3496" s="3" t="str">
        <f>IFERROR(VLOOKUP(A3496,'Base Prueba'!A:C,3,),"NO REGISTRA")</f>
        <v>NANCY BRIGITH ALDANA GUEVARA</v>
      </c>
      <c r="D3496" s="4" t="str">
        <f>IFERROR(VLOOKUP(A3496,'Base Prueba'!A:D,4,),"NO REGISTRA")</f>
        <v>COORDINADORA DE GESTIÓN HUMANA</v>
      </c>
      <c r="E3496" s="5" t="str">
        <f>IFERROR(VLOOKUP(A3496,'Base Prueba'!A:E,5,),"NO REGISTRA")</f>
        <v>DEPARTAMENTO DE GESTION HUMANA</v>
      </c>
    </row>
    <row r="3497" spans="1:5" ht="15.75" x14ac:dyDescent="0.25">
      <c r="A3497" s="10">
        <v>1032407386</v>
      </c>
      <c r="B3497" s="2">
        <v>46086.756946296293</v>
      </c>
      <c r="C3497" s="3" t="str">
        <f>IFERROR(VLOOKUP(A3497,'Base Prueba'!A:C,3,),"NO REGISTRA")</f>
        <v>GINA PAOLA BAEZ GALVIS</v>
      </c>
      <c r="D3497" s="4" t="str">
        <f>IFERROR(VLOOKUP(A3497,'Base Prueba'!A:D,4,),"NO REGISTRA")</f>
        <v>PROMOTOR CALL CENTER</v>
      </c>
      <c r="E3497" s="5" t="str">
        <f>IFERROR(VLOOKUP(A3497,'Base Prueba'!A:E,5,),"NO REGISTRA")</f>
        <v>OFICINA DE MERCADEO</v>
      </c>
    </row>
    <row r="3498" spans="1:5" ht="15.75" x14ac:dyDescent="0.25">
      <c r="A3498" s="10">
        <v>1018414290</v>
      </c>
      <c r="B3498" s="2">
        <v>46086.757012615744</v>
      </c>
      <c r="C3498" s="3" t="str">
        <f>IFERROR(VLOOKUP(A3498,'Base Prueba'!A:C,3,),"NO REGISTRA")</f>
        <v>AMANDA LISBETH RODRIGUEZ LEON</v>
      </c>
      <c r="D3498" s="4" t="str">
        <f>IFERROR(VLOOKUP(A3498,'Base Prueba'!A:D,4,),"NO REGISTRA")</f>
        <v>PROMOTOR CALL CENTER</v>
      </c>
      <c r="E3498" s="5" t="str">
        <f>IFERROR(VLOOKUP(A3498,'Base Prueba'!A:E,5,),"NO REGISTRA")</f>
        <v>OFICINA DE MERCADEO</v>
      </c>
    </row>
    <row r="3499" spans="1:5" ht="15.75" x14ac:dyDescent="0.25">
      <c r="A3499" s="10">
        <v>1033709056</v>
      </c>
      <c r="B3499" s="2">
        <v>46086.757071412037</v>
      </c>
      <c r="C3499" s="3" t="str">
        <f>IFERROR(VLOOKUP(A3499,'Base Prueba'!A:C,3,),"NO REGISTRA")</f>
        <v>YEIMY ALEXANDRA RODRIGUEZ PALACIO</v>
      </c>
      <c r="D3499" s="4" t="str">
        <f>IFERROR(VLOOKUP(A3499,'Base Prueba'!A:D,4,),"NO REGISTRA")</f>
        <v>PROMOTOR CALL CENTER</v>
      </c>
      <c r="E3499" s="5" t="str">
        <f>IFERROR(VLOOKUP(A3499,'Base Prueba'!A:E,5,),"NO REGISTRA")</f>
        <v>OFICINA DE MERCADEO</v>
      </c>
    </row>
    <row r="3500" spans="1:5" ht="15.75" x14ac:dyDescent="0.25">
      <c r="A3500" s="10">
        <v>1003690253</v>
      </c>
      <c r="B3500" s="2">
        <v>46086.757129976853</v>
      </c>
      <c r="C3500" s="3" t="str">
        <f>IFERROR(VLOOKUP(A3500,'Base Prueba'!A:C,3,),"NO REGISTRA")</f>
        <v>MELISSA GONZALEZ PEDRAZA</v>
      </c>
      <c r="D3500" s="4" t="str">
        <f>IFERROR(VLOOKUP(A3500,'Base Prueba'!A:D,4,),"NO REGISTRA")</f>
        <v>LIDER DE JOVENES A LA E</v>
      </c>
      <c r="E3500" s="5" t="str">
        <f>IFERROR(VLOOKUP(A3500,'Base Prueba'!A:E,5,),"NO REGISTRA")</f>
        <v>DIRECCION DE BIENESTAR INSTITUCIONAL</v>
      </c>
    </row>
    <row r="3501" spans="1:5" ht="15.75" x14ac:dyDescent="0.25">
      <c r="A3501" s="10">
        <v>28798349</v>
      </c>
      <c r="B3501" s="2">
        <v>46086.757157523149</v>
      </c>
      <c r="C3501" s="3" t="str">
        <f>IFERROR(VLOOKUP(A3501,'Base Prueba'!A:C,3,),"NO REGISTRA")</f>
        <v>MARTHA ISABEL TOVAR WILLIAMS</v>
      </c>
      <c r="D3501" s="4" t="str">
        <f>IFERROR(VLOOKUP(A3501,'Base Prueba'!A:D,4,),"NO REGISTRA")</f>
        <v>PROMOTOR CALL CENTER</v>
      </c>
      <c r="E3501" s="5" t="str">
        <f>IFERROR(VLOOKUP(A3501,'Base Prueba'!A:E,5,),"NO REGISTRA")</f>
        <v>OFICINA DE MERCADEO</v>
      </c>
    </row>
    <row r="3502" spans="1:5" ht="15.75" x14ac:dyDescent="0.25">
      <c r="A3502" s="10">
        <v>1019105003</v>
      </c>
      <c r="B3502" s="2">
        <v>46086.757373379631</v>
      </c>
      <c r="C3502" s="3" t="str">
        <f>IFERROR(VLOOKUP(A3502,'Base Prueba'!A:C,3,),"NO REGISTRA")</f>
        <v>DAISY JULIETH GASPAR MORENO</v>
      </c>
      <c r="D3502" s="4" t="str">
        <f>IFERROR(VLOOKUP(A3502,'Base Prueba'!A:D,4,),"NO REGISTRA")</f>
        <v>PROMOTOR CALL CENTER</v>
      </c>
      <c r="E3502" s="5" t="str">
        <f>IFERROR(VLOOKUP(A3502,'Base Prueba'!A:E,5,),"NO REGISTRA")</f>
        <v>OFICINA DE MERCADEO</v>
      </c>
    </row>
    <row r="3503" spans="1:5" ht="15.75" x14ac:dyDescent="0.25">
      <c r="A3503" s="10">
        <v>1023961952</v>
      </c>
      <c r="B3503" s="2">
        <v>46086.757436689812</v>
      </c>
      <c r="C3503" s="3" t="str">
        <f>IFERROR(VLOOKUP(A3503,'Base Prueba'!A:C,3,),"NO REGISTRA")</f>
        <v>ALEJANDRO PINZON MERCHAN</v>
      </c>
      <c r="D3503" s="4" t="str">
        <f>IFERROR(VLOOKUP(A3503,'Base Prueba'!A:D,4,),"NO REGISTRA")</f>
        <v>PROMOTOR CALL CENTER</v>
      </c>
      <c r="E3503" s="5" t="str">
        <f>IFERROR(VLOOKUP(A3503,'Base Prueba'!A:E,5,),"NO REGISTRA")</f>
        <v>OFICINA DE MERCADEO</v>
      </c>
    </row>
    <row r="3504" spans="1:5" ht="15.75" x14ac:dyDescent="0.25">
      <c r="A3504" s="10">
        <v>1000046533</v>
      </c>
      <c r="B3504" s="2">
        <v>46086.757721412039</v>
      </c>
      <c r="C3504" s="3" t="str">
        <f>IFERROR(VLOOKUP(A3504,'Base Prueba'!A:C,3,),"NO REGISTRA")</f>
        <v>ERIKA JULIETH VALDERRAMA SANCHEZ</v>
      </c>
      <c r="D3504" s="4" t="str">
        <f>IFERROR(VLOOKUP(A3504,'Base Prueba'!A:D,4,),"NO REGISTRA")</f>
        <v>PROMOTOR CALL CENTER</v>
      </c>
      <c r="E3504" s="5" t="str">
        <f>IFERROR(VLOOKUP(A3504,'Base Prueba'!A:E,5,),"NO REGISTRA")</f>
        <v>OFICINA DE MERCADEO</v>
      </c>
    </row>
    <row r="3505" spans="1:5" ht="15.75" x14ac:dyDescent="0.25">
      <c r="A3505" s="10">
        <v>53089882</v>
      </c>
      <c r="B3505" s="2">
        <v>46086.758071990742</v>
      </c>
      <c r="C3505" s="3" t="str">
        <f>IFERROR(VLOOKUP(A3505,'Base Prueba'!A:C,3,),"NO REGISTRA")</f>
        <v>MARIA JOHANA ESCAMILLA MARTINEZ</v>
      </c>
      <c r="D3505" s="4" t="str">
        <f>IFERROR(VLOOKUP(A3505,'Base Prueba'!A:D,4,),"NO REGISTRA")</f>
        <v>PROMOTOR DE INFORMACIÓN</v>
      </c>
      <c r="E3505" s="5" t="str">
        <f>IFERROR(VLOOKUP(A3505,'Base Prueba'!A:E,5,),"NO REGISTRA")</f>
        <v>OFICINA DE MERCADEO</v>
      </c>
    </row>
    <row r="3506" spans="1:5" ht="15.75" x14ac:dyDescent="0.25">
      <c r="A3506" s="10">
        <v>6</v>
      </c>
      <c r="B3506" s="2">
        <v>46086.758187962965</v>
      </c>
      <c r="C3506" s="3" t="str">
        <f>IFERROR(VLOOKUP(A3506,'Base Prueba'!A:C,3,),"NO REGISTRA")</f>
        <v>NO REGISTRA</v>
      </c>
      <c r="D3506" s="4" t="str">
        <f>IFERROR(VLOOKUP(A3506,'Base Prueba'!A:D,4,),"NO REGISTRA")</f>
        <v>NO REGISTRA</v>
      </c>
      <c r="E3506" s="5" t="str">
        <f>IFERROR(VLOOKUP(A3506,'Base Prueba'!A:E,5,),"NO REGISTRA")</f>
        <v>NO REGISTRA</v>
      </c>
    </row>
    <row r="3507" spans="1:5" ht="15.75" x14ac:dyDescent="0.25">
      <c r="A3507" s="10">
        <v>1018413529</v>
      </c>
      <c r="B3507" s="2">
        <v>46086.758191203706</v>
      </c>
      <c r="C3507" s="3" t="str">
        <f>IFERROR(VLOOKUP(A3507,'Base Prueba'!A:C,3,),"NO REGISTRA")</f>
        <v>FRANCY STELLA CHARRY MORENO</v>
      </c>
      <c r="D3507" s="4" t="str">
        <f>IFERROR(VLOOKUP(A3507,'Base Prueba'!A:D,4,),"NO REGISTRA")</f>
        <v>PROMOTOR COMERCIAL DEL CEA</v>
      </c>
      <c r="E3507" s="5" t="str">
        <f>IFERROR(VLOOKUP(A3507,'Base Prueba'!A:E,5,),"NO REGISTRA")</f>
        <v>OFICINA DE MERCADEO</v>
      </c>
    </row>
    <row r="3508" spans="1:5" ht="15.75" x14ac:dyDescent="0.25">
      <c r="A3508" s="10">
        <v>1000324729</v>
      </c>
      <c r="B3508" s="2">
        <v>46086.758320138892</v>
      </c>
      <c r="C3508" s="3" t="str">
        <f>IFERROR(VLOOKUP(A3508,'Base Prueba'!A:C,3,),"NO REGISTRA")</f>
        <v>ANYIE VANESSA TINOCO CAMACHO</v>
      </c>
      <c r="D3508" s="4" t="str">
        <f>IFERROR(VLOOKUP(A3508,'Base Prueba'!A:D,4,),"NO REGISTRA")</f>
        <v>LIDER DE REGISTRO Y CONTROL</v>
      </c>
      <c r="E3508" s="5" t="str">
        <f>IFERROR(VLOOKUP(A3508,'Base Prueba'!A:E,5,),"NO REGISTRA")</f>
        <v>REGISTRO Y CONTROL ACADEMICO</v>
      </c>
    </row>
    <row r="3509" spans="1:5" ht="15.75" x14ac:dyDescent="0.25">
      <c r="A3509" s="10">
        <v>1014977624</v>
      </c>
      <c r="B3509" s="2">
        <v>46086.758561805553</v>
      </c>
      <c r="C3509" s="3" t="str">
        <f>IFERROR(VLOOKUP(A3509,'Base Prueba'!A:C,3,),"NO REGISTRA")</f>
        <v>NICCOLE VALENTINA HERNANDEZ MALAVER</v>
      </c>
      <c r="D3509" s="4" t="str">
        <f>IFERROR(VLOOKUP(A3509,'Base Prueba'!A:D,4,),"NO REGISTRA")</f>
        <v>APRENDIZ UNIVERSITARIO</v>
      </c>
      <c r="E3509" s="5" t="str">
        <f>IFERROR(VLOOKUP(A3509,'Base Prueba'!A:E,5,),"NO REGISTRA")</f>
        <v>AREA FINANCIERA Y CONTABLE</v>
      </c>
    </row>
    <row r="3510" spans="1:5" ht="15.75" x14ac:dyDescent="0.25">
      <c r="A3510" s="10">
        <v>1087121273</v>
      </c>
      <c r="B3510" s="2">
        <v>46086.759028125001</v>
      </c>
      <c r="C3510" s="3" t="str">
        <f>IFERROR(VLOOKUP(A3510,'Base Prueba'!A:C,3,),"NO REGISTRA")</f>
        <v>MAYRA ALEJANDRA CASTILLO ARBOLEDA</v>
      </c>
      <c r="D3510" s="4" t="str">
        <f>IFERROR(VLOOKUP(A3510,'Base Prueba'!A:D,4,),"NO REGISTRA")</f>
        <v>APOYO INTEGRAL DE MERCADEO</v>
      </c>
      <c r="E3510" s="5" t="str">
        <f>IFERROR(VLOOKUP(A3510,'Base Prueba'!A:E,5,),"NO REGISTRA")</f>
        <v>CENTRO DE GESTION DOCUMENTAL</v>
      </c>
    </row>
    <row r="3511" spans="1:5" ht="15.75" x14ac:dyDescent="0.25">
      <c r="A3511" s="10">
        <v>1000593372</v>
      </c>
      <c r="B3511" s="2">
        <v>46086.759674537039</v>
      </c>
      <c r="C3511" s="3" t="str">
        <f>IFERROR(VLOOKUP(A3511,'Base Prueba'!A:C,3,),"NO REGISTRA")</f>
        <v>LAURA SOFIA CHAPARRO LOPEZ</v>
      </c>
      <c r="D3511" s="4" t="str">
        <f>IFERROR(VLOOKUP(A3511,'Base Prueba'!A:D,4,),"NO REGISTRA")</f>
        <v>AUXILIAR JURIDICO</v>
      </c>
      <c r="E3511" s="5" t="str">
        <f>IFERROR(VLOOKUP(A3511,'Base Prueba'!A:E,5,),"NO REGISTRA")</f>
        <v>SECRETARIA GENERAL</v>
      </c>
    </row>
    <row r="3512" spans="1:5" ht="15.75" x14ac:dyDescent="0.25">
      <c r="A3512" s="10">
        <v>1000604979</v>
      </c>
      <c r="B3512" s="2">
        <v>46086.759698726855</v>
      </c>
      <c r="C3512" s="3" t="str">
        <f>IFERROR(VLOOKUP(A3512,'Base Prueba'!A:C,3,),"NO REGISTRA")</f>
        <v>JULIETH TATIANA PARDO PINTO</v>
      </c>
      <c r="D3512" s="4" t="str">
        <f>IFERROR(VLOOKUP(A3512,'Base Prueba'!A:D,4,),"NO REGISTRA")</f>
        <v>AUXILIAR JURIDICO</v>
      </c>
      <c r="E3512" s="5" t="str">
        <f>IFERROR(VLOOKUP(A3512,'Base Prueba'!A:E,5,),"NO REGISTRA")</f>
        <v>SECRETARIA GENERAL</v>
      </c>
    </row>
    <row r="3513" spans="1:5" ht="15.75" x14ac:dyDescent="0.25">
      <c r="A3513" s="10">
        <v>80191732</v>
      </c>
      <c r="B3513" s="2">
        <v>46086.760722106483</v>
      </c>
      <c r="C3513" s="3" t="str">
        <f>IFERROR(VLOOKUP(A3513,'Base Prueba'!A:C,3,),"NO REGISTRA")</f>
        <v>DANIEL MAURICIO ZAMBRANO TUNJANO</v>
      </c>
      <c r="D3513" s="4" t="str">
        <f>IFERROR(VLOOKUP(A3513,'Base Prueba'!A:D,4,),"NO REGISTRA")</f>
        <v>COORDINADOR DE DISEÑO E IMAGEN INSTITUCIONAL</v>
      </c>
      <c r="E3513" s="5" t="str">
        <f>IFERROR(VLOOKUP(A3513,'Base Prueba'!A:E,5,),"NO REGISTRA")</f>
        <v>OFICINA DE MERCADEO</v>
      </c>
    </row>
    <row r="3514" spans="1:5" ht="15.75" x14ac:dyDescent="0.25">
      <c r="A3514" s="10">
        <v>1012357415</v>
      </c>
      <c r="B3514" s="2">
        <v>46086.763383680554</v>
      </c>
      <c r="C3514" s="3" t="str">
        <f>IFERROR(VLOOKUP(A3514,'Base Prueba'!A:C,3,),"NO REGISTRA")</f>
        <v>CINDY LORENA BOHORQUEZ LEYVA</v>
      </c>
      <c r="D3514" s="4" t="str">
        <f>IFERROR(VLOOKUP(A3514,'Base Prueba'!A:D,4,),"NO REGISTRA")</f>
        <v>ANALISTA DE TESORERIA</v>
      </c>
      <c r="E3514" s="5" t="str">
        <f>IFERROR(VLOOKUP(A3514,'Base Prueba'!A:E,5,),"NO REGISTRA")</f>
        <v>AREA FINANCIERA Y CONTABLE</v>
      </c>
    </row>
    <row r="3515" spans="1:5" ht="15.75" x14ac:dyDescent="0.25">
      <c r="A3515" s="10">
        <v>80238161</v>
      </c>
      <c r="B3515" s="2">
        <v>46086.764263657409</v>
      </c>
      <c r="C3515" s="3" t="str">
        <f>IFERROR(VLOOKUP(A3515,'Base Prueba'!A:C,3,),"NO REGISTRA")</f>
        <v>GERMAN CARRANZA ESPITIA</v>
      </c>
      <c r="D3515" s="4" t="str">
        <f>IFERROR(VLOOKUP(A3515,'Base Prueba'!A:D,4,),"NO REGISTRA")</f>
        <v>TESORERO</v>
      </c>
      <c r="E3515" s="5" t="str">
        <f>IFERROR(VLOOKUP(A3515,'Base Prueba'!A:E,5,),"NO REGISTRA")</f>
        <v>AREA FINANCIERA Y CONTABLE</v>
      </c>
    </row>
    <row r="3516" spans="1:5" ht="15.75" x14ac:dyDescent="0.25">
      <c r="A3516" s="10">
        <v>1000457706</v>
      </c>
      <c r="B3516" s="2">
        <v>46086.767029513889</v>
      </c>
      <c r="C3516" s="3" t="str">
        <f>IFERROR(VLOOKUP(A3516,'Base Prueba'!A:C,3,),"NO REGISTRA")</f>
        <v>CRISTIAN DANILO ARROYO SANABRIA</v>
      </c>
      <c r="D3516" s="4" t="str">
        <f>IFERROR(VLOOKUP(A3516,'Base Prueba'!A:D,4,),"NO REGISTRA")</f>
        <v>AUXILIAR CONTABLE</v>
      </c>
      <c r="E3516" s="5" t="str">
        <f>IFERROR(VLOOKUP(A3516,'Base Prueba'!A:E,5,),"NO REGISTRA")</f>
        <v>AREA FINANCIERA Y CONTABLE</v>
      </c>
    </row>
    <row r="3517" spans="1:5" ht="15.75" x14ac:dyDescent="0.25">
      <c r="A3517" s="10">
        <v>1000257136</v>
      </c>
      <c r="B3517" s="2">
        <v>46086.76993923611</v>
      </c>
      <c r="C3517" s="3" t="str">
        <f>IFERROR(VLOOKUP(A3517,'Base Prueba'!A:C,3,),"NO REGISTRA")</f>
        <v>FRANCI VALENTINA CANO PUENTES</v>
      </c>
      <c r="D3517" s="4" t="str">
        <f>IFERROR(VLOOKUP(A3517,'Base Prueba'!A:D,4,),"NO REGISTRA")</f>
        <v>AUXILIAR CONTABLE</v>
      </c>
      <c r="E3517" s="5" t="str">
        <f>IFERROR(VLOOKUP(A3517,'Base Prueba'!A:E,5,),"NO REGISTRA")</f>
        <v>AREA FINANCIERA Y CONTABLE</v>
      </c>
    </row>
    <row r="3518" spans="1:5" ht="15.75" x14ac:dyDescent="0.25">
      <c r="A3518" s="10">
        <v>53932358</v>
      </c>
      <c r="B3518" s="2">
        <v>46086.787033217595</v>
      </c>
      <c r="C3518" s="3" t="str">
        <f>IFERROR(VLOOKUP(A3518,'Base Prueba'!A:C,3,),"NO REGISTRA")</f>
        <v>DIANA MADELEYNE GAONA RODRIGUEZ</v>
      </c>
      <c r="D3518" s="4" t="str">
        <f>IFERROR(VLOOKUP(A3518,'Base Prueba'!A:D,4,),"NO REGISTRA")</f>
        <v>CONTADOR</v>
      </c>
      <c r="E3518" s="5" t="str">
        <f>IFERROR(VLOOKUP(A3518,'Base Prueba'!A:E,5,),"NO REGISTRA")</f>
        <v>AREA FINANCIERA Y CONTABLE</v>
      </c>
    </row>
    <row r="3519" spans="1:5" ht="15.75" x14ac:dyDescent="0.25">
      <c r="A3519" s="10">
        <v>52474489</v>
      </c>
      <c r="B3519" s="2">
        <v>46086.801209722224</v>
      </c>
      <c r="C3519" s="3" t="str">
        <f>IFERROR(VLOOKUP(A3519,'Base Prueba'!A:C,3,),"NO REGISTRA")</f>
        <v>ADRIANA JIMENA SOTO BOCANEGRA</v>
      </c>
      <c r="D3519" s="4" t="str">
        <f>IFERROR(VLOOKUP(A3519,'Base Prueba'!A:D,4,),"NO REGISTRA")</f>
        <v>COORDINADOR DE LA OFICINA DE REGISTRO Y CONTROL</v>
      </c>
      <c r="E3519" s="5" t="str">
        <f>IFERROR(VLOOKUP(A3519,'Base Prueba'!A:E,5,),"NO REGISTRA")</f>
        <v>REGISTRO Y CONTROL ACADEMICO</v>
      </c>
    </row>
    <row r="3520" spans="1:5" ht="15.75" x14ac:dyDescent="0.25">
      <c r="A3520" s="10">
        <v>1013616244</v>
      </c>
      <c r="B3520" s="2">
        <v>46086.80491608796</v>
      </c>
      <c r="C3520" s="3" t="str">
        <f>IFERROR(VLOOKUP(A3520,'Base Prueba'!A:C,3,),"NO REGISTRA")</f>
        <v>DIANA CAROLINA MARIN BETANCOURT</v>
      </c>
      <c r="D3520" s="4" t="str">
        <f>IFERROR(VLOOKUP(A3520,'Base Prueba'!A:D,4,),"NO REGISTRA")</f>
        <v>AUXILIAR ADMINISTRATIVO</v>
      </c>
      <c r="E3520" s="5" t="str">
        <f>IFERROR(VLOOKUP(A3520,'Base Prueba'!A:E,5,),"NO REGISTRA")</f>
        <v>REGISTRO Y CONTROL ACADEMICO</v>
      </c>
    </row>
    <row r="3521" spans="1:5" ht="15.75" x14ac:dyDescent="0.25">
      <c r="A3521" s="10">
        <v>1013616244</v>
      </c>
      <c r="B3521" s="2">
        <v>46087.305241203707</v>
      </c>
      <c r="C3521" s="3" t="str">
        <f>IFERROR(VLOOKUP(A3521,'Base Prueba'!A:C,3,),"NO REGISTRA")</f>
        <v>DIANA CAROLINA MARIN BETANCOURT</v>
      </c>
      <c r="D3521" s="4" t="str">
        <f>IFERROR(VLOOKUP(A3521,'Base Prueba'!A:D,4,),"NO REGISTRA")</f>
        <v>AUXILIAR ADMINISTRATIVO</v>
      </c>
      <c r="E3521" s="5" t="str">
        <f>IFERROR(VLOOKUP(A3521,'Base Prueba'!A:E,5,),"NO REGISTRA")</f>
        <v>REGISTRO Y CONTROL ACADEMICO</v>
      </c>
    </row>
    <row r="3522" spans="1:5" ht="15.75" x14ac:dyDescent="0.25">
      <c r="A3522" s="10">
        <v>1087121273</v>
      </c>
      <c r="B3522" s="2">
        <v>46087.308270023146</v>
      </c>
      <c r="C3522" s="3" t="str">
        <f>IFERROR(VLOOKUP(A3522,'Base Prueba'!A:C,3,),"NO REGISTRA")</f>
        <v>MAYRA ALEJANDRA CASTILLO ARBOLEDA</v>
      </c>
      <c r="D3522" s="4" t="str">
        <f>IFERROR(VLOOKUP(A3522,'Base Prueba'!A:D,4,),"NO REGISTRA")</f>
        <v>APOYO INTEGRAL DE MERCADEO</v>
      </c>
      <c r="E3522" s="5" t="str">
        <f>IFERROR(VLOOKUP(A3522,'Base Prueba'!A:E,5,),"NO REGISTRA")</f>
        <v>CENTRO DE GESTION DOCUMENTAL</v>
      </c>
    </row>
    <row r="3523" spans="1:5" ht="15.75" x14ac:dyDescent="0.25">
      <c r="A3523" s="10">
        <v>1000257136</v>
      </c>
      <c r="B3523" s="2">
        <v>46087.321309143517</v>
      </c>
      <c r="C3523" s="3" t="str">
        <f>IFERROR(VLOOKUP(A3523,'Base Prueba'!A:C,3,),"NO REGISTRA")</f>
        <v>FRANCI VALENTINA CANO PUENTES</v>
      </c>
      <c r="D3523" s="4" t="str">
        <f>IFERROR(VLOOKUP(A3523,'Base Prueba'!A:D,4,),"NO REGISTRA")</f>
        <v>AUXILIAR CONTABLE</v>
      </c>
      <c r="E3523" s="5" t="str">
        <f>IFERROR(VLOOKUP(A3523,'Base Prueba'!A:E,5,),"NO REGISTRA")</f>
        <v>AREA FINANCIERA Y CONTABLE</v>
      </c>
    </row>
    <row r="3524" spans="1:5" ht="15.75" x14ac:dyDescent="0.25">
      <c r="A3524" s="10">
        <v>1000324729</v>
      </c>
      <c r="B3524" s="2">
        <v>46087.321385069445</v>
      </c>
      <c r="C3524" s="3" t="str">
        <f>IFERROR(VLOOKUP(A3524,'Base Prueba'!A:C,3,),"NO REGISTRA")</f>
        <v>ANYIE VANESSA TINOCO CAMACHO</v>
      </c>
      <c r="D3524" s="4" t="str">
        <f>IFERROR(VLOOKUP(A3524,'Base Prueba'!A:D,4,),"NO REGISTRA")</f>
        <v>LIDER DE REGISTRO Y CONTROL</v>
      </c>
      <c r="E3524" s="5" t="str">
        <f>IFERROR(VLOOKUP(A3524,'Base Prueba'!A:E,5,),"NO REGISTRA")</f>
        <v>REGISTRO Y CONTROL ACADEMICO</v>
      </c>
    </row>
    <row r="3525" spans="1:5" ht="15.75" x14ac:dyDescent="0.25">
      <c r="A3525" s="10">
        <v>1010184333</v>
      </c>
      <c r="B3525" s="2">
        <v>46087.323024305559</v>
      </c>
      <c r="C3525" s="3" t="str">
        <f>IFERROR(VLOOKUP(A3525,'Base Prueba'!A:C,3,),"NO REGISTRA")</f>
        <v>AKON ANDRES GARZON ALVAREZ</v>
      </c>
      <c r="D3525" s="4" t="str">
        <f>IFERROR(VLOOKUP(A3525,'Base Prueba'!A:D,4,),"NO REGISTRA")</f>
        <v>APRENDIZ UNIVERSITARIO</v>
      </c>
      <c r="E3525" s="5" t="str">
        <f>IFERROR(VLOOKUP(A3525,'Base Prueba'!A:E,5,),"NO REGISTRA")</f>
        <v>SECRETARIA GENERAL</v>
      </c>
    </row>
    <row r="3526" spans="1:5" ht="15.75" x14ac:dyDescent="0.25">
      <c r="A3526" s="10">
        <v>80725196</v>
      </c>
      <c r="B3526" s="2">
        <v>46087.324064814813</v>
      </c>
      <c r="C3526" s="3" t="str">
        <f>IFERROR(VLOOKUP(A3526,'Base Prueba'!A:C,3,),"NO REGISTRA")</f>
        <v>YEISON YOSET TOVAR BARBOSA</v>
      </c>
      <c r="D3526" s="4" t="str">
        <f>IFERROR(VLOOKUP(A3526,'Base Prueba'!A:D,4,),"NO REGISTRA")</f>
        <v>LIDER GESTION DOCUMENTAL</v>
      </c>
      <c r="E3526" s="5" t="str">
        <f>IFERROR(VLOOKUP(A3526,'Base Prueba'!A:E,5,),"NO REGISTRA")</f>
        <v>CENTRO DE GESTION DOCUMENTAL</v>
      </c>
    </row>
    <row r="3527" spans="1:5" ht="15.75" x14ac:dyDescent="0.25">
      <c r="A3527" s="10">
        <v>53932358</v>
      </c>
      <c r="B3527" s="2">
        <v>46087.325975462962</v>
      </c>
      <c r="C3527" s="3" t="str">
        <f>IFERROR(VLOOKUP(A3527,'Base Prueba'!A:C,3,),"NO REGISTRA")</f>
        <v>DIANA MADELEYNE GAONA RODRIGUEZ</v>
      </c>
      <c r="D3527" s="4" t="str">
        <f>IFERROR(VLOOKUP(A3527,'Base Prueba'!A:D,4,),"NO REGISTRA")</f>
        <v>CONTADOR</v>
      </c>
      <c r="E3527" s="5" t="str">
        <f>IFERROR(VLOOKUP(A3527,'Base Prueba'!A:E,5,),"NO REGISTRA")</f>
        <v>AREA FINANCIERA Y CONTABLE</v>
      </c>
    </row>
    <row r="3528" spans="1:5" ht="15.75" x14ac:dyDescent="0.25">
      <c r="A3528" s="10">
        <v>1003690253</v>
      </c>
      <c r="B3528" s="2">
        <v>46087.32667534722</v>
      </c>
      <c r="C3528" s="3" t="str">
        <f>IFERROR(VLOOKUP(A3528,'Base Prueba'!A:C,3,),"NO REGISTRA")</f>
        <v>MELISSA GONZALEZ PEDRAZA</v>
      </c>
      <c r="D3528" s="4" t="str">
        <f>IFERROR(VLOOKUP(A3528,'Base Prueba'!A:D,4,),"NO REGISTRA")</f>
        <v>LIDER DE JOVENES A LA E</v>
      </c>
      <c r="E3528" s="5" t="str">
        <f>IFERROR(VLOOKUP(A3528,'Base Prueba'!A:E,5,),"NO REGISTRA")</f>
        <v>DIRECCION DE BIENESTAR INSTITUCIONAL</v>
      </c>
    </row>
    <row r="3529" spans="1:5" ht="15.75" x14ac:dyDescent="0.25">
      <c r="A3529" s="10">
        <v>1031802160</v>
      </c>
      <c r="B3529" s="2">
        <v>46087.333234606478</v>
      </c>
      <c r="C3529" s="3" t="str">
        <f>IFERROR(VLOOKUP(A3529,'Base Prueba'!A:C,3,),"NO REGISTRA")</f>
        <v>LUISA MARIA MAHECHA SOTOMAYOR</v>
      </c>
      <c r="D3529" s="4" t="str">
        <f>IFERROR(VLOOKUP(A3529,'Base Prueba'!A:D,4,),"NO REGISTRA")</f>
        <v>APRENDIZ UNIVERSITARIO</v>
      </c>
      <c r="E3529" s="5" t="str">
        <f>IFERROR(VLOOKUP(A3529,'Base Prueba'!A:E,5,),"NO REGISTRA")</f>
        <v>OFICINA DE MERCADEO</v>
      </c>
    </row>
    <row r="3530" spans="1:5" ht="15.75" x14ac:dyDescent="0.25">
      <c r="A3530" s="10">
        <v>1022996882</v>
      </c>
      <c r="B3530" s="2">
        <v>46087.335848495371</v>
      </c>
      <c r="C3530" s="3" t="str">
        <f>IFERROR(VLOOKUP(A3530,'Base Prueba'!A:C,3,),"NO REGISTRA")</f>
        <v>NANCY BRIGITH ALDANA GUEVARA</v>
      </c>
      <c r="D3530" s="4" t="str">
        <f>IFERROR(VLOOKUP(A3530,'Base Prueba'!A:D,4,),"NO REGISTRA")</f>
        <v>COORDINADORA DE GESTIÓN HUMANA</v>
      </c>
      <c r="E3530" s="5" t="str">
        <f>IFERROR(VLOOKUP(A3530,'Base Prueba'!A:E,5,),"NO REGISTRA")</f>
        <v>DEPARTAMENTO DE GESTION HUMANA</v>
      </c>
    </row>
    <row r="3531" spans="1:5" ht="15.75" x14ac:dyDescent="0.25">
      <c r="A3531" s="10">
        <v>1032469638</v>
      </c>
      <c r="B3531" s="2">
        <v>46087.337381365738</v>
      </c>
      <c r="C3531" s="3" t="str">
        <f>IFERROR(VLOOKUP(A3531,'Base Prueba'!A:C,3,),"NO REGISTRA")</f>
        <v>MAICOL JARBEY GUALTEROS CASTAÑEDA</v>
      </c>
      <c r="D3531" s="4" t="str">
        <f>IFERROR(VLOOKUP(A3531,'Base Prueba'!A:D,4,),"NO REGISTRA")</f>
        <v>COORDINADOR DEL SISTEMA INTERNO DE ASEGURAMIENTO DE LA CALIDAD - SIAC</v>
      </c>
      <c r="E3531" s="5" t="str">
        <f>IFERROR(VLOOKUP(A3531,'Base Prueba'!A:E,5,),"NO REGISTRA")</f>
        <v>OFICINA DE PLANEACION Y GESTION DE LA CALIDAD</v>
      </c>
    </row>
    <row r="3532" spans="1:5" ht="15.75" x14ac:dyDescent="0.25">
      <c r="A3532" s="10">
        <v>1000457706</v>
      </c>
      <c r="B3532" s="2">
        <v>46087.341539930552</v>
      </c>
      <c r="C3532" s="3" t="str">
        <f>IFERROR(VLOOKUP(A3532,'Base Prueba'!A:C,3,),"NO REGISTRA")</f>
        <v>CRISTIAN DANILO ARROYO SANABRIA</v>
      </c>
      <c r="D3532" s="4" t="str">
        <f>IFERROR(VLOOKUP(A3532,'Base Prueba'!A:D,4,),"NO REGISTRA")</f>
        <v>AUXILIAR CONTABLE</v>
      </c>
      <c r="E3532" s="5" t="str">
        <f>IFERROR(VLOOKUP(A3532,'Base Prueba'!A:E,5,),"NO REGISTRA")</f>
        <v>AREA FINANCIERA Y CONTABLE</v>
      </c>
    </row>
    <row r="3533" spans="1:5" ht="15.75" x14ac:dyDescent="0.25">
      <c r="A3533" s="10">
        <v>80238161</v>
      </c>
      <c r="B3533" s="2">
        <v>46087.341808217592</v>
      </c>
      <c r="C3533" s="3" t="str">
        <f>IFERROR(VLOOKUP(A3533,'Base Prueba'!A:C,3,),"NO REGISTRA")</f>
        <v>GERMAN CARRANZA ESPITIA</v>
      </c>
      <c r="D3533" s="4" t="str">
        <f>IFERROR(VLOOKUP(A3533,'Base Prueba'!A:D,4,),"NO REGISTRA")</f>
        <v>TESORERO</v>
      </c>
      <c r="E3533" s="5" t="str">
        <f>IFERROR(VLOOKUP(A3533,'Base Prueba'!A:E,5,),"NO REGISTRA")</f>
        <v>AREA FINANCIERA Y CONTABLE</v>
      </c>
    </row>
    <row r="3534" spans="1:5" ht="15.75" x14ac:dyDescent="0.25">
      <c r="A3534" s="10">
        <v>1014977624</v>
      </c>
      <c r="B3534" s="2">
        <v>46087.342839583333</v>
      </c>
      <c r="C3534" s="3" t="str">
        <f>IFERROR(VLOOKUP(A3534,'Base Prueba'!A:C,3,),"NO REGISTRA")</f>
        <v>NICCOLE VALENTINA HERNANDEZ MALAVER</v>
      </c>
      <c r="D3534" s="4" t="str">
        <f>IFERROR(VLOOKUP(A3534,'Base Prueba'!A:D,4,),"NO REGISTRA")</f>
        <v>APRENDIZ UNIVERSITARIO</v>
      </c>
      <c r="E3534" s="5" t="str">
        <f>IFERROR(VLOOKUP(A3534,'Base Prueba'!A:E,5,),"NO REGISTRA")</f>
        <v>AREA FINANCIERA Y CONTABLE</v>
      </c>
    </row>
    <row r="3535" spans="1:5" ht="15.75" x14ac:dyDescent="0.25">
      <c r="A3535" s="10">
        <v>1012357415</v>
      </c>
      <c r="B3535" s="2">
        <v>46087.342931712963</v>
      </c>
      <c r="C3535" s="3" t="str">
        <f>IFERROR(VLOOKUP(A3535,'Base Prueba'!A:C,3,),"NO REGISTRA")</f>
        <v>CINDY LORENA BOHORQUEZ LEYVA</v>
      </c>
      <c r="D3535" s="4" t="str">
        <f>IFERROR(VLOOKUP(A3535,'Base Prueba'!A:D,4,),"NO REGISTRA")</f>
        <v>ANALISTA DE TESORERIA</v>
      </c>
      <c r="E3535" s="5" t="str">
        <f>IFERROR(VLOOKUP(A3535,'Base Prueba'!A:E,5,),"NO REGISTRA")</f>
        <v>AREA FINANCIERA Y CONTABLE</v>
      </c>
    </row>
    <row r="3536" spans="1:5" ht="15.75" x14ac:dyDescent="0.25">
      <c r="A3536" s="10">
        <v>1049644802</v>
      </c>
      <c r="B3536" s="2">
        <v>46087.342992939812</v>
      </c>
      <c r="C3536" s="3" t="str">
        <f>IFERROR(VLOOKUP(A3536,'Base Prueba'!A:C,3,),"NO REGISTRA")</f>
        <v>DANIELA ALEXANDRA CIPAMOCHA BOSIGA</v>
      </c>
      <c r="D3536" s="4" t="str">
        <f>IFERROR(VLOOKUP(A3536,'Base Prueba'!A:D,4,),"NO REGISTRA")</f>
        <v>LIDER DE DATOS Y SERVICIOS</v>
      </c>
      <c r="E3536" s="5" t="str">
        <f>IFERROR(VLOOKUP(A3536,'Base Prueba'!A:E,5,),"NO REGISTRA")</f>
        <v>OFICINA DE PLANEACION Y GESTION DE LA CALIDAD</v>
      </c>
    </row>
    <row r="3537" spans="1:5" ht="15.75" x14ac:dyDescent="0.25">
      <c r="A3537" s="10">
        <v>1193457976</v>
      </c>
      <c r="B3537" s="2">
        <v>46087.348158796296</v>
      </c>
      <c r="C3537" s="3" t="str">
        <f>IFERROR(VLOOKUP(A3537,'Base Prueba'!A:C,3,),"NO REGISTRA")</f>
        <v>SEDENIS RIVAS ASPRILLA</v>
      </c>
      <c r="D3537" s="4" t="str">
        <f>IFERROR(VLOOKUP(A3537,'Base Prueba'!A:D,4,),"NO REGISTRA")</f>
        <v>APRENDIZ UNIVERSITARIO</v>
      </c>
      <c r="E3537" s="5" t="str">
        <f>IFERROR(VLOOKUP(A3537,'Base Prueba'!A:E,5,),"NO REGISTRA")</f>
        <v>DEPARTAMENTO DE GESTION HUMANA</v>
      </c>
    </row>
    <row r="3538" spans="1:5" ht="15.75" x14ac:dyDescent="0.25">
      <c r="A3538" s="10">
        <v>1023883232</v>
      </c>
      <c r="B3538" s="2">
        <v>46087.348487384261</v>
      </c>
      <c r="C3538" s="3" t="str">
        <f>IFERROR(VLOOKUP(A3538,'Base Prueba'!A:C,3,),"NO REGISTRA")</f>
        <v>MONICA ANDREA ACERO URBANO</v>
      </c>
      <c r="D3538" s="4" t="str">
        <f>IFERROR(VLOOKUP(A3538,'Base Prueba'!A:D,4,),"NO REGISTRA")</f>
        <v>APOYO INTEGRAL A GESTION HUMANA</v>
      </c>
      <c r="E3538" s="5" t="str">
        <f>IFERROR(VLOOKUP(A3538,'Base Prueba'!A:E,5,),"NO REGISTRA")</f>
        <v>DEPARTAMENTO DE GESTION HUMANA</v>
      </c>
    </row>
    <row r="3539" spans="1:5" ht="15.75" x14ac:dyDescent="0.25">
      <c r="A3539" s="10">
        <v>1033709056</v>
      </c>
      <c r="B3539" s="2">
        <v>46087.355061458336</v>
      </c>
      <c r="C3539" s="3" t="str">
        <f>IFERROR(VLOOKUP(A3539,'Base Prueba'!A:C,3,),"NO REGISTRA")</f>
        <v>YEIMY ALEXANDRA RODRIGUEZ PALACIO</v>
      </c>
      <c r="D3539" s="4" t="str">
        <f>IFERROR(VLOOKUP(A3539,'Base Prueba'!A:D,4,),"NO REGISTRA")</f>
        <v>PROMOTOR CALL CENTER</v>
      </c>
      <c r="E3539" s="5" t="str">
        <f>IFERROR(VLOOKUP(A3539,'Base Prueba'!A:E,5,),"NO REGISTRA")</f>
        <v>OFICINA DE MERCADEO</v>
      </c>
    </row>
    <row r="3540" spans="1:5" ht="15.75" x14ac:dyDescent="0.25">
      <c r="A3540" s="10">
        <v>1000593372</v>
      </c>
      <c r="B3540" s="2">
        <v>46087.357249305554</v>
      </c>
      <c r="C3540" s="3" t="str">
        <f>IFERROR(VLOOKUP(A3540,'Base Prueba'!A:C,3,),"NO REGISTRA")</f>
        <v>LAURA SOFIA CHAPARRO LOPEZ</v>
      </c>
      <c r="D3540" s="4" t="str">
        <f>IFERROR(VLOOKUP(A3540,'Base Prueba'!A:D,4,),"NO REGISTRA")</f>
        <v>AUXILIAR JURIDICO</v>
      </c>
      <c r="E3540" s="5" t="str">
        <f>IFERROR(VLOOKUP(A3540,'Base Prueba'!A:E,5,),"NO REGISTRA")</f>
        <v>SECRETARIA GENERAL</v>
      </c>
    </row>
    <row r="3541" spans="1:5" ht="15.75" x14ac:dyDescent="0.25">
      <c r="A3541" s="10">
        <v>1000604979</v>
      </c>
      <c r="B3541" s="2">
        <v>46087.357297106479</v>
      </c>
      <c r="C3541" s="3" t="str">
        <f>IFERROR(VLOOKUP(A3541,'Base Prueba'!A:C,3,),"NO REGISTRA")</f>
        <v>JULIETH TATIANA PARDO PINTO</v>
      </c>
      <c r="D3541" s="4" t="str">
        <f>IFERROR(VLOOKUP(A3541,'Base Prueba'!A:D,4,),"NO REGISTRA")</f>
        <v>AUXILIAR JURIDICO</v>
      </c>
      <c r="E3541" s="5" t="str">
        <f>IFERROR(VLOOKUP(A3541,'Base Prueba'!A:E,5,),"NO REGISTRA")</f>
        <v>SECRETARIA GENERAL</v>
      </c>
    </row>
    <row r="3542" spans="1:5" ht="15.75" x14ac:dyDescent="0.25">
      <c r="A3542" s="10">
        <v>80234243</v>
      </c>
      <c r="B3542" s="2">
        <v>46087.362181712961</v>
      </c>
      <c r="C3542" s="3" t="str">
        <f>IFERROR(VLOOKUP(A3542,'Base Prueba'!A:C,3,),"NO REGISTRA")</f>
        <v>ARGENIS MARTINEZ MARTINEZ</v>
      </c>
      <c r="D3542" s="4" t="str">
        <f>IFERROR(VLOOKUP(A3542,'Base Prueba'!A:D,4,),"NO REGISTRA")</f>
        <v>LIDER CALL CENTER</v>
      </c>
      <c r="E3542" s="5" t="str">
        <f>IFERROR(VLOOKUP(A3542,'Base Prueba'!A:E,5,),"NO REGISTRA")</f>
        <v>OFICINA DE MERCADEO</v>
      </c>
    </row>
    <row r="3543" spans="1:5" ht="15.75" x14ac:dyDescent="0.25">
      <c r="A3543" s="10">
        <v>1032407386</v>
      </c>
      <c r="B3543" s="2">
        <v>46087.368762615741</v>
      </c>
      <c r="C3543" s="3" t="str">
        <f>IFERROR(VLOOKUP(A3543,'Base Prueba'!A:C,3,),"NO REGISTRA")</f>
        <v>GINA PAOLA BAEZ GALVIS</v>
      </c>
      <c r="D3543" s="4" t="str">
        <f>IFERROR(VLOOKUP(A3543,'Base Prueba'!A:D,4,),"NO REGISTRA")</f>
        <v>PROMOTOR CALL CENTER</v>
      </c>
      <c r="E3543" s="5" t="str">
        <f>IFERROR(VLOOKUP(A3543,'Base Prueba'!A:E,5,),"NO REGISTRA")</f>
        <v>OFICINA DE MERCADEO</v>
      </c>
    </row>
    <row r="3544" spans="1:5" ht="15.75" x14ac:dyDescent="0.25">
      <c r="A3544" s="10">
        <v>52472386</v>
      </c>
      <c r="B3544" s="2">
        <v>46087.368891550926</v>
      </c>
      <c r="C3544" s="3" t="str">
        <f>IFERROR(VLOOKUP(A3544,'Base Prueba'!A:C,3,),"NO REGISTRA")</f>
        <v>ADRIANA MARCELA MORALES PARDO</v>
      </c>
      <c r="D3544" s="4" t="str">
        <f>IFERROR(VLOOKUP(A3544,'Base Prueba'!A:D,4,),"NO REGISTRA")</f>
        <v>PROMOTOR CALL CENTER</v>
      </c>
      <c r="E3544" s="5" t="str">
        <f>IFERROR(VLOOKUP(A3544,'Base Prueba'!A:E,5,),"NO REGISTRA")</f>
        <v>OFICINA DE MERCADEO</v>
      </c>
    </row>
    <row r="3545" spans="1:5" ht="15.75" x14ac:dyDescent="0.25">
      <c r="A3545" s="10">
        <v>1012426741</v>
      </c>
      <c r="B3545" s="2">
        <v>46087.369993865737</v>
      </c>
      <c r="C3545" s="3" t="str">
        <f>IFERROR(VLOOKUP(A3545,'Base Prueba'!A:C,3,),"NO REGISTRA")</f>
        <v>CRISTIAN FABIAN ROJAS SANCENO</v>
      </c>
      <c r="D3545" s="4" t="str">
        <f>IFERROR(VLOOKUP(A3545,'Base Prueba'!A:D,4,),"NO REGISTRA")</f>
        <v>AUXILIAR DE REINTEGROS</v>
      </c>
      <c r="E3545" s="5" t="str">
        <f>IFERROR(VLOOKUP(A3545,'Base Prueba'!A:E,5,),"NO REGISTRA")</f>
        <v>DIRECCION DE BIENESTAR INSTITUCIONAL</v>
      </c>
    </row>
    <row r="3546" spans="1:5" ht="15.75" x14ac:dyDescent="0.25">
      <c r="A3546" s="10">
        <v>1000046533</v>
      </c>
      <c r="B3546" s="2">
        <v>46087.370269675928</v>
      </c>
      <c r="C3546" s="3" t="str">
        <f>IFERROR(VLOOKUP(A3546,'Base Prueba'!A:C,3,),"NO REGISTRA")</f>
        <v>ERIKA JULIETH VALDERRAMA SANCHEZ</v>
      </c>
      <c r="D3546" s="4" t="str">
        <f>IFERROR(VLOOKUP(A3546,'Base Prueba'!A:D,4,),"NO REGISTRA")</f>
        <v>PROMOTOR CALL CENTER</v>
      </c>
      <c r="E3546" s="5" t="str">
        <f>IFERROR(VLOOKUP(A3546,'Base Prueba'!A:E,5,),"NO REGISTRA")</f>
        <v>OFICINA DE MERCADEO</v>
      </c>
    </row>
    <row r="3547" spans="1:5" ht="15.75" x14ac:dyDescent="0.25">
      <c r="A3547" s="10">
        <v>1018413529</v>
      </c>
      <c r="B3547" s="2">
        <v>46087.371386574072</v>
      </c>
      <c r="C3547" s="3" t="str">
        <f>IFERROR(VLOOKUP(A3547,'Base Prueba'!A:C,3,),"NO REGISTRA")</f>
        <v>FRANCY STELLA CHARRY MORENO</v>
      </c>
      <c r="D3547" s="4" t="str">
        <f>IFERROR(VLOOKUP(A3547,'Base Prueba'!A:D,4,),"NO REGISTRA")</f>
        <v>PROMOTOR COMERCIAL DEL CEA</v>
      </c>
      <c r="E3547" s="5" t="str">
        <f>IFERROR(VLOOKUP(A3547,'Base Prueba'!A:E,5,),"NO REGISTRA")</f>
        <v>OFICINA DE MERCADEO</v>
      </c>
    </row>
    <row r="3548" spans="1:5" ht="15.75" x14ac:dyDescent="0.25">
      <c r="A3548" s="10">
        <v>1019105003</v>
      </c>
      <c r="B3548" s="2">
        <v>46087.375941666665</v>
      </c>
      <c r="C3548" s="3" t="str">
        <f>IFERROR(VLOOKUP(A3548,'Base Prueba'!A:C,3,),"NO REGISTRA")</f>
        <v>DAISY JULIETH GASPAR MORENO</v>
      </c>
      <c r="D3548" s="4" t="str">
        <f>IFERROR(VLOOKUP(A3548,'Base Prueba'!A:D,4,),"NO REGISTRA")</f>
        <v>PROMOTOR CALL CENTER</v>
      </c>
      <c r="E3548" s="5" t="str">
        <f>IFERROR(VLOOKUP(A3548,'Base Prueba'!A:E,5,),"NO REGISTRA")</f>
        <v>OFICINA DE MERCADEO</v>
      </c>
    </row>
    <row r="3549" spans="1:5" ht="15.75" x14ac:dyDescent="0.25">
      <c r="A3549" s="10">
        <v>1023961952</v>
      </c>
      <c r="B3549" s="2">
        <v>46087.37744895833</v>
      </c>
      <c r="C3549" s="3" t="str">
        <f>IFERROR(VLOOKUP(A3549,'Base Prueba'!A:C,3,),"NO REGISTRA")</f>
        <v>ALEJANDRO PINZON MERCHAN</v>
      </c>
      <c r="D3549" s="4" t="str">
        <f>IFERROR(VLOOKUP(A3549,'Base Prueba'!A:D,4,),"NO REGISTRA")</f>
        <v>PROMOTOR CALL CENTER</v>
      </c>
      <c r="E3549" s="5" t="str">
        <f>IFERROR(VLOOKUP(A3549,'Base Prueba'!A:E,5,),"NO REGISTRA")</f>
        <v>OFICINA DE MERCADEO</v>
      </c>
    </row>
    <row r="3550" spans="1:5" ht="15.75" x14ac:dyDescent="0.25">
      <c r="A3550" s="10">
        <v>1016090131</v>
      </c>
      <c r="B3550" s="2">
        <v>46087.378230439812</v>
      </c>
      <c r="C3550" s="3" t="str">
        <f>IFERROR(VLOOKUP(A3550,'Base Prueba'!A:C,3,),"NO REGISTRA")</f>
        <v>NICOLAS RODRIGUEZ PACHECO</v>
      </c>
      <c r="D3550" s="4" t="str">
        <f>IFERROR(VLOOKUP(A3550,'Base Prueba'!A:D,4,),"NO REGISTRA")</f>
        <v>COORDINADOR DE COMUNICACIONES</v>
      </c>
      <c r="E3550" s="5" t="str">
        <f>IFERROR(VLOOKUP(A3550,'Base Prueba'!A:E,5,),"NO REGISTRA")</f>
        <v>OFICINA DE MERCADEO</v>
      </c>
    </row>
    <row r="3551" spans="1:5" ht="15.75" x14ac:dyDescent="0.25">
      <c r="A3551" s="10">
        <v>6</v>
      </c>
      <c r="B3551" s="2">
        <v>46087.378392129627</v>
      </c>
      <c r="C3551" s="3" t="str">
        <f>IFERROR(VLOOKUP(A3551,'Base Prueba'!A:C,3,),"NO REGISTRA")</f>
        <v>NO REGISTRA</v>
      </c>
      <c r="D3551" s="4" t="str">
        <f>IFERROR(VLOOKUP(A3551,'Base Prueba'!A:D,4,),"NO REGISTRA")</f>
        <v>NO REGISTRA</v>
      </c>
      <c r="E3551" s="5" t="str">
        <f>IFERROR(VLOOKUP(A3551,'Base Prueba'!A:E,5,),"NO REGISTRA")</f>
        <v>NO REGISTRA</v>
      </c>
    </row>
    <row r="3552" spans="1:5" ht="15.75" x14ac:dyDescent="0.25">
      <c r="A3552" s="10">
        <v>1018414290</v>
      </c>
      <c r="B3552" s="2">
        <v>46087.378514004631</v>
      </c>
      <c r="C3552" s="3" t="str">
        <f>IFERROR(VLOOKUP(A3552,'Base Prueba'!A:C,3,),"NO REGISTRA")</f>
        <v>AMANDA LISBETH RODRIGUEZ LEON</v>
      </c>
      <c r="D3552" s="4" t="str">
        <f>IFERROR(VLOOKUP(A3552,'Base Prueba'!A:D,4,),"NO REGISTRA")</f>
        <v>PROMOTOR CALL CENTER</v>
      </c>
      <c r="E3552" s="5" t="str">
        <f>IFERROR(VLOOKUP(A3552,'Base Prueba'!A:E,5,),"NO REGISTRA")</f>
        <v>OFICINA DE MERCADEO</v>
      </c>
    </row>
    <row r="3553" spans="1:5" ht="15.75" x14ac:dyDescent="0.25">
      <c r="A3553" s="10">
        <v>53089882</v>
      </c>
      <c r="B3553" s="2">
        <v>46087.37919201389</v>
      </c>
      <c r="C3553" s="3" t="str">
        <f>IFERROR(VLOOKUP(A3553,'Base Prueba'!A:C,3,),"NO REGISTRA")</f>
        <v>MARIA JOHANA ESCAMILLA MARTINEZ</v>
      </c>
      <c r="D3553" s="4" t="str">
        <f>IFERROR(VLOOKUP(A3553,'Base Prueba'!A:D,4,),"NO REGISTRA")</f>
        <v>PROMOTOR DE INFORMACIÓN</v>
      </c>
      <c r="E3553" s="5" t="str">
        <f>IFERROR(VLOOKUP(A3553,'Base Prueba'!A:E,5,),"NO REGISTRA")</f>
        <v>OFICINA DE MERCADEO</v>
      </c>
    </row>
    <row r="3554" spans="1:5" ht="15.75" x14ac:dyDescent="0.25">
      <c r="A3554" s="10">
        <v>1193265768</v>
      </c>
      <c r="B3554" s="2">
        <v>46087.381832175925</v>
      </c>
      <c r="C3554" s="3" t="str">
        <f>IFERROR(VLOOKUP(A3554,'Base Prueba'!A:C,3,),"NO REGISTRA")</f>
        <v>SANTIAGO OSORIO CAMACHO</v>
      </c>
      <c r="D3554" s="4" t="str">
        <f>IFERROR(VLOOKUP(A3554,'Base Prueba'!A:D,4,),"NO REGISTRA")</f>
        <v>ANALISTA DE PAUTA</v>
      </c>
      <c r="E3554" s="5" t="str">
        <f>IFERROR(VLOOKUP(A3554,'Base Prueba'!A:E,5,),"NO REGISTRA")</f>
        <v>OFICINA DE MERCADEO</v>
      </c>
    </row>
    <row r="3555" spans="1:5" ht="15.75" x14ac:dyDescent="0.25">
      <c r="A3555" s="10">
        <v>52175674</v>
      </c>
      <c r="B3555" s="2">
        <v>46087.385712499999</v>
      </c>
      <c r="C3555" s="3" t="str">
        <f>IFERROR(VLOOKUP(A3555,'Base Prueba'!A:C,3,),"NO REGISTRA")</f>
        <v>LUZ YANETH GOMEZ AREVALO</v>
      </c>
      <c r="D3555" s="4" t="str">
        <f>IFERROR(VLOOKUP(A3555,'Base Prueba'!A:D,4,),"NO REGISTRA")</f>
        <v>COORDINADORA DE ADMISIONES</v>
      </c>
      <c r="E3555" s="5" t="str">
        <f>IFERROR(VLOOKUP(A3555,'Base Prueba'!A:E,5,),"NO REGISTRA")</f>
        <v>OFICINA DE MERCADEO</v>
      </c>
    </row>
    <row r="3556" spans="1:5" ht="15.75" x14ac:dyDescent="0.25">
      <c r="A3556" s="10">
        <v>28798349</v>
      </c>
      <c r="B3556" s="2">
        <v>46087.387185185187</v>
      </c>
      <c r="C3556" s="3" t="str">
        <f>IFERROR(VLOOKUP(A3556,'Base Prueba'!A:C,3,),"NO REGISTRA")</f>
        <v>MARTHA ISABEL TOVAR WILLIAMS</v>
      </c>
      <c r="D3556" s="4" t="str">
        <f>IFERROR(VLOOKUP(A3556,'Base Prueba'!A:D,4,),"NO REGISTRA")</f>
        <v>PROMOTOR CALL CENTER</v>
      </c>
      <c r="E3556" s="5" t="str">
        <f>IFERROR(VLOOKUP(A3556,'Base Prueba'!A:E,5,),"NO REGISTRA")</f>
        <v>OFICINA DE MERCADEO</v>
      </c>
    </row>
    <row r="3557" spans="1:5" ht="15.75" x14ac:dyDescent="0.25">
      <c r="A3557" s="10">
        <v>1003690253</v>
      </c>
      <c r="B3557" s="2">
        <v>46087.625317245373</v>
      </c>
      <c r="C3557" s="3" t="str">
        <f>IFERROR(VLOOKUP(A3557,'Base Prueba'!A:C,3,),"NO REGISTRA")</f>
        <v>MELISSA GONZALEZ PEDRAZA</v>
      </c>
      <c r="D3557" s="4" t="str">
        <f>IFERROR(VLOOKUP(A3557,'Base Prueba'!A:D,4,),"NO REGISTRA")</f>
        <v>LIDER DE JOVENES A LA E</v>
      </c>
      <c r="E3557" s="5" t="str">
        <f>IFERROR(VLOOKUP(A3557,'Base Prueba'!A:E,5,),"NO REGISTRA")</f>
        <v>DIRECCION DE BIENESTAR INSTITUCIONAL</v>
      </c>
    </row>
    <row r="3558" spans="1:5" ht="15.75" x14ac:dyDescent="0.25">
      <c r="A3558" s="10">
        <v>52175674</v>
      </c>
      <c r="B3558" s="2">
        <v>46087.666556365744</v>
      </c>
      <c r="C3558" s="3" t="str">
        <f>IFERROR(VLOOKUP(A3558,'Base Prueba'!A:C,3,),"NO REGISTRA")</f>
        <v>LUZ YANETH GOMEZ AREVALO</v>
      </c>
      <c r="D3558" s="4" t="str">
        <f>IFERROR(VLOOKUP(A3558,'Base Prueba'!A:D,4,),"NO REGISTRA")</f>
        <v>COORDINADORA DE ADMISIONES</v>
      </c>
      <c r="E3558" s="5" t="str">
        <f>IFERROR(VLOOKUP(A3558,'Base Prueba'!A:E,5,),"NO REGISTRA")</f>
        <v>OFICINA DE MERCADEO</v>
      </c>
    </row>
    <row r="3559" spans="1:5" ht="15.75" x14ac:dyDescent="0.25">
      <c r="A3559" s="10">
        <v>1031802160</v>
      </c>
      <c r="B3559" s="2">
        <v>46087.709260185184</v>
      </c>
      <c r="C3559" s="3" t="str">
        <f>IFERROR(VLOOKUP(A3559,'Base Prueba'!A:C,3,),"NO REGISTRA")</f>
        <v>LUISA MARIA MAHECHA SOTOMAYOR</v>
      </c>
      <c r="D3559" s="4" t="str">
        <f>IFERROR(VLOOKUP(A3559,'Base Prueba'!A:D,4,),"NO REGISTRA")</f>
        <v>APRENDIZ UNIVERSITARIO</v>
      </c>
      <c r="E3559" s="5" t="str">
        <f>IFERROR(VLOOKUP(A3559,'Base Prueba'!A:E,5,),"NO REGISTRA")</f>
        <v>OFICINA DE MERCADEO</v>
      </c>
    </row>
    <row r="3560" spans="1:5" ht="15.75" x14ac:dyDescent="0.25">
      <c r="A3560" s="10">
        <v>1000604979</v>
      </c>
      <c r="B3560" s="2">
        <v>46087.713072916667</v>
      </c>
      <c r="C3560" s="3" t="str">
        <f>IFERROR(VLOOKUP(A3560,'Base Prueba'!A:C,3,),"NO REGISTRA")</f>
        <v>JULIETH TATIANA PARDO PINTO</v>
      </c>
      <c r="D3560" s="4" t="str">
        <f>IFERROR(VLOOKUP(A3560,'Base Prueba'!A:D,4,),"NO REGISTRA")</f>
        <v>AUXILIAR JURIDICO</v>
      </c>
      <c r="E3560" s="5" t="str">
        <f>IFERROR(VLOOKUP(A3560,'Base Prueba'!A:E,5,),"NO REGISTRA")</f>
        <v>SECRETARIA GENERAL</v>
      </c>
    </row>
    <row r="3561" spans="1:5" ht="15.75" x14ac:dyDescent="0.25">
      <c r="A3561" s="10">
        <v>1000593372</v>
      </c>
      <c r="B3561" s="2">
        <v>46087.713093749997</v>
      </c>
      <c r="C3561" s="3" t="str">
        <f>IFERROR(VLOOKUP(A3561,'Base Prueba'!A:C,3,),"NO REGISTRA")</f>
        <v>LAURA SOFIA CHAPARRO LOPEZ</v>
      </c>
      <c r="D3561" s="4" t="str">
        <f>IFERROR(VLOOKUP(A3561,'Base Prueba'!A:D,4,),"NO REGISTRA")</f>
        <v>AUXILIAR JURIDICO</v>
      </c>
      <c r="E3561" s="5" t="str">
        <f>IFERROR(VLOOKUP(A3561,'Base Prueba'!A:E,5,),"NO REGISTRA")</f>
        <v>SECRETARIA GENERAL</v>
      </c>
    </row>
    <row r="3562" spans="1:5" ht="15.75" x14ac:dyDescent="0.25">
      <c r="A3562" s="10">
        <v>1010184333</v>
      </c>
      <c r="B3562" s="2">
        <v>46087.713161921296</v>
      </c>
      <c r="C3562" s="3" t="str">
        <f>IFERROR(VLOOKUP(A3562,'Base Prueba'!A:C,3,),"NO REGISTRA")</f>
        <v>AKON ANDRES GARZON ALVAREZ</v>
      </c>
      <c r="D3562" s="4" t="str">
        <f>IFERROR(VLOOKUP(A3562,'Base Prueba'!A:D,4,),"NO REGISTRA")</f>
        <v>APRENDIZ UNIVERSITARIO</v>
      </c>
      <c r="E3562" s="5" t="str">
        <f>IFERROR(VLOOKUP(A3562,'Base Prueba'!A:E,5,),"NO REGISTRA")</f>
        <v>SECRETARIA GENERAL</v>
      </c>
    </row>
    <row r="3563" spans="1:5" ht="15.75" x14ac:dyDescent="0.25">
      <c r="A3563" s="10">
        <v>1193457976</v>
      </c>
      <c r="B3563" s="2">
        <v>46087.714236111111</v>
      </c>
      <c r="C3563" s="3" t="str">
        <f>IFERROR(VLOOKUP(A3563,'Base Prueba'!A:C,3,),"NO REGISTRA")</f>
        <v>SEDENIS RIVAS ASPRILLA</v>
      </c>
      <c r="D3563" s="4" t="str">
        <f>IFERROR(VLOOKUP(A3563,'Base Prueba'!A:D,4,),"NO REGISTRA")</f>
        <v>APRENDIZ UNIVERSITARIO</v>
      </c>
      <c r="E3563" s="5" t="str">
        <f>IFERROR(VLOOKUP(A3563,'Base Prueba'!A:E,5,),"NO REGISTRA")</f>
        <v>DEPARTAMENTO DE GESTION HUMANA</v>
      </c>
    </row>
    <row r="3564" spans="1:5" ht="15.75" x14ac:dyDescent="0.25">
      <c r="A3564" s="10">
        <v>1032469638</v>
      </c>
      <c r="B3564" s="2">
        <v>46087.714331597221</v>
      </c>
      <c r="C3564" s="3" t="str">
        <f>IFERROR(VLOOKUP(A3564,'Base Prueba'!A:C,3,),"NO REGISTRA")</f>
        <v>MAICOL JARBEY GUALTEROS CASTAÑEDA</v>
      </c>
      <c r="D3564" s="4" t="str">
        <f>IFERROR(VLOOKUP(A3564,'Base Prueba'!A:D,4,),"NO REGISTRA")</f>
        <v>COORDINADOR DEL SISTEMA INTERNO DE ASEGURAMIENTO DE LA CALIDAD - SIAC</v>
      </c>
      <c r="E3564" s="5" t="str">
        <f>IFERROR(VLOOKUP(A3564,'Base Prueba'!A:E,5,),"NO REGISTRA")</f>
        <v>OFICINA DE PLANEACION Y GESTION DE LA CALIDAD</v>
      </c>
    </row>
    <row r="3565" spans="1:5" ht="15.75" x14ac:dyDescent="0.25">
      <c r="A3565" s="10">
        <v>1022996882</v>
      </c>
      <c r="B3565" s="2">
        <v>46087.71587511574</v>
      </c>
      <c r="C3565" s="3" t="str">
        <f>IFERROR(VLOOKUP(A3565,'Base Prueba'!A:C,3,),"NO REGISTRA")</f>
        <v>NANCY BRIGITH ALDANA GUEVARA</v>
      </c>
      <c r="D3565" s="4" t="str">
        <f>IFERROR(VLOOKUP(A3565,'Base Prueba'!A:D,4,),"NO REGISTRA")</f>
        <v>COORDINADORA DE GESTIÓN HUMANA</v>
      </c>
      <c r="E3565" s="5" t="str">
        <f>IFERROR(VLOOKUP(A3565,'Base Prueba'!A:E,5,),"NO REGISTRA")</f>
        <v>DEPARTAMENTO DE GESTION HUMANA</v>
      </c>
    </row>
    <row r="3566" spans="1:5" ht="15.75" x14ac:dyDescent="0.25">
      <c r="A3566" s="10">
        <v>1000467399</v>
      </c>
      <c r="B3566" s="2">
        <v>46087.716305787035</v>
      </c>
      <c r="C3566" s="3" t="str">
        <f>IFERROR(VLOOKUP(A3566,'Base Prueba'!A:C,3,),"NO REGISTRA")</f>
        <v>BRANDO ESTIVEN DIAZ QUIMBAYA</v>
      </c>
      <c r="D3566" s="4" t="str">
        <f>IFERROR(VLOOKUP(A3566,'Base Prueba'!A:D,4,),"NO REGISTRA")</f>
        <v>APRENDIZ UNIVERSITARIO</v>
      </c>
      <c r="E3566" s="5" t="str">
        <f>IFERROR(VLOOKUP(A3566,'Base Prueba'!A:E,5,),"NO REGISTRA")</f>
        <v>DEPARTAMENTO DE GESTION HUMANA</v>
      </c>
    </row>
    <row r="3567" spans="1:5" ht="15.75" x14ac:dyDescent="0.25">
      <c r="A3567" s="10">
        <v>1087121273</v>
      </c>
      <c r="B3567" s="2">
        <v>46087.716455671296</v>
      </c>
      <c r="C3567" s="3" t="str">
        <f>IFERROR(VLOOKUP(A3567,'Base Prueba'!A:C,3,),"NO REGISTRA")</f>
        <v>MAYRA ALEJANDRA CASTILLO ARBOLEDA</v>
      </c>
      <c r="D3567" s="4" t="str">
        <f>IFERROR(VLOOKUP(A3567,'Base Prueba'!A:D,4,),"NO REGISTRA")</f>
        <v>APOYO INTEGRAL DE MERCADEO</v>
      </c>
      <c r="E3567" s="5" t="str">
        <f>IFERROR(VLOOKUP(A3567,'Base Prueba'!A:E,5,),"NO REGISTRA")</f>
        <v>CENTRO DE GESTION DOCUMENTAL</v>
      </c>
    </row>
    <row r="3568" spans="1:5" ht="15.75" x14ac:dyDescent="0.25">
      <c r="A3568" s="10">
        <v>1049644802</v>
      </c>
      <c r="B3568" s="2">
        <v>46087.716478240742</v>
      </c>
      <c r="C3568" s="3" t="str">
        <f>IFERROR(VLOOKUP(A3568,'Base Prueba'!A:C,3,),"NO REGISTRA")</f>
        <v>DANIELA ALEXANDRA CIPAMOCHA BOSIGA</v>
      </c>
      <c r="D3568" s="4" t="str">
        <f>IFERROR(VLOOKUP(A3568,'Base Prueba'!A:D,4,),"NO REGISTRA")</f>
        <v>LIDER DE DATOS Y SERVICIOS</v>
      </c>
      <c r="E3568" s="5" t="str">
        <f>IFERROR(VLOOKUP(A3568,'Base Prueba'!A:E,5,),"NO REGISTRA")</f>
        <v>OFICINA DE PLANEACION Y GESTION DE LA CALIDAD</v>
      </c>
    </row>
    <row r="3569" spans="1:5" ht="15.75" x14ac:dyDescent="0.25">
      <c r="A3569" s="10">
        <v>53932358</v>
      </c>
      <c r="B3569" s="2">
        <v>46087.71727685185</v>
      </c>
      <c r="C3569" s="3" t="str">
        <f>IFERROR(VLOOKUP(A3569,'Base Prueba'!A:C,3,),"NO REGISTRA")</f>
        <v>DIANA MADELEYNE GAONA RODRIGUEZ</v>
      </c>
      <c r="D3569" s="4" t="str">
        <f>IFERROR(VLOOKUP(A3569,'Base Prueba'!A:D,4,),"NO REGISTRA")</f>
        <v>CONTADOR</v>
      </c>
      <c r="E3569" s="5" t="str">
        <f>IFERROR(VLOOKUP(A3569,'Base Prueba'!A:E,5,),"NO REGISTRA")</f>
        <v>AREA FINANCIERA Y CONTABLE</v>
      </c>
    </row>
    <row r="3570" spans="1:5" ht="15.75" x14ac:dyDescent="0.25">
      <c r="A3570" s="10">
        <v>1000457706</v>
      </c>
      <c r="B3570" s="2">
        <v>46087.717514004631</v>
      </c>
      <c r="C3570" s="3" t="str">
        <f>IFERROR(VLOOKUP(A3570,'Base Prueba'!A:C,3,),"NO REGISTRA")</f>
        <v>CRISTIAN DANILO ARROYO SANABRIA</v>
      </c>
      <c r="D3570" s="4" t="str">
        <f>IFERROR(VLOOKUP(A3570,'Base Prueba'!A:D,4,),"NO REGISTRA")</f>
        <v>AUXILIAR CONTABLE</v>
      </c>
      <c r="E3570" s="5" t="str">
        <f>IFERROR(VLOOKUP(A3570,'Base Prueba'!A:E,5,),"NO REGISTRA")</f>
        <v>AREA FINANCIERA Y CONTABLE</v>
      </c>
    </row>
    <row r="3571" spans="1:5" ht="15.75" x14ac:dyDescent="0.25">
      <c r="A3571" s="10">
        <v>1000257136</v>
      </c>
      <c r="B3571" s="2">
        <v>46087.717621180556</v>
      </c>
      <c r="C3571" s="3" t="str">
        <f>IFERROR(VLOOKUP(A3571,'Base Prueba'!A:C,3,),"NO REGISTRA")</f>
        <v>FRANCI VALENTINA CANO PUENTES</v>
      </c>
      <c r="D3571" s="4" t="str">
        <f>IFERROR(VLOOKUP(A3571,'Base Prueba'!A:D,4,),"NO REGISTRA")</f>
        <v>AUXILIAR CONTABLE</v>
      </c>
      <c r="E3571" s="5" t="str">
        <f>IFERROR(VLOOKUP(A3571,'Base Prueba'!A:E,5,),"NO REGISTRA")</f>
        <v>AREA FINANCIERA Y CONTABLE</v>
      </c>
    </row>
    <row r="3572" spans="1:5" ht="15.75" x14ac:dyDescent="0.25">
      <c r="A3572" s="10">
        <v>1014977624</v>
      </c>
      <c r="B3572" s="2">
        <v>46087.718530671293</v>
      </c>
      <c r="C3572" s="3" t="str">
        <f>IFERROR(VLOOKUP(A3572,'Base Prueba'!A:C,3,),"NO REGISTRA")</f>
        <v>NICCOLE VALENTINA HERNANDEZ MALAVER</v>
      </c>
      <c r="D3572" s="4" t="str">
        <f>IFERROR(VLOOKUP(A3572,'Base Prueba'!A:D,4,),"NO REGISTRA")</f>
        <v>APRENDIZ UNIVERSITARIO</v>
      </c>
      <c r="E3572" s="5" t="str">
        <f>IFERROR(VLOOKUP(A3572,'Base Prueba'!A:E,5,),"NO REGISTRA")</f>
        <v>AREA FINANCIERA Y CONTABLE</v>
      </c>
    </row>
    <row r="3573" spans="1:5" ht="15.75" x14ac:dyDescent="0.25">
      <c r="A3573" s="10">
        <v>1000324729</v>
      </c>
      <c r="B3573" s="2">
        <v>46087.736375</v>
      </c>
      <c r="C3573" s="3" t="str">
        <f>IFERROR(VLOOKUP(A3573,'Base Prueba'!A:C,3,),"NO REGISTRA")</f>
        <v>ANYIE VANESSA TINOCO CAMACHO</v>
      </c>
      <c r="D3573" s="4" t="str">
        <f>IFERROR(VLOOKUP(A3573,'Base Prueba'!A:D,4,),"NO REGISTRA")</f>
        <v>LIDER DE REGISTRO Y CONTROL</v>
      </c>
      <c r="E3573" s="5" t="str">
        <f>IFERROR(VLOOKUP(A3573,'Base Prueba'!A:E,5,),"NO REGISTRA")</f>
        <v>REGISTRO Y CONTROL ACADEMICO</v>
      </c>
    </row>
    <row r="3574" spans="1:5" ht="15.75" x14ac:dyDescent="0.25">
      <c r="A3574" s="10">
        <v>1012426741</v>
      </c>
      <c r="B3574" s="2">
        <v>46087.750063425927</v>
      </c>
      <c r="C3574" s="3" t="str">
        <f>IFERROR(VLOOKUP(A3574,'Base Prueba'!A:C,3,),"NO REGISTRA")</f>
        <v>CRISTIAN FABIAN ROJAS SANCENO</v>
      </c>
      <c r="D3574" s="4" t="str">
        <f>IFERROR(VLOOKUP(A3574,'Base Prueba'!A:D,4,),"NO REGISTRA")</f>
        <v>AUXILIAR DE REINTEGROS</v>
      </c>
      <c r="E3574" s="5" t="str">
        <f>IFERROR(VLOOKUP(A3574,'Base Prueba'!A:E,5,),"NO REGISTRA")</f>
        <v>DIRECCION DE BIENESTAR INSTITUCIONAL</v>
      </c>
    </row>
    <row r="3575" spans="1:5" ht="15.75" x14ac:dyDescent="0.25">
      <c r="A3575" s="10">
        <v>1000046533</v>
      </c>
      <c r="B3575" s="2">
        <v>46087.754654629629</v>
      </c>
      <c r="C3575" s="3" t="str">
        <f>IFERROR(VLOOKUP(A3575,'Base Prueba'!A:C,3,),"NO REGISTRA")</f>
        <v>ERIKA JULIETH VALDERRAMA SANCHEZ</v>
      </c>
      <c r="D3575" s="4" t="str">
        <f>IFERROR(VLOOKUP(A3575,'Base Prueba'!A:D,4,),"NO REGISTRA")</f>
        <v>PROMOTOR CALL CENTER</v>
      </c>
      <c r="E3575" s="5" t="str">
        <f>IFERROR(VLOOKUP(A3575,'Base Prueba'!A:E,5,),"NO REGISTRA")</f>
        <v>OFICINA DE MERCADEO</v>
      </c>
    </row>
    <row r="3576" spans="1:5" ht="15.75" x14ac:dyDescent="0.25">
      <c r="A3576" s="10">
        <v>1033709056</v>
      </c>
      <c r="B3576" s="2">
        <v>46087.759198148146</v>
      </c>
      <c r="C3576" s="3" t="str">
        <f>IFERROR(VLOOKUP(A3576,'Base Prueba'!A:C,3,),"NO REGISTRA")</f>
        <v>YEIMY ALEXANDRA RODRIGUEZ PALACIO</v>
      </c>
      <c r="D3576" s="4" t="str">
        <f>IFERROR(VLOOKUP(A3576,'Base Prueba'!A:D,4,),"NO REGISTRA")</f>
        <v>PROMOTOR CALL CENTER</v>
      </c>
      <c r="E3576" s="5" t="str">
        <f>IFERROR(VLOOKUP(A3576,'Base Prueba'!A:E,5,),"NO REGISTRA")</f>
        <v>OFICINA DE MERCADEO</v>
      </c>
    </row>
    <row r="3577" spans="1:5" ht="15.75" x14ac:dyDescent="0.25">
      <c r="A3577" s="10">
        <v>1019105003</v>
      </c>
      <c r="B3577" s="2">
        <v>46087.759420023147</v>
      </c>
      <c r="C3577" s="3" t="str">
        <f>IFERROR(VLOOKUP(A3577,'Base Prueba'!A:C,3,),"NO REGISTRA")</f>
        <v>DAISY JULIETH GASPAR MORENO</v>
      </c>
      <c r="D3577" s="4" t="str">
        <f>IFERROR(VLOOKUP(A3577,'Base Prueba'!A:D,4,),"NO REGISTRA")</f>
        <v>PROMOTOR CALL CENTER</v>
      </c>
      <c r="E3577" s="5" t="str">
        <f>IFERROR(VLOOKUP(A3577,'Base Prueba'!A:E,5,),"NO REGISTRA")</f>
        <v>OFICINA DE MERCADEO</v>
      </c>
    </row>
    <row r="3578" spans="1:5" ht="15.75" x14ac:dyDescent="0.25">
      <c r="A3578" s="10">
        <v>1023883232</v>
      </c>
      <c r="B3578" s="2">
        <v>46087.760797106479</v>
      </c>
      <c r="C3578" s="3" t="str">
        <f>IFERROR(VLOOKUP(A3578,'Base Prueba'!A:C,3,),"NO REGISTRA")</f>
        <v>MONICA ANDREA ACERO URBANO</v>
      </c>
      <c r="D3578" s="4" t="str">
        <f>IFERROR(VLOOKUP(A3578,'Base Prueba'!A:D,4,),"NO REGISTRA")</f>
        <v>APOYO INTEGRAL A GESTION HUMANA</v>
      </c>
      <c r="E3578" s="5" t="str">
        <f>IFERROR(VLOOKUP(A3578,'Base Prueba'!A:E,5,),"NO REGISTRA")</f>
        <v>DEPARTAMENTO DE GESTION HUMANA</v>
      </c>
    </row>
    <row r="3579" spans="1:5" ht="15.75" x14ac:dyDescent="0.25">
      <c r="A3579" s="10">
        <v>1012357415</v>
      </c>
      <c r="B3579" s="2">
        <v>46087.761430787039</v>
      </c>
      <c r="C3579" s="3" t="str">
        <f>IFERROR(VLOOKUP(A3579,'Base Prueba'!A:C,3,),"NO REGISTRA")</f>
        <v>CINDY LORENA BOHORQUEZ LEYVA</v>
      </c>
      <c r="D3579" s="4" t="str">
        <f>IFERROR(VLOOKUP(A3579,'Base Prueba'!A:D,4,),"NO REGISTRA")</f>
        <v>ANALISTA DE TESORERIA</v>
      </c>
      <c r="E3579" s="5" t="str">
        <f>IFERROR(VLOOKUP(A3579,'Base Prueba'!A:E,5,),"NO REGISTRA")</f>
        <v>AREA FINANCIERA Y CONTABLE</v>
      </c>
    </row>
    <row r="3580" spans="1:5" ht="15.75" x14ac:dyDescent="0.25">
      <c r="A3580" s="10">
        <v>53089882</v>
      </c>
      <c r="B3580" s="2">
        <v>46087.762624074072</v>
      </c>
      <c r="C3580" s="3" t="str">
        <f>IFERROR(VLOOKUP(A3580,'Base Prueba'!A:C,3,),"NO REGISTRA")</f>
        <v>MARIA JOHANA ESCAMILLA MARTINEZ</v>
      </c>
      <c r="D3580" s="4" t="str">
        <f>IFERROR(VLOOKUP(A3580,'Base Prueba'!A:D,4,),"NO REGISTRA")</f>
        <v>PROMOTOR DE INFORMACIÓN</v>
      </c>
      <c r="E3580" s="5" t="str">
        <f>IFERROR(VLOOKUP(A3580,'Base Prueba'!A:E,5,),"NO REGISTRA")</f>
        <v>OFICINA DE MERCADEO</v>
      </c>
    </row>
    <row r="3581" spans="1:5" ht="15.75" x14ac:dyDescent="0.25">
      <c r="A3581" s="10">
        <v>1018413529</v>
      </c>
      <c r="B3581" s="2">
        <v>46087.763632986112</v>
      </c>
      <c r="C3581" s="3" t="str">
        <f>IFERROR(VLOOKUP(A3581,'Base Prueba'!A:C,3,),"NO REGISTRA")</f>
        <v>FRANCY STELLA CHARRY MORENO</v>
      </c>
      <c r="D3581" s="4" t="str">
        <f>IFERROR(VLOOKUP(A3581,'Base Prueba'!A:D,4,),"NO REGISTRA")</f>
        <v>PROMOTOR COMERCIAL DEL CEA</v>
      </c>
      <c r="E3581" s="5" t="str">
        <f>IFERROR(VLOOKUP(A3581,'Base Prueba'!A:E,5,),"NO REGISTRA")</f>
        <v>OFICINA DE MERCADEO</v>
      </c>
    </row>
    <row r="3582" spans="1:5" ht="15.75" x14ac:dyDescent="0.25">
      <c r="A3582" s="10">
        <v>80238161</v>
      </c>
      <c r="B3582" s="2">
        <v>46087.764343750001</v>
      </c>
      <c r="C3582" s="3" t="str">
        <f>IFERROR(VLOOKUP(A3582,'Base Prueba'!A:C,3,),"NO REGISTRA")</f>
        <v>GERMAN CARRANZA ESPITIA</v>
      </c>
      <c r="D3582" s="4" t="str">
        <f>IFERROR(VLOOKUP(A3582,'Base Prueba'!A:D,4,),"NO REGISTRA")</f>
        <v>TESORERO</v>
      </c>
      <c r="E3582" s="5" t="str">
        <f>IFERROR(VLOOKUP(A3582,'Base Prueba'!A:E,5,),"NO REGISTRA")</f>
        <v>AREA FINANCIERA Y CONTABLE</v>
      </c>
    </row>
    <row r="3583" spans="1:5" ht="15.75" x14ac:dyDescent="0.25">
      <c r="A3583" s="10">
        <v>1023961952</v>
      </c>
      <c r="B3583" s="2">
        <v>46087.772219328705</v>
      </c>
      <c r="C3583" s="3" t="str">
        <f>IFERROR(VLOOKUP(A3583,'Base Prueba'!A:C,3,),"NO REGISTRA")</f>
        <v>ALEJANDRO PINZON MERCHAN</v>
      </c>
      <c r="D3583" s="4" t="str">
        <f>IFERROR(VLOOKUP(A3583,'Base Prueba'!A:D,4,),"NO REGISTRA")</f>
        <v>PROMOTOR CALL CENTER</v>
      </c>
      <c r="E3583" s="5" t="str">
        <f>IFERROR(VLOOKUP(A3583,'Base Prueba'!A:E,5,),"NO REGISTRA")</f>
        <v>OFICINA DE MERCADEO</v>
      </c>
    </row>
    <row r="3584" spans="1:5" ht="15.75" x14ac:dyDescent="0.25">
      <c r="A3584" s="10">
        <v>28798349</v>
      </c>
      <c r="B3584" s="2">
        <v>46087.772282986109</v>
      </c>
      <c r="C3584" s="3" t="str">
        <f>IFERROR(VLOOKUP(A3584,'Base Prueba'!A:C,3,),"NO REGISTRA")</f>
        <v>MARTHA ISABEL TOVAR WILLIAMS</v>
      </c>
      <c r="D3584" s="4" t="str">
        <f>IFERROR(VLOOKUP(A3584,'Base Prueba'!A:D,4,),"NO REGISTRA")</f>
        <v>PROMOTOR CALL CENTER</v>
      </c>
      <c r="E3584" s="5" t="str">
        <f>IFERROR(VLOOKUP(A3584,'Base Prueba'!A:E,5,),"NO REGISTRA")</f>
        <v>OFICINA DE MERCADEO</v>
      </c>
    </row>
    <row r="3585" spans="1:5" ht="15.75" x14ac:dyDescent="0.25">
      <c r="A3585" s="10">
        <v>1032407386</v>
      </c>
      <c r="B3585" s="2">
        <v>46087.77233472222</v>
      </c>
      <c r="C3585" s="3" t="str">
        <f>IFERROR(VLOOKUP(A3585,'Base Prueba'!A:C,3,),"NO REGISTRA")</f>
        <v>GINA PAOLA BAEZ GALVIS</v>
      </c>
      <c r="D3585" s="4" t="str">
        <f>IFERROR(VLOOKUP(A3585,'Base Prueba'!A:D,4,),"NO REGISTRA")</f>
        <v>PROMOTOR CALL CENTER</v>
      </c>
      <c r="E3585" s="5" t="str">
        <f>IFERROR(VLOOKUP(A3585,'Base Prueba'!A:E,5,),"NO REGISTRA")</f>
        <v>OFICINA DE MERCADEO</v>
      </c>
    </row>
    <row r="3586" spans="1:5" ht="15.75" x14ac:dyDescent="0.25">
      <c r="A3586" s="10">
        <v>1018414290</v>
      </c>
      <c r="B3586" s="2">
        <v>46087.772380671297</v>
      </c>
      <c r="C3586" s="3" t="str">
        <f>IFERROR(VLOOKUP(A3586,'Base Prueba'!A:C,3,),"NO REGISTRA")</f>
        <v>AMANDA LISBETH RODRIGUEZ LEON</v>
      </c>
      <c r="D3586" s="4" t="str">
        <f>IFERROR(VLOOKUP(A3586,'Base Prueba'!A:D,4,),"NO REGISTRA")</f>
        <v>PROMOTOR CALL CENTER</v>
      </c>
      <c r="E3586" s="5" t="str">
        <f>IFERROR(VLOOKUP(A3586,'Base Prueba'!A:E,5,),"NO REGISTRA")</f>
        <v>OFICINA DE MERCADEO</v>
      </c>
    </row>
    <row r="3587" spans="1:5" ht="15.75" x14ac:dyDescent="0.25">
      <c r="A3587" s="10">
        <v>80191732</v>
      </c>
      <c r="B3587" s="2">
        <v>46087.772456944447</v>
      </c>
      <c r="C3587" s="3" t="str">
        <f>IFERROR(VLOOKUP(A3587,'Base Prueba'!A:C,3,),"NO REGISTRA")</f>
        <v>DANIEL MAURICIO ZAMBRANO TUNJANO</v>
      </c>
      <c r="D3587" s="4" t="str">
        <f>IFERROR(VLOOKUP(A3587,'Base Prueba'!A:D,4,),"NO REGISTRA")</f>
        <v>COORDINADOR DE DISEÑO E IMAGEN INSTITUCIONAL</v>
      </c>
      <c r="E3587" s="5" t="str">
        <f>IFERROR(VLOOKUP(A3587,'Base Prueba'!A:E,5,),"NO REGISTRA")</f>
        <v>OFICINA DE MERCADEO</v>
      </c>
    </row>
    <row r="3588" spans="1:5" ht="15.75" x14ac:dyDescent="0.25">
      <c r="A3588" s="10">
        <v>1193265768</v>
      </c>
      <c r="B3588" s="2">
        <v>46087.774356365742</v>
      </c>
      <c r="C3588" s="3" t="str">
        <f>IFERROR(VLOOKUP(A3588,'Base Prueba'!A:C,3,),"NO REGISTRA")</f>
        <v>SANTIAGO OSORIO CAMACHO</v>
      </c>
      <c r="D3588" s="4" t="str">
        <f>IFERROR(VLOOKUP(A3588,'Base Prueba'!A:D,4,),"NO REGISTRA")</f>
        <v>ANALISTA DE PAUTA</v>
      </c>
      <c r="E3588" s="5" t="str">
        <f>IFERROR(VLOOKUP(A3588,'Base Prueba'!A:E,5,),"NO REGISTRA")</f>
        <v>OFICINA DE MERCADEO</v>
      </c>
    </row>
    <row r="3589" spans="1:5" ht="15.75" x14ac:dyDescent="0.25">
      <c r="A3589" s="10">
        <v>1016090131</v>
      </c>
      <c r="B3589" s="2">
        <v>46087.775494212961</v>
      </c>
      <c r="C3589" s="3" t="str">
        <f>IFERROR(VLOOKUP(A3589,'Base Prueba'!A:C,3,),"NO REGISTRA")</f>
        <v>NICOLAS RODRIGUEZ PACHECO</v>
      </c>
      <c r="D3589" s="4" t="str">
        <f>IFERROR(VLOOKUP(A3589,'Base Prueba'!A:D,4,),"NO REGISTRA")</f>
        <v>COORDINADOR DE COMUNICACIONES</v>
      </c>
      <c r="E3589" s="5" t="str">
        <f>IFERROR(VLOOKUP(A3589,'Base Prueba'!A:E,5,),"NO REGISTRA")</f>
        <v>OFICINA DE MERCADEO</v>
      </c>
    </row>
    <row r="3590" spans="1:5" ht="15.75" x14ac:dyDescent="0.25">
      <c r="A3590" s="10">
        <v>52472386</v>
      </c>
      <c r="B3590" s="2">
        <v>46087.791650347222</v>
      </c>
      <c r="C3590" s="3" t="str">
        <f>IFERROR(VLOOKUP(A3590,'Base Prueba'!A:C,3,),"NO REGISTRA")</f>
        <v>ADRIANA MARCELA MORALES PARDO</v>
      </c>
      <c r="D3590" s="4" t="str">
        <f>IFERROR(VLOOKUP(A3590,'Base Prueba'!A:D,4,),"NO REGISTRA")</f>
        <v>PROMOTOR CALL CENTER</v>
      </c>
      <c r="E3590" s="5" t="str">
        <f>IFERROR(VLOOKUP(A3590,'Base Prueba'!A:E,5,),"NO REGISTRA")</f>
        <v>OFICINA DE MERCADEO</v>
      </c>
    </row>
    <row r="3591" spans="1:5" ht="15.75" x14ac:dyDescent="0.25">
      <c r="A3591" s="10">
        <v>1013616244</v>
      </c>
      <c r="B3591" s="2">
        <v>46087.80030289352</v>
      </c>
      <c r="C3591" s="3" t="str">
        <f>IFERROR(VLOOKUP(A3591,'Base Prueba'!A:C,3,),"NO REGISTRA")</f>
        <v>DIANA CAROLINA MARIN BETANCOURT</v>
      </c>
      <c r="D3591" s="4" t="str">
        <f>IFERROR(VLOOKUP(A3591,'Base Prueba'!A:D,4,),"NO REGISTRA")</f>
        <v>AUXILIAR ADMINISTRATIVO</v>
      </c>
      <c r="E3591" s="5" t="str">
        <f>IFERROR(VLOOKUP(A3591,'Base Prueba'!A:E,5,),"NO REGISTRA")</f>
        <v>REGISTRO Y CONTROL ACADEMICO</v>
      </c>
    </row>
    <row r="3592" spans="1:5" ht="15.75" x14ac:dyDescent="0.25">
      <c r="A3592" s="10">
        <v>52474489</v>
      </c>
      <c r="B3592" s="2">
        <v>46087.812915393515</v>
      </c>
      <c r="C3592" s="3" t="str">
        <f>IFERROR(VLOOKUP(A3592,'Base Prueba'!A:C,3,),"NO REGISTRA")</f>
        <v>ADRIANA JIMENA SOTO BOCANEGRA</v>
      </c>
      <c r="D3592" s="4" t="str">
        <f>IFERROR(VLOOKUP(A3592,'Base Prueba'!A:D,4,),"NO REGISTRA")</f>
        <v>COORDINADOR DE LA OFICINA DE REGISTRO Y CONTROL</v>
      </c>
      <c r="E3592" s="5" t="str">
        <f>IFERROR(VLOOKUP(A3592,'Base Prueba'!A:E,5,),"NO REGISTRA")</f>
        <v>REGISTRO Y CONTROL ACADEMICO</v>
      </c>
    </row>
    <row r="3593" spans="1:5" ht="15.75" x14ac:dyDescent="0.25">
      <c r="A3593" s="10">
        <v>1013616244</v>
      </c>
      <c r="B3593" s="2">
        <v>46088.305194328706</v>
      </c>
      <c r="C3593" s="3" t="str">
        <f>IFERROR(VLOOKUP(A3593,'Base Prueba'!A:C,3,),"NO REGISTRA")</f>
        <v>DIANA CAROLINA MARIN BETANCOURT</v>
      </c>
      <c r="D3593" s="4" t="str">
        <f>IFERROR(VLOOKUP(A3593,'Base Prueba'!A:D,4,),"NO REGISTRA")</f>
        <v>AUXILIAR ADMINISTRATIVO</v>
      </c>
      <c r="E3593" s="5" t="str">
        <f>IFERROR(VLOOKUP(A3593,'Base Prueba'!A:E,5,),"NO REGISTRA")</f>
        <v>REGISTRO Y CONTROL ACADEMICO</v>
      </c>
    </row>
    <row r="3594" spans="1:5" ht="15.75" x14ac:dyDescent="0.25">
      <c r="A3594" s="10">
        <v>1031802160</v>
      </c>
      <c r="B3594" s="2">
        <v>46088.337983333331</v>
      </c>
      <c r="C3594" s="3" t="str">
        <f>IFERROR(VLOOKUP(A3594,'Base Prueba'!A:C,3,),"NO REGISTRA")</f>
        <v>LUISA MARIA MAHECHA SOTOMAYOR</v>
      </c>
      <c r="D3594" s="4" t="str">
        <f>IFERROR(VLOOKUP(A3594,'Base Prueba'!A:D,4,),"NO REGISTRA")</f>
        <v>APRENDIZ UNIVERSITARIO</v>
      </c>
      <c r="E3594" s="5" t="str">
        <f>IFERROR(VLOOKUP(A3594,'Base Prueba'!A:E,5,),"NO REGISTRA")</f>
        <v>OFICINA DE MERCADEO</v>
      </c>
    </row>
    <row r="3595" spans="1:5" ht="15.75" x14ac:dyDescent="0.25">
      <c r="A3595" s="10">
        <v>1000324729</v>
      </c>
      <c r="B3595" s="2">
        <v>46088.350048611108</v>
      </c>
      <c r="C3595" s="3" t="str">
        <f>IFERROR(VLOOKUP(A3595,'Base Prueba'!A:C,3,),"NO REGISTRA")</f>
        <v>ANYIE VANESSA TINOCO CAMACHO</v>
      </c>
      <c r="D3595" s="4" t="str">
        <f>IFERROR(VLOOKUP(A3595,'Base Prueba'!A:D,4,),"NO REGISTRA")</f>
        <v>LIDER DE REGISTRO Y CONTROL</v>
      </c>
      <c r="E3595" s="5" t="str">
        <f>IFERROR(VLOOKUP(A3595,'Base Prueba'!A:E,5,),"NO REGISTRA")</f>
        <v>REGISTRO Y CONTROL ACADEMICO</v>
      </c>
    </row>
    <row r="3596" spans="1:5" ht="15.75" x14ac:dyDescent="0.25">
      <c r="A3596" s="10">
        <v>1033709056</v>
      </c>
      <c r="B3596" s="2">
        <v>46088.358611574076</v>
      </c>
      <c r="C3596" s="3" t="str">
        <f>IFERROR(VLOOKUP(A3596,'Base Prueba'!A:C,3,),"NO REGISTRA")</f>
        <v>YEIMY ALEXANDRA RODRIGUEZ PALACIO</v>
      </c>
      <c r="D3596" s="4" t="str">
        <f>IFERROR(VLOOKUP(A3596,'Base Prueba'!A:D,4,),"NO REGISTRA")</f>
        <v>PROMOTOR CALL CENTER</v>
      </c>
      <c r="E3596" s="5" t="str">
        <f>IFERROR(VLOOKUP(A3596,'Base Prueba'!A:E,5,),"NO REGISTRA")</f>
        <v>OFICINA DE MERCADEO</v>
      </c>
    </row>
    <row r="3597" spans="1:5" ht="15.75" x14ac:dyDescent="0.25">
      <c r="A3597" s="10">
        <v>52472386</v>
      </c>
      <c r="B3597" s="2">
        <v>46088.36658321759</v>
      </c>
      <c r="C3597" s="3" t="str">
        <f>IFERROR(VLOOKUP(A3597,'Base Prueba'!A:C,3,),"NO REGISTRA")</f>
        <v>ADRIANA MARCELA MORALES PARDO</v>
      </c>
      <c r="D3597" s="4" t="str">
        <f>IFERROR(VLOOKUP(A3597,'Base Prueba'!A:D,4,),"NO REGISTRA")</f>
        <v>PROMOTOR CALL CENTER</v>
      </c>
      <c r="E3597" s="5" t="str">
        <f>IFERROR(VLOOKUP(A3597,'Base Prueba'!A:E,5,),"NO REGISTRA")</f>
        <v>OFICINA DE MERCADEO</v>
      </c>
    </row>
    <row r="3598" spans="1:5" ht="15.75" x14ac:dyDescent="0.25">
      <c r="A3598" s="10">
        <v>1018413529</v>
      </c>
      <c r="B3598" s="2">
        <v>46088.366639699074</v>
      </c>
      <c r="C3598" s="3" t="str">
        <f>IFERROR(VLOOKUP(A3598,'Base Prueba'!A:C,3,),"NO REGISTRA")</f>
        <v>FRANCY STELLA CHARRY MORENO</v>
      </c>
      <c r="D3598" s="4" t="str">
        <f>IFERROR(VLOOKUP(A3598,'Base Prueba'!A:D,4,),"NO REGISTRA")</f>
        <v>PROMOTOR COMERCIAL DEL CEA</v>
      </c>
      <c r="E3598" s="5" t="str">
        <f>IFERROR(VLOOKUP(A3598,'Base Prueba'!A:E,5,),"NO REGISTRA")</f>
        <v>OFICINA DE MERCADEO</v>
      </c>
    </row>
    <row r="3599" spans="1:5" ht="15.75" x14ac:dyDescent="0.25">
      <c r="A3599" s="10">
        <v>1023961952</v>
      </c>
      <c r="B3599" s="2">
        <v>46088.367458101849</v>
      </c>
      <c r="C3599" s="3" t="str">
        <f>IFERROR(VLOOKUP(A3599,'Base Prueba'!A:C,3,),"NO REGISTRA")</f>
        <v>ALEJANDRO PINZON MERCHAN</v>
      </c>
      <c r="D3599" s="4" t="str">
        <f>IFERROR(VLOOKUP(A3599,'Base Prueba'!A:D,4,),"NO REGISTRA")</f>
        <v>PROMOTOR CALL CENTER</v>
      </c>
      <c r="E3599" s="5" t="str">
        <f>IFERROR(VLOOKUP(A3599,'Base Prueba'!A:E,5,),"NO REGISTRA")</f>
        <v>OFICINA DE MERCADEO</v>
      </c>
    </row>
    <row r="3600" spans="1:5" ht="15.75" x14ac:dyDescent="0.25">
      <c r="A3600" s="10">
        <v>1032407386</v>
      </c>
      <c r="B3600" s="2">
        <v>46088.368310995371</v>
      </c>
      <c r="C3600" s="3" t="str">
        <f>IFERROR(VLOOKUP(A3600,'Base Prueba'!A:C,3,),"NO REGISTRA")</f>
        <v>GINA PAOLA BAEZ GALVIS</v>
      </c>
      <c r="D3600" s="4" t="str">
        <f>IFERROR(VLOOKUP(A3600,'Base Prueba'!A:D,4,),"NO REGISTRA")</f>
        <v>PROMOTOR CALL CENTER</v>
      </c>
      <c r="E3600" s="5" t="str">
        <f>IFERROR(VLOOKUP(A3600,'Base Prueba'!A:E,5,),"NO REGISTRA")</f>
        <v>OFICINA DE MERCADEO</v>
      </c>
    </row>
    <row r="3601" spans="1:5" ht="15.75" x14ac:dyDescent="0.25">
      <c r="A3601" s="10">
        <v>1018414290</v>
      </c>
      <c r="B3601" s="2">
        <v>46088.369682523145</v>
      </c>
      <c r="C3601" s="3" t="str">
        <f>IFERROR(VLOOKUP(A3601,'Base Prueba'!A:C,3,),"NO REGISTRA")</f>
        <v>AMANDA LISBETH RODRIGUEZ LEON</v>
      </c>
      <c r="D3601" s="4" t="str">
        <f>IFERROR(VLOOKUP(A3601,'Base Prueba'!A:D,4,),"NO REGISTRA")</f>
        <v>PROMOTOR CALL CENTER</v>
      </c>
      <c r="E3601" s="5" t="str">
        <f>IFERROR(VLOOKUP(A3601,'Base Prueba'!A:E,5,),"NO REGISTRA")</f>
        <v>OFICINA DE MERCADEO</v>
      </c>
    </row>
    <row r="3602" spans="1:5" ht="15.75" x14ac:dyDescent="0.25">
      <c r="A3602" s="10">
        <v>1012426741</v>
      </c>
      <c r="B3602" s="2">
        <v>46088.370941898145</v>
      </c>
      <c r="C3602" s="3" t="str">
        <f>IFERROR(VLOOKUP(A3602,'Base Prueba'!A:C,3,),"NO REGISTRA")</f>
        <v>CRISTIAN FABIAN ROJAS SANCENO</v>
      </c>
      <c r="D3602" s="4" t="str">
        <f>IFERROR(VLOOKUP(A3602,'Base Prueba'!A:D,4,),"NO REGISTRA")</f>
        <v>AUXILIAR DE REINTEGROS</v>
      </c>
      <c r="E3602" s="5" t="str">
        <f>IFERROR(VLOOKUP(A3602,'Base Prueba'!A:E,5,),"NO REGISTRA")</f>
        <v>DIRECCION DE BIENESTAR INSTITUCIONAL</v>
      </c>
    </row>
    <row r="3603" spans="1:5" ht="15.75" x14ac:dyDescent="0.25">
      <c r="A3603" s="10">
        <v>1019105003</v>
      </c>
      <c r="B3603" s="2">
        <v>46088.371439120368</v>
      </c>
      <c r="C3603" s="3" t="str">
        <f>IFERROR(VLOOKUP(A3603,'Base Prueba'!A:C,3,),"NO REGISTRA")</f>
        <v>DAISY JULIETH GASPAR MORENO</v>
      </c>
      <c r="D3603" s="4" t="str">
        <f>IFERROR(VLOOKUP(A3603,'Base Prueba'!A:D,4,),"NO REGISTRA")</f>
        <v>PROMOTOR CALL CENTER</v>
      </c>
      <c r="E3603" s="5" t="str">
        <f>IFERROR(VLOOKUP(A3603,'Base Prueba'!A:E,5,),"NO REGISTRA")</f>
        <v>OFICINA DE MERCADEO</v>
      </c>
    </row>
    <row r="3604" spans="1:5" ht="15.75" x14ac:dyDescent="0.25">
      <c r="A3604" s="10">
        <v>28798349</v>
      </c>
      <c r="B3604" s="2">
        <v>46088.371608333335</v>
      </c>
      <c r="C3604" s="3" t="str">
        <f>IFERROR(VLOOKUP(A3604,'Base Prueba'!A:C,3,),"NO REGISTRA")</f>
        <v>MARTHA ISABEL TOVAR WILLIAMS</v>
      </c>
      <c r="D3604" s="4" t="str">
        <f>IFERROR(VLOOKUP(A3604,'Base Prueba'!A:D,4,),"NO REGISTRA")</f>
        <v>PROMOTOR CALL CENTER</v>
      </c>
      <c r="E3604" s="5" t="str">
        <f>IFERROR(VLOOKUP(A3604,'Base Prueba'!A:E,5,),"NO REGISTRA")</f>
        <v>OFICINA DE MERCADEO</v>
      </c>
    </row>
    <row r="3605" spans="1:5" ht="15.75" x14ac:dyDescent="0.25">
      <c r="A3605" s="10">
        <v>1000604979</v>
      </c>
      <c r="B3605" s="2">
        <v>46088.372964930553</v>
      </c>
      <c r="C3605" s="3" t="str">
        <f>IFERROR(VLOOKUP(A3605,'Base Prueba'!A:C,3,),"NO REGISTRA")</f>
        <v>JULIETH TATIANA PARDO PINTO</v>
      </c>
      <c r="D3605" s="4" t="str">
        <f>IFERROR(VLOOKUP(A3605,'Base Prueba'!A:D,4,),"NO REGISTRA")</f>
        <v>AUXILIAR JURIDICO</v>
      </c>
      <c r="E3605" s="5" t="str">
        <f>IFERROR(VLOOKUP(A3605,'Base Prueba'!A:E,5,),"NO REGISTRA")</f>
        <v>SECRETARIA GENERAL</v>
      </c>
    </row>
    <row r="3606" spans="1:5" ht="15.75" x14ac:dyDescent="0.25">
      <c r="A3606" s="10">
        <v>53089882</v>
      </c>
      <c r="B3606" s="2">
        <v>46088.377081134262</v>
      </c>
      <c r="C3606" s="3" t="str">
        <f>IFERROR(VLOOKUP(A3606,'Base Prueba'!A:C,3,),"NO REGISTRA")</f>
        <v>MARIA JOHANA ESCAMILLA MARTINEZ</v>
      </c>
      <c r="D3606" s="4" t="str">
        <f>IFERROR(VLOOKUP(A3606,'Base Prueba'!A:D,4,),"NO REGISTRA")</f>
        <v>PROMOTOR DE INFORMACIÓN</v>
      </c>
      <c r="E3606" s="5" t="str">
        <f>IFERROR(VLOOKUP(A3606,'Base Prueba'!A:E,5,),"NO REGISTRA")</f>
        <v>OFICINA DE MERCADEO</v>
      </c>
    </row>
    <row r="3607" spans="1:5" ht="15.75" x14ac:dyDescent="0.25">
      <c r="A3607" s="10">
        <v>1014196857</v>
      </c>
      <c r="B3607" s="2">
        <v>46088.414810532406</v>
      </c>
      <c r="C3607" s="3" t="str">
        <f>IFERROR(VLOOKUP(A3607,'Base Prueba'!A:C,3,),"NO REGISTRA")</f>
        <v>CARLOS ANDRES JIMENEZ PARDO</v>
      </c>
      <c r="D3607" s="4" t="str">
        <f>IFERROR(VLOOKUP(A3607,'Base Prueba'!A:D,4,),"NO REGISTRA")</f>
        <v>COORDINADOR DE MARKETING DIGITAL</v>
      </c>
      <c r="E3607" s="5" t="str">
        <f>IFERROR(VLOOKUP(A3607,'Base Prueba'!A:E,5,),"NO REGISTRA")</f>
        <v>OFICINA DE MERCADEO</v>
      </c>
    </row>
    <row r="3608" spans="1:5" ht="15.75" x14ac:dyDescent="0.25">
      <c r="A3608" s="10">
        <v>1003690253</v>
      </c>
      <c r="B3608" s="2">
        <v>46088.423618865738</v>
      </c>
      <c r="C3608" s="3" t="str">
        <f>IFERROR(VLOOKUP(A3608,'Base Prueba'!A:C,3,),"NO REGISTRA")</f>
        <v>MELISSA GONZALEZ PEDRAZA</v>
      </c>
      <c r="D3608" s="4" t="str">
        <f>IFERROR(VLOOKUP(A3608,'Base Prueba'!A:D,4,),"NO REGISTRA")</f>
        <v>LIDER DE JOVENES A LA E</v>
      </c>
      <c r="E3608" s="5" t="str">
        <f>IFERROR(VLOOKUP(A3608,'Base Prueba'!A:E,5,),"NO REGISTRA")</f>
        <v>DIRECCION DE BIENESTAR INSTITUCIONAL</v>
      </c>
    </row>
    <row r="3609" spans="1:5" ht="15.75" x14ac:dyDescent="0.25">
      <c r="A3609" s="10">
        <v>1012426741</v>
      </c>
      <c r="B3609" s="2">
        <v>46088.500029745373</v>
      </c>
      <c r="C3609" s="3" t="str">
        <f>IFERROR(VLOOKUP(A3609,'Base Prueba'!A:C,3,),"NO REGISTRA")</f>
        <v>CRISTIAN FABIAN ROJAS SANCENO</v>
      </c>
      <c r="D3609" s="4" t="str">
        <f>IFERROR(VLOOKUP(A3609,'Base Prueba'!A:D,4,),"NO REGISTRA")</f>
        <v>AUXILIAR DE REINTEGROS</v>
      </c>
      <c r="E3609" s="5" t="str">
        <f>IFERROR(VLOOKUP(A3609,'Base Prueba'!A:E,5,),"NO REGISTRA")</f>
        <v>DIRECCION DE BIENESTAR INSTITUCIONAL</v>
      </c>
    </row>
    <row r="3610" spans="1:5" ht="15.75" x14ac:dyDescent="0.25">
      <c r="A3610" s="10">
        <v>80238161</v>
      </c>
      <c r="B3610" s="2">
        <v>46088.502623263892</v>
      </c>
      <c r="C3610" s="3" t="str">
        <f>IFERROR(VLOOKUP(A3610,'Base Prueba'!A:C,3,),"NO REGISTRA")</f>
        <v>GERMAN CARRANZA ESPITIA</v>
      </c>
      <c r="D3610" s="4" t="str">
        <f>IFERROR(VLOOKUP(A3610,'Base Prueba'!A:D,4,),"NO REGISTRA")</f>
        <v>TESORERO</v>
      </c>
      <c r="E3610" s="5" t="str">
        <f>IFERROR(VLOOKUP(A3610,'Base Prueba'!A:E,5,),"NO REGISTRA")</f>
        <v>AREA FINANCIERA Y CONTABLE</v>
      </c>
    </row>
    <row r="3611" spans="1:5" ht="15.75" x14ac:dyDescent="0.25">
      <c r="A3611" s="10">
        <v>1032407386</v>
      </c>
      <c r="B3611" s="2">
        <v>46088.507710300924</v>
      </c>
      <c r="C3611" s="3" t="str">
        <f>IFERROR(VLOOKUP(A3611,'Base Prueba'!A:C,3,),"NO REGISTRA")</f>
        <v>GINA PAOLA BAEZ GALVIS</v>
      </c>
      <c r="D3611" s="4" t="str">
        <f>IFERROR(VLOOKUP(A3611,'Base Prueba'!A:D,4,),"NO REGISTRA")</f>
        <v>PROMOTOR CALL CENTER</v>
      </c>
      <c r="E3611" s="5" t="str">
        <f>IFERROR(VLOOKUP(A3611,'Base Prueba'!A:E,5,),"NO REGISTRA")</f>
        <v>OFICINA DE MERCADEO</v>
      </c>
    </row>
    <row r="3612" spans="1:5" ht="15.75" x14ac:dyDescent="0.25">
      <c r="A3612" s="10">
        <v>52175674</v>
      </c>
      <c r="B3612" s="2">
        <v>46088.50860601852</v>
      </c>
      <c r="C3612" s="3" t="str">
        <f>IFERROR(VLOOKUP(A3612,'Base Prueba'!A:C,3,),"NO REGISTRA")</f>
        <v>LUZ YANETH GOMEZ AREVALO</v>
      </c>
      <c r="D3612" s="4" t="str">
        <f>IFERROR(VLOOKUP(A3612,'Base Prueba'!A:D,4,),"NO REGISTRA")</f>
        <v>COORDINADORA DE ADMISIONES</v>
      </c>
      <c r="E3612" s="5" t="str">
        <f>IFERROR(VLOOKUP(A3612,'Base Prueba'!A:E,5,),"NO REGISTRA")</f>
        <v>OFICINA DE MERCADEO</v>
      </c>
    </row>
    <row r="3613" spans="1:5" ht="15.75" x14ac:dyDescent="0.25">
      <c r="A3613" s="10">
        <v>1000604979</v>
      </c>
      <c r="B3613" s="2">
        <v>46088.508747800923</v>
      </c>
      <c r="C3613" s="3" t="str">
        <f>IFERROR(VLOOKUP(A3613,'Base Prueba'!A:C,3,),"NO REGISTRA")</f>
        <v>JULIETH TATIANA PARDO PINTO</v>
      </c>
      <c r="D3613" s="4" t="str">
        <f>IFERROR(VLOOKUP(A3613,'Base Prueba'!A:D,4,),"NO REGISTRA")</f>
        <v>AUXILIAR JURIDICO</v>
      </c>
      <c r="E3613" s="5" t="str">
        <f>IFERROR(VLOOKUP(A3613,'Base Prueba'!A:E,5,),"NO REGISTRA")</f>
        <v>SECRETARIA GENERAL</v>
      </c>
    </row>
    <row r="3614" spans="1:5" ht="15.75" x14ac:dyDescent="0.25">
      <c r="A3614" s="10">
        <v>1018414290</v>
      </c>
      <c r="B3614" s="2">
        <v>46088.509021874997</v>
      </c>
      <c r="C3614" s="3" t="str">
        <f>IFERROR(VLOOKUP(A3614,'Base Prueba'!A:C,3,),"NO REGISTRA")</f>
        <v>AMANDA LISBETH RODRIGUEZ LEON</v>
      </c>
      <c r="D3614" s="4" t="str">
        <f>IFERROR(VLOOKUP(A3614,'Base Prueba'!A:D,4,),"NO REGISTRA")</f>
        <v>PROMOTOR CALL CENTER</v>
      </c>
      <c r="E3614" s="5" t="str">
        <f>IFERROR(VLOOKUP(A3614,'Base Prueba'!A:E,5,),"NO REGISTRA")</f>
        <v>OFICINA DE MERCADEO</v>
      </c>
    </row>
    <row r="3615" spans="1:5" ht="15.75" x14ac:dyDescent="0.25">
      <c r="A3615" s="10">
        <v>53089882</v>
      </c>
      <c r="B3615" s="2">
        <v>46088.510917708336</v>
      </c>
      <c r="C3615" s="3" t="str">
        <f>IFERROR(VLOOKUP(A3615,'Base Prueba'!A:C,3,),"NO REGISTRA")</f>
        <v>MARIA JOHANA ESCAMILLA MARTINEZ</v>
      </c>
      <c r="D3615" s="4" t="str">
        <f>IFERROR(VLOOKUP(A3615,'Base Prueba'!A:D,4,),"NO REGISTRA")</f>
        <v>PROMOTOR DE INFORMACIÓN</v>
      </c>
      <c r="E3615" s="5" t="str">
        <f>IFERROR(VLOOKUP(A3615,'Base Prueba'!A:E,5,),"NO REGISTRA")</f>
        <v>OFICINA DE MERCADEO</v>
      </c>
    </row>
    <row r="3616" spans="1:5" ht="15.75" x14ac:dyDescent="0.25">
      <c r="A3616" s="10">
        <v>1033709056</v>
      </c>
      <c r="B3616" s="2">
        <v>46088.511300925929</v>
      </c>
      <c r="C3616" s="3" t="str">
        <f>IFERROR(VLOOKUP(A3616,'Base Prueba'!A:C,3,),"NO REGISTRA")</f>
        <v>YEIMY ALEXANDRA RODRIGUEZ PALACIO</v>
      </c>
      <c r="D3616" s="4" t="str">
        <f>IFERROR(VLOOKUP(A3616,'Base Prueba'!A:D,4,),"NO REGISTRA")</f>
        <v>PROMOTOR CALL CENTER</v>
      </c>
      <c r="E3616" s="5" t="str">
        <f>IFERROR(VLOOKUP(A3616,'Base Prueba'!A:E,5,),"NO REGISTRA")</f>
        <v>OFICINA DE MERCADEO</v>
      </c>
    </row>
    <row r="3617" spans="1:5" ht="15.75" x14ac:dyDescent="0.25">
      <c r="A3617" s="10">
        <v>1018413529</v>
      </c>
      <c r="B3617" s="2">
        <v>46088.511695023146</v>
      </c>
      <c r="C3617" s="3" t="str">
        <f>IFERROR(VLOOKUP(A3617,'Base Prueba'!A:C,3,),"NO REGISTRA")</f>
        <v>FRANCY STELLA CHARRY MORENO</v>
      </c>
      <c r="D3617" s="4" t="str">
        <f>IFERROR(VLOOKUP(A3617,'Base Prueba'!A:D,4,),"NO REGISTRA")</f>
        <v>PROMOTOR COMERCIAL DEL CEA</v>
      </c>
      <c r="E3617" s="5" t="str">
        <f>IFERROR(VLOOKUP(A3617,'Base Prueba'!A:E,5,),"NO REGISTRA")</f>
        <v>OFICINA DE MERCADEO</v>
      </c>
    </row>
    <row r="3618" spans="1:5" ht="15.75" x14ac:dyDescent="0.25">
      <c r="A3618" s="10">
        <v>52472386</v>
      </c>
      <c r="B3618" s="2">
        <v>46088.514709722222</v>
      </c>
      <c r="C3618" s="3" t="str">
        <f>IFERROR(VLOOKUP(A3618,'Base Prueba'!A:C,3,),"NO REGISTRA")</f>
        <v>ADRIANA MARCELA MORALES PARDO</v>
      </c>
      <c r="D3618" s="4" t="str">
        <f>IFERROR(VLOOKUP(A3618,'Base Prueba'!A:D,4,),"NO REGISTRA")</f>
        <v>PROMOTOR CALL CENTER</v>
      </c>
      <c r="E3618" s="5" t="str">
        <f>IFERROR(VLOOKUP(A3618,'Base Prueba'!A:E,5,),"NO REGISTRA")</f>
        <v>OFICINA DE MERCADEO</v>
      </c>
    </row>
    <row r="3619" spans="1:5" ht="15.75" x14ac:dyDescent="0.25">
      <c r="A3619" s="10">
        <v>1019105003</v>
      </c>
      <c r="B3619" s="2">
        <v>46088.515107754632</v>
      </c>
      <c r="C3619" s="3" t="str">
        <f>IFERROR(VLOOKUP(A3619,'Base Prueba'!A:C,3,),"NO REGISTRA")</f>
        <v>DAISY JULIETH GASPAR MORENO</v>
      </c>
      <c r="D3619" s="4" t="str">
        <f>IFERROR(VLOOKUP(A3619,'Base Prueba'!A:D,4,),"NO REGISTRA")</f>
        <v>PROMOTOR CALL CENTER</v>
      </c>
      <c r="E3619" s="5" t="str">
        <f>IFERROR(VLOOKUP(A3619,'Base Prueba'!A:E,5,),"NO REGISTRA")</f>
        <v>OFICINA DE MERCADEO</v>
      </c>
    </row>
    <row r="3620" spans="1:5" ht="15.75" x14ac:dyDescent="0.25">
      <c r="A3620" s="10">
        <v>1023961952</v>
      </c>
      <c r="B3620" s="2">
        <v>46088.515329629627</v>
      </c>
      <c r="C3620" s="3" t="str">
        <f>IFERROR(VLOOKUP(A3620,'Base Prueba'!A:C,3,),"NO REGISTRA")</f>
        <v>ALEJANDRO PINZON MERCHAN</v>
      </c>
      <c r="D3620" s="4" t="str">
        <f>IFERROR(VLOOKUP(A3620,'Base Prueba'!A:D,4,),"NO REGISTRA")</f>
        <v>PROMOTOR CALL CENTER</v>
      </c>
      <c r="E3620" s="5" t="str">
        <f>IFERROR(VLOOKUP(A3620,'Base Prueba'!A:E,5,),"NO REGISTRA")</f>
        <v>OFICINA DE MERCADEO</v>
      </c>
    </row>
    <row r="3621" spans="1:5" ht="15.75" x14ac:dyDescent="0.25">
      <c r="A3621" s="10">
        <v>28798349</v>
      </c>
      <c r="B3621" s="2">
        <v>46088.517917476849</v>
      </c>
      <c r="C3621" s="3" t="str">
        <f>IFERROR(VLOOKUP(A3621,'Base Prueba'!A:C,3,),"NO REGISTRA")</f>
        <v>MARTHA ISABEL TOVAR WILLIAMS</v>
      </c>
      <c r="D3621" s="4" t="str">
        <f>IFERROR(VLOOKUP(A3621,'Base Prueba'!A:D,4,),"NO REGISTRA")</f>
        <v>PROMOTOR CALL CENTER</v>
      </c>
      <c r="E3621" s="5" t="str">
        <f>IFERROR(VLOOKUP(A3621,'Base Prueba'!A:E,5,),"NO REGISTRA")</f>
        <v>OFICINA DE MERCADEO</v>
      </c>
    </row>
    <row r="3622" spans="1:5" ht="15.75" x14ac:dyDescent="0.25">
      <c r="A3622" s="10">
        <v>1003690253</v>
      </c>
      <c r="B3622" s="2">
        <v>46088.518623148149</v>
      </c>
      <c r="C3622" s="3" t="str">
        <f>IFERROR(VLOOKUP(A3622,'Base Prueba'!A:C,3,),"NO REGISTRA")</f>
        <v>MELISSA GONZALEZ PEDRAZA</v>
      </c>
      <c r="D3622" s="4" t="str">
        <f>IFERROR(VLOOKUP(A3622,'Base Prueba'!A:D,4,),"NO REGISTRA")</f>
        <v>LIDER DE JOVENES A LA E</v>
      </c>
      <c r="E3622" s="5" t="str">
        <f>IFERROR(VLOOKUP(A3622,'Base Prueba'!A:E,5,),"NO REGISTRA")</f>
        <v>DIRECCION DE BIENESTAR INSTITUCIONAL</v>
      </c>
    </row>
    <row r="3623" spans="1:5" ht="15.75" x14ac:dyDescent="0.25">
      <c r="A3623" s="10">
        <v>1031802160</v>
      </c>
      <c r="B3623" s="2">
        <v>46088.527491435183</v>
      </c>
      <c r="C3623" s="3" t="str">
        <f>IFERROR(VLOOKUP(A3623,'Base Prueba'!A:C,3,),"NO REGISTRA")</f>
        <v>LUISA MARIA MAHECHA SOTOMAYOR</v>
      </c>
      <c r="D3623" s="4" t="str">
        <f>IFERROR(VLOOKUP(A3623,'Base Prueba'!A:D,4,),"NO REGISTRA")</f>
        <v>APRENDIZ UNIVERSITARIO</v>
      </c>
      <c r="E3623" s="5" t="str">
        <f>IFERROR(VLOOKUP(A3623,'Base Prueba'!A:E,5,),"NO REGISTRA")</f>
        <v>OFICINA DE MERCADEO</v>
      </c>
    </row>
    <row r="3624" spans="1:5" ht="15.75" x14ac:dyDescent="0.25">
      <c r="A3624" s="10">
        <v>1016090131</v>
      </c>
      <c r="B3624" s="2">
        <v>46088.527535532405</v>
      </c>
      <c r="C3624" s="3" t="str">
        <f>IFERROR(VLOOKUP(A3624,'Base Prueba'!A:C,3,),"NO REGISTRA")</f>
        <v>NICOLAS RODRIGUEZ PACHECO</v>
      </c>
      <c r="D3624" s="4" t="str">
        <f>IFERROR(VLOOKUP(A3624,'Base Prueba'!A:D,4,),"NO REGISTRA")</f>
        <v>COORDINADOR DE COMUNICACIONES</v>
      </c>
      <c r="E3624" s="5" t="str">
        <f>IFERROR(VLOOKUP(A3624,'Base Prueba'!A:E,5,),"NO REGISTRA")</f>
        <v>OFICINA DE MERCADEO</v>
      </c>
    </row>
    <row r="3625" spans="1:5" ht="15.75" x14ac:dyDescent="0.25">
      <c r="A3625" s="10">
        <v>1014196857</v>
      </c>
      <c r="B3625" s="2">
        <v>46088.527614236111</v>
      </c>
      <c r="C3625" s="3" t="str">
        <f>IFERROR(VLOOKUP(A3625,'Base Prueba'!A:C,3,),"NO REGISTRA")</f>
        <v>CARLOS ANDRES JIMENEZ PARDO</v>
      </c>
      <c r="D3625" s="4" t="str">
        <f>IFERROR(VLOOKUP(A3625,'Base Prueba'!A:D,4,),"NO REGISTRA")</f>
        <v>COORDINADOR DE MARKETING DIGITAL</v>
      </c>
      <c r="E3625" s="5" t="str">
        <f>IFERROR(VLOOKUP(A3625,'Base Prueba'!A:E,5,),"NO REGISTRA")</f>
        <v>OFICINA DE MERCADEO</v>
      </c>
    </row>
    <row r="3626" spans="1:5" ht="15.75" x14ac:dyDescent="0.25">
      <c r="A3626" s="10">
        <v>1013616244</v>
      </c>
      <c r="B3626" s="2">
        <v>46088.546338194443</v>
      </c>
      <c r="C3626" s="3" t="str">
        <f>IFERROR(VLOOKUP(A3626,'Base Prueba'!A:C,3,),"NO REGISTRA")</f>
        <v>DIANA CAROLINA MARIN BETANCOURT</v>
      </c>
      <c r="D3626" s="4" t="str">
        <f>IFERROR(VLOOKUP(A3626,'Base Prueba'!A:D,4,),"NO REGISTRA")</f>
        <v>AUXILIAR ADMINISTRATIVO</v>
      </c>
      <c r="E3626" s="5" t="str">
        <f>IFERROR(VLOOKUP(A3626,'Base Prueba'!A:E,5,),"NO REGISTRA")</f>
        <v>REGISTRO Y CONTROL ACADEMICO</v>
      </c>
    </row>
    <row r="3627" spans="1:5" ht="15.75" x14ac:dyDescent="0.25">
      <c r="A3627" s="10">
        <v>1000324729</v>
      </c>
      <c r="B3627" s="2">
        <v>46088.546610763886</v>
      </c>
      <c r="C3627" s="3" t="str">
        <f>IFERROR(VLOOKUP(A3627,'Base Prueba'!A:C,3,),"NO REGISTRA")</f>
        <v>ANYIE VANESSA TINOCO CAMACHO</v>
      </c>
      <c r="D3627" s="4" t="str">
        <f>IFERROR(VLOOKUP(A3627,'Base Prueba'!A:D,4,),"NO REGISTRA")</f>
        <v>LIDER DE REGISTRO Y CONTROL</v>
      </c>
      <c r="E3627" s="5" t="str">
        <f>IFERROR(VLOOKUP(A3627,'Base Prueba'!A:E,5,),"NO REGISTRA")</f>
        <v>REGISTRO Y CONTROL ACADEMICO</v>
      </c>
    </row>
    <row r="3628" spans="1:5" ht="15.75" x14ac:dyDescent="0.25">
      <c r="A3628" s="10">
        <v>1000324729</v>
      </c>
      <c r="B3628" s="2">
        <v>46090.316749884259</v>
      </c>
      <c r="C3628" s="3" t="str">
        <f>IFERROR(VLOOKUP(A3628,'Base Prueba'!A:C,3,),"NO REGISTRA")</f>
        <v>ANYIE VANESSA TINOCO CAMACHO</v>
      </c>
      <c r="D3628" s="4" t="str">
        <f>IFERROR(VLOOKUP(A3628,'Base Prueba'!A:D,4,),"NO REGISTRA")</f>
        <v>LIDER DE REGISTRO Y CONTROL</v>
      </c>
      <c r="E3628" s="5" t="str">
        <f>IFERROR(VLOOKUP(A3628,'Base Prueba'!A:E,5,),"NO REGISTRA")</f>
        <v>REGISTRO Y CONTROL ACADEMICO</v>
      </c>
    </row>
    <row r="3629" spans="1:5" ht="15.75" x14ac:dyDescent="0.25">
      <c r="A3629" s="10">
        <v>1013616244</v>
      </c>
      <c r="B3629" s="2">
        <v>46090.32590625</v>
      </c>
      <c r="C3629" s="3" t="str">
        <f>IFERROR(VLOOKUP(A3629,'Base Prueba'!A:C,3,),"NO REGISTRA")</f>
        <v>DIANA CAROLINA MARIN BETANCOURT</v>
      </c>
      <c r="D3629" s="4" t="str">
        <f>IFERROR(VLOOKUP(A3629,'Base Prueba'!A:D,4,),"NO REGISTRA")</f>
        <v>AUXILIAR ADMINISTRATIVO</v>
      </c>
      <c r="E3629" s="5" t="str">
        <f>IFERROR(VLOOKUP(A3629,'Base Prueba'!A:E,5,),"NO REGISTRA")</f>
        <v>REGISTRO Y CONTROL ACADEMICO</v>
      </c>
    </row>
    <row r="3630" spans="1:5" ht="15.75" x14ac:dyDescent="0.25">
      <c r="A3630" s="10">
        <v>1014196857</v>
      </c>
      <c r="B3630" s="2">
        <v>46090.328076736114</v>
      </c>
      <c r="C3630" s="3" t="str">
        <f>IFERROR(VLOOKUP(A3630,'Base Prueba'!A:C,3,),"NO REGISTRA")</f>
        <v>CARLOS ANDRES JIMENEZ PARDO</v>
      </c>
      <c r="D3630" s="4" t="str">
        <f>IFERROR(VLOOKUP(A3630,'Base Prueba'!A:D,4,),"NO REGISTRA")</f>
        <v>COORDINADOR DE MARKETING DIGITAL</v>
      </c>
      <c r="E3630" s="5" t="str">
        <f>IFERROR(VLOOKUP(A3630,'Base Prueba'!A:E,5,),"NO REGISTRA")</f>
        <v>OFICINA DE MERCADEO</v>
      </c>
    </row>
    <row r="3631" spans="1:5" ht="15.75" x14ac:dyDescent="0.25">
      <c r="A3631" s="10">
        <v>1000257136</v>
      </c>
      <c r="B3631" s="2">
        <v>46090.329969444443</v>
      </c>
      <c r="C3631" s="3" t="str">
        <f>IFERROR(VLOOKUP(A3631,'Base Prueba'!A:C,3,),"NO REGISTRA")</f>
        <v>FRANCI VALENTINA CANO PUENTES</v>
      </c>
      <c r="D3631" s="4" t="str">
        <f>IFERROR(VLOOKUP(A3631,'Base Prueba'!A:D,4,),"NO REGISTRA")</f>
        <v>AUXILIAR CONTABLE</v>
      </c>
      <c r="E3631" s="5" t="str">
        <f>IFERROR(VLOOKUP(A3631,'Base Prueba'!A:E,5,),"NO REGISTRA")</f>
        <v>AREA FINANCIERA Y CONTABLE</v>
      </c>
    </row>
    <row r="3632" spans="1:5" ht="15.75" x14ac:dyDescent="0.25">
      <c r="A3632" s="10">
        <v>1010184333</v>
      </c>
      <c r="B3632" s="2">
        <v>46090.330844212964</v>
      </c>
      <c r="C3632" s="3" t="str">
        <f>IFERROR(VLOOKUP(A3632,'Base Prueba'!A:C,3,),"NO REGISTRA")</f>
        <v>AKON ANDRES GARZON ALVAREZ</v>
      </c>
      <c r="D3632" s="4" t="str">
        <f>IFERROR(VLOOKUP(A3632,'Base Prueba'!A:D,4,),"NO REGISTRA")</f>
        <v>APRENDIZ UNIVERSITARIO</v>
      </c>
      <c r="E3632" s="5" t="str">
        <f>IFERROR(VLOOKUP(A3632,'Base Prueba'!A:E,5,),"NO REGISTRA")</f>
        <v>SECRETARIA GENERAL</v>
      </c>
    </row>
    <row r="3633" spans="1:5" ht="15.75" x14ac:dyDescent="0.25">
      <c r="A3633" s="10">
        <v>80725196</v>
      </c>
      <c r="B3633" s="2">
        <v>46090.331083333331</v>
      </c>
      <c r="C3633" s="3" t="str">
        <f>IFERROR(VLOOKUP(A3633,'Base Prueba'!A:C,3,),"NO REGISTRA")</f>
        <v>YEISON YOSET TOVAR BARBOSA</v>
      </c>
      <c r="D3633" s="4" t="str">
        <f>IFERROR(VLOOKUP(A3633,'Base Prueba'!A:D,4,),"NO REGISTRA")</f>
        <v>LIDER GESTION DOCUMENTAL</v>
      </c>
      <c r="E3633" s="5" t="str">
        <f>IFERROR(VLOOKUP(A3633,'Base Prueba'!A:E,5,),"NO REGISTRA")</f>
        <v>CENTRO DE GESTION DOCUMENTAL</v>
      </c>
    </row>
    <row r="3634" spans="1:5" ht="15.75" x14ac:dyDescent="0.25">
      <c r="A3634" s="10">
        <v>1030567635</v>
      </c>
      <c r="B3634" s="2">
        <v>46090.334694212965</v>
      </c>
      <c r="C3634" s="3" t="str">
        <f>IFERROR(VLOOKUP(A3634,'Base Prueba'!A:C,3,),"NO REGISTRA")</f>
        <v>JEFFERSON ANDRES BARRETO DIAZ</v>
      </c>
      <c r="D3634" s="4" t="str">
        <f>IFERROR(VLOOKUP(A3634,'Base Prueba'!A:D,4,),"NO REGISTRA")</f>
        <v>AUXILIAR DE ARCHIVO</v>
      </c>
      <c r="E3634" s="5" t="str">
        <f>IFERROR(VLOOKUP(A3634,'Base Prueba'!A:E,5,),"NO REGISTRA")</f>
        <v>CENTRO DE GESTION DOCUMENTAL</v>
      </c>
    </row>
    <row r="3635" spans="1:5" ht="15.75" x14ac:dyDescent="0.25">
      <c r="A3635" s="10">
        <v>1049644802</v>
      </c>
      <c r="B3635" s="2">
        <v>46090.335743981479</v>
      </c>
      <c r="C3635" s="3" t="str">
        <f>IFERROR(VLOOKUP(A3635,'Base Prueba'!A:C,3,),"NO REGISTRA")</f>
        <v>DANIELA ALEXANDRA CIPAMOCHA BOSIGA</v>
      </c>
      <c r="D3635" s="4" t="str">
        <f>IFERROR(VLOOKUP(A3635,'Base Prueba'!A:D,4,),"NO REGISTRA")</f>
        <v>LIDER DE DATOS Y SERVICIOS</v>
      </c>
      <c r="E3635" s="5" t="str">
        <f>IFERROR(VLOOKUP(A3635,'Base Prueba'!A:E,5,),"NO REGISTRA")</f>
        <v>OFICINA DE PLANEACION Y GESTION DE LA CALIDAD</v>
      </c>
    </row>
    <row r="3636" spans="1:5" ht="15.75" x14ac:dyDescent="0.25">
      <c r="A3636" s="10">
        <v>1031802160</v>
      </c>
      <c r="B3636" s="2">
        <v>46090.33637060185</v>
      </c>
      <c r="C3636" s="3" t="str">
        <f>IFERROR(VLOOKUP(A3636,'Base Prueba'!A:C,3,),"NO REGISTRA")</f>
        <v>LUISA MARIA MAHECHA SOTOMAYOR</v>
      </c>
      <c r="D3636" s="4" t="str">
        <f>IFERROR(VLOOKUP(A3636,'Base Prueba'!A:D,4,),"NO REGISTRA")</f>
        <v>APRENDIZ UNIVERSITARIO</v>
      </c>
      <c r="E3636" s="5" t="str">
        <f>IFERROR(VLOOKUP(A3636,'Base Prueba'!A:E,5,),"NO REGISTRA")</f>
        <v>OFICINA DE MERCADEO</v>
      </c>
    </row>
    <row r="3637" spans="1:5" ht="15.75" x14ac:dyDescent="0.25">
      <c r="A3637" s="10">
        <v>1014977624</v>
      </c>
      <c r="B3637" s="2">
        <v>46090.336620717593</v>
      </c>
      <c r="C3637" s="3" t="str">
        <f>IFERROR(VLOOKUP(A3637,'Base Prueba'!A:C,3,),"NO REGISTRA")</f>
        <v>NICCOLE VALENTINA HERNANDEZ MALAVER</v>
      </c>
      <c r="D3637" s="4" t="str">
        <f>IFERROR(VLOOKUP(A3637,'Base Prueba'!A:D,4,),"NO REGISTRA")</f>
        <v>APRENDIZ UNIVERSITARIO</v>
      </c>
      <c r="E3637" s="5" t="str">
        <f>IFERROR(VLOOKUP(A3637,'Base Prueba'!A:E,5,),"NO REGISTRA")</f>
        <v>AREA FINANCIERA Y CONTABLE</v>
      </c>
    </row>
    <row r="3638" spans="1:5" ht="15.75" x14ac:dyDescent="0.25">
      <c r="A3638" s="10">
        <v>80238161</v>
      </c>
      <c r="B3638" s="2">
        <v>46090.341485648147</v>
      </c>
      <c r="C3638" s="3" t="str">
        <f>IFERROR(VLOOKUP(A3638,'Base Prueba'!A:C,3,),"NO REGISTRA")</f>
        <v>GERMAN CARRANZA ESPITIA</v>
      </c>
      <c r="D3638" s="4" t="str">
        <f>IFERROR(VLOOKUP(A3638,'Base Prueba'!A:D,4,),"NO REGISTRA")</f>
        <v>TESORERO</v>
      </c>
      <c r="E3638" s="5" t="str">
        <f>IFERROR(VLOOKUP(A3638,'Base Prueba'!A:E,5,),"NO REGISTRA")</f>
        <v>AREA FINANCIERA Y CONTABLE</v>
      </c>
    </row>
    <row r="3639" spans="1:5" ht="15.75" x14ac:dyDescent="0.25">
      <c r="A3639" s="10">
        <v>1193457976</v>
      </c>
      <c r="B3639" s="2">
        <v>46090.345494097222</v>
      </c>
      <c r="C3639" s="3" t="str">
        <f>IFERROR(VLOOKUP(A3639,'Base Prueba'!A:C,3,),"NO REGISTRA")</f>
        <v>SEDENIS RIVAS ASPRILLA</v>
      </c>
      <c r="D3639" s="4" t="str">
        <f>IFERROR(VLOOKUP(A3639,'Base Prueba'!A:D,4,),"NO REGISTRA")</f>
        <v>APRENDIZ UNIVERSITARIO</v>
      </c>
      <c r="E3639" s="5" t="str">
        <f>IFERROR(VLOOKUP(A3639,'Base Prueba'!A:E,5,),"NO REGISTRA")</f>
        <v>DEPARTAMENTO DE GESTION HUMANA</v>
      </c>
    </row>
    <row r="3640" spans="1:5" ht="15.75" x14ac:dyDescent="0.25">
      <c r="A3640" s="10">
        <v>1023883232</v>
      </c>
      <c r="B3640" s="2">
        <v>46090.347265046294</v>
      </c>
      <c r="C3640" s="3" t="str">
        <f>IFERROR(VLOOKUP(A3640,'Base Prueba'!A:C,3,),"NO REGISTRA")</f>
        <v>MONICA ANDREA ACERO URBANO</v>
      </c>
      <c r="D3640" s="4" t="str">
        <f>IFERROR(VLOOKUP(A3640,'Base Prueba'!A:D,4,),"NO REGISTRA")</f>
        <v>APOYO INTEGRAL A GESTION HUMANA</v>
      </c>
      <c r="E3640" s="5" t="str">
        <f>IFERROR(VLOOKUP(A3640,'Base Prueba'!A:E,5,),"NO REGISTRA")</f>
        <v>DEPARTAMENTO DE GESTION HUMANA</v>
      </c>
    </row>
    <row r="3641" spans="1:5" ht="15.75" x14ac:dyDescent="0.25">
      <c r="A3641" s="10">
        <v>1000457706</v>
      </c>
      <c r="B3641" s="2">
        <v>46090.347648148148</v>
      </c>
      <c r="C3641" s="3" t="str">
        <f>IFERROR(VLOOKUP(A3641,'Base Prueba'!A:C,3,),"NO REGISTRA")</f>
        <v>CRISTIAN DANILO ARROYO SANABRIA</v>
      </c>
      <c r="D3641" s="4" t="str">
        <f>IFERROR(VLOOKUP(A3641,'Base Prueba'!A:D,4,),"NO REGISTRA")</f>
        <v>AUXILIAR CONTABLE</v>
      </c>
      <c r="E3641" s="5" t="str">
        <f>IFERROR(VLOOKUP(A3641,'Base Prueba'!A:E,5,),"NO REGISTRA")</f>
        <v>AREA FINANCIERA Y CONTABLE</v>
      </c>
    </row>
    <row r="3642" spans="1:5" ht="15.75" x14ac:dyDescent="0.25">
      <c r="A3642" s="10">
        <v>1032469638</v>
      </c>
      <c r="B3642" s="2">
        <v>46090.349103009263</v>
      </c>
      <c r="C3642" s="3" t="str">
        <f>IFERROR(VLOOKUP(A3642,'Base Prueba'!A:C,3,),"NO REGISTRA")</f>
        <v>MAICOL JARBEY GUALTEROS CASTAÑEDA</v>
      </c>
      <c r="D3642" s="4" t="str">
        <f>IFERROR(VLOOKUP(A3642,'Base Prueba'!A:D,4,),"NO REGISTRA")</f>
        <v>COORDINADOR DEL SISTEMA INTERNO DE ASEGURAMIENTO DE LA CALIDAD - SIAC</v>
      </c>
      <c r="E3642" s="5" t="str">
        <f>IFERROR(VLOOKUP(A3642,'Base Prueba'!A:E,5,),"NO REGISTRA")</f>
        <v>OFICINA DE PLANEACION Y GESTION DE LA CALIDAD</v>
      </c>
    </row>
    <row r="3643" spans="1:5" ht="15.75" x14ac:dyDescent="0.25">
      <c r="A3643" s="10">
        <v>53932358</v>
      </c>
      <c r="B3643" s="2">
        <v>46090.351098495368</v>
      </c>
      <c r="C3643" s="3" t="str">
        <f>IFERROR(VLOOKUP(A3643,'Base Prueba'!A:C,3,),"NO REGISTRA")</f>
        <v>DIANA MADELEYNE GAONA RODRIGUEZ</v>
      </c>
      <c r="D3643" s="4" t="str">
        <f>IFERROR(VLOOKUP(A3643,'Base Prueba'!A:D,4,),"NO REGISTRA")</f>
        <v>CONTADOR</v>
      </c>
      <c r="E3643" s="5" t="str">
        <f>IFERROR(VLOOKUP(A3643,'Base Prueba'!A:E,5,),"NO REGISTRA")</f>
        <v>AREA FINANCIERA Y CONTABLE</v>
      </c>
    </row>
    <row r="3644" spans="1:5" ht="15.75" x14ac:dyDescent="0.25">
      <c r="A3644" s="10">
        <v>80191732</v>
      </c>
      <c r="B3644" s="2">
        <v>46090.352490393518</v>
      </c>
      <c r="C3644" s="3" t="str">
        <f>IFERROR(VLOOKUP(A3644,'Base Prueba'!A:C,3,),"NO REGISTRA")</f>
        <v>DANIEL MAURICIO ZAMBRANO TUNJANO</v>
      </c>
      <c r="D3644" s="4" t="str">
        <f>IFERROR(VLOOKUP(A3644,'Base Prueba'!A:D,4,),"NO REGISTRA")</f>
        <v>COORDINADOR DE DISEÑO E IMAGEN INSTITUCIONAL</v>
      </c>
      <c r="E3644" s="5" t="str">
        <f>IFERROR(VLOOKUP(A3644,'Base Prueba'!A:E,5,),"NO REGISTRA")</f>
        <v>OFICINA DE MERCADEO</v>
      </c>
    </row>
    <row r="3645" spans="1:5" ht="15.75" x14ac:dyDescent="0.25">
      <c r="A3645" s="10">
        <v>1000604979</v>
      </c>
      <c r="B3645" s="2">
        <v>46090.352646643521</v>
      </c>
      <c r="C3645" s="3" t="str">
        <f>IFERROR(VLOOKUP(A3645,'Base Prueba'!A:C,3,),"NO REGISTRA")</f>
        <v>JULIETH TATIANA PARDO PINTO</v>
      </c>
      <c r="D3645" s="4" t="str">
        <f>IFERROR(VLOOKUP(A3645,'Base Prueba'!A:D,4,),"NO REGISTRA")</f>
        <v>AUXILIAR JURIDICO</v>
      </c>
      <c r="E3645" s="5" t="str">
        <f>IFERROR(VLOOKUP(A3645,'Base Prueba'!A:E,5,),"NO REGISTRA")</f>
        <v>SECRETARIA GENERAL</v>
      </c>
    </row>
    <row r="3646" spans="1:5" ht="15.75" x14ac:dyDescent="0.25">
      <c r="A3646" s="10">
        <v>1000593372</v>
      </c>
      <c r="B3646" s="2">
        <v>46090.352787731485</v>
      </c>
      <c r="C3646" s="3" t="str">
        <f>IFERROR(VLOOKUP(A3646,'Base Prueba'!A:C,3,),"NO REGISTRA")</f>
        <v>LAURA SOFIA CHAPARRO LOPEZ</v>
      </c>
      <c r="D3646" s="4" t="str">
        <f>IFERROR(VLOOKUP(A3646,'Base Prueba'!A:D,4,),"NO REGISTRA")</f>
        <v>AUXILIAR JURIDICO</v>
      </c>
      <c r="E3646" s="5" t="str">
        <f>IFERROR(VLOOKUP(A3646,'Base Prueba'!A:E,5,),"NO REGISTRA")</f>
        <v>SECRETARIA GENERAL</v>
      </c>
    </row>
    <row r="3647" spans="1:5" ht="15.75" x14ac:dyDescent="0.25">
      <c r="A3647" s="10">
        <v>1033709056</v>
      </c>
      <c r="B3647" s="2">
        <v>46090.358703935184</v>
      </c>
      <c r="C3647" s="3" t="str">
        <f>IFERROR(VLOOKUP(A3647,'Base Prueba'!A:C,3,),"NO REGISTRA")</f>
        <v>YEIMY ALEXANDRA RODRIGUEZ PALACIO</v>
      </c>
      <c r="D3647" s="4" t="str">
        <f>IFERROR(VLOOKUP(A3647,'Base Prueba'!A:D,4,),"NO REGISTRA")</f>
        <v>PROMOTOR CALL CENTER</v>
      </c>
      <c r="E3647" s="5" t="str">
        <f>IFERROR(VLOOKUP(A3647,'Base Prueba'!A:E,5,),"NO REGISTRA")</f>
        <v>OFICINA DE MERCADEO</v>
      </c>
    </row>
    <row r="3648" spans="1:5" ht="15.75" x14ac:dyDescent="0.25">
      <c r="A3648" s="10">
        <v>1018413529</v>
      </c>
      <c r="B3648" s="2">
        <v>46090.364431018519</v>
      </c>
      <c r="C3648" s="3" t="str">
        <f>IFERROR(VLOOKUP(A3648,'Base Prueba'!A:C,3,),"NO REGISTRA")</f>
        <v>FRANCY STELLA CHARRY MORENO</v>
      </c>
      <c r="D3648" s="4" t="str">
        <f>IFERROR(VLOOKUP(A3648,'Base Prueba'!A:D,4,),"NO REGISTRA")</f>
        <v>PROMOTOR COMERCIAL DEL CEA</v>
      </c>
      <c r="E3648" s="5" t="str">
        <f>IFERROR(VLOOKUP(A3648,'Base Prueba'!A:E,5,),"NO REGISTRA")</f>
        <v>OFICINA DE MERCADEO</v>
      </c>
    </row>
    <row r="3649" spans="1:5" ht="15.75" x14ac:dyDescent="0.25">
      <c r="A3649" s="10">
        <v>52472386</v>
      </c>
      <c r="B3649" s="2">
        <v>46090.367666203703</v>
      </c>
      <c r="C3649" s="3" t="str">
        <f>IFERROR(VLOOKUP(A3649,'Base Prueba'!A:C,3,),"NO REGISTRA")</f>
        <v>ADRIANA MARCELA MORALES PARDO</v>
      </c>
      <c r="D3649" s="4" t="str">
        <f>IFERROR(VLOOKUP(A3649,'Base Prueba'!A:D,4,),"NO REGISTRA")</f>
        <v>PROMOTOR CALL CENTER</v>
      </c>
      <c r="E3649" s="5" t="str">
        <f>IFERROR(VLOOKUP(A3649,'Base Prueba'!A:E,5,),"NO REGISTRA")</f>
        <v>OFICINA DE MERCADEO</v>
      </c>
    </row>
    <row r="3650" spans="1:5" ht="15.75" x14ac:dyDescent="0.25">
      <c r="A3650" s="10">
        <v>1016090131</v>
      </c>
      <c r="B3650" s="2">
        <v>46090.369641435187</v>
      </c>
      <c r="C3650" s="3" t="str">
        <f>IFERROR(VLOOKUP(A3650,'Base Prueba'!A:C,3,),"NO REGISTRA")</f>
        <v>NICOLAS RODRIGUEZ PACHECO</v>
      </c>
      <c r="D3650" s="4" t="str">
        <f>IFERROR(VLOOKUP(A3650,'Base Prueba'!A:D,4,),"NO REGISTRA")</f>
        <v>COORDINADOR DE COMUNICACIONES</v>
      </c>
      <c r="E3650" s="5" t="str">
        <f>IFERROR(VLOOKUP(A3650,'Base Prueba'!A:E,5,),"NO REGISTRA")</f>
        <v>OFICINA DE MERCADEO</v>
      </c>
    </row>
    <row r="3651" spans="1:5" ht="15.75" x14ac:dyDescent="0.25">
      <c r="A3651" s="10">
        <v>1012426741</v>
      </c>
      <c r="B3651" s="2">
        <v>46090.370073958336</v>
      </c>
      <c r="C3651" s="3" t="str">
        <f>IFERROR(VLOOKUP(A3651,'Base Prueba'!A:C,3,),"NO REGISTRA")</f>
        <v>CRISTIAN FABIAN ROJAS SANCENO</v>
      </c>
      <c r="D3651" s="4" t="str">
        <f>IFERROR(VLOOKUP(A3651,'Base Prueba'!A:D,4,),"NO REGISTRA")</f>
        <v>AUXILIAR DE REINTEGROS</v>
      </c>
      <c r="E3651" s="5" t="str">
        <f>IFERROR(VLOOKUP(A3651,'Base Prueba'!A:E,5,),"NO REGISTRA")</f>
        <v>DIRECCION DE BIENESTAR INSTITUCIONAL</v>
      </c>
    </row>
    <row r="3652" spans="1:5" ht="15.75" x14ac:dyDescent="0.25">
      <c r="A3652" s="10">
        <v>1032407386</v>
      </c>
      <c r="B3652" s="2">
        <v>46090.370929050929</v>
      </c>
      <c r="C3652" s="3" t="str">
        <f>IFERROR(VLOOKUP(A3652,'Base Prueba'!A:C,3,),"NO REGISTRA")</f>
        <v>GINA PAOLA BAEZ GALVIS</v>
      </c>
      <c r="D3652" s="4" t="str">
        <f>IFERROR(VLOOKUP(A3652,'Base Prueba'!A:D,4,),"NO REGISTRA")</f>
        <v>PROMOTOR CALL CENTER</v>
      </c>
      <c r="E3652" s="5" t="str">
        <f>IFERROR(VLOOKUP(A3652,'Base Prueba'!A:E,5,),"NO REGISTRA")</f>
        <v>OFICINA DE MERCADEO</v>
      </c>
    </row>
    <row r="3653" spans="1:5" ht="15.75" x14ac:dyDescent="0.25">
      <c r="A3653" s="10">
        <v>28798349</v>
      </c>
      <c r="B3653" s="2">
        <v>46090.371656597221</v>
      </c>
      <c r="C3653" s="3" t="str">
        <f>IFERROR(VLOOKUP(A3653,'Base Prueba'!A:C,3,),"NO REGISTRA")</f>
        <v>MARTHA ISABEL TOVAR WILLIAMS</v>
      </c>
      <c r="D3653" s="4" t="str">
        <f>IFERROR(VLOOKUP(A3653,'Base Prueba'!A:D,4,),"NO REGISTRA")</f>
        <v>PROMOTOR CALL CENTER</v>
      </c>
      <c r="E3653" s="5" t="str">
        <f>IFERROR(VLOOKUP(A3653,'Base Prueba'!A:E,5,),"NO REGISTRA")</f>
        <v>OFICINA DE MERCADEO</v>
      </c>
    </row>
    <row r="3654" spans="1:5" ht="15.75" x14ac:dyDescent="0.25">
      <c r="A3654" s="10">
        <v>53089882</v>
      </c>
      <c r="B3654" s="2">
        <v>46090.372286458332</v>
      </c>
      <c r="C3654" s="3" t="str">
        <f>IFERROR(VLOOKUP(A3654,'Base Prueba'!A:C,3,),"NO REGISTRA")</f>
        <v>MARIA JOHANA ESCAMILLA MARTINEZ</v>
      </c>
      <c r="D3654" s="4" t="str">
        <f>IFERROR(VLOOKUP(A3654,'Base Prueba'!A:D,4,),"NO REGISTRA")</f>
        <v>PROMOTOR DE INFORMACIÓN</v>
      </c>
      <c r="E3654" s="5" t="str">
        <f>IFERROR(VLOOKUP(A3654,'Base Prueba'!A:E,5,),"NO REGISTRA")</f>
        <v>OFICINA DE MERCADEO</v>
      </c>
    </row>
    <row r="3655" spans="1:5" ht="15.75" x14ac:dyDescent="0.25">
      <c r="A3655" s="10">
        <v>1023961952</v>
      </c>
      <c r="B3655" s="2">
        <v>46090.373859375002</v>
      </c>
      <c r="C3655" s="3" t="str">
        <f>IFERROR(VLOOKUP(A3655,'Base Prueba'!A:C,3,),"NO REGISTRA")</f>
        <v>ALEJANDRO PINZON MERCHAN</v>
      </c>
      <c r="D3655" s="4" t="str">
        <f>IFERROR(VLOOKUP(A3655,'Base Prueba'!A:D,4,),"NO REGISTRA")</f>
        <v>PROMOTOR CALL CENTER</v>
      </c>
      <c r="E3655" s="5" t="str">
        <f>IFERROR(VLOOKUP(A3655,'Base Prueba'!A:E,5,),"NO REGISTRA")</f>
        <v>OFICINA DE MERCADEO</v>
      </c>
    </row>
    <row r="3656" spans="1:5" ht="15.75" x14ac:dyDescent="0.25">
      <c r="A3656" s="10">
        <v>1000046533</v>
      </c>
      <c r="B3656" s="2">
        <v>46090.374076273147</v>
      </c>
      <c r="C3656" s="3" t="str">
        <f>IFERROR(VLOOKUP(A3656,'Base Prueba'!A:C,3,),"NO REGISTRA")</f>
        <v>ERIKA JULIETH VALDERRAMA SANCHEZ</v>
      </c>
      <c r="D3656" s="4" t="str">
        <f>IFERROR(VLOOKUP(A3656,'Base Prueba'!A:D,4,),"NO REGISTRA")</f>
        <v>PROMOTOR CALL CENTER</v>
      </c>
      <c r="E3656" s="5" t="str">
        <f>IFERROR(VLOOKUP(A3656,'Base Prueba'!A:E,5,),"NO REGISTRA")</f>
        <v>OFICINA DE MERCADEO</v>
      </c>
    </row>
    <row r="3657" spans="1:5" ht="15.75" x14ac:dyDescent="0.25">
      <c r="A3657" s="10">
        <v>1019105003</v>
      </c>
      <c r="B3657" s="2">
        <v>46090.374690625002</v>
      </c>
      <c r="C3657" s="3" t="str">
        <f>IFERROR(VLOOKUP(A3657,'Base Prueba'!A:C,3,),"NO REGISTRA")</f>
        <v>DAISY JULIETH GASPAR MORENO</v>
      </c>
      <c r="D3657" s="4" t="str">
        <f>IFERROR(VLOOKUP(A3657,'Base Prueba'!A:D,4,),"NO REGISTRA")</f>
        <v>PROMOTOR CALL CENTER</v>
      </c>
      <c r="E3657" s="5" t="str">
        <f>IFERROR(VLOOKUP(A3657,'Base Prueba'!A:E,5,),"NO REGISTRA")</f>
        <v>OFICINA DE MERCADEO</v>
      </c>
    </row>
    <row r="3658" spans="1:5" ht="15.75" x14ac:dyDescent="0.25">
      <c r="A3658" s="10">
        <v>6</v>
      </c>
      <c r="B3658" s="2">
        <v>46090.37807604167</v>
      </c>
      <c r="C3658" s="3" t="str">
        <f>IFERROR(VLOOKUP(A3658,'Base Prueba'!A:C,3,),"NO REGISTRA")</f>
        <v>NO REGISTRA</v>
      </c>
      <c r="D3658" s="4" t="str">
        <f>IFERROR(VLOOKUP(A3658,'Base Prueba'!A:D,4,),"NO REGISTRA")</f>
        <v>NO REGISTRA</v>
      </c>
      <c r="E3658" s="5" t="str">
        <f>IFERROR(VLOOKUP(A3658,'Base Prueba'!A:E,5,),"NO REGISTRA")</f>
        <v>NO REGISTRA</v>
      </c>
    </row>
    <row r="3659" spans="1:5" ht="15.75" x14ac:dyDescent="0.25">
      <c r="A3659" s="10">
        <v>1018414290</v>
      </c>
      <c r="B3659" s="2">
        <v>46090.378144907409</v>
      </c>
      <c r="C3659" s="3" t="str">
        <f>IFERROR(VLOOKUP(A3659,'Base Prueba'!A:C,3,),"NO REGISTRA")</f>
        <v>AMANDA LISBETH RODRIGUEZ LEON</v>
      </c>
      <c r="D3659" s="4" t="str">
        <f>IFERROR(VLOOKUP(A3659,'Base Prueba'!A:D,4,),"NO REGISTRA")</f>
        <v>PROMOTOR CALL CENTER</v>
      </c>
      <c r="E3659" s="5" t="str">
        <f>IFERROR(VLOOKUP(A3659,'Base Prueba'!A:E,5,),"NO REGISTRA")</f>
        <v>OFICINA DE MERCADEO</v>
      </c>
    </row>
    <row r="3660" spans="1:5" ht="15.75" x14ac:dyDescent="0.25">
      <c r="A3660" s="10">
        <v>52175674</v>
      </c>
      <c r="B3660" s="2">
        <v>46090.381106597219</v>
      </c>
      <c r="C3660" s="3" t="str">
        <f>IFERROR(VLOOKUP(A3660,'Base Prueba'!A:C,3,),"NO REGISTRA")</f>
        <v>LUZ YANETH GOMEZ AREVALO</v>
      </c>
      <c r="D3660" s="4" t="str">
        <f>IFERROR(VLOOKUP(A3660,'Base Prueba'!A:D,4,),"NO REGISTRA")</f>
        <v>COORDINADORA DE ADMISIONES</v>
      </c>
      <c r="E3660" s="5" t="str">
        <f>IFERROR(VLOOKUP(A3660,'Base Prueba'!A:E,5,),"NO REGISTRA")</f>
        <v>OFICINA DE MERCADEO</v>
      </c>
    </row>
    <row r="3661" spans="1:5" ht="15.75" x14ac:dyDescent="0.25">
      <c r="A3661" s="10">
        <v>1018413529</v>
      </c>
      <c r="B3661" s="2">
        <v>46090.658487152781</v>
      </c>
      <c r="C3661" s="3" t="str">
        <f>IFERROR(VLOOKUP(A3661,'Base Prueba'!A:C,3,),"NO REGISTRA")</f>
        <v>FRANCY STELLA CHARRY MORENO</v>
      </c>
      <c r="D3661" s="4" t="str">
        <f>IFERROR(VLOOKUP(A3661,'Base Prueba'!A:D,4,),"NO REGISTRA")</f>
        <v>PROMOTOR COMERCIAL DEL CEA</v>
      </c>
      <c r="E3661" s="5" t="str">
        <f>IFERROR(VLOOKUP(A3661,'Base Prueba'!A:E,5,),"NO REGISTRA")</f>
        <v>OFICINA DE MERCADEO</v>
      </c>
    </row>
    <row r="3662" spans="1:5" ht="15.75" x14ac:dyDescent="0.25">
      <c r="A3662" s="10">
        <v>1031802160</v>
      </c>
      <c r="B3662" s="2">
        <v>46090.712538888889</v>
      </c>
      <c r="C3662" s="3" t="str">
        <f>IFERROR(VLOOKUP(A3662,'Base Prueba'!A:C,3,),"NO REGISTRA")</f>
        <v>LUISA MARIA MAHECHA SOTOMAYOR</v>
      </c>
      <c r="D3662" s="4" t="str">
        <f>IFERROR(VLOOKUP(A3662,'Base Prueba'!A:D,4,),"NO REGISTRA")</f>
        <v>APRENDIZ UNIVERSITARIO</v>
      </c>
      <c r="E3662" s="5" t="str">
        <f>IFERROR(VLOOKUP(A3662,'Base Prueba'!A:E,5,),"NO REGISTRA")</f>
        <v>OFICINA DE MERCADEO</v>
      </c>
    </row>
    <row r="3663" spans="1:5" ht="15.75" x14ac:dyDescent="0.25">
      <c r="A3663" s="10">
        <v>1024512067</v>
      </c>
      <c r="B3663" s="2">
        <v>46090.735294675927</v>
      </c>
      <c r="C3663" s="3" t="str">
        <f>IFERROR(VLOOKUP(A3663,'Base Prueba'!A:C,3,),"NO REGISTRA")</f>
        <v>CINDY GIOVANA SALGAR GOMEZ</v>
      </c>
      <c r="D3663" s="4" t="str">
        <f>IFERROR(VLOOKUP(A3663,'Base Prueba'!A:D,4,),"NO REGISTRA")</f>
        <v>COORDINADOR DEL SISTEMA INTEGRADO DE GESTION INSTITUCIONAL - SIGI</v>
      </c>
      <c r="E3663" s="5" t="str">
        <f>IFERROR(VLOOKUP(A3663,'Base Prueba'!A:E,5,),"NO REGISTRA")</f>
        <v>OFICINA DE PLANEACION Y GESTION DE LA CALIDAD</v>
      </c>
    </row>
    <row r="3664" spans="1:5" ht="15.75" x14ac:dyDescent="0.25">
      <c r="A3664" s="10">
        <v>1010184333</v>
      </c>
      <c r="B3664" s="2">
        <v>46090.748743402779</v>
      </c>
      <c r="C3664" s="3" t="str">
        <f>IFERROR(VLOOKUP(A3664,'Base Prueba'!A:C,3,),"NO REGISTRA")</f>
        <v>AKON ANDRES GARZON ALVAREZ</v>
      </c>
      <c r="D3664" s="4" t="str">
        <f>IFERROR(VLOOKUP(A3664,'Base Prueba'!A:D,4,),"NO REGISTRA")</f>
        <v>APRENDIZ UNIVERSITARIO</v>
      </c>
      <c r="E3664" s="5" t="str">
        <f>IFERROR(VLOOKUP(A3664,'Base Prueba'!A:E,5,),"NO REGISTRA")</f>
        <v>SECRETARIA GENERAL</v>
      </c>
    </row>
    <row r="3665" spans="1:5" ht="15.75" x14ac:dyDescent="0.25">
      <c r="A3665" s="10">
        <v>1000604979</v>
      </c>
      <c r="B3665" s="2">
        <v>46090.749716319442</v>
      </c>
      <c r="C3665" s="3" t="str">
        <f>IFERROR(VLOOKUP(A3665,'Base Prueba'!A:C,3,),"NO REGISTRA")</f>
        <v>JULIETH TATIANA PARDO PINTO</v>
      </c>
      <c r="D3665" s="4" t="str">
        <f>IFERROR(VLOOKUP(A3665,'Base Prueba'!A:D,4,),"NO REGISTRA")</f>
        <v>AUXILIAR JURIDICO</v>
      </c>
      <c r="E3665" s="5" t="str">
        <f>IFERROR(VLOOKUP(A3665,'Base Prueba'!A:E,5,),"NO REGISTRA")</f>
        <v>SECRETARIA GENERAL</v>
      </c>
    </row>
    <row r="3666" spans="1:5" ht="15.75" x14ac:dyDescent="0.25">
      <c r="A3666" s="10">
        <v>1000593372</v>
      </c>
      <c r="B3666" s="2">
        <v>46090.7497337963</v>
      </c>
      <c r="C3666" s="3" t="str">
        <f>IFERROR(VLOOKUP(A3666,'Base Prueba'!A:C,3,),"NO REGISTRA")</f>
        <v>LAURA SOFIA CHAPARRO LOPEZ</v>
      </c>
      <c r="D3666" s="4" t="str">
        <f>IFERROR(VLOOKUP(A3666,'Base Prueba'!A:D,4,),"NO REGISTRA")</f>
        <v>AUXILIAR JURIDICO</v>
      </c>
      <c r="E3666" s="5" t="str">
        <f>IFERROR(VLOOKUP(A3666,'Base Prueba'!A:E,5,),"NO REGISTRA")</f>
        <v>SECRETARIA GENERAL</v>
      </c>
    </row>
    <row r="3667" spans="1:5" ht="15.75" x14ac:dyDescent="0.25">
      <c r="A3667" s="10">
        <v>1012426741</v>
      </c>
      <c r="B3667" s="2">
        <v>46090.75007800926</v>
      </c>
      <c r="C3667" s="3" t="str">
        <f>IFERROR(VLOOKUP(A3667,'Base Prueba'!A:C,3,),"NO REGISTRA")</f>
        <v>CRISTIAN FABIAN ROJAS SANCENO</v>
      </c>
      <c r="D3667" s="4" t="str">
        <f>IFERROR(VLOOKUP(A3667,'Base Prueba'!A:D,4,),"NO REGISTRA")</f>
        <v>AUXILIAR DE REINTEGROS</v>
      </c>
      <c r="E3667" s="5" t="str">
        <f>IFERROR(VLOOKUP(A3667,'Base Prueba'!A:E,5,),"NO REGISTRA")</f>
        <v>DIRECCION DE BIENESTAR INSTITUCIONAL</v>
      </c>
    </row>
    <row r="3668" spans="1:5" ht="15.75" x14ac:dyDescent="0.25">
      <c r="A3668" s="10">
        <v>1030567635</v>
      </c>
      <c r="B3668" s="2">
        <v>46090.751399421293</v>
      </c>
      <c r="C3668" s="3" t="str">
        <f>IFERROR(VLOOKUP(A3668,'Base Prueba'!A:C,3,),"NO REGISTRA")</f>
        <v>JEFFERSON ANDRES BARRETO DIAZ</v>
      </c>
      <c r="D3668" s="4" t="str">
        <f>IFERROR(VLOOKUP(A3668,'Base Prueba'!A:D,4,),"NO REGISTRA")</f>
        <v>AUXILIAR DE ARCHIVO</v>
      </c>
      <c r="E3668" s="5" t="str">
        <f>IFERROR(VLOOKUP(A3668,'Base Prueba'!A:E,5,),"NO REGISTRA")</f>
        <v>CENTRO DE GESTION DOCUMENTAL</v>
      </c>
    </row>
    <row r="3669" spans="1:5" ht="15.75" x14ac:dyDescent="0.25">
      <c r="A3669" s="10">
        <v>1049644802</v>
      </c>
      <c r="B3669" s="2">
        <v>46090.753307407409</v>
      </c>
      <c r="C3669" s="3" t="str">
        <f>IFERROR(VLOOKUP(A3669,'Base Prueba'!A:C,3,),"NO REGISTRA")</f>
        <v>DANIELA ALEXANDRA CIPAMOCHA BOSIGA</v>
      </c>
      <c r="D3669" s="4" t="str">
        <f>IFERROR(VLOOKUP(A3669,'Base Prueba'!A:D,4,),"NO REGISTRA")</f>
        <v>LIDER DE DATOS Y SERVICIOS</v>
      </c>
      <c r="E3669" s="5" t="str">
        <f>IFERROR(VLOOKUP(A3669,'Base Prueba'!A:E,5,),"NO REGISTRA")</f>
        <v>OFICINA DE PLANEACION Y GESTION DE LA CALIDAD</v>
      </c>
    </row>
    <row r="3670" spans="1:5" ht="15.75" x14ac:dyDescent="0.25">
      <c r="A3670" s="10">
        <v>1023883232</v>
      </c>
      <c r="B3670" s="2">
        <v>46090.754066666668</v>
      </c>
      <c r="C3670" s="3" t="str">
        <f>IFERROR(VLOOKUP(A3670,'Base Prueba'!A:C,3,),"NO REGISTRA")</f>
        <v>MONICA ANDREA ACERO URBANO</v>
      </c>
      <c r="D3670" s="4" t="str">
        <f>IFERROR(VLOOKUP(A3670,'Base Prueba'!A:D,4,),"NO REGISTRA")</f>
        <v>APOYO INTEGRAL A GESTION HUMANA</v>
      </c>
      <c r="E3670" s="5" t="str">
        <f>IFERROR(VLOOKUP(A3670,'Base Prueba'!A:E,5,),"NO REGISTRA")</f>
        <v>DEPARTAMENTO DE GESTION HUMANA</v>
      </c>
    </row>
    <row r="3671" spans="1:5" ht="15.75" x14ac:dyDescent="0.25">
      <c r="A3671" s="10">
        <v>1193457976</v>
      </c>
      <c r="B3671" s="2">
        <v>46090.7541369213</v>
      </c>
      <c r="C3671" s="3" t="str">
        <f>IFERROR(VLOOKUP(A3671,'Base Prueba'!A:C,3,),"NO REGISTRA")</f>
        <v>SEDENIS RIVAS ASPRILLA</v>
      </c>
      <c r="D3671" s="4" t="str">
        <f>IFERROR(VLOOKUP(A3671,'Base Prueba'!A:D,4,),"NO REGISTRA")</f>
        <v>APRENDIZ UNIVERSITARIO</v>
      </c>
      <c r="E3671" s="5" t="str">
        <f>IFERROR(VLOOKUP(A3671,'Base Prueba'!A:E,5,),"NO REGISTRA")</f>
        <v>DEPARTAMENTO DE GESTION HUMANA</v>
      </c>
    </row>
    <row r="3672" spans="1:5" ht="15.75" x14ac:dyDescent="0.25">
      <c r="A3672" s="10">
        <v>1019105003</v>
      </c>
      <c r="B3672" s="2">
        <v>46090.754386689812</v>
      </c>
      <c r="C3672" s="3" t="str">
        <f>IFERROR(VLOOKUP(A3672,'Base Prueba'!A:C,3,),"NO REGISTRA")</f>
        <v>DAISY JULIETH GASPAR MORENO</v>
      </c>
      <c r="D3672" s="4" t="str">
        <f>IFERROR(VLOOKUP(A3672,'Base Prueba'!A:D,4,),"NO REGISTRA")</f>
        <v>PROMOTOR CALL CENTER</v>
      </c>
      <c r="E3672" s="5" t="str">
        <f>IFERROR(VLOOKUP(A3672,'Base Prueba'!A:E,5,),"NO REGISTRA")</f>
        <v>OFICINA DE MERCADEO</v>
      </c>
    </row>
    <row r="3673" spans="1:5" ht="15.75" x14ac:dyDescent="0.25">
      <c r="A3673" s="10">
        <v>1000046533</v>
      </c>
      <c r="B3673" s="2">
        <v>46090.754637152779</v>
      </c>
      <c r="C3673" s="3" t="str">
        <f>IFERROR(VLOOKUP(A3673,'Base Prueba'!A:C,3,),"NO REGISTRA")</f>
        <v>ERIKA JULIETH VALDERRAMA SANCHEZ</v>
      </c>
      <c r="D3673" s="4" t="str">
        <f>IFERROR(VLOOKUP(A3673,'Base Prueba'!A:D,4,),"NO REGISTRA")</f>
        <v>PROMOTOR CALL CENTER</v>
      </c>
      <c r="E3673" s="5" t="str">
        <f>IFERROR(VLOOKUP(A3673,'Base Prueba'!A:E,5,),"NO REGISTRA")</f>
        <v>OFICINA DE MERCADEO</v>
      </c>
    </row>
    <row r="3674" spans="1:5" ht="15.75" x14ac:dyDescent="0.25">
      <c r="A3674" s="10">
        <v>1022996882</v>
      </c>
      <c r="B3674" s="2">
        <v>46090.754728935186</v>
      </c>
      <c r="C3674" s="3" t="str">
        <f>IFERROR(VLOOKUP(A3674,'Base Prueba'!A:C,3,),"NO REGISTRA")</f>
        <v>NANCY BRIGITH ALDANA GUEVARA</v>
      </c>
      <c r="D3674" s="4" t="str">
        <f>IFERROR(VLOOKUP(A3674,'Base Prueba'!A:D,4,),"NO REGISTRA")</f>
        <v>COORDINADORA DE GESTIÓN HUMANA</v>
      </c>
      <c r="E3674" s="5" t="str">
        <f>IFERROR(VLOOKUP(A3674,'Base Prueba'!A:E,5,),"NO REGISTRA")</f>
        <v>DEPARTAMENTO DE GESTION HUMANA</v>
      </c>
    </row>
    <row r="3675" spans="1:5" ht="15.75" x14ac:dyDescent="0.25">
      <c r="A3675" s="10">
        <v>1014196857</v>
      </c>
      <c r="B3675" s="2">
        <v>46090.754782870368</v>
      </c>
      <c r="C3675" s="3" t="str">
        <f>IFERROR(VLOOKUP(A3675,'Base Prueba'!A:C,3,),"NO REGISTRA")</f>
        <v>CARLOS ANDRES JIMENEZ PARDO</v>
      </c>
      <c r="D3675" s="4" t="str">
        <f>IFERROR(VLOOKUP(A3675,'Base Prueba'!A:D,4,),"NO REGISTRA")</f>
        <v>COORDINADOR DE MARKETING DIGITAL</v>
      </c>
      <c r="E3675" s="5" t="str">
        <f>IFERROR(VLOOKUP(A3675,'Base Prueba'!A:E,5,),"NO REGISTRA")</f>
        <v>OFICINA DE MERCADEO</v>
      </c>
    </row>
    <row r="3676" spans="1:5" ht="15.75" x14ac:dyDescent="0.25">
      <c r="A3676" s="10">
        <v>1000257136</v>
      </c>
      <c r="B3676" s="2">
        <v>46090.754868402779</v>
      </c>
      <c r="C3676" s="3" t="str">
        <f>IFERROR(VLOOKUP(A3676,'Base Prueba'!A:C,3,),"NO REGISTRA")</f>
        <v>FRANCI VALENTINA CANO PUENTES</v>
      </c>
      <c r="D3676" s="4" t="str">
        <f>IFERROR(VLOOKUP(A3676,'Base Prueba'!A:D,4,),"NO REGISTRA")</f>
        <v>AUXILIAR CONTABLE</v>
      </c>
      <c r="E3676" s="5" t="str">
        <f>IFERROR(VLOOKUP(A3676,'Base Prueba'!A:E,5,),"NO REGISTRA")</f>
        <v>AREA FINANCIERA Y CONTABLE</v>
      </c>
    </row>
    <row r="3677" spans="1:5" ht="15.75" x14ac:dyDescent="0.25">
      <c r="A3677" s="10">
        <v>80191732</v>
      </c>
      <c r="B3677" s="2">
        <v>46090.755428819444</v>
      </c>
      <c r="C3677" s="3" t="str">
        <f>IFERROR(VLOOKUP(A3677,'Base Prueba'!A:C,3,),"NO REGISTRA")</f>
        <v>DANIEL MAURICIO ZAMBRANO TUNJANO</v>
      </c>
      <c r="D3677" s="4" t="str">
        <f>IFERROR(VLOOKUP(A3677,'Base Prueba'!A:D,4,),"NO REGISTRA")</f>
        <v>COORDINADOR DE DISEÑO E IMAGEN INSTITUCIONAL</v>
      </c>
      <c r="E3677" s="5" t="str">
        <f>IFERROR(VLOOKUP(A3677,'Base Prueba'!A:E,5,),"NO REGISTRA")</f>
        <v>OFICINA DE MERCADEO</v>
      </c>
    </row>
    <row r="3678" spans="1:5" ht="15.75" x14ac:dyDescent="0.25">
      <c r="A3678" s="10">
        <v>52472386</v>
      </c>
      <c r="B3678" s="2">
        <v>46090.755621643519</v>
      </c>
      <c r="C3678" s="3" t="str">
        <f>IFERROR(VLOOKUP(A3678,'Base Prueba'!A:C,3,),"NO REGISTRA")</f>
        <v>ADRIANA MARCELA MORALES PARDO</v>
      </c>
      <c r="D3678" s="4" t="str">
        <f>IFERROR(VLOOKUP(A3678,'Base Prueba'!A:D,4,),"NO REGISTRA")</f>
        <v>PROMOTOR CALL CENTER</v>
      </c>
      <c r="E3678" s="5" t="str">
        <f>IFERROR(VLOOKUP(A3678,'Base Prueba'!A:E,5,),"NO REGISTRA")</f>
        <v>OFICINA DE MERCADEO</v>
      </c>
    </row>
    <row r="3679" spans="1:5" ht="15.75" x14ac:dyDescent="0.25">
      <c r="A3679" s="10">
        <v>52175674</v>
      </c>
      <c r="B3679" s="2">
        <v>46090.756393402778</v>
      </c>
      <c r="C3679" s="3" t="str">
        <f>IFERROR(VLOOKUP(A3679,'Base Prueba'!A:C,3,),"NO REGISTRA")</f>
        <v>LUZ YANETH GOMEZ AREVALO</v>
      </c>
      <c r="D3679" s="4" t="str">
        <f>IFERROR(VLOOKUP(A3679,'Base Prueba'!A:D,4,),"NO REGISTRA")</f>
        <v>COORDINADORA DE ADMISIONES</v>
      </c>
      <c r="E3679" s="5" t="str">
        <f>IFERROR(VLOOKUP(A3679,'Base Prueba'!A:E,5,),"NO REGISTRA")</f>
        <v>OFICINA DE MERCADEO</v>
      </c>
    </row>
    <row r="3680" spans="1:5" ht="15.75" x14ac:dyDescent="0.25">
      <c r="A3680" s="10">
        <v>1014977624</v>
      </c>
      <c r="B3680" s="2">
        <v>46090.757756018516</v>
      </c>
      <c r="C3680" s="3" t="str">
        <f>IFERROR(VLOOKUP(A3680,'Base Prueba'!A:C,3,),"NO REGISTRA")</f>
        <v>NICCOLE VALENTINA HERNANDEZ MALAVER</v>
      </c>
      <c r="D3680" s="4" t="str">
        <f>IFERROR(VLOOKUP(A3680,'Base Prueba'!A:D,4,),"NO REGISTRA")</f>
        <v>APRENDIZ UNIVERSITARIO</v>
      </c>
      <c r="E3680" s="5" t="str">
        <f>IFERROR(VLOOKUP(A3680,'Base Prueba'!A:E,5,),"NO REGISTRA")</f>
        <v>AREA FINANCIERA Y CONTABLE</v>
      </c>
    </row>
    <row r="3681" spans="1:5" ht="15.75" x14ac:dyDescent="0.25">
      <c r="A3681" s="10">
        <v>1023961952</v>
      </c>
      <c r="B3681" s="2">
        <v>46090.758417245372</v>
      </c>
      <c r="C3681" s="3" t="str">
        <f>IFERROR(VLOOKUP(A3681,'Base Prueba'!A:C,3,),"NO REGISTRA")</f>
        <v>ALEJANDRO PINZON MERCHAN</v>
      </c>
      <c r="D3681" s="4" t="str">
        <f>IFERROR(VLOOKUP(A3681,'Base Prueba'!A:D,4,),"NO REGISTRA")</f>
        <v>PROMOTOR CALL CENTER</v>
      </c>
      <c r="E3681" s="5" t="str">
        <f>IFERROR(VLOOKUP(A3681,'Base Prueba'!A:E,5,),"NO REGISTRA")</f>
        <v>OFICINA DE MERCADEO</v>
      </c>
    </row>
    <row r="3682" spans="1:5" ht="15.75" x14ac:dyDescent="0.25">
      <c r="A3682" s="10">
        <v>28798349</v>
      </c>
      <c r="B3682" s="2">
        <v>46090.758944907408</v>
      </c>
      <c r="C3682" s="3" t="str">
        <f>IFERROR(VLOOKUP(A3682,'Base Prueba'!A:C,3,),"NO REGISTRA")</f>
        <v>MARTHA ISABEL TOVAR WILLIAMS</v>
      </c>
      <c r="D3682" s="4" t="str">
        <f>IFERROR(VLOOKUP(A3682,'Base Prueba'!A:D,4,),"NO REGISTRA")</f>
        <v>PROMOTOR CALL CENTER</v>
      </c>
      <c r="E3682" s="5" t="str">
        <f>IFERROR(VLOOKUP(A3682,'Base Prueba'!A:E,5,),"NO REGISTRA")</f>
        <v>OFICINA DE MERCADEO</v>
      </c>
    </row>
    <row r="3683" spans="1:5" ht="15.75" x14ac:dyDescent="0.25">
      <c r="A3683" s="10">
        <v>1000457706</v>
      </c>
      <c r="B3683" s="2">
        <v>46090.759572916664</v>
      </c>
      <c r="C3683" s="3" t="str">
        <f>IFERROR(VLOOKUP(A3683,'Base Prueba'!A:C,3,),"NO REGISTRA")</f>
        <v>CRISTIAN DANILO ARROYO SANABRIA</v>
      </c>
      <c r="D3683" s="4" t="str">
        <f>IFERROR(VLOOKUP(A3683,'Base Prueba'!A:D,4,),"NO REGISTRA")</f>
        <v>AUXILIAR CONTABLE</v>
      </c>
      <c r="E3683" s="5" t="str">
        <f>IFERROR(VLOOKUP(A3683,'Base Prueba'!A:E,5,),"NO REGISTRA")</f>
        <v>AREA FINANCIERA Y CONTABLE</v>
      </c>
    </row>
    <row r="3684" spans="1:5" ht="15.75" x14ac:dyDescent="0.25">
      <c r="A3684" s="10">
        <v>53089882</v>
      </c>
      <c r="B3684" s="2">
        <v>46090.760026620374</v>
      </c>
      <c r="C3684" s="3" t="str">
        <f>IFERROR(VLOOKUP(A3684,'Base Prueba'!A:C,3,),"NO REGISTRA")</f>
        <v>MARIA JOHANA ESCAMILLA MARTINEZ</v>
      </c>
      <c r="D3684" s="4" t="str">
        <f>IFERROR(VLOOKUP(A3684,'Base Prueba'!A:D,4,),"NO REGISTRA")</f>
        <v>PROMOTOR DE INFORMACIÓN</v>
      </c>
      <c r="E3684" s="5" t="str">
        <f>IFERROR(VLOOKUP(A3684,'Base Prueba'!A:E,5,),"NO REGISTRA")</f>
        <v>OFICINA DE MERCADEO</v>
      </c>
    </row>
    <row r="3685" spans="1:5" ht="15.75" x14ac:dyDescent="0.25">
      <c r="A3685" s="10">
        <v>1033709056</v>
      </c>
      <c r="B3685" s="2">
        <v>46090.760079629632</v>
      </c>
      <c r="C3685" s="3" t="str">
        <f>IFERROR(VLOOKUP(A3685,'Base Prueba'!A:C,3,),"NO REGISTRA")</f>
        <v>YEIMY ALEXANDRA RODRIGUEZ PALACIO</v>
      </c>
      <c r="D3685" s="4" t="str">
        <f>IFERROR(VLOOKUP(A3685,'Base Prueba'!A:D,4,),"NO REGISTRA")</f>
        <v>PROMOTOR CALL CENTER</v>
      </c>
      <c r="E3685" s="5" t="str">
        <f>IFERROR(VLOOKUP(A3685,'Base Prueba'!A:E,5,),"NO REGISTRA")</f>
        <v>OFICINA DE MERCADEO</v>
      </c>
    </row>
    <row r="3686" spans="1:5" ht="15.75" x14ac:dyDescent="0.25">
      <c r="A3686" s="10">
        <v>80238161</v>
      </c>
      <c r="B3686" s="2">
        <v>46090.760774305556</v>
      </c>
      <c r="C3686" s="3" t="str">
        <f>IFERROR(VLOOKUP(A3686,'Base Prueba'!A:C,3,),"NO REGISTRA")</f>
        <v>GERMAN CARRANZA ESPITIA</v>
      </c>
      <c r="D3686" s="4" t="str">
        <f>IFERROR(VLOOKUP(A3686,'Base Prueba'!A:D,4,),"NO REGISTRA")</f>
        <v>TESORERO</v>
      </c>
      <c r="E3686" s="5" t="str">
        <f>IFERROR(VLOOKUP(A3686,'Base Prueba'!A:E,5,),"NO REGISTRA")</f>
        <v>AREA FINANCIERA Y CONTABLE</v>
      </c>
    </row>
    <row r="3687" spans="1:5" ht="15.75" x14ac:dyDescent="0.25">
      <c r="A3687" s="10">
        <v>1032407386</v>
      </c>
      <c r="B3687" s="2">
        <v>46090.763070138892</v>
      </c>
      <c r="C3687" s="3" t="str">
        <f>IFERROR(VLOOKUP(A3687,'Base Prueba'!A:C,3,),"NO REGISTRA")</f>
        <v>GINA PAOLA BAEZ GALVIS</v>
      </c>
      <c r="D3687" s="4" t="str">
        <f>IFERROR(VLOOKUP(A3687,'Base Prueba'!A:D,4,),"NO REGISTRA")</f>
        <v>PROMOTOR CALL CENTER</v>
      </c>
      <c r="E3687" s="5" t="str">
        <f>IFERROR(VLOOKUP(A3687,'Base Prueba'!A:E,5,),"NO REGISTRA")</f>
        <v>OFICINA DE MERCADEO</v>
      </c>
    </row>
    <row r="3688" spans="1:5" ht="15.75" x14ac:dyDescent="0.25">
      <c r="A3688" s="10">
        <v>1018414290</v>
      </c>
      <c r="B3688" s="2">
        <v>46090.763102083336</v>
      </c>
      <c r="C3688" s="3" t="str">
        <f>IFERROR(VLOOKUP(A3688,'Base Prueba'!A:C,3,),"NO REGISTRA")</f>
        <v>AMANDA LISBETH RODRIGUEZ LEON</v>
      </c>
      <c r="D3688" s="4" t="str">
        <f>IFERROR(VLOOKUP(A3688,'Base Prueba'!A:D,4,),"NO REGISTRA")</f>
        <v>PROMOTOR CALL CENTER</v>
      </c>
      <c r="E3688" s="5" t="str">
        <f>IFERROR(VLOOKUP(A3688,'Base Prueba'!A:E,5,),"NO REGISTRA")</f>
        <v>OFICINA DE MERCADEO</v>
      </c>
    </row>
    <row r="3689" spans="1:5" ht="15.75" x14ac:dyDescent="0.25">
      <c r="A3689" s="10">
        <v>53932358</v>
      </c>
      <c r="B3689" s="2">
        <v>46090.767995023147</v>
      </c>
      <c r="C3689" s="3" t="str">
        <f>IFERROR(VLOOKUP(A3689,'Base Prueba'!A:C,3,),"NO REGISTRA")</f>
        <v>DIANA MADELEYNE GAONA RODRIGUEZ</v>
      </c>
      <c r="D3689" s="4" t="str">
        <f>IFERROR(VLOOKUP(A3689,'Base Prueba'!A:D,4,),"NO REGISTRA")</f>
        <v>CONTADOR</v>
      </c>
      <c r="E3689" s="5" t="str">
        <f>IFERROR(VLOOKUP(A3689,'Base Prueba'!A:E,5,),"NO REGISTRA")</f>
        <v>AREA FINANCIERA Y CONTABLE</v>
      </c>
    </row>
    <row r="3690" spans="1:5" ht="15.75" x14ac:dyDescent="0.25">
      <c r="A3690" s="10">
        <v>1000324729</v>
      </c>
      <c r="B3690" s="2">
        <v>46090.777435879631</v>
      </c>
      <c r="C3690" s="3" t="str">
        <f>IFERROR(VLOOKUP(A3690,'Base Prueba'!A:C,3,),"NO REGISTRA")</f>
        <v>ANYIE VANESSA TINOCO CAMACHO</v>
      </c>
      <c r="D3690" s="4" t="str">
        <f>IFERROR(VLOOKUP(A3690,'Base Prueba'!A:D,4,),"NO REGISTRA")</f>
        <v>LIDER DE REGISTRO Y CONTROL</v>
      </c>
      <c r="E3690" s="5" t="str">
        <f>IFERROR(VLOOKUP(A3690,'Base Prueba'!A:E,5,),"NO REGISTRA")</f>
        <v>REGISTRO Y CONTROL ACADEMICO</v>
      </c>
    </row>
    <row r="3691" spans="1:5" ht="15.75" x14ac:dyDescent="0.25">
      <c r="A3691" s="10">
        <v>52474489</v>
      </c>
      <c r="B3691" s="2">
        <v>46090.809178009258</v>
      </c>
      <c r="C3691" s="3" t="str">
        <f>IFERROR(VLOOKUP(A3691,'Base Prueba'!A:C,3,),"NO REGISTRA")</f>
        <v>ADRIANA JIMENA SOTO BOCANEGRA</v>
      </c>
      <c r="D3691" s="4" t="str">
        <f>IFERROR(VLOOKUP(A3691,'Base Prueba'!A:D,4,),"NO REGISTRA")</f>
        <v>COORDINADOR DE LA OFICINA DE REGISTRO Y CONTROL</v>
      </c>
      <c r="E3691" s="5" t="str">
        <f>IFERROR(VLOOKUP(A3691,'Base Prueba'!A:E,5,),"NO REGISTRA")</f>
        <v>REGISTRO Y CONTROL ACADEMICO</v>
      </c>
    </row>
    <row r="3692" spans="1:5" ht="15.75" x14ac:dyDescent="0.25">
      <c r="A3692" s="10">
        <v>1013616244</v>
      </c>
      <c r="B3692" s="2">
        <v>46090.809210416664</v>
      </c>
      <c r="C3692" s="3" t="str">
        <f>IFERROR(VLOOKUP(A3692,'Base Prueba'!A:C,3,),"NO REGISTRA")</f>
        <v>DIANA CAROLINA MARIN BETANCOURT</v>
      </c>
      <c r="D3692" s="4" t="str">
        <f>IFERROR(VLOOKUP(A3692,'Base Prueba'!A:D,4,),"NO REGISTRA")</f>
        <v>AUXILIAR ADMINISTRATIVO</v>
      </c>
      <c r="E3692" s="5" t="str">
        <f>IFERROR(VLOOKUP(A3692,'Base Prueba'!A:E,5,),"NO REGISTRA")</f>
        <v>REGISTRO Y CONTROL ACADEMICO</v>
      </c>
    </row>
    <row r="3693" spans="1:5" ht="15.75" x14ac:dyDescent="0.25">
      <c r="A3693" s="10">
        <v>1087121273</v>
      </c>
      <c r="B3693" s="2">
        <v>46091.305999305558</v>
      </c>
      <c r="C3693" s="3" t="str">
        <f>IFERROR(VLOOKUP(A3693,'Base Prueba'!A:C,3,),"NO REGISTRA")</f>
        <v>MAYRA ALEJANDRA CASTILLO ARBOLEDA</v>
      </c>
      <c r="D3693" s="4" t="str">
        <f>IFERROR(VLOOKUP(A3693,'Base Prueba'!A:D,4,),"NO REGISTRA")</f>
        <v>APOYO INTEGRAL DE MERCADEO</v>
      </c>
      <c r="E3693" s="5" t="str">
        <f>IFERROR(VLOOKUP(A3693,'Base Prueba'!A:E,5,),"NO REGISTRA")</f>
        <v>CENTRO DE GESTION DOCUMENTAL</v>
      </c>
    </row>
    <row r="3694" spans="1:5" ht="15.75" x14ac:dyDescent="0.25">
      <c r="A3694" s="10">
        <v>80725196</v>
      </c>
      <c r="B3694" s="2">
        <v>46091.313562731484</v>
      </c>
      <c r="C3694" s="3" t="str">
        <f>IFERROR(VLOOKUP(A3694,'Base Prueba'!A:C,3,),"NO REGISTRA")</f>
        <v>YEISON YOSET TOVAR BARBOSA</v>
      </c>
      <c r="D3694" s="4" t="str">
        <f>IFERROR(VLOOKUP(A3694,'Base Prueba'!A:D,4,),"NO REGISTRA")</f>
        <v>LIDER GESTION DOCUMENTAL</v>
      </c>
      <c r="E3694" s="5" t="str">
        <f>IFERROR(VLOOKUP(A3694,'Base Prueba'!A:E,5,),"NO REGISTRA")</f>
        <v>CENTRO DE GESTION DOCUMENTAL</v>
      </c>
    </row>
    <row r="3695" spans="1:5" ht="15.75" x14ac:dyDescent="0.25">
      <c r="A3695" s="10">
        <v>1000324729</v>
      </c>
      <c r="B3695" s="2">
        <v>46091.316757638888</v>
      </c>
      <c r="C3695" s="3" t="str">
        <f>IFERROR(VLOOKUP(A3695,'Base Prueba'!A:C,3,),"NO REGISTRA")</f>
        <v>ANYIE VANESSA TINOCO CAMACHO</v>
      </c>
      <c r="D3695" s="4" t="str">
        <f>IFERROR(VLOOKUP(A3695,'Base Prueba'!A:D,4,),"NO REGISTRA")</f>
        <v>LIDER DE REGISTRO Y CONTROL</v>
      </c>
      <c r="E3695" s="5" t="str">
        <f>IFERROR(VLOOKUP(A3695,'Base Prueba'!A:E,5,),"NO REGISTRA")</f>
        <v>REGISTRO Y CONTROL ACADEMICO</v>
      </c>
    </row>
    <row r="3696" spans="1:5" ht="15.75" x14ac:dyDescent="0.25">
      <c r="A3696" s="10">
        <v>1024512067</v>
      </c>
      <c r="B3696" s="2">
        <v>46091.319296875001</v>
      </c>
      <c r="C3696" s="3" t="str">
        <f>IFERROR(VLOOKUP(A3696,'Base Prueba'!A:C,3,),"NO REGISTRA")</f>
        <v>CINDY GIOVANA SALGAR GOMEZ</v>
      </c>
      <c r="D3696" s="4" t="str">
        <f>IFERROR(VLOOKUP(A3696,'Base Prueba'!A:D,4,),"NO REGISTRA")</f>
        <v>COORDINADOR DEL SISTEMA INTEGRADO DE GESTION INSTITUCIONAL - SIGI</v>
      </c>
      <c r="E3696" s="5" t="str">
        <f>IFERROR(VLOOKUP(A3696,'Base Prueba'!A:E,5,),"NO REGISTRA")</f>
        <v>OFICINA DE PLANEACION Y GESTION DE LA CALIDAD</v>
      </c>
    </row>
    <row r="3697" spans="1:5" ht="15.75" x14ac:dyDescent="0.25">
      <c r="A3697" s="10">
        <v>1010184333</v>
      </c>
      <c r="B3697" s="2">
        <v>46091.321429398151</v>
      </c>
      <c r="C3697" s="3" t="str">
        <f>IFERROR(VLOOKUP(A3697,'Base Prueba'!A:C,3,),"NO REGISTRA")</f>
        <v>AKON ANDRES GARZON ALVAREZ</v>
      </c>
      <c r="D3697" s="4" t="str">
        <f>IFERROR(VLOOKUP(A3697,'Base Prueba'!A:D,4,),"NO REGISTRA")</f>
        <v>APRENDIZ UNIVERSITARIO</v>
      </c>
      <c r="E3697" s="5" t="str">
        <f>IFERROR(VLOOKUP(A3697,'Base Prueba'!A:E,5,),"NO REGISTRA")</f>
        <v>SECRETARIA GENERAL</v>
      </c>
    </row>
    <row r="3698" spans="1:5" ht="15.75" x14ac:dyDescent="0.25">
      <c r="A3698" s="10">
        <v>1032469638</v>
      </c>
      <c r="B3698" s="2">
        <v>46091.321824189814</v>
      </c>
      <c r="C3698" s="3" t="str">
        <f>IFERROR(VLOOKUP(A3698,'Base Prueba'!A:C,3,),"NO REGISTRA")</f>
        <v>MAICOL JARBEY GUALTEROS CASTAÑEDA</v>
      </c>
      <c r="D3698" s="4" t="str">
        <f>IFERROR(VLOOKUP(A3698,'Base Prueba'!A:D,4,),"NO REGISTRA")</f>
        <v>COORDINADOR DEL SISTEMA INTERNO DE ASEGURAMIENTO DE LA CALIDAD - SIAC</v>
      </c>
      <c r="E3698" s="5" t="str">
        <f>IFERROR(VLOOKUP(A3698,'Base Prueba'!A:E,5,),"NO REGISTRA")</f>
        <v>OFICINA DE PLANEACION Y GESTION DE LA CALIDAD</v>
      </c>
    </row>
    <row r="3699" spans="1:5" ht="15.75" x14ac:dyDescent="0.25">
      <c r="A3699" s="10">
        <v>1013616244</v>
      </c>
      <c r="B3699" s="2">
        <v>46091.324935763892</v>
      </c>
      <c r="C3699" s="3" t="str">
        <f>IFERROR(VLOOKUP(A3699,'Base Prueba'!A:C,3,),"NO REGISTRA")</f>
        <v>DIANA CAROLINA MARIN BETANCOURT</v>
      </c>
      <c r="D3699" s="4" t="str">
        <f>IFERROR(VLOOKUP(A3699,'Base Prueba'!A:D,4,),"NO REGISTRA")</f>
        <v>AUXILIAR ADMINISTRATIVO</v>
      </c>
      <c r="E3699" s="5" t="str">
        <f>IFERROR(VLOOKUP(A3699,'Base Prueba'!A:E,5,),"NO REGISTRA")</f>
        <v>REGISTRO Y CONTROL ACADEMICO</v>
      </c>
    </row>
    <row r="3700" spans="1:5" ht="15.75" x14ac:dyDescent="0.25">
      <c r="A3700" s="10">
        <v>1000257136</v>
      </c>
      <c r="B3700" s="2">
        <v>46091.329180324072</v>
      </c>
      <c r="C3700" s="3" t="str">
        <f>IFERROR(VLOOKUP(A3700,'Base Prueba'!A:C,3,),"NO REGISTRA")</f>
        <v>FRANCI VALENTINA CANO PUENTES</v>
      </c>
      <c r="D3700" s="4" t="str">
        <f>IFERROR(VLOOKUP(A3700,'Base Prueba'!A:D,4,),"NO REGISTRA")</f>
        <v>AUXILIAR CONTABLE</v>
      </c>
      <c r="E3700" s="5" t="str">
        <f>IFERROR(VLOOKUP(A3700,'Base Prueba'!A:E,5,),"NO REGISTRA")</f>
        <v>AREA FINANCIERA Y CONTABLE</v>
      </c>
    </row>
    <row r="3701" spans="1:5" ht="15.75" x14ac:dyDescent="0.25">
      <c r="A3701" s="10">
        <v>1031802160</v>
      </c>
      <c r="B3701" s="2">
        <v>46091.339352546296</v>
      </c>
      <c r="C3701" s="3" t="str">
        <f>IFERROR(VLOOKUP(A3701,'Base Prueba'!A:C,3,),"NO REGISTRA")</f>
        <v>LUISA MARIA MAHECHA SOTOMAYOR</v>
      </c>
      <c r="D3701" s="4" t="str">
        <f>IFERROR(VLOOKUP(A3701,'Base Prueba'!A:D,4,),"NO REGISTRA")</f>
        <v>APRENDIZ UNIVERSITARIO</v>
      </c>
      <c r="E3701" s="5" t="str">
        <f>IFERROR(VLOOKUP(A3701,'Base Prueba'!A:E,5,),"NO REGISTRA")</f>
        <v>OFICINA DE MERCADEO</v>
      </c>
    </row>
    <row r="3702" spans="1:5" ht="15.75" x14ac:dyDescent="0.25">
      <c r="A3702" s="10">
        <v>1014977624</v>
      </c>
      <c r="B3702" s="2">
        <v>46091.340745370369</v>
      </c>
      <c r="C3702" s="3" t="str">
        <f>IFERROR(VLOOKUP(A3702,'Base Prueba'!A:C,3,),"NO REGISTRA")</f>
        <v>NICCOLE VALENTINA HERNANDEZ MALAVER</v>
      </c>
      <c r="D3702" s="4" t="str">
        <f>IFERROR(VLOOKUP(A3702,'Base Prueba'!A:D,4,),"NO REGISTRA")</f>
        <v>APRENDIZ UNIVERSITARIO</v>
      </c>
      <c r="E3702" s="5" t="str">
        <f>IFERROR(VLOOKUP(A3702,'Base Prueba'!A:E,5,),"NO REGISTRA")</f>
        <v>AREA FINANCIERA Y CONTABLE</v>
      </c>
    </row>
    <row r="3703" spans="1:5" ht="15.75" x14ac:dyDescent="0.25">
      <c r="A3703" s="10">
        <v>80238161</v>
      </c>
      <c r="B3703" s="2">
        <v>46091.343009606484</v>
      </c>
      <c r="C3703" s="3" t="str">
        <f>IFERROR(VLOOKUP(A3703,'Base Prueba'!A:C,3,),"NO REGISTRA")</f>
        <v>GERMAN CARRANZA ESPITIA</v>
      </c>
      <c r="D3703" s="4" t="str">
        <f>IFERROR(VLOOKUP(A3703,'Base Prueba'!A:D,4,),"NO REGISTRA")</f>
        <v>TESORERO</v>
      </c>
      <c r="E3703" s="5" t="str">
        <f>IFERROR(VLOOKUP(A3703,'Base Prueba'!A:E,5,),"NO REGISTRA")</f>
        <v>AREA FINANCIERA Y CONTABLE</v>
      </c>
    </row>
    <row r="3704" spans="1:5" ht="15.75" x14ac:dyDescent="0.25">
      <c r="A3704" s="10">
        <v>1026599257</v>
      </c>
      <c r="B3704" s="2">
        <v>46091.344846643522</v>
      </c>
      <c r="C3704" s="3" t="str">
        <f>IFERROR(VLOOKUP(A3704,'Base Prueba'!A:C,3,),"NO REGISTRA")</f>
        <v>YESENIA PAOLA PINEDA HURTADO</v>
      </c>
      <c r="D3704" s="4" t="str">
        <f>IFERROR(VLOOKUP(A3704,'Base Prueba'!A:D,4,),"NO REGISTRA")</f>
        <v>LIDER DE COMPRAS</v>
      </c>
      <c r="E3704" s="5" t="str">
        <f>IFERROR(VLOOKUP(A3704,'Base Prueba'!A:E,5,),"NO REGISTRA")</f>
        <v>AREA ADMINISTRATIVA</v>
      </c>
    </row>
    <row r="3705" spans="1:5" ht="15.75" x14ac:dyDescent="0.25">
      <c r="A3705" s="10">
        <v>1022996882</v>
      </c>
      <c r="B3705" s="2">
        <v>46091.345020949077</v>
      </c>
      <c r="C3705" s="3" t="str">
        <f>IFERROR(VLOOKUP(A3705,'Base Prueba'!A:C,3,),"NO REGISTRA")</f>
        <v>NANCY BRIGITH ALDANA GUEVARA</v>
      </c>
      <c r="D3705" s="4" t="str">
        <f>IFERROR(VLOOKUP(A3705,'Base Prueba'!A:D,4,),"NO REGISTRA")</f>
        <v>COORDINADORA DE GESTIÓN HUMANA</v>
      </c>
      <c r="E3705" s="5" t="str">
        <f>IFERROR(VLOOKUP(A3705,'Base Prueba'!A:E,5,),"NO REGISTRA")</f>
        <v>DEPARTAMENTO DE GESTION HUMANA</v>
      </c>
    </row>
    <row r="3706" spans="1:5" ht="15.75" x14ac:dyDescent="0.25">
      <c r="A3706" s="10">
        <v>53932358</v>
      </c>
      <c r="B3706" s="2">
        <v>46091.345945370369</v>
      </c>
      <c r="C3706" s="3" t="str">
        <f>IFERROR(VLOOKUP(A3706,'Base Prueba'!A:C,3,),"NO REGISTRA")</f>
        <v>DIANA MADELEYNE GAONA RODRIGUEZ</v>
      </c>
      <c r="D3706" s="4" t="str">
        <f>IFERROR(VLOOKUP(A3706,'Base Prueba'!A:D,4,),"NO REGISTRA")</f>
        <v>CONTADOR</v>
      </c>
      <c r="E3706" s="5" t="str">
        <f>IFERROR(VLOOKUP(A3706,'Base Prueba'!A:E,5,),"NO REGISTRA")</f>
        <v>AREA FINANCIERA Y CONTABLE</v>
      </c>
    </row>
    <row r="3707" spans="1:5" ht="15.75" x14ac:dyDescent="0.25">
      <c r="A3707" s="10">
        <v>1049644802</v>
      </c>
      <c r="B3707" s="2">
        <v>46091.347603935188</v>
      </c>
      <c r="C3707" s="3" t="str">
        <f>IFERROR(VLOOKUP(A3707,'Base Prueba'!A:C,3,),"NO REGISTRA")</f>
        <v>DANIELA ALEXANDRA CIPAMOCHA BOSIGA</v>
      </c>
      <c r="D3707" s="4" t="str">
        <f>IFERROR(VLOOKUP(A3707,'Base Prueba'!A:D,4,),"NO REGISTRA")</f>
        <v>LIDER DE DATOS Y SERVICIOS</v>
      </c>
      <c r="E3707" s="5" t="str">
        <f>IFERROR(VLOOKUP(A3707,'Base Prueba'!A:E,5,),"NO REGISTRA")</f>
        <v>OFICINA DE PLANEACION Y GESTION DE LA CALIDAD</v>
      </c>
    </row>
    <row r="3708" spans="1:5" ht="15.75" x14ac:dyDescent="0.25">
      <c r="A3708" s="10">
        <v>1193457976</v>
      </c>
      <c r="B3708" s="2">
        <v>46091.34921886574</v>
      </c>
      <c r="C3708" s="3" t="str">
        <f>IFERROR(VLOOKUP(A3708,'Base Prueba'!A:C,3,),"NO REGISTRA")</f>
        <v>SEDENIS RIVAS ASPRILLA</v>
      </c>
      <c r="D3708" s="4" t="str">
        <f>IFERROR(VLOOKUP(A3708,'Base Prueba'!A:D,4,),"NO REGISTRA")</f>
        <v>APRENDIZ UNIVERSITARIO</v>
      </c>
      <c r="E3708" s="5" t="str">
        <f>IFERROR(VLOOKUP(A3708,'Base Prueba'!A:E,5,),"NO REGISTRA")</f>
        <v>DEPARTAMENTO DE GESTION HUMANA</v>
      </c>
    </row>
    <row r="3709" spans="1:5" ht="15.75" x14ac:dyDescent="0.25">
      <c r="A3709" s="10">
        <v>725</v>
      </c>
      <c r="B3709" s="2">
        <v>46091.352403935183</v>
      </c>
      <c r="C3709" s="3" t="str">
        <f>IFERROR(VLOOKUP(A3709,'Base Prueba'!A:C,3,),"NO REGISTRA")</f>
        <v>NO REGISTRA</v>
      </c>
      <c r="D3709" s="4" t="str">
        <f>IFERROR(VLOOKUP(A3709,'Base Prueba'!A:D,4,),"NO REGISTRA")</f>
        <v>NO REGISTRA</v>
      </c>
      <c r="E3709" s="5" t="str">
        <f>IFERROR(VLOOKUP(A3709,'Base Prueba'!A:E,5,),"NO REGISTRA")</f>
        <v>NO REGISTRA</v>
      </c>
    </row>
    <row r="3710" spans="1:5" ht="15.75" x14ac:dyDescent="0.25">
      <c r="A3710" s="10">
        <v>1000457706</v>
      </c>
      <c r="B3710" s="2">
        <v>46091.353347800927</v>
      </c>
      <c r="C3710" s="3" t="str">
        <f>IFERROR(VLOOKUP(A3710,'Base Prueba'!A:C,3,),"NO REGISTRA")</f>
        <v>CRISTIAN DANILO ARROYO SANABRIA</v>
      </c>
      <c r="D3710" s="4" t="str">
        <f>IFERROR(VLOOKUP(A3710,'Base Prueba'!A:D,4,),"NO REGISTRA")</f>
        <v>AUXILIAR CONTABLE</v>
      </c>
      <c r="E3710" s="5" t="str">
        <f>IFERROR(VLOOKUP(A3710,'Base Prueba'!A:E,5,),"NO REGISTRA")</f>
        <v>AREA FINANCIERA Y CONTABLE</v>
      </c>
    </row>
    <row r="3711" spans="1:5" ht="15.75" x14ac:dyDescent="0.25">
      <c r="A3711" s="10">
        <v>1023883232</v>
      </c>
      <c r="B3711" s="2">
        <v>46091.35349872685</v>
      </c>
      <c r="C3711" s="3" t="str">
        <f>IFERROR(VLOOKUP(A3711,'Base Prueba'!A:C,3,),"NO REGISTRA")</f>
        <v>MONICA ANDREA ACERO URBANO</v>
      </c>
      <c r="D3711" s="4" t="str">
        <f>IFERROR(VLOOKUP(A3711,'Base Prueba'!A:D,4,),"NO REGISTRA")</f>
        <v>APOYO INTEGRAL A GESTION HUMANA</v>
      </c>
      <c r="E3711" s="5" t="str">
        <f>IFERROR(VLOOKUP(A3711,'Base Prueba'!A:E,5,),"NO REGISTRA")</f>
        <v>DEPARTAMENTO DE GESTION HUMANA</v>
      </c>
    </row>
    <row r="3712" spans="1:5" ht="15.75" x14ac:dyDescent="0.25">
      <c r="A3712" s="10">
        <v>1033709056</v>
      </c>
      <c r="B3712" s="2">
        <v>46091.357437152779</v>
      </c>
      <c r="C3712" s="3" t="str">
        <f>IFERROR(VLOOKUP(A3712,'Base Prueba'!A:C,3,),"NO REGISTRA")</f>
        <v>YEIMY ALEXANDRA RODRIGUEZ PALACIO</v>
      </c>
      <c r="D3712" s="4" t="str">
        <f>IFERROR(VLOOKUP(A3712,'Base Prueba'!A:D,4,),"NO REGISTRA")</f>
        <v>PROMOTOR CALL CENTER</v>
      </c>
      <c r="E3712" s="5" t="str">
        <f>IFERROR(VLOOKUP(A3712,'Base Prueba'!A:E,5,),"NO REGISTRA")</f>
        <v>OFICINA DE MERCADEO</v>
      </c>
    </row>
    <row r="3713" spans="1:5" ht="15.75" x14ac:dyDescent="0.25">
      <c r="A3713" s="10">
        <v>1000604979</v>
      </c>
      <c r="B3713" s="2">
        <v>46091.36070474537</v>
      </c>
      <c r="C3713" s="3" t="str">
        <f>IFERROR(VLOOKUP(A3713,'Base Prueba'!A:C,3,),"NO REGISTRA")</f>
        <v>JULIETH TATIANA PARDO PINTO</v>
      </c>
      <c r="D3713" s="4" t="str">
        <f>IFERROR(VLOOKUP(A3713,'Base Prueba'!A:D,4,),"NO REGISTRA")</f>
        <v>AUXILIAR JURIDICO</v>
      </c>
      <c r="E3713" s="5" t="str">
        <f>IFERROR(VLOOKUP(A3713,'Base Prueba'!A:E,5,),"NO REGISTRA")</f>
        <v>SECRETARIA GENERAL</v>
      </c>
    </row>
    <row r="3714" spans="1:5" ht="15.75" x14ac:dyDescent="0.25">
      <c r="A3714" s="10">
        <v>1000593372</v>
      </c>
      <c r="B3714" s="2">
        <v>46091.360743171295</v>
      </c>
      <c r="C3714" s="3" t="str">
        <f>IFERROR(VLOOKUP(A3714,'Base Prueba'!A:C,3,),"NO REGISTRA")</f>
        <v>LAURA SOFIA CHAPARRO LOPEZ</v>
      </c>
      <c r="D3714" s="4" t="str">
        <f>IFERROR(VLOOKUP(A3714,'Base Prueba'!A:D,4,),"NO REGISTRA")</f>
        <v>AUXILIAR JURIDICO</v>
      </c>
      <c r="E3714" s="5" t="str">
        <f>IFERROR(VLOOKUP(A3714,'Base Prueba'!A:E,5,),"NO REGISTRA")</f>
        <v>SECRETARIA GENERAL</v>
      </c>
    </row>
    <row r="3715" spans="1:5" ht="15.75" x14ac:dyDescent="0.25">
      <c r="A3715" s="10">
        <v>1014196857</v>
      </c>
      <c r="B3715" s="2">
        <v>46091.362073032411</v>
      </c>
      <c r="C3715" s="3" t="str">
        <f>IFERROR(VLOOKUP(A3715,'Base Prueba'!A:C,3,),"NO REGISTRA")</f>
        <v>CARLOS ANDRES JIMENEZ PARDO</v>
      </c>
      <c r="D3715" s="4" t="str">
        <f>IFERROR(VLOOKUP(A3715,'Base Prueba'!A:D,4,),"NO REGISTRA")</f>
        <v>COORDINADOR DE MARKETING DIGITAL</v>
      </c>
      <c r="E3715" s="5" t="str">
        <f>IFERROR(VLOOKUP(A3715,'Base Prueba'!A:E,5,),"NO REGISTRA")</f>
        <v>OFICINA DE MERCADEO</v>
      </c>
    </row>
    <row r="3716" spans="1:5" ht="15.75" x14ac:dyDescent="0.25">
      <c r="A3716" s="10">
        <v>80191732</v>
      </c>
      <c r="B3716" s="2">
        <v>46091.362469560183</v>
      </c>
      <c r="C3716" s="3" t="str">
        <f>IFERROR(VLOOKUP(A3716,'Base Prueba'!A:C,3,),"NO REGISTRA")</f>
        <v>DANIEL MAURICIO ZAMBRANO TUNJANO</v>
      </c>
      <c r="D3716" s="4" t="str">
        <f>IFERROR(VLOOKUP(A3716,'Base Prueba'!A:D,4,),"NO REGISTRA")</f>
        <v>COORDINADOR DE DISEÑO E IMAGEN INSTITUCIONAL</v>
      </c>
      <c r="E3716" s="5" t="str">
        <f>IFERROR(VLOOKUP(A3716,'Base Prueba'!A:E,5,),"NO REGISTRA")</f>
        <v>OFICINA DE MERCADEO</v>
      </c>
    </row>
    <row r="3717" spans="1:5" ht="15.75" x14ac:dyDescent="0.25">
      <c r="A3717" s="10">
        <v>1032407386</v>
      </c>
      <c r="B3717" s="2">
        <v>46091.362975925927</v>
      </c>
      <c r="C3717" s="3" t="str">
        <f>IFERROR(VLOOKUP(A3717,'Base Prueba'!A:C,3,),"NO REGISTRA")</f>
        <v>GINA PAOLA BAEZ GALVIS</v>
      </c>
      <c r="D3717" s="4" t="str">
        <f>IFERROR(VLOOKUP(A3717,'Base Prueba'!A:D,4,),"NO REGISTRA")</f>
        <v>PROMOTOR CALL CENTER</v>
      </c>
      <c r="E3717" s="5" t="str">
        <f>IFERROR(VLOOKUP(A3717,'Base Prueba'!A:E,5,),"NO REGISTRA")</f>
        <v>OFICINA DE MERCADEO</v>
      </c>
    </row>
    <row r="3718" spans="1:5" ht="15.75" x14ac:dyDescent="0.25">
      <c r="A3718" s="10">
        <v>52472386</v>
      </c>
      <c r="B3718" s="2">
        <v>46091.370268865743</v>
      </c>
      <c r="C3718" s="3" t="str">
        <f>IFERROR(VLOOKUP(A3718,'Base Prueba'!A:C,3,),"NO REGISTRA")</f>
        <v>ADRIANA MARCELA MORALES PARDO</v>
      </c>
      <c r="D3718" s="4" t="str">
        <f>IFERROR(VLOOKUP(A3718,'Base Prueba'!A:D,4,),"NO REGISTRA")</f>
        <v>PROMOTOR CALL CENTER</v>
      </c>
      <c r="E3718" s="5" t="str">
        <f>IFERROR(VLOOKUP(A3718,'Base Prueba'!A:E,5,),"NO REGISTRA")</f>
        <v>OFICINA DE MERCADEO</v>
      </c>
    </row>
    <row r="3719" spans="1:5" ht="15.75" x14ac:dyDescent="0.25">
      <c r="A3719" s="10">
        <v>80234243</v>
      </c>
      <c r="B3719" s="2">
        <v>46091.372725694448</v>
      </c>
      <c r="C3719" s="3" t="str">
        <f>IFERROR(VLOOKUP(A3719,'Base Prueba'!A:C,3,),"NO REGISTRA")</f>
        <v>ARGENIS MARTINEZ MARTINEZ</v>
      </c>
      <c r="D3719" s="4" t="str">
        <f>IFERROR(VLOOKUP(A3719,'Base Prueba'!A:D,4,),"NO REGISTRA")</f>
        <v>LIDER CALL CENTER</v>
      </c>
      <c r="E3719" s="5" t="str">
        <f>IFERROR(VLOOKUP(A3719,'Base Prueba'!A:E,5,),"NO REGISTRA")</f>
        <v>OFICINA DE MERCADEO</v>
      </c>
    </row>
    <row r="3720" spans="1:5" ht="15.75" x14ac:dyDescent="0.25">
      <c r="A3720" s="10">
        <v>1023961952</v>
      </c>
      <c r="B3720" s="2">
        <v>46091.374558101852</v>
      </c>
      <c r="C3720" s="3" t="str">
        <f>IFERROR(VLOOKUP(A3720,'Base Prueba'!A:C,3,),"NO REGISTRA")</f>
        <v>ALEJANDRO PINZON MERCHAN</v>
      </c>
      <c r="D3720" s="4" t="str">
        <f>IFERROR(VLOOKUP(A3720,'Base Prueba'!A:D,4,),"NO REGISTRA")</f>
        <v>PROMOTOR CALL CENTER</v>
      </c>
      <c r="E3720" s="5" t="str">
        <f>IFERROR(VLOOKUP(A3720,'Base Prueba'!A:E,5,),"NO REGISTRA")</f>
        <v>OFICINA DE MERCADEO</v>
      </c>
    </row>
    <row r="3721" spans="1:5" ht="15.75" x14ac:dyDescent="0.25">
      <c r="A3721" s="10">
        <v>1019105003</v>
      </c>
      <c r="B3721" s="2">
        <v>46091.375414120368</v>
      </c>
      <c r="C3721" s="3" t="str">
        <f>IFERROR(VLOOKUP(A3721,'Base Prueba'!A:C,3,),"NO REGISTRA")</f>
        <v>DAISY JULIETH GASPAR MORENO</v>
      </c>
      <c r="D3721" s="4" t="str">
        <f>IFERROR(VLOOKUP(A3721,'Base Prueba'!A:D,4,),"NO REGISTRA")</f>
        <v>PROMOTOR CALL CENTER</v>
      </c>
      <c r="E3721" s="5" t="str">
        <f>IFERROR(VLOOKUP(A3721,'Base Prueba'!A:E,5,),"NO REGISTRA")</f>
        <v>OFICINA DE MERCADEO</v>
      </c>
    </row>
    <row r="3722" spans="1:5" ht="15.75" x14ac:dyDescent="0.25">
      <c r="A3722" s="10">
        <v>1012426741</v>
      </c>
      <c r="B3722" s="2">
        <v>46091.379581250003</v>
      </c>
      <c r="C3722" s="3" t="str">
        <f>IFERROR(VLOOKUP(A3722,'Base Prueba'!A:C,3,),"NO REGISTRA")</f>
        <v>CRISTIAN FABIAN ROJAS SANCENO</v>
      </c>
      <c r="D3722" s="4" t="str">
        <f>IFERROR(VLOOKUP(A3722,'Base Prueba'!A:D,4,),"NO REGISTRA")</f>
        <v>AUXILIAR DE REINTEGROS</v>
      </c>
      <c r="E3722" s="5" t="str">
        <f>IFERROR(VLOOKUP(A3722,'Base Prueba'!A:E,5,),"NO REGISTRA")</f>
        <v>DIRECCION DE BIENESTAR INSTITUCIONAL</v>
      </c>
    </row>
    <row r="3723" spans="1:5" ht="15.75" x14ac:dyDescent="0.25">
      <c r="A3723" s="10">
        <v>53089882</v>
      </c>
      <c r="B3723" s="2">
        <v>46091.380713078703</v>
      </c>
      <c r="C3723" s="3" t="str">
        <f>IFERROR(VLOOKUP(A3723,'Base Prueba'!A:C,3,),"NO REGISTRA")</f>
        <v>MARIA JOHANA ESCAMILLA MARTINEZ</v>
      </c>
      <c r="D3723" s="4" t="str">
        <f>IFERROR(VLOOKUP(A3723,'Base Prueba'!A:D,4,),"NO REGISTRA")</f>
        <v>PROMOTOR DE INFORMACIÓN</v>
      </c>
      <c r="E3723" s="5" t="str">
        <f>IFERROR(VLOOKUP(A3723,'Base Prueba'!A:E,5,),"NO REGISTRA")</f>
        <v>OFICINA DE MERCADEO</v>
      </c>
    </row>
    <row r="3724" spans="1:5" ht="15.75" x14ac:dyDescent="0.25">
      <c r="A3724" s="10">
        <v>52175674</v>
      </c>
      <c r="B3724" s="2">
        <v>46091.382212615739</v>
      </c>
      <c r="C3724" s="3" t="str">
        <f>IFERROR(VLOOKUP(A3724,'Base Prueba'!A:C,3,),"NO REGISTRA")</f>
        <v>LUZ YANETH GOMEZ AREVALO</v>
      </c>
      <c r="D3724" s="4" t="str">
        <f>IFERROR(VLOOKUP(A3724,'Base Prueba'!A:D,4,),"NO REGISTRA")</f>
        <v>COORDINADORA DE ADMISIONES</v>
      </c>
      <c r="E3724" s="5" t="str">
        <f>IFERROR(VLOOKUP(A3724,'Base Prueba'!A:E,5,),"NO REGISTRA")</f>
        <v>OFICINA DE MERCADEO</v>
      </c>
    </row>
    <row r="3725" spans="1:5" ht="15.75" x14ac:dyDescent="0.25">
      <c r="A3725" s="10">
        <v>28798349</v>
      </c>
      <c r="B3725" s="2">
        <v>46091.382610069442</v>
      </c>
      <c r="C3725" s="3" t="str">
        <f>IFERROR(VLOOKUP(A3725,'Base Prueba'!A:C,3,),"NO REGISTRA")</f>
        <v>MARTHA ISABEL TOVAR WILLIAMS</v>
      </c>
      <c r="D3725" s="4" t="str">
        <f>IFERROR(VLOOKUP(A3725,'Base Prueba'!A:D,4,),"NO REGISTRA")</f>
        <v>PROMOTOR CALL CENTER</v>
      </c>
      <c r="E3725" s="5" t="str">
        <f>IFERROR(VLOOKUP(A3725,'Base Prueba'!A:E,5,),"NO REGISTRA")</f>
        <v>OFICINA DE MERCADEO</v>
      </c>
    </row>
    <row r="3726" spans="1:5" ht="15.75" x14ac:dyDescent="0.25">
      <c r="A3726" s="10">
        <v>6</v>
      </c>
      <c r="B3726" s="2">
        <v>46091.382658912036</v>
      </c>
      <c r="C3726" s="3" t="str">
        <f>IFERROR(VLOOKUP(A3726,'Base Prueba'!A:C,3,),"NO REGISTRA")</f>
        <v>NO REGISTRA</v>
      </c>
      <c r="D3726" s="4" t="str">
        <f>IFERROR(VLOOKUP(A3726,'Base Prueba'!A:D,4,),"NO REGISTRA")</f>
        <v>NO REGISTRA</v>
      </c>
      <c r="E3726" s="5" t="str">
        <f>IFERROR(VLOOKUP(A3726,'Base Prueba'!A:E,5,),"NO REGISTRA")</f>
        <v>NO REGISTRA</v>
      </c>
    </row>
    <row r="3727" spans="1:5" ht="15.75" x14ac:dyDescent="0.25">
      <c r="A3727" s="10">
        <v>1018414290</v>
      </c>
      <c r="B3727" s="2">
        <v>46091.382760532404</v>
      </c>
      <c r="C3727" s="3" t="str">
        <f>IFERROR(VLOOKUP(A3727,'Base Prueba'!A:C,3,),"NO REGISTRA")</f>
        <v>AMANDA LISBETH RODRIGUEZ LEON</v>
      </c>
      <c r="D3727" s="4" t="str">
        <f>IFERROR(VLOOKUP(A3727,'Base Prueba'!A:D,4,),"NO REGISTRA")</f>
        <v>PROMOTOR CALL CENTER</v>
      </c>
      <c r="E3727" s="5" t="str">
        <f>IFERROR(VLOOKUP(A3727,'Base Prueba'!A:E,5,),"NO REGISTRA")</f>
        <v>OFICINA DE MERCADEO</v>
      </c>
    </row>
    <row r="3728" spans="1:5" ht="15.75" x14ac:dyDescent="0.25">
      <c r="A3728" s="10">
        <v>52764929</v>
      </c>
      <c r="B3728" s="2">
        <v>46091.390747569443</v>
      </c>
      <c r="C3728" s="3" t="str">
        <f>IFERROR(VLOOKUP(A3728,'Base Prueba'!A:C,3,),"NO REGISTRA")</f>
        <v>GUERLY YOHANA DURAN RIVERA</v>
      </c>
      <c r="D3728" s="4" t="str">
        <f>IFERROR(VLOOKUP(A3728,'Base Prueba'!A:D,4,),"NO REGISTRA")</f>
        <v>LIDER DE VINCULACION COLEGIOS</v>
      </c>
      <c r="E3728" s="5" t="str">
        <f>IFERROR(VLOOKUP(A3728,'Base Prueba'!A:E,5,),"NO REGISTRA")</f>
        <v>OFICINA DE MERCADEO</v>
      </c>
    </row>
    <row r="3729" spans="1:5" ht="15.75" x14ac:dyDescent="0.25">
      <c r="A3729" s="10">
        <v>52443092</v>
      </c>
      <c r="B3729" s="2">
        <v>46091.493228472224</v>
      </c>
      <c r="C3729" s="3" t="str">
        <f>IFERROR(VLOOKUP(A3729,'Base Prueba'!A:C,3,),"NO REGISTRA")</f>
        <v>LUZ MYRIAM SAAVEDRA CONTRERAS</v>
      </c>
      <c r="D3729" s="4" t="str">
        <f>IFERROR(VLOOKUP(A3729,'Base Prueba'!A:D,4,),"NO REGISTRA")</f>
        <v>AUXILIAR DE SERVICIOS</v>
      </c>
      <c r="E3729" s="5" t="str">
        <f>IFERROR(VLOOKUP(A3729,'Base Prueba'!A:E,5,),"NO REGISTRA")</f>
        <v>LOGISTICA Y SERVICIOS GENERALES</v>
      </c>
    </row>
    <row r="3730" spans="1:5" ht="15.75" x14ac:dyDescent="0.25">
      <c r="A3730" s="10">
        <v>1087121273</v>
      </c>
      <c r="B3730" s="2">
        <v>46091.726793634261</v>
      </c>
      <c r="C3730" s="3" t="str">
        <f>IFERROR(VLOOKUP(A3730,'Base Prueba'!A:C,3,),"NO REGISTRA")</f>
        <v>MAYRA ALEJANDRA CASTILLO ARBOLEDA</v>
      </c>
      <c r="D3730" s="4" t="str">
        <f>IFERROR(VLOOKUP(A3730,'Base Prueba'!A:D,4,),"NO REGISTRA")</f>
        <v>APOYO INTEGRAL DE MERCADEO</v>
      </c>
      <c r="E3730" s="5" t="str">
        <f>IFERROR(VLOOKUP(A3730,'Base Prueba'!A:E,5,),"NO REGISTRA")</f>
        <v>CENTRO DE GESTION DOCUMENTAL</v>
      </c>
    </row>
    <row r="3731" spans="1:5" ht="15.75" x14ac:dyDescent="0.25">
      <c r="A3731" s="10">
        <v>1010184333</v>
      </c>
      <c r="B3731" s="2">
        <v>46091.727796527775</v>
      </c>
      <c r="C3731" s="3" t="str">
        <f>IFERROR(VLOOKUP(A3731,'Base Prueba'!A:C,3,),"NO REGISTRA")</f>
        <v>AKON ANDRES GARZON ALVAREZ</v>
      </c>
      <c r="D3731" s="4" t="str">
        <f>IFERROR(VLOOKUP(A3731,'Base Prueba'!A:D,4,),"NO REGISTRA")</f>
        <v>APRENDIZ UNIVERSITARIO</v>
      </c>
      <c r="E3731" s="5" t="str">
        <f>IFERROR(VLOOKUP(A3731,'Base Prueba'!A:E,5,),"NO REGISTRA")</f>
        <v>SECRETARIA GENERAL</v>
      </c>
    </row>
    <row r="3732" spans="1:5" ht="15.75" x14ac:dyDescent="0.25">
      <c r="A3732" s="10">
        <v>1024512067</v>
      </c>
      <c r="B3732" s="2">
        <v>46091.737989120367</v>
      </c>
      <c r="C3732" s="3" t="str">
        <f>IFERROR(VLOOKUP(A3732,'Base Prueba'!A:C,3,),"NO REGISTRA")</f>
        <v>CINDY GIOVANA SALGAR GOMEZ</v>
      </c>
      <c r="D3732" s="4" t="str">
        <f>IFERROR(VLOOKUP(A3732,'Base Prueba'!A:D,4,),"NO REGISTRA")</f>
        <v>COORDINADOR DEL SISTEMA INTEGRADO DE GESTION INSTITUCIONAL - SIGI</v>
      </c>
      <c r="E3732" s="5" t="str">
        <f>IFERROR(VLOOKUP(A3732,'Base Prueba'!A:E,5,),"NO REGISTRA")</f>
        <v>OFICINA DE PLANEACION Y GESTION DE LA CALIDAD</v>
      </c>
    </row>
    <row r="3733" spans="1:5" ht="15.75" x14ac:dyDescent="0.25">
      <c r="A3733" s="10">
        <v>1000604979</v>
      </c>
      <c r="B3733" s="2">
        <v>46091.747790046298</v>
      </c>
      <c r="C3733" s="3" t="str">
        <f>IFERROR(VLOOKUP(A3733,'Base Prueba'!A:C,3,),"NO REGISTRA")</f>
        <v>JULIETH TATIANA PARDO PINTO</v>
      </c>
      <c r="D3733" s="4" t="str">
        <f>IFERROR(VLOOKUP(A3733,'Base Prueba'!A:D,4,),"NO REGISTRA")</f>
        <v>AUXILIAR JURIDICO</v>
      </c>
      <c r="E3733" s="5" t="str">
        <f>IFERROR(VLOOKUP(A3733,'Base Prueba'!A:E,5,),"NO REGISTRA")</f>
        <v>SECRETARIA GENERAL</v>
      </c>
    </row>
    <row r="3734" spans="1:5" ht="15.75" x14ac:dyDescent="0.25">
      <c r="A3734" s="10">
        <v>1000593372</v>
      </c>
      <c r="B3734" s="2">
        <v>46091.747833680558</v>
      </c>
      <c r="C3734" s="3" t="str">
        <f>IFERROR(VLOOKUP(A3734,'Base Prueba'!A:C,3,),"NO REGISTRA")</f>
        <v>LAURA SOFIA CHAPARRO LOPEZ</v>
      </c>
      <c r="D3734" s="4" t="str">
        <f>IFERROR(VLOOKUP(A3734,'Base Prueba'!A:D,4,),"NO REGISTRA")</f>
        <v>AUXILIAR JURIDICO</v>
      </c>
      <c r="E3734" s="5" t="str">
        <f>IFERROR(VLOOKUP(A3734,'Base Prueba'!A:E,5,),"NO REGISTRA")</f>
        <v>SECRETARIA GENERAL</v>
      </c>
    </row>
    <row r="3735" spans="1:5" ht="15.75" x14ac:dyDescent="0.25">
      <c r="A3735" s="10">
        <v>1030567635</v>
      </c>
      <c r="B3735" s="2">
        <v>46091.751229861111</v>
      </c>
      <c r="C3735" s="3" t="str">
        <f>IFERROR(VLOOKUP(A3735,'Base Prueba'!A:C,3,),"NO REGISTRA")</f>
        <v>JEFFERSON ANDRES BARRETO DIAZ</v>
      </c>
      <c r="D3735" s="4" t="str">
        <f>IFERROR(VLOOKUP(A3735,'Base Prueba'!A:D,4,),"NO REGISTRA")</f>
        <v>AUXILIAR DE ARCHIVO</v>
      </c>
      <c r="E3735" s="5" t="str">
        <f>IFERROR(VLOOKUP(A3735,'Base Prueba'!A:E,5,),"NO REGISTRA")</f>
        <v>CENTRO DE GESTION DOCUMENTAL</v>
      </c>
    </row>
    <row r="3736" spans="1:5" ht="15.75" x14ac:dyDescent="0.25">
      <c r="A3736" s="10">
        <v>1000467399</v>
      </c>
      <c r="B3736" s="2">
        <v>46091.752563773145</v>
      </c>
      <c r="C3736" s="3" t="str">
        <f>IFERROR(VLOOKUP(A3736,'Base Prueba'!A:C,3,),"NO REGISTRA")</f>
        <v>BRANDO ESTIVEN DIAZ QUIMBAYA</v>
      </c>
      <c r="D3736" s="4" t="str">
        <f>IFERROR(VLOOKUP(A3736,'Base Prueba'!A:D,4,),"NO REGISTRA")</f>
        <v>APRENDIZ UNIVERSITARIO</v>
      </c>
      <c r="E3736" s="5" t="str">
        <f>IFERROR(VLOOKUP(A3736,'Base Prueba'!A:E,5,),"NO REGISTRA")</f>
        <v>DEPARTAMENTO DE GESTION HUMANA</v>
      </c>
    </row>
    <row r="3737" spans="1:5" ht="15.75" x14ac:dyDescent="0.25">
      <c r="A3737" s="10">
        <v>1193457976</v>
      </c>
      <c r="B3737" s="2">
        <v>46091.754858564818</v>
      </c>
      <c r="C3737" s="3" t="str">
        <f>IFERROR(VLOOKUP(A3737,'Base Prueba'!A:C,3,),"NO REGISTRA")</f>
        <v>SEDENIS RIVAS ASPRILLA</v>
      </c>
      <c r="D3737" s="4" t="str">
        <f>IFERROR(VLOOKUP(A3737,'Base Prueba'!A:D,4,),"NO REGISTRA")</f>
        <v>APRENDIZ UNIVERSITARIO</v>
      </c>
      <c r="E3737" s="5" t="str">
        <f>IFERROR(VLOOKUP(A3737,'Base Prueba'!A:E,5,),"NO REGISTRA")</f>
        <v>DEPARTAMENTO DE GESTION HUMANA</v>
      </c>
    </row>
    <row r="3738" spans="1:5" ht="15.75" x14ac:dyDescent="0.25">
      <c r="A3738" s="10">
        <v>1022996882</v>
      </c>
      <c r="B3738" s="2">
        <v>46091.755047916668</v>
      </c>
      <c r="C3738" s="3" t="str">
        <f>IFERROR(VLOOKUP(A3738,'Base Prueba'!A:C,3,),"NO REGISTRA")</f>
        <v>NANCY BRIGITH ALDANA GUEVARA</v>
      </c>
      <c r="D3738" s="4" t="str">
        <f>IFERROR(VLOOKUP(A3738,'Base Prueba'!A:D,4,),"NO REGISTRA")</f>
        <v>COORDINADORA DE GESTIÓN HUMANA</v>
      </c>
      <c r="E3738" s="5" t="str">
        <f>IFERROR(VLOOKUP(A3738,'Base Prueba'!A:E,5,),"NO REGISTRA")</f>
        <v>DEPARTAMENTO DE GESTION HUMANA</v>
      </c>
    </row>
    <row r="3739" spans="1:5" ht="15.75" x14ac:dyDescent="0.25">
      <c r="A3739" s="10">
        <v>1049644802</v>
      </c>
      <c r="B3739" s="2">
        <v>46091.755162384259</v>
      </c>
      <c r="C3739" s="3" t="str">
        <f>IFERROR(VLOOKUP(A3739,'Base Prueba'!A:C,3,),"NO REGISTRA")</f>
        <v>DANIELA ALEXANDRA CIPAMOCHA BOSIGA</v>
      </c>
      <c r="D3739" s="4" t="str">
        <f>IFERROR(VLOOKUP(A3739,'Base Prueba'!A:D,4,),"NO REGISTRA")</f>
        <v>LIDER DE DATOS Y SERVICIOS</v>
      </c>
      <c r="E3739" s="5" t="str">
        <f>IFERROR(VLOOKUP(A3739,'Base Prueba'!A:E,5,),"NO REGISTRA")</f>
        <v>OFICINA DE PLANEACION Y GESTION DE LA CALIDAD</v>
      </c>
    </row>
    <row r="3740" spans="1:5" ht="15.75" x14ac:dyDescent="0.25">
      <c r="A3740" s="10">
        <v>1000257136</v>
      </c>
      <c r="B3740" s="2">
        <v>46091.757969212966</v>
      </c>
      <c r="C3740" s="3" t="str">
        <f>IFERROR(VLOOKUP(A3740,'Base Prueba'!A:C,3,),"NO REGISTRA")</f>
        <v>FRANCI VALENTINA CANO PUENTES</v>
      </c>
      <c r="D3740" s="4" t="str">
        <f>IFERROR(VLOOKUP(A3740,'Base Prueba'!A:D,4,),"NO REGISTRA")</f>
        <v>AUXILIAR CONTABLE</v>
      </c>
      <c r="E3740" s="5" t="str">
        <f>IFERROR(VLOOKUP(A3740,'Base Prueba'!A:E,5,),"NO REGISTRA")</f>
        <v>AREA FINANCIERA Y CONTABLE</v>
      </c>
    </row>
    <row r="3741" spans="1:5" ht="15.75" x14ac:dyDescent="0.25">
      <c r="A3741" s="10">
        <v>53932358</v>
      </c>
      <c r="B3741" s="2">
        <v>46091.762265393518</v>
      </c>
      <c r="C3741" s="3" t="str">
        <f>IFERROR(VLOOKUP(A3741,'Base Prueba'!A:C,3,),"NO REGISTRA")</f>
        <v>DIANA MADELEYNE GAONA RODRIGUEZ</v>
      </c>
      <c r="D3741" s="4" t="str">
        <f>IFERROR(VLOOKUP(A3741,'Base Prueba'!A:D,4,),"NO REGISTRA")</f>
        <v>CONTADOR</v>
      </c>
      <c r="E3741" s="5" t="str">
        <f>IFERROR(VLOOKUP(A3741,'Base Prueba'!A:E,5,),"NO REGISTRA")</f>
        <v>AREA FINANCIERA Y CONTABLE</v>
      </c>
    </row>
    <row r="3742" spans="1:5" ht="15.75" x14ac:dyDescent="0.25">
      <c r="A3742" s="10">
        <v>1014977624</v>
      </c>
      <c r="B3742" s="2">
        <v>46091.762414236109</v>
      </c>
      <c r="C3742" s="3" t="str">
        <f>IFERROR(VLOOKUP(A3742,'Base Prueba'!A:C,3,),"NO REGISTRA")</f>
        <v>NICCOLE VALENTINA HERNANDEZ MALAVER</v>
      </c>
      <c r="D3742" s="4" t="str">
        <f>IFERROR(VLOOKUP(A3742,'Base Prueba'!A:D,4,),"NO REGISTRA")</f>
        <v>APRENDIZ UNIVERSITARIO</v>
      </c>
      <c r="E3742" s="5" t="str">
        <f>IFERROR(VLOOKUP(A3742,'Base Prueba'!A:E,5,),"NO REGISTRA")</f>
        <v>AREA FINANCIERA Y CONTABLE</v>
      </c>
    </row>
    <row r="3743" spans="1:5" ht="15.75" x14ac:dyDescent="0.25">
      <c r="A3743" s="10">
        <v>1000457706</v>
      </c>
      <c r="B3743" s="2">
        <v>46091.76245115741</v>
      </c>
      <c r="C3743" s="3" t="str">
        <f>IFERROR(VLOOKUP(A3743,'Base Prueba'!A:C,3,),"NO REGISTRA")</f>
        <v>CRISTIAN DANILO ARROYO SANABRIA</v>
      </c>
      <c r="D3743" s="4" t="str">
        <f>IFERROR(VLOOKUP(A3743,'Base Prueba'!A:D,4,),"NO REGISTRA")</f>
        <v>AUXILIAR CONTABLE</v>
      </c>
      <c r="E3743" s="5" t="str">
        <f>IFERROR(VLOOKUP(A3743,'Base Prueba'!A:E,5,),"NO REGISTRA")</f>
        <v>AREA FINANCIERA Y CONTABLE</v>
      </c>
    </row>
    <row r="3744" spans="1:5" ht="15.75" x14ac:dyDescent="0.25">
      <c r="A3744" s="10">
        <v>1000324729</v>
      </c>
      <c r="B3744" s="2">
        <v>46091.764606249999</v>
      </c>
      <c r="C3744" s="3" t="str">
        <f>IFERROR(VLOOKUP(A3744,'Base Prueba'!A:C,3,),"NO REGISTRA")</f>
        <v>ANYIE VANESSA TINOCO CAMACHO</v>
      </c>
      <c r="D3744" s="4" t="str">
        <f>IFERROR(VLOOKUP(A3744,'Base Prueba'!A:D,4,),"NO REGISTRA")</f>
        <v>LIDER DE REGISTRO Y CONTROL</v>
      </c>
      <c r="E3744" s="5" t="str">
        <f>IFERROR(VLOOKUP(A3744,'Base Prueba'!A:E,5,),"NO REGISTRA")</f>
        <v>REGISTRO Y CONTROL ACADEMICO</v>
      </c>
    </row>
    <row r="3745" spans="1:5" ht="15.75" x14ac:dyDescent="0.25">
      <c r="A3745" s="10">
        <v>1023883232</v>
      </c>
      <c r="B3745" s="2">
        <v>46091.768212152776</v>
      </c>
      <c r="C3745" s="3" t="str">
        <f>IFERROR(VLOOKUP(A3745,'Base Prueba'!A:C,3,),"NO REGISTRA")</f>
        <v>MONICA ANDREA ACERO URBANO</v>
      </c>
      <c r="D3745" s="4" t="str">
        <f>IFERROR(VLOOKUP(A3745,'Base Prueba'!A:D,4,),"NO REGISTRA")</f>
        <v>APOYO INTEGRAL A GESTION HUMANA</v>
      </c>
      <c r="E3745" s="5" t="str">
        <f>IFERROR(VLOOKUP(A3745,'Base Prueba'!A:E,5,),"NO REGISTRA")</f>
        <v>DEPARTAMENTO DE GESTION HUMANA</v>
      </c>
    </row>
    <row r="3746" spans="1:5" ht="15.75" x14ac:dyDescent="0.25">
      <c r="A3746" s="10">
        <v>1012426741</v>
      </c>
      <c r="B3746" s="2">
        <v>46091.771064004628</v>
      </c>
      <c r="C3746" s="3" t="str">
        <f>IFERROR(VLOOKUP(A3746,'Base Prueba'!A:C,3,),"NO REGISTRA")</f>
        <v>CRISTIAN FABIAN ROJAS SANCENO</v>
      </c>
      <c r="D3746" s="4" t="str">
        <f>IFERROR(VLOOKUP(A3746,'Base Prueba'!A:D,4,),"NO REGISTRA")</f>
        <v>AUXILIAR DE REINTEGROS</v>
      </c>
      <c r="E3746" s="5" t="str">
        <f>IFERROR(VLOOKUP(A3746,'Base Prueba'!A:E,5,),"NO REGISTRA")</f>
        <v>DIRECCION DE BIENESTAR INSTITUCIONAL</v>
      </c>
    </row>
    <row r="3747" spans="1:5" ht="15.75" x14ac:dyDescent="0.25">
      <c r="A3747" s="10">
        <v>1014196857</v>
      </c>
      <c r="B3747" s="2">
        <v>46091.771307523151</v>
      </c>
      <c r="C3747" s="3" t="str">
        <f>IFERROR(VLOOKUP(A3747,'Base Prueba'!A:C,3,),"NO REGISTRA")</f>
        <v>CARLOS ANDRES JIMENEZ PARDO</v>
      </c>
      <c r="D3747" s="4" t="str">
        <f>IFERROR(VLOOKUP(A3747,'Base Prueba'!A:D,4,),"NO REGISTRA")</f>
        <v>COORDINADOR DE MARKETING DIGITAL</v>
      </c>
      <c r="E3747" s="5" t="str">
        <f>IFERROR(VLOOKUP(A3747,'Base Prueba'!A:E,5,),"NO REGISTRA")</f>
        <v>OFICINA DE MERCADEO</v>
      </c>
    </row>
    <row r="3748" spans="1:5" ht="15.75" x14ac:dyDescent="0.25">
      <c r="A3748" s="10">
        <v>1000046533</v>
      </c>
      <c r="B3748" s="2">
        <v>46091.771649768518</v>
      </c>
      <c r="C3748" s="3" t="str">
        <f>IFERROR(VLOOKUP(A3748,'Base Prueba'!A:C,3,),"NO REGISTRA")</f>
        <v>ERIKA JULIETH VALDERRAMA SANCHEZ</v>
      </c>
      <c r="D3748" s="4" t="str">
        <f>IFERROR(VLOOKUP(A3748,'Base Prueba'!A:D,4,),"NO REGISTRA")</f>
        <v>PROMOTOR CALL CENTER</v>
      </c>
      <c r="E3748" s="5" t="str">
        <f>IFERROR(VLOOKUP(A3748,'Base Prueba'!A:E,5,),"NO REGISTRA")</f>
        <v>OFICINA DE MERCADEO</v>
      </c>
    </row>
    <row r="3749" spans="1:5" ht="15.75" x14ac:dyDescent="0.25">
      <c r="A3749" s="10">
        <v>80191732</v>
      </c>
      <c r="B3749" s="2">
        <v>46091.771847453703</v>
      </c>
      <c r="C3749" s="3" t="str">
        <f>IFERROR(VLOOKUP(A3749,'Base Prueba'!A:C,3,),"NO REGISTRA")</f>
        <v>DANIEL MAURICIO ZAMBRANO TUNJANO</v>
      </c>
      <c r="D3749" s="4" t="str">
        <f>IFERROR(VLOOKUP(A3749,'Base Prueba'!A:D,4,),"NO REGISTRA")</f>
        <v>COORDINADOR DE DISEÑO E IMAGEN INSTITUCIONAL</v>
      </c>
      <c r="E3749" s="5" t="str">
        <f>IFERROR(VLOOKUP(A3749,'Base Prueba'!A:E,5,),"NO REGISTRA")</f>
        <v>OFICINA DE MERCADEO</v>
      </c>
    </row>
    <row r="3750" spans="1:5" ht="15.75" x14ac:dyDescent="0.25">
      <c r="A3750" s="10">
        <v>52472386</v>
      </c>
      <c r="B3750" s="2">
        <v>46091.773413773146</v>
      </c>
      <c r="C3750" s="3" t="str">
        <f>IFERROR(VLOOKUP(A3750,'Base Prueba'!A:C,3,),"NO REGISTRA")</f>
        <v>ADRIANA MARCELA MORALES PARDO</v>
      </c>
      <c r="D3750" s="4" t="str">
        <f>IFERROR(VLOOKUP(A3750,'Base Prueba'!A:D,4,),"NO REGISTRA")</f>
        <v>PROMOTOR CALL CENTER</v>
      </c>
      <c r="E3750" s="5" t="str">
        <f>IFERROR(VLOOKUP(A3750,'Base Prueba'!A:E,5,),"NO REGISTRA")</f>
        <v>OFICINA DE MERCADEO</v>
      </c>
    </row>
    <row r="3751" spans="1:5" ht="15.75" x14ac:dyDescent="0.25">
      <c r="A3751" s="10">
        <v>1019105003</v>
      </c>
      <c r="B3751" s="2">
        <v>46091.774648379629</v>
      </c>
      <c r="C3751" s="3" t="str">
        <f>IFERROR(VLOOKUP(A3751,'Base Prueba'!A:C,3,),"NO REGISTRA")</f>
        <v>DAISY JULIETH GASPAR MORENO</v>
      </c>
      <c r="D3751" s="4" t="str">
        <f>IFERROR(VLOOKUP(A3751,'Base Prueba'!A:D,4,),"NO REGISTRA")</f>
        <v>PROMOTOR CALL CENTER</v>
      </c>
      <c r="E3751" s="5" t="str">
        <f>IFERROR(VLOOKUP(A3751,'Base Prueba'!A:E,5,),"NO REGISTRA")</f>
        <v>OFICINA DE MERCADEO</v>
      </c>
    </row>
    <row r="3752" spans="1:5" ht="15.75" x14ac:dyDescent="0.25">
      <c r="A3752" s="10">
        <v>52175674</v>
      </c>
      <c r="B3752" s="2">
        <v>46091.778281250001</v>
      </c>
      <c r="C3752" s="3" t="str">
        <f>IFERROR(VLOOKUP(A3752,'Base Prueba'!A:C,3,),"NO REGISTRA")</f>
        <v>LUZ YANETH GOMEZ AREVALO</v>
      </c>
      <c r="D3752" s="4" t="str">
        <f>IFERROR(VLOOKUP(A3752,'Base Prueba'!A:D,4,),"NO REGISTRA")</f>
        <v>COORDINADORA DE ADMISIONES</v>
      </c>
      <c r="E3752" s="5" t="str">
        <f>IFERROR(VLOOKUP(A3752,'Base Prueba'!A:E,5,),"NO REGISTRA")</f>
        <v>OFICINA DE MERCADEO</v>
      </c>
    </row>
    <row r="3753" spans="1:5" ht="15.75" x14ac:dyDescent="0.25">
      <c r="A3753" s="10">
        <v>1032469638</v>
      </c>
      <c r="B3753" s="2">
        <v>46091.778579282407</v>
      </c>
      <c r="C3753" s="3" t="str">
        <f>IFERROR(VLOOKUP(A3753,'Base Prueba'!A:C,3,),"NO REGISTRA")</f>
        <v>MAICOL JARBEY GUALTEROS CASTAÑEDA</v>
      </c>
      <c r="D3753" s="4" t="str">
        <f>IFERROR(VLOOKUP(A3753,'Base Prueba'!A:D,4,),"NO REGISTRA")</f>
        <v>COORDINADOR DEL SISTEMA INTERNO DE ASEGURAMIENTO DE LA CALIDAD - SIAC</v>
      </c>
      <c r="E3753" s="5" t="str">
        <f>IFERROR(VLOOKUP(A3753,'Base Prueba'!A:E,5,),"NO REGISTRA")</f>
        <v>OFICINA DE PLANEACION Y GESTION DE LA CALIDAD</v>
      </c>
    </row>
    <row r="3754" spans="1:5" ht="15.75" x14ac:dyDescent="0.25">
      <c r="A3754" s="10">
        <v>53089882</v>
      </c>
      <c r="B3754" s="2">
        <v>46091.779095717589</v>
      </c>
      <c r="C3754" s="3" t="str">
        <f>IFERROR(VLOOKUP(A3754,'Base Prueba'!A:C,3,),"NO REGISTRA")</f>
        <v>MARIA JOHANA ESCAMILLA MARTINEZ</v>
      </c>
      <c r="D3754" s="4" t="str">
        <f>IFERROR(VLOOKUP(A3754,'Base Prueba'!A:D,4,),"NO REGISTRA")</f>
        <v>PROMOTOR DE INFORMACIÓN</v>
      </c>
      <c r="E3754" s="5" t="str">
        <f>IFERROR(VLOOKUP(A3754,'Base Prueba'!A:E,5,),"NO REGISTRA")</f>
        <v>OFICINA DE MERCADEO</v>
      </c>
    </row>
    <row r="3755" spans="1:5" ht="15.75" x14ac:dyDescent="0.25">
      <c r="A3755" s="10">
        <v>1032407386</v>
      </c>
      <c r="B3755" s="2">
        <v>46091.779139351849</v>
      </c>
      <c r="C3755" s="3" t="str">
        <f>IFERROR(VLOOKUP(A3755,'Base Prueba'!A:C,3,),"NO REGISTRA")</f>
        <v>GINA PAOLA BAEZ GALVIS</v>
      </c>
      <c r="D3755" s="4" t="str">
        <f>IFERROR(VLOOKUP(A3755,'Base Prueba'!A:D,4,),"NO REGISTRA")</f>
        <v>PROMOTOR CALL CENTER</v>
      </c>
      <c r="E3755" s="5" t="str">
        <f>IFERROR(VLOOKUP(A3755,'Base Prueba'!A:E,5,),"NO REGISTRA")</f>
        <v>OFICINA DE MERCADEO</v>
      </c>
    </row>
    <row r="3756" spans="1:5" ht="15.75" x14ac:dyDescent="0.25">
      <c r="A3756" s="10">
        <v>1018414290</v>
      </c>
      <c r="B3756" s="2">
        <v>46091.779233564812</v>
      </c>
      <c r="C3756" s="3" t="str">
        <f>IFERROR(VLOOKUP(A3756,'Base Prueba'!A:C,3,),"NO REGISTRA")</f>
        <v>AMANDA LISBETH RODRIGUEZ LEON</v>
      </c>
      <c r="D3756" s="4" t="str">
        <f>IFERROR(VLOOKUP(A3756,'Base Prueba'!A:D,4,),"NO REGISTRA")</f>
        <v>PROMOTOR CALL CENTER</v>
      </c>
      <c r="E3756" s="5" t="str">
        <f>IFERROR(VLOOKUP(A3756,'Base Prueba'!A:E,5,),"NO REGISTRA")</f>
        <v>OFICINA DE MERCADEO</v>
      </c>
    </row>
    <row r="3757" spans="1:5" ht="15.75" x14ac:dyDescent="0.25">
      <c r="A3757" s="10">
        <v>1033709056</v>
      </c>
      <c r="B3757" s="2">
        <v>46091.780419328701</v>
      </c>
      <c r="C3757" s="3" t="str">
        <f>IFERROR(VLOOKUP(A3757,'Base Prueba'!A:C,3,),"NO REGISTRA")</f>
        <v>YEIMY ALEXANDRA RODRIGUEZ PALACIO</v>
      </c>
      <c r="D3757" s="4" t="str">
        <f>IFERROR(VLOOKUP(A3757,'Base Prueba'!A:D,4,),"NO REGISTRA")</f>
        <v>PROMOTOR CALL CENTER</v>
      </c>
      <c r="E3757" s="5" t="str">
        <f>IFERROR(VLOOKUP(A3757,'Base Prueba'!A:E,5,),"NO REGISTRA")</f>
        <v>OFICINA DE MERCADEO</v>
      </c>
    </row>
    <row r="3758" spans="1:5" ht="15.75" x14ac:dyDescent="0.25">
      <c r="A3758" s="10">
        <v>1014308296</v>
      </c>
      <c r="B3758" s="2">
        <v>46091.780535416663</v>
      </c>
      <c r="C3758" s="3" t="str">
        <f>IFERROR(VLOOKUP(A3758,'Base Prueba'!A:C,3,),"NO REGISTRA")</f>
        <v>DARLENE YULIANA MORENO CELEITA</v>
      </c>
      <c r="D3758" s="4" t="str">
        <f>IFERROR(VLOOKUP(A3758,'Base Prueba'!A:D,4,),"NO REGISTRA")</f>
        <v>CAJERO PRINCIPAL</v>
      </c>
      <c r="E3758" s="5" t="str">
        <f>IFERROR(VLOOKUP(A3758,'Base Prueba'!A:E,5,),"NO REGISTRA")</f>
        <v>AREA FINANCIERA Y CONTABLE</v>
      </c>
    </row>
    <row r="3759" spans="1:5" ht="15.75" x14ac:dyDescent="0.25">
      <c r="A3759" s="10">
        <v>28798349</v>
      </c>
      <c r="B3759" s="2">
        <v>46091.780930787034</v>
      </c>
      <c r="C3759" s="3" t="str">
        <f>IFERROR(VLOOKUP(A3759,'Base Prueba'!A:C,3,),"NO REGISTRA")</f>
        <v>MARTHA ISABEL TOVAR WILLIAMS</v>
      </c>
      <c r="D3759" s="4" t="str">
        <f>IFERROR(VLOOKUP(A3759,'Base Prueba'!A:D,4,),"NO REGISTRA")</f>
        <v>PROMOTOR CALL CENTER</v>
      </c>
      <c r="E3759" s="5" t="str">
        <f>IFERROR(VLOOKUP(A3759,'Base Prueba'!A:E,5,),"NO REGISTRA")</f>
        <v>OFICINA DE MERCADEO</v>
      </c>
    </row>
    <row r="3760" spans="1:5" ht="15.75" x14ac:dyDescent="0.25">
      <c r="A3760" s="10">
        <v>1023961952</v>
      </c>
      <c r="B3760" s="2">
        <v>46091.781010879633</v>
      </c>
      <c r="C3760" s="3" t="str">
        <f>IFERROR(VLOOKUP(A3760,'Base Prueba'!A:C,3,),"NO REGISTRA")</f>
        <v>ALEJANDRO PINZON MERCHAN</v>
      </c>
      <c r="D3760" s="4" t="str">
        <f>IFERROR(VLOOKUP(A3760,'Base Prueba'!A:D,4,),"NO REGISTRA")</f>
        <v>PROMOTOR CALL CENTER</v>
      </c>
      <c r="E3760" s="5" t="str">
        <f>IFERROR(VLOOKUP(A3760,'Base Prueba'!A:E,5,),"NO REGISTRA")</f>
        <v>OFICINA DE MERCADEO</v>
      </c>
    </row>
    <row r="3761" spans="1:5" ht="15.75" x14ac:dyDescent="0.25">
      <c r="A3761" s="10">
        <v>52443092</v>
      </c>
      <c r="B3761" s="2">
        <v>46091.790892129633</v>
      </c>
      <c r="C3761" s="3" t="str">
        <f>IFERROR(VLOOKUP(A3761,'Base Prueba'!A:C,3,),"NO REGISTRA")</f>
        <v>LUZ MYRIAM SAAVEDRA CONTRERAS</v>
      </c>
      <c r="D3761" s="4" t="str">
        <f>IFERROR(VLOOKUP(A3761,'Base Prueba'!A:D,4,),"NO REGISTRA")</f>
        <v>AUXILIAR DE SERVICIOS</v>
      </c>
      <c r="E3761" s="5" t="str">
        <f>IFERROR(VLOOKUP(A3761,'Base Prueba'!A:E,5,),"NO REGISTRA")</f>
        <v>LOGISTICA Y SERVICIOS GENERALES</v>
      </c>
    </row>
    <row r="3762" spans="1:5" ht="15.75" x14ac:dyDescent="0.25">
      <c r="A3762" s="10">
        <v>80234243</v>
      </c>
      <c r="B3762" s="2">
        <v>46091.790949074071</v>
      </c>
      <c r="C3762" s="3" t="str">
        <f>IFERROR(VLOOKUP(A3762,'Base Prueba'!A:C,3,),"NO REGISTRA")</f>
        <v>ARGENIS MARTINEZ MARTINEZ</v>
      </c>
      <c r="D3762" s="4" t="str">
        <f>IFERROR(VLOOKUP(A3762,'Base Prueba'!A:D,4,),"NO REGISTRA")</f>
        <v>LIDER CALL CENTER</v>
      </c>
      <c r="E3762" s="5" t="str">
        <f>IFERROR(VLOOKUP(A3762,'Base Prueba'!A:E,5,),"NO REGISTRA")</f>
        <v>OFICINA DE MERCADEO</v>
      </c>
    </row>
    <row r="3763" spans="1:5" ht="15.75" x14ac:dyDescent="0.25">
      <c r="A3763" s="10">
        <v>80238161</v>
      </c>
      <c r="B3763" s="2">
        <v>46091.791524537039</v>
      </c>
      <c r="C3763" s="3" t="str">
        <f>IFERROR(VLOOKUP(A3763,'Base Prueba'!A:C,3,),"NO REGISTRA")</f>
        <v>GERMAN CARRANZA ESPITIA</v>
      </c>
      <c r="D3763" s="4" t="str">
        <f>IFERROR(VLOOKUP(A3763,'Base Prueba'!A:D,4,),"NO REGISTRA")</f>
        <v>TESORERO</v>
      </c>
      <c r="E3763" s="5" t="str">
        <f>IFERROR(VLOOKUP(A3763,'Base Prueba'!A:E,5,),"NO REGISTRA")</f>
        <v>AREA FINANCIERA Y CONTABLE</v>
      </c>
    </row>
    <row r="3764" spans="1:5" ht="15.75" x14ac:dyDescent="0.25">
      <c r="A3764" s="10">
        <v>1013616244</v>
      </c>
      <c r="B3764" s="2">
        <v>46091.810294791663</v>
      </c>
      <c r="C3764" s="3" t="str">
        <f>IFERROR(VLOOKUP(A3764,'Base Prueba'!A:C,3,),"NO REGISTRA")</f>
        <v>DIANA CAROLINA MARIN BETANCOURT</v>
      </c>
      <c r="D3764" s="4" t="str">
        <f>IFERROR(VLOOKUP(A3764,'Base Prueba'!A:D,4,),"NO REGISTRA")</f>
        <v>AUXILIAR ADMINISTRATIVO</v>
      </c>
      <c r="E3764" s="5" t="str">
        <f>IFERROR(VLOOKUP(A3764,'Base Prueba'!A:E,5,),"NO REGISTRA")</f>
        <v>REGISTRO Y CONTROL ACADEMICO</v>
      </c>
    </row>
    <row r="3765" spans="1:5" ht="15.75" x14ac:dyDescent="0.25">
      <c r="A3765" s="10">
        <v>52474489</v>
      </c>
      <c r="B3765" s="2">
        <v>46091.816111574073</v>
      </c>
      <c r="C3765" s="3" t="str">
        <f>IFERROR(VLOOKUP(A3765,'Base Prueba'!A:C,3,),"NO REGISTRA")</f>
        <v>ADRIANA JIMENA SOTO BOCANEGRA</v>
      </c>
      <c r="D3765" s="4" t="str">
        <f>IFERROR(VLOOKUP(A3765,'Base Prueba'!A:D,4,),"NO REGISTRA")</f>
        <v>COORDINADOR DE LA OFICINA DE REGISTRO Y CONTROL</v>
      </c>
      <c r="E3765" s="5" t="str">
        <f>IFERROR(VLOOKUP(A3765,'Base Prueba'!A:E,5,),"NO REGISTRA")</f>
        <v>REGISTRO Y CONTROL ACADEMICO</v>
      </c>
    </row>
    <row r="3766" spans="1:5" ht="15.75" x14ac:dyDescent="0.25">
      <c r="A3766" s="10">
        <v>1087121273</v>
      </c>
      <c r="B3766" s="2">
        <v>46092.311346875002</v>
      </c>
      <c r="C3766" s="3" t="str">
        <f>IFERROR(VLOOKUP(A3766,'Base Prueba'!A:C,3,),"NO REGISTRA")</f>
        <v>MAYRA ALEJANDRA CASTILLO ARBOLEDA</v>
      </c>
      <c r="D3766" s="4" t="str">
        <f>IFERROR(VLOOKUP(A3766,'Base Prueba'!A:D,4,),"NO REGISTRA")</f>
        <v>APOYO INTEGRAL DE MERCADEO</v>
      </c>
      <c r="E3766" s="5" t="str">
        <f>IFERROR(VLOOKUP(A3766,'Base Prueba'!A:E,5,),"NO REGISTRA")</f>
        <v>CENTRO DE GESTION DOCUMENTAL</v>
      </c>
    </row>
    <row r="3767" spans="1:5" ht="15.75" x14ac:dyDescent="0.25">
      <c r="A3767" s="10">
        <v>1000324729</v>
      </c>
      <c r="B3767" s="2">
        <v>46092.320544675924</v>
      </c>
      <c r="C3767" s="3" t="str">
        <f>IFERROR(VLOOKUP(A3767,'Base Prueba'!A:C,3,),"NO REGISTRA")</f>
        <v>ANYIE VANESSA TINOCO CAMACHO</v>
      </c>
      <c r="D3767" s="4" t="str">
        <f>IFERROR(VLOOKUP(A3767,'Base Prueba'!A:D,4,),"NO REGISTRA")</f>
        <v>LIDER DE REGISTRO Y CONTROL</v>
      </c>
      <c r="E3767" s="5" t="str">
        <f>IFERROR(VLOOKUP(A3767,'Base Prueba'!A:E,5,),"NO REGISTRA")</f>
        <v>REGISTRO Y CONTROL ACADEMICO</v>
      </c>
    </row>
    <row r="3768" spans="1:5" ht="15.75" x14ac:dyDescent="0.25">
      <c r="A3768" s="10">
        <v>1013616244</v>
      </c>
      <c r="B3768" s="2">
        <v>46092.328012731479</v>
      </c>
      <c r="C3768" s="3" t="str">
        <f>IFERROR(VLOOKUP(A3768,'Base Prueba'!A:C,3,),"NO REGISTRA")</f>
        <v>DIANA CAROLINA MARIN BETANCOURT</v>
      </c>
      <c r="D3768" s="4" t="str">
        <f>IFERROR(VLOOKUP(A3768,'Base Prueba'!A:D,4,),"NO REGISTRA")</f>
        <v>AUXILIAR ADMINISTRATIVO</v>
      </c>
      <c r="E3768" s="5" t="str">
        <f>IFERROR(VLOOKUP(A3768,'Base Prueba'!A:E,5,),"NO REGISTRA")</f>
        <v>REGISTRO Y CONTROL ACADEMICO</v>
      </c>
    </row>
    <row r="3769" spans="1:5" ht="15.75" x14ac:dyDescent="0.25">
      <c r="A3769" s="10">
        <v>1024512067</v>
      </c>
      <c r="B3769" s="2">
        <v>46092.329746412041</v>
      </c>
      <c r="C3769" s="3" t="str">
        <f>IFERROR(VLOOKUP(A3769,'Base Prueba'!A:C,3,),"NO REGISTRA")</f>
        <v>CINDY GIOVANA SALGAR GOMEZ</v>
      </c>
      <c r="D3769" s="4" t="str">
        <f>IFERROR(VLOOKUP(A3769,'Base Prueba'!A:D,4,),"NO REGISTRA")</f>
        <v>COORDINADOR DEL SISTEMA INTEGRADO DE GESTION INSTITUCIONAL - SIGI</v>
      </c>
      <c r="E3769" s="5" t="str">
        <f>IFERROR(VLOOKUP(A3769,'Base Prueba'!A:E,5,),"NO REGISTRA")</f>
        <v>OFICINA DE PLANEACION Y GESTION DE LA CALIDAD</v>
      </c>
    </row>
    <row r="3770" spans="1:5" ht="15.75" x14ac:dyDescent="0.25">
      <c r="A3770" s="10">
        <v>1014308296</v>
      </c>
      <c r="B3770" s="2">
        <v>46092.330357175924</v>
      </c>
      <c r="C3770" s="3" t="str">
        <f>IFERROR(VLOOKUP(A3770,'Base Prueba'!A:C,3,),"NO REGISTRA")</f>
        <v>DARLENE YULIANA MORENO CELEITA</v>
      </c>
      <c r="D3770" s="4" t="str">
        <f>IFERROR(VLOOKUP(A3770,'Base Prueba'!A:D,4,),"NO REGISTRA")</f>
        <v>CAJERO PRINCIPAL</v>
      </c>
      <c r="E3770" s="5" t="str">
        <f>IFERROR(VLOOKUP(A3770,'Base Prueba'!A:E,5,),"NO REGISTRA")</f>
        <v>AREA FINANCIERA Y CONTABLE</v>
      </c>
    </row>
    <row r="3771" spans="1:5" ht="15.75" x14ac:dyDescent="0.25">
      <c r="A3771" s="10">
        <v>1010184333</v>
      </c>
      <c r="B3771" s="2">
        <v>46092.332521875003</v>
      </c>
      <c r="C3771" s="3" t="str">
        <f>IFERROR(VLOOKUP(A3771,'Base Prueba'!A:C,3,),"NO REGISTRA")</f>
        <v>AKON ANDRES GARZON ALVAREZ</v>
      </c>
      <c r="D3771" s="4" t="str">
        <f>IFERROR(VLOOKUP(A3771,'Base Prueba'!A:D,4,),"NO REGISTRA")</f>
        <v>APRENDIZ UNIVERSITARIO</v>
      </c>
      <c r="E3771" s="5" t="str">
        <f>IFERROR(VLOOKUP(A3771,'Base Prueba'!A:E,5,),"NO REGISTRA")</f>
        <v>SECRETARIA GENERAL</v>
      </c>
    </row>
    <row r="3772" spans="1:5" ht="15.75" x14ac:dyDescent="0.25">
      <c r="A3772" s="10">
        <v>1000257136</v>
      </c>
      <c r="B3772" s="2">
        <v>46092.33392488426</v>
      </c>
      <c r="C3772" s="3" t="str">
        <f>IFERROR(VLOOKUP(A3772,'Base Prueba'!A:C,3,),"NO REGISTRA")</f>
        <v>FRANCI VALENTINA CANO PUENTES</v>
      </c>
      <c r="D3772" s="4" t="str">
        <f>IFERROR(VLOOKUP(A3772,'Base Prueba'!A:D,4,),"NO REGISTRA")</f>
        <v>AUXILIAR CONTABLE</v>
      </c>
      <c r="E3772" s="5" t="str">
        <f>IFERROR(VLOOKUP(A3772,'Base Prueba'!A:E,5,),"NO REGISTRA")</f>
        <v>AREA FINANCIERA Y CONTABLE</v>
      </c>
    </row>
    <row r="3773" spans="1:5" ht="15.75" x14ac:dyDescent="0.25">
      <c r="A3773" s="10">
        <v>80725196</v>
      </c>
      <c r="B3773" s="2">
        <v>46092.334361458335</v>
      </c>
      <c r="C3773" s="3" t="str">
        <f>IFERROR(VLOOKUP(A3773,'Base Prueba'!A:C,3,),"NO REGISTRA")</f>
        <v>YEISON YOSET TOVAR BARBOSA</v>
      </c>
      <c r="D3773" s="4" t="str">
        <f>IFERROR(VLOOKUP(A3773,'Base Prueba'!A:D,4,),"NO REGISTRA")</f>
        <v>LIDER GESTION DOCUMENTAL</v>
      </c>
      <c r="E3773" s="5" t="str">
        <f>IFERROR(VLOOKUP(A3773,'Base Prueba'!A:E,5,),"NO REGISTRA")</f>
        <v>CENTRO DE GESTION DOCUMENTAL</v>
      </c>
    </row>
    <row r="3774" spans="1:5" ht="15.75" x14ac:dyDescent="0.25">
      <c r="A3774" s="10">
        <v>1012357415</v>
      </c>
      <c r="B3774" s="2">
        <v>46092.337447569444</v>
      </c>
      <c r="C3774" s="3" t="str">
        <f>IFERROR(VLOOKUP(A3774,'Base Prueba'!A:C,3,),"NO REGISTRA")</f>
        <v>CINDY LORENA BOHORQUEZ LEYVA</v>
      </c>
      <c r="D3774" s="4" t="str">
        <f>IFERROR(VLOOKUP(A3774,'Base Prueba'!A:D,4,),"NO REGISTRA")</f>
        <v>ANALISTA DE TESORERIA</v>
      </c>
      <c r="E3774" s="5" t="str">
        <f>IFERROR(VLOOKUP(A3774,'Base Prueba'!A:E,5,),"NO REGISTRA")</f>
        <v>AREA FINANCIERA Y CONTABLE</v>
      </c>
    </row>
    <row r="3775" spans="1:5" ht="15.75" x14ac:dyDescent="0.25">
      <c r="A3775" s="10">
        <v>1031802160</v>
      </c>
      <c r="B3775" s="2">
        <v>46092.337842824076</v>
      </c>
      <c r="C3775" s="3" t="str">
        <f>IFERROR(VLOOKUP(A3775,'Base Prueba'!A:C,3,),"NO REGISTRA")</f>
        <v>LUISA MARIA MAHECHA SOTOMAYOR</v>
      </c>
      <c r="D3775" s="4" t="str">
        <f>IFERROR(VLOOKUP(A3775,'Base Prueba'!A:D,4,),"NO REGISTRA")</f>
        <v>APRENDIZ UNIVERSITARIO</v>
      </c>
      <c r="E3775" s="5" t="str">
        <f>IFERROR(VLOOKUP(A3775,'Base Prueba'!A:E,5,),"NO REGISTRA")</f>
        <v>OFICINA DE MERCADEO</v>
      </c>
    </row>
    <row r="3776" spans="1:5" ht="15.75" x14ac:dyDescent="0.25">
      <c r="A3776" s="10">
        <v>1014977624</v>
      </c>
      <c r="B3776" s="2">
        <v>46092.343456249997</v>
      </c>
      <c r="C3776" s="3" t="str">
        <f>IFERROR(VLOOKUP(A3776,'Base Prueba'!A:C,3,),"NO REGISTRA")</f>
        <v>NICCOLE VALENTINA HERNANDEZ MALAVER</v>
      </c>
      <c r="D3776" s="4" t="str">
        <f>IFERROR(VLOOKUP(A3776,'Base Prueba'!A:D,4,),"NO REGISTRA")</f>
        <v>APRENDIZ UNIVERSITARIO</v>
      </c>
      <c r="E3776" s="5" t="str">
        <f>IFERROR(VLOOKUP(A3776,'Base Prueba'!A:E,5,),"NO REGISTRA")</f>
        <v>AREA FINANCIERA Y CONTABLE</v>
      </c>
    </row>
    <row r="3777" spans="1:5" ht="15.75" x14ac:dyDescent="0.25">
      <c r="A3777" s="10">
        <v>1193457976</v>
      </c>
      <c r="B3777" s="2">
        <v>46092.344356018519</v>
      </c>
      <c r="C3777" s="3" t="str">
        <f>IFERROR(VLOOKUP(A3777,'Base Prueba'!A:C,3,),"NO REGISTRA")</f>
        <v>SEDENIS RIVAS ASPRILLA</v>
      </c>
      <c r="D3777" s="4" t="str">
        <f>IFERROR(VLOOKUP(A3777,'Base Prueba'!A:D,4,),"NO REGISTRA")</f>
        <v>APRENDIZ UNIVERSITARIO</v>
      </c>
      <c r="E3777" s="5" t="str">
        <f>IFERROR(VLOOKUP(A3777,'Base Prueba'!A:E,5,),"NO REGISTRA")</f>
        <v>DEPARTAMENTO DE GESTION HUMANA</v>
      </c>
    </row>
    <row r="3778" spans="1:5" ht="15.75" x14ac:dyDescent="0.25">
      <c r="A3778" s="10">
        <v>1000457706</v>
      </c>
      <c r="B3778" s="2">
        <v>46092.34571076389</v>
      </c>
      <c r="C3778" s="3" t="str">
        <f>IFERROR(VLOOKUP(A3778,'Base Prueba'!A:C,3,),"NO REGISTRA")</f>
        <v>CRISTIAN DANILO ARROYO SANABRIA</v>
      </c>
      <c r="D3778" s="4" t="str">
        <f>IFERROR(VLOOKUP(A3778,'Base Prueba'!A:D,4,),"NO REGISTRA")</f>
        <v>AUXILIAR CONTABLE</v>
      </c>
      <c r="E3778" s="5" t="str">
        <f>IFERROR(VLOOKUP(A3778,'Base Prueba'!A:E,5,),"NO REGISTRA")</f>
        <v>AREA FINANCIERA Y CONTABLE</v>
      </c>
    </row>
    <row r="3779" spans="1:5" ht="15.75" x14ac:dyDescent="0.25">
      <c r="A3779" s="10">
        <v>1022996882</v>
      </c>
      <c r="B3779" s="2">
        <v>46092.348609143519</v>
      </c>
      <c r="C3779" s="3" t="str">
        <f>IFERROR(VLOOKUP(A3779,'Base Prueba'!A:C,3,),"NO REGISTRA")</f>
        <v>NANCY BRIGITH ALDANA GUEVARA</v>
      </c>
      <c r="D3779" s="4" t="str">
        <f>IFERROR(VLOOKUP(A3779,'Base Prueba'!A:D,4,),"NO REGISTRA")</f>
        <v>COORDINADORA DE GESTIÓN HUMANA</v>
      </c>
      <c r="E3779" s="5" t="str">
        <f>IFERROR(VLOOKUP(A3779,'Base Prueba'!A:E,5,),"NO REGISTRA")</f>
        <v>DEPARTAMENTO DE GESTION HUMANA</v>
      </c>
    </row>
    <row r="3780" spans="1:5" ht="15.75" x14ac:dyDescent="0.25">
      <c r="A3780" s="10">
        <v>1000593372</v>
      </c>
      <c r="B3780" s="2">
        <v>46092.348639004631</v>
      </c>
      <c r="C3780" s="3" t="str">
        <f>IFERROR(VLOOKUP(A3780,'Base Prueba'!A:C,3,),"NO REGISTRA")</f>
        <v>LAURA SOFIA CHAPARRO LOPEZ</v>
      </c>
      <c r="D3780" s="4" t="str">
        <f>IFERROR(VLOOKUP(A3780,'Base Prueba'!A:D,4,),"NO REGISTRA")</f>
        <v>AUXILIAR JURIDICO</v>
      </c>
      <c r="E3780" s="5" t="str">
        <f>IFERROR(VLOOKUP(A3780,'Base Prueba'!A:E,5,),"NO REGISTRA")</f>
        <v>SECRETARIA GENERAL</v>
      </c>
    </row>
    <row r="3781" spans="1:5" ht="15.75" x14ac:dyDescent="0.25">
      <c r="A3781" s="10">
        <v>1000604979</v>
      </c>
      <c r="B3781" s="2">
        <v>46092.348667939812</v>
      </c>
      <c r="C3781" s="3" t="str">
        <f>IFERROR(VLOOKUP(A3781,'Base Prueba'!A:C,3,),"NO REGISTRA")</f>
        <v>JULIETH TATIANA PARDO PINTO</v>
      </c>
      <c r="D3781" s="4" t="str">
        <f>IFERROR(VLOOKUP(A3781,'Base Prueba'!A:D,4,),"NO REGISTRA")</f>
        <v>AUXILIAR JURIDICO</v>
      </c>
      <c r="E3781" s="5" t="str">
        <f>IFERROR(VLOOKUP(A3781,'Base Prueba'!A:E,5,),"NO REGISTRA")</f>
        <v>SECRETARIA GENERAL</v>
      </c>
    </row>
    <row r="3782" spans="1:5" ht="15.75" x14ac:dyDescent="0.25">
      <c r="A3782" s="10">
        <v>80191732</v>
      </c>
      <c r="B3782" s="2">
        <v>46092.349922569447</v>
      </c>
      <c r="C3782" s="3" t="str">
        <f>IFERROR(VLOOKUP(A3782,'Base Prueba'!A:C,3,),"NO REGISTRA")</f>
        <v>DANIEL MAURICIO ZAMBRANO TUNJANO</v>
      </c>
      <c r="D3782" s="4" t="str">
        <f>IFERROR(VLOOKUP(A3782,'Base Prueba'!A:D,4,),"NO REGISTRA")</f>
        <v>COORDINADOR DE DISEÑO E IMAGEN INSTITUCIONAL</v>
      </c>
      <c r="E3782" s="5" t="str">
        <f>IFERROR(VLOOKUP(A3782,'Base Prueba'!A:E,5,),"NO REGISTRA")</f>
        <v>OFICINA DE MERCADEO</v>
      </c>
    </row>
    <row r="3783" spans="1:5" ht="15.75" x14ac:dyDescent="0.25">
      <c r="A3783" s="10">
        <v>1032469638</v>
      </c>
      <c r="B3783" s="2">
        <v>46092.352138310183</v>
      </c>
      <c r="C3783" s="3" t="str">
        <f>IFERROR(VLOOKUP(A3783,'Base Prueba'!A:C,3,),"NO REGISTRA")</f>
        <v>MAICOL JARBEY GUALTEROS CASTAÑEDA</v>
      </c>
      <c r="D3783" s="4" t="str">
        <f>IFERROR(VLOOKUP(A3783,'Base Prueba'!A:D,4,),"NO REGISTRA")</f>
        <v>COORDINADOR DEL SISTEMA INTERNO DE ASEGURAMIENTO DE LA CALIDAD - SIAC</v>
      </c>
      <c r="E3783" s="5" t="str">
        <f>IFERROR(VLOOKUP(A3783,'Base Prueba'!A:E,5,),"NO REGISTRA")</f>
        <v>OFICINA DE PLANEACION Y GESTION DE LA CALIDAD</v>
      </c>
    </row>
    <row r="3784" spans="1:5" ht="15.75" x14ac:dyDescent="0.25">
      <c r="A3784" s="10">
        <v>80238161</v>
      </c>
      <c r="B3784" s="2">
        <v>46092.352228703705</v>
      </c>
      <c r="C3784" s="3" t="str">
        <f>IFERROR(VLOOKUP(A3784,'Base Prueba'!A:C,3,),"NO REGISTRA")</f>
        <v>GERMAN CARRANZA ESPITIA</v>
      </c>
      <c r="D3784" s="4" t="str">
        <f>IFERROR(VLOOKUP(A3784,'Base Prueba'!A:D,4,),"NO REGISTRA")</f>
        <v>TESORERO</v>
      </c>
      <c r="E3784" s="5" t="str">
        <f>IFERROR(VLOOKUP(A3784,'Base Prueba'!A:E,5,),"NO REGISTRA")</f>
        <v>AREA FINANCIERA Y CONTABLE</v>
      </c>
    </row>
    <row r="3785" spans="1:5" ht="15.75" x14ac:dyDescent="0.25">
      <c r="A3785" s="10">
        <v>1049644802</v>
      </c>
      <c r="B3785" s="2">
        <v>46092.354962962963</v>
      </c>
      <c r="C3785" s="3" t="str">
        <f>IFERROR(VLOOKUP(A3785,'Base Prueba'!A:C,3,),"NO REGISTRA")</f>
        <v>DANIELA ALEXANDRA CIPAMOCHA BOSIGA</v>
      </c>
      <c r="D3785" s="4" t="str">
        <f>IFERROR(VLOOKUP(A3785,'Base Prueba'!A:D,4,),"NO REGISTRA")</f>
        <v>LIDER DE DATOS Y SERVICIOS</v>
      </c>
      <c r="E3785" s="5" t="str">
        <f>IFERROR(VLOOKUP(A3785,'Base Prueba'!A:E,5,),"NO REGISTRA")</f>
        <v>OFICINA DE PLANEACION Y GESTION DE LA CALIDAD</v>
      </c>
    </row>
    <row r="3786" spans="1:5" ht="15.75" x14ac:dyDescent="0.25">
      <c r="A3786" s="10">
        <v>53932358</v>
      </c>
      <c r="B3786" s="2">
        <v>46092.35784409722</v>
      </c>
      <c r="C3786" s="3" t="str">
        <f>IFERROR(VLOOKUP(A3786,'Base Prueba'!A:C,3,),"NO REGISTRA")</f>
        <v>DIANA MADELEYNE GAONA RODRIGUEZ</v>
      </c>
      <c r="D3786" s="4" t="str">
        <f>IFERROR(VLOOKUP(A3786,'Base Prueba'!A:D,4,),"NO REGISTRA")</f>
        <v>CONTADOR</v>
      </c>
      <c r="E3786" s="5" t="str">
        <f>IFERROR(VLOOKUP(A3786,'Base Prueba'!A:E,5,),"NO REGISTRA")</f>
        <v>AREA FINANCIERA Y CONTABLE</v>
      </c>
    </row>
    <row r="3787" spans="1:5" ht="15.75" x14ac:dyDescent="0.25">
      <c r="A3787" s="10">
        <v>1014196857</v>
      </c>
      <c r="B3787" s="2">
        <v>46092.357962615744</v>
      </c>
      <c r="C3787" s="3" t="str">
        <f>IFERROR(VLOOKUP(A3787,'Base Prueba'!A:C,3,),"NO REGISTRA")</f>
        <v>CARLOS ANDRES JIMENEZ PARDO</v>
      </c>
      <c r="D3787" s="4" t="str">
        <f>IFERROR(VLOOKUP(A3787,'Base Prueba'!A:D,4,),"NO REGISTRA")</f>
        <v>COORDINADOR DE MARKETING DIGITAL</v>
      </c>
      <c r="E3787" s="5" t="str">
        <f>IFERROR(VLOOKUP(A3787,'Base Prueba'!A:E,5,),"NO REGISTRA")</f>
        <v>OFICINA DE MERCADEO</v>
      </c>
    </row>
    <row r="3788" spans="1:5" ht="15.75" x14ac:dyDescent="0.25">
      <c r="A3788" s="10">
        <v>1023883232</v>
      </c>
      <c r="B3788" s="2">
        <v>46092.358942361112</v>
      </c>
      <c r="C3788" s="3" t="str">
        <f>IFERROR(VLOOKUP(A3788,'Base Prueba'!A:C,3,),"NO REGISTRA")</f>
        <v>MONICA ANDREA ACERO URBANO</v>
      </c>
      <c r="D3788" s="4" t="str">
        <f>IFERROR(VLOOKUP(A3788,'Base Prueba'!A:D,4,),"NO REGISTRA")</f>
        <v>APOYO INTEGRAL A GESTION HUMANA</v>
      </c>
      <c r="E3788" s="5" t="str">
        <f>IFERROR(VLOOKUP(A3788,'Base Prueba'!A:E,5,),"NO REGISTRA")</f>
        <v>DEPARTAMENTO DE GESTION HUMANA</v>
      </c>
    </row>
    <row r="3789" spans="1:5" ht="15.75" x14ac:dyDescent="0.25">
      <c r="A3789" s="10">
        <v>28798349</v>
      </c>
      <c r="B3789" s="2">
        <v>46092.365478009262</v>
      </c>
      <c r="C3789" s="3" t="str">
        <f>IFERROR(VLOOKUP(A3789,'Base Prueba'!A:C,3,),"NO REGISTRA")</f>
        <v>MARTHA ISABEL TOVAR WILLIAMS</v>
      </c>
      <c r="D3789" s="4" t="str">
        <f>IFERROR(VLOOKUP(A3789,'Base Prueba'!A:D,4,),"NO REGISTRA")</f>
        <v>PROMOTOR CALL CENTER</v>
      </c>
      <c r="E3789" s="5" t="str">
        <f>IFERROR(VLOOKUP(A3789,'Base Prueba'!A:E,5,),"NO REGISTRA")</f>
        <v>OFICINA DE MERCADEO</v>
      </c>
    </row>
    <row r="3790" spans="1:5" ht="15.75" x14ac:dyDescent="0.25">
      <c r="A3790" s="10">
        <v>1033709056</v>
      </c>
      <c r="B3790" s="2">
        <v>46092.365698263886</v>
      </c>
      <c r="C3790" s="3" t="str">
        <f>IFERROR(VLOOKUP(A3790,'Base Prueba'!A:C,3,),"NO REGISTRA")</f>
        <v>YEIMY ALEXANDRA RODRIGUEZ PALACIO</v>
      </c>
      <c r="D3790" s="4" t="str">
        <f>IFERROR(VLOOKUP(A3790,'Base Prueba'!A:D,4,),"NO REGISTRA")</f>
        <v>PROMOTOR CALL CENTER</v>
      </c>
      <c r="E3790" s="5" t="str">
        <f>IFERROR(VLOOKUP(A3790,'Base Prueba'!A:E,5,),"NO REGISTRA")</f>
        <v>OFICINA DE MERCADEO</v>
      </c>
    </row>
    <row r="3791" spans="1:5" ht="15.75" x14ac:dyDescent="0.25">
      <c r="A3791" s="10">
        <v>80234243</v>
      </c>
      <c r="B3791" s="2">
        <v>46092.370057523149</v>
      </c>
      <c r="C3791" s="3" t="str">
        <f>IFERROR(VLOOKUP(A3791,'Base Prueba'!A:C,3,),"NO REGISTRA")</f>
        <v>ARGENIS MARTINEZ MARTINEZ</v>
      </c>
      <c r="D3791" s="4" t="str">
        <f>IFERROR(VLOOKUP(A3791,'Base Prueba'!A:D,4,),"NO REGISTRA")</f>
        <v>LIDER CALL CENTER</v>
      </c>
      <c r="E3791" s="5" t="str">
        <f>IFERROR(VLOOKUP(A3791,'Base Prueba'!A:E,5,),"NO REGISTRA")</f>
        <v>OFICINA DE MERCADEO</v>
      </c>
    </row>
    <row r="3792" spans="1:5" ht="15.75" x14ac:dyDescent="0.25">
      <c r="A3792" s="10">
        <v>1019105003</v>
      </c>
      <c r="B3792" s="2">
        <v>46092.370723958331</v>
      </c>
      <c r="C3792" s="3" t="str">
        <f>IFERROR(VLOOKUP(A3792,'Base Prueba'!A:C,3,),"NO REGISTRA")</f>
        <v>DAISY JULIETH GASPAR MORENO</v>
      </c>
      <c r="D3792" s="4" t="str">
        <f>IFERROR(VLOOKUP(A3792,'Base Prueba'!A:D,4,),"NO REGISTRA")</f>
        <v>PROMOTOR CALL CENTER</v>
      </c>
      <c r="E3792" s="5" t="str">
        <f>IFERROR(VLOOKUP(A3792,'Base Prueba'!A:E,5,),"NO REGISTRA")</f>
        <v>OFICINA DE MERCADEO</v>
      </c>
    </row>
    <row r="3793" spans="1:5" ht="15.75" x14ac:dyDescent="0.25">
      <c r="A3793" s="10">
        <v>52472386</v>
      </c>
      <c r="B3793" s="2">
        <v>46092.37121365741</v>
      </c>
      <c r="C3793" s="3" t="str">
        <f>IFERROR(VLOOKUP(A3793,'Base Prueba'!A:C,3,),"NO REGISTRA")</f>
        <v>ADRIANA MARCELA MORALES PARDO</v>
      </c>
      <c r="D3793" s="4" t="str">
        <f>IFERROR(VLOOKUP(A3793,'Base Prueba'!A:D,4,),"NO REGISTRA")</f>
        <v>PROMOTOR CALL CENTER</v>
      </c>
      <c r="E3793" s="5" t="str">
        <f>IFERROR(VLOOKUP(A3793,'Base Prueba'!A:E,5,),"NO REGISTRA")</f>
        <v>OFICINA DE MERCADEO</v>
      </c>
    </row>
    <row r="3794" spans="1:5" ht="15.75" x14ac:dyDescent="0.25">
      <c r="A3794" s="10">
        <v>1012426741</v>
      </c>
      <c r="B3794" s="2">
        <v>46092.37144988426</v>
      </c>
      <c r="C3794" s="3" t="str">
        <f>IFERROR(VLOOKUP(A3794,'Base Prueba'!A:C,3,),"NO REGISTRA")</f>
        <v>CRISTIAN FABIAN ROJAS SANCENO</v>
      </c>
      <c r="D3794" s="4" t="str">
        <f>IFERROR(VLOOKUP(A3794,'Base Prueba'!A:D,4,),"NO REGISTRA")</f>
        <v>AUXILIAR DE REINTEGROS</v>
      </c>
      <c r="E3794" s="5" t="str">
        <f>IFERROR(VLOOKUP(A3794,'Base Prueba'!A:E,5,),"NO REGISTRA")</f>
        <v>DIRECCION DE BIENESTAR INSTITUCIONAL</v>
      </c>
    </row>
    <row r="3795" spans="1:5" ht="15.75" x14ac:dyDescent="0.25">
      <c r="A3795" s="10">
        <v>1032407386</v>
      </c>
      <c r="B3795" s="2">
        <v>46092.373794097221</v>
      </c>
      <c r="C3795" s="3" t="str">
        <f>IFERROR(VLOOKUP(A3795,'Base Prueba'!A:C,3,),"NO REGISTRA")</f>
        <v>GINA PAOLA BAEZ GALVIS</v>
      </c>
      <c r="D3795" s="4" t="str">
        <f>IFERROR(VLOOKUP(A3795,'Base Prueba'!A:D,4,),"NO REGISTRA")</f>
        <v>PROMOTOR CALL CENTER</v>
      </c>
      <c r="E3795" s="5" t="str">
        <f>IFERROR(VLOOKUP(A3795,'Base Prueba'!A:E,5,),"NO REGISTRA")</f>
        <v>OFICINA DE MERCADEO</v>
      </c>
    </row>
    <row r="3796" spans="1:5" ht="15.75" x14ac:dyDescent="0.25">
      <c r="A3796" s="10">
        <v>1023961952</v>
      </c>
      <c r="B3796" s="2">
        <v>46092.375377430559</v>
      </c>
      <c r="C3796" s="3" t="str">
        <f>IFERROR(VLOOKUP(A3796,'Base Prueba'!A:C,3,),"NO REGISTRA")</f>
        <v>ALEJANDRO PINZON MERCHAN</v>
      </c>
      <c r="D3796" s="4" t="str">
        <f>IFERROR(VLOOKUP(A3796,'Base Prueba'!A:D,4,),"NO REGISTRA")</f>
        <v>PROMOTOR CALL CENTER</v>
      </c>
      <c r="E3796" s="5" t="str">
        <f>IFERROR(VLOOKUP(A3796,'Base Prueba'!A:E,5,),"NO REGISTRA")</f>
        <v>OFICINA DE MERCADEO</v>
      </c>
    </row>
    <row r="3797" spans="1:5" ht="15.75" x14ac:dyDescent="0.25">
      <c r="A3797" s="10">
        <v>53089882</v>
      </c>
      <c r="B3797" s="2">
        <v>46092.375919560189</v>
      </c>
      <c r="C3797" s="3" t="str">
        <f>IFERROR(VLOOKUP(A3797,'Base Prueba'!A:C,3,),"NO REGISTRA")</f>
        <v>MARIA JOHANA ESCAMILLA MARTINEZ</v>
      </c>
      <c r="D3797" s="4" t="str">
        <f>IFERROR(VLOOKUP(A3797,'Base Prueba'!A:D,4,),"NO REGISTRA")</f>
        <v>PROMOTOR DE INFORMACIÓN</v>
      </c>
      <c r="E3797" s="5" t="str">
        <f>IFERROR(VLOOKUP(A3797,'Base Prueba'!A:E,5,),"NO REGISTRA")</f>
        <v>OFICINA DE MERCADEO</v>
      </c>
    </row>
    <row r="3798" spans="1:5" ht="15.75" x14ac:dyDescent="0.25">
      <c r="A3798" s="10">
        <v>52175674</v>
      </c>
      <c r="B3798" s="2">
        <v>46092.377357523146</v>
      </c>
      <c r="C3798" s="3" t="str">
        <f>IFERROR(VLOOKUP(A3798,'Base Prueba'!A:C,3,),"NO REGISTRA")</f>
        <v>LUZ YANETH GOMEZ AREVALO</v>
      </c>
      <c r="D3798" s="4" t="str">
        <f>IFERROR(VLOOKUP(A3798,'Base Prueba'!A:D,4,),"NO REGISTRA")</f>
        <v>COORDINADORA DE ADMISIONES</v>
      </c>
      <c r="E3798" s="5" t="str">
        <f>IFERROR(VLOOKUP(A3798,'Base Prueba'!A:E,5,),"NO REGISTRA")</f>
        <v>OFICINA DE MERCADEO</v>
      </c>
    </row>
    <row r="3799" spans="1:5" ht="15.75" x14ac:dyDescent="0.25">
      <c r="A3799" s="10">
        <v>1018413529</v>
      </c>
      <c r="B3799" s="2">
        <v>46092.378253703704</v>
      </c>
      <c r="C3799" s="3" t="str">
        <f>IFERROR(VLOOKUP(A3799,'Base Prueba'!A:C,3,),"NO REGISTRA")</f>
        <v>FRANCY STELLA CHARRY MORENO</v>
      </c>
      <c r="D3799" s="4" t="str">
        <f>IFERROR(VLOOKUP(A3799,'Base Prueba'!A:D,4,),"NO REGISTRA")</f>
        <v>PROMOTOR COMERCIAL DEL CEA</v>
      </c>
      <c r="E3799" s="5" t="str">
        <f>IFERROR(VLOOKUP(A3799,'Base Prueba'!A:E,5,),"NO REGISTRA")</f>
        <v>OFICINA DE MERCADEO</v>
      </c>
    </row>
    <row r="3800" spans="1:5" ht="15.75" x14ac:dyDescent="0.25">
      <c r="A3800" s="10">
        <v>1018414290</v>
      </c>
      <c r="B3800" s="2">
        <v>46092.379258217596</v>
      </c>
      <c r="C3800" s="3" t="str">
        <f>IFERROR(VLOOKUP(A3800,'Base Prueba'!A:C,3,),"NO REGISTRA")</f>
        <v>AMANDA LISBETH RODRIGUEZ LEON</v>
      </c>
      <c r="D3800" s="4" t="str">
        <f>IFERROR(VLOOKUP(A3800,'Base Prueba'!A:D,4,),"NO REGISTRA")</f>
        <v>PROMOTOR CALL CENTER</v>
      </c>
      <c r="E3800" s="5" t="str">
        <f>IFERROR(VLOOKUP(A3800,'Base Prueba'!A:E,5,),"NO REGISTRA")</f>
        <v>OFICINA DE MERCADEO</v>
      </c>
    </row>
    <row r="3801" spans="1:5" ht="15.75" x14ac:dyDescent="0.25">
      <c r="A3801" s="10">
        <v>52764929</v>
      </c>
      <c r="B3801" s="2">
        <v>46092.387619907407</v>
      </c>
      <c r="C3801" s="3" t="str">
        <f>IFERROR(VLOOKUP(A3801,'Base Prueba'!A:C,3,),"NO REGISTRA")</f>
        <v>GUERLY YOHANA DURAN RIVERA</v>
      </c>
      <c r="D3801" s="4" t="str">
        <f>IFERROR(VLOOKUP(A3801,'Base Prueba'!A:D,4,),"NO REGISTRA")</f>
        <v>LIDER DE VINCULACION COLEGIOS</v>
      </c>
      <c r="E3801" s="5" t="str">
        <f>IFERROR(VLOOKUP(A3801,'Base Prueba'!A:E,5,),"NO REGISTRA")</f>
        <v>OFICINA DE MERCADEO</v>
      </c>
    </row>
    <row r="3802" spans="1:5" ht="15.75" x14ac:dyDescent="0.25">
      <c r="A3802" s="10">
        <v>1016090131</v>
      </c>
      <c r="B3802" s="2">
        <v>46092.400061921297</v>
      </c>
      <c r="C3802" s="3" t="str">
        <f>IFERROR(VLOOKUP(A3802,'Base Prueba'!A:C,3,),"NO REGISTRA")</f>
        <v>NICOLAS RODRIGUEZ PACHECO</v>
      </c>
      <c r="D3802" s="4" t="str">
        <f>IFERROR(VLOOKUP(A3802,'Base Prueba'!A:D,4,),"NO REGISTRA")</f>
        <v>COORDINADOR DE COMUNICACIONES</v>
      </c>
      <c r="E3802" s="5" t="str">
        <f>IFERROR(VLOOKUP(A3802,'Base Prueba'!A:E,5,),"NO REGISTRA")</f>
        <v>OFICINA DE MERCADEO</v>
      </c>
    </row>
    <row r="3803" spans="1:5" ht="15.75" x14ac:dyDescent="0.25">
      <c r="A3803" s="10">
        <v>52443092</v>
      </c>
      <c r="B3803" s="2">
        <v>46092.489743865743</v>
      </c>
      <c r="C3803" s="3" t="str">
        <f>IFERROR(VLOOKUP(A3803,'Base Prueba'!A:C,3,),"NO REGISTRA")</f>
        <v>LUZ MYRIAM SAAVEDRA CONTRERAS</v>
      </c>
      <c r="D3803" s="4" t="str">
        <f>IFERROR(VLOOKUP(A3803,'Base Prueba'!A:D,4,),"NO REGISTRA")</f>
        <v>AUXILIAR DE SERVICIOS</v>
      </c>
      <c r="E3803" s="5" t="str">
        <f>IFERROR(VLOOKUP(A3803,'Base Prueba'!A:E,5,),"NO REGISTRA")</f>
        <v>LOGISTICA Y SERVICIOS GENERALES</v>
      </c>
    </row>
    <row r="3804" spans="1:5" ht="15.75" x14ac:dyDescent="0.25">
      <c r="A3804" s="10">
        <v>1031802160</v>
      </c>
      <c r="B3804" s="2">
        <v>46092.708186805554</v>
      </c>
      <c r="C3804" s="3" t="str">
        <f>IFERROR(VLOOKUP(A3804,'Base Prueba'!A:C,3,),"NO REGISTRA")</f>
        <v>LUISA MARIA MAHECHA SOTOMAYOR</v>
      </c>
      <c r="D3804" s="4" t="str">
        <f>IFERROR(VLOOKUP(A3804,'Base Prueba'!A:D,4,),"NO REGISTRA")</f>
        <v>APRENDIZ UNIVERSITARIO</v>
      </c>
      <c r="E3804" s="5" t="str">
        <f>IFERROR(VLOOKUP(A3804,'Base Prueba'!A:E,5,),"NO REGISTRA")</f>
        <v>OFICINA DE MERCADEO</v>
      </c>
    </row>
    <row r="3805" spans="1:5" ht="15.75" x14ac:dyDescent="0.25">
      <c r="A3805" s="10">
        <v>1087121273</v>
      </c>
      <c r="B3805" s="2">
        <v>46092.715894212961</v>
      </c>
      <c r="C3805" s="3" t="str">
        <f>IFERROR(VLOOKUP(A3805,'Base Prueba'!A:C,3,),"NO REGISTRA")</f>
        <v>MAYRA ALEJANDRA CASTILLO ARBOLEDA</v>
      </c>
      <c r="D3805" s="4" t="str">
        <f>IFERROR(VLOOKUP(A3805,'Base Prueba'!A:D,4,),"NO REGISTRA")</f>
        <v>APOYO INTEGRAL DE MERCADEO</v>
      </c>
      <c r="E3805" s="5" t="str">
        <f>IFERROR(VLOOKUP(A3805,'Base Prueba'!A:E,5,),"NO REGISTRA")</f>
        <v>CENTRO DE GESTION DOCUMENTAL</v>
      </c>
    </row>
    <row r="3806" spans="1:5" ht="15.75" x14ac:dyDescent="0.25">
      <c r="A3806" s="10">
        <v>1024512067</v>
      </c>
      <c r="B3806" s="2">
        <v>46092.74507060185</v>
      </c>
      <c r="C3806" s="3" t="str">
        <f>IFERROR(VLOOKUP(A3806,'Base Prueba'!A:C,3,),"NO REGISTRA")</f>
        <v>CINDY GIOVANA SALGAR GOMEZ</v>
      </c>
      <c r="D3806" s="4" t="str">
        <f>IFERROR(VLOOKUP(A3806,'Base Prueba'!A:D,4,),"NO REGISTRA")</f>
        <v>COORDINADOR DEL SISTEMA INTEGRADO DE GESTION INSTITUCIONAL - SIGI</v>
      </c>
      <c r="E3806" s="5" t="str">
        <f>IFERROR(VLOOKUP(A3806,'Base Prueba'!A:E,5,),"NO REGISTRA")</f>
        <v>OFICINA DE PLANEACION Y GESTION DE LA CALIDAD</v>
      </c>
    </row>
    <row r="3807" spans="1:5" ht="15.75" x14ac:dyDescent="0.25">
      <c r="A3807" s="10">
        <v>1010184333</v>
      </c>
      <c r="B3807" s="2">
        <v>46092.74709409722</v>
      </c>
      <c r="C3807" s="3" t="str">
        <f>IFERROR(VLOOKUP(A3807,'Base Prueba'!A:C,3,),"NO REGISTRA")</f>
        <v>AKON ANDRES GARZON ALVAREZ</v>
      </c>
      <c r="D3807" s="4" t="str">
        <f>IFERROR(VLOOKUP(A3807,'Base Prueba'!A:D,4,),"NO REGISTRA")</f>
        <v>APRENDIZ UNIVERSITARIO</v>
      </c>
      <c r="E3807" s="5" t="str">
        <f>IFERROR(VLOOKUP(A3807,'Base Prueba'!A:E,5,),"NO REGISTRA")</f>
        <v>SECRETARIA GENERAL</v>
      </c>
    </row>
    <row r="3808" spans="1:5" ht="15.75" x14ac:dyDescent="0.25">
      <c r="A3808" s="10">
        <v>1030567635</v>
      </c>
      <c r="B3808" s="2">
        <v>46092.75002511574</v>
      </c>
      <c r="C3808" s="3" t="str">
        <f>IFERROR(VLOOKUP(A3808,'Base Prueba'!A:C,3,),"NO REGISTRA")</f>
        <v>JEFFERSON ANDRES BARRETO DIAZ</v>
      </c>
      <c r="D3808" s="4" t="str">
        <f>IFERROR(VLOOKUP(A3808,'Base Prueba'!A:D,4,),"NO REGISTRA")</f>
        <v>AUXILIAR DE ARCHIVO</v>
      </c>
      <c r="E3808" s="5" t="str">
        <f>IFERROR(VLOOKUP(A3808,'Base Prueba'!A:E,5,),"NO REGISTRA")</f>
        <v>CENTRO DE GESTION DOCUMENTAL</v>
      </c>
    </row>
    <row r="3809" spans="1:5" ht="15.75" x14ac:dyDescent="0.25">
      <c r="A3809" s="10">
        <v>1022996882</v>
      </c>
      <c r="B3809" s="2">
        <v>46092.75159965278</v>
      </c>
      <c r="C3809" s="3" t="str">
        <f>IFERROR(VLOOKUP(A3809,'Base Prueba'!A:C,3,),"NO REGISTRA")</f>
        <v>NANCY BRIGITH ALDANA GUEVARA</v>
      </c>
      <c r="D3809" s="4" t="str">
        <f>IFERROR(VLOOKUP(A3809,'Base Prueba'!A:D,4,),"NO REGISTRA")</f>
        <v>COORDINADORA DE GESTIÓN HUMANA</v>
      </c>
      <c r="E3809" s="5" t="str">
        <f>IFERROR(VLOOKUP(A3809,'Base Prueba'!A:E,5,),"NO REGISTRA")</f>
        <v>DEPARTAMENTO DE GESTION HUMANA</v>
      </c>
    </row>
    <row r="3810" spans="1:5" ht="15.75" x14ac:dyDescent="0.25">
      <c r="A3810" s="10">
        <v>1193457976</v>
      </c>
      <c r="B3810" s="2">
        <v>46092.751707291667</v>
      </c>
      <c r="C3810" s="3" t="str">
        <f>IFERROR(VLOOKUP(A3810,'Base Prueba'!A:C,3,),"NO REGISTRA")</f>
        <v>SEDENIS RIVAS ASPRILLA</v>
      </c>
      <c r="D3810" s="4" t="str">
        <f>IFERROR(VLOOKUP(A3810,'Base Prueba'!A:D,4,),"NO REGISTRA")</f>
        <v>APRENDIZ UNIVERSITARIO</v>
      </c>
      <c r="E3810" s="5" t="str">
        <f>IFERROR(VLOOKUP(A3810,'Base Prueba'!A:E,5,),"NO REGISTRA")</f>
        <v>DEPARTAMENTO DE GESTION HUMANA</v>
      </c>
    </row>
    <row r="3811" spans="1:5" ht="15.75" x14ac:dyDescent="0.25">
      <c r="A3811" s="10">
        <v>1000467399</v>
      </c>
      <c r="B3811" s="2">
        <v>46092.752333217592</v>
      </c>
      <c r="C3811" s="3" t="str">
        <f>IFERROR(VLOOKUP(A3811,'Base Prueba'!A:C,3,),"NO REGISTRA")</f>
        <v>BRANDO ESTIVEN DIAZ QUIMBAYA</v>
      </c>
      <c r="D3811" s="4" t="str">
        <f>IFERROR(VLOOKUP(A3811,'Base Prueba'!A:D,4,),"NO REGISTRA")</f>
        <v>APRENDIZ UNIVERSITARIO</v>
      </c>
      <c r="E3811" s="5" t="str">
        <f>IFERROR(VLOOKUP(A3811,'Base Prueba'!A:E,5,),"NO REGISTRA")</f>
        <v>DEPARTAMENTO DE GESTION HUMANA</v>
      </c>
    </row>
    <row r="3812" spans="1:5" ht="15.75" x14ac:dyDescent="0.25">
      <c r="A3812" s="10">
        <v>1000593372</v>
      </c>
      <c r="B3812" s="2">
        <v>46092.753220023151</v>
      </c>
      <c r="C3812" s="3" t="str">
        <f>IFERROR(VLOOKUP(A3812,'Base Prueba'!A:C,3,),"NO REGISTRA")</f>
        <v>LAURA SOFIA CHAPARRO LOPEZ</v>
      </c>
      <c r="D3812" s="4" t="str">
        <f>IFERROR(VLOOKUP(A3812,'Base Prueba'!A:D,4,),"NO REGISTRA")</f>
        <v>AUXILIAR JURIDICO</v>
      </c>
      <c r="E3812" s="5" t="str">
        <f>IFERROR(VLOOKUP(A3812,'Base Prueba'!A:E,5,),"NO REGISTRA")</f>
        <v>SECRETARIA GENERAL</v>
      </c>
    </row>
    <row r="3813" spans="1:5" ht="15.75" x14ac:dyDescent="0.25">
      <c r="A3813" s="10">
        <v>1000604979</v>
      </c>
      <c r="B3813" s="2">
        <v>46092.753238657409</v>
      </c>
      <c r="C3813" s="3" t="str">
        <f>IFERROR(VLOOKUP(A3813,'Base Prueba'!A:C,3,),"NO REGISTRA")</f>
        <v>JULIETH TATIANA PARDO PINTO</v>
      </c>
      <c r="D3813" s="4" t="str">
        <f>IFERROR(VLOOKUP(A3813,'Base Prueba'!A:D,4,),"NO REGISTRA")</f>
        <v>AUXILIAR JURIDICO</v>
      </c>
      <c r="E3813" s="5" t="str">
        <f>IFERROR(VLOOKUP(A3813,'Base Prueba'!A:E,5,),"NO REGISTRA")</f>
        <v>SECRETARIA GENERAL</v>
      </c>
    </row>
    <row r="3814" spans="1:5" ht="15.75" x14ac:dyDescent="0.25">
      <c r="A3814" s="10">
        <v>1026599257</v>
      </c>
      <c r="B3814" s="2">
        <v>46092.754895370374</v>
      </c>
      <c r="C3814" s="3" t="str">
        <f>IFERROR(VLOOKUP(A3814,'Base Prueba'!A:C,3,),"NO REGISTRA")</f>
        <v>YESENIA PAOLA PINEDA HURTADO</v>
      </c>
      <c r="D3814" s="4" t="str">
        <f>IFERROR(VLOOKUP(A3814,'Base Prueba'!A:D,4,),"NO REGISTRA")</f>
        <v>LIDER DE COMPRAS</v>
      </c>
      <c r="E3814" s="5" t="str">
        <f>IFERROR(VLOOKUP(A3814,'Base Prueba'!A:E,5,),"NO REGISTRA")</f>
        <v>AREA ADMINISTRATIVA</v>
      </c>
    </row>
    <row r="3815" spans="1:5" ht="15.75" x14ac:dyDescent="0.25">
      <c r="A3815" s="10">
        <v>1014308296</v>
      </c>
      <c r="B3815" s="2">
        <v>46092.755209143521</v>
      </c>
      <c r="C3815" s="3" t="str">
        <f>IFERROR(VLOOKUP(A3815,'Base Prueba'!A:C,3,),"NO REGISTRA")</f>
        <v>DARLENE YULIANA MORENO CELEITA</v>
      </c>
      <c r="D3815" s="4" t="str">
        <f>IFERROR(VLOOKUP(A3815,'Base Prueba'!A:D,4,),"NO REGISTRA")</f>
        <v>CAJERO PRINCIPAL</v>
      </c>
      <c r="E3815" s="5" t="str">
        <f>IFERROR(VLOOKUP(A3815,'Base Prueba'!A:E,5,),"NO REGISTRA")</f>
        <v>AREA FINANCIERA Y CONTABLE</v>
      </c>
    </row>
    <row r="3816" spans="1:5" ht="15.75" x14ac:dyDescent="0.25">
      <c r="A3816" s="10">
        <v>53932358</v>
      </c>
      <c r="B3816" s="2">
        <v>46092.757081944445</v>
      </c>
      <c r="C3816" s="3" t="str">
        <f>IFERROR(VLOOKUP(A3816,'Base Prueba'!A:C,3,),"NO REGISTRA")</f>
        <v>DIANA MADELEYNE GAONA RODRIGUEZ</v>
      </c>
      <c r="D3816" s="4" t="str">
        <f>IFERROR(VLOOKUP(A3816,'Base Prueba'!A:D,4,),"NO REGISTRA")</f>
        <v>CONTADOR</v>
      </c>
      <c r="E3816" s="5" t="str">
        <f>IFERROR(VLOOKUP(A3816,'Base Prueba'!A:E,5,),"NO REGISTRA")</f>
        <v>AREA FINANCIERA Y CONTABLE</v>
      </c>
    </row>
    <row r="3817" spans="1:5" ht="15.75" x14ac:dyDescent="0.25">
      <c r="A3817" s="10">
        <v>1049644802</v>
      </c>
      <c r="B3817" s="2">
        <v>46092.757843518521</v>
      </c>
      <c r="C3817" s="3" t="str">
        <f>IFERROR(VLOOKUP(A3817,'Base Prueba'!A:C,3,),"NO REGISTRA")</f>
        <v>DANIELA ALEXANDRA CIPAMOCHA BOSIGA</v>
      </c>
      <c r="D3817" s="4" t="str">
        <f>IFERROR(VLOOKUP(A3817,'Base Prueba'!A:D,4,),"NO REGISTRA")</f>
        <v>LIDER DE DATOS Y SERVICIOS</v>
      </c>
      <c r="E3817" s="5" t="str">
        <f>IFERROR(VLOOKUP(A3817,'Base Prueba'!A:E,5,),"NO REGISTRA")</f>
        <v>OFICINA DE PLANEACION Y GESTION DE LA CALIDAD</v>
      </c>
    </row>
    <row r="3818" spans="1:5" ht="15.75" x14ac:dyDescent="0.25">
      <c r="A3818" s="10">
        <v>1014266838</v>
      </c>
      <c r="B3818" s="2">
        <v>46092.758259259259</v>
      </c>
      <c r="C3818" s="3" t="str">
        <f>IFERROR(VLOOKUP(A3818,'Base Prueba'!A:C,3,),"NO REGISTRA")</f>
        <v>JENNIFER ASTRID ROMERO HURTADO</v>
      </c>
      <c r="D3818" s="4" t="str">
        <f>IFERROR(VLOOKUP(A3818,'Base Prueba'!A:D,4,),"NO REGISTRA")</f>
        <v>LIDER DE RECAUDO</v>
      </c>
      <c r="E3818" s="5" t="str">
        <f>IFERROR(VLOOKUP(A3818,'Base Prueba'!A:E,5,),"NO REGISTRA")</f>
        <v>AREA FINANCIERA Y CONTABLE</v>
      </c>
    </row>
    <row r="3819" spans="1:5" ht="15.75" x14ac:dyDescent="0.25">
      <c r="A3819" s="10">
        <v>1014977624</v>
      </c>
      <c r="B3819" s="2">
        <v>46092.758363425928</v>
      </c>
      <c r="C3819" s="3" t="str">
        <f>IFERROR(VLOOKUP(A3819,'Base Prueba'!A:C,3,),"NO REGISTRA")</f>
        <v>NICCOLE VALENTINA HERNANDEZ MALAVER</v>
      </c>
      <c r="D3819" s="4" t="str">
        <f>IFERROR(VLOOKUP(A3819,'Base Prueba'!A:D,4,),"NO REGISTRA")</f>
        <v>APRENDIZ UNIVERSITARIO</v>
      </c>
      <c r="E3819" s="5" t="str">
        <f>IFERROR(VLOOKUP(A3819,'Base Prueba'!A:E,5,),"NO REGISTRA")</f>
        <v>AREA FINANCIERA Y CONTABLE</v>
      </c>
    </row>
    <row r="3820" spans="1:5" ht="15.75" x14ac:dyDescent="0.25">
      <c r="A3820" s="10">
        <v>1000457706</v>
      </c>
      <c r="B3820" s="2">
        <v>46092.758402199077</v>
      </c>
      <c r="C3820" s="3" t="str">
        <f>IFERROR(VLOOKUP(A3820,'Base Prueba'!A:C,3,),"NO REGISTRA")</f>
        <v>CRISTIAN DANILO ARROYO SANABRIA</v>
      </c>
      <c r="D3820" s="4" t="str">
        <f>IFERROR(VLOOKUP(A3820,'Base Prueba'!A:D,4,),"NO REGISTRA")</f>
        <v>AUXILIAR CONTABLE</v>
      </c>
      <c r="E3820" s="5" t="str">
        <f>IFERROR(VLOOKUP(A3820,'Base Prueba'!A:E,5,),"NO REGISTRA")</f>
        <v>AREA FINANCIERA Y CONTABLE</v>
      </c>
    </row>
    <row r="3821" spans="1:5" ht="15.75" x14ac:dyDescent="0.25">
      <c r="A3821" s="10">
        <v>1000324729</v>
      </c>
      <c r="B3821" s="2">
        <v>46092.758619907407</v>
      </c>
      <c r="C3821" s="3" t="str">
        <f>IFERROR(VLOOKUP(A3821,'Base Prueba'!A:C,3,),"NO REGISTRA")</f>
        <v>ANYIE VANESSA TINOCO CAMACHO</v>
      </c>
      <c r="D3821" s="4" t="str">
        <f>IFERROR(VLOOKUP(A3821,'Base Prueba'!A:D,4,),"NO REGISTRA")</f>
        <v>LIDER DE REGISTRO Y CONTROL</v>
      </c>
      <c r="E3821" s="5" t="str">
        <f>IFERROR(VLOOKUP(A3821,'Base Prueba'!A:E,5,),"NO REGISTRA")</f>
        <v>REGISTRO Y CONTROL ACADEMICO</v>
      </c>
    </row>
    <row r="3822" spans="1:5" ht="15.75" x14ac:dyDescent="0.25">
      <c r="A3822" s="10">
        <v>1000257136</v>
      </c>
      <c r="B3822" s="2">
        <v>46092.758926388888</v>
      </c>
      <c r="C3822" s="3" t="str">
        <f>IFERROR(VLOOKUP(A3822,'Base Prueba'!A:C,3,),"NO REGISTRA")</f>
        <v>FRANCI VALENTINA CANO PUENTES</v>
      </c>
      <c r="D3822" s="4" t="str">
        <f>IFERROR(VLOOKUP(A3822,'Base Prueba'!A:D,4,),"NO REGISTRA")</f>
        <v>AUXILIAR CONTABLE</v>
      </c>
      <c r="E3822" s="5" t="str">
        <f>IFERROR(VLOOKUP(A3822,'Base Prueba'!A:E,5,),"NO REGISTRA")</f>
        <v>AREA FINANCIERA Y CONTABLE</v>
      </c>
    </row>
    <row r="3823" spans="1:5" ht="15.75" x14ac:dyDescent="0.25">
      <c r="A3823" s="10">
        <v>1013616244</v>
      </c>
      <c r="B3823" s="2">
        <v>46092.761920833334</v>
      </c>
      <c r="C3823" s="3" t="str">
        <f>IFERROR(VLOOKUP(A3823,'Base Prueba'!A:C,3,),"NO REGISTRA")</f>
        <v>DIANA CAROLINA MARIN BETANCOURT</v>
      </c>
      <c r="D3823" s="4" t="str">
        <f>IFERROR(VLOOKUP(A3823,'Base Prueba'!A:D,4,),"NO REGISTRA")</f>
        <v>AUXILIAR ADMINISTRATIVO</v>
      </c>
      <c r="E3823" s="5" t="str">
        <f>IFERROR(VLOOKUP(A3823,'Base Prueba'!A:E,5,),"NO REGISTRA")</f>
        <v>REGISTRO Y CONTROL ACADEMICO</v>
      </c>
    </row>
    <row r="3824" spans="1:5" ht="15.75" x14ac:dyDescent="0.25">
      <c r="A3824" s="10">
        <v>80238161</v>
      </c>
      <c r="B3824" s="2">
        <v>46092.768805324071</v>
      </c>
      <c r="C3824" s="3" t="str">
        <f>IFERROR(VLOOKUP(A3824,'Base Prueba'!A:C,3,),"NO REGISTRA")</f>
        <v>GERMAN CARRANZA ESPITIA</v>
      </c>
      <c r="D3824" s="4" t="str">
        <f>IFERROR(VLOOKUP(A3824,'Base Prueba'!A:D,4,),"NO REGISTRA")</f>
        <v>TESORERO</v>
      </c>
      <c r="E3824" s="5" t="str">
        <f>IFERROR(VLOOKUP(A3824,'Base Prueba'!A:E,5,),"NO REGISTRA")</f>
        <v>AREA FINANCIERA Y CONTABLE</v>
      </c>
    </row>
    <row r="3825" spans="1:5" ht="15.75" x14ac:dyDescent="0.25">
      <c r="A3825" s="10">
        <v>1012426741</v>
      </c>
      <c r="B3825" s="2">
        <v>46092.770890624997</v>
      </c>
      <c r="C3825" s="3" t="str">
        <f>IFERROR(VLOOKUP(A3825,'Base Prueba'!A:C,3,),"NO REGISTRA")</f>
        <v>CRISTIAN FABIAN ROJAS SANCENO</v>
      </c>
      <c r="D3825" s="4" t="str">
        <f>IFERROR(VLOOKUP(A3825,'Base Prueba'!A:D,4,),"NO REGISTRA")</f>
        <v>AUXILIAR DE REINTEGROS</v>
      </c>
      <c r="E3825" s="5" t="str">
        <f>IFERROR(VLOOKUP(A3825,'Base Prueba'!A:E,5,),"NO REGISTRA")</f>
        <v>DIRECCION DE BIENESTAR INSTITUCIONAL</v>
      </c>
    </row>
    <row r="3826" spans="1:5" ht="15.75" x14ac:dyDescent="0.25">
      <c r="A3826" s="10">
        <v>1000046533</v>
      </c>
      <c r="B3826" s="2">
        <v>46092.771600462962</v>
      </c>
      <c r="C3826" s="3" t="str">
        <f>IFERROR(VLOOKUP(A3826,'Base Prueba'!A:C,3,),"NO REGISTRA")</f>
        <v>ERIKA JULIETH VALDERRAMA SANCHEZ</v>
      </c>
      <c r="D3826" s="4" t="str">
        <f>IFERROR(VLOOKUP(A3826,'Base Prueba'!A:D,4,),"NO REGISTRA")</f>
        <v>PROMOTOR CALL CENTER</v>
      </c>
      <c r="E3826" s="5" t="str">
        <f>IFERROR(VLOOKUP(A3826,'Base Prueba'!A:E,5,),"NO REGISTRA")</f>
        <v>OFICINA DE MERCADEO</v>
      </c>
    </row>
    <row r="3827" spans="1:5" ht="15.75" x14ac:dyDescent="0.25">
      <c r="A3827" s="10">
        <v>52472386</v>
      </c>
      <c r="B3827" s="2">
        <v>46092.772910300926</v>
      </c>
      <c r="C3827" s="3" t="str">
        <f>IFERROR(VLOOKUP(A3827,'Base Prueba'!A:C,3,),"NO REGISTRA")</f>
        <v>ADRIANA MARCELA MORALES PARDO</v>
      </c>
      <c r="D3827" s="4" t="str">
        <f>IFERROR(VLOOKUP(A3827,'Base Prueba'!A:D,4,),"NO REGISTRA")</f>
        <v>PROMOTOR CALL CENTER</v>
      </c>
      <c r="E3827" s="5" t="str">
        <f>IFERROR(VLOOKUP(A3827,'Base Prueba'!A:E,5,),"NO REGISTRA")</f>
        <v>OFICINA DE MERCADEO</v>
      </c>
    </row>
    <row r="3828" spans="1:5" ht="15.75" x14ac:dyDescent="0.25">
      <c r="A3828" s="10">
        <v>1023883232</v>
      </c>
      <c r="B3828" s="2">
        <v>46092.774958333335</v>
      </c>
      <c r="C3828" s="3" t="str">
        <f>IFERROR(VLOOKUP(A3828,'Base Prueba'!A:C,3,),"NO REGISTRA")</f>
        <v>MONICA ANDREA ACERO URBANO</v>
      </c>
      <c r="D3828" s="4" t="str">
        <f>IFERROR(VLOOKUP(A3828,'Base Prueba'!A:D,4,),"NO REGISTRA")</f>
        <v>APOYO INTEGRAL A GESTION HUMANA</v>
      </c>
      <c r="E3828" s="5" t="str">
        <f>IFERROR(VLOOKUP(A3828,'Base Prueba'!A:E,5,),"NO REGISTRA")</f>
        <v>DEPARTAMENTO DE GESTION HUMANA</v>
      </c>
    </row>
    <row r="3829" spans="1:5" ht="15.75" x14ac:dyDescent="0.25">
      <c r="A3829" s="10">
        <v>1018414290</v>
      </c>
      <c r="B3829" s="2">
        <v>46092.775204282407</v>
      </c>
      <c r="C3829" s="3" t="str">
        <f>IFERROR(VLOOKUP(A3829,'Base Prueba'!A:C,3,),"NO REGISTRA")</f>
        <v>AMANDA LISBETH RODRIGUEZ LEON</v>
      </c>
      <c r="D3829" s="4" t="str">
        <f>IFERROR(VLOOKUP(A3829,'Base Prueba'!A:D,4,),"NO REGISTRA")</f>
        <v>PROMOTOR CALL CENTER</v>
      </c>
      <c r="E3829" s="5" t="str">
        <f>IFERROR(VLOOKUP(A3829,'Base Prueba'!A:E,5,),"NO REGISTRA")</f>
        <v>OFICINA DE MERCADEO</v>
      </c>
    </row>
    <row r="3830" spans="1:5" ht="15.75" x14ac:dyDescent="0.25">
      <c r="A3830" s="10">
        <v>1032407386</v>
      </c>
      <c r="B3830" s="2">
        <v>46092.775249999999</v>
      </c>
      <c r="C3830" s="3" t="str">
        <f>IFERROR(VLOOKUP(A3830,'Base Prueba'!A:C,3,),"NO REGISTRA")</f>
        <v>GINA PAOLA BAEZ GALVIS</v>
      </c>
      <c r="D3830" s="4" t="str">
        <f>IFERROR(VLOOKUP(A3830,'Base Prueba'!A:D,4,),"NO REGISTRA")</f>
        <v>PROMOTOR CALL CENTER</v>
      </c>
      <c r="E3830" s="5" t="str">
        <f>IFERROR(VLOOKUP(A3830,'Base Prueba'!A:E,5,),"NO REGISTRA")</f>
        <v>OFICINA DE MERCADEO</v>
      </c>
    </row>
    <row r="3831" spans="1:5" ht="15.75" x14ac:dyDescent="0.25">
      <c r="A3831" s="10">
        <v>1032407386</v>
      </c>
      <c r="B3831" s="2">
        <v>46092.775271759259</v>
      </c>
      <c r="C3831" s="3" t="str">
        <f>IFERROR(VLOOKUP(A3831,'Base Prueba'!A:C,3,),"NO REGISTRA")</f>
        <v>GINA PAOLA BAEZ GALVIS</v>
      </c>
      <c r="D3831" s="4" t="str">
        <f>IFERROR(VLOOKUP(A3831,'Base Prueba'!A:D,4,),"NO REGISTRA")</f>
        <v>PROMOTOR CALL CENTER</v>
      </c>
      <c r="E3831" s="5" t="str">
        <f>IFERROR(VLOOKUP(A3831,'Base Prueba'!A:E,5,),"NO REGISTRA")</f>
        <v>OFICINA DE MERCADEO</v>
      </c>
    </row>
    <row r="3832" spans="1:5" ht="15.75" x14ac:dyDescent="0.25">
      <c r="A3832" s="10">
        <v>1033709056</v>
      </c>
      <c r="B3832" s="2">
        <v>46092.775356597223</v>
      </c>
      <c r="C3832" s="3" t="str">
        <f>IFERROR(VLOOKUP(A3832,'Base Prueba'!A:C,3,),"NO REGISTRA")</f>
        <v>YEIMY ALEXANDRA RODRIGUEZ PALACIO</v>
      </c>
      <c r="D3832" s="4" t="str">
        <f>IFERROR(VLOOKUP(A3832,'Base Prueba'!A:D,4,),"NO REGISTRA")</f>
        <v>PROMOTOR CALL CENTER</v>
      </c>
      <c r="E3832" s="5" t="str">
        <f>IFERROR(VLOOKUP(A3832,'Base Prueba'!A:E,5,),"NO REGISTRA")</f>
        <v>OFICINA DE MERCADEO</v>
      </c>
    </row>
    <row r="3833" spans="1:5" ht="15.75" x14ac:dyDescent="0.25">
      <c r="A3833" s="10">
        <v>28798349</v>
      </c>
      <c r="B3833" s="2">
        <v>46092.775429745372</v>
      </c>
      <c r="C3833" s="3" t="str">
        <f>IFERROR(VLOOKUP(A3833,'Base Prueba'!A:C,3,),"NO REGISTRA")</f>
        <v>MARTHA ISABEL TOVAR WILLIAMS</v>
      </c>
      <c r="D3833" s="4" t="str">
        <f>IFERROR(VLOOKUP(A3833,'Base Prueba'!A:D,4,),"NO REGISTRA")</f>
        <v>PROMOTOR CALL CENTER</v>
      </c>
      <c r="E3833" s="5" t="str">
        <f>IFERROR(VLOOKUP(A3833,'Base Prueba'!A:E,5,),"NO REGISTRA")</f>
        <v>OFICINA DE MERCADEO</v>
      </c>
    </row>
    <row r="3834" spans="1:5" ht="15.75" x14ac:dyDescent="0.25">
      <c r="A3834" s="10">
        <v>1023961952</v>
      </c>
      <c r="B3834" s="2">
        <v>46092.775484375001</v>
      </c>
      <c r="C3834" s="3" t="str">
        <f>IFERROR(VLOOKUP(A3834,'Base Prueba'!A:C,3,),"NO REGISTRA")</f>
        <v>ALEJANDRO PINZON MERCHAN</v>
      </c>
      <c r="D3834" s="4" t="str">
        <f>IFERROR(VLOOKUP(A3834,'Base Prueba'!A:D,4,),"NO REGISTRA")</f>
        <v>PROMOTOR CALL CENTER</v>
      </c>
      <c r="E3834" s="5" t="str">
        <f>IFERROR(VLOOKUP(A3834,'Base Prueba'!A:E,5,),"NO REGISTRA")</f>
        <v>OFICINA DE MERCADEO</v>
      </c>
    </row>
    <row r="3835" spans="1:5" ht="15.75" x14ac:dyDescent="0.25">
      <c r="A3835" s="10">
        <v>52175674</v>
      </c>
      <c r="B3835" s="2">
        <v>46092.775716087963</v>
      </c>
      <c r="C3835" s="3" t="str">
        <f>IFERROR(VLOOKUP(A3835,'Base Prueba'!A:C,3,),"NO REGISTRA")</f>
        <v>LUZ YANETH GOMEZ AREVALO</v>
      </c>
      <c r="D3835" s="4" t="str">
        <f>IFERROR(VLOOKUP(A3835,'Base Prueba'!A:D,4,),"NO REGISTRA")</f>
        <v>COORDINADORA DE ADMISIONES</v>
      </c>
      <c r="E3835" s="5" t="str">
        <f>IFERROR(VLOOKUP(A3835,'Base Prueba'!A:E,5,),"NO REGISTRA")</f>
        <v>OFICINA DE MERCADEO</v>
      </c>
    </row>
    <row r="3836" spans="1:5" ht="15.75" x14ac:dyDescent="0.25">
      <c r="A3836" s="10">
        <v>53089882</v>
      </c>
      <c r="B3836" s="2">
        <v>46092.776300694444</v>
      </c>
      <c r="C3836" s="3" t="str">
        <f>IFERROR(VLOOKUP(A3836,'Base Prueba'!A:C,3,),"NO REGISTRA")</f>
        <v>MARIA JOHANA ESCAMILLA MARTINEZ</v>
      </c>
      <c r="D3836" s="4" t="str">
        <f>IFERROR(VLOOKUP(A3836,'Base Prueba'!A:D,4,),"NO REGISTRA")</f>
        <v>PROMOTOR DE INFORMACIÓN</v>
      </c>
      <c r="E3836" s="5" t="str">
        <f>IFERROR(VLOOKUP(A3836,'Base Prueba'!A:E,5,),"NO REGISTRA")</f>
        <v>OFICINA DE MERCADEO</v>
      </c>
    </row>
    <row r="3837" spans="1:5" ht="15.75" x14ac:dyDescent="0.25">
      <c r="A3837" s="10">
        <v>1018413529</v>
      </c>
      <c r="B3837" s="2">
        <v>46092.776376851849</v>
      </c>
      <c r="C3837" s="3" t="str">
        <f>IFERROR(VLOOKUP(A3837,'Base Prueba'!A:C,3,),"NO REGISTRA")</f>
        <v>FRANCY STELLA CHARRY MORENO</v>
      </c>
      <c r="D3837" s="4" t="str">
        <f>IFERROR(VLOOKUP(A3837,'Base Prueba'!A:D,4,),"NO REGISTRA")</f>
        <v>PROMOTOR COMERCIAL DEL CEA</v>
      </c>
      <c r="E3837" s="5" t="str">
        <f>IFERROR(VLOOKUP(A3837,'Base Prueba'!A:E,5,),"NO REGISTRA")</f>
        <v>OFICINA DE MERCADEO</v>
      </c>
    </row>
    <row r="3838" spans="1:5" ht="15.75" x14ac:dyDescent="0.25">
      <c r="A3838" s="10">
        <v>80191732</v>
      </c>
      <c r="B3838" s="2">
        <v>46092.776418171299</v>
      </c>
      <c r="C3838" s="3" t="str">
        <f>IFERROR(VLOOKUP(A3838,'Base Prueba'!A:C,3,),"NO REGISTRA")</f>
        <v>DANIEL MAURICIO ZAMBRANO TUNJANO</v>
      </c>
      <c r="D3838" s="4" t="str">
        <f>IFERROR(VLOOKUP(A3838,'Base Prueba'!A:D,4,),"NO REGISTRA")</f>
        <v>COORDINADOR DE DISEÑO E IMAGEN INSTITUCIONAL</v>
      </c>
      <c r="E3838" s="5" t="str">
        <f>IFERROR(VLOOKUP(A3838,'Base Prueba'!A:E,5,),"NO REGISTRA")</f>
        <v>OFICINA DE MERCADEO</v>
      </c>
    </row>
    <row r="3839" spans="1:5" ht="15.75" x14ac:dyDescent="0.25">
      <c r="A3839" s="10">
        <v>1019105003</v>
      </c>
      <c r="B3839" s="2">
        <v>46092.779821412034</v>
      </c>
      <c r="C3839" s="3" t="str">
        <f>IFERROR(VLOOKUP(A3839,'Base Prueba'!A:C,3,),"NO REGISTRA")</f>
        <v>DAISY JULIETH GASPAR MORENO</v>
      </c>
      <c r="D3839" s="4" t="str">
        <f>IFERROR(VLOOKUP(A3839,'Base Prueba'!A:D,4,),"NO REGISTRA")</f>
        <v>PROMOTOR CALL CENTER</v>
      </c>
      <c r="E3839" s="5" t="str">
        <f>IFERROR(VLOOKUP(A3839,'Base Prueba'!A:E,5,),"NO REGISTRA")</f>
        <v>OFICINA DE MERCADEO</v>
      </c>
    </row>
    <row r="3840" spans="1:5" ht="15.75" x14ac:dyDescent="0.25">
      <c r="A3840" s="10">
        <v>52764929</v>
      </c>
      <c r="B3840" s="2">
        <v>46092.783919212961</v>
      </c>
      <c r="C3840" s="3" t="str">
        <f>IFERROR(VLOOKUP(A3840,'Base Prueba'!A:C,3,),"NO REGISTRA")</f>
        <v>GUERLY YOHANA DURAN RIVERA</v>
      </c>
      <c r="D3840" s="4" t="str">
        <f>IFERROR(VLOOKUP(A3840,'Base Prueba'!A:D,4,),"NO REGISTRA")</f>
        <v>LIDER DE VINCULACION COLEGIOS</v>
      </c>
      <c r="E3840" s="5" t="str">
        <f>IFERROR(VLOOKUP(A3840,'Base Prueba'!A:E,5,),"NO REGISTRA")</f>
        <v>OFICINA DE MERCADEO</v>
      </c>
    </row>
    <row r="3841" spans="1:5" ht="15.75" x14ac:dyDescent="0.25">
      <c r="A3841" s="10">
        <v>52443092</v>
      </c>
      <c r="B3841" s="2">
        <v>46092.788314583333</v>
      </c>
      <c r="C3841" s="3" t="str">
        <f>IFERROR(VLOOKUP(A3841,'Base Prueba'!A:C,3,),"NO REGISTRA")</f>
        <v>LUZ MYRIAM SAAVEDRA CONTRERAS</v>
      </c>
      <c r="D3841" s="4" t="str">
        <f>IFERROR(VLOOKUP(A3841,'Base Prueba'!A:D,4,),"NO REGISTRA")</f>
        <v>AUXILIAR DE SERVICIOS</v>
      </c>
      <c r="E3841" s="5" t="str">
        <f>IFERROR(VLOOKUP(A3841,'Base Prueba'!A:E,5,),"NO REGISTRA")</f>
        <v>LOGISTICA Y SERVICIOS GENERALES</v>
      </c>
    </row>
    <row r="3842" spans="1:5" ht="15.75" x14ac:dyDescent="0.25">
      <c r="A3842" s="10">
        <v>80234243</v>
      </c>
      <c r="B3842" s="2">
        <v>46092.791254050928</v>
      </c>
      <c r="C3842" s="3" t="str">
        <f>IFERROR(VLOOKUP(A3842,'Base Prueba'!A:C,3,),"NO REGISTRA")</f>
        <v>ARGENIS MARTINEZ MARTINEZ</v>
      </c>
      <c r="D3842" s="4" t="str">
        <f>IFERROR(VLOOKUP(A3842,'Base Prueba'!A:D,4,),"NO REGISTRA")</f>
        <v>LIDER CALL CENTER</v>
      </c>
      <c r="E3842" s="5" t="str">
        <f>IFERROR(VLOOKUP(A3842,'Base Prueba'!A:E,5,),"NO REGISTRA")</f>
        <v>OFICINA DE MERCADEO</v>
      </c>
    </row>
    <row r="3843" spans="1:5" ht="15.75" x14ac:dyDescent="0.25">
      <c r="A3843" s="10">
        <v>52474489</v>
      </c>
      <c r="B3843" s="2">
        <v>46092.820762962961</v>
      </c>
      <c r="C3843" s="3" t="str">
        <f>IFERROR(VLOOKUP(A3843,'Base Prueba'!A:C,3,),"NO REGISTRA")</f>
        <v>ADRIANA JIMENA SOTO BOCANEGRA</v>
      </c>
      <c r="D3843" s="4" t="str">
        <f>IFERROR(VLOOKUP(A3843,'Base Prueba'!A:D,4,),"NO REGISTRA")</f>
        <v>COORDINADOR DE LA OFICINA DE REGISTRO Y CONTROL</v>
      </c>
      <c r="E3843" s="5" t="str">
        <f>IFERROR(VLOOKUP(A3843,'Base Prueba'!A:E,5,),"NO REGISTRA")</f>
        <v>REGISTRO Y CONTROL ACADEMICO</v>
      </c>
    </row>
    <row r="3844" spans="1:5" ht="15.75" x14ac:dyDescent="0.25">
      <c r="A3844" s="10">
        <v>1014196857</v>
      </c>
      <c r="B3844" s="2">
        <v>46092.832063773145</v>
      </c>
      <c r="C3844" s="3" t="str">
        <f>IFERROR(VLOOKUP(A3844,'Base Prueba'!A:C,3,),"NO REGISTRA")</f>
        <v>CARLOS ANDRES JIMENEZ PARDO</v>
      </c>
      <c r="D3844" s="4" t="str">
        <f>IFERROR(VLOOKUP(A3844,'Base Prueba'!A:D,4,),"NO REGISTRA")</f>
        <v>COORDINADOR DE MARKETING DIGITAL</v>
      </c>
      <c r="E3844" s="5" t="str">
        <f>IFERROR(VLOOKUP(A3844,'Base Prueba'!A:E,5,),"NO REGISTRA")</f>
        <v>OFICINA DE MERCADEO</v>
      </c>
    </row>
    <row r="3845" spans="1:5" ht="15.75" x14ac:dyDescent="0.25">
      <c r="A3845" s="10">
        <v>80725196</v>
      </c>
      <c r="B3845" s="2">
        <v>46093.290413888892</v>
      </c>
      <c r="C3845" s="3" t="str">
        <f>IFERROR(VLOOKUP(A3845,'Base Prueba'!A:C,3,),"NO REGISTRA")</f>
        <v>YEISON YOSET TOVAR BARBOSA</v>
      </c>
      <c r="D3845" s="4" t="str">
        <f>IFERROR(VLOOKUP(A3845,'Base Prueba'!A:D,4,),"NO REGISTRA")</f>
        <v>LIDER GESTION DOCUMENTAL</v>
      </c>
      <c r="E3845" s="5" t="str">
        <f>IFERROR(VLOOKUP(A3845,'Base Prueba'!A:E,5,),"NO REGISTRA")</f>
        <v>CENTRO DE GESTION DOCUMENTAL</v>
      </c>
    </row>
    <row r="3846" spans="1:5" ht="15.75" x14ac:dyDescent="0.25">
      <c r="A3846" s="10">
        <v>1087121273</v>
      </c>
      <c r="B3846" s="2">
        <v>46093.314160532405</v>
      </c>
      <c r="C3846" s="3" t="str">
        <f>IFERROR(VLOOKUP(A3846,'Base Prueba'!A:C,3,),"NO REGISTRA")</f>
        <v>MAYRA ALEJANDRA CASTILLO ARBOLEDA</v>
      </c>
      <c r="D3846" s="4" t="str">
        <f>IFERROR(VLOOKUP(A3846,'Base Prueba'!A:D,4,),"NO REGISTRA")</f>
        <v>APOYO INTEGRAL DE MERCADEO</v>
      </c>
      <c r="E3846" s="5" t="str">
        <f>IFERROR(VLOOKUP(A3846,'Base Prueba'!A:E,5,),"NO REGISTRA")</f>
        <v>CENTRO DE GESTION DOCUMENTAL</v>
      </c>
    </row>
    <row r="3847" spans="1:5" ht="15.75" x14ac:dyDescent="0.25">
      <c r="A3847" s="10">
        <v>1013616244</v>
      </c>
      <c r="B3847" s="2">
        <v>46093.31918460648</v>
      </c>
      <c r="C3847" s="3" t="str">
        <f>IFERROR(VLOOKUP(A3847,'Base Prueba'!A:C,3,),"NO REGISTRA")</f>
        <v>DIANA CAROLINA MARIN BETANCOURT</v>
      </c>
      <c r="D3847" s="4" t="str">
        <f>IFERROR(VLOOKUP(A3847,'Base Prueba'!A:D,4,),"NO REGISTRA")</f>
        <v>AUXILIAR ADMINISTRATIVO</v>
      </c>
      <c r="E3847" s="5" t="str">
        <f>IFERROR(VLOOKUP(A3847,'Base Prueba'!A:E,5,),"NO REGISTRA")</f>
        <v>REGISTRO Y CONTROL ACADEMICO</v>
      </c>
    </row>
    <row r="3848" spans="1:5" ht="15.75" x14ac:dyDescent="0.25">
      <c r="A3848" s="10">
        <v>1000257136</v>
      </c>
      <c r="B3848" s="2">
        <v>46093.322795601853</v>
      </c>
      <c r="C3848" s="3" t="str">
        <f>IFERROR(VLOOKUP(A3848,'Base Prueba'!A:C,3,),"NO REGISTRA")</f>
        <v>FRANCI VALENTINA CANO PUENTES</v>
      </c>
      <c r="D3848" s="4" t="str">
        <f>IFERROR(VLOOKUP(A3848,'Base Prueba'!A:D,4,),"NO REGISTRA")</f>
        <v>AUXILIAR CONTABLE</v>
      </c>
      <c r="E3848" s="5" t="str">
        <f>IFERROR(VLOOKUP(A3848,'Base Prueba'!A:E,5,),"NO REGISTRA")</f>
        <v>AREA FINANCIERA Y CONTABLE</v>
      </c>
    </row>
    <row r="3849" spans="1:5" ht="15.75" x14ac:dyDescent="0.25">
      <c r="A3849" s="10">
        <v>1010184333</v>
      </c>
      <c r="B3849" s="2">
        <v>46093.326274884261</v>
      </c>
      <c r="C3849" s="3" t="str">
        <f>IFERROR(VLOOKUP(A3849,'Base Prueba'!A:C,3,),"NO REGISTRA")</f>
        <v>AKON ANDRES GARZON ALVAREZ</v>
      </c>
      <c r="D3849" s="4" t="str">
        <f>IFERROR(VLOOKUP(A3849,'Base Prueba'!A:D,4,),"NO REGISTRA")</f>
        <v>APRENDIZ UNIVERSITARIO</v>
      </c>
      <c r="E3849" s="5" t="str">
        <f>IFERROR(VLOOKUP(A3849,'Base Prueba'!A:E,5,),"NO REGISTRA")</f>
        <v>SECRETARIA GENERAL</v>
      </c>
    </row>
    <row r="3850" spans="1:5" ht="15.75" x14ac:dyDescent="0.25">
      <c r="A3850" s="10">
        <v>1000324729</v>
      </c>
      <c r="B3850" s="2">
        <v>46093.328150810186</v>
      </c>
      <c r="C3850" s="3" t="str">
        <f>IFERROR(VLOOKUP(A3850,'Base Prueba'!A:C,3,),"NO REGISTRA")</f>
        <v>ANYIE VANESSA TINOCO CAMACHO</v>
      </c>
      <c r="D3850" s="4" t="str">
        <f>IFERROR(VLOOKUP(A3850,'Base Prueba'!A:D,4,),"NO REGISTRA")</f>
        <v>LIDER DE REGISTRO Y CONTROL</v>
      </c>
      <c r="E3850" s="5" t="str">
        <f>IFERROR(VLOOKUP(A3850,'Base Prueba'!A:E,5,),"NO REGISTRA")</f>
        <v>REGISTRO Y CONTROL ACADEMICO</v>
      </c>
    </row>
    <row r="3851" spans="1:5" ht="15.75" x14ac:dyDescent="0.25">
      <c r="A3851" s="10">
        <v>1014308296</v>
      </c>
      <c r="B3851" s="2">
        <v>46093.331168634257</v>
      </c>
      <c r="C3851" s="3" t="str">
        <f>IFERROR(VLOOKUP(A3851,'Base Prueba'!A:C,3,),"NO REGISTRA")</f>
        <v>DARLENE YULIANA MORENO CELEITA</v>
      </c>
      <c r="D3851" s="4" t="str">
        <f>IFERROR(VLOOKUP(A3851,'Base Prueba'!A:D,4,),"NO REGISTRA")</f>
        <v>CAJERO PRINCIPAL</v>
      </c>
      <c r="E3851" s="5" t="str">
        <f>IFERROR(VLOOKUP(A3851,'Base Prueba'!A:E,5,),"NO REGISTRA")</f>
        <v>AREA FINANCIERA Y CONTABLE</v>
      </c>
    </row>
    <row r="3852" spans="1:5" ht="15.75" x14ac:dyDescent="0.25">
      <c r="A3852" s="10">
        <v>1024512067</v>
      </c>
      <c r="B3852" s="2">
        <v>46093.331407060185</v>
      </c>
      <c r="C3852" s="3" t="str">
        <f>IFERROR(VLOOKUP(A3852,'Base Prueba'!A:C,3,),"NO REGISTRA")</f>
        <v>CINDY GIOVANA SALGAR GOMEZ</v>
      </c>
      <c r="D3852" s="4" t="str">
        <f>IFERROR(VLOOKUP(A3852,'Base Prueba'!A:D,4,),"NO REGISTRA")</f>
        <v>COORDINADOR DEL SISTEMA INTEGRADO DE GESTION INSTITUCIONAL - SIGI</v>
      </c>
      <c r="E3852" s="5" t="str">
        <f>IFERROR(VLOOKUP(A3852,'Base Prueba'!A:E,5,),"NO REGISTRA")</f>
        <v>OFICINA DE PLANEACION Y GESTION DE LA CALIDAD</v>
      </c>
    </row>
    <row r="3853" spans="1:5" ht="15.75" x14ac:dyDescent="0.25">
      <c r="A3853" s="10">
        <v>1193457976</v>
      </c>
      <c r="B3853" s="2">
        <v>46093.334864814817</v>
      </c>
      <c r="C3853" s="3" t="str">
        <f>IFERROR(VLOOKUP(A3853,'Base Prueba'!A:C,3,),"NO REGISTRA")</f>
        <v>SEDENIS RIVAS ASPRILLA</v>
      </c>
      <c r="D3853" s="4" t="str">
        <f>IFERROR(VLOOKUP(A3853,'Base Prueba'!A:D,4,),"NO REGISTRA")</f>
        <v>APRENDIZ UNIVERSITARIO</v>
      </c>
      <c r="E3853" s="5" t="str">
        <f>IFERROR(VLOOKUP(A3853,'Base Prueba'!A:E,5,),"NO REGISTRA")</f>
        <v>DEPARTAMENTO DE GESTION HUMANA</v>
      </c>
    </row>
    <row r="3854" spans="1:5" ht="15.75" x14ac:dyDescent="0.25">
      <c r="A3854" s="10">
        <v>80191732</v>
      </c>
      <c r="B3854" s="2">
        <v>46093.337895949073</v>
      </c>
      <c r="C3854" s="3" t="str">
        <f>IFERROR(VLOOKUP(A3854,'Base Prueba'!A:C,3,),"NO REGISTRA")</f>
        <v>DANIEL MAURICIO ZAMBRANO TUNJANO</v>
      </c>
      <c r="D3854" s="4" t="str">
        <f>IFERROR(VLOOKUP(A3854,'Base Prueba'!A:D,4,),"NO REGISTRA")</f>
        <v>COORDINADOR DE DISEÑO E IMAGEN INSTITUCIONAL</v>
      </c>
      <c r="E3854" s="5" t="str">
        <f>IFERROR(VLOOKUP(A3854,'Base Prueba'!A:E,5,),"NO REGISTRA")</f>
        <v>OFICINA DE MERCADEO</v>
      </c>
    </row>
    <row r="3855" spans="1:5" ht="15.75" x14ac:dyDescent="0.25">
      <c r="A3855" s="10">
        <v>53932358</v>
      </c>
      <c r="B3855" s="2">
        <v>46093.344765393522</v>
      </c>
      <c r="C3855" s="3" t="str">
        <f>IFERROR(VLOOKUP(A3855,'Base Prueba'!A:C,3,),"NO REGISTRA")</f>
        <v>DIANA MADELEYNE GAONA RODRIGUEZ</v>
      </c>
      <c r="D3855" s="4" t="str">
        <f>IFERROR(VLOOKUP(A3855,'Base Prueba'!A:D,4,),"NO REGISTRA")</f>
        <v>CONTADOR</v>
      </c>
      <c r="E3855" s="5" t="str">
        <f>IFERROR(VLOOKUP(A3855,'Base Prueba'!A:E,5,),"NO REGISTRA")</f>
        <v>AREA FINANCIERA Y CONTABLE</v>
      </c>
    </row>
    <row r="3856" spans="1:5" ht="15.75" x14ac:dyDescent="0.25">
      <c r="A3856" s="10">
        <v>1014977624</v>
      </c>
      <c r="B3856" s="2">
        <v>46093.346936111113</v>
      </c>
      <c r="C3856" s="3" t="str">
        <f>IFERROR(VLOOKUP(A3856,'Base Prueba'!A:C,3,),"NO REGISTRA")</f>
        <v>NICCOLE VALENTINA HERNANDEZ MALAVER</v>
      </c>
      <c r="D3856" s="4" t="str">
        <f>IFERROR(VLOOKUP(A3856,'Base Prueba'!A:D,4,),"NO REGISTRA")</f>
        <v>APRENDIZ UNIVERSITARIO</v>
      </c>
      <c r="E3856" s="5" t="str">
        <f>IFERROR(VLOOKUP(A3856,'Base Prueba'!A:E,5,),"NO REGISTRA")</f>
        <v>AREA FINANCIERA Y CONTABLE</v>
      </c>
    </row>
    <row r="3857" spans="1:5" ht="15.75" x14ac:dyDescent="0.25">
      <c r="A3857" s="10">
        <v>80238161</v>
      </c>
      <c r="B3857" s="2">
        <v>46093.34723136574</v>
      </c>
      <c r="C3857" s="3" t="str">
        <f>IFERROR(VLOOKUP(A3857,'Base Prueba'!A:C,3,),"NO REGISTRA")</f>
        <v>GERMAN CARRANZA ESPITIA</v>
      </c>
      <c r="D3857" s="4" t="str">
        <f>IFERROR(VLOOKUP(A3857,'Base Prueba'!A:D,4,),"NO REGISTRA")</f>
        <v>TESORERO</v>
      </c>
      <c r="E3857" s="5" t="str">
        <f>IFERROR(VLOOKUP(A3857,'Base Prueba'!A:E,5,),"NO REGISTRA")</f>
        <v>AREA FINANCIERA Y CONTABLE</v>
      </c>
    </row>
    <row r="3858" spans="1:5" ht="15.75" x14ac:dyDescent="0.25">
      <c r="A3858" s="10">
        <v>1031802160</v>
      </c>
      <c r="B3858" s="2">
        <v>46093.347275115739</v>
      </c>
      <c r="C3858" s="3" t="str">
        <f>IFERROR(VLOOKUP(A3858,'Base Prueba'!A:C,3,),"NO REGISTRA")</f>
        <v>LUISA MARIA MAHECHA SOTOMAYOR</v>
      </c>
      <c r="D3858" s="4" t="str">
        <f>IFERROR(VLOOKUP(A3858,'Base Prueba'!A:D,4,),"NO REGISTRA")</f>
        <v>APRENDIZ UNIVERSITARIO</v>
      </c>
      <c r="E3858" s="5" t="str">
        <f>IFERROR(VLOOKUP(A3858,'Base Prueba'!A:E,5,),"NO REGISTRA")</f>
        <v>OFICINA DE MERCADEO</v>
      </c>
    </row>
    <row r="3859" spans="1:5" ht="15.75" x14ac:dyDescent="0.25">
      <c r="A3859" s="10">
        <v>1000604979</v>
      </c>
      <c r="B3859" s="2">
        <v>46093.348410185186</v>
      </c>
      <c r="C3859" s="3" t="str">
        <f>IFERROR(VLOOKUP(A3859,'Base Prueba'!A:C,3,),"NO REGISTRA")</f>
        <v>JULIETH TATIANA PARDO PINTO</v>
      </c>
      <c r="D3859" s="4" t="str">
        <f>IFERROR(VLOOKUP(A3859,'Base Prueba'!A:D,4,),"NO REGISTRA")</f>
        <v>AUXILIAR JURIDICO</v>
      </c>
      <c r="E3859" s="5" t="str">
        <f>IFERROR(VLOOKUP(A3859,'Base Prueba'!A:E,5,),"NO REGISTRA")</f>
        <v>SECRETARIA GENERAL</v>
      </c>
    </row>
    <row r="3860" spans="1:5" ht="15.75" x14ac:dyDescent="0.25">
      <c r="A3860" s="10">
        <v>1012357415</v>
      </c>
      <c r="B3860" s="2">
        <v>46093.353161342595</v>
      </c>
      <c r="C3860" s="3" t="str">
        <f>IFERROR(VLOOKUP(A3860,'Base Prueba'!A:C,3,),"NO REGISTRA")</f>
        <v>CINDY LORENA BOHORQUEZ LEYVA</v>
      </c>
      <c r="D3860" s="4" t="str">
        <f>IFERROR(VLOOKUP(A3860,'Base Prueba'!A:D,4,),"NO REGISTRA")</f>
        <v>ANALISTA DE TESORERIA</v>
      </c>
      <c r="E3860" s="5" t="str">
        <f>IFERROR(VLOOKUP(A3860,'Base Prueba'!A:E,5,),"NO REGISTRA")</f>
        <v>AREA FINANCIERA Y CONTABLE</v>
      </c>
    </row>
    <row r="3861" spans="1:5" ht="15.75" x14ac:dyDescent="0.25">
      <c r="A3861" s="10">
        <v>1023883232</v>
      </c>
      <c r="B3861" s="2">
        <v>46093.353906597222</v>
      </c>
      <c r="C3861" s="3" t="str">
        <f>IFERROR(VLOOKUP(A3861,'Base Prueba'!A:C,3,),"NO REGISTRA")</f>
        <v>MONICA ANDREA ACERO URBANO</v>
      </c>
      <c r="D3861" s="4" t="str">
        <f>IFERROR(VLOOKUP(A3861,'Base Prueba'!A:D,4,),"NO REGISTRA")</f>
        <v>APOYO INTEGRAL A GESTION HUMANA</v>
      </c>
      <c r="E3861" s="5" t="str">
        <f>IFERROR(VLOOKUP(A3861,'Base Prueba'!A:E,5,),"NO REGISTRA")</f>
        <v>DEPARTAMENTO DE GESTION HUMANA</v>
      </c>
    </row>
    <row r="3862" spans="1:5" ht="15.75" x14ac:dyDescent="0.25">
      <c r="A3862" s="10">
        <v>1000457706</v>
      </c>
      <c r="B3862" s="2">
        <v>46093.354586574074</v>
      </c>
      <c r="C3862" s="3" t="str">
        <f>IFERROR(VLOOKUP(A3862,'Base Prueba'!A:C,3,),"NO REGISTRA")</f>
        <v>CRISTIAN DANILO ARROYO SANABRIA</v>
      </c>
      <c r="D3862" s="4" t="str">
        <f>IFERROR(VLOOKUP(A3862,'Base Prueba'!A:D,4,),"NO REGISTRA")</f>
        <v>AUXILIAR CONTABLE</v>
      </c>
      <c r="E3862" s="5" t="str">
        <f>IFERROR(VLOOKUP(A3862,'Base Prueba'!A:E,5,),"NO REGISTRA")</f>
        <v>AREA FINANCIERA Y CONTABLE</v>
      </c>
    </row>
    <row r="3863" spans="1:5" ht="15.75" x14ac:dyDescent="0.25">
      <c r="A3863" s="10">
        <v>1033709056</v>
      </c>
      <c r="B3863" s="2">
        <v>46093.355699768515</v>
      </c>
      <c r="C3863" s="3" t="str">
        <f>IFERROR(VLOOKUP(A3863,'Base Prueba'!A:C,3,),"NO REGISTRA")</f>
        <v>YEIMY ALEXANDRA RODRIGUEZ PALACIO</v>
      </c>
      <c r="D3863" s="4" t="str">
        <f>IFERROR(VLOOKUP(A3863,'Base Prueba'!A:D,4,),"NO REGISTRA")</f>
        <v>PROMOTOR CALL CENTER</v>
      </c>
      <c r="E3863" s="5" t="str">
        <f>IFERROR(VLOOKUP(A3863,'Base Prueba'!A:E,5,),"NO REGISTRA")</f>
        <v>OFICINA DE MERCADEO</v>
      </c>
    </row>
    <row r="3864" spans="1:5" ht="15.75" x14ac:dyDescent="0.25">
      <c r="A3864" s="10">
        <v>1049644802</v>
      </c>
      <c r="B3864" s="2">
        <v>46093.357571412038</v>
      </c>
      <c r="C3864" s="3" t="str">
        <f>IFERROR(VLOOKUP(A3864,'Base Prueba'!A:C,3,),"NO REGISTRA")</f>
        <v>DANIELA ALEXANDRA CIPAMOCHA BOSIGA</v>
      </c>
      <c r="D3864" s="4" t="str">
        <f>IFERROR(VLOOKUP(A3864,'Base Prueba'!A:D,4,),"NO REGISTRA")</f>
        <v>LIDER DE DATOS Y SERVICIOS</v>
      </c>
      <c r="E3864" s="5" t="str">
        <f>IFERROR(VLOOKUP(A3864,'Base Prueba'!A:E,5,),"NO REGISTRA")</f>
        <v>OFICINA DE PLANEACION Y GESTION DE LA CALIDAD</v>
      </c>
    </row>
    <row r="3865" spans="1:5" ht="15.75" x14ac:dyDescent="0.25">
      <c r="A3865" s="10">
        <v>1014196857</v>
      </c>
      <c r="B3865" s="2">
        <v>46093.360715393515</v>
      </c>
      <c r="C3865" s="3" t="str">
        <f>IFERROR(VLOOKUP(A3865,'Base Prueba'!A:C,3,),"NO REGISTRA")</f>
        <v>CARLOS ANDRES JIMENEZ PARDO</v>
      </c>
      <c r="D3865" s="4" t="str">
        <f>IFERROR(VLOOKUP(A3865,'Base Prueba'!A:D,4,),"NO REGISTRA")</f>
        <v>COORDINADOR DE MARKETING DIGITAL</v>
      </c>
      <c r="E3865" s="5" t="str">
        <f>IFERROR(VLOOKUP(A3865,'Base Prueba'!A:E,5,),"NO REGISTRA")</f>
        <v>OFICINA DE MERCADEO</v>
      </c>
    </row>
    <row r="3866" spans="1:5" ht="15.75" x14ac:dyDescent="0.25">
      <c r="A3866" s="10">
        <v>1032407386</v>
      </c>
      <c r="B3866" s="2">
        <v>46093.363663888886</v>
      </c>
      <c r="C3866" s="3" t="str">
        <f>IFERROR(VLOOKUP(A3866,'Base Prueba'!A:C,3,),"NO REGISTRA")</f>
        <v>GINA PAOLA BAEZ GALVIS</v>
      </c>
      <c r="D3866" s="4" t="str">
        <f>IFERROR(VLOOKUP(A3866,'Base Prueba'!A:D,4,),"NO REGISTRA")</f>
        <v>PROMOTOR CALL CENTER</v>
      </c>
      <c r="E3866" s="5" t="str">
        <f>IFERROR(VLOOKUP(A3866,'Base Prueba'!A:E,5,),"NO REGISTRA")</f>
        <v>OFICINA DE MERCADEO</v>
      </c>
    </row>
    <row r="3867" spans="1:5" ht="15.75" x14ac:dyDescent="0.25">
      <c r="A3867" s="10">
        <v>1012426741</v>
      </c>
      <c r="B3867" s="2">
        <v>46093.364812384258</v>
      </c>
      <c r="C3867" s="3" t="str">
        <f>IFERROR(VLOOKUP(A3867,'Base Prueba'!A:C,3,),"NO REGISTRA")</f>
        <v>CRISTIAN FABIAN ROJAS SANCENO</v>
      </c>
      <c r="D3867" s="4" t="str">
        <f>IFERROR(VLOOKUP(A3867,'Base Prueba'!A:D,4,),"NO REGISTRA")</f>
        <v>AUXILIAR DE REINTEGROS</v>
      </c>
      <c r="E3867" s="5" t="str">
        <f>IFERROR(VLOOKUP(A3867,'Base Prueba'!A:E,5,),"NO REGISTRA")</f>
        <v>DIRECCION DE BIENESTAR INSTITUCIONAL</v>
      </c>
    </row>
    <row r="3868" spans="1:5" ht="15.75" x14ac:dyDescent="0.25">
      <c r="A3868" s="10">
        <v>52472386</v>
      </c>
      <c r="B3868" s="2">
        <v>46093.365973032407</v>
      </c>
      <c r="C3868" s="3" t="str">
        <f>IFERROR(VLOOKUP(A3868,'Base Prueba'!A:C,3,),"NO REGISTRA")</f>
        <v>ADRIANA MARCELA MORALES PARDO</v>
      </c>
      <c r="D3868" s="4" t="str">
        <f>IFERROR(VLOOKUP(A3868,'Base Prueba'!A:D,4,),"NO REGISTRA")</f>
        <v>PROMOTOR CALL CENTER</v>
      </c>
      <c r="E3868" s="5" t="str">
        <f>IFERROR(VLOOKUP(A3868,'Base Prueba'!A:E,5,),"NO REGISTRA")</f>
        <v>OFICINA DE MERCADEO</v>
      </c>
    </row>
    <row r="3869" spans="1:5" ht="15.75" x14ac:dyDescent="0.25">
      <c r="A3869" s="10">
        <v>80234243</v>
      </c>
      <c r="B3869" s="2">
        <v>46093.370990393516</v>
      </c>
      <c r="C3869" s="3" t="str">
        <f>IFERROR(VLOOKUP(A3869,'Base Prueba'!A:C,3,),"NO REGISTRA")</f>
        <v>ARGENIS MARTINEZ MARTINEZ</v>
      </c>
      <c r="D3869" s="4" t="str">
        <f>IFERROR(VLOOKUP(A3869,'Base Prueba'!A:D,4,),"NO REGISTRA")</f>
        <v>LIDER CALL CENTER</v>
      </c>
      <c r="E3869" s="5" t="str">
        <f>IFERROR(VLOOKUP(A3869,'Base Prueba'!A:E,5,),"NO REGISTRA")</f>
        <v>OFICINA DE MERCADEO</v>
      </c>
    </row>
    <row r="3870" spans="1:5" ht="15.75" x14ac:dyDescent="0.25">
      <c r="A3870" s="10">
        <v>1018413529</v>
      </c>
      <c r="B3870" s="2">
        <v>46093.373236689818</v>
      </c>
      <c r="C3870" s="3" t="str">
        <f>IFERROR(VLOOKUP(A3870,'Base Prueba'!A:C,3,),"NO REGISTRA")</f>
        <v>FRANCY STELLA CHARRY MORENO</v>
      </c>
      <c r="D3870" s="4" t="str">
        <f>IFERROR(VLOOKUP(A3870,'Base Prueba'!A:D,4,),"NO REGISTRA")</f>
        <v>PROMOTOR COMERCIAL DEL CEA</v>
      </c>
      <c r="E3870" s="5" t="str">
        <f>IFERROR(VLOOKUP(A3870,'Base Prueba'!A:E,5,),"NO REGISTRA")</f>
        <v>OFICINA DE MERCADEO</v>
      </c>
    </row>
    <row r="3871" spans="1:5" ht="15.75" x14ac:dyDescent="0.25">
      <c r="A3871" s="10">
        <v>1019105003</v>
      </c>
      <c r="B3871" s="2">
        <v>46093.373338194448</v>
      </c>
      <c r="C3871" s="3" t="str">
        <f>IFERROR(VLOOKUP(A3871,'Base Prueba'!A:C,3,),"NO REGISTRA")</f>
        <v>DAISY JULIETH GASPAR MORENO</v>
      </c>
      <c r="D3871" s="4" t="str">
        <f>IFERROR(VLOOKUP(A3871,'Base Prueba'!A:D,4,),"NO REGISTRA")</f>
        <v>PROMOTOR CALL CENTER</v>
      </c>
      <c r="E3871" s="5" t="str">
        <f>IFERROR(VLOOKUP(A3871,'Base Prueba'!A:E,5,),"NO REGISTRA")</f>
        <v>OFICINA DE MERCADEO</v>
      </c>
    </row>
    <row r="3872" spans="1:5" ht="15.75" x14ac:dyDescent="0.25">
      <c r="A3872" s="10">
        <v>28798349</v>
      </c>
      <c r="B3872" s="2">
        <v>46093.374345370372</v>
      </c>
      <c r="C3872" s="3" t="str">
        <f>IFERROR(VLOOKUP(A3872,'Base Prueba'!A:C,3,),"NO REGISTRA")</f>
        <v>MARTHA ISABEL TOVAR WILLIAMS</v>
      </c>
      <c r="D3872" s="4" t="str">
        <f>IFERROR(VLOOKUP(A3872,'Base Prueba'!A:D,4,),"NO REGISTRA")</f>
        <v>PROMOTOR CALL CENTER</v>
      </c>
      <c r="E3872" s="5" t="str">
        <f>IFERROR(VLOOKUP(A3872,'Base Prueba'!A:E,5,),"NO REGISTRA")</f>
        <v>OFICINA DE MERCADEO</v>
      </c>
    </row>
    <row r="3873" spans="1:5" ht="15.75" x14ac:dyDescent="0.25">
      <c r="A3873" s="10">
        <v>1023961952</v>
      </c>
      <c r="B3873" s="2">
        <v>46093.375150694446</v>
      </c>
      <c r="C3873" s="3" t="str">
        <f>IFERROR(VLOOKUP(A3873,'Base Prueba'!A:C,3,),"NO REGISTRA")</f>
        <v>ALEJANDRO PINZON MERCHAN</v>
      </c>
      <c r="D3873" s="4" t="str">
        <f>IFERROR(VLOOKUP(A3873,'Base Prueba'!A:D,4,),"NO REGISTRA")</f>
        <v>PROMOTOR CALL CENTER</v>
      </c>
      <c r="E3873" s="5" t="str">
        <f>IFERROR(VLOOKUP(A3873,'Base Prueba'!A:E,5,),"NO REGISTRA")</f>
        <v>OFICINA DE MERCADEO</v>
      </c>
    </row>
    <row r="3874" spans="1:5" ht="15.75" x14ac:dyDescent="0.25">
      <c r="A3874" s="10">
        <v>1018414290</v>
      </c>
      <c r="B3874" s="2">
        <v>46093.375499305555</v>
      </c>
      <c r="C3874" s="3" t="str">
        <f>IFERROR(VLOOKUP(A3874,'Base Prueba'!A:C,3,),"NO REGISTRA")</f>
        <v>AMANDA LISBETH RODRIGUEZ LEON</v>
      </c>
      <c r="D3874" s="4" t="str">
        <f>IFERROR(VLOOKUP(A3874,'Base Prueba'!A:D,4,),"NO REGISTRA")</f>
        <v>PROMOTOR CALL CENTER</v>
      </c>
      <c r="E3874" s="5" t="str">
        <f>IFERROR(VLOOKUP(A3874,'Base Prueba'!A:E,5,),"NO REGISTRA")</f>
        <v>OFICINA DE MERCADEO</v>
      </c>
    </row>
    <row r="3875" spans="1:5" ht="15.75" x14ac:dyDescent="0.25">
      <c r="A3875" s="10">
        <v>52175674</v>
      </c>
      <c r="B3875" s="2">
        <v>46093.376814930554</v>
      </c>
      <c r="C3875" s="3" t="str">
        <f>IFERROR(VLOOKUP(A3875,'Base Prueba'!A:C,3,),"NO REGISTRA")</f>
        <v>LUZ YANETH GOMEZ AREVALO</v>
      </c>
      <c r="D3875" s="4" t="str">
        <f>IFERROR(VLOOKUP(A3875,'Base Prueba'!A:D,4,),"NO REGISTRA")</f>
        <v>COORDINADORA DE ADMISIONES</v>
      </c>
      <c r="E3875" s="5" t="str">
        <f>IFERROR(VLOOKUP(A3875,'Base Prueba'!A:E,5,),"NO REGISTRA")</f>
        <v>OFICINA DE MERCADEO</v>
      </c>
    </row>
    <row r="3876" spans="1:5" ht="15.75" x14ac:dyDescent="0.25">
      <c r="A3876" s="10">
        <v>53089882</v>
      </c>
      <c r="B3876" s="2">
        <v>46093.382546527777</v>
      </c>
      <c r="C3876" s="3" t="str">
        <f>IFERROR(VLOOKUP(A3876,'Base Prueba'!A:C,3,),"NO REGISTRA")</f>
        <v>MARIA JOHANA ESCAMILLA MARTINEZ</v>
      </c>
      <c r="D3876" s="4" t="str">
        <f>IFERROR(VLOOKUP(A3876,'Base Prueba'!A:D,4,),"NO REGISTRA")</f>
        <v>PROMOTOR DE INFORMACIÓN</v>
      </c>
      <c r="E3876" s="5" t="str">
        <f>IFERROR(VLOOKUP(A3876,'Base Prueba'!A:E,5,),"NO REGISTRA")</f>
        <v>OFICINA DE MERCADEO</v>
      </c>
    </row>
    <row r="3877" spans="1:5" ht="15.75" x14ac:dyDescent="0.25">
      <c r="A3877" s="10">
        <v>52764929</v>
      </c>
      <c r="B3877" s="2">
        <v>46093.387607407407</v>
      </c>
      <c r="C3877" s="3" t="str">
        <f>IFERROR(VLOOKUP(A3877,'Base Prueba'!A:C,3,),"NO REGISTRA")</f>
        <v>GUERLY YOHANA DURAN RIVERA</v>
      </c>
      <c r="D3877" s="4" t="str">
        <f>IFERROR(VLOOKUP(A3877,'Base Prueba'!A:D,4,),"NO REGISTRA")</f>
        <v>LIDER DE VINCULACION COLEGIOS</v>
      </c>
      <c r="E3877" s="5" t="str">
        <f>IFERROR(VLOOKUP(A3877,'Base Prueba'!A:E,5,),"NO REGISTRA")</f>
        <v>OFICINA DE MERCADEO</v>
      </c>
    </row>
    <row r="3878" spans="1:5" ht="15.75" x14ac:dyDescent="0.25">
      <c r="A3878" s="10">
        <v>1016090131</v>
      </c>
      <c r="B3878" s="2">
        <v>46093.397303587961</v>
      </c>
      <c r="C3878" s="3" t="str">
        <f>IFERROR(VLOOKUP(A3878,'Base Prueba'!A:C,3,),"NO REGISTRA")</f>
        <v>NICOLAS RODRIGUEZ PACHECO</v>
      </c>
      <c r="D3878" s="4" t="str">
        <f>IFERROR(VLOOKUP(A3878,'Base Prueba'!A:D,4,),"NO REGISTRA")</f>
        <v>COORDINADOR DE COMUNICACIONES</v>
      </c>
      <c r="E3878" s="5" t="str">
        <f>IFERROR(VLOOKUP(A3878,'Base Prueba'!A:E,5,),"NO REGISTRA")</f>
        <v>OFICINA DE MERCADEO</v>
      </c>
    </row>
    <row r="3879" spans="1:5" ht="15.75" x14ac:dyDescent="0.25">
      <c r="A3879" s="10">
        <v>1000593372</v>
      </c>
      <c r="B3879" s="2">
        <v>46093.413664120373</v>
      </c>
      <c r="C3879" s="3" t="str">
        <f>IFERROR(VLOOKUP(A3879,'Base Prueba'!A:C,3,),"NO REGISTRA")</f>
        <v>LAURA SOFIA CHAPARRO LOPEZ</v>
      </c>
      <c r="D3879" s="4" t="str">
        <f>IFERROR(VLOOKUP(A3879,'Base Prueba'!A:D,4,),"NO REGISTRA")</f>
        <v>AUXILIAR JURIDICO</v>
      </c>
      <c r="E3879" s="5" t="str">
        <f>IFERROR(VLOOKUP(A3879,'Base Prueba'!A:E,5,),"NO REGISTRA")</f>
        <v>SECRETARIA GENERAL</v>
      </c>
    </row>
    <row r="3880" spans="1:5" ht="15.75" x14ac:dyDescent="0.25">
      <c r="A3880" s="10">
        <v>52443092</v>
      </c>
      <c r="B3880" s="2">
        <v>46093.460300462961</v>
      </c>
      <c r="C3880" s="3" t="str">
        <f>IFERROR(VLOOKUP(A3880,'Base Prueba'!A:C,3,),"NO REGISTRA")</f>
        <v>LUZ MYRIAM SAAVEDRA CONTRERAS</v>
      </c>
      <c r="D3880" s="4" t="str">
        <f>IFERROR(VLOOKUP(A3880,'Base Prueba'!A:D,4,),"NO REGISTRA")</f>
        <v>AUXILIAR DE SERVICIOS</v>
      </c>
      <c r="E3880" s="5" t="str">
        <f>IFERROR(VLOOKUP(A3880,'Base Prueba'!A:E,5,),"NO REGISTRA")</f>
        <v>LOGISTICA Y SERVICIOS GENERALES</v>
      </c>
    </row>
    <row r="3881" spans="1:5" ht="15.75" x14ac:dyDescent="0.25">
      <c r="A3881" s="10">
        <v>1019105003</v>
      </c>
      <c r="B3881" s="2">
        <v>46093.534288194445</v>
      </c>
      <c r="C3881" s="3" t="str">
        <f>IFERROR(VLOOKUP(A3881,'Base Prueba'!A:C,3,),"NO REGISTRA")</f>
        <v>DAISY JULIETH GASPAR MORENO</v>
      </c>
      <c r="D3881" s="4" t="str">
        <f>IFERROR(VLOOKUP(A3881,'Base Prueba'!A:D,4,),"NO REGISTRA")</f>
        <v>PROMOTOR CALL CENTER</v>
      </c>
      <c r="E3881" s="5" t="str">
        <f>IFERROR(VLOOKUP(A3881,'Base Prueba'!A:E,5,),"NO REGISTRA")</f>
        <v>OFICINA DE MERCADEO</v>
      </c>
    </row>
    <row r="3882" spans="1:5" ht="15.75" x14ac:dyDescent="0.25">
      <c r="A3882" s="10">
        <v>1031802160</v>
      </c>
      <c r="B3882" s="2">
        <v>46093.708628472225</v>
      </c>
      <c r="C3882" s="3" t="str">
        <f>IFERROR(VLOOKUP(A3882,'Base Prueba'!A:C,3,),"NO REGISTRA")</f>
        <v>LUISA MARIA MAHECHA SOTOMAYOR</v>
      </c>
      <c r="D3882" s="4" t="str">
        <f>IFERROR(VLOOKUP(A3882,'Base Prueba'!A:D,4,),"NO REGISTRA")</f>
        <v>APRENDIZ UNIVERSITARIO</v>
      </c>
      <c r="E3882" s="5" t="str">
        <f>IFERROR(VLOOKUP(A3882,'Base Prueba'!A:E,5,),"NO REGISTRA")</f>
        <v>OFICINA DE MERCADEO</v>
      </c>
    </row>
    <row r="3883" spans="1:5" ht="15.75" x14ac:dyDescent="0.25">
      <c r="A3883" s="10">
        <v>1024512067</v>
      </c>
      <c r="B3883" s="2">
        <v>46093.711805787039</v>
      </c>
      <c r="C3883" s="3" t="str">
        <f>IFERROR(VLOOKUP(A3883,'Base Prueba'!A:C,3,),"NO REGISTRA")</f>
        <v>CINDY GIOVANA SALGAR GOMEZ</v>
      </c>
      <c r="D3883" s="4" t="str">
        <f>IFERROR(VLOOKUP(A3883,'Base Prueba'!A:D,4,),"NO REGISTRA")</f>
        <v>COORDINADOR DEL SISTEMA INTEGRADO DE GESTION INSTITUCIONAL - SIGI</v>
      </c>
      <c r="E3883" s="5" t="str">
        <f>IFERROR(VLOOKUP(A3883,'Base Prueba'!A:E,5,),"NO REGISTRA")</f>
        <v>OFICINA DE PLANEACION Y GESTION DE LA CALIDAD</v>
      </c>
    </row>
    <row r="3884" spans="1:5" ht="15.75" x14ac:dyDescent="0.25">
      <c r="A3884" s="10">
        <v>1087121273</v>
      </c>
      <c r="B3884" s="2">
        <v>46093.719294907409</v>
      </c>
      <c r="C3884" s="3" t="str">
        <f>IFERROR(VLOOKUP(A3884,'Base Prueba'!A:C,3,),"NO REGISTRA")</f>
        <v>MAYRA ALEJANDRA CASTILLO ARBOLEDA</v>
      </c>
      <c r="D3884" s="4" t="str">
        <f>IFERROR(VLOOKUP(A3884,'Base Prueba'!A:D,4,),"NO REGISTRA")</f>
        <v>APOYO INTEGRAL DE MERCADEO</v>
      </c>
      <c r="E3884" s="5" t="str">
        <f>IFERROR(VLOOKUP(A3884,'Base Prueba'!A:E,5,),"NO REGISTRA")</f>
        <v>CENTRO DE GESTION DOCUMENTAL</v>
      </c>
    </row>
    <row r="3885" spans="1:5" ht="15.75" x14ac:dyDescent="0.25">
      <c r="A3885" s="10">
        <v>1024505434</v>
      </c>
      <c r="B3885" s="2">
        <v>46093.743853472224</v>
      </c>
      <c r="C3885" s="3" t="str">
        <f>IFERROR(VLOOKUP(A3885,'Base Prueba'!A:C,3,),"NO REGISTRA")</f>
        <v>CRISTIAN ALBERTO MELO TORRES</v>
      </c>
      <c r="D3885" s="4" t="str">
        <f>IFERROR(VLOOKUP(A3885,'Base Prueba'!A:D,4,),"NO REGISTRA")</f>
        <v>COORDINADOR DE INFRAESTRUCTURA</v>
      </c>
      <c r="E3885" s="5" t="str">
        <f>IFERROR(VLOOKUP(A3885,'Base Prueba'!A:E,5,),"NO REGISTRA")</f>
        <v>VICERRECTORIA ADMINISTRATIVA Y FINANCIERA</v>
      </c>
    </row>
    <row r="3886" spans="1:5" ht="15.75" x14ac:dyDescent="0.25">
      <c r="A3886" s="10">
        <v>1012426741</v>
      </c>
      <c r="B3886" s="2">
        <v>46093.750161689815</v>
      </c>
      <c r="C3886" s="3" t="str">
        <f>IFERROR(VLOOKUP(A3886,'Base Prueba'!A:C,3,),"NO REGISTRA")</f>
        <v>CRISTIAN FABIAN ROJAS SANCENO</v>
      </c>
      <c r="D3886" s="4" t="str">
        <f>IFERROR(VLOOKUP(A3886,'Base Prueba'!A:D,4,),"NO REGISTRA")</f>
        <v>AUXILIAR DE REINTEGROS</v>
      </c>
      <c r="E3886" s="5" t="str">
        <f>IFERROR(VLOOKUP(A3886,'Base Prueba'!A:E,5,),"NO REGISTRA")</f>
        <v>DIRECCION DE BIENESTAR INSTITUCIONAL</v>
      </c>
    </row>
    <row r="3887" spans="1:5" ht="15.75" x14ac:dyDescent="0.25">
      <c r="A3887" s="10">
        <v>1000046533</v>
      </c>
      <c r="B3887" s="2">
        <v>46093.750639699072</v>
      </c>
      <c r="C3887" s="3" t="str">
        <f>IFERROR(VLOOKUP(A3887,'Base Prueba'!A:C,3,),"NO REGISTRA")</f>
        <v>ERIKA JULIETH VALDERRAMA SANCHEZ</v>
      </c>
      <c r="D3887" s="4" t="str">
        <f>IFERROR(VLOOKUP(A3887,'Base Prueba'!A:D,4,),"NO REGISTRA")</f>
        <v>PROMOTOR CALL CENTER</v>
      </c>
      <c r="E3887" s="5" t="str">
        <f>IFERROR(VLOOKUP(A3887,'Base Prueba'!A:E,5,),"NO REGISTRA")</f>
        <v>OFICINA DE MERCADEO</v>
      </c>
    </row>
    <row r="3888" spans="1:5" ht="15.75" x14ac:dyDescent="0.25">
      <c r="A3888" s="10">
        <v>1193457976</v>
      </c>
      <c r="B3888" s="2">
        <v>46093.750723263889</v>
      </c>
      <c r="C3888" s="3" t="str">
        <f>IFERROR(VLOOKUP(A3888,'Base Prueba'!A:C,3,),"NO REGISTRA")</f>
        <v>SEDENIS RIVAS ASPRILLA</v>
      </c>
      <c r="D3888" s="4" t="str">
        <f>IFERROR(VLOOKUP(A3888,'Base Prueba'!A:D,4,),"NO REGISTRA")</f>
        <v>APRENDIZ UNIVERSITARIO</v>
      </c>
      <c r="E3888" s="5" t="str">
        <f>IFERROR(VLOOKUP(A3888,'Base Prueba'!A:E,5,),"NO REGISTRA")</f>
        <v>DEPARTAMENTO DE GESTION HUMANA</v>
      </c>
    </row>
    <row r="3889" spans="1:5" ht="15.75" x14ac:dyDescent="0.25">
      <c r="A3889" s="10">
        <v>1000467399</v>
      </c>
      <c r="B3889" s="2">
        <v>46093.751136689818</v>
      </c>
      <c r="C3889" s="3" t="str">
        <f>IFERROR(VLOOKUP(A3889,'Base Prueba'!A:C,3,),"NO REGISTRA")</f>
        <v>BRANDO ESTIVEN DIAZ QUIMBAYA</v>
      </c>
      <c r="D3889" s="4" t="str">
        <f>IFERROR(VLOOKUP(A3889,'Base Prueba'!A:D,4,),"NO REGISTRA")</f>
        <v>APRENDIZ UNIVERSITARIO</v>
      </c>
      <c r="E3889" s="5" t="str">
        <f>IFERROR(VLOOKUP(A3889,'Base Prueba'!A:E,5,),"NO REGISTRA")</f>
        <v>DEPARTAMENTO DE GESTION HUMANA</v>
      </c>
    </row>
    <row r="3890" spans="1:5" ht="15.75" x14ac:dyDescent="0.25">
      <c r="A3890" s="10">
        <v>1012357415</v>
      </c>
      <c r="B3890" s="2">
        <v>46093.751218981481</v>
      </c>
      <c r="C3890" s="3" t="str">
        <f>IFERROR(VLOOKUP(A3890,'Base Prueba'!A:C,3,),"NO REGISTRA")</f>
        <v>CINDY LORENA BOHORQUEZ LEYVA</v>
      </c>
      <c r="D3890" s="4" t="str">
        <f>IFERROR(VLOOKUP(A3890,'Base Prueba'!A:D,4,),"NO REGISTRA")</f>
        <v>ANALISTA DE TESORERIA</v>
      </c>
      <c r="E3890" s="5" t="str">
        <f>IFERROR(VLOOKUP(A3890,'Base Prueba'!A:E,5,),"NO REGISTRA")</f>
        <v>AREA FINANCIERA Y CONTABLE</v>
      </c>
    </row>
    <row r="3891" spans="1:5" ht="15.75" x14ac:dyDescent="0.25">
      <c r="A3891" s="10">
        <v>52175674</v>
      </c>
      <c r="B3891" s="2">
        <v>46093.752012152778</v>
      </c>
      <c r="C3891" s="3" t="str">
        <f>IFERROR(VLOOKUP(A3891,'Base Prueba'!A:C,3,),"NO REGISTRA")</f>
        <v>LUZ YANETH GOMEZ AREVALO</v>
      </c>
      <c r="D3891" s="4" t="str">
        <f>IFERROR(VLOOKUP(A3891,'Base Prueba'!A:D,4,),"NO REGISTRA")</f>
        <v>COORDINADORA DE ADMISIONES</v>
      </c>
      <c r="E3891" s="5" t="str">
        <f>IFERROR(VLOOKUP(A3891,'Base Prueba'!A:E,5,),"NO REGISTRA")</f>
        <v>OFICINA DE MERCADEO</v>
      </c>
    </row>
    <row r="3892" spans="1:5" ht="15.75" x14ac:dyDescent="0.25">
      <c r="A3892" s="10">
        <v>52472386</v>
      </c>
      <c r="B3892" s="2">
        <v>46093.752758796298</v>
      </c>
      <c r="C3892" s="3" t="str">
        <f>IFERROR(VLOOKUP(A3892,'Base Prueba'!A:C,3,),"NO REGISTRA")</f>
        <v>ADRIANA MARCELA MORALES PARDO</v>
      </c>
      <c r="D3892" s="4" t="str">
        <f>IFERROR(VLOOKUP(A3892,'Base Prueba'!A:D,4,),"NO REGISTRA")</f>
        <v>PROMOTOR CALL CENTER</v>
      </c>
      <c r="E3892" s="5" t="str">
        <f>IFERROR(VLOOKUP(A3892,'Base Prueba'!A:E,5,),"NO REGISTRA")</f>
        <v>OFICINA DE MERCADEO</v>
      </c>
    </row>
    <row r="3893" spans="1:5" ht="15.75" x14ac:dyDescent="0.25">
      <c r="A3893" s="10">
        <v>1026599257</v>
      </c>
      <c r="B3893" s="2">
        <v>46093.753065509256</v>
      </c>
      <c r="C3893" s="3" t="str">
        <f>IFERROR(VLOOKUP(A3893,'Base Prueba'!A:C,3,),"NO REGISTRA")</f>
        <v>YESENIA PAOLA PINEDA HURTADO</v>
      </c>
      <c r="D3893" s="4" t="str">
        <f>IFERROR(VLOOKUP(A3893,'Base Prueba'!A:D,4,),"NO REGISTRA")</f>
        <v>LIDER DE COMPRAS</v>
      </c>
      <c r="E3893" s="5" t="str">
        <f>IFERROR(VLOOKUP(A3893,'Base Prueba'!A:E,5,),"NO REGISTRA")</f>
        <v>AREA ADMINISTRATIVA</v>
      </c>
    </row>
    <row r="3894" spans="1:5" ht="15.75" x14ac:dyDescent="0.25">
      <c r="A3894" s="10">
        <v>1030567635</v>
      </c>
      <c r="B3894" s="2">
        <v>46093.753473726851</v>
      </c>
      <c r="C3894" s="3" t="str">
        <f>IFERROR(VLOOKUP(A3894,'Base Prueba'!A:C,3,),"NO REGISTRA")</f>
        <v>JEFFERSON ANDRES BARRETO DIAZ</v>
      </c>
      <c r="D3894" s="4" t="str">
        <f>IFERROR(VLOOKUP(A3894,'Base Prueba'!A:D,4,),"NO REGISTRA")</f>
        <v>AUXILIAR DE ARCHIVO</v>
      </c>
      <c r="E3894" s="5" t="str">
        <f>IFERROR(VLOOKUP(A3894,'Base Prueba'!A:E,5,),"NO REGISTRA")</f>
        <v>CENTRO DE GESTION DOCUMENTAL</v>
      </c>
    </row>
    <row r="3895" spans="1:5" ht="15.75" x14ac:dyDescent="0.25">
      <c r="A3895" s="10">
        <v>1023883232</v>
      </c>
      <c r="B3895" s="2">
        <v>46093.754715625</v>
      </c>
      <c r="C3895" s="3" t="str">
        <f>IFERROR(VLOOKUP(A3895,'Base Prueba'!A:C,3,),"NO REGISTRA")</f>
        <v>MONICA ANDREA ACERO URBANO</v>
      </c>
      <c r="D3895" s="4" t="str">
        <f>IFERROR(VLOOKUP(A3895,'Base Prueba'!A:D,4,),"NO REGISTRA")</f>
        <v>APOYO INTEGRAL A GESTION HUMANA</v>
      </c>
      <c r="E3895" s="5" t="str">
        <f>IFERROR(VLOOKUP(A3895,'Base Prueba'!A:E,5,),"NO REGISTRA")</f>
        <v>DEPARTAMENTO DE GESTION HUMANA</v>
      </c>
    </row>
    <row r="3896" spans="1:5" ht="15.75" x14ac:dyDescent="0.25">
      <c r="A3896" s="10">
        <v>1022996882</v>
      </c>
      <c r="B3896" s="2">
        <v>46093.75490763889</v>
      </c>
      <c r="C3896" s="3" t="str">
        <f>IFERROR(VLOOKUP(A3896,'Base Prueba'!A:C,3,),"NO REGISTRA")</f>
        <v>NANCY BRIGITH ALDANA GUEVARA</v>
      </c>
      <c r="D3896" s="4" t="str">
        <f>IFERROR(VLOOKUP(A3896,'Base Prueba'!A:D,4,),"NO REGISTRA")</f>
        <v>COORDINADORA DE GESTIÓN HUMANA</v>
      </c>
      <c r="E3896" s="5" t="str">
        <f>IFERROR(VLOOKUP(A3896,'Base Prueba'!A:E,5,),"NO REGISTRA")</f>
        <v>DEPARTAMENTO DE GESTION HUMANA</v>
      </c>
    </row>
    <row r="3897" spans="1:5" ht="15.75" x14ac:dyDescent="0.25">
      <c r="A3897" s="10">
        <v>1049644802</v>
      </c>
      <c r="B3897" s="2">
        <v>46093.755182638888</v>
      </c>
      <c r="C3897" s="3" t="str">
        <f>IFERROR(VLOOKUP(A3897,'Base Prueba'!A:C,3,),"NO REGISTRA")</f>
        <v>DANIELA ALEXANDRA CIPAMOCHA BOSIGA</v>
      </c>
      <c r="D3897" s="4" t="str">
        <f>IFERROR(VLOOKUP(A3897,'Base Prueba'!A:D,4,),"NO REGISTRA")</f>
        <v>LIDER DE DATOS Y SERVICIOS</v>
      </c>
      <c r="E3897" s="5" t="str">
        <f>IFERROR(VLOOKUP(A3897,'Base Prueba'!A:E,5,),"NO REGISTRA")</f>
        <v>OFICINA DE PLANEACION Y GESTION DE LA CALIDAD</v>
      </c>
    </row>
    <row r="3898" spans="1:5" ht="15.75" x14ac:dyDescent="0.25">
      <c r="A3898" s="10">
        <v>1014977624</v>
      </c>
      <c r="B3898" s="2">
        <v>46093.755936458336</v>
      </c>
      <c r="C3898" s="3" t="str">
        <f>IFERROR(VLOOKUP(A3898,'Base Prueba'!A:C,3,),"NO REGISTRA")</f>
        <v>NICCOLE VALENTINA HERNANDEZ MALAVER</v>
      </c>
      <c r="D3898" s="4" t="str">
        <f>IFERROR(VLOOKUP(A3898,'Base Prueba'!A:D,4,),"NO REGISTRA")</f>
        <v>APRENDIZ UNIVERSITARIO</v>
      </c>
      <c r="E3898" s="5" t="str">
        <f>IFERROR(VLOOKUP(A3898,'Base Prueba'!A:E,5,),"NO REGISTRA")</f>
        <v>AREA FINANCIERA Y CONTABLE</v>
      </c>
    </row>
    <row r="3899" spans="1:5" ht="15.75" x14ac:dyDescent="0.25">
      <c r="A3899" s="10">
        <v>1010184333</v>
      </c>
      <c r="B3899" s="2">
        <v>46093.756359606479</v>
      </c>
      <c r="C3899" s="3" t="str">
        <f>IFERROR(VLOOKUP(A3899,'Base Prueba'!A:C,3,),"NO REGISTRA")</f>
        <v>AKON ANDRES GARZON ALVAREZ</v>
      </c>
      <c r="D3899" s="4" t="str">
        <f>IFERROR(VLOOKUP(A3899,'Base Prueba'!A:D,4,),"NO REGISTRA")</f>
        <v>APRENDIZ UNIVERSITARIO</v>
      </c>
      <c r="E3899" s="5" t="str">
        <f>IFERROR(VLOOKUP(A3899,'Base Prueba'!A:E,5,),"NO REGISTRA")</f>
        <v>SECRETARIA GENERAL</v>
      </c>
    </row>
    <row r="3900" spans="1:5" ht="15.75" x14ac:dyDescent="0.25">
      <c r="A3900" s="10">
        <v>1032407386</v>
      </c>
      <c r="B3900" s="2">
        <v>46093.756520254632</v>
      </c>
      <c r="C3900" s="3" t="str">
        <f>IFERROR(VLOOKUP(A3900,'Base Prueba'!A:C,3,),"NO REGISTRA")</f>
        <v>GINA PAOLA BAEZ GALVIS</v>
      </c>
      <c r="D3900" s="4" t="str">
        <f>IFERROR(VLOOKUP(A3900,'Base Prueba'!A:D,4,),"NO REGISTRA")</f>
        <v>PROMOTOR CALL CENTER</v>
      </c>
      <c r="E3900" s="5" t="str">
        <f>IFERROR(VLOOKUP(A3900,'Base Prueba'!A:E,5,),"NO REGISTRA")</f>
        <v>OFICINA DE MERCADEO</v>
      </c>
    </row>
    <row r="3901" spans="1:5" ht="15.75" x14ac:dyDescent="0.25">
      <c r="A3901" s="10">
        <v>1018414290</v>
      </c>
      <c r="B3901" s="2">
        <v>46093.756557291665</v>
      </c>
      <c r="C3901" s="3" t="str">
        <f>IFERROR(VLOOKUP(A3901,'Base Prueba'!A:C,3,),"NO REGISTRA")</f>
        <v>AMANDA LISBETH RODRIGUEZ LEON</v>
      </c>
      <c r="D3901" s="4" t="str">
        <f>IFERROR(VLOOKUP(A3901,'Base Prueba'!A:D,4,),"NO REGISTRA")</f>
        <v>PROMOTOR CALL CENTER</v>
      </c>
      <c r="E3901" s="5" t="str">
        <f>IFERROR(VLOOKUP(A3901,'Base Prueba'!A:E,5,),"NO REGISTRA")</f>
        <v>OFICINA DE MERCADEO</v>
      </c>
    </row>
    <row r="3902" spans="1:5" ht="15.75" x14ac:dyDescent="0.25">
      <c r="A3902" s="10">
        <v>28798349</v>
      </c>
      <c r="B3902" s="2">
        <v>46093.757074537039</v>
      </c>
      <c r="C3902" s="3" t="str">
        <f>IFERROR(VLOOKUP(A3902,'Base Prueba'!A:C,3,),"NO REGISTRA")</f>
        <v>MARTHA ISABEL TOVAR WILLIAMS</v>
      </c>
      <c r="D3902" s="4" t="str">
        <f>IFERROR(VLOOKUP(A3902,'Base Prueba'!A:D,4,),"NO REGISTRA")</f>
        <v>PROMOTOR CALL CENTER</v>
      </c>
      <c r="E3902" s="5" t="str">
        <f>IFERROR(VLOOKUP(A3902,'Base Prueba'!A:E,5,),"NO REGISTRA")</f>
        <v>OFICINA DE MERCADEO</v>
      </c>
    </row>
    <row r="3903" spans="1:5" ht="15.75" x14ac:dyDescent="0.25">
      <c r="A3903" s="10">
        <v>1023961952</v>
      </c>
      <c r="B3903" s="2">
        <v>46093.757514004632</v>
      </c>
      <c r="C3903" s="3" t="str">
        <f>IFERROR(VLOOKUP(A3903,'Base Prueba'!A:C,3,),"NO REGISTRA")</f>
        <v>ALEJANDRO PINZON MERCHAN</v>
      </c>
      <c r="D3903" s="4" t="str">
        <f>IFERROR(VLOOKUP(A3903,'Base Prueba'!A:D,4,),"NO REGISTRA")</f>
        <v>PROMOTOR CALL CENTER</v>
      </c>
      <c r="E3903" s="5" t="str">
        <f>IFERROR(VLOOKUP(A3903,'Base Prueba'!A:E,5,),"NO REGISTRA")</f>
        <v>OFICINA DE MERCADEO</v>
      </c>
    </row>
    <row r="3904" spans="1:5" ht="15.75" x14ac:dyDescent="0.25">
      <c r="A3904" s="10">
        <v>1033709056</v>
      </c>
      <c r="B3904" s="2">
        <v>46093.758359027779</v>
      </c>
      <c r="C3904" s="3" t="str">
        <f>IFERROR(VLOOKUP(A3904,'Base Prueba'!A:C,3,),"NO REGISTRA")</f>
        <v>YEIMY ALEXANDRA RODRIGUEZ PALACIO</v>
      </c>
      <c r="D3904" s="4" t="str">
        <f>IFERROR(VLOOKUP(A3904,'Base Prueba'!A:D,4,),"NO REGISTRA")</f>
        <v>PROMOTOR CALL CENTER</v>
      </c>
      <c r="E3904" s="5" t="str">
        <f>IFERROR(VLOOKUP(A3904,'Base Prueba'!A:E,5,),"NO REGISTRA")</f>
        <v>OFICINA DE MERCADEO</v>
      </c>
    </row>
    <row r="3905" spans="1:5" ht="15.75" x14ac:dyDescent="0.25">
      <c r="A3905" s="10">
        <v>1000257136</v>
      </c>
      <c r="B3905" s="2">
        <v>46093.759302662038</v>
      </c>
      <c r="C3905" s="3" t="str">
        <f>IFERROR(VLOOKUP(A3905,'Base Prueba'!A:C,3,),"NO REGISTRA")</f>
        <v>FRANCI VALENTINA CANO PUENTES</v>
      </c>
      <c r="D3905" s="4" t="str">
        <f>IFERROR(VLOOKUP(A3905,'Base Prueba'!A:D,4,),"NO REGISTRA")</f>
        <v>AUXILIAR CONTABLE</v>
      </c>
      <c r="E3905" s="5" t="str">
        <f>IFERROR(VLOOKUP(A3905,'Base Prueba'!A:E,5,),"NO REGISTRA")</f>
        <v>AREA FINANCIERA Y CONTABLE</v>
      </c>
    </row>
    <row r="3906" spans="1:5" ht="15.75" x14ac:dyDescent="0.25">
      <c r="A3906" s="10">
        <v>53932358</v>
      </c>
      <c r="B3906" s="2">
        <v>46093.759835879631</v>
      </c>
      <c r="C3906" s="3" t="str">
        <f>IFERROR(VLOOKUP(A3906,'Base Prueba'!A:C,3,),"NO REGISTRA")</f>
        <v>DIANA MADELEYNE GAONA RODRIGUEZ</v>
      </c>
      <c r="D3906" s="4" t="str">
        <f>IFERROR(VLOOKUP(A3906,'Base Prueba'!A:D,4,),"NO REGISTRA")</f>
        <v>CONTADOR</v>
      </c>
      <c r="E3906" s="5" t="str">
        <f>IFERROR(VLOOKUP(A3906,'Base Prueba'!A:E,5,),"NO REGISTRA")</f>
        <v>AREA FINANCIERA Y CONTABLE</v>
      </c>
    </row>
    <row r="3907" spans="1:5" ht="15.75" x14ac:dyDescent="0.25">
      <c r="A3907" s="10">
        <v>1018413529</v>
      </c>
      <c r="B3907" s="2">
        <v>46093.760753125003</v>
      </c>
      <c r="C3907" s="3" t="str">
        <f>IFERROR(VLOOKUP(A3907,'Base Prueba'!A:C,3,),"NO REGISTRA")</f>
        <v>FRANCY STELLA CHARRY MORENO</v>
      </c>
      <c r="D3907" s="4" t="str">
        <f>IFERROR(VLOOKUP(A3907,'Base Prueba'!A:D,4,),"NO REGISTRA")</f>
        <v>PROMOTOR COMERCIAL DEL CEA</v>
      </c>
      <c r="E3907" s="5" t="str">
        <f>IFERROR(VLOOKUP(A3907,'Base Prueba'!A:E,5,),"NO REGISTRA")</f>
        <v>OFICINA DE MERCADEO</v>
      </c>
    </row>
    <row r="3908" spans="1:5" ht="15.75" x14ac:dyDescent="0.25">
      <c r="A3908" s="10">
        <v>53089882</v>
      </c>
      <c r="B3908" s="2">
        <v>46093.760793981484</v>
      </c>
      <c r="C3908" s="3" t="str">
        <f>IFERROR(VLOOKUP(A3908,'Base Prueba'!A:C,3,),"NO REGISTRA")</f>
        <v>MARIA JOHANA ESCAMILLA MARTINEZ</v>
      </c>
      <c r="D3908" s="4" t="str">
        <f>IFERROR(VLOOKUP(A3908,'Base Prueba'!A:D,4,),"NO REGISTRA")</f>
        <v>PROMOTOR DE INFORMACIÓN</v>
      </c>
      <c r="E3908" s="5" t="str">
        <f>IFERROR(VLOOKUP(A3908,'Base Prueba'!A:E,5,),"NO REGISTRA")</f>
        <v>OFICINA DE MERCADEO</v>
      </c>
    </row>
    <row r="3909" spans="1:5" ht="15.75" x14ac:dyDescent="0.25">
      <c r="A3909" s="10">
        <v>1014266838</v>
      </c>
      <c r="B3909" s="2">
        <v>46093.761351504632</v>
      </c>
      <c r="C3909" s="3" t="str">
        <f>IFERROR(VLOOKUP(A3909,'Base Prueba'!A:C,3,),"NO REGISTRA")</f>
        <v>JENNIFER ASTRID ROMERO HURTADO</v>
      </c>
      <c r="D3909" s="4" t="str">
        <f>IFERROR(VLOOKUP(A3909,'Base Prueba'!A:D,4,),"NO REGISTRA")</f>
        <v>LIDER DE RECAUDO</v>
      </c>
      <c r="E3909" s="5" t="str">
        <f>IFERROR(VLOOKUP(A3909,'Base Prueba'!A:E,5,),"NO REGISTRA")</f>
        <v>AREA FINANCIERA Y CONTABLE</v>
      </c>
    </row>
    <row r="3910" spans="1:5" ht="15.75" x14ac:dyDescent="0.25">
      <c r="A3910" s="10">
        <v>1014308296</v>
      </c>
      <c r="B3910" s="2">
        <v>46093.765509259261</v>
      </c>
      <c r="C3910" s="3" t="str">
        <f>IFERROR(VLOOKUP(A3910,'Base Prueba'!A:C,3,),"NO REGISTRA")</f>
        <v>DARLENE YULIANA MORENO CELEITA</v>
      </c>
      <c r="D3910" s="4" t="str">
        <f>IFERROR(VLOOKUP(A3910,'Base Prueba'!A:D,4,),"NO REGISTRA")</f>
        <v>CAJERO PRINCIPAL</v>
      </c>
      <c r="E3910" s="5" t="str">
        <f>IFERROR(VLOOKUP(A3910,'Base Prueba'!A:E,5,),"NO REGISTRA")</f>
        <v>AREA FINANCIERA Y CONTABLE</v>
      </c>
    </row>
    <row r="3911" spans="1:5" ht="15.75" x14ac:dyDescent="0.25">
      <c r="A3911" s="10">
        <v>80234243</v>
      </c>
      <c r="B3911" s="2">
        <v>46093.767724652775</v>
      </c>
      <c r="C3911" s="3" t="str">
        <f>IFERROR(VLOOKUP(A3911,'Base Prueba'!A:C,3,),"NO REGISTRA")</f>
        <v>ARGENIS MARTINEZ MARTINEZ</v>
      </c>
      <c r="D3911" s="4" t="str">
        <f>IFERROR(VLOOKUP(A3911,'Base Prueba'!A:D,4,),"NO REGISTRA")</f>
        <v>LIDER CALL CENTER</v>
      </c>
      <c r="E3911" s="5" t="str">
        <f>IFERROR(VLOOKUP(A3911,'Base Prueba'!A:E,5,),"NO REGISTRA")</f>
        <v>OFICINA DE MERCADEO</v>
      </c>
    </row>
    <row r="3912" spans="1:5" ht="15.75" x14ac:dyDescent="0.25">
      <c r="A3912" s="10">
        <v>1000604979</v>
      </c>
      <c r="B3912" s="2">
        <v>46093.770627199076</v>
      </c>
      <c r="C3912" s="3" t="str">
        <f>IFERROR(VLOOKUP(A3912,'Base Prueba'!A:C,3,),"NO REGISTRA")</f>
        <v>JULIETH TATIANA PARDO PINTO</v>
      </c>
      <c r="D3912" s="4" t="str">
        <f>IFERROR(VLOOKUP(A3912,'Base Prueba'!A:D,4,),"NO REGISTRA")</f>
        <v>AUXILIAR JURIDICO</v>
      </c>
      <c r="E3912" s="5" t="str">
        <f>IFERROR(VLOOKUP(A3912,'Base Prueba'!A:E,5,),"NO REGISTRA")</f>
        <v>SECRETARIA GENERAL</v>
      </c>
    </row>
    <row r="3913" spans="1:5" ht="15.75" x14ac:dyDescent="0.25">
      <c r="A3913" s="10">
        <v>1000593372</v>
      </c>
      <c r="B3913" s="2">
        <v>46093.770665393517</v>
      </c>
      <c r="C3913" s="3" t="str">
        <f>IFERROR(VLOOKUP(A3913,'Base Prueba'!A:C,3,),"NO REGISTRA")</f>
        <v>LAURA SOFIA CHAPARRO LOPEZ</v>
      </c>
      <c r="D3913" s="4" t="str">
        <f>IFERROR(VLOOKUP(A3913,'Base Prueba'!A:D,4,),"NO REGISTRA")</f>
        <v>AUXILIAR JURIDICO</v>
      </c>
      <c r="E3913" s="5" t="str">
        <f>IFERROR(VLOOKUP(A3913,'Base Prueba'!A:E,5,),"NO REGISTRA")</f>
        <v>SECRETARIA GENERAL</v>
      </c>
    </row>
    <row r="3914" spans="1:5" ht="15.75" x14ac:dyDescent="0.25">
      <c r="A3914" s="10">
        <v>80191732</v>
      </c>
      <c r="B3914" s="2">
        <v>46093.772502777778</v>
      </c>
      <c r="C3914" s="3" t="str">
        <f>IFERROR(VLOOKUP(A3914,'Base Prueba'!A:C,3,),"NO REGISTRA")</f>
        <v>DANIEL MAURICIO ZAMBRANO TUNJANO</v>
      </c>
      <c r="D3914" s="4" t="str">
        <f>IFERROR(VLOOKUP(A3914,'Base Prueba'!A:D,4,),"NO REGISTRA")</f>
        <v>COORDINADOR DE DISEÑO E IMAGEN INSTITUCIONAL</v>
      </c>
      <c r="E3914" s="5" t="str">
        <f>IFERROR(VLOOKUP(A3914,'Base Prueba'!A:E,5,),"NO REGISTRA")</f>
        <v>OFICINA DE MERCADEO</v>
      </c>
    </row>
    <row r="3915" spans="1:5" ht="15.75" x14ac:dyDescent="0.25">
      <c r="A3915" s="10">
        <v>1013616244</v>
      </c>
      <c r="B3915" s="2">
        <v>46093.782958333337</v>
      </c>
      <c r="C3915" s="3" t="str">
        <f>IFERROR(VLOOKUP(A3915,'Base Prueba'!A:C,3,),"NO REGISTRA")</f>
        <v>DIANA CAROLINA MARIN BETANCOURT</v>
      </c>
      <c r="D3915" s="4" t="str">
        <f>IFERROR(VLOOKUP(A3915,'Base Prueba'!A:D,4,),"NO REGISTRA")</f>
        <v>AUXILIAR ADMINISTRATIVO</v>
      </c>
      <c r="E3915" s="5" t="str">
        <f>IFERROR(VLOOKUP(A3915,'Base Prueba'!A:E,5,),"NO REGISTRA")</f>
        <v>REGISTRO Y CONTROL ACADEMICO</v>
      </c>
    </row>
    <row r="3916" spans="1:5" ht="15.75" x14ac:dyDescent="0.25">
      <c r="A3916" s="10">
        <v>1000457706</v>
      </c>
      <c r="B3916" s="2">
        <v>46093.786061458333</v>
      </c>
      <c r="C3916" s="3" t="str">
        <f>IFERROR(VLOOKUP(A3916,'Base Prueba'!A:C,3,),"NO REGISTRA")</f>
        <v>CRISTIAN DANILO ARROYO SANABRIA</v>
      </c>
      <c r="D3916" s="4" t="str">
        <f>IFERROR(VLOOKUP(A3916,'Base Prueba'!A:D,4,),"NO REGISTRA")</f>
        <v>AUXILIAR CONTABLE</v>
      </c>
      <c r="E3916" s="5" t="str">
        <f>IFERROR(VLOOKUP(A3916,'Base Prueba'!A:E,5,),"NO REGISTRA")</f>
        <v>AREA FINANCIERA Y CONTABLE</v>
      </c>
    </row>
    <row r="3917" spans="1:5" ht="15.75" x14ac:dyDescent="0.25">
      <c r="A3917" s="10">
        <v>52443092</v>
      </c>
      <c r="B3917" s="2">
        <v>46093.792398032405</v>
      </c>
      <c r="C3917" s="3" t="str">
        <f>IFERROR(VLOOKUP(A3917,'Base Prueba'!A:C,3,),"NO REGISTRA")</f>
        <v>LUZ MYRIAM SAAVEDRA CONTRERAS</v>
      </c>
      <c r="D3917" s="4" t="str">
        <f>IFERROR(VLOOKUP(A3917,'Base Prueba'!A:D,4,),"NO REGISTRA")</f>
        <v>AUXILIAR DE SERVICIOS</v>
      </c>
      <c r="E3917" s="5" t="str">
        <f>IFERROR(VLOOKUP(A3917,'Base Prueba'!A:E,5,),"NO REGISTRA")</f>
        <v>LOGISTICA Y SERVICIOS GENERALES</v>
      </c>
    </row>
    <row r="3918" spans="1:5" ht="15.75" x14ac:dyDescent="0.25">
      <c r="A3918" s="10">
        <v>1000324729</v>
      </c>
      <c r="B3918" s="2">
        <v>46093.794203587961</v>
      </c>
      <c r="C3918" s="3" t="str">
        <f>IFERROR(VLOOKUP(A3918,'Base Prueba'!A:C,3,),"NO REGISTRA")</f>
        <v>ANYIE VANESSA TINOCO CAMACHO</v>
      </c>
      <c r="D3918" s="4" t="str">
        <f>IFERROR(VLOOKUP(A3918,'Base Prueba'!A:D,4,),"NO REGISTRA")</f>
        <v>LIDER DE REGISTRO Y CONTROL</v>
      </c>
      <c r="E3918" s="5" t="str">
        <f>IFERROR(VLOOKUP(A3918,'Base Prueba'!A:E,5,),"NO REGISTRA")</f>
        <v>REGISTRO Y CONTROL ACADEMICO</v>
      </c>
    </row>
    <row r="3919" spans="1:5" ht="15.75" x14ac:dyDescent="0.25">
      <c r="A3919" s="10">
        <v>52474489</v>
      </c>
      <c r="B3919" s="2">
        <v>46093.803876504629</v>
      </c>
      <c r="C3919" s="3" t="str">
        <f>IFERROR(VLOOKUP(A3919,'Base Prueba'!A:C,3,),"NO REGISTRA")</f>
        <v>ADRIANA JIMENA SOTO BOCANEGRA</v>
      </c>
      <c r="D3919" s="4" t="str">
        <f>IFERROR(VLOOKUP(A3919,'Base Prueba'!A:D,4,),"NO REGISTRA")</f>
        <v>COORDINADOR DE LA OFICINA DE REGISTRO Y CONTROL</v>
      </c>
      <c r="E3919" s="5" t="str">
        <f>IFERROR(VLOOKUP(A3919,'Base Prueba'!A:E,5,),"NO REGISTRA")</f>
        <v>REGISTRO Y CONTROL ACADEMICO</v>
      </c>
    </row>
    <row r="3920" spans="1:5" ht="15.75" x14ac:dyDescent="0.25">
      <c r="A3920" s="10">
        <v>1016090131</v>
      </c>
      <c r="B3920" s="2">
        <v>46093.821810995367</v>
      </c>
      <c r="C3920" s="3" t="str">
        <f>IFERROR(VLOOKUP(A3920,'Base Prueba'!A:C,3,),"NO REGISTRA")</f>
        <v>NICOLAS RODRIGUEZ PACHECO</v>
      </c>
      <c r="D3920" s="4" t="str">
        <f>IFERROR(VLOOKUP(A3920,'Base Prueba'!A:D,4,),"NO REGISTRA")</f>
        <v>COORDINADOR DE COMUNICACIONES</v>
      </c>
      <c r="E3920" s="5" t="str">
        <f>IFERROR(VLOOKUP(A3920,'Base Prueba'!A:E,5,),"NO REGISTRA")</f>
        <v>OFICINA DE MERCADEO</v>
      </c>
    </row>
    <row r="3921" spans="1:5" ht="15.75" x14ac:dyDescent="0.25">
      <c r="A3921" s="10">
        <v>1014196857</v>
      </c>
      <c r="B3921" s="2">
        <v>46093.821853935187</v>
      </c>
      <c r="C3921" s="3" t="str">
        <f>IFERROR(VLOOKUP(A3921,'Base Prueba'!A:C,3,),"NO REGISTRA")</f>
        <v>CARLOS ANDRES JIMENEZ PARDO</v>
      </c>
      <c r="D3921" s="4" t="str">
        <f>IFERROR(VLOOKUP(A3921,'Base Prueba'!A:D,4,),"NO REGISTRA")</f>
        <v>COORDINADOR DE MARKETING DIGITAL</v>
      </c>
      <c r="E3921" s="5" t="str">
        <f>IFERROR(VLOOKUP(A3921,'Base Prueba'!A:E,5,),"NO REGISTRA")</f>
        <v>OFICINA DE MERCADEO</v>
      </c>
    </row>
    <row r="3922" spans="1:5" ht="15.75" x14ac:dyDescent="0.25">
      <c r="A3922" s="10">
        <v>80725196</v>
      </c>
      <c r="B3922" s="2">
        <v>46094.297293171294</v>
      </c>
      <c r="C3922" s="3" t="str">
        <f>IFERROR(VLOOKUP(A3922,'Base Prueba'!A:C,3,),"NO REGISTRA")</f>
        <v>YEISON YOSET TOVAR BARBOSA</v>
      </c>
      <c r="D3922" s="4" t="str">
        <f>IFERROR(VLOOKUP(A3922,'Base Prueba'!A:D,4,),"NO REGISTRA")</f>
        <v>LIDER GESTION DOCUMENTAL</v>
      </c>
      <c r="E3922" s="5" t="str">
        <f>IFERROR(VLOOKUP(A3922,'Base Prueba'!A:E,5,),"NO REGISTRA")</f>
        <v>CENTRO DE GESTION DOCUMENTAL</v>
      </c>
    </row>
    <row r="3923" spans="1:5" ht="15.75" x14ac:dyDescent="0.25">
      <c r="A3923" s="10">
        <v>1087121273</v>
      </c>
      <c r="B3923" s="2">
        <v>46094.306540277779</v>
      </c>
      <c r="C3923" s="3" t="str">
        <f>IFERROR(VLOOKUP(A3923,'Base Prueba'!A:C,3,),"NO REGISTRA")</f>
        <v>MAYRA ALEJANDRA CASTILLO ARBOLEDA</v>
      </c>
      <c r="D3923" s="4" t="str">
        <f>IFERROR(VLOOKUP(A3923,'Base Prueba'!A:D,4,),"NO REGISTRA")</f>
        <v>APOYO INTEGRAL DE MERCADEO</v>
      </c>
      <c r="E3923" s="5" t="str">
        <f>IFERROR(VLOOKUP(A3923,'Base Prueba'!A:E,5,),"NO REGISTRA")</f>
        <v>CENTRO DE GESTION DOCUMENTAL</v>
      </c>
    </row>
    <row r="3924" spans="1:5" ht="15.75" x14ac:dyDescent="0.25">
      <c r="A3924" s="10">
        <v>1013616244</v>
      </c>
      <c r="B3924" s="2">
        <v>46094.322567824071</v>
      </c>
      <c r="C3924" s="3" t="str">
        <f>IFERROR(VLOOKUP(A3924,'Base Prueba'!A:C,3,),"NO REGISTRA")</f>
        <v>DIANA CAROLINA MARIN BETANCOURT</v>
      </c>
      <c r="D3924" s="4" t="str">
        <f>IFERROR(VLOOKUP(A3924,'Base Prueba'!A:D,4,),"NO REGISTRA")</f>
        <v>AUXILIAR ADMINISTRATIVO</v>
      </c>
      <c r="E3924" s="5" t="str">
        <f>IFERROR(VLOOKUP(A3924,'Base Prueba'!A:E,5,),"NO REGISTRA")</f>
        <v>REGISTRO Y CONTROL ACADEMICO</v>
      </c>
    </row>
    <row r="3925" spans="1:5" ht="15.75" x14ac:dyDescent="0.25">
      <c r="A3925" s="10">
        <v>1010184333</v>
      </c>
      <c r="B3925" s="2">
        <v>46094.322859722219</v>
      </c>
      <c r="C3925" s="3" t="str">
        <f>IFERROR(VLOOKUP(A3925,'Base Prueba'!A:C,3,),"NO REGISTRA")</f>
        <v>AKON ANDRES GARZON ALVAREZ</v>
      </c>
      <c r="D3925" s="4" t="str">
        <f>IFERROR(VLOOKUP(A3925,'Base Prueba'!A:D,4,),"NO REGISTRA")</f>
        <v>APRENDIZ UNIVERSITARIO</v>
      </c>
      <c r="E3925" s="5" t="str">
        <f>IFERROR(VLOOKUP(A3925,'Base Prueba'!A:E,5,),"NO REGISTRA")</f>
        <v>SECRETARIA GENERAL</v>
      </c>
    </row>
    <row r="3926" spans="1:5" ht="15.75" x14ac:dyDescent="0.25">
      <c r="A3926" s="10">
        <v>1000324729</v>
      </c>
      <c r="B3926" s="2">
        <v>46094.324359837963</v>
      </c>
      <c r="C3926" s="3" t="str">
        <f>IFERROR(VLOOKUP(A3926,'Base Prueba'!A:C,3,),"NO REGISTRA")</f>
        <v>ANYIE VANESSA TINOCO CAMACHO</v>
      </c>
      <c r="D3926" s="4" t="str">
        <f>IFERROR(VLOOKUP(A3926,'Base Prueba'!A:D,4,),"NO REGISTRA")</f>
        <v>LIDER DE REGISTRO Y CONTROL</v>
      </c>
      <c r="E3926" s="5" t="str">
        <f>IFERROR(VLOOKUP(A3926,'Base Prueba'!A:E,5,),"NO REGISTRA")</f>
        <v>REGISTRO Y CONTROL ACADEMICO</v>
      </c>
    </row>
    <row r="3927" spans="1:5" ht="15.75" x14ac:dyDescent="0.25">
      <c r="A3927" s="10">
        <v>1024512067</v>
      </c>
      <c r="B3927" s="2">
        <v>46094.329568287038</v>
      </c>
      <c r="C3927" s="3" t="str">
        <f>IFERROR(VLOOKUP(A3927,'Base Prueba'!A:C,3,),"NO REGISTRA")</f>
        <v>CINDY GIOVANA SALGAR GOMEZ</v>
      </c>
      <c r="D3927" s="4" t="str">
        <f>IFERROR(VLOOKUP(A3927,'Base Prueba'!A:D,4,),"NO REGISTRA")</f>
        <v>COORDINADOR DEL SISTEMA INTEGRADO DE GESTION INSTITUCIONAL - SIGI</v>
      </c>
      <c r="E3927" s="5" t="str">
        <f>IFERROR(VLOOKUP(A3927,'Base Prueba'!A:E,5,),"NO REGISTRA")</f>
        <v>OFICINA DE PLANEACION Y GESTION DE LA CALIDAD</v>
      </c>
    </row>
    <row r="3928" spans="1:5" ht="15.75" x14ac:dyDescent="0.25">
      <c r="A3928" s="10">
        <v>80191732</v>
      </c>
      <c r="B3928" s="2">
        <v>46094.330400810184</v>
      </c>
      <c r="C3928" s="3" t="str">
        <f>IFERROR(VLOOKUP(A3928,'Base Prueba'!A:C,3,),"NO REGISTRA")</f>
        <v>DANIEL MAURICIO ZAMBRANO TUNJANO</v>
      </c>
      <c r="D3928" s="4" t="str">
        <f>IFERROR(VLOOKUP(A3928,'Base Prueba'!A:D,4,),"NO REGISTRA")</f>
        <v>COORDINADOR DE DISEÑO E IMAGEN INSTITUCIONAL</v>
      </c>
      <c r="E3928" s="5" t="str">
        <f>IFERROR(VLOOKUP(A3928,'Base Prueba'!A:E,5,),"NO REGISTRA")</f>
        <v>OFICINA DE MERCADEO</v>
      </c>
    </row>
    <row r="3929" spans="1:5" ht="15.75" x14ac:dyDescent="0.25">
      <c r="A3929" s="10">
        <v>1031802160</v>
      </c>
      <c r="B3929" s="2">
        <v>46094.332972569442</v>
      </c>
      <c r="C3929" s="3" t="str">
        <f>IFERROR(VLOOKUP(A3929,'Base Prueba'!A:C,3,),"NO REGISTRA")</f>
        <v>LUISA MARIA MAHECHA SOTOMAYOR</v>
      </c>
      <c r="D3929" s="4" t="str">
        <f>IFERROR(VLOOKUP(A3929,'Base Prueba'!A:D,4,),"NO REGISTRA")</f>
        <v>APRENDIZ UNIVERSITARIO</v>
      </c>
      <c r="E3929" s="5" t="str">
        <f>IFERROR(VLOOKUP(A3929,'Base Prueba'!A:E,5,),"NO REGISTRA")</f>
        <v>OFICINA DE MERCADEO</v>
      </c>
    </row>
    <row r="3930" spans="1:5" ht="15.75" x14ac:dyDescent="0.25">
      <c r="A3930" s="10">
        <v>53932358</v>
      </c>
      <c r="B3930" s="2">
        <v>46094.334943981485</v>
      </c>
      <c r="C3930" s="3" t="str">
        <f>IFERROR(VLOOKUP(A3930,'Base Prueba'!A:C,3,),"NO REGISTRA")</f>
        <v>DIANA MADELEYNE GAONA RODRIGUEZ</v>
      </c>
      <c r="D3930" s="4" t="str">
        <f>IFERROR(VLOOKUP(A3930,'Base Prueba'!A:D,4,),"NO REGISTRA")</f>
        <v>CONTADOR</v>
      </c>
      <c r="E3930" s="5" t="str">
        <f>IFERROR(VLOOKUP(A3930,'Base Prueba'!A:E,5,),"NO REGISTRA")</f>
        <v>AREA FINANCIERA Y CONTABLE</v>
      </c>
    </row>
    <row r="3931" spans="1:5" ht="15.75" x14ac:dyDescent="0.25">
      <c r="A3931" s="10">
        <v>1014308296</v>
      </c>
      <c r="B3931" s="2">
        <v>46094.337500925925</v>
      </c>
      <c r="C3931" s="3" t="str">
        <f>IFERROR(VLOOKUP(A3931,'Base Prueba'!A:C,3,),"NO REGISTRA")</f>
        <v>DARLENE YULIANA MORENO CELEITA</v>
      </c>
      <c r="D3931" s="4" t="str">
        <f>IFERROR(VLOOKUP(A3931,'Base Prueba'!A:D,4,),"NO REGISTRA")</f>
        <v>CAJERO PRINCIPAL</v>
      </c>
      <c r="E3931" s="5" t="str">
        <f>IFERROR(VLOOKUP(A3931,'Base Prueba'!A:E,5,),"NO REGISTRA")</f>
        <v>AREA FINANCIERA Y CONTABLE</v>
      </c>
    </row>
    <row r="3932" spans="1:5" ht="15.75" x14ac:dyDescent="0.25">
      <c r="A3932" s="10">
        <v>1000257136</v>
      </c>
      <c r="B3932" s="2">
        <v>46094.338210879629</v>
      </c>
      <c r="C3932" s="3" t="str">
        <f>IFERROR(VLOOKUP(A3932,'Base Prueba'!A:C,3,),"NO REGISTRA")</f>
        <v>FRANCI VALENTINA CANO PUENTES</v>
      </c>
      <c r="D3932" s="4" t="str">
        <f>IFERROR(VLOOKUP(A3932,'Base Prueba'!A:D,4,),"NO REGISTRA")</f>
        <v>AUXILIAR CONTABLE</v>
      </c>
      <c r="E3932" s="5" t="str">
        <f>IFERROR(VLOOKUP(A3932,'Base Prueba'!A:E,5,),"NO REGISTRA")</f>
        <v>AREA FINANCIERA Y CONTABLE</v>
      </c>
    </row>
    <row r="3933" spans="1:5" ht="15.75" x14ac:dyDescent="0.25">
      <c r="A3933" s="10">
        <v>1022996882</v>
      </c>
      <c r="B3933" s="2">
        <v>46094.339249305558</v>
      </c>
      <c r="C3933" s="3" t="str">
        <f>IFERROR(VLOOKUP(A3933,'Base Prueba'!A:C,3,),"NO REGISTRA")</f>
        <v>NANCY BRIGITH ALDANA GUEVARA</v>
      </c>
      <c r="D3933" s="4" t="str">
        <f>IFERROR(VLOOKUP(A3933,'Base Prueba'!A:D,4,),"NO REGISTRA")</f>
        <v>COORDINADORA DE GESTIÓN HUMANA</v>
      </c>
      <c r="E3933" s="5" t="str">
        <f>IFERROR(VLOOKUP(A3933,'Base Prueba'!A:E,5,),"NO REGISTRA")</f>
        <v>DEPARTAMENTO DE GESTION HUMANA</v>
      </c>
    </row>
    <row r="3934" spans="1:5" ht="15.75" x14ac:dyDescent="0.25">
      <c r="A3934" s="10">
        <v>1049644802</v>
      </c>
      <c r="B3934" s="2">
        <v>46094.339322800923</v>
      </c>
      <c r="C3934" s="3" t="str">
        <f>IFERROR(VLOOKUP(A3934,'Base Prueba'!A:C,3,),"NO REGISTRA")</f>
        <v>DANIELA ALEXANDRA CIPAMOCHA BOSIGA</v>
      </c>
      <c r="D3934" s="4" t="str">
        <f>IFERROR(VLOOKUP(A3934,'Base Prueba'!A:D,4,),"NO REGISTRA")</f>
        <v>LIDER DE DATOS Y SERVICIOS</v>
      </c>
      <c r="E3934" s="5" t="str">
        <f>IFERROR(VLOOKUP(A3934,'Base Prueba'!A:E,5,),"NO REGISTRA")</f>
        <v>OFICINA DE PLANEACION Y GESTION DE LA CALIDAD</v>
      </c>
    </row>
    <row r="3935" spans="1:5" ht="15.75" x14ac:dyDescent="0.25">
      <c r="A3935" s="10">
        <v>1193457976</v>
      </c>
      <c r="B3935" s="2">
        <v>46094.339473263892</v>
      </c>
      <c r="C3935" s="3" t="str">
        <f>IFERROR(VLOOKUP(A3935,'Base Prueba'!A:C,3,),"NO REGISTRA")</f>
        <v>SEDENIS RIVAS ASPRILLA</v>
      </c>
      <c r="D3935" s="4" t="str">
        <f>IFERROR(VLOOKUP(A3935,'Base Prueba'!A:D,4,),"NO REGISTRA")</f>
        <v>APRENDIZ UNIVERSITARIO</v>
      </c>
      <c r="E3935" s="5" t="str">
        <f>IFERROR(VLOOKUP(A3935,'Base Prueba'!A:E,5,),"NO REGISTRA")</f>
        <v>DEPARTAMENTO DE GESTION HUMANA</v>
      </c>
    </row>
    <row r="3936" spans="1:5" ht="15.75" x14ac:dyDescent="0.25">
      <c r="A3936" s="10">
        <v>1012357415</v>
      </c>
      <c r="B3936" s="2">
        <v>46094.341207523146</v>
      </c>
      <c r="C3936" s="3" t="str">
        <f>IFERROR(VLOOKUP(A3936,'Base Prueba'!A:C,3,),"NO REGISTRA")</f>
        <v>CINDY LORENA BOHORQUEZ LEYVA</v>
      </c>
      <c r="D3936" s="4" t="str">
        <f>IFERROR(VLOOKUP(A3936,'Base Prueba'!A:D,4,),"NO REGISTRA")</f>
        <v>ANALISTA DE TESORERIA</v>
      </c>
      <c r="E3936" s="5" t="str">
        <f>IFERROR(VLOOKUP(A3936,'Base Prueba'!A:E,5,),"NO REGISTRA")</f>
        <v>AREA FINANCIERA Y CONTABLE</v>
      </c>
    </row>
    <row r="3937" spans="1:5" ht="15.75" x14ac:dyDescent="0.25">
      <c r="A3937" s="10">
        <v>1014977624</v>
      </c>
      <c r="B3937" s="2">
        <v>46094.343391782408</v>
      </c>
      <c r="C3937" s="3" t="str">
        <f>IFERROR(VLOOKUP(A3937,'Base Prueba'!A:C,3,),"NO REGISTRA")</f>
        <v>NICCOLE VALENTINA HERNANDEZ MALAVER</v>
      </c>
      <c r="D3937" s="4" t="str">
        <f>IFERROR(VLOOKUP(A3937,'Base Prueba'!A:D,4,),"NO REGISTRA")</f>
        <v>APRENDIZ UNIVERSITARIO</v>
      </c>
      <c r="E3937" s="5" t="str">
        <f>IFERROR(VLOOKUP(A3937,'Base Prueba'!A:E,5,),"NO REGISTRA")</f>
        <v>AREA FINANCIERA Y CONTABLE</v>
      </c>
    </row>
    <row r="3938" spans="1:5" ht="15.75" x14ac:dyDescent="0.25">
      <c r="A3938" s="10">
        <v>1000457706</v>
      </c>
      <c r="B3938" s="2">
        <v>46094.345638541665</v>
      </c>
      <c r="C3938" s="3" t="str">
        <f>IFERROR(VLOOKUP(A3938,'Base Prueba'!A:C,3,),"NO REGISTRA")</f>
        <v>CRISTIAN DANILO ARROYO SANABRIA</v>
      </c>
      <c r="D3938" s="4" t="str">
        <f>IFERROR(VLOOKUP(A3938,'Base Prueba'!A:D,4,),"NO REGISTRA")</f>
        <v>AUXILIAR CONTABLE</v>
      </c>
      <c r="E3938" s="5" t="str">
        <f>IFERROR(VLOOKUP(A3938,'Base Prueba'!A:E,5,),"NO REGISTRA")</f>
        <v>AREA FINANCIERA Y CONTABLE</v>
      </c>
    </row>
    <row r="3939" spans="1:5" ht="15.75" x14ac:dyDescent="0.25">
      <c r="A3939" s="10">
        <v>1023883232</v>
      </c>
      <c r="B3939" s="2">
        <v>46094.34769490741</v>
      </c>
      <c r="C3939" s="3" t="str">
        <f>IFERROR(VLOOKUP(A3939,'Base Prueba'!A:C,3,),"NO REGISTRA")</f>
        <v>MONICA ANDREA ACERO URBANO</v>
      </c>
      <c r="D3939" s="4" t="str">
        <f>IFERROR(VLOOKUP(A3939,'Base Prueba'!A:D,4,),"NO REGISTRA")</f>
        <v>APOYO INTEGRAL A GESTION HUMANA</v>
      </c>
      <c r="E3939" s="5" t="str">
        <f>IFERROR(VLOOKUP(A3939,'Base Prueba'!A:E,5,),"NO REGISTRA")</f>
        <v>DEPARTAMENTO DE GESTION HUMANA</v>
      </c>
    </row>
    <row r="3940" spans="1:5" ht="15.75" x14ac:dyDescent="0.25">
      <c r="A3940" s="10">
        <v>1000604979</v>
      </c>
      <c r="B3940" s="2">
        <v>46094.352684606478</v>
      </c>
      <c r="C3940" s="3" t="str">
        <f>IFERROR(VLOOKUP(A3940,'Base Prueba'!A:C,3,),"NO REGISTRA")</f>
        <v>JULIETH TATIANA PARDO PINTO</v>
      </c>
      <c r="D3940" s="4" t="str">
        <f>IFERROR(VLOOKUP(A3940,'Base Prueba'!A:D,4,),"NO REGISTRA")</f>
        <v>AUXILIAR JURIDICO</v>
      </c>
      <c r="E3940" s="5" t="str">
        <f>IFERROR(VLOOKUP(A3940,'Base Prueba'!A:E,5,),"NO REGISTRA")</f>
        <v>SECRETARIA GENERAL</v>
      </c>
    </row>
    <row r="3941" spans="1:5" ht="15.75" x14ac:dyDescent="0.25">
      <c r="A3941" s="10">
        <v>80234243</v>
      </c>
      <c r="B3941" s="2">
        <v>46094.352863310189</v>
      </c>
      <c r="C3941" s="3" t="str">
        <f>IFERROR(VLOOKUP(A3941,'Base Prueba'!A:C,3,),"NO REGISTRA")</f>
        <v>ARGENIS MARTINEZ MARTINEZ</v>
      </c>
      <c r="D3941" s="4" t="str">
        <f>IFERROR(VLOOKUP(A3941,'Base Prueba'!A:D,4,),"NO REGISTRA")</f>
        <v>LIDER CALL CENTER</v>
      </c>
      <c r="E3941" s="5" t="str">
        <f>IFERROR(VLOOKUP(A3941,'Base Prueba'!A:E,5,),"NO REGISTRA")</f>
        <v>OFICINA DE MERCADEO</v>
      </c>
    </row>
    <row r="3942" spans="1:5" ht="15.75" x14ac:dyDescent="0.25">
      <c r="A3942" s="10">
        <v>1033709056</v>
      </c>
      <c r="B3942" s="2">
        <v>46094.356328819442</v>
      </c>
      <c r="C3942" s="3" t="str">
        <f>IFERROR(VLOOKUP(A3942,'Base Prueba'!A:C,3,),"NO REGISTRA")</f>
        <v>YEIMY ALEXANDRA RODRIGUEZ PALACIO</v>
      </c>
      <c r="D3942" s="4" t="str">
        <f>IFERROR(VLOOKUP(A3942,'Base Prueba'!A:D,4,),"NO REGISTRA")</f>
        <v>PROMOTOR CALL CENTER</v>
      </c>
      <c r="E3942" s="5" t="str">
        <f>IFERROR(VLOOKUP(A3942,'Base Prueba'!A:E,5,),"NO REGISTRA")</f>
        <v>OFICINA DE MERCADEO</v>
      </c>
    </row>
    <row r="3943" spans="1:5" ht="15.75" x14ac:dyDescent="0.25">
      <c r="A3943" s="10">
        <v>52472386</v>
      </c>
      <c r="B3943" s="2">
        <v>46094.362748263891</v>
      </c>
      <c r="C3943" s="3" t="str">
        <f>IFERROR(VLOOKUP(A3943,'Base Prueba'!A:C,3,),"NO REGISTRA")</f>
        <v>ADRIANA MARCELA MORALES PARDO</v>
      </c>
      <c r="D3943" s="4" t="str">
        <f>IFERROR(VLOOKUP(A3943,'Base Prueba'!A:D,4,),"NO REGISTRA")</f>
        <v>PROMOTOR CALL CENTER</v>
      </c>
      <c r="E3943" s="5" t="str">
        <f>IFERROR(VLOOKUP(A3943,'Base Prueba'!A:E,5,),"NO REGISTRA")</f>
        <v>OFICINA DE MERCADEO</v>
      </c>
    </row>
    <row r="3944" spans="1:5" ht="15.75" x14ac:dyDescent="0.25">
      <c r="A3944" s="10">
        <v>1018413529</v>
      </c>
      <c r="B3944" s="2">
        <v>46094.368580787035</v>
      </c>
      <c r="C3944" s="3" t="str">
        <f>IFERROR(VLOOKUP(A3944,'Base Prueba'!A:C,3,),"NO REGISTRA")</f>
        <v>FRANCY STELLA CHARRY MORENO</v>
      </c>
      <c r="D3944" s="4" t="str">
        <f>IFERROR(VLOOKUP(A3944,'Base Prueba'!A:D,4,),"NO REGISTRA")</f>
        <v>PROMOTOR COMERCIAL DEL CEA</v>
      </c>
      <c r="E3944" s="5" t="str">
        <f>IFERROR(VLOOKUP(A3944,'Base Prueba'!A:E,5,),"NO REGISTRA")</f>
        <v>OFICINA DE MERCADEO</v>
      </c>
    </row>
    <row r="3945" spans="1:5" ht="15.75" x14ac:dyDescent="0.25">
      <c r="A3945" s="10">
        <v>1016090131</v>
      </c>
      <c r="B3945" s="2">
        <v>46094.368621759262</v>
      </c>
      <c r="C3945" s="3" t="str">
        <f>IFERROR(VLOOKUP(A3945,'Base Prueba'!A:C,3,),"NO REGISTRA")</f>
        <v>NICOLAS RODRIGUEZ PACHECO</v>
      </c>
      <c r="D3945" s="4" t="str">
        <f>IFERROR(VLOOKUP(A3945,'Base Prueba'!A:D,4,),"NO REGISTRA")</f>
        <v>COORDINADOR DE COMUNICACIONES</v>
      </c>
      <c r="E3945" s="5" t="str">
        <f>IFERROR(VLOOKUP(A3945,'Base Prueba'!A:E,5,),"NO REGISTRA")</f>
        <v>OFICINA DE MERCADEO</v>
      </c>
    </row>
    <row r="3946" spans="1:5" ht="15.75" x14ac:dyDescent="0.25">
      <c r="A3946" s="10">
        <v>28798349</v>
      </c>
      <c r="B3946" s="2">
        <v>46094.368702662039</v>
      </c>
      <c r="C3946" s="3" t="str">
        <f>IFERROR(VLOOKUP(A3946,'Base Prueba'!A:C,3,),"NO REGISTRA")</f>
        <v>MARTHA ISABEL TOVAR WILLIAMS</v>
      </c>
      <c r="D3946" s="4" t="str">
        <f>IFERROR(VLOOKUP(A3946,'Base Prueba'!A:D,4,),"NO REGISTRA")</f>
        <v>PROMOTOR CALL CENTER</v>
      </c>
      <c r="E3946" s="5" t="str">
        <f>IFERROR(VLOOKUP(A3946,'Base Prueba'!A:E,5,),"NO REGISTRA")</f>
        <v>OFICINA DE MERCADEO</v>
      </c>
    </row>
    <row r="3947" spans="1:5" ht="15.75" x14ac:dyDescent="0.25">
      <c r="A3947" s="10">
        <v>1032407386</v>
      </c>
      <c r="B3947" s="2">
        <v>46094.369014236108</v>
      </c>
      <c r="C3947" s="3" t="str">
        <f>IFERROR(VLOOKUP(A3947,'Base Prueba'!A:C,3,),"NO REGISTRA")</f>
        <v>GINA PAOLA BAEZ GALVIS</v>
      </c>
      <c r="D3947" s="4" t="str">
        <f>IFERROR(VLOOKUP(A3947,'Base Prueba'!A:D,4,),"NO REGISTRA")</f>
        <v>PROMOTOR CALL CENTER</v>
      </c>
      <c r="E3947" s="5" t="str">
        <f>IFERROR(VLOOKUP(A3947,'Base Prueba'!A:E,5,),"NO REGISTRA")</f>
        <v>OFICINA DE MERCADEO</v>
      </c>
    </row>
    <row r="3948" spans="1:5" ht="15.75" x14ac:dyDescent="0.25">
      <c r="A3948" s="10">
        <v>1012426741</v>
      </c>
      <c r="B3948" s="2">
        <v>46094.371353472219</v>
      </c>
      <c r="C3948" s="3" t="str">
        <f>IFERROR(VLOOKUP(A3948,'Base Prueba'!A:C,3,),"NO REGISTRA")</f>
        <v>CRISTIAN FABIAN ROJAS SANCENO</v>
      </c>
      <c r="D3948" s="4" t="str">
        <f>IFERROR(VLOOKUP(A3948,'Base Prueba'!A:D,4,),"NO REGISTRA")</f>
        <v>AUXILIAR DE REINTEGROS</v>
      </c>
      <c r="E3948" s="5" t="str">
        <f>IFERROR(VLOOKUP(A3948,'Base Prueba'!A:E,5,),"NO REGISTRA")</f>
        <v>DIRECCION DE BIENESTAR INSTITUCIONAL</v>
      </c>
    </row>
    <row r="3949" spans="1:5" ht="15.75" x14ac:dyDescent="0.25">
      <c r="A3949" s="10">
        <v>1023961952</v>
      </c>
      <c r="B3949" s="2">
        <v>46094.373158333336</v>
      </c>
      <c r="C3949" s="3" t="str">
        <f>IFERROR(VLOOKUP(A3949,'Base Prueba'!A:C,3,),"NO REGISTRA")</f>
        <v>ALEJANDRO PINZON MERCHAN</v>
      </c>
      <c r="D3949" s="4" t="str">
        <f>IFERROR(VLOOKUP(A3949,'Base Prueba'!A:D,4,),"NO REGISTRA")</f>
        <v>PROMOTOR CALL CENTER</v>
      </c>
      <c r="E3949" s="5" t="str">
        <f>IFERROR(VLOOKUP(A3949,'Base Prueba'!A:E,5,),"NO REGISTRA")</f>
        <v>OFICINA DE MERCADEO</v>
      </c>
    </row>
    <row r="3950" spans="1:5" ht="15.75" x14ac:dyDescent="0.25">
      <c r="A3950" s="10">
        <v>53089882</v>
      </c>
      <c r="B3950" s="2">
        <v>46094.373558333333</v>
      </c>
      <c r="C3950" s="3" t="str">
        <f>IFERROR(VLOOKUP(A3950,'Base Prueba'!A:C,3,),"NO REGISTRA")</f>
        <v>MARIA JOHANA ESCAMILLA MARTINEZ</v>
      </c>
      <c r="D3950" s="4" t="str">
        <f>IFERROR(VLOOKUP(A3950,'Base Prueba'!A:D,4,),"NO REGISTRA")</f>
        <v>PROMOTOR DE INFORMACIÓN</v>
      </c>
      <c r="E3950" s="5" t="str">
        <f>IFERROR(VLOOKUP(A3950,'Base Prueba'!A:E,5,),"NO REGISTRA")</f>
        <v>OFICINA DE MERCADEO</v>
      </c>
    </row>
    <row r="3951" spans="1:5" ht="15.75" x14ac:dyDescent="0.25">
      <c r="A3951" s="10">
        <v>1000046533</v>
      </c>
      <c r="B3951" s="2">
        <v>46094.374045833334</v>
      </c>
      <c r="C3951" s="3" t="str">
        <f>IFERROR(VLOOKUP(A3951,'Base Prueba'!A:C,3,),"NO REGISTRA")</f>
        <v>ERIKA JULIETH VALDERRAMA SANCHEZ</v>
      </c>
      <c r="D3951" s="4" t="str">
        <f>IFERROR(VLOOKUP(A3951,'Base Prueba'!A:D,4,),"NO REGISTRA")</f>
        <v>PROMOTOR CALL CENTER</v>
      </c>
      <c r="E3951" s="5" t="str">
        <f>IFERROR(VLOOKUP(A3951,'Base Prueba'!A:E,5,),"NO REGISTRA")</f>
        <v>OFICINA DE MERCADEO</v>
      </c>
    </row>
    <row r="3952" spans="1:5" ht="15.75" x14ac:dyDescent="0.25">
      <c r="A3952" s="10">
        <v>1018414290</v>
      </c>
      <c r="B3952" s="2">
        <v>46094.375497685185</v>
      </c>
      <c r="C3952" s="3" t="str">
        <f>IFERROR(VLOOKUP(A3952,'Base Prueba'!A:C,3,),"NO REGISTRA")</f>
        <v>AMANDA LISBETH RODRIGUEZ LEON</v>
      </c>
      <c r="D3952" s="4" t="str">
        <f>IFERROR(VLOOKUP(A3952,'Base Prueba'!A:D,4,),"NO REGISTRA")</f>
        <v>PROMOTOR CALL CENTER</v>
      </c>
      <c r="E3952" s="5" t="str">
        <f>IFERROR(VLOOKUP(A3952,'Base Prueba'!A:E,5,),"NO REGISTRA")</f>
        <v>OFICINA DE MERCADEO</v>
      </c>
    </row>
    <row r="3953" spans="1:5" ht="15.75" x14ac:dyDescent="0.25">
      <c r="A3953" s="10">
        <v>6</v>
      </c>
      <c r="B3953" s="2">
        <v>46094.375502083334</v>
      </c>
      <c r="C3953" s="3" t="str">
        <f>IFERROR(VLOOKUP(A3953,'Base Prueba'!A:C,3,),"NO REGISTRA")</f>
        <v>NO REGISTRA</v>
      </c>
      <c r="D3953" s="4" t="str">
        <f>IFERROR(VLOOKUP(A3953,'Base Prueba'!A:D,4,),"NO REGISTRA")</f>
        <v>NO REGISTRA</v>
      </c>
      <c r="E3953" s="5" t="str">
        <f>IFERROR(VLOOKUP(A3953,'Base Prueba'!A:E,5,),"NO REGISTRA")</f>
        <v>NO REGISTRA</v>
      </c>
    </row>
    <row r="3954" spans="1:5" ht="15.75" x14ac:dyDescent="0.25">
      <c r="A3954" s="10">
        <v>1018414290</v>
      </c>
      <c r="B3954" s="2">
        <v>46094.375505439813</v>
      </c>
      <c r="C3954" s="3" t="str">
        <f>IFERROR(VLOOKUP(A3954,'Base Prueba'!A:C,3,),"NO REGISTRA")</f>
        <v>AMANDA LISBETH RODRIGUEZ LEON</v>
      </c>
      <c r="D3954" s="4" t="str">
        <f>IFERROR(VLOOKUP(A3954,'Base Prueba'!A:D,4,),"NO REGISTRA")</f>
        <v>PROMOTOR CALL CENTER</v>
      </c>
      <c r="E3954" s="5" t="str">
        <f>IFERROR(VLOOKUP(A3954,'Base Prueba'!A:E,5,),"NO REGISTRA")</f>
        <v>OFICINA DE MERCADEO</v>
      </c>
    </row>
    <row r="3955" spans="1:5" ht="15.75" x14ac:dyDescent="0.25">
      <c r="A3955" s="10">
        <v>52764929</v>
      </c>
      <c r="B3955" s="2">
        <v>46094.377388773151</v>
      </c>
      <c r="C3955" s="3" t="str">
        <f>IFERROR(VLOOKUP(A3955,'Base Prueba'!A:C,3,),"NO REGISTRA")</f>
        <v>GUERLY YOHANA DURAN RIVERA</v>
      </c>
      <c r="D3955" s="4" t="str">
        <f>IFERROR(VLOOKUP(A3955,'Base Prueba'!A:D,4,),"NO REGISTRA")</f>
        <v>LIDER DE VINCULACION COLEGIOS</v>
      </c>
      <c r="E3955" s="5" t="str">
        <f>IFERROR(VLOOKUP(A3955,'Base Prueba'!A:E,5,),"NO REGISTRA")</f>
        <v>OFICINA DE MERCADEO</v>
      </c>
    </row>
    <row r="3956" spans="1:5" ht="15.75" x14ac:dyDescent="0.25">
      <c r="A3956" s="10">
        <v>1014196857</v>
      </c>
      <c r="B3956" s="2">
        <v>46094.382640509262</v>
      </c>
      <c r="C3956" s="3" t="str">
        <f>IFERROR(VLOOKUP(A3956,'Base Prueba'!A:C,3,),"NO REGISTRA")</f>
        <v>CARLOS ANDRES JIMENEZ PARDO</v>
      </c>
      <c r="D3956" s="4" t="str">
        <f>IFERROR(VLOOKUP(A3956,'Base Prueba'!A:D,4,),"NO REGISTRA")</f>
        <v>COORDINADOR DE MARKETING DIGITAL</v>
      </c>
      <c r="E3956" s="5" t="str">
        <f>IFERROR(VLOOKUP(A3956,'Base Prueba'!A:E,5,),"NO REGISTRA")</f>
        <v>OFICINA DE MERCADEO</v>
      </c>
    </row>
    <row r="3957" spans="1:5" ht="15.75" x14ac:dyDescent="0.25">
      <c r="A3957" s="10">
        <v>52443092</v>
      </c>
      <c r="B3957" s="2">
        <v>46094.458520023145</v>
      </c>
      <c r="C3957" s="3" t="str">
        <f>IFERROR(VLOOKUP(A3957,'Base Prueba'!A:C,3,),"NO REGISTRA")</f>
        <v>LUZ MYRIAM SAAVEDRA CONTRERAS</v>
      </c>
      <c r="D3957" s="4" t="str">
        <f>IFERROR(VLOOKUP(A3957,'Base Prueba'!A:D,4,),"NO REGISTRA")</f>
        <v>AUXILIAR DE SERVICIOS</v>
      </c>
      <c r="E3957" s="5" t="str">
        <f>IFERROR(VLOOKUP(A3957,'Base Prueba'!A:E,5,),"NO REGISTRA")</f>
        <v>LOGISTICA Y SERVICIOS GENERALES</v>
      </c>
    </row>
    <row r="3958" spans="1:5" ht="15.75" x14ac:dyDescent="0.25">
      <c r="A3958" s="10">
        <v>1010184333</v>
      </c>
      <c r="B3958" s="2">
        <v>46094.708447569443</v>
      </c>
      <c r="C3958" s="3" t="str">
        <f>IFERROR(VLOOKUP(A3958,'Base Prueba'!A:C,3,),"NO REGISTRA")</f>
        <v>AKON ANDRES GARZON ALVAREZ</v>
      </c>
      <c r="D3958" s="4" t="str">
        <f>IFERROR(VLOOKUP(A3958,'Base Prueba'!A:D,4,),"NO REGISTRA")</f>
        <v>APRENDIZ UNIVERSITARIO</v>
      </c>
      <c r="E3958" s="5" t="str">
        <f>IFERROR(VLOOKUP(A3958,'Base Prueba'!A:E,5,),"NO REGISTRA")</f>
        <v>SECRETARIA GENERAL</v>
      </c>
    </row>
    <row r="3959" spans="1:5" ht="15.75" x14ac:dyDescent="0.25">
      <c r="A3959" s="10">
        <v>1031802160</v>
      </c>
      <c r="B3959" s="2">
        <v>46094.708954050926</v>
      </c>
      <c r="C3959" s="3" t="str">
        <f>IFERROR(VLOOKUP(A3959,'Base Prueba'!A:C,3,),"NO REGISTRA")</f>
        <v>LUISA MARIA MAHECHA SOTOMAYOR</v>
      </c>
      <c r="D3959" s="4" t="str">
        <f>IFERROR(VLOOKUP(A3959,'Base Prueba'!A:D,4,),"NO REGISTRA")</f>
        <v>APRENDIZ UNIVERSITARIO</v>
      </c>
      <c r="E3959" s="5" t="str">
        <f>IFERROR(VLOOKUP(A3959,'Base Prueba'!A:E,5,),"NO REGISTRA")</f>
        <v>OFICINA DE MERCADEO</v>
      </c>
    </row>
    <row r="3960" spans="1:5" ht="15.75" x14ac:dyDescent="0.25">
      <c r="A3960" s="10">
        <v>1022996882</v>
      </c>
      <c r="B3960" s="2">
        <v>46094.709334259256</v>
      </c>
      <c r="C3960" s="3" t="str">
        <f>IFERROR(VLOOKUP(A3960,'Base Prueba'!A:C,3,),"NO REGISTRA")</f>
        <v>NANCY BRIGITH ALDANA GUEVARA</v>
      </c>
      <c r="D3960" s="4" t="str">
        <f>IFERROR(VLOOKUP(A3960,'Base Prueba'!A:D,4,),"NO REGISTRA")</f>
        <v>COORDINADORA DE GESTIÓN HUMANA</v>
      </c>
      <c r="E3960" s="5" t="str">
        <f>IFERROR(VLOOKUP(A3960,'Base Prueba'!A:E,5,),"NO REGISTRA")</f>
        <v>DEPARTAMENTO DE GESTION HUMANA</v>
      </c>
    </row>
    <row r="3961" spans="1:5" ht="15.75" x14ac:dyDescent="0.25">
      <c r="A3961" s="10">
        <v>1193457976</v>
      </c>
      <c r="B3961" s="2">
        <v>46094.70940821759</v>
      </c>
      <c r="C3961" s="3" t="str">
        <f>IFERROR(VLOOKUP(A3961,'Base Prueba'!A:C,3,),"NO REGISTRA")</f>
        <v>SEDENIS RIVAS ASPRILLA</v>
      </c>
      <c r="D3961" s="4" t="str">
        <f>IFERROR(VLOOKUP(A3961,'Base Prueba'!A:D,4,),"NO REGISTRA")</f>
        <v>APRENDIZ UNIVERSITARIO</v>
      </c>
      <c r="E3961" s="5" t="str">
        <f>IFERROR(VLOOKUP(A3961,'Base Prueba'!A:E,5,),"NO REGISTRA")</f>
        <v>DEPARTAMENTO DE GESTION HUMANA</v>
      </c>
    </row>
    <row r="3962" spans="1:5" ht="15.75" x14ac:dyDescent="0.25">
      <c r="A3962" s="10">
        <v>1012357415</v>
      </c>
      <c r="B3962" s="2">
        <v>46094.71054537037</v>
      </c>
      <c r="C3962" s="3" t="str">
        <f>IFERROR(VLOOKUP(A3962,'Base Prueba'!A:C,3,),"NO REGISTRA")</f>
        <v>CINDY LORENA BOHORQUEZ LEYVA</v>
      </c>
      <c r="D3962" s="4" t="str">
        <f>IFERROR(VLOOKUP(A3962,'Base Prueba'!A:D,4,),"NO REGISTRA")</f>
        <v>ANALISTA DE TESORERIA</v>
      </c>
      <c r="E3962" s="5" t="str">
        <f>IFERROR(VLOOKUP(A3962,'Base Prueba'!A:E,5,),"NO REGISTRA")</f>
        <v>AREA FINANCIERA Y CONTABLE</v>
      </c>
    </row>
    <row r="3963" spans="1:5" ht="15.75" x14ac:dyDescent="0.25">
      <c r="A3963" s="10">
        <v>1000467399</v>
      </c>
      <c r="B3963" s="2">
        <v>46094.711575462963</v>
      </c>
      <c r="C3963" s="3" t="str">
        <f>IFERROR(VLOOKUP(A3963,'Base Prueba'!A:C,3,),"NO REGISTRA")</f>
        <v>BRANDO ESTIVEN DIAZ QUIMBAYA</v>
      </c>
      <c r="D3963" s="4" t="str">
        <f>IFERROR(VLOOKUP(A3963,'Base Prueba'!A:D,4,),"NO REGISTRA")</f>
        <v>APRENDIZ UNIVERSITARIO</v>
      </c>
      <c r="E3963" s="5" t="str">
        <f>IFERROR(VLOOKUP(A3963,'Base Prueba'!A:E,5,),"NO REGISTRA")</f>
        <v>DEPARTAMENTO DE GESTION HUMANA</v>
      </c>
    </row>
    <row r="3964" spans="1:5" ht="15.75" x14ac:dyDescent="0.25">
      <c r="A3964" s="10">
        <v>1049644802</v>
      </c>
      <c r="B3964" s="2">
        <v>46094.712232754631</v>
      </c>
      <c r="C3964" s="3" t="str">
        <f>IFERROR(VLOOKUP(A3964,'Base Prueba'!A:C,3,),"NO REGISTRA")</f>
        <v>DANIELA ALEXANDRA CIPAMOCHA BOSIGA</v>
      </c>
      <c r="D3964" s="4" t="str">
        <f>IFERROR(VLOOKUP(A3964,'Base Prueba'!A:D,4,),"NO REGISTRA")</f>
        <v>LIDER DE DATOS Y SERVICIOS</v>
      </c>
      <c r="E3964" s="5" t="str">
        <f>IFERROR(VLOOKUP(A3964,'Base Prueba'!A:E,5,),"NO REGISTRA")</f>
        <v>OFICINA DE PLANEACION Y GESTION DE LA CALIDAD</v>
      </c>
    </row>
    <row r="3965" spans="1:5" ht="15.75" x14ac:dyDescent="0.25">
      <c r="A3965" s="10">
        <v>1014308296</v>
      </c>
      <c r="B3965" s="2">
        <v>46094.712602777778</v>
      </c>
      <c r="C3965" s="3" t="str">
        <f>IFERROR(VLOOKUP(A3965,'Base Prueba'!A:C,3,),"NO REGISTRA")</f>
        <v>DARLENE YULIANA MORENO CELEITA</v>
      </c>
      <c r="D3965" s="4" t="str">
        <f>IFERROR(VLOOKUP(A3965,'Base Prueba'!A:D,4,),"NO REGISTRA")</f>
        <v>CAJERO PRINCIPAL</v>
      </c>
      <c r="E3965" s="5" t="str">
        <f>IFERROR(VLOOKUP(A3965,'Base Prueba'!A:E,5,),"NO REGISTRA")</f>
        <v>AREA FINANCIERA Y CONTABLE</v>
      </c>
    </row>
    <row r="3966" spans="1:5" ht="15.75" x14ac:dyDescent="0.25">
      <c r="A3966" s="10">
        <v>1000457706</v>
      </c>
      <c r="B3966" s="2">
        <v>46094.718686574073</v>
      </c>
      <c r="C3966" s="3" t="str">
        <f>IFERROR(VLOOKUP(A3966,'Base Prueba'!A:C,3,),"NO REGISTRA")</f>
        <v>CRISTIAN DANILO ARROYO SANABRIA</v>
      </c>
      <c r="D3966" s="4" t="str">
        <f>IFERROR(VLOOKUP(A3966,'Base Prueba'!A:D,4,),"NO REGISTRA")</f>
        <v>AUXILIAR CONTABLE</v>
      </c>
      <c r="E3966" s="5" t="str">
        <f>IFERROR(VLOOKUP(A3966,'Base Prueba'!A:E,5,),"NO REGISTRA")</f>
        <v>AREA FINANCIERA Y CONTABLE</v>
      </c>
    </row>
    <row r="3967" spans="1:5" ht="15.75" x14ac:dyDescent="0.25">
      <c r="A3967" s="10">
        <v>1087121273</v>
      </c>
      <c r="B3967" s="2">
        <v>46094.71912303241</v>
      </c>
      <c r="C3967" s="3" t="str">
        <f>IFERROR(VLOOKUP(A3967,'Base Prueba'!A:C,3,),"NO REGISTRA")</f>
        <v>MAYRA ALEJANDRA CASTILLO ARBOLEDA</v>
      </c>
      <c r="D3967" s="4" t="str">
        <f>IFERROR(VLOOKUP(A3967,'Base Prueba'!A:D,4,),"NO REGISTRA")</f>
        <v>APOYO INTEGRAL DE MERCADEO</v>
      </c>
      <c r="E3967" s="5" t="str">
        <f>IFERROR(VLOOKUP(A3967,'Base Prueba'!A:E,5,),"NO REGISTRA")</f>
        <v>CENTRO DE GESTION DOCUMENTAL</v>
      </c>
    </row>
    <row r="3968" spans="1:5" ht="15.75" x14ac:dyDescent="0.25">
      <c r="A3968" s="10">
        <v>1000257136</v>
      </c>
      <c r="B3968" s="2">
        <v>46094.719287037035</v>
      </c>
      <c r="C3968" s="3" t="str">
        <f>IFERROR(VLOOKUP(A3968,'Base Prueba'!A:C,3,),"NO REGISTRA")</f>
        <v>FRANCI VALENTINA CANO PUENTES</v>
      </c>
      <c r="D3968" s="4" t="str">
        <f>IFERROR(VLOOKUP(A3968,'Base Prueba'!A:D,4,),"NO REGISTRA")</f>
        <v>AUXILIAR CONTABLE</v>
      </c>
      <c r="E3968" s="5" t="str">
        <f>IFERROR(VLOOKUP(A3968,'Base Prueba'!A:E,5,),"NO REGISTRA")</f>
        <v>AREA FINANCIERA Y CONTABLE</v>
      </c>
    </row>
    <row r="3969" spans="1:5" ht="15.75" x14ac:dyDescent="0.25">
      <c r="A3969" s="10">
        <v>53932358</v>
      </c>
      <c r="B3969" s="2">
        <v>46094.721674768516</v>
      </c>
      <c r="C3969" s="3" t="str">
        <f>IFERROR(VLOOKUP(A3969,'Base Prueba'!A:C,3,),"NO REGISTRA")</f>
        <v>DIANA MADELEYNE GAONA RODRIGUEZ</v>
      </c>
      <c r="D3969" s="4" t="str">
        <f>IFERROR(VLOOKUP(A3969,'Base Prueba'!A:D,4,),"NO REGISTRA")</f>
        <v>CONTADOR</v>
      </c>
      <c r="E3969" s="5" t="str">
        <f>IFERROR(VLOOKUP(A3969,'Base Prueba'!A:E,5,),"NO REGISTRA")</f>
        <v>AREA FINANCIERA Y CONTABLE</v>
      </c>
    </row>
    <row r="3970" spans="1:5" ht="15.75" x14ac:dyDescent="0.25">
      <c r="A3970" s="10">
        <v>1024512067</v>
      </c>
      <c r="B3970" s="2">
        <v>46094.724199074073</v>
      </c>
      <c r="C3970" s="3" t="str">
        <f>IFERROR(VLOOKUP(A3970,'Base Prueba'!A:C,3,),"NO REGISTRA")</f>
        <v>CINDY GIOVANA SALGAR GOMEZ</v>
      </c>
      <c r="D3970" s="4" t="str">
        <f>IFERROR(VLOOKUP(A3970,'Base Prueba'!A:D,4,),"NO REGISTRA")</f>
        <v>COORDINADOR DEL SISTEMA INTEGRADO DE GESTION INSTITUCIONAL - SIGI</v>
      </c>
      <c r="E3970" s="5" t="str">
        <f>IFERROR(VLOOKUP(A3970,'Base Prueba'!A:E,5,),"NO REGISTRA")</f>
        <v>OFICINA DE PLANEACION Y GESTION DE LA CALIDAD</v>
      </c>
    </row>
    <row r="3971" spans="1:5" ht="15.75" x14ac:dyDescent="0.25">
      <c r="A3971" s="10">
        <v>1000604979</v>
      </c>
      <c r="B3971" s="2">
        <v>46094.724490509259</v>
      </c>
      <c r="C3971" s="3" t="str">
        <f>IFERROR(VLOOKUP(A3971,'Base Prueba'!A:C,3,),"NO REGISTRA")</f>
        <v>JULIETH TATIANA PARDO PINTO</v>
      </c>
      <c r="D3971" s="4" t="str">
        <f>IFERROR(VLOOKUP(A3971,'Base Prueba'!A:D,4,),"NO REGISTRA")</f>
        <v>AUXILIAR JURIDICO</v>
      </c>
      <c r="E3971" s="5" t="str">
        <f>IFERROR(VLOOKUP(A3971,'Base Prueba'!A:E,5,),"NO REGISTRA")</f>
        <v>SECRETARIA GENERAL</v>
      </c>
    </row>
    <row r="3972" spans="1:5" ht="15.75" x14ac:dyDescent="0.25">
      <c r="A3972" s="10">
        <v>1000324729</v>
      </c>
      <c r="B3972" s="2">
        <v>46094.729197337962</v>
      </c>
      <c r="C3972" s="3" t="str">
        <f>IFERROR(VLOOKUP(A3972,'Base Prueba'!A:C,3,),"NO REGISTRA")</f>
        <v>ANYIE VANESSA TINOCO CAMACHO</v>
      </c>
      <c r="D3972" s="4" t="str">
        <f>IFERROR(VLOOKUP(A3972,'Base Prueba'!A:D,4,),"NO REGISTRA")</f>
        <v>LIDER DE REGISTRO Y CONTROL</v>
      </c>
      <c r="E3972" s="5" t="str">
        <f>IFERROR(VLOOKUP(A3972,'Base Prueba'!A:E,5,),"NO REGISTRA")</f>
        <v>REGISTRO Y CONTROL ACADEMICO</v>
      </c>
    </row>
    <row r="3973" spans="1:5" ht="15.75" x14ac:dyDescent="0.25">
      <c r="A3973" s="10">
        <v>1013616244</v>
      </c>
      <c r="B3973" s="2">
        <v>46094.729230439814</v>
      </c>
      <c r="C3973" s="3" t="str">
        <f>IFERROR(VLOOKUP(A3973,'Base Prueba'!A:C,3,),"NO REGISTRA")</f>
        <v>DIANA CAROLINA MARIN BETANCOURT</v>
      </c>
      <c r="D3973" s="4" t="str">
        <f>IFERROR(VLOOKUP(A3973,'Base Prueba'!A:D,4,),"NO REGISTRA")</f>
        <v>AUXILIAR ADMINISTRATIVO</v>
      </c>
      <c r="E3973" s="5" t="str">
        <f>IFERROR(VLOOKUP(A3973,'Base Prueba'!A:E,5,),"NO REGISTRA")</f>
        <v>REGISTRO Y CONTROL ACADEMICO</v>
      </c>
    </row>
    <row r="3974" spans="1:5" ht="15.75" x14ac:dyDescent="0.25">
      <c r="A3974" s="10">
        <v>1110492291</v>
      </c>
      <c r="B3974" s="2">
        <v>46094.737091782408</v>
      </c>
      <c r="C3974" s="3" t="str">
        <f>IFERROR(VLOOKUP(A3974,'Base Prueba'!A:C,3,),"NO REGISTRA")</f>
        <v>JONATHAN GONZALEZ AYALA</v>
      </c>
      <c r="D3974" s="4" t="str">
        <f>IFERROR(VLOOKUP(A3974,'Base Prueba'!A:D,4,),"NO REGISTRA")</f>
        <v>AUXILIAR ADMINISTRATIVO</v>
      </c>
      <c r="E3974" s="5" t="str">
        <f>IFERROR(VLOOKUP(A3974,'Base Prueba'!A:E,5,),"NO REGISTRA")</f>
        <v>REGISTRO Y CONTROL ACADEMICO</v>
      </c>
    </row>
    <row r="3975" spans="1:5" ht="15.75" x14ac:dyDescent="0.25">
      <c r="A3975" s="10">
        <v>1012426741</v>
      </c>
      <c r="B3975" s="2">
        <v>46094.750072569441</v>
      </c>
      <c r="C3975" s="3" t="str">
        <f>IFERROR(VLOOKUP(A3975,'Base Prueba'!A:C,3,),"NO REGISTRA")</f>
        <v>CRISTIAN FABIAN ROJAS SANCENO</v>
      </c>
      <c r="D3975" s="4" t="str">
        <f>IFERROR(VLOOKUP(A3975,'Base Prueba'!A:D,4,),"NO REGISTRA")</f>
        <v>AUXILIAR DE REINTEGROS</v>
      </c>
      <c r="E3975" s="5" t="str">
        <f>IFERROR(VLOOKUP(A3975,'Base Prueba'!A:E,5,),"NO REGISTRA")</f>
        <v>DIRECCION DE BIENESTAR INSTITUCIONAL</v>
      </c>
    </row>
    <row r="3976" spans="1:5" ht="15.75" x14ac:dyDescent="0.25">
      <c r="A3976" s="10">
        <v>1000046533</v>
      </c>
      <c r="B3976" s="2">
        <v>46094.751420486115</v>
      </c>
      <c r="C3976" s="3" t="str">
        <f>IFERROR(VLOOKUP(A3976,'Base Prueba'!A:C,3,),"NO REGISTRA")</f>
        <v>ERIKA JULIETH VALDERRAMA SANCHEZ</v>
      </c>
      <c r="D3976" s="4" t="str">
        <f>IFERROR(VLOOKUP(A3976,'Base Prueba'!A:D,4,),"NO REGISTRA")</f>
        <v>PROMOTOR CALL CENTER</v>
      </c>
      <c r="E3976" s="5" t="str">
        <f>IFERROR(VLOOKUP(A3976,'Base Prueba'!A:E,5,),"NO REGISTRA")</f>
        <v>OFICINA DE MERCADEO</v>
      </c>
    </row>
    <row r="3977" spans="1:5" ht="15.75" x14ac:dyDescent="0.25">
      <c r="A3977" s="10">
        <v>80191732</v>
      </c>
      <c r="B3977" s="2">
        <v>46094.752697337964</v>
      </c>
      <c r="C3977" s="3" t="str">
        <f>IFERROR(VLOOKUP(A3977,'Base Prueba'!A:C,3,),"NO REGISTRA")</f>
        <v>DANIEL MAURICIO ZAMBRANO TUNJANO</v>
      </c>
      <c r="D3977" s="4" t="str">
        <f>IFERROR(VLOOKUP(A3977,'Base Prueba'!A:D,4,),"NO REGISTRA")</f>
        <v>COORDINADOR DE DISEÑO E IMAGEN INSTITUCIONAL</v>
      </c>
      <c r="E3977" s="5" t="str">
        <f>IFERROR(VLOOKUP(A3977,'Base Prueba'!A:E,5,),"NO REGISTRA")</f>
        <v>OFICINA DE MERCADEO</v>
      </c>
    </row>
    <row r="3978" spans="1:5" ht="15.75" x14ac:dyDescent="0.25">
      <c r="A3978" s="10">
        <v>52472386</v>
      </c>
      <c r="B3978" s="2">
        <v>46094.752916203703</v>
      </c>
      <c r="C3978" s="3" t="str">
        <f>IFERROR(VLOOKUP(A3978,'Base Prueba'!A:C,3,),"NO REGISTRA")</f>
        <v>ADRIANA MARCELA MORALES PARDO</v>
      </c>
      <c r="D3978" s="4" t="str">
        <f>IFERROR(VLOOKUP(A3978,'Base Prueba'!A:D,4,),"NO REGISTRA")</f>
        <v>PROMOTOR CALL CENTER</v>
      </c>
      <c r="E3978" s="5" t="str">
        <f>IFERROR(VLOOKUP(A3978,'Base Prueba'!A:E,5,),"NO REGISTRA")</f>
        <v>OFICINA DE MERCADEO</v>
      </c>
    </row>
    <row r="3979" spans="1:5" ht="15.75" x14ac:dyDescent="0.25">
      <c r="A3979" s="10">
        <v>1023883232</v>
      </c>
      <c r="B3979" s="2">
        <v>46094.753353356478</v>
      </c>
      <c r="C3979" s="3" t="str">
        <f>IFERROR(VLOOKUP(A3979,'Base Prueba'!A:C,3,),"NO REGISTRA")</f>
        <v>MONICA ANDREA ACERO URBANO</v>
      </c>
      <c r="D3979" s="4" t="str">
        <f>IFERROR(VLOOKUP(A3979,'Base Prueba'!A:D,4,),"NO REGISTRA")</f>
        <v>APOYO INTEGRAL A GESTION HUMANA</v>
      </c>
      <c r="E3979" s="5" t="str">
        <f>IFERROR(VLOOKUP(A3979,'Base Prueba'!A:E,5,),"NO REGISTRA")</f>
        <v>DEPARTAMENTO DE GESTION HUMANA</v>
      </c>
    </row>
    <row r="3980" spans="1:5" ht="15.75" x14ac:dyDescent="0.25">
      <c r="A3980" s="10">
        <v>52474489</v>
      </c>
      <c r="B3980" s="2">
        <v>46094.75599513889</v>
      </c>
      <c r="C3980" s="3" t="str">
        <f>IFERROR(VLOOKUP(A3980,'Base Prueba'!A:C,3,),"NO REGISTRA")</f>
        <v>ADRIANA JIMENA SOTO BOCANEGRA</v>
      </c>
      <c r="D3980" s="4" t="str">
        <f>IFERROR(VLOOKUP(A3980,'Base Prueba'!A:D,4,),"NO REGISTRA")</f>
        <v>COORDINADOR DE LA OFICINA DE REGISTRO Y CONTROL</v>
      </c>
      <c r="E3980" s="5" t="str">
        <f>IFERROR(VLOOKUP(A3980,'Base Prueba'!A:E,5,),"NO REGISTRA")</f>
        <v>REGISTRO Y CONTROL ACADEMICO</v>
      </c>
    </row>
    <row r="3981" spans="1:5" ht="15.75" x14ac:dyDescent="0.25">
      <c r="A3981" s="10">
        <v>52175674</v>
      </c>
      <c r="B3981" s="2">
        <v>46094.756537499998</v>
      </c>
      <c r="C3981" s="3" t="str">
        <f>IFERROR(VLOOKUP(A3981,'Base Prueba'!A:C,3,),"NO REGISTRA")</f>
        <v>LUZ YANETH GOMEZ AREVALO</v>
      </c>
      <c r="D3981" s="4" t="str">
        <f>IFERROR(VLOOKUP(A3981,'Base Prueba'!A:D,4,),"NO REGISTRA")</f>
        <v>COORDINADORA DE ADMISIONES</v>
      </c>
      <c r="E3981" s="5" t="str">
        <f>IFERROR(VLOOKUP(A3981,'Base Prueba'!A:E,5,),"NO REGISTRA")</f>
        <v>OFICINA DE MERCADEO</v>
      </c>
    </row>
    <row r="3982" spans="1:5" ht="15.75" x14ac:dyDescent="0.25">
      <c r="A3982" s="10">
        <v>1033709056</v>
      </c>
      <c r="B3982" s="2">
        <v>46094.756597453706</v>
      </c>
      <c r="C3982" s="3" t="str">
        <f>IFERROR(VLOOKUP(A3982,'Base Prueba'!A:C,3,),"NO REGISTRA")</f>
        <v>YEIMY ALEXANDRA RODRIGUEZ PALACIO</v>
      </c>
      <c r="D3982" s="4" t="str">
        <f>IFERROR(VLOOKUP(A3982,'Base Prueba'!A:D,4,),"NO REGISTRA")</f>
        <v>PROMOTOR CALL CENTER</v>
      </c>
      <c r="E3982" s="5" t="str">
        <f>IFERROR(VLOOKUP(A3982,'Base Prueba'!A:E,5,),"NO REGISTRA")</f>
        <v>OFICINA DE MERCADEO</v>
      </c>
    </row>
    <row r="3983" spans="1:5" ht="15.75" x14ac:dyDescent="0.25">
      <c r="A3983" s="10">
        <v>1023961952</v>
      </c>
      <c r="B3983" s="2">
        <v>46094.757859375</v>
      </c>
      <c r="C3983" s="3" t="str">
        <f>IFERROR(VLOOKUP(A3983,'Base Prueba'!A:C,3,),"NO REGISTRA")</f>
        <v>ALEJANDRO PINZON MERCHAN</v>
      </c>
      <c r="D3983" s="4" t="str">
        <f>IFERROR(VLOOKUP(A3983,'Base Prueba'!A:D,4,),"NO REGISTRA")</f>
        <v>PROMOTOR CALL CENTER</v>
      </c>
      <c r="E3983" s="5" t="str">
        <f>IFERROR(VLOOKUP(A3983,'Base Prueba'!A:E,5,),"NO REGISTRA")</f>
        <v>OFICINA DE MERCADEO</v>
      </c>
    </row>
    <row r="3984" spans="1:5" ht="15.75" x14ac:dyDescent="0.25">
      <c r="A3984" s="10">
        <v>1014196857</v>
      </c>
      <c r="B3984" s="2">
        <v>46094.758099768522</v>
      </c>
      <c r="C3984" s="3" t="str">
        <f>IFERROR(VLOOKUP(A3984,'Base Prueba'!A:C,3,),"NO REGISTRA")</f>
        <v>CARLOS ANDRES JIMENEZ PARDO</v>
      </c>
      <c r="D3984" s="4" t="str">
        <f>IFERROR(VLOOKUP(A3984,'Base Prueba'!A:D,4,),"NO REGISTRA")</f>
        <v>COORDINADOR DE MARKETING DIGITAL</v>
      </c>
      <c r="E3984" s="5" t="str">
        <f>IFERROR(VLOOKUP(A3984,'Base Prueba'!A:E,5,),"NO REGISTRA")</f>
        <v>OFICINA DE MERCADEO</v>
      </c>
    </row>
    <row r="3985" spans="1:5" ht="15.75" x14ac:dyDescent="0.25">
      <c r="A3985" s="10">
        <v>28798349</v>
      </c>
      <c r="B3985" s="2">
        <v>46094.758464351849</v>
      </c>
      <c r="C3985" s="3" t="str">
        <f>IFERROR(VLOOKUP(A3985,'Base Prueba'!A:C,3,),"NO REGISTRA")</f>
        <v>MARTHA ISABEL TOVAR WILLIAMS</v>
      </c>
      <c r="D3985" s="4" t="str">
        <f>IFERROR(VLOOKUP(A3985,'Base Prueba'!A:D,4,),"NO REGISTRA")</f>
        <v>PROMOTOR CALL CENTER</v>
      </c>
      <c r="E3985" s="5" t="str">
        <f>IFERROR(VLOOKUP(A3985,'Base Prueba'!A:E,5,),"NO REGISTRA")</f>
        <v>OFICINA DE MERCADEO</v>
      </c>
    </row>
    <row r="3986" spans="1:5" ht="15.75" x14ac:dyDescent="0.25">
      <c r="A3986" s="10">
        <v>1032407386</v>
      </c>
      <c r="B3986" s="2">
        <v>46094.759968634258</v>
      </c>
      <c r="C3986" s="3" t="str">
        <f>IFERROR(VLOOKUP(A3986,'Base Prueba'!A:C,3,),"NO REGISTRA")</f>
        <v>GINA PAOLA BAEZ GALVIS</v>
      </c>
      <c r="D3986" s="4" t="str">
        <f>IFERROR(VLOOKUP(A3986,'Base Prueba'!A:D,4,),"NO REGISTRA")</f>
        <v>PROMOTOR CALL CENTER</v>
      </c>
      <c r="E3986" s="5" t="str">
        <f>IFERROR(VLOOKUP(A3986,'Base Prueba'!A:E,5,),"NO REGISTRA")</f>
        <v>OFICINA DE MERCADEO</v>
      </c>
    </row>
    <row r="3987" spans="1:5" ht="15.75" x14ac:dyDescent="0.25">
      <c r="A3987" s="10">
        <v>1018414290</v>
      </c>
      <c r="B3987" s="2">
        <v>46094.760008449077</v>
      </c>
      <c r="C3987" s="3" t="str">
        <f>IFERROR(VLOOKUP(A3987,'Base Prueba'!A:C,3,),"NO REGISTRA")</f>
        <v>AMANDA LISBETH RODRIGUEZ LEON</v>
      </c>
      <c r="D3987" s="4" t="str">
        <f>IFERROR(VLOOKUP(A3987,'Base Prueba'!A:D,4,),"NO REGISTRA")</f>
        <v>PROMOTOR CALL CENTER</v>
      </c>
      <c r="E3987" s="5" t="str">
        <f>IFERROR(VLOOKUP(A3987,'Base Prueba'!A:E,5,),"NO REGISTRA")</f>
        <v>OFICINA DE MERCADEO</v>
      </c>
    </row>
    <row r="3988" spans="1:5" ht="15.75" x14ac:dyDescent="0.25">
      <c r="A3988" s="10">
        <v>53089882</v>
      </c>
      <c r="B3988" s="2">
        <v>46094.76245613426</v>
      </c>
      <c r="C3988" s="3" t="str">
        <f>IFERROR(VLOOKUP(A3988,'Base Prueba'!A:C,3,),"NO REGISTRA")</f>
        <v>MARIA JOHANA ESCAMILLA MARTINEZ</v>
      </c>
      <c r="D3988" s="4" t="str">
        <f>IFERROR(VLOOKUP(A3988,'Base Prueba'!A:D,4,),"NO REGISTRA")</f>
        <v>PROMOTOR DE INFORMACIÓN</v>
      </c>
      <c r="E3988" s="5" t="str">
        <f>IFERROR(VLOOKUP(A3988,'Base Prueba'!A:E,5,),"NO REGISTRA")</f>
        <v>OFICINA DE MERCADEO</v>
      </c>
    </row>
    <row r="3989" spans="1:5" ht="15.75" x14ac:dyDescent="0.25">
      <c r="A3989" s="10">
        <v>1018413529</v>
      </c>
      <c r="B3989" s="2">
        <v>46094.762531944441</v>
      </c>
      <c r="C3989" s="3" t="str">
        <f>IFERROR(VLOOKUP(A3989,'Base Prueba'!A:C,3,),"NO REGISTRA")</f>
        <v>FRANCY STELLA CHARRY MORENO</v>
      </c>
      <c r="D3989" s="4" t="str">
        <f>IFERROR(VLOOKUP(A3989,'Base Prueba'!A:D,4,),"NO REGISTRA")</f>
        <v>PROMOTOR COMERCIAL DEL CEA</v>
      </c>
      <c r="E3989" s="5" t="str">
        <f>IFERROR(VLOOKUP(A3989,'Base Prueba'!A:E,5,),"NO REGISTRA")</f>
        <v>OFICINA DE MERCADEO</v>
      </c>
    </row>
    <row r="3990" spans="1:5" ht="15.75" x14ac:dyDescent="0.25">
      <c r="A3990" s="10">
        <v>80234243</v>
      </c>
      <c r="B3990" s="2">
        <v>46094.76430127315</v>
      </c>
      <c r="C3990" s="3" t="str">
        <f>IFERROR(VLOOKUP(A3990,'Base Prueba'!A:C,3,),"NO REGISTRA")</f>
        <v>ARGENIS MARTINEZ MARTINEZ</v>
      </c>
      <c r="D3990" s="4" t="str">
        <f>IFERROR(VLOOKUP(A3990,'Base Prueba'!A:D,4,),"NO REGISTRA")</f>
        <v>LIDER CALL CENTER</v>
      </c>
      <c r="E3990" s="5" t="str">
        <f>IFERROR(VLOOKUP(A3990,'Base Prueba'!A:E,5,),"NO REGISTRA")</f>
        <v>OFICINA DE MERCADEO</v>
      </c>
    </row>
    <row r="3991" spans="1:5" ht="15.75" x14ac:dyDescent="0.25">
      <c r="A3991" s="10">
        <v>52443092</v>
      </c>
      <c r="B3991" s="2">
        <v>46094.788662615741</v>
      </c>
      <c r="C3991" s="3" t="str">
        <f>IFERROR(VLOOKUP(A3991,'Base Prueba'!A:C,3,),"NO REGISTRA")</f>
        <v>LUZ MYRIAM SAAVEDRA CONTRERAS</v>
      </c>
      <c r="D3991" s="4" t="str">
        <f>IFERROR(VLOOKUP(A3991,'Base Prueba'!A:D,4,),"NO REGISTRA")</f>
        <v>AUXILIAR DE SERVICIOS</v>
      </c>
      <c r="E3991" s="5" t="str">
        <f>IFERROR(VLOOKUP(A3991,'Base Prueba'!A:E,5,),"NO REGISTRA")</f>
        <v>LOGISTICA Y SERVICIOS GENERALES</v>
      </c>
    </row>
    <row r="3992" spans="1:5" ht="15.75" x14ac:dyDescent="0.25">
      <c r="A3992" s="10">
        <v>1013616244</v>
      </c>
      <c r="B3992" s="2">
        <v>46095.304604282406</v>
      </c>
      <c r="C3992" s="3" t="str">
        <f>IFERROR(VLOOKUP(A3992,'Base Prueba'!A:C,3,),"NO REGISTRA")</f>
        <v>DIANA CAROLINA MARIN BETANCOURT</v>
      </c>
      <c r="D3992" s="4" t="str">
        <f>IFERROR(VLOOKUP(A3992,'Base Prueba'!A:D,4,),"NO REGISTRA")</f>
        <v>AUXILIAR ADMINISTRATIVO</v>
      </c>
      <c r="E3992" s="5" t="str">
        <f>IFERROR(VLOOKUP(A3992,'Base Prueba'!A:E,5,),"NO REGISTRA")</f>
        <v>REGISTRO Y CONTROL ACADEMICO</v>
      </c>
    </row>
    <row r="3993" spans="1:5" ht="15.75" x14ac:dyDescent="0.25">
      <c r="A3993" s="10">
        <v>1033709056</v>
      </c>
      <c r="B3993" s="2">
        <v>46095.355459143517</v>
      </c>
      <c r="C3993" s="3" t="str">
        <f>IFERROR(VLOOKUP(A3993,'Base Prueba'!A:C,3,),"NO REGISTRA")</f>
        <v>YEIMY ALEXANDRA RODRIGUEZ PALACIO</v>
      </c>
      <c r="D3993" s="4" t="str">
        <f>IFERROR(VLOOKUP(A3993,'Base Prueba'!A:D,4,),"NO REGISTRA")</f>
        <v>PROMOTOR CALL CENTER</v>
      </c>
      <c r="E3993" s="5" t="str">
        <f>IFERROR(VLOOKUP(A3993,'Base Prueba'!A:E,5,),"NO REGISTRA")</f>
        <v>OFICINA DE MERCADEO</v>
      </c>
    </row>
    <row r="3994" spans="1:5" ht="15.75" x14ac:dyDescent="0.25">
      <c r="A3994" s="10">
        <v>1018413529</v>
      </c>
      <c r="B3994" s="2">
        <v>46095.36161550926</v>
      </c>
      <c r="C3994" s="3" t="str">
        <f>IFERROR(VLOOKUP(A3994,'Base Prueba'!A:C,3,),"NO REGISTRA")</f>
        <v>FRANCY STELLA CHARRY MORENO</v>
      </c>
      <c r="D3994" s="4" t="str">
        <f>IFERROR(VLOOKUP(A3994,'Base Prueba'!A:D,4,),"NO REGISTRA")</f>
        <v>PROMOTOR COMERCIAL DEL CEA</v>
      </c>
      <c r="E3994" s="5" t="str">
        <f>IFERROR(VLOOKUP(A3994,'Base Prueba'!A:E,5,),"NO REGISTRA")</f>
        <v>OFICINA DE MERCADEO</v>
      </c>
    </row>
    <row r="3995" spans="1:5" ht="15.75" x14ac:dyDescent="0.25">
      <c r="A3995" s="10">
        <v>1000604979</v>
      </c>
      <c r="B3995" s="2">
        <v>46095.363427430559</v>
      </c>
      <c r="C3995" s="3" t="str">
        <f>IFERROR(VLOOKUP(A3995,'Base Prueba'!A:C,3,),"NO REGISTRA")</f>
        <v>JULIETH TATIANA PARDO PINTO</v>
      </c>
      <c r="D3995" s="4" t="str">
        <f>IFERROR(VLOOKUP(A3995,'Base Prueba'!A:D,4,),"NO REGISTRA")</f>
        <v>AUXILIAR JURIDICO</v>
      </c>
      <c r="E3995" s="5" t="str">
        <f>IFERROR(VLOOKUP(A3995,'Base Prueba'!A:E,5,),"NO REGISTRA")</f>
        <v>SECRETARIA GENERAL</v>
      </c>
    </row>
    <row r="3996" spans="1:5" ht="15.75" x14ac:dyDescent="0.25">
      <c r="A3996" s="10">
        <v>1018414290</v>
      </c>
      <c r="B3996" s="2">
        <v>46095.365305092593</v>
      </c>
      <c r="C3996" s="3" t="str">
        <f>IFERROR(VLOOKUP(A3996,'Base Prueba'!A:C,3,),"NO REGISTRA")</f>
        <v>AMANDA LISBETH RODRIGUEZ LEON</v>
      </c>
      <c r="D3996" s="4" t="str">
        <f>IFERROR(VLOOKUP(A3996,'Base Prueba'!A:D,4,),"NO REGISTRA")</f>
        <v>PROMOTOR CALL CENTER</v>
      </c>
      <c r="E3996" s="5" t="str">
        <f>IFERROR(VLOOKUP(A3996,'Base Prueba'!A:E,5,),"NO REGISTRA")</f>
        <v>OFICINA DE MERCADEO</v>
      </c>
    </row>
    <row r="3997" spans="1:5" ht="15.75" x14ac:dyDescent="0.25">
      <c r="A3997" s="10">
        <v>1024512067</v>
      </c>
      <c r="B3997" s="2">
        <v>46095.367247569447</v>
      </c>
      <c r="C3997" s="3" t="str">
        <f>IFERROR(VLOOKUP(A3997,'Base Prueba'!A:C,3,),"NO REGISTRA")</f>
        <v>CINDY GIOVANA SALGAR GOMEZ</v>
      </c>
      <c r="D3997" s="4" t="str">
        <f>IFERROR(VLOOKUP(A3997,'Base Prueba'!A:D,4,),"NO REGISTRA")</f>
        <v>COORDINADOR DEL SISTEMA INTEGRADO DE GESTION INSTITUCIONAL - SIGI</v>
      </c>
      <c r="E3997" s="5" t="str">
        <f>IFERROR(VLOOKUP(A3997,'Base Prueba'!A:E,5,),"NO REGISTRA")</f>
        <v>OFICINA DE PLANEACION Y GESTION DE LA CALIDAD</v>
      </c>
    </row>
    <row r="3998" spans="1:5" ht="15.75" x14ac:dyDescent="0.25">
      <c r="A3998" s="10">
        <v>52472386</v>
      </c>
      <c r="B3998" s="2">
        <v>46095.367303356485</v>
      </c>
      <c r="C3998" s="3" t="str">
        <f>IFERROR(VLOOKUP(A3998,'Base Prueba'!A:C,3,),"NO REGISTRA")</f>
        <v>ADRIANA MARCELA MORALES PARDO</v>
      </c>
      <c r="D3998" s="4" t="str">
        <f>IFERROR(VLOOKUP(A3998,'Base Prueba'!A:D,4,),"NO REGISTRA")</f>
        <v>PROMOTOR CALL CENTER</v>
      </c>
      <c r="E3998" s="5" t="str">
        <f>IFERROR(VLOOKUP(A3998,'Base Prueba'!A:E,5,),"NO REGISTRA")</f>
        <v>OFICINA DE MERCADEO</v>
      </c>
    </row>
    <row r="3999" spans="1:5" ht="15.75" x14ac:dyDescent="0.25">
      <c r="A3999" s="10">
        <v>1000046533</v>
      </c>
      <c r="B3999" s="2">
        <v>46095.369381828707</v>
      </c>
      <c r="C3999" s="3" t="str">
        <f>IFERROR(VLOOKUP(A3999,'Base Prueba'!A:C,3,),"NO REGISTRA")</f>
        <v>ERIKA JULIETH VALDERRAMA SANCHEZ</v>
      </c>
      <c r="D3999" s="4" t="str">
        <f>IFERROR(VLOOKUP(A3999,'Base Prueba'!A:D,4,),"NO REGISTRA")</f>
        <v>PROMOTOR CALL CENTER</v>
      </c>
      <c r="E3999" s="5" t="str">
        <f>IFERROR(VLOOKUP(A3999,'Base Prueba'!A:E,5,),"NO REGISTRA")</f>
        <v>OFICINA DE MERCADEO</v>
      </c>
    </row>
    <row r="4000" spans="1:5" ht="15.75" x14ac:dyDescent="0.25">
      <c r="A4000" s="10">
        <v>1000324729</v>
      </c>
      <c r="B4000" s="2">
        <v>46095.369770370373</v>
      </c>
      <c r="C4000" s="3" t="str">
        <f>IFERROR(VLOOKUP(A4000,'Base Prueba'!A:C,3,),"NO REGISTRA")</f>
        <v>ANYIE VANESSA TINOCO CAMACHO</v>
      </c>
      <c r="D4000" s="4" t="str">
        <f>IFERROR(VLOOKUP(A4000,'Base Prueba'!A:D,4,),"NO REGISTRA")</f>
        <v>LIDER DE REGISTRO Y CONTROL</v>
      </c>
      <c r="E4000" s="5" t="str">
        <f>IFERROR(VLOOKUP(A4000,'Base Prueba'!A:E,5,),"NO REGISTRA")</f>
        <v>REGISTRO Y CONTROL ACADEMICO</v>
      </c>
    </row>
    <row r="4001" spans="1:5" ht="15.75" x14ac:dyDescent="0.25">
      <c r="A4001" s="10">
        <v>1032407386</v>
      </c>
      <c r="B4001" s="2">
        <v>46095.370632986109</v>
      </c>
      <c r="C4001" s="3" t="str">
        <f>IFERROR(VLOOKUP(A4001,'Base Prueba'!A:C,3,),"NO REGISTRA")</f>
        <v>GINA PAOLA BAEZ GALVIS</v>
      </c>
      <c r="D4001" s="4" t="str">
        <f>IFERROR(VLOOKUP(A4001,'Base Prueba'!A:D,4,),"NO REGISTRA")</f>
        <v>PROMOTOR CALL CENTER</v>
      </c>
      <c r="E4001" s="5" t="str">
        <f>IFERROR(VLOOKUP(A4001,'Base Prueba'!A:E,5,),"NO REGISTRA")</f>
        <v>OFICINA DE MERCADEO</v>
      </c>
    </row>
    <row r="4002" spans="1:5" ht="15.75" x14ac:dyDescent="0.25">
      <c r="A4002" s="10">
        <v>1023961952</v>
      </c>
      <c r="B4002" s="2">
        <v>46095.371946527775</v>
      </c>
      <c r="C4002" s="3" t="str">
        <f>IFERROR(VLOOKUP(A4002,'Base Prueba'!A:C,3,),"NO REGISTRA")</f>
        <v>ALEJANDRO PINZON MERCHAN</v>
      </c>
      <c r="D4002" s="4" t="str">
        <f>IFERROR(VLOOKUP(A4002,'Base Prueba'!A:D,4,),"NO REGISTRA")</f>
        <v>PROMOTOR CALL CENTER</v>
      </c>
      <c r="E4002" s="5" t="str">
        <f>IFERROR(VLOOKUP(A4002,'Base Prueba'!A:E,5,),"NO REGISTRA")</f>
        <v>OFICINA DE MERCADEO</v>
      </c>
    </row>
    <row r="4003" spans="1:5" ht="15.75" x14ac:dyDescent="0.25">
      <c r="A4003" s="10">
        <v>1012426741</v>
      </c>
      <c r="B4003" s="2">
        <v>46095.373770949074</v>
      </c>
      <c r="C4003" s="3" t="str">
        <f>IFERROR(VLOOKUP(A4003,'Base Prueba'!A:C,3,),"NO REGISTRA")</f>
        <v>CRISTIAN FABIAN ROJAS SANCENO</v>
      </c>
      <c r="D4003" s="4" t="str">
        <f>IFERROR(VLOOKUP(A4003,'Base Prueba'!A:D,4,),"NO REGISTRA")</f>
        <v>AUXILIAR DE REINTEGROS</v>
      </c>
      <c r="E4003" s="5" t="str">
        <f>IFERROR(VLOOKUP(A4003,'Base Prueba'!A:E,5,),"NO REGISTRA")</f>
        <v>DIRECCION DE BIENESTAR INSTITUCIONAL</v>
      </c>
    </row>
    <row r="4004" spans="1:5" ht="15.75" x14ac:dyDescent="0.25">
      <c r="A4004" s="10">
        <v>1019105003</v>
      </c>
      <c r="B4004" s="2">
        <v>46095.374319907409</v>
      </c>
      <c r="C4004" s="3" t="str">
        <f>IFERROR(VLOOKUP(A4004,'Base Prueba'!A:C,3,),"NO REGISTRA")</f>
        <v>DAISY JULIETH GASPAR MORENO</v>
      </c>
      <c r="D4004" s="4" t="str">
        <f>IFERROR(VLOOKUP(A4004,'Base Prueba'!A:D,4,),"NO REGISTRA")</f>
        <v>PROMOTOR CALL CENTER</v>
      </c>
      <c r="E4004" s="5" t="str">
        <f>IFERROR(VLOOKUP(A4004,'Base Prueba'!A:E,5,),"NO REGISTRA")</f>
        <v>OFICINA DE MERCADEO</v>
      </c>
    </row>
    <row r="4005" spans="1:5" ht="15.75" x14ac:dyDescent="0.25">
      <c r="A4005" s="10">
        <v>80234243</v>
      </c>
      <c r="B4005" s="2">
        <v>46095.376650925929</v>
      </c>
      <c r="C4005" s="3" t="str">
        <f>IFERROR(VLOOKUP(A4005,'Base Prueba'!A:C,3,),"NO REGISTRA")</f>
        <v>ARGENIS MARTINEZ MARTINEZ</v>
      </c>
      <c r="D4005" s="4" t="str">
        <f>IFERROR(VLOOKUP(A4005,'Base Prueba'!A:D,4,),"NO REGISTRA")</f>
        <v>LIDER CALL CENTER</v>
      </c>
      <c r="E4005" s="5" t="str">
        <f>IFERROR(VLOOKUP(A4005,'Base Prueba'!A:E,5,),"NO REGISTRA")</f>
        <v>OFICINA DE MERCADEO</v>
      </c>
    </row>
    <row r="4006" spans="1:5" ht="15.75" x14ac:dyDescent="0.25">
      <c r="A4006" s="10">
        <v>1087121273</v>
      </c>
      <c r="B4006" s="2">
        <v>46095.376838773147</v>
      </c>
      <c r="C4006" s="3" t="str">
        <f>IFERROR(VLOOKUP(A4006,'Base Prueba'!A:C,3,),"NO REGISTRA")</f>
        <v>MAYRA ALEJANDRA CASTILLO ARBOLEDA</v>
      </c>
      <c r="D4006" s="4" t="str">
        <f>IFERROR(VLOOKUP(A4006,'Base Prueba'!A:D,4,),"NO REGISTRA")</f>
        <v>APOYO INTEGRAL DE MERCADEO</v>
      </c>
      <c r="E4006" s="5" t="str">
        <f>IFERROR(VLOOKUP(A4006,'Base Prueba'!A:E,5,),"NO REGISTRA")</f>
        <v>CENTRO DE GESTION DOCUMENTAL</v>
      </c>
    </row>
    <row r="4007" spans="1:5" ht="15.75" x14ac:dyDescent="0.25">
      <c r="A4007" s="10">
        <v>52175674</v>
      </c>
      <c r="B4007" s="2">
        <v>46095.377353240743</v>
      </c>
      <c r="C4007" s="3" t="str">
        <f>IFERROR(VLOOKUP(A4007,'Base Prueba'!A:C,3,),"NO REGISTRA")</f>
        <v>LUZ YANETH GOMEZ AREVALO</v>
      </c>
      <c r="D4007" s="4" t="str">
        <f>IFERROR(VLOOKUP(A4007,'Base Prueba'!A:D,4,),"NO REGISTRA")</f>
        <v>COORDINADORA DE ADMISIONES</v>
      </c>
      <c r="E4007" s="5" t="str">
        <f>IFERROR(VLOOKUP(A4007,'Base Prueba'!A:E,5,),"NO REGISTRA")</f>
        <v>OFICINA DE MERCADEO</v>
      </c>
    </row>
    <row r="4008" spans="1:5" ht="15.75" x14ac:dyDescent="0.25">
      <c r="A4008" s="10">
        <v>1014308296</v>
      </c>
      <c r="B4008" s="2">
        <v>46095.378236226854</v>
      </c>
      <c r="C4008" s="3" t="str">
        <f>IFERROR(VLOOKUP(A4008,'Base Prueba'!A:C,3,),"NO REGISTRA")</f>
        <v>DARLENE YULIANA MORENO CELEITA</v>
      </c>
      <c r="D4008" s="4" t="str">
        <f>IFERROR(VLOOKUP(A4008,'Base Prueba'!A:D,4,),"NO REGISTRA")</f>
        <v>CAJERO PRINCIPAL</v>
      </c>
      <c r="E4008" s="5" t="str">
        <f>IFERROR(VLOOKUP(A4008,'Base Prueba'!A:E,5,),"NO REGISTRA")</f>
        <v>AREA FINANCIERA Y CONTABLE</v>
      </c>
    </row>
    <row r="4009" spans="1:5" ht="15.75" x14ac:dyDescent="0.25">
      <c r="A4009" s="10">
        <v>53089882</v>
      </c>
      <c r="B4009" s="2">
        <v>46095.379504629629</v>
      </c>
      <c r="C4009" s="3" t="str">
        <f>IFERROR(VLOOKUP(A4009,'Base Prueba'!A:C,3,),"NO REGISTRA")</f>
        <v>MARIA JOHANA ESCAMILLA MARTINEZ</v>
      </c>
      <c r="D4009" s="4" t="str">
        <f>IFERROR(VLOOKUP(A4009,'Base Prueba'!A:D,4,),"NO REGISTRA")</f>
        <v>PROMOTOR DE INFORMACIÓN</v>
      </c>
      <c r="E4009" s="5" t="str">
        <f>IFERROR(VLOOKUP(A4009,'Base Prueba'!A:E,5,),"NO REGISTRA")</f>
        <v>OFICINA DE MERCADEO</v>
      </c>
    </row>
    <row r="4010" spans="1:5" ht="15.75" x14ac:dyDescent="0.25">
      <c r="A4010" s="10">
        <v>28798349</v>
      </c>
      <c r="B4010" s="2">
        <v>46095.379527314813</v>
      </c>
      <c r="C4010" s="3" t="str">
        <f>IFERROR(VLOOKUP(A4010,'Base Prueba'!A:C,3,),"NO REGISTRA")</f>
        <v>MARTHA ISABEL TOVAR WILLIAMS</v>
      </c>
      <c r="D4010" s="4" t="str">
        <f>IFERROR(VLOOKUP(A4010,'Base Prueba'!A:D,4,),"NO REGISTRA")</f>
        <v>PROMOTOR CALL CENTER</v>
      </c>
      <c r="E4010" s="5" t="str">
        <f>IFERROR(VLOOKUP(A4010,'Base Prueba'!A:E,5,),"NO REGISTRA")</f>
        <v>OFICINA DE MERCADEO</v>
      </c>
    </row>
    <row r="4011" spans="1:5" ht="15.75" x14ac:dyDescent="0.25">
      <c r="A4011" s="10">
        <v>52764929</v>
      </c>
      <c r="B4011" s="2">
        <v>46095.392998263887</v>
      </c>
      <c r="C4011" s="3" t="str">
        <f>IFERROR(VLOOKUP(A4011,'Base Prueba'!A:C,3,),"NO REGISTRA")</f>
        <v>GUERLY YOHANA DURAN RIVERA</v>
      </c>
      <c r="D4011" s="4" t="str">
        <f>IFERROR(VLOOKUP(A4011,'Base Prueba'!A:D,4,),"NO REGISTRA")</f>
        <v>LIDER DE VINCULACION COLEGIOS</v>
      </c>
      <c r="E4011" s="5" t="str">
        <f>IFERROR(VLOOKUP(A4011,'Base Prueba'!A:E,5,),"NO REGISTRA")</f>
        <v>OFICINA DE MERCADEO</v>
      </c>
    </row>
    <row r="4012" spans="1:5" ht="15.75" x14ac:dyDescent="0.25">
      <c r="A4012" s="10">
        <v>1014196857</v>
      </c>
      <c r="B4012" s="2">
        <v>46095.420953356479</v>
      </c>
      <c r="C4012" s="3" t="str">
        <f>IFERROR(VLOOKUP(A4012,'Base Prueba'!A:C,3,),"NO REGISTRA")</f>
        <v>CARLOS ANDRES JIMENEZ PARDO</v>
      </c>
      <c r="D4012" s="4" t="str">
        <f>IFERROR(VLOOKUP(A4012,'Base Prueba'!A:D,4,),"NO REGISTRA")</f>
        <v>COORDINADOR DE MARKETING DIGITAL</v>
      </c>
      <c r="E4012" s="5" t="str">
        <f>IFERROR(VLOOKUP(A4012,'Base Prueba'!A:E,5,),"NO REGISTRA")</f>
        <v>OFICINA DE MERCADEO</v>
      </c>
    </row>
    <row r="4013" spans="1:5" ht="15.75" x14ac:dyDescent="0.25">
      <c r="A4013" s="10">
        <v>52443092</v>
      </c>
      <c r="B4013" s="2">
        <v>46095.500586689814</v>
      </c>
      <c r="C4013" s="3" t="str">
        <f>IFERROR(VLOOKUP(A4013,'Base Prueba'!A:C,3,),"NO REGISTRA")</f>
        <v>LUZ MYRIAM SAAVEDRA CONTRERAS</v>
      </c>
      <c r="D4013" s="4" t="str">
        <f>IFERROR(VLOOKUP(A4013,'Base Prueba'!A:D,4,),"NO REGISTRA")</f>
        <v>AUXILIAR DE SERVICIOS</v>
      </c>
      <c r="E4013" s="5" t="str">
        <f>IFERROR(VLOOKUP(A4013,'Base Prueba'!A:E,5,),"NO REGISTRA")</f>
        <v>LOGISTICA Y SERVICIOS GENERALES</v>
      </c>
    </row>
    <row r="4014" spans="1:5" ht="15.75" x14ac:dyDescent="0.25">
      <c r="A4014" s="10">
        <v>1012426741</v>
      </c>
      <c r="B4014" s="2">
        <v>46095.501699652777</v>
      </c>
      <c r="C4014" s="3" t="str">
        <f>IFERROR(VLOOKUP(A4014,'Base Prueba'!A:C,3,),"NO REGISTRA")</f>
        <v>CRISTIAN FABIAN ROJAS SANCENO</v>
      </c>
      <c r="D4014" s="4" t="str">
        <f>IFERROR(VLOOKUP(A4014,'Base Prueba'!A:D,4,),"NO REGISTRA")</f>
        <v>AUXILIAR DE REINTEGROS</v>
      </c>
      <c r="E4014" s="5" t="str">
        <f>IFERROR(VLOOKUP(A4014,'Base Prueba'!A:E,5,),"NO REGISTRA")</f>
        <v>DIRECCION DE BIENESTAR INSTITUCIONAL</v>
      </c>
    </row>
    <row r="4015" spans="1:5" ht="15.75" x14ac:dyDescent="0.25">
      <c r="A4015" s="10">
        <v>1014308296</v>
      </c>
      <c r="B4015" s="2">
        <v>46095.501823032406</v>
      </c>
      <c r="C4015" s="3" t="str">
        <f>IFERROR(VLOOKUP(A4015,'Base Prueba'!A:C,3,),"NO REGISTRA")</f>
        <v>DARLENE YULIANA MORENO CELEITA</v>
      </c>
      <c r="D4015" s="4" t="str">
        <f>IFERROR(VLOOKUP(A4015,'Base Prueba'!A:D,4,),"NO REGISTRA")</f>
        <v>CAJERO PRINCIPAL</v>
      </c>
      <c r="E4015" s="5" t="str">
        <f>IFERROR(VLOOKUP(A4015,'Base Prueba'!A:E,5,),"NO REGISTRA")</f>
        <v>AREA FINANCIERA Y CONTABLE</v>
      </c>
    </row>
    <row r="4016" spans="1:5" ht="15.75" x14ac:dyDescent="0.25">
      <c r="A4016" s="10">
        <v>1000324729</v>
      </c>
      <c r="B4016" s="2">
        <v>46095.501874884256</v>
      </c>
      <c r="C4016" s="3" t="str">
        <f>IFERROR(VLOOKUP(A4016,'Base Prueba'!A:C,3,),"NO REGISTRA")</f>
        <v>ANYIE VANESSA TINOCO CAMACHO</v>
      </c>
      <c r="D4016" s="4" t="str">
        <f>IFERROR(VLOOKUP(A4016,'Base Prueba'!A:D,4,),"NO REGISTRA")</f>
        <v>LIDER DE REGISTRO Y CONTROL</v>
      </c>
      <c r="E4016" s="5" t="str">
        <f>IFERROR(VLOOKUP(A4016,'Base Prueba'!A:E,5,),"NO REGISTRA")</f>
        <v>REGISTRO Y CONTROL ACADEMICO</v>
      </c>
    </row>
    <row r="4017" spans="1:5" ht="15.75" x14ac:dyDescent="0.25">
      <c r="A4017" s="10">
        <v>1000046533</v>
      </c>
      <c r="B4017" s="2">
        <v>46095.502503587966</v>
      </c>
      <c r="C4017" s="3" t="str">
        <f>IFERROR(VLOOKUP(A4017,'Base Prueba'!A:C,3,),"NO REGISTRA")</f>
        <v>ERIKA JULIETH VALDERRAMA SANCHEZ</v>
      </c>
      <c r="D4017" s="4" t="str">
        <f>IFERROR(VLOOKUP(A4017,'Base Prueba'!A:D,4,),"NO REGISTRA")</f>
        <v>PROMOTOR CALL CENTER</v>
      </c>
      <c r="E4017" s="5" t="str">
        <f>IFERROR(VLOOKUP(A4017,'Base Prueba'!A:E,5,),"NO REGISTRA")</f>
        <v>OFICINA DE MERCADEO</v>
      </c>
    </row>
    <row r="4018" spans="1:5" ht="15.75" x14ac:dyDescent="0.25">
      <c r="A4018" s="10">
        <v>1019105003</v>
      </c>
      <c r="B4018" s="2">
        <v>46095.506084490742</v>
      </c>
      <c r="C4018" s="3" t="str">
        <f>IFERROR(VLOOKUP(A4018,'Base Prueba'!A:C,3,),"NO REGISTRA")</f>
        <v>DAISY JULIETH GASPAR MORENO</v>
      </c>
      <c r="D4018" s="4" t="str">
        <f>IFERROR(VLOOKUP(A4018,'Base Prueba'!A:D,4,),"NO REGISTRA")</f>
        <v>PROMOTOR CALL CENTER</v>
      </c>
      <c r="E4018" s="5" t="str">
        <f>IFERROR(VLOOKUP(A4018,'Base Prueba'!A:E,5,),"NO REGISTRA")</f>
        <v>OFICINA DE MERCADEO</v>
      </c>
    </row>
    <row r="4019" spans="1:5" ht="15.75" x14ac:dyDescent="0.25">
      <c r="A4019" s="10">
        <v>1032407386</v>
      </c>
      <c r="B4019" s="2">
        <v>46095.507940046293</v>
      </c>
      <c r="C4019" s="3" t="str">
        <f>IFERROR(VLOOKUP(A4019,'Base Prueba'!A:C,3,),"NO REGISTRA")</f>
        <v>GINA PAOLA BAEZ GALVIS</v>
      </c>
      <c r="D4019" s="4" t="str">
        <f>IFERROR(VLOOKUP(A4019,'Base Prueba'!A:D,4,),"NO REGISTRA")</f>
        <v>PROMOTOR CALL CENTER</v>
      </c>
      <c r="E4019" s="5" t="str">
        <f>IFERROR(VLOOKUP(A4019,'Base Prueba'!A:E,5,),"NO REGISTRA")</f>
        <v>OFICINA DE MERCADEO</v>
      </c>
    </row>
    <row r="4020" spans="1:5" ht="15.75" x14ac:dyDescent="0.25">
      <c r="A4020" s="10">
        <v>1018414290</v>
      </c>
      <c r="B4020" s="2">
        <v>46095.507977083333</v>
      </c>
      <c r="C4020" s="3" t="str">
        <f>IFERROR(VLOOKUP(A4020,'Base Prueba'!A:C,3,),"NO REGISTRA")</f>
        <v>AMANDA LISBETH RODRIGUEZ LEON</v>
      </c>
      <c r="D4020" s="4" t="str">
        <f>IFERROR(VLOOKUP(A4020,'Base Prueba'!A:D,4,),"NO REGISTRA")</f>
        <v>PROMOTOR CALL CENTER</v>
      </c>
      <c r="E4020" s="5" t="str">
        <f>IFERROR(VLOOKUP(A4020,'Base Prueba'!A:E,5,),"NO REGISTRA")</f>
        <v>OFICINA DE MERCADEO</v>
      </c>
    </row>
    <row r="4021" spans="1:5" ht="15.75" x14ac:dyDescent="0.25">
      <c r="A4021" s="10">
        <v>1033709056</v>
      </c>
      <c r="B4021" s="2">
        <v>46095.510204050923</v>
      </c>
      <c r="C4021" s="3" t="str">
        <f>IFERROR(VLOOKUP(A4021,'Base Prueba'!A:C,3,),"NO REGISTRA")</f>
        <v>YEIMY ALEXANDRA RODRIGUEZ PALACIO</v>
      </c>
      <c r="D4021" s="4" t="str">
        <f>IFERROR(VLOOKUP(A4021,'Base Prueba'!A:D,4,),"NO REGISTRA")</f>
        <v>PROMOTOR CALL CENTER</v>
      </c>
      <c r="E4021" s="5" t="str">
        <f>IFERROR(VLOOKUP(A4021,'Base Prueba'!A:E,5,),"NO REGISTRA")</f>
        <v>OFICINA DE MERCADEO</v>
      </c>
    </row>
    <row r="4022" spans="1:5" ht="15.75" x14ac:dyDescent="0.25">
      <c r="A4022" s="10">
        <v>53089882</v>
      </c>
      <c r="B4022" s="2">
        <v>46095.510253703702</v>
      </c>
      <c r="C4022" s="3" t="str">
        <f>IFERROR(VLOOKUP(A4022,'Base Prueba'!A:C,3,),"NO REGISTRA")</f>
        <v>MARIA JOHANA ESCAMILLA MARTINEZ</v>
      </c>
      <c r="D4022" s="4" t="str">
        <f>IFERROR(VLOOKUP(A4022,'Base Prueba'!A:D,4,),"NO REGISTRA")</f>
        <v>PROMOTOR DE INFORMACIÓN</v>
      </c>
      <c r="E4022" s="5" t="str">
        <f>IFERROR(VLOOKUP(A4022,'Base Prueba'!A:E,5,),"NO REGISTRA")</f>
        <v>OFICINA DE MERCADEO</v>
      </c>
    </row>
    <row r="4023" spans="1:5" ht="15.75" x14ac:dyDescent="0.25">
      <c r="A4023" s="10">
        <v>52175674</v>
      </c>
      <c r="B4023" s="2">
        <v>46095.51027939815</v>
      </c>
      <c r="C4023" s="3" t="str">
        <f>IFERROR(VLOOKUP(A4023,'Base Prueba'!A:C,3,),"NO REGISTRA")</f>
        <v>LUZ YANETH GOMEZ AREVALO</v>
      </c>
      <c r="D4023" s="4" t="str">
        <f>IFERROR(VLOOKUP(A4023,'Base Prueba'!A:D,4,),"NO REGISTRA")</f>
        <v>COORDINADORA DE ADMISIONES</v>
      </c>
      <c r="E4023" s="5" t="str">
        <f>IFERROR(VLOOKUP(A4023,'Base Prueba'!A:E,5,),"NO REGISTRA")</f>
        <v>OFICINA DE MERCADEO</v>
      </c>
    </row>
    <row r="4024" spans="1:5" ht="15.75" x14ac:dyDescent="0.25">
      <c r="A4024" s="10">
        <v>1023961952</v>
      </c>
      <c r="B4024" s="2">
        <v>46095.513382060184</v>
      </c>
      <c r="C4024" s="3" t="str">
        <f>IFERROR(VLOOKUP(A4024,'Base Prueba'!A:C,3,),"NO REGISTRA")</f>
        <v>ALEJANDRO PINZON MERCHAN</v>
      </c>
      <c r="D4024" s="4" t="str">
        <f>IFERROR(VLOOKUP(A4024,'Base Prueba'!A:D,4,),"NO REGISTRA")</f>
        <v>PROMOTOR CALL CENTER</v>
      </c>
      <c r="E4024" s="5" t="str">
        <f>IFERROR(VLOOKUP(A4024,'Base Prueba'!A:E,5,),"NO REGISTRA")</f>
        <v>OFICINA DE MERCADEO</v>
      </c>
    </row>
    <row r="4025" spans="1:5" ht="15.75" x14ac:dyDescent="0.25">
      <c r="A4025" s="10">
        <v>28798349</v>
      </c>
      <c r="B4025" s="2">
        <v>46095.513454050924</v>
      </c>
      <c r="C4025" s="3" t="str">
        <f>IFERROR(VLOOKUP(A4025,'Base Prueba'!A:C,3,),"NO REGISTRA")</f>
        <v>MARTHA ISABEL TOVAR WILLIAMS</v>
      </c>
      <c r="D4025" s="4" t="str">
        <f>IFERROR(VLOOKUP(A4025,'Base Prueba'!A:D,4,),"NO REGISTRA")</f>
        <v>PROMOTOR CALL CENTER</v>
      </c>
      <c r="E4025" s="5" t="str">
        <f>IFERROR(VLOOKUP(A4025,'Base Prueba'!A:E,5,),"NO REGISTRA")</f>
        <v>OFICINA DE MERCADEO</v>
      </c>
    </row>
    <row r="4026" spans="1:5" ht="15.75" x14ac:dyDescent="0.25">
      <c r="A4026" s="10">
        <v>52472386</v>
      </c>
      <c r="B4026" s="2">
        <v>46095.513874884258</v>
      </c>
      <c r="C4026" s="3" t="str">
        <f>IFERROR(VLOOKUP(A4026,'Base Prueba'!A:C,3,),"NO REGISTRA")</f>
        <v>ADRIANA MARCELA MORALES PARDO</v>
      </c>
      <c r="D4026" s="4" t="str">
        <f>IFERROR(VLOOKUP(A4026,'Base Prueba'!A:D,4,),"NO REGISTRA")</f>
        <v>PROMOTOR CALL CENTER</v>
      </c>
      <c r="E4026" s="5" t="str">
        <f>IFERROR(VLOOKUP(A4026,'Base Prueba'!A:E,5,),"NO REGISTRA")</f>
        <v>OFICINA DE MERCADEO</v>
      </c>
    </row>
    <row r="4027" spans="1:5" ht="15.75" x14ac:dyDescent="0.25">
      <c r="A4027" s="10">
        <v>1018413529</v>
      </c>
      <c r="B4027" s="2">
        <v>46095.514438541664</v>
      </c>
      <c r="C4027" s="3" t="str">
        <f>IFERROR(VLOOKUP(A4027,'Base Prueba'!A:C,3,),"NO REGISTRA")</f>
        <v>FRANCY STELLA CHARRY MORENO</v>
      </c>
      <c r="D4027" s="4" t="str">
        <f>IFERROR(VLOOKUP(A4027,'Base Prueba'!A:D,4,),"NO REGISTRA")</f>
        <v>PROMOTOR COMERCIAL DEL CEA</v>
      </c>
      <c r="E4027" s="5" t="str">
        <f>IFERROR(VLOOKUP(A4027,'Base Prueba'!A:E,5,),"NO REGISTRA")</f>
        <v>OFICINA DE MERCADEO</v>
      </c>
    </row>
    <row r="4028" spans="1:5" ht="15.75" x14ac:dyDescent="0.25">
      <c r="A4028" s="10">
        <v>1000604979</v>
      </c>
      <c r="B4028" s="2">
        <v>46095.515114467591</v>
      </c>
      <c r="C4028" s="3" t="str">
        <f>IFERROR(VLOOKUP(A4028,'Base Prueba'!A:C,3,),"NO REGISTRA")</f>
        <v>JULIETH TATIANA PARDO PINTO</v>
      </c>
      <c r="D4028" s="4" t="str">
        <f>IFERROR(VLOOKUP(A4028,'Base Prueba'!A:D,4,),"NO REGISTRA")</f>
        <v>AUXILIAR JURIDICO</v>
      </c>
      <c r="E4028" s="5" t="str">
        <f>IFERROR(VLOOKUP(A4028,'Base Prueba'!A:E,5,),"NO REGISTRA")</f>
        <v>SECRETARIA GENERAL</v>
      </c>
    </row>
    <row r="4029" spans="1:5" ht="15.75" x14ac:dyDescent="0.25">
      <c r="A4029" s="10">
        <v>52764929</v>
      </c>
      <c r="B4029" s="2">
        <v>46095.517312962962</v>
      </c>
      <c r="C4029" s="3" t="str">
        <f>IFERROR(VLOOKUP(A4029,'Base Prueba'!A:C,3,),"NO REGISTRA")</f>
        <v>GUERLY YOHANA DURAN RIVERA</v>
      </c>
      <c r="D4029" s="4" t="str">
        <f>IFERROR(VLOOKUP(A4029,'Base Prueba'!A:D,4,),"NO REGISTRA")</f>
        <v>LIDER DE VINCULACION COLEGIOS</v>
      </c>
      <c r="E4029" s="5" t="str">
        <f>IFERROR(VLOOKUP(A4029,'Base Prueba'!A:E,5,),"NO REGISTRA")</f>
        <v>OFICINA DE MERCADEO</v>
      </c>
    </row>
    <row r="4030" spans="1:5" ht="15.75" x14ac:dyDescent="0.25">
      <c r="A4030" s="10">
        <v>1024512067</v>
      </c>
      <c r="B4030" s="2">
        <v>46095.54621782407</v>
      </c>
      <c r="C4030" s="3" t="str">
        <f>IFERROR(VLOOKUP(A4030,'Base Prueba'!A:C,3,),"NO REGISTRA")</f>
        <v>CINDY GIOVANA SALGAR GOMEZ</v>
      </c>
      <c r="D4030" s="4" t="str">
        <f>IFERROR(VLOOKUP(A4030,'Base Prueba'!A:D,4,),"NO REGISTRA")</f>
        <v>COORDINADOR DEL SISTEMA INTEGRADO DE GESTION INSTITUCIONAL - SIGI</v>
      </c>
      <c r="E4030" s="5" t="str">
        <f>IFERROR(VLOOKUP(A4030,'Base Prueba'!A:E,5,),"NO REGISTRA")</f>
        <v>OFICINA DE PLANEACION Y GESTION DE LA CALIDAD</v>
      </c>
    </row>
    <row r="4031" spans="1:5" ht="15.75" x14ac:dyDescent="0.25">
      <c r="A4031" s="10">
        <v>1087121273</v>
      </c>
      <c r="B4031" s="2">
        <v>46095.547643055557</v>
      </c>
      <c r="C4031" s="3" t="str">
        <f>IFERROR(VLOOKUP(A4031,'Base Prueba'!A:C,3,),"NO REGISTRA")</f>
        <v>MAYRA ALEJANDRA CASTILLO ARBOLEDA</v>
      </c>
      <c r="D4031" s="4" t="str">
        <f>IFERROR(VLOOKUP(A4031,'Base Prueba'!A:D,4,),"NO REGISTRA")</f>
        <v>APOYO INTEGRAL DE MERCADEO</v>
      </c>
      <c r="E4031" s="5" t="str">
        <f>IFERROR(VLOOKUP(A4031,'Base Prueba'!A:E,5,),"NO REGISTRA")</f>
        <v>CENTRO DE GESTION DOCUMENTAL</v>
      </c>
    </row>
    <row r="4032" spans="1:5" ht="15.75" x14ac:dyDescent="0.25">
      <c r="A4032" s="10">
        <v>80234243</v>
      </c>
      <c r="B4032" s="2">
        <v>46095.553706944447</v>
      </c>
      <c r="C4032" s="3" t="str">
        <f>IFERROR(VLOOKUP(A4032,'Base Prueba'!A:C,3,),"NO REGISTRA")</f>
        <v>ARGENIS MARTINEZ MARTINEZ</v>
      </c>
      <c r="D4032" s="4" t="str">
        <f>IFERROR(VLOOKUP(A4032,'Base Prueba'!A:D,4,),"NO REGISTRA")</f>
        <v>LIDER CALL CENTER</v>
      </c>
      <c r="E4032" s="5" t="str">
        <f>IFERROR(VLOOKUP(A4032,'Base Prueba'!A:E,5,),"NO REGISTRA")</f>
        <v>OFICINA DE MERCADEO</v>
      </c>
    </row>
    <row r="4033" spans="1:5" ht="15.75" x14ac:dyDescent="0.25">
      <c r="A4033" s="10">
        <v>1013616244</v>
      </c>
      <c r="B4033" s="2">
        <v>46095.580923148147</v>
      </c>
      <c r="C4033" s="3" t="str">
        <f>IFERROR(VLOOKUP(A4033,'Base Prueba'!A:C,3,),"NO REGISTRA")</f>
        <v>DIANA CAROLINA MARIN BETANCOURT</v>
      </c>
      <c r="D4033" s="4" t="str">
        <f>IFERROR(VLOOKUP(A4033,'Base Prueba'!A:D,4,),"NO REGISTRA")</f>
        <v>AUXILIAR ADMINISTRATIVO</v>
      </c>
      <c r="E4033" s="5" t="str">
        <f>IFERROR(VLOOKUP(A4033,'Base Prueba'!A:E,5,),"NO REGISTRA")</f>
        <v>REGISTRO Y CONTROL ACADEMICO</v>
      </c>
    </row>
    <row r="4034" spans="1:5" ht="15.75" x14ac:dyDescent="0.25">
      <c r="A4034" s="10">
        <v>1087121273</v>
      </c>
      <c r="B4034" s="2">
        <v>46097.310427199074</v>
      </c>
      <c r="C4034" s="3" t="str">
        <f>IFERROR(VLOOKUP(A4034,'Base Prueba'!A:C,3,),"NO REGISTRA")</f>
        <v>MAYRA ALEJANDRA CASTILLO ARBOLEDA</v>
      </c>
      <c r="D4034" s="4" t="str">
        <f>IFERROR(VLOOKUP(A4034,'Base Prueba'!A:D,4,),"NO REGISTRA")</f>
        <v>APOYO INTEGRAL DE MERCADEO</v>
      </c>
      <c r="E4034" s="5" t="str">
        <f>IFERROR(VLOOKUP(A4034,'Base Prueba'!A:E,5,),"NO REGISTRA")</f>
        <v>CENTRO DE GESTION DOCUMENTAL</v>
      </c>
    </row>
    <row r="4035" spans="1:5" ht="15.75" x14ac:dyDescent="0.25">
      <c r="A4035" s="10">
        <v>1013616244</v>
      </c>
      <c r="B4035" s="2">
        <v>46097.316360648147</v>
      </c>
      <c r="C4035" s="3" t="str">
        <f>IFERROR(VLOOKUP(A4035,'Base Prueba'!A:C,3,),"NO REGISTRA")</f>
        <v>DIANA CAROLINA MARIN BETANCOURT</v>
      </c>
      <c r="D4035" s="4" t="str">
        <f>IFERROR(VLOOKUP(A4035,'Base Prueba'!A:D,4,),"NO REGISTRA")</f>
        <v>AUXILIAR ADMINISTRATIVO</v>
      </c>
      <c r="E4035" s="5" t="str">
        <f>IFERROR(VLOOKUP(A4035,'Base Prueba'!A:E,5,),"NO REGISTRA")</f>
        <v>REGISTRO Y CONTROL ACADEMICO</v>
      </c>
    </row>
    <row r="4036" spans="1:5" ht="15.75" x14ac:dyDescent="0.25">
      <c r="A4036" s="10">
        <v>1000324729</v>
      </c>
      <c r="B4036" s="2">
        <v>46097.317940972222</v>
      </c>
      <c r="C4036" s="3" t="str">
        <f>IFERROR(VLOOKUP(A4036,'Base Prueba'!A:C,3,),"NO REGISTRA")</f>
        <v>ANYIE VANESSA TINOCO CAMACHO</v>
      </c>
      <c r="D4036" s="4" t="str">
        <f>IFERROR(VLOOKUP(A4036,'Base Prueba'!A:D,4,),"NO REGISTRA")</f>
        <v>LIDER DE REGISTRO Y CONTROL</v>
      </c>
      <c r="E4036" s="5" t="str">
        <f>IFERROR(VLOOKUP(A4036,'Base Prueba'!A:E,5,),"NO REGISTRA")</f>
        <v>REGISTRO Y CONTROL ACADEMICO</v>
      </c>
    </row>
    <row r="4037" spans="1:5" ht="15.75" x14ac:dyDescent="0.25">
      <c r="A4037" s="10">
        <v>1010184333</v>
      </c>
      <c r="B4037" s="2">
        <v>46097.329142592593</v>
      </c>
      <c r="C4037" s="3" t="str">
        <f>IFERROR(VLOOKUP(A4037,'Base Prueba'!A:C,3,),"NO REGISTRA")</f>
        <v>AKON ANDRES GARZON ALVAREZ</v>
      </c>
      <c r="D4037" s="4" t="str">
        <f>IFERROR(VLOOKUP(A4037,'Base Prueba'!A:D,4,),"NO REGISTRA")</f>
        <v>APRENDIZ UNIVERSITARIO</v>
      </c>
      <c r="E4037" s="5" t="str">
        <f>IFERROR(VLOOKUP(A4037,'Base Prueba'!A:E,5,),"NO REGISTRA")</f>
        <v>SECRETARIA GENERAL</v>
      </c>
    </row>
    <row r="4038" spans="1:5" ht="15.75" x14ac:dyDescent="0.25">
      <c r="A4038" s="10">
        <v>1014308296</v>
      </c>
      <c r="B4038" s="2">
        <v>46097.330234143519</v>
      </c>
      <c r="C4038" s="3" t="str">
        <f>IFERROR(VLOOKUP(A4038,'Base Prueba'!A:C,3,),"NO REGISTRA")</f>
        <v>DARLENE YULIANA MORENO CELEITA</v>
      </c>
      <c r="D4038" s="4" t="str">
        <f>IFERROR(VLOOKUP(A4038,'Base Prueba'!A:D,4,),"NO REGISTRA")</f>
        <v>CAJERO PRINCIPAL</v>
      </c>
      <c r="E4038" s="5" t="str">
        <f>IFERROR(VLOOKUP(A4038,'Base Prueba'!A:E,5,),"NO REGISTRA")</f>
        <v>AREA FINANCIERA Y CONTABLE</v>
      </c>
    </row>
    <row r="4039" spans="1:5" ht="15.75" x14ac:dyDescent="0.25">
      <c r="A4039" s="10">
        <v>1049644802</v>
      </c>
      <c r="B4039" s="2">
        <v>46097.334440393519</v>
      </c>
      <c r="C4039" s="3" t="str">
        <f>IFERROR(VLOOKUP(A4039,'Base Prueba'!A:C,3,),"NO REGISTRA")</f>
        <v>DANIELA ALEXANDRA CIPAMOCHA BOSIGA</v>
      </c>
      <c r="D4039" s="4" t="str">
        <f>IFERROR(VLOOKUP(A4039,'Base Prueba'!A:D,4,),"NO REGISTRA")</f>
        <v>LIDER DE DATOS Y SERVICIOS</v>
      </c>
      <c r="E4039" s="5" t="str">
        <f>IFERROR(VLOOKUP(A4039,'Base Prueba'!A:E,5,),"NO REGISTRA")</f>
        <v>OFICINA DE PLANEACION Y GESTION DE LA CALIDAD</v>
      </c>
    </row>
    <row r="4040" spans="1:5" ht="15.75" x14ac:dyDescent="0.25">
      <c r="A4040" s="10">
        <v>1031802160</v>
      </c>
      <c r="B4040" s="2">
        <v>46097.335807986114</v>
      </c>
      <c r="C4040" s="3" t="str">
        <f>IFERROR(VLOOKUP(A4040,'Base Prueba'!A:C,3,),"NO REGISTRA")</f>
        <v>LUISA MARIA MAHECHA SOTOMAYOR</v>
      </c>
      <c r="D4040" s="4" t="str">
        <f>IFERROR(VLOOKUP(A4040,'Base Prueba'!A:D,4,),"NO REGISTRA")</f>
        <v>APRENDIZ UNIVERSITARIO</v>
      </c>
      <c r="E4040" s="5" t="str">
        <f>IFERROR(VLOOKUP(A4040,'Base Prueba'!A:E,5,),"NO REGISTRA")</f>
        <v>OFICINA DE MERCADEO</v>
      </c>
    </row>
    <row r="4041" spans="1:5" ht="15.75" x14ac:dyDescent="0.25">
      <c r="A4041" s="10">
        <v>80238161</v>
      </c>
      <c r="B4041" s="2">
        <v>46097.336030555554</v>
      </c>
      <c r="C4041" s="3" t="str">
        <f>IFERROR(VLOOKUP(A4041,'Base Prueba'!A:C,3,),"NO REGISTRA")</f>
        <v>GERMAN CARRANZA ESPITIA</v>
      </c>
      <c r="D4041" s="4" t="str">
        <f>IFERROR(VLOOKUP(A4041,'Base Prueba'!A:D,4,),"NO REGISTRA")</f>
        <v>TESORERO</v>
      </c>
      <c r="E4041" s="5" t="str">
        <f>IFERROR(VLOOKUP(A4041,'Base Prueba'!A:E,5,),"NO REGISTRA")</f>
        <v>AREA FINANCIERA Y CONTABLE</v>
      </c>
    </row>
    <row r="4042" spans="1:5" ht="15.75" x14ac:dyDescent="0.25">
      <c r="A4042" s="10">
        <v>80191732</v>
      </c>
      <c r="B4042" s="2">
        <v>46097.337666550928</v>
      </c>
      <c r="C4042" s="3" t="str">
        <f>IFERROR(VLOOKUP(A4042,'Base Prueba'!A:C,3,),"NO REGISTRA")</f>
        <v>DANIEL MAURICIO ZAMBRANO TUNJANO</v>
      </c>
      <c r="D4042" s="4" t="str">
        <f>IFERROR(VLOOKUP(A4042,'Base Prueba'!A:D,4,),"NO REGISTRA")</f>
        <v>COORDINADOR DE DISEÑO E IMAGEN INSTITUCIONAL</v>
      </c>
      <c r="E4042" s="5" t="str">
        <f>IFERROR(VLOOKUP(A4042,'Base Prueba'!A:E,5,),"NO REGISTRA")</f>
        <v>OFICINA DE MERCADEO</v>
      </c>
    </row>
    <row r="4043" spans="1:5" ht="15.75" x14ac:dyDescent="0.25">
      <c r="A4043" s="10">
        <v>1000257136</v>
      </c>
      <c r="B4043" s="2">
        <v>46097.337967013889</v>
      </c>
      <c r="C4043" s="3" t="str">
        <f>IFERROR(VLOOKUP(A4043,'Base Prueba'!A:C,3,),"NO REGISTRA")</f>
        <v>FRANCI VALENTINA CANO PUENTES</v>
      </c>
      <c r="D4043" s="4" t="str">
        <f>IFERROR(VLOOKUP(A4043,'Base Prueba'!A:D,4,),"NO REGISTRA")</f>
        <v>AUXILIAR CONTABLE</v>
      </c>
      <c r="E4043" s="5" t="str">
        <f>IFERROR(VLOOKUP(A4043,'Base Prueba'!A:E,5,),"NO REGISTRA")</f>
        <v>AREA FINANCIERA Y CONTABLE</v>
      </c>
    </row>
    <row r="4044" spans="1:5" ht="15.75" x14ac:dyDescent="0.25">
      <c r="A4044" s="10">
        <v>1193457976</v>
      </c>
      <c r="B4044" s="2">
        <v>46097.338213888892</v>
      </c>
      <c r="C4044" s="3" t="str">
        <f>IFERROR(VLOOKUP(A4044,'Base Prueba'!A:C,3,),"NO REGISTRA")</f>
        <v>SEDENIS RIVAS ASPRILLA</v>
      </c>
      <c r="D4044" s="4" t="str">
        <f>IFERROR(VLOOKUP(A4044,'Base Prueba'!A:D,4,),"NO REGISTRA")</f>
        <v>APRENDIZ UNIVERSITARIO</v>
      </c>
      <c r="E4044" s="5" t="str">
        <f>IFERROR(VLOOKUP(A4044,'Base Prueba'!A:E,5,),"NO REGISTRA")</f>
        <v>DEPARTAMENTO DE GESTION HUMANA</v>
      </c>
    </row>
    <row r="4045" spans="1:5" ht="15.75" x14ac:dyDescent="0.25">
      <c r="A4045" s="10">
        <v>1014977624</v>
      </c>
      <c r="B4045" s="2">
        <v>46097.343576851854</v>
      </c>
      <c r="C4045" s="3" t="str">
        <f>IFERROR(VLOOKUP(A4045,'Base Prueba'!A:C,3,),"NO REGISTRA")</f>
        <v>NICCOLE VALENTINA HERNANDEZ MALAVER</v>
      </c>
      <c r="D4045" s="4" t="str">
        <f>IFERROR(VLOOKUP(A4045,'Base Prueba'!A:D,4,),"NO REGISTRA")</f>
        <v>APRENDIZ UNIVERSITARIO</v>
      </c>
      <c r="E4045" s="5" t="str">
        <f>IFERROR(VLOOKUP(A4045,'Base Prueba'!A:E,5,),"NO REGISTRA")</f>
        <v>AREA FINANCIERA Y CONTABLE</v>
      </c>
    </row>
    <row r="4046" spans="1:5" ht="15.75" x14ac:dyDescent="0.25">
      <c r="A4046" s="10">
        <v>53932358</v>
      </c>
      <c r="B4046" s="2">
        <v>46097.343678124998</v>
      </c>
      <c r="C4046" s="3" t="str">
        <f>IFERROR(VLOOKUP(A4046,'Base Prueba'!A:C,3,),"NO REGISTRA")</f>
        <v>DIANA MADELEYNE GAONA RODRIGUEZ</v>
      </c>
      <c r="D4046" s="4" t="str">
        <f>IFERROR(VLOOKUP(A4046,'Base Prueba'!A:D,4,),"NO REGISTRA")</f>
        <v>CONTADOR</v>
      </c>
      <c r="E4046" s="5" t="str">
        <f>IFERROR(VLOOKUP(A4046,'Base Prueba'!A:E,5,),"NO REGISTRA")</f>
        <v>AREA FINANCIERA Y CONTABLE</v>
      </c>
    </row>
    <row r="4047" spans="1:5" ht="15.75" x14ac:dyDescent="0.25">
      <c r="A4047" s="10">
        <v>1000457706</v>
      </c>
      <c r="B4047" s="2">
        <v>46097.344199421299</v>
      </c>
      <c r="C4047" s="3" t="str">
        <f>IFERROR(VLOOKUP(A4047,'Base Prueba'!A:C,3,),"NO REGISTRA")</f>
        <v>CRISTIAN DANILO ARROYO SANABRIA</v>
      </c>
      <c r="D4047" s="4" t="str">
        <f>IFERROR(VLOOKUP(A4047,'Base Prueba'!A:D,4,),"NO REGISTRA")</f>
        <v>AUXILIAR CONTABLE</v>
      </c>
      <c r="E4047" s="5" t="str">
        <f>IFERROR(VLOOKUP(A4047,'Base Prueba'!A:E,5,),"NO REGISTRA")</f>
        <v>AREA FINANCIERA Y CONTABLE</v>
      </c>
    </row>
    <row r="4048" spans="1:5" ht="15.75" x14ac:dyDescent="0.25">
      <c r="A4048" s="10">
        <v>1022996882</v>
      </c>
      <c r="B4048" s="2">
        <v>46097.345083912034</v>
      </c>
      <c r="C4048" s="3" t="str">
        <f>IFERROR(VLOOKUP(A4048,'Base Prueba'!A:C,3,),"NO REGISTRA")</f>
        <v>NANCY BRIGITH ALDANA GUEVARA</v>
      </c>
      <c r="D4048" s="4" t="str">
        <f>IFERROR(VLOOKUP(A4048,'Base Prueba'!A:D,4,),"NO REGISTRA")</f>
        <v>COORDINADORA DE GESTIÓN HUMANA</v>
      </c>
      <c r="E4048" s="5" t="str">
        <f>IFERROR(VLOOKUP(A4048,'Base Prueba'!A:E,5,),"NO REGISTRA")</f>
        <v>DEPARTAMENTO DE GESTION HUMANA</v>
      </c>
    </row>
    <row r="4049" spans="1:5" ht="15.75" x14ac:dyDescent="0.25">
      <c r="A4049" s="10">
        <v>1023883232</v>
      </c>
      <c r="B4049" s="2">
        <v>46097.346327083331</v>
      </c>
      <c r="C4049" s="3" t="str">
        <f>IFERROR(VLOOKUP(A4049,'Base Prueba'!A:C,3,),"NO REGISTRA")</f>
        <v>MONICA ANDREA ACERO URBANO</v>
      </c>
      <c r="D4049" s="4" t="str">
        <f>IFERROR(VLOOKUP(A4049,'Base Prueba'!A:D,4,),"NO REGISTRA")</f>
        <v>APOYO INTEGRAL A GESTION HUMANA</v>
      </c>
      <c r="E4049" s="5" t="str">
        <f>IFERROR(VLOOKUP(A4049,'Base Prueba'!A:E,5,),"NO REGISTRA")</f>
        <v>DEPARTAMENTO DE GESTION HUMANA</v>
      </c>
    </row>
    <row r="4050" spans="1:5" ht="15.75" x14ac:dyDescent="0.25">
      <c r="A4050" s="10">
        <v>1024512067</v>
      </c>
      <c r="B4050" s="2">
        <v>46097.346593865739</v>
      </c>
      <c r="C4050" s="3" t="str">
        <f>IFERROR(VLOOKUP(A4050,'Base Prueba'!A:C,3,),"NO REGISTRA")</f>
        <v>CINDY GIOVANA SALGAR GOMEZ</v>
      </c>
      <c r="D4050" s="4" t="str">
        <f>IFERROR(VLOOKUP(A4050,'Base Prueba'!A:D,4,),"NO REGISTRA")</f>
        <v>COORDINADOR DEL SISTEMA INTEGRADO DE GESTION INSTITUCIONAL - SIGI</v>
      </c>
      <c r="E4050" s="5" t="str">
        <f>IFERROR(VLOOKUP(A4050,'Base Prueba'!A:E,5,),"NO REGISTRA")</f>
        <v>OFICINA DE PLANEACION Y GESTION DE LA CALIDAD</v>
      </c>
    </row>
    <row r="4051" spans="1:5" ht="15.75" x14ac:dyDescent="0.25">
      <c r="A4051" s="10">
        <v>1033709056</v>
      </c>
      <c r="B4051" s="2">
        <v>46097.350227662035</v>
      </c>
      <c r="C4051" s="3" t="str">
        <f>IFERROR(VLOOKUP(A4051,'Base Prueba'!A:C,3,),"NO REGISTRA")</f>
        <v>YEIMY ALEXANDRA RODRIGUEZ PALACIO</v>
      </c>
      <c r="D4051" s="4" t="str">
        <f>IFERROR(VLOOKUP(A4051,'Base Prueba'!A:D,4,),"NO REGISTRA")</f>
        <v>PROMOTOR CALL CENTER</v>
      </c>
      <c r="E4051" s="5" t="str">
        <f>IFERROR(VLOOKUP(A4051,'Base Prueba'!A:E,5,),"NO REGISTRA")</f>
        <v>OFICINA DE MERCADEO</v>
      </c>
    </row>
    <row r="4052" spans="1:5" ht="15.75" x14ac:dyDescent="0.25">
      <c r="A4052" s="10">
        <v>1024505434</v>
      </c>
      <c r="B4052" s="2">
        <v>46097.353234027774</v>
      </c>
      <c r="C4052" s="3" t="str">
        <f>IFERROR(VLOOKUP(A4052,'Base Prueba'!A:C,3,),"NO REGISTRA")</f>
        <v>CRISTIAN ALBERTO MELO TORRES</v>
      </c>
      <c r="D4052" s="4" t="str">
        <f>IFERROR(VLOOKUP(A4052,'Base Prueba'!A:D,4,),"NO REGISTRA")</f>
        <v>COORDINADOR DE INFRAESTRUCTURA</v>
      </c>
      <c r="E4052" s="5" t="str">
        <f>IFERROR(VLOOKUP(A4052,'Base Prueba'!A:E,5,),"NO REGISTRA")</f>
        <v>VICERRECTORIA ADMINISTRATIVA Y FINANCIERA</v>
      </c>
    </row>
    <row r="4053" spans="1:5" ht="15.75" x14ac:dyDescent="0.25">
      <c r="A4053" s="10">
        <v>1000604979</v>
      </c>
      <c r="B4053" s="2">
        <v>46097.35542349537</v>
      </c>
      <c r="C4053" s="3" t="str">
        <f>IFERROR(VLOOKUP(A4053,'Base Prueba'!A:C,3,),"NO REGISTRA")</f>
        <v>JULIETH TATIANA PARDO PINTO</v>
      </c>
      <c r="D4053" s="4" t="str">
        <f>IFERROR(VLOOKUP(A4053,'Base Prueba'!A:D,4,),"NO REGISTRA")</f>
        <v>AUXILIAR JURIDICO</v>
      </c>
      <c r="E4053" s="5" t="str">
        <f>IFERROR(VLOOKUP(A4053,'Base Prueba'!A:E,5,),"NO REGISTRA")</f>
        <v>SECRETARIA GENERAL</v>
      </c>
    </row>
    <row r="4054" spans="1:5" ht="15.75" x14ac:dyDescent="0.25">
      <c r="A4054" s="10">
        <v>1000593372</v>
      </c>
      <c r="B4054" s="2">
        <v>46097.35547141204</v>
      </c>
      <c r="C4054" s="3" t="str">
        <f>IFERROR(VLOOKUP(A4054,'Base Prueba'!A:C,3,),"NO REGISTRA")</f>
        <v>LAURA SOFIA CHAPARRO LOPEZ</v>
      </c>
      <c r="D4054" s="4" t="str">
        <f>IFERROR(VLOOKUP(A4054,'Base Prueba'!A:D,4,),"NO REGISTRA")</f>
        <v>AUXILIAR JURIDICO</v>
      </c>
      <c r="E4054" s="5" t="str">
        <f>IFERROR(VLOOKUP(A4054,'Base Prueba'!A:E,5,),"NO REGISTRA")</f>
        <v>SECRETARIA GENERAL</v>
      </c>
    </row>
    <row r="4055" spans="1:5" ht="15.75" x14ac:dyDescent="0.25">
      <c r="A4055" s="10">
        <v>1018413529</v>
      </c>
      <c r="B4055" s="2">
        <v>46097.360896064813</v>
      </c>
      <c r="C4055" s="3" t="str">
        <f>IFERROR(VLOOKUP(A4055,'Base Prueba'!A:C,3,),"NO REGISTRA")</f>
        <v>FRANCY STELLA CHARRY MORENO</v>
      </c>
      <c r="D4055" s="4" t="str">
        <f>IFERROR(VLOOKUP(A4055,'Base Prueba'!A:D,4,),"NO REGISTRA")</f>
        <v>PROMOTOR COMERCIAL DEL CEA</v>
      </c>
      <c r="E4055" s="5" t="str">
        <f>IFERROR(VLOOKUP(A4055,'Base Prueba'!A:E,5,),"NO REGISTRA")</f>
        <v>OFICINA DE MERCADEO</v>
      </c>
    </row>
    <row r="4056" spans="1:5" ht="15.75" x14ac:dyDescent="0.25">
      <c r="A4056" s="10">
        <v>52472386</v>
      </c>
      <c r="B4056" s="2">
        <v>46097.360979282406</v>
      </c>
      <c r="C4056" s="3" t="str">
        <f>IFERROR(VLOOKUP(A4056,'Base Prueba'!A:C,3,),"NO REGISTRA")</f>
        <v>ADRIANA MARCELA MORALES PARDO</v>
      </c>
      <c r="D4056" s="4" t="str">
        <f>IFERROR(VLOOKUP(A4056,'Base Prueba'!A:D,4,),"NO REGISTRA")</f>
        <v>PROMOTOR CALL CENTER</v>
      </c>
      <c r="E4056" s="5" t="str">
        <f>IFERROR(VLOOKUP(A4056,'Base Prueba'!A:E,5,),"NO REGISTRA")</f>
        <v>OFICINA DE MERCADEO</v>
      </c>
    </row>
    <row r="4057" spans="1:5" ht="15.75" x14ac:dyDescent="0.25">
      <c r="A4057" s="10">
        <v>80234243</v>
      </c>
      <c r="B4057" s="2">
        <v>46097.363370601852</v>
      </c>
      <c r="C4057" s="3" t="str">
        <f>IFERROR(VLOOKUP(A4057,'Base Prueba'!A:C,3,),"NO REGISTRA")</f>
        <v>ARGENIS MARTINEZ MARTINEZ</v>
      </c>
      <c r="D4057" s="4" t="str">
        <f>IFERROR(VLOOKUP(A4057,'Base Prueba'!A:D,4,),"NO REGISTRA")</f>
        <v>LIDER CALL CENTER</v>
      </c>
      <c r="E4057" s="5" t="str">
        <f>IFERROR(VLOOKUP(A4057,'Base Prueba'!A:E,5,),"NO REGISTRA")</f>
        <v>OFICINA DE MERCADEO</v>
      </c>
    </row>
    <row r="4058" spans="1:5" ht="15.75" x14ac:dyDescent="0.25">
      <c r="A4058" s="10">
        <v>1032407386</v>
      </c>
      <c r="B4058" s="2">
        <v>46097.369227314812</v>
      </c>
      <c r="C4058" s="3" t="str">
        <f>IFERROR(VLOOKUP(A4058,'Base Prueba'!A:C,3,),"NO REGISTRA")</f>
        <v>GINA PAOLA BAEZ GALVIS</v>
      </c>
      <c r="D4058" s="4" t="str">
        <f>IFERROR(VLOOKUP(A4058,'Base Prueba'!A:D,4,),"NO REGISTRA")</f>
        <v>PROMOTOR CALL CENTER</v>
      </c>
      <c r="E4058" s="5" t="str">
        <f>IFERROR(VLOOKUP(A4058,'Base Prueba'!A:E,5,),"NO REGISTRA")</f>
        <v>OFICINA DE MERCADEO</v>
      </c>
    </row>
    <row r="4059" spans="1:5" ht="15.75" x14ac:dyDescent="0.25">
      <c r="A4059" s="10">
        <v>1012426741</v>
      </c>
      <c r="B4059" s="2">
        <v>46097.370159606478</v>
      </c>
      <c r="C4059" s="3" t="str">
        <f>IFERROR(VLOOKUP(A4059,'Base Prueba'!A:C,3,),"NO REGISTRA")</f>
        <v>CRISTIAN FABIAN ROJAS SANCENO</v>
      </c>
      <c r="D4059" s="4" t="str">
        <f>IFERROR(VLOOKUP(A4059,'Base Prueba'!A:D,4,),"NO REGISTRA")</f>
        <v>AUXILIAR DE REINTEGROS</v>
      </c>
      <c r="E4059" s="5" t="str">
        <f>IFERROR(VLOOKUP(A4059,'Base Prueba'!A:E,5,),"NO REGISTRA")</f>
        <v>DIRECCION DE BIENESTAR INSTITUCIONAL</v>
      </c>
    </row>
    <row r="4060" spans="1:5" ht="15.75" x14ac:dyDescent="0.25">
      <c r="A4060" s="10">
        <v>53089882</v>
      </c>
      <c r="B4060" s="2">
        <v>46097.372088310185</v>
      </c>
      <c r="C4060" s="3" t="str">
        <f>IFERROR(VLOOKUP(A4060,'Base Prueba'!A:C,3,),"NO REGISTRA")</f>
        <v>MARIA JOHANA ESCAMILLA MARTINEZ</v>
      </c>
      <c r="D4060" s="4" t="str">
        <f>IFERROR(VLOOKUP(A4060,'Base Prueba'!A:D,4,),"NO REGISTRA")</f>
        <v>PROMOTOR DE INFORMACIÓN</v>
      </c>
      <c r="E4060" s="5" t="str">
        <f>IFERROR(VLOOKUP(A4060,'Base Prueba'!A:E,5,),"NO REGISTRA")</f>
        <v>OFICINA DE MERCADEO</v>
      </c>
    </row>
    <row r="4061" spans="1:5" ht="15.75" x14ac:dyDescent="0.25">
      <c r="A4061" s="10">
        <v>1023961952</v>
      </c>
      <c r="B4061" s="2">
        <v>46097.373690740744</v>
      </c>
      <c r="C4061" s="3" t="str">
        <f>IFERROR(VLOOKUP(A4061,'Base Prueba'!A:C,3,),"NO REGISTRA")</f>
        <v>ALEJANDRO PINZON MERCHAN</v>
      </c>
      <c r="D4061" s="4" t="str">
        <f>IFERROR(VLOOKUP(A4061,'Base Prueba'!A:D,4,),"NO REGISTRA")</f>
        <v>PROMOTOR CALL CENTER</v>
      </c>
      <c r="E4061" s="5" t="str">
        <f>IFERROR(VLOOKUP(A4061,'Base Prueba'!A:E,5,),"NO REGISTRA")</f>
        <v>OFICINA DE MERCADEO</v>
      </c>
    </row>
    <row r="4062" spans="1:5" ht="15.75" x14ac:dyDescent="0.25">
      <c r="A4062" s="10">
        <v>1014196857</v>
      </c>
      <c r="B4062" s="2">
        <v>46097.375144560188</v>
      </c>
      <c r="C4062" s="3" t="str">
        <f>IFERROR(VLOOKUP(A4062,'Base Prueba'!A:C,3,),"NO REGISTRA")</f>
        <v>CARLOS ANDRES JIMENEZ PARDO</v>
      </c>
      <c r="D4062" s="4" t="str">
        <f>IFERROR(VLOOKUP(A4062,'Base Prueba'!A:D,4,),"NO REGISTRA")</f>
        <v>COORDINADOR DE MARKETING DIGITAL</v>
      </c>
      <c r="E4062" s="5" t="str">
        <f>IFERROR(VLOOKUP(A4062,'Base Prueba'!A:E,5,),"NO REGISTRA")</f>
        <v>OFICINA DE MERCADEO</v>
      </c>
    </row>
    <row r="4063" spans="1:5" ht="15.75" x14ac:dyDescent="0.25">
      <c r="A4063" s="10">
        <v>1018414290</v>
      </c>
      <c r="B4063" s="2">
        <v>46097.376108101853</v>
      </c>
      <c r="C4063" s="3" t="str">
        <f>IFERROR(VLOOKUP(A4063,'Base Prueba'!A:C,3,),"NO REGISTRA")</f>
        <v>AMANDA LISBETH RODRIGUEZ LEON</v>
      </c>
      <c r="D4063" s="4" t="str">
        <f>IFERROR(VLOOKUP(A4063,'Base Prueba'!A:D,4,),"NO REGISTRA")</f>
        <v>PROMOTOR CALL CENTER</v>
      </c>
      <c r="E4063" s="5" t="str">
        <f>IFERROR(VLOOKUP(A4063,'Base Prueba'!A:E,5,),"NO REGISTRA")</f>
        <v>OFICINA DE MERCADEO</v>
      </c>
    </row>
    <row r="4064" spans="1:5" ht="15.75" x14ac:dyDescent="0.25">
      <c r="A4064" s="10">
        <v>1019105003</v>
      </c>
      <c r="B4064" s="2">
        <v>46097.376880555559</v>
      </c>
      <c r="C4064" s="3" t="str">
        <f>IFERROR(VLOOKUP(A4064,'Base Prueba'!A:C,3,),"NO REGISTRA")</f>
        <v>DAISY JULIETH GASPAR MORENO</v>
      </c>
      <c r="D4064" s="4" t="str">
        <f>IFERROR(VLOOKUP(A4064,'Base Prueba'!A:D,4,),"NO REGISTRA")</f>
        <v>PROMOTOR CALL CENTER</v>
      </c>
      <c r="E4064" s="5" t="str">
        <f>IFERROR(VLOOKUP(A4064,'Base Prueba'!A:E,5,),"NO REGISTRA")</f>
        <v>OFICINA DE MERCADEO</v>
      </c>
    </row>
    <row r="4065" spans="1:5" ht="15.75" x14ac:dyDescent="0.25">
      <c r="A4065" s="10">
        <v>52175674</v>
      </c>
      <c r="B4065" s="2">
        <v>46097.378003356484</v>
      </c>
      <c r="C4065" s="3" t="str">
        <f>IFERROR(VLOOKUP(A4065,'Base Prueba'!A:C,3,),"NO REGISTRA")</f>
        <v>LUZ YANETH GOMEZ AREVALO</v>
      </c>
      <c r="D4065" s="4" t="str">
        <f>IFERROR(VLOOKUP(A4065,'Base Prueba'!A:D,4,),"NO REGISTRA")</f>
        <v>COORDINADORA DE ADMISIONES</v>
      </c>
      <c r="E4065" s="5" t="str">
        <f>IFERROR(VLOOKUP(A4065,'Base Prueba'!A:E,5,),"NO REGISTRA")</f>
        <v>OFICINA DE MERCADEO</v>
      </c>
    </row>
    <row r="4066" spans="1:5" ht="15.75" x14ac:dyDescent="0.25">
      <c r="A4066" s="10">
        <v>1016090131</v>
      </c>
      <c r="B4066" s="2">
        <v>46097.380485995367</v>
      </c>
      <c r="C4066" s="3" t="str">
        <f>IFERROR(VLOOKUP(A4066,'Base Prueba'!A:C,3,),"NO REGISTRA")</f>
        <v>NICOLAS RODRIGUEZ PACHECO</v>
      </c>
      <c r="D4066" s="4" t="str">
        <f>IFERROR(VLOOKUP(A4066,'Base Prueba'!A:D,4,),"NO REGISTRA")</f>
        <v>COORDINADOR DE COMUNICACIONES</v>
      </c>
      <c r="E4066" s="5" t="str">
        <f>IFERROR(VLOOKUP(A4066,'Base Prueba'!A:E,5,),"NO REGISTRA")</f>
        <v>OFICINA DE MERCADEO</v>
      </c>
    </row>
    <row r="4067" spans="1:5" ht="15.75" x14ac:dyDescent="0.25">
      <c r="A4067" s="10">
        <v>1000046533</v>
      </c>
      <c r="B4067" s="2">
        <v>46097.38208275463</v>
      </c>
      <c r="C4067" s="3" t="str">
        <f>IFERROR(VLOOKUP(A4067,'Base Prueba'!A:C,3,),"NO REGISTRA")</f>
        <v>ERIKA JULIETH VALDERRAMA SANCHEZ</v>
      </c>
      <c r="D4067" s="4" t="str">
        <f>IFERROR(VLOOKUP(A4067,'Base Prueba'!A:D,4,),"NO REGISTRA")</f>
        <v>PROMOTOR CALL CENTER</v>
      </c>
      <c r="E4067" s="5" t="str">
        <f>IFERROR(VLOOKUP(A4067,'Base Prueba'!A:E,5,),"NO REGISTRA")</f>
        <v>OFICINA DE MERCADEO</v>
      </c>
    </row>
    <row r="4068" spans="1:5" ht="15.75" x14ac:dyDescent="0.25">
      <c r="A4068" s="10">
        <v>28798349</v>
      </c>
      <c r="B4068" s="2">
        <v>46097.383366898146</v>
      </c>
      <c r="C4068" s="3" t="str">
        <f>IFERROR(VLOOKUP(A4068,'Base Prueba'!A:C,3,),"NO REGISTRA")</f>
        <v>MARTHA ISABEL TOVAR WILLIAMS</v>
      </c>
      <c r="D4068" s="4" t="str">
        <f>IFERROR(VLOOKUP(A4068,'Base Prueba'!A:D,4,),"NO REGISTRA")</f>
        <v>PROMOTOR CALL CENTER</v>
      </c>
      <c r="E4068" s="5" t="str">
        <f>IFERROR(VLOOKUP(A4068,'Base Prueba'!A:E,5,),"NO REGISTRA")</f>
        <v>OFICINA DE MERCADEO</v>
      </c>
    </row>
    <row r="4069" spans="1:5" ht="15.75" x14ac:dyDescent="0.25">
      <c r="A4069" s="10">
        <v>52764929</v>
      </c>
      <c r="B4069" s="2">
        <v>46097.383420601851</v>
      </c>
      <c r="C4069" s="3" t="str">
        <f>IFERROR(VLOOKUP(A4069,'Base Prueba'!A:C,3,),"NO REGISTRA")</f>
        <v>GUERLY YOHANA DURAN RIVERA</v>
      </c>
      <c r="D4069" s="4" t="str">
        <f>IFERROR(VLOOKUP(A4069,'Base Prueba'!A:D,4,),"NO REGISTRA")</f>
        <v>LIDER DE VINCULACION COLEGIOS</v>
      </c>
      <c r="E4069" s="5" t="str">
        <f>IFERROR(VLOOKUP(A4069,'Base Prueba'!A:E,5,),"NO REGISTRA")</f>
        <v>OFICINA DE MERCADEO</v>
      </c>
    </row>
    <row r="4070" spans="1:5" ht="15.75" x14ac:dyDescent="0.25">
      <c r="A4070" s="10">
        <v>1014977624</v>
      </c>
      <c r="B4070" s="2">
        <v>46097.542643402776</v>
      </c>
      <c r="C4070" s="3" t="str">
        <f>IFERROR(VLOOKUP(A4070,'Base Prueba'!A:C,3,),"NO REGISTRA")</f>
        <v>NICCOLE VALENTINA HERNANDEZ MALAVER</v>
      </c>
      <c r="D4070" s="4" t="str">
        <f>IFERROR(VLOOKUP(A4070,'Base Prueba'!A:D,4,),"NO REGISTRA")</f>
        <v>APRENDIZ UNIVERSITARIO</v>
      </c>
      <c r="E4070" s="5" t="str">
        <f>IFERROR(VLOOKUP(A4070,'Base Prueba'!A:E,5,),"NO REGISTRA")</f>
        <v>AREA FINANCIERA Y CONTABLE</v>
      </c>
    </row>
    <row r="4071" spans="1:5" ht="15.75" x14ac:dyDescent="0.25">
      <c r="A4071" s="10">
        <v>52443092</v>
      </c>
      <c r="B4071" s="2">
        <v>46097.583188773147</v>
      </c>
      <c r="C4071" s="3" t="str">
        <f>IFERROR(VLOOKUP(A4071,'Base Prueba'!A:C,3,),"NO REGISTRA")</f>
        <v>LUZ MYRIAM SAAVEDRA CONTRERAS</v>
      </c>
      <c r="D4071" s="4" t="str">
        <f>IFERROR(VLOOKUP(A4071,'Base Prueba'!A:D,4,),"NO REGISTRA")</f>
        <v>AUXILIAR DE SERVICIOS</v>
      </c>
      <c r="E4071" s="5" t="str">
        <f>IFERROR(VLOOKUP(A4071,'Base Prueba'!A:E,5,),"NO REGISTRA")</f>
        <v>LOGISTICA Y SERVICIOS GENERALES</v>
      </c>
    </row>
    <row r="4072" spans="1:5" ht="15.75" x14ac:dyDescent="0.25">
      <c r="A4072" s="10">
        <v>1031802160</v>
      </c>
      <c r="B4072" s="2">
        <v>46097.710990162035</v>
      </c>
      <c r="C4072" s="3" t="str">
        <f>IFERROR(VLOOKUP(A4072,'Base Prueba'!A:C,3,),"NO REGISTRA")</f>
        <v>LUISA MARIA MAHECHA SOTOMAYOR</v>
      </c>
      <c r="D4072" s="4" t="str">
        <f>IFERROR(VLOOKUP(A4072,'Base Prueba'!A:D,4,),"NO REGISTRA")</f>
        <v>APRENDIZ UNIVERSITARIO</v>
      </c>
      <c r="E4072" s="5" t="str">
        <f>IFERROR(VLOOKUP(A4072,'Base Prueba'!A:E,5,),"NO REGISTRA")</f>
        <v>OFICINA DE MERCADEO</v>
      </c>
    </row>
    <row r="4073" spans="1:5" ht="15.75" x14ac:dyDescent="0.25">
      <c r="A4073" s="10">
        <v>1024512067</v>
      </c>
      <c r="B4073" s="2">
        <v>46097.725946643521</v>
      </c>
      <c r="C4073" s="3" t="str">
        <f>IFERROR(VLOOKUP(A4073,'Base Prueba'!A:C,3,),"NO REGISTRA")</f>
        <v>CINDY GIOVANA SALGAR GOMEZ</v>
      </c>
      <c r="D4073" s="4" t="str">
        <f>IFERROR(VLOOKUP(A4073,'Base Prueba'!A:D,4,),"NO REGISTRA")</f>
        <v>COORDINADOR DEL SISTEMA INTEGRADO DE GESTION INSTITUCIONAL - SIGI</v>
      </c>
      <c r="E4073" s="5" t="str">
        <f>IFERROR(VLOOKUP(A4073,'Base Prueba'!A:E,5,),"NO REGISTRA")</f>
        <v>OFICINA DE PLANEACION Y GESTION DE LA CALIDAD</v>
      </c>
    </row>
    <row r="4074" spans="1:5" ht="15.75" x14ac:dyDescent="0.25">
      <c r="A4074" s="10">
        <v>1010184333</v>
      </c>
      <c r="B4074" s="2">
        <v>46097.748342708335</v>
      </c>
      <c r="C4074" s="3" t="str">
        <f>IFERROR(VLOOKUP(A4074,'Base Prueba'!A:C,3,),"NO REGISTRA")</f>
        <v>AKON ANDRES GARZON ALVAREZ</v>
      </c>
      <c r="D4074" s="4" t="str">
        <f>IFERROR(VLOOKUP(A4074,'Base Prueba'!A:D,4,),"NO REGISTRA")</f>
        <v>APRENDIZ UNIVERSITARIO</v>
      </c>
      <c r="E4074" s="5" t="str">
        <f>IFERROR(VLOOKUP(A4074,'Base Prueba'!A:E,5,),"NO REGISTRA")</f>
        <v>SECRETARIA GENERAL</v>
      </c>
    </row>
    <row r="4075" spans="1:5" ht="15.75" x14ac:dyDescent="0.25">
      <c r="A4075" s="10">
        <v>1012426741</v>
      </c>
      <c r="B4075" s="2">
        <v>46097.750060763887</v>
      </c>
      <c r="C4075" s="3" t="str">
        <f>IFERROR(VLOOKUP(A4075,'Base Prueba'!A:C,3,),"NO REGISTRA")</f>
        <v>CRISTIAN FABIAN ROJAS SANCENO</v>
      </c>
      <c r="D4075" s="4" t="str">
        <f>IFERROR(VLOOKUP(A4075,'Base Prueba'!A:D,4,),"NO REGISTRA")</f>
        <v>AUXILIAR DE REINTEGROS</v>
      </c>
      <c r="E4075" s="5" t="str">
        <f>IFERROR(VLOOKUP(A4075,'Base Prueba'!A:E,5,),"NO REGISTRA")</f>
        <v>DIRECCION DE BIENESTAR INSTITUCIONAL</v>
      </c>
    </row>
    <row r="4076" spans="1:5" ht="15.75" x14ac:dyDescent="0.25">
      <c r="A4076" s="10">
        <v>52175674</v>
      </c>
      <c r="B4076" s="2">
        <v>46097.750311574076</v>
      </c>
      <c r="C4076" s="3" t="str">
        <f>IFERROR(VLOOKUP(A4076,'Base Prueba'!A:C,3,),"NO REGISTRA")</f>
        <v>LUZ YANETH GOMEZ AREVALO</v>
      </c>
      <c r="D4076" s="4" t="str">
        <f>IFERROR(VLOOKUP(A4076,'Base Prueba'!A:D,4,),"NO REGISTRA")</f>
        <v>COORDINADORA DE ADMISIONES</v>
      </c>
      <c r="E4076" s="5" t="str">
        <f>IFERROR(VLOOKUP(A4076,'Base Prueba'!A:E,5,),"NO REGISTRA")</f>
        <v>OFICINA DE MERCADEO</v>
      </c>
    </row>
    <row r="4077" spans="1:5" ht="15.75" x14ac:dyDescent="0.25">
      <c r="A4077" s="10">
        <v>1000046533</v>
      </c>
      <c r="B4077" s="2">
        <v>46097.750477314818</v>
      </c>
      <c r="C4077" s="3" t="str">
        <f>IFERROR(VLOOKUP(A4077,'Base Prueba'!A:C,3,),"NO REGISTRA")</f>
        <v>ERIKA JULIETH VALDERRAMA SANCHEZ</v>
      </c>
      <c r="D4077" s="4" t="str">
        <f>IFERROR(VLOOKUP(A4077,'Base Prueba'!A:D,4,),"NO REGISTRA")</f>
        <v>PROMOTOR CALL CENTER</v>
      </c>
      <c r="E4077" s="5" t="str">
        <f>IFERROR(VLOOKUP(A4077,'Base Prueba'!A:E,5,),"NO REGISTRA")</f>
        <v>OFICINA DE MERCADEO</v>
      </c>
    </row>
    <row r="4078" spans="1:5" ht="15.75" x14ac:dyDescent="0.25">
      <c r="A4078" s="10">
        <v>1014308296</v>
      </c>
      <c r="B4078" s="2">
        <v>46097.751452777775</v>
      </c>
      <c r="C4078" s="3" t="str">
        <f>IFERROR(VLOOKUP(A4078,'Base Prueba'!A:C,3,),"NO REGISTRA")</f>
        <v>DARLENE YULIANA MORENO CELEITA</v>
      </c>
      <c r="D4078" s="4" t="str">
        <f>IFERROR(VLOOKUP(A4078,'Base Prueba'!A:D,4,),"NO REGISTRA")</f>
        <v>CAJERO PRINCIPAL</v>
      </c>
      <c r="E4078" s="5" t="str">
        <f>IFERROR(VLOOKUP(A4078,'Base Prueba'!A:E,5,),"NO REGISTRA")</f>
        <v>AREA FINANCIERA Y CONTABLE</v>
      </c>
    </row>
    <row r="4079" spans="1:5" ht="15.75" x14ac:dyDescent="0.25">
      <c r="A4079" s="10">
        <v>1193457976</v>
      </c>
      <c r="B4079" s="2">
        <v>46097.751869328706</v>
      </c>
      <c r="C4079" s="3" t="str">
        <f>IFERROR(VLOOKUP(A4079,'Base Prueba'!A:C,3,),"NO REGISTRA")</f>
        <v>SEDENIS RIVAS ASPRILLA</v>
      </c>
      <c r="D4079" s="4" t="str">
        <f>IFERROR(VLOOKUP(A4079,'Base Prueba'!A:D,4,),"NO REGISTRA")</f>
        <v>APRENDIZ UNIVERSITARIO</v>
      </c>
      <c r="E4079" s="5" t="str">
        <f>IFERROR(VLOOKUP(A4079,'Base Prueba'!A:E,5,),"NO REGISTRA")</f>
        <v>DEPARTAMENTO DE GESTION HUMANA</v>
      </c>
    </row>
    <row r="4080" spans="1:5" ht="15.75" x14ac:dyDescent="0.25">
      <c r="A4080" s="10">
        <v>1049644802</v>
      </c>
      <c r="B4080" s="2">
        <v>46097.751953703701</v>
      </c>
      <c r="C4080" s="3" t="str">
        <f>IFERROR(VLOOKUP(A4080,'Base Prueba'!A:C,3,),"NO REGISTRA")</f>
        <v>DANIELA ALEXANDRA CIPAMOCHA BOSIGA</v>
      </c>
      <c r="D4080" s="4" t="str">
        <f>IFERROR(VLOOKUP(A4080,'Base Prueba'!A:D,4,),"NO REGISTRA")</f>
        <v>LIDER DE DATOS Y SERVICIOS</v>
      </c>
      <c r="E4080" s="5" t="str">
        <f>IFERROR(VLOOKUP(A4080,'Base Prueba'!A:E,5,),"NO REGISTRA")</f>
        <v>OFICINA DE PLANEACION Y GESTION DE LA CALIDAD</v>
      </c>
    </row>
    <row r="4081" spans="1:5" ht="15.75" x14ac:dyDescent="0.25">
      <c r="A4081" s="10">
        <v>1022996882</v>
      </c>
      <c r="B4081" s="2">
        <v>46097.752080208331</v>
      </c>
      <c r="C4081" s="3" t="str">
        <f>IFERROR(VLOOKUP(A4081,'Base Prueba'!A:C,3,),"NO REGISTRA")</f>
        <v>NANCY BRIGITH ALDANA GUEVARA</v>
      </c>
      <c r="D4081" s="4" t="str">
        <f>IFERROR(VLOOKUP(A4081,'Base Prueba'!A:D,4,),"NO REGISTRA")</f>
        <v>COORDINADORA DE GESTIÓN HUMANA</v>
      </c>
      <c r="E4081" s="5" t="str">
        <f>IFERROR(VLOOKUP(A4081,'Base Prueba'!A:E,5,),"NO REGISTRA")</f>
        <v>DEPARTAMENTO DE GESTION HUMANA</v>
      </c>
    </row>
    <row r="4082" spans="1:5" ht="15.75" x14ac:dyDescent="0.25">
      <c r="A4082" s="10">
        <v>1000467399</v>
      </c>
      <c r="B4082" s="2">
        <v>46097.752821180555</v>
      </c>
      <c r="C4082" s="3" t="str">
        <f>IFERROR(VLOOKUP(A4082,'Base Prueba'!A:C,3,),"NO REGISTRA")</f>
        <v>BRANDO ESTIVEN DIAZ QUIMBAYA</v>
      </c>
      <c r="D4082" s="4" t="str">
        <f>IFERROR(VLOOKUP(A4082,'Base Prueba'!A:D,4,),"NO REGISTRA")</f>
        <v>APRENDIZ UNIVERSITARIO</v>
      </c>
      <c r="E4082" s="5" t="str">
        <f>IFERROR(VLOOKUP(A4082,'Base Prueba'!A:E,5,),"NO REGISTRA")</f>
        <v>DEPARTAMENTO DE GESTION HUMANA</v>
      </c>
    </row>
    <row r="4083" spans="1:5" ht="15.75" x14ac:dyDescent="0.25">
      <c r="A4083" s="10">
        <v>80238161</v>
      </c>
      <c r="B4083" s="2">
        <v>46097.753316782408</v>
      </c>
      <c r="C4083" s="3" t="str">
        <f>IFERROR(VLOOKUP(A4083,'Base Prueba'!A:C,3,),"NO REGISTRA")</f>
        <v>GERMAN CARRANZA ESPITIA</v>
      </c>
      <c r="D4083" s="4" t="str">
        <f>IFERROR(VLOOKUP(A4083,'Base Prueba'!A:D,4,),"NO REGISTRA")</f>
        <v>TESORERO</v>
      </c>
      <c r="E4083" s="5" t="str">
        <f>IFERROR(VLOOKUP(A4083,'Base Prueba'!A:E,5,),"NO REGISTRA")</f>
        <v>AREA FINANCIERA Y CONTABLE</v>
      </c>
    </row>
    <row r="4084" spans="1:5" ht="15.75" x14ac:dyDescent="0.25">
      <c r="A4084" s="10">
        <v>1019105003</v>
      </c>
      <c r="B4084" s="2">
        <v>46097.754438657408</v>
      </c>
      <c r="C4084" s="3" t="str">
        <f>IFERROR(VLOOKUP(A4084,'Base Prueba'!A:C,3,),"NO REGISTRA")</f>
        <v>DAISY JULIETH GASPAR MORENO</v>
      </c>
      <c r="D4084" s="4" t="str">
        <f>IFERROR(VLOOKUP(A4084,'Base Prueba'!A:D,4,),"NO REGISTRA")</f>
        <v>PROMOTOR CALL CENTER</v>
      </c>
      <c r="E4084" s="5" t="str">
        <f>IFERROR(VLOOKUP(A4084,'Base Prueba'!A:E,5,),"NO REGISTRA")</f>
        <v>OFICINA DE MERCADEO</v>
      </c>
    </row>
    <row r="4085" spans="1:5" ht="15.75" x14ac:dyDescent="0.25">
      <c r="A4085" s="10">
        <v>1014196857</v>
      </c>
      <c r="B4085" s="2">
        <v>46097.754778819442</v>
      </c>
      <c r="C4085" s="3" t="str">
        <f>IFERROR(VLOOKUP(A4085,'Base Prueba'!A:C,3,),"NO REGISTRA")</f>
        <v>CARLOS ANDRES JIMENEZ PARDO</v>
      </c>
      <c r="D4085" s="4" t="str">
        <f>IFERROR(VLOOKUP(A4085,'Base Prueba'!A:D,4,),"NO REGISTRA")</f>
        <v>COORDINADOR DE MARKETING DIGITAL</v>
      </c>
      <c r="E4085" s="5" t="str">
        <f>IFERROR(VLOOKUP(A4085,'Base Prueba'!A:E,5,),"NO REGISTRA")</f>
        <v>OFICINA DE MERCADEO</v>
      </c>
    </row>
    <row r="4086" spans="1:5" ht="15.75" x14ac:dyDescent="0.25">
      <c r="A4086" s="10">
        <v>1000604979</v>
      </c>
      <c r="B4086" s="2">
        <v>46097.75505162037</v>
      </c>
      <c r="C4086" s="3" t="str">
        <f>IFERROR(VLOOKUP(A4086,'Base Prueba'!A:C,3,),"NO REGISTRA")</f>
        <v>JULIETH TATIANA PARDO PINTO</v>
      </c>
      <c r="D4086" s="4" t="str">
        <f>IFERROR(VLOOKUP(A4086,'Base Prueba'!A:D,4,),"NO REGISTRA")</f>
        <v>AUXILIAR JURIDICO</v>
      </c>
      <c r="E4086" s="5" t="str">
        <f>IFERROR(VLOOKUP(A4086,'Base Prueba'!A:E,5,),"NO REGISTRA")</f>
        <v>SECRETARIA GENERAL</v>
      </c>
    </row>
    <row r="4087" spans="1:5" ht="15.75" x14ac:dyDescent="0.25">
      <c r="A4087" s="10">
        <v>1000593372</v>
      </c>
      <c r="B4087" s="2">
        <v>46097.755065972226</v>
      </c>
      <c r="C4087" s="3" t="str">
        <f>IFERROR(VLOOKUP(A4087,'Base Prueba'!A:C,3,),"NO REGISTRA")</f>
        <v>LAURA SOFIA CHAPARRO LOPEZ</v>
      </c>
      <c r="D4087" s="4" t="str">
        <f>IFERROR(VLOOKUP(A4087,'Base Prueba'!A:D,4,),"NO REGISTRA")</f>
        <v>AUXILIAR JURIDICO</v>
      </c>
      <c r="E4087" s="5" t="str">
        <f>IFERROR(VLOOKUP(A4087,'Base Prueba'!A:E,5,),"NO REGISTRA")</f>
        <v>SECRETARIA GENERAL</v>
      </c>
    </row>
    <row r="4088" spans="1:5" ht="15.75" x14ac:dyDescent="0.25">
      <c r="A4088" s="10">
        <v>1016090131</v>
      </c>
      <c r="B4088" s="2">
        <v>46097.755094560183</v>
      </c>
      <c r="C4088" s="3" t="str">
        <f>IFERROR(VLOOKUP(A4088,'Base Prueba'!A:C,3,),"NO REGISTRA")</f>
        <v>NICOLAS RODRIGUEZ PACHECO</v>
      </c>
      <c r="D4088" s="4" t="str">
        <f>IFERROR(VLOOKUP(A4088,'Base Prueba'!A:D,4,),"NO REGISTRA")</f>
        <v>COORDINADOR DE COMUNICACIONES</v>
      </c>
      <c r="E4088" s="5" t="str">
        <f>IFERROR(VLOOKUP(A4088,'Base Prueba'!A:E,5,),"NO REGISTRA")</f>
        <v>OFICINA DE MERCADEO</v>
      </c>
    </row>
    <row r="4089" spans="1:5" ht="15.75" x14ac:dyDescent="0.25">
      <c r="A4089" s="10">
        <v>1023883232</v>
      </c>
      <c r="B4089" s="2">
        <v>46097.756328703705</v>
      </c>
      <c r="C4089" s="3" t="str">
        <f>IFERROR(VLOOKUP(A4089,'Base Prueba'!A:C,3,),"NO REGISTRA")</f>
        <v>MONICA ANDREA ACERO URBANO</v>
      </c>
      <c r="D4089" s="4" t="str">
        <f>IFERROR(VLOOKUP(A4089,'Base Prueba'!A:D,4,),"NO REGISTRA")</f>
        <v>APOYO INTEGRAL A GESTION HUMANA</v>
      </c>
      <c r="E4089" s="5" t="str">
        <f>IFERROR(VLOOKUP(A4089,'Base Prueba'!A:E,5,),"NO REGISTRA")</f>
        <v>DEPARTAMENTO DE GESTION HUMANA</v>
      </c>
    </row>
    <row r="4090" spans="1:5" ht="15.75" x14ac:dyDescent="0.25">
      <c r="A4090" s="10">
        <v>1087121273</v>
      </c>
      <c r="B4090" s="2">
        <v>46097.756349421295</v>
      </c>
      <c r="C4090" s="3" t="str">
        <f>IFERROR(VLOOKUP(A4090,'Base Prueba'!A:C,3,),"NO REGISTRA")</f>
        <v>MAYRA ALEJANDRA CASTILLO ARBOLEDA</v>
      </c>
      <c r="D4090" s="4" t="str">
        <f>IFERROR(VLOOKUP(A4090,'Base Prueba'!A:D,4,),"NO REGISTRA")</f>
        <v>APOYO INTEGRAL DE MERCADEO</v>
      </c>
      <c r="E4090" s="5" t="str">
        <f>IFERROR(VLOOKUP(A4090,'Base Prueba'!A:E,5,),"NO REGISTRA")</f>
        <v>CENTRO DE GESTION DOCUMENTAL</v>
      </c>
    </row>
    <row r="4091" spans="1:5" ht="15.75" x14ac:dyDescent="0.25">
      <c r="A4091" s="10">
        <v>1110492291</v>
      </c>
      <c r="B4091" s="2">
        <v>46097.757648842591</v>
      </c>
      <c r="C4091" s="3" t="str">
        <f>IFERROR(VLOOKUP(A4091,'Base Prueba'!A:C,3,),"NO REGISTRA")</f>
        <v>JONATHAN GONZALEZ AYALA</v>
      </c>
      <c r="D4091" s="4" t="str">
        <f>IFERROR(VLOOKUP(A4091,'Base Prueba'!A:D,4,),"NO REGISTRA")</f>
        <v>AUXILIAR ADMINISTRATIVO</v>
      </c>
      <c r="E4091" s="5" t="str">
        <f>IFERROR(VLOOKUP(A4091,'Base Prueba'!A:E,5,),"NO REGISTRA")</f>
        <v>REGISTRO Y CONTROL ACADEMICO</v>
      </c>
    </row>
    <row r="4092" spans="1:5" ht="15.75" x14ac:dyDescent="0.25">
      <c r="A4092" s="10">
        <v>1013616244</v>
      </c>
      <c r="B4092" s="2">
        <v>46097.758916435188</v>
      </c>
      <c r="C4092" s="3" t="str">
        <f>IFERROR(VLOOKUP(A4092,'Base Prueba'!A:C,3,),"NO REGISTRA")</f>
        <v>DIANA CAROLINA MARIN BETANCOURT</v>
      </c>
      <c r="D4092" s="4" t="str">
        <f>IFERROR(VLOOKUP(A4092,'Base Prueba'!A:D,4,),"NO REGISTRA")</f>
        <v>AUXILIAR ADMINISTRATIVO</v>
      </c>
      <c r="E4092" s="5" t="str">
        <f>IFERROR(VLOOKUP(A4092,'Base Prueba'!A:E,5,),"NO REGISTRA")</f>
        <v>REGISTRO Y CONTROL ACADEMICO</v>
      </c>
    </row>
    <row r="4093" spans="1:5" ht="15.75" x14ac:dyDescent="0.25">
      <c r="A4093" s="10">
        <v>1000324729</v>
      </c>
      <c r="B4093" s="2">
        <v>46097.758945370369</v>
      </c>
      <c r="C4093" s="3" t="str">
        <f>IFERROR(VLOOKUP(A4093,'Base Prueba'!A:C,3,),"NO REGISTRA")</f>
        <v>ANYIE VANESSA TINOCO CAMACHO</v>
      </c>
      <c r="D4093" s="4" t="str">
        <f>IFERROR(VLOOKUP(A4093,'Base Prueba'!A:D,4,),"NO REGISTRA")</f>
        <v>LIDER DE REGISTRO Y CONTROL</v>
      </c>
      <c r="E4093" s="5" t="str">
        <f>IFERROR(VLOOKUP(A4093,'Base Prueba'!A:E,5,),"NO REGISTRA")</f>
        <v>REGISTRO Y CONTROL ACADEMICO</v>
      </c>
    </row>
    <row r="4094" spans="1:5" ht="15.75" x14ac:dyDescent="0.25">
      <c r="A4094" s="10">
        <v>1023961952</v>
      </c>
      <c r="B4094" s="2">
        <v>46097.76077951389</v>
      </c>
      <c r="C4094" s="3" t="str">
        <f>IFERROR(VLOOKUP(A4094,'Base Prueba'!A:C,3,),"NO REGISTRA")</f>
        <v>ALEJANDRO PINZON MERCHAN</v>
      </c>
      <c r="D4094" s="4" t="str">
        <f>IFERROR(VLOOKUP(A4094,'Base Prueba'!A:D,4,),"NO REGISTRA")</f>
        <v>PROMOTOR CALL CENTER</v>
      </c>
      <c r="E4094" s="5" t="str">
        <f>IFERROR(VLOOKUP(A4094,'Base Prueba'!A:E,5,),"NO REGISTRA")</f>
        <v>OFICINA DE MERCADEO</v>
      </c>
    </row>
    <row r="4095" spans="1:5" ht="15.75" x14ac:dyDescent="0.25">
      <c r="A4095" s="10">
        <v>28798349</v>
      </c>
      <c r="B4095" s="2">
        <v>46097.760828240738</v>
      </c>
      <c r="C4095" s="3" t="str">
        <f>IFERROR(VLOOKUP(A4095,'Base Prueba'!A:C,3,),"NO REGISTRA")</f>
        <v>MARTHA ISABEL TOVAR WILLIAMS</v>
      </c>
      <c r="D4095" s="4" t="str">
        <f>IFERROR(VLOOKUP(A4095,'Base Prueba'!A:D,4,),"NO REGISTRA")</f>
        <v>PROMOTOR CALL CENTER</v>
      </c>
      <c r="E4095" s="5" t="str">
        <f>IFERROR(VLOOKUP(A4095,'Base Prueba'!A:E,5,),"NO REGISTRA")</f>
        <v>OFICINA DE MERCADEO</v>
      </c>
    </row>
    <row r="4096" spans="1:5" ht="15.75" x14ac:dyDescent="0.25">
      <c r="A4096" s="10">
        <v>1026599257</v>
      </c>
      <c r="B4096" s="2">
        <v>46097.762031481485</v>
      </c>
      <c r="C4096" s="3" t="str">
        <f>IFERROR(VLOOKUP(A4096,'Base Prueba'!A:C,3,),"NO REGISTRA")</f>
        <v>YESENIA PAOLA PINEDA HURTADO</v>
      </c>
      <c r="D4096" s="4" t="str">
        <f>IFERROR(VLOOKUP(A4096,'Base Prueba'!A:D,4,),"NO REGISTRA")</f>
        <v>LIDER DE COMPRAS</v>
      </c>
      <c r="E4096" s="5" t="str">
        <f>IFERROR(VLOOKUP(A4096,'Base Prueba'!A:E,5,),"NO REGISTRA")</f>
        <v>AREA ADMINISTRATIVA</v>
      </c>
    </row>
    <row r="4097" spans="1:5" ht="15.75" x14ac:dyDescent="0.25">
      <c r="A4097" s="10">
        <v>1033709056</v>
      </c>
      <c r="B4097" s="2">
        <v>46097.762359143519</v>
      </c>
      <c r="C4097" s="3" t="str">
        <f>IFERROR(VLOOKUP(A4097,'Base Prueba'!A:C,3,),"NO REGISTRA")</f>
        <v>YEIMY ALEXANDRA RODRIGUEZ PALACIO</v>
      </c>
      <c r="D4097" s="4" t="str">
        <f>IFERROR(VLOOKUP(A4097,'Base Prueba'!A:D,4,),"NO REGISTRA")</f>
        <v>PROMOTOR CALL CENTER</v>
      </c>
      <c r="E4097" s="5" t="str">
        <f>IFERROR(VLOOKUP(A4097,'Base Prueba'!A:E,5,),"NO REGISTRA")</f>
        <v>OFICINA DE MERCADEO</v>
      </c>
    </row>
    <row r="4098" spans="1:5" ht="15.75" x14ac:dyDescent="0.25">
      <c r="A4098" s="10">
        <v>53089882</v>
      </c>
      <c r="B4098" s="2">
        <v>46097.762510069442</v>
      </c>
      <c r="C4098" s="3" t="str">
        <f>IFERROR(VLOOKUP(A4098,'Base Prueba'!A:C,3,),"NO REGISTRA")</f>
        <v>MARIA JOHANA ESCAMILLA MARTINEZ</v>
      </c>
      <c r="D4098" s="4" t="str">
        <f>IFERROR(VLOOKUP(A4098,'Base Prueba'!A:D,4,),"NO REGISTRA")</f>
        <v>PROMOTOR DE INFORMACIÓN</v>
      </c>
      <c r="E4098" s="5" t="str">
        <f>IFERROR(VLOOKUP(A4098,'Base Prueba'!A:E,5,),"NO REGISTRA")</f>
        <v>OFICINA DE MERCADEO</v>
      </c>
    </row>
    <row r="4099" spans="1:5" ht="15.75" x14ac:dyDescent="0.25">
      <c r="A4099" s="10">
        <v>1018413529</v>
      </c>
      <c r="B4099" s="2">
        <v>46097.762586689816</v>
      </c>
      <c r="C4099" s="3" t="str">
        <f>IFERROR(VLOOKUP(A4099,'Base Prueba'!A:C,3,),"NO REGISTRA")</f>
        <v>FRANCY STELLA CHARRY MORENO</v>
      </c>
      <c r="D4099" s="4" t="str">
        <f>IFERROR(VLOOKUP(A4099,'Base Prueba'!A:D,4,),"NO REGISTRA")</f>
        <v>PROMOTOR COMERCIAL DEL CEA</v>
      </c>
      <c r="E4099" s="5" t="str">
        <f>IFERROR(VLOOKUP(A4099,'Base Prueba'!A:E,5,),"NO REGISTRA")</f>
        <v>OFICINA DE MERCADEO</v>
      </c>
    </row>
    <row r="4100" spans="1:5" ht="15.75" x14ac:dyDescent="0.25">
      <c r="A4100" s="10">
        <v>80191732</v>
      </c>
      <c r="B4100" s="2">
        <v>46097.767321064814</v>
      </c>
      <c r="C4100" s="3" t="str">
        <f>IFERROR(VLOOKUP(A4100,'Base Prueba'!A:C,3,),"NO REGISTRA")</f>
        <v>DANIEL MAURICIO ZAMBRANO TUNJANO</v>
      </c>
      <c r="D4100" s="4" t="str">
        <f>IFERROR(VLOOKUP(A4100,'Base Prueba'!A:D,4,),"NO REGISTRA")</f>
        <v>COORDINADOR DE DISEÑO E IMAGEN INSTITUCIONAL</v>
      </c>
      <c r="E4100" s="5" t="str">
        <f>IFERROR(VLOOKUP(A4100,'Base Prueba'!A:E,5,),"NO REGISTRA")</f>
        <v>OFICINA DE MERCADEO</v>
      </c>
    </row>
    <row r="4101" spans="1:5" ht="15.75" x14ac:dyDescent="0.25">
      <c r="A4101" s="10">
        <v>1000457706</v>
      </c>
      <c r="B4101" s="2">
        <v>46097.768196064811</v>
      </c>
      <c r="C4101" s="3" t="str">
        <f>IFERROR(VLOOKUP(A4101,'Base Prueba'!A:C,3,),"NO REGISTRA")</f>
        <v>CRISTIAN DANILO ARROYO SANABRIA</v>
      </c>
      <c r="D4101" s="4" t="str">
        <f>IFERROR(VLOOKUP(A4101,'Base Prueba'!A:D,4,),"NO REGISTRA")</f>
        <v>AUXILIAR CONTABLE</v>
      </c>
      <c r="E4101" s="5" t="str">
        <f>IFERROR(VLOOKUP(A4101,'Base Prueba'!A:E,5,),"NO REGISTRA")</f>
        <v>AREA FINANCIERA Y CONTABLE</v>
      </c>
    </row>
    <row r="4102" spans="1:5" ht="15.75" x14ac:dyDescent="0.25">
      <c r="A4102" s="10">
        <v>1000257136</v>
      </c>
      <c r="B4102" s="2">
        <v>46097.770207291665</v>
      </c>
      <c r="C4102" s="3" t="str">
        <f>IFERROR(VLOOKUP(A4102,'Base Prueba'!A:C,3,),"NO REGISTRA")</f>
        <v>FRANCI VALENTINA CANO PUENTES</v>
      </c>
      <c r="D4102" s="4" t="str">
        <f>IFERROR(VLOOKUP(A4102,'Base Prueba'!A:D,4,),"NO REGISTRA")</f>
        <v>AUXILIAR CONTABLE</v>
      </c>
      <c r="E4102" s="5" t="str">
        <f>IFERROR(VLOOKUP(A4102,'Base Prueba'!A:E,5,),"NO REGISTRA")</f>
        <v>AREA FINANCIERA Y CONTABLE</v>
      </c>
    </row>
    <row r="4103" spans="1:5" ht="15.75" x14ac:dyDescent="0.25">
      <c r="A4103" s="10">
        <v>80234243</v>
      </c>
      <c r="B4103" s="2">
        <v>46097.770440740744</v>
      </c>
      <c r="C4103" s="3" t="str">
        <f>IFERROR(VLOOKUP(A4103,'Base Prueba'!A:C,3,),"NO REGISTRA")</f>
        <v>ARGENIS MARTINEZ MARTINEZ</v>
      </c>
      <c r="D4103" s="4" t="str">
        <f>IFERROR(VLOOKUP(A4103,'Base Prueba'!A:D,4,),"NO REGISTRA")</f>
        <v>LIDER CALL CENTER</v>
      </c>
      <c r="E4103" s="5" t="str">
        <f>IFERROR(VLOOKUP(A4103,'Base Prueba'!A:E,5,),"NO REGISTRA")</f>
        <v>OFICINA DE MERCADEO</v>
      </c>
    </row>
    <row r="4104" spans="1:5" ht="15.75" x14ac:dyDescent="0.25">
      <c r="A4104" s="10">
        <v>52472386</v>
      </c>
      <c r="B4104" s="2">
        <v>46097.775728935187</v>
      </c>
      <c r="C4104" s="3" t="str">
        <f>IFERROR(VLOOKUP(A4104,'Base Prueba'!A:C,3,),"NO REGISTRA")</f>
        <v>ADRIANA MARCELA MORALES PARDO</v>
      </c>
      <c r="D4104" s="4" t="str">
        <f>IFERROR(VLOOKUP(A4104,'Base Prueba'!A:D,4,),"NO REGISTRA")</f>
        <v>PROMOTOR CALL CENTER</v>
      </c>
      <c r="E4104" s="5" t="str">
        <f>IFERROR(VLOOKUP(A4104,'Base Prueba'!A:E,5,),"NO REGISTRA")</f>
        <v>OFICINA DE MERCADEO</v>
      </c>
    </row>
    <row r="4105" spans="1:5" ht="15.75" x14ac:dyDescent="0.25">
      <c r="A4105" s="10">
        <v>1032407386</v>
      </c>
      <c r="B4105" s="2">
        <v>46097.778426273151</v>
      </c>
      <c r="C4105" s="3" t="str">
        <f>IFERROR(VLOOKUP(A4105,'Base Prueba'!A:C,3,),"NO REGISTRA")</f>
        <v>GINA PAOLA BAEZ GALVIS</v>
      </c>
      <c r="D4105" s="4" t="str">
        <f>IFERROR(VLOOKUP(A4105,'Base Prueba'!A:D,4,),"NO REGISTRA")</f>
        <v>PROMOTOR CALL CENTER</v>
      </c>
      <c r="E4105" s="5" t="str">
        <f>IFERROR(VLOOKUP(A4105,'Base Prueba'!A:E,5,),"NO REGISTRA")</f>
        <v>OFICINA DE MERCADEO</v>
      </c>
    </row>
    <row r="4106" spans="1:5" ht="15.75" x14ac:dyDescent="0.25">
      <c r="A4106" s="10">
        <v>1018414290</v>
      </c>
      <c r="B4106" s="2">
        <v>46097.778455092594</v>
      </c>
      <c r="C4106" s="3" t="str">
        <f>IFERROR(VLOOKUP(A4106,'Base Prueba'!A:C,3,),"NO REGISTRA")</f>
        <v>AMANDA LISBETH RODRIGUEZ LEON</v>
      </c>
      <c r="D4106" s="4" t="str">
        <f>IFERROR(VLOOKUP(A4106,'Base Prueba'!A:D,4,),"NO REGISTRA")</f>
        <v>PROMOTOR CALL CENTER</v>
      </c>
      <c r="E4106" s="5" t="str">
        <f>IFERROR(VLOOKUP(A4106,'Base Prueba'!A:E,5,),"NO REGISTRA")</f>
        <v>OFICINA DE MERCADEO</v>
      </c>
    </row>
    <row r="4107" spans="1:5" ht="15.75" x14ac:dyDescent="0.25">
      <c r="A4107" s="10">
        <v>52474489</v>
      </c>
      <c r="B4107" s="2">
        <v>46097.788565625</v>
      </c>
      <c r="C4107" s="3" t="str">
        <f>IFERROR(VLOOKUP(A4107,'Base Prueba'!A:C,3,),"NO REGISTRA")</f>
        <v>ADRIANA JIMENA SOTO BOCANEGRA</v>
      </c>
      <c r="D4107" s="4" t="str">
        <f>IFERROR(VLOOKUP(A4107,'Base Prueba'!A:D,4,),"NO REGISTRA")</f>
        <v>COORDINADOR DE LA OFICINA DE REGISTRO Y CONTROL</v>
      </c>
      <c r="E4107" s="5" t="str">
        <f>IFERROR(VLOOKUP(A4107,'Base Prueba'!A:E,5,),"NO REGISTRA")</f>
        <v>REGISTRO Y CONTROL ACADEMICO</v>
      </c>
    </row>
    <row r="4108" spans="1:5" ht="15.75" x14ac:dyDescent="0.25">
      <c r="A4108" s="10">
        <v>53932358</v>
      </c>
      <c r="B4108" s="2">
        <v>46097.791459837965</v>
      </c>
      <c r="C4108" s="3" t="str">
        <f>IFERROR(VLOOKUP(A4108,'Base Prueba'!A:C,3,),"NO REGISTRA")</f>
        <v>DIANA MADELEYNE GAONA RODRIGUEZ</v>
      </c>
      <c r="D4108" s="4" t="str">
        <f>IFERROR(VLOOKUP(A4108,'Base Prueba'!A:D,4,),"NO REGISTRA")</f>
        <v>CONTADOR</v>
      </c>
      <c r="E4108" s="5" t="str">
        <f>IFERROR(VLOOKUP(A4108,'Base Prueba'!A:E,5,),"NO REGISTRA")</f>
        <v>AREA FINANCIERA Y CONTABLE</v>
      </c>
    </row>
    <row r="4109" spans="1:5" ht="15.75" x14ac:dyDescent="0.25">
      <c r="A4109" s="10">
        <v>80725196</v>
      </c>
      <c r="B4109" s="2">
        <v>46098.299840856482</v>
      </c>
      <c r="C4109" s="3" t="str">
        <f>IFERROR(VLOOKUP(A4109,'Base Prueba'!A:C,3,),"NO REGISTRA")</f>
        <v>YEISON YOSET TOVAR BARBOSA</v>
      </c>
      <c r="D4109" s="4" t="str">
        <f>IFERROR(VLOOKUP(A4109,'Base Prueba'!A:D,4,),"NO REGISTRA")</f>
        <v>LIDER GESTION DOCUMENTAL</v>
      </c>
      <c r="E4109" s="5" t="str">
        <f>IFERROR(VLOOKUP(A4109,'Base Prueba'!A:E,5,),"NO REGISTRA")</f>
        <v>CENTRO DE GESTION DOCUMENTAL</v>
      </c>
    </row>
    <row r="4110" spans="1:5" ht="15.75" x14ac:dyDescent="0.25">
      <c r="A4110" s="10">
        <v>1087121273</v>
      </c>
      <c r="B4110" s="2">
        <v>46098.304987384261</v>
      </c>
      <c r="C4110" s="3" t="str">
        <f>IFERROR(VLOOKUP(A4110,'Base Prueba'!A:C,3,),"NO REGISTRA")</f>
        <v>MAYRA ALEJANDRA CASTILLO ARBOLEDA</v>
      </c>
      <c r="D4110" s="4" t="str">
        <f>IFERROR(VLOOKUP(A4110,'Base Prueba'!A:D,4,),"NO REGISTRA")</f>
        <v>APOYO INTEGRAL DE MERCADEO</v>
      </c>
      <c r="E4110" s="5" t="str">
        <f>IFERROR(VLOOKUP(A4110,'Base Prueba'!A:E,5,),"NO REGISTRA")</f>
        <v>CENTRO DE GESTION DOCUMENTAL</v>
      </c>
    </row>
    <row r="4111" spans="1:5" ht="15.75" x14ac:dyDescent="0.25">
      <c r="A4111" s="10">
        <v>1000257136</v>
      </c>
      <c r="B4111" s="2">
        <v>46098.326171180554</v>
      </c>
      <c r="C4111" s="3" t="str">
        <f>IFERROR(VLOOKUP(A4111,'Base Prueba'!A:C,3,),"NO REGISTRA")</f>
        <v>FRANCI VALENTINA CANO PUENTES</v>
      </c>
      <c r="D4111" s="4" t="str">
        <f>IFERROR(VLOOKUP(A4111,'Base Prueba'!A:D,4,),"NO REGISTRA")</f>
        <v>AUXILIAR CONTABLE</v>
      </c>
      <c r="E4111" s="5" t="str">
        <f>IFERROR(VLOOKUP(A4111,'Base Prueba'!A:E,5,),"NO REGISTRA")</f>
        <v>AREA FINANCIERA Y CONTABLE</v>
      </c>
    </row>
    <row r="4112" spans="1:5" ht="15.75" x14ac:dyDescent="0.25">
      <c r="A4112" s="10">
        <v>1013616244</v>
      </c>
      <c r="B4112" s="2">
        <v>46098.326451851855</v>
      </c>
      <c r="C4112" s="3" t="str">
        <f>IFERROR(VLOOKUP(A4112,'Base Prueba'!A:C,3,),"NO REGISTRA")</f>
        <v>DIANA CAROLINA MARIN BETANCOURT</v>
      </c>
      <c r="D4112" s="4" t="str">
        <f>IFERROR(VLOOKUP(A4112,'Base Prueba'!A:D,4,),"NO REGISTRA")</f>
        <v>AUXILIAR ADMINISTRATIVO</v>
      </c>
      <c r="E4112" s="5" t="str">
        <f>IFERROR(VLOOKUP(A4112,'Base Prueba'!A:E,5,),"NO REGISTRA")</f>
        <v>REGISTRO Y CONTROL ACADEMICO</v>
      </c>
    </row>
    <row r="4113" spans="1:5" ht="15.75" x14ac:dyDescent="0.25">
      <c r="A4113" s="10">
        <v>1010184333</v>
      </c>
      <c r="B4113" s="2">
        <v>46098.328560416667</v>
      </c>
      <c r="C4113" s="3" t="str">
        <f>IFERROR(VLOOKUP(A4113,'Base Prueba'!A:C,3,),"NO REGISTRA")</f>
        <v>AKON ANDRES GARZON ALVAREZ</v>
      </c>
      <c r="D4113" s="4" t="str">
        <f>IFERROR(VLOOKUP(A4113,'Base Prueba'!A:D,4,),"NO REGISTRA")</f>
        <v>APRENDIZ UNIVERSITARIO</v>
      </c>
      <c r="E4113" s="5" t="str">
        <f>IFERROR(VLOOKUP(A4113,'Base Prueba'!A:E,5,),"NO REGISTRA")</f>
        <v>SECRETARIA GENERAL</v>
      </c>
    </row>
    <row r="4114" spans="1:5" ht="15.75" x14ac:dyDescent="0.25">
      <c r="A4114" s="10">
        <v>1024512067</v>
      </c>
      <c r="B4114" s="2">
        <v>46098.329193287034</v>
      </c>
      <c r="C4114" s="3" t="str">
        <f>IFERROR(VLOOKUP(A4114,'Base Prueba'!A:C,3,),"NO REGISTRA")</f>
        <v>CINDY GIOVANA SALGAR GOMEZ</v>
      </c>
      <c r="D4114" s="4" t="str">
        <f>IFERROR(VLOOKUP(A4114,'Base Prueba'!A:D,4,),"NO REGISTRA")</f>
        <v>COORDINADOR DEL SISTEMA INTEGRADO DE GESTION INSTITUCIONAL - SIGI</v>
      </c>
      <c r="E4114" s="5" t="str">
        <f>IFERROR(VLOOKUP(A4114,'Base Prueba'!A:E,5,),"NO REGISTRA")</f>
        <v>OFICINA DE PLANEACION Y GESTION DE LA CALIDAD</v>
      </c>
    </row>
    <row r="4115" spans="1:5" ht="15.75" x14ac:dyDescent="0.25">
      <c r="A4115" s="10">
        <v>52472386</v>
      </c>
      <c r="B4115" s="2">
        <v>46098.330125115739</v>
      </c>
      <c r="C4115" s="3" t="str">
        <f>IFERROR(VLOOKUP(A4115,'Base Prueba'!A:C,3,),"NO REGISTRA")</f>
        <v>ADRIANA MARCELA MORALES PARDO</v>
      </c>
      <c r="D4115" s="4" t="str">
        <f>IFERROR(VLOOKUP(A4115,'Base Prueba'!A:D,4,),"NO REGISTRA")</f>
        <v>PROMOTOR CALL CENTER</v>
      </c>
      <c r="E4115" s="5" t="str">
        <f>IFERROR(VLOOKUP(A4115,'Base Prueba'!A:E,5,),"NO REGISTRA")</f>
        <v>OFICINA DE MERCADEO</v>
      </c>
    </row>
    <row r="4116" spans="1:5" ht="15.75" x14ac:dyDescent="0.25">
      <c r="A4116" s="10">
        <v>52472386</v>
      </c>
      <c r="B4116" s="2">
        <v>46098.330223379628</v>
      </c>
      <c r="C4116" s="3" t="str">
        <f>IFERROR(VLOOKUP(A4116,'Base Prueba'!A:C,3,),"NO REGISTRA")</f>
        <v>ADRIANA MARCELA MORALES PARDO</v>
      </c>
      <c r="D4116" s="4" t="str">
        <f>IFERROR(VLOOKUP(A4116,'Base Prueba'!A:D,4,),"NO REGISTRA")</f>
        <v>PROMOTOR CALL CENTER</v>
      </c>
      <c r="E4116" s="5" t="str">
        <f>IFERROR(VLOOKUP(A4116,'Base Prueba'!A:E,5,),"NO REGISTRA")</f>
        <v>OFICINA DE MERCADEO</v>
      </c>
    </row>
    <row r="4117" spans="1:5" ht="15.75" x14ac:dyDescent="0.25">
      <c r="A4117" s="10">
        <v>1031802160</v>
      </c>
      <c r="B4117" s="2">
        <v>46098.331709837963</v>
      </c>
      <c r="C4117" s="3" t="str">
        <f>IFERROR(VLOOKUP(A4117,'Base Prueba'!A:C,3,),"NO REGISTRA")</f>
        <v>LUISA MARIA MAHECHA SOTOMAYOR</v>
      </c>
      <c r="D4117" s="4" t="str">
        <f>IFERROR(VLOOKUP(A4117,'Base Prueba'!A:D,4,),"NO REGISTRA")</f>
        <v>APRENDIZ UNIVERSITARIO</v>
      </c>
      <c r="E4117" s="5" t="str">
        <f>IFERROR(VLOOKUP(A4117,'Base Prueba'!A:E,5,),"NO REGISTRA")</f>
        <v>OFICINA DE MERCADEO</v>
      </c>
    </row>
    <row r="4118" spans="1:5" ht="15.75" x14ac:dyDescent="0.25">
      <c r="A4118" s="10">
        <v>80191732</v>
      </c>
      <c r="B4118" s="2">
        <v>46098.335110069442</v>
      </c>
      <c r="C4118" s="3" t="str">
        <f>IFERROR(VLOOKUP(A4118,'Base Prueba'!A:C,3,),"NO REGISTRA")</f>
        <v>DANIEL MAURICIO ZAMBRANO TUNJANO</v>
      </c>
      <c r="D4118" s="4" t="str">
        <f>IFERROR(VLOOKUP(A4118,'Base Prueba'!A:D,4,),"NO REGISTRA")</f>
        <v>COORDINADOR DE DISEÑO E IMAGEN INSTITUCIONAL</v>
      </c>
      <c r="E4118" s="5" t="str">
        <f>IFERROR(VLOOKUP(A4118,'Base Prueba'!A:E,5,),"NO REGISTRA")</f>
        <v>OFICINA DE MERCADEO</v>
      </c>
    </row>
    <row r="4119" spans="1:5" ht="15.75" x14ac:dyDescent="0.25">
      <c r="A4119" s="10">
        <v>1012357415</v>
      </c>
      <c r="B4119" s="2">
        <v>46098.335302199077</v>
      </c>
      <c r="C4119" s="3" t="str">
        <f>IFERROR(VLOOKUP(A4119,'Base Prueba'!A:C,3,),"NO REGISTRA")</f>
        <v>CINDY LORENA BOHORQUEZ LEYVA</v>
      </c>
      <c r="D4119" s="4" t="str">
        <f>IFERROR(VLOOKUP(A4119,'Base Prueba'!A:D,4,),"NO REGISTRA")</f>
        <v>ANALISTA DE TESORERIA</v>
      </c>
      <c r="E4119" s="5" t="str">
        <f>IFERROR(VLOOKUP(A4119,'Base Prueba'!A:E,5,),"NO REGISTRA")</f>
        <v>AREA FINANCIERA Y CONTABLE</v>
      </c>
    </row>
    <row r="4120" spans="1:5" ht="15.75" x14ac:dyDescent="0.25">
      <c r="A4120" s="10">
        <v>1049644802</v>
      </c>
      <c r="B4120" s="2">
        <v>46098.335792361111</v>
      </c>
      <c r="C4120" s="3" t="str">
        <f>IFERROR(VLOOKUP(A4120,'Base Prueba'!A:C,3,),"NO REGISTRA")</f>
        <v>DANIELA ALEXANDRA CIPAMOCHA BOSIGA</v>
      </c>
      <c r="D4120" s="4" t="str">
        <f>IFERROR(VLOOKUP(A4120,'Base Prueba'!A:D,4,),"NO REGISTRA")</f>
        <v>LIDER DE DATOS Y SERVICIOS</v>
      </c>
      <c r="E4120" s="5" t="str">
        <f>IFERROR(VLOOKUP(A4120,'Base Prueba'!A:E,5,),"NO REGISTRA")</f>
        <v>OFICINA DE PLANEACION Y GESTION DE LA CALIDAD</v>
      </c>
    </row>
    <row r="4121" spans="1:5" ht="15.75" x14ac:dyDescent="0.25">
      <c r="A4121" s="10">
        <v>1022996882</v>
      </c>
      <c r="B4121" s="2">
        <v>46098.336472800926</v>
      </c>
      <c r="C4121" s="3" t="str">
        <f>IFERROR(VLOOKUP(A4121,'Base Prueba'!A:C,3,),"NO REGISTRA")</f>
        <v>NANCY BRIGITH ALDANA GUEVARA</v>
      </c>
      <c r="D4121" s="4" t="str">
        <f>IFERROR(VLOOKUP(A4121,'Base Prueba'!A:D,4,),"NO REGISTRA")</f>
        <v>COORDINADORA DE GESTIÓN HUMANA</v>
      </c>
      <c r="E4121" s="5" t="str">
        <f>IFERROR(VLOOKUP(A4121,'Base Prueba'!A:E,5,),"NO REGISTRA")</f>
        <v>DEPARTAMENTO DE GESTION HUMANA</v>
      </c>
    </row>
    <row r="4122" spans="1:5" ht="15.75" x14ac:dyDescent="0.25">
      <c r="A4122" s="10">
        <v>1014308296</v>
      </c>
      <c r="B4122" s="2">
        <v>46098.336650925929</v>
      </c>
      <c r="C4122" s="3" t="str">
        <f>IFERROR(VLOOKUP(A4122,'Base Prueba'!A:C,3,),"NO REGISTRA")</f>
        <v>DARLENE YULIANA MORENO CELEITA</v>
      </c>
      <c r="D4122" s="4" t="str">
        <f>IFERROR(VLOOKUP(A4122,'Base Prueba'!A:D,4,),"NO REGISTRA")</f>
        <v>CAJERO PRINCIPAL</v>
      </c>
      <c r="E4122" s="5" t="str">
        <f>IFERROR(VLOOKUP(A4122,'Base Prueba'!A:E,5,),"NO REGISTRA")</f>
        <v>AREA FINANCIERA Y CONTABLE</v>
      </c>
    </row>
    <row r="4123" spans="1:5" ht="15.75" x14ac:dyDescent="0.25">
      <c r="A4123" s="10">
        <v>1000324729</v>
      </c>
      <c r="B4123" s="2">
        <v>46098.337466666664</v>
      </c>
      <c r="C4123" s="3" t="str">
        <f>IFERROR(VLOOKUP(A4123,'Base Prueba'!A:C,3,),"NO REGISTRA")</f>
        <v>ANYIE VANESSA TINOCO CAMACHO</v>
      </c>
      <c r="D4123" s="4" t="str">
        <f>IFERROR(VLOOKUP(A4123,'Base Prueba'!A:D,4,),"NO REGISTRA")</f>
        <v>LIDER DE REGISTRO Y CONTROL</v>
      </c>
      <c r="E4123" s="5" t="str">
        <f>IFERROR(VLOOKUP(A4123,'Base Prueba'!A:E,5,),"NO REGISTRA")</f>
        <v>REGISTRO Y CONTROL ACADEMICO</v>
      </c>
    </row>
    <row r="4124" spans="1:5" ht="15.75" x14ac:dyDescent="0.25">
      <c r="A4124" s="10">
        <v>1193457976</v>
      </c>
      <c r="B4124" s="2">
        <v>46098.337616087963</v>
      </c>
      <c r="C4124" s="3" t="str">
        <f>IFERROR(VLOOKUP(A4124,'Base Prueba'!A:C,3,),"NO REGISTRA")</f>
        <v>SEDENIS RIVAS ASPRILLA</v>
      </c>
      <c r="D4124" s="4" t="str">
        <f>IFERROR(VLOOKUP(A4124,'Base Prueba'!A:D,4,),"NO REGISTRA")</f>
        <v>APRENDIZ UNIVERSITARIO</v>
      </c>
      <c r="E4124" s="5" t="str">
        <f>IFERROR(VLOOKUP(A4124,'Base Prueba'!A:E,5,),"NO REGISTRA")</f>
        <v>DEPARTAMENTO DE GESTION HUMANA</v>
      </c>
    </row>
    <row r="4125" spans="1:5" ht="15.75" x14ac:dyDescent="0.25">
      <c r="A4125" s="10">
        <v>1014977624</v>
      </c>
      <c r="B4125" s="2">
        <v>46098.337997453702</v>
      </c>
      <c r="C4125" s="3" t="str">
        <f>IFERROR(VLOOKUP(A4125,'Base Prueba'!A:C,3,),"NO REGISTRA")</f>
        <v>NICCOLE VALENTINA HERNANDEZ MALAVER</v>
      </c>
      <c r="D4125" s="4" t="str">
        <f>IFERROR(VLOOKUP(A4125,'Base Prueba'!A:D,4,),"NO REGISTRA")</f>
        <v>APRENDIZ UNIVERSITARIO</v>
      </c>
      <c r="E4125" s="5" t="str">
        <f>IFERROR(VLOOKUP(A4125,'Base Prueba'!A:E,5,),"NO REGISTRA")</f>
        <v>AREA FINANCIERA Y CONTABLE</v>
      </c>
    </row>
    <row r="4126" spans="1:5" ht="15.75" x14ac:dyDescent="0.25">
      <c r="A4126" s="10">
        <v>53932358</v>
      </c>
      <c r="B4126" s="2">
        <v>46098.340481828702</v>
      </c>
      <c r="C4126" s="3" t="str">
        <f>IFERROR(VLOOKUP(A4126,'Base Prueba'!A:C,3,),"NO REGISTRA")</f>
        <v>DIANA MADELEYNE GAONA RODRIGUEZ</v>
      </c>
      <c r="D4126" s="4" t="str">
        <f>IFERROR(VLOOKUP(A4126,'Base Prueba'!A:D,4,),"NO REGISTRA")</f>
        <v>CONTADOR</v>
      </c>
      <c r="E4126" s="5" t="str">
        <f>IFERROR(VLOOKUP(A4126,'Base Prueba'!A:E,5,),"NO REGISTRA")</f>
        <v>AREA FINANCIERA Y CONTABLE</v>
      </c>
    </row>
    <row r="4127" spans="1:5" ht="15.75" x14ac:dyDescent="0.25">
      <c r="A4127" s="10">
        <v>1110492291</v>
      </c>
      <c r="B4127" s="2">
        <v>46098.34079386574</v>
      </c>
      <c r="C4127" s="3" t="str">
        <f>IFERROR(VLOOKUP(A4127,'Base Prueba'!A:C,3,),"NO REGISTRA")</f>
        <v>JONATHAN GONZALEZ AYALA</v>
      </c>
      <c r="D4127" s="4" t="str">
        <f>IFERROR(VLOOKUP(A4127,'Base Prueba'!A:D,4,),"NO REGISTRA")</f>
        <v>AUXILIAR ADMINISTRATIVO</v>
      </c>
      <c r="E4127" s="5" t="str">
        <f>IFERROR(VLOOKUP(A4127,'Base Prueba'!A:E,5,),"NO REGISTRA")</f>
        <v>REGISTRO Y CONTROL ACADEMICO</v>
      </c>
    </row>
    <row r="4128" spans="1:5" ht="15.75" x14ac:dyDescent="0.25">
      <c r="A4128" s="10">
        <v>1000467399</v>
      </c>
      <c r="B4128" s="2">
        <v>46098.343517361114</v>
      </c>
      <c r="C4128" s="3" t="str">
        <f>IFERROR(VLOOKUP(A4128,'Base Prueba'!A:C,3,),"NO REGISTRA")</f>
        <v>BRANDO ESTIVEN DIAZ QUIMBAYA</v>
      </c>
      <c r="D4128" s="4" t="str">
        <f>IFERROR(VLOOKUP(A4128,'Base Prueba'!A:D,4,),"NO REGISTRA")</f>
        <v>APRENDIZ UNIVERSITARIO</v>
      </c>
      <c r="E4128" s="5" t="str">
        <f>IFERROR(VLOOKUP(A4128,'Base Prueba'!A:E,5,),"NO REGISTRA")</f>
        <v>DEPARTAMENTO DE GESTION HUMANA</v>
      </c>
    </row>
    <row r="4129" spans="1:5" ht="15.75" x14ac:dyDescent="0.25">
      <c r="A4129" s="10">
        <v>1000457706</v>
      </c>
      <c r="B4129" s="2">
        <v>46098.34675034722</v>
      </c>
      <c r="C4129" s="3" t="str">
        <f>IFERROR(VLOOKUP(A4129,'Base Prueba'!A:C,3,),"NO REGISTRA")</f>
        <v>CRISTIAN DANILO ARROYO SANABRIA</v>
      </c>
      <c r="D4129" s="4" t="str">
        <f>IFERROR(VLOOKUP(A4129,'Base Prueba'!A:D,4,),"NO REGISTRA")</f>
        <v>AUXILIAR CONTABLE</v>
      </c>
      <c r="E4129" s="5" t="str">
        <f>IFERROR(VLOOKUP(A4129,'Base Prueba'!A:E,5,),"NO REGISTRA")</f>
        <v>AREA FINANCIERA Y CONTABLE</v>
      </c>
    </row>
    <row r="4130" spans="1:5" ht="15.75" x14ac:dyDescent="0.25">
      <c r="A4130" s="10">
        <v>80238161</v>
      </c>
      <c r="B4130" s="2">
        <v>46098.346993055558</v>
      </c>
      <c r="C4130" s="3" t="str">
        <f>IFERROR(VLOOKUP(A4130,'Base Prueba'!A:C,3,),"NO REGISTRA")</f>
        <v>GERMAN CARRANZA ESPITIA</v>
      </c>
      <c r="D4130" s="4" t="str">
        <f>IFERROR(VLOOKUP(A4130,'Base Prueba'!A:D,4,),"NO REGISTRA")</f>
        <v>TESORERO</v>
      </c>
      <c r="E4130" s="5" t="str">
        <f>IFERROR(VLOOKUP(A4130,'Base Prueba'!A:E,5,),"NO REGISTRA")</f>
        <v>AREA FINANCIERA Y CONTABLE</v>
      </c>
    </row>
    <row r="4131" spans="1:5" ht="15.75" x14ac:dyDescent="0.25">
      <c r="A4131" s="10">
        <v>725</v>
      </c>
      <c r="B4131" s="2">
        <v>46098.348154050924</v>
      </c>
      <c r="C4131" s="3" t="str">
        <f>IFERROR(VLOOKUP(A4131,'Base Prueba'!A:C,3,),"NO REGISTRA")</f>
        <v>NO REGISTRA</v>
      </c>
      <c r="D4131" s="4" t="str">
        <f>IFERROR(VLOOKUP(A4131,'Base Prueba'!A:D,4,),"NO REGISTRA")</f>
        <v>NO REGISTRA</v>
      </c>
      <c r="E4131" s="5" t="str">
        <f>IFERROR(VLOOKUP(A4131,'Base Prueba'!A:E,5,),"NO REGISTRA")</f>
        <v>NO REGISTRA</v>
      </c>
    </row>
    <row r="4132" spans="1:5" ht="15.75" x14ac:dyDescent="0.25">
      <c r="A4132" s="10">
        <v>1000604979</v>
      </c>
      <c r="B4132" s="2">
        <v>46098.355514814815</v>
      </c>
      <c r="C4132" s="3" t="str">
        <f>IFERROR(VLOOKUP(A4132,'Base Prueba'!A:C,3,),"NO REGISTRA")</f>
        <v>JULIETH TATIANA PARDO PINTO</v>
      </c>
      <c r="D4132" s="4" t="str">
        <f>IFERROR(VLOOKUP(A4132,'Base Prueba'!A:D,4,),"NO REGISTRA")</f>
        <v>AUXILIAR JURIDICO</v>
      </c>
      <c r="E4132" s="5" t="str">
        <f>IFERROR(VLOOKUP(A4132,'Base Prueba'!A:E,5,),"NO REGISTRA")</f>
        <v>SECRETARIA GENERAL</v>
      </c>
    </row>
    <row r="4133" spans="1:5" ht="15.75" x14ac:dyDescent="0.25">
      <c r="A4133" s="10">
        <v>1000593372</v>
      </c>
      <c r="B4133" s="2">
        <v>46098.355560648146</v>
      </c>
      <c r="C4133" s="3" t="str">
        <f>IFERROR(VLOOKUP(A4133,'Base Prueba'!A:C,3,),"NO REGISTRA")</f>
        <v>LAURA SOFIA CHAPARRO LOPEZ</v>
      </c>
      <c r="D4133" s="4" t="str">
        <f>IFERROR(VLOOKUP(A4133,'Base Prueba'!A:D,4,),"NO REGISTRA")</f>
        <v>AUXILIAR JURIDICO</v>
      </c>
      <c r="E4133" s="5" t="str">
        <f>IFERROR(VLOOKUP(A4133,'Base Prueba'!A:E,5,),"NO REGISTRA")</f>
        <v>SECRETARIA GENERAL</v>
      </c>
    </row>
    <row r="4134" spans="1:5" ht="15.75" x14ac:dyDescent="0.25">
      <c r="A4134" s="10">
        <v>1014196857</v>
      </c>
      <c r="B4134" s="2">
        <v>46098.355611342595</v>
      </c>
      <c r="C4134" s="3" t="str">
        <f>IFERROR(VLOOKUP(A4134,'Base Prueba'!A:C,3,),"NO REGISTRA")</f>
        <v>CARLOS ANDRES JIMENEZ PARDO</v>
      </c>
      <c r="D4134" s="4" t="str">
        <f>IFERROR(VLOOKUP(A4134,'Base Prueba'!A:D,4,),"NO REGISTRA")</f>
        <v>COORDINADOR DE MARKETING DIGITAL</v>
      </c>
      <c r="E4134" s="5" t="str">
        <f>IFERROR(VLOOKUP(A4134,'Base Prueba'!A:E,5,),"NO REGISTRA")</f>
        <v>OFICINA DE MERCADEO</v>
      </c>
    </row>
    <row r="4135" spans="1:5" ht="15.75" x14ac:dyDescent="0.25">
      <c r="A4135" s="10">
        <v>1033709056</v>
      </c>
      <c r="B4135" s="2">
        <v>46098.356525925927</v>
      </c>
      <c r="C4135" s="3" t="str">
        <f>IFERROR(VLOOKUP(A4135,'Base Prueba'!A:C,3,),"NO REGISTRA")</f>
        <v>YEIMY ALEXANDRA RODRIGUEZ PALACIO</v>
      </c>
      <c r="D4135" s="4" t="str">
        <f>IFERROR(VLOOKUP(A4135,'Base Prueba'!A:D,4,),"NO REGISTRA")</f>
        <v>PROMOTOR CALL CENTER</v>
      </c>
      <c r="E4135" s="5" t="str">
        <f>IFERROR(VLOOKUP(A4135,'Base Prueba'!A:E,5,),"NO REGISTRA")</f>
        <v>OFICINA DE MERCADEO</v>
      </c>
    </row>
    <row r="4136" spans="1:5" ht="15.75" x14ac:dyDescent="0.25">
      <c r="A4136" s="10">
        <v>1023883232</v>
      </c>
      <c r="B4136" s="2">
        <v>46098.357328587961</v>
      </c>
      <c r="C4136" s="3" t="str">
        <f>IFERROR(VLOOKUP(A4136,'Base Prueba'!A:C,3,),"NO REGISTRA")</f>
        <v>MONICA ANDREA ACERO URBANO</v>
      </c>
      <c r="D4136" s="4" t="str">
        <f>IFERROR(VLOOKUP(A4136,'Base Prueba'!A:D,4,),"NO REGISTRA")</f>
        <v>APOYO INTEGRAL A GESTION HUMANA</v>
      </c>
      <c r="E4136" s="5" t="str">
        <f>IFERROR(VLOOKUP(A4136,'Base Prueba'!A:E,5,),"NO REGISTRA")</f>
        <v>DEPARTAMENTO DE GESTION HUMANA</v>
      </c>
    </row>
    <row r="4137" spans="1:5" ht="15.75" x14ac:dyDescent="0.25">
      <c r="A4137" s="10">
        <v>80234243</v>
      </c>
      <c r="B4137" s="2">
        <v>46098.370232175927</v>
      </c>
      <c r="C4137" s="3" t="str">
        <f>IFERROR(VLOOKUP(A4137,'Base Prueba'!A:C,3,),"NO REGISTRA")</f>
        <v>ARGENIS MARTINEZ MARTINEZ</v>
      </c>
      <c r="D4137" s="4" t="str">
        <f>IFERROR(VLOOKUP(A4137,'Base Prueba'!A:D,4,),"NO REGISTRA")</f>
        <v>LIDER CALL CENTER</v>
      </c>
      <c r="E4137" s="5" t="str">
        <f>IFERROR(VLOOKUP(A4137,'Base Prueba'!A:E,5,),"NO REGISTRA")</f>
        <v>OFICINA DE MERCADEO</v>
      </c>
    </row>
    <row r="4138" spans="1:5" ht="15.75" x14ac:dyDescent="0.25">
      <c r="A4138" s="10">
        <v>28798349</v>
      </c>
      <c r="B4138" s="2">
        <v>46098.373025810186</v>
      </c>
      <c r="C4138" s="3" t="str">
        <f>IFERROR(VLOOKUP(A4138,'Base Prueba'!A:C,3,),"NO REGISTRA")</f>
        <v>MARTHA ISABEL TOVAR WILLIAMS</v>
      </c>
      <c r="D4138" s="4" t="str">
        <f>IFERROR(VLOOKUP(A4138,'Base Prueba'!A:D,4,),"NO REGISTRA")</f>
        <v>PROMOTOR CALL CENTER</v>
      </c>
      <c r="E4138" s="5" t="str">
        <f>IFERROR(VLOOKUP(A4138,'Base Prueba'!A:E,5,),"NO REGISTRA")</f>
        <v>OFICINA DE MERCADEO</v>
      </c>
    </row>
    <row r="4139" spans="1:5" ht="15.75" x14ac:dyDescent="0.25">
      <c r="A4139" s="10">
        <v>1016090131</v>
      </c>
      <c r="B4139" s="2">
        <v>46098.373912847223</v>
      </c>
      <c r="C4139" s="3" t="str">
        <f>IFERROR(VLOOKUP(A4139,'Base Prueba'!A:C,3,),"NO REGISTRA")</f>
        <v>NICOLAS RODRIGUEZ PACHECO</v>
      </c>
      <c r="D4139" s="4" t="str">
        <f>IFERROR(VLOOKUP(A4139,'Base Prueba'!A:D,4,),"NO REGISTRA")</f>
        <v>COORDINADOR DE COMUNICACIONES</v>
      </c>
      <c r="E4139" s="5" t="str">
        <f>IFERROR(VLOOKUP(A4139,'Base Prueba'!A:E,5,),"NO REGISTRA")</f>
        <v>OFICINA DE MERCADEO</v>
      </c>
    </row>
    <row r="4140" spans="1:5" ht="15.75" x14ac:dyDescent="0.25">
      <c r="A4140" s="10">
        <v>52175674</v>
      </c>
      <c r="B4140" s="2">
        <v>46098.374649189813</v>
      </c>
      <c r="C4140" s="3" t="str">
        <f>IFERROR(VLOOKUP(A4140,'Base Prueba'!A:C,3,),"NO REGISTRA")</f>
        <v>LUZ YANETH GOMEZ AREVALO</v>
      </c>
      <c r="D4140" s="4" t="str">
        <f>IFERROR(VLOOKUP(A4140,'Base Prueba'!A:D,4,),"NO REGISTRA")</f>
        <v>COORDINADORA DE ADMISIONES</v>
      </c>
      <c r="E4140" s="5" t="str">
        <f>IFERROR(VLOOKUP(A4140,'Base Prueba'!A:E,5,),"NO REGISTRA")</f>
        <v>OFICINA DE MERCADEO</v>
      </c>
    </row>
    <row r="4141" spans="1:5" ht="15.75" x14ac:dyDescent="0.25">
      <c r="A4141" s="10">
        <v>1018414290</v>
      </c>
      <c r="B4141" s="2">
        <v>46098.375260416666</v>
      </c>
      <c r="C4141" s="3" t="str">
        <f>IFERROR(VLOOKUP(A4141,'Base Prueba'!A:C,3,),"NO REGISTRA")</f>
        <v>AMANDA LISBETH RODRIGUEZ LEON</v>
      </c>
      <c r="D4141" s="4" t="str">
        <f>IFERROR(VLOOKUP(A4141,'Base Prueba'!A:D,4,),"NO REGISTRA")</f>
        <v>PROMOTOR CALL CENTER</v>
      </c>
      <c r="E4141" s="5" t="str">
        <f>IFERROR(VLOOKUP(A4141,'Base Prueba'!A:E,5,),"NO REGISTRA")</f>
        <v>OFICINA DE MERCADEO</v>
      </c>
    </row>
    <row r="4142" spans="1:5" ht="15.75" x14ac:dyDescent="0.25">
      <c r="A4142" s="10">
        <v>53089882</v>
      </c>
      <c r="B4142" s="2">
        <v>46098.375444907404</v>
      </c>
      <c r="C4142" s="3" t="str">
        <f>IFERROR(VLOOKUP(A4142,'Base Prueba'!A:C,3,),"NO REGISTRA")</f>
        <v>MARIA JOHANA ESCAMILLA MARTINEZ</v>
      </c>
      <c r="D4142" s="4" t="str">
        <f>IFERROR(VLOOKUP(A4142,'Base Prueba'!A:D,4,),"NO REGISTRA")</f>
        <v>PROMOTOR DE INFORMACIÓN</v>
      </c>
      <c r="E4142" s="5" t="str">
        <f>IFERROR(VLOOKUP(A4142,'Base Prueba'!A:E,5,),"NO REGISTRA")</f>
        <v>OFICINA DE MERCADEO</v>
      </c>
    </row>
    <row r="4143" spans="1:5" ht="15.75" x14ac:dyDescent="0.25">
      <c r="A4143" s="10">
        <v>1012426741</v>
      </c>
      <c r="B4143" s="2">
        <v>46098.375514699073</v>
      </c>
      <c r="C4143" s="3" t="str">
        <f>IFERROR(VLOOKUP(A4143,'Base Prueba'!A:C,3,),"NO REGISTRA")</f>
        <v>CRISTIAN FABIAN ROJAS SANCENO</v>
      </c>
      <c r="D4143" s="4" t="str">
        <f>IFERROR(VLOOKUP(A4143,'Base Prueba'!A:D,4,),"NO REGISTRA")</f>
        <v>AUXILIAR DE REINTEGROS</v>
      </c>
      <c r="E4143" s="5" t="str">
        <f>IFERROR(VLOOKUP(A4143,'Base Prueba'!A:E,5,),"NO REGISTRA")</f>
        <v>DIRECCION DE BIENESTAR INSTITUCIONAL</v>
      </c>
    </row>
    <row r="4144" spans="1:5" ht="15.75" x14ac:dyDescent="0.25">
      <c r="A4144" s="10">
        <v>1023961952</v>
      </c>
      <c r="B4144" s="2">
        <v>46098.376075694447</v>
      </c>
      <c r="C4144" s="3" t="str">
        <f>IFERROR(VLOOKUP(A4144,'Base Prueba'!A:C,3,),"NO REGISTRA")</f>
        <v>ALEJANDRO PINZON MERCHAN</v>
      </c>
      <c r="D4144" s="4" t="str">
        <f>IFERROR(VLOOKUP(A4144,'Base Prueba'!A:D,4,),"NO REGISTRA")</f>
        <v>PROMOTOR CALL CENTER</v>
      </c>
      <c r="E4144" s="5" t="str">
        <f>IFERROR(VLOOKUP(A4144,'Base Prueba'!A:E,5,),"NO REGISTRA")</f>
        <v>OFICINA DE MERCADEO</v>
      </c>
    </row>
    <row r="4145" spans="1:5" ht="15.75" x14ac:dyDescent="0.25">
      <c r="A4145" s="10">
        <v>1000046533</v>
      </c>
      <c r="B4145" s="2">
        <v>46098.37873113426</v>
      </c>
      <c r="C4145" s="3" t="str">
        <f>IFERROR(VLOOKUP(A4145,'Base Prueba'!A:C,3,),"NO REGISTRA")</f>
        <v>ERIKA JULIETH VALDERRAMA SANCHEZ</v>
      </c>
      <c r="D4145" s="4" t="str">
        <f>IFERROR(VLOOKUP(A4145,'Base Prueba'!A:D,4,),"NO REGISTRA")</f>
        <v>PROMOTOR CALL CENTER</v>
      </c>
      <c r="E4145" s="5" t="str">
        <f>IFERROR(VLOOKUP(A4145,'Base Prueba'!A:E,5,),"NO REGISTRA")</f>
        <v>OFICINA DE MERCADEO</v>
      </c>
    </row>
    <row r="4146" spans="1:5" ht="15.75" x14ac:dyDescent="0.25">
      <c r="A4146" s="10">
        <v>1018413529</v>
      </c>
      <c r="B4146" s="2">
        <v>46098.386685300924</v>
      </c>
      <c r="C4146" s="3" t="str">
        <f>IFERROR(VLOOKUP(A4146,'Base Prueba'!A:C,3,),"NO REGISTRA")</f>
        <v>FRANCY STELLA CHARRY MORENO</v>
      </c>
      <c r="D4146" s="4" t="str">
        <f>IFERROR(VLOOKUP(A4146,'Base Prueba'!A:D,4,),"NO REGISTRA")</f>
        <v>PROMOTOR COMERCIAL DEL CEA</v>
      </c>
      <c r="E4146" s="5" t="str">
        <f>IFERROR(VLOOKUP(A4146,'Base Prueba'!A:E,5,),"NO REGISTRA")</f>
        <v>OFICINA DE MERCADEO</v>
      </c>
    </row>
    <row r="4147" spans="1:5" ht="15.75" x14ac:dyDescent="0.25">
      <c r="A4147" s="10">
        <v>52443092</v>
      </c>
      <c r="B4147" s="2">
        <v>46098.539462962966</v>
      </c>
      <c r="C4147" s="3" t="str">
        <f>IFERROR(VLOOKUP(A4147,'Base Prueba'!A:C,3,),"NO REGISTRA")</f>
        <v>LUZ MYRIAM SAAVEDRA CONTRERAS</v>
      </c>
      <c r="D4147" s="4" t="str">
        <f>IFERROR(VLOOKUP(A4147,'Base Prueba'!A:D,4,),"NO REGISTRA")</f>
        <v>AUXILIAR DE SERVICIOS</v>
      </c>
      <c r="E4147" s="5" t="str">
        <f>IFERROR(VLOOKUP(A4147,'Base Prueba'!A:E,5,),"NO REGISTRA")</f>
        <v>LOGISTICA Y SERVICIOS GENERALES</v>
      </c>
    </row>
    <row r="4148" spans="1:5" ht="15.75" x14ac:dyDescent="0.25">
      <c r="A4148" s="10">
        <v>1000467399</v>
      </c>
      <c r="B4148" s="2">
        <v>46098.667522800926</v>
      </c>
      <c r="C4148" s="3" t="str">
        <f>IFERROR(VLOOKUP(A4148,'Base Prueba'!A:C,3,),"NO REGISTRA")</f>
        <v>BRANDO ESTIVEN DIAZ QUIMBAYA</v>
      </c>
      <c r="D4148" s="4" t="str">
        <f>IFERROR(VLOOKUP(A4148,'Base Prueba'!A:D,4,),"NO REGISTRA")</f>
        <v>APRENDIZ UNIVERSITARIO</v>
      </c>
      <c r="E4148" s="5" t="str">
        <f>IFERROR(VLOOKUP(A4148,'Base Prueba'!A:E,5,),"NO REGISTRA")</f>
        <v>DEPARTAMENTO DE GESTION HUMANA</v>
      </c>
    </row>
    <row r="4149" spans="1:5" ht="15.75" x14ac:dyDescent="0.25">
      <c r="A4149" s="10">
        <v>1031802160</v>
      </c>
      <c r="B4149" s="2">
        <v>46098.70971747685</v>
      </c>
      <c r="C4149" s="3" t="str">
        <f>IFERROR(VLOOKUP(A4149,'Base Prueba'!A:C,3,),"NO REGISTRA")</f>
        <v>LUISA MARIA MAHECHA SOTOMAYOR</v>
      </c>
      <c r="D4149" s="4" t="str">
        <f>IFERROR(VLOOKUP(A4149,'Base Prueba'!A:D,4,),"NO REGISTRA")</f>
        <v>APRENDIZ UNIVERSITARIO</v>
      </c>
      <c r="E4149" s="5" t="str">
        <f>IFERROR(VLOOKUP(A4149,'Base Prueba'!A:E,5,),"NO REGISTRA")</f>
        <v>OFICINA DE MERCADEO</v>
      </c>
    </row>
    <row r="4150" spans="1:5" ht="15.75" x14ac:dyDescent="0.25">
      <c r="A4150" s="10">
        <v>1087121273</v>
      </c>
      <c r="B4150" s="2">
        <v>46098.714077083336</v>
      </c>
      <c r="C4150" s="3" t="str">
        <f>IFERROR(VLOOKUP(A4150,'Base Prueba'!A:C,3,),"NO REGISTRA")</f>
        <v>MAYRA ALEJANDRA CASTILLO ARBOLEDA</v>
      </c>
      <c r="D4150" s="4" t="str">
        <f>IFERROR(VLOOKUP(A4150,'Base Prueba'!A:D,4,),"NO REGISTRA")</f>
        <v>APOYO INTEGRAL DE MERCADEO</v>
      </c>
      <c r="E4150" s="5" t="str">
        <f>IFERROR(VLOOKUP(A4150,'Base Prueba'!A:E,5,),"NO REGISTRA")</f>
        <v>CENTRO DE GESTION DOCUMENTAL</v>
      </c>
    </row>
    <row r="4151" spans="1:5" ht="15.75" x14ac:dyDescent="0.25">
      <c r="A4151" s="10">
        <v>1110492291</v>
      </c>
      <c r="B4151" s="2">
        <v>46098.715996180559</v>
      </c>
      <c r="C4151" s="3" t="str">
        <f>IFERROR(VLOOKUP(A4151,'Base Prueba'!A:C,3,),"NO REGISTRA")</f>
        <v>JONATHAN GONZALEZ AYALA</v>
      </c>
      <c r="D4151" s="4" t="str">
        <f>IFERROR(VLOOKUP(A4151,'Base Prueba'!A:D,4,),"NO REGISTRA")</f>
        <v>AUXILIAR ADMINISTRATIVO</v>
      </c>
      <c r="E4151" s="5" t="str">
        <f>IFERROR(VLOOKUP(A4151,'Base Prueba'!A:E,5,),"NO REGISTRA")</f>
        <v>REGISTRO Y CONTROL ACADEMICO</v>
      </c>
    </row>
    <row r="4152" spans="1:5" ht="15.75" x14ac:dyDescent="0.25">
      <c r="A4152" s="10">
        <v>1010184333</v>
      </c>
      <c r="B4152" s="2">
        <v>46098.72956122685</v>
      </c>
      <c r="C4152" s="3" t="str">
        <f>IFERROR(VLOOKUP(A4152,'Base Prueba'!A:C,3,),"NO REGISTRA")</f>
        <v>AKON ANDRES GARZON ALVAREZ</v>
      </c>
      <c r="D4152" s="4" t="str">
        <f>IFERROR(VLOOKUP(A4152,'Base Prueba'!A:D,4,),"NO REGISTRA")</f>
        <v>APRENDIZ UNIVERSITARIO</v>
      </c>
      <c r="E4152" s="5" t="str">
        <f>IFERROR(VLOOKUP(A4152,'Base Prueba'!A:E,5,),"NO REGISTRA")</f>
        <v>SECRETARIA GENERAL</v>
      </c>
    </row>
    <row r="4153" spans="1:5" ht="15.75" x14ac:dyDescent="0.25">
      <c r="A4153" s="10">
        <v>1000593372</v>
      </c>
      <c r="B4153" s="2">
        <v>46098.750953472219</v>
      </c>
      <c r="C4153" s="3" t="str">
        <f>IFERROR(VLOOKUP(A4153,'Base Prueba'!A:C,3,),"NO REGISTRA")</f>
        <v>LAURA SOFIA CHAPARRO LOPEZ</v>
      </c>
      <c r="D4153" s="4" t="str">
        <f>IFERROR(VLOOKUP(A4153,'Base Prueba'!A:D,4,),"NO REGISTRA")</f>
        <v>AUXILIAR JURIDICO</v>
      </c>
      <c r="E4153" s="5" t="str">
        <f>IFERROR(VLOOKUP(A4153,'Base Prueba'!A:E,5,),"NO REGISTRA")</f>
        <v>SECRETARIA GENERAL</v>
      </c>
    </row>
    <row r="4154" spans="1:5" ht="15.75" x14ac:dyDescent="0.25">
      <c r="A4154" s="10">
        <v>1000604979</v>
      </c>
      <c r="B4154" s="2">
        <v>46098.750994907408</v>
      </c>
      <c r="C4154" s="3" t="str">
        <f>IFERROR(VLOOKUP(A4154,'Base Prueba'!A:C,3,),"NO REGISTRA")</f>
        <v>JULIETH TATIANA PARDO PINTO</v>
      </c>
      <c r="D4154" s="4" t="str">
        <f>IFERROR(VLOOKUP(A4154,'Base Prueba'!A:D,4,),"NO REGISTRA")</f>
        <v>AUXILIAR JURIDICO</v>
      </c>
      <c r="E4154" s="5" t="str">
        <f>IFERROR(VLOOKUP(A4154,'Base Prueba'!A:E,5,),"NO REGISTRA")</f>
        <v>SECRETARIA GENERAL</v>
      </c>
    </row>
    <row r="4155" spans="1:5" ht="15.75" x14ac:dyDescent="0.25">
      <c r="A4155" s="10">
        <v>1014308296</v>
      </c>
      <c r="B4155" s="2">
        <v>46098.75256724537</v>
      </c>
      <c r="C4155" s="3" t="str">
        <f>IFERROR(VLOOKUP(A4155,'Base Prueba'!A:C,3,),"NO REGISTRA")</f>
        <v>DARLENE YULIANA MORENO CELEITA</v>
      </c>
      <c r="D4155" s="4" t="str">
        <f>IFERROR(VLOOKUP(A4155,'Base Prueba'!A:D,4,),"NO REGISTRA")</f>
        <v>CAJERO PRINCIPAL</v>
      </c>
      <c r="E4155" s="5" t="str">
        <f>IFERROR(VLOOKUP(A4155,'Base Prueba'!A:E,5,),"NO REGISTRA")</f>
        <v>AREA FINANCIERA Y CONTABLE</v>
      </c>
    </row>
    <row r="4156" spans="1:5" ht="15.75" x14ac:dyDescent="0.25">
      <c r="A4156" s="10">
        <v>1193457976</v>
      </c>
      <c r="B4156" s="2">
        <v>46098.753090393519</v>
      </c>
      <c r="C4156" s="3" t="str">
        <f>IFERROR(VLOOKUP(A4156,'Base Prueba'!A:C,3,),"NO REGISTRA")</f>
        <v>SEDENIS RIVAS ASPRILLA</v>
      </c>
      <c r="D4156" s="4" t="str">
        <f>IFERROR(VLOOKUP(A4156,'Base Prueba'!A:D,4,),"NO REGISTRA")</f>
        <v>APRENDIZ UNIVERSITARIO</v>
      </c>
      <c r="E4156" s="5" t="str">
        <f>IFERROR(VLOOKUP(A4156,'Base Prueba'!A:E,5,),"NO REGISTRA")</f>
        <v>DEPARTAMENTO DE GESTION HUMANA</v>
      </c>
    </row>
    <row r="4157" spans="1:5" ht="15.75" x14ac:dyDescent="0.25">
      <c r="A4157" s="10">
        <v>1023883232</v>
      </c>
      <c r="B4157" s="2">
        <v>46098.753235300923</v>
      </c>
      <c r="C4157" s="3" t="str">
        <f>IFERROR(VLOOKUP(A4157,'Base Prueba'!A:C,3,),"NO REGISTRA")</f>
        <v>MONICA ANDREA ACERO URBANO</v>
      </c>
      <c r="D4157" s="4" t="str">
        <f>IFERROR(VLOOKUP(A4157,'Base Prueba'!A:D,4,),"NO REGISTRA")</f>
        <v>APOYO INTEGRAL A GESTION HUMANA</v>
      </c>
      <c r="E4157" s="5" t="str">
        <f>IFERROR(VLOOKUP(A4157,'Base Prueba'!A:E,5,),"NO REGISTRA")</f>
        <v>DEPARTAMENTO DE GESTION HUMANA</v>
      </c>
    </row>
    <row r="4158" spans="1:5" ht="15.75" x14ac:dyDescent="0.25">
      <c r="A4158" s="10">
        <v>1030567635</v>
      </c>
      <c r="B4158" s="2">
        <v>46098.75334398148</v>
      </c>
      <c r="C4158" s="3" t="str">
        <f>IFERROR(VLOOKUP(A4158,'Base Prueba'!A:C,3,),"NO REGISTRA")</f>
        <v>JEFFERSON ANDRES BARRETO DIAZ</v>
      </c>
      <c r="D4158" s="4" t="str">
        <f>IFERROR(VLOOKUP(A4158,'Base Prueba'!A:D,4,),"NO REGISTRA")</f>
        <v>AUXILIAR DE ARCHIVO</v>
      </c>
      <c r="E4158" s="5" t="str">
        <f>IFERROR(VLOOKUP(A4158,'Base Prueba'!A:E,5,),"NO REGISTRA")</f>
        <v>CENTRO DE GESTION DOCUMENTAL</v>
      </c>
    </row>
    <row r="4159" spans="1:5" ht="15.75" x14ac:dyDescent="0.25">
      <c r="A4159" s="10">
        <v>1049644802</v>
      </c>
      <c r="B4159" s="2">
        <v>46098.753715740742</v>
      </c>
      <c r="C4159" s="3" t="str">
        <f>IFERROR(VLOOKUP(A4159,'Base Prueba'!A:C,3,),"NO REGISTRA")</f>
        <v>DANIELA ALEXANDRA CIPAMOCHA BOSIGA</v>
      </c>
      <c r="D4159" s="4" t="str">
        <f>IFERROR(VLOOKUP(A4159,'Base Prueba'!A:D,4,),"NO REGISTRA")</f>
        <v>LIDER DE DATOS Y SERVICIOS</v>
      </c>
      <c r="E4159" s="5" t="str">
        <f>IFERROR(VLOOKUP(A4159,'Base Prueba'!A:E,5,),"NO REGISTRA")</f>
        <v>OFICINA DE PLANEACION Y GESTION DE LA CALIDAD</v>
      </c>
    </row>
    <row r="4160" spans="1:5" ht="15.75" x14ac:dyDescent="0.25">
      <c r="A4160" s="10">
        <v>1014977624</v>
      </c>
      <c r="B4160" s="2">
        <v>46098.755429976853</v>
      </c>
      <c r="C4160" s="3" t="str">
        <f>IFERROR(VLOOKUP(A4160,'Base Prueba'!A:C,3,),"NO REGISTRA")</f>
        <v>NICCOLE VALENTINA HERNANDEZ MALAVER</v>
      </c>
      <c r="D4160" s="4" t="str">
        <f>IFERROR(VLOOKUP(A4160,'Base Prueba'!A:D,4,),"NO REGISTRA")</f>
        <v>APRENDIZ UNIVERSITARIO</v>
      </c>
      <c r="E4160" s="5" t="str">
        <f>IFERROR(VLOOKUP(A4160,'Base Prueba'!A:E,5,),"NO REGISTRA")</f>
        <v>AREA FINANCIERA Y CONTABLE</v>
      </c>
    </row>
    <row r="4161" spans="1:5" ht="15.75" x14ac:dyDescent="0.25">
      <c r="A4161" s="10">
        <v>80191732</v>
      </c>
      <c r="B4161" s="2">
        <v>46098.757142361108</v>
      </c>
      <c r="C4161" s="3" t="str">
        <f>IFERROR(VLOOKUP(A4161,'Base Prueba'!A:C,3,),"NO REGISTRA")</f>
        <v>DANIEL MAURICIO ZAMBRANO TUNJANO</v>
      </c>
      <c r="D4161" s="4" t="str">
        <f>IFERROR(VLOOKUP(A4161,'Base Prueba'!A:D,4,),"NO REGISTRA")</f>
        <v>COORDINADOR DE DISEÑO E IMAGEN INSTITUCIONAL</v>
      </c>
      <c r="E4161" s="5" t="str">
        <f>IFERROR(VLOOKUP(A4161,'Base Prueba'!A:E,5,),"NO REGISTRA")</f>
        <v>OFICINA DE MERCADEO</v>
      </c>
    </row>
    <row r="4162" spans="1:5" ht="15.75" x14ac:dyDescent="0.25">
      <c r="A4162" s="10">
        <v>80238161</v>
      </c>
      <c r="B4162" s="2">
        <v>46098.771154166665</v>
      </c>
      <c r="C4162" s="3" t="str">
        <f>IFERROR(VLOOKUP(A4162,'Base Prueba'!A:C,3,),"NO REGISTRA")</f>
        <v>GERMAN CARRANZA ESPITIA</v>
      </c>
      <c r="D4162" s="4" t="str">
        <f>IFERROR(VLOOKUP(A4162,'Base Prueba'!A:D,4,),"NO REGISTRA")</f>
        <v>TESORERO</v>
      </c>
      <c r="E4162" s="5" t="str">
        <f>IFERROR(VLOOKUP(A4162,'Base Prueba'!A:E,5,),"NO REGISTRA")</f>
        <v>AREA FINANCIERA Y CONTABLE</v>
      </c>
    </row>
    <row r="4163" spans="1:5" ht="15.75" x14ac:dyDescent="0.25">
      <c r="A4163" s="10">
        <v>1022996882</v>
      </c>
      <c r="B4163" s="2">
        <v>46098.772118287037</v>
      </c>
      <c r="C4163" s="3" t="str">
        <f>IFERROR(VLOOKUP(A4163,'Base Prueba'!A:C,3,),"NO REGISTRA")</f>
        <v>NANCY BRIGITH ALDANA GUEVARA</v>
      </c>
      <c r="D4163" s="4" t="str">
        <f>IFERROR(VLOOKUP(A4163,'Base Prueba'!A:D,4,),"NO REGISTRA")</f>
        <v>COORDINADORA DE GESTIÓN HUMANA</v>
      </c>
      <c r="E4163" s="5" t="str">
        <f>IFERROR(VLOOKUP(A4163,'Base Prueba'!A:E,5,),"NO REGISTRA")</f>
        <v>DEPARTAMENTO DE GESTION HUMANA</v>
      </c>
    </row>
    <row r="4164" spans="1:5" ht="15.75" x14ac:dyDescent="0.25">
      <c r="A4164" s="10">
        <v>1024512067</v>
      </c>
      <c r="B4164" s="2">
        <v>46098.77224791667</v>
      </c>
      <c r="C4164" s="3" t="str">
        <f>IFERROR(VLOOKUP(A4164,'Base Prueba'!A:C,3,),"NO REGISTRA")</f>
        <v>CINDY GIOVANA SALGAR GOMEZ</v>
      </c>
      <c r="D4164" s="4" t="str">
        <f>IFERROR(VLOOKUP(A4164,'Base Prueba'!A:D,4,),"NO REGISTRA")</f>
        <v>COORDINADOR DEL SISTEMA INTEGRADO DE GESTION INSTITUCIONAL - SIGI</v>
      </c>
      <c r="E4164" s="5" t="str">
        <f>IFERROR(VLOOKUP(A4164,'Base Prueba'!A:E,5,),"NO REGISTRA")</f>
        <v>OFICINA DE PLANEACION Y GESTION DE LA CALIDAD</v>
      </c>
    </row>
    <row r="4165" spans="1:5" ht="15.75" x14ac:dyDescent="0.25">
      <c r="A4165" s="10">
        <v>1012426741</v>
      </c>
      <c r="B4165" s="2">
        <v>46098.773105555556</v>
      </c>
      <c r="C4165" s="3" t="str">
        <f>IFERROR(VLOOKUP(A4165,'Base Prueba'!A:C,3,),"NO REGISTRA")</f>
        <v>CRISTIAN FABIAN ROJAS SANCENO</v>
      </c>
      <c r="D4165" s="4" t="str">
        <f>IFERROR(VLOOKUP(A4165,'Base Prueba'!A:D,4,),"NO REGISTRA")</f>
        <v>AUXILIAR DE REINTEGROS</v>
      </c>
      <c r="E4165" s="5" t="str">
        <f>IFERROR(VLOOKUP(A4165,'Base Prueba'!A:E,5,),"NO REGISTRA")</f>
        <v>DIRECCION DE BIENESTAR INSTITUCIONAL</v>
      </c>
    </row>
    <row r="4166" spans="1:5" ht="15.75" x14ac:dyDescent="0.25">
      <c r="A4166" s="10">
        <v>28798349</v>
      </c>
      <c r="B4166" s="2">
        <v>46098.773902083332</v>
      </c>
      <c r="C4166" s="3" t="str">
        <f>IFERROR(VLOOKUP(A4166,'Base Prueba'!A:C,3,),"NO REGISTRA")</f>
        <v>MARTHA ISABEL TOVAR WILLIAMS</v>
      </c>
      <c r="D4166" s="4" t="str">
        <f>IFERROR(VLOOKUP(A4166,'Base Prueba'!A:D,4,),"NO REGISTRA")</f>
        <v>PROMOTOR CALL CENTER</v>
      </c>
      <c r="E4166" s="5" t="str">
        <f>IFERROR(VLOOKUP(A4166,'Base Prueba'!A:E,5,),"NO REGISTRA")</f>
        <v>OFICINA DE MERCADEO</v>
      </c>
    </row>
    <row r="4167" spans="1:5" ht="15.75" x14ac:dyDescent="0.25">
      <c r="A4167" s="10">
        <v>52472386</v>
      </c>
      <c r="B4167" s="2">
        <v>46098.774117245368</v>
      </c>
      <c r="C4167" s="3" t="str">
        <f>IFERROR(VLOOKUP(A4167,'Base Prueba'!A:C,3,),"NO REGISTRA")</f>
        <v>ADRIANA MARCELA MORALES PARDO</v>
      </c>
      <c r="D4167" s="4" t="str">
        <f>IFERROR(VLOOKUP(A4167,'Base Prueba'!A:D,4,),"NO REGISTRA")</f>
        <v>PROMOTOR CALL CENTER</v>
      </c>
      <c r="E4167" s="5" t="str">
        <f>IFERROR(VLOOKUP(A4167,'Base Prueba'!A:E,5,),"NO REGISTRA")</f>
        <v>OFICINA DE MERCADEO</v>
      </c>
    </row>
    <row r="4168" spans="1:5" ht="15.75" x14ac:dyDescent="0.25">
      <c r="A4168" s="10">
        <v>1033709056</v>
      </c>
      <c r="B4168" s="2">
        <v>46098.774759953703</v>
      </c>
      <c r="C4168" s="3" t="str">
        <f>IFERROR(VLOOKUP(A4168,'Base Prueba'!A:C,3,),"NO REGISTRA")</f>
        <v>YEIMY ALEXANDRA RODRIGUEZ PALACIO</v>
      </c>
      <c r="D4168" s="4" t="str">
        <f>IFERROR(VLOOKUP(A4168,'Base Prueba'!A:D,4,),"NO REGISTRA")</f>
        <v>PROMOTOR CALL CENTER</v>
      </c>
      <c r="E4168" s="5" t="str">
        <f>IFERROR(VLOOKUP(A4168,'Base Prueba'!A:E,5,),"NO REGISTRA")</f>
        <v>OFICINA DE MERCADEO</v>
      </c>
    </row>
    <row r="4169" spans="1:5" ht="15.75" x14ac:dyDescent="0.25">
      <c r="A4169" s="10">
        <v>1000046533</v>
      </c>
      <c r="B4169" s="2">
        <v>46098.774807407404</v>
      </c>
      <c r="C4169" s="3" t="str">
        <f>IFERROR(VLOOKUP(A4169,'Base Prueba'!A:C,3,),"NO REGISTRA")</f>
        <v>ERIKA JULIETH VALDERRAMA SANCHEZ</v>
      </c>
      <c r="D4169" s="4" t="str">
        <f>IFERROR(VLOOKUP(A4169,'Base Prueba'!A:D,4,),"NO REGISTRA")</f>
        <v>PROMOTOR CALL CENTER</v>
      </c>
      <c r="E4169" s="5" t="str">
        <f>IFERROR(VLOOKUP(A4169,'Base Prueba'!A:E,5,),"NO REGISTRA")</f>
        <v>OFICINA DE MERCADEO</v>
      </c>
    </row>
    <row r="4170" spans="1:5" ht="15.75" x14ac:dyDescent="0.25">
      <c r="A4170" s="10">
        <v>1018413529</v>
      </c>
      <c r="B4170" s="2">
        <v>46098.776616435185</v>
      </c>
      <c r="C4170" s="3" t="str">
        <f>IFERROR(VLOOKUP(A4170,'Base Prueba'!A:C,3,),"NO REGISTRA")</f>
        <v>FRANCY STELLA CHARRY MORENO</v>
      </c>
      <c r="D4170" s="4" t="str">
        <f>IFERROR(VLOOKUP(A4170,'Base Prueba'!A:D,4,),"NO REGISTRA")</f>
        <v>PROMOTOR COMERCIAL DEL CEA</v>
      </c>
      <c r="E4170" s="5" t="str">
        <f>IFERROR(VLOOKUP(A4170,'Base Prueba'!A:E,5,),"NO REGISTRA")</f>
        <v>OFICINA DE MERCADEO</v>
      </c>
    </row>
    <row r="4171" spans="1:5" ht="15.75" x14ac:dyDescent="0.25">
      <c r="A4171" s="10">
        <v>1023961952</v>
      </c>
      <c r="B4171" s="2">
        <v>46098.776701157411</v>
      </c>
      <c r="C4171" s="3" t="str">
        <f>IFERROR(VLOOKUP(A4171,'Base Prueba'!A:C,3,),"NO REGISTRA")</f>
        <v>ALEJANDRO PINZON MERCHAN</v>
      </c>
      <c r="D4171" s="4" t="str">
        <f>IFERROR(VLOOKUP(A4171,'Base Prueba'!A:D,4,),"NO REGISTRA")</f>
        <v>PROMOTOR CALL CENTER</v>
      </c>
      <c r="E4171" s="5" t="str">
        <f>IFERROR(VLOOKUP(A4171,'Base Prueba'!A:E,5,),"NO REGISTRA")</f>
        <v>OFICINA DE MERCADEO</v>
      </c>
    </row>
    <row r="4172" spans="1:5" ht="15.75" x14ac:dyDescent="0.25">
      <c r="A4172" s="10">
        <v>1000257136</v>
      </c>
      <c r="B4172" s="2">
        <v>46098.776729745368</v>
      </c>
      <c r="C4172" s="3" t="str">
        <f>IFERROR(VLOOKUP(A4172,'Base Prueba'!A:C,3,),"NO REGISTRA")</f>
        <v>FRANCI VALENTINA CANO PUENTES</v>
      </c>
      <c r="D4172" s="4" t="str">
        <f>IFERROR(VLOOKUP(A4172,'Base Prueba'!A:D,4,),"NO REGISTRA")</f>
        <v>AUXILIAR CONTABLE</v>
      </c>
      <c r="E4172" s="5" t="str">
        <f>IFERROR(VLOOKUP(A4172,'Base Prueba'!A:E,5,),"NO REGISTRA")</f>
        <v>AREA FINANCIERA Y CONTABLE</v>
      </c>
    </row>
    <row r="4173" spans="1:5" ht="15.75" x14ac:dyDescent="0.25">
      <c r="A4173" s="10">
        <v>53089882</v>
      </c>
      <c r="B4173" s="2">
        <v>46098.776825578701</v>
      </c>
      <c r="C4173" s="3" t="str">
        <f>IFERROR(VLOOKUP(A4173,'Base Prueba'!A:C,3,),"NO REGISTRA")</f>
        <v>MARIA JOHANA ESCAMILLA MARTINEZ</v>
      </c>
      <c r="D4173" s="4" t="str">
        <f>IFERROR(VLOOKUP(A4173,'Base Prueba'!A:D,4,),"NO REGISTRA")</f>
        <v>PROMOTOR DE INFORMACIÓN</v>
      </c>
      <c r="E4173" s="5" t="str">
        <f>IFERROR(VLOOKUP(A4173,'Base Prueba'!A:E,5,),"NO REGISTRA")</f>
        <v>OFICINA DE MERCADEO</v>
      </c>
    </row>
    <row r="4174" spans="1:5" ht="15.75" x14ac:dyDescent="0.25">
      <c r="A4174" s="10">
        <v>1018414290</v>
      </c>
      <c r="B4174" s="2">
        <v>46098.780241203705</v>
      </c>
      <c r="C4174" s="3" t="str">
        <f>IFERROR(VLOOKUP(A4174,'Base Prueba'!A:C,3,),"NO REGISTRA")</f>
        <v>AMANDA LISBETH RODRIGUEZ LEON</v>
      </c>
      <c r="D4174" s="4" t="str">
        <f>IFERROR(VLOOKUP(A4174,'Base Prueba'!A:D,4,),"NO REGISTRA")</f>
        <v>PROMOTOR CALL CENTER</v>
      </c>
      <c r="E4174" s="5" t="str">
        <f>IFERROR(VLOOKUP(A4174,'Base Prueba'!A:E,5,),"NO REGISTRA")</f>
        <v>OFICINA DE MERCADEO</v>
      </c>
    </row>
    <row r="4175" spans="1:5" ht="15.75" x14ac:dyDescent="0.25">
      <c r="A4175" s="10">
        <v>52175674</v>
      </c>
      <c r="B4175" s="2">
        <v>46098.781208333334</v>
      </c>
      <c r="C4175" s="3" t="str">
        <f>IFERROR(VLOOKUP(A4175,'Base Prueba'!A:C,3,),"NO REGISTRA")</f>
        <v>LUZ YANETH GOMEZ AREVALO</v>
      </c>
      <c r="D4175" s="4" t="str">
        <f>IFERROR(VLOOKUP(A4175,'Base Prueba'!A:D,4,),"NO REGISTRA")</f>
        <v>COORDINADORA DE ADMISIONES</v>
      </c>
      <c r="E4175" s="5" t="str">
        <f>IFERROR(VLOOKUP(A4175,'Base Prueba'!A:E,5,),"NO REGISTRA")</f>
        <v>OFICINA DE MERCADEO</v>
      </c>
    </row>
    <row r="4176" spans="1:5" ht="15.75" x14ac:dyDescent="0.25">
      <c r="A4176" s="10">
        <v>1000324729</v>
      </c>
      <c r="B4176" s="2">
        <v>46098.784614467593</v>
      </c>
      <c r="C4176" s="3" t="str">
        <f>IFERROR(VLOOKUP(A4176,'Base Prueba'!A:C,3,),"NO REGISTRA")</f>
        <v>ANYIE VANESSA TINOCO CAMACHO</v>
      </c>
      <c r="D4176" s="4" t="str">
        <f>IFERROR(VLOOKUP(A4176,'Base Prueba'!A:D,4,),"NO REGISTRA")</f>
        <v>LIDER DE REGISTRO Y CONTROL</v>
      </c>
      <c r="E4176" s="5" t="str">
        <f>IFERROR(VLOOKUP(A4176,'Base Prueba'!A:E,5,),"NO REGISTRA")</f>
        <v>REGISTRO Y CONTROL ACADEMICO</v>
      </c>
    </row>
    <row r="4177" spans="1:5" ht="15.75" x14ac:dyDescent="0.25">
      <c r="A4177" s="10">
        <v>52474489</v>
      </c>
      <c r="B4177" s="2">
        <v>46098.784718055555</v>
      </c>
      <c r="C4177" s="3" t="str">
        <f>IFERROR(VLOOKUP(A4177,'Base Prueba'!A:C,3,),"NO REGISTRA")</f>
        <v>ADRIANA JIMENA SOTO BOCANEGRA</v>
      </c>
      <c r="D4177" s="4" t="str">
        <f>IFERROR(VLOOKUP(A4177,'Base Prueba'!A:D,4,),"NO REGISTRA")</f>
        <v>COORDINADOR DE LA OFICINA DE REGISTRO Y CONTROL</v>
      </c>
      <c r="E4177" s="5" t="str">
        <f>IFERROR(VLOOKUP(A4177,'Base Prueba'!A:E,5,),"NO REGISTRA")</f>
        <v>REGISTRO Y CONTROL ACADEMICO</v>
      </c>
    </row>
    <row r="4178" spans="1:5" ht="15.75" x14ac:dyDescent="0.25">
      <c r="A4178" s="10">
        <v>1013616244</v>
      </c>
      <c r="B4178" s="2">
        <v>46098.785372685183</v>
      </c>
      <c r="C4178" s="3" t="str">
        <f>IFERROR(VLOOKUP(A4178,'Base Prueba'!A:C,3,),"NO REGISTRA")</f>
        <v>DIANA CAROLINA MARIN BETANCOURT</v>
      </c>
      <c r="D4178" s="4" t="str">
        <f>IFERROR(VLOOKUP(A4178,'Base Prueba'!A:D,4,),"NO REGISTRA")</f>
        <v>AUXILIAR ADMINISTRATIVO</v>
      </c>
      <c r="E4178" s="5" t="str">
        <f>IFERROR(VLOOKUP(A4178,'Base Prueba'!A:E,5,),"NO REGISTRA")</f>
        <v>REGISTRO Y CONTROL ACADEMICO</v>
      </c>
    </row>
    <row r="4179" spans="1:5" ht="15.75" x14ac:dyDescent="0.25">
      <c r="A4179" s="10">
        <v>1000457706</v>
      </c>
      <c r="B4179" s="2">
        <v>46098.789081712966</v>
      </c>
      <c r="C4179" s="3" t="str">
        <f>IFERROR(VLOOKUP(A4179,'Base Prueba'!A:C,3,),"NO REGISTRA")</f>
        <v>CRISTIAN DANILO ARROYO SANABRIA</v>
      </c>
      <c r="D4179" s="4" t="str">
        <f>IFERROR(VLOOKUP(A4179,'Base Prueba'!A:D,4,),"NO REGISTRA")</f>
        <v>AUXILIAR CONTABLE</v>
      </c>
      <c r="E4179" s="5" t="str">
        <f>IFERROR(VLOOKUP(A4179,'Base Prueba'!A:E,5,),"NO REGISTRA")</f>
        <v>AREA FINANCIERA Y CONTABLE</v>
      </c>
    </row>
    <row r="4180" spans="1:5" ht="15.75" x14ac:dyDescent="0.25">
      <c r="A4180" s="10">
        <v>53932358</v>
      </c>
      <c r="B4180" s="2">
        <v>46098.789605092592</v>
      </c>
      <c r="C4180" s="3" t="str">
        <f>IFERROR(VLOOKUP(A4180,'Base Prueba'!A:C,3,),"NO REGISTRA")</f>
        <v>DIANA MADELEYNE GAONA RODRIGUEZ</v>
      </c>
      <c r="D4180" s="4" t="str">
        <f>IFERROR(VLOOKUP(A4180,'Base Prueba'!A:D,4,),"NO REGISTRA")</f>
        <v>CONTADOR</v>
      </c>
      <c r="E4180" s="5" t="str">
        <f>IFERROR(VLOOKUP(A4180,'Base Prueba'!A:E,5,),"NO REGISTRA")</f>
        <v>AREA FINANCIERA Y CONTABLE</v>
      </c>
    </row>
    <row r="4181" spans="1:5" ht="15.75" x14ac:dyDescent="0.25">
      <c r="A4181" s="10">
        <v>80234243</v>
      </c>
      <c r="B4181" s="2">
        <v>46098.79254328704</v>
      </c>
      <c r="C4181" s="3" t="str">
        <f>IFERROR(VLOOKUP(A4181,'Base Prueba'!A:C,3,),"NO REGISTRA")</f>
        <v>ARGENIS MARTINEZ MARTINEZ</v>
      </c>
      <c r="D4181" s="4" t="str">
        <f>IFERROR(VLOOKUP(A4181,'Base Prueba'!A:D,4,),"NO REGISTRA")</f>
        <v>LIDER CALL CENTER</v>
      </c>
      <c r="E4181" s="5" t="str">
        <f>IFERROR(VLOOKUP(A4181,'Base Prueba'!A:E,5,),"NO REGISTRA")</f>
        <v>OFICINA DE MERCADEO</v>
      </c>
    </row>
    <row r="4182" spans="1:5" ht="15.75" x14ac:dyDescent="0.25">
      <c r="A4182" s="10">
        <v>1014196857</v>
      </c>
      <c r="B4182" s="2">
        <v>46098.808464004629</v>
      </c>
      <c r="C4182" s="3" t="str">
        <f>IFERROR(VLOOKUP(A4182,'Base Prueba'!A:C,3,),"NO REGISTRA")</f>
        <v>CARLOS ANDRES JIMENEZ PARDO</v>
      </c>
      <c r="D4182" s="4" t="str">
        <f>IFERROR(VLOOKUP(A4182,'Base Prueba'!A:D,4,),"NO REGISTRA")</f>
        <v>COORDINADOR DE MARKETING DIGITAL</v>
      </c>
      <c r="E4182" s="5" t="str">
        <f>IFERROR(VLOOKUP(A4182,'Base Prueba'!A:E,5,),"NO REGISTRA")</f>
        <v>OFICINA DE MERCADEO</v>
      </c>
    </row>
    <row r="4183" spans="1:5" ht="15.75" x14ac:dyDescent="0.25">
      <c r="A4183" s="10">
        <v>1087121273</v>
      </c>
      <c r="B4183" s="2">
        <v>46099.315041550923</v>
      </c>
      <c r="C4183" s="3" t="str">
        <f>IFERROR(VLOOKUP(A4183,'Base Prueba'!A:C,3,),"NO REGISTRA")</f>
        <v>MAYRA ALEJANDRA CASTILLO ARBOLEDA</v>
      </c>
      <c r="D4183" s="4" t="str">
        <f>IFERROR(VLOOKUP(A4183,'Base Prueba'!A:D,4,),"NO REGISTRA")</f>
        <v>APOYO INTEGRAL DE MERCADEO</v>
      </c>
      <c r="E4183" s="5" t="str">
        <f>IFERROR(VLOOKUP(A4183,'Base Prueba'!A:E,5,),"NO REGISTRA")</f>
        <v>CENTRO DE GESTION DOCUMENTAL</v>
      </c>
    </row>
    <row r="4184" spans="1:5" ht="15.75" x14ac:dyDescent="0.25">
      <c r="A4184" s="10">
        <v>80725196</v>
      </c>
      <c r="B4184" s="2">
        <v>46099.317114120371</v>
      </c>
      <c r="C4184" s="3" t="str">
        <f>IFERROR(VLOOKUP(A4184,'Base Prueba'!A:C,3,),"NO REGISTRA")</f>
        <v>YEISON YOSET TOVAR BARBOSA</v>
      </c>
      <c r="D4184" s="4" t="str">
        <f>IFERROR(VLOOKUP(A4184,'Base Prueba'!A:D,4,),"NO REGISTRA")</f>
        <v>LIDER GESTION DOCUMENTAL</v>
      </c>
      <c r="E4184" s="5" t="str">
        <f>IFERROR(VLOOKUP(A4184,'Base Prueba'!A:E,5,),"NO REGISTRA")</f>
        <v>CENTRO DE GESTION DOCUMENTAL</v>
      </c>
    </row>
    <row r="4185" spans="1:5" ht="15.75" x14ac:dyDescent="0.25">
      <c r="A4185" s="10">
        <v>1000324729</v>
      </c>
      <c r="B4185" s="2">
        <v>46099.322136226852</v>
      </c>
      <c r="C4185" s="3" t="str">
        <f>IFERROR(VLOOKUP(A4185,'Base Prueba'!A:C,3,),"NO REGISTRA")</f>
        <v>ANYIE VANESSA TINOCO CAMACHO</v>
      </c>
      <c r="D4185" s="4" t="str">
        <f>IFERROR(VLOOKUP(A4185,'Base Prueba'!A:D,4,),"NO REGISTRA")</f>
        <v>LIDER DE REGISTRO Y CONTROL</v>
      </c>
      <c r="E4185" s="5" t="str">
        <f>IFERROR(VLOOKUP(A4185,'Base Prueba'!A:E,5,),"NO REGISTRA")</f>
        <v>REGISTRO Y CONTROL ACADEMICO</v>
      </c>
    </row>
    <row r="4186" spans="1:5" ht="15.75" x14ac:dyDescent="0.25">
      <c r="A4186" s="10">
        <v>1013616244</v>
      </c>
      <c r="B4186" s="2">
        <v>46099.323825462961</v>
      </c>
      <c r="C4186" s="3" t="str">
        <f>IFERROR(VLOOKUP(A4186,'Base Prueba'!A:C,3,),"NO REGISTRA")</f>
        <v>DIANA CAROLINA MARIN BETANCOURT</v>
      </c>
      <c r="D4186" s="4" t="str">
        <f>IFERROR(VLOOKUP(A4186,'Base Prueba'!A:D,4,),"NO REGISTRA")</f>
        <v>AUXILIAR ADMINISTRATIVO</v>
      </c>
      <c r="E4186" s="5" t="str">
        <f>IFERROR(VLOOKUP(A4186,'Base Prueba'!A:E,5,),"NO REGISTRA")</f>
        <v>REGISTRO Y CONTROL ACADEMICO</v>
      </c>
    </row>
    <row r="4187" spans="1:5" ht="15.75" x14ac:dyDescent="0.25">
      <c r="A4187" s="10">
        <v>1014308296</v>
      </c>
      <c r="B4187" s="2">
        <v>46099.326919212966</v>
      </c>
      <c r="C4187" s="3" t="str">
        <f>IFERROR(VLOOKUP(A4187,'Base Prueba'!A:C,3,),"NO REGISTRA")</f>
        <v>DARLENE YULIANA MORENO CELEITA</v>
      </c>
      <c r="D4187" s="4" t="str">
        <f>IFERROR(VLOOKUP(A4187,'Base Prueba'!A:D,4,),"NO REGISTRA")</f>
        <v>CAJERO PRINCIPAL</v>
      </c>
      <c r="E4187" s="5" t="str">
        <f>IFERROR(VLOOKUP(A4187,'Base Prueba'!A:E,5,),"NO REGISTRA")</f>
        <v>AREA FINANCIERA Y CONTABLE</v>
      </c>
    </row>
    <row r="4188" spans="1:5" ht="15.75" x14ac:dyDescent="0.25">
      <c r="A4188" s="10">
        <v>1010184333</v>
      </c>
      <c r="B4188" s="2">
        <v>46099.327182754627</v>
      </c>
      <c r="C4188" s="3" t="str">
        <f>IFERROR(VLOOKUP(A4188,'Base Prueba'!A:C,3,),"NO REGISTRA")</f>
        <v>AKON ANDRES GARZON ALVAREZ</v>
      </c>
      <c r="D4188" s="4" t="str">
        <f>IFERROR(VLOOKUP(A4188,'Base Prueba'!A:D,4,),"NO REGISTRA")</f>
        <v>APRENDIZ UNIVERSITARIO</v>
      </c>
      <c r="E4188" s="5" t="str">
        <f>IFERROR(VLOOKUP(A4188,'Base Prueba'!A:E,5,),"NO REGISTRA")</f>
        <v>SECRETARIA GENERAL</v>
      </c>
    </row>
    <row r="4189" spans="1:5" ht="15.75" x14ac:dyDescent="0.25">
      <c r="A4189" s="10">
        <v>1024512067</v>
      </c>
      <c r="B4189" s="2">
        <v>46099.327426851851</v>
      </c>
      <c r="C4189" s="3" t="str">
        <f>IFERROR(VLOOKUP(A4189,'Base Prueba'!A:C,3,),"NO REGISTRA")</f>
        <v>CINDY GIOVANA SALGAR GOMEZ</v>
      </c>
      <c r="D4189" s="4" t="str">
        <f>IFERROR(VLOOKUP(A4189,'Base Prueba'!A:D,4,),"NO REGISTRA")</f>
        <v>COORDINADOR DEL SISTEMA INTEGRADO DE GESTION INSTITUCIONAL - SIGI</v>
      </c>
      <c r="E4189" s="5" t="str">
        <f>IFERROR(VLOOKUP(A4189,'Base Prueba'!A:E,5,),"NO REGISTRA")</f>
        <v>OFICINA DE PLANEACION Y GESTION DE LA CALIDAD</v>
      </c>
    </row>
    <row r="4190" spans="1:5" ht="15.75" x14ac:dyDescent="0.25">
      <c r="A4190" s="10">
        <v>80191732</v>
      </c>
      <c r="B4190" s="2">
        <v>46099.329601620368</v>
      </c>
      <c r="C4190" s="3" t="str">
        <f>IFERROR(VLOOKUP(A4190,'Base Prueba'!A:C,3,),"NO REGISTRA")</f>
        <v>DANIEL MAURICIO ZAMBRANO TUNJANO</v>
      </c>
      <c r="D4190" s="4" t="str">
        <f>IFERROR(VLOOKUP(A4190,'Base Prueba'!A:D,4,),"NO REGISTRA")</f>
        <v>COORDINADOR DE DISEÑO E IMAGEN INSTITUCIONAL</v>
      </c>
      <c r="E4190" s="5" t="str">
        <f>IFERROR(VLOOKUP(A4190,'Base Prueba'!A:E,5,),"NO REGISTRA")</f>
        <v>OFICINA DE MERCADEO</v>
      </c>
    </row>
    <row r="4191" spans="1:5" ht="15.75" x14ac:dyDescent="0.25">
      <c r="A4191" s="10">
        <v>52472386</v>
      </c>
      <c r="B4191" s="2">
        <v>46099.331945601851</v>
      </c>
      <c r="C4191" s="3" t="str">
        <f>IFERROR(VLOOKUP(A4191,'Base Prueba'!A:C,3,),"NO REGISTRA")</f>
        <v>ADRIANA MARCELA MORALES PARDO</v>
      </c>
      <c r="D4191" s="4" t="str">
        <f>IFERROR(VLOOKUP(A4191,'Base Prueba'!A:D,4,),"NO REGISTRA")</f>
        <v>PROMOTOR CALL CENTER</v>
      </c>
      <c r="E4191" s="5" t="str">
        <f>IFERROR(VLOOKUP(A4191,'Base Prueba'!A:E,5,),"NO REGISTRA")</f>
        <v>OFICINA DE MERCADEO</v>
      </c>
    </row>
    <row r="4192" spans="1:5" ht="15.75" x14ac:dyDescent="0.25">
      <c r="A4192" s="10">
        <v>1110492291</v>
      </c>
      <c r="B4192" s="2">
        <v>46099.333236805556</v>
      </c>
      <c r="C4192" s="3" t="str">
        <f>IFERROR(VLOOKUP(A4192,'Base Prueba'!A:C,3,),"NO REGISTRA")</f>
        <v>JONATHAN GONZALEZ AYALA</v>
      </c>
      <c r="D4192" s="4" t="str">
        <f>IFERROR(VLOOKUP(A4192,'Base Prueba'!A:D,4,),"NO REGISTRA")</f>
        <v>AUXILIAR ADMINISTRATIVO</v>
      </c>
      <c r="E4192" s="5" t="str">
        <f>IFERROR(VLOOKUP(A4192,'Base Prueba'!A:E,5,),"NO REGISTRA")</f>
        <v>REGISTRO Y CONTROL ACADEMICO</v>
      </c>
    </row>
    <row r="4193" spans="1:5" ht="15.75" x14ac:dyDescent="0.25">
      <c r="A4193" s="10">
        <v>1031802160</v>
      </c>
      <c r="B4193" s="2">
        <v>46099.335260995373</v>
      </c>
      <c r="C4193" s="3" t="str">
        <f>IFERROR(VLOOKUP(A4193,'Base Prueba'!A:C,3,),"NO REGISTRA")</f>
        <v>LUISA MARIA MAHECHA SOTOMAYOR</v>
      </c>
      <c r="D4193" s="4" t="str">
        <f>IFERROR(VLOOKUP(A4193,'Base Prueba'!A:D,4,),"NO REGISTRA")</f>
        <v>APRENDIZ UNIVERSITARIO</v>
      </c>
      <c r="E4193" s="5" t="str">
        <f>IFERROR(VLOOKUP(A4193,'Base Prueba'!A:E,5,),"NO REGISTRA")</f>
        <v>OFICINA DE MERCADEO</v>
      </c>
    </row>
    <row r="4194" spans="1:5" ht="15.75" x14ac:dyDescent="0.25">
      <c r="A4194" s="10">
        <v>1000257136</v>
      </c>
      <c r="B4194" s="2">
        <v>46099.336245949075</v>
      </c>
      <c r="C4194" s="3" t="str">
        <f>IFERROR(VLOOKUP(A4194,'Base Prueba'!A:C,3,),"NO REGISTRA")</f>
        <v>FRANCI VALENTINA CANO PUENTES</v>
      </c>
      <c r="D4194" s="4" t="str">
        <f>IFERROR(VLOOKUP(A4194,'Base Prueba'!A:D,4,),"NO REGISTRA")</f>
        <v>AUXILIAR CONTABLE</v>
      </c>
      <c r="E4194" s="5" t="str">
        <f>IFERROR(VLOOKUP(A4194,'Base Prueba'!A:E,5,),"NO REGISTRA")</f>
        <v>AREA FINANCIERA Y CONTABLE</v>
      </c>
    </row>
    <row r="4195" spans="1:5" ht="15.75" x14ac:dyDescent="0.25">
      <c r="A4195" s="10">
        <v>1022996882</v>
      </c>
      <c r="B4195" s="2">
        <v>46099.340936805558</v>
      </c>
      <c r="C4195" s="3" t="str">
        <f>IFERROR(VLOOKUP(A4195,'Base Prueba'!A:C,3,),"NO REGISTRA")</f>
        <v>NANCY BRIGITH ALDANA GUEVARA</v>
      </c>
      <c r="D4195" s="4" t="str">
        <f>IFERROR(VLOOKUP(A4195,'Base Prueba'!A:D,4,),"NO REGISTRA")</f>
        <v>COORDINADORA DE GESTIÓN HUMANA</v>
      </c>
      <c r="E4195" s="5" t="str">
        <f>IFERROR(VLOOKUP(A4195,'Base Prueba'!A:E,5,),"NO REGISTRA")</f>
        <v>DEPARTAMENTO DE GESTION HUMANA</v>
      </c>
    </row>
    <row r="4196" spans="1:5" ht="15.75" x14ac:dyDescent="0.25">
      <c r="A4196" s="10">
        <v>1049644802</v>
      </c>
      <c r="B4196" s="2">
        <v>46099.340962037037</v>
      </c>
      <c r="C4196" s="3" t="str">
        <f>IFERROR(VLOOKUP(A4196,'Base Prueba'!A:C,3,),"NO REGISTRA")</f>
        <v>DANIELA ALEXANDRA CIPAMOCHA BOSIGA</v>
      </c>
      <c r="D4196" s="4" t="str">
        <f>IFERROR(VLOOKUP(A4196,'Base Prueba'!A:D,4,),"NO REGISTRA")</f>
        <v>LIDER DE DATOS Y SERVICIOS</v>
      </c>
      <c r="E4196" s="5" t="str">
        <f>IFERROR(VLOOKUP(A4196,'Base Prueba'!A:E,5,),"NO REGISTRA")</f>
        <v>OFICINA DE PLANEACION Y GESTION DE LA CALIDAD</v>
      </c>
    </row>
    <row r="4197" spans="1:5" ht="15.75" x14ac:dyDescent="0.25">
      <c r="A4197" s="10">
        <v>80234243</v>
      </c>
      <c r="B4197" s="2">
        <v>46099.342946064811</v>
      </c>
      <c r="C4197" s="3" t="str">
        <f>IFERROR(VLOOKUP(A4197,'Base Prueba'!A:C,3,),"NO REGISTRA")</f>
        <v>ARGENIS MARTINEZ MARTINEZ</v>
      </c>
      <c r="D4197" s="4" t="str">
        <f>IFERROR(VLOOKUP(A4197,'Base Prueba'!A:D,4,),"NO REGISTRA")</f>
        <v>LIDER CALL CENTER</v>
      </c>
      <c r="E4197" s="5" t="str">
        <f>IFERROR(VLOOKUP(A4197,'Base Prueba'!A:E,5,),"NO REGISTRA")</f>
        <v>OFICINA DE MERCADEO</v>
      </c>
    </row>
    <row r="4198" spans="1:5" ht="15.75" x14ac:dyDescent="0.25">
      <c r="A4198" s="10">
        <v>1193457976</v>
      </c>
      <c r="B4198" s="2">
        <v>46099.343033449077</v>
      </c>
      <c r="C4198" s="3" t="str">
        <f>IFERROR(VLOOKUP(A4198,'Base Prueba'!A:C,3,),"NO REGISTRA")</f>
        <v>SEDENIS RIVAS ASPRILLA</v>
      </c>
      <c r="D4198" s="4" t="str">
        <f>IFERROR(VLOOKUP(A4198,'Base Prueba'!A:D,4,),"NO REGISTRA")</f>
        <v>APRENDIZ UNIVERSITARIO</v>
      </c>
      <c r="E4198" s="5" t="str">
        <f>IFERROR(VLOOKUP(A4198,'Base Prueba'!A:E,5,),"NO REGISTRA")</f>
        <v>DEPARTAMENTO DE GESTION HUMANA</v>
      </c>
    </row>
    <row r="4199" spans="1:5" ht="15.75" x14ac:dyDescent="0.25">
      <c r="A4199" s="10">
        <v>1014977624</v>
      </c>
      <c r="B4199" s="2">
        <v>46099.346362615739</v>
      </c>
      <c r="C4199" s="3" t="str">
        <f>IFERROR(VLOOKUP(A4199,'Base Prueba'!A:C,3,),"NO REGISTRA")</f>
        <v>NICCOLE VALENTINA HERNANDEZ MALAVER</v>
      </c>
      <c r="D4199" s="4" t="str">
        <f>IFERROR(VLOOKUP(A4199,'Base Prueba'!A:D,4,),"NO REGISTRA")</f>
        <v>APRENDIZ UNIVERSITARIO</v>
      </c>
      <c r="E4199" s="5" t="str">
        <f>IFERROR(VLOOKUP(A4199,'Base Prueba'!A:E,5,),"NO REGISTRA")</f>
        <v>AREA FINANCIERA Y CONTABLE</v>
      </c>
    </row>
    <row r="4200" spans="1:5" ht="15.75" x14ac:dyDescent="0.25">
      <c r="A4200" s="10">
        <v>53932358</v>
      </c>
      <c r="B4200" s="2">
        <v>46099.34881516204</v>
      </c>
      <c r="C4200" s="3" t="str">
        <f>IFERROR(VLOOKUP(A4200,'Base Prueba'!A:C,3,),"NO REGISTRA")</f>
        <v>DIANA MADELEYNE GAONA RODRIGUEZ</v>
      </c>
      <c r="D4200" s="4" t="str">
        <f>IFERROR(VLOOKUP(A4200,'Base Prueba'!A:D,4,),"NO REGISTRA")</f>
        <v>CONTADOR</v>
      </c>
      <c r="E4200" s="5" t="str">
        <f>IFERROR(VLOOKUP(A4200,'Base Prueba'!A:E,5,),"NO REGISTRA")</f>
        <v>AREA FINANCIERA Y CONTABLE</v>
      </c>
    </row>
    <row r="4201" spans="1:5" ht="15.75" x14ac:dyDescent="0.25">
      <c r="A4201" s="10">
        <v>1012357415</v>
      </c>
      <c r="B4201" s="2">
        <v>46099.348987384263</v>
      </c>
      <c r="C4201" s="3" t="str">
        <f>IFERROR(VLOOKUP(A4201,'Base Prueba'!A:C,3,),"NO REGISTRA")</f>
        <v>CINDY LORENA BOHORQUEZ LEYVA</v>
      </c>
      <c r="D4201" s="4" t="str">
        <f>IFERROR(VLOOKUP(A4201,'Base Prueba'!A:D,4,),"NO REGISTRA")</f>
        <v>ANALISTA DE TESORERIA</v>
      </c>
      <c r="E4201" s="5" t="str">
        <f>IFERROR(VLOOKUP(A4201,'Base Prueba'!A:E,5,),"NO REGISTRA")</f>
        <v>AREA FINANCIERA Y CONTABLE</v>
      </c>
    </row>
    <row r="4202" spans="1:5" ht="15.75" x14ac:dyDescent="0.25">
      <c r="A4202" s="10">
        <v>1024505434</v>
      </c>
      <c r="B4202" s="2">
        <v>46099.350177314816</v>
      </c>
      <c r="C4202" s="3" t="str">
        <f>IFERROR(VLOOKUP(A4202,'Base Prueba'!A:C,3,),"NO REGISTRA")</f>
        <v>CRISTIAN ALBERTO MELO TORRES</v>
      </c>
      <c r="D4202" s="4" t="str">
        <f>IFERROR(VLOOKUP(A4202,'Base Prueba'!A:D,4,),"NO REGISTRA")</f>
        <v>COORDINADOR DE INFRAESTRUCTURA</v>
      </c>
      <c r="E4202" s="5" t="str">
        <f>IFERROR(VLOOKUP(A4202,'Base Prueba'!A:E,5,),"NO REGISTRA")</f>
        <v>VICERRECTORIA ADMINISTRATIVA Y FINANCIERA</v>
      </c>
    </row>
    <row r="4203" spans="1:5" ht="15.75" x14ac:dyDescent="0.25">
      <c r="A4203" s="10">
        <v>1032407386</v>
      </c>
      <c r="B4203" s="2">
        <v>46099.350399074072</v>
      </c>
      <c r="C4203" s="3" t="str">
        <f>IFERROR(VLOOKUP(A4203,'Base Prueba'!A:C,3,),"NO REGISTRA")</f>
        <v>GINA PAOLA BAEZ GALVIS</v>
      </c>
      <c r="D4203" s="4" t="str">
        <f>IFERROR(VLOOKUP(A4203,'Base Prueba'!A:D,4,),"NO REGISTRA")</f>
        <v>PROMOTOR CALL CENTER</v>
      </c>
      <c r="E4203" s="5" t="str">
        <f>IFERROR(VLOOKUP(A4203,'Base Prueba'!A:E,5,),"NO REGISTRA")</f>
        <v>OFICINA DE MERCADEO</v>
      </c>
    </row>
    <row r="4204" spans="1:5" ht="15.75" x14ac:dyDescent="0.25">
      <c r="A4204" s="10">
        <v>1000457706</v>
      </c>
      <c r="B4204" s="2">
        <v>46099.350591666669</v>
      </c>
      <c r="C4204" s="3" t="str">
        <f>IFERROR(VLOOKUP(A4204,'Base Prueba'!A:C,3,),"NO REGISTRA")</f>
        <v>CRISTIAN DANILO ARROYO SANABRIA</v>
      </c>
      <c r="D4204" s="4" t="str">
        <f>IFERROR(VLOOKUP(A4204,'Base Prueba'!A:D,4,),"NO REGISTRA")</f>
        <v>AUXILIAR CONTABLE</v>
      </c>
      <c r="E4204" s="5" t="str">
        <f>IFERROR(VLOOKUP(A4204,'Base Prueba'!A:E,5,),"NO REGISTRA")</f>
        <v>AREA FINANCIERA Y CONTABLE</v>
      </c>
    </row>
    <row r="4205" spans="1:5" ht="15.75" x14ac:dyDescent="0.25">
      <c r="A4205" s="10">
        <v>80238161</v>
      </c>
      <c r="B4205" s="2">
        <v>46099.360374305557</v>
      </c>
      <c r="C4205" s="3" t="str">
        <f>IFERROR(VLOOKUP(A4205,'Base Prueba'!A:C,3,),"NO REGISTRA")</f>
        <v>GERMAN CARRANZA ESPITIA</v>
      </c>
      <c r="D4205" s="4" t="str">
        <f>IFERROR(VLOOKUP(A4205,'Base Prueba'!A:D,4,),"NO REGISTRA")</f>
        <v>TESORERO</v>
      </c>
      <c r="E4205" s="5" t="str">
        <f>IFERROR(VLOOKUP(A4205,'Base Prueba'!A:E,5,),"NO REGISTRA")</f>
        <v>AREA FINANCIERA Y CONTABLE</v>
      </c>
    </row>
    <row r="4206" spans="1:5" ht="15.75" x14ac:dyDescent="0.25">
      <c r="A4206" s="10">
        <v>1000604979</v>
      </c>
      <c r="B4206" s="2">
        <v>46099.361922222219</v>
      </c>
      <c r="C4206" s="3" t="str">
        <f>IFERROR(VLOOKUP(A4206,'Base Prueba'!A:C,3,),"NO REGISTRA")</f>
        <v>JULIETH TATIANA PARDO PINTO</v>
      </c>
      <c r="D4206" s="4" t="str">
        <f>IFERROR(VLOOKUP(A4206,'Base Prueba'!A:D,4,),"NO REGISTRA")</f>
        <v>AUXILIAR JURIDICO</v>
      </c>
      <c r="E4206" s="5" t="str">
        <f>IFERROR(VLOOKUP(A4206,'Base Prueba'!A:E,5,),"NO REGISTRA")</f>
        <v>SECRETARIA GENERAL</v>
      </c>
    </row>
    <row r="4207" spans="1:5" ht="15.75" x14ac:dyDescent="0.25">
      <c r="A4207" s="10">
        <v>1023883232</v>
      </c>
      <c r="B4207" s="2">
        <v>46099.363221990738</v>
      </c>
      <c r="C4207" s="3" t="str">
        <f>IFERROR(VLOOKUP(A4207,'Base Prueba'!A:C,3,),"NO REGISTRA")</f>
        <v>MONICA ANDREA ACERO URBANO</v>
      </c>
      <c r="D4207" s="4" t="str">
        <f>IFERROR(VLOOKUP(A4207,'Base Prueba'!A:D,4,),"NO REGISTRA")</f>
        <v>APOYO INTEGRAL A GESTION HUMANA</v>
      </c>
      <c r="E4207" s="5" t="str">
        <f>IFERROR(VLOOKUP(A4207,'Base Prueba'!A:E,5,),"NO REGISTRA")</f>
        <v>DEPARTAMENTO DE GESTION HUMANA</v>
      </c>
    </row>
    <row r="4208" spans="1:5" ht="15.75" x14ac:dyDescent="0.25">
      <c r="A4208" s="10">
        <v>1014196857</v>
      </c>
      <c r="B4208" s="2">
        <v>46099.363324768521</v>
      </c>
      <c r="C4208" s="3" t="str">
        <f>IFERROR(VLOOKUP(A4208,'Base Prueba'!A:C,3,),"NO REGISTRA")</f>
        <v>CARLOS ANDRES JIMENEZ PARDO</v>
      </c>
      <c r="D4208" s="4" t="str">
        <f>IFERROR(VLOOKUP(A4208,'Base Prueba'!A:D,4,),"NO REGISTRA")</f>
        <v>COORDINADOR DE MARKETING DIGITAL</v>
      </c>
      <c r="E4208" s="5" t="str">
        <f>IFERROR(VLOOKUP(A4208,'Base Prueba'!A:E,5,),"NO REGISTRA")</f>
        <v>OFICINA DE MERCADEO</v>
      </c>
    </row>
    <row r="4209" spans="1:5" ht="15.75" x14ac:dyDescent="0.25">
      <c r="A4209" s="10">
        <v>1016090131</v>
      </c>
      <c r="B4209" s="2">
        <v>46099.363408680554</v>
      </c>
      <c r="C4209" s="3" t="str">
        <f>IFERROR(VLOOKUP(A4209,'Base Prueba'!A:C,3,),"NO REGISTRA")</f>
        <v>NICOLAS RODRIGUEZ PACHECO</v>
      </c>
      <c r="D4209" s="4" t="str">
        <f>IFERROR(VLOOKUP(A4209,'Base Prueba'!A:D,4,),"NO REGISTRA")</f>
        <v>COORDINADOR DE COMUNICACIONES</v>
      </c>
      <c r="E4209" s="5" t="str">
        <f>IFERROR(VLOOKUP(A4209,'Base Prueba'!A:E,5,),"NO REGISTRA")</f>
        <v>OFICINA DE MERCADEO</v>
      </c>
    </row>
    <row r="4210" spans="1:5" ht="15.75" x14ac:dyDescent="0.25">
      <c r="A4210" s="10">
        <v>1033709056</v>
      </c>
      <c r="B4210" s="2">
        <v>46099.363490972224</v>
      </c>
      <c r="C4210" s="3" t="str">
        <f>IFERROR(VLOOKUP(A4210,'Base Prueba'!A:C,3,),"NO REGISTRA")</f>
        <v>YEIMY ALEXANDRA RODRIGUEZ PALACIO</v>
      </c>
      <c r="D4210" s="4" t="str">
        <f>IFERROR(VLOOKUP(A4210,'Base Prueba'!A:D,4,),"NO REGISTRA")</f>
        <v>PROMOTOR CALL CENTER</v>
      </c>
      <c r="E4210" s="5" t="str">
        <f>IFERROR(VLOOKUP(A4210,'Base Prueba'!A:E,5,),"NO REGISTRA")</f>
        <v>OFICINA DE MERCADEO</v>
      </c>
    </row>
    <row r="4211" spans="1:5" ht="15.75" x14ac:dyDescent="0.25">
      <c r="A4211" s="10">
        <v>1000593372</v>
      </c>
      <c r="B4211" s="2">
        <v>46099.366469791668</v>
      </c>
      <c r="C4211" s="3" t="str">
        <f>IFERROR(VLOOKUP(A4211,'Base Prueba'!A:C,3,),"NO REGISTRA")</f>
        <v>LAURA SOFIA CHAPARRO LOPEZ</v>
      </c>
      <c r="D4211" s="4" t="str">
        <f>IFERROR(VLOOKUP(A4211,'Base Prueba'!A:D,4,),"NO REGISTRA")</f>
        <v>AUXILIAR JURIDICO</v>
      </c>
      <c r="E4211" s="5" t="str">
        <f>IFERROR(VLOOKUP(A4211,'Base Prueba'!A:E,5,),"NO REGISTRA")</f>
        <v>SECRETARIA GENERAL</v>
      </c>
    </row>
    <row r="4212" spans="1:5" ht="15.75" x14ac:dyDescent="0.25">
      <c r="A4212" s="10">
        <v>1018413529</v>
      </c>
      <c r="B4212" s="2">
        <v>46099.368138310187</v>
      </c>
      <c r="C4212" s="3" t="str">
        <f>IFERROR(VLOOKUP(A4212,'Base Prueba'!A:C,3,),"NO REGISTRA")</f>
        <v>FRANCY STELLA CHARRY MORENO</v>
      </c>
      <c r="D4212" s="4" t="str">
        <f>IFERROR(VLOOKUP(A4212,'Base Prueba'!A:D,4,),"NO REGISTRA")</f>
        <v>PROMOTOR COMERCIAL DEL CEA</v>
      </c>
      <c r="E4212" s="5" t="str">
        <f>IFERROR(VLOOKUP(A4212,'Base Prueba'!A:E,5,),"NO REGISTRA")</f>
        <v>OFICINA DE MERCADEO</v>
      </c>
    </row>
    <row r="4213" spans="1:5" ht="15.75" x14ac:dyDescent="0.25">
      <c r="A4213" s="10">
        <v>1019105003</v>
      </c>
      <c r="B4213" s="2">
        <v>46099.370992708333</v>
      </c>
      <c r="C4213" s="3" t="str">
        <f>IFERROR(VLOOKUP(A4213,'Base Prueba'!A:C,3,),"NO REGISTRA")</f>
        <v>DAISY JULIETH GASPAR MORENO</v>
      </c>
      <c r="D4213" s="4" t="str">
        <f>IFERROR(VLOOKUP(A4213,'Base Prueba'!A:D,4,),"NO REGISTRA")</f>
        <v>PROMOTOR CALL CENTER</v>
      </c>
      <c r="E4213" s="5" t="str">
        <f>IFERROR(VLOOKUP(A4213,'Base Prueba'!A:E,5,),"NO REGISTRA")</f>
        <v>OFICINA DE MERCADEO</v>
      </c>
    </row>
    <row r="4214" spans="1:5" ht="15.75" x14ac:dyDescent="0.25">
      <c r="A4214" s="10">
        <v>1000046533</v>
      </c>
      <c r="B4214" s="2">
        <v>46099.3746994213</v>
      </c>
      <c r="C4214" s="3" t="str">
        <f>IFERROR(VLOOKUP(A4214,'Base Prueba'!A:C,3,),"NO REGISTRA")</f>
        <v>ERIKA JULIETH VALDERRAMA SANCHEZ</v>
      </c>
      <c r="D4214" s="4" t="str">
        <f>IFERROR(VLOOKUP(A4214,'Base Prueba'!A:D,4,),"NO REGISTRA")</f>
        <v>PROMOTOR CALL CENTER</v>
      </c>
      <c r="E4214" s="5" t="str">
        <f>IFERROR(VLOOKUP(A4214,'Base Prueba'!A:E,5,),"NO REGISTRA")</f>
        <v>OFICINA DE MERCADEO</v>
      </c>
    </row>
    <row r="4215" spans="1:5" ht="15.75" x14ac:dyDescent="0.25">
      <c r="A4215" s="10">
        <v>1023961952</v>
      </c>
      <c r="B4215" s="2">
        <v>46099.375656481483</v>
      </c>
      <c r="C4215" s="3" t="str">
        <f>IFERROR(VLOOKUP(A4215,'Base Prueba'!A:C,3,),"NO REGISTRA")</f>
        <v>ALEJANDRO PINZON MERCHAN</v>
      </c>
      <c r="D4215" s="4" t="str">
        <f>IFERROR(VLOOKUP(A4215,'Base Prueba'!A:D,4,),"NO REGISTRA")</f>
        <v>PROMOTOR CALL CENTER</v>
      </c>
      <c r="E4215" s="5" t="str">
        <f>IFERROR(VLOOKUP(A4215,'Base Prueba'!A:E,5,),"NO REGISTRA")</f>
        <v>OFICINA DE MERCADEO</v>
      </c>
    </row>
    <row r="4216" spans="1:5" ht="15.75" x14ac:dyDescent="0.25">
      <c r="A4216" s="10">
        <v>1018414290</v>
      </c>
      <c r="B4216" s="2">
        <v>46099.377452893517</v>
      </c>
      <c r="C4216" s="3" t="str">
        <f>IFERROR(VLOOKUP(A4216,'Base Prueba'!A:C,3,),"NO REGISTRA")</f>
        <v>AMANDA LISBETH RODRIGUEZ LEON</v>
      </c>
      <c r="D4216" s="4" t="str">
        <f>IFERROR(VLOOKUP(A4216,'Base Prueba'!A:D,4,),"NO REGISTRA")</f>
        <v>PROMOTOR CALL CENTER</v>
      </c>
      <c r="E4216" s="5" t="str">
        <f>IFERROR(VLOOKUP(A4216,'Base Prueba'!A:E,5,),"NO REGISTRA")</f>
        <v>OFICINA DE MERCADEO</v>
      </c>
    </row>
    <row r="4217" spans="1:5" ht="15.75" x14ac:dyDescent="0.25">
      <c r="A4217" s="10">
        <v>53089882</v>
      </c>
      <c r="B4217" s="2">
        <v>46099.378035416667</v>
      </c>
      <c r="C4217" s="3" t="str">
        <f>IFERROR(VLOOKUP(A4217,'Base Prueba'!A:C,3,),"NO REGISTRA")</f>
        <v>MARIA JOHANA ESCAMILLA MARTINEZ</v>
      </c>
      <c r="D4217" s="4" t="str">
        <f>IFERROR(VLOOKUP(A4217,'Base Prueba'!A:D,4,),"NO REGISTRA")</f>
        <v>PROMOTOR DE INFORMACIÓN</v>
      </c>
      <c r="E4217" s="5" t="str">
        <f>IFERROR(VLOOKUP(A4217,'Base Prueba'!A:E,5,),"NO REGISTRA")</f>
        <v>OFICINA DE MERCADEO</v>
      </c>
    </row>
    <row r="4218" spans="1:5" ht="15.75" x14ac:dyDescent="0.25">
      <c r="A4218" s="10">
        <v>28798349</v>
      </c>
      <c r="B4218" s="2">
        <v>46099.379990046298</v>
      </c>
      <c r="C4218" s="3" t="str">
        <f>IFERROR(VLOOKUP(A4218,'Base Prueba'!A:C,3,),"NO REGISTRA")</f>
        <v>MARTHA ISABEL TOVAR WILLIAMS</v>
      </c>
      <c r="D4218" s="4" t="str">
        <f>IFERROR(VLOOKUP(A4218,'Base Prueba'!A:D,4,),"NO REGISTRA")</f>
        <v>PROMOTOR CALL CENTER</v>
      </c>
      <c r="E4218" s="5" t="str">
        <f>IFERROR(VLOOKUP(A4218,'Base Prueba'!A:E,5,),"NO REGISTRA")</f>
        <v>OFICINA DE MERCADEO</v>
      </c>
    </row>
    <row r="4219" spans="1:5" ht="15.75" x14ac:dyDescent="0.25">
      <c r="A4219" s="10">
        <v>1012426741</v>
      </c>
      <c r="B4219" s="2">
        <v>46099.382808912036</v>
      </c>
      <c r="C4219" s="3" t="str">
        <f>IFERROR(VLOOKUP(A4219,'Base Prueba'!A:C,3,),"NO REGISTRA")</f>
        <v>CRISTIAN FABIAN ROJAS SANCENO</v>
      </c>
      <c r="D4219" s="4" t="str">
        <f>IFERROR(VLOOKUP(A4219,'Base Prueba'!A:D,4,),"NO REGISTRA")</f>
        <v>AUXILIAR DE REINTEGROS</v>
      </c>
      <c r="E4219" s="5" t="str">
        <f>IFERROR(VLOOKUP(A4219,'Base Prueba'!A:E,5,),"NO REGISTRA")</f>
        <v>DIRECCION DE BIENESTAR INSTITUCIONAL</v>
      </c>
    </row>
    <row r="4220" spans="1:5" ht="15.75" x14ac:dyDescent="0.25">
      <c r="A4220" s="10">
        <v>52764929</v>
      </c>
      <c r="B4220" s="2">
        <v>46099.394011458331</v>
      </c>
      <c r="C4220" s="3" t="str">
        <f>IFERROR(VLOOKUP(A4220,'Base Prueba'!A:C,3,),"NO REGISTRA")</f>
        <v>GUERLY YOHANA DURAN RIVERA</v>
      </c>
      <c r="D4220" s="4" t="str">
        <f>IFERROR(VLOOKUP(A4220,'Base Prueba'!A:D,4,),"NO REGISTRA")</f>
        <v>LIDER DE VINCULACION COLEGIOS</v>
      </c>
      <c r="E4220" s="5" t="str">
        <f>IFERROR(VLOOKUP(A4220,'Base Prueba'!A:E,5,),"NO REGISTRA")</f>
        <v>OFICINA DE MERCADEO</v>
      </c>
    </row>
    <row r="4221" spans="1:5" ht="15.75" x14ac:dyDescent="0.25">
      <c r="A4221" s="10">
        <v>52443092</v>
      </c>
      <c r="B4221" s="2">
        <v>46099.539096527777</v>
      </c>
      <c r="C4221" s="3" t="str">
        <f>IFERROR(VLOOKUP(A4221,'Base Prueba'!A:C,3,),"NO REGISTRA")</f>
        <v>LUZ MYRIAM SAAVEDRA CONTRERAS</v>
      </c>
      <c r="D4221" s="4" t="str">
        <f>IFERROR(VLOOKUP(A4221,'Base Prueba'!A:D,4,),"NO REGISTRA")</f>
        <v>AUXILIAR DE SERVICIOS</v>
      </c>
      <c r="E4221" s="5" t="str">
        <f>IFERROR(VLOOKUP(A4221,'Base Prueba'!A:E,5,),"NO REGISTRA")</f>
        <v>LOGISTICA Y SERVICIOS GENERALES</v>
      </c>
    </row>
    <row r="4222" spans="1:5" ht="15.75" x14ac:dyDescent="0.25">
      <c r="A4222" s="10">
        <v>79872151</v>
      </c>
      <c r="B4222" s="2">
        <v>46099.691960532407</v>
      </c>
      <c r="C4222" s="3" t="str">
        <f>IFERROR(VLOOKUP(A4222,'Base Prueba'!A:C,3,),"NO REGISTRA")</f>
        <v>HECTOR ALIRIO MARTINEZ TORRES</v>
      </c>
      <c r="D4222" s="4" t="str">
        <f>IFERROR(VLOOKUP(A4222,'Base Prueba'!A:D,4,),"NO REGISTRA")</f>
        <v>DOCENTE DE TIEMPO COMPLETO</v>
      </c>
      <c r="E4222" s="5" t="str">
        <f>IFERROR(VLOOKUP(A4222,'Base Prueba'!A:E,5,),"NO REGISTRA")</f>
        <v>CIENCIAS DE LA INFORMACION Y BIBLIOTECOLOGIA</v>
      </c>
    </row>
    <row r="4223" spans="1:5" ht="15.75" x14ac:dyDescent="0.25">
      <c r="A4223" s="10">
        <v>1031802160</v>
      </c>
      <c r="B4223" s="2">
        <v>46099.707662615743</v>
      </c>
      <c r="C4223" s="3" t="str">
        <f>IFERROR(VLOOKUP(A4223,'Base Prueba'!A:C,3,),"NO REGISTRA")</f>
        <v>LUISA MARIA MAHECHA SOTOMAYOR</v>
      </c>
      <c r="D4223" s="4" t="str">
        <f>IFERROR(VLOOKUP(A4223,'Base Prueba'!A:D,4,),"NO REGISTRA")</f>
        <v>APRENDIZ UNIVERSITARIO</v>
      </c>
      <c r="E4223" s="5" t="str">
        <f>IFERROR(VLOOKUP(A4223,'Base Prueba'!A:E,5,),"NO REGISTRA")</f>
        <v>OFICINA DE MERCADEO</v>
      </c>
    </row>
    <row r="4224" spans="1:5" ht="15.75" x14ac:dyDescent="0.25">
      <c r="A4224" s="10">
        <v>1110492291</v>
      </c>
      <c r="B4224" s="2">
        <v>46099.716388773151</v>
      </c>
      <c r="C4224" s="3" t="str">
        <f>IFERROR(VLOOKUP(A4224,'Base Prueba'!A:C,3,),"NO REGISTRA")</f>
        <v>JONATHAN GONZALEZ AYALA</v>
      </c>
      <c r="D4224" s="4" t="str">
        <f>IFERROR(VLOOKUP(A4224,'Base Prueba'!A:D,4,),"NO REGISTRA")</f>
        <v>AUXILIAR ADMINISTRATIVO</v>
      </c>
      <c r="E4224" s="5" t="str">
        <f>IFERROR(VLOOKUP(A4224,'Base Prueba'!A:E,5,),"NO REGISTRA")</f>
        <v>REGISTRO Y CONTROL ACADEMICO</v>
      </c>
    </row>
    <row r="4225" spans="1:5" ht="15.75" x14ac:dyDescent="0.25">
      <c r="A4225" s="10">
        <v>1087121273</v>
      </c>
      <c r="B4225" s="2">
        <v>46099.720506712962</v>
      </c>
      <c r="C4225" s="3" t="str">
        <f>IFERROR(VLOOKUP(A4225,'Base Prueba'!A:C,3,),"NO REGISTRA")</f>
        <v>MAYRA ALEJANDRA CASTILLO ARBOLEDA</v>
      </c>
      <c r="D4225" s="4" t="str">
        <f>IFERROR(VLOOKUP(A4225,'Base Prueba'!A:D,4,),"NO REGISTRA")</f>
        <v>APOYO INTEGRAL DE MERCADEO</v>
      </c>
      <c r="E4225" s="5" t="str">
        <f>IFERROR(VLOOKUP(A4225,'Base Prueba'!A:E,5,),"NO REGISTRA")</f>
        <v>CENTRO DE GESTION DOCUMENTAL</v>
      </c>
    </row>
    <row r="4226" spans="1:5" ht="15.75" x14ac:dyDescent="0.25">
      <c r="A4226" s="10">
        <v>1000611958</v>
      </c>
      <c r="B4226" s="2">
        <v>46099.738786805552</v>
      </c>
      <c r="C4226" s="3" t="str">
        <f>IFERROR(VLOOKUP(A4226,'Base Prueba'!A:C,3,),"NO REGISTRA")</f>
        <v>TYLER CORRADINE  VARGAS</v>
      </c>
      <c r="D4226" s="4" t="str">
        <f>IFERROR(VLOOKUP(A4226,'Base Prueba'!A:D,4,),"NO REGISTRA")</f>
        <v>APRENDIZ UNIVERSITARIO</v>
      </c>
      <c r="E4226" s="5" t="str">
        <f>IFERROR(VLOOKUP(A4226,'Base Prueba'!A:E,5,),"NO REGISTRA")</f>
        <v>DEPARTAMENTO DE INFORMATICA Y TECNOLOGIA</v>
      </c>
    </row>
    <row r="4227" spans="1:5" ht="15.75" x14ac:dyDescent="0.25">
      <c r="A4227" s="10">
        <v>1010184333</v>
      </c>
      <c r="B4227" s="2">
        <v>46099.748633333336</v>
      </c>
      <c r="C4227" s="3" t="str">
        <f>IFERROR(VLOOKUP(A4227,'Base Prueba'!A:C,3,),"NO REGISTRA")</f>
        <v>AKON ANDRES GARZON ALVAREZ</v>
      </c>
      <c r="D4227" s="4" t="str">
        <f>IFERROR(VLOOKUP(A4227,'Base Prueba'!A:D,4,),"NO REGISTRA")</f>
        <v>APRENDIZ UNIVERSITARIO</v>
      </c>
      <c r="E4227" s="5" t="str">
        <f>IFERROR(VLOOKUP(A4227,'Base Prueba'!A:E,5,),"NO REGISTRA")</f>
        <v>SECRETARIA GENERAL</v>
      </c>
    </row>
    <row r="4228" spans="1:5" ht="15.75" x14ac:dyDescent="0.25">
      <c r="A4228" s="10">
        <v>1024512067</v>
      </c>
      <c r="B4228" s="2">
        <v>46099.748756712965</v>
      </c>
      <c r="C4228" s="3" t="str">
        <f>IFERROR(VLOOKUP(A4228,'Base Prueba'!A:C,3,),"NO REGISTRA")</f>
        <v>CINDY GIOVANA SALGAR GOMEZ</v>
      </c>
      <c r="D4228" s="4" t="str">
        <f>IFERROR(VLOOKUP(A4228,'Base Prueba'!A:D,4,),"NO REGISTRA")</f>
        <v>COORDINADOR DEL SISTEMA INTEGRADO DE GESTION INSTITUCIONAL - SIGI</v>
      </c>
      <c r="E4228" s="5" t="str">
        <f>IFERROR(VLOOKUP(A4228,'Base Prueba'!A:E,5,),"NO REGISTRA")</f>
        <v>OFICINA DE PLANEACION Y GESTION DE LA CALIDAD</v>
      </c>
    </row>
    <row r="4229" spans="1:5" ht="15.75" x14ac:dyDescent="0.25">
      <c r="A4229" s="10">
        <v>1000593372</v>
      </c>
      <c r="B4229" s="2">
        <v>46099.749985648152</v>
      </c>
      <c r="C4229" s="3" t="str">
        <f>IFERROR(VLOOKUP(A4229,'Base Prueba'!A:C,3,),"NO REGISTRA")</f>
        <v>LAURA SOFIA CHAPARRO LOPEZ</v>
      </c>
      <c r="D4229" s="4" t="str">
        <f>IFERROR(VLOOKUP(A4229,'Base Prueba'!A:D,4,),"NO REGISTRA")</f>
        <v>AUXILIAR JURIDICO</v>
      </c>
      <c r="E4229" s="5" t="str">
        <f>IFERROR(VLOOKUP(A4229,'Base Prueba'!A:E,5,),"NO REGISTRA")</f>
        <v>SECRETARIA GENERAL</v>
      </c>
    </row>
    <row r="4230" spans="1:5" ht="15.75" x14ac:dyDescent="0.25">
      <c r="A4230" s="10">
        <v>1000604979</v>
      </c>
      <c r="B4230" s="2">
        <v>46099.750002199071</v>
      </c>
      <c r="C4230" s="3" t="str">
        <f>IFERROR(VLOOKUP(A4230,'Base Prueba'!A:C,3,),"NO REGISTRA")</f>
        <v>JULIETH TATIANA PARDO PINTO</v>
      </c>
      <c r="D4230" s="4" t="str">
        <f>IFERROR(VLOOKUP(A4230,'Base Prueba'!A:D,4,),"NO REGISTRA")</f>
        <v>AUXILIAR JURIDICO</v>
      </c>
      <c r="E4230" s="5" t="str">
        <f>IFERROR(VLOOKUP(A4230,'Base Prueba'!A:E,5,),"NO REGISTRA")</f>
        <v>SECRETARIA GENERAL</v>
      </c>
    </row>
    <row r="4231" spans="1:5" ht="15.75" x14ac:dyDescent="0.25">
      <c r="A4231" s="10">
        <v>1030567635</v>
      </c>
      <c r="B4231" s="2">
        <v>46099.751161342596</v>
      </c>
      <c r="C4231" s="3" t="str">
        <f>IFERROR(VLOOKUP(A4231,'Base Prueba'!A:C,3,),"NO REGISTRA")</f>
        <v>JEFFERSON ANDRES BARRETO DIAZ</v>
      </c>
      <c r="D4231" s="4" t="str">
        <f>IFERROR(VLOOKUP(A4231,'Base Prueba'!A:D,4,),"NO REGISTRA")</f>
        <v>AUXILIAR DE ARCHIVO</v>
      </c>
      <c r="E4231" s="5" t="str">
        <f>IFERROR(VLOOKUP(A4231,'Base Prueba'!A:E,5,),"NO REGISTRA")</f>
        <v>CENTRO DE GESTION DOCUMENTAL</v>
      </c>
    </row>
    <row r="4232" spans="1:5" ht="15.75" x14ac:dyDescent="0.25">
      <c r="A4232" s="10">
        <v>1022996882</v>
      </c>
      <c r="B4232" s="2">
        <v>46099.753247222223</v>
      </c>
      <c r="C4232" s="3" t="str">
        <f>IFERROR(VLOOKUP(A4232,'Base Prueba'!A:C,3,),"NO REGISTRA")</f>
        <v>NANCY BRIGITH ALDANA GUEVARA</v>
      </c>
      <c r="D4232" s="4" t="str">
        <f>IFERROR(VLOOKUP(A4232,'Base Prueba'!A:D,4,),"NO REGISTRA")</f>
        <v>COORDINADORA DE GESTIÓN HUMANA</v>
      </c>
      <c r="E4232" s="5" t="str">
        <f>IFERROR(VLOOKUP(A4232,'Base Prueba'!A:E,5,),"NO REGISTRA")</f>
        <v>DEPARTAMENTO DE GESTION HUMANA</v>
      </c>
    </row>
    <row r="4233" spans="1:5" ht="15.75" x14ac:dyDescent="0.25">
      <c r="A4233" s="10">
        <v>1023883232</v>
      </c>
      <c r="B4233" s="2">
        <v>46099.75359641204</v>
      </c>
      <c r="C4233" s="3" t="str">
        <f>IFERROR(VLOOKUP(A4233,'Base Prueba'!A:C,3,),"NO REGISTRA")</f>
        <v>MONICA ANDREA ACERO URBANO</v>
      </c>
      <c r="D4233" s="4" t="str">
        <f>IFERROR(VLOOKUP(A4233,'Base Prueba'!A:D,4,),"NO REGISTRA")</f>
        <v>APOYO INTEGRAL A GESTION HUMANA</v>
      </c>
      <c r="E4233" s="5" t="str">
        <f>IFERROR(VLOOKUP(A4233,'Base Prueba'!A:E,5,),"NO REGISTRA")</f>
        <v>DEPARTAMENTO DE GESTION HUMANA</v>
      </c>
    </row>
    <row r="4234" spans="1:5" ht="15.75" x14ac:dyDescent="0.25">
      <c r="A4234" s="10">
        <v>1193457976</v>
      </c>
      <c r="B4234" s="2">
        <v>46099.753711805555</v>
      </c>
      <c r="C4234" s="3" t="str">
        <f>IFERROR(VLOOKUP(A4234,'Base Prueba'!A:C,3,),"NO REGISTRA")</f>
        <v>SEDENIS RIVAS ASPRILLA</v>
      </c>
      <c r="D4234" s="4" t="str">
        <f>IFERROR(VLOOKUP(A4234,'Base Prueba'!A:D,4,),"NO REGISTRA")</f>
        <v>APRENDIZ UNIVERSITARIO</v>
      </c>
      <c r="E4234" s="5" t="str">
        <f>IFERROR(VLOOKUP(A4234,'Base Prueba'!A:E,5,),"NO REGISTRA")</f>
        <v>DEPARTAMENTO DE GESTION HUMANA</v>
      </c>
    </row>
    <row r="4235" spans="1:5" ht="15.75" x14ac:dyDescent="0.25">
      <c r="A4235" s="10">
        <v>1000467399</v>
      </c>
      <c r="B4235" s="2">
        <v>46099.754762152777</v>
      </c>
      <c r="C4235" s="3" t="str">
        <f>IFERROR(VLOOKUP(A4235,'Base Prueba'!A:C,3,),"NO REGISTRA")</f>
        <v>BRANDO ESTIVEN DIAZ QUIMBAYA</v>
      </c>
      <c r="D4235" s="4" t="str">
        <f>IFERROR(VLOOKUP(A4235,'Base Prueba'!A:D,4,),"NO REGISTRA")</f>
        <v>APRENDIZ UNIVERSITARIO</v>
      </c>
      <c r="E4235" s="5" t="str">
        <f>IFERROR(VLOOKUP(A4235,'Base Prueba'!A:E,5,),"NO REGISTRA")</f>
        <v>DEPARTAMENTO DE GESTION HUMANA</v>
      </c>
    </row>
    <row r="4236" spans="1:5" ht="15.75" x14ac:dyDescent="0.25">
      <c r="A4236" s="10">
        <v>1014308296</v>
      </c>
      <c r="B4236" s="2">
        <v>46099.754888541669</v>
      </c>
      <c r="C4236" s="3" t="str">
        <f>IFERROR(VLOOKUP(A4236,'Base Prueba'!A:C,3,),"NO REGISTRA")</f>
        <v>DARLENE YULIANA MORENO CELEITA</v>
      </c>
      <c r="D4236" s="4" t="str">
        <f>IFERROR(VLOOKUP(A4236,'Base Prueba'!A:D,4,),"NO REGISTRA")</f>
        <v>CAJERO PRINCIPAL</v>
      </c>
      <c r="E4236" s="5" t="str">
        <f>IFERROR(VLOOKUP(A4236,'Base Prueba'!A:E,5,),"NO REGISTRA")</f>
        <v>AREA FINANCIERA Y CONTABLE</v>
      </c>
    </row>
    <row r="4237" spans="1:5" ht="15.75" x14ac:dyDescent="0.25">
      <c r="A4237" s="10">
        <v>1049644802</v>
      </c>
      <c r="B4237" s="2">
        <v>46099.757930208332</v>
      </c>
      <c r="C4237" s="3" t="str">
        <f>IFERROR(VLOOKUP(A4237,'Base Prueba'!A:C,3,),"NO REGISTRA")</f>
        <v>DANIELA ALEXANDRA CIPAMOCHA BOSIGA</v>
      </c>
      <c r="D4237" s="4" t="str">
        <f>IFERROR(VLOOKUP(A4237,'Base Prueba'!A:D,4,),"NO REGISTRA")</f>
        <v>LIDER DE DATOS Y SERVICIOS</v>
      </c>
      <c r="E4237" s="5" t="str">
        <f>IFERROR(VLOOKUP(A4237,'Base Prueba'!A:E,5,),"NO REGISTRA")</f>
        <v>OFICINA DE PLANEACION Y GESTION DE LA CALIDAD</v>
      </c>
    </row>
    <row r="4238" spans="1:5" ht="15.75" x14ac:dyDescent="0.25">
      <c r="A4238" s="10">
        <v>53932358</v>
      </c>
      <c r="B4238" s="2">
        <v>46099.759409143517</v>
      </c>
      <c r="C4238" s="3" t="str">
        <f>IFERROR(VLOOKUP(A4238,'Base Prueba'!A:C,3,),"NO REGISTRA")</f>
        <v>DIANA MADELEYNE GAONA RODRIGUEZ</v>
      </c>
      <c r="D4238" s="4" t="str">
        <f>IFERROR(VLOOKUP(A4238,'Base Prueba'!A:D,4,),"NO REGISTRA")</f>
        <v>CONTADOR</v>
      </c>
      <c r="E4238" s="5" t="str">
        <f>IFERROR(VLOOKUP(A4238,'Base Prueba'!A:E,5,),"NO REGISTRA")</f>
        <v>AREA FINANCIERA Y CONTABLE</v>
      </c>
    </row>
    <row r="4239" spans="1:5" ht="15.75" x14ac:dyDescent="0.25">
      <c r="A4239" s="10">
        <v>1000257136</v>
      </c>
      <c r="B4239" s="2">
        <v>46099.760734606483</v>
      </c>
      <c r="C4239" s="3" t="str">
        <f>IFERROR(VLOOKUP(A4239,'Base Prueba'!A:C,3,),"NO REGISTRA")</f>
        <v>FRANCI VALENTINA CANO PUENTES</v>
      </c>
      <c r="D4239" s="4" t="str">
        <f>IFERROR(VLOOKUP(A4239,'Base Prueba'!A:D,4,),"NO REGISTRA")</f>
        <v>AUXILIAR CONTABLE</v>
      </c>
      <c r="E4239" s="5" t="str">
        <f>IFERROR(VLOOKUP(A4239,'Base Prueba'!A:E,5,),"NO REGISTRA")</f>
        <v>AREA FINANCIERA Y CONTABLE</v>
      </c>
    </row>
    <row r="4240" spans="1:5" ht="15.75" x14ac:dyDescent="0.25">
      <c r="A4240" s="10">
        <v>1000457706</v>
      </c>
      <c r="B4240" s="2">
        <v>46099.765370138892</v>
      </c>
      <c r="C4240" s="3" t="str">
        <f>IFERROR(VLOOKUP(A4240,'Base Prueba'!A:C,3,),"NO REGISTRA")</f>
        <v>CRISTIAN DANILO ARROYO SANABRIA</v>
      </c>
      <c r="D4240" s="4" t="str">
        <f>IFERROR(VLOOKUP(A4240,'Base Prueba'!A:D,4,),"NO REGISTRA")</f>
        <v>AUXILIAR CONTABLE</v>
      </c>
      <c r="E4240" s="5" t="str">
        <f>IFERROR(VLOOKUP(A4240,'Base Prueba'!A:E,5,),"NO REGISTRA")</f>
        <v>AREA FINANCIERA Y CONTABLE</v>
      </c>
    </row>
    <row r="4241" spans="1:5" ht="15.75" x14ac:dyDescent="0.25">
      <c r="A4241" s="10">
        <v>1012426741</v>
      </c>
      <c r="B4241" s="2">
        <v>46099.770955092594</v>
      </c>
      <c r="C4241" s="3" t="str">
        <f>IFERROR(VLOOKUP(A4241,'Base Prueba'!A:C,3,),"NO REGISTRA")</f>
        <v>CRISTIAN FABIAN ROJAS SANCENO</v>
      </c>
      <c r="D4241" s="4" t="str">
        <f>IFERROR(VLOOKUP(A4241,'Base Prueba'!A:D,4,),"NO REGISTRA")</f>
        <v>AUXILIAR DE REINTEGROS</v>
      </c>
      <c r="E4241" s="5" t="str">
        <f>IFERROR(VLOOKUP(A4241,'Base Prueba'!A:E,5,),"NO REGISTRA")</f>
        <v>DIRECCION DE BIENESTAR INSTITUCIONAL</v>
      </c>
    </row>
    <row r="4242" spans="1:5" ht="15.75" x14ac:dyDescent="0.25">
      <c r="A4242" s="10">
        <v>52472386</v>
      </c>
      <c r="B4242" s="2">
        <v>46099.772008449072</v>
      </c>
      <c r="C4242" s="3" t="str">
        <f>IFERROR(VLOOKUP(A4242,'Base Prueba'!A:C,3,),"NO REGISTRA")</f>
        <v>ADRIANA MARCELA MORALES PARDO</v>
      </c>
      <c r="D4242" s="4" t="str">
        <f>IFERROR(VLOOKUP(A4242,'Base Prueba'!A:D,4,),"NO REGISTRA")</f>
        <v>PROMOTOR CALL CENTER</v>
      </c>
      <c r="E4242" s="5" t="str">
        <f>IFERROR(VLOOKUP(A4242,'Base Prueba'!A:E,5,),"NO REGISTRA")</f>
        <v>OFICINA DE MERCADEO</v>
      </c>
    </row>
    <row r="4243" spans="1:5" ht="15.75" x14ac:dyDescent="0.25">
      <c r="A4243" s="10">
        <v>1013616244</v>
      </c>
      <c r="B4243" s="2">
        <v>46099.772230208335</v>
      </c>
      <c r="C4243" s="3" t="str">
        <f>IFERROR(VLOOKUP(A4243,'Base Prueba'!A:C,3,),"NO REGISTRA")</f>
        <v>DIANA CAROLINA MARIN BETANCOURT</v>
      </c>
      <c r="D4243" s="4" t="str">
        <f>IFERROR(VLOOKUP(A4243,'Base Prueba'!A:D,4,),"NO REGISTRA")</f>
        <v>AUXILIAR ADMINISTRATIVO</v>
      </c>
      <c r="E4243" s="5" t="str">
        <f>IFERROR(VLOOKUP(A4243,'Base Prueba'!A:E,5,),"NO REGISTRA")</f>
        <v>REGISTRO Y CONTROL ACADEMICO</v>
      </c>
    </row>
    <row r="4244" spans="1:5" ht="15.75" x14ac:dyDescent="0.25">
      <c r="A4244" s="10">
        <v>52474489</v>
      </c>
      <c r="B4244" s="2">
        <v>46099.772487152775</v>
      </c>
      <c r="C4244" s="3" t="str">
        <f>IFERROR(VLOOKUP(A4244,'Base Prueba'!A:C,3,),"NO REGISTRA")</f>
        <v>ADRIANA JIMENA SOTO BOCANEGRA</v>
      </c>
      <c r="D4244" s="4" t="str">
        <f>IFERROR(VLOOKUP(A4244,'Base Prueba'!A:D,4,),"NO REGISTRA")</f>
        <v>COORDINADOR DE LA OFICINA DE REGISTRO Y CONTROL</v>
      </c>
      <c r="E4244" s="5" t="str">
        <f>IFERROR(VLOOKUP(A4244,'Base Prueba'!A:E,5,),"NO REGISTRA")</f>
        <v>REGISTRO Y CONTROL ACADEMICO</v>
      </c>
    </row>
    <row r="4245" spans="1:5" ht="15.75" x14ac:dyDescent="0.25">
      <c r="A4245" s="10">
        <v>80191732</v>
      </c>
      <c r="B4245" s="2">
        <v>46099.772618287039</v>
      </c>
      <c r="C4245" s="3" t="str">
        <f>IFERROR(VLOOKUP(A4245,'Base Prueba'!A:C,3,),"NO REGISTRA")</f>
        <v>DANIEL MAURICIO ZAMBRANO TUNJANO</v>
      </c>
      <c r="D4245" s="4" t="str">
        <f>IFERROR(VLOOKUP(A4245,'Base Prueba'!A:D,4,),"NO REGISTRA")</f>
        <v>COORDINADOR DE DISEÑO E IMAGEN INSTITUCIONAL</v>
      </c>
      <c r="E4245" s="5" t="str">
        <f>IFERROR(VLOOKUP(A4245,'Base Prueba'!A:E,5,),"NO REGISTRA")</f>
        <v>OFICINA DE MERCADEO</v>
      </c>
    </row>
    <row r="4246" spans="1:5" ht="15.75" x14ac:dyDescent="0.25">
      <c r="A4246" s="10">
        <v>1000324729</v>
      </c>
      <c r="B4246" s="2">
        <v>46099.772838425924</v>
      </c>
      <c r="C4246" s="3" t="str">
        <f>IFERROR(VLOOKUP(A4246,'Base Prueba'!A:C,3,),"NO REGISTRA")</f>
        <v>ANYIE VANESSA TINOCO CAMACHO</v>
      </c>
      <c r="D4246" s="4" t="str">
        <f>IFERROR(VLOOKUP(A4246,'Base Prueba'!A:D,4,),"NO REGISTRA")</f>
        <v>LIDER DE REGISTRO Y CONTROL</v>
      </c>
      <c r="E4246" s="5" t="str">
        <f>IFERROR(VLOOKUP(A4246,'Base Prueba'!A:E,5,),"NO REGISTRA")</f>
        <v>REGISTRO Y CONTROL ACADEMICO</v>
      </c>
    </row>
    <row r="4247" spans="1:5" ht="15.75" x14ac:dyDescent="0.25">
      <c r="A4247" s="10">
        <v>1000046533</v>
      </c>
      <c r="B4247" s="2">
        <v>46099.773719675926</v>
      </c>
      <c r="C4247" s="3" t="str">
        <f>IFERROR(VLOOKUP(A4247,'Base Prueba'!A:C,3,),"NO REGISTRA")</f>
        <v>ERIKA JULIETH VALDERRAMA SANCHEZ</v>
      </c>
      <c r="D4247" s="4" t="str">
        <f>IFERROR(VLOOKUP(A4247,'Base Prueba'!A:D,4,),"NO REGISTRA")</f>
        <v>PROMOTOR CALL CENTER</v>
      </c>
      <c r="E4247" s="5" t="str">
        <f>IFERROR(VLOOKUP(A4247,'Base Prueba'!A:E,5,),"NO REGISTRA")</f>
        <v>OFICINA DE MERCADEO</v>
      </c>
    </row>
    <row r="4248" spans="1:5" ht="15.75" x14ac:dyDescent="0.25">
      <c r="A4248" s="10">
        <v>1032407386</v>
      </c>
      <c r="B4248" s="2">
        <v>46099.774529513888</v>
      </c>
      <c r="C4248" s="3" t="str">
        <f>IFERROR(VLOOKUP(A4248,'Base Prueba'!A:C,3,),"NO REGISTRA")</f>
        <v>GINA PAOLA BAEZ GALVIS</v>
      </c>
      <c r="D4248" s="4" t="str">
        <f>IFERROR(VLOOKUP(A4248,'Base Prueba'!A:D,4,),"NO REGISTRA")</f>
        <v>PROMOTOR CALL CENTER</v>
      </c>
      <c r="E4248" s="5" t="str">
        <f>IFERROR(VLOOKUP(A4248,'Base Prueba'!A:E,5,),"NO REGISTRA")</f>
        <v>OFICINA DE MERCADEO</v>
      </c>
    </row>
    <row r="4249" spans="1:5" ht="15.75" x14ac:dyDescent="0.25">
      <c r="A4249" s="10">
        <v>1032407386</v>
      </c>
      <c r="B4249" s="2">
        <v>46099.77453263889</v>
      </c>
      <c r="C4249" s="3" t="str">
        <f>IFERROR(VLOOKUP(A4249,'Base Prueba'!A:C,3,),"NO REGISTRA")</f>
        <v>GINA PAOLA BAEZ GALVIS</v>
      </c>
      <c r="D4249" s="4" t="str">
        <f>IFERROR(VLOOKUP(A4249,'Base Prueba'!A:D,4,),"NO REGISTRA")</f>
        <v>PROMOTOR CALL CENTER</v>
      </c>
      <c r="E4249" s="5" t="str">
        <f>IFERROR(VLOOKUP(A4249,'Base Prueba'!A:E,5,),"NO REGISTRA")</f>
        <v>OFICINA DE MERCADEO</v>
      </c>
    </row>
    <row r="4250" spans="1:5" ht="15.75" x14ac:dyDescent="0.25">
      <c r="A4250" s="10">
        <v>1018414290</v>
      </c>
      <c r="B4250" s="2">
        <v>46099.774699652779</v>
      </c>
      <c r="C4250" s="3" t="str">
        <f>IFERROR(VLOOKUP(A4250,'Base Prueba'!A:C,3,),"NO REGISTRA")</f>
        <v>AMANDA LISBETH RODRIGUEZ LEON</v>
      </c>
      <c r="D4250" s="4" t="str">
        <f>IFERROR(VLOOKUP(A4250,'Base Prueba'!A:D,4,),"NO REGISTRA")</f>
        <v>PROMOTOR CALL CENTER</v>
      </c>
      <c r="E4250" s="5" t="str">
        <f>IFERROR(VLOOKUP(A4250,'Base Prueba'!A:E,5,),"NO REGISTRA")</f>
        <v>OFICINA DE MERCADEO</v>
      </c>
    </row>
    <row r="4251" spans="1:5" ht="15.75" x14ac:dyDescent="0.25">
      <c r="A4251" s="10">
        <v>53089882</v>
      </c>
      <c r="B4251" s="2">
        <v>46099.774934027781</v>
      </c>
      <c r="C4251" s="3" t="str">
        <f>IFERROR(VLOOKUP(A4251,'Base Prueba'!A:C,3,),"NO REGISTRA")</f>
        <v>MARIA JOHANA ESCAMILLA MARTINEZ</v>
      </c>
      <c r="D4251" s="4" t="str">
        <f>IFERROR(VLOOKUP(A4251,'Base Prueba'!A:D,4,),"NO REGISTRA")</f>
        <v>PROMOTOR DE INFORMACIÓN</v>
      </c>
      <c r="E4251" s="5" t="str">
        <f>IFERROR(VLOOKUP(A4251,'Base Prueba'!A:E,5,),"NO REGISTRA")</f>
        <v>OFICINA DE MERCADEO</v>
      </c>
    </row>
    <row r="4252" spans="1:5" ht="15.75" x14ac:dyDescent="0.25">
      <c r="A4252" s="10">
        <v>1018413529</v>
      </c>
      <c r="B4252" s="2">
        <v>46099.774974074076</v>
      </c>
      <c r="C4252" s="3" t="str">
        <f>IFERROR(VLOOKUP(A4252,'Base Prueba'!A:C,3,),"NO REGISTRA")</f>
        <v>FRANCY STELLA CHARRY MORENO</v>
      </c>
      <c r="D4252" s="4" t="str">
        <f>IFERROR(VLOOKUP(A4252,'Base Prueba'!A:D,4,),"NO REGISTRA")</f>
        <v>PROMOTOR COMERCIAL DEL CEA</v>
      </c>
      <c r="E4252" s="5" t="str">
        <f>IFERROR(VLOOKUP(A4252,'Base Prueba'!A:E,5,),"NO REGISTRA")</f>
        <v>OFICINA DE MERCADEO</v>
      </c>
    </row>
    <row r="4253" spans="1:5" ht="15.75" x14ac:dyDescent="0.25">
      <c r="A4253" s="10">
        <v>28798349</v>
      </c>
      <c r="B4253" s="2">
        <v>46099.775056712962</v>
      </c>
      <c r="C4253" s="3" t="str">
        <f>IFERROR(VLOOKUP(A4253,'Base Prueba'!A:C,3,),"NO REGISTRA")</f>
        <v>MARTHA ISABEL TOVAR WILLIAMS</v>
      </c>
      <c r="D4253" s="4" t="str">
        <f>IFERROR(VLOOKUP(A4253,'Base Prueba'!A:D,4,),"NO REGISTRA")</f>
        <v>PROMOTOR CALL CENTER</v>
      </c>
      <c r="E4253" s="5" t="str">
        <f>IFERROR(VLOOKUP(A4253,'Base Prueba'!A:E,5,),"NO REGISTRA")</f>
        <v>OFICINA DE MERCADEO</v>
      </c>
    </row>
    <row r="4254" spans="1:5" ht="15.75" x14ac:dyDescent="0.25">
      <c r="A4254" s="10">
        <v>1023961952</v>
      </c>
      <c r="B4254" s="2">
        <v>46099.775102314816</v>
      </c>
      <c r="C4254" s="3" t="str">
        <f>IFERROR(VLOOKUP(A4254,'Base Prueba'!A:C,3,),"NO REGISTRA")</f>
        <v>ALEJANDRO PINZON MERCHAN</v>
      </c>
      <c r="D4254" s="4" t="str">
        <f>IFERROR(VLOOKUP(A4254,'Base Prueba'!A:D,4,),"NO REGISTRA")</f>
        <v>PROMOTOR CALL CENTER</v>
      </c>
      <c r="E4254" s="5" t="str">
        <f>IFERROR(VLOOKUP(A4254,'Base Prueba'!A:E,5,),"NO REGISTRA")</f>
        <v>OFICINA DE MERCADEO</v>
      </c>
    </row>
    <row r="4255" spans="1:5" ht="15.75" x14ac:dyDescent="0.25">
      <c r="A4255" s="10">
        <v>52175674</v>
      </c>
      <c r="B4255" s="2">
        <v>46099.775610416669</v>
      </c>
      <c r="C4255" s="3" t="str">
        <f>IFERROR(VLOOKUP(A4255,'Base Prueba'!A:C,3,),"NO REGISTRA")</f>
        <v>LUZ YANETH GOMEZ AREVALO</v>
      </c>
      <c r="D4255" s="4" t="str">
        <f>IFERROR(VLOOKUP(A4255,'Base Prueba'!A:D,4,),"NO REGISTRA")</f>
        <v>COORDINADORA DE ADMISIONES</v>
      </c>
      <c r="E4255" s="5" t="str">
        <f>IFERROR(VLOOKUP(A4255,'Base Prueba'!A:E,5,),"NO REGISTRA")</f>
        <v>OFICINA DE MERCADEO</v>
      </c>
    </row>
    <row r="4256" spans="1:5" ht="15.75" x14ac:dyDescent="0.25">
      <c r="A4256" s="10">
        <v>1019105003</v>
      </c>
      <c r="B4256" s="2">
        <v>46099.775684375003</v>
      </c>
      <c r="C4256" s="3" t="str">
        <f>IFERROR(VLOOKUP(A4256,'Base Prueba'!A:C,3,),"NO REGISTRA")</f>
        <v>DAISY JULIETH GASPAR MORENO</v>
      </c>
      <c r="D4256" s="4" t="str">
        <f>IFERROR(VLOOKUP(A4256,'Base Prueba'!A:D,4,),"NO REGISTRA")</f>
        <v>PROMOTOR CALL CENTER</v>
      </c>
      <c r="E4256" s="5" t="str">
        <f>IFERROR(VLOOKUP(A4256,'Base Prueba'!A:E,5,),"NO REGISTRA")</f>
        <v>OFICINA DE MERCADEO</v>
      </c>
    </row>
    <row r="4257" spans="1:5" ht="15.75" x14ac:dyDescent="0.25">
      <c r="A4257" s="10">
        <v>1033709056</v>
      </c>
      <c r="B4257" s="2">
        <v>46099.775801041666</v>
      </c>
      <c r="C4257" s="3" t="str">
        <f>IFERROR(VLOOKUP(A4257,'Base Prueba'!A:C,3,),"NO REGISTRA")</f>
        <v>YEIMY ALEXANDRA RODRIGUEZ PALACIO</v>
      </c>
      <c r="D4257" s="4" t="str">
        <f>IFERROR(VLOOKUP(A4257,'Base Prueba'!A:D,4,),"NO REGISTRA")</f>
        <v>PROMOTOR CALL CENTER</v>
      </c>
      <c r="E4257" s="5" t="str">
        <f>IFERROR(VLOOKUP(A4257,'Base Prueba'!A:E,5,),"NO REGISTRA")</f>
        <v>OFICINA DE MERCADEO</v>
      </c>
    </row>
    <row r="4258" spans="1:5" ht="15.75" x14ac:dyDescent="0.25">
      <c r="A4258" s="10">
        <v>1014196857</v>
      </c>
      <c r="B4258" s="2">
        <v>46099.784772800929</v>
      </c>
      <c r="C4258" s="3" t="str">
        <f>IFERROR(VLOOKUP(A4258,'Base Prueba'!A:C,3,),"NO REGISTRA")</f>
        <v>CARLOS ANDRES JIMENEZ PARDO</v>
      </c>
      <c r="D4258" s="4" t="str">
        <f>IFERROR(VLOOKUP(A4258,'Base Prueba'!A:D,4,),"NO REGISTRA")</f>
        <v>COORDINADOR DE MARKETING DIGITAL</v>
      </c>
      <c r="E4258" s="5" t="str">
        <f>IFERROR(VLOOKUP(A4258,'Base Prueba'!A:E,5,),"NO REGISTRA")</f>
        <v>OFICINA DE MERCADEO</v>
      </c>
    </row>
    <row r="4259" spans="1:5" ht="15.75" x14ac:dyDescent="0.25">
      <c r="A4259" s="10">
        <v>80234243</v>
      </c>
      <c r="B4259" s="2">
        <v>46099.793149189813</v>
      </c>
      <c r="C4259" s="3" t="str">
        <f>IFERROR(VLOOKUP(A4259,'Base Prueba'!A:C,3,),"NO REGISTRA")</f>
        <v>ARGENIS MARTINEZ MARTINEZ</v>
      </c>
      <c r="D4259" s="4" t="str">
        <f>IFERROR(VLOOKUP(A4259,'Base Prueba'!A:D,4,),"NO REGISTRA")</f>
        <v>LIDER CALL CENTER</v>
      </c>
      <c r="E4259" s="5" t="str">
        <f>IFERROR(VLOOKUP(A4259,'Base Prueba'!A:E,5,),"NO REGISTRA")</f>
        <v>OFICINA DE MERCADEO</v>
      </c>
    </row>
    <row r="4260" spans="1:5" ht="15.75" x14ac:dyDescent="0.25">
      <c r="A4260" s="10">
        <v>1087121273</v>
      </c>
      <c r="B4260" s="2">
        <v>46100.308319328702</v>
      </c>
      <c r="C4260" s="3" t="str">
        <f>IFERROR(VLOOKUP(A4260,'Base Prueba'!A:C,3,),"NO REGISTRA")</f>
        <v>MAYRA ALEJANDRA CASTILLO ARBOLEDA</v>
      </c>
      <c r="D4260" s="4" t="str">
        <f>IFERROR(VLOOKUP(A4260,'Base Prueba'!A:D,4,),"NO REGISTRA")</f>
        <v>APOYO INTEGRAL DE MERCADEO</v>
      </c>
      <c r="E4260" s="5" t="str">
        <f>IFERROR(VLOOKUP(A4260,'Base Prueba'!A:E,5,),"NO REGISTRA")</f>
        <v>CENTRO DE GESTION DOCUMENTAL</v>
      </c>
    </row>
    <row r="4261" spans="1:5" ht="15.75" x14ac:dyDescent="0.25">
      <c r="A4261" s="10">
        <v>1000324729</v>
      </c>
      <c r="B4261" s="2">
        <v>46100.312256481484</v>
      </c>
      <c r="C4261" s="3" t="str">
        <f>IFERROR(VLOOKUP(A4261,'Base Prueba'!A:C,3,),"NO REGISTRA")</f>
        <v>ANYIE VANESSA TINOCO CAMACHO</v>
      </c>
      <c r="D4261" s="4" t="str">
        <f>IFERROR(VLOOKUP(A4261,'Base Prueba'!A:D,4,),"NO REGISTRA")</f>
        <v>LIDER DE REGISTRO Y CONTROL</v>
      </c>
      <c r="E4261" s="5" t="str">
        <f>IFERROR(VLOOKUP(A4261,'Base Prueba'!A:E,5,),"NO REGISTRA")</f>
        <v>REGISTRO Y CONTROL ACADEMICO</v>
      </c>
    </row>
    <row r="4262" spans="1:5" ht="15.75" x14ac:dyDescent="0.25">
      <c r="A4262" s="10">
        <v>1024512067</v>
      </c>
      <c r="B4262" s="2">
        <v>46100.318689120373</v>
      </c>
      <c r="C4262" s="3" t="str">
        <f>IFERROR(VLOOKUP(A4262,'Base Prueba'!A:C,3,),"NO REGISTRA")</f>
        <v>CINDY GIOVANA SALGAR GOMEZ</v>
      </c>
      <c r="D4262" s="4" t="str">
        <f>IFERROR(VLOOKUP(A4262,'Base Prueba'!A:D,4,),"NO REGISTRA")</f>
        <v>COORDINADOR DEL SISTEMA INTEGRADO DE GESTION INSTITUCIONAL - SIGI</v>
      </c>
      <c r="E4262" s="5" t="str">
        <f>IFERROR(VLOOKUP(A4262,'Base Prueba'!A:E,5,),"NO REGISTRA")</f>
        <v>OFICINA DE PLANEACION Y GESTION DE LA CALIDAD</v>
      </c>
    </row>
    <row r="4263" spans="1:5" ht="15.75" x14ac:dyDescent="0.25">
      <c r="A4263" s="10">
        <v>1013616244</v>
      </c>
      <c r="B4263" s="2">
        <v>46100.320674652779</v>
      </c>
      <c r="C4263" s="3" t="str">
        <f>IFERROR(VLOOKUP(A4263,'Base Prueba'!A:C,3,),"NO REGISTRA")</f>
        <v>DIANA CAROLINA MARIN BETANCOURT</v>
      </c>
      <c r="D4263" s="4" t="str">
        <f>IFERROR(VLOOKUP(A4263,'Base Prueba'!A:D,4,),"NO REGISTRA")</f>
        <v>AUXILIAR ADMINISTRATIVO</v>
      </c>
      <c r="E4263" s="5" t="str">
        <f>IFERROR(VLOOKUP(A4263,'Base Prueba'!A:E,5,),"NO REGISTRA")</f>
        <v>REGISTRO Y CONTROL ACADEMICO</v>
      </c>
    </row>
    <row r="4264" spans="1:5" ht="15.75" x14ac:dyDescent="0.25">
      <c r="A4264" s="10">
        <v>1000257136</v>
      </c>
      <c r="B4264" s="2">
        <v>46100.327520601852</v>
      </c>
      <c r="C4264" s="3" t="str">
        <f>IFERROR(VLOOKUP(A4264,'Base Prueba'!A:C,3,),"NO REGISTRA")</f>
        <v>FRANCI VALENTINA CANO PUENTES</v>
      </c>
      <c r="D4264" s="4" t="str">
        <f>IFERROR(VLOOKUP(A4264,'Base Prueba'!A:D,4,),"NO REGISTRA")</f>
        <v>AUXILIAR CONTABLE</v>
      </c>
      <c r="E4264" s="5" t="str">
        <f>IFERROR(VLOOKUP(A4264,'Base Prueba'!A:E,5,),"NO REGISTRA")</f>
        <v>AREA FINANCIERA Y CONTABLE</v>
      </c>
    </row>
    <row r="4265" spans="1:5" ht="15.75" x14ac:dyDescent="0.25">
      <c r="A4265" s="10">
        <v>1010184333</v>
      </c>
      <c r="B4265" s="2">
        <v>46100.328385532404</v>
      </c>
      <c r="C4265" s="3" t="str">
        <f>IFERROR(VLOOKUP(A4265,'Base Prueba'!A:C,3,),"NO REGISTRA")</f>
        <v>AKON ANDRES GARZON ALVAREZ</v>
      </c>
      <c r="D4265" s="4" t="str">
        <f>IFERROR(VLOOKUP(A4265,'Base Prueba'!A:D,4,),"NO REGISTRA")</f>
        <v>APRENDIZ UNIVERSITARIO</v>
      </c>
      <c r="E4265" s="5" t="str">
        <f>IFERROR(VLOOKUP(A4265,'Base Prueba'!A:E,5,),"NO REGISTRA")</f>
        <v>SECRETARIA GENERAL</v>
      </c>
    </row>
    <row r="4266" spans="1:5" ht="15.75" x14ac:dyDescent="0.25">
      <c r="A4266" s="10">
        <v>1031802160</v>
      </c>
      <c r="B4266" s="2">
        <v>46100.330989699076</v>
      </c>
      <c r="C4266" s="3" t="str">
        <f>IFERROR(VLOOKUP(A4266,'Base Prueba'!A:C,3,),"NO REGISTRA")</f>
        <v>LUISA MARIA MAHECHA SOTOMAYOR</v>
      </c>
      <c r="D4266" s="4" t="str">
        <f>IFERROR(VLOOKUP(A4266,'Base Prueba'!A:D,4,),"NO REGISTRA")</f>
        <v>APRENDIZ UNIVERSITARIO</v>
      </c>
      <c r="E4266" s="5" t="str">
        <f>IFERROR(VLOOKUP(A4266,'Base Prueba'!A:E,5,),"NO REGISTRA")</f>
        <v>OFICINA DE MERCADEO</v>
      </c>
    </row>
    <row r="4267" spans="1:5" ht="15.75" x14ac:dyDescent="0.25">
      <c r="A4267" s="10">
        <v>1014308296</v>
      </c>
      <c r="B4267" s="2">
        <v>46100.335042129627</v>
      </c>
      <c r="C4267" s="3" t="str">
        <f>IFERROR(VLOOKUP(A4267,'Base Prueba'!A:C,3,),"NO REGISTRA")</f>
        <v>DARLENE YULIANA MORENO CELEITA</v>
      </c>
      <c r="D4267" s="4" t="str">
        <f>IFERROR(VLOOKUP(A4267,'Base Prueba'!A:D,4,),"NO REGISTRA")</f>
        <v>CAJERO PRINCIPAL</v>
      </c>
      <c r="E4267" s="5" t="str">
        <f>IFERROR(VLOOKUP(A4267,'Base Prueba'!A:E,5,),"NO REGISTRA")</f>
        <v>AREA FINANCIERA Y CONTABLE</v>
      </c>
    </row>
    <row r="4268" spans="1:5" ht="15.75" x14ac:dyDescent="0.25">
      <c r="A4268" s="10">
        <v>80191732</v>
      </c>
      <c r="B4268" s="2">
        <v>46100.336437615741</v>
      </c>
      <c r="C4268" s="3" t="str">
        <f>IFERROR(VLOOKUP(A4268,'Base Prueba'!A:C,3,),"NO REGISTRA")</f>
        <v>DANIEL MAURICIO ZAMBRANO TUNJANO</v>
      </c>
      <c r="D4268" s="4" t="str">
        <f>IFERROR(VLOOKUP(A4268,'Base Prueba'!A:D,4,),"NO REGISTRA")</f>
        <v>COORDINADOR DE DISEÑO E IMAGEN INSTITUCIONAL</v>
      </c>
      <c r="E4268" s="5" t="str">
        <f>IFERROR(VLOOKUP(A4268,'Base Prueba'!A:E,5,),"NO REGISTRA")</f>
        <v>OFICINA DE MERCADEO</v>
      </c>
    </row>
    <row r="4269" spans="1:5" ht="15.75" x14ac:dyDescent="0.25">
      <c r="A4269" s="10">
        <v>1049644802</v>
      </c>
      <c r="B4269" s="2">
        <v>46100.338490277776</v>
      </c>
      <c r="C4269" s="3" t="str">
        <f>IFERROR(VLOOKUP(A4269,'Base Prueba'!A:C,3,),"NO REGISTRA")</f>
        <v>DANIELA ALEXANDRA CIPAMOCHA BOSIGA</v>
      </c>
      <c r="D4269" s="4" t="str">
        <f>IFERROR(VLOOKUP(A4269,'Base Prueba'!A:D,4,),"NO REGISTRA")</f>
        <v>LIDER DE DATOS Y SERVICIOS</v>
      </c>
      <c r="E4269" s="5" t="str">
        <f>IFERROR(VLOOKUP(A4269,'Base Prueba'!A:E,5,),"NO REGISTRA")</f>
        <v>OFICINA DE PLANEACION Y GESTION DE LA CALIDAD</v>
      </c>
    </row>
    <row r="4270" spans="1:5" ht="15.75" x14ac:dyDescent="0.25">
      <c r="A4270" s="10">
        <v>1193457976</v>
      </c>
      <c r="B4270" s="2">
        <v>46100.340089351848</v>
      </c>
      <c r="C4270" s="3" t="str">
        <f>IFERROR(VLOOKUP(A4270,'Base Prueba'!A:C,3,),"NO REGISTRA")</f>
        <v>SEDENIS RIVAS ASPRILLA</v>
      </c>
      <c r="D4270" s="4" t="str">
        <f>IFERROR(VLOOKUP(A4270,'Base Prueba'!A:D,4,),"NO REGISTRA")</f>
        <v>APRENDIZ UNIVERSITARIO</v>
      </c>
      <c r="E4270" s="5" t="str">
        <f>IFERROR(VLOOKUP(A4270,'Base Prueba'!A:E,5,),"NO REGISTRA")</f>
        <v>DEPARTAMENTO DE GESTION HUMANA</v>
      </c>
    </row>
    <row r="4271" spans="1:5" ht="15.75" x14ac:dyDescent="0.25">
      <c r="A4271" s="10">
        <v>1022996882</v>
      </c>
      <c r="B4271" s="2">
        <v>46100.342047222221</v>
      </c>
      <c r="C4271" s="3" t="str">
        <f>IFERROR(VLOOKUP(A4271,'Base Prueba'!A:C,3,),"NO REGISTRA")</f>
        <v>NANCY BRIGITH ALDANA GUEVARA</v>
      </c>
      <c r="D4271" s="4" t="str">
        <f>IFERROR(VLOOKUP(A4271,'Base Prueba'!A:D,4,),"NO REGISTRA")</f>
        <v>COORDINADORA DE GESTIÓN HUMANA</v>
      </c>
      <c r="E4271" s="5" t="str">
        <f>IFERROR(VLOOKUP(A4271,'Base Prueba'!A:E,5,),"NO REGISTRA")</f>
        <v>DEPARTAMENTO DE GESTION HUMANA</v>
      </c>
    </row>
    <row r="4272" spans="1:5" ht="15.75" x14ac:dyDescent="0.25">
      <c r="A4272" s="10">
        <v>1014977624</v>
      </c>
      <c r="B4272" s="2">
        <v>46100.346409837963</v>
      </c>
      <c r="C4272" s="3" t="str">
        <f>IFERROR(VLOOKUP(A4272,'Base Prueba'!A:C,3,),"NO REGISTRA")</f>
        <v>NICCOLE VALENTINA HERNANDEZ MALAVER</v>
      </c>
      <c r="D4272" s="4" t="str">
        <f>IFERROR(VLOOKUP(A4272,'Base Prueba'!A:D,4,),"NO REGISTRA")</f>
        <v>APRENDIZ UNIVERSITARIO</v>
      </c>
      <c r="E4272" s="5" t="str">
        <f>IFERROR(VLOOKUP(A4272,'Base Prueba'!A:E,5,),"NO REGISTRA")</f>
        <v>AREA FINANCIERA Y CONTABLE</v>
      </c>
    </row>
    <row r="4273" spans="1:5" ht="15.75" x14ac:dyDescent="0.25">
      <c r="A4273" s="10">
        <v>1023883232</v>
      </c>
      <c r="B4273" s="2">
        <v>46100.347748611108</v>
      </c>
      <c r="C4273" s="3" t="str">
        <f>IFERROR(VLOOKUP(A4273,'Base Prueba'!A:C,3,),"NO REGISTRA")</f>
        <v>MONICA ANDREA ACERO URBANO</v>
      </c>
      <c r="D4273" s="4" t="str">
        <f>IFERROR(VLOOKUP(A4273,'Base Prueba'!A:D,4,),"NO REGISTRA")</f>
        <v>APOYO INTEGRAL A GESTION HUMANA</v>
      </c>
      <c r="E4273" s="5" t="str">
        <f>IFERROR(VLOOKUP(A4273,'Base Prueba'!A:E,5,),"NO REGISTRA")</f>
        <v>DEPARTAMENTO DE GESTION HUMANA</v>
      </c>
    </row>
    <row r="4274" spans="1:5" ht="15.75" x14ac:dyDescent="0.25">
      <c r="A4274" s="10">
        <v>1000457706</v>
      </c>
      <c r="B4274" s="2">
        <v>46100.351298148147</v>
      </c>
      <c r="C4274" s="3" t="str">
        <f>IFERROR(VLOOKUP(A4274,'Base Prueba'!A:C,3,),"NO REGISTRA")</f>
        <v>CRISTIAN DANILO ARROYO SANABRIA</v>
      </c>
      <c r="D4274" s="4" t="str">
        <f>IFERROR(VLOOKUP(A4274,'Base Prueba'!A:D,4,),"NO REGISTRA")</f>
        <v>AUXILIAR CONTABLE</v>
      </c>
      <c r="E4274" s="5" t="str">
        <f>IFERROR(VLOOKUP(A4274,'Base Prueba'!A:E,5,),"NO REGISTRA")</f>
        <v>AREA FINANCIERA Y CONTABLE</v>
      </c>
    </row>
    <row r="4275" spans="1:5" ht="15.75" x14ac:dyDescent="0.25">
      <c r="A4275" s="10">
        <v>53932358</v>
      </c>
      <c r="B4275" s="2">
        <v>46100.353373379628</v>
      </c>
      <c r="C4275" s="3" t="str">
        <f>IFERROR(VLOOKUP(A4275,'Base Prueba'!A:C,3,),"NO REGISTRA")</f>
        <v>DIANA MADELEYNE GAONA RODRIGUEZ</v>
      </c>
      <c r="D4275" s="4" t="str">
        <f>IFERROR(VLOOKUP(A4275,'Base Prueba'!A:D,4,),"NO REGISTRA")</f>
        <v>CONTADOR</v>
      </c>
      <c r="E4275" s="5" t="str">
        <f>IFERROR(VLOOKUP(A4275,'Base Prueba'!A:E,5,),"NO REGISTRA")</f>
        <v>AREA FINANCIERA Y CONTABLE</v>
      </c>
    </row>
    <row r="4276" spans="1:5" ht="15.75" x14ac:dyDescent="0.25">
      <c r="A4276" s="10">
        <v>1032407386</v>
      </c>
      <c r="B4276" s="2">
        <v>46100.356920138889</v>
      </c>
      <c r="C4276" s="3" t="str">
        <f>IFERROR(VLOOKUP(A4276,'Base Prueba'!A:C,3,),"NO REGISTRA")</f>
        <v>GINA PAOLA BAEZ GALVIS</v>
      </c>
      <c r="D4276" s="4" t="str">
        <f>IFERROR(VLOOKUP(A4276,'Base Prueba'!A:D,4,),"NO REGISTRA")</f>
        <v>PROMOTOR CALL CENTER</v>
      </c>
      <c r="E4276" s="5" t="str">
        <f>IFERROR(VLOOKUP(A4276,'Base Prueba'!A:E,5,),"NO REGISTRA")</f>
        <v>OFICINA DE MERCADEO</v>
      </c>
    </row>
    <row r="4277" spans="1:5" ht="15.75" x14ac:dyDescent="0.25">
      <c r="A4277" s="10">
        <v>52764929</v>
      </c>
      <c r="B4277" s="2">
        <v>46100.359473958335</v>
      </c>
      <c r="C4277" s="3" t="str">
        <f>IFERROR(VLOOKUP(A4277,'Base Prueba'!A:C,3,),"NO REGISTRA")</f>
        <v>GUERLY YOHANA DURAN RIVERA</v>
      </c>
      <c r="D4277" s="4" t="str">
        <f>IFERROR(VLOOKUP(A4277,'Base Prueba'!A:D,4,),"NO REGISTRA")</f>
        <v>LIDER DE VINCULACION COLEGIOS</v>
      </c>
      <c r="E4277" s="5" t="str">
        <f>IFERROR(VLOOKUP(A4277,'Base Prueba'!A:E,5,),"NO REGISTRA")</f>
        <v>OFICINA DE MERCADEO</v>
      </c>
    </row>
    <row r="4278" spans="1:5" ht="15.75" x14ac:dyDescent="0.25">
      <c r="A4278" s="10">
        <v>1033709056</v>
      </c>
      <c r="B4278" s="2">
        <v>46100.360551388891</v>
      </c>
      <c r="C4278" s="3" t="str">
        <f>IFERROR(VLOOKUP(A4278,'Base Prueba'!A:C,3,),"NO REGISTRA")</f>
        <v>YEIMY ALEXANDRA RODRIGUEZ PALACIO</v>
      </c>
      <c r="D4278" s="4" t="str">
        <f>IFERROR(VLOOKUP(A4278,'Base Prueba'!A:D,4,),"NO REGISTRA")</f>
        <v>PROMOTOR CALL CENTER</v>
      </c>
      <c r="E4278" s="5" t="str">
        <f>IFERROR(VLOOKUP(A4278,'Base Prueba'!A:E,5,),"NO REGISTRA")</f>
        <v>OFICINA DE MERCADEO</v>
      </c>
    </row>
    <row r="4279" spans="1:5" ht="15.75" x14ac:dyDescent="0.25">
      <c r="A4279" s="10">
        <v>1000593372</v>
      </c>
      <c r="B4279" s="2">
        <v>46100.363212731485</v>
      </c>
      <c r="C4279" s="3" t="str">
        <f>IFERROR(VLOOKUP(A4279,'Base Prueba'!A:C,3,),"NO REGISTRA")</f>
        <v>LAURA SOFIA CHAPARRO LOPEZ</v>
      </c>
      <c r="D4279" s="4" t="str">
        <f>IFERROR(VLOOKUP(A4279,'Base Prueba'!A:D,4,),"NO REGISTRA")</f>
        <v>AUXILIAR JURIDICO</v>
      </c>
      <c r="E4279" s="5" t="str">
        <f>IFERROR(VLOOKUP(A4279,'Base Prueba'!A:E,5,),"NO REGISTRA")</f>
        <v>SECRETARIA GENERAL</v>
      </c>
    </row>
    <row r="4280" spans="1:5" ht="15.75" x14ac:dyDescent="0.25">
      <c r="A4280" s="10">
        <v>1018413529</v>
      </c>
      <c r="B4280" s="2">
        <v>46100.367180555557</v>
      </c>
      <c r="C4280" s="3" t="str">
        <f>IFERROR(VLOOKUP(A4280,'Base Prueba'!A:C,3,),"NO REGISTRA")</f>
        <v>FRANCY STELLA CHARRY MORENO</v>
      </c>
      <c r="D4280" s="4" t="str">
        <f>IFERROR(VLOOKUP(A4280,'Base Prueba'!A:D,4,),"NO REGISTRA")</f>
        <v>PROMOTOR COMERCIAL DEL CEA</v>
      </c>
      <c r="E4280" s="5" t="str">
        <f>IFERROR(VLOOKUP(A4280,'Base Prueba'!A:E,5,),"NO REGISTRA")</f>
        <v>OFICINA DE MERCADEO</v>
      </c>
    </row>
    <row r="4281" spans="1:5" ht="15.75" x14ac:dyDescent="0.25">
      <c r="A4281" s="10">
        <v>1012426741</v>
      </c>
      <c r="B4281" s="2">
        <v>46100.369963657409</v>
      </c>
      <c r="C4281" s="3" t="str">
        <f>IFERROR(VLOOKUP(A4281,'Base Prueba'!A:C,3,),"NO REGISTRA")</f>
        <v>CRISTIAN FABIAN ROJAS SANCENO</v>
      </c>
      <c r="D4281" s="4" t="str">
        <f>IFERROR(VLOOKUP(A4281,'Base Prueba'!A:D,4,),"NO REGISTRA")</f>
        <v>AUXILIAR DE REINTEGROS</v>
      </c>
      <c r="E4281" s="5" t="str">
        <f>IFERROR(VLOOKUP(A4281,'Base Prueba'!A:E,5,),"NO REGISTRA")</f>
        <v>DIRECCION DE BIENESTAR INSTITUCIONAL</v>
      </c>
    </row>
    <row r="4282" spans="1:5" ht="15.75" x14ac:dyDescent="0.25">
      <c r="A4282" s="10">
        <v>1016090131</v>
      </c>
      <c r="B4282" s="2">
        <v>46100.370547453706</v>
      </c>
      <c r="C4282" s="3" t="str">
        <f>IFERROR(VLOOKUP(A4282,'Base Prueba'!A:C,3,),"NO REGISTRA")</f>
        <v>NICOLAS RODRIGUEZ PACHECO</v>
      </c>
      <c r="D4282" s="4" t="str">
        <f>IFERROR(VLOOKUP(A4282,'Base Prueba'!A:D,4,),"NO REGISTRA")</f>
        <v>COORDINADOR DE COMUNICACIONES</v>
      </c>
      <c r="E4282" s="5" t="str">
        <f>IFERROR(VLOOKUP(A4282,'Base Prueba'!A:E,5,),"NO REGISTRA")</f>
        <v>OFICINA DE MERCADEO</v>
      </c>
    </row>
    <row r="4283" spans="1:5" ht="15.75" x14ac:dyDescent="0.25">
      <c r="A4283" s="10">
        <v>52472386</v>
      </c>
      <c r="B4283" s="2">
        <v>46100.371397800925</v>
      </c>
      <c r="C4283" s="3" t="str">
        <f>IFERROR(VLOOKUP(A4283,'Base Prueba'!A:C,3,),"NO REGISTRA")</f>
        <v>ADRIANA MARCELA MORALES PARDO</v>
      </c>
      <c r="D4283" s="4" t="str">
        <f>IFERROR(VLOOKUP(A4283,'Base Prueba'!A:D,4,),"NO REGISTRA")</f>
        <v>PROMOTOR CALL CENTER</v>
      </c>
      <c r="E4283" s="5" t="str">
        <f>IFERROR(VLOOKUP(A4283,'Base Prueba'!A:E,5,),"NO REGISTRA")</f>
        <v>OFICINA DE MERCADEO</v>
      </c>
    </row>
    <row r="4284" spans="1:5" ht="15.75" x14ac:dyDescent="0.25">
      <c r="A4284" s="10">
        <v>80234243</v>
      </c>
      <c r="B4284" s="2">
        <v>46100.372491435184</v>
      </c>
      <c r="C4284" s="3" t="str">
        <f>IFERROR(VLOOKUP(A4284,'Base Prueba'!A:C,3,),"NO REGISTRA")</f>
        <v>ARGENIS MARTINEZ MARTINEZ</v>
      </c>
      <c r="D4284" s="4" t="str">
        <f>IFERROR(VLOOKUP(A4284,'Base Prueba'!A:D,4,),"NO REGISTRA")</f>
        <v>LIDER CALL CENTER</v>
      </c>
      <c r="E4284" s="5" t="str">
        <f>IFERROR(VLOOKUP(A4284,'Base Prueba'!A:E,5,),"NO REGISTRA")</f>
        <v>OFICINA DE MERCADEO</v>
      </c>
    </row>
    <row r="4285" spans="1:5" ht="15.75" x14ac:dyDescent="0.25">
      <c r="A4285" s="10">
        <v>28798349</v>
      </c>
      <c r="B4285" s="2">
        <v>46100.373905671295</v>
      </c>
      <c r="C4285" s="3" t="str">
        <f>IFERROR(VLOOKUP(A4285,'Base Prueba'!A:C,3,),"NO REGISTRA")</f>
        <v>MARTHA ISABEL TOVAR WILLIAMS</v>
      </c>
      <c r="D4285" s="4" t="str">
        <f>IFERROR(VLOOKUP(A4285,'Base Prueba'!A:D,4,),"NO REGISTRA")</f>
        <v>PROMOTOR CALL CENTER</v>
      </c>
      <c r="E4285" s="5" t="str">
        <f>IFERROR(VLOOKUP(A4285,'Base Prueba'!A:E,5,),"NO REGISTRA")</f>
        <v>OFICINA DE MERCADEO</v>
      </c>
    </row>
    <row r="4286" spans="1:5" ht="15.75" x14ac:dyDescent="0.25">
      <c r="A4286" s="10">
        <v>53089882</v>
      </c>
      <c r="B4286" s="2">
        <v>46100.375799652778</v>
      </c>
      <c r="C4286" s="3" t="str">
        <f>IFERROR(VLOOKUP(A4286,'Base Prueba'!A:C,3,),"NO REGISTRA")</f>
        <v>MARIA JOHANA ESCAMILLA MARTINEZ</v>
      </c>
      <c r="D4286" s="4" t="str">
        <f>IFERROR(VLOOKUP(A4286,'Base Prueba'!A:D,4,),"NO REGISTRA")</f>
        <v>PROMOTOR DE INFORMACIÓN</v>
      </c>
      <c r="E4286" s="5" t="str">
        <f>IFERROR(VLOOKUP(A4286,'Base Prueba'!A:E,5,),"NO REGISTRA")</f>
        <v>OFICINA DE MERCADEO</v>
      </c>
    </row>
    <row r="4287" spans="1:5" ht="15.75" x14ac:dyDescent="0.25">
      <c r="A4287" s="10">
        <v>1018414290</v>
      </c>
      <c r="B4287" s="2">
        <v>46100.375835300925</v>
      </c>
      <c r="C4287" s="3" t="str">
        <f>IFERROR(VLOOKUP(A4287,'Base Prueba'!A:C,3,),"NO REGISTRA")</f>
        <v>AMANDA LISBETH RODRIGUEZ LEON</v>
      </c>
      <c r="D4287" s="4" t="str">
        <f>IFERROR(VLOOKUP(A4287,'Base Prueba'!A:D,4,),"NO REGISTRA")</f>
        <v>PROMOTOR CALL CENTER</v>
      </c>
      <c r="E4287" s="5" t="str">
        <f>IFERROR(VLOOKUP(A4287,'Base Prueba'!A:E,5,),"NO REGISTRA")</f>
        <v>OFICINA DE MERCADEO</v>
      </c>
    </row>
    <row r="4288" spans="1:5" ht="15.75" x14ac:dyDescent="0.25">
      <c r="A4288" s="10">
        <v>1019105003</v>
      </c>
      <c r="B4288" s="2">
        <v>46100.3792880787</v>
      </c>
      <c r="C4288" s="3" t="str">
        <f>IFERROR(VLOOKUP(A4288,'Base Prueba'!A:C,3,),"NO REGISTRA")</f>
        <v>DAISY JULIETH GASPAR MORENO</v>
      </c>
      <c r="D4288" s="4" t="str">
        <f>IFERROR(VLOOKUP(A4288,'Base Prueba'!A:D,4,),"NO REGISTRA")</f>
        <v>PROMOTOR CALL CENTER</v>
      </c>
      <c r="E4288" s="5" t="str">
        <f>IFERROR(VLOOKUP(A4288,'Base Prueba'!A:E,5,),"NO REGISTRA")</f>
        <v>OFICINA DE MERCADEO</v>
      </c>
    </row>
    <row r="4289" spans="1:5" ht="15.75" x14ac:dyDescent="0.25">
      <c r="A4289" s="10">
        <v>1023961952</v>
      </c>
      <c r="B4289" s="2">
        <v>46100.37994097222</v>
      </c>
      <c r="C4289" s="3" t="str">
        <f>IFERROR(VLOOKUP(A4289,'Base Prueba'!A:C,3,),"NO REGISTRA")</f>
        <v>ALEJANDRO PINZON MERCHAN</v>
      </c>
      <c r="D4289" s="4" t="str">
        <f>IFERROR(VLOOKUP(A4289,'Base Prueba'!A:D,4,),"NO REGISTRA")</f>
        <v>PROMOTOR CALL CENTER</v>
      </c>
      <c r="E4289" s="5" t="str">
        <f>IFERROR(VLOOKUP(A4289,'Base Prueba'!A:E,5,),"NO REGISTRA")</f>
        <v>OFICINA DE MERCADEO</v>
      </c>
    </row>
    <row r="4290" spans="1:5" ht="15.75" x14ac:dyDescent="0.25">
      <c r="A4290" s="10">
        <v>52175674</v>
      </c>
      <c r="B4290" s="2">
        <v>46100.384339004631</v>
      </c>
      <c r="C4290" s="3" t="str">
        <f>IFERROR(VLOOKUP(A4290,'Base Prueba'!A:C,3,),"NO REGISTRA")</f>
        <v>LUZ YANETH GOMEZ AREVALO</v>
      </c>
      <c r="D4290" s="4" t="str">
        <f>IFERROR(VLOOKUP(A4290,'Base Prueba'!A:D,4,),"NO REGISTRA")</f>
        <v>COORDINADORA DE ADMISIONES</v>
      </c>
      <c r="E4290" s="5" t="str">
        <f>IFERROR(VLOOKUP(A4290,'Base Prueba'!A:E,5,),"NO REGISTRA")</f>
        <v>OFICINA DE MERCADEO</v>
      </c>
    </row>
    <row r="4291" spans="1:5" ht="15.75" x14ac:dyDescent="0.25">
      <c r="A4291" s="10">
        <v>1014196857</v>
      </c>
      <c r="B4291" s="2">
        <v>46100.386672106484</v>
      </c>
      <c r="C4291" s="3" t="str">
        <f>IFERROR(VLOOKUP(A4291,'Base Prueba'!A:C,3,),"NO REGISTRA")</f>
        <v>CARLOS ANDRES JIMENEZ PARDO</v>
      </c>
      <c r="D4291" s="4" t="str">
        <f>IFERROR(VLOOKUP(A4291,'Base Prueba'!A:D,4,),"NO REGISTRA")</f>
        <v>COORDINADOR DE MARKETING DIGITAL</v>
      </c>
      <c r="E4291" s="5" t="str">
        <f>IFERROR(VLOOKUP(A4291,'Base Prueba'!A:E,5,),"NO REGISTRA")</f>
        <v>OFICINA DE MERCADEO</v>
      </c>
    </row>
    <row r="4292" spans="1:5" ht="15.75" x14ac:dyDescent="0.25">
      <c r="A4292" s="10">
        <v>52443092</v>
      </c>
      <c r="B4292" s="2">
        <v>46100.570193865744</v>
      </c>
      <c r="C4292" s="3" t="str">
        <f>IFERROR(VLOOKUP(A4292,'Base Prueba'!A:C,3,),"NO REGISTRA")</f>
        <v>LUZ MYRIAM SAAVEDRA CONTRERAS</v>
      </c>
      <c r="D4292" s="4" t="str">
        <f>IFERROR(VLOOKUP(A4292,'Base Prueba'!A:D,4,),"NO REGISTRA")</f>
        <v>AUXILIAR DE SERVICIOS</v>
      </c>
      <c r="E4292" s="5" t="str">
        <f>IFERROR(VLOOKUP(A4292,'Base Prueba'!A:E,5,),"NO REGISTRA")</f>
        <v>LOGISTICA Y SERVICIOS GENERALES</v>
      </c>
    </row>
    <row r="4293" spans="1:5" ht="15.75" x14ac:dyDescent="0.25">
      <c r="A4293" s="10">
        <v>1032407386</v>
      </c>
      <c r="B4293" s="2">
        <v>46100.693056249998</v>
      </c>
      <c r="C4293" s="3" t="str">
        <f>IFERROR(VLOOKUP(A4293,'Base Prueba'!A:C,3,),"NO REGISTRA")</f>
        <v>GINA PAOLA BAEZ GALVIS</v>
      </c>
      <c r="D4293" s="4" t="str">
        <f>IFERROR(VLOOKUP(A4293,'Base Prueba'!A:D,4,),"NO REGISTRA")</f>
        <v>PROMOTOR CALL CENTER</v>
      </c>
      <c r="E4293" s="5" t="str">
        <f>IFERROR(VLOOKUP(A4293,'Base Prueba'!A:E,5,),"NO REGISTRA")</f>
        <v>OFICINA DE MERCADEO</v>
      </c>
    </row>
    <row r="4294" spans="1:5" ht="15.75" x14ac:dyDescent="0.25">
      <c r="A4294" s="10">
        <v>1000611958</v>
      </c>
      <c r="B4294" s="2">
        <v>46100.706538888888</v>
      </c>
      <c r="C4294" s="3" t="str">
        <f>IFERROR(VLOOKUP(A4294,'Base Prueba'!A:C,3,),"NO REGISTRA")</f>
        <v>TYLER CORRADINE  VARGAS</v>
      </c>
      <c r="D4294" s="4" t="str">
        <f>IFERROR(VLOOKUP(A4294,'Base Prueba'!A:D,4,),"NO REGISTRA")</f>
        <v>APRENDIZ UNIVERSITARIO</v>
      </c>
      <c r="E4294" s="5" t="str">
        <f>IFERROR(VLOOKUP(A4294,'Base Prueba'!A:E,5,),"NO REGISTRA")</f>
        <v>DEPARTAMENTO DE INFORMATICA Y TECNOLOGIA</v>
      </c>
    </row>
    <row r="4295" spans="1:5" ht="15.75" x14ac:dyDescent="0.25">
      <c r="A4295" s="10">
        <v>1031802160</v>
      </c>
      <c r="B4295" s="2">
        <v>46100.709396759259</v>
      </c>
      <c r="C4295" s="3" t="str">
        <f>IFERROR(VLOOKUP(A4295,'Base Prueba'!A:C,3,),"NO REGISTRA")</f>
        <v>LUISA MARIA MAHECHA SOTOMAYOR</v>
      </c>
      <c r="D4295" s="4" t="str">
        <f>IFERROR(VLOOKUP(A4295,'Base Prueba'!A:D,4,),"NO REGISTRA")</f>
        <v>APRENDIZ UNIVERSITARIO</v>
      </c>
      <c r="E4295" s="5" t="str">
        <f>IFERROR(VLOOKUP(A4295,'Base Prueba'!A:E,5,),"NO REGISTRA")</f>
        <v>OFICINA DE MERCADEO</v>
      </c>
    </row>
    <row r="4296" spans="1:5" ht="15.75" x14ac:dyDescent="0.25">
      <c r="A4296" s="10">
        <v>1087121273</v>
      </c>
      <c r="B4296" s="2">
        <v>46100.717635300927</v>
      </c>
      <c r="C4296" s="3" t="str">
        <f>IFERROR(VLOOKUP(A4296,'Base Prueba'!A:C,3,),"NO REGISTRA")</f>
        <v>MAYRA ALEJANDRA CASTILLO ARBOLEDA</v>
      </c>
      <c r="D4296" s="4" t="str">
        <f>IFERROR(VLOOKUP(A4296,'Base Prueba'!A:D,4,),"NO REGISTRA")</f>
        <v>APOYO INTEGRAL DE MERCADEO</v>
      </c>
      <c r="E4296" s="5" t="str">
        <f>IFERROR(VLOOKUP(A4296,'Base Prueba'!A:E,5,),"NO REGISTRA")</f>
        <v>CENTRO DE GESTION DOCUMENTAL</v>
      </c>
    </row>
    <row r="4297" spans="1:5" ht="15.75" x14ac:dyDescent="0.25">
      <c r="A4297" s="10">
        <v>1024512067</v>
      </c>
      <c r="B4297" s="2">
        <v>46100.739084953704</v>
      </c>
      <c r="C4297" s="3" t="str">
        <f>IFERROR(VLOOKUP(A4297,'Base Prueba'!A:C,3,),"NO REGISTRA")</f>
        <v>CINDY GIOVANA SALGAR GOMEZ</v>
      </c>
      <c r="D4297" s="4" t="str">
        <f>IFERROR(VLOOKUP(A4297,'Base Prueba'!A:D,4,),"NO REGISTRA")</f>
        <v>COORDINADOR DEL SISTEMA INTEGRADO DE GESTION INSTITUCIONAL - SIGI</v>
      </c>
      <c r="E4297" s="5" t="str">
        <f>IFERROR(VLOOKUP(A4297,'Base Prueba'!A:E,5,),"NO REGISTRA")</f>
        <v>OFICINA DE PLANEACION Y GESTION DE LA CALIDAD</v>
      </c>
    </row>
    <row r="4298" spans="1:5" ht="15.75" x14ac:dyDescent="0.25">
      <c r="A4298" s="10">
        <v>1012426741</v>
      </c>
      <c r="B4298" s="2">
        <v>46100.750133449073</v>
      </c>
      <c r="C4298" s="3" t="str">
        <f>IFERROR(VLOOKUP(A4298,'Base Prueba'!A:C,3,),"NO REGISTRA")</f>
        <v>CRISTIAN FABIAN ROJAS SANCENO</v>
      </c>
      <c r="D4298" s="4" t="str">
        <f>IFERROR(VLOOKUP(A4298,'Base Prueba'!A:D,4,),"NO REGISTRA")</f>
        <v>AUXILIAR DE REINTEGROS</v>
      </c>
      <c r="E4298" s="5" t="str">
        <f>IFERROR(VLOOKUP(A4298,'Base Prueba'!A:E,5,),"NO REGISTRA")</f>
        <v>DIRECCION DE BIENESTAR INSTITUCIONAL</v>
      </c>
    </row>
    <row r="4299" spans="1:5" ht="15.75" x14ac:dyDescent="0.25">
      <c r="A4299" s="10">
        <v>1010184333</v>
      </c>
      <c r="B4299" s="2">
        <v>46100.75033865741</v>
      </c>
      <c r="C4299" s="3" t="str">
        <f>IFERROR(VLOOKUP(A4299,'Base Prueba'!A:C,3,),"NO REGISTRA")</f>
        <v>AKON ANDRES GARZON ALVAREZ</v>
      </c>
      <c r="D4299" s="4" t="str">
        <f>IFERROR(VLOOKUP(A4299,'Base Prueba'!A:D,4,),"NO REGISTRA")</f>
        <v>APRENDIZ UNIVERSITARIO</v>
      </c>
      <c r="E4299" s="5" t="str">
        <f>IFERROR(VLOOKUP(A4299,'Base Prueba'!A:E,5,),"NO REGISTRA")</f>
        <v>SECRETARIA GENERAL</v>
      </c>
    </row>
    <row r="4300" spans="1:5" ht="15.75" x14ac:dyDescent="0.25">
      <c r="A4300" s="10">
        <v>1000467399</v>
      </c>
      <c r="B4300" s="2">
        <v>46100.752422337966</v>
      </c>
      <c r="C4300" s="3" t="str">
        <f>IFERROR(VLOOKUP(A4300,'Base Prueba'!A:C,3,),"NO REGISTRA")</f>
        <v>BRANDO ESTIVEN DIAZ QUIMBAYA</v>
      </c>
      <c r="D4300" s="4" t="str">
        <f>IFERROR(VLOOKUP(A4300,'Base Prueba'!A:D,4,),"NO REGISTRA")</f>
        <v>APRENDIZ UNIVERSITARIO</v>
      </c>
      <c r="E4300" s="5" t="str">
        <f>IFERROR(VLOOKUP(A4300,'Base Prueba'!A:E,5,),"NO REGISTRA")</f>
        <v>DEPARTAMENTO DE GESTION HUMANA</v>
      </c>
    </row>
    <row r="4301" spans="1:5" ht="15.75" x14ac:dyDescent="0.25">
      <c r="A4301" s="10">
        <v>80191732</v>
      </c>
      <c r="B4301" s="2">
        <v>46100.753641087962</v>
      </c>
      <c r="C4301" s="3" t="str">
        <f>IFERROR(VLOOKUP(A4301,'Base Prueba'!A:C,3,),"NO REGISTRA")</f>
        <v>DANIEL MAURICIO ZAMBRANO TUNJANO</v>
      </c>
      <c r="D4301" s="4" t="str">
        <f>IFERROR(VLOOKUP(A4301,'Base Prueba'!A:D,4,),"NO REGISTRA")</f>
        <v>COORDINADOR DE DISEÑO E IMAGEN INSTITUCIONAL</v>
      </c>
      <c r="E4301" s="5" t="str">
        <f>IFERROR(VLOOKUP(A4301,'Base Prueba'!A:E,5,),"NO REGISTRA")</f>
        <v>OFICINA DE MERCADEO</v>
      </c>
    </row>
    <row r="4302" spans="1:5" ht="15.75" x14ac:dyDescent="0.25">
      <c r="A4302" s="10">
        <v>1013616244</v>
      </c>
      <c r="B4302" s="2">
        <v>46100.754492476852</v>
      </c>
      <c r="C4302" s="3" t="str">
        <f>IFERROR(VLOOKUP(A4302,'Base Prueba'!A:C,3,),"NO REGISTRA")</f>
        <v>DIANA CAROLINA MARIN BETANCOURT</v>
      </c>
      <c r="D4302" s="4" t="str">
        <f>IFERROR(VLOOKUP(A4302,'Base Prueba'!A:D,4,),"NO REGISTRA")</f>
        <v>AUXILIAR ADMINISTRATIVO</v>
      </c>
      <c r="E4302" s="5" t="str">
        <f>IFERROR(VLOOKUP(A4302,'Base Prueba'!A:E,5,),"NO REGISTRA")</f>
        <v>REGISTRO Y CONTROL ACADEMICO</v>
      </c>
    </row>
    <row r="4303" spans="1:5" ht="15.75" x14ac:dyDescent="0.25">
      <c r="A4303" s="10">
        <v>1000324729</v>
      </c>
      <c r="B4303" s="2">
        <v>46100.754576041669</v>
      </c>
      <c r="C4303" s="3" t="str">
        <f>IFERROR(VLOOKUP(A4303,'Base Prueba'!A:C,3,),"NO REGISTRA")</f>
        <v>ANYIE VANESSA TINOCO CAMACHO</v>
      </c>
      <c r="D4303" s="4" t="str">
        <f>IFERROR(VLOOKUP(A4303,'Base Prueba'!A:D,4,),"NO REGISTRA")</f>
        <v>LIDER DE REGISTRO Y CONTROL</v>
      </c>
      <c r="E4303" s="5" t="str">
        <f>IFERROR(VLOOKUP(A4303,'Base Prueba'!A:E,5,),"NO REGISTRA")</f>
        <v>REGISTRO Y CONTROL ACADEMICO</v>
      </c>
    </row>
    <row r="4304" spans="1:5" ht="15.75" x14ac:dyDescent="0.25">
      <c r="A4304" s="10">
        <v>1030567635</v>
      </c>
      <c r="B4304" s="2">
        <v>46100.754882175926</v>
      </c>
      <c r="C4304" s="3" t="str">
        <f>IFERROR(VLOOKUP(A4304,'Base Prueba'!A:C,3,),"NO REGISTRA")</f>
        <v>JEFFERSON ANDRES BARRETO DIAZ</v>
      </c>
      <c r="D4304" s="4" t="str">
        <f>IFERROR(VLOOKUP(A4304,'Base Prueba'!A:D,4,),"NO REGISTRA")</f>
        <v>AUXILIAR DE ARCHIVO</v>
      </c>
      <c r="E4304" s="5" t="str">
        <f>IFERROR(VLOOKUP(A4304,'Base Prueba'!A:E,5,),"NO REGISTRA")</f>
        <v>CENTRO DE GESTION DOCUMENTAL</v>
      </c>
    </row>
    <row r="4305" spans="1:5" ht="15.75" x14ac:dyDescent="0.25">
      <c r="A4305" s="10">
        <v>1000593372</v>
      </c>
      <c r="B4305" s="2">
        <v>46100.75513888889</v>
      </c>
      <c r="C4305" s="3" t="str">
        <f>IFERROR(VLOOKUP(A4305,'Base Prueba'!A:C,3,),"NO REGISTRA")</f>
        <v>LAURA SOFIA CHAPARRO LOPEZ</v>
      </c>
      <c r="D4305" s="4" t="str">
        <f>IFERROR(VLOOKUP(A4305,'Base Prueba'!A:D,4,),"NO REGISTRA")</f>
        <v>AUXILIAR JURIDICO</v>
      </c>
      <c r="E4305" s="5" t="str">
        <f>IFERROR(VLOOKUP(A4305,'Base Prueba'!A:E,5,),"NO REGISTRA")</f>
        <v>SECRETARIA GENERAL</v>
      </c>
    </row>
    <row r="4306" spans="1:5" ht="15.75" x14ac:dyDescent="0.25">
      <c r="A4306" s="10">
        <v>1000604979</v>
      </c>
      <c r="B4306" s="2">
        <v>46100.755154398146</v>
      </c>
      <c r="C4306" s="3" t="str">
        <f>IFERROR(VLOOKUP(A4306,'Base Prueba'!A:C,3,),"NO REGISTRA")</f>
        <v>JULIETH TATIANA PARDO PINTO</v>
      </c>
      <c r="D4306" s="4" t="str">
        <f>IFERROR(VLOOKUP(A4306,'Base Prueba'!A:D,4,),"NO REGISTRA")</f>
        <v>AUXILIAR JURIDICO</v>
      </c>
      <c r="E4306" s="5" t="str">
        <f>IFERROR(VLOOKUP(A4306,'Base Prueba'!A:E,5,),"NO REGISTRA")</f>
        <v>SECRETARIA GENERAL</v>
      </c>
    </row>
    <row r="4307" spans="1:5" ht="15.75" x14ac:dyDescent="0.25">
      <c r="A4307" s="10">
        <v>1019105003</v>
      </c>
      <c r="B4307" s="2">
        <v>46100.755484837966</v>
      </c>
      <c r="C4307" s="3" t="str">
        <f>IFERROR(VLOOKUP(A4307,'Base Prueba'!A:C,3,),"NO REGISTRA")</f>
        <v>DAISY JULIETH GASPAR MORENO</v>
      </c>
      <c r="D4307" s="4" t="str">
        <f>IFERROR(VLOOKUP(A4307,'Base Prueba'!A:D,4,),"NO REGISTRA")</f>
        <v>PROMOTOR CALL CENTER</v>
      </c>
      <c r="E4307" s="5" t="str">
        <f>IFERROR(VLOOKUP(A4307,'Base Prueba'!A:E,5,),"NO REGISTRA")</f>
        <v>OFICINA DE MERCADEO</v>
      </c>
    </row>
    <row r="4308" spans="1:5" ht="15.75" x14ac:dyDescent="0.25">
      <c r="A4308" s="10">
        <v>1193457976</v>
      </c>
      <c r="B4308" s="2">
        <v>46100.757864467596</v>
      </c>
      <c r="C4308" s="3" t="str">
        <f>IFERROR(VLOOKUP(A4308,'Base Prueba'!A:C,3,),"NO REGISTRA")</f>
        <v>SEDENIS RIVAS ASPRILLA</v>
      </c>
      <c r="D4308" s="4" t="str">
        <f>IFERROR(VLOOKUP(A4308,'Base Prueba'!A:D,4,),"NO REGISTRA")</f>
        <v>APRENDIZ UNIVERSITARIO</v>
      </c>
      <c r="E4308" s="5" t="str">
        <f>IFERROR(VLOOKUP(A4308,'Base Prueba'!A:E,5,),"NO REGISTRA")</f>
        <v>DEPARTAMENTO DE GESTION HUMANA</v>
      </c>
    </row>
    <row r="4309" spans="1:5" ht="15.75" x14ac:dyDescent="0.25">
      <c r="A4309" s="10">
        <v>1018414290</v>
      </c>
      <c r="B4309" s="2">
        <v>46100.758191435183</v>
      </c>
      <c r="C4309" s="3" t="str">
        <f>IFERROR(VLOOKUP(A4309,'Base Prueba'!A:C,3,),"NO REGISTRA")</f>
        <v>AMANDA LISBETH RODRIGUEZ LEON</v>
      </c>
      <c r="D4309" s="4" t="str">
        <f>IFERROR(VLOOKUP(A4309,'Base Prueba'!A:D,4,),"NO REGISTRA")</f>
        <v>PROMOTOR CALL CENTER</v>
      </c>
      <c r="E4309" s="5" t="str">
        <f>IFERROR(VLOOKUP(A4309,'Base Prueba'!A:E,5,),"NO REGISTRA")</f>
        <v>OFICINA DE MERCADEO</v>
      </c>
    </row>
    <row r="4310" spans="1:5" ht="15.75" x14ac:dyDescent="0.25">
      <c r="A4310" s="10">
        <v>1049644802</v>
      </c>
      <c r="B4310" s="2">
        <v>46100.758974074073</v>
      </c>
      <c r="C4310" s="3" t="str">
        <f>IFERROR(VLOOKUP(A4310,'Base Prueba'!A:C,3,),"NO REGISTRA")</f>
        <v>DANIELA ALEXANDRA CIPAMOCHA BOSIGA</v>
      </c>
      <c r="D4310" s="4" t="str">
        <f>IFERROR(VLOOKUP(A4310,'Base Prueba'!A:D,4,),"NO REGISTRA")</f>
        <v>LIDER DE DATOS Y SERVICIOS</v>
      </c>
      <c r="E4310" s="5" t="str">
        <f>IFERROR(VLOOKUP(A4310,'Base Prueba'!A:E,5,),"NO REGISTRA")</f>
        <v>OFICINA DE PLANEACION Y GESTION DE LA CALIDAD</v>
      </c>
    </row>
    <row r="4311" spans="1:5" ht="15.75" x14ac:dyDescent="0.25">
      <c r="A4311" s="10">
        <v>1023883232</v>
      </c>
      <c r="B4311" s="2">
        <v>46100.759356481482</v>
      </c>
      <c r="C4311" s="3" t="str">
        <f>IFERROR(VLOOKUP(A4311,'Base Prueba'!A:C,3,),"NO REGISTRA")</f>
        <v>MONICA ANDREA ACERO URBANO</v>
      </c>
      <c r="D4311" s="4" t="str">
        <f>IFERROR(VLOOKUP(A4311,'Base Prueba'!A:D,4,),"NO REGISTRA")</f>
        <v>APOYO INTEGRAL A GESTION HUMANA</v>
      </c>
      <c r="E4311" s="5" t="str">
        <f>IFERROR(VLOOKUP(A4311,'Base Prueba'!A:E,5,),"NO REGISTRA")</f>
        <v>DEPARTAMENTO DE GESTION HUMANA</v>
      </c>
    </row>
    <row r="4312" spans="1:5" ht="15.75" x14ac:dyDescent="0.25">
      <c r="A4312" s="10">
        <v>1000457706</v>
      </c>
      <c r="B4312" s="2">
        <v>46100.759410069448</v>
      </c>
      <c r="C4312" s="3" t="str">
        <f>IFERROR(VLOOKUP(A4312,'Base Prueba'!A:C,3,),"NO REGISTRA")</f>
        <v>CRISTIAN DANILO ARROYO SANABRIA</v>
      </c>
      <c r="D4312" s="4" t="str">
        <f>IFERROR(VLOOKUP(A4312,'Base Prueba'!A:D,4,),"NO REGISTRA")</f>
        <v>AUXILIAR CONTABLE</v>
      </c>
      <c r="E4312" s="5" t="str">
        <f>IFERROR(VLOOKUP(A4312,'Base Prueba'!A:E,5,),"NO REGISTRA")</f>
        <v>AREA FINANCIERA Y CONTABLE</v>
      </c>
    </row>
    <row r="4313" spans="1:5" ht="15.75" x14ac:dyDescent="0.25">
      <c r="A4313" s="10">
        <v>53932358</v>
      </c>
      <c r="B4313" s="2">
        <v>46100.759468055556</v>
      </c>
      <c r="C4313" s="3" t="str">
        <f>IFERROR(VLOOKUP(A4313,'Base Prueba'!A:C,3,),"NO REGISTRA")</f>
        <v>DIANA MADELEYNE GAONA RODRIGUEZ</v>
      </c>
      <c r="D4313" s="4" t="str">
        <f>IFERROR(VLOOKUP(A4313,'Base Prueba'!A:D,4,),"NO REGISTRA")</f>
        <v>CONTADOR</v>
      </c>
      <c r="E4313" s="5" t="str">
        <f>IFERROR(VLOOKUP(A4313,'Base Prueba'!A:E,5,),"NO REGISTRA")</f>
        <v>AREA FINANCIERA Y CONTABLE</v>
      </c>
    </row>
    <row r="4314" spans="1:5" ht="15.75" x14ac:dyDescent="0.25">
      <c r="A4314" s="10">
        <v>53089882</v>
      </c>
      <c r="B4314" s="2">
        <v>46100.760291203704</v>
      </c>
      <c r="C4314" s="3" t="str">
        <f>IFERROR(VLOOKUP(A4314,'Base Prueba'!A:C,3,),"NO REGISTRA")</f>
        <v>MARIA JOHANA ESCAMILLA MARTINEZ</v>
      </c>
      <c r="D4314" s="4" t="str">
        <f>IFERROR(VLOOKUP(A4314,'Base Prueba'!A:D,4,),"NO REGISTRA")</f>
        <v>PROMOTOR DE INFORMACIÓN</v>
      </c>
      <c r="E4314" s="5" t="str">
        <f>IFERROR(VLOOKUP(A4314,'Base Prueba'!A:E,5,),"NO REGISTRA")</f>
        <v>OFICINA DE MERCADEO</v>
      </c>
    </row>
    <row r="4315" spans="1:5" ht="15.75" x14ac:dyDescent="0.25">
      <c r="A4315" s="10">
        <v>1018413529</v>
      </c>
      <c r="B4315" s="2">
        <v>46100.760382870372</v>
      </c>
      <c r="C4315" s="3" t="str">
        <f>IFERROR(VLOOKUP(A4315,'Base Prueba'!A:C,3,),"NO REGISTRA")</f>
        <v>FRANCY STELLA CHARRY MORENO</v>
      </c>
      <c r="D4315" s="4" t="str">
        <f>IFERROR(VLOOKUP(A4315,'Base Prueba'!A:D,4,),"NO REGISTRA")</f>
        <v>PROMOTOR COMERCIAL DEL CEA</v>
      </c>
      <c r="E4315" s="5" t="str">
        <f>IFERROR(VLOOKUP(A4315,'Base Prueba'!A:E,5,),"NO REGISTRA")</f>
        <v>OFICINA DE MERCADEO</v>
      </c>
    </row>
    <row r="4316" spans="1:5" ht="15.75" x14ac:dyDescent="0.25">
      <c r="A4316" s="10">
        <v>28798349</v>
      </c>
      <c r="B4316" s="2">
        <v>46100.760525115744</v>
      </c>
      <c r="C4316" s="3" t="str">
        <f>IFERROR(VLOOKUP(A4316,'Base Prueba'!A:C,3,),"NO REGISTRA")</f>
        <v>MARTHA ISABEL TOVAR WILLIAMS</v>
      </c>
      <c r="D4316" s="4" t="str">
        <f>IFERROR(VLOOKUP(A4316,'Base Prueba'!A:D,4,),"NO REGISTRA")</f>
        <v>PROMOTOR CALL CENTER</v>
      </c>
      <c r="E4316" s="5" t="str">
        <f>IFERROR(VLOOKUP(A4316,'Base Prueba'!A:E,5,),"NO REGISTRA")</f>
        <v>OFICINA DE MERCADEO</v>
      </c>
    </row>
    <row r="4317" spans="1:5" ht="15.75" x14ac:dyDescent="0.25">
      <c r="A4317" s="10">
        <v>916998</v>
      </c>
      <c r="B4317" s="2">
        <v>46100.760560416667</v>
      </c>
      <c r="C4317" s="3" t="str">
        <f>IFERROR(VLOOKUP(A4317,'Base Prueba'!A:C,3,),"NO REGISTRA")</f>
        <v>NO REGISTRA</v>
      </c>
      <c r="D4317" s="4" t="str">
        <f>IFERROR(VLOOKUP(A4317,'Base Prueba'!A:D,4,),"NO REGISTRA")</f>
        <v>NO REGISTRA</v>
      </c>
      <c r="E4317" s="5" t="str">
        <f>IFERROR(VLOOKUP(A4317,'Base Prueba'!A:E,5,),"NO REGISTRA")</f>
        <v>NO REGISTRA</v>
      </c>
    </row>
    <row r="4318" spans="1:5" ht="15.75" x14ac:dyDescent="0.25">
      <c r="A4318" s="10">
        <v>1014977624</v>
      </c>
      <c r="B4318" s="2">
        <v>46100.760602314818</v>
      </c>
      <c r="C4318" s="3" t="str">
        <f>IFERROR(VLOOKUP(A4318,'Base Prueba'!A:C,3,),"NO REGISTRA")</f>
        <v>NICCOLE VALENTINA HERNANDEZ MALAVER</v>
      </c>
      <c r="D4318" s="4" t="str">
        <f>IFERROR(VLOOKUP(A4318,'Base Prueba'!A:D,4,),"NO REGISTRA")</f>
        <v>APRENDIZ UNIVERSITARIO</v>
      </c>
      <c r="E4318" s="5" t="str">
        <f>IFERROR(VLOOKUP(A4318,'Base Prueba'!A:E,5,),"NO REGISTRA")</f>
        <v>AREA FINANCIERA Y CONTABLE</v>
      </c>
    </row>
    <row r="4319" spans="1:5" ht="15.75" x14ac:dyDescent="0.25">
      <c r="A4319" s="10">
        <v>1014308296</v>
      </c>
      <c r="B4319" s="2">
        <v>46100.7613837963</v>
      </c>
      <c r="C4319" s="3" t="str">
        <f>IFERROR(VLOOKUP(A4319,'Base Prueba'!A:C,3,),"NO REGISTRA")</f>
        <v>DARLENE YULIANA MORENO CELEITA</v>
      </c>
      <c r="D4319" s="4" t="str">
        <f>IFERROR(VLOOKUP(A4319,'Base Prueba'!A:D,4,),"NO REGISTRA")</f>
        <v>CAJERO PRINCIPAL</v>
      </c>
      <c r="E4319" s="5" t="str">
        <f>IFERROR(VLOOKUP(A4319,'Base Prueba'!A:E,5,),"NO REGISTRA")</f>
        <v>AREA FINANCIERA Y CONTABLE</v>
      </c>
    </row>
    <row r="4320" spans="1:5" ht="15.75" x14ac:dyDescent="0.25">
      <c r="A4320" s="10">
        <v>1022996882</v>
      </c>
      <c r="B4320" s="2">
        <v>46100.761516087965</v>
      </c>
      <c r="C4320" s="3" t="str">
        <f>IFERROR(VLOOKUP(A4320,'Base Prueba'!A:C,3,),"NO REGISTRA")</f>
        <v>NANCY BRIGITH ALDANA GUEVARA</v>
      </c>
      <c r="D4320" s="4" t="str">
        <f>IFERROR(VLOOKUP(A4320,'Base Prueba'!A:D,4,),"NO REGISTRA")</f>
        <v>COORDINADORA DE GESTIÓN HUMANA</v>
      </c>
      <c r="E4320" s="5" t="str">
        <f>IFERROR(VLOOKUP(A4320,'Base Prueba'!A:E,5,),"NO REGISTRA")</f>
        <v>DEPARTAMENTO DE GESTION HUMANA</v>
      </c>
    </row>
    <row r="4321" spans="1:5" ht="15.75" x14ac:dyDescent="0.25">
      <c r="A4321" s="10">
        <v>1033709056</v>
      </c>
      <c r="B4321" s="2">
        <v>46100.761552083335</v>
      </c>
      <c r="C4321" s="3" t="str">
        <f>IFERROR(VLOOKUP(A4321,'Base Prueba'!A:C,3,),"NO REGISTRA")</f>
        <v>YEIMY ALEXANDRA RODRIGUEZ PALACIO</v>
      </c>
      <c r="D4321" s="4" t="str">
        <f>IFERROR(VLOOKUP(A4321,'Base Prueba'!A:D,4,),"NO REGISTRA")</f>
        <v>PROMOTOR CALL CENTER</v>
      </c>
      <c r="E4321" s="5" t="str">
        <f>IFERROR(VLOOKUP(A4321,'Base Prueba'!A:E,5,),"NO REGISTRA")</f>
        <v>OFICINA DE MERCADEO</v>
      </c>
    </row>
    <row r="4322" spans="1:5" ht="15.75" x14ac:dyDescent="0.25">
      <c r="A4322" s="10">
        <v>1000257136</v>
      </c>
      <c r="B4322" s="2">
        <v>46100.762835416666</v>
      </c>
      <c r="C4322" s="3" t="str">
        <f>IFERROR(VLOOKUP(A4322,'Base Prueba'!A:C,3,),"NO REGISTRA")</f>
        <v>FRANCI VALENTINA CANO PUENTES</v>
      </c>
      <c r="D4322" s="4" t="str">
        <f>IFERROR(VLOOKUP(A4322,'Base Prueba'!A:D,4,),"NO REGISTRA")</f>
        <v>AUXILIAR CONTABLE</v>
      </c>
      <c r="E4322" s="5" t="str">
        <f>IFERROR(VLOOKUP(A4322,'Base Prueba'!A:E,5,),"NO REGISTRA")</f>
        <v>AREA FINANCIERA Y CONTABLE</v>
      </c>
    </row>
    <row r="4323" spans="1:5" ht="15.75" x14ac:dyDescent="0.25">
      <c r="A4323" s="10">
        <v>80234243</v>
      </c>
      <c r="B4323" s="2">
        <v>46100.767446412035</v>
      </c>
      <c r="C4323" s="3" t="str">
        <f>IFERROR(VLOOKUP(A4323,'Base Prueba'!A:C,3,),"NO REGISTRA")</f>
        <v>ARGENIS MARTINEZ MARTINEZ</v>
      </c>
      <c r="D4323" s="4" t="str">
        <f>IFERROR(VLOOKUP(A4323,'Base Prueba'!A:D,4,),"NO REGISTRA")</f>
        <v>LIDER CALL CENTER</v>
      </c>
      <c r="E4323" s="5" t="str">
        <f>IFERROR(VLOOKUP(A4323,'Base Prueba'!A:E,5,),"NO REGISTRA")</f>
        <v>OFICINA DE MERCADEO</v>
      </c>
    </row>
    <row r="4324" spans="1:5" ht="15.75" x14ac:dyDescent="0.25">
      <c r="A4324" s="10">
        <v>1016090131</v>
      </c>
      <c r="B4324" s="2">
        <v>46100.768231944443</v>
      </c>
      <c r="C4324" s="3" t="str">
        <f>IFERROR(VLOOKUP(A4324,'Base Prueba'!A:C,3,),"NO REGISTRA")</f>
        <v>NICOLAS RODRIGUEZ PACHECO</v>
      </c>
      <c r="D4324" s="4" t="str">
        <f>IFERROR(VLOOKUP(A4324,'Base Prueba'!A:D,4,),"NO REGISTRA")</f>
        <v>COORDINADOR DE COMUNICACIONES</v>
      </c>
      <c r="E4324" s="5" t="str">
        <f>IFERROR(VLOOKUP(A4324,'Base Prueba'!A:E,5,),"NO REGISTRA")</f>
        <v>OFICINA DE MERCADEO</v>
      </c>
    </row>
    <row r="4325" spans="1:5" ht="15.75" x14ac:dyDescent="0.25">
      <c r="A4325" s="10">
        <v>52764929</v>
      </c>
      <c r="B4325" s="2">
        <v>46100.780590509261</v>
      </c>
      <c r="C4325" s="3" t="str">
        <f>IFERROR(VLOOKUP(A4325,'Base Prueba'!A:C,3,),"NO REGISTRA")</f>
        <v>GUERLY YOHANA DURAN RIVERA</v>
      </c>
      <c r="D4325" s="4" t="str">
        <f>IFERROR(VLOOKUP(A4325,'Base Prueba'!A:D,4,),"NO REGISTRA")</f>
        <v>LIDER DE VINCULACION COLEGIOS</v>
      </c>
      <c r="E4325" s="5" t="str">
        <f>IFERROR(VLOOKUP(A4325,'Base Prueba'!A:E,5,),"NO REGISTRA")</f>
        <v>OFICINA DE MERCADEO</v>
      </c>
    </row>
    <row r="4326" spans="1:5" ht="15.75" x14ac:dyDescent="0.25">
      <c r="A4326" s="10">
        <v>52472386</v>
      </c>
      <c r="B4326" s="2">
        <v>46100.782113541667</v>
      </c>
      <c r="C4326" s="3" t="str">
        <f>IFERROR(VLOOKUP(A4326,'Base Prueba'!A:C,3,),"NO REGISTRA")</f>
        <v>ADRIANA MARCELA MORALES PARDO</v>
      </c>
      <c r="D4326" s="4" t="str">
        <f>IFERROR(VLOOKUP(A4326,'Base Prueba'!A:D,4,),"NO REGISTRA")</f>
        <v>PROMOTOR CALL CENTER</v>
      </c>
      <c r="E4326" s="5" t="str">
        <f>IFERROR(VLOOKUP(A4326,'Base Prueba'!A:E,5,),"NO REGISTRA")</f>
        <v>OFICINA DE MERCADEO</v>
      </c>
    </row>
    <row r="4327" spans="1:5" ht="15.75" x14ac:dyDescent="0.25">
      <c r="A4327" s="10">
        <v>52175674</v>
      </c>
      <c r="B4327" s="2">
        <v>46100.798719791666</v>
      </c>
      <c r="C4327" s="3" t="str">
        <f>IFERROR(VLOOKUP(A4327,'Base Prueba'!A:C,3,),"NO REGISTRA")</f>
        <v>LUZ YANETH GOMEZ AREVALO</v>
      </c>
      <c r="D4327" s="4" t="str">
        <f>IFERROR(VLOOKUP(A4327,'Base Prueba'!A:D,4,),"NO REGISTRA")</f>
        <v>COORDINADORA DE ADMISIONES</v>
      </c>
      <c r="E4327" s="5" t="str">
        <f>IFERROR(VLOOKUP(A4327,'Base Prueba'!A:E,5,),"NO REGISTRA")</f>
        <v>OFICINA DE MERCADEO</v>
      </c>
    </row>
    <row r="4328" spans="1:5" ht="15.75" x14ac:dyDescent="0.25">
      <c r="A4328" s="10">
        <v>52474489</v>
      </c>
      <c r="B4328" s="2">
        <v>46100.804006828701</v>
      </c>
      <c r="C4328" s="3" t="str">
        <f>IFERROR(VLOOKUP(A4328,'Base Prueba'!A:C,3,),"NO REGISTRA")</f>
        <v>ADRIANA JIMENA SOTO BOCANEGRA</v>
      </c>
      <c r="D4328" s="4" t="str">
        <f>IFERROR(VLOOKUP(A4328,'Base Prueba'!A:D,4,),"NO REGISTRA")</f>
        <v>COORDINADOR DE LA OFICINA DE REGISTRO Y CONTROL</v>
      </c>
      <c r="E4328" s="5" t="str">
        <f>IFERROR(VLOOKUP(A4328,'Base Prueba'!A:E,5,),"NO REGISTRA")</f>
        <v>REGISTRO Y CONTROL ACADEMICO</v>
      </c>
    </row>
    <row r="4329" spans="1:5" ht="15.75" x14ac:dyDescent="0.25">
      <c r="A4329" s="10">
        <v>1087121273</v>
      </c>
      <c r="B4329" s="2">
        <v>46101.30817488426</v>
      </c>
      <c r="C4329" s="3" t="str">
        <f>IFERROR(VLOOKUP(A4329,'Base Prueba'!A:C,3,),"NO REGISTRA")</f>
        <v>MAYRA ALEJANDRA CASTILLO ARBOLEDA</v>
      </c>
      <c r="D4329" s="4" t="str">
        <f>IFERROR(VLOOKUP(A4329,'Base Prueba'!A:D,4,),"NO REGISTRA")</f>
        <v>APOYO INTEGRAL DE MERCADEO</v>
      </c>
      <c r="E4329" s="5" t="str">
        <f>IFERROR(VLOOKUP(A4329,'Base Prueba'!A:E,5,),"NO REGISTRA")</f>
        <v>CENTRO DE GESTION DOCUMENTAL</v>
      </c>
    </row>
    <row r="4330" spans="1:5" ht="15.75" x14ac:dyDescent="0.25">
      <c r="A4330" s="10">
        <v>1000324729</v>
      </c>
      <c r="B4330" s="2">
        <v>46101.310698379632</v>
      </c>
      <c r="C4330" s="3" t="str">
        <f>IFERROR(VLOOKUP(A4330,'Base Prueba'!A:C,3,),"NO REGISTRA")</f>
        <v>ANYIE VANESSA TINOCO CAMACHO</v>
      </c>
      <c r="D4330" s="4" t="str">
        <f>IFERROR(VLOOKUP(A4330,'Base Prueba'!A:D,4,),"NO REGISTRA")</f>
        <v>LIDER DE REGISTRO Y CONTROL</v>
      </c>
      <c r="E4330" s="5" t="str">
        <f>IFERROR(VLOOKUP(A4330,'Base Prueba'!A:E,5,),"NO REGISTRA")</f>
        <v>REGISTRO Y CONTROL ACADEMICO</v>
      </c>
    </row>
    <row r="4331" spans="1:5" ht="15.75" x14ac:dyDescent="0.25">
      <c r="A4331" s="10">
        <v>1013616244</v>
      </c>
      <c r="B4331" s="2">
        <v>46101.318390046297</v>
      </c>
      <c r="C4331" s="3" t="str">
        <f>IFERROR(VLOOKUP(A4331,'Base Prueba'!A:C,3,),"NO REGISTRA")</f>
        <v>DIANA CAROLINA MARIN BETANCOURT</v>
      </c>
      <c r="D4331" s="4" t="str">
        <f>IFERROR(VLOOKUP(A4331,'Base Prueba'!A:D,4,),"NO REGISTRA")</f>
        <v>AUXILIAR ADMINISTRATIVO</v>
      </c>
      <c r="E4331" s="5" t="str">
        <f>IFERROR(VLOOKUP(A4331,'Base Prueba'!A:E,5,),"NO REGISTRA")</f>
        <v>REGISTRO Y CONTROL ACADEMICO</v>
      </c>
    </row>
    <row r="4332" spans="1:5" ht="15.75" x14ac:dyDescent="0.25">
      <c r="A4332" s="10">
        <v>1030567635</v>
      </c>
      <c r="B4332" s="2">
        <v>46101.327961111114</v>
      </c>
      <c r="C4332" s="3" t="str">
        <f>IFERROR(VLOOKUP(A4332,'Base Prueba'!A:C,3,),"NO REGISTRA")</f>
        <v>JEFFERSON ANDRES BARRETO DIAZ</v>
      </c>
      <c r="D4332" s="4" t="str">
        <f>IFERROR(VLOOKUP(A4332,'Base Prueba'!A:D,4,),"NO REGISTRA")</f>
        <v>AUXILIAR DE ARCHIVO</v>
      </c>
      <c r="E4332" s="5" t="str">
        <f>IFERROR(VLOOKUP(A4332,'Base Prueba'!A:E,5,),"NO REGISTRA")</f>
        <v>CENTRO DE GESTION DOCUMENTAL</v>
      </c>
    </row>
    <row r="4333" spans="1:5" ht="15.75" x14ac:dyDescent="0.25">
      <c r="A4333" s="10">
        <v>1014308296</v>
      </c>
      <c r="B4333" s="2">
        <v>46101.329683680553</v>
      </c>
      <c r="C4333" s="3" t="str">
        <f>IFERROR(VLOOKUP(A4333,'Base Prueba'!A:C,3,),"NO REGISTRA")</f>
        <v>DARLENE YULIANA MORENO CELEITA</v>
      </c>
      <c r="D4333" s="4" t="str">
        <f>IFERROR(VLOOKUP(A4333,'Base Prueba'!A:D,4,),"NO REGISTRA")</f>
        <v>CAJERO PRINCIPAL</v>
      </c>
      <c r="E4333" s="5" t="str">
        <f>IFERROR(VLOOKUP(A4333,'Base Prueba'!A:E,5,),"NO REGISTRA")</f>
        <v>AREA FINANCIERA Y CONTABLE</v>
      </c>
    </row>
    <row r="4334" spans="1:5" ht="15.75" x14ac:dyDescent="0.25">
      <c r="A4334" s="10">
        <v>1024512067</v>
      </c>
      <c r="B4334" s="2">
        <v>46101.33122349537</v>
      </c>
      <c r="C4334" s="3" t="str">
        <f>IFERROR(VLOOKUP(A4334,'Base Prueba'!A:C,3,),"NO REGISTRA")</f>
        <v>CINDY GIOVANA SALGAR GOMEZ</v>
      </c>
      <c r="D4334" s="4" t="str">
        <f>IFERROR(VLOOKUP(A4334,'Base Prueba'!A:D,4,),"NO REGISTRA")</f>
        <v>COORDINADOR DEL SISTEMA INTEGRADO DE GESTION INSTITUCIONAL - SIGI</v>
      </c>
      <c r="E4334" s="5" t="str">
        <f>IFERROR(VLOOKUP(A4334,'Base Prueba'!A:E,5,),"NO REGISTRA")</f>
        <v>OFICINA DE PLANEACION Y GESTION DE LA CALIDAD</v>
      </c>
    </row>
    <row r="4335" spans="1:5" ht="15.75" x14ac:dyDescent="0.25">
      <c r="A4335" s="10">
        <v>1032469638</v>
      </c>
      <c r="B4335" s="2">
        <v>46101.331257060185</v>
      </c>
      <c r="C4335" s="3" t="str">
        <f>IFERROR(VLOOKUP(A4335,'Base Prueba'!A:C,3,),"NO REGISTRA")</f>
        <v>MAICOL JARBEY GUALTEROS CASTAÑEDA</v>
      </c>
      <c r="D4335" s="4" t="str">
        <f>IFERROR(VLOOKUP(A4335,'Base Prueba'!A:D,4,),"NO REGISTRA")</f>
        <v>COORDINADOR DEL SISTEMA INTERNO DE ASEGURAMIENTO DE LA CALIDAD - SIAC</v>
      </c>
      <c r="E4335" s="5" t="str">
        <f>IFERROR(VLOOKUP(A4335,'Base Prueba'!A:E,5,),"NO REGISTRA")</f>
        <v>OFICINA DE PLANEACION Y GESTION DE LA CALIDAD</v>
      </c>
    </row>
    <row r="4336" spans="1:5" ht="15.75" x14ac:dyDescent="0.25">
      <c r="A4336" s="10">
        <v>80191732</v>
      </c>
      <c r="B4336" s="2">
        <v>46101.331309027781</v>
      </c>
      <c r="C4336" s="3" t="str">
        <f>IFERROR(VLOOKUP(A4336,'Base Prueba'!A:C,3,),"NO REGISTRA")</f>
        <v>DANIEL MAURICIO ZAMBRANO TUNJANO</v>
      </c>
      <c r="D4336" s="4" t="str">
        <f>IFERROR(VLOOKUP(A4336,'Base Prueba'!A:D,4,),"NO REGISTRA")</f>
        <v>COORDINADOR DE DISEÑO E IMAGEN INSTITUCIONAL</v>
      </c>
      <c r="E4336" s="5" t="str">
        <f>IFERROR(VLOOKUP(A4336,'Base Prueba'!A:E,5,),"NO REGISTRA")</f>
        <v>OFICINA DE MERCADEO</v>
      </c>
    </row>
    <row r="4337" spans="1:5" ht="15.75" x14ac:dyDescent="0.25">
      <c r="A4337" s="10">
        <v>1049644802</v>
      </c>
      <c r="B4337" s="2">
        <v>46101.335850462965</v>
      </c>
      <c r="C4337" s="3" t="str">
        <f>IFERROR(VLOOKUP(A4337,'Base Prueba'!A:C,3,),"NO REGISTRA")</f>
        <v>DANIELA ALEXANDRA CIPAMOCHA BOSIGA</v>
      </c>
      <c r="D4337" s="4" t="str">
        <f>IFERROR(VLOOKUP(A4337,'Base Prueba'!A:D,4,),"NO REGISTRA")</f>
        <v>LIDER DE DATOS Y SERVICIOS</v>
      </c>
      <c r="E4337" s="5" t="str">
        <f>IFERROR(VLOOKUP(A4337,'Base Prueba'!A:E,5,),"NO REGISTRA")</f>
        <v>OFICINA DE PLANEACION Y GESTION DE LA CALIDAD</v>
      </c>
    </row>
    <row r="4338" spans="1:5" ht="15.75" x14ac:dyDescent="0.25">
      <c r="A4338" s="10">
        <v>1000467399</v>
      </c>
      <c r="B4338" s="2">
        <v>46101.335931481481</v>
      </c>
      <c r="C4338" s="3" t="str">
        <f>IFERROR(VLOOKUP(A4338,'Base Prueba'!A:C,3,),"NO REGISTRA")</f>
        <v>BRANDO ESTIVEN DIAZ QUIMBAYA</v>
      </c>
      <c r="D4338" s="4" t="str">
        <f>IFERROR(VLOOKUP(A4338,'Base Prueba'!A:D,4,),"NO REGISTRA")</f>
        <v>APRENDIZ UNIVERSITARIO</v>
      </c>
      <c r="E4338" s="5" t="str">
        <f>IFERROR(VLOOKUP(A4338,'Base Prueba'!A:E,5,),"NO REGISTRA")</f>
        <v>DEPARTAMENTO DE GESTION HUMANA</v>
      </c>
    </row>
    <row r="4339" spans="1:5" ht="15.75" x14ac:dyDescent="0.25">
      <c r="A4339" s="10">
        <v>1031802160</v>
      </c>
      <c r="B4339" s="2">
        <v>46101.337554282407</v>
      </c>
      <c r="C4339" s="3" t="str">
        <f>IFERROR(VLOOKUP(A4339,'Base Prueba'!A:C,3,),"NO REGISTRA")</f>
        <v>LUISA MARIA MAHECHA SOTOMAYOR</v>
      </c>
      <c r="D4339" s="4" t="str">
        <f>IFERROR(VLOOKUP(A4339,'Base Prueba'!A:D,4,),"NO REGISTRA")</f>
        <v>APRENDIZ UNIVERSITARIO</v>
      </c>
      <c r="E4339" s="5" t="str">
        <f>IFERROR(VLOOKUP(A4339,'Base Prueba'!A:E,5,),"NO REGISTRA")</f>
        <v>OFICINA DE MERCADEO</v>
      </c>
    </row>
    <row r="4340" spans="1:5" ht="15.75" x14ac:dyDescent="0.25">
      <c r="A4340" s="10">
        <v>1010184333</v>
      </c>
      <c r="B4340" s="2">
        <v>46101.337702314813</v>
      </c>
      <c r="C4340" s="3" t="str">
        <f>IFERROR(VLOOKUP(A4340,'Base Prueba'!A:C,3,),"NO REGISTRA")</f>
        <v>AKON ANDRES GARZON ALVAREZ</v>
      </c>
      <c r="D4340" s="4" t="str">
        <f>IFERROR(VLOOKUP(A4340,'Base Prueba'!A:D,4,),"NO REGISTRA")</f>
        <v>APRENDIZ UNIVERSITARIO</v>
      </c>
      <c r="E4340" s="5" t="str">
        <f>IFERROR(VLOOKUP(A4340,'Base Prueba'!A:E,5,),"NO REGISTRA")</f>
        <v>SECRETARIA GENERAL</v>
      </c>
    </row>
    <row r="4341" spans="1:5" ht="15.75" x14ac:dyDescent="0.25">
      <c r="A4341" s="10">
        <v>1193457976</v>
      </c>
      <c r="B4341" s="2">
        <v>46101.341210300925</v>
      </c>
      <c r="C4341" s="3" t="str">
        <f>IFERROR(VLOOKUP(A4341,'Base Prueba'!A:C,3,),"NO REGISTRA")</f>
        <v>SEDENIS RIVAS ASPRILLA</v>
      </c>
      <c r="D4341" s="4" t="str">
        <f>IFERROR(VLOOKUP(A4341,'Base Prueba'!A:D,4,),"NO REGISTRA")</f>
        <v>APRENDIZ UNIVERSITARIO</v>
      </c>
      <c r="E4341" s="5" t="str">
        <f>IFERROR(VLOOKUP(A4341,'Base Prueba'!A:E,5,),"NO REGISTRA")</f>
        <v>DEPARTAMENTO DE GESTION HUMANA</v>
      </c>
    </row>
    <row r="4342" spans="1:5" ht="15.75" x14ac:dyDescent="0.25">
      <c r="A4342" s="10">
        <v>1022996882</v>
      </c>
      <c r="B4342" s="2">
        <v>46101.347390972223</v>
      </c>
      <c r="C4342" s="3" t="str">
        <f>IFERROR(VLOOKUP(A4342,'Base Prueba'!A:C,3,),"NO REGISTRA")</f>
        <v>NANCY BRIGITH ALDANA GUEVARA</v>
      </c>
      <c r="D4342" s="4" t="str">
        <f>IFERROR(VLOOKUP(A4342,'Base Prueba'!A:D,4,),"NO REGISTRA")</f>
        <v>COORDINADORA DE GESTIÓN HUMANA</v>
      </c>
      <c r="E4342" s="5" t="str">
        <f>IFERROR(VLOOKUP(A4342,'Base Prueba'!A:E,5,),"NO REGISTRA")</f>
        <v>DEPARTAMENTO DE GESTION HUMANA</v>
      </c>
    </row>
    <row r="4343" spans="1:5" ht="15.75" x14ac:dyDescent="0.25">
      <c r="A4343" s="10">
        <v>1014977624</v>
      </c>
      <c r="B4343" s="2">
        <v>46101.347441435188</v>
      </c>
      <c r="C4343" s="3" t="str">
        <f>IFERROR(VLOOKUP(A4343,'Base Prueba'!A:C,3,),"NO REGISTRA")</f>
        <v>NICCOLE VALENTINA HERNANDEZ MALAVER</v>
      </c>
      <c r="D4343" s="4" t="str">
        <f>IFERROR(VLOOKUP(A4343,'Base Prueba'!A:D,4,),"NO REGISTRA")</f>
        <v>APRENDIZ UNIVERSITARIO</v>
      </c>
      <c r="E4343" s="5" t="str">
        <f>IFERROR(VLOOKUP(A4343,'Base Prueba'!A:E,5,),"NO REGISTRA")</f>
        <v>AREA FINANCIERA Y CONTABLE</v>
      </c>
    </row>
    <row r="4344" spans="1:5" ht="15.75" x14ac:dyDescent="0.25">
      <c r="A4344" s="10">
        <v>1000457706</v>
      </c>
      <c r="B4344" s="2">
        <v>46101.347466898151</v>
      </c>
      <c r="C4344" s="3" t="str">
        <f>IFERROR(VLOOKUP(A4344,'Base Prueba'!A:C,3,),"NO REGISTRA")</f>
        <v>CRISTIAN DANILO ARROYO SANABRIA</v>
      </c>
      <c r="D4344" s="4" t="str">
        <f>IFERROR(VLOOKUP(A4344,'Base Prueba'!A:D,4,),"NO REGISTRA")</f>
        <v>AUXILIAR CONTABLE</v>
      </c>
      <c r="E4344" s="5" t="str">
        <f>IFERROR(VLOOKUP(A4344,'Base Prueba'!A:E,5,),"NO REGISTRA")</f>
        <v>AREA FINANCIERA Y CONTABLE</v>
      </c>
    </row>
    <row r="4345" spans="1:5" ht="15.75" x14ac:dyDescent="0.25">
      <c r="A4345" s="10">
        <v>53932358</v>
      </c>
      <c r="B4345" s="2">
        <v>46101.34853333333</v>
      </c>
      <c r="C4345" s="3" t="str">
        <f>IFERROR(VLOOKUP(A4345,'Base Prueba'!A:C,3,),"NO REGISTRA")</f>
        <v>DIANA MADELEYNE GAONA RODRIGUEZ</v>
      </c>
      <c r="D4345" s="4" t="str">
        <f>IFERROR(VLOOKUP(A4345,'Base Prueba'!A:D,4,),"NO REGISTRA")</f>
        <v>CONTADOR</v>
      </c>
      <c r="E4345" s="5" t="str">
        <f>IFERROR(VLOOKUP(A4345,'Base Prueba'!A:E,5,),"NO REGISTRA")</f>
        <v>AREA FINANCIERA Y CONTABLE</v>
      </c>
    </row>
    <row r="4346" spans="1:5" ht="15.75" x14ac:dyDescent="0.25">
      <c r="A4346" s="10">
        <v>1023883232</v>
      </c>
      <c r="B4346" s="2">
        <v>46101.349247453705</v>
      </c>
      <c r="C4346" s="3" t="str">
        <f>IFERROR(VLOOKUP(A4346,'Base Prueba'!A:C,3,),"NO REGISTRA")</f>
        <v>MONICA ANDREA ACERO URBANO</v>
      </c>
      <c r="D4346" s="4" t="str">
        <f>IFERROR(VLOOKUP(A4346,'Base Prueba'!A:D,4,),"NO REGISTRA")</f>
        <v>APOYO INTEGRAL A GESTION HUMANA</v>
      </c>
      <c r="E4346" s="5" t="str">
        <f>IFERROR(VLOOKUP(A4346,'Base Prueba'!A:E,5,),"NO REGISTRA")</f>
        <v>DEPARTAMENTO DE GESTION HUMANA</v>
      </c>
    </row>
    <row r="4347" spans="1:5" ht="15.75" x14ac:dyDescent="0.25">
      <c r="A4347" s="10">
        <v>1018413529</v>
      </c>
      <c r="B4347" s="2">
        <v>46101.359632523148</v>
      </c>
      <c r="C4347" s="3" t="str">
        <f>IFERROR(VLOOKUP(A4347,'Base Prueba'!A:C,3,),"NO REGISTRA")</f>
        <v>FRANCY STELLA CHARRY MORENO</v>
      </c>
      <c r="D4347" s="4" t="str">
        <f>IFERROR(VLOOKUP(A4347,'Base Prueba'!A:D,4,),"NO REGISTRA")</f>
        <v>PROMOTOR COMERCIAL DEL CEA</v>
      </c>
      <c r="E4347" s="5" t="str">
        <f>IFERROR(VLOOKUP(A4347,'Base Prueba'!A:E,5,),"NO REGISTRA")</f>
        <v>OFICINA DE MERCADEO</v>
      </c>
    </row>
    <row r="4348" spans="1:5" ht="15.75" x14ac:dyDescent="0.25">
      <c r="A4348" s="10">
        <v>80234243</v>
      </c>
      <c r="B4348" s="2">
        <v>46101.360948263886</v>
      </c>
      <c r="C4348" s="3" t="str">
        <f>IFERROR(VLOOKUP(A4348,'Base Prueba'!A:C,3,),"NO REGISTRA")</f>
        <v>ARGENIS MARTINEZ MARTINEZ</v>
      </c>
      <c r="D4348" s="4" t="str">
        <f>IFERROR(VLOOKUP(A4348,'Base Prueba'!A:D,4,),"NO REGISTRA")</f>
        <v>LIDER CALL CENTER</v>
      </c>
      <c r="E4348" s="5" t="str">
        <f>IFERROR(VLOOKUP(A4348,'Base Prueba'!A:E,5,),"NO REGISTRA")</f>
        <v>OFICINA DE MERCADEO</v>
      </c>
    </row>
    <row r="4349" spans="1:5" ht="15.75" x14ac:dyDescent="0.25">
      <c r="A4349" s="10">
        <v>1032407386</v>
      </c>
      <c r="B4349" s="2">
        <v>46101.366662731481</v>
      </c>
      <c r="C4349" s="3" t="str">
        <f>IFERROR(VLOOKUP(A4349,'Base Prueba'!A:C,3,),"NO REGISTRA")</f>
        <v>GINA PAOLA BAEZ GALVIS</v>
      </c>
      <c r="D4349" s="4" t="str">
        <f>IFERROR(VLOOKUP(A4349,'Base Prueba'!A:D,4,),"NO REGISTRA")</f>
        <v>PROMOTOR CALL CENTER</v>
      </c>
      <c r="E4349" s="5" t="str">
        <f>IFERROR(VLOOKUP(A4349,'Base Prueba'!A:E,5,),"NO REGISTRA")</f>
        <v>OFICINA DE MERCADEO</v>
      </c>
    </row>
    <row r="4350" spans="1:5" ht="15.75" x14ac:dyDescent="0.25">
      <c r="A4350" s="10">
        <v>52472386</v>
      </c>
      <c r="B4350" s="2">
        <v>46101.368264814817</v>
      </c>
      <c r="C4350" s="3" t="str">
        <f>IFERROR(VLOOKUP(A4350,'Base Prueba'!A:C,3,),"NO REGISTRA")</f>
        <v>ADRIANA MARCELA MORALES PARDO</v>
      </c>
      <c r="D4350" s="4" t="str">
        <f>IFERROR(VLOOKUP(A4350,'Base Prueba'!A:D,4,),"NO REGISTRA")</f>
        <v>PROMOTOR CALL CENTER</v>
      </c>
      <c r="E4350" s="5" t="str">
        <f>IFERROR(VLOOKUP(A4350,'Base Prueba'!A:E,5,),"NO REGISTRA")</f>
        <v>OFICINA DE MERCADEO</v>
      </c>
    </row>
    <row r="4351" spans="1:5" ht="15.75" x14ac:dyDescent="0.25">
      <c r="A4351" s="10">
        <v>28798349</v>
      </c>
      <c r="B4351" s="2">
        <v>46101.372326851852</v>
      </c>
      <c r="C4351" s="3" t="str">
        <f>IFERROR(VLOOKUP(A4351,'Base Prueba'!A:C,3,),"NO REGISTRA")</f>
        <v>MARTHA ISABEL TOVAR WILLIAMS</v>
      </c>
      <c r="D4351" s="4" t="str">
        <f>IFERROR(VLOOKUP(A4351,'Base Prueba'!A:D,4,),"NO REGISTRA")</f>
        <v>PROMOTOR CALL CENTER</v>
      </c>
      <c r="E4351" s="5" t="str">
        <f>IFERROR(VLOOKUP(A4351,'Base Prueba'!A:E,5,),"NO REGISTRA")</f>
        <v>OFICINA DE MERCADEO</v>
      </c>
    </row>
    <row r="4352" spans="1:5" ht="15.75" x14ac:dyDescent="0.25">
      <c r="A4352" s="10">
        <v>1000046533</v>
      </c>
      <c r="B4352" s="2">
        <v>46101.372644560186</v>
      </c>
      <c r="C4352" s="3" t="str">
        <f>IFERROR(VLOOKUP(A4352,'Base Prueba'!A:C,3,),"NO REGISTRA")</f>
        <v>ERIKA JULIETH VALDERRAMA SANCHEZ</v>
      </c>
      <c r="D4352" s="4" t="str">
        <f>IFERROR(VLOOKUP(A4352,'Base Prueba'!A:D,4,),"NO REGISTRA")</f>
        <v>PROMOTOR CALL CENTER</v>
      </c>
      <c r="E4352" s="5" t="str">
        <f>IFERROR(VLOOKUP(A4352,'Base Prueba'!A:E,5,),"NO REGISTRA")</f>
        <v>OFICINA DE MERCADEO</v>
      </c>
    </row>
    <row r="4353" spans="1:5" ht="15.75" x14ac:dyDescent="0.25">
      <c r="A4353" s="10">
        <v>1019105003</v>
      </c>
      <c r="B4353" s="2">
        <v>46101.374184722219</v>
      </c>
      <c r="C4353" s="3" t="str">
        <f>IFERROR(VLOOKUP(A4353,'Base Prueba'!A:C,3,),"NO REGISTRA")</f>
        <v>DAISY JULIETH GASPAR MORENO</v>
      </c>
      <c r="D4353" s="4" t="str">
        <f>IFERROR(VLOOKUP(A4353,'Base Prueba'!A:D,4,),"NO REGISTRA")</f>
        <v>PROMOTOR CALL CENTER</v>
      </c>
      <c r="E4353" s="5" t="str">
        <f>IFERROR(VLOOKUP(A4353,'Base Prueba'!A:E,5,),"NO REGISTRA")</f>
        <v>OFICINA DE MERCADEO</v>
      </c>
    </row>
    <row r="4354" spans="1:5" ht="15.75" x14ac:dyDescent="0.25">
      <c r="A4354" s="10">
        <v>1023961952</v>
      </c>
      <c r="B4354" s="2">
        <v>46101.37477638889</v>
      </c>
      <c r="C4354" s="3" t="str">
        <f>IFERROR(VLOOKUP(A4354,'Base Prueba'!A:C,3,),"NO REGISTRA")</f>
        <v>ALEJANDRO PINZON MERCHAN</v>
      </c>
      <c r="D4354" s="4" t="str">
        <f>IFERROR(VLOOKUP(A4354,'Base Prueba'!A:D,4,),"NO REGISTRA")</f>
        <v>PROMOTOR CALL CENTER</v>
      </c>
      <c r="E4354" s="5" t="str">
        <f>IFERROR(VLOOKUP(A4354,'Base Prueba'!A:E,5,),"NO REGISTRA")</f>
        <v>OFICINA DE MERCADEO</v>
      </c>
    </row>
    <row r="4355" spans="1:5" ht="15.75" x14ac:dyDescent="0.25">
      <c r="A4355" s="10">
        <v>1018414290</v>
      </c>
      <c r="B4355" s="2">
        <v>46101.375863078705</v>
      </c>
      <c r="C4355" s="3" t="str">
        <f>IFERROR(VLOOKUP(A4355,'Base Prueba'!A:C,3,),"NO REGISTRA")</f>
        <v>AMANDA LISBETH RODRIGUEZ LEON</v>
      </c>
      <c r="D4355" s="4" t="str">
        <f>IFERROR(VLOOKUP(A4355,'Base Prueba'!A:D,4,),"NO REGISTRA")</f>
        <v>PROMOTOR CALL CENTER</v>
      </c>
      <c r="E4355" s="5" t="str">
        <f>IFERROR(VLOOKUP(A4355,'Base Prueba'!A:E,5,),"NO REGISTRA")</f>
        <v>OFICINA DE MERCADEO</v>
      </c>
    </row>
    <row r="4356" spans="1:5" ht="15.75" x14ac:dyDescent="0.25">
      <c r="A4356" s="10">
        <v>1000593372</v>
      </c>
      <c r="B4356" s="2">
        <v>46101.376257060183</v>
      </c>
      <c r="C4356" s="3" t="str">
        <f>IFERROR(VLOOKUP(A4356,'Base Prueba'!A:C,3,),"NO REGISTRA")</f>
        <v>LAURA SOFIA CHAPARRO LOPEZ</v>
      </c>
      <c r="D4356" s="4" t="str">
        <f>IFERROR(VLOOKUP(A4356,'Base Prueba'!A:D,4,),"NO REGISTRA")</f>
        <v>AUXILIAR JURIDICO</v>
      </c>
      <c r="E4356" s="5" t="str">
        <f>IFERROR(VLOOKUP(A4356,'Base Prueba'!A:E,5,),"NO REGISTRA")</f>
        <v>SECRETARIA GENERAL</v>
      </c>
    </row>
    <row r="4357" spans="1:5" ht="15.75" x14ac:dyDescent="0.25">
      <c r="A4357" s="10">
        <v>1000604979</v>
      </c>
      <c r="B4357" s="2">
        <v>46101.376282523146</v>
      </c>
      <c r="C4357" s="3" t="str">
        <f>IFERROR(VLOOKUP(A4357,'Base Prueba'!A:C,3,),"NO REGISTRA")</f>
        <v>JULIETH TATIANA PARDO PINTO</v>
      </c>
      <c r="D4357" s="4" t="str">
        <f>IFERROR(VLOOKUP(A4357,'Base Prueba'!A:D,4,),"NO REGISTRA")</f>
        <v>AUXILIAR JURIDICO</v>
      </c>
      <c r="E4357" s="5" t="str">
        <f>IFERROR(VLOOKUP(A4357,'Base Prueba'!A:E,5,),"NO REGISTRA")</f>
        <v>SECRETARIA GENERAL</v>
      </c>
    </row>
    <row r="4358" spans="1:5" ht="15.75" x14ac:dyDescent="0.25">
      <c r="A4358" s="10">
        <v>1012426741</v>
      </c>
      <c r="B4358" s="2">
        <v>46101.377562037036</v>
      </c>
      <c r="C4358" s="3" t="str">
        <f>IFERROR(VLOOKUP(A4358,'Base Prueba'!A:C,3,),"NO REGISTRA")</f>
        <v>CRISTIAN FABIAN ROJAS SANCENO</v>
      </c>
      <c r="D4358" s="4" t="str">
        <f>IFERROR(VLOOKUP(A4358,'Base Prueba'!A:D,4,),"NO REGISTRA")</f>
        <v>AUXILIAR DE REINTEGROS</v>
      </c>
      <c r="E4358" s="5" t="str">
        <f>IFERROR(VLOOKUP(A4358,'Base Prueba'!A:E,5,),"NO REGISTRA")</f>
        <v>DIRECCION DE BIENESTAR INSTITUCIONAL</v>
      </c>
    </row>
    <row r="4359" spans="1:5" ht="15.75" x14ac:dyDescent="0.25">
      <c r="A4359" s="10">
        <v>53089882</v>
      </c>
      <c r="B4359" s="2">
        <v>46101.38168958333</v>
      </c>
      <c r="C4359" s="3" t="str">
        <f>IFERROR(VLOOKUP(A4359,'Base Prueba'!A:C,3,),"NO REGISTRA")</f>
        <v>MARIA JOHANA ESCAMILLA MARTINEZ</v>
      </c>
      <c r="D4359" s="4" t="str">
        <f>IFERROR(VLOOKUP(A4359,'Base Prueba'!A:D,4,),"NO REGISTRA")</f>
        <v>PROMOTOR DE INFORMACIÓN</v>
      </c>
      <c r="E4359" s="5" t="str">
        <f>IFERROR(VLOOKUP(A4359,'Base Prueba'!A:E,5,),"NO REGISTRA")</f>
        <v>OFICINA DE MERCADEO</v>
      </c>
    </row>
    <row r="4360" spans="1:5" ht="15.75" x14ac:dyDescent="0.25">
      <c r="A4360" s="10">
        <v>1014196857</v>
      </c>
      <c r="B4360" s="2">
        <v>46101.383874421299</v>
      </c>
      <c r="C4360" s="3" t="str">
        <f>IFERROR(VLOOKUP(A4360,'Base Prueba'!A:C,3,),"NO REGISTRA")</f>
        <v>CARLOS ANDRES JIMENEZ PARDO</v>
      </c>
      <c r="D4360" s="4" t="str">
        <f>IFERROR(VLOOKUP(A4360,'Base Prueba'!A:D,4,),"NO REGISTRA")</f>
        <v>COORDINADOR DE MARKETING DIGITAL</v>
      </c>
      <c r="E4360" s="5" t="str">
        <f>IFERROR(VLOOKUP(A4360,'Base Prueba'!A:E,5,),"NO REGISTRA")</f>
        <v>OFICINA DE MERCADEO</v>
      </c>
    </row>
    <row r="4361" spans="1:5" ht="15.75" x14ac:dyDescent="0.25">
      <c r="A4361" s="10">
        <v>52175674</v>
      </c>
      <c r="B4361" s="2">
        <v>46101.385198611111</v>
      </c>
      <c r="C4361" s="3" t="str">
        <f>IFERROR(VLOOKUP(A4361,'Base Prueba'!A:C,3,),"NO REGISTRA")</f>
        <v>LUZ YANETH GOMEZ AREVALO</v>
      </c>
      <c r="D4361" s="4" t="str">
        <f>IFERROR(VLOOKUP(A4361,'Base Prueba'!A:D,4,),"NO REGISTRA")</f>
        <v>COORDINADORA DE ADMISIONES</v>
      </c>
      <c r="E4361" s="5" t="str">
        <f>IFERROR(VLOOKUP(A4361,'Base Prueba'!A:E,5,),"NO REGISTRA")</f>
        <v>OFICINA DE MERCADEO</v>
      </c>
    </row>
    <row r="4362" spans="1:5" ht="15.75" x14ac:dyDescent="0.25">
      <c r="A4362" s="10">
        <v>52764929</v>
      </c>
      <c r="B4362" s="2">
        <v>46101.389323495372</v>
      </c>
      <c r="C4362" s="3" t="str">
        <f>IFERROR(VLOOKUP(A4362,'Base Prueba'!A:C,3,),"NO REGISTRA")</f>
        <v>GUERLY YOHANA DURAN RIVERA</v>
      </c>
      <c r="D4362" s="4" t="str">
        <f>IFERROR(VLOOKUP(A4362,'Base Prueba'!A:D,4,),"NO REGISTRA")</f>
        <v>LIDER DE VINCULACION COLEGIOS</v>
      </c>
      <c r="E4362" s="5" t="str">
        <f>IFERROR(VLOOKUP(A4362,'Base Prueba'!A:E,5,),"NO REGISTRA")</f>
        <v>OFICINA DE MERCADEO</v>
      </c>
    </row>
    <row r="4363" spans="1:5" ht="15.75" x14ac:dyDescent="0.25">
      <c r="A4363" s="10">
        <v>1033709056</v>
      </c>
      <c r="B4363" s="2">
        <v>46101.421578125002</v>
      </c>
      <c r="C4363" s="3" t="str">
        <f>IFERROR(VLOOKUP(A4363,'Base Prueba'!A:C,3,),"NO REGISTRA")</f>
        <v>YEIMY ALEXANDRA RODRIGUEZ PALACIO</v>
      </c>
      <c r="D4363" s="4" t="str">
        <f>IFERROR(VLOOKUP(A4363,'Base Prueba'!A:D,4,),"NO REGISTRA")</f>
        <v>PROMOTOR CALL CENTER</v>
      </c>
      <c r="E4363" s="5" t="str">
        <f>IFERROR(VLOOKUP(A4363,'Base Prueba'!A:E,5,),"NO REGISTRA")</f>
        <v>OFICINA DE MERCADEO</v>
      </c>
    </row>
    <row r="4364" spans="1:5" ht="15.75" x14ac:dyDescent="0.25">
      <c r="A4364" s="10">
        <v>1024512067</v>
      </c>
      <c r="B4364" s="2">
        <v>46101.628099884256</v>
      </c>
      <c r="C4364" s="3" t="str">
        <f>IFERROR(VLOOKUP(A4364,'Base Prueba'!A:C,3,),"NO REGISTRA")</f>
        <v>CINDY GIOVANA SALGAR GOMEZ</v>
      </c>
      <c r="D4364" s="4" t="str">
        <f>IFERROR(VLOOKUP(A4364,'Base Prueba'!A:D,4,),"NO REGISTRA")</f>
        <v>COORDINADOR DEL SISTEMA INTEGRADO DE GESTION INSTITUCIONAL - SIGI</v>
      </c>
      <c r="E4364" s="5" t="str">
        <f>IFERROR(VLOOKUP(A4364,'Base Prueba'!A:E,5,),"NO REGISTRA")</f>
        <v>OFICINA DE PLANEACION Y GESTION DE LA CALIDAD</v>
      </c>
    </row>
    <row r="4365" spans="1:5" ht="15.75" x14ac:dyDescent="0.25">
      <c r="A4365" s="10">
        <v>1010184333</v>
      </c>
      <c r="B4365" s="2">
        <v>46101.708352893518</v>
      </c>
      <c r="C4365" s="3" t="str">
        <f>IFERROR(VLOOKUP(A4365,'Base Prueba'!A:C,3,),"NO REGISTRA")</f>
        <v>AKON ANDRES GARZON ALVAREZ</v>
      </c>
      <c r="D4365" s="4" t="str">
        <f>IFERROR(VLOOKUP(A4365,'Base Prueba'!A:D,4,),"NO REGISTRA")</f>
        <v>APRENDIZ UNIVERSITARIO</v>
      </c>
      <c r="E4365" s="5" t="str">
        <f>IFERROR(VLOOKUP(A4365,'Base Prueba'!A:E,5,),"NO REGISTRA")</f>
        <v>SECRETARIA GENERAL</v>
      </c>
    </row>
    <row r="4366" spans="1:5" ht="15.75" x14ac:dyDescent="0.25">
      <c r="A4366" s="10">
        <v>1193457976</v>
      </c>
      <c r="B4366" s="2">
        <v>46101.709273032408</v>
      </c>
      <c r="C4366" s="3" t="str">
        <f>IFERROR(VLOOKUP(A4366,'Base Prueba'!A:C,3,),"NO REGISTRA")</f>
        <v>SEDENIS RIVAS ASPRILLA</v>
      </c>
      <c r="D4366" s="4" t="str">
        <f>IFERROR(VLOOKUP(A4366,'Base Prueba'!A:D,4,),"NO REGISTRA")</f>
        <v>APRENDIZ UNIVERSITARIO</v>
      </c>
      <c r="E4366" s="5" t="str">
        <f>IFERROR(VLOOKUP(A4366,'Base Prueba'!A:E,5,),"NO REGISTRA")</f>
        <v>DEPARTAMENTO DE GESTION HUMANA</v>
      </c>
    </row>
    <row r="4367" spans="1:5" ht="15.75" x14ac:dyDescent="0.25">
      <c r="A4367" s="10">
        <v>1000467399</v>
      </c>
      <c r="B4367" s="2">
        <v>46101.709645717594</v>
      </c>
      <c r="C4367" s="3" t="str">
        <f>IFERROR(VLOOKUP(A4367,'Base Prueba'!A:C,3,),"NO REGISTRA")</f>
        <v>BRANDO ESTIVEN DIAZ QUIMBAYA</v>
      </c>
      <c r="D4367" s="4" t="str">
        <f>IFERROR(VLOOKUP(A4367,'Base Prueba'!A:D,4,),"NO REGISTRA")</f>
        <v>APRENDIZ UNIVERSITARIO</v>
      </c>
      <c r="E4367" s="5" t="str">
        <f>IFERROR(VLOOKUP(A4367,'Base Prueba'!A:E,5,),"NO REGISTRA")</f>
        <v>DEPARTAMENTO DE GESTION HUMANA</v>
      </c>
    </row>
    <row r="4368" spans="1:5" ht="15.75" x14ac:dyDescent="0.25">
      <c r="A4368" s="10">
        <v>1049644802</v>
      </c>
      <c r="B4368" s="2">
        <v>46101.710641203703</v>
      </c>
      <c r="C4368" s="3" t="str">
        <f>IFERROR(VLOOKUP(A4368,'Base Prueba'!A:C,3,),"NO REGISTRA")</f>
        <v>DANIELA ALEXANDRA CIPAMOCHA BOSIGA</v>
      </c>
      <c r="D4368" s="4" t="str">
        <f>IFERROR(VLOOKUP(A4368,'Base Prueba'!A:D,4,),"NO REGISTRA")</f>
        <v>LIDER DE DATOS Y SERVICIOS</v>
      </c>
      <c r="E4368" s="5" t="str">
        <f>IFERROR(VLOOKUP(A4368,'Base Prueba'!A:E,5,),"NO REGISTRA")</f>
        <v>OFICINA DE PLANEACION Y GESTION DE LA CALIDAD</v>
      </c>
    </row>
    <row r="4369" spans="1:5" ht="15.75" x14ac:dyDescent="0.25">
      <c r="A4369" s="10">
        <v>1087121273</v>
      </c>
      <c r="B4369" s="2">
        <v>46101.712483680552</v>
      </c>
      <c r="C4369" s="3" t="str">
        <f>IFERROR(VLOOKUP(A4369,'Base Prueba'!A:C,3,),"NO REGISTRA")</f>
        <v>MAYRA ALEJANDRA CASTILLO ARBOLEDA</v>
      </c>
      <c r="D4369" s="4" t="str">
        <f>IFERROR(VLOOKUP(A4369,'Base Prueba'!A:D,4,),"NO REGISTRA")</f>
        <v>APOYO INTEGRAL DE MERCADEO</v>
      </c>
      <c r="E4369" s="5" t="str">
        <f>IFERROR(VLOOKUP(A4369,'Base Prueba'!A:E,5,),"NO REGISTRA")</f>
        <v>CENTRO DE GESTION DOCUMENTAL</v>
      </c>
    </row>
    <row r="4370" spans="1:5" ht="15.75" x14ac:dyDescent="0.25">
      <c r="A4370" s="10">
        <v>1014308296</v>
      </c>
      <c r="B4370" s="2">
        <v>46101.717170949072</v>
      </c>
      <c r="C4370" s="3" t="str">
        <f>IFERROR(VLOOKUP(A4370,'Base Prueba'!A:C,3,),"NO REGISTRA")</f>
        <v>DARLENE YULIANA MORENO CELEITA</v>
      </c>
      <c r="D4370" s="4" t="str">
        <f>IFERROR(VLOOKUP(A4370,'Base Prueba'!A:D,4,),"NO REGISTRA")</f>
        <v>CAJERO PRINCIPAL</v>
      </c>
      <c r="E4370" s="5" t="str">
        <f>IFERROR(VLOOKUP(A4370,'Base Prueba'!A:E,5,),"NO REGISTRA")</f>
        <v>AREA FINANCIERA Y CONTABLE</v>
      </c>
    </row>
    <row r="4371" spans="1:5" ht="15.75" x14ac:dyDescent="0.25">
      <c r="A4371" s="10">
        <v>1030567635</v>
      </c>
      <c r="B4371" s="2">
        <v>46101.71760625</v>
      </c>
      <c r="C4371" s="3" t="str">
        <f>IFERROR(VLOOKUP(A4371,'Base Prueba'!A:C,3,),"NO REGISTRA")</f>
        <v>JEFFERSON ANDRES BARRETO DIAZ</v>
      </c>
      <c r="D4371" s="4" t="str">
        <f>IFERROR(VLOOKUP(A4371,'Base Prueba'!A:D,4,),"NO REGISTRA")</f>
        <v>AUXILIAR DE ARCHIVO</v>
      </c>
      <c r="E4371" s="5" t="str">
        <f>IFERROR(VLOOKUP(A4371,'Base Prueba'!A:E,5,),"NO REGISTRA")</f>
        <v>CENTRO DE GESTION DOCUMENTAL</v>
      </c>
    </row>
    <row r="4372" spans="1:5" ht="15.75" x14ac:dyDescent="0.25">
      <c r="A4372" s="10">
        <v>1014977624</v>
      </c>
      <c r="B4372" s="2">
        <v>46101.720731597219</v>
      </c>
      <c r="C4372" s="3" t="str">
        <f>IFERROR(VLOOKUP(A4372,'Base Prueba'!A:C,3,),"NO REGISTRA")</f>
        <v>NICCOLE VALENTINA HERNANDEZ MALAVER</v>
      </c>
      <c r="D4372" s="4" t="str">
        <f>IFERROR(VLOOKUP(A4372,'Base Prueba'!A:D,4,),"NO REGISTRA")</f>
        <v>APRENDIZ UNIVERSITARIO</v>
      </c>
      <c r="E4372" s="5" t="str">
        <f>IFERROR(VLOOKUP(A4372,'Base Prueba'!A:E,5,),"NO REGISTRA")</f>
        <v>AREA FINANCIERA Y CONTABLE</v>
      </c>
    </row>
    <row r="4373" spans="1:5" ht="15.75" x14ac:dyDescent="0.25">
      <c r="A4373" s="10">
        <v>1000593372</v>
      </c>
      <c r="B4373" s="2">
        <v>46101.725180671296</v>
      </c>
      <c r="C4373" s="3" t="str">
        <f>IFERROR(VLOOKUP(A4373,'Base Prueba'!A:C,3,),"NO REGISTRA")</f>
        <v>LAURA SOFIA CHAPARRO LOPEZ</v>
      </c>
      <c r="D4373" s="4" t="str">
        <f>IFERROR(VLOOKUP(A4373,'Base Prueba'!A:D,4,),"NO REGISTRA")</f>
        <v>AUXILIAR JURIDICO</v>
      </c>
      <c r="E4373" s="5" t="str">
        <f>IFERROR(VLOOKUP(A4373,'Base Prueba'!A:E,5,),"NO REGISTRA")</f>
        <v>SECRETARIA GENERAL</v>
      </c>
    </row>
    <row r="4374" spans="1:5" ht="15.75" x14ac:dyDescent="0.25">
      <c r="A4374" s="10">
        <v>1000604979</v>
      </c>
      <c r="B4374" s="2">
        <v>46101.725213541664</v>
      </c>
      <c r="C4374" s="3" t="str">
        <f>IFERROR(VLOOKUP(A4374,'Base Prueba'!A:C,3,),"NO REGISTRA")</f>
        <v>JULIETH TATIANA PARDO PINTO</v>
      </c>
      <c r="D4374" s="4" t="str">
        <f>IFERROR(VLOOKUP(A4374,'Base Prueba'!A:D,4,),"NO REGISTRA")</f>
        <v>AUXILIAR JURIDICO</v>
      </c>
      <c r="E4374" s="5" t="str">
        <f>IFERROR(VLOOKUP(A4374,'Base Prueba'!A:E,5,),"NO REGISTRA")</f>
        <v>SECRETARIA GENERAL</v>
      </c>
    </row>
    <row r="4375" spans="1:5" ht="15.75" x14ac:dyDescent="0.25">
      <c r="A4375" s="10">
        <v>1000457706</v>
      </c>
      <c r="B4375" s="2">
        <v>46101.735455787035</v>
      </c>
      <c r="C4375" s="3" t="str">
        <f>IFERROR(VLOOKUP(A4375,'Base Prueba'!A:C,3,),"NO REGISTRA")</f>
        <v>CRISTIAN DANILO ARROYO SANABRIA</v>
      </c>
      <c r="D4375" s="4" t="str">
        <f>IFERROR(VLOOKUP(A4375,'Base Prueba'!A:D,4,),"NO REGISTRA")</f>
        <v>AUXILIAR CONTABLE</v>
      </c>
      <c r="E4375" s="5" t="str">
        <f>IFERROR(VLOOKUP(A4375,'Base Prueba'!A:E,5,),"NO REGISTRA")</f>
        <v>AREA FINANCIERA Y CONTABLE</v>
      </c>
    </row>
    <row r="4376" spans="1:5" ht="15.75" x14ac:dyDescent="0.25">
      <c r="A4376" s="10">
        <v>1000324729</v>
      </c>
      <c r="B4376" s="2">
        <v>46101.735560300927</v>
      </c>
      <c r="C4376" s="3" t="str">
        <f>IFERROR(VLOOKUP(A4376,'Base Prueba'!A:C,3,),"NO REGISTRA")</f>
        <v>ANYIE VANESSA TINOCO CAMACHO</v>
      </c>
      <c r="D4376" s="4" t="str">
        <f>IFERROR(VLOOKUP(A4376,'Base Prueba'!A:D,4,),"NO REGISTRA")</f>
        <v>LIDER DE REGISTRO Y CONTROL</v>
      </c>
      <c r="E4376" s="5" t="str">
        <f>IFERROR(VLOOKUP(A4376,'Base Prueba'!A:E,5,),"NO REGISTRA")</f>
        <v>REGISTRO Y CONTROL ACADEMICO</v>
      </c>
    </row>
    <row r="4377" spans="1:5" ht="15.75" x14ac:dyDescent="0.25">
      <c r="A4377" s="10">
        <v>53932358</v>
      </c>
      <c r="B4377" s="2">
        <v>46101.736902199074</v>
      </c>
      <c r="C4377" s="3" t="str">
        <f>IFERROR(VLOOKUP(A4377,'Base Prueba'!A:C,3,),"NO REGISTRA")</f>
        <v>DIANA MADELEYNE GAONA RODRIGUEZ</v>
      </c>
      <c r="D4377" s="4" t="str">
        <f>IFERROR(VLOOKUP(A4377,'Base Prueba'!A:D,4,),"NO REGISTRA")</f>
        <v>CONTADOR</v>
      </c>
      <c r="E4377" s="5" t="str">
        <f>IFERROR(VLOOKUP(A4377,'Base Prueba'!A:E,5,),"NO REGISTRA")</f>
        <v>AREA FINANCIERA Y CONTABLE</v>
      </c>
    </row>
    <row r="4378" spans="1:5" ht="15.75" x14ac:dyDescent="0.25">
      <c r="A4378" s="10">
        <v>1012426741</v>
      </c>
      <c r="B4378" s="2">
        <v>46101.750133449073</v>
      </c>
      <c r="C4378" s="3" t="str">
        <f>IFERROR(VLOOKUP(A4378,'Base Prueba'!A:C,3,),"NO REGISTRA")</f>
        <v>CRISTIAN FABIAN ROJAS SANCENO</v>
      </c>
      <c r="D4378" s="4" t="str">
        <f>IFERROR(VLOOKUP(A4378,'Base Prueba'!A:D,4,),"NO REGISTRA")</f>
        <v>AUXILIAR DE REINTEGROS</v>
      </c>
      <c r="E4378" s="5" t="str">
        <f>IFERROR(VLOOKUP(A4378,'Base Prueba'!A:E,5,),"NO REGISTRA")</f>
        <v>DIRECCION DE BIENESTAR INSTITUCIONAL</v>
      </c>
    </row>
    <row r="4379" spans="1:5" ht="15.75" x14ac:dyDescent="0.25">
      <c r="A4379" s="10">
        <v>1000046533</v>
      </c>
      <c r="B4379" s="2">
        <v>46101.751642592593</v>
      </c>
      <c r="C4379" s="3" t="str">
        <f>IFERROR(VLOOKUP(A4379,'Base Prueba'!A:C,3,),"NO REGISTRA")</f>
        <v>ERIKA JULIETH VALDERRAMA SANCHEZ</v>
      </c>
      <c r="D4379" s="4" t="str">
        <f>IFERROR(VLOOKUP(A4379,'Base Prueba'!A:D,4,),"NO REGISTRA")</f>
        <v>PROMOTOR CALL CENTER</v>
      </c>
      <c r="E4379" s="5" t="str">
        <f>IFERROR(VLOOKUP(A4379,'Base Prueba'!A:E,5,),"NO REGISTRA")</f>
        <v>OFICINA DE MERCADEO</v>
      </c>
    </row>
    <row r="4380" spans="1:5" ht="15.75" x14ac:dyDescent="0.25">
      <c r="A4380" s="10">
        <v>1032407386</v>
      </c>
      <c r="B4380" s="2">
        <v>46101.752985879626</v>
      </c>
      <c r="C4380" s="3" t="str">
        <f>IFERROR(VLOOKUP(A4380,'Base Prueba'!A:C,3,),"NO REGISTRA")</f>
        <v>GINA PAOLA BAEZ GALVIS</v>
      </c>
      <c r="D4380" s="4" t="str">
        <f>IFERROR(VLOOKUP(A4380,'Base Prueba'!A:D,4,),"NO REGISTRA")</f>
        <v>PROMOTOR CALL CENTER</v>
      </c>
      <c r="E4380" s="5" t="str">
        <f>IFERROR(VLOOKUP(A4380,'Base Prueba'!A:E,5,),"NO REGISTRA")</f>
        <v>OFICINA DE MERCADEO</v>
      </c>
    </row>
    <row r="4381" spans="1:5" ht="15.75" x14ac:dyDescent="0.25">
      <c r="A4381" s="10">
        <v>1018414290</v>
      </c>
      <c r="B4381" s="2">
        <v>46101.753256018521</v>
      </c>
      <c r="C4381" s="3" t="str">
        <f>IFERROR(VLOOKUP(A4381,'Base Prueba'!A:C,3,),"NO REGISTRA")</f>
        <v>AMANDA LISBETH RODRIGUEZ LEON</v>
      </c>
      <c r="D4381" s="4" t="str">
        <f>IFERROR(VLOOKUP(A4381,'Base Prueba'!A:D,4,),"NO REGISTRA")</f>
        <v>PROMOTOR CALL CENTER</v>
      </c>
      <c r="E4381" s="5" t="str">
        <f>IFERROR(VLOOKUP(A4381,'Base Prueba'!A:E,5,),"NO REGISTRA")</f>
        <v>OFICINA DE MERCADEO</v>
      </c>
    </row>
    <row r="4382" spans="1:5" ht="15.75" x14ac:dyDescent="0.25">
      <c r="A4382" s="10">
        <v>52472386</v>
      </c>
      <c r="B4382" s="2">
        <v>46101.755451157405</v>
      </c>
      <c r="C4382" s="3" t="str">
        <f>IFERROR(VLOOKUP(A4382,'Base Prueba'!A:C,3,),"NO REGISTRA")</f>
        <v>ADRIANA MARCELA MORALES PARDO</v>
      </c>
      <c r="D4382" s="4" t="str">
        <f>IFERROR(VLOOKUP(A4382,'Base Prueba'!A:D,4,),"NO REGISTRA")</f>
        <v>PROMOTOR CALL CENTER</v>
      </c>
      <c r="E4382" s="5" t="str">
        <f>IFERROR(VLOOKUP(A4382,'Base Prueba'!A:E,5,),"NO REGISTRA")</f>
        <v>OFICINA DE MERCADEO</v>
      </c>
    </row>
    <row r="4383" spans="1:5" ht="15.75" x14ac:dyDescent="0.25">
      <c r="A4383" s="10">
        <v>1023961952</v>
      </c>
      <c r="B4383" s="2">
        <v>46101.756471412038</v>
      </c>
      <c r="C4383" s="3" t="str">
        <f>IFERROR(VLOOKUP(A4383,'Base Prueba'!A:C,3,),"NO REGISTRA")</f>
        <v>ALEJANDRO PINZON MERCHAN</v>
      </c>
      <c r="D4383" s="4" t="str">
        <f>IFERROR(VLOOKUP(A4383,'Base Prueba'!A:D,4,),"NO REGISTRA")</f>
        <v>PROMOTOR CALL CENTER</v>
      </c>
      <c r="E4383" s="5" t="str">
        <f>IFERROR(VLOOKUP(A4383,'Base Prueba'!A:E,5,),"NO REGISTRA")</f>
        <v>OFICINA DE MERCADEO</v>
      </c>
    </row>
    <row r="4384" spans="1:5" ht="15.75" x14ac:dyDescent="0.25">
      <c r="A4384" s="10">
        <v>28798349</v>
      </c>
      <c r="B4384" s="2">
        <v>46101.756604282411</v>
      </c>
      <c r="C4384" s="3" t="str">
        <f>IFERROR(VLOOKUP(A4384,'Base Prueba'!A:C,3,),"NO REGISTRA")</f>
        <v>MARTHA ISABEL TOVAR WILLIAMS</v>
      </c>
      <c r="D4384" s="4" t="str">
        <f>IFERROR(VLOOKUP(A4384,'Base Prueba'!A:D,4,),"NO REGISTRA")</f>
        <v>PROMOTOR CALL CENTER</v>
      </c>
      <c r="E4384" s="5" t="str">
        <f>IFERROR(VLOOKUP(A4384,'Base Prueba'!A:E,5,),"NO REGISTRA")</f>
        <v>OFICINA DE MERCADEO</v>
      </c>
    </row>
    <row r="4385" spans="1:5" ht="15.75" x14ac:dyDescent="0.25">
      <c r="A4385" s="10">
        <v>1023883232</v>
      </c>
      <c r="B4385" s="2">
        <v>46101.756810995372</v>
      </c>
      <c r="C4385" s="3" t="str">
        <f>IFERROR(VLOOKUP(A4385,'Base Prueba'!A:C,3,),"NO REGISTRA")</f>
        <v>MONICA ANDREA ACERO URBANO</v>
      </c>
      <c r="D4385" s="4" t="str">
        <f>IFERROR(VLOOKUP(A4385,'Base Prueba'!A:D,4,),"NO REGISTRA")</f>
        <v>APOYO INTEGRAL A GESTION HUMANA</v>
      </c>
      <c r="E4385" s="5" t="str">
        <f>IFERROR(VLOOKUP(A4385,'Base Prueba'!A:E,5,),"NO REGISTRA")</f>
        <v>DEPARTAMENTO DE GESTION HUMANA</v>
      </c>
    </row>
    <row r="4386" spans="1:5" ht="15.75" x14ac:dyDescent="0.25">
      <c r="A4386" s="10">
        <v>52474489</v>
      </c>
      <c r="B4386" s="2">
        <v>46101.756884259259</v>
      </c>
      <c r="C4386" s="3" t="str">
        <f>IFERROR(VLOOKUP(A4386,'Base Prueba'!A:C,3,),"NO REGISTRA")</f>
        <v>ADRIANA JIMENA SOTO BOCANEGRA</v>
      </c>
      <c r="D4386" s="4" t="str">
        <f>IFERROR(VLOOKUP(A4386,'Base Prueba'!A:D,4,),"NO REGISTRA")</f>
        <v>COORDINADOR DE LA OFICINA DE REGISTRO Y CONTROL</v>
      </c>
      <c r="E4386" s="5" t="str">
        <f>IFERROR(VLOOKUP(A4386,'Base Prueba'!A:E,5,),"NO REGISTRA")</f>
        <v>REGISTRO Y CONTROL ACADEMICO</v>
      </c>
    </row>
    <row r="4387" spans="1:5" ht="15.75" x14ac:dyDescent="0.25">
      <c r="A4387" s="10">
        <v>52175674</v>
      </c>
      <c r="B4387" s="2">
        <v>46101.756965277775</v>
      </c>
      <c r="C4387" s="3" t="str">
        <f>IFERROR(VLOOKUP(A4387,'Base Prueba'!A:C,3,),"NO REGISTRA")</f>
        <v>LUZ YANETH GOMEZ AREVALO</v>
      </c>
      <c r="D4387" s="4" t="str">
        <f>IFERROR(VLOOKUP(A4387,'Base Prueba'!A:D,4,),"NO REGISTRA")</f>
        <v>COORDINADORA DE ADMISIONES</v>
      </c>
      <c r="E4387" s="5" t="str">
        <f>IFERROR(VLOOKUP(A4387,'Base Prueba'!A:E,5,),"NO REGISTRA")</f>
        <v>OFICINA DE MERCADEO</v>
      </c>
    </row>
    <row r="4388" spans="1:5" ht="15.75" x14ac:dyDescent="0.25">
      <c r="A4388" s="10">
        <v>1022996882</v>
      </c>
      <c r="B4388" s="2">
        <v>46101.757054861111</v>
      </c>
      <c r="C4388" s="3" t="str">
        <f>IFERROR(VLOOKUP(A4388,'Base Prueba'!A:C,3,),"NO REGISTRA")</f>
        <v>NANCY BRIGITH ALDANA GUEVARA</v>
      </c>
      <c r="D4388" s="4" t="str">
        <f>IFERROR(VLOOKUP(A4388,'Base Prueba'!A:D,4,),"NO REGISTRA")</f>
        <v>COORDINADORA DE GESTIÓN HUMANA</v>
      </c>
      <c r="E4388" s="5" t="str">
        <f>IFERROR(VLOOKUP(A4388,'Base Prueba'!A:E,5,),"NO REGISTRA")</f>
        <v>DEPARTAMENTO DE GESTION HUMANA</v>
      </c>
    </row>
    <row r="4389" spans="1:5" ht="15.75" x14ac:dyDescent="0.25">
      <c r="A4389" s="10">
        <v>1019105003</v>
      </c>
      <c r="B4389" s="2">
        <v>46101.757769212963</v>
      </c>
      <c r="C4389" s="3" t="str">
        <f>IFERROR(VLOOKUP(A4389,'Base Prueba'!A:C,3,),"NO REGISTRA")</f>
        <v>DAISY JULIETH GASPAR MORENO</v>
      </c>
      <c r="D4389" s="4" t="str">
        <f>IFERROR(VLOOKUP(A4389,'Base Prueba'!A:D,4,),"NO REGISTRA")</f>
        <v>PROMOTOR CALL CENTER</v>
      </c>
      <c r="E4389" s="5" t="str">
        <f>IFERROR(VLOOKUP(A4389,'Base Prueba'!A:E,5,),"NO REGISTRA")</f>
        <v>OFICINA DE MERCADEO</v>
      </c>
    </row>
    <row r="4390" spans="1:5" ht="15.75" x14ac:dyDescent="0.25">
      <c r="A4390" s="10">
        <v>53089882</v>
      </c>
      <c r="B4390" s="2">
        <v>46101.75783923611</v>
      </c>
      <c r="C4390" s="3" t="str">
        <f>IFERROR(VLOOKUP(A4390,'Base Prueba'!A:C,3,),"NO REGISTRA")</f>
        <v>MARIA JOHANA ESCAMILLA MARTINEZ</v>
      </c>
      <c r="D4390" s="4" t="str">
        <f>IFERROR(VLOOKUP(A4390,'Base Prueba'!A:D,4,),"NO REGISTRA")</f>
        <v>PROMOTOR DE INFORMACIÓN</v>
      </c>
      <c r="E4390" s="5" t="str">
        <f>IFERROR(VLOOKUP(A4390,'Base Prueba'!A:E,5,),"NO REGISTRA")</f>
        <v>OFICINA DE MERCADEO</v>
      </c>
    </row>
    <row r="4391" spans="1:5" ht="15.75" x14ac:dyDescent="0.25">
      <c r="A4391" s="10">
        <v>1033709056</v>
      </c>
      <c r="B4391" s="2">
        <v>46101.758012962964</v>
      </c>
      <c r="C4391" s="3" t="str">
        <f>IFERROR(VLOOKUP(A4391,'Base Prueba'!A:C,3,),"NO REGISTRA")</f>
        <v>YEIMY ALEXANDRA RODRIGUEZ PALACIO</v>
      </c>
      <c r="D4391" s="4" t="str">
        <f>IFERROR(VLOOKUP(A4391,'Base Prueba'!A:D,4,),"NO REGISTRA")</f>
        <v>PROMOTOR CALL CENTER</v>
      </c>
      <c r="E4391" s="5" t="str">
        <f>IFERROR(VLOOKUP(A4391,'Base Prueba'!A:E,5,),"NO REGISTRA")</f>
        <v>OFICINA DE MERCADEO</v>
      </c>
    </row>
    <row r="4392" spans="1:5" ht="15.75" x14ac:dyDescent="0.25">
      <c r="A4392" s="10">
        <v>1018413529</v>
      </c>
      <c r="B4392" s="2">
        <v>46101.758036458334</v>
      </c>
      <c r="C4392" s="3" t="str">
        <f>IFERROR(VLOOKUP(A4392,'Base Prueba'!A:C,3,),"NO REGISTRA")</f>
        <v>FRANCY STELLA CHARRY MORENO</v>
      </c>
      <c r="D4392" s="4" t="str">
        <f>IFERROR(VLOOKUP(A4392,'Base Prueba'!A:D,4,),"NO REGISTRA")</f>
        <v>PROMOTOR COMERCIAL DEL CEA</v>
      </c>
      <c r="E4392" s="5" t="str">
        <f>IFERROR(VLOOKUP(A4392,'Base Prueba'!A:E,5,),"NO REGISTRA")</f>
        <v>OFICINA DE MERCADEO</v>
      </c>
    </row>
    <row r="4393" spans="1:5" ht="15.75" x14ac:dyDescent="0.25">
      <c r="A4393" s="10">
        <v>1022996882</v>
      </c>
      <c r="B4393" s="2">
        <v>46101.758973842596</v>
      </c>
      <c r="C4393" s="3" t="str">
        <f>IFERROR(VLOOKUP(A4393,'Base Prueba'!A:C,3,),"NO REGISTRA")</f>
        <v>NANCY BRIGITH ALDANA GUEVARA</v>
      </c>
      <c r="D4393" s="4" t="str">
        <f>IFERROR(VLOOKUP(A4393,'Base Prueba'!A:D,4,),"NO REGISTRA")</f>
        <v>COORDINADORA DE GESTIÓN HUMANA</v>
      </c>
      <c r="E4393" s="5" t="str">
        <f>IFERROR(VLOOKUP(A4393,'Base Prueba'!A:E,5,),"NO REGISTRA")</f>
        <v>DEPARTAMENTO DE GESTION HUMANA</v>
      </c>
    </row>
    <row r="4394" spans="1:5" ht="15.75" x14ac:dyDescent="0.25">
      <c r="A4394" s="10">
        <v>1014196857</v>
      </c>
      <c r="B4394" s="2">
        <v>46101.760682754626</v>
      </c>
      <c r="C4394" s="3" t="str">
        <f>IFERROR(VLOOKUP(A4394,'Base Prueba'!A:C,3,),"NO REGISTRA")</f>
        <v>CARLOS ANDRES JIMENEZ PARDO</v>
      </c>
      <c r="D4394" s="4" t="str">
        <f>IFERROR(VLOOKUP(A4394,'Base Prueba'!A:D,4,),"NO REGISTRA")</f>
        <v>COORDINADOR DE MARKETING DIGITAL</v>
      </c>
      <c r="E4394" s="5" t="str">
        <f>IFERROR(VLOOKUP(A4394,'Base Prueba'!A:E,5,),"NO REGISTRA")</f>
        <v>OFICINA DE MERCADEO</v>
      </c>
    </row>
    <row r="4395" spans="1:5" ht="15.75" x14ac:dyDescent="0.25">
      <c r="A4395" s="10">
        <v>52764929</v>
      </c>
      <c r="B4395" s="2">
        <v>46101.761260995372</v>
      </c>
      <c r="C4395" s="3" t="str">
        <f>IFERROR(VLOOKUP(A4395,'Base Prueba'!A:C,3,),"NO REGISTRA")</f>
        <v>GUERLY YOHANA DURAN RIVERA</v>
      </c>
      <c r="D4395" s="4" t="str">
        <f>IFERROR(VLOOKUP(A4395,'Base Prueba'!A:D,4,),"NO REGISTRA")</f>
        <v>LIDER DE VINCULACION COLEGIOS</v>
      </c>
      <c r="E4395" s="5" t="str">
        <f>IFERROR(VLOOKUP(A4395,'Base Prueba'!A:E,5,),"NO REGISTRA")</f>
        <v>OFICINA DE MERCADEO</v>
      </c>
    </row>
    <row r="4396" spans="1:5" ht="15.75" x14ac:dyDescent="0.25">
      <c r="A4396" s="10">
        <v>80234243</v>
      </c>
      <c r="B4396" s="2">
        <v>46101.763160416667</v>
      </c>
      <c r="C4396" s="3" t="str">
        <f>IFERROR(VLOOKUP(A4396,'Base Prueba'!A:C,3,),"NO REGISTRA")</f>
        <v>ARGENIS MARTINEZ MARTINEZ</v>
      </c>
      <c r="D4396" s="4" t="str">
        <f>IFERROR(VLOOKUP(A4396,'Base Prueba'!A:D,4,),"NO REGISTRA")</f>
        <v>LIDER CALL CENTER</v>
      </c>
      <c r="E4396" s="5" t="str">
        <f>IFERROR(VLOOKUP(A4396,'Base Prueba'!A:E,5,),"NO REGISTRA")</f>
        <v>OFICINA DE MERCADEO</v>
      </c>
    </row>
    <row r="4397" spans="1:5" ht="15.75" x14ac:dyDescent="0.25">
      <c r="A4397" s="10">
        <v>80191732</v>
      </c>
      <c r="B4397" s="2">
        <v>46101.763920833335</v>
      </c>
      <c r="C4397" s="3" t="str">
        <f>IFERROR(VLOOKUP(A4397,'Base Prueba'!A:C,3,),"NO REGISTRA")</f>
        <v>DANIEL MAURICIO ZAMBRANO TUNJANO</v>
      </c>
      <c r="D4397" s="4" t="str">
        <f>IFERROR(VLOOKUP(A4397,'Base Prueba'!A:D,4,),"NO REGISTRA")</f>
        <v>COORDINADOR DE DISEÑO E IMAGEN INSTITUCIONAL</v>
      </c>
      <c r="E4397" s="5" t="str">
        <f>IFERROR(VLOOKUP(A4397,'Base Prueba'!A:E,5,),"NO REGISTRA")</f>
        <v>OFICINA DE MERCADEO</v>
      </c>
    </row>
    <row r="4398" spans="1:5" ht="15.75" x14ac:dyDescent="0.25">
      <c r="A4398" s="10">
        <v>1013616244</v>
      </c>
      <c r="B4398" s="2">
        <v>46101.788602777779</v>
      </c>
      <c r="C4398" s="3" t="str">
        <f>IFERROR(VLOOKUP(A4398,'Base Prueba'!A:C,3,),"NO REGISTRA")</f>
        <v>DIANA CAROLINA MARIN BETANCOURT</v>
      </c>
      <c r="D4398" s="4" t="str">
        <f>IFERROR(VLOOKUP(A4398,'Base Prueba'!A:D,4,),"NO REGISTRA")</f>
        <v>AUXILIAR ADMINISTRATIVO</v>
      </c>
      <c r="E4398" s="5" t="str">
        <f>IFERROR(VLOOKUP(A4398,'Base Prueba'!A:E,5,),"NO REGISTRA")</f>
        <v>REGISTRO Y CONTROL ACADEMICO</v>
      </c>
    </row>
    <row r="4399" spans="1:5" ht="15.75" x14ac:dyDescent="0.25">
      <c r="A4399" s="10">
        <v>1013616244</v>
      </c>
      <c r="B4399" s="2">
        <v>46102.306846643522</v>
      </c>
      <c r="C4399" s="3" t="str">
        <f>IFERROR(VLOOKUP(A4399,'Base Prueba'!A:C,3,),"NO REGISTRA")</f>
        <v>DIANA CAROLINA MARIN BETANCOURT</v>
      </c>
      <c r="D4399" s="4" t="str">
        <f>IFERROR(VLOOKUP(A4399,'Base Prueba'!A:D,4,),"NO REGISTRA")</f>
        <v>AUXILIAR ADMINISTRATIVO</v>
      </c>
      <c r="E4399" s="5" t="str">
        <f>IFERROR(VLOOKUP(A4399,'Base Prueba'!A:E,5,),"NO REGISTRA")</f>
        <v>REGISTRO Y CONTROL ACADEMICO</v>
      </c>
    </row>
    <row r="4400" spans="1:5" ht="15.75" x14ac:dyDescent="0.25">
      <c r="A4400" s="10">
        <v>52735929</v>
      </c>
      <c r="B4400" s="2">
        <v>46102.36526875</v>
      </c>
      <c r="C4400" s="3" t="str">
        <f>IFERROR(VLOOKUP(A4400,'Base Prueba'!A:C,3,),"NO REGISTRA")</f>
        <v>JEIMMY AREVALO MELO</v>
      </c>
      <c r="D4400" s="4" t="str">
        <f>IFERROR(VLOOKUP(A4400,'Base Prueba'!A:D,4,),"NO REGISTRA")</f>
        <v>COORDINADOR DE BIBLIOTECA</v>
      </c>
      <c r="E4400" s="5" t="str">
        <f>IFERROR(VLOOKUP(A4400,'Base Prueba'!A:E,5,),"NO REGISTRA")</f>
        <v>BIBLIOTECA</v>
      </c>
    </row>
    <row r="4401" spans="1:5" ht="15.75" x14ac:dyDescent="0.25">
      <c r="A4401" s="14">
        <v>1012426741</v>
      </c>
      <c r="B4401" s="2">
        <v>46102.373400115743</v>
      </c>
      <c r="C4401" s="3" t="str">
        <f>IFERROR(VLOOKUP(A4401,'Base Prueba'!A:C,3,),"NO REGISTRA")</f>
        <v>CRISTIAN FABIAN ROJAS SANCENO</v>
      </c>
      <c r="D4401" s="4" t="str">
        <f>IFERROR(VLOOKUP(A4401,'Base Prueba'!A:D,4,),"NO REGISTRA")</f>
        <v>AUXILIAR DE REINTEGROS</v>
      </c>
      <c r="E4401" s="5" t="str">
        <f>IFERROR(VLOOKUP(A4401,'Base Prueba'!A:E,5,),"NO REGISTRA")</f>
        <v>DIRECCION DE BIENESTAR INSTITUCIONAL</v>
      </c>
    </row>
    <row r="4402" spans="1:5" ht="15.75" x14ac:dyDescent="0.25">
      <c r="A4402" s="14">
        <v>1024512067</v>
      </c>
      <c r="B4402" s="2">
        <v>46102.376171759257</v>
      </c>
      <c r="C4402" s="3" t="str">
        <f>IFERROR(VLOOKUP(A4402,'Base Prueba'!A:C,3,),"NO REGISTRA")</f>
        <v>CINDY GIOVANA SALGAR GOMEZ</v>
      </c>
      <c r="D4402" s="4" t="str">
        <f>IFERROR(VLOOKUP(A4402,'Base Prueba'!A:D,4,),"NO REGISTRA")</f>
        <v>COORDINADOR DEL SISTEMA INTEGRADO DE GESTION INSTITUCIONAL - SIGI</v>
      </c>
      <c r="E4402" s="5" t="str">
        <f>IFERROR(VLOOKUP(A4402,'Base Prueba'!A:E,5,),"NO REGISTRA")</f>
        <v>OFICINA DE PLANEACION Y GESTION DE LA CALIDAD</v>
      </c>
    </row>
    <row r="4403" spans="1:5" ht="15.75" x14ac:dyDescent="0.25">
      <c r="A4403" s="14">
        <v>1000257136</v>
      </c>
      <c r="B4403" s="2">
        <v>46102.387652430552</v>
      </c>
      <c r="C4403" s="3" t="str">
        <f>IFERROR(VLOOKUP(A4403,'Base Prueba'!A:C,3,),"NO REGISTRA")</f>
        <v>FRANCI VALENTINA CANO PUENTES</v>
      </c>
      <c r="D4403" s="4" t="str">
        <f>IFERROR(VLOOKUP(A4403,'Base Prueba'!A:D,4,),"NO REGISTRA")</f>
        <v>AUXILIAR CONTABLE</v>
      </c>
      <c r="E4403" s="5" t="str">
        <f>IFERROR(VLOOKUP(A4403,'Base Prueba'!A:E,5,),"NO REGISTRA")</f>
        <v>AREA FINANCIERA Y CONTABLE</v>
      </c>
    </row>
    <row r="4404" spans="1:5" ht="15.75" x14ac:dyDescent="0.25">
      <c r="A4404" s="14">
        <v>52764929</v>
      </c>
      <c r="B4404" s="2">
        <v>46102.387729745373</v>
      </c>
      <c r="C4404" s="3" t="str">
        <f>IFERROR(VLOOKUP(A4404,'Base Prueba'!A:C,3,),"NO REGISTRA")</f>
        <v>GUERLY YOHANA DURAN RIVERA</v>
      </c>
      <c r="D4404" s="4" t="str">
        <f>IFERROR(VLOOKUP(A4404,'Base Prueba'!A:D,4,),"NO REGISTRA")</f>
        <v>LIDER DE VINCULACION COLEGIOS</v>
      </c>
      <c r="E4404" s="5" t="str">
        <f>IFERROR(VLOOKUP(A4404,'Base Prueba'!A:E,5,),"NO REGISTRA")</f>
        <v>OFICINA DE MERCADEO</v>
      </c>
    </row>
    <row r="4405" spans="1:5" ht="15.75" x14ac:dyDescent="0.25">
      <c r="A4405" s="14">
        <v>1032425800</v>
      </c>
      <c r="B4405" s="2">
        <v>46102.404752662034</v>
      </c>
      <c r="C4405" s="3" t="str">
        <f>IFERROR(VLOOKUP(A4405,'Base Prueba'!A:C,3,),"NO REGISTRA")</f>
        <v>LUIS ALEJANDRO REY DUQUE</v>
      </c>
      <c r="D4405" s="4" t="str">
        <f>IFERROR(VLOOKUP(A4405,'Base Prueba'!A:D,4,),"NO REGISTRA")</f>
        <v>DOCENTE DE MEDIO TIEMPO</v>
      </c>
      <c r="E4405" s="5" t="str">
        <f>IFERROR(VLOOKUP(A4405,'Base Prueba'!A:E,5,),"NO REGISTRA")</f>
        <v>CIENCIAS DE LA INFORMACION Y BIBLIOTECOLOGIA</v>
      </c>
    </row>
    <row r="4406" spans="1:5" ht="15.75" x14ac:dyDescent="0.25">
      <c r="A4406" s="14">
        <v>1000611958</v>
      </c>
      <c r="B4406" s="2">
        <v>46102.500057060184</v>
      </c>
      <c r="C4406" s="3" t="str">
        <f>IFERROR(VLOOKUP(A4406,'Base Prueba'!A:C,3,),"NO REGISTRA")</f>
        <v>TYLER CORRADINE  VARGAS</v>
      </c>
      <c r="D4406" s="4" t="str">
        <f>IFERROR(VLOOKUP(A4406,'Base Prueba'!A:D,4,),"NO REGISTRA")</f>
        <v>APRENDIZ UNIVERSITARIO</v>
      </c>
      <c r="E4406" s="5" t="str">
        <f>IFERROR(VLOOKUP(A4406,'Base Prueba'!A:E,5,),"NO REGISTRA")</f>
        <v>DEPARTAMENTO DE INFORMATICA Y TECNOLOGIA</v>
      </c>
    </row>
    <row r="4407" spans="1:5" ht="15.75" x14ac:dyDescent="0.25">
      <c r="A4407" s="14">
        <v>1012426741</v>
      </c>
      <c r="B4407" s="2">
        <v>46102.500089236113</v>
      </c>
      <c r="C4407" s="3" t="str">
        <f>IFERROR(VLOOKUP(A4407,'Base Prueba'!A:C,3,),"NO REGISTRA")</f>
        <v>CRISTIAN FABIAN ROJAS SANCENO</v>
      </c>
      <c r="D4407" s="4" t="str">
        <f>IFERROR(VLOOKUP(A4407,'Base Prueba'!A:D,4,),"NO REGISTRA")</f>
        <v>AUXILIAR DE REINTEGROS</v>
      </c>
      <c r="E4407" s="5" t="str">
        <f>IFERROR(VLOOKUP(A4407,'Base Prueba'!A:E,5,),"NO REGISTRA")</f>
        <v>DIRECCION DE BIENESTAR INSTITUCIONAL</v>
      </c>
    </row>
    <row r="4408" spans="1:5" ht="15.75" x14ac:dyDescent="0.25">
      <c r="A4408" s="14">
        <v>52443092</v>
      </c>
      <c r="B4408" s="2">
        <v>46102.50391053241</v>
      </c>
      <c r="C4408" s="3" t="str">
        <f>IFERROR(VLOOKUP(A4408,'Base Prueba'!A:C,3,),"NO REGISTRA")</f>
        <v>LUZ MYRIAM SAAVEDRA CONTRERAS</v>
      </c>
      <c r="D4408" s="4" t="str">
        <f>IFERROR(VLOOKUP(A4408,'Base Prueba'!A:D,4,),"NO REGISTRA")</f>
        <v>AUXILIAR DE SERVICIOS</v>
      </c>
      <c r="E4408" s="5" t="str">
        <f>IFERROR(VLOOKUP(A4408,'Base Prueba'!A:E,5,),"NO REGISTRA")</f>
        <v>LOGISTICA Y SERVICIOS GENERALES</v>
      </c>
    </row>
    <row r="4409" spans="1:5" ht="15.75" x14ac:dyDescent="0.25">
      <c r="A4409" s="14">
        <v>1087121273</v>
      </c>
      <c r="B4409" s="2">
        <v>46102.516714699072</v>
      </c>
      <c r="C4409" s="3" t="str">
        <f>IFERROR(VLOOKUP(A4409,'Base Prueba'!A:C,3,),"NO REGISTRA")</f>
        <v>MAYRA ALEJANDRA CASTILLO ARBOLEDA</v>
      </c>
      <c r="D4409" s="4" t="str">
        <f>IFERROR(VLOOKUP(A4409,'Base Prueba'!A:D,4,),"NO REGISTRA")</f>
        <v>APOYO INTEGRAL DE MERCADEO</v>
      </c>
      <c r="E4409" s="5" t="str">
        <f>IFERROR(VLOOKUP(A4409,'Base Prueba'!A:E,5,),"NO REGISTRA")</f>
        <v>CENTRO DE GESTION DOCUMENTAL</v>
      </c>
    </row>
    <row r="4410" spans="1:5" ht="15.75" x14ac:dyDescent="0.25">
      <c r="A4410" s="14">
        <v>1000257136</v>
      </c>
      <c r="B4410" s="2">
        <v>46102.517061226848</v>
      </c>
      <c r="C4410" s="3" t="str">
        <f>IFERROR(VLOOKUP(A4410,'Base Prueba'!A:C,3,),"NO REGISTRA")</f>
        <v>FRANCI VALENTINA CANO PUENTES</v>
      </c>
      <c r="D4410" s="4" t="str">
        <f>IFERROR(VLOOKUP(A4410,'Base Prueba'!A:D,4,),"NO REGISTRA")</f>
        <v>AUXILIAR CONTABLE</v>
      </c>
      <c r="E4410" s="5" t="str">
        <f>IFERROR(VLOOKUP(A4410,'Base Prueba'!A:E,5,),"NO REGISTRA")</f>
        <v>AREA FINANCIERA Y CONTABLE</v>
      </c>
    </row>
    <row r="4411" spans="1:5" ht="15.75" x14ac:dyDescent="0.25">
      <c r="A4411" s="14">
        <v>1024512067</v>
      </c>
      <c r="B4411" s="2">
        <v>46102.518239814817</v>
      </c>
      <c r="C4411" s="3" t="str">
        <f>IFERROR(VLOOKUP(A4411,'Base Prueba'!A:C,3,),"NO REGISTRA")</f>
        <v>CINDY GIOVANA SALGAR GOMEZ</v>
      </c>
      <c r="D4411" s="4" t="str">
        <f>IFERROR(VLOOKUP(A4411,'Base Prueba'!A:D,4,),"NO REGISTRA")</f>
        <v>COORDINADOR DEL SISTEMA INTEGRADO DE GESTION INSTITUCIONAL - SIGI</v>
      </c>
      <c r="E4411" s="5" t="str">
        <f>IFERROR(VLOOKUP(A4411,'Base Prueba'!A:E,5,),"NO REGISTRA")</f>
        <v>OFICINA DE PLANEACION Y GESTION DE LA CALIDAD</v>
      </c>
    </row>
    <row r="4412" spans="1:5" ht="15.75" x14ac:dyDescent="0.25">
      <c r="A4412" s="14">
        <v>1013616244</v>
      </c>
      <c r="B4412" s="2">
        <v>46102.555064930559</v>
      </c>
      <c r="C4412" s="3" t="str">
        <f>IFERROR(VLOOKUP(A4412,'Base Prueba'!A:C,3,),"NO REGISTRA")</f>
        <v>DIANA CAROLINA MARIN BETANCOURT</v>
      </c>
      <c r="D4412" s="4" t="str">
        <f>IFERROR(VLOOKUP(A4412,'Base Prueba'!A:D,4,),"NO REGISTRA")</f>
        <v>AUXILIAR ADMINISTRATIVO</v>
      </c>
      <c r="E4412" s="5" t="str">
        <f>IFERROR(VLOOKUP(A4412,'Base Prueba'!A:E,5,),"NO REGISTRA")</f>
        <v>REGISTRO Y CONTROL ACADEMICO</v>
      </c>
    </row>
    <row r="4413" spans="1:5" ht="15.75" x14ac:dyDescent="0.25">
      <c r="A4413" s="14">
        <v>80725196</v>
      </c>
      <c r="B4413" s="2">
        <v>46105.292727546293</v>
      </c>
      <c r="C4413" s="3" t="str">
        <f>IFERROR(VLOOKUP(A4413,'Base Prueba'!A:C,3,),"NO REGISTRA")</f>
        <v>YEISON YOSET TOVAR BARBOSA</v>
      </c>
      <c r="D4413" s="4" t="str">
        <f>IFERROR(VLOOKUP(A4413,'Base Prueba'!A:D,4,),"NO REGISTRA")</f>
        <v>LIDER GESTION DOCUMENTAL</v>
      </c>
      <c r="E4413" s="5" t="str">
        <f>IFERROR(VLOOKUP(A4413,'Base Prueba'!A:E,5,),"NO REGISTRA")</f>
        <v>CENTRO DE GESTION DOCUMENTAL</v>
      </c>
    </row>
    <row r="4414" spans="1:5" ht="15.75" x14ac:dyDescent="0.25">
      <c r="A4414" s="14">
        <v>1024512067</v>
      </c>
      <c r="B4414" s="2">
        <v>46105.314871064817</v>
      </c>
      <c r="C4414" s="3" t="str">
        <f>IFERROR(VLOOKUP(A4414,'Base Prueba'!A:C,3,),"NO REGISTRA")</f>
        <v>CINDY GIOVANA SALGAR GOMEZ</v>
      </c>
      <c r="D4414" s="4" t="str">
        <f>IFERROR(VLOOKUP(A4414,'Base Prueba'!A:D,4,),"NO REGISTRA")</f>
        <v>COORDINADOR DEL SISTEMA INTEGRADO DE GESTION INSTITUCIONAL - SIGI</v>
      </c>
      <c r="E4414" s="5" t="str">
        <f>IFERROR(VLOOKUP(A4414,'Base Prueba'!A:E,5,),"NO REGISTRA")</f>
        <v>OFICINA DE PLANEACION Y GESTION DE LA CALIDAD</v>
      </c>
    </row>
    <row r="4415" spans="1:5" ht="15.75" x14ac:dyDescent="0.25">
      <c r="A4415" s="14">
        <v>1013616244</v>
      </c>
      <c r="B4415" s="2">
        <v>46105.315230439817</v>
      </c>
      <c r="C4415" s="3" t="str">
        <f>IFERROR(VLOOKUP(A4415,'Base Prueba'!A:C,3,),"NO REGISTRA")</f>
        <v>DIANA CAROLINA MARIN BETANCOURT</v>
      </c>
      <c r="D4415" s="4" t="str">
        <f>IFERROR(VLOOKUP(A4415,'Base Prueba'!A:D,4,),"NO REGISTRA")</f>
        <v>AUXILIAR ADMINISTRATIVO</v>
      </c>
      <c r="E4415" s="5" t="str">
        <f>IFERROR(VLOOKUP(A4415,'Base Prueba'!A:E,5,),"NO REGISTRA")</f>
        <v>REGISTRO Y CONTROL ACADEMICO</v>
      </c>
    </row>
    <row r="4416" spans="1:5" ht="15.75" x14ac:dyDescent="0.25">
      <c r="A4416" s="14">
        <v>1087121273</v>
      </c>
      <c r="B4416" s="2">
        <v>46105.316391782406</v>
      </c>
      <c r="C4416" s="3" t="str">
        <f>IFERROR(VLOOKUP(A4416,'Base Prueba'!A:C,3,),"NO REGISTRA")</f>
        <v>MAYRA ALEJANDRA CASTILLO ARBOLEDA</v>
      </c>
      <c r="D4416" s="4" t="str">
        <f>IFERROR(VLOOKUP(A4416,'Base Prueba'!A:D,4,),"NO REGISTRA")</f>
        <v>APOYO INTEGRAL DE MERCADEO</v>
      </c>
      <c r="E4416" s="5" t="str">
        <f>IFERROR(VLOOKUP(A4416,'Base Prueba'!A:E,5,),"NO REGISTRA")</f>
        <v>CENTRO DE GESTION DOCUMENTAL</v>
      </c>
    </row>
    <row r="4417" spans="1:5" ht="15.75" x14ac:dyDescent="0.25">
      <c r="A4417" s="14">
        <v>1000257136</v>
      </c>
      <c r="B4417" s="2">
        <v>46105.318154513887</v>
      </c>
      <c r="C4417" s="3" t="str">
        <f>IFERROR(VLOOKUP(A4417,'Base Prueba'!A:C,3,),"NO REGISTRA")</f>
        <v>FRANCI VALENTINA CANO PUENTES</v>
      </c>
      <c r="D4417" s="4" t="str">
        <f>IFERROR(VLOOKUP(A4417,'Base Prueba'!A:D,4,),"NO REGISTRA")</f>
        <v>AUXILIAR CONTABLE</v>
      </c>
      <c r="E4417" s="5" t="str">
        <f>IFERROR(VLOOKUP(A4417,'Base Prueba'!A:E,5,),"NO REGISTRA")</f>
        <v>AREA FINANCIERA Y CONTABLE</v>
      </c>
    </row>
    <row r="4418" spans="1:5" ht="15.75" x14ac:dyDescent="0.25">
      <c r="A4418" s="14">
        <v>1000324729</v>
      </c>
      <c r="B4418" s="2">
        <v>46105.324758564813</v>
      </c>
      <c r="C4418" s="3" t="str">
        <f>IFERROR(VLOOKUP(A4418,'Base Prueba'!A:C,3,),"NO REGISTRA")</f>
        <v>ANYIE VANESSA TINOCO CAMACHO</v>
      </c>
      <c r="D4418" s="4" t="str">
        <f>IFERROR(VLOOKUP(A4418,'Base Prueba'!A:D,4,),"NO REGISTRA")</f>
        <v>LIDER DE REGISTRO Y CONTROL</v>
      </c>
      <c r="E4418" s="5" t="str">
        <f>IFERROR(VLOOKUP(A4418,'Base Prueba'!A:E,5,),"NO REGISTRA")</f>
        <v>REGISTRO Y CONTROL ACADEMICO</v>
      </c>
    </row>
    <row r="4419" spans="1:5" ht="15.75" x14ac:dyDescent="0.25">
      <c r="A4419" s="14">
        <v>1010184333</v>
      </c>
      <c r="B4419" s="2">
        <v>46105.326249074074</v>
      </c>
      <c r="C4419" s="3" t="str">
        <f>IFERROR(VLOOKUP(A4419,'Base Prueba'!A:C,3,),"NO REGISTRA")</f>
        <v>AKON ANDRES GARZON ALVAREZ</v>
      </c>
      <c r="D4419" s="4" t="str">
        <f>IFERROR(VLOOKUP(A4419,'Base Prueba'!A:D,4,),"NO REGISTRA")</f>
        <v>APRENDIZ UNIVERSITARIO</v>
      </c>
      <c r="E4419" s="5" t="str">
        <f>IFERROR(VLOOKUP(A4419,'Base Prueba'!A:E,5,),"NO REGISTRA")</f>
        <v>SECRETARIA GENERAL</v>
      </c>
    </row>
    <row r="4420" spans="1:5" ht="15.75" x14ac:dyDescent="0.25">
      <c r="A4420" s="14">
        <v>1032469638</v>
      </c>
      <c r="B4420" s="2">
        <v>46105.332445254629</v>
      </c>
      <c r="C4420" s="3" t="str">
        <f>IFERROR(VLOOKUP(A4420,'Base Prueba'!A:C,3,),"NO REGISTRA")</f>
        <v>MAICOL JARBEY GUALTEROS CASTAÑEDA</v>
      </c>
      <c r="D4420" s="4" t="str">
        <f>IFERROR(VLOOKUP(A4420,'Base Prueba'!A:D,4,),"NO REGISTRA")</f>
        <v>COORDINADOR DEL SISTEMA INTERNO DE ASEGURAMIENTO DE LA CALIDAD - SIAC</v>
      </c>
      <c r="E4420" s="5" t="str">
        <f>IFERROR(VLOOKUP(A4420,'Base Prueba'!A:E,5,),"NO REGISTRA")</f>
        <v>OFICINA DE PLANEACION Y GESTION DE LA CALIDAD</v>
      </c>
    </row>
    <row r="4421" spans="1:5" ht="15.75" x14ac:dyDescent="0.25">
      <c r="A4421" s="14">
        <v>1014308296</v>
      </c>
      <c r="B4421" s="2">
        <v>46105.332498263888</v>
      </c>
      <c r="C4421" s="3" t="str">
        <f>IFERROR(VLOOKUP(A4421,'Base Prueba'!A:C,3,),"NO REGISTRA")</f>
        <v>DARLENE YULIANA MORENO CELEITA</v>
      </c>
      <c r="D4421" s="4" t="str">
        <f>IFERROR(VLOOKUP(A4421,'Base Prueba'!A:D,4,),"NO REGISTRA")</f>
        <v>CAJERO PRINCIPAL</v>
      </c>
      <c r="E4421" s="5" t="str">
        <f>IFERROR(VLOOKUP(A4421,'Base Prueba'!A:E,5,),"NO REGISTRA")</f>
        <v>AREA FINANCIERA Y CONTABLE</v>
      </c>
    </row>
    <row r="4422" spans="1:5" ht="15.75" x14ac:dyDescent="0.25">
      <c r="A4422" s="14">
        <v>1049644802</v>
      </c>
      <c r="B4422" s="2">
        <v>46105.341443287034</v>
      </c>
      <c r="C4422" s="3" t="str">
        <f>IFERROR(VLOOKUP(A4422,'Base Prueba'!A:C,3,),"NO REGISTRA")</f>
        <v>DANIELA ALEXANDRA CIPAMOCHA BOSIGA</v>
      </c>
      <c r="D4422" s="4" t="str">
        <f>IFERROR(VLOOKUP(A4422,'Base Prueba'!A:D,4,),"NO REGISTRA")</f>
        <v>LIDER DE DATOS Y SERVICIOS</v>
      </c>
      <c r="E4422" s="5" t="str">
        <f>IFERROR(VLOOKUP(A4422,'Base Prueba'!A:E,5,),"NO REGISTRA")</f>
        <v>OFICINA DE PLANEACION Y GESTION DE LA CALIDAD</v>
      </c>
    </row>
    <row r="4423" spans="1:5" ht="15.75" x14ac:dyDescent="0.25">
      <c r="A4423" s="14">
        <v>1014977624</v>
      </c>
      <c r="B4423" s="2">
        <v>46105.343051967589</v>
      </c>
      <c r="C4423" s="3" t="str">
        <f>IFERROR(VLOOKUP(A4423,'Base Prueba'!A:C,3,),"NO REGISTRA")</f>
        <v>NICCOLE VALENTINA HERNANDEZ MALAVER</v>
      </c>
      <c r="D4423" s="4" t="str">
        <f>IFERROR(VLOOKUP(A4423,'Base Prueba'!A:D,4,),"NO REGISTRA")</f>
        <v>APRENDIZ UNIVERSITARIO</v>
      </c>
      <c r="E4423" s="5" t="str">
        <f>IFERROR(VLOOKUP(A4423,'Base Prueba'!A:E,5,),"NO REGISTRA")</f>
        <v>AREA FINANCIERA Y CONTABLE</v>
      </c>
    </row>
    <row r="4424" spans="1:5" ht="15.75" x14ac:dyDescent="0.25">
      <c r="A4424" s="14">
        <v>1193457976</v>
      </c>
      <c r="B4424" s="2">
        <v>46105.346492476849</v>
      </c>
      <c r="C4424" s="3" t="str">
        <f>IFERROR(VLOOKUP(A4424,'Base Prueba'!A:C,3,),"NO REGISTRA")</f>
        <v>SEDENIS RIVAS ASPRILLA</v>
      </c>
      <c r="D4424" s="4" t="str">
        <f>IFERROR(VLOOKUP(A4424,'Base Prueba'!A:D,4,),"NO REGISTRA")</f>
        <v>APRENDIZ UNIVERSITARIO</v>
      </c>
      <c r="E4424" s="5" t="str">
        <f>IFERROR(VLOOKUP(A4424,'Base Prueba'!A:E,5,),"NO REGISTRA")</f>
        <v>DEPARTAMENTO DE GESTION HUMANA</v>
      </c>
    </row>
    <row r="4425" spans="1:5" ht="15.75" x14ac:dyDescent="0.25">
      <c r="A4425" s="14">
        <v>80191732</v>
      </c>
      <c r="B4425" s="2">
        <v>46105.348439004629</v>
      </c>
      <c r="C4425" s="3" t="str">
        <f>IFERROR(VLOOKUP(A4425,'Base Prueba'!A:C,3,),"NO REGISTRA")</f>
        <v>DANIEL MAURICIO ZAMBRANO TUNJANO</v>
      </c>
      <c r="D4425" s="4" t="str">
        <f>IFERROR(VLOOKUP(A4425,'Base Prueba'!A:D,4,),"NO REGISTRA")</f>
        <v>COORDINADOR DE DISEÑO E IMAGEN INSTITUCIONAL</v>
      </c>
      <c r="E4425" s="5" t="str">
        <f>IFERROR(VLOOKUP(A4425,'Base Prueba'!A:E,5,),"NO REGISTRA")</f>
        <v>OFICINA DE MERCADEO</v>
      </c>
    </row>
    <row r="4426" spans="1:5" ht="15.75" x14ac:dyDescent="0.25">
      <c r="A4426" s="14">
        <v>1000457706</v>
      </c>
      <c r="B4426" s="2">
        <v>46105.348524189816</v>
      </c>
      <c r="C4426" s="3" t="str">
        <f>IFERROR(VLOOKUP(A4426,'Base Prueba'!A:C,3,),"NO REGISTRA")</f>
        <v>CRISTIAN DANILO ARROYO SANABRIA</v>
      </c>
      <c r="D4426" s="4" t="str">
        <f>IFERROR(VLOOKUP(A4426,'Base Prueba'!A:D,4,),"NO REGISTRA")</f>
        <v>AUXILIAR CONTABLE</v>
      </c>
      <c r="E4426" s="5" t="str">
        <f>IFERROR(VLOOKUP(A4426,'Base Prueba'!A:E,5,),"NO REGISTRA")</f>
        <v>AREA FINANCIERA Y CONTABLE</v>
      </c>
    </row>
    <row r="4427" spans="1:5" ht="15.75" x14ac:dyDescent="0.25">
      <c r="A4427" s="14">
        <v>53932358</v>
      </c>
      <c r="B4427" s="2">
        <v>46105.348545138891</v>
      </c>
      <c r="C4427" s="3" t="str">
        <f>IFERROR(VLOOKUP(A4427,'Base Prueba'!A:C,3,),"NO REGISTRA")</f>
        <v>DIANA MADELEYNE GAONA RODRIGUEZ</v>
      </c>
      <c r="D4427" s="4" t="str">
        <f>IFERROR(VLOOKUP(A4427,'Base Prueba'!A:D,4,),"NO REGISTRA")</f>
        <v>CONTADOR</v>
      </c>
      <c r="E4427" s="5" t="str">
        <f>IFERROR(VLOOKUP(A4427,'Base Prueba'!A:E,5,),"NO REGISTRA")</f>
        <v>AREA FINANCIERA Y CONTABLE</v>
      </c>
    </row>
    <row r="4428" spans="1:5" ht="15.75" x14ac:dyDescent="0.25">
      <c r="A4428" s="14">
        <v>1023883232</v>
      </c>
      <c r="B4428" s="2">
        <v>46105.349075925929</v>
      </c>
      <c r="C4428" s="3" t="str">
        <f>IFERROR(VLOOKUP(A4428,'Base Prueba'!A:C,3,),"NO REGISTRA")</f>
        <v>MONICA ANDREA ACERO URBANO</v>
      </c>
      <c r="D4428" s="4" t="str">
        <f>IFERROR(VLOOKUP(A4428,'Base Prueba'!A:D,4,),"NO REGISTRA")</f>
        <v>APOYO INTEGRAL A GESTION HUMANA</v>
      </c>
      <c r="E4428" s="5" t="str">
        <f>IFERROR(VLOOKUP(A4428,'Base Prueba'!A:E,5,),"NO REGISTRA")</f>
        <v>DEPARTAMENTO DE GESTION HUMANA</v>
      </c>
    </row>
    <row r="4429" spans="1:5" ht="15.75" x14ac:dyDescent="0.25">
      <c r="A4429" s="14">
        <v>52764929</v>
      </c>
      <c r="B4429" s="2">
        <v>46105.359438425927</v>
      </c>
      <c r="C4429" s="3" t="str">
        <f>IFERROR(VLOOKUP(A4429,'Base Prueba'!A:C,3,),"NO REGISTRA")</f>
        <v>GUERLY YOHANA DURAN RIVERA</v>
      </c>
      <c r="D4429" s="4" t="str">
        <f>IFERROR(VLOOKUP(A4429,'Base Prueba'!A:D,4,),"NO REGISTRA")</f>
        <v>LIDER DE VINCULACION COLEGIOS</v>
      </c>
      <c r="E4429" s="5" t="str">
        <f>IFERROR(VLOOKUP(A4429,'Base Prueba'!A:E,5,),"NO REGISTRA")</f>
        <v>OFICINA DE MERCADEO</v>
      </c>
    </row>
    <row r="4430" spans="1:5" ht="15.75" x14ac:dyDescent="0.25">
      <c r="A4430" s="14">
        <v>1000604979</v>
      </c>
      <c r="B4430" s="2">
        <v>46105.366301388887</v>
      </c>
      <c r="C4430" s="3" t="str">
        <f>IFERROR(VLOOKUP(A4430,'Base Prueba'!A:C,3,),"NO REGISTRA")</f>
        <v>JULIETH TATIANA PARDO PINTO</v>
      </c>
      <c r="D4430" s="4" t="str">
        <f>IFERROR(VLOOKUP(A4430,'Base Prueba'!A:D,4,),"NO REGISTRA")</f>
        <v>AUXILIAR JURIDICO</v>
      </c>
      <c r="E4430" s="5" t="str">
        <f>IFERROR(VLOOKUP(A4430,'Base Prueba'!A:E,5,),"NO REGISTRA")</f>
        <v>SECRETARIA GENERAL</v>
      </c>
    </row>
    <row r="4431" spans="1:5" ht="15.75" x14ac:dyDescent="0.25">
      <c r="A4431" s="14">
        <v>28798349</v>
      </c>
      <c r="B4431" s="2">
        <v>46105.368246874998</v>
      </c>
      <c r="C4431" s="3" t="str">
        <f>IFERROR(VLOOKUP(A4431,'Base Prueba'!A:C,3,),"NO REGISTRA")</f>
        <v>MARTHA ISABEL TOVAR WILLIAMS</v>
      </c>
      <c r="D4431" s="4" t="str">
        <f>IFERROR(VLOOKUP(A4431,'Base Prueba'!A:D,4,),"NO REGISTRA")</f>
        <v>PROMOTOR CALL CENTER</v>
      </c>
      <c r="E4431" s="5" t="str">
        <f>IFERROR(VLOOKUP(A4431,'Base Prueba'!A:E,5,),"NO REGISTRA")</f>
        <v>OFICINA DE MERCADEO</v>
      </c>
    </row>
    <row r="4432" spans="1:5" ht="15.75" x14ac:dyDescent="0.25">
      <c r="A4432" s="14">
        <v>80234243</v>
      </c>
      <c r="B4432" s="2">
        <v>46105.36829189815</v>
      </c>
      <c r="C4432" s="3" t="str">
        <f>IFERROR(VLOOKUP(A4432,'Base Prueba'!A:C,3,),"NO REGISTRA")</f>
        <v>ARGENIS MARTINEZ MARTINEZ</v>
      </c>
      <c r="D4432" s="4" t="str">
        <f>IFERROR(VLOOKUP(A4432,'Base Prueba'!A:D,4,),"NO REGISTRA")</f>
        <v>LIDER CALL CENTER</v>
      </c>
      <c r="E4432" s="5" t="str">
        <f>IFERROR(VLOOKUP(A4432,'Base Prueba'!A:E,5,),"NO REGISTRA")</f>
        <v>OFICINA DE MERCADEO</v>
      </c>
    </row>
    <row r="4433" spans="1:5" ht="15.75" x14ac:dyDescent="0.25">
      <c r="A4433" s="14">
        <v>53089882</v>
      </c>
      <c r="B4433" s="2">
        <v>46105.36967083333</v>
      </c>
      <c r="C4433" s="3" t="str">
        <f>IFERROR(VLOOKUP(A4433,'Base Prueba'!A:C,3,),"NO REGISTRA")</f>
        <v>MARIA JOHANA ESCAMILLA MARTINEZ</v>
      </c>
      <c r="D4433" s="4" t="str">
        <f>IFERROR(VLOOKUP(A4433,'Base Prueba'!A:D,4,),"NO REGISTRA")</f>
        <v>PROMOTOR DE INFORMACIÓN</v>
      </c>
      <c r="E4433" s="5" t="str">
        <f>IFERROR(VLOOKUP(A4433,'Base Prueba'!A:E,5,),"NO REGISTRA")</f>
        <v>OFICINA DE MERCADEO</v>
      </c>
    </row>
    <row r="4434" spans="1:5" ht="15.75" x14ac:dyDescent="0.25">
      <c r="A4434" s="14">
        <v>1012426741</v>
      </c>
      <c r="B4434" s="2">
        <v>46105.369810879631</v>
      </c>
      <c r="C4434" s="3" t="str">
        <f>IFERROR(VLOOKUP(A4434,'Base Prueba'!A:C,3,),"NO REGISTRA")</f>
        <v>CRISTIAN FABIAN ROJAS SANCENO</v>
      </c>
      <c r="D4434" s="4" t="str">
        <f>IFERROR(VLOOKUP(A4434,'Base Prueba'!A:D,4,),"NO REGISTRA")</f>
        <v>AUXILIAR DE REINTEGROS</v>
      </c>
      <c r="E4434" s="5" t="str">
        <f>IFERROR(VLOOKUP(A4434,'Base Prueba'!A:E,5,),"NO REGISTRA")</f>
        <v>DIRECCION DE BIENESTAR INSTITUCIONAL</v>
      </c>
    </row>
    <row r="4435" spans="1:5" ht="15.75" x14ac:dyDescent="0.25">
      <c r="A4435" s="14">
        <v>1014196857</v>
      </c>
      <c r="B4435" s="2">
        <v>46105.371151041669</v>
      </c>
      <c r="C4435" s="3" t="str">
        <f>IFERROR(VLOOKUP(A4435,'Base Prueba'!A:C,3,),"NO REGISTRA")</f>
        <v>CARLOS ANDRES JIMENEZ PARDO</v>
      </c>
      <c r="D4435" s="4" t="str">
        <f>IFERROR(VLOOKUP(A4435,'Base Prueba'!A:D,4,),"NO REGISTRA")</f>
        <v>COORDINADOR DE MARKETING DIGITAL</v>
      </c>
      <c r="E4435" s="5" t="str">
        <f>IFERROR(VLOOKUP(A4435,'Base Prueba'!A:E,5,),"NO REGISTRA")</f>
        <v>OFICINA DE MERCADEO</v>
      </c>
    </row>
    <row r="4436" spans="1:5" ht="15.75" x14ac:dyDescent="0.25">
      <c r="A4436" s="14">
        <v>52175674</v>
      </c>
      <c r="B4436" s="2">
        <v>46105.371352314818</v>
      </c>
      <c r="C4436" s="3" t="str">
        <f>IFERROR(VLOOKUP(A4436,'Base Prueba'!A:C,3,),"NO REGISTRA")</f>
        <v>LUZ YANETH GOMEZ AREVALO</v>
      </c>
      <c r="D4436" s="4" t="str">
        <f>IFERROR(VLOOKUP(A4436,'Base Prueba'!A:D,4,),"NO REGISTRA")</f>
        <v>COORDINADORA DE ADMISIONES</v>
      </c>
      <c r="E4436" s="5" t="str">
        <f>IFERROR(VLOOKUP(A4436,'Base Prueba'!A:E,5,),"NO REGISTRA")</f>
        <v>OFICINA DE MERCADEO</v>
      </c>
    </row>
    <row r="4437" spans="1:5" ht="15.75" x14ac:dyDescent="0.25">
      <c r="A4437" s="14">
        <v>1000046533</v>
      </c>
      <c r="B4437" s="2">
        <v>46105.371956712966</v>
      </c>
      <c r="C4437" s="3" t="str">
        <f>IFERROR(VLOOKUP(A4437,'Base Prueba'!A:C,3,),"NO REGISTRA")</f>
        <v>ERIKA JULIETH VALDERRAMA SANCHEZ</v>
      </c>
      <c r="D4437" s="4" t="str">
        <f>IFERROR(VLOOKUP(A4437,'Base Prueba'!A:D,4,),"NO REGISTRA")</f>
        <v>PROMOTOR CALL CENTER</v>
      </c>
      <c r="E4437" s="5" t="str">
        <f>IFERROR(VLOOKUP(A4437,'Base Prueba'!A:E,5,),"NO REGISTRA")</f>
        <v>OFICINA DE MERCADEO</v>
      </c>
    </row>
    <row r="4438" spans="1:5" ht="15.75" x14ac:dyDescent="0.25">
      <c r="A4438" s="14">
        <v>52472386</v>
      </c>
      <c r="B4438" s="2">
        <v>46105.372331944447</v>
      </c>
      <c r="C4438" s="3" t="str">
        <f>IFERROR(VLOOKUP(A4438,'Base Prueba'!A:C,3,),"NO REGISTRA")</f>
        <v>ADRIANA MARCELA MORALES PARDO</v>
      </c>
      <c r="D4438" s="4" t="str">
        <f>IFERROR(VLOOKUP(A4438,'Base Prueba'!A:D,4,),"NO REGISTRA")</f>
        <v>PROMOTOR CALL CENTER</v>
      </c>
      <c r="E4438" s="5" t="str">
        <f>IFERROR(VLOOKUP(A4438,'Base Prueba'!A:E,5,),"NO REGISTRA")</f>
        <v>OFICINA DE MERCADEO</v>
      </c>
    </row>
    <row r="4439" spans="1:5" ht="15.75" x14ac:dyDescent="0.25">
      <c r="A4439" s="14">
        <v>1032407386</v>
      </c>
      <c r="B4439" s="2">
        <v>46105.372879050927</v>
      </c>
      <c r="C4439" s="3" t="str">
        <f>IFERROR(VLOOKUP(A4439,'Base Prueba'!A:C,3,),"NO REGISTRA")</f>
        <v>GINA PAOLA BAEZ GALVIS</v>
      </c>
      <c r="D4439" s="4" t="str">
        <f>IFERROR(VLOOKUP(A4439,'Base Prueba'!A:D,4,),"NO REGISTRA")</f>
        <v>PROMOTOR CALL CENTER</v>
      </c>
      <c r="E4439" s="5" t="str">
        <f>IFERROR(VLOOKUP(A4439,'Base Prueba'!A:E,5,),"NO REGISTRA")</f>
        <v>OFICINA DE MERCADEO</v>
      </c>
    </row>
    <row r="4440" spans="1:5" ht="15.75" x14ac:dyDescent="0.25">
      <c r="A4440" s="14">
        <v>1018414290</v>
      </c>
      <c r="B4440" s="2">
        <v>46105.372984259258</v>
      </c>
      <c r="C4440" s="3" t="str">
        <f>IFERROR(VLOOKUP(A4440,'Base Prueba'!A:C,3,),"NO REGISTRA")</f>
        <v>AMANDA LISBETH RODRIGUEZ LEON</v>
      </c>
      <c r="D4440" s="4" t="str">
        <f>IFERROR(VLOOKUP(A4440,'Base Prueba'!A:D,4,),"NO REGISTRA")</f>
        <v>PROMOTOR CALL CENTER</v>
      </c>
      <c r="E4440" s="5" t="str">
        <f>IFERROR(VLOOKUP(A4440,'Base Prueba'!A:E,5,),"NO REGISTRA")</f>
        <v>OFICINA DE MERCADEO</v>
      </c>
    </row>
    <row r="4441" spans="1:5" ht="15.75" x14ac:dyDescent="0.25">
      <c r="A4441" s="14">
        <v>1018413529</v>
      </c>
      <c r="B4441" s="2">
        <v>46105.379347106478</v>
      </c>
      <c r="C4441" s="3" t="str">
        <f>IFERROR(VLOOKUP(A4441,'Base Prueba'!A:C,3,),"NO REGISTRA")</f>
        <v>FRANCY STELLA CHARRY MORENO</v>
      </c>
      <c r="D4441" s="4" t="str">
        <f>IFERROR(VLOOKUP(A4441,'Base Prueba'!A:D,4,),"NO REGISTRA")</f>
        <v>PROMOTOR COMERCIAL DEL CEA</v>
      </c>
      <c r="E4441" s="5" t="str">
        <f>IFERROR(VLOOKUP(A4441,'Base Prueba'!A:E,5,),"NO REGISTRA")</f>
        <v>OFICINA DE MERCADEO</v>
      </c>
    </row>
    <row r="4442" spans="1:5" ht="15.75" x14ac:dyDescent="0.25">
      <c r="A4442" s="14">
        <v>1023961952</v>
      </c>
      <c r="B4442" s="2">
        <v>46105.379884259259</v>
      </c>
      <c r="C4442" s="3" t="str">
        <f>IFERROR(VLOOKUP(A4442,'Base Prueba'!A:C,3,),"NO REGISTRA")</f>
        <v>ALEJANDRO PINZON MERCHAN</v>
      </c>
      <c r="D4442" s="4" t="str">
        <f>IFERROR(VLOOKUP(A4442,'Base Prueba'!A:D,4,),"NO REGISTRA")</f>
        <v>PROMOTOR CALL CENTER</v>
      </c>
      <c r="E4442" s="5" t="str">
        <f>IFERROR(VLOOKUP(A4442,'Base Prueba'!A:E,5,),"NO REGISTRA")</f>
        <v>OFICINA DE MERCADEO</v>
      </c>
    </row>
    <row r="4443" spans="1:5" ht="15.75" x14ac:dyDescent="0.25">
      <c r="A4443" s="14">
        <v>1019105003</v>
      </c>
      <c r="B4443" s="2">
        <v>46105.38081574074</v>
      </c>
      <c r="C4443" s="3" t="str">
        <f>IFERROR(VLOOKUP(A4443,'Base Prueba'!A:C,3,),"NO REGISTRA")</f>
        <v>DAISY JULIETH GASPAR MORENO</v>
      </c>
      <c r="D4443" s="4" t="str">
        <f>IFERROR(VLOOKUP(A4443,'Base Prueba'!A:D,4,),"NO REGISTRA")</f>
        <v>PROMOTOR CALL CENTER</v>
      </c>
      <c r="E4443" s="5" t="str">
        <f>IFERROR(VLOOKUP(A4443,'Base Prueba'!A:E,5,),"NO REGISTRA")</f>
        <v>OFICINA DE MERCADEO</v>
      </c>
    </row>
    <row r="4444" spans="1:5" ht="15.75" x14ac:dyDescent="0.25">
      <c r="A4444" s="14">
        <v>1016090131</v>
      </c>
      <c r="B4444" s="2">
        <v>46105.384762499998</v>
      </c>
      <c r="C4444" s="3" t="str">
        <f>IFERROR(VLOOKUP(A4444,'Base Prueba'!A:C,3,),"NO REGISTRA")</f>
        <v>NICOLAS RODRIGUEZ PACHECO</v>
      </c>
      <c r="D4444" s="4" t="str">
        <f>IFERROR(VLOOKUP(A4444,'Base Prueba'!A:D,4,),"NO REGISTRA")</f>
        <v>COORDINADOR DE COMUNICACIONES</v>
      </c>
      <c r="E4444" s="5" t="str">
        <f>IFERROR(VLOOKUP(A4444,'Base Prueba'!A:E,5,),"NO REGISTRA")</f>
        <v>OFICINA DE MERCADEO</v>
      </c>
    </row>
    <row r="4445" spans="1:5" ht="15.75" x14ac:dyDescent="0.25">
      <c r="A4445" s="14">
        <v>1033709056</v>
      </c>
      <c r="B4445" s="2">
        <v>46105.397666550925</v>
      </c>
      <c r="C4445" s="3" t="str">
        <f>IFERROR(VLOOKUP(A4445,'Base Prueba'!A:C,3,),"NO REGISTRA")</f>
        <v>YEIMY ALEXANDRA RODRIGUEZ PALACIO</v>
      </c>
      <c r="D4445" s="4" t="str">
        <f>IFERROR(VLOOKUP(A4445,'Base Prueba'!A:D,4,),"NO REGISTRA")</f>
        <v>PROMOTOR CALL CENTER</v>
      </c>
      <c r="E4445" s="5" t="str">
        <f>IFERROR(VLOOKUP(A4445,'Base Prueba'!A:E,5,),"NO REGISTRA")</f>
        <v>OFICINA DE MERCADEO</v>
      </c>
    </row>
    <row r="4446" spans="1:5" ht="15.75" x14ac:dyDescent="0.25">
      <c r="A4446" s="14">
        <v>52443092</v>
      </c>
      <c r="B4446" s="2">
        <v>46105.459554745372</v>
      </c>
      <c r="C4446" s="3" t="str">
        <f>IFERROR(VLOOKUP(A4446,'Base Prueba'!A:C,3,),"NO REGISTRA")</f>
        <v>LUZ MYRIAM SAAVEDRA CONTRERAS</v>
      </c>
      <c r="D4446" s="4" t="str">
        <f>IFERROR(VLOOKUP(A4446,'Base Prueba'!A:D,4,),"NO REGISTRA")</f>
        <v>AUXILIAR DE SERVICIOS</v>
      </c>
      <c r="E4446" s="5" t="str">
        <f>IFERROR(VLOOKUP(A4446,'Base Prueba'!A:E,5,),"NO REGISTRA")</f>
        <v>LOGISTICA Y SERVICIOS GENERALES</v>
      </c>
    </row>
    <row r="4447" spans="1:5" ht="15.75" x14ac:dyDescent="0.25">
      <c r="A4447" s="14">
        <v>79872151</v>
      </c>
      <c r="B4447" s="2">
        <v>46105.69554212963</v>
      </c>
      <c r="C4447" s="3" t="str">
        <f>IFERROR(VLOOKUP(A4447,'Base Prueba'!A:C,3,),"NO REGISTRA")</f>
        <v>HECTOR ALIRIO MARTINEZ TORRES</v>
      </c>
      <c r="D4447" s="4" t="str">
        <f>IFERROR(VLOOKUP(A4447,'Base Prueba'!A:D,4,),"NO REGISTRA")</f>
        <v>DOCENTE DE TIEMPO COMPLETO</v>
      </c>
      <c r="E4447" s="5" t="str">
        <f>IFERROR(VLOOKUP(A4447,'Base Prueba'!A:E,5,),"NO REGISTRA")</f>
        <v>CIENCIAS DE LA INFORMACION Y BIBLIOTECOLOGIA</v>
      </c>
    </row>
    <row r="4448" spans="1:5" ht="15.75" x14ac:dyDescent="0.25">
      <c r="A4448" s="14">
        <v>91283826</v>
      </c>
      <c r="B4448" s="2">
        <v>46105.701039930558</v>
      </c>
      <c r="C4448" s="3" t="str">
        <f>IFERROR(VLOOKUP(A4448,'Base Prueba'!A:C,3,),"NO REGISTRA")</f>
        <v>CARLOS ALBERTO ESPINOSA HERRERA</v>
      </c>
      <c r="D4448" s="4" t="str">
        <f>IFERROR(VLOOKUP(A4448,'Base Prueba'!A:D,4,),"NO REGISTRA")</f>
        <v>DOCENTE DE MEDIO TIEMPO</v>
      </c>
      <c r="E4448" s="5" t="str">
        <f>IFERROR(VLOOKUP(A4448,'Base Prueba'!A:E,5,),"NO REGISTRA")</f>
        <v>TECNOLOGÍA EN PRODUCCIÓN DE CONTENIDOS PERIODÍSTICOS</v>
      </c>
    </row>
    <row r="4449" spans="1:5" ht="15.75" x14ac:dyDescent="0.25">
      <c r="A4449" s="14">
        <v>1010184333</v>
      </c>
      <c r="B4449" s="2">
        <v>46105.713663310184</v>
      </c>
      <c r="C4449" s="3" t="str">
        <f>IFERROR(VLOOKUP(A4449,'Base Prueba'!A:C,3,),"NO REGISTRA")</f>
        <v>AKON ANDRES GARZON ALVAREZ</v>
      </c>
      <c r="D4449" s="4" t="str">
        <f>IFERROR(VLOOKUP(A4449,'Base Prueba'!A:D,4,),"NO REGISTRA")</f>
        <v>APRENDIZ UNIVERSITARIO</v>
      </c>
      <c r="E4449" s="5" t="str">
        <f>IFERROR(VLOOKUP(A4449,'Base Prueba'!A:E,5,),"NO REGISTRA")</f>
        <v>SECRETARIA GENERAL</v>
      </c>
    </row>
    <row r="4450" spans="1:5" ht="15.75" x14ac:dyDescent="0.25">
      <c r="A4450" s="14">
        <v>1024512067</v>
      </c>
      <c r="B4450" s="2">
        <v>46105.734425000002</v>
      </c>
      <c r="C4450" s="3" t="str">
        <f>IFERROR(VLOOKUP(A4450,'Base Prueba'!A:C,3,),"NO REGISTRA")</f>
        <v>CINDY GIOVANA SALGAR GOMEZ</v>
      </c>
      <c r="D4450" s="4" t="str">
        <f>IFERROR(VLOOKUP(A4450,'Base Prueba'!A:D,4,),"NO REGISTRA")</f>
        <v>COORDINADOR DEL SISTEMA INTEGRADO DE GESTION INSTITUCIONAL - SIGI</v>
      </c>
      <c r="E4450" s="5" t="str">
        <f>IFERROR(VLOOKUP(A4450,'Base Prueba'!A:E,5,),"NO REGISTRA")</f>
        <v>OFICINA DE PLANEACION Y GESTION DE LA CALIDAD</v>
      </c>
    </row>
    <row r="4451" spans="1:5" ht="15.75" x14ac:dyDescent="0.25">
      <c r="A4451" s="14">
        <v>1024505434</v>
      </c>
      <c r="B4451" s="2">
        <v>46105.734476157406</v>
      </c>
      <c r="C4451" s="3" t="str">
        <f>IFERROR(VLOOKUP(A4451,'Base Prueba'!A:C,3,),"NO REGISTRA")</f>
        <v>CRISTIAN ALBERTO MELO TORRES</v>
      </c>
      <c r="D4451" s="4" t="str">
        <f>IFERROR(VLOOKUP(A4451,'Base Prueba'!A:D,4,),"NO REGISTRA")</f>
        <v>COORDINADOR DE INFRAESTRUCTURA</v>
      </c>
      <c r="E4451" s="5" t="str">
        <f>IFERROR(VLOOKUP(A4451,'Base Prueba'!A:E,5,),"NO REGISTRA")</f>
        <v>VICERRECTORIA ADMINISTRATIVA Y FINANCIERA</v>
      </c>
    </row>
    <row r="4452" spans="1:5" ht="15.75" x14ac:dyDescent="0.25">
      <c r="A4452" s="14">
        <v>53089882</v>
      </c>
      <c r="B4452" s="2">
        <v>46105.749217013887</v>
      </c>
      <c r="C4452" s="3" t="str">
        <f>IFERROR(VLOOKUP(A4452,'Base Prueba'!A:C,3,),"NO REGISTRA")</f>
        <v>MARIA JOHANA ESCAMILLA MARTINEZ</v>
      </c>
      <c r="D4452" s="4" t="str">
        <f>IFERROR(VLOOKUP(A4452,'Base Prueba'!A:D,4,),"NO REGISTRA")</f>
        <v>PROMOTOR DE INFORMACIÓN</v>
      </c>
      <c r="E4452" s="5" t="str">
        <f>IFERROR(VLOOKUP(A4452,'Base Prueba'!A:E,5,),"NO REGISTRA")</f>
        <v>OFICINA DE MERCADEO</v>
      </c>
    </row>
    <row r="4453" spans="1:5" ht="15.75" x14ac:dyDescent="0.25">
      <c r="A4453" s="14">
        <v>1000467399</v>
      </c>
      <c r="B4453" s="2">
        <v>46105.750743055556</v>
      </c>
      <c r="C4453" s="3" t="str">
        <f>IFERROR(VLOOKUP(A4453,'Base Prueba'!A:C,3,),"NO REGISTRA")</f>
        <v>BRANDO ESTIVEN DIAZ QUIMBAYA</v>
      </c>
      <c r="D4453" s="4" t="str">
        <f>IFERROR(VLOOKUP(A4453,'Base Prueba'!A:D,4,),"NO REGISTRA")</f>
        <v>APRENDIZ UNIVERSITARIO</v>
      </c>
      <c r="E4453" s="5" t="str">
        <f>IFERROR(VLOOKUP(A4453,'Base Prueba'!A:E,5,),"NO REGISTRA")</f>
        <v>DEPARTAMENTO DE GESTION HUMANA</v>
      </c>
    </row>
    <row r="4454" spans="1:5" ht="15.75" x14ac:dyDescent="0.25">
      <c r="A4454" s="14">
        <v>1193457976</v>
      </c>
      <c r="B4454" s="2">
        <v>46105.751179050923</v>
      </c>
      <c r="C4454" s="3" t="str">
        <f>IFERROR(VLOOKUP(A4454,'Base Prueba'!A:C,3,),"NO REGISTRA")</f>
        <v>SEDENIS RIVAS ASPRILLA</v>
      </c>
      <c r="D4454" s="4" t="str">
        <f>IFERROR(VLOOKUP(A4454,'Base Prueba'!A:D,4,),"NO REGISTRA")</f>
        <v>APRENDIZ UNIVERSITARIO</v>
      </c>
      <c r="E4454" s="5" t="str">
        <f>IFERROR(VLOOKUP(A4454,'Base Prueba'!A:E,5,),"NO REGISTRA")</f>
        <v>DEPARTAMENTO DE GESTION HUMANA</v>
      </c>
    </row>
    <row r="4455" spans="1:5" ht="15.75" x14ac:dyDescent="0.25">
      <c r="A4455" s="14">
        <v>1022996882</v>
      </c>
      <c r="B4455" s="2">
        <v>46105.752553472223</v>
      </c>
      <c r="C4455" s="3" t="str">
        <f>IFERROR(VLOOKUP(A4455,'Base Prueba'!A:C,3,),"NO REGISTRA")</f>
        <v>NANCY BRIGITH ALDANA GUEVARA</v>
      </c>
      <c r="D4455" s="4" t="str">
        <f>IFERROR(VLOOKUP(A4455,'Base Prueba'!A:D,4,),"NO REGISTRA")</f>
        <v>COORDINADORA DE GESTIÓN HUMANA</v>
      </c>
      <c r="E4455" s="5" t="str">
        <f>IFERROR(VLOOKUP(A4455,'Base Prueba'!A:E,5,),"NO REGISTRA")</f>
        <v>DEPARTAMENTO DE GESTION HUMANA</v>
      </c>
    </row>
    <row r="4456" spans="1:5" ht="15.75" x14ac:dyDescent="0.25">
      <c r="A4456" s="14">
        <v>1049644802</v>
      </c>
      <c r="B4456" s="2">
        <v>46105.753457638886</v>
      </c>
      <c r="C4456" s="3" t="str">
        <f>IFERROR(VLOOKUP(A4456,'Base Prueba'!A:C,3,),"NO REGISTRA")</f>
        <v>DANIELA ALEXANDRA CIPAMOCHA BOSIGA</v>
      </c>
      <c r="D4456" s="4" t="str">
        <f>IFERROR(VLOOKUP(A4456,'Base Prueba'!A:D,4,),"NO REGISTRA")</f>
        <v>LIDER DE DATOS Y SERVICIOS</v>
      </c>
      <c r="E4456" s="5" t="str">
        <f>IFERROR(VLOOKUP(A4456,'Base Prueba'!A:E,5,),"NO REGISTRA")</f>
        <v>OFICINA DE PLANEACION Y GESTION DE LA CALIDAD</v>
      </c>
    </row>
    <row r="4457" spans="1:5" ht="15.75" x14ac:dyDescent="0.25">
      <c r="A4457" s="14">
        <v>1014266838</v>
      </c>
      <c r="B4457" s="2">
        <v>46105.755584722225</v>
      </c>
      <c r="C4457" s="3" t="str">
        <f>IFERROR(VLOOKUP(A4457,'Base Prueba'!A:C,3,),"NO REGISTRA")</f>
        <v>JENNIFER ASTRID ROMERO HURTADO</v>
      </c>
      <c r="D4457" s="4" t="str">
        <f>IFERROR(VLOOKUP(A4457,'Base Prueba'!A:D,4,),"NO REGISTRA")</f>
        <v>LIDER DE RECAUDO</v>
      </c>
      <c r="E4457" s="5" t="str">
        <f>IFERROR(VLOOKUP(A4457,'Base Prueba'!A:E,5,),"NO REGISTRA")</f>
        <v>AREA FINANCIERA Y CONTABLE</v>
      </c>
    </row>
    <row r="4458" spans="1:5" ht="15.75" x14ac:dyDescent="0.25">
      <c r="A4458" s="14">
        <v>1014977624</v>
      </c>
      <c r="B4458" s="2">
        <v>46105.757708217592</v>
      </c>
      <c r="C4458" s="3" t="str">
        <f>IFERROR(VLOOKUP(A4458,'Base Prueba'!A:C,3,),"NO REGISTRA")</f>
        <v>NICCOLE VALENTINA HERNANDEZ MALAVER</v>
      </c>
      <c r="D4458" s="4" t="str">
        <f>IFERROR(VLOOKUP(A4458,'Base Prueba'!A:D,4,),"NO REGISTRA")</f>
        <v>APRENDIZ UNIVERSITARIO</v>
      </c>
      <c r="E4458" s="5" t="str">
        <f>IFERROR(VLOOKUP(A4458,'Base Prueba'!A:E,5,),"NO REGISTRA")</f>
        <v>AREA FINANCIERA Y CONTABLE</v>
      </c>
    </row>
    <row r="4459" spans="1:5" ht="15.75" x14ac:dyDescent="0.25">
      <c r="A4459" s="14">
        <v>1023883232</v>
      </c>
      <c r="B4459" s="2">
        <v>46105.758788194442</v>
      </c>
      <c r="C4459" s="3" t="str">
        <f>IFERROR(VLOOKUP(A4459,'Base Prueba'!A:C,3,),"NO REGISTRA")</f>
        <v>MONICA ANDREA ACERO URBANO</v>
      </c>
      <c r="D4459" s="4" t="str">
        <f>IFERROR(VLOOKUP(A4459,'Base Prueba'!A:D,4,),"NO REGISTRA")</f>
        <v>APOYO INTEGRAL A GESTION HUMANA</v>
      </c>
      <c r="E4459" s="5" t="str">
        <f>IFERROR(VLOOKUP(A4459,'Base Prueba'!A:E,5,),"NO REGISTRA")</f>
        <v>DEPARTAMENTO DE GESTION HUMANA</v>
      </c>
    </row>
    <row r="4460" spans="1:5" ht="15.75" x14ac:dyDescent="0.25">
      <c r="A4460" s="14">
        <v>1000257136</v>
      </c>
      <c r="B4460" s="2">
        <v>46105.758857291665</v>
      </c>
      <c r="C4460" s="3" t="str">
        <f>IFERROR(VLOOKUP(A4460,'Base Prueba'!A:C,3,),"NO REGISTRA")</f>
        <v>FRANCI VALENTINA CANO PUENTES</v>
      </c>
      <c r="D4460" s="4" t="str">
        <f>IFERROR(VLOOKUP(A4460,'Base Prueba'!A:D,4,),"NO REGISTRA")</f>
        <v>AUXILIAR CONTABLE</v>
      </c>
      <c r="E4460" s="5" t="str">
        <f>IFERROR(VLOOKUP(A4460,'Base Prueba'!A:E,5,),"NO REGISTRA")</f>
        <v>AREA FINANCIERA Y CONTABLE</v>
      </c>
    </row>
    <row r="4461" spans="1:5" ht="15.75" x14ac:dyDescent="0.25">
      <c r="A4461" s="14">
        <v>1087121273</v>
      </c>
      <c r="B4461" s="2">
        <v>46105.760556944442</v>
      </c>
      <c r="C4461" s="3" t="str">
        <f>IFERROR(VLOOKUP(A4461,'Base Prueba'!A:C,3,),"NO REGISTRA")</f>
        <v>MAYRA ALEJANDRA CASTILLO ARBOLEDA</v>
      </c>
      <c r="D4461" s="4" t="str">
        <f>IFERROR(VLOOKUP(A4461,'Base Prueba'!A:D,4,),"NO REGISTRA")</f>
        <v>APOYO INTEGRAL DE MERCADEO</v>
      </c>
      <c r="E4461" s="5" t="str">
        <f>IFERROR(VLOOKUP(A4461,'Base Prueba'!A:E,5,),"NO REGISTRA")</f>
        <v>CENTRO DE GESTION DOCUMENTAL</v>
      </c>
    </row>
    <row r="4462" spans="1:5" ht="15.75" x14ac:dyDescent="0.25">
      <c r="A4462" s="14">
        <v>1032469638</v>
      </c>
      <c r="B4462" s="2">
        <v>46105.761590856484</v>
      </c>
      <c r="C4462" s="3" t="str">
        <f>IFERROR(VLOOKUP(A4462,'Base Prueba'!A:C,3,),"NO REGISTRA")</f>
        <v>MAICOL JARBEY GUALTEROS CASTAÑEDA</v>
      </c>
      <c r="D4462" s="4" t="str">
        <f>IFERROR(VLOOKUP(A4462,'Base Prueba'!A:D,4,),"NO REGISTRA")</f>
        <v>COORDINADOR DEL SISTEMA INTERNO DE ASEGURAMIENTO DE LA CALIDAD - SIAC</v>
      </c>
      <c r="E4462" s="5" t="str">
        <f>IFERROR(VLOOKUP(A4462,'Base Prueba'!A:E,5,),"NO REGISTRA")</f>
        <v>OFICINA DE PLANEACION Y GESTION DE LA CALIDAD</v>
      </c>
    </row>
    <row r="4463" spans="1:5" ht="15.75" x14ac:dyDescent="0.25">
      <c r="A4463" s="14">
        <v>1000457706</v>
      </c>
      <c r="B4463" s="2">
        <v>46105.762213310183</v>
      </c>
      <c r="C4463" s="3" t="str">
        <f>IFERROR(VLOOKUP(A4463,'Base Prueba'!A:C,3,),"NO REGISTRA")</f>
        <v>CRISTIAN DANILO ARROYO SANABRIA</v>
      </c>
      <c r="D4463" s="4" t="str">
        <f>IFERROR(VLOOKUP(A4463,'Base Prueba'!A:D,4,),"NO REGISTRA")</f>
        <v>AUXILIAR CONTABLE</v>
      </c>
      <c r="E4463" s="5" t="str">
        <f>IFERROR(VLOOKUP(A4463,'Base Prueba'!A:E,5,),"NO REGISTRA")</f>
        <v>AREA FINANCIERA Y CONTABLE</v>
      </c>
    </row>
    <row r="4464" spans="1:5" ht="15.75" x14ac:dyDescent="0.25">
      <c r="A4464" s="14">
        <v>1000324729</v>
      </c>
      <c r="B4464" s="2">
        <v>46105.766432523145</v>
      </c>
      <c r="C4464" s="3" t="str">
        <f>IFERROR(VLOOKUP(A4464,'Base Prueba'!A:C,3,),"NO REGISTRA")</f>
        <v>ANYIE VANESSA TINOCO CAMACHO</v>
      </c>
      <c r="D4464" s="4" t="str">
        <f>IFERROR(VLOOKUP(A4464,'Base Prueba'!A:D,4,),"NO REGISTRA")</f>
        <v>LIDER DE REGISTRO Y CONTROL</v>
      </c>
      <c r="E4464" s="5" t="str">
        <f>IFERROR(VLOOKUP(A4464,'Base Prueba'!A:E,5,),"NO REGISTRA")</f>
        <v>REGISTRO Y CONTROL ACADEMICO</v>
      </c>
    </row>
    <row r="4465" spans="1:5" ht="15.75" x14ac:dyDescent="0.25">
      <c r="A4465" s="14">
        <v>1013616244</v>
      </c>
      <c r="B4465" s="2">
        <v>46105.766503240739</v>
      </c>
      <c r="C4465" s="3" t="str">
        <f>IFERROR(VLOOKUP(A4465,'Base Prueba'!A:C,3,),"NO REGISTRA")</f>
        <v>DIANA CAROLINA MARIN BETANCOURT</v>
      </c>
      <c r="D4465" s="4" t="str">
        <f>IFERROR(VLOOKUP(A4465,'Base Prueba'!A:D,4,),"NO REGISTRA")</f>
        <v>AUXILIAR ADMINISTRATIVO</v>
      </c>
      <c r="E4465" s="5" t="str">
        <f>IFERROR(VLOOKUP(A4465,'Base Prueba'!A:E,5,),"NO REGISTRA")</f>
        <v>REGISTRO Y CONTROL ACADEMICO</v>
      </c>
    </row>
    <row r="4466" spans="1:5" ht="15.75" x14ac:dyDescent="0.25">
      <c r="A4466" s="14">
        <v>52175674</v>
      </c>
      <c r="B4466" s="2">
        <v>46105.771586458337</v>
      </c>
      <c r="C4466" s="3" t="str">
        <f>IFERROR(VLOOKUP(A4466,'Base Prueba'!A:C,3,),"NO REGISTRA")</f>
        <v>LUZ YANETH GOMEZ AREVALO</v>
      </c>
      <c r="D4466" s="4" t="str">
        <f>IFERROR(VLOOKUP(A4466,'Base Prueba'!A:D,4,),"NO REGISTRA")</f>
        <v>COORDINADORA DE ADMISIONES</v>
      </c>
      <c r="E4466" s="5" t="str">
        <f>IFERROR(VLOOKUP(A4466,'Base Prueba'!A:E,5,),"NO REGISTRA")</f>
        <v>OFICINA DE MERCADEO</v>
      </c>
    </row>
    <row r="4467" spans="1:5" ht="15.75" x14ac:dyDescent="0.25">
      <c r="A4467" s="14">
        <v>52764929</v>
      </c>
      <c r="B4467" s="2">
        <v>46105.772971064813</v>
      </c>
      <c r="C4467" s="3" t="str">
        <f>IFERROR(VLOOKUP(A4467,'Base Prueba'!A:C,3,),"NO REGISTRA")</f>
        <v>GUERLY YOHANA DURAN RIVERA</v>
      </c>
      <c r="D4467" s="4" t="str">
        <f>IFERROR(VLOOKUP(A4467,'Base Prueba'!A:D,4,),"NO REGISTRA")</f>
        <v>LIDER DE VINCULACION COLEGIOS</v>
      </c>
      <c r="E4467" s="5" t="str">
        <f>IFERROR(VLOOKUP(A4467,'Base Prueba'!A:E,5,),"NO REGISTRA")</f>
        <v>OFICINA DE MERCADEO</v>
      </c>
    </row>
    <row r="4468" spans="1:5" ht="15.75" x14ac:dyDescent="0.25">
      <c r="A4468" s="14">
        <v>1018413529</v>
      </c>
      <c r="B4468" s="2">
        <v>46105.774671643521</v>
      </c>
      <c r="C4468" s="3" t="str">
        <f>IFERROR(VLOOKUP(A4468,'Base Prueba'!A:C,3,),"NO REGISTRA")</f>
        <v>FRANCY STELLA CHARRY MORENO</v>
      </c>
      <c r="D4468" s="4" t="str">
        <f>IFERROR(VLOOKUP(A4468,'Base Prueba'!A:D,4,),"NO REGISTRA")</f>
        <v>PROMOTOR COMERCIAL DEL CEA</v>
      </c>
      <c r="E4468" s="5" t="str">
        <f>IFERROR(VLOOKUP(A4468,'Base Prueba'!A:E,5,),"NO REGISTRA")</f>
        <v>OFICINA DE MERCADEO</v>
      </c>
    </row>
    <row r="4469" spans="1:5" ht="15.75" x14ac:dyDescent="0.25">
      <c r="A4469" s="14">
        <v>52472386</v>
      </c>
      <c r="B4469" s="2">
        <v>46105.77507152778</v>
      </c>
      <c r="C4469" s="3" t="str">
        <f>IFERROR(VLOOKUP(A4469,'Base Prueba'!A:C,3,),"NO REGISTRA")</f>
        <v>ADRIANA MARCELA MORALES PARDO</v>
      </c>
      <c r="D4469" s="4" t="str">
        <f>IFERROR(VLOOKUP(A4469,'Base Prueba'!A:D,4,),"NO REGISTRA")</f>
        <v>PROMOTOR CALL CENTER</v>
      </c>
      <c r="E4469" s="5" t="str">
        <f>IFERROR(VLOOKUP(A4469,'Base Prueba'!A:E,5,),"NO REGISTRA")</f>
        <v>OFICINA DE MERCADEO</v>
      </c>
    </row>
    <row r="4470" spans="1:5" ht="15.75" x14ac:dyDescent="0.25">
      <c r="A4470" s="14">
        <v>80191732</v>
      </c>
      <c r="B4470" s="2">
        <v>46105.775830324077</v>
      </c>
      <c r="C4470" s="3" t="str">
        <f>IFERROR(VLOOKUP(A4470,'Base Prueba'!A:C,3,),"NO REGISTRA")</f>
        <v>DANIEL MAURICIO ZAMBRANO TUNJANO</v>
      </c>
      <c r="D4470" s="4" t="str">
        <f>IFERROR(VLOOKUP(A4470,'Base Prueba'!A:D,4,),"NO REGISTRA")</f>
        <v>COORDINADOR DE DISEÑO E IMAGEN INSTITUCIONAL</v>
      </c>
      <c r="E4470" s="5" t="str">
        <f>IFERROR(VLOOKUP(A4470,'Base Prueba'!A:E,5,),"NO REGISTRA")</f>
        <v>OFICINA DE MERCADEO</v>
      </c>
    </row>
    <row r="4471" spans="1:5" ht="15.75" x14ac:dyDescent="0.25">
      <c r="A4471" s="14">
        <v>1018414290</v>
      </c>
      <c r="B4471" s="2">
        <v>46105.776477777777</v>
      </c>
      <c r="C4471" s="3" t="str">
        <f>IFERROR(VLOOKUP(A4471,'Base Prueba'!A:C,3,),"NO REGISTRA")</f>
        <v>AMANDA LISBETH RODRIGUEZ LEON</v>
      </c>
      <c r="D4471" s="4" t="str">
        <f>IFERROR(VLOOKUP(A4471,'Base Prueba'!A:D,4,),"NO REGISTRA")</f>
        <v>PROMOTOR CALL CENTER</v>
      </c>
      <c r="E4471" s="5" t="str">
        <f>IFERROR(VLOOKUP(A4471,'Base Prueba'!A:E,5,),"NO REGISTRA")</f>
        <v>OFICINA DE MERCADEO</v>
      </c>
    </row>
    <row r="4472" spans="1:5" ht="15.75" x14ac:dyDescent="0.25">
      <c r="A4472" s="14">
        <v>1019105003</v>
      </c>
      <c r="B4472" s="2">
        <v>46105.776693287036</v>
      </c>
      <c r="C4472" s="3" t="str">
        <f>IFERROR(VLOOKUP(A4472,'Base Prueba'!A:C,3,),"NO REGISTRA")</f>
        <v>DAISY JULIETH GASPAR MORENO</v>
      </c>
      <c r="D4472" s="4" t="str">
        <f>IFERROR(VLOOKUP(A4472,'Base Prueba'!A:D,4,),"NO REGISTRA")</f>
        <v>PROMOTOR CALL CENTER</v>
      </c>
      <c r="E4472" s="5" t="str">
        <f>IFERROR(VLOOKUP(A4472,'Base Prueba'!A:E,5,),"NO REGISTRA")</f>
        <v>OFICINA DE MERCADEO</v>
      </c>
    </row>
    <row r="4473" spans="1:5" ht="15.75" x14ac:dyDescent="0.25">
      <c r="A4473" s="14">
        <v>1032407386</v>
      </c>
      <c r="B4473" s="2">
        <v>46105.776760069442</v>
      </c>
      <c r="C4473" s="3" t="str">
        <f>IFERROR(VLOOKUP(A4473,'Base Prueba'!A:C,3,),"NO REGISTRA")</f>
        <v>GINA PAOLA BAEZ GALVIS</v>
      </c>
      <c r="D4473" s="4" t="str">
        <f>IFERROR(VLOOKUP(A4473,'Base Prueba'!A:D,4,),"NO REGISTRA")</f>
        <v>PROMOTOR CALL CENTER</v>
      </c>
      <c r="E4473" s="5" t="str">
        <f>IFERROR(VLOOKUP(A4473,'Base Prueba'!A:E,5,),"NO REGISTRA")</f>
        <v>OFICINA DE MERCADEO</v>
      </c>
    </row>
    <row r="4474" spans="1:5" ht="15.75" x14ac:dyDescent="0.25">
      <c r="A4474" s="14">
        <v>1000046533</v>
      </c>
      <c r="B4474" s="2">
        <v>46105.776892245369</v>
      </c>
      <c r="C4474" s="3" t="str">
        <f>IFERROR(VLOOKUP(A4474,'Base Prueba'!A:C,3,),"NO REGISTRA")</f>
        <v>ERIKA JULIETH VALDERRAMA SANCHEZ</v>
      </c>
      <c r="D4474" s="4" t="str">
        <f>IFERROR(VLOOKUP(A4474,'Base Prueba'!A:D,4,),"NO REGISTRA")</f>
        <v>PROMOTOR CALL CENTER</v>
      </c>
      <c r="E4474" s="5" t="str">
        <f>IFERROR(VLOOKUP(A4474,'Base Prueba'!A:E,5,),"NO REGISTRA")</f>
        <v>OFICINA DE MERCADEO</v>
      </c>
    </row>
    <row r="4475" spans="1:5" ht="15.75" x14ac:dyDescent="0.25">
      <c r="A4475" s="14">
        <v>1023961952</v>
      </c>
      <c r="B4475" s="2">
        <v>46105.777880439811</v>
      </c>
      <c r="C4475" s="3" t="str">
        <f>IFERROR(VLOOKUP(A4475,'Base Prueba'!A:C,3,),"NO REGISTRA")</f>
        <v>ALEJANDRO PINZON MERCHAN</v>
      </c>
      <c r="D4475" s="4" t="str">
        <f>IFERROR(VLOOKUP(A4475,'Base Prueba'!A:D,4,),"NO REGISTRA")</f>
        <v>PROMOTOR CALL CENTER</v>
      </c>
      <c r="E4475" s="5" t="str">
        <f>IFERROR(VLOOKUP(A4475,'Base Prueba'!A:E,5,),"NO REGISTRA")</f>
        <v>OFICINA DE MERCADEO</v>
      </c>
    </row>
    <row r="4476" spans="1:5" ht="15.75" x14ac:dyDescent="0.25">
      <c r="A4476" s="14">
        <v>1033709056</v>
      </c>
      <c r="B4476" s="2">
        <v>46105.779184259256</v>
      </c>
      <c r="C4476" s="3" t="str">
        <f>IFERROR(VLOOKUP(A4476,'Base Prueba'!A:C,3,),"NO REGISTRA")</f>
        <v>YEIMY ALEXANDRA RODRIGUEZ PALACIO</v>
      </c>
      <c r="D4476" s="4" t="str">
        <f>IFERROR(VLOOKUP(A4476,'Base Prueba'!A:D,4,),"NO REGISTRA")</f>
        <v>PROMOTOR CALL CENTER</v>
      </c>
      <c r="E4476" s="5" t="str">
        <f>IFERROR(VLOOKUP(A4476,'Base Prueba'!A:E,5,),"NO REGISTRA")</f>
        <v>OFICINA DE MERCADEO</v>
      </c>
    </row>
    <row r="4477" spans="1:5" ht="15.75" x14ac:dyDescent="0.25">
      <c r="A4477" s="14">
        <v>80234243</v>
      </c>
      <c r="B4477" s="2">
        <v>46105.784100578705</v>
      </c>
      <c r="C4477" s="3" t="str">
        <f>IFERROR(VLOOKUP(A4477,'Base Prueba'!A:C,3,),"NO REGISTRA")</f>
        <v>ARGENIS MARTINEZ MARTINEZ</v>
      </c>
      <c r="D4477" s="4" t="str">
        <f>IFERROR(VLOOKUP(A4477,'Base Prueba'!A:D,4,),"NO REGISTRA")</f>
        <v>LIDER CALL CENTER</v>
      </c>
      <c r="E4477" s="5" t="str">
        <f>IFERROR(VLOOKUP(A4477,'Base Prueba'!A:E,5,),"NO REGISTRA")</f>
        <v>OFICINA DE MERCADEO</v>
      </c>
    </row>
    <row r="4478" spans="1:5" ht="15.75" x14ac:dyDescent="0.25">
      <c r="A4478" s="14">
        <v>28798349</v>
      </c>
      <c r="B4478" s="2">
        <v>46105.786345023145</v>
      </c>
      <c r="C4478" s="3" t="str">
        <f>IFERROR(VLOOKUP(A4478,'Base Prueba'!A:C,3,),"NO REGISTRA")</f>
        <v>MARTHA ISABEL TOVAR WILLIAMS</v>
      </c>
      <c r="D4478" s="4" t="str">
        <f>IFERROR(VLOOKUP(A4478,'Base Prueba'!A:D,4,),"NO REGISTRA")</f>
        <v>PROMOTOR CALL CENTER</v>
      </c>
      <c r="E4478" s="5" t="str">
        <f>IFERROR(VLOOKUP(A4478,'Base Prueba'!A:E,5,),"NO REGISTRA")</f>
        <v>OFICINA DE MERCADEO</v>
      </c>
    </row>
    <row r="4479" spans="1:5" ht="15.75" x14ac:dyDescent="0.25">
      <c r="A4479" s="14">
        <v>52443092</v>
      </c>
      <c r="B4479" s="2">
        <v>46105.790039004627</v>
      </c>
      <c r="C4479" s="3" t="str">
        <f>IFERROR(VLOOKUP(A4479,'Base Prueba'!A:C,3,),"NO REGISTRA")</f>
        <v>LUZ MYRIAM SAAVEDRA CONTRERAS</v>
      </c>
      <c r="D4479" s="4" t="str">
        <f>IFERROR(VLOOKUP(A4479,'Base Prueba'!A:D,4,),"NO REGISTRA")</f>
        <v>AUXILIAR DE SERVICIOS</v>
      </c>
      <c r="E4479" s="5" t="str">
        <f>IFERROR(VLOOKUP(A4479,'Base Prueba'!A:E,5,),"NO REGISTRA")</f>
        <v>LOGISTICA Y SERVICIOS GENERALES</v>
      </c>
    </row>
    <row r="4480" spans="1:5" ht="15.75" x14ac:dyDescent="0.25">
      <c r="A4480" s="14">
        <v>1000604979</v>
      </c>
      <c r="B4480" s="2">
        <v>46105.790627662034</v>
      </c>
      <c r="C4480" s="3" t="str">
        <f>IFERROR(VLOOKUP(A4480,'Base Prueba'!A:C,3,),"NO REGISTRA")</f>
        <v>JULIETH TATIANA PARDO PINTO</v>
      </c>
      <c r="D4480" s="4" t="str">
        <f>IFERROR(VLOOKUP(A4480,'Base Prueba'!A:D,4,),"NO REGISTRA")</f>
        <v>AUXILIAR JURIDICO</v>
      </c>
      <c r="E4480" s="5" t="str">
        <f>IFERROR(VLOOKUP(A4480,'Base Prueba'!A:E,5,),"NO REGISTRA")</f>
        <v>SECRETARIA GENERAL</v>
      </c>
    </row>
    <row r="4481" spans="1:5" ht="15.75" x14ac:dyDescent="0.25">
      <c r="A4481" s="14">
        <v>53932358</v>
      </c>
      <c r="B4481" s="2">
        <v>46105.792226851852</v>
      </c>
      <c r="C4481" s="3" t="str">
        <f>IFERROR(VLOOKUP(A4481,'Base Prueba'!A:C,3,),"NO REGISTRA")</f>
        <v>DIANA MADELEYNE GAONA RODRIGUEZ</v>
      </c>
      <c r="D4481" s="4" t="str">
        <f>IFERROR(VLOOKUP(A4481,'Base Prueba'!A:D,4,),"NO REGISTRA")</f>
        <v>CONTADOR</v>
      </c>
      <c r="E4481" s="5" t="str">
        <f>IFERROR(VLOOKUP(A4481,'Base Prueba'!A:E,5,),"NO REGISTRA")</f>
        <v>AREA FINANCIERA Y CONTABLE</v>
      </c>
    </row>
    <row r="4482" spans="1:5" ht="15.75" x14ac:dyDescent="0.25">
      <c r="A4482" s="14">
        <v>1014196857</v>
      </c>
      <c r="B4482" s="2">
        <v>46105.792505555553</v>
      </c>
      <c r="C4482" s="3" t="str">
        <f>IFERROR(VLOOKUP(A4482,'Base Prueba'!A:C,3,),"NO REGISTRA")</f>
        <v>CARLOS ANDRES JIMENEZ PARDO</v>
      </c>
      <c r="D4482" s="4" t="str">
        <f>IFERROR(VLOOKUP(A4482,'Base Prueba'!A:D,4,),"NO REGISTRA")</f>
        <v>COORDINADOR DE MARKETING DIGITAL</v>
      </c>
      <c r="E4482" s="5" t="str">
        <f>IFERROR(VLOOKUP(A4482,'Base Prueba'!A:E,5,),"NO REGISTRA")</f>
        <v>OFICINA DE MERCADEO</v>
      </c>
    </row>
    <row r="4483" spans="1:5" ht="15.75" x14ac:dyDescent="0.25">
      <c r="A4483" s="14">
        <v>52474489</v>
      </c>
      <c r="B4483" s="2">
        <v>46105.805939583333</v>
      </c>
      <c r="C4483" s="3" t="str">
        <f>IFERROR(VLOOKUP(A4483,'Base Prueba'!A:C,3,),"NO REGISTRA")</f>
        <v>ADRIANA JIMENA SOTO BOCANEGRA</v>
      </c>
      <c r="D4483" s="4" t="str">
        <f>IFERROR(VLOOKUP(A4483,'Base Prueba'!A:D,4,),"NO REGISTRA")</f>
        <v>COORDINADOR DE LA OFICINA DE REGISTRO Y CONTROL</v>
      </c>
      <c r="E4483" s="5" t="str">
        <f>IFERROR(VLOOKUP(A4483,'Base Prueba'!A:E,5,),"NO REGISTRA")</f>
        <v>REGISTRO Y CONTROL ACADEMICO</v>
      </c>
    </row>
    <row r="4484" spans="1:5" ht="15.75" x14ac:dyDescent="0.25">
      <c r="A4484" s="14">
        <v>80725196</v>
      </c>
      <c r="B4484" s="2">
        <v>46106.303168634258</v>
      </c>
      <c r="C4484" s="3" t="str">
        <f>IFERROR(VLOOKUP(A4484,'Base Prueba'!A:C,3,),"NO REGISTRA")</f>
        <v>YEISON YOSET TOVAR BARBOSA</v>
      </c>
      <c r="D4484" s="4" t="str">
        <f>IFERROR(VLOOKUP(A4484,'Base Prueba'!A:D,4,),"NO REGISTRA")</f>
        <v>LIDER GESTION DOCUMENTAL</v>
      </c>
      <c r="E4484" s="5" t="str">
        <f>IFERROR(VLOOKUP(A4484,'Base Prueba'!A:E,5,),"NO REGISTRA")</f>
        <v>CENTRO DE GESTION DOCUMENTAL</v>
      </c>
    </row>
    <row r="4485" spans="1:5" ht="15.75" x14ac:dyDescent="0.25">
      <c r="A4485" s="14">
        <v>1087121273</v>
      </c>
      <c r="B4485" s="2">
        <v>46106.311302199072</v>
      </c>
      <c r="C4485" s="3" t="str">
        <f>IFERROR(VLOOKUP(A4485,'Base Prueba'!A:C,3,),"NO REGISTRA")</f>
        <v>MAYRA ALEJANDRA CASTILLO ARBOLEDA</v>
      </c>
      <c r="D4485" s="4" t="str">
        <f>IFERROR(VLOOKUP(A4485,'Base Prueba'!A:D,4,),"NO REGISTRA")</f>
        <v>APOYO INTEGRAL DE MERCADEO</v>
      </c>
      <c r="E4485" s="5" t="str">
        <f>IFERROR(VLOOKUP(A4485,'Base Prueba'!A:E,5,),"NO REGISTRA")</f>
        <v>CENTRO DE GESTION DOCUMENTAL</v>
      </c>
    </row>
    <row r="4486" spans="1:5" ht="15.75" x14ac:dyDescent="0.25">
      <c r="A4486" s="14">
        <v>1000324729</v>
      </c>
      <c r="B4486" s="2">
        <v>46106.322454513887</v>
      </c>
      <c r="C4486" s="3" t="str">
        <f>IFERROR(VLOOKUP(A4486,'Base Prueba'!A:C,3,),"NO REGISTRA")</f>
        <v>ANYIE VANESSA TINOCO CAMACHO</v>
      </c>
      <c r="D4486" s="4" t="str">
        <f>IFERROR(VLOOKUP(A4486,'Base Prueba'!A:D,4,),"NO REGISTRA")</f>
        <v>LIDER DE REGISTRO Y CONTROL</v>
      </c>
      <c r="E4486" s="5" t="str">
        <f>IFERROR(VLOOKUP(A4486,'Base Prueba'!A:E,5,),"NO REGISTRA")</f>
        <v>REGISTRO Y CONTROL ACADEMICO</v>
      </c>
    </row>
    <row r="4487" spans="1:5" ht="15.75" x14ac:dyDescent="0.25">
      <c r="A4487" s="14">
        <v>1014308296</v>
      </c>
      <c r="B4487" s="2">
        <v>46106.324722453704</v>
      </c>
      <c r="C4487" s="3" t="str">
        <f>IFERROR(VLOOKUP(A4487,'Base Prueba'!A:C,3,),"NO REGISTRA")</f>
        <v>DARLENE YULIANA MORENO CELEITA</v>
      </c>
      <c r="D4487" s="4" t="str">
        <f>IFERROR(VLOOKUP(A4487,'Base Prueba'!A:D,4,),"NO REGISTRA")</f>
        <v>CAJERO PRINCIPAL</v>
      </c>
      <c r="E4487" s="5" t="str">
        <f>IFERROR(VLOOKUP(A4487,'Base Prueba'!A:E,5,),"NO REGISTRA")</f>
        <v>AREA FINANCIERA Y CONTABLE</v>
      </c>
    </row>
    <row r="4488" spans="1:5" ht="15.75" x14ac:dyDescent="0.25">
      <c r="A4488" s="14">
        <v>1010184333</v>
      </c>
      <c r="B4488" s="2">
        <v>46106.324834837964</v>
      </c>
      <c r="C4488" s="3" t="str">
        <f>IFERROR(VLOOKUP(A4488,'Base Prueba'!A:C,3,),"NO REGISTRA")</f>
        <v>AKON ANDRES GARZON ALVAREZ</v>
      </c>
      <c r="D4488" s="4" t="str">
        <f>IFERROR(VLOOKUP(A4488,'Base Prueba'!A:D,4,),"NO REGISTRA")</f>
        <v>APRENDIZ UNIVERSITARIO</v>
      </c>
      <c r="E4488" s="5" t="str">
        <f>IFERROR(VLOOKUP(A4488,'Base Prueba'!A:E,5,),"NO REGISTRA")</f>
        <v>SECRETARIA GENERAL</v>
      </c>
    </row>
    <row r="4489" spans="1:5" ht="15.75" x14ac:dyDescent="0.25">
      <c r="A4489" s="14">
        <v>1024512067</v>
      </c>
      <c r="B4489" s="2">
        <v>46106.325240393518</v>
      </c>
      <c r="C4489" s="3" t="str">
        <f>IFERROR(VLOOKUP(A4489,'Base Prueba'!A:C,3,),"NO REGISTRA")</f>
        <v>CINDY GIOVANA SALGAR GOMEZ</v>
      </c>
      <c r="D4489" s="4" t="str">
        <f>IFERROR(VLOOKUP(A4489,'Base Prueba'!A:D,4,),"NO REGISTRA")</f>
        <v>COORDINADOR DEL SISTEMA INTEGRADO DE GESTION INSTITUCIONAL - SIGI</v>
      </c>
      <c r="E4489" s="5" t="str">
        <f>IFERROR(VLOOKUP(A4489,'Base Prueba'!A:E,5,),"NO REGISTRA")</f>
        <v>OFICINA DE PLANEACION Y GESTION DE LA CALIDAD</v>
      </c>
    </row>
    <row r="4490" spans="1:5" ht="15.75" x14ac:dyDescent="0.25">
      <c r="A4490" s="14">
        <v>1030567635</v>
      </c>
      <c r="B4490" s="2">
        <v>46106.330085995367</v>
      </c>
      <c r="C4490" s="3" t="str">
        <f>IFERROR(VLOOKUP(A4490,'Base Prueba'!A:C,3,),"NO REGISTRA")</f>
        <v>JEFFERSON ANDRES BARRETO DIAZ</v>
      </c>
      <c r="D4490" s="4" t="str">
        <f>IFERROR(VLOOKUP(A4490,'Base Prueba'!A:D,4,),"NO REGISTRA")</f>
        <v>AUXILIAR DE ARCHIVO</v>
      </c>
      <c r="E4490" s="5" t="str">
        <f>IFERROR(VLOOKUP(A4490,'Base Prueba'!A:E,5,),"NO REGISTRA")</f>
        <v>CENTRO DE GESTION DOCUMENTAL</v>
      </c>
    </row>
    <row r="4491" spans="1:5" ht="15.75" x14ac:dyDescent="0.25">
      <c r="A4491" s="14">
        <v>1013616244</v>
      </c>
      <c r="B4491" s="2">
        <v>46106.330814236113</v>
      </c>
      <c r="C4491" s="3" t="str">
        <f>IFERROR(VLOOKUP(A4491,'Base Prueba'!A:C,3,),"NO REGISTRA")</f>
        <v>DIANA CAROLINA MARIN BETANCOURT</v>
      </c>
      <c r="D4491" s="4" t="str">
        <f>IFERROR(VLOOKUP(A4491,'Base Prueba'!A:D,4,),"NO REGISTRA")</f>
        <v>AUXILIAR ADMINISTRATIVO</v>
      </c>
      <c r="E4491" s="5" t="str">
        <f>IFERROR(VLOOKUP(A4491,'Base Prueba'!A:E,5,),"NO REGISTRA")</f>
        <v>REGISTRO Y CONTROL ACADEMICO</v>
      </c>
    </row>
    <row r="4492" spans="1:5" ht="15.75" x14ac:dyDescent="0.25">
      <c r="A4492" s="14">
        <v>80191732</v>
      </c>
      <c r="B4492" s="2">
        <v>46106.337940625002</v>
      </c>
      <c r="C4492" s="3" t="str">
        <f>IFERROR(VLOOKUP(A4492,'Base Prueba'!A:C,3,),"NO REGISTRA")</f>
        <v>DANIEL MAURICIO ZAMBRANO TUNJANO</v>
      </c>
      <c r="D4492" s="4" t="str">
        <f>IFERROR(VLOOKUP(A4492,'Base Prueba'!A:D,4,),"NO REGISTRA")</f>
        <v>COORDINADOR DE DISEÑO E IMAGEN INSTITUCIONAL</v>
      </c>
      <c r="E4492" s="5" t="str">
        <f>IFERROR(VLOOKUP(A4492,'Base Prueba'!A:E,5,),"NO REGISTRA")</f>
        <v>OFICINA DE MERCADEO</v>
      </c>
    </row>
    <row r="4493" spans="1:5" ht="15.75" x14ac:dyDescent="0.25">
      <c r="A4493" s="14">
        <v>1022996882</v>
      </c>
      <c r="B4493" s="2">
        <v>46106.339438888892</v>
      </c>
      <c r="C4493" s="3" t="str">
        <f>IFERROR(VLOOKUP(A4493,'Base Prueba'!A:C,3,),"NO REGISTRA")</f>
        <v>NANCY BRIGITH ALDANA GUEVARA</v>
      </c>
      <c r="D4493" s="4" t="str">
        <f>IFERROR(VLOOKUP(A4493,'Base Prueba'!A:D,4,),"NO REGISTRA")</f>
        <v>COORDINADORA DE GESTIÓN HUMANA</v>
      </c>
      <c r="E4493" s="5" t="str">
        <f>IFERROR(VLOOKUP(A4493,'Base Prueba'!A:E,5,),"NO REGISTRA")</f>
        <v>DEPARTAMENTO DE GESTION HUMANA</v>
      </c>
    </row>
    <row r="4494" spans="1:5" ht="15.75" x14ac:dyDescent="0.25">
      <c r="A4494" s="14">
        <v>1013098430</v>
      </c>
      <c r="B4494" s="2">
        <v>46106.339908449074</v>
      </c>
      <c r="C4494" s="3" t="str">
        <f>IFERROR(VLOOKUP(A4494,'Base Prueba'!A:C,3,),"NO REGISTRA")</f>
        <v>ANDRES FELIPE LOPEZ ROMERO</v>
      </c>
      <c r="D4494" s="4" t="str">
        <f>IFERROR(VLOOKUP(A4494,'Base Prueba'!A:D,4,),"NO REGISTRA")</f>
        <v>APRENDIZ UNIVERSITARIO</v>
      </c>
      <c r="E4494" s="5" t="str">
        <f>IFERROR(VLOOKUP(A4494,'Base Prueba'!A:E,5,),"NO REGISTRA")</f>
        <v>OFICINA DE MERCADEO</v>
      </c>
    </row>
    <row r="4495" spans="1:5" ht="15.75" x14ac:dyDescent="0.25">
      <c r="A4495" s="14">
        <v>1000257136</v>
      </c>
      <c r="B4495" s="2">
        <v>46106.343365393521</v>
      </c>
      <c r="C4495" s="3" t="str">
        <f>IFERROR(VLOOKUP(A4495,'Base Prueba'!A:C,3,),"NO REGISTRA")</f>
        <v>FRANCI VALENTINA CANO PUENTES</v>
      </c>
      <c r="D4495" s="4" t="str">
        <f>IFERROR(VLOOKUP(A4495,'Base Prueba'!A:D,4,),"NO REGISTRA")</f>
        <v>AUXILIAR CONTABLE</v>
      </c>
      <c r="E4495" s="5" t="str">
        <f>IFERROR(VLOOKUP(A4495,'Base Prueba'!A:E,5,),"NO REGISTRA")</f>
        <v>AREA FINANCIERA Y CONTABLE</v>
      </c>
    </row>
    <row r="4496" spans="1:5" ht="15.75" x14ac:dyDescent="0.25">
      <c r="A4496" s="14">
        <v>1000604979</v>
      </c>
      <c r="B4496" s="2">
        <v>46106.34684849537</v>
      </c>
      <c r="C4496" s="3" t="str">
        <f>IFERROR(VLOOKUP(A4496,'Base Prueba'!A:C,3,),"NO REGISTRA")</f>
        <v>JULIETH TATIANA PARDO PINTO</v>
      </c>
      <c r="D4496" s="4" t="str">
        <f>IFERROR(VLOOKUP(A4496,'Base Prueba'!A:D,4,),"NO REGISTRA")</f>
        <v>AUXILIAR JURIDICO</v>
      </c>
      <c r="E4496" s="5" t="str">
        <f>IFERROR(VLOOKUP(A4496,'Base Prueba'!A:E,5,),"NO REGISTRA")</f>
        <v>SECRETARIA GENERAL</v>
      </c>
    </row>
    <row r="4497" spans="1:5" ht="15.75" x14ac:dyDescent="0.25">
      <c r="A4497" s="14">
        <v>1193457976</v>
      </c>
      <c r="B4497" s="2">
        <v>46106.347028124997</v>
      </c>
      <c r="C4497" s="3" t="str">
        <f>IFERROR(VLOOKUP(A4497,'Base Prueba'!A:C,3,),"NO REGISTRA")</f>
        <v>SEDENIS RIVAS ASPRILLA</v>
      </c>
      <c r="D4497" s="4" t="str">
        <f>IFERROR(VLOOKUP(A4497,'Base Prueba'!A:D,4,),"NO REGISTRA")</f>
        <v>APRENDIZ UNIVERSITARIO</v>
      </c>
      <c r="E4497" s="5" t="str">
        <f>IFERROR(VLOOKUP(A4497,'Base Prueba'!A:E,5,),"NO REGISTRA")</f>
        <v>DEPARTAMENTO DE GESTION HUMANA</v>
      </c>
    </row>
    <row r="4498" spans="1:5" ht="15.75" x14ac:dyDescent="0.25">
      <c r="A4498" s="14">
        <v>1000457706</v>
      </c>
      <c r="B4498" s="2">
        <v>46106.347066087961</v>
      </c>
      <c r="C4498" s="3" t="str">
        <f>IFERROR(VLOOKUP(A4498,'Base Prueba'!A:C,3,),"NO REGISTRA")</f>
        <v>CRISTIAN DANILO ARROYO SANABRIA</v>
      </c>
      <c r="D4498" s="4" t="str">
        <f>IFERROR(VLOOKUP(A4498,'Base Prueba'!A:D,4,),"NO REGISTRA")</f>
        <v>AUXILIAR CONTABLE</v>
      </c>
      <c r="E4498" s="5" t="str">
        <f>IFERROR(VLOOKUP(A4498,'Base Prueba'!A:E,5,),"NO REGISTRA")</f>
        <v>AREA FINANCIERA Y CONTABLE</v>
      </c>
    </row>
    <row r="4499" spans="1:5" ht="15.75" x14ac:dyDescent="0.25">
      <c r="A4499" s="14">
        <v>1014977624</v>
      </c>
      <c r="B4499" s="2">
        <v>46106.34854791667</v>
      </c>
      <c r="C4499" s="3" t="str">
        <f>IFERROR(VLOOKUP(A4499,'Base Prueba'!A:C,3,),"NO REGISTRA")</f>
        <v>NICCOLE VALENTINA HERNANDEZ MALAVER</v>
      </c>
      <c r="D4499" s="4" t="str">
        <f>IFERROR(VLOOKUP(A4499,'Base Prueba'!A:D,4,),"NO REGISTRA")</f>
        <v>APRENDIZ UNIVERSITARIO</v>
      </c>
      <c r="E4499" s="5" t="str">
        <f>IFERROR(VLOOKUP(A4499,'Base Prueba'!A:E,5,),"NO REGISTRA")</f>
        <v>AREA FINANCIERA Y CONTABLE</v>
      </c>
    </row>
    <row r="4500" spans="1:5" ht="15.75" x14ac:dyDescent="0.25">
      <c r="A4500" s="14">
        <v>1023883232</v>
      </c>
      <c r="B4500" s="2">
        <v>46106.348822453707</v>
      </c>
      <c r="C4500" s="3" t="str">
        <f>IFERROR(VLOOKUP(A4500,'Base Prueba'!A:C,3,),"NO REGISTRA")</f>
        <v>MONICA ANDREA ACERO URBANO</v>
      </c>
      <c r="D4500" s="4" t="str">
        <f>IFERROR(VLOOKUP(A4500,'Base Prueba'!A:D,4,),"NO REGISTRA")</f>
        <v>APOYO INTEGRAL A GESTION HUMANA</v>
      </c>
      <c r="E4500" s="5" t="str">
        <f>IFERROR(VLOOKUP(A4500,'Base Prueba'!A:E,5,),"NO REGISTRA")</f>
        <v>DEPARTAMENTO DE GESTION HUMANA</v>
      </c>
    </row>
    <row r="4501" spans="1:5" ht="15.75" x14ac:dyDescent="0.25">
      <c r="A4501" s="14">
        <v>53932358</v>
      </c>
      <c r="B4501" s="2">
        <v>46106.354147106482</v>
      </c>
      <c r="C4501" s="3" t="str">
        <f>IFERROR(VLOOKUP(A4501,'Base Prueba'!A:C,3,),"NO REGISTRA")</f>
        <v>DIANA MADELEYNE GAONA RODRIGUEZ</v>
      </c>
      <c r="D4501" s="4" t="str">
        <f>IFERROR(VLOOKUP(A4501,'Base Prueba'!A:D,4,),"NO REGISTRA")</f>
        <v>CONTADOR</v>
      </c>
      <c r="E4501" s="5" t="str">
        <f>IFERROR(VLOOKUP(A4501,'Base Prueba'!A:E,5,),"NO REGISTRA")</f>
        <v>AREA FINANCIERA Y CONTABLE</v>
      </c>
    </row>
    <row r="4502" spans="1:5" ht="15.75" x14ac:dyDescent="0.25">
      <c r="A4502" s="14">
        <v>1014196857</v>
      </c>
      <c r="B4502" s="2">
        <v>46106.355822800928</v>
      </c>
      <c r="C4502" s="3" t="str">
        <f>IFERROR(VLOOKUP(A4502,'Base Prueba'!A:C,3,),"NO REGISTRA")</f>
        <v>CARLOS ANDRES JIMENEZ PARDO</v>
      </c>
      <c r="D4502" s="4" t="str">
        <f>IFERROR(VLOOKUP(A4502,'Base Prueba'!A:D,4,),"NO REGISTRA")</f>
        <v>COORDINADOR DE MARKETING DIGITAL</v>
      </c>
      <c r="E4502" s="5" t="str">
        <f>IFERROR(VLOOKUP(A4502,'Base Prueba'!A:E,5,),"NO REGISTRA")</f>
        <v>OFICINA DE MERCADEO</v>
      </c>
    </row>
    <row r="4503" spans="1:5" ht="15.75" x14ac:dyDescent="0.25">
      <c r="A4503" s="14">
        <v>1049644802</v>
      </c>
      <c r="B4503" s="2">
        <v>46106.360621064814</v>
      </c>
      <c r="C4503" s="3" t="str">
        <f>IFERROR(VLOOKUP(A4503,'Base Prueba'!A:C,3,),"NO REGISTRA")</f>
        <v>DANIELA ALEXANDRA CIPAMOCHA BOSIGA</v>
      </c>
      <c r="D4503" s="4" t="str">
        <f>IFERROR(VLOOKUP(A4503,'Base Prueba'!A:D,4,),"NO REGISTRA")</f>
        <v>LIDER DE DATOS Y SERVICIOS</v>
      </c>
      <c r="E4503" s="5" t="str">
        <f>IFERROR(VLOOKUP(A4503,'Base Prueba'!A:E,5,),"NO REGISTRA")</f>
        <v>OFICINA DE PLANEACION Y GESTION DE LA CALIDAD</v>
      </c>
    </row>
    <row r="4504" spans="1:5" ht="15.75" x14ac:dyDescent="0.25">
      <c r="A4504" s="14">
        <v>1032407386</v>
      </c>
      <c r="B4504" s="2">
        <v>46106.363088541664</v>
      </c>
      <c r="C4504" s="3" t="str">
        <f>IFERROR(VLOOKUP(A4504,'Base Prueba'!A:C,3,),"NO REGISTRA")</f>
        <v>GINA PAOLA BAEZ GALVIS</v>
      </c>
      <c r="D4504" s="4" t="str">
        <f>IFERROR(VLOOKUP(A4504,'Base Prueba'!A:D,4,),"NO REGISTRA")</f>
        <v>PROMOTOR CALL CENTER</v>
      </c>
      <c r="E4504" s="5" t="str">
        <f>IFERROR(VLOOKUP(A4504,'Base Prueba'!A:E,5,),"NO REGISTRA")</f>
        <v>OFICINA DE MERCADEO</v>
      </c>
    </row>
    <row r="4505" spans="1:5" ht="15.75" x14ac:dyDescent="0.25">
      <c r="A4505" s="14">
        <v>1033709056</v>
      </c>
      <c r="B4505" s="2">
        <v>46106.36398321759</v>
      </c>
      <c r="C4505" s="3" t="str">
        <f>IFERROR(VLOOKUP(A4505,'Base Prueba'!A:C,3,),"NO REGISTRA")</f>
        <v>YEIMY ALEXANDRA RODRIGUEZ PALACIO</v>
      </c>
      <c r="D4505" s="4" t="str">
        <f>IFERROR(VLOOKUP(A4505,'Base Prueba'!A:D,4,),"NO REGISTRA")</f>
        <v>PROMOTOR CALL CENTER</v>
      </c>
      <c r="E4505" s="5" t="str">
        <f>IFERROR(VLOOKUP(A4505,'Base Prueba'!A:E,5,),"NO REGISTRA")</f>
        <v>OFICINA DE MERCADEO</v>
      </c>
    </row>
    <row r="4506" spans="1:5" ht="15.75" x14ac:dyDescent="0.25">
      <c r="A4506" s="14">
        <v>1000593372</v>
      </c>
      <c r="B4506" s="2">
        <v>46106.365343865742</v>
      </c>
      <c r="C4506" s="3" t="str">
        <f>IFERROR(VLOOKUP(A4506,'Base Prueba'!A:C,3,),"NO REGISTRA")</f>
        <v>LAURA SOFIA CHAPARRO LOPEZ</v>
      </c>
      <c r="D4506" s="4" t="str">
        <f>IFERROR(VLOOKUP(A4506,'Base Prueba'!A:D,4,),"NO REGISTRA")</f>
        <v>AUXILIAR JURIDICO</v>
      </c>
      <c r="E4506" s="5" t="str">
        <f>IFERROR(VLOOKUP(A4506,'Base Prueba'!A:E,5,),"NO REGISTRA")</f>
        <v>SECRETARIA GENERAL</v>
      </c>
    </row>
    <row r="4507" spans="1:5" ht="15.75" x14ac:dyDescent="0.25">
      <c r="A4507" s="14">
        <v>1012426741</v>
      </c>
      <c r="B4507" s="2">
        <v>46106.368099537038</v>
      </c>
      <c r="C4507" s="3" t="str">
        <f>IFERROR(VLOOKUP(A4507,'Base Prueba'!A:C,3,),"NO REGISTRA")</f>
        <v>CRISTIAN FABIAN ROJAS SANCENO</v>
      </c>
      <c r="D4507" s="4" t="str">
        <f>IFERROR(VLOOKUP(A4507,'Base Prueba'!A:D,4,),"NO REGISTRA")</f>
        <v>AUXILIAR DE REINTEGROS</v>
      </c>
      <c r="E4507" s="5" t="str">
        <f>IFERROR(VLOOKUP(A4507,'Base Prueba'!A:E,5,),"NO REGISTRA")</f>
        <v>DIRECCION DE BIENESTAR INSTITUCIONAL</v>
      </c>
    </row>
    <row r="4508" spans="1:5" ht="15.75" x14ac:dyDescent="0.25">
      <c r="A4508" s="14">
        <v>28798349</v>
      </c>
      <c r="B4508" s="2">
        <v>46106.368351157405</v>
      </c>
      <c r="C4508" s="3" t="str">
        <f>IFERROR(VLOOKUP(A4508,'Base Prueba'!A:C,3,),"NO REGISTRA")</f>
        <v>MARTHA ISABEL TOVAR WILLIAMS</v>
      </c>
      <c r="D4508" s="4" t="str">
        <f>IFERROR(VLOOKUP(A4508,'Base Prueba'!A:D,4,),"NO REGISTRA")</f>
        <v>PROMOTOR CALL CENTER</v>
      </c>
      <c r="E4508" s="5" t="str">
        <f>IFERROR(VLOOKUP(A4508,'Base Prueba'!A:E,5,),"NO REGISTRA")</f>
        <v>OFICINA DE MERCADEO</v>
      </c>
    </row>
    <row r="4509" spans="1:5" ht="15.75" x14ac:dyDescent="0.25">
      <c r="A4509" s="14">
        <v>52472386</v>
      </c>
      <c r="B4509" s="2">
        <v>46106.369279976854</v>
      </c>
      <c r="C4509" s="3" t="str">
        <f>IFERROR(VLOOKUP(A4509,'Base Prueba'!A:C,3,),"NO REGISTRA")</f>
        <v>ADRIANA MARCELA MORALES PARDO</v>
      </c>
      <c r="D4509" s="4" t="str">
        <f>IFERROR(VLOOKUP(A4509,'Base Prueba'!A:D,4,),"NO REGISTRA")</f>
        <v>PROMOTOR CALL CENTER</v>
      </c>
      <c r="E4509" s="5" t="str">
        <f>IFERROR(VLOOKUP(A4509,'Base Prueba'!A:E,5,),"NO REGISTRA")</f>
        <v>OFICINA DE MERCADEO</v>
      </c>
    </row>
    <row r="4510" spans="1:5" ht="15.75" x14ac:dyDescent="0.25">
      <c r="A4510" s="14">
        <v>6</v>
      </c>
      <c r="B4510" s="2">
        <v>46106.371712152781</v>
      </c>
      <c r="C4510" s="3" t="str">
        <f>IFERROR(VLOOKUP(A4510,'Base Prueba'!A:C,3,),"NO REGISTRA")</f>
        <v>NO REGISTRA</v>
      </c>
      <c r="D4510" s="4" t="str">
        <f>IFERROR(VLOOKUP(A4510,'Base Prueba'!A:D,4,),"NO REGISTRA")</f>
        <v>NO REGISTRA</v>
      </c>
      <c r="E4510" s="5" t="str">
        <f>IFERROR(VLOOKUP(A4510,'Base Prueba'!A:E,5,),"NO REGISTRA")</f>
        <v>NO REGISTRA</v>
      </c>
    </row>
    <row r="4511" spans="1:5" ht="15.75" x14ac:dyDescent="0.25">
      <c r="A4511" s="14">
        <v>8595</v>
      </c>
      <c r="B4511" s="2">
        <v>46106.371754050924</v>
      </c>
      <c r="C4511" s="3" t="str">
        <f>IFERROR(VLOOKUP(A4511,'Base Prueba'!A:C,3,),"NO REGISTRA")</f>
        <v>NO REGISTRA</v>
      </c>
      <c r="D4511" s="4" t="str">
        <f>IFERROR(VLOOKUP(A4511,'Base Prueba'!A:D,4,),"NO REGISTRA")</f>
        <v>NO REGISTRA</v>
      </c>
      <c r="E4511" s="5" t="str">
        <f>IFERROR(VLOOKUP(A4511,'Base Prueba'!A:E,5,),"NO REGISTRA")</f>
        <v>NO REGISTRA</v>
      </c>
    </row>
    <row r="4512" spans="1:5" ht="15.75" x14ac:dyDescent="0.25">
      <c r="A4512" s="14">
        <v>1018413529</v>
      </c>
      <c r="B4512" s="2">
        <v>46106.371839467596</v>
      </c>
      <c r="C4512" s="3" t="str">
        <f>IFERROR(VLOOKUP(A4512,'Base Prueba'!A:C,3,),"NO REGISTRA")</f>
        <v>FRANCY STELLA CHARRY MORENO</v>
      </c>
      <c r="D4512" s="4" t="str">
        <f>IFERROR(VLOOKUP(A4512,'Base Prueba'!A:D,4,),"NO REGISTRA")</f>
        <v>PROMOTOR COMERCIAL DEL CEA</v>
      </c>
      <c r="E4512" s="5" t="str">
        <f>IFERROR(VLOOKUP(A4512,'Base Prueba'!A:E,5,),"NO REGISTRA")</f>
        <v>OFICINA DE MERCADEO</v>
      </c>
    </row>
    <row r="4513" spans="1:5" ht="15.75" x14ac:dyDescent="0.25">
      <c r="A4513" s="14">
        <v>1023961952</v>
      </c>
      <c r="B4513" s="2">
        <v>46106.371895370372</v>
      </c>
      <c r="C4513" s="3" t="str">
        <f>IFERROR(VLOOKUP(A4513,'Base Prueba'!A:C,3,),"NO REGISTRA")</f>
        <v>ALEJANDRO PINZON MERCHAN</v>
      </c>
      <c r="D4513" s="4" t="str">
        <f>IFERROR(VLOOKUP(A4513,'Base Prueba'!A:D,4,),"NO REGISTRA")</f>
        <v>PROMOTOR CALL CENTER</v>
      </c>
      <c r="E4513" s="5" t="str">
        <f>IFERROR(VLOOKUP(A4513,'Base Prueba'!A:E,5,),"NO REGISTRA")</f>
        <v>OFICINA DE MERCADEO</v>
      </c>
    </row>
    <row r="4514" spans="1:5" ht="15.75" x14ac:dyDescent="0.25">
      <c r="A4514" s="14">
        <v>1000046533</v>
      </c>
      <c r="B4514" s="2">
        <v>46106.371961574077</v>
      </c>
      <c r="C4514" s="3" t="str">
        <f>IFERROR(VLOOKUP(A4514,'Base Prueba'!A:C,3,),"NO REGISTRA")</f>
        <v>ERIKA JULIETH VALDERRAMA SANCHEZ</v>
      </c>
      <c r="D4514" s="4" t="str">
        <f>IFERROR(VLOOKUP(A4514,'Base Prueba'!A:D,4,),"NO REGISTRA")</f>
        <v>PROMOTOR CALL CENTER</v>
      </c>
      <c r="E4514" s="5" t="str">
        <f>IFERROR(VLOOKUP(A4514,'Base Prueba'!A:E,5,),"NO REGISTRA")</f>
        <v>OFICINA DE MERCADEO</v>
      </c>
    </row>
    <row r="4515" spans="1:5" ht="15.75" x14ac:dyDescent="0.25">
      <c r="A4515" s="14">
        <v>80234243</v>
      </c>
      <c r="B4515" s="2">
        <v>46106.373061805556</v>
      </c>
      <c r="C4515" s="3" t="str">
        <f>IFERROR(VLOOKUP(A4515,'Base Prueba'!A:C,3,),"NO REGISTRA")</f>
        <v>ARGENIS MARTINEZ MARTINEZ</v>
      </c>
      <c r="D4515" s="4" t="str">
        <f>IFERROR(VLOOKUP(A4515,'Base Prueba'!A:D,4,),"NO REGISTRA")</f>
        <v>LIDER CALL CENTER</v>
      </c>
      <c r="E4515" s="5" t="str">
        <f>IFERROR(VLOOKUP(A4515,'Base Prueba'!A:E,5,),"NO REGISTRA")</f>
        <v>OFICINA DE MERCADEO</v>
      </c>
    </row>
    <row r="4516" spans="1:5" ht="15.75" x14ac:dyDescent="0.25">
      <c r="A4516" s="14">
        <v>52175674</v>
      </c>
      <c r="B4516" s="2">
        <v>46106.374521180558</v>
      </c>
      <c r="C4516" s="3" t="str">
        <f>IFERROR(VLOOKUP(A4516,'Base Prueba'!A:C,3,),"NO REGISTRA")</f>
        <v>LUZ YANETH GOMEZ AREVALO</v>
      </c>
      <c r="D4516" s="4" t="str">
        <f>IFERROR(VLOOKUP(A4516,'Base Prueba'!A:D,4,),"NO REGISTRA")</f>
        <v>COORDINADORA DE ADMISIONES</v>
      </c>
      <c r="E4516" s="5" t="str">
        <f>IFERROR(VLOOKUP(A4516,'Base Prueba'!A:E,5,),"NO REGISTRA")</f>
        <v>OFICINA DE MERCADEO</v>
      </c>
    </row>
    <row r="4517" spans="1:5" ht="15.75" x14ac:dyDescent="0.25">
      <c r="A4517" s="14">
        <v>1018414290</v>
      </c>
      <c r="B4517" s="2">
        <v>46106.374875462963</v>
      </c>
      <c r="C4517" s="3" t="str">
        <f>IFERROR(VLOOKUP(A4517,'Base Prueba'!A:C,3,),"NO REGISTRA")</f>
        <v>AMANDA LISBETH RODRIGUEZ LEON</v>
      </c>
      <c r="D4517" s="4" t="str">
        <f>IFERROR(VLOOKUP(A4517,'Base Prueba'!A:D,4,),"NO REGISTRA")</f>
        <v>PROMOTOR CALL CENTER</v>
      </c>
      <c r="E4517" s="5" t="str">
        <f>IFERROR(VLOOKUP(A4517,'Base Prueba'!A:E,5,),"NO REGISTRA")</f>
        <v>OFICINA DE MERCADEO</v>
      </c>
    </row>
    <row r="4518" spans="1:5" ht="15.75" x14ac:dyDescent="0.25">
      <c r="A4518" s="14">
        <v>53089882</v>
      </c>
      <c r="B4518" s="2">
        <v>46106.376840046294</v>
      </c>
      <c r="C4518" s="3" t="str">
        <f>IFERROR(VLOOKUP(A4518,'Base Prueba'!A:C,3,),"NO REGISTRA")</f>
        <v>MARIA JOHANA ESCAMILLA MARTINEZ</v>
      </c>
      <c r="D4518" s="4" t="str">
        <f>IFERROR(VLOOKUP(A4518,'Base Prueba'!A:D,4,),"NO REGISTRA")</f>
        <v>PROMOTOR DE INFORMACIÓN</v>
      </c>
      <c r="E4518" s="5" t="str">
        <f>IFERROR(VLOOKUP(A4518,'Base Prueba'!A:E,5,),"NO REGISTRA")</f>
        <v>OFICINA DE MERCADEO</v>
      </c>
    </row>
    <row r="4519" spans="1:5" ht="15.75" x14ac:dyDescent="0.25">
      <c r="A4519" s="14">
        <v>1019105003</v>
      </c>
      <c r="B4519" s="2">
        <v>46106.379328819443</v>
      </c>
      <c r="C4519" s="3" t="str">
        <f>IFERROR(VLOOKUP(A4519,'Base Prueba'!A:C,3,),"NO REGISTRA")</f>
        <v>DAISY JULIETH GASPAR MORENO</v>
      </c>
      <c r="D4519" s="4" t="str">
        <f>IFERROR(VLOOKUP(A4519,'Base Prueba'!A:D,4,),"NO REGISTRA")</f>
        <v>PROMOTOR CALL CENTER</v>
      </c>
      <c r="E4519" s="5" t="str">
        <f>IFERROR(VLOOKUP(A4519,'Base Prueba'!A:E,5,),"NO REGISTRA")</f>
        <v>OFICINA DE MERCADEO</v>
      </c>
    </row>
    <row r="4520" spans="1:5" ht="15.75" x14ac:dyDescent="0.25">
      <c r="A4520" s="14">
        <v>52764929</v>
      </c>
      <c r="B4520" s="2">
        <v>46106.387904861112</v>
      </c>
      <c r="C4520" s="3" t="str">
        <f>IFERROR(VLOOKUP(A4520,'Base Prueba'!A:C,3,),"NO REGISTRA")</f>
        <v>GUERLY YOHANA DURAN RIVERA</v>
      </c>
      <c r="D4520" s="4" t="str">
        <f>IFERROR(VLOOKUP(A4520,'Base Prueba'!A:D,4,),"NO REGISTRA")</f>
        <v>LIDER DE VINCULACION COLEGIOS</v>
      </c>
      <c r="E4520" s="5" t="str">
        <f>IFERROR(VLOOKUP(A4520,'Base Prueba'!A:E,5,),"NO REGISTRA")</f>
        <v>OFICINA DE MERCADEO</v>
      </c>
    </row>
    <row r="4521" spans="1:5" ht="15.75" x14ac:dyDescent="0.25">
      <c r="A4521" s="14">
        <v>1016090131</v>
      </c>
      <c r="B4521" s="2">
        <v>46106.387928819444</v>
      </c>
      <c r="C4521" s="3" t="str">
        <f>IFERROR(VLOOKUP(A4521,'Base Prueba'!A:C,3,),"NO REGISTRA")</f>
        <v>NICOLAS RODRIGUEZ PACHECO</v>
      </c>
      <c r="D4521" s="4" t="str">
        <f>IFERROR(VLOOKUP(A4521,'Base Prueba'!A:D,4,),"NO REGISTRA")</f>
        <v>COORDINADOR DE COMUNICACIONES</v>
      </c>
      <c r="E4521" s="5" t="str">
        <f>IFERROR(VLOOKUP(A4521,'Base Prueba'!A:E,5,),"NO REGISTRA")</f>
        <v>OFICINA DE MERCADEO</v>
      </c>
    </row>
    <row r="4522" spans="1:5" ht="15.75" x14ac:dyDescent="0.25">
      <c r="A4522" s="14">
        <v>52443092</v>
      </c>
      <c r="B4522" s="2">
        <v>46106.461192939816</v>
      </c>
      <c r="C4522" s="3" t="str">
        <f>IFERROR(VLOOKUP(A4522,'Base Prueba'!A:C,3,),"NO REGISTRA")</f>
        <v>LUZ MYRIAM SAAVEDRA CONTRERAS</v>
      </c>
      <c r="D4522" s="4" t="str">
        <f>IFERROR(VLOOKUP(A4522,'Base Prueba'!A:D,4,),"NO REGISTRA")</f>
        <v>AUXILIAR DE SERVICIOS</v>
      </c>
      <c r="E4522" s="5" t="str">
        <f>IFERROR(VLOOKUP(A4522,'Base Prueba'!A:E,5,),"NO REGISTRA")</f>
        <v>LOGISTICA Y SERVICIOS GENERALES</v>
      </c>
    </row>
    <row r="4523" spans="1:5" ht="15.75" x14ac:dyDescent="0.25">
      <c r="A4523" s="14">
        <v>52603556</v>
      </c>
      <c r="B4523" s="2">
        <v>46106.582621064816</v>
      </c>
      <c r="C4523" s="3" t="str">
        <f>IFERROR(VLOOKUP(A4523,'Base Prueba'!A:C,3,),"NO REGISTRA")</f>
        <v>MARISOL FARFAN QUIROGA</v>
      </c>
      <c r="D4523" s="4" t="str">
        <f>IFERROR(VLOOKUP(A4523,'Base Prueba'!A:D,4,),"NO REGISTRA")</f>
        <v>AUXILIAR DE SERVICIOS</v>
      </c>
      <c r="E4523" s="5" t="str">
        <f>IFERROR(VLOOKUP(A4523,'Base Prueba'!A:E,5,),"NO REGISTRA")</f>
        <v>LOGISTICA Y SERVICIOS GENERALES</v>
      </c>
    </row>
    <row r="4524" spans="1:5" ht="15.75" x14ac:dyDescent="0.25">
      <c r="A4524" s="14">
        <v>1018413529</v>
      </c>
      <c r="B4524" s="2">
        <v>46106.690905555559</v>
      </c>
      <c r="C4524" s="3" t="str">
        <f>IFERROR(VLOOKUP(A4524,'Base Prueba'!A:C,3,),"NO REGISTRA")</f>
        <v>FRANCY STELLA CHARRY MORENO</v>
      </c>
      <c r="D4524" s="4" t="str">
        <f>IFERROR(VLOOKUP(A4524,'Base Prueba'!A:D,4,),"NO REGISTRA")</f>
        <v>PROMOTOR COMERCIAL DEL CEA</v>
      </c>
      <c r="E4524" s="5" t="str">
        <f>IFERROR(VLOOKUP(A4524,'Base Prueba'!A:E,5,),"NO REGISTRA")</f>
        <v>OFICINA DE MERCADEO</v>
      </c>
    </row>
    <row r="4525" spans="1:5" ht="15.75" x14ac:dyDescent="0.25">
      <c r="A4525" s="14">
        <v>1013098430</v>
      </c>
      <c r="B4525" s="2">
        <v>46106.7140693287</v>
      </c>
      <c r="C4525" s="3" t="str">
        <f>IFERROR(VLOOKUP(A4525,'Base Prueba'!A:C,3,),"NO REGISTRA")</f>
        <v>ANDRES FELIPE LOPEZ ROMERO</v>
      </c>
      <c r="D4525" s="4" t="str">
        <f>IFERROR(VLOOKUP(A4525,'Base Prueba'!A:D,4,),"NO REGISTRA")</f>
        <v>APRENDIZ UNIVERSITARIO</v>
      </c>
      <c r="E4525" s="5" t="str">
        <f>IFERROR(VLOOKUP(A4525,'Base Prueba'!A:E,5,),"NO REGISTRA")</f>
        <v>OFICINA DE MERCADEO</v>
      </c>
    </row>
    <row r="4526" spans="1:5" ht="15.75" x14ac:dyDescent="0.25">
      <c r="A4526" s="14">
        <v>7</v>
      </c>
      <c r="B4526" s="2">
        <v>46106.728782523147</v>
      </c>
      <c r="C4526" s="3" t="str">
        <f>IFERROR(VLOOKUP(A4526,'Base Prueba'!A:C,3,),"NO REGISTRA")</f>
        <v>NO REGISTRA</v>
      </c>
      <c r="D4526" s="4" t="str">
        <f>IFERROR(VLOOKUP(A4526,'Base Prueba'!A:D,4,),"NO REGISTRA")</f>
        <v>NO REGISTRA</v>
      </c>
      <c r="E4526" s="5" t="str">
        <f>IFERROR(VLOOKUP(A4526,'Base Prueba'!A:E,5,),"NO REGISTRA")</f>
        <v>NO REGISTRA</v>
      </c>
    </row>
    <row r="4527" spans="1:5" ht="15.75" x14ac:dyDescent="0.25">
      <c r="A4527" s="14">
        <v>1024512067</v>
      </c>
      <c r="B4527" s="2">
        <v>46106.731861342596</v>
      </c>
      <c r="C4527" s="3" t="str">
        <f>IFERROR(VLOOKUP(A4527,'Base Prueba'!A:C,3,),"NO REGISTRA")</f>
        <v>CINDY GIOVANA SALGAR GOMEZ</v>
      </c>
      <c r="D4527" s="4" t="str">
        <f>IFERROR(VLOOKUP(A4527,'Base Prueba'!A:D,4,),"NO REGISTRA")</f>
        <v>COORDINADOR DEL SISTEMA INTEGRADO DE GESTION INSTITUCIONAL - SIGI</v>
      </c>
      <c r="E4527" s="5" t="str">
        <f>IFERROR(VLOOKUP(A4527,'Base Prueba'!A:E,5,),"NO REGISTRA")</f>
        <v>OFICINA DE PLANEACION Y GESTION DE LA CALIDAD</v>
      </c>
    </row>
    <row r="4528" spans="1:5" ht="15.75" x14ac:dyDescent="0.25">
      <c r="A4528" s="14">
        <v>1010184333</v>
      </c>
      <c r="B4528" s="2">
        <v>46106.747424305555</v>
      </c>
      <c r="C4528" s="3" t="str">
        <f>IFERROR(VLOOKUP(A4528,'Base Prueba'!A:C,3,),"NO REGISTRA")</f>
        <v>AKON ANDRES GARZON ALVAREZ</v>
      </c>
      <c r="D4528" s="4" t="str">
        <f>IFERROR(VLOOKUP(A4528,'Base Prueba'!A:D,4,),"NO REGISTRA")</f>
        <v>APRENDIZ UNIVERSITARIO</v>
      </c>
      <c r="E4528" s="5" t="str">
        <f>IFERROR(VLOOKUP(A4528,'Base Prueba'!A:E,5,),"NO REGISTRA")</f>
        <v>SECRETARIA GENERAL</v>
      </c>
    </row>
    <row r="4529" spans="1:5" ht="15.75" x14ac:dyDescent="0.25">
      <c r="A4529" s="14">
        <v>1000467399</v>
      </c>
      <c r="B4529" s="2">
        <v>46106.750773958331</v>
      </c>
      <c r="C4529" s="3" t="str">
        <f>IFERROR(VLOOKUP(A4529,'Base Prueba'!A:C,3,),"NO REGISTRA")</f>
        <v>BRANDO ESTIVEN DIAZ QUIMBAYA</v>
      </c>
      <c r="D4529" s="4" t="str">
        <f>IFERROR(VLOOKUP(A4529,'Base Prueba'!A:D,4,),"NO REGISTRA")</f>
        <v>APRENDIZ UNIVERSITARIO</v>
      </c>
      <c r="E4529" s="5" t="str">
        <f>IFERROR(VLOOKUP(A4529,'Base Prueba'!A:E,5,),"NO REGISTRA")</f>
        <v>DEPARTAMENTO DE GESTION HUMANA</v>
      </c>
    </row>
    <row r="4530" spans="1:5" ht="15.75" x14ac:dyDescent="0.25">
      <c r="A4530" s="14">
        <v>1193457976</v>
      </c>
      <c r="B4530" s="2">
        <v>46106.751228587964</v>
      </c>
      <c r="C4530" s="3" t="str">
        <f>IFERROR(VLOOKUP(A4530,'Base Prueba'!A:C,3,),"NO REGISTRA")</f>
        <v>SEDENIS RIVAS ASPRILLA</v>
      </c>
      <c r="D4530" s="4" t="str">
        <f>IFERROR(VLOOKUP(A4530,'Base Prueba'!A:D,4,),"NO REGISTRA")</f>
        <v>APRENDIZ UNIVERSITARIO</v>
      </c>
      <c r="E4530" s="5" t="str">
        <f>IFERROR(VLOOKUP(A4530,'Base Prueba'!A:E,5,),"NO REGISTRA")</f>
        <v>DEPARTAMENTO DE GESTION HUMANA</v>
      </c>
    </row>
    <row r="4531" spans="1:5" ht="15.75" x14ac:dyDescent="0.25">
      <c r="A4531" s="14">
        <v>1049644802</v>
      </c>
      <c r="B4531" s="2">
        <v>46106.751310648149</v>
      </c>
      <c r="C4531" s="3" t="str">
        <f>IFERROR(VLOOKUP(A4531,'Base Prueba'!A:C,3,),"NO REGISTRA")</f>
        <v>DANIELA ALEXANDRA CIPAMOCHA BOSIGA</v>
      </c>
      <c r="D4531" s="4" t="str">
        <f>IFERROR(VLOOKUP(A4531,'Base Prueba'!A:D,4,),"NO REGISTRA")</f>
        <v>LIDER DE DATOS Y SERVICIOS</v>
      </c>
      <c r="E4531" s="5" t="str">
        <f>IFERROR(VLOOKUP(A4531,'Base Prueba'!A:E,5,),"NO REGISTRA")</f>
        <v>OFICINA DE PLANEACION Y GESTION DE LA CALIDAD</v>
      </c>
    </row>
    <row r="4532" spans="1:5" ht="15.75" x14ac:dyDescent="0.25">
      <c r="A4532" s="14">
        <v>1014308296</v>
      </c>
      <c r="B4532" s="2">
        <v>46106.752474421293</v>
      </c>
      <c r="C4532" s="3" t="str">
        <f>IFERROR(VLOOKUP(A4532,'Base Prueba'!A:C,3,),"NO REGISTRA")</f>
        <v>DARLENE YULIANA MORENO CELEITA</v>
      </c>
      <c r="D4532" s="4" t="str">
        <f>IFERROR(VLOOKUP(A4532,'Base Prueba'!A:D,4,),"NO REGISTRA")</f>
        <v>CAJERO PRINCIPAL</v>
      </c>
      <c r="E4532" s="5" t="str">
        <f>IFERROR(VLOOKUP(A4532,'Base Prueba'!A:E,5,),"NO REGISTRA")</f>
        <v>AREA FINANCIERA Y CONTABLE</v>
      </c>
    </row>
    <row r="4533" spans="1:5" ht="15.75" x14ac:dyDescent="0.25">
      <c r="A4533" s="14">
        <v>1000324729</v>
      </c>
      <c r="B4533" s="2">
        <v>46106.752765393518</v>
      </c>
      <c r="C4533" s="3" t="str">
        <f>IFERROR(VLOOKUP(A4533,'Base Prueba'!A:C,3,),"NO REGISTRA")</f>
        <v>ANYIE VANESSA TINOCO CAMACHO</v>
      </c>
      <c r="D4533" s="4" t="str">
        <f>IFERROR(VLOOKUP(A4533,'Base Prueba'!A:D,4,),"NO REGISTRA")</f>
        <v>LIDER DE REGISTRO Y CONTROL</v>
      </c>
      <c r="E4533" s="5" t="str">
        <f>IFERROR(VLOOKUP(A4533,'Base Prueba'!A:E,5,),"NO REGISTRA")</f>
        <v>REGISTRO Y CONTROL ACADEMICO</v>
      </c>
    </row>
    <row r="4534" spans="1:5" ht="15.75" x14ac:dyDescent="0.25">
      <c r="A4534" s="14">
        <v>1022996882</v>
      </c>
      <c r="B4534" s="2">
        <v>46106.753918981478</v>
      </c>
      <c r="C4534" s="3" t="str">
        <f>IFERROR(VLOOKUP(A4534,'Base Prueba'!A:C,3,),"NO REGISTRA")</f>
        <v>NANCY BRIGITH ALDANA GUEVARA</v>
      </c>
      <c r="D4534" s="4" t="str">
        <f>IFERROR(VLOOKUP(A4534,'Base Prueba'!A:D,4,),"NO REGISTRA")</f>
        <v>COORDINADORA DE GESTIÓN HUMANA</v>
      </c>
      <c r="E4534" s="5" t="str">
        <f>IFERROR(VLOOKUP(A4534,'Base Prueba'!A:E,5,),"NO REGISTRA")</f>
        <v>DEPARTAMENTO DE GESTION HUMANA</v>
      </c>
    </row>
    <row r="4535" spans="1:5" ht="15.75" x14ac:dyDescent="0.25">
      <c r="A4535" s="14">
        <v>1023883232</v>
      </c>
      <c r="B4535" s="2">
        <v>46106.754337500002</v>
      </c>
      <c r="C4535" s="3" t="str">
        <f>IFERROR(VLOOKUP(A4535,'Base Prueba'!A:C,3,),"NO REGISTRA")</f>
        <v>MONICA ANDREA ACERO URBANO</v>
      </c>
      <c r="D4535" s="4" t="str">
        <f>IFERROR(VLOOKUP(A4535,'Base Prueba'!A:D,4,),"NO REGISTRA")</f>
        <v>APOYO INTEGRAL A GESTION HUMANA</v>
      </c>
      <c r="E4535" s="5" t="str">
        <f>IFERROR(VLOOKUP(A4535,'Base Prueba'!A:E,5,),"NO REGISTRA")</f>
        <v>DEPARTAMENTO DE GESTION HUMANA</v>
      </c>
    </row>
    <row r="4536" spans="1:5" ht="15.75" x14ac:dyDescent="0.25">
      <c r="A4536" s="14">
        <v>1032469638</v>
      </c>
      <c r="B4536" s="2">
        <v>46106.754820717593</v>
      </c>
      <c r="C4536" s="3" t="str">
        <f>IFERROR(VLOOKUP(A4536,'Base Prueba'!A:C,3,),"NO REGISTRA")</f>
        <v>MAICOL JARBEY GUALTEROS CASTAÑEDA</v>
      </c>
      <c r="D4536" s="4" t="str">
        <f>IFERROR(VLOOKUP(A4536,'Base Prueba'!A:D,4,),"NO REGISTRA")</f>
        <v>COORDINADOR DEL SISTEMA INTERNO DE ASEGURAMIENTO DE LA CALIDAD - SIAC</v>
      </c>
      <c r="E4536" s="5" t="str">
        <f>IFERROR(VLOOKUP(A4536,'Base Prueba'!A:E,5,),"NO REGISTRA")</f>
        <v>OFICINA DE PLANEACION Y GESTION DE LA CALIDAD</v>
      </c>
    </row>
    <row r="4537" spans="1:5" ht="15.75" x14ac:dyDescent="0.25">
      <c r="A4537" s="14">
        <v>1000604979</v>
      </c>
      <c r="B4537" s="2">
        <v>46106.756798263887</v>
      </c>
      <c r="C4537" s="3" t="str">
        <f>IFERROR(VLOOKUP(A4537,'Base Prueba'!A:C,3,),"NO REGISTRA")</f>
        <v>JULIETH TATIANA PARDO PINTO</v>
      </c>
      <c r="D4537" s="4" t="str">
        <f>IFERROR(VLOOKUP(A4537,'Base Prueba'!A:D,4,),"NO REGISTRA")</f>
        <v>AUXILIAR JURIDICO</v>
      </c>
      <c r="E4537" s="5" t="str">
        <f>IFERROR(VLOOKUP(A4537,'Base Prueba'!A:E,5,),"NO REGISTRA")</f>
        <v>SECRETARIA GENERAL</v>
      </c>
    </row>
    <row r="4538" spans="1:5" ht="15.75" x14ac:dyDescent="0.25">
      <c r="A4538" s="14">
        <v>1000593372</v>
      </c>
      <c r="B4538" s="2">
        <v>46106.756855208332</v>
      </c>
      <c r="C4538" s="3" t="str">
        <f>IFERROR(VLOOKUP(A4538,'Base Prueba'!A:C,3,),"NO REGISTRA")</f>
        <v>LAURA SOFIA CHAPARRO LOPEZ</v>
      </c>
      <c r="D4538" s="4" t="str">
        <f>IFERROR(VLOOKUP(A4538,'Base Prueba'!A:D,4,),"NO REGISTRA")</f>
        <v>AUXILIAR JURIDICO</v>
      </c>
      <c r="E4538" s="5" t="str">
        <f>IFERROR(VLOOKUP(A4538,'Base Prueba'!A:E,5,),"NO REGISTRA")</f>
        <v>SECRETARIA GENERAL</v>
      </c>
    </row>
    <row r="4539" spans="1:5" ht="15.75" x14ac:dyDescent="0.25">
      <c r="A4539" s="14">
        <v>1014977624</v>
      </c>
      <c r="B4539" s="2">
        <v>46106.756914120371</v>
      </c>
      <c r="C4539" s="3" t="str">
        <f>IFERROR(VLOOKUP(A4539,'Base Prueba'!A:C,3,),"NO REGISTRA")</f>
        <v>NICCOLE VALENTINA HERNANDEZ MALAVER</v>
      </c>
      <c r="D4539" s="4" t="str">
        <f>IFERROR(VLOOKUP(A4539,'Base Prueba'!A:D,4,),"NO REGISTRA")</f>
        <v>APRENDIZ UNIVERSITARIO</v>
      </c>
      <c r="E4539" s="5" t="str">
        <f>IFERROR(VLOOKUP(A4539,'Base Prueba'!A:E,5,),"NO REGISTRA")</f>
        <v>AREA FINANCIERA Y CONTABLE</v>
      </c>
    </row>
    <row r="4540" spans="1:5" ht="15.75" x14ac:dyDescent="0.25">
      <c r="A4540" s="14">
        <v>1000257136</v>
      </c>
      <c r="B4540" s="2">
        <v>46106.757156828702</v>
      </c>
      <c r="C4540" s="3" t="str">
        <f>IFERROR(VLOOKUP(A4540,'Base Prueba'!A:C,3,),"NO REGISTRA")</f>
        <v>FRANCI VALENTINA CANO PUENTES</v>
      </c>
      <c r="D4540" s="4" t="str">
        <f>IFERROR(VLOOKUP(A4540,'Base Prueba'!A:D,4,),"NO REGISTRA")</f>
        <v>AUXILIAR CONTABLE</v>
      </c>
      <c r="E4540" s="5" t="str">
        <f>IFERROR(VLOOKUP(A4540,'Base Prueba'!A:E,5,),"NO REGISTRA")</f>
        <v>AREA FINANCIERA Y CONTABLE</v>
      </c>
    </row>
    <row r="4541" spans="1:5" ht="15.75" x14ac:dyDescent="0.25">
      <c r="A4541" s="14">
        <v>1014266838</v>
      </c>
      <c r="B4541" s="2">
        <v>46106.759323726852</v>
      </c>
      <c r="C4541" s="3" t="str">
        <f>IFERROR(VLOOKUP(A4541,'Base Prueba'!A:C,3,),"NO REGISTRA")</f>
        <v>JENNIFER ASTRID ROMERO HURTADO</v>
      </c>
      <c r="D4541" s="4" t="str">
        <f>IFERROR(VLOOKUP(A4541,'Base Prueba'!A:D,4,),"NO REGISTRA")</f>
        <v>LIDER DE RECAUDO</v>
      </c>
      <c r="E4541" s="5" t="str">
        <f>IFERROR(VLOOKUP(A4541,'Base Prueba'!A:E,5,),"NO REGISTRA")</f>
        <v>AREA FINANCIERA Y CONTABLE</v>
      </c>
    </row>
    <row r="4542" spans="1:5" ht="15.75" x14ac:dyDescent="0.25">
      <c r="A4542" s="14">
        <v>1000457706</v>
      </c>
      <c r="B4542" s="2">
        <v>46106.759959953706</v>
      </c>
      <c r="C4542" s="3" t="str">
        <f>IFERROR(VLOOKUP(A4542,'Base Prueba'!A:C,3,),"NO REGISTRA")</f>
        <v>CRISTIAN DANILO ARROYO SANABRIA</v>
      </c>
      <c r="D4542" s="4" t="str">
        <f>IFERROR(VLOOKUP(A4542,'Base Prueba'!A:D,4,),"NO REGISTRA")</f>
        <v>AUXILIAR CONTABLE</v>
      </c>
      <c r="E4542" s="5" t="str">
        <f>IFERROR(VLOOKUP(A4542,'Base Prueba'!A:E,5,),"NO REGISTRA")</f>
        <v>AREA FINANCIERA Y CONTABLE</v>
      </c>
    </row>
    <row r="4543" spans="1:5" ht="15.75" x14ac:dyDescent="0.25">
      <c r="A4543" s="14">
        <v>1087121273</v>
      </c>
      <c r="B4543" s="2">
        <v>46106.766299305556</v>
      </c>
      <c r="C4543" s="3" t="str">
        <f>IFERROR(VLOOKUP(A4543,'Base Prueba'!A:C,3,),"NO REGISTRA")</f>
        <v>MAYRA ALEJANDRA CASTILLO ARBOLEDA</v>
      </c>
      <c r="D4543" s="4" t="str">
        <f>IFERROR(VLOOKUP(A4543,'Base Prueba'!A:D,4,),"NO REGISTRA")</f>
        <v>APOYO INTEGRAL DE MERCADEO</v>
      </c>
      <c r="E4543" s="5" t="str">
        <f>IFERROR(VLOOKUP(A4543,'Base Prueba'!A:E,5,),"NO REGISTRA")</f>
        <v>CENTRO DE GESTION DOCUMENTAL</v>
      </c>
    </row>
    <row r="4544" spans="1:5" ht="15.75" x14ac:dyDescent="0.25">
      <c r="A4544" s="14">
        <v>1012426741</v>
      </c>
      <c r="B4544" s="2">
        <v>46106.77094328704</v>
      </c>
      <c r="C4544" s="3" t="str">
        <f>IFERROR(VLOOKUP(A4544,'Base Prueba'!A:C,3,),"NO REGISTRA")</f>
        <v>CRISTIAN FABIAN ROJAS SANCENO</v>
      </c>
      <c r="D4544" s="4" t="str">
        <f>IFERROR(VLOOKUP(A4544,'Base Prueba'!A:D,4,),"NO REGISTRA")</f>
        <v>AUXILIAR DE REINTEGROS</v>
      </c>
      <c r="E4544" s="5" t="str">
        <f>IFERROR(VLOOKUP(A4544,'Base Prueba'!A:E,5,),"NO REGISTRA")</f>
        <v>DIRECCION DE BIENESTAR INSTITUCIONAL</v>
      </c>
    </row>
    <row r="4545" spans="1:5" ht="15.75" x14ac:dyDescent="0.25">
      <c r="A4545" s="14">
        <v>1000046533</v>
      </c>
      <c r="B4545" s="2">
        <v>46106.771987499997</v>
      </c>
      <c r="C4545" s="3" t="str">
        <f>IFERROR(VLOOKUP(A4545,'Base Prueba'!A:C,3,),"NO REGISTRA")</f>
        <v>ERIKA JULIETH VALDERRAMA SANCHEZ</v>
      </c>
      <c r="D4545" s="4" t="str">
        <f>IFERROR(VLOOKUP(A4545,'Base Prueba'!A:D,4,),"NO REGISTRA")</f>
        <v>PROMOTOR CALL CENTER</v>
      </c>
      <c r="E4545" s="5" t="str">
        <f>IFERROR(VLOOKUP(A4545,'Base Prueba'!A:E,5,),"NO REGISTRA")</f>
        <v>OFICINA DE MERCADEO</v>
      </c>
    </row>
    <row r="4546" spans="1:5" ht="15.75" x14ac:dyDescent="0.25">
      <c r="A4546" s="14">
        <v>80191732</v>
      </c>
      <c r="B4546" s="2">
        <v>46106.772170023149</v>
      </c>
      <c r="C4546" s="3" t="str">
        <f>IFERROR(VLOOKUP(A4546,'Base Prueba'!A:C,3,),"NO REGISTRA")</f>
        <v>DANIEL MAURICIO ZAMBRANO TUNJANO</v>
      </c>
      <c r="D4546" s="4" t="str">
        <f>IFERROR(VLOOKUP(A4546,'Base Prueba'!A:D,4,),"NO REGISTRA")</f>
        <v>COORDINADOR DE DISEÑO E IMAGEN INSTITUCIONAL</v>
      </c>
      <c r="E4546" s="5" t="str">
        <f>IFERROR(VLOOKUP(A4546,'Base Prueba'!A:E,5,),"NO REGISTRA")</f>
        <v>OFICINA DE MERCADEO</v>
      </c>
    </row>
    <row r="4547" spans="1:5" ht="15.75" x14ac:dyDescent="0.25">
      <c r="A4547" s="14">
        <v>1019105003</v>
      </c>
      <c r="B4547" s="2">
        <v>46106.776198495369</v>
      </c>
      <c r="C4547" s="3" t="str">
        <f>IFERROR(VLOOKUP(A4547,'Base Prueba'!A:C,3,),"NO REGISTRA")</f>
        <v>DAISY JULIETH GASPAR MORENO</v>
      </c>
      <c r="D4547" s="4" t="str">
        <f>IFERROR(VLOOKUP(A4547,'Base Prueba'!A:D,4,),"NO REGISTRA")</f>
        <v>PROMOTOR CALL CENTER</v>
      </c>
      <c r="E4547" s="5" t="str">
        <f>IFERROR(VLOOKUP(A4547,'Base Prueba'!A:E,5,),"NO REGISTRA")</f>
        <v>OFICINA DE MERCADEO</v>
      </c>
    </row>
    <row r="4548" spans="1:5" ht="15.75" x14ac:dyDescent="0.25">
      <c r="A4548" s="14">
        <v>53932358</v>
      </c>
      <c r="B4548" s="2">
        <v>46106.776935416667</v>
      </c>
      <c r="C4548" s="3" t="str">
        <f>IFERROR(VLOOKUP(A4548,'Base Prueba'!A:C,3,),"NO REGISTRA")</f>
        <v>DIANA MADELEYNE GAONA RODRIGUEZ</v>
      </c>
      <c r="D4548" s="4" t="str">
        <f>IFERROR(VLOOKUP(A4548,'Base Prueba'!A:D,4,),"NO REGISTRA")</f>
        <v>CONTADOR</v>
      </c>
      <c r="E4548" s="5" t="str">
        <f>IFERROR(VLOOKUP(A4548,'Base Prueba'!A:E,5,),"NO REGISTRA")</f>
        <v>AREA FINANCIERA Y CONTABLE</v>
      </c>
    </row>
    <row r="4549" spans="1:5" ht="15.75" x14ac:dyDescent="0.25">
      <c r="A4549" s="14">
        <v>52472386</v>
      </c>
      <c r="B4549" s="2">
        <v>46106.777340856483</v>
      </c>
      <c r="C4549" s="3" t="str">
        <f>IFERROR(VLOOKUP(A4549,'Base Prueba'!A:C,3,),"NO REGISTRA")</f>
        <v>ADRIANA MARCELA MORALES PARDO</v>
      </c>
      <c r="D4549" s="4" t="str">
        <f>IFERROR(VLOOKUP(A4549,'Base Prueba'!A:D,4,),"NO REGISTRA")</f>
        <v>PROMOTOR CALL CENTER</v>
      </c>
      <c r="E4549" s="5" t="str">
        <f>IFERROR(VLOOKUP(A4549,'Base Prueba'!A:E,5,),"NO REGISTRA")</f>
        <v>OFICINA DE MERCADEO</v>
      </c>
    </row>
    <row r="4550" spans="1:5" ht="15.75" x14ac:dyDescent="0.25">
      <c r="A4550" s="14">
        <v>53089882</v>
      </c>
      <c r="B4550" s="2">
        <v>46106.78003425926</v>
      </c>
      <c r="C4550" s="3" t="str">
        <f>IFERROR(VLOOKUP(A4550,'Base Prueba'!A:C,3,),"NO REGISTRA")</f>
        <v>MARIA JOHANA ESCAMILLA MARTINEZ</v>
      </c>
      <c r="D4550" s="4" t="str">
        <f>IFERROR(VLOOKUP(A4550,'Base Prueba'!A:D,4,),"NO REGISTRA")</f>
        <v>PROMOTOR DE INFORMACIÓN</v>
      </c>
      <c r="E4550" s="5" t="str">
        <f>IFERROR(VLOOKUP(A4550,'Base Prueba'!A:E,5,),"NO REGISTRA")</f>
        <v>OFICINA DE MERCADEO</v>
      </c>
    </row>
    <row r="4551" spans="1:5" ht="15.75" x14ac:dyDescent="0.25">
      <c r="A4551" s="14">
        <v>1033709056</v>
      </c>
      <c r="B4551" s="2">
        <v>46106.780097916664</v>
      </c>
      <c r="C4551" s="3" t="str">
        <f>IFERROR(VLOOKUP(A4551,'Base Prueba'!A:C,3,),"NO REGISTRA")</f>
        <v>YEIMY ALEXANDRA RODRIGUEZ PALACIO</v>
      </c>
      <c r="D4551" s="4" t="str">
        <f>IFERROR(VLOOKUP(A4551,'Base Prueba'!A:D,4,),"NO REGISTRA")</f>
        <v>PROMOTOR CALL CENTER</v>
      </c>
      <c r="E4551" s="5" t="str">
        <f>IFERROR(VLOOKUP(A4551,'Base Prueba'!A:E,5,),"NO REGISTRA")</f>
        <v>OFICINA DE MERCADEO</v>
      </c>
    </row>
    <row r="4552" spans="1:5" ht="15.75" x14ac:dyDescent="0.25">
      <c r="A4552" s="14">
        <v>1023961952</v>
      </c>
      <c r="B4552" s="2">
        <v>46106.780384027777</v>
      </c>
      <c r="C4552" s="3" t="str">
        <f>IFERROR(VLOOKUP(A4552,'Base Prueba'!A:C,3,),"NO REGISTRA")</f>
        <v>ALEJANDRO PINZON MERCHAN</v>
      </c>
      <c r="D4552" s="4" t="str">
        <f>IFERROR(VLOOKUP(A4552,'Base Prueba'!A:D,4,),"NO REGISTRA")</f>
        <v>PROMOTOR CALL CENTER</v>
      </c>
      <c r="E4552" s="5" t="str">
        <f>IFERROR(VLOOKUP(A4552,'Base Prueba'!A:E,5,),"NO REGISTRA")</f>
        <v>OFICINA DE MERCADEO</v>
      </c>
    </row>
    <row r="4553" spans="1:5" ht="15.75" x14ac:dyDescent="0.25">
      <c r="A4553" s="14">
        <v>28798349</v>
      </c>
      <c r="B4553" s="2">
        <v>46106.780417476853</v>
      </c>
      <c r="C4553" s="3" t="str">
        <f>IFERROR(VLOOKUP(A4553,'Base Prueba'!A:C,3,),"NO REGISTRA")</f>
        <v>MARTHA ISABEL TOVAR WILLIAMS</v>
      </c>
      <c r="D4553" s="4" t="str">
        <f>IFERROR(VLOOKUP(A4553,'Base Prueba'!A:D,4,),"NO REGISTRA")</f>
        <v>PROMOTOR CALL CENTER</v>
      </c>
      <c r="E4553" s="5" t="str">
        <f>IFERROR(VLOOKUP(A4553,'Base Prueba'!A:E,5,),"NO REGISTRA")</f>
        <v>OFICINA DE MERCADEO</v>
      </c>
    </row>
    <row r="4554" spans="1:5" ht="15.75" x14ac:dyDescent="0.25">
      <c r="A4554" s="14">
        <v>1018414290</v>
      </c>
      <c r="B4554" s="2">
        <v>46106.781175578704</v>
      </c>
      <c r="C4554" s="3" t="str">
        <f>IFERROR(VLOOKUP(A4554,'Base Prueba'!A:C,3,),"NO REGISTRA")</f>
        <v>AMANDA LISBETH RODRIGUEZ LEON</v>
      </c>
      <c r="D4554" s="4" t="str">
        <f>IFERROR(VLOOKUP(A4554,'Base Prueba'!A:D,4,),"NO REGISTRA")</f>
        <v>PROMOTOR CALL CENTER</v>
      </c>
      <c r="E4554" s="5" t="str">
        <f>IFERROR(VLOOKUP(A4554,'Base Prueba'!A:E,5,),"NO REGISTRA")</f>
        <v>OFICINA DE MERCADEO</v>
      </c>
    </row>
    <row r="4555" spans="1:5" ht="15.75" x14ac:dyDescent="0.25">
      <c r="A4555" s="14">
        <v>1032407386</v>
      </c>
      <c r="B4555" s="2">
        <v>46106.781458564816</v>
      </c>
      <c r="C4555" s="3" t="str">
        <f>IFERROR(VLOOKUP(A4555,'Base Prueba'!A:C,3,),"NO REGISTRA")</f>
        <v>GINA PAOLA BAEZ GALVIS</v>
      </c>
      <c r="D4555" s="4" t="str">
        <f>IFERROR(VLOOKUP(A4555,'Base Prueba'!A:D,4,),"NO REGISTRA")</f>
        <v>PROMOTOR CALL CENTER</v>
      </c>
      <c r="E4555" s="5" t="str">
        <f>IFERROR(VLOOKUP(A4555,'Base Prueba'!A:E,5,),"NO REGISTRA")</f>
        <v>OFICINA DE MERCADEO</v>
      </c>
    </row>
    <row r="4556" spans="1:5" ht="15.75" x14ac:dyDescent="0.25">
      <c r="A4556" s="14">
        <v>80234243</v>
      </c>
      <c r="B4556" s="2">
        <v>46106.784214814812</v>
      </c>
      <c r="C4556" s="3" t="str">
        <f>IFERROR(VLOOKUP(A4556,'Base Prueba'!A:C,3,),"NO REGISTRA")</f>
        <v>ARGENIS MARTINEZ MARTINEZ</v>
      </c>
      <c r="D4556" s="4" t="str">
        <f>IFERROR(VLOOKUP(A4556,'Base Prueba'!A:D,4,),"NO REGISTRA")</f>
        <v>LIDER CALL CENTER</v>
      </c>
      <c r="E4556" s="5" t="str">
        <f>IFERROR(VLOOKUP(A4556,'Base Prueba'!A:E,5,),"NO REGISTRA")</f>
        <v>OFICINA DE MERCADEO</v>
      </c>
    </row>
    <row r="4557" spans="1:5" ht="15.75" x14ac:dyDescent="0.25">
      <c r="A4557" s="14">
        <v>1014196857</v>
      </c>
      <c r="B4557" s="2">
        <v>46106.785037152775</v>
      </c>
      <c r="C4557" s="3" t="str">
        <f>IFERROR(VLOOKUP(A4557,'Base Prueba'!A:C,3,),"NO REGISTRA")</f>
        <v>CARLOS ANDRES JIMENEZ PARDO</v>
      </c>
      <c r="D4557" s="4" t="str">
        <f>IFERROR(VLOOKUP(A4557,'Base Prueba'!A:D,4,),"NO REGISTRA")</f>
        <v>COORDINADOR DE MARKETING DIGITAL</v>
      </c>
      <c r="E4557" s="5" t="str">
        <f>IFERROR(VLOOKUP(A4557,'Base Prueba'!A:E,5,),"NO REGISTRA")</f>
        <v>OFICINA DE MERCADEO</v>
      </c>
    </row>
    <row r="4558" spans="1:5" ht="15.75" x14ac:dyDescent="0.25">
      <c r="A4558" s="14">
        <v>52474489</v>
      </c>
      <c r="B4558" s="2">
        <v>46106.788856018517</v>
      </c>
      <c r="C4558" s="3" t="str">
        <f>IFERROR(VLOOKUP(A4558,'Base Prueba'!A:C,3,),"NO REGISTRA")</f>
        <v>ADRIANA JIMENA SOTO BOCANEGRA</v>
      </c>
      <c r="D4558" s="4" t="str">
        <f>IFERROR(VLOOKUP(A4558,'Base Prueba'!A:D,4,),"NO REGISTRA")</f>
        <v>COORDINADOR DE LA OFICINA DE REGISTRO Y CONTROL</v>
      </c>
      <c r="E4558" s="5" t="str">
        <f>IFERROR(VLOOKUP(A4558,'Base Prueba'!A:E,5,),"NO REGISTRA")</f>
        <v>REGISTRO Y CONTROL ACADEMICO</v>
      </c>
    </row>
    <row r="4559" spans="1:5" ht="15.75" x14ac:dyDescent="0.25">
      <c r="A4559" s="14">
        <v>52443092</v>
      </c>
      <c r="B4559" s="2">
        <v>46106.792755902781</v>
      </c>
      <c r="C4559" s="3" t="str">
        <f>IFERROR(VLOOKUP(A4559,'Base Prueba'!A:C,3,),"NO REGISTRA")</f>
        <v>LUZ MYRIAM SAAVEDRA CONTRERAS</v>
      </c>
      <c r="D4559" s="4" t="str">
        <f>IFERROR(VLOOKUP(A4559,'Base Prueba'!A:D,4,),"NO REGISTRA")</f>
        <v>AUXILIAR DE SERVICIOS</v>
      </c>
      <c r="E4559" s="5" t="str">
        <f>IFERROR(VLOOKUP(A4559,'Base Prueba'!A:E,5,),"NO REGISTRA")</f>
        <v>LOGISTICA Y SERVICIOS GENERALES</v>
      </c>
    </row>
    <row r="4560" spans="1:5" ht="15.75" x14ac:dyDescent="0.25">
      <c r="A4560" s="14">
        <v>52175674</v>
      </c>
      <c r="B4560" s="2">
        <v>46106.795336921299</v>
      </c>
      <c r="C4560" s="3" t="str">
        <f>IFERROR(VLOOKUP(A4560,'Base Prueba'!A:C,3,),"NO REGISTRA")</f>
        <v>LUZ YANETH GOMEZ AREVALO</v>
      </c>
      <c r="D4560" s="4" t="str">
        <f>IFERROR(VLOOKUP(A4560,'Base Prueba'!A:D,4,),"NO REGISTRA")</f>
        <v>COORDINADORA DE ADMISIONES</v>
      </c>
      <c r="E4560" s="5" t="str">
        <f>IFERROR(VLOOKUP(A4560,'Base Prueba'!A:E,5,),"NO REGISTRA")</f>
        <v>OFICINA DE MERCADEO</v>
      </c>
    </row>
    <row r="4561" spans="1:5" ht="15.75" x14ac:dyDescent="0.25">
      <c r="A4561" s="14">
        <v>1013616244</v>
      </c>
      <c r="B4561" s="2">
        <v>46106.812487384261</v>
      </c>
      <c r="C4561" s="3" t="str">
        <f>IFERROR(VLOOKUP(A4561,'Base Prueba'!A:C,3,),"NO REGISTRA")</f>
        <v>DIANA CAROLINA MARIN BETANCOURT</v>
      </c>
      <c r="D4561" s="4" t="str">
        <f>IFERROR(VLOOKUP(A4561,'Base Prueba'!A:D,4,),"NO REGISTRA")</f>
        <v>AUXILIAR ADMINISTRATIVO</v>
      </c>
      <c r="E4561" s="5" t="str">
        <f>IFERROR(VLOOKUP(A4561,'Base Prueba'!A:E,5,),"NO REGISTRA")</f>
        <v>REGISTRO Y CONTROL ACADEMICO</v>
      </c>
    </row>
    <row r="4562" spans="1:5" ht="15.75" x14ac:dyDescent="0.25">
      <c r="A4562" s="14">
        <v>1087121273</v>
      </c>
      <c r="B4562" s="2">
        <v>46107.314711689818</v>
      </c>
      <c r="C4562" s="3" t="str">
        <f>IFERROR(VLOOKUP(A4562,'Base Prueba'!A:C,3,),"NO REGISTRA")</f>
        <v>MAYRA ALEJANDRA CASTILLO ARBOLEDA</v>
      </c>
      <c r="D4562" s="4" t="str">
        <f>IFERROR(VLOOKUP(A4562,'Base Prueba'!A:D,4,),"NO REGISTRA")</f>
        <v>APOYO INTEGRAL DE MERCADEO</v>
      </c>
      <c r="E4562" s="5" t="str">
        <f>IFERROR(VLOOKUP(A4562,'Base Prueba'!A:E,5,),"NO REGISTRA")</f>
        <v>CENTRO DE GESTION DOCUMENTAL</v>
      </c>
    </row>
    <row r="4563" spans="1:5" ht="15.75" x14ac:dyDescent="0.25">
      <c r="A4563" s="14">
        <v>1010184333</v>
      </c>
      <c r="B4563" s="2">
        <v>46107.317264814817</v>
      </c>
      <c r="C4563" s="3" t="str">
        <f>IFERROR(VLOOKUP(A4563,'Base Prueba'!A:C,3,),"NO REGISTRA")</f>
        <v>AKON ANDRES GARZON ALVAREZ</v>
      </c>
      <c r="D4563" s="4" t="str">
        <f>IFERROR(VLOOKUP(A4563,'Base Prueba'!A:D,4,),"NO REGISTRA")</f>
        <v>APRENDIZ UNIVERSITARIO</v>
      </c>
      <c r="E4563" s="5" t="str">
        <f>IFERROR(VLOOKUP(A4563,'Base Prueba'!A:E,5,),"NO REGISTRA")</f>
        <v>SECRETARIA GENERAL</v>
      </c>
    </row>
    <row r="4564" spans="1:5" ht="15.75" x14ac:dyDescent="0.25">
      <c r="A4564" s="14">
        <v>1024512067</v>
      </c>
      <c r="B4564" s="2">
        <v>46107.32271458333</v>
      </c>
      <c r="C4564" s="3" t="str">
        <f>IFERROR(VLOOKUP(A4564,'Base Prueba'!A:C,3,),"NO REGISTRA")</f>
        <v>CINDY GIOVANA SALGAR GOMEZ</v>
      </c>
      <c r="D4564" s="4" t="str">
        <f>IFERROR(VLOOKUP(A4564,'Base Prueba'!A:D,4,),"NO REGISTRA")</f>
        <v>COORDINADOR DEL SISTEMA INTEGRADO DE GESTION INSTITUCIONAL - SIGI</v>
      </c>
      <c r="E4564" s="5" t="str">
        <f>IFERROR(VLOOKUP(A4564,'Base Prueba'!A:E,5,),"NO REGISTRA")</f>
        <v>OFICINA DE PLANEACION Y GESTION DE LA CALIDAD</v>
      </c>
    </row>
    <row r="4565" spans="1:5" ht="15.75" x14ac:dyDescent="0.25">
      <c r="A4565" s="14">
        <v>1013616244</v>
      </c>
      <c r="B4565" s="2">
        <v>46107.323344675926</v>
      </c>
      <c r="C4565" s="3" t="str">
        <f>IFERROR(VLOOKUP(A4565,'Base Prueba'!A:C,3,),"NO REGISTRA")</f>
        <v>DIANA CAROLINA MARIN BETANCOURT</v>
      </c>
      <c r="D4565" s="4" t="str">
        <f>IFERROR(VLOOKUP(A4565,'Base Prueba'!A:D,4,),"NO REGISTRA")</f>
        <v>AUXILIAR ADMINISTRATIVO</v>
      </c>
      <c r="E4565" s="5" t="str">
        <f>IFERROR(VLOOKUP(A4565,'Base Prueba'!A:E,5,),"NO REGISTRA")</f>
        <v>REGISTRO Y CONTROL ACADEMICO</v>
      </c>
    </row>
    <row r="4566" spans="1:5" ht="15.75" x14ac:dyDescent="0.25">
      <c r="A4566" s="14">
        <v>1000324729</v>
      </c>
      <c r="B4566" s="2">
        <v>46107.326802546297</v>
      </c>
      <c r="C4566" s="3" t="str">
        <f>IFERROR(VLOOKUP(A4566,'Base Prueba'!A:C,3,),"NO REGISTRA")</f>
        <v>ANYIE VANESSA TINOCO CAMACHO</v>
      </c>
      <c r="D4566" s="4" t="str">
        <f>IFERROR(VLOOKUP(A4566,'Base Prueba'!A:D,4,),"NO REGISTRA")</f>
        <v>LIDER DE REGISTRO Y CONTROL</v>
      </c>
      <c r="E4566" s="5" t="str">
        <f>IFERROR(VLOOKUP(A4566,'Base Prueba'!A:E,5,),"NO REGISTRA")</f>
        <v>REGISTRO Y CONTROL ACADEMICO</v>
      </c>
    </row>
    <row r="4567" spans="1:5" ht="15.75" x14ac:dyDescent="0.25">
      <c r="A4567" s="14">
        <v>1000257136</v>
      </c>
      <c r="B4567" s="2">
        <v>46107.327552893519</v>
      </c>
      <c r="C4567" s="3" t="str">
        <f>IFERROR(VLOOKUP(A4567,'Base Prueba'!A:C,3,),"NO REGISTRA")</f>
        <v>FRANCI VALENTINA CANO PUENTES</v>
      </c>
      <c r="D4567" s="4" t="str">
        <f>IFERROR(VLOOKUP(A4567,'Base Prueba'!A:D,4,),"NO REGISTRA")</f>
        <v>AUXILIAR CONTABLE</v>
      </c>
      <c r="E4567" s="5" t="str">
        <f>IFERROR(VLOOKUP(A4567,'Base Prueba'!A:E,5,),"NO REGISTRA")</f>
        <v>AREA FINANCIERA Y CONTABLE</v>
      </c>
    </row>
    <row r="4568" spans="1:5" ht="15.75" x14ac:dyDescent="0.25">
      <c r="A4568" s="14">
        <v>1049644802</v>
      </c>
      <c r="B4568" s="2">
        <v>46107.330107754628</v>
      </c>
      <c r="C4568" s="3" t="str">
        <f>IFERROR(VLOOKUP(A4568,'Base Prueba'!A:C,3,),"NO REGISTRA")</f>
        <v>DANIELA ALEXANDRA CIPAMOCHA BOSIGA</v>
      </c>
      <c r="D4568" s="4" t="str">
        <f>IFERROR(VLOOKUP(A4568,'Base Prueba'!A:D,4,),"NO REGISTRA")</f>
        <v>LIDER DE DATOS Y SERVICIOS</v>
      </c>
      <c r="E4568" s="5" t="str">
        <f>IFERROR(VLOOKUP(A4568,'Base Prueba'!A:E,5,),"NO REGISTRA")</f>
        <v>OFICINA DE PLANEACION Y GESTION DE LA CALIDAD</v>
      </c>
    </row>
    <row r="4569" spans="1:5" ht="15.75" x14ac:dyDescent="0.25">
      <c r="A4569" s="14">
        <v>1014308296</v>
      </c>
      <c r="B4569" s="2">
        <v>46107.333915277777</v>
      </c>
      <c r="C4569" s="3" t="str">
        <f>IFERROR(VLOOKUP(A4569,'Base Prueba'!A:C,3,),"NO REGISTRA")</f>
        <v>DARLENE YULIANA MORENO CELEITA</v>
      </c>
      <c r="D4569" s="4" t="str">
        <f>IFERROR(VLOOKUP(A4569,'Base Prueba'!A:D,4,),"NO REGISTRA")</f>
        <v>CAJERO PRINCIPAL</v>
      </c>
      <c r="E4569" s="5" t="str">
        <f>IFERROR(VLOOKUP(A4569,'Base Prueba'!A:E,5,),"NO REGISTRA")</f>
        <v>AREA FINANCIERA Y CONTABLE</v>
      </c>
    </row>
    <row r="4570" spans="1:5" ht="15.75" x14ac:dyDescent="0.25">
      <c r="A4570" s="14">
        <v>1014266838</v>
      </c>
      <c r="B4570" s="2">
        <v>46107.334790856483</v>
      </c>
      <c r="C4570" s="3" t="str">
        <f>IFERROR(VLOOKUP(A4570,'Base Prueba'!A:C,3,),"NO REGISTRA")</f>
        <v>JENNIFER ASTRID ROMERO HURTADO</v>
      </c>
      <c r="D4570" s="4" t="str">
        <f>IFERROR(VLOOKUP(A4570,'Base Prueba'!A:D,4,),"NO REGISTRA")</f>
        <v>LIDER DE RECAUDO</v>
      </c>
      <c r="E4570" s="5" t="str">
        <f>IFERROR(VLOOKUP(A4570,'Base Prueba'!A:E,5,),"NO REGISTRA")</f>
        <v>AREA FINANCIERA Y CONTABLE</v>
      </c>
    </row>
    <row r="4571" spans="1:5" ht="15.75" x14ac:dyDescent="0.25">
      <c r="A4571" s="14">
        <v>1013098430</v>
      </c>
      <c r="B4571" s="2">
        <v>46107.337303009263</v>
      </c>
      <c r="C4571" s="3" t="str">
        <f>IFERROR(VLOOKUP(A4571,'Base Prueba'!A:C,3,),"NO REGISTRA")</f>
        <v>ANDRES FELIPE LOPEZ ROMERO</v>
      </c>
      <c r="D4571" s="4" t="str">
        <f>IFERROR(VLOOKUP(A4571,'Base Prueba'!A:D,4,),"NO REGISTRA")</f>
        <v>APRENDIZ UNIVERSITARIO</v>
      </c>
      <c r="E4571" s="5" t="str">
        <f>IFERROR(VLOOKUP(A4571,'Base Prueba'!A:E,5,),"NO REGISTRA")</f>
        <v>OFICINA DE MERCADEO</v>
      </c>
    </row>
    <row r="4572" spans="1:5" ht="15.75" x14ac:dyDescent="0.25">
      <c r="A4572" s="14">
        <v>80191732</v>
      </c>
      <c r="B4572" s="2">
        <v>46107.338672337966</v>
      </c>
      <c r="C4572" s="3" t="str">
        <f>IFERROR(VLOOKUP(A4572,'Base Prueba'!A:C,3,),"NO REGISTRA")</f>
        <v>DANIEL MAURICIO ZAMBRANO TUNJANO</v>
      </c>
      <c r="D4572" s="4" t="str">
        <f>IFERROR(VLOOKUP(A4572,'Base Prueba'!A:D,4,),"NO REGISTRA")</f>
        <v>COORDINADOR DE DISEÑO E IMAGEN INSTITUCIONAL</v>
      </c>
      <c r="E4572" s="5" t="str">
        <f>IFERROR(VLOOKUP(A4572,'Base Prueba'!A:E,5,),"NO REGISTRA")</f>
        <v>OFICINA DE MERCADEO</v>
      </c>
    </row>
    <row r="4573" spans="1:5" ht="15.75" x14ac:dyDescent="0.25">
      <c r="A4573" s="14">
        <v>1023883232</v>
      </c>
      <c r="B4573" s="2">
        <v>46107.343358564816</v>
      </c>
      <c r="C4573" s="3" t="str">
        <f>IFERROR(VLOOKUP(A4573,'Base Prueba'!A:C,3,),"NO REGISTRA")</f>
        <v>MONICA ANDREA ACERO URBANO</v>
      </c>
      <c r="D4573" s="4" t="str">
        <f>IFERROR(VLOOKUP(A4573,'Base Prueba'!A:D,4,),"NO REGISTRA")</f>
        <v>APOYO INTEGRAL A GESTION HUMANA</v>
      </c>
      <c r="E4573" s="5" t="str">
        <f>IFERROR(VLOOKUP(A4573,'Base Prueba'!A:E,5,),"NO REGISTRA")</f>
        <v>DEPARTAMENTO DE GESTION HUMANA</v>
      </c>
    </row>
    <row r="4574" spans="1:5" ht="15.75" x14ac:dyDescent="0.25">
      <c r="A4574" s="14">
        <v>53932358</v>
      </c>
      <c r="B4574" s="2">
        <v>46107.343513078704</v>
      </c>
      <c r="C4574" s="3" t="str">
        <f>IFERROR(VLOOKUP(A4574,'Base Prueba'!A:C,3,),"NO REGISTRA")</f>
        <v>DIANA MADELEYNE GAONA RODRIGUEZ</v>
      </c>
      <c r="D4574" s="4" t="str">
        <f>IFERROR(VLOOKUP(A4574,'Base Prueba'!A:D,4,),"NO REGISTRA")</f>
        <v>CONTADOR</v>
      </c>
      <c r="E4574" s="5" t="str">
        <f>IFERROR(VLOOKUP(A4574,'Base Prueba'!A:E,5,),"NO REGISTRA")</f>
        <v>AREA FINANCIERA Y CONTABLE</v>
      </c>
    </row>
    <row r="4575" spans="1:5" ht="15.75" x14ac:dyDescent="0.25">
      <c r="A4575" s="14">
        <v>1014977624</v>
      </c>
      <c r="B4575" s="2">
        <v>46107.345004976851</v>
      </c>
      <c r="C4575" s="3" t="str">
        <f>IFERROR(VLOOKUP(A4575,'Base Prueba'!A:C,3,),"NO REGISTRA")</f>
        <v>NICCOLE VALENTINA HERNANDEZ MALAVER</v>
      </c>
      <c r="D4575" s="4" t="str">
        <f>IFERROR(VLOOKUP(A4575,'Base Prueba'!A:D,4,),"NO REGISTRA")</f>
        <v>APRENDIZ UNIVERSITARIO</v>
      </c>
      <c r="E4575" s="5" t="str">
        <f>IFERROR(VLOOKUP(A4575,'Base Prueba'!A:E,5,),"NO REGISTRA")</f>
        <v>AREA FINANCIERA Y CONTABLE</v>
      </c>
    </row>
    <row r="4576" spans="1:5" ht="15.75" x14ac:dyDescent="0.25">
      <c r="A4576" s="14">
        <v>1193457976</v>
      </c>
      <c r="B4576" s="2">
        <v>46107.34796053241</v>
      </c>
      <c r="C4576" s="3" t="str">
        <f>IFERROR(VLOOKUP(A4576,'Base Prueba'!A:C,3,),"NO REGISTRA")</f>
        <v>SEDENIS RIVAS ASPRILLA</v>
      </c>
      <c r="D4576" s="4" t="str">
        <f>IFERROR(VLOOKUP(A4576,'Base Prueba'!A:D,4,),"NO REGISTRA")</f>
        <v>APRENDIZ UNIVERSITARIO</v>
      </c>
      <c r="E4576" s="5" t="str">
        <f>IFERROR(VLOOKUP(A4576,'Base Prueba'!A:E,5,),"NO REGISTRA")</f>
        <v>DEPARTAMENTO DE GESTION HUMANA</v>
      </c>
    </row>
    <row r="4577" spans="1:5" ht="15.75" x14ac:dyDescent="0.25">
      <c r="A4577" s="14">
        <v>1000457706</v>
      </c>
      <c r="B4577" s="2">
        <v>46107.35002395833</v>
      </c>
      <c r="C4577" s="3" t="str">
        <f>IFERROR(VLOOKUP(A4577,'Base Prueba'!A:C,3,),"NO REGISTRA")</f>
        <v>CRISTIAN DANILO ARROYO SANABRIA</v>
      </c>
      <c r="D4577" s="4" t="str">
        <f>IFERROR(VLOOKUP(A4577,'Base Prueba'!A:D,4,),"NO REGISTRA")</f>
        <v>AUXILIAR CONTABLE</v>
      </c>
      <c r="E4577" s="5" t="str">
        <f>IFERROR(VLOOKUP(A4577,'Base Prueba'!A:E,5,),"NO REGISTRA")</f>
        <v>AREA FINANCIERA Y CONTABLE</v>
      </c>
    </row>
    <row r="4578" spans="1:5" ht="15.75" x14ac:dyDescent="0.25">
      <c r="A4578" s="14">
        <v>1000593372</v>
      </c>
      <c r="B4578" s="2">
        <v>46107.35585659722</v>
      </c>
      <c r="C4578" s="3" t="str">
        <f>IFERROR(VLOOKUP(A4578,'Base Prueba'!A:C,3,),"NO REGISTRA")</f>
        <v>LAURA SOFIA CHAPARRO LOPEZ</v>
      </c>
      <c r="D4578" s="4" t="str">
        <f>IFERROR(VLOOKUP(A4578,'Base Prueba'!A:D,4,),"NO REGISTRA")</f>
        <v>AUXILIAR JURIDICO</v>
      </c>
      <c r="E4578" s="5" t="str">
        <f>IFERROR(VLOOKUP(A4578,'Base Prueba'!A:E,5,),"NO REGISTRA")</f>
        <v>SECRETARIA GENERAL</v>
      </c>
    </row>
    <row r="4579" spans="1:5" ht="15.75" x14ac:dyDescent="0.25">
      <c r="A4579" s="14">
        <v>1000604979</v>
      </c>
      <c r="B4579" s="2">
        <v>46107.355872569446</v>
      </c>
      <c r="C4579" s="3" t="str">
        <f>IFERROR(VLOOKUP(A4579,'Base Prueba'!A:C,3,),"NO REGISTRA")</f>
        <v>JULIETH TATIANA PARDO PINTO</v>
      </c>
      <c r="D4579" s="4" t="str">
        <f>IFERROR(VLOOKUP(A4579,'Base Prueba'!A:D,4,),"NO REGISTRA")</f>
        <v>AUXILIAR JURIDICO</v>
      </c>
      <c r="E4579" s="5" t="str">
        <f>IFERROR(VLOOKUP(A4579,'Base Prueba'!A:E,5,),"NO REGISTRA")</f>
        <v>SECRETARIA GENERAL</v>
      </c>
    </row>
    <row r="4580" spans="1:5" ht="15.75" x14ac:dyDescent="0.25">
      <c r="A4580" s="14">
        <v>80234243</v>
      </c>
      <c r="B4580" s="2">
        <v>46107.363801273146</v>
      </c>
      <c r="C4580" s="3" t="str">
        <f>IFERROR(VLOOKUP(A4580,'Base Prueba'!A:C,3,),"NO REGISTRA")</f>
        <v>ARGENIS MARTINEZ MARTINEZ</v>
      </c>
      <c r="D4580" s="4" t="str">
        <f>IFERROR(VLOOKUP(A4580,'Base Prueba'!A:D,4,),"NO REGISTRA")</f>
        <v>LIDER CALL CENTER</v>
      </c>
      <c r="E4580" s="5" t="str">
        <f>IFERROR(VLOOKUP(A4580,'Base Prueba'!A:E,5,),"NO REGISTRA")</f>
        <v>OFICINA DE MERCADEO</v>
      </c>
    </row>
    <row r="4581" spans="1:5" ht="15.75" x14ac:dyDescent="0.25">
      <c r="A4581" s="14">
        <v>1018413529</v>
      </c>
      <c r="B4581" s="2">
        <v>46107.364632870369</v>
      </c>
      <c r="C4581" s="3" t="str">
        <f>IFERROR(VLOOKUP(A4581,'Base Prueba'!A:C,3,),"NO REGISTRA")</f>
        <v>FRANCY STELLA CHARRY MORENO</v>
      </c>
      <c r="D4581" s="4" t="str">
        <f>IFERROR(VLOOKUP(A4581,'Base Prueba'!A:D,4,),"NO REGISTRA")</f>
        <v>PROMOTOR COMERCIAL DEL CEA</v>
      </c>
      <c r="E4581" s="5" t="str">
        <f>IFERROR(VLOOKUP(A4581,'Base Prueba'!A:E,5,),"NO REGISTRA")</f>
        <v>OFICINA DE MERCADEO</v>
      </c>
    </row>
    <row r="4582" spans="1:5" ht="15.75" x14ac:dyDescent="0.25">
      <c r="A4582" s="14">
        <v>52472386</v>
      </c>
      <c r="B4582" s="2">
        <v>46107.367034490744</v>
      </c>
      <c r="C4582" s="3" t="str">
        <f>IFERROR(VLOOKUP(A4582,'Base Prueba'!A:C,3,),"NO REGISTRA")</f>
        <v>ADRIANA MARCELA MORALES PARDO</v>
      </c>
      <c r="D4582" s="4" t="str">
        <f>IFERROR(VLOOKUP(A4582,'Base Prueba'!A:D,4,),"NO REGISTRA")</f>
        <v>PROMOTOR CALL CENTER</v>
      </c>
      <c r="E4582" s="5" t="str">
        <f>IFERROR(VLOOKUP(A4582,'Base Prueba'!A:E,5,),"NO REGISTRA")</f>
        <v>OFICINA DE MERCADEO</v>
      </c>
    </row>
    <row r="4583" spans="1:5" ht="15.75" x14ac:dyDescent="0.25">
      <c r="A4583" s="14">
        <v>1033709056</v>
      </c>
      <c r="B4583" s="2">
        <v>46107.367821064814</v>
      </c>
      <c r="C4583" s="3" t="str">
        <f>IFERROR(VLOOKUP(A4583,'Base Prueba'!A:C,3,),"NO REGISTRA")</f>
        <v>YEIMY ALEXANDRA RODRIGUEZ PALACIO</v>
      </c>
      <c r="D4583" s="4" t="str">
        <f>IFERROR(VLOOKUP(A4583,'Base Prueba'!A:D,4,),"NO REGISTRA")</f>
        <v>PROMOTOR CALL CENTER</v>
      </c>
      <c r="E4583" s="5" t="str">
        <f>IFERROR(VLOOKUP(A4583,'Base Prueba'!A:E,5,),"NO REGISTRA")</f>
        <v>OFICINA DE MERCADEO</v>
      </c>
    </row>
    <row r="4584" spans="1:5" ht="15.75" x14ac:dyDescent="0.25">
      <c r="A4584" s="14">
        <v>1032407386</v>
      </c>
      <c r="B4584" s="2">
        <v>46107.368926041665</v>
      </c>
      <c r="C4584" s="3" t="str">
        <f>IFERROR(VLOOKUP(A4584,'Base Prueba'!A:C,3,),"NO REGISTRA")</f>
        <v>GINA PAOLA BAEZ GALVIS</v>
      </c>
      <c r="D4584" s="4" t="str">
        <f>IFERROR(VLOOKUP(A4584,'Base Prueba'!A:D,4,),"NO REGISTRA")</f>
        <v>PROMOTOR CALL CENTER</v>
      </c>
      <c r="E4584" s="5" t="str">
        <f>IFERROR(VLOOKUP(A4584,'Base Prueba'!A:E,5,),"NO REGISTRA")</f>
        <v>OFICINA DE MERCADEO</v>
      </c>
    </row>
    <row r="4585" spans="1:5" ht="15.75" x14ac:dyDescent="0.25">
      <c r="A4585" s="14">
        <v>1019105003</v>
      </c>
      <c r="B4585" s="2">
        <v>46107.372086921299</v>
      </c>
      <c r="C4585" s="3" t="str">
        <f>IFERROR(VLOOKUP(A4585,'Base Prueba'!A:C,3,),"NO REGISTRA")</f>
        <v>DAISY JULIETH GASPAR MORENO</v>
      </c>
      <c r="D4585" s="4" t="str">
        <f>IFERROR(VLOOKUP(A4585,'Base Prueba'!A:D,4,),"NO REGISTRA")</f>
        <v>PROMOTOR CALL CENTER</v>
      </c>
      <c r="E4585" s="5" t="str">
        <f>IFERROR(VLOOKUP(A4585,'Base Prueba'!A:E,5,),"NO REGISTRA")</f>
        <v>OFICINA DE MERCADEO</v>
      </c>
    </row>
    <row r="4586" spans="1:5" ht="15.75" x14ac:dyDescent="0.25">
      <c r="A4586" s="14">
        <v>28798349</v>
      </c>
      <c r="B4586" s="2">
        <v>46107.37382685185</v>
      </c>
      <c r="C4586" s="3" t="str">
        <f>IFERROR(VLOOKUP(A4586,'Base Prueba'!A:C,3,),"NO REGISTRA")</f>
        <v>MARTHA ISABEL TOVAR WILLIAMS</v>
      </c>
      <c r="D4586" s="4" t="str">
        <f>IFERROR(VLOOKUP(A4586,'Base Prueba'!A:D,4,),"NO REGISTRA")</f>
        <v>PROMOTOR CALL CENTER</v>
      </c>
      <c r="E4586" s="5" t="str">
        <f>IFERROR(VLOOKUP(A4586,'Base Prueba'!A:E,5,),"NO REGISTRA")</f>
        <v>OFICINA DE MERCADEO</v>
      </c>
    </row>
    <row r="4587" spans="1:5" ht="15.75" x14ac:dyDescent="0.25">
      <c r="A4587" s="14">
        <v>1023961952</v>
      </c>
      <c r="B4587" s="2">
        <v>46107.375150925924</v>
      </c>
      <c r="C4587" s="3" t="str">
        <f>IFERROR(VLOOKUP(A4587,'Base Prueba'!A:C,3,),"NO REGISTRA")</f>
        <v>ALEJANDRO PINZON MERCHAN</v>
      </c>
      <c r="D4587" s="4" t="str">
        <f>IFERROR(VLOOKUP(A4587,'Base Prueba'!A:D,4,),"NO REGISTRA")</f>
        <v>PROMOTOR CALL CENTER</v>
      </c>
      <c r="E4587" s="5" t="str">
        <f>IFERROR(VLOOKUP(A4587,'Base Prueba'!A:E,5,),"NO REGISTRA")</f>
        <v>OFICINA DE MERCADEO</v>
      </c>
    </row>
    <row r="4588" spans="1:5" ht="15.75" x14ac:dyDescent="0.25">
      <c r="A4588" s="14">
        <v>1012426741</v>
      </c>
      <c r="B4588" s="2">
        <v>46107.375439583331</v>
      </c>
      <c r="C4588" s="3" t="str">
        <f>IFERROR(VLOOKUP(A4588,'Base Prueba'!A:C,3,),"NO REGISTRA")</f>
        <v>CRISTIAN FABIAN ROJAS SANCENO</v>
      </c>
      <c r="D4588" s="4" t="str">
        <f>IFERROR(VLOOKUP(A4588,'Base Prueba'!A:D,4,),"NO REGISTRA")</f>
        <v>AUXILIAR DE REINTEGROS</v>
      </c>
      <c r="E4588" s="5" t="str">
        <f>IFERROR(VLOOKUP(A4588,'Base Prueba'!A:E,5,),"NO REGISTRA")</f>
        <v>DIRECCION DE BIENESTAR INSTITUCIONAL</v>
      </c>
    </row>
    <row r="4589" spans="1:5" ht="15.75" x14ac:dyDescent="0.25">
      <c r="A4589" s="14">
        <v>1000046533</v>
      </c>
      <c r="B4589" s="2">
        <v>46107.375468634258</v>
      </c>
      <c r="C4589" s="3" t="str">
        <f>IFERROR(VLOOKUP(A4589,'Base Prueba'!A:C,3,),"NO REGISTRA")</f>
        <v>ERIKA JULIETH VALDERRAMA SANCHEZ</v>
      </c>
      <c r="D4589" s="4" t="str">
        <f>IFERROR(VLOOKUP(A4589,'Base Prueba'!A:D,4,),"NO REGISTRA")</f>
        <v>PROMOTOR CALL CENTER</v>
      </c>
      <c r="E4589" s="5" t="str">
        <f>IFERROR(VLOOKUP(A4589,'Base Prueba'!A:E,5,),"NO REGISTRA")</f>
        <v>OFICINA DE MERCADEO</v>
      </c>
    </row>
    <row r="4590" spans="1:5" ht="15.75" x14ac:dyDescent="0.25">
      <c r="A4590" s="14">
        <v>52175674</v>
      </c>
      <c r="B4590" s="2">
        <v>46107.377846643518</v>
      </c>
      <c r="C4590" s="3" t="str">
        <f>IFERROR(VLOOKUP(A4590,'Base Prueba'!A:C,3,),"NO REGISTRA")</f>
        <v>LUZ YANETH GOMEZ AREVALO</v>
      </c>
      <c r="D4590" s="4" t="str">
        <f>IFERROR(VLOOKUP(A4590,'Base Prueba'!A:D,4,),"NO REGISTRA")</f>
        <v>COORDINADORA DE ADMISIONES</v>
      </c>
      <c r="E4590" s="5" t="str">
        <f>IFERROR(VLOOKUP(A4590,'Base Prueba'!A:E,5,),"NO REGISTRA")</f>
        <v>OFICINA DE MERCADEO</v>
      </c>
    </row>
    <row r="4591" spans="1:5" ht="15.75" x14ac:dyDescent="0.25">
      <c r="A4591" s="14">
        <v>1014196857</v>
      </c>
      <c r="B4591" s="2">
        <v>46107.382138425928</v>
      </c>
      <c r="C4591" s="3" t="str">
        <f>IFERROR(VLOOKUP(A4591,'Base Prueba'!A:C,3,),"NO REGISTRA")</f>
        <v>CARLOS ANDRES JIMENEZ PARDO</v>
      </c>
      <c r="D4591" s="4" t="str">
        <f>IFERROR(VLOOKUP(A4591,'Base Prueba'!A:D,4,),"NO REGISTRA")</f>
        <v>COORDINADOR DE MARKETING DIGITAL</v>
      </c>
      <c r="E4591" s="5" t="str">
        <f>IFERROR(VLOOKUP(A4591,'Base Prueba'!A:E,5,),"NO REGISTRA")</f>
        <v>OFICINA DE MERCADEO</v>
      </c>
    </row>
    <row r="4592" spans="1:5" ht="15.75" x14ac:dyDescent="0.25">
      <c r="A4592" s="14">
        <v>53089882</v>
      </c>
      <c r="B4592" s="2">
        <v>46107.385471527778</v>
      </c>
      <c r="C4592" s="3" t="str">
        <f>IFERROR(VLOOKUP(A4592,'Base Prueba'!A:C,3,),"NO REGISTRA")</f>
        <v>MARIA JOHANA ESCAMILLA MARTINEZ</v>
      </c>
      <c r="D4592" s="4" t="str">
        <f>IFERROR(VLOOKUP(A4592,'Base Prueba'!A:D,4,),"NO REGISTRA")</f>
        <v>PROMOTOR DE INFORMACIÓN</v>
      </c>
      <c r="E4592" s="5" t="str">
        <f>IFERROR(VLOOKUP(A4592,'Base Prueba'!A:E,5,),"NO REGISTRA")</f>
        <v>OFICINA DE MERCADEO</v>
      </c>
    </row>
    <row r="4593" spans="1:5" ht="15.75" x14ac:dyDescent="0.25">
      <c r="A4593" s="14">
        <v>1016090131</v>
      </c>
      <c r="B4593" s="2">
        <v>46107.392314699071</v>
      </c>
      <c r="C4593" s="3" t="str">
        <f>IFERROR(VLOOKUP(A4593,'Base Prueba'!A:C,3,),"NO REGISTRA")</f>
        <v>NICOLAS RODRIGUEZ PACHECO</v>
      </c>
      <c r="D4593" s="4" t="str">
        <f>IFERROR(VLOOKUP(A4593,'Base Prueba'!A:D,4,),"NO REGISTRA")</f>
        <v>COORDINADOR DE COMUNICACIONES</v>
      </c>
      <c r="E4593" s="5" t="str">
        <f>IFERROR(VLOOKUP(A4593,'Base Prueba'!A:E,5,),"NO REGISTRA")</f>
        <v>OFICINA DE MERCADEO</v>
      </c>
    </row>
    <row r="4594" spans="1:5" ht="15.75" x14ac:dyDescent="0.25">
      <c r="A4594" s="14">
        <v>52443092</v>
      </c>
      <c r="B4594" s="2">
        <v>46107.497880092589</v>
      </c>
      <c r="C4594" s="3" t="str">
        <f>IFERROR(VLOOKUP(A4594,'Base Prueba'!A:C,3,),"NO REGISTRA")</f>
        <v>LUZ MYRIAM SAAVEDRA CONTRERAS</v>
      </c>
      <c r="D4594" s="4" t="str">
        <f>IFERROR(VLOOKUP(A4594,'Base Prueba'!A:D,4,),"NO REGISTRA")</f>
        <v>AUXILIAR DE SERVICIOS</v>
      </c>
      <c r="E4594" s="5" t="str">
        <f>IFERROR(VLOOKUP(A4594,'Base Prueba'!A:E,5,),"NO REGISTRA")</f>
        <v>LOGISTICA Y SERVICIOS GENERALES</v>
      </c>
    </row>
    <row r="4595" spans="1:5" ht="15.75" x14ac:dyDescent="0.25">
      <c r="A4595" s="14">
        <v>1023883232</v>
      </c>
      <c r="B4595" s="2">
        <v>46107.54194166667</v>
      </c>
      <c r="C4595" s="3" t="str">
        <f>IFERROR(VLOOKUP(A4595,'Base Prueba'!A:C,3,),"NO REGISTRA")</f>
        <v>MONICA ANDREA ACERO URBANO</v>
      </c>
      <c r="D4595" s="4" t="str">
        <f>IFERROR(VLOOKUP(A4595,'Base Prueba'!A:D,4,),"NO REGISTRA")</f>
        <v>APOYO INTEGRAL A GESTION HUMANA</v>
      </c>
      <c r="E4595" s="5" t="str">
        <f>IFERROR(VLOOKUP(A4595,'Base Prueba'!A:E,5,),"NO REGISTRA")</f>
        <v>DEPARTAMENTO DE GESTION HUMANA</v>
      </c>
    </row>
    <row r="4596" spans="1:5" ht="15.75" x14ac:dyDescent="0.25">
      <c r="A4596" s="14">
        <v>6</v>
      </c>
      <c r="B4596" s="2">
        <v>46107.597492013891</v>
      </c>
      <c r="C4596" s="3" t="str">
        <f>IFERROR(VLOOKUP(A4596,'Base Prueba'!A:C,3,),"NO REGISTRA")</f>
        <v>NO REGISTRA</v>
      </c>
      <c r="D4596" s="4" t="str">
        <f>IFERROR(VLOOKUP(A4596,'Base Prueba'!A:D,4,),"NO REGISTRA")</f>
        <v>NO REGISTRA</v>
      </c>
      <c r="E4596" s="5" t="str">
        <f>IFERROR(VLOOKUP(A4596,'Base Prueba'!A:E,5,),"NO REGISTRA")</f>
        <v>NO REGISTRA</v>
      </c>
    </row>
    <row r="4597" spans="1:5" ht="15.75" x14ac:dyDescent="0.25">
      <c r="A4597" s="14">
        <v>1018414290</v>
      </c>
      <c r="B4597" s="2">
        <v>46107.597532870372</v>
      </c>
      <c r="C4597" s="3" t="str">
        <f>IFERROR(VLOOKUP(A4597,'Base Prueba'!A:C,3,),"NO REGISTRA")</f>
        <v>AMANDA LISBETH RODRIGUEZ LEON</v>
      </c>
      <c r="D4597" s="4" t="str">
        <f>IFERROR(VLOOKUP(A4597,'Base Prueba'!A:D,4,),"NO REGISTRA")</f>
        <v>PROMOTOR CALL CENTER</v>
      </c>
      <c r="E4597" s="5" t="str">
        <f>IFERROR(VLOOKUP(A4597,'Base Prueba'!A:E,5,),"NO REGISTRA")</f>
        <v>OFICINA DE MERCADEO</v>
      </c>
    </row>
    <row r="4598" spans="1:5" ht="15.75" x14ac:dyDescent="0.25">
      <c r="A4598" s="14">
        <v>1087121273</v>
      </c>
      <c r="B4598" s="2">
        <v>46107.692339004629</v>
      </c>
      <c r="C4598" s="3" t="str">
        <f>IFERROR(VLOOKUP(A4598,'Base Prueba'!A:C,3,),"NO REGISTRA")</f>
        <v>MAYRA ALEJANDRA CASTILLO ARBOLEDA</v>
      </c>
      <c r="D4598" s="4" t="str">
        <f>IFERROR(VLOOKUP(A4598,'Base Prueba'!A:D,4,),"NO REGISTRA")</f>
        <v>APOYO INTEGRAL DE MERCADEO</v>
      </c>
      <c r="E4598" s="5" t="str">
        <f>IFERROR(VLOOKUP(A4598,'Base Prueba'!A:E,5,),"NO REGISTRA")</f>
        <v>CENTRO DE GESTION DOCUMENTAL</v>
      </c>
    </row>
    <row r="4599" spans="1:5" ht="15.75" x14ac:dyDescent="0.25">
      <c r="A4599" s="14">
        <v>79872151</v>
      </c>
      <c r="B4599" s="2">
        <v>46107.708129050923</v>
      </c>
      <c r="C4599" s="3" t="str">
        <f>IFERROR(VLOOKUP(A4599,'Base Prueba'!A:C,3,),"NO REGISTRA")</f>
        <v>HECTOR ALIRIO MARTINEZ TORRES</v>
      </c>
      <c r="D4599" s="4" t="str">
        <f>IFERROR(VLOOKUP(A4599,'Base Prueba'!A:D,4,),"NO REGISTRA")</f>
        <v>DOCENTE DE TIEMPO COMPLETO</v>
      </c>
      <c r="E4599" s="5" t="str">
        <f>IFERROR(VLOOKUP(A4599,'Base Prueba'!A:E,5,),"NO REGISTRA")</f>
        <v>CIENCIAS DE LA INFORMACION Y BIBLIOTECOLOGIA</v>
      </c>
    </row>
    <row r="4600" spans="1:5" ht="15.75" x14ac:dyDescent="0.25">
      <c r="A4600" s="14">
        <v>1013098430</v>
      </c>
      <c r="B4600" s="2">
        <v>46107.709666782408</v>
      </c>
      <c r="C4600" s="3" t="str">
        <f>IFERROR(VLOOKUP(A4600,'Base Prueba'!A:C,3,),"NO REGISTRA")</f>
        <v>ANDRES FELIPE LOPEZ ROMERO</v>
      </c>
      <c r="D4600" s="4" t="str">
        <f>IFERROR(VLOOKUP(A4600,'Base Prueba'!A:D,4,),"NO REGISTRA")</f>
        <v>APRENDIZ UNIVERSITARIO</v>
      </c>
      <c r="E4600" s="5" t="str">
        <f>IFERROR(VLOOKUP(A4600,'Base Prueba'!A:E,5,),"NO REGISTRA")</f>
        <v>OFICINA DE MERCADEO</v>
      </c>
    </row>
    <row r="4601" spans="1:5" ht="15.75" x14ac:dyDescent="0.25">
      <c r="A4601" s="14">
        <v>1010184333</v>
      </c>
      <c r="B4601" s="2">
        <v>46107.731519444445</v>
      </c>
      <c r="C4601" s="3" t="str">
        <f>IFERROR(VLOOKUP(A4601,'Base Prueba'!A:C,3,),"NO REGISTRA")</f>
        <v>AKON ANDRES GARZON ALVAREZ</v>
      </c>
      <c r="D4601" s="4" t="str">
        <f>IFERROR(VLOOKUP(A4601,'Base Prueba'!A:D,4,),"NO REGISTRA")</f>
        <v>APRENDIZ UNIVERSITARIO</v>
      </c>
      <c r="E4601" s="5" t="str">
        <f>IFERROR(VLOOKUP(A4601,'Base Prueba'!A:E,5,),"NO REGISTRA")</f>
        <v>SECRETARIA GENERAL</v>
      </c>
    </row>
    <row r="4602" spans="1:5" ht="15.75" x14ac:dyDescent="0.25">
      <c r="A4602" s="14">
        <v>1024512067</v>
      </c>
      <c r="B4602" s="2">
        <v>46107.731580555555</v>
      </c>
      <c r="C4602" s="3" t="str">
        <f>IFERROR(VLOOKUP(A4602,'Base Prueba'!A:C,3,),"NO REGISTRA")</f>
        <v>CINDY GIOVANA SALGAR GOMEZ</v>
      </c>
      <c r="D4602" s="4" t="str">
        <f>IFERROR(VLOOKUP(A4602,'Base Prueba'!A:D,4,),"NO REGISTRA")</f>
        <v>COORDINADOR DEL SISTEMA INTEGRADO DE GESTION INSTITUCIONAL - SIGI</v>
      </c>
      <c r="E4602" s="5" t="str">
        <f>IFERROR(VLOOKUP(A4602,'Base Prueba'!A:E,5,),"NO REGISTRA")</f>
        <v>OFICINA DE PLANEACION Y GESTION DE LA CALIDAD</v>
      </c>
    </row>
    <row r="4603" spans="1:5" ht="15.75" x14ac:dyDescent="0.25">
      <c r="A4603" s="14">
        <v>1000593372</v>
      </c>
      <c r="B4603" s="2">
        <v>46107.749527430555</v>
      </c>
      <c r="C4603" s="3" t="str">
        <f>IFERROR(VLOOKUP(A4603,'Base Prueba'!A:C,3,),"NO REGISTRA")</f>
        <v>LAURA SOFIA CHAPARRO LOPEZ</v>
      </c>
      <c r="D4603" s="4" t="str">
        <f>IFERROR(VLOOKUP(A4603,'Base Prueba'!A:D,4,),"NO REGISTRA")</f>
        <v>AUXILIAR JURIDICO</v>
      </c>
      <c r="E4603" s="5" t="str">
        <f>IFERROR(VLOOKUP(A4603,'Base Prueba'!A:E,5,),"NO REGISTRA")</f>
        <v>SECRETARIA GENERAL</v>
      </c>
    </row>
    <row r="4604" spans="1:5" ht="15.75" x14ac:dyDescent="0.25">
      <c r="A4604" s="14">
        <v>1000604979</v>
      </c>
      <c r="B4604" s="2">
        <v>46107.749542245372</v>
      </c>
      <c r="C4604" s="3" t="str">
        <f>IFERROR(VLOOKUP(A4604,'Base Prueba'!A:C,3,),"NO REGISTRA")</f>
        <v>JULIETH TATIANA PARDO PINTO</v>
      </c>
      <c r="D4604" s="4" t="str">
        <f>IFERROR(VLOOKUP(A4604,'Base Prueba'!A:D,4,),"NO REGISTRA")</f>
        <v>AUXILIAR JURIDICO</v>
      </c>
      <c r="E4604" s="5" t="str">
        <f>IFERROR(VLOOKUP(A4604,'Base Prueba'!A:E,5,),"NO REGISTRA")</f>
        <v>SECRETARIA GENERAL</v>
      </c>
    </row>
    <row r="4605" spans="1:5" ht="15.75" x14ac:dyDescent="0.25">
      <c r="A4605" s="14">
        <v>1012426741</v>
      </c>
      <c r="B4605" s="2">
        <v>46107.750118981479</v>
      </c>
      <c r="C4605" s="3" t="str">
        <f>IFERROR(VLOOKUP(A4605,'Base Prueba'!A:C,3,),"NO REGISTRA")</f>
        <v>CRISTIAN FABIAN ROJAS SANCENO</v>
      </c>
      <c r="D4605" s="4" t="str">
        <f>IFERROR(VLOOKUP(A4605,'Base Prueba'!A:D,4,),"NO REGISTRA")</f>
        <v>AUXILIAR DE REINTEGROS</v>
      </c>
      <c r="E4605" s="5" t="str">
        <f>IFERROR(VLOOKUP(A4605,'Base Prueba'!A:E,5,),"NO REGISTRA")</f>
        <v>DIRECCION DE BIENESTAR INSTITUCIONAL</v>
      </c>
    </row>
    <row r="4606" spans="1:5" ht="15.75" x14ac:dyDescent="0.25">
      <c r="A4606" s="14">
        <v>1000046533</v>
      </c>
      <c r="B4606" s="2">
        <v>46107.750474884262</v>
      </c>
      <c r="C4606" s="3" t="str">
        <f>IFERROR(VLOOKUP(A4606,'Base Prueba'!A:C,3,),"NO REGISTRA")</f>
        <v>ERIKA JULIETH VALDERRAMA SANCHEZ</v>
      </c>
      <c r="D4606" s="4" t="str">
        <f>IFERROR(VLOOKUP(A4606,'Base Prueba'!A:D,4,),"NO REGISTRA")</f>
        <v>PROMOTOR CALL CENTER</v>
      </c>
      <c r="E4606" s="5" t="str">
        <f>IFERROR(VLOOKUP(A4606,'Base Prueba'!A:E,5,),"NO REGISTRA")</f>
        <v>OFICINA DE MERCADEO</v>
      </c>
    </row>
    <row r="4607" spans="1:5" ht="15.75" x14ac:dyDescent="0.25">
      <c r="A4607" s="14">
        <v>1193457976</v>
      </c>
      <c r="B4607" s="2">
        <v>46107.751025694444</v>
      </c>
      <c r="C4607" s="3" t="str">
        <f>IFERROR(VLOOKUP(A4607,'Base Prueba'!A:C,3,),"NO REGISTRA")</f>
        <v>SEDENIS RIVAS ASPRILLA</v>
      </c>
      <c r="D4607" s="4" t="str">
        <f>IFERROR(VLOOKUP(A4607,'Base Prueba'!A:D,4,),"NO REGISTRA")</f>
        <v>APRENDIZ UNIVERSITARIO</v>
      </c>
      <c r="E4607" s="5" t="str">
        <f>IFERROR(VLOOKUP(A4607,'Base Prueba'!A:E,5,),"NO REGISTRA")</f>
        <v>DEPARTAMENTO DE GESTION HUMANA</v>
      </c>
    </row>
    <row r="4608" spans="1:5" ht="15.75" x14ac:dyDescent="0.25">
      <c r="A4608" s="14">
        <v>1030567635</v>
      </c>
      <c r="B4608" s="2">
        <v>46107.751386805554</v>
      </c>
      <c r="C4608" s="3" t="str">
        <f>IFERROR(VLOOKUP(A4608,'Base Prueba'!A:C,3,),"NO REGISTRA")</f>
        <v>JEFFERSON ANDRES BARRETO DIAZ</v>
      </c>
      <c r="D4608" s="4" t="str">
        <f>IFERROR(VLOOKUP(A4608,'Base Prueba'!A:D,4,),"NO REGISTRA")</f>
        <v>AUXILIAR DE ARCHIVO</v>
      </c>
      <c r="E4608" s="5" t="str">
        <f>IFERROR(VLOOKUP(A4608,'Base Prueba'!A:E,5,),"NO REGISTRA")</f>
        <v>CENTRO DE GESTION DOCUMENTAL</v>
      </c>
    </row>
    <row r="4609" spans="1:5" ht="15.75" x14ac:dyDescent="0.25">
      <c r="A4609" s="14">
        <v>1000467399</v>
      </c>
      <c r="B4609" s="2">
        <v>46107.75147314815</v>
      </c>
      <c r="C4609" s="3" t="str">
        <f>IFERROR(VLOOKUP(A4609,'Base Prueba'!A:C,3,),"NO REGISTRA")</f>
        <v>BRANDO ESTIVEN DIAZ QUIMBAYA</v>
      </c>
      <c r="D4609" s="4" t="str">
        <f>IFERROR(VLOOKUP(A4609,'Base Prueba'!A:D,4,),"NO REGISTRA")</f>
        <v>APRENDIZ UNIVERSITARIO</v>
      </c>
      <c r="E4609" s="5" t="str">
        <f>IFERROR(VLOOKUP(A4609,'Base Prueba'!A:E,5,),"NO REGISTRA")</f>
        <v>DEPARTAMENTO DE GESTION HUMANA</v>
      </c>
    </row>
    <row r="4610" spans="1:5" ht="15.75" x14ac:dyDescent="0.25">
      <c r="A4610" s="14">
        <v>1022996882</v>
      </c>
      <c r="B4610" s="2">
        <v>46107.75156527778</v>
      </c>
      <c r="C4610" s="3" t="str">
        <f>IFERROR(VLOOKUP(A4610,'Base Prueba'!A:C,3,),"NO REGISTRA")</f>
        <v>NANCY BRIGITH ALDANA GUEVARA</v>
      </c>
      <c r="D4610" s="4" t="str">
        <f>IFERROR(VLOOKUP(A4610,'Base Prueba'!A:D,4,),"NO REGISTRA")</f>
        <v>COORDINADORA DE GESTIÓN HUMANA</v>
      </c>
      <c r="E4610" s="5" t="str">
        <f>IFERROR(VLOOKUP(A4610,'Base Prueba'!A:E,5,),"NO REGISTRA")</f>
        <v>DEPARTAMENTO DE GESTION HUMANA</v>
      </c>
    </row>
    <row r="4611" spans="1:5" ht="15.75" x14ac:dyDescent="0.25">
      <c r="A4611" s="14">
        <v>1014308296</v>
      </c>
      <c r="B4611" s="2">
        <v>46107.754135300929</v>
      </c>
      <c r="C4611" s="3" t="str">
        <f>IFERROR(VLOOKUP(A4611,'Base Prueba'!A:C,3,),"NO REGISTRA")</f>
        <v>DARLENE YULIANA MORENO CELEITA</v>
      </c>
      <c r="D4611" s="4" t="str">
        <f>IFERROR(VLOOKUP(A4611,'Base Prueba'!A:D,4,),"NO REGISTRA")</f>
        <v>CAJERO PRINCIPAL</v>
      </c>
      <c r="E4611" s="5" t="str">
        <f>IFERROR(VLOOKUP(A4611,'Base Prueba'!A:E,5,),"NO REGISTRA")</f>
        <v>AREA FINANCIERA Y CONTABLE</v>
      </c>
    </row>
    <row r="4612" spans="1:5" ht="15.75" x14ac:dyDescent="0.25">
      <c r="A4612" s="14">
        <v>52175674</v>
      </c>
      <c r="B4612" s="2">
        <v>46107.755144444447</v>
      </c>
      <c r="C4612" s="3" t="str">
        <f>IFERROR(VLOOKUP(A4612,'Base Prueba'!A:C,3,),"NO REGISTRA")</f>
        <v>LUZ YANETH GOMEZ AREVALO</v>
      </c>
      <c r="D4612" s="4" t="str">
        <f>IFERROR(VLOOKUP(A4612,'Base Prueba'!A:D,4,),"NO REGISTRA")</f>
        <v>COORDINADORA DE ADMISIONES</v>
      </c>
      <c r="E4612" s="5" t="str">
        <f>IFERROR(VLOOKUP(A4612,'Base Prueba'!A:E,5,),"NO REGISTRA")</f>
        <v>OFICINA DE MERCADEO</v>
      </c>
    </row>
    <row r="4613" spans="1:5" ht="15.75" x14ac:dyDescent="0.25">
      <c r="A4613" s="14">
        <v>1014977624</v>
      </c>
      <c r="B4613" s="2">
        <v>46107.755695254629</v>
      </c>
      <c r="C4613" s="3" t="str">
        <f>IFERROR(VLOOKUP(A4613,'Base Prueba'!A:C,3,),"NO REGISTRA")</f>
        <v>NICCOLE VALENTINA HERNANDEZ MALAVER</v>
      </c>
      <c r="D4613" s="4" t="str">
        <f>IFERROR(VLOOKUP(A4613,'Base Prueba'!A:D,4,),"NO REGISTRA")</f>
        <v>APRENDIZ UNIVERSITARIO</v>
      </c>
      <c r="E4613" s="5" t="str">
        <f>IFERROR(VLOOKUP(A4613,'Base Prueba'!A:E,5,),"NO REGISTRA")</f>
        <v>AREA FINANCIERA Y CONTABLE</v>
      </c>
    </row>
    <row r="4614" spans="1:5" ht="15.75" x14ac:dyDescent="0.25">
      <c r="A4614" s="14">
        <v>1019105003</v>
      </c>
      <c r="B4614" s="2">
        <v>46107.755784837966</v>
      </c>
      <c r="C4614" s="3" t="str">
        <f>IFERROR(VLOOKUP(A4614,'Base Prueba'!A:C,3,),"NO REGISTRA")</f>
        <v>DAISY JULIETH GASPAR MORENO</v>
      </c>
      <c r="D4614" s="4" t="str">
        <f>IFERROR(VLOOKUP(A4614,'Base Prueba'!A:D,4,),"NO REGISTRA")</f>
        <v>PROMOTOR CALL CENTER</v>
      </c>
      <c r="E4614" s="5" t="str">
        <f>IFERROR(VLOOKUP(A4614,'Base Prueba'!A:E,5,),"NO REGISTRA")</f>
        <v>OFICINA DE MERCADEO</v>
      </c>
    </row>
    <row r="4615" spans="1:5" ht="15.75" x14ac:dyDescent="0.25">
      <c r="A4615" s="14">
        <v>1014266838</v>
      </c>
      <c r="B4615" s="2">
        <v>46107.756292245373</v>
      </c>
      <c r="C4615" s="3" t="str">
        <f>IFERROR(VLOOKUP(A4615,'Base Prueba'!A:C,3,),"NO REGISTRA")</f>
        <v>JENNIFER ASTRID ROMERO HURTADO</v>
      </c>
      <c r="D4615" s="4" t="str">
        <f>IFERROR(VLOOKUP(A4615,'Base Prueba'!A:D,4,),"NO REGISTRA")</f>
        <v>LIDER DE RECAUDO</v>
      </c>
      <c r="E4615" s="5" t="str">
        <f>IFERROR(VLOOKUP(A4615,'Base Prueba'!A:E,5,),"NO REGISTRA")</f>
        <v>AREA FINANCIERA Y CONTABLE</v>
      </c>
    </row>
    <row r="4616" spans="1:5" ht="15.75" x14ac:dyDescent="0.25">
      <c r="A4616" s="14">
        <v>1049644802</v>
      </c>
      <c r="B4616" s="2">
        <v>46107.756323032409</v>
      </c>
      <c r="C4616" s="3" t="str">
        <f>IFERROR(VLOOKUP(A4616,'Base Prueba'!A:C,3,),"NO REGISTRA")</f>
        <v>DANIELA ALEXANDRA CIPAMOCHA BOSIGA</v>
      </c>
      <c r="D4616" s="4" t="str">
        <f>IFERROR(VLOOKUP(A4616,'Base Prueba'!A:D,4,),"NO REGISTRA")</f>
        <v>LIDER DE DATOS Y SERVICIOS</v>
      </c>
      <c r="E4616" s="5" t="str">
        <f>IFERROR(VLOOKUP(A4616,'Base Prueba'!A:E,5,),"NO REGISTRA")</f>
        <v>OFICINA DE PLANEACION Y GESTION DE LA CALIDAD</v>
      </c>
    </row>
    <row r="4617" spans="1:5" ht="15.75" x14ac:dyDescent="0.25">
      <c r="A4617" s="14">
        <v>1033709056</v>
      </c>
      <c r="B4617" s="2">
        <v>46107.762281249998</v>
      </c>
      <c r="C4617" s="3" t="str">
        <f>IFERROR(VLOOKUP(A4617,'Base Prueba'!A:C,3,),"NO REGISTRA")</f>
        <v>YEIMY ALEXANDRA RODRIGUEZ PALACIO</v>
      </c>
      <c r="D4617" s="4" t="str">
        <f>IFERROR(VLOOKUP(A4617,'Base Prueba'!A:D,4,),"NO REGISTRA")</f>
        <v>PROMOTOR CALL CENTER</v>
      </c>
      <c r="E4617" s="5" t="str">
        <f>IFERROR(VLOOKUP(A4617,'Base Prueba'!A:E,5,),"NO REGISTRA")</f>
        <v>OFICINA DE MERCADEO</v>
      </c>
    </row>
    <row r="4618" spans="1:5" ht="15.75" x14ac:dyDescent="0.25">
      <c r="A4618" s="14">
        <v>1014196857</v>
      </c>
      <c r="B4618" s="2">
        <v>46107.762358564818</v>
      </c>
      <c r="C4618" s="3" t="str">
        <f>IFERROR(VLOOKUP(A4618,'Base Prueba'!A:C,3,),"NO REGISTRA")</f>
        <v>CARLOS ANDRES JIMENEZ PARDO</v>
      </c>
      <c r="D4618" s="4" t="str">
        <f>IFERROR(VLOOKUP(A4618,'Base Prueba'!A:D,4,),"NO REGISTRA")</f>
        <v>COORDINADOR DE MARKETING DIGITAL</v>
      </c>
      <c r="E4618" s="5" t="str">
        <f>IFERROR(VLOOKUP(A4618,'Base Prueba'!A:E,5,),"NO REGISTRA")</f>
        <v>OFICINA DE MERCADEO</v>
      </c>
    </row>
    <row r="4619" spans="1:5" ht="15.75" x14ac:dyDescent="0.25">
      <c r="A4619" s="14">
        <v>53089882</v>
      </c>
      <c r="B4619" s="2">
        <v>46107.762403587963</v>
      </c>
      <c r="C4619" s="3" t="str">
        <f>IFERROR(VLOOKUP(A4619,'Base Prueba'!A:C,3,),"NO REGISTRA")</f>
        <v>MARIA JOHANA ESCAMILLA MARTINEZ</v>
      </c>
      <c r="D4619" s="4" t="str">
        <f>IFERROR(VLOOKUP(A4619,'Base Prueba'!A:D,4,),"NO REGISTRA")</f>
        <v>PROMOTOR DE INFORMACIÓN</v>
      </c>
      <c r="E4619" s="5" t="str">
        <f>IFERROR(VLOOKUP(A4619,'Base Prueba'!A:E,5,),"NO REGISTRA")</f>
        <v>OFICINA DE MERCADEO</v>
      </c>
    </row>
    <row r="4620" spans="1:5" ht="15.75" x14ac:dyDescent="0.25">
      <c r="A4620" s="14">
        <v>1018413529</v>
      </c>
      <c r="B4620" s="2">
        <v>46107.762450578703</v>
      </c>
      <c r="C4620" s="3" t="str">
        <f>IFERROR(VLOOKUP(A4620,'Base Prueba'!A:C,3,),"NO REGISTRA")</f>
        <v>FRANCY STELLA CHARRY MORENO</v>
      </c>
      <c r="D4620" s="4" t="str">
        <f>IFERROR(VLOOKUP(A4620,'Base Prueba'!A:D,4,),"NO REGISTRA")</f>
        <v>PROMOTOR COMERCIAL DEL CEA</v>
      </c>
      <c r="E4620" s="5" t="str">
        <f>IFERROR(VLOOKUP(A4620,'Base Prueba'!A:E,5,),"NO REGISTRA")</f>
        <v>OFICINA DE MERCADEO</v>
      </c>
    </row>
    <row r="4621" spans="1:5" ht="15.75" x14ac:dyDescent="0.25">
      <c r="A4621" s="14">
        <v>1018414290</v>
      </c>
      <c r="B4621" s="2">
        <v>46107.765704282407</v>
      </c>
      <c r="C4621" s="3" t="str">
        <f>IFERROR(VLOOKUP(A4621,'Base Prueba'!A:C,3,),"NO REGISTRA")</f>
        <v>AMANDA LISBETH RODRIGUEZ LEON</v>
      </c>
      <c r="D4621" s="4" t="str">
        <f>IFERROR(VLOOKUP(A4621,'Base Prueba'!A:D,4,),"NO REGISTRA")</f>
        <v>PROMOTOR CALL CENTER</v>
      </c>
      <c r="E4621" s="5" t="str">
        <f>IFERROR(VLOOKUP(A4621,'Base Prueba'!A:E,5,),"NO REGISTRA")</f>
        <v>OFICINA DE MERCADEO</v>
      </c>
    </row>
    <row r="4622" spans="1:5" ht="15.75" x14ac:dyDescent="0.25">
      <c r="A4622" s="14">
        <v>1032407386</v>
      </c>
      <c r="B4622" s="2">
        <v>46107.765749768521</v>
      </c>
      <c r="C4622" s="3" t="str">
        <f>IFERROR(VLOOKUP(A4622,'Base Prueba'!A:C,3,),"NO REGISTRA")</f>
        <v>GINA PAOLA BAEZ GALVIS</v>
      </c>
      <c r="D4622" s="4" t="str">
        <f>IFERROR(VLOOKUP(A4622,'Base Prueba'!A:D,4,),"NO REGISTRA")</f>
        <v>PROMOTOR CALL CENTER</v>
      </c>
      <c r="E4622" s="5" t="str">
        <f>IFERROR(VLOOKUP(A4622,'Base Prueba'!A:E,5,),"NO REGISTRA")</f>
        <v>OFICINA DE MERCADEO</v>
      </c>
    </row>
    <row r="4623" spans="1:5" ht="15.75" x14ac:dyDescent="0.25">
      <c r="A4623" s="14">
        <v>1023961952</v>
      </c>
      <c r="B4623" s="2">
        <v>46107.765802199072</v>
      </c>
      <c r="C4623" s="3" t="str">
        <f>IFERROR(VLOOKUP(A4623,'Base Prueba'!A:C,3,),"NO REGISTRA")</f>
        <v>ALEJANDRO PINZON MERCHAN</v>
      </c>
      <c r="D4623" s="4" t="str">
        <f>IFERROR(VLOOKUP(A4623,'Base Prueba'!A:D,4,),"NO REGISTRA")</f>
        <v>PROMOTOR CALL CENTER</v>
      </c>
      <c r="E4623" s="5" t="str">
        <f>IFERROR(VLOOKUP(A4623,'Base Prueba'!A:E,5,),"NO REGISTRA")</f>
        <v>OFICINA DE MERCADEO</v>
      </c>
    </row>
    <row r="4624" spans="1:5" ht="15.75" x14ac:dyDescent="0.25">
      <c r="A4624" s="14">
        <v>28798349</v>
      </c>
      <c r="B4624" s="2">
        <v>46107.76584537037</v>
      </c>
      <c r="C4624" s="3" t="str">
        <f>IFERROR(VLOOKUP(A4624,'Base Prueba'!A:C,3,),"NO REGISTRA")</f>
        <v>MARTHA ISABEL TOVAR WILLIAMS</v>
      </c>
      <c r="D4624" s="4" t="str">
        <f>IFERROR(VLOOKUP(A4624,'Base Prueba'!A:D,4,),"NO REGISTRA")</f>
        <v>PROMOTOR CALL CENTER</v>
      </c>
      <c r="E4624" s="5" t="str">
        <f>IFERROR(VLOOKUP(A4624,'Base Prueba'!A:E,5,),"NO REGISTRA")</f>
        <v>OFICINA DE MERCADEO</v>
      </c>
    </row>
    <row r="4625" spans="1:5" ht="15.75" x14ac:dyDescent="0.25">
      <c r="A4625" s="14">
        <v>1016090131</v>
      </c>
      <c r="B4625" s="2">
        <v>46107.767952199072</v>
      </c>
      <c r="C4625" s="3" t="str">
        <f>IFERROR(VLOOKUP(A4625,'Base Prueba'!A:C,3,),"NO REGISTRA")</f>
        <v>NICOLAS RODRIGUEZ PACHECO</v>
      </c>
      <c r="D4625" s="4" t="str">
        <f>IFERROR(VLOOKUP(A4625,'Base Prueba'!A:D,4,),"NO REGISTRA")</f>
        <v>COORDINADOR DE COMUNICACIONES</v>
      </c>
      <c r="E4625" s="5" t="str">
        <f>IFERROR(VLOOKUP(A4625,'Base Prueba'!A:E,5,),"NO REGISTRA")</f>
        <v>OFICINA DE MERCADEO</v>
      </c>
    </row>
    <row r="4626" spans="1:5" ht="15.75" x14ac:dyDescent="0.25">
      <c r="A4626" s="14">
        <v>52472386</v>
      </c>
      <c r="B4626" s="2">
        <v>46107.769458796298</v>
      </c>
      <c r="C4626" s="3" t="str">
        <f>IFERROR(VLOOKUP(A4626,'Base Prueba'!A:C,3,),"NO REGISTRA")</f>
        <v>ADRIANA MARCELA MORALES PARDO</v>
      </c>
      <c r="D4626" s="4" t="str">
        <f>IFERROR(VLOOKUP(A4626,'Base Prueba'!A:D,4,),"NO REGISTRA")</f>
        <v>PROMOTOR CALL CENTER</v>
      </c>
      <c r="E4626" s="5" t="str">
        <f>IFERROR(VLOOKUP(A4626,'Base Prueba'!A:E,5,),"NO REGISTRA")</f>
        <v>OFICINA DE MERCADEO</v>
      </c>
    </row>
    <row r="4627" spans="1:5" ht="15.75" x14ac:dyDescent="0.25">
      <c r="A4627" s="14">
        <v>80191732</v>
      </c>
      <c r="B4627" s="2">
        <v>46107.773324189817</v>
      </c>
      <c r="C4627" s="3" t="str">
        <f>IFERROR(VLOOKUP(A4627,'Base Prueba'!A:C,3,),"NO REGISTRA")</f>
        <v>DANIEL MAURICIO ZAMBRANO TUNJANO</v>
      </c>
      <c r="D4627" s="4" t="str">
        <f>IFERROR(VLOOKUP(A4627,'Base Prueba'!A:D,4,),"NO REGISTRA")</f>
        <v>COORDINADOR DE DISEÑO E IMAGEN INSTITUCIONAL</v>
      </c>
      <c r="E4627" s="5" t="str">
        <f>IFERROR(VLOOKUP(A4627,'Base Prueba'!A:E,5,),"NO REGISTRA")</f>
        <v>OFICINA DE MERCADEO</v>
      </c>
    </row>
    <row r="4628" spans="1:5" ht="15.75" x14ac:dyDescent="0.25">
      <c r="A4628" s="14">
        <v>1000257136</v>
      </c>
      <c r="B4628" s="2">
        <v>46107.776816898149</v>
      </c>
      <c r="C4628" s="3" t="str">
        <f>IFERROR(VLOOKUP(A4628,'Base Prueba'!A:C,3,),"NO REGISTRA")</f>
        <v>FRANCI VALENTINA CANO PUENTES</v>
      </c>
      <c r="D4628" s="4" t="str">
        <f>IFERROR(VLOOKUP(A4628,'Base Prueba'!A:D,4,),"NO REGISTRA")</f>
        <v>AUXILIAR CONTABLE</v>
      </c>
      <c r="E4628" s="5" t="str">
        <f>IFERROR(VLOOKUP(A4628,'Base Prueba'!A:E,5,),"NO REGISTRA")</f>
        <v>AREA FINANCIERA Y CONTABLE</v>
      </c>
    </row>
    <row r="4629" spans="1:5" ht="15.75" x14ac:dyDescent="0.25">
      <c r="A4629" s="14">
        <v>53932358</v>
      </c>
      <c r="B4629" s="2">
        <v>46107.776851736111</v>
      </c>
      <c r="C4629" s="3" t="str">
        <f>IFERROR(VLOOKUP(A4629,'Base Prueba'!A:C,3,),"NO REGISTRA")</f>
        <v>DIANA MADELEYNE GAONA RODRIGUEZ</v>
      </c>
      <c r="D4629" s="4" t="str">
        <f>IFERROR(VLOOKUP(A4629,'Base Prueba'!A:D,4,),"NO REGISTRA")</f>
        <v>CONTADOR</v>
      </c>
      <c r="E4629" s="5" t="str">
        <f>IFERROR(VLOOKUP(A4629,'Base Prueba'!A:E,5,),"NO REGISTRA")</f>
        <v>AREA FINANCIERA Y CONTABLE</v>
      </c>
    </row>
    <row r="4630" spans="1:5" ht="15.75" x14ac:dyDescent="0.25">
      <c r="A4630" s="14">
        <v>1000457706</v>
      </c>
      <c r="B4630" s="2">
        <v>46107.777275</v>
      </c>
      <c r="C4630" s="3" t="str">
        <f>IFERROR(VLOOKUP(A4630,'Base Prueba'!A:C,3,),"NO REGISTRA")</f>
        <v>CRISTIAN DANILO ARROYO SANABRIA</v>
      </c>
      <c r="D4630" s="4" t="str">
        <f>IFERROR(VLOOKUP(A4630,'Base Prueba'!A:D,4,),"NO REGISTRA")</f>
        <v>AUXILIAR CONTABLE</v>
      </c>
      <c r="E4630" s="5" t="str">
        <f>IFERROR(VLOOKUP(A4630,'Base Prueba'!A:E,5,),"NO REGISTRA")</f>
        <v>AREA FINANCIERA Y CONTABLE</v>
      </c>
    </row>
    <row r="4631" spans="1:5" ht="15.75" x14ac:dyDescent="0.25">
      <c r="A4631" s="14">
        <v>1013616244</v>
      </c>
      <c r="B4631" s="2">
        <v>46107.778203819442</v>
      </c>
      <c r="C4631" s="3" t="str">
        <f>IFERROR(VLOOKUP(A4631,'Base Prueba'!A:C,3,),"NO REGISTRA")</f>
        <v>DIANA CAROLINA MARIN BETANCOURT</v>
      </c>
      <c r="D4631" s="4" t="str">
        <f>IFERROR(VLOOKUP(A4631,'Base Prueba'!A:D,4,),"NO REGISTRA")</f>
        <v>AUXILIAR ADMINISTRATIVO</v>
      </c>
      <c r="E4631" s="5" t="str">
        <f>IFERROR(VLOOKUP(A4631,'Base Prueba'!A:E,5,),"NO REGISTRA")</f>
        <v>REGISTRO Y CONTROL ACADEMICO</v>
      </c>
    </row>
    <row r="4632" spans="1:5" ht="15.75" x14ac:dyDescent="0.25">
      <c r="A4632" s="14">
        <v>1000324729</v>
      </c>
      <c r="B4632" s="2">
        <v>46107.77830972222</v>
      </c>
      <c r="C4632" s="3" t="str">
        <f>IFERROR(VLOOKUP(A4632,'Base Prueba'!A:C,3,),"NO REGISTRA")</f>
        <v>ANYIE VANESSA TINOCO CAMACHO</v>
      </c>
      <c r="D4632" s="4" t="str">
        <f>IFERROR(VLOOKUP(A4632,'Base Prueba'!A:D,4,),"NO REGISTRA")</f>
        <v>LIDER DE REGISTRO Y CONTROL</v>
      </c>
      <c r="E4632" s="5" t="str">
        <f>IFERROR(VLOOKUP(A4632,'Base Prueba'!A:E,5,),"NO REGISTRA")</f>
        <v>REGISTRO Y CONTROL ACADEMICO</v>
      </c>
    </row>
    <row r="4633" spans="1:5" ht="15.75" x14ac:dyDescent="0.25">
      <c r="A4633" s="14">
        <v>52764929</v>
      </c>
      <c r="B4633" s="2">
        <v>46107.778358564814</v>
      </c>
      <c r="C4633" s="3" t="str">
        <f>IFERROR(VLOOKUP(A4633,'Base Prueba'!A:C,3,),"NO REGISTRA")</f>
        <v>GUERLY YOHANA DURAN RIVERA</v>
      </c>
      <c r="D4633" s="4" t="str">
        <f>IFERROR(VLOOKUP(A4633,'Base Prueba'!A:D,4,),"NO REGISTRA")</f>
        <v>LIDER DE VINCULACION COLEGIOS</v>
      </c>
      <c r="E4633" s="5" t="str">
        <f>IFERROR(VLOOKUP(A4633,'Base Prueba'!A:E,5,),"NO REGISTRA")</f>
        <v>OFICINA DE MERCADEO</v>
      </c>
    </row>
    <row r="4634" spans="1:5" ht="15.75" x14ac:dyDescent="0.25">
      <c r="A4634" s="14">
        <v>80234243</v>
      </c>
      <c r="B4634" s="2">
        <v>46107.77878414352</v>
      </c>
      <c r="C4634" s="3" t="str">
        <f>IFERROR(VLOOKUP(A4634,'Base Prueba'!A:C,3,),"NO REGISTRA")</f>
        <v>ARGENIS MARTINEZ MARTINEZ</v>
      </c>
      <c r="D4634" s="4" t="str">
        <f>IFERROR(VLOOKUP(A4634,'Base Prueba'!A:D,4,),"NO REGISTRA")</f>
        <v>LIDER CALL CENTER</v>
      </c>
      <c r="E4634" s="5" t="str">
        <f>IFERROR(VLOOKUP(A4634,'Base Prueba'!A:E,5,),"NO REGISTRA")</f>
        <v>OFICINA DE MERCADEO</v>
      </c>
    </row>
    <row r="4635" spans="1:5" ht="15.75" x14ac:dyDescent="0.25">
      <c r="A4635" s="14">
        <v>52443092</v>
      </c>
      <c r="B4635" s="2">
        <v>46107.792093171294</v>
      </c>
      <c r="C4635" s="3" t="str">
        <f>IFERROR(VLOOKUP(A4635,'Base Prueba'!A:C,3,),"NO REGISTRA")</f>
        <v>LUZ MYRIAM SAAVEDRA CONTRERAS</v>
      </c>
      <c r="D4635" s="4" t="str">
        <f>IFERROR(VLOOKUP(A4635,'Base Prueba'!A:D,4,),"NO REGISTRA")</f>
        <v>AUXILIAR DE SERVICIOS</v>
      </c>
      <c r="E4635" s="5" t="str">
        <f>IFERROR(VLOOKUP(A4635,'Base Prueba'!A:E,5,),"NO REGISTRA")</f>
        <v>LOGISTICA Y SERVICIOS GENERALES</v>
      </c>
    </row>
    <row r="4636" spans="1:5" ht="15.75" x14ac:dyDescent="0.25">
      <c r="A4636" s="14">
        <v>52474489</v>
      </c>
      <c r="B4636" s="2">
        <v>46107.801200925926</v>
      </c>
      <c r="C4636" s="3" t="str">
        <f>IFERROR(VLOOKUP(A4636,'Base Prueba'!A:C,3,),"NO REGISTRA")</f>
        <v>ADRIANA JIMENA SOTO BOCANEGRA</v>
      </c>
      <c r="D4636" s="4" t="str">
        <f>IFERROR(VLOOKUP(A4636,'Base Prueba'!A:D,4,),"NO REGISTRA")</f>
        <v>COORDINADOR DE LA OFICINA DE REGISTRO Y CONTROL</v>
      </c>
      <c r="E4636" s="5" t="str">
        <f>IFERROR(VLOOKUP(A4636,'Base Prueba'!A:E,5,),"NO REGISTRA")</f>
        <v>REGISTRO Y CONTROL ACADEMICO</v>
      </c>
    </row>
    <row r="4637" spans="1:5" ht="15.75" x14ac:dyDescent="0.25">
      <c r="A4637" s="14">
        <v>80725196</v>
      </c>
      <c r="B4637" s="2">
        <v>46108.291391782404</v>
      </c>
      <c r="C4637" s="3" t="str">
        <f>IFERROR(VLOOKUP(A4637,'Base Prueba'!A:C,3,),"NO REGISTRA")</f>
        <v>YEISON YOSET TOVAR BARBOSA</v>
      </c>
      <c r="D4637" s="4" t="str">
        <f>IFERROR(VLOOKUP(A4637,'Base Prueba'!A:D,4,),"NO REGISTRA")</f>
        <v>LIDER GESTION DOCUMENTAL</v>
      </c>
      <c r="E4637" s="5" t="str">
        <f>IFERROR(VLOOKUP(A4637,'Base Prueba'!A:E,5,),"NO REGISTRA")</f>
        <v>CENTRO DE GESTION DOCUMENTAL</v>
      </c>
    </row>
    <row r="4638" spans="1:5" ht="15.75" x14ac:dyDescent="0.25">
      <c r="A4638" s="14">
        <v>1000324729</v>
      </c>
      <c r="B4638" s="2">
        <v>46108.307632523145</v>
      </c>
      <c r="C4638" s="3" t="str">
        <f>IFERROR(VLOOKUP(A4638,'Base Prueba'!A:C,3,),"NO REGISTRA")</f>
        <v>ANYIE VANESSA TINOCO CAMACHO</v>
      </c>
      <c r="D4638" s="4" t="str">
        <f>IFERROR(VLOOKUP(A4638,'Base Prueba'!A:D,4,),"NO REGISTRA")</f>
        <v>LIDER DE REGISTRO Y CONTROL</v>
      </c>
      <c r="E4638" s="5" t="str">
        <f>IFERROR(VLOOKUP(A4638,'Base Prueba'!A:E,5,),"NO REGISTRA")</f>
        <v>REGISTRO Y CONTROL ACADEMICO</v>
      </c>
    </row>
    <row r="4639" spans="1:5" ht="15.75" x14ac:dyDescent="0.25">
      <c r="A4639" s="14">
        <v>1010184333</v>
      </c>
      <c r="B4639" s="2">
        <v>46108.321939583337</v>
      </c>
      <c r="C4639" s="3" t="str">
        <f>IFERROR(VLOOKUP(A4639,'Base Prueba'!A:C,3,),"NO REGISTRA")</f>
        <v>AKON ANDRES GARZON ALVAREZ</v>
      </c>
      <c r="D4639" s="4" t="str">
        <f>IFERROR(VLOOKUP(A4639,'Base Prueba'!A:D,4,),"NO REGISTRA")</f>
        <v>APRENDIZ UNIVERSITARIO</v>
      </c>
      <c r="E4639" s="5" t="str">
        <f>IFERROR(VLOOKUP(A4639,'Base Prueba'!A:E,5,),"NO REGISTRA")</f>
        <v>SECRETARIA GENERAL</v>
      </c>
    </row>
    <row r="4640" spans="1:5" ht="15.75" x14ac:dyDescent="0.25">
      <c r="A4640" s="14">
        <v>1013616244</v>
      </c>
      <c r="B4640" s="2">
        <v>46108.326629398151</v>
      </c>
      <c r="C4640" s="3" t="str">
        <f>IFERROR(VLOOKUP(A4640,'Base Prueba'!A:C,3,),"NO REGISTRA")</f>
        <v>DIANA CAROLINA MARIN BETANCOURT</v>
      </c>
      <c r="D4640" s="4" t="str">
        <f>IFERROR(VLOOKUP(A4640,'Base Prueba'!A:D,4,),"NO REGISTRA")</f>
        <v>AUXILIAR ADMINISTRATIVO</v>
      </c>
      <c r="E4640" s="5" t="str">
        <f>IFERROR(VLOOKUP(A4640,'Base Prueba'!A:E,5,),"NO REGISTRA")</f>
        <v>REGISTRO Y CONTROL ACADEMICO</v>
      </c>
    </row>
    <row r="4641" spans="1:5" ht="15.75" x14ac:dyDescent="0.25">
      <c r="A4641" s="14">
        <v>1024512067</v>
      </c>
      <c r="B4641" s="2">
        <v>46108.328997800927</v>
      </c>
      <c r="C4641" s="3" t="str">
        <f>IFERROR(VLOOKUP(A4641,'Base Prueba'!A:C,3,),"NO REGISTRA")</f>
        <v>CINDY GIOVANA SALGAR GOMEZ</v>
      </c>
      <c r="D4641" s="4" t="str">
        <f>IFERROR(VLOOKUP(A4641,'Base Prueba'!A:D,4,),"NO REGISTRA")</f>
        <v>COORDINADOR DEL SISTEMA INTEGRADO DE GESTION INSTITUCIONAL - SIGI</v>
      </c>
      <c r="E4641" s="5" t="str">
        <f>IFERROR(VLOOKUP(A4641,'Base Prueba'!A:E,5,),"NO REGISTRA")</f>
        <v>OFICINA DE PLANEACION Y GESTION DE LA CALIDAD</v>
      </c>
    </row>
    <row r="4642" spans="1:5" ht="15.75" x14ac:dyDescent="0.25">
      <c r="A4642" s="14">
        <v>80191732</v>
      </c>
      <c r="B4642" s="2">
        <v>46108.332320254631</v>
      </c>
      <c r="C4642" s="3" t="str">
        <f>IFERROR(VLOOKUP(A4642,'Base Prueba'!A:C,3,),"NO REGISTRA")</f>
        <v>DANIEL MAURICIO ZAMBRANO TUNJANO</v>
      </c>
      <c r="D4642" s="4" t="str">
        <f>IFERROR(VLOOKUP(A4642,'Base Prueba'!A:D,4,),"NO REGISTRA")</f>
        <v>COORDINADOR DE DISEÑO E IMAGEN INSTITUCIONAL</v>
      </c>
      <c r="E4642" s="5" t="str">
        <f>IFERROR(VLOOKUP(A4642,'Base Prueba'!A:E,5,),"NO REGISTRA")</f>
        <v>OFICINA DE MERCADEO</v>
      </c>
    </row>
    <row r="4643" spans="1:5" ht="15.75" x14ac:dyDescent="0.25">
      <c r="A4643" s="14">
        <v>1014308296</v>
      </c>
      <c r="B4643" s="2">
        <v>46108.332443634259</v>
      </c>
      <c r="C4643" s="3" t="str">
        <f>IFERROR(VLOOKUP(A4643,'Base Prueba'!A:C,3,),"NO REGISTRA")</f>
        <v>DARLENE YULIANA MORENO CELEITA</v>
      </c>
      <c r="D4643" s="4" t="str">
        <f>IFERROR(VLOOKUP(A4643,'Base Prueba'!A:D,4,),"NO REGISTRA")</f>
        <v>CAJERO PRINCIPAL</v>
      </c>
      <c r="E4643" s="5" t="str">
        <f>IFERROR(VLOOKUP(A4643,'Base Prueba'!A:E,5,),"NO REGISTRA")</f>
        <v>AREA FINANCIERA Y CONTABLE</v>
      </c>
    </row>
    <row r="4644" spans="1:5" ht="15.75" x14ac:dyDescent="0.25">
      <c r="A4644" s="14">
        <v>1000257136</v>
      </c>
      <c r="B4644" s="2">
        <v>46108.337056249999</v>
      </c>
      <c r="C4644" s="3" t="str">
        <f>IFERROR(VLOOKUP(A4644,'Base Prueba'!A:C,3,),"NO REGISTRA")</f>
        <v>FRANCI VALENTINA CANO PUENTES</v>
      </c>
      <c r="D4644" s="4" t="str">
        <f>IFERROR(VLOOKUP(A4644,'Base Prueba'!A:D,4,),"NO REGISTRA")</f>
        <v>AUXILIAR CONTABLE</v>
      </c>
      <c r="E4644" s="5" t="str">
        <f>IFERROR(VLOOKUP(A4644,'Base Prueba'!A:E,5,),"NO REGISTRA")</f>
        <v>AREA FINANCIERA Y CONTABLE</v>
      </c>
    </row>
    <row r="4645" spans="1:5" ht="15.75" x14ac:dyDescent="0.25">
      <c r="A4645" s="14">
        <v>1013098430</v>
      </c>
      <c r="B4645" s="2">
        <v>46108.337634027775</v>
      </c>
      <c r="C4645" s="3" t="str">
        <f>IFERROR(VLOOKUP(A4645,'Base Prueba'!A:C,3,),"NO REGISTRA")</f>
        <v>ANDRES FELIPE LOPEZ ROMERO</v>
      </c>
      <c r="D4645" s="4" t="str">
        <f>IFERROR(VLOOKUP(A4645,'Base Prueba'!A:D,4,),"NO REGISTRA")</f>
        <v>APRENDIZ UNIVERSITARIO</v>
      </c>
      <c r="E4645" s="5" t="str">
        <f>IFERROR(VLOOKUP(A4645,'Base Prueba'!A:E,5,),"NO REGISTRA")</f>
        <v>OFICINA DE MERCADEO</v>
      </c>
    </row>
    <row r="4646" spans="1:5" ht="15.75" x14ac:dyDescent="0.25">
      <c r="A4646" s="14">
        <v>1014266838</v>
      </c>
      <c r="B4646" s="2">
        <v>46108.340937499997</v>
      </c>
      <c r="C4646" s="3" t="str">
        <f>IFERROR(VLOOKUP(A4646,'Base Prueba'!A:C,3,),"NO REGISTRA")</f>
        <v>JENNIFER ASTRID ROMERO HURTADO</v>
      </c>
      <c r="D4646" s="4" t="str">
        <f>IFERROR(VLOOKUP(A4646,'Base Prueba'!A:D,4,),"NO REGISTRA")</f>
        <v>LIDER DE RECAUDO</v>
      </c>
      <c r="E4646" s="5" t="str">
        <f>IFERROR(VLOOKUP(A4646,'Base Prueba'!A:E,5,),"NO REGISTRA")</f>
        <v>AREA FINANCIERA Y CONTABLE</v>
      </c>
    </row>
    <row r="4647" spans="1:5" ht="15.75" x14ac:dyDescent="0.25">
      <c r="A4647" s="14">
        <v>1022996882</v>
      </c>
      <c r="B4647" s="2">
        <v>46108.341261805559</v>
      </c>
      <c r="C4647" s="3" t="str">
        <f>IFERROR(VLOOKUP(A4647,'Base Prueba'!A:C,3,),"NO REGISTRA")</f>
        <v>NANCY BRIGITH ALDANA GUEVARA</v>
      </c>
      <c r="D4647" s="4" t="str">
        <f>IFERROR(VLOOKUP(A4647,'Base Prueba'!A:D,4,),"NO REGISTRA")</f>
        <v>COORDINADORA DE GESTIÓN HUMANA</v>
      </c>
      <c r="E4647" s="5" t="str">
        <f>IFERROR(VLOOKUP(A4647,'Base Prueba'!A:E,5,),"NO REGISTRA")</f>
        <v>DEPARTAMENTO DE GESTION HUMANA</v>
      </c>
    </row>
    <row r="4648" spans="1:5" ht="15.75" x14ac:dyDescent="0.25">
      <c r="A4648" s="14">
        <v>1014977624</v>
      </c>
      <c r="B4648" s="2">
        <v>46108.341489120372</v>
      </c>
      <c r="C4648" s="3" t="str">
        <f>IFERROR(VLOOKUP(A4648,'Base Prueba'!A:C,3,),"NO REGISTRA")</f>
        <v>NICCOLE VALENTINA HERNANDEZ MALAVER</v>
      </c>
      <c r="D4648" s="4" t="str">
        <f>IFERROR(VLOOKUP(A4648,'Base Prueba'!A:D,4,),"NO REGISTRA")</f>
        <v>APRENDIZ UNIVERSITARIO</v>
      </c>
      <c r="E4648" s="5" t="str">
        <f>IFERROR(VLOOKUP(A4648,'Base Prueba'!A:E,5,),"NO REGISTRA")</f>
        <v>AREA FINANCIERA Y CONTABLE</v>
      </c>
    </row>
    <row r="4649" spans="1:5" ht="15.75" x14ac:dyDescent="0.25">
      <c r="A4649" s="14">
        <v>1049644802</v>
      </c>
      <c r="B4649" s="2">
        <v>46108.348146759257</v>
      </c>
      <c r="C4649" s="3" t="str">
        <f>IFERROR(VLOOKUP(A4649,'Base Prueba'!A:C,3,),"NO REGISTRA")</f>
        <v>DANIELA ALEXANDRA CIPAMOCHA BOSIGA</v>
      </c>
      <c r="D4649" s="4" t="str">
        <f>IFERROR(VLOOKUP(A4649,'Base Prueba'!A:D,4,),"NO REGISTRA")</f>
        <v>LIDER DE DATOS Y SERVICIOS</v>
      </c>
      <c r="E4649" s="5" t="str">
        <f>IFERROR(VLOOKUP(A4649,'Base Prueba'!A:E,5,),"NO REGISTRA")</f>
        <v>OFICINA DE PLANEACION Y GESTION DE LA CALIDAD</v>
      </c>
    </row>
    <row r="4650" spans="1:5" ht="15.75" x14ac:dyDescent="0.25">
      <c r="A4650" s="14">
        <v>1033709056</v>
      </c>
      <c r="B4650" s="2">
        <v>46108.354161805553</v>
      </c>
      <c r="C4650" s="3" t="str">
        <f>IFERROR(VLOOKUP(A4650,'Base Prueba'!A:C,3,),"NO REGISTRA")</f>
        <v>YEIMY ALEXANDRA RODRIGUEZ PALACIO</v>
      </c>
      <c r="D4650" s="4" t="str">
        <f>IFERROR(VLOOKUP(A4650,'Base Prueba'!A:D,4,),"NO REGISTRA")</f>
        <v>PROMOTOR CALL CENTER</v>
      </c>
      <c r="E4650" s="5" t="str">
        <f>IFERROR(VLOOKUP(A4650,'Base Prueba'!A:E,5,),"NO REGISTRA")</f>
        <v>OFICINA DE MERCADEO</v>
      </c>
    </row>
    <row r="4651" spans="1:5" ht="15.75" x14ac:dyDescent="0.25">
      <c r="A4651" s="14">
        <v>1193457976</v>
      </c>
      <c r="B4651" s="2">
        <v>46108.354200000002</v>
      </c>
      <c r="C4651" s="3" t="str">
        <f>IFERROR(VLOOKUP(A4651,'Base Prueba'!A:C,3,),"NO REGISTRA")</f>
        <v>SEDENIS RIVAS ASPRILLA</v>
      </c>
      <c r="D4651" s="4" t="str">
        <f>IFERROR(VLOOKUP(A4651,'Base Prueba'!A:D,4,),"NO REGISTRA")</f>
        <v>APRENDIZ UNIVERSITARIO</v>
      </c>
      <c r="E4651" s="5" t="str">
        <f>IFERROR(VLOOKUP(A4651,'Base Prueba'!A:E,5,),"NO REGISTRA")</f>
        <v>DEPARTAMENTO DE GESTION HUMANA</v>
      </c>
    </row>
    <row r="4652" spans="1:5" ht="15.75" x14ac:dyDescent="0.25">
      <c r="A4652" s="14">
        <v>1000457706</v>
      </c>
      <c r="B4652" s="2">
        <v>46108.35444826389</v>
      </c>
      <c r="C4652" s="3" t="str">
        <f>IFERROR(VLOOKUP(A4652,'Base Prueba'!A:C,3,),"NO REGISTRA")</f>
        <v>CRISTIAN DANILO ARROYO SANABRIA</v>
      </c>
      <c r="D4652" s="4" t="str">
        <f>IFERROR(VLOOKUP(A4652,'Base Prueba'!A:D,4,),"NO REGISTRA")</f>
        <v>AUXILIAR CONTABLE</v>
      </c>
      <c r="E4652" s="5" t="str">
        <f>IFERROR(VLOOKUP(A4652,'Base Prueba'!A:E,5,),"NO REGISTRA")</f>
        <v>AREA FINANCIERA Y CONTABLE</v>
      </c>
    </row>
    <row r="4653" spans="1:5" ht="15.75" x14ac:dyDescent="0.25">
      <c r="A4653" s="14">
        <v>1000593372</v>
      </c>
      <c r="B4653" s="2">
        <v>46108.355833333335</v>
      </c>
      <c r="C4653" s="3" t="str">
        <f>IFERROR(VLOOKUP(A4653,'Base Prueba'!A:C,3,),"NO REGISTRA")</f>
        <v>LAURA SOFIA CHAPARRO LOPEZ</v>
      </c>
      <c r="D4653" s="4" t="str">
        <f>IFERROR(VLOOKUP(A4653,'Base Prueba'!A:D,4,),"NO REGISTRA")</f>
        <v>AUXILIAR JURIDICO</v>
      </c>
      <c r="E4653" s="5" t="str">
        <f>IFERROR(VLOOKUP(A4653,'Base Prueba'!A:E,5,),"NO REGISTRA")</f>
        <v>SECRETARIA GENERAL</v>
      </c>
    </row>
    <row r="4654" spans="1:5" ht="15.75" x14ac:dyDescent="0.25">
      <c r="A4654" s="14">
        <v>1000604979</v>
      </c>
      <c r="B4654" s="2">
        <v>46108.355863194447</v>
      </c>
      <c r="C4654" s="3" t="str">
        <f>IFERROR(VLOOKUP(A4654,'Base Prueba'!A:C,3,),"NO REGISTRA")</f>
        <v>JULIETH TATIANA PARDO PINTO</v>
      </c>
      <c r="D4654" s="4" t="str">
        <f>IFERROR(VLOOKUP(A4654,'Base Prueba'!A:D,4,),"NO REGISTRA")</f>
        <v>AUXILIAR JURIDICO</v>
      </c>
      <c r="E4654" s="5" t="str">
        <f>IFERROR(VLOOKUP(A4654,'Base Prueba'!A:E,5,),"NO REGISTRA")</f>
        <v>SECRETARIA GENERAL</v>
      </c>
    </row>
    <row r="4655" spans="1:5" ht="15.75" x14ac:dyDescent="0.25">
      <c r="A4655" s="14">
        <v>53932358</v>
      </c>
      <c r="B4655" s="2">
        <v>46108.355976620369</v>
      </c>
      <c r="C4655" s="3" t="str">
        <f>IFERROR(VLOOKUP(A4655,'Base Prueba'!A:C,3,),"NO REGISTRA")</f>
        <v>DIANA MADELEYNE GAONA RODRIGUEZ</v>
      </c>
      <c r="D4655" s="4" t="str">
        <f>IFERROR(VLOOKUP(A4655,'Base Prueba'!A:D,4,),"NO REGISTRA")</f>
        <v>CONTADOR</v>
      </c>
      <c r="E4655" s="5" t="str">
        <f>IFERROR(VLOOKUP(A4655,'Base Prueba'!A:E,5,),"NO REGISTRA")</f>
        <v>AREA FINANCIERA Y CONTABLE</v>
      </c>
    </row>
    <row r="4656" spans="1:5" ht="15.75" x14ac:dyDescent="0.25">
      <c r="A4656" s="14">
        <v>1023883232</v>
      </c>
      <c r="B4656" s="2">
        <v>46108.364612268517</v>
      </c>
      <c r="C4656" s="3" t="str">
        <f>IFERROR(VLOOKUP(A4656,'Base Prueba'!A:C,3,),"NO REGISTRA")</f>
        <v>MONICA ANDREA ACERO URBANO</v>
      </c>
      <c r="D4656" s="4" t="str">
        <f>IFERROR(VLOOKUP(A4656,'Base Prueba'!A:D,4,),"NO REGISTRA")</f>
        <v>APOYO INTEGRAL A GESTION HUMANA</v>
      </c>
      <c r="E4656" s="5" t="str">
        <f>IFERROR(VLOOKUP(A4656,'Base Prueba'!A:E,5,),"NO REGISTRA")</f>
        <v>DEPARTAMENTO DE GESTION HUMANA</v>
      </c>
    </row>
    <row r="4657" spans="1:5" ht="15.75" x14ac:dyDescent="0.25">
      <c r="A4657" s="14">
        <v>1018413529</v>
      </c>
      <c r="B4657" s="2">
        <v>46108.365373032408</v>
      </c>
      <c r="C4657" s="3" t="str">
        <f>IFERROR(VLOOKUP(A4657,'Base Prueba'!A:C,3,),"NO REGISTRA")</f>
        <v>FRANCY STELLA CHARRY MORENO</v>
      </c>
      <c r="D4657" s="4" t="str">
        <f>IFERROR(VLOOKUP(A4657,'Base Prueba'!A:D,4,),"NO REGISTRA")</f>
        <v>PROMOTOR COMERCIAL DEL CEA</v>
      </c>
      <c r="E4657" s="5" t="str">
        <f>IFERROR(VLOOKUP(A4657,'Base Prueba'!A:E,5,),"NO REGISTRA")</f>
        <v>OFICINA DE MERCADEO</v>
      </c>
    </row>
    <row r="4658" spans="1:5" ht="15.75" x14ac:dyDescent="0.25">
      <c r="A4658" s="14">
        <v>1023961952</v>
      </c>
      <c r="B4658" s="2">
        <v>46108.367397453701</v>
      </c>
      <c r="C4658" s="3" t="str">
        <f>IFERROR(VLOOKUP(A4658,'Base Prueba'!A:C,3,),"NO REGISTRA")</f>
        <v>ALEJANDRO PINZON MERCHAN</v>
      </c>
      <c r="D4658" s="4" t="str">
        <f>IFERROR(VLOOKUP(A4658,'Base Prueba'!A:D,4,),"NO REGISTRA")</f>
        <v>PROMOTOR CALL CENTER</v>
      </c>
      <c r="E4658" s="5" t="str">
        <f>IFERROR(VLOOKUP(A4658,'Base Prueba'!A:E,5,),"NO REGISTRA")</f>
        <v>OFICINA DE MERCADEO</v>
      </c>
    </row>
    <row r="4659" spans="1:5" ht="15.75" x14ac:dyDescent="0.25">
      <c r="A4659" s="14">
        <v>52472386</v>
      </c>
      <c r="B4659" s="2">
        <v>46108.371024305554</v>
      </c>
      <c r="C4659" s="3" t="str">
        <f>IFERROR(VLOOKUP(A4659,'Base Prueba'!A:C,3,),"NO REGISTRA")</f>
        <v>ADRIANA MARCELA MORALES PARDO</v>
      </c>
      <c r="D4659" s="4" t="str">
        <f>IFERROR(VLOOKUP(A4659,'Base Prueba'!A:D,4,),"NO REGISTRA")</f>
        <v>PROMOTOR CALL CENTER</v>
      </c>
      <c r="E4659" s="5" t="str">
        <f>IFERROR(VLOOKUP(A4659,'Base Prueba'!A:E,5,),"NO REGISTRA")</f>
        <v>OFICINA DE MERCADEO</v>
      </c>
    </row>
    <row r="4660" spans="1:5" ht="15.75" x14ac:dyDescent="0.25">
      <c r="A4660" s="14">
        <v>52443092</v>
      </c>
      <c r="B4660" s="2">
        <v>46108.372545370374</v>
      </c>
      <c r="C4660" s="3" t="str">
        <f>IFERROR(VLOOKUP(A4660,'Base Prueba'!A:C,3,),"NO REGISTRA")</f>
        <v>LUZ MYRIAM SAAVEDRA CONTRERAS</v>
      </c>
      <c r="D4660" s="4" t="str">
        <f>IFERROR(VLOOKUP(A4660,'Base Prueba'!A:D,4,),"NO REGISTRA")</f>
        <v>AUXILIAR DE SERVICIOS</v>
      </c>
      <c r="E4660" s="5" t="str">
        <f>IFERROR(VLOOKUP(A4660,'Base Prueba'!A:E,5,),"NO REGISTRA")</f>
        <v>LOGISTICA Y SERVICIOS GENERALES</v>
      </c>
    </row>
    <row r="4661" spans="1:5" ht="15.75" x14ac:dyDescent="0.25">
      <c r="A4661" s="14">
        <v>1000046533</v>
      </c>
      <c r="B4661" s="2">
        <v>46108.375092939816</v>
      </c>
      <c r="C4661" s="3" t="str">
        <f>IFERROR(VLOOKUP(A4661,'Base Prueba'!A:C,3,),"NO REGISTRA")</f>
        <v>ERIKA JULIETH VALDERRAMA SANCHEZ</v>
      </c>
      <c r="D4661" s="4" t="str">
        <f>IFERROR(VLOOKUP(A4661,'Base Prueba'!A:D,4,),"NO REGISTRA")</f>
        <v>PROMOTOR CALL CENTER</v>
      </c>
      <c r="E4661" s="5" t="str">
        <f>IFERROR(VLOOKUP(A4661,'Base Prueba'!A:E,5,),"NO REGISTRA")</f>
        <v>OFICINA DE MERCADEO</v>
      </c>
    </row>
    <row r="4662" spans="1:5" ht="15.75" x14ac:dyDescent="0.25">
      <c r="A4662" s="14">
        <v>28798349</v>
      </c>
      <c r="B4662" s="2">
        <v>46108.375493402775</v>
      </c>
      <c r="C4662" s="3" t="str">
        <f>IFERROR(VLOOKUP(A4662,'Base Prueba'!A:C,3,),"NO REGISTRA")</f>
        <v>MARTHA ISABEL TOVAR WILLIAMS</v>
      </c>
      <c r="D4662" s="4" t="str">
        <f>IFERROR(VLOOKUP(A4662,'Base Prueba'!A:D,4,),"NO REGISTRA")</f>
        <v>PROMOTOR CALL CENTER</v>
      </c>
      <c r="E4662" s="5" t="str">
        <f>IFERROR(VLOOKUP(A4662,'Base Prueba'!A:E,5,),"NO REGISTRA")</f>
        <v>OFICINA DE MERCADEO</v>
      </c>
    </row>
    <row r="4663" spans="1:5" ht="15.75" x14ac:dyDescent="0.25">
      <c r="A4663" s="14">
        <v>1012426741</v>
      </c>
      <c r="B4663" s="2">
        <v>46108.375559490742</v>
      </c>
      <c r="C4663" s="3" t="str">
        <f>IFERROR(VLOOKUP(A4663,'Base Prueba'!A:C,3,),"NO REGISTRA")</f>
        <v>CRISTIAN FABIAN ROJAS SANCENO</v>
      </c>
      <c r="D4663" s="4" t="str">
        <f>IFERROR(VLOOKUP(A4663,'Base Prueba'!A:D,4,),"NO REGISTRA")</f>
        <v>AUXILIAR DE REINTEGROS</v>
      </c>
      <c r="E4663" s="5" t="str">
        <f>IFERROR(VLOOKUP(A4663,'Base Prueba'!A:E,5,),"NO REGISTRA")</f>
        <v>DIRECCION DE BIENESTAR INSTITUCIONAL</v>
      </c>
    </row>
    <row r="4664" spans="1:5" ht="15.75" x14ac:dyDescent="0.25">
      <c r="A4664" s="14">
        <v>1019105003</v>
      </c>
      <c r="B4664" s="2">
        <v>46108.375920833336</v>
      </c>
      <c r="C4664" s="3" t="str">
        <f>IFERROR(VLOOKUP(A4664,'Base Prueba'!A:C,3,),"NO REGISTRA")</f>
        <v>DAISY JULIETH GASPAR MORENO</v>
      </c>
      <c r="D4664" s="4" t="str">
        <f>IFERROR(VLOOKUP(A4664,'Base Prueba'!A:D,4,),"NO REGISTRA")</f>
        <v>PROMOTOR CALL CENTER</v>
      </c>
      <c r="E4664" s="5" t="str">
        <f>IFERROR(VLOOKUP(A4664,'Base Prueba'!A:E,5,),"NO REGISTRA")</f>
        <v>OFICINA DE MERCADEO</v>
      </c>
    </row>
    <row r="4665" spans="1:5" ht="15.75" x14ac:dyDescent="0.25">
      <c r="A4665" s="14">
        <v>1018414290</v>
      </c>
      <c r="B4665" s="2">
        <v>46108.376045254627</v>
      </c>
      <c r="C4665" s="3" t="str">
        <f>IFERROR(VLOOKUP(A4665,'Base Prueba'!A:C,3,),"NO REGISTRA")</f>
        <v>AMANDA LISBETH RODRIGUEZ LEON</v>
      </c>
      <c r="D4665" s="4" t="str">
        <f>IFERROR(VLOOKUP(A4665,'Base Prueba'!A:D,4,),"NO REGISTRA")</f>
        <v>PROMOTOR CALL CENTER</v>
      </c>
      <c r="E4665" s="5" t="str">
        <f>IFERROR(VLOOKUP(A4665,'Base Prueba'!A:E,5,),"NO REGISTRA")</f>
        <v>OFICINA DE MERCADEO</v>
      </c>
    </row>
    <row r="4666" spans="1:5" ht="15.75" x14ac:dyDescent="0.25">
      <c r="A4666" s="14">
        <v>52175674</v>
      </c>
      <c r="B4666" s="2">
        <v>46108.377370486109</v>
      </c>
      <c r="C4666" s="3" t="str">
        <f>IFERROR(VLOOKUP(A4666,'Base Prueba'!A:C,3,),"NO REGISTRA")</f>
        <v>LUZ YANETH GOMEZ AREVALO</v>
      </c>
      <c r="D4666" s="4" t="str">
        <f>IFERROR(VLOOKUP(A4666,'Base Prueba'!A:D,4,),"NO REGISTRA")</f>
        <v>COORDINADORA DE ADMISIONES</v>
      </c>
      <c r="E4666" s="5" t="str">
        <f>IFERROR(VLOOKUP(A4666,'Base Prueba'!A:E,5,),"NO REGISTRA")</f>
        <v>OFICINA DE MERCADEO</v>
      </c>
    </row>
    <row r="4667" spans="1:5" ht="15.75" x14ac:dyDescent="0.25">
      <c r="A4667" s="14">
        <v>53089882</v>
      </c>
      <c r="B4667" s="2">
        <v>46108.378339814815</v>
      </c>
      <c r="C4667" s="3" t="str">
        <f>IFERROR(VLOOKUP(A4667,'Base Prueba'!A:C,3,),"NO REGISTRA")</f>
        <v>MARIA JOHANA ESCAMILLA MARTINEZ</v>
      </c>
      <c r="D4667" s="4" t="str">
        <f>IFERROR(VLOOKUP(A4667,'Base Prueba'!A:D,4,),"NO REGISTRA")</f>
        <v>PROMOTOR DE INFORMACIÓN</v>
      </c>
      <c r="E4667" s="5" t="str">
        <f>IFERROR(VLOOKUP(A4667,'Base Prueba'!A:E,5,),"NO REGISTRA")</f>
        <v>OFICINA DE MERCADEO</v>
      </c>
    </row>
    <row r="4668" spans="1:5" ht="15.75" x14ac:dyDescent="0.25">
      <c r="A4668" s="14">
        <v>1016090131</v>
      </c>
      <c r="B4668" s="2">
        <v>46108.378604745369</v>
      </c>
      <c r="C4668" s="3" t="str">
        <f>IFERROR(VLOOKUP(A4668,'Base Prueba'!A:C,3,),"NO REGISTRA")</f>
        <v>NICOLAS RODRIGUEZ PACHECO</v>
      </c>
      <c r="D4668" s="4" t="str">
        <f>IFERROR(VLOOKUP(A4668,'Base Prueba'!A:D,4,),"NO REGISTRA")</f>
        <v>COORDINADOR DE COMUNICACIONES</v>
      </c>
      <c r="E4668" s="5" t="str">
        <f>IFERROR(VLOOKUP(A4668,'Base Prueba'!A:E,5,),"NO REGISTRA")</f>
        <v>OFICINA DE MERCADEO</v>
      </c>
    </row>
    <row r="4669" spans="1:5" ht="15.75" x14ac:dyDescent="0.25">
      <c r="A4669" s="14">
        <v>1032407386</v>
      </c>
      <c r="B4669" s="2">
        <v>46108.38105196759</v>
      </c>
      <c r="C4669" s="3" t="str">
        <f>IFERROR(VLOOKUP(A4669,'Base Prueba'!A:C,3,),"NO REGISTRA")</f>
        <v>GINA PAOLA BAEZ GALVIS</v>
      </c>
      <c r="D4669" s="4" t="str">
        <f>IFERROR(VLOOKUP(A4669,'Base Prueba'!A:D,4,),"NO REGISTRA")</f>
        <v>PROMOTOR CALL CENTER</v>
      </c>
      <c r="E4669" s="5" t="str">
        <f>IFERROR(VLOOKUP(A4669,'Base Prueba'!A:E,5,),"NO REGISTRA")</f>
        <v>OFICINA DE MERCADEO</v>
      </c>
    </row>
    <row r="4670" spans="1:5" ht="15.75" x14ac:dyDescent="0.25">
      <c r="A4670" s="14">
        <v>1014196857</v>
      </c>
      <c r="B4670" s="2">
        <v>46108.382153819446</v>
      </c>
      <c r="C4670" s="3" t="str">
        <f>IFERROR(VLOOKUP(A4670,'Base Prueba'!A:C,3,),"NO REGISTRA")</f>
        <v>CARLOS ANDRES JIMENEZ PARDO</v>
      </c>
      <c r="D4670" s="4" t="str">
        <f>IFERROR(VLOOKUP(A4670,'Base Prueba'!A:D,4,),"NO REGISTRA")</f>
        <v>COORDINADOR DE MARKETING DIGITAL</v>
      </c>
      <c r="E4670" s="5" t="str">
        <f>IFERROR(VLOOKUP(A4670,'Base Prueba'!A:E,5,),"NO REGISTRA")</f>
        <v>OFICINA DE MERCADEO</v>
      </c>
    </row>
    <row r="4671" spans="1:5" ht="15.75" x14ac:dyDescent="0.25">
      <c r="A4671" s="14">
        <v>52764929</v>
      </c>
      <c r="B4671" s="2">
        <v>46108.387382986111</v>
      </c>
      <c r="C4671" s="3" t="str">
        <f>IFERROR(VLOOKUP(A4671,'Base Prueba'!A:C,3,),"NO REGISTRA")</f>
        <v>GUERLY YOHANA DURAN RIVERA</v>
      </c>
      <c r="D4671" s="4" t="str">
        <f>IFERROR(VLOOKUP(A4671,'Base Prueba'!A:D,4,),"NO REGISTRA")</f>
        <v>LIDER DE VINCULACION COLEGIOS</v>
      </c>
      <c r="E4671" s="5" t="str">
        <f>IFERROR(VLOOKUP(A4671,'Base Prueba'!A:E,5,),"NO REGISTRA")</f>
        <v>OFICINA DE MERCADEO</v>
      </c>
    </row>
    <row r="4672" spans="1:5" ht="15.75" x14ac:dyDescent="0.25">
      <c r="A4672" s="14">
        <v>80234243</v>
      </c>
      <c r="B4672" s="2">
        <v>46108.391074189814</v>
      </c>
      <c r="C4672" s="3" t="str">
        <f>IFERROR(VLOOKUP(A4672,'Base Prueba'!A:C,3,),"NO REGISTRA")</f>
        <v>ARGENIS MARTINEZ MARTINEZ</v>
      </c>
      <c r="D4672" s="4" t="str">
        <f>IFERROR(VLOOKUP(A4672,'Base Prueba'!A:D,4,),"NO REGISTRA")</f>
        <v>LIDER CALL CENTER</v>
      </c>
      <c r="E4672" s="5" t="str">
        <f>IFERROR(VLOOKUP(A4672,'Base Prueba'!A:E,5,),"NO REGISTRA")</f>
        <v>OFICINA DE MERCADEO</v>
      </c>
    </row>
    <row r="4673" spans="1:5" ht="15.75" x14ac:dyDescent="0.25">
      <c r="A4673" s="14">
        <v>1022996882</v>
      </c>
      <c r="B4673" s="2">
        <v>46108.525630208336</v>
      </c>
      <c r="C4673" s="3" t="str">
        <f>IFERROR(VLOOKUP(A4673,'Base Prueba'!A:C,3,),"NO REGISTRA")</f>
        <v>NANCY BRIGITH ALDANA GUEVARA</v>
      </c>
      <c r="D4673" s="4" t="str">
        <f>IFERROR(VLOOKUP(A4673,'Base Prueba'!A:D,4,),"NO REGISTRA")</f>
        <v>COORDINADORA DE GESTIÓN HUMANA</v>
      </c>
      <c r="E4673" s="5" t="str">
        <f>IFERROR(VLOOKUP(A4673,'Base Prueba'!A:E,5,),"NO REGISTRA")</f>
        <v>DEPARTAMENTO DE GESTION HUMANA</v>
      </c>
    </row>
    <row r="4674" spans="1:5" ht="15.75" x14ac:dyDescent="0.25">
      <c r="A4674" s="14">
        <v>1014266838</v>
      </c>
      <c r="B4674" s="2">
        <v>46108.533668055556</v>
      </c>
      <c r="C4674" s="3" t="str">
        <f>IFERROR(VLOOKUP(A4674,'Base Prueba'!A:C,3,),"NO REGISTRA")</f>
        <v>JENNIFER ASTRID ROMERO HURTADO</v>
      </c>
      <c r="D4674" s="4" t="str">
        <f>IFERROR(VLOOKUP(A4674,'Base Prueba'!A:D,4,),"NO REGISTRA")</f>
        <v>LIDER DE RECAUDO</v>
      </c>
      <c r="E4674" s="5" t="str">
        <f>IFERROR(VLOOKUP(A4674,'Base Prueba'!A:E,5,),"NO REGISTRA")</f>
        <v>AREA FINANCIERA Y CONTABLE</v>
      </c>
    </row>
    <row r="4675" spans="1:5" ht="15.75" x14ac:dyDescent="0.25">
      <c r="A4675" s="14">
        <v>1193457976</v>
      </c>
      <c r="B4675" s="2">
        <v>46108.709052546299</v>
      </c>
      <c r="C4675" s="3" t="str">
        <f>IFERROR(VLOOKUP(A4675,'Base Prueba'!A:C,3,),"NO REGISTRA")</f>
        <v>SEDENIS RIVAS ASPRILLA</v>
      </c>
      <c r="D4675" s="4" t="str">
        <f>IFERROR(VLOOKUP(A4675,'Base Prueba'!A:D,4,),"NO REGISTRA")</f>
        <v>APRENDIZ UNIVERSITARIO</v>
      </c>
      <c r="E4675" s="5" t="str">
        <f>IFERROR(VLOOKUP(A4675,'Base Prueba'!A:E,5,),"NO REGISTRA")</f>
        <v>DEPARTAMENTO DE GESTION HUMANA</v>
      </c>
    </row>
    <row r="4676" spans="1:5" ht="15.75" x14ac:dyDescent="0.25">
      <c r="A4676" s="14">
        <v>1000593372</v>
      </c>
      <c r="B4676" s="2">
        <v>46108.709868518519</v>
      </c>
      <c r="C4676" s="3" t="str">
        <f>IFERROR(VLOOKUP(A4676,'Base Prueba'!A:C,3,),"NO REGISTRA")</f>
        <v>LAURA SOFIA CHAPARRO LOPEZ</v>
      </c>
      <c r="D4676" s="4" t="str">
        <f>IFERROR(VLOOKUP(A4676,'Base Prueba'!A:D,4,),"NO REGISTRA")</f>
        <v>AUXILIAR JURIDICO</v>
      </c>
      <c r="E4676" s="5" t="str">
        <f>IFERROR(VLOOKUP(A4676,'Base Prueba'!A:E,5,),"NO REGISTRA")</f>
        <v>SECRETARIA GENERAL</v>
      </c>
    </row>
    <row r="4677" spans="1:5" ht="15.75" x14ac:dyDescent="0.25">
      <c r="A4677" s="14">
        <v>1000604979</v>
      </c>
      <c r="B4677" s="2">
        <v>46108.709903819443</v>
      </c>
      <c r="C4677" s="3" t="str">
        <f>IFERROR(VLOOKUP(A4677,'Base Prueba'!A:C,3,),"NO REGISTRA")</f>
        <v>JULIETH TATIANA PARDO PINTO</v>
      </c>
      <c r="D4677" s="4" t="str">
        <f>IFERROR(VLOOKUP(A4677,'Base Prueba'!A:D,4,),"NO REGISTRA")</f>
        <v>AUXILIAR JURIDICO</v>
      </c>
      <c r="E4677" s="5" t="str">
        <f>IFERROR(VLOOKUP(A4677,'Base Prueba'!A:E,5,),"NO REGISTRA")</f>
        <v>SECRETARIA GENERAL</v>
      </c>
    </row>
    <row r="4678" spans="1:5" ht="15.75" x14ac:dyDescent="0.25">
      <c r="A4678" s="14">
        <v>1000467399</v>
      </c>
      <c r="B4678" s="2">
        <v>46108.71052025463</v>
      </c>
      <c r="C4678" s="3" t="str">
        <f>IFERROR(VLOOKUP(A4678,'Base Prueba'!A:C,3,),"NO REGISTRA")</f>
        <v>BRANDO ESTIVEN DIAZ QUIMBAYA</v>
      </c>
      <c r="D4678" s="4" t="str">
        <f>IFERROR(VLOOKUP(A4678,'Base Prueba'!A:D,4,),"NO REGISTRA")</f>
        <v>APRENDIZ UNIVERSITARIO</v>
      </c>
      <c r="E4678" s="5" t="str">
        <f>IFERROR(VLOOKUP(A4678,'Base Prueba'!A:E,5,),"NO REGISTRA")</f>
        <v>DEPARTAMENTO DE GESTION HUMANA</v>
      </c>
    </row>
    <row r="4679" spans="1:5" ht="15.75" x14ac:dyDescent="0.25">
      <c r="A4679" s="14">
        <v>1010184333</v>
      </c>
      <c r="B4679" s="2">
        <v>46108.710860300926</v>
      </c>
      <c r="C4679" s="3" t="str">
        <f>IFERROR(VLOOKUP(A4679,'Base Prueba'!A:C,3,),"NO REGISTRA")</f>
        <v>AKON ANDRES GARZON ALVAREZ</v>
      </c>
      <c r="D4679" s="4" t="str">
        <f>IFERROR(VLOOKUP(A4679,'Base Prueba'!A:D,4,),"NO REGISTRA")</f>
        <v>APRENDIZ UNIVERSITARIO</v>
      </c>
      <c r="E4679" s="5" t="str">
        <f>IFERROR(VLOOKUP(A4679,'Base Prueba'!A:E,5,),"NO REGISTRA")</f>
        <v>SECRETARIA GENERAL</v>
      </c>
    </row>
    <row r="4680" spans="1:5" ht="15.75" x14ac:dyDescent="0.25">
      <c r="A4680" s="14">
        <v>1030567635</v>
      </c>
      <c r="B4680" s="2">
        <v>46108.713816898147</v>
      </c>
      <c r="C4680" s="3" t="str">
        <f>IFERROR(VLOOKUP(A4680,'Base Prueba'!A:C,3,),"NO REGISTRA")</f>
        <v>JEFFERSON ANDRES BARRETO DIAZ</v>
      </c>
      <c r="D4680" s="4" t="str">
        <f>IFERROR(VLOOKUP(A4680,'Base Prueba'!A:D,4,),"NO REGISTRA")</f>
        <v>AUXILIAR DE ARCHIVO</v>
      </c>
      <c r="E4680" s="5" t="str">
        <f>IFERROR(VLOOKUP(A4680,'Base Prueba'!A:E,5,),"NO REGISTRA")</f>
        <v>CENTRO DE GESTION DOCUMENTAL</v>
      </c>
    </row>
    <row r="4681" spans="1:5" ht="15.75" x14ac:dyDescent="0.25">
      <c r="A4681" s="14">
        <v>1013098430</v>
      </c>
      <c r="B4681" s="2">
        <v>46108.714239583336</v>
      </c>
      <c r="C4681" s="3" t="str">
        <f>IFERROR(VLOOKUP(A4681,'Base Prueba'!A:C,3,),"NO REGISTRA")</f>
        <v>ANDRES FELIPE LOPEZ ROMERO</v>
      </c>
      <c r="D4681" s="4" t="str">
        <f>IFERROR(VLOOKUP(A4681,'Base Prueba'!A:D,4,),"NO REGISTRA")</f>
        <v>APRENDIZ UNIVERSITARIO</v>
      </c>
      <c r="E4681" s="5" t="str">
        <f>IFERROR(VLOOKUP(A4681,'Base Prueba'!A:E,5,),"NO REGISTRA")</f>
        <v>OFICINA DE MERCADEO</v>
      </c>
    </row>
    <row r="4682" spans="1:5" ht="15.75" x14ac:dyDescent="0.25">
      <c r="A4682" s="14">
        <v>1023883232</v>
      </c>
      <c r="B4682" s="2">
        <v>46108.717588657404</v>
      </c>
      <c r="C4682" s="3" t="str">
        <f>IFERROR(VLOOKUP(A4682,'Base Prueba'!A:C,3,),"NO REGISTRA")</f>
        <v>MONICA ANDREA ACERO URBANO</v>
      </c>
      <c r="D4682" s="4" t="str">
        <f>IFERROR(VLOOKUP(A4682,'Base Prueba'!A:D,4,),"NO REGISTRA")</f>
        <v>APOYO INTEGRAL A GESTION HUMANA</v>
      </c>
      <c r="E4682" s="5" t="str">
        <f>IFERROR(VLOOKUP(A4682,'Base Prueba'!A:E,5,),"NO REGISTRA")</f>
        <v>DEPARTAMENTO DE GESTION HUMANA</v>
      </c>
    </row>
    <row r="4683" spans="1:5" ht="15.75" x14ac:dyDescent="0.25">
      <c r="A4683" s="14">
        <v>1014977624</v>
      </c>
      <c r="B4683" s="2">
        <v>46108.721454166669</v>
      </c>
      <c r="C4683" s="3" t="str">
        <f>IFERROR(VLOOKUP(A4683,'Base Prueba'!A:C,3,),"NO REGISTRA")</f>
        <v>NICCOLE VALENTINA HERNANDEZ MALAVER</v>
      </c>
      <c r="D4683" s="4" t="str">
        <f>IFERROR(VLOOKUP(A4683,'Base Prueba'!A:D,4,),"NO REGISTRA")</f>
        <v>APRENDIZ UNIVERSITARIO</v>
      </c>
      <c r="E4683" s="5" t="str">
        <f>IFERROR(VLOOKUP(A4683,'Base Prueba'!A:E,5,),"NO REGISTRA")</f>
        <v>AREA FINANCIERA Y CONTABLE</v>
      </c>
    </row>
    <row r="4684" spans="1:5" ht="15.75" x14ac:dyDescent="0.25">
      <c r="A4684" s="14">
        <v>1013616244</v>
      </c>
      <c r="B4684" s="2">
        <v>46108.724295486114</v>
      </c>
      <c r="C4684" s="3" t="str">
        <f>IFERROR(VLOOKUP(A4684,'Base Prueba'!A:C,3,),"NO REGISTRA")</f>
        <v>DIANA CAROLINA MARIN BETANCOURT</v>
      </c>
      <c r="D4684" s="4" t="str">
        <f>IFERROR(VLOOKUP(A4684,'Base Prueba'!A:D,4,),"NO REGISTRA")</f>
        <v>AUXILIAR ADMINISTRATIVO</v>
      </c>
      <c r="E4684" s="5" t="str">
        <f>IFERROR(VLOOKUP(A4684,'Base Prueba'!A:E,5,),"NO REGISTRA")</f>
        <v>REGISTRO Y CONTROL ACADEMICO</v>
      </c>
    </row>
    <row r="4685" spans="1:5" ht="15.75" x14ac:dyDescent="0.25">
      <c r="A4685" s="14">
        <v>1000324729</v>
      </c>
      <c r="B4685" s="2">
        <v>46108.724385300928</v>
      </c>
      <c r="C4685" s="3" t="str">
        <f>IFERROR(VLOOKUP(A4685,'Base Prueba'!A:C,3,),"NO REGISTRA")</f>
        <v>ANYIE VANESSA TINOCO CAMACHO</v>
      </c>
      <c r="D4685" s="4" t="str">
        <f>IFERROR(VLOOKUP(A4685,'Base Prueba'!A:D,4,),"NO REGISTRA")</f>
        <v>LIDER DE REGISTRO Y CONTROL</v>
      </c>
      <c r="E4685" s="5" t="str">
        <f>IFERROR(VLOOKUP(A4685,'Base Prueba'!A:E,5,),"NO REGISTRA")</f>
        <v>REGISTRO Y CONTROL ACADEMICO</v>
      </c>
    </row>
    <row r="4686" spans="1:5" ht="15.75" x14ac:dyDescent="0.25">
      <c r="A4686" s="14">
        <v>1024512067</v>
      </c>
      <c r="B4686" s="2">
        <v>46108.730210532405</v>
      </c>
      <c r="C4686" s="3" t="str">
        <f>IFERROR(VLOOKUP(A4686,'Base Prueba'!A:C,3,),"NO REGISTRA")</f>
        <v>CINDY GIOVANA SALGAR GOMEZ</v>
      </c>
      <c r="D4686" s="4" t="str">
        <f>IFERROR(VLOOKUP(A4686,'Base Prueba'!A:D,4,),"NO REGISTRA")</f>
        <v>COORDINADOR DEL SISTEMA INTEGRADO DE GESTION INSTITUCIONAL - SIGI</v>
      </c>
      <c r="E4686" s="5" t="str">
        <f>IFERROR(VLOOKUP(A4686,'Base Prueba'!A:E,5,),"NO REGISTRA")</f>
        <v>OFICINA DE PLANEACION Y GESTION DE LA CALIDAD</v>
      </c>
    </row>
    <row r="4687" spans="1:5" ht="15.75" x14ac:dyDescent="0.25">
      <c r="A4687" s="14">
        <v>1000457706</v>
      </c>
      <c r="B4687" s="2">
        <v>46108.73090023148</v>
      </c>
      <c r="C4687" s="3" t="str">
        <f>IFERROR(VLOOKUP(A4687,'Base Prueba'!A:C,3,),"NO REGISTRA")</f>
        <v>CRISTIAN DANILO ARROYO SANABRIA</v>
      </c>
      <c r="D4687" s="4" t="str">
        <f>IFERROR(VLOOKUP(A4687,'Base Prueba'!A:D,4,),"NO REGISTRA")</f>
        <v>AUXILIAR CONTABLE</v>
      </c>
      <c r="E4687" s="5" t="str">
        <f>IFERROR(VLOOKUP(A4687,'Base Prueba'!A:E,5,),"NO REGISTRA")</f>
        <v>AREA FINANCIERA Y CONTABLE</v>
      </c>
    </row>
    <row r="4688" spans="1:5" ht="15.75" x14ac:dyDescent="0.25">
      <c r="A4688" s="14">
        <v>53932358</v>
      </c>
      <c r="B4688" s="2">
        <v>46108.745967476854</v>
      </c>
      <c r="C4688" s="3" t="str">
        <f>IFERROR(VLOOKUP(A4688,'Base Prueba'!A:C,3,),"NO REGISTRA")</f>
        <v>DIANA MADELEYNE GAONA RODRIGUEZ</v>
      </c>
      <c r="D4688" s="4" t="str">
        <f>IFERROR(VLOOKUP(A4688,'Base Prueba'!A:D,4,),"NO REGISTRA")</f>
        <v>CONTADOR</v>
      </c>
      <c r="E4688" s="5" t="str">
        <f>IFERROR(VLOOKUP(A4688,'Base Prueba'!A:E,5,),"NO REGISTRA")</f>
        <v>AREA FINANCIERA Y CONTABLE</v>
      </c>
    </row>
    <row r="4689" spans="1:5" ht="15.75" x14ac:dyDescent="0.25">
      <c r="A4689" s="14">
        <v>1012426741</v>
      </c>
      <c r="B4689" s="2">
        <v>46108.750256597225</v>
      </c>
      <c r="C4689" s="3" t="str">
        <f>IFERROR(VLOOKUP(A4689,'Base Prueba'!A:C,3,),"NO REGISTRA")</f>
        <v>CRISTIAN FABIAN ROJAS SANCENO</v>
      </c>
      <c r="D4689" s="4" t="str">
        <f>IFERROR(VLOOKUP(A4689,'Base Prueba'!A:D,4,),"NO REGISTRA")</f>
        <v>AUXILIAR DE REINTEGROS</v>
      </c>
      <c r="E4689" s="5" t="str">
        <f>IFERROR(VLOOKUP(A4689,'Base Prueba'!A:E,5,),"NO REGISTRA")</f>
        <v>DIRECCION DE BIENESTAR INSTITUCIONAL</v>
      </c>
    </row>
    <row r="4690" spans="1:5" ht="15.75" x14ac:dyDescent="0.25">
      <c r="A4690" s="14">
        <v>52443092</v>
      </c>
      <c r="B4690" s="2">
        <v>46108.750557175925</v>
      </c>
      <c r="C4690" s="3" t="str">
        <f>IFERROR(VLOOKUP(A4690,'Base Prueba'!A:C,3,),"NO REGISTRA")</f>
        <v>LUZ MYRIAM SAAVEDRA CONTRERAS</v>
      </c>
      <c r="D4690" s="4" t="str">
        <f>IFERROR(VLOOKUP(A4690,'Base Prueba'!A:D,4,),"NO REGISTRA")</f>
        <v>AUXILIAR DE SERVICIOS</v>
      </c>
      <c r="E4690" s="5" t="str">
        <f>IFERROR(VLOOKUP(A4690,'Base Prueba'!A:E,5,),"NO REGISTRA")</f>
        <v>LOGISTICA Y SERVICIOS GENERALES</v>
      </c>
    </row>
    <row r="4691" spans="1:5" ht="15.75" x14ac:dyDescent="0.25">
      <c r="A4691" s="14">
        <v>1000046533</v>
      </c>
      <c r="B4691" s="2">
        <v>46108.750710416665</v>
      </c>
      <c r="C4691" s="3" t="str">
        <f>IFERROR(VLOOKUP(A4691,'Base Prueba'!A:C,3,),"NO REGISTRA")</f>
        <v>ERIKA JULIETH VALDERRAMA SANCHEZ</v>
      </c>
      <c r="D4691" s="4" t="str">
        <f>IFERROR(VLOOKUP(A4691,'Base Prueba'!A:D,4,),"NO REGISTRA")</f>
        <v>PROMOTOR CALL CENTER</v>
      </c>
      <c r="E4691" s="5" t="str">
        <f>IFERROR(VLOOKUP(A4691,'Base Prueba'!A:E,5,),"NO REGISTRA")</f>
        <v>OFICINA DE MERCADEO</v>
      </c>
    </row>
    <row r="4692" spans="1:5" ht="15.75" x14ac:dyDescent="0.25">
      <c r="A4692" s="14">
        <v>80191732</v>
      </c>
      <c r="B4692" s="2">
        <v>46108.750764467593</v>
      </c>
      <c r="C4692" s="3" t="str">
        <f>IFERROR(VLOOKUP(A4692,'Base Prueba'!A:C,3,),"NO REGISTRA")</f>
        <v>DANIEL MAURICIO ZAMBRANO TUNJANO</v>
      </c>
      <c r="D4692" s="4" t="str">
        <f>IFERROR(VLOOKUP(A4692,'Base Prueba'!A:D,4,),"NO REGISTRA")</f>
        <v>COORDINADOR DE DISEÑO E IMAGEN INSTITUCIONAL</v>
      </c>
      <c r="E4692" s="5" t="str">
        <f>IFERROR(VLOOKUP(A4692,'Base Prueba'!A:E,5,),"NO REGISTRA")</f>
        <v>OFICINA DE MERCADEO</v>
      </c>
    </row>
    <row r="4693" spans="1:5" ht="15.75" x14ac:dyDescent="0.25">
      <c r="A4693" s="14">
        <v>1019105003</v>
      </c>
      <c r="B4693" s="2">
        <v>46108.752187268517</v>
      </c>
      <c r="C4693" s="3" t="str">
        <f>IFERROR(VLOOKUP(A4693,'Base Prueba'!A:C,3,),"NO REGISTRA")</f>
        <v>DAISY JULIETH GASPAR MORENO</v>
      </c>
      <c r="D4693" s="4" t="str">
        <f>IFERROR(VLOOKUP(A4693,'Base Prueba'!A:D,4,),"NO REGISTRA")</f>
        <v>PROMOTOR CALL CENTER</v>
      </c>
      <c r="E4693" s="5" t="str">
        <f>IFERROR(VLOOKUP(A4693,'Base Prueba'!A:E,5,),"NO REGISTRA")</f>
        <v>OFICINA DE MERCADEO</v>
      </c>
    </row>
    <row r="4694" spans="1:5" ht="15.75" x14ac:dyDescent="0.25">
      <c r="A4694" s="14">
        <v>52472386</v>
      </c>
      <c r="B4694" s="2">
        <v>46108.754627430557</v>
      </c>
      <c r="C4694" s="3" t="str">
        <f>IFERROR(VLOOKUP(A4694,'Base Prueba'!A:C,3,),"NO REGISTRA")</f>
        <v>ADRIANA MARCELA MORALES PARDO</v>
      </c>
      <c r="D4694" s="4" t="str">
        <f>IFERROR(VLOOKUP(A4694,'Base Prueba'!A:D,4,),"NO REGISTRA")</f>
        <v>PROMOTOR CALL CENTER</v>
      </c>
      <c r="E4694" s="5" t="str">
        <f>IFERROR(VLOOKUP(A4694,'Base Prueba'!A:E,5,),"NO REGISTRA")</f>
        <v>OFICINA DE MERCADEO</v>
      </c>
    </row>
    <row r="4695" spans="1:5" ht="15.75" x14ac:dyDescent="0.25">
      <c r="A4695" s="14">
        <v>52175674</v>
      </c>
      <c r="B4695" s="2">
        <v>46108.757518865743</v>
      </c>
      <c r="C4695" s="3" t="str">
        <f>IFERROR(VLOOKUP(A4695,'Base Prueba'!A:C,3,),"NO REGISTRA")</f>
        <v>LUZ YANETH GOMEZ AREVALO</v>
      </c>
      <c r="D4695" s="4" t="str">
        <f>IFERROR(VLOOKUP(A4695,'Base Prueba'!A:D,4,),"NO REGISTRA")</f>
        <v>COORDINADORA DE ADMISIONES</v>
      </c>
      <c r="E4695" s="5" t="str">
        <f>IFERROR(VLOOKUP(A4695,'Base Prueba'!A:E,5,),"NO REGISTRA")</f>
        <v>OFICINA DE MERCADEO</v>
      </c>
    </row>
    <row r="4696" spans="1:5" ht="15.75" x14ac:dyDescent="0.25">
      <c r="A4696" s="14">
        <v>1033709056</v>
      </c>
      <c r="B4696" s="2">
        <v>46108.758345601855</v>
      </c>
      <c r="C4696" s="3" t="str">
        <f>IFERROR(VLOOKUP(A4696,'Base Prueba'!A:C,3,),"NO REGISTRA")</f>
        <v>YEIMY ALEXANDRA RODRIGUEZ PALACIO</v>
      </c>
      <c r="D4696" s="4" t="str">
        <f>IFERROR(VLOOKUP(A4696,'Base Prueba'!A:D,4,),"NO REGISTRA")</f>
        <v>PROMOTOR CALL CENTER</v>
      </c>
      <c r="E4696" s="5" t="str">
        <f>IFERROR(VLOOKUP(A4696,'Base Prueba'!A:E,5,),"NO REGISTRA")</f>
        <v>OFICINA DE MERCADEO</v>
      </c>
    </row>
    <row r="4697" spans="1:5" ht="15.75" x14ac:dyDescent="0.25">
      <c r="A4697" s="14">
        <v>53089882</v>
      </c>
      <c r="B4697" s="2">
        <v>46108.758399305552</v>
      </c>
      <c r="C4697" s="3" t="str">
        <f>IFERROR(VLOOKUP(A4697,'Base Prueba'!A:C,3,),"NO REGISTRA")</f>
        <v>MARIA JOHANA ESCAMILLA MARTINEZ</v>
      </c>
      <c r="D4697" s="4" t="str">
        <f>IFERROR(VLOOKUP(A4697,'Base Prueba'!A:D,4,),"NO REGISTRA")</f>
        <v>PROMOTOR DE INFORMACIÓN</v>
      </c>
      <c r="E4697" s="5" t="str">
        <f>IFERROR(VLOOKUP(A4697,'Base Prueba'!A:E,5,),"NO REGISTRA")</f>
        <v>OFICINA DE MERCADEO</v>
      </c>
    </row>
    <row r="4698" spans="1:5" ht="15.75" x14ac:dyDescent="0.25">
      <c r="A4698" s="14">
        <v>1018413529</v>
      </c>
      <c r="B4698" s="2">
        <v>46108.758481597222</v>
      </c>
      <c r="C4698" s="3" t="str">
        <f>IFERROR(VLOOKUP(A4698,'Base Prueba'!A:C,3,),"NO REGISTRA")</f>
        <v>FRANCY STELLA CHARRY MORENO</v>
      </c>
      <c r="D4698" s="4" t="str">
        <f>IFERROR(VLOOKUP(A4698,'Base Prueba'!A:D,4,),"NO REGISTRA")</f>
        <v>PROMOTOR COMERCIAL DEL CEA</v>
      </c>
      <c r="E4698" s="5" t="str">
        <f>IFERROR(VLOOKUP(A4698,'Base Prueba'!A:E,5,),"NO REGISTRA")</f>
        <v>OFICINA DE MERCADEO</v>
      </c>
    </row>
    <row r="4699" spans="1:5" ht="15.75" x14ac:dyDescent="0.25">
      <c r="A4699" s="14">
        <v>1032407386</v>
      </c>
      <c r="B4699" s="2">
        <v>46108.758578935187</v>
      </c>
      <c r="C4699" s="3" t="str">
        <f>IFERROR(VLOOKUP(A4699,'Base Prueba'!A:C,3,),"NO REGISTRA")</f>
        <v>GINA PAOLA BAEZ GALVIS</v>
      </c>
      <c r="D4699" s="4" t="str">
        <f>IFERROR(VLOOKUP(A4699,'Base Prueba'!A:D,4,),"NO REGISTRA")</f>
        <v>PROMOTOR CALL CENTER</v>
      </c>
      <c r="E4699" s="5" t="str">
        <f>IFERROR(VLOOKUP(A4699,'Base Prueba'!A:E,5,),"NO REGISTRA")</f>
        <v>OFICINA DE MERCADEO</v>
      </c>
    </row>
    <row r="4700" spans="1:5" ht="15.75" x14ac:dyDescent="0.25">
      <c r="A4700" s="14">
        <v>1018414290</v>
      </c>
      <c r="B4700" s="2">
        <v>46108.758648379633</v>
      </c>
      <c r="C4700" s="3" t="str">
        <f>IFERROR(VLOOKUP(A4700,'Base Prueba'!A:C,3,),"NO REGISTRA")</f>
        <v>AMANDA LISBETH RODRIGUEZ LEON</v>
      </c>
      <c r="D4700" s="4" t="str">
        <f>IFERROR(VLOOKUP(A4700,'Base Prueba'!A:D,4,),"NO REGISTRA")</f>
        <v>PROMOTOR CALL CENTER</v>
      </c>
      <c r="E4700" s="5" t="str">
        <f>IFERROR(VLOOKUP(A4700,'Base Prueba'!A:E,5,),"NO REGISTRA")</f>
        <v>OFICINA DE MERCADEO</v>
      </c>
    </row>
    <row r="4701" spans="1:5" ht="15.75" x14ac:dyDescent="0.25">
      <c r="A4701" s="14">
        <v>28798349</v>
      </c>
      <c r="B4701" s="2">
        <v>46108.761314930554</v>
      </c>
      <c r="C4701" s="3" t="str">
        <f>IFERROR(VLOOKUP(A4701,'Base Prueba'!A:C,3,),"NO REGISTRA")</f>
        <v>MARTHA ISABEL TOVAR WILLIAMS</v>
      </c>
      <c r="D4701" s="4" t="str">
        <f>IFERROR(VLOOKUP(A4701,'Base Prueba'!A:D,4,),"NO REGISTRA")</f>
        <v>PROMOTOR CALL CENTER</v>
      </c>
      <c r="E4701" s="5" t="str">
        <f>IFERROR(VLOOKUP(A4701,'Base Prueba'!A:E,5,),"NO REGISTRA")</f>
        <v>OFICINA DE MERCADEO</v>
      </c>
    </row>
    <row r="4702" spans="1:5" ht="15.75" x14ac:dyDescent="0.25">
      <c r="A4702" s="14">
        <v>1023961952</v>
      </c>
      <c r="B4702" s="2">
        <v>46108.761418055554</v>
      </c>
      <c r="C4702" s="3" t="str">
        <f>IFERROR(VLOOKUP(A4702,'Base Prueba'!A:C,3,),"NO REGISTRA")</f>
        <v>ALEJANDRO PINZON MERCHAN</v>
      </c>
      <c r="D4702" s="4" t="str">
        <f>IFERROR(VLOOKUP(A4702,'Base Prueba'!A:D,4,),"NO REGISTRA")</f>
        <v>PROMOTOR CALL CENTER</v>
      </c>
      <c r="E4702" s="5" t="str">
        <f>IFERROR(VLOOKUP(A4702,'Base Prueba'!A:E,5,),"NO REGISTRA")</f>
        <v>OFICINA DE MERCADEO</v>
      </c>
    </row>
    <row r="4703" spans="1:5" ht="15.75" x14ac:dyDescent="0.25">
      <c r="A4703" s="14">
        <v>80234243</v>
      </c>
      <c r="B4703" s="2">
        <v>46108.761734490741</v>
      </c>
      <c r="C4703" s="3" t="str">
        <f>IFERROR(VLOOKUP(A4703,'Base Prueba'!A:C,3,),"NO REGISTRA")</f>
        <v>ARGENIS MARTINEZ MARTINEZ</v>
      </c>
      <c r="D4703" s="4" t="str">
        <f>IFERROR(VLOOKUP(A4703,'Base Prueba'!A:D,4,),"NO REGISTRA")</f>
        <v>LIDER CALL CENTER</v>
      </c>
      <c r="E4703" s="5" t="str">
        <f>IFERROR(VLOOKUP(A4703,'Base Prueba'!A:E,5,),"NO REGISTRA")</f>
        <v>OFICINA DE MERCADEO</v>
      </c>
    </row>
    <row r="4704" spans="1:5" ht="15.75" x14ac:dyDescent="0.25">
      <c r="A4704" s="14">
        <v>1016090131</v>
      </c>
      <c r="B4704" s="2">
        <v>46108.771103125</v>
      </c>
      <c r="C4704" s="3" t="str">
        <f>IFERROR(VLOOKUP(A4704,'Base Prueba'!A:C,3,),"NO REGISTRA")</f>
        <v>NICOLAS RODRIGUEZ PACHECO</v>
      </c>
      <c r="D4704" s="4" t="str">
        <f>IFERROR(VLOOKUP(A4704,'Base Prueba'!A:D,4,),"NO REGISTRA")</f>
        <v>COORDINADOR DE COMUNICACIONES</v>
      </c>
      <c r="E4704" s="5" t="str">
        <f>IFERROR(VLOOKUP(A4704,'Base Prueba'!A:E,5,),"NO REGISTRA")</f>
        <v>OFICINA DE MERCADEO</v>
      </c>
    </row>
    <row r="4705" spans="1:5" ht="15.75" x14ac:dyDescent="0.25">
      <c r="A4705" s="14">
        <v>1014196857</v>
      </c>
      <c r="B4705" s="2">
        <v>46108.772290046298</v>
      </c>
      <c r="C4705" s="3" t="str">
        <f>IFERROR(VLOOKUP(A4705,'Base Prueba'!A:C,3,),"NO REGISTRA")</f>
        <v>CARLOS ANDRES JIMENEZ PARDO</v>
      </c>
      <c r="D4705" s="4" t="str">
        <f>IFERROR(VLOOKUP(A4705,'Base Prueba'!A:D,4,),"NO REGISTRA")</f>
        <v>COORDINADOR DE MARKETING DIGITAL</v>
      </c>
      <c r="E4705" s="5" t="str">
        <f>IFERROR(VLOOKUP(A4705,'Base Prueba'!A:E,5,),"NO REGISTRA")</f>
        <v>OFICINA DE MERCADEO</v>
      </c>
    </row>
    <row r="4706" spans="1:5" ht="15.75" x14ac:dyDescent="0.25">
      <c r="A4706" s="14">
        <v>1013098430</v>
      </c>
      <c r="B4706" s="2">
        <v>46109.328500578704</v>
      </c>
      <c r="C4706" s="3" t="str">
        <f>IFERROR(VLOOKUP(A4706,'Base Prueba'!A:C,3,),"NO REGISTRA")</f>
        <v>ANDRES FELIPE LOPEZ ROMERO</v>
      </c>
      <c r="D4706" s="4" t="str">
        <f>IFERROR(VLOOKUP(A4706,'Base Prueba'!A:D,4,),"NO REGISTRA")</f>
        <v>APRENDIZ UNIVERSITARIO</v>
      </c>
      <c r="E4706" s="5" t="str">
        <f>IFERROR(VLOOKUP(A4706,'Base Prueba'!A:E,5,),"NO REGISTRA")</f>
        <v>OFICINA DE MERCADEO</v>
      </c>
    </row>
    <row r="4707" spans="1:5" ht="15.75" x14ac:dyDescent="0.25">
      <c r="A4707" s="14">
        <v>1013616244</v>
      </c>
      <c r="B4707" s="2">
        <v>46109.328549768521</v>
      </c>
      <c r="C4707" s="3" t="str">
        <f>IFERROR(VLOOKUP(A4707,'Base Prueba'!A:C,3,),"NO REGISTRA")</f>
        <v>DIANA CAROLINA MARIN BETANCOURT</v>
      </c>
      <c r="D4707" s="4" t="str">
        <f>IFERROR(VLOOKUP(A4707,'Base Prueba'!A:D,4,),"NO REGISTRA")</f>
        <v>AUXILIAR ADMINISTRATIVO</v>
      </c>
      <c r="E4707" s="5" t="str">
        <f>IFERROR(VLOOKUP(A4707,'Base Prueba'!A:E,5,),"NO REGISTRA")</f>
        <v>REGISTRO Y CONTROL ACADEMICO</v>
      </c>
    </row>
    <row r="4708" spans="1:5" ht="15.75" x14ac:dyDescent="0.25">
      <c r="A4708" s="14">
        <v>80725196</v>
      </c>
      <c r="B4708" s="2">
        <v>46109.35317800926</v>
      </c>
      <c r="C4708" s="3" t="str">
        <f>IFERROR(VLOOKUP(A4708,'Base Prueba'!A:C,3,),"NO REGISTRA")</f>
        <v>YEISON YOSET TOVAR BARBOSA</v>
      </c>
      <c r="D4708" s="4" t="str">
        <f>IFERROR(VLOOKUP(A4708,'Base Prueba'!A:D,4,),"NO REGISTRA")</f>
        <v>LIDER GESTION DOCUMENTAL</v>
      </c>
      <c r="E4708" s="5" t="str">
        <f>IFERROR(VLOOKUP(A4708,'Base Prueba'!A:E,5,),"NO REGISTRA")</f>
        <v>CENTRO DE GESTION DOCUMENTAL</v>
      </c>
    </row>
    <row r="4709" spans="1:5" ht="15.75" x14ac:dyDescent="0.25">
      <c r="A4709" s="14">
        <v>80234243</v>
      </c>
      <c r="B4709" s="2">
        <v>46109.355194212963</v>
      </c>
      <c r="C4709" s="3" t="str">
        <f>IFERROR(VLOOKUP(A4709,'Base Prueba'!A:C,3,),"NO REGISTRA")</f>
        <v>ARGENIS MARTINEZ MARTINEZ</v>
      </c>
      <c r="D4709" s="4" t="str">
        <f>IFERROR(VLOOKUP(A4709,'Base Prueba'!A:D,4,),"NO REGISTRA")</f>
        <v>LIDER CALL CENTER</v>
      </c>
      <c r="E4709" s="5" t="str">
        <f>IFERROR(VLOOKUP(A4709,'Base Prueba'!A:E,5,),"NO REGISTRA")</f>
        <v>OFICINA DE MERCADEO</v>
      </c>
    </row>
    <row r="4710" spans="1:5" ht="15.75" x14ac:dyDescent="0.25">
      <c r="A4710" s="14">
        <v>1000324729</v>
      </c>
      <c r="B4710" s="2">
        <v>46109.35821215278</v>
      </c>
      <c r="C4710" s="3" t="str">
        <f>IFERROR(VLOOKUP(A4710,'Base Prueba'!A:C,3,),"NO REGISTRA")</f>
        <v>ANYIE VANESSA TINOCO CAMACHO</v>
      </c>
      <c r="D4710" s="4" t="str">
        <f>IFERROR(VLOOKUP(A4710,'Base Prueba'!A:D,4,),"NO REGISTRA")</f>
        <v>LIDER DE REGISTRO Y CONTROL</v>
      </c>
      <c r="E4710" s="5" t="str">
        <f>IFERROR(VLOOKUP(A4710,'Base Prueba'!A:E,5,),"NO REGISTRA")</f>
        <v>REGISTRO Y CONTROL ACADEMICO</v>
      </c>
    </row>
    <row r="4711" spans="1:5" ht="15.75" x14ac:dyDescent="0.25">
      <c r="A4711" s="14">
        <v>1014308296</v>
      </c>
      <c r="B4711" s="2">
        <v>46109.366000925926</v>
      </c>
      <c r="C4711" s="3" t="str">
        <f>IFERROR(VLOOKUP(A4711,'Base Prueba'!A:C,3,),"NO REGISTRA")</f>
        <v>DARLENE YULIANA MORENO CELEITA</v>
      </c>
      <c r="D4711" s="4" t="str">
        <f>IFERROR(VLOOKUP(A4711,'Base Prueba'!A:D,4,),"NO REGISTRA")</f>
        <v>CAJERO PRINCIPAL</v>
      </c>
      <c r="E4711" s="5" t="str">
        <f>IFERROR(VLOOKUP(A4711,'Base Prueba'!A:E,5,),"NO REGISTRA")</f>
        <v>AREA FINANCIERA Y CONTABLE</v>
      </c>
    </row>
    <row r="4712" spans="1:5" ht="15.75" x14ac:dyDescent="0.25">
      <c r="A4712" s="14">
        <v>28798349</v>
      </c>
      <c r="B4712" s="2">
        <v>46109.366084490743</v>
      </c>
      <c r="C4712" s="3" t="str">
        <f>IFERROR(VLOOKUP(A4712,'Base Prueba'!A:C,3,),"NO REGISTRA")</f>
        <v>MARTHA ISABEL TOVAR WILLIAMS</v>
      </c>
      <c r="D4712" s="4" t="str">
        <f>IFERROR(VLOOKUP(A4712,'Base Prueba'!A:D,4,),"NO REGISTRA")</f>
        <v>PROMOTOR CALL CENTER</v>
      </c>
      <c r="E4712" s="5" t="str">
        <f>IFERROR(VLOOKUP(A4712,'Base Prueba'!A:E,5,),"NO REGISTRA")</f>
        <v>OFICINA DE MERCADEO</v>
      </c>
    </row>
    <row r="4713" spans="1:5" ht="15.75" x14ac:dyDescent="0.25">
      <c r="A4713" s="14">
        <v>52472386</v>
      </c>
      <c r="B4713" s="2">
        <v>46109.368588541663</v>
      </c>
      <c r="C4713" s="3" t="str">
        <f>IFERROR(VLOOKUP(A4713,'Base Prueba'!A:C,3,),"NO REGISTRA")</f>
        <v>ADRIANA MARCELA MORALES PARDO</v>
      </c>
      <c r="D4713" s="4" t="str">
        <f>IFERROR(VLOOKUP(A4713,'Base Prueba'!A:D,4,),"NO REGISTRA")</f>
        <v>PROMOTOR CALL CENTER</v>
      </c>
      <c r="E4713" s="5" t="str">
        <f>IFERROR(VLOOKUP(A4713,'Base Prueba'!A:E,5,),"NO REGISTRA")</f>
        <v>OFICINA DE MERCADEO</v>
      </c>
    </row>
    <row r="4714" spans="1:5" ht="15.75" x14ac:dyDescent="0.25">
      <c r="A4714" s="14">
        <v>1016090131</v>
      </c>
      <c r="B4714" s="2">
        <v>46109.369168865742</v>
      </c>
      <c r="C4714" s="3" t="str">
        <f>IFERROR(VLOOKUP(A4714,'Base Prueba'!A:C,3,),"NO REGISTRA")</f>
        <v>NICOLAS RODRIGUEZ PACHECO</v>
      </c>
      <c r="D4714" s="4" t="str">
        <f>IFERROR(VLOOKUP(A4714,'Base Prueba'!A:D,4,),"NO REGISTRA")</f>
        <v>COORDINADOR DE COMUNICACIONES</v>
      </c>
      <c r="E4714" s="5" t="str">
        <f>IFERROR(VLOOKUP(A4714,'Base Prueba'!A:E,5,),"NO REGISTRA")</f>
        <v>OFICINA DE MERCADEO</v>
      </c>
    </row>
    <row r="4715" spans="1:5" ht="15.75" x14ac:dyDescent="0.25">
      <c r="A4715" s="14">
        <v>1000593372</v>
      </c>
      <c r="B4715" s="2">
        <v>46109.370127314818</v>
      </c>
      <c r="C4715" s="3" t="str">
        <f>IFERROR(VLOOKUP(A4715,'Base Prueba'!A:C,3,),"NO REGISTRA")</f>
        <v>LAURA SOFIA CHAPARRO LOPEZ</v>
      </c>
      <c r="D4715" s="4" t="str">
        <f>IFERROR(VLOOKUP(A4715,'Base Prueba'!A:D,4,),"NO REGISTRA")</f>
        <v>AUXILIAR JURIDICO</v>
      </c>
      <c r="E4715" s="5" t="str">
        <f>IFERROR(VLOOKUP(A4715,'Base Prueba'!A:E,5,),"NO REGISTRA")</f>
        <v>SECRETARIA GENERAL</v>
      </c>
    </row>
    <row r="4716" spans="1:5" ht="15.75" x14ac:dyDescent="0.25">
      <c r="A4716" s="14">
        <v>1000604979</v>
      </c>
      <c r="B4716" s="2">
        <v>46109.370143749999</v>
      </c>
      <c r="C4716" s="3" t="str">
        <f>IFERROR(VLOOKUP(A4716,'Base Prueba'!A:C,3,),"NO REGISTRA")</f>
        <v>JULIETH TATIANA PARDO PINTO</v>
      </c>
      <c r="D4716" s="4" t="str">
        <f>IFERROR(VLOOKUP(A4716,'Base Prueba'!A:D,4,),"NO REGISTRA")</f>
        <v>AUXILIAR JURIDICO</v>
      </c>
      <c r="E4716" s="5" t="str">
        <f>IFERROR(VLOOKUP(A4716,'Base Prueba'!A:E,5,),"NO REGISTRA")</f>
        <v>SECRETARIA GENERAL</v>
      </c>
    </row>
    <row r="4717" spans="1:5" ht="15.75" x14ac:dyDescent="0.25">
      <c r="A4717" s="14">
        <v>1012426741</v>
      </c>
      <c r="B4717" s="2">
        <v>46109.370589930557</v>
      </c>
      <c r="C4717" s="3" t="str">
        <f>IFERROR(VLOOKUP(A4717,'Base Prueba'!A:C,3,),"NO REGISTRA")</f>
        <v>CRISTIAN FABIAN ROJAS SANCENO</v>
      </c>
      <c r="D4717" s="4" t="str">
        <f>IFERROR(VLOOKUP(A4717,'Base Prueba'!A:D,4,),"NO REGISTRA")</f>
        <v>AUXILIAR DE REINTEGROS</v>
      </c>
      <c r="E4717" s="5" t="str">
        <f>IFERROR(VLOOKUP(A4717,'Base Prueba'!A:E,5,),"NO REGISTRA")</f>
        <v>DIRECCION DE BIENESTAR INSTITUCIONAL</v>
      </c>
    </row>
    <row r="4718" spans="1:5" ht="15.75" x14ac:dyDescent="0.25">
      <c r="A4718" s="14">
        <v>52474489</v>
      </c>
      <c r="B4718" s="2">
        <v>46109.370839699077</v>
      </c>
      <c r="C4718" s="3" t="str">
        <f>IFERROR(VLOOKUP(A4718,'Base Prueba'!A:C,3,),"NO REGISTRA")</f>
        <v>ADRIANA JIMENA SOTO BOCANEGRA</v>
      </c>
      <c r="D4718" s="4" t="str">
        <f>IFERROR(VLOOKUP(A4718,'Base Prueba'!A:D,4,),"NO REGISTRA")</f>
        <v>COORDINADOR DE LA OFICINA DE REGISTRO Y CONTROL</v>
      </c>
      <c r="E4718" s="5" t="str">
        <f>IFERROR(VLOOKUP(A4718,'Base Prueba'!A:E,5,),"NO REGISTRA")</f>
        <v>REGISTRO Y CONTROL ACADEMICO</v>
      </c>
    </row>
    <row r="4719" spans="1:5" ht="15.75" x14ac:dyDescent="0.25">
      <c r="A4719" s="14">
        <v>1018413529</v>
      </c>
      <c r="B4719" s="2">
        <v>46109.371473495368</v>
      </c>
      <c r="C4719" s="3" t="str">
        <f>IFERROR(VLOOKUP(A4719,'Base Prueba'!A:C,3,),"NO REGISTRA")</f>
        <v>FRANCY STELLA CHARRY MORENO</v>
      </c>
      <c r="D4719" s="4" t="str">
        <f>IFERROR(VLOOKUP(A4719,'Base Prueba'!A:D,4,),"NO REGISTRA")</f>
        <v>PROMOTOR COMERCIAL DEL CEA</v>
      </c>
      <c r="E4719" s="5" t="str">
        <f>IFERROR(VLOOKUP(A4719,'Base Prueba'!A:E,5,),"NO REGISTRA")</f>
        <v>OFICINA DE MERCADEO</v>
      </c>
    </row>
    <row r="4720" spans="1:5" ht="15.75" x14ac:dyDescent="0.25">
      <c r="A4720" s="14">
        <v>1023961952</v>
      </c>
      <c r="B4720" s="2">
        <v>46109.373355555559</v>
      </c>
      <c r="C4720" s="3" t="str">
        <f>IFERROR(VLOOKUP(A4720,'Base Prueba'!A:C,3,),"NO REGISTRA")</f>
        <v>ALEJANDRO PINZON MERCHAN</v>
      </c>
      <c r="D4720" s="4" t="str">
        <f>IFERROR(VLOOKUP(A4720,'Base Prueba'!A:D,4,),"NO REGISTRA")</f>
        <v>PROMOTOR CALL CENTER</v>
      </c>
      <c r="E4720" s="5" t="str">
        <f>IFERROR(VLOOKUP(A4720,'Base Prueba'!A:E,5,),"NO REGISTRA")</f>
        <v>OFICINA DE MERCADEO</v>
      </c>
    </row>
    <row r="4721" spans="1:5" ht="15.75" x14ac:dyDescent="0.25">
      <c r="A4721" s="14">
        <v>1032407386</v>
      </c>
      <c r="B4721" s="2">
        <v>46109.373614583332</v>
      </c>
      <c r="C4721" s="3" t="str">
        <f>IFERROR(VLOOKUP(A4721,'Base Prueba'!A:C,3,),"NO REGISTRA")</f>
        <v>GINA PAOLA BAEZ GALVIS</v>
      </c>
      <c r="D4721" s="4" t="str">
        <f>IFERROR(VLOOKUP(A4721,'Base Prueba'!A:D,4,),"NO REGISTRA")</f>
        <v>PROMOTOR CALL CENTER</v>
      </c>
      <c r="E4721" s="5" t="str">
        <f>IFERROR(VLOOKUP(A4721,'Base Prueba'!A:E,5,),"NO REGISTRA")</f>
        <v>OFICINA DE MERCADEO</v>
      </c>
    </row>
    <row r="4722" spans="1:5" ht="15.75" x14ac:dyDescent="0.25">
      <c r="A4722" s="14">
        <v>1000046533</v>
      </c>
      <c r="B4722" s="2">
        <v>46109.375789930556</v>
      </c>
      <c r="C4722" s="3" t="str">
        <f>IFERROR(VLOOKUP(A4722,'Base Prueba'!A:C,3,),"NO REGISTRA")</f>
        <v>ERIKA JULIETH VALDERRAMA SANCHEZ</v>
      </c>
      <c r="D4722" s="4" t="str">
        <f>IFERROR(VLOOKUP(A4722,'Base Prueba'!A:D,4,),"NO REGISTRA")</f>
        <v>PROMOTOR CALL CENTER</v>
      </c>
      <c r="E4722" s="5" t="str">
        <f>IFERROR(VLOOKUP(A4722,'Base Prueba'!A:E,5,),"NO REGISTRA")</f>
        <v>OFICINA DE MERCADEO</v>
      </c>
    </row>
    <row r="4723" spans="1:5" ht="15.75" x14ac:dyDescent="0.25">
      <c r="A4723" s="14">
        <v>1024512067</v>
      </c>
      <c r="B4723" s="2">
        <v>46109.38407083333</v>
      </c>
      <c r="C4723" s="3" t="str">
        <f>IFERROR(VLOOKUP(A4723,'Base Prueba'!A:C,3,),"NO REGISTRA")</f>
        <v>CINDY GIOVANA SALGAR GOMEZ</v>
      </c>
      <c r="D4723" s="4" t="str">
        <f>IFERROR(VLOOKUP(A4723,'Base Prueba'!A:D,4,),"NO REGISTRA")</f>
        <v>COORDINADOR DEL SISTEMA INTEGRADO DE GESTION INSTITUCIONAL - SIGI</v>
      </c>
      <c r="E4723" s="5" t="str">
        <f>IFERROR(VLOOKUP(A4723,'Base Prueba'!A:E,5,),"NO REGISTRA")</f>
        <v>OFICINA DE PLANEACION Y GESTION DE LA CALIDAD</v>
      </c>
    </row>
    <row r="4724" spans="1:5" ht="15.75" x14ac:dyDescent="0.25">
      <c r="A4724" s="14">
        <v>52764929</v>
      </c>
      <c r="B4724" s="2">
        <v>46109.385147800924</v>
      </c>
      <c r="C4724" s="3" t="str">
        <f>IFERROR(VLOOKUP(A4724,'Base Prueba'!A:C,3,),"NO REGISTRA")</f>
        <v>GUERLY YOHANA DURAN RIVERA</v>
      </c>
      <c r="D4724" s="4" t="str">
        <f>IFERROR(VLOOKUP(A4724,'Base Prueba'!A:D,4,),"NO REGISTRA")</f>
        <v>LIDER DE VINCULACION COLEGIOS</v>
      </c>
      <c r="E4724" s="5" t="str">
        <f>IFERROR(VLOOKUP(A4724,'Base Prueba'!A:E,5,),"NO REGISTRA")</f>
        <v>OFICINA DE MERCADEO</v>
      </c>
    </row>
    <row r="4725" spans="1:5" ht="15.75" x14ac:dyDescent="0.25">
      <c r="A4725" s="14">
        <v>1018414290</v>
      </c>
      <c r="B4725" s="2">
        <v>46109.386349305554</v>
      </c>
      <c r="C4725" s="3" t="str">
        <f>IFERROR(VLOOKUP(A4725,'Base Prueba'!A:C,3,),"NO REGISTRA")</f>
        <v>AMANDA LISBETH RODRIGUEZ LEON</v>
      </c>
      <c r="D4725" s="4" t="str">
        <f>IFERROR(VLOOKUP(A4725,'Base Prueba'!A:D,4,),"NO REGISTRA")</f>
        <v>PROMOTOR CALL CENTER</v>
      </c>
      <c r="E4725" s="5" t="str">
        <f>IFERROR(VLOOKUP(A4725,'Base Prueba'!A:E,5,),"NO REGISTRA")</f>
        <v>OFICINA DE MERCADEO</v>
      </c>
    </row>
    <row r="4726" spans="1:5" ht="15.75" x14ac:dyDescent="0.25">
      <c r="A4726" s="14">
        <v>1019105003</v>
      </c>
      <c r="B4726" s="2">
        <v>46109.386390162035</v>
      </c>
      <c r="C4726" s="3" t="str">
        <f>IFERROR(VLOOKUP(A4726,'Base Prueba'!A:C,3,),"NO REGISTRA")</f>
        <v>DAISY JULIETH GASPAR MORENO</v>
      </c>
      <c r="D4726" s="4" t="str">
        <f>IFERROR(VLOOKUP(A4726,'Base Prueba'!A:D,4,),"NO REGISTRA")</f>
        <v>PROMOTOR CALL CENTER</v>
      </c>
      <c r="E4726" s="5" t="str">
        <f>IFERROR(VLOOKUP(A4726,'Base Prueba'!A:E,5,),"NO REGISTRA")</f>
        <v>OFICINA DE MERCADEO</v>
      </c>
    </row>
    <row r="4727" spans="1:5" ht="15.75" x14ac:dyDescent="0.25">
      <c r="A4727" s="14">
        <v>52175674</v>
      </c>
      <c r="B4727" s="2">
        <v>46109.386432638887</v>
      </c>
      <c r="C4727" s="3" t="str">
        <f>IFERROR(VLOOKUP(A4727,'Base Prueba'!A:C,3,),"NO REGISTRA")</f>
        <v>LUZ YANETH GOMEZ AREVALO</v>
      </c>
      <c r="D4727" s="4" t="str">
        <f>IFERROR(VLOOKUP(A4727,'Base Prueba'!A:D,4,),"NO REGISTRA")</f>
        <v>COORDINADORA DE ADMISIONES</v>
      </c>
      <c r="E4727" s="5" t="str">
        <f>IFERROR(VLOOKUP(A4727,'Base Prueba'!A:E,5,),"NO REGISTRA")</f>
        <v>OFICINA DE MERCADEO</v>
      </c>
    </row>
    <row r="4728" spans="1:5" ht="15.75" x14ac:dyDescent="0.25">
      <c r="A4728" s="14">
        <v>1033709056</v>
      </c>
      <c r="B4728" s="2">
        <v>46109.411794907406</v>
      </c>
      <c r="C4728" s="3" t="str">
        <f>IFERROR(VLOOKUP(A4728,'Base Prueba'!A:C,3,),"NO REGISTRA")</f>
        <v>YEIMY ALEXANDRA RODRIGUEZ PALACIO</v>
      </c>
      <c r="D4728" s="4" t="str">
        <f>IFERROR(VLOOKUP(A4728,'Base Prueba'!A:D,4,),"NO REGISTRA")</f>
        <v>PROMOTOR CALL CENTER</v>
      </c>
      <c r="E4728" s="5" t="str">
        <f>IFERROR(VLOOKUP(A4728,'Base Prueba'!A:E,5,),"NO REGISTRA")</f>
        <v>OFICINA DE MERCADEO</v>
      </c>
    </row>
    <row r="4729" spans="1:5" ht="15.75" x14ac:dyDescent="0.25">
      <c r="A4729" s="14">
        <v>53089882</v>
      </c>
      <c r="B4729" s="2">
        <v>46109.411912037038</v>
      </c>
      <c r="C4729" s="3" t="str">
        <f>IFERROR(VLOOKUP(A4729,'Base Prueba'!A:C,3,),"NO REGISTRA")</f>
        <v>MARIA JOHANA ESCAMILLA MARTINEZ</v>
      </c>
      <c r="D4729" s="4" t="str">
        <f>IFERROR(VLOOKUP(A4729,'Base Prueba'!A:D,4,),"NO REGISTRA")</f>
        <v>PROMOTOR DE INFORMACIÓN</v>
      </c>
      <c r="E4729" s="5" t="str">
        <f>IFERROR(VLOOKUP(A4729,'Base Prueba'!A:E,5,),"NO REGISTRA")</f>
        <v>OFICINA DE MERCADEO</v>
      </c>
    </row>
    <row r="4730" spans="1:5" ht="15.75" x14ac:dyDescent="0.25">
      <c r="A4730" s="14">
        <v>1014308296</v>
      </c>
      <c r="B4730" s="2">
        <v>46109.499924537035</v>
      </c>
      <c r="C4730" s="3" t="str">
        <f>IFERROR(VLOOKUP(A4730,'Base Prueba'!A:C,3,),"NO REGISTRA")</f>
        <v>DARLENE YULIANA MORENO CELEITA</v>
      </c>
      <c r="D4730" s="4" t="str">
        <f>IFERROR(VLOOKUP(A4730,'Base Prueba'!A:D,4,),"NO REGISTRA")</f>
        <v>CAJERO PRINCIPAL</v>
      </c>
      <c r="E4730" s="5" t="str">
        <f>IFERROR(VLOOKUP(A4730,'Base Prueba'!A:E,5,),"NO REGISTRA")</f>
        <v>AREA FINANCIERA Y CONTABLE</v>
      </c>
    </row>
    <row r="4731" spans="1:5" ht="15.75" x14ac:dyDescent="0.25">
      <c r="A4731" s="14">
        <v>80725196</v>
      </c>
      <c r="B4731" s="2">
        <v>46109.500980208337</v>
      </c>
      <c r="C4731" s="3" t="str">
        <f>IFERROR(VLOOKUP(A4731,'Base Prueba'!A:C,3,),"NO REGISTRA")</f>
        <v>YEISON YOSET TOVAR BARBOSA</v>
      </c>
      <c r="D4731" s="4" t="str">
        <f>IFERROR(VLOOKUP(A4731,'Base Prueba'!A:D,4,),"NO REGISTRA")</f>
        <v>LIDER GESTION DOCUMENTAL</v>
      </c>
      <c r="E4731" s="5" t="str">
        <f>IFERROR(VLOOKUP(A4731,'Base Prueba'!A:E,5,),"NO REGISTRA")</f>
        <v>CENTRO DE GESTION DOCUMENTAL</v>
      </c>
    </row>
    <row r="4732" spans="1:5" ht="15.75" x14ac:dyDescent="0.25">
      <c r="A4732" s="14">
        <v>1000046533</v>
      </c>
      <c r="B4732" s="2">
        <v>46109.501247337961</v>
      </c>
      <c r="C4732" s="3" t="str">
        <f>IFERROR(VLOOKUP(A4732,'Base Prueba'!A:C,3,),"NO REGISTRA")</f>
        <v>ERIKA JULIETH VALDERRAMA SANCHEZ</v>
      </c>
      <c r="D4732" s="4" t="str">
        <f>IFERROR(VLOOKUP(A4732,'Base Prueba'!A:D,4,),"NO REGISTRA")</f>
        <v>PROMOTOR CALL CENTER</v>
      </c>
      <c r="E4732" s="5" t="str">
        <f>IFERROR(VLOOKUP(A4732,'Base Prueba'!A:E,5,),"NO REGISTRA")</f>
        <v>OFICINA DE MERCADEO</v>
      </c>
    </row>
    <row r="4733" spans="1:5" ht="15.75" x14ac:dyDescent="0.25">
      <c r="A4733" s="14">
        <v>1000593372</v>
      </c>
      <c r="B4733" s="2">
        <v>46109.501861226854</v>
      </c>
      <c r="C4733" s="3" t="str">
        <f>IFERROR(VLOOKUP(A4733,'Base Prueba'!A:C,3,),"NO REGISTRA")</f>
        <v>LAURA SOFIA CHAPARRO LOPEZ</v>
      </c>
      <c r="D4733" s="4" t="str">
        <f>IFERROR(VLOOKUP(A4733,'Base Prueba'!A:D,4,),"NO REGISTRA")</f>
        <v>AUXILIAR JURIDICO</v>
      </c>
      <c r="E4733" s="5" t="str">
        <f>IFERROR(VLOOKUP(A4733,'Base Prueba'!A:E,5,),"NO REGISTRA")</f>
        <v>SECRETARIA GENERAL</v>
      </c>
    </row>
    <row r="4734" spans="1:5" ht="15.75" x14ac:dyDescent="0.25">
      <c r="A4734" s="14">
        <v>1000604979</v>
      </c>
      <c r="B4734" s="2">
        <v>46109.501876041664</v>
      </c>
      <c r="C4734" s="3" t="str">
        <f>IFERROR(VLOOKUP(A4734,'Base Prueba'!A:C,3,),"NO REGISTRA")</f>
        <v>JULIETH TATIANA PARDO PINTO</v>
      </c>
      <c r="D4734" s="4" t="str">
        <f>IFERROR(VLOOKUP(A4734,'Base Prueba'!A:D,4,),"NO REGISTRA")</f>
        <v>AUXILIAR JURIDICO</v>
      </c>
      <c r="E4734" s="5" t="str">
        <f>IFERROR(VLOOKUP(A4734,'Base Prueba'!A:E,5,),"NO REGISTRA")</f>
        <v>SECRETARIA GENERAL</v>
      </c>
    </row>
    <row r="4735" spans="1:5" ht="15.75" x14ac:dyDescent="0.25">
      <c r="A4735" s="14">
        <v>1012426741</v>
      </c>
      <c r="B4735" s="2">
        <v>46109.505668055557</v>
      </c>
      <c r="C4735" s="3" t="str">
        <f>IFERROR(VLOOKUP(A4735,'Base Prueba'!A:C,3,),"NO REGISTRA")</f>
        <v>CRISTIAN FABIAN ROJAS SANCENO</v>
      </c>
      <c r="D4735" s="4" t="str">
        <f>IFERROR(VLOOKUP(A4735,'Base Prueba'!A:D,4,),"NO REGISTRA")</f>
        <v>AUXILIAR DE REINTEGROS</v>
      </c>
      <c r="E4735" s="5" t="str">
        <f>IFERROR(VLOOKUP(A4735,'Base Prueba'!A:E,5,),"NO REGISTRA")</f>
        <v>DIRECCION DE BIENESTAR INSTITUCIONAL</v>
      </c>
    </row>
    <row r="4736" spans="1:5" ht="15.75" x14ac:dyDescent="0.25">
      <c r="A4736" s="14">
        <v>1016090131</v>
      </c>
      <c r="B4736" s="2">
        <v>46109.506728472224</v>
      </c>
      <c r="C4736" s="3" t="str">
        <f>IFERROR(VLOOKUP(A4736,'Base Prueba'!A:C,3,),"NO REGISTRA")</f>
        <v>NICOLAS RODRIGUEZ PACHECO</v>
      </c>
      <c r="D4736" s="4" t="str">
        <f>IFERROR(VLOOKUP(A4736,'Base Prueba'!A:D,4,),"NO REGISTRA")</f>
        <v>COORDINADOR DE COMUNICACIONES</v>
      </c>
      <c r="E4736" s="5" t="str">
        <f>IFERROR(VLOOKUP(A4736,'Base Prueba'!A:E,5,),"NO REGISTRA")</f>
        <v>OFICINA DE MERCADEO</v>
      </c>
    </row>
    <row r="4737" spans="1:5" ht="15.75" x14ac:dyDescent="0.25">
      <c r="A4737" s="14">
        <v>1032407386</v>
      </c>
      <c r="B4737" s="2">
        <v>46109.508012384256</v>
      </c>
      <c r="C4737" s="3" t="str">
        <f>IFERROR(VLOOKUP(A4737,'Base Prueba'!A:C,3,),"NO REGISTRA")</f>
        <v>GINA PAOLA BAEZ GALVIS</v>
      </c>
      <c r="D4737" s="4" t="str">
        <f>IFERROR(VLOOKUP(A4737,'Base Prueba'!A:D,4,),"NO REGISTRA")</f>
        <v>PROMOTOR CALL CENTER</v>
      </c>
      <c r="E4737" s="5" t="str">
        <f>IFERROR(VLOOKUP(A4737,'Base Prueba'!A:E,5,),"NO REGISTRA")</f>
        <v>OFICINA DE MERCADEO</v>
      </c>
    </row>
    <row r="4738" spans="1:5" ht="15.75" x14ac:dyDescent="0.25">
      <c r="A4738" s="14">
        <v>1018414290</v>
      </c>
      <c r="B4738" s="2">
        <v>46109.508231828702</v>
      </c>
      <c r="C4738" s="3" t="str">
        <f>IFERROR(VLOOKUP(A4738,'Base Prueba'!A:C,3,),"NO REGISTRA")</f>
        <v>AMANDA LISBETH RODRIGUEZ LEON</v>
      </c>
      <c r="D4738" s="4" t="str">
        <f>IFERROR(VLOOKUP(A4738,'Base Prueba'!A:D,4,),"NO REGISTRA")</f>
        <v>PROMOTOR CALL CENTER</v>
      </c>
      <c r="E4738" s="5" t="str">
        <f>IFERROR(VLOOKUP(A4738,'Base Prueba'!A:E,5,),"NO REGISTRA")</f>
        <v>OFICINA DE MERCADEO</v>
      </c>
    </row>
    <row r="4739" spans="1:5" ht="15.75" x14ac:dyDescent="0.25">
      <c r="A4739" s="14">
        <v>1019105003</v>
      </c>
      <c r="B4739" s="2">
        <v>46109.509553703705</v>
      </c>
      <c r="C4739" s="3" t="str">
        <f>IFERROR(VLOOKUP(A4739,'Base Prueba'!A:C,3,),"NO REGISTRA")</f>
        <v>DAISY JULIETH GASPAR MORENO</v>
      </c>
      <c r="D4739" s="4" t="str">
        <f>IFERROR(VLOOKUP(A4739,'Base Prueba'!A:D,4,),"NO REGISTRA")</f>
        <v>PROMOTOR CALL CENTER</v>
      </c>
      <c r="E4739" s="5" t="str">
        <f>IFERROR(VLOOKUP(A4739,'Base Prueba'!A:E,5,),"NO REGISTRA")</f>
        <v>OFICINA DE MERCADEO</v>
      </c>
    </row>
    <row r="4740" spans="1:5" ht="15.75" x14ac:dyDescent="0.25">
      <c r="A4740" s="14">
        <v>1013098430</v>
      </c>
      <c r="B4740" s="2">
        <v>46109.509870138892</v>
      </c>
      <c r="C4740" s="3" t="str">
        <f>IFERROR(VLOOKUP(A4740,'Base Prueba'!A:C,3,),"NO REGISTRA")</f>
        <v>ANDRES FELIPE LOPEZ ROMERO</v>
      </c>
      <c r="D4740" s="4" t="str">
        <f>IFERROR(VLOOKUP(A4740,'Base Prueba'!A:D,4,),"NO REGISTRA")</f>
        <v>APRENDIZ UNIVERSITARIO</v>
      </c>
      <c r="E4740" s="5" t="str">
        <f>IFERROR(VLOOKUP(A4740,'Base Prueba'!A:E,5,),"NO REGISTRA")</f>
        <v>OFICINA DE MERCADEO</v>
      </c>
    </row>
    <row r="4741" spans="1:5" ht="15.75" x14ac:dyDescent="0.25">
      <c r="A4741" s="14">
        <v>1023961952</v>
      </c>
      <c r="B4741" s="2">
        <v>46109.511171296297</v>
      </c>
      <c r="C4741" s="3" t="str">
        <f>IFERROR(VLOOKUP(A4741,'Base Prueba'!A:C,3,),"NO REGISTRA")</f>
        <v>ALEJANDRO PINZON MERCHAN</v>
      </c>
      <c r="D4741" s="4" t="str">
        <f>IFERROR(VLOOKUP(A4741,'Base Prueba'!A:D,4,),"NO REGISTRA")</f>
        <v>PROMOTOR CALL CENTER</v>
      </c>
      <c r="E4741" s="5" t="str">
        <f>IFERROR(VLOOKUP(A4741,'Base Prueba'!A:E,5,),"NO REGISTRA")</f>
        <v>OFICINA DE MERCADEO</v>
      </c>
    </row>
    <row r="4742" spans="1:5" ht="15.75" x14ac:dyDescent="0.25">
      <c r="A4742" s="14">
        <v>28798349</v>
      </c>
      <c r="B4742" s="2">
        <v>46109.51157141204</v>
      </c>
      <c r="C4742" s="3" t="str">
        <f>IFERROR(VLOOKUP(A4742,'Base Prueba'!A:C,3,),"NO REGISTRA")</f>
        <v>MARTHA ISABEL TOVAR WILLIAMS</v>
      </c>
      <c r="D4742" s="4" t="str">
        <f>IFERROR(VLOOKUP(A4742,'Base Prueba'!A:D,4,),"NO REGISTRA")</f>
        <v>PROMOTOR CALL CENTER</v>
      </c>
      <c r="E4742" s="5" t="str">
        <f>IFERROR(VLOOKUP(A4742,'Base Prueba'!A:E,5,),"NO REGISTRA")</f>
        <v>OFICINA DE MERCADEO</v>
      </c>
    </row>
    <row r="4743" spans="1:5" ht="15.75" x14ac:dyDescent="0.25">
      <c r="A4743" s="14">
        <v>1033709056</v>
      </c>
      <c r="B4743" s="2">
        <v>46109.512724768516</v>
      </c>
      <c r="C4743" s="3" t="str">
        <f>IFERROR(VLOOKUP(A4743,'Base Prueba'!A:C,3,),"NO REGISTRA")</f>
        <v>YEIMY ALEXANDRA RODRIGUEZ PALACIO</v>
      </c>
      <c r="D4743" s="4" t="str">
        <f>IFERROR(VLOOKUP(A4743,'Base Prueba'!A:D,4,),"NO REGISTRA")</f>
        <v>PROMOTOR CALL CENTER</v>
      </c>
      <c r="E4743" s="5" t="str">
        <f>IFERROR(VLOOKUP(A4743,'Base Prueba'!A:E,5,),"NO REGISTRA")</f>
        <v>OFICINA DE MERCADEO</v>
      </c>
    </row>
    <row r="4744" spans="1:5" ht="15.75" x14ac:dyDescent="0.25">
      <c r="A4744" s="14">
        <v>53089882</v>
      </c>
      <c r="B4744" s="2">
        <v>46109.512873032407</v>
      </c>
      <c r="C4744" s="3" t="str">
        <f>IFERROR(VLOOKUP(A4744,'Base Prueba'!A:C,3,),"NO REGISTRA")</f>
        <v>MARIA JOHANA ESCAMILLA MARTINEZ</v>
      </c>
      <c r="D4744" s="4" t="str">
        <f>IFERROR(VLOOKUP(A4744,'Base Prueba'!A:D,4,),"NO REGISTRA")</f>
        <v>PROMOTOR DE INFORMACIÓN</v>
      </c>
      <c r="E4744" s="5" t="str">
        <f>IFERROR(VLOOKUP(A4744,'Base Prueba'!A:E,5,),"NO REGISTRA")</f>
        <v>OFICINA DE MERCADEO</v>
      </c>
    </row>
    <row r="4745" spans="1:5" ht="15.75" x14ac:dyDescent="0.25">
      <c r="A4745" s="14">
        <v>1018413529</v>
      </c>
      <c r="B4745" s="2">
        <v>46109.512975810183</v>
      </c>
      <c r="C4745" s="3" t="str">
        <f>IFERROR(VLOOKUP(A4745,'Base Prueba'!A:C,3,),"NO REGISTRA")</f>
        <v>FRANCY STELLA CHARRY MORENO</v>
      </c>
      <c r="D4745" s="4" t="str">
        <f>IFERROR(VLOOKUP(A4745,'Base Prueba'!A:D,4,),"NO REGISTRA")</f>
        <v>PROMOTOR COMERCIAL DEL CEA</v>
      </c>
      <c r="E4745" s="5" t="str">
        <f>IFERROR(VLOOKUP(A4745,'Base Prueba'!A:E,5,),"NO REGISTRA")</f>
        <v>OFICINA DE MERCADEO</v>
      </c>
    </row>
    <row r="4746" spans="1:5" ht="15.75" x14ac:dyDescent="0.25">
      <c r="A4746" s="14">
        <v>1024512067</v>
      </c>
      <c r="B4746" s="2">
        <v>46109.518371874998</v>
      </c>
      <c r="C4746" s="3" t="str">
        <f>IFERROR(VLOOKUP(A4746,'Base Prueba'!A:C,3,),"NO REGISTRA")</f>
        <v>CINDY GIOVANA SALGAR GOMEZ</v>
      </c>
      <c r="D4746" s="4" t="str">
        <f>IFERROR(VLOOKUP(A4746,'Base Prueba'!A:D,4,),"NO REGISTRA")</f>
        <v>COORDINADOR DEL SISTEMA INTEGRADO DE GESTION INSTITUCIONAL - SIGI</v>
      </c>
      <c r="E4746" s="5" t="str">
        <f>IFERROR(VLOOKUP(A4746,'Base Prueba'!A:E,5,),"NO REGISTRA")</f>
        <v>OFICINA DE PLANEACION Y GESTION DE LA CALIDAD</v>
      </c>
    </row>
    <row r="4747" spans="1:5" ht="15.75" x14ac:dyDescent="0.25">
      <c r="A4747" s="14">
        <v>52472386</v>
      </c>
      <c r="B4747" s="2">
        <v>46109.524595486109</v>
      </c>
      <c r="C4747" s="3" t="str">
        <f>IFERROR(VLOOKUP(A4747,'Base Prueba'!A:C,3,),"NO REGISTRA")</f>
        <v>ADRIANA MARCELA MORALES PARDO</v>
      </c>
      <c r="D4747" s="4" t="str">
        <f>IFERROR(VLOOKUP(A4747,'Base Prueba'!A:D,4,),"NO REGISTRA")</f>
        <v>PROMOTOR CALL CENTER</v>
      </c>
      <c r="E4747" s="5" t="str">
        <f>IFERROR(VLOOKUP(A4747,'Base Prueba'!A:E,5,),"NO REGISTRA")</f>
        <v>OFICINA DE MERCADEO</v>
      </c>
    </row>
    <row r="4748" spans="1:5" ht="15.75" x14ac:dyDescent="0.25">
      <c r="A4748" s="14">
        <v>80234243</v>
      </c>
      <c r="B4748" s="2">
        <v>46109.52477974537</v>
      </c>
      <c r="C4748" s="3" t="str">
        <f>IFERROR(VLOOKUP(A4748,'Base Prueba'!A:C,3,),"NO REGISTRA")</f>
        <v>ARGENIS MARTINEZ MARTINEZ</v>
      </c>
      <c r="D4748" s="4" t="str">
        <f>IFERROR(VLOOKUP(A4748,'Base Prueba'!A:D,4,),"NO REGISTRA")</f>
        <v>LIDER CALL CENTER</v>
      </c>
      <c r="E4748" s="5" t="str">
        <f>IFERROR(VLOOKUP(A4748,'Base Prueba'!A:E,5,),"NO REGISTRA")</f>
        <v>OFICINA DE MERCADEO</v>
      </c>
    </row>
    <row r="4749" spans="1:5" ht="15.75" x14ac:dyDescent="0.25">
      <c r="A4749" s="14">
        <v>1013616244</v>
      </c>
      <c r="B4749" s="2">
        <v>46109.545478356478</v>
      </c>
      <c r="C4749" s="3" t="str">
        <f>IFERROR(VLOOKUP(A4749,'Base Prueba'!A:C,3,),"NO REGISTRA")</f>
        <v>DIANA CAROLINA MARIN BETANCOURT</v>
      </c>
      <c r="D4749" s="4" t="str">
        <f>IFERROR(VLOOKUP(A4749,'Base Prueba'!A:D,4,),"NO REGISTRA")</f>
        <v>AUXILIAR ADMINISTRATIVO</v>
      </c>
      <c r="E4749" s="5" t="str">
        <f>IFERROR(VLOOKUP(A4749,'Base Prueba'!A:E,5,),"NO REGISTRA")</f>
        <v>REGISTRO Y CONTROL ACADEMICO</v>
      </c>
    </row>
    <row r="4750" spans="1:5" ht="15.75" x14ac:dyDescent="0.25">
      <c r="A4750" s="14">
        <v>52474489</v>
      </c>
      <c r="B4750" s="2">
        <v>46109.560532754629</v>
      </c>
      <c r="C4750" s="3" t="str">
        <f>IFERROR(VLOOKUP(A4750,'Base Prueba'!A:C,3,),"NO REGISTRA")</f>
        <v>ADRIANA JIMENA SOTO BOCANEGRA</v>
      </c>
      <c r="D4750" s="4" t="str">
        <f>IFERROR(VLOOKUP(A4750,'Base Prueba'!A:D,4,),"NO REGISTRA")</f>
        <v>COORDINADOR DE LA OFICINA DE REGISTRO Y CONTROL</v>
      </c>
      <c r="E4750" s="5" t="str">
        <f>IFERROR(VLOOKUP(A4750,'Base Prueba'!A:E,5,),"NO REGISTRA")</f>
        <v>REGISTRO Y CONTROL ACADEMICO</v>
      </c>
    </row>
    <row r="4751" spans="1:5" ht="15.75" x14ac:dyDescent="0.25">
      <c r="A4751" s="14">
        <v>1000324729</v>
      </c>
      <c r="B4751" s="2">
        <v>46109.599457986114</v>
      </c>
      <c r="C4751" s="3" t="str">
        <f>IFERROR(VLOOKUP(A4751,'Base Prueba'!A:C,3,),"NO REGISTRA")</f>
        <v>ANYIE VANESSA TINOCO CAMACHO</v>
      </c>
      <c r="D4751" s="4" t="str">
        <f>IFERROR(VLOOKUP(A4751,'Base Prueba'!A:D,4,),"NO REGISTRA")</f>
        <v>LIDER DE REGISTRO Y CONTROL</v>
      </c>
      <c r="E4751" s="5" t="str">
        <f>IFERROR(VLOOKUP(A4751,'Base Prueba'!A:E,5,),"NO REGISTRA")</f>
        <v>REGISTRO Y CONTROL ACADEMICO</v>
      </c>
    </row>
    <row r="4752" spans="1:5" ht="15.75" x14ac:dyDescent="0.25">
      <c r="A4752" s="14">
        <v>52764929</v>
      </c>
      <c r="B4752" s="2">
        <v>46109.613498842591</v>
      </c>
      <c r="C4752" s="3" t="str">
        <f>IFERROR(VLOOKUP(A4752,'Base Prueba'!A:C,3,),"NO REGISTRA")</f>
        <v>GUERLY YOHANA DURAN RIVERA</v>
      </c>
      <c r="D4752" s="4" t="str">
        <f>IFERROR(VLOOKUP(A4752,'Base Prueba'!A:D,4,),"NO REGISTRA")</f>
        <v>LIDER DE VINCULACION COLEGIOS</v>
      </c>
      <c r="E4752" s="5" t="str">
        <f>IFERROR(VLOOKUP(A4752,'Base Prueba'!A:E,5,),"NO REGISTRA")</f>
        <v>OFICINA DE MERCADEO</v>
      </c>
    </row>
    <row r="4753" spans="1:5" ht="15.75" x14ac:dyDescent="0.25">
      <c r="A4753" s="14">
        <v>1087121273</v>
      </c>
      <c r="B4753" s="2">
        <v>46118.299248726849</v>
      </c>
      <c r="C4753" s="3" t="str">
        <f>IFERROR(VLOOKUP(A4753,'Base Prueba'!A:C,3,),"NO REGISTRA")</f>
        <v>MAYRA ALEJANDRA CASTILLO ARBOLEDA</v>
      </c>
      <c r="D4753" s="4" t="str">
        <f>IFERROR(VLOOKUP(A4753,'Base Prueba'!A:D,4,),"NO REGISTRA")</f>
        <v>APOYO INTEGRAL DE MERCADEO</v>
      </c>
      <c r="E4753" s="5" t="str">
        <f>IFERROR(VLOOKUP(A4753,'Base Prueba'!A:E,5,),"NO REGISTRA")</f>
        <v>CENTRO DE GESTION DOCUMENTAL</v>
      </c>
    </row>
    <row r="4754" spans="1:5" ht="15.75" x14ac:dyDescent="0.25">
      <c r="A4754" s="14">
        <v>80725196</v>
      </c>
      <c r="B4754" s="2">
        <v>46118.302915624998</v>
      </c>
      <c r="C4754" s="3" t="str">
        <f>IFERROR(VLOOKUP(A4754,'Base Prueba'!A:C,3,),"NO REGISTRA")</f>
        <v>YEISON YOSET TOVAR BARBOSA</v>
      </c>
      <c r="D4754" s="4" t="str">
        <f>IFERROR(VLOOKUP(A4754,'Base Prueba'!A:D,4,),"NO REGISTRA")</f>
        <v>LIDER GESTION DOCUMENTAL</v>
      </c>
      <c r="E4754" s="5" t="str">
        <f>IFERROR(VLOOKUP(A4754,'Base Prueba'!A:E,5,),"NO REGISTRA")</f>
        <v>CENTRO DE GESTION DOCUMENTAL</v>
      </c>
    </row>
    <row r="4755" spans="1:5" ht="15.75" x14ac:dyDescent="0.25">
      <c r="A4755" s="14">
        <v>1024512067</v>
      </c>
      <c r="B4755" s="2">
        <v>46118.318743171294</v>
      </c>
      <c r="C4755" s="3" t="str">
        <f>IFERROR(VLOOKUP(A4755,'Base Prueba'!A:C,3,),"NO REGISTRA")</f>
        <v>CINDY GIOVANA SALGAR GOMEZ</v>
      </c>
      <c r="D4755" s="4" t="str">
        <f>IFERROR(VLOOKUP(A4755,'Base Prueba'!A:D,4,),"NO REGISTRA")</f>
        <v>COORDINADOR DEL SISTEMA INTEGRADO DE GESTION INSTITUCIONAL - SIGI</v>
      </c>
      <c r="E4755" s="5" t="str">
        <f>IFERROR(VLOOKUP(A4755,'Base Prueba'!A:E,5,),"NO REGISTRA")</f>
        <v>OFICINA DE PLANEACION Y GESTION DE LA CALIDAD</v>
      </c>
    </row>
    <row r="4756" spans="1:5" ht="15.75" x14ac:dyDescent="0.25">
      <c r="A4756" s="14">
        <v>1013616244</v>
      </c>
      <c r="B4756" s="2">
        <v>46118.321933680556</v>
      </c>
      <c r="C4756" s="3" t="str">
        <f>IFERROR(VLOOKUP(A4756,'Base Prueba'!A:C,3,),"NO REGISTRA")</f>
        <v>DIANA CAROLINA MARIN BETANCOURT</v>
      </c>
      <c r="D4756" s="4" t="str">
        <f>IFERROR(VLOOKUP(A4756,'Base Prueba'!A:D,4,),"NO REGISTRA")</f>
        <v>AUXILIAR ADMINISTRATIVO</v>
      </c>
      <c r="E4756" s="5" t="str">
        <f>IFERROR(VLOOKUP(A4756,'Base Prueba'!A:E,5,),"NO REGISTRA")</f>
        <v>REGISTRO Y CONTROL ACADEMICO</v>
      </c>
    </row>
    <row r="4757" spans="1:5" ht="15.75" x14ac:dyDescent="0.25">
      <c r="A4757" s="14">
        <v>1032469638</v>
      </c>
      <c r="B4757" s="2">
        <v>46118.321984259259</v>
      </c>
      <c r="C4757" s="3" t="str">
        <f>IFERROR(VLOOKUP(A4757,'Base Prueba'!A:C,3,),"NO REGISTRA")</f>
        <v>MAICOL JARBEY GUALTEROS CASTAÑEDA</v>
      </c>
      <c r="D4757" s="4" t="str">
        <f>IFERROR(VLOOKUP(A4757,'Base Prueba'!A:D,4,),"NO REGISTRA")</f>
        <v>COORDINADOR DEL SISTEMA INTERNO DE ASEGURAMIENTO DE LA CALIDAD - SIAC</v>
      </c>
      <c r="E4757" s="5" t="str">
        <f>IFERROR(VLOOKUP(A4757,'Base Prueba'!A:E,5,),"NO REGISTRA")</f>
        <v>OFICINA DE PLANEACION Y GESTION DE LA CALIDAD</v>
      </c>
    </row>
    <row r="4758" spans="1:5" ht="15.75" x14ac:dyDescent="0.25">
      <c r="A4758" s="14">
        <v>1010184333</v>
      </c>
      <c r="B4758" s="2">
        <v>46118.323367013887</v>
      </c>
      <c r="C4758" s="3" t="str">
        <f>IFERROR(VLOOKUP(A4758,'Base Prueba'!A:C,3,),"NO REGISTRA")</f>
        <v>AKON ANDRES GARZON ALVAREZ</v>
      </c>
      <c r="D4758" s="4" t="str">
        <f>IFERROR(VLOOKUP(A4758,'Base Prueba'!A:D,4,),"NO REGISTRA")</f>
        <v>APRENDIZ UNIVERSITARIO</v>
      </c>
      <c r="E4758" s="5" t="str">
        <f>IFERROR(VLOOKUP(A4758,'Base Prueba'!A:E,5,),"NO REGISTRA")</f>
        <v>SECRETARIA GENERAL</v>
      </c>
    </row>
    <row r="4759" spans="1:5" ht="15.75" x14ac:dyDescent="0.25">
      <c r="A4759" s="14">
        <v>80191732</v>
      </c>
      <c r="B4759" s="2">
        <v>46118.326165625003</v>
      </c>
      <c r="C4759" s="3" t="str">
        <f>IFERROR(VLOOKUP(A4759,'Base Prueba'!A:C,3,),"NO REGISTRA")</f>
        <v>DANIEL MAURICIO ZAMBRANO TUNJANO</v>
      </c>
      <c r="D4759" s="4" t="str">
        <f>IFERROR(VLOOKUP(A4759,'Base Prueba'!A:D,4,),"NO REGISTRA")</f>
        <v>COORDINADOR DE DISEÑO E IMAGEN INSTITUCIONAL</v>
      </c>
      <c r="E4759" s="5" t="str">
        <f>IFERROR(VLOOKUP(A4759,'Base Prueba'!A:E,5,),"NO REGISTRA")</f>
        <v>OFICINA DE MERCADEO</v>
      </c>
    </row>
    <row r="4760" spans="1:5" ht="15.75" x14ac:dyDescent="0.25">
      <c r="A4760" s="14">
        <v>1014308296</v>
      </c>
      <c r="B4760" s="2">
        <v>46118.326919560182</v>
      </c>
      <c r="C4760" s="3" t="str">
        <f>IFERROR(VLOOKUP(A4760,'Base Prueba'!A:C,3,),"NO REGISTRA")</f>
        <v>DARLENE YULIANA MORENO CELEITA</v>
      </c>
      <c r="D4760" s="4" t="str">
        <f>IFERROR(VLOOKUP(A4760,'Base Prueba'!A:D,4,),"NO REGISTRA")</f>
        <v>CAJERO PRINCIPAL</v>
      </c>
      <c r="E4760" s="5" t="str">
        <f>IFERROR(VLOOKUP(A4760,'Base Prueba'!A:E,5,),"NO REGISTRA")</f>
        <v>AREA FINANCIERA Y CONTABLE</v>
      </c>
    </row>
    <row r="4761" spans="1:5" ht="15.75" x14ac:dyDescent="0.25">
      <c r="A4761" s="14">
        <v>1049644802</v>
      </c>
      <c r="B4761" s="2">
        <v>46118.331699305556</v>
      </c>
      <c r="C4761" s="3" t="str">
        <f>IFERROR(VLOOKUP(A4761,'Base Prueba'!A:C,3,),"NO REGISTRA")</f>
        <v>DANIELA ALEXANDRA CIPAMOCHA BOSIGA</v>
      </c>
      <c r="D4761" s="4" t="str">
        <f>IFERROR(VLOOKUP(A4761,'Base Prueba'!A:D,4,),"NO REGISTRA")</f>
        <v>LIDER DE DATOS Y SERVICIOS</v>
      </c>
      <c r="E4761" s="5" t="str">
        <f>IFERROR(VLOOKUP(A4761,'Base Prueba'!A:E,5,),"NO REGISTRA")</f>
        <v>OFICINA DE PLANEACION Y GESTION DE LA CALIDAD</v>
      </c>
    </row>
    <row r="4762" spans="1:5" ht="15.75" x14ac:dyDescent="0.25">
      <c r="A4762" s="14">
        <v>1013098430</v>
      </c>
      <c r="B4762" s="2">
        <v>46118.334316898145</v>
      </c>
      <c r="C4762" s="3" t="str">
        <f>IFERROR(VLOOKUP(A4762,'Base Prueba'!A:C,3,),"NO REGISTRA")</f>
        <v>ANDRES FELIPE LOPEZ ROMERO</v>
      </c>
      <c r="D4762" s="4" t="str">
        <f>IFERROR(VLOOKUP(A4762,'Base Prueba'!A:D,4,),"NO REGISTRA")</f>
        <v>APRENDIZ UNIVERSITARIO</v>
      </c>
      <c r="E4762" s="5" t="str">
        <f>IFERROR(VLOOKUP(A4762,'Base Prueba'!A:E,5,),"NO REGISTRA")</f>
        <v>OFICINA DE MERCADEO</v>
      </c>
    </row>
    <row r="4763" spans="1:5" ht="15.75" x14ac:dyDescent="0.25">
      <c r="A4763" s="14">
        <v>52735929</v>
      </c>
      <c r="B4763" s="2">
        <v>46118.334625578704</v>
      </c>
      <c r="C4763" s="3" t="str">
        <f>IFERROR(VLOOKUP(A4763,'Base Prueba'!A:C,3,),"NO REGISTRA")</f>
        <v>JEIMMY AREVALO MELO</v>
      </c>
      <c r="D4763" s="4" t="str">
        <f>IFERROR(VLOOKUP(A4763,'Base Prueba'!A:D,4,),"NO REGISTRA")</f>
        <v>COORDINADOR DE BIBLIOTECA</v>
      </c>
      <c r="E4763" s="5" t="str">
        <f>IFERROR(VLOOKUP(A4763,'Base Prueba'!A:E,5,),"NO REGISTRA")</f>
        <v>BIBLIOTECA</v>
      </c>
    </row>
    <row r="4764" spans="1:5" ht="15.75" x14ac:dyDescent="0.25">
      <c r="A4764" s="14">
        <v>53932358</v>
      </c>
      <c r="B4764" s="2">
        <v>46118.33687835648</v>
      </c>
      <c r="C4764" s="3" t="str">
        <f>IFERROR(VLOOKUP(A4764,'Base Prueba'!A:C,3,),"NO REGISTRA")</f>
        <v>DIANA MADELEYNE GAONA RODRIGUEZ</v>
      </c>
      <c r="D4764" s="4" t="str">
        <f>IFERROR(VLOOKUP(A4764,'Base Prueba'!A:D,4,),"NO REGISTRA")</f>
        <v>CONTADOR</v>
      </c>
      <c r="E4764" s="5" t="str">
        <f>IFERROR(VLOOKUP(A4764,'Base Prueba'!A:E,5,),"NO REGISTRA")</f>
        <v>AREA FINANCIERA Y CONTABLE</v>
      </c>
    </row>
    <row r="4765" spans="1:5" ht="15.75" x14ac:dyDescent="0.25">
      <c r="A4765" s="14">
        <v>1000257136</v>
      </c>
      <c r="B4765" s="2">
        <v>46118.337055902775</v>
      </c>
      <c r="C4765" s="3" t="str">
        <f>IFERROR(VLOOKUP(A4765,'Base Prueba'!A:C,3,),"NO REGISTRA")</f>
        <v>FRANCI VALENTINA CANO PUENTES</v>
      </c>
      <c r="D4765" s="4" t="str">
        <f>IFERROR(VLOOKUP(A4765,'Base Prueba'!A:D,4,),"NO REGISTRA")</f>
        <v>AUXILIAR CONTABLE</v>
      </c>
      <c r="E4765" s="5" t="str">
        <f>IFERROR(VLOOKUP(A4765,'Base Prueba'!A:E,5,),"NO REGISTRA")</f>
        <v>AREA FINANCIERA Y CONTABLE</v>
      </c>
    </row>
    <row r="4766" spans="1:5" ht="15.75" x14ac:dyDescent="0.25">
      <c r="A4766" s="14">
        <v>1193457976</v>
      </c>
      <c r="B4766" s="2">
        <v>46118.34120185185</v>
      </c>
      <c r="C4766" s="3" t="str">
        <f>IFERROR(VLOOKUP(A4766,'Base Prueba'!A:C,3,),"NO REGISTRA")</f>
        <v>SEDENIS RIVAS ASPRILLA</v>
      </c>
      <c r="D4766" s="4" t="str">
        <f>IFERROR(VLOOKUP(A4766,'Base Prueba'!A:D,4,),"NO REGISTRA")</f>
        <v>APRENDIZ UNIVERSITARIO</v>
      </c>
      <c r="E4766" s="5" t="str">
        <f>IFERROR(VLOOKUP(A4766,'Base Prueba'!A:E,5,),"NO REGISTRA")</f>
        <v>DEPARTAMENTO DE GESTION HUMANA</v>
      </c>
    </row>
    <row r="4767" spans="1:5" ht="15.75" x14ac:dyDescent="0.25">
      <c r="A4767" s="14">
        <v>1000457706</v>
      </c>
      <c r="B4767" s="2">
        <v>46118.346963657408</v>
      </c>
      <c r="C4767" s="3" t="str">
        <f>IFERROR(VLOOKUP(A4767,'Base Prueba'!A:C,3,),"NO REGISTRA")</f>
        <v>CRISTIAN DANILO ARROYO SANABRIA</v>
      </c>
      <c r="D4767" s="4" t="str">
        <f>IFERROR(VLOOKUP(A4767,'Base Prueba'!A:D,4,),"NO REGISTRA")</f>
        <v>AUXILIAR CONTABLE</v>
      </c>
      <c r="E4767" s="5" t="str">
        <f>IFERROR(VLOOKUP(A4767,'Base Prueba'!A:E,5,),"NO REGISTRA")</f>
        <v>AREA FINANCIERA Y CONTABLE</v>
      </c>
    </row>
    <row r="4768" spans="1:5" ht="15.75" x14ac:dyDescent="0.25">
      <c r="A4768" s="14">
        <v>28798349</v>
      </c>
      <c r="B4768" s="2">
        <v>46118.357382523151</v>
      </c>
      <c r="C4768" s="3" t="str">
        <f>IFERROR(VLOOKUP(A4768,'Base Prueba'!A:C,3,),"NO REGISTRA")</f>
        <v>MARTHA ISABEL TOVAR WILLIAMS</v>
      </c>
      <c r="D4768" s="4" t="str">
        <f>IFERROR(VLOOKUP(A4768,'Base Prueba'!A:D,4,),"NO REGISTRA")</f>
        <v>PROMOTOR CALL CENTER</v>
      </c>
      <c r="E4768" s="5" t="str">
        <f>IFERROR(VLOOKUP(A4768,'Base Prueba'!A:E,5,),"NO REGISTRA")</f>
        <v>OFICINA DE MERCADEO</v>
      </c>
    </row>
    <row r="4769" spans="1:5" ht="15.75" x14ac:dyDescent="0.25">
      <c r="A4769" s="14">
        <v>1033709056</v>
      </c>
      <c r="B4769" s="2">
        <v>46118.35855798611</v>
      </c>
      <c r="C4769" s="3" t="str">
        <f>IFERROR(VLOOKUP(A4769,'Base Prueba'!A:C,3,),"NO REGISTRA")</f>
        <v>YEIMY ALEXANDRA RODRIGUEZ PALACIO</v>
      </c>
      <c r="D4769" s="4" t="str">
        <f>IFERROR(VLOOKUP(A4769,'Base Prueba'!A:D,4,),"NO REGISTRA")</f>
        <v>PROMOTOR CALL CENTER</v>
      </c>
      <c r="E4769" s="5" t="str">
        <f>IFERROR(VLOOKUP(A4769,'Base Prueba'!A:E,5,),"NO REGISTRA")</f>
        <v>OFICINA DE MERCADEO</v>
      </c>
    </row>
    <row r="4770" spans="1:5" ht="15.75" x14ac:dyDescent="0.25">
      <c r="A4770" s="14">
        <v>1018413529</v>
      </c>
      <c r="B4770" s="2">
        <v>46118.360398842589</v>
      </c>
      <c r="C4770" s="3" t="str">
        <f>IFERROR(VLOOKUP(A4770,'Base Prueba'!A:C,3,),"NO REGISTRA")</f>
        <v>FRANCY STELLA CHARRY MORENO</v>
      </c>
      <c r="D4770" s="4" t="str">
        <f>IFERROR(VLOOKUP(A4770,'Base Prueba'!A:D,4,),"NO REGISTRA")</f>
        <v>PROMOTOR COMERCIAL DEL CEA</v>
      </c>
      <c r="E4770" s="5" t="str">
        <f>IFERROR(VLOOKUP(A4770,'Base Prueba'!A:E,5,),"NO REGISTRA")</f>
        <v>OFICINA DE MERCADEO</v>
      </c>
    </row>
    <row r="4771" spans="1:5" ht="15.75" x14ac:dyDescent="0.25">
      <c r="A4771" s="14">
        <v>1000593372</v>
      </c>
      <c r="B4771" s="2">
        <v>46118.361506365742</v>
      </c>
      <c r="C4771" s="3" t="str">
        <f>IFERROR(VLOOKUP(A4771,'Base Prueba'!A:C,3,),"NO REGISTRA")</f>
        <v>LAURA SOFIA CHAPARRO LOPEZ</v>
      </c>
      <c r="D4771" s="4" t="str">
        <f>IFERROR(VLOOKUP(A4771,'Base Prueba'!A:D,4,),"NO REGISTRA")</f>
        <v>AUXILIAR JURIDICO</v>
      </c>
      <c r="E4771" s="5" t="str">
        <f>IFERROR(VLOOKUP(A4771,'Base Prueba'!A:E,5,),"NO REGISTRA")</f>
        <v>SECRETARIA GENERAL</v>
      </c>
    </row>
    <row r="4772" spans="1:5" ht="15.75" x14ac:dyDescent="0.25">
      <c r="A4772" s="14">
        <v>1000604979</v>
      </c>
      <c r="B4772" s="2">
        <v>46118.361530787035</v>
      </c>
      <c r="C4772" s="3" t="str">
        <f>IFERROR(VLOOKUP(A4772,'Base Prueba'!A:C,3,),"NO REGISTRA")</f>
        <v>JULIETH TATIANA PARDO PINTO</v>
      </c>
      <c r="D4772" s="4" t="str">
        <f>IFERROR(VLOOKUP(A4772,'Base Prueba'!A:D,4,),"NO REGISTRA")</f>
        <v>AUXILIAR JURIDICO</v>
      </c>
      <c r="E4772" s="5" t="str">
        <f>IFERROR(VLOOKUP(A4772,'Base Prueba'!A:E,5,),"NO REGISTRA")</f>
        <v>SECRETARIA GENERAL</v>
      </c>
    </row>
    <row r="4773" spans="1:5" ht="15.75" x14ac:dyDescent="0.25">
      <c r="A4773" s="14">
        <v>80234243</v>
      </c>
      <c r="B4773" s="2">
        <v>46118.364897222222</v>
      </c>
      <c r="C4773" s="3" t="str">
        <f>IFERROR(VLOOKUP(A4773,'Base Prueba'!A:C,3,),"NO REGISTRA")</f>
        <v>ARGENIS MARTINEZ MARTINEZ</v>
      </c>
      <c r="D4773" s="4" t="str">
        <f>IFERROR(VLOOKUP(A4773,'Base Prueba'!A:D,4,),"NO REGISTRA")</f>
        <v>LIDER CALL CENTER</v>
      </c>
      <c r="E4773" s="5" t="str">
        <f>IFERROR(VLOOKUP(A4773,'Base Prueba'!A:E,5,),"NO REGISTRA")</f>
        <v>OFICINA DE MERCADEO</v>
      </c>
    </row>
    <row r="4774" spans="1:5" ht="15.75" x14ac:dyDescent="0.25">
      <c r="A4774" s="14">
        <v>1000046533</v>
      </c>
      <c r="B4774" s="2">
        <v>46118.370682638888</v>
      </c>
      <c r="C4774" s="3" t="str">
        <f>IFERROR(VLOOKUP(A4774,'Base Prueba'!A:C,3,),"NO REGISTRA")</f>
        <v>ERIKA JULIETH VALDERRAMA SANCHEZ</v>
      </c>
      <c r="D4774" s="4" t="str">
        <f>IFERROR(VLOOKUP(A4774,'Base Prueba'!A:D,4,),"NO REGISTRA")</f>
        <v>PROMOTOR CALL CENTER</v>
      </c>
      <c r="E4774" s="5" t="str">
        <f>IFERROR(VLOOKUP(A4774,'Base Prueba'!A:E,5,),"NO REGISTRA")</f>
        <v>OFICINA DE MERCADEO</v>
      </c>
    </row>
    <row r="4775" spans="1:5" ht="15.75" x14ac:dyDescent="0.25">
      <c r="A4775" s="14">
        <v>1012426741</v>
      </c>
      <c r="B4775" s="2">
        <v>46118.372943750001</v>
      </c>
      <c r="C4775" s="3" t="str">
        <f>IFERROR(VLOOKUP(A4775,'Base Prueba'!A:C,3,),"NO REGISTRA")</f>
        <v>CRISTIAN FABIAN ROJAS SANCENO</v>
      </c>
      <c r="D4775" s="4" t="str">
        <f>IFERROR(VLOOKUP(A4775,'Base Prueba'!A:D,4,),"NO REGISTRA")</f>
        <v>AUXILIAR DE REINTEGROS</v>
      </c>
      <c r="E4775" s="5" t="str">
        <f>IFERROR(VLOOKUP(A4775,'Base Prueba'!A:E,5,),"NO REGISTRA")</f>
        <v>DIRECCION DE BIENESTAR INSTITUCIONAL</v>
      </c>
    </row>
    <row r="4776" spans="1:5" ht="15.75" x14ac:dyDescent="0.25">
      <c r="A4776" s="14">
        <v>1018414290</v>
      </c>
      <c r="B4776" s="2">
        <v>46118.373922916668</v>
      </c>
      <c r="C4776" s="3" t="str">
        <f>IFERROR(VLOOKUP(A4776,'Base Prueba'!A:C,3,),"NO REGISTRA")</f>
        <v>AMANDA LISBETH RODRIGUEZ LEON</v>
      </c>
      <c r="D4776" s="4" t="str">
        <f>IFERROR(VLOOKUP(A4776,'Base Prueba'!A:D,4,),"NO REGISTRA")</f>
        <v>PROMOTOR CALL CENTER</v>
      </c>
      <c r="E4776" s="5" t="str">
        <f>IFERROR(VLOOKUP(A4776,'Base Prueba'!A:E,5,),"NO REGISTRA")</f>
        <v>OFICINA DE MERCADEO</v>
      </c>
    </row>
    <row r="4777" spans="1:5" ht="15.75" x14ac:dyDescent="0.25">
      <c r="A4777" s="14">
        <v>1023961952</v>
      </c>
      <c r="B4777" s="2">
        <v>46118.374088773147</v>
      </c>
      <c r="C4777" s="3" t="str">
        <f>IFERROR(VLOOKUP(A4777,'Base Prueba'!A:C,3,),"NO REGISTRA")</f>
        <v>ALEJANDRO PINZON MERCHAN</v>
      </c>
      <c r="D4777" s="4" t="str">
        <f>IFERROR(VLOOKUP(A4777,'Base Prueba'!A:D,4,),"NO REGISTRA")</f>
        <v>PROMOTOR CALL CENTER</v>
      </c>
      <c r="E4777" s="5" t="str">
        <f>IFERROR(VLOOKUP(A4777,'Base Prueba'!A:E,5,),"NO REGISTRA")</f>
        <v>OFICINA DE MERCADEO</v>
      </c>
    </row>
    <row r="4778" spans="1:5" ht="15.75" x14ac:dyDescent="0.25">
      <c r="A4778" s="14">
        <v>53089882</v>
      </c>
      <c r="B4778" s="2">
        <v>46118.375043287037</v>
      </c>
      <c r="C4778" s="3" t="str">
        <f>IFERROR(VLOOKUP(A4778,'Base Prueba'!A:C,3,),"NO REGISTRA")</f>
        <v>MARIA JOHANA ESCAMILLA MARTINEZ</v>
      </c>
      <c r="D4778" s="4" t="str">
        <f>IFERROR(VLOOKUP(A4778,'Base Prueba'!A:D,4,),"NO REGISTRA")</f>
        <v>PROMOTOR DE INFORMACIÓN</v>
      </c>
      <c r="E4778" s="5" t="str">
        <f>IFERROR(VLOOKUP(A4778,'Base Prueba'!A:E,5,),"NO REGISTRA")</f>
        <v>OFICINA DE MERCADEO</v>
      </c>
    </row>
    <row r="4779" spans="1:5" ht="15.75" x14ac:dyDescent="0.25">
      <c r="A4779" s="14">
        <v>1014196857</v>
      </c>
      <c r="B4779" s="2">
        <v>46118.375893865741</v>
      </c>
      <c r="C4779" s="3" t="str">
        <f>IFERROR(VLOOKUP(A4779,'Base Prueba'!A:C,3,),"NO REGISTRA")</f>
        <v>CARLOS ANDRES JIMENEZ PARDO</v>
      </c>
      <c r="D4779" s="4" t="str">
        <f>IFERROR(VLOOKUP(A4779,'Base Prueba'!A:D,4,),"NO REGISTRA")</f>
        <v>COORDINADOR DE MARKETING DIGITAL</v>
      </c>
      <c r="E4779" s="5" t="str">
        <f>IFERROR(VLOOKUP(A4779,'Base Prueba'!A:E,5,),"NO REGISTRA")</f>
        <v>OFICINA DE MERCADEO</v>
      </c>
    </row>
    <row r="4780" spans="1:5" ht="15.75" x14ac:dyDescent="0.25">
      <c r="A4780" s="14">
        <v>1019105003</v>
      </c>
      <c r="B4780" s="2">
        <v>46118.377463773148</v>
      </c>
      <c r="C4780" s="3" t="str">
        <f>IFERROR(VLOOKUP(A4780,'Base Prueba'!A:C,3,),"NO REGISTRA")</f>
        <v>DAISY JULIETH GASPAR MORENO</v>
      </c>
      <c r="D4780" s="4" t="str">
        <f>IFERROR(VLOOKUP(A4780,'Base Prueba'!A:D,4,),"NO REGISTRA")</f>
        <v>PROMOTOR CALL CENTER</v>
      </c>
      <c r="E4780" s="5" t="str">
        <f>IFERROR(VLOOKUP(A4780,'Base Prueba'!A:E,5,),"NO REGISTRA")</f>
        <v>OFICINA DE MERCADEO</v>
      </c>
    </row>
    <row r="4781" spans="1:5" ht="15.75" x14ac:dyDescent="0.25">
      <c r="A4781" s="14">
        <v>1032407386</v>
      </c>
      <c r="B4781" s="2">
        <v>46118.379004166665</v>
      </c>
      <c r="C4781" s="3" t="str">
        <f>IFERROR(VLOOKUP(A4781,'Base Prueba'!A:C,3,),"NO REGISTRA")</f>
        <v>GINA PAOLA BAEZ GALVIS</v>
      </c>
      <c r="D4781" s="4" t="str">
        <f>IFERROR(VLOOKUP(A4781,'Base Prueba'!A:D,4,),"NO REGISTRA")</f>
        <v>PROMOTOR CALL CENTER</v>
      </c>
      <c r="E4781" s="5" t="str">
        <f>IFERROR(VLOOKUP(A4781,'Base Prueba'!A:E,5,),"NO REGISTRA")</f>
        <v>OFICINA DE MERCADEO</v>
      </c>
    </row>
    <row r="4782" spans="1:5" ht="15.75" x14ac:dyDescent="0.25">
      <c r="A4782" s="14">
        <v>1016090131</v>
      </c>
      <c r="B4782" s="2">
        <v>46118.380210069445</v>
      </c>
      <c r="C4782" s="3" t="str">
        <f>IFERROR(VLOOKUP(A4782,'Base Prueba'!A:C,3,),"NO REGISTRA")</f>
        <v>NICOLAS RODRIGUEZ PACHECO</v>
      </c>
      <c r="D4782" s="4" t="str">
        <f>IFERROR(VLOOKUP(A4782,'Base Prueba'!A:D,4,),"NO REGISTRA")</f>
        <v>COORDINADOR DE COMUNICACIONES</v>
      </c>
      <c r="E4782" s="5" t="str">
        <f>IFERROR(VLOOKUP(A4782,'Base Prueba'!A:E,5,),"NO REGISTRA")</f>
        <v>OFICINA DE MERCADEO</v>
      </c>
    </row>
    <row r="4783" spans="1:5" ht="15.75" x14ac:dyDescent="0.25">
      <c r="A4783" s="14">
        <v>52472386</v>
      </c>
      <c r="B4783" s="2">
        <v>46118.402792129629</v>
      </c>
      <c r="C4783" s="3" t="str">
        <f>IFERROR(VLOOKUP(A4783,'Base Prueba'!A:C,3,),"NO REGISTRA")</f>
        <v>ADRIANA MARCELA MORALES PARDO</v>
      </c>
      <c r="D4783" s="4" t="str">
        <f>IFERROR(VLOOKUP(A4783,'Base Prueba'!A:D,4,),"NO REGISTRA")</f>
        <v>PROMOTOR CALL CENTER</v>
      </c>
      <c r="E4783" s="5" t="str">
        <f>IFERROR(VLOOKUP(A4783,'Base Prueba'!A:E,5,),"NO REGISTRA")</f>
        <v>OFICINA DE MERCADEO</v>
      </c>
    </row>
    <row r="4784" spans="1:5" ht="15.75" x14ac:dyDescent="0.25">
      <c r="A4784" s="14">
        <v>1193457976</v>
      </c>
      <c r="B4784" s="2">
        <v>46118.544142476851</v>
      </c>
      <c r="C4784" s="3" t="str">
        <f>IFERROR(VLOOKUP(A4784,'Base Prueba'!A:C,3,),"NO REGISTRA")</f>
        <v>SEDENIS RIVAS ASPRILLA</v>
      </c>
      <c r="D4784" s="4" t="str">
        <f>IFERROR(VLOOKUP(A4784,'Base Prueba'!A:D,4,),"NO REGISTRA")</f>
        <v>APRENDIZ UNIVERSITARIO</v>
      </c>
      <c r="E4784" s="5" t="str">
        <f>IFERROR(VLOOKUP(A4784,'Base Prueba'!A:E,5,),"NO REGISTRA")</f>
        <v>DEPARTAMENTO DE GESTION HUMANA</v>
      </c>
    </row>
    <row r="4785" spans="1:5" ht="15.75" x14ac:dyDescent="0.25">
      <c r="A4785" s="14">
        <v>52443092</v>
      </c>
      <c r="B4785" s="2">
        <v>46118.586021643518</v>
      </c>
      <c r="C4785" s="3" t="str">
        <f>IFERROR(VLOOKUP(A4785,'Base Prueba'!A:C,3,),"NO REGISTRA")</f>
        <v>LUZ MYRIAM SAAVEDRA CONTRERAS</v>
      </c>
      <c r="D4785" s="4" t="str">
        <f>IFERROR(VLOOKUP(A4785,'Base Prueba'!A:D,4,),"NO REGISTRA")</f>
        <v>AUXILIAR DE SERVICIOS</v>
      </c>
      <c r="E4785" s="5" t="str">
        <f>IFERROR(VLOOKUP(A4785,'Base Prueba'!A:E,5,),"NO REGISTRA")</f>
        <v>LOGISTICA Y SERVICIOS GENERALES</v>
      </c>
    </row>
    <row r="4786" spans="1:5" ht="15.75" x14ac:dyDescent="0.25">
      <c r="A4786" s="14">
        <v>1013098430</v>
      </c>
      <c r="B4786" s="2">
        <v>46118.715373148145</v>
      </c>
      <c r="C4786" s="3" t="str">
        <f>IFERROR(VLOOKUP(A4786,'Base Prueba'!A:C,3,),"NO REGISTRA")</f>
        <v>ANDRES FELIPE LOPEZ ROMERO</v>
      </c>
      <c r="D4786" s="4" t="str">
        <f>IFERROR(VLOOKUP(A4786,'Base Prueba'!A:D,4,),"NO REGISTRA")</f>
        <v>APRENDIZ UNIVERSITARIO</v>
      </c>
      <c r="E4786" s="5" t="str">
        <f>IFERROR(VLOOKUP(A4786,'Base Prueba'!A:E,5,),"NO REGISTRA")</f>
        <v>OFICINA DE MERCADEO</v>
      </c>
    </row>
    <row r="4787" spans="1:5" ht="15.75" x14ac:dyDescent="0.25">
      <c r="A4787" s="14">
        <v>1024512067</v>
      </c>
      <c r="B4787" s="2">
        <v>46118.739928935189</v>
      </c>
      <c r="C4787" s="3" t="str">
        <f>IFERROR(VLOOKUP(A4787,'Base Prueba'!A:C,3,),"NO REGISTRA")</f>
        <v>CINDY GIOVANA SALGAR GOMEZ</v>
      </c>
      <c r="D4787" s="4" t="str">
        <f>IFERROR(VLOOKUP(A4787,'Base Prueba'!A:D,4,),"NO REGISTRA")</f>
        <v>COORDINADOR DEL SISTEMA INTEGRADO DE GESTION INSTITUCIONAL - SIGI</v>
      </c>
      <c r="E4787" s="5" t="str">
        <f>IFERROR(VLOOKUP(A4787,'Base Prueba'!A:E,5,),"NO REGISTRA")</f>
        <v>OFICINA DE PLANEACION Y GESTION DE LA CALIDAD</v>
      </c>
    </row>
    <row r="4788" spans="1:5" ht="15.75" x14ac:dyDescent="0.25">
      <c r="A4788" s="14">
        <v>1010184333</v>
      </c>
      <c r="B4788" s="2">
        <v>46118.742179398148</v>
      </c>
      <c r="C4788" s="3" t="str">
        <f>IFERROR(VLOOKUP(A4788,'Base Prueba'!A:C,3,),"NO REGISTRA")</f>
        <v>AKON ANDRES GARZON ALVAREZ</v>
      </c>
      <c r="D4788" s="4" t="str">
        <f>IFERROR(VLOOKUP(A4788,'Base Prueba'!A:D,4,),"NO REGISTRA")</f>
        <v>APRENDIZ UNIVERSITARIO</v>
      </c>
      <c r="E4788" s="5" t="str">
        <f>IFERROR(VLOOKUP(A4788,'Base Prueba'!A:E,5,),"NO REGISTRA")</f>
        <v>SECRETARIA GENERAL</v>
      </c>
    </row>
    <row r="4789" spans="1:5" ht="15.75" x14ac:dyDescent="0.25">
      <c r="A4789" s="14">
        <v>1012426741</v>
      </c>
      <c r="B4789" s="2">
        <v>46118.750170717591</v>
      </c>
      <c r="C4789" s="3" t="str">
        <f>IFERROR(VLOOKUP(A4789,'Base Prueba'!A:C,3,),"NO REGISTRA")</f>
        <v>CRISTIAN FABIAN ROJAS SANCENO</v>
      </c>
      <c r="D4789" s="4" t="str">
        <f>IFERROR(VLOOKUP(A4789,'Base Prueba'!A:D,4,),"NO REGISTRA")</f>
        <v>AUXILIAR DE REINTEGROS</v>
      </c>
      <c r="E4789" s="5" t="str">
        <f>IFERROR(VLOOKUP(A4789,'Base Prueba'!A:E,5,),"NO REGISTRA")</f>
        <v>DIRECCION DE BIENESTAR INSTITUCIONAL</v>
      </c>
    </row>
    <row r="4790" spans="1:5" ht="15.75" x14ac:dyDescent="0.25">
      <c r="A4790" s="14">
        <v>1013101788</v>
      </c>
      <c r="B4790" s="2">
        <v>46118.751395023151</v>
      </c>
      <c r="C4790" s="3" t="str">
        <f>IFERROR(VLOOKUP(A4790,'Base Prueba'!A:C,3,),"NO REGISTRA")</f>
        <v>SARA TANGARIFE MONTOYA</v>
      </c>
      <c r="D4790" s="4" t="str">
        <f>IFERROR(VLOOKUP(A4790,'Base Prueba'!A:D,4,),"NO REGISTRA")</f>
        <v>APRENDIZ UNIVERSITARIO</v>
      </c>
      <c r="E4790" s="5" t="str">
        <f>IFERROR(VLOOKUP(A4790,'Base Prueba'!A:E,5,),"NO REGISTRA")</f>
        <v>OFICINA DE MERCADEO</v>
      </c>
    </row>
    <row r="4791" spans="1:5" ht="15.75" x14ac:dyDescent="0.25">
      <c r="A4791" s="14">
        <v>1049644802</v>
      </c>
      <c r="B4791" s="2">
        <v>46118.752236921297</v>
      </c>
      <c r="C4791" s="3" t="str">
        <f>IFERROR(VLOOKUP(A4791,'Base Prueba'!A:C,3,),"NO REGISTRA")</f>
        <v>DANIELA ALEXANDRA CIPAMOCHA BOSIGA</v>
      </c>
      <c r="D4791" s="4" t="str">
        <f>IFERROR(VLOOKUP(A4791,'Base Prueba'!A:D,4,),"NO REGISTRA")</f>
        <v>LIDER DE DATOS Y SERVICIOS</v>
      </c>
      <c r="E4791" s="5" t="str">
        <f>IFERROR(VLOOKUP(A4791,'Base Prueba'!A:E,5,),"NO REGISTRA")</f>
        <v>OFICINA DE PLANEACION Y GESTION DE LA CALIDAD</v>
      </c>
    </row>
    <row r="4792" spans="1:5" ht="15.75" x14ac:dyDescent="0.25">
      <c r="A4792" s="14">
        <v>1000046533</v>
      </c>
      <c r="B4792" s="2">
        <v>46118.752310185184</v>
      </c>
      <c r="C4792" s="3" t="str">
        <f>IFERROR(VLOOKUP(A4792,'Base Prueba'!A:C,3,),"NO REGISTRA")</f>
        <v>ERIKA JULIETH VALDERRAMA SANCHEZ</v>
      </c>
      <c r="D4792" s="4" t="str">
        <f>IFERROR(VLOOKUP(A4792,'Base Prueba'!A:D,4,),"NO REGISTRA")</f>
        <v>PROMOTOR CALL CENTER</v>
      </c>
      <c r="E4792" s="5" t="str">
        <f>IFERROR(VLOOKUP(A4792,'Base Prueba'!A:E,5,),"NO REGISTRA")</f>
        <v>OFICINA DE MERCADEO</v>
      </c>
    </row>
    <row r="4793" spans="1:5" ht="15.75" x14ac:dyDescent="0.25">
      <c r="A4793" s="14">
        <v>1022996882</v>
      </c>
      <c r="B4793" s="2">
        <v>46118.75275428241</v>
      </c>
      <c r="C4793" s="3" t="str">
        <f>IFERROR(VLOOKUP(A4793,'Base Prueba'!A:C,3,),"NO REGISTRA")</f>
        <v>NANCY BRIGITH ALDANA GUEVARA</v>
      </c>
      <c r="D4793" s="4" t="str">
        <f>IFERROR(VLOOKUP(A4793,'Base Prueba'!A:D,4,),"NO REGISTRA")</f>
        <v>COORDINADORA DE GESTIÓN HUMANA</v>
      </c>
      <c r="E4793" s="5" t="str">
        <f>IFERROR(VLOOKUP(A4793,'Base Prueba'!A:E,5,),"NO REGISTRA")</f>
        <v>DEPARTAMENTO DE GESTION HUMANA</v>
      </c>
    </row>
    <row r="4794" spans="1:5" ht="15.75" x14ac:dyDescent="0.25">
      <c r="A4794" s="14">
        <v>52175674</v>
      </c>
      <c r="B4794" s="2">
        <v>46118.753320717595</v>
      </c>
      <c r="C4794" s="3" t="str">
        <f>IFERROR(VLOOKUP(A4794,'Base Prueba'!A:C,3,),"NO REGISTRA")</f>
        <v>LUZ YANETH GOMEZ AREVALO</v>
      </c>
      <c r="D4794" s="4" t="str">
        <f>IFERROR(VLOOKUP(A4794,'Base Prueba'!A:D,4,),"NO REGISTRA")</f>
        <v>COORDINADORA DE ADMISIONES</v>
      </c>
      <c r="E4794" s="5" t="str">
        <f>IFERROR(VLOOKUP(A4794,'Base Prueba'!A:E,5,),"NO REGISTRA")</f>
        <v>OFICINA DE MERCADEO</v>
      </c>
    </row>
    <row r="4795" spans="1:5" ht="15.75" x14ac:dyDescent="0.25">
      <c r="A4795" s="14">
        <v>1000467399</v>
      </c>
      <c r="B4795" s="2">
        <v>46118.754427430555</v>
      </c>
      <c r="C4795" s="3" t="str">
        <f>IFERROR(VLOOKUP(A4795,'Base Prueba'!A:C,3,),"NO REGISTRA")</f>
        <v>BRANDO ESTIVEN DIAZ QUIMBAYA</v>
      </c>
      <c r="D4795" s="4" t="str">
        <f>IFERROR(VLOOKUP(A4795,'Base Prueba'!A:D,4,),"NO REGISTRA")</f>
        <v>APRENDIZ UNIVERSITARIO</v>
      </c>
      <c r="E4795" s="5" t="str">
        <f>IFERROR(VLOOKUP(A4795,'Base Prueba'!A:E,5,),"NO REGISTRA")</f>
        <v>DEPARTAMENTO DE GESTION HUMANA</v>
      </c>
    </row>
    <row r="4796" spans="1:5" ht="15.75" x14ac:dyDescent="0.25">
      <c r="A4796" s="14">
        <v>1014308296</v>
      </c>
      <c r="B4796" s="2">
        <v>46118.754558912035</v>
      </c>
      <c r="C4796" s="3" t="str">
        <f>IFERROR(VLOOKUP(A4796,'Base Prueba'!A:C,3,),"NO REGISTRA")</f>
        <v>DARLENE YULIANA MORENO CELEITA</v>
      </c>
      <c r="D4796" s="4" t="str">
        <f>IFERROR(VLOOKUP(A4796,'Base Prueba'!A:D,4,),"NO REGISTRA")</f>
        <v>CAJERO PRINCIPAL</v>
      </c>
      <c r="E4796" s="5" t="str">
        <f>IFERROR(VLOOKUP(A4796,'Base Prueba'!A:E,5,),"NO REGISTRA")</f>
        <v>AREA FINANCIERA Y CONTABLE</v>
      </c>
    </row>
    <row r="4797" spans="1:5" ht="15.75" x14ac:dyDescent="0.25">
      <c r="A4797" s="14">
        <v>1087121273</v>
      </c>
      <c r="B4797" s="2">
        <v>46118.754582291665</v>
      </c>
      <c r="C4797" s="3" t="str">
        <f>IFERROR(VLOOKUP(A4797,'Base Prueba'!A:C,3,),"NO REGISTRA")</f>
        <v>MAYRA ALEJANDRA CASTILLO ARBOLEDA</v>
      </c>
      <c r="D4797" s="4" t="str">
        <f>IFERROR(VLOOKUP(A4797,'Base Prueba'!A:D,4,),"NO REGISTRA")</f>
        <v>APOYO INTEGRAL DE MERCADEO</v>
      </c>
      <c r="E4797" s="5" t="str">
        <f>IFERROR(VLOOKUP(A4797,'Base Prueba'!A:E,5,),"NO REGISTRA")</f>
        <v>CENTRO DE GESTION DOCUMENTAL</v>
      </c>
    </row>
    <row r="4798" spans="1:5" ht="15.75" x14ac:dyDescent="0.25">
      <c r="A4798" s="14">
        <v>1014196857</v>
      </c>
      <c r="B4798" s="2">
        <v>46118.756236458335</v>
      </c>
      <c r="C4798" s="3" t="str">
        <f>IFERROR(VLOOKUP(A4798,'Base Prueba'!A:C,3,),"NO REGISTRA")</f>
        <v>CARLOS ANDRES JIMENEZ PARDO</v>
      </c>
      <c r="D4798" s="4" t="str">
        <f>IFERROR(VLOOKUP(A4798,'Base Prueba'!A:D,4,),"NO REGISTRA")</f>
        <v>COORDINADOR DE MARKETING DIGITAL</v>
      </c>
      <c r="E4798" s="5" t="str">
        <f>IFERROR(VLOOKUP(A4798,'Base Prueba'!A:E,5,),"NO REGISTRA")</f>
        <v>OFICINA DE MERCADEO</v>
      </c>
    </row>
    <row r="4799" spans="1:5" ht="15.75" x14ac:dyDescent="0.25">
      <c r="A4799" s="14">
        <v>1019105003</v>
      </c>
      <c r="B4799" s="2">
        <v>46118.756352546297</v>
      </c>
      <c r="C4799" s="3" t="str">
        <f>IFERROR(VLOOKUP(A4799,'Base Prueba'!A:C,3,),"NO REGISTRA")</f>
        <v>DAISY JULIETH GASPAR MORENO</v>
      </c>
      <c r="D4799" s="4" t="str">
        <f>IFERROR(VLOOKUP(A4799,'Base Prueba'!A:D,4,),"NO REGISTRA")</f>
        <v>PROMOTOR CALL CENTER</v>
      </c>
      <c r="E4799" s="5" t="str">
        <f>IFERROR(VLOOKUP(A4799,'Base Prueba'!A:E,5,),"NO REGISTRA")</f>
        <v>OFICINA DE MERCADEO</v>
      </c>
    </row>
    <row r="4800" spans="1:5" ht="15.75" x14ac:dyDescent="0.25">
      <c r="A4800" s="14">
        <v>1033709056</v>
      </c>
      <c r="B4800" s="2">
        <v>46118.756395254626</v>
      </c>
      <c r="C4800" s="3" t="str">
        <f>IFERROR(VLOOKUP(A4800,'Base Prueba'!A:C,3,),"NO REGISTRA")</f>
        <v>YEIMY ALEXANDRA RODRIGUEZ PALACIO</v>
      </c>
      <c r="D4800" s="4" t="str">
        <f>IFERROR(VLOOKUP(A4800,'Base Prueba'!A:D,4,),"NO REGISTRA")</f>
        <v>PROMOTOR CALL CENTER</v>
      </c>
      <c r="E4800" s="5" t="str">
        <f>IFERROR(VLOOKUP(A4800,'Base Prueba'!A:E,5,),"NO REGISTRA")</f>
        <v>OFICINA DE MERCADEO</v>
      </c>
    </row>
    <row r="4801" spans="1:5" ht="15.75" x14ac:dyDescent="0.25">
      <c r="A4801" s="14">
        <v>80191732</v>
      </c>
      <c r="B4801" s="2">
        <v>46118.758599421293</v>
      </c>
      <c r="C4801" s="3" t="str">
        <f>IFERROR(VLOOKUP(A4801,'Base Prueba'!A:C,3,),"NO REGISTRA")</f>
        <v>DANIEL MAURICIO ZAMBRANO TUNJANO</v>
      </c>
      <c r="D4801" s="4" t="str">
        <f>IFERROR(VLOOKUP(A4801,'Base Prueba'!A:D,4,),"NO REGISTRA")</f>
        <v>COORDINADOR DE DISEÑO E IMAGEN INSTITUCIONAL</v>
      </c>
      <c r="E4801" s="5" t="str">
        <f>IFERROR(VLOOKUP(A4801,'Base Prueba'!A:E,5,),"NO REGISTRA")</f>
        <v>OFICINA DE MERCADEO</v>
      </c>
    </row>
    <row r="4802" spans="1:5" ht="15.75" x14ac:dyDescent="0.25">
      <c r="A4802" s="14">
        <v>1018413529</v>
      </c>
      <c r="B4802" s="2">
        <v>46118.761482638889</v>
      </c>
      <c r="C4802" s="3" t="str">
        <f>IFERROR(VLOOKUP(A4802,'Base Prueba'!A:C,3,),"NO REGISTRA")</f>
        <v>FRANCY STELLA CHARRY MORENO</v>
      </c>
      <c r="D4802" s="4" t="str">
        <f>IFERROR(VLOOKUP(A4802,'Base Prueba'!A:D,4,),"NO REGISTRA")</f>
        <v>PROMOTOR COMERCIAL DEL CEA</v>
      </c>
      <c r="E4802" s="5" t="str">
        <f>IFERROR(VLOOKUP(A4802,'Base Prueba'!A:E,5,),"NO REGISTRA")</f>
        <v>OFICINA DE MERCADEO</v>
      </c>
    </row>
    <row r="4803" spans="1:5" ht="15.75" x14ac:dyDescent="0.25">
      <c r="A4803" s="14">
        <v>53089882</v>
      </c>
      <c r="B4803" s="2">
        <v>46118.761695833331</v>
      </c>
      <c r="C4803" s="3" t="str">
        <f>IFERROR(VLOOKUP(A4803,'Base Prueba'!A:C,3,),"NO REGISTRA")</f>
        <v>MARIA JOHANA ESCAMILLA MARTINEZ</v>
      </c>
      <c r="D4803" s="4" t="str">
        <f>IFERROR(VLOOKUP(A4803,'Base Prueba'!A:D,4,),"NO REGISTRA")</f>
        <v>PROMOTOR DE INFORMACIÓN</v>
      </c>
      <c r="E4803" s="5" t="str">
        <f>IFERROR(VLOOKUP(A4803,'Base Prueba'!A:E,5,),"NO REGISTRA")</f>
        <v>OFICINA DE MERCADEO</v>
      </c>
    </row>
    <row r="4804" spans="1:5" ht="15.75" x14ac:dyDescent="0.25">
      <c r="A4804" s="14">
        <v>1000604979</v>
      </c>
      <c r="B4804" s="2">
        <v>46118.763027546294</v>
      </c>
      <c r="C4804" s="3" t="str">
        <f>IFERROR(VLOOKUP(A4804,'Base Prueba'!A:C,3,),"NO REGISTRA")</f>
        <v>JULIETH TATIANA PARDO PINTO</v>
      </c>
      <c r="D4804" s="4" t="str">
        <f>IFERROR(VLOOKUP(A4804,'Base Prueba'!A:D,4,),"NO REGISTRA")</f>
        <v>AUXILIAR JURIDICO</v>
      </c>
      <c r="E4804" s="5" t="str">
        <f>IFERROR(VLOOKUP(A4804,'Base Prueba'!A:E,5,),"NO REGISTRA")</f>
        <v>SECRETARIA GENERAL</v>
      </c>
    </row>
    <row r="4805" spans="1:5" ht="15.75" x14ac:dyDescent="0.25">
      <c r="A4805" s="14">
        <v>1000593372</v>
      </c>
      <c r="B4805" s="2">
        <v>46118.763066203705</v>
      </c>
      <c r="C4805" s="3" t="str">
        <f>IFERROR(VLOOKUP(A4805,'Base Prueba'!A:C,3,),"NO REGISTRA")</f>
        <v>LAURA SOFIA CHAPARRO LOPEZ</v>
      </c>
      <c r="D4805" s="4" t="str">
        <f>IFERROR(VLOOKUP(A4805,'Base Prueba'!A:D,4,),"NO REGISTRA")</f>
        <v>AUXILIAR JURIDICO</v>
      </c>
      <c r="E4805" s="5" t="str">
        <f>IFERROR(VLOOKUP(A4805,'Base Prueba'!A:E,5,),"NO REGISTRA")</f>
        <v>SECRETARIA GENERAL</v>
      </c>
    </row>
    <row r="4806" spans="1:5" ht="15.75" x14ac:dyDescent="0.25">
      <c r="A4806" s="14">
        <v>28798349</v>
      </c>
      <c r="B4806" s="2">
        <v>46118.764600000002</v>
      </c>
      <c r="C4806" s="3" t="str">
        <f>IFERROR(VLOOKUP(A4806,'Base Prueba'!A:C,3,),"NO REGISTRA")</f>
        <v>MARTHA ISABEL TOVAR WILLIAMS</v>
      </c>
      <c r="D4806" s="4" t="str">
        <f>IFERROR(VLOOKUP(A4806,'Base Prueba'!A:D,4,),"NO REGISTRA")</f>
        <v>PROMOTOR CALL CENTER</v>
      </c>
      <c r="E4806" s="5" t="str">
        <f>IFERROR(VLOOKUP(A4806,'Base Prueba'!A:E,5,),"NO REGISTRA")</f>
        <v>OFICINA DE MERCADEO</v>
      </c>
    </row>
    <row r="4807" spans="1:5" ht="15.75" x14ac:dyDescent="0.25">
      <c r="A4807" s="14">
        <v>1023961952</v>
      </c>
      <c r="B4807" s="2">
        <v>46118.764796412041</v>
      </c>
      <c r="C4807" s="3" t="str">
        <f>IFERROR(VLOOKUP(A4807,'Base Prueba'!A:C,3,),"NO REGISTRA")</f>
        <v>ALEJANDRO PINZON MERCHAN</v>
      </c>
      <c r="D4807" s="4" t="str">
        <f>IFERROR(VLOOKUP(A4807,'Base Prueba'!A:D,4,),"NO REGISTRA")</f>
        <v>PROMOTOR CALL CENTER</v>
      </c>
      <c r="E4807" s="5" t="str">
        <f>IFERROR(VLOOKUP(A4807,'Base Prueba'!A:E,5,),"NO REGISTRA")</f>
        <v>OFICINA DE MERCADEO</v>
      </c>
    </row>
    <row r="4808" spans="1:5" ht="15.75" x14ac:dyDescent="0.25">
      <c r="A4808" s="14">
        <v>1018414290</v>
      </c>
      <c r="B4808" s="2">
        <v>46118.766030439816</v>
      </c>
      <c r="C4808" s="3" t="str">
        <f>IFERROR(VLOOKUP(A4808,'Base Prueba'!A:C,3,),"NO REGISTRA")</f>
        <v>AMANDA LISBETH RODRIGUEZ LEON</v>
      </c>
      <c r="D4808" s="4" t="str">
        <f>IFERROR(VLOOKUP(A4808,'Base Prueba'!A:D,4,),"NO REGISTRA")</f>
        <v>PROMOTOR CALL CENTER</v>
      </c>
      <c r="E4808" s="5" t="str">
        <f>IFERROR(VLOOKUP(A4808,'Base Prueba'!A:E,5,),"NO REGISTRA")</f>
        <v>OFICINA DE MERCADEO</v>
      </c>
    </row>
    <row r="4809" spans="1:5" ht="15.75" x14ac:dyDescent="0.25">
      <c r="A4809" s="14">
        <v>1032407386</v>
      </c>
      <c r="B4809" s="2">
        <v>46118.76641585648</v>
      </c>
      <c r="C4809" s="3" t="str">
        <f>IFERROR(VLOOKUP(A4809,'Base Prueba'!A:C,3,),"NO REGISTRA")</f>
        <v>GINA PAOLA BAEZ GALVIS</v>
      </c>
      <c r="D4809" s="4" t="str">
        <f>IFERROR(VLOOKUP(A4809,'Base Prueba'!A:D,4,),"NO REGISTRA")</f>
        <v>PROMOTOR CALL CENTER</v>
      </c>
      <c r="E4809" s="5" t="str">
        <f>IFERROR(VLOOKUP(A4809,'Base Prueba'!A:E,5,),"NO REGISTRA")</f>
        <v>OFICINA DE MERCADEO</v>
      </c>
    </row>
    <row r="4810" spans="1:5" ht="15.75" x14ac:dyDescent="0.25">
      <c r="A4810" s="14">
        <v>1000257136</v>
      </c>
      <c r="B4810" s="2">
        <v>46118.766882986114</v>
      </c>
      <c r="C4810" s="3" t="str">
        <f>IFERROR(VLOOKUP(A4810,'Base Prueba'!A:C,3,),"NO REGISTRA")</f>
        <v>FRANCI VALENTINA CANO PUENTES</v>
      </c>
      <c r="D4810" s="4" t="str">
        <f>IFERROR(VLOOKUP(A4810,'Base Prueba'!A:D,4,),"NO REGISTRA")</f>
        <v>AUXILIAR CONTABLE</v>
      </c>
      <c r="E4810" s="5" t="str">
        <f>IFERROR(VLOOKUP(A4810,'Base Prueba'!A:E,5,),"NO REGISTRA")</f>
        <v>AREA FINANCIERA Y CONTABLE</v>
      </c>
    </row>
    <row r="4811" spans="1:5" ht="15.75" x14ac:dyDescent="0.25">
      <c r="A4811" s="14">
        <v>52472386</v>
      </c>
      <c r="B4811" s="2">
        <v>46118.769961458333</v>
      </c>
      <c r="C4811" s="3" t="str">
        <f>IFERROR(VLOOKUP(A4811,'Base Prueba'!A:C,3,),"NO REGISTRA")</f>
        <v>ADRIANA MARCELA MORALES PARDO</v>
      </c>
      <c r="D4811" s="4" t="str">
        <f>IFERROR(VLOOKUP(A4811,'Base Prueba'!A:D,4,),"NO REGISTRA")</f>
        <v>PROMOTOR CALL CENTER</v>
      </c>
      <c r="E4811" s="5" t="str">
        <f>IFERROR(VLOOKUP(A4811,'Base Prueba'!A:E,5,),"NO REGISTRA")</f>
        <v>OFICINA DE MERCADEO</v>
      </c>
    </row>
    <row r="4812" spans="1:5" ht="15.75" x14ac:dyDescent="0.25">
      <c r="A4812" s="14">
        <v>1013616244</v>
      </c>
      <c r="B4812" s="2">
        <v>46118.771575231483</v>
      </c>
      <c r="C4812" s="3" t="str">
        <f>IFERROR(VLOOKUP(A4812,'Base Prueba'!A:C,3,),"NO REGISTRA")</f>
        <v>DIANA CAROLINA MARIN BETANCOURT</v>
      </c>
      <c r="D4812" s="4" t="str">
        <f>IFERROR(VLOOKUP(A4812,'Base Prueba'!A:D,4,),"NO REGISTRA")</f>
        <v>AUXILIAR ADMINISTRATIVO</v>
      </c>
      <c r="E4812" s="5" t="str">
        <f>IFERROR(VLOOKUP(A4812,'Base Prueba'!A:E,5,),"NO REGISTRA")</f>
        <v>REGISTRO Y CONTROL ACADEMICO</v>
      </c>
    </row>
    <row r="4813" spans="1:5" ht="15.75" x14ac:dyDescent="0.25">
      <c r="A4813" s="14">
        <v>1000457706</v>
      </c>
      <c r="B4813" s="2">
        <v>46118.773260300928</v>
      </c>
      <c r="C4813" s="3" t="str">
        <f>IFERROR(VLOOKUP(A4813,'Base Prueba'!A:C,3,),"NO REGISTRA")</f>
        <v>CRISTIAN DANILO ARROYO SANABRIA</v>
      </c>
      <c r="D4813" s="4" t="str">
        <f>IFERROR(VLOOKUP(A4813,'Base Prueba'!A:D,4,),"NO REGISTRA")</f>
        <v>AUXILIAR CONTABLE</v>
      </c>
      <c r="E4813" s="5" t="str">
        <f>IFERROR(VLOOKUP(A4813,'Base Prueba'!A:E,5,),"NO REGISTRA")</f>
        <v>AREA FINANCIERA Y CONTABLE</v>
      </c>
    </row>
    <row r="4814" spans="1:5" ht="15.75" x14ac:dyDescent="0.25">
      <c r="A4814" s="14">
        <v>53932358</v>
      </c>
      <c r="B4814" s="2">
        <v>46118.774665277779</v>
      </c>
      <c r="C4814" s="3" t="str">
        <f>IFERROR(VLOOKUP(A4814,'Base Prueba'!A:C,3,),"NO REGISTRA")</f>
        <v>DIANA MADELEYNE GAONA RODRIGUEZ</v>
      </c>
      <c r="D4814" s="4" t="str">
        <f>IFERROR(VLOOKUP(A4814,'Base Prueba'!A:D,4,),"NO REGISTRA")</f>
        <v>CONTADOR</v>
      </c>
      <c r="E4814" s="5" t="str">
        <f>IFERROR(VLOOKUP(A4814,'Base Prueba'!A:E,5,),"NO REGISTRA")</f>
        <v>AREA FINANCIERA Y CONTABLE</v>
      </c>
    </row>
    <row r="4815" spans="1:5" ht="15.75" x14ac:dyDescent="0.25">
      <c r="A4815" s="14">
        <v>80234243</v>
      </c>
      <c r="B4815" s="2">
        <v>46118.774799074075</v>
      </c>
      <c r="C4815" s="3" t="str">
        <f>IFERROR(VLOOKUP(A4815,'Base Prueba'!A:C,3,),"NO REGISTRA")</f>
        <v>ARGENIS MARTINEZ MARTINEZ</v>
      </c>
      <c r="D4815" s="4" t="str">
        <f>IFERROR(VLOOKUP(A4815,'Base Prueba'!A:D,4,),"NO REGISTRA")</f>
        <v>LIDER CALL CENTER</v>
      </c>
      <c r="E4815" s="5" t="str">
        <f>IFERROR(VLOOKUP(A4815,'Base Prueba'!A:E,5,),"NO REGISTRA")</f>
        <v>OFICINA DE MERCADEO</v>
      </c>
    </row>
    <row r="4816" spans="1:5" ht="15.75" x14ac:dyDescent="0.25">
      <c r="A4816" s="14">
        <v>52474489</v>
      </c>
      <c r="B4816" s="2">
        <v>46118.795219328706</v>
      </c>
      <c r="C4816" s="3" t="str">
        <f>IFERROR(VLOOKUP(A4816,'Base Prueba'!A:C,3,),"NO REGISTRA")</f>
        <v>ADRIANA JIMENA SOTO BOCANEGRA</v>
      </c>
      <c r="D4816" s="4" t="str">
        <f>IFERROR(VLOOKUP(A4816,'Base Prueba'!A:D,4,),"NO REGISTRA")</f>
        <v>COORDINADOR DE LA OFICINA DE REGISTRO Y CONTROL</v>
      </c>
      <c r="E4816" s="5" t="str">
        <f>IFERROR(VLOOKUP(A4816,'Base Prueba'!A:E,5,),"NO REGISTRA")</f>
        <v>REGISTRO Y CONTROL ACADEMICO</v>
      </c>
    </row>
    <row r="4817" spans="1:5" ht="15.75" x14ac:dyDescent="0.25">
      <c r="A4817" s="14">
        <v>1087121273</v>
      </c>
      <c r="B4817" s="2">
        <v>46119.311523958335</v>
      </c>
      <c r="C4817" s="3" t="str">
        <f>IFERROR(VLOOKUP(A4817,'Base Prueba'!A:C,3,),"NO REGISTRA")</f>
        <v>MAYRA ALEJANDRA CASTILLO ARBOLEDA</v>
      </c>
      <c r="D4817" s="4" t="str">
        <f>IFERROR(VLOOKUP(A4817,'Base Prueba'!A:D,4,),"NO REGISTRA")</f>
        <v>APOYO INTEGRAL DE MERCADEO</v>
      </c>
      <c r="E4817" s="5" t="str">
        <f>IFERROR(VLOOKUP(A4817,'Base Prueba'!A:E,5,),"NO REGISTRA")</f>
        <v>CENTRO DE GESTION DOCUMENTAL</v>
      </c>
    </row>
    <row r="4818" spans="1:5" ht="15.75" x14ac:dyDescent="0.25">
      <c r="A4818" s="14">
        <v>1013616244</v>
      </c>
      <c r="B4818" s="2">
        <v>46119.325211226853</v>
      </c>
      <c r="C4818" s="3" t="str">
        <f>IFERROR(VLOOKUP(A4818,'Base Prueba'!A:C,3,),"NO REGISTRA")</f>
        <v>DIANA CAROLINA MARIN BETANCOURT</v>
      </c>
      <c r="D4818" s="4" t="str">
        <f>IFERROR(VLOOKUP(A4818,'Base Prueba'!A:D,4,),"NO REGISTRA")</f>
        <v>AUXILIAR ADMINISTRATIVO</v>
      </c>
      <c r="E4818" s="5" t="str">
        <f>IFERROR(VLOOKUP(A4818,'Base Prueba'!A:E,5,),"NO REGISTRA")</f>
        <v>REGISTRO Y CONTROL ACADEMICO</v>
      </c>
    </row>
    <row r="4819" spans="1:5" ht="15.75" x14ac:dyDescent="0.25">
      <c r="A4819" s="14">
        <v>1024512067</v>
      </c>
      <c r="B4819" s="2">
        <v>46119.326810763887</v>
      </c>
      <c r="C4819" s="3" t="str">
        <f>IFERROR(VLOOKUP(A4819,'Base Prueba'!A:C,3,),"NO REGISTRA")</f>
        <v>CINDY GIOVANA SALGAR GOMEZ</v>
      </c>
      <c r="D4819" s="4" t="str">
        <f>IFERROR(VLOOKUP(A4819,'Base Prueba'!A:D,4,),"NO REGISTRA")</f>
        <v>COORDINADOR DEL SISTEMA INTEGRADO DE GESTION INSTITUCIONAL - SIGI</v>
      </c>
      <c r="E4819" s="5" t="str">
        <f>IFERROR(VLOOKUP(A4819,'Base Prueba'!A:E,5,),"NO REGISTRA")</f>
        <v>OFICINA DE PLANEACION Y GESTION DE LA CALIDAD</v>
      </c>
    </row>
    <row r="4820" spans="1:5" ht="15.75" x14ac:dyDescent="0.25">
      <c r="A4820" s="14">
        <v>1000324729</v>
      </c>
      <c r="B4820" s="2">
        <v>46119.331573726849</v>
      </c>
      <c r="C4820" s="3" t="str">
        <f>IFERROR(VLOOKUP(A4820,'Base Prueba'!A:C,3,),"NO REGISTRA")</f>
        <v>ANYIE VANESSA TINOCO CAMACHO</v>
      </c>
      <c r="D4820" s="4" t="str">
        <f>IFERROR(VLOOKUP(A4820,'Base Prueba'!A:D,4,),"NO REGISTRA")</f>
        <v>LIDER DE REGISTRO Y CONTROL</v>
      </c>
      <c r="E4820" s="5" t="str">
        <f>IFERROR(VLOOKUP(A4820,'Base Prueba'!A:E,5,),"NO REGISTRA")</f>
        <v>REGISTRO Y CONTROL ACADEMICO</v>
      </c>
    </row>
    <row r="4821" spans="1:5" ht="15.75" x14ac:dyDescent="0.25">
      <c r="A4821" s="14">
        <v>80191732</v>
      </c>
      <c r="B4821" s="2">
        <v>46119.33168171296</v>
      </c>
      <c r="C4821" s="3" t="str">
        <f>IFERROR(VLOOKUP(A4821,'Base Prueba'!A:C,3,),"NO REGISTRA")</f>
        <v>DANIEL MAURICIO ZAMBRANO TUNJANO</v>
      </c>
      <c r="D4821" s="4" t="str">
        <f>IFERROR(VLOOKUP(A4821,'Base Prueba'!A:D,4,),"NO REGISTRA")</f>
        <v>COORDINADOR DE DISEÑO E IMAGEN INSTITUCIONAL</v>
      </c>
      <c r="E4821" s="5" t="str">
        <f>IFERROR(VLOOKUP(A4821,'Base Prueba'!A:E,5,),"NO REGISTRA")</f>
        <v>OFICINA DE MERCADEO</v>
      </c>
    </row>
    <row r="4822" spans="1:5" ht="15.75" x14ac:dyDescent="0.25">
      <c r="A4822" s="14">
        <v>1014308296</v>
      </c>
      <c r="B4822" s="2">
        <v>46119.335350000001</v>
      </c>
      <c r="C4822" s="3" t="str">
        <f>IFERROR(VLOOKUP(A4822,'Base Prueba'!A:C,3,),"NO REGISTRA")</f>
        <v>DARLENE YULIANA MORENO CELEITA</v>
      </c>
      <c r="D4822" s="4" t="str">
        <f>IFERROR(VLOOKUP(A4822,'Base Prueba'!A:D,4,),"NO REGISTRA")</f>
        <v>CAJERO PRINCIPAL</v>
      </c>
      <c r="E4822" s="5" t="str">
        <f>IFERROR(VLOOKUP(A4822,'Base Prueba'!A:E,5,),"NO REGISTRA")</f>
        <v>AREA FINANCIERA Y CONTABLE</v>
      </c>
    </row>
    <row r="4823" spans="1:5" ht="15.75" x14ac:dyDescent="0.25">
      <c r="A4823" s="14">
        <v>1049644802</v>
      </c>
      <c r="B4823" s="2">
        <v>46119.335404513891</v>
      </c>
      <c r="C4823" s="3" t="str">
        <f>IFERROR(VLOOKUP(A4823,'Base Prueba'!A:C,3,),"NO REGISTRA")</f>
        <v>DANIELA ALEXANDRA CIPAMOCHA BOSIGA</v>
      </c>
      <c r="D4823" s="4" t="str">
        <f>IFERROR(VLOOKUP(A4823,'Base Prueba'!A:D,4,),"NO REGISTRA")</f>
        <v>LIDER DE DATOS Y SERVICIOS</v>
      </c>
      <c r="E4823" s="5" t="str">
        <f>IFERROR(VLOOKUP(A4823,'Base Prueba'!A:E,5,),"NO REGISTRA")</f>
        <v>OFICINA DE PLANEACION Y GESTION DE LA CALIDAD</v>
      </c>
    </row>
    <row r="4824" spans="1:5" ht="15.75" x14ac:dyDescent="0.25">
      <c r="A4824" s="14">
        <v>1010184333</v>
      </c>
      <c r="B4824" s="2">
        <v>46119.339303703702</v>
      </c>
      <c r="C4824" s="3" t="str">
        <f>IFERROR(VLOOKUP(A4824,'Base Prueba'!A:C,3,),"NO REGISTRA")</f>
        <v>AKON ANDRES GARZON ALVAREZ</v>
      </c>
      <c r="D4824" s="4" t="str">
        <f>IFERROR(VLOOKUP(A4824,'Base Prueba'!A:D,4,),"NO REGISTRA")</f>
        <v>APRENDIZ UNIVERSITARIO</v>
      </c>
      <c r="E4824" s="5" t="str">
        <f>IFERROR(VLOOKUP(A4824,'Base Prueba'!A:E,5,),"NO REGISTRA")</f>
        <v>SECRETARIA GENERAL</v>
      </c>
    </row>
    <row r="4825" spans="1:5" ht="15.75" x14ac:dyDescent="0.25">
      <c r="A4825" s="14">
        <v>1014977624</v>
      </c>
      <c r="B4825" s="2">
        <v>46119.341010763892</v>
      </c>
      <c r="C4825" s="3" t="str">
        <f>IFERROR(VLOOKUP(A4825,'Base Prueba'!A:C,3,),"NO REGISTRA")</f>
        <v>NICCOLE VALENTINA HERNANDEZ MALAVER</v>
      </c>
      <c r="D4825" s="4" t="str">
        <f>IFERROR(VLOOKUP(A4825,'Base Prueba'!A:D,4,),"NO REGISTRA")</f>
        <v>APRENDIZ UNIVERSITARIO</v>
      </c>
      <c r="E4825" s="5" t="str">
        <f>IFERROR(VLOOKUP(A4825,'Base Prueba'!A:E,5,),"NO REGISTRA")</f>
        <v>AREA FINANCIERA Y CONTABLE</v>
      </c>
    </row>
    <row r="4826" spans="1:5" ht="15.75" x14ac:dyDescent="0.25">
      <c r="A4826" s="14">
        <v>1193457976</v>
      </c>
      <c r="B4826" s="2">
        <v>46119.343424421299</v>
      </c>
      <c r="C4826" s="3" t="str">
        <f>IFERROR(VLOOKUP(A4826,'Base Prueba'!A:C,3,),"NO REGISTRA")</f>
        <v>SEDENIS RIVAS ASPRILLA</v>
      </c>
      <c r="D4826" s="4" t="str">
        <f>IFERROR(VLOOKUP(A4826,'Base Prueba'!A:D,4,),"NO REGISTRA")</f>
        <v>APRENDIZ UNIVERSITARIO</v>
      </c>
      <c r="E4826" s="5" t="str">
        <f>IFERROR(VLOOKUP(A4826,'Base Prueba'!A:E,5,),"NO REGISTRA")</f>
        <v>DEPARTAMENTO DE GESTION HUMANA</v>
      </c>
    </row>
    <row r="4827" spans="1:5" ht="15.75" x14ac:dyDescent="0.25">
      <c r="A4827" s="14">
        <v>1000604979</v>
      </c>
      <c r="B4827" s="2">
        <v>46119.346198611114</v>
      </c>
      <c r="C4827" s="3" t="str">
        <f>IFERROR(VLOOKUP(A4827,'Base Prueba'!A:C,3,),"NO REGISTRA")</f>
        <v>JULIETH TATIANA PARDO PINTO</v>
      </c>
      <c r="D4827" s="4" t="str">
        <f>IFERROR(VLOOKUP(A4827,'Base Prueba'!A:D,4,),"NO REGISTRA")</f>
        <v>AUXILIAR JURIDICO</v>
      </c>
      <c r="E4827" s="5" t="str">
        <f>IFERROR(VLOOKUP(A4827,'Base Prueba'!A:E,5,),"NO REGISTRA")</f>
        <v>SECRETARIA GENERAL</v>
      </c>
    </row>
    <row r="4828" spans="1:5" ht="15.75" x14ac:dyDescent="0.25">
      <c r="A4828" s="14">
        <v>1000593372</v>
      </c>
      <c r="B4828" s="2">
        <v>46119.346233217591</v>
      </c>
      <c r="C4828" s="3" t="str">
        <f>IFERROR(VLOOKUP(A4828,'Base Prueba'!A:C,3,),"NO REGISTRA")</f>
        <v>LAURA SOFIA CHAPARRO LOPEZ</v>
      </c>
      <c r="D4828" s="4" t="str">
        <f>IFERROR(VLOOKUP(A4828,'Base Prueba'!A:D,4,),"NO REGISTRA")</f>
        <v>AUXILIAR JURIDICO</v>
      </c>
      <c r="E4828" s="5" t="str">
        <f>IFERROR(VLOOKUP(A4828,'Base Prueba'!A:E,5,),"NO REGISTRA")</f>
        <v>SECRETARIA GENERAL</v>
      </c>
    </row>
    <row r="4829" spans="1:5" ht="15.75" x14ac:dyDescent="0.25">
      <c r="A4829" s="14">
        <v>1013098430</v>
      </c>
      <c r="B4829" s="2">
        <v>46119.346321990743</v>
      </c>
      <c r="C4829" s="3" t="str">
        <f>IFERROR(VLOOKUP(A4829,'Base Prueba'!A:C,3,),"NO REGISTRA")</f>
        <v>ANDRES FELIPE LOPEZ ROMERO</v>
      </c>
      <c r="D4829" s="4" t="str">
        <f>IFERROR(VLOOKUP(A4829,'Base Prueba'!A:D,4,),"NO REGISTRA")</f>
        <v>APRENDIZ UNIVERSITARIO</v>
      </c>
      <c r="E4829" s="5" t="str">
        <f>IFERROR(VLOOKUP(A4829,'Base Prueba'!A:E,5,),"NO REGISTRA")</f>
        <v>OFICINA DE MERCADEO</v>
      </c>
    </row>
    <row r="4830" spans="1:5" ht="15.75" x14ac:dyDescent="0.25">
      <c r="A4830" s="14">
        <v>1000257136</v>
      </c>
      <c r="B4830" s="2">
        <v>46119.347281481481</v>
      </c>
      <c r="C4830" s="3" t="str">
        <f>IFERROR(VLOOKUP(A4830,'Base Prueba'!A:C,3,),"NO REGISTRA")</f>
        <v>FRANCI VALENTINA CANO PUENTES</v>
      </c>
      <c r="D4830" s="4" t="str">
        <f>IFERROR(VLOOKUP(A4830,'Base Prueba'!A:D,4,),"NO REGISTRA")</f>
        <v>AUXILIAR CONTABLE</v>
      </c>
      <c r="E4830" s="5" t="str">
        <f>IFERROR(VLOOKUP(A4830,'Base Prueba'!A:E,5,),"NO REGISTRA")</f>
        <v>AREA FINANCIERA Y CONTABLE</v>
      </c>
    </row>
    <row r="4831" spans="1:5" ht="15.75" x14ac:dyDescent="0.25">
      <c r="A4831" s="14">
        <v>1032469638</v>
      </c>
      <c r="B4831" s="2">
        <v>46119.348134953703</v>
      </c>
      <c r="C4831" s="3" t="str">
        <f>IFERROR(VLOOKUP(A4831,'Base Prueba'!A:C,3,),"NO REGISTRA")</f>
        <v>MAICOL JARBEY GUALTEROS CASTAÑEDA</v>
      </c>
      <c r="D4831" s="4" t="str">
        <f>IFERROR(VLOOKUP(A4831,'Base Prueba'!A:D,4,),"NO REGISTRA")</f>
        <v>COORDINADOR DEL SISTEMA INTERNO DE ASEGURAMIENTO DE LA CALIDAD - SIAC</v>
      </c>
      <c r="E4831" s="5" t="str">
        <f>IFERROR(VLOOKUP(A4831,'Base Prueba'!A:E,5,),"NO REGISTRA")</f>
        <v>OFICINA DE PLANEACION Y GESTION DE LA CALIDAD</v>
      </c>
    </row>
    <row r="4832" spans="1:5" ht="15.75" x14ac:dyDescent="0.25">
      <c r="A4832" s="14">
        <v>1000457706</v>
      </c>
      <c r="B4832" s="2">
        <v>46119.348947106482</v>
      </c>
      <c r="C4832" s="3" t="str">
        <f>IFERROR(VLOOKUP(A4832,'Base Prueba'!A:C,3,),"NO REGISTRA")</f>
        <v>CRISTIAN DANILO ARROYO SANABRIA</v>
      </c>
      <c r="D4832" s="4" t="str">
        <f>IFERROR(VLOOKUP(A4832,'Base Prueba'!A:D,4,),"NO REGISTRA")</f>
        <v>AUXILIAR CONTABLE</v>
      </c>
      <c r="E4832" s="5" t="str">
        <f>IFERROR(VLOOKUP(A4832,'Base Prueba'!A:E,5,),"NO REGISTRA")</f>
        <v>AREA FINANCIERA Y CONTABLE</v>
      </c>
    </row>
    <row r="4833" spans="1:5" ht="15.75" x14ac:dyDescent="0.25">
      <c r="A4833" s="14">
        <v>1023883232</v>
      </c>
      <c r="B4833" s="2">
        <v>46119.353273958332</v>
      </c>
      <c r="C4833" s="3" t="str">
        <f>IFERROR(VLOOKUP(A4833,'Base Prueba'!A:C,3,),"NO REGISTRA")</f>
        <v>MONICA ANDREA ACERO URBANO</v>
      </c>
      <c r="D4833" s="4" t="str">
        <f>IFERROR(VLOOKUP(A4833,'Base Prueba'!A:D,4,),"NO REGISTRA")</f>
        <v>APOYO INTEGRAL A GESTION HUMANA</v>
      </c>
      <c r="E4833" s="5" t="str">
        <f>IFERROR(VLOOKUP(A4833,'Base Prueba'!A:E,5,),"NO REGISTRA")</f>
        <v>DEPARTAMENTO DE GESTION HUMANA</v>
      </c>
    </row>
    <row r="4834" spans="1:5" ht="15.75" x14ac:dyDescent="0.25">
      <c r="A4834" s="14">
        <v>53932358</v>
      </c>
      <c r="B4834" s="2">
        <v>46119.355779976853</v>
      </c>
      <c r="C4834" s="3" t="str">
        <f>IFERROR(VLOOKUP(A4834,'Base Prueba'!A:C,3,),"NO REGISTRA")</f>
        <v>DIANA MADELEYNE GAONA RODRIGUEZ</v>
      </c>
      <c r="D4834" s="4" t="str">
        <f>IFERROR(VLOOKUP(A4834,'Base Prueba'!A:D,4,),"NO REGISTRA")</f>
        <v>CONTADOR</v>
      </c>
      <c r="E4834" s="5" t="str">
        <f>IFERROR(VLOOKUP(A4834,'Base Prueba'!A:E,5,),"NO REGISTRA")</f>
        <v>AREA FINANCIERA Y CONTABLE</v>
      </c>
    </row>
    <row r="4835" spans="1:5" ht="15.75" x14ac:dyDescent="0.25">
      <c r="A4835" s="14">
        <v>1018413529</v>
      </c>
      <c r="B4835" s="2">
        <v>46119.35738159722</v>
      </c>
      <c r="C4835" s="3" t="str">
        <f>IFERROR(VLOOKUP(A4835,'Base Prueba'!A:C,3,),"NO REGISTRA")</f>
        <v>FRANCY STELLA CHARRY MORENO</v>
      </c>
      <c r="D4835" s="4" t="str">
        <f>IFERROR(VLOOKUP(A4835,'Base Prueba'!A:D,4,),"NO REGISTRA")</f>
        <v>PROMOTOR COMERCIAL DEL CEA</v>
      </c>
      <c r="E4835" s="5" t="str">
        <f>IFERROR(VLOOKUP(A4835,'Base Prueba'!A:E,5,),"NO REGISTRA")</f>
        <v>OFICINA DE MERCADEO</v>
      </c>
    </row>
    <row r="4836" spans="1:5" ht="15.75" x14ac:dyDescent="0.25">
      <c r="A4836" s="14">
        <v>6</v>
      </c>
      <c r="B4836" s="2">
        <v>46119.35738645833</v>
      </c>
      <c r="C4836" s="3" t="str">
        <f>IFERROR(VLOOKUP(A4836,'Base Prueba'!A:C,3,),"NO REGISTRA")</f>
        <v>NO REGISTRA</v>
      </c>
      <c r="D4836" s="4" t="str">
        <f>IFERROR(VLOOKUP(A4836,'Base Prueba'!A:D,4,),"NO REGISTRA")</f>
        <v>NO REGISTRA</v>
      </c>
      <c r="E4836" s="5" t="str">
        <f>IFERROR(VLOOKUP(A4836,'Base Prueba'!A:E,5,),"NO REGISTRA")</f>
        <v>NO REGISTRA</v>
      </c>
    </row>
    <row r="4837" spans="1:5" ht="15.75" x14ac:dyDescent="0.25">
      <c r="A4837" s="14">
        <v>1033709056</v>
      </c>
      <c r="B4837" s="2">
        <v>46119.362348263887</v>
      </c>
      <c r="C4837" s="3" t="str">
        <f>IFERROR(VLOOKUP(A4837,'Base Prueba'!A:C,3,),"NO REGISTRA")</f>
        <v>YEIMY ALEXANDRA RODRIGUEZ PALACIO</v>
      </c>
      <c r="D4837" s="4" t="str">
        <f>IFERROR(VLOOKUP(A4837,'Base Prueba'!A:D,4,),"NO REGISTRA")</f>
        <v>PROMOTOR CALL CENTER</v>
      </c>
      <c r="E4837" s="5" t="str">
        <f>IFERROR(VLOOKUP(A4837,'Base Prueba'!A:E,5,),"NO REGISTRA")</f>
        <v>OFICINA DE MERCADEO</v>
      </c>
    </row>
    <row r="4838" spans="1:5" ht="15.75" x14ac:dyDescent="0.25">
      <c r="A4838" s="14">
        <v>1014196857</v>
      </c>
      <c r="B4838" s="2">
        <v>46119.362746643521</v>
      </c>
      <c r="C4838" s="3" t="str">
        <f>IFERROR(VLOOKUP(A4838,'Base Prueba'!A:C,3,),"NO REGISTRA")</f>
        <v>CARLOS ANDRES JIMENEZ PARDO</v>
      </c>
      <c r="D4838" s="4" t="str">
        <f>IFERROR(VLOOKUP(A4838,'Base Prueba'!A:D,4,),"NO REGISTRA")</f>
        <v>COORDINADOR DE MARKETING DIGITAL</v>
      </c>
      <c r="E4838" s="5" t="str">
        <f>IFERROR(VLOOKUP(A4838,'Base Prueba'!A:E,5,),"NO REGISTRA")</f>
        <v>OFICINA DE MERCADEO</v>
      </c>
    </row>
    <row r="4839" spans="1:5" ht="15.75" x14ac:dyDescent="0.25">
      <c r="A4839" s="14">
        <v>1032407386</v>
      </c>
      <c r="B4839" s="2">
        <v>46119.364255439817</v>
      </c>
      <c r="C4839" s="3" t="str">
        <f>IFERROR(VLOOKUP(A4839,'Base Prueba'!A:C,3,),"NO REGISTRA")</f>
        <v>GINA PAOLA BAEZ GALVIS</v>
      </c>
      <c r="D4839" s="4" t="str">
        <f>IFERROR(VLOOKUP(A4839,'Base Prueba'!A:D,4,),"NO REGISTRA")</f>
        <v>PROMOTOR CALL CENTER</v>
      </c>
      <c r="E4839" s="5" t="str">
        <f>IFERROR(VLOOKUP(A4839,'Base Prueba'!A:E,5,),"NO REGISTRA")</f>
        <v>OFICINA DE MERCADEO</v>
      </c>
    </row>
    <row r="4840" spans="1:5" ht="15.75" x14ac:dyDescent="0.25">
      <c r="A4840" s="14">
        <v>1018414290</v>
      </c>
      <c r="B4840" s="2">
        <v>46119.367351157409</v>
      </c>
      <c r="C4840" s="3" t="str">
        <f>IFERROR(VLOOKUP(A4840,'Base Prueba'!A:C,3,),"NO REGISTRA")</f>
        <v>AMANDA LISBETH RODRIGUEZ LEON</v>
      </c>
      <c r="D4840" s="4" t="str">
        <f>IFERROR(VLOOKUP(A4840,'Base Prueba'!A:D,4,),"NO REGISTRA")</f>
        <v>PROMOTOR CALL CENTER</v>
      </c>
      <c r="E4840" s="5" t="str">
        <f>IFERROR(VLOOKUP(A4840,'Base Prueba'!A:E,5,),"NO REGISTRA")</f>
        <v>OFICINA DE MERCADEO</v>
      </c>
    </row>
    <row r="4841" spans="1:5" ht="15.75" x14ac:dyDescent="0.25">
      <c r="A4841" s="14">
        <v>80234243</v>
      </c>
      <c r="B4841" s="2">
        <v>46119.367610532405</v>
      </c>
      <c r="C4841" s="3" t="str">
        <f>IFERROR(VLOOKUP(A4841,'Base Prueba'!A:C,3,),"NO REGISTRA")</f>
        <v>ARGENIS MARTINEZ MARTINEZ</v>
      </c>
      <c r="D4841" s="4" t="str">
        <f>IFERROR(VLOOKUP(A4841,'Base Prueba'!A:D,4,),"NO REGISTRA")</f>
        <v>LIDER CALL CENTER</v>
      </c>
      <c r="E4841" s="5" t="str">
        <f>IFERROR(VLOOKUP(A4841,'Base Prueba'!A:E,5,),"NO REGISTRA")</f>
        <v>OFICINA DE MERCADEO</v>
      </c>
    </row>
    <row r="4842" spans="1:5" ht="15.75" x14ac:dyDescent="0.25">
      <c r="A4842" s="14">
        <v>1012426741</v>
      </c>
      <c r="B4842" s="2">
        <v>46119.367904513892</v>
      </c>
      <c r="C4842" s="3" t="str">
        <f>IFERROR(VLOOKUP(A4842,'Base Prueba'!A:C,3,),"NO REGISTRA")</f>
        <v>CRISTIAN FABIAN ROJAS SANCENO</v>
      </c>
      <c r="D4842" s="4" t="str">
        <f>IFERROR(VLOOKUP(A4842,'Base Prueba'!A:D,4,),"NO REGISTRA")</f>
        <v>AUXILIAR DE REINTEGROS</v>
      </c>
      <c r="E4842" s="5" t="str">
        <f>IFERROR(VLOOKUP(A4842,'Base Prueba'!A:E,5,),"NO REGISTRA")</f>
        <v>DIRECCION DE BIENESTAR INSTITUCIONAL</v>
      </c>
    </row>
    <row r="4843" spans="1:5" ht="15.75" x14ac:dyDescent="0.25">
      <c r="A4843" s="14">
        <v>52472386</v>
      </c>
      <c r="B4843" s="2">
        <v>46119.369405555553</v>
      </c>
      <c r="C4843" s="3" t="str">
        <f>IFERROR(VLOOKUP(A4843,'Base Prueba'!A:C,3,),"NO REGISTRA")</f>
        <v>ADRIANA MARCELA MORALES PARDO</v>
      </c>
      <c r="D4843" s="4" t="str">
        <f>IFERROR(VLOOKUP(A4843,'Base Prueba'!A:D,4,),"NO REGISTRA")</f>
        <v>PROMOTOR CALL CENTER</v>
      </c>
      <c r="E4843" s="5" t="str">
        <f>IFERROR(VLOOKUP(A4843,'Base Prueba'!A:E,5,),"NO REGISTRA")</f>
        <v>OFICINA DE MERCADEO</v>
      </c>
    </row>
    <row r="4844" spans="1:5" ht="15.75" x14ac:dyDescent="0.25">
      <c r="A4844" s="14">
        <v>1000046533</v>
      </c>
      <c r="B4844" s="2">
        <v>46119.372548842592</v>
      </c>
      <c r="C4844" s="3" t="str">
        <f>IFERROR(VLOOKUP(A4844,'Base Prueba'!A:C,3,),"NO REGISTRA")</f>
        <v>ERIKA JULIETH VALDERRAMA SANCHEZ</v>
      </c>
      <c r="D4844" s="4" t="str">
        <f>IFERROR(VLOOKUP(A4844,'Base Prueba'!A:D,4,),"NO REGISTRA")</f>
        <v>PROMOTOR CALL CENTER</v>
      </c>
      <c r="E4844" s="5" t="str">
        <f>IFERROR(VLOOKUP(A4844,'Base Prueba'!A:E,5,),"NO REGISTRA")</f>
        <v>OFICINA DE MERCADEO</v>
      </c>
    </row>
    <row r="4845" spans="1:5" ht="15.75" x14ac:dyDescent="0.25">
      <c r="A4845" s="14">
        <v>28798349</v>
      </c>
      <c r="B4845" s="2">
        <v>46119.372812847221</v>
      </c>
      <c r="C4845" s="3" t="str">
        <f>IFERROR(VLOOKUP(A4845,'Base Prueba'!A:C,3,),"NO REGISTRA")</f>
        <v>MARTHA ISABEL TOVAR WILLIAMS</v>
      </c>
      <c r="D4845" s="4" t="str">
        <f>IFERROR(VLOOKUP(A4845,'Base Prueba'!A:D,4,),"NO REGISTRA")</f>
        <v>PROMOTOR CALL CENTER</v>
      </c>
      <c r="E4845" s="5" t="str">
        <f>IFERROR(VLOOKUP(A4845,'Base Prueba'!A:E,5,),"NO REGISTRA")</f>
        <v>OFICINA DE MERCADEO</v>
      </c>
    </row>
    <row r="4846" spans="1:5" ht="15.75" x14ac:dyDescent="0.25">
      <c r="A4846" s="14">
        <v>1023961952</v>
      </c>
      <c r="B4846" s="2">
        <v>46119.375593287034</v>
      </c>
      <c r="C4846" s="3" t="str">
        <f>IFERROR(VLOOKUP(A4846,'Base Prueba'!A:C,3,),"NO REGISTRA")</f>
        <v>ALEJANDRO PINZON MERCHAN</v>
      </c>
      <c r="D4846" s="4" t="str">
        <f>IFERROR(VLOOKUP(A4846,'Base Prueba'!A:D,4,),"NO REGISTRA")</f>
        <v>PROMOTOR CALL CENTER</v>
      </c>
      <c r="E4846" s="5" t="str">
        <f>IFERROR(VLOOKUP(A4846,'Base Prueba'!A:E,5,),"NO REGISTRA")</f>
        <v>OFICINA DE MERCADEO</v>
      </c>
    </row>
    <row r="4847" spans="1:5" ht="15.75" x14ac:dyDescent="0.25">
      <c r="A4847" s="14">
        <v>53089882</v>
      </c>
      <c r="B4847" s="2">
        <v>46119.377985763887</v>
      </c>
      <c r="C4847" s="3" t="str">
        <f>IFERROR(VLOOKUP(A4847,'Base Prueba'!A:C,3,),"NO REGISTRA")</f>
        <v>MARIA JOHANA ESCAMILLA MARTINEZ</v>
      </c>
      <c r="D4847" s="4" t="str">
        <f>IFERROR(VLOOKUP(A4847,'Base Prueba'!A:D,4,),"NO REGISTRA")</f>
        <v>PROMOTOR DE INFORMACIÓN</v>
      </c>
      <c r="E4847" s="5" t="str">
        <f>IFERROR(VLOOKUP(A4847,'Base Prueba'!A:E,5,),"NO REGISTRA")</f>
        <v>OFICINA DE MERCADEO</v>
      </c>
    </row>
    <row r="4848" spans="1:5" ht="15.75" x14ac:dyDescent="0.25">
      <c r="A4848" s="14">
        <v>1013101788</v>
      </c>
      <c r="B4848" s="2">
        <v>46119.378025578706</v>
      </c>
      <c r="C4848" s="3" t="str">
        <f>IFERROR(VLOOKUP(A4848,'Base Prueba'!A:C,3,),"NO REGISTRA")</f>
        <v>SARA TANGARIFE MONTOYA</v>
      </c>
      <c r="D4848" s="4" t="str">
        <f>IFERROR(VLOOKUP(A4848,'Base Prueba'!A:D,4,),"NO REGISTRA")</f>
        <v>APRENDIZ UNIVERSITARIO</v>
      </c>
      <c r="E4848" s="5" t="str">
        <f>IFERROR(VLOOKUP(A4848,'Base Prueba'!A:E,5,),"NO REGISTRA")</f>
        <v>OFICINA DE MERCADEO</v>
      </c>
    </row>
    <row r="4849" spans="1:5" ht="15.75" x14ac:dyDescent="0.25">
      <c r="A4849" s="14">
        <v>52175674</v>
      </c>
      <c r="B4849" s="2">
        <v>46119.381781828706</v>
      </c>
      <c r="C4849" s="3" t="str">
        <f>IFERROR(VLOOKUP(A4849,'Base Prueba'!A:C,3,),"NO REGISTRA")</f>
        <v>LUZ YANETH GOMEZ AREVALO</v>
      </c>
      <c r="D4849" s="4" t="str">
        <f>IFERROR(VLOOKUP(A4849,'Base Prueba'!A:D,4,),"NO REGISTRA")</f>
        <v>COORDINADORA DE ADMISIONES</v>
      </c>
      <c r="E4849" s="5" t="str">
        <f>IFERROR(VLOOKUP(A4849,'Base Prueba'!A:E,5,),"NO REGISTRA")</f>
        <v>OFICINA DE MERCADEO</v>
      </c>
    </row>
    <row r="4850" spans="1:5" ht="15.75" x14ac:dyDescent="0.25">
      <c r="A4850" s="14">
        <v>1019105003</v>
      </c>
      <c r="B4850" s="2">
        <v>46119.382021527781</v>
      </c>
      <c r="C4850" s="3" t="str">
        <f>IFERROR(VLOOKUP(A4850,'Base Prueba'!A:C,3,),"NO REGISTRA")</f>
        <v>DAISY JULIETH GASPAR MORENO</v>
      </c>
      <c r="D4850" s="4" t="str">
        <f>IFERROR(VLOOKUP(A4850,'Base Prueba'!A:D,4,),"NO REGISTRA")</f>
        <v>PROMOTOR CALL CENTER</v>
      </c>
      <c r="E4850" s="5" t="str">
        <f>IFERROR(VLOOKUP(A4850,'Base Prueba'!A:E,5,),"NO REGISTRA")</f>
        <v>OFICINA DE MERCADEO</v>
      </c>
    </row>
    <row r="4851" spans="1:5" ht="15.75" x14ac:dyDescent="0.25">
      <c r="A4851" s="14">
        <v>1016090131</v>
      </c>
      <c r="B4851" s="2">
        <v>46119.389226851854</v>
      </c>
      <c r="C4851" s="3" t="str">
        <f>IFERROR(VLOOKUP(A4851,'Base Prueba'!A:C,3,),"NO REGISTRA")</f>
        <v>NICOLAS RODRIGUEZ PACHECO</v>
      </c>
      <c r="D4851" s="4" t="str">
        <f>IFERROR(VLOOKUP(A4851,'Base Prueba'!A:D,4,),"NO REGISTRA")</f>
        <v>COORDINADOR DE COMUNICACIONES</v>
      </c>
      <c r="E4851" s="5" t="str">
        <f>IFERROR(VLOOKUP(A4851,'Base Prueba'!A:E,5,),"NO REGISTRA")</f>
        <v>OFICINA DE MERCADEO</v>
      </c>
    </row>
    <row r="4852" spans="1:5" ht="15.75" x14ac:dyDescent="0.25">
      <c r="A4852" s="14">
        <v>52443092</v>
      </c>
      <c r="B4852" s="2">
        <v>46119.541671874998</v>
      </c>
      <c r="C4852" s="3" t="str">
        <f>IFERROR(VLOOKUP(A4852,'Base Prueba'!A:C,3,),"NO REGISTRA")</f>
        <v>LUZ MYRIAM SAAVEDRA CONTRERAS</v>
      </c>
      <c r="D4852" s="4" t="str">
        <f>IFERROR(VLOOKUP(A4852,'Base Prueba'!A:D,4,),"NO REGISTRA")</f>
        <v>AUXILIAR DE SERVICIOS</v>
      </c>
      <c r="E4852" s="5" t="str">
        <f>IFERROR(VLOOKUP(A4852,'Base Prueba'!A:E,5,),"NO REGISTRA")</f>
        <v>LOGISTICA Y SERVICIOS GENERALES</v>
      </c>
    </row>
    <row r="4853" spans="1:5" ht="15.75" x14ac:dyDescent="0.25">
      <c r="A4853" s="14">
        <v>1000467399</v>
      </c>
      <c r="B4853" s="2">
        <v>46119.588609606479</v>
      </c>
      <c r="C4853" s="3" t="str">
        <f>IFERROR(VLOOKUP(A4853,'Base Prueba'!A:C,3,),"NO REGISTRA")</f>
        <v>BRANDO ESTIVEN DIAZ QUIMBAYA</v>
      </c>
      <c r="D4853" s="4" t="str">
        <f>IFERROR(VLOOKUP(A4853,'Base Prueba'!A:D,4,),"NO REGISTRA")</f>
        <v>APRENDIZ UNIVERSITARIO</v>
      </c>
      <c r="E4853" s="5" t="str">
        <f>IFERROR(VLOOKUP(A4853,'Base Prueba'!A:E,5,),"NO REGISTRA")</f>
        <v>DEPARTAMENTO DE GESTION HUMANA</v>
      </c>
    </row>
    <row r="4854" spans="1:5" ht="15.75" x14ac:dyDescent="0.25">
      <c r="A4854" s="14">
        <v>1013098430</v>
      </c>
      <c r="B4854" s="2">
        <v>46119.716567592593</v>
      </c>
      <c r="C4854" s="3" t="str">
        <f>IFERROR(VLOOKUP(A4854,'Base Prueba'!A:C,3,),"NO REGISTRA")</f>
        <v>ANDRES FELIPE LOPEZ ROMERO</v>
      </c>
      <c r="D4854" s="4" t="str">
        <f>IFERROR(VLOOKUP(A4854,'Base Prueba'!A:D,4,),"NO REGISTRA")</f>
        <v>APRENDIZ UNIVERSITARIO</v>
      </c>
      <c r="E4854" s="5" t="str">
        <f>IFERROR(VLOOKUP(A4854,'Base Prueba'!A:E,5,),"NO REGISTRA")</f>
        <v>OFICINA DE MERCADEO</v>
      </c>
    </row>
    <row r="4855" spans="1:5" ht="15.75" x14ac:dyDescent="0.25">
      <c r="A4855" s="14">
        <v>1010184333</v>
      </c>
      <c r="B4855" s="2">
        <v>46119.732245833336</v>
      </c>
      <c r="C4855" s="3" t="str">
        <f>IFERROR(VLOOKUP(A4855,'Base Prueba'!A:C,3,),"NO REGISTRA")</f>
        <v>AKON ANDRES GARZON ALVAREZ</v>
      </c>
      <c r="D4855" s="4" t="str">
        <f>IFERROR(VLOOKUP(A4855,'Base Prueba'!A:D,4,),"NO REGISTRA")</f>
        <v>APRENDIZ UNIVERSITARIO</v>
      </c>
      <c r="E4855" s="5" t="str">
        <f>IFERROR(VLOOKUP(A4855,'Base Prueba'!A:E,5,),"NO REGISTRA")</f>
        <v>SECRETARIA GENERAL</v>
      </c>
    </row>
    <row r="4856" spans="1:5" ht="15.75" x14ac:dyDescent="0.25">
      <c r="A4856" s="14">
        <v>1024512067</v>
      </c>
      <c r="B4856" s="2">
        <v>46119.735505902776</v>
      </c>
      <c r="C4856" s="3" t="str">
        <f>IFERROR(VLOOKUP(A4856,'Base Prueba'!A:C,3,),"NO REGISTRA")</f>
        <v>CINDY GIOVANA SALGAR GOMEZ</v>
      </c>
      <c r="D4856" s="4" t="str">
        <f>IFERROR(VLOOKUP(A4856,'Base Prueba'!A:D,4,),"NO REGISTRA")</f>
        <v>COORDINADOR DEL SISTEMA INTEGRADO DE GESTION INSTITUCIONAL - SIGI</v>
      </c>
      <c r="E4856" s="5" t="str">
        <f>IFERROR(VLOOKUP(A4856,'Base Prueba'!A:E,5,),"NO REGISTRA")</f>
        <v>OFICINA DE PLANEACION Y GESTION DE LA CALIDAD</v>
      </c>
    </row>
    <row r="4857" spans="1:5" ht="15.75" x14ac:dyDescent="0.25">
      <c r="A4857" s="14">
        <v>1030567635</v>
      </c>
      <c r="B4857" s="2">
        <v>46119.750286574075</v>
      </c>
      <c r="C4857" s="3" t="str">
        <f>IFERROR(VLOOKUP(A4857,'Base Prueba'!A:C,3,),"NO REGISTRA")</f>
        <v>JEFFERSON ANDRES BARRETO DIAZ</v>
      </c>
      <c r="D4857" s="4" t="str">
        <f>IFERROR(VLOOKUP(A4857,'Base Prueba'!A:D,4,),"NO REGISTRA")</f>
        <v>AUXILIAR DE ARCHIVO</v>
      </c>
      <c r="E4857" s="5" t="str">
        <f>IFERROR(VLOOKUP(A4857,'Base Prueba'!A:E,5,),"NO REGISTRA")</f>
        <v>CENTRO DE GESTION DOCUMENTAL</v>
      </c>
    </row>
    <row r="4858" spans="1:5" ht="15.75" x14ac:dyDescent="0.25">
      <c r="A4858" s="14">
        <v>1022996882</v>
      </c>
      <c r="B4858" s="2">
        <v>46119.751185532405</v>
      </c>
      <c r="C4858" s="3" t="str">
        <f>IFERROR(VLOOKUP(A4858,'Base Prueba'!A:C,3,),"NO REGISTRA")</f>
        <v>NANCY BRIGITH ALDANA GUEVARA</v>
      </c>
      <c r="D4858" s="4" t="str">
        <f>IFERROR(VLOOKUP(A4858,'Base Prueba'!A:D,4,),"NO REGISTRA")</f>
        <v>COORDINADORA DE GESTIÓN HUMANA</v>
      </c>
      <c r="E4858" s="5" t="str">
        <f>IFERROR(VLOOKUP(A4858,'Base Prueba'!A:E,5,),"NO REGISTRA")</f>
        <v>DEPARTAMENTO DE GESTION HUMANA</v>
      </c>
    </row>
    <row r="4859" spans="1:5" ht="15.75" x14ac:dyDescent="0.25">
      <c r="A4859" s="14">
        <v>1193457976</v>
      </c>
      <c r="B4859" s="2">
        <v>46119.751345370372</v>
      </c>
      <c r="C4859" s="3" t="str">
        <f>IFERROR(VLOOKUP(A4859,'Base Prueba'!A:C,3,),"NO REGISTRA")</f>
        <v>SEDENIS RIVAS ASPRILLA</v>
      </c>
      <c r="D4859" s="4" t="str">
        <f>IFERROR(VLOOKUP(A4859,'Base Prueba'!A:D,4,),"NO REGISTRA")</f>
        <v>APRENDIZ UNIVERSITARIO</v>
      </c>
      <c r="E4859" s="5" t="str">
        <f>IFERROR(VLOOKUP(A4859,'Base Prueba'!A:E,5,),"NO REGISTRA")</f>
        <v>DEPARTAMENTO DE GESTION HUMANA</v>
      </c>
    </row>
    <row r="4860" spans="1:5" ht="15.75" x14ac:dyDescent="0.25">
      <c r="A4860" s="14">
        <v>1014308296</v>
      </c>
      <c r="B4860" s="2">
        <v>46119.752719675926</v>
      </c>
      <c r="C4860" s="3" t="str">
        <f>IFERROR(VLOOKUP(A4860,'Base Prueba'!A:C,3,),"NO REGISTRA")</f>
        <v>DARLENE YULIANA MORENO CELEITA</v>
      </c>
      <c r="D4860" s="4" t="str">
        <f>IFERROR(VLOOKUP(A4860,'Base Prueba'!A:D,4,),"NO REGISTRA")</f>
        <v>CAJERO PRINCIPAL</v>
      </c>
      <c r="E4860" s="5" t="str">
        <f>IFERROR(VLOOKUP(A4860,'Base Prueba'!A:E,5,),"NO REGISTRA")</f>
        <v>AREA FINANCIERA Y CONTABLE</v>
      </c>
    </row>
    <row r="4861" spans="1:5" ht="15.75" x14ac:dyDescent="0.25">
      <c r="A4861" s="14">
        <v>1049644802</v>
      </c>
      <c r="B4861" s="2">
        <v>46119.75840648148</v>
      </c>
      <c r="C4861" s="3" t="str">
        <f>IFERROR(VLOOKUP(A4861,'Base Prueba'!A:C,3,),"NO REGISTRA")</f>
        <v>DANIELA ALEXANDRA CIPAMOCHA BOSIGA</v>
      </c>
      <c r="D4861" s="4" t="str">
        <f>IFERROR(VLOOKUP(A4861,'Base Prueba'!A:D,4,),"NO REGISTRA")</f>
        <v>LIDER DE DATOS Y SERVICIOS</v>
      </c>
      <c r="E4861" s="5" t="str">
        <f>IFERROR(VLOOKUP(A4861,'Base Prueba'!A:E,5,),"NO REGISTRA")</f>
        <v>OFICINA DE PLANEACION Y GESTION DE LA CALIDAD</v>
      </c>
    </row>
    <row r="4862" spans="1:5" ht="15.75" x14ac:dyDescent="0.25">
      <c r="A4862" s="14">
        <v>1014977624</v>
      </c>
      <c r="B4862" s="2">
        <v>46119.758526157406</v>
      </c>
      <c r="C4862" s="3" t="str">
        <f>IFERROR(VLOOKUP(A4862,'Base Prueba'!A:C,3,),"NO REGISTRA")</f>
        <v>NICCOLE VALENTINA HERNANDEZ MALAVER</v>
      </c>
      <c r="D4862" s="4" t="str">
        <f>IFERROR(VLOOKUP(A4862,'Base Prueba'!A:D,4,),"NO REGISTRA")</f>
        <v>APRENDIZ UNIVERSITARIO</v>
      </c>
      <c r="E4862" s="5" t="str">
        <f>IFERROR(VLOOKUP(A4862,'Base Prueba'!A:E,5,),"NO REGISTRA")</f>
        <v>AREA FINANCIERA Y CONTABLE</v>
      </c>
    </row>
    <row r="4863" spans="1:5" ht="15.75" x14ac:dyDescent="0.25">
      <c r="A4863" s="14">
        <v>1014266838</v>
      </c>
      <c r="B4863" s="2">
        <v>46119.759843865744</v>
      </c>
      <c r="C4863" s="3" t="str">
        <f>IFERROR(VLOOKUP(A4863,'Base Prueba'!A:C,3,),"NO REGISTRA")</f>
        <v>JENNIFER ASTRID ROMERO HURTADO</v>
      </c>
      <c r="D4863" s="4" t="str">
        <f>IFERROR(VLOOKUP(A4863,'Base Prueba'!A:D,4,),"NO REGISTRA")</f>
        <v>LIDER DE RECAUDO</v>
      </c>
      <c r="E4863" s="5" t="str">
        <f>IFERROR(VLOOKUP(A4863,'Base Prueba'!A:E,5,),"NO REGISTRA")</f>
        <v>AREA FINANCIERA Y CONTABLE</v>
      </c>
    </row>
    <row r="4864" spans="1:5" ht="15.75" x14ac:dyDescent="0.25">
      <c r="A4864" s="14">
        <v>1000257136</v>
      </c>
      <c r="B4864" s="2">
        <v>46119.762470254631</v>
      </c>
      <c r="C4864" s="3" t="str">
        <f>IFERROR(VLOOKUP(A4864,'Base Prueba'!A:C,3,),"NO REGISTRA")</f>
        <v>FRANCI VALENTINA CANO PUENTES</v>
      </c>
      <c r="D4864" s="4" t="str">
        <f>IFERROR(VLOOKUP(A4864,'Base Prueba'!A:D,4,),"NO REGISTRA")</f>
        <v>AUXILIAR CONTABLE</v>
      </c>
      <c r="E4864" s="5" t="str">
        <f>IFERROR(VLOOKUP(A4864,'Base Prueba'!A:E,5,),"NO REGISTRA")</f>
        <v>AREA FINANCIERA Y CONTABLE</v>
      </c>
    </row>
    <row r="4865" spans="1:5" ht="15.75" x14ac:dyDescent="0.25">
      <c r="A4865" s="14">
        <v>1000324729</v>
      </c>
      <c r="B4865" s="2">
        <v>46119.764271064814</v>
      </c>
      <c r="C4865" s="3" t="str">
        <f>IFERROR(VLOOKUP(A4865,'Base Prueba'!A:C,3,),"NO REGISTRA")</f>
        <v>ANYIE VANESSA TINOCO CAMACHO</v>
      </c>
      <c r="D4865" s="4" t="str">
        <f>IFERROR(VLOOKUP(A4865,'Base Prueba'!A:D,4,),"NO REGISTRA")</f>
        <v>LIDER DE REGISTRO Y CONTROL</v>
      </c>
      <c r="E4865" s="5" t="str">
        <f>IFERROR(VLOOKUP(A4865,'Base Prueba'!A:E,5,),"NO REGISTRA")</f>
        <v>REGISTRO Y CONTROL ACADEMICO</v>
      </c>
    </row>
    <row r="4866" spans="1:5" ht="15.75" x14ac:dyDescent="0.25">
      <c r="A4866" s="14">
        <v>1000593372</v>
      </c>
      <c r="B4866" s="2">
        <v>46119.769209953702</v>
      </c>
      <c r="C4866" s="3" t="str">
        <f>IFERROR(VLOOKUP(A4866,'Base Prueba'!A:C,3,),"NO REGISTRA")</f>
        <v>LAURA SOFIA CHAPARRO LOPEZ</v>
      </c>
      <c r="D4866" s="4" t="str">
        <f>IFERROR(VLOOKUP(A4866,'Base Prueba'!A:D,4,),"NO REGISTRA")</f>
        <v>AUXILIAR JURIDICO</v>
      </c>
      <c r="E4866" s="5" t="str">
        <f>IFERROR(VLOOKUP(A4866,'Base Prueba'!A:E,5,),"NO REGISTRA")</f>
        <v>SECRETARIA GENERAL</v>
      </c>
    </row>
    <row r="4867" spans="1:5" ht="15.75" x14ac:dyDescent="0.25">
      <c r="A4867" s="14">
        <v>1000604979</v>
      </c>
      <c r="B4867" s="2">
        <v>46119.769226273151</v>
      </c>
      <c r="C4867" s="3" t="str">
        <f>IFERROR(VLOOKUP(A4867,'Base Prueba'!A:C,3,),"NO REGISTRA")</f>
        <v>JULIETH TATIANA PARDO PINTO</v>
      </c>
      <c r="D4867" s="4" t="str">
        <f>IFERROR(VLOOKUP(A4867,'Base Prueba'!A:D,4,),"NO REGISTRA")</f>
        <v>AUXILIAR JURIDICO</v>
      </c>
      <c r="E4867" s="5" t="str">
        <f>IFERROR(VLOOKUP(A4867,'Base Prueba'!A:E,5,),"NO REGISTRA")</f>
        <v>SECRETARIA GENERAL</v>
      </c>
    </row>
    <row r="4868" spans="1:5" ht="15.75" x14ac:dyDescent="0.25">
      <c r="A4868" s="14">
        <v>1012426741</v>
      </c>
      <c r="B4868" s="2">
        <v>46119.771244328702</v>
      </c>
      <c r="C4868" s="3" t="str">
        <f>IFERROR(VLOOKUP(A4868,'Base Prueba'!A:C,3,),"NO REGISTRA")</f>
        <v>CRISTIAN FABIAN ROJAS SANCENO</v>
      </c>
      <c r="D4868" s="4" t="str">
        <f>IFERROR(VLOOKUP(A4868,'Base Prueba'!A:D,4,),"NO REGISTRA")</f>
        <v>AUXILIAR DE REINTEGROS</v>
      </c>
      <c r="E4868" s="5" t="str">
        <f>IFERROR(VLOOKUP(A4868,'Base Prueba'!A:E,5,),"NO REGISTRA")</f>
        <v>DIRECCION DE BIENESTAR INSTITUCIONAL</v>
      </c>
    </row>
    <row r="4869" spans="1:5" ht="15.75" x14ac:dyDescent="0.25">
      <c r="A4869" s="14">
        <v>1000046533</v>
      </c>
      <c r="B4869" s="2">
        <v>46119.771985763888</v>
      </c>
      <c r="C4869" s="3" t="str">
        <f>IFERROR(VLOOKUP(A4869,'Base Prueba'!A:C,3,),"NO REGISTRA")</f>
        <v>ERIKA JULIETH VALDERRAMA SANCHEZ</v>
      </c>
      <c r="D4869" s="4" t="str">
        <f>IFERROR(VLOOKUP(A4869,'Base Prueba'!A:D,4,),"NO REGISTRA")</f>
        <v>PROMOTOR CALL CENTER</v>
      </c>
      <c r="E4869" s="5" t="str">
        <f>IFERROR(VLOOKUP(A4869,'Base Prueba'!A:E,5,),"NO REGISTRA")</f>
        <v>OFICINA DE MERCADEO</v>
      </c>
    </row>
    <row r="4870" spans="1:5" ht="15.75" x14ac:dyDescent="0.25">
      <c r="A4870" s="14">
        <v>80191732</v>
      </c>
      <c r="B4870" s="2">
        <v>46119.773138310185</v>
      </c>
      <c r="C4870" s="3" t="str">
        <f>IFERROR(VLOOKUP(A4870,'Base Prueba'!A:C,3,),"NO REGISTRA")</f>
        <v>DANIEL MAURICIO ZAMBRANO TUNJANO</v>
      </c>
      <c r="D4870" s="4" t="str">
        <f>IFERROR(VLOOKUP(A4870,'Base Prueba'!A:D,4,),"NO REGISTRA")</f>
        <v>COORDINADOR DE DISEÑO E IMAGEN INSTITUCIONAL</v>
      </c>
      <c r="E4870" s="5" t="str">
        <f>IFERROR(VLOOKUP(A4870,'Base Prueba'!A:E,5,),"NO REGISTRA")</f>
        <v>OFICINA DE MERCADEO</v>
      </c>
    </row>
    <row r="4871" spans="1:5" ht="15.75" x14ac:dyDescent="0.25">
      <c r="A4871" s="14">
        <v>1033709056</v>
      </c>
      <c r="B4871" s="2">
        <v>46119.773981712962</v>
      </c>
      <c r="C4871" s="3" t="str">
        <f>IFERROR(VLOOKUP(A4871,'Base Prueba'!A:C,3,),"NO REGISTRA")</f>
        <v>YEIMY ALEXANDRA RODRIGUEZ PALACIO</v>
      </c>
      <c r="D4871" s="4" t="str">
        <f>IFERROR(VLOOKUP(A4871,'Base Prueba'!A:D,4,),"NO REGISTRA")</f>
        <v>PROMOTOR CALL CENTER</v>
      </c>
      <c r="E4871" s="5" t="str">
        <f>IFERROR(VLOOKUP(A4871,'Base Prueba'!A:E,5,),"NO REGISTRA")</f>
        <v>OFICINA DE MERCADEO</v>
      </c>
    </row>
    <row r="4872" spans="1:5" ht="15.75" x14ac:dyDescent="0.25">
      <c r="A4872" s="14">
        <v>1013101788</v>
      </c>
      <c r="B4872" s="2">
        <v>46119.775494907408</v>
      </c>
      <c r="C4872" s="3" t="str">
        <f>IFERROR(VLOOKUP(A4872,'Base Prueba'!A:C,3,),"NO REGISTRA")</f>
        <v>SARA TANGARIFE MONTOYA</v>
      </c>
      <c r="D4872" s="4" t="str">
        <f>IFERROR(VLOOKUP(A4872,'Base Prueba'!A:D,4,),"NO REGISTRA")</f>
        <v>APRENDIZ UNIVERSITARIO</v>
      </c>
      <c r="E4872" s="5" t="str">
        <f>IFERROR(VLOOKUP(A4872,'Base Prueba'!A:E,5,),"NO REGISTRA")</f>
        <v>OFICINA DE MERCADEO</v>
      </c>
    </row>
    <row r="4873" spans="1:5" ht="15.75" x14ac:dyDescent="0.25">
      <c r="A4873" s="14">
        <v>1014196857</v>
      </c>
      <c r="B4873" s="2">
        <v>46119.776106134261</v>
      </c>
      <c r="C4873" s="3" t="str">
        <f>IFERROR(VLOOKUP(A4873,'Base Prueba'!A:C,3,),"NO REGISTRA")</f>
        <v>CARLOS ANDRES JIMENEZ PARDO</v>
      </c>
      <c r="D4873" s="4" t="str">
        <f>IFERROR(VLOOKUP(A4873,'Base Prueba'!A:D,4,),"NO REGISTRA")</f>
        <v>COORDINADOR DE MARKETING DIGITAL</v>
      </c>
      <c r="E4873" s="5" t="str">
        <f>IFERROR(VLOOKUP(A4873,'Base Prueba'!A:E,5,),"NO REGISTRA")</f>
        <v>OFICINA DE MERCADEO</v>
      </c>
    </row>
    <row r="4874" spans="1:5" ht="15.75" x14ac:dyDescent="0.25">
      <c r="A4874" s="14">
        <v>52472386</v>
      </c>
      <c r="B4874" s="2">
        <v>46119.777605671297</v>
      </c>
      <c r="C4874" s="3" t="str">
        <f>IFERROR(VLOOKUP(A4874,'Base Prueba'!A:C,3,),"NO REGISTRA")</f>
        <v>ADRIANA MARCELA MORALES PARDO</v>
      </c>
      <c r="D4874" s="4" t="str">
        <f>IFERROR(VLOOKUP(A4874,'Base Prueba'!A:D,4,),"NO REGISTRA")</f>
        <v>PROMOTOR CALL CENTER</v>
      </c>
      <c r="E4874" s="5" t="str">
        <f>IFERROR(VLOOKUP(A4874,'Base Prueba'!A:E,5,),"NO REGISTRA")</f>
        <v>OFICINA DE MERCADEO</v>
      </c>
    </row>
    <row r="4875" spans="1:5" ht="15.75" x14ac:dyDescent="0.25">
      <c r="A4875" s="14">
        <v>1000457706</v>
      </c>
      <c r="B4875" s="2">
        <v>46119.77833252315</v>
      </c>
      <c r="C4875" s="3" t="str">
        <f>IFERROR(VLOOKUP(A4875,'Base Prueba'!A:C,3,),"NO REGISTRA")</f>
        <v>CRISTIAN DANILO ARROYO SANABRIA</v>
      </c>
      <c r="D4875" s="4" t="str">
        <f>IFERROR(VLOOKUP(A4875,'Base Prueba'!A:D,4,),"NO REGISTRA")</f>
        <v>AUXILIAR CONTABLE</v>
      </c>
      <c r="E4875" s="5" t="str">
        <f>IFERROR(VLOOKUP(A4875,'Base Prueba'!A:E,5,),"NO REGISTRA")</f>
        <v>AREA FINANCIERA Y CONTABLE</v>
      </c>
    </row>
    <row r="4876" spans="1:5" ht="15.75" x14ac:dyDescent="0.25">
      <c r="A4876" s="14">
        <v>53932358</v>
      </c>
      <c r="B4876" s="2">
        <v>46119.778403587959</v>
      </c>
      <c r="C4876" s="3" t="str">
        <f>IFERROR(VLOOKUP(A4876,'Base Prueba'!A:C,3,),"NO REGISTRA")</f>
        <v>DIANA MADELEYNE GAONA RODRIGUEZ</v>
      </c>
      <c r="D4876" s="4" t="str">
        <f>IFERROR(VLOOKUP(A4876,'Base Prueba'!A:D,4,),"NO REGISTRA")</f>
        <v>CONTADOR</v>
      </c>
      <c r="E4876" s="5" t="str">
        <f>IFERROR(VLOOKUP(A4876,'Base Prueba'!A:E,5,),"NO REGISTRA")</f>
        <v>AREA FINANCIERA Y CONTABLE</v>
      </c>
    </row>
    <row r="4877" spans="1:5" ht="15.75" x14ac:dyDescent="0.25">
      <c r="A4877" s="14">
        <v>1018413529</v>
      </c>
      <c r="B4877" s="2">
        <v>46119.780290740739</v>
      </c>
      <c r="C4877" s="3" t="str">
        <f>IFERROR(VLOOKUP(A4877,'Base Prueba'!A:C,3,),"NO REGISTRA")</f>
        <v>FRANCY STELLA CHARRY MORENO</v>
      </c>
      <c r="D4877" s="4" t="str">
        <f>IFERROR(VLOOKUP(A4877,'Base Prueba'!A:D,4,),"NO REGISTRA")</f>
        <v>PROMOTOR COMERCIAL DEL CEA</v>
      </c>
      <c r="E4877" s="5" t="str">
        <f>IFERROR(VLOOKUP(A4877,'Base Prueba'!A:E,5,),"NO REGISTRA")</f>
        <v>OFICINA DE MERCADEO</v>
      </c>
    </row>
    <row r="4878" spans="1:5" ht="15.75" x14ac:dyDescent="0.25">
      <c r="A4878" s="14">
        <v>53089882</v>
      </c>
      <c r="B4878" s="2">
        <v>46119.780433564818</v>
      </c>
      <c r="C4878" s="3" t="str">
        <f>IFERROR(VLOOKUP(A4878,'Base Prueba'!A:C,3,),"NO REGISTRA")</f>
        <v>MARIA JOHANA ESCAMILLA MARTINEZ</v>
      </c>
      <c r="D4878" s="4" t="str">
        <f>IFERROR(VLOOKUP(A4878,'Base Prueba'!A:D,4,),"NO REGISTRA")</f>
        <v>PROMOTOR DE INFORMACIÓN</v>
      </c>
      <c r="E4878" s="5" t="str">
        <f>IFERROR(VLOOKUP(A4878,'Base Prueba'!A:E,5,),"NO REGISTRA")</f>
        <v>OFICINA DE MERCADEO</v>
      </c>
    </row>
    <row r="4879" spans="1:5" ht="15.75" x14ac:dyDescent="0.25">
      <c r="A4879" s="14">
        <v>1019105003</v>
      </c>
      <c r="B4879" s="2">
        <v>46119.781221296296</v>
      </c>
      <c r="C4879" s="3" t="str">
        <f>IFERROR(VLOOKUP(A4879,'Base Prueba'!A:C,3,),"NO REGISTRA")</f>
        <v>DAISY JULIETH GASPAR MORENO</v>
      </c>
      <c r="D4879" s="4" t="str">
        <f>IFERROR(VLOOKUP(A4879,'Base Prueba'!A:D,4,),"NO REGISTRA")</f>
        <v>PROMOTOR CALL CENTER</v>
      </c>
      <c r="E4879" s="5" t="str">
        <f>IFERROR(VLOOKUP(A4879,'Base Prueba'!A:E,5,),"NO REGISTRA")</f>
        <v>OFICINA DE MERCADEO</v>
      </c>
    </row>
    <row r="4880" spans="1:5" ht="15.75" x14ac:dyDescent="0.25">
      <c r="A4880" s="14">
        <v>52175674</v>
      </c>
      <c r="B4880" s="2">
        <v>46119.785167245369</v>
      </c>
      <c r="C4880" s="3" t="str">
        <f>IFERROR(VLOOKUP(A4880,'Base Prueba'!A:C,3,),"NO REGISTRA")</f>
        <v>LUZ YANETH GOMEZ AREVALO</v>
      </c>
      <c r="D4880" s="4" t="str">
        <f>IFERROR(VLOOKUP(A4880,'Base Prueba'!A:D,4,),"NO REGISTRA")</f>
        <v>COORDINADORA DE ADMISIONES</v>
      </c>
      <c r="E4880" s="5" t="str">
        <f>IFERROR(VLOOKUP(A4880,'Base Prueba'!A:E,5,),"NO REGISTRA")</f>
        <v>OFICINA DE MERCADEO</v>
      </c>
    </row>
    <row r="4881" spans="1:5" ht="15.75" x14ac:dyDescent="0.25">
      <c r="A4881" s="14">
        <v>28798349</v>
      </c>
      <c r="B4881" s="2">
        <v>46119.793623148151</v>
      </c>
      <c r="C4881" s="3" t="str">
        <f>IFERROR(VLOOKUP(A4881,'Base Prueba'!A:C,3,),"NO REGISTRA")</f>
        <v>MARTHA ISABEL TOVAR WILLIAMS</v>
      </c>
      <c r="D4881" s="4" t="str">
        <f>IFERROR(VLOOKUP(A4881,'Base Prueba'!A:D,4,),"NO REGISTRA")</f>
        <v>PROMOTOR CALL CENTER</v>
      </c>
      <c r="E4881" s="5" t="str">
        <f>IFERROR(VLOOKUP(A4881,'Base Prueba'!A:E,5,),"NO REGISTRA")</f>
        <v>OFICINA DE MERCADEO</v>
      </c>
    </row>
    <row r="4882" spans="1:5" ht="15.75" x14ac:dyDescent="0.25">
      <c r="A4882" s="14">
        <v>1032407386</v>
      </c>
      <c r="B4882" s="2">
        <v>46119.793700925926</v>
      </c>
      <c r="C4882" s="3" t="str">
        <f>IFERROR(VLOOKUP(A4882,'Base Prueba'!A:C,3,),"NO REGISTRA")</f>
        <v>GINA PAOLA BAEZ GALVIS</v>
      </c>
      <c r="D4882" s="4" t="str">
        <f>IFERROR(VLOOKUP(A4882,'Base Prueba'!A:D,4,),"NO REGISTRA")</f>
        <v>PROMOTOR CALL CENTER</v>
      </c>
      <c r="E4882" s="5" t="str">
        <f>IFERROR(VLOOKUP(A4882,'Base Prueba'!A:E,5,),"NO REGISTRA")</f>
        <v>OFICINA DE MERCADEO</v>
      </c>
    </row>
    <row r="4883" spans="1:5" ht="15.75" x14ac:dyDescent="0.25">
      <c r="A4883" s="14">
        <v>1023961952</v>
      </c>
      <c r="B4883" s="2">
        <v>46119.793797337959</v>
      </c>
      <c r="C4883" s="3" t="str">
        <f>IFERROR(VLOOKUP(A4883,'Base Prueba'!A:C,3,),"NO REGISTRA")</f>
        <v>ALEJANDRO PINZON MERCHAN</v>
      </c>
      <c r="D4883" s="4" t="str">
        <f>IFERROR(VLOOKUP(A4883,'Base Prueba'!A:D,4,),"NO REGISTRA")</f>
        <v>PROMOTOR CALL CENTER</v>
      </c>
      <c r="E4883" s="5" t="str">
        <f>IFERROR(VLOOKUP(A4883,'Base Prueba'!A:E,5,),"NO REGISTRA")</f>
        <v>OFICINA DE MERCADEO</v>
      </c>
    </row>
    <row r="4884" spans="1:5" ht="15.75" x14ac:dyDescent="0.25">
      <c r="A4884" s="14">
        <v>1018414290</v>
      </c>
      <c r="B4884" s="2">
        <v>46119.793946296297</v>
      </c>
      <c r="C4884" s="3" t="str">
        <f>IFERROR(VLOOKUP(A4884,'Base Prueba'!A:C,3,),"NO REGISTRA")</f>
        <v>AMANDA LISBETH RODRIGUEZ LEON</v>
      </c>
      <c r="D4884" s="4" t="str">
        <f>IFERROR(VLOOKUP(A4884,'Base Prueba'!A:D,4,),"NO REGISTRA")</f>
        <v>PROMOTOR CALL CENTER</v>
      </c>
      <c r="E4884" s="5" t="str">
        <f>IFERROR(VLOOKUP(A4884,'Base Prueba'!A:E,5,),"NO REGISTRA")</f>
        <v>OFICINA DE MERCADEO</v>
      </c>
    </row>
    <row r="4885" spans="1:5" ht="15.75" x14ac:dyDescent="0.25">
      <c r="A4885" s="14">
        <v>80234243</v>
      </c>
      <c r="B4885" s="2">
        <v>46119.796219328702</v>
      </c>
      <c r="C4885" s="3" t="str">
        <f>IFERROR(VLOOKUP(A4885,'Base Prueba'!A:C,3,),"NO REGISTRA")</f>
        <v>ARGENIS MARTINEZ MARTINEZ</v>
      </c>
      <c r="D4885" s="4" t="str">
        <f>IFERROR(VLOOKUP(A4885,'Base Prueba'!A:D,4,),"NO REGISTRA")</f>
        <v>LIDER CALL CENTER</v>
      </c>
      <c r="E4885" s="5" t="str">
        <f>IFERROR(VLOOKUP(A4885,'Base Prueba'!A:E,5,),"NO REGISTRA")</f>
        <v>OFICINA DE MERCADEO</v>
      </c>
    </row>
    <row r="4886" spans="1:5" ht="15.75" x14ac:dyDescent="0.25">
      <c r="A4886" s="14">
        <v>1013616244</v>
      </c>
      <c r="B4886" s="2">
        <v>46119.802564467594</v>
      </c>
      <c r="C4886" s="3" t="str">
        <f>IFERROR(VLOOKUP(A4886,'Base Prueba'!A:C,3,),"NO REGISTRA")</f>
        <v>DIANA CAROLINA MARIN BETANCOURT</v>
      </c>
      <c r="D4886" s="4" t="str">
        <f>IFERROR(VLOOKUP(A4886,'Base Prueba'!A:D,4,),"NO REGISTRA")</f>
        <v>AUXILIAR ADMINISTRATIVO</v>
      </c>
      <c r="E4886" s="5" t="str">
        <f>IFERROR(VLOOKUP(A4886,'Base Prueba'!A:E,5,),"NO REGISTRA")</f>
        <v>REGISTRO Y CONTROL ACADEMICO</v>
      </c>
    </row>
    <row r="4887" spans="1:5" ht="15.75" x14ac:dyDescent="0.25">
      <c r="A4887" s="14">
        <v>52474489</v>
      </c>
      <c r="B4887" s="2">
        <v>46119.806041666663</v>
      </c>
      <c r="C4887" s="3" t="str">
        <f>IFERROR(VLOOKUP(A4887,'Base Prueba'!A:C,3,),"NO REGISTRA")</f>
        <v>ADRIANA JIMENA SOTO BOCANEGRA</v>
      </c>
      <c r="D4887" s="4" t="str">
        <f>IFERROR(VLOOKUP(A4887,'Base Prueba'!A:D,4,),"NO REGISTRA")</f>
        <v>COORDINADOR DE LA OFICINA DE REGISTRO Y CONTROL</v>
      </c>
      <c r="E4887" s="5" t="str">
        <f>IFERROR(VLOOKUP(A4887,'Base Prueba'!A:E,5,),"NO REGISTRA")</f>
        <v>REGISTRO Y CONTROL ACADEMICO</v>
      </c>
    </row>
    <row r="4888" spans="1:5" ht="15.75" x14ac:dyDescent="0.25">
      <c r="A4888" s="14">
        <v>1087121273</v>
      </c>
      <c r="B4888" s="2">
        <v>46120.305779861112</v>
      </c>
      <c r="C4888" s="3" t="str">
        <f>IFERROR(VLOOKUP(A4888,'Base Prueba'!A:C,3,),"NO REGISTRA")</f>
        <v>MAYRA ALEJANDRA CASTILLO ARBOLEDA</v>
      </c>
      <c r="D4888" s="4" t="str">
        <f>IFERROR(VLOOKUP(A4888,'Base Prueba'!A:D,4,),"NO REGISTRA")</f>
        <v>APOYO INTEGRAL DE MERCADEO</v>
      </c>
      <c r="E4888" s="5" t="str">
        <f>IFERROR(VLOOKUP(A4888,'Base Prueba'!A:E,5,),"NO REGISTRA")</f>
        <v>CENTRO DE GESTION DOCUMENTAL</v>
      </c>
    </row>
    <row r="4889" spans="1:5" ht="15.75" x14ac:dyDescent="0.25">
      <c r="A4889" s="14">
        <v>1000324729</v>
      </c>
      <c r="B4889" s="2">
        <v>46120.314168518518</v>
      </c>
      <c r="C4889" s="3" t="str">
        <f>IFERROR(VLOOKUP(A4889,'Base Prueba'!A:C,3,),"NO REGISTRA")</f>
        <v>ANYIE VANESSA TINOCO CAMACHO</v>
      </c>
      <c r="D4889" s="4" t="str">
        <f>IFERROR(VLOOKUP(A4889,'Base Prueba'!A:D,4,),"NO REGISTRA")</f>
        <v>LIDER DE REGISTRO Y CONTROL</v>
      </c>
      <c r="E4889" s="5" t="str">
        <f>IFERROR(VLOOKUP(A4889,'Base Prueba'!A:E,5,),"NO REGISTRA")</f>
        <v>REGISTRO Y CONTROL ACADEMICO</v>
      </c>
    </row>
    <row r="4890" spans="1:5" ht="15.75" x14ac:dyDescent="0.25">
      <c r="A4890" s="14">
        <v>1024512067</v>
      </c>
      <c r="B4890" s="2">
        <v>46120.318048611109</v>
      </c>
      <c r="C4890" s="3" t="str">
        <f>IFERROR(VLOOKUP(A4890,'Base Prueba'!A:C,3,),"NO REGISTRA")</f>
        <v>CINDY GIOVANA SALGAR GOMEZ</v>
      </c>
      <c r="D4890" s="4" t="str">
        <f>IFERROR(VLOOKUP(A4890,'Base Prueba'!A:D,4,),"NO REGISTRA")</f>
        <v>COORDINADOR DEL SISTEMA INTEGRADO DE GESTION INSTITUCIONAL - SIGI</v>
      </c>
      <c r="E4890" s="5" t="str">
        <f>IFERROR(VLOOKUP(A4890,'Base Prueba'!A:E,5,),"NO REGISTRA")</f>
        <v>OFICINA DE PLANEACION Y GESTION DE LA CALIDAD</v>
      </c>
    </row>
    <row r="4891" spans="1:5" ht="15.75" x14ac:dyDescent="0.25">
      <c r="A4891" s="14">
        <v>1013616244</v>
      </c>
      <c r="B4891" s="2">
        <v>46120.322579745371</v>
      </c>
      <c r="C4891" s="3" t="str">
        <f>IFERROR(VLOOKUP(A4891,'Base Prueba'!A:C,3,),"NO REGISTRA")</f>
        <v>DIANA CAROLINA MARIN BETANCOURT</v>
      </c>
      <c r="D4891" s="4" t="str">
        <f>IFERROR(VLOOKUP(A4891,'Base Prueba'!A:D,4,),"NO REGISTRA")</f>
        <v>AUXILIAR ADMINISTRATIVO</v>
      </c>
      <c r="E4891" s="5" t="str">
        <f>IFERROR(VLOOKUP(A4891,'Base Prueba'!A:E,5,),"NO REGISTRA")</f>
        <v>REGISTRO Y CONTROL ACADEMICO</v>
      </c>
    </row>
    <row r="4892" spans="1:5" ht="15.75" x14ac:dyDescent="0.25">
      <c r="A4892" s="14">
        <v>1010184333</v>
      </c>
      <c r="B4892" s="2">
        <v>46120.329347685183</v>
      </c>
      <c r="C4892" s="3" t="str">
        <f>IFERROR(VLOOKUP(A4892,'Base Prueba'!A:C,3,),"NO REGISTRA")</f>
        <v>AKON ANDRES GARZON ALVAREZ</v>
      </c>
      <c r="D4892" s="4" t="str">
        <f>IFERROR(VLOOKUP(A4892,'Base Prueba'!A:D,4,),"NO REGISTRA")</f>
        <v>APRENDIZ UNIVERSITARIO</v>
      </c>
      <c r="E4892" s="5" t="str">
        <f>IFERROR(VLOOKUP(A4892,'Base Prueba'!A:E,5,),"NO REGISTRA")</f>
        <v>SECRETARIA GENERAL</v>
      </c>
    </row>
    <row r="4893" spans="1:5" ht="15.75" x14ac:dyDescent="0.25">
      <c r="A4893" s="14">
        <v>1032469638</v>
      </c>
      <c r="B4893" s="2">
        <v>46120.330469675922</v>
      </c>
      <c r="C4893" s="3" t="str">
        <f>IFERROR(VLOOKUP(A4893,'Base Prueba'!A:C,3,),"NO REGISTRA")</f>
        <v>MAICOL JARBEY GUALTEROS CASTAÑEDA</v>
      </c>
      <c r="D4893" s="4" t="str">
        <f>IFERROR(VLOOKUP(A4893,'Base Prueba'!A:D,4,),"NO REGISTRA")</f>
        <v>COORDINADOR DEL SISTEMA INTERNO DE ASEGURAMIENTO DE LA CALIDAD - SIAC</v>
      </c>
      <c r="E4893" s="5" t="str">
        <f>IFERROR(VLOOKUP(A4893,'Base Prueba'!A:E,5,),"NO REGISTRA")</f>
        <v>OFICINA DE PLANEACION Y GESTION DE LA CALIDAD</v>
      </c>
    </row>
    <row r="4894" spans="1:5" ht="15.75" x14ac:dyDescent="0.25">
      <c r="A4894" s="14">
        <v>80191732</v>
      </c>
      <c r="B4894" s="2">
        <v>46120.3331869213</v>
      </c>
      <c r="C4894" s="3" t="str">
        <f>IFERROR(VLOOKUP(A4894,'Base Prueba'!A:C,3,),"NO REGISTRA")</f>
        <v>DANIEL MAURICIO ZAMBRANO TUNJANO</v>
      </c>
      <c r="D4894" s="4" t="str">
        <f>IFERROR(VLOOKUP(A4894,'Base Prueba'!A:D,4,),"NO REGISTRA")</f>
        <v>COORDINADOR DE DISEÑO E IMAGEN INSTITUCIONAL</v>
      </c>
      <c r="E4894" s="5" t="str">
        <f>IFERROR(VLOOKUP(A4894,'Base Prueba'!A:E,5,),"NO REGISTRA")</f>
        <v>OFICINA DE MERCADEO</v>
      </c>
    </row>
    <row r="4895" spans="1:5" ht="15.75" x14ac:dyDescent="0.25">
      <c r="A4895" s="14">
        <v>1013098430</v>
      </c>
      <c r="B4895" s="2">
        <v>46120.337041319443</v>
      </c>
      <c r="C4895" s="3" t="str">
        <f>IFERROR(VLOOKUP(A4895,'Base Prueba'!A:C,3,),"NO REGISTRA")</f>
        <v>ANDRES FELIPE LOPEZ ROMERO</v>
      </c>
      <c r="D4895" s="4" t="str">
        <f>IFERROR(VLOOKUP(A4895,'Base Prueba'!A:D,4,),"NO REGISTRA")</f>
        <v>APRENDIZ UNIVERSITARIO</v>
      </c>
      <c r="E4895" s="5" t="str">
        <f>IFERROR(VLOOKUP(A4895,'Base Prueba'!A:E,5,),"NO REGISTRA")</f>
        <v>OFICINA DE MERCADEO</v>
      </c>
    </row>
    <row r="4896" spans="1:5" ht="15.75" x14ac:dyDescent="0.25">
      <c r="A4896" s="14">
        <v>1000257136</v>
      </c>
      <c r="B4896" s="2">
        <v>46120.33902777778</v>
      </c>
      <c r="C4896" s="3" t="str">
        <f>IFERROR(VLOOKUP(A4896,'Base Prueba'!A:C,3,),"NO REGISTRA")</f>
        <v>FRANCI VALENTINA CANO PUENTES</v>
      </c>
      <c r="D4896" s="4" t="str">
        <f>IFERROR(VLOOKUP(A4896,'Base Prueba'!A:D,4,),"NO REGISTRA")</f>
        <v>AUXILIAR CONTABLE</v>
      </c>
      <c r="E4896" s="5" t="str">
        <f>IFERROR(VLOOKUP(A4896,'Base Prueba'!A:E,5,),"NO REGISTRA")</f>
        <v>AREA FINANCIERA Y CONTABLE</v>
      </c>
    </row>
    <row r="4897" spans="1:5" ht="15.75" x14ac:dyDescent="0.25">
      <c r="A4897" s="14">
        <v>1014977624</v>
      </c>
      <c r="B4897" s="2">
        <v>46120.34342164352</v>
      </c>
      <c r="C4897" s="3" t="str">
        <f>IFERROR(VLOOKUP(A4897,'Base Prueba'!A:C,3,),"NO REGISTRA")</f>
        <v>NICCOLE VALENTINA HERNANDEZ MALAVER</v>
      </c>
      <c r="D4897" s="4" t="str">
        <f>IFERROR(VLOOKUP(A4897,'Base Prueba'!A:D,4,),"NO REGISTRA")</f>
        <v>APRENDIZ UNIVERSITARIO</v>
      </c>
      <c r="E4897" s="5" t="str">
        <f>IFERROR(VLOOKUP(A4897,'Base Prueba'!A:E,5,),"NO REGISTRA")</f>
        <v>AREA FINANCIERA Y CONTABLE</v>
      </c>
    </row>
    <row r="4898" spans="1:5" ht="15.75" x14ac:dyDescent="0.25">
      <c r="A4898" s="14">
        <v>1193457976</v>
      </c>
      <c r="B4898" s="2">
        <v>46120.343702662038</v>
      </c>
      <c r="C4898" s="3" t="str">
        <f>IFERROR(VLOOKUP(A4898,'Base Prueba'!A:C,3,),"NO REGISTRA")</f>
        <v>SEDENIS RIVAS ASPRILLA</v>
      </c>
      <c r="D4898" s="4" t="str">
        <f>IFERROR(VLOOKUP(A4898,'Base Prueba'!A:D,4,),"NO REGISTRA")</f>
        <v>APRENDIZ UNIVERSITARIO</v>
      </c>
      <c r="E4898" s="5" t="str">
        <f>IFERROR(VLOOKUP(A4898,'Base Prueba'!A:E,5,),"NO REGISTRA")</f>
        <v>DEPARTAMENTO DE GESTION HUMANA</v>
      </c>
    </row>
    <row r="4899" spans="1:5" ht="15.75" x14ac:dyDescent="0.25">
      <c r="A4899" s="14">
        <v>1049644802</v>
      </c>
      <c r="B4899" s="2">
        <v>46120.344262847226</v>
      </c>
      <c r="C4899" s="3" t="str">
        <f>IFERROR(VLOOKUP(A4899,'Base Prueba'!A:C,3,),"NO REGISTRA")</f>
        <v>DANIELA ALEXANDRA CIPAMOCHA BOSIGA</v>
      </c>
      <c r="D4899" s="4" t="str">
        <f>IFERROR(VLOOKUP(A4899,'Base Prueba'!A:D,4,),"NO REGISTRA")</f>
        <v>LIDER DE DATOS Y SERVICIOS</v>
      </c>
      <c r="E4899" s="5" t="str">
        <f>IFERROR(VLOOKUP(A4899,'Base Prueba'!A:E,5,),"NO REGISTRA")</f>
        <v>OFICINA DE PLANEACION Y GESTION DE LA CALIDAD</v>
      </c>
    </row>
    <row r="4900" spans="1:5" ht="15.75" x14ac:dyDescent="0.25">
      <c r="A4900" s="14">
        <v>1022996882</v>
      </c>
      <c r="B4900" s="2">
        <v>46120.344878587966</v>
      </c>
      <c r="C4900" s="3" t="str">
        <f>IFERROR(VLOOKUP(A4900,'Base Prueba'!A:C,3,),"NO REGISTRA")</f>
        <v>NANCY BRIGITH ALDANA GUEVARA</v>
      </c>
      <c r="D4900" s="4" t="str">
        <f>IFERROR(VLOOKUP(A4900,'Base Prueba'!A:D,4,),"NO REGISTRA")</f>
        <v>COORDINADORA DE GESTIÓN HUMANA</v>
      </c>
      <c r="E4900" s="5" t="str">
        <f>IFERROR(VLOOKUP(A4900,'Base Prueba'!A:E,5,),"NO REGISTRA")</f>
        <v>DEPARTAMENTO DE GESTION HUMANA</v>
      </c>
    </row>
    <row r="4901" spans="1:5" ht="15.75" x14ac:dyDescent="0.25">
      <c r="A4901" s="14">
        <v>1000604979</v>
      </c>
      <c r="B4901" s="2">
        <v>46120.347840046299</v>
      </c>
      <c r="C4901" s="3" t="str">
        <f>IFERROR(VLOOKUP(A4901,'Base Prueba'!A:C,3,),"NO REGISTRA")</f>
        <v>JULIETH TATIANA PARDO PINTO</v>
      </c>
      <c r="D4901" s="4" t="str">
        <f>IFERROR(VLOOKUP(A4901,'Base Prueba'!A:D,4,),"NO REGISTRA")</f>
        <v>AUXILIAR JURIDICO</v>
      </c>
      <c r="E4901" s="5" t="str">
        <f>IFERROR(VLOOKUP(A4901,'Base Prueba'!A:E,5,),"NO REGISTRA")</f>
        <v>SECRETARIA GENERAL</v>
      </c>
    </row>
    <row r="4902" spans="1:5" ht="15.75" x14ac:dyDescent="0.25">
      <c r="A4902" s="14">
        <v>1000593372</v>
      </c>
      <c r="B4902" s="2">
        <v>46120.347893402781</v>
      </c>
      <c r="C4902" s="3" t="str">
        <f>IFERROR(VLOOKUP(A4902,'Base Prueba'!A:C,3,),"NO REGISTRA")</f>
        <v>LAURA SOFIA CHAPARRO LOPEZ</v>
      </c>
      <c r="D4902" s="4" t="str">
        <f>IFERROR(VLOOKUP(A4902,'Base Prueba'!A:D,4,),"NO REGISTRA")</f>
        <v>AUXILIAR JURIDICO</v>
      </c>
      <c r="E4902" s="5" t="str">
        <f>IFERROR(VLOOKUP(A4902,'Base Prueba'!A:E,5,),"NO REGISTRA")</f>
        <v>SECRETARIA GENERAL</v>
      </c>
    </row>
    <row r="4903" spans="1:5" ht="15.75" x14ac:dyDescent="0.25">
      <c r="A4903" s="14">
        <v>1014266838</v>
      </c>
      <c r="B4903" s="2">
        <v>46120.347962615742</v>
      </c>
      <c r="C4903" s="3" t="str">
        <f>IFERROR(VLOOKUP(A4903,'Base Prueba'!A:C,3,),"NO REGISTRA")</f>
        <v>JENNIFER ASTRID ROMERO HURTADO</v>
      </c>
      <c r="D4903" s="4" t="str">
        <f>IFERROR(VLOOKUP(A4903,'Base Prueba'!A:D,4,),"NO REGISTRA")</f>
        <v>LIDER DE RECAUDO</v>
      </c>
      <c r="E4903" s="5" t="str">
        <f>IFERROR(VLOOKUP(A4903,'Base Prueba'!A:E,5,),"NO REGISTRA")</f>
        <v>AREA FINANCIERA Y CONTABLE</v>
      </c>
    </row>
    <row r="4904" spans="1:5" ht="15.75" x14ac:dyDescent="0.25">
      <c r="A4904" s="14">
        <v>1000457706</v>
      </c>
      <c r="B4904" s="2">
        <v>46120.348983449076</v>
      </c>
      <c r="C4904" s="3" t="str">
        <f>IFERROR(VLOOKUP(A4904,'Base Prueba'!A:C,3,),"NO REGISTRA")</f>
        <v>CRISTIAN DANILO ARROYO SANABRIA</v>
      </c>
      <c r="D4904" s="4" t="str">
        <f>IFERROR(VLOOKUP(A4904,'Base Prueba'!A:D,4,),"NO REGISTRA")</f>
        <v>AUXILIAR CONTABLE</v>
      </c>
      <c r="E4904" s="5" t="str">
        <f>IFERROR(VLOOKUP(A4904,'Base Prueba'!A:E,5,),"NO REGISTRA")</f>
        <v>AREA FINANCIERA Y CONTABLE</v>
      </c>
    </row>
    <row r="4905" spans="1:5" ht="15.75" x14ac:dyDescent="0.25">
      <c r="A4905" s="14">
        <v>1023883232</v>
      </c>
      <c r="B4905" s="2">
        <v>46120.349123958331</v>
      </c>
      <c r="C4905" s="3" t="str">
        <f>IFERROR(VLOOKUP(A4905,'Base Prueba'!A:C,3,),"NO REGISTRA")</f>
        <v>MONICA ANDREA ACERO URBANO</v>
      </c>
      <c r="D4905" s="4" t="str">
        <f>IFERROR(VLOOKUP(A4905,'Base Prueba'!A:D,4,),"NO REGISTRA")</f>
        <v>APOYO INTEGRAL A GESTION HUMANA</v>
      </c>
      <c r="E4905" s="5" t="str">
        <f>IFERROR(VLOOKUP(A4905,'Base Prueba'!A:E,5,),"NO REGISTRA")</f>
        <v>DEPARTAMENTO DE GESTION HUMANA</v>
      </c>
    </row>
    <row r="4906" spans="1:5" ht="15.75" x14ac:dyDescent="0.25">
      <c r="A4906" s="14">
        <v>1018413529</v>
      </c>
      <c r="B4906" s="2">
        <v>46120.355839351854</v>
      </c>
      <c r="C4906" s="3" t="str">
        <f>IFERROR(VLOOKUP(A4906,'Base Prueba'!A:C,3,),"NO REGISTRA")</f>
        <v>FRANCY STELLA CHARRY MORENO</v>
      </c>
      <c r="D4906" s="4" t="str">
        <f>IFERROR(VLOOKUP(A4906,'Base Prueba'!A:D,4,),"NO REGISTRA")</f>
        <v>PROMOTOR COMERCIAL DEL CEA</v>
      </c>
      <c r="E4906" s="5" t="str">
        <f>IFERROR(VLOOKUP(A4906,'Base Prueba'!A:E,5,),"NO REGISTRA")</f>
        <v>OFICINA DE MERCADEO</v>
      </c>
    </row>
    <row r="4907" spans="1:5" ht="15.75" x14ac:dyDescent="0.25">
      <c r="A4907" s="14">
        <v>1033709056</v>
      </c>
      <c r="B4907" s="2">
        <v>46120.358895833335</v>
      </c>
      <c r="C4907" s="3" t="str">
        <f>IFERROR(VLOOKUP(A4907,'Base Prueba'!A:C,3,),"NO REGISTRA")</f>
        <v>YEIMY ALEXANDRA RODRIGUEZ PALACIO</v>
      </c>
      <c r="D4907" s="4" t="str">
        <f>IFERROR(VLOOKUP(A4907,'Base Prueba'!A:D,4,),"NO REGISTRA")</f>
        <v>PROMOTOR CALL CENTER</v>
      </c>
      <c r="E4907" s="5" t="str">
        <f>IFERROR(VLOOKUP(A4907,'Base Prueba'!A:E,5,),"NO REGISTRA")</f>
        <v>OFICINA DE MERCADEO</v>
      </c>
    </row>
    <row r="4908" spans="1:5" ht="15.75" x14ac:dyDescent="0.25">
      <c r="A4908" s="14">
        <v>53932358</v>
      </c>
      <c r="B4908" s="2">
        <v>46120.359344675926</v>
      </c>
      <c r="C4908" s="3" t="str">
        <f>IFERROR(VLOOKUP(A4908,'Base Prueba'!A:C,3,),"NO REGISTRA")</f>
        <v>DIANA MADELEYNE GAONA RODRIGUEZ</v>
      </c>
      <c r="D4908" s="4" t="str">
        <f>IFERROR(VLOOKUP(A4908,'Base Prueba'!A:D,4,),"NO REGISTRA")</f>
        <v>CONTADOR</v>
      </c>
      <c r="E4908" s="5" t="str">
        <f>IFERROR(VLOOKUP(A4908,'Base Prueba'!A:E,5,),"NO REGISTRA")</f>
        <v>AREA FINANCIERA Y CONTABLE</v>
      </c>
    </row>
    <row r="4909" spans="1:5" ht="15.75" x14ac:dyDescent="0.25">
      <c r="A4909" s="14">
        <v>1014196857</v>
      </c>
      <c r="B4909" s="2">
        <v>46120.360119212964</v>
      </c>
      <c r="C4909" s="3" t="str">
        <f>IFERROR(VLOOKUP(A4909,'Base Prueba'!A:C,3,),"NO REGISTRA")</f>
        <v>CARLOS ANDRES JIMENEZ PARDO</v>
      </c>
      <c r="D4909" s="4" t="str">
        <f>IFERROR(VLOOKUP(A4909,'Base Prueba'!A:D,4,),"NO REGISTRA")</f>
        <v>COORDINADOR DE MARKETING DIGITAL</v>
      </c>
      <c r="E4909" s="5" t="str">
        <f>IFERROR(VLOOKUP(A4909,'Base Prueba'!A:E,5,),"NO REGISTRA")</f>
        <v>OFICINA DE MERCADEO</v>
      </c>
    </row>
    <row r="4910" spans="1:5" ht="15.75" x14ac:dyDescent="0.25">
      <c r="A4910" s="14">
        <v>1016090131</v>
      </c>
      <c r="B4910" s="2">
        <v>46120.366074421298</v>
      </c>
      <c r="C4910" s="3" t="str">
        <f>IFERROR(VLOOKUP(A4910,'Base Prueba'!A:C,3,),"NO REGISTRA")</f>
        <v>NICOLAS RODRIGUEZ PACHECO</v>
      </c>
      <c r="D4910" s="4" t="str">
        <f>IFERROR(VLOOKUP(A4910,'Base Prueba'!A:D,4,),"NO REGISTRA")</f>
        <v>COORDINADOR DE COMUNICACIONES</v>
      </c>
      <c r="E4910" s="5" t="str">
        <f>IFERROR(VLOOKUP(A4910,'Base Prueba'!A:E,5,),"NO REGISTRA")</f>
        <v>OFICINA DE MERCADEO</v>
      </c>
    </row>
    <row r="4911" spans="1:5" ht="15.75" x14ac:dyDescent="0.25">
      <c r="A4911" s="14">
        <v>1032407386</v>
      </c>
      <c r="B4911" s="2">
        <v>46120.366397106482</v>
      </c>
      <c r="C4911" s="3" t="str">
        <f>IFERROR(VLOOKUP(A4911,'Base Prueba'!A:C,3,),"NO REGISTRA")</f>
        <v>GINA PAOLA BAEZ GALVIS</v>
      </c>
      <c r="D4911" s="4" t="str">
        <f>IFERROR(VLOOKUP(A4911,'Base Prueba'!A:D,4,),"NO REGISTRA")</f>
        <v>PROMOTOR CALL CENTER</v>
      </c>
      <c r="E4911" s="5" t="str">
        <f>IFERROR(VLOOKUP(A4911,'Base Prueba'!A:E,5,),"NO REGISTRA")</f>
        <v>OFICINA DE MERCADEO</v>
      </c>
    </row>
    <row r="4912" spans="1:5" ht="15.75" x14ac:dyDescent="0.25">
      <c r="A4912" s="14">
        <v>80234243</v>
      </c>
      <c r="B4912" s="2">
        <v>46120.368672685188</v>
      </c>
      <c r="C4912" s="3" t="str">
        <f>IFERROR(VLOOKUP(A4912,'Base Prueba'!A:C,3,),"NO REGISTRA")</f>
        <v>ARGENIS MARTINEZ MARTINEZ</v>
      </c>
      <c r="D4912" s="4" t="str">
        <f>IFERROR(VLOOKUP(A4912,'Base Prueba'!A:D,4,),"NO REGISTRA")</f>
        <v>LIDER CALL CENTER</v>
      </c>
      <c r="E4912" s="5" t="str">
        <f>IFERROR(VLOOKUP(A4912,'Base Prueba'!A:E,5,),"NO REGISTRA")</f>
        <v>OFICINA DE MERCADEO</v>
      </c>
    </row>
    <row r="4913" spans="1:5" ht="15.75" x14ac:dyDescent="0.25">
      <c r="A4913" s="14">
        <v>52472386</v>
      </c>
      <c r="B4913" s="2">
        <v>46120.373469791666</v>
      </c>
      <c r="C4913" s="3" t="str">
        <f>IFERROR(VLOOKUP(A4913,'Base Prueba'!A:C,3,),"NO REGISTRA")</f>
        <v>ADRIANA MARCELA MORALES PARDO</v>
      </c>
      <c r="D4913" s="4" t="str">
        <f>IFERROR(VLOOKUP(A4913,'Base Prueba'!A:D,4,),"NO REGISTRA")</f>
        <v>PROMOTOR CALL CENTER</v>
      </c>
      <c r="E4913" s="5" t="str">
        <f>IFERROR(VLOOKUP(A4913,'Base Prueba'!A:E,5,),"NO REGISTRA")</f>
        <v>OFICINA DE MERCADEO</v>
      </c>
    </row>
    <row r="4914" spans="1:5" ht="15.75" x14ac:dyDescent="0.25">
      <c r="A4914" s="14">
        <v>1023961952</v>
      </c>
      <c r="B4914" s="2">
        <v>46120.374321643518</v>
      </c>
      <c r="C4914" s="3" t="str">
        <f>IFERROR(VLOOKUP(A4914,'Base Prueba'!A:C,3,),"NO REGISTRA")</f>
        <v>ALEJANDRO PINZON MERCHAN</v>
      </c>
      <c r="D4914" s="4" t="str">
        <f>IFERROR(VLOOKUP(A4914,'Base Prueba'!A:D,4,),"NO REGISTRA")</f>
        <v>PROMOTOR CALL CENTER</v>
      </c>
      <c r="E4914" s="5" t="str">
        <f>IFERROR(VLOOKUP(A4914,'Base Prueba'!A:E,5,),"NO REGISTRA")</f>
        <v>OFICINA DE MERCADEO</v>
      </c>
    </row>
    <row r="4915" spans="1:5" ht="15.75" x14ac:dyDescent="0.25">
      <c r="A4915" s="14">
        <v>53089882</v>
      </c>
      <c r="B4915" s="2">
        <v>46120.374525115738</v>
      </c>
      <c r="C4915" s="3" t="str">
        <f>IFERROR(VLOOKUP(A4915,'Base Prueba'!A:C,3,),"NO REGISTRA")</f>
        <v>MARIA JOHANA ESCAMILLA MARTINEZ</v>
      </c>
      <c r="D4915" s="4" t="str">
        <f>IFERROR(VLOOKUP(A4915,'Base Prueba'!A:D,4,),"NO REGISTRA")</f>
        <v>PROMOTOR DE INFORMACIÓN</v>
      </c>
      <c r="E4915" s="5" t="str">
        <f>IFERROR(VLOOKUP(A4915,'Base Prueba'!A:E,5,),"NO REGISTRA")</f>
        <v>OFICINA DE MERCADEO</v>
      </c>
    </row>
    <row r="4916" spans="1:5" ht="15.75" x14ac:dyDescent="0.25">
      <c r="A4916" s="14">
        <v>6</v>
      </c>
      <c r="B4916" s="2">
        <v>46120.374560300923</v>
      </c>
      <c r="C4916" s="3" t="str">
        <f>IFERROR(VLOOKUP(A4916,'Base Prueba'!A:C,3,),"NO REGISTRA")</f>
        <v>NO REGISTRA</v>
      </c>
      <c r="D4916" s="4" t="str">
        <f>IFERROR(VLOOKUP(A4916,'Base Prueba'!A:D,4,),"NO REGISTRA")</f>
        <v>NO REGISTRA</v>
      </c>
      <c r="E4916" s="5" t="str">
        <f>IFERROR(VLOOKUP(A4916,'Base Prueba'!A:E,5,),"NO REGISTRA")</f>
        <v>NO REGISTRA</v>
      </c>
    </row>
    <row r="4917" spans="1:5" ht="15.75" x14ac:dyDescent="0.25">
      <c r="A4917" s="14">
        <v>1019105003</v>
      </c>
      <c r="B4917" s="2">
        <v>46120.374596875001</v>
      </c>
      <c r="C4917" s="3" t="str">
        <f>IFERROR(VLOOKUP(A4917,'Base Prueba'!A:C,3,),"NO REGISTRA")</f>
        <v>DAISY JULIETH GASPAR MORENO</v>
      </c>
      <c r="D4917" s="4" t="str">
        <f>IFERROR(VLOOKUP(A4917,'Base Prueba'!A:D,4,),"NO REGISTRA")</f>
        <v>PROMOTOR CALL CENTER</v>
      </c>
      <c r="E4917" s="5" t="str">
        <f>IFERROR(VLOOKUP(A4917,'Base Prueba'!A:E,5,),"NO REGISTRA")</f>
        <v>OFICINA DE MERCADEO</v>
      </c>
    </row>
    <row r="4918" spans="1:5" ht="15.75" x14ac:dyDescent="0.25">
      <c r="A4918" s="14">
        <v>6</v>
      </c>
      <c r="B4918" s="2">
        <v>46120.374787037035</v>
      </c>
      <c r="C4918" s="3" t="str">
        <f>IFERROR(VLOOKUP(A4918,'Base Prueba'!A:C,3,),"NO REGISTRA")</f>
        <v>NO REGISTRA</v>
      </c>
      <c r="D4918" s="4" t="str">
        <f>IFERROR(VLOOKUP(A4918,'Base Prueba'!A:D,4,),"NO REGISTRA")</f>
        <v>NO REGISTRA</v>
      </c>
      <c r="E4918" s="5" t="str">
        <f>IFERROR(VLOOKUP(A4918,'Base Prueba'!A:E,5,),"NO REGISTRA")</f>
        <v>NO REGISTRA</v>
      </c>
    </row>
    <row r="4919" spans="1:5" ht="15.75" x14ac:dyDescent="0.25">
      <c r="A4919" s="14">
        <v>1018414290</v>
      </c>
      <c r="B4919" s="2">
        <v>46120.374960300927</v>
      </c>
      <c r="C4919" s="3" t="str">
        <f>IFERROR(VLOOKUP(A4919,'Base Prueba'!A:C,3,),"NO REGISTRA")</f>
        <v>AMANDA LISBETH RODRIGUEZ LEON</v>
      </c>
      <c r="D4919" s="4" t="str">
        <f>IFERROR(VLOOKUP(A4919,'Base Prueba'!A:D,4,),"NO REGISTRA")</f>
        <v>PROMOTOR CALL CENTER</v>
      </c>
      <c r="E4919" s="5" t="str">
        <f>IFERROR(VLOOKUP(A4919,'Base Prueba'!A:E,5,),"NO REGISTRA")</f>
        <v>OFICINA DE MERCADEO</v>
      </c>
    </row>
    <row r="4920" spans="1:5" ht="15.75" x14ac:dyDescent="0.25">
      <c r="A4920" s="14">
        <v>1000046533</v>
      </c>
      <c r="B4920" s="2">
        <v>46120.376715509257</v>
      </c>
      <c r="C4920" s="3" t="str">
        <f>IFERROR(VLOOKUP(A4920,'Base Prueba'!A:C,3,),"NO REGISTRA")</f>
        <v>ERIKA JULIETH VALDERRAMA SANCHEZ</v>
      </c>
      <c r="D4920" s="4" t="str">
        <f>IFERROR(VLOOKUP(A4920,'Base Prueba'!A:D,4,),"NO REGISTRA")</f>
        <v>PROMOTOR CALL CENTER</v>
      </c>
      <c r="E4920" s="5" t="str">
        <f>IFERROR(VLOOKUP(A4920,'Base Prueba'!A:E,5,),"NO REGISTRA")</f>
        <v>OFICINA DE MERCADEO</v>
      </c>
    </row>
    <row r="4921" spans="1:5" ht="15.75" x14ac:dyDescent="0.25">
      <c r="A4921" s="14">
        <v>1013101788</v>
      </c>
      <c r="B4921" s="2">
        <v>46120.380307291663</v>
      </c>
      <c r="C4921" s="3" t="str">
        <f>IFERROR(VLOOKUP(A4921,'Base Prueba'!A:C,3,),"NO REGISTRA")</f>
        <v>SARA TANGARIFE MONTOYA</v>
      </c>
      <c r="D4921" s="4" t="str">
        <f>IFERROR(VLOOKUP(A4921,'Base Prueba'!A:D,4,),"NO REGISTRA")</f>
        <v>APRENDIZ UNIVERSITARIO</v>
      </c>
      <c r="E4921" s="5" t="str">
        <f>IFERROR(VLOOKUP(A4921,'Base Prueba'!A:E,5,),"NO REGISTRA")</f>
        <v>OFICINA DE MERCADEO</v>
      </c>
    </row>
    <row r="4922" spans="1:5" ht="15.75" x14ac:dyDescent="0.25">
      <c r="A4922" s="14">
        <v>1014308296</v>
      </c>
      <c r="B4922" s="2">
        <v>46120.381086921298</v>
      </c>
      <c r="C4922" s="3" t="str">
        <f>IFERROR(VLOOKUP(A4922,'Base Prueba'!A:C,3,),"NO REGISTRA")</f>
        <v>DARLENE YULIANA MORENO CELEITA</v>
      </c>
      <c r="D4922" s="4" t="str">
        <f>IFERROR(VLOOKUP(A4922,'Base Prueba'!A:D,4,),"NO REGISTRA")</f>
        <v>CAJERO PRINCIPAL</v>
      </c>
      <c r="E4922" s="5" t="str">
        <f>IFERROR(VLOOKUP(A4922,'Base Prueba'!A:E,5,),"NO REGISTRA")</f>
        <v>AREA FINANCIERA Y CONTABLE</v>
      </c>
    </row>
    <row r="4923" spans="1:5" ht="15.75" x14ac:dyDescent="0.25">
      <c r="A4923" s="14">
        <v>28798349</v>
      </c>
      <c r="B4923" s="2">
        <v>46120.381899652777</v>
      </c>
      <c r="C4923" s="3" t="str">
        <f>IFERROR(VLOOKUP(A4923,'Base Prueba'!A:C,3,),"NO REGISTRA")</f>
        <v>MARTHA ISABEL TOVAR WILLIAMS</v>
      </c>
      <c r="D4923" s="4" t="str">
        <f>IFERROR(VLOOKUP(A4923,'Base Prueba'!A:D,4,),"NO REGISTRA")</f>
        <v>PROMOTOR CALL CENTER</v>
      </c>
      <c r="E4923" s="5" t="str">
        <f>IFERROR(VLOOKUP(A4923,'Base Prueba'!A:E,5,),"NO REGISTRA")</f>
        <v>OFICINA DE MERCADEO</v>
      </c>
    </row>
    <row r="4924" spans="1:5" ht="15.75" x14ac:dyDescent="0.25">
      <c r="A4924" s="14">
        <v>52443092</v>
      </c>
      <c r="B4924" s="2">
        <v>46120.538737268522</v>
      </c>
      <c r="C4924" s="3" t="str">
        <f>IFERROR(VLOOKUP(A4924,'Base Prueba'!A:C,3,),"NO REGISTRA")</f>
        <v>LUZ MYRIAM SAAVEDRA CONTRERAS</v>
      </c>
      <c r="D4924" s="4" t="str">
        <f>IFERROR(VLOOKUP(A4924,'Base Prueba'!A:D,4,),"NO REGISTRA")</f>
        <v>AUXILIAR DE SERVICIOS</v>
      </c>
      <c r="E4924" s="5" t="str">
        <f>IFERROR(VLOOKUP(A4924,'Base Prueba'!A:E,5,),"NO REGISTRA")</f>
        <v>LOGISTICA Y SERVICIOS GENERALES</v>
      </c>
    </row>
    <row r="4925" spans="1:5" ht="15.75" x14ac:dyDescent="0.25">
      <c r="A4925" s="14">
        <v>79872151</v>
      </c>
      <c r="B4925" s="2">
        <v>46120.703302199072</v>
      </c>
      <c r="C4925" s="3" t="str">
        <f>IFERROR(VLOOKUP(A4925,'Base Prueba'!A:C,3,),"NO REGISTRA")</f>
        <v>HECTOR ALIRIO MARTINEZ TORRES</v>
      </c>
      <c r="D4925" s="4" t="str">
        <f>IFERROR(VLOOKUP(A4925,'Base Prueba'!A:D,4,),"NO REGISTRA")</f>
        <v>DOCENTE DE TIEMPO COMPLETO</v>
      </c>
      <c r="E4925" s="5" t="str">
        <f>IFERROR(VLOOKUP(A4925,'Base Prueba'!A:E,5,),"NO REGISTRA")</f>
        <v>CIENCIAS DE LA INFORMACION Y BIBLIOTECOLOGIA</v>
      </c>
    </row>
    <row r="4926" spans="1:5" ht="15.75" x14ac:dyDescent="0.25">
      <c r="A4926" s="14">
        <v>1013098430</v>
      </c>
      <c r="B4926" s="2">
        <v>46120.721963657408</v>
      </c>
      <c r="C4926" s="3" t="str">
        <f>IFERROR(VLOOKUP(A4926,'Base Prueba'!A:C,3,),"NO REGISTRA")</f>
        <v>ANDRES FELIPE LOPEZ ROMERO</v>
      </c>
      <c r="D4926" s="4" t="str">
        <f>IFERROR(VLOOKUP(A4926,'Base Prueba'!A:D,4,),"NO REGISTRA")</f>
        <v>APRENDIZ UNIVERSITARIO</v>
      </c>
      <c r="E4926" s="5" t="str">
        <f>IFERROR(VLOOKUP(A4926,'Base Prueba'!A:E,5,),"NO REGISTRA")</f>
        <v>OFICINA DE MERCADEO</v>
      </c>
    </row>
    <row r="4927" spans="1:5" ht="15.75" x14ac:dyDescent="0.25">
      <c r="A4927" s="14">
        <v>1024512067</v>
      </c>
      <c r="B4927" s="2">
        <v>46120.723343171296</v>
      </c>
      <c r="C4927" s="3" t="str">
        <f>IFERROR(VLOOKUP(A4927,'Base Prueba'!A:C,3,),"NO REGISTRA")</f>
        <v>CINDY GIOVANA SALGAR GOMEZ</v>
      </c>
      <c r="D4927" s="4" t="str">
        <f>IFERROR(VLOOKUP(A4927,'Base Prueba'!A:D,4,),"NO REGISTRA")</f>
        <v>COORDINADOR DEL SISTEMA INTEGRADO DE GESTION INSTITUCIONAL - SIGI</v>
      </c>
      <c r="E4927" s="5" t="str">
        <f>IFERROR(VLOOKUP(A4927,'Base Prueba'!A:E,5,),"NO REGISTRA")</f>
        <v>OFICINA DE PLANEACION Y GESTION DE LA CALIDAD</v>
      </c>
    </row>
    <row r="4928" spans="1:5" ht="15.75" x14ac:dyDescent="0.25">
      <c r="A4928" s="14">
        <v>1010184333</v>
      </c>
      <c r="B4928" s="2">
        <v>46120.746623726853</v>
      </c>
      <c r="C4928" s="3" t="str">
        <f>IFERROR(VLOOKUP(A4928,'Base Prueba'!A:C,3,),"NO REGISTRA")</f>
        <v>AKON ANDRES GARZON ALVAREZ</v>
      </c>
      <c r="D4928" s="4" t="str">
        <f>IFERROR(VLOOKUP(A4928,'Base Prueba'!A:D,4,),"NO REGISTRA")</f>
        <v>APRENDIZ UNIVERSITARIO</v>
      </c>
      <c r="E4928" s="5" t="str">
        <f>IFERROR(VLOOKUP(A4928,'Base Prueba'!A:E,5,),"NO REGISTRA")</f>
        <v>SECRETARIA GENERAL</v>
      </c>
    </row>
    <row r="4929" spans="1:5" ht="15.75" x14ac:dyDescent="0.25">
      <c r="A4929" s="14">
        <v>1000467399</v>
      </c>
      <c r="B4929" s="2">
        <v>46120.752231134262</v>
      </c>
      <c r="C4929" s="3" t="str">
        <f>IFERROR(VLOOKUP(A4929,'Base Prueba'!A:C,3,),"NO REGISTRA")</f>
        <v>BRANDO ESTIVEN DIAZ QUIMBAYA</v>
      </c>
      <c r="D4929" s="4" t="str">
        <f>IFERROR(VLOOKUP(A4929,'Base Prueba'!A:D,4,),"NO REGISTRA")</f>
        <v>APRENDIZ UNIVERSITARIO</v>
      </c>
      <c r="E4929" s="5" t="str">
        <f>IFERROR(VLOOKUP(A4929,'Base Prueba'!A:E,5,),"NO REGISTRA")</f>
        <v>DEPARTAMENTO DE GESTION HUMANA</v>
      </c>
    </row>
    <row r="4930" spans="1:5" ht="15.75" x14ac:dyDescent="0.25">
      <c r="A4930" s="14">
        <v>1049644802</v>
      </c>
      <c r="B4930" s="2">
        <v>46120.755040046293</v>
      </c>
      <c r="C4930" s="3" t="str">
        <f>IFERROR(VLOOKUP(A4930,'Base Prueba'!A:C,3,),"NO REGISTRA")</f>
        <v>DANIELA ALEXANDRA CIPAMOCHA BOSIGA</v>
      </c>
      <c r="D4930" s="4" t="str">
        <f>IFERROR(VLOOKUP(A4930,'Base Prueba'!A:D,4,),"NO REGISTRA")</f>
        <v>LIDER DE DATOS Y SERVICIOS</v>
      </c>
      <c r="E4930" s="5" t="str">
        <f>IFERROR(VLOOKUP(A4930,'Base Prueba'!A:E,5,),"NO REGISTRA")</f>
        <v>OFICINA DE PLANEACION Y GESTION DE LA CALIDAD</v>
      </c>
    </row>
    <row r="4931" spans="1:5" ht="15.75" x14ac:dyDescent="0.25">
      <c r="A4931" s="14">
        <v>1193457976</v>
      </c>
      <c r="B4931" s="2">
        <v>46120.755369907405</v>
      </c>
      <c r="C4931" s="3" t="str">
        <f>IFERROR(VLOOKUP(A4931,'Base Prueba'!A:C,3,),"NO REGISTRA")</f>
        <v>SEDENIS RIVAS ASPRILLA</v>
      </c>
      <c r="D4931" s="4" t="str">
        <f>IFERROR(VLOOKUP(A4931,'Base Prueba'!A:D,4,),"NO REGISTRA")</f>
        <v>APRENDIZ UNIVERSITARIO</v>
      </c>
      <c r="E4931" s="5" t="str">
        <f>IFERROR(VLOOKUP(A4931,'Base Prueba'!A:E,5,),"NO REGISTRA")</f>
        <v>DEPARTAMENTO DE GESTION HUMANA</v>
      </c>
    </row>
    <row r="4932" spans="1:5" ht="15.75" x14ac:dyDescent="0.25">
      <c r="A4932" s="14">
        <v>1014308296</v>
      </c>
      <c r="B4932" s="2">
        <v>46120.758323495371</v>
      </c>
      <c r="C4932" s="3" t="str">
        <f>IFERROR(VLOOKUP(A4932,'Base Prueba'!A:C,3,),"NO REGISTRA")</f>
        <v>DARLENE YULIANA MORENO CELEITA</v>
      </c>
      <c r="D4932" s="4" t="str">
        <f>IFERROR(VLOOKUP(A4932,'Base Prueba'!A:D,4,),"NO REGISTRA")</f>
        <v>CAJERO PRINCIPAL</v>
      </c>
      <c r="E4932" s="5" t="str">
        <f>IFERROR(VLOOKUP(A4932,'Base Prueba'!A:E,5,),"NO REGISTRA")</f>
        <v>AREA FINANCIERA Y CONTABLE</v>
      </c>
    </row>
    <row r="4933" spans="1:5" ht="15.75" x14ac:dyDescent="0.25">
      <c r="A4933" s="14">
        <v>1023883232</v>
      </c>
      <c r="B4933" s="2">
        <v>46120.759245833331</v>
      </c>
      <c r="C4933" s="3" t="str">
        <f>IFERROR(VLOOKUP(A4933,'Base Prueba'!A:C,3,),"NO REGISTRA")</f>
        <v>MONICA ANDREA ACERO URBANO</v>
      </c>
      <c r="D4933" s="4" t="str">
        <f>IFERROR(VLOOKUP(A4933,'Base Prueba'!A:D,4,),"NO REGISTRA")</f>
        <v>APOYO INTEGRAL A GESTION HUMANA</v>
      </c>
      <c r="E4933" s="5" t="str">
        <f>IFERROR(VLOOKUP(A4933,'Base Prueba'!A:E,5,),"NO REGISTRA")</f>
        <v>DEPARTAMENTO DE GESTION HUMANA</v>
      </c>
    </row>
    <row r="4934" spans="1:5" ht="15.75" x14ac:dyDescent="0.25">
      <c r="A4934" s="14">
        <v>1087121273</v>
      </c>
      <c r="B4934" s="2">
        <v>46120.759357175928</v>
      </c>
      <c r="C4934" s="3" t="str">
        <f>IFERROR(VLOOKUP(A4934,'Base Prueba'!A:C,3,),"NO REGISTRA")</f>
        <v>MAYRA ALEJANDRA CASTILLO ARBOLEDA</v>
      </c>
      <c r="D4934" s="4" t="str">
        <f>IFERROR(VLOOKUP(A4934,'Base Prueba'!A:D,4,),"NO REGISTRA")</f>
        <v>APOYO INTEGRAL DE MERCADEO</v>
      </c>
      <c r="E4934" s="5" t="str">
        <f>IFERROR(VLOOKUP(A4934,'Base Prueba'!A:E,5,),"NO REGISTRA")</f>
        <v>CENTRO DE GESTION DOCUMENTAL</v>
      </c>
    </row>
    <row r="4935" spans="1:5" ht="15.75" x14ac:dyDescent="0.25">
      <c r="A4935" s="14">
        <v>1000604979</v>
      </c>
      <c r="B4935" s="2">
        <v>46120.759981597221</v>
      </c>
      <c r="C4935" s="3" t="str">
        <f>IFERROR(VLOOKUP(A4935,'Base Prueba'!A:C,3,),"NO REGISTRA")</f>
        <v>JULIETH TATIANA PARDO PINTO</v>
      </c>
      <c r="D4935" s="4" t="str">
        <f>IFERROR(VLOOKUP(A4935,'Base Prueba'!A:D,4,),"NO REGISTRA")</f>
        <v>AUXILIAR JURIDICO</v>
      </c>
      <c r="E4935" s="5" t="str">
        <f>IFERROR(VLOOKUP(A4935,'Base Prueba'!A:E,5,),"NO REGISTRA")</f>
        <v>SECRETARIA GENERAL</v>
      </c>
    </row>
    <row r="4936" spans="1:5" ht="15.75" x14ac:dyDescent="0.25">
      <c r="A4936" s="14">
        <v>1000593372</v>
      </c>
      <c r="B4936" s="2">
        <v>46120.760004976852</v>
      </c>
      <c r="C4936" s="3" t="str">
        <f>IFERROR(VLOOKUP(A4936,'Base Prueba'!A:C,3,),"NO REGISTRA")</f>
        <v>LAURA SOFIA CHAPARRO LOPEZ</v>
      </c>
      <c r="D4936" s="4" t="str">
        <f>IFERROR(VLOOKUP(A4936,'Base Prueba'!A:D,4,),"NO REGISTRA")</f>
        <v>AUXILIAR JURIDICO</v>
      </c>
      <c r="E4936" s="5" t="str">
        <f>IFERROR(VLOOKUP(A4936,'Base Prueba'!A:E,5,),"NO REGISTRA")</f>
        <v>SECRETARIA GENERAL</v>
      </c>
    </row>
    <row r="4937" spans="1:5" ht="15.75" x14ac:dyDescent="0.25">
      <c r="A4937" s="14">
        <v>1014266838</v>
      </c>
      <c r="B4937" s="2">
        <v>46120.763065740743</v>
      </c>
      <c r="C4937" s="3" t="str">
        <f>IFERROR(VLOOKUP(A4937,'Base Prueba'!A:C,3,),"NO REGISTRA")</f>
        <v>JENNIFER ASTRID ROMERO HURTADO</v>
      </c>
      <c r="D4937" s="4" t="str">
        <f>IFERROR(VLOOKUP(A4937,'Base Prueba'!A:D,4,),"NO REGISTRA")</f>
        <v>LIDER DE RECAUDO</v>
      </c>
      <c r="E4937" s="5" t="str">
        <f>IFERROR(VLOOKUP(A4937,'Base Prueba'!A:E,5,),"NO REGISTRA")</f>
        <v>AREA FINANCIERA Y CONTABLE</v>
      </c>
    </row>
    <row r="4938" spans="1:5" ht="15.75" x14ac:dyDescent="0.25">
      <c r="A4938" s="14">
        <v>1032469638</v>
      </c>
      <c r="B4938" s="2">
        <v>46120.763118634262</v>
      </c>
      <c r="C4938" s="3" t="str">
        <f>IFERROR(VLOOKUP(A4938,'Base Prueba'!A:C,3,),"NO REGISTRA")</f>
        <v>MAICOL JARBEY GUALTEROS CASTAÑEDA</v>
      </c>
      <c r="D4938" s="4" t="str">
        <f>IFERROR(VLOOKUP(A4938,'Base Prueba'!A:D,4,),"NO REGISTRA")</f>
        <v>COORDINADOR DEL SISTEMA INTERNO DE ASEGURAMIENTO DE LA CALIDAD - SIAC</v>
      </c>
      <c r="E4938" s="5" t="str">
        <f>IFERROR(VLOOKUP(A4938,'Base Prueba'!A:E,5,),"NO REGISTRA")</f>
        <v>OFICINA DE PLANEACION Y GESTION DE LA CALIDAD</v>
      </c>
    </row>
    <row r="4939" spans="1:5" ht="15.75" x14ac:dyDescent="0.25">
      <c r="A4939" s="14">
        <v>53932358</v>
      </c>
      <c r="B4939" s="2">
        <v>46120.764084490744</v>
      </c>
      <c r="C4939" s="3" t="str">
        <f>IFERROR(VLOOKUP(A4939,'Base Prueba'!A:C,3,),"NO REGISTRA")</f>
        <v>DIANA MADELEYNE GAONA RODRIGUEZ</v>
      </c>
      <c r="D4939" s="4" t="str">
        <f>IFERROR(VLOOKUP(A4939,'Base Prueba'!A:D,4,),"NO REGISTRA")</f>
        <v>CONTADOR</v>
      </c>
      <c r="E4939" s="5" t="str">
        <f>IFERROR(VLOOKUP(A4939,'Base Prueba'!A:E,5,),"NO REGISTRA")</f>
        <v>AREA FINANCIERA Y CONTABLE</v>
      </c>
    </row>
    <row r="4940" spans="1:5" ht="15.75" x14ac:dyDescent="0.25">
      <c r="A4940" s="14">
        <v>1014977624</v>
      </c>
      <c r="B4940" s="2">
        <v>46120.764353935185</v>
      </c>
      <c r="C4940" s="3" t="str">
        <f>IFERROR(VLOOKUP(A4940,'Base Prueba'!A:C,3,),"NO REGISTRA")</f>
        <v>NICCOLE VALENTINA HERNANDEZ MALAVER</v>
      </c>
      <c r="D4940" s="4" t="str">
        <f>IFERROR(VLOOKUP(A4940,'Base Prueba'!A:D,4,),"NO REGISTRA")</f>
        <v>APRENDIZ UNIVERSITARIO</v>
      </c>
      <c r="E4940" s="5" t="str">
        <f>IFERROR(VLOOKUP(A4940,'Base Prueba'!A:E,5,),"NO REGISTRA")</f>
        <v>AREA FINANCIERA Y CONTABLE</v>
      </c>
    </row>
    <row r="4941" spans="1:5" ht="15.75" x14ac:dyDescent="0.25">
      <c r="A4941" s="14">
        <v>1000457706</v>
      </c>
      <c r="B4941" s="2">
        <v>46120.764436921294</v>
      </c>
      <c r="C4941" s="3" t="str">
        <f>IFERROR(VLOOKUP(A4941,'Base Prueba'!A:C,3,),"NO REGISTRA")</f>
        <v>CRISTIAN DANILO ARROYO SANABRIA</v>
      </c>
      <c r="D4941" s="4" t="str">
        <f>IFERROR(VLOOKUP(A4941,'Base Prueba'!A:D,4,),"NO REGISTRA")</f>
        <v>AUXILIAR CONTABLE</v>
      </c>
      <c r="E4941" s="5" t="str">
        <f>IFERROR(VLOOKUP(A4941,'Base Prueba'!A:E,5,),"NO REGISTRA")</f>
        <v>AREA FINANCIERA Y CONTABLE</v>
      </c>
    </row>
    <row r="4942" spans="1:5" ht="15.75" x14ac:dyDescent="0.25">
      <c r="A4942" s="14">
        <v>1000257136</v>
      </c>
      <c r="B4942" s="2">
        <v>46120.764449768518</v>
      </c>
      <c r="C4942" s="3" t="str">
        <f>IFERROR(VLOOKUP(A4942,'Base Prueba'!A:C,3,),"NO REGISTRA")</f>
        <v>FRANCI VALENTINA CANO PUENTES</v>
      </c>
      <c r="D4942" s="4" t="str">
        <f>IFERROR(VLOOKUP(A4942,'Base Prueba'!A:D,4,),"NO REGISTRA")</f>
        <v>AUXILIAR CONTABLE</v>
      </c>
      <c r="E4942" s="5" t="str">
        <f>IFERROR(VLOOKUP(A4942,'Base Prueba'!A:E,5,),"NO REGISTRA")</f>
        <v>AREA FINANCIERA Y CONTABLE</v>
      </c>
    </row>
    <row r="4943" spans="1:5" ht="15.75" x14ac:dyDescent="0.25">
      <c r="A4943" s="14">
        <v>1022996882</v>
      </c>
      <c r="B4943" s="2">
        <v>46120.772070023151</v>
      </c>
      <c r="C4943" s="3" t="str">
        <f>IFERROR(VLOOKUP(A4943,'Base Prueba'!A:C,3,),"NO REGISTRA")</f>
        <v>NANCY BRIGITH ALDANA GUEVARA</v>
      </c>
      <c r="D4943" s="4" t="str">
        <f>IFERROR(VLOOKUP(A4943,'Base Prueba'!A:D,4,),"NO REGISTRA")</f>
        <v>COORDINADORA DE GESTIÓN HUMANA</v>
      </c>
      <c r="E4943" s="5" t="str">
        <f>IFERROR(VLOOKUP(A4943,'Base Prueba'!A:E,5,),"NO REGISTRA")</f>
        <v>DEPARTAMENTO DE GESTION HUMANA</v>
      </c>
    </row>
    <row r="4944" spans="1:5" ht="15.75" x14ac:dyDescent="0.25">
      <c r="A4944" s="14">
        <v>1000324729</v>
      </c>
      <c r="B4944" s="2">
        <v>46120.772284143517</v>
      </c>
      <c r="C4944" s="3" t="str">
        <f>IFERROR(VLOOKUP(A4944,'Base Prueba'!A:C,3,),"NO REGISTRA")</f>
        <v>ANYIE VANESSA TINOCO CAMACHO</v>
      </c>
      <c r="D4944" s="4" t="str">
        <f>IFERROR(VLOOKUP(A4944,'Base Prueba'!A:D,4,),"NO REGISTRA")</f>
        <v>LIDER DE REGISTRO Y CONTROL</v>
      </c>
      <c r="E4944" s="5" t="str">
        <f>IFERROR(VLOOKUP(A4944,'Base Prueba'!A:E,5,),"NO REGISTRA")</f>
        <v>REGISTRO Y CONTROL ACADEMICO</v>
      </c>
    </row>
    <row r="4945" spans="1:5" ht="15.75" x14ac:dyDescent="0.25">
      <c r="A4945" s="14">
        <v>1033820146</v>
      </c>
      <c r="B4945" s="2">
        <v>46120.772433217593</v>
      </c>
      <c r="C4945" s="3" t="str">
        <f>IFERROR(VLOOKUP(A4945,'Base Prueba'!A:C,3,),"NO REGISTRA")</f>
        <v>JULIETH ALEXANDRA BUSTAMANTE RUIZ</v>
      </c>
      <c r="D4945" s="4" t="str">
        <f>IFERROR(VLOOKUP(A4945,'Base Prueba'!A:D,4,),"NO REGISTRA")</f>
        <v>AUXILIAR ADMINISTRATIVO</v>
      </c>
      <c r="E4945" s="5" t="str">
        <f>IFERROR(VLOOKUP(A4945,'Base Prueba'!A:E,5,),"NO REGISTRA")</f>
        <v>REGISTRO Y CONTROL ACADEMICO</v>
      </c>
    </row>
    <row r="4946" spans="1:5" ht="15.75" x14ac:dyDescent="0.25">
      <c r="A4946" s="14">
        <v>1013616244</v>
      </c>
      <c r="B4946" s="2">
        <v>46120.773263773146</v>
      </c>
      <c r="C4946" s="3" t="str">
        <f>IFERROR(VLOOKUP(A4946,'Base Prueba'!A:C,3,),"NO REGISTRA")</f>
        <v>DIANA CAROLINA MARIN BETANCOURT</v>
      </c>
      <c r="D4946" s="4" t="str">
        <f>IFERROR(VLOOKUP(A4946,'Base Prueba'!A:D,4,),"NO REGISTRA")</f>
        <v>AUXILIAR ADMINISTRATIVO</v>
      </c>
      <c r="E4946" s="5" t="str">
        <f>IFERROR(VLOOKUP(A4946,'Base Prueba'!A:E,5,),"NO REGISTRA")</f>
        <v>REGISTRO Y CONTROL ACADEMICO</v>
      </c>
    </row>
    <row r="4947" spans="1:5" ht="15.75" x14ac:dyDescent="0.25">
      <c r="A4947" s="14">
        <v>80191732</v>
      </c>
      <c r="B4947" s="2">
        <v>46120.773438310185</v>
      </c>
      <c r="C4947" s="3" t="str">
        <f>IFERROR(VLOOKUP(A4947,'Base Prueba'!A:C,3,),"NO REGISTRA")</f>
        <v>DANIEL MAURICIO ZAMBRANO TUNJANO</v>
      </c>
      <c r="D4947" s="4" t="str">
        <f>IFERROR(VLOOKUP(A4947,'Base Prueba'!A:D,4,),"NO REGISTRA")</f>
        <v>COORDINADOR DE DISEÑO E IMAGEN INSTITUCIONAL</v>
      </c>
      <c r="E4947" s="5" t="str">
        <f>IFERROR(VLOOKUP(A4947,'Base Prueba'!A:E,5,),"NO REGISTRA")</f>
        <v>OFICINA DE MERCADEO</v>
      </c>
    </row>
    <row r="4948" spans="1:5" ht="15.75" x14ac:dyDescent="0.25">
      <c r="A4948" s="14">
        <v>52472386</v>
      </c>
      <c r="B4948" s="2">
        <v>46120.773662615742</v>
      </c>
      <c r="C4948" s="3" t="str">
        <f>IFERROR(VLOOKUP(A4948,'Base Prueba'!A:C,3,),"NO REGISTRA")</f>
        <v>ADRIANA MARCELA MORALES PARDO</v>
      </c>
      <c r="D4948" s="4" t="str">
        <f>IFERROR(VLOOKUP(A4948,'Base Prueba'!A:D,4,),"NO REGISTRA")</f>
        <v>PROMOTOR CALL CENTER</v>
      </c>
      <c r="E4948" s="5" t="str">
        <f>IFERROR(VLOOKUP(A4948,'Base Prueba'!A:E,5,),"NO REGISTRA")</f>
        <v>OFICINA DE MERCADEO</v>
      </c>
    </row>
    <row r="4949" spans="1:5" ht="15.75" x14ac:dyDescent="0.25">
      <c r="A4949" s="14">
        <v>1013101788</v>
      </c>
      <c r="B4949" s="2">
        <v>46120.774439699075</v>
      </c>
      <c r="C4949" s="3" t="str">
        <f>IFERROR(VLOOKUP(A4949,'Base Prueba'!A:C,3,),"NO REGISTRA")</f>
        <v>SARA TANGARIFE MONTOYA</v>
      </c>
      <c r="D4949" s="4" t="str">
        <f>IFERROR(VLOOKUP(A4949,'Base Prueba'!A:D,4,),"NO REGISTRA")</f>
        <v>APRENDIZ UNIVERSITARIO</v>
      </c>
      <c r="E4949" s="5" t="str">
        <f>IFERROR(VLOOKUP(A4949,'Base Prueba'!A:E,5,),"NO REGISTRA")</f>
        <v>OFICINA DE MERCADEO</v>
      </c>
    </row>
    <row r="4950" spans="1:5" ht="15.75" x14ac:dyDescent="0.25">
      <c r="A4950" s="14">
        <v>1033709056</v>
      </c>
      <c r="B4950" s="2">
        <v>46120.77640613426</v>
      </c>
      <c r="C4950" s="3" t="str">
        <f>IFERROR(VLOOKUP(A4950,'Base Prueba'!A:C,3,),"NO REGISTRA")</f>
        <v>YEIMY ALEXANDRA RODRIGUEZ PALACIO</v>
      </c>
      <c r="D4950" s="4" t="str">
        <f>IFERROR(VLOOKUP(A4950,'Base Prueba'!A:D,4,),"NO REGISTRA")</f>
        <v>PROMOTOR CALL CENTER</v>
      </c>
      <c r="E4950" s="5" t="str">
        <f>IFERROR(VLOOKUP(A4950,'Base Prueba'!A:E,5,),"NO REGISTRA")</f>
        <v>OFICINA DE MERCADEO</v>
      </c>
    </row>
    <row r="4951" spans="1:5" ht="15.75" x14ac:dyDescent="0.25">
      <c r="A4951" s="14">
        <v>1019105003</v>
      </c>
      <c r="B4951" s="2">
        <v>46120.777555787034</v>
      </c>
      <c r="C4951" s="3" t="str">
        <f>IFERROR(VLOOKUP(A4951,'Base Prueba'!A:C,3,),"NO REGISTRA")</f>
        <v>DAISY JULIETH GASPAR MORENO</v>
      </c>
      <c r="D4951" s="4" t="str">
        <f>IFERROR(VLOOKUP(A4951,'Base Prueba'!A:D,4,),"NO REGISTRA")</f>
        <v>PROMOTOR CALL CENTER</v>
      </c>
      <c r="E4951" s="5" t="str">
        <f>IFERROR(VLOOKUP(A4951,'Base Prueba'!A:E,5,),"NO REGISTRA")</f>
        <v>OFICINA DE MERCADEO</v>
      </c>
    </row>
    <row r="4952" spans="1:5" ht="15.75" x14ac:dyDescent="0.25">
      <c r="A4952" s="14">
        <v>1018413529</v>
      </c>
      <c r="B4952" s="2">
        <v>46120.782138541668</v>
      </c>
      <c r="C4952" s="3" t="str">
        <f>IFERROR(VLOOKUP(A4952,'Base Prueba'!A:C,3,),"NO REGISTRA")</f>
        <v>FRANCY STELLA CHARRY MORENO</v>
      </c>
      <c r="D4952" s="4" t="str">
        <f>IFERROR(VLOOKUP(A4952,'Base Prueba'!A:D,4,),"NO REGISTRA")</f>
        <v>PROMOTOR COMERCIAL DEL CEA</v>
      </c>
      <c r="E4952" s="5" t="str">
        <f>IFERROR(VLOOKUP(A4952,'Base Prueba'!A:E,5,),"NO REGISTRA")</f>
        <v>OFICINA DE MERCADEO</v>
      </c>
    </row>
    <row r="4953" spans="1:5" ht="15.75" x14ac:dyDescent="0.25">
      <c r="A4953" s="14">
        <v>53089882</v>
      </c>
      <c r="B4953" s="2">
        <v>46120.78217604167</v>
      </c>
      <c r="C4953" s="3" t="str">
        <f>IFERROR(VLOOKUP(A4953,'Base Prueba'!A:C,3,),"NO REGISTRA")</f>
        <v>MARIA JOHANA ESCAMILLA MARTINEZ</v>
      </c>
      <c r="D4953" s="4" t="str">
        <f>IFERROR(VLOOKUP(A4953,'Base Prueba'!A:D,4,),"NO REGISTRA")</f>
        <v>PROMOTOR DE INFORMACIÓN</v>
      </c>
      <c r="E4953" s="5" t="str">
        <f>IFERROR(VLOOKUP(A4953,'Base Prueba'!A:E,5,),"NO REGISTRA")</f>
        <v>OFICINA DE MERCADEO</v>
      </c>
    </row>
    <row r="4954" spans="1:5" ht="15.75" x14ac:dyDescent="0.25">
      <c r="A4954" s="14">
        <v>1018414290</v>
      </c>
      <c r="B4954" s="2">
        <v>46120.783123611109</v>
      </c>
      <c r="C4954" s="3" t="str">
        <f>IFERROR(VLOOKUP(A4954,'Base Prueba'!A:C,3,),"NO REGISTRA")</f>
        <v>AMANDA LISBETH RODRIGUEZ LEON</v>
      </c>
      <c r="D4954" s="4" t="str">
        <f>IFERROR(VLOOKUP(A4954,'Base Prueba'!A:D,4,),"NO REGISTRA")</f>
        <v>PROMOTOR CALL CENTER</v>
      </c>
      <c r="E4954" s="5" t="str">
        <f>IFERROR(VLOOKUP(A4954,'Base Prueba'!A:E,5,),"NO REGISTRA")</f>
        <v>OFICINA DE MERCADEO</v>
      </c>
    </row>
    <row r="4955" spans="1:5" ht="15.75" x14ac:dyDescent="0.25">
      <c r="A4955" s="14">
        <v>1000046533</v>
      </c>
      <c r="B4955" s="2">
        <v>46120.783272685185</v>
      </c>
      <c r="C4955" s="3" t="str">
        <f>IFERROR(VLOOKUP(A4955,'Base Prueba'!A:C,3,),"NO REGISTRA")</f>
        <v>ERIKA JULIETH VALDERRAMA SANCHEZ</v>
      </c>
      <c r="D4955" s="4" t="str">
        <f>IFERROR(VLOOKUP(A4955,'Base Prueba'!A:D,4,),"NO REGISTRA")</f>
        <v>PROMOTOR CALL CENTER</v>
      </c>
      <c r="E4955" s="5" t="str">
        <f>IFERROR(VLOOKUP(A4955,'Base Prueba'!A:E,5,),"NO REGISTRA")</f>
        <v>OFICINA DE MERCADEO</v>
      </c>
    </row>
    <row r="4956" spans="1:5" ht="15.75" x14ac:dyDescent="0.25">
      <c r="A4956" s="14">
        <v>1032407386</v>
      </c>
      <c r="B4956" s="2">
        <v>46120.783286921294</v>
      </c>
      <c r="C4956" s="3" t="str">
        <f>IFERROR(VLOOKUP(A4956,'Base Prueba'!A:C,3,),"NO REGISTRA")</f>
        <v>GINA PAOLA BAEZ GALVIS</v>
      </c>
      <c r="D4956" s="4" t="str">
        <f>IFERROR(VLOOKUP(A4956,'Base Prueba'!A:D,4,),"NO REGISTRA")</f>
        <v>PROMOTOR CALL CENTER</v>
      </c>
      <c r="E4956" s="5" t="str">
        <f>IFERROR(VLOOKUP(A4956,'Base Prueba'!A:E,5,),"NO REGISTRA")</f>
        <v>OFICINA DE MERCADEO</v>
      </c>
    </row>
    <row r="4957" spans="1:5" ht="15.75" x14ac:dyDescent="0.25">
      <c r="A4957" s="14">
        <v>28798349</v>
      </c>
      <c r="B4957" s="2">
        <v>46120.786737268521</v>
      </c>
      <c r="C4957" s="3" t="str">
        <f>IFERROR(VLOOKUP(A4957,'Base Prueba'!A:C,3,),"NO REGISTRA")</f>
        <v>MARTHA ISABEL TOVAR WILLIAMS</v>
      </c>
      <c r="D4957" s="4" t="str">
        <f>IFERROR(VLOOKUP(A4957,'Base Prueba'!A:D,4,),"NO REGISTRA")</f>
        <v>PROMOTOR CALL CENTER</v>
      </c>
      <c r="E4957" s="5" t="str">
        <f>IFERROR(VLOOKUP(A4957,'Base Prueba'!A:E,5,),"NO REGISTRA")</f>
        <v>OFICINA DE MERCADEO</v>
      </c>
    </row>
    <row r="4958" spans="1:5" ht="15.75" x14ac:dyDescent="0.25">
      <c r="A4958" s="14">
        <v>1023961952</v>
      </c>
      <c r="B4958" s="2">
        <v>46120.787046527781</v>
      </c>
      <c r="C4958" s="3" t="str">
        <f>IFERROR(VLOOKUP(A4958,'Base Prueba'!A:C,3,),"NO REGISTRA")</f>
        <v>ALEJANDRO PINZON MERCHAN</v>
      </c>
      <c r="D4958" s="4" t="str">
        <f>IFERROR(VLOOKUP(A4958,'Base Prueba'!A:D,4,),"NO REGISTRA")</f>
        <v>PROMOTOR CALL CENTER</v>
      </c>
      <c r="E4958" s="5" t="str">
        <f>IFERROR(VLOOKUP(A4958,'Base Prueba'!A:E,5,),"NO REGISTRA")</f>
        <v>OFICINA DE MERCADEO</v>
      </c>
    </row>
    <row r="4959" spans="1:5" ht="15.75" x14ac:dyDescent="0.25">
      <c r="A4959" s="14">
        <v>80234243</v>
      </c>
      <c r="B4959" s="2">
        <v>46120.791804745371</v>
      </c>
      <c r="C4959" s="3" t="str">
        <f>IFERROR(VLOOKUP(A4959,'Base Prueba'!A:C,3,),"NO REGISTRA")</f>
        <v>ARGENIS MARTINEZ MARTINEZ</v>
      </c>
      <c r="D4959" s="4" t="str">
        <f>IFERROR(VLOOKUP(A4959,'Base Prueba'!A:D,4,),"NO REGISTRA")</f>
        <v>LIDER CALL CENTER</v>
      </c>
      <c r="E4959" s="5" t="str">
        <f>IFERROR(VLOOKUP(A4959,'Base Prueba'!A:E,5,),"NO REGISTRA")</f>
        <v>OFICINA DE MERCADEO</v>
      </c>
    </row>
    <row r="4960" spans="1:5" ht="15.75" x14ac:dyDescent="0.25">
      <c r="A4960" s="14">
        <v>52175674</v>
      </c>
      <c r="B4960" s="2">
        <v>46120.799370370369</v>
      </c>
      <c r="C4960" s="3" t="str">
        <f>IFERROR(VLOOKUP(A4960,'Base Prueba'!A:C,3,),"NO REGISTRA")</f>
        <v>LUZ YANETH GOMEZ AREVALO</v>
      </c>
      <c r="D4960" s="4" t="str">
        <f>IFERROR(VLOOKUP(A4960,'Base Prueba'!A:D,4,),"NO REGISTRA")</f>
        <v>COORDINADORA DE ADMISIONES</v>
      </c>
      <c r="E4960" s="5" t="str">
        <f>IFERROR(VLOOKUP(A4960,'Base Prueba'!A:E,5,),"NO REGISTRA")</f>
        <v>OFICINA DE MERCADEO</v>
      </c>
    </row>
    <row r="4961" spans="1:5" ht="15.75" x14ac:dyDescent="0.25">
      <c r="A4961" s="14">
        <v>52474489</v>
      </c>
      <c r="B4961" s="2">
        <v>46120.801177893518</v>
      </c>
      <c r="C4961" s="3" t="str">
        <f>IFERROR(VLOOKUP(A4961,'Base Prueba'!A:C,3,),"NO REGISTRA")</f>
        <v>ADRIANA JIMENA SOTO BOCANEGRA</v>
      </c>
      <c r="D4961" s="4" t="str">
        <f>IFERROR(VLOOKUP(A4961,'Base Prueba'!A:D,4,),"NO REGISTRA")</f>
        <v>COORDINADOR DE LA OFICINA DE REGISTRO Y CONTROL</v>
      </c>
      <c r="E4961" s="5" t="str">
        <f>IFERROR(VLOOKUP(A4961,'Base Prueba'!A:E,5,),"NO REGISTRA")</f>
        <v>REGISTRO Y CONTROL ACADEMICO</v>
      </c>
    </row>
    <row r="4962" spans="1:5" ht="15.75" x14ac:dyDescent="0.25">
      <c r="A4962" s="14">
        <v>1014196857</v>
      </c>
      <c r="B4962" s="2">
        <v>46120.807028703704</v>
      </c>
      <c r="C4962" s="3" t="str">
        <f>IFERROR(VLOOKUP(A4962,'Base Prueba'!A:C,3,),"NO REGISTRA")</f>
        <v>CARLOS ANDRES JIMENEZ PARDO</v>
      </c>
      <c r="D4962" s="4" t="str">
        <f>IFERROR(VLOOKUP(A4962,'Base Prueba'!A:D,4,),"NO REGISTRA")</f>
        <v>COORDINADOR DE MARKETING DIGITAL</v>
      </c>
      <c r="E4962" s="5" t="str">
        <f>IFERROR(VLOOKUP(A4962,'Base Prueba'!A:E,5,),"NO REGISTRA")</f>
        <v>OFICINA DE MERCADEO</v>
      </c>
    </row>
    <row r="4963" spans="1:5" ht="15.75" x14ac:dyDescent="0.25">
      <c r="A4963" s="14">
        <v>1087121273</v>
      </c>
      <c r="B4963" s="2">
        <v>46121.304634837965</v>
      </c>
      <c r="C4963" s="3" t="str">
        <f>IFERROR(VLOOKUP(A4963,'Base Prueba'!A:C,3,),"NO REGISTRA")</f>
        <v>MAYRA ALEJANDRA CASTILLO ARBOLEDA</v>
      </c>
      <c r="D4963" s="4" t="str">
        <f>IFERROR(VLOOKUP(A4963,'Base Prueba'!A:D,4,),"NO REGISTRA")</f>
        <v>APOYO INTEGRAL DE MERCADEO</v>
      </c>
      <c r="E4963" s="5" t="str">
        <f>IFERROR(VLOOKUP(A4963,'Base Prueba'!A:E,5,),"NO REGISTRA")</f>
        <v>CENTRO DE GESTION DOCUMENTAL</v>
      </c>
    </row>
    <row r="4964" spans="1:5" ht="15.75" x14ac:dyDescent="0.25">
      <c r="A4964" s="14">
        <v>1024512067</v>
      </c>
      <c r="B4964" s="2">
        <v>46121.31453703704</v>
      </c>
      <c r="C4964" s="3" t="str">
        <f>IFERROR(VLOOKUP(A4964,'Base Prueba'!A:C,3,),"NO REGISTRA")</f>
        <v>CINDY GIOVANA SALGAR GOMEZ</v>
      </c>
      <c r="D4964" s="4" t="str">
        <f>IFERROR(VLOOKUP(A4964,'Base Prueba'!A:D,4,),"NO REGISTRA")</f>
        <v>COORDINADOR DEL SISTEMA INTEGRADO DE GESTION INSTITUCIONAL - SIGI</v>
      </c>
      <c r="E4964" s="5" t="str">
        <f>IFERROR(VLOOKUP(A4964,'Base Prueba'!A:E,5,),"NO REGISTRA")</f>
        <v>OFICINA DE PLANEACION Y GESTION DE LA CALIDAD</v>
      </c>
    </row>
    <row r="4965" spans="1:5" ht="15.75" x14ac:dyDescent="0.25">
      <c r="A4965" s="14">
        <v>1000324729</v>
      </c>
      <c r="B4965" s="2">
        <v>46121.320383796294</v>
      </c>
      <c r="C4965" s="3" t="str">
        <f>IFERROR(VLOOKUP(A4965,'Base Prueba'!A:C,3,),"NO REGISTRA")</f>
        <v>ANYIE VANESSA TINOCO CAMACHO</v>
      </c>
      <c r="D4965" s="4" t="str">
        <f>IFERROR(VLOOKUP(A4965,'Base Prueba'!A:D,4,),"NO REGISTRA")</f>
        <v>LIDER DE REGISTRO Y CONTROL</v>
      </c>
      <c r="E4965" s="5" t="str">
        <f>IFERROR(VLOOKUP(A4965,'Base Prueba'!A:E,5,),"NO REGISTRA")</f>
        <v>REGISTRO Y CONTROL ACADEMICO</v>
      </c>
    </row>
    <row r="4966" spans="1:5" ht="15.75" x14ac:dyDescent="0.25">
      <c r="A4966" s="14">
        <v>1000257136</v>
      </c>
      <c r="B4966" s="2">
        <v>46121.322691319445</v>
      </c>
      <c r="C4966" s="3" t="str">
        <f>IFERROR(VLOOKUP(A4966,'Base Prueba'!A:C,3,),"NO REGISTRA")</f>
        <v>FRANCI VALENTINA CANO PUENTES</v>
      </c>
      <c r="D4966" s="4" t="str">
        <f>IFERROR(VLOOKUP(A4966,'Base Prueba'!A:D,4,),"NO REGISTRA")</f>
        <v>AUXILIAR CONTABLE</v>
      </c>
      <c r="E4966" s="5" t="str">
        <f>IFERROR(VLOOKUP(A4966,'Base Prueba'!A:E,5,),"NO REGISTRA")</f>
        <v>AREA FINANCIERA Y CONTABLE</v>
      </c>
    </row>
    <row r="4967" spans="1:5" ht="15.75" x14ac:dyDescent="0.25">
      <c r="A4967" s="14">
        <v>1013616244</v>
      </c>
      <c r="B4967" s="2">
        <v>46121.324828703706</v>
      </c>
      <c r="C4967" s="3" t="str">
        <f>IFERROR(VLOOKUP(A4967,'Base Prueba'!A:C,3,),"NO REGISTRA")</f>
        <v>DIANA CAROLINA MARIN BETANCOURT</v>
      </c>
      <c r="D4967" s="4" t="str">
        <f>IFERROR(VLOOKUP(A4967,'Base Prueba'!A:D,4,),"NO REGISTRA")</f>
        <v>AUXILIAR ADMINISTRATIVO</v>
      </c>
      <c r="E4967" s="5" t="str">
        <f>IFERROR(VLOOKUP(A4967,'Base Prueba'!A:E,5,),"NO REGISTRA")</f>
        <v>REGISTRO Y CONTROL ACADEMICO</v>
      </c>
    </row>
    <row r="4968" spans="1:5" ht="15.75" x14ac:dyDescent="0.25">
      <c r="A4968" s="14">
        <v>1033820146</v>
      </c>
      <c r="B4968" s="2">
        <v>46121.324889467593</v>
      </c>
      <c r="C4968" s="3" t="str">
        <f>IFERROR(VLOOKUP(A4968,'Base Prueba'!A:C,3,),"NO REGISTRA")</f>
        <v>JULIETH ALEXANDRA BUSTAMANTE RUIZ</v>
      </c>
      <c r="D4968" s="4" t="str">
        <f>IFERROR(VLOOKUP(A4968,'Base Prueba'!A:D,4,),"NO REGISTRA")</f>
        <v>AUXILIAR ADMINISTRATIVO</v>
      </c>
      <c r="E4968" s="5" t="str">
        <f>IFERROR(VLOOKUP(A4968,'Base Prueba'!A:E,5,),"NO REGISTRA")</f>
        <v>REGISTRO Y CONTROL ACADEMICO</v>
      </c>
    </row>
    <row r="4969" spans="1:5" ht="15.75" x14ac:dyDescent="0.25">
      <c r="A4969" s="14">
        <v>1010184333</v>
      </c>
      <c r="B4969" s="2">
        <v>46121.326619791667</v>
      </c>
      <c r="C4969" s="3" t="str">
        <f>IFERROR(VLOOKUP(A4969,'Base Prueba'!A:C,3,),"NO REGISTRA")</f>
        <v>AKON ANDRES GARZON ALVAREZ</v>
      </c>
      <c r="D4969" s="4" t="str">
        <f>IFERROR(VLOOKUP(A4969,'Base Prueba'!A:D,4,),"NO REGISTRA")</f>
        <v>APRENDIZ UNIVERSITARIO</v>
      </c>
      <c r="E4969" s="5" t="str">
        <f>IFERROR(VLOOKUP(A4969,'Base Prueba'!A:E,5,),"NO REGISTRA")</f>
        <v>SECRETARIA GENERAL</v>
      </c>
    </row>
    <row r="4970" spans="1:5" ht="15.75" x14ac:dyDescent="0.25">
      <c r="A4970" s="14">
        <v>1013098430</v>
      </c>
      <c r="B4970" s="2">
        <v>46121.3308869213</v>
      </c>
      <c r="C4970" s="3" t="str">
        <f>IFERROR(VLOOKUP(A4970,'Base Prueba'!A:C,3,),"NO REGISTRA")</f>
        <v>ANDRES FELIPE LOPEZ ROMERO</v>
      </c>
      <c r="D4970" s="4" t="str">
        <f>IFERROR(VLOOKUP(A4970,'Base Prueba'!A:D,4,),"NO REGISTRA")</f>
        <v>APRENDIZ UNIVERSITARIO</v>
      </c>
      <c r="E4970" s="5" t="str">
        <f>IFERROR(VLOOKUP(A4970,'Base Prueba'!A:E,5,),"NO REGISTRA")</f>
        <v>OFICINA DE MERCADEO</v>
      </c>
    </row>
    <row r="4971" spans="1:5" ht="15.75" x14ac:dyDescent="0.25">
      <c r="A4971" s="14">
        <v>80191732</v>
      </c>
      <c r="B4971" s="2">
        <v>46121.333391087966</v>
      </c>
      <c r="C4971" s="3" t="str">
        <f>IFERROR(VLOOKUP(A4971,'Base Prueba'!A:C,3,),"NO REGISTRA")</f>
        <v>DANIEL MAURICIO ZAMBRANO TUNJANO</v>
      </c>
      <c r="D4971" s="4" t="str">
        <f>IFERROR(VLOOKUP(A4971,'Base Prueba'!A:D,4,),"NO REGISTRA")</f>
        <v>COORDINADOR DE DISEÑO E IMAGEN INSTITUCIONAL</v>
      </c>
      <c r="E4971" s="5" t="str">
        <f>IFERROR(VLOOKUP(A4971,'Base Prueba'!A:E,5,),"NO REGISTRA")</f>
        <v>OFICINA DE MERCADEO</v>
      </c>
    </row>
    <row r="4972" spans="1:5" ht="15.75" x14ac:dyDescent="0.25">
      <c r="A4972" s="14">
        <v>1032469638</v>
      </c>
      <c r="B4972" s="2">
        <v>46121.338405324073</v>
      </c>
      <c r="C4972" s="3" t="str">
        <f>IFERROR(VLOOKUP(A4972,'Base Prueba'!A:C,3,),"NO REGISTRA")</f>
        <v>MAICOL JARBEY GUALTEROS CASTAÑEDA</v>
      </c>
      <c r="D4972" s="4" t="str">
        <f>IFERROR(VLOOKUP(A4972,'Base Prueba'!A:D,4,),"NO REGISTRA")</f>
        <v>COORDINADOR DEL SISTEMA INTERNO DE ASEGURAMIENTO DE LA CALIDAD - SIAC</v>
      </c>
      <c r="E4972" s="5" t="str">
        <f>IFERROR(VLOOKUP(A4972,'Base Prueba'!A:E,5,),"NO REGISTRA")</f>
        <v>OFICINA DE PLANEACION Y GESTION DE LA CALIDAD</v>
      </c>
    </row>
    <row r="4973" spans="1:5" ht="15.75" x14ac:dyDescent="0.25">
      <c r="A4973" s="14">
        <v>1014977624</v>
      </c>
      <c r="B4973" s="2">
        <v>46121.341003819442</v>
      </c>
      <c r="C4973" s="3" t="str">
        <f>IFERROR(VLOOKUP(A4973,'Base Prueba'!A:C,3,),"NO REGISTRA")</f>
        <v>NICCOLE VALENTINA HERNANDEZ MALAVER</v>
      </c>
      <c r="D4973" s="4" t="str">
        <f>IFERROR(VLOOKUP(A4973,'Base Prueba'!A:D,4,),"NO REGISTRA")</f>
        <v>APRENDIZ UNIVERSITARIO</v>
      </c>
      <c r="E4973" s="5" t="str">
        <f>IFERROR(VLOOKUP(A4973,'Base Prueba'!A:E,5,),"NO REGISTRA")</f>
        <v>AREA FINANCIERA Y CONTABLE</v>
      </c>
    </row>
    <row r="4974" spans="1:5" ht="15.75" x14ac:dyDescent="0.25">
      <c r="A4974" s="14">
        <v>1193457976</v>
      </c>
      <c r="B4974" s="2">
        <v>46121.34235752315</v>
      </c>
      <c r="C4974" s="3" t="str">
        <f>IFERROR(VLOOKUP(A4974,'Base Prueba'!A:C,3,),"NO REGISTRA")</f>
        <v>SEDENIS RIVAS ASPRILLA</v>
      </c>
      <c r="D4974" s="4" t="str">
        <f>IFERROR(VLOOKUP(A4974,'Base Prueba'!A:D,4,),"NO REGISTRA")</f>
        <v>APRENDIZ UNIVERSITARIO</v>
      </c>
      <c r="E4974" s="5" t="str">
        <f>IFERROR(VLOOKUP(A4974,'Base Prueba'!A:E,5,),"NO REGISTRA")</f>
        <v>DEPARTAMENTO DE GESTION HUMANA</v>
      </c>
    </row>
    <row r="4975" spans="1:5" ht="15.75" x14ac:dyDescent="0.25">
      <c r="A4975" s="14">
        <v>1049644802</v>
      </c>
      <c r="B4975" s="2">
        <v>46121.344409490739</v>
      </c>
      <c r="C4975" s="3" t="str">
        <f>IFERROR(VLOOKUP(A4975,'Base Prueba'!A:C,3,),"NO REGISTRA")</f>
        <v>DANIELA ALEXANDRA CIPAMOCHA BOSIGA</v>
      </c>
      <c r="D4975" s="4" t="str">
        <f>IFERROR(VLOOKUP(A4975,'Base Prueba'!A:D,4,),"NO REGISTRA")</f>
        <v>LIDER DE DATOS Y SERVICIOS</v>
      </c>
      <c r="E4975" s="5" t="str">
        <f>IFERROR(VLOOKUP(A4975,'Base Prueba'!A:E,5,),"NO REGISTRA")</f>
        <v>OFICINA DE PLANEACION Y GESTION DE LA CALIDAD</v>
      </c>
    </row>
    <row r="4976" spans="1:5" ht="15.75" x14ac:dyDescent="0.25">
      <c r="A4976" s="14">
        <v>53932358</v>
      </c>
      <c r="B4976" s="2">
        <v>46121.348343518519</v>
      </c>
      <c r="C4976" s="3" t="str">
        <f>IFERROR(VLOOKUP(A4976,'Base Prueba'!A:C,3,),"NO REGISTRA")</f>
        <v>DIANA MADELEYNE GAONA RODRIGUEZ</v>
      </c>
      <c r="D4976" s="4" t="str">
        <f>IFERROR(VLOOKUP(A4976,'Base Prueba'!A:D,4,),"NO REGISTRA")</f>
        <v>CONTADOR</v>
      </c>
      <c r="E4976" s="5" t="str">
        <f>IFERROR(VLOOKUP(A4976,'Base Prueba'!A:E,5,),"NO REGISTRA")</f>
        <v>AREA FINANCIERA Y CONTABLE</v>
      </c>
    </row>
    <row r="4977" spans="1:5" ht="15.75" x14ac:dyDescent="0.25">
      <c r="A4977" s="14">
        <v>1000593372</v>
      </c>
      <c r="B4977" s="2">
        <v>46121.349468171298</v>
      </c>
      <c r="C4977" s="3" t="str">
        <f>IFERROR(VLOOKUP(A4977,'Base Prueba'!A:C,3,),"NO REGISTRA")</f>
        <v>LAURA SOFIA CHAPARRO LOPEZ</v>
      </c>
      <c r="D4977" s="4" t="str">
        <f>IFERROR(VLOOKUP(A4977,'Base Prueba'!A:D,4,),"NO REGISTRA")</f>
        <v>AUXILIAR JURIDICO</v>
      </c>
      <c r="E4977" s="5" t="str">
        <f>IFERROR(VLOOKUP(A4977,'Base Prueba'!A:E,5,),"NO REGISTRA")</f>
        <v>SECRETARIA GENERAL</v>
      </c>
    </row>
    <row r="4978" spans="1:5" ht="15.75" x14ac:dyDescent="0.25">
      <c r="A4978" s="14">
        <v>1000604979</v>
      </c>
      <c r="B4978" s="2">
        <v>46121.34949872685</v>
      </c>
      <c r="C4978" s="3" t="str">
        <f>IFERROR(VLOOKUP(A4978,'Base Prueba'!A:C,3,),"NO REGISTRA")</f>
        <v>JULIETH TATIANA PARDO PINTO</v>
      </c>
      <c r="D4978" s="4" t="str">
        <f>IFERROR(VLOOKUP(A4978,'Base Prueba'!A:D,4,),"NO REGISTRA")</f>
        <v>AUXILIAR JURIDICO</v>
      </c>
      <c r="E4978" s="5" t="str">
        <f>IFERROR(VLOOKUP(A4978,'Base Prueba'!A:E,5,),"NO REGISTRA")</f>
        <v>SECRETARIA GENERAL</v>
      </c>
    </row>
    <row r="4979" spans="1:5" ht="15.75" x14ac:dyDescent="0.25">
      <c r="A4979" s="14">
        <v>1000457706</v>
      </c>
      <c r="B4979" s="2">
        <v>46121.349714583332</v>
      </c>
      <c r="C4979" s="3" t="str">
        <f>IFERROR(VLOOKUP(A4979,'Base Prueba'!A:C,3,),"NO REGISTRA")</f>
        <v>CRISTIAN DANILO ARROYO SANABRIA</v>
      </c>
      <c r="D4979" s="4" t="str">
        <f>IFERROR(VLOOKUP(A4979,'Base Prueba'!A:D,4,),"NO REGISTRA")</f>
        <v>AUXILIAR CONTABLE</v>
      </c>
      <c r="E4979" s="5" t="str">
        <f>IFERROR(VLOOKUP(A4979,'Base Prueba'!A:E,5,),"NO REGISTRA")</f>
        <v>AREA FINANCIERA Y CONTABLE</v>
      </c>
    </row>
    <row r="4980" spans="1:5" ht="15.75" x14ac:dyDescent="0.25">
      <c r="A4980" s="14">
        <v>1023883232</v>
      </c>
      <c r="B4980" s="2">
        <v>46121.351944675924</v>
      </c>
      <c r="C4980" s="3" t="str">
        <f>IFERROR(VLOOKUP(A4980,'Base Prueba'!A:C,3,),"NO REGISTRA")</f>
        <v>MONICA ANDREA ACERO URBANO</v>
      </c>
      <c r="D4980" s="4" t="str">
        <f>IFERROR(VLOOKUP(A4980,'Base Prueba'!A:D,4,),"NO REGISTRA")</f>
        <v>APOYO INTEGRAL A GESTION HUMANA</v>
      </c>
      <c r="E4980" s="5" t="str">
        <f>IFERROR(VLOOKUP(A4980,'Base Prueba'!A:E,5,),"NO REGISTRA")</f>
        <v>DEPARTAMENTO DE GESTION HUMANA</v>
      </c>
    </row>
    <row r="4981" spans="1:5" ht="15.75" x14ac:dyDescent="0.25">
      <c r="A4981" s="14">
        <v>1018413529</v>
      </c>
      <c r="B4981" s="2">
        <v>46121.35485787037</v>
      </c>
      <c r="C4981" s="3" t="str">
        <f>IFERROR(VLOOKUP(A4981,'Base Prueba'!A:C,3,),"NO REGISTRA")</f>
        <v>FRANCY STELLA CHARRY MORENO</v>
      </c>
      <c r="D4981" s="4" t="str">
        <f>IFERROR(VLOOKUP(A4981,'Base Prueba'!A:D,4,),"NO REGISTRA")</f>
        <v>PROMOTOR COMERCIAL DEL CEA</v>
      </c>
      <c r="E4981" s="5" t="str">
        <f>IFERROR(VLOOKUP(A4981,'Base Prueba'!A:E,5,),"NO REGISTRA")</f>
        <v>OFICINA DE MERCADEO</v>
      </c>
    </row>
    <row r="4982" spans="1:5" ht="15.75" x14ac:dyDescent="0.25">
      <c r="A4982" s="14">
        <v>1032407386</v>
      </c>
      <c r="B4982" s="2">
        <v>46121.358428587962</v>
      </c>
      <c r="C4982" s="3" t="str">
        <f>IFERROR(VLOOKUP(A4982,'Base Prueba'!A:C,3,),"NO REGISTRA")</f>
        <v>GINA PAOLA BAEZ GALVIS</v>
      </c>
      <c r="D4982" s="4" t="str">
        <f>IFERROR(VLOOKUP(A4982,'Base Prueba'!A:D,4,),"NO REGISTRA")</f>
        <v>PROMOTOR CALL CENTER</v>
      </c>
      <c r="E4982" s="5" t="str">
        <f>IFERROR(VLOOKUP(A4982,'Base Prueba'!A:E,5,),"NO REGISTRA")</f>
        <v>OFICINA DE MERCADEO</v>
      </c>
    </row>
    <row r="4983" spans="1:5" ht="15.75" x14ac:dyDescent="0.25">
      <c r="A4983" s="14">
        <v>1014308296</v>
      </c>
      <c r="B4983" s="2">
        <v>46121.358678009259</v>
      </c>
      <c r="C4983" s="3" t="str">
        <f>IFERROR(VLOOKUP(A4983,'Base Prueba'!A:C,3,),"NO REGISTRA")</f>
        <v>DARLENE YULIANA MORENO CELEITA</v>
      </c>
      <c r="D4983" s="4" t="str">
        <f>IFERROR(VLOOKUP(A4983,'Base Prueba'!A:D,4,),"NO REGISTRA")</f>
        <v>CAJERO PRINCIPAL</v>
      </c>
      <c r="E4983" s="5" t="str">
        <f>IFERROR(VLOOKUP(A4983,'Base Prueba'!A:E,5,),"NO REGISTRA")</f>
        <v>AREA FINANCIERA Y CONTABLE</v>
      </c>
    </row>
    <row r="4984" spans="1:5" ht="15.75" x14ac:dyDescent="0.25">
      <c r="A4984" s="14">
        <v>1033709056</v>
      </c>
      <c r="B4984" s="2">
        <v>46121.364102777778</v>
      </c>
      <c r="C4984" s="3" t="str">
        <f>IFERROR(VLOOKUP(A4984,'Base Prueba'!A:C,3,),"NO REGISTRA")</f>
        <v>YEIMY ALEXANDRA RODRIGUEZ PALACIO</v>
      </c>
      <c r="D4984" s="4" t="str">
        <f>IFERROR(VLOOKUP(A4984,'Base Prueba'!A:D,4,),"NO REGISTRA")</f>
        <v>PROMOTOR CALL CENTER</v>
      </c>
      <c r="E4984" s="5" t="str">
        <f>IFERROR(VLOOKUP(A4984,'Base Prueba'!A:E,5,),"NO REGISTRA")</f>
        <v>OFICINA DE MERCADEO</v>
      </c>
    </row>
    <row r="4985" spans="1:5" ht="15.75" x14ac:dyDescent="0.25">
      <c r="A4985" s="14">
        <v>1013101788</v>
      </c>
      <c r="B4985" s="2">
        <v>46121.364852430554</v>
      </c>
      <c r="C4985" s="3" t="str">
        <f>IFERROR(VLOOKUP(A4985,'Base Prueba'!A:C,3,),"NO REGISTRA")</f>
        <v>SARA TANGARIFE MONTOYA</v>
      </c>
      <c r="D4985" s="4" t="str">
        <f>IFERROR(VLOOKUP(A4985,'Base Prueba'!A:D,4,),"NO REGISTRA")</f>
        <v>APRENDIZ UNIVERSITARIO</v>
      </c>
      <c r="E4985" s="5" t="str">
        <f>IFERROR(VLOOKUP(A4985,'Base Prueba'!A:E,5,),"NO REGISTRA")</f>
        <v>OFICINA DE MERCADEO</v>
      </c>
    </row>
    <row r="4986" spans="1:5" ht="15.75" x14ac:dyDescent="0.25">
      <c r="A4986" s="14">
        <v>52472386</v>
      </c>
      <c r="B4986" s="2">
        <v>46121.36791828704</v>
      </c>
      <c r="C4986" s="3" t="str">
        <f>IFERROR(VLOOKUP(A4986,'Base Prueba'!A:C,3,),"NO REGISTRA")</f>
        <v>ADRIANA MARCELA MORALES PARDO</v>
      </c>
      <c r="D4986" s="4" t="str">
        <f>IFERROR(VLOOKUP(A4986,'Base Prueba'!A:D,4,),"NO REGISTRA")</f>
        <v>PROMOTOR CALL CENTER</v>
      </c>
      <c r="E4986" s="5" t="str">
        <f>IFERROR(VLOOKUP(A4986,'Base Prueba'!A:E,5,),"NO REGISTRA")</f>
        <v>OFICINA DE MERCADEO</v>
      </c>
    </row>
    <row r="4987" spans="1:5" ht="15.75" x14ac:dyDescent="0.25">
      <c r="A4987" s="14">
        <v>80234243</v>
      </c>
      <c r="B4987" s="2">
        <v>46121.368616203705</v>
      </c>
      <c r="C4987" s="3" t="str">
        <f>IFERROR(VLOOKUP(A4987,'Base Prueba'!A:C,3,),"NO REGISTRA")</f>
        <v>ARGENIS MARTINEZ MARTINEZ</v>
      </c>
      <c r="D4987" s="4" t="str">
        <f>IFERROR(VLOOKUP(A4987,'Base Prueba'!A:D,4,),"NO REGISTRA")</f>
        <v>LIDER CALL CENTER</v>
      </c>
      <c r="E4987" s="5" t="str">
        <f>IFERROR(VLOOKUP(A4987,'Base Prueba'!A:E,5,),"NO REGISTRA")</f>
        <v>OFICINA DE MERCADEO</v>
      </c>
    </row>
    <row r="4988" spans="1:5" ht="15.75" x14ac:dyDescent="0.25">
      <c r="A4988" s="14">
        <v>1012426741</v>
      </c>
      <c r="B4988" s="2">
        <v>46121.370757060184</v>
      </c>
      <c r="C4988" s="3" t="str">
        <f>IFERROR(VLOOKUP(A4988,'Base Prueba'!A:C,3,),"NO REGISTRA")</f>
        <v>CRISTIAN FABIAN ROJAS SANCENO</v>
      </c>
      <c r="D4988" s="4" t="str">
        <f>IFERROR(VLOOKUP(A4988,'Base Prueba'!A:D,4,),"NO REGISTRA")</f>
        <v>AUXILIAR DE REINTEGROS</v>
      </c>
      <c r="E4988" s="5" t="str">
        <f>IFERROR(VLOOKUP(A4988,'Base Prueba'!A:E,5,),"NO REGISTRA")</f>
        <v>DIRECCION DE BIENESTAR INSTITUCIONAL</v>
      </c>
    </row>
    <row r="4989" spans="1:5" ht="15.75" x14ac:dyDescent="0.25">
      <c r="A4989" s="14">
        <v>28798349</v>
      </c>
      <c r="B4989" s="2">
        <v>46121.372893749998</v>
      </c>
      <c r="C4989" s="3" t="str">
        <f>IFERROR(VLOOKUP(A4989,'Base Prueba'!A:C,3,),"NO REGISTRA")</f>
        <v>MARTHA ISABEL TOVAR WILLIAMS</v>
      </c>
      <c r="D4989" s="4" t="str">
        <f>IFERROR(VLOOKUP(A4989,'Base Prueba'!A:D,4,),"NO REGISTRA")</f>
        <v>PROMOTOR CALL CENTER</v>
      </c>
      <c r="E4989" s="5" t="str">
        <f>IFERROR(VLOOKUP(A4989,'Base Prueba'!A:E,5,),"NO REGISTRA")</f>
        <v>OFICINA DE MERCADEO</v>
      </c>
    </row>
    <row r="4990" spans="1:5" ht="15.75" x14ac:dyDescent="0.25">
      <c r="A4990" s="14">
        <v>1018414290</v>
      </c>
      <c r="B4990" s="2">
        <v>46121.373148842591</v>
      </c>
      <c r="C4990" s="3" t="str">
        <f>IFERROR(VLOOKUP(A4990,'Base Prueba'!A:C,3,),"NO REGISTRA")</f>
        <v>AMANDA LISBETH RODRIGUEZ LEON</v>
      </c>
      <c r="D4990" s="4" t="str">
        <f>IFERROR(VLOOKUP(A4990,'Base Prueba'!A:D,4,),"NO REGISTRA")</f>
        <v>PROMOTOR CALL CENTER</v>
      </c>
      <c r="E4990" s="5" t="str">
        <f>IFERROR(VLOOKUP(A4990,'Base Prueba'!A:E,5,),"NO REGISTRA")</f>
        <v>OFICINA DE MERCADEO</v>
      </c>
    </row>
    <row r="4991" spans="1:5" ht="15.75" x14ac:dyDescent="0.25">
      <c r="A4991" s="14">
        <v>1019105003</v>
      </c>
      <c r="B4991" s="2">
        <v>46121.373295717596</v>
      </c>
      <c r="C4991" s="3" t="str">
        <f>IFERROR(VLOOKUP(A4991,'Base Prueba'!A:C,3,),"NO REGISTRA")</f>
        <v>DAISY JULIETH GASPAR MORENO</v>
      </c>
      <c r="D4991" s="4" t="str">
        <f>IFERROR(VLOOKUP(A4991,'Base Prueba'!A:D,4,),"NO REGISTRA")</f>
        <v>PROMOTOR CALL CENTER</v>
      </c>
      <c r="E4991" s="5" t="str">
        <f>IFERROR(VLOOKUP(A4991,'Base Prueba'!A:E,5,),"NO REGISTRA")</f>
        <v>OFICINA DE MERCADEO</v>
      </c>
    </row>
    <row r="4992" spans="1:5" ht="15.75" x14ac:dyDescent="0.25">
      <c r="A4992" s="14">
        <v>1000046533</v>
      </c>
      <c r="B4992" s="2">
        <v>46121.373348842593</v>
      </c>
      <c r="C4992" s="3" t="str">
        <f>IFERROR(VLOOKUP(A4992,'Base Prueba'!A:C,3,),"NO REGISTRA")</f>
        <v>ERIKA JULIETH VALDERRAMA SANCHEZ</v>
      </c>
      <c r="D4992" s="4" t="str">
        <f>IFERROR(VLOOKUP(A4992,'Base Prueba'!A:D,4,),"NO REGISTRA")</f>
        <v>PROMOTOR CALL CENTER</v>
      </c>
      <c r="E4992" s="5" t="str">
        <f>IFERROR(VLOOKUP(A4992,'Base Prueba'!A:E,5,),"NO REGISTRA")</f>
        <v>OFICINA DE MERCADEO</v>
      </c>
    </row>
    <row r="4993" spans="1:5" ht="15.75" x14ac:dyDescent="0.25">
      <c r="A4993" s="14">
        <v>53089882</v>
      </c>
      <c r="B4993" s="2">
        <v>46121.374284259262</v>
      </c>
      <c r="C4993" s="3" t="str">
        <f>IFERROR(VLOOKUP(A4993,'Base Prueba'!A:C,3,),"NO REGISTRA")</f>
        <v>MARIA JOHANA ESCAMILLA MARTINEZ</v>
      </c>
      <c r="D4993" s="4" t="str">
        <f>IFERROR(VLOOKUP(A4993,'Base Prueba'!A:D,4,),"NO REGISTRA")</f>
        <v>PROMOTOR DE INFORMACIÓN</v>
      </c>
      <c r="E4993" s="5" t="str">
        <f>IFERROR(VLOOKUP(A4993,'Base Prueba'!A:E,5,),"NO REGISTRA")</f>
        <v>OFICINA DE MERCADEO</v>
      </c>
    </row>
    <row r="4994" spans="1:5" ht="15.75" x14ac:dyDescent="0.25">
      <c r="A4994" s="14">
        <v>1014196857</v>
      </c>
      <c r="B4994" s="2">
        <v>46121.380736805557</v>
      </c>
      <c r="C4994" s="3" t="str">
        <f>IFERROR(VLOOKUP(A4994,'Base Prueba'!A:C,3,),"NO REGISTRA")</f>
        <v>CARLOS ANDRES JIMENEZ PARDO</v>
      </c>
      <c r="D4994" s="4" t="str">
        <f>IFERROR(VLOOKUP(A4994,'Base Prueba'!A:D,4,),"NO REGISTRA")</f>
        <v>COORDINADOR DE MARKETING DIGITAL</v>
      </c>
      <c r="E4994" s="5" t="str">
        <f>IFERROR(VLOOKUP(A4994,'Base Prueba'!A:E,5,),"NO REGISTRA")</f>
        <v>OFICINA DE MERCADEO</v>
      </c>
    </row>
    <row r="4995" spans="1:5" ht="15.75" x14ac:dyDescent="0.25">
      <c r="A4995" s="14">
        <v>1023961952</v>
      </c>
      <c r="B4995" s="2">
        <v>46121.381016666666</v>
      </c>
      <c r="C4995" s="3" t="str">
        <f>IFERROR(VLOOKUP(A4995,'Base Prueba'!A:C,3,),"NO REGISTRA")</f>
        <v>ALEJANDRO PINZON MERCHAN</v>
      </c>
      <c r="D4995" s="4" t="str">
        <f>IFERROR(VLOOKUP(A4995,'Base Prueba'!A:D,4,),"NO REGISTRA")</f>
        <v>PROMOTOR CALL CENTER</v>
      </c>
      <c r="E4995" s="5" t="str">
        <f>IFERROR(VLOOKUP(A4995,'Base Prueba'!A:E,5,),"NO REGISTRA")</f>
        <v>OFICINA DE MERCADEO</v>
      </c>
    </row>
    <row r="4996" spans="1:5" ht="15.75" x14ac:dyDescent="0.25">
      <c r="A4996" s="14">
        <v>52175674</v>
      </c>
      <c r="B4996" s="2">
        <v>46121.387276388887</v>
      </c>
      <c r="C4996" s="3" t="str">
        <f>IFERROR(VLOOKUP(A4996,'Base Prueba'!A:C,3,),"NO REGISTRA")</f>
        <v>LUZ YANETH GOMEZ AREVALO</v>
      </c>
      <c r="D4996" s="4" t="str">
        <f>IFERROR(VLOOKUP(A4996,'Base Prueba'!A:D,4,),"NO REGISTRA")</f>
        <v>COORDINADORA DE ADMISIONES</v>
      </c>
      <c r="E4996" s="5" t="str">
        <f>IFERROR(VLOOKUP(A4996,'Base Prueba'!A:E,5,),"NO REGISTRA")</f>
        <v>OFICINA DE MERCADEO</v>
      </c>
    </row>
    <row r="4997" spans="1:5" ht="15.75" x14ac:dyDescent="0.25">
      <c r="A4997" s="14">
        <v>1016090131</v>
      </c>
      <c r="B4997" s="2">
        <v>46121.388808564814</v>
      </c>
      <c r="C4997" s="3" t="str">
        <f>IFERROR(VLOOKUP(A4997,'Base Prueba'!A:C,3,),"NO REGISTRA")</f>
        <v>NICOLAS RODRIGUEZ PACHECO</v>
      </c>
      <c r="D4997" s="4" t="str">
        <f>IFERROR(VLOOKUP(A4997,'Base Prueba'!A:D,4,),"NO REGISTRA")</f>
        <v>COORDINADOR DE COMUNICACIONES</v>
      </c>
      <c r="E4997" s="5" t="str">
        <f>IFERROR(VLOOKUP(A4997,'Base Prueba'!A:E,5,),"NO REGISTRA")</f>
        <v>OFICINA DE MERCADEO</v>
      </c>
    </row>
    <row r="4998" spans="1:5" ht="15.75" x14ac:dyDescent="0.25">
      <c r="A4998" s="14">
        <v>52443092</v>
      </c>
      <c r="B4998" s="2">
        <v>46121.580639351851</v>
      </c>
      <c r="C4998" s="3" t="str">
        <f>IFERROR(VLOOKUP(A4998,'Base Prueba'!A:C,3,),"NO REGISTRA")</f>
        <v>LUZ MYRIAM SAAVEDRA CONTRERAS</v>
      </c>
      <c r="D4998" s="4" t="str">
        <f>IFERROR(VLOOKUP(A4998,'Base Prueba'!A:D,4,),"NO REGISTRA")</f>
        <v>AUXILIAR DE SERVICIOS</v>
      </c>
      <c r="E4998" s="5" t="str">
        <f>IFERROR(VLOOKUP(A4998,'Base Prueba'!A:E,5,),"NO REGISTRA")</f>
        <v>LOGISTICA Y SERVICIOS GENERALES</v>
      </c>
    </row>
    <row r="4999" spans="1:5" ht="15.75" x14ac:dyDescent="0.25">
      <c r="A4999" s="14">
        <v>1013098430</v>
      </c>
      <c r="B4999" s="2">
        <v>46121.728823726851</v>
      </c>
      <c r="C4999" s="3" t="str">
        <f>IFERROR(VLOOKUP(A4999,'Base Prueba'!A:C,3,),"NO REGISTRA")</f>
        <v>ANDRES FELIPE LOPEZ ROMERO</v>
      </c>
      <c r="D4999" s="4" t="str">
        <f>IFERROR(VLOOKUP(A4999,'Base Prueba'!A:D,4,),"NO REGISTRA")</f>
        <v>APRENDIZ UNIVERSITARIO</v>
      </c>
      <c r="E4999" s="5" t="str">
        <f>IFERROR(VLOOKUP(A4999,'Base Prueba'!A:E,5,),"NO REGISTRA")</f>
        <v>OFICINA DE MERCADEO</v>
      </c>
    </row>
    <row r="5000" spans="1:5" ht="15.75" x14ac:dyDescent="0.25">
      <c r="A5000" s="14">
        <v>1024512067</v>
      </c>
      <c r="B5000" s="2">
        <v>46121.732340972223</v>
      </c>
      <c r="C5000" s="3" t="str">
        <f>IFERROR(VLOOKUP(A5000,'Base Prueba'!A:C,3,),"NO REGISTRA")</f>
        <v>CINDY GIOVANA SALGAR GOMEZ</v>
      </c>
      <c r="D5000" s="4" t="str">
        <f>IFERROR(VLOOKUP(A5000,'Base Prueba'!A:D,4,),"NO REGISTRA")</f>
        <v>COORDINADOR DEL SISTEMA INTEGRADO DE GESTION INSTITUCIONAL - SIGI</v>
      </c>
      <c r="E5000" s="5" t="str">
        <f>IFERROR(VLOOKUP(A5000,'Base Prueba'!A:E,5,),"NO REGISTRA")</f>
        <v>OFICINA DE PLANEACION Y GESTION DE LA CALIDAD</v>
      </c>
    </row>
    <row r="5001" spans="1:5" ht="15.75" x14ac:dyDescent="0.25">
      <c r="A5001" s="14">
        <v>1010184333</v>
      </c>
      <c r="B5001" s="2">
        <v>46121.75008622685</v>
      </c>
      <c r="C5001" s="3" t="str">
        <f>IFERROR(VLOOKUP(A5001,'Base Prueba'!A:C,3,),"NO REGISTRA")</f>
        <v>AKON ANDRES GARZON ALVAREZ</v>
      </c>
      <c r="D5001" s="4" t="str">
        <f>IFERROR(VLOOKUP(A5001,'Base Prueba'!A:D,4,),"NO REGISTRA")</f>
        <v>APRENDIZ UNIVERSITARIO</v>
      </c>
      <c r="E5001" s="5" t="str">
        <f>IFERROR(VLOOKUP(A5001,'Base Prueba'!A:E,5,),"NO REGISTRA")</f>
        <v>SECRETARIA GENERAL</v>
      </c>
    </row>
    <row r="5002" spans="1:5" ht="15.75" x14ac:dyDescent="0.25">
      <c r="A5002" s="14">
        <v>1012426741</v>
      </c>
      <c r="B5002" s="2">
        <v>46121.750378472221</v>
      </c>
      <c r="C5002" s="3" t="str">
        <f>IFERROR(VLOOKUP(A5002,'Base Prueba'!A:C,3,),"NO REGISTRA")</f>
        <v>CRISTIAN FABIAN ROJAS SANCENO</v>
      </c>
      <c r="D5002" s="4" t="str">
        <f>IFERROR(VLOOKUP(A5002,'Base Prueba'!A:D,4,),"NO REGISTRA")</f>
        <v>AUXILIAR DE REINTEGROS</v>
      </c>
      <c r="E5002" s="5" t="str">
        <f>IFERROR(VLOOKUP(A5002,'Base Prueba'!A:E,5,),"NO REGISTRA")</f>
        <v>DIRECCION DE BIENESTAR INSTITUCIONAL</v>
      </c>
    </row>
    <row r="5003" spans="1:5" ht="15.75" x14ac:dyDescent="0.25">
      <c r="A5003" s="14">
        <v>1000046533</v>
      </c>
      <c r="B5003" s="2">
        <v>46121.750718287039</v>
      </c>
      <c r="C5003" s="3" t="str">
        <f>IFERROR(VLOOKUP(A5003,'Base Prueba'!A:C,3,),"NO REGISTRA")</f>
        <v>ERIKA JULIETH VALDERRAMA SANCHEZ</v>
      </c>
      <c r="D5003" s="4" t="str">
        <f>IFERROR(VLOOKUP(A5003,'Base Prueba'!A:D,4,),"NO REGISTRA")</f>
        <v>PROMOTOR CALL CENTER</v>
      </c>
      <c r="E5003" s="5" t="str">
        <f>IFERROR(VLOOKUP(A5003,'Base Prueba'!A:E,5,),"NO REGISTRA")</f>
        <v>OFICINA DE MERCADEO</v>
      </c>
    </row>
    <row r="5004" spans="1:5" ht="15.75" x14ac:dyDescent="0.25">
      <c r="A5004" s="14">
        <v>52175674</v>
      </c>
      <c r="B5004" s="2">
        <v>46121.750860300926</v>
      </c>
      <c r="C5004" s="3" t="str">
        <f>IFERROR(VLOOKUP(A5004,'Base Prueba'!A:C,3,),"NO REGISTRA")</f>
        <v>LUZ YANETH GOMEZ AREVALO</v>
      </c>
      <c r="D5004" s="4" t="str">
        <f>IFERROR(VLOOKUP(A5004,'Base Prueba'!A:D,4,),"NO REGISTRA")</f>
        <v>COORDINADORA DE ADMISIONES</v>
      </c>
      <c r="E5004" s="5" t="str">
        <f>IFERROR(VLOOKUP(A5004,'Base Prueba'!A:E,5,),"NO REGISTRA")</f>
        <v>OFICINA DE MERCADEO</v>
      </c>
    </row>
    <row r="5005" spans="1:5" ht="15.75" x14ac:dyDescent="0.25">
      <c r="A5005" s="14">
        <v>1000467399</v>
      </c>
      <c r="B5005" s="2">
        <v>46121.751113425926</v>
      </c>
      <c r="C5005" s="3" t="str">
        <f>IFERROR(VLOOKUP(A5005,'Base Prueba'!A:C,3,),"NO REGISTRA")</f>
        <v>BRANDO ESTIVEN DIAZ QUIMBAYA</v>
      </c>
      <c r="D5005" s="4" t="str">
        <f>IFERROR(VLOOKUP(A5005,'Base Prueba'!A:D,4,),"NO REGISTRA")</f>
        <v>APRENDIZ UNIVERSITARIO</v>
      </c>
      <c r="E5005" s="5" t="str">
        <f>IFERROR(VLOOKUP(A5005,'Base Prueba'!A:E,5,),"NO REGISTRA")</f>
        <v>DEPARTAMENTO DE GESTION HUMANA</v>
      </c>
    </row>
    <row r="5006" spans="1:5" ht="15.75" x14ac:dyDescent="0.25">
      <c r="A5006" s="14">
        <v>1193457976</v>
      </c>
      <c r="B5006" s="2">
        <v>46121.75139247685</v>
      </c>
      <c r="C5006" s="3" t="str">
        <f>IFERROR(VLOOKUP(A5006,'Base Prueba'!A:C,3,),"NO REGISTRA")</f>
        <v>SEDENIS RIVAS ASPRILLA</v>
      </c>
      <c r="D5006" s="4" t="str">
        <f>IFERROR(VLOOKUP(A5006,'Base Prueba'!A:D,4,),"NO REGISTRA")</f>
        <v>APRENDIZ UNIVERSITARIO</v>
      </c>
      <c r="E5006" s="5" t="str">
        <f>IFERROR(VLOOKUP(A5006,'Base Prueba'!A:E,5,),"NO REGISTRA")</f>
        <v>DEPARTAMENTO DE GESTION HUMANA</v>
      </c>
    </row>
    <row r="5007" spans="1:5" ht="15.75" x14ac:dyDescent="0.25">
      <c r="A5007" s="14">
        <v>1013101788</v>
      </c>
      <c r="B5007" s="2">
        <v>46121.753351041669</v>
      </c>
      <c r="C5007" s="3" t="str">
        <f>IFERROR(VLOOKUP(A5007,'Base Prueba'!A:C,3,),"NO REGISTRA")</f>
        <v>SARA TANGARIFE MONTOYA</v>
      </c>
      <c r="D5007" s="4" t="str">
        <f>IFERROR(VLOOKUP(A5007,'Base Prueba'!A:D,4,),"NO REGISTRA")</f>
        <v>APRENDIZ UNIVERSITARIO</v>
      </c>
      <c r="E5007" s="5" t="str">
        <f>IFERROR(VLOOKUP(A5007,'Base Prueba'!A:E,5,),"NO REGISTRA")</f>
        <v>OFICINA DE MERCADEO</v>
      </c>
    </row>
    <row r="5008" spans="1:5" ht="15.75" x14ac:dyDescent="0.25">
      <c r="A5008" s="14">
        <v>1014308296</v>
      </c>
      <c r="B5008" s="2">
        <v>46121.753538541663</v>
      </c>
      <c r="C5008" s="3" t="str">
        <f>IFERROR(VLOOKUP(A5008,'Base Prueba'!A:C,3,),"NO REGISTRA")</f>
        <v>DARLENE YULIANA MORENO CELEITA</v>
      </c>
      <c r="D5008" s="4" t="str">
        <f>IFERROR(VLOOKUP(A5008,'Base Prueba'!A:D,4,),"NO REGISTRA")</f>
        <v>CAJERO PRINCIPAL</v>
      </c>
      <c r="E5008" s="5" t="str">
        <f>IFERROR(VLOOKUP(A5008,'Base Prueba'!A:E,5,),"NO REGISTRA")</f>
        <v>AREA FINANCIERA Y CONTABLE</v>
      </c>
    </row>
    <row r="5009" spans="1:5" ht="15.75" x14ac:dyDescent="0.25">
      <c r="A5009" s="14">
        <v>52472386</v>
      </c>
      <c r="B5009" s="2">
        <v>46121.754784259261</v>
      </c>
      <c r="C5009" s="3" t="str">
        <f>IFERROR(VLOOKUP(A5009,'Base Prueba'!A:C,3,),"NO REGISTRA")</f>
        <v>ADRIANA MARCELA MORALES PARDO</v>
      </c>
      <c r="D5009" s="4" t="str">
        <f>IFERROR(VLOOKUP(A5009,'Base Prueba'!A:D,4,),"NO REGISTRA")</f>
        <v>PROMOTOR CALL CENTER</v>
      </c>
      <c r="E5009" s="5" t="str">
        <f>IFERROR(VLOOKUP(A5009,'Base Prueba'!A:E,5,),"NO REGISTRA")</f>
        <v>OFICINA DE MERCADEO</v>
      </c>
    </row>
    <row r="5010" spans="1:5" ht="15.75" x14ac:dyDescent="0.25">
      <c r="A5010" s="14">
        <v>1014266838</v>
      </c>
      <c r="B5010" s="2">
        <v>46121.755628240739</v>
      </c>
      <c r="C5010" s="3" t="str">
        <f>IFERROR(VLOOKUP(A5010,'Base Prueba'!A:C,3,),"NO REGISTRA")</f>
        <v>JENNIFER ASTRID ROMERO HURTADO</v>
      </c>
      <c r="D5010" s="4" t="str">
        <f>IFERROR(VLOOKUP(A5010,'Base Prueba'!A:D,4,),"NO REGISTRA")</f>
        <v>LIDER DE RECAUDO</v>
      </c>
      <c r="E5010" s="5" t="str">
        <f>IFERROR(VLOOKUP(A5010,'Base Prueba'!A:E,5,),"NO REGISTRA")</f>
        <v>AREA FINANCIERA Y CONTABLE</v>
      </c>
    </row>
    <row r="5011" spans="1:5" ht="15.75" x14ac:dyDescent="0.25">
      <c r="A5011" s="14">
        <v>1019105003</v>
      </c>
      <c r="B5011" s="2">
        <v>46121.755803819447</v>
      </c>
      <c r="C5011" s="3" t="str">
        <f>IFERROR(VLOOKUP(A5011,'Base Prueba'!A:C,3,),"NO REGISTRA")</f>
        <v>DAISY JULIETH GASPAR MORENO</v>
      </c>
      <c r="D5011" s="4" t="str">
        <f>IFERROR(VLOOKUP(A5011,'Base Prueba'!A:D,4,),"NO REGISTRA")</f>
        <v>PROMOTOR CALL CENTER</v>
      </c>
      <c r="E5011" s="5" t="str">
        <f>IFERROR(VLOOKUP(A5011,'Base Prueba'!A:E,5,),"NO REGISTRA")</f>
        <v>OFICINA DE MERCADEO</v>
      </c>
    </row>
    <row r="5012" spans="1:5" ht="15.75" x14ac:dyDescent="0.25">
      <c r="A5012" s="14">
        <v>1049644802</v>
      </c>
      <c r="B5012" s="2">
        <v>46121.756874074075</v>
      </c>
      <c r="C5012" s="3" t="str">
        <f>IFERROR(VLOOKUP(A5012,'Base Prueba'!A:C,3,),"NO REGISTRA")</f>
        <v>DANIELA ALEXANDRA CIPAMOCHA BOSIGA</v>
      </c>
      <c r="D5012" s="4" t="str">
        <f>IFERROR(VLOOKUP(A5012,'Base Prueba'!A:D,4,),"NO REGISTRA")</f>
        <v>LIDER DE DATOS Y SERVICIOS</v>
      </c>
      <c r="E5012" s="5" t="str">
        <f>IFERROR(VLOOKUP(A5012,'Base Prueba'!A:E,5,),"NO REGISTRA")</f>
        <v>OFICINA DE PLANEACION Y GESTION DE LA CALIDAD</v>
      </c>
    </row>
    <row r="5013" spans="1:5" ht="15.75" x14ac:dyDescent="0.25">
      <c r="A5013" s="14">
        <v>53932358</v>
      </c>
      <c r="B5013" s="2">
        <v>46121.756885069444</v>
      </c>
      <c r="C5013" s="3" t="str">
        <f>IFERROR(VLOOKUP(A5013,'Base Prueba'!A:C,3,),"NO REGISTRA")</f>
        <v>DIANA MADELEYNE GAONA RODRIGUEZ</v>
      </c>
      <c r="D5013" s="4" t="str">
        <f>IFERROR(VLOOKUP(A5013,'Base Prueba'!A:D,4,),"NO REGISTRA")</f>
        <v>CONTADOR</v>
      </c>
      <c r="E5013" s="5" t="str">
        <f>IFERROR(VLOOKUP(A5013,'Base Prueba'!A:E,5,),"NO REGISTRA")</f>
        <v>AREA FINANCIERA Y CONTABLE</v>
      </c>
    </row>
    <row r="5014" spans="1:5" ht="15.75" x14ac:dyDescent="0.25">
      <c r="A5014" s="14">
        <v>1000257136</v>
      </c>
      <c r="B5014" s="2">
        <v>46121.756962847219</v>
      </c>
      <c r="C5014" s="3" t="str">
        <f>IFERROR(VLOOKUP(A5014,'Base Prueba'!A:C,3,),"NO REGISTRA")</f>
        <v>FRANCI VALENTINA CANO PUENTES</v>
      </c>
      <c r="D5014" s="4" t="str">
        <f>IFERROR(VLOOKUP(A5014,'Base Prueba'!A:D,4,),"NO REGISTRA")</f>
        <v>AUXILIAR CONTABLE</v>
      </c>
      <c r="E5014" s="5" t="str">
        <f>IFERROR(VLOOKUP(A5014,'Base Prueba'!A:E,5,),"NO REGISTRA")</f>
        <v>AREA FINANCIERA Y CONTABLE</v>
      </c>
    </row>
    <row r="5015" spans="1:5" ht="15.75" x14ac:dyDescent="0.25">
      <c r="A5015" s="14">
        <v>1000257136</v>
      </c>
      <c r="B5015" s="2">
        <v>46121.756991782408</v>
      </c>
      <c r="C5015" s="3" t="str">
        <f>IFERROR(VLOOKUP(A5015,'Base Prueba'!A:C,3,),"NO REGISTRA")</f>
        <v>FRANCI VALENTINA CANO PUENTES</v>
      </c>
      <c r="D5015" s="4" t="str">
        <f>IFERROR(VLOOKUP(A5015,'Base Prueba'!A:D,4,),"NO REGISTRA")</f>
        <v>AUXILIAR CONTABLE</v>
      </c>
      <c r="E5015" s="5" t="str">
        <f>IFERROR(VLOOKUP(A5015,'Base Prueba'!A:E,5,),"NO REGISTRA")</f>
        <v>AREA FINANCIERA Y CONTABLE</v>
      </c>
    </row>
    <row r="5016" spans="1:5" ht="15.75" x14ac:dyDescent="0.25">
      <c r="A5016" s="14">
        <v>28798349</v>
      </c>
      <c r="B5016" s="2">
        <v>46121.757094328706</v>
      </c>
      <c r="C5016" s="3" t="str">
        <f>IFERROR(VLOOKUP(A5016,'Base Prueba'!A:C,3,),"NO REGISTRA")</f>
        <v>MARTHA ISABEL TOVAR WILLIAMS</v>
      </c>
      <c r="D5016" s="4" t="str">
        <f>IFERROR(VLOOKUP(A5016,'Base Prueba'!A:D,4,),"NO REGISTRA")</f>
        <v>PROMOTOR CALL CENTER</v>
      </c>
      <c r="E5016" s="5" t="str">
        <f>IFERROR(VLOOKUP(A5016,'Base Prueba'!A:E,5,),"NO REGISTRA")</f>
        <v>OFICINA DE MERCADEO</v>
      </c>
    </row>
    <row r="5017" spans="1:5" ht="15.75" x14ac:dyDescent="0.25">
      <c r="A5017" s="14">
        <v>1023961952</v>
      </c>
      <c r="B5017" s="2">
        <v>46121.757254398151</v>
      </c>
      <c r="C5017" s="3" t="str">
        <f>IFERROR(VLOOKUP(A5017,'Base Prueba'!A:C,3,),"NO REGISTRA")</f>
        <v>ALEJANDRO PINZON MERCHAN</v>
      </c>
      <c r="D5017" s="4" t="str">
        <f>IFERROR(VLOOKUP(A5017,'Base Prueba'!A:D,4,),"NO REGISTRA")</f>
        <v>PROMOTOR CALL CENTER</v>
      </c>
      <c r="E5017" s="5" t="str">
        <f>IFERROR(VLOOKUP(A5017,'Base Prueba'!A:E,5,),"NO REGISTRA")</f>
        <v>OFICINA DE MERCADEO</v>
      </c>
    </row>
    <row r="5018" spans="1:5" ht="15.75" x14ac:dyDescent="0.25">
      <c r="A5018" s="14">
        <v>1000457706</v>
      </c>
      <c r="B5018" s="2">
        <v>46121.757851504626</v>
      </c>
      <c r="C5018" s="3" t="str">
        <f>IFERROR(VLOOKUP(A5018,'Base Prueba'!A:C,3,),"NO REGISTRA")</f>
        <v>CRISTIAN DANILO ARROYO SANABRIA</v>
      </c>
      <c r="D5018" s="4" t="str">
        <f>IFERROR(VLOOKUP(A5018,'Base Prueba'!A:D,4,),"NO REGISTRA")</f>
        <v>AUXILIAR CONTABLE</v>
      </c>
      <c r="E5018" s="5" t="str">
        <f>IFERROR(VLOOKUP(A5018,'Base Prueba'!A:E,5,),"NO REGISTRA")</f>
        <v>AREA FINANCIERA Y CONTABLE</v>
      </c>
    </row>
    <row r="5019" spans="1:5" ht="15.75" x14ac:dyDescent="0.25">
      <c r="A5019" s="14">
        <v>1014977624</v>
      </c>
      <c r="B5019" s="2">
        <v>46121.757895833332</v>
      </c>
      <c r="C5019" s="3" t="str">
        <f>IFERROR(VLOOKUP(A5019,'Base Prueba'!A:C,3,),"NO REGISTRA")</f>
        <v>NICCOLE VALENTINA HERNANDEZ MALAVER</v>
      </c>
      <c r="D5019" s="4" t="str">
        <f>IFERROR(VLOOKUP(A5019,'Base Prueba'!A:D,4,),"NO REGISTRA")</f>
        <v>APRENDIZ UNIVERSITARIO</v>
      </c>
      <c r="E5019" s="5" t="str">
        <f>IFERROR(VLOOKUP(A5019,'Base Prueba'!A:E,5,),"NO REGISTRA")</f>
        <v>AREA FINANCIERA Y CONTABLE</v>
      </c>
    </row>
    <row r="5020" spans="1:5" ht="15.75" x14ac:dyDescent="0.25">
      <c r="A5020" s="14">
        <v>53089882</v>
      </c>
      <c r="B5020" s="2">
        <v>46121.758122569445</v>
      </c>
      <c r="C5020" s="3" t="str">
        <f>IFERROR(VLOOKUP(A5020,'Base Prueba'!A:C,3,),"NO REGISTRA")</f>
        <v>MARIA JOHANA ESCAMILLA MARTINEZ</v>
      </c>
      <c r="D5020" s="4" t="str">
        <f>IFERROR(VLOOKUP(A5020,'Base Prueba'!A:D,4,),"NO REGISTRA")</f>
        <v>PROMOTOR DE INFORMACIÓN</v>
      </c>
      <c r="E5020" s="5" t="str">
        <f>IFERROR(VLOOKUP(A5020,'Base Prueba'!A:E,5,),"NO REGISTRA")</f>
        <v>OFICINA DE MERCADEO</v>
      </c>
    </row>
    <row r="5021" spans="1:5" ht="15.75" x14ac:dyDescent="0.25">
      <c r="A5021" s="14">
        <v>1033709056</v>
      </c>
      <c r="B5021" s="2">
        <v>46121.758208217594</v>
      </c>
      <c r="C5021" s="3" t="str">
        <f>IFERROR(VLOOKUP(A5021,'Base Prueba'!A:C,3,),"NO REGISTRA")</f>
        <v>YEIMY ALEXANDRA RODRIGUEZ PALACIO</v>
      </c>
      <c r="D5021" s="4" t="str">
        <f>IFERROR(VLOOKUP(A5021,'Base Prueba'!A:D,4,),"NO REGISTRA")</f>
        <v>PROMOTOR CALL CENTER</v>
      </c>
      <c r="E5021" s="5" t="str">
        <f>IFERROR(VLOOKUP(A5021,'Base Prueba'!A:E,5,),"NO REGISTRA")</f>
        <v>OFICINA DE MERCADEO</v>
      </c>
    </row>
    <row r="5022" spans="1:5" ht="15.75" x14ac:dyDescent="0.25">
      <c r="A5022" s="14">
        <v>1018413529</v>
      </c>
      <c r="B5022" s="2">
        <v>46121.758261689814</v>
      </c>
      <c r="C5022" s="3" t="str">
        <f>IFERROR(VLOOKUP(A5022,'Base Prueba'!A:C,3,),"NO REGISTRA")</f>
        <v>FRANCY STELLA CHARRY MORENO</v>
      </c>
      <c r="D5022" s="4" t="str">
        <f>IFERROR(VLOOKUP(A5022,'Base Prueba'!A:D,4,),"NO REGISTRA")</f>
        <v>PROMOTOR COMERCIAL DEL CEA</v>
      </c>
      <c r="E5022" s="5" t="str">
        <f>IFERROR(VLOOKUP(A5022,'Base Prueba'!A:E,5,),"NO REGISTRA")</f>
        <v>OFICINA DE MERCADEO</v>
      </c>
    </row>
    <row r="5023" spans="1:5" ht="15.75" x14ac:dyDescent="0.25">
      <c r="A5023" s="14">
        <v>80191732</v>
      </c>
      <c r="B5023" s="2">
        <v>46121.758361342596</v>
      </c>
      <c r="C5023" s="3" t="str">
        <f>IFERROR(VLOOKUP(A5023,'Base Prueba'!A:C,3,),"NO REGISTRA")</f>
        <v>DANIEL MAURICIO ZAMBRANO TUNJANO</v>
      </c>
      <c r="D5023" s="4" t="str">
        <f>IFERROR(VLOOKUP(A5023,'Base Prueba'!A:D,4,),"NO REGISTRA")</f>
        <v>COORDINADOR DE DISEÑO E IMAGEN INSTITUCIONAL</v>
      </c>
      <c r="E5023" s="5" t="str">
        <f>IFERROR(VLOOKUP(A5023,'Base Prueba'!A:E,5,),"NO REGISTRA")</f>
        <v>OFICINA DE MERCADEO</v>
      </c>
    </row>
    <row r="5024" spans="1:5" ht="15.75" x14ac:dyDescent="0.25">
      <c r="A5024" s="14">
        <v>1022996882</v>
      </c>
      <c r="B5024" s="2">
        <v>46121.758418171295</v>
      </c>
      <c r="C5024" s="3" t="str">
        <f>IFERROR(VLOOKUP(A5024,'Base Prueba'!A:C,3,),"NO REGISTRA")</f>
        <v>NANCY BRIGITH ALDANA GUEVARA</v>
      </c>
      <c r="D5024" s="4" t="str">
        <f>IFERROR(VLOOKUP(A5024,'Base Prueba'!A:D,4,),"NO REGISTRA")</f>
        <v>COORDINADORA DE GESTIÓN HUMANA</v>
      </c>
      <c r="E5024" s="5" t="str">
        <f>IFERROR(VLOOKUP(A5024,'Base Prueba'!A:E,5,),"NO REGISTRA")</f>
        <v>DEPARTAMENTO DE GESTION HUMANA</v>
      </c>
    </row>
    <row r="5025" spans="1:5" ht="15.75" x14ac:dyDescent="0.25">
      <c r="A5025" s="14">
        <v>1018414290</v>
      </c>
      <c r="B5025" s="2">
        <v>46121.759321990743</v>
      </c>
      <c r="C5025" s="3" t="str">
        <f>IFERROR(VLOOKUP(A5025,'Base Prueba'!A:C,3,),"NO REGISTRA")</f>
        <v>AMANDA LISBETH RODRIGUEZ LEON</v>
      </c>
      <c r="D5025" s="4" t="str">
        <f>IFERROR(VLOOKUP(A5025,'Base Prueba'!A:D,4,),"NO REGISTRA")</f>
        <v>PROMOTOR CALL CENTER</v>
      </c>
      <c r="E5025" s="5" t="str">
        <f>IFERROR(VLOOKUP(A5025,'Base Prueba'!A:E,5,),"NO REGISTRA")</f>
        <v>OFICINA DE MERCADEO</v>
      </c>
    </row>
    <row r="5026" spans="1:5" ht="15.75" x14ac:dyDescent="0.25">
      <c r="A5026" s="14">
        <v>1032407386</v>
      </c>
      <c r="B5026" s="2">
        <v>46121.759356134258</v>
      </c>
      <c r="C5026" s="3" t="str">
        <f>IFERROR(VLOOKUP(A5026,'Base Prueba'!A:C,3,),"NO REGISTRA")</f>
        <v>GINA PAOLA BAEZ GALVIS</v>
      </c>
      <c r="D5026" s="4" t="str">
        <f>IFERROR(VLOOKUP(A5026,'Base Prueba'!A:D,4,),"NO REGISTRA")</f>
        <v>PROMOTOR CALL CENTER</v>
      </c>
      <c r="E5026" s="5" t="str">
        <f>IFERROR(VLOOKUP(A5026,'Base Prueba'!A:E,5,),"NO REGISTRA")</f>
        <v>OFICINA DE MERCADEO</v>
      </c>
    </row>
    <row r="5027" spans="1:5" ht="15.75" x14ac:dyDescent="0.25">
      <c r="A5027" s="14">
        <v>1000593372</v>
      </c>
      <c r="B5027" s="2">
        <v>46121.759413541666</v>
      </c>
      <c r="C5027" s="3" t="str">
        <f>IFERROR(VLOOKUP(A5027,'Base Prueba'!A:C,3,),"NO REGISTRA")</f>
        <v>LAURA SOFIA CHAPARRO LOPEZ</v>
      </c>
      <c r="D5027" s="4" t="str">
        <f>IFERROR(VLOOKUP(A5027,'Base Prueba'!A:D,4,),"NO REGISTRA")</f>
        <v>AUXILIAR JURIDICO</v>
      </c>
      <c r="E5027" s="5" t="str">
        <f>IFERROR(VLOOKUP(A5027,'Base Prueba'!A:E,5,),"NO REGISTRA")</f>
        <v>SECRETARIA GENERAL</v>
      </c>
    </row>
    <row r="5028" spans="1:5" ht="15.75" x14ac:dyDescent="0.25">
      <c r="A5028" s="14">
        <v>1000604979</v>
      </c>
      <c r="B5028" s="2">
        <v>46121.759446759257</v>
      </c>
      <c r="C5028" s="3" t="str">
        <f>IFERROR(VLOOKUP(A5028,'Base Prueba'!A:C,3,),"NO REGISTRA")</f>
        <v>JULIETH TATIANA PARDO PINTO</v>
      </c>
      <c r="D5028" s="4" t="str">
        <f>IFERROR(VLOOKUP(A5028,'Base Prueba'!A:D,4,),"NO REGISTRA")</f>
        <v>AUXILIAR JURIDICO</v>
      </c>
      <c r="E5028" s="5" t="str">
        <f>IFERROR(VLOOKUP(A5028,'Base Prueba'!A:E,5,),"NO REGISTRA")</f>
        <v>SECRETARIA GENERAL</v>
      </c>
    </row>
    <row r="5029" spans="1:5" ht="15.75" x14ac:dyDescent="0.25">
      <c r="A5029" s="14">
        <v>1087121273</v>
      </c>
      <c r="B5029" s="2">
        <v>46121.760968171293</v>
      </c>
      <c r="C5029" s="3" t="str">
        <f>IFERROR(VLOOKUP(A5029,'Base Prueba'!A:C,3,),"NO REGISTRA")</f>
        <v>MAYRA ALEJANDRA CASTILLO ARBOLEDA</v>
      </c>
      <c r="D5029" s="4" t="str">
        <f>IFERROR(VLOOKUP(A5029,'Base Prueba'!A:D,4,),"NO REGISTRA")</f>
        <v>APOYO INTEGRAL DE MERCADEO</v>
      </c>
      <c r="E5029" s="5" t="str">
        <f>IFERROR(VLOOKUP(A5029,'Base Prueba'!A:E,5,),"NO REGISTRA")</f>
        <v>CENTRO DE GESTION DOCUMENTAL</v>
      </c>
    </row>
    <row r="5030" spans="1:5" ht="15.75" x14ac:dyDescent="0.25">
      <c r="A5030" s="14">
        <v>1000324729</v>
      </c>
      <c r="B5030" s="2">
        <v>46121.76702939815</v>
      </c>
      <c r="C5030" s="3" t="str">
        <f>IFERROR(VLOOKUP(A5030,'Base Prueba'!A:C,3,),"NO REGISTRA")</f>
        <v>ANYIE VANESSA TINOCO CAMACHO</v>
      </c>
      <c r="D5030" s="4" t="str">
        <f>IFERROR(VLOOKUP(A5030,'Base Prueba'!A:D,4,),"NO REGISTRA")</f>
        <v>LIDER DE REGISTRO Y CONTROL</v>
      </c>
      <c r="E5030" s="5" t="str">
        <f>IFERROR(VLOOKUP(A5030,'Base Prueba'!A:E,5,),"NO REGISTRA")</f>
        <v>REGISTRO Y CONTROL ACADEMICO</v>
      </c>
    </row>
    <row r="5031" spans="1:5" ht="15.75" x14ac:dyDescent="0.25">
      <c r="A5031" s="14">
        <v>1033820146</v>
      </c>
      <c r="B5031" s="2">
        <v>46121.767056365738</v>
      </c>
      <c r="C5031" s="3" t="str">
        <f>IFERROR(VLOOKUP(A5031,'Base Prueba'!A:C,3,),"NO REGISTRA")</f>
        <v>JULIETH ALEXANDRA BUSTAMANTE RUIZ</v>
      </c>
      <c r="D5031" s="4" t="str">
        <f>IFERROR(VLOOKUP(A5031,'Base Prueba'!A:D,4,),"NO REGISTRA")</f>
        <v>AUXILIAR ADMINISTRATIVO</v>
      </c>
      <c r="E5031" s="5" t="str">
        <f>IFERROR(VLOOKUP(A5031,'Base Prueba'!A:E,5,),"NO REGISTRA")</f>
        <v>REGISTRO Y CONTROL ACADEMICO</v>
      </c>
    </row>
    <row r="5032" spans="1:5" ht="15.75" x14ac:dyDescent="0.25">
      <c r="A5032" s="14">
        <v>1023883232</v>
      </c>
      <c r="B5032" s="2">
        <v>46121.768790972223</v>
      </c>
      <c r="C5032" s="3" t="str">
        <f>IFERROR(VLOOKUP(A5032,'Base Prueba'!A:C,3,),"NO REGISTRA")</f>
        <v>MONICA ANDREA ACERO URBANO</v>
      </c>
      <c r="D5032" s="4" t="str">
        <f>IFERROR(VLOOKUP(A5032,'Base Prueba'!A:D,4,),"NO REGISTRA")</f>
        <v>APOYO INTEGRAL A GESTION HUMANA</v>
      </c>
      <c r="E5032" s="5" t="str">
        <f>IFERROR(VLOOKUP(A5032,'Base Prueba'!A:E,5,),"NO REGISTRA")</f>
        <v>DEPARTAMENTO DE GESTION HUMANA</v>
      </c>
    </row>
    <row r="5033" spans="1:5" ht="15.75" x14ac:dyDescent="0.25">
      <c r="A5033" s="14">
        <v>80234243</v>
      </c>
      <c r="B5033" s="2">
        <v>46121.773279398149</v>
      </c>
      <c r="C5033" s="3" t="str">
        <f>IFERROR(VLOOKUP(A5033,'Base Prueba'!A:C,3,),"NO REGISTRA")</f>
        <v>ARGENIS MARTINEZ MARTINEZ</v>
      </c>
      <c r="D5033" s="4" t="str">
        <f>IFERROR(VLOOKUP(A5033,'Base Prueba'!A:D,4,),"NO REGISTRA")</f>
        <v>LIDER CALL CENTER</v>
      </c>
      <c r="E5033" s="5" t="str">
        <f>IFERROR(VLOOKUP(A5033,'Base Prueba'!A:E,5,),"NO REGISTRA")</f>
        <v>OFICINA DE MERCADEO</v>
      </c>
    </row>
    <row r="5034" spans="1:5" ht="15.75" x14ac:dyDescent="0.25">
      <c r="A5034" s="14">
        <v>1016090131</v>
      </c>
      <c r="B5034" s="2">
        <v>46121.775431134258</v>
      </c>
      <c r="C5034" s="3" t="str">
        <f>IFERROR(VLOOKUP(A5034,'Base Prueba'!A:C,3,),"NO REGISTRA")</f>
        <v>NICOLAS RODRIGUEZ PACHECO</v>
      </c>
      <c r="D5034" s="4" t="str">
        <f>IFERROR(VLOOKUP(A5034,'Base Prueba'!A:D,4,),"NO REGISTRA")</f>
        <v>COORDINADOR DE COMUNICACIONES</v>
      </c>
      <c r="E5034" s="5" t="str">
        <f>IFERROR(VLOOKUP(A5034,'Base Prueba'!A:E,5,),"NO REGISTRA")</f>
        <v>OFICINA DE MERCADEO</v>
      </c>
    </row>
    <row r="5035" spans="1:5" ht="15.75" x14ac:dyDescent="0.25">
      <c r="A5035" s="14">
        <v>1014196857</v>
      </c>
      <c r="B5035" s="2">
        <v>46121.777919560183</v>
      </c>
      <c r="C5035" s="3" t="str">
        <f>IFERROR(VLOOKUP(A5035,'Base Prueba'!A:C,3,),"NO REGISTRA")</f>
        <v>CARLOS ANDRES JIMENEZ PARDO</v>
      </c>
      <c r="D5035" s="4" t="str">
        <f>IFERROR(VLOOKUP(A5035,'Base Prueba'!A:D,4,),"NO REGISTRA")</f>
        <v>COORDINADOR DE MARKETING DIGITAL</v>
      </c>
      <c r="E5035" s="5" t="str">
        <f>IFERROR(VLOOKUP(A5035,'Base Prueba'!A:E,5,),"NO REGISTRA")</f>
        <v>OFICINA DE MERCADEO</v>
      </c>
    </row>
    <row r="5036" spans="1:5" ht="15.75" x14ac:dyDescent="0.25">
      <c r="A5036" s="14">
        <v>52764929</v>
      </c>
      <c r="B5036" s="2">
        <v>46121.784418518517</v>
      </c>
      <c r="C5036" s="3" t="str">
        <f>IFERROR(VLOOKUP(A5036,'Base Prueba'!A:C,3,),"NO REGISTRA")</f>
        <v>GUERLY YOHANA DURAN RIVERA</v>
      </c>
      <c r="D5036" s="4" t="str">
        <f>IFERROR(VLOOKUP(A5036,'Base Prueba'!A:D,4,),"NO REGISTRA")</f>
        <v>LIDER DE VINCULACION COLEGIOS</v>
      </c>
      <c r="E5036" s="5" t="str">
        <f>IFERROR(VLOOKUP(A5036,'Base Prueba'!A:E,5,),"NO REGISTRA")</f>
        <v>OFICINA DE MERCADEO</v>
      </c>
    </row>
    <row r="5037" spans="1:5" ht="15.75" x14ac:dyDescent="0.25">
      <c r="A5037" s="14">
        <v>1032469638</v>
      </c>
      <c r="B5037" s="2">
        <v>46121.790950347226</v>
      </c>
      <c r="C5037" s="3" t="str">
        <f>IFERROR(VLOOKUP(A5037,'Base Prueba'!A:C,3,),"NO REGISTRA")</f>
        <v>MAICOL JARBEY GUALTEROS CASTAÑEDA</v>
      </c>
      <c r="D5037" s="4" t="str">
        <f>IFERROR(VLOOKUP(A5037,'Base Prueba'!A:D,4,),"NO REGISTRA")</f>
        <v>COORDINADOR DEL SISTEMA INTERNO DE ASEGURAMIENTO DE LA CALIDAD - SIAC</v>
      </c>
      <c r="E5037" s="5" t="str">
        <f>IFERROR(VLOOKUP(A5037,'Base Prueba'!A:E,5,),"NO REGISTRA")</f>
        <v>OFICINA DE PLANEACION Y GESTION DE LA CALIDAD</v>
      </c>
    </row>
    <row r="5038" spans="1:5" ht="15.75" x14ac:dyDescent="0.25">
      <c r="A5038" s="14">
        <v>52474489</v>
      </c>
      <c r="B5038" s="2">
        <v>46121.790985879627</v>
      </c>
      <c r="C5038" s="3" t="str">
        <f>IFERROR(VLOOKUP(A5038,'Base Prueba'!A:C,3,),"NO REGISTRA")</f>
        <v>ADRIANA JIMENA SOTO BOCANEGRA</v>
      </c>
      <c r="D5038" s="4" t="str">
        <f>IFERROR(VLOOKUP(A5038,'Base Prueba'!A:D,4,),"NO REGISTRA")</f>
        <v>COORDINADOR DE LA OFICINA DE REGISTRO Y CONTROL</v>
      </c>
      <c r="E5038" s="5" t="str">
        <f>IFERROR(VLOOKUP(A5038,'Base Prueba'!A:E,5,),"NO REGISTRA")</f>
        <v>REGISTRO Y CONTROL ACADEMICO</v>
      </c>
    </row>
    <row r="5039" spans="1:5" ht="15.75" x14ac:dyDescent="0.25">
      <c r="A5039" s="14">
        <v>1013616244</v>
      </c>
      <c r="B5039" s="2">
        <v>46121.793318865741</v>
      </c>
      <c r="C5039" s="3" t="str">
        <f>IFERROR(VLOOKUP(A5039,'Base Prueba'!A:C,3,),"NO REGISTRA")</f>
        <v>DIANA CAROLINA MARIN BETANCOURT</v>
      </c>
      <c r="D5039" s="4" t="str">
        <f>IFERROR(VLOOKUP(A5039,'Base Prueba'!A:D,4,),"NO REGISTRA")</f>
        <v>AUXILIAR ADMINISTRATIVO</v>
      </c>
      <c r="E5039" s="5" t="str">
        <f>IFERROR(VLOOKUP(A5039,'Base Prueba'!A:E,5,),"NO REGISTRA")</f>
        <v>REGISTRO Y CONTROL ACADEMICO</v>
      </c>
    </row>
    <row r="5040" spans="1:5" ht="15.75" x14ac:dyDescent="0.25">
      <c r="A5040" s="14">
        <v>1087121273</v>
      </c>
      <c r="B5040" s="2">
        <v>46122.305927314817</v>
      </c>
      <c r="C5040" s="3" t="str">
        <f>IFERROR(VLOOKUP(A5040,'Base Prueba'!A:C,3,),"NO REGISTRA")</f>
        <v>MAYRA ALEJANDRA CASTILLO ARBOLEDA</v>
      </c>
      <c r="D5040" s="4" t="str">
        <f>IFERROR(VLOOKUP(A5040,'Base Prueba'!A:D,4,),"NO REGISTRA")</f>
        <v>APOYO INTEGRAL DE MERCADEO</v>
      </c>
      <c r="E5040" s="5" t="str">
        <f>IFERROR(VLOOKUP(A5040,'Base Prueba'!A:E,5,),"NO REGISTRA")</f>
        <v>CENTRO DE GESTION DOCUMENTAL</v>
      </c>
    </row>
    <row r="5041" spans="1:5" ht="15.75" x14ac:dyDescent="0.25">
      <c r="A5041" s="14">
        <v>1024512067</v>
      </c>
      <c r="B5041" s="2">
        <v>46122.319942245369</v>
      </c>
      <c r="C5041" s="3" t="str">
        <f>IFERROR(VLOOKUP(A5041,'Base Prueba'!A:C,3,),"NO REGISTRA")</f>
        <v>CINDY GIOVANA SALGAR GOMEZ</v>
      </c>
      <c r="D5041" s="4" t="str">
        <f>IFERROR(VLOOKUP(A5041,'Base Prueba'!A:D,4,),"NO REGISTRA")</f>
        <v>COORDINADOR DEL SISTEMA INTEGRADO DE GESTION INSTITUCIONAL - SIGI</v>
      </c>
      <c r="E5041" s="5" t="str">
        <f>IFERROR(VLOOKUP(A5041,'Base Prueba'!A:E,5,),"NO REGISTRA")</f>
        <v>OFICINA DE PLANEACION Y GESTION DE LA CALIDAD</v>
      </c>
    </row>
    <row r="5042" spans="1:5" ht="15.75" x14ac:dyDescent="0.25">
      <c r="A5042" s="14">
        <v>1013616244</v>
      </c>
      <c r="B5042" s="2">
        <v>46122.328052083336</v>
      </c>
      <c r="C5042" s="3" t="str">
        <f>IFERROR(VLOOKUP(A5042,'Base Prueba'!A:C,3,),"NO REGISTRA")</f>
        <v>DIANA CAROLINA MARIN BETANCOURT</v>
      </c>
      <c r="D5042" s="4" t="str">
        <f>IFERROR(VLOOKUP(A5042,'Base Prueba'!A:D,4,),"NO REGISTRA")</f>
        <v>AUXILIAR ADMINISTRATIVO</v>
      </c>
      <c r="E5042" s="5" t="str">
        <f>IFERROR(VLOOKUP(A5042,'Base Prueba'!A:E,5,),"NO REGISTRA")</f>
        <v>REGISTRO Y CONTROL ACADEMICO</v>
      </c>
    </row>
    <row r="5043" spans="1:5" ht="15.75" x14ac:dyDescent="0.25">
      <c r="A5043" s="14">
        <v>1000324729</v>
      </c>
      <c r="B5043" s="2">
        <v>46122.328174189817</v>
      </c>
      <c r="C5043" s="3" t="str">
        <f>IFERROR(VLOOKUP(A5043,'Base Prueba'!A:C,3,),"NO REGISTRA")</f>
        <v>ANYIE VANESSA TINOCO CAMACHO</v>
      </c>
      <c r="D5043" s="4" t="str">
        <f>IFERROR(VLOOKUP(A5043,'Base Prueba'!A:D,4,),"NO REGISTRA")</f>
        <v>LIDER DE REGISTRO Y CONTROL</v>
      </c>
      <c r="E5043" s="5" t="str">
        <f>IFERROR(VLOOKUP(A5043,'Base Prueba'!A:E,5,),"NO REGISTRA")</f>
        <v>REGISTRO Y CONTROL ACADEMICO</v>
      </c>
    </row>
    <row r="5044" spans="1:5" ht="15.75" x14ac:dyDescent="0.25">
      <c r="A5044" s="14">
        <v>1010184333</v>
      </c>
      <c r="B5044" s="2">
        <v>46122.332435300923</v>
      </c>
      <c r="C5044" s="3" t="str">
        <f>IFERROR(VLOOKUP(A5044,'Base Prueba'!A:C,3,),"NO REGISTRA")</f>
        <v>AKON ANDRES GARZON ALVAREZ</v>
      </c>
      <c r="D5044" s="4" t="str">
        <f>IFERROR(VLOOKUP(A5044,'Base Prueba'!A:D,4,),"NO REGISTRA")</f>
        <v>APRENDIZ UNIVERSITARIO</v>
      </c>
      <c r="E5044" s="5" t="str">
        <f>IFERROR(VLOOKUP(A5044,'Base Prueba'!A:E,5,),"NO REGISTRA")</f>
        <v>SECRETARIA GENERAL</v>
      </c>
    </row>
    <row r="5045" spans="1:5" ht="15.75" x14ac:dyDescent="0.25">
      <c r="A5045" s="14">
        <v>80191732</v>
      </c>
      <c r="B5045" s="2">
        <v>46122.333568402777</v>
      </c>
      <c r="C5045" s="3" t="str">
        <f>IFERROR(VLOOKUP(A5045,'Base Prueba'!A:C,3,),"NO REGISTRA")</f>
        <v>DANIEL MAURICIO ZAMBRANO TUNJANO</v>
      </c>
      <c r="D5045" s="4" t="str">
        <f>IFERROR(VLOOKUP(A5045,'Base Prueba'!A:D,4,),"NO REGISTRA")</f>
        <v>COORDINADOR DE DISEÑO E IMAGEN INSTITUCIONAL</v>
      </c>
      <c r="E5045" s="5" t="str">
        <f>IFERROR(VLOOKUP(A5045,'Base Prueba'!A:E,5,),"NO REGISTRA")</f>
        <v>OFICINA DE MERCADEO</v>
      </c>
    </row>
    <row r="5046" spans="1:5" ht="15.75" x14ac:dyDescent="0.25">
      <c r="A5046" s="14">
        <v>1000257136</v>
      </c>
      <c r="B5046" s="2">
        <v>46122.333884375003</v>
      </c>
      <c r="C5046" s="3" t="str">
        <f>IFERROR(VLOOKUP(A5046,'Base Prueba'!A:C,3,),"NO REGISTRA")</f>
        <v>FRANCI VALENTINA CANO PUENTES</v>
      </c>
      <c r="D5046" s="4" t="str">
        <f>IFERROR(VLOOKUP(A5046,'Base Prueba'!A:D,4,),"NO REGISTRA")</f>
        <v>AUXILIAR CONTABLE</v>
      </c>
      <c r="E5046" s="5" t="str">
        <f>IFERROR(VLOOKUP(A5046,'Base Prueba'!A:E,5,),"NO REGISTRA")</f>
        <v>AREA FINANCIERA Y CONTABLE</v>
      </c>
    </row>
    <row r="5047" spans="1:5" ht="15.75" x14ac:dyDescent="0.25">
      <c r="A5047" s="14">
        <v>1013098430</v>
      </c>
      <c r="B5047" s="2">
        <v>46122.335522800924</v>
      </c>
      <c r="C5047" s="3" t="str">
        <f>IFERROR(VLOOKUP(A5047,'Base Prueba'!A:C,3,),"NO REGISTRA")</f>
        <v>ANDRES FELIPE LOPEZ ROMERO</v>
      </c>
      <c r="D5047" s="4" t="str">
        <f>IFERROR(VLOOKUP(A5047,'Base Prueba'!A:D,4,),"NO REGISTRA")</f>
        <v>APRENDIZ UNIVERSITARIO</v>
      </c>
      <c r="E5047" s="5" t="str">
        <f>IFERROR(VLOOKUP(A5047,'Base Prueba'!A:E,5,),"NO REGISTRA")</f>
        <v>OFICINA DE MERCADEO</v>
      </c>
    </row>
    <row r="5048" spans="1:5" ht="15.75" x14ac:dyDescent="0.25">
      <c r="A5048" s="14">
        <v>1018413529</v>
      </c>
      <c r="B5048" s="2">
        <v>46122.341148495369</v>
      </c>
      <c r="C5048" s="3" t="str">
        <f>IFERROR(VLOOKUP(A5048,'Base Prueba'!A:C,3,),"NO REGISTRA")</f>
        <v>FRANCY STELLA CHARRY MORENO</v>
      </c>
      <c r="D5048" s="4" t="str">
        <f>IFERROR(VLOOKUP(A5048,'Base Prueba'!A:D,4,),"NO REGISTRA")</f>
        <v>PROMOTOR COMERCIAL DEL CEA</v>
      </c>
      <c r="E5048" s="5" t="str">
        <f>IFERROR(VLOOKUP(A5048,'Base Prueba'!A:E,5,),"NO REGISTRA")</f>
        <v>OFICINA DE MERCADEO</v>
      </c>
    </row>
    <row r="5049" spans="1:5" ht="15.75" x14ac:dyDescent="0.25">
      <c r="A5049" s="14">
        <v>1049644802</v>
      </c>
      <c r="B5049" s="2">
        <v>46122.342452083336</v>
      </c>
      <c r="C5049" s="3" t="str">
        <f>IFERROR(VLOOKUP(A5049,'Base Prueba'!A:C,3,),"NO REGISTRA")</f>
        <v>DANIELA ALEXANDRA CIPAMOCHA BOSIGA</v>
      </c>
      <c r="D5049" s="4" t="str">
        <f>IFERROR(VLOOKUP(A5049,'Base Prueba'!A:D,4,),"NO REGISTRA")</f>
        <v>LIDER DE DATOS Y SERVICIOS</v>
      </c>
      <c r="E5049" s="5" t="str">
        <f>IFERROR(VLOOKUP(A5049,'Base Prueba'!A:E,5,),"NO REGISTRA")</f>
        <v>OFICINA DE PLANEACION Y GESTION DE LA CALIDAD</v>
      </c>
    </row>
    <row r="5050" spans="1:5" ht="15.75" x14ac:dyDescent="0.25">
      <c r="A5050" s="14">
        <v>1022996882</v>
      </c>
      <c r="B5050" s="2">
        <v>46122.343319907406</v>
      </c>
      <c r="C5050" s="3" t="str">
        <f>IFERROR(VLOOKUP(A5050,'Base Prueba'!A:C,3,),"NO REGISTRA")</f>
        <v>NANCY BRIGITH ALDANA GUEVARA</v>
      </c>
      <c r="D5050" s="4" t="str">
        <f>IFERROR(VLOOKUP(A5050,'Base Prueba'!A:D,4,),"NO REGISTRA")</f>
        <v>COORDINADORA DE GESTIÓN HUMANA</v>
      </c>
      <c r="E5050" s="5" t="str">
        <f>IFERROR(VLOOKUP(A5050,'Base Prueba'!A:E,5,),"NO REGISTRA")</f>
        <v>DEPARTAMENTO DE GESTION HUMANA</v>
      </c>
    </row>
    <row r="5051" spans="1:5" ht="15.75" x14ac:dyDescent="0.25">
      <c r="A5051" s="14">
        <v>53932358</v>
      </c>
      <c r="B5051" s="2">
        <v>46122.343834953703</v>
      </c>
      <c r="C5051" s="3" t="str">
        <f>IFERROR(VLOOKUP(A5051,'Base Prueba'!A:C,3,),"NO REGISTRA")</f>
        <v>DIANA MADELEYNE GAONA RODRIGUEZ</v>
      </c>
      <c r="D5051" s="4" t="str">
        <f>IFERROR(VLOOKUP(A5051,'Base Prueba'!A:D,4,),"NO REGISTRA")</f>
        <v>CONTADOR</v>
      </c>
      <c r="E5051" s="5" t="str">
        <f>IFERROR(VLOOKUP(A5051,'Base Prueba'!A:E,5,),"NO REGISTRA")</f>
        <v>AREA FINANCIERA Y CONTABLE</v>
      </c>
    </row>
    <row r="5052" spans="1:5" ht="15.75" x14ac:dyDescent="0.25">
      <c r="A5052" s="14">
        <v>1193457976</v>
      </c>
      <c r="B5052" s="2">
        <v>46122.344967476849</v>
      </c>
      <c r="C5052" s="3" t="str">
        <f>IFERROR(VLOOKUP(A5052,'Base Prueba'!A:C,3,),"NO REGISTRA")</f>
        <v>SEDENIS RIVAS ASPRILLA</v>
      </c>
      <c r="D5052" s="4" t="str">
        <f>IFERROR(VLOOKUP(A5052,'Base Prueba'!A:D,4,),"NO REGISTRA")</f>
        <v>APRENDIZ UNIVERSITARIO</v>
      </c>
      <c r="E5052" s="5" t="str">
        <f>IFERROR(VLOOKUP(A5052,'Base Prueba'!A:E,5,),"NO REGISTRA")</f>
        <v>DEPARTAMENTO DE GESTION HUMANA</v>
      </c>
    </row>
    <row r="5053" spans="1:5" ht="15.75" x14ac:dyDescent="0.25">
      <c r="A5053" s="14">
        <v>52474489</v>
      </c>
      <c r="B5053" s="2">
        <v>46122.347184027778</v>
      </c>
      <c r="C5053" s="3" t="str">
        <f>IFERROR(VLOOKUP(A5053,'Base Prueba'!A:C,3,),"NO REGISTRA")</f>
        <v>ADRIANA JIMENA SOTO BOCANEGRA</v>
      </c>
      <c r="D5053" s="4" t="str">
        <f>IFERROR(VLOOKUP(A5053,'Base Prueba'!A:D,4,),"NO REGISTRA")</f>
        <v>COORDINADOR DE LA OFICINA DE REGISTRO Y CONTROL</v>
      </c>
      <c r="E5053" s="5" t="str">
        <f>IFERROR(VLOOKUP(A5053,'Base Prueba'!A:E,5,),"NO REGISTRA")</f>
        <v>REGISTRO Y CONTROL ACADEMICO</v>
      </c>
    </row>
    <row r="5054" spans="1:5" ht="15.75" x14ac:dyDescent="0.25">
      <c r="A5054" s="14">
        <v>1000604979</v>
      </c>
      <c r="B5054" s="2">
        <v>46122.347561458337</v>
      </c>
      <c r="C5054" s="3" t="str">
        <f>IFERROR(VLOOKUP(A5054,'Base Prueba'!A:C,3,),"NO REGISTRA")</f>
        <v>JULIETH TATIANA PARDO PINTO</v>
      </c>
      <c r="D5054" s="4" t="str">
        <f>IFERROR(VLOOKUP(A5054,'Base Prueba'!A:D,4,),"NO REGISTRA")</f>
        <v>AUXILIAR JURIDICO</v>
      </c>
      <c r="E5054" s="5" t="str">
        <f>IFERROR(VLOOKUP(A5054,'Base Prueba'!A:E,5,),"NO REGISTRA")</f>
        <v>SECRETARIA GENERAL</v>
      </c>
    </row>
    <row r="5055" spans="1:5" ht="15.75" x14ac:dyDescent="0.25">
      <c r="A5055" s="14">
        <v>1000457706</v>
      </c>
      <c r="B5055" s="2">
        <v>46122.347644675923</v>
      </c>
      <c r="C5055" s="3" t="str">
        <f>IFERROR(VLOOKUP(A5055,'Base Prueba'!A:C,3,),"NO REGISTRA")</f>
        <v>CRISTIAN DANILO ARROYO SANABRIA</v>
      </c>
      <c r="D5055" s="4" t="str">
        <f>IFERROR(VLOOKUP(A5055,'Base Prueba'!A:D,4,),"NO REGISTRA")</f>
        <v>AUXILIAR CONTABLE</v>
      </c>
      <c r="E5055" s="5" t="str">
        <f>IFERROR(VLOOKUP(A5055,'Base Prueba'!A:E,5,),"NO REGISTRA")</f>
        <v>AREA FINANCIERA Y CONTABLE</v>
      </c>
    </row>
    <row r="5056" spans="1:5" ht="15.75" x14ac:dyDescent="0.25">
      <c r="A5056" s="14">
        <v>1023883232</v>
      </c>
      <c r="B5056" s="2">
        <v>46122.349473032409</v>
      </c>
      <c r="C5056" s="3" t="str">
        <f>IFERROR(VLOOKUP(A5056,'Base Prueba'!A:C,3,),"NO REGISTRA")</f>
        <v>MONICA ANDREA ACERO URBANO</v>
      </c>
      <c r="D5056" s="4" t="str">
        <f>IFERROR(VLOOKUP(A5056,'Base Prueba'!A:D,4,),"NO REGISTRA")</f>
        <v>APOYO INTEGRAL A GESTION HUMANA</v>
      </c>
      <c r="E5056" s="5" t="str">
        <f>IFERROR(VLOOKUP(A5056,'Base Prueba'!A:E,5,),"NO REGISTRA")</f>
        <v>DEPARTAMENTO DE GESTION HUMANA</v>
      </c>
    </row>
    <row r="5057" spans="1:5" ht="15.75" x14ac:dyDescent="0.25">
      <c r="A5057" s="14">
        <v>1014977624</v>
      </c>
      <c r="B5057" s="2">
        <v>46122.350019560188</v>
      </c>
      <c r="C5057" s="3" t="str">
        <f>IFERROR(VLOOKUP(A5057,'Base Prueba'!A:C,3,),"NO REGISTRA")</f>
        <v>NICCOLE VALENTINA HERNANDEZ MALAVER</v>
      </c>
      <c r="D5057" s="4" t="str">
        <f>IFERROR(VLOOKUP(A5057,'Base Prueba'!A:D,4,),"NO REGISTRA")</f>
        <v>APRENDIZ UNIVERSITARIO</v>
      </c>
      <c r="E5057" s="5" t="str">
        <f>IFERROR(VLOOKUP(A5057,'Base Prueba'!A:E,5,),"NO REGISTRA")</f>
        <v>AREA FINANCIERA Y CONTABLE</v>
      </c>
    </row>
    <row r="5058" spans="1:5" ht="15.75" x14ac:dyDescent="0.25">
      <c r="A5058" s="14">
        <v>1013101788</v>
      </c>
      <c r="B5058" s="2">
        <v>46122.354568634262</v>
      </c>
      <c r="C5058" s="3" t="str">
        <f>IFERROR(VLOOKUP(A5058,'Base Prueba'!A:C,3,),"NO REGISTRA")</f>
        <v>SARA TANGARIFE MONTOYA</v>
      </c>
      <c r="D5058" s="4" t="str">
        <f>IFERROR(VLOOKUP(A5058,'Base Prueba'!A:D,4,),"NO REGISTRA")</f>
        <v>APRENDIZ UNIVERSITARIO</v>
      </c>
      <c r="E5058" s="5" t="str">
        <f>IFERROR(VLOOKUP(A5058,'Base Prueba'!A:E,5,),"NO REGISTRA")</f>
        <v>OFICINA DE MERCADEO</v>
      </c>
    </row>
    <row r="5059" spans="1:5" ht="15.75" x14ac:dyDescent="0.25">
      <c r="A5059" s="14">
        <v>1032407386</v>
      </c>
      <c r="B5059" s="2">
        <v>46122.363946527781</v>
      </c>
      <c r="C5059" s="3" t="str">
        <f>IFERROR(VLOOKUP(A5059,'Base Prueba'!A:C,3,),"NO REGISTRA")</f>
        <v>GINA PAOLA BAEZ GALVIS</v>
      </c>
      <c r="D5059" s="4" t="str">
        <f>IFERROR(VLOOKUP(A5059,'Base Prueba'!A:D,4,),"NO REGISTRA")</f>
        <v>PROMOTOR CALL CENTER</v>
      </c>
      <c r="E5059" s="5" t="str">
        <f>IFERROR(VLOOKUP(A5059,'Base Prueba'!A:E,5,),"NO REGISTRA")</f>
        <v>OFICINA DE MERCADEO</v>
      </c>
    </row>
    <row r="5060" spans="1:5" ht="15.75" x14ac:dyDescent="0.25">
      <c r="A5060" s="14">
        <v>1014308296</v>
      </c>
      <c r="B5060" s="2">
        <v>46122.364140046295</v>
      </c>
      <c r="C5060" s="3" t="str">
        <f>IFERROR(VLOOKUP(A5060,'Base Prueba'!A:C,3,),"NO REGISTRA")</f>
        <v>DARLENE YULIANA MORENO CELEITA</v>
      </c>
      <c r="D5060" s="4" t="str">
        <f>IFERROR(VLOOKUP(A5060,'Base Prueba'!A:D,4,),"NO REGISTRA")</f>
        <v>CAJERO PRINCIPAL</v>
      </c>
      <c r="E5060" s="5" t="str">
        <f>IFERROR(VLOOKUP(A5060,'Base Prueba'!A:E,5,),"NO REGISTRA")</f>
        <v>AREA FINANCIERA Y CONTABLE</v>
      </c>
    </row>
    <row r="5061" spans="1:5" ht="15.75" x14ac:dyDescent="0.25">
      <c r="A5061" s="14">
        <v>1016090131</v>
      </c>
      <c r="B5061" s="2">
        <v>46122.364480208336</v>
      </c>
      <c r="C5061" s="3" t="str">
        <f>IFERROR(VLOOKUP(A5061,'Base Prueba'!A:C,3,),"NO REGISTRA")</f>
        <v>NICOLAS RODRIGUEZ PACHECO</v>
      </c>
      <c r="D5061" s="4" t="str">
        <f>IFERROR(VLOOKUP(A5061,'Base Prueba'!A:D,4,),"NO REGISTRA")</f>
        <v>COORDINADOR DE COMUNICACIONES</v>
      </c>
      <c r="E5061" s="5" t="str">
        <f>IFERROR(VLOOKUP(A5061,'Base Prueba'!A:E,5,),"NO REGISTRA")</f>
        <v>OFICINA DE MERCADEO</v>
      </c>
    </row>
    <row r="5062" spans="1:5" ht="15.75" x14ac:dyDescent="0.25">
      <c r="A5062" s="14">
        <v>1012426741</v>
      </c>
      <c r="B5062" s="2">
        <v>46122.367380671298</v>
      </c>
      <c r="C5062" s="3" t="str">
        <f>IFERROR(VLOOKUP(A5062,'Base Prueba'!A:C,3,),"NO REGISTRA")</f>
        <v>CRISTIAN FABIAN ROJAS SANCENO</v>
      </c>
      <c r="D5062" s="4" t="str">
        <f>IFERROR(VLOOKUP(A5062,'Base Prueba'!A:D,4,),"NO REGISTRA")</f>
        <v>AUXILIAR DE REINTEGROS</v>
      </c>
      <c r="E5062" s="5" t="str">
        <f>IFERROR(VLOOKUP(A5062,'Base Prueba'!A:E,5,),"NO REGISTRA")</f>
        <v>DIRECCION DE BIENESTAR INSTITUCIONAL</v>
      </c>
    </row>
    <row r="5063" spans="1:5" ht="15.75" x14ac:dyDescent="0.25">
      <c r="A5063" s="14">
        <v>52472386</v>
      </c>
      <c r="B5063" s="2">
        <v>46122.36746134259</v>
      </c>
      <c r="C5063" s="3" t="str">
        <f>IFERROR(VLOOKUP(A5063,'Base Prueba'!A:C,3,),"NO REGISTRA")</f>
        <v>ADRIANA MARCELA MORALES PARDO</v>
      </c>
      <c r="D5063" s="4" t="str">
        <f>IFERROR(VLOOKUP(A5063,'Base Prueba'!A:D,4,),"NO REGISTRA")</f>
        <v>PROMOTOR CALL CENTER</v>
      </c>
      <c r="E5063" s="5" t="str">
        <f>IFERROR(VLOOKUP(A5063,'Base Prueba'!A:E,5,),"NO REGISTRA")</f>
        <v>OFICINA DE MERCADEO</v>
      </c>
    </row>
    <row r="5064" spans="1:5" ht="15.75" x14ac:dyDescent="0.25">
      <c r="A5064" s="14">
        <v>1000593372</v>
      </c>
      <c r="B5064" s="2">
        <v>46122.368362847221</v>
      </c>
      <c r="C5064" s="3" t="str">
        <f>IFERROR(VLOOKUP(A5064,'Base Prueba'!A:C,3,),"NO REGISTRA")</f>
        <v>LAURA SOFIA CHAPARRO LOPEZ</v>
      </c>
      <c r="D5064" s="4" t="str">
        <f>IFERROR(VLOOKUP(A5064,'Base Prueba'!A:D,4,),"NO REGISTRA")</f>
        <v>AUXILIAR JURIDICO</v>
      </c>
      <c r="E5064" s="5" t="str">
        <f>IFERROR(VLOOKUP(A5064,'Base Prueba'!A:E,5,),"NO REGISTRA")</f>
        <v>SECRETARIA GENERAL</v>
      </c>
    </row>
    <row r="5065" spans="1:5" ht="15.75" x14ac:dyDescent="0.25">
      <c r="A5065" s="14">
        <v>1033709056</v>
      </c>
      <c r="B5065" s="2">
        <v>46122.368916203704</v>
      </c>
      <c r="C5065" s="3" t="str">
        <f>IFERROR(VLOOKUP(A5065,'Base Prueba'!A:C,3,),"NO REGISTRA")</f>
        <v>YEIMY ALEXANDRA RODRIGUEZ PALACIO</v>
      </c>
      <c r="D5065" s="4" t="str">
        <f>IFERROR(VLOOKUP(A5065,'Base Prueba'!A:D,4,),"NO REGISTRA")</f>
        <v>PROMOTOR CALL CENTER</v>
      </c>
      <c r="E5065" s="5" t="str">
        <f>IFERROR(VLOOKUP(A5065,'Base Prueba'!A:E,5,),"NO REGISTRA")</f>
        <v>OFICINA DE MERCADEO</v>
      </c>
    </row>
    <row r="5066" spans="1:5" ht="15.75" x14ac:dyDescent="0.25">
      <c r="A5066" s="14">
        <v>28798349</v>
      </c>
      <c r="B5066" s="2">
        <v>46122.369109490741</v>
      </c>
      <c r="C5066" s="3" t="str">
        <f>IFERROR(VLOOKUP(A5066,'Base Prueba'!A:C,3,),"NO REGISTRA")</f>
        <v>MARTHA ISABEL TOVAR WILLIAMS</v>
      </c>
      <c r="D5066" s="4" t="str">
        <f>IFERROR(VLOOKUP(A5066,'Base Prueba'!A:D,4,),"NO REGISTRA")</f>
        <v>PROMOTOR CALL CENTER</v>
      </c>
      <c r="E5066" s="5" t="str">
        <f>IFERROR(VLOOKUP(A5066,'Base Prueba'!A:E,5,),"NO REGISTRA")</f>
        <v>OFICINA DE MERCADEO</v>
      </c>
    </row>
    <row r="5067" spans="1:5" ht="15.75" x14ac:dyDescent="0.25">
      <c r="A5067" s="14">
        <v>80234243</v>
      </c>
      <c r="B5067" s="2">
        <v>46122.371113657406</v>
      </c>
      <c r="C5067" s="3" t="str">
        <f>IFERROR(VLOOKUP(A5067,'Base Prueba'!A:C,3,),"NO REGISTRA")</f>
        <v>ARGENIS MARTINEZ MARTINEZ</v>
      </c>
      <c r="D5067" s="4" t="str">
        <f>IFERROR(VLOOKUP(A5067,'Base Prueba'!A:D,4,),"NO REGISTRA")</f>
        <v>LIDER CALL CENTER</v>
      </c>
      <c r="E5067" s="5" t="str">
        <f>IFERROR(VLOOKUP(A5067,'Base Prueba'!A:E,5,),"NO REGISTRA")</f>
        <v>OFICINA DE MERCADEO</v>
      </c>
    </row>
    <row r="5068" spans="1:5" ht="15.75" x14ac:dyDescent="0.25">
      <c r="A5068" s="14">
        <v>1019105003</v>
      </c>
      <c r="B5068" s="2">
        <v>46122.372021990741</v>
      </c>
      <c r="C5068" s="3" t="str">
        <f>IFERROR(VLOOKUP(A5068,'Base Prueba'!A:C,3,),"NO REGISTRA")</f>
        <v>DAISY JULIETH GASPAR MORENO</v>
      </c>
      <c r="D5068" s="4" t="str">
        <f>IFERROR(VLOOKUP(A5068,'Base Prueba'!A:D,4,),"NO REGISTRA")</f>
        <v>PROMOTOR CALL CENTER</v>
      </c>
      <c r="E5068" s="5" t="str">
        <f>IFERROR(VLOOKUP(A5068,'Base Prueba'!A:E,5,),"NO REGISTRA")</f>
        <v>OFICINA DE MERCADEO</v>
      </c>
    </row>
    <row r="5069" spans="1:5" ht="15.75" x14ac:dyDescent="0.25">
      <c r="A5069" s="14">
        <v>1018414290</v>
      </c>
      <c r="B5069" s="2">
        <v>46122.372886689816</v>
      </c>
      <c r="C5069" s="3" t="str">
        <f>IFERROR(VLOOKUP(A5069,'Base Prueba'!A:C,3,),"NO REGISTRA")</f>
        <v>AMANDA LISBETH RODRIGUEZ LEON</v>
      </c>
      <c r="D5069" s="4" t="str">
        <f>IFERROR(VLOOKUP(A5069,'Base Prueba'!A:D,4,),"NO REGISTRA")</f>
        <v>PROMOTOR CALL CENTER</v>
      </c>
      <c r="E5069" s="5" t="str">
        <f>IFERROR(VLOOKUP(A5069,'Base Prueba'!A:E,5,),"NO REGISTRA")</f>
        <v>OFICINA DE MERCADEO</v>
      </c>
    </row>
    <row r="5070" spans="1:5" ht="15.75" x14ac:dyDescent="0.25">
      <c r="A5070" s="14">
        <v>1023961952</v>
      </c>
      <c r="B5070" s="2">
        <v>46122.37385358796</v>
      </c>
      <c r="C5070" s="3" t="str">
        <f>IFERROR(VLOOKUP(A5070,'Base Prueba'!A:C,3,),"NO REGISTRA")</f>
        <v>ALEJANDRO PINZON MERCHAN</v>
      </c>
      <c r="D5070" s="4" t="str">
        <f>IFERROR(VLOOKUP(A5070,'Base Prueba'!A:D,4,),"NO REGISTRA")</f>
        <v>PROMOTOR CALL CENTER</v>
      </c>
      <c r="E5070" s="5" t="str">
        <f>IFERROR(VLOOKUP(A5070,'Base Prueba'!A:E,5,),"NO REGISTRA")</f>
        <v>OFICINA DE MERCADEO</v>
      </c>
    </row>
    <row r="5071" spans="1:5" ht="15.75" x14ac:dyDescent="0.25">
      <c r="A5071" s="14">
        <v>1000046533</v>
      </c>
      <c r="B5071" s="2">
        <v>46122.375672222224</v>
      </c>
      <c r="C5071" s="3" t="str">
        <f>IFERROR(VLOOKUP(A5071,'Base Prueba'!A:C,3,),"NO REGISTRA")</f>
        <v>ERIKA JULIETH VALDERRAMA SANCHEZ</v>
      </c>
      <c r="D5071" s="4" t="str">
        <f>IFERROR(VLOOKUP(A5071,'Base Prueba'!A:D,4,),"NO REGISTRA")</f>
        <v>PROMOTOR CALL CENTER</v>
      </c>
      <c r="E5071" s="5" t="str">
        <f>IFERROR(VLOOKUP(A5071,'Base Prueba'!A:E,5,),"NO REGISTRA")</f>
        <v>OFICINA DE MERCADEO</v>
      </c>
    </row>
    <row r="5072" spans="1:5" ht="15.75" x14ac:dyDescent="0.25">
      <c r="A5072" s="14">
        <v>53089882</v>
      </c>
      <c r="B5072" s="2">
        <v>46122.377027083334</v>
      </c>
      <c r="C5072" s="3" t="str">
        <f>IFERROR(VLOOKUP(A5072,'Base Prueba'!A:C,3,),"NO REGISTRA")</f>
        <v>MARIA JOHANA ESCAMILLA MARTINEZ</v>
      </c>
      <c r="D5072" s="4" t="str">
        <f>IFERROR(VLOOKUP(A5072,'Base Prueba'!A:D,4,),"NO REGISTRA")</f>
        <v>PROMOTOR DE INFORMACIÓN</v>
      </c>
      <c r="E5072" s="5" t="str">
        <f>IFERROR(VLOOKUP(A5072,'Base Prueba'!A:E,5,),"NO REGISTRA")</f>
        <v>OFICINA DE MERCADEO</v>
      </c>
    </row>
    <row r="5073" spans="1:5" ht="15.75" x14ac:dyDescent="0.25">
      <c r="A5073" s="14">
        <v>52764929</v>
      </c>
      <c r="B5073" s="2">
        <v>46122.380540162034</v>
      </c>
      <c r="C5073" s="3" t="str">
        <f>IFERROR(VLOOKUP(A5073,'Base Prueba'!A:C,3,),"NO REGISTRA")</f>
        <v>GUERLY YOHANA DURAN RIVERA</v>
      </c>
      <c r="D5073" s="4" t="str">
        <f>IFERROR(VLOOKUP(A5073,'Base Prueba'!A:D,4,),"NO REGISTRA")</f>
        <v>LIDER DE VINCULACION COLEGIOS</v>
      </c>
      <c r="E5073" s="5" t="str">
        <f>IFERROR(VLOOKUP(A5073,'Base Prueba'!A:E,5,),"NO REGISTRA")</f>
        <v>OFICINA DE MERCADEO</v>
      </c>
    </row>
    <row r="5074" spans="1:5" ht="15.75" x14ac:dyDescent="0.25">
      <c r="A5074" s="14">
        <v>52175674</v>
      </c>
      <c r="B5074" s="2">
        <v>46122.382049305554</v>
      </c>
      <c r="C5074" s="3" t="str">
        <f>IFERROR(VLOOKUP(A5074,'Base Prueba'!A:C,3,),"NO REGISTRA")</f>
        <v>LUZ YANETH GOMEZ AREVALO</v>
      </c>
      <c r="D5074" s="4" t="str">
        <f>IFERROR(VLOOKUP(A5074,'Base Prueba'!A:D,4,),"NO REGISTRA")</f>
        <v>COORDINADORA DE ADMISIONES</v>
      </c>
      <c r="E5074" s="5" t="str">
        <f>IFERROR(VLOOKUP(A5074,'Base Prueba'!A:E,5,),"NO REGISTRA")</f>
        <v>OFICINA DE MERCADEO</v>
      </c>
    </row>
    <row r="5075" spans="1:5" ht="15.75" x14ac:dyDescent="0.25">
      <c r="A5075" s="14">
        <v>52443092</v>
      </c>
      <c r="B5075" s="2">
        <v>46122.583817939812</v>
      </c>
      <c r="C5075" s="3" t="str">
        <f>IFERROR(VLOOKUP(A5075,'Base Prueba'!A:C,3,),"NO REGISTRA")</f>
        <v>LUZ MYRIAM SAAVEDRA CONTRERAS</v>
      </c>
      <c r="D5075" s="4" t="str">
        <f>IFERROR(VLOOKUP(A5075,'Base Prueba'!A:D,4,),"NO REGISTRA")</f>
        <v>AUXILIAR DE SERVICIOS</v>
      </c>
      <c r="E5075" s="5" t="str">
        <f>IFERROR(VLOOKUP(A5075,'Base Prueba'!A:E,5,),"NO REGISTRA")</f>
        <v>LOGISTICA Y SERVICIOS GENERALES</v>
      </c>
    </row>
    <row r="5076" spans="1:5" ht="15.75" x14ac:dyDescent="0.25">
      <c r="A5076" s="14">
        <v>1000467399</v>
      </c>
      <c r="B5076" s="2">
        <v>46122.709455555552</v>
      </c>
      <c r="C5076" s="3" t="str">
        <f>IFERROR(VLOOKUP(A5076,'Base Prueba'!A:C,3,),"NO REGISTRA")</f>
        <v>BRANDO ESTIVEN DIAZ QUIMBAYA</v>
      </c>
      <c r="D5076" s="4" t="str">
        <f>IFERROR(VLOOKUP(A5076,'Base Prueba'!A:D,4,),"NO REGISTRA")</f>
        <v>APRENDIZ UNIVERSITARIO</v>
      </c>
      <c r="E5076" s="5" t="str">
        <f>IFERROR(VLOOKUP(A5076,'Base Prueba'!A:E,5,),"NO REGISTRA")</f>
        <v>DEPARTAMENTO DE GESTION HUMANA</v>
      </c>
    </row>
    <row r="5077" spans="1:5" ht="15.75" x14ac:dyDescent="0.25">
      <c r="A5077" s="14">
        <v>1014977624</v>
      </c>
      <c r="B5077" s="2">
        <v>46122.710611342591</v>
      </c>
      <c r="C5077" s="3" t="str">
        <f>IFERROR(VLOOKUP(A5077,'Base Prueba'!A:C,3,),"NO REGISTRA")</f>
        <v>NICCOLE VALENTINA HERNANDEZ MALAVER</v>
      </c>
      <c r="D5077" s="4" t="str">
        <f>IFERROR(VLOOKUP(A5077,'Base Prueba'!A:D,4,),"NO REGISTRA")</f>
        <v>APRENDIZ UNIVERSITARIO</v>
      </c>
      <c r="E5077" s="5" t="str">
        <f>IFERROR(VLOOKUP(A5077,'Base Prueba'!A:E,5,),"NO REGISTRA")</f>
        <v>AREA FINANCIERA Y CONTABLE</v>
      </c>
    </row>
    <row r="5078" spans="1:5" ht="15.75" x14ac:dyDescent="0.25">
      <c r="A5078" s="14">
        <v>1000257136</v>
      </c>
      <c r="B5078" s="2">
        <v>46122.71083009259</v>
      </c>
      <c r="C5078" s="3" t="str">
        <f>IFERROR(VLOOKUP(A5078,'Base Prueba'!A:C,3,),"NO REGISTRA")</f>
        <v>FRANCI VALENTINA CANO PUENTES</v>
      </c>
      <c r="D5078" s="4" t="str">
        <f>IFERROR(VLOOKUP(A5078,'Base Prueba'!A:D,4,),"NO REGISTRA")</f>
        <v>AUXILIAR CONTABLE</v>
      </c>
      <c r="E5078" s="5" t="str">
        <f>IFERROR(VLOOKUP(A5078,'Base Prueba'!A:E,5,),"NO REGISTRA")</f>
        <v>AREA FINANCIERA Y CONTABLE</v>
      </c>
    </row>
    <row r="5079" spans="1:5" ht="15.75" x14ac:dyDescent="0.25">
      <c r="A5079" s="14">
        <v>1193457976</v>
      </c>
      <c r="B5079" s="2">
        <v>46122.710925925923</v>
      </c>
      <c r="C5079" s="3" t="str">
        <f>IFERROR(VLOOKUP(A5079,'Base Prueba'!A:C,3,),"NO REGISTRA")</f>
        <v>SEDENIS RIVAS ASPRILLA</v>
      </c>
      <c r="D5079" s="4" t="str">
        <f>IFERROR(VLOOKUP(A5079,'Base Prueba'!A:D,4,),"NO REGISTRA")</f>
        <v>APRENDIZ UNIVERSITARIO</v>
      </c>
      <c r="E5079" s="5" t="str">
        <f>IFERROR(VLOOKUP(A5079,'Base Prueba'!A:E,5,),"NO REGISTRA")</f>
        <v>DEPARTAMENTO DE GESTION HUMANA</v>
      </c>
    </row>
    <row r="5080" spans="1:5" ht="15.75" x14ac:dyDescent="0.25">
      <c r="A5080" s="14">
        <v>1022996882</v>
      </c>
      <c r="B5080" s="2">
        <v>46122.711179745369</v>
      </c>
      <c r="C5080" s="3" t="str">
        <f>IFERROR(VLOOKUP(A5080,'Base Prueba'!A:C,3,),"NO REGISTRA")</f>
        <v>NANCY BRIGITH ALDANA GUEVARA</v>
      </c>
      <c r="D5080" s="4" t="str">
        <f>IFERROR(VLOOKUP(A5080,'Base Prueba'!A:D,4,),"NO REGISTRA")</f>
        <v>COORDINADORA DE GESTIÓN HUMANA</v>
      </c>
      <c r="E5080" s="5" t="str">
        <f>IFERROR(VLOOKUP(A5080,'Base Prueba'!A:E,5,),"NO REGISTRA")</f>
        <v>DEPARTAMENTO DE GESTION HUMANA</v>
      </c>
    </row>
    <row r="5081" spans="1:5" ht="15.75" x14ac:dyDescent="0.25">
      <c r="A5081" s="14">
        <v>1049644802</v>
      </c>
      <c r="B5081" s="2">
        <v>46122.713252314818</v>
      </c>
      <c r="C5081" s="3" t="str">
        <f>IFERROR(VLOOKUP(A5081,'Base Prueba'!A:C,3,),"NO REGISTRA")</f>
        <v>DANIELA ALEXANDRA CIPAMOCHA BOSIGA</v>
      </c>
      <c r="D5081" s="4" t="str">
        <f>IFERROR(VLOOKUP(A5081,'Base Prueba'!A:D,4,),"NO REGISTRA")</f>
        <v>LIDER DE DATOS Y SERVICIOS</v>
      </c>
      <c r="E5081" s="5" t="str">
        <f>IFERROR(VLOOKUP(A5081,'Base Prueba'!A:E,5,),"NO REGISTRA")</f>
        <v>OFICINA DE PLANEACION Y GESTION DE LA CALIDAD</v>
      </c>
    </row>
    <row r="5082" spans="1:5" ht="15.75" x14ac:dyDescent="0.25">
      <c r="A5082" s="14">
        <v>1014308296</v>
      </c>
      <c r="B5082" s="2">
        <v>46122.717690509256</v>
      </c>
      <c r="C5082" s="3" t="str">
        <f>IFERROR(VLOOKUP(A5082,'Base Prueba'!A:C,3,),"NO REGISTRA")</f>
        <v>DARLENE YULIANA MORENO CELEITA</v>
      </c>
      <c r="D5082" s="4" t="str">
        <f>IFERROR(VLOOKUP(A5082,'Base Prueba'!A:D,4,),"NO REGISTRA")</f>
        <v>CAJERO PRINCIPAL</v>
      </c>
      <c r="E5082" s="5" t="str">
        <f>IFERROR(VLOOKUP(A5082,'Base Prueba'!A:E,5,),"NO REGISTRA")</f>
        <v>AREA FINANCIERA Y CONTABLE</v>
      </c>
    </row>
    <row r="5083" spans="1:5" ht="15.75" x14ac:dyDescent="0.25">
      <c r="A5083" s="14">
        <v>1014266838</v>
      </c>
      <c r="B5083" s="2">
        <v>46122.718648379632</v>
      </c>
      <c r="C5083" s="3" t="str">
        <f>IFERROR(VLOOKUP(A5083,'Base Prueba'!A:C,3,),"NO REGISTRA")</f>
        <v>JENNIFER ASTRID ROMERO HURTADO</v>
      </c>
      <c r="D5083" s="4" t="str">
        <f>IFERROR(VLOOKUP(A5083,'Base Prueba'!A:D,4,),"NO REGISTRA")</f>
        <v>LIDER DE RECAUDO</v>
      </c>
      <c r="E5083" s="5" t="str">
        <f>IFERROR(VLOOKUP(A5083,'Base Prueba'!A:E,5,),"NO REGISTRA")</f>
        <v>AREA FINANCIERA Y CONTABLE</v>
      </c>
    </row>
    <row r="5084" spans="1:5" ht="15.75" x14ac:dyDescent="0.25">
      <c r="A5084" s="14">
        <v>1024512067</v>
      </c>
      <c r="B5084" s="2">
        <v>46122.722600810186</v>
      </c>
      <c r="C5084" s="3" t="str">
        <f>IFERROR(VLOOKUP(A5084,'Base Prueba'!A:C,3,),"NO REGISTRA")</f>
        <v>CINDY GIOVANA SALGAR GOMEZ</v>
      </c>
      <c r="D5084" s="4" t="str">
        <f>IFERROR(VLOOKUP(A5084,'Base Prueba'!A:D,4,),"NO REGISTRA")</f>
        <v>COORDINADOR DEL SISTEMA INTEGRADO DE GESTION INSTITUCIONAL - SIGI</v>
      </c>
      <c r="E5084" s="5" t="str">
        <f>IFERROR(VLOOKUP(A5084,'Base Prueba'!A:E,5,),"NO REGISTRA")</f>
        <v>OFICINA DE PLANEACION Y GESTION DE LA CALIDAD</v>
      </c>
    </row>
    <row r="5085" spans="1:5" ht="15.75" x14ac:dyDescent="0.25">
      <c r="A5085" s="14">
        <v>1013098430</v>
      </c>
      <c r="B5085" s="2">
        <v>46122.726917361113</v>
      </c>
      <c r="C5085" s="3" t="str">
        <f>IFERROR(VLOOKUP(A5085,'Base Prueba'!A:C,3,),"NO REGISTRA")</f>
        <v>ANDRES FELIPE LOPEZ ROMERO</v>
      </c>
      <c r="D5085" s="4" t="str">
        <f>IFERROR(VLOOKUP(A5085,'Base Prueba'!A:D,4,),"NO REGISTRA")</f>
        <v>APRENDIZ UNIVERSITARIO</v>
      </c>
      <c r="E5085" s="5" t="str">
        <f>IFERROR(VLOOKUP(A5085,'Base Prueba'!A:E,5,),"NO REGISTRA")</f>
        <v>OFICINA DE MERCADEO</v>
      </c>
    </row>
    <row r="5086" spans="1:5" ht="15.75" x14ac:dyDescent="0.25">
      <c r="A5086" s="14">
        <v>1010184333</v>
      </c>
      <c r="B5086" s="2">
        <v>46122.728953472222</v>
      </c>
      <c r="C5086" s="3" t="str">
        <f>IFERROR(VLOOKUP(A5086,'Base Prueba'!A:C,3,),"NO REGISTRA")</f>
        <v>AKON ANDRES GARZON ALVAREZ</v>
      </c>
      <c r="D5086" s="4" t="str">
        <f>IFERROR(VLOOKUP(A5086,'Base Prueba'!A:D,4,),"NO REGISTRA")</f>
        <v>APRENDIZ UNIVERSITARIO</v>
      </c>
      <c r="E5086" s="5" t="str">
        <f>IFERROR(VLOOKUP(A5086,'Base Prueba'!A:E,5,),"NO REGISTRA")</f>
        <v>SECRETARIA GENERAL</v>
      </c>
    </row>
    <row r="5087" spans="1:5" ht="15.75" x14ac:dyDescent="0.25">
      <c r="A5087" s="14">
        <v>1087121273</v>
      </c>
      <c r="B5087" s="2">
        <v>46122.729181365743</v>
      </c>
      <c r="C5087" s="3" t="str">
        <f>IFERROR(VLOOKUP(A5087,'Base Prueba'!A:C,3,),"NO REGISTRA")</f>
        <v>MAYRA ALEJANDRA CASTILLO ARBOLEDA</v>
      </c>
      <c r="D5087" s="4" t="str">
        <f>IFERROR(VLOOKUP(A5087,'Base Prueba'!A:D,4,),"NO REGISTRA")</f>
        <v>APOYO INTEGRAL DE MERCADEO</v>
      </c>
      <c r="E5087" s="5" t="str">
        <f>IFERROR(VLOOKUP(A5087,'Base Prueba'!A:E,5,),"NO REGISTRA")</f>
        <v>CENTRO DE GESTION DOCUMENTAL</v>
      </c>
    </row>
    <row r="5088" spans="1:5" ht="15.75" x14ac:dyDescent="0.25">
      <c r="A5088" s="14">
        <v>1000457706</v>
      </c>
      <c r="B5088" s="2">
        <v>46122.737296180552</v>
      </c>
      <c r="C5088" s="3" t="str">
        <f>IFERROR(VLOOKUP(A5088,'Base Prueba'!A:C,3,),"NO REGISTRA")</f>
        <v>CRISTIAN DANILO ARROYO SANABRIA</v>
      </c>
      <c r="D5088" s="4" t="str">
        <f>IFERROR(VLOOKUP(A5088,'Base Prueba'!A:D,4,),"NO REGISTRA")</f>
        <v>AUXILIAR CONTABLE</v>
      </c>
      <c r="E5088" s="5" t="str">
        <f>IFERROR(VLOOKUP(A5088,'Base Prueba'!A:E,5,),"NO REGISTRA")</f>
        <v>AREA FINANCIERA Y CONTABLE</v>
      </c>
    </row>
    <row r="5089" spans="1:5" ht="15.75" x14ac:dyDescent="0.25">
      <c r="A5089" s="14">
        <v>1000593372</v>
      </c>
      <c r="B5089" s="2">
        <v>46122.739616666666</v>
      </c>
      <c r="C5089" s="3" t="str">
        <f>IFERROR(VLOOKUP(A5089,'Base Prueba'!A:C,3,),"NO REGISTRA")</f>
        <v>LAURA SOFIA CHAPARRO LOPEZ</v>
      </c>
      <c r="D5089" s="4" t="str">
        <f>IFERROR(VLOOKUP(A5089,'Base Prueba'!A:D,4,),"NO REGISTRA")</f>
        <v>AUXILIAR JURIDICO</v>
      </c>
      <c r="E5089" s="5" t="str">
        <f>IFERROR(VLOOKUP(A5089,'Base Prueba'!A:E,5,),"NO REGISTRA")</f>
        <v>SECRETARIA GENERAL</v>
      </c>
    </row>
    <row r="5090" spans="1:5" ht="15.75" x14ac:dyDescent="0.25">
      <c r="A5090" s="14">
        <v>1000604979</v>
      </c>
      <c r="B5090" s="2">
        <v>46122.739645254631</v>
      </c>
      <c r="C5090" s="3" t="str">
        <f>IFERROR(VLOOKUP(A5090,'Base Prueba'!A:C,3,),"NO REGISTRA")</f>
        <v>JULIETH TATIANA PARDO PINTO</v>
      </c>
      <c r="D5090" s="4" t="str">
        <f>IFERROR(VLOOKUP(A5090,'Base Prueba'!A:D,4,),"NO REGISTRA")</f>
        <v>AUXILIAR JURIDICO</v>
      </c>
      <c r="E5090" s="5" t="str">
        <f>IFERROR(VLOOKUP(A5090,'Base Prueba'!A:E,5,),"NO REGISTRA")</f>
        <v>SECRETARIA GENERAL</v>
      </c>
    </row>
    <row r="5091" spans="1:5" ht="15.75" x14ac:dyDescent="0.25">
      <c r="A5091" s="14">
        <v>52175674</v>
      </c>
      <c r="B5091" s="2">
        <v>46122.749436689817</v>
      </c>
      <c r="C5091" s="3" t="str">
        <f>IFERROR(VLOOKUP(A5091,'Base Prueba'!A:C,3,),"NO REGISTRA")</f>
        <v>LUZ YANETH GOMEZ AREVALO</v>
      </c>
      <c r="D5091" s="4" t="str">
        <f>IFERROR(VLOOKUP(A5091,'Base Prueba'!A:D,4,),"NO REGISTRA")</f>
        <v>COORDINADORA DE ADMISIONES</v>
      </c>
      <c r="E5091" s="5" t="str">
        <f>IFERROR(VLOOKUP(A5091,'Base Prueba'!A:E,5,),"NO REGISTRA")</f>
        <v>OFICINA DE MERCADEO</v>
      </c>
    </row>
    <row r="5092" spans="1:5" ht="15.75" x14ac:dyDescent="0.25">
      <c r="A5092" s="14">
        <v>1012426741</v>
      </c>
      <c r="B5092" s="2">
        <v>46122.750242013892</v>
      </c>
      <c r="C5092" s="3" t="str">
        <f>IFERROR(VLOOKUP(A5092,'Base Prueba'!A:C,3,),"NO REGISTRA")</f>
        <v>CRISTIAN FABIAN ROJAS SANCENO</v>
      </c>
      <c r="D5092" s="4" t="str">
        <f>IFERROR(VLOOKUP(A5092,'Base Prueba'!A:D,4,),"NO REGISTRA")</f>
        <v>AUXILIAR DE REINTEGROS</v>
      </c>
      <c r="E5092" s="5" t="str">
        <f>IFERROR(VLOOKUP(A5092,'Base Prueba'!A:E,5,),"NO REGISTRA")</f>
        <v>DIRECCION DE BIENESTAR INSTITUCIONAL</v>
      </c>
    </row>
    <row r="5093" spans="1:5" ht="15.75" x14ac:dyDescent="0.25">
      <c r="A5093" s="14">
        <v>53932358</v>
      </c>
      <c r="B5093" s="2">
        <v>46122.75164884259</v>
      </c>
      <c r="C5093" s="3" t="str">
        <f>IFERROR(VLOOKUP(A5093,'Base Prueba'!A:C,3,),"NO REGISTRA")</f>
        <v>DIANA MADELEYNE GAONA RODRIGUEZ</v>
      </c>
      <c r="D5093" s="4" t="str">
        <f>IFERROR(VLOOKUP(A5093,'Base Prueba'!A:D,4,),"NO REGISTRA")</f>
        <v>CONTADOR</v>
      </c>
      <c r="E5093" s="5" t="str">
        <f>IFERROR(VLOOKUP(A5093,'Base Prueba'!A:E,5,),"NO REGISTRA")</f>
        <v>AREA FINANCIERA Y CONTABLE</v>
      </c>
    </row>
    <row r="5094" spans="1:5" ht="15.75" x14ac:dyDescent="0.25">
      <c r="A5094" s="14">
        <v>1000046533</v>
      </c>
      <c r="B5094" s="2">
        <v>46122.751758101855</v>
      </c>
      <c r="C5094" s="3" t="str">
        <f>IFERROR(VLOOKUP(A5094,'Base Prueba'!A:C,3,),"NO REGISTRA")</f>
        <v>ERIKA JULIETH VALDERRAMA SANCHEZ</v>
      </c>
      <c r="D5094" s="4" t="str">
        <f>IFERROR(VLOOKUP(A5094,'Base Prueba'!A:D,4,),"NO REGISTRA")</f>
        <v>PROMOTOR CALL CENTER</v>
      </c>
      <c r="E5094" s="5" t="str">
        <f>IFERROR(VLOOKUP(A5094,'Base Prueba'!A:E,5,),"NO REGISTRA")</f>
        <v>OFICINA DE MERCADEO</v>
      </c>
    </row>
    <row r="5095" spans="1:5" ht="15.75" x14ac:dyDescent="0.25">
      <c r="A5095" s="14">
        <v>1023883232</v>
      </c>
      <c r="B5095" s="2">
        <v>46122.752301504632</v>
      </c>
      <c r="C5095" s="3" t="str">
        <f>IFERROR(VLOOKUP(A5095,'Base Prueba'!A:C,3,),"NO REGISTRA")</f>
        <v>MONICA ANDREA ACERO URBANO</v>
      </c>
      <c r="D5095" s="4" t="str">
        <f>IFERROR(VLOOKUP(A5095,'Base Prueba'!A:D,4,),"NO REGISTRA")</f>
        <v>APOYO INTEGRAL A GESTION HUMANA</v>
      </c>
      <c r="E5095" s="5" t="str">
        <f>IFERROR(VLOOKUP(A5095,'Base Prueba'!A:E,5,),"NO REGISTRA")</f>
        <v>DEPARTAMENTO DE GESTION HUMANA</v>
      </c>
    </row>
    <row r="5096" spans="1:5" ht="15.75" x14ac:dyDescent="0.25">
      <c r="A5096" s="14">
        <v>1026599257</v>
      </c>
      <c r="B5096" s="2">
        <v>46122.753796527781</v>
      </c>
      <c r="C5096" s="3" t="str">
        <f>IFERROR(VLOOKUP(A5096,'Base Prueba'!A:C,3,),"NO REGISTRA")</f>
        <v>YESENIA PAOLA PINEDA HURTADO</v>
      </c>
      <c r="D5096" s="4" t="str">
        <f>IFERROR(VLOOKUP(A5096,'Base Prueba'!A:D,4,),"NO REGISTRA")</f>
        <v>LIDER DE COMPRAS</v>
      </c>
      <c r="E5096" s="5" t="str">
        <f>IFERROR(VLOOKUP(A5096,'Base Prueba'!A:E,5,),"NO REGISTRA")</f>
        <v>AREA ADMINISTRATIVA</v>
      </c>
    </row>
    <row r="5097" spans="1:5" ht="15.75" x14ac:dyDescent="0.25">
      <c r="A5097" s="14">
        <v>28798349</v>
      </c>
      <c r="B5097" s="2">
        <v>46122.7569</v>
      </c>
      <c r="C5097" s="3" t="str">
        <f>IFERROR(VLOOKUP(A5097,'Base Prueba'!A:C,3,),"NO REGISTRA")</f>
        <v>MARTHA ISABEL TOVAR WILLIAMS</v>
      </c>
      <c r="D5097" s="4" t="str">
        <f>IFERROR(VLOOKUP(A5097,'Base Prueba'!A:D,4,),"NO REGISTRA")</f>
        <v>PROMOTOR CALL CENTER</v>
      </c>
      <c r="E5097" s="5" t="str">
        <f>IFERROR(VLOOKUP(A5097,'Base Prueba'!A:E,5,),"NO REGISTRA")</f>
        <v>OFICINA DE MERCADEO</v>
      </c>
    </row>
    <row r="5098" spans="1:5" ht="15.75" x14ac:dyDescent="0.25">
      <c r="A5098" s="14">
        <v>1019105003</v>
      </c>
      <c r="B5098" s="2">
        <v>46122.757013194445</v>
      </c>
      <c r="C5098" s="3" t="str">
        <f>IFERROR(VLOOKUP(A5098,'Base Prueba'!A:C,3,),"NO REGISTRA")</f>
        <v>DAISY JULIETH GASPAR MORENO</v>
      </c>
      <c r="D5098" s="4" t="str">
        <f>IFERROR(VLOOKUP(A5098,'Base Prueba'!A:D,4,),"NO REGISTRA")</f>
        <v>PROMOTOR CALL CENTER</v>
      </c>
      <c r="E5098" s="5" t="str">
        <f>IFERROR(VLOOKUP(A5098,'Base Prueba'!A:E,5,),"NO REGISTRA")</f>
        <v>OFICINA DE MERCADEO</v>
      </c>
    </row>
    <row r="5099" spans="1:5" ht="15.75" x14ac:dyDescent="0.25">
      <c r="A5099" s="14">
        <v>1018414290</v>
      </c>
      <c r="B5099" s="2">
        <v>46122.758237499998</v>
      </c>
      <c r="C5099" s="3" t="str">
        <f>IFERROR(VLOOKUP(A5099,'Base Prueba'!A:C,3,),"NO REGISTRA")</f>
        <v>AMANDA LISBETH RODRIGUEZ LEON</v>
      </c>
      <c r="D5099" s="4" t="str">
        <f>IFERROR(VLOOKUP(A5099,'Base Prueba'!A:D,4,),"NO REGISTRA")</f>
        <v>PROMOTOR CALL CENTER</v>
      </c>
      <c r="E5099" s="5" t="str">
        <f>IFERROR(VLOOKUP(A5099,'Base Prueba'!A:E,5,),"NO REGISTRA")</f>
        <v>OFICINA DE MERCADEO</v>
      </c>
    </row>
    <row r="5100" spans="1:5" ht="15.75" x14ac:dyDescent="0.25">
      <c r="A5100" s="14">
        <v>1032407386</v>
      </c>
      <c r="B5100" s="2">
        <v>46122.758290162034</v>
      </c>
      <c r="C5100" s="3" t="str">
        <f>IFERROR(VLOOKUP(A5100,'Base Prueba'!A:C,3,),"NO REGISTRA")</f>
        <v>GINA PAOLA BAEZ GALVIS</v>
      </c>
      <c r="D5100" s="4" t="str">
        <f>IFERROR(VLOOKUP(A5100,'Base Prueba'!A:D,4,),"NO REGISTRA")</f>
        <v>PROMOTOR CALL CENTER</v>
      </c>
      <c r="E5100" s="5" t="str">
        <f>IFERROR(VLOOKUP(A5100,'Base Prueba'!A:E,5,),"NO REGISTRA")</f>
        <v>OFICINA DE MERCADEO</v>
      </c>
    </row>
    <row r="5101" spans="1:5" ht="15.75" x14ac:dyDescent="0.25">
      <c r="A5101" s="14">
        <v>1023961952</v>
      </c>
      <c r="B5101" s="2">
        <v>46122.758522222219</v>
      </c>
      <c r="C5101" s="3" t="str">
        <f>IFERROR(VLOOKUP(A5101,'Base Prueba'!A:C,3,),"NO REGISTRA")</f>
        <v>ALEJANDRO PINZON MERCHAN</v>
      </c>
      <c r="D5101" s="4" t="str">
        <f>IFERROR(VLOOKUP(A5101,'Base Prueba'!A:D,4,),"NO REGISTRA")</f>
        <v>PROMOTOR CALL CENTER</v>
      </c>
      <c r="E5101" s="5" t="str">
        <f>IFERROR(VLOOKUP(A5101,'Base Prueba'!A:E,5,),"NO REGISTRA")</f>
        <v>OFICINA DE MERCADEO</v>
      </c>
    </row>
    <row r="5102" spans="1:5" ht="15.75" x14ac:dyDescent="0.25">
      <c r="A5102" s="14">
        <v>1018413529</v>
      </c>
      <c r="B5102" s="2">
        <v>46122.759319560188</v>
      </c>
      <c r="C5102" s="3" t="str">
        <f>IFERROR(VLOOKUP(A5102,'Base Prueba'!A:C,3,),"NO REGISTRA")</f>
        <v>FRANCY STELLA CHARRY MORENO</v>
      </c>
      <c r="D5102" s="4" t="str">
        <f>IFERROR(VLOOKUP(A5102,'Base Prueba'!A:D,4,),"NO REGISTRA")</f>
        <v>PROMOTOR COMERCIAL DEL CEA</v>
      </c>
      <c r="E5102" s="5" t="str">
        <f>IFERROR(VLOOKUP(A5102,'Base Prueba'!A:E,5,),"NO REGISTRA")</f>
        <v>OFICINA DE MERCADEO</v>
      </c>
    </row>
    <row r="5103" spans="1:5" ht="15.75" x14ac:dyDescent="0.25">
      <c r="A5103" s="14">
        <v>1033709056</v>
      </c>
      <c r="B5103" s="2">
        <v>46122.760531018517</v>
      </c>
      <c r="C5103" s="3" t="str">
        <f>IFERROR(VLOOKUP(A5103,'Base Prueba'!A:C,3,),"NO REGISTRA")</f>
        <v>YEIMY ALEXANDRA RODRIGUEZ PALACIO</v>
      </c>
      <c r="D5103" s="4" t="str">
        <f>IFERROR(VLOOKUP(A5103,'Base Prueba'!A:D,4,),"NO REGISTRA")</f>
        <v>PROMOTOR CALL CENTER</v>
      </c>
      <c r="E5103" s="5" t="str">
        <f>IFERROR(VLOOKUP(A5103,'Base Prueba'!A:E,5,),"NO REGISTRA")</f>
        <v>OFICINA DE MERCADEO</v>
      </c>
    </row>
    <row r="5104" spans="1:5" ht="15.75" x14ac:dyDescent="0.25">
      <c r="A5104" s="14">
        <v>53089882</v>
      </c>
      <c r="B5104" s="2">
        <v>46122.762260995369</v>
      </c>
      <c r="C5104" s="3" t="str">
        <f>IFERROR(VLOOKUP(A5104,'Base Prueba'!A:C,3,),"NO REGISTRA")</f>
        <v>MARIA JOHANA ESCAMILLA MARTINEZ</v>
      </c>
      <c r="D5104" s="4" t="str">
        <f>IFERROR(VLOOKUP(A5104,'Base Prueba'!A:D,4,),"NO REGISTRA")</f>
        <v>PROMOTOR DE INFORMACIÓN</v>
      </c>
      <c r="E5104" s="5" t="str">
        <f>IFERROR(VLOOKUP(A5104,'Base Prueba'!A:E,5,),"NO REGISTRA")</f>
        <v>OFICINA DE MERCADEO</v>
      </c>
    </row>
    <row r="5105" spans="1:5" ht="15.75" x14ac:dyDescent="0.25">
      <c r="A5105" s="14">
        <v>80234243</v>
      </c>
      <c r="B5105" s="2">
        <v>46122.763108796295</v>
      </c>
      <c r="C5105" s="3" t="str">
        <f>IFERROR(VLOOKUP(A5105,'Base Prueba'!A:C,3,),"NO REGISTRA")</f>
        <v>ARGENIS MARTINEZ MARTINEZ</v>
      </c>
      <c r="D5105" s="4" t="str">
        <f>IFERROR(VLOOKUP(A5105,'Base Prueba'!A:D,4,),"NO REGISTRA")</f>
        <v>LIDER CALL CENTER</v>
      </c>
      <c r="E5105" s="5" t="str">
        <f>IFERROR(VLOOKUP(A5105,'Base Prueba'!A:E,5,),"NO REGISTRA")</f>
        <v>OFICINA DE MERCADEO</v>
      </c>
    </row>
    <row r="5106" spans="1:5" ht="15.75" x14ac:dyDescent="0.25">
      <c r="A5106" s="14">
        <v>1014196857</v>
      </c>
      <c r="B5106" s="2">
        <v>46122.76655659722</v>
      </c>
      <c r="C5106" s="3" t="str">
        <f>IFERROR(VLOOKUP(A5106,'Base Prueba'!A:C,3,),"NO REGISTRA")</f>
        <v>CARLOS ANDRES JIMENEZ PARDO</v>
      </c>
      <c r="D5106" s="4" t="str">
        <f>IFERROR(VLOOKUP(A5106,'Base Prueba'!A:D,4,),"NO REGISTRA")</f>
        <v>COORDINADOR DE MARKETING DIGITAL</v>
      </c>
      <c r="E5106" s="5" t="str">
        <f>IFERROR(VLOOKUP(A5106,'Base Prueba'!A:E,5,),"NO REGISTRA")</f>
        <v>OFICINA DE MERCADEO</v>
      </c>
    </row>
    <row r="5107" spans="1:5" ht="15.75" x14ac:dyDescent="0.25">
      <c r="A5107" s="14">
        <v>52764929</v>
      </c>
      <c r="B5107" s="2">
        <v>46122.769243055554</v>
      </c>
      <c r="C5107" s="3" t="str">
        <f>IFERROR(VLOOKUP(A5107,'Base Prueba'!A:C,3,),"NO REGISTRA")</f>
        <v>GUERLY YOHANA DURAN RIVERA</v>
      </c>
      <c r="D5107" s="4" t="str">
        <f>IFERROR(VLOOKUP(A5107,'Base Prueba'!A:D,4,),"NO REGISTRA")</f>
        <v>LIDER DE VINCULACION COLEGIOS</v>
      </c>
      <c r="E5107" s="5" t="str">
        <f>IFERROR(VLOOKUP(A5107,'Base Prueba'!A:E,5,),"NO REGISTRA")</f>
        <v>OFICINA DE MERCADEO</v>
      </c>
    </row>
    <row r="5108" spans="1:5" ht="15.75" x14ac:dyDescent="0.25">
      <c r="A5108" s="14">
        <v>52472386</v>
      </c>
      <c r="B5108" s="2">
        <v>46122.77373090278</v>
      </c>
      <c r="C5108" s="3" t="str">
        <f>IFERROR(VLOOKUP(A5108,'Base Prueba'!A:C,3,),"NO REGISTRA")</f>
        <v>ADRIANA MARCELA MORALES PARDO</v>
      </c>
      <c r="D5108" s="4" t="str">
        <f>IFERROR(VLOOKUP(A5108,'Base Prueba'!A:D,4,),"NO REGISTRA")</f>
        <v>PROMOTOR CALL CENTER</v>
      </c>
      <c r="E5108" s="5" t="str">
        <f>IFERROR(VLOOKUP(A5108,'Base Prueba'!A:E,5,),"NO REGISTRA")</f>
        <v>OFICINA DE MERCADEO</v>
      </c>
    </row>
    <row r="5109" spans="1:5" ht="15.75" x14ac:dyDescent="0.25">
      <c r="A5109" s="14">
        <v>1013101788</v>
      </c>
      <c r="B5109" s="2">
        <v>46122.787675115738</v>
      </c>
      <c r="C5109" s="3" t="str">
        <f>IFERROR(VLOOKUP(A5109,'Base Prueba'!A:C,3,),"NO REGISTRA")</f>
        <v>SARA TANGARIFE MONTOYA</v>
      </c>
      <c r="D5109" s="4" t="str">
        <f>IFERROR(VLOOKUP(A5109,'Base Prueba'!A:D,4,),"NO REGISTRA")</f>
        <v>APRENDIZ UNIVERSITARIO</v>
      </c>
      <c r="E5109" s="5" t="str">
        <f>IFERROR(VLOOKUP(A5109,'Base Prueba'!A:E,5,),"NO REGISTRA")</f>
        <v>OFICINA DE MERCADEO</v>
      </c>
    </row>
    <row r="5110" spans="1:5" ht="15.75" x14ac:dyDescent="0.25">
      <c r="A5110" s="14">
        <v>80191732</v>
      </c>
      <c r="B5110" s="2">
        <v>46122.788541898146</v>
      </c>
      <c r="C5110" s="3" t="str">
        <f>IFERROR(VLOOKUP(A5110,'Base Prueba'!A:C,3,),"NO REGISTRA")</f>
        <v>DANIEL MAURICIO ZAMBRANO TUNJANO</v>
      </c>
      <c r="D5110" s="4" t="str">
        <f>IFERROR(VLOOKUP(A5110,'Base Prueba'!A:D,4,),"NO REGISTRA")</f>
        <v>COORDINADOR DE DISEÑO E IMAGEN INSTITUCIONAL</v>
      </c>
      <c r="E5110" s="5" t="str">
        <f>IFERROR(VLOOKUP(A5110,'Base Prueba'!A:E,5,),"NO REGISTRA")</f>
        <v>OFICINA DE MERCADEO</v>
      </c>
    </row>
    <row r="5111" spans="1:5" ht="15.75" x14ac:dyDescent="0.25">
      <c r="A5111" s="14">
        <v>1013616244</v>
      </c>
      <c r="B5111" s="2">
        <v>46122.797227546296</v>
      </c>
      <c r="C5111" s="3" t="str">
        <f>IFERROR(VLOOKUP(A5111,'Base Prueba'!A:C,3,),"NO REGISTRA")</f>
        <v>DIANA CAROLINA MARIN BETANCOURT</v>
      </c>
      <c r="D5111" s="4" t="str">
        <f>IFERROR(VLOOKUP(A5111,'Base Prueba'!A:D,4,),"NO REGISTRA")</f>
        <v>AUXILIAR ADMINISTRATIVO</v>
      </c>
      <c r="E5111" s="5" t="str">
        <f>IFERROR(VLOOKUP(A5111,'Base Prueba'!A:E,5,),"NO REGISTRA")</f>
        <v>REGISTRO Y CONTROL ACADEMICO</v>
      </c>
    </row>
    <row r="5112" spans="1:5" ht="15.75" x14ac:dyDescent="0.25">
      <c r="A5112" s="14">
        <v>1000324729</v>
      </c>
      <c r="B5112" s="2">
        <v>46122.79725196759</v>
      </c>
      <c r="C5112" s="3" t="str">
        <f>IFERROR(VLOOKUP(A5112,'Base Prueba'!A:C,3,),"NO REGISTRA")</f>
        <v>ANYIE VANESSA TINOCO CAMACHO</v>
      </c>
      <c r="D5112" s="4" t="str">
        <f>IFERROR(VLOOKUP(A5112,'Base Prueba'!A:D,4,),"NO REGISTRA")</f>
        <v>LIDER DE REGISTRO Y CONTROL</v>
      </c>
      <c r="E5112" s="5" t="str">
        <f>IFERROR(VLOOKUP(A5112,'Base Prueba'!A:E,5,),"NO REGISTRA")</f>
        <v>REGISTRO Y CONTROL ACADEMICO</v>
      </c>
    </row>
    <row r="5113" spans="1:5" ht="15.75" x14ac:dyDescent="0.25">
      <c r="A5113" s="14">
        <v>1033820146</v>
      </c>
      <c r="B5113" s="2">
        <v>46122.797329166664</v>
      </c>
      <c r="C5113" s="3" t="str">
        <f>IFERROR(VLOOKUP(A5113,'Base Prueba'!A:C,3,),"NO REGISTRA")</f>
        <v>JULIETH ALEXANDRA BUSTAMANTE RUIZ</v>
      </c>
      <c r="D5113" s="4" t="str">
        <f>IFERROR(VLOOKUP(A5113,'Base Prueba'!A:D,4,),"NO REGISTRA")</f>
        <v>AUXILIAR ADMINISTRATIVO</v>
      </c>
      <c r="E5113" s="5" t="str">
        <f>IFERROR(VLOOKUP(A5113,'Base Prueba'!A:E,5,),"NO REGISTRA")</f>
        <v>REGISTRO Y CONTROL ACADEMICO</v>
      </c>
    </row>
    <row r="5114" spans="1:5" ht="15.75" x14ac:dyDescent="0.25">
      <c r="A5114" s="14">
        <v>52474489</v>
      </c>
      <c r="B5114" s="2">
        <v>46122.799552662036</v>
      </c>
      <c r="C5114" s="3" t="str">
        <f>IFERROR(VLOOKUP(A5114,'Base Prueba'!A:C,3,),"NO REGISTRA")</f>
        <v>ADRIANA JIMENA SOTO BOCANEGRA</v>
      </c>
      <c r="D5114" s="4" t="str">
        <f>IFERROR(VLOOKUP(A5114,'Base Prueba'!A:D,4,),"NO REGISTRA")</f>
        <v>COORDINADOR DE LA OFICINA DE REGISTRO Y CONTROL</v>
      </c>
      <c r="E5114" s="5" t="str">
        <f>IFERROR(VLOOKUP(A5114,'Base Prueba'!A:E,5,),"NO REGISTRA")</f>
        <v>REGISTRO Y CONTROL ACADEMICO</v>
      </c>
    </row>
    <row r="5115" spans="1:5" ht="15.75" x14ac:dyDescent="0.25">
      <c r="A5115" s="14">
        <v>1000324729</v>
      </c>
      <c r="B5115" s="2">
        <v>46123.323497916666</v>
      </c>
      <c r="C5115" s="3" t="str">
        <f>IFERROR(VLOOKUP(A5115,'Base Prueba'!A:C,3,),"NO REGISTRA")</f>
        <v>ANYIE VANESSA TINOCO CAMACHO</v>
      </c>
      <c r="D5115" s="4" t="str">
        <f>IFERROR(VLOOKUP(A5115,'Base Prueba'!A:D,4,),"NO REGISTRA")</f>
        <v>LIDER DE REGISTRO Y CONTROL</v>
      </c>
      <c r="E5115" s="5" t="str">
        <f>IFERROR(VLOOKUP(A5115,'Base Prueba'!A:E,5,),"NO REGISTRA")</f>
        <v>REGISTRO Y CONTROL ACADEMICO</v>
      </c>
    </row>
    <row r="5116" spans="1:5" ht="15.75" x14ac:dyDescent="0.25">
      <c r="A5116" s="14">
        <v>1010184333</v>
      </c>
      <c r="B5116" s="2">
        <v>46123.332408680559</v>
      </c>
      <c r="C5116" s="3" t="str">
        <f>IFERROR(VLOOKUP(A5116,'Base Prueba'!A:C,3,),"NO REGISTRA")</f>
        <v>AKON ANDRES GARZON ALVAREZ</v>
      </c>
      <c r="D5116" s="4" t="str">
        <f>IFERROR(VLOOKUP(A5116,'Base Prueba'!A:D,4,),"NO REGISTRA")</f>
        <v>APRENDIZ UNIVERSITARIO</v>
      </c>
      <c r="E5116" s="5" t="str">
        <f>IFERROR(VLOOKUP(A5116,'Base Prueba'!A:E,5,),"NO REGISTRA")</f>
        <v>SECRETARIA GENERAL</v>
      </c>
    </row>
    <row r="5117" spans="1:5" ht="15.75" x14ac:dyDescent="0.25">
      <c r="A5117" s="14">
        <v>1033820146</v>
      </c>
      <c r="B5117" s="2">
        <v>46123.33716145833</v>
      </c>
      <c r="C5117" s="3" t="str">
        <f>IFERROR(VLOOKUP(A5117,'Base Prueba'!A:C,3,),"NO REGISTRA")</f>
        <v>JULIETH ALEXANDRA BUSTAMANTE RUIZ</v>
      </c>
      <c r="D5117" s="4" t="str">
        <f>IFERROR(VLOOKUP(A5117,'Base Prueba'!A:D,4,),"NO REGISTRA")</f>
        <v>AUXILIAR ADMINISTRATIVO</v>
      </c>
      <c r="E5117" s="5" t="str">
        <f>IFERROR(VLOOKUP(A5117,'Base Prueba'!A:E,5,),"NO REGISTRA")</f>
        <v>REGISTRO Y CONTROL ACADEMICO</v>
      </c>
    </row>
    <row r="5118" spans="1:5" ht="15.75" x14ac:dyDescent="0.25">
      <c r="A5118" s="14">
        <v>1013616244</v>
      </c>
      <c r="B5118" s="2">
        <v>46123.346036574076</v>
      </c>
      <c r="C5118" s="3" t="str">
        <f>IFERROR(VLOOKUP(A5118,'Base Prueba'!A:C,3,),"NO REGISTRA")</f>
        <v>DIANA CAROLINA MARIN BETANCOURT</v>
      </c>
      <c r="D5118" s="4" t="str">
        <f>IFERROR(VLOOKUP(A5118,'Base Prueba'!A:D,4,),"NO REGISTRA")</f>
        <v>AUXILIAR ADMINISTRATIVO</v>
      </c>
      <c r="E5118" s="5" t="str">
        <f>IFERROR(VLOOKUP(A5118,'Base Prueba'!A:E,5,),"NO REGISTRA")</f>
        <v>REGISTRO Y CONTROL ACADEMICO</v>
      </c>
    </row>
    <row r="5119" spans="1:5" ht="15.75" x14ac:dyDescent="0.25">
      <c r="A5119" s="14">
        <v>1000593372</v>
      </c>
      <c r="B5119" s="2">
        <v>46123.352817939813</v>
      </c>
      <c r="C5119" s="3" t="str">
        <f>IFERROR(VLOOKUP(A5119,'Base Prueba'!A:C,3,),"NO REGISTRA")</f>
        <v>LAURA SOFIA CHAPARRO LOPEZ</v>
      </c>
      <c r="D5119" s="4" t="str">
        <f>IFERROR(VLOOKUP(A5119,'Base Prueba'!A:D,4,),"NO REGISTRA")</f>
        <v>AUXILIAR JURIDICO</v>
      </c>
      <c r="E5119" s="5" t="str">
        <f>IFERROR(VLOOKUP(A5119,'Base Prueba'!A:E,5,),"NO REGISTRA")</f>
        <v>SECRETARIA GENERAL</v>
      </c>
    </row>
    <row r="5120" spans="1:5" ht="15.75" x14ac:dyDescent="0.25">
      <c r="A5120" s="14">
        <v>1000604979</v>
      </c>
      <c r="B5120" s="2">
        <v>46123.352842824075</v>
      </c>
      <c r="C5120" s="3" t="str">
        <f>IFERROR(VLOOKUP(A5120,'Base Prueba'!A:C,3,),"NO REGISTRA")</f>
        <v>JULIETH TATIANA PARDO PINTO</v>
      </c>
      <c r="D5120" s="4" t="str">
        <f>IFERROR(VLOOKUP(A5120,'Base Prueba'!A:D,4,),"NO REGISTRA")</f>
        <v>AUXILIAR JURIDICO</v>
      </c>
      <c r="E5120" s="5" t="str">
        <f>IFERROR(VLOOKUP(A5120,'Base Prueba'!A:E,5,),"NO REGISTRA")</f>
        <v>SECRETARIA GENERAL</v>
      </c>
    </row>
    <row r="5121" spans="1:5" ht="15.75" x14ac:dyDescent="0.25">
      <c r="A5121" s="14">
        <v>1033709056</v>
      </c>
      <c r="B5121" s="2">
        <v>46123.357624537035</v>
      </c>
      <c r="C5121" s="3" t="str">
        <f>IFERROR(VLOOKUP(A5121,'Base Prueba'!A:C,3,),"NO REGISTRA")</f>
        <v>YEIMY ALEXANDRA RODRIGUEZ PALACIO</v>
      </c>
      <c r="D5121" s="4" t="str">
        <f>IFERROR(VLOOKUP(A5121,'Base Prueba'!A:D,4,),"NO REGISTRA")</f>
        <v>PROMOTOR CALL CENTER</v>
      </c>
      <c r="E5121" s="5" t="str">
        <f>IFERROR(VLOOKUP(A5121,'Base Prueba'!A:E,5,),"NO REGISTRA")</f>
        <v>OFICINA DE MERCADEO</v>
      </c>
    </row>
    <row r="5122" spans="1:5" ht="15.75" x14ac:dyDescent="0.25">
      <c r="A5122" s="14">
        <v>1000046533</v>
      </c>
      <c r="B5122" s="2">
        <v>46123.362821875002</v>
      </c>
      <c r="C5122" s="3" t="str">
        <f>IFERROR(VLOOKUP(A5122,'Base Prueba'!A:C,3,),"NO REGISTRA")</f>
        <v>ERIKA JULIETH VALDERRAMA SANCHEZ</v>
      </c>
      <c r="D5122" s="4" t="str">
        <f>IFERROR(VLOOKUP(A5122,'Base Prueba'!A:D,4,),"NO REGISTRA")</f>
        <v>PROMOTOR CALL CENTER</v>
      </c>
      <c r="E5122" s="5" t="str">
        <f>IFERROR(VLOOKUP(A5122,'Base Prueba'!A:E,5,),"NO REGISTRA")</f>
        <v>OFICINA DE MERCADEO</v>
      </c>
    </row>
    <row r="5123" spans="1:5" ht="15.75" x14ac:dyDescent="0.25">
      <c r="A5123" s="14">
        <v>1013101788</v>
      </c>
      <c r="B5123" s="2">
        <v>46123.362849884259</v>
      </c>
      <c r="C5123" s="3" t="str">
        <f>IFERROR(VLOOKUP(A5123,'Base Prueba'!A:C,3,),"NO REGISTRA")</f>
        <v>SARA TANGARIFE MONTOYA</v>
      </c>
      <c r="D5123" s="4" t="str">
        <f>IFERROR(VLOOKUP(A5123,'Base Prueba'!A:D,4,),"NO REGISTRA")</f>
        <v>APRENDIZ UNIVERSITARIO</v>
      </c>
      <c r="E5123" s="5" t="str">
        <f>IFERROR(VLOOKUP(A5123,'Base Prueba'!A:E,5,),"NO REGISTRA")</f>
        <v>OFICINA DE MERCADEO</v>
      </c>
    </row>
    <row r="5124" spans="1:5" ht="15.75" x14ac:dyDescent="0.25">
      <c r="A5124" s="14">
        <v>52764929</v>
      </c>
      <c r="B5124" s="2">
        <v>46123.364140972219</v>
      </c>
      <c r="C5124" s="3" t="str">
        <f>IFERROR(VLOOKUP(A5124,'Base Prueba'!A:C,3,),"NO REGISTRA")</f>
        <v>GUERLY YOHANA DURAN RIVERA</v>
      </c>
      <c r="D5124" s="4" t="str">
        <f>IFERROR(VLOOKUP(A5124,'Base Prueba'!A:D,4,),"NO REGISTRA")</f>
        <v>LIDER DE VINCULACION COLEGIOS</v>
      </c>
      <c r="E5124" s="5" t="str">
        <f>IFERROR(VLOOKUP(A5124,'Base Prueba'!A:E,5,),"NO REGISTRA")</f>
        <v>OFICINA DE MERCADEO</v>
      </c>
    </row>
    <row r="5125" spans="1:5" ht="15.75" x14ac:dyDescent="0.25">
      <c r="A5125" s="14">
        <v>1014308296</v>
      </c>
      <c r="B5125" s="2">
        <v>46123.366794675923</v>
      </c>
      <c r="C5125" s="3" t="str">
        <f>IFERROR(VLOOKUP(A5125,'Base Prueba'!A:C,3,),"NO REGISTRA")</f>
        <v>DARLENE YULIANA MORENO CELEITA</v>
      </c>
      <c r="D5125" s="4" t="str">
        <f>IFERROR(VLOOKUP(A5125,'Base Prueba'!A:D,4,),"NO REGISTRA")</f>
        <v>CAJERO PRINCIPAL</v>
      </c>
      <c r="E5125" s="5" t="str">
        <f>IFERROR(VLOOKUP(A5125,'Base Prueba'!A:E,5,),"NO REGISTRA")</f>
        <v>AREA FINANCIERA Y CONTABLE</v>
      </c>
    </row>
    <row r="5126" spans="1:5" ht="15.75" x14ac:dyDescent="0.25">
      <c r="A5126" s="14">
        <v>1013098430</v>
      </c>
      <c r="B5126" s="2">
        <v>46123.37290613426</v>
      </c>
      <c r="C5126" s="3" t="str">
        <f>IFERROR(VLOOKUP(A5126,'Base Prueba'!A:C,3,),"NO REGISTRA")</f>
        <v>ANDRES FELIPE LOPEZ ROMERO</v>
      </c>
      <c r="D5126" s="4" t="str">
        <f>IFERROR(VLOOKUP(A5126,'Base Prueba'!A:D,4,),"NO REGISTRA")</f>
        <v>APRENDIZ UNIVERSITARIO</v>
      </c>
      <c r="E5126" s="5" t="str">
        <f>IFERROR(VLOOKUP(A5126,'Base Prueba'!A:E,5,),"NO REGISTRA")</f>
        <v>OFICINA DE MERCADEO</v>
      </c>
    </row>
    <row r="5127" spans="1:5" ht="15.75" x14ac:dyDescent="0.25">
      <c r="A5127" s="14">
        <v>1013098430</v>
      </c>
      <c r="B5127" s="2">
        <v>46123.372942824077</v>
      </c>
      <c r="C5127" s="3" t="str">
        <f>IFERROR(VLOOKUP(A5127,'Base Prueba'!A:C,3,),"NO REGISTRA")</f>
        <v>ANDRES FELIPE LOPEZ ROMERO</v>
      </c>
      <c r="D5127" s="4" t="str">
        <f>IFERROR(VLOOKUP(A5127,'Base Prueba'!A:D,4,),"NO REGISTRA")</f>
        <v>APRENDIZ UNIVERSITARIO</v>
      </c>
      <c r="E5127" s="5" t="str">
        <f>IFERROR(VLOOKUP(A5127,'Base Prueba'!A:E,5,),"NO REGISTRA")</f>
        <v>OFICINA DE MERCADEO</v>
      </c>
    </row>
    <row r="5128" spans="1:5" ht="15.75" x14ac:dyDescent="0.25">
      <c r="A5128" s="14">
        <v>52175674</v>
      </c>
      <c r="B5128" s="2">
        <v>46123.378398263892</v>
      </c>
      <c r="C5128" s="3" t="str">
        <f>IFERROR(VLOOKUP(A5128,'Base Prueba'!A:C,3,),"NO REGISTRA")</f>
        <v>LUZ YANETH GOMEZ AREVALO</v>
      </c>
      <c r="D5128" s="4" t="str">
        <f>IFERROR(VLOOKUP(A5128,'Base Prueba'!A:D,4,),"NO REGISTRA")</f>
        <v>COORDINADORA DE ADMISIONES</v>
      </c>
      <c r="E5128" s="5" t="str">
        <f>IFERROR(VLOOKUP(A5128,'Base Prueba'!A:E,5,),"NO REGISTRA")</f>
        <v>OFICINA DE MERCADEO</v>
      </c>
    </row>
    <row r="5129" spans="1:5" ht="15.75" x14ac:dyDescent="0.25">
      <c r="A5129" s="14">
        <v>1012426741</v>
      </c>
      <c r="B5129" s="2">
        <v>46123.378549421293</v>
      </c>
      <c r="C5129" s="3" t="str">
        <f>IFERROR(VLOOKUP(A5129,'Base Prueba'!A:C,3,),"NO REGISTRA")</f>
        <v>CRISTIAN FABIAN ROJAS SANCENO</v>
      </c>
      <c r="D5129" s="4" t="str">
        <f>IFERROR(VLOOKUP(A5129,'Base Prueba'!A:D,4,),"NO REGISTRA")</f>
        <v>AUXILIAR DE REINTEGROS</v>
      </c>
      <c r="E5129" s="5" t="str">
        <f>IFERROR(VLOOKUP(A5129,'Base Prueba'!A:E,5,),"NO REGISTRA")</f>
        <v>DIRECCION DE BIENESTAR INSTITUCIONAL</v>
      </c>
    </row>
    <row r="5130" spans="1:5" ht="15.75" x14ac:dyDescent="0.25">
      <c r="A5130" s="14">
        <v>28798349</v>
      </c>
      <c r="B5130" s="2">
        <v>46123.382803472225</v>
      </c>
      <c r="C5130" s="3" t="str">
        <f>IFERROR(VLOOKUP(A5130,'Base Prueba'!A:C,3,),"NO REGISTRA")</f>
        <v>MARTHA ISABEL TOVAR WILLIAMS</v>
      </c>
      <c r="D5130" s="4" t="str">
        <f>IFERROR(VLOOKUP(A5130,'Base Prueba'!A:D,4,),"NO REGISTRA")</f>
        <v>PROMOTOR CALL CENTER</v>
      </c>
      <c r="E5130" s="5" t="str">
        <f>IFERROR(VLOOKUP(A5130,'Base Prueba'!A:E,5,),"NO REGISTRA")</f>
        <v>OFICINA DE MERCADEO</v>
      </c>
    </row>
    <row r="5131" spans="1:5" ht="15.75" x14ac:dyDescent="0.25">
      <c r="A5131" s="14">
        <v>1016090131</v>
      </c>
      <c r="B5131" s="2">
        <v>46123.389384027774</v>
      </c>
      <c r="C5131" s="3" t="str">
        <f>IFERROR(VLOOKUP(A5131,'Base Prueba'!A:C,3,),"NO REGISTRA")</f>
        <v>NICOLAS RODRIGUEZ PACHECO</v>
      </c>
      <c r="D5131" s="4" t="str">
        <f>IFERROR(VLOOKUP(A5131,'Base Prueba'!A:D,4,),"NO REGISTRA")</f>
        <v>COORDINADOR DE COMUNICACIONES</v>
      </c>
      <c r="E5131" s="5" t="str">
        <f>IFERROR(VLOOKUP(A5131,'Base Prueba'!A:E,5,),"NO REGISTRA")</f>
        <v>OFICINA DE MERCADEO</v>
      </c>
    </row>
    <row r="5132" spans="1:5" ht="15.75" x14ac:dyDescent="0.25">
      <c r="A5132" s="14">
        <v>1024512067</v>
      </c>
      <c r="B5132" s="2">
        <v>46123.39929814815</v>
      </c>
      <c r="C5132" s="3" t="str">
        <f>IFERROR(VLOOKUP(A5132,'Base Prueba'!A:C,3,),"NO REGISTRA")</f>
        <v>CINDY GIOVANA SALGAR GOMEZ</v>
      </c>
      <c r="D5132" s="4" t="str">
        <f>IFERROR(VLOOKUP(A5132,'Base Prueba'!A:D,4,),"NO REGISTRA")</f>
        <v>COORDINADOR DEL SISTEMA INTEGRADO DE GESTION INSTITUCIONAL - SIGI</v>
      </c>
      <c r="E5132" s="5" t="str">
        <f>IFERROR(VLOOKUP(A5132,'Base Prueba'!A:E,5,),"NO REGISTRA")</f>
        <v>OFICINA DE PLANEACION Y GESTION DE LA CALIDAD</v>
      </c>
    </row>
    <row r="5133" spans="1:5" ht="15.75" x14ac:dyDescent="0.25">
      <c r="A5133" s="14">
        <v>1012426741</v>
      </c>
      <c r="B5133" s="2">
        <v>46123.50016087963</v>
      </c>
      <c r="C5133" s="3" t="str">
        <f>IFERROR(VLOOKUP(A5133,'Base Prueba'!A:C,3,),"NO REGISTRA")</f>
        <v>CRISTIAN FABIAN ROJAS SANCENO</v>
      </c>
      <c r="D5133" s="4" t="str">
        <f>IFERROR(VLOOKUP(A5133,'Base Prueba'!A:D,4,),"NO REGISTRA")</f>
        <v>AUXILIAR DE REINTEGROS</v>
      </c>
      <c r="E5133" s="5" t="str">
        <f>IFERROR(VLOOKUP(A5133,'Base Prueba'!A:E,5,),"NO REGISTRA")</f>
        <v>DIRECCION DE BIENESTAR INSTITUCIONAL</v>
      </c>
    </row>
    <row r="5134" spans="1:5" ht="15.75" x14ac:dyDescent="0.25">
      <c r="A5134" s="14">
        <v>1014308296</v>
      </c>
      <c r="B5134" s="2">
        <v>46123.50155601852</v>
      </c>
      <c r="C5134" s="3" t="str">
        <f>IFERROR(VLOOKUP(A5134,'Base Prueba'!A:C,3,),"NO REGISTRA")</f>
        <v>DARLENE YULIANA MORENO CELEITA</v>
      </c>
      <c r="D5134" s="4" t="str">
        <f>IFERROR(VLOOKUP(A5134,'Base Prueba'!A:D,4,),"NO REGISTRA")</f>
        <v>CAJERO PRINCIPAL</v>
      </c>
      <c r="E5134" s="5" t="str">
        <f>IFERROR(VLOOKUP(A5134,'Base Prueba'!A:E,5,),"NO REGISTRA")</f>
        <v>AREA FINANCIERA Y CONTABLE</v>
      </c>
    </row>
    <row r="5135" spans="1:5" ht="15.75" x14ac:dyDescent="0.25">
      <c r="A5135" s="14">
        <v>1013101788</v>
      </c>
      <c r="B5135" s="2">
        <v>46123.50259236111</v>
      </c>
      <c r="C5135" s="3" t="str">
        <f>IFERROR(VLOOKUP(A5135,'Base Prueba'!A:C,3,),"NO REGISTRA")</f>
        <v>SARA TANGARIFE MONTOYA</v>
      </c>
      <c r="D5135" s="4" t="str">
        <f>IFERROR(VLOOKUP(A5135,'Base Prueba'!A:D,4,),"NO REGISTRA")</f>
        <v>APRENDIZ UNIVERSITARIO</v>
      </c>
      <c r="E5135" s="5" t="str">
        <f>IFERROR(VLOOKUP(A5135,'Base Prueba'!A:E,5,),"NO REGISTRA")</f>
        <v>OFICINA DE MERCADEO</v>
      </c>
    </row>
    <row r="5136" spans="1:5" ht="15.75" x14ac:dyDescent="0.25">
      <c r="A5136" s="14">
        <v>1000046533</v>
      </c>
      <c r="B5136" s="2">
        <v>46123.502807638892</v>
      </c>
      <c r="C5136" s="3" t="str">
        <f>IFERROR(VLOOKUP(A5136,'Base Prueba'!A:C,3,),"NO REGISTRA")</f>
        <v>ERIKA JULIETH VALDERRAMA SANCHEZ</v>
      </c>
      <c r="D5136" s="4" t="str">
        <f>IFERROR(VLOOKUP(A5136,'Base Prueba'!A:D,4,),"NO REGISTRA")</f>
        <v>PROMOTOR CALL CENTER</v>
      </c>
      <c r="E5136" s="5" t="str">
        <f>IFERROR(VLOOKUP(A5136,'Base Prueba'!A:E,5,),"NO REGISTRA")</f>
        <v>OFICINA DE MERCADEO</v>
      </c>
    </row>
    <row r="5137" spans="1:5" ht="15.75" x14ac:dyDescent="0.25">
      <c r="A5137" s="14">
        <v>1000604979</v>
      </c>
      <c r="B5137" s="2">
        <v>46123.507522800923</v>
      </c>
      <c r="C5137" s="3" t="str">
        <f>IFERROR(VLOOKUP(A5137,'Base Prueba'!A:C,3,),"NO REGISTRA")</f>
        <v>JULIETH TATIANA PARDO PINTO</v>
      </c>
      <c r="D5137" s="4" t="str">
        <f>IFERROR(VLOOKUP(A5137,'Base Prueba'!A:D,4,),"NO REGISTRA")</f>
        <v>AUXILIAR JURIDICO</v>
      </c>
      <c r="E5137" s="5" t="str">
        <f>IFERROR(VLOOKUP(A5137,'Base Prueba'!A:E,5,),"NO REGISTRA")</f>
        <v>SECRETARIA GENERAL</v>
      </c>
    </row>
    <row r="5138" spans="1:5" ht="15.75" x14ac:dyDescent="0.25">
      <c r="A5138" s="14">
        <v>1013098430</v>
      </c>
      <c r="B5138" s="2">
        <v>46123.507642245371</v>
      </c>
      <c r="C5138" s="3" t="str">
        <f>IFERROR(VLOOKUP(A5138,'Base Prueba'!A:C,3,),"NO REGISTRA")</f>
        <v>ANDRES FELIPE LOPEZ ROMERO</v>
      </c>
      <c r="D5138" s="4" t="str">
        <f>IFERROR(VLOOKUP(A5138,'Base Prueba'!A:D,4,),"NO REGISTRA")</f>
        <v>APRENDIZ UNIVERSITARIO</v>
      </c>
      <c r="E5138" s="5" t="str">
        <f>IFERROR(VLOOKUP(A5138,'Base Prueba'!A:E,5,),"NO REGISTRA")</f>
        <v>OFICINA DE MERCADEO</v>
      </c>
    </row>
    <row r="5139" spans="1:5" ht="15.75" x14ac:dyDescent="0.25">
      <c r="A5139" s="14">
        <v>52175674</v>
      </c>
      <c r="B5139" s="2">
        <v>46123.518707060182</v>
      </c>
      <c r="C5139" s="3" t="str">
        <f>IFERROR(VLOOKUP(A5139,'Base Prueba'!A:C,3,),"NO REGISTRA")</f>
        <v>LUZ YANETH GOMEZ AREVALO</v>
      </c>
      <c r="D5139" s="4" t="str">
        <f>IFERROR(VLOOKUP(A5139,'Base Prueba'!A:D,4,),"NO REGISTRA")</f>
        <v>COORDINADORA DE ADMISIONES</v>
      </c>
      <c r="E5139" s="5" t="str">
        <f>IFERROR(VLOOKUP(A5139,'Base Prueba'!A:E,5,),"NO REGISTRA")</f>
        <v>OFICINA DE MERCADEO</v>
      </c>
    </row>
    <row r="5140" spans="1:5" ht="15.75" x14ac:dyDescent="0.25">
      <c r="A5140" s="14">
        <v>28798349</v>
      </c>
      <c r="B5140" s="2">
        <v>46123.518867129627</v>
      </c>
      <c r="C5140" s="3" t="str">
        <f>IFERROR(VLOOKUP(A5140,'Base Prueba'!A:C,3,),"NO REGISTRA")</f>
        <v>MARTHA ISABEL TOVAR WILLIAMS</v>
      </c>
      <c r="D5140" s="4" t="str">
        <f>IFERROR(VLOOKUP(A5140,'Base Prueba'!A:D,4,),"NO REGISTRA")</f>
        <v>PROMOTOR CALL CENTER</v>
      </c>
      <c r="E5140" s="5" t="str">
        <f>IFERROR(VLOOKUP(A5140,'Base Prueba'!A:E,5,),"NO REGISTRA")</f>
        <v>OFICINA DE MERCADEO</v>
      </c>
    </row>
    <row r="5141" spans="1:5" ht="15.75" x14ac:dyDescent="0.25">
      <c r="A5141" s="14">
        <v>1024512067</v>
      </c>
      <c r="B5141" s="2">
        <v>46123.527997800928</v>
      </c>
      <c r="C5141" s="3" t="str">
        <f>IFERROR(VLOOKUP(A5141,'Base Prueba'!A:C,3,),"NO REGISTRA")</f>
        <v>CINDY GIOVANA SALGAR GOMEZ</v>
      </c>
      <c r="D5141" s="4" t="str">
        <f>IFERROR(VLOOKUP(A5141,'Base Prueba'!A:D,4,),"NO REGISTRA")</f>
        <v>COORDINADOR DEL SISTEMA INTEGRADO DE GESTION INSTITUCIONAL - SIGI</v>
      </c>
      <c r="E5141" s="5" t="str">
        <f>IFERROR(VLOOKUP(A5141,'Base Prueba'!A:E,5,),"NO REGISTRA")</f>
        <v>OFICINA DE PLANEACION Y GESTION DE LA CALIDAD</v>
      </c>
    </row>
    <row r="5142" spans="1:5" ht="15.75" x14ac:dyDescent="0.25">
      <c r="A5142" s="14">
        <v>1033709056</v>
      </c>
      <c r="B5142" s="2">
        <v>46123.537431481484</v>
      </c>
      <c r="C5142" s="3" t="str">
        <f>IFERROR(VLOOKUP(A5142,'Base Prueba'!A:C,3,),"NO REGISTRA")</f>
        <v>YEIMY ALEXANDRA RODRIGUEZ PALACIO</v>
      </c>
      <c r="D5142" s="4" t="str">
        <f>IFERROR(VLOOKUP(A5142,'Base Prueba'!A:D,4,),"NO REGISTRA")</f>
        <v>PROMOTOR CALL CENTER</v>
      </c>
      <c r="E5142" s="5" t="str">
        <f>IFERROR(VLOOKUP(A5142,'Base Prueba'!A:E,5,),"NO REGISTRA")</f>
        <v>OFICINA DE MERCADEO</v>
      </c>
    </row>
    <row r="5143" spans="1:5" ht="15.75" x14ac:dyDescent="0.25">
      <c r="A5143" s="14">
        <v>1024505434</v>
      </c>
      <c r="B5143" s="2">
        <v>46123.548920370369</v>
      </c>
      <c r="C5143" s="3" t="str">
        <f>IFERROR(VLOOKUP(A5143,'Base Prueba'!A:C,3,),"NO REGISTRA")</f>
        <v>CRISTIAN ALBERTO MELO TORRES</v>
      </c>
      <c r="D5143" s="4" t="str">
        <f>IFERROR(VLOOKUP(A5143,'Base Prueba'!A:D,4,),"NO REGISTRA")</f>
        <v>COORDINADOR DE INFRAESTRUCTURA</v>
      </c>
      <c r="E5143" s="5" t="str">
        <f>IFERROR(VLOOKUP(A5143,'Base Prueba'!A:E,5,),"NO REGISTRA")</f>
        <v>VICERRECTORIA ADMINISTRATIVA Y FINANCIERA</v>
      </c>
    </row>
    <row r="5144" spans="1:5" ht="15.75" x14ac:dyDescent="0.25">
      <c r="A5144" s="14">
        <v>1010184333</v>
      </c>
      <c r="B5144" s="2">
        <v>46123.618196990741</v>
      </c>
      <c r="C5144" s="3" t="str">
        <f>IFERROR(VLOOKUP(A5144,'Base Prueba'!A:C,3,),"NO REGISTRA")</f>
        <v>AKON ANDRES GARZON ALVAREZ</v>
      </c>
      <c r="D5144" s="4" t="str">
        <f>IFERROR(VLOOKUP(A5144,'Base Prueba'!A:D,4,),"NO REGISTRA")</f>
        <v>APRENDIZ UNIVERSITARIO</v>
      </c>
      <c r="E5144" s="5" t="str">
        <f>IFERROR(VLOOKUP(A5144,'Base Prueba'!A:E,5,),"NO REGISTRA")</f>
        <v>SECRETARIA GENERAL</v>
      </c>
    </row>
    <row r="5145" spans="1:5" ht="15.75" x14ac:dyDescent="0.25">
      <c r="A5145" s="14">
        <v>52764929</v>
      </c>
      <c r="B5145" s="2">
        <v>46123.626438078703</v>
      </c>
      <c r="C5145" s="3" t="str">
        <f>IFERROR(VLOOKUP(A5145,'Base Prueba'!A:C,3,),"NO REGISTRA")</f>
        <v>GUERLY YOHANA DURAN RIVERA</v>
      </c>
      <c r="D5145" s="4" t="str">
        <f>IFERROR(VLOOKUP(A5145,'Base Prueba'!A:D,4,),"NO REGISTRA")</f>
        <v>LIDER DE VINCULACION COLEGIOS</v>
      </c>
      <c r="E5145" s="5" t="str">
        <f>IFERROR(VLOOKUP(A5145,'Base Prueba'!A:E,5,),"NO REGISTRA")</f>
        <v>OFICINA DE MERCADEO</v>
      </c>
    </row>
    <row r="5146" spans="1:5" ht="15.75" x14ac:dyDescent="0.25">
      <c r="A5146" s="14">
        <v>1033820146</v>
      </c>
      <c r="B5146" s="2">
        <v>46123.629280208334</v>
      </c>
      <c r="C5146" s="3" t="str">
        <f>IFERROR(VLOOKUP(A5146,'Base Prueba'!A:C,3,),"NO REGISTRA")</f>
        <v>JULIETH ALEXANDRA BUSTAMANTE RUIZ</v>
      </c>
      <c r="D5146" s="4" t="str">
        <f>IFERROR(VLOOKUP(A5146,'Base Prueba'!A:D,4,),"NO REGISTRA")</f>
        <v>AUXILIAR ADMINISTRATIVO</v>
      </c>
      <c r="E5146" s="5" t="str">
        <f>IFERROR(VLOOKUP(A5146,'Base Prueba'!A:E,5,),"NO REGISTRA")</f>
        <v>REGISTRO Y CONTROL ACADEMICO</v>
      </c>
    </row>
    <row r="5147" spans="1:5" ht="15.75" x14ac:dyDescent="0.25">
      <c r="A5147" s="14">
        <v>1000324729</v>
      </c>
      <c r="B5147" s="2">
        <v>46123.629417245371</v>
      </c>
      <c r="C5147" s="3" t="str">
        <f>IFERROR(VLOOKUP(A5147,'Base Prueba'!A:C,3,),"NO REGISTRA")</f>
        <v>ANYIE VANESSA TINOCO CAMACHO</v>
      </c>
      <c r="D5147" s="4" t="str">
        <f>IFERROR(VLOOKUP(A5147,'Base Prueba'!A:D,4,),"NO REGISTRA")</f>
        <v>LIDER DE REGISTRO Y CONTROL</v>
      </c>
      <c r="E5147" s="5" t="str">
        <f>IFERROR(VLOOKUP(A5147,'Base Prueba'!A:E,5,),"NO REGISTRA")</f>
        <v>REGISTRO Y CONTROL ACADEMICO</v>
      </c>
    </row>
    <row r="5148" spans="1:5" ht="15.75" x14ac:dyDescent="0.25">
      <c r="A5148" s="14">
        <v>1013616244</v>
      </c>
      <c r="B5148" s="2">
        <v>46123.629604629627</v>
      </c>
      <c r="C5148" s="3" t="str">
        <f>IFERROR(VLOOKUP(A5148,'Base Prueba'!A:C,3,),"NO REGISTRA")</f>
        <v>DIANA CAROLINA MARIN BETANCOURT</v>
      </c>
      <c r="D5148" s="4" t="str">
        <f>IFERROR(VLOOKUP(A5148,'Base Prueba'!A:D,4,),"NO REGISTRA")</f>
        <v>AUXILIAR ADMINISTRATIVO</v>
      </c>
      <c r="E5148" s="5" t="str">
        <f>IFERROR(VLOOKUP(A5148,'Base Prueba'!A:E,5,),"NO REGISTRA")</f>
        <v>REGISTRO Y CONTROL ACADEMICO</v>
      </c>
    </row>
    <row r="5149" spans="1:5" ht="15.75" x14ac:dyDescent="0.25">
      <c r="A5149" s="14">
        <v>52474489</v>
      </c>
      <c r="B5149" s="2">
        <v>46123.632661805554</v>
      </c>
      <c r="C5149" s="3" t="str">
        <f>IFERROR(VLOOKUP(A5149,'Base Prueba'!A:C,3,),"NO REGISTRA")</f>
        <v>ADRIANA JIMENA SOTO BOCANEGRA</v>
      </c>
      <c r="D5149" s="4" t="str">
        <f>IFERROR(VLOOKUP(A5149,'Base Prueba'!A:D,4,),"NO REGISTRA")</f>
        <v>COORDINADOR DE LA OFICINA DE REGISTRO Y CONTROL</v>
      </c>
      <c r="E5149" s="5" t="str">
        <f>IFERROR(VLOOKUP(A5149,'Base Prueba'!A:E,5,),"NO REGISTRA")</f>
        <v>REGISTRO Y CONTROL ACADEMICO</v>
      </c>
    </row>
    <row r="5150" spans="1:5" ht="15.75" x14ac:dyDescent="0.25">
      <c r="A5150" s="14">
        <v>1087121273</v>
      </c>
      <c r="B5150" s="2">
        <v>46125.309127430555</v>
      </c>
      <c r="C5150" s="3" t="str">
        <f>IFERROR(VLOOKUP(A5150,'Base Prueba'!A:C,3,),"NO REGISTRA")</f>
        <v>MAYRA ALEJANDRA CASTILLO ARBOLEDA</v>
      </c>
      <c r="D5150" s="4" t="str">
        <f>IFERROR(VLOOKUP(A5150,'Base Prueba'!A:D,4,),"NO REGISTRA")</f>
        <v>APOYO INTEGRAL DE MERCADEO</v>
      </c>
      <c r="E5150" s="5" t="str">
        <f>IFERROR(VLOOKUP(A5150,'Base Prueba'!A:E,5,),"NO REGISTRA")</f>
        <v>CENTRO DE GESTION DOCUMENTAL</v>
      </c>
    </row>
    <row r="5151" spans="1:5" ht="15.75" x14ac:dyDescent="0.25">
      <c r="A5151" s="14">
        <v>1024512067</v>
      </c>
      <c r="B5151" s="2">
        <v>46125.313117939811</v>
      </c>
      <c r="C5151" s="3" t="str">
        <f>IFERROR(VLOOKUP(A5151,'Base Prueba'!A:C,3,),"NO REGISTRA")</f>
        <v>CINDY GIOVANA SALGAR GOMEZ</v>
      </c>
      <c r="D5151" s="4" t="str">
        <f>IFERROR(VLOOKUP(A5151,'Base Prueba'!A:D,4,),"NO REGISTRA")</f>
        <v>COORDINADOR DEL SISTEMA INTEGRADO DE GESTION INSTITUCIONAL - SIGI</v>
      </c>
      <c r="E5151" s="5" t="str">
        <f>IFERROR(VLOOKUP(A5151,'Base Prueba'!A:E,5,),"NO REGISTRA")</f>
        <v>OFICINA DE PLANEACION Y GESTION DE LA CALIDAD</v>
      </c>
    </row>
    <row r="5152" spans="1:5" ht="15.75" x14ac:dyDescent="0.25">
      <c r="A5152" s="14">
        <v>80191732</v>
      </c>
      <c r="B5152" s="2">
        <v>46125.316065740742</v>
      </c>
      <c r="C5152" s="3" t="str">
        <f>IFERROR(VLOOKUP(A5152,'Base Prueba'!A:C,3,),"NO REGISTRA")</f>
        <v>DANIEL MAURICIO ZAMBRANO TUNJANO</v>
      </c>
      <c r="D5152" s="4" t="str">
        <f>IFERROR(VLOOKUP(A5152,'Base Prueba'!A:D,4,),"NO REGISTRA")</f>
        <v>COORDINADOR DE DISEÑO E IMAGEN INSTITUCIONAL</v>
      </c>
      <c r="E5152" s="5" t="str">
        <f>IFERROR(VLOOKUP(A5152,'Base Prueba'!A:E,5,),"NO REGISTRA")</f>
        <v>OFICINA DE MERCADEO</v>
      </c>
    </row>
    <row r="5153" spans="1:5" ht="15.75" x14ac:dyDescent="0.25">
      <c r="A5153" s="14">
        <v>1000324729</v>
      </c>
      <c r="B5153" s="2">
        <v>46125.319418055558</v>
      </c>
      <c r="C5153" s="3" t="str">
        <f>IFERROR(VLOOKUP(A5153,'Base Prueba'!A:C,3,),"NO REGISTRA")</f>
        <v>ANYIE VANESSA TINOCO CAMACHO</v>
      </c>
      <c r="D5153" s="4" t="str">
        <f>IFERROR(VLOOKUP(A5153,'Base Prueba'!A:D,4,),"NO REGISTRA")</f>
        <v>LIDER DE REGISTRO Y CONTROL</v>
      </c>
      <c r="E5153" s="5" t="str">
        <f>IFERROR(VLOOKUP(A5153,'Base Prueba'!A:E,5,),"NO REGISTRA")</f>
        <v>REGISTRO Y CONTROL ACADEMICO</v>
      </c>
    </row>
    <row r="5154" spans="1:5" ht="15.75" x14ac:dyDescent="0.25">
      <c r="A5154" s="14">
        <v>1013616244</v>
      </c>
      <c r="B5154" s="2">
        <v>46125.324513888889</v>
      </c>
      <c r="C5154" s="3" t="str">
        <f>IFERROR(VLOOKUP(A5154,'Base Prueba'!A:C,3,),"NO REGISTRA")</f>
        <v>DIANA CAROLINA MARIN BETANCOURT</v>
      </c>
      <c r="D5154" s="4" t="str">
        <f>IFERROR(VLOOKUP(A5154,'Base Prueba'!A:D,4,),"NO REGISTRA")</f>
        <v>AUXILIAR ADMINISTRATIVO</v>
      </c>
      <c r="E5154" s="5" t="str">
        <f>IFERROR(VLOOKUP(A5154,'Base Prueba'!A:E,5,),"NO REGISTRA")</f>
        <v>REGISTRO Y CONTROL ACADEMICO</v>
      </c>
    </row>
    <row r="5155" spans="1:5" ht="15.75" x14ac:dyDescent="0.25">
      <c r="A5155" s="14">
        <v>1000257136</v>
      </c>
      <c r="B5155" s="2">
        <v>46125.325202777778</v>
      </c>
      <c r="C5155" s="3" t="str">
        <f>IFERROR(VLOOKUP(A5155,'Base Prueba'!A:C,3,),"NO REGISTRA")</f>
        <v>FRANCI VALENTINA CANO PUENTES</v>
      </c>
      <c r="D5155" s="4" t="str">
        <f>IFERROR(VLOOKUP(A5155,'Base Prueba'!A:D,4,),"NO REGISTRA")</f>
        <v>AUXILIAR CONTABLE</v>
      </c>
      <c r="E5155" s="5" t="str">
        <f>IFERROR(VLOOKUP(A5155,'Base Prueba'!A:E,5,),"NO REGISTRA")</f>
        <v>AREA FINANCIERA Y CONTABLE</v>
      </c>
    </row>
    <row r="5156" spans="1:5" ht="15.75" x14ac:dyDescent="0.25">
      <c r="A5156" s="14">
        <v>1010184333</v>
      </c>
      <c r="B5156" s="2">
        <v>46125.326201388889</v>
      </c>
      <c r="C5156" s="3" t="str">
        <f>IFERROR(VLOOKUP(A5156,'Base Prueba'!A:C,3,),"NO REGISTRA")</f>
        <v>AKON ANDRES GARZON ALVAREZ</v>
      </c>
      <c r="D5156" s="4" t="str">
        <f>IFERROR(VLOOKUP(A5156,'Base Prueba'!A:D,4,),"NO REGISTRA")</f>
        <v>APRENDIZ UNIVERSITARIO</v>
      </c>
      <c r="E5156" s="5" t="str">
        <f>IFERROR(VLOOKUP(A5156,'Base Prueba'!A:E,5,),"NO REGISTRA")</f>
        <v>SECRETARIA GENERAL</v>
      </c>
    </row>
    <row r="5157" spans="1:5" ht="15.75" x14ac:dyDescent="0.25">
      <c r="A5157" s="14">
        <v>1014308296</v>
      </c>
      <c r="B5157" s="2">
        <v>46125.328769444444</v>
      </c>
      <c r="C5157" s="3" t="str">
        <f>IFERROR(VLOOKUP(A5157,'Base Prueba'!A:C,3,),"NO REGISTRA")</f>
        <v>DARLENE YULIANA MORENO CELEITA</v>
      </c>
      <c r="D5157" s="4" t="str">
        <f>IFERROR(VLOOKUP(A5157,'Base Prueba'!A:D,4,),"NO REGISTRA")</f>
        <v>CAJERO PRINCIPAL</v>
      </c>
      <c r="E5157" s="5" t="str">
        <f>IFERROR(VLOOKUP(A5157,'Base Prueba'!A:E,5,),"NO REGISTRA")</f>
        <v>AREA FINANCIERA Y CONTABLE</v>
      </c>
    </row>
    <row r="5158" spans="1:5" ht="15.75" x14ac:dyDescent="0.25">
      <c r="A5158" s="14">
        <v>1033820146</v>
      </c>
      <c r="B5158" s="2">
        <v>46125.332004398151</v>
      </c>
      <c r="C5158" s="3" t="str">
        <f>IFERROR(VLOOKUP(A5158,'Base Prueba'!A:C,3,),"NO REGISTRA")</f>
        <v>JULIETH ALEXANDRA BUSTAMANTE RUIZ</v>
      </c>
      <c r="D5158" s="4" t="str">
        <f>IFERROR(VLOOKUP(A5158,'Base Prueba'!A:D,4,),"NO REGISTRA")</f>
        <v>AUXILIAR ADMINISTRATIVO</v>
      </c>
      <c r="E5158" s="5" t="str">
        <f>IFERROR(VLOOKUP(A5158,'Base Prueba'!A:E,5,),"NO REGISTRA")</f>
        <v>REGISTRO Y CONTROL ACADEMICO</v>
      </c>
    </row>
    <row r="5159" spans="1:5" ht="15.75" x14ac:dyDescent="0.25">
      <c r="A5159" s="14">
        <v>1049644802</v>
      </c>
      <c r="B5159" s="2">
        <v>46125.337017939812</v>
      </c>
      <c r="C5159" s="3" t="str">
        <f>IFERROR(VLOOKUP(A5159,'Base Prueba'!A:C,3,),"NO REGISTRA")</f>
        <v>DANIELA ALEXANDRA CIPAMOCHA BOSIGA</v>
      </c>
      <c r="D5159" s="4" t="str">
        <f>IFERROR(VLOOKUP(A5159,'Base Prueba'!A:D,4,),"NO REGISTRA")</f>
        <v>LIDER DE DATOS Y SERVICIOS</v>
      </c>
      <c r="E5159" s="5" t="str">
        <f>IFERROR(VLOOKUP(A5159,'Base Prueba'!A:E,5,),"NO REGISTRA")</f>
        <v>OFICINA DE PLANEACION Y GESTION DE LA CALIDAD</v>
      </c>
    </row>
    <row r="5160" spans="1:5" ht="15.75" x14ac:dyDescent="0.25">
      <c r="A5160" s="14">
        <v>1013098430</v>
      </c>
      <c r="B5160" s="2">
        <v>46125.339859837964</v>
      </c>
      <c r="C5160" s="3" t="str">
        <f>IFERROR(VLOOKUP(A5160,'Base Prueba'!A:C,3,),"NO REGISTRA")</f>
        <v>ANDRES FELIPE LOPEZ ROMERO</v>
      </c>
      <c r="D5160" s="4" t="str">
        <f>IFERROR(VLOOKUP(A5160,'Base Prueba'!A:D,4,),"NO REGISTRA")</f>
        <v>APRENDIZ UNIVERSITARIO</v>
      </c>
      <c r="E5160" s="5" t="str">
        <f>IFERROR(VLOOKUP(A5160,'Base Prueba'!A:E,5,),"NO REGISTRA")</f>
        <v>OFICINA DE MERCADEO</v>
      </c>
    </row>
    <row r="5161" spans="1:5" ht="15.75" x14ac:dyDescent="0.25">
      <c r="A5161" s="14">
        <v>1014196857</v>
      </c>
      <c r="B5161" s="2">
        <v>46125.340272453701</v>
      </c>
      <c r="C5161" s="3" t="str">
        <f>IFERROR(VLOOKUP(A5161,'Base Prueba'!A:C,3,),"NO REGISTRA")</f>
        <v>CARLOS ANDRES JIMENEZ PARDO</v>
      </c>
      <c r="D5161" s="4" t="str">
        <f>IFERROR(VLOOKUP(A5161,'Base Prueba'!A:D,4,),"NO REGISTRA")</f>
        <v>COORDINADOR DE MARKETING DIGITAL</v>
      </c>
      <c r="E5161" s="5" t="str">
        <f>IFERROR(VLOOKUP(A5161,'Base Prueba'!A:E,5,),"NO REGISTRA")</f>
        <v>OFICINA DE MERCADEO</v>
      </c>
    </row>
    <row r="5162" spans="1:5" ht="15.75" x14ac:dyDescent="0.25">
      <c r="A5162" s="14">
        <v>1032469638</v>
      </c>
      <c r="B5162" s="2">
        <v>46125.345229861108</v>
      </c>
      <c r="C5162" s="3" t="str">
        <f>IFERROR(VLOOKUP(A5162,'Base Prueba'!A:C,3,),"NO REGISTRA")</f>
        <v>MAICOL JARBEY GUALTEROS CASTAÑEDA</v>
      </c>
      <c r="D5162" s="4" t="str">
        <f>IFERROR(VLOOKUP(A5162,'Base Prueba'!A:D,4,),"NO REGISTRA")</f>
        <v>COORDINADOR DEL SISTEMA INTERNO DE ASEGURAMIENTO DE LA CALIDAD - SIAC</v>
      </c>
      <c r="E5162" s="5" t="str">
        <f>IFERROR(VLOOKUP(A5162,'Base Prueba'!A:E,5,),"NO REGISTRA")</f>
        <v>OFICINA DE PLANEACION Y GESTION DE LA CALIDAD</v>
      </c>
    </row>
    <row r="5163" spans="1:5" ht="15.75" x14ac:dyDescent="0.25">
      <c r="A5163" s="14">
        <v>1000593372</v>
      </c>
      <c r="B5163" s="2">
        <v>46125.345559374997</v>
      </c>
      <c r="C5163" s="3" t="str">
        <f>IFERROR(VLOOKUP(A5163,'Base Prueba'!A:C,3,),"NO REGISTRA")</f>
        <v>LAURA SOFIA CHAPARRO LOPEZ</v>
      </c>
      <c r="D5163" s="4" t="str">
        <f>IFERROR(VLOOKUP(A5163,'Base Prueba'!A:D,4,),"NO REGISTRA")</f>
        <v>AUXILIAR JURIDICO</v>
      </c>
      <c r="E5163" s="5" t="str">
        <f>IFERROR(VLOOKUP(A5163,'Base Prueba'!A:E,5,),"NO REGISTRA")</f>
        <v>SECRETARIA GENERAL</v>
      </c>
    </row>
    <row r="5164" spans="1:5" ht="15.75" x14ac:dyDescent="0.25">
      <c r="A5164" s="14">
        <v>1000604979</v>
      </c>
      <c r="B5164" s="2">
        <v>46125.345609259261</v>
      </c>
      <c r="C5164" s="3" t="str">
        <f>IFERROR(VLOOKUP(A5164,'Base Prueba'!A:C,3,),"NO REGISTRA")</f>
        <v>JULIETH TATIANA PARDO PINTO</v>
      </c>
      <c r="D5164" s="4" t="str">
        <f>IFERROR(VLOOKUP(A5164,'Base Prueba'!A:D,4,),"NO REGISTRA")</f>
        <v>AUXILIAR JURIDICO</v>
      </c>
      <c r="E5164" s="5" t="str">
        <f>IFERROR(VLOOKUP(A5164,'Base Prueba'!A:E,5,),"NO REGISTRA")</f>
        <v>SECRETARIA GENERAL</v>
      </c>
    </row>
    <row r="5165" spans="1:5" ht="15.75" x14ac:dyDescent="0.25">
      <c r="A5165" s="14">
        <v>53932358</v>
      </c>
      <c r="B5165" s="2">
        <v>46125.346028125001</v>
      </c>
      <c r="C5165" s="3" t="str">
        <f>IFERROR(VLOOKUP(A5165,'Base Prueba'!A:C,3,),"NO REGISTRA")</f>
        <v>DIANA MADELEYNE GAONA RODRIGUEZ</v>
      </c>
      <c r="D5165" s="4" t="str">
        <f>IFERROR(VLOOKUP(A5165,'Base Prueba'!A:D,4,),"NO REGISTRA")</f>
        <v>CONTADOR</v>
      </c>
      <c r="E5165" s="5" t="str">
        <f>IFERROR(VLOOKUP(A5165,'Base Prueba'!A:E,5,),"NO REGISTRA")</f>
        <v>AREA FINANCIERA Y CONTABLE</v>
      </c>
    </row>
    <row r="5166" spans="1:5" ht="15.75" x14ac:dyDescent="0.25">
      <c r="A5166" s="14">
        <v>1193457976</v>
      </c>
      <c r="B5166" s="2">
        <v>46125.348092361113</v>
      </c>
      <c r="C5166" s="3" t="str">
        <f>IFERROR(VLOOKUP(A5166,'Base Prueba'!A:C,3,),"NO REGISTRA")</f>
        <v>SEDENIS RIVAS ASPRILLA</v>
      </c>
      <c r="D5166" s="4" t="str">
        <f>IFERROR(VLOOKUP(A5166,'Base Prueba'!A:D,4,),"NO REGISTRA")</f>
        <v>APRENDIZ UNIVERSITARIO</v>
      </c>
      <c r="E5166" s="5" t="str">
        <f>IFERROR(VLOOKUP(A5166,'Base Prueba'!A:E,5,),"NO REGISTRA")</f>
        <v>DEPARTAMENTO DE GESTION HUMANA</v>
      </c>
    </row>
    <row r="5167" spans="1:5" ht="15.75" x14ac:dyDescent="0.25">
      <c r="A5167" s="14">
        <v>1018413529</v>
      </c>
      <c r="B5167" s="2">
        <v>46125.349675810183</v>
      </c>
      <c r="C5167" s="3" t="str">
        <f>IFERROR(VLOOKUP(A5167,'Base Prueba'!A:C,3,),"NO REGISTRA")</f>
        <v>FRANCY STELLA CHARRY MORENO</v>
      </c>
      <c r="D5167" s="4" t="str">
        <f>IFERROR(VLOOKUP(A5167,'Base Prueba'!A:D,4,),"NO REGISTRA")</f>
        <v>PROMOTOR COMERCIAL DEL CEA</v>
      </c>
      <c r="E5167" s="5" t="str">
        <f>IFERROR(VLOOKUP(A5167,'Base Prueba'!A:E,5,),"NO REGISTRA")</f>
        <v>OFICINA DE MERCADEO</v>
      </c>
    </row>
    <row r="5168" spans="1:5" ht="15.75" x14ac:dyDescent="0.25">
      <c r="A5168" s="14">
        <v>1023883232</v>
      </c>
      <c r="B5168" s="2">
        <v>46125.358900347223</v>
      </c>
      <c r="C5168" s="3" t="str">
        <f>IFERROR(VLOOKUP(A5168,'Base Prueba'!A:C,3,),"NO REGISTRA")</f>
        <v>MONICA ANDREA ACERO URBANO</v>
      </c>
      <c r="D5168" s="4" t="str">
        <f>IFERROR(VLOOKUP(A5168,'Base Prueba'!A:D,4,),"NO REGISTRA")</f>
        <v>APOYO INTEGRAL A GESTION HUMANA</v>
      </c>
      <c r="E5168" s="5" t="str">
        <f>IFERROR(VLOOKUP(A5168,'Base Prueba'!A:E,5,),"NO REGISTRA")</f>
        <v>DEPARTAMENTO DE GESTION HUMANA</v>
      </c>
    </row>
    <row r="5169" spans="1:5" ht="15.75" x14ac:dyDescent="0.25">
      <c r="A5169" s="14">
        <v>1000457706</v>
      </c>
      <c r="B5169" s="2">
        <v>46125.362253240739</v>
      </c>
      <c r="C5169" s="3" t="str">
        <f>IFERROR(VLOOKUP(A5169,'Base Prueba'!A:C,3,),"NO REGISTRA")</f>
        <v>CRISTIAN DANILO ARROYO SANABRIA</v>
      </c>
      <c r="D5169" s="4" t="str">
        <f>IFERROR(VLOOKUP(A5169,'Base Prueba'!A:D,4,),"NO REGISTRA")</f>
        <v>AUXILIAR CONTABLE</v>
      </c>
      <c r="E5169" s="5" t="str">
        <f>IFERROR(VLOOKUP(A5169,'Base Prueba'!A:E,5,),"NO REGISTRA")</f>
        <v>AREA FINANCIERA Y CONTABLE</v>
      </c>
    </row>
    <row r="5170" spans="1:5" ht="15.75" x14ac:dyDescent="0.25">
      <c r="A5170" s="14">
        <v>1032407386</v>
      </c>
      <c r="B5170" s="2">
        <v>46125.368564467593</v>
      </c>
      <c r="C5170" s="3" t="str">
        <f>IFERROR(VLOOKUP(A5170,'Base Prueba'!A:C,3,),"NO REGISTRA")</f>
        <v>GINA PAOLA BAEZ GALVIS</v>
      </c>
      <c r="D5170" s="4" t="str">
        <f>IFERROR(VLOOKUP(A5170,'Base Prueba'!A:D,4,),"NO REGISTRA")</f>
        <v>PROMOTOR CALL CENTER</v>
      </c>
      <c r="E5170" s="5" t="str">
        <f>IFERROR(VLOOKUP(A5170,'Base Prueba'!A:E,5,),"NO REGISTRA")</f>
        <v>OFICINA DE MERCADEO</v>
      </c>
    </row>
    <row r="5171" spans="1:5" ht="15.75" x14ac:dyDescent="0.25">
      <c r="A5171" s="14">
        <v>1000046533</v>
      </c>
      <c r="B5171" s="2">
        <v>46125.369830208336</v>
      </c>
      <c r="C5171" s="3" t="str">
        <f>IFERROR(VLOOKUP(A5171,'Base Prueba'!A:C,3,),"NO REGISTRA")</f>
        <v>ERIKA JULIETH VALDERRAMA SANCHEZ</v>
      </c>
      <c r="D5171" s="4" t="str">
        <f>IFERROR(VLOOKUP(A5171,'Base Prueba'!A:D,4,),"NO REGISTRA")</f>
        <v>PROMOTOR CALL CENTER</v>
      </c>
      <c r="E5171" s="5" t="str">
        <f>IFERROR(VLOOKUP(A5171,'Base Prueba'!A:E,5,),"NO REGISTRA")</f>
        <v>OFICINA DE MERCADEO</v>
      </c>
    </row>
    <row r="5172" spans="1:5" ht="15.75" x14ac:dyDescent="0.25">
      <c r="A5172" s="14">
        <v>80234243</v>
      </c>
      <c r="B5172" s="2">
        <v>46125.370799884258</v>
      </c>
      <c r="C5172" s="3" t="str">
        <f>IFERROR(VLOOKUP(A5172,'Base Prueba'!A:C,3,),"NO REGISTRA")</f>
        <v>ARGENIS MARTINEZ MARTINEZ</v>
      </c>
      <c r="D5172" s="4" t="str">
        <f>IFERROR(VLOOKUP(A5172,'Base Prueba'!A:D,4,),"NO REGISTRA")</f>
        <v>LIDER CALL CENTER</v>
      </c>
      <c r="E5172" s="5" t="str">
        <f>IFERROR(VLOOKUP(A5172,'Base Prueba'!A:E,5,),"NO REGISTRA")</f>
        <v>OFICINA DE MERCADEO</v>
      </c>
    </row>
    <row r="5173" spans="1:5" ht="15.75" x14ac:dyDescent="0.25">
      <c r="A5173" s="14">
        <v>1019105003</v>
      </c>
      <c r="B5173" s="2">
        <v>46125.37157210648</v>
      </c>
      <c r="C5173" s="3" t="str">
        <f>IFERROR(VLOOKUP(A5173,'Base Prueba'!A:C,3,),"NO REGISTRA")</f>
        <v>DAISY JULIETH GASPAR MORENO</v>
      </c>
      <c r="D5173" s="4" t="str">
        <f>IFERROR(VLOOKUP(A5173,'Base Prueba'!A:D,4,),"NO REGISTRA")</f>
        <v>PROMOTOR CALL CENTER</v>
      </c>
      <c r="E5173" s="5" t="str">
        <f>IFERROR(VLOOKUP(A5173,'Base Prueba'!A:E,5,),"NO REGISTRA")</f>
        <v>OFICINA DE MERCADEO</v>
      </c>
    </row>
    <row r="5174" spans="1:5" ht="15.75" x14ac:dyDescent="0.25">
      <c r="A5174" s="14">
        <v>1012426741</v>
      </c>
      <c r="B5174" s="2">
        <v>46125.37308020833</v>
      </c>
      <c r="C5174" s="3" t="str">
        <f>IFERROR(VLOOKUP(A5174,'Base Prueba'!A:C,3,),"NO REGISTRA")</f>
        <v>CRISTIAN FABIAN ROJAS SANCENO</v>
      </c>
      <c r="D5174" s="4" t="str">
        <f>IFERROR(VLOOKUP(A5174,'Base Prueba'!A:D,4,),"NO REGISTRA")</f>
        <v>AUXILIAR DE REINTEGROS</v>
      </c>
      <c r="E5174" s="5" t="str">
        <f>IFERROR(VLOOKUP(A5174,'Base Prueba'!A:E,5,),"NO REGISTRA")</f>
        <v>DIRECCION DE BIENESTAR INSTITUCIONAL</v>
      </c>
    </row>
    <row r="5175" spans="1:5" ht="15.75" x14ac:dyDescent="0.25">
      <c r="A5175" s="14">
        <v>52472386</v>
      </c>
      <c r="B5175" s="2">
        <v>46125.375227893521</v>
      </c>
      <c r="C5175" s="3" t="str">
        <f>IFERROR(VLOOKUP(A5175,'Base Prueba'!A:C,3,),"NO REGISTRA")</f>
        <v>ADRIANA MARCELA MORALES PARDO</v>
      </c>
      <c r="D5175" s="4" t="str">
        <f>IFERROR(VLOOKUP(A5175,'Base Prueba'!A:D,4,),"NO REGISTRA")</f>
        <v>PROMOTOR CALL CENTER</v>
      </c>
      <c r="E5175" s="5" t="str">
        <f>IFERROR(VLOOKUP(A5175,'Base Prueba'!A:E,5,),"NO REGISTRA")</f>
        <v>OFICINA DE MERCADEO</v>
      </c>
    </row>
    <row r="5176" spans="1:5" ht="15.75" x14ac:dyDescent="0.25">
      <c r="A5176" s="14">
        <v>1016090131</v>
      </c>
      <c r="B5176" s="2">
        <v>46125.376626620367</v>
      </c>
      <c r="C5176" s="3" t="str">
        <f>IFERROR(VLOOKUP(A5176,'Base Prueba'!A:C,3,),"NO REGISTRA")</f>
        <v>NICOLAS RODRIGUEZ PACHECO</v>
      </c>
      <c r="D5176" s="4" t="str">
        <f>IFERROR(VLOOKUP(A5176,'Base Prueba'!A:D,4,),"NO REGISTRA")</f>
        <v>COORDINADOR DE COMUNICACIONES</v>
      </c>
      <c r="E5176" s="5" t="str">
        <f>IFERROR(VLOOKUP(A5176,'Base Prueba'!A:E,5,),"NO REGISTRA")</f>
        <v>OFICINA DE MERCADEO</v>
      </c>
    </row>
    <row r="5177" spans="1:5" ht="15.75" x14ac:dyDescent="0.25">
      <c r="A5177" s="14">
        <v>28798349</v>
      </c>
      <c r="B5177" s="2">
        <v>46125.377053124997</v>
      </c>
      <c r="C5177" s="3" t="str">
        <f>IFERROR(VLOOKUP(A5177,'Base Prueba'!A:C,3,),"NO REGISTRA")</f>
        <v>MARTHA ISABEL TOVAR WILLIAMS</v>
      </c>
      <c r="D5177" s="4" t="str">
        <f>IFERROR(VLOOKUP(A5177,'Base Prueba'!A:D,4,),"NO REGISTRA")</f>
        <v>PROMOTOR CALL CENTER</v>
      </c>
      <c r="E5177" s="5" t="str">
        <f>IFERROR(VLOOKUP(A5177,'Base Prueba'!A:E,5,),"NO REGISTRA")</f>
        <v>OFICINA DE MERCADEO</v>
      </c>
    </row>
    <row r="5178" spans="1:5" ht="15.75" x14ac:dyDescent="0.25">
      <c r="A5178" s="14">
        <v>1013101788</v>
      </c>
      <c r="B5178" s="2">
        <v>46125.377964467596</v>
      </c>
      <c r="C5178" s="3" t="str">
        <f>IFERROR(VLOOKUP(A5178,'Base Prueba'!A:C,3,),"NO REGISTRA")</f>
        <v>SARA TANGARIFE MONTOYA</v>
      </c>
      <c r="D5178" s="4" t="str">
        <f>IFERROR(VLOOKUP(A5178,'Base Prueba'!A:D,4,),"NO REGISTRA")</f>
        <v>APRENDIZ UNIVERSITARIO</v>
      </c>
      <c r="E5178" s="5" t="str">
        <f>IFERROR(VLOOKUP(A5178,'Base Prueba'!A:E,5,),"NO REGISTRA")</f>
        <v>OFICINA DE MERCADEO</v>
      </c>
    </row>
    <row r="5179" spans="1:5" ht="15.75" x14ac:dyDescent="0.25">
      <c r="A5179" s="14">
        <v>52764929</v>
      </c>
      <c r="B5179" s="2">
        <v>46125.378527430556</v>
      </c>
      <c r="C5179" s="3" t="str">
        <f>IFERROR(VLOOKUP(A5179,'Base Prueba'!A:C,3,),"NO REGISTRA")</f>
        <v>GUERLY YOHANA DURAN RIVERA</v>
      </c>
      <c r="D5179" s="4" t="str">
        <f>IFERROR(VLOOKUP(A5179,'Base Prueba'!A:D,4,),"NO REGISTRA")</f>
        <v>LIDER DE VINCULACION COLEGIOS</v>
      </c>
      <c r="E5179" s="5" t="str">
        <f>IFERROR(VLOOKUP(A5179,'Base Prueba'!A:E,5,),"NO REGISTRA")</f>
        <v>OFICINA DE MERCADEO</v>
      </c>
    </row>
    <row r="5180" spans="1:5" ht="15.75" x14ac:dyDescent="0.25">
      <c r="A5180" s="14">
        <v>1018414290</v>
      </c>
      <c r="B5180" s="2">
        <v>46125.378591666667</v>
      </c>
      <c r="C5180" s="3" t="str">
        <f>IFERROR(VLOOKUP(A5180,'Base Prueba'!A:C,3,),"NO REGISTRA")</f>
        <v>AMANDA LISBETH RODRIGUEZ LEON</v>
      </c>
      <c r="D5180" s="4" t="str">
        <f>IFERROR(VLOOKUP(A5180,'Base Prueba'!A:D,4,),"NO REGISTRA")</f>
        <v>PROMOTOR CALL CENTER</v>
      </c>
      <c r="E5180" s="5" t="str">
        <f>IFERROR(VLOOKUP(A5180,'Base Prueba'!A:E,5,),"NO REGISTRA")</f>
        <v>OFICINA DE MERCADEO</v>
      </c>
    </row>
    <row r="5181" spans="1:5" ht="15.75" x14ac:dyDescent="0.25">
      <c r="A5181" s="14">
        <v>53089882</v>
      </c>
      <c r="B5181" s="2">
        <v>46125.378621412034</v>
      </c>
      <c r="C5181" s="3" t="str">
        <f>IFERROR(VLOOKUP(A5181,'Base Prueba'!A:C,3,),"NO REGISTRA")</f>
        <v>MARIA JOHANA ESCAMILLA MARTINEZ</v>
      </c>
      <c r="D5181" s="4" t="str">
        <f>IFERROR(VLOOKUP(A5181,'Base Prueba'!A:D,4,),"NO REGISTRA")</f>
        <v>PROMOTOR DE INFORMACIÓN</v>
      </c>
      <c r="E5181" s="5" t="str">
        <f>IFERROR(VLOOKUP(A5181,'Base Prueba'!A:E,5,),"NO REGISTRA")</f>
        <v>OFICINA DE MERCADEO</v>
      </c>
    </row>
    <row r="5182" spans="1:5" ht="15.75" x14ac:dyDescent="0.25">
      <c r="A5182" s="14">
        <v>1023961952</v>
      </c>
      <c r="B5182" s="2">
        <v>46125.389472916664</v>
      </c>
      <c r="C5182" s="3" t="str">
        <f>IFERROR(VLOOKUP(A5182,'Base Prueba'!A:C,3,),"NO REGISTRA")</f>
        <v>ALEJANDRO PINZON MERCHAN</v>
      </c>
      <c r="D5182" s="4" t="str">
        <f>IFERROR(VLOOKUP(A5182,'Base Prueba'!A:D,4,),"NO REGISTRA")</f>
        <v>PROMOTOR CALL CENTER</v>
      </c>
      <c r="E5182" s="5" t="str">
        <f>IFERROR(VLOOKUP(A5182,'Base Prueba'!A:E,5,),"NO REGISTRA")</f>
        <v>OFICINA DE MERCADEO</v>
      </c>
    </row>
    <row r="5183" spans="1:5" ht="15.75" x14ac:dyDescent="0.25">
      <c r="A5183" s="14">
        <v>1033709056</v>
      </c>
      <c r="B5183" s="2">
        <v>46125.523991087961</v>
      </c>
      <c r="C5183" s="3" t="str">
        <f>IFERROR(VLOOKUP(A5183,'Base Prueba'!A:C,3,),"NO REGISTRA")</f>
        <v>YEIMY ALEXANDRA RODRIGUEZ PALACIO</v>
      </c>
      <c r="D5183" s="4" t="str">
        <f>IFERROR(VLOOKUP(A5183,'Base Prueba'!A:D,4,),"NO REGISTRA")</f>
        <v>PROMOTOR CALL CENTER</v>
      </c>
      <c r="E5183" s="5" t="str">
        <f>IFERROR(VLOOKUP(A5183,'Base Prueba'!A:E,5,),"NO REGISTRA")</f>
        <v>OFICINA DE MERCADEO</v>
      </c>
    </row>
    <row r="5184" spans="1:5" ht="15.75" x14ac:dyDescent="0.25">
      <c r="A5184" s="14">
        <v>52443092</v>
      </c>
      <c r="B5184" s="2">
        <v>46125.541167013886</v>
      </c>
      <c r="C5184" s="3" t="str">
        <f>IFERROR(VLOOKUP(A5184,'Base Prueba'!A:C,3,),"NO REGISTRA")</f>
        <v>LUZ MYRIAM SAAVEDRA CONTRERAS</v>
      </c>
      <c r="D5184" s="4" t="str">
        <f>IFERROR(VLOOKUP(A5184,'Base Prueba'!A:D,4,),"NO REGISTRA")</f>
        <v>AUXILIAR DE SERVICIOS</v>
      </c>
      <c r="E5184" s="5" t="str">
        <f>IFERROR(VLOOKUP(A5184,'Base Prueba'!A:E,5,),"NO REGISTRA")</f>
        <v>LOGISTICA Y SERVICIOS GENERALES</v>
      </c>
    </row>
    <row r="5185" spans="1:5" ht="15.75" x14ac:dyDescent="0.25">
      <c r="A5185" s="14">
        <v>1013098430</v>
      </c>
      <c r="B5185" s="2">
        <v>46125.710609606482</v>
      </c>
      <c r="C5185" s="3" t="str">
        <f>IFERROR(VLOOKUP(A5185,'Base Prueba'!A:C,3,),"NO REGISTRA")</f>
        <v>ANDRES FELIPE LOPEZ ROMERO</v>
      </c>
      <c r="D5185" s="4" t="str">
        <f>IFERROR(VLOOKUP(A5185,'Base Prueba'!A:D,4,),"NO REGISTRA")</f>
        <v>APRENDIZ UNIVERSITARIO</v>
      </c>
      <c r="E5185" s="5" t="str">
        <f>IFERROR(VLOOKUP(A5185,'Base Prueba'!A:E,5,),"NO REGISTRA")</f>
        <v>OFICINA DE MERCADEO</v>
      </c>
    </row>
    <row r="5186" spans="1:5" ht="15.75" x14ac:dyDescent="0.25">
      <c r="A5186" s="14">
        <v>1024512067</v>
      </c>
      <c r="B5186" s="2">
        <v>46125.725549074072</v>
      </c>
      <c r="C5186" s="3" t="str">
        <f>IFERROR(VLOOKUP(A5186,'Base Prueba'!A:C,3,),"NO REGISTRA")</f>
        <v>CINDY GIOVANA SALGAR GOMEZ</v>
      </c>
      <c r="D5186" s="4" t="str">
        <f>IFERROR(VLOOKUP(A5186,'Base Prueba'!A:D,4,),"NO REGISTRA")</f>
        <v>COORDINADOR DEL SISTEMA INTEGRADO DE GESTION INSTITUCIONAL - SIGI</v>
      </c>
      <c r="E5186" s="5" t="str">
        <f>IFERROR(VLOOKUP(A5186,'Base Prueba'!A:E,5,),"NO REGISTRA")</f>
        <v>OFICINA DE PLANEACION Y GESTION DE LA CALIDAD</v>
      </c>
    </row>
    <row r="5187" spans="1:5" ht="15.75" x14ac:dyDescent="0.25">
      <c r="A5187" s="14">
        <v>1010184333</v>
      </c>
      <c r="B5187" s="2">
        <v>46125.747214351853</v>
      </c>
      <c r="C5187" s="3" t="str">
        <f>IFERROR(VLOOKUP(A5187,'Base Prueba'!A:C,3,),"NO REGISTRA")</f>
        <v>AKON ANDRES GARZON ALVAREZ</v>
      </c>
      <c r="D5187" s="4" t="str">
        <f>IFERROR(VLOOKUP(A5187,'Base Prueba'!A:D,4,),"NO REGISTRA")</f>
        <v>APRENDIZ UNIVERSITARIO</v>
      </c>
      <c r="E5187" s="5" t="str">
        <f>IFERROR(VLOOKUP(A5187,'Base Prueba'!A:E,5,),"NO REGISTRA")</f>
        <v>SECRETARIA GENERAL</v>
      </c>
    </row>
    <row r="5188" spans="1:5" ht="15.75" x14ac:dyDescent="0.25">
      <c r="A5188" s="14">
        <v>1022996882</v>
      </c>
      <c r="B5188" s="2">
        <v>46125.749803356484</v>
      </c>
      <c r="C5188" s="3" t="str">
        <f>IFERROR(VLOOKUP(A5188,'Base Prueba'!A:C,3,),"NO REGISTRA")</f>
        <v>NANCY BRIGITH ALDANA GUEVARA</v>
      </c>
      <c r="D5188" s="4" t="str">
        <f>IFERROR(VLOOKUP(A5188,'Base Prueba'!A:D,4,),"NO REGISTRA")</f>
        <v>COORDINADORA DE GESTIÓN HUMANA</v>
      </c>
      <c r="E5188" s="5" t="str">
        <f>IFERROR(VLOOKUP(A5188,'Base Prueba'!A:E,5,),"NO REGISTRA")</f>
        <v>DEPARTAMENTO DE GESTION HUMANA</v>
      </c>
    </row>
    <row r="5189" spans="1:5" ht="15.75" x14ac:dyDescent="0.25">
      <c r="A5189" s="14">
        <v>1193457976</v>
      </c>
      <c r="B5189" s="2">
        <v>46125.749878703704</v>
      </c>
      <c r="C5189" s="3" t="str">
        <f>IFERROR(VLOOKUP(A5189,'Base Prueba'!A:C,3,),"NO REGISTRA")</f>
        <v>SEDENIS RIVAS ASPRILLA</v>
      </c>
      <c r="D5189" s="4" t="str">
        <f>IFERROR(VLOOKUP(A5189,'Base Prueba'!A:D,4,),"NO REGISTRA")</f>
        <v>APRENDIZ UNIVERSITARIO</v>
      </c>
      <c r="E5189" s="5" t="str">
        <f>IFERROR(VLOOKUP(A5189,'Base Prueba'!A:E,5,),"NO REGISTRA")</f>
        <v>DEPARTAMENTO DE GESTION HUMANA</v>
      </c>
    </row>
    <row r="5190" spans="1:5" ht="15.75" x14ac:dyDescent="0.25">
      <c r="A5190" s="14">
        <v>1012426741</v>
      </c>
      <c r="B5190" s="2">
        <v>46125.750319791667</v>
      </c>
      <c r="C5190" s="3" t="str">
        <f>IFERROR(VLOOKUP(A5190,'Base Prueba'!A:C,3,),"NO REGISTRA")</f>
        <v>CRISTIAN FABIAN ROJAS SANCENO</v>
      </c>
      <c r="D5190" s="4" t="str">
        <f>IFERROR(VLOOKUP(A5190,'Base Prueba'!A:D,4,),"NO REGISTRA")</f>
        <v>AUXILIAR DE REINTEGROS</v>
      </c>
      <c r="E5190" s="5" t="str">
        <f>IFERROR(VLOOKUP(A5190,'Base Prueba'!A:E,5,),"NO REGISTRA")</f>
        <v>DIRECCION DE BIENESTAR INSTITUCIONAL</v>
      </c>
    </row>
    <row r="5191" spans="1:5" ht="15.75" x14ac:dyDescent="0.25">
      <c r="A5191" s="14">
        <v>80191732</v>
      </c>
      <c r="B5191" s="2">
        <v>46125.75099108796</v>
      </c>
      <c r="C5191" s="3" t="str">
        <f>IFERROR(VLOOKUP(A5191,'Base Prueba'!A:C,3,),"NO REGISTRA")</f>
        <v>DANIEL MAURICIO ZAMBRANO TUNJANO</v>
      </c>
      <c r="D5191" s="4" t="str">
        <f>IFERROR(VLOOKUP(A5191,'Base Prueba'!A:D,4,),"NO REGISTRA")</f>
        <v>COORDINADOR DE DISEÑO E IMAGEN INSTITUCIONAL</v>
      </c>
      <c r="E5191" s="5" t="str">
        <f>IFERROR(VLOOKUP(A5191,'Base Prueba'!A:E,5,),"NO REGISTRA")</f>
        <v>OFICINA DE MERCADEO</v>
      </c>
    </row>
    <row r="5192" spans="1:5" ht="15.75" x14ac:dyDescent="0.25">
      <c r="A5192" s="14">
        <v>1000046533</v>
      </c>
      <c r="B5192" s="2">
        <v>46125.752048263887</v>
      </c>
      <c r="C5192" s="3" t="str">
        <f>IFERROR(VLOOKUP(A5192,'Base Prueba'!A:C,3,),"NO REGISTRA")</f>
        <v>ERIKA JULIETH VALDERRAMA SANCHEZ</v>
      </c>
      <c r="D5192" s="4" t="str">
        <f>IFERROR(VLOOKUP(A5192,'Base Prueba'!A:D,4,),"NO REGISTRA")</f>
        <v>PROMOTOR CALL CENTER</v>
      </c>
      <c r="E5192" s="5" t="str">
        <f>IFERROR(VLOOKUP(A5192,'Base Prueba'!A:E,5,),"NO REGISTRA")</f>
        <v>OFICINA DE MERCADEO</v>
      </c>
    </row>
    <row r="5193" spans="1:5" ht="15.75" x14ac:dyDescent="0.25">
      <c r="A5193" s="14">
        <v>1033709056</v>
      </c>
      <c r="B5193" s="2">
        <v>46125.752099189813</v>
      </c>
      <c r="C5193" s="3" t="str">
        <f>IFERROR(VLOOKUP(A5193,'Base Prueba'!A:C,3,),"NO REGISTRA")</f>
        <v>YEIMY ALEXANDRA RODRIGUEZ PALACIO</v>
      </c>
      <c r="D5193" s="4" t="str">
        <f>IFERROR(VLOOKUP(A5193,'Base Prueba'!A:D,4,),"NO REGISTRA")</f>
        <v>PROMOTOR CALL CENTER</v>
      </c>
      <c r="E5193" s="5" t="str">
        <f>IFERROR(VLOOKUP(A5193,'Base Prueba'!A:E,5,),"NO REGISTRA")</f>
        <v>OFICINA DE MERCADEO</v>
      </c>
    </row>
    <row r="5194" spans="1:5" ht="15.75" x14ac:dyDescent="0.25">
      <c r="A5194" s="14">
        <v>52472386</v>
      </c>
      <c r="B5194" s="2">
        <v>46125.753408101853</v>
      </c>
      <c r="C5194" s="3" t="str">
        <f>IFERROR(VLOOKUP(A5194,'Base Prueba'!A:C,3,),"NO REGISTRA")</f>
        <v>ADRIANA MARCELA MORALES PARDO</v>
      </c>
      <c r="D5194" s="4" t="str">
        <f>IFERROR(VLOOKUP(A5194,'Base Prueba'!A:D,4,),"NO REGISTRA")</f>
        <v>PROMOTOR CALL CENTER</v>
      </c>
      <c r="E5194" s="5" t="str">
        <f>IFERROR(VLOOKUP(A5194,'Base Prueba'!A:E,5,),"NO REGISTRA")</f>
        <v>OFICINA DE MERCADEO</v>
      </c>
    </row>
    <row r="5195" spans="1:5" ht="15.75" x14ac:dyDescent="0.25">
      <c r="A5195" s="14">
        <v>1000467399</v>
      </c>
      <c r="B5195" s="2">
        <v>46125.753728009258</v>
      </c>
      <c r="C5195" s="3" t="str">
        <f>IFERROR(VLOOKUP(A5195,'Base Prueba'!A:C,3,),"NO REGISTRA")</f>
        <v>BRANDO ESTIVEN DIAZ QUIMBAYA</v>
      </c>
      <c r="D5195" s="4" t="str">
        <f>IFERROR(VLOOKUP(A5195,'Base Prueba'!A:D,4,),"NO REGISTRA")</f>
        <v>APRENDIZ UNIVERSITARIO</v>
      </c>
      <c r="E5195" s="5" t="str">
        <f>IFERROR(VLOOKUP(A5195,'Base Prueba'!A:E,5,),"NO REGISTRA")</f>
        <v>DEPARTAMENTO DE GESTION HUMANA</v>
      </c>
    </row>
    <row r="5196" spans="1:5" ht="15.75" x14ac:dyDescent="0.25">
      <c r="A5196" s="14">
        <v>1049644802</v>
      </c>
      <c r="B5196" s="2">
        <v>46125.753782060186</v>
      </c>
      <c r="C5196" s="3" t="str">
        <f>IFERROR(VLOOKUP(A5196,'Base Prueba'!A:C,3,),"NO REGISTRA")</f>
        <v>DANIELA ALEXANDRA CIPAMOCHA BOSIGA</v>
      </c>
      <c r="D5196" s="4" t="str">
        <f>IFERROR(VLOOKUP(A5196,'Base Prueba'!A:D,4,),"NO REGISTRA")</f>
        <v>LIDER DE DATOS Y SERVICIOS</v>
      </c>
      <c r="E5196" s="5" t="str">
        <f>IFERROR(VLOOKUP(A5196,'Base Prueba'!A:E,5,),"NO REGISTRA")</f>
        <v>OFICINA DE PLANEACION Y GESTION DE LA CALIDAD</v>
      </c>
    </row>
    <row r="5197" spans="1:5" ht="15.75" x14ac:dyDescent="0.25">
      <c r="A5197" s="14">
        <v>1019105003</v>
      </c>
      <c r="B5197" s="2">
        <v>46125.753979513887</v>
      </c>
      <c r="C5197" s="3" t="str">
        <f>IFERROR(VLOOKUP(A5197,'Base Prueba'!A:C,3,),"NO REGISTRA")</f>
        <v>DAISY JULIETH GASPAR MORENO</v>
      </c>
      <c r="D5197" s="4" t="str">
        <f>IFERROR(VLOOKUP(A5197,'Base Prueba'!A:D,4,),"NO REGISTRA")</f>
        <v>PROMOTOR CALL CENTER</v>
      </c>
      <c r="E5197" s="5" t="str">
        <f>IFERROR(VLOOKUP(A5197,'Base Prueba'!A:E,5,),"NO REGISTRA")</f>
        <v>OFICINA DE MERCADEO</v>
      </c>
    </row>
    <row r="5198" spans="1:5" ht="15.75" x14ac:dyDescent="0.25">
      <c r="A5198" s="14">
        <v>1014266838</v>
      </c>
      <c r="B5198" s="2">
        <v>46125.754049074072</v>
      </c>
      <c r="C5198" s="3" t="str">
        <f>IFERROR(VLOOKUP(A5198,'Base Prueba'!A:C,3,),"NO REGISTRA")</f>
        <v>JENNIFER ASTRID ROMERO HURTADO</v>
      </c>
      <c r="D5198" s="4" t="str">
        <f>IFERROR(VLOOKUP(A5198,'Base Prueba'!A:D,4,),"NO REGISTRA")</f>
        <v>LIDER DE RECAUDO</v>
      </c>
      <c r="E5198" s="5" t="str">
        <f>IFERROR(VLOOKUP(A5198,'Base Prueba'!A:E,5,),"NO REGISTRA")</f>
        <v>AREA FINANCIERA Y CONTABLE</v>
      </c>
    </row>
    <row r="5199" spans="1:5" ht="15.75" x14ac:dyDescent="0.25">
      <c r="A5199" s="14" t="s">
        <v>3696</v>
      </c>
      <c r="B5199" s="2">
        <v>46125.755191087963</v>
      </c>
      <c r="C5199" s="3" t="str">
        <f>IFERROR(VLOOKUP(A5199,'Base Prueba'!A:C,3,),"NO REGISTRA")</f>
        <v>NO REGISTRA</v>
      </c>
      <c r="D5199" s="4" t="str">
        <f>IFERROR(VLOOKUP(A5199,'Base Prueba'!A:D,4,),"NO REGISTRA")</f>
        <v>NO REGISTRA</v>
      </c>
      <c r="E5199" s="5" t="str">
        <f>IFERROR(VLOOKUP(A5199,'Base Prueba'!A:E,5,),"NO REGISTRA")</f>
        <v>NO REGISTRA</v>
      </c>
    </row>
    <row r="5200" spans="1:5" ht="15.75" x14ac:dyDescent="0.25">
      <c r="A5200" s="14">
        <v>52175674</v>
      </c>
      <c r="B5200" s="2">
        <v>46125.755195717589</v>
      </c>
      <c r="C5200" s="3" t="str">
        <f>IFERROR(VLOOKUP(A5200,'Base Prueba'!A:C,3,),"NO REGISTRA")</f>
        <v>LUZ YANETH GOMEZ AREVALO</v>
      </c>
      <c r="D5200" s="4" t="str">
        <f>IFERROR(VLOOKUP(A5200,'Base Prueba'!A:D,4,),"NO REGISTRA")</f>
        <v>COORDINADORA DE ADMISIONES</v>
      </c>
      <c r="E5200" s="5" t="str">
        <f>IFERROR(VLOOKUP(A5200,'Base Prueba'!A:E,5,),"NO REGISTRA")</f>
        <v>OFICINA DE MERCADEO</v>
      </c>
    </row>
    <row r="5201" spans="1:5" ht="15.75" x14ac:dyDescent="0.25">
      <c r="A5201" s="14">
        <v>1000257136</v>
      </c>
      <c r="B5201" s="2">
        <v>46125.756505671299</v>
      </c>
      <c r="C5201" s="3" t="str">
        <f>IFERROR(VLOOKUP(A5201,'Base Prueba'!A:C,3,),"NO REGISTRA")</f>
        <v>FRANCI VALENTINA CANO PUENTES</v>
      </c>
      <c r="D5201" s="4" t="str">
        <f>IFERROR(VLOOKUP(A5201,'Base Prueba'!A:D,4,),"NO REGISTRA")</f>
        <v>AUXILIAR CONTABLE</v>
      </c>
      <c r="E5201" s="5" t="str">
        <f>IFERROR(VLOOKUP(A5201,'Base Prueba'!A:E,5,),"NO REGISTRA")</f>
        <v>AREA FINANCIERA Y CONTABLE</v>
      </c>
    </row>
    <row r="5202" spans="1:5" ht="15.75" x14ac:dyDescent="0.25">
      <c r="A5202" s="14">
        <v>1018414290</v>
      </c>
      <c r="B5202" s="2">
        <v>46125.757569097223</v>
      </c>
      <c r="C5202" s="3" t="str">
        <f>IFERROR(VLOOKUP(A5202,'Base Prueba'!A:C,3,),"NO REGISTRA")</f>
        <v>AMANDA LISBETH RODRIGUEZ LEON</v>
      </c>
      <c r="D5202" s="4" t="str">
        <f>IFERROR(VLOOKUP(A5202,'Base Prueba'!A:D,4,),"NO REGISTRA")</f>
        <v>PROMOTOR CALL CENTER</v>
      </c>
      <c r="E5202" s="5" t="str">
        <f>IFERROR(VLOOKUP(A5202,'Base Prueba'!A:E,5,),"NO REGISTRA")</f>
        <v>OFICINA DE MERCADEO</v>
      </c>
    </row>
    <row r="5203" spans="1:5" ht="15.75" x14ac:dyDescent="0.25">
      <c r="A5203" s="14">
        <v>1000593372</v>
      </c>
      <c r="B5203" s="2">
        <v>46125.757641666663</v>
      </c>
      <c r="C5203" s="3" t="str">
        <f>IFERROR(VLOOKUP(A5203,'Base Prueba'!A:C,3,),"NO REGISTRA")</f>
        <v>LAURA SOFIA CHAPARRO LOPEZ</v>
      </c>
      <c r="D5203" s="4" t="str">
        <f>IFERROR(VLOOKUP(A5203,'Base Prueba'!A:D,4,),"NO REGISTRA")</f>
        <v>AUXILIAR JURIDICO</v>
      </c>
      <c r="E5203" s="5" t="str">
        <f>IFERROR(VLOOKUP(A5203,'Base Prueba'!A:E,5,),"NO REGISTRA")</f>
        <v>SECRETARIA GENERAL</v>
      </c>
    </row>
    <row r="5204" spans="1:5" ht="15.75" x14ac:dyDescent="0.25">
      <c r="A5204" s="14">
        <v>1000604979</v>
      </c>
      <c r="B5204" s="2">
        <v>46125.757664583332</v>
      </c>
      <c r="C5204" s="3" t="str">
        <f>IFERROR(VLOOKUP(A5204,'Base Prueba'!A:C,3,),"NO REGISTRA")</f>
        <v>JULIETH TATIANA PARDO PINTO</v>
      </c>
      <c r="D5204" s="4" t="str">
        <f>IFERROR(VLOOKUP(A5204,'Base Prueba'!A:D,4,),"NO REGISTRA")</f>
        <v>AUXILIAR JURIDICO</v>
      </c>
      <c r="E5204" s="5" t="str">
        <f>IFERROR(VLOOKUP(A5204,'Base Prueba'!A:E,5,),"NO REGISTRA")</f>
        <v>SECRETARIA GENERAL</v>
      </c>
    </row>
    <row r="5205" spans="1:5" ht="15.75" x14ac:dyDescent="0.25">
      <c r="A5205" s="14">
        <v>1018413529</v>
      </c>
      <c r="B5205" s="2">
        <v>46125.75897141204</v>
      </c>
      <c r="C5205" s="3" t="str">
        <f>IFERROR(VLOOKUP(A5205,'Base Prueba'!A:C,3,),"NO REGISTRA")</f>
        <v>FRANCY STELLA CHARRY MORENO</v>
      </c>
      <c r="D5205" s="4" t="str">
        <f>IFERROR(VLOOKUP(A5205,'Base Prueba'!A:D,4,),"NO REGISTRA")</f>
        <v>PROMOTOR COMERCIAL DEL CEA</v>
      </c>
      <c r="E5205" s="5" t="str">
        <f>IFERROR(VLOOKUP(A5205,'Base Prueba'!A:E,5,),"NO REGISTRA")</f>
        <v>OFICINA DE MERCADEO</v>
      </c>
    </row>
    <row r="5206" spans="1:5" ht="15.75" x14ac:dyDescent="0.25">
      <c r="A5206" s="14">
        <v>1032407386</v>
      </c>
      <c r="B5206" s="2">
        <v>46125.759058564814</v>
      </c>
      <c r="C5206" s="3" t="str">
        <f>IFERROR(VLOOKUP(A5206,'Base Prueba'!A:C,3,),"NO REGISTRA")</f>
        <v>GINA PAOLA BAEZ GALVIS</v>
      </c>
      <c r="D5206" s="4" t="str">
        <f>IFERROR(VLOOKUP(A5206,'Base Prueba'!A:D,4,),"NO REGISTRA")</f>
        <v>PROMOTOR CALL CENTER</v>
      </c>
      <c r="E5206" s="5" t="str">
        <f>IFERROR(VLOOKUP(A5206,'Base Prueba'!A:E,5,),"NO REGISTRA")</f>
        <v>OFICINA DE MERCADEO</v>
      </c>
    </row>
    <row r="5207" spans="1:5" ht="15.75" x14ac:dyDescent="0.25">
      <c r="A5207" s="14">
        <v>53089882</v>
      </c>
      <c r="B5207" s="2">
        <v>46125.759153009261</v>
      </c>
      <c r="C5207" s="3" t="str">
        <f>IFERROR(VLOOKUP(A5207,'Base Prueba'!A:C,3,),"NO REGISTRA")</f>
        <v>MARIA JOHANA ESCAMILLA MARTINEZ</v>
      </c>
      <c r="D5207" s="4" t="str">
        <f>IFERROR(VLOOKUP(A5207,'Base Prueba'!A:D,4,),"NO REGISTRA")</f>
        <v>PROMOTOR DE INFORMACIÓN</v>
      </c>
      <c r="E5207" s="5" t="str">
        <f>IFERROR(VLOOKUP(A5207,'Base Prueba'!A:E,5,),"NO REGISTRA")</f>
        <v>OFICINA DE MERCADEO</v>
      </c>
    </row>
    <row r="5208" spans="1:5" ht="15.75" x14ac:dyDescent="0.25">
      <c r="A5208" s="14">
        <v>1023961952</v>
      </c>
      <c r="B5208" s="2">
        <v>46125.7591994213</v>
      </c>
      <c r="C5208" s="3" t="str">
        <f>IFERROR(VLOOKUP(A5208,'Base Prueba'!A:C,3,),"NO REGISTRA")</f>
        <v>ALEJANDRO PINZON MERCHAN</v>
      </c>
      <c r="D5208" s="4" t="str">
        <f>IFERROR(VLOOKUP(A5208,'Base Prueba'!A:D,4,),"NO REGISTRA")</f>
        <v>PROMOTOR CALL CENTER</v>
      </c>
      <c r="E5208" s="5" t="str">
        <f>IFERROR(VLOOKUP(A5208,'Base Prueba'!A:E,5,),"NO REGISTRA")</f>
        <v>OFICINA DE MERCADEO</v>
      </c>
    </row>
    <row r="5209" spans="1:5" ht="15.75" x14ac:dyDescent="0.25">
      <c r="A5209" s="14">
        <v>28798349</v>
      </c>
      <c r="B5209" s="2">
        <v>46125.759274652781</v>
      </c>
      <c r="C5209" s="3" t="str">
        <f>IFERROR(VLOOKUP(A5209,'Base Prueba'!A:C,3,),"NO REGISTRA")</f>
        <v>MARTHA ISABEL TOVAR WILLIAMS</v>
      </c>
      <c r="D5209" s="4" t="str">
        <f>IFERROR(VLOOKUP(A5209,'Base Prueba'!A:D,4,),"NO REGISTRA")</f>
        <v>PROMOTOR CALL CENTER</v>
      </c>
      <c r="E5209" s="5" t="str">
        <f>IFERROR(VLOOKUP(A5209,'Base Prueba'!A:E,5,),"NO REGISTRA")</f>
        <v>OFICINA DE MERCADEO</v>
      </c>
    </row>
    <row r="5210" spans="1:5" ht="15.75" x14ac:dyDescent="0.25">
      <c r="A5210" s="14">
        <v>1013101788</v>
      </c>
      <c r="B5210" s="2">
        <v>46125.76008472222</v>
      </c>
      <c r="C5210" s="3" t="str">
        <f>IFERROR(VLOOKUP(A5210,'Base Prueba'!A:C,3,),"NO REGISTRA")</f>
        <v>SARA TANGARIFE MONTOYA</v>
      </c>
      <c r="D5210" s="4" t="str">
        <f>IFERROR(VLOOKUP(A5210,'Base Prueba'!A:D,4,),"NO REGISTRA")</f>
        <v>APRENDIZ UNIVERSITARIO</v>
      </c>
      <c r="E5210" s="5" t="str">
        <f>IFERROR(VLOOKUP(A5210,'Base Prueba'!A:E,5,),"NO REGISTRA")</f>
        <v>OFICINA DE MERCADEO</v>
      </c>
    </row>
    <row r="5211" spans="1:5" ht="15.75" x14ac:dyDescent="0.25">
      <c r="A5211" s="14">
        <v>1026599257</v>
      </c>
      <c r="B5211" s="2">
        <v>46125.761668171297</v>
      </c>
      <c r="C5211" s="3" t="str">
        <f>IFERROR(VLOOKUP(A5211,'Base Prueba'!A:C,3,),"NO REGISTRA")</f>
        <v>YESENIA PAOLA PINEDA HURTADO</v>
      </c>
      <c r="D5211" s="4" t="str">
        <f>IFERROR(VLOOKUP(A5211,'Base Prueba'!A:D,4,),"NO REGISTRA")</f>
        <v>LIDER DE COMPRAS</v>
      </c>
      <c r="E5211" s="5" t="str">
        <f>IFERROR(VLOOKUP(A5211,'Base Prueba'!A:E,5,),"NO REGISTRA")</f>
        <v>AREA ADMINISTRATIVA</v>
      </c>
    </row>
    <row r="5212" spans="1:5" ht="15.75" x14ac:dyDescent="0.25">
      <c r="A5212" s="14">
        <v>1023883232</v>
      </c>
      <c r="B5212" s="2">
        <v>46125.761713541666</v>
      </c>
      <c r="C5212" s="3" t="str">
        <f>IFERROR(VLOOKUP(A5212,'Base Prueba'!A:C,3,),"NO REGISTRA")</f>
        <v>MONICA ANDREA ACERO URBANO</v>
      </c>
      <c r="D5212" s="4" t="str">
        <f>IFERROR(VLOOKUP(A5212,'Base Prueba'!A:D,4,),"NO REGISTRA")</f>
        <v>APOYO INTEGRAL A GESTION HUMANA</v>
      </c>
      <c r="E5212" s="5" t="str">
        <f>IFERROR(VLOOKUP(A5212,'Base Prueba'!A:E,5,),"NO REGISTRA")</f>
        <v>DEPARTAMENTO DE GESTION HUMANA</v>
      </c>
    </row>
    <row r="5213" spans="1:5" ht="15.75" x14ac:dyDescent="0.25">
      <c r="A5213" s="14">
        <v>1087121273</v>
      </c>
      <c r="B5213" s="2">
        <v>46125.762309722224</v>
      </c>
      <c r="C5213" s="3" t="str">
        <f>IFERROR(VLOOKUP(A5213,'Base Prueba'!A:C,3,),"NO REGISTRA")</f>
        <v>MAYRA ALEJANDRA CASTILLO ARBOLEDA</v>
      </c>
      <c r="D5213" s="4" t="str">
        <f>IFERROR(VLOOKUP(A5213,'Base Prueba'!A:D,4,),"NO REGISTRA")</f>
        <v>APOYO INTEGRAL DE MERCADEO</v>
      </c>
      <c r="E5213" s="5" t="str">
        <f>IFERROR(VLOOKUP(A5213,'Base Prueba'!A:E,5,),"NO REGISTRA")</f>
        <v>CENTRO DE GESTION DOCUMENTAL</v>
      </c>
    </row>
    <row r="5214" spans="1:5" ht="15.75" x14ac:dyDescent="0.25">
      <c r="A5214" s="14">
        <v>725</v>
      </c>
      <c r="B5214" s="2">
        <v>46125.762703935186</v>
      </c>
      <c r="C5214" s="3" t="str">
        <f>IFERROR(VLOOKUP(A5214,'Base Prueba'!A:C,3,),"NO REGISTRA")</f>
        <v>NO REGISTRA</v>
      </c>
      <c r="D5214" s="4" t="str">
        <f>IFERROR(VLOOKUP(A5214,'Base Prueba'!A:D,4,),"NO REGISTRA")</f>
        <v>NO REGISTRA</v>
      </c>
      <c r="E5214" s="5" t="str">
        <f>IFERROR(VLOOKUP(A5214,'Base Prueba'!A:E,5,),"NO REGISTRA")</f>
        <v>NO REGISTRA</v>
      </c>
    </row>
    <row r="5215" spans="1:5" ht="15.75" x14ac:dyDescent="0.25">
      <c r="A5215" s="14">
        <v>1033820146</v>
      </c>
      <c r="B5215" s="2">
        <v>46125.76430023148</v>
      </c>
      <c r="C5215" s="3" t="str">
        <f>IFERROR(VLOOKUP(A5215,'Base Prueba'!A:C,3,),"NO REGISTRA")</f>
        <v>JULIETH ALEXANDRA BUSTAMANTE RUIZ</v>
      </c>
      <c r="D5215" s="4" t="str">
        <f>IFERROR(VLOOKUP(A5215,'Base Prueba'!A:D,4,),"NO REGISTRA")</f>
        <v>AUXILIAR ADMINISTRATIVO</v>
      </c>
      <c r="E5215" s="5" t="str">
        <f>IFERROR(VLOOKUP(A5215,'Base Prueba'!A:E,5,),"NO REGISTRA")</f>
        <v>REGISTRO Y CONTROL ACADEMICO</v>
      </c>
    </row>
    <row r="5216" spans="1:5" ht="15.75" x14ac:dyDescent="0.25">
      <c r="A5216" s="14">
        <v>1000324729</v>
      </c>
      <c r="B5216" s="2">
        <v>46125.76434652778</v>
      </c>
      <c r="C5216" s="3" t="str">
        <f>IFERROR(VLOOKUP(A5216,'Base Prueba'!A:C,3,),"NO REGISTRA")</f>
        <v>ANYIE VANESSA TINOCO CAMACHO</v>
      </c>
      <c r="D5216" s="4" t="str">
        <f>IFERROR(VLOOKUP(A5216,'Base Prueba'!A:D,4,),"NO REGISTRA")</f>
        <v>LIDER DE REGISTRO Y CONTROL</v>
      </c>
      <c r="E5216" s="5" t="str">
        <f>IFERROR(VLOOKUP(A5216,'Base Prueba'!A:E,5,),"NO REGISTRA")</f>
        <v>REGISTRO Y CONTROL ACADEMICO</v>
      </c>
    </row>
    <row r="5217" spans="1:5" ht="15.75" x14ac:dyDescent="0.25">
      <c r="A5217" s="14">
        <v>53932358</v>
      </c>
      <c r="B5217" s="2">
        <v>46125.764400462962</v>
      </c>
      <c r="C5217" s="3" t="str">
        <f>IFERROR(VLOOKUP(A5217,'Base Prueba'!A:C,3,),"NO REGISTRA")</f>
        <v>DIANA MADELEYNE GAONA RODRIGUEZ</v>
      </c>
      <c r="D5217" s="4" t="str">
        <f>IFERROR(VLOOKUP(A5217,'Base Prueba'!A:D,4,),"NO REGISTRA")</f>
        <v>CONTADOR</v>
      </c>
      <c r="E5217" s="5" t="str">
        <f>IFERROR(VLOOKUP(A5217,'Base Prueba'!A:E,5,),"NO REGISTRA")</f>
        <v>AREA FINANCIERA Y CONTABLE</v>
      </c>
    </row>
    <row r="5218" spans="1:5" ht="15.75" x14ac:dyDescent="0.25">
      <c r="A5218" s="14">
        <v>1014308296</v>
      </c>
      <c r="B5218" s="2">
        <v>46125.764526388892</v>
      </c>
      <c r="C5218" s="3" t="str">
        <f>IFERROR(VLOOKUP(A5218,'Base Prueba'!A:C,3,),"NO REGISTRA")</f>
        <v>DARLENE YULIANA MORENO CELEITA</v>
      </c>
      <c r="D5218" s="4" t="str">
        <f>IFERROR(VLOOKUP(A5218,'Base Prueba'!A:D,4,),"NO REGISTRA")</f>
        <v>CAJERO PRINCIPAL</v>
      </c>
      <c r="E5218" s="5" t="str">
        <f>IFERROR(VLOOKUP(A5218,'Base Prueba'!A:E,5,),"NO REGISTRA")</f>
        <v>AREA FINANCIERA Y CONTABLE</v>
      </c>
    </row>
    <row r="5219" spans="1:5" ht="15.75" x14ac:dyDescent="0.25">
      <c r="A5219" s="14">
        <v>1000457706</v>
      </c>
      <c r="B5219" s="2">
        <v>46125.765766666664</v>
      </c>
      <c r="C5219" s="3" t="str">
        <f>IFERROR(VLOOKUP(A5219,'Base Prueba'!A:C,3,),"NO REGISTRA")</f>
        <v>CRISTIAN DANILO ARROYO SANABRIA</v>
      </c>
      <c r="D5219" s="4" t="str">
        <f>IFERROR(VLOOKUP(A5219,'Base Prueba'!A:D,4,),"NO REGISTRA")</f>
        <v>AUXILIAR CONTABLE</v>
      </c>
      <c r="E5219" s="5" t="str">
        <f>IFERROR(VLOOKUP(A5219,'Base Prueba'!A:E,5,),"NO REGISTRA")</f>
        <v>AREA FINANCIERA Y CONTABLE</v>
      </c>
    </row>
    <row r="5220" spans="1:5" ht="15.75" x14ac:dyDescent="0.25">
      <c r="A5220" s="14">
        <v>1014196857</v>
      </c>
      <c r="B5220" s="2">
        <v>46125.769885300928</v>
      </c>
      <c r="C5220" s="3" t="str">
        <f>IFERROR(VLOOKUP(A5220,'Base Prueba'!A:C,3,),"NO REGISTRA")</f>
        <v>CARLOS ANDRES JIMENEZ PARDO</v>
      </c>
      <c r="D5220" s="4" t="str">
        <f>IFERROR(VLOOKUP(A5220,'Base Prueba'!A:D,4,),"NO REGISTRA")</f>
        <v>COORDINADOR DE MARKETING DIGITAL</v>
      </c>
      <c r="E5220" s="5" t="str">
        <f>IFERROR(VLOOKUP(A5220,'Base Prueba'!A:E,5,),"NO REGISTRA")</f>
        <v>OFICINA DE MERCADEO</v>
      </c>
    </row>
    <row r="5221" spans="1:5" ht="15.75" x14ac:dyDescent="0.25">
      <c r="A5221" s="14">
        <v>1016090131</v>
      </c>
      <c r="B5221" s="2">
        <v>46125.771171759261</v>
      </c>
      <c r="C5221" s="3" t="str">
        <f>IFERROR(VLOOKUP(A5221,'Base Prueba'!A:C,3,),"NO REGISTRA")</f>
        <v>NICOLAS RODRIGUEZ PACHECO</v>
      </c>
      <c r="D5221" s="4" t="str">
        <f>IFERROR(VLOOKUP(A5221,'Base Prueba'!A:D,4,),"NO REGISTRA")</f>
        <v>COORDINADOR DE COMUNICACIONES</v>
      </c>
      <c r="E5221" s="5" t="str">
        <f>IFERROR(VLOOKUP(A5221,'Base Prueba'!A:E,5,),"NO REGISTRA")</f>
        <v>OFICINA DE MERCADEO</v>
      </c>
    </row>
    <row r="5222" spans="1:5" ht="15.75" x14ac:dyDescent="0.25">
      <c r="A5222" s="14">
        <v>52764929</v>
      </c>
      <c r="B5222" s="2">
        <v>46125.787773958335</v>
      </c>
      <c r="C5222" s="3" t="str">
        <f>IFERROR(VLOOKUP(A5222,'Base Prueba'!A:C,3,),"NO REGISTRA")</f>
        <v>GUERLY YOHANA DURAN RIVERA</v>
      </c>
      <c r="D5222" s="4" t="str">
        <f>IFERROR(VLOOKUP(A5222,'Base Prueba'!A:D,4,),"NO REGISTRA")</f>
        <v>LIDER DE VINCULACION COLEGIOS</v>
      </c>
      <c r="E5222" s="5" t="str">
        <f>IFERROR(VLOOKUP(A5222,'Base Prueba'!A:E,5,),"NO REGISTRA")</f>
        <v>OFICINA DE MERCADEO</v>
      </c>
    </row>
    <row r="5223" spans="1:5" ht="15.75" x14ac:dyDescent="0.25">
      <c r="A5223" s="14">
        <v>80234243</v>
      </c>
      <c r="B5223" s="2">
        <v>46125.830207754632</v>
      </c>
      <c r="C5223" s="3" t="str">
        <f>IFERROR(VLOOKUP(A5223,'Base Prueba'!A:C,3,),"NO REGISTRA")</f>
        <v>ARGENIS MARTINEZ MARTINEZ</v>
      </c>
      <c r="D5223" s="4" t="str">
        <f>IFERROR(VLOOKUP(A5223,'Base Prueba'!A:D,4,),"NO REGISTRA")</f>
        <v>LIDER CALL CENTER</v>
      </c>
      <c r="E5223" s="5" t="str">
        <f>IFERROR(VLOOKUP(A5223,'Base Prueba'!A:E,5,),"NO REGISTRA")</f>
        <v>OFICINA DE MERCADEO</v>
      </c>
    </row>
    <row r="5224" spans="1:5" ht="15.75" x14ac:dyDescent="0.25">
      <c r="A5224" s="14">
        <v>1013616244</v>
      </c>
      <c r="B5224" s="2">
        <v>46125.832119907405</v>
      </c>
      <c r="C5224" s="3" t="str">
        <f>IFERROR(VLOOKUP(A5224,'Base Prueba'!A:C,3,),"NO REGISTRA")</f>
        <v>DIANA CAROLINA MARIN BETANCOURT</v>
      </c>
      <c r="D5224" s="4" t="str">
        <f>IFERROR(VLOOKUP(A5224,'Base Prueba'!A:D,4,),"NO REGISTRA")</f>
        <v>AUXILIAR ADMINISTRATIVO</v>
      </c>
      <c r="E5224" s="5" t="str">
        <f>IFERROR(VLOOKUP(A5224,'Base Prueba'!A:E,5,),"NO REGISTRA")</f>
        <v>REGISTRO Y CONTROL ACADEMICO</v>
      </c>
    </row>
    <row r="5225" spans="1:5" ht="15.75" x14ac:dyDescent="0.25">
      <c r="A5225" s="14">
        <v>52474489</v>
      </c>
      <c r="B5225" s="2">
        <v>46125.832393287033</v>
      </c>
      <c r="C5225" s="3" t="str">
        <f>IFERROR(VLOOKUP(A5225,'Base Prueba'!A:C,3,),"NO REGISTRA")</f>
        <v>ADRIANA JIMENA SOTO BOCANEGRA</v>
      </c>
      <c r="D5225" s="4" t="str">
        <f>IFERROR(VLOOKUP(A5225,'Base Prueba'!A:D,4,),"NO REGISTRA")</f>
        <v>COORDINADOR DE LA OFICINA DE REGISTRO Y CONTROL</v>
      </c>
      <c r="E5225" s="5" t="str">
        <f>IFERROR(VLOOKUP(A5225,'Base Prueba'!A:E,5,),"NO REGISTRA")</f>
        <v>REGISTRO Y CONTROL ACADEMICO</v>
      </c>
    </row>
    <row r="5226" spans="1:5" ht="15.75" x14ac:dyDescent="0.25">
      <c r="A5226" s="14">
        <v>1087121273</v>
      </c>
      <c r="B5226" s="2">
        <v>46126.306536458331</v>
      </c>
      <c r="C5226" s="3" t="str">
        <f>IFERROR(VLOOKUP(A5226,'Base Prueba'!A:C,3,),"NO REGISTRA")</f>
        <v>MAYRA ALEJANDRA CASTILLO ARBOLEDA</v>
      </c>
      <c r="D5226" s="4" t="str">
        <f>IFERROR(VLOOKUP(A5226,'Base Prueba'!A:D,4,),"NO REGISTRA")</f>
        <v>APOYO INTEGRAL DE MERCADEO</v>
      </c>
      <c r="E5226" s="5" t="str">
        <f>IFERROR(VLOOKUP(A5226,'Base Prueba'!A:E,5,),"NO REGISTRA")</f>
        <v>CENTRO DE GESTION DOCUMENTAL</v>
      </c>
    </row>
    <row r="5227" spans="1:5" ht="15.75" x14ac:dyDescent="0.25">
      <c r="A5227" s="14">
        <v>1013616244</v>
      </c>
      <c r="B5227" s="2">
        <v>46126.318313310185</v>
      </c>
      <c r="C5227" s="3" t="str">
        <f>IFERROR(VLOOKUP(A5227,'Base Prueba'!A:C,3,),"NO REGISTRA")</f>
        <v>DIANA CAROLINA MARIN BETANCOURT</v>
      </c>
      <c r="D5227" s="4" t="str">
        <f>IFERROR(VLOOKUP(A5227,'Base Prueba'!A:D,4,),"NO REGISTRA")</f>
        <v>AUXILIAR ADMINISTRATIVO</v>
      </c>
      <c r="E5227" s="5" t="str">
        <f>IFERROR(VLOOKUP(A5227,'Base Prueba'!A:E,5,),"NO REGISTRA")</f>
        <v>REGISTRO Y CONTROL ACADEMICO</v>
      </c>
    </row>
    <row r="5228" spans="1:5" ht="15.75" x14ac:dyDescent="0.25">
      <c r="A5228" s="14">
        <v>1000324729</v>
      </c>
      <c r="B5228" s="2">
        <v>46126.323666782409</v>
      </c>
      <c r="C5228" s="3" t="str">
        <f>IFERROR(VLOOKUP(A5228,'Base Prueba'!A:C,3,),"NO REGISTRA")</f>
        <v>ANYIE VANESSA TINOCO CAMACHO</v>
      </c>
      <c r="D5228" s="4" t="str">
        <f>IFERROR(VLOOKUP(A5228,'Base Prueba'!A:D,4,),"NO REGISTRA")</f>
        <v>LIDER DE REGISTRO Y CONTROL</v>
      </c>
      <c r="E5228" s="5" t="str">
        <f>IFERROR(VLOOKUP(A5228,'Base Prueba'!A:E,5,),"NO REGISTRA")</f>
        <v>REGISTRO Y CONTROL ACADEMICO</v>
      </c>
    </row>
    <row r="5229" spans="1:5" ht="15.75" x14ac:dyDescent="0.25">
      <c r="A5229" s="14">
        <v>1014308296</v>
      </c>
      <c r="B5229" s="2">
        <v>46126.323732986108</v>
      </c>
      <c r="C5229" s="3" t="str">
        <f>IFERROR(VLOOKUP(A5229,'Base Prueba'!A:C,3,),"NO REGISTRA")</f>
        <v>DARLENE YULIANA MORENO CELEITA</v>
      </c>
      <c r="D5229" s="4" t="str">
        <f>IFERROR(VLOOKUP(A5229,'Base Prueba'!A:D,4,),"NO REGISTRA")</f>
        <v>CAJERO PRINCIPAL</v>
      </c>
      <c r="E5229" s="5" t="str">
        <f>IFERROR(VLOOKUP(A5229,'Base Prueba'!A:E,5,),"NO REGISTRA")</f>
        <v>AREA FINANCIERA Y CONTABLE</v>
      </c>
    </row>
    <row r="5230" spans="1:5" ht="15.75" x14ac:dyDescent="0.25">
      <c r="A5230" s="14">
        <v>1000257136</v>
      </c>
      <c r="B5230" s="2">
        <v>46126.326985532411</v>
      </c>
      <c r="C5230" s="3" t="str">
        <f>IFERROR(VLOOKUP(A5230,'Base Prueba'!A:C,3,),"NO REGISTRA")</f>
        <v>FRANCI VALENTINA CANO PUENTES</v>
      </c>
      <c r="D5230" s="4" t="str">
        <f>IFERROR(VLOOKUP(A5230,'Base Prueba'!A:D,4,),"NO REGISTRA")</f>
        <v>AUXILIAR CONTABLE</v>
      </c>
      <c r="E5230" s="5" t="str">
        <f>IFERROR(VLOOKUP(A5230,'Base Prueba'!A:E,5,),"NO REGISTRA")</f>
        <v>AREA FINANCIERA Y CONTABLE</v>
      </c>
    </row>
    <row r="5231" spans="1:5" ht="15.75" x14ac:dyDescent="0.25">
      <c r="A5231" s="14">
        <v>1014977624</v>
      </c>
      <c r="B5231" s="2">
        <v>46126.330231134256</v>
      </c>
      <c r="C5231" s="3" t="str">
        <f>IFERROR(VLOOKUP(A5231,'Base Prueba'!A:C,3,),"NO REGISTRA")</f>
        <v>NICCOLE VALENTINA HERNANDEZ MALAVER</v>
      </c>
      <c r="D5231" s="4" t="str">
        <f>IFERROR(VLOOKUP(A5231,'Base Prueba'!A:D,4,),"NO REGISTRA")</f>
        <v>APRENDIZ UNIVERSITARIO</v>
      </c>
      <c r="E5231" s="5" t="str">
        <f>IFERROR(VLOOKUP(A5231,'Base Prueba'!A:E,5,),"NO REGISTRA")</f>
        <v>AREA FINANCIERA Y CONTABLE</v>
      </c>
    </row>
    <row r="5232" spans="1:5" ht="15.75" x14ac:dyDescent="0.25">
      <c r="A5232" s="14">
        <v>1013098430</v>
      </c>
      <c r="B5232" s="2">
        <v>46126.330477199073</v>
      </c>
      <c r="C5232" s="3" t="str">
        <f>IFERROR(VLOOKUP(A5232,'Base Prueba'!A:C,3,),"NO REGISTRA")</f>
        <v>ANDRES FELIPE LOPEZ ROMERO</v>
      </c>
      <c r="D5232" s="4" t="str">
        <f>IFERROR(VLOOKUP(A5232,'Base Prueba'!A:D,4,),"NO REGISTRA")</f>
        <v>APRENDIZ UNIVERSITARIO</v>
      </c>
      <c r="E5232" s="5" t="str">
        <f>IFERROR(VLOOKUP(A5232,'Base Prueba'!A:E,5,),"NO REGISTRA")</f>
        <v>OFICINA DE MERCADEO</v>
      </c>
    </row>
    <row r="5233" spans="1:5" ht="15.75" x14ac:dyDescent="0.25">
      <c r="A5233" s="14">
        <v>1013098430</v>
      </c>
      <c r="B5233" s="2">
        <v>46126.330490624998</v>
      </c>
      <c r="C5233" s="3" t="str">
        <f>IFERROR(VLOOKUP(A5233,'Base Prueba'!A:C,3,),"NO REGISTRA")</f>
        <v>ANDRES FELIPE LOPEZ ROMERO</v>
      </c>
      <c r="D5233" s="4" t="str">
        <f>IFERROR(VLOOKUP(A5233,'Base Prueba'!A:D,4,),"NO REGISTRA")</f>
        <v>APRENDIZ UNIVERSITARIO</v>
      </c>
      <c r="E5233" s="5" t="str">
        <f>IFERROR(VLOOKUP(A5233,'Base Prueba'!A:E,5,),"NO REGISTRA")</f>
        <v>OFICINA DE MERCADEO</v>
      </c>
    </row>
    <row r="5234" spans="1:5" ht="15.75" x14ac:dyDescent="0.25">
      <c r="A5234" s="14">
        <v>1033820146</v>
      </c>
      <c r="B5234" s="2">
        <v>46126.330696064811</v>
      </c>
      <c r="C5234" s="3" t="str">
        <f>IFERROR(VLOOKUP(A5234,'Base Prueba'!A:C,3,),"NO REGISTRA")</f>
        <v>JULIETH ALEXANDRA BUSTAMANTE RUIZ</v>
      </c>
      <c r="D5234" s="4" t="str">
        <f>IFERROR(VLOOKUP(A5234,'Base Prueba'!A:D,4,),"NO REGISTRA")</f>
        <v>AUXILIAR ADMINISTRATIVO</v>
      </c>
      <c r="E5234" s="5" t="str">
        <f>IFERROR(VLOOKUP(A5234,'Base Prueba'!A:E,5,),"NO REGISTRA")</f>
        <v>REGISTRO Y CONTROL ACADEMICO</v>
      </c>
    </row>
    <row r="5235" spans="1:5" ht="15.75" x14ac:dyDescent="0.25">
      <c r="A5235" s="14">
        <v>1010184333</v>
      </c>
      <c r="B5235" s="2">
        <v>46126.33137083333</v>
      </c>
      <c r="C5235" s="3" t="str">
        <f>IFERROR(VLOOKUP(A5235,'Base Prueba'!A:C,3,),"NO REGISTRA")</f>
        <v>AKON ANDRES GARZON ALVAREZ</v>
      </c>
      <c r="D5235" s="4" t="str">
        <f>IFERROR(VLOOKUP(A5235,'Base Prueba'!A:D,4,),"NO REGISTRA")</f>
        <v>APRENDIZ UNIVERSITARIO</v>
      </c>
      <c r="E5235" s="5" t="str">
        <f>IFERROR(VLOOKUP(A5235,'Base Prueba'!A:E,5,),"NO REGISTRA")</f>
        <v>SECRETARIA GENERAL</v>
      </c>
    </row>
    <row r="5236" spans="1:5" ht="15.75" x14ac:dyDescent="0.25">
      <c r="A5236" s="14">
        <v>1014196857</v>
      </c>
      <c r="B5236" s="2">
        <v>46126.333243981484</v>
      </c>
      <c r="C5236" s="3" t="str">
        <f>IFERROR(VLOOKUP(A5236,'Base Prueba'!A:C,3,),"NO REGISTRA")</f>
        <v>CARLOS ANDRES JIMENEZ PARDO</v>
      </c>
      <c r="D5236" s="4" t="str">
        <f>IFERROR(VLOOKUP(A5236,'Base Prueba'!A:D,4,),"NO REGISTRA")</f>
        <v>COORDINADOR DE MARKETING DIGITAL</v>
      </c>
      <c r="E5236" s="5" t="str">
        <f>IFERROR(VLOOKUP(A5236,'Base Prueba'!A:E,5,),"NO REGISTRA")</f>
        <v>OFICINA DE MERCADEO</v>
      </c>
    </row>
    <row r="5237" spans="1:5" ht="15.75" x14ac:dyDescent="0.25">
      <c r="A5237" s="14">
        <v>1049644802</v>
      </c>
      <c r="B5237" s="2">
        <v>46126.334515162038</v>
      </c>
      <c r="C5237" s="3" t="str">
        <f>IFERROR(VLOOKUP(A5237,'Base Prueba'!A:C,3,),"NO REGISTRA")</f>
        <v>DANIELA ALEXANDRA CIPAMOCHA BOSIGA</v>
      </c>
      <c r="D5237" s="4" t="str">
        <f>IFERROR(VLOOKUP(A5237,'Base Prueba'!A:D,4,),"NO REGISTRA")</f>
        <v>LIDER DE DATOS Y SERVICIOS</v>
      </c>
      <c r="E5237" s="5" t="str">
        <f>IFERROR(VLOOKUP(A5237,'Base Prueba'!A:E,5,),"NO REGISTRA")</f>
        <v>OFICINA DE PLANEACION Y GESTION DE LA CALIDAD</v>
      </c>
    </row>
    <row r="5238" spans="1:5" ht="15.75" x14ac:dyDescent="0.25">
      <c r="A5238" s="14">
        <v>80191732</v>
      </c>
      <c r="B5238" s="2">
        <v>46126.336448148148</v>
      </c>
      <c r="C5238" s="3" t="str">
        <f>IFERROR(VLOOKUP(A5238,'Base Prueba'!A:C,3,),"NO REGISTRA")</f>
        <v>DANIEL MAURICIO ZAMBRANO TUNJANO</v>
      </c>
      <c r="D5238" s="4" t="str">
        <f>IFERROR(VLOOKUP(A5238,'Base Prueba'!A:D,4,),"NO REGISTRA")</f>
        <v>COORDINADOR DE DISEÑO E IMAGEN INSTITUCIONAL</v>
      </c>
      <c r="E5238" s="5" t="str">
        <f>IFERROR(VLOOKUP(A5238,'Base Prueba'!A:E,5,),"NO REGISTRA")</f>
        <v>OFICINA DE MERCADEO</v>
      </c>
    </row>
    <row r="5239" spans="1:5" ht="15.75" x14ac:dyDescent="0.25">
      <c r="A5239" s="14">
        <v>1032469638</v>
      </c>
      <c r="B5239" s="2">
        <v>46126.342427314812</v>
      </c>
      <c r="C5239" s="3" t="str">
        <f>IFERROR(VLOOKUP(A5239,'Base Prueba'!A:C,3,),"NO REGISTRA")</f>
        <v>MAICOL JARBEY GUALTEROS CASTAÑEDA</v>
      </c>
      <c r="D5239" s="4" t="str">
        <f>IFERROR(VLOOKUP(A5239,'Base Prueba'!A:D,4,),"NO REGISTRA")</f>
        <v>COORDINADOR DEL SISTEMA INTERNO DE ASEGURAMIENTO DE LA CALIDAD - SIAC</v>
      </c>
      <c r="E5239" s="5" t="str">
        <f>IFERROR(VLOOKUP(A5239,'Base Prueba'!A:E,5,),"NO REGISTRA")</f>
        <v>OFICINA DE PLANEACION Y GESTION DE LA CALIDAD</v>
      </c>
    </row>
    <row r="5240" spans="1:5" ht="15.75" x14ac:dyDescent="0.25">
      <c r="A5240" s="14">
        <v>1026599257</v>
      </c>
      <c r="B5240" s="2">
        <v>46126.34364259259</v>
      </c>
      <c r="C5240" s="3" t="str">
        <f>IFERROR(VLOOKUP(A5240,'Base Prueba'!A:C,3,),"NO REGISTRA")</f>
        <v>YESENIA PAOLA PINEDA HURTADO</v>
      </c>
      <c r="D5240" s="4" t="str">
        <f>IFERROR(VLOOKUP(A5240,'Base Prueba'!A:D,4,),"NO REGISTRA")</f>
        <v>LIDER DE COMPRAS</v>
      </c>
      <c r="E5240" s="5" t="str">
        <f>IFERROR(VLOOKUP(A5240,'Base Prueba'!A:E,5,),"NO REGISTRA")</f>
        <v>AREA ADMINISTRATIVA</v>
      </c>
    </row>
    <row r="5241" spans="1:5" ht="15.75" x14ac:dyDescent="0.25">
      <c r="A5241" s="14">
        <v>1022996882</v>
      </c>
      <c r="B5241" s="2">
        <v>46126.346605902778</v>
      </c>
      <c r="C5241" s="3" t="str">
        <f>IFERROR(VLOOKUP(A5241,'Base Prueba'!A:C,3,),"NO REGISTRA")</f>
        <v>NANCY BRIGITH ALDANA GUEVARA</v>
      </c>
      <c r="D5241" s="4" t="str">
        <f>IFERROR(VLOOKUP(A5241,'Base Prueba'!A:D,4,),"NO REGISTRA")</f>
        <v>COORDINADORA DE GESTIÓN HUMANA</v>
      </c>
      <c r="E5241" s="5" t="str">
        <f>IFERROR(VLOOKUP(A5241,'Base Prueba'!A:E,5,),"NO REGISTRA")</f>
        <v>DEPARTAMENTO DE GESTION HUMANA</v>
      </c>
    </row>
    <row r="5242" spans="1:5" ht="15.75" x14ac:dyDescent="0.25">
      <c r="A5242" s="14">
        <v>1193457976</v>
      </c>
      <c r="B5242" s="2">
        <v>46126.347029282406</v>
      </c>
      <c r="C5242" s="3" t="str">
        <f>IFERROR(VLOOKUP(A5242,'Base Prueba'!A:C,3,),"NO REGISTRA")</f>
        <v>SEDENIS RIVAS ASPRILLA</v>
      </c>
      <c r="D5242" s="4" t="str">
        <f>IFERROR(VLOOKUP(A5242,'Base Prueba'!A:D,4,),"NO REGISTRA")</f>
        <v>APRENDIZ UNIVERSITARIO</v>
      </c>
      <c r="E5242" s="5" t="str">
        <f>IFERROR(VLOOKUP(A5242,'Base Prueba'!A:E,5,),"NO REGISTRA")</f>
        <v>DEPARTAMENTO DE GESTION HUMANA</v>
      </c>
    </row>
    <row r="5243" spans="1:5" ht="15.75" x14ac:dyDescent="0.25">
      <c r="A5243" s="14">
        <v>1000457706</v>
      </c>
      <c r="B5243" s="2">
        <v>46126.347663078704</v>
      </c>
      <c r="C5243" s="3" t="str">
        <f>IFERROR(VLOOKUP(A5243,'Base Prueba'!A:C,3,),"NO REGISTRA")</f>
        <v>CRISTIAN DANILO ARROYO SANABRIA</v>
      </c>
      <c r="D5243" s="4" t="str">
        <f>IFERROR(VLOOKUP(A5243,'Base Prueba'!A:D,4,),"NO REGISTRA")</f>
        <v>AUXILIAR CONTABLE</v>
      </c>
      <c r="E5243" s="5" t="str">
        <f>IFERROR(VLOOKUP(A5243,'Base Prueba'!A:E,5,),"NO REGISTRA")</f>
        <v>AREA FINANCIERA Y CONTABLE</v>
      </c>
    </row>
    <row r="5244" spans="1:5" ht="15.75" x14ac:dyDescent="0.25">
      <c r="A5244" s="14">
        <v>1023883232</v>
      </c>
      <c r="B5244" s="2">
        <v>46126.350341087964</v>
      </c>
      <c r="C5244" s="3" t="str">
        <f>IFERROR(VLOOKUP(A5244,'Base Prueba'!A:C,3,),"NO REGISTRA")</f>
        <v>MONICA ANDREA ACERO URBANO</v>
      </c>
      <c r="D5244" s="4" t="str">
        <f>IFERROR(VLOOKUP(A5244,'Base Prueba'!A:D,4,),"NO REGISTRA")</f>
        <v>APOYO INTEGRAL A GESTION HUMANA</v>
      </c>
      <c r="E5244" s="5" t="str">
        <f>IFERROR(VLOOKUP(A5244,'Base Prueba'!A:E,5,),"NO REGISTRA")</f>
        <v>DEPARTAMENTO DE GESTION HUMANA</v>
      </c>
    </row>
    <row r="5245" spans="1:5" ht="15.75" x14ac:dyDescent="0.25">
      <c r="A5245" s="14">
        <v>1000593372</v>
      </c>
      <c r="B5245" s="2">
        <v>46126.352728356484</v>
      </c>
      <c r="C5245" s="3" t="str">
        <f>IFERROR(VLOOKUP(A5245,'Base Prueba'!A:C,3,),"NO REGISTRA")</f>
        <v>LAURA SOFIA CHAPARRO LOPEZ</v>
      </c>
      <c r="D5245" s="4" t="str">
        <f>IFERROR(VLOOKUP(A5245,'Base Prueba'!A:D,4,),"NO REGISTRA")</f>
        <v>AUXILIAR JURIDICO</v>
      </c>
      <c r="E5245" s="5" t="str">
        <f>IFERROR(VLOOKUP(A5245,'Base Prueba'!A:E,5,),"NO REGISTRA")</f>
        <v>SECRETARIA GENERAL</v>
      </c>
    </row>
    <row r="5246" spans="1:5" ht="15.75" x14ac:dyDescent="0.25">
      <c r="A5246" s="14">
        <v>1000604979</v>
      </c>
      <c r="B5246" s="2">
        <v>46126.352754629632</v>
      </c>
      <c r="C5246" s="3" t="str">
        <f>IFERROR(VLOOKUP(A5246,'Base Prueba'!A:C,3,),"NO REGISTRA")</f>
        <v>JULIETH TATIANA PARDO PINTO</v>
      </c>
      <c r="D5246" s="4" t="str">
        <f>IFERROR(VLOOKUP(A5246,'Base Prueba'!A:D,4,),"NO REGISTRA")</f>
        <v>AUXILIAR JURIDICO</v>
      </c>
      <c r="E5246" s="5" t="str">
        <f>IFERROR(VLOOKUP(A5246,'Base Prueba'!A:E,5,),"NO REGISTRA")</f>
        <v>SECRETARIA GENERAL</v>
      </c>
    </row>
    <row r="5247" spans="1:5" ht="15.75" x14ac:dyDescent="0.25">
      <c r="A5247" s="14">
        <v>53932358</v>
      </c>
      <c r="B5247" s="2">
        <v>46126.354457407404</v>
      </c>
      <c r="C5247" s="3" t="str">
        <f>IFERROR(VLOOKUP(A5247,'Base Prueba'!A:C,3,),"NO REGISTRA")</f>
        <v>DIANA MADELEYNE GAONA RODRIGUEZ</v>
      </c>
      <c r="D5247" s="4" t="str">
        <f>IFERROR(VLOOKUP(A5247,'Base Prueba'!A:D,4,),"NO REGISTRA")</f>
        <v>CONTADOR</v>
      </c>
      <c r="E5247" s="5" t="str">
        <f>IFERROR(VLOOKUP(A5247,'Base Prueba'!A:E,5,),"NO REGISTRA")</f>
        <v>AREA FINANCIERA Y CONTABLE</v>
      </c>
    </row>
    <row r="5248" spans="1:5" ht="15.75" x14ac:dyDescent="0.25">
      <c r="A5248" s="14">
        <v>1033709056</v>
      </c>
      <c r="B5248" s="2">
        <v>46126.36633715278</v>
      </c>
      <c r="C5248" s="3" t="str">
        <f>IFERROR(VLOOKUP(A5248,'Base Prueba'!A:C,3,),"NO REGISTRA")</f>
        <v>YEIMY ALEXANDRA RODRIGUEZ PALACIO</v>
      </c>
      <c r="D5248" s="4" t="str">
        <f>IFERROR(VLOOKUP(A5248,'Base Prueba'!A:D,4,),"NO REGISTRA")</f>
        <v>PROMOTOR CALL CENTER</v>
      </c>
      <c r="E5248" s="5" t="str">
        <f>IFERROR(VLOOKUP(A5248,'Base Prueba'!A:E,5,),"NO REGISTRA")</f>
        <v>OFICINA DE MERCADEO</v>
      </c>
    </row>
    <row r="5249" spans="1:5" ht="15.75" x14ac:dyDescent="0.25">
      <c r="A5249" s="14">
        <v>1018413529</v>
      </c>
      <c r="B5249" s="2">
        <v>46126.367276504629</v>
      </c>
      <c r="C5249" s="3" t="str">
        <f>IFERROR(VLOOKUP(A5249,'Base Prueba'!A:C,3,),"NO REGISTRA")</f>
        <v>FRANCY STELLA CHARRY MORENO</v>
      </c>
      <c r="D5249" s="4" t="str">
        <f>IFERROR(VLOOKUP(A5249,'Base Prueba'!A:D,4,),"NO REGISTRA")</f>
        <v>PROMOTOR COMERCIAL DEL CEA</v>
      </c>
      <c r="E5249" s="5" t="str">
        <f>IFERROR(VLOOKUP(A5249,'Base Prueba'!A:E,5,),"NO REGISTRA")</f>
        <v>OFICINA DE MERCADEO</v>
      </c>
    </row>
    <row r="5250" spans="1:5" ht="15.75" x14ac:dyDescent="0.25">
      <c r="A5250" s="14">
        <v>6</v>
      </c>
      <c r="B5250" s="2">
        <v>46126.36728460648</v>
      </c>
      <c r="C5250" s="3" t="str">
        <f>IFERROR(VLOOKUP(A5250,'Base Prueba'!A:C,3,),"NO REGISTRA")</f>
        <v>NO REGISTRA</v>
      </c>
      <c r="D5250" s="4" t="str">
        <f>IFERROR(VLOOKUP(A5250,'Base Prueba'!A:D,4,),"NO REGISTRA")</f>
        <v>NO REGISTRA</v>
      </c>
      <c r="E5250" s="5" t="str">
        <f>IFERROR(VLOOKUP(A5250,'Base Prueba'!A:E,5,),"NO REGISTRA")</f>
        <v>NO REGISTRA</v>
      </c>
    </row>
    <row r="5251" spans="1:5" ht="15.75" x14ac:dyDescent="0.25">
      <c r="A5251" s="14">
        <v>1018413529</v>
      </c>
      <c r="B5251" s="2">
        <v>46126.367288541667</v>
      </c>
      <c r="C5251" s="3" t="str">
        <f>IFERROR(VLOOKUP(A5251,'Base Prueba'!A:C,3,),"NO REGISTRA")</f>
        <v>FRANCY STELLA CHARRY MORENO</v>
      </c>
      <c r="D5251" s="4" t="str">
        <f>IFERROR(VLOOKUP(A5251,'Base Prueba'!A:D,4,),"NO REGISTRA")</f>
        <v>PROMOTOR COMERCIAL DEL CEA</v>
      </c>
      <c r="E5251" s="5" t="str">
        <f>IFERROR(VLOOKUP(A5251,'Base Prueba'!A:E,5,),"NO REGISTRA")</f>
        <v>OFICINA DE MERCADEO</v>
      </c>
    </row>
    <row r="5252" spans="1:5" ht="15.75" x14ac:dyDescent="0.25">
      <c r="A5252" s="14">
        <v>1013101788</v>
      </c>
      <c r="B5252" s="2">
        <v>46126.368206712963</v>
      </c>
      <c r="C5252" s="3" t="str">
        <f>IFERROR(VLOOKUP(A5252,'Base Prueba'!A:C,3,),"NO REGISTRA")</f>
        <v>SARA TANGARIFE MONTOYA</v>
      </c>
      <c r="D5252" s="4" t="str">
        <f>IFERROR(VLOOKUP(A5252,'Base Prueba'!A:D,4,),"NO REGISTRA")</f>
        <v>APRENDIZ UNIVERSITARIO</v>
      </c>
      <c r="E5252" s="5" t="str">
        <f>IFERROR(VLOOKUP(A5252,'Base Prueba'!A:E,5,),"NO REGISTRA")</f>
        <v>OFICINA DE MERCADEO</v>
      </c>
    </row>
    <row r="5253" spans="1:5" ht="15.75" x14ac:dyDescent="0.25">
      <c r="A5253" s="14">
        <v>1012426741</v>
      </c>
      <c r="B5253" s="2">
        <v>46126.370835648151</v>
      </c>
      <c r="C5253" s="3" t="str">
        <f>IFERROR(VLOOKUP(A5253,'Base Prueba'!A:C,3,),"NO REGISTRA")</f>
        <v>CRISTIAN FABIAN ROJAS SANCENO</v>
      </c>
      <c r="D5253" s="4" t="str">
        <f>IFERROR(VLOOKUP(A5253,'Base Prueba'!A:D,4,),"NO REGISTRA")</f>
        <v>AUXILIAR DE REINTEGROS</v>
      </c>
      <c r="E5253" s="5" t="str">
        <f>IFERROR(VLOOKUP(A5253,'Base Prueba'!A:E,5,),"NO REGISTRA")</f>
        <v>DIRECCION DE BIENESTAR INSTITUCIONAL</v>
      </c>
    </row>
    <row r="5254" spans="1:5" ht="15.75" x14ac:dyDescent="0.25">
      <c r="A5254" s="14">
        <v>80234243</v>
      </c>
      <c r="B5254" s="2">
        <v>46126.373888888891</v>
      </c>
      <c r="C5254" s="3" t="str">
        <f>IFERROR(VLOOKUP(A5254,'Base Prueba'!A:C,3,),"NO REGISTRA")</f>
        <v>ARGENIS MARTINEZ MARTINEZ</v>
      </c>
      <c r="D5254" s="4" t="str">
        <f>IFERROR(VLOOKUP(A5254,'Base Prueba'!A:D,4,),"NO REGISTRA")</f>
        <v>LIDER CALL CENTER</v>
      </c>
      <c r="E5254" s="5" t="str">
        <f>IFERROR(VLOOKUP(A5254,'Base Prueba'!A:E,5,),"NO REGISTRA")</f>
        <v>OFICINA DE MERCADEO</v>
      </c>
    </row>
    <row r="5255" spans="1:5" ht="15.75" x14ac:dyDescent="0.25">
      <c r="A5255" s="14">
        <v>1023961952</v>
      </c>
      <c r="B5255" s="2">
        <v>46126.37396921296</v>
      </c>
      <c r="C5255" s="3" t="str">
        <f>IFERROR(VLOOKUP(A5255,'Base Prueba'!A:C,3,),"NO REGISTRA")</f>
        <v>ALEJANDRO PINZON MERCHAN</v>
      </c>
      <c r="D5255" s="4" t="str">
        <f>IFERROR(VLOOKUP(A5255,'Base Prueba'!A:D,4,),"NO REGISTRA")</f>
        <v>PROMOTOR CALL CENTER</v>
      </c>
      <c r="E5255" s="5" t="str">
        <f>IFERROR(VLOOKUP(A5255,'Base Prueba'!A:E,5,),"NO REGISTRA")</f>
        <v>OFICINA DE MERCADEO</v>
      </c>
    </row>
    <row r="5256" spans="1:5" ht="15.75" x14ac:dyDescent="0.25">
      <c r="A5256" s="14">
        <v>28798349</v>
      </c>
      <c r="B5256" s="2">
        <v>46126.374637731482</v>
      </c>
      <c r="C5256" s="3" t="str">
        <f>IFERROR(VLOOKUP(A5256,'Base Prueba'!A:C,3,),"NO REGISTRA")</f>
        <v>MARTHA ISABEL TOVAR WILLIAMS</v>
      </c>
      <c r="D5256" s="4" t="str">
        <f>IFERROR(VLOOKUP(A5256,'Base Prueba'!A:D,4,),"NO REGISTRA")</f>
        <v>PROMOTOR CALL CENTER</v>
      </c>
      <c r="E5256" s="5" t="str">
        <f>IFERROR(VLOOKUP(A5256,'Base Prueba'!A:E,5,),"NO REGISTRA")</f>
        <v>OFICINA DE MERCADEO</v>
      </c>
    </row>
    <row r="5257" spans="1:5" ht="15.75" x14ac:dyDescent="0.25">
      <c r="A5257" s="14">
        <v>1000046533</v>
      </c>
      <c r="B5257" s="2">
        <v>46126.374657175926</v>
      </c>
      <c r="C5257" s="3" t="str">
        <f>IFERROR(VLOOKUP(A5257,'Base Prueba'!A:C,3,),"NO REGISTRA")</f>
        <v>ERIKA JULIETH VALDERRAMA SANCHEZ</v>
      </c>
      <c r="D5257" s="4" t="str">
        <f>IFERROR(VLOOKUP(A5257,'Base Prueba'!A:D,4,),"NO REGISTRA")</f>
        <v>PROMOTOR CALL CENTER</v>
      </c>
      <c r="E5257" s="5" t="str">
        <f>IFERROR(VLOOKUP(A5257,'Base Prueba'!A:E,5,),"NO REGISTRA")</f>
        <v>OFICINA DE MERCADEO</v>
      </c>
    </row>
    <row r="5258" spans="1:5" ht="15.75" x14ac:dyDescent="0.25">
      <c r="A5258" s="14">
        <v>1032407386</v>
      </c>
      <c r="B5258" s="2">
        <v>46126.376163425928</v>
      </c>
      <c r="C5258" s="3" t="str">
        <f>IFERROR(VLOOKUP(A5258,'Base Prueba'!A:C,3,),"NO REGISTRA")</f>
        <v>GINA PAOLA BAEZ GALVIS</v>
      </c>
      <c r="D5258" s="4" t="str">
        <f>IFERROR(VLOOKUP(A5258,'Base Prueba'!A:D,4,),"NO REGISTRA")</f>
        <v>PROMOTOR CALL CENTER</v>
      </c>
      <c r="E5258" s="5" t="str">
        <f>IFERROR(VLOOKUP(A5258,'Base Prueba'!A:E,5,),"NO REGISTRA")</f>
        <v>OFICINA DE MERCADEO</v>
      </c>
    </row>
    <row r="5259" spans="1:5" ht="15.75" x14ac:dyDescent="0.25">
      <c r="A5259" s="14">
        <v>1019105003</v>
      </c>
      <c r="B5259" s="2">
        <v>46126.380187847222</v>
      </c>
      <c r="C5259" s="3" t="str">
        <f>IFERROR(VLOOKUP(A5259,'Base Prueba'!A:C,3,),"NO REGISTRA")</f>
        <v>DAISY JULIETH GASPAR MORENO</v>
      </c>
      <c r="D5259" s="4" t="str">
        <f>IFERROR(VLOOKUP(A5259,'Base Prueba'!A:D,4,),"NO REGISTRA")</f>
        <v>PROMOTOR CALL CENTER</v>
      </c>
      <c r="E5259" s="5" t="str">
        <f>IFERROR(VLOOKUP(A5259,'Base Prueba'!A:E,5,),"NO REGISTRA")</f>
        <v>OFICINA DE MERCADEO</v>
      </c>
    </row>
    <row r="5260" spans="1:5" ht="15.75" x14ac:dyDescent="0.25">
      <c r="A5260" s="14">
        <v>53089882</v>
      </c>
      <c r="B5260" s="2">
        <v>46126.384601388891</v>
      </c>
      <c r="C5260" s="3" t="str">
        <f>IFERROR(VLOOKUP(A5260,'Base Prueba'!A:C,3,),"NO REGISTRA")</f>
        <v>MARIA JOHANA ESCAMILLA MARTINEZ</v>
      </c>
      <c r="D5260" s="4" t="str">
        <f>IFERROR(VLOOKUP(A5260,'Base Prueba'!A:D,4,),"NO REGISTRA")</f>
        <v>PROMOTOR DE INFORMACIÓN</v>
      </c>
      <c r="E5260" s="5" t="str">
        <f>IFERROR(VLOOKUP(A5260,'Base Prueba'!A:E,5,),"NO REGISTRA")</f>
        <v>OFICINA DE MERCADEO</v>
      </c>
    </row>
    <row r="5261" spans="1:5" ht="15.75" x14ac:dyDescent="0.25">
      <c r="A5261" s="14">
        <v>1016090131</v>
      </c>
      <c r="B5261" s="2">
        <v>46126.394158912037</v>
      </c>
      <c r="C5261" s="3" t="str">
        <f>IFERROR(VLOOKUP(A5261,'Base Prueba'!A:C,3,),"NO REGISTRA")</f>
        <v>NICOLAS RODRIGUEZ PACHECO</v>
      </c>
      <c r="D5261" s="4" t="str">
        <f>IFERROR(VLOOKUP(A5261,'Base Prueba'!A:D,4,),"NO REGISTRA")</f>
        <v>COORDINADOR DE COMUNICACIONES</v>
      </c>
      <c r="E5261" s="5" t="str">
        <f>IFERROR(VLOOKUP(A5261,'Base Prueba'!A:E,5,),"NO REGISTRA")</f>
        <v>OFICINA DE MERCADEO</v>
      </c>
    </row>
    <row r="5262" spans="1:5" ht="15.75" x14ac:dyDescent="0.25">
      <c r="A5262" s="14">
        <v>1018414290</v>
      </c>
      <c r="B5262" s="2">
        <v>46126.428280324071</v>
      </c>
      <c r="C5262" s="3" t="str">
        <f>IFERROR(VLOOKUP(A5262,'Base Prueba'!A:C,3,),"NO REGISTRA")</f>
        <v>AMANDA LISBETH RODRIGUEZ LEON</v>
      </c>
      <c r="D5262" s="4" t="str">
        <f>IFERROR(VLOOKUP(A5262,'Base Prueba'!A:D,4,),"NO REGISTRA")</f>
        <v>PROMOTOR CALL CENTER</v>
      </c>
      <c r="E5262" s="5" t="str">
        <f>IFERROR(VLOOKUP(A5262,'Base Prueba'!A:E,5,),"NO REGISTRA")</f>
        <v>OFICINA DE MERCADEO</v>
      </c>
    </row>
    <row r="5263" spans="1:5" ht="15.75" x14ac:dyDescent="0.25">
      <c r="A5263" s="14">
        <v>52472386</v>
      </c>
      <c r="B5263" s="2">
        <v>46126.432341782405</v>
      </c>
      <c r="C5263" s="3" t="str">
        <f>IFERROR(VLOOKUP(A5263,'Base Prueba'!A:C,3,),"NO REGISTRA")</f>
        <v>ADRIANA MARCELA MORALES PARDO</v>
      </c>
      <c r="D5263" s="4" t="str">
        <f>IFERROR(VLOOKUP(A5263,'Base Prueba'!A:D,4,),"NO REGISTRA")</f>
        <v>PROMOTOR CALL CENTER</v>
      </c>
      <c r="E5263" s="5" t="str">
        <f>IFERROR(VLOOKUP(A5263,'Base Prueba'!A:E,5,),"NO REGISTRA")</f>
        <v>OFICINA DE MERCADEO</v>
      </c>
    </row>
    <row r="5264" spans="1:5" ht="15.75" x14ac:dyDescent="0.25">
      <c r="A5264" s="14">
        <v>52443092</v>
      </c>
      <c r="B5264" s="2">
        <v>46126.571244560182</v>
      </c>
      <c r="C5264" s="3" t="str">
        <f>IFERROR(VLOOKUP(A5264,'Base Prueba'!A:C,3,),"NO REGISTRA")</f>
        <v>LUZ MYRIAM SAAVEDRA CONTRERAS</v>
      </c>
      <c r="D5264" s="4" t="str">
        <f>IFERROR(VLOOKUP(A5264,'Base Prueba'!A:D,4,),"NO REGISTRA")</f>
        <v>AUXILIAR DE SERVICIOS</v>
      </c>
      <c r="E5264" s="5" t="str">
        <f>IFERROR(VLOOKUP(A5264,'Base Prueba'!A:E,5,),"NO REGISTRA")</f>
        <v>LOGISTICA Y SERVICIOS GENERALES</v>
      </c>
    </row>
    <row r="5265" spans="1:5" ht="15.75" x14ac:dyDescent="0.25">
      <c r="A5265" s="14">
        <v>1013098430</v>
      </c>
      <c r="B5265" s="2">
        <v>46126.715950115744</v>
      </c>
      <c r="C5265" s="3" t="str">
        <f>IFERROR(VLOOKUP(A5265,'Base Prueba'!A:C,3,),"NO REGISTRA")</f>
        <v>ANDRES FELIPE LOPEZ ROMERO</v>
      </c>
      <c r="D5265" s="4" t="str">
        <f>IFERROR(VLOOKUP(A5265,'Base Prueba'!A:D,4,),"NO REGISTRA")</f>
        <v>APRENDIZ UNIVERSITARIO</v>
      </c>
      <c r="E5265" s="5" t="str">
        <f>IFERROR(VLOOKUP(A5265,'Base Prueba'!A:E,5,),"NO REGISTRA")</f>
        <v>OFICINA DE MERCADEO</v>
      </c>
    </row>
    <row r="5266" spans="1:5" ht="15.75" x14ac:dyDescent="0.25">
      <c r="A5266" s="14">
        <v>1010184333</v>
      </c>
      <c r="B5266" s="2">
        <v>46126.732378935187</v>
      </c>
      <c r="C5266" s="3" t="str">
        <f>IFERROR(VLOOKUP(A5266,'Base Prueba'!A:C,3,),"NO REGISTRA")</f>
        <v>AKON ANDRES GARZON ALVAREZ</v>
      </c>
      <c r="D5266" s="4" t="str">
        <f>IFERROR(VLOOKUP(A5266,'Base Prueba'!A:D,4,),"NO REGISTRA")</f>
        <v>APRENDIZ UNIVERSITARIO</v>
      </c>
      <c r="E5266" s="5" t="str">
        <f>IFERROR(VLOOKUP(A5266,'Base Prueba'!A:E,5,),"NO REGISTRA")</f>
        <v>SECRETARIA GENERAL</v>
      </c>
    </row>
    <row r="5267" spans="1:5" ht="15.75" x14ac:dyDescent="0.25">
      <c r="A5267" s="14">
        <v>1193457976</v>
      </c>
      <c r="B5267" s="2">
        <v>46126.75139675926</v>
      </c>
      <c r="C5267" s="3" t="str">
        <f>IFERROR(VLOOKUP(A5267,'Base Prueba'!A:C,3,),"NO REGISTRA")</f>
        <v>SEDENIS RIVAS ASPRILLA</v>
      </c>
      <c r="D5267" s="4" t="str">
        <f>IFERROR(VLOOKUP(A5267,'Base Prueba'!A:D,4,),"NO REGISTRA")</f>
        <v>APRENDIZ UNIVERSITARIO</v>
      </c>
      <c r="E5267" s="5" t="str">
        <f>IFERROR(VLOOKUP(A5267,'Base Prueba'!A:E,5,),"NO REGISTRA")</f>
        <v>DEPARTAMENTO DE GESTION HUMANA</v>
      </c>
    </row>
    <row r="5268" spans="1:5" ht="15.75" x14ac:dyDescent="0.25">
      <c r="A5268" s="14">
        <v>1022996882</v>
      </c>
      <c r="B5268" s="2">
        <v>46126.751715625003</v>
      </c>
      <c r="C5268" s="3" t="str">
        <f>IFERROR(VLOOKUP(A5268,'Base Prueba'!A:C,3,),"NO REGISTRA")</f>
        <v>NANCY BRIGITH ALDANA GUEVARA</v>
      </c>
      <c r="D5268" s="4" t="str">
        <f>IFERROR(VLOOKUP(A5268,'Base Prueba'!A:D,4,),"NO REGISTRA")</f>
        <v>COORDINADORA DE GESTIÓN HUMANA</v>
      </c>
      <c r="E5268" s="5" t="str">
        <f>IFERROR(VLOOKUP(A5268,'Base Prueba'!A:E,5,),"NO REGISTRA")</f>
        <v>DEPARTAMENTO DE GESTION HUMANA</v>
      </c>
    </row>
    <row r="5269" spans="1:5" ht="15.75" x14ac:dyDescent="0.25">
      <c r="A5269" s="14">
        <v>1000467399</v>
      </c>
      <c r="B5269" s="2">
        <v>46126.75242384259</v>
      </c>
      <c r="C5269" s="3" t="str">
        <f>IFERROR(VLOOKUP(A5269,'Base Prueba'!A:C,3,),"NO REGISTRA")</f>
        <v>BRANDO ESTIVEN DIAZ QUIMBAYA</v>
      </c>
      <c r="D5269" s="4" t="str">
        <f>IFERROR(VLOOKUP(A5269,'Base Prueba'!A:D,4,),"NO REGISTRA")</f>
        <v>APRENDIZ UNIVERSITARIO</v>
      </c>
      <c r="E5269" s="5" t="str">
        <f>IFERROR(VLOOKUP(A5269,'Base Prueba'!A:E,5,),"NO REGISTRA")</f>
        <v>DEPARTAMENTO DE GESTION HUMANA</v>
      </c>
    </row>
    <row r="5270" spans="1:5" ht="15.75" x14ac:dyDescent="0.25">
      <c r="A5270" s="14">
        <v>1014266838</v>
      </c>
      <c r="B5270" s="2">
        <v>46126.755108796293</v>
      </c>
      <c r="C5270" s="3" t="str">
        <f>IFERROR(VLOOKUP(A5270,'Base Prueba'!A:C,3,),"NO REGISTRA")</f>
        <v>JENNIFER ASTRID ROMERO HURTADO</v>
      </c>
      <c r="D5270" s="4" t="str">
        <f>IFERROR(VLOOKUP(A5270,'Base Prueba'!A:D,4,),"NO REGISTRA")</f>
        <v>LIDER DE RECAUDO</v>
      </c>
      <c r="E5270" s="5" t="str">
        <f>IFERROR(VLOOKUP(A5270,'Base Prueba'!A:E,5,),"NO REGISTRA")</f>
        <v>AREA FINANCIERA Y CONTABLE</v>
      </c>
    </row>
    <row r="5271" spans="1:5" ht="15.75" x14ac:dyDescent="0.25">
      <c r="A5271" s="14">
        <v>1049644802</v>
      </c>
      <c r="B5271" s="2">
        <v>46126.755167939817</v>
      </c>
      <c r="C5271" s="3" t="str">
        <f>IFERROR(VLOOKUP(A5271,'Base Prueba'!A:C,3,),"NO REGISTRA")</f>
        <v>DANIELA ALEXANDRA CIPAMOCHA BOSIGA</v>
      </c>
      <c r="D5271" s="4" t="str">
        <f>IFERROR(VLOOKUP(A5271,'Base Prueba'!A:D,4,),"NO REGISTRA")</f>
        <v>LIDER DE DATOS Y SERVICIOS</v>
      </c>
      <c r="E5271" s="5" t="str">
        <f>IFERROR(VLOOKUP(A5271,'Base Prueba'!A:E,5,),"NO REGISTRA")</f>
        <v>OFICINA DE PLANEACION Y GESTION DE LA CALIDAD</v>
      </c>
    </row>
    <row r="5272" spans="1:5" ht="15.75" x14ac:dyDescent="0.25">
      <c r="A5272" s="14">
        <v>53932358</v>
      </c>
      <c r="B5272" s="2">
        <v>46126.755368171296</v>
      </c>
      <c r="C5272" s="3" t="str">
        <f>IFERROR(VLOOKUP(A5272,'Base Prueba'!A:C,3,),"NO REGISTRA")</f>
        <v>DIANA MADELEYNE GAONA RODRIGUEZ</v>
      </c>
      <c r="D5272" s="4" t="str">
        <f>IFERROR(VLOOKUP(A5272,'Base Prueba'!A:D,4,),"NO REGISTRA")</f>
        <v>CONTADOR</v>
      </c>
      <c r="E5272" s="5" t="str">
        <f>IFERROR(VLOOKUP(A5272,'Base Prueba'!A:E,5,),"NO REGISTRA")</f>
        <v>AREA FINANCIERA Y CONTABLE</v>
      </c>
    </row>
    <row r="5273" spans="1:5" ht="15.75" x14ac:dyDescent="0.25">
      <c r="A5273" s="14">
        <v>1014977624</v>
      </c>
      <c r="B5273" s="2">
        <v>46126.756332638892</v>
      </c>
      <c r="C5273" s="3" t="str">
        <f>IFERROR(VLOOKUP(A5273,'Base Prueba'!A:C,3,),"NO REGISTRA")</f>
        <v>NICCOLE VALENTINA HERNANDEZ MALAVER</v>
      </c>
      <c r="D5273" s="4" t="str">
        <f>IFERROR(VLOOKUP(A5273,'Base Prueba'!A:D,4,),"NO REGISTRA")</f>
        <v>APRENDIZ UNIVERSITARIO</v>
      </c>
      <c r="E5273" s="5" t="str">
        <f>IFERROR(VLOOKUP(A5273,'Base Prueba'!A:E,5,),"NO REGISTRA")</f>
        <v>AREA FINANCIERA Y CONTABLE</v>
      </c>
    </row>
    <row r="5274" spans="1:5" ht="15.75" x14ac:dyDescent="0.25">
      <c r="A5274" s="14">
        <v>1023883232</v>
      </c>
      <c r="B5274" s="2">
        <v>46126.756576736108</v>
      </c>
      <c r="C5274" s="3" t="str">
        <f>IFERROR(VLOOKUP(A5274,'Base Prueba'!A:C,3,),"NO REGISTRA")</f>
        <v>MONICA ANDREA ACERO URBANO</v>
      </c>
      <c r="D5274" s="4" t="str">
        <f>IFERROR(VLOOKUP(A5274,'Base Prueba'!A:D,4,),"NO REGISTRA")</f>
        <v>APOYO INTEGRAL A GESTION HUMANA</v>
      </c>
      <c r="E5274" s="5" t="str">
        <f>IFERROR(VLOOKUP(A5274,'Base Prueba'!A:E,5,),"NO REGISTRA")</f>
        <v>DEPARTAMENTO DE GESTION HUMANA</v>
      </c>
    </row>
    <row r="5275" spans="1:5" ht="15.75" x14ac:dyDescent="0.25">
      <c r="A5275" s="14">
        <v>80191732</v>
      </c>
      <c r="B5275" s="2">
        <v>46126.757599999997</v>
      </c>
      <c r="C5275" s="3" t="str">
        <f>IFERROR(VLOOKUP(A5275,'Base Prueba'!A:C,3,),"NO REGISTRA")</f>
        <v>DANIEL MAURICIO ZAMBRANO TUNJANO</v>
      </c>
      <c r="D5275" s="4" t="str">
        <f>IFERROR(VLOOKUP(A5275,'Base Prueba'!A:D,4,),"NO REGISTRA")</f>
        <v>COORDINADOR DE DISEÑO E IMAGEN INSTITUCIONAL</v>
      </c>
      <c r="E5275" s="5" t="str">
        <f>IFERROR(VLOOKUP(A5275,'Base Prueba'!A:E,5,),"NO REGISTRA")</f>
        <v>OFICINA DE MERCADEO</v>
      </c>
    </row>
    <row r="5276" spans="1:5" ht="15.75" x14ac:dyDescent="0.25">
      <c r="A5276" s="14">
        <v>1014308296</v>
      </c>
      <c r="B5276" s="2">
        <v>46126.758009722224</v>
      </c>
      <c r="C5276" s="3" t="str">
        <f>IFERROR(VLOOKUP(A5276,'Base Prueba'!A:C,3,),"NO REGISTRA")</f>
        <v>DARLENE YULIANA MORENO CELEITA</v>
      </c>
      <c r="D5276" s="4" t="str">
        <f>IFERROR(VLOOKUP(A5276,'Base Prueba'!A:D,4,),"NO REGISTRA")</f>
        <v>CAJERO PRINCIPAL</v>
      </c>
      <c r="E5276" s="5" t="str">
        <f>IFERROR(VLOOKUP(A5276,'Base Prueba'!A:E,5,),"NO REGISTRA")</f>
        <v>AREA FINANCIERA Y CONTABLE</v>
      </c>
    </row>
    <row r="5277" spans="1:5" ht="15.75" x14ac:dyDescent="0.25">
      <c r="A5277" s="14">
        <v>1000257136</v>
      </c>
      <c r="B5277" s="2">
        <v>46126.761311111113</v>
      </c>
      <c r="C5277" s="3" t="str">
        <f>IFERROR(VLOOKUP(A5277,'Base Prueba'!A:C,3,),"NO REGISTRA")</f>
        <v>FRANCI VALENTINA CANO PUENTES</v>
      </c>
      <c r="D5277" s="4" t="str">
        <f>IFERROR(VLOOKUP(A5277,'Base Prueba'!A:D,4,),"NO REGISTRA")</f>
        <v>AUXILIAR CONTABLE</v>
      </c>
      <c r="E5277" s="5" t="str">
        <f>IFERROR(VLOOKUP(A5277,'Base Prueba'!A:E,5,),"NO REGISTRA")</f>
        <v>AREA FINANCIERA Y CONTABLE</v>
      </c>
    </row>
    <row r="5278" spans="1:5" ht="15.75" x14ac:dyDescent="0.25">
      <c r="A5278" s="14">
        <v>1087121273</v>
      </c>
      <c r="B5278" s="2">
        <v>46126.761999074071</v>
      </c>
      <c r="C5278" s="3" t="str">
        <f>IFERROR(VLOOKUP(A5278,'Base Prueba'!A:C,3,),"NO REGISTRA")</f>
        <v>MAYRA ALEJANDRA CASTILLO ARBOLEDA</v>
      </c>
      <c r="D5278" s="4" t="str">
        <f>IFERROR(VLOOKUP(A5278,'Base Prueba'!A:D,4,),"NO REGISTRA")</f>
        <v>APOYO INTEGRAL DE MERCADEO</v>
      </c>
      <c r="E5278" s="5" t="str">
        <f>IFERROR(VLOOKUP(A5278,'Base Prueba'!A:E,5,),"NO REGISTRA")</f>
        <v>CENTRO DE GESTION DOCUMENTAL</v>
      </c>
    </row>
    <row r="5279" spans="1:5" ht="15.75" x14ac:dyDescent="0.25">
      <c r="A5279" s="14">
        <v>1000457706</v>
      </c>
      <c r="B5279" s="2">
        <v>46126.762062847221</v>
      </c>
      <c r="C5279" s="3" t="str">
        <f>IFERROR(VLOOKUP(A5279,'Base Prueba'!A:C,3,),"NO REGISTRA")</f>
        <v>CRISTIAN DANILO ARROYO SANABRIA</v>
      </c>
      <c r="D5279" s="4" t="str">
        <f>IFERROR(VLOOKUP(A5279,'Base Prueba'!A:D,4,),"NO REGISTRA")</f>
        <v>AUXILIAR CONTABLE</v>
      </c>
      <c r="E5279" s="5" t="str">
        <f>IFERROR(VLOOKUP(A5279,'Base Prueba'!A:E,5,),"NO REGISTRA")</f>
        <v>AREA FINANCIERA Y CONTABLE</v>
      </c>
    </row>
    <row r="5280" spans="1:5" ht="15.75" x14ac:dyDescent="0.25">
      <c r="A5280" s="14">
        <v>1026599257</v>
      </c>
      <c r="B5280" s="2">
        <v>46126.766883449076</v>
      </c>
      <c r="C5280" s="3" t="str">
        <f>IFERROR(VLOOKUP(A5280,'Base Prueba'!A:C,3,),"NO REGISTRA")</f>
        <v>YESENIA PAOLA PINEDA HURTADO</v>
      </c>
      <c r="D5280" s="4" t="str">
        <f>IFERROR(VLOOKUP(A5280,'Base Prueba'!A:D,4,),"NO REGISTRA")</f>
        <v>LIDER DE COMPRAS</v>
      </c>
      <c r="E5280" s="5" t="str">
        <f>IFERROR(VLOOKUP(A5280,'Base Prueba'!A:E,5,),"NO REGISTRA")</f>
        <v>AREA ADMINISTRATIVA</v>
      </c>
    </row>
    <row r="5281" spans="1:5" ht="15.75" x14ac:dyDescent="0.25">
      <c r="A5281" s="14">
        <v>1013101788</v>
      </c>
      <c r="B5281" s="2">
        <v>46126.770971412036</v>
      </c>
      <c r="C5281" s="3" t="str">
        <f>IFERROR(VLOOKUP(A5281,'Base Prueba'!A:C,3,),"NO REGISTRA")</f>
        <v>SARA TANGARIFE MONTOYA</v>
      </c>
      <c r="D5281" s="4" t="str">
        <f>IFERROR(VLOOKUP(A5281,'Base Prueba'!A:D,4,),"NO REGISTRA")</f>
        <v>APRENDIZ UNIVERSITARIO</v>
      </c>
      <c r="E5281" s="5" t="str">
        <f>IFERROR(VLOOKUP(A5281,'Base Prueba'!A:E,5,),"NO REGISTRA")</f>
        <v>OFICINA DE MERCADEO</v>
      </c>
    </row>
    <row r="5282" spans="1:5" ht="15.75" x14ac:dyDescent="0.25">
      <c r="A5282" s="14">
        <v>1012426741</v>
      </c>
      <c r="B5282" s="2">
        <v>46126.771242939816</v>
      </c>
      <c r="C5282" s="3" t="str">
        <f>IFERROR(VLOOKUP(A5282,'Base Prueba'!A:C,3,),"NO REGISTRA")</f>
        <v>CRISTIAN FABIAN ROJAS SANCENO</v>
      </c>
      <c r="D5282" s="4" t="str">
        <f>IFERROR(VLOOKUP(A5282,'Base Prueba'!A:D,4,),"NO REGISTRA")</f>
        <v>AUXILIAR DE REINTEGROS</v>
      </c>
      <c r="E5282" s="5" t="str">
        <f>IFERROR(VLOOKUP(A5282,'Base Prueba'!A:E,5,),"NO REGISTRA")</f>
        <v>DIRECCION DE BIENESTAR INSTITUCIONAL</v>
      </c>
    </row>
    <row r="5283" spans="1:5" ht="15.75" x14ac:dyDescent="0.25">
      <c r="A5283" s="14">
        <v>1000046533</v>
      </c>
      <c r="B5283" s="2">
        <v>46126.771810185186</v>
      </c>
      <c r="C5283" s="3" t="str">
        <f>IFERROR(VLOOKUP(A5283,'Base Prueba'!A:C,3,),"NO REGISTRA")</f>
        <v>ERIKA JULIETH VALDERRAMA SANCHEZ</v>
      </c>
      <c r="D5283" s="4" t="str">
        <f>IFERROR(VLOOKUP(A5283,'Base Prueba'!A:D,4,),"NO REGISTRA")</f>
        <v>PROMOTOR CALL CENTER</v>
      </c>
      <c r="E5283" s="5" t="str">
        <f>IFERROR(VLOOKUP(A5283,'Base Prueba'!A:E,5,),"NO REGISTRA")</f>
        <v>OFICINA DE MERCADEO</v>
      </c>
    </row>
    <row r="5284" spans="1:5" ht="15.75" x14ac:dyDescent="0.25">
      <c r="A5284" s="14">
        <v>52472386</v>
      </c>
      <c r="B5284" s="2">
        <v>46126.77620925926</v>
      </c>
      <c r="C5284" s="3" t="str">
        <f>IFERROR(VLOOKUP(A5284,'Base Prueba'!A:C,3,),"NO REGISTRA")</f>
        <v>ADRIANA MARCELA MORALES PARDO</v>
      </c>
      <c r="D5284" s="4" t="str">
        <f>IFERROR(VLOOKUP(A5284,'Base Prueba'!A:D,4,),"NO REGISTRA")</f>
        <v>PROMOTOR CALL CENTER</v>
      </c>
      <c r="E5284" s="5" t="str">
        <f>IFERROR(VLOOKUP(A5284,'Base Prueba'!A:E,5,),"NO REGISTRA")</f>
        <v>OFICINA DE MERCADEO</v>
      </c>
    </row>
    <row r="5285" spans="1:5" ht="15.75" x14ac:dyDescent="0.25">
      <c r="A5285" s="14">
        <v>52175674</v>
      </c>
      <c r="B5285" s="2">
        <v>46126.77743101852</v>
      </c>
      <c r="C5285" s="3" t="str">
        <f>IFERROR(VLOOKUP(A5285,'Base Prueba'!A:C,3,),"NO REGISTRA")</f>
        <v>LUZ YANETH GOMEZ AREVALO</v>
      </c>
      <c r="D5285" s="4" t="str">
        <f>IFERROR(VLOOKUP(A5285,'Base Prueba'!A:D,4,),"NO REGISTRA")</f>
        <v>COORDINADORA DE ADMISIONES</v>
      </c>
      <c r="E5285" s="5" t="str">
        <f>IFERROR(VLOOKUP(A5285,'Base Prueba'!A:E,5,),"NO REGISTRA")</f>
        <v>OFICINA DE MERCADEO</v>
      </c>
    </row>
    <row r="5286" spans="1:5" ht="15.75" x14ac:dyDescent="0.25">
      <c r="A5286" s="14">
        <v>1019105003</v>
      </c>
      <c r="B5286" s="2">
        <v>46126.7778875</v>
      </c>
      <c r="C5286" s="3" t="str">
        <f>IFERROR(VLOOKUP(A5286,'Base Prueba'!A:C,3,),"NO REGISTRA")</f>
        <v>DAISY JULIETH GASPAR MORENO</v>
      </c>
      <c r="D5286" s="4" t="str">
        <f>IFERROR(VLOOKUP(A5286,'Base Prueba'!A:D,4,),"NO REGISTRA")</f>
        <v>PROMOTOR CALL CENTER</v>
      </c>
      <c r="E5286" s="5" t="str">
        <f>IFERROR(VLOOKUP(A5286,'Base Prueba'!A:E,5,),"NO REGISTRA")</f>
        <v>OFICINA DE MERCADEO</v>
      </c>
    </row>
    <row r="5287" spans="1:5" ht="15.75" x14ac:dyDescent="0.25">
      <c r="A5287" s="14">
        <v>53089882</v>
      </c>
      <c r="B5287" s="2">
        <v>46126.778235069447</v>
      </c>
      <c r="C5287" s="3" t="str">
        <f>IFERROR(VLOOKUP(A5287,'Base Prueba'!A:C,3,),"NO REGISTRA")</f>
        <v>MARIA JOHANA ESCAMILLA MARTINEZ</v>
      </c>
      <c r="D5287" s="4" t="str">
        <f>IFERROR(VLOOKUP(A5287,'Base Prueba'!A:D,4,),"NO REGISTRA")</f>
        <v>PROMOTOR DE INFORMACIÓN</v>
      </c>
      <c r="E5287" s="5" t="str">
        <f>IFERROR(VLOOKUP(A5287,'Base Prueba'!A:E,5,),"NO REGISTRA")</f>
        <v>OFICINA DE MERCADEO</v>
      </c>
    </row>
    <row r="5288" spans="1:5" ht="15.75" x14ac:dyDescent="0.25">
      <c r="A5288" s="14">
        <v>1018413529</v>
      </c>
      <c r="B5288" s="2">
        <v>46126.778264236113</v>
      </c>
      <c r="C5288" s="3" t="str">
        <f>IFERROR(VLOOKUP(A5288,'Base Prueba'!A:C,3,),"NO REGISTRA")</f>
        <v>FRANCY STELLA CHARRY MORENO</v>
      </c>
      <c r="D5288" s="4" t="str">
        <f>IFERROR(VLOOKUP(A5288,'Base Prueba'!A:D,4,),"NO REGISTRA")</f>
        <v>PROMOTOR COMERCIAL DEL CEA</v>
      </c>
      <c r="E5288" s="5" t="str">
        <f>IFERROR(VLOOKUP(A5288,'Base Prueba'!A:E,5,),"NO REGISTRA")</f>
        <v>OFICINA DE MERCADEO</v>
      </c>
    </row>
    <row r="5289" spans="1:5" ht="15.75" x14ac:dyDescent="0.25">
      <c r="A5289" s="14">
        <v>1033709056</v>
      </c>
      <c r="B5289" s="2">
        <v>46126.778745949072</v>
      </c>
      <c r="C5289" s="3" t="str">
        <f>IFERROR(VLOOKUP(A5289,'Base Prueba'!A:C,3,),"NO REGISTRA")</f>
        <v>YEIMY ALEXANDRA RODRIGUEZ PALACIO</v>
      </c>
      <c r="D5289" s="4" t="str">
        <f>IFERROR(VLOOKUP(A5289,'Base Prueba'!A:D,4,),"NO REGISTRA")</f>
        <v>PROMOTOR CALL CENTER</v>
      </c>
      <c r="E5289" s="5" t="str">
        <f>IFERROR(VLOOKUP(A5289,'Base Prueba'!A:E,5,),"NO REGISTRA")</f>
        <v>OFICINA DE MERCADEO</v>
      </c>
    </row>
    <row r="5290" spans="1:5" ht="15.75" x14ac:dyDescent="0.25">
      <c r="A5290" s="14">
        <v>1032407386</v>
      </c>
      <c r="B5290" s="2">
        <v>46126.781328124998</v>
      </c>
      <c r="C5290" s="3" t="str">
        <f>IFERROR(VLOOKUP(A5290,'Base Prueba'!A:C,3,),"NO REGISTRA")</f>
        <v>GINA PAOLA BAEZ GALVIS</v>
      </c>
      <c r="D5290" s="4" t="str">
        <f>IFERROR(VLOOKUP(A5290,'Base Prueba'!A:D,4,),"NO REGISTRA")</f>
        <v>PROMOTOR CALL CENTER</v>
      </c>
      <c r="E5290" s="5" t="str">
        <f>IFERROR(VLOOKUP(A5290,'Base Prueba'!A:E,5,),"NO REGISTRA")</f>
        <v>OFICINA DE MERCADEO</v>
      </c>
    </row>
    <row r="5291" spans="1:5" ht="15.75" x14ac:dyDescent="0.25">
      <c r="A5291" s="14">
        <v>1018414290</v>
      </c>
      <c r="B5291" s="2">
        <v>46126.78142777778</v>
      </c>
      <c r="C5291" s="3" t="str">
        <f>IFERROR(VLOOKUP(A5291,'Base Prueba'!A:C,3,),"NO REGISTRA")</f>
        <v>AMANDA LISBETH RODRIGUEZ LEON</v>
      </c>
      <c r="D5291" s="4" t="str">
        <f>IFERROR(VLOOKUP(A5291,'Base Prueba'!A:D,4,),"NO REGISTRA")</f>
        <v>PROMOTOR CALL CENTER</v>
      </c>
      <c r="E5291" s="5" t="str">
        <f>IFERROR(VLOOKUP(A5291,'Base Prueba'!A:E,5,),"NO REGISTRA")</f>
        <v>OFICINA DE MERCADEO</v>
      </c>
    </row>
    <row r="5292" spans="1:5" ht="15.75" x14ac:dyDescent="0.25">
      <c r="A5292" s="14">
        <v>1032469638</v>
      </c>
      <c r="B5292" s="2">
        <v>46126.782742476855</v>
      </c>
      <c r="C5292" s="3" t="str">
        <f>IFERROR(VLOOKUP(A5292,'Base Prueba'!A:C,3,),"NO REGISTRA")</f>
        <v>MAICOL JARBEY GUALTEROS CASTAÑEDA</v>
      </c>
      <c r="D5292" s="4" t="str">
        <f>IFERROR(VLOOKUP(A5292,'Base Prueba'!A:D,4,),"NO REGISTRA")</f>
        <v>COORDINADOR DEL SISTEMA INTERNO DE ASEGURAMIENTO DE LA CALIDAD - SIAC</v>
      </c>
      <c r="E5292" s="5" t="str">
        <f>IFERROR(VLOOKUP(A5292,'Base Prueba'!A:E,5,),"NO REGISTRA")</f>
        <v>OFICINA DE PLANEACION Y GESTION DE LA CALIDAD</v>
      </c>
    </row>
    <row r="5293" spans="1:5" ht="15.75" x14ac:dyDescent="0.25">
      <c r="A5293" s="14">
        <v>1014196857</v>
      </c>
      <c r="B5293" s="2">
        <v>46126.785686111114</v>
      </c>
      <c r="C5293" s="3" t="str">
        <f>IFERROR(VLOOKUP(A5293,'Base Prueba'!A:C,3,),"NO REGISTRA")</f>
        <v>CARLOS ANDRES JIMENEZ PARDO</v>
      </c>
      <c r="D5293" s="4" t="str">
        <f>IFERROR(VLOOKUP(A5293,'Base Prueba'!A:D,4,),"NO REGISTRA")</f>
        <v>COORDINADOR DE MARKETING DIGITAL</v>
      </c>
      <c r="E5293" s="5" t="str">
        <f>IFERROR(VLOOKUP(A5293,'Base Prueba'!A:E,5,),"NO REGISTRA")</f>
        <v>OFICINA DE MERCADEO</v>
      </c>
    </row>
    <row r="5294" spans="1:5" ht="15.75" x14ac:dyDescent="0.25">
      <c r="A5294" s="14">
        <v>1014196857</v>
      </c>
      <c r="B5294" s="2">
        <v>46126.785692245372</v>
      </c>
      <c r="C5294" s="3" t="str">
        <f>IFERROR(VLOOKUP(A5294,'Base Prueba'!A:C,3,),"NO REGISTRA")</f>
        <v>CARLOS ANDRES JIMENEZ PARDO</v>
      </c>
      <c r="D5294" s="4" t="str">
        <f>IFERROR(VLOOKUP(A5294,'Base Prueba'!A:D,4,),"NO REGISTRA")</f>
        <v>COORDINADOR DE MARKETING DIGITAL</v>
      </c>
      <c r="E5294" s="5" t="str">
        <f>IFERROR(VLOOKUP(A5294,'Base Prueba'!A:E,5,),"NO REGISTRA")</f>
        <v>OFICINA DE MERCADEO</v>
      </c>
    </row>
    <row r="5295" spans="1:5" ht="15.75" x14ac:dyDescent="0.25">
      <c r="A5295" s="14">
        <v>28798349</v>
      </c>
      <c r="B5295" s="2">
        <v>46126.789004050923</v>
      </c>
      <c r="C5295" s="3" t="str">
        <f>IFERROR(VLOOKUP(A5295,'Base Prueba'!A:C,3,),"NO REGISTRA")</f>
        <v>MARTHA ISABEL TOVAR WILLIAMS</v>
      </c>
      <c r="D5295" s="4" t="str">
        <f>IFERROR(VLOOKUP(A5295,'Base Prueba'!A:D,4,),"NO REGISTRA")</f>
        <v>PROMOTOR CALL CENTER</v>
      </c>
      <c r="E5295" s="5" t="str">
        <f>IFERROR(VLOOKUP(A5295,'Base Prueba'!A:E,5,),"NO REGISTRA")</f>
        <v>OFICINA DE MERCADEO</v>
      </c>
    </row>
    <row r="5296" spans="1:5" ht="15.75" x14ac:dyDescent="0.25">
      <c r="A5296" s="14">
        <v>1023961952</v>
      </c>
      <c r="B5296" s="2">
        <v>46126.789095949076</v>
      </c>
      <c r="C5296" s="3" t="str">
        <f>IFERROR(VLOOKUP(A5296,'Base Prueba'!A:C,3,),"NO REGISTRA")</f>
        <v>ALEJANDRO PINZON MERCHAN</v>
      </c>
      <c r="D5296" s="4" t="str">
        <f>IFERROR(VLOOKUP(A5296,'Base Prueba'!A:D,4,),"NO REGISTRA")</f>
        <v>PROMOTOR CALL CENTER</v>
      </c>
      <c r="E5296" s="5" t="str">
        <f>IFERROR(VLOOKUP(A5296,'Base Prueba'!A:E,5,),"NO REGISTRA")</f>
        <v>OFICINA DE MERCADEO</v>
      </c>
    </row>
    <row r="5297" spans="1:5" ht="15.75" x14ac:dyDescent="0.25">
      <c r="A5297" s="14">
        <v>80234243</v>
      </c>
      <c r="B5297" s="2">
        <v>46126.807035532409</v>
      </c>
      <c r="C5297" s="3" t="str">
        <f>IFERROR(VLOOKUP(A5297,'Base Prueba'!A:C,3,),"NO REGISTRA")</f>
        <v>ARGENIS MARTINEZ MARTINEZ</v>
      </c>
      <c r="D5297" s="4" t="str">
        <f>IFERROR(VLOOKUP(A5297,'Base Prueba'!A:D,4,),"NO REGISTRA")</f>
        <v>LIDER CALL CENTER</v>
      </c>
      <c r="E5297" s="5" t="str">
        <f>IFERROR(VLOOKUP(A5297,'Base Prueba'!A:E,5,),"NO REGISTRA")</f>
        <v>OFICINA DE MERCADEO</v>
      </c>
    </row>
    <row r="5298" spans="1:5" ht="15.75" x14ac:dyDescent="0.25">
      <c r="A5298" s="14">
        <v>1000604979</v>
      </c>
      <c r="B5298" s="2">
        <v>46126.834627430559</v>
      </c>
      <c r="C5298" s="3" t="str">
        <f>IFERROR(VLOOKUP(A5298,'Base Prueba'!A:C,3,),"NO REGISTRA")</f>
        <v>JULIETH TATIANA PARDO PINTO</v>
      </c>
      <c r="D5298" s="4" t="str">
        <f>IFERROR(VLOOKUP(A5298,'Base Prueba'!A:D,4,),"NO REGISTRA")</f>
        <v>AUXILIAR JURIDICO</v>
      </c>
      <c r="E5298" s="5" t="str">
        <f>IFERROR(VLOOKUP(A5298,'Base Prueba'!A:E,5,),"NO REGISTRA")</f>
        <v>SECRETARIA GENERAL</v>
      </c>
    </row>
    <row r="5299" spans="1:5" ht="15.75" x14ac:dyDescent="0.25">
      <c r="A5299" s="14">
        <v>1000593372</v>
      </c>
      <c r="B5299" s="2">
        <v>46126.834642361115</v>
      </c>
      <c r="C5299" s="3" t="str">
        <f>IFERROR(VLOOKUP(A5299,'Base Prueba'!A:C,3,),"NO REGISTRA")</f>
        <v>LAURA SOFIA CHAPARRO LOPEZ</v>
      </c>
      <c r="D5299" s="4" t="str">
        <f>IFERROR(VLOOKUP(A5299,'Base Prueba'!A:D,4,),"NO REGISTRA")</f>
        <v>AUXILIAR JURIDICO</v>
      </c>
      <c r="E5299" s="5" t="str">
        <f>IFERROR(VLOOKUP(A5299,'Base Prueba'!A:E,5,),"NO REGISTRA")</f>
        <v>SECRETARIA GENERAL</v>
      </c>
    </row>
    <row r="5300" spans="1:5" ht="15.75" x14ac:dyDescent="0.25">
      <c r="A5300" s="14">
        <v>1013616244</v>
      </c>
      <c r="B5300" s="2">
        <v>46126.836442824075</v>
      </c>
      <c r="C5300" s="3" t="str">
        <f>IFERROR(VLOOKUP(A5300,'Base Prueba'!A:C,3,),"NO REGISTRA")</f>
        <v>DIANA CAROLINA MARIN BETANCOURT</v>
      </c>
      <c r="D5300" s="4" t="str">
        <f>IFERROR(VLOOKUP(A5300,'Base Prueba'!A:D,4,),"NO REGISTRA")</f>
        <v>AUXILIAR ADMINISTRATIVO</v>
      </c>
      <c r="E5300" s="5" t="str">
        <f>IFERROR(VLOOKUP(A5300,'Base Prueba'!A:E,5,),"NO REGISTRA")</f>
        <v>REGISTRO Y CONTROL ACADEMICO</v>
      </c>
    </row>
    <row r="5301" spans="1:5" ht="15.75" x14ac:dyDescent="0.25">
      <c r="A5301" s="14">
        <v>1000324729</v>
      </c>
      <c r="B5301" s="2">
        <v>46126.837153703702</v>
      </c>
      <c r="C5301" s="3" t="str">
        <f>IFERROR(VLOOKUP(A5301,'Base Prueba'!A:C,3,),"NO REGISTRA")</f>
        <v>ANYIE VANESSA TINOCO CAMACHO</v>
      </c>
      <c r="D5301" s="4" t="str">
        <f>IFERROR(VLOOKUP(A5301,'Base Prueba'!A:D,4,),"NO REGISTRA")</f>
        <v>LIDER DE REGISTRO Y CONTROL</v>
      </c>
      <c r="E5301" s="5" t="str">
        <f>IFERROR(VLOOKUP(A5301,'Base Prueba'!A:E,5,),"NO REGISTRA")</f>
        <v>REGISTRO Y CONTROL ACADEMICO</v>
      </c>
    </row>
    <row r="5302" spans="1:5" ht="15.75" x14ac:dyDescent="0.25">
      <c r="A5302" s="14">
        <v>1033820146</v>
      </c>
      <c r="B5302" s="2">
        <v>46126.837252662037</v>
      </c>
      <c r="C5302" s="3" t="str">
        <f>IFERROR(VLOOKUP(A5302,'Base Prueba'!A:C,3,),"NO REGISTRA")</f>
        <v>JULIETH ALEXANDRA BUSTAMANTE RUIZ</v>
      </c>
      <c r="D5302" s="4" t="str">
        <f>IFERROR(VLOOKUP(A5302,'Base Prueba'!A:D,4,),"NO REGISTRA")</f>
        <v>AUXILIAR ADMINISTRATIVO</v>
      </c>
      <c r="E5302" s="5" t="str">
        <f>IFERROR(VLOOKUP(A5302,'Base Prueba'!A:E,5,),"NO REGISTRA")</f>
        <v>REGISTRO Y CONTROL ACADEMICO</v>
      </c>
    </row>
    <row r="5303" spans="1:5" ht="15.75" x14ac:dyDescent="0.25">
      <c r="A5303" s="14">
        <v>52474489</v>
      </c>
      <c r="B5303" s="2">
        <v>46126.837331134258</v>
      </c>
      <c r="C5303" s="3" t="str">
        <f>IFERROR(VLOOKUP(A5303,'Base Prueba'!A:C,3,),"NO REGISTRA")</f>
        <v>ADRIANA JIMENA SOTO BOCANEGRA</v>
      </c>
      <c r="D5303" s="4" t="str">
        <f>IFERROR(VLOOKUP(A5303,'Base Prueba'!A:D,4,),"NO REGISTRA")</f>
        <v>COORDINADOR DE LA OFICINA DE REGISTRO Y CONTROL</v>
      </c>
      <c r="E5303" s="5" t="str">
        <f>IFERROR(VLOOKUP(A5303,'Base Prueba'!A:E,5,),"NO REGISTRA")</f>
        <v>REGISTRO Y CONTROL ACADEMICO</v>
      </c>
    </row>
    <row r="5304" spans="1:5" ht="15.75" x14ac:dyDescent="0.25">
      <c r="A5304" s="14">
        <v>1087121273</v>
      </c>
      <c r="B5304" s="2">
        <v>46127.30934803241</v>
      </c>
      <c r="C5304" s="3" t="str">
        <f>IFERROR(VLOOKUP(A5304,'Base Prueba'!A:C,3,),"NO REGISTRA")</f>
        <v>MAYRA ALEJANDRA CASTILLO ARBOLEDA</v>
      </c>
      <c r="D5304" s="4" t="str">
        <f>IFERROR(VLOOKUP(A5304,'Base Prueba'!A:D,4,),"NO REGISTRA")</f>
        <v>APOYO INTEGRAL DE MERCADEO</v>
      </c>
      <c r="E5304" s="5" t="str">
        <f>IFERROR(VLOOKUP(A5304,'Base Prueba'!A:E,5,),"NO REGISTRA")</f>
        <v>CENTRO DE GESTION DOCUMENTAL</v>
      </c>
    </row>
    <row r="5305" spans="1:5" ht="15.75" x14ac:dyDescent="0.25">
      <c r="A5305" s="14">
        <v>1024512067</v>
      </c>
      <c r="B5305" s="2">
        <v>46127.314486574076</v>
      </c>
      <c r="C5305" s="3" t="str">
        <f>IFERROR(VLOOKUP(A5305,'Base Prueba'!A:C,3,),"NO REGISTRA")</f>
        <v>CINDY GIOVANA SALGAR GOMEZ</v>
      </c>
      <c r="D5305" s="4" t="str">
        <f>IFERROR(VLOOKUP(A5305,'Base Prueba'!A:D,4,),"NO REGISTRA")</f>
        <v>COORDINADOR DEL SISTEMA INTEGRADO DE GESTION INSTITUCIONAL - SIGI</v>
      </c>
      <c r="E5305" s="5" t="str">
        <f>IFERROR(VLOOKUP(A5305,'Base Prueba'!A:E,5,),"NO REGISTRA")</f>
        <v>OFICINA DE PLANEACION Y GESTION DE LA CALIDAD</v>
      </c>
    </row>
    <row r="5306" spans="1:5" ht="15.75" x14ac:dyDescent="0.25">
      <c r="A5306" s="14">
        <v>1013616244</v>
      </c>
      <c r="B5306" s="2">
        <v>46127.318446527781</v>
      </c>
      <c r="C5306" s="3" t="str">
        <f>IFERROR(VLOOKUP(A5306,'Base Prueba'!A:C,3,),"NO REGISTRA")</f>
        <v>DIANA CAROLINA MARIN BETANCOURT</v>
      </c>
      <c r="D5306" s="4" t="str">
        <f>IFERROR(VLOOKUP(A5306,'Base Prueba'!A:D,4,),"NO REGISTRA")</f>
        <v>AUXILIAR ADMINISTRATIVO</v>
      </c>
      <c r="E5306" s="5" t="str">
        <f>IFERROR(VLOOKUP(A5306,'Base Prueba'!A:E,5,),"NO REGISTRA")</f>
        <v>REGISTRO Y CONTROL ACADEMICO</v>
      </c>
    </row>
    <row r="5307" spans="1:5" ht="15.75" x14ac:dyDescent="0.25">
      <c r="A5307" s="14">
        <v>1000324729</v>
      </c>
      <c r="B5307" s="2">
        <v>46127.338369907404</v>
      </c>
      <c r="C5307" s="3" t="str">
        <f>IFERROR(VLOOKUP(A5307,'Base Prueba'!A:C,3,),"NO REGISTRA")</f>
        <v>ANYIE VANESSA TINOCO CAMACHO</v>
      </c>
      <c r="D5307" s="4" t="str">
        <f>IFERROR(VLOOKUP(A5307,'Base Prueba'!A:D,4,),"NO REGISTRA")</f>
        <v>LIDER DE REGISTRO Y CONTROL</v>
      </c>
      <c r="E5307" s="5" t="str">
        <f>IFERROR(VLOOKUP(A5307,'Base Prueba'!A:E,5,),"NO REGISTRA")</f>
        <v>REGISTRO Y CONTROL ACADEMICO</v>
      </c>
    </row>
    <row r="5308" spans="1:5" ht="15.75" x14ac:dyDescent="0.25">
      <c r="A5308" s="14">
        <v>80191732</v>
      </c>
      <c r="B5308" s="2">
        <v>46127.340472569442</v>
      </c>
      <c r="C5308" s="3" t="str">
        <f>IFERROR(VLOOKUP(A5308,'Base Prueba'!A:C,3,),"NO REGISTRA")</f>
        <v>DANIEL MAURICIO ZAMBRANO TUNJANO</v>
      </c>
      <c r="D5308" s="4" t="str">
        <f>IFERROR(VLOOKUP(A5308,'Base Prueba'!A:D,4,),"NO REGISTRA")</f>
        <v>COORDINADOR DE DISEÑO E IMAGEN INSTITUCIONAL</v>
      </c>
      <c r="E5308" s="5" t="str">
        <f>IFERROR(VLOOKUP(A5308,'Base Prueba'!A:E,5,),"NO REGISTRA")</f>
        <v>OFICINA DE MERCADEO</v>
      </c>
    </row>
    <row r="5309" spans="1:5" ht="15.75" x14ac:dyDescent="0.25">
      <c r="A5309" s="14">
        <v>1000257136</v>
      </c>
      <c r="B5309" s="2">
        <v>46127.340788310183</v>
      </c>
      <c r="C5309" s="3" t="str">
        <f>IFERROR(VLOOKUP(A5309,'Base Prueba'!A:C,3,),"NO REGISTRA")</f>
        <v>FRANCI VALENTINA CANO PUENTES</v>
      </c>
      <c r="D5309" s="4" t="str">
        <f>IFERROR(VLOOKUP(A5309,'Base Prueba'!A:D,4,),"NO REGISTRA")</f>
        <v>AUXILIAR CONTABLE</v>
      </c>
      <c r="E5309" s="5" t="str">
        <f>IFERROR(VLOOKUP(A5309,'Base Prueba'!A:E,5,),"NO REGISTRA")</f>
        <v>AREA FINANCIERA Y CONTABLE</v>
      </c>
    </row>
    <row r="5310" spans="1:5" ht="15.75" x14ac:dyDescent="0.25">
      <c r="A5310" s="14">
        <v>1013098430</v>
      </c>
      <c r="B5310" s="2">
        <v>46127.342831365742</v>
      </c>
      <c r="C5310" s="3" t="str">
        <f>IFERROR(VLOOKUP(A5310,'Base Prueba'!A:C,3,),"NO REGISTRA")</f>
        <v>ANDRES FELIPE LOPEZ ROMERO</v>
      </c>
      <c r="D5310" s="4" t="str">
        <f>IFERROR(VLOOKUP(A5310,'Base Prueba'!A:D,4,),"NO REGISTRA")</f>
        <v>APRENDIZ UNIVERSITARIO</v>
      </c>
      <c r="E5310" s="5" t="str">
        <f>IFERROR(VLOOKUP(A5310,'Base Prueba'!A:E,5,),"NO REGISTRA")</f>
        <v>OFICINA DE MERCADEO</v>
      </c>
    </row>
    <row r="5311" spans="1:5" ht="15.75" x14ac:dyDescent="0.25">
      <c r="A5311" s="14">
        <v>1010184333</v>
      </c>
      <c r="B5311" s="2">
        <v>46127.345183217592</v>
      </c>
      <c r="C5311" s="3" t="str">
        <f>IFERROR(VLOOKUP(A5311,'Base Prueba'!A:C,3,),"NO REGISTRA")</f>
        <v>AKON ANDRES GARZON ALVAREZ</v>
      </c>
      <c r="D5311" s="4" t="str">
        <f>IFERROR(VLOOKUP(A5311,'Base Prueba'!A:D,4,),"NO REGISTRA")</f>
        <v>APRENDIZ UNIVERSITARIO</v>
      </c>
      <c r="E5311" s="5" t="str">
        <f>IFERROR(VLOOKUP(A5311,'Base Prueba'!A:E,5,),"NO REGISTRA")</f>
        <v>SECRETARIA GENERAL</v>
      </c>
    </row>
    <row r="5312" spans="1:5" ht="15.75" x14ac:dyDescent="0.25">
      <c r="A5312" s="14">
        <v>1014977624</v>
      </c>
      <c r="B5312" s="2">
        <v>46127.345566435186</v>
      </c>
      <c r="C5312" s="3" t="str">
        <f>IFERROR(VLOOKUP(A5312,'Base Prueba'!A:C,3,),"NO REGISTRA")</f>
        <v>NICCOLE VALENTINA HERNANDEZ MALAVER</v>
      </c>
      <c r="D5312" s="4" t="str">
        <f>IFERROR(VLOOKUP(A5312,'Base Prueba'!A:D,4,),"NO REGISTRA")</f>
        <v>APRENDIZ UNIVERSITARIO</v>
      </c>
      <c r="E5312" s="5" t="str">
        <f>IFERROR(VLOOKUP(A5312,'Base Prueba'!A:E,5,),"NO REGISTRA")</f>
        <v>AREA FINANCIERA Y CONTABLE</v>
      </c>
    </row>
    <row r="5313" spans="1:5" ht="15.75" x14ac:dyDescent="0.25">
      <c r="A5313" s="14">
        <v>80234243</v>
      </c>
      <c r="B5313" s="2">
        <v>46127.345880671295</v>
      </c>
      <c r="C5313" s="3" t="str">
        <f>IFERROR(VLOOKUP(A5313,'Base Prueba'!A:C,3,),"NO REGISTRA")</f>
        <v>ARGENIS MARTINEZ MARTINEZ</v>
      </c>
      <c r="D5313" s="4" t="str">
        <f>IFERROR(VLOOKUP(A5313,'Base Prueba'!A:D,4,),"NO REGISTRA")</f>
        <v>LIDER CALL CENTER</v>
      </c>
      <c r="E5313" s="5" t="str">
        <f>IFERROR(VLOOKUP(A5313,'Base Prueba'!A:E,5,),"NO REGISTRA")</f>
        <v>OFICINA DE MERCADEO</v>
      </c>
    </row>
    <row r="5314" spans="1:5" ht="15.75" x14ac:dyDescent="0.25">
      <c r="A5314" s="14">
        <v>80234243</v>
      </c>
      <c r="B5314" s="2">
        <v>46127.345895601851</v>
      </c>
      <c r="C5314" s="3" t="str">
        <f>IFERROR(VLOOKUP(A5314,'Base Prueba'!A:C,3,),"NO REGISTRA")</f>
        <v>ARGENIS MARTINEZ MARTINEZ</v>
      </c>
      <c r="D5314" s="4" t="str">
        <f>IFERROR(VLOOKUP(A5314,'Base Prueba'!A:D,4,),"NO REGISTRA")</f>
        <v>LIDER CALL CENTER</v>
      </c>
      <c r="E5314" s="5" t="str">
        <f>IFERROR(VLOOKUP(A5314,'Base Prueba'!A:E,5,),"NO REGISTRA")</f>
        <v>OFICINA DE MERCADEO</v>
      </c>
    </row>
    <row r="5315" spans="1:5" ht="15.75" x14ac:dyDescent="0.25">
      <c r="A5315" s="14">
        <v>1014266838</v>
      </c>
      <c r="B5315" s="2">
        <v>46127.349247337967</v>
      </c>
      <c r="C5315" s="3" t="str">
        <f>IFERROR(VLOOKUP(A5315,'Base Prueba'!A:C,3,),"NO REGISTRA")</f>
        <v>JENNIFER ASTRID ROMERO HURTADO</v>
      </c>
      <c r="D5315" s="4" t="str">
        <f>IFERROR(VLOOKUP(A5315,'Base Prueba'!A:D,4,),"NO REGISTRA")</f>
        <v>LIDER DE RECAUDO</v>
      </c>
      <c r="E5315" s="5" t="str">
        <f>IFERROR(VLOOKUP(A5315,'Base Prueba'!A:E,5,),"NO REGISTRA")</f>
        <v>AREA FINANCIERA Y CONTABLE</v>
      </c>
    </row>
    <row r="5316" spans="1:5" ht="15.75" x14ac:dyDescent="0.25">
      <c r="A5316" s="14">
        <v>1014266838</v>
      </c>
      <c r="B5316" s="2">
        <v>46127.349270486113</v>
      </c>
      <c r="C5316" s="3" t="str">
        <f>IFERROR(VLOOKUP(A5316,'Base Prueba'!A:C,3,),"NO REGISTRA")</f>
        <v>JENNIFER ASTRID ROMERO HURTADO</v>
      </c>
      <c r="D5316" s="4" t="str">
        <f>IFERROR(VLOOKUP(A5316,'Base Prueba'!A:D,4,),"NO REGISTRA")</f>
        <v>LIDER DE RECAUDO</v>
      </c>
      <c r="E5316" s="5" t="str">
        <f>IFERROR(VLOOKUP(A5316,'Base Prueba'!A:E,5,),"NO REGISTRA")</f>
        <v>AREA FINANCIERA Y CONTABLE</v>
      </c>
    </row>
    <row r="5317" spans="1:5" ht="15.75" x14ac:dyDescent="0.25">
      <c r="A5317" s="14">
        <v>1023883232</v>
      </c>
      <c r="B5317" s="2">
        <v>46127.352142708332</v>
      </c>
      <c r="C5317" s="3" t="str">
        <f>IFERROR(VLOOKUP(A5317,'Base Prueba'!A:C,3,),"NO REGISTRA")</f>
        <v>MONICA ANDREA ACERO URBANO</v>
      </c>
      <c r="D5317" s="4" t="str">
        <f>IFERROR(VLOOKUP(A5317,'Base Prueba'!A:D,4,),"NO REGISTRA")</f>
        <v>APOYO INTEGRAL A GESTION HUMANA</v>
      </c>
      <c r="E5317" s="5" t="str">
        <f>IFERROR(VLOOKUP(A5317,'Base Prueba'!A:E,5,),"NO REGISTRA")</f>
        <v>DEPARTAMENTO DE GESTION HUMANA</v>
      </c>
    </row>
    <row r="5318" spans="1:5" ht="15.75" x14ac:dyDescent="0.25">
      <c r="A5318" s="14">
        <v>1014196857</v>
      </c>
      <c r="B5318" s="2">
        <v>46127.352988310187</v>
      </c>
      <c r="C5318" s="3" t="str">
        <f>IFERROR(VLOOKUP(A5318,'Base Prueba'!A:C,3,),"NO REGISTRA")</f>
        <v>CARLOS ANDRES JIMENEZ PARDO</v>
      </c>
      <c r="D5318" s="4" t="str">
        <f>IFERROR(VLOOKUP(A5318,'Base Prueba'!A:D,4,),"NO REGISTRA")</f>
        <v>COORDINADOR DE MARKETING DIGITAL</v>
      </c>
      <c r="E5318" s="5" t="str">
        <f>IFERROR(VLOOKUP(A5318,'Base Prueba'!A:E,5,),"NO REGISTRA")</f>
        <v>OFICINA DE MERCADEO</v>
      </c>
    </row>
    <row r="5319" spans="1:5" ht="15.75" x14ac:dyDescent="0.25">
      <c r="A5319" s="14">
        <v>1193457976</v>
      </c>
      <c r="B5319" s="2">
        <v>46127.353055902779</v>
      </c>
      <c r="C5319" s="3" t="str">
        <f>IFERROR(VLOOKUP(A5319,'Base Prueba'!A:C,3,),"NO REGISTRA")</f>
        <v>SEDENIS RIVAS ASPRILLA</v>
      </c>
      <c r="D5319" s="4" t="str">
        <f>IFERROR(VLOOKUP(A5319,'Base Prueba'!A:D,4,),"NO REGISTRA")</f>
        <v>APRENDIZ UNIVERSITARIO</v>
      </c>
      <c r="E5319" s="5" t="str">
        <f>IFERROR(VLOOKUP(A5319,'Base Prueba'!A:E,5,),"NO REGISTRA")</f>
        <v>DEPARTAMENTO DE GESTION HUMANA</v>
      </c>
    </row>
    <row r="5320" spans="1:5" ht="15.75" x14ac:dyDescent="0.25">
      <c r="A5320" s="14">
        <v>1000457706</v>
      </c>
      <c r="B5320" s="2">
        <v>46127.355112268517</v>
      </c>
      <c r="C5320" s="3" t="str">
        <f>IFERROR(VLOOKUP(A5320,'Base Prueba'!A:C,3,),"NO REGISTRA")</f>
        <v>CRISTIAN DANILO ARROYO SANABRIA</v>
      </c>
      <c r="D5320" s="4" t="str">
        <f>IFERROR(VLOOKUP(A5320,'Base Prueba'!A:D,4,),"NO REGISTRA")</f>
        <v>AUXILIAR CONTABLE</v>
      </c>
      <c r="E5320" s="5" t="str">
        <f>IFERROR(VLOOKUP(A5320,'Base Prueba'!A:E,5,),"NO REGISTRA")</f>
        <v>AREA FINANCIERA Y CONTABLE</v>
      </c>
    </row>
    <row r="5321" spans="1:5" ht="15.75" x14ac:dyDescent="0.25">
      <c r="A5321" s="14">
        <v>1049644802</v>
      </c>
      <c r="B5321" s="2">
        <v>46127.358428819447</v>
      </c>
      <c r="C5321" s="3" t="str">
        <f>IFERROR(VLOOKUP(A5321,'Base Prueba'!A:C,3,),"NO REGISTRA")</f>
        <v>DANIELA ALEXANDRA CIPAMOCHA BOSIGA</v>
      </c>
      <c r="D5321" s="4" t="str">
        <f>IFERROR(VLOOKUP(A5321,'Base Prueba'!A:D,4,),"NO REGISTRA")</f>
        <v>LIDER DE DATOS Y SERVICIOS</v>
      </c>
      <c r="E5321" s="5" t="str">
        <f>IFERROR(VLOOKUP(A5321,'Base Prueba'!A:E,5,),"NO REGISTRA")</f>
        <v>OFICINA DE PLANEACION Y GESTION DE LA CALIDAD</v>
      </c>
    </row>
    <row r="5322" spans="1:5" ht="15.75" x14ac:dyDescent="0.25">
      <c r="A5322" s="14">
        <v>1033709056</v>
      </c>
      <c r="B5322" s="2">
        <v>46127.363449305558</v>
      </c>
      <c r="C5322" s="3" t="str">
        <f>IFERROR(VLOOKUP(A5322,'Base Prueba'!A:C,3,),"NO REGISTRA")</f>
        <v>YEIMY ALEXANDRA RODRIGUEZ PALACIO</v>
      </c>
      <c r="D5322" s="4" t="str">
        <f>IFERROR(VLOOKUP(A5322,'Base Prueba'!A:D,4,),"NO REGISTRA")</f>
        <v>PROMOTOR CALL CENTER</v>
      </c>
      <c r="E5322" s="5" t="str">
        <f>IFERROR(VLOOKUP(A5322,'Base Prueba'!A:E,5,),"NO REGISTRA")</f>
        <v>OFICINA DE MERCADEO</v>
      </c>
    </row>
    <row r="5323" spans="1:5" ht="15.75" x14ac:dyDescent="0.25">
      <c r="A5323" s="14">
        <v>1033820146</v>
      </c>
      <c r="B5323" s="2">
        <v>46127.364610069446</v>
      </c>
      <c r="C5323" s="3" t="str">
        <f>IFERROR(VLOOKUP(A5323,'Base Prueba'!A:C,3,),"NO REGISTRA")</f>
        <v>JULIETH ALEXANDRA BUSTAMANTE RUIZ</v>
      </c>
      <c r="D5323" s="4" t="str">
        <f>IFERROR(VLOOKUP(A5323,'Base Prueba'!A:D,4,),"NO REGISTRA")</f>
        <v>AUXILIAR ADMINISTRATIVO</v>
      </c>
      <c r="E5323" s="5" t="str">
        <f>IFERROR(VLOOKUP(A5323,'Base Prueba'!A:E,5,),"NO REGISTRA")</f>
        <v>REGISTRO Y CONTROL ACADEMICO</v>
      </c>
    </row>
    <row r="5324" spans="1:5" ht="15.75" x14ac:dyDescent="0.25">
      <c r="A5324" s="14">
        <v>53932358</v>
      </c>
      <c r="B5324" s="2">
        <v>46127.364820949071</v>
      </c>
      <c r="C5324" s="3" t="str">
        <f>IFERROR(VLOOKUP(A5324,'Base Prueba'!A:C,3,),"NO REGISTRA")</f>
        <v>DIANA MADELEYNE GAONA RODRIGUEZ</v>
      </c>
      <c r="D5324" s="4" t="str">
        <f>IFERROR(VLOOKUP(A5324,'Base Prueba'!A:D,4,),"NO REGISTRA")</f>
        <v>CONTADOR</v>
      </c>
      <c r="E5324" s="5" t="str">
        <f>IFERROR(VLOOKUP(A5324,'Base Prueba'!A:E,5,),"NO REGISTRA")</f>
        <v>AREA FINANCIERA Y CONTABLE</v>
      </c>
    </row>
    <row r="5325" spans="1:5" ht="15.75" x14ac:dyDescent="0.25">
      <c r="A5325" s="14">
        <v>1014308296</v>
      </c>
      <c r="B5325" s="2">
        <v>46127.36770023148</v>
      </c>
      <c r="C5325" s="3" t="str">
        <f>IFERROR(VLOOKUP(A5325,'Base Prueba'!A:C,3,),"NO REGISTRA")</f>
        <v>DARLENE YULIANA MORENO CELEITA</v>
      </c>
      <c r="D5325" s="4" t="str">
        <f>IFERROR(VLOOKUP(A5325,'Base Prueba'!A:D,4,),"NO REGISTRA")</f>
        <v>CAJERO PRINCIPAL</v>
      </c>
      <c r="E5325" s="5" t="str">
        <f>IFERROR(VLOOKUP(A5325,'Base Prueba'!A:E,5,),"NO REGISTRA")</f>
        <v>AREA FINANCIERA Y CONTABLE</v>
      </c>
    </row>
    <row r="5326" spans="1:5" ht="15.75" x14ac:dyDescent="0.25">
      <c r="A5326" s="14">
        <v>1032407386</v>
      </c>
      <c r="B5326" s="2">
        <v>46127.370006018522</v>
      </c>
      <c r="C5326" s="3" t="str">
        <f>IFERROR(VLOOKUP(A5326,'Base Prueba'!A:C,3,),"NO REGISTRA")</f>
        <v>GINA PAOLA BAEZ GALVIS</v>
      </c>
      <c r="D5326" s="4" t="str">
        <f>IFERROR(VLOOKUP(A5326,'Base Prueba'!A:D,4,),"NO REGISTRA")</f>
        <v>PROMOTOR CALL CENTER</v>
      </c>
      <c r="E5326" s="5" t="str">
        <f>IFERROR(VLOOKUP(A5326,'Base Prueba'!A:E,5,),"NO REGISTRA")</f>
        <v>OFICINA DE MERCADEO</v>
      </c>
    </row>
    <row r="5327" spans="1:5" ht="15.75" x14ac:dyDescent="0.25">
      <c r="A5327" s="14">
        <v>1019105003</v>
      </c>
      <c r="B5327" s="2">
        <v>46127.372065972224</v>
      </c>
      <c r="C5327" s="3" t="str">
        <f>IFERROR(VLOOKUP(A5327,'Base Prueba'!A:C,3,),"NO REGISTRA")</f>
        <v>DAISY JULIETH GASPAR MORENO</v>
      </c>
      <c r="D5327" s="4" t="str">
        <f>IFERROR(VLOOKUP(A5327,'Base Prueba'!A:D,4,),"NO REGISTRA")</f>
        <v>PROMOTOR CALL CENTER</v>
      </c>
      <c r="E5327" s="5" t="str">
        <f>IFERROR(VLOOKUP(A5327,'Base Prueba'!A:E,5,),"NO REGISTRA")</f>
        <v>OFICINA DE MERCADEO</v>
      </c>
    </row>
    <row r="5328" spans="1:5" ht="15.75" x14ac:dyDescent="0.25">
      <c r="A5328" s="14">
        <v>1023961952</v>
      </c>
      <c r="B5328" s="2">
        <v>46127.373805555559</v>
      </c>
      <c r="C5328" s="3" t="str">
        <f>IFERROR(VLOOKUP(A5328,'Base Prueba'!A:C,3,),"NO REGISTRA")</f>
        <v>ALEJANDRO PINZON MERCHAN</v>
      </c>
      <c r="D5328" s="4" t="str">
        <f>IFERROR(VLOOKUP(A5328,'Base Prueba'!A:D,4,),"NO REGISTRA")</f>
        <v>PROMOTOR CALL CENTER</v>
      </c>
      <c r="E5328" s="5" t="str">
        <f>IFERROR(VLOOKUP(A5328,'Base Prueba'!A:E,5,),"NO REGISTRA")</f>
        <v>OFICINA DE MERCADEO</v>
      </c>
    </row>
    <row r="5329" spans="1:5" ht="15.75" x14ac:dyDescent="0.25">
      <c r="A5329" s="14">
        <v>1018413529</v>
      </c>
      <c r="B5329" s="2">
        <v>46127.376796180557</v>
      </c>
      <c r="C5329" s="3" t="str">
        <f>IFERROR(VLOOKUP(A5329,'Base Prueba'!A:C,3,),"NO REGISTRA")</f>
        <v>FRANCY STELLA CHARRY MORENO</v>
      </c>
      <c r="D5329" s="4" t="str">
        <f>IFERROR(VLOOKUP(A5329,'Base Prueba'!A:D,4,),"NO REGISTRA")</f>
        <v>PROMOTOR COMERCIAL DEL CEA</v>
      </c>
      <c r="E5329" s="5" t="str">
        <f>IFERROR(VLOOKUP(A5329,'Base Prueba'!A:E,5,),"NO REGISTRA")</f>
        <v>OFICINA DE MERCADEO</v>
      </c>
    </row>
    <row r="5330" spans="1:5" ht="15.75" x14ac:dyDescent="0.25">
      <c r="A5330" s="14">
        <v>1000604979</v>
      </c>
      <c r="B5330" s="2">
        <v>46127.376850231478</v>
      </c>
      <c r="C5330" s="3" t="str">
        <f>IFERROR(VLOOKUP(A5330,'Base Prueba'!A:C,3,),"NO REGISTRA")</f>
        <v>JULIETH TATIANA PARDO PINTO</v>
      </c>
      <c r="D5330" s="4" t="str">
        <f>IFERROR(VLOOKUP(A5330,'Base Prueba'!A:D,4,),"NO REGISTRA")</f>
        <v>AUXILIAR JURIDICO</v>
      </c>
      <c r="E5330" s="5" t="str">
        <f>IFERROR(VLOOKUP(A5330,'Base Prueba'!A:E,5,),"NO REGISTRA")</f>
        <v>SECRETARIA GENERAL</v>
      </c>
    </row>
    <row r="5331" spans="1:5" ht="15.75" x14ac:dyDescent="0.25">
      <c r="A5331" s="14">
        <v>1018414290</v>
      </c>
      <c r="B5331" s="2">
        <v>46127.377751041669</v>
      </c>
      <c r="C5331" s="3" t="str">
        <f>IFERROR(VLOOKUP(A5331,'Base Prueba'!A:C,3,),"NO REGISTRA")</f>
        <v>AMANDA LISBETH RODRIGUEZ LEON</v>
      </c>
      <c r="D5331" s="4" t="str">
        <f>IFERROR(VLOOKUP(A5331,'Base Prueba'!A:D,4,),"NO REGISTRA")</f>
        <v>PROMOTOR CALL CENTER</v>
      </c>
      <c r="E5331" s="5" t="str">
        <f>IFERROR(VLOOKUP(A5331,'Base Prueba'!A:E,5,),"NO REGISTRA")</f>
        <v>OFICINA DE MERCADEO</v>
      </c>
    </row>
    <row r="5332" spans="1:5" ht="15.75" x14ac:dyDescent="0.25">
      <c r="A5332" s="14">
        <v>28798349</v>
      </c>
      <c r="B5332" s="2">
        <v>46127.378924537035</v>
      </c>
      <c r="C5332" s="3" t="str">
        <f>IFERROR(VLOOKUP(A5332,'Base Prueba'!A:C,3,),"NO REGISTRA")</f>
        <v>MARTHA ISABEL TOVAR WILLIAMS</v>
      </c>
      <c r="D5332" s="4" t="str">
        <f>IFERROR(VLOOKUP(A5332,'Base Prueba'!A:D,4,),"NO REGISTRA")</f>
        <v>PROMOTOR CALL CENTER</v>
      </c>
      <c r="E5332" s="5" t="str">
        <f>IFERROR(VLOOKUP(A5332,'Base Prueba'!A:E,5,),"NO REGISTRA")</f>
        <v>OFICINA DE MERCADEO</v>
      </c>
    </row>
    <row r="5333" spans="1:5" ht="15.75" x14ac:dyDescent="0.25">
      <c r="A5333" s="14">
        <v>1000046533</v>
      </c>
      <c r="B5333" s="2">
        <v>46127.380758796295</v>
      </c>
      <c r="C5333" s="3" t="str">
        <f>IFERROR(VLOOKUP(A5333,'Base Prueba'!A:C,3,),"NO REGISTRA")</f>
        <v>ERIKA JULIETH VALDERRAMA SANCHEZ</v>
      </c>
      <c r="D5333" s="4" t="str">
        <f>IFERROR(VLOOKUP(A5333,'Base Prueba'!A:D,4,),"NO REGISTRA")</f>
        <v>PROMOTOR CALL CENTER</v>
      </c>
      <c r="E5333" s="5" t="str">
        <f>IFERROR(VLOOKUP(A5333,'Base Prueba'!A:E,5,),"NO REGISTRA")</f>
        <v>OFICINA DE MERCADEO</v>
      </c>
    </row>
    <row r="5334" spans="1:5" ht="15.75" x14ac:dyDescent="0.25">
      <c r="A5334" s="14">
        <v>52472386</v>
      </c>
      <c r="B5334" s="2">
        <v>46127.384410763887</v>
      </c>
      <c r="C5334" s="3" t="str">
        <f>IFERROR(VLOOKUP(A5334,'Base Prueba'!A:C,3,),"NO REGISTRA")</f>
        <v>ADRIANA MARCELA MORALES PARDO</v>
      </c>
      <c r="D5334" s="4" t="str">
        <f>IFERROR(VLOOKUP(A5334,'Base Prueba'!A:D,4,),"NO REGISTRA")</f>
        <v>PROMOTOR CALL CENTER</v>
      </c>
      <c r="E5334" s="5" t="str">
        <f>IFERROR(VLOOKUP(A5334,'Base Prueba'!A:E,5,),"NO REGISTRA")</f>
        <v>OFICINA DE MERCADEO</v>
      </c>
    </row>
    <row r="5335" spans="1:5" ht="15.75" x14ac:dyDescent="0.25">
      <c r="A5335" s="14">
        <v>1013101788</v>
      </c>
      <c r="B5335" s="2">
        <v>46127.384868171299</v>
      </c>
      <c r="C5335" s="3" t="str">
        <f>IFERROR(VLOOKUP(A5335,'Base Prueba'!A:C,3,),"NO REGISTRA")</f>
        <v>SARA TANGARIFE MONTOYA</v>
      </c>
      <c r="D5335" s="4" t="str">
        <f>IFERROR(VLOOKUP(A5335,'Base Prueba'!A:D,4,),"NO REGISTRA")</f>
        <v>APRENDIZ UNIVERSITARIO</v>
      </c>
      <c r="E5335" s="5" t="str">
        <f>IFERROR(VLOOKUP(A5335,'Base Prueba'!A:E,5,),"NO REGISTRA")</f>
        <v>OFICINA DE MERCADEO</v>
      </c>
    </row>
    <row r="5336" spans="1:5" ht="15.75" x14ac:dyDescent="0.25">
      <c r="A5336" s="14">
        <v>53089882</v>
      </c>
      <c r="B5336" s="2">
        <v>46127.390991898152</v>
      </c>
      <c r="C5336" s="3" t="str">
        <f>IFERROR(VLOOKUP(A5336,'Base Prueba'!A:C,3,),"NO REGISTRA")</f>
        <v>MARIA JOHANA ESCAMILLA MARTINEZ</v>
      </c>
      <c r="D5336" s="4" t="str">
        <f>IFERROR(VLOOKUP(A5336,'Base Prueba'!A:D,4,),"NO REGISTRA")</f>
        <v>PROMOTOR DE INFORMACIÓN</v>
      </c>
      <c r="E5336" s="5" t="str">
        <f>IFERROR(VLOOKUP(A5336,'Base Prueba'!A:E,5,),"NO REGISTRA")</f>
        <v>OFICINA DE MERCADEO</v>
      </c>
    </row>
    <row r="5337" spans="1:5" ht="15.75" x14ac:dyDescent="0.25">
      <c r="A5337" s="14">
        <v>1000593372</v>
      </c>
      <c r="B5337" s="2">
        <v>46127.402933680554</v>
      </c>
      <c r="C5337" s="3" t="str">
        <f>IFERROR(VLOOKUP(A5337,'Base Prueba'!A:C,3,),"NO REGISTRA")</f>
        <v>LAURA SOFIA CHAPARRO LOPEZ</v>
      </c>
      <c r="D5337" s="4" t="str">
        <f>IFERROR(VLOOKUP(A5337,'Base Prueba'!A:D,4,),"NO REGISTRA")</f>
        <v>AUXILIAR JURIDICO</v>
      </c>
      <c r="E5337" s="5" t="str">
        <f>IFERROR(VLOOKUP(A5337,'Base Prueba'!A:E,5,),"NO REGISTRA")</f>
        <v>SECRETARIA GENERAL</v>
      </c>
    </row>
    <row r="5338" spans="1:5" ht="15.75" x14ac:dyDescent="0.25">
      <c r="A5338" s="14">
        <v>52764929</v>
      </c>
      <c r="B5338" s="2">
        <v>46127.405209375</v>
      </c>
      <c r="C5338" s="3" t="str">
        <f>IFERROR(VLOOKUP(A5338,'Base Prueba'!A:C,3,),"NO REGISTRA")</f>
        <v>GUERLY YOHANA DURAN RIVERA</v>
      </c>
      <c r="D5338" s="4" t="str">
        <f>IFERROR(VLOOKUP(A5338,'Base Prueba'!A:D,4,),"NO REGISTRA")</f>
        <v>LIDER DE VINCULACION COLEGIOS</v>
      </c>
      <c r="E5338" s="5" t="str">
        <f>IFERROR(VLOOKUP(A5338,'Base Prueba'!A:E,5,),"NO REGISTRA")</f>
        <v>OFICINA DE MERCADEO</v>
      </c>
    </row>
    <row r="5339" spans="1:5" ht="15.75" x14ac:dyDescent="0.25">
      <c r="A5339" s="14">
        <v>52443092</v>
      </c>
      <c r="B5339" s="2">
        <v>46127.582613657411</v>
      </c>
      <c r="C5339" s="3" t="str">
        <f>IFERROR(VLOOKUP(A5339,'Base Prueba'!A:C,3,),"NO REGISTRA")</f>
        <v>LUZ MYRIAM SAAVEDRA CONTRERAS</v>
      </c>
      <c r="D5339" s="4" t="str">
        <f>IFERROR(VLOOKUP(A5339,'Base Prueba'!A:D,4,),"NO REGISTRA")</f>
        <v>AUXILIAR DE SERVICIOS</v>
      </c>
      <c r="E5339" s="5" t="str">
        <f>IFERROR(VLOOKUP(A5339,'Base Prueba'!A:E,5,),"NO REGISTRA")</f>
        <v>LOGISTICA Y SERVICIOS GENERALES</v>
      </c>
    </row>
    <row r="5340" spans="1:5" ht="15.75" x14ac:dyDescent="0.25">
      <c r="A5340" s="14">
        <v>79872151</v>
      </c>
      <c r="B5340" s="2">
        <v>46127.700393981482</v>
      </c>
      <c r="C5340" s="3" t="str">
        <f>IFERROR(VLOOKUP(A5340,'Base Prueba'!A:C,3,),"NO REGISTRA")</f>
        <v>HECTOR ALIRIO MARTINEZ TORRES</v>
      </c>
      <c r="D5340" s="4" t="str">
        <f>IFERROR(VLOOKUP(A5340,'Base Prueba'!A:D,4,),"NO REGISTRA")</f>
        <v>DOCENTE DE TIEMPO COMPLETO</v>
      </c>
      <c r="E5340" s="5" t="str">
        <f>IFERROR(VLOOKUP(A5340,'Base Prueba'!A:E,5,),"NO REGISTRA")</f>
        <v>CIENCIAS DE LA INFORMACION Y BIBLIOTECOLOGIA</v>
      </c>
    </row>
    <row r="5341" spans="1:5" ht="15.75" x14ac:dyDescent="0.25">
      <c r="A5341" s="14">
        <v>1024505434</v>
      </c>
      <c r="B5341" s="2">
        <v>46127.729932870374</v>
      </c>
      <c r="C5341" s="3" t="str">
        <f>IFERROR(VLOOKUP(A5341,'Base Prueba'!A:C,3,),"NO REGISTRA")</f>
        <v>CRISTIAN ALBERTO MELO TORRES</v>
      </c>
      <c r="D5341" s="4" t="str">
        <f>IFERROR(VLOOKUP(A5341,'Base Prueba'!A:D,4,),"NO REGISTRA")</f>
        <v>COORDINADOR DE INFRAESTRUCTURA</v>
      </c>
      <c r="E5341" s="5" t="str">
        <f>IFERROR(VLOOKUP(A5341,'Base Prueba'!A:E,5,),"NO REGISTRA")</f>
        <v>VICERRECTORIA ADMINISTRATIVA Y FINANCIERA</v>
      </c>
    </row>
    <row r="5342" spans="1:5" ht="15.75" x14ac:dyDescent="0.25">
      <c r="A5342" s="14">
        <v>1024512067</v>
      </c>
      <c r="B5342" s="2">
        <v>46127.733673842595</v>
      </c>
      <c r="C5342" s="3" t="str">
        <f>IFERROR(VLOOKUP(A5342,'Base Prueba'!A:C,3,),"NO REGISTRA")</f>
        <v>CINDY GIOVANA SALGAR GOMEZ</v>
      </c>
      <c r="D5342" s="4" t="str">
        <f>IFERROR(VLOOKUP(A5342,'Base Prueba'!A:D,4,),"NO REGISTRA")</f>
        <v>COORDINADOR DEL SISTEMA INTEGRADO DE GESTION INSTITUCIONAL - SIGI</v>
      </c>
      <c r="E5342" s="5" t="str">
        <f>IFERROR(VLOOKUP(A5342,'Base Prueba'!A:E,5,),"NO REGISTRA")</f>
        <v>OFICINA DE PLANEACION Y GESTION DE LA CALIDAD</v>
      </c>
    </row>
    <row r="5343" spans="1:5" ht="15.75" x14ac:dyDescent="0.25">
      <c r="A5343" s="14">
        <v>1013098430</v>
      </c>
      <c r="B5343" s="2">
        <v>46127.746266203707</v>
      </c>
      <c r="C5343" s="3" t="str">
        <f>IFERROR(VLOOKUP(A5343,'Base Prueba'!A:C,3,),"NO REGISTRA")</f>
        <v>ANDRES FELIPE LOPEZ ROMERO</v>
      </c>
      <c r="D5343" s="4" t="str">
        <f>IFERROR(VLOOKUP(A5343,'Base Prueba'!A:D,4,),"NO REGISTRA")</f>
        <v>APRENDIZ UNIVERSITARIO</v>
      </c>
      <c r="E5343" s="5" t="str">
        <f>IFERROR(VLOOKUP(A5343,'Base Prueba'!A:E,5,),"NO REGISTRA")</f>
        <v>OFICINA DE MERCADEO</v>
      </c>
    </row>
    <row r="5344" spans="1:5" ht="15.75" x14ac:dyDescent="0.25">
      <c r="A5344" s="14">
        <v>1000324729</v>
      </c>
      <c r="B5344" s="2">
        <v>46127.74989363426</v>
      </c>
      <c r="C5344" s="3" t="str">
        <f>IFERROR(VLOOKUP(A5344,'Base Prueba'!A:C,3,),"NO REGISTRA")</f>
        <v>ANYIE VANESSA TINOCO CAMACHO</v>
      </c>
      <c r="D5344" s="4" t="str">
        <f>IFERROR(VLOOKUP(A5344,'Base Prueba'!A:D,4,),"NO REGISTRA")</f>
        <v>LIDER DE REGISTRO Y CONTROL</v>
      </c>
      <c r="E5344" s="5" t="str">
        <f>IFERROR(VLOOKUP(A5344,'Base Prueba'!A:E,5,),"NO REGISTRA")</f>
        <v>REGISTRO Y CONTROL ACADEMICO</v>
      </c>
    </row>
    <row r="5345" spans="1:5" ht="15.75" x14ac:dyDescent="0.25">
      <c r="A5345" s="14">
        <v>1010184333</v>
      </c>
      <c r="B5345" s="2">
        <v>46127.750127662039</v>
      </c>
      <c r="C5345" s="3" t="str">
        <f>IFERROR(VLOOKUP(A5345,'Base Prueba'!A:C,3,),"NO REGISTRA")</f>
        <v>AKON ANDRES GARZON ALVAREZ</v>
      </c>
      <c r="D5345" s="4" t="str">
        <f>IFERROR(VLOOKUP(A5345,'Base Prueba'!A:D,4,),"NO REGISTRA")</f>
        <v>APRENDIZ UNIVERSITARIO</v>
      </c>
      <c r="E5345" s="5" t="str">
        <f>IFERROR(VLOOKUP(A5345,'Base Prueba'!A:E,5,),"NO REGISTRA")</f>
        <v>SECRETARIA GENERAL</v>
      </c>
    </row>
    <row r="5346" spans="1:5" ht="15.75" x14ac:dyDescent="0.25">
      <c r="A5346" s="14">
        <v>1022996882</v>
      </c>
      <c r="B5346" s="2">
        <v>46127.750155439811</v>
      </c>
      <c r="C5346" s="3" t="str">
        <f>IFERROR(VLOOKUP(A5346,'Base Prueba'!A:C,3,),"NO REGISTRA")</f>
        <v>NANCY BRIGITH ALDANA GUEVARA</v>
      </c>
      <c r="D5346" s="4" t="str">
        <f>IFERROR(VLOOKUP(A5346,'Base Prueba'!A:D,4,),"NO REGISTRA")</f>
        <v>COORDINADORA DE GESTIÓN HUMANA</v>
      </c>
      <c r="E5346" s="5" t="str">
        <f>IFERROR(VLOOKUP(A5346,'Base Prueba'!A:E,5,),"NO REGISTRA")</f>
        <v>DEPARTAMENTO DE GESTION HUMANA</v>
      </c>
    </row>
    <row r="5347" spans="1:5" ht="15.75" x14ac:dyDescent="0.25">
      <c r="A5347" s="14">
        <v>1193457976</v>
      </c>
      <c r="B5347" s="2">
        <v>46127.750256597225</v>
      </c>
      <c r="C5347" s="3" t="str">
        <f>IFERROR(VLOOKUP(A5347,'Base Prueba'!A:C,3,),"NO REGISTRA")</f>
        <v>SEDENIS RIVAS ASPRILLA</v>
      </c>
      <c r="D5347" s="4" t="str">
        <f>IFERROR(VLOOKUP(A5347,'Base Prueba'!A:D,4,),"NO REGISTRA")</f>
        <v>APRENDIZ UNIVERSITARIO</v>
      </c>
      <c r="E5347" s="5" t="str">
        <f>IFERROR(VLOOKUP(A5347,'Base Prueba'!A:E,5,),"NO REGISTRA")</f>
        <v>DEPARTAMENTO DE GESTION HUMANA</v>
      </c>
    </row>
    <row r="5348" spans="1:5" ht="15.75" x14ac:dyDescent="0.25">
      <c r="A5348" s="14">
        <v>1000467399</v>
      </c>
      <c r="B5348" s="2">
        <v>46127.750843518515</v>
      </c>
      <c r="C5348" s="3" t="str">
        <f>IFERROR(VLOOKUP(A5348,'Base Prueba'!A:C,3,),"NO REGISTRA")</f>
        <v>BRANDO ESTIVEN DIAZ QUIMBAYA</v>
      </c>
      <c r="D5348" s="4" t="str">
        <f>IFERROR(VLOOKUP(A5348,'Base Prueba'!A:D,4,),"NO REGISTRA")</f>
        <v>APRENDIZ UNIVERSITARIO</v>
      </c>
      <c r="E5348" s="5" t="str">
        <f>IFERROR(VLOOKUP(A5348,'Base Prueba'!A:E,5,),"NO REGISTRA")</f>
        <v>DEPARTAMENTO DE GESTION HUMANA</v>
      </c>
    </row>
    <row r="5349" spans="1:5" ht="15.75" x14ac:dyDescent="0.25">
      <c r="A5349" s="14">
        <v>1014266838</v>
      </c>
      <c r="B5349" s="2">
        <v>46127.754720138888</v>
      </c>
      <c r="C5349" s="3" t="str">
        <f>IFERROR(VLOOKUP(A5349,'Base Prueba'!A:C,3,),"NO REGISTRA")</f>
        <v>JENNIFER ASTRID ROMERO HURTADO</v>
      </c>
      <c r="D5349" s="4" t="str">
        <f>IFERROR(VLOOKUP(A5349,'Base Prueba'!A:D,4,),"NO REGISTRA")</f>
        <v>LIDER DE RECAUDO</v>
      </c>
      <c r="E5349" s="5" t="str">
        <f>IFERROR(VLOOKUP(A5349,'Base Prueba'!A:E,5,),"NO REGISTRA")</f>
        <v>AREA FINANCIERA Y CONTABLE</v>
      </c>
    </row>
    <row r="5350" spans="1:5" ht="15.75" x14ac:dyDescent="0.25">
      <c r="A5350" s="14">
        <v>1049644802</v>
      </c>
      <c r="B5350" s="2">
        <v>46127.755152893522</v>
      </c>
      <c r="C5350" s="3" t="str">
        <f>IFERROR(VLOOKUP(A5350,'Base Prueba'!A:C,3,),"NO REGISTRA")</f>
        <v>DANIELA ALEXANDRA CIPAMOCHA BOSIGA</v>
      </c>
      <c r="D5350" s="4" t="str">
        <f>IFERROR(VLOOKUP(A5350,'Base Prueba'!A:D,4,),"NO REGISTRA")</f>
        <v>LIDER DE DATOS Y SERVICIOS</v>
      </c>
      <c r="E5350" s="5" t="str">
        <f>IFERROR(VLOOKUP(A5350,'Base Prueba'!A:E,5,),"NO REGISTRA")</f>
        <v>OFICINA DE PLANEACION Y GESTION DE LA CALIDAD</v>
      </c>
    </row>
    <row r="5351" spans="1:5" ht="15.75" x14ac:dyDescent="0.25">
      <c r="A5351" s="14">
        <v>53932358</v>
      </c>
      <c r="B5351" s="2">
        <v>46127.756663310189</v>
      </c>
      <c r="C5351" s="3" t="str">
        <f>IFERROR(VLOOKUP(A5351,'Base Prueba'!A:C,3,),"NO REGISTRA")</f>
        <v>DIANA MADELEYNE GAONA RODRIGUEZ</v>
      </c>
      <c r="D5351" s="4" t="str">
        <f>IFERROR(VLOOKUP(A5351,'Base Prueba'!A:D,4,),"NO REGISTRA")</f>
        <v>CONTADOR</v>
      </c>
      <c r="E5351" s="5" t="str">
        <f>IFERROR(VLOOKUP(A5351,'Base Prueba'!A:E,5,),"NO REGISTRA")</f>
        <v>AREA FINANCIERA Y CONTABLE</v>
      </c>
    </row>
    <row r="5352" spans="1:5" ht="15.75" x14ac:dyDescent="0.25">
      <c r="A5352" s="14">
        <v>1014308296</v>
      </c>
      <c r="B5352" s="2">
        <v>46127.758018287037</v>
      </c>
      <c r="C5352" s="3" t="str">
        <f>IFERROR(VLOOKUP(A5352,'Base Prueba'!A:C,3,),"NO REGISTRA")</f>
        <v>DARLENE YULIANA MORENO CELEITA</v>
      </c>
      <c r="D5352" s="4" t="str">
        <f>IFERROR(VLOOKUP(A5352,'Base Prueba'!A:D,4,),"NO REGISTRA")</f>
        <v>CAJERO PRINCIPAL</v>
      </c>
      <c r="E5352" s="5" t="str">
        <f>IFERROR(VLOOKUP(A5352,'Base Prueba'!A:E,5,),"NO REGISTRA")</f>
        <v>AREA FINANCIERA Y CONTABLE</v>
      </c>
    </row>
    <row r="5353" spans="1:5" ht="15.75" x14ac:dyDescent="0.25">
      <c r="A5353" s="14">
        <v>1014977624</v>
      </c>
      <c r="B5353" s="2">
        <v>46127.759792129633</v>
      </c>
      <c r="C5353" s="3" t="str">
        <f>IFERROR(VLOOKUP(A5353,'Base Prueba'!A:C,3,),"NO REGISTRA")</f>
        <v>NICCOLE VALENTINA HERNANDEZ MALAVER</v>
      </c>
      <c r="D5353" s="4" t="str">
        <f>IFERROR(VLOOKUP(A5353,'Base Prueba'!A:D,4,),"NO REGISTRA")</f>
        <v>APRENDIZ UNIVERSITARIO</v>
      </c>
      <c r="E5353" s="5" t="str">
        <f>IFERROR(VLOOKUP(A5353,'Base Prueba'!A:E,5,),"NO REGISTRA")</f>
        <v>AREA FINANCIERA Y CONTABLE</v>
      </c>
    </row>
    <row r="5354" spans="1:5" ht="15.75" x14ac:dyDescent="0.25">
      <c r="A5354" s="14">
        <v>80191732</v>
      </c>
      <c r="B5354" s="2">
        <v>46127.760556597219</v>
      </c>
      <c r="C5354" s="3" t="str">
        <f>IFERROR(VLOOKUP(A5354,'Base Prueba'!A:C,3,),"NO REGISTRA")</f>
        <v>DANIEL MAURICIO ZAMBRANO TUNJANO</v>
      </c>
      <c r="D5354" s="4" t="str">
        <f>IFERROR(VLOOKUP(A5354,'Base Prueba'!A:D,4,),"NO REGISTRA")</f>
        <v>COORDINADOR DE DISEÑO E IMAGEN INSTITUCIONAL</v>
      </c>
      <c r="E5354" s="5" t="str">
        <f>IFERROR(VLOOKUP(A5354,'Base Prueba'!A:E,5,),"NO REGISTRA")</f>
        <v>OFICINA DE MERCADEO</v>
      </c>
    </row>
    <row r="5355" spans="1:5" ht="15.75" x14ac:dyDescent="0.25">
      <c r="A5355" s="14">
        <v>1023883232</v>
      </c>
      <c r="B5355" s="2">
        <v>46127.761356828705</v>
      </c>
      <c r="C5355" s="3" t="str">
        <f>IFERROR(VLOOKUP(A5355,'Base Prueba'!A:C,3,),"NO REGISTRA")</f>
        <v>MONICA ANDREA ACERO URBANO</v>
      </c>
      <c r="D5355" s="4" t="str">
        <f>IFERROR(VLOOKUP(A5355,'Base Prueba'!A:D,4,),"NO REGISTRA")</f>
        <v>APOYO INTEGRAL A GESTION HUMANA</v>
      </c>
      <c r="E5355" s="5" t="str">
        <f>IFERROR(VLOOKUP(A5355,'Base Prueba'!A:E,5,),"NO REGISTRA")</f>
        <v>DEPARTAMENTO DE GESTION HUMANA</v>
      </c>
    </row>
    <row r="5356" spans="1:5" ht="15.75" x14ac:dyDescent="0.25">
      <c r="A5356" s="14">
        <v>1087121273</v>
      </c>
      <c r="B5356" s="2">
        <v>46127.761375578702</v>
      </c>
      <c r="C5356" s="3" t="str">
        <f>IFERROR(VLOOKUP(A5356,'Base Prueba'!A:C,3,),"NO REGISTRA")</f>
        <v>MAYRA ALEJANDRA CASTILLO ARBOLEDA</v>
      </c>
      <c r="D5356" s="4" t="str">
        <f>IFERROR(VLOOKUP(A5356,'Base Prueba'!A:D,4,),"NO REGISTRA")</f>
        <v>APOYO INTEGRAL DE MERCADEO</v>
      </c>
      <c r="E5356" s="5" t="str">
        <f>IFERROR(VLOOKUP(A5356,'Base Prueba'!A:E,5,),"NO REGISTRA")</f>
        <v>CENTRO DE GESTION DOCUMENTAL</v>
      </c>
    </row>
    <row r="5357" spans="1:5" ht="15.75" x14ac:dyDescent="0.25">
      <c r="A5357" s="14">
        <v>1000257136</v>
      </c>
      <c r="B5357" s="2">
        <v>46127.761743055555</v>
      </c>
      <c r="C5357" s="3" t="str">
        <f>IFERROR(VLOOKUP(A5357,'Base Prueba'!A:C,3,),"NO REGISTRA")</f>
        <v>FRANCI VALENTINA CANO PUENTES</v>
      </c>
      <c r="D5357" s="4" t="str">
        <f>IFERROR(VLOOKUP(A5357,'Base Prueba'!A:D,4,),"NO REGISTRA")</f>
        <v>AUXILIAR CONTABLE</v>
      </c>
      <c r="E5357" s="5" t="str">
        <f>IFERROR(VLOOKUP(A5357,'Base Prueba'!A:E,5,),"NO REGISTRA")</f>
        <v>AREA FINANCIERA Y CONTABLE</v>
      </c>
    </row>
    <row r="5358" spans="1:5" ht="15.75" x14ac:dyDescent="0.25">
      <c r="A5358" s="14">
        <v>1000457706</v>
      </c>
      <c r="B5358" s="2">
        <v>46127.769219560185</v>
      </c>
      <c r="C5358" s="3" t="str">
        <f>IFERROR(VLOOKUP(A5358,'Base Prueba'!A:C,3,),"NO REGISTRA")</f>
        <v>CRISTIAN DANILO ARROYO SANABRIA</v>
      </c>
      <c r="D5358" s="4" t="str">
        <f>IFERROR(VLOOKUP(A5358,'Base Prueba'!A:D,4,),"NO REGISTRA")</f>
        <v>AUXILIAR CONTABLE</v>
      </c>
      <c r="E5358" s="5" t="str">
        <f>IFERROR(VLOOKUP(A5358,'Base Prueba'!A:E,5,),"NO REGISTRA")</f>
        <v>AREA FINANCIERA Y CONTABLE</v>
      </c>
    </row>
    <row r="5359" spans="1:5" ht="15.75" x14ac:dyDescent="0.25">
      <c r="A5359" s="14">
        <v>1000046533</v>
      </c>
      <c r="B5359" s="2">
        <v>46127.771447106483</v>
      </c>
      <c r="C5359" s="3" t="str">
        <f>IFERROR(VLOOKUP(A5359,'Base Prueba'!A:C,3,),"NO REGISTRA")</f>
        <v>ERIKA JULIETH VALDERRAMA SANCHEZ</v>
      </c>
      <c r="D5359" s="4" t="str">
        <f>IFERROR(VLOOKUP(A5359,'Base Prueba'!A:D,4,),"NO REGISTRA")</f>
        <v>PROMOTOR CALL CENTER</v>
      </c>
      <c r="E5359" s="5" t="str">
        <f>IFERROR(VLOOKUP(A5359,'Base Prueba'!A:E,5,),"NO REGISTRA")</f>
        <v>OFICINA DE MERCADEO</v>
      </c>
    </row>
    <row r="5360" spans="1:5" ht="15.75" x14ac:dyDescent="0.25">
      <c r="A5360" s="14">
        <v>1013101788</v>
      </c>
      <c r="B5360" s="2">
        <v>46127.773959722224</v>
      </c>
      <c r="C5360" s="3" t="str">
        <f>IFERROR(VLOOKUP(A5360,'Base Prueba'!A:C,3,),"NO REGISTRA")</f>
        <v>SARA TANGARIFE MONTOYA</v>
      </c>
      <c r="D5360" s="4" t="str">
        <f>IFERROR(VLOOKUP(A5360,'Base Prueba'!A:D,4,),"NO REGISTRA")</f>
        <v>APRENDIZ UNIVERSITARIO</v>
      </c>
      <c r="E5360" s="5" t="str">
        <f>IFERROR(VLOOKUP(A5360,'Base Prueba'!A:E,5,),"NO REGISTRA")</f>
        <v>OFICINA DE MERCADEO</v>
      </c>
    </row>
    <row r="5361" spans="1:5" ht="15.75" x14ac:dyDescent="0.25">
      <c r="A5361" s="14">
        <v>1019105003</v>
      </c>
      <c r="B5361" s="2">
        <v>46127.774236921294</v>
      </c>
      <c r="C5361" s="3" t="str">
        <f>IFERROR(VLOOKUP(A5361,'Base Prueba'!A:C,3,),"NO REGISTRA")</f>
        <v>DAISY JULIETH GASPAR MORENO</v>
      </c>
      <c r="D5361" s="4" t="str">
        <f>IFERROR(VLOOKUP(A5361,'Base Prueba'!A:D,4,),"NO REGISTRA")</f>
        <v>PROMOTOR CALL CENTER</v>
      </c>
      <c r="E5361" s="5" t="str">
        <f>IFERROR(VLOOKUP(A5361,'Base Prueba'!A:E,5,),"NO REGISTRA")</f>
        <v>OFICINA DE MERCADEO</v>
      </c>
    </row>
    <row r="5362" spans="1:5" ht="15.75" x14ac:dyDescent="0.25">
      <c r="A5362" s="14">
        <v>52472386</v>
      </c>
      <c r="B5362" s="2">
        <v>46127.776994097221</v>
      </c>
      <c r="C5362" s="3" t="str">
        <f>IFERROR(VLOOKUP(A5362,'Base Prueba'!A:C,3,),"NO REGISTRA")</f>
        <v>ADRIANA MARCELA MORALES PARDO</v>
      </c>
      <c r="D5362" s="4" t="str">
        <f>IFERROR(VLOOKUP(A5362,'Base Prueba'!A:D,4,),"NO REGISTRA")</f>
        <v>PROMOTOR CALL CENTER</v>
      </c>
      <c r="E5362" s="5" t="str">
        <f>IFERROR(VLOOKUP(A5362,'Base Prueba'!A:E,5,),"NO REGISTRA")</f>
        <v>OFICINA DE MERCADEO</v>
      </c>
    </row>
    <row r="5363" spans="1:5" ht="15.75" x14ac:dyDescent="0.25">
      <c r="A5363" s="14">
        <v>1032407386</v>
      </c>
      <c r="B5363" s="2">
        <v>46127.777899074077</v>
      </c>
      <c r="C5363" s="3" t="str">
        <f>IFERROR(VLOOKUP(A5363,'Base Prueba'!A:C,3,),"NO REGISTRA")</f>
        <v>GINA PAOLA BAEZ GALVIS</v>
      </c>
      <c r="D5363" s="4" t="str">
        <f>IFERROR(VLOOKUP(A5363,'Base Prueba'!A:D,4,),"NO REGISTRA")</f>
        <v>PROMOTOR CALL CENTER</v>
      </c>
      <c r="E5363" s="5" t="str">
        <f>IFERROR(VLOOKUP(A5363,'Base Prueba'!A:E,5,),"NO REGISTRA")</f>
        <v>OFICINA DE MERCADEO</v>
      </c>
    </row>
    <row r="5364" spans="1:5" ht="15.75" x14ac:dyDescent="0.25">
      <c r="A5364" s="14">
        <v>1018414290</v>
      </c>
      <c r="B5364" s="2">
        <v>46127.778153472223</v>
      </c>
      <c r="C5364" s="3" t="str">
        <f>IFERROR(VLOOKUP(A5364,'Base Prueba'!A:C,3,),"NO REGISTRA")</f>
        <v>AMANDA LISBETH RODRIGUEZ LEON</v>
      </c>
      <c r="D5364" s="4" t="str">
        <f>IFERROR(VLOOKUP(A5364,'Base Prueba'!A:D,4,),"NO REGISTRA")</f>
        <v>PROMOTOR CALL CENTER</v>
      </c>
      <c r="E5364" s="5" t="str">
        <f>IFERROR(VLOOKUP(A5364,'Base Prueba'!A:E,5,),"NO REGISTRA")</f>
        <v>OFICINA DE MERCADEO</v>
      </c>
    </row>
    <row r="5365" spans="1:5" ht="15.75" x14ac:dyDescent="0.25">
      <c r="A5365" s="14">
        <v>1033709056</v>
      </c>
      <c r="B5365" s="2">
        <v>46127.778617939817</v>
      </c>
      <c r="C5365" s="3" t="str">
        <f>IFERROR(VLOOKUP(A5365,'Base Prueba'!A:C,3,),"NO REGISTRA")</f>
        <v>YEIMY ALEXANDRA RODRIGUEZ PALACIO</v>
      </c>
      <c r="D5365" s="4" t="str">
        <f>IFERROR(VLOOKUP(A5365,'Base Prueba'!A:D,4,),"NO REGISTRA")</f>
        <v>PROMOTOR CALL CENTER</v>
      </c>
      <c r="E5365" s="5" t="str">
        <f>IFERROR(VLOOKUP(A5365,'Base Prueba'!A:E,5,),"NO REGISTRA")</f>
        <v>OFICINA DE MERCADEO</v>
      </c>
    </row>
    <row r="5366" spans="1:5" ht="15.75" x14ac:dyDescent="0.25">
      <c r="A5366" s="14">
        <v>1018413529</v>
      </c>
      <c r="B5366" s="2">
        <v>46127.778670486114</v>
      </c>
      <c r="C5366" s="3" t="str">
        <f>IFERROR(VLOOKUP(A5366,'Base Prueba'!A:C,3,),"NO REGISTRA")</f>
        <v>FRANCY STELLA CHARRY MORENO</v>
      </c>
      <c r="D5366" s="4" t="str">
        <f>IFERROR(VLOOKUP(A5366,'Base Prueba'!A:D,4,),"NO REGISTRA")</f>
        <v>PROMOTOR COMERCIAL DEL CEA</v>
      </c>
      <c r="E5366" s="5" t="str">
        <f>IFERROR(VLOOKUP(A5366,'Base Prueba'!A:E,5,),"NO REGISTRA")</f>
        <v>OFICINA DE MERCADEO</v>
      </c>
    </row>
    <row r="5367" spans="1:5" ht="15.75" x14ac:dyDescent="0.25">
      <c r="A5367" s="14">
        <v>53089882</v>
      </c>
      <c r="B5367" s="2">
        <v>46127.778719675924</v>
      </c>
      <c r="C5367" s="3" t="str">
        <f>IFERROR(VLOOKUP(A5367,'Base Prueba'!A:C,3,),"NO REGISTRA")</f>
        <v>MARIA JOHANA ESCAMILLA MARTINEZ</v>
      </c>
      <c r="D5367" s="4" t="str">
        <f>IFERROR(VLOOKUP(A5367,'Base Prueba'!A:D,4,),"NO REGISTRA")</f>
        <v>PROMOTOR DE INFORMACIÓN</v>
      </c>
      <c r="E5367" s="5" t="str">
        <f>IFERROR(VLOOKUP(A5367,'Base Prueba'!A:E,5,),"NO REGISTRA")</f>
        <v>OFICINA DE MERCADEO</v>
      </c>
    </row>
    <row r="5368" spans="1:5" ht="15.75" x14ac:dyDescent="0.25">
      <c r="A5368" s="14">
        <v>1014196857</v>
      </c>
      <c r="B5368" s="2">
        <v>46127.779202430553</v>
      </c>
      <c r="C5368" s="3" t="str">
        <f>IFERROR(VLOOKUP(A5368,'Base Prueba'!A:C,3,),"NO REGISTRA")</f>
        <v>CARLOS ANDRES JIMENEZ PARDO</v>
      </c>
      <c r="D5368" s="4" t="str">
        <f>IFERROR(VLOOKUP(A5368,'Base Prueba'!A:D,4,),"NO REGISTRA")</f>
        <v>COORDINADOR DE MARKETING DIGITAL</v>
      </c>
      <c r="E5368" s="5" t="str">
        <f>IFERROR(VLOOKUP(A5368,'Base Prueba'!A:E,5,),"NO REGISTRA")</f>
        <v>OFICINA DE MERCADEO</v>
      </c>
    </row>
    <row r="5369" spans="1:5" ht="15.75" x14ac:dyDescent="0.25">
      <c r="A5369" s="14">
        <v>1032469638</v>
      </c>
      <c r="B5369" s="2">
        <v>46127.786645023145</v>
      </c>
      <c r="C5369" s="3" t="str">
        <f>IFERROR(VLOOKUP(A5369,'Base Prueba'!A:C,3,),"NO REGISTRA")</f>
        <v>MAICOL JARBEY GUALTEROS CASTAÑEDA</v>
      </c>
      <c r="D5369" s="4" t="str">
        <f>IFERROR(VLOOKUP(A5369,'Base Prueba'!A:D,4,),"NO REGISTRA")</f>
        <v>COORDINADOR DEL SISTEMA INTERNO DE ASEGURAMIENTO DE LA CALIDAD - SIAC</v>
      </c>
      <c r="E5369" s="5" t="str">
        <f>IFERROR(VLOOKUP(A5369,'Base Prueba'!A:E,5,),"NO REGISTRA")</f>
        <v>OFICINA DE PLANEACION Y GESTION DE LA CALIDAD</v>
      </c>
    </row>
    <row r="5370" spans="1:5" ht="15.75" x14ac:dyDescent="0.25">
      <c r="A5370" s="14">
        <v>1000593372</v>
      </c>
      <c r="B5370" s="2">
        <v>46127.812348726853</v>
      </c>
      <c r="C5370" s="3" t="str">
        <f>IFERROR(VLOOKUP(A5370,'Base Prueba'!A:C,3,),"NO REGISTRA")</f>
        <v>LAURA SOFIA CHAPARRO LOPEZ</v>
      </c>
      <c r="D5370" s="4" t="str">
        <f>IFERROR(VLOOKUP(A5370,'Base Prueba'!A:D,4,),"NO REGISTRA")</f>
        <v>AUXILIAR JURIDICO</v>
      </c>
      <c r="E5370" s="5" t="str">
        <f>IFERROR(VLOOKUP(A5370,'Base Prueba'!A:E,5,),"NO REGISTRA")</f>
        <v>SECRETARIA GENERAL</v>
      </c>
    </row>
    <row r="5371" spans="1:5" ht="15.75" x14ac:dyDescent="0.25">
      <c r="A5371" s="14">
        <v>1000604979</v>
      </c>
      <c r="B5371" s="2">
        <v>46127.812368171297</v>
      </c>
      <c r="C5371" s="3" t="str">
        <f>IFERROR(VLOOKUP(A5371,'Base Prueba'!A:C,3,),"NO REGISTRA")</f>
        <v>JULIETH TATIANA PARDO PINTO</v>
      </c>
      <c r="D5371" s="4" t="str">
        <f>IFERROR(VLOOKUP(A5371,'Base Prueba'!A:D,4,),"NO REGISTRA")</f>
        <v>AUXILIAR JURIDICO</v>
      </c>
      <c r="E5371" s="5" t="str">
        <f>IFERROR(VLOOKUP(A5371,'Base Prueba'!A:E,5,),"NO REGISTRA")</f>
        <v>SECRETARIA GENERAL</v>
      </c>
    </row>
    <row r="5372" spans="1:5" ht="15.75" x14ac:dyDescent="0.25">
      <c r="A5372" s="14">
        <v>1033820146</v>
      </c>
      <c r="B5372" s="2">
        <v>46127.816583333333</v>
      </c>
      <c r="C5372" s="3" t="str">
        <f>IFERROR(VLOOKUP(A5372,'Base Prueba'!A:C,3,),"NO REGISTRA")</f>
        <v>JULIETH ALEXANDRA BUSTAMANTE RUIZ</v>
      </c>
      <c r="D5372" s="4" t="str">
        <f>IFERROR(VLOOKUP(A5372,'Base Prueba'!A:D,4,),"NO REGISTRA")</f>
        <v>AUXILIAR ADMINISTRATIVO</v>
      </c>
      <c r="E5372" s="5" t="str">
        <f>IFERROR(VLOOKUP(A5372,'Base Prueba'!A:E,5,),"NO REGISTRA")</f>
        <v>REGISTRO Y CONTROL ACADEMICO</v>
      </c>
    </row>
    <row r="5373" spans="1:5" ht="15.75" x14ac:dyDescent="0.25">
      <c r="A5373" s="14">
        <v>1013616244</v>
      </c>
      <c r="B5373" s="2">
        <v>46127.816686111109</v>
      </c>
      <c r="C5373" s="3" t="str">
        <f>IFERROR(VLOOKUP(A5373,'Base Prueba'!A:C,3,),"NO REGISTRA")</f>
        <v>DIANA CAROLINA MARIN BETANCOURT</v>
      </c>
      <c r="D5373" s="4" t="str">
        <f>IFERROR(VLOOKUP(A5373,'Base Prueba'!A:D,4,),"NO REGISTRA")</f>
        <v>AUXILIAR ADMINISTRATIVO</v>
      </c>
      <c r="E5373" s="5" t="str">
        <f>IFERROR(VLOOKUP(A5373,'Base Prueba'!A:E,5,),"NO REGISTRA")</f>
        <v>REGISTRO Y CONTROL ACADEMICO</v>
      </c>
    </row>
    <row r="5374" spans="1:5" ht="15.75" x14ac:dyDescent="0.25">
      <c r="A5374" s="14">
        <v>52474489</v>
      </c>
      <c r="B5374" s="2">
        <v>46127.81706238426</v>
      </c>
      <c r="C5374" s="3" t="str">
        <f>IFERROR(VLOOKUP(A5374,'Base Prueba'!A:C,3,),"NO REGISTRA")</f>
        <v>ADRIANA JIMENA SOTO BOCANEGRA</v>
      </c>
      <c r="D5374" s="4" t="str">
        <f>IFERROR(VLOOKUP(A5374,'Base Prueba'!A:D,4,),"NO REGISTRA")</f>
        <v>COORDINADOR DE LA OFICINA DE REGISTRO Y CONTROL</v>
      </c>
      <c r="E5374" s="5" t="str">
        <f>IFERROR(VLOOKUP(A5374,'Base Prueba'!A:E,5,),"NO REGISTRA")</f>
        <v>REGISTRO Y CONTROL ACADEMICO</v>
      </c>
    </row>
    <row r="5375" spans="1:5" ht="15.75" x14ac:dyDescent="0.25">
      <c r="A5375" s="14">
        <v>80234243</v>
      </c>
      <c r="B5375" s="2">
        <v>46127.847307986114</v>
      </c>
      <c r="C5375" s="3" t="str">
        <f>IFERROR(VLOOKUP(A5375,'Base Prueba'!A:C,3,),"NO REGISTRA")</f>
        <v>ARGENIS MARTINEZ MARTINEZ</v>
      </c>
      <c r="D5375" s="4" t="str">
        <f>IFERROR(VLOOKUP(A5375,'Base Prueba'!A:D,4,),"NO REGISTRA")</f>
        <v>LIDER CALL CENTER</v>
      </c>
      <c r="E5375" s="5" t="str">
        <f>IFERROR(VLOOKUP(A5375,'Base Prueba'!A:E,5,),"NO REGISTRA")</f>
        <v>OFICINA DE MERCADEO</v>
      </c>
    </row>
    <row r="5376" spans="1:5" ht="15.75" x14ac:dyDescent="0.25">
      <c r="A5376" s="14">
        <v>1087121273</v>
      </c>
      <c r="B5376" s="2">
        <v>46128.310403240743</v>
      </c>
      <c r="C5376" s="3" t="str">
        <f>IFERROR(VLOOKUP(A5376,'Base Prueba'!A:C,3,),"NO REGISTRA")</f>
        <v>MAYRA ALEJANDRA CASTILLO ARBOLEDA</v>
      </c>
      <c r="D5376" s="4" t="str">
        <f>IFERROR(VLOOKUP(A5376,'Base Prueba'!A:D,4,),"NO REGISTRA")</f>
        <v>APOYO INTEGRAL DE MERCADEO</v>
      </c>
      <c r="E5376" s="5" t="str">
        <f>IFERROR(VLOOKUP(A5376,'Base Prueba'!A:E,5,),"NO REGISTRA")</f>
        <v>CENTRO DE GESTION DOCUMENTAL</v>
      </c>
    </row>
    <row r="5377" spans="1:5" ht="15.75" x14ac:dyDescent="0.25">
      <c r="A5377" s="14">
        <v>1000324729</v>
      </c>
      <c r="B5377" s="2">
        <v>46128.318307060188</v>
      </c>
      <c r="C5377" s="3" t="str">
        <f>IFERROR(VLOOKUP(A5377,'Base Prueba'!A:C,3,),"NO REGISTRA")</f>
        <v>ANYIE VANESSA TINOCO CAMACHO</v>
      </c>
      <c r="D5377" s="4" t="str">
        <f>IFERROR(VLOOKUP(A5377,'Base Prueba'!A:D,4,),"NO REGISTRA")</f>
        <v>LIDER DE REGISTRO Y CONTROL</v>
      </c>
      <c r="E5377" s="5" t="str">
        <f>IFERROR(VLOOKUP(A5377,'Base Prueba'!A:E,5,),"NO REGISTRA")</f>
        <v>REGISTRO Y CONTROL ACADEMICO</v>
      </c>
    </row>
    <row r="5378" spans="1:5" ht="15.75" x14ac:dyDescent="0.25">
      <c r="A5378" s="14">
        <v>1013616244</v>
      </c>
      <c r="B5378" s="2">
        <v>46128.320993518515</v>
      </c>
      <c r="C5378" s="3" t="str">
        <f>IFERROR(VLOOKUP(A5378,'Base Prueba'!A:C,3,),"NO REGISTRA")</f>
        <v>DIANA CAROLINA MARIN BETANCOURT</v>
      </c>
      <c r="D5378" s="4" t="str">
        <f>IFERROR(VLOOKUP(A5378,'Base Prueba'!A:D,4,),"NO REGISTRA")</f>
        <v>AUXILIAR ADMINISTRATIVO</v>
      </c>
      <c r="E5378" s="5" t="str">
        <f>IFERROR(VLOOKUP(A5378,'Base Prueba'!A:E,5,),"NO REGISTRA")</f>
        <v>REGISTRO Y CONTROL ACADEMICO</v>
      </c>
    </row>
    <row r="5379" spans="1:5" ht="15.75" x14ac:dyDescent="0.25">
      <c r="A5379" s="14">
        <v>1024512067</v>
      </c>
      <c r="B5379" s="2">
        <v>46128.324208449078</v>
      </c>
      <c r="C5379" s="3" t="str">
        <f>IFERROR(VLOOKUP(A5379,'Base Prueba'!A:C,3,),"NO REGISTRA")</f>
        <v>CINDY GIOVANA SALGAR GOMEZ</v>
      </c>
      <c r="D5379" s="4" t="str">
        <f>IFERROR(VLOOKUP(A5379,'Base Prueba'!A:D,4,),"NO REGISTRA")</f>
        <v>COORDINADOR DEL SISTEMA INTEGRADO DE GESTION INSTITUCIONAL - SIGI</v>
      </c>
      <c r="E5379" s="5" t="str">
        <f>IFERROR(VLOOKUP(A5379,'Base Prueba'!A:E,5,),"NO REGISTRA")</f>
        <v>OFICINA DE PLANEACION Y GESTION DE LA CALIDAD</v>
      </c>
    </row>
    <row r="5380" spans="1:5" ht="15.75" x14ac:dyDescent="0.25">
      <c r="A5380" s="14">
        <v>1033820146</v>
      </c>
      <c r="B5380" s="2">
        <v>46128.326182175922</v>
      </c>
      <c r="C5380" s="3" t="str">
        <f>IFERROR(VLOOKUP(A5380,'Base Prueba'!A:C,3,),"NO REGISTRA")</f>
        <v>JULIETH ALEXANDRA BUSTAMANTE RUIZ</v>
      </c>
      <c r="D5380" s="4" t="str">
        <f>IFERROR(VLOOKUP(A5380,'Base Prueba'!A:D,4,),"NO REGISTRA")</f>
        <v>AUXILIAR ADMINISTRATIVO</v>
      </c>
      <c r="E5380" s="5" t="str">
        <f>IFERROR(VLOOKUP(A5380,'Base Prueba'!A:E,5,),"NO REGISTRA")</f>
        <v>REGISTRO Y CONTROL ACADEMICO</v>
      </c>
    </row>
    <row r="5381" spans="1:5" ht="15.75" x14ac:dyDescent="0.25">
      <c r="A5381" s="14">
        <v>80191732</v>
      </c>
      <c r="B5381" s="2">
        <v>46128.336121990738</v>
      </c>
      <c r="C5381" s="3" t="str">
        <f>IFERROR(VLOOKUP(A5381,'Base Prueba'!A:C,3,),"NO REGISTRA")</f>
        <v>DANIEL MAURICIO ZAMBRANO TUNJANO</v>
      </c>
      <c r="D5381" s="4" t="str">
        <f>IFERROR(VLOOKUP(A5381,'Base Prueba'!A:D,4,),"NO REGISTRA")</f>
        <v>COORDINADOR DE DISEÑO E IMAGEN INSTITUCIONAL</v>
      </c>
      <c r="E5381" s="5" t="str">
        <f>IFERROR(VLOOKUP(A5381,'Base Prueba'!A:E,5,),"NO REGISTRA")</f>
        <v>OFICINA DE MERCADEO</v>
      </c>
    </row>
    <row r="5382" spans="1:5" ht="15.75" x14ac:dyDescent="0.25">
      <c r="A5382" s="14">
        <v>1000257136</v>
      </c>
      <c r="B5382" s="2">
        <v>46128.33657511574</v>
      </c>
      <c r="C5382" s="3" t="str">
        <f>IFERROR(VLOOKUP(A5382,'Base Prueba'!A:C,3,),"NO REGISTRA")</f>
        <v>FRANCI VALENTINA CANO PUENTES</v>
      </c>
      <c r="D5382" s="4" t="str">
        <f>IFERROR(VLOOKUP(A5382,'Base Prueba'!A:D,4,),"NO REGISTRA")</f>
        <v>AUXILIAR CONTABLE</v>
      </c>
      <c r="E5382" s="5" t="str">
        <f>IFERROR(VLOOKUP(A5382,'Base Prueba'!A:E,5,),"NO REGISTRA")</f>
        <v>AREA FINANCIERA Y CONTABLE</v>
      </c>
    </row>
    <row r="5383" spans="1:5" ht="15.75" x14ac:dyDescent="0.25">
      <c r="A5383" s="14">
        <v>1013098430</v>
      </c>
      <c r="B5383" s="2">
        <v>46128.339386342595</v>
      </c>
      <c r="C5383" s="3" t="str">
        <f>IFERROR(VLOOKUP(A5383,'Base Prueba'!A:C,3,),"NO REGISTRA")</f>
        <v>ANDRES FELIPE LOPEZ ROMERO</v>
      </c>
      <c r="D5383" s="4" t="str">
        <f>IFERROR(VLOOKUP(A5383,'Base Prueba'!A:D,4,),"NO REGISTRA")</f>
        <v>APRENDIZ UNIVERSITARIO</v>
      </c>
      <c r="E5383" s="5" t="str">
        <f>IFERROR(VLOOKUP(A5383,'Base Prueba'!A:E,5,),"NO REGISTRA")</f>
        <v>OFICINA DE MERCADEO</v>
      </c>
    </row>
    <row r="5384" spans="1:5" ht="15.75" x14ac:dyDescent="0.25">
      <c r="A5384" s="14">
        <v>1193457976</v>
      </c>
      <c r="B5384" s="2">
        <v>46128.340424421294</v>
      </c>
      <c r="C5384" s="3" t="str">
        <f>IFERROR(VLOOKUP(A5384,'Base Prueba'!A:C,3,),"NO REGISTRA")</f>
        <v>SEDENIS RIVAS ASPRILLA</v>
      </c>
      <c r="D5384" s="4" t="str">
        <f>IFERROR(VLOOKUP(A5384,'Base Prueba'!A:D,4,),"NO REGISTRA")</f>
        <v>APRENDIZ UNIVERSITARIO</v>
      </c>
      <c r="E5384" s="5" t="str">
        <f>IFERROR(VLOOKUP(A5384,'Base Prueba'!A:E,5,),"NO REGISTRA")</f>
        <v>DEPARTAMENTO DE GESTION HUMANA</v>
      </c>
    </row>
    <row r="5385" spans="1:5" ht="15.75" x14ac:dyDescent="0.25">
      <c r="A5385" s="14">
        <v>1010184333</v>
      </c>
      <c r="B5385" s="2">
        <v>46128.340736226855</v>
      </c>
      <c r="C5385" s="3" t="str">
        <f>IFERROR(VLOOKUP(A5385,'Base Prueba'!A:C,3,),"NO REGISTRA")</f>
        <v>AKON ANDRES GARZON ALVAREZ</v>
      </c>
      <c r="D5385" s="4" t="str">
        <f>IFERROR(VLOOKUP(A5385,'Base Prueba'!A:D,4,),"NO REGISTRA")</f>
        <v>APRENDIZ UNIVERSITARIO</v>
      </c>
      <c r="E5385" s="5" t="str">
        <f>IFERROR(VLOOKUP(A5385,'Base Prueba'!A:E,5,),"NO REGISTRA")</f>
        <v>SECRETARIA GENERAL</v>
      </c>
    </row>
    <row r="5386" spans="1:5" ht="15.75" x14ac:dyDescent="0.25">
      <c r="A5386" s="14">
        <v>53932358</v>
      </c>
      <c r="B5386" s="2">
        <v>46128.341891782409</v>
      </c>
      <c r="C5386" s="3" t="str">
        <f>IFERROR(VLOOKUP(A5386,'Base Prueba'!A:C,3,),"NO REGISTRA")</f>
        <v>DIANA MADELEYNE GAONA RODRIGUEZ</v>
      </c>
      <c r="D5386" s="4" t="str">
        <f>IFERROR(VLOOKUP(A5386,'Base Prueba'!A:D,4,),"NO REGISTRA")</f>
        <v>CONTADOR</v>
      </c>
      <c r="E5386" s="5" t="str">
        <f>IFERROR(VLOOKUP(A5386,'Base Prueba'!A:E,5,),"NO REGISTRA")</f>
        <v>AREA FINANCIERA Y CONTABLE</v>
      </c>
    </row>
    <row r="5387" spans="1:5" ht="15.75" x14ac:dyDescent="0.25">
      <c r="A5387" s="14">
        <v>1014196857</v>
      </c>
      <c r="B5387" s="2">
        <v>46128.342116550928</v>
      </c>
      <c r="C5387" s="3" t="str">
        <f>IFERROR(VLOOKUP(A5387,'Base Prueba'!A:C,3,),"NO REGISTRA")</f>
        <v>CARLOS ANDRES JIMENEZ PARDO</v>
      </c>
      <c r="D5387" s="4" t="str">
        <f>IFERROR(VLOOKUP(A5387,'Base Prueba'!A:D,4,),"NO REGISTRA")</f>
        <v>COORDINADOR DE MARKETING DIGITAL</v>
      </c>
      <c r="E5387" s="5" t="str">
        <f>IFERROR(VLOOKUP(A5387,'Base Prueba'!A:E,5,),"NO REGISTRA")</f>
        <v>OFICINA DE MERCADEO</v>
      </c>
    </row>
    <row r="5388" spans="1:5" ht="15.75" x14ac:dyDescent="0.25">
      <c r="A5388" s="14">
        <v>1022996882</v>
      </c>
      <c r="B5388" s="2">
        <v>46128.342220949075</v>
      </c>
      <c r="C5388" s="3" t="str">
        <f>IFERROR(VLOOKUP(A5388,'Base Prueba'!A:C,3,),"NO REGISTRA")</f>
        <v>NANCY BRIGITH ALDANA GUEVARA</v>
      </c>
      <c r="D5388" s="4" t="str">
        <f>IFERROR(VLOOKUP(A5388,'Base Prueba'!A:D,4,),"NO REGISTRA")</f>
        <v>COORDINADORA DE GESTIÓN HUMANA</v>
      </c>
      <c r="E5388" s="5" t="str">
        <f>IFERROR(VLOOKUP(A5388,'Base Prueba'!A:E,5,),"NO REGISTRA")</f>
        <v>DEPARTAMENTO DE GESTION HUMANA</v>
      </c>
    </row>
    <row r="5389" spans="1:5" ht="15.75" x14ac:dyDescent="0.25">
      <c r="A5389" s="14">
        <v>1000604979</v>
      </c>
      <c r="B5389" s="2">
        <v>46128.350963541663</v>
      </c>
      <c r="C5389" s="3" t="str">
        <f>IFERROR(VLOOKUP(A5389,'Base Prueba'!A:C,3,),"NO REGISTRA")</f>
        <v>JULIETH TATIANA PARDO PINTO</v>
      </c>
      <c r="D5389" s="4" t="str">
        <f>IFERROR(VLOOKUP(A5389,'Base Prueba'!A:D,4,),"NO REGISTRA")</f>
        <v>AUXILIAR JURIDICO</v>
      </c>
      <c r="E5389" s="5" t="str">
        <f>IFERROR(VLOOKUP(A5389,'Base Prueba'!A:E,5,),"NO REGISTRA")</f>
        <v>SECRETARIA GENERAL</v>
      </c>
    </row>
    <row r="5390" spans="1:5" ht="15.75" x14ac:dyDescent="0.25">
      <c r="A5390" s="14">
        <v>1014308296</v>
      </c>
      <c r="B5390" s="2">
        <v>46128.353865972225</v>
      </c>
      <c r="C5390" s="3" t="str">
        <f>IFERROR(VLOOKUP(A5390,'Base Prueba'!A:C,3,),"NO REGISTRA")</f>
        <v>DARLENE YULIANA MORENO CELEITA</v>
      </c>
      <c r="D5390" s="4" t="str">
        <f>IFERROR(VLOOKUP(A5390,'Base Prueba'!A:D,4,),"NO REGISTRA")</f>
        <v>CAJERO PRINCIPAL</v>
      </c>
      <c r="E5390" s="5" t="str">
        <f>IFERROR(VLOOKUP(A5390,'Base Prueba'!A:E,5,),"NO REGISTRA")</f>
        <v>AREA FINANCIERA Y CONTABLE</v>
      </c>
    </row>
    <row r="5391" spans="1:5" ht="15.75" x14ac:dyDescent="0.25">
      <c r="A5391" s="14">
        <v>1014266838</v>
      </c>
      <c r="B5391" s="2">
        <v>46128.35546608796</v>
      </c>
      <c r="C5391" s="3" t="str">
        <f>IFERROR(VLOOKUP(A5391,'Base Prueba'!A:C,3,),"NO REGISTRA")</f>
        <v>JENNIFER ASTRID ROMERO HURTADO</v>
      </c>
      <c r="D5391" s="4" t="str">
        <f>IFERROR(VLOOKUP(A5391,'Base Prueba'!A:D,4,),"NO REGISTRA")</f>
        <v>LIDER DE RECAUDO</v>
      </c>
      <c r="E5391" s="5" t="str">
        <f>IFERROR(VLOOKUP(A5391,'Base Prueba'!A:E,5,),"NO REGISTRA")</f>
        <v>AREA FINANCIERA Y CONTABLE</v>
      </c>
    </row>
    <row r="5392" spans="1:5" ht="15.75" x14ac:dyDescent="0.25">
      <c r="A5392" s="14">
        <v>1023883232</v>
      </c>
      <c r="B5392" s="2">
        <v>46128.355987731484</v>
      </c>
      <c r="C5392" s="3" t="str">
        <f>IFERROR(VLOOKUP(A5392,'Base Prueba'!A:C,3,),"NO REGISTRA")</f>
        <v>MONICA ANDREA ACERO URBANO</v>
      </c>
      <c r="D5392" s="4" t="str">
        <f>IFERROR(VLOOKUP(A5392,'Base Prueba'!A:D,4,),"NO REGISTRA")</f>
        <v>APOYO INTEGRAL A GESTION HUMANA</v>
      </c>
      <c r="E5392" s="5" t="str">
        <f>IFERROR(VLOOKUP(A5392,'Base Prueba'!A:E,5,),"NO REGISTRA")</f>
        <v>DEPARTAMENTO DE GESTION HUMANA</v>
      </c>
    </row>
    <row r="5393" spans="1:5" ht="15.75" x14ac:dyDescent="0.25">
      <c r="A5393" s="14">
        <v>1013101788</v>
      </c>
      <c r="B5393" s="2">
        <v>46128.365030787034</v>
      </c>
      <c r="C5393" s="3" t="str">
        <f>IFERROR(VLOOKUP(A5393,'Base Prueba'!A:C,3,),"NO REGISTRA")</f>
        <v>SARA TANGARIFE MONTOYA</v>
      </c>
      <c r="D5393" s="4" t="str">
        <f>IFERROR(VLOOKUP(A5393,'Base Prueba'!A:D,4,),"NO REGISTRA")</f>
        <v>APRENDIZ UNIVERSITARIO</v>
      </c>
      <c r="E5393" s="5" t="str">
        <f>IFERROR(VLOOKUP(A5393,'Base Prueba'!A:E,5,),"NO REGISTRA")</f>
        <v>OFICINA DE MERCADEO</v>
      </c>
    </row>
    <row r="5394" spans="1:5" ht="15.75" x14ac:dyDescent="0.25">
      <c r="A5394" s="14">
        <v>1000593372</v>
      </c>
      <c r="B5394" s="2">
        <v>46128.365347916668</v>
      </c>
      <c r="C5394" s="3" t="str">
        <f>IFERROR(VLOOKUP(A5394,'Base Prueba'!A:C,3,),"NO REGISTRA")</f>
        <v>LAURA SOFIA CHAPARRO LOPEZ</v>
      </c>
      <c r="D5394" s="4" t="str">
        <f>IFERROR(VLOOKUP(A5394,'Base Prueba'!A:D,4,),"NO REGISTRA")</f>
        <v>AUXILIAR JURIDICO</v>
      </c>
      <c r="E5394" s="5" t="str">
        <f>IFERROR(VLOOKUP(A5394,'Base Prueba'!A:E,5,),"NO REGISTRA")</f>
        <v>SECRETARIA GENERAL</v>
      </c>
    </row>
    <row r="5395" spans="1:5" ht="15.75" x14ac:dyDescent="0.25">
      <c r="A5395" s="14">
        <v>52472386</v>
      </c>
      <c r="B5395" s="2">
        <v>46128.365974421293</v>
      </c>
      <c r="C5395" s="3" t="str">
        <f>IFERROR(VLOOKUP(A5395,'Base Prueba'!A:C,3,),"NO REGISTRA")</f>
        <v>ADRIANA MARCELA MORALES PARDO</v>
      </c>
      <c r="D5395" s="4" t="str">
        <f>IFERROR(VLOOKUP(A5395,'Base Prueba'!A:D,4,),"NO REGISTRA")</f>
        <v>PROMOTOR CALL CENTER</v>
      </c>
      <c r="E5395" s="5" t="str">
        <f>IFERROR(VLOOKUP(A5395,'Base Prueba'!A:E,5,),"NO REGISTRA")</f>
        <v>OFICINA DE MERCADEO</v>
      </c>
    </row>
    <row r="5396" spans="1:5" ht="15.75" x14ac:dyDescent="0.25">
      <c r="A5396" s="14">
        <v>1023961952</v>
      </c>
      <c r="B5396" s="2">
        <v>46128.366260879629</v>
      </c>
      <c r="C5396" s="3" t="str">
        <f>IFERROR(VLOOKUP(A5396,'Base Prueba'!A:C,3,),"NO REGISTRA")</f>
        <v>ALEJANDRO PINZON MERCHAN</v>
      </c>
      <c r="D5396" s="4" t="str">
        <f>IFERROR(VLOOKUP(A5396,'Base Prueba'!A:D,4,),"NO REGISTRA")</f>
        <v>PROMOTOR CALL CENTER</v>
      </c>
      <c r="E5396" s="5" t="str">
        <f>IFERROR(VLOOKUP(A5396,'Base Prueba'!A:E,5,),"NO REGISTRA")</f>
        <v>OFICINA DE MERCADEO</v>
      </c>
    </row>
    <row r="5397" spans="1:5" ht="15.75" x14ac:dyDescent="0.25">
      <c r="A5397" s="14">
        <v>1033709056</v>
      </c>
      <c r="B5397" s="2">
        <v>46128.366327083335</v>
      </c>
      <c r="C5397" s="3" t="str">
        <f>IFERROR(VLOOKUP(A5397,'Base Prueba'!A:C,3,),"NO REGISTRA")</f>
        <v>YEIMY ALEXANDRA RODRIGUEZ PALACIO</v>
      </c>
      <c r="D5397" s="4" t="str">
        <f>IFERROR(VLOOKUP(A5397,'Base Prueba'!A:D,4,),"NO REGISTRA")</f>
        <v>PROMOTOR CALL CENTER</v>
      </c>
      <c r="E5397" s="5" t="str">
        <f>IFERROR(VLOOKUP(A5397,'Base Prueba'!A:E,5,),"NO REGISTRA")</f>
        <v>OFICINA DE MERCADEO</v>
      </c>
    </row>
    <row r="5398" spans="1:5" ht="15.75" x14ac:dyDescent="0.25">
      <c r="A5398" s="14">
        <v>1018413529</v>
      </c>
      <c r="B5398" s="2">
        <v>46128.36729548611</v>
      </c>
      <c r="C5398" s="3" t="str">
        <f>IFERROR(VLOOKUP(A5398,'Base Prueba'!A:C,3,),"NO REGISTRA")</f>
        <v>FRANCY STELLA CHARRY MORENO</v>
      </c>
      <c r="D5398" s="4" t="str">
        <f>IFERROR(VLOOKUP(A5398,'Base Prueba'!A:D,4,),"NO REGISTRA")</f>
        <v>PROMOTOR COMERCIAL DEL CEA</v>
      </c>
      <c r="E5398" s="5" t="str">
        <f>IFERROR(VLOOKUP(A5398,'Base Prueba'!A:E,5,),"NO REGISTRA")</f>
        <v>OFICINA DE MERCADEO</v>
      </c>
    </row>
    <row r="5399" spans="1:5" ht="15.75" x14ac:dyDescent="0.25">
      <c r="A5399" s="14">
        <v>1049644802</v>
      </c>
      <c r="B5399" s="2">
        <v>46128.369561574073</v>
      </c>
      <c r="C5399" s="3" t="str">
        <f>IFERROR(VLOOKUP(A5399,'Base Prueba'!A:C,3,),"NO REGISTRA")</f>
        <v>DANIELA ALEXANDRA CIPAMOCHA BOSIGA</v>
      </c>
      <c r="D5399" s="4" t="str">
        <f>IFERROR(VLOOKUP(A5399,'Base Prueba'!A:D,4,),"NO REGISTRA")</f>
        <v>LIDER DE DATOS Y SERVICIOS</v>
      </c>
      <c r="E5399" s="5" t="str">
        <f>IFERROR(VLOOKUP(A5399,'Base Prueba'!A:E,5,),"NO REGISTRA")</f>
        <v>OFICINA DE PLANEACION Y GESTION DE LA CALIDAD</v>
      </c>
    </row>
    <row r="5400" spans="1:5" ht="15.75" x14ac:dyDescent="0.25">
      <c r="A5400" s="14">
        <v>1019105003</v>
      </c>
      <c r="B5400" s="2">
        <v>46128.370630555553</v>
      </c>
      <c r="C5400" s="3" t="str">
        <f>IFERROR(VLOOKUP(A5400,'Base Prueba'!A:C,3,),"NO REGISTRA")</f>
        <v>DAISY JULIETH GASPAR MORENO</v>
      </c>
      <c r="D5400" s="4" t="str">
        <f>IFERROR(VLOOKUP(A5400,'Base Prueba'!A:D,4,),"NO REGISTRA")</f>
        <v>PROMOTOR CALL CENTER</v>
      </c>
      <c r="E5400" s="5" t="str">
        <f>IFERROR(VLOOKUP(A5400,'Base Prueba'!A:E,5,),"NO REGISTRA")</f>
        <v>OFICINA DE MERCADEO</v>
      </c>
    </row>
    <row r="5401" spans="1:5" ht="15.75" x14ac:dyDescent="0.25">
      <c r="A5401" s="14">
        <v>52764929</v>
      </c>
      <c r="B5401" s="2">
        <v>46128.371287037036</v>
      </c>
      <c r="C5401" s="3" t="str">
        <f>IFERROR(VLOOKUP(A5401,'Base Prueba'!A:C,3,),"NO REGISTRA")</f>
        <v>GUERLY YOHANA DURAN RIVERA</v>
      </c>
      <c r="D5401" s="4" t="str">
        <f>IFERROR(VLOOKUP(A5401,'Base Prueba'!A:D,4,),"NO REGISTRA")</f>
        <v>LIDER DE VINCULACION COLEGIOS</v>
      </c>
      <c r="E5401" s="5" t="str">
        <f>IFERROR(VLOOKUP(A5401,'Base Prueba'!A:E,5,),"NO REGISTRA")</f>
        <v>OFICINA DE MERCADEO</v>
      </c>
    </row>
    <row r="5402" spans="1:5" ht="15.75" x14ac:dyDescent="0.25">
      <c r="A5402" s="14">
        <v>80234243</v>
      </c>
      <c r="B5402" s="2">
        <v>46128.373965393519</v>
      </c>
      <c r="C5402" s="3" t="str">
        <f>IFERROR(VLOOKUP(A5402,'Base Prueba'!A:C,3,),"NO REGISTRA")</f>
        <v>ARGENIS MARTINEZ MARTINEZ</v>
      </c>
      <c r="D5402" s="4" t="str">
        <f>IFERROR(VLOOKUP(A5402,'Base Prueba'!A:D,4,),"NO REGISTRA")</f>
        <v>LIDER CALL CENTER</v>
      </c>
      <c r="E5402" s="5" t="str">
        <f>IFERROR(VLOOKUP(A5402,'Base Prueba'!A:E,5,),"NO REGISTRA")</f>
        <v>OFICINA DE MERCADEO</v>
      </c>
    </row>
    <row r="5403" spans="1:5" ht="15.75" x14ac:dyDescent="0.25">
      <c r="A5403" s="14">
        <v>53089882</v>
      </c>
      <c r="B5403" s="2">
        <v>46128.377018749998</v>
      </c>
      <c r="C5403" s="3" t="str">
        <f>IFERROR(VLOOKUP(A5403,'Base Prueba'!A:C,3,),"NO REGISTRA")</f>
        <v>MARIA JOHANA ESCAMILLA MARTINEZ</v>
      </c>
      <c r="D5403" s="4" t="str">
        <f>IFERROR(VLOOKUP(A5403,'Base Prueba'!A:D,4,),"NO REGISTRA")</f>
        <v>PROMOTOR DE INFORMACIÓN</v>
      </c>
      <c r="E5403" s="5" t="str">
        <f>IFERROR(VLOOKUP(A5403,'Base Prueba'!A:E,5,),"NO REGISTRA")</f>
        <v>OFICINA DE MERCADEO</v>
      </c>
    </row>
    <row r="5404" spans="1:5" ht="15.75" x14ac:dyDescent="0.25">
      <c r="A5404" s="14">
        <v>1000046533</v>
      </c>
      <c r="B5404" s="2">
        <v>46128.377057060185</v>
      </c>
      <c r="C5404" s="3" t="str">
        <f>IFERROR(VLOOKUP(A5404,'Base Prueba'!A:C,3,),"NO REGISTRA")</f>
        <v>ERIKA JULIETH VALDERRAMA SANCHEZ</v>
      </c>
      <c r="D5404" s="4" t="str">
        <f>IFERROR(VLOOKUP(A5404,'Base Prueba'!A:D,4,),"NO REGISTRA")</f>
        <v>PROMOTOR CALL CENTER</v>
      </c>
      <c r="E5404" s="5" t="str">
        <f>IFERROR(VLOOKUP(A5404,'Base Prueba'!A:E,5,),"NO REGISTRA")</f>
        <v>OFICINA DE MERCADEO</v>
      </c>
    </row>
    <row r="5405" spans="1:5" ht="15.75" x14ac:dyDescent="0.25">
      <c r="A5405" s="14">
        <v>1012426741</v>
      </c>
      <c r="B5405" s="2">
        <v>46128.377083912033</v>
      </c>
      <c r="C5405" s="3" t="str">
        <f>IFERROR(VLOOKUP(A5405,'Base Prueba'!A:C,3,),"NO REGISTRA")</f>
        <v>CRISTIAN FABIAN ROJAS SANCENO</v>
      </c>
      <c r="D5405" s="4" t="str">
        <f>IFERROR(VLOOKUP(A5405,'Base Prueba'!A:D,4,),"NO REGISTRA")</f>
        <v>AUXILIAR DE REINTEGROS</v>
      </c>
      <c r="E5405" s="5" t="str">
        <f>IFERROR(VLOOKUP(A5405,'Base Prueba'!A:E,5,),"NO REGISTRA")</f>
        <v>DIRECCION DE BIENESTAR INSTITUCIONAL</v>
      </c>
    </row>
    <row r="5406" spans="1:5" ht="15.75" x14ac:dyDescent="0.25">
      <c r="A5406" s="14">
        <v>1018414290</v>
      </c>
      <c r="B5406" s="2">
        <v>46128.380117939814</v>
      </c>
      <c r="C5406" s="3" t="str">
        <f>IFERROR(VLOOKUP(A5406,'Base Prueba'!A:C,3,),"NO REGISTRA")</f>
        <v>AMANDA LISBETH RODRIGUEZ LEON</v>
      </c>
      <c r="D5406" s="4" t="str">
        <f>IFERROR(VLOOKUP(A5406,'Base Prueba'!A:D,4,),"NO REGISTRA")</f>
        <v>PROMOTOR CALL CENTER</v>
      </c>
      <c r="E5406" s="5" t="str">
        <f>IFERROR(VLOOKUP(A5406,'Base Prueba'!A:E,5,),"NO REGISTRA")</f>
        <v>OFICINA DE MERCADEO</v>
      </c>
    </row>
    <row r="5407" spans="1:5" ht="15.75" x14ac:dyDescent="0.25">
      <c r="A5407" s="14">
        <v>1032407386</v>
      </c>
      <c r="B5407" s="2">
        <v>46128.381088310183</v>
      </c>
      <c r="C5407" s="3" t="str">
        <f>IFERROR(VLOOKUP(A5407,'Base Prueba'!A:C,3,),"NO REGISTRA")</f>
        <v>GINA PAOLA BAEZ GALVIS</v>
      </c>
      <c r="D5407" s="4" t="str">
        <f>IFERROR(VLOOKUP(A5407,'Base Prueba'!A:D,4,),"NO REGISTRA")</f>
        <v>PROMOTOR CALL CENTER</v>
      </c>
      <c r="E5407" s="5" t="str">
        <f>IFERROR(VLOOKUP(A5407,'Base Prueba'!A:E,5,),"NO REGISTRA")</f>
        <v>OFICINA DE MERCADEO</v>
      </c>
    </row>
    <row r="5408" spans="1:5" ht="15.75" x14ac:dyDescent="0.25">
      <c r="A5408" s="14">
        <v>28798349</v>
      </c>
      <c r="B5408" s="2">
        <v>46128.385810648149</v>
      </c>
      <c r="C5408" s="3" t="str">
        <f>IFERROR(VLOOKUP(A5408,'Base Prueba'!A:C,3,),"NO REGISTRA")</f>
        <v>MARTHA ISABEL TOVAR WILLIAMS</v>
      </c>
      <c r="D5408" s="4" t="str">
        <f>IFERROR(VLOOKUP(A5408,'Base Prueba'!A:D,4,),"NO REGISTRA")</f>
        <v>PROMOTOR CALL CENTER</v>
      </c>
      <c r="E5408" s="5" t="str">
        <f>IFERROR(VLOOKUP(A5408,'Base Prueba'!A:E,5,),"NO REGISTRA")</f>
        <v>OFICINA DE MERCADEO</v>
      </c>
    </row>
    <row r="5409" spans="1:5" ht="15.75" x14ac:dyDescent="0.25">
      <c r="A5409" s="14">
        <v>1016090131</v>
      </c>
      <c r="B5409" s="2">
        <v>46128.393827199077</v>
      </c>
      <c r="C5409" s="3" t="str">
        <f>IFERROR(VLOOKUP(A5409,'Base Prueba'!A:C,3,),"NO REGISTRA")</f>
        <v>NICOLAS RODRIGUEZ PACHECO</v>
      </c>
      <c r="D5409" s="4" t="str">
        <f>IFERROR(VLOOKUP(A5409,'Base Prueba'!A:D,4,),"NO REGISTRA")</f>
        <v>COORDINADOR DE COMUNICACIONES</v>
      </c>
      <c r="E5409" s="5" t="str">
        <f>IFERROR(VLOOKUP(A5409,'Base Prueba'!A:E,5,),"NO REGISTRA")</f>
        <v>OFICINA DE MERCADEO</v>
      </c>
    </row>
    <row r="5410" spans="1:5" ht="15.75" x14ac:dyDescent="0.25">
      <c r="A5410" s="14">
        <v>52443092</v>
      </c>
      <c r="B5410" s="2">
        <v>46128.542883912036</v>
      </c>
      <c r="C5410" s="3" t="str">
        <f>IFERROR(VLOOKUP(A5410,'Base Prueba'!A:C,3,),"NO REGISTRA")</f>
        <v>LUZ MYRIAM SAAVEDRA CONTRERAS</v>
      </c>
      <c r="D5410" s="4" t="str">
        <f>IFERROR(VLOOKUP(A5410,'Base Prueba'!A:D,4,),"NO REGISTRA")</f>
        <v>AUXILIAR DE SERVICIOS</v>
      </c>
      <c r="E5410" s="5" t="str">
        <f>IFERROR(VLOOKUP(A5410,'Base Prueba'!A:E,5,),"NO REGISTRA")</f>
        <v>LOGISTICA Y SERVICIOS GENERALES</v>
      </c>
    </row>
    <row r="5411" spans="1:5" ht="15.75" x14ac:dyDescent="0.25">
      <c r="A5411" s="14">
        <v>1023961952</v>
      </c>
      <c r="B5411" s="2">
        <v>46128.707591087965</v>
      </c>
      <c r="C5411" s="3" t="str">
        <f>IFERROR(VLOOKUP(A5411,'Base Prueba'!A:C,3,),"NO REGISTRA")</f>
        <v>ALEJANDRO PINZON MERCHAN</v>
      </c>
      <c r="D5411" s="4" t="str">
        <f>IFERROR(VLOOKUP(A5411,'Base Prueba'!A:D,4,),"NO REGISTRA")</f>
        <v>PROMOTOR CALL CENTER</v>
      </c>
      <c r="E5411" s="5" t="str">
        <f>IFERROR(VLOOKUP(A5411,'Base Prueba'!A:E,5,),"NO REGISTRA")</f>
        <v>OFICINA DE MERCADEO</v>
      </c>
    </row>
    <row r="5412" spans="1:5" ht="15.75" x14ac:dyDescent="0.25">
      <c r="A5412" s="14">
        <v>1013098430</v>
      </c>
      <c r="B5412" s="2">
        <v>46128.724353819445</v>
      </c>
      <c r="C5412" s="3" t="str">
        <f>IFERROR(VLOOKUP(A5412,'Base Prueba'!A:C,3,),"NO REGISTRA")</f>
        <v>ANDRES FELIPE LOPEZ ROMERO</v>
      </c>
      <c r="D5412" s="4" t="str">
        <f>IFERROR(VLOOKUP(A5412,'Base Prueba'!A:D,4,),"NO REGISTRA")</f>
        <v>APRENDIZ UNIVERSITARIO</v>
      </c>
      <c r="E5412" s="5" t="str">
        <f>IFERROR(VLOOKUP(A5412,'Base Prueba'!A:E,5,),"NO REGISTRA")</f>
        <v>OFICINA DE MERCADEO</v>
      </c>
    </row>
    <row r="5413" spans="1:5" ht="15.75" x14ac:dyDescent="0.25">
      <c r="A5413" s="14">
        <v>1024512067</v>
      </c>
      <c r="B5413" s="2">
        <v>46128.736411342594</v>
      </c>
      <c r="C5413" s="3" t="str">
        <f>IFERROR(VLOOKUP(A5413,'Base Prueba'!A:C,3,),"NO REGISTRA")</f>
        <v>CINDY GIOVANA SALGAR GOMEZ</v>
      </c>
      <c r="D5413" s="4" t="str">
        <f>IFERROR(VLOOKUP(A5413,'Base Prueba'!A:D,4,),"NO REGISTRA")</f>
        <v>COORDINADOR DEL SISTEMA INTEGRADO DE GESTION INSTITUCIONAL - SIGI</v>
      </c>
      <c r="E5413" s="5" t="str">
        <f>IFERROR(VLOOKUP(A5413,'Base Prueba'!A:E,5,),"NO REGISTRA")</f>
        <v>OFICINA DE PLANEACION Y GESTION DE LA CALIDAD</v>
      </c>
    </row>
    <row r="5414" spans="1:5" ht="15.75" x14ac:dyDescent="0.25">
      <c r="A5414" s="14">
        <v>1012426741</v>
      </c>
      <c r="B5414" s="2">
        <v>46128.750222569448</v>
      </c>
      <c r="C5414" s="3" t="str">
        <f>IFERROR(VLOOKUP(A5414,'Base Prueba'!A:C,3,),"NO REGISTRA")</f>
        <v>CRISTIAN FABIAN ROJAS SANCENO</v>
      </c>
      <c r="D5414" s="4" t="str">
        <f>IFERROR(VLOOKUP(A5414,'Base Prueba'!A:D,4,),"NO REGISTRA")</f>
        <v>AUXILIAR DE REINTEGROS</v>
      </c>
      <c r="E5414" s="5" t="str">
        <f>IFERROR(VLOOKUP(A5414,'Base Prueba'!A:E,5,),"NO REGISTRA")</f>
        <v>DIRECCION DE BIENESTAR INSTITUCIONAL</v>
      </c>
    </row>
    <row r="5415" spans="1:5" ht="15.75" x14ac:dyDescent="0.25">
      <c r="A5415" s="14">
        <v>1014308296</v>
      </c>
      <c r="B5415" s="2">
        <v>46128.750347222223</v>
      </c>
      <c r="C5415" s="3" t="str">
        <f>IFERROR(VLOOKUP(A5415,'Base Prueba'!A:C,3,),"NO REGISTRA")</f>
        <v>DARLENE YULIANA MORENO CELEITA</v>
      </c>
      <c r="D5415" s="4" t="str">
        <f>IFERROR(VLOOKUP(A5415,'Base Prueba'!A:D,4,),"NO REGISTRA")</f>
        <v>CAJERO PRINCIPAL</v>
      </c>
      <c r="E5415" s="5" t="str">
        <f>IFERROR(VLOOKUP(A5415,'Base Prueba'!A:E,5,),"NO REGISTRA")</f>
        <v>AREA FINANCIERA Y CONTABLE</v>
      </c>
    </row>
    <row r="5416" spans="1:5" ht="15.75" x14ac:dyDescent="0.25">
      <c r="A5416" s="14">
        <v>1000046533</v>
      </c>
      <c r="B5416" s="2">
        <v>46128.75036435185</v>
      </c>
      <c r="C5416" s="3" t="str">
        <f>IFERROR(VLOOKUP(A5416,'Base Prueba'!A:C,3,),"NO REGISTRA")</f>
        <v>ERIKA JULIETH VALDERRAMA SANCHEZ</v>
      </c>
      <c r="D5416" s="4" t="str">
        <f>IFERROR(VLOOKUP(A5416,'Base Prueba'!A:D,4,),"NO REGISTRA")</f>
        <v>PROMOTOR CALL CENTER</v>
      </c>
      <c r="E5416" s="5" t="str">
        <f>IFERROR(VLOOKUP(A5416,'Base Prueba'!A:E,5,),"NO REGISTRA")</f>
        <v>OFICINA DE MERCADEO</v>
      </c>
    </row>
    <row r="5417" spans="1:5" ht="15.75" x14ac:dyDescent="0.25">
      <c r="A5417" s="14">
        <v>1030567635</v>
      </c>
      <c r="B5417" s="2">
        <v>46128.750634027776</v>
      </c>
      <c r="C5417" s="3" t="str">
        <f>IFERROR(VLOOKUP(A5417,'Base Prueba'!A:C,3,),"NO REGISTRA")</f>
        <v>JEFFERSON ANDRES BARRETO DIAZ</v>
      </c>
      <c r="D5417" s="4" t="str">
        <f>IFERROR(VLOOKUP(A5417,'Base Prueba'!A:D,4,),"NO REGISTRA")</f>
        <v>AUXILIAR DE ARCHIVO</v>
      </c>
      <c r="E5417" s="5" t="str">
        <f>IFERROR(VLOOKUP(A5417,'Base Prueba'!A:E,5,),"NO REGISTRA")</f>
        <v>CENTRO DE GESTION DOCUMENTAL</v>
      </c>
    </row>
    <row r="5418" spans="1:5" ht="15.75" x14ac:dyDescent="0.25">
      <c r="A5418" s="14">
        <v>1193457976</v>
      </c>
      <c r="B5418" s="2">
        <v>46128.750801851849</v>
      </c>
      <c r="C5418" s="3" t="str">
        <f>IFERROR(VLOOKUP(A5418,'Base Prueba'!A:C,3,),"NO REGISTRA")</f>
        <v>SEDENIS RIVAS ASPRILLA</v>
      </c>
      <c r="D5418" s="4" t="str">
        <f>IFERROR(VLOOKUP(A5418,'Base Prueba'!A:D,4,),"NO REGISTRA")</f>
        <v>APRENDIZ UNIVERSITARIO</v>
      </c>
      <c r="E5418" s="5" t="str">
        <f>IFERROR(VLOOKUP(A5418,'Base Prueba'!A:E,5,),"NO REGISTRA")</f>
        <v>DEPARTAMENTO DE GESTION HUMANA</v>
      </c>
    </row>
    <row r="5419" spans="1:5" ht="15.75" x14ac:dyDescent="0.25">
      <c r="A5419" s="14">
        <v>1010184333</v>
      </c>
      <c r="B5419" s="2">
        <v>46128.751139699074</v>
      </c>
      <c r="C5419" s="3" t="str">
        <f>IFERROR(VLOOKUP(A5419,'Base Prueba'!A:C,3,),"NO REGISTRA")</f>
        <v>AKON ANDRES GARZON ALVAREZ</v>
      </c>
      <c r="D5419" s="4" t="str">
        <f>IFERROR(VLOOKUP(A5419,'Base Prueba'!A:D,4,),"NO REGISTRA")</f>
        <v>APRENDIZ UNIVERSITARIO</v>
      </c>
      <c r="E5419" s="5" t="str">
        <f>IFERROR(VLOOKUP(A5419,'Base Prueba'!A:E,5,),"NO REGISTRA")</f>
        <v>SECRETARIA GENERAL</v>
      </c>
    </row>
    <row r="5420" spans="1:5" ht="15.75" x14ac:dyDescent="0.25">
      <c r="A5420" s="14">
        <v>1022996882</v>
      </c>
      <c r="B5420" s="2">
        <v>46128.751735763886</v>
      </c>
      <c r="C5420" s="3" t="str">
        <f>IFERROR(VLOOKUP(A5420,'Base Prueba'!A:C,3,),"NO REGISTRA")</f>
        <v>NANCY BRIGITH ALDANA GUEVARA</v>
      </c>
      <c r="D5420" s="4" t="str">
        <f>IFERROR(VLOOKUP(A5420,'Base Prueba'!A:D,4,),"NO REGISTRA")</f>
        <v>COORDINADORA DE GESTIÓN HUMANA</v>
      </c>
      <c r="E5420" s="5" t="str">
        <f>IFERROR(VLOOKUP(A5420,'Base Prueba'!A:E,5,),"NO REGISTRA")</f>
        <v>DEPARTAMENTO DE GESTION HUMANA</v>
      </c>
    </row>
    <row r="5421" spans="1:5" ht="15.75" x14ac:dyDescent="0.25">
      <c r="A5421" s="14">
        <v>1023883232</v>
      </c>
      <c r="B5421" s="2">
        <v>46128.752065393521</v>
      </c>
      <c r="C5421" s="3" t="str">
        <f>IFERROR(VLOOKUP(A5421,'Base Prueba'!A:C,3,),"NO REGISTRA")</f>
        <v>MONICA ANDREA ACERO URBANO</v>
      </c>
      <c r="D5421" s="4" t="str">
        <f>IFERROR(VLOOKUP(A5421,'Base Prueba'!A:D,4,),"NO REGISTRA")</f>
        <v>APOYO INTEGRAL A GESTION HUMANA</v>
      </c>
      <c r="E5421" s="5" t="str">
        <f>IFERROR(VLOOKUP(A5421,'Base Prueba'!A:E,5,),"NO REGISTRA")</f>
        <v>DEPARTAMENTO DE GESTION HUMANA</v>
      </c>
    </row>
    <row r="5422" spans="1:5" ht="15.75" x14ac:dyDescent="0.25">
      <c r="A5422" s="14">
        <v>1000467399</v>
      </c>
      <c r="B5422" s="2">
        <v>46128.752829282406</v>
      </c>
      <c r="C5422" s="3" t="str">
        <f>IFERROR(VLOOKUP(A5422,'Base Prueba'!A:C,3,),"NO REGISTRA")</f>
        <v>BRANDO ESTIVEN DIAZ QUIMBAYA</v>
      </c>
      <c r="D5422" s="4" t="str">
        <f>IFERROR(VLOOKUP(A5422,'Base Prueba'!A:D,4,),"NO REGISTRA")</f>
        <v>APRENDIZ UNIVERSITARIO</v>
      </c>
      <c r="E5422" s="5" t="str">
        <f>IFERROR(VLOOKUP(A5422,'Base Prueba'!A:E,5,),"NO REGISTRA")</f>
        <v>DEPARTAMENTO DE GESTION HUMANA</v>
      </c>
    </row>
    <row r="5423" spans="1:5" ht="15.75" x14ac:dyDescent="0.25">
      <c r="A5423" s="14">
        <v>1019105003</v>
      </c>
      <c r="B5423" s="2">
        <v>46128.754001041663</v>
      </c>
      <c r="C5423" s="3" t="str">
        <f>IFERROR(VLOOKUP(A5423,'Base Prueba'!A:C,3,),"NO REGISTRA")</f>
        <v>DAISY JULIETH GASPAR MORENO</v>
      </c>
      <c r="D5423" s="4" t="str">
        <f>IFERROR(VLOOKUP(A5423,'Base Prueba'!A:D,4,),"NO REGISTRA")</f>
        <v>PROMOTOR CALL CENTER</v>
      </c>
      <c r="E5423" s="5" t="str">
        <f>IFERROR(VLOOKUP(A5423,'Base Prueba'!A:E,5,),"NO REGISTRA")</f>
        <v>OFICINA DE MERCADEO</v>
      </c>
    </row>
    <row r="5424" spans="1:5" ht="15.75" x14ac:dyDescent="0.25">
      <c r="A5424" s="14">
        <v>80191732</v>
      </c>
      <c r="B5424" s="2">
        <v>46128.754681828701</v>
      </c>
      <c r="C5424" s="3" t="str">
        <f>IFERROR(VLOOKUP(A5424,'Base Prueba'!A:C,3,),"NO REGISTRA")</f>
        <v>DANIEL MAURICIO ZAMBRANO TUNJANO</v>
      </c>
      <c r="D5424" s="4" t="str">
        <f>IFERROR(VLOOKUP(A5424,'Base Prueba'!A:D,4,),"NO REGISTRA")</f>
        <v>COORDINADOR DE DISEÑO E IMAGEN INSTITUCIONAL</v>
      </c>
      <c r="E5424" s="5" t="str">
        <f>IFERROR(VLOOKUP(A5424,'Base Prueba'!A:E,5,),"NO REGISTRA")</f>
        <v>OFICINA DE MERCADEO</v>
      </c>
    </row>
    <row r="5425" spans="1:5" ht="15.75" x14ac:dyDescent="0.25">
      <c r="A5425" s="14">
        <v>52472386</v>
      </c>
      <c r="B5425" s="2">
        <v>46128.754861226851</v>
      </c>
      <c r="C5425" s="3" t="str">
        <f>IFERROR(VLOOKUP(A5425,'Base Prueba'!A:C,3,),"NO REGISTRA")</f>
        <v>ADRIANA MARCELA MORALES PARDO</v>
      </c>
      <c r="D5425" s="4" t="str">
        <f>IFERROR(VLOOKUP(A5425,'Base Prueba'!A:D,4,),"NO REGISTRA")</f>
        <v>PROMOTOR CALL CENTER</v>
      </c>
      <c r="E5425" s="5" t="str">
        <f>IFERROR(VLOOKUP(A5425,'Base Prueba'!A:E,5,),"NO REGISTRA")</f>
        <v>OFICINA DE MERCADEO</v>
      </c>
    </row>
    <row r="5426" spans="1:5" ht="15.75" x14ac:dyDescent="0.25">
      <c r="A5426" s="14">
        <v>1026599257</v>
      </c>
      <c r="B5426" s="2">
        <v>46128.75583425926</v>
      </c>
      <c r="C5426" s="3" t="str">
        <f>IFERROR(VLOOKUP(A5426,'Base Prueba'!A:C,3,),"NO REGISTRA")</f>
        <v>YESENIA PAOLA PINEDA HURTADO</v>
      </c>
      <c r="D5426" s="4" t="str">
        <f>IFERROR(VLOOKUP(A5426,'Base Prueba'!A:D,4,),"NO REGISTRA")</f>
        <v>LIDER DE COMPRAS</v>
      </c>
      <c r="E5426" s="5" t="str">
        <f>IFERROR(VLOOKUP(A5426,'Base Prueba'!A:E,5,),"NO REGISTRA")</f>
        <v>AREA ADMINISTRATIVA</v>
      </c>
    </row>
    <row r="5427" spans="1:5" ht="15.75" x14ac:dyDescent="0.25">
      <c r="A5427" s="14">
        <v>53932358</v>
      </c>
      <c r="B5427" s="2">
        <v>46128.759557986108</v>
      </c>
      <c r="C5427" s="3" t="str">
        <f>IFERROR(VLOOKUP(A5427,'Base Prueba'!A:C,3,),"NO REGISTRA")</f>
        <v>DIANA MADELEYNE GAONA RODRIGUEZ</v>
      </c>
      <c r="D5427" s="4" t="str">
        <f>IFERROR(VLOOKUP(A5427,'Base Prueba'!A:D,4,),"NO REGISTRA")</f>
        <v>CONTADOR</v>
      </c>
      <c r="E5427" s="5" t="str">
        <f>IFERROR(VLOOKUP(A5427,'Base Prueba'!A:E,5,),"NO REGISTRA")</f>
        <v>AREA FINANCIERA Y CONTABLE</v>
      </c>
    </row>
    <row r="5428" spans="1:5" ht="15.75" x14ac:dyDescent="0.25">
      <c r="A5428" s="14">
        <v>1049644802</v>
      </c>
      <c r="B5428" s="2">
        <v>46128.75957303241</v>
      </c>
      <c r="C5428" s="3" t="str">
        <f>IFERROR(VLOOKUP(A5428,'Base Prueba'!A:C,3,),"NO REGISTRA")</f>
        <v>DANIELA ALEXANDRA CIPAMOCHA BOSIGA</v>
      </c>
      <c r="D5428" s="4" t="str">
        <f>IFERROR(VLOOKUP(A5428,'Base Prueba'!A:D,4,),"NO REGISTRA")</f>
        <v>LIDER DE DATOS Y SERVICIOS</v>
      </c>
      <c r="E5428" s="5" t="str">
        <f>IFERROR(VLOOKUP(A5428,'Base Prueba'!A:E,5,),"NO REGISTRA")</f>
        <v>OFICINA DE PLANEACION Y GESTION DE LA CALIDAD</v>
      </c>
    </row>
    <row r="5429" spans="1:5" ht="15.75" x14ac:dyDescent="0.25">
      <c r="A5429" s="14">
        <v>1014266838</v>
      </c>
      <c r="B5429" s="2">
        <v>46128.759617129632</v>
      </c>
      <c r="C5429" s="3" t="str">
        <f>IFERROR(VLOOKUP(A5429,'Base Prueba'!A:C,3,),"NO REGISTRA")</f>
        <v>JENNIFER ASTRID ROMERO HURTADO</v>
      </c>
      <c r="D5429" s="4" t="str">
        <f>IFERROR(VLOOKUP(A5429,'Base Prueba'!A:D,4,),"NO REGISTRA")</f>
        <v>LIDER DE RECAUDO</v>
      </c>
      <c r="E5429" s="5" t="str">
        <f>IFERROR(VLOOKUP(A5429,'Base Prueba'!A:E,5,),"NO REGISTRA")</f>
        <v>AREA FINANCIERA Y CONTABLE</v>
      </c>
    </row>
    <row r="5430" spans="1:5" ht="15.75" x14ac:dyDescent="0.25">
      <c r="A5430" s="14">
        <v>1000257136</v>
      </c>
      <c r="B5430" s="2">
        <v>46128.762092129633</v>
      </c>
      <c r="C5430" s="3" t="str">
        <f>IFERROR(VLOOKUP(A5430,'Base Prueba'!A:C,3,),"NO REGISTRA")</f>
        <v>FRANCI VALENTINA CANO PUENTES</v>
      </c>
      <c r="D5430" s="4" t="str">
        <f>IFERROR(VLOOKUP(A5430,'Base Prueba'!A:D,4,),"NO REGISTRA")</f>
        <v>AUXILIAR CONTABLE</v>
      </c>
      <c r="E5430" s="5" t="str">
        <f>IFERROR(VLOOKUP(A5430,'Base Prueba'!A:E,5,),"NO REGISTRA")</f>
        <v>AREA FINANCIERA Y CONTABLE</v>
      </c>
    </row>
    <row r="5431" spans="1:5" ht="15.75" x14ac:dyDescent="0.25">
      <c r="A5431" s="14">
        <v>1000457706</v>
      </c>
      <c r="B5431" s="2">
        <v>46128.762583217591</v>
      </c>
      <c r="C5431" s="3" t="str">
        <f>IFERROR(VLOOKUP(A5431,'Base Prueba'!A:C,3,),"NO REGISTRA")</f>
        <v>CRISTIAN DANILO ARROYO SANABRIA</v>
      </c>
      <c r="D5431" s="4" t="str">
        <f>IFERROR(VLOOKUP(A5431,'Base Prueba'!A:D,4,),"NO REGISTRA")</f>
        <v>AUXILIAR CONTABLE</v>
      </c>
      <c r="E5431" s="5" t="str">
        <f>IFERROR(VLOOKUP(A5431,'Base Prueba'!A:E,5,),"NO REGISTRA")</f>
        <v>AREA FINANCIERA Y CONTABLE</v>
      </c>
    </row>
    <row r="5432" spans="1:5" ht="15.75" x14ac:dyDescent="0.25">
      <c r="A5432" s="14">
        <v>1033709056</v>
      </c>
      <c r="B5432" s="2">
        <v>46128.763818171297</v>
      </c>
      <c r="C5432" s="3" t="str">
        <f>IFERROR(VLOOKUP(A5432,'Base Prueba'!A:C,3,),"NO REGISTRA")</f>
        <v>YEIMY ALEXANDRA RODRIGUEZ PALACIO</v>
      </c>
      <c r="D5432" s="4" t="str">
        <f>IFERROR(VLOOKUP(A5432,'Base Prueba'!A:D,4,),"NO REGISTRA")</f>
        <v>PROMOTOR CALL CENTER</v>
      </c>
      <c r="E5432" s="5" t="str">
        <f>IFERROR(VLOOKUP(A5432,'Base Prueba'!A:E,5,),"NO REGISTRA")</f>
        <v>OFICINA DE MERCADEO</v>
      </c>
    </row>
    <row r="5433" spans="1:5" ht="15.75" x14ac:dyDescent="0.25">
      <c r="A5433" s="14">
        <v>53089882</v>
      </c>
      <c r="B5433" s="2">
        <v>46128.763939814817</v>
      </c>
      <c r="C5433" s="3" t="str">
        <f>IFERROR(VLOOKUP(A5433,'Base Prueba'!A:C,3,),"NO REGISTRA")</f>
        <v>MARIA JOHANA ESCAMILLA MARTINEZ</v>
      </c>
      <c r="D5433" s="4" t="str">
        <f>IFERROR(VLOOKUP(A5433,'Base Prueba'!A:D,4,),"NO REGISTRA")</f>
        <v>PROMOTOR DE INFORMACIÓN</v>
      </c>
      <c r="E5433" s="5" t="str">
        <f>IFERROR(VLOOKUP(A5433,'Base Prueba'!A:E,5,),"NO REGISTRA")</f>
        <v>OFICINA DE MERCADEO</v>
      </c>
    </row>
    <row r="5434" spans="1:5" ht="15.75" x14ac:dyDescent="0.25">
      <c r="A5434" s="14">
        <v>1032407386</v>
      </c>
      <c r="B5434" s="2">
        <v>46128.764055092593</v>
      </c>
      <c r="C5434" s="3" t="str">
        <f>IFERROR(VLOOKUP(A5434,'Base Prueba'!A:C,3,),"NO REGISTRA")</f>
        <v>GINA PAOLA BAEZ GALVIS</v>
      </c>
      <c r="D5434" s="4" t="str">
        <f>IFERROR(VLOOKUP(A5434,'Base Prueba'!A:D,4,),"NO REGISTRA")</f>
        <v>PROMOTOR CALL CENTER</v>
      </c>
      <c r="E5434" s="5" t="str">
        <f>IFERROR(VLOOKUP(A5434,'Base Prueba'!A:E,5,),"NO REGISTRA")</f>
        <v>OFICINA DE MERCADEO</v>
      </c>
    </row>
    <row r="5435" spans="1:5" ht="15.75" x14ac:dyDescent="0.25">
      <c r="A5435" s="14">
        <v>1018413529</v>
      </c>
      <c r="B5435" s="2">
        <v>46128.764120486114</v>
      </c>
      <c r="C5435" s="3" t="str">
        <f>IFERROR(VLOOKUP(A5435,'Base Prueba'!A:C,3,),"NO REGISTRA")</f>
        <v>FRANCY STELLA CHARRY MORENO</v>
      </c>
      <c r="D5435" s="4" t="str">
        <f>IFERROR(VLOOKUP(A5435,'Base Prueba'!A:D,4,),"NO REGISTRA")</f>
        <v>PROMOTOR COMERCIAL DEL CEA</v>
      </c>
      <c r="E5435" s="5" t="str">
        <f>IFERROR(VLOOKUP(A5435,'Base Prueba'!A:E,5,),"NO REGISTRA")</f>
        <v>OFICINA DE MERCADEO</v>
      </c>
    </row>
    <row r="5436" spans="1:5" ht="15.75" x14ac:dyDescent="0.25">
      <c r="A5436" s="14">
        <v>1000324729</v>
      </c>
      <c r="B5436" s="2">
        <v>46128.771863541668</v>
      </c>
      <c r="C5436" s="3" t="str">
        <f>IFERROR(VLOOKUP(A5436,'Base Prueba'!A:C,3,),"NO REGISTRA")</f>
        <v>ANYIE VANESSA TINOCO CAMACHO</v>
      </c>
      <c r="D5436" s="4" t="str">
        <f>IFERROR(VLOOKUP(A5436,'Base Prueba'!A:D,4,),"NO REGISTRA")</f>
        <v>LIDER DE REGISTRO Y CONTROL</v>
      </c>
      <c r="E5436" s="5" t="str">
        <f>IFERROR(VLOOKUP(A5436,'Base Prueba'!A:E,5,),"NO REGISTRA")</f>
        <v>REGISTRO Y CONTROL ACADEMICO</v>
      </c>
    </row>
    <row r="5437" spans="1:5" ht="15.75" x14ac:dyDescent="0.25">
      <c r="A5437" s="14">
        <v>1033820146</v>
      </c>
      <c r="B5437" s="2">
        <v>46128.771908101851</v>
      </c>
      <c r="C5437" s="3" t="str">
        <f>IFERROR(VLOOKUP(A5437,'Base Prueba'!A:C,3,),"NO REGISTRA")</f>
        <v>JULIETH ALEXANDRA BUSTAMANTE RUIZ</v>
      </c>
      <c r="D5437" s="4" t="str">
        <f>IFERROR(VLOOKUP(A5437,'Base Prueba'!A:D,4,),"NO REGISTRA")</f>
        <v>AUXILIAR ADMINISTRATIVO</v>
      </c>
      <c r="E5437" s="5" t="str">
        <f>IFERROR(VLOOKUP(A5437,'Base Prueba'!A:E,5,),"NO REGISTRA")</f>
        <v>REGISTRO Y CONTROL ACADEMICO</v>
      </c>
    </row>
    <row r="5438" spans="1:5" ht="15.75" x14ac:dyDescent="0.25">
      <c r="A5438" s="14">
        <v>80234243</v>
      </c>
      <c r="B5438" s="2">
        <v>46128.772596527779</v>
      </c>
      <c r="C5438" s="3" t="str">
        <f>IFERROR(VLOOKUP(A5438,'Base Prueba'!A:C,3,),"NO REGISTRA")</f>
        <v>ARGENIS MARTINEZ MARTINEZ</v>
      </c>
      <c r="D5438" s="4" t="str">
        <f>IFERROR(VLOOKUP(A5438,'Base Prueba'!A:D,4,),"NO REGISTRA")</f>
        <v>LIDER CALL CENTER</v>
      </c>
      <c r="E5438" s="5" t="str">
        <f>IFERROR(VLOOKUP(A5438,'Base Prueba'!A:E,5,),"NO REGISTRA")</f>
        <v>OFICINA DE MERCADEO</v>
      </c>
    </row>
    <row r="5439" spans="1:5" ht="15.75" x14ac:dyDescent="0.25">
      <c r="A5439" s="14">
        <v>1000593372</v>
      </c>
      <c r="B5439" s="2">
        <v>46128.776967592596</v>
      </c>
      <c r="C5439" s="3" t="str">
        <f>IFERROR(VLOOKUP(A5439,'Base Prueba'!A:C,3,),"NO REGISTRA")</f>
        <v>LAURA SOFIA CHAPARRO LOPEZ</v>
      </c>
      <c r="D5439" s="4" t="str">
        <f>IFERROR(VLOOKUP(A5439,'Base Prueba'!A:D,4,),"NO REGISTRA")</f>
        <v>AUXILIAR JURIDICO</v>
      </c>
      <c r="E5439" s="5" t="str">
        <f>IFERROR(VLOOKUP(A5439,'Base Prueba'!A:E,5,),"NO REGISTRA")</f>
        <v>SECRETARIA GENERAL</v>
      </c>
    </row>
    <row r="5440" spans="1:5" ht="15.75" x14ac:dyDescent="0.25">
      <c r="A5440" s="14">
        <v>1000604979</v>
      </c>
      <c r="B5440" s="2">
        <v>46128.776984722223</v>
      </c>
      <c r="C5440" s="3" t="str">
        <f>IFERROR(VLOOKUP(A5440,'Base Prueba'!A:C,3,),"NO REGISTRA")</f>
        <v>JULIETH TATIANA PARDO PINTO</v>
      </c>
      <c r="D5440" s="4" t="str">
        <f>IFERROR(VLOOKUP(A5440,'Base Prueba'!A:D,4,),"NO REGISTRA")</f>
        <v>AUXILIAR JURIDICO</v>
      </c>
      <c r="E5440" s="5" t="str">
        <f>IFERROR(VLOOKUP(A5440,'Base Prueba'!A:E,5,),"NO REGISTRA")</f>
        <v>SECRETARIA GENERAL</v>
      </c>
    </row>
    <row r="5441" spans="1:5" ht="15.75" x14ac:dyDescent="0.25">
      <c r="A5441" s="14">
        <v>1013101788</v>
      </c>
      <c r="B5441" s="2">
        <v>46128.785144097223</v>
      </c>
      <c r="C5441" s="3" t="str">
        <f>IFERROR(VLOOKUP(A5441,'Base Prueba'!A:C,3,),"NO REGISTRA")</f>
        <v>SARA TANGARIFE MONTOYA</v>
      </c>
      <c r="D5441" s="4" t="str">
        <f>IFERROR(VLOOKUP(A5441,'Base Prueba'!A:D,4,),"NO REGISTRA")</f>
        <v>APRENDIZ UNIVERSITARIO</v>
      </c>
      <c r="E5441" s="5" t="str">
        <f>IFERROR(VLOOKUP(A5441,'Base Prueba'!A:E,5,),"NO REGISTRA")</f>
        <v>OFICINA DE MERCADEO</v>
      </c>
    </row>
    <row r="5442" spans="1:5" ht="15.75" x14ac:dyDescent="0.25">
      <c r="A5442" s="14">
        <v>28798349</v>
      </c>
      <c r="B5442" s="2">
        <v>46128.794064351852</v>
      </c>
      <c r="C5442" s="3" t="str">
        <f>IFERROR(VLOOKUP(A5442,'Base Prueba'!A:C,3,),"NO REGISTRA")</f>
        <v>MARTHA ISABEL TOVAR WILLIAMS</v>
      </c>
      <c r="D5442" s="4" t="str">
        <f>IFERROR(VLOOKUP(A5442,'Base Prueba'!A:D,4,),"NO REGISTRA")</f>
        <v>PROMOTOR CALL CENTER</v>
      </c>
      <c r="E5442" s="5" t="str">
        <f>IFERROR(VLOOKUP(A5442,'Base Prueba'!A:E,5,),"NO REGISTRA")</f>
        <v>OFICINA DE MERCADEO</v>
      </c>
    </row>
    <row r="5443" spans="1:5" ht="15.75" x14ac:dyDescent="0.25">
      <c r="A5443" s="14">
        <v>1013616244</v>
      </c>
      <c r="B5443" s="2">
        <v>46128.799675231479</v>
      </c>
      <c r="C5443" s="3" t="str">
        <f>IFERROR(VLOOKUP(A5443,'Base Prueba'!A:C,3,),"NO REGISTRA")</f>
        <v>DIANA CAROLINA MARIN BETANCOURT</v>
      </c>
      <c r="D5443" s="4" t="str">
        <f>IFERROR(VLOOKUP(A5443,'Base Prueba'!A:D,4,),"NO REGISTRA")</f>
        <v>AUXILIAR ADMINISTRATIVO</v>
      </c>
      <c r="E5443" s="5" t="str">
        <f>IFERROR(VLOOKUP(A5443,'Base Prueba'!A:E,5,),"NO REGISTRA")</f>
        <v>REGISTRO Y CONTROL ACADEMICO</v>
      </c>
    </row>
    <row r="5444" spans="1:5" ht="15.75" x14ac:dyDescent="0.25">
      <c r="A5444" s="14">
        <v>52474489</v>
      </c>
      <c r="B5444" s="2">
        <v>46128.799697106479</v>
      </c>
      <c r="C5444" s="3" t="str">
        <f>IFERROR(VLOOKUP(A5444,'Base Prueba'!A:C,3,),"NO REGISTRA")</f>
        <v>ADRIANA JIMENA SOTO BOCANEGRA</v>
      </c>
      <c r="D5444" s="4" t="str">
        <f>IFERROR(VLOOKUP(A5444,'Base Prueba'!A:D,4,),"NO REGISTRA")</f>
        <v>COORDINADOR DE LA OFICINA DE REGISTRO Y CONTROL</v>
      </c>
      <c r="E5444" s="5" t="str">
        <f>IFERROR(VLOOKUP(A5444,'Base Prueba'!A:E,5,),"NO REGISTRA")</f>
        <v>REGISTRO Y CONTROL ACADEMICO</v>
      </c>
    </row>
    <row r="5445" spans="1:5" ht="15.75" x14ac:dyDescent="0.25">
      <c r="A5445" s="14">
        <v>1014196857</v>
      </c>
      <c r="B5445" s="2">
        <v>46128.803124652775</v>
      </c>
      <c r="C5445" s="3" t="str">
        <f>IFERROR(VLOOKUP(A5445,'Base Prueba'!A:C,3,),"NO REGISTRA")</f>
        <v>CARLOS ANDRES JIMENEZ PARDO</v>
      </c>
      <c r="D5445" s="4" t="str">
        <f>IFERROR(VLOOKUP(A5445,'Base Prueba'!A:D,4,),"NO REGISTRA")</f>
        <v>COORDINADOR DE MARKETING DIGITAL</v>
      </c>
      <c r="E5445" s="5" t="str">
        <f>IFERROR(VLOOKUP(A5445,'Base Prueba'!A:E,5,),"NO REGISTRA")</f>
        <v>OFICINA DE MERCADEO</v>
      </c>
    </row>
    <row r="5446" spans="1:5" ht="15.75" x14ac:dyDescent="0.25">
      <c r="A5446" s="14">
        <v>1087121273</v>
      </c>
      <c r="B5446" s="2">
        <v>46129.312719675923</v>
      </c>
      <c r="C5446" s="3" t="str">
        <f>IFERROR(VLOOKUP(A5446,'Base Prueba'!A:C,3,),"NO REGISTRA")</f>
        <v>MAYRA ALEJANDRA CASTILLO ARBOLEDA</v>
      </c>
      <c r="D5446" s="4" t="str">
        <f>IFERROR(VLOOKUP(A5446,'Base Prueba'!A:D,4,),"NO REGISTRA")</f>
        <v>APOYO INTEGRAL DE MERCADEO</v>
      </c>
      <c r="E5446" s="5" t="str">
        <f>IFERROR(VLOOKUP(A5446,'Base Prueba'!A:E,5,),"NO REGISTRA")</f>
        <v>CENTRO DE GESTION DOCUMENTAL</v>
      </c>
    </row>
    <row r="5447" spans="1:5" ht="15.75" x14ac:dyDescent="0.25">
      <c r="A5447" s="14">
        <v>1000324729</v>
      </c>
      <c r="B5447" s="2">
        <v>46129.323466319445</v>
      </c>
      <c r="C5447" s="3" t="str">
        <f>IFERROR(VLOOKUP(A5447,'Base Prueba'!A:C,3,),"NO REGISTRA")</f>
        <v>ANYIE VANESSA TINOCO CAMACHO</v>
      </c>
      <c r="D5447" s="4" t="str">
        <f>IFERROR(VLOOKUP(A5447,'Base Prueba'!A:D,4,),"NO REGISTRA")</f>
        <v>LIDER DE REGISTRO Y CONTROL</v>
      </c>
      <c r="E5447" s="5" t="str">
        <f>IFERROR(VLOOKUP(A5447,'Base Prueba'!A:E,5,),"NO REGISTRA")</f>
        <v>REGISTRO Y CONTROL ACADEMICO</v>
      </c>
    </row>
    <row r="5448" spans="1:5" ht="15.75" x14ac:dyDescent="0.25">
      <c r="A5448" s="14">
        <v>1014266838</v>
      </c>
      <c r="B5448" s="2">
        <v>46129.323704166665</v>
      </c>
      <c r="C5448" s="3" t="str">
        <f>IFERROR(VLOOKUP(A5448,'Base Prueba'!A:C,3,),"NO REGISTRA")</f>
        <v>JENNIFER ASTRID ROMERO HURTADO</v>
      </c>
      <c r="D5448" s="4" t="str">
        <f>IFERROR(VLOOKUP(A5448,'Base Prueba'!A:D,4,),"NO REGISTRA")</f>
        <v>LIDER DE RECAUDO</v>
      </c>
      <c r="E5448" s="5" t="str">
        <f>IFERROR(VLOOKUP(A5448,'Base Prueba'!A:E,5,),"NO REGISTRA")</f>
        <v>AREA FINANCIERA Y CONTABLE</v>
      </c>
    </row>
    <row r="5449" spans="1:5" ht="15.75" x14ac:dyDescent="0.25">
      <c r="A5449" s="14">
        <v>1033820146</v>
      </c>
      <c r="B5449" s="2">
        <v>46129.331345601851</v>
      </c>
      <c r="C5449" s="3" t="str">
        <f>IFERROR(VLOOKUP(A5449,'Base Prueba'!A:C,3,),"NO REGISTRA")</f>
        <v>JULIETH ALEXANDRA BUSTAMANTE RUIZ</v>
      </c>
      <c r="D5449" s="4" t="str">
        <f>IFERROR(VLOOKUP(A5449,'Base Prueba'!A:D,4,),"NO REGISTRA")</f>
        <v>AUXILIAR ADMINISTRATIVO</v>
      </c>
      <c r="E5449" s="5" t="str">
        <f>IFERROR(VLOOKUP(A5449,'Base Prueba'!A:E,5,),"NO REGISTRA")</f>
        <v>REGISTRO Y CONTROL ACADEMICO</v>
      </c>
    </row>
    <row r="5450" spans="1:5" ht="15.75" x14ac:dyDescent="0.25">
      <c r="A5450" s="14">
        <v>1010184333</v>
      </c>
      <c r="B5450" s="2">
        <v>46129.33335277778</v>
      </c>
      <c r="C5450" s="3" t="str">
        <f>IFERROR(VLOOKUP(A5450,'Base Prueba'!A:C,3,),"NO REGISTRA")</f>
        <v>AKON ANDRES GARZON ALVAREZ</v>
      </c>
      <c r="D5450" s="4" t="str">
        <f>IFERROR(VLOOKUP(A5450,'Base Prueba'!A:D,4,),"NO REGISTRA")</f>
        <v>APRENDIZ UNIVERSITARIO</v>
      </c>
      <c r="E5450" s="5" t="str">
        <f>IFERROR(VLOOKUP(A5450,'Base Prueba'!A:E,5,),"NO REGISTRA")</f>
        <v>SECRETARIA GENERAL</v>
      </c>
    </row>
    <row r="5451" spans="1:5" ht="15.75" x14ac:dyDescent="0.25">
      <c r="A5451" s="14">
        <v>1013098430</v>
      </c>
      <c r="B5451" s="2">
        <v>46129.334936921296</v>
      </c>
      <c r="C5451" s="3" t="str">
        <f>IFERROR(VLOOKUP(A5451,'Base Prueba'!A:C,3,),"NO REGISTRA")</f>
        <v>ANDRES FELIPE LOPEZ ROMERO</v>
      </c>
      <c r="D5451" s="4" t="str">
        <f>IFERROR(VLOOKUP(A5451,'Base Prueba'!A:D,4,),"NO REGISTRA")</f>
        <v>APRENDIZ UNIVERSITARIO</v>
      </c>
      <c r="E5451" s="5" t="str">
        <f>IFERROR(VLOOKUP(A5451,'Base Prueba'!A:E,5,),"NO REGISTRA")</f>
        <v>OFICINA DE MERCADEO</v>
      </c>
    </row>
    <row r="5452" spans="1:5" ht="15.75" x14ac:dyDescent="0.25">
      <c r="A5452" s="14">
        <v>1024512067</v>
      </c>
      <c r="B5452" s="2">
        <v>46129.336311574072</v>
      </c>
      <c r="C5452" s="3" t="str">
        <f>IFERROR(VLOOKUP(A5452,'Base Prueba'!A:C,3,),"NO REGISTRA")</f>
        <v>CINDY GIOVANA SALGAR GOMEZ</v>
      </c>
      <c r="D5452" s="4" t="str">
        <f>IFERROR(VLOOKUP(A5452,'Base Prueba'!A:D,4,),"NO REGISTRA")</f>
        <v>COORDINADOR DEL SISTEMA INTEGRADO DE GESTION INSTITUCIONAL - SIGI</v>
      </c>
      <c r="E5452" s="5" t="str">
        <f>IFERROR(VLOOKUP(A5452,'Base Prueba'!A:E,5,),"NO REGISTRA")</f>
        <v>OFICINA DE PLANEACION Y GESTION DE LA CALIDAD</v>
      </c>
    </row>
    <row r="5453" spans="1:5" ht="15.75" x14ac:dyDescent="0.25">
      <c r="A5453" s="14">
        <v>1049644802</v>
      </c>
      <c r="B5453" s="2">
        <v>46129.337854050929</v>
      </c>
      <c r="C5453" s="3" t="str">
        <f>IFERROR(VLOOKUP(A5453,'Base Prueba'!A:C,3,),"NO REGISTRA")</f>
        <v>DANIELA ALEXANDRA CIPAMOCHA BOSIGA</v>
      </c>
      <c r="D5453" s="4" t="str">
        <f>IFERROR(VLOOKUP(A5453,'Base Prueba'!A:D,4,),"NO REGISTRA")</f>
        <v>LIDER DE DATOS Y SERVICIOS</v>
      </c>
      <c r="E5453" s="5" t="str">
        <f>IFERROR(VLOOKUP(A5453,'Base Prueba'!A:E,5,),"NO REGISTRA")</f>
        <v>OFICINA DE PLANEACION Y GESTION DE LA CALIDAD</v>
      </c>
    </row>
    <row r="5454" spans="1:5" ht="15.75" x14ac:dyDescent="0.25">
      <c r="A5454" s="14">
        <v>1013616244</v>
      </c>
      <c r="B5454" s="2">
        <v>46129.337968287036</v>
      </c>
      <c r="C5454" s="3" t="str">
        <f>IFERROR(VLOOKUP(A5454,'Base Prueba'!A:C,3,),"NO REGISTRA")</f>
        <v>DIANA CAROLINA MARIN BETANCOURT</v>
      </c>
      <c r="D5454" s="4" t="str">
        <f>IFERROR(VLOOKUP(A5454,'Base Prueba'!A:D,4,),"NO REGISTRA")</f>
        <v>AUXILIAR ADMINISTRATIVO</v>
      </c>
      <c r="E5454" s="5" t="str">
        <f>IFERROR(VLOOKUP(A5454,'Base Prueba'!A:E,5,),"NO REGISTRA")</f>
        <v>REGISTRO Y CONTROL ACADEMICO</v>
      </c>
    </row>
    <row r="5455" spans="1:5" ht="15.75" x14ac:dyDescent="0.25">
      <c r="A5455" s="14">
        <v>80191732</v>
      </c>
      <c r="B5455" s="2">
        <v>46129.339989236112</v>
      </c>
      <c r="C5455" s="3" t="str">
        <f>IFERROR(VLOOKUP(A5455,'Base Prueba'!A:C,3,),"NO REGISTRA")</f>
        <v>DANIEL MAURICIO ZAMBRANO TUNJANO</v>
      </c>
      <c r="D5455" s="4" t="str">
        <f>IFERROR(VLOOKUP(A5455,'Base Prueba'!A:D,4,),"NO REGISTRA")</f>
        <v>COORDINADOR DE DISEÑO E IMAGEN INSTITUCIONAL</v>
      </c>
      <c r="E5455" s="5" t="str">
        <f>IFERROR(VLOOKUP(A5455,'Base Prueba'!A:E,5,),"NO REGISTRA")</f>
        <v>OFICINA DE MERCADEO</v>
      </c>
    </row>
    <row r="5456" spans="1:5" ht="15.75" x14ac:dyDescent="0.25">
      <c r="A5456" s="14">
        <v>1022996882</v>
      </c>
      <c r="B5456" s="2">
        <v>46129.345858217595</v>
      </c>
      <c r="C5456" s="3" t="str">
        <f>IFERROR(VLOOKUP(A5456,'Base Prueba'!A:C,3,),"NO REGISTRA")</f>
        <v>NANCY BRIGITH ALDANA GUEVARA</v>
      </c>
      <c r="D5456" s="4" t="str">
        <f>IFERROR(VLOOKUP(A5456,'Base Prueba'!A:D,4,),"NO REGISTRA")</f>
        <v>COORDINADORA DE GESTIÓN HUMANA</v>
      </c>
      <c r="E5456" s="5" t="str">
        <f>IFERROR(VLOOKUP(A5456,'Base Prueba'!A:E,5,),"NO REGISTRA")</f>
        <v>DEPARTAMENTO DE GESTION HUMANA</v>
      </c>
    </row>
    <row r="5457" spans="1:5" ht="15.75" x14ac:dyDescent="0.25">
      <c r="A5457" s="14">
        <v>1193457976</v>
      </c>
      <c r="B5457" s="2">
        <v>46129.347347106479</v>
      </c>
      <c r="C5457" s="3" t="str">
        <f>IFERROR(VLOOKUP(A5457,'Base Prueba'!A:C,3,),"NO REGISTRA")</f>
        <v>SEDENIS RIVAS ASPRILLA</v>
      </c>
      <c r="D5457" s="4" t="str">
        <f>IFERROR(VLOOKUP(A5457,'Base Prueba'!A:D,4,),"NO REGISTRA")</f>
        <v>APRENDIZ UNIVERSITARIO</v>
      </c>
      <c r="E5457" s="5" t="str">
        <f>IFERROR(VLOOKUP(A5457,'Base Prueba'!A:E,5,),"NO REGISTRA")</f>
        <v>DEPARTAMENTO DE GESTION HUMANA</v>
      </c>
    </row>
    <row r="5458" spans="1:5" ht="15.75" x14ac:dyDescent="0.25">
      <c r="A5458" s="14">
        <v>1023883232</v>
      </c>
      <c r="B5458" s="2">
        <v>46129.349326967589</v>
      </c>
      <c r="C5458" s="3" t="str">
        <f>IFERROR(VLOOKUP(A5458,'Base Prueba'!A:C,3,),"NO REGISTRA")</f>
        <v>MONICA ANDREA ACERO URBANO</v>
      </c>
      <c r="D5458" s="4" t="str">
        <f>IFERROR(VLOOKUP(A5458,'Base Prueba'!A:D,4,),"NO REGISTRA")</f>
        <v>APOYO INTEGRAL A GESTION HUMANA</v>
      </c>
      <c r="E5458" s="5" t="str">
        <f>IFERROR(VLOOKUP(A5458,'Base Prueba'!A:E,5,),"NO REGISTRA")</f>
        <v>DEPARTAMENTO DE GESTION HUMANA</v>
      </c>
    </row>
    <row r="5459" spans="1:5" ht="15.75" x14ac:dyDescent="0.25">
      <c r="A5459" s="14">
        <v>1018413529</v>
      </c>
      <c r="B5459" s="2">
        <v>46129.352109259256</v>
      </c>
      <c r="C5459" s="3" t="str">
        <f>IFERROR(VLOOKUP(A5459,'Base Prueba'!A:C,3,),"NO REGISTRA")</f>
        <v>FRANCY STELLA CHARRY MORENO</v>
      </c>
      <c r="D5459" s="4" t="str">
        <f>IFERROR(VLOOKUP(A5459,'Base Prueba'!A:D,4,),"NO REGISTRA")</f>
        <v>PROMOTOR COMERCIAL DEL CEA</v>
      </c>
      <c r="E5459" s="5" t="str">
        <f>IFERROR(VLOOKUP(A5459,'Base Prueba'!A:E,5,),"NO REGISTRA")</f>
        <v>OFICINA DE MERCADEO</v>
      </c>
    </row>
    <row r="5460" spans="1:5" ht="15.75" x14ac:dyDescent="0.25">
      <c r="A5460" s="14">
        <v>53932358</v>
      </c>
      <c r="B5460" s="2">
        <v>46129.35812326389</v>
      </c>
      <c r="C5460" s="3" t="str">
        <f>IFERROR(VLOOKUP(A5460,'Base Prueba'!A:C,3,),"NO REGISTRA")</f>
        <v>DIANA MADELEYNE GAONA RODRIGUEZ</v>
      </c>
      <c r="D5460" s="4" t="str">
        <f>IFERROR(VLOOKUP(A5460,'Base Prueba'!A:D,4,),"NO REGISTRA")</f>
        <v>CONTADOR</v>
      </c>
      <c r="E5460" s="5" t="str">
        <f>IFERROR(VLOOKUP(A5460,'Base Prueba'!A:E,5,),"NO REGISTRA")</f>
        <v>AREA FINANCIERA Y CONTABLE</v>
      </c>
    </row>
    <row r="5461" spans="1:5" ht="15.75" x14ac:dyDescent="0.25">
      <c r="A5461" s="14">
        <v>1000457706</v>
      </c>
      <c r="B5461" s="2">
        <v>46129.358720254633</v>
      </c>
      <c r="C5461" s="3" t="str">
        <f>IFERROR(VLOOKUP(A5461,'Base Prueba'!A:C,3,),"NO REGISTRA")</f>
        <v>CRISTIAN DANILO ARROYO SANABRIA</v>
      </c>
      <c r="D5461" s="4" t="str">
        <f>IFERROR(VLOOKUP(A5461,'Base Prueba'!A:D,4,),"NO REGISTRA")</f>
        <v>AUXILIAR CONTABLE</v>
      </c>
      <c r="E5461" s="5" t="str">
        <f>IFERROR(VLOOKUP(A5461,'Base Prueba'!A:E,5,),"NO REGISTRA")</f>
        <v>AREA FINANCIERA Y CONTABLE</v>
      </c>
    </row>
    <row r="5462" spans="1:5" ht="15.75" x14ac:dyDescent="0.25">
      <c r="A5462" s="14">
        <v>1000604979</v>
      </c>
      <c r="B5462" s="2">
        <v>46129.362184722224</v>
      </c>
      <c r="C5462" s="3" t="str">
        <f>IFERROR(VLOOKUP(A5462,'Base Prueba'!A:C,3,),"NO REGISTRA")</f>
        <v>JULIETH TATIANA PARDO PINTO</v>
      </c>
      <c r="D5462" s="4" t="str">
        <f>IFERROR(VLOOKUP(A5462,'Base Prueba'!A:D,4,),"NO REGISTRA")</f>
        <v>AUXILIAR JURIDICO</v>
      </c>
      <c r="E5462" s="5" t="str">
        <f>IFERROR(VLOOKUP(A5462,'Base Prueba'!A:E,5,),"NO REGISTRA")</f>
        <v>SECRETARIA GENERAL</v>
      </c>
    </row>
    <row r="5463" spans="1:5" ht="15.75" x14ac:dyDescent="0.25">
      <c r="A5463" s="14">
        <v>1013101788</v>
      </c>
      <c r="B5463" s="2">
        <v>46129.365046064813</v>
      </c>
      <c r="C5463" s="3" t="str">
        <f>IFERROR(VLOOKUP(A5463,'Base Prueba'!A:C,3,),"NO REGISTRA")</f>
        <v>SARA TANGARIFE MONTOYA</v>
      </c>
      <c r="D5463" s="4" t="str">
        <f>IFERROR(VLOOKUP(A5463,'Base Prueba'!A:D,4,),"NO REGISTRA")</f>
        <v>APRENDIZ UNIVERSITARIO</v>
      </c>
      <c r="E5463" s="5" t="str">
        <f>IFERROR(VLOOKUP(A5463,'Base Prueba'!A:E,5,),"NO REGISTRA")</f>
        <v>OFICINA DE MERCADEO</v>
      </c>
    </row>
    <row r="5464" spans="1:5" ht="15.75" x14ac:dyDescent="0.25">
      <c r="A5464" s="14">
        <v>1033709056</v>
      </c>
      <c r="B5464" s="2">
        <v>46129.36677685185</v>
      </c>
      <c r="C5464" s="3" t="str">
        <f>IFERROR(VLOOKUP(A5464,'Base Prueba'!A:C,3,),"NO REGISTRA")</f>
        <v>YEIMY ALEXANDRA RODRIGUEZ PALACIO</v>
      </c>
      <c r="D5464" s="4" t="str">
        <f>IFERROR(VLOOKUP(A5464,'Base Prueba'!A:D,4,),"NO REGISTRA")</f>
        <v>PROMOTOR CALL CENTER</v>
      </c>
      <c r="E5464" s="5" t="str">
        <f>IFERROR(VLOOKUP(A5464,'Base Prueba'!A:E,5,),"NO REGISTRA")</f>
        <v>OFICINA DE MERCADEO</v>
      </c>
    </row>
    <row r="5465" spans="1:5" ht="15.75" x14ac:dyDescent="0.25">
      <c r="A5465" s="14">
        <v>1032407386</v>
      </c>
      <c r="B5465" s="2">
        <v>46129.367606018517</v>
      </c>
      <c r="C5465" s="3" t="str">
        <f>IFERROR(VLOOKUP(A5465,'Base Prueba'!A:C,3,),"NO REGISTRA")</f>
        <v>GINA PAOLA BAEZ GALVIS</v>
      </c>
      <c r="D5465" s="4" t="str">
        <f>IFERROR(VLOOKUP(A5465,'Base Prueba'!A:D,4,),"NO REGISTRA")</f>
        <v>PROMOTOR CALL CENTER</v>
      </c>
      <c r="E5465" s="5" t="str">
        <f>IFERROR(VLOOKUP(A5465,'Base Prueba'!A:E,5,),"NO REGISTRA")</f>
        <v>OFICINA DE MERCADEO</v>
      </c>
    </row>
    <row r="5466" spans="1:5" ht="15.75" x14ac:dyDescent="0.25">
      <c r="A5466" s="14">
        <v>1000593372</v>
      </c>
      <c r="B5466" s="2">
        <v>46129.367850000002</v>
      </c>
      <c r="C5466" s="3" t="str">
        <f>IFERROR(VLOOKUP(A5466,'Base Prueba'!A:C,3,),"NO REGISTRA")</f>
        <v>LAURA SOFIA CHAPARRO LOPEZ</v>
      </c>
      <c r="D5466" s="4" t="str">
        <f>IFERROR(VLOOKUP(A5466,'Base Prueba'!A:D,4,),"NO REGISTRA")</f>
        <v>AUXILIAR JURIDICO</v>
      </c>
      <c r="E5466" s="5" t="str">
        <f>IFERROR(VLOOKUP(A5466,'Base Prueba'!A:E,5,),"NO REGISTRA")</f>
        <v>SECRETARIA GENERAL</v>
      </c>
    </row>
    <row r="5467" spans="1:5" ht="15.75" x14ac:dyDescent="0.25">
      <c r="A5467" s="14">
        <v>52472386</v>
      </c>
      <c r="B5467" s="2">
        <v>46129.371226620373</v>
      </c>
      <c r="C5467" s="3" t="str">
        <f>IFERROR(VLOOKUP(A5467,'Base Prueba'!A:C,3,),"NO REGISTRA")</f>
        <v>ADRIANA MARCELA MORALES PARDO</v>
      </c>
      <c r="D5467" s="4" t="str">
        <f>IFERROR(VLOOKUP(A5467,'Base Prueba'!A:D,4,),"NO REGISTRA")</f>
        <v>PROMOTOR CALL CENTER</v>
      </c>
      <c r="E5467" s="5" t="str">
        <f>IFERROR(VLOOKUP(A5467,'Base Prueba'!A:E,5,),"NO REGISTRA")</f>
        <v>OFICINA DE MERCADEO</v>
      </c>
    </row>
    <row r="5468" spans="1:5" ht="15.75" x14ac:dyDescent="0.25">
      <c r="A5468" s="14">
        <v>28798349</v>
      </c>
      <c r="B5468" s="2">
        <v>46129.371539467589</v>
      </c>
      <c r="C5468" s="3" t="str">
        <f>IFERROR(VLOOKUP(A5468,'Base Prueba'!A:C,3,),"NO REGISTRA")</f>
        <v>MARTHA ISABEL TOVAR WILLIAMS</v>
      </c>
      <c r="D5468" s="4" t="str">
        <f>IFERROR(VLOOKUP(A5468,'Base Prueba'!A:D,4,),"NO REGISTRA")</f>
        <v>PROMOTOR CALL CENTER</v>
      </c>
      <c r="E5468" s="5" t="str">
        <f>IFERROR(VLOOKUP(A5468,'Base Prueba'!A:E,5,),"NO REGISTRA")</f>
        <v>OFICINA DE MERCADEO</v>
      </c>
    </row>
    <row r="5469" spans="1:5" ht="15.75" x14ac:dyDescent="0.25">
      <c r="A5469" s="14">
        <v>1023961952</v>
      </c>
      <c r="B5469" s="2">
        <v>46129.371579050923</v>
      </c>
      <c r="C5469" s="3" t="str">
        <f>IFERROR(VLOOKUP(A5469,'Base Prueba'!A:C,3,),"NO REGISTRA")</f>
        <v>ALEJANDRO PINZON MERCHAN</v>
      </c>
      <c r="D5469" s="4" t="str">
        <f>IFERROR(VLOOKUP(A5469,'Base Prueba'!A:D,4,),"NO REGISTRA")</f>
        <v>PROMOTOR CALL CENTER</v>
      </c>
      <c r="E5469" s="5" t="str">
        <f>IFERROR(VLOOKUP(A5469,'Base Prueba'!A:E,5,),"NO REGISTRA")</f>
        <v>OFICINA DE MERCADEO</v>
      </c>
    </row>
    <row r="5470" spans="1:5" ht="15.75" x14ac:dyDescent="0.25">
      <c r="A5470" s="14">
        <v>52764929</v>
      </c>
      <c r="B5470" s="2">
        <v>46129.371739120368</v>
      </c>
      <c r="C5470" s="3" t="str">
        <f>IFERROR(VLOOKUP(A5470,'Base Prueba'!A:C,3,),"NO REGISTRA")</f>
        <v>GUERLY YOHANA DURAN RIVERA</v>
      </c>
      <c r="D5470" s="4" t="str">
        <f>IFERROR(VLOOKUP(A5470,'Base Prueba'!A:D,4,),"NO REGISTRA")</f>
        <v>LIDER DE VINCULACION COLEGIOS</v>
      </c>
      <c r="E5470" s="5" t="str">
        <f>IFERROR(VLOOKUP(A5470,'Base Prueba'!A:E,5,),"NO REGISTRA")</f>
        <v>OFICINA DE MERCADEO</v>
      </c>
    </row>
    <row r="5471" spans="1:5" ht="15.75" x14ac:dyDescent="0.25">
      <c r="A5471" s="14">
        <v>80234243</v>
      </c>
      <c r="B5471" s="2">
        <v>46129.371782986113</v>
      </c>
      <c r="C5471" s="3" t="str">
        <f>IFERROR(VLOOKUP(A5471,'Base Prueba'!A:C,3,),"NO REGISTRA")</f>
        <v>ARGENIS MARTINEZ MARTINEZ</v>
      </c>
      <c r="D5471" s="4" t="str">
        <f>IFERROR(VLOOKUP(A5471,'Base Prueba'!A:D,4,),"NO REGISTRA")</f>
        <v>LIDER CALL CENTER</v>
      </c>
      <c r="E5471" s="5" t="str">
        <f>IFERROR(VLOOKUP(A5471,'Base Prueba'!A:E,5,),"NO REGISTRA")</f>
        <v>OFICINA DE MERCADEO</v>
      </c>
    </row>
    <row r="5472" spans="1:5" ht="15.75" x14ac:dyDescent="0.25">
      <c r="A5472" s="14">
        <v>1019105003</v>
      </c>
      <c r="B5472" s="2">
        <v>46129.373900347222</v>
      </c>
      <c r="C5472" s="3" t="str">
        <f>IFERROR(VLOOKUP(A5472,'Base Prueba'!A:C,3,),"NO REGISTRA")</f>
        <v>DAISY JULIETH GASPAR MORENO</v>
      </c>
      <c r="D5472" s="4" t="str">
        <f>IFERROR(VLOOKUP(A5472,'Base Prueba'!A:D,4,),"NO REGISTRA")</f>
        <v>PROMOTOR CALL CENTER</v>
      </c>
      <c r="E5472" s="5" t="str">
        <f>IFERROR(VLOOKUP(A5472,'Base Prueba'!A:E,5,),"NO REGISTRA")</f>
        <v>OFICINA DE MERCADEO</v>
      </c>
    </row>
    <row r="5473" spans="1:5" ht="15.75" x14ac:dyDescent="0.25">
      <c r="A5473" s="14">
        <v>1012426741</v>
      </c>
      <c r="B5473" s="2">
        <v>46129.375406597224</v>
      </c>
      <c r="C5473" s="3" t="str">
        <f>IFERROR(VLOOKUP(A5473,'Base Prueba'!A:C,3,),"NO REGISTRA")</f>
        <v>CRISTIAN FABIAN ROJAS SANCENO</v>
      </c>
      <c r="D5473" s="4" t="str">
        <f>IFERROR(VLOOKUP(A5473,'Base Prueba'!A:D,4,),"NO REGISTRA")</f>
        <v>AUXILIAR DE REINTEGROS</v>
      </c>
      <c r="E5473" s="5" t="str">
        <f>IFERROR(VLOOKUP(A5473,'Base Prueba'!A:E,5,),"NO REGISTRA")</f>
        <v>DIRECCION DE BIENESTAR INSTITUCIONAL</v>
      </c>
    </row>
    <row r="5474" spans="1:5" ht="15.75" x14ac:dyDescent="0.25">
      <c r="A5474" s="14">
        <v>53089882</v>
      </c>
      <c r="B5474" s="2">
        <v>46129.377230439815</v>
      </c>
      <c r="C5474" s="3" t="str">
        <f>IFERROR(VLOOKUP(A5474,'Base Prueba'!A:C,3,),"NO REGISTRA")</f>
        <v>MARIA JOHANA ESCAMILLA MARTINEZ</v>
      </c>
      <c r="D5474" s="4" t="str">
        <f>IFERROR(VLOOKUP(A5474,'Base Prueba'!A:D,4,),"NO REGISTRA")</f>
        <v>PROMOTOR DE INFORMACIÓN</v>
      </c>
      <c r="E5474" s="5" t="str">
        <f>IFERROR(VLOOKUP(A5474,'Base Prueba'!A:E,5,),"NO REGISTRA")</f>
        <v>OFICINA DE MERCADEO</v>
      </c>
    </row>
    <row r="5475" spans="1:5" ht="15.75" x14ac:dyDescent="0.25">
      <c r="A5475" s="14">
        <v>1016090131</v>
      </c>
      <c r="B5475" s="2">
        <v>46129.385168402776</v>
      </c>
      <c r="C5475" s="3" t="str">
        <f>IFERROR(VLOOKUP(A5475,'Base Prueba'!A:C,3,),"NO REGISTRA")</f>
        <v>NICOLAS RODRIGUEZ PACHECO</v>
      </c>
      <c r="D5475" s="4" t="str">
        <f>IFERROR(VLOOKUP(A5475,'Base Prueba'!A:D,4,),"NO REGISTRA")</f>
        <v>COORDINADOR DE COMUNICACIONES</v>
      </c>
      <c r="E5475" s="5" t="str">
        <f>IFERROR(VLOOKUP(A5475,'Base Prueba'!A:E,5,),"NO REGISTRA")</f>
        <v>OFICINA DE MERCADEO</v>
      </c>
    </row>
    <row r="5476" spans="1:5" ht="15.75" x14ac:dyDescent="0.25">
      <c r="A5476" s="14">
        <v>1000046533</v>
      </c>
      <c r="B5476" s="2">
        <v>46129.385200810182</v>
      </c>
      <c r="C5476" s="3" t="str">
        <f>IFERROR(VLOOKUP(A5476,'Base Prueba'!A:C,3,),"NO REGISTRA")</f>
        <v>ERIKA JULIETH VALDERRAMA SANCHEZ</v>
      </c>
      <c r="D5476" s="4" t="str">
        <f>IFERROR(VLOOKUP(A5476,'Base Prueba'!A:D,4,),"NO REGISTRA")</f>
        <v>PROMOTOR CALL CENTER</v>
      </c>
      <c r="E5476" s="5" t="str">
        <f>IFERROR(VLOOKUP(A5476,'Base Prueba'!A:E,5,),"NO REGISTRA")</f>
        <v>OFICINA DE MERCADEO</v>
      </c>
    </row>
    <row r="5477" spans="1:5" ht="15.75" x14ac:dyDescent="0.25">
      <c r="A5477" s="14">
        <v>1018414290</v>
      </c>
      <c r="B5477" s="2">
        <v>46129.387684027781</v>
      </c>
      <c r="C5477" s="3" t="str">
        <f>IFERROR(VLOOKUP(A5477,'Base Prueba'!A:C,3,),"NO REGISTRA")</f>
        <v>AMANDA LISBETH RODRIGUEZ LEON</v>
      </c>
      <c r="D5477" s="4" t="str">
        <f>IFERROR(VLOOKUP(A5477,'Base Prueba'!A:D,4,),"NO REGISTRA")</f>
        <v>PROMOTOR CALL CENTER</v>
      </c>
      <c r="E5477" s="5" t="str">
        <f>IFERROR(VLOOKUP(A5477,'Base Prueba'!A:E,5,),"NO REGISTRA")</f>
        <v>OFICINA DE MERCADEO</v>
      </c>
    </row>
    <row r="5478" spans="1:5" ht="15.75" x14ac:dyDescent="0.25">
      <c r="A5478" s="14">
        <v>52443092</v>
      </c>
      <c r="B5478" s="2">
        <v>46129.537355324072</v>
      </c>
      <c r="C5478" s="3" t="str">
        <f>IFERROR(VLOOKUP(A5478,'Base Prueba'!A:C,3,),"NO REGISTRA")</f>
        <v>LUZ MYRIAM SAAVEDRA CONTRERAS</v>
      </c>
      <c r="D5478" s="4" t="str">
        <f>IFERROR(VLOOKUP(A5478,'Base Prueba'!A:D,4,),"NO REGISTRA")</f>
        <v>AUXILIAR DE SERVICIOS</v>
      </c>
      <c r="E5478" s="5" t="str">
        <f>IFERROR(VLOOKUP(A5478,'Base Prueba'!A:E,5,),"NO REGISTRA")</f>
        <v>LOGISTICA Y SERVICIOS GENERALES</v>
      </c>
    </row>
    <row r="5479" spans="1:5" ht="15.75" x14ac:dyDescent="0.25">
      <c r="A5479" s="14">
        <v>52443092</v>
      </c>
      <c r="B5479" s="2">
        <v>46129.537371064813</v>
      </c>
      <c r="C5479" s="3" t="str">
        <f>IFERROR(VLOOKUP(A5479,'Base Prueba'!A:C,3,),"NO REGISTRA")</f>
        <v>LUZ MYRIAM SAAVEDRA CONTRERAS</v>
      </c>
      <c r="D5479" s="4" t="str">
        <f>IFERROR(VLOOKUP(A5479,'Base Prueba'!A:D,4,),"NO REGISTRA")</f>
        <v>AUXILIAR DE SERVICIOS</v>
      </c>
      <c r="E5479" s="5" t="str">
        <f>IFERROR(VLOOKUP(A5479,'Base Prueba'!A:E,5,),"NO REGISTRA")</f>
        <v>LOGISTICA Y SERVICIOS GENERALES</v>
      </c>
    </row>
    <row r="5480" spans="1:5" ht="15.75" x14ac:dyDescent="0.25">
      <c r="A5480" s="14">
        <v>1000604979</v>
      </c>
      <c r="B5480" s="2">
        <v>46129.70973761574</v>
      </c>
      <c r="C5480" s="3" t="str">
        <f>IFERROR(VLOOKUP(A5480,'Base Prueba'!A:C,3,),"NO REGISTRA")</f>
        <v>JULIETH TATIANA PARDO PINTO</v>
      </c>
      <c r="D5480" s="4" t="str">
        <f>IFERROR(VLOOKUP(A5480,'Base Prueba'!A:D,4,),"NO REGISTRA")</f>
        <v>AUXILIAR JURIDICO</v>
      </c>
      <c r="E5480" s="5" t="str">
        <f>IFERROR(VLOOKUP(A5480,'Base Prueba'!A:E,5,),"NO REGISTRA")</f>
        <v>SECRETARIA GENERAL</v>
      </c>
    </row>
    <row r="5481" spans="1:5" ht="15.75" x14ac:dyDescent="0.25">
      <c r="A5481" s="14">
        <v>1000593372</v>
      </c>
      <c r="B5481" s="2">
        <v>46129.709761226855</v>
      </c>
      <c r="C5481" s="3" t="str">
        <f>IFERROR(VLOOKUP(A5481,'Base Prueba'!A:C,3,),"NO REGISTRA")</f>
        <v>LAURA SOFIA CHAPARRO LOPEZ</v>
      </c>
      <c r="D5481" s="4" t="str">
        <f>IFERROR(VLOOKUP(A5481,'Base Prueba'!A:D,4,),"NO REGISTRA")</f>
        <v>AUXILIAR JURIDICO</v>
      </c>
      <c r="E5481" s="5" t="str">
        <f>IFERROR(VLOOKUP(A5481,'Base Prueba'!A:E,5,),"NO REGISTRA")</f>
        <v>SECRETARIA GENERAL</v>
      </c>
    </row>
    <row r="5482" spans="1:5" ht="15.75" x14ac:dyDescent="0.25">
      <c r="A5482" s="14">
        <v>1014308296</v>
      </c>
      <c r="B5482" s="2">
        <v>46129.711924884257</v>
      </c>
      <c r="C5482" s="3" t="str">
        <f>IFERROR(VLOOKUP(A5482,'Base Prueba'!A:C,3,),"NO REGISTRA")</f>
        <v>DARLENE YULIANA MORENO CELEITA</v>
      </c>
      <c r="D5482" s="4" t="str">
        <f>IFERROR(VLOOKUP(A5482,'Base Prueba'!A:D,4,),"NO REGISTRA")</f>
        <v>CAJERO PRINCIPAL</v>
      </c>
      <c r="E5482" s="5" t="str">
        <f>IFERROR(VLOOKUP(A5482,'Base Prueba'!A:E,5,),"NO REGISTRA")</f>
        <v>AREA FINANCIERA Y CONTABLE</v>
      </c>
    </row>
    <row r="5483" spans="1:5" ht="15.75" x14ac:dyDescent="0.25">
      <c r="A5483" s="14">
        <v>1013098430</v>
      </c>
      <c r="B5483" s="2">
        <v>46129.71466273148</v>
      </c>
      <c r="C5483" s="3" t="str">
        <f>IFERROR(VLOOKUP(A5483,'Base Prueba'!A:C,3,),"NO REGISTRA")</f>
        <v>ANDRES FELIPE LOPEZ ROMERO</v>
      </c>
      <c r="D5483" s="4" t="str">
        <f>IFERROR(VLOOKUP(A5483,'Base Prueba'!A:D,4,),"NO REGISTRA")</f>
        <v>APRENDIZ UNIVERSITARIO</v>
      </c>
      <c r="E5483" s="5" t="str">
        <f>IFERROR(VLOOKUP(A5483,'Base Prueba'!A:E,5,),"NO REGISTRA")</f>
        <v>OFICINA DE MERCADEO</v>
      </c>
    </row>
    <row r="5484" spans="1:5" ht="15.75" x14ac:dyDescent="0.25">
      <c r="A5484" s="14">
        <v>1024512067</v>
      </c>
      <c r="B5484" s="2">
        <v>46129.714805439813</v>
      </c>
      <c r="C5484" s="3" t="str">
        <f>IFERROR(VLOOKUP(A5484,'Base Prueba'!A:C,3,),"NO REGISTRA")</f>
        <v>CINDY GIOVANA SALGAR GOMEZ</v>
      </c>
      <c r="D5484" s="4" t="str">
        <f>IFERROR(VLOOKUP(A5484,'Base Prueba'!A:D,4,),"NO REGISTRA")</f>
        <v>COORDINADOR DEL SISTEMA INTEGRADO DE GESTION INSTITUCIONAL - SIGI</v>
      </c>
      <c r="E5484" s="5" t="str">
        <f>IFERROR(VLOOKUP(A5484,'Base Prueba'!A:E,5,),"NO REGISTRA")</f>
        <v>OFICINA DE PLANEACION Y GESTION DE LA CALIDAD</v>
      </c>
    </row>
    <row r="5485" spans="1:5" ht="15.75" x14ac:dyDescent="0.25">
      <c r="A5485" s="14">
        <v>1193457976</v>
      </c>
      <c r="B5485" s="2">
        <v>46129.716004050926</v>
      </c>
      <c r="C5485" s="3" t="str">
        <f>IFERROR(VLOOKUP(A5485,'Base Prueba'!A:C,3,),"NO REGISTRA")</f>
        <v>SEDENIS RIVAS ASPRILLA</v>
      </c>
      <c r="D5485" s="4" t="str">
        <f>IFERROR(VLOOKUP(A5485,'Base Prueba'!A:D,4,),"NO REGISTRA")</f>
        <v>APRENDIZ UNIVERSITARIO</v>
      </c>
      <c r="E5485" s="5" t="str">
        <f>IFERROR(VLOOKUP(A5485,'Base Prueba'!A:E,5,),"NO REGISTRA")</f>
        <v>DEPARTAMENTO DE GESTION HUMANA</v>
      </c>
    </row>
    <row r="5486" spans="1:5" ht="15.75" x14ac:dyDescent="0.25">
      <c r="A5486" s="14">
        <v>1014266838</v>
      </c>
      <c r="B5486" s="2">
        <v>46129.716116319447</v>
      </c>
      <c r="C5486" s="3" t="str">
        <f>IFERROR(VLOOKUP(A5486,'Base Prueba'!A:C,3,),"NO REGISTRA")</f>
        <v>JENNIFER ASTRID ROMERO HURTADO</v>
      </c>
      <c r="D5486" s="4" t="str">
        <f>IFERROR(VLOOKUP(A5486,'Base Prueba'!A:D,4,),"NO REGISTRA")</f>
        <v>LIDER DE RECAUDO</v>
      </c>
      <c r="E5486" s="5" t="str">
        <f>IFERROR(VLOOKUP(A5486,'Base Prueba'!A:E,5,),"NO REGISTRA")</f>
        <v>AREA FINANCIERA Y CONTABLE</v>
      </c>
    </row>
    <row r="5487" spans="1:5" ht="15.75" x14ac:dyDescent="0.25">
      <c r="A5487" s="14">
        <v>1000467399</v>
      </c>
      <c r="B5487" s="2">
        <v>46129.716660648148</v>
      </c>
      <c r="C5487" s="3" t="str">
        <f>IFERROR(VLOOKUP(A5487,'Base Prueba'!A:C,3,),"NO REGISTRA")</f>
        <v>BRANDO ESTIVEN DIAZ QUIMBAYA</v>
      </c>
      <c r="D5487" s="4" t="str">
        <f>IFERROR(VLOOKUP(A5487,'Base Prueba'!A:D,4,),"NO REGISTRA")</f>
        <v>APRENDIZ UNIVERSITARIO</v>
      </c>
      <c r="E5487" s="5" t="str">
        <f>IFERROR(VLOOKUP(A5487,'Base Prueba'!A:E,5,),"NO REGISTRA")</f>
        <v>DEPARTAMENTO DE GESTION HUMANA</v>
      </c>
    </row>
    <row r="5488" spans="1:5" ht="15.75" x14ac:dyDescent="0.25">
      <c r="A5488" s="14">
        <v>1022996882</v>
      </c>
      <c r="B5488" s="2">
        <v>46129.717043518518</v>
      </c>
      <c r="C5488" s="3" t="str">
        <f>IFERROR(VLOOKUP(A5488,'Base Prueba'!A:C,3,),"NO REGISTRA")</f>
        <v>NANCY BRIGITH ALDANA GUEVARA</v>
      </c>
      <c r="D5488" s="4" t="str">
        <f>IFERROR(VLOOKUP(A5488,'Base Prueba'!A:D,4,),"NO REGISTRA")</f>
        <v>COORDINADORA DE GESTIÓN HUMANA</v>
      </c>
      <c r="E5488" s="5" t="str">
        <f>IFERROR(VLOOKUP(A5488,'Base Prueba'!A:E,5,),"NO REGISTRA")</f>
        <v>DEPARTAMENTO DE GESTION HUMANA</v>
      </c>
    </row>
    <row r="5489" spans="1:5" ht="15.75" x14ac:dyDescent="0.25">
      <c r="A5489" s="14">
        <v>1049644802</v>
      </c>
      <c r="B5489" s="2">
        <v>46129.718411805552</v>
      </c>
      <c r="C5489" s="3" t="str">
        <f>IFERROR(VLOOKUP(A5489,'Base Prueba'!A:C,3,),"NO REGISTRA")</f>
        <v>DANIELA ALEXANDRA CIPAMOCHA BOSIGA</v>
      </c>
      <c r="D5489" s="4" t="str">
        <f>IFERROR(VLOOKUP(A5489,'Base Prueba'!A:D,4,),"NO REGISTRA")</f>
        <v>LIDER DE DATOS Y SERVICIOS</v>
      </c>
      <c r="E5489" s="5" t="str">
        <f>IFERROR(VLOOKUP(A5489,'Base Prueba'!A:E,5,),"NO REGISTRA")</f>
        <v>OFICINA DE PLANEACION Y GESTION DE LA CALIDAD</v>
      </c>
    </row>
    <row r="5490" spans="1:5" ht="15.75" x14ac:dyDescent="0.25">
      <c r="A5490" s="14">
        <v>1026599257</v>
      </c>
      <c r="B5490" s="2">
        <v>46129.72222314815</v>
      </c>
      <c r="C5490" s="3" t="str">
        <f>IFERROR(VLOOKUP(A5490,'Base Prueba'!A:C,3,),"NO REGISTRA")</f>
        <v>YESENIA PAOLA PINEDA HURTADO</v>
      </c>
      <c r="D5490" s="4" t="str">
        <f>IFERROR(VLOOKUP(A5490,'Base Prueba'!A:D,4,),"NO REGISTRA")</f>
        <v>LIDER DE COMPRAS</v>
      </c>
      <c r="E5490" s="5" t="str">
        <f>IFERROR(VLOOKUP(A5490,'Base Prueba'!A:E,5,),"NO REGISTRA")</f>
        <v>AREA ADMINISTRATIVA</v>
      </c>
    </row>
    <row r="5491" spans="1:5" ht="15.75" x14ac:dyDescent="0.25">
      <c r="A5491" s="14">
        <v>1010184333</v>
      </c>
      <c r="B5491" s="2">
        <v>46129.726371180557</v>
      </c>
      <c r="C5491" s="3" t="str">
        <f>IFERROR(VLOOKUP(A5491,'Base Prueba'!A:C,3,),"NO REGISTRA")</f>
        <v>AKON ANDRES GARZON ALVAREZ</v>
      </c>
      <c r="D5491" s="4" t="str">
        <f>IFERROR(VLOOKUP(A5491,'Base Prueba'!A:D,4,),"NO REGISTRA")</f>
        <v>APRENDIZ UNIVERSITARIO</v>
      </c>
      <c r="E5491" s="5" t="str">
        <f>IFERROR(VLOOKUP(A5491,'Base Prueba'!A:E,5,),"NO REGISTRA")</f>
        <v>SECRETARIA GENERAL</v>
      </c>
    </row>
    <row r="5492" spans="1:5" ht="15.75" x14ac:dyDescent="0.25">
      <c r="A5492" s="14">
        <v>1013101788</v>
      </c>
      <c r="B5492" s="2">
        <v>46129.728197222219</v>
      </c>
      <c r="C5492" s="3" t="str">
        <f>IFERROR(VLOOKUP(A5492,'Base Prueba'!A:C,3,),"NO REGISTRA")</f>
        <v>SARA TANGARIFE MONTOYA</v>
      </c>
      <c r="D5492" s="4" t="str">
        <f>IFERROR(VLOOKUP(A5492,'Base Prueba'!A:D,4,),"NO REGISTRA")</f>
        <v>APRENDIZ UNIVERSITARIO</v>
      </c>
      <c r="E5492" s="5" t="str">
        <f>IFERROR(VLOOKUP(A5492,'Base Prueba'!A:E,5,),"NO REGISTRA")</f>
        <v>OFICINA DE MERCADEO</v>
      </c>
    </row>
    <row r="5493" spans="1:5" ht="15.75" x14ac:dyDescent="0.25">
      <c r="A5493" s="14">
        <v>1087121273</v>
      </c>
      <c r="B5493" s="2">
        <v>46129.732177662037</v>
      </c>
      <c r="C5493" s="3" t="str">
        <f>IFERROR(VLOOKUP(A5493,'Base Prueba'!A:C,3,),"NO REGISTRA")</f>
        <v>MAYRA ALEJANDRA CASTILLO ARBOLEDA</v>
      </c>
      <c r="D5493" s="4" t="str">
        <f>IFERROR(VLOOKUP(A5493,'Base Prueba'!A:D,4,),"NO REGISTRA")</f>
        <v>APOYO INTEGRAL DE MERCADEO</v>
      </c>
      <c r="E5493" s="5" t="str">
        <f>IFERROR(VLOOKUP(A5493,'Base Prueba'!A:E,5,),"NO REGISTRA")</f>
        <v>CENTRO DE GESTION DOCUMENTAL</v>
      </c>
    </row>
    <row r="5494" spans="1:5" ht="15.75" x14ac:dyDescent="0.25">
      <c r="A5494" s="14">
        <v>1000324729</v>
      </c>
      <c r="B5494" s="2">
        <v>46129.732232638889</v>
      </c>
      <c r="C5494" s="3" t="str">
        <f>IFERROR(VLOOKUP(A5494,'Base Prueba'!A:C,3,),"NO REGISTRA")</f>
        <v>ANYIE VANESSA TINOCO CAMACHO</v>
      </c>
      <c r="D5494" s="4" t="str">
        <f>IFERROR(VLOOKUP(A5494,'Base Prueba'!A:D,4,),"NO REGISTRA")</f>
        <v>LIDER DE REGISTRO Y CONTROL</v>
      </c>
      <c r="E5494" s="5" t="str">
        <f>IFERROR(VLOOKUP(A5494,'Base Prueba'!A:E,5,),"NO REGISTRA")</f>
        <v>REGISTRO Y CONTROL ACADEMICO</v>
      </c>
    </row>
    <row r="5495" spans="1:5" ht="15.75" x14ac:dyDescent="0.25">
      <c r="A5495" s="14">
        <v>1000457706</v>
      </c>
      <c r="B5495" s="2">
        <v>46129.732751736112</v>
      </c>
      <c r="C5495" s="3" t="str">
        <f>IFERROR(VLOOKUP(A5495,'Base Prueba'!A:C,3,),"NO REGISTRA")</f>
        <v>CRISTIAN DANILO ARROYO SANABRIA</v>
      </c>
      <c r="D5495" s="4" t="str">
        <f>IFERROR(VLOOKUP(A5495,'Base Prueba'!A:D,4,),"NO REGISTRA")</f>
        <v>AUXILIAR CONTABLE</v>
      </c>
      <c r="E5495" s="5" t="str">
        <f>IFERROR(VLOOKUP(A5495,'Base Prueba'!A:E,5,),"NO REGISTRA")</f>
        <v>AREA FINANCIERA Y CONTABLE</v>
      </c>
    </row>
    <row r="5496" spans="1:5" ht="15.75" x14ac:dyDescent="0.25">
      <c r="A5496" s="14">
        <v>53932358</v>
      </c>
      <c r="B5496" s="2">
        <v>46129.745012037034</v>
      </c>
      <c r="C5496" s="3" t="str">
        <f>IFERROR(VLOOKUP(A5496,'Base Prueba'!A:C,3,),"NO REGISTRA")</f>
        <v>DIANA MADELEYNE GAONA RODRIGUEZ</v>
      </c>
      <c r="D5496" s="4" t="str">
        <f>IFERROR(VLOOKUP(A5496,'Base Prueba'!A:D,4,),"NO REGISTRA")</f>
        <v>CONTADOR</v>
      </c>
      <c r="E5496" s="5" t="str">
        <f>IFERROR(VLOOKUP(A5496,'Base Prueba'!A:E,5,),"NO REGISTRA")</f>
        <v>AREA FINANCIERA Y CONTABLE</v>
      </c>
    </row>
    <row r="5497" spans="1:5" ht="15.75" x14ac:dyDescent="0.25">
      <c r="A5497" s="14">
        <v>1000046533</v>
      </c>
      <c r="B5497" s="2">
        <v>46129.750275115737</v>
      </c>
      <c r="C5497" s="3" t="str">
        <f>IFERROR(VLOOKUP(A5497,'Base Prueba'!A:C,3,),"NO REGISTRA")</f>
        <v>ERIKA JULIETH VALDERRAMA SANCHEZ</v>
      </c>
      <c r="D5497" s="4" t="str">
        <f>IFERROR(VLOOKUP(A5497,'Base Prueba'!A:D,4,),"NO REGISTRA")</f>
        <v>PROMOTOR CALL CENTER</v>
      </c>
      <c r="E5497" s="5" t="str">
        <f>IFERROR(VLOOKUP(A5497,'Base Prueba'!A:E,5,),"NO REGISTRA")</f>
        <v>OFICINA DE MERCADEO</v>
      </c>
    </row>
    <row r="5498" spans="1:5" ht="15.75" x14ac:dyDescent="0.25">
      <c r="A5498" s="14">
        <v>1012426741</v>
      </c>
      <c r="B5498" s="2">
        <v>46129.750313773147</v>
      </c>
      <c r="C5498" s="3" t="str">
        <f>IFERROR(VLOOKUP(A5498,'Base Prueba'!A:C,3,),"NO REGISTRA")</f>
        <v>CRISTIAN FABIAN ROJAS SANCENO</v>
      </c>
      <c r="D5498" s="4" t="str">
        <f>IFERROR(VLOOKUP(A5498,'Base Prueba'!A:D,4,),"NO REGISTRA")</f>
        <v>AUXILIAR DE REINTEGROS</v>
      </c>
      <c r="E5498" s="5" t="str">
        <f>IFERROR(VLOOKUP(A5498,'Base Prueba'!A:E,5,),"NO REGISTRA")</f>
        <v>DIRECCION DE BIENESTAR INSTITUCIONAL</v>
      </c>
    </row>
    <row r="5499" spans="1:5" ht="15.75" x14ac:dyDescent="0.25">
      <c r="A5499" s="14">
        <v>1016090131</v>
      </c>
      <c r="B5499" s="2">
        <v>46129.752007986113</v>
      </c>
      <c r="C5499" s="3" t="str">
        <f>IFERROR(VLOOKUP(A5499,'Base Prueba'!A:C,3,),"NO REGISTRA")</f>
        <v>NICOLAS RODRIGUEZ PACHECO</v>
      </c>
      <c r="D5499" s="4" t="str">
        <f>IFERROR(VLOOKUP(A5499,'Base Prueba'!A:D,4,),"NO REGISTRA")</f>
        <v>COORDINADOR DE COMUNICACIONES</v>
      </c>
      <c r="E5499" s="5" t="str">
        <f>IFERROR(VLOOKUP(A5499,'Base Prueba'!A:E,5,),"NO REGISTRA")</f>
        <v>OFICINA DE MERCADEO</v>
      </c>
    </row>
    <row r="5500" spans="1:5" ht="15.75" x14ac:dyDescent="0.25">
      <c r="A5500" s="14">
        <v>80191732</v>
      </c>
      <c r="B5500" s="2">
        <v>46129.752085069442</v>
      </c>
      <c r="C5500" s="3" t="str">
        <f>IFERROR(VLOOKUP(A5500,'Base Prueba'!A:C,3,),"NO REGISTRA")</f>
        <v>DANIEL MAURICIO ZAMBRANO TUNJANO</v>
      </c>
      <c r="D5500" s="4" t="str">
        <f>IFERROR(VLOOKUP(A5500,'Base Prueba'!A:D,4,),"NO REGISTRA")</f>
        <v>COORDINADOR DE DISEÑO E IMAGEN INSTITUCIONAL</v>
      </c>
      <c r="E5500" s="5" t="str">
        <f>IFERROR(VLOOKUP(A5500,'Base Prueba'!A:E,5,),"NO REGISTRA")</f>
        <v>OFICINA DE MERCADEO</v>
      </c>
    </row>
    <row r="5501" spans="1:5" ht="15.75" x14ac:dyDescent="0.25">
      <c r="A5501" s="14">
        <v>1023883232</v>
      </c>
      <c r="B5501" s="2">
        <v>46129.752486342593</v>
      </c>
      <c r="C5501" s="3" t="str">
        <f>IFERROR(VLOOKUP(A5501,'Base Prueba'!A:C,3,),"NO REGISTRA")</f>
        <v>MONICA ANDREA ACERO URBANO</v>
      </c>
      <c r="D5501" s="4" t="str">
        <f>IFERROR(VLOOKUP(A5501,'Base Prueba'!A:D,4,),"NO REGISTRA")</f>
        <v>APOYO INTEGRAL A GESTION HUMANA</v>
      </c>
      <c r="E5501" s="5" t="str">
        <f>IFERROR(VLOOKUP(A5501,'Base Prueba'!A:E,5,),"NO REGISTRA")</f>
        <v>DEPARTAMENTO DE GESTION HUMANA</v>
      </c>
    </row>
    <row r="5502" spans="1:5" ht="15.75" x14ac:dyDescent="0.25">
      <c r="A5502" s="14">
        <v>1019105003</v>
      </c>
      <c r="B5502" s="2">
        <v>46129.752736111113</v>
      </c>
      <c r="C5502" s="3" t="str">
        <f>IFERROR(VLOOKUP(A5502,'Base Prueba'!A:C,3,),"NO REGISTRA")</f>
        <v>DAISY JULIETH GASPAR MORENO</v>
      </c>
      <c r="D5502" s="4" t="str">
        <f>IFERROR(VLOOKUP(A5502,'Base Prueba'!A:D,4,),"NO REGISTRA")</f>
        <v>PROMOTOR CALL CENTER</v>
      </c>
      <c r="E5502" s="5" t="str">
        <f>IFERROR(VLOOKUP(A5502,'Base Prueba'!A:E,5,),"NO REGISTRA")</f>
        <v>OFICINA DE MERCADEO</v>
      </c>
    </row>
    <row r="5503" spans="1:5" ht="15.75" x14ac:dyDescent="0.25">
      <c r="A5503" s="14">
        <v>52472386</v>
      </c>
      <c r="B5503" s="2">
        <v>46129.756784953701</v>
      </c>
      <c r="C5503" s="3" t="str">
        <f>IFERROR(VLOOKUP(A5503,'Base Prueba'!A:C,3,),"NO REGISTRA")</f>
        <v>ADRIANA MARCELA MORALES PARDO</v>
      </c>
      <c r="D5503" s="4" t="str">
        <f>IFERROR(VLOOKUP(A5503,'Base Prueba'!A:D,4,),"NO REGISTRA")</f>
        <v>PROMOTOR CALL CENTER</v>
      </c>
      <c r="E5503" s="5" t="str">
        <f>IFERROR(VLOOKUP(A5503,'Base Prueba'!A:E,5,),"NO REGISTRA")</f>
        <v>OFICINA DE MERCADEO</v>
      </c>
    </row>
    <row r="5504" spans="1:5" ht="15.75" x14ac:dyDescent="0.25">
      <c r="A5504" s="14">
        <v>28798349</v>
      </c>
      <c r="B5504" s="2">
        <v>46129.761972222223</v>
      </c>
      <c r="C5504" s="3" t="str">
        <f>IFERROR(VLOOKUP(A5504,'Base Prueba'!A:C,3,),"NO REGISTRA")</f>
        <v>MARTHA ISABEL TOVAR WILLIAMS</v>
      </c>
      <c r="D5504" s="4" t="str">
        <f>IFERROR(VLOOKUP(A5504,'Base Prueba'!A:D,4,),"NO REGISTRA")</f>
        <v>PROMOTOR CALL CENTER</v>
      </c>
      <c r="E5504" s="5" t="str">
        <f>IFERROR(VLOOKUP(A5504,'Base Prueba'!A:E,5,),"NO REGISTRA")</f>
        <v>OFICINA DE MERCADEO</v>
      </c>
    </row>
    <row r="5505" spans="1:5" ht="15.75" x14ac:dyDescent="0.25">
      <c r="A5505" s="14">
        <v>1023961952</v>
      </c>
      <c r="B5505" s="2">
        <v>46129.76208252315</v>
      </c>
      <c r="C5505" s="3" t="str">
        <f>IFERROR(VLOOKUP(A5505,'Base Prueba'!A:C,3,),"NO REGISTRA")</f>
        <v>ALEJANDRO PINZON MERCHAN</v>
      </c>
      <c r="D5505" s="4" t="str">
        <f>IFERROR(VLOOKUP(A5505,'Base Prueba'!A:D,4,),"NO REGISTRA")</f>
        <v>PROMOTOR CALL CENTER</v>
      </c>
      <c r="E5505" s="5" t="str">
        <f>IFERROR(VLOOKUP(A5505,'Base Prueba'!A:E,5,),"NO REGISTRA")</f>
        <v>OFICINA DE MERCADEO</v>
      </c>
    </row>
    <row r="5506" spans="1:5" ht="15.75" x14ac:dyDescent="0.25">
      <c r="A5506" s="14">
        <v>1033709056</v>
      </c>
      <c r="B5506" s="2">
        <v>46129.763599189813</v>
      </c>
      <c r="C5506" s="3" t="str">
        <f>IFERROR(VLOOKUP(A5506,'Base Prueba'!A:C,3,),"NO REGISTRA")</f>
        <v>YEIMY ALEXANDRA RODRIGUEZ PALACIO</v>
      </c>
      <c r="D5506" s="4" t="str">
        <f>IFERROR(VLOOKUP(A5506,'Base Prueba'!A:D,4,),"NO REGISTRA")</f>
        <v>PROMOTOR CALL CENTER</v>
      </c>
      <c r="E5506" s="5" t="str">
        <f>IFERROR(VLOOKUP(A5506,'Base Prueba'!A:E,5,),"NO REGISTRA")</f>
        <v>OFICINA DE MERCADEO</v>
      </c>
    </row>
    <row r="5507" spans="1:5" ht="15.75" x14ac:dyDescent="0.25">
      <c r="A5507" s="14">
        <v>53089882</v>
      </c>
      <c r="B5507" s="2">
        <v>46129.763758564812</v>
      </c>
      <c r="C5507" s="3" t="str">
        <f>IFERROR(VLOOKUP(A5507,'Base Prueba'!A:C,3,),"NO REGISTRA")</f>
        <v>MARIA JOHANA ESCAMILLA MARTINEZ</v>
      </c>
      <c r="D5507" s="4" t="str">
        <f>IFERROR(VLOOKUP(A5507,'Base Prueba'!A:D,4,),"NO REGISTRA")</f>
        <v>PROMOTOR DE INFORMACIÓN</v>
      </c>
      <c r="E5507" s="5" t="str">
        <f>IFERROR(VLOOKUP(A5507,'Base Prueba'!A:E,5,),"NO REGISTRA")</f>
        <v>OFICINA DE MERCADEO</v>
      </c>
    </row>
    <row r="5508" spans="1:5" ht="15.75" x14ac:dyDescent="0.25">
      <c r="A5508" s="14">
        <v>1018413529</v>
      </c>
      <c r="B5508" s="2">
        <v>46129.763842245367</v>
      </c>
      <c r="C5508" s="3" t="str">
        <f>IFERROR(VLOOKUP(A5508,'Base Prueba'!A:C,3,),"NO REGISTRA")</f>
        <v>FRANCY STELLA CHARRY MORENO</v>
      </c>
      <c r="D5508" s="4" t="str">
        <f>IFERROR(VLOOKUP(A5508,'Base Prueba'!A:D,4,),"NO REGISTRA")</f>
        <v>PROMOTOR COMERCIAL DEL CEA</v>
      </c>
      <c r="E5508" s="5" t="str">
        <f>IFERROR(VLOOKUP(A5508,'Base Prueba'!A:E,5,),"NO REGISTRA")</f>
        <v>OFICINA DE MERCADEO</v>
      </c>
    </row>
    <row r="5509" spans="1:5" ht="15.75" x14ac:dyDescent="0.25">
      <c r="A5509" s="14">
        <v>1032407386</v>
      </c>
      <c r="B5509" s="2">
        <v>46129.766681597219</v>
      </c>
      <c r="C5509" s="3" t="str">
        <f>IFERROR(VLOOKUP(A5509,'Base Prueba'!A:C,3,),"NO REGISTRA")</f>
        <v>GINA PAOLA BAEZ GALVIS</v>
      </c>
      <c r="D5509" s="4" t="str">
        <f>IFERROR(VLOOKUP(A5509,'Base Prueba'!A:D,4,),"NO REGISTRA")</f>
        <v>PROMOTOR CALL CENTER</v>
      </c>
      <c r="E5509" s="5" t="str">
        <f>IFERROR(VLOOKUP(A5509,'Base Prueba'!A:E,5,),"NO REGISTRA")</f>
        <v>OFICINA DE MERCADEO</v>
      </c>
    </row>
    <row r="5510" spans="1:5" ht="15.75" x14ac:dyDescent="0.25">
      <c r="A5510" s="14">
        <v>1018414290</v>
      </c>
      <c r="B5510" s="2">
        <v>46129.766725462963</v>
      </c>
      <c r="C5510" s="3" t="str">
        <f>IFERROR(VLOOKUP(A5510,'Base Prueba'!A:C,3,),"NO REGISTRA")</f>
        <v>AMANDA LISBETH RODRIGUEZ LEON</v>
      </c>
      <c r="D5510" s="4" t="str">
        <f>IFERROR(VLOOKUP(A5510,'Base Prueba'!A:D,4,),"NO REGISTRA")</f>
        <v>PROMOTOR CALL CENTER</v>
      </c>
      <c r="E5510" s="5" t="str">
        <f>IFERROR(VLOOKUP(A5510,'Base Prueba'!A:E,5,),"NO REGISTRA")</f>
        <v>OFICINA DE MERCADEO</v>
      </c>
    </row>
    <row r="5511" spans="1:5" ht="15.75" x14ac:dyDescent="0.25">
      <c r="A5511" s="14">
        <v>1033820146</v>
      </c>
      <c r="B5511" s="2">
        <v>46129.770802430554</v>
      </c>
      <c r="C5511" s="3" t="str">
        <f>IFERROR(VLOOKUP(A5511,'Base Prueba'!A:C,3,),"NO REGISTRA")</f>
        <v>JULIETH ALEXANDRA BUSTAMANTE RUIZ</v>
      </c>
      <c r="D5511" s="4" t="str">
        <f>IFERROR(VLOOKUP(A5511,'Base Prueba'!A:D,4,),"NO REGISTRA")</f>
        <v>AUXILIAR ADMINISTRATIVO</v>
      </c>
      <c r="E5511" s="5" t="str">
        <f>IFERROR(VLOOKUP(A5511,'Base Prueba'!A:E,5,),"NO REGISTRA")</f>
        <v>REGISTRO Y CONTROL ACADEMICO</v>
      </c>
    </row>
    <row r="5512" spans="1:5" ht="15.75" x14ac:dyDescent="0.25">
      <c r="A5512" s="14">
        <v>52474489</v>
      </c>
      <c r="B5512" s="2">
        <v>46129.771031365737</v>
      </c>
      <c r="C5512" s="3" t="str">
        <f>IFERROR(VLOOKUP(A5512,'Base Prueba'!A:C,3,),"NO REGISTRA")</f>
        <v>ADRIANA JIMENA SOTO BOCANEGRA</v>
      </c>
      <c r="D5512" s="4" t="str">
        <f>IFERROR(VLOOKUP(A5512,'Base Prueba'!A:D,4,),"NO REGISTRA")</f>
        <v>COORDINADOR DE LA OFICINA DE REGISTRO Y CONTROL</v>
      </c>
      <c r="E5512" s="5" t="str">
        <f>IFERROR(VLOOKUP(A5512,'Base Prueba'!A:E,5,),"NO REGISTRA")</f>
        <v>REGISTRO Y CONTROL ACADEMICO</v>
      </c>
    </row>
    <row r="5513" spans="1:5" ht="15.75" x14ac:dyDescent="0.25">
      <c r="A5513" s="14">
        <v>1013616244</v>
      </c>
      <c r="B5513" s="2">
        <v>46129.771152777779</v>
      </c>
      <c r="C5513" s="3" t="str">
        <f>IFERROR(VLOOKUP(A5513,'Base Prueba'!A:C,3,),"NO REGISTRA")</f>
        <v>DIANA CAROLINA MARIN BETANCOURT</v>
      </c>
      <c r="D5513" s="4" t="str">
        <f>IFERROR(VLOOKUP(A5513,'Base Prueba'!A:D,4,),"NO REGISTRA")</f>
        <v>AUXILIAR ADMINISTRATIVO</v>
      </c>
      <c r="E5513" s="5" t="str">
        <f>IFERROR(VLOOKUP(A5513,'Base Prueba'!A:E,5,),"NO REGISTRA")</f>
        <v>REGISTRO Y CONTROL ACADEMICO</v>
      </c>
    </row>
    <row r="5514" spans="1:5" ht="15.75" x14ac:dyDescent="0.25">
      <c r="A5514" s="14">
        <v>80234243</v>
      </c>
      <c r="B5514" s="2">
        <v>46129.782201851849</v>
      </c>
      <c r="C5514" s="3" t="str">
        <f>IFERROR(VLOOKUP(A5514,'Base Prueba'!A:C,3,),"NO REGISTRA")</f>
        <v>ARGENIS MARTINEZ MARTINEZ</v>
      </c>
      <c r="D5514" s="4" t="str">
        <f>IFERROR(VLOOKUP(A5514,'Base Prueba'!A:D,4,),"NO REGISTRA")</f>
        <v>LIDER CALL CENTER</v>
      </c>
      <c r="E5514" s="5" t="str">
        <f>IFERROR(VLOOKUP(A5514,'Base Prueba'!A:E,5,),"NO REGISTRA")</f>
        <v>OFICINA DE MERCADEO</v>
      </c>
    </row>
    <row r="5515" spans="1:5" ht="15.75" x14ac:dyDescent="0.25">
      <c r="A5515" s="14">
        <v>52443092</v>
      </c>
      <c r="B5515" s="2">
        <v>46129.871436111112</v>
      </c>
      <c r="C5515" s="3" t="str">
        <f>IFERROR(VLOOKUP(A5515,'Base Prueba'!A:C,3,),"NO REGISTRA")</f>
        <v>LUZ MYRIAM SAAVEDRA CONTRERAS</v>
      </c>
      <c r="D5515" s="4" t="str">
        <f>IFERROR(VLOOKUP(A5515,'Base Prueba'!A:D,4,),"NO REGISTRA")</f>
        <v>AUXILIAR DE SERVICIOS</v>
      </c>
      <c r="E5515" s="5" t="str">
        <f>IFERROR(VLOOKUP(A5515,'Base Prueba'!A:E,5,),"NO REGISTRA")</f>
        <v>LOGISTICA Y SERVICIOS GENERALES</v>
      </c>
    </row>
    <row r="5516" spans="1:5" ht="15.75" x14ac:dyDescent="0.25">
      <c r="A5516" s="14">
        <v>1000324729</v>
      </c>
      <c r="B5516" s="2">
        <v>46130.340831365742</v>
      </c>
      <c r="C5516" s="3" t="str">
        <f>IFERROR(VLOOKUP(A5516,'Base Prueba'!A:C,3,),"NO REGISTRA")</f>
        <v>ANYIE VANESSA TINOCO CAMACHO</v>
      </c>
      <c r="D5516" s="4" t="str">
        <f>IFERROR(VLOOKUP(A5516,'Base Prueba'!A:D,4,),"NO REGISTRA")</f>
        <v>LIDER DE REGISTRO Y CONTROL</v>
      </c>
      <c r="E5516" s="5" t="str">
        <f>IFERROR(VLOOKUP(A5516,'Base Prueba'!A:E,5,),"NO REGISTRA")</f>
        <v>REGISTRO Y CONTROL ACADEMICO</v>
      </c>
    </row>
    <row r="5517" spans="1:5" ht="15.75" x14ac:dyDescent="0.25">
      <c r="A5517" s="14">
        <v>1013101788</v>
      </c>
      <c r="B5517" s="2">
        <v>46130.360444907405</v>
      </c>
      <c r="C5517" s="3" t="str">
        <f>IFERROR(VLOOKUP(A5517,'Base Prueba'!A:C,3,),"NO REGISTRA")</f>
        <v>SARA TANGARIFE MONTOYA</v>
      </c>
      <c r="D5517" s="4" t="str">
        <f>IFERROR(VLOOKUP(A5517,'Base Prueba'!A:D,4,),"NO REGISTRA")</f>
        <v>APRENDIZ UNIVERSITARIO</v>
      </c>
      <c r="E5517" s="5" t="str">
        <f>IFERROR(VLOOKUP(A5517,'Base Prueba'!A:E,5,),"NO REGISTRA")</f>
        <v>OFICINA DE MERCADEO</v>
      </c>
    </row>
    <row r="5518" spans="1:5" ht="15.75" x14ac:dyDescent="0.25">
      <c r="A5518" s="14">
        <v>1000046533</v>
      </c>
      <c r="B5518" s="2">
        <v>46130.364603819442</v>
      </c>
      <c r="C5518" s="3" t="str">
        <f>IFERROR(VLOOKUP(A5518,'Base Prueba'!A:C,3,),"NO REGISTRA")</f>
        <v>ERIKA JULIETH VALDERRAMA SANCHEZ</v>
      </c>
      <c r="D5518" s="4" t="str">
        <f>IFERROR(VLOOKUP(A5518,'Base Prueba'!A:D,4,),"NO REGISTRA")</f>
        <v>PROMOTOR CALL CENTER</v>
      </c>
      <c r="E5518" s="5" t="str">
        <f>IFERROR(VLOOKUP(A5518,'Base Prueba'!A:E,5,),"NO REGISTRA")</f>
        <v>OFICINA DE MERCADEO</v>
      </c>
    </row>
    <row r="5519" spans="1:5" ht="15.75" x14ac:dyDescent="0.25">
      <c r="A5519" s="14">
        <v>1012426741</v>
      </c>
      <c r="B5519" s="2">
        <v>46130.366491666668</v>
      </c>
      <c r="C5519" s="3" t="str">
        <f>IFERROR(VLOOKUP(A5519,'Base Prueba'!A:C,3,),"NO REGISTRA")</f>
        <v>CRISTIAN FABIAN ROJAS SANCENO</v>
      </c>
      <c r="D5519" s="4" t="str">
        <f>IFERROR(VLOOKUP(A5519,'Base Prueba'!A:D,4,),"NO REGISTRA")</f>
        <v>AUXILIAR DE REINTEGROS</v>
      </c>
      <c r="E5519" s="5" t="str">
        <f>IFERROR(VLOOKUP(A5519,'Base Prueba'!A:E,5,),"NO REGISTRA")</f>
        <v>DIRECCION DE BIENESTAR INSTITUCIONAL</v>
      </c>
    </row>
    <row r="5520" spans="1:5" ht="15.75" x14ac:dyDescent="0.25">
      <c r="A5520" s="14">
        <v>1013098430</v>
      </c>
      <c r="B5520" s="2">
        <v>46130.370510416666</v>
      </c>
      <c r="C5520" s="3" t="str">
        <f>IFERROR(VLOOKUP(A5520,'Base Prueba'!A:C,3,),"NO REGISTRA")</f>
        <v>ANDRES FELIPE LOPEZ ROMERO</v>
      </c>
      <c r="D5520" s="4" t="str">
        <f>IFERROR(VLOOKUP(A5520,'Base Prueba'!A:D,4,),"NO REGISTRA")</f>
        <v>APRENDIZ UNIVERSITARIO</v>
      </c>
      <c r="E5520" s="5" t="str">
        <f>IFERROR(VLOOKUP(A5520,'Base Prueba'!A:E,5,),"NO REGISTRA")</f>
        <v>OFICINA DE MERCADEO</v>
      </c>
    </row>
    <row r="5521" spans="1:5" ht="15.75" x14ac:dyDescent="0.25">
      <c r="A5521" s="14">
        <v>1000257136</v>
      </c>
      <c r="B5521" s="2">
        <v>46130.374414004633</v>
      </c>
      <c r="C5521" s="3" t="str">
        <f>IFERROR(VLOOKUP(A5521,'Base Prueba'!A:C,3,),"NO REGISTRA")</f>
        <v>FRANCI VALENTINA CANO PUENTES</v>
      </c>
      <c r="D5521" s="4" t="str">
        <f>IFERROR(VLOOKUP(A5521,'Base Prueba'!A:D,4,),"NO REGISTRA")</f>
        <v>AUXILIAR CONTABLE</v>
      </c>
      <c r="E5521" s="5" t="str">
        <f>IFERROR(VLOOKUP(A5521,'Base Prueba'!A:E,5,),"NO REGISTRA")</f>
        <v>AREA FINANCIERA Y CONTABLE</v>
      </c>
    </row>
    <row r="5522" spans="1:5" ht="15.75" x14ac:dyDescent="0.25">
      <c r="A5522" s="14">
        <v>1024512067</v>
      </c>
      <c r="B5522" s="2">
        <v>46130.384158449073</v>
      </c>
      <c r="C5522" s="3" t="str">
        <f>IFERROR(VLOOKUP(A5522,'Base Prueba'!A:C,3,),"NO REGISTRA")</f>
        <v>CINDY GIOVANA SALGAR GOMEZ</v>
      </c>
      <c r="D5522" s="4" t="str">
        <f>IFERROR(VLOOKUP(A5522,'Base Prueba'!A:D,4,),"NO REGISTRA")</f>
        <v>COORDINADOR DEL SISTEMA INTEGRADO DE GESTION INSTITUCIONAL - SIGI</v>
      </c>
      <c r="E5522" s="5" t="str">
        <f>IFERROR(VLOOKUP(A5522,'Base Prueba'!A:E,5,),"NO REGISTRA")</f>
        <v>OFICINA DE PLANEACION Y GESTION DE LA CALIDAD</v>
      </c>
    </row>
    <row r="5523" spans="1:5" ht="15.75" x14ac:dyDescent="0.25">
      <c r="A5523" s="14">
        <v>1033820146</v>
      </c>
      <c r="B5523" s="2">
        <v>46130.388025810185</v>
      </c>
      <c r="C5523" s="3" t="str">
        <f>IFERROR(VLOOKUP(A5523,'Base Prueba'!A:C,3,),"NO REGISTRA")</f>
        <v>JULIETH ALEXANDRA BUSTAMANTE RUIZ</v>
      </c>
      <c r="D5523" s="4" t="str">
        <f>IFERROR(VLOOKUP(A5523,'Base Prueba'!A:D,4,),"NO REGISTRA")</f>
        <v>AUXILIAR ADMINISTRATIVO</v>
      </c>
      <c r="E5523" s="5" t="str">
        <f>IFERROR(VLOOKUP(A5523,'Base Prueba'!A:E,5,),"NO REGISTRA")</f>
        <v>REGISTRO Y CONTROL ACADEMICO</v>
      </c>
    </row>
    <row r="5524" spans="1:5" ht="15.75" x14ac:dyDescent="0.25">
      <c r="A5524" s="14">
        <v>1016090131</v>
      </c>
      <c r="B5524" s="2">
        <v>46130.396620833337</v>
      </c>
      <c r="C5524" s="3" t="str">
        <f>IFERROR(VLOOKUP(A5524,'Base Prueba'!A:C,3,),"NO REGISTRA")</f>
        <v>NICOLAS RODRIGUEZ PACHECO</v>
      </c>
      <c r="D5524" s="4" t="str">
        <f>IFERROR(VLOOKUP(A5524,'Base Prueba'!A:D,4,),"NO REGISTRA")</f>
        <v>COORDINADOR DE COMUNICACIONES</v>
      </c>
      <c r="E5524" s="5" t="str">
        <f>IFERROR(VLOOKUP(A5524,'Base Prueba'!A:E,5,),"NO REGISTRA")</f>
        <v>OFICINA DE MERCADEO</v>
      </c>
    </row>
    <row r="5525" spans="1:5" ht="15.75" x14ac:dyDescent="0.25">
      <c r="A5525" s="14">
        <v>52764929</v>
      </c>
      <c r="B5525" s="2">
        <v>46130.405444328702</v>
      </c>
      <c r="C5525" s="3" t="str">
        <f>IFERROR(VLOOKUP(A5525,'Base Prueba'!A:C,3,),"NO REGISTRA")</f>
        <v>GUERLY YOHANA DURAN RIVERA</v>
      </c>
      <c r="D5525" s="4" t="str">
        <f>IFERROR(VLOOKUP(A5525,'Base Prueba'!A:D,4,),"NO REGISTRA")</f>
        <v>LIDER DE VINCULACION COLEGIOS</v>
      </c>
      <c r="E5525" s="5" t="str">
        <f>IFERROR(VLOOKUP(A5525,'Base Prueba'!A:E,5,),"NO REGISTRA")</f>
        <v>OFICINA DE MERCADEO</v>
      </c>
    </row>
    <row r="5526" spans="1:5" ht="15.75" x14ac:dyDescent="0.25">
      <c r="A5526" s="14">
        <v>1012426741</v>
      </c>
      <c r="B5526" s="2">
        <v>46130.500311689815</v>
      </c>
      <c r="C5526" s="3" t="str">
        <f>IFERROR(VLOOKUP(A5526,'Base Prueba'!A:C,3,),"NO REGISTRA")</f>
        <v>CRISTIAN FABIAN ROJAS SANCENO</v>
      </c>
      <c r="D5526" s="4" t="str">
        <f>IFERROR(VLOOKUP(A5526,'Base Prueba'!A:D,4,),"NO REGISTRA")</f>
        <v>AUXILIAR DE REINTEGROS</v>
      </c>
      <c r="E5526" s="5" t="str">
        <f>IFERROR(VLOOKUP(A5526,'Base Prueba'!A:E,5,),"NO REGISTRA")</f>
        <v>DIRECCION DE BIENESTAR INSTITUCIONAL</v>
      </c>
    </row>
    <row r="5527" spans="1:5" ht="15.75" x14ac:dyDescent="0.25">
      <c r="A5527" s="14">
        <v>1000046533</v>
      </c>
      <c r="B5527" s="2">
        <v>46130.501001157405</v>
      </c>
      <c r="C5527" s="3" t="str">
        <f>IFERROR(VLOOKUP(A5527,'Base Prueba'!A:C,3,),"NO REGISTRA")</f>
        <v>ERIKA JULIETH VALDERRAMA SANCHEZ</v>
      </c>
      <c r="D5527" s="4" t="str">
        <f>IFERROR(VLOOKUP(A5527,'Base Prueba'!A:D,4,),"NO REGISTRA")</f>
        <v>PROMOTOR CALL CENTER</v>
      </c>
      <c r="E5527" s="5" t="str">
        <f>IFERROR(VLOOKUP(A5527,'Base Prueba'!A:E,5,),"NO REGISTRA")</f>
        <v>OFICINA DE MERCADEO</v>
      </c>
    </row>
    <row r="5528" spans="1:5" ht="15.75" x14ac:dyDescent="0.25">
      <c r="A5528" s="14">
        <v>1000257136</v>
      </c>
      <c r="B5528" s="2">
        <v>46130.501414120372</v>
      </c>
      <c r="C5528" s="3" t="str">
        <f>IFERROR(VLOOKUP(A5528,'Base Prueba'!A:C,3,),"NO REGISTRA")</f>
        <v>FRANCI VALENTINA CANO PUENTES</v>
      </c>
      <c r="D5528" s="4" t="str">
        <f>IFERROR(VLOOKUP(A5528,'Base Prueba'!A:D,4,),"NO REGISTRA")</f>
        <v>AUXILIAR CONTABLE</v>
      </c>
      <c r="E5528" s="5" t="str">
        <f>IFERROR(VLOOKUP(A5528,'Base Prueba'!A:E,5,),"NO REGISTRA")</f>
        <v>AREA FINANCIERA Y CONTABLE</v>
      </c>
    </row>
    <row r="5529" spans="1:5" ht="15.75" x14ac:dyDescent="0.25">
      <c r="A5529" s="14">
        <v>1013101788</v>
      </c>
      <c r="B5529" s="2">
        <v>46130.502779050927</v>
      </c>
      <c r="C5529" s="3" t="str">
        <f>IFERROR(VLOOKUP(A5529,'Base Prueba'!A:C,3,),"NO REGISTRA")</f>
        <v>SARA TANGARIFE MONTOYA</v>
      </c>
      <c r="D5529" s="4" t="str">
        <f>IFERROR(VLOOKUP(A5529,'Base Prueba'!A:D,4,),"NO REGISTRA")</f>
        <v>APRENDIZ UNIVERSITARIO</v>
      </c>
      <c r="E5529" s="5" t="str">
        <f>IFERROR(VLOOKUP(A5529,'Base Prueba'!A:E,5,),"NO REGISTRA")</f>
        <v>OFICINA DE MERCADEO</v>
      </c>
    </row>
    <row r="5530" spans="1:5" ht="15.75" x14ac:dyDescent="0.25">
      <c r="A5530" s="14">
        <v>1013098430</v>
      </c>
      <c r="B5530" s="2">
        <v>46130.502824189818</v>
      </c>
      <c r="C5530" s="3" t="str">
        <f>IFERROR(VLOOKUP(A5530,'Base Prueba'!A:C,3,),"NO REGISTRA")</f>
        <v>ANDRES FELIPE LOPEZ ROMERO</v>
      </c>
      <c r="D5530" s="4" t="str">
        <f>IFERROR(VLOOKUP(A5530,'Base Prueba'!A:D,4,),"NO REGISTRA")</f>
        <v>APRENDIZ UNIVERSITARIO</v>
      </c>
      <c r="E5530" s="5" t="str">
        <f>IFERROR(VLOOKUP(A5530,'Base Prueba'!A:E,5,),"NO REGISTRA")</f>
        <v>OFICINA DE MERCADEO</v>
      </c>
    </row>
    <row r="5531" spans="1:5" ht="15.75" x14ac:dyDescent="0.25">
      <c r="A5531" s="14">
        <v>1024512067</v>
      </c>
      <c r="B5531" s="2">
        <v>46130.504724305552</v>
      </c>
      <c r="C5531" s="3" t="str">
        <f>IFERROR(VLOOKUP(A5531,'Base Prueba'!A:C,3,),"NO REGISTRA")</f>
        <v>CINDY GIOVANA SALGAR GOMEZ</v>
      </c>
      <c r="D5531" s="4" t="str">
        <f>IFERROR(VLOOKUP(A5531,'Base Prueba'!A:D,4,),"NO REGISTRA")</f>
        <v>COORDINADOR DEL SISTEMA INTEGRADO DE GESTION INSTITUCIONAL - SIGI</v>
      </c>
      <c r="E5531" s="5" t="str">
        <f>IFERROR(VLOOKUP(A5531,'Base Prueba'!A:E,5,),"NO REGISTRA")</f>
        <v>OFICINA DE PLANEACION Y GESTION DE LA CALIDAD</v>
      </c>
    </row>
    <row r="5532" spans="1:5" ht="15.75" x14ac:dyDescent="0.25">
      <c r="A5532" s="14">
        <v>1000324729</v>
      </c>
      <c r="B5532" s="2">
        <v>46130.513664930557</v>
      </c>
      <c r="C5532" s="3" t="str">
        <f>IFERROR(VLOOKUP(A5532,'Base Prueba'!A:C,3,),"NO REGISTRA")</f>
        <v>ANYIE VANESSA TINOCO CAMACHO</v>
      </c>
      <c r="D5532" s="4" t="str">
        <f>IFERROR(VLOOKUP(A5532,'Base Prueba'!A:D,4,),"NO REGISTRA")</f>
        <v>LIDER DE REGISTRO Y CONTROL</v>
      </c>
      <c r="E5532" s="5" t="str">
        <f>IFERROR(VLOOKUP(A5532,'Base Prueba'!A:E,5,),"NO REGISTRA")</f>
        <v>REGISTRO Y CONTROL ACADEMICO</v>
      </c>
    </row>
    <row r="5533" spans="1:5" ht="15.75" x14ac:dyDescent="0.25">
      <c r="A5533" s="14">
        <v>1013616244</v>
      </c>
      <c r="B5533" s="2">
        <v>46130.559218287039</v>
      </c>
      <c r="C5533" s="3" t="str">
        <f>IFERROR(VLOOKUP(A5533,'Base Prueba'!A:C,3,),"NO REGISTRA")</f>
        <v>DIANA CAROLINA MARIN BETANCOURT</v>
      </c>
      <c r="D5533" s="4" t="str">
        <f>IFERROR(VLOOKUP(A5533,'Base Prueba'!A:D,4,),"NO REGISTRA")</f>
        <v>AUXILIAR ADMINISTRATIVO</v>
      </c>
      <c r="E5533" s="5" t="str">
        <f>IFERROR(VLOOKUP(A5533,'Base Prueba'!A:E,5,),"NO REGISTRA")</f>
        <v>REGISTRO Y CONTROL ACADEMICO</v>
      </c>
    </row>
    <row r="5534" spans="1:5" ht="15.75" x14ac:dyDescent="0.25">
      <c r="A5534" s="14">
        <v>52764929</v>
      </c>
      <c r="B5534" s="2">
        <v>46130.56970162037</v>
      </c>
      <c r="C5534" s="3" t="str">
        <f>IFERROR(VLOOKUP(A5534,'Base Prueba'!A:C,3,),"NO REGISTRA")</f>
        <v>GUERLY YOHANA DURAN RIVERA</v>
      </c>
      <c r="D5534" s="4" t="str">
        <f>IFERROR(VLOOKUP(A5534,'Base Prueba'!A:D,4,),"NO REGISTRA")</f>
        <v>LIDER DE VINCULACION COLEGIOS</v>
      </c>
      <c r="E5534" s="5" t="str">
        <f>IFERROR(VLOOKUP(A5534,'Base Prueba'!A:E,5,),"NO REGISTRA")</f>
        <v>OFICINA DE MERCADEO</v>
      </c>
    </row>
    <row r="5535" spans="1:5" ht="15.75" x14ac:dyDescent="0.25">
      <c r="A5535" s="14">
        <v>1087121273</v>
      </c>
      <c r="B5535" s="2">
        <v>46132.305807175922</v>
      </c>
      <c r="C5535" s="3" t="str">
        <f>IFERROR(VLOOKUP(A5535,'Base Prueba'!A:C,3,),"NO REGISTRA")</f>
        <v>MAYRA ALEJANDRA CASTILLO ARBOLEDA</v>
      </c>
      <c r="D5535" s="4" t="str">
        <f>IFERROR(VLOOKUP(A5535,'Base Prueba'!A:D,4,),"NO REGISTRA")</f>
        <v>APOYO INTEGRAL DE MERCADEO</v>
      </c>
      <c r="E5535" s="5" t="str">
        <f>IFERROR(VLOOKUP(A5535,'Base Prueba'!A:E,5,),"NO REGISTRA")</f>
        <v>CENTRO DE GESTION DOCUMENTAL</v>
      </c>
    </row>
    <row r="5536" spans="1:5" ht="15.75" x14ac:dyDescent="0.25">
      <c r="A5536" s="14">
        <v>1000324729</v>
      </c>
      <c r="B5536" s="2">
        <v>46132.320179513888</v>
      </c>
      <c r="C5536" s="3" t="str">
        <f>IFERROR(VLOOKUP(A5536,'Base Prueba'!A:C,3,),"NO REGISTRA")</f>
        <v>ANYIE VANESSA TINOCO CAMACHO</v>
      </c>
      <c r="D5536" s="4" t="str">
        <f>IFERROR(VLOOKUP(A5536,'Base Prueba'!A:D,4,),"NO REGISTRA")</f>
        <v>LIDER DE REGISTRO Y CONTROL</v>
      </c>
      <c r="E5536" s="5" t="str">
        <f>IFERROR(VLOOKUP(A5536,'Base Prueba'!A:E,5,),"NO REGISTRA")</f>
        <v>REGISTRO Y CONTROL ACADEMICO</v>
      </c>
    </row>
    <row r="5537" spans="1:5" ht="15.75" x14ac:dyDescent="0.25">
      <c r="A5537" s="14">
        <v>1000257136</v>
      </c>
      <c r="B5537" s="2">
        <v>46132.321021180556</v>
      </c>
      <c r="C5537" s="3" t="str">
        <f>IFERROR(VLOOKUP(A5537,'Base Prueba'!A:C,3,),"NO REGISTRA")</f>
        <v>FRANCI VALENTINA CANO PUENTES</v>
      </c>
      <c r="D5537" s="4" t="str">
        <f>IFERROR(VLOOKUP(A5537,'Base Prueba'!A:D,4,),"NO REGISTRA")</f>
        <v>AUXILIAR CONTABLE</v>
      </c>
      <c r="E5537" s="5" t="str">
        <f>IFERROR(VLOOKUP(A5537,'Base Prueba'!A:E,5,),"NO REGISTRA")</f>
        <v>AREA FINANCIERA Y CONTABLE</v>
      </c>
    </row>
    <row r="5538" spans="1:5" ht="15.75" x14ac:dyDescent="0.25">
      <c r="A5538" s="14">
        <v>1013616244</v>
      </c>
      <c r="B5538" s="2">
        <v>46132.32139571759</v>
      </c>
      <c r="C5538" s="3" t="str">
        <f>IFERROR(VLOOKUP(A5538,'Base Prueba'!A:C,3,),"NO REGISTRA")</f>
        <v>DIANA CAROLINA MARIN BETANCOURT</v>
      </c>
      <c r="D5538" s="4" t="str">
        <f>IFERROR(VLOOKUP(A5538,'Base Prueba'!A:D,4,),"NO REGISTRA")</f>
        <v>AUXILIAR ADMINISTRATIVO</v>
      </c>
      <c r="E5538" s="5" t="str">
        <f>IFERROR(VLOOKUP(A5538,'Base Prueba'!A:E,5,),"NO REGISTRA")</f>
        <v>REGISTRO Y CONTROL ACADEMICO</v>
      </c>
    </row>
    <row r="5539" spans="1:5" ht="15.75" x14ac:dyDescent="0.25">
      <c r="A5539" s="14">
        <v>1024512067</v>
      </c>
      <c r="B5539" s="2">
        <v>46132.326866087962</v>
      </c>
      <c r="C5539" s="3" t="str">
        <f>IFERROR(VLOOKUP(A5539,'Base Prueba'!A:C,3,),"NO REGISTRA")</f>
        <v>CINDY GIOVANA SALGAR GOMEZ</v>
      </c>
      <c r="D5539" s="4" t="str">
        <f>IFERROR(VLOOKUP(A5539,'Base Prueba'!A:D,4,),"NO REGISTRA")</f>
        <v>COORDINADOR DEL SISTEMA INTEGRADO DE GESTION INSTITUCIONAL - SIGI</v>
      </c>
      <c r="E5539" s="5" t="str">
        <f>IFERROR(VLOOKUP(A5539,'Base Prueba'!A:E,5,),"NO REGISTRA")</f>
        <v>OFICINA DE PLANEACION Y GESTION DE LA CALIDAD</v>
      </c>
    </row>
    <row r="5540" spans="1:5" ht="15.75" x14ac:dyDescent="0.25">
      <c r="A5540" s="14">
        <v>1014308296</v>
      </c>
      <c r="B5540" s="2">
        <v>46132.329947337967</v>
      </c>
      <c r="C5540" s="3" t="str">
        <f>IFERROR(VLOOKUP(A5540,'Base Prueba'!A:C,3,),"NO REGISTRA")</f>
        <v>DARLENE YULIANA MORENO CELEITA</v>
      </c>
      <c r="D5540" s="4" t="str">
        <f>IFERROR(VLOOKUP(A5540,'Base Prueba'!A:D,4,),"NO REGISTRA")</f>
        <v>CAJERO PRINCIPAL</v>
      </c>
      <c r="E5540" s="5" t="str">
        <f>IFERROR(VLOOKUP(A5540,'Base Prueba'!A:E,5,),"NO REGISTRA")</f>
        <v>AREA FINANCIERA Y CONTABLE</v>
      </c>
    </row>
    <row r="5541" spans="1:5" ht="15.75" x14ac:dyDescent="0.25">
      <c r="A5541" s="14">
        <v>1049644802</v>
      </c>
      <c r="B5541" s="2">
        <v>46132.334815393522</v>
      </c>
      <c r="C5541" s="3" t="str">
        <f>IFERROR(VLOOKUP(A5541,'Base Prueba'!A:C,3,),"NO REGISTRA")</f>
        <v>DANIELA ALEXANDRA CIPAMOCHA BOSIGA</v>
      </c>
      <c r="D5541" s="4" t="str">
        <f>IFERROR(VLOOKUP(A5541,'Base Prueba'!A:D,4,),"NO REGISTRA")</f>
        <v>LIDER DE DATOS Y SERVICIOS</v>
      </c>
      <c r="E5541" s="5" t="str">
        <f>IFERROR(VLOOKUP(A5541,'Base Prueba'!A:E,5,),"NO REGISTRA")</f>
        <v>OFICINA DE PLANEACION Y GESTION DE LA CALIDAD</v>
      </c>
    </row>
    <row r="5542" spans="1:5" ht="15.75" x14ac:dyDescent="0.25">
      <c r="A5542" s="14">
        <v>1010184333</v>
      </c>
      <c r="B5542" s="2">
        <v>46132.335234143517</v>
      </c>
      <c r="C5542" s="3" t="str">
        <f>IFERROR(VLOOKUP(A5542,'Base Prueba'!A:C,3,),"NO REGISTRA")</f>
        <v>AKON ANDRES GARZON ALVAREZ</v>
      </c>
      <c r="D5542" s="4" t="str">
        <f>IFERROR(VLOOKUP(A5542,'Base Prueba'!A:D,4,),"NO REGISTRA")</f>
        <v>APRENDIZ UNIVERSITARIO</v>
      </c>
      <c r="E5542" s="5" t="str">
        <f>IFERROR(VLOOKUP(A5542,'Base Prueba'!A:E,5,),"NO REGISTRA")</f>
        <v>SECRETARIA GENERAL</v>
      </c>
    </row>
    <row r="5543" spans="1:5" ht="15.75" x14ac:dyDescent="0.25">
      <c r="A5543" s="14">
        <v>1014977624</v>
      </c>
      <c r="B5543" s="2">
        <v>46132.33670324074</v>
      </c>
      <c r="C5543" s="3" t="str">
        <f>IFERROR(VLOOKUP(A5543,'Base Prueba'!A:C,3,),"NO REGISTRA")</f>
        <v>NICCOLE VALENTINA HERNANDEZ MALAVER</v>
      </c>
      <c r="D5543" s="4" t="str">
        <f>IFERROR(VLOOKUP(A5543,'Base Prueba'!A:D,4,),"NO REGISTRA")</f>
        <v>APRENDIZ UNIVERSITARIO</v>
      </c>
      <c r="E5543" s="5" t="str">
        <f>IFERROR(VLOOKUP(A5543,'Base Prueba'!A:E,5,),"NO REGISTRA")</f>
        <v>AREA FINANCIERA Y CONTABLE</v>
      </c>
    </row>
    <row r="5544" spans="1:5" ht="15.75" x14ac:dyDescent="0.25">
      <c r="A5544" s="14">
        <v>1193457976</v>
      </c>
      <c r="B5544" s="2">
        <v>46132.339375810188</v>
      </c>
      <c r="C5544" s="3" t="str">
        <f>IFERROR(VLOOKUP(A5544,'Base Prueba'!A:C,3,),"NO REGISTRA")</f>
        <v>SEDENIS RIVAS ASPRILLA</v>
      </c>
      <c r="D5544" s="4" t="str">
        <f>IFERROR(VLOOKUP(A5544,'Base Prueba'!A:D,4,),"NO REGISTRA")</f>
        <v>APRENDIZ UNIVERSITARIO</v>
      </c>
      <c r="E5544" s="5" t="str">
        <f>IFERROR(VLOOKUP(A5544,'Base Prueba'!A:E,5,),"NO REGISTRA")</f>
        <v>DEPARTAMENTO DE GESTION HUMANA</v>
      </c>
    </row>
    <row r="5545" spans="1:5" ht="15.75" x14ac:dyDescent="0.25">
      <c r="A5545" s="14">
        <v>1013098430</v>
      </c>
      <c r="B5545" s="2">
        <v>46132.34171886574</v>
      </c>
      <c r="C5545" s="3" t="str">
        <f>IFERROR(VLOOKUP(A5545,'Base Prueba'!A:C,3,),"NO REGISTRA")</f>
        <v>ANDRES FELIPE LOPEZ ROMERO</v>
      </c>
      <c r="D5545" s="4" t="str">
        <f>IFERROR(VLOOKUP(A5545,'Base Prueba'!A:D,4,),"NO REGISTRA")</f>
        <v>APRENDIZ UNIVERSITARIO</v>
      </c>
      <c r="E5545" s="5" t="str">
        <f>IFERROR(VLOOKUP(A5545,'Base Prueba'!A:E,5,),"NO REGISTRA")</f>
        <v>OFICINA DE MERCADEO</v>
      </c>
    </row>
    <row r="5546" spans="1:5" ht="15.75" x14ac:dyDescent="0.25">
      <c r="A5546" s="14">
        <v>53932358</v>
      </c>
      <c r="B5546" s="2">
        <v>46132.345561458336</v>
      </c>
      <c r="C5546" s="3" t="str">
        <f>IFERROR(VLOOKUP(A5546,'Base Prueba'!A:C,3,),"NO REGISTRA")</f>
        <v>DIANA MADELEYNE GAONA RODRIGUEZ</v>
      </c>
      <c r="D5546" s="4" t="str">
        <f>IFERROR(VLOOKUP(A5546,'Base Prueba'!A:D,4,),"NO REGISTRA")</f>
        <v>CONTADOR</v>
      </c>
      <c r="E5546" s="5" t="str">
        <f>IFERROR(VLOOKUP(A5546,'Base Prueba'!A:E,5,),"NO REGISTRA")</f>
        <v>AREA FINANCIERA Y CONTABLE</v>
      </c>
    </row>
    <row r="5547" spans="1:5" ht="15.75" x14ac:dyDescent="0.25">
      <c r="A5547" s="14">
        <v>1014196857</v>
      </c>
      <c r="B5547" s="2">
        <v>46132.355796180556</v>
      </c>
      <c r="C5547" s="3" t="str">
        <f>IFERROR(VLOOKUP(A5547,'Base Prueba'!A:C,3,),"NO REGISTRA")</f>
        <v>CARLOS ANDRES JIMENEZ PARDO</v>
      </c>
      <c r="D5547" s="4" t="str">
        <f>IFERROR(VLOOKUP(A5547,'Base Prueba'!A:D,4,),"NO REGISTRA")</f>
        <v>COORDINADOR DE MARKETING DIGITAL</v>
      </c>
      <c r="E5547" s="5" t="str">
        <f>IFERROR(VLOOKUP(A5547,'Base Prueba'!A:E,5,),"NO REGISTRA")</f>
        <v>OFICINA DE MERCADEO</v>
      </c>
    </row>
    <row r="5548" spans="1:5" ht="15.75" x14ac:dyDescent="0.25">
      <c r="A5548" s="14">
        <v>1023883232</v>
      </c>
      <c r="B5548" s="2">
        <v>46132.360042476852</v>
      </c>
      <c r="C5548" s="3" t="str">
        <f>IFERROR(VLOOKUP(A5548,'Base Prueba'!A:C,3,),"NO REGISTRA")</f>
        <v>MONICA ANDREA ACERO URBANO</v>
      </c>
      <c r="D5548" s="4" t="str">
        <f>IFERROR(VLOOKUP(A5548,'Base Prueba'!A:D,4,),"NO REGISTRA")</f>
        <v>APOYO INTEGRAL A GESTION HUMANA</v>
      </c>
      <c r="E5548" s="5" t="str">
        <f>IFERROR(VLOOKUP(A5548,'Base Prueba'!A:E,5,),"NO REGISTRA")</f>
        <v>DEPARTAMENTO DE GESTION HUMANA</v>
      </c>
    </row>
    <row r="5549" spans="1:5" ht="15.75" x14ac:dyDescent="0.25">
      <c r="A5549" s="14">
        <v>80191732</v>
      </c>
      <c r="B5549" s="2">
        <v>46132.361308796295</v>
      </c>
      <c r="C5549" s="3" t="str">
        <f>IFERROR(VLOOKUP(A5549,'Base Prueba'!A:C,3,),"NO REGISTRA")</f>
        <v>DANIEL MAURICIO ZAMBRANO TUNJANO</v>
      </c>
      <c r="D5549" s="4" t="str">
        <f>IFERROR(VLOOKUP(A5549,'Base Prueba'!A:D,4,),"NO REGISTRA")</f>
        <v>COORDINADOR DE DISEÑO E IMAGEN INSTITUCIONAL</v>
      </c>
      <c r="E5549" s="5" t="str">
        <f>IFERROR(VLOOKUP(A5549,'Base Prueba'!A:E,5,),"NO REGISTRA")</f>
        <v>OFICINA DE MERCADEO</v>
      </c>
    </row>
    <row r="5550" spans="1:5" ht="15.75" x14ac:dyDescent="0.25">
      <c r="A5550" s="14">
        <v>1032407386</v>
      </c>
      <c r="B5550" s="2">
        <v>46132.361680555558</v>
      </c>
      <c r="C5550" s="3" t="str">
        <f>IFERROR(VLOOKUP(A5550,'Base Prueba'!A:C,3,),"NO REGISTRA")</f>
        <v>GINA PAOLA BAEZ GALVIS</v>
      </c>
      <c r="D5550" s="4" t="str">
        <f>IFERROR(VLOOKUP(A5550,'Base Prueba'!A:D,4,),"NO REGISTRA")</f>
        <v>PROMOTOR CALL CENTER</v>
      </c>
      <c r="E5550" s="5" t="str">
        <f>IFERROR(VLOOKUP(A5550,'Base Prueba'!A:E,5,),"NO REGISTRA")</f>
        <v>OFICINA DE MERCADEO</v>
      </c>
    </row>
    <row r="5551" spans="1:5" ht="15.75" x14ac:dyDescent="0.25">
      <c r="A5551" s="14">
        <v>1033709056</v>
      </c>
      <c r="B5551" s="2">
        <v>46132.362252662038</v>
      </c>
      <c r="C5551" s="3" t="str">
        <f>IFERROR(VLOOKUP(A5551,'Base Prueba'!A:C,3,),"NO REGISTRA")</f>
        <v>YEIMY ALEXANDRA RODRIGUEZ PALACIO</v>
      </c>
      <c r="D5551" s="4" t="str">
        <f>IFERROR(VLOOKUP(A5551,'Base Prueba'!A:D,4,),"NO REGISTRA")</f>
        <v>PROMOTOR CALL CENTER</v>
      </c>
      <c r="E5551" s="5" t="str">
        <f>IFERROR(VLOOKUP(A5551,'Base Prueba'!A:E,5,),"NO REGISTRA")</f>
        <v>OFICINA DE MERCADEO</v>
      </c>
    </row>
    <row r="5552" spans="1:5" ht="15.75" x14ac:dyDescent="0.25">
      <c r="A5552" s="14">
        <v>1013101788</v>
      </c>
      <c r="B5552" s="2">
        <v>46132.363079976851</v>
      </c>
      <c r="C5552" s="3" t="str">
        <f>IFERROR(VLOOKUP(A5552,'Base Prueba'!A:C,3,),"NO REGISTRA")</f>
        <v>SARA TANGARIFE MONTOYA</v>
      </c>
      <c r="D5552" s="4" t="str">
        <f>IFERROR(VLOOKUP(A5552,'Base Prueba'!A:D,4,),"NO REGISTRA")</f>
        <v>APRENDIZ UNIVERSITARIO</v>
      </c>
      <c r="E5552" s="5" t="str">
        <f>IFERROR(VLOOKUP(A5552,'Base Prueba'!A:E,5,),"NO REGISTRA")</f>
        <v>OFICINA DE MERCADEO</v>
      </c>
    </row>
    <row r="5553" spans="1:5" ht="15.75" x14ac:dyDescent="0.25">
      <c r="A5553" s="14">
        <v>1000457706</v>
      </c>
      <c r="B5553" s="2">
        <v>46132.363488773146</v>
      </c>
      <c r="C5553" s="3" t="str">
        <f>IFERROR(VLOOKUP(A5553,'Base Prueba'!A:C,3,),"NO REGISTRA")</f>
        <v>CRISTIAN DANILO ARROYO SANABRIA</v>
      </c>
      <c r="D5553" s="4" t="str">
        <f>IFERROR(VLOOKUP(A5553,'Base Prueba'!A:D,4,),"NO REGISTRA")</f>
        <v>AUXILIAR CONTABLE</v>
      </c>
      <c r="E5553" s="5" t="str">
        <f>IFERROR(VLOOKUP(A5553,'Base Prueba'!A:E,5,),"NO REGISTRA")</f>
        <v>AREA FINANCIERA Y CONTABLE</v>
      </c>
    </row>
    <row r="5554" spans="1:5" ht="15.75" x14ac:dyDescent="0.25">
      <c r="A5554" s="14">
        <v>1019105003</v>
      </c>
      <c r="B5554" s="2">
        <v>46132.36411736111</v>
      </c>
      <c r="C5554" s="3" t="str">
        <f>IFERROR(VLOOKUP(A5554,'Base Prueba'!A:C,3,),"NO REGISTRA")</f>
        <v>DAISY JULIETH GASPAR MORENO</v>
      </c>
      <c r="D5554" s="4" t="str">
        <f>IFERROR(VLOOKUP(A5554,'Base Prueba'!A:D,4,),"NO REGISTRA")</f>
        <v>PROMOTOR CALL CENTER</v>
      </c>
      <c r="E5554" s="5" t="str">
        <f>IFERROR(VLOOKUP(A5554,'Base Prueba'!A:E,5,),"NO REGISTRA")</f>
        <v>OFICINA DE MERCADEO</v>
      </c>
    </row>
    <row r="5555" spans="1:5" ht="15.75" x14ac:dyDescent="0.25">
      <c r="A5555" s="14">
        <v>52472386</v>
      </c>
      <c r="B5555" s="2">
        <v>46132.36562650463</v>
      </c>
      <c r="C5555" s="3" t="str">
        <f>IFERROR(VLOOKUP(A5555,'Base Prueba'!A:C,3,),"NO REGISTRA")</f>
        <v>ADRIANA MARCELA MORALES PARDO</v>
      </c>
      <c r="D5555" s="4" t="str">
        <f>IFERROR(VLOOKUP(A5555,'Base Prueba'!A:D,4,),"NO REGISTRA")</f>
        <v>PROMOTOR CALL CENTER</v>
      </c>
      <c r="E5555" s="5" t="str">
        <f>IFERROR(VLOOKUP(A5555,'Base Prueba'!A:E,5,),"NO REGISTRA")</f>
        <v>OFICINA DE MERCADEO</v>
      </c>
    </row>
    <row r="5556" spans="1:5" ht="15.75" x14ac:dyDescent="0.25">
      <c r="A5556" s="14">
        <v>1000604979</v>
      </c>
      <c r="B5556" s="2">
        <v>46132.366507060186</v>
      </c>
      <c r="C5556" s="3" t="str">
        <f>IFERROR(VLOOKUP(A5556,'Base Prueba'!A:C,3,),"NO REGISTRA")</f>
        <v>JULIETH TATIANA PARDO PINTO</v>
      </c>
      <c r="D5556" s="4" t="str">
        <f>IFERROR(VLOOKUP(A5556,'Base Prueba'!A:D,4,),"NO REGISTRA")</f>
        <v>AUXILIAR JURIDICO</v>
      </c>
      <c r="E5556" s="5" t="str">
        <f>IFERROR(VLOOKUP(A5556,'Base Prueba'!A:E,5,),"NO REGISTRA")</f>
        <v>SECRETARIA GENERAL</v>
      </c>
    </row>
    <row r="5557" spans="1:5" ht="15.75" x14ac:dyDescent="0.25">
      <c r="A5557" s="14">
        <v>1000593372</v>
      </c>
      <c r="B5557" s="2">
        <v>46132.368889699072</v>
      </c>
      <c r="C5557" s="3" t="str">
        <f>IFERROR(VLOOKUP(A5557,'Base Prueba'!A:C,3,),"NO REGISTRA")</f>
        <v>LAURA SOFIA CHAPARRO LOPEZ</v>
      </c>
      <c r="D5557" s="4" t="str">
        <f>IFERROR(VLOOKUP(A5557,'Base Prueba'!A:D,4,),"NO REGISTRA")</f>
        <v>AUXILIAR JURIDICO</v>
      </c>
      <c r="E5557" s="5" t="str">
        <f>IFERROR(VLOOKUP(A5557,'Base Prueba'!A:E,5,),"NO REGISTRA")</f>
        <v>SECRETARIA GENERAL</v>
      </c>
    </row>
    <row r="5558" spans="1:5" ht="15.75" x14ac:dyDescent="0.25">
      <c r="A5558" s="14">
        <v>28798349</v>
      </c>
      <c r="B5558" s="2">
        <v>46132.370026273151</v>
      </c>
      <c r="C5558" s="3" t="str">
        <f>IFERROR(VLOOKUP(A5558,'Base Prueba'!A:C,3,),"NO REGISTRA")</f>
        <v>MARTHA ISABEL TOVAR WILLIAMS</v>
      </c>
      <c r="D5558" s="4" t="str">
        <f>IFERROR(VLOOKUP(A5558,'Base Prueba'!A:D,4,),"NO REGISTRA")</f>
        <v>PROMOTOR CALL CENTER</v>
      </c>
      <c r="E5558" s="5" t="str">
        <f>IFERROR(VLOOKUP(A5558,'Base Prueba'!A:E,5,),"NO REGISTRA")</f>
        <v>OFICINA DE MERCADEO</v>
      </c>
    </row>
    <row r="5559" spans="1:5" ht="15.75" x14ac:dyDescent="0.25">
      <c r="A5559" s="14">
        <v>52764929</v>
      </c>
      <c r="B5559" s="2">
        <v>46132.370915624997</v>
      </c>
      <c r="C5559" s="3" t="str">
        <f>IFERROR(VLOOKUP(A5559,'Base Prueba'!A:C,3,),"NO REGISTRA")</f>
        <v>GUERLY YOHANA DURAN RIVERA</v>
      </c>
      <c r="D5559" s="4" t="str">
        <f>IFERROR(VLOOKUP(A5559,'Base Prueba'!A:D,4,),"NO REGISTRA")</f>
        <v>LIDER DE VINCULACION COLEGIOS</v>
      </c>
      <c r="E5559" s="5" t="str">
        <f>IFERROR(VLOOKUP(A5559,'Base Prueba'!A:E,5,),"NO REGISTRA")</f>
        <v>OFICINA DE MERCADEO</v>
      </c>
    </row>
    <row r="5560" spans="1:5" ht="15.75" x14ac:dyDescent="0.25">
      <c r="A5560" s="14">
        <v>1012426741</v>
      </c>
      <c r="B5560" s="2">
        <v>46132.378379861111</v>
      </c>
      <c r="C5560" s="3" t="str">
        <f>IFERROR(VLOOKUP(A5560,'Base Prueba'!A:C,3,),"NO REGISTRA")</f>
        <v>CRISTIAN FABIAN ROJAS SANCENO</v>
      </c>
      <c r="D5560" s="4" t="str">
        <f>IFERROR(VLOOKUP(A5560,'Base Prueba'!A:D,4,),"NO REGISTRA")</f>
        <v>AUXILIAR DE REINTEGROS</v>
      </c>
      <c r="E5560" s="5" t="str">
        <f>IFERROR(VLOOKUP(A5560,'Base Prueba'!A:E,5,),"NO REGISTRA")</f>
        <v>DIRECCION DE BIENESTAR INSTITUCIONAL</v>
      </c>
    </row>
    <row r="5561" spans="1:5" ht="15.75" x14ac:dyDescent="0.25">
      <c r="A5561" s="14">
        <v>53089882</v>
      </c>
      <c r="B5561" s="2">
        <v>46132.378827083332</v>
      </c>
      <c r="C5561" s="3" t="str">
        <f>IFERROR(VLOOKUP(A5561,'Base Prueba'!A:C,3,),"NO REGISTRA")</f>
        <v>MARIA JOHANA ESCAMILLA MARTINEZ</v>
      </c>
      <c r="D5561" s="4" t="str">
        <f>IFERROR(VLOOKUP(A5561,'Base Prueba'!A:D,4,),"NO REGISTRA")</f>
        <v>PROMOTOR DE INFORMACIÓN</v>
      </c>
      <c r="E5561" s="5" t="str">
        <f>IFERROR(VLOOKUP(A5561,'Base Prueba'!A:E,5,),"NO REGISTRA")</f>
        <v>OFICINA DE MERCADEO</v>
      </c>
    </row>
    <row r="5562" spans="1:5" ht="15.75" x14ac:dyDescent="0.25">
      <c r="A5562" s="14">
        <v>1016090131</v>
      </c>
      <c r="B5562" s="2">
        <v>46132.378841319442</v>
      </c>
      <c r="C5562" s="3" t="str">
        <f>IFERROR(VLOOKUP(A5562,'Base Prueba'!A:C,3,),"NO REGISTRA")</f>
        <v>NICOLAS RODRIGUEZ PACHECO</v>
      </c>
      <c r="D5562" s="4" t="str">
        <f>IFERROR(VLOOKUP(A5562,'Base Prueba'!A:D,4,),"NO REGISTRA")</f>
        <v>COORDINADOR DE COMUNICACIONES</v>
      </c>
      <c r="E5562" s="5" t="str">
        <f>IFERROR(VLOOKUP(A5562,'Base Prueba'!A:E,5,),"NO REGISTRA")</f>
        <v>OFICINA DE MERCADEO</v>
      </c>
    </row>
    <row r="5563" spans="1:5" ht="15.75" x14ac:dyDescent="0.25">
      <c r="A5563" s="14">
        <v>1023961952</v>
      </c>
      <c r="B5563" s="2">
        <v>46132.380150231482</v>
      </c>
      <c r="C5563" s="3" t="str">
        <f>IFERROR(VLOOKUP(A5563,'Base Prueba'!A:C,3,),"NO REGISTRA")</f>
        <v>ALEJANDRO PINZON MERCHAN</v>
      </c>
      <c r="D5563" s="4" t="str">
        <f>IFERROR(VLOOKUP(A5563,'Base Prueba'!A:D,4,),"NO REGISTRA")</f>
        <v>PROMOTOR CALL CENTER</v>
      </c>
      <c r="E5563" s="5" t="str">
        <f>IFERROR(VLOOKUP(A5563,'Base Prueba'!A:E,5,),"NO REGISTRA")</f>
        <v>OFICINA DE MERCADEO</v>
      </c>
    </row>
    <row r="5564" spans="1:5" ht="15.75" x14ac:dyDescent="0.25">
      <c r="A5564" s="14">
        <v>1000046533</v>
      </c>
      <c r="B5564" s="2">
        <v>46132.383044907408</v>
      </c>
      <c r="C5564" s="3" t="str">
        <f>IFERROR(VLOOKUP(A5564,'Base Prueba'!A:C,3,),"NO REGISTRA")</f>
        <v>ERIKA JULIETH VALDERRAMA SANCHEZ</v>
      </c>
      <c r="D5564" s="4" t="str">
        <f>IFERROR(VLOOKUP(A5564,'Base Prueba'!A:D,4,),"NO REGISTRA")</f>
        <v>PROMOTOR CALL CENTER</v>
      </c>
      <c r="E5564" s="5" t="str">
        <f>IFERROR(VLOOKUP(A5564,'Base Prueba'!A:E,5,),"NO REGISTRA")</f>
        <v>OFICINA DE MERCADEO</v>
      </c>
    </row>
    <row r="5565" spans="1:5" ht="15.75" x14ac:dyDescent="0.25">
      <c r="A5565" s="14">
        <v>1018413529</v>
      </c>
      <c r="B5565" s="2">
        <v>46132.389372106481</v>
      </c>
      <c r="C5565" s="3" t="str">
        <f>IFERROR(VLOOKUP(A5565,'Base Prueba'!A:C,3,),"NO REGISTRA")</f>
        <v>FRANCY STELLA CHARRY MORENO</v>
      </c>
      <c r="D5565" s="4" t="str">
        <f>IFERROR(VLOOKUP(A5565,'Base Prueba'!A:D,4,),"NO REGISTRA")</f>
        <v>PROMOTOR COMERCIAL DEL CEA</v>
      </c>
      <c r="E5565" s="5" t="str">
        <f>IFERROR(VLOOKUP(A5565,'Base Prueba'!A:E,5,),"NO REGISTRA")</f>
        <v>OFICINA DE MERCADEO</v>
      </c>
    </row>
    <row r="5566" spans="1:5" ht="15.75" x14ac:dyDescent="0.25">
      <c r="A5566" s="14">
        <v>1018414290</v>
      </c>
      <c r="B5566" s="2">
        <v>46132.394444560188</v>
      </c>
      <c r="C5566" s="3" t="str">
        <f>IFERROR(VLOOKUP(A5566,'Base Prueba'!A:C,3,),"NO REGISTRA")</f>
        <v>AMANDA LISBETH RODRIGUEZ LEON</v>
      </c>
      <c r="D5566" s="4" t="str">
        <f>IFERROR(VLOOKUP(A5566,'Base Prueba'!A:D,4,),"NO REGISTRA")</f>
        <v>PROMOTOR CALL CENTER</v>
      </c>
      <c r="E5566" s="5" t="str">
        <f>IFERROR(VLOOKUP(A5566,'Base Prueba'!A:E,5,),"NO REGISTRA")</f>
        <v>OFICINA DE MERCADEO</v>
      </c>
    </row>
    <row r="5567" spans="1:5" ht="15.75" x14ac:dyDescent="0.25">
      <c r="A5567" s="14">
        <v>80234243</v>
      </c>
      <c r="B5567" s="2">
        <v>46132.437910069442</v>
      </c>
      <c r="C5567" s="3" t="str">
        <f>IFERROR(VLOOKUP(A5567,'Base Prueba'!A:C,3,),"NO REGISTRA")</f>
        <v>ARGENIS MARTINEZ MARTINEZ</v>
      </c>
      <c r="D5567" s="4" t="str">
        <f>IFERROR(VLOOKUP(A5567,'Base Prueba'!A:D,4,),"NO REGISTRA")</f>
        <v>LIDER CALL CENTER</v>
      </c>
      <c r="E5567" s="5" t="str">
        <f>IFERROR(VLOOKUP(A5567,'Base Prueba'!A:E,5,),"NO REGISTRA")</f>
        <v>OFICINA DE MERCADEO</v>
      </c>
    </row>
    <row r="5568" spans="1:5" ht="15.75" x14ac:dyDescent="0.25">
      <c r="A5568" s="14">
        <v>1000604979</v>
      </c>
      <c r="B5568" s="2">
        <v>46132.697724074074</v>
      </c>
      <c r="C5568" s="3" t="str">
        <f>IFERROR(VLOOKUP(A5568,'Base Prueba'!A:C,3,),"NO REGISTRA")</f>
        <v>JULIETH TATIANA PARDO PINTO</v>
      </c>
      <c r="D5568" s="4" t="str">
        <f>IFERROR(VLOOKUP(A5568,'Base Prueba'!A:D,4,),"NO REGISTRA")</f>
        <v>AUXILIAR JURIDICO</v>
      </c>
      <c r="E5568" s="5" t="str">
        <f>IFERROR(VLOOKUP(A5568,'Base Prueba'!A:E,5,),"NO REGISTRA")</f>
        <v>SECRETARIA GENERAL</v>
      </c>
    </row>
    <row r="5569" spans="1:5" ht="15.75" x14ac:dyDescent="0.25">
      <c r="A5569" s="14">
        <v>1013098430</v>
      </c>
      <c r="B5569" s="2">
        <v>46132.71143935185</v>
      </c>
      <c r="C5569" s="3" t="str">
        <f>IFERROR(VLOOKUP(A5569,'Base Prueba'!A:C,3,),"NO REGISTRA")</f>
        <v>ANDRES FELIPE LOPEZ ROMERO</v>
      </c>
      <c r="D5569" s="4" t="str">
        <f>IFERROR(VLOOKUP(A5569,'Base Prueba'!A:D,4,),"NO REGISTRA")</f>
        <v>APRENDIZ UNIVERSITARIO</v>
      </c>
      <c r="E5569" s="5" t="str">
        <f>IFERROR(VLOOKUP(A5569,'Base Prueba'!A:E,5,),"NO REGISTRA")</f>
        <v>OFICINA DE MERCADEO</v>
      </c>
    </row>
    <row r="5570" spans="1:5" ht="15.75" x14ac:dyDescent="0.25">
      <c r="A5570" s="14">
        <v>1024512067</v>
      </c>
      <c r="B5570" s="2">
        <v>46132.712220833331</v>
      </c>
      <c r="C5570" s="3" t="str">
        <f>IFERROR(VLOOKUP(A5570,'Base Prueba'!A:C,3,),"NO REGISTRA")</f>
        <v>CINDY GIOVANA SALGAR GOMEZ</v>
      </c>
      <c r="D5570" s="4" t="str">
        <f>IFERROR(VLOOKUP(A5570,'Base Prueba'!A:D,4,),"NO REGISTRA")</f>
        <v>COORDINADOR DEL SISTEMA INTEGRADO DE GESTION INSTITUCIONAL - SIGI</v>
      </c>
      <c r="E5570" s="5" t="str">
        <f>IFERROR(VLOOKUP(A5570,'Base Prueba'!A:E,5,),"NO REGISTRA")</f>
        <v>OFICINA DE PLANEACION Y GESTION DE LA CALIDAD</v>
      </c>
    </row>
    <row r="5571" spans="1:5" ht="15.75" x14ac:dyDescent="0.25">
      <c r="A5571" s="14">
        <v>1010184333</v>
      </c>
      <c r="B5571" s="2">
        <v>46132.749782407409</v>
      </c>
      <c r="C5571" s="3" t="str">
        <f>IFERROR(VLOOKUP(A5571,'Base Prueba'!A:C,3,),"NO REGISTRA")</f>
        <v>AKON ANDRES GARZON ALVAREZ</v>
      </c>
      <c r="D5571" s="4" t="str">
        <f>IFERROR(VLOOKUP(A5571,'Base Prueba'!A:D,4,),"NO REGISTRA")</f>
        <v>APRENDIZ UNIVERSITARIO</v>
      </c>
      <c r="E5571" s="5" t="str">
        <f>IFERROR(VLOOKUP(A5571,'Base Prueba'!A:E,5,),"NO REGISTRA")</f>
        <v>SECRETARIA GENERAL</v>
      </c>
    </row>
    <row r="5572" spans="1:5" ht="15.75" x14ac:dyDescent="0.25">
      <c r="A5572" s="14">
        <v>1012426741</v>
      </c>
      <c r="B5572" s="2">
        <v>46132.750290046293</v>
      </c>
      <c r="C5572" s="3" t="str">
        <f>IFERROR(VLOOKUP(A5572,'Base Prueba'!A:C,3,),"NO REGISTRA")</f>
        <v>CRISTIAN FABIAN ROJAS SANCENO</v>
      </c>
      <c r="D5572" s="4" t="str">
        <f>IFERROR(VLOOKUP(A5572,'Base Prueba'!A:D,4,),"NO REGISTRA")</f>
        <v>AUXILIAR DE REINTEGROS</v>
      </c>
      <c r="E5572" s="5" t="str">
        <f>IFERROR(VLOOKUP(A5572,'Base Prueba'!A:E,5,),"NO REGISTRA")</f>
        <v>DIRECCION DE BIENESTAR INSTITUCIONAL</v>
      </c>
    </row>
    <row r="5573" spans="1:5" ht="15.75" x14ac:dyDescent="0.25">
      <c r="A5573" s="14">
        <v>1000046533</v>
      </c>
      <c r="B5573" s="2">
        <v>46132.75138530093</v>
      </c>
      <c r="C5573" s="3" t="str">
        <f>IFERROR(VLOOKUP(A5573,'Base Prueba'!A:C,3,),"NO REGISTRA")</f>
        <v>ERIKA JULIETH VALDERRAMA SANCHEZ</v>
      </c>
      <c r="D5573" s="4" t="str">
        <f>IFERROR(VLOOKUP(A5573,'Base Prueba'!A:D,4,),"NO REGISTRA")</f>
        <v>PROMOTOR CALL CENTER</v>
      </c>
      <c r="E5573" s="5" t="str">
        <f>IFERROR(VLOOKUP(A5573,'Base Prueba'!A:E,5,),"NO REGISTRA")</f>
        <v>OFICINA DE MERCADEO</v>
      </c>
    </row>
    <row r="5574" spans="1:5" ht="15.75" x14ac:dyDescent="0.25">
      <c r="A5574" s="14">
        <v>1193457976</v>
      </c>
      <c r="B5574" s="2">
        <v>46132.751959490743</v>
      </c>
      <c r="C5574" s="3" t="str">
        <f>IFERROR(VLOOKUP(A5574,'Base Prueba'!A:C,3,),"NO REGISTRA")</f>
        <v>SEDENIS RIVAS ASPRILLA</v>
      </c>
      <c r="D5574" s="4" t="str">
        <f>IFERROR(VLOOKUP(A5574,'Base Prueba'!A:D,4,),"NO REGISTRA")</f>
        <v>APRENDIZ UNIVERSITARIO</v>
      </c>
      <c r="E5574" s="5" t="str">
        <f>IFERROR(VLOOKUP(A5574,'Base Prueba'!A:E,5,),"NO REGISTRA")</f>
        <v>DEPARTAMENTO DE GESTION HUMANA</v>
      </c>
    </row>
    <row r="5575" spans="1:5" ht="15.75" x14ac:dyDescent="0.25">
      <c r="A5575" s="14">
        <v>1023883232</v>
      </c>
      <c r="B5575" s="2">
        <v>46132.75282858796</v>
      </c>
      <c r="C5575" s="3" t="str">
        <f>IFERROR(VLOOKUP(A5575,'Base Prueba'!A:C,3,),"NO REGISTRA")</f>
        <v>MONICA ANDREA ACERO URBANO</v>
      </c>
      <c r="D5575" s="4" t="str">
        <f>IFERROR(VLOOKUP(A5575,'Base Prueba'!A:D,4,),"NO REGISTRA")</f>
        <v>APOYO INTEGRAL A GESTION HUMANA</v>
      </c>
      <c r="E5575" s="5" t="str">
        <f>IFERROR(VLOOKUP(A5575,'Base Prueba'!A:E,5,),"NO REGISTRA")</f>
        <v>DEPARTAMENTO DE GESTION HUMANA</v>
      </c>
    </row>
    <row r="5576" spans="1:5" ht="15.75" x14ac:dyDescent="0.25">
      <c r="A5576" s="14">
        <v>1022996882</v>
      </c>
      <c r="B5576" s="2">
        <v>46132.752936921293</v>
      </c>
      <c r="C5576" s="3" t="str">
        <f>IFERROR(VLOOKUP(A5576,'Base Prueba'!A:C,3,),"NO REGISTRA")</f>
        <v>NANCY BRIGITH ALDANA GUEVARA</v>
      </c>
      <c r="D5576" s="4" t="str">
        <f>IFERROR(VLOOKUP(A5576,'Base Prueba'!A:D,4,),"NO REGISTRA")</f>
        <v>COORDINADORA DE GESTIÓN HUMANA</v>
      </c>
      <c r="E5576" s="5" t="str">
        <f>IFERROR(VLOOKUP(A5576,'Base Prueba'!A:E,5,),"NO REGISTRA")</f>
        <v>DEPARTAMENTO DE GESTION HUMANA</v>
      </c>
    </row>
    <row r="5577" spans="1:5" ht="15.75" x14ac:dyDescent="0.25">
      <c r="A5577" s="14">
        <v>1000467399</v>
      </c>
      <c r="B5577" s="2">
        <v>46132.753983449074</v>
      </c>
      <c r="C5577" s="3" t="str">
        <f>IFERROR(VLOOKUP(A5577,'Base Prueba'!A:C,3,),"NO REGISTRA")</f>
        <v>BRANDO ESTIVEN DIAZ QUIMBAYA</v>
      </c>
      <c r="D5577" s="4" t="str">
        <f>IFERROR(VLOOKUP(A5577,'Base Prueba'!A:D,4,),"NO REGISTRA")</f>
        <v>APRENDIZ UNIVERSITARIO</v>
      </c>
      <c r="E5577" s="5" t="str">
        <f>IFERROR(VLOOKUP(A5577,'Base Prueba'!A:E,5,),"NO REGISTRA")</f>
        <v>DEPARTAMENTO DE GESTION HUMANA</v>
      </c>
    </row>
    <row r="5578" spans="1:5" ht="15.75" x14ac:dyDescent="0.25">
      <c r="A5578" s="14">
        <v>1014308296</v>
      </c>
      <c r="B5578" s="2">
        <v>46132.754734374997</v>
      </c>
      <c r="C5578" s="3" t="str">
        <f>IFERROR(VLOOKUP(A5578,'Base Prueba'!A:C,3,),"NO REGISTRA")</f>
        <v>DARLENE YULIANA MORENO CELEITA</v>
      </c>
      <c r="D5578" s="4" t="str">
        <f>IFERROR(VLOOKUP(A5578,'Base Prueba'!A:D,4,),"NO REGISTRA")</f>
        <v>CAJERO PRINCIPAL</v>
      </c>
      <c r="E5578" s="5" t="str">
        <f>IFERROR(VLOOKUP(A5578,'Base Prueba'!A:E,5,),"NO REGISTRA")</f>
        <v>AREA FINANCIERA Y CONTABLE</v>
      </c>
    </row>
    <row r="5579" spans="1:5" ht="15.75" x14ac:dyDescent="0.25">
      <c r="A5579" s="14">
        <v>1014977624</v>
      </c>
      <c r="B5579" s="2">
        <v>46132.754979398145</v>
      </c>
      <c r="C5579" s="3" t="str">
        <f>IFERROR(VLOOKUP(A5579,'Base Prueba'!A:C,3,),"NO REGISTRA")</f>
        <v>NICCOLE VALENTINA HERNANDEZ MALAVER</v>
      </c>
      <c r="D5579" s="4" t="str">
        <f>IFERROR(VLOOKUP(A5579,'Base Prueba'!A:D,4,),"NO REGISTRA")</f>
        <v>APRENDIZ UNIVERSITARIO</v>
      </c>
      <c r="E5579" s="5" t="str">
        <f>IFERROR(VLOOKUP(A5579,'Base Prueba'!A:E,5,),"NO REGISTRA")</f>
        <v>AREA FINANCIERA Y CONTABLE</v>
      </c>
    </row>
    <row r="5580" spans="1:5" ht="15.75" x14ac:dyDescent="0.25">
      <c r="A5580" s="14">
        <v>1033709056</v>
      </c>
      <c r="B5580" s="2">
        <v>46132.757816087964</v>
      </c>
      <c r="C5580" s="3" t="str">
        <f>IFERROR(VLOOKUP(A5580,'Base Prueba'!A:C,3,),"NO REGISTRA")</f>
        <v>YEIMY ALEXANDRA RODRIGUEZ PALACIO</v>
      </c>
      <c r="D5580" s="4" t="str">
        <f>IFERROR(VLOOKUP(A5580,'Base Prueba'!A:D,4,),"NO REGISTRA")</f>
        <v>PROMOTOR CALL CENTER</v>
      </c>
      <c r="E5580" s="5" t="str">
        <f>IFERROR(VLOOKUP(A5580,'Base Prueba'!A:E,5,),"NO REGISTRA")</f>
        <v>OFICINA DE MERCADEO</v>
      </c>
    </row>
    <row r="5581" spans="1:5" ht="15.75" x14ac:dyDescent="0.25">
      <c r="A5581" s="14">
        <v>80191732</v>
      </c>
      <c r="B5581" s="2">
        <v>46132.757864583335</v>
      </c>
      <c r="C5581" s="3" t="str">
        <f>IFERROR(VLOOKUP(A5581,'Base Prueba'!A:C,3,),"NO REGISTRA")</f>
        <v>DANIEL MAURICIO ZAMBRANO TUNJANO</v>
      </c>
      <c r="D5581" s="4" t="str">
        <f>IFERROR(VLOOKUP(A5581,'Base Prueba'!A:D,4,),"NO REGISTRA")</f>
        <v>COORDINADOR DE DISEÑO E IMAGEN INSTITUCIONAL</v>
      </c>
      <c r="E5581" s="5" t="str">
        <f>IFERROR(VLOOKUP(A5581,'Base Prueba'!A:E,5,),"NO REGISTRA")</f>
        <v>OFICINA DE MERCADEO</v>
      </c>
    </row>
    <row r="5582" spans="1:5" ht="15.75" x14ac:dyDescent="0.25">
      <c r="A5582" s="14">
        <v>1049644802</v>
      </c>
      <c r="B5582" s="2">
        <v>46132.759602662038</v>
      </c>
      <c r="C5582" s="3" t="str">
        <f>IFERROR(VLOOKUP(A5582,'Base Prueba'!A:C,3,),"NO REGISTRA")</f>
        <v>DANIELA ALEXANDRA CIPAMOCHA BOSIGA</v>
      </c>
      <c r="D5582" s="4" t="str">
        <f>IFERROR(VLOOKUP(A5582,'Base Prueba'!A:D,4,),"NO REGISTRA")</f>
        <v>LIDER DE DATOS Y SERVICIOS</v>
      </c>
      <c r="E5582" s="5" t="str">
        <f>IFERROR(VLOOKUP(A5582,'Base Prueba'!A:E,5,),"NO REGISTRA")</f>
        <v>OFICINA DE PLANEACION Y GESTION DE LA CALIDAD</v>
      </c>
    </row>
    <row r="5583" spans="1:5" ht="15.75" x14ac:dyDescent="0.25">
      <c r="A5583" s="14">
        <v>1019105003</v>
      </c>
      <c r="B5583" s="2">
        <v>46132.759808680552</v>
      </c>
      <c r="C5583" s="3" t="str">
        <f>IFERROR(VLOOKUP(A5583,'Base Prueba'!A:C,3,),"NO REGISTRA")</f>
        <v>DAISY JULIETH GASPAR MORENO</v>
      </c>
      <c r="D5583" s="4" t="str">
        <f>IFERROR(VLOOKUP(A5583,'Base Prueba'!A:D,4,),"NO REGISTRA")</f>
        <v>PROMOTOR CALL CENTER</v>
      </c>
      <c r="E5583" s="5" t="str">
        <f>IFERROR(VLOOKUP(A5583,'Base Prueba'!A:E,5,),"NO REGISTRA")</f>
        <v>OFICINA DE MERCADEO</v>
      </c>
    </row>
    <row r="5584" spans="1:5" ht="15.75" x14ac:dyDescent="0.25">
      <c r="A5584" s="14">
        <v>1087121273</v>
      </c>
      <c r="B5584" s="2">
        <v>46132.760168055553</v>
      </c>
      <c r="C5584" s="3" t="str">
        <f>IFERROR(VLOOKUP(A5584,'Base Prueba'!A:C,3,),"NO REGISTRA")</f>
        <v>MAYRA ALEJANDRA CASTILLO ARBOLEDA</v>
      </c>
      <c r="D5584" s="4" t="str">
        <f>IFERROR(VLOOKUP(A5584,'Base Prueba'!A:D,4,),"NO REGISTRA")</f>
        <v>APOYO INTEGRAL DE MERCADEO</v>
      </c>
      <c r="E5584" s="5" t="str">
        <f>IFERROR(VLOOKUP(A5584,'Base Prueba'!A:E,5,),"NO REGISTRA")</f>
        <v>CENTRO DE GESTION DOCUMENTAL</v>
      </c>
    </row>
    <row r="5585" spans="1:5" ht="15.75" x14ac:dyDescent="0.25">
      <c r="A5585" s="14">
        <v>1023961952</v>
      </c>
      <c r="B5585" s="2">
        <v>46132.761076273149</v>
      </c>
      <c r="C5585" s="3" t="str">
        <f>IFERROR(VLOOKUP(A5585,'Base Prueba'!A:C,3,),"NO REGISTRA")</f>
        <v>ALEJANDRO PINZON MERCHAN</v>
      </c>
      <c r="D5585" s="4" t="str">
        <f>IFERROR(VLOOKUP(A5585,'Base Prueba'!A:D,4,),"NO REGISTRA")</f>
        <v>PROMOTOR CALL CENTER</v>
      </c>
      <c r="E5585" s="5" t="str">
        <f>IFERROR(VLOOKUP(A5585,'Base Prueba'!A:E,5,),"NO REGISTRA")</f>
        <v>OFICINA DE MERCADEO</v>
      </c>
    </row>
    <row r="5586" spans="1:5" ht="15.75" x14ac:dyDescent="0.25">
      <c r="A5586" s="14">
        <v>28798349</v>
      </c>
      <c r="B5586" s="2">
        <v>46132.761118518516</v>
      </c>
      <c r="C5586" s="3" t="str">
        <f>IFERROR(VLOOKUP(A5586,'Base Prueba'!A:C,3,),"NO REGISTRA")</f>
        <v>MARTHA ISABEL TOVAR WILLIAMS</v>
      </c>
      <c r="D5586" s="4" t="str">
        <f>IFERROR(VLOOKUP(A5586,'Base Prueba'!A:D,4,),"NO REGISTRA")</f>
        <v>PROMOTOR CALL CENTER</v>
      </c>
      <c r="E5586" s="5" t="str">
        <f>IFERROR(VLOOKUP(A5586,'Base Prueba'!A:E,5,),"NO REGISTRA")</f>
        <v>OFICINA DE MERCADEO</v>
      </c>
    </row>
    <row r="5587" spans="1:5" ht="15.75" x14ac:dyDescent="0.25">
      <c r="A5587" s="14">
        <v>52472386</v>
      </c>
      <c r="B5587" s="2">
        <v>46132.761283333333</v>
      </c>
      <c r="C5587" s="3" t="str">
        <f>IFERROR(VLOOKUP(A5587,'Base Prueba'!A:C,3,),"NO REGISTRA")</f>
        <v>ADRIANA MARCELA MORALES PARDO</v>
      </c>
      <c r="D5587" s="4" t="str">
        <f>IFERROR(VLOOKUP(A5587,'Base Prueba'!A:D,4,),"NO REGISTRA")</f>
        <v>PROMOTOR CALL CENTER</v>
      </c>
      <c r="E5587" s="5" t="str">
        <f>IFERROR(VLOOKUP(A5587,'Base Prueba'!A:E,5,),"NO REGISTRA")</f>
        <v>OFICINA DE MERCADEO</v>
      </c>
    </row>
    <row r="5588" spans="1:5" ht="15.75" x14ac:dyDescent="0.25">
      <c r="A5588" s="14">
        <v>1018413529</v>
      </c>
      <c r="B5588" s="2">
        <v>46132.761315277778</v>
      </c>
      <c r="C5588" s="3" t="str">
        <f>IFERROR(VLOOKUP(A5588,'Base Prueba'!A:C,3,),"NO REGISTRA")</f>
        <v>FRANCY STELLA CHARRY MORENO</v>
      </c>
      <c r="D5588" s="4" t="str">
        <f>IFERROR(VLOOKUP(A5588,'Base Prueba'!A:D,4,),"NO REGISTRA")</f>
        <v>PROMOTOR COMERCIAL DEL CEA</v>
      </c>
      <c r="E5588" s="5" t="str">
        <f>IFERROR(VLOOKUP(A5588,'Base Prueba'!A:E,5,),"NO REGISTRA")</f>
        <v>OFICINA DE MERCADEO</v>
      </c>
    </row>
    <row r="5589" spans="1:5" ht="15.75" x14ac:dyDescent="0.25">
      <c r="A5589" s="14">
        <v>1013101788</v>
      </c>
      <c r="B5589" s="2">
        <v>46132.764506481479</v>
      </c>
      <c r="C5589" s="3" t="str">
        <f>IFERROR(VLOOKUP(A5589,'Base Prueba'!A:C,3,),"NO REGISTRA")</f>
        <v>SARA TANGARIFE MONTOYA</v>
      </c>
      <c r="D5589" s="4" t="str">
        <f>IFERROR(VLOOKUP(A5589,'Base Prueba'!A:D,4,),"NO REGISTRA")</f>
        <v>APRENDIZ UNIVERSITARIO</v>
      </c>
      <c r="E5589" s="5" t="str">
        <f>IFERROR(VLOOKUP(A5589,'Base Prueba'!A:E,5,),"NO REGISTRA")</f>
        <v>OFICINA DE MERCADEO</v>
      </c>
    </row>
    <row r="5590" spans="1:5" ht="15.75" x14ac:dyDescent="0.25">
      <c r="A5590" s="14">
        <v>1000593372</v>
      </c>
      <c r="B5590" s="2">
        <v>46132.770490277777</v>
      </c>
      <c r="C5590" s="3" t="str">
        <f>IFERROR(VLOOKUP(A5590,'Base Prueba'!A:C,3,),"NO REGISTRA")</f>
        <v>LAURA SOFIA CHAPARRO LOPEZ</v>
      </c>
      <c r="D5590" s="4" t="str">
        <f>IFERROR(VLOOKUP(A5590,'Base Prueba'!A:D,4,),"NO REGISTRA")</f>
        <v>AUXILIAR JURIDICO</v>
      </c>
      <c r="E5590" s="5" t="str">
        <f>IFERROR(VLOOKUP(A5590,'Base Prueba'!A:E,5,),"NO REGISTRA")</f>
        <v>SECRETARIA GENERAL</v>
      </c>
    </row>
    <row r="5591" spans="1:5" ht="15.75" x14ac:dyDescent="0.25">
      <c r="A5591" s="14">
        <v>1000457706</v>
      </c>
      <c r="B5591" s="2">
        <v>46132.784258912034</v>
      </c>
      <c r="C5591" s="3" t="str">
        <f>IFERROR(VLOOKUP(A5591,'Base Prueba'!A:C,3,),"NO REGISTRA")</f>
        <v>CRISTIAN DANILO ARROYO SANABRIA</v>
      </c>
      <c r="D5591" s="4" t="str">
        <f>IFERROR(VLOOKUP(A5591,'Base Prueba'!A:D,4,),"NO REGISTRA")</f>
        <v>AUXILIAR CONTABLE</v>
      </c>
      <c r="E5591" s="5" t="str">
        <f>IFERROR(VLOOKUP(A5591,'Base Prueba'!A:E,5,),"NO REGISTRA")</f>
        <v>AREA FINANCIERA Y CONTABLE</v>
      </c>
    </row>
    <row r="5592" spans="1:5" ht="15.75" x14ac:dyDescent="0.25">
      <c r="A5592" s="14">
        <v>1000324729</v>
      </c>
      <c r="B5592" s="2">
        <v>46132.786570138887</v>
      </c>
      <c r="C5592" s="3" t="str">
        <f>IFERROR(VLOOKUP(A5592,'Base Prueba'!A:C,3,),"NO REGISTRA")</f>
        <v>ANYIE VANESSA TINOCO CAMACHO</v>
      </c>
      <c r="D5592" s="4" t="str">
        <f>IFERROR(VLOOKUP(A5592,'Base Prueba'!A:D,4,),"NO REGISTRA")</f>
        <v>LIDER DE REGISTRO Y CONTROL</v>
      </c>
      <c r="E5592" s="5" t="str">
        <f>IFERROR(VLOOKUP(A5592,'Base Prueba'!A:E,5,),"NO REGISTRA")</f>
        <v>REGISTRO Y CONTROL ACADEMICO</v>
      </c>
    </row>
    <row r="5593" spans="1:5" ht="15.75" x14ac:dyDescent="0.25">
      <c r="A5593" s="14">
        <v>1018414290</v>
      </c>
      <c r="B5593" s="2">
        <v>46132.787851967594</v>
      </c>
      <c r="C5593" s="3" t="str">
        <f>IFERROR(VLOOKUP(A5593,'Base Prueba'!A:C,3,),"NO REGISTRA")</f>
        <v>AMANDA LISBETH RODRIGUEZ LEON</v>
      </c>
      <c r="D5593" s="4" t="str">
        <f>IFERROR(VLOOKUP(A5593,'Base Prueba'!A:D,4,),"NO REGISTRA")</f>
        <v>PROMOTOR CALL CENTER</v>
      </c>
      <c r="E5593" s="5" t="str">
        <f>IFERROR(VLOOKUP(A5593,'Base Prueba'!A:E,5,),"NO REGISTRA")</f>
        <v>OFICINA DE MERCADEO</v>
      </c>
    </row>
    <row r="5594" spans="1:5" ht="15.75" x14ac:dyDescent="0.25">
      <c r="A5594" s="14">
        <v>1000257136</v>
      </c>
      <c r="B5594" s="2">
        <v>46132.79323009259</v>
      </c>
      <c r="C5594" s="3" t="str">
        <f>IFERROR(VLOOKUP(A5594,'Base Prueba'!A:C,3,),"NO REGISTRA")</f>
        <v>FRANCI VALENTINA CANO PUENTES</v>
      </c>
      <c r="D5594" s="4" t="str">
        <f>IFERROR(VLOOKUP(A5594,'Base Prueba'!A:D,4,),"NO REGISTRA")</f>
        <v>AUXILIAR CONTABLE</v>
      </c>
      <c r="E5594" s="5" t="str">
        <f>IFERROR(VLOOKUP(A5594,'Base Prueba'!A:E,5,),"NO REGISTRA")</f>
        <v>AREA FINANCIERA Y CONTABLE</v>
      </c>
    </row>
    <row r="5595" spans="1:5" ht="15.75" x14ac:dyDescent="0.25">
      <c r="A5595" s="14">
        <v>53932358</v>
      </c>
      <c r="B5595" s="2">
        <v>46132.79441736111</v>
      </c>
      <c r="C5595" s="3" t="str">
        <f>IFERROR(VLOOKUP(A5595,'Base Prueba'!A:C,3,),"NO REGISTRA")</f>
        <v>DIANA MADELEYNE GAONA RODRIGUEZ</v>
      </c>
      <c r="D5595" s="4" t="str">
        <f>IFERROR(VLOOKUP(A5595,'Base Prueba'!A:D,4,),"NO REGISTRA")</f>
        <v>CONTADOR</v>
      </c>
      <c r="E5595" s="5" t="str">
        <f>IFERROR(VLOOKUP(A5595,'Base Prueba'!A:E,5,),"NO REGISTRA")</f>
        <v>AREA FINANCIERA Y CONTABLE</v>
      </c>
    </row>
    <row r="5596" spans="1:5" ht="15.75" x14ac:dyDescent="0.25">
      <c r="A5596" s="14">
        <v>52474489</v>
      </c>
      <c r="B5596" s="2">
        <v>46132.797025462962</v>
      </c>
      <c r="C5596" s="3" t="str">
        <f>IFERROR(VLOOKUP(A5596,'Base Prueba'!A:C,3,),"NO REGISTRA")</f>
        <v>ADRIANA JIMENA SOTO BOCANEGRA</v>
      </c>
      <c r="D5596" s="4" t="str">
        <f>IFERROR(VLOOKUP(A5596,'Base Prueba'!A:D,4,),"NO REGISTRA")</f>
        <v>COORDINADOR DE LA OFICINA DE REGISTRO Y CONTROL</v>
      </c>
      <c r="E5596" s="5" t="str">
        <f>IFERROR(VLOOKUP(A5596,'Base Prueba'!A:E,5,),"NO REGISTRA")</f>
        <v>REGISTRO Y CONTROL ACADEMICO</v>
      </c>
    </row>
    <row r="5597" spans="1:5" ht="15.75" x14ac:dyDescent="0.25">
      <c r="A5597" s="14">
        <v>1013616244</v>
      </c>
      <c r="B5597" s="2">
        <v>46132.797099768519</v>
      </c>
      <c r="C5597" s="3" t="str">
        <f>IFERROR(VLOOKUP(A5597,'Base Prueba'!A:C,3,),"NO REGISTRA")</f>
        <v>DIANA CAROLINA MARIN BETANCOURT</v>
      </c>
      <c r="D5597" s="4" t="str">
        <f>IFERROR(VLOOKUP(A5597,'Base Prueba'!A:D,4,),"NO REGISTRA")</f>
        <v>AUXILIAR ADMINISTRATIVO</v>
      </c>
      <c r="E5597" s="5" t="str">
        <f>IFERROR(VLOOKUP(A5597,'Base Prueba'!A:E,5,),"NO REGISTRA")</f>
        <v>REGISTRO Y CONTROL ACADEMICO</v>
      </c>
    </row>
    <row r="5598" spans="1:5" ht="15.75" x14ac:dyDescent="0.25">
      <c r="A5598" s="14">
        <v>80234243</v>
      </c>
      <c r="B5598" s="2">
        <v>46132.802357175926</v>
      </c>
      <c r="C5598" s="3" t="str">
        <f>IFERROR(VLOOKUP(A5598,'Base Prueba'!A:C,3,),"NO REGISTRA")</f>
        <v>ARGENIS MARTINEZ MARTINEZ</v>
      </c>
      <c r="D5598" s="4" t="str">
        <f>IFERROR(VLOOKUP(A5598,'Base Prueba'!A:D,4,),"NO REGISTRA")</f>
        <v>LIDER CALL CENTER</v>
      </c>
      <c r="E5598" s="5" t="str">
        <f>IFERROR(VLOOKUP(A5598,'Base Prueba'!A:E,5,),"NO REGISTRA")</f>
        <v>OFICINA DE MERCADEO</v>
      </c>
    </row>
    <row r="5599" spans="1:5" ht="15.75" x14ac:dyDescent="0.25">
      <c r="A5599" s="14">
        <v>52764929</v>
      </c>
      <c r="B5599" s="2">
        <v>46132.803112384259</v>
      </c>
      <c r="C5599" s="3" t="str">
        <f>IFERROR(VLOOKUP(A5599,'Base Prueba'!A:C,3,),"NO REGISTRA")</f>
        <v>GUERLY YOHANA DURAN RIVERA</v>
      </c>
      <c r="D5599" s="4" t="str">
        <f>IFERROR(VLOOKUP(A5599,'Base Prueba'!A:D,4,),"NO REGISTRA")</f>
        <v>LIDER DE VINCULACION COLEGIOS</v>
      </c>
      <c r="E5599" s="5" t="str">
        <f>IFERROR(VLOOKUP(A5599,'Base Prueba'!A:E,5,),"NO REGISTRA")</f>
        <v>OFICINA DE MERCADEO</v>
      </c>
    </row>
    <row r="5600" spans="1:5" ht="15.75" x14ac:dyDescent="0.25">
      <c r="A5600" s="14">
        <v>1014196857</v>
      </c>
      <c r="B5600" s="2">
        <v>46132.815726157409</v>
      </c>
      <c r="C5600" s="3" t="str">
        <f>IFERROR(VLOOKUP(A5600,'Base Prueba'!A:C,3,),"NO REGISTRA")</f>
        <v>CARLOS ANDRES JIMENEZ PARDO</v>
      </c>
      <c r="D5600" s="4" t="str">
        <f>IFERROR(VLOOKUP(A5600,'Base Prueba'!A:D,4,),"NO REGISTRA")</f>
        <v>COORDINADOR DE MARKETING DIGITAL</v>
      </c>
      <c r="E5600" s="5" t="str">
        <f>IFERROR(VLOOKUP(A5600,'Base Prueba'!A:E,5,),"NO REGISTRA")</f>
        <v>OFICINA DE MERCADEO</v>
      </c>
    </row>
    <row r="5601" spans="1:5" ht="15.75" x14ac:dyDescent="0.25">
      <c r="A5601" s="14">
        <v>1032407386</v>
      </c>
      <c r="B5601" s="2">
        <v>46132.82182986111</v>
      </c>
      <c r="C5601" s="3" t="str">
        <f>IFERROR(VLOOKUP(A5601,'Base Prueba'!A:C,3,),"NO REGISTRA")</f>
        <v>GINA PAOLA BAEZ GALVIS</v>
      </c>
      <c r="D5601" s="4" t="str">
        <f>IFERROR(VLOOKUP(A5601,'Base Prueba'!A:D,4,),"NO REGISTRA")</f>
        <v>PROMOTOR CALL CENTER</v>
      </c>
      <c r="E5601" s="5" t="str">
        <f>IFERROR(VLOOKUP(A5601,'Base Prueba'!A:E,5,),"NO REGISTRA")</f>
        <v>OFICINA DE MERCADEO</v>
      </c>
    </row>
    <row r="5602" spans="1:5" ht="15.75" x14ac:dyDescent="0.25">
      <c r="A5602" s="14">
        <v>53089882</v>
      </c>
      <c r="B5602" s="2">
        <v>46132.822115972223</v>
      </c>
      <c r="C5602" s="3" t="str">
        <f>IFERROR(VLOOKUP(A5602,'Base Prueba'!A:C,3,),"NO REGISTRA")</f>
        <v>MARIA JOHANA ESCAMILLA MARTINEZ</v>
      </c>
      <c r="D5602" s="4" t="str">
        <f>IFERROR(VLOOKUP(A5602,'Base Prueba'!A:D,4,),"NO REGISTRA")</f>
        <v>PROMOTOR DE INFORMACIÓN</v>
      </c>
      <c r="E5602" s="5" t="str">
        <f>IFERROR(VLOOKUP(A5602,'Base Prueba'!A:E,5,),"NO REGISTRA")</f>
        <v>OFICINA DE MERCADEO</v>
      </c>
    </row>
    <row r="5603" spans="1:5" ht="15.75" x14ac:dyDescent="0.25">
      <c r="A5603" s="14">
        <v>52175674</v>
      </c>
      <c r="B5603" s="2">
        <v>46132.822316435188</v>
      </c>
      <c r="C5603" s="3" t="str">
        <f>IFERROR(VLOOKUP(A5603,'Base Prueba'!A:C,3,),"NO REGISTRA")</f>
        <v>LUZ YANETH GOMEZ AREVALO</v>
      </c>
      <c r="D5603" s="4" t="str">
        <f>IFERROR(VLOOKUP(A5603,'Base Prueba'!A:D,4,),"NO REGISTRA")</f>
        <v>COORDINADORA DE ADMISIONES</v>
      </c>
      <c r="E5603" s="5" t="str">
        <f>IFERROR(VLOOKUP(A5603,'Base Prueba'!A:E,5,),"NO REGISTRA")</f>
        <v>OFICINA DE MERCADEO</v>
      </c>
    </row>
    <row r="5604" spans="1:5" ht="15.75" x14ac:dyDescent="0.25">
      <c r="A5604" s="14">
        <v>1024512067</v>
      </c>
      <c r="B5604" s="2">
        <v>46133.310948495367</v>
      </c>
      <c r="C5604" s="3" t="str">
        <f>IFERROR(VLOOKUP(A5604,'Base Prueba'!A:C,3,),"NO REGISTRA")</f>
        <v>CINDY GIOVANA SALGAR GOMEZ</v>
      </c>
      <c r="D5604" s="4" t="str">
        <f>IFERROR(VLOOKUP(A5604,'Base Prueba'!A:D,4,),"NO REGISTRA")</f>
        <v>COORDINADOR DEL SISTEMA INTEGRADO DE GESTION INSTITUCIONAL - SIGI</v>
      </c>
      <c r="E5604" s="5" t="str">
        <f>IFERROR(VLOOKUP(A5604,'Base Prueba'!A:E,5,),"NO REGISTRA")</f>
        <v>OFICINA DE PLANEACION Y GESTION DE LA CALIDAD</v>
      </c>
    </row>
    <row r="5605" spans="1:5" ht="15.75" x14ac:dyDescent="0.25">
      <c r="A5605" s="14">
        <v>1087121273</v>
      </c>
      <c r="B5605" s="2">
        <v>46133.312562037034</v>
      </c>
      <c r="C5605" s="3" t="str">
        <f>IFERROR(VLOOKUP(A5605,'Base Prueba'!A:C,3,),"NO REGISTRA")</f>
        <v>MAYRA ALEJANDRA CASTILLO ARBOLEDA</v>
      </c>
      <c r="D5605" s="4" t="str">
        <f>IFERROR(VLOOKUP(A5605,'Base Prueba'!A:D,4,),"NO REGISTRA")</f>
        <v>APOYO INTEGRAL DE MERCADEO</v>
      </c>
      <c r="E5605" s="5" t="str">
        <f>IFERROR(VLOOKUP(A5605,'Base Prueba'!A:E,5,),"NO REGISTRA")</f>
        <v>CENTRO DE GESTION DOCUMENTAL</v>
      </c>
    </row>
    <row r="5606" spans="1:5" ht="15.75" x14ac:dyDescent="0.25">
      <c r="A5606" s="14">
        <v>1000324729</v>
      </c>
      <c r="B5606" s="2">
        <v>46133.319948263888</v>
      </c>
      <c r="C5606" s="3" t="str">
        <f>IFERROR(VLOOKUP(A5606,'Base Prueba'!A:C,3,),"NO REGISTRA")</f>
        <v>ANYIE VANESSA TINOCO CAMACHO</v>
      </c>
      <c r="D5606" s="4" t="str">
        <f>IFERROR(VLOOKUP(A5606,'Base Prueba'!A:D,4,),"NO REGISTRA")</f>
        <v>LIDER DE REGISTRO Y CONTROL</v>
      </c>
      <c r="E5606" s="5" t="str">
        <f>IFERROR(VLOOKUP(A5606,'Base Prueba'!A:E,5,),"NO REGISTRA")</f>
        <v>REGISTRO Y CONTROL ACADEMICO</v>
      </c>
    </row>
    <row r="5607" spans="1:5" ht="15.75" x14ac:dyDescent="0.25">
      <c r="A5607" s="14">
        <v>1014308296</v>
      </c>
      <c r="B5607" s="2">
        <v>46133.326333680554</v>
      </c>
      <c r="C5607" s="3" t="str">
        <f>IFERROR(VLOOKUP(A5607,'Base Prueba'!A:C,3,),"NO REGISTRA")</f>
        <v>DARLENE YULIANA MORENO CELEITA</v>
      </c>
      <c r="D5607" s="4" t="str">
        <f>IFERROR(VLOOKUP(A5607,'Base Prueba'!A:D,4,),"NO REGISTRA")</f>
        <v>CAJERO PRINCIPAL</v>
      </c>
      <c r="E5607" s="5" t="str">
        <f>IFERROR(VLOOKUP(A5607,'Base Prueba'!A:E,5,),"NO REGISTRA")</f>
        <v>AREA FINANCIERA Y CONTABLE</v>
      </c>
    </row>
    <row r="5608" spans="1:5" ht="15.75" x14ac:dyDescent="0.25">
      <c r="A5608" s="14">
        <v>1013616244</v>
      </c>
      <c r="B5608" s="2">
        <v>46133.326505555553</v>
      </c>
      <c r="C5608" s="3" t="str">
        <f>IFERROR(VLOOKUP(A5608,'Base Prueba'!A:C,3,),"NO REGISTRA")</f>
        <v>DIANA CAROLINA MARIN BETANCOURT</v>
      </c>
      <c r="D5608" s="4" t="str">
        <f>IFERROR(VLOOKUP(A5608,'Base Prueba'!A:D,4,),"NO REGISTRA")</f>
        <v>AUXILIAR ADMINISTRATIVO</v>
      </c>
      <c r="E5608" s="5" t="str">
        <f>IFERROR(VLOOKUP(A5608,'Base Prueba'!A:E,5,),"NO REGISTRA")</f>
        <v>REGISTRO Y CONTROL ACADEMICO</v>
      </c>
    </row>
    <row r="5609" spans="1:5" ht="15.75" x14ac:dyDescent="0.25">
      <c r="A5609" s="14">
        <v>1000257136</v>
      </c>
      <c r="B5609" s="2">
        <v>46133.327179861109</v>
      </c>
      <c r="C5609" s="3" t="str">
        <f>IFERROR(VLOOKUP(A5609,'Base Prueba'!A:C,3,),"NO REGISTRA")</f>
        <v>FRANCI VALENTINA CANO PUENTES</v>
      </c>
      <c r="D5609" s="4" t="str">
        <f>IFERROR(VLOOKUP(A5609,'Base Prueba'!A:D,4,),"NO REGISTRA")</f>
        <v>AUXILIAR CONTABLE</v>
      </c>
      <c r="E5609" s="5" t="str">
        <f>IFERROR(VLOOKUP(A5609,'Base Prueba'!A:E,5,),"NO REGISTRA")</f>
        <v>AREA FINANCIERA Y CONTABLE</v>
      </c>
    </row>
    <row r="5610" spans="1:5" ht="15.75" x14ac:dyDescent="0.25">
      <c r="A5610" s="14">
        <v>1010184333</v>
      </c>
      <c r="B5610" s="2">
        <v>46133.328471643516</v>
      </c>
      <c r="C5610" s="3" t="str">
        <f>IFERROR(VLOOKUP(A5610,'Base Prueba'!A:C,3,),"NO REGISTRA")</f>
        <v>AKON ANDRES GARZON ALVAREZ</v>
      </c>
      <c r="D5610" s="4" t="str">
        <f>IFERROR(VLOOKUP(A5610,'Base Prueba'!A:D,4,),"NO REGISTRA")</f>
        <v>APRENDIZ UNIVERSITARIO</v>
      </c>
      <c r="E5610" s="5" t="str">
        <f>IFERROR(VLOOKUP(A5610,'Base Prueba'!A:E,5,),"NO REGISTRA")</f>
        <v>SECRETARIA GENERAL</v>
      </c>
    </row>
    <row r="5611" spans="1:5" ht="15.75" x14ac:dyDescent="0.25">
      <c r="A5611" s="14">
        <v>1033820146</v>
      </c>
      <c r="B5611" s="2">
        <v>46133.329672453707</v>
      </c>
      <c r="C5611" s="3" t="str">
        <f>IFERROR(VLOOKUP(A5611,'Base Prueba'!A:C,3,),"NO REGISTRA")</f>
        <v>JULIETH ALEXANDRA BUSTAMANTE RUIZ</v>
      </c>
      <c r="D5611" s="4" t="str">
        <f>IFERROR(VLOOKUP(A5611,'Base Prueba'!A:D,4,),"NO REGISTRA")</f>
        <v>AUXILIAR ADMINISTRATIVO</v>
      </c>
      <c r="E5611" s="5" t="str">
        <f>IFERROR(VLOOKUP(A5611,'Base Prueba'!A:E,5,),"NO REGISTRA")</f>
        <v>REGISTRO Y CONTROL ACADEMICO</v>
      </c>
    </row>
    <row r="5612" spans="1:5" ht="15.75" x14ac:dyDescent="0.25">
      <c r="A5612" s="14">
        <v>1000593372</v>
      </c>
      <c r="B5612" s="2">
        <v>46133.33095520833</v>
      </c>
      <c r="C5612" s="3" t="str">
        <f>IFERROR(VLOOKUP(A5612,'Base Prueba'!A:C,3,),"NO REGISTRA")</f>
        <v>LAURA SOFIA CHAPARRO LOPEZ</v>
      </c>
      <c r="D5612" s="4" t="str">
        <f>IFERROR(VLOOKUP(A5612,'Base Prueba'!A:D,4,),"NO REGISTRA")</f>
        <v>AUXILIAR JURIDICO</v>
      </c>
      <c r="E5612" s="5" t="str">
        <f>IFERROR(VLOOKUP(A5612,'Base Prueba'!A:E,5,),"NO REGISTRA")</f>
        <v>SECRETARIA GENERAL</v>
      </c>
    </row>
    <row r="5613" spans="1:5" ht="15.75" x14ac:dyDescent="0.25">
      <c r="A5613" s="14">
        <v>1000604979</v>
      </c>
      <c r="B5613" s="2">
        <v>46133.33354097222</v>
      </c>
      <c r="C5613" s="3" t="str">
        <f>IFERROR(VLOOKUP(A5613,'Base Prueba'!A:C,3,),"NO REGISTRA")</f>
        <v>JULIETH TATIANA PARDO PINTO</v>
      </c>
      <c r="D5613" s="4" t="str">
        <f>IFERROR(VLOOKUP(A5613,'Base Prueba'!A:D,4,),"NO REGISTRA")</f>
        <v>AUXILIAR JURIDICO</v>
      </c>
      <c r="E5613" s="5" t="str">
        <f>IFERROR(VLOOKUP(A5613,'Base Prueba'!A:E,5,),"NO REGISTRA")</f>
        <v>SECRETARIA GENERAL</v>
      </c>
    </row>
    <row r="5614" spans="1:5" ht="15.75" x14ac:dyDescent="0.25">
      <c r="A5614" s="14">
        <v>1014977624</v>
      </c>
      <c r="B5614" s="2">
        <v>46133.33469560185</v>
      </c>
      <c r="C5614" s="3" t="str">
        <f>IFERROR(VLOOKUP(A5614,'Base Prueba'!A:C,3,),"NO REGISTRA")</f>
        <v>NICCOLE VALENTINA HERNANDEZ MALAVER</v>
      </c>
      <c r="D5614" s="4" t="str">
        <f>IFERROR(VLOOKUP(A5614,'Base Prueba'!A:D,4,),"NO REGISTRA")</f>
        <v>APRENDIZ UNIVERSITARIO</v>
      </c>
      <c r="E5614" s="5" t="str">
        <f>IFERROR(VLOOKUP(A5614,'Base Prueba'!A:E,5,),"NO REGISTRA")</f>
        <v>AREA FINANCIERA Y CONTABLE</v>
      </c>
    </row>
    <row r="5615" spans="1:5" ht="15.75" x14ac:dyDescent="0.25">
      <c r="A5615" s="14">
        <v>1013098430</v>
      </c>
      <c r="B5615" s="2">
        <v>46133.33654733796</v>
      </c>
      <c r="C5615" s="3" t="str">
        <f>IFERROR(VLOOKUP(A5615,'Base Prueba'!A:C,3,),"NO REGISTRA")</f>
        <v>ANDRES FELIPE LOPEZ ROMERO</v>
      </c>
      <c r="D5615" s="4" t="str">
        <f>IFERROR(VLOOKUP(A5615,'Base Prueba'!A:D,4,),"NO REGISTRA")</f>
        <v>APRENDIZ UNIVERSITARIO</v>
      </c>
      <c r="E5615" s="5" t="str">
        <f>IFERROR(VLOOKUP(A5615,'Base Prueba'!A:E,5,),"NO REGISTRA")</f>
        <v>OFICINA DE MERCADEO</v>
      </c>
    </row>
    <row r="5616" spans="1:5" ht="15.75" x14ac:dyDescent="0.25">
      <c r="A5616" s="14">
        <v>1022996882</v>
      </c>
      <c r="B5616" s="2">
        <v>46133.336729629627</v>
      </c>
      <c r="C5616" s="3" t="str">
        <f>IFERROR(VLOOKUP(A5616,'Base Prueba'!A:C,3,),"NO REGISTRA")</f>
        <v>NANCY BRIGITH ALDANA GUEVARA</v>
      </c>
      <c r="D5616" s="4" t="str">
        <f>IFERROR(VLOOKUP(A5616,'Base Prueba'!A:D,4,),"NO REGISTRA")</f>
        <v>COORDINADORA DE GESTIÓN HUMANA</v>
      </c>
      <c r="E5616" s="5" t="str">
        <f>IFERROR(VLOOKUP(A5616,'Base Prueba'!A:E,5,),"NO REGISTRA")</f>
        <v>DEPARTAMENTO DE GESTION HUMANA</v>
      </c>
    </row>
    <row r="5617" spans="1:5" ht="15.75" x14ac:dyDescent="0.25">
      <c r="A5617" s="14">
        <v>1014196857</v>
      </c>
      <c r="B5617" s="2">
        <v>46133.338934837964</v>
      </c>
      <c r="C5617" s="3" t="str">
        <f>IFERROR(VLOOKUP(A5617,'Base Prueba'!A:C,3,),"NO REGISTRA")</f>
        <v>CARLOS ANDRES JIMENEZ PARDO</v>
      </c>
      <c r="D5617" s="4" t="str">
        <f>IFERROR(VLOOKUP(A5617,'Base Prueba'!A:D,4,),"NO REGISTRA")</f>
        <v>COORDINADOR DE MARKETING DIGITAL</v>
      </c>
      <c r="E5617" s="5" t="str">
        <f>IFERROR(VLOOKUP(A5617,'Base Prueba'!A:E,5,),"NO REGISTRA")</f>
        <v>OFICINA DE MERCADEO</v>
      </c>
    </row>
    <row r="5618" spans="1:5" ht="15.75" x14ac:dyDescent="0.25">
      <c r="A5618" s="14">
        <v>1032469638</v>
      </c>
      <c r="B5618" s="2">
        <v>46133.340844907405</v>
      </c>
      <c r="C5618" s="3" t="str">
        <f>IFERROR(VLOOKUP(A5618,'Base Prueba'!A:C,3,),"NO REGISTRA")</f>
        <v>MAICOL JARBEY GUALTEROS CASTAÑEDA</v>
      </c>
      <c r="D5618" s="4" t="str">
        <f>IFERROR(VLOOKUP(A5618,'Base Prueba'!A:D,4,),"NO REGISTRA")</f>
        <v>COORDINADOR DEL SISTEMA INTERNO DE ASEGURAMIENTO DE LA CALIDAD - SIAC</v>
      </c>
      <c r="E5618" s="5" t="str">
        <f>IFERROR(VLOOKUP(A5618,'Base Prueba'!A:E,5,),"NO REGISTRA")</f>
        <v>OFICINA DE PLANEACION Y GESTION DE LA CALIDAD</v>
      </c>
    </row>
    <row r="5619" spans="1:5" ht="15.75" x14ac:dyDescent="0.25">
      <c r="A5619" s="14">
        <v>1023883232</v>
      </c>
      <c r="B5619" s="2">
        <v>46133.342362152776</v>
      </c>
      <c r="C5619" s="3" t="str">
        <f>IFERROR(VLOOKUP(A5619,'Base Prueba'!A:C,3,),"NO REGISTRA")</f>
        <v>MONICA ANDREA ACERO URBANO</v>
      </c>
      <c r="D5619" s="4" t="str">
        <f>IFERROR(VLOOKUP(A5619,'Base Prueba'!A:D,4,),"NO REGISTRA")</f>
        <v>APOYO INTEGRAL A GESTION HUMANA</v>
      </c>
      <c r="E5619" s="5" t="str">
        <f>IFERROR(VLOOKUP(A5619,'Base Prueba'!A:E,5,),"NO REGISTRA")</f>
        <v>DEPARTAMENTO DE GESTION HUMANA</v>
      </c>
    </row>
    <row r="5620" spans="1:5" ht="15.75" x14ac:dyDescent="0.25">
      <c r="A5620" s="14">
        <v>1193457976</v>
      </c>
      <c r="B5620" s="2">
        <v>46133.342415393519</v>
      </c>
      <c r="C5620" s="3" t="str">
        <f>IFERROR(VLOOKUP(A5620,'Base Prueba'!A:C,3,),"NO REGISTRA")</f>
        <v>SEDENIS RIVAS ASPRILLA</v>
      </c>
      <c r="D5620" s="4" t="str">
        <f>IFERROR(VLOOKUP(A5620,'Base Prueba'!A:D,4,),"NO REGISTRA")</f>
        <v>APRENDIZ UNIVERSITARIO</v>
      </c>
      <c r="E5620" s="5" t="str">
        <f>IFERROR(VLOOKUP(A5620,'Base Prueba'!A:E,5,),"NO REGISTRA")</f>
        <v>DEPARTAMENTO DE GESTION HUMANA</v>
      </c>
    </row>
    <row r="5621" spans="1:5" ht="15.75" x14ac:dyDescent="0.25">
      <c r="A5621" s="14">
        <v>1000457706</v>
      </c>
      <c r="B5621" s="2">
        <v>46133.346397337962</v>
      </c>
      <c r="C5621" s="3" t="str">
        <f>IFERROR(VLOOKUP(A5621,'Base Prueba'!A:C,3,),"NO REGISTRA")</f>
        <v>CRISTIAN DANILO ARROYO SANABRIA</v>
      </c>
      <c r="D5621" s="4" t="str">
        <f>IFERROR(VLOOKUP(A5621,'Base Prueba'!A:D,4,),"NO REGISTRA")</f>
        <v>AUXILIAR CONTABLE</v>
      </c>
      <c r="E5621" s="5" t="str">
        <f>IFERROR(VLOOKUP(A5621,'Base Prueba'!A:E,5,),"NO REGISTRA")</f>
        <v>AREA FINANCIERA Y CONTABLE</v>
      </c>
    </row>
    <row r="5622" spans="1:5" ht="15.75" x14ac:dyDescent="0.25">
      <c r="A5622" s="14">
        <v>1049644802</v>
      </c>
      <c r="B5622" s="2">
        <v>46133.346684722223</v>
      </c>
      <c r="C5622" s="3" t="str">
        <f>IFERROR(VLOOKUP(A5622,'Base Prueba'!A:C,3,),"NO REGISTRA")</f>
        <v>DANIELA ALEXANDRA CIPAMOCHA BOSIGA</v>
      </c>
      <c r="D5622" s="4" t="str">
        <f>IFERROR(VLOOKUP(A5622,'Base Prueba'!A:D,4,),"NO REGISTRA")</f>
        <v>LIDER DE DATOS Y SERVICIOS</v>
      </c>
      <c r="E5622" s="5" t="str">
        <f>IFERROR(VLOOKUP(A5622,'Base Prueba'!A:E,5,),"NO REGISTRA")</f>
        <v>OFICINA DE PLANEACION Y GESTION DE LA CALIDAD</v>
      </c>
    </row>
    <row r="5623" spans="1:5" ht="15.75" x14ac:dyDescent="0.25">
      <c r="A5623" s="14">
        <v>80191732</v>
      </c>
      <c r="B5623" s="2">
        <v>46133.348859027778</v>
      </c>
      <c r="C5623" s="3" t="str">
        <f>IFERROR(VLOOKUP(A5623,'Base Prueba'!A:C,3,),"NO REGISTRA")</f>
        <v>DANIEL MAURICIO ZAMBRANO TUNJANO</v>
      </c>
      <c r="D5623" s="4" t="str">
        <f>IFERROR(VLOOKUP(A5623,'Base Prueba'!A:D,4,),"NO REGISTRA")</f>
        <v>COORDINADOR DE DISEÑO E IMAGEN INSTITUCIONAL</v>
      </c>
      <c r="E5623" s="5" t="str">
        <f>IFERROR(VLOOKUP(A5623,'Base Prueba'!A:E,5,),"NO REGISTRA")</f>
        <v>OFICINA DE MERCADEO</v>
      </c>
    </row>
    <row r="5624" spans="1:5" ht="15.75" x14ac:dyDescent="0.25">
      <c r="A5624" s="14">
        <v>53932358</v>
      </c>
      <c r="B5624" s="2">
        <v>46133.355545833336</v>
      </c>
      <c r="C5624" s="3" t="str">
        <f>IFERROR(VLOOKUP(A5624,'Base Prueba'!A:C,3,),"NO REGISTRA")</f>
        <v>DIANA MADELEYNE GAONA RODRIGUEZ</v>
      </c>
      <c r="D5624" s="4" t="str">
        <f>IFERROR(VLOOKUP(A5624,'Base Prueba'!A:D,4,),"NO REGISTRA")</f>
        <v>CONTADOR</v>
      </c>
      <c r="E5624" s="5" t="str">
        <f>IFERROR(VLOOKUP(A5624,'Base Prueba'!A:E,5,),"NO REGISTRA")</f>
        <v>AREA FINANCIERA Y CONTABLE</v>
      </c>
    </row>
    <row r="5625" spans="1:5" ht="15.75" x14ac:dyDescent="0.25">
      <c r="A5625" s="14">
        <v>1032407386</v>
      </c>
      <c r="B5625" s="2">
        <v>46133.366904629627</v>
      </c>
      <c r="C5625" s="3" t="str">
        <f>IFERROR(VLOOKUP(A5625,'Base Prueba'!A:C,3,),"NO REGISTRA")</f>
        <v>GINA PAOLA BAEZ GALVIS</v>
      </c>
      <c r="D5625" s="4" t="str">
        <f>IFERROR(VLOOKUP(A5625,'Base Prueba'!A:D,4,),"NO REGISTRA")</f>
        <v>PROMOTOR CALL CENTER</v>
      </c>
      <c r="E5625" s="5" t="str">
        <f>IFERROR(VLOOKUP(A5625,'Base Prueba'!A:E,5,),"NO REGISTRA")</f>
        <v>OFICINA DE MERCADEO</v>
      </c>
    </row>
    <row r="5626" spans="1:5" ht="15.75" x14ac:dyDescent="0.25">
      <c r="A5626" s="14">
        <v>1033709056</v>
      </c>
      <c r="B5626" s="2">
        <v>46133.367234375</v>
      </c>
      <c r="C5626" s="3" t="str">
        <f>IFERROR(VLOOKUP(A5626,'Base Prueba'!A:C,3,),"NO REGISTRA")</f>
        <v>YEIMY ALEXANDRA RODRIGUEZ PALACIO</v>
      </c>
      <c r="D5626" s="4" t="str">
        <f>IFERROR(VLOOKUP(A5626,'Base Prueba'!A:D,4,),"NO REGISTRA")</f>
        <v>PROMOTOR CALL CENTER</v>
      </c>
      <c r="E5626" s="5" t="str">
        <f>IFERROR(VLOOKUP(A5626,'Base Prueba'!A:E,5,),"NO REGISTRA")</f>
        <v>OFICINA DE MERCADEO</v>
      </c>
    </row>
    <row r="5627" spans="1:5" ht="15.75" x14ac:dyDescent="0.25">
      <c r="A5627" s="14">
        <v>1012426741</v>
      </c>
      <c r="B5627" s="2">
        <v>46133.368553819448</v>
      </c>
      <c r="C5627" s="3" t="str">
        <f>IFERROR(VLOOKUP(A5627,'Base Prueba'!A:C,3,),"NO REGISTRA")</f>
        <v>CRISTIAN FABIAN ROJAS SANCENO</v>
      </c>
      <c r="D5627" s="4" t="str">
        <f>IFERROR(VLOOKUP(A5627,'Base Prueba'!A:D,4,),"NO REGISTRA")</f>
        <v>AUXILIAR DE REINTEGROS</v>
      </c>
      <c r="E5627" s="5" t="str">
        <f>IFERROR(VLOOKUP(A5627,'Base Prueba'!A:E,5,),"NO REGISTRA")</f>
        <v>DIRECCION DE BIENESTAR INSTITUCIONAL</v>
      </c>
    </row>
    <row r="5628" spans="1:5" ht="15.75" x14ac:dyDescent="0.25">
      <c r="A5628" s="14">
        <v>52472386</v>
      </c>
      <c r="B5628" s="2">
        <v>46133.370381712964</v>
      </c>
      <c r="C5628" s="3" t="str">
        <f>IFERROR(VLOOKUP(A5628,'Base Prueba'!A:C,3,),"NO REGISTRA")</f>
        <v>ADRIANA MARCELA MORALES PARDO</v>
      </c>
      <c r="D5628" s="4" t="str">
        <f>IFERROR(VLOOKUP(A5628,'Base Prueba'!A:D,4,),"NO REGISTRA")</f>
        <v>PROMOTOR CALL CENTER</v>
      </c>
      <c r="E5628" s="5" t="str">
        <f>IFERROR(VLOOKUP(A5628,'Base Prueba'!A:E,5,),"NO REGISTRA")</f>
        <v>OFICINA DE MERCADEO</v>
      </c>
    </row>
    <row r="5629" spans="1:5" ht="15.75" x14ac:dyDescent="0.25">
      <c r="A5629" s="14">
        <v>28798349</v>
      </c>
      <c r="B5629" s="2">
        <v>46133.37129826389</v>
      </c>
      <c r="C5629" s="3" t="str">
        <f>IFERROR(VLOOKUP(A5629,'Base Prueba'!A:C,3,),"NO REGISTRA")</f>
        <v>MARTHA ISABEL TOVAR WILLIAMS</v>
      </c>
      <c r="D5629" s="4" t="str">
        <f>IFERROR(VLOOKUP(A5629,'Base Prueba'!A:D,4,),"NO REGISTRA")</f>
        <v>PROMOTOR CALL CENTER</v>
      </c>
      <c r="E5629" s="5" t="str">
        <f>IFERROR(VLOOKUP(A5629,'Base Prueba'!A:E,5,),"NO REGISTRA")</f>
        <v>OFICINA DE MERCADEO</v>
      </c>
    </row>
    <row r="5630" spans="1:5" ht="15.75" x14ac:dyDescent="0.25">
      <c r="A5630" s="14">
        <v>1013101788</v>
      </c>
      <c r="B5630" s="2">
        <v>46133.372856018519</v>
      </c>
      <c r="C5630" s="3" t="str">
        <f>IFERROR(VLOOKUP(A5630,'Base Prueba'!A:C,3,),"NO REGISTRA")</f>
        <v>SARA TANGARIFE MONTOYA</v>
      </c>
      <c r="D5630" s="4" t="str">
        <f>IFERROR(VLOOKUP(A5630,'Base Prueba'!A:D,4,),"NO REGISTRA")</f>
        <v>APRENDIZ UNIVERSITARIO</v>
      </c>
      <c r="E5630" s="5" t="str">
        <f>IFERROR(VLOOKUP(A5630,'Base Prueba'!A:E,5,),"NO REGISTRA")</f>
        <v>OFICINA DE MERCADEO</v>
      </c>
    </row>
    <row r="5631" spans="1:5" ht="15.75" x14ac:dyDescent="0.25">
      <c r="A5631" s="14">
        <v>1018414290</v>
      </c>
      <c r="B5631" s="2">
        <v>46133.374124189817</v>
      </c>
      <c r="C5631" s="3" t="str">
        <f>IFERROR(VLOOKUP(A5631,'Base Prueba'!A:C,3,),"NO REGISTRA")</f>
        <v>AMANDA LISBETH RODRIGUEZ LEON</v>
      </c>
      <c r="D5631" s="4" t="str">
        <f>IFERROR(VLOOKUP(A5631,'Base Prueba'!A:D,4,),"NO REGISTRA")</f>
        <v>PROMOTOR CALL CENTER</v>
      </c>
      <c r="E5631" s="5" t="str">
        <f>IFERROR(VLOOKUP(A5631,'Base Prueba'!A:E,5,),"NO REGISTRA")</f>
        <v>OFICINA DE MERCADEO</v>
      </c>
    </row>
    <row r="5632" spans="1:5" ht="15.75" x14ac:dyDescent="0.25">
      <c r="A5632" s="14">
        <v>80234243</v>
      </c>
      <c r="B5632" s="2">
        <v>46133.37583715278</v>
      </c>
      <c r="C5632" s="3" t="str">
        <f>IFERROR(VLOOKUP(A5632,'Base Prueba'!A:C,3,),"NO REGISTRA")</f>
        <v>ARGENIS MARTINEZ MARTINEZ</v>
      </c>
      <c r="D5632" s="4" t="str">
        <f>IFERROR(VLOOKUP(A5632,'Base Prueba'!A:D,4,),"NO REGISTRA")</f>
        <v>LIDER CALL CENTER</v>
      </c>
      <c r="E5632" s="5" t="str">
        <f>IFERROR(VLOOKUP(A5632,'Base Prueba'!A:E,5,),"NO REGISTRA")</f>
        <v>OFICINA DE MERCADEO</v>
      </c>
    </row>
    <row r="5633" spans="1:5" ht="15.75" x14ac:dyDescent="0.25">
      <c r="A5633" s="14">
        <v>1023961952</v>
      </c>
      <c r="B5633" s="2">
        <v>46133.375939351849</v>
      </c>
      <c r="C5633" s="3" t="str">
        <f>IFERROR(VLOOKUP(A5633,'Base Prueba'!A:C,3,),"NO REGISTRA")</f>
        <v>ALEJANDRO PINZON MERCHAN</v>
      </c>
      <c r="D5633" s="4" t="str">
        <f>IFERROR(VLOOKUP(A5633,'Base Prueba'!A:D,4,),"NO REGISTRA")</f>
        <v>PROMOTOR CALL CENTER</v>
      </c>
      <c r="E5633" s="5" t="str">
        <f>IFERROR(VLOOKUP(A5633,'Base Prueba'!A:E,5,),"NO REGISTRA")</f>
        <v>OFICINA DE MERCADEO</v>
      </c>
    </row>
    <row r="5634" spans="1:5" ht="15.75" x14ac:dyDescent="0.25">
      <c r="A5634" s="14">
        <v>52175674</v>
      </c>
      <c r="B5634" s="2">
        <v>46133.376074537038</v>
      </c>
      <c r="C5634" s="3" t="str">
        <f>IFERROR(VLOOKUP(A5634,'Base Prueba'!A:C,3,),"NO REGISTRA")</f>
        <v>LUZ YANETH GOMEZ AREVALO</v>
      </c>
      <c r="D5634" s="4" t="str">
        <f>IFERROR(VLOOKUP(A5634,'Base Prueba'!A:D,4,),"NO REGISTRA")</f>
        <v>COORDINADORA DE ADMISIONES</v>
      </c>
      <c r="E5634" s="5" t="str">
        <f>IFERROR(VLOOKUP(A5634,'Base Prueba'!A:E,5,),"NO REGISTRA")</f>
        <v>OFICINA DE MERCADEO</v>
      </c>
    </row>
    <row r="5635" spans="1:5" ht="15.75" x14ac:dyDescent="0.25">
      <c r="A5635" s="14">
        <v>1019105003</v>
      </c>
      <c r="B5635" s="2">
        <v>46133.376849652777</v>
      </c>
      <c r="C5635" s="3" t="str">
        <f>IFERROR(VLOOKUP(A5635,'Base Prueba'!A:C,3,),"NO REGISTRA")</f>
        <v>DAISY JULIETH GASPAR MORENO</v>
      </c>
      <c r="D5635" s="4" t="str">
        <f>IFERROR(VLOOKUP(A5635,'Base Prueba'!A:D,4,),"NO REGISTRA")</f>
        <v>PROMOTOR CALL CENTER</v>
      </c>
      <c r="E5635" s="5" t="str">
        <f>IFERROR(VLOOKUP(A5635,'Base Prueba'!A:E,5,),"NO REGISTRA")</f>
        <v>OFICINA DE MERCADEO</v>
      </c>
    </row>
    <row r="5636" spans="1:5" ht="15.75" x14ac:dyDescent="0.25">
      <c r="A5636" s="14">
        <v>1000046533</v>
      </c>
      <c r="B5636" s="2">
        <v>46133.377091666669</v>
      </c>
      <c r="C5636" s="3" t="str">
        <f>IFERROR(VLOOKUP(A5636,'Base Prueba'!A:C,3,),"NO REGISTRA")</f>
        <v>ERIKA JULIETH VALDERRAMA SANCHEZ</v>
      </c>
      <c r="D5636" s="4" t="str">
        <f>IFERROR(VLOOKUP(A5636,'Base Prueba'!A:D,4,),"NO REGISTRA")</f>
        <v>PROMOTOR CALL CENTER</v>
      </c>
      <c r="E5636" s="5" t="str">
        <f>IFERROR(VLOOKUP(A5636,'Base Prueba'!A:E,5,),"NO REGISTRA")</f>
        <v>OFICINA DE MERCADEO</v>
      </c>
    </row>
    <row r="5637" spans="1:5" ht="15.75" x14ac:dyDescent="0.25">
      <c r="A5637" s="14">
        <v>1016090131</v>
      </c>
      <c r="B5637" s="2">
        <v>46133.379445370367</v>
      </c>
      <c r="C5637" s="3" t="str">
        <f>IFERROR(VLOOKUP(A5637,'Base Prueba'!A:C,3,),"NO REGISTRA")</f>
        <v>NICOLAS RODRIGUEZ PACHECO</v>
      </c>
      <c r="D5637" s="4" t="str">
        <f>IFERROR(VLOOKUP(A5637,'Base Prueba'!A:D,4,),"NO REGISTRA")</f>
        <v>COORDINADOR DE COMUNICACIONES</v>
      </c>
      <c r="E5637" s="5" t="str">
        <f>IFERROR(VLOOKUP(A5637,'Base Prueba'!A:E,5,),"NO REGISTRA")</f>
        <v>OFICINA DE MERCADEO</v>
      </c>
    </row>
    <row r="5638" spans="1:5" ht="15.75" x14ac:dyDescent="0.25">
      <c r="A5638" s="14">
        <v>52764929</v>
      </c>
      <c r="B5638" s="2">
        <v>46133.380563657411</v>
      </c>
      <c r="C5638" s="3" t="str">
        <f>IFERROR(VLOOKUP(A5638,'Base Prueba'!A:C,3,),"NO REGISTRA")</f>
        <v>GUERLY YOHANA DURAN RIVERA</v>
      </c>
      <c r="D5638" s="4" t="str">
        <f>IFERROR(VLOOKUP(A5638,'Base Prueba'!A:D,4,),"NO REGISTRA")</f>
        <v>LIDER DE VINCULACION COLEGIOS</v>
      </c>
      <c r="E5638" s="5" t="str">
        <f>IFERROR(VLOOKUP(A5638,'Base Prueba'!A:E,5,),"NO REGISTRA")</f>
        <v>OFICINA DE MERCADEO</v>
      </c>
    </row>
    <row r="5639" spans="1:5" ht="15.75" x14ac:dyDescent="0.25">
      <c r="A5639" s="14">
        <v>53089882</v>
      </c>
      <c r="B5639" s="2">
        <v>46133.412835995368</v>
      </c>
      <c r="C5639" s="3" t="str">
        <f>IFERROR(VLOOKUP(A5639,'Base Prueba'!A:C,3,),"NO REGISTRA")</f>
        <v>MARIA JOHANA ESCAMILLA MARTINEZ</v>
      </c>
      <c r="D5639" s="4" t="str">
        <f>IFERROR(VLOOKUP(A5639,'Base Prueba'!A:D,4,),"NO REGISTRA")</f>
        <v>PROMOTOR DE INFORMACIÓN</v>
      </c>
      <c r="E5639" s="5" t="str">
        <f>IFERROR(VLOOKUP(A5639,'Base Prueba'!A:E,5,),"NO REGISTRA")</f>
        <v>OFICINA DE MERCADEO</v>
      </c>
    </row>
    <row r="5640" spans="1:5" ht="15.75" x14ac:dyDescent="0.25">
      <c r="A5640" s="14">
        <v>1018413529</v>
      </c>
      <c r="B5640" s="2">
        <v>46133.434748958331</v>
      </c>
      <c r="C5640" s="3" t="str">
        <f>IFERROR(VLOOKUP(A5640,'Base Prueba'!A:C,3,),"NO REGISTRA")</f>
        <v>FRANCY STELLA CHARRY MORENO</v>
      </c>
      <c r="D5640" s="4" t="str">
        <f>IFERROR(VLOOKUP(A5640,'Base Prueba'!A:D,4,),"NO REGISTRA")</f>
        <v>PROMOTOR COMERCIAL DEL CEA</v>
      </c>
      <c r="E5640" s="5" t="str">
        <f>IFERROR(VLOOKUP(A5640,'Base Prueba'!A:E,5,),"NO REGISTRA")</f>
        <v>OFICINA DE MERCADEO</v>
      </c>
    </row>
    <row r="5641" spans="1:5" ht="15.75" x14ac:dyDescent="0.25">
      <c r="A5641" s="14">
        <v>52443092</v>
      </c>
      <c r="B5641" s="2">
        <v>46133.537593518522</v>
      </c>
      <c r="C5641" s="3" t="str">
        <f>IFERROR(VLOOKUP(A5641,'Base Prueba'!A:C,3,),"NO REGISTRA")</f>
        <v>LUZ MYRIAM SAAVEDRA CONTRERAS</v>
      </c>
      <c r="D5641" s="4" t="str">
        <f>IFERROR(VLOOKUP(A5641,'Base Prueba'!A:D,4,),"NO REGISTRA")</f>
        <v>AUXILIAR DE SERVICIOS</v>
      </c>
      <c r="E5641" s="5" t="str">
        <f>IFERROR(VLOOKUP(A5641,'Base Prueba'!A:E,5,),"NO REGISTRA")</f>
        <v>LOGISTICA Y SERVICIOS GENERALES</v>
      </c>
    </row>
    <row r="5642" spans="1:5" ht="15.75" x14ac:dyDescent="0.25">
      <c r="A5642" s="14">
        <v>1000604979</v>
      </c>
      <c r="B5642" s="2">
        <v>46133.69539212963</v>
      </c>
      <c r="C5642" s="3" t="str">
        <f>IFERROR(VLOOKUP(A5642,'Base Prueba'!A:C,3,),"NO REGISTRA")</f>
        <v>JULIETH TATIANA PARDO PINTO</v>
      </c>
      <c r="D5642" s="4" t="str">
        <f>IFERROR(VLOOKUP(A5642,'Base Prueba'!A:D,4,),"NO REGISTRA")</f>
        <v>AUXILIAR JURIDICO</v>
      </c>
      <c r="E5642" s="5" t="str">
        <f>IFERROR(VLOOKUP(A5642,'Base Prueba'!A:E,5,),"NO REGISTRA")</f>
        <v>SECRETARIA GENERAL</v>
      </c>
    </row>
    <row r="5643" spans="1:5" ht="15.75" x14ac:dyDescent="0.25">
      <c r="A5643" s="14">
        <v>1013098430</v>
      </c>
      <c r="B5643" s="2">
        <v>46133.710154513887</v>
      </c>
      <c r="C5643" s="3" t="str">
        <f>IFERROR(VLOOKUP(A5643,'Base Prueba'!A:C,3,),"NO REGISTRA")</f>
        <v>ANDRES FELIPE LOPEZ ROMERO</v>
      </c>
      <c r="D5643" s="4" t="str">
        <f>IFERROR(VLOOKUP(A5643,'Base Prueba'!A:D,4,),"NO REGISTRA")</f>
        <v>APRENDIZ UNIVERSITARIO</v>
      </c>
      <c r="E5643" s="5" t="str">
        <f>IFERROR(VLOOKUP(A5643,'Base Prueba'!A:E,5,),"NO REGISTRA")</f>
        <v>OFICINA DE MERCADEO</v>
      </c>
    </row>
    <row r="5644" spans="1:5" ht="15.75" x14ac:dyDescent="0.25">
      <c r="A5644" s="14">
        <v>1024512067</v>
      </c>
      <c r="B5644" s="2">
        <v>46133.715729398151</v>
      </c>
      <c r="C5644" s="3" t="str">
        <f>IFERROR(VLOOKUP(A5644,'Base Prueba'!A:C,3,),"NO REGISTRA")</f>
        <v>CINDY GIOVANA SALGAR GOMEZ</v>
      </c>
      <c r="D5644" s="4" t="str">
        <f>IFERROR(VLOOKUP(A5644,'Base Prueba'!A:D,4,),"NO REGISTRA")</f>
        <v>COORDINADOR DEL SISTEMA INTEGRADO DE GESTION INSTITUCIONAL - SIGI</v>
      </c>
      <c r="E5644" s="5" t="str">
        <f>IFERROR(VLOOKUP(A5644,'Base Prueba'!A:E,5,),"NO REGISTRA")</f>
        <v>OFICINA DE PLANEACION Y GESTION DE LA CALIDAD</v>
      </c>
    </row>
    <row r="5645" spans="1:5" ht="15.75" x14ac:dyDescent="0.25">
      <c r="A5645" s="14">
        <v>1014977624</v>
      </c>
      <c r="B5645" s="2">
        <v>46133.754514814813</v>
      </c>
      <c r="C5645" s="3" t="str">
        <f>IFERROR(VLOOKUP(A5645,'Base Prueba'!A:C,3,),"NO REGISTRA")</f>
        <v>NICCOLE VALENTINA HERNANDEZ MALAVER</v>
      </c>
      <c r="D5645" s="4" t="str">
        <f>IFERROR(VLOOKUP(A5645,'Base Prueba'!A:D,4,),"NO REGISTRA")</f>
        <v>APRENDIZ UNIVERSITARIO</v>
      </c>
      <c r="E5645" s="5" t="str">
        <f>IFERROR(VLOOKUP(A5645,'Base Prueba'!A:E,5,),"NO REGISTRA")</f>
        <v>AREA FINANCIERA Y CONTABLE</v>
      </c>
    </row>
    <row r="5646" spans="1:5" ht="15.75" x14ac:dyDescent="0.25">
      <c r="A5646" s="14">
        <v>1014266838</v>
      </c>
      <c r="B5646" s="2">
        <v>46133.755863773149</v>
      </c>
      <c r="C5646" s="3" t="str">
        <f>IFERROR(VLOOKUP(A5646,'Base Prueba'!A:C,3,),"NO REGISTRA")</f>
        <v>JENNIFER ASTRID ROMERO HURTADO</v>
      </c>
      <c r="D5646" s="4" t="str">
        <f>IFERROR(VLOOKUP(A5646,'Base Prueba'!A:D,4,),"NO REGISTRA")</f>
        <v>LIDER DE RECAUDO</v>
      </c>
      <c r="E5646" s="5" t="str">
        <f>IFERROR(VLOOKUP(A5646,'Base Prueba'!A:E,5,),"NO REGISTRA")</f>
        <v>AREA FINANCIERA Y CONTABLE</v>
      </c>
    </row>
    <row r="5647" spans="1:5" ht="15.75" x14ac:dyDescent="0.25">
      <c r="A5647" s="14">
        <v>1000324729</v>
      </c>
      <c r="B5647" s="2">
        <v>46133.756512499996</v>
      </c>
      <c r="C5647" s="3" t="str">
        <f>IFERROR(VLOOKUP(A5647,'Base Prueba'!A:C,3,),"NO REGISTRA")</f>
        <v>ANYIE VANESSA TINOCO CAMACHO</v>
      </c>
      <c r="D5647" s="4" t="str">
        <f>IFERROR(VLOOKUP(A5647,'Base Prueba'!A:D,4,),"NO REGISTRA")</f>
        <v>LIDER DE REGISTRO Y CONTROL</v>
      </c>
      <c r="E5647" s="5" t="str">
        <f>IFERROR(VLOOKUP(A5647,'Base Prueba'!A:E,5,),"NO REGISTRA")</f>
        <v>REGISTRO Y CONTROL ACADEMICO</v>
      </c>
    </row>
    <row r="5648" spans="1:5" ht="15.75" x14ac:dyDescent="0.25">
      <c r="A5648" s="14">
        <v>1014308296</v>
      </c>
      <c r="B5648" s="2">
        <v>46133.758473726855</v>
      </c>
      <c r="C5648" s="3" t="str">
        <f>IFERROR(VLOOKUP(A5648,'Base Prueba'!A:C,3,),"NO REGISTRA")</f>
        <v>DARLENE YULIANA MORENO CELEITA</v>
      </c>
      <c r="D5648" s="4" t="str">
        <f>IFERROR(VLOOKUP(A5648,'Base Prueba'!A:D,4,),"NO REGISTRA")</f>
        <v>CAJERO PRINCIPAL</v>
      </c>
      <c r="E5648" s="5" t="str">
        <f>IFERROR(VLOOKUP(A5648,'Base Prueba'!A:E,5,),"NO REGISTRA")</f>
        <v>AREA FINANCIERA Y CONTABLE</v>
      </c>
    </row>
    <row r="5649" spans="1:5" ht="15.75" x14ac:dyDescent="0.25">
      <c r="A5649" s="14">
        <v>1000457706</v>
      </c>
      <c r="B5649" s="2">
        <v>46133.758695486111</v>
      </c>
      <c r="C5649" s="3" t="str">
        <f>IFERROR(VLOOKUP(A5649,'Base Prueba'!A:C,3,),"NO REGISTRA")</f>
        <v>CRISTIAN DANILO ARROYO SANABRIA</v>
      </c>
      <c r="D5649" s="4" t="str">
        <f>IFERROR(VLOOKUP(A5649,'Base Prueba'!A:D,4,),"NO REGISTRA")</f>
        <v>AUXILIAR CONTABLE</v>
      </c>
      <c r="E5649" s="5" t="str">
        <f>IFERROR(VLOOKUP(A5649,'Base Prueba'!A:E,5,),"NO REGISTRA")</f>
        <v>AREA FINANCIERA Y CONTABLE</v>
      </c>
    </row>
    <row r="5650" spans="1:5" ht="15.75" x14ac:dyDescent="0.25">
      <c r="A5650" s="14">
        <v>1193457976</v>
      </c>
      <c r="B5650" s="2">
        <v>46133.758992592593</v>
      </c>
      <c r="C5650" s="3" t="str">
        <f>IFERROR(VLOOKUP(A5650,'Base Prueba'!A:C,3,),"NO REGISTRA")</f>
        <v>SEDENIS RIVAS ASPRILLA</v>
      </c>
      <c r="D5650" s="4" t="str">
        <f>IFERROR(VLOOKUP(A5650,'Base Prueba'!A:D,4,),"NO REGISTRA")</f>
        <v>APRENDIZ UNIVERSITARIO</v>
      </c>
      <c r="E5650" s="5" t="str">
        <f>IFERROR(VLOOKUP(A5650,'Base Prueba'!A:E,5,),"NO REGISTRA")</f>
        <v>DEPARTAMENTO DE GESTION HUMANA</v>
      </c>
    </row>
    <row r="5651" spans="1:5" ht="15.75" x14ac:dyDescent="0.25">
      <c r="A5651" s="14">
        <v>1000467399</v>
      </c>
      <c r="B5651" s="2">
        <v>46133.759426273151</v>
      </c>
      <c r="C5651" s="3" t="str">
        <f>IFERROR(VLOOKUP(A5651,'Base Prueba'!A:C,3,),"NO REGISTRA")</f>
        <v>BRANDO ESTIVEN DIAZ QUIMBAYA</v>
      </c>
      <c r="D5651" s="4" t="str">
        <f>IFERROR(VLOOKUP(A5651,'Base Prueba'!A:D,4,),"NO REGISTRA")</f>
        <v>APRENDIZ UNIVERSITARIO</v>
      </c>
      <c r="E5651" s="5" t="str">
        <f>IFERROR(VLOOKUP(A5651,'Base Prueba'!A:E,5,),"NO REGISTRA")</f>
        <v>DEPARTAMENTO DE GESTION HUMANA</v>
      </c>
    </row>
    <row r="5652" spans="1:5" ht="15.75" x14ac:dyDescent="0.25">
      <c r="A5652" s="14">
        <v>1023883232</v>
      </c>
      <c r="B5652" s="2">
        <v>46133.759581018516</v>
      </c>
      <c r="C5652" s="3" t="str">
        <f>IFERROR(VLOOKUP(A5652,'Base Prueba'!A:C,3,),"NO REGISTRA")</f>
        <v>MONICA ANDREA ACERO URBANO</v>
      </c>
      <c r="D5652" s="4" t="str">
        <f>IFERROR(VLOOKUP(A5652,'Base Prueba'!A:D,4,),"NO REGISTRA")</f>
        <v>APOYO INTEGRAL A GESTION HUMANA</v>
      </c>
      <c r="E5652" s="5" t="str">
        <f>IFERROR(VLOOKUP(A5652,'Base Prueba'!A:E,5,),"NO REGISTRA")</f>
        <v>DEPARTAMENTO DE GESTION HUMANA</v>
      </c>
    </row>
    <row r="5653" spans="1:5" ht="15.75" x14ac:dyDescent="0.25">
      <c r="A5653" s="14">
        <v>53932358</v>
      </c>
      <c r="B5653" s="2">
        <v>46133.759825694447</v>
      </c>
      <c r="C5653" s="3" t="str">
        <f>IFERROR(VLOOKUP(A5653,'Base Prueba'!A:C,3,),"NO REGISTRA")</f>
        <v>DIANA MADELEYNE GAONA RODRIGUEZ</v>
      </c>
      <c r="D5653" s="4" t="str">
        <f>IFERROR(VLOOKUP(A5653,'Base Prueba'!A:D,4,),"NO REGISTRA")</f>
        <v>CONTADOR</v>
      </c>
      <c r="E5653" s="5" t="str">
        <f>IFERROR(VLOOKUP(A5653,'Base Prueba'!A:E,5,),"NO REGISTRA")</f>
        <v>AREA FINANCIERA Y CONTABLE</v>
      </c>
    </row>
    <row r="5654" spans="1:5" ht="15.75" x14ac:dyDescent="0.25">
      <c r="A5654" s="14">
        <v>1087121273</v>
      </c>
      <c r="B5654" s="2">
        <v>46133.760034375002</v>
      </c>
      <c r="C5654" s="3" t="str">
        <f>IFERROR(VLOOKUP(A5654,'Base Prueba'!A:C,3,),"NO REGISTRA")</f>
        <v>MAYRA ALEJANDRA CASTILLO ARBOLEDA</v>
      </c>
      <c r="D5654" s="4" t="str">
        <f>IFERROR(VLOOKUP(A5654,'Base Prueba'!A:D,4,),"NO REGISTRA")</f>
        <v>APOYO INTEGRAL DE MERCADEO</v>
      </c>
      <c r="E5654" s="5" t="str">
        <f>IFERROR(VLOOKUP(A5654,'Base Prueba'!A:E,5,),"NO REGISTRA")</f>
        <v>CENTRO DE GESTION DOCUMENTAL</v>
      </c>
    </row>
    <row r="5655" spans="1:5" ht="15.75" x14ac:dyDescent="0.25">
      <c r="A5655" s="14">
        <v>1010184333</v>
      </c>
      <c r="B5655" s="2">
        <v>46133.761521180553</v>
      </c>
      <c r="C5655" s="3" t="str">
        <f>IFERROR(VLOOKUP(A5655,'Base Prueba'!A:C,3,),"NO REGISTRA")</f>
        <v>AKON ANDRES GARZON ALVAREZ</v>
      </c>
      <c r="D5655" s="4" t="str">
        <f>IFERROR(VLOOKUP(A5655,'Base Prueba'!A:D,4,),"NO REGISTRA")</f>
        <v>APRENDIZ UNIVERSITARIO</v>
      </c>
      <c r="E5655" s="5" t="str">
        <f>IFERROR(VLOOKUP(A5655,'Base Prueba'!A:E,5,),"NO REGISTRA")</f>
        <v>SECRETARIA GENERAL</v>
      </c>
    </row>
    <row r="5656" spans="1:5" ht="15.75" x14ac:dyDescent="0.25">
      <c r="A5656" s="14">
        <v>1022996882</v>
      </c>
      <c r="B5656" s="2">
        <v>46133.761732870371</v>
      </c>
      <c r="C5656" s="3" t="str">
        <f>IFERROR(VLOOKUP(A5656,'Base Prueba'!A:C,3,),"NO REGISTRA")</f>
        <v>NANCY BRIGITH ALDANA GUEVARA</v>
      </c>
      <c r="D5656" s="4" t="str">
        <f>IFERROR(VLOOKUP(A5656,'Base Prueba'!A:D,4,),"NO REGISTRA")</f>
        <v>COORDINADORA DE GESTIÓN HUMANA</v>
      </c>
      <c r="E5656" s="5" t="str">
        <f>IFERROR(VLOOKUP(A5656,'Base Prueba'!A:E,5,),"NO REGISTRA")</f>
        <v>DEPARTAMENTO DE GESTION HUMANA</v>
      </c>
    </row>
    <row r="5657" spans="1:5" ht="15.75" x14ac:dyDescent="0.25">
      <c r="A5657" s="14">
        <v>1000593372</v>
      </c>
      <c r="B5657" s="2">
        <v>46133.76392002315</v>
      </c>
      <c r="C5657" s="3" t="str">
        <f>IFERROR(VLOOKUP(A5657,'Base Prueba'!A:C,3,),"NO REGISTRA")</f>
        <v>LAURA SOFIA CHAPARRO LOPEZ</v>
      </c>
      <c r="D5657" s="4" t="str">
        <f>IFERROR(VLOOKUP(A5657,'Base Prueba'!A:D,4,),"NO REGISTRA")</f>
        <v>AUXILIAR JURIDICO</v>
      </c>
      <c r="E5657" s="5" t="str">
        <f>IFERROR(VLOOKUP(A5657,'Base Prueba'!A:E,5,),"NO REGISTRA")</f>
        <v>SECRETARIA GENERAL</v>
      </c>
    </row>
    <row r="5658" spans="1:5" ht="15.75" x14ac:dyDescent="0.25">
      <c r="A5658" s="14">
        <v>1013101788</v>
      </c>
      <c r="B5658" s="2">
        <v>46133.770699074077</v>
      </c>
      <c r="C5658" s="3" t="str">
        <f>IFERROR(VLOOKUP(A5658,'Base Prueba'!A:C,3,),"NO REGISTRA")</f>
        <v>SARA TANGARIFE MONTOYA</v>
      </c>
      <c r="D5658" s="4" t="str">
        <f>IFERROR(VLOOKUP(A5658,'Base Prueba'!A:D,4,),"NO REGISTRA")</f>
        <v>APRENDIZ UNIVERSITARIO</v>
      </c>
      <c r="E5658" s="5" t="str">
        <f>IFERROR(VLOOKUP(A5658,'Base Prueba'!A:E,5,),"NO REGISTRA")</f>
        <v>OFICINA DE MERCADEO</v>
      </c>
    </row>
    <row r="5659" spans="1:5" ht="15.75" x14ac:dyDescent="0.25">
      <c r="A5659" s="14">
        <v>1012426741</v>
      </c>
      <c r="B5659" s="2">
        <v>46133.771130555557</v>
      </c>
      <c r="C5659" s="3" t="str">
        <f>IFERROR(VLOOKUP(A5659,'Base Prueba'!A:C,3,),"NO REGISTRA")</f>
        <v>CRISTIAN FABIAN ROJAS SANCENO</v>
      </c>
      <c r="D5659" s="4" t="str">
        <f>IFERROR(VLOOKUP(A5659,'Base Prueba'!A:D,4,),"NO REGISTRA")</f>
        <v>AUXILIAR DE REINTEGROS</v>
      </c>
      <c r="E5659" s="5" t="str">
        <f>IFERROR(VLOOKUP(A5659,'Base Prueba'!A:E,5,),"NO REGISTRA")</f>
        <v>DIRECCION DE BIENESTAR INSTITUCIONAL</v>
      </c>
    </row>
    <row r="5660" spans="1:5" ht="15.75" x14ac:dyDescent="0.25">
      <c r="A5660" s="14">
        <v>80191732</v>
      </c>
      <c r="B5660" s="2">
        <v>46133.772762962966</v>
      </c>
      <c r="C5660" s="3" t="str">
        <f>IFERROR(VLOOKUP(A5660,'Base Prueba'!A:C,3,),"NO REGISTRA")</f>
        <v>DANIEL MAURICIO ZAMBRANO TUNJANO</v>
      </c>
      <c r="D5660" s="4" t="str">
        <f>IFERROR(VLOOKUP(A5660,'Base Prueba'!A:D,4,),"NO REGISTRA")</f>
        <v>COORDINADOR DE DISEÑO E IMAGEN INSTITUCIONAL</v>
      </c>
      <c r="E5660" s="5" t="str">
        <f>IFERROR(VLOOKUP(A5660,'Base Prueba'!A:E,5,),"NO REGISTRA")</f>
        <v>OFICINA DE MERCADEO</v>
      </c>
    </row>
    <row r="5661" spans="1:5" ht="15.75" x14ac:dyDescent="0.25">
      <c r="A5661" s="14">
        <v>1014196857</v>
      </c>
      <c r="B5661" s="2">
        <v>46133.772849074077</v>
      </c>
      <c r="C5661" s="3" t="str">
        <f>IFERROR(VLOOKUP(A5661,'Base Prueba'!A:C,3,),"NO REGISTRA")</f>
        <v>CARLOS ANDRES JIMENEZ PARDO</v>
      </c>
      <c r="D5661" s="4" t="str">
        <f>IFERROR(VLOOKUP(A5661,'Base Prueba'!A:D,4,),"NO REGISTRA")</f>
        <v>COORDINADOR DE MARKETING DIGITAL</v>
      </c>
      <c r="E5661" s="5" t="str">
        <f>IFERROR(VLOOKUP(A5661,'Base Prueba'!A:E,5,),"NO REGISTRA")</f>
        <v>OFICINA DE MERCADEO</v>
      </c>
    </row>
    <row r="5662" spans="1:5" ht="15.75" x14ac:dyDescent="0.25">
      <c r="A5662" s="14">
        <v>1000046533</v>
      </c>
      <c r="B5662" s="2">
        <v>46133.773025810187</v>
      </c>
      <c r="C5662" s="3" t="str">
        <f>IFERROR(VLOOKUP(A5662,'Base Prueba'!A:C,3,),"NO REGISTRA")</f>
        <v>ERIKA JULIETH VALDERRAMA SANCHEZ</v>
      </c>
      <c r="D5662" s="4" t="str">
        <f>IFERROR(VLOOKUP(A5662,'Base Prueba'!A:D,4,),"NO REGISTRA")</f>
        <v>PROMOTOR CALL CENTER</v>
      </c>
      <c r="E5662" s="5" t="str">
        <f>IFERROR(VLOOKUP(A5662,'Base Prueba'!A:E,5,),"NO REGISTRA")</f>
        <v>OFICINA DE MERCADEO</v>
      </c>
    </row>
    <row r="5663" spans="1:5" ht="15.75" x14ac:dyDescent="0.25">
      <c r="A5663" s="14">
        <v>1019105003</v>
      </c>
      <c r="B5663" s="2">
        <v>46133.774795138888</v>
      </c>
      <c r="C5663" s="3" t="str">
        <f>IFERROR(VLOOKUP(A5663,'Base Prueba'!A:C,3,),"NO REGISTRA")</f>
        <v>DAISY JULIETH GASPAR MORENO</v>
      </c>
      <c r="D5663" s="4" t="str">
        <f>IFERROR(VLOOKUP(A5663,'Base Prueba'!A:D,4,),"NO REGISTRA")</f>
        <v>PROMOTOR CALL CENTER</v>
      </c>
      <c r="E5663" s="5" t="str">
        <f>IFERROR(VLOOKUP(A5663,'Base Prueba'!A:E,5,),"NO REGISTRA")</f>
        <v>OFICINA DE MERCADEO</v>
      </c>
    </row>
    <row r="5664" spans="1:5" ht="15.75" x14ac:dyDescent="0.25">
      <c r="A5664" s="14">
        <v>52472386</v>
      </c>
      <c r="B5664" s="2">
        <v>46133.775539120368</v>
      </c>
      <c r="C5664" s="3" t="str">
        <f>IFERROR(VLOOKUP(A5664,'Base Prueba'!A:C,3,),"NO REGISTRA")</f>
        <v>ADRIANA MARCELA MORALES PARDO</v>
      </c>
      <c r="D5664" s="4" t="str">
        <f>IFERROR(VLOOKUP(A5664,'Base Prueba'!A:D,4,),"NO REGISTRA")</f>
        <v>PROMOTOR CALL CENTER</v>
      </c>
      <c r="E5664" s="5" t="str">
        <f>IFERROR(VLOOKUP(A5664,'Base Prueba'!A:E,5,),"NO REGISTRA")</f>
        <v>OFICINA DE MERCADEO</v>
      </c>
    </row>
    <row r="5665" spans="1:5" ht="15.75" x14ac:dyDescent="0.25">
      <c r="A5665" s="14">
        <v>1000257136</v>
      </c>
      <c r="B5665" s="2">
        <v>46133.776313657407</v>
      </c>
      <c r="C5665" s="3" t="str">
        <f>IFERROR(VLOOKUP(A5665,'Base Prueba'!A:C,3,),"NO REGISTRA")</f>
        <v>FRANCI VALENTINA CANO PUENTES</v>
      </c>
      <c r="D5665" s="4" t="str">
        <f>IFERROR(VLOOKUP(A5665,'Base Prueba'!A:D,4,),"NO REGISTRA")</f>
        <v>AUXILIAR CONTABLE</v>
      </c>
      <c r="E5665" s="5" t="str">
        <f>IFERROR(VLOOKUP(A5665,'Base Prueba'!A:E,5,),"NO REGISTRA")</f>
        <v>AREA FINANCIERA Y CONTABLE</v>
      </c>
    </row>
    <row r="5666" spans="1:5" ht="15.75" x14ac:dyDescent="0.25">
      <c r="A5666" s="14">
        <v>1033709056</v>
      </c>
      <c r="B5666" s="2">
        <v>46133.776586921296</v>
      </c>
      <c r="C5666" s="3" t="str">
        <f>IFERROR(VLOOKUP(A5666,'Base Prueba'!A:C,3,),"NO REGISTRA")</f>
        <v>YEIMY ALEXANDRA RODRIGUEZ PALACIO</v>
      </c>
      <c r="D5666" s="4" t="str">
        <f>IFERROR(VLOOKUP(A5666,'Base Prueba'!A:D,4,),"NO REGISTRA")</f>
        <v>PROMOTOR CALL CENTER</v>
      </c>
      <c r="E5666" s="5" t="str">
        <f>IFERROR(VLOOKUP(A5666,'Base Prueba'!A:E,5,),"NO REGISTRA")</f>
        <v>OFICINA DE MERCADEO</v>
      </c>
    </row>
    <row r="5667" spans="1:5" ht="15.75" x14ac:dyDescent="0.25">
      <c r="A5667" s="14">
        <v>1032407386</v>
      </c>
      <c r="B5667" s="2">
        <v>46133.778540046296</v>
      </c>
      <c r="C5667" s="3" t="str">
        <f>IFERROR(VLOOKUP(A5667,'Base Prueba'!A:C,3,),"NO REGISTRA")</f>
        <v>GINA PAOLA BAEZ GALVIS</v>
      </c>
      <c r="D5667" s="4" t="str">
        <f>IFERROR(VLOOKUP(A5667,'Base Prueba'!A:D,4,),"NO REGISTRA")</f>
        <v>PROMOTOR CALL CENTER</v>
      </c>
      <c r="E5667" s="5" t="str">
        <f>IFERROR(VLOOKUP(A5667,'Base Prueba'!A:E,5,),"NO REGISTRA")</f>
        <v>OFICINA DE MERCADEO</v>
      </c>
    </row>
    <row r="5668" spans="1:5" ht="15.75" x14ac:dyDescent="0.25">
      <c r="A5668" s="14">
        <v>1018414290</v>
      </c>
      <c r="B5668" s="2">
        <v>46133.778623495367</v>
      </c>
      <c r="C5668" s="3" t="str">
        <f>IFERROR(VLOOKUP(A5668,'Base Prueba'!A:C,3,),"NO REGISTRA")</f>
        <v>AMANDA LISBETH RODRIGUEZ LEON</v>
      </c>
      <c r="D5668" s="4" t="str">
        <f>IFERROR(VLOOKUP(A5668,'Base Prueba'!A:D,4,),"NO REGISTRA")</f>
        <v>PROMOTOR CALL CENTER</v>
      </c>
      <c r="E5668" s="5" t="str">
        <f>IFERROR(VLOOKUP(A5668,'Base Prueba'!A:E,5,),"NO REGISTRA")</f>
        <v>OFICINA DE MERCADEO</v>
      </c>
    </row>
    <row r="5669" spans="1:5" ht="15.75" x14ac:dyDescent="0.25">
      <c r="A5669" s="14">
        <v>1033820146</v>
      </c>
      <c r="B5669" s="2">
        <v>46133.781176620367</v>
      </c>
      <c r="C5669" s="3" t="str">
        <f>IFERROR(VLOOKUP(A5669,'Base Prueba'!A:C,3,),"NO REGISTRA")</f>
        <v>JULIETH ALEXANDRA BUSTAMANTE RUIZ</v>
      </c>
      <c r="D5669" s="4" t="str">
        <f>IFERROR(VLOOKUP(A5669,'Base Prueba'!A:D,4,),"NO REGISTRA")</f>
        <v>AUXILIAR ADMINISTRATIVO</v>
      </c>
      <c r="E5669" s="5" t="str">
        <f>IFERROR(VLOOKUP(A5669,'Base Prueba'!A:E,5,),"NO REGISTRA")</f>
        <v>REGISTRO Y CONTROL ACADEMICO</v>
      </c>
    </row>
    <row r="5670" spans="1:5" ht="15.75" x14ac:dyDescent="0.25">
      <c r="A5670" s="14">
        <v>28798349</v>
      </c>
      <c r="B5670" s="2">
        <v>46133.78283113426</v>
      </c>
      <c r="C5670" s="3" t="str">
        <f>IFERROR(VLOOKUP(A5670,'Base Prueba'!A:C,3,),"NO REGISTRA")</f>
        <v>MARTHA ISABEL TOVAR WILLIAMS</v>
      </c>
      <c r="D5670" s="4" t="str">
        <f>IFERROR(VLOOKUP(A5670,'Base Prueba'!A:D,4,),"NO REGISTRA")</f>
        <v>PROMOTOR CALL CENTER</v>
      </c>
      <c r="E5670" s="5" t="str">
        <f>IFERROR(VLOOKUP(A5670,'Base Prueba'!A:E,5,),"NO REGISTRA")</f>
        <v>OFICINA DE MERCADEO</v>
      </c>
    </row>
    <row r="5671" spans="1:5" ht="15.75" x14ac:dyDescent="0.25">
      <c r="A5671" s="14">
        <v>1023961952</v>
      </c>
      <c r="B5671" s="2">
        <v>46133.783012731481</v>
      </c>
      <c r="C5671" s="3" t="str">
        <f>IFERROR(VLOOKUP(A5671,'Base Prueba'!A:C,3,),"NO REGISTRA")</f>
        <v>ALEJANDRO PINZON MERCHAN</v>
      </c>
      <c r="D5671" s="4" t="str">
        <f>IFERROR(VLOOKUP(A5671,'Base Prueba'!A:D,4,),"NO REGISTRA")</f>
        <v>PROMOTOR CALL CENTER</v>
      </c>
      <c r="E5671" s="5" t="str">
        <f>IFERROR(VLOOKUP(A5671,'Base Prueba'!A:E,5,),"NO REGISTRA")</f>
        <v>OFICINA DE MERCADEO</v>
      </c>
    </row>
    <row r="5672" spans="1:5" ht="15.75" x14ac:dyDescent="0.25">
      <c r="A5672" s="14">
        <v>52175674</v>
      </c>
      <c r="B5672" s="2">
        <v>46133.80046377315</v>
      </c>
      <c r="C5672" s="3" t="str">
        <f>IFERROR(VLOOKUP(A5672,'Base Prueba'!A:C,3,),"NO REGISTRA")</f>
        <v>LUZ YANETH GOMEZ AREVALO</v>
      </c>
      <c r="D5672" s="4" t="str">
        <f>IFERROR(VLOOKUP(A5672,'Base Prueba'!A:D,4,),"NO REGISTRA")</f>
        <v>COORDINADORA DE ADMISIONES</v>
      </c>
      <c r="E5672" s="5" t="str">
        <f>IFERROR(VLOOKUP(A5672,'Base Prueba'!A:E,5,),"NO REGISTRA")</f>
        <v>OFICINA DE MERCADEO</v>
      </c>
    </row>
    <row r="5673" spans="1:5" ht="15.75" x14ac:dyDescent="0.25">
      <c r="A5673" s="14">
        <v>80234243</v>
      </c>
      <c r="B5673" s="2">
        <v>46133.802915972221</v>
      </c>
      <c r="C5673" s="3" t="str">
        <f>IFERROR(VLOOKUP(A5673,'Base Prueba'!A:C,3,),"NO REGISTRA")</f>
        <v>ARGENIS MARTINEZ MARTINEZ</v>
      </c>
      <c r="D5673" s="4" t="str">
        <f>IFERROR(VLOOKUP(A5673,'Base Prueba'!A:D,4,),"NO REGISTRA")</f>
        <v>LIDER CALL CENTER</v>
      </c>
      <c r="E5673" s="5" t="str">
        <f>IFERROR(VLOOKUP(A5673,'Base Prueba'!A:E,5,),"NO REGISTRA")</f>
        <v>OFICINA DE MERCADEO</v>
      </c>
    </row>
    <row r="5674" spans="1:5" ht="15.75" x14ac:dyDescent="0.25">
      <c r="A5674" s="14">
        <v>1013616244</v>
      </c>
      <c r="B5674" s="2">
        <v>46133.806396180553</v>
      </c>
      <c r="C5674" s="3" t="str">
        <f>IFERROR(VLOOKUP(A5674,'Base Prueba'!A:C,3,),"NO REGISTRA")</f>
        <v>DIANA CAROLINA MARIN BETANCOURT</v>
      </c>
      <c r="D5674" s="4" t="str">
        <f>IFERROR(VLOOKUP(A5674,'Base Prueba'!A:D,4,),"NO REGISTRA")</f>
        <v>AUXILIAR ADMINISTRATIVO</v>
      </c>
      <c r="E5674" s="5" t="str">
        <f>IFERROR(VLOOKUP(A5674,'Base Prueba'!A:E,5,),"NO REGISTRA")</f>
        <v>REGISTRO Y CONTROL ACADEMICO</v>
      </c>
    </row>
    <row r="5675" spans="1:5" ht="15.75" x14ac:dyDescent="0.25">
      <c r="A5675" s="14">
        <v>52474489</v>
      </c>
      <c r="B5675" s="2">
        <v>46133.806521064813</v>
      </c>
      <c r="C5675" s="3" t="str">
        <f>IFERROR(VLOOKUP(A5675,'Base Prueba'!A:C,3,),"NO REGISTRA")</f>
        <v>ADRIANA JIMENA SOTO BOCANEGRA</v>
      </c>
      <c r="D5675" s="4" t="str">
        <f>IFERROR(VLOOKUP(A5675,'Base Prueba'!A:D,4,),"NO REGISTRA")</f>
        <v>COORDINADOR DE LA OFICINA DE REGISTRO Y CONTROL</v>
      </c>
      <c r="E5675" s="5" t="str">
        <f>IFERROR(VLOOKUP(A5675,'Base Prueba'!A:E,5,),"NO REGISTRA")</f>
        <v>REGISTRO Y CONTROL ACADEMICO</v>
      </c>
    </row>
    <row r="5676" spans="1:5" ht="15.75" x14ac:dyDescent="0.25">
      <c r="A5676" s="14">
        <v>53089882</v>
      </c>
      <c r="B5676" s="2">
        <v>46133.812449652774</v>
      </c>
      <c r="C5676" s="3" t="str">
        <f>IFERROR(VLOOKUP(A5676,'Base Prueba'!A:C,3,),"NO REGISTRA")</f>
        <v>MARIA JOHANA ESCAMILLA MARTINEZ</v>
      </c>
      <c r="D5676" s="4" t="str">
        <f>IFERROR(VLOOKUP(A5676,'Base Prueba'!A:D,4,),"NO REGISTRA")</f>
        <v>PROMOTOR DE INFORMACIÓN</v>
      </c>
      <c r="E5676" s="5" t="str">
        <f>IFERROR(VLOOKUP(A5676,'Base Prueba'!A:E,5,),"NO REGISTRA")</f>
        <v>OFICINA DE MERCADEO</v>
      </c>
    </row>
    <row r="5677" spans="1:5" ht="15.75" x14ac:dyDescent="0.25">
      <c r="A5677" s="14">
        <v>1018413529</v>
      </c>
      <c r="B5677" s="2">
        <v>46133.812487615738</v>
      </c>
      <c r="C5677" s="3" t="str">
        <f>IFERROR(VLOOKUP(A5677,'Base Prueba'!A:C,3,),"NO REGISTRA")</f>
        <v>FRANCY STELLA CHARRY MORENO</v>
      </c>
      <c r="D5677" s="4" t="str">
        <f>IFERROR(VLOOKUP(A5677,'Base Prueba'!A:D,4,),"NO REGISTRA")</f>
        <v>PROMOTOR COMERCIAL DEL CEA</v>
      </c>
      <c r="E5677" s="5" t="str">
        <f>IFERROR(VLOOKUP(A5677,'Base Prueba'!A:E,5,),"NO REGISTRA")</f>
        <v>OFICINA DE MERCADEO</v>
      </c>
    </row>
    <row r="5678" spans="1:5" ht="15.75" x14ac:dyDescent="0.25">
      <c r="A5678" s="14">
        <v>1032469638</v>
      </c>
      <c r="B5678" s="2">
        <v>46133.81479074074</v>
      </c>
      <c r="C5678" s="3" t="str">
        <f>IFERROR(VLOOKUP(A5678,'Base Prueba'!A:C,3,),"NO REGISTRA")</f>
        <v>MAICOL JARBEY GUALTEROS CASTAÑEDA</v>
      </c>
      <c r="D5678" s="4" t="str">
        <f>IFERROR(VLOOKUP(A5678,'Base Prueba'!A:D,4,),"NO REGISTRA")</f>
        <v>COORDINADOR DEL SISTEMA INTERNO DE ASEGURAMIENTO DE LA CALIDAD - SIAC</v>
      </c>
      <c r="E5678" s="5" t="str">
        <f>IFERROR(VLOOKUP(A5678,'Base Prueba'!A:E,5,),"NO REGISTRA")</f>
        <v>OFICINA DE PLANEACION Y GESTION DE LA CALIDAD</v>
      </c>
    </row>
    <row r="5679" spans="1:5" ht="15.75" x14ac:dyDescent="0.25">
      <c r="A5679" s="14">
        <v>1000324729</v>
      </c>
      <c r="B5679" s="2">
        <v>46134.324205092591</v>
      </c>
      <c r="C5679" s="3" t="str">
        <f>IFERROR(VLOOKUP(A5679,'Base Prueba'!A:C,3,),"NO REGISTRA")</f>
        <v>ANYIE VANESSA TINOCO CAMACHO</v>
      </c>
      <c r="D5679" s="4" t="str">
        <f>IFERROR(VLOOKUP(A5679,'Base Prueba'!A:D,4,),"NO REGISTRA")</f>
        <v>LIDER DE REGISTRO Y CONTROL</v>
      </c>
      <c r="E5679" s="5" t="str">
        <f>IFERROR(VLOOKUP(A5679,'Base Prueba'!A:E,5,),"NO REGISTRA")</f>
        <v>REGISTRO Y CONTROL ACADEMICO</v>
      </c>
    </row>
    <row r="5680" spans="1:5" ht="15.75" x14ac:dyDescent="0.25">
      <c r="A5680" s="14">
        <v>1014308296</v>
      </c>
      <c r="B5680" s="2">
        <v>46134.326026388888</v>
      </c>
      <c r="C5680" s="3" t="str">
        <f>IFERROR(VLOOKUP(A5680,'Base Prueba'!A:C,3,),"NO REGISTRA")</f>
        <v>DARLENE YULIANA MORENO CELEITA</v>
      </c>
      <c r="D5680" s="4" t="str">
        <f>IFERROR(VLOOKUP(A5680,'Base Prueba'!A:D,4,),"NO REGISTRA")</f>
        <v>CAJERO PRINCIPAL</v>
      </c>
      <c r="E5680" s="5" t="str">
        <f>IFERROR(VLOOKUP(A5680,'Base Prueba'!A:E,5,),"NO REGISTRA")</f>
        <v>AREA FINANCIERA Y CONTABLE</v>
      </c>
    </row>
    <row r="5681" spans="1:5" ht="15.75" x14ac:dyDescent="0.25">
      <c r="A5681" s="14">
        <v>1010184333</v>
      </c>
      <c r="B5681" s="2">
        <v>46134.329951041669</v>
      </c>
      <c r="C5681" s="3" t="str">
        <f>IFERROR(VLOOKUP(A5681,'Base Prueba'!A:C,3,),"NO REGISTRA")</f>
        <v>AKON ANDRES GARZON ALVAREZ</v>
      </c>
      <c r="D5681" s="4" t="str">
        <f>IFERROR(VLOOKUP(A5681,'Base Prueba'!A:D,4,),"NO REGISTRA")</f>
        <v>APRENDIZ UNIVERSITARIO</v>
      </c>
      <c r="E5681" s="5" t="str">
        <f>IFERROR(VLOOKUP(A5681,'Base Prueba'!A:E,5,),"NO REGISTRA")</f>
        <v>SECRETARIA GENERAL</v>
      </c>
    </row>
    <row r="5682" spans="1:5" ht="15.75" x14ac:dyDescent="0.25">
      <c r="A5682" s="14">
        <v>1030567635</v>
      </c>
      <c r="B5682" s="2">
        <v>46134.33002789352</v>
      </c>
      <c r="C5682" s="3" t="str">
        <f>IFERROR(VLOOKUP(A5682,'Base Prueba'!A:C,3,),"NO REGISTRA")</f>
        <v>JEFFERSON ANDRES BARRETO DIAZ</v>
      </c>
      <c r="D5682" s="4" t="str">
        <f>IFERROR(VLOOKUP(A5682,'Base Prueba'!A:D,4,),"NO REGISTRA")</f>
        <v>AUXILIAR DE ARCHIVO</v>
      </c>
      <c r="E5682" s="5" t="str">
        <f>IFERROR(VLOOKUP(A5682,'Base Prueba'!A:E,5,),"NO REGISTRA")</f>
        <v>CENTRO DE GESTION DOCUMENTAL</v>
      </c>
    </row>
    <row r="5683" spans="1:5" ht="15.75" x14ac:dyDescent="0.25">
      <c r="A5683" s="14">
        <v>1013098430</v>
      </c>
      <c r="B5683" s="2">
        <v>46134.342586921295</v>
      </c>
      <c r="C5683" s="3" t="str">
        <f>IFERROR(VLOOKUP(A5683,'Base Prueba'!A:C,3,),"NO REGISTRA")</f>
        <v>ANDRES FELIPE LOPEZ ROMERO</v>
      </c>
      <c r="D5683" s="4" t="str">
        <f>IFERROR(VLOOKUP(A5683,'Base Prueba'!A:D,4,),"NO REGISTRA")</f>
        <v>APRENDIZ UNIVERSITARIO</v>
      </c>
      <c r="E5683" s="5" t="str">
        <f>IFERROR(VLOOKUP(A5683,'Base Prueba'!A:E,5,),"NO REGISTRA")</f>
        <v>OFICINA DE MERCADEO</v>
      </c>
    </row>
    <row r="5684" spans="1:5" ht="15.75" x14ac:dyDescent="0.25">
      <c r="A5684" s="14">
        <v>1014977624</v>
      </c>
      <c r="B5684" s="2">
        <v>46134.343292476849</v>
      </c>
      <c r="C5684" s="3" t="str">
        <f>IFERROR(VLOOKUP(A5684,'Base Prueba'!A:C,3,),"NO REGISTRA")</f>
        <v>NICCOLE VALENTINA HERNANDEZ MALAVER</v>
      </c>
      <c r="D5684" s="4" t="str">
        <f>IFERROR(VLOOKUP(A5684,'Base Prueba'!A:D,4,),"NO REGISTRA")</f>
        <v>APRENDIZ UNIVERSITARIO</v>
      </c>
      <c r="E5684" s="5" t="str">
        <f>IFERROR(VLOOKUP(A5684,'Base Prueba'!A:E,5,),"NO REGISTRA")</f>
        <v>AREA FINANCIERA Y CONTABLE</v>
      </c>
    </row>
    <row r="5685" spans="1:5" ht="15.75" x14ac:dyDescent="0.25">
      <c r="A5685" s="14">
        <v>1193457976</v>
      </c>
      <c r="B5685" s="2">
        <v>46134.343478240742</v>
      </c>
      <c r="C5685" s="3" t="str">
        <f>IFERROR(VLOOKUP(A5685,'Base Prueba'!A:C,3,),"NO REGISTRA")</f>
        <v>SEDENIS RIVAS ASPRILLA</v>
      </c>
      <c r="D5685" s="4" t="str">
        <f>IFERROR(VLOOKUP(A5685,'Base Prueba'!A:D,4,),"NO REGISTRA")</f>
        <v>APRENDIZ UNIVERSITARIO</v>
      </c>
      <c r="E5685" s="5" t="str">
        <f>IFERROR(VLOOKUP(A5685,'Base Prueba'!A:E,5,),"NO REGISTRA")</f>
        <v>DEPARTAMENTO DE GESTION HUMANA</v>
      </c>
    </row>
    <row r="5686" spans="1:5" ht="15.75" x14ac:dyDescent="0.25">
      <c r="A5686" s="14">
        <v>1014196857</v>
      </c>
      <c r="B5686" s="2">
        <v>46134.343823148149</v>
      </c>
      <c r="C5686" s="3" t="str">
        <f>IFERROR(VLOOKUP(A5686,'Base Prueba'!A:C,3,),"NO REGISTRA")</f>
        <v>CARLOS ANDRES JIMENEZ PARDO</v>
      </c>
      <c r="D5686" s="4" t="str">
        <f>IFERROR(VLOOKUP(A5686,'Base Prueba'!A:D,4,),"NO REGISTRA")</f>
        <v>COORDINADOR DE MARKETING DIGITAL</v>
      </c>
      <c r="E5686" s="5" t="str">
        <f>IFERROR(VLOOKUP(A5686,'Base Prueba'!A:E,5,),"NO REGISTRA")</f>
        <v>OFICINA DE MERCADEO</v>
      </c>
    </row>
    <row r="5687" spans="1:5" ht="15.75" x14ac:dyDescent="0.25">
      <c r="A5687" s="14">
        <v>1000257136</v>
      </c>
      <c r="B5687" s="2">
        <v>46134.34482662037</v>
      </c>
      <c r="C5687" s="3" t="str">
        <f>IFERROR(VLOOKUP(A5687,'Base Prueba'!A:C,3,),"NO REGISTRA")</f>
        <v>FRANCI VALENTINA CANO PUENTES</v>
      </c>
      <c r="D5687" s="4" t="str">
        <f>IFERROR(VLOOKUP(A5687,'Base Prueba'!A:D,4,),"NO REGISTRA")</f>
        <v>AUXILIAR CONTABLE</v>
      </c>
      <c r="E5687" s="5" t="str">
        <f>IFERROR(VLOOKUP(A5687,'Base Prueba'!A:E,5,),"NO REGISTRA")</f>
        <v>AREA FINANCIERA Y CONTABLE</v>
      </c>
    </row>
    <row r="5688" spans="1:5" ht="15.75" x14ac:dyDescent="0.25">
      <c r="A5688" s="14">
        <v>1000457706</v>
      </c>
      <c r="B5688" s="2">
        <v>46134.345426157408</v>
      </c>
      <c r="C5688" s="3" t="str">
        <f>IFERROR(VLOOKUP(A5688,'Base Prueba'!A:C,3,),"NO REGISTRA")</f>
        <v>CRISTIAN DANILO ARROYO SANABRIA</v>
      </c>
      <c r="D5688" s="4" t="str">
        <f>IFERROR(VLOOKUP(A5688,'Base Prueba'!A:D,4,),"NO REGISTRA")</f>
        <v>AUXILIAR CONTABLE</v>
      </c>
      <c r="E5688" s="5" t="str">
        <f>IFERROR(VLOOKUP(A5688,'Base Prueba'!A:E,5,),"NO REGISTRA")</f>
        <v>AREA FINANCIERA Y CONTABLE</v>
      </c>
    </row>
    <row r="5689" spans="1:5" ht="15.75" x14ac:dyDescent="0.25">
      <c r="A5689" s="14">
        <v>1032469638</v>
      </c>
      <c r="B5689" s="2">
        <v>46134.350939930555</v>
      </c>
      <c r="C5689" s="3" t="str">
        <f>IFERROR(VLOOKUP(A5689,'Base Prueba'!A:C,3,),"NO REGISTRA")</f>
        <v>MAICOL JARBEY GUALTEROS CASTAÑEDA</v>
      </c>
      <c r="D5689" s="4" t="str">
        <f>IFERROR(VLOOKUP(A5689,'Base Prueba'!A:D,4,),"NO REGISTRA")</f>
        <v>COORDINADOR DEL SISTEMA INTERNO DE ASEGURAMIENTO DE LA CALIDAD - SIAC</v>
      </c>
      <c r="E5689" s="5" t="str">
        <f>IFERROR(VLOOKUP(A5689,'Base Prueba'!A:E,5,),"NO REGISTRA")</f>
        <v>OFICINA DE PLANEACION Y GESTION DE LA CALIDAD</v>
      </c>
    </row>
    <row r="5690" spans="1:5" ht="15.75" x14ac:dyDescent="0.25">
      <c r="A5690" s="14">
        <v>1032469638</v>
      </c>
      <c r="B5690" s="2">
        <v>46134.350961226854</v>
      </c>
      <c r="C5690" s="3" t="str">
        <f>IFERROR(VLOOKUP(A5690,'Base Prueba'!A:C,3,),"NO REGISTRA")</f>
        <v>MAICOL JARBEY GUALTEROS CASTAÑEDA</v>
      </c>
      <c r="D5690" s="4" t="str">
        <f>IFERROR(VLOOKUP(A5690,'Base Prueba'!A:D,4,),"NO REGISTRA")</f>
        <v>COORDINADOR DEL SISTEMA INTERNO DE ASEGURAMIENTO DE LA CALIDAD - SIAC</v>
      </c>
      <c r="E5690" s="5" t="str">
        <f>IFERROR(VLOOKUP(A5690,'Base Prueba'!A:E,5,),"NO REGISTRA")</f>
        <v>OFICINA DE PLANEACION Y GESTION DE LA CALIDAD</v>
      </c>
    </row>
    <row r="5691" spans="1:5" ht="15.75" x14ac:dyDescent="0.25">
      <c r="A5691" s="14">
        <v>53932358</v>
      </c>
      <c r="B5691" s="2">
        <v>46134.354433796296</v>
      </c>
      <c r="C5691" s="3" t="str">
        <f>IFERROR(VLOOKUP(A5691,'Base Prueba'!A:C,3,),"NO REGISTRA")</f>
        <v>DIANA MADELEYNE GAONA RODRIGUEZ</v>
      </c>
      <c r="D5691" s="4" t="str">
        <f>IFERROR(VLOOKUP(A5691,'Base Prueba'!A:D,4,),"NO REGISTRA")</f>
        <v>CONTADOR</v>
      </c>
      <c r="E5691" s="5" t="str">
        <f>IFERROR(VLOOKUP(A5691,'Base Prueba'!A:E,5,),"NO REGISTRA")</f>
        <v>AREA FINANCIERA Y CONTABLE</v>
      </c>
    </row>
    <row r="5692" spans="1:5" ht="15.75" x14ac:dyDescent="0.25">
      <c r="A5692" s="14">
        <v>1032407386</v>
      </c>
      <c r="B5692" s="2">
        <v>46134.361097222223</v>
      </c>
      <c r="C5692" s="3" t="str">
        <f>IFERROR(VLOOKUP(A5692,'Base Prueba'!A:C,3,),"NO REGISTRA")</f>
        <v>GINA PAOLA BAEZ GALVIS</v>
      </c>
      <c r="D5692" s="4" t="str">
        <f>IFERROR(VLOOKUP(A5692,'Base Prueba'!A:D,4,),"NO REGISTRA")</f>
        <v>PROMOTOR CALL CENTER</v>
      </c>
      <c r="E5692" s="5" t="str">
        <f>IFERROR(VLOOKUP(A5692,'Base Prueba'!A:E,5,),"NO REGISTRA")</f>
        <v>OFICINA DE MERCADEO</v>
      </c>
    </row>
    <row r="5693" spans="1:5" ht="15.75" x14ac:dyDescent="0.25">
      <c r="A5693" s="14">
        <v>1033709056</v>
      </c>
      <c r="B5693" s="2">
        <v>46134.364406712964</v>
      </c>
      <c r="C5693" s="3" t="str">
        <f>IFERROR(VLOOKUP(A5693,'Base Prueba'!A:C,3,),"NO REGISTRA")</f>
        <v>YEIMY ALEXANDRA RODRIGUEZ PALACIO</v>
      </c>
      <c r="D5693" s="4" t="str">
        <f>IFERROR(VLOOKUP(A5693,'Base Prueba'!A:D,4,),"NO REGISTRA")</f>
        <v>PROMOTOR CALL CENTER</v>
      </c>
      <c r="E5693" s="5" t="str">
        <f>IFERROR(VLOOKUP(A5693,'Base Prueba'!A:E,5,),"NO REGISTRA")</f>
        <v>OFICINA DE MERCADEO</v>
      </c>
    </row>
    <row r="5694" spans="1:5" ht="15.75" x14ac:dyDescent="0.25">
      <c r="A5694" s="14">
        <v>52472386</v>
      </c>
      <c r="B5694" s="2">
        <v>46134.365695601853</v>
      </c>
      <c r="C5694" s="3" t="str">
        <f>IFERROR(VLOOKUP(A5694,'Base Prueba'!A:C,3,),"NO REGISTRA")</f>
        <v>ADRIANA MARCELA MORALES PARDO</v>
      </c>
      <c r="D5694" s="4" t="str">
        <f>IFERROR(VLOOKUP(A5694,'Base Prueba'!A:D,4,),"NO REGISTRA")</f>
        <v>PROMOTOR CALL CENTER</v>
      </c>
      <c r="E5694" s="5" t="str">
        <f>IFERROR(VLOOKUP(A5694,'Base Prueba'!A:E,5,),"NO REGISTRA")</f>
        <v>OFICINA DE MERCADEO</v>
      </c>
    </row>
    <row r="5695" spans="1:5" ht="15.75" x14ac:dyDescent="0.25">
      <c r="A5695" s="14">
        <v>1012426741</v>
      </c>
      <c r="B5695" s="2">
        <v>46134.36719571759</v>
      </c>
      <c r="C5695" s="3" t="str">
        <f>IFERROR(VLOOKUP(A5695,'Base Prueba'!A:C,3,),"NO REGISTRA")</f>
        <v>CRISTIAN FABIAN ROJAS SANCENO</v>
      </c>
      <c r="D5695" s="4" t="str">
        <f>IFERROR(VLOOKUP(A5695,'Base Prueba'!A:D,4,),"NO REGISTRA")</f>
        <v>AUXILIAR DE REINTEGROS</v>
      </c>
      <c r="E5695" s="5" t="str">
        <f>IFERROR(VLOOKUP(A5695,'Base Prueba'!A:E,5,),"NO REGISTRA")</f>
        <v>DIRECCION DE BIENESTAR INSTITUCIONAL</v>
      </c>
    </row>
    <row r="5696" spans="1:5" ht="15.75" x14ac:dyDescent="0.25">
      <c r="A5696" s="14">
        <v>1018414290</v>
      </c>
      <c r="B5696" s="2">
        <v>46134.37074953704</v>
      </c>
      <c r="C5696" s="3" t="str">
        <f>IFERROR(VLOOKUP(A5696,'Base Prueba'!A:C,3,),"NO REGISTRA")</f>
        <v>AMANDA LISBETH RODRIGUEZ LEON</v>
      </c>
      <c r="D5696" s="4" t="str">
        <f>IFERROR(VLOOKUP(A5696,'Base Prueba'!A:D,4,),"NO REGISTRA")</f>
        <v>PROMOTOR CALL CENTER</v>
      </c>
      <c r="E5696" s="5" t="str">
        <f>IFERROR(VLOOKUP(A5696,'Base Prueba'!A:E,5,),"NO REGISTRA")</f>
        <v>OFICINA DE MERCADEO</v>
      </c>
    </row>
    <row r="5697" spans="1:5" ht="15.75" x14ac:dyDescent="0.25">
      <c r="A5697" s="14">
        <v>1018413529</v>
      </c>
      <c r="B5697" s="2">
        <v>46134.372298379632</v>
      </c>
      <c r="C5697" s="3" t="str">
        <f>IFERROR(VLOOKUP(A5697,'Base Prueba'!A:C,3,),"NO REGISTRA")</f>
        <v>FRANCY STELLA CHARRY MORENO</v>
      </c>
      <c r="D5697" s="4" t="str">
        <f>IFERROR(VLOOKUP(A5697,'Base Prueba'!A:D,4,),"NO REGISTRA")</f>
        <v>PROMOTOR COMERCIAL DEL CEA</v>
      </c>
      <c r="E5697" s="5" t="str">
        <f>IFERROR(VLOOKUP(A5697,'Base Prueba'!A:E,5,),"NO REGISTRA")</f>
        <v>OFICINA DE MERCADEO</v>
      </c>
    </row>
    <row r="5698" spans="1:5" ht="15.75" x14ac:dyDescent="0.25">
      <c r="A5698" s="14">
        <v>1019105003</v>
      </c>
      <c r="B5698" s="2">
        <v>46134.374065277778</v>
      </c>
      <c r="C5698" s="3" t="str">
        <f>IFERROR(VLOOKUP(A5698,'Base Prueba'!A:C,3,),"NO REGISTRA")</f>
        <v>DAISY JULIETH GASPAR MORENO</v>
      </c>
      <c r="D5698" s="4" t="str">
        <f>IFERROR(VLOOKUP(A5698,'Base Prueba'!A:D,4,),"NO REGISTRA")</f>
        <v>PROMOTOR CALL CENTER</v>
      </c>
      <c r="E5698" s="5" t="str">
        <f>IFERROR(VLOOKUP(A5698,'Base Prueba'!A:E,5,),"NO REGISTRA")</f>
        <v>OFICINA DE MERCADEO</v>
      </c>
    </row>
    <row r="5699" spans="1:5" ht="15.75" x14ac:dyDescent="0.25">
      <c r="A5699" s="14">
        <v>53089882</v>
      </c>
      <c r="B5699" s="2">
        <v>46134.37614803241</v>
      </c>
      <c r="C5699" s="3" t="str">
        <f>IFERROR(VLOOKUP(A5699,'Base Prueba'!A:C,3,),"NO REGISTRA")</f>
        <v>MARIA JOHANA ESCAMILLA MARTINEZ</v>
      </c>
      <c r="D5699" s="4" t="str">
        <f>IFERROR(VLOOKUP(A5699,'Base Prueba'!A:D,4,),"NO REGISTRA")</f>
        <v>PROMOTOR DE INFORMACIÓN</v>
      </c>
      <c r="E5699" s="5" t="str">
        <f>IFERROR(VLOOKUP(A5699,'Base Prueba'!A:E,5,),"NO REGISTRA")</f>
        <v>OFICINA DE MERCADEO</v>
      </c>
    </row>
    <row r="5700" spans="1:5" ht="15.75" x14ac:dyDescent="0.25">
      <c r="A5700" s="14">
        <v>28798349</v>
      </c>
      <c r="B5700" s="2">
        <v>46134.376877430557</v>
      </c>
      <c r="C5700" s="3" t="str">
        <f>IFERROR(VLOOKUP(A5700,'Base Prueba'!A:C,3,),"NO REGISTRA")</f>
        <v>MARTHA ISABEL TOVAR WILLIAMS</v>
      </c>
      <c r="D5700" s="4" t="str">
        <f>IFERROR(VLOOKUP(A5700,'Base Prueba'!A:D,4,),"NO REGISTRA")</f>
        <v>PROMOTOR CALL CENTER</v>
      </c>
      <c r="E5700" s="5" t="str">
        <f>IFERROR(VLOOKUP(A5700,'Base Prueba'!A:E,5,),"NO REGISTRA")</f>
        <v>OFICINA DE MERCADEO</v>
      </c>
    </row>
    <row r="5701" spans="1:5" ht="15.75" x14ac:dyDescent="0.25">
      <c r="A5701" s="14">
        <v>80234243</v>
      </c>
      <c r="B5701" s="2">
        <v>46134.377604629626</v>
      </c>
      <c r="C5701" s="3" t="str">
        <f>IFERROR(VLOOKUP(A5701,'Base Prueba'!A:C,3,),"NO REGISTRA")</f>
        <v>ARGENIS MARTINEZ MARTINEZ</v>
      </c>
      <c r="D5701" s="4" t="str">
        <f>IFERROR(VLOOKUP(A5701,'Base Prueba'!A:D,4,),"NO REGISTRA")</f>
        <v>LIDER CALL CENTER</v>
      </c>
      <c r="E5701" s="5" t="str">
        <f>IFERROR(VLOOKUP(A5701,'Base Prueba'!A:E,5,),"NO REGISTRA")</f>
        <v>OFICINA DE MERCADEO</v>
      </c>
    </row>
    <row r="5702" spans="1:5" ht="15.75" x14ac:dyDescent="0.25">
      <c r="A5702" s="14">
        <v>52764929</v>
      </c>
      <c r="B5702" s="2">
        <v>46134.380144328701</v>
      </c>
      <c r="C5702" s="3" t="str">
        <f>IFERROR(VLOOKUP(A5702,'Base Prueba'!A:C,3,),"NO REGISTRA")</f>
        <v>GUERLY YOHANA DURAN RIVERA</v>
      </c>
      <c r="D5702" s="4" t="str">
        <f>IFERROR(VLOOKUP(A5702,'Base Prueba'!A:D,4,),"NO REGISTRA")</f>
        <v>LIDER DE VINCULACION COLEGIOS</v>
      </c>
      <c r="E5702" s="5" t="str">
        <f>IFERROR(VLOOKUP(A5702,'Base Prueba'!A:E,5,),"NO REGISTRA")</f>
        <v>OFICINA DE MERCADEO</v>
      </c>
    </row>
    <row r="5703" spans="1:5" ht="15.75" x14ac:dyDescent="0.25">
      <c r="A5703" s="14">
        <v>52175674</v>
      </c>
      <c r="B5703" s="2">
        <v>46134.386719560185</v>
      </c>
      <c r="C5703" s="3" t="str">
        <f>IFERROR(VLOOKUP(A5703,'Base Prueba'!A:C,3,),"NO REGISTRA")</f>
        <v>LUZ YANETH GOMEZ AREVALO</v>
      </c>
      <c r="D5703" s="4" t="str">
        <f>IFERROR(VLOOKUP(A5703,'Base Prueba'!A:D,4,),"NO REGISTRA")</f>
        <v>COORDINADORA DE ADMISIONES</v>
      </c>
      <c r="E5703" s="5" t="str">
        <f>IFERROR(VLOOKUP(A5703,'Base Prueba'!A:E,5,),"NO REGISTRA")</f>
        <v>OFICINA DE MERCADEO</v>
      </c>
    </row>
    <row r="5704" spans="1:5" ht="15.75" x14ac:dyDescent="0.25">
      <c r="A5704" s="14">
        <v>1014257968</v>
      </c>
      <c r="B5704" s="2">
        <v>46134.680823379633</v>
      </c>
      <c r="C5704" s="3" t="str">
        <f>IFERROR(VLOOKUP(A5704,'Base Prueba'!A:C,3,),"NO REGISTRA")</f>
        <v>JORGE ANDRES LIEVANO LOPEZ</v>
      </c>
      <c r="D5704" s="4" t="str">
        <f>IFERROR(VLOOKUP(A5704,'Base Prueba'!A:D,4,),"NO REGISTRA")</f>
        <v>DOCENTE DE TIEMPO COMPLETO</v>
      </c>
      <c r="E5704" s="5" t="str">
        <f>IFERROR(VLOOKUP(A5704,'Base Prueba'!A:E,5,),"NO REGISTRA")</f>
        <v>UNIDAD DE IDIOMAS</v>
      </c>
    </row>
    <row r="5705" spans="1:5" ht="15.75" x14ac:dyDescent="0.25">
      <c r="A5705" s="14">
        <v>79872151</v>
      </c>
      <c r="B5705" s="2">
        <v>46134.705039236112</v>
      </c>
      <c r="C5705" s="3" t="str">
        <f>IFERROR(VLOOKUP(A5705,'Base Prueba'!A:C,3,),"NO REGISTRA")</f>
        <v>HECTOR ALIRIO MARTINEZ TORRES</v>
      </c>
      <c r="D5705" s="4" t="str">
        <f>IFERROR(VLOOKUP(A5705,'Base Prueba'!A:D,4,),"NO REGISTRA")</f>
        <v>DOCENTE DE TIEMPO COMPLETO</v>
      </c>
      <c r="E5705" s="5" t="str">
        <f>IFERROR(VLOOKUP(A5705,'Base Prueba'!A:E,5,),"NO REGISTRA")</f>
        <v>CIENCIAS DE LA INFORMACION Y BIBLIOTECOLOGIA</v>
      </c>
    </row>
    <row r="5706" spans="1:5" ht="15.75" x14ac:dyDescent="0.25">
      <c r="A5706" s="14">
        <v>1013098430</v>
      </c>
      <c r="B5706" s="2">
        <v>46134.716176851849</v>
      </c>
      <c r="C5706" s="3" t="str">
        <f>IFERROR(VLOOKUP(A5706,'Base Prueba'!A:C,3,),"NO REGISTRA")</f>
        <v>ANDRES FELIPE LOPEZ ROMERO</v>
      </c>
      <c r="D5706" s="4" t="str">
        <f>IFERROR(VLOOKUP(A5706,'Base Prueba'!A:D,4,),"NO REGISTRA")</f>
        <v>APRENDIZ UNIVERSITARIO</v>
      </c>
      <c r="E5706" s="5" t="str">
        <f>IFERROR(VLOOKUP(A5706,'Base Prueba'!A:E,5,),"NO REGISTRA")</f>
        <v>OFICINA DE MERCADEO</v>
      </c>
    </row>
    <row r="5707" spans="1:5" ht="15.75" x14ac:dyDescent="0.25">
      <c r="A5707" s="14">
        <v>1024505434</v>
      </c>
      <c r="B5707" s="2">
        <v>46134.724138078702</v>
      </c>
      <c r="C5707" s="3" t="str">
        <f>IFERROR(VLOOKUP(A5707,'Base Prueba'!A:C,3,),"NO REGISTRA")</f>
        <v>CRISTIAN ALBERTO MELO TORRES</v>
      </c>
      <c r="D5707" s="4" t="str">
        <f>IFERROR(VLOOKUP(A5707,'Base Prueba'!A:D,4,),"NO REGISTRA")</f>
        <v>COORDINADOR DE INFRAESTRUCTURA</v>
      </c>
      <c r="E5707" s="5" t="str">
        <f>IFERROR(VLOOKUP(A5707,'Base Prueba'!A:E,5,),"NO REGISTRA")</f>
        <v>VICERRECTORIA ADMINISTRATIVA Y FINANCIERA</v>
      </c>
    </row>
    <row r="5708" spans="1:5" ht="15.75" x14ac:dyDescent="0.25">
      <c r="A5708" s="14" t="s">
        <v>3656</v>
      </c>
      <c r="B5708" s="2">
        <v>46134.724142245374</v>
      </c>
      <c r="C5708" s="3" t="str">
        <f>IFERROR(VLOOKUP(A5708,'Base Prueba'!A:C,3,),"NO REGISTRA")</f>
        <v>NO REGISTRA</v>
      </c>
      <c r="D5708" s="4" t="str">
        <f>IFERROR(VLOOKUP(A5708,'Base Prueba'!A:D,4,),"NO REGISTRA")</f>
        <v>NO REGISTRA</v>
      </c>
      <c r="E5708" s="5" t="str">
        <f>IFERROR(VLOOKUP(A5708,'Base Prueba'!A:E,5,),"NO REGISTRA")</f>
        <v>NO REGISTRA</v>
      </c>
    </row>
    <row r="5709" spans="1:5" ht="15.75" x14ac:dyDescent="0.25">
      <c r="A5709" s="14">
        <v>1010184333</v>
      </c>
      <c r="B5709" s="2">
        <v>46134.74464178241</v>
      </c>
      <c r="C5709" s="3" t="str">
        <f>IFERROR(VLOOKUP(A5709,'Base Prueba'!A:C,3,),"NO REGISTRA")</f>
        <v>AKON ANDRES GARZON ALVAREZ</v>
      </c>
      <c r="D5709" s="4" t="str">
        <f>IFERROR(VLOOKUP(A5709,'Base Prueba'!A:D,4,),"NO REGISTRA")</f>
        <v>APRENDIZ UNIVERSITARIO</v>
      </c>
      <c r="E5709" s="5" t="str">
        <f>IFERROR(VLOOKUP(A5709,'Base Prueba'!A:E,5,),"NO REGISTRA")</f>
        <v>SECRETARIA GENERAL</v>
      </c>
    </row>
    <row r="5710" spans="1:5" ht="15.75" x14ac:dyDescent="0.25">
      <c r="A5710" s="14">
        <v>1030567635</v>
      </c>
      <c r="B5710" s="2">
        <v>46134.750819444445</v>
      </c>
      <c r="C5710" s="3" t="str">
        <f>IFERROR(VLOOKUP(A5710,'Base Prueba'!A:C,3,),"NO REGISTRA")</f>
        <v>JEFFERSON ANDRES BARRETO DIAZ</v>
      </c>
      <c r="D5710" s="4" t="str">
        <f>IFERROR(VLOOKUP(A5710,'Base Prueba'!A:D,4,),"NO REGISTRA")</f>
        <v>AUXILIAR DE ARCHIVO</v>
      </c>
      <c r="E5710" s="5" t="str">
        <f>IFERROR(VLOOKUP(A5710,'Base Prueba'!A:E,5,),"NO REGISTRA")</f>
        <v>CENTRO DE GESTION DOCUMENTAL</v>
      </c>
    </row>
    <row r="5711" spans="1:5" ht="15.75" x14ac:dyDescent="0.25">
      <c r="A5711" s="14">
        <v>1193457976</v>
      </c>
      <c r="B5711" s="2">
        <v>46134.751389583333</v>
      </c>
      <c r="C5711" s="3" t="str">
        <f>IFERROR(VLOOKUP(A5711,'Base Prueba'!A:C,3,),"NO REGISTRA")</f>
        <v>SEDENIS RIVAS ASPRILLA</v>
      </c>
      <c r="D5711" s="4" t="str">
        <f>IFERROR(VLOOKUP(A5711,'Base Prueba'!A:D,4,),"NO REGISTRA")</f>
        <v>APRENDIZ UNIVERSITARIO</v>
      </c>
      <c r="E5711" s="5" t="str">
        <f>IFERROR(VLOOKUP(A5711,'Base Prueba'!A:E,5,),"NO REGISTRA")</f>
        <v>DEPARTAMENTO DE GESTION HUMANA</v>
      </c>
    </row>
    <row r="5712" spans="1:5" ht="15.75" x14ac:dyDescent="0.25">
      <c r="A5712" s="14">
        <v>1000324729</v>
      </c>
      <c r="B5712" s="2">
        <v>46134.75167395833</v>
      </c>
      <c r="C5712" s="3" t="str">
        <f>IFERROR(VLOOKUP(A5712,'Base Prueba'!A:C,3,),"NO REGISTRA")</f>
        <v>ANYIE VANESSA TINOCO CAMACHO</v>
      </c>
      <c r="D5712" s="4" t="str">
        <f>IFERROR(VLOOKUP(A5712,'Base Prueba'!A:D,4,),"NO REGISTRA")</f>
        <v>LIDER DE REGISTRO Y CONTROL</v>
      </c>
      <c r="E5712" s="5" t="str">
        <f>IFERROR(VLOOKUP(A5712,'Base Prueba'!A:E,5,),"NO REGISTRA")</f>
        <v>REGISTRO Y CONTROL ACADEMICO</v>
      </c>
    </row>
    <row r="5713" spans="1:5" ht="15.75" x14ac:dyDescent="0.25">
      <c r="A5713" s="14">
        <v>1014266838</v>
      </c>
      <c r="B5713" s="2">
        <v>46134.756468171297</v>
      </c>
      <c r="C5713" s="3" t="str">
        <f>IFERROR(VLOOKUP(A5713,'Base Prueba'!A:C,3,),"NO REGISTRA")</f>
        <v>JENNIFER ASTRID ROMERO HURTADO</v>
      </c>
      <c r="D5713" s="4" t="str">
        <f>IFERROR(VLOOKUP(A5713,'Base Prueba'!A:D,4,),"NO REGISTRA")</f>
        <v>LIDER DE RECAUDO</v>
      </c>
      <c r="E5713" s="5" t="str">
        <f>IFERROR(VLOOKUP(A5713,'Base Prueba'!A:E,5,),"NO REGISTRA")</f>
        <v>AREA FINANCIERA Y CONTABLE</v>
      </c>
    </row>
    <row r="5714" spans="1:5" ht="15.75" x14ac:dyDescent="0.25">
      <c r="A5714" s="14">
        <v>1014308296</v>
      </c>
      <c r="B5714" s="2">
        <v>46134.757588310182</v>
      </c>
      <c r="C5714" s="3" t="str">
        <f>IFERROR(VLOOKUP(A5714,'Base Prueba'!A:C,3,),"NO REGISTRA")</f>
        <v>DARLENE YULIANA MORENO CELEITA</v>
      </c>
      <c r="D5714" s="4" t="str">
        <f>IFERROR(VLOOKUP(A5714,'Base Prueba'!A:D,4,),"NO REGISTRA")</f>
        <v>CAJERO PRINCIPAL</v>
      </c>
      <c r="E5714" s="5" t="str">
        <f>IFERROR(VLOOKUP(A5714,'Base Prueba'!A:E,5,),"NO REGISTRA")</f>
        <v>AREA FINANCIERA Y CONTABLE</v>
      </c>
    </row>
    <row r="5715" spans="1:5" ht="15.75" x14ac:dyDescent="0.25">
      <c r="A5715" s="14">
        <v>1000257136</v>
      </c>
      <c r="B5715" s="2">
        <v>46134.758721527774</v>
      </c>
      <c r="C5715" s="3" t="str">
        <f>IFERROR(VLOOKUP(A5715,'Base Prueba'!A:C,3,),"NO REGISTRA")</f>
        <v>FRANCI VALENTINA CANO PUENTES</v>
      </c>
      <c r="D5715" s="4" t="str">
        <f>IFERROR(VLOOKUP(A5715,'Base Prueba'!A:D,4,),"NO REGISTRA")</f>
        <v>AUXILIAR CONTABLE</v>
      </c>
      <c r="E5715" s="5" t="str">
        <f>IFERROR(VLOOKUP(A5715,'Base Prueba'!A:E,5,),"NO REGISTRA")</f>
        <v>AREA FINANCIERA Y CONTABLE</v>
      </c>
    </row>
    <row r="5716" spans="1:5" ht="15.75" x14ac:dyDescent="0.25">
      <c r="A5716" s="14">
        <v>53932358</v>
      </c>
      <c r="B5716" s="2">
        <v>46134.758936458333</v>
      </c>
      <c r="C5716" s="3" t="str">
        <f>IFERROR(VLOOKUP(A5716,'Base Prueba'!A:C,3,),"NO REGISTRA")</f>
        <v>DIANA MADELEYNE GAONA RODRIGUEZ</v>
      </c>
      <c r="D5716" s="4" t="str">
        <f>IFERROR(VLOOKUP(A5716,'Base Prueba'!A:D,4,),"NO REGISTRA")</f>
        <v>CONTADOR</v>
      </c>
      <c r="E5716" s="5" t="str">
        <f>IFERROR(VLOOKUP(A5716,'Base Prueba'!A:E,5,),"NO REGISTRA")</f>
        <v>AREA FINANCIERA Y CONTABLE</v>
      </c>
    </row>
    <row r="5717" spans="1:5" ht="15.75" x14ac:dyDescent="0.25">
      <c r="A5717" s="14">
        <v>1014977624</v>
      </c>
      <c r="B5717" s="2">
        <v>46134.759039467594</v>
      </c>
      <c r="C5717" s="3" t="str">
        <f>IFERROR(VLOOKUP(A5717,'Base Prueba'!A:C,3,),"NO REGISTRA")</f>
        <v>NICCOLE VALENTINA HERNANDEZ MALAVER</v>
      </c>
      <c r="D5717" s="4" t="str">
        <f>IFERROR(VLOOKUP(A5717,'Base Prueba'!A:D,4,),"NO REGISTRA")</f>
        <v>APRENDIZ UNIVERSITARIO</v>
      </c>
      <c r="E5717" s="5" t="str">
        <f>IFERROR(VLOOKUP(A5717,'Base Prueba'!A:E,5,),"NO REGISTRA")</f>
        <v>AREA FINANCIERA Y CONTABLE</v>
      </c>
    </row>
    <row r="5718" spans="1:5" ht="15.75" x14ac:dyDescent="0.25">
      <c r="A5718" s="14">
        <v>1000457706</v>
      </c>
      <c r="B5718" s="2">
        <v>46134.759703819444</v>
      </c>
      <c r="C5718" s="3" t="str">
        <f>IFERROR(VLOOKUP(A5718,'Base Prueba'!A:C,3,),"NO REGISTRA")</f>
        <v>CRISTIAN DANILO ARROYO SANABRIA</v>
      </c>
      <c r="D5718" s="4" t="str">
        <f>IFERROR(VLOOKUP(A5718,'Base Prueba'!A:D,4,),"NO REGISTRA")</f>
        <v>AUXILIAR CONTABLE</v>
      </c>
      <c r="E5718" s="5" t="str">
        <f>IFERROR(VLOOKUP(A5718,'Base Prueba'!A:E,5,),"NO REGISTRA")</f>
        <v>AREA FINANCIERA Y CONTABLE</v>
      </c>
    </row>
    <row r="5719" spans="1:5" ht="15.75" x14ac:dyDescent="0.25">
      <c r="A5719" s="14">
        <v>1012426741</v>
      </c>
      <c r="B5719" s="2">
        <v>46134.770949189813</v>
      </c>
      <c r="C5719" s="3" t="str">
        <f>IFERROR(VLOOKUP(A5719,'Base Prueba'!A:C,3,),"NO REGISTRA")</f>
        <v>CRISTIAN FABIAN ROJAS SANCENO</v>
      </c>
      <c r="D5719" s="4" t="str">
        <f>IFERROR(VLOOKUP(A5719,'Base Prueba'!A:D,4,),"NO REGISTRA")</f>
        <v>AUXILIAR DE REINTEGROS</v>
      </c>
      <c r="E5719" s="5" t="str">
        <f>IFERROR(VLOOKUP(A5719,'Base Prueba'!A:E,5,),"NO REGISTRA")</f>
        <v>DIRECCION DE BIENESTAR INSTITUCIONAL</v>
      </c>
    </row>
    <row r="5720" spans="1:5" ht="15.75" x14ac:dyDescent="0.25">
      <c r="A5720" s="14">
        <v>1033709056</v>
      </c>
      <c r="B5720" s="2">
        <v>46134.776367245373</v>
      </c>
      <c r="C5720" s="3" t="str">
        <f>IFERROR(VLOOKUP(A5720,'Base Prueba'!A:C,3,),"NO REGISTRA")</f>
        <v>YEIMY ALEXANDRA RODRIGUEZ PALACIO</v>
      </c>
      <c r="D5720" s="4" t="str">
        <f>IFERROR(VLOOKUP(A5720,'Base Prueba'!A:D,4,),"NO REGISTRA")</f>
        <v>PROMOTOR CALL CENTER</v>
      </c>
      <c r="E5720" s="5" t="str">
        <f>IFERROR(VLOOKUP(A5720,'Base Prueba'!A:E,5,),"NO REGISTRA")</f>
        <v>OFICINA DE MERCADEO</v>
      </c>
    </row>
    <row r="5721" spans="1:5" ht="15.75" x14ac:dyDescent="0.25">
      <c r="A5721" s="14">
        <v>1019105003</v>
      </c>
      <c r="B5721" s="2">
        <v>46134.777110416668</v>
      </c>
      <c r="C5721" s="3" t="str">
        <f>IFERROR(VLOOKUP(A5721,'Base Prueba'!A:C,3,),"NO REGISTRA")</f>
        <v>DAISY JULIETH GASPAR MORENO</v>
      </c>
      <c r="D5721" s="4" t="str">
        <f>IFERROR(VLOOKUP(A5721,'Base Prueba'!A:D,4,),"NO REGISTRA")</f>
        <v>PROMOTOR CALL CENTER</v>
      </c>
      <c r="E5721" s="5" t="str">
        <f>IFERROR(VLOOKUP(A5721,'Base Prueba'!A:E,5,),"NO REGISTRA")</f>
        <v>OFICINA DE MERCADEO</v>
      </c>
    </row>
    <row r="5722" spans="1:5" ht="15.75" x14ac:dyDescent="0.25">
      <c r="A5722" s="14">
        <v>52472386</v>
      </c>
      <c r="B5722" s="2">
        <v>46134.777858217596</v>
      </c>
      <c r="C5722" s="3" t="str">
        <f>IFERROR(VLOOKUP(A5722,'Base Prueba'!A:C,3,),"NO REGISTRA")</f>
        <v>ADRIANA MARCELA MORALES PARDO</v>
      </c>
      <c r="D5722" s="4" t="str">
        <f>IFERROR(VLOOKUP(A5722,'Base Prueba'!A:D,4,),"NO REGISTRA")</f>
        <v>PROMOTOR CALL CENTER</v>
      </c>
      <c r="E5722" s="5" t="str">
        <f>IFERROR(VLOOKUP(A5722,'Base Prueba'!A:E,5,),"NO REGISTRA")</f>
        <v>OFICINA DE MERCADEO</v>
      </c>
    </row>
    <row r="5723" spans="1:5" ht="15.75" x14ac:dyDescent="0.25">
      <c r="A5723" s="14">
        <v>52175674</v>
      </c>
      <c r="B5723" s="2">
        <v>46134.778678009257</v>
      </c>
      <c r="C5723" s="3" t="str">
        <f>IFERROR(VLOOKUP(A5723,'Base Prueba'!A:C,3,),"NO REGISTRA")</f>
        <v>LUZ YANETH GOMEZ AREVALO</v>
      </c>
      <c r="D5723" s="4" t="str">
        <f>IFERROR(VLOOKUP(A5723,'Base Prueba'!A:D,4,),"NO REGISTRA")</f>
        <v>COORDINADORA DE ADMISIONES</v>
      </c>
      <c r="E5723" s="5" t="str">
        <f>IFERROR(VLOOKUP(A5723,'Base Prueba'!A:E,5,),"NO REGISTRA")</f>
        <v>OFICINA DE MERCADEO</v>
      </c>
    </row>
    <row r="5724" spans="1:5" ht="15.75" x14ac:dyDescent="0.25">
      <c r="A5724" s="14">
        <v>28798349</v>
      </c>
      <c r="B5724" s="2">
        <v>46134.779183449071</v>
      </c>
      <c r="C5724" s="3" t="str">
        <f>IFERROR(VLOOKUP(A5724,'Base Prueba'!A:C,3,),"NO REGISTRA")</f>
        <v>MARTHA ISABEL TOVAR WILLIAMS</v>
      </c>
      <c r="D5724" s="4" t="str">
        <f>IFERROR(VLOOKUP(A5724,'Base Prueba'!A:D,4,),"NO REGISTRA")</f>
        <v>PROMOTOR CALL CENTER</v>
      </c>
      <c r="E5724" s="5" t="str">
        <f>IFERROR(VLOOKUP(A5724,'Base Prueba'!A:E,5,),"NO REGISTRA")</f>
        <v>OFICINA DE MERCADEO</v>
      </c>
    </row>
    <row r="5725" spans="1:5" ht="15.75" x14ac:dyDescent="0.25">
      <c r="A5725" s="14">
        <v>53089882</v>
      </c>
      <c r="B5725" s="2">
        <v>46134.782087962965</v>
      </c>
      <c r="C5725" s="3" t="str">
        <f>IFERROR(VLOOKUP(A5725,'Base Prueba'!A:C,3,),"NO REGISTRA")</f>
        <v>MARIA JOHANA ESCAMILLA MARTINEZ</v>
      </c>
      <c r="D5725" s="4" t="str">
        <f>IFERROR(VLOOKUP(A5725,'Base Prueba'!A:D,4,),"NO REGISTRA")</f>
        <v>PROMOTOR DE INFORMACIÓN</v>
      </c>
      <c r="E5725" s="5" t="str">
        <f>IFERROR(VLOOKUP(A5725,'Base Prueba'!A:E,5,),"NO REGISTRA")</f>
        <v>OFICINA DE MERCADEO</v>
      </c>
    </row>
    <row r="5726" spans="1:5" ht="15.75" x14ac:dyDescent="0.25">
      <c r="A5726" s="14">
        <v>1018414290</v>
      </c>
      <c r="B5726" s="2">
        <v>46134.782118518517</v>
      </c>
      <c r="C5726" s="3" t="str">
        <f>IFERROR(VLOOKUP(A5726,'Base Prueba'!A:C,3,),"NO REGISTRA")</f>
        <v>AMANDA LISBETH RODRIGUEZ LEON</v>
      </c>
      <c r="D5726" s="4" t="str">
        <f>IFERROR(VLOOKUP(A5726,'Base Prueba'!A:D,4,),"NO REGISTRA")</f>
        <v>PROMOTOR CALL CENTER</v>
      </c>
      <c r="E5726" s="5" t="str">
        <f>IFERROR(VLOOKUP(A5726,'Base Prueba'!A:E,5,),"NO REGISTRA")</f>
        <v>OFICINA DE MERCADEO</v>
      </c>
    </row>
    <row r="5727" spans="1:5" ht="15.75" x14ac:dyDescent="0.25">
      <c r="A5727" s="14">
        <v>1032407386</v>
      </c>
      <c r="B5727" s="2">
        <v>46134.782138425922</v>
      </c>
      <c r="C5727" s="3" t="str">
        <f>IFERROR(VLOOKUP(A5727,'Base Prueba'!A:C,3,),"NO REGISTRA")</f>
        <v>GINA PAOLA BAEZ GALVIS</v>
      </c>
      <c r="D5727" s="4" t="str">
        <f>IFERROR(VLOOKUP(A5727,'Base Prueba'!A:D,4,),"NO REGISTRA")</f>
        <v>PROMOTOR CALL CENTER</v>
      </c>
      <c r="E5727" s="5" t="str">
        <f>IFERROR(VLOOKUP(A5727,'Base Prueba'!A:E,5,),"NO REGISTRA")</f>
        <v>OFICINA DE MERCADEO</v>
      </c>
    </row>
    <row r="5728" spans="1:5" ht="15.75" x14ac:dyDescent="0.25">
      <c r="A5728" s="14">
        <v>1018413529</v>
      </c>
      <c r="B5728" s="2">
        <v>46134.782285763889</v>
      </c>
      <c r="C5728" s="3" t="str">
        <f>IFERROR(VLOOKUP(A5728,'Base Prueba'!A:C,3,),"NO REGISTRA")</f>
        <v>FRANCY STELLA CHARRY MORENO</v>
      </c>
      <c r="D5728" s="4" t="str">
        <f>IFERROR(VLOOKUP(A5728,'Base Prueba'!A:D,4,),"NO REGISTRA")</f>
        <v>PROMOTOR COMERCIAL DEL CEA</v>
      </c>
      <c r="E5728" s="5" t="str">
        <f>IFERROR(VLOOKUP(A5728,'Base Prueba'!A:E,5,),"NO REGISTRA")</f>
        <v>OFICINA DE MERCADEO</v>
      </c>
    </row>
    <row r="5729" spans="1:5" ht="15.75" x14ac:dyDescent="0.25">
      <c r="A5729" s="14">
        <v>80234243</v>
      </c>
      <c r="B5729" s="2">
        <v>46134.789954513886</v>
      </c>
      <c r="C5729" s="3" t="str">
        <f>IFERROR(VLOOKUP(A5729,'Base Prueba'!A:C,3,),"NO REGISTRA")</f>
        <v>ARGENIS MARTINEZ MARTINEZ</v>
      </c>
      <c r="D5729" s="4" t="str">
        <f>IFERROR(VLOOKUP(A5729,'Base Prueba'!A:D,4,),"NO REGISTRA")</f>
        <v>LIDER CALL CENTER</v>
      </c>
      <c r="E5729" s="5" t="str">
        <f>IFERROR(VLOOKUP(A5729,'Base Prueba'!A:E,5,),"NO REGISTRA")</f>
        <v>OFICINA DE MERCADEO</v>
      </c>
    </row>
    <row r="5730" spans="1:5" ht="15.75" x14ac:dyDescent="0.25">
      <c r="A5730" s="14">
        <v>1022996882</v>
      </c>
      <c r="B5730" s="2">
        <v>46134.798660185188</v>
      </c>
      <c r="C5730" s="3" t="str">
        <f>IFERROR(VLOOKUP(A5730,'Base Prueba'!A:C,3,),"NO REGISTRA")</f>
        <v>NANCY BRIGITH ALDANA GUEVARA</v>
      </c>
      <c r="D5730" s="4" t="str">
        <f>IFERROR(VLOOKUP(A5730,'Base Prueba'!A:D,4,),"NO REGISTRA")</f>
        <v>COORDINADORA DE GESTIÓN HUMANA</v>
      </c>
      <c r="E5730" s="5" t="str">
        <f>IFERROR(VLOOKUP(A5730,'Base Prueba'!A:E,5,),"NO REGISTRA")</f>
        <v>DEPARTAMENTO DE GESTION HUMANA</v>
      </c>
    </row>
    <row r="5731" spans="1:5" ht="15.75" x14ac:dyDescent="0.25">
      <c r="A5731" s="14">
        <v>52764929</v>
      </c>
      <c r="B5731" s="2">
        <v>46134.800380208333</v>
      </c>
      <c r="C5731" s="3" t="str">
        <f>IFERROR(VLOOKUP(A5731,'Base Prueba'!A:C,3,),"NO REGISTRA")</f>
        <v>GUERLY YOHANA DURAN RIVERA</v>
      </c>
      <c r="D5731" s="4" t="str">
        <f>IFERROR(VLOOKUP(A5731,'Base Prueba'!A:D,4,),"NO REGISTRA")</f>
        <v>LIDER DE VINCULACION COLEGIOS</v>
      </c>
      <c r="E5731" s="5" t="str">
        <f>IFERROR(VLOOKUP(A5731,'Base Prueba'!A:E,5,),"NO REGISTRA")</f>
        <v>OFICINA DE MERCADEO</v>
      </c>
    </row>
    <row r="5732" spans="1:5" ht="15.75" x14ac:dyDescent="0.25">
      <c r="A5732" s="14">
        <v>1014196857</v>
      </c>
      <c r="B5732" s="2">
        <v>46134.808603240737</v>
      </c>
      <c r="C5732" s="3" t="str">
        <f>IFERROR(VLOOKUP(A5732,'Base Prueba'!A:C,3,),"NO REGISTRA")</f>
        <v>CARLOS ANDRES JIMENEZ PARDO</v>
      </c>
      <c r="D5732" s="4" t="str">
        <f>IFERROR(VLOOKUP(A5732,'Base Prueba'!A:D,4,),"NO REGISTRA")</f>
        <v>COORDINADOR DE MARKETING DIGITAL</v>
      </c>
      <c r="E5732" s="5" t="str">
        <f>IFERROR(VLOOKUP(A5732,'Base Prueba'!A:E,5,),"NO REGISTRA")</f>
        <v>OFICINA DE MERCADEO</v>
      </c>
    </row>
    <row r="5733" spans="1:5" ht="15.75" x14ac:dyDescent="0.25">
      <c r="A5733" s="14">
        <v>1024512067</v>
      </c>
      <c r="B5733" s="2">
        <v>46135.311868750003</v>
      </c>
      <c r="C5733" s="3" t="str">
        <f>IFERROR(VLOOKUP(A5733,'Base Prueba'!A:C,3,),"NO REGISTRA")</f>
        <v>CINDY GIOVANA SALGAR GOMEZ</v>
      </c>
      <c r="D5733" s="4" t="str">
        <f>IFERROR(VLOOKUP(A5733,'Base Prueba'!A:D,4,),"NO REGISTRA")</f>
        <v>COORDINADOR DEL SISTEMA INTEGRADO DE GESTION INSTITUCIONAL - SIGI</v>
      </c>
      <c r="E5733" s="5" t="str">
        <f>IFERROR(VLOOKUP(A5733,'Base Prueba'!A:E,5,),"NO REGISTRA")</f>
        <v>OFICINA DE PLANEACION Y GESTION DE LA CALIDAD</v>
      </c>
    </row>
    <row r="5734" spans="1:5" ht="15.75" x14ac:dyDescent="0.25">
      <c r="A5734" s="14">
        <v>1000324729</v>
      </c>
      <c r="B5734" s="2">
        <v>46135.315104976849</v>
      </c>
      <c r="C5734" s="3" t="str">
        <f>IFERROR(VLOOKUP(A5734,'Base Prueba'!A:C,3,),"NO REGISTRA")</f>
        <v>ANYIE VANESSA TINOCO CAMACHO</v>
      </c>
      <c r="D5734" s="4" t="str">
        <f>IFERROR(VLOOKUP(A5734,'Base Prueba'!A:D,4,),"NO REGISTRA")</f>
        <v>LIDER DE REGISTRO Y CONTROL</v>
      </c>
      <c r="E5734" s="5" t="str">
        <f>IFERROR(VLOOKUP(A5734,'Base Prueba'!A:E,5,),"NO REGISTRA")</f>
        <v>REGISTRO Y CONTROL ACADEMICO</v>
      </c>
    </row>
    <row r="5735" spans="1:5" ht="15.75" x14ac:dyDescent="0.25">
      <c r="A5735" s="14">
        <v>1013616244</v>
      </c>
      <c r="B5735" s="2">
        <v>46135.316580555555</v>
      </c>
      <c r="C5735" s="3" t="str">
        <f>IFERROR(VLOOKUP(A5735,'Base Prueba'!A:C,3,),"NO REGISTRA")</f>
        <v>DIANA CAROLINA MARIN BETANCOURT</v>
      </c>
      <c r="D5735" s="4" t="str">
        <f>IFERROR(VLOOKUP(A5735,'Base Prueba'!A:D,4,),"NO REGISTRA")</f>
        <v>AUXILIAR ADMINISTRATIVO</v>
      </c>
      <c r="E5735" s="5" t="str">
        <f>IFERROR(VLOOKUP(A5735,'Base Prueba'!A:E,5,),"NO REGISTRA")</f>
        <v>REGISTRO Y CONTROL ACADEMICO</v>
      </c>
    </row>
    <row r="5736" spans="1:5" ht="15.75" x14ac:dyDescent="0.25">
      <c r="A5736" s="14">
        <v>1087121273</v>
      </c>
      <c r="B5736" s="2">
        <v>46135.321065162039</v>
      </c>
      <c r="C5736" s="3" t="str">
        <f>IFERROR(VLOOKUP(A5736,'Base Prueba'!A:C,3,),"NO REGISTRA")</f>
        <v>MAYRA ALEJANDRA CASTILLO ARBOLEDA</v>
      </c>
      <c r="D5736" s="4" t="str">
        <f>IFERROR(VLOOKUP(A5736,'Base Prueba'!A:D,4,),"NO REGISTRA")</f>
        <v>APOYO INTEGRAL DE MERCADEO</v>
      </c>
      <c r="E5736" s="5" t="str">
        <f>IFERROR(VLOOKUP(A5736,'Base Prueba'!A:E,5,),"NO REGISTRA")</f>
        <v>CENTRO DE GESTION DOCUMENTAL</v>
      </c>
    </row>
    <row r="5737" spans="1:5" ht="15.75" x14ac:dyDescent="0.25">
      <c r="A5737" s="14">
        <v>1000593372</v>
      </c>
      <c r="B5737" s="2">
        <v>46135.327076388887</v>
      </c>
      <c r="C5737" s="3" t="str">
        <f>IFERROR(VLOOKUP(A5737,'Base Prueba'!A:C,3,),"NO REGISTRA")</f>
        <v>LAURA SOFIA CHAPARRO LOPEZ</v>
      </c>
      <c r="D5737" s="4" t="str">
        <f>IFERROR(VLOOKUP(A5737,'Base Prueba'!A:D,4,),"NO REGISTRA")</f>
        <v>AUXILIAR JURIDICO</v>
      </c>
      <c r="E5737" s="5" t="str">
        <f>IFERROR(VLOOKUP(A5737,'Base Prueba'!A:E,5,),"NO REGISTRA")</f>
        <v>SECRETARIA GENERAL</v>
      </c>
    </row>
    <row r="5738" spans="1:5" ht="15.75" x14ac:dyDescent="0.25">
      <c r="A5738" s="14">
        <v>1013098430</v>
      </c>
      <c r="B5738" s="2">
        <v>46135.33168599537</v>
      </c>
      <c r="C5738" s="3" t="str">
        <f>IFERROR(VLOOKUP(A5738,'Base Prueba'!A:C,3,),"NO REGISTRA")</f>
        <v>ANDRES FELIPE LOPEZ ROMERO</v>
      </c>
      <c r="D5738" s="4" t="str">
        <f>IFERROR(VLOOKUP(A5738,'Base Prueba'!A:D,4,),"NO REGISTRA")</f>
        <v>APRENDIZ UNIVERSITARIO</v>
      </c>
      <c r="E5738" s="5" t="str">
        <f>IFERROR(VLOOKUP(A5738,'Base Prueba'!A:E,5,),"NO REGISTRA")</f>
        <v>OFICINA DE MERCADEO</v>
      </c>
    </row>
    <row r="5739" spans="1:5" ht="15.75" x14ac:dyDescent="0.25">
      <c r="A5739" s="14">
        <v>80191732</v>
      </c>
      <c r="B5739" s="2">
        <v>46135.332817476854</v>
      </c>
      <c r="C5739" s="3" t="str">
        <f>IFERROR(VLOOKUP(A5739,'Base Prueba'!A:C,3,),"NO REGISTRA")</f>
        <v>DANIEL MAURICIO ZAMBRANO TUNJANO</v>
      </c>
      <c r="D5739" s="4" t="str">
        <f>IFERROR(VLOOKUP(A5739,'Base Prueba'!A:D,4,),"NO REGISTRA")</f>
        <v>COORDINADOR DE DISEÑO E IMAGEN INSTITUCIONAL</v>
      </c>
      <c r="E5739" s="5" t="str">
        <f>IFERROR(VLOOKUP(A5739,'Base Prueba'!A:E,5,),"NO REGISTRA")</f>
        <v>OFICINA DE MERCADEO</v>
      </c>
    </row>
    <row r="5740" spans="1:5" ht="15.75" x14ac:dyDescent="0.25">
      <c r="A5740" s="14">
        <v>1033820146</v>
      </c>
      <c r="B5740" s="2">
        <v>46135.33327048611</v>
      </c>
      <c r="C5740" s="3" t="str">
        <f>IFERROR(VLOOKUP(A5740,'Base Prueba'!A:C,3,),"NO REGISTRA")</f>
        <v>JULIETH ALEXANDRA BUSTAMANTE RUIZ</v>
      </c>
      <c r="D5740" s="4" t="str">
        <f>IFERROR(VLOOKUP(A5740,'Base Prueba'!A:D,4,),"NO REGISTRA")</f>
        <v>AUXILIAR ADMINISTRATIVO</v>
      </c>
      <c r="E5740" s="5" t="str">
        <f>IFERROR(VLOOKUP(A5740,'Base Prueba'!A:E,5,),"NO REGISTRA")</f>
        <v>REGISTRO Y CONTROL ACADEMICO</v>
      </c>
    </row>
    <row r="5741" spans="1:5" ht="15.75" x14ac:dyDescent="0.25">
      <c r="A5741" s="14">
        <v>1049644802</v>
      </c>
      <c r="B5741" s="2">
        <v>46135.333576504629</v>
      </c>
      <c r="C5741" s="3" t="str">
        <f>IFERROR(VLOOKUP(A5741,'Base Prueba'!A:C,3,),"NO REGISTRA")</f>
        <v>DANIELA ALEXANDRA CIPAMOCHA BOSIGA</v>
      </c>
      <c r="D5741" s="4" t="str">
        <f>IFERROR(VLOOKUP(A5741,'Base Prueba'!A:D,4,),"NO REGISTRA")</f>
        <v>LIDER DE DATOS Y SERVICIOS</v>
      </c>
      <c r="E5741" s="5" t="str">
        <f>IFERROR(VLOOKUP(A5741,'Base Prueba'!A:E,5,),"NO REGISTRA")</f>
        <v>OFICINA DE PLANEACION Y GESTION DE LA CALIDAD</v>
      </c>
    </row>
    <row r="5742" spans="1:5" ht="15.75" x14ac:dyDescent="0.25">
      <c r="A5742" s="14">
        <v>1000257136</v>
      </c>
      <c r="B5742" s="2">
        <v>46135.334086689814</v>
      </c>
      <c r="C5742" s="3" t="str">
        <f>IFERROR(VLOOKUP(A5742,'Base Prueba'!A:C,3,),"NO REGISTRA")</f>
        <v>FRANCI VALENTINA CANO PUENTES</v>
      </c>
      <c r="D5742" s="4" t="str">
        <f>IFERROR(VLOOKUP(A5742,'Base Prueba'!A:D,4,),"NO REGISTRA")</f>
        <v>AUXILIAR CONTABLE</v>
      </c>
      <c r="E5742" s="5" t="str">
        <f>IFERROR(VLOOKUP(A5742,'Base Prueba'!A:E,5,),"NO REGISTRA")</f>
        <v>AREA FINANCIERA Y CONTABLE</v>
      </c>
    </row>
    <row r="5743" spans="1:5" ht="15.75" x14ac:dyDescent="0.25">
      <c r="A5743" s="14">
        <v>1014196857</v>
      </c>
      <c r="B5743" s="2">
        <v>46135.338676736108</v>
      </c>
      <c r="C5743" s="3" t="str">
        <f>IFERROR(VLOOKUP(A5743,'Base Prueba'!A:C,3,),"NO REGISTRA")</f>
        <v>CARLOS ANDRES JIMENEZ PARDO</v>
      </c>
      <c r="D5743" s="4" t="str">
        <f>IFERROR(VLOOKUP(A5743,'Base Prueba'!A:D,4,),"NO REGISTRA")</f>
        <v>COORDINADOR DE MARKETING DIGITAL</v>
      </c>
      <c r="E5743" s="5" t="str">
        <f>IFERROR(VLOOKUP(A5743,'Base Prueba'!A:E,5,),"NO REGISTRA")</f>
        <v>OFICINA DE MERCADEO</v>
      </c>
    </row>
    <row r="5744" spans="1:5" ht="15.75" x14ac:dyDescent="0.25">
      <c r="A5744" s="14">
        <v>1014977624</v>
      </c>
      <c r="B5744" s="2">
        <v>46135.341522685187</v>
      </c>
      <c r="C5744" s="3" t="str">
        <f>IFERROR(VLOOKUP(A5744,'Base Prueba'!A:C,3,),"NO REGISTRA")</f>
        <v>NICCOLE VALENTINA HERNANDEZ MALAVER</v>
      </c>
      <c r="D5744" s="4" t="str">
        <f>IFERROR(VLOOKUP(A5744,'Base Prueba'!A:D,4,),"NO REGISTRA")</f>
        <v>APRENDIZ UNIVERSITARIO</v>
      </c>
      <c r="E5744" s="5" t="str">
        <f>IFERROR(VLOOKUP(A5744,'Base Prueba'!A:E,5,),"NO REGISTRA")</f>
        <v>AREA FINANCIERA Y CONTABLE</v>
      </c>
    </row>
    <row r="5745" spans="1:5" ht="15.75" x14ac:dyDescent="0.25">
      <c r="A5745" s="14">
        <v>1022996882</v>
      </c>
      <c r="B5745" s="2">
        <v>46135.342284143517</v>
      </c>
      <c r="C5745" s="3" t="str">
        <f>IFERROR(VLOOKUP(A5745,'Base Prueba'!A:C,3,),"NO REGISTRA")</f>
        <v>NANCY BRIGITH ALDANA GUEVARA</v>
      </c>
      <c r="D5745" s="4" t="str">
        <f>IFERROR(VLOOKUP(A5745,'Base Prueba'!A:D,4,),"NO REGISTRA")</f>
        <v>COORDINADORA DE GESTIÓN HUMANA</v>
      </c>
      <c r="E5745" s="5" t="str">
        <f>IFERROR(VLOOKUP(A5745,'Base Prueba'!A:E,5,),"NO REGISTRA")</f>
        <v>DEPARTAMENTO DE GESTION HUMANA</v>
      </c>
    </row>
    <row r="5746" spans="1:5" ht="15.75" x14ac:dyDescent="0.25">
      <c r="A5746" s="14">
        <v>1010184333</v>
      </c>
      <c r="B5746" s="2">
        <v>46135.343158217591</v>
      </c>
      <c r="C5746" s="3" t="str">
        <f>IFERROR(VLOOKUP(A5746,'Base Prueba'!A:C,3,),"NO REGISTRA")</f>
        <v>AKON ANDRES GARZON ALVAREZ</v>
      </c>
      <c r="D5746" s="4" t="str">
        <f>IFERROR(VLOOKUP(A5746,'Base Prueba'!A:D,4,),"NO REGISTRA")</f>
        <v>APRENDIZ UNIVERSITARIO</v>
      </c>
      <c r="E5746" s="5" t="str">
        <f>IFERROR(VLOOKUP(A5746,'Base Prueba'!A:E,5,),"NO REGISTRA")</f>
        <v>SECRETARIA GENERAL</v>
      </c>
    </row>
    <row r="5747" spans="1:5" ht="15.75" x14ac:dyDescent="0.25">
      <c r="A5747" s="14">
        <v>1023883232</v>
      </c>
      <c r="B5747" s="2">
        <v>46135.34362511574</v>
      </c>
      <c r="C5747" s="3" t="str">
        <f>IFERROR(VLOOKUP(A5747,'Base Prueba'!A:C,3,),"NO REGISTRA")</f>
        <v>MONICA ANDREA ACERO URBANO</v>
      </c>
      <c r="D5747" s="4" t="str">
        <f>IFERROR(VLOOKUP(A5747,'Base Prueba'!A:D,4,),"NO REGISTRA")</f>
        <v>APOYO INTEGRAL A GESTION HUMANA</v>
      </c>
      <c r="E5747" s="5" t="str">
        <f>IFERROR(VLOOKUP(A5747,'Base Prueba'!A:E,5,),"NO REGISTRA")</f>
        <v>DEPARTAMENTO DE GESTION HUMANA</v>
      </c>
    </row>
    <row r="5748" spans="1:5" ht="15.75" x14ac:dyDescent="0.25">
      <c r="A5748" s="14">
        <v>1193457976</v>
      </c>
      <c r="B5748" s="2">
        <v>46135.343746527775</v>
      </c>
      <c r="C5748" s="3" t="str">
        <f>IFERROR(VLOOKUP(A5748,'Base Prueba'!A:C,3,),"NO REGISTRA")</f>
        <v>SEDENIS RIVAS ASPRILLA</v>
      </c>
      <c r="D5748" s="4" t="str">
        <f>IFERROR(VLOOKUP(A5748,'Base Prueba'!A:D,4,),"NO REGISTRA")</f>
        <v>APRENDIZ UNIVERSITARIO</v>
      </c>
      <c r="E5748" s="5" t="str">
        <f>IFERROR(VLOOKUP(A5748,'Base Prueba'!A:E,5,),"NO REGISTRA")</f>
        <v>DEPARTAMENTO DE GESTION HUMANA</v>
      </c>
    </row>
    <row r="5749" spans="1:5" ht="15.75" x14ac:dyDescent="0.25">
      <c r="A5749" s="14">
        <v>53932358</v>
      </c>
      <c r="B5749" s="2">
        <v>46135.348600231482</v>
      </c>
      <c r="C5749" s="3" t="str">
        <f>IFERROR(VLOOKUP(A5749,'Base Prueba'!A:C,3,),"NO REGISTRA")</f>
        <v>DIANA MADELEYNE GAONA RODRIGUEZ</v>
      </c>
      <c r="D5749" s="4" t="str">
        <f>IFERROR(VLOOKUP(A5749,'Base Prueba'!A:D,4,),"NO REGISTRA")</f>
        <v>CONTADOR</v>
      </c>
      <c r="E5749" s="5" t="str">
        <f>IFERROR(VLOOKUP(A5749,'Base Prueba'!A:E,5,),"NO REGISTRA")</f>
        <v>AREA FINANCIERA Y CONTABLE</v>
      </c>
    </row>
    <row r="5750" spans="1:5" ht="15.75" x14ac:dyDescent="0.25">
      <c r="A5750" s="14">
        <v>1000457706</v>
      </c>
      <c r="B5750" s="2">
        <v>46135.349188657405</v>
      </c>
      <c r="C5750" s="3" t="str">
        <f>IFERROR(VLOOKUP(A5750,'Base Prueba'!A:C,3,),"NO REGISTRA")</f>
        <v>CRISTIAN DANILO ARROYO SANABRIA</v>
      </c>
      <c r="D5750" s="4" t="str">
        <f>IFERROR(VLOOKUP(A5750,'Base Prueba'!A:D,4,),"NO REGISTRA")</f>
        <v>AUXILIAR CONTABLE</v>
      </c>
      <c r="E5750" s="5" t="str">
        <f>IFERROR(VLOOKUP(A5750,'Base Prueba'!A:E,5,),"NO REGISTRA")</f>
        <v>AREA FINANCIERA Y CONTABLE</v>
      </c>
    </row>
    <row r="5751" spans="1:5" ht="15.75" x14ac:dyDescent="0.25">
      <c r="A5751" s="14">
        <v>1000604979</v>
      </c>
      <c r="B5751" s="2">
        <v>46135.357831828704</v>
      </c>
      <c r="C5751" s="3" t="str">
        <f>IFERROR(VLOOKUP(A5751,'Base Prueba'!A:C,3,),"NO REGISTRA")</f>
        <v>JULIETH TATIANA PARDO PINTO</v>
      </c>
      <c r="D5751" s="4" t="str">
        <f>IFERROR(VLOOKUP(A5751,'Base Prueba'!A:D,4,),"NO REGISTRA")</f>
        <v>AUXILIAR JURIDICO</v>
      </c>
      <c r="E5751" s="5" t="str">
        <f>IFERROR(VLOOKUP(A5751,'Base Prueba'!A:E,5,),"NO REGISTRA")</f>
        <v>SECRETARIA GENERAL</v>
      </c>
    </row>
    <row r="5752" spans="1:5" ht="15.75" x14ac:dyDescent="0.25">
      <c r="A5752" s="14">
        <v>1014308296</v>
      </c>
      <c r="B5752" s="2">
        <v>46135.358636689816</v>
      </c>
      <c r="C5752" s="3" t="str">
        <f>IFERROR(VLOOKUP(A5752,'Base Prueba'!A:C,3,),"NO REGISTRA")</f>
        <v>DARLENE YULIANA MORENO CELEITA</v>
      </c>
      <c r="D5752" s="4" t="str">
        <f>IFERROR(VLOOKUP(A5752,'Base Prueba'!A:D,4,),"NO REGISTRA")</f>
        <v>CAJERO PRINCIPAL</v>
      </c>
      <c r="E5752" s="5" t="str">
        <f>IFERROR(VLOOKUP(A5752,'Base Prueba'!A:E,5,),"NO REGISTRA")</f>
        <v>AREA FINANCIERA Y CONTABLE</v>
      </c>
    </row>
    <row r="5753" spans="1:5" ht="15.75" x14ac:dyDescent="0.25">
      <c r="A5753" s="14">
        <v>1033709056</v>
      </c>
      <c r="B5753" s="2">
        <v>46135.35887650463</v>
      </c>
      <c r="C5753" s="3" t="str">
        <f>IFERROR(VLOOKUP(A5753,'Base Prueba'!A:C,3,),"NO REGISTRA")</f>
        <v>YEIMY ALEXANDRA RODRIGUEZ PALACIO</v>
      </c>
      <c r="D5753" s="4" t="str">
        <f>IFERROR(VLOOKUP(A5753,'Base Prueba'!A:D,4,),"NO REGISTRA")</f>
        <v>PROMOTOR CALL CENTER</v>
      </c>
      <c r="E5753" s="5" t="str">
        <f>IFERROR(VLOOKUP(A5753,'Base Prueba'!A:E,5,),"NO REGISTRA")</f>
        <v>OFICINA DE MERCADEO</v>
      </c>
    </row>
    <row r="5754" spans="1:5" ht="15.75" x14ac:dyDescent="0.25">
      <c r="A5754" s="14">
        <v>1013101788</v>
      </c>
      <c r="B5754" s="2">
        <v>46135.363365509256</v>
      </c>
      <c r="C5754" s="3" t="str">
        <f>IFERROR(VLOOKUP(A5754,'Base Prueba'!A:C,3,),"NO REGISTRA")</f>
        <v>SARA TANGARIFE MONTOYA</v>
      </c>
      <c r="D5754" s="4" t="str">
        <f>IFERROR(VLOOKUP(A5754,'Base Prueba'!A:D,4,),"NO REGISTRA")</f>
        <v>APRENDIZ UNIVERSITARIO</v>
      </c>
      <c r="E5754" s="5" t="str">
        <f>IFERROR(VLOOKUP(A5754,'Base Prueba'!A:E,5,),"NO REGISTRA")</f>
        <v>OFICINA DE MERCADEO</v>
      </c>
    </row>
    <row r="5755" spans="1:5" ht="15.75" x14ac:dyDescent="0.25">
      <c r="A5755" s="14">
        <v>1000046533</v>
      </c>
      <c r="B5755" s="2">
        <v>46135.368122916669</v>
      </c>
      <c r="C5755" s="3" t="str">
        <f>IFERROR(VLOOKUP(A5755,'Base Prueba'!A:C,3,),"NO REGISTRA")</f>
        <v>ERIKA JULIETH VALDERRAMA SANCHEZ</v>
      </c>
      <c r="D5755" s="4" t="str">
        <f>IFERROR(VLOOKUP(A5755,'Base Prueba'!A:D,4,),"NO REGISTRA")</f>
        <v>PROMOTOR CALL CENTER</v>
      </c>
      <c r="E5755" s="5" t="str">
        <f>IFERROR(VLOOKUP(A5755,'Base Prueba'!A:E,5,),"NO REGISTRA")</f>
        <v>OFICINA DE MERCADEO</v>
      </c>
    </row>
    <row r="5756" spans="1:5" ht="15.75" x14ac:dyDescent="0.25">
      <c r="A5756" s="14">
        <v>1032407386</v>
      </c>
      <c r="B5756" s="2">
        <v>46135.368228703701</v>
      </c>
      <c r="C5756" s="3" t="str">
        <f>IFERROR(VLOOKUP(A5756,'Base Prueba'!A:C,3,),"NO REGISTRA")</f>
        <v>GINA PAOLA BAEZ GALVIS</v>
      </c>
      <c r="D5756" s="4" t="str">
        <f>IFERROR(VLOOKUP(A5756,'Base Prueba'!A:D,4,),"NO REGISTRA")</f>
        <v>PROMOTOR CALL CENTER</v>
      </c>
      <c r="E5756" s="5" t="str">
        <f>IFERROR(VLOOKUP(A5756,'Base Prueba'!A:E,5,),"NO REGISTRA")</f>
        <v>OFICINA DE MERCADEO</v>
      </c>
    </row>
    <row r="5757" spans="1:5" ht="15.75" x14ac:dyDescent="0.25">
      <c r="A5757" s="14">
        <v>1023961952</v>
      </c>
      <c r="B5757" s="2">
        <v>46135.368298032408</v>
      </c>
      <c r="C5757" s="3" t="str">
        <f>IFERROR(VLOOKUP(A5757,'Base Prueba'!A:C,3,),"NO REGISTRA")</f>
        <v>ALEJANDRO PINZON MERCHAN</v>
      </c>
      <c r="D5757" s="4" t="str">
        <f>IFERROR(VLOOKUP(A5757,'Base Prueba'!A:D,4,),"NO REGISTRA")</f>
        <v>PROMOTOR CALL CENTER</v>
      </c>
      <c r="E5757" s="5" t="str">
        <f>IFERROR(VLOOKUP(A5757,'Base Prueba'!A:E,5,),"NO REGISTRA")</f>
        <v>OFICINA DE MERCADEO</v>
      </c>
    </row>
    <row r="5758" spans="1:5" ht="15.75" x14ac:dyDescent="0.25">
      <c r="A5758" s="14">
        <v>28798349</v>
      </c>
      <c r="B5758" s="2">
        <v>46135.36944722222</v>
      </c>
      <c r="C5758" s="3" t="str">
        <f>IFERROR(VLOOKUP(A5758,'Base Prueba'!A:C,3,),"NO REGISTRA")</f>
        <v>MARTHA ISABEL TOVAR WILLIAMS</v>
      </c>
      <c r="D5758" s="4" t="str">
        <f>IFERROR(VLOOKUP(A5758,'Base Prueba'!A:D,4,),"NO REGISTRA")</f>
        <v>PROMOTOR CALL CENTER</v>
      </c>
      <c r="E5758" s="5" t="str">
        <f>IFERROR(VLOOKUP(A5758,'Base Prueba'!A:E,5,),"NO REGISTRA")</f>
        <v>OFICINA DE MERCADEO</v>
      </c>
    </row>
    <row r="5759" spans="1:5" ht="15.75" x14ac:dyDescent="0.25">
      <c r="A5759" s="14">
        <v>52472386</v>
      </c>
      <c r="B5759" s="2">
        <v>46135.369584143518</v>
      </c>
      <c r="C5759" s="3" t="str">
        <f>IFERROR(VLOOKUP(A5759,'Base Prueba'!A:C,3,),"NO REGISTRA")</f>
        <v>ADRIANA MARCELA MORALES PARDO</v>
      </c>
      <c r="D5759" s="4" t="str">
        <f>IFERROR(VLOOKUP(A5759,'Base Prueba'!A:D,4,),"NO REGISTRA")</f>
        <v>PROMOTOR CALL CENTER</v>
      </c>
      <c r="E5759" s="5" t="str">
        <f>IFERROR(VLOOKUP(A5759,'Base Prueba'!A:E,5,),"NO REGISTRA")</f>
        <v>OFICINA DE MERCADEO</v>
      </c>
    </row>
    <row r="5760" spans="1:5" ht="15.75" x14ac:dyDescent="0.25">
      <c r="A5760" s="14">
        <v>1018413529</v>
      </c>
      <c r="B5760" s="2">
        <v>46135.37060613426</v>
      </c>
      <c r="C5760" s="3" t="str">
        <f>IFERROR(VLOOKUP(A5760,'Base Prueba'!A:C,3,),"NO REGISTRA")</f>
        <v>FRANCY STELLA CHARRY MORENO</v>
      </c>
      <c r="D5760" s="4" t="str">
        <f>IFERROR(VLOOKUP(A5760,'Base Prueba'!A:D,4,),"NO REGISTRA")</f>
        <v>PROMOTOR COMERCIAL DEL CEA</v>
      </c>
      <c r="E5760" s="5" t="str">
        <f>IFERROR(VLOOKUP(A5760,'Base Prueba'!A:E,5,),"NO REGISTRA")</f>
        <v>OFICINA DE MERCADEO</v>
      </c>
    </row>
    <row r="5761" spans="1:5" ht="15.75" x14ac:dyDescent="0.25">
      <c r="A5761" s="14">
        <v>80234243</v>
      </c>
      <c r="B5761" s="2">
        <v>46135.37261875</v>
      </c>
      <c r="C5761" s="3" t="str">
        <f>IFERROR(VLOOKUP(A5761,'Base Prueba'!A:C,3,),"NO REGISTRA")</f>
        <v>ARGENIS MARTINEZ MARTINEZ</v>
      </c>
      <c r="D5761" s="4" t="str">
        <f>IFERROR(VLOOKUP(A5761,'Base Prueba'!A:D,4,),"NO REGISTRA")</f>
        <v>LIDER CALL CENTER</v>
      </c>
      <c r="E5761" s="5" t="str">
        <f>IFERROR(VLOOKUP(A5761,'Base Prueba'!A:E,5,),"NO REGISTRA")</f>
        <v>OFICINA DE MERCADEO</v>
      </c>
    </row>
    <row r="5762" spans="1:5" ht="15.75" x14ac:dyDescent="0.25">
      <c r="A5762" s="14">
        <v>53089882</v>
      </c>
      <c r="B5762" s="2">
        <v>46135.372940624999</v>
      </c>
      <c r="C5762" s="3" t="str">
        <f>IFERROR(VLOOKUP(A5762,'Base Prueba'!A:C,3,),"NO REGISTRA")</f>
        <v>MARIA JOHANA ESCAMILLA MARTINEZ</v>
      </c>
      <c r="D5762" s="4" t="str">
        <f>IFERROR(VLOOKUP(A5762,'Base Prueba'!A:D,4,),"NO REGISTRA")</f>
        <v>PROMOTOR DE INFORMACIÓN</v>
      </c>
      <c r="E5762" s="5" t="str">
        <f>IFERROR(VLOOKUP(A5762,'Base Prueba'!A:E,5,),"NO REGISTRA")</f>
        <v>OFICINA DE MERCADEO</v>
      </c>
    </row>
    <row r="5763" spans="1:5" ht="15.75" x14ac:dyDescent="0.25">
      <c r="A5763" s="14">
        <v>52764929</v>
      </c>
      <c r="B5763" s="2">
        <v>46135.374401504632</v>
      </c>
      <c r="C5763" s="3" t="str">
        <f>IFERROR(VLOOKUP(A5763,'Base Prueba'!A:C,3,),"NO REGISTRA")</f>
        <v>GUERLY YOHANA DURAN RIVERA</v>
      </c>
      <c r="D5763" s="4" t="str">
        <f>IFERROR(VLOOKUP(A5763,'Base Prueba'!A:D,4,),"NO REGISTRA")</f>
        <v>LIDER DE VINCULACION COLEGIOS</v>
      </c>
      <c r="E5763" s="5" t="str">
        <f>IFERROR(VLOOKUP(A5763,'Base Prueba'!A:E,5,),"NO REGISTRA")</f>
        <v>OFICINA DE MERCADEO</v>
      </c>
    </row>
    <row r="5764" spans="1:5" ht="15.75" x14ac:dyDescent="0.25">
      <c r="A5764" s="14">
        <v>52175674</v>
      </c>
      <c r="B5764" s="2">
        <v>46135.374446759262</v>
      </c>
      <c r="C5764" s="3" t="str">
        <f>IFERROR(VLOOKUP(A5764,'Base Prueba'!A:C,3,),"NO REGISTRA")</f>
        <v>LUZ YANETH GOMEZ AREVALO</v>
      </c>
      <c r="D5764" s="4" t="str">
        <f>IFERROR(VLOOKUP(A5764,'Base Prueba'!A:D,4,),"NO REGISTRA")</f>
        <v>COORDINADORA DE ADMISIONES</v>
      </c>
      <c r="E5764" s="5" t="str">
        <f>IFERROR(VLOOKUP(A5764,'Base Prueba'!A:E,5,),"NO REGISTRA")</f>
        <v>OFICINA DE MERCADEO</v>
      </c>
    </row>
    <row r="5765" spans="1:5" ht="15.75" x14ac:dyDescent="0.25">
      <c r="A5765" s="14">
        <v>1019105003</v>
      </c>
      <c r="B5765" s="2">
        <v>46135.375242592592</v>
      </c>
      <c r="C5765" s="3" t="str">
        <f>IFERROR(VLOOKUP(A5765,'Base Prueba'!A:C,3,),"NO REGISTRA")</f>
        <v>DAISY JULIETH GASPAR MORENO</v>
      </c>
      <c r="D5765" s="4" t="str">
        <f>IFERROR(VLOOKUP(A5765,'Base Prueba'!A:D,4,),"NO REGISTRA")</f>
        <v>PROMOTOR CALL CENTER</v>
      </c>
      <c r="E5765" s="5" t="str">
        <f>IFERROR(VLOOKUP(A5765,'Base Prueba'!A:E,5,),"NO REGISTRA")</f>
        <v>OFICINA DE MERCADEO</v>
      </c>
    </row>
    <row r="5766" spans="1:5" ht="15.75" x14ac:dyDescent="0.25">
      <c r="A5766" s="14">
        <v>1018414290</v>
      </c>
      <c r="B5766" s="2">
        <v>46135.376139583335</v>
      </c>
      <c r="C5766" s="3" t="str">
        <f>IFERROR(VLOOKUP(A5766,'Base Prueba'!A:C,3,),"NO REGISTRA")</f>
        <v>AMANDA LISBETH RODRIGUEZ LEON</v>
      </c>
      <c r="D5766" s="4" t="str">
        <f>IFERROR(VLOOKUP(A5766,'Base Prueba'!A:D,4,),"NO REGISTRA")</f>
        <v>PROMOTOR CALL CENTER</v>
      </c>
      <c r="E5766" s="5" t="str">
        <f>IFERROR(VLOOKUP(A5766,'Base Prueba'!A:E,5,),"NO REGISTRA")</f>
        <v>OFICINA DE MERCADEO</v>
      </c>
    </row>
    <row r="5767" spans="1:5" ht="15.75" x14ac:dyDescent="0.25">
      <c r="A5767" s="14">
        <v>1016090131</v>
      </c>
      <c r="B5767" s="2">
        <v>46135.384592824077</v>
      </c>
      <c r="C5767" s="3" t="str">
        <f>IFERROR(VLOOKUP(A5767,'Base Prueba'!A:C,3,),"NO REGISTRA")</f>
        <v>NICOLAS RODRIGUEZ PACHECO</v>
      </c>
      <c r="D5767" s="4" t="str">
        <f>IFERROR(VLOOKUP(A5767,'Base Prueba'!A:D,4,),"NO REGISTRA")</f>
        <v>COORDINADOR DE COMUNICACIONES</v>
      </c>
      <c r="E5767" s="5" t="str">
        <f>IFERROR(VLOOKUP(A5767,'Base Prueba'!A:E,5,),"NO REGISTRA")</f>
        <v>OFICINA DE MERCADEO</v>
      </c>
    </row>
    <row r="5768" spans="1:5" ht="15.75" x14ac:dyDescent="0.25">
      <c r="A5768" s="14">
        <v>1012426741</v>
      </c>
      <c r="B5768" s="2">
        <v>46135.392854282407</v>
      </c>
      <c r="C5768" s="3" t="str">
        <f>IFERROR(VLOOKUP(A5768,'Base Prueba'!A:C,3,),"NO REGISTRA")</f>
        <v>CRISTIAN FABIAN ROJAS SANCENO</v>
      </c>
      <c r="D5768" s="4" t="str">
        <f>IFERROR(VLOOKUP(A5768,'Base Prueba'!A:D,4,),"NO REGISTRA")</f>
        <v>AUXILIAR DE REINTEGROS</v>
      </c>
      <c r="E5768" s="5" t="str">
        <f>IFERROR(VLOOKUP(A5768,'Base Prueba'!A:E,5,),"NO REGISTRA")</f>
        <v>DIRECCION DE BIENESTAR INSTITUCIONAL</v>
      </c>
    </row>
    <row r="5769" spans="1:5" ht="15.75" x14ac:dyDescent="0.25">
      <c r="A5769" s="14">
        <v>1010184333</v>
      </c>
      <c r="B5769" s="2">
        <v>46135.53884710648</v>
      </c>
      <c r="C5769" s="3" t="str">
        <f>IFERROR(VLOOKUP(A5769,'Base Prueba'!A:C,3,),"NO REGISTRA")</f>
        <v>AKON ANDRES GARZON ALVAREZ</v>
      </c>
      <c r="D5769" s="4" t="str">
        <f>IFERROR(VLOOKUP(A5769,'Base Prueba'!A:D,4,),"NO REGISTRA")</f>
        <v>APRENDIZ UNIVERSITARIO</v>
      </c>
      <c r="E5769" s="5" t="str">
        <f>IFERROR(VLOOKUP(A5769,'Base Prueba'!A:E,5,),"NO REGISTRA")</f>
        <v>SECRETARIA GENERAL</v>
      </c>
    </row>
    <row r="5770" spans="1:5" ht="15.75" x14ac:dyDescent="0.25">
      <c r="A5770" s="14">
        <v>52443092</v>
      </c>
      <c r="B5770" s="2">
        <v>46135.578254745371</v>
      </c>
      <c r="C5770" s="3" t="str">
        <f>IFERROR(VLOOKUP(A5770,'Base Prueba'!A:C,3,),"NO REGISTRA")</f>
        <v>LUZ MYRIAM SAAVEDRA CONTRERAS</v>
      </c>
      <c r="D5770" s="4" t="str">
        <f>IFERROR(VLOOKUP(A5770,'Base Prueba'!A:D,4,),"NO REGISTRA")</f>
        <v>AUXILIAR DE SERVICIOS</v>
      </c>
      <c r="E5770" s="5" t="str">
        <f>IFERROR(VLOOKUP(A5770,'Base Prueba'!A:E,5,),"NO REGISTRA")</f>
        <v>LOGISTICA Y SERVICIOS GENERALES</v>
      </c>
    </row>
    <row r="5771" spans="1:5" ht="15.75" x14ac:dyDescent="0.25">
      <c r="A5771" s="14">
        <v>79872151</v>
      </c>
      <c r="B5771" s="2">
        <v>46135.692622222225</v>
      </c>
      <c r="C5771" s="3" t="str">
        <f>IFERROR(VLOOKUP(A5771,'Base Prueba'!A:C,3,),"NO REGISTRA")</f>
        <v>HECTOR ALIRIO MARTINEZ TORRES</v>
      </c>
      <c r="D5771" s="4" t="str">
        <f>IFERROR(VLOOKUP(A5771,'Base Prueba'!A:D,4,),"NO REGISTRA")</f>
        <v>DOCENTE DE TIEMPO COMPLETO</v>
      </c>
      <c r="E5771" s="5" t="str">
        <f>IFERROR(VLOOKUP(A5771,'Base Prueba'!A:E,5,),"NO REGISTRA")</f>
        <v>CIENCIAS DE LA INFORMACION Y BIBLIOTECOLOGIA</v>
      </c>
    </row>
    <row r="5772" spans="1:5" ht="15.75" x14ac:dyDescent="0.25">
      <c r="A5772" s="14">
        <v>1000611958</v>
      </c>
      <c r="B5772" s="2">
        <v>46135.706378587965</v>
      </c>
      <c r="C5772" s="3" t="str">
        <f>IFERROR(VLOOKUP(A5772,'Base Prueba'!A:C,3,),"NO REGISTRA")</f>
        <v>TYLER CORRADINE  VARGAS</v>
      </c>
      <c r="D5772" s="4" t="str">
        <f>IFERROR(VLOOKUP(A5772,'Base Prueba'!A:D,4,),"NO REGISTRA")</f>
        <v>APRENDIZ UNIVERSITARIO</v>
      </c>
      <c r="E5772" s="5" t="str">
        <f>IFERROR(VLOOKUP(A5772,'Base Prueba'!A:E,5,),"NO REGISTRA")</f>
        <v>DEPARTAMENTO DE INFORMATICA Y TECNOLOGIA</v>
      </c>
    </row>
    <row r="5773" spans="1:5" ht="15.75" x14ac:dyDescent="0.25">
      <c r="A5773" s="14">
        <v>1013616244</v>
      </c>
      <c r="B5773" s="2">
        <v>46135.714872800927</v>
      </c>
      <c r="C5773" s="3" t="str">
        <f>IFERROR(VLOOKUP(A5773,'Base Prueba'!A:C,3,),"NO REGISTRA")</f>
        <v>DIANA CAROLINA MARIN BETANCOURT</v>
      </c>
      <c r="D5773" s="4" t="str">
        <f>IFERROR(VLOOKUP(A5773,'Base Prueba'!A:D,4,),"NO REGISTRA")</f>
        <v>AUXILIAR ADMINISTRATIVO</v>
      </c>
      <c r="E5773" s="5" t="str">
        <f>IFERROR(VLOOKUP(A5773,'Base Prueba'!A:E,5,),"NO REGISTRA")</f>
        <v>REGISTRO Y CONTROL ACADEMICO</v>
      </c>
    </row>
    <row r="5774" spans="1:5" ht="15.75" x14ac:dyDescent="0.25">
      <c r="A5774" s="14">
        <v>1024512067</v>
      </c>
      <c r="B5774" s="2">
        <v>46135.717995833336</v>
      </c>
      <c r="C5774" s="3" t="str">
        <f>IFERROR(VLOOKUP(A5774,'Base Prueba'!A:C,3,),"NO REGISTRA")</f>
        <v>CINDY GIOVANA SALGAR GOMEZ</v>
      </c>
      <c r="D5774" s="4" t="str">
        <f>IFERROR(VLOOKUP(A5774,'Base Prueba'!A:D,4,),"NO REGISTRA")</f>
        <v>COORDINADOR DEL SISTEMA INTEGRADO DE GESTION INSTITUCIONAL - SIGI</v>
      </c>
      <c r="E5774" s="5" t="str">
        <f>IFERROR(VLOOKUP(A5774,'Base Prueba'!A:E,5,),"NO REGISTRA")</f>
        <v>OFICINA DE PLANEACION Y GESTION DE LA CALIDAD</v>
      </c>
    </row>
    <row r="5775" spans="1:5" ht="15.75" x14ac:dyDescent="0.25">
      <c r="A5775" s="14">
        <v>1013098430</v>
      </c>
      <c r="B5775" s="2">
        <v>46135.726532986111</v>
      </c>
      <c r="C5775" s="3" t="str">
        <f>IFERROR(VLOOKUP(A5775,'Base Prueba'!A:C,3,),"NO REGISTRA")</f>
        <v>ANDRES FELIPE LOPEZ ROMERO</v>
      </c>
      <c r="D5775" s="4" t="str">
        <f>IFERROR(VLOOKUP(A5775,'Base Prueba'!A:D,4,),"NO REGISTRA")</f>
        <v>APRENDIZ UNIVERSITARIO</v>
      </c>
      <c r="E5775" s="5" t="str">
        <f>IFERROR(VLOOKUP(A5775,'Base Prueba'!A:E,5,),"NO REGISTRA")</f>
        <v>OFICINA DE MERCADEO</v>
      </c>
    </row>
    <row r="5776" spans="1:5" ht="15.75" x14ac:dyDescent="0.25">
      <c r="A5776" s="14">
        <v>1087121273</v>
      </c>
      <c r="B5776" s="2">
        <v>46135.740328356478</v>
      </c>
      <c r="C5776" s="3" t="str">
        <f>IFERROR(VLOOKUP(A5776,'Base Prueba'!A:C,3,),"NO REGISTRA")</f>
        <v>MAYRA ALEJANDRA CASTILLO ARBOLEDA</v>
      </c>
      <c r="D5776" s="4" t="str">
        <f>IFERROR(VLOOKUP(A5776,'Base Prueba'!A:D,4,),"NO REGISTRA")</f>
        <v>APOYO INTEGRAL DE MERCADEO</v>
      </c>
      <c r="E5776" s="5" t="str">
        <f>IFERROR(VLOOKUP(A5776,'Base Prueba'!A:E,5,),"NO REGISTRA")</f>
        <v>CENTRO DE GESTION DOCUMENTAL</v>
      </c>
    </row>
    <row r="5777" spans="1:5" ht="15.75" x14ac:dyDescent="0.25">
      <c r="A5777" s="14">
        <v>52175674</v>
      </c>
      <c r="B5777" s="2">
        <v>46135.748202314811</v>
      </c>
      <c r="C5777" s="3" t="str">
        <f>IFERROR(VLOOKUP(A5777,'Base Prueba'!A:C,3,),"NO REGISTRA")</f>
        <v>LUZ YANETH GOMEZ AREVALO</v>
      </c>
      <c r="D5777" s="4" t="str">
        <f>IFERROR(VLOOKUP(A5777,'Base Prueba'!A:D,4,),"NO REGISTRA")</f>
        <v>COORDINADORA DE ADMISIONES</v>
      </c>
      <c r="E5777" s="5" t="str">
        <f>IFERROR(VLOOKUP(A5777,'Base Prueba'!A:E,5,),"NO REGISTRA")</f>
        <v>OFICINA DE MERCADEO</v>
      </c>
    </row>
    <row r="5778" spans="1:5" ht="15.75" x14ac:dyDescent="0.25">
      <c r="A5778" s="14">
        <v>1012426741</v>
      </c>
      <c r="B5778" s="2">
        <v>46135.750172453707</v>
      </c>
      <c r="C5778" s="3" t="str">
        <f>IFERROR(VLOOKUP(A5778,'Base Prueba'!A:C,3,),"NO REGISTRA")</f>
        <v>CRISTIAN FABIAN ROJAS SANCENO</v>
      </c>
      <c r="D5778" s="4" t="str">
        <f>IFERROR(VLOOKUP(A5778,'Base Prueba'!A:D,4,),"NO REGISTRA")</f>
        <v>AUXILIAR DE REINTEGROS</v>
      </c>
      <c r="E5778" s="5" t="str">
        <f>IFERROR(VLOOKUP(A5778,'Base Prueba'!A:E,5,),"NO REGISTRA")</f>
        <v>DIRECCION DE BIENESTAR INSTITUCIONAL</v>
      </c>
    </row>
    <row r="5779" spans="1:5" ht="15.75" x14ac:dyDescent="0.25">
      <c r="A5779" s="14">
        <v>1049644802</v>
      </c>
      <c r="B5779" s="2">
        <v>46135.750210648148</v>
      </c>
      <c r="C5779" s="3" t="str">
        <f>IFERROR(VLOOKUP(A5779,'Base Prueba'!A:C,3,),"NO REGISTRA")</f>
        <v>DANIELA ALEXANDRA CIPAMOCHA BOSIGA</v>
      </c>
      <c r="D5779" s="4" t="str">
        <f>IFERROR(VLOOKUP(A5779,'Base Prueba'!A:D,4,),"NO REGISTRA")</f>
        <v>LIDER DE DATOS Y SERVICIOS</v>
      </c>
      <c r="E5779" s="5" t="str">
        <f>IFERROR(VLOOKUP(A5779,'Base Prueba'!A:E,5,),"NO REGISTRA")</f>
        <v>OFICINA DE PLANEACION Y GESTION DE LA CALIDAD</v>
      </c>
    </row>
    <row r="5780" spans="1:5" ht="15.75" x14ac:dyDescent="0.25">
      <c r="A5780" s="14">
        <v>1000467399</v>
      </c>
      <c r="B5780" s="2">
        <v>46135.750734953705</v>
      </c>
      <c r="C5780" s="3" t="str">
        <f>IFERROR(VLOOKUP(A5780,'Base Prueba'!A:C,3,),"NO REGISTRA")</f>
        <v>BRANDO ESTIVEN DIAZ QUIMBAYA</v>
      </c>
      <c r="D5780" s="4" t="str">
        <f>IFERROR(VLOOKUP(A5780,'Base Prueba'!A:D,4,),"NO REGISTRA")</f>
        <v>APRENDIZ UNIVERSITARIO</v>
      </c>
      <c r="E5780" s="5" t="str">
        <f>IFERROR(VLOOKUP(A5780,'Base Prueba'!A:E,5,),"NO REGISTRA")</f>
        <v>DEPARTAMENTO DE GESTION HUMANA</v>
      </c>
    </row>
    <row r="5781" spans="1:5" ht="15.75" x14ac:dyDescent="0.25">
      <c r="A5781" s="14">
        <v>1013101788</v>
      </c>
      <c r="B5781" s="2">
        <v>46135.750821180554</v>
      </c>
      <c r="C5781" s="3" t="str">
        <f>IFERROR(VLOOKUP(A5781,'Base Prueba'!A:C,3,),"NO REGISTRA")</f>
        <v>SARA TANGARIFE MONTOYA</v>
      </c>
      <c r="D5781" s="4" t="str">
        <f>IFERROR(VLOOKUP(A5781,'Base Prueba'!A:D,4,),"NO REGISTRA")</f>
        <v>APRENDIZ UNIVERSITARIO</v>
      </c>
      <c r="E5781" s="5" t="str">
        <f>IFERROR(VLOOKUP(A5781,'Base Prueba'!A:E,5,),"NO REGISTRA")</f>
        <v>OFICINA DE MERCADEO</v>
      </c>
    </row>
    <row r="5782" spans="1:5" ht="15.75" x14ac:dyDescent="0.25">
      <c r="A5782" s="14">
        <v>1030567635</v>
      </c>
      <c r="B5782" s="2">
        <v>46135.751059027774</v>
      </c>
      <c r="C5782" s="3" t="str">
        <f>IFERROR(VLOOKUP(A5782,'Base Prueba'!A:C,3,),"NO REGISTRA")</f>
        <v>JEFFERSON ANDRES BARRETO DIAZ</v>
      </c>
      <c r="D5782" s="4" t="str">
        <f>IFERROR(VLOOKUP(A5782,'Base Prueba'!A:D,4,),"NO REGISTRA")</f>
        <v>AUXILIAR DE ARCHIVO</v>
      </c>
      <c r="E5782" s="5" t="str">
        <f>IFERROR(VLOOKUP(A5782,'Base Prueba'!A:E,5,),"NO REGISTRA")</f>
        <v>CENTRO DE GESTION DOCUMENTAL</v>
      </c>
    </row>
    <row r="5783" spans="1:5" ht="15.75" x14ac:dyDescent="0.25">
      <c r="A5783" s="14">
        <v>1193457976</v>
      </c>
      <c r="B5783" s="2">
        <v>46135.751111458332</v>
      </c>
      <c r="C5783" s="3" t="str">
        <f>IFERROR(VLOOKUP(A5783,'Base Prueba'!A:C,3,),"NO REGISTRA")</f>
        <v>SEDENIS RIVAS ASPRILLA</v>
      </c>
      <c r="D5783" s="4" t="str">
        <f>IFERROR(VLOOKUP(A5783,'Base Prueba'!A:D,4,),"NO REGISTRA")</f>
        <v>APRENDIZ UNIVERSITARIO</v>
      </c>
      <c r="E5783" s="5" t="str">
        <f>IFERROR(VLOOKUP(A5783,'Base Prueba'!A:E,5,),"NO REGISTRA")</f>
        <v>DEPARTAMENTO DE GESTION HUMANA</v>
      </c>
    </row>
    <row r="5784" spans="1:5" ht="15.75" x14ac:dyDescent="0.25">
      <c r="A5784" s="14">
        <v>1000046533</v>
      </c>
      <c r="B5784" s="2">
        <v>46135.75172951389</v>
      </c>
      <c r="C5784" s="3" t="str">
        <f>IFERROR(VLOOKUP(A5784,'Base Prueba'!A:C,3,),"NO REGISTRA")</f>
        <v>ERIKA JULIETH VALDERRAMA SANCHEZ</v>
      </c>
      <c r="D5784" s="4" t="str">
        <f>IFERROR(VLOOKUP(A5784,'Base Prueba'!A:D,4,),"NO REGISTRA")</f>
        <v>PROMOTOR CALL CENTER</v>
      </c>
      <c r="E5784" s="5" t="str">
        <f>IFERROR(VLOOKUP(A5784,'Base Prueba'!A:E,5,),"NO REGISTRA")</f>
        <v>OFICINA DE MERCADEO</v>
      </c>
    </row>
    <row r="5785" spans="1:5" ht="15.75" x14ac:dyDescent="0.25">
      <c r="A5785" s="14">
        <v>1023883232</v>
      </c>
      <c r="B5785" s="2">
        <v>46135.752921990737</v>
      </c>
      <c r="C5785" s="3" t="str">
        <f>IFERROR(VLOOKUP(A5785,'Base Prueba'!A:C,3,),"NO REGISTRA")</f>
        <v>MONICA ANDREA ACERO URBANO</v>
      </c>
      <c r="D5785" s="4" t="str">
        <f>IFERROR(VLOOKUP(A5785,'Base Prueba'!A:D,4,),"NO REGISTRA")</f>
        <v>APOYO INTEGRAL A GESTION HUMANA</v>
      </c>
      <c r="E5785" s="5" t="str">
        <f>IFERROR(VLOOKUP(A5785,'Base Prueba'!A:E,5,),"NO REGISTRA")</f>
        <v>DEPARTAMENTO DE GESTION HUMANA</v>
      </c>
    </row>
    <row r="5786" spans="1:5" ht="15.75" x14ac:dyDescent="0.25">
      <c r="A5786" s="14">
        <v>1033820146</v>
      </c>
      <c r="B5786" s="2">
        <v>46135.75388935185</v>
      </c>
      <c r="C5786" s="3" t="str">
        <f>IFERROR(VLOOKUP(A5786,'Base Prueba'!A:C,3,),"NO REGISTRA")</f>
        <v>JULIETH ALEXANDRA BUSTAMANTE RUIZ</v>
      </c>
      <c r="D5786" s="4" t="str">
        <f>IFERROR(VLOOKUP(A5786,'Base Prueba'!A:D,4,),"NO REGISTRA")</f>
        <v>AUXILIAR ADMINISTRATIVO</v>
      </c>
      <c r="E5786" s="5" t="str">
        <f>IFERROR(VLOOKUP(A5786,'Base Prueba'!A:E,5,),"NO REGISTRA")</f>
        <v>REGISTRO Y CONTROL ACADEMICO</v>
      </c>
    </row>
    <row r="5787" spans="1:5" ht="15.75" x14ac:dyDescent="0.25">
      <c r="A5787" s="14">
        <v>1000324729</v>
      </c>
      <c r="B5787" s="2">
        <v>46135.75396736111</v>
      </c>
      <c r="C5787" s="3" t="str">
        <f>IFERROR(VLOOKUP(A5787,'Base Prueba'!A:C,3,),"NO REGISTRA")</f>
        <v>ANYIE VANESSA TINOCO CAMACHO</v>
      </c>
      <c r="D5787" s="4" t="str">
        <f>IFERROR(VLOOKUP(A5787,'Base Prueba'!A:D,4,),"NO REGISTRA")</f>
        <v>LIDER DE REGISTRO Y CONTROL</v>
      </c>
      <c r="E5787" s="5" t="str">
        <f>IFERROR(VLOOKUP(A5787,'Base Prueba'!A:E,5,),"NO REGISTRA")</f>
        <v>REGISTRO Y CONTROL ACADEMICO</v>
      </c>
    </row>
    <row r="5788" spans="1:5" ht="15.75" x14ac:dyDescent="0.25">
      <c r="A5788" s="14">
        <v>52472386</v>
      </c>
      <c r="B5788" s="2">
        <v>46135.757049884262</v>
      </c>
      <c r="C5788" s="3" t="str">
        <f>IFERROR(VLOOKUP(A5788,'Base Prueba'!A:C,3,),"NO REGISTRA")</f>
        <v>ADRIANA MARCELA MORALES PARDO</v>
      </c>
      <c r="D5788" s="4" t="str">
        <f>IFERROR(VLOOKUP(A5788,'Base Prueba'!A:D,4,),"NO REGISTRA")</f>
        <v>PROMOTOR CALL CENTER</v>
      </c>
      <c r="E5788" s="5" t="str">
        <f>IFERROR(VLOOKUP(A5788,'Base Prueba'!A:E,5,),"NO REGISTRA")</f>
        <v>OFICINA DE MERCADEO</v>
      </c>
    </row>
    <row r="5789" spans="1:5" ht="15.75" x14ac:dyDescent="0.25">
      <c r="A5789" s="14">
        <v>1000593372</v>
      </c>
      <c r="B5789" s="2">
        <v>46135.759956250004</v>
      </c>
      <c r="C5789" s="3" t="str">
        <f>IFERROR(VLOOKUP(A5789,'Base Prueba'!A:C,3,),"NO REGISTRA")</f>
        <v>LAURA SOFIA CHAPARRO LOPEZ</v>
      </c>
      <c r="D5789" s="4" t="str">
        <f>IFERROR(VLOOKUP(A5789,'Base Prueba'!A:D,4,),"NO REGISTRA")</f>
        <v>AUXILIAR JURIDICO</v>
      </c>
      <c r="E5789" s="5" t="str">
        <f>IFERROR(VLOOKUP(A5789,'Base Prueba'!A:E,5,),"NO REGISTRA")</f>
        <v>SECRETARIA GENERAL</v>
      </c>
    </row>
    <row r="5790" spans="1:5" ht="15.75" x14ac:dyDescent="0.25">
      <c r="A5790" s="14">
        <v>1000604979</v>
      </c>
      <c r="B5790" s="2">
        <v>46135.760003009258</v>
      </c>
      <c r="C5790" s="3" t="str">
        <f>IFERROR(VLOOKUP(A5790,'Base Prueba'!A:C,3,),"NO REGISTRA")</f>
        <v>JULIETH TATIANA PARDO PINTO</v>
      </c>
      <c r="D5790" s="4" t="str">
        <f>IFERROR(VLOOKUP(A5790,'Base Prueba'!A:D,4,),"NO REGISTRA")</f>
        <v>AUXILIAR JURIDICO</v>
      </c>
      <c r="E5790" s="5" t="str">
        <f>IFERROR(VLOOKUP(A5790,'Base Prueba'!A:E,5,),"NO REGISTRA")</f>
        <v>SECRETARIA GENERAL</v>
      </c>
    </row>
    <row r="5791" spans="1:5" ht="15.75" x14ac:dyDescent="0.25">
      <c r="A5791" s="14">
        <v>1033709056</v>
      </c>
      <c r="B5791" s="2">
        <v>46135.76009074074</v>
      </c>
      <c r="C5791" s="3" t="str">
        <f>IFERROR(VLOOKUP(A5791,'Base Prueba'!A:C,3,),"NO REGISTRA")</f>
        <v>YEIMY ALEXANDRA RODRIGUEZ PALACIO</v>
      </c>
      <c r="D5791" s="4" t="str">
        <f>IFERROR(VLOOKUP(A5791,'Base Prueba'!A:D,4,),"NO REGISTRA")</f>
        <v>PROMOTOR CALL CENTER</v>
      </c>
      <c r="E5791" s="5" t="str">
        <f>IFERROR(VLOOKUP(A5791,'Base Prueba'!A:E,5,),"NO REGISTRA")</f>
        <v>OFICINA DE MERCADEO</v>
      </c>
    </row>
    <row r="5792" spans="1:5" ht="15.75" x14ac:dyDescent="0.25">
      <c r="A5792" s="14">
        <v>53932358</v>
      </c>
      <c r="B5792" s="2">
        <v>46135.760409027775</v>
      </c>
      <c r="C5792" s="3" t="str">
        <f>IFERROR(VLOOKUP(A5792,'Base Prueba'!A:C,3,),"NO REGISTRA")</f>
        <v>DIANA MADELEYNE GAONA RODRIGUEZ</v>
      </c>
      <c r="D5792" s="4" t="str">
        <f>IFERROR(VLOOKUP(A5792,'Base Prueba'!A:D,4,),"NO REGISTRA")</f>
        <v>CONTADOR</v>
      </c>
      <c r="E5792" s="5" t="str">
        <f>IFERROR(VLOOKUP(A5792,'Base Prueba'!A:E,5,),"NO REGISTRA")</f>
        <v>AREA FINANCIERA Y CONTABLE</v>
      </c>
    </row>
    <row r="5793" spans="1:5" ht="15.75" x14ac:dyDescent="0.25">
      <c r="A5793" s="14">
        <v>1000257136</v>
      </c>
      <c r="B5793" s="2">
        <v>46135.760426157409</v>
      </c>
      <c r="C5793" s="3" t="str">
        <f>IFERROR(VLOOKUP(A5793,'Base Prueba'!A:C,3,),"NO REGISTRA")</f>
        <v>FRANCI VALENTINA CANO PUENTES</v>
      </c>
      <c r="D5793" s="4" t="str">
        <f>IFERROR(VLOOKUP(A5793,'Base Prueba'!A:D,4,),"NO REGISTRA")</f>
        <v>AUXILIAR CONTABLE</v>
      </c>
      <c r="E5793" s="5" t="str">
        <f>IFERROR(VLOOKUP(A5793,'Base Prueba'!A:E,5,),"NO REGISTRA")</f>
        <v>AREA FINANCIERA Y CONTABLE</v>
      </c>
    </row>
    <row r="5794" spans="1:5" ht="15.75" x14ac:dyDescent="0.25">
      <c r="A5794" s="14">
        <v>1014266838</v>
      </c>
      <c r="B5794" s="2">
        <v>46135.760558912036</v>
      </c>
      <c r="C5794" s="3" t="str">
        <f>IFERROR(VLOOKUP(A5794,'Base Prueba'!A:C,3,),"NO REGISTRA")</f>
        <v>JENNIFER ASTRID ROMERO HURTADO</v>
      </c>
      <c r="D5794" s="4" t="str">
        <f>IFERROR(VLOOKUP(A5794,'Base Prueba'!A:D,4,),"NO REGISTRA")</f>
        <v>LIDER DE RECAUDO</v>
      </c>
      <c r="E5794" s="5" t="str">
        <f>IFERROR(VLOOKUP(A5794,'Base Prueba'!A:E,5,),"NO REGISTRA")</f>
        <v>AREA FINANCIERA Y CONTABLE</v>
      </c>
    </row>
    <row r="5795" spans="1:5" ht="15.75" x14ac:dyDescent="0.25">
      <c r="A5795" s="14">
        <v>1000457706</v>
      </c>
      <c r="B5795" s="2">
        <v>46135.76100486111</v>
      </c>
      <c r="C5795" s="3" t="str">
        <f>IFERROR(VLOOKUP(A5795,'Base Prueba'!A:C,3,),"NO REGISTRA")</f>
        <v>CRISTIAN DANILO ARROYO SANABRIA</v>
      </c>
      <c r="D5795" s="4" t="str">
        <f>IFERROR(VLOOKUP(A5795,'Base Prueba'!A:D,4,),"NO REGISTRA")</f>
        <v>AUXILIAR CONTABLE</v>
      </c>
      <c r="E5795" s="5" t="str">
        <f>IFERROR(VLOOKUP(A5795,'Base Prueba'!A:E,5,),"NO REGISTRA")</f>
        <v>AREA FINANCIERA Y CONTABLE</v>
      </c>
    </row>
    <row r="5796" spans="1:5" ht="15.75" x14ac:dyDescent="0.25">
      <c r="A5796" s="14">
        <v>28798349</v>
      </c>
      <c r="B5796" s="2">
        <v>46135.761234375001</v>
      </c>
      <c r="C5796" s="3" t="str">
        <f>IFERROR(VLOOKUP(A5796,'Base Prueba'!A:C,3,),"NO REGISTRA")</f>
        <v>MARTHA ISABEL TOVAR WILLIAMS</v>
      </c>
      <c r="D5796" s="4" t="str">
        <f>IFERROR(VLOOKUP(A5796,'Base Prueba'!A:D,4,),"NO REGISTRA")</f>
        <v>PROMOTOR CALL CENTER</v>
      </c>
      <c r="E5796" s="5" t="str">
        <f>IFERROR(VLOOKUP(A5796,'Base Prueba'!A:E,5,),"NO REGISTRA")</f>
        <v>OFICINA DE MERCADEO</v>
      </c>
    </row>
    <row r="5797" spans="1:5" ht="15.75" x14ac:dyDescent="0.25">
      <c r="A5797" s="14">
        <v>52225539</v>
      </c>
      <c r="B5797" s="2">
        <v>46135.762472453702</v>
      </c>
      <c r="C5797" s="3" t="str">
        <f>IFERROR(VLOOKUP(A5797,'Base Prueba'!A:C,3,),"NO REGISTRA")</f>
        <v>LISA MINELLY ZAMBRANO CONTRERAS</v>
      </c>
      <c r="D5797" s="4" t="str">
        <f>IFERROR(VLOOKUP(A5797,'Base Prueba'!A:D,4,),"NO REGISTRA")</f>
        <v>LIDER DE COMPRAS</v>
      </c>
      <c r="E5797" s="5" t="str">
        <f>IFERROR(VLOOKUP(A5797,'Base Prueba'!A:E,5,),"NO REGISTRA")</f>
        <v>VICERRECTORIA ADMINISTRATIVA Y FINANCIERA</v>
      </c>
    </row>
    <row r="5798" spans="1:5" ht="15.75" x14ac:dyDescent="0.25">
      <c r="A5798" s="14">
        <v>1023961952</v>
      </c>
      <c r="B5798" s="2">
        <v>46135.762654976854</v>
      </c>
      <c r="C5798" s="3" t="str">
        <f>IFERROR(VLOOKUP(A5798,'Base Prueba'!A:C,3,),"NO REGISTRA")</f>
        <v>ALEJANDRO PINZON MERCHAN</v>
      </c>
      <c r="D5798" s="4" t="str">
        <f>IFERROR(VLOOKUP(A5798,'Base Prueba'!A:D,4,),"NO REGISTRA")</f>
        <v>PROMOTOR CALL CENTER</v>
      </c>
      <c r="E5798" s="5" t="str">
        <f>IFERROR(VLOOKUP(A5798,'Base Prueba'!A:E,5,),"NO REGISTRA")</f>
        <v>OFICINA DE MERCADEO</v>
      </c>
    </row>
    <row r="5799" spans="1:5" ht="15.75" x14ac:dyDescent="0.25">
      <c r="A5799" s="14">
        <v>80191732</v>
      </c>
      <c r="B5799" s="2">
        <v>46135.763086805557</v>
      </c>
      <c r="C5799" s="3" t="str">
        <f>IFERROR(VLOOKUP(A5799,'Base Prueba'!A:C,3,),"NO REGISTRA")</f>
        <v>DANIEL MAURICIO ZAMBRANO TUNJANO</v>
      </c>
      <c r="D5799" s="4" t="str">
        <f>IFERROR(VLOOKUP(A5799,'Base Prueba'!A:D,4,),"NO REGISTRA")</f>
        <v>COORDINADOR DE DISEÑO E IMAGEN INSTITUCIONAL</v>
      </c>
      <c r="E5799" s="5" t="str">
        <f>IFERROR(VLOOKUP(A5799,'Base Prueba'!A:E,5,),"NO REGISTRA")</f>
        <v>OFICINA DE MERCADEO</v>
      </c>
    </row>
    <row r="5800" spans="1:5" ht="15.75" x14ac:dyDescent="0.25">
      <c r="A5800" s="14">
        <v>1014308296</v>
      </c>
      <c r="B5800" s="2">
        <v>46135.765235763887</v>
      </c>
      <c r="C5800" s="3" t="str">
        <f>IFERROR(VLOOKUP(A5800,'Base Prueba'!A:C,3,),"NO REGISTRA")</f>
        <v>DARLENE YULIANA MORENO CELEITA</v>
      </c>
      <c r="D5800" s="4" t="str">
        <f>IFERROR(VLOOKUP(A5800,'Base Prueba'!A:D,4,),"NO REGISTRA")</f>
        <v>CAJERO PRINCIPAL</v>
      </c>
      <c r="E5800" s="5" t="str">
        <f>IFERROR(VLOOKUP(A5800,'Base Prueba'!A:E,5,),"NO REGISTRA")</f>
        <v>AREA FINANCIERA Y CONTABLE</v>
      </c>
    </row>
    <row r="5801" spans="1:5" ht="15.75" x14ac:dyDescent="0.25">
      <c r="A5801" s="14">
        <v>1019105003</v>
      </c>
      <c r="B5801" s="2">
        <v>46135.770762615743</v>
      </c>
      <c r="C5801" s="3" t="str">
        <f>IFERROR(VLOOKUP(A5801,'Base Prueba'!A:C,3,),"NO REGISTRA")</f>
        <v>DAISY JULIETH GASPAR MORENO</v>
      </c>
      <c r="D5801" s="4" t="str">
        <f>IFERROR(VLOOKUP(A5801,'Base Prueba'!A:D,4,),"NO REGISTRA")</f>
        <v>PROMOTOR CALL CENTER</v>
      </c>
      <c r="E5801" s="5" t="str">
        <f>IFERROR(VLOOKUP(A5801,'Base Prueba'!A:E,5,),"NO REGISTRA")</f>
        <v>OFICINA DE MERCADEO</v>
      </c>
    </row>
    <row r="5802" spans="1:5" ht="15.75" x14ac:dyDescent="0.25">
      <c r="A5802" s="14">
        <v>1032407386</v>
      </c>
      <c r="B5802" s="2">
        <v>46135.772014004629</v>
      </c>
      <c r="C5802" s="3" t="str">
        <f>IFERROR(VLOOKUP(A5802,'Base Prueba'!A:C,3,),"NO REGISTRA")</f>
        <v>GINA PAOLA BAEZ GALVIS</v>
      </c>
      <c r="D5802" s="4" t="str">
        <f>IFERROR(VLOOKUP(A5802,'Base Prueba'!A:D,4,),"NO REGISTRA")</f>
        <v>PROMOTOR CALL CENTER</v>
      </c>
      <c r="E5802" s="5" t="str">
        <f>IFERROR(VLOOKUP(A5802,'Base Prueba'!A:E,5,),"NO REGISTRA")</f>
        <v>OFICINA DE MERCADEO</v>
      </c>
    </row>
    <row r="5803" spans="1:5" ht="15.75" x14ac:dyDescent="0.25">
      <c r="A5803" s="14">
        <v>6</v>
      </c>
      <c r="B5803" s="2">
        <v>46135.77207835648</v>
      </c>
      <c r="C5803" s="3" t="str">
        <f>IFERROR(VLOOKUP(A5803,'Base Prueba'!A:C,3,),"NO REGISTRA")</f>
        <v>NO REGISTRA</v>
      </c>
      <c r="D5803" s="4" t="str">
        <f>IFERROR(VLOOKUP(A5803,'Base Prueba'!A:D,4,),"NO REGISTRA")</f>
        <v>NO REGISTRA</v>
      </c>
      <c r="E5803" s="5" t="str">
        <f>IFERROR(VLOOKUP(A5803,'Base Prueba'!A:E,5,),"NO REGISTRA")</f>
        <v>NO REGISTRA</v>
      </c>
    </row>
    <row r="5804" spans="1:5" ht="15.75" x14ac:dyDescent="0.25">
      <c r="A5804" s="14">
        <v>1018414290</v>
      </c>
      <c r="B5804" s="2">
        <v>46135.772084143522</v>
      </c>
      <c r="C5804" s="3" t="str">
        <f>IFERROR(VLOOKUP(A5804,'Base Prueba'!A:C,3,),"NO REGISTRA")</f>
        <v>AMANDA LISBETH RODRIGUEZ LEON</v>
      </c>
      <c r="D5804" s="4" t="str">
        <f>IFERROR(VLOOKUP(A5804,'Base Prueba'!A:D,4,),"NO REGISTRA")</f>
        <v>PROMOTOR CALL CENTER</v>
      </c>
      <c r="E5804" s="5" t="str">
        <f>IFERROR(VLOOKUP(A5804,'Base Prueba'!A:E,5,),"NO REGISTRA")</f>
        <v>OFICINA DE MERCADEO</v>
      </c>
    </row>
    <row r="5805" spans="1:5" ht="15.75" x14ac:dyDescent="0.25">
      <c r="A5805" s="14">
        <v>53089882</v>
      </c>
      <c r="B5805" s="2">
        <v>46135.772165046299</v>
      </c>
      <c r="C5805" s="3" t="str">
        <f>IFERROR(VLOOKUP(A5805,'Base Prueba'!A:C,3,),"NO REGISTRA")</f>
        <v>MARIA JOHANA ESCAMILLA MARTINEZ</v>
      </c>
      <c r="D5805" s="4" t="str">
        <f>IFERROR(VLOOKUP(A5805,'Base Prueba'!A:D,4,),"NO REGISTRA")</f>
        <v>PROMOTOR DE INFORMACIÓN</v>
      </c>
      <c r="E5805" s="5" t="str">
        <f>IFERROR(VLOOKUP(A5805,'Base Prueba'!A:E,5,),"NO REGISTRA")</f>
        <v>OFICINA DE MERCADEO</v>
      </c>
    </row>
    <row r="5806" spans="1:5" ht="15.75" x14ac:dyDescent="0.25">
      <c r="A5806" s="14">
        <v>1018413529</v>
      </c>
      <c r="B5806" s="2">
        <v>46135.772244791668</v>
      </c>
      <c r="C5806" s="3" t="str">
        <f>IFERROR(VLOOKUP(A5806,'Base Prueba'!A:C,3,),"NO REGISTRA")</f>
        <v>FRANCY STELLA CHARRY MORENO</v>
      </c>
      <c r="D5806" s="4" t="str">
        <f>IFERROR(VLOOKUP(A5806,'Base Prueba'!A:D,4,),"NO REGISTRA")</f>
        <v>PROMOTOR COMERCIAL DEL CEA</v>
      </c>
      <c r="E5806" s="5" t="str">
        <f>IFERROR(VLOOKUP(A5806,'Base Prueba'!A:E,5,),"NO REGISTRA")</f>
        <v>OFICINA DE MERCADEO</v>
      </c>
    </row>
    <row r="5807" spans="1:5" ht="15.75" x14ac:dyDescent="0.25">
      <c r="A5807" s="14">
        <v>80234243</v>
      </c>
      <c r="B5807" s="2">
        <v>46135.776761921297</v>
      </c>
      <c r="C5807" s="3" t="str">
        <f>IFERROR(VLOOKUP(A5807,'Base Prueba'!A:C,3,),"NO REGISTRA")</f>
        <v>ARGENIS MARTINEZ MARTINEZ</v>
      </c>
      <c r="D5807" s="4" t="str">
        <f>IFERROR(VLOOKUP(A5807,'Base Prueba'!A:D,4,),"NO REGISTRA")</f>
        <v>LIDER CALL CENTER</v>
      </c>
      <c r="E5807" s="5" t="str">
        <f>IFERROR(VLOOKUP(A5807,'Base Prueba'!A:E,5,),"NO REGISTRA")</f>
        <v>OFICINA DE MERCADEO</v>
      </c>
    </row>
    <row r="5808" spans="1:5" ht="15.75" x14ac:dyDescent="0.25">
      <c r="A5808" s="14">
        <v>1022996882</v>
      </c>
      <c r="B5808" s="2">
        <v>46135.780324884261</v>
      </c>
      <c r="C5808" s="3" t="str">
        <f>IFERROR(VLOOKUP(A5808,'Base Prueba'!A:C,3,),"NO REGISTRA")</f>
        <v>NANCY BRIGITH ALDANA GUEVARA</v>
      </c>
      <c r="D5808" s="4" t="str">
        <f>IFERROR(VLOOKUP(A5808,'Base Prueba'!A:D,4,),"NO REGISTRA")</f>
        <v>COORDINADORA DE GESTIÓN HUMANA</v>
      </c>
      <c r="E5808" s="5" t="str">
        <f>IFERROR(VLOOKUP(A5808,'Base Prueba'!A:E,5,),"NO REGISTRA")</f>
        <v>DEPARTAMENTO DE GESTION HUMANA</v>
      </c>
    </row>
    <row r="5809" spans="1:5" ht="15.75" x14ac:dyDescent="0.25">
      <c r="A5809" s="14">
        <v>1014196857</v>
      </c>
      <c r="B5809" s="2">
        <v>46135.784857986109</v>
      </c>
      <c r="C5809" s="3" t="str">
        <f>IFERROR(VLOOKUP(A5809,'Base Prueba'!A:C,3,),"NO REGISTRA")</f>
        <v>CARLOS ANDRES JIMENEZ PARDO</v>
      </c>
      <c r="D5809" s="4" t="str">
        <f>IFERROR(VLOOKUP(A5809,'Base Prueba'!A:D,4,),"NO REGISTRA")</f>
        <v>COORDINADOR DE MARKETING DIGITAL</v>
      </c>
      <c r="E5809" s="5" t="str">
        <f>IFERROR(VLOOKUP(A5809,'Base Prueba'!A:E,5,),"NO REGISTRA")</f>
        <v>OFICINA DE MERCADEO</v>
      </c>
    </row>
    <row r="5810" spans="1:5" ht="15.75" x14ac:dyDescent="0.25">
      <c r="A5810" s="14">
        <v>52474489</v>
      </c>
      <c r="B5810" s="2">
        <v>46135.79159537037</v>
      </c>
      <c r="C5810" s="3" t="str">
        <f>IFERROR(VLOOKUP(A5810,'Base Prueba'!A:C,3,),"NO REGISTRA")</f>
        <v>ADRIANA JIMENA SOTO BOCANEGRA</v>
      </c>
      <c r="D5810" s="4" t="str">
        <f>IFERROR(VLOOKUP(A5810,'Base Prueba'!A:D,4,),"NO REGISTRA")</f>
        <v>COORDINADOR DE LA OFICINA DE REGISTRO Y CONTROL</v>
      </c>
      <c r="E5810" s="5" t="str">
        <f>IFERROR(VLOOKUP(A5810,'Base Prueba'!A:E,5,),"NO REGISTRA")</f>
        <v>REGISTRO Y CONTROL ACADEMICO</v>
      </c>
    </row>
    <row r="5811" spans="1:5" ht="15.75" x14ac:dyDescent="0.25">
      <c r="A5811" s="14">
        <v>1087121273</v>
      </c>
      <c r="B5811" s="2">
        <v>46136.308157638887</v>
      </c>
      <c r="C5811" s="3" t="str">
        <f>IFERROR(VLOOKUP(A5811,'Base Prueba'!A:C,3,),"NO REGISTRA")</f>
        <v>MAYRA ALEJANDRA CASTILLO ARBOLEDA</v>
      </c>
      <c r="D5811" s="4" t="str">
        <f>IFERROR(VLOOKUP(A5811,'Base Prueba'!A:D,4,),"NO REGISTRA")</f>
        <v>APOYO INTEGRAL DE MERCADEO</v>
      </c>
      <c r="E5811" s="5" t="str">
        <f>IFERROR(VLOOKUP(A5811,'Base Prueba'!A:E,5,),"NO REGISTRA")</f>
        <v>CENTRO DE GESTION DOCUMENTAL</v>
      </c>
    </row>
    <row r="5812" spans="1:5" ht="15.75" x14ac:dyDescent="0.25">
      <c r="A5812" s="14">
        <v>1024512067</v>
      </c>
      <c r="B5812" s="2">
        <v>46136.31286273148</v>
      </c>
      <c r="C5812" s="3" t="str">
        <f>IFERROR(VLOOKUP(A5812,'Base Prueba'!A:C,3,),"NO REGISTRA")</f>
        <v>CINDY GIOVANA SALGAR GOMEZ</v>
      </c>
      <c r="D5812" s="4" t="str">
        <f>IFERROR(VLOOKUP(A5812,'Base Prueba'!A:D,4,),"NO REGISTRA")</f>
        <v>COORDINADOR DEL SISTEMA INTEGRADO DE GESTION INSTITUCIONAL - SIGI</v>
      </c>
      <c r="E5812" s="5" t="str">
        <f>IFERROR(VLOOKUP(A5812,'Base Prueba'!A:E,5,),"NO REGISTRA")</f>
        <v>OFICINA DE PLANEACION Y GESTION DE LA CALIDAD</v>
      </c>
    </row>
    <row r="5813" spans="1:5" ht="15.75" x14ac:dyDescent="0.25">
      <c r="A5813" s="14">
        <v>1013616244</v>
      </c>
      <c r="B5813" s="2">
        <v>46136.31799398148</v>
      </c>
      <c r="C5813" s="3" t="str">
        <f>IFERROR(VLOOKUP(A5813,'Base Prueba'!A:C,3,),"NO REGISTRA")</f>
        <v>DIANA CAROLINA MARIN BETANCOURT</v>
      </c>
      <c r="D5813" s="4" t="str">
        <f>IFERROR(VLOOKUP(A5813,'Base Prueba'!A:D,4,),"NO REGISTRA")</f>
        <v>AUXILIAR ADMINISTRATIVO</v>
      </c>
      <c r="E5813" s="5" t="str">
        <f>IFERROR(VLOOKUP(A5813,'Base Prueba'!A:E,5,),"NO REGISTRA")</f>
        <v>REGISTRO Y CONTROL ACADEMICO</v>
      </c>
    </row>
    <row r="5814" spans="1:5" ht="15.75" x14ac:dyDescent="0.25">
      <c r="A5814" s="14">
        <v>1033820146</v>
      </c>
      <c r="B5814" s="2">
        <v>46136.321384606483</v>
      </c>
      <c r="C5814" s="3" t="str">
        <f>IFERROR(VLOOKUP(A5814,'Base Prueba'!A:C,3,),"NO REGISTRA")</f>
        <v>JULIETH ALEXANDRA BUSTAMANTE RUIZ</v>
      </c>
      <c r="D5814" s="4" t="str">
        <f>IFERROR(VLOOKUP(A5814,'Base Prueba'!A:D,4,),"NO REGISTRA")</f>
        <v>AUXILIAR ADMINISTRATIVO</v>
      </c>
      <c r="E5814" s="5" t="str">
        <f>IFERROR(VLOOKUP(A5814,'Base Prueba'!A:E,5,),"NO REGISTRA")</f>
        <v>REGISTRO Y CONTROL ACADEMICO</v>
      </c>
    </row>
    <row r="5815" spans="1:5" ht="15.75" x14ac:dyDescent="0.25">
      <c r="A5815" s="14">
        <v>1000324729</v>
      </c>
      <c r="B5815" s="2">
        <v>46136.324773148146</v>
      </c>
      <c r="C5815" s="3" t="str">
        <f>IFERROR(VLOOKUP(A5815,'Base Prueba'!A:C,3,),"NO REGISTRA")</f>
        <v>ANYIE VANESSA TINOCO CAMACHO</v>
      </c>
      <c r="D5815" s="4" t="str">
        <f>IFERROR(VLOOKUP(A5815,'Base Prueba'!A:D,4,),"NO REGISTRA")</f>
        <v>LIDER DE REGISTRO Y CONTROL</v>
      </c>
      <c r="E5815" s="5" t="str">
        <f>IFERROR(VLOOKUP(A5815,'Base Prueba'!A:E,5,),"NO REGISTRA")</f>
        <v>REGISTRO Y CONTROL ACADEMICO</v>
      </c>
    </row>
    <row r="5816" spans="1:5" ht="15.75" x14ac:dyDescent="0.25">
      <c r="A5816" s="14">
        <v>1022996882</v>
      </c>
      <c r="B5816" s="2">
        <v>46136.329989467595</v>
      </c>
      <c r="C5816" s="3" t="str">
        <f>IFERROR(VLOOKUP(A5816,'Base Prueba'!A:C,3,),"NO REGISTRA")</f>
        <v>NANCY BRIGITH ALDANA GUEVARA</v>
      </c>
      <c r="D5816" s="4" t="str">
        <f>IFERROR(VLOOKUP(A5816,'Base Prueba'!A:D,4,),"NO REGISTRA")</f>
        <v>COORDINADORA DE GESTIÓN HUMANA</v>
      </c>
      <c r="E5816" s="5" t="str">
        <f>IFERROR(VLOOKUP(A5816,'Base Prueba'!A:E,5,),"NO REGISTRA")</f>
        <v>DEPARTAMENTO DE GESTION HUMANA</v>
      </c>
    </row>
    <row r="5817" spans="1:5" ht="15.75" x14ac:dyDescent="0.25">
      <c r="A5817" s="14">
        <v>52225539</v>
      </c>
      <c r="B5817" s="2">
        <v>46136.330354513892</v>
      </c>
      <c r="C5817" s="3" t="str">
        <f>IFERROR(VLOOKUP(A5817,'Base Prueba'!A:C,3,),"NO REGISTRA")</f>
        <v>LISA MINELLY ZAMBRANO CONTRERAS</v>
      </c>
      <c r="D5817" s="4" t="str">
        <f>IFERROR(VLOOKUP(A5817,'Base Prueba'!A:D,4,),"NO REGISTRA")</f>
        <v>LIDER DE COMPRAS</v>
      </c>
      <c r="E5817" s="5" t="str">
        <f>IFERROR(VLOOKUP(A5817,'Base Prueba'!A:E,5,),"NO REGISTRA")</f>
        <v>VICERRECTORIA ADMINISTRATIVA Y FINANCIERA</v>
      </c>
    </row>
    <row r="5818" spans="1:5" ht="15.75" x14ac:dyDescent="0.25">
      <c r="A5818" s="14">
        <v>1013098430</v>
      </c>
      <c r="B5818" s="2">
        <v>46136.33308877315</v>
      </c>
      <c r="C5818" s="3" t="str">
        <f>IFERROR(VLOOKUP(A5818,'Base Prueba'!A:C,3,),"NO REGISTRA")</f>
        <v>ANDRES FELIPE LOPEZ ROMERO</v>
      </c>
      <c r="D5818" s="4" t="str">
        <f>IFERROR(VLOOKUP(A5818,'Base Prueba'!A:D,4,),"NO REGISTRA")</f>
        <v>APRENDIZ UNIVERSITARIO</v>
      </c>
      <c r="E5818" s="5" t="str">
        <f>IFERROR(VLOOKUP(A5818,'Base Prueba'!A:E,5,),"NO REGISTRA")</f>
        <v>OFICINA DE MERCADEO</v>
      </c>
    </row>
    <row r="5819" spans="1:5" ht="15.75" x14ac:dyDescent="0.25">
      <c r="A5819" s="14">
        <v>1014977624</v>
      </c>
      <c r="B5819" s="2">
        <v>46136.333131481479</v>
      </c>
      <c r="C5819" s="3" t="str">
        <f>IFERROR(VLOOKUP(A5819,'Base Prueba'!A:C,3,),"NO REGISTRA")</f>
        <v>NICCOLE VALENTINA HERNANDEZ MALAVER</v>
      </c>
      <c r="D5819" s="4" t="str">
        <f>IFERROR(VLOOKUP(A5819,'Base Prueba'!A:D,4,),"NO REGISTRA")</f>
        <v>APRENDIZ UNIVERSITARIO</v>
      </c>
      <c r="E5819" s="5" t="str">
        <f>IFERROR(VLOOKUP(A5819,'Base Prueba'!A:E,5,),"NO REGISTRA")</f>
        <v>AREA FINANCIERA Y CONTABLE</v>
      </c>
    </row>
    <row r="5820" spans="1:5" ht="15.75" x14ac:dyDescent="0.25">
      <c r="A5820" s="14">
        <v>80191732</v>
      </c>
      <c r="B5820" s="2">
        <v>46136.333931712965</v>
      </c>
      <c r="C5820" s="3" t="str">
        <f>IFERROR(VLOOKUP(A5820,'Base Prueba'!A:C,3,),"NO REGISTRA")</f>
        <v>DANIEL MAURICIO ZAMBRANO TUNJANO</v>
      </c>
      <c r="D5820" s="4" t="str">
        <f>IFERROR(VLOOKUP(A5820,'Base Prueba'!A:D,4,),"NO REGISTRA")</f>
        <v>COORDINADOR DE DISEÑO E IMAGEN INSTITUCIONAL</v>
      </c>
      <c r="E5820" s="5" t="str">
        <f>IFERROR(VLOOKUP(A5820,'Base Prueba'!A:E,5,),"NO REGISTRA")</f>
        <v>OFICINA DE MERCADEO</v>
      </c>
    </row>
    <row r="5821" spans="1:5" ht="15.75" x14ac:dyDescent="0.25">
      <c r="A5821" s="14">
        <v>1032469638</v>
      </c>
      <c r="B5821" s="2">
        <v>46136.339461689815</v>
      </c>
      <c r="C5821" s="3" t="str">
        <f>IFERROR(VLOOKUP(A5821,'Base Prueba'!A:C,3,),"NO REGISTRA")</f>
        <v>MAICOL JARBEY GUALTEROS CASTAÑEDA</v>
      </c>
      <c r="D5821" s="4" t="str">
        <f>IFERROR(VLOOKUP(A5821,'Base Prueba'!A:D,4,),"NO REGISTRA")</f>
        <v>COORDINADOR DEL SISTEMA INTERNO DE ASEGURAMIENTO DE LA CALIDAD - SIAC</v>
      </c>
      <c r="E5821" s="5" t="str">
        <f>IFERROR(VLOOKUP(A5821,'Base Prueba'!A:E,5,),"NO REGISTRA")</f>
        <v>OFICINA DE PLANEACION Y GESTION DE LA CALIDAD</v>
      </c>
    </row>
    <row r="5822" spans="1:5" ht="15.75" x14ac:dyDescent="0.25">
      <c r="A5822" s="14">
        <v>1193457976</v>
      </c>
      <c r="B5822" s="2">
        <v>46136.34100266204</v>
      </c>
      <c r="C5822" s="3" t="str">
        <f>IFERROR(VLOOKUP(A5822,'Base Prueba'!A:C,3,),"NO REGISTRA")</f>
        <v>SEDENIS RIVAS ASPRILLA</v>
      </c>
      <c r="D5822" s="4" t="str">
        <f>IFERROR(VLOOKUP(A5822,'Base Prueba'!A:D,4,),"NO REGISTRA")</f>
        <v>APRENDIZ UNIVERSITARIO</v>
      </c>
      <c r="E5822" s="5" t="str">
        <f>IFERROR(VLOOKUP(A5822,'Base Prueba'!A:E,5,),"NO REGISTRA")</f>
        <v>DEPARTAMENTO DE GESTION HUMANA</v>
      </c>
    </row>
    <row r="5823" spans="1:5" ht="15.75" x14ac:dyDescent="0.25">
      <c r="A5823" s="14">
        <v>1049644802</v>
      </c>
      <c r="B5823" s="2">
        <v>46136.344084837961</v>
      </c>
      <c r="C5823" s="3" t="str">
        <f>IFERROR(VLOOKUP(A5823,'Base Prueba'!A:C,3,),"NO REGISTRA")</f>
        <v>DANIELA ALEXANDRA CIPAMOCHA BOSIGA</v>
      </c>
      <c r="D5823" s="4" t="str">
        <f>IFERROR(VLOOKUP(A5823,'Base Prueba'!A:D,4,),"NO REGISTRA")</f>
        <v>LIDER DE DATOS Y SERVICIOS</v>
      </c>
      <c r="E5823" s="5" t="str">
        <f>IFERROR(VLOOKUP(A5823,'Base Prueba'!A:E,5,),"NO REGISTRA")</f>
        <v>OFICINA DE PLANEACION Y GESTION DE LA CALIDAD</v>
      </c>
    </row>
    <row r="5824" spans="1:5" ht="15.75" x14ac:dyDescent="0.25">
      <c r="A5824" s="14">
        <v>1023883232</v>
      </c>
      <c r="B5824" s="2">
        <v>46136.346407060184</v>
      </c>
      <c r="C5824" s="3" t="str">
        <f>IFERROR(VLOOKUP(A5824,'Base Prueba'!A:C,3,),"NO REGISTRA")</f>
        <v>MONICA ANDREA ACERO URBANO</v>
      </c>
      <c r="D5824" s="4" t="str">
        <f>IFERROR(VLOOKUP(A5824,'Base Prueba'!A:D,4,),"NO REGISTRA")</f>
        <v>APOYO INTEGRAL A GESTION HUMANA</v>
      </c>
      <c r="E5824" s="5" t="str">
        <f>IFERROR(VLOOKUP(A5824,'Base Prueba'!A:E,5,),"NO REGISTRA")</f>
        <v>DEPARTAMENTO DE GESTION HUMANA</v>
      </c>
    </row>
    <row r="5825" spans="1:5" ht="15.75" x14ac:dyDescent="0.25">
      <c r="A5825" s="14">
        <v>1014266838</v>
      </c>
      <c r="B5825" s="2">
        <v>46136.346462731482</v>
      </c>
      <c r="C5825" s="3" t="str">
        <f>IFERROR(VLOOKUP(A5825,'Base Prueba'!A:C,3,),"NO REGISTRA")</f>
        <v>JENNIFER ASTRID ROMERO HURTADO</v>
      </c>
      <c r="D5825" s="4" t="str">
        <f>IFERROR(VLOOKUP(A5825,'Base Prueba'!A:D,4,),"NO REGISTRA")</f>
        <v>LIDER DE RECAUDO</v>
      </c>
      <c r="E5825" s="5" t="str">
        <f>IFERROR(VLOOKUP(A5825,'Base Prueba'!A:E,5,),"NO REGISTRA")</f>
        <v>AREA FINANCIERA Y CONTABLE</v>
      </c>
    </row>
    <row r="5826" spans="1:5" ht="15.75" x14ac:dyDescent="0.25">
      <c r="A5826" s="14">
        <v>1000593372</v>
      </c>
      <c r="B5826" s="2">
        <v>46136.348705092591</v>
      </c>
      <c r="C5826" s="3" t="str">
        <f>IFERROR(VLOOKUP(A5826,'Base Prueba'!A:C,3,),"NO REGISTRA")</f>
        <v>LAURA SOFIA CHAPARRO LOPEZ</v>
      </c>
      <c r="D5826" s="4" t="str">
        <f>IFERROR(VLOOKUP(A5826,'Base Prueba'!A:D,4,),"NO REGISTRA")</f>
        <v>AUXILIAR JURIDICO</v>
      </c>
      <c r="E5826" s="5" t="str">
        <f>IFERROR(VLOOKUP(A5826,'Base Prueba'!A:E,5,),"NO REGISTRA")</f>
        <v>SECRETARIA GENERAL</v>
      </c>
    </row>
    <row r="5827" spans="1:5" ht="15.75" x14ac:dyDescent="0.25">
      <c r="A5827" s="14">
        <v>1000604979</v>
      </c>
      <c r="B5827" s="2">
        <v>46136.348740162037</v>
      </c>
      <c r="C5827" s="3" t="str">
        <f>IFERROR(VLOOKUP(A5827,'Base Prueba'!A:C,3,),"NO REGISTRA")</f>
        <v>JULIETH TATIANA PARDO PINTO</v>
      </c>
      <c r="D5827" s="4" t="str">
        <f>IFERROR(VLOOKUP(A5827,'Base Prueba'!A:D,4,),"NO REGISTRA")</f>
        <v>AUXILIAR JURIDICO</v>
      </c>
      <c r="E5827" s="5" t="str">
        <f>IFERROR(VLOOKUP(A5827,'Base Prueba'!A:E,5,),"NO REGISTRA")</f>
        <v>SECRETARIA GENERAL</v>
      </c>
    </row>
    <row r="5828" spans="1:5" ht="15.75" x14ac:dyDescent="0.25">
      <c r="A5828" s="14">
        <v>1000457706</v>
      </c>
      <c r="B5828" s="2">
        <v>46136.349571296298</v>
      </c>
      <c r="C5828" s="3" t="str">
        <f>IFERROR(VLOOKUP(A5828,'Base Prueba'!A:C,3,),"NO REGISTRA")</f>
        <v>CRISTIAN DANILO ARROYO SANABRIA</v>
      </c>
      <c r="D5828" s="4" t="str">
        <f>IFERROR(VLOOKUP(A5828,'Base Prueba'!A:D,4,),"NO REGISTRA")</f>
        <v>AUXILIAR CONTABLE</v>
      </c>
      <c r="E5828" s="5" t="str">
        <f>IFERROR(VLOOKUP(A5828,'Base Prueba'!A:E,5,),"NO REGISTRA")</f>
        <v>AREA FINANCIERA Y CONTABLE</v>
      </c>
    </row>
    <row r="5829" spans="1:5" ht="15.75" x14ac:dyDescent="0.25">
      <c r="A5829" s="14">
        <v>1000257136</v>
      </c>
      <c r="B5829" s="2">
        <v>46136.349829629631</v>
      </c>
      <c r="C5829" s="3" t="str">
        <f>IFERROR(VLOOKUP(A5829,'Base Prueba'!A:C,3,),"NO REGISTRA")</f>
        <v>FRANCI VALENTINA CANO PUENTES</v>
      </c>
      <c r="D5829" s="4" t="str">
        <f>IFERROR(VLOOKUP(A5829,'Base Prueba'!A:D,4,),"NO REGISTRA")</f>
        <v>AUXILIAR CONTABLE</v>
      </c>
      <c r="E5829" s="5" t="str">
        <f>IFERROR(VLOOKUP(A5829,'Base Prueba'!A:E,5,),"NO REGISTRA")</f>
        <v>AREA FINANCIERA Y CONTABLE</v>
      </c>
    </row>
    <row r="5830" spans="1:5" ht="15.75" x14ac:dyDescent="0.25">
      <c r="A5830" s="14">
        <v>53932358</v>
      </c>
      <c r="B5830" s="2">
        <v>46136.361082986114</v>
      </c>
      <c r="C5830" s="3" t="str">
        <f>IFERROR(VLOOKUP(A5830,'Base Prueba'!A:C,3,),"NO REGISTRA")</f>
        <v>DIANA MADELEYNE GAONA RODRIGUEZ</v>
      </c>
      <c r="D5830" s="4" t="str">
        <f>IFERROR(VLOOKUP(A5830,'Base Prueba'!A:D,4,),"NO REGISTRA")</f>
        <v>CONTADOR</v>
      </c>
      <c r="E5830" s="5" t="str">
        <f>IFERROR(VLOOKUP(A5830,'Base Prueba'!A:E,5,),"NO REGISTRA")</f>
        <v>AREA FINANCIERA Y CONTABLE</v>
      </c>
    </row>
    <row r="5831" spans="1:5" ht="15.75" x14ac:dyDescent="0.25">
      <c r="A5831" s="14">
        <v>1018413529</v>
      </c>
      <c r="B5831" s="2">
        <v>46136.364459722223</v>
      </c>
      <c r="C5831" s="3" t="str">
        <f>IFERROR(VLOOKUP(A5831,'Base Prueba'!A:C,3,),"NO REGISTRA")</f>
        <v>FRANCY STELLA CHARRY MORENO</v>
      </c>
      <c r="D5831" s="4" t="str">
        <f>IFERROR(VLOOKUP(A5831,'Base Prueba'!A:D,4,),"NO REGISTRA")</f>
        <v>PROMOTOR COMERCIAL DEL CEA</v>
      </c>
      <c r="E5831" s="5" t="str">
        <f>IFERROR(VLOOKUP(A5831,'Base Prueba'!A:E,5,),"NO REGISTRA")</f>
        <v>OFICINA DE MERCADEO</v>
      </c>
    </row>
    <row r="5832" spans="1:5" ht="15.75" x14ac:dyDescent="0.25">
      <c r="A5832" s="14">
        <v>1012426741</v>
      </c>
      <c r="B5832" s="2">
        <v>46136.364656018515</v>
      </c>
      <c r="C5832" s="3" t="str">
        <f>IFERROR(VLOOKUP(A5832,'Base Prueba'!A:C,3,),"NO REGISTRA")</f>
        <v>CRISTIAN FABIAN ROJAS SANCENO</v>
      </c>
      <c r="D5832" s="4" t="str">
        <f>IFERROR(VLOOKUP(A5832,'Base Prueba'!A:D,4,),"NO REGISTRA")</f>
        <v>AUXILIAR DE REINTEGROS</v>
      </c>
      <c r="E5832" s="5" t="str">
        <f>IFERROR(VLOOKUP(A5832,'Base Prueba'!A:E,5,),"NO REGISTRA")</f>
        <v>DIRECCION DE BIENESTAR INSTITUCIONAL</v>
      </c>
    </row>
    <row r="5833" spans="1:5" ht="15.75" x14ac:dyDescent="0.25">
      <c r="A5833" s="14">
        <v>52472386</v>
      </c>
      <c r="B5833" s="2">
        <v>46136.367268634262</v>
      </c>
      <c r="C5833" s="3" t="str">
        <f>IFERROR(VLOOKUP(A5833,'Base Prueba'!A:C,3,),"NO REGISTRA")</f>
        <v>ADRIANA MARCELA MORALES PARDO</v>
      </c>
      <c r="D5833" s="4" t="str">
        <f>IFERROR(VLOOKUP(A5833,'Base Prueba'!A:D,4,),"NO REGISTRA")</f>
        <v>PROMOTOR CALL CENTER</v>
      </c>
      <c r="E5833" s="5" t="str">
        <f>IFERROR(VLOOKUP(A5833,'Base Prueba'!A:E,5,),"NO REGISTRA")</f>
        <v>OFICINA DE MERCADEO</v>
      </c>
    </row>
    <row r="5834" spans="1:5" ht="15.75" x14ac:dyDescent="0.25">
      <c r="A5834" s="14">
        <v>1014308296</v>
      </c>
      <c r="B5834" s="2">
        <v>46136.368743287036</v>
      </c>
      <c r="C5834" s="3" t="str">
        <f>IFERROR(VLOOKUP(A5834,'Base Prueba'!A:C,3,),"NO REGISTRA")</f>
        <v>DARLENE YULIANA MORENO CELEITA</v>
      </c>
      <c r="D5834" s="4" t="str">
        <f>IFERROR(VLOOKUP(A5834,'Base Prueba'!A:D,4,),"NO REGISTRA")</f>
        <v>CAJERO PRINCIPAL</v>
      </c>
      <c r="E5834" s="5" t="str">
        <f>IFERROR(VLOOKUP(A5834,'Base Prueba'!A:E,5,),"NO REGISTRA")</f>
        <v>AREA FINANCIERA Y CONTABLE</v>
      </c>
    </row>
    <row r="5835" spans="1:5" ht="15.75" x14ac:dyDescent="0.25">
      <c r="A5835" s="14">
        <v>1014308296</v>
      </c>
      <c r="B5835" s="2">
        <v>46136.36876099537</v>
      </c>
      <c r="C5835" s="3" t="str">
        <f>IFERROR(VLOOKUP(A5835,'Base Prueba'!A:C,3,),"NO REGISTRA")</f>
        <v>DARLENE YULIANA MORENO CELEITA</v>
      </c>
      <c r="D5835" s="4" t="str">
        <f>IFERROR(VLOOKUP(A5835,'Base Prueba'!A:D,4,),"NO REGISTRA")</f>
        <v>CAJERO PRINCIPAL</v>
      </c>
      <c r="E5835" s="5" t="str">
        <f>IFERROR(VLOOKUP(A5835,'Base Prueba'!A:E,5,),"NO REGISTRA")</f>
        <v>AREA FINANCIERA Y CONTABLE</v>
      </c>
    </row>
    <row r="5836" spans="1:5" ht="15.75" x14ac:dyDescent="0.25">
      <c r="A5836" s="14">
        <v>1032407386</v>
      </c>
      <c r="B5836" s="2">
        <v>46136.368800231481</v>
      </c>
      <c r="C5836" s="3" t="str">
        <f>IFERROR(VLOOKUP(A5836,'Base Prueba'!A:C,3,),"NO REGISTRA")</f>
        <v>GINA PAOLA BAEZ GALVIS</v>
      </c>
      <c r="D5836" s="4" t="str">
        <f>IFERROR(VLOOKUP(A5836,'Base Prueba'!A:D,4,),"NO REGISTRA")</f>
        <v>PROMOTOR CALL CENTER</v>
      </c>
      <c r="E5836" s="5" t="str">
        <f>IFERROR(VLOOKUP(A5836,'Base Prueba'!A:E,5,),"NO REGISTRA")</f>
        <v>OFICINA DE MERCADEO</v>
      </c>
    </row>
    <row r="5837" spans="1:5" ht="15.75" x14ac:dyDescent="0.25">
      <c r="A5837" s="14">
        <v>1033709056</v>
      </c>
      <c r="B5837" s="2">
        <v>46136.369489814817</v>
      </c>
      <c r="C5837" s="3" t="str">
        <f>IFERROR(VLOOKUP(A5837,'Base Prueba'!A:C,3,),"NO REGISTRA")</f>
        <v>YEIMY ALEXANDRA RODRIGUEZ PALACIO</v>
      </c>
      <c r="D5837" s="4" t="str">
        <f>IFERROR(VLOOKUP(A5837,'Base Prueba'!A:D,4,),"NO REGISTRA")</f>
        <v>PROMOTOR CALL CENTER</v>
      </c>
      <c r="E5837" s="5" t="str">
        <f>IFERROR(VLOOKUP(A5837,'Base Prueba'!A:E,5,),"NO REGISTRA")</f>
        <v>OFICINA DE MERCADEO</v>
      </c>
    </row>
    <row r="5838" spans="1:5" ht="15.75" x14ac:dyDescent="0.25">
      <c r="A5838" s="14">
        <v>1018414290</v>
      </c>
      <c r="B5838" s="2">
        <v>46136.370295023145</v>
      </c>
      <c r="C5838" s="3" t="str">
        <f>IFERROR(VLOOKUP(A5838,'Base Prueba'!A:C,3,),"NO REGISTRA")</f>
        <v>AMANDA LISBETH RODRIGUEZ LEON</v>
      </c>
      <c r="D5838" s="4" t="str">
        <f>IFERROR(VLOOKUP(A5838,'Base Prueba'!A:D,4,),"NO REGISTRA")</f>
        <v>PROMOTOR CALL CENTER</v>
      </c>
      <c r="E5838" s="5" t="str">
        <f>IFERROR(VLOOKUP(A5838,'Base Prueba'!A:E,5,),"NO REGISTRA")</f>
        <v>OFICINA DE MERCADEO</v>
      </c>
    </row>
    <row r="5839" spans="1:5" ht="15.75" x14ac:dyDescent="0.25">
      <c r="A5839" s="14">
        <v>1013101788</v>
      </c>
      <c r="B5839" s="2">
        <v>46136.371453587963</v>
      </c>
      <c r="C5839" s="3" t="str">
        <f>IFERROR(VLOOKUP(A5839,'Base Prueba'!A:C,3,),"NO REGISTRA")</f>
        <v>SARA TANGARIFE MONTOYA</v>
      </c>
      <c r="D5839" s="4" t="str">
        <f>IFERROR(VLOOKUP(A5839,'Base Prueba'!A:D,4,),"NO REGISTRA")</f>
        <v>APRENDIZ UNIVERSITARIO</v>
      </c>
      <c r="E5839" s="5" t="str">
        <f>IFERROR(VLOOKUP(A5839,'Base Prueba'!A:E,5,),"NO REGISTRA")</f>
        <v>OFICINA DE MERCADEO</v>
      </c>
    </row>
    <row r="5840" spans="1:5" ht="15.75" x14ac:dyDescent="0.25">
      <c r="A5840" s="14">
        <v>28798349</v>
      </c>
      <c r="B5840" s="2">
        <v>46136.372033680556</v>
      </c>
      <c r="C5840" s="3" t="str">
        <f>IFERROR(VLOOKUP(A5840,'Base Prueba'!A:C,3,),"NO REGISTRA")</f>
        <v>MARTHA ISABEL TOVAR WILLIAMS</v>
      </c>
      <c r="D5840" s="4" t="str">
        <f>IFERROR(VLOOKUP(A5840,'Base Prueba'!A:D,4,),"NO REGISTRA")</f>
        <v>PROMOTOR CALL CENTER</v>
      </c>
      <c r="E5840" s="5" t="str">
        <f>IFERROR(VLOOKUP(A5840,'Base Prueba'!A:E,5,),"NO REGISTRA")</f>
        <v>OFICINA DE MERCADEO</v>
      </c>
    </row>
    <row r="5841" spans="1:5" ht="15.75" x14ac:dyDescent="0.25">
      <c r="A5841" s="14">
        <v>53089882</v>
      </c>
      <c r="B5841" s="2">
        <v>46136.373256944447</v>
      </c>
      <c r="C5841" s="3" t="str">
        <f>IFERROR(VLOOKUP(A5841,'Base Prueba'!A:C,3,),"NO REGISTRA")</f>
        <v>MARIA JOHANA ESCAMILLA MARTINEZ</v>
      </c>
      <c r="D5841" s="4" t="str">
        <f>IFERROR(VLOOKUP(A5841,'Base Prueba'!A:D,4,),"NO REGISTRA")</f>
        <v>PROMOTOR DE INFORMACIÓN</v>
      </c>
      <c r="E5841" s="5" t="str">
        <f>IFERROR(VLOOKUP(A5841,'Base Prueba'!A:E,5,),"NO REGISTRA")</f>
        <v>OFICINA DE MERCADEO</v>
      </c>
    </row>
    <row r="5842" spans="1:5" ht="15.75" x14ac:dyDescent="0.25">
      <c r="A5842" s="14">
        <v>52175674</v>
      </c>
      <c r="B5842" s="2">
        <v>46136.374759722225</v>
      </c>
      <c r="C5842" s="3" t="str">
        <f>IFERROR(VLOOKUP(A5842,'Base Prueba'!A:C,3,),"NO REGISTRA")</f>
        <v>LUZ YANETH GOMEZ AREVALO</v>
      </c>
      <c r="D5842" s="4" t="str">
        <f>IFERROR(VLOOKUP(A5842,'Base Prueba'!A:D,4,),"NO REGISTRA")</f>
        <v>COORDINADORA DE ADMISIONES</v>
      </c>
      <c r="E5842" s="5" t="str">
        <f>IFERROR(VLOOKUP(A5842,'Base Prueba'!A:E,5,),"NO REGISTRA")</f>
        <v>OFICINA DE MERCADEO</v>
      </c>
    </row>
    <row r="5843" spans="1:5" ht="15.75" x14ac:dyDescent="0.25">
      <c r="A5843" s="14">
        <v>52764929</v>
      </c>
      <c r="B5843" s="2">
        <v>46136.379659375001</v>
      </c>
      <c r="C5843" s="3" t="str">
        <f>IFERROR(VLOOKUP(A5843,'Base Prueba'!A:C,3,),"NO REGISTRA")</f>
        <v>GUERLY YOHANA DURAN RIVERA</v>
      </c>
      <c r="D5843" s="4" t="str">
        <f>IFERROR(VLOOKUP(A5843,'Base Prueba'!A:D,4,),"NO REGISTRA")</f>
        <v>LIDER DE VINCULACION COLEGIOS</v>
      </c>
      <c r="E5843" s="5" t="str">
        <f>IFERROR(VLOOKUP(A5843,'Base Prueba'!A:E,5,),"NO REGISTRA")</f>
        <v>OFICINA DE MERCADEO</v>
      </c>
    </row>
    <row r="5844" spans="1:5" ht="15.75" x14ac:dyDescent="0.25">
      <c r="A5844" s="14">
        <v>1016090131</v>
      </c>
      <c r="B5844" s="2">
        <v>46136.386450810183</v>
      </c>
      <c r="C5844" s="3" t="str">
        <f>IFERROR(VLOOKUP(A5844,'Base Prueba'!A:C,3,),"NO REGISTRA")</f>
        <v>NICOLAS RODRIGUEZ PACHECO</v>
      </c>
      <c r="D5844" s="4" t="str">
        <f>IFERROR(VLOOKUP(A5844,'Base Prueba'!A:D,4,),"NO REGISTRA")</f>
        <v>COORDINADOR DE COMUNICACIONES</v>
      </c>
      <c r="E5844" s="5" t="str">
        <f>IFERROR(VLOOKUP(A5844,'Base Prueba'!A:E,5,),"NO REGISTRA")</f>
        <v>OFICINA DE MERCADEO</v>
      </c>
    </row>
    <row r="5845" spans="1:5" ht="15.75" x14ac:dyDescent="0.25">
      <c r="A5845" s="14">
        <v>80234243</v>
      </c>
      <c r="B5845" s="2">
        <v>46136.394900115738</v>
      </c>
      <c r="C5845" s="3" t="str">
        <f>IFERROR(VLOOKUP(A5845,'Base Prueba'!A:C,3,),"NO REGISTRA")</f>
        <v>ARGENIS MARTINEZ MARTINEZ</v>
      </c>
      <c r="D5845" s="4" t="str">
        <f>IFERROR(VLOOKUP(A5845,'Base Prueba'!A:D,4,),"NO REGISTRA")</f>
        <v>LIDER CALL CENTER</v>
      </c>
      <c r="E5845" s="5" t="str">
        <f>IFERROR(VLOOKUP(A5845,'Base Prueba'!A:E,5,),"NO REGISTRA")</f>
        <v>OFICINA DE MERCADEO</v>
      </c>
    </row>
    <row r="5846" spans="1:5" ht="15.75" x14ac:dyDescent="0.25">
      <c r="A5846" s="14">
        <v>1023961952</v>
      </c>
      <c r="B5846" s="2">
        <v>46136.408475231481</v>
      </c>
      <c r="C5846" s="3" t="str">
        <f>IFERROR(VLOOKUP(A5846,'Base Prueba'!A:C,3,),"NO REGISTRA")</f>
        <v>ALEJANDRO PINZON MERCHAN</v>
      </c>
      <c r="D5846" s="4" t="str">
        <f>IFERROR(VLOOKUP(A5846,'Base Prueba'!A:D,4,),"NO REGISTRA")</f>
        <v>PROMOTOR CALL CENTER</v>
      </c>
      <c r="E5846" s="5" t="str">
        <f>IFERROR(VLOOKUP(A5846,'Base Prueba'!A:E,5,),"NO REGISTRA")</f>
        <v>OFICINA DE MERCADEO</v>
      </c>
    </row>
    <row r="5847" spans="1:5" ht="15.75" x14ac:dyDescent="0.25">
      <c r="A5847" s="14">
        <v>52443092</v>
      </c>
      <c r="B5847" s="2">
        <v>46136.540183101853</v>
      </c>
      <c r="C5847" s="3" t="str">
        <f>IFERROR(VLOOKUP(A5847,'Base Prueba'!A:C,3,),"NO REGISTRA")</f>
        <v>LUZ MYRIAM SAAVEDRA CONTRERAS</v>
      </c>
      <c r="D5847" s="4" t="str">
        <f>IFERROR(VLOOKUP(A5847,'Base Prueba'!A:D,4,),"NO REGISTRA")</f>
        <v>AUXILIAR DE SERVICIOS</v>
      </c>
      <c r="E5847" s="5" t="str">
        <f>IFERROR(VLOOKUP(A5847,'Base Prueba'!A:E,5,),"NO REGISTRA")</f>
        <v>LOGISTICA Y SERVICIOS GENERALES</v>
      </c>
    </row>
    <row r="5848" spans="1:5" ht="15.75" x14ac:dyDescent="0.25">
      <c r="A5848" s="14">
        <v>53932358</v>
      </c>
      <c r="B5848" s="2">
        <v>46136.577238541664</v>
      </c>
      <c r="C5848" s="3" t="str">
        <f>IFERROR(VLOOKUP(A5848,'Base Prueba'!A:C,3,),"NO REGISTRA")</f>
        <v>DIANA MADELEYNE GAONA RODRIGUEZ</v>
      </c>
      <c r="D5848" s="4" t="str">
        <f>IFERROR(VLOOKUP(A5848,'Base Prueba'!A:D,4,),"NO REGISTRA")</f>
        <v>CONTADOR</v>
      </c>
      <c r="E5848" s="5" t="str">
        <f>IFERROR(VLOOKUP(A5848,'Base Prueba'!A:E,5,),"NO REGISTRA")</f>
        <v>AREA FINANCIERA Y CONTABLE</v>
      </c>
    </row>
    <row r="5849" spans="1:5" ht="15.75" x14ac:dyDescent="0.25">
      <c r="A5849" s="14">
        <v>53089882</v>
      </c>
      <c r="B5849" s="2">
        <v>46136.674690856482</v>
      </c>
      <c r="C5849" s="3" t="str">
        <f>IFERROR(VLOOKUP(A5849,'Base Prueba'!A:C,3,),"NO REGISTRA")</f>
        <v>MARIA JOHANA ESCAMILLA MARTINEZ</v>
      </c>
      <c r="D5849" s="4" t="str">
        <f>IFERROR(VLOOKUP(A5849,'Base Prueba'!A:D,4,),"NO REGISTRA")</f>
        <v>PROMOTOR DE INFORMACIÓN</v>
      </c>
      <c r="E5849" s="5" t="str">
        <f>IFERROR(VLOOKUP(A5849,'Base Prueba'!A:E,5,),"NO REGISTRA")</f>
        <v>OFICINA DE MERCADEO</v>
      </c>
    </row>
    <row r="5850" spans="1:5" ht="15.75" x14ac:dyDescent="0.25">
      <c r="A5850" s="14">
        <v>1000611958</v>
      </c>
      <c r="B5850" s="2">
        <v>46136.709878472226</v>
      </c>
      <c r="C5850" s="3" t="str">
        <f>IFERROR(VLOOKUP(A5850,'Base Prueba'!A:C,3,),"NO REGISTRA")</f>
        <v>TYLER CORRADINE  VARGAS</v>
      </c>
      <c r="D5850" s="4" t="str">
        <f>IFERROR(VLOOKUP(A5850,'Base Prueba'!A:D,4,),"NO REGISTRA")</f>
        <v>APRENDIZ UNIVERSITARIO</v>
      </c>
      <c r="E5850" s="5" t="str">
        <f>IFERROR(VLOOKUP(A5850,'Base Prueba'!A:E,5,),"NO REGISTRA")</f>
        <v>DEPARTAMENTO DE INFORMATICA Y TECNOLOGIA</v>
      </c>
    </row>
    <row r="5851" spans="1:5" ht="15.75" x14ac:dyDescent="0.25">
      <c r="A5851" s="14">
        <v>1022996882</v>
      </c>
      <c r="B5851" s="2">
        <v>46136.710119097224</v>
      </c>
      <c r="C5851" s="3" t="str">
        <f>IFERROR(VLOOKUP(A5851,'Base Prueba'!A:C,3,),"NO REGISTRA")</f>
        <v>NANCY BRIGITH ALDANA GUEVARA</v>
      </c>
      <c r="D5851" s="4" t="str">
        <f>IFERROR(VLOOKUP(A5851,'Base Prueba'!A:D,4,),"NO REGISTRA")</f>
        <v>COORDINADORA DE GESTIÓN HUMANA</v>
      </c>
      <c r="E5851" s="5" t="str">
        <f>IFERROR(VLOOKUP(A5851,'Base Prueba'!A:E,5,),"NO REGISTRA")</f>
        <v>DEPARTAMENTO DE GESTION HUMANA</v>
      </c>
    </row>
    <row r="5852" spans="1:5" ht="15.75" x14ac:dyDescent="0.25">
      <c r="A5852" s="14">
        <v>1193457976</v>
      </c>
      <c r="B5852" s="2">
        <v>46136.710978703704</v>
      </c>
      <c r="C5852" s="3" t="str">
        <f>IFERROR(VLOOKUP(A5852,'Base Prueba'!A:C,3,),"NO REGISTRA")</f>
        <v>SEDENIS RIVAS ASPRILLA</v>
      </c>
      <c r="D5852" s="4" t="str">
        <f>IFERROR(VLOOKUP(A5852,'Base Prueba'!A:D,4,),"NO REGISTRA")</f>
        <v>APRENDIZ UNIVERSITARIO</v>
      </c>
      <c r="E5852" s="5" t="str">
        <f>IFERROR(VLOOKUP(A5852,'Base Prueba'!A:E,5,),"NO REGISTRA")</f>
        <v>DEPARTAMENTO DE GESTION HUMANA</v>
      </c>
    </row>
    <row r="5853" spans="1:5" ht="15.75" x14ac:dyDescent="0.25">
      <c r="A5853" s="14">
        <v>1000324729</v>
      </c>
      <c r="B5853" s="2">
        <v>46136.711616898145</v>
      </c>
      <c r="C5853" s="3" t="str">
        <f>IFERROR(VLOOKUP(A5853,'Base Prueba'!A:C,3,),"NO REGISTRA")</f>
        <v>ANYIE VANESSA TINOCO CAMACHO</v>
      </c>
      <c r="D5853" s="4" t="str">
        <f>IFERROR(VLOOKUP(A5853,'Base Prueba'!A:D,4,),"NO REGISTRA")</f>
        <v>LIDER DE REGISTRO Y CONTROL</v>
      </c>
      <c r="E5853" s="5" t="str">
        <f>IFERROR(VLOOKUP(A5853,'Base Prueba'!A:E,5,),"NO REGISTRA")</f>
        <v>REGISTRO Y CONTROL ACADEMICO</v>
      </c>
    </row>
    <row r="5854" spans="1:5" ht="15.75" x14ac:dyDescent="0.25">
      <c r="A5854" s="14">
        <v>1033820146</v>
      </c>
      <c r="B5854" s="2">
        <v>46136.71169398148</v>
      </c>
      <c r="C5854" s="3" t="str">
        <f>IFERROR(VLOOKUP(A5854,'Base Prueba'!A:C,3,),"NO REGISTRA")</f>
        <v>JULIETH ALEXANDRA BUSTAMANTE RUIZ</v>
      </c>
      <c r="D5854" s="4" t="str">
        <f>IFERROR(VLOOKUP(A5854,'Base Prueba'!A:D,4,),"NO REGISTRA")</f>
        <v>AUXILIAR ADMINISTRATIVO</v>
      </c>
      <c r="E5854" s="5" t="str">
        <f>IFERROR(VLOOKUP(A5854,'Base Prueba'!A:E,5,),"NO REGISTRA")</f>
        <v>REGISTRO Y CONTROL ACADEMICO</v>
      </c>
    </row>
    <row r="5855" spans="1:5" ht="15.75" x14ac:dyDescent="0.25">
      <c r="A5855" s="14">
        <v>1000467399</v>
      </c>
      <c r="B5855" s="2">
        <v>46136.711717129627</v>
      </c>
      <c r="C5855" s="3" t="str">
        <f>IFERROR(VLOOKUP(A5855,'Base Prueba'!A:C,3,),"NO REGISTRA")</f>
        <v>BRANDO ESTIVEN DIAZ QUIMBAYA</v>
      </c>
      <c r="D5855" s="4" t="str">
        <f>IFERROR(VLOOKUP(A5855,'Base Prueba'!A:D,4,),"NO REGISTRA")</f>
        <v>APRENDIZ UNIVERSITARIO</v>
      </c>
      <c r="E5855" s="5" t="str">
        <f>IFERROR(VLOOKUP(A5855,'Base Prueba'!A:E,5,),"NO REGISTRA")</f>
        <v>DEPARTAMENTO DE GESTION HUMANA</v>
      </c>
    </row>
    <row r="5856" spans="1:5" ht="15.75" x14ac:dyDescent="0.25">
      <c r="A5856" s="14">
        <v>1087121273</v>
      </c>
      <c r="B5856" s="2">
        <v>46136.712002314816</v>
      </c>
      <c r="C5856" s="3" t="str">
        <f>IFERROR(VLOOKUP(A5856,'Base Prueba'!A:C,3,),"NO REGISTRA")</f>
        <v>MAYRA ALEJANDRA CASTILLO ARBOLEDA</v>
      </c>
      <c r="D5856" s="4" t="str">
        <f>IFERROR(VLOOKUP(A5856,'Base Prueba'!A:D,4,),"NO REGISTRA")</f>
        <v>APOYO INTEGRAL DE MERCADEO</v>
      </c>
      <c r="E5856" s="5" t="str">
        <f>IFERROR(VLOOKUP(A5856,'Base Prueba'!A:E,5,),"NO REGISTRA")</f>
        <v>CENTRO DE GESTION DOCUMENTAL</v>
      </c>
    </row>
    <row r="5857" spans="1:5" ht="15.75" x14ac:dyDescent="0.25">
      <c r="A5857" s="14">
        <v>1014308296</v>
      </c>
      <c r="B5857" s="2">
        <v>46136.712467245372</v>
      </c>
      <c r="C5857" s="3" t="str">
        <f>IFERROR(VLOOKUP(A5857,'Base Prueba'!A:C,3,),"NO REGISTRA")</f>
        <v>DARLENE YULIANA MORENO CELEITA</v>
      </c>
      <c r="D5857" s="4" t="str">
        <f>IFERROR(VLOOKUP(A5857,'Base Prueba'!A:D,4,),"NO REGISTRA")</f>
        <v>CAJERO PRINCIPAL</v>
      </c>
      <c r="E5857" s="5" t="str">
        <f>IFERROR(VLOOKUP(A5857,'Base Prueba'!A:E,5,),"NO REGISTRA")</f>
        <v>AREA FINANCIERA Y CONTABLE</v>
      </c>
    </row>
    <row r="5858" spans="1:5" ht="15.75" x14ac:dyDescent="0.25">
      <c r="A5858" s="14">
        <v>1013616244</v>
      </c>
      <c r="B5858" s="2">
        <v>46136.712818402775</v>
      </c>
      <c r="C5858" s="3" t="str">
        <f>IFERROR(VLOOKUP(A5858,'Base Prueba'!A:C,3,),"NO REGISTRA")</f>
        <v>DIANA CAROLINA MARIN BETANCOURT</v>
      </c>
      <c r="D5858" s="4" t="str">
        <f>IFERROR(VLOOKUP(A5858,'Base Prueba'!A:D,4,),"NO REGISTRA")</f>
        <v>AUXILIAR ADMINISTRATIVO</v>
      </c>
      <c r="E5858" s="5" t="str">
        <f>IFERROR(VLOOKUP(A5858,'Base Prueba'!A:E,5,),"NO REGISTRA")</f>
        <v>REGISTRO Y CONTROL ACADEMICO</v>
      </c>
    </row>
    <row r="5859" spans="1:5" ht="15.75" x14ac:dyDescent="0.25">
      <c r="A5859" s="14">
        <v>1000593372</v>
      </c>
      <c r="B5859" s="2">
        <v>46136.712938310186</v>
      </c>
      <c r="C5859" s="3" t="str">
        <f>IFERROR(VLOOKUP(A5859,'Base Prueba'!A:C,3,),"NO REGISTRA")</f>
        <v>LAURA SOFIA CHAPARRO LOPEZ</v>
      </c>
      <c r="D5859" s="4" t="str">
        <f>IFERROR(VLOOKUP(A5859,'Base Prueba'!A:D,4,),"NO REGISTRA")</f>
        <v>AUXILIAR JURIDICO</v>
      </c>
      <c r="E5859" s="5" t="str">
        <f>IFERROR(VLOOKUP(A5859,'Base Prueba'!A:E,5,),"NO REGISTRA")</f>
        <v>SECRETARIA GENERAL</v>
      </c>
    </row>
    <row r="5860" spans="1:5" ht="15.75" x14ac:dyDescent="0.25">
      <c r="A5860" s="14">
        <v>1000604979</v>
      </c>
      <c r="B5860" s="2">
        <v>46136.712951504633</v>
      </c>
      <c r="C5860" s="3" t="str">
        <f>IFERROR(VLOOKUP(A5860,'Base Prueba'!A:C,3,),"NO REGISTRA")</f>
        <v>JULIETH TATIANA PARDO PINTO</v>
      </c>
      <c r="D5860" s="4" t="str">
        <f>IFERROR(VLOOKUP(A5860,'Base Prueba'!A:D,4,),"NO REGISTRA")</f>
        <v>AUXILIAR JURIDICO</v>
      </c>
      <c r="E5860" s="5" t="str">
        <f>IFERROR(VLOOKUP(A5860,'Base Prueba'!A:E,5,),"NO REGISTRA")</f>
        <v>SECRETARIA GENERAL</v>
      </c>
    </row>
    <row r="5861" spans="1:5" ht="15.75" x14ac:dyDescent="0.25">
      <c r="A5861" s="14">
        <v>1014977624</v>
      </c>
      <c r="B5861" s="2">
        <v>46136.713479398146</v>
      </c>
      <c r="C5861" s="3" t="str">
        <f>IFERROR(VLOOKUP(A5861,'Base Prueba'!A:C,3,),"NO REGISTRA")</f>
        <v>NICCOLE VALENTINA HERNANDEZ MALAVER</v>
      </c>
      <c r="D5861" s="4" t="str">
        <f>IFERROR(VLOOKUP(A5861,'Base Prueba'!A:D,4,),"NO REGISTRA")</f>
        <v>APRENDIZ UNIVERSITARIO</v>
      </c>
      <c r="E5861" s="5" t="str">
        <f>IFERROR(VLOOKUP(A5861,'Base Prueba'!A:E,5,),"NO REGISTRA")</f>
        <v>AREA FINANCIERA Y CONTABLE</v>
      </c>
    </row>
    <row r="5862" spans="1:5" ht="15.75" x14ac:dyDescent="0.25">
      <c r="A5862" s="14">
        <v>1049644802</v>
      </c>
      <c r="B5862" s="2">
        <v>46136.71440300926</v>
      </c>
      <c r="C5862" s="3" t="str">
        <f>IFERROR(VLOOKUP(A5862,'Base Prueba'!A:C,3,),"NO REGISTRA")</f>
        <v>DANIELA ALEXANDRA CIPAMOCHA BOSIGA</v>
      </c>
      <c r="D5862" s="4" t="str">
        <f>IFERROR(VLOOKUP(A5862,'Base Prueba'!A:D,4,),"NO REGISTRA")</f>
        <v>LIDER DE DATOS Y SERVICIOS</v>
      </c>
      <c r="E5862" s="5" t="str">
        <f>IFERROR(VLOOKUP(A5862,'Base Prueba'!A:E,5,),"NO REGISTRA")</f>
        <v>OFICINA DE PLANEACION Y GESTION DE LA CALIDAD</v>
      </c>
    </row>
    <row r="5863" spans="1:5" ht="15.75" x14ac:dyDescent="0.25">
      <c r="A5863" s="14">
        <v>1032469638</v>
      </c>
      <c r="B5863" s="2">
        <v>46136.714444212965</v>
      </c>
      <c r="C5863" s="3" t="str">
        <f>IFERROR(VLOOKUP(A5863,'Base Prueba'!A:C,3,),"NO REGISTRA")</f>
        <v>MAICOL JARBEY GUALTEROS CASTAÑEDA</v>
      </c>
      <c r="D5863" s="4" t="str">
        <f>IFERROR(VLOOKUP(A5863,'Base Prueba'!A:D,4,),"NO REGISTRA")</f>
        <v>COORDINADOR DEL SISTEMA INTERNO DE ASEGURAMIENTO DE LA CALIDAD - SIAC</v>
      </c>
      <c r="E5863" s="5" t="str">
        <f>IFERROR(VLOOKUP(A5863,'Base Prueba'!A:E,5,),"NO REGISTRA")</f>
        <v>OFICINA DE PLANEACION Y GESTION DE LA CALIDAD</v>
      </c>
    </row>
    <row r="5864" spans="1:5" ht="15.75" x14ac:dyDescent="0.25">
      <c r="A5864" s="14">
        <v>1000257136</v>
      </c>
      <c r="B5864" s="2">
        <v>46136.717700925925</v>
      </c>
      <c r="C5864" s="3" t="str">
        <f>IFERROR(VLOOKUP(A5864,'Base Prueba'!A:C,3,),"NO REGISTRA")</f>
        <v>FRANCI VALENTINA CANO PUENTES</v>
      </c>
      <c r="D5864" s="4" t="str">
        <f>IFERROR(VLOOKUP(A5864,'Base Prueba'!A:D,4,),"NO REGISTRA")</f>
        <v>AUXILIAR CONTABLE</v>
      </c>
      <c r="E5864" s="5" t="str">
        <f>IFERROR(VLOOKUP(A5864,'Base Prueba'!A:E,5,),"NO REGISTRA")</f>
        <v>AREA FINANCIERA Y CONTABLE</v>
      </c>
    </row>
    <row r="5865" spans="1:5" ht="15.75" x14ac:dyDescent="0.25">
      <c r="A5865" s="14">
        <v>1000457706</v>
      </c>
      <c r="B5865" s="2">
        <v>46136.717730787037</v>
      </c>
      <c r="C5865" s="3" t="str">
        <f>IFERROR(VLOOKUP(A5865,'Base Prueba'!A:C,3,),"NO REGISTRA")</f>
        <v>CRISTIAN DANILO ARROYO SANABRIA</v>
      </c>
      <c r="D5865" s="4" t="str">
        <f>IFERROR(VLOOKUP(A5865,'Base Prueba'!A:D,4,),"NO REGISTRA")</f>
        <v>AUXILIAR CONTABLE</v>
      </c>
      <c r="E5865" s="5" t="str">
        <f>IFERROR(VLOOKUP(A5865,'Base Prueba'!A:E,5,),"NO REGISTRA")</f>
        <v>AREA FINANCIERA Y CONTABLE</v>
      </c>
    </row>
    <row r="5866" spans="1:5" ht="15.75" x14ac:dyDescent="0.25">
      <c r="A5866" s="14">
        <v>1014266838</v>
      </c>
      <c r="B5866" s="2">
        <v>46136.717943055555</v>
      </c>
      <c r="C5866" s="3" t="str">
        <f>IFERROR(VLOOKUP(A5866,'Base Prueba'!A:C,3,),"NO REGISTRA")</f>
        <v>JENNIFER ASTRID ROMERO HURTADO</v>
      </c>
      <c r="D5866" s="4" t="str">
        <f>IFERROR(VLOOKUP(A5866,'Base Prueba'!A:D,4,),"NO REGISTRA")</f>
        <v>LIDER DE RECAUDO</v>
      </c>
      <c r="E5866" s="5" t="str">
        <f>IFERROR(VLOOKUP(A5866,'Base Prueba'!A:E,5,),"NO REGISTRA")</f>
        <v>AREA FINANCIERA Y CONTABLE</v>
      </c>
    </row>
    <row r="5867" spans="1:5" ht="15.75" x14ac:dyDescent="0.25">
      <c r="A5867" s="14">
        <v>1024512067</v>
      </c>
      <c r="B5867" s="2">
        <v>46136.742026504631</v>
      </c>
      <c r="C5867" s="3" t="str">
        <f>IFERROR(VLOOKUP(A5867,'Base Prueba'!A:C,3,),"NO REGISTRA")</f>
        <v>CINDY GIOVANA SALGAR GOMEZ</v>
      </c>
      <c r="D5867" s="4" t="str">
        <f>IFERROR(VLOOKUP(A5867,'Base Prueba'!A:D,4,),"NO REGISTRA")</f>
        <v>COORDINADOR DEL SISTEMA INTEGRADO DE GESTION INSTITUCIONAL - SIGI</v>
      </c>
      <c r="E5867" s="5" t="str">
        <f>IFERROR(VLOOKUP(A5867,'Base Prueba'!A:E,5,),"NO REGISTRA")</f>
        <v>OFICINA DE PLANEACION Y GESTION DE LA CALIDAD</v>
      </c>
    </row>
    <row r="5868" spans="1:5" ht="15.75" x14ac:dyDescent="0.25">
      <c r="A5868" s="14">
        <v>1023883232</v>
      </c>
      <c r="B5868" s="2">
        <v>46136.748416319446</v>
      </c>
      <c r="C5868" s="3" t="str">
        <f>IFERROR(VLOOKUP(A5868,'Base Prueba'!A:C,3,),"NO REGISTRA")</f>
        <v>MONICA ANDREA ACERO URBANO</v>
      </c>
      <c r="D5868" s="4" t="str">
        <f>IFERROR(VLOOKUP(A5868,'Base Prueba'!A:D,4,),"NO REGISTRA")</f>
        <v>APOYO INTEGRAL A GESTION HUMANA</v>
      </c>
      <c r="E5868" s="5" t="str">
        <f>IFERROR(VLOOKUP(A5868,'Base Prueba'!A:E,5,),"NO REGISTRA")</f>
        <v>DEPARTAMENTO DE GESTION HUMANA</v>
      </c>
    </row>
    <row r="5869" spans="1:5" ht="15.75" x14ac:dyDescent="0.25">
      <c r="A5869" s="14">
        <v>1012426741</v>
      </c>
      <c r="B5869" s="2">
        <v>46136.750221180555</v>
      </c>
      <c r="C5869" s="3" t="str">
        <f>IFERROR(VLOOKUP(A5869,'Base Prueba'!A:C,3,),"NO REGISTRA")</f>
        <v>CRISTIAN FABIAN ROJAS SANCENO</v>
      </c>
      <c r="D5869" s="4" t="str">
        <f>IFERROR(VLOOKUP(A5869,'Base Prueba'!A:D,4,),"NO REGISTRA")</f>
        <v>AUXILIAR DE REINTEGROS</v>
      </c>
      <c r="E5869" s="5" t="str">
        <f>IFERROR(VLOOKUP(A5869,'Base Prueba'!A:E,5,),"NO REGISTRA")</f>
        <v>DIRECCION DE BIENESTAR INSTITUCIONAL</v>
      </c>
    </row>
    <row r="5870" spans="1:5" ht="15.75" x14ac:dyDescent="0.25">
      <c r="A5870" s="14">
        <v>1000046533</v>
      </c>
      <c r="B5870" s="2">
        <v>46136.751335185189</v>
      </c>
      <c r="C5870" s="3" t="str">
        <f>IFERROR(VLOOKUP(A5870,'Base Prueba'!A:C,3,),"NO REGISTRA")</f>
        <v>ERIKA JULIETH VALDERRAMA SANCHEZ</v>
      </c>
      <c r="D5870" s="4" t="str">
        <f>IFERROR(VLOOKUP(A5870,'Base Prueba'!A:D,4,),"NO REGISTRA")</f>
        <v>PROMOTOR CALL CENTER</v>
      </c>
      <c r="E5870" s="5" t="str">
        <f>IFERROR(VLOOKUP(A5870,'Base Prueba'!A:E,5,),"NO REGISTRA")</f>
        <v>OFICINA DE MERCADEO</v>
      </c>
    </row>
    <row r="5871" spans="1:5" ht="15.75" x14ac:dyDescent="0.25">
      <c r="A5871" s="14">
        <v>52175674</v>
      </c>
      <c r="B5871" s="2">
        <v>46136.754499189818</v>
      </c>
      <c r="C5871" s="3" t="str">
        <f>IFERROR(VLOOKUP(A5871,'Base Prueba'!A:C,3,),"NO REGISTRA")</f>
        <v>LUZ YANETH GOMEZ AREVALO</v>
      </c>
      <c r="D5871" s="4" t="str">
        <f>IFERROR(VLOOKUP(A5871,'Base Prueba'!A:D,4,),"NO REGISTRA")</f>
        <v>COORDINADORA DE ADMISIONES</v>
      </c>
      <c r="E5871" s="5" t="str">
        <f>IFERROR(VLOOKUP(A5871,'Base Prueba'!A:E,5,),"NO REGISTRA")</f>
        <v>OFICINA DE MERCADEO</v>
      </c>
    </row>
    <row r="5872" spans="1:5" ht="15.75" x14ac:dyDescent="0.25">
      <c r="A5872" s="14">
        <v>1013098430</v>
      </c>
      <c r="B5872" s="2">
        <v>46136.75528229167</v>
      </c>
      <c r="C5872" s="3" t="str">
        <f>IFERROR(VLOOKUP(A5872,'Base Prueba'!A:C,3,),"NO REGISTRA")</f>
        <v>ANDRES FELIPE LOPEZ ROMERO</v>
      </c>
      <c r="D5872" s="4" t="str">
        <f>IFERROR(VLOOKUP(A5872,'Base Prueba'!A:D,4,),"NO REGISTRA")</f>
        <v>APRENDIZ UNIVERSITARIO</v>
      </c>
      <c r="E5872" s="5" t="str">
        <f>IFERROR(VLOOKUP(A5872,'Base Prueba'!A:E,5,),"NO REGISTRA")</f>
        <v>OFICINA DE MERCADEO</v>
      </c>
    </row>
    <row r="5873" spans="1:5" ht="15.75" x14ac:dyDescent="0.25">
      <c r="A5873" s="14">
        <v>52472386</v>
      </c>
      <c r="B5873" s="2">
        <v>46136.764153472221</v>
      </c>
      <c r="C5873" s="3" t="str">
        <f>IFERROR(VLOOKUP(A5873,'Base Prueba'!A:C,3,),"NO REGISTRA")</f>
        <v>ADRIANA MARCELA MORALES PARDO</v>
      </c>
      <c r="D5873" s="4" t="str">
        <f>IFERROR(VLOOKUP(A5873,'Base Prueba'!A:D,4,),"NO REGISTRA")</f>
        <v>PROMOTOR CALL CENTER</v>
      </c>
      <c r="E5873" s="5" t="str">
        <f>IFERROR(VLOOKUP(A5873,'Base Prueba'!A:E,5,),"NO REGISTRA")</f>
        <v>OFICINA DE MERCADEO</v>
      </c>
    </row>
    <row r="5874" spans="1:5" ht="15.75" x14ac:dyDescent="0.25">
      <c r="A5874" s="14">
        <v>1032407386</v>
      </c>
      <c r="B5874" s="2">
        <v>46136.765295486111</v>
      </c>
      <c r="C5874" s="3" t="str">
        <f>IFERROR(VLOOKUP(A5874,'Base Prueba'!A:C,3,),"NO REGISTRA")</f>
        <v>GINA PAOLA BAEZ GALVIS</v>
      </c>
      <c r="D5874" s="4" t="str">
        <f>IFERROR(VLOOKUP(A5874,'Base Prueba'!A:D,4,),"NO REGISTRA")</f>
        <v>PROMOTOR CALL CENTER</v>
      </c>
      <c r="E5874" s="5" t="str">
        <f>IFERROR(VLOOKUP(A5874,'Base Prueba'!A:E,5,),"NO REGISTRA")</f>
        <v>OFICINA DE MERCADEO</v>
      </c>
    </row>
    <row r="5875" spans="1:5" ht="15.75" x14ac:dyDescent="0.25">
      <c r="A5875" s="14">
        <v>1018414290</v>
      </c>
      <c r="B5875" s="2">
        <v>46136.765355555559</v>
      </c>
      <c r="C5875" s="3" t="str">
        <f>IFERROR(VLOOKUP(A5875,'Base Prueba'!A:C,3,),"NO REGISTRA")</f>
        <v>AMANDA LISBETH RODRIGUEZ LEON</v>
      </c>
      <c r="D5875" s="4" t="str">
        <f>IFERROR(VLOOKUP(A5875,'Base Prueba'!A:D,4,),"NO REGISTRA")</f>
        <v>PROMOTOR CALL CENTER</v>
      </c>
      <c r="E5875" s="5" t="str">
        <f>IFERROR(VLOOKUP(A5875,'Base Prueba'!A:E,5,),"NO REGISTRA")</f>
        <v>OFICINA DE MERCADEO</v>
      </c>
    </row>
    <row r="5876" spans="1:5" ht="15.75" x14ac:dyDescent="0.25">
      <c r="A5876" s="14">
        <v>1018413529</v>
      </c>
      <c r="B5876" s="2">
        <v>46136.765617013887</v>
      </c>
      <c r="C5876" s="3" t="str">
        <f>IFERROR(VLOOKUP(A5876,'Base Prueba'!A:C,3,),"NO REGISTRA")</f>
        <v>FRANCY STELLA CHARRY MORENO</v>
      </c>
      <c r="D5876" s="4" t="str">
        <f>IFERROR(VLOOKUP(A5876,'Base Prueba'!A:D,4,),"NO REGISTRA")</f>
        <v>PROMOTOR COMERCIAL DEL CEA</v>
      </c>
      <c r="E5876" s="5" t="str">
        <f>IFERROR(VLOOKUP(A5876,'Base Prueba'!A:E,5,),"NO REGISTRA")</f>
        <v>OFICINA DE MERCADEO</v>
      </c>
    </row>
    <row r="5877" spans="1:5" ht="15.75" x14ac:dyDescent="0.25">
      <c r="A5877" s="14">
        <v>80191732</v>
      </c>
      <c r="B5877" s="2">
        <v>46136.765789699071</v>
      </c>
      <c r="C5877" s="3" t="str">
        <f>IFERROR(VLOOKUP(A5877,'Base Prueba'!A:C,3,),"NO REGISTRA")</f>
        <v>DANIEL MAURICIO ZAMBRANO TUNJANO</v>
      </c>
      <c r="D5877" s="4" t="str">
        <f>IFERROR(VLOOKUP(A5877,'Base Prueba'!A:D,4,),"NO REGISTRA")</f>
        <v>COORDINADOR DE DISEÑO E IMAGEN INSTITUCIONAL</v>
      </c>
      <c r="E5877" s="5" t="str">
        <f>IFERROR(VLOOKUP(A5877,'Base Prueba'!A:E,5,),"NO REGISTRA")</f>
        <v>OFICINA DE MERCADEO</v>
      </c>
    </row>
    <row r="5878" spans="1:5" ht="15.75" x14ac:dyDescent="0.25">
      <c r="A5878" s="14">
        <v>52474489</v>
      </c>
      <c r="B5878" s="2">
        <v>46136.774701620372</v>
      </c>
      <c r="C5878" s="3" t="str">
        <f>IFERROR(VLOOKUP(A5878,'Base Prueba'!A:C,3,),"NO REGISTRA")</f>
        <v>ADRIANA JIMENA SOTO BOCANEGRA</v>
      </c>
      <c r="D5878" s="4" t="str">
        <f>IFERROR(VLOOKUP(A5878,'Base Prueba'!A:D,4,),"NO REGISTRA")</f>
        <v>COORDINADOR DE LA OFICINA DE REGISTRO Y CONTROL</v>
      </c>
      <c r="E5878" s="5" t="str">
        <f>IFERROR(VLOOKUP(A5878,'Base Prueba'!A:E,5,),"NO REGISTRA")</f>
        <v>REGISTRO Y CONTROL ACADEMICO</v>
      </c>
    </row>
    <row r="5879" spans="1:5" ht="15.75" x14ac:dyDescent="0.25">
      <c r="A5879" s="14">
        <v>28798349</v>
      </c>
      <c r="B5879" s="2">
        <v>46136.775795138892</v>
      </c>
      <c r="C5879" s="3" t="str">
        <f>IFERROR(VLOOKUP(A5879,'Base Prueba'!A:C,3,),"NO REGISTRA")</f>
        <v>MARTHA ISABEL TOVAR WILLIAMS</v>
      </c>
      <c r="D5879" s="4" t="str">
        <f>IFERROR(VLOOKUP(A5879,'Base Prueba'!A:D,4,),"NO REGISTRA")</f>
        <v>PROMOTOR CALL CENTER</v>
      </c>
      <c r="E5879" s="5" t="str">
        <f>IFERROR(VLOOKUP(A5879,'Base Prueba'!A:E,5,),"NO REGISTRA")</f>
        <v>OFICINA DE MERCADEO</v>
      </c>
    </row>
    <row r="5880" spans="1:5" ht="15.75" x14ac:dyDescent="0.25">
      <c r="A5880" s="14">
        <v>1013101788</v>
      </c>
      <c r="B5880" s="2">
        <v>46136.776178703702</v>
      </c>
      <c r="C5880" s="3" t="str">
        <f>IFERROR(VLOOKUP(A5880,'Base Prueba'!A:C,3,),"NO REGISTRA")</f>
        <v>SARA TANGARIFE MONTOYA</v>
      </c>
      <c r="D5880" s="4" t="str">
        <f>IFERROR(VLOOKUP(A5880,'Base Prueba'!A:D,4,),"NO REGISTRA")</f>
        <v>APRENDIZ UNIVERSITARIO</v>
      </c>
      <c r="E5880" s="5" t="str">
        <f>IFERROR(VLOOKUP(A5880,'Base Prueba'!A:E,5,),"NO REGISTRA")</f>
        <v>OFICINA DE MERCADEO</v>
      </c>
    </row>
    <row r="5881" spans="1:5" ht="15.75" x14ac:dyDescent="0.25">
      <c r="A5881" s="14">
        <v>1033709056</v>
      </c>
      <c r="B5881" s="2">
        <v>46136.778587384259</v>
      </c>
      <c r="C5881" s="3" t="str">
        <f>IFERROR(VLOOKUP(A5881,'Base Prueba'!A:C,3,),"NO REGISTRA")</f>
        <v>YEIMY ALEXANDRA RODRIGUEZ PALACIO</v>
      </c>
      <c r="D5881" s="4" t="str">
        <f>IFERROR(VLOOKUP(A5881,'Base Prueba'!A:D,4,),"NO REGISTRA")</f>
        <v>PROMOTOR CALL CENTER</v>
      </c>
      <c r="E5881" s="5" t="str">
        <f>IFERROR(VLOOKUP(A5881,'Base Prueba'!A:E,5,),"NO REGISTRA")</f>
        <v>OFICINA DE MERCADEO</v>
      </c>
    </row>
    <row r="5882" spans="1:5" ht="15.75" x14ac:dyDescent="0.25">
      <c r="A5882" s="14">
        <v>52225539</v>
      </c>
      <c r="B5882" s="2">
        <v>46136.780883217594</v>
      </c>
      <c r="C5882" s="3" t="str">
        <f>IFERROR(VLOOKUP(A5882,'Base Prueba'!A:C,3,),"NO REGISTRA")</f>
        <v>LISA MINELLY ZAMBRANO CONTRERAS</v>
      </c>
      <c r="D5882" s="4" t="str">
        <f>IFERROR(VLOOKUP(A5882,'Base Prueba'!A:D,4,),"NO REGISTRA")</f>
        <v>LIDER DE COMPRAS</v>
      </c>
      <c r="E5882" s="5" t="str">
        <f>IFERROR(VLOOKUP(A5882,'Base Prueba'!A:E,5,),"NO REGISTRA")</f>
        <v>VICERRECTORIA ADMINISTRATIVA Y FINANCIERA</v>
      </c>
    </row>
    <row r="5883" spans="1:5" ht="15.75" x14ac:dyDescent="0.25">
      <c r="A5883" s="14">
        <v>1023961952</v>
      </c>
      <c r="B5883" s="2">
        <v>46136.830877314816</v>
      </c>
      <c r="C5883" s="3" t="str">
        <f>IFERROR(VLOOKUP(A5883,'Base Prueba'!A:C,3,),"NO REGISTRA")</f>
        <v>ALEJANDRO PINZON MERCHAN</v>
      </c>
      <c r="D5883" s="4" t="str">
        <f>IFERROR(VLOOKUP(A5883,'Base Prueba'!A:D,4,),"NO REGISTRA")</f>
        <v>PROMOTOR CALL CENTER</v>
      </c>
      <c r="E5883" s="5" t="str">
        <f>IFERROR(VLOOKUP(A5883,'Base Prueba'!A:E,5,),"NO REGISTRA")</f>
        <v>OFICINA DE MERCADEO</v>
      </c>
    </row>
    <row r="5884" spans="1:5" ht="15.75" x14ac:dyDescent="0.25">
      <c r="A5884" s="14">
        <v>1019105003</v>
      </c>
      <c r="B5884" s="2">
        <v>46136.830920601853</v>
      </c>
      <c r="C5884" s="3" t="str">
        <f>IFERROR(VLOOKUP(A5884,'Base Prueba'!A:C,3,),"NO REGISTRA")</f>
        <v>DAISY JULIETH GASPAR MORENO</v>
      </c>
      <c r="D5884" s="4" t="str">
        <f>IFERROR(VLOOKUP(A5884,'Base Prueba'!A:D,4,),"NO REGISTRA")</f>
        <v>PROMOTOR CALL CENTER</v>
      </c>
      <c r="E5884" s="5" t="str">
        <f>IFERROR(VLOOKUP(A5884,'Base Prueba'!A:E,5,),"NO REGISTRA")</f>
        <v>OFICINA DE MERCADEO</v>
      </c>
    </row>
    <row r="5885" spans="1:5" ht="15.75" x14ac:dyDescent="0.25">
      <c r="A5885" s="14">
        <v>80234243</v>
      </c>
      <c r="B5885" s="2">
        <v>46136.846413310188</v>
      </c>
      <c r="C5885" s="3" t="str">
        <f>IFERROR(VLOOKUP(A5885,'Base Prueba'!A:C,3,),"NO REGISTRA")</f>
        <v>ARGENIS MARTINEZ MARTINEZ</v>
      </c>
      <c r="D5885" s="4" t="str">
        <f>IFERROR(VLOOKUP(A5885,'Base Prueba'!A:D,4,),"NO REGISTRA")</f>
        <v>LIDER CALL CENTER</v>
      </c>
      <c r="E5885" s="5" t="str">
        <f>IFERROR(VLOOKUP(A5885,'Base Prueba'!A:E,5,),"NO REGISTRA")</f>
        <v>OFICINA DE MERCADEO</v>
      </c>
    </row>
    <row r="5886" spans="1:5" ht="15.75" x14ac:dyDescent="0.25">
      <c r="A5886" s="14">
        <v>1013616244</v>
      </c>
      <c r="B5886" s="2">
        <v>46137.321128935182</v>
      </c>
      <c r="C5886" s="3" t="str">
        <f>IFERROR(VLOOKUP(A5886,'Base Prueba'!A:C,3,),"NO REGISTRA")</f>
        <v>DIANA CAROLINA MARIN BETANCOURT</v>
      </c>
      <c r="D5886" s="4" t="str">
        <f>IFERROR(VLOOKUP(A5886,'Base Prueba'!A:D,4,),"NO REGISTRA")</f>
        <v>AUXILIAR ADMINISTRATIVO</v>
      </c>
      <c r="E5886" s="5" t="str">
        <f>IFERROR(VLOOKUP(A5886,'Base Prueba'!A:E,5,),"NO REGISTRA")</f>
        <v>REGISTRO Y CONTROL ACADEMICO</v>
      </c>
    </row>
    <row r="5887" spans="1:5" ht="15.75" x14ac:dyDescent="0.25">
      <c r="A5887" s="14">
        <v>1018414290</v>
      </c>
      <c r="B5887" s="2">
        <v>46137.327308680557</v>
      </c>
      <c r="C5887" s="3" t="str">
        <f>IFERROR(VLOOKUP(A5887,'Base Prueba'!A:C,3,),"NO REGISTRA")</f>
        <v>AMANDA LISBETH RODRIGUEZ LEON</v>
      </c>
      <c r="D5887" s="4" t="str">
        <f>IFERROR(VLOOKUP(A5887,'Base Prueba'!A:D,4,),"NO REGISTRA")</f>
        <v>PROMOTOR CALL CENTER</v>
      </c>
      <c r="E5887" s="5" t="str">
        <f>IFERROR(VLOOKUP(A5887,'Base Prueba'!A:E,5,),"NO REGISTRA")</f>
        <v>OFICINA DE MERCADEO</v>
      </c>
    </row>
    <row r="5888" spans="1:5" ht="15.75" x14ac:dyDescent="0.25">
      <c r="A5888" s="14">
        <v>1032407386</v>
      </c>
      <c r="B5888" s="2">
        <v>46137.32742523148</v>
      </c>
      <c r="C5888" s="3" t="str">
        <f>IFERROR(VLOOKUP(A5888,'Base Prueba'!A:C,3,),"NO REGISTRA")</f>
        <v>GINA PAOLA BAEZ GALVIS</v>
      </c>
      <c r="D5888" s="4" t="str">
        <f>IFERROR(VLOOKUP(A5888,'Base Prueba'!A:D,4,),"NO REGISTRA")</f>
        <v>PROMOTOR CALL CENTER</v>
      </c>
      <c r="E5888" s="5" t="str">
        <f>IFERROR(VLOOKUP(A5888,'Base Prueba'!A:E,5,),"NO REGISTRA")</f>
        <v>OFICINA DE MERCADEO</v>
      </c>
    </row>
    <row r="5889" spans="1:5" ht="15.75" x14ac:dyDescent="0.25">
      <c r="A5889" s="14">
        <v>80234243</v>
      </c>
      <c r="B5889" s="2">
        <v>46137.333660300923</v>
      </c>
      <c r="C5889" s="3" t="str">
        <f>IFERROR(VLOOKUP(A5889,'Base Prueba'!A:C,3,),"NO REGISTRA")</f>
        <v>ARGENIS MARTINEZ MARTINEZ</v>
      </c>
      <c r="D5889" s="4" t="str">
        <f>IFERROR(VLOOKUP(A5889,'Base Prueba'!A:D,4,),"NO REGISTRA")</f>
        <v>LIDER CALL CENTER</v>
      </c>
      <c r="E5889" s="5" t="str">
        <f>IFERROR(VLOOKUP(A5889,'Base Prueba'!A:E,5,),"NO REGISTRA")</f>
        <v>OFICINA DE MERCADEO</v>
      </c>
    </row>
    <row r="5890" spans="1:5" ht="15.75" x14ac:dyDescent="0.25">
      <c r="A5890" s="14">
        <v>52472386</v>
      </c>
      <c r="B5890" s="2">
        <v>46137.360413310184</v>
      </c>
      <c r="C5890" s="3" t="str">
        <f>IFERROR(VLOOKUP(A5890,'Base Prueba'!A:C,3,),"NO REGISTRA")</f>
        <v>ADRIANA MARCELA MORALES PARDO</v>
      </c>
      <c r="D5890" s="4" t="str">
        <f>IFERROR(VLOOKUP(A5890,'Base Prueba'!A:D,4,),"NO REGISTRA")</f>
        <v>PROMOTOR CALL CENTER</v>
      </c>
      <c r="E5890" s="5" t="str">
        <f>IFERROR(VLOOKUP(A5890,'Base Prueba'!A:E,5,),"NO REGISTRA")</f>
        <v>OFICINA DE MERCADEO</v>
      </c>
    </row>
    <row r="5891" spans="1:5" ht="15.75" x14ac:dyDescent="0.25">
      <c r="A5891" s="14">
        <v>1033709056</v>
      </c>
      <c r="B5891" s="2">
        <v>46137.368425925924</v>
      </c>
      <c r="C5891" s="3" t="str">
        <f>IFERROR(VLOOKUP(A5891,'Base Prueba'!A:C,3,),"NO REGISTRA")</f>
        <v>YEIMY ALEXANDRA RODRIGUEZ PALACIO</v>
      </c>
      <c r="D5891" s="4" t="str">
        <f>IFERROR(VLOOKUP(A5891,'Base Prueba'!A:D,4,),"NO REGISTRA")</f>
        <v>PROMOTOR CALL CENTER</v>
      </c>
      <c r="E5891" s="5" t="str">
        <f>IFERROR(VLOOKUP(A5891,'Base Prueba'!A:E,5,),"NO REGISTRA")</f>
        <v>OFICINA DE MERCADEO</v>
      </c>
    </row>
    <row r="5892" spans="1:5" ht="15.75" x14ac:dyDescent="0.25">
      <c r="A5892" s="14">
        <v>1014308296</v>
      </c>
      <c r="B5892" s="2">
        <v>46137.372481828701</v>
      </c>
      <c r="C5892" s="3" t="str">
        <f>IFERROR(VLOOKUP(A5892,'Base Prueba'!A:C,3,),"NO REGISTRA")</f>
        <v>DARLENE YULIANA MORENO CELEITA</v>
      </c>
      <c r="D5892" s="4" t="str">
        <f>IFERROR(VLOOKUP(A5892,'Base Prueba'!A:D,4,),"NO REGISTRA")</f>
        <v>CAJERO PRINCIPAL</v>
      </c>
      <c r="E5892" s="5" t="str">
        <f>IFERROR(VLOOKUP(A5892,'Base Prueba'!A:E,5,),"NO REGISTRA")</f>
        <v>AREA FINANCIERA Y CONTABLE</v>
      </c>
    </row>
    <row r="5893" spans="1:5" ht="15.75" x14ac:dyDescent="0.25">
      <c r="A5893" s="14">
        <v>52175674</v>
      </c>
      <c r="B5893" s="2">
        <v>46137.379062731481</v>
      </c>
      <c r="C5893" s="3" t="str">
        <f>IFERROR(VLOOKUP(A5893,'Base Prueba'!A:C,3,),"NO REGISTRA")</f>
        <v>LUZ YANETH GOMEZ AREVALO</v>
      </c>
      <c r="D5893" s="4" t="str">
        <f>IFERROR(VLOOKUP(A5893,'Base Prueba'!A:D,4,),"NO REGISTRA")</f>
        <v>COORDINADORA DE ADMISIONES</v>
      </c>
      <c r="E5893" s="5" t="str">
        <f>IFERROR(VLOOKUP(A5893,'Base Prueba'!A:E,5,),"NO REGISTRA")</f>
        <v>OFICINA DE MERCADEO</v>
      </c>
    </row>
    <row r="5894" spans="1:5" ht="15.75" x14ac:dyDescent="0.25">
      <c r="A5894" s="14">
        <v>1087121273</v>
      </c>
      <c r="B5894" s="2">
        <v>46137.379222569441</v>
      </c>
      <c r="C5894" s="3" t="str">
        <f>IFERROR(VLOOKUP(A5894,'Base Prueba'!A:C,3,),"NO REGISTRA")</f>
        <v>MAYRA ALEJANDRA CASTILLO ARBOLEDA</v>
      </c>
      <c r="D5894" s="4" t="str">
        <f>IFERROR(VLOOKUP(A5894,'Base Prueba'!A:D,4,),"NO REGISTRA")</f>
        <v>APOYO INTEGRAL DE MERCADEO</v>
      </c>
      <c r="E5894" s="5" t="str">
        <f>IFERROR(VLOOKUP(A5894,'Base Prueba'!A:E,5,),"NO REGISTRA")</f>
        <v>CENTRO DE GESTION DOCUMENTAL</v>
      </c>
    </row>
    <row r="5895" spans="1:5" ht="15.75" x14ac:dyDescent="0.25">
      <c r="A5895" s="14">
        <v>1024512067</v>
      </c>
      <c r="B5895" s="2">
        <v>46137.381399652775</v>
      </c>
      <c r="C5895" s="3" t="str">
        <f>IFERROR(VLOOKUP(A5895,'Base Prueba'!A:C,3,),"NO REGISTRA")</f>
        <v>CINDY GIOVANA SALGAR GOMEZ</v>
      </c>
      <c r="D5895" s="4" t="str">
        <f>IFERROR(VLOOKUP(A5895,'Base Prueba'!A:D,4,),"NO REGISTRA")</f>
        <v>COORDINADOR DEL SISTEMA INTEGRADO DE GESTION INSTITUCIONAL - SIGI</v>
      </c>
      <c r="E5895" s="5" t="str">
        <f>IFERROR(VLOOKUP(A5895,'Base Prueba'!A:E,5,),"NO REGISTRA")</f>
        <v>OFICINA DE PLANEACION Y GESTION DE LA CALIDAD</v>
      </c>
    </row>
    <row r="5896" spans="1:5" ht="15.75" x14ac:dyDescent="0.25">
      <c r="A5896" s="14">
        <v>1013098430</v>
      </c>
      <c r="B5896" s="2">
        <v>46137.388270601848</v>
      </c>
      <c r="C5896" s="3" t="str">
        <f>IFERROR(VLOOKUP(A5896,'Base Prueba'!A:C,3,),"NO REGISTRA")</f>
        <v>ANDRES FELIPE LOPEZ ROMERO</v>
      </c>
      <c r="D5896" s="4" t="str">
        <f>IFERROR(VLOOKUP(A5896,'Base Prueba'!A:D,4,),"NO REGISTRA")</f>
        <v>APRENDIZ UNIVERSITARIO</v>
      </c>
      <c r="E5896" s="5" t="str">
        <f>IFERROR(VLOOKUP(A5896,'Base Prueba'!A:E,5,),"NO REGISTRA")</f>
        <v>OFICINA DE MERCADEO</v>
      </c>
    </row>
    <row r="5897" spans="1:5" ht="15.75" x14ac:dyDescent="0.25">
      <c r="A5897" s="14">
        <v>1000046533</v>
      </c>
      <c r="B5897" s="2">
        <v>46137.389189351852</v>
      </c>
      <c r="C5897" s="3" t="str">
        <f>IFERROR(VLOOKUP(A5897,'Base Prueba'!A:C,3,),"NO REGISTRA")</f>
        <v>ERIKA JULIETH VALDERRAMA SANCHEZ</v>
      </c>
      <c r="D5897" s="4" t="str">
        <f>IFERROR(VLOOKUP(A5897,'Base Prueba'!A:D,4,),"NO REGISTRA")</f>
        <v>PROMOTOR CALL CENTER</v>
      </c>
      <c r="E5897" s="5" t="str">
        <f>IFERROR(VLOOKUP(A5897,'Base Prueba'!A:E,5,),"NO REGISTRA")</f>
        <v>OFICINA DE MERCADEO</v>
      </c>
    </row>
    <row r="5898" spans="1:5" ht="15.75" x14ac:dyDescent="0.25">
      <c r="A5898" s="14">
        <v>52764929</v>
      </c>
      <c r="B5898" s="2">
        <v>46137.392026967595</v>
      </c>
      <c r="C5898" s="3" t="str">
        <f>IFERROR(VLOOKUP(A5898,'Base Prueba'!A:C,3,),"NO REGISTRA")</f>
        <v>GUERLY YOHANA DURAN RIVERA</v>
      </c>
      <c r="D5898" s="4" t="str">
        <f>IFERROR(VLOOKUP(A5898,'Base Prueba'!A:D,4,),"NO REGISTRA")</f>
        <v>LIDER DE VINCULACION COLEGIOS</v>
      </c>
      <c r="E5898" s="5" t="str">
        <f>IFERROR(VLOOKUP(A5898,'Base Prueba'!A:E,5,),"NO REGISTRA")</f>
        <v>OFICINA DE MERCADEO</v>
      </c>
    </row>
    <row r="5899" spans="1:5" ht="15.75" x14ac:dyDescent="0.25">
      <c r="A5899" s="14">
        <v>1018414290</v>
      </c>
      <c r="B5899" s="2">
        <v>46137.468841782407</v>
      </c>
      <c r="C5899" s="3" t="str">
        <f>IFERROR(VLOOKUP(A5899,'Base Prueba'!A:C,3,),"NO REGISTRA")</f>
        <v>AMANDA LISBETH RODRIGUEZ LEON</v>
      </c>
      <c r="D5899" s="4" t="str">
        <f>IFERROR(VLOOKUP(A5899,'Base Prueba'!A:D,4,),"NO REGISTRA")</f>
        <v>PROMOTOR CALL CENTER</v>
      </c>
      <c r="E5899" s="5" t="str">
        <f>IFERROR(VLOOKUP(A5899,'Base Prueba'!A:E,5,),"NO REGISTRA")</f>
        <v>OFICINA DE MERCADEO</v>
      </c>
    </row>
    <row r="5900" spans="1:5" ht="15.75" x14ac:dyDescent="0.25">
      <c r="A5900" s="14">
        <v>1000611958</v>
      </c>
      <c r="B5900" s="2">
        <v>46137.49956851852</v>
      </c>
      <c r="C5900" s="3" t="str">
        <f>IFERROR(VLOOKUP(A5900,'Base Prueba'!A:C,3,),"NO REGISTRA")</f>
        <v>TYLER CORRADINE  VARGAS</v>
      </c>
      <c r="D5900" s="4" t="str">
        <f>IFERROR(VLOOKUP(A5900,'Base Prueba'!A:D,4,),"NO REGISTRA")</f>
        <v>APRENDIZ UNIVERSITARIO</v>
      </c>
      <c r="E5900" s="5" t="str">
        <f>IFERROR(VLOOKUP(A5900,'Base Prueba'!A:E,5,),"NO REGISTRA")</f>
        <v>DEPARTAMENTO DE INFORMATICA Y TECNOLOGIA</v>
      </c>
    </row>
    <row r="5901" spans="1:5" ht="15.75" x14ac:dyDescent="0.25">
      <c r="A5901" s="14">
        <v>1024512067</v>
      </c>
      <c r="B5901" s="2">
        <v>46137.500143055557</v>
      </c>
      <c r="C5901" s="3" t="str">
        <f>IFERROR(VLOOKUP(A5901,'Base Prueba'!A:C,3,),"NO REGISTRA")</f>
        <v>CINDY GIOVANA SALGAR GOMEZ</v>
      </c>
      <c r="D5901" s="4" t="str">
        <f>IFERROR(VLOOKUP(A5901,'Base Prueba'!A:D,4,),"NO REGISTRA")</f>
        <v>COORDINADOR DEL SISTEMA INTEGRADO DE GESTION INSTITUCIONAL - SIGI</v>
      </c>
      <c r="E5901" s="5" t="str">
        <f>IFERROR(VLOOKUP(A5901,'Base Prueba'!A:E,5,),"NO REGISTRA")</f>
        <v>OFICINA DE PLANEACION Y GESTION DE LA CALIDAD</v>
      </c>
    </row>
    <row r="5902" spans="1:5" ht="15.75" x14ac:dyDescent="0.25">
      <c r="A5902" s="14">
        <v>52443092</v>
      </c>
      <c r="B5902" s="2">
        <v>46137.50149166667</v>
      </c>
      <c r="C5902" s="3" t="str">
        <f>IFERROR(VLOOKUP(A5902,'Base Prueba'!A:C,3,),"NO REGISTRA")</f>
        <v>LUZ MYRIAM SAAVEDRA CONTRERAS</v>
      </c>
      <c r="D5902" s="4" t="str">
        <f>IFERROR(VLOOKUP(A5902,'Base Prueba'!A:D,4,),"NO REGISTRA")</f>
        <v>AUXILIAR DE SERVICIOS</v>
      </c>
      <c r="E5902" s="5" t="str">
        <f>IFERROR(VLOOKUP(A5902,'Base Prueba'!A:E,5,),"NO REGISTRA")</f>
        <v>LOGISTICA Y SERVICIOS GENERALES</v>
      </c>
    </row>
    <row r="5903" spans="1:5" ht="15.75" x14ac:dyDescent="0.25">
      <c r="A5903" s="14">
        <v>1013098430</v>
      </c>
      <c r="B5903" s="2">
        <v>46137.509742361108</v>
      </c>
      <c r="C5903" s="3" t="str">
        <f>IFERROR(VLOOKUP(A5903,'Base Prueba'!A:C,3,),"NO REGISTRA")</f>
        <v>ANDRES FELIPE LOPEZ ROMERO</v>
      </c>
      <c r="D5903" s="4" t="str">
        <f>IFERROR(VLOOKUP(A5903,'Base Prueba'!A:D,4,),"NO REGISTRA")</f>
        <v>APRENDIZ UNIVERSITARIO</v>
      </c>
      <c r="E5903" s="5" t="str">
        <f>IFERROR(VLOOKUP(A5903,'Base Prueba'!A:E,5,),"NO REGISTRA")</f>
        <v>OFICINA DE MERCADEO</v>
      </c>
    </row>
    <row r="5904" spans="1:5" ht="15.75" x14ac:dyDescent="0.25">
      <c r="A5904" s="14">
        <v>52175674</v>
      </c>
      <c r="B5904" s="2">
        <v>46137.511230555552</v>
      </c>
      <c r="C5904" s="3" t="str">
        <f>IFERROR(VLOOKUP(A5904,'Base Prueba'!A:C,3,),"NO REGISTRA")</f>
        <v>LUZ YANETH GOMEZ AREVALO</v>
      </c>
      <c r="D5904" s="4" t="str">
        <f>IFERROR(VLOOKUP(A5904,'Base Prueba'!A:D,4,),"NO REGISTRA")</f>
        <v>COORDINADORA DE ADMISIONES</v>
      </c>
      <c r="E5904" s="5" t="str">
        <f>IFERROR(VLOOKUP(A5904,'Base Prueba'!A:E,5,),"NO REGISTRA")</f>
        <v>OFICINA DE MERCADEO</v>
      </c>
    </row>
    <row r="5905" spans="1:5" ht="15.75" x14ac:dyDescent="0.25">
      <c r="A5905" s="14">
        <v>1014308296</v>
      </c>
      <c r="B5905" s="2">
        <v>46137.517125115737</v>
      </c>
      <c r="C5905" s="3" t="str">
        <f>IFERROR(VLOOKUP(A5905,'Base Prueba'!A:C,3,),"NO REGISTRA")</f>
        <v>DARLENE YULIANA MORENO CELEITA</v>
      </c>
      <c r="D5905" s="4" t="str">
        <f>IFERROR(VLOOKUP(A5905,'Base Prueba'!A:D,4,),"NO REGISTRA")</f>
        <v>CAJERO PRINCIPAL</v>
      </c>
      <c r="E5905" s="5" t="str">
        <f>IFERROR(VLOOKUP(A5905,'Base Prueba'!A:E,5,),"NO REGISTRA")</f>
        <v>AREA FINANCIERA Y CONTABLE</v>
      </c>
    </row>
    <row r="5906" spans="1:5" ht="15.75" x14ac:dyDescent="0.25">
      <c r="A5906" s="14">
        <v>52472386</v>
      </c>
      <c r="B5906" s="2">
        <v>46137.524420833332</v>
      </c>
      <c r="C5906" s="3" t="str">
        <f>IFERROR(VLOOKUP(A5906,'Base Prueba'!A:C,3,),"NO REGISTRA")</f>
        <v>ADRIANA MARCELA MORALES PARDO</v>
      </c>
      <c r="D5906" s="4" t="str">
        <f>IFERROR(VLOOKUP(A5906,'Base Prueba'!A:D,4,),"NO REGISTRA")</f>
        <v>PROMOTOR CALL CENTER</v>
      </c>
      <c r="E5906" s="5" t="str">
        <f>IFERROR(VLOOKUP(A5906,'Base Prueba'!A:E,5,),"NO REGISTRA")</f>
        <v>OFICINA DE MERCADEO</v>
      </c>
    </row>
    <row r="5907" spans="1:5" ht="15.75" x14ac:dyDescent="0.25">
      <c r="A5907" s="14">
        <v>1013616244</v>
      </c>
      <c r="B5907" s="2">
        <v>46137.541025115737</v>
      </c>
      <c r="C5907" s="3" t="str">
        <f>IFERROR(VLOOKUP(A5907,'Base Prueba'!A:C,3,),"NO REGISTRA")</f>
        <v>DIANA CAROLINA MARIN BETANCOURT</v>
      </c>
      <c r="D5907" s="4" t="str">
        <f>IFERROR(VLOOKUP(A5907,'Base Prueba'!A:D,4,),"NO REGISTRA")</f>
        <v>AUXILIAR ADMINISTRATIVO</v>
      </c>
      <c r="E5907" s="5" t="str">
        <f>IFERROR(VLOOKUP(A5907,'Base Prueba'!A:E,5,),"NO REGISTRA")</f>
        <v>REGISTRO Y CONTROL ACADEMICO</v>
      </c>
    </row>
    <row r="5908" spans="1:5" ht="15.75" x14ac:dyDescent="0.25">
      <c r="A5908" s="14">
        <v>1087121273</v>
      </c>
      <c r="B5908" s="2">
        <v>46137.541428935183</v>
      </c>
      <c r="C5908" s="3" t="str">
        <f>IFERROR(VLOOKUP(A5908,'Base Prueba'!A:C,3,),"NO REGISTRA")</f>
        <v>MAYRA ALEJANDRA CASTILLO ARBOLEDA</v>
      </c>
      <c r="D5908" s="4" t="str">
        <f>IFERROR(VLOOKUP(A5908,'Base Prueba'!A:D,4,),"NO REGISTRA")</f>
        <v>APOYO INTEGRAL DE MERCADEO</v>
      </c>
      <c r="E5908" s="5" t="str">
        <f>IFERROR(VLOOKUP(A5908,'Base Prueba'!A:E,5,),"NO REGISTRA")</f>
        <v>CENTRO DE GESTION DOCUMENTAL</v>
      </c>
    </row>
    <row r="5909" spans="1:5" ht="15.75" x14ac:dyDescent="0.25">
      <c r="A5909" s="14">
        <v>1000046533</v>
      </c>
      <c r="B5909" s="2">
        <v>46137.564434375003</v>
      </c>
      <c r="C5909" s="3" t="str">
        <f>IFERROR(VLOOKUP(A5909,'Base Prueba'!A:C,3,),"NO REGISTRA")</f>
        <v>ERIKA JULIETH VALDERRAMA SANCHEZ</v>
      </c>
      <c r="D5909" s="4" t="str">
        <f>IFERROR(VLOOKUP(A5909,'Base Prueba'!A:D,4,),"NO REGISTRA")</f>
        <v>PROMOTOR CALL CENTER</v>
      </c>
      <c r="E5909" s="5" t="str">
        <f>IFERROR(VLOOKUP(A5909,'Base Prueba'!A:E,5,),"NO REGISTRA")</f>
        <v>OFICINA DE MERCADEO</v>
      </c>
    </row>
    <row r="5910" spans="1:5" ht="15.75" x14ac:dyDescent="0.25">
      <c r="A5910" s="14">
        <v>80234243</v>
      </c>
      <c r="B5910" s="2">
        <v>46137.625212500003</v>
      </c>
      <c r="C5910" s="3" t="str">
        <f>IFERROR(VLOOKUP(A5910,'Base Prueba'!A:C,3,),"NO REGISTRA")</f>
        <v>ARGENIS MARTINEZ MARTINEZ</v>
      </c>
      <c r="D5910" s="4" t="str">
        <f>IFERROR(VLOOKUP(A5910,'Base Prueba'!A:D,4,),"NO REGISTRA")</f>
        <v>LIDER CALL CENTER</v>
      </c>
      <c r="E5910" s="5" t="str">
        <f>IFERROR(VLOOKUP(A5910,'Base Prueba'!A:E,5,),"NO REGISTRA")</f>
        <v>OFICINA DE MERCADEO</v>
      </c>
    </row>
    <row r="5911" spans="1:5" ht="15.75" x14ac:dyDescent="0.25">
      <c r="A5911" s="14">
        <v>1024512067</v>
      </c>
      <c r="B5911" s="2">
        <v>46139.307541087961</v>
      </c>
      <c r="C5911" s="3" t="str">
        <f>IFERROR(VLOOKUP(A5911,'Base Prueba'!A:C,3,),"NO REGISTRA")</f>
        <v>CINDY GIOVANA SALGAR GOMEZ</v>
      </c>
      <c r="D5911" s="4" t="str">
        <f>IFERROR(VLOOKUP(A5911,'Base Prueba'!A:D,4,),"NO REGISTRA")</f>
        <v>COORDINADOR DEL SISTEMA INTEGRADO DE GESTION INSTITUCIONAL - SIGI</v>
      </c>
      <c r="E5911" s="5" t="str">
        <f>IFERROR(VLOOKUP(A5911,'Base Prueba'!A:E,5,),"NO REGISTRA")</f>
        <v>OFICINA DE PLANEACION Y GESTION DE LA CALIDAD</v>
      </c>
    </row>
    <row r="5912" spans="1:5" ht="15.75" x14ac:dyDescent="0.25">
      <c r="A5912" s="14">
        <v>1013616244</v>
      </c>
      <c r="B5912" s="2">
        <v>46139.317403819441</v>
      </c>
      <c r="C5912" s="3" t="str">
        <f>IFERROR(VLOOKUP(A5912,'Base Prueba'!A:C,3,),"NO REGISTRA")</f>
        <v>DIANA CAROLINA MARIN BETANCOURT</v>
      </c>
      <c r="D5912" s="4" t="str">
        <f>IFERROR(VLOOKUP(A5912,'Base Prueba'!A:D,4,),"NO REGISTRA")</f>
        <v>AUXILIAR ADMINISTRATIVO</v>
      </c>
      <c r="E5912" s="5" t="str">
        <f>IFERROR(VLOOKUP(A5912,'Base Prueba'!A:E,5,),"NO REGISTRA")</f>
        <v>REGISTRO Y CONTROL ACADEMICO</v>
      </c>
    </row>
    <row r="5913" spans="1:5" ht="15.75" x14ac:dyDescent="0.25">
      <c r="A5913" s="14">
        <v>1000324729</v>
      </c>
      <c r="B5913" s="2">
        <v>46139.322036921294</v>
      </c>
      <c r="C5913" s="3" t="str">
        <f>IFERROR(VLOOKUP(A5913,'Base Prueba'!A:C,3,),"NO REGISTRA")</f>
        <v>ANYIE VANESSA TINOCO CAMACHO</v>
      </c>
      <c r="D5913" s="4" t="str">
        <f>IFERROR(VLOOKUP(A5913,'Base Prueba'!A:D,4,),"NO REGISTRA")</f>
        <v>LIDER DE REGISTRO Y CONTROL</v>
      </c>
      <c r="E5913" s="5" t="str">
        <f>IFERROR(VLOOKUP(A5913,'Base Prueba'!A:E,5,),"NO REGISTRA")</f>
        <v>REGISTRO Y CONTROL ACADEMICO</v>
      </c>
    </row>
    <row r="5914" spans="1:5" ht="15.75" x14ac:dyDescent="0.25">
      <c r="A5914" s="14">
        <v>1033820146</v>
      </c>
      <c r="B5914" s="2">
        <v>46139.32689733796</v>
      </c>
      <c r="C5914" s="3" t="str">
        <f>IFERROR(VLOOKUP(A5914,'Base Prueba'!A:C,3,),"NO REGISTRA")</f>
        <v>JULIETH ALEXANDRA BUSTAMANTE RUIZ</v>
      </c>
      <c r="D5914" s="4" t="str">
        <f>IFERROR(VLOOKUP(A5914,'Base Prueba'!A:D,4,),"NO REGISTRA")</f>
        <v>AUXILIAR ADMINISTRATIVO</v>
      </c>
      <c r="E5914" s="5" t="str">
        <f>IFERROR(VLOOKUP(A5914,'Base Prueba'!A:E,5,),"NO REGISTRA")</f>
        <v>REGISTRO Y CONTROL ACADEMICO</v>
      </c>
    </row>
    <row r="5915" spans="1:5" ht="15.75" x14ac:dyDescent="0.25">
      <c r="A5915" s="14">
        <v>1030567635</v>
      </c>
      <c r="B5915" s="2">
        <v>46139.332454976851</v>
      </c>
      <c r="C5915" s="3" t="str">
        <f>IFERROR(VLOOKUP(A5915,'Base Prueba'!A:C,3,),"NO REGISTRA")</f>
        <v>JEFFERSON ANDRES BARRETO DIAZ</v>
      </c>
      <c r="D5915" s="4" t="str">
        <f>IFERROR(VLOOKUP(A5915,'Base Prueba'!A:D,4,),"NO REGISTRA")</f>
        <v>AUXILIAR DE ARCHIVO</v>
      </c>
      <c r="E5915" s="5" t="str">
        <f>IFERROR(VLOOKUP(A5915,'Base Prueba'!A:E,5,),"NO REGISTRA")</f>
        <v>CENTRO DE GESTION DOCUMENTAL</v>
      </c>
    </row>
    <row r="5916" spans="1:5" ht="15.75" x14ac:dyDescent="0.25">
      <c r="A5916" s="14">
        <v>1014308296</v>
      </c>
      <c r="B5916" s="2">
        <v>46139.332726967594</v>
      </c>
      <c r="C5916" s="3" t="str">
        <f>IFERROR(VLOOKUP(A5916,'Base Prueba'!A:C,3,),"NO REGISTRA")</f>
        <v>DARLENE YULIANA MORENO CELEITA</v>
      </c>
      <c r="D5916" s="4" t="str">
        <f>IFERROR(VLOOKUP(A5916,'Base Prueba'!A:D,4,),"NO REGISTRA")</f>
        <v>CAJERO PRINCIPAL</v>
      </c>
      <c r="E5916" s="5" t="str">
        <f>IFERROR(VLOOKUP(A5916,'Base Prueba'!A:E,5,),"NO REGISTRA")</f>
        <v>AREA FINANCIERA Y CONTABLE</v>
      </c>
    </row>
    <row r="5917" spans="1:5" ht="15.75" x14ac:dyDescent="0.25">
      <c r="A5917" s="14">
        <v>1022996882</v>
      </c>
      <c r="B5917" s="2">
        <v>46139.332783101854</v>
      </c>
      <c r="C5917" s="3" t="str">
        <f>IFERROR(VLOOKUP(A5917,'Base Prueba'!A:C,3,),"NO REGISTRA")</f>
        <v>NANCY BRIGITH ALDANA GUEVARA</v>
      </c>
      <c r="D5917" s="4" t="str">
        <f>IFERROR(VLOOKUP(A5917,'Base Prueba'!A:D,4,),"NO REGISTRA")</f>
        <v>COORDINADORA DE GESTIÓN HUMANA</v>
      </c>
      <c r="E5917" s="5" t="str">
        <f>IFERROR(VLOOKUP(A5917,'Base Prueba'!A:E,5,),"NO REGISTRA")</f>
        <v>DEPARTAMENTO DE GESTION HUMANA</v>
      </c>
    </row>
    <row r="5918" spans="1:5" ht="15.75" x14ac:dyDescent="0.25">
      <c r="A5918" s="14">
        <v>1000257136</v>
      </c>
      <c r="B5918" s="2">
        <v>46139.339200578703</v>
      </c>
      <c r="C5918" s="3" t="str">
        <f>IFERROR(VLOOKUP(A5918,'Base Prueba'!A:C,3,),"NO REGISTRA")</f>
        <v>FRANCI VALENTINA CANO PUENTES</v>
      </c>
      <c r="D5918" s="4" t="str">
        <f>IFERROR(VLOOKUP(A5918,'Base Prueba'!A:D,4,),"NO REGISTRA")</f>
        <v>AUXILIAR CONTABLE</v>
      </c>
      <c r="E5918" s="5" t="str">
        <f>IFERROR(VLOOKUP(A5918,'Base Prueba'!A:E,5,),"NO REGISTRA")</f>
        <v>AREA FINANCIERA Y CONTABLE</v>
      </c>
    </row>
    <row r="5919" spans="1:5" ht="15.75" x14ac:dyDescent="0.25">
      <c r="A5919" s="14">
        <v>1014977624</v>
      </c>
      <c r="B5919" s="2">
        <v>46139.340056712965</v>
      </c>
      <c r="C5919" s="3" t="str">
        <f>IFERROR(VLOOKUP(A5919,'Base Prueba'!A:C,3,),"NO REGISTRA")</f>
        <v>NICCOLE VALENTINA HERNANDEZ MALAVER</v>
      </c>
      <c r="D5919" s="4" t="str">
        <f>IFERROR(VLOOKUP(A5919,'Base Prueba'!A:D,4,),"NO REGISTRA")</f>
        <v>APRENDIZ UNIVERSITARIO</v>
      </c>
      <c r="E5919" s="5" t="str">
        <f>IFERROR(VLOOKUP(A5919,'Base Prueba'!A:E,5,),"NO REGISTRA")</f>
        <v>AREA FINANCIERA Y CONTABLE</v>
      </c>
    </row>
    <row r="5920" spans="1:5" ht="15.75" x14ac:dyDescent="0.25">
      <c r="A5920" s="14">
        <v>1023883232</v>
      </c>
      <c r="B5920" s="2">
        <v>46139.344245717592</v>
      </c>
      <c r="C5920" s="3" t="str">
        <f>IFERROR(VLOOKUP(A5920,'Base Prueba'!A:C,3,),"NO REGISTRA")</f>
        <v>MONICA ANDREA ACERO URBANO</v>
      </c>
      <c r="D5920" s="4" t="str">
        <f>IFERROR(VLOOKUP(A5920,'Base Prueba'!A:D,4,),"NO REGISTRA")</f>
        <v>APOYO INTEGRAL A GESTION HUMANA</v>
      </c>
      <c r="E5920" s="5" t="str">
        <f>IFERROR(VLOOKUP(A5920,'Base Prueba'!A:E,5,),"NO REGISTRA")</f>
        <v>DEPARTAMENTO DE GESTION HUMANA</v>
      </c>
    </row>
    <row r="5921" spans="1:5" ht="15.75" x14ac:dyDescent="0.25">
      <c r="A5921" s="14">
        <v>1000457706</v>
      </c>
      <c r="B5921" s="2">
        <v>46139.344584837963</v>
      </c>
      <c r="C5921" s="3" t="str">
        <f>IFERROR(VLOOKUP(A5921,'Base Prueba'!A:C,3,),"NO REGISTRA")</f>
        <v>CRISTIAN DANILO ARROYO SANABRIA</v>
      </c>
      <c r="D5921" s="4" t="str">
        <f>IFERROR(VLOOKUP(A5921,'Base Prueba'!A:D,4,),"NO REGISTRA")</f>
        <v>AUXILIAR CONTABLE</v>
      </c>
      <c r="E5921" s="5" t="str">
        <f>IFERROR(VLOOKUP(A5921,'Base Prueba'!A:E,5,),"NO REGISTRA")</f>
        <v>AREA FINANCIERA Y CONTABLE</v>
      </c>
    </row>
    <row r="5922" spans="1:5" ht="15.75" x14ac:dyDescent="0.25">
      <c r="A5922" s="14">
        <v>1000457706</v>
      </c>
      <c r="B5922" s="2">
        <v>46139.344590046298</v>
      </c>
      <c r="C5922" s="3" t="str">
        <f>IFERROR(VLOOKUP(A5922,'Base Prueba'!A:C,3,),"NO REGISTRA")</f>
        <v>CRISTIAN DANILO ARROYO SANABRIA</v>
      </c>
      <c r="D5922" s="4" t="str">
        <f>IFERROR(VLOOKUP(A5922,'Base Prueba'!A:D,4,),"NO REGISTRA")</f>
        <v>AUXILIAR CONTABLE</v>
      </c>
      <c r="E5922" s="5" t="str">
        <f>IFERROR(VLOOKUP(A5922,'Base Prueba'!A:E,5,),"NO REGISTRA")</f>
        <v>AREA FINANCIERA Y CONTABLE</v>
      </c>
    </row>
    <row r="5923" spans="1:5" ht="15.75" x14ac:dyDescent="0.25">
      <c r="A5923" s="14">
        <v>53932358</v>
      </c>
      <c r="B5923" s="2">
        <v>46139.361476967591</v>
      </c>
      <c r="C5923" s="3" t="str">
        <f>IFERROR(VLOOKUP(A5923,'Base Prueba'!A:C,3,),"NO REGISTRA")</f>
        <v>DIANA MADELEYNE GAONA RODRIGUEZ</v>
      </c>
      <c r="D5923" s="4" t="str">
        <f>IFERROR(VLOOKUP(A5923,'Base Prueba'!A:D,4,),"NO REGISTRA")</f>
        <v>CONTADOR</v>
      </c>
      <c r="E5923" s="5" t="str">
        <f>IFERROR(VLOOKUP(A5923,'Base Prueba'!A:E,5,),"NO REGISTRA")</f>
        <v>AREA FINANCIERA Y CONTABLE</v>
      </c>
    </row>
    <row r="5924" spans="1:5" ht="15.75" x14ac:dyDescent="0.25">
      <c r="A5924" s="14">
        <v>52443092</v>
      </c>
      <c r="B5924" s="2">
        <v>46139.414490972224</v>
      </c>
      <c r="C5924" s="3" t="str">
        <f>IFERROR(VLOOKUP(A5924,'Base Prueba'!A:C,3,),"NO REGISTRA")</f>
        <v>LUZ MYRIAM SAAVEDRA CONTRERAS</v>
      </c>
      <c r="D5924" s="4" t="str">
        <f>IFERROR(VLOOKUP(A5924,'Base Prueba'!A:D,4,),"NO REGISTRA")</f>
        <v>AUXILIAR DE SERVICIOS</v>
      </c>
      <c r="E5924" s="5" t="str">
        <f>IFERROR(VLOOKUP(A5924,'Base Prueba'!A:E,5,),"NO REGISTRA")</f>
        <v>LOGISTICA Y SERVICIOS GENERALES</v>
      </c>
    </row>
    <row r="5925" spans="1:5" ht="15.75" x14ac:dyDescent="0.25">
      <c r="A5925" s="14">
        <v>52764929</v>
      </c>
      <c r="B5925" s="2">
        <v>46139.428170486113</v>
      </c>
      <c r="C5925" s="3" t="str">
        <f>IFERROR(VLOOKUP(A5925,'Base Prueba'!A:C,3,),"NO REGISTRA")</f>
        <v>GUERLY YOHANA DURAN RIVERA</v>
      </c>
      <c r="D5925" s="4" t="str">
        <f>IFERROR(VLOOKUP(A5925,'Base Prueba'!A:D,4,),"NO REGISTRA")</f>
        <v>LIDER DE VINCULACION COLEGIOS</v>
      </c>
      <c r="E5925" s="5" t="str">
        <f>IFERROR(VLOOKUP(A5925,'Base Prueba'!A:E,5,),"NO REGISTRA")</f>
        <v>OFICINA DE MERCADEO</v>
      </c>
    </row>
    <row r="5926" spans="1:5" ht="15.75" x14ac:dyDescent="0.25">
      <c r="A5926" s="14">
        <v>52764929</v>
      </c>
      <c r="B5926" s="2">
        <v>46139.52498321759</v>
      </c>
      <c r="C5926" s="3" t="str">
        <f>IFERROR(VLOOKUP(A5926,'Base Prueba'!A:C,3,),"NO REGISTRA")</f>
        <v>GUERLY YOHANA DURAN RIVERA</v>
      </c>
      <c r="D5926" s="4" t="str">
        <f>IFERROR(VLOOKUP(A5926,'Base Prueba'!A:D,4,),"NO REGISTRA")</f>
        <v>LIDER DE VINCULACION COLEGIOS</v>
      </c>
      <c r="E5926" s="5" t="str">
        <f>IFERROR(VLOOKUP(A5926,'Base Prueba'!A:E,5,),"NO REGISTRA")</f>
        <v>OFICINA DE MERCADEO</v>
      </c>
    </row>
    <row r="5927" spans="1:5" ht="15.75" x14ac:dyDescent="0.25">
      <c r="A5927" s="14">
        <v>1024512067</v>
      </c>
      <c r="B5927" s="2">
        <v>46139.702601041667</v>
      </c>
      <c r="C5927" s="3" t="str">
        <f>IFERROR(VLOOKUP(A5927,'Base Prueba'!A:C,3,),"NO REGISTRA")</f>
        <v>CINDY GIOVANA SALGAR GOMEZ</v>
      </c>
      <c r="D5927" s="4" t="str">
        <f>IFERROR(VLOOKUP(A5927,'Base Prueba'!A:D,4,),"NO REGISTRA")</f>
        <v>COORDINADOR DEL SISTEMA INTEGRADO DE GESTION INSTITUCIONAL - SIGI</v>
      </c>
      <c r="E5927" s="5" t="str">
        <f>IFERROR(VLOOKUP(A5927,'Base Prueba'!A:E,5,),"NO REGISTRA")</f>
        <v>OFICINA DE PLANEACION Y GESTION DE LA CALIDAD</v>
      </c>
    </row>
    <row r="5928" spans="1:5" ht="15.75" x14ac:dyDescent="0.25">
      <c r="A5928" s="14">
        <v>1024505434</v>
      </c>
      <c r="B5928" s="2">
        <v>46139.747783449071</v>
      </c>
      <c r="C5928" s="3" t="str">
        <f>IFERROR(VLOOKUP(A5928,'Base Prueba'!A:C,3,),"NO REGISTRA")</f>
        <v>CRISTIAN ALBERTO MELO TORRES</v>
      </c>
      <c r="D5928" s="4" t="str">
        <f>IFERROR(VLOOKUP(A5928,'Base Prueba'!A:D,4,),"NO REGISTRA")</f>
        <v>COORDINADOR DE INFRAESTRUCTURA</v>
      </c>
      <c r="E5928" s="5" t="str">
        <f>IFERROR(VLOOKUP(A5928,'Base Prueba'!A:E,5,),"NO REGISTRA")</f>
        <v>VICERRECTORIA ADMINISTRATIVA Y FINANCIERA</v>
      </c>
    </row>
    <row r="5929" spans="1:5" ht="15.75" x14ac:dyDescent="0.25">
      <c r="A5929" s="14">
        <v>52443092</v>
      </c>
      <c r="B5929" s="2">
        <v>46139.749134837963</v>
      </c>
      <c r="C5929" s="3" t="str">
        <f>IFERROR(VLOOKUP(A5929,'Base Prueba'!A:C,3,),"NO REGISTRA")</f>
        <v>LUZ MYRIAM SAAVEDRA CONTRERAS</v>
      </c>
      <c r="D5929" s="4" t="str">
        <f>IFERROR(VLOOKUP(A5929,'Base Prueba'!A:D,4,),"NO REGISTRA")</f>
        <v>AUXILIAR DE SERVICIOS</v>
      </c>
      <c r="E5929" s="5" t="str">
        <f>IFERROR(VLOOKUP(A5929,'Base Prueba'!A:E,5,),"NO REGISTRA")</f>
        <v>LOGISTICA Y SERVICIOS GENERALES</v>
      </c>
    </row>
    <row r="5930" spans="1:5" ht="15.75" x14ac:dyDescent="0.25">
      <c r="A5930" s="14">
        <v>1030567635</v>
      </c>
      <c r="B5930" s="2">
        <v>46139.751571412038</v>
      </c>
      <c r="C5930" s="3" t="str">
        <f>IFERROR(VLOOKUP(A5930,'Base Prueba'!A:C,3,),"NO REGISTRA")</f>
        <v>JEFFERSON ANDRES BARRETO DIAZ</v>
      </c>
      <c r="D5930" s="4" t="str">
        <f>IFERROR(VLOOKUP(A5930,'Base Prueba'!A:D,4,),"NO REGISTRA")</f>
        <v>AUXILIAR DE ARCHIVO</v>
      </c>
      <c r="E5930" s="5" t="str">
        <f>IFERROR(VLOOKUP(A5930,'Base Prueba'!A:E,5,),"NO REGISTRA")</f>
        <v>CENTRO DE GESTION DOCUMENTAL</v>
      </c>
    </row>
    <row r="5931" spans="1:5" ht="15.75" x14ac:dyDescent="0.25">
      <c r="A5931" s="14">
        <v>1033820146</v>
      </c>
      <c r="B5931" s="2">
        <v>46139.752643865744</v>
      </c>
      <c r="C5931" s="3" t="str">
        <f>IFERROR(VLOOKUP(A5931,'Base Prueba'!A:C,3,),"NO REGISTRA")</f>
        <v>JULIETH ALEXANDRA BUSTAMANTE RUIZ</v>
      </c>
      <c r="D5931" s="4" t="str">
        <f>IFERROR(VLOOKUP(A5931,'Base Prueba'!A:D,4,),"NO REGISTRA")</f>
        <v>AUXILIAR ADMINISTRATIVO</v>
      </c>
      <c r="E5931" s="5" t="str">
        <f>IFERROR(VLOOKUP(A5931,'Base Prueba'!A:E,5,),"NO REGISTRA")</f>
        <v>REGISTRO Y CONTROL ACADEMICO</v>
      </c>
    </row>
    <row r="5932" spans="1:5" ht="15.75" x14ac:dyDescent="0.25">
      <c r="A5932" s="14">
        <v>1000324729</v>
      </c>
      <c r="B5932" s="2">
        <v>46139.752944791668</v>
      </c>
      <c r="C5932" s="3" t="str">
        <f>IFERROR(VLOOKUP(A5932,'Base Prueba'!A:C,3,),"NO REGISTRA")</f>
        <v>ANYIE VANESSA TINOCO CAMACHO</v>
      </c>
      <c r="D5932" s="4" t="str">
        <f>IFERROR(VLOOKUP(A5932,'Base Prueba'!A:D,4,),"NO REGISTRA")</f>
        <v>LIDER DE REGISTRO Y CONTROL</v>
      </c>
      <c r="E5932" s="5" t="str">
        <f>IFERROR(VLOOKUP(A5932,'Base Prueba'!A:E,5,),"NO REGISTRA")</f>
        <v>REGISTRO Y CONTROL ACADEMICO</v>
      </c>
    </row>
    <row r="5933" spans="1:5" ht="15.75" x14ac:dyDescent="0.25">
      <c r="A5933" s="14">
        <v>1000467399</v>
      </c>
      <c r="B5933" s="2">
        <v>46139.752970023146</v>
      </c>
      <c r="C5933" s="3" t="str">
        <f>IFERROR(VLOOKUP(A5933,'Base Prueba'!A:C,3,),"NO REGISTRA")</f>
        <v>BRANDO ESTIVEN DIAZ QUIMBAYA</v>
      </c>
      <c r="D5933" s="4" t="str">
        <f>IFERROR(VLOOKUP(A5933,'Base Prueba'!A:D,4,),"NO REGISTRA")</f>
        <v>APRENDIZ UNIVERSITARIO</v>
      </c>
      <c r="E5933" s="5" t="str">
        <f>IFERROR(VLOOKUP(A5933,'Base Prueba'!A:E,5,),"NO REGISTRA")</f>
        <v>DEPARTAMENTO DE GESTION HUMANA</v>
      </c>
    </row>
    <row r="5934" spans="1:5" ht="15.75" x14ac:dyDescent="0.25">
      <c r="A5934" s="14">
        <v>1023883232</v>
      </c>
      <c r="B5934" s="2">
        <v>46139.753437962965</v>
      </c>
      <c r="C5934" s="3" t="str">
        <f>IFERROR(VLOOKUP(A5934,'Base Prueba'!A:C,3,),"NO REGISTRA")</f>
        <v>MONICA ANDREA ACERO URBANO</v>
      </c>
      <c r="D5934" s="4" t="str">
        <f>IFERROR(VLOOKUP(A5934,'Base Prueba'!A:D,4,),"NO REGISTRA")</f>
        <v>APOYO INTEGRAL A GESTION HUMANA</v>
      </c>
      <c r="E5934" s="5" t="str">
        <f>IFERROR(VLOOKUP(A5934,'Base Prueba'!A:E,5,),"NO REGISTRA")</f>
        <v>DEPARTAMENTO DE GESTION HUMANA</v>
      </c>
    </row>
    <row r="5935" spans="1:5" ht="15.75" x14ac:dyDescent="0.25">
      <c r="A5935" s="14">
        <v>1022996882</v>
      </c>
      <c r="B5935" s="2">
        <v>46139.75382002315</v>
      </c>
      <c r="C5935" s="3" t="str">
        <f>IFERROR(VLOOKUP(A5935,'Base Prueba'!A:C,3,),"NO REGISTRA")</f>
        <v>NANCY BRIGITH ALDANA GUEVARA</v>
      </c>
      <c r="D5935" s="4" t="str">
        <f>IFERROR(VLOOKUP(A5935,'Base Prueba'!A:D,4,),"NO REGISTRA")</f>
        <v>COORDINADORA DE GESTIÓN HUMANA</v>
      </c>
      <c r="E5935" s="5" t="str">
        <f>IFERROR(VLOOKUP(A5935,'Base Prueba'!A:E,5,),"NO REGISTRA")</f>
        <v>DEPARTAMENTO DE GESTION HUMANA</v>
      </c>
    </row>
    <row r="5936" spans="1:5" ht="15.75" x14ac:dyDescent="0.25">
      <c r="A5936" s="14">
        <v>1014308296</v>
      </c>
      <c r="B5936" s="2">
        <v>46139.757304513892</v>
      </c>
      <c r="C5936" s="3" t="str">
        <f>IFERROR(VLOOKUP(A5936,'Base Prueba'!A:C,3,),"NO REGISTRA")</f>
        <v>DARLENE YULIANA MORENO CELEITA</v>
      </c>
      <c r="D5936" s="4" t="str">
        <f>IFERROR(VLOOKUP(A5936,'Base Prueba'!A:D,4,),"NO REGISTRA")</f>
        <v>CAJERO PRINCIPAL</v>
      </c>
      <c r="E5936" s="5" t="str">
        <f>IFERROR(VLOOKUP(A5936,'Base Prueba'!A:E,5,),"NO REGISTRA")</f>
        <v>AREA FINANCIERA Y CONTABLE</v>
      </c>
    </row>
    <row r="5937" spans="1:5" ht="15.75" x14ac:dyDescent="0.25">
      <c r="A5937" s="14">
        <v>1013616244</v>
      </c>
      <c r="B5937" s="2">
        <v>46139.763259722225</v>
      </c>
      <c r="C5937" s="3" t="str">
        <f>IFERROR(VLOOKUP(A5937,'Base Prueba'!A:C,3,),"NO REGISTRA")</f>
        <v>DIANA CAROLINA MARIN BETANCOURT</v>
      </c>
      <c r="D5937" s="4" t="str">
        <f>IFERROR(VLOOKUP(A5937,'Base Prueba'!A:D,4,),"NO REGISTRA")</f>
        <v>AUXILIAR ADMINISTRATIVO</v>
      </c>
      <c r="E5937" s="5" t="str">
        <f>IFERROR(VLOOKUP(A5937,'Base Prueba'!A:E,5,),"NO REGISTRA")</f>
        <v>REGISTRO Y CONTROL ACADEMICO</v>
      </c>
    </row>
    <row r="5938" spans="1:5" ht="15.75" x14ac:dyDescent="0.25">
      <c r="A5938" s="14">
        <v>53932358</v>
      </c>
      <c r="B5938" s="2">
        <v>46139.765439699077</v>
      </c>
      <c r="C5938" s="3" t="str">
        <f>IFERROR(VLOOKUP(A5938,'Base Prueba'!A:C,3,),"NO REGISTRA")</f>
        <v>DIANA MADELEYNE GAONA RODRIGUEZ</v>
      </c>
      <c r="D5938" s="4" t="str">
        <f>IFERROR(VLOOKUP(A5938,'Base Prueba'!A:D,4,),"NO REGISTRA")</f>
        <v>CONTADOR</v>
      </c>
      <c r="E5938" s="5" t="str">
        <f>IFERROR(VLOOKUP(A5938,'Base Prueba'!A:E,5,),"NO REGISTRA")</f>
        <v>AREA FINANCIERA Y CONTABLE</v>
      </c>
    </row>
    <row r="5939" spans="1:5" ht="15.75" x14ac:dyDescent="0.25">
      <c r="A5939" s="14">
        <v>1000257136</v>
      </c>
      <c r="B5939" s="2">
        <v>46139.766183912034</v>
      </c>
      <c r="C5939" s="3" t="str">
        <f>IFERROR(VLOOKUP(A5939,'Base Prueba'!A:C,3,),"NO REGISTRA")</f>
        <v>FRANCI VALENTINA CANO PUENTES</v>
      </c>
      <c r="D5939" s="4" t="str">
        <f>IFERROR(VLOOKUP(A5939,'Base Prueba'!A:D,4,),"NO REGISTRA")</f>
        <v>AUXILIAR CONTABLE</v>
      </c>
      <c r="E5939" s="5" t="str">
        <f>IFERROR(VLOOKUP(A5939,'Base Prueba'!A:E,5,),"NO REGISTRA")</f>
        <v>AREA FINANCIERA Y CONTABLE</v>
      </c>
    </row>
    <row r="5940" spans="1:5" ht="15.75" x14ac:dyDescent="0.25">
      <c r="A5940" s="14">
        <v>1000457706</v>
      </c>
      <c r="B5940" s="2">
        <v>46139.76623252315</v>
      </c>
      <c r="C5940" s="3" t="str">
        <f>IFERROR(VLOOKUP(A5940,'Base Prueba'!A:C,3,),"NO REGISTRA")</f>
        <v>CRISTIAN DANILO ARROYO SANABRIA</v>
      </c>
      <c r="D5940" s="4" t="str">
        <f>IFERROR(VLOOKUP(A5940,'Base Prueba'!A:D,4,),"NO REGISTRA")</f>
        <v>AUXILIAR CONTABLE</v>
      </c>
      <c r="E5940" s="5" t="str">
        <f>IFERROR(VLOOKUP(A5940,'Base Prueba'!A:E,5,),"NO REGISTRA")</f>
        <v>AREA FINANCIERA Y CONTABLE</v>
      </c>
    </row>
    <row r="5941" spans="1:5" ht="15.75" x14ac:dyDescent="0.25">
      <c r="A5941" s="14">
        <v>1014977624</v>
      </c>
      <c r="B5941" s="2">
        <v>46139.766408680553</v>
      </c>
      <c r="C5941" s="3" t="str">
        <f>IFERROR(VLOOKUP(A5941,'Base Prueba'!A:C,3,),"NO REGISTRA")</f>
        <v>NICCOLE VALENTINA HERNANDEZ MALAVER</v>
      </c>
      <c r="D5941" s="4" t="str">
        <f>IFERROR(VLOOKUP(A5941,'Base Prueba'!A:D,4,),"NO REGISTRA")</f>
        <v>APRENDIZ UNIVERSITARIO</v>
      </c>
      <c r="E5941" s="5" t="str">
        <f>IFERROR(VLOOKUP(A5941,'Base Prueba'!A:E,5,),"NO REGISTRA")</f>
        <v>AREA FINANCIERA Y CONTABLE</v>
      </c>
    </row>
    <row r="5942" spans="1:5" ht="15.75" x14ac:dyDescent="0.25">
      <c r="A5942" s="14">
        <v>52474489</v>
      </c>
      <c r="B5942" s="2">
        <v>46139.770503935186</v>
      </c>
      <c r="C5942" s="3" t="str">
        <f>IFERROR(VLOOKUP(A5942,'Base Prueba'!A:C,3,),"NO REGISTRA")</f>
        <v>ADRIANA JIMENA SOTO BOCANEGRA</v>
      </c>
      <c r="D5942" s="4" t="str">
        <f>IFERROR(VLOOKUP(A5942,'Base Prueba'!A:D,4,),"NO REGISTRA")</f>
        <v>COORDINADOR DE LA OFICINA DE REGISTRO Y CONTROL</v>
      </c>
      <c r="E5942" s="5" t="str">
        <f>IFERROR(VLOOKUP(A5942,'Base Prueba'!A:E,5,),"NO REGISTRA")</f>
        <v>REGISTRO Y CONTROL ACADEMICO</v>
      </c>
    </row>
    <row r="5943" spans="1:5" ht="15.75" x14ac:dyDescent="0.25">
      <c r="A5943" s="14">
        <v>1087121273</v>
      </c>
      <c r="B5943" s="2">
        <v>46140.312036226853</v>
      </c>
      <c r="C5943" s="3" t="str">
        <f>IFERROR(VLOOKUP(A5943,'Base Prueba'!A:C,3,),"NO REGISTRA")</f>
        <v>MAYRA ALEJANDRA CASTILLO ARBOLEDA</v>
      </c>
      <c r="D5943" s="4" t="str">
        <f>IFERROR(VLOOKUP(A5943,'Base Prueba'!A:D,4,),"NO REGISTRA")</f>
        <v>APOYO INTEGRAL DE MERCADEO</v>
      </c>
      <c r="E5943" s="5" t="str">
        <f>IFERROR(VLOOKUP(A5943,'Base Prueba'!A:E,5,),"NO REGISTRA")</f>
        <v>CENTRO DE GESTION DOCUMENTAL</v>
      </c>
    </row>
    <row r="5944" spans="1:5" ht="15.75" x14ac:dyDescent="0.25">
      <c r="A5944" s="14">
        <v>1024512067</v>
      </c>
      <c r="B5944" s="2">
        <v>46140.312522337961</v>
      </c>
      <c r="C5944" s="3" t="str">
        <f>IFERROR(VLOOKUP(A5944,'Base Prueba'!A:C,3,),"NO REGISTRA")</f>
        <v>CINDY GIOVANA SALGAR GOMEZ</v>
      </c>
      <c r="D5944" s="4" t="str">
        <f>IFERROR(VLOOKUP(A5944,'Base Prueba'!A:D,4,),"NO REGISTRA")</f>
        <v>COORDINADOR DEL SISTEMA INTEGRADO DE GESTION INSTITUCIONAL - SIGI</v>
      </c>
      <c r="E5944" s="5" t="str">
        <f>IFERROR(VLOOKUP(A5944,'Base Prueba'!A:E,5,),"NO REGISTRA")</f>
        <v>OFICINA DE PLANEACION Y GESTION DE LA CALIDAD</v>
      </c>
    </row>
    <row r="5945" spans="1:5" ht="15.75" x14ac:dyDescent="0.25">
      <c r="A5945" s="14">
        <v>1000324729</v>
      </c>
      <c r="B5945" s="2">
        <v>46140.327122222225</v>
      </c>
      <c r="C5945" s="3" t="str">
        <f>IFERROR(VLOOKUP(A5945,'Base Prueba'!A:C,3,),"NO REGISTRA")</f>
        <v>ANYIE VANESSA TINOCO CAMACHO</v>
      </c>
      <c r="D5945" s="4" t="str">
        <f>IFERROR(VLOOKUP(A5945,'Base Prueba'!A:D,4,),"NO REGISTRA")</f>
        <v>LIDER DE REGISTRO Y CONTROL</v>
      </c>
      <c r="E5945" s="5" t="str">
        <f>IFERROR(VLOOKUP(A5945,'Base Prueba'!A:E,5,),"NO REGISTRA")</f>
        <v>REGISTRO Y CONTROL ACADEMICO</v>
      </c>
    </row>
    <row r="5946" spans="1:5" ht="15.75" x14ac:dyDescent="0.25">
      <c r="A5946" s="14">
        <v>1032469638</v>
      </c>
      <c r="B5946" s="2">
        <v>46140.328286805554</v>
      </c>
      <c r="C5946" s="3" t="str">
        <f>IFERROR(VLOOKUP(A5946,'Base Prueba'!A:C,3,),"NO REGISTRA")</f>
        <v>MAICOL JARBEY GUALTEROS CASTAÑEDA</v>
      </c>
      <c r="D5946" s="4" t="str">
        <f>IFERROR(VLOOKUP(A5946,'Base Prueba'!A:D,4,),"NO REGISTRA")</f>
        <v>COORDINADOR DEL SISTEMA INTERNO DE ASEGURAMIENTO DE LA CALIDAD - SIAC</v>
      </c>
      <c r="E5946" s="5" t="str">
        <f>IFERROR(VLOOKUP(A5946,'Base Prueba'!A:E,5,),"NO REGISTRA")</f>
        <v>OFICINA DE PLANEACION Y GESTION DE LA CALIDAD</v>
      </c>
    </row>
    <row r="5947" spans="1:5" ht="15.75" x14ac:dyDescent="0.25">
      <c r="A5947" s="14">
        <v>52225539</v>
      </c>
      <c r="B5947" s="2">
        <v>46140.328574884261</v>
      </c>
      <c r="C5947" s="3" t="str">
        <f>IFERROR(VLOOKUP(A5947,'Base Prueba'!A:C,3,),"NO REGISTRA")</f>
        <v>LISA MINELLY ZAMBRANO CONTRERAS</v>
      </c>
      <c r="D5947" s="4" t="str">
        <f>IFERROR(VLOOKUP(A5947,'Base Prueba'!A:D,4,),"NO REGISTRA")</f>
        <v>LIDER DE COMPRAS</v>
      </c>
      <c r="E5947" s="5" t="str">
        <f>IFERROR(VLOOKUP(A5947,'Base Prueba'!A:E,5,),"NO REGISTRA")</f>
        <v>VICERRECTORIA ADMINISTRATIVA Y FINANCIERA</v>
      </c>
    </row>
    <row r="5948" spans="1:5" ht="15.75" x14ac:dyDescent="0.25">
      <c r="A5948" s="14">
        <v>80191732</v>
      </c>
      <c r="B5948" s="2">
        <v>46140.330483217593</v>
      </c>
      <c r="C5948" s="3" t="str">
        <f>IFERROR(VLOOKUP(A5948,'Base Prueba'!A:C,3,),"NO REGISTRA")</f>
        <v>DANIEL MAURICIO ZAMBRANO TUNJANO</v>
      </c>
      <c r="D5948" s="4" t="str">
        <f>IFERROR(VLOOKUP(A5948,'Base Prueba'!A:D,4,),"NO REGISTRA")</f>
        <v>COORDINADOR DE DISEÑO E IMAGEN INSTITUCIONAL</v>
      </c>
      <c r="E5948" s="5" t="str">
        <f>IFERROR(VLOOKUP(A5948,'Base Prueba'!A:E,5,),"NO REGISTRA")</f>
        <v>OFICINA DE MERCADEO</v>
      </c>
    </row>
    <row r="5949" spans="1:5" ht="15.75" x14ac:dyDescent="0.25">
      <c r="A5949" s="14">
        <v>1014308296</v>
      </c>
      <c r="B5949" s="2">
        <v>46140.332895601852</v>
      </c>
      <c r="C5949" s="3" t="str">
        <f>IFERROR(VLOOKUP(A5949,'Base Prueba'!A:C,3,),"NO REGISTRA")</f>
        <v>DARLENE YULIANA MORENO CELEITA</v>
      </c>
      <c r="D5949" s="4" t="str">
        <f>IFERROR(VLOOKUP(A5949,'Base Prueba'!A:D,4,),"NO REGISTRA")</f>
        <v>CAJERO PRINCIPAL</v>
      </c>
      <c r="E5949" s="5" t="str">
        <f>IFERROR(VLOOKUP(A5949,'Base Prueba'!A:E,5,),"NO REGISTRA")</f>
        <v>AREA FINANCIERA Y CONTABLE</v>
      </c>
    </row>
    <row r="5950" spans="1:5" ht="15.75" x14ac:dyDescent="0.25">
      <c r="A5950" s="14">
        <v>1000257136</v>
      </c>
      <c r="B5950" s="2">
        <v>46140.33663784722</v>
      </c>
      <c r="C5950" s="3" t="str">
        <f>IFERROR(VLOOKUP(A5950,'Base Prueba'!A:C,3,),"NO REGISTRA")</f>
        <v>FRANCI VALENTINA CANO PUENTES</v>
      </c>
      <c r="D5950" s="4" t="str">
        <f>IFERROR(VLOOKUP(A5950,'Base Prueba'!A:D,4,),"NO REGISTRA")</f>
        <v>AUXILIAR CONTABLE</v>
      </c>
      <c r="E5950" s="5" t="str">
        <f>IFERROR(VLOOKUP(A5950,'Base Prueba'!A:E,5,),"NO REGISTRA")</f>
        <v>AREA FINANCIERA Y CONTABLE</v>
      </c>
    </row>
    <row r="5951" spans="1:5" ht="15.75" x14ac:dyDescent="0.25">
      <c r="A5951" s="14">
        <v>1023883232</v>
      </c>
      <c r="B5951" s="2">
        <v>46140.337466550925</v>
      </c>
      <c r="C5951" s="3" t="str">
        <f>IFERROR(VLOOKUP(A5951,'Base Prueba'!A:C,3,),"NO REGISTRA")</f>
        <v>MONICA ANDREA ACERO URBANO</v>
      </c>
      <c r="D5951" s="4" t="str">
        <f>IFERROR(VLOOKUP(A5951,'Base Prueba'!A:D,4,),"NO REGISTRA")</f>
        <v>APOYO INTEGRAL A GESTION HUMANA</v>
      </c>
      <c r="E5951" s="5" t="str">
        <f>IFERROR(VLOOKUP(A5951,'Base Prueba'!A:E,5,),"NO REGISTRA")</f>
        <v>DEPARTAMENTO DE GESTION HUMANA</v>
      </c>
    </row>
    <row r="5952" spans="1:5" ht="15.75" x14ac:dyDescent="0.25">
      <c r="A5952" s="14">
        <v>1013616244</v>
      </c>
      <c r="B5952" s="2">
        <v>46140.339809490739</v>
      </c>
      <c r="C5952" s="3" t="str">
        <f>IFERROR(VLOOKUP(A5952,'Base Prueba'!A:C,3,),"NO REGISTRA")</f>
        <v>DIANA CAROLINA MARIN BETANCOURT</v>
      </c>
      <c r="D5952" s="4" t="str">
        <f>IFERROR(VLOOKUP(A5952,'Base Prueba'!A:D,4,),"NO REGISTRA")</f>
        <v>AUXILIAR ADMINISTRATIVO</v>
      </c>
      <c r="E5952" s="5" t="str">
        <f>IFERROR(VLOOKUP(A5952,'Base Prueba'!A:E,5,),"NO REGISTRA")</f>
        <v>REGISTRO Y CONTROL ACADEMICO</v>
      </c>
    </row>
    <row r="5953" spans="1:5" ht="15.75" x14ac:dyDescent="0.25">
      <c r="A5953" s="14">
        <v>1022996882</v>
      </c>
      <c r="B5953" s="2">
        <v>46140.340029050923</v>
      </c>
      <c r="C5953" s="3" t="str">
        <f>IFERROR(VLOOKUP(A5953,'Base Prueba'!A:C,3,),"NO REGISTRA")</f>
        <v>NANCY BRIGITH ALDANA GUEVARA</v>
      </c>
      <c r="D5953" s="4" t="str">
        <f>IFERROR(VLOOKUP(A5953,'Base Prueba'!A:D,4,),"NO REGISTRA")</f>
        <v>COORDINADORA DE GESTIÓN HUMANA</v>
      </c>
      <c r="E5953" s="5" t="str">
        <f>IFERROR(VLOOKUP(A5953,'Base Prueba'!A:E,5,),"NO REGISTRA")</f>
        <v>DEPARTAMENTO DE GESTION HUMANA</v>
      </c>
    </row>
    <row r="5954" spans="1:5" ht="15.75" x14ac:dyDescent="0.25">
      <c r="A5954" s="14">
        <v>1049644802</v>
      </c>
      <c r="B5954" s="2">
        <v>46140.341341087966</v>
      </c>
      <c r="C5954" s="3" t="str">
        <f>IFERROR(VLOOKUP(A5954,'Base Prueba'!A:C,3,),"NO REGISTRA")</f>
        <v>DANIELA ALEXANDRA CIPAMOCHA BOSIGA</v>
      </c>
      <c r="D5954" s="4" t="str">
        <f>IFERROR(VLOOKUP(A5954,'Base Prueba'!A:D,4,),"NO REGISTRA")</f>
        <v>LIDER DE DATOS Y SERVICIOS</v>
      </c>
      <c r="E5954" s="5" t="str">
        <f>IFERROR(VLOOKUP(A5954,'Base Prueba'!A:E,5,),"NO REGISTRA")</f>
        <v>OFICINA DE PLANEACION Y GESTION DE LA CALIDAD</v>
      </c>
    </row>
    <row r="5955" spans="1:5" ht="15.75" x14ac:dyDescent="0.25">
      <c r="A5955" s="14">
        <v>1033820146</v>
      </c>
      <c r="B5955" s="2">
        <v>46140.341554513892</v>
      </c>
      <c r="C5955" s="3" t="str">
        <f>IFERROR(VLOOKUP(A5955,'Base Prueba'!A:C,3,),"NO REGISTRA")</f>
        <v>JULIETH ALEXANDRA BUSTAMANTE RUIZ</v>
      </c>
      <c r="D5955" s="4" t="str">
        <f>IFERROR(VLOOKUP(A5955,'Base Prueba'!A:D,4,),"NO REGISTRA")</f>
        <v>AUXILIAR ADMINISTRATIVO</v>
      </c>
      <c r="E5955" s="5" t="str">
        <f>IFERROR(VLOOKUP(A5955,'Base Prueba'!A:E,5,),"NO REGISTRA")</f>
        <v>REGISTRO Y CONTROL ACADEMICO</v>
      </c>
    </row>
    <row r="5956" spans="1:5" ht="15.75" x14ac:dyDescent="0.25">
      <c r="A5956" s="14">
        <v>1000457706</v>
      </c>
      <c r="B5956" s="2">
        <v>46140.342113888888</v>
      </c>
      <c r="C5956" s="3" t="str">
        <f>IFERROR(VLOOKUP(A5956,'Base Prueba'!A:C,3,),"NO REGISTRA")</f>
        <v>CRISTIAN DANILO ARROYO SANABRIA</v>
      </c>
      <c r="D5956" s="4" t="str">
        <f>IFERROR(VLOOKUP(A5956,'Base Prueba'!A:D,4,),"NO REGISTRA")</f>
        <v>AUXILIAR CONTABLE</v>
      </c>
      <c r="E5956" s="5" t="str">
        <f>IFERROR(VLOOKUP(A5956,'Base Prueba'!A:E,5,),"NO REGISTRA")</f>
        <v>AREA FINANCIERA Y CONTABLE</v>
      </c>
    </row>
    <row r="5957" spans="1:5" ht="15.75" x14ac:dyDescent="0.25">
      <c r="A5957" s="14">
        <v>1193457976</v>
      </c>
      <c r="B5957" s="2">
        <v>46140.342370254628</v>
      </c>
      <c r="C5957" s="3" t="str">
        <f>IFERROR(VLOOKUP(A5957,'Base Prueba'!A:C,3,),"NO REGISTRA")</f>
        <v>SEDENIS RIVAS ASPRILLA</v>
      </c>
      <c r="D5957" s="4" t="str">
        <f>IFERROR(VLOOKUP(A5957,'Base Prueba'!A:D,4,),"NO REGISTRA")</f>
        <v>APRENDIZ UNIVERSITARIO</v>
      </c>
      <c r="E5957" s="5" t="str">
        <f>IFERROR(VLOOKUP(A5957,'Base Prueba'!A:E,5,),"NO REGISTRA")</f>
        <v>DEPARTAMENTO DE GESTION HUMANA</v>
      </c>
    </row>
    <row r="5958" spans="1:5" ht="15.75" x14ac:dyDescent="0.25">
      <c r="A5958" s="14">
        <v>1014196857</v>
      </c>
      <c r="B5958" s="2">
        <v>46140.349847685182</v>
      </c>
      <c r="C5958" s="3" t="str">
        <f>IFERROR(VLOOKUP(A5958,'Base Prueba'!A:C,3,),"NO REGISTRA")</f>
        <v>CARLOS ANDRES JIMENEZ PARDO</v>
      </c>
      <c r="D5958" s="4" t="str">
        <f>IFERROR(VLOOKUP(A5958,'Base Prueba'!A:D,4,),"NO REGISTRA")</f>
        <v>COORDINADOR DE MARKETING DIGITAL</v>
      </c>
      <c r="E5958" s="5" t="str">
        <f>IFERROR(VLOOKUP(A5958,'Base Prueba'!A:E,5,),"NO REGISTRA")</f>
        <v>OFICINA DE MERCADEO</v>
      </c>
    </row>
    <row r="5959" spans="1:5" ht="15.75" x14ac:dyDescent="0.25">
      <c r="A5959" s="14">
        <v>53932358</v>
      </c>
      <c r="B5959" s="2">
        <v>46140.352455787041</v>
      </c>
      <c r="C5959" s="3" t="str">
        <f>IFERROR(VLOOKUP(A5959,'Base Prueba'!A:C,3,),"NO REGISTRA")</f>
        <v>DIANA MADELEYNE GAONA RODRIGUEZ</v>
      </c>
      <c r="D5959" s="4" t="str">
        <f>IFERROR(VLOOKUP(A5959,'Base Prueba'!A:D,4,),"NO REGISTRA")</f>
        <v>CONTADOR</v>
      </c>
      <c r="E5959" s="5" t="str">
        <f>IFERROR(VLOOKUP(A5959,'Base Prueba'!A:E,5,),"NO REGISTRA")</f>
        <v>AREA FINANCIERA Y CONTABLE</v>
      </c>
    </row>
    <row r="5960" spans="1:5" ht="15.75" x14ac:dyDescent="0.25">
      <c r="A5960" s="14">
        <v>1013098430</v>
      </c>
      <c r="B5960" s="2">
        <v>46140.355319097223</v>
      </c>
      <c r="C5960" s="3" t="str">
        <f>IFERROR(VLOOKUP(A5960,'Base Prueba'!A:C,3,),"NO REGISTRA")</f>
        <v>ANDRES FELIPE LOPEZ ROMERO</v>
      </c>
      <c r="D5960" s="4" t="str">
        <f>IFERROR(VLOOKUP(A5960,'Base Prueba'!A:D,4,),"NO REGISTRA")</f>
        <v>APRENDIZ UNIVERSITARIO</v>
      </c>
      <c r="E5960" s="5" t="str">
        <f>IFERROR(VLOOKUP(A5960,'Base Prueba'!A:E,5,),"NO REGISTRA")</f>
        <v>OFICINA DE MERCADEO</v>
      </c>
    </row>
    <row r="5961" spans="1:5" ht="15.75" x14ac:dyDescent="0.25">
      <c r="A5961" s="14">
        <v>52472386</v>
      </c>
      <c r="B5961" s="2">
        <v>46140.363117592591</v>
      </c>
      <c r="C5961" s="3" t="str">
        <f>IFERROR(VLOOKUP(A5961,'Base Prueba'!A:C,3,),"NO REGISTRA")</f>
        <v>ADRIANA MARCELA MORALES PARDO</v>
      </c>
      <c r="D5961" s="4" t="str">
        <f>IFERROR(VLOOKUP(A5961,'Base Prueba'!A:D,4,),"NO REGISTRA")</f>
        <v>PROMOTOR CALL CENTER</v>
      </c>
      <c r="E5961" s="5" t="str">
        <f>IFERROR(VLOOKUP(A5961,'Base Prueba'!A:E,5,),"NO REGISTRA")</f>
        <v>OFICINA DE MERCADEO</v>
      </c>
    </row>
    <row r="5962" spans="1:5" ht="15.75" x14ac:dyDescent="0.25">
      <c r="A5962" s="14">
        <v>1018414290</v>
      </c>
      <c r="B5962" s="2">
        <v>46140.365065393518</v>
      </c>
      <c r="C5962" s="3" t="str">
        <f>IFERROR(VLOOKUP(A5962,'Base Prueba'!A:C,3,),"NO REGISTRA")</f>
        <v>AMANDA LISBETH RODRIGUEZ LEON</v>
      </c>
      <c r="D5962" s="4" t="str">
        <f>IFERROR(VLOOKUP(A5962,'Base Prueba'!A:D,4,),"NO REGISTRA")</f>
        <v>PROMOTOR CALL CENTER</v>
      </c>
      <c r="E5962" s="5" t="str">
        <f>IFERROR(VLOOKUP(A5962,'Base Prueba'!A:E,5,),"NO REGISTRA")</f>
        <v>OFICINA DE MERCADEO</v>
      </c>
    </row>
    <row r="5963" spans="1:5" ht="15.75" x14ac:dyDescent="0.25">
      <c r="A5963" s="14">
        <v>28798349</v>
      </c>
      <c r="B5963" s="2">
        <v>46140.367919328703</v>
      </c>
      <c r="C5963" s="3" t="str">
        <f>IFERROR(VLOOKUP(A5963,'Base Prueba'!A:C,3,),"NO REGISTRA")</f>
        <v>MARTHA ISABEL TOVAR WILLIAMS</v>
      </c>
      <c r="D5963" s="4" t="str">
        <f>IFERROR(VLOOKUP(A5963,'Base Prueba'!A:D,4,),"NO REGISTRA")</f>
        <v>PROMOTOR CALL CENTER</v>
      </c>
      <c r="E5963" s="5" t="str">
        <f>IFERROR(VLOOKUP(A5963,'Base Prueba'!A:E,5,),"NO REGISTRA")</f>
        <v>OFICINA DE MERCADEO</v>
      </c>
    </row>
    <row r="5964" spans="1:5" ht="15.75" x14ac:dyDescent="0.25">
      <c r="A5964" s="14">
        <v>1000046533</v>
      </c>
      <c r="B5964" s="2">
        <v>46140.368697337966</v>
      </c>
      <c r="C5964" s="3" t="str">
        <f>IFERROR(VLOOKUP(A5964,'Base Prueba'!A:C,3,),"NO REGISTRA")</f>
        <v>ERIKA JULIETH VALDERRAMA SANCHEZ</v>
      </c>
      <c r="D5964" s="4" t="str">
        <f>IFERROR(VLOOKUP(A5964,'Base Prueba'!A:D,4,),"NO REGISTRA")</f>
        <v>PROMOTOR CALL CENTER</v>
      </c>
      <c r="E5964" s="5" t="str">
        <f>IFERROR(VLOOKUP(A5964,'Base Prueba'!A:E,5,),"NO REGISTRA")</f>
        <v>OFICINA DE MERCADEO</v>
      </c>
    </row>
    <row r="5965" spans="1:5" ht="15.75" x14ac:dyDescent="0.25">
      <c r="A5965" s="14">
        <v>80234243</v>
      </c>
      <c r="B5965" s="2">
        <v>46140.370000115741</v>
      </c>
      <c r="C5965" s="3" t="str">
        <f>IFERROR(VLOOKUP(A5965,'Base Prueba'!A:C,3,),"NO REGISTRA")</f>
        <v>ARGENIS MARTINEZ MARTINEZ</v>
      </c>
      <c r="D5965" s="4" t="str">
        <f>IFERROR(VLOOKUP(A5965,'Base Prueba'!A:D,4,),"NO REGISTRA")</f>
        <v>LIDER CALL CENTER</v>
      </c>
      <c r="E5965" s="5" t="str">
        <f>IFERROR(VLOOKUP(A5965,'Base Prueba'!A:E,5,),"NO REGISTRA")</f>
        <v>OFICINA DE MERCADEO</v>
      </c>
    </row>
    <row r="5966" spans="1:5" ht="15.75" x14ac:dyDescent="0.25">
      <c r="A5966" s="14">
        <v>1013101788</v>
      </c>
      <c r="B5966" s="2">
        <v>46140.370992129632</v>
      </c>
      <c r="C5966" s="3" t="str">
        <f>IFERROR(VLOOKUP(A5966,'Base Prueba'!A:C,3,),"NO REGISTRA")</f>
        <v>SARA TANGARIFE MONTOYA</v>
      </c>
      <c r="D5966" s="4" t="str">
        <f>IFERROR(VLOOKUP(A5966,'Base Prueba'!A:D,4,),"NO REGISTRA")</f>
        <v>APRENDIZ UNIVERSITARIO</v>
      </c>
      <c r="E5966" s="5" t="str">
        <f>IFERROR(VLOOKUP(A5966,'Base Prueba'!A:E,5,),"NO REGISTRA")</f>
        <v>OFICINA DE MERCADEO</v>
      </c>
    </row>
    <row r="5967" spans="1:5" ht="15.75" x14ac:dyDescent="0.25">
      <c r="A5967" s="14">
        <v>1012426741</v>
      </c>
      <c r="B5967" s="2">
        <v>46140.37413935185</v>
      </c>
      <c r="C5967" s="3" t="str">
        <f>IFERROR(VLOOKUP(A5967,'Base Prueba'!A:C,3,),"NO REGISTRA")</f>
        <v>CRISTIAN FABIAN ROJAS SANCENO</v>
      </c>
      <c r="D5967" s="4" t="str">
        <f>IFERROR(VLOOKUP(A5967,'Base Prueba'!A:D,4,),"NO REGISTRA")</f>
        <v>AUXILIAR DE REINTEGROS</v>
      </c>
      <c r="E5967" s="5" t="str">
        <f>IFERROR(VLOOKUP(A5967,'Base Prueba'!A:E,5,),"NO REGISTRA")</f>
        <v>DIRECCION DE BIENESTAR INSTITUCIONAL</v>
      </c>
    </row>
    <row r="5968" spans="1:5" ht="15.75" x14ac:dyDescent="0.25">
      <c r="A5968" s="14">
        <v>1033709056</v>
      </c>
      <c r="B5968" s="2">
        <v>46140.374239004632</v>
      </c>
      <c r="C5968" s="3" t="str">
        <f>IFERROR(VLOOKUP(A5968,'Base Prueba'!A:C,3,),"NO REGISTRA")</f>
        <v>YEIMY ALEXANDRA RODRIGUEZ PALACIO</v>
      </c>
      <c r="D5968" s="4" t="str">
        <f>IFERROR(VLOOKUP(A5968,'Base Prueba'!A:D,4,),"NO REGISTRA")</f>
        <v>PROMOTOR CALL CENTER</v>
      </c>
      <c r="E5968" s="5" t="str">
        <f>IFERROR(VLOOKUP(A5968,'Base Prueba'!A:E,5,),"NO REGISTRA")</f>
        <v>OFICINA DE MERCADEO</v>
      </c>
    </row>
    <row r="5969" spans="1:5" ht="15.75" x14ac:dyDescent="0.25">
      <c r="A5969" s="14">
        <v>1018413529</v>
      </c>
      <c r="B5969" s="2">
        <v>46140.375262037036</v>
      </c>
      <c r="C5969" s="3" t="str">
        <f>IFERROR(VLOOKUP(A5969,'Base Prueba'!A:C,3,),"NO REGISTRA")</f>
        <v>FRANCY STELLA CHARRY MORENO</v>
      </c>
      <c r="D5969" s="4" t="str">
        <f>IFERROR(VLOOKUP(A5969,'Base Prueba'!A:D,4,),"NO REGISTRA")</f>
        <v>PROMOTOR COMERCIAL DEL CEA</v>
      </c>
      <c r="E5969" s="5" t="str">
        <f>IFERROR(VLOOKUP(A5969,'Base Prueba'!A:E,5,),"NO REGISTRA")</f>
        <v>OFICINA DE MERCADEO</v>
      </c>
    </row>
    <row r="5970" spans="1:5" ht="15.75" x14ac:dyDescent="0.25">
      <c r="A5970" s="14">
        <v>1016090131</v>
      </c>
      <c r="B5970" s="2">
        <v>46140.377597453706</v>
      </c>
      <c r="C5970" s="3" t="str">
        <f>IFERROR(VLOOKUP(A5970,'Base Prueba'!A:C,3,),"NO REGISTRA")</f>
        <v>NICOLAS RODRIGUEZ PACHECO</v>
      </c>
      <c r="D5970" s="4" t="str">
        <f>IFERROR(VLOOKUP(A5970,'Base Prueba'!A:D,4,),"NO REGISTRA")</f>
        <v>COORDINADOR DE COMUNICACIONES</v>
      </c>
      <c r="E5970" s="5" t="str">
        <f>IFERROR(VLOOKUP(A5970,'Base Prueba'!A:E,5,),"NO REGISTRA")</f>
        <v>OFICINA DE MERCADEO</v>
      </c>
    </row>
    <row r="5971" spans="1:5" ht="15.75" x14ac:dyDescent="0.25">
      <c r="A5971" s="14">
        <v>53089882</v>
      </c>
      <c r="B5971" s="2">
        <v>46140.380531134258</v>
      </c>
      <c r="C5971" s="3" t="str">
        <f>IFERROR(VLOOKUP(A5971,'Base Prueba'!A:C,3,),"NO REGISTRA")</f>
        <v>MARIA JOHANA ESCAMILLA MARTINEZ</v>
      </c>
      <c r="D5971" s="4" t="str">
        <f>IFERROR(VLOOKUP(A5971,'Base Prueba'!A:D,4,),"NO REGISTRA")</f>
        <v>PROMOTOR DE INFORMACIÓN</v>
      </c>
      <c r="E5971" s="5" t="str">
        <f>IFERROR(VLOOKUP(A5971,'Base Prueba'!A:E,5,),"NO REGISTRA")</f>
        <v>OFICINA DE MERCADEO</v>
      </c>
    </row>
    <row r="5972" spans="1:5" ht="15.75" x14ac:dyDescent="0.25">
      <c r="A5972" s="14">
        <v>52175674</v>
      </c>
      <c r="B5972" s="2">
        <v>46140.382674652777</v>
      </c>
      <c r="C5972" s="3" t="str">
        <f>IFERROR(VLOOKUP(A5972,'Base Prueba'!A:C,3,),"NO REGISTRA")</f>
        <v>LUZ YANETH GOMEZ AREVALO</v>
      </c>
      <c r="D5972" s="4" t="str">
        <f>IFERROR(VLOOKUP(A5972,'Base Prueba'!A:D,4,),"NO REGISTRA")</f>
        <v>COORDINADORA DE ADMISIONES</v>
      </c>
      <c r="E5972" s="5" t="str">
        <f>IFERROR(VLOOKUP(A5972,'Base Prueba'!A:E,5,),"NO REGISTRA")</f>
        <v>OFICINA DE MERCADEO</v>
      </c>
    </row>
    <row r="5973" spans="1:5" ht="15.75" x14ac:dyDescent="0.25">
      <c r="A5973" s="14">
        <v>1023961952</v>
      </c>
      <c r="B5973" s="2">
        <v>46140.385221643519</v>
      </c>
      <c r="C5973" s="3" t="str">
        <f>IFERROR(VLOOKUP(A5973,'Base Prueba'!A:C,3,),"NO REGISTRA")</f>
        <v>ALEJANDRO PINZON MERCHAN</v>
      </c>
      <c r="D5973" s="4" t="str">
        <f>IFERROR(VLOOKUP(A5973,'Base Prueba'!A:D,4,),"NO REGISTRA")</f>
        <v>PROMOTOR CALL CENTER</v>
      </c>
      <c r="E5973" s="5" t="str">
        <f>IFERROR(VLOOKUP(A5973,'Base Prueba'!A:E,5,),"NO REGISTRA")</f>
        <v>OFICINA DE MERCADEO</v>
      </c>
    </row>
    <row r="5974" spans="1:5" ht="15.75" x14ac:dyDescent="0.25">
      <c r="A5974" s="14">
        <v>1000604979</v>
      </c>
      <c r="B5974" s="2">
        <v>46140.391181250001</v>
      </c>
      <c r="C5974" s="3" t="str">
        <f>IFERROR(VLOOKUP(A5974,'Base Prueba'!A:C,3,),"NO REGISTRA")</f>
        <v>JULIETH TATIANA PARDO PINTO</v>
      </c>
      <c r="D5974" s="4" t="str">
        <f>IFERROR(VLOOKUP(A5974,'Base Prueba'!A:D,4,),"NO REGISTRA")</f>
        <v>AUXILIAR JURIDICO</v>
      </c>
      <c r="E5974" s="5" t="str">
        <f>IFERROR(VLOOKUP(A5974,'Base Prueba'!A:E,5,),"NO REGISTRA")</f>
        <v>SECRETARIA GENERAL</v>
      </c>
    </row>
    <row r="5975" spans="1:5" ht="15.75" x14ac:dyDescent="0.25">
      <c r="A5975" s="14">
        <v>52764929</v>
      </c>
      <c r="B5975" s="2">
        <v>46140.393936921297</v>
      </c>
      <c r="C5975" s="3" t="str">
        <f>IFERROR(VLOOKUP(A5975,'Base Prueba'!A:C,3,),"NO REGISTRA")</f>
        <v>GUERLY YOHANA DURAN RIVERA</v>
      </c>
      <c r="D5975" s="4" t="str">
        <f>IFERROR(VLOOKUP(A5975,'Base Prueba'!A:D,4,),"NO REGISTRA")</f>
        <v>LIDER DE VINCULACION COLEGIOS</v>
      </c>
      <c r="E5975" s="5" t="str">
        <f>IFERROR(VLOOKUP(A5975,'Base Prueba'!A:E,5,),"NO REGISTRA")</f>
        <v>OFICINA DE MERCADEO</v>
      </c>
    </row>
    <row r="5976" spans="1:5" ht="15.75" x14ac:dyDescent="0.25">
      <c r="A5976" s="14">
        <v>52443092</v>
      </c>
      <c r="B5976" s="2">
        <v>46140.581013773146</v>
      </c>
      <c r="C5976" s="3" t="str">
        <f>IFERROR(VLOOKUP(A5976,'Base Prueba'!A:C,3,),"NO REGISTRA")</f>
        <v>LUZ MYRIAM SAAVEDRA CONTRERAS</v>
      </c>
      <c r="D5976" s="4" t="str">
        <f>IFERROR(VLOOKUP(A5976,'Base Prueba'!A:D,4,),"NO REGISTRA")</f>
        <v>AUXILIAR DE SERVICIOS</v>
      </c>
      <c r="E5976" s="5" t="str">
        <f>IFERROR(VLOOKUP(A5976,'Base Prueba'!A:E,5,),"NO REGISTRA")</f>
        <v>LOGISTICA Y SERVICIOS GENERALES</v>
      </c>
    </row>
    <row r="5977" spans="1:5" ht="15.75" x14ac:dyDescent="0.25">
      <c r="A5977" s="14">
        <v>1000257136</v>
      </c>
      <c r="B5977" s="2">
        <v>46140.714104282408</v>
      </c>
      <c r="C5977" s="3" t="str">
        <f>IFERROR(VLOOKUP(A5977,'Base Prueba'!A:C,3,),"NO REGISTRA")</f>
        <v>FRANCI VALENTINA CANO PUENTES</v>
      </c>
      <c r="D5977" s="4" t="str">
        <f>IFERROR(VLOOKUP(A5977,'Base Prueba'!A:D,4,),"NO REGISTRA")</f>
        <v>AUXILIAR CONTABLE</v>
      </c>
      <c r="E5977" s="5" t="str">
        <f>IFERROR(VLOOKUP(A5977,'Base Prueba'!A:E,5,),"NO REGISTRA")</f>
        <v>AREA FINANCIERA Y CONTABLE</v>
      </c>
    </row>
    <row r="5978" spans="1:5" ht="15.75" x14ac:dyDescent="0.25">
      <c r="A5978" s="14">
        <v>1033820146</v>
      </c>
      <c r="B5978" s="2">
        <v>46140.715930092592</v>
      </c>
      <c r="C5978" s="3" t="str">
        <f>IFERROR(VLOOKUP(A5978,'Base Prueba'!A:C,3,),"NO REGISTRA")</f>
        <v>JULIETH ALEXANDRA BUSTAMANTE RUIZ</v>
      </c>
      <c r="D5978" s="4" t="str">
        <f>IFERROR(VLOOKUP(A5978,'Base Prueba'!A:D,4,),"NO REGISTRA")</f>
        <v>AUXILIAR ADMINISTRATIVO</v>
      </c>
      <c r="E5978" s="5" t="str">
        <f>IFERROR(VLOOKUP(A5978,'Base Prueba'!A:E,5,),"NO REGISTRA")</f>
        <v>REGISTRO Y CONTROL ACADEMICO</v>
      </c>
    </row>
    <row r="5979" spans="1:5" ht="15.75" x14ac:dyDescent="0.25">
      <c r="A5979" s="14">
        <v>1000324729</v>
      </c>
      <c r="B5979" s="2">
        <v>46140.716027199072</v>
      </c>
      <c r="C5979" s="3" t="str">
        <f>IFERROR(VLOOKUP(A5979,'Base Prueba'!A:C,3,),"NO REGISTRA")</f>
        <v>ANYIE VANESSA TINOCO CAMACHO</v>
      </c>
      <c r="D5979" s="4" t="str">
        <f>IFERROR(VLOOKUP(A5979,'Base Prueba'!A:D,4,),"NO REGISTRA")</f>
        <v>LIDER DE REGISTRO Y CONTROL</v>
      </c>
      <c r="E5979" s="5" t="str">
        <f>IFERROR(VLOOKUP(A5979,'Base Prueba'!A:E,5,),"NO REGISTRA")</f>
        <v>REGISTRO Y CONTROL ACADEMICO</v>
      </c>
    </row>
    <row r="5980" spans="1:5" ht="15.75" x14ac:dyDescent="0.25">
      <c r="A5980" s="14">
        <v>1024512067</v>
      </c>
      <c r="B5980" s="2">
        <v>46140.732163425928</v>
      </c>
      <c r="C5980" s="3" t="str">
        <f>IFERROR(VLOOKUP(A5980,'Base Prueba'!A:C,3,),"NO REGISTRA")</f>
        <v>CINDY GIOVANA SALGAR GOMEZ</v>
      </c>
      <c r="D5980" s="4" t="str">
        <f>IFERROR(VLOOKUP(A5980,'Base Prueba'!A:D,4,),"NO REGISTRA")</f>
        <v>COORDINADOR DEL SISTEMA INTEGRADO DE GESTION INSTITUCIONAL - SIGI</v>
      </c>
      <c r="E5980" s="5" t="str">
        <f>IFERROR(VLOOKUP(A5980,'Base Prueba'!A:E,5,),"NO REGISTRA")</f>
        <v>OFICINA DE PLANEACION Y GESTION DE LA CALIDAD</v>
      </c>
    </row>
    <row r="5981" spans="1:5" ht="15.75" x14ac:dyDescent="0.25">
      <c r="A5981" s="14">
        <v>1000604979</v>
      </c>
      <c r="B5981" s="2">
        <v>46140.73323460648</v>
      </c>
      <c r="C5981" s="3" t="str">
        <f>IFERROR(VLOOKUP(A5981,'Base Prueba'!A:C,3,),"NO REGISTRA")</f>
        <v>JULIETH TATIANA PARDO PINTO</v>
      </c>
      <c r="D5981" s="4" t="str">
        <f>IFERROR(VLOOKUP(A5981,'Base Prueba'!A:D,4,),"NO REGISTRA")</f>
        <v>AUXILIAR JURIDICO</v>
      </c>
      <c r="E5981" s="5" t="str">
        <f>IFERROR(VLOOKUP(A5981,'Base Prueba'!A:E,5,),"NO REGISTRA")</f>
        <v>SECRETARIA GENERAL</v>
      </c>
    </row>
    <row r="5982" spans="1:5" ht="15.75" x14ac:dyDescent="0.25">
      <c r="A5982" s="14">
        <v>1024505434</v>
      </c>
      <c r="B5982" s="2">
        <v>46140.737961689818</v>
      </c>
      <c r="C5982" s="3" t="str">
        <f>IFERROR(VLOOKUP(A5982,'Base Prueba'!A:C,3,),"NO REGISTRA")</f>
        <v>CRISTIAN ALBERTO MELO TORRES</v>
      </c>
      <c r="D5982" s="4" t="str">
        <f>IFERROR(VLOOKUP(A5982,'Base Prueba'!A:D,4,),"NO REGISTRA")</f>
        <v>COORDINADOR DE INFRAESTRUCTURA</v>
      </c>
      <c r="E5982" s="5" t="str">
        <f>IFERROR(VLOOKUP(A5982,'Base Prueba'!A:E,5,),"NO REGISTRA")</f>
        <v>VICERRECTORIA ADMINISTRATIVA Y FINANCIERA</v>
      </c>
    </row>
    <row r="5983" spans="1:5" ht="15.75" x14ac:dyDescent="0.25">
      <c r="A5983" s="14">
        <v>1013098430</v>
      </c>
      <c r="B5983" s="2">
        <v>46140.742616435185</v>
      </c>
      <c r="C5983" s="3" t="str">
        <f>IFERROR(VLOOKUP(A5983,'Base Prueba'!A:C,3,),"NO REGISTRA")</f>
        <v>ANDRES FELIPE LOPEZ ROMERO</v>
      </c>
      <c r="D5983" s="4" t="str">
        <f>IFERROR(VLOOKUP(A5983,'Base Prueba'!A:D,4,),"NO REGISTRA")</f>
        <v>APRENDIZ UNIVERSITARIO</v>
      </c>
      <c r="E5983" s="5" t="str">
        <f>IFERROR(VLOOKUP(A5983,'Base Prueba'!A:E,5,),"NO REGISTRA")</f>
        <v>OFICINA DE MERCADEO</v>
      </c>
    </row>
    <row r="5984" spans="1:5" ht="15.75" x14ac:dyDescent="0.25">
      <c r="A5984" s="14">
        <v>1193457976</v>
      </c>
      <c r="B5984" s="2">
        <v>46140.75014340278</v>
      </c>
      <c r="C5984" s="3" t="str">
        <f>IFERROR(VLOOKUP(A5984,'Base Prueba'!A:C,3,),"NO REGISTRA")</f>
        <v>SEDENIS RIVAS ASPRILLA</v>
      </c>
      <c r="D5984" s="4" t="str">
        <f>IFERROR(VLOOKUP(A5984,'Base Prueba'!A:D,4,),"NO REGISTRA")</f>
        <v>APRENDIZ UNIVERSITARIO</v>
      </c>
      <c r="E5984" s="5" t="str">
        <f>IFERROR(VLOOKUP(A5984,'Base Prueba'!A:E,5,),"NO REGISTRA")</f>
        <v>DEPARTAMENTO DE GESTION HUMANA</v>
      </c>
    </row>
    <row r="5985" spans="1:5" ht="15.75" x14ac:dyDescent="0.25">
      <c r="A5985" s="14">
        <v>1022996882</v>
      </c>
      <c r="B5985" s="2">
        <v>46140.750276157407</v>
      </c>
      <c r="C5985" s="3" t="str">
        <f>IFERROR(VLOOKUP(A5985,'Base Prueba'!A:C,3,),"NO REGISTRA")</f>
        <v>NANCY BRIGITH ALDANA GUEVARA</v>
      </c>
      <c r="D5985" s="4" t="str">
        <f>IFERROR(VLOOKUP(A5985,'Base Prueba'!A:D,4,),"NO REGISTRA")</f>
        <v>COORDINADORA DE GESTIÓN HUMANA</v>
      </c>
      <c r="E5985" s="5" t="str">
        <f>IFERROR(VLOOKUP(A5985,'Base Prueba'!A:E,5,),"NO REGISTRA")</f>
        <v>DEPARTAMENTO DE GESTION HUMANA</v>
      </c>
    </row>
    <row r="5986" spans="1:5" ht="15.75" x14ac:dyDescent="0.25">
      <c r="A5986" s="14">
        <v>1023883232</v>
      </c>
      <c r="B5986" s="2">
        <v>46140.750384722225</v>
      </c>
      <c r="C5986" s="3" t="str">
        <f>IFERROR(VLOOKUP(A5986,'Base Prueba'!A:C,3,),"NO REGISTRA")</f>
        <v>MONICA ANDREA ACERO URBANO</v>
      </c>
      <c r="D5986" s="4" t="str">
        <f>IFERROR(VLOOKUP(A5986,'Base Prueba'!A:D,4,),"NO REGISTRA")</f>
        <v>APOYO INTEGRAL A GESTION HUMANA</v>
      </c>
      <c r="E5986" s="5" t="str">
        <f>IFERROR(VLOOKUP(A5986,'Base Prueba'!A:E,5,),"NO REGISTRA")</f>
        <v>DEPARTAMENTO DE GESTION HUMANA</v>
      </c>
    </row>
    <row r="5987" spans="1:5" ht="15.75" x14ac:dyDescent="0.25">
      <c r="A5987" s="14">
        <v>52225539</v>
      </c>
      <c r="B5987" s="2">
        <v>46140.750810763886</v>
      </c>
      <c r="C5987" s="3" t="str">
        <f>IFERROR(VLOOKUP(A5987,'Base Prueba'!A:C,3,),"NO REGISTRA")</f>
        <v>LISA MINELLY ZAMBRANO CONTRERAS</v>
      </c>
      <c r="D5987" s="4" t="str">
        <f>IFERROR(VLOOKUP(A5987,'Base Prueba'!A:D,4,),"NO REGISTRA")</f>
        <v>LIDER DE COMPRAS</v>
      </c>
      <c r="E5987" s="5" t="str">
        <f>IFERROR(VLOOKUP(A5987,'Base Prueba'!A:E,5,),"NO REGISTRA")</f>
        <v>VICERRECTORIA ADMINISTRATIVA Y FINANCIERA</v>
      </c>
    </row>
    <row r="5988" spans="1:5" ht="15.75" x14ac:dyDescent="0.25">
      <c r="A5988" s="14">
        <v>1049644802</v>
      </c>
      <c r="B5988" s="2">
        <v>46140.753612037035</v>
      </c>
      <c r="C5988" s="3" t="str">
        <f>IFERROR(VLOOKUP(A5988,'Base Prueba'!A:C,3,),"NO REGISTRA")</f>
        <v>DANIELA ALEXANDRA CIPAMOCHA BOSIGA</v>
      </c>
      <c r="D5988" s="4" t="str">
        <f>IFERROR(VLOOKUP(A5988,'Base Prueba'!A:D,4,),"NO REGISTRA")</f>
        <v>LIDER DE DATOS Y SERVICIOS</v>
      </c>
      <c r="E5988" s="5" t="str">
        <f>IFERROR(VLOOKUP(A5988,'Base Prueba'!A:E,5,),"NO REGISTRA")</f>
        <v>OFICINA DE PLANEACION Y GESTION DE LA CALIDAD</v>
      </c>
    </row>
    <row r="5989" spans="1:5" ht="15.75" x14ac:dyDescent="0.25">
      <c r="A5989" s="14">
        <v>1013616244</v>
      </c>
      <c r="B5989" s="2">
        <v>46140.753906481485</v>
      </c>
      <c r="C5989" s="3" t="str">
        <f>IFERROR(VLOOKUP(A5989,'Base Prueba'!A:C,3,),"NO REGISTRA")</f>
        <v>DIANA CAROLINA MARIN BETANCOURT</v>
      </c>
      <c r="D5989" s="4" t="str">
        <f>IFERROR(VLOOKUP(A5989,'Base Prueba'!A:D,4,),"NO REGISTRA")</f>
        <v>AUXILIAR ADMINISTRATIVO</v>
      </c>
      <c r="E5989" s="5" t="str">
        <f>IFERROR(VLOOKUP(A5989,'Base Prueba'!A:E,5,),"NO REGISTRA")</f>
        <v>REGISTRO Y CONTROL ACADEMICO</v>
      </c>
    </row>
    <row r="5990" spans="1:5" ht="15.75" x14ac:dyDescent="0.25">
      <c r="A5990" s="14">
        <v>80191732</v>
      </c>
      <c r="B5990" s="2">
        <v>46140.755636805552</v>
      </c>
      <c r="C5990" s="3" t="str">
        <f>IFERROR(VLOOKUP(A5990,'Base Prueba'!A:C,3,),"NO REGISTRA")</f>
        <v>DANIEL MAURICIO ZAMBRANO TUNJANO</v>
      </c>
      <c r="D5990" s="4" t="str">
        <f>IFERROR(VLOOKUP(A5990,'Base Prueba'!A:D,4,),"NO REGISTRA")</f>
        <v>COORDINADOR DE DISEÑO E IMAGEN INSTITUCIONAL</v>
      </c>
      <c r="E5990" s="5" t="str">
        <f>IFERROR(VLOOKUP(A5990,'Base Prueba'!A:E,5,),"NO REGISTRA")</f>
        <v>OFICINA DE MERCADEO</v>
      </c>
    </row>
    <row r="5991" spans="1:5" ht="15.75" x14ac:dyDescent="0.25">
      <c r="A5991" s="14">
        <v>1000457706</v>
      </c>
      <c r="B5991" s="2">
        <v>46140.759946874998</v>
      </c>
      <c r="C5991" s="3" t="str">
        <f>IFERROR(VLOOKUP(A5991,'Base Prueba'!A:C,3,),"NO REGISTRA")</f>
        <v>CRISTIAN DANILO ARROYO SANABRIA</v>
      </c>
      <c r="D5991" s="4" t="str">
        <f>IFERROR(VLOOKUP(A5991,'Base Prueba'!A:D,4,),"NO REGISTRA")</f>
        <v>AUXILIAR CONTABLE</v>
      </c>
      <c r="E5991" s="5" t="str">
        <f>IFERROR(VLOOKUP(A5991,'Base Prueba'!A:E,5,),"NO REGISTRA")</f>
        <v>AREA FINANCIERA Y CONTABLE</v>
      </c>
    </row>
    <row r="5992" spans="1:5" ht="15.75" x14ac:dyDescent="0.25">
      <c r="A5992" s="14">
        <v>53932358</v>
      </c>
      <c r="B5992" s="2">
        <v>46140.764954282407</v>
      </c>
      <c r="C5992" s="3" t="str">
        <f>IFERROR(VLOOKUP(A5992,'Base Prueba'!A:C,3,),"NO REGISTRA")</f>
        <v>DIANA MADELEYNE GAONA RODRIGUEZ</v>
      </c>
      <c r="D5992" s="4" t="str">
        <f>IFERROR(VLOOKUP(A5992,'Base Prueba'!A:D,4,),"NO REGISTRA")</f>
        <v>CONTADOR</v>
      </c>
      <c r="E5992" s="5" t="str">
        <f>IFERROR(VLOOKUP(A5992,'Base Prueba'!A:E,5,),"NO REGISTRA")</f>
        <v>AREA FINANCIERA Y CONTABLE</v>
      </c>
    </row>
    <row r="5993" spans="1:5" ht="15.75" x14ac:dyDescent="0.25">
      <c r="A5993" s="14">
        <v>52474489</v>
      </c>
      <c r="B5993" s="2">
        <v>46140.768467245369</v>
      </c>
      <c r="C5993" s="3" t="str">
        <f>IFERROR(VLOOKUP(A5993,'Base Prueba'!A:C,3,),"NO REGISTRA")</f>
        <v>ADRIANA JIMENA SOTO BOCANEGRA</v>
      </c>
      <c r="D5993" s="4" t="str">
        <f>IFERROR(VLOOKUP(A5993,'Base Prueba'!A:D,4,),"NO REGISTRA")</f>
        <v>COORDINADOR DE LA OFICINA DE REGISTRO Y CONTROL</v>
      </c>
      <c r="E5993" s="5" t="str">
        <f>IFERROR(VLOOKUP(A5993,'Base Prueba'!A:E,5,),"NO REGISTRA")</f>
        <v>REGISTRO Y CONTROL ACADEMICO</v>
      </c>
    </row>
    <row r="5994" spans="1:5" ht="15.75" x14ac:dyDescent="0.25">
      <c r="A5994" s="14">
        <v>1014308296</v>
      </c>
      <c r="B5994" s="2">
        <v>46140.769200694442</v>
      </c>
      <c r="C5994" s="3" t="str">
        <f>IFERROR(VLOOKUP(A5994,'Base Prueba'!A:C,3,),"NO REGISTRA")</f>
        <v>DARLENE YULIANA MORENO CELEITA</v>
      </c>
      <c r="D5994" s="4" t="str">
        <f>IFERROR(VLOOKUP(A5994,'Base Prueba'!A:D,4,),"NO REGISTRA")</f>
        <v>CAJERO PRINCIPAL</v>
      </c>
      <c r="E5994" s="5" t="str">
        <f>IFERROR(VLOOKUP(A5994,'Base Prueba'!A:E,5,),"NO REGISTRA")</f>
        <v>AREA FINANCIERA Y CONTABLE</v>
      </c>
    </row>
    <row r="5995" spans="1:5" ht="15.75" x14ac:dyDescent="0.25">
      <c r="A5995" s="14">
        <v>1012426741</v>
      </c>
      <c r="B5995" s="2">
        <v>46140.771024421294</v>
      </c>
      <c r="C5995" s="3" t="str">
        <f>IFERROR(VLOOKUP(A5995,'Base Prueba'!A:C,3,),"NO REGISTRA")</f>
        <v>CRISTIAN FABIAN ROJAS SANCENO</v>
      </c>
      <c r="D5995" s="4" t="str">
        <f>IFERROR(VLOOKUP(A5995,'Base Prueba'!A:D,4,),"NO REGISTRA")</f>
        <v>AUXILIAR DE REINTEGROS</v>
      </c>
      <c r="E5995" s="5" t="str">
        <f>IFERROR(VLOOKUP(A5995,'Base Prueba'!A:E,5,),"NO REGISTRA")</f>
        <v>DIRECCION DE BIENESTAR INSTITUCIONAL</v>
      </c>
    </row>
    <row r="5996" spans="1:5" ht="15.75" x14ac:dyDescent="0.25">
      <c r="A5996" s="14">
        <v>1000046533</v>
      </c>
      <c r="B5996" s="2">
        <v>46140.774657870374</v>
      </c>
      <c r="C5996" s="3" t="str">
        <f>IFERROR(VLOOKUP(A5996,'Base Prueba'!A:C,3,),"NO REGISTRA")</f>
        <v>ERIKA JULIETH VALDERRAMA SANCHEZ</v>
      </c>
      <c r="D5996" s="4" t="str">
        <f>IFERROR(VLOOKUP(A5996,'Base Prueba'!A:D,4,),"NO REGISTRA")</f>
        <v>PROMOTOR CALL CENTER</v>
      </c>
      <c r="E5996" s="5" t="str">
        <f>IFERROR(VLOOKUP(A5996,'Base Prueba'!A:E,5,),"NO REGISTRA")</f>
        <v>OFICINA DE MERCADEO</v>
      </c>
    </row>
    <row r="5997" spans="1:5" ht="15.75" x14ac:dyDescent="0.25">
      <c r="A5997" s="14">
        <v>52175674</v>
      </c>
      <c r="B5997" s="2">
        <v>46140.776796412036</v>
      </c>
      <c r="C5997" s="3" t="str">
        <f>IFERROR(VLOOKUP(A5997,'Base Prueba'!A:C,3,),"NO REGISTRA")</f>
        <v>LUZ YANETH GOMEZ AREVALO</v>
      </c>
      <c r="D5997" s="4" t="str">
        <f>IFERROR(VLOOKUP(A5997,'Base Prueba'!A:D,4,),"NO REGISTRA")</f>
        <v>COORDINADORA DE ADMISIONES</v>
      </c>
      <c r="E5997" s="5" t="str">
        <f>IFERROR(VLOOKUP(A5997,'Base Prueba'!A:E,5,),"NO REGISTRA")</f>
        <v>OFICINA DE MERCADEO</v>
      </c>
    </row>
    <row r="5998" spans="1:5" ht="15.75" x14ac:dyDescent="0.25">
      <c r="A5998" s="14">
        <v>1033709056</v>
      </c>
      <c r="B5998" s="2">
        <v>46140.77699421296</v>
      </c>
      <c r="C5998" s="3" t="str">
        <f>IFERROR(VLOOKUP(A5998,'Base Prueba'!A:C,3,),"NO REGISTRA")</f>
        <v>YEIMY ALEXANDRA RODRIGUEZ PALACIO</v>
      </c>
      <c r="D5998" s="4" t="str">
        <f>IFERROR(VLOOKUP(A5998,'Base Prueba'!A:D,4,),"NO REGISTRA")</f>
        <v>PROMOTOR CALL CENTER</v>
      </c>
      <c r="E5998" s="5" t="str">
        <f>IFERROR(VLOOKUP(A5998,'Base Prueba'!A:E,5,),"NO REGISTRA")</f>
        <v>OFICINA DE MERCADEO</v>
      </c>
    </row>
    <row r="5999" spans="1:5" ht="15.75" x14ac:dyDescent="0.25">
      <c r="A5999" s="14">
        <v>53089882</v>
      </c>
      <c r="B5999" s="2">
        <v>46140.781774305557</v>
      </c>
      <c r="C5999" s="3" t="str">
        <f>IFERROR(VLOOKUP(A5999,'Base Prueba'!A:C,3,),"NO REGISTRA")</f>
        <v>MARIA JOHANA ESCAMILLA MARTINEZ</v>
      </c>
      <c r="D5999" s="4" t="str">
        <f>IFERROR(VLOOKUP(A5999,'Base Prueba'!A:D,4,),"NO REGISTRA")</f>
        <v>PROMOTOR DE INFORMACIÓN</v>
      </c>
      <c r="E5999" s="5" t="str">
        <f>IFERROR(VLOOKUP(A5999,'Base Prueba'!A:E,5,),"NO REGISTRA")</f>
        <v>OFICINA DE MERCADEO</v>
      </c>
    </row>
    <row r="6000" spans="1:5" ht="15.75" x14ac:dyDescent="0.25">
      <c r="A6000" s="14">
        <v>1018413529</v>
      </c>
      <c r="B6000" s="2">
        <v>46140.781900347225</v>
      </c>
      <c r="C6000" s="3" t="str">
        <f>IFERROR(VLOOKUP(A6000,'Base Prueba'!A:C,3,),"NO REGISTRA")</f>
        <v>FRANCY STELLA CHARRY MORENO</v>
      </c>
      <c r="D6000" s="4" t="str">
        <f>IFERROR(VLOOKUP(A6000,'Base Prueba'!A:D,4,),"NO REGISTRA")</f>
        <v>PROMOTOR COMERCIAL DEL CEA</v>
      </c>
      <c r="E6000" s="5" t="str">
        <f>IFERROR(VLOOKUP(A6000,'Base Prueba'!A:E,5,),"NO REGISTRA")</f>
        <v>OFICINA DE MERCADEO</v>
      </c>
    </row>
    <row r="6001" spans="1:5" ht="15.75" x14ac:dyDescent="0.25">
      <c r="A6001" s="14">
        <v>28798349</v>
      </c>
      <c r="B6001" s="2">
        <v>46140.783110416669</v>
      </c>
      <c r="C6001" s="3" t="str">
        <f>IFERROR(VLOOKUP(A6001,'Base Prueba'!A:C,3,),"NO REGISTRA")</f>
        <v>MARTHA ISABEL TOVAR WILLIAMS</v>
      </c>
      <c r="D6001" s="4" t="str">
        <f>IFERROR(VLOOKUP(A6001,'Base Prueba'!A:D,4,),"NO REGISTRA")</f>
        <v>PROMOTOR CALL CENTER</v>
      </c>
      <c r="E6001" s="5" t="str">
        <f>IFERROR(VLOOKUP(A6001,'Base Prueba'!A:E,5,),"NO REGISTRA")</f>
        <v>OFICINA DE MERCADEO</v>
      </c>
    </row>
    <row r="6002" spans="1:5" ht="15.75" x14ac:dyDescent="0.25">
      <c r="A6002" s="14">
        <v>1014196857</v>
      </c>
      <c r="B6002" s="2">
        <v>46140.78330949074</v>
      </c>
      <c r="C6002" s="3" t="str">
        <f>IFERROR(VLOOKUP(A6002,'Base Prueba'!A:C,3,),"NO REGISTRA")</f>
        <v>CARLOS ANDRES JIMENEZ PARDO</v>
      </c>
      <c r="D6002" s="4" t="str">
        <f>IFERROR(VLOOKUP(A6002,'Base Prueba'!A:D,4,),"NO REGISTRA")</f>
        <v>COORDINADOR DE MARKETING DIGITAL</v>
      </c>
      <c r="E6002" s="5" t="str">
        <f>IFERROR(VLOOKUP(A6002,'Base Prueba'!A:E,5,),"NO REGISTRA")</f>
        <v>OFICINA DE MERCADEO</v>
      </c>
    </row>
    <row r="6003" spans="1:5" ht="15.75" x14ac:dyDescent="0.25">
      <c r="A6003" s="14">
        <v>1023961952</v>
      </c>
      <c r="B6003" s="2">
        <v>46140.783576620372</v>
      </c>
      <c r="C6003" s="3" t="str">
        <f>IFERROR(VLOOKUP(A6003,'Base Prueba'!A:C,3,),"NO REGISTRA")</f>
        <v>ALEJANDRO PINZON MERCHAN</v>
      </c>
      <c r="D6003" s="4" t="str">
        <f>IFERROR(VLOOKUP(A6003,'Base Prueba'!A:D,4,),"NO REGISTRA")</f>
        <v>PROMOTOR CALL CENTER</v>
      </c>
      <c r="E6003" s="5" t="str">
        <f>IFERROR(VLOOKUP(A6003,'Base Prueba'!A:E,5,),"NO REGISTRA")</f>
        <v>OFICINA DE MERCADEO</v>
      </c>
    </row>
    <row r="6004" spans="1:5" ht="15.75" x14ac:dyDescent="0.25">
      <c r="A6004" s="14">
        <v>1019105003</v>
      </c>
      <c r="B6004" s="2">
        <v>46140.784951041664</v>
      </c>
      <c r="C6004" s="3" t="str">
        <f>IFERROR(VLOOKUP(A6004,'Base Prueba'!A:C,3,),"NO REGISTRA")</f>
        <v>DAISY JULIETH GASPAR MORENO</v>
      </c>
      <c r="D6004" s="4" t="str">
        <f>IFERROR(VLOOKUP(A6004,'Base Prueba'!A:D,4,),"NO REGISTRA")</f>
        <v>PROMOTOR CALL CENTER</v>
      </c>
      <c r="E6004" s="5" t="str">
        <f>IFERROR(VLOOKUP(A6004,'Base Prueba'!A:E,5,),"NO REGISTRA")</f>
        <v>OFICINA DE MERCADEO</v>
      </c>
    </row>
    <row r="6005" spans="1:5" ht="15.75" x14ac:dyDescent="0.25">
      <c r="A6005" s="14">
        <v>1018414290</v>
      </c>
      <c r="B6005" s="2">
        <v>46140.787157754632</v>
      </c>
      <c r="C6005" s="3" t="str">
        <f>IFERROR(VLOOKUP(A6005,'Base Prueba'!A:C,3,),"NO REGISTRA")</f>
        <v>AMANDA LISBETH RODRIGUEZ LEON</v>
      </c>
      <c r="D6005" s="4" t="str">
        <f>IFERROR(VLOOKUP(A6005,'Base Prueba'!A:D,4,),"NO REGISTRA")</f>
        <v>PROMOTOR CALL CENTER</v>
      </c>
      <c r="E6005" s="5" t="str">
        <f>IFERROR(VLOOKUP(A6005,'Base Prueba'!A:E,5,),"NO REGISTRA")</f>
        <v>OFICINA DE MERCADEO</v>
      </c>
    </row>
    <row r="6006" spans="1:5" ht="15.75" x14ac:dyDescent="0.25">
      <c r="A6006" s="14">
        <v>52472386</v>
      </c>
      <c r="B6006" s="2">
        <v>46140.788191666667</v>
      </c>
      <c r="C6006" s="3" t="str">
        <f>IFERROR(VLOOKUP(A6006,'Base Prueba'!A:C,3,),"NO REGISTRA")</f>
        <v>ADRIANA MARCELA MORALES PARDO</v>
      </c>
      <c r="D6006" s="4" t="str">
        <f>IFERROR(VLOOKUP(A6006,'Base Prueba'!A:D,4,),"NO REGISTRA")</f>
        <v>PROMOTOR CALL CENTER</v>
      </c>
      <c r="E6006" s="5" t="str">
        <f>IFERROR(VLOOKUP(A6006,'Base Prueba'!A:E,5,),"NO REGISTRA")</f>
        <v>OFICINA DE MERCADEO</v>
      </c>
    </row>
    <row r="6007" spans="1:5" ht="15.75" x14ac:dyDescent="0.25">
      <c r="A6007" s="14">
        <v>80234243</v>
      </c>
      <c r="B6007" s="2">
        <v>46140.788465393518</v>
      </c>
      <c r="C6007" s="3" t="str">
        <f>IFERROR(VLOOKUP(A6007,'Base Prueba'!A:C,3,),"NO REGISTRA")</f>
        <v>ARGENIS MARTINEZ MARTINEZ</v>
      </c>
      <c r="D6007" s="4" t="str">
        <f>IFERROR(VLOOKUP(A6007,'Base Prueba'!A:D,4,),"NO REGISTRA")</f>
        <v>LIDER CALL CENTER</v>
      </c>
      <c r="E6007" s="5" t="str">
        <f>IFERROR(VLOOKUP(A6007,'Base Prueba'!A:E,5,),"NO REGISTRA")</f>
        <v>OFICINA DE MERCADEO</v>
      </c>
    </row>
    <row r="6008" spans="1:5" ht="15.75" x14ac:dyDescent="0.25">
      <c r="A6008" s="14">
        <v>1013101788</v>
      </c>
      <c r="B6008" s="2">
        <v>46140.819954513892</v>
      </c>
      <c r="C6008" s="3" t="str">
        <f>IFERROR(VLOOKUP(A6008,'Base Prueba'!A:C,3,),"NO REGISTRA")</f>
        <v>SARA TANGARIFE MONTOYA</v>
      </c>
      <c r="D6008" s="4" t="str">
        <f>IFERROR(VLOOKUP(A6008,'Base Prueba'!A:D,4,),"NO REGISTRA")</f>
        <v>APRENDIZ UNIVERSITARIO</v>
      </c>
      <c r="E6008" s="5" t="str">
        <f>IFERROR(VLOOKUP(A6008,'Base Prueba'!A:E,5,),"NO REGISTRA")</f>
        <v>OFICINA DE MERCADEO</v>
      </c>
    </row>
    <row r="6009" spans="1:5" ht="15.75" x14ac:dyDescent="0.25">
      <c r="A6009" s="14">
        <v>1024512067</v>
      </c>
      <c r="B6009" s="2">
        <v>46141.312734606479</v>
      </c>
      <c r="C6009" s="3" t="str">
        <f>IFERROR(VLOOKUP(A6009,'Base Prueba'!A:C,3,),"NO REGISTRA")</f>
        <v>CINDY GIOVANA SALGAR GOMEZ</v>
      </c>
      <c r="D6009" s="4" t="str">
        <f>IFERROR(VLOOKUP(A6009,'Base Prueba'!A:D,4,),"NO REGISTRA")</f>
        <v>COORDINADOR DEL SISTEMA INTEGRADO DE GESTION INSTITUCIONAL - SIGI</v>
      </c>
      <c r="E6009" s="5" t="str">
        <f>IFERROR(VLOOKUP(A6009,'Base Prueba'!A:E,5,),"NO REGISTRA")</f>
        <v>OFICINA DE PLANEACION Y GESTION DE LA CALIDAD</v>
      </c>
    </row>
    <row r="6010" spans="1:5" ht="15.75" x14ac:dyDescent="0.25">
      <c r="A6010" s="14">
        <v>1087121273</v>
      </c>
      <c r="B6010" s="2">
        <v>46141.316876851852</v>
      </c>
      <c r="C6010" s="3" t="str">
        <f>IFERROR(VLOOKUP(A6010,'Base Prueba'!A:C,3,),"NO REGISTRA")</f>
        <v>MAYRA ALEJANDRA CASTILLO ARBOLEDA</v>
      </c>
      <c r="D6010" s="4" t="str">
        <f>IFERROR(VLOOKUP(A6010,'Base Prueba'!A:D,4,),"NO REGISTRA")</f>
        <v>APOYO INTEGRAL DE MERCADEO</v>
      </c>
      <c r="E6010" s="5" t="str">
        <f>IFERROR(VLOOKUP(A6010,'Base Prueba'!A:E,5,),"NO REGISTRA")</f>
        <v>CENTRO DE GESTION DOCUMENTAL</v>
      </c>
    </row>
    <row r="6011" spans="1:5" ht="15.75" x14ac:dyDescent="0.25">
      <c r="A6011" s="14">
        <v>1013616244</v>
      </c>
      <c r="B6011" s="2">
        <v>46141.317751041664</v>
      </c>
      <c r="C6011" s="3" t="str">
        <f>IFERROR(VLOOKUP(A6011,'Base Prueba'!A:C,3,),"NO REGISTRA")</f>
        <v>DIANA CAROLINA MARIN BETANCOURT</v>
      </c>
      <c r="D6011" s="4" t="str">
        <f>IFERROR(VLOOKUP(A6011,'Base Prueba'!A:D,4,),"NO REGISTRA")</f>
        <v>AUXILIAR ADMINISTRATIVO</v>
      </c>
      <c r="E6011" s="5" t="str">
        <f>IFERROR(VLOOKUP(A6011,'Base Prueba'!A:E,5,),"NO REGISTRA")</f>
        <v>REGISTRO Y CONTROL ACADEMICO</v>
      </c>
    </row>
    <row r="6012" spans="1:5" ht="15.75" x14ac:dyDescent="0.25">
      <c r="A6012" s="14">
        <v>1000992568</v>
      </c>
      <c r="B6012" s="2">
        <v>46141.327306944448</v>
      </c>
      <c r="C6012" s="3" t="str">
        <f>IFERROR(VLOOKUP(A6012,'Base Prueba'!A:C,3,),"NO REGISTRA")</f>
        <v>KAREN BRIGITTE DALEMAN MORENO</v>
      </c>
      <c r="D6012" s="4" t="str">
        <f>IFERROR(VLOOKUP(A6012,'Base Prueba'!A:D,4,),"NO REGISTRA")</f>
        <v>RECEPCIONISTA</v>
      </c>
      <c r="E6012" s="5" t="str">
        <f>IFERROR(VLOOKUP(A6012,'Base Prueba'!A:E,5,),"NO REGISTRA")</f>
        <v>CENTRO DE GESTION DOCUMENTAL</v>
      </c>
    </row>
    <row r="6013" spans="1:5" ht="15.75" x14ac:dyDescent="0.25">
      <c r="A6013" s="14">
        <v>1014308296</v>
      </c>
      <c r="B6013" s="2">
        <v>46141.327492824072</v>
      </c>
      <c r="C6013" s="3" t="str">
        <f>IFERROR(VLOOKUP(A6013,'Base Prueba'!A:C,3,),"NO REGISTRA")</f>
        <v>DARLENE YULIANA MORENO CELEITA</v>
      </c>
      <c r="D6013" s="4" t="str">
        <f>IFERROR(VLOOKUP(A6013,'Base Prueba'!A:D,4,),"NO REGISTRA")</f>
        <v>CAJERO PRINCIPAL</v>
      </c>
      <c r="E6013" s="5" t="str">
        <f>IFERROR(VLOOKUP(A6013,'Base Prueba'!A:E,5,),"NO REGISTRA")</f>
        <v>AREA FINANCIERA Y CONTABLE</v>
      </c>
    </row>
    <row r="6014" spans="1:5" ht="15.75" x14ac:dyDescent="0.25">
      <c r="A6014" s="14">
        <v>80191732</v>
      </c>
      <c r="B6014" s="2">
        <v>46141.327795717596</v>
      </c>
      <c r="C6014" s="3" t="str">
        <f>IFERROR(VLOOKUP(A6014,'Base Prueba'!A:C,3,),"NO REGISTRA")</f>
        <v>DANIEL MAURICIO ZAMBRANO TUNJANO</v>
      </c>
      <c r="D6014" s="4" t="str">
        <f>IFERROR(VLOOKUP(A6014,'Base Prueba'!A:D,4,),"NO REGISTRA")</f>
        <v>COORDINADOR DE DISEÑO E IMAGEN INSTITUCIONAL</v>
      </c>
      <c r="E6014" s="5" t="str">
        <f>IFERROR(VLOOKUP(A6014,'Base Prueba'!A:E,5,),"NO REGISTRA")</f>
        <v>OFICINA DE MERCADEO</v>
      </c>
    </row>
    <row r="6015" spans="1:5" ht="15.75" x14ac:dyDescent="0.25">
      <c r="A6015" s="14">
        <v>1000324729</v>
      </c>
      <c r="B6015" s="2">
        <v>46141.32832291667</v>
      </c>
      <c r="C6015" s="3" t="str">
        <f>IFERROR(VLOOKUP(A6015,'Base Prueba'!A:C,3,),"NO REGISTRA")</f>
        <v>ANYIE VANESSA TINOCO CAMACHO</v>
      </c>
      <c r="D6015" s="4" t="str">
        <f>IFERROR(VLOOKUP(A6015,'Base Prueba'!A:D,4,),"NO REGISTRA")</f>
        <v>LIDER DE REGISTRO Y CONTROL</v>
      </c>
      <c r="E6015" s="5" t="str">
        <f>IFERROR(VLOOKUP(A6015,'Base Prueba'!A:E,5,),"NO REGISTRA")</f>
        <v>REGISTRO Y CONTROL ACADEMICO</v>
      </c>
    </row>
    <row r="6016" spans="1:5" ht="15.75" x14ac:dyDescent="0.25">
      <c r="A6016" s="14">
        <v>1014266838</v>
      </c>
      <c r="B6016" s="2">
        <v>46141.328531944448</v>
      </c>
      <c r="C6016" s="3" t="str">
        <f>IFERROR(VLOOKUP(A6016,'Base Prueba'!A:C,3,),"NO REGISTRA")</f>
        <v>JENNIFER ASTRID ROMERO HURTADO</v>
      </c>
      <c r="D6016" s="4" t="str">
        <f>IFERROR(VLOOKUP(A6016,'Base Prueba'!A:D,4,),"NO REGISTRA")</f>
        <v>LIDER DE RECAUDO</v>
      </c>
      <c r="E6016" s="5" t="str">
        <f>IFERROR(VLOOKUP(A6016,'Base Prueba'!A:E,5,),"NO REGISTRA")</f>
        <v>AREA FINANCIERA Y CONTABLE</v>
      </c>
    </row>
    <row r="6017" spans="1:5" ht="15.75" x14ac:dyDescent="0.25">
      <c r="A6017" s="14">
        <v>1049644802</v>
      </c>
      <c r="B6017" s="2">
        <v>46141.333749884259</v>
      </c>
      <c r="C6017" s="3" t="str">
        <f>IFERROR(VLOOKUP(A6017,'Base Prueba'!A:C,3,),"NO REGISTRA")</f>
        <v>DANIELA ALEXANDRA CIPAMOCHA BOSIGA</v>
      </c>
      <c r="D6017" s="4" t="str">
        <f>IFERROR(VLOOKUP(A6017,'Base Prueba'!A:D,4,),"NO REGISTRA")</f>
        <v>LIDER DE DATOS Y SERVICIOS</v>
      </c>
      <c r="E6017" s="5" t="str">
        <f>IFERROR(VLOOKUP(A6017,'Base Prueba'!A:E,5,),"NO REGISTRA")</f>
        <v>OFICINA DE PLANEACION Y GESTION DE LA CALIDAD</v>
      </c>
    </row>
    <row r="6018" spans="1:5" ht="15.75" x14ac:dyDescent="0.25">
      <c r="A6018" s="14">
        <v>52225539</v>
      </c>
      <c r="B6018" s="2">
        <v>46141.333807060182</v>
      </c>
      <c r="C6018" s="3" t="str">
        <f>IFERROR(VLOOKUP(A6018,'Base Prueba'!A:C,3,),"NO REGISTRA")</f>
        <v>LISA MINELLY ZAMBRANO CONTRERAS</v>
      </c>
      <c r="D6018" s="4" t="str">
        <f>IFERROR(VLOOKUP(A6018,'Base Prueba'!A:D,4,),"NO REGISTRA")</f>
        <v>LIDER DE COMPRAS</v>
      </c>
      <c r="E6018" s="5" t="str">
        <f>IFERROR(VLOOKUP(A6018,'Base Prueba'!A:E,5,),"NO REGISTRA")</f>
        <v>VICERRECTORIA ADMINISTRATIVA Y FINANCIERA</v>
      </c>
    </row>
    <row r="6019" spans="1:5" ht="15.75" x14ac:dyDescent="0.25">
      <c r="A6019" s="14">
        <v>1013098430</v>
      </c>
      <c r="B6019" s="2">
        <v>46141.336178472222</v>
      </c>
      <c r="C6019" s="3" t="str">
        <f>IFERROR(VLOOKUP(A6019,'Base Prueba'!A:C,3,),"NO REGISTRA")</f>
        <v>ANDRES FELIPE LOPEZ ROMERO</v>
      </c>
      <c r="D6019" s="4" t="str">
        <f>IFERROR(VLOOKUP(A6019,'Base Prueba'!A:D,4,),"NO REGISTRA")</f>
        <v>APRENDIZ UNIVERSITARIO</v>
      </c>
      <c r="E6019" s="5" t="str">
        <f>IFERROR(VLOOKUP(A6019,'Base Prueba'!A:E,5,),"NO REGISTRA")</f>
        <v>OFICINA DE MERCADEO</v>
      </c>
    </row>
    <row r="6020" spans="1:5" ht="15.75" x14ac:dyDescent="0.25">
      <c r="A6020" s="14">
        <v>1033820146</v>
      </c>
      <c r="B6020" s="2">
        <v>46141.336279861112</v>
      </c>
      <c r="C6020" s="3" t="str">
        <f>IFERROR(VLOOKUP(A6020,'Base Prueba'!A:C,3,),"NO REGISTRA")</f>
        <v>JULIETH ALEXANDRA BUSTAMANTE RUIZ</v>
      </c>
      <c r="D6020" s="4" t="str">
        <f>IFERROR(VLOOKUP(A6020,'Base Prueba'!A:D,4,),"NO REGISTRA")</f>
        <v>AUXILIAR ADMINISTRATIVO</v>
      </c>
      <c r="E6020" s="5" t="str">
        <f>IFERROR(VLOOKUP(A6020,'Base Prueba'!A:E,5,),"NO REGISTRA")</f>
        <v>REGISTRO Y CONTROL ACADEMICO</v>
      </c>
    </row>
    <row r="6021" spans="1:5" ht="15.75" x14ac:dyDescent="0.25">
      <c r="A6021" s="14">
        <v>1000604979</v>
      </c>
      <c r="B6021" s="2">
        <v>46141.337006365742</v>
      </c>
      <c r="C6021" s="3" t="str">
        <f>IFERROR(VLOOKUP(A6021,'Base Prueba'!A:C,3,),"NO REGISTRA")</f>
        <v>JULIETH TATIANA PARDO PINTO</v>
      </c>
      <c r="D6021" s="4" t="str">
        <f>IFERROR(VLOOKUP(A6021,'Base Prueba'!A:D,4,),"NO REGISTRA")</f>
        <v>AUXILIAR JURIDICO</v>
      </c>
      <c r="E6021" s="5" t="str">
        <f>IFERROR(VLOOKUP(A6021,'Base Prueba'!A:E,5,),"NO REGISTRA")</f>
        <v>SECRETARIA GENERAL</v>
      </c>
    </row>
    <row r="6022" spans="1:5" ht="15.75" x14ac:dyDescent="0.25">
      <c r="A6022" s="14">
        <v>1000257136</v>
      </c>
      <c r="B6022" s="2">
        <v>46141.338512847222</v>
      </c>
      <c r="C6022" s="3" t="str">
        <f>IFERROR(VLOOKUP(A6022,'Base Prueba'!A:C,3,),"NO REGISTRA")</f>
        <v>FRANCI VALENTINA CANO PUENTES</v>
      </c>
      <c r="D6022" s="4" t="str">
        <f>IFERROR(VLOOKUP(A6022,'Base Prueba'!A:D,4,),"NO REGISTRA")</f>
        <v>AUXILIAR CONTABLE</v>
      </c>
      <c r="E6022" s="5" t="str">
        <f>IFERROR(VLOOKUP(A6022,'Base Prueba'!A:E,5,),"NO REGISTRA")</f>
        <v>AREA FINANCIERA Y CONTABLE</v>
      </c>
    </row>
    <row r="6023" spans="1:5" ht="15.75" x14ac:dyDescent="0.25">
      <c r="A6023" s="14">
        <v>1014196857</v>
      </c>
      <c r="B6023" s="2">
        <v>46141.339009027775</v>
      </c>
      <c r="C6023" s="3" t="str">
        <f>IFERROR(VLOOKUP(A6023,'Base Prueba'!A:C,3,),"NO REGISTRA")</f>
        <v>CARLOS ANDRES JIMENEZ PARDO</v>
      </c>
      <c r="D6023" s="4" t="str">
        <f>IFERROR(VLOOKUP(A6023,'Base Prueba'!A:D,4,),"NO REGISTRA")</f>
        <v>COORDINADOR DE MARKETING DIGITAL</v>
      </c>
      <c r="E6023" s="5" t="str">
        <f>IFERROR(VLOOKUP(A6023,'Base Prueba'!A:E,5,),"NO REGISTRA")</f>
        <v>OFICINA DE MERCADEO</v>
      </c>
    </row>
    <row r="6024" spans="1:5" ht="15.75" x14ac:dyDescent="0.25">
      <c r="A6024" s="14">
        <v>1023883232</v>
      </c>
      <c r="B6024" s="2">
        <v>46141.341172916669</v>
      </c>
      <c r="C6024" s="3" t="str">
        <f>IFERROR(VLOOKUP(A6024,'Base Prueba'!A:C,3,),"NO REGISTRA")</f>
        <v>MONICA ANDREA ACERO URBANO</v>
      </c>
      <c r="D6024" s="4" t="str">
        <f>IFERROR(VLOOKUP(A6024,'Base Prueba'!A:D,4,),"NO REGISTRA")</f>
        <v>APOYO INTEGRAL A GESTION HUMANA</v>
      </c>
      <c r="E6024" s="5" t="str">
        <f>IFERROR(VLOOKUP(A6024,'Base Prueba'!A:E,5,),"NO REGISTRA")</f>
        <v>DEPARTAMENTO DE GESTION HUMANA</v>
      </c>
    </row>
    <row r="6025" spans="1:5" ht="15.75" x14ac:dyDescent="0.25">
      <c r="A6025" s="14">
        <v>1193457976</v>
      </c>
      <c r="B6025" s="2">
        <v>46141.350250694442</v>
      </c>
      <c r="C6025" s="3" t="str">
        <f>IFERROR(VLOOKUP(A6025,'Base Prueba'!A:C,3,),"NO REGISTRA")</f>
        <v>SEDENIS RIVAS ASPRILLA</v>
      </c>
      <c r="D6025" s="4" t="str">
        <f>IFERROR(VLOOKUP(A6025,'Base Prueba'!A:D,4,),"NO REGISTRA")</f>
        <v>APRENDIZ UNIVERSITARIO</v>
      </c>
      <c r="E6025" s="5" t="str">
        <f>IFERROR(VLOOKUP(A6025,'Base Prueba'!A:E,5,),"NO REGISTRA")</f>
        <v>DEPARTAMENTO DE GESTION HUMANA</v>
      </c>
    </row>
    <row r="6026" spans="1:5" ht="15.75" x14ac:dyDescent="0.25">
      <c r="A6026" s="14">
        <v>1000457706</v>
      </c>
      <c r="B6026" s="2">
        <v>46141.353287152779</v>
      </c>
      <c r="C6026" s="3" t="str">
        <f>IFERROR(VLOOKUP(A6026,'Base Prueba'!A:C,3,),"NO REGISTRA")</f>
        <v>CRISTIAN DANILO ARROYO SANABRIA</v>
      </c>
      <c r="D6026" s="4" t="str">
        <f>IFERROR(VLOOKUP(A6026,'Base Prueba'!A:D,4,),"NO REGISTRA")</f>
        <v>AUXILIAR CONTABLE</v>
      </c>
      <c r="E6026" s="5" t="str">
        <f>IFERROR(VLOOKUP(A6026,'Base Prueba'!A:E,5,),"NO REGISTRA")</f>
        <v>AREA FINANCIERA Y CONTABLE</v>
      </c>
    </row>
    <row r="6027" spans="1:5" ht="15.75" x14ac:dyDescent="0.25">
      <c r="A6027" s="14">
        <v>53932358</v>
      </c>
      <c r="B6027" s="2">
        <v>46141.359449421296</v>
      </c>
      <c r="C6027" s="3" t="str">
        <f>IFERROR(VLOOKUP(A6027,'Base Prueba'!A:C,3,),"NO REGISTRA")</f>
        <v>DIANA MADELEYNE GAONA RODRIGUEZ</v>
      </c>
      <c r="D6027" s="4" t="str">
        <f>IFERROR(VLOOKUP(A6027,'Base Prueba'!A:D,4,),"NO REGISTRA")</f>
        <v>CONTADOR</v>
      </c>
      <c r="E6027" s="5" t="str">
        <f>IFERROR(VLOOKUP(A6027,'Base Prueba'!A:E,5,),"NO REGISTRA")</f>
        <v>AREA FINANCIERA Y CONTABLE</v>
      </c>
    </row>
    <row r="6028" spans="1:5" ht="15.75" x14ac:dyDescent="0.25">
      <c r="A6028" s="14">
        <v>28798349</v>
      </c>
      <c r="B6028" s="2">
        <v>46141.361232407406</v>
      </c>
      <c r="C6028" s="3" t="str">
        <f>IFERROR(VLOOKUP(A6028,'Base Prueba'!A:C,3,),"NO REGISTRA")</f>
        <v>MARTHA ISABEL TOVAR WILLIAMS</v>
      </c>
      <c r="D6028" s="4" t="str">
        <f>IFERROR(VLOOKUP(A6028,'Base Prueba'!A:D,4,),"NO REGISTRA")</f>
        <v>PROMOTOR CALL CENTER</v>
      </c>
      <c r="E6028" s="5" t="str">
        <f>IFERROR(VLOOKUP(A6028,'Base Prueba'!A:E,5,),"NO REGISTRA")</f>
        <v>OFICINA DE MERCADEO</v>
      </c>
    </row>
    <row r="6029" spans="1:5" ht="15.75" x14ac:dyDescent="0.25">
      <c r="A6029" s="14">
        <v>52472386</v>
      </c>
      <c r="B6029" s="2">
        <v>46141.368871064813</v>
      </c>
      <c r="C6029" s="3" t="str">
        <f>IFERROR(VLOOKUP(A6029,'Base Prueba'!A:C,3,),"NO REGISTRA")</f>
        <v>ADRIANA MARCELA MORALES PARDO</v>
      </c>
      <c r="D6029" s="4" t="str">
        <f>IFERROR(VLOOKUP(A6029,'Base Prueba'!A:D,4,),"NO REGISTRA")</f>
        <v>PROMOTOR CALL CENTER</v>
      </c>
      <c r="E6029" s="5" t="str">
        <f>IFERROR(VLOOKUP(A6029,'Base Prueba'!A:E,5,),"NO REGISTRA")</f>
        <v>OFICINA DE MERCADEO</v>
      </c>
    </row>
    <row r="6030" spans="1:5" ht="15.75" x14ac:dyDescent="0.25">
      <c r="A6030" s="14">
        <v>1018413529</v>
      </c>
      <c r="B6030" s="2">
        <v>46141.370501041667</v>
      </c>
      <c r="C6030" s="3" t="str">
        <f>IFERROR(VLOOKUP(A6030,'Base Prueba'!A:C,3,),"NO REGISTRA")</f>
        <v>FRANCY STELLA CHARRY MORENO</v>
      </c>
      <c r="D6030" s="4" t="str">
        <f>IFERROR(VLOOKUP(A6030,'Base Prueba'!A:D,4,),"NO REGISTRA")</f>
        <v>PROMOTOR COMERCIAL DEL CEA</v>
      </c>
      <c r="E6030" s="5" t="str">
        <f>IFERROR(VLOOKUP(A6030,'Base Prueba'!A:E,5,),"NO REGISTRA")</f>
        <v>OFICINA DE MERCADEO</v>
      </c>
    </row>
    <row r="6031" spans="1:5" ht="15.75" x14ac:dyDescent="0.25">
      <c r="A6031" s="14">
        <v>80234243</v>
      </c>
      <c r="B6031" s="2">
        <v>46141.376168402778</v>
      </c>
      <c r="C6031" s="3" t="str">
        <f>IFERROR(VLOOKUP(A6031,'Base Prueba'!A:C,3,),"NO REGISTRA")</f>
        <v>ARGENIS MARTINEZ MARTINEZ</v>
      </c>
      <c r="D6031" s="4" t="str">
        <f>IFERROR(VLOOKUP(A6031,'Base Prueba'!A:D,4,),"NO REGISTRA")</f>
        <v>LIDER CALL CENTER</v>
      </c>
      <c r="E6031" s="5" t="str">
        <f>IFERROR(VLOOKUP(A6031,'Base Prueba'!A:E,5,),"NO REGISTRA")</f>
        <v>OFICINA DE MERCADEO</v>
      </c>
    </row>
    <row r="6032" spans="1:5" ht="15.75" x14ac:dyDescent="0.25">
      <c r="A6032" s="14">
        <v>1023961952</v>
      </c>
      <c r="B6032" s="2">
        <v>46141.376205671295</v>
      </c>
      <c r="C6032" s="3" t="str">
        <f>IFERROR(VLOOKUP(A6032,'Base Prueba'!A:C,3,),"NO REGISTRA")</f>
        <v>ALEJANDRO PINZON MERCHAN</v>
      </c>
      <c r="D6032" s="4" t="str">
        <f>IFERROR(VLOOKUP(A6032,'Base Prueba'!A:D,4,),"NO REGISTRA")</f>
        <v>PROMOTOR CALL CENTER</v>
      </c>
      <c r="E6032" s="5" t="str">
        <f>IFERROR(VLOOKUP(A6032,'Base Prueba'!A:E,5,),"NO REGISTRA")</f>
        <v>OFICINA DE MERCADEO</v>
      </c>
    </row>
    <row r="6033" spans="1:5" ht="15.75" x14ac:dyDescent="0.25">
      <c r="A6033" s="14">
        <v>1013101788</v>
      </c>
      <c r="B6033" s="2">
        <v>46141.376909837963</v>
      </c>
      <c r="C6033" s="3" t="str">
        <f>IFERROR(VLOOKUP(A6033,'Base Prueba'!A:C,3,),"NO REGISTRA")</f>
        <v>SARA TANGARIFE MONTOYA</v>
      </c>
      <c r="D6033" s="4" t="str">
        <f>IFERROR(VLOOKUP(A6033,'Base Prueba'!A:D,4,),"NO REGISTRA")</f>
        <v>APRENDIZ UNIVERSITARIO</v>
      </c>
      <c r="E6033" s="5" t="str">
        <f>IFERROR(VLOOKUP(A6033,'Base Prueba'!A:E,5,),"NO REGISTRA")</f>
        <v>OFICINA DE MERCADEO</v>
      </c>
    </row>
    <row r="6034" spans="1:5" ht="15.75" x14ac:dyDescent="0.25">
      <c r="A6034" s="14">
        <v>1033709056</v>
      </c>
      <c r="B6034" s="2">
        <v>46141.37724386574</v>
      </c>
      <c r="C6034" s="3" t="str">
        <f>IFERROR(VLOOKUP(A6034,'Base Prueba'!A:C,3,),"NO REGISTRA")</f>
        <v>YEIMY ALEXANDRA RODRIGUEZ PALACIO</v>
      </c>
      <c r="D6034" s="4" t="str">
        <f>IFERROR(VLOOKUP(A6034,'Base Prueba'!A:D,4,),"NO REGISTRA")</f>
        <v>PROMOTOR CALL CENTER</v>
      </c>
      <c r="E6034" s="5" t="str">
        <f>IFERROR(VLOOKUP(A6034,'Base Prueba'!A:E,5,),"NO REGISTRA")</f>
        <v>OFICINA DE MERCADEO</v>
      </c>
    </row>
    <row r="6035" spans="1:5" ht="15.75" x14ac:dyDescent="0.25">
      <c r="A6035" s="14">
        <v>1018414290</v>
      </c>
      <c r="B6035" s="2">
        <v>46141.377311805554</v>
      </c>
      <c r="C6035" s="3" t="str">
        <f>IFERROR(VLOOKUP(A6035,'Base Prueba'!A:C,3,),"NO REGISTRA")</f>
        <v>AMANDA LISBETH RODRIGUEZ LEON</v>
      </c>
      <c r="D6035" s="4" t="str">
        <f>IFERROR(VLOOKUP(A6035,'Base Prueba'!A:D,4,),"NO REGISTRA")</f>
        <v>PROMOTOR CALL CENTER</v>
      </c>
      <c r="E6035" s="5" t="str">
        <f>IFERROR(VLOOKUP(A6035,'Base Prueba'!A:E,5,),"NO REGISTRA")</f>
        <v>OFICINA DE MERCADEO</v>
      </c>
    </row>
    <row r="6036" spans="1:5" ht="15.75" x14ac:dyDescent="0.25">
      <c r="A6036" s="14">
        <v>1012426741</v>
      </c>
      <c r="B6036" s="2">
        <v>46141.377634143515</v>
      </c>
      <c r="C6036" s="3" t="str">
        <f>IFERROR(VLOOKUP(A6036,'Base Prueba'!A:C,3,),"NO REGISTRA")</f>
        <v>CRISTIAN FABIAN ROJAS SANCENO</v>
      </c>
      <c r="D6036" s="4" t="str">
        <f>IFERROR(VLOOKUP(A6036,'Base Prueba'!A:D,4,),"NO REGISTRA")</f>
        <v>AUXILIAR DE REINTEGROS</v>
      </c>
      <c r="E6036" s="5" t="str">
        <f>IFERROR(VLOOKUP(A6036,'Base Prueba'!A:E,5,),"NO REGISTRA")</f>
        <v>DIRECCION DE BIENESTAR INSTITUCIONAL</v>
      </c>
    </row>
    <row r="6037" spans="1:5" ht="15.75" x14ac:dyDescent="0.25">
      <c r="A6037" s="14">
        <v>53089882</v>
      </c>
      <c r="B6037" s="2">
        <v>46141.379539467591</v>
      </c>
      <c r="C6037" s="3" t="str">
        <f>IFERROR(VLOOKUP(A6037,'Base Prueba'!A:C,3,),"NO REGISTRA")</f>
        <v>MARIA JOHANA ESCAMILLA MARTINEZ</v>
      </c>
      <c r="D6037" s="4" t="str">
        <f>IFERROR(VLOOKUP(A6037,'Base Prueba'!A:D,4,),"NO REGISTRA")</f>
        <v>PROMOTOR DE INFORMACIÓN</v>
      </c>
      <c r="E6037" s="5" t="str">
        <f>IFERROR(VLOOKUP(A6037,'Base Prueba'!A:E,5,),"NO REGISTRA")</f>
        <v>OFICINA DE MERCADEO</v>
      </c>
    </row>
    <row r="6038" spans="1:5" ht="15.75" x14ac:dyDescent="0.25">
      <c r="A6038" s="14">
        <v>1016090131</v>
      </c>
      <c r="B6038" s="2">
        <v>46141.38688125</v>
      </c>
      <c r="C6038" s="3" t="str">
        <f>IFERROR(VLOOKUP(A6038,'Base Prueba'!A:C,3,),"NO REGISTRA")</f>
        <v>NICOLAS RODRIGUEZ PACHECO</v>
      </c>
      <c r="D6038" s="4" t="str">
        <f>IFERROR(VLOOKUP(A6038,'Base Prueba'!A:D,4,),"NO REGISTRA")</f>
        <v>COORDINADOR DE COMUNICACIONES</v>
      </c>
      <c r="E6038" s="5" t="str">
        <f>IFERROR(VLOOKUP(A6038,'Base Prueba'!A:E,5,),"NO REGISTRA")</f>
        <v>OFICINA DE MERCADEO</v>
      </c>
    </row>
    <row r="6039" spans="1:5" ht="15.75" x14ac:dyDescent="0.25">
      <c r="A6039" s="14">
        <v>52443092</v>
      </c>
      <c r="B6039" s="2">
        <v>46141.575185532405</v>
      </c>
      <c r="C6039" s="3" t="str">
        <f>IFERROR(VLOOKUP(A6039,'Base Prueba'!A:C,3,),"NO REGISTRA")</f>
        <v>LUZ MYRIAM SAAVEDRA CONTRERAS</v>
      </c>
      <c r="D6039" s="4" t="str">
        <f>IFERROR(VLOOKUP(A6039,'Base Prueba'!A:D,4,),"NO REGISTRA")</f>
        <v>AUXILIAR DE SERVICIOS</v>
      </c>
      <c r="E6039" s="5" t="str">
        <f>IFERROR(VLOOKUP(A6039,'Base Prueba'!A:E,5,),"NO REGISTRA")</f>
        <v>LOGISTICA Y SERVICIOS GENERALES</v>
      </c>
    </row>
    <row r="6040" spans="1:5" ht="15.75" x14ac:dyDescent="0.25">
      <c r="A6040" s="14">
        <v>52764929</v>
      </c>
      <c r="B6040" s="2">
        <v>46141.625573726851</v>
      </c>
      <c r="C6040" s="3" t="str">
        <f>IFERROR(VLOOKUP(A6040,'Base Prueba'!A:C,3,),"NO REGISTRA")</f>
        <v>GUERLY YOHANA DURAN RIVERA</v>
      </c>
      <c r="D6040" s="4" t="str">
        <f>IFERROR(VLOOKUP(A6040,'Base Prueba'!A:D,4,),"NO REGISTRA")</f>
        <v>LIDER DE VINCULACION COLEGIOS</v>
      </c>
      <c r="E6040" s="5" t="str">
        <f>IFERROR(VLOOKUP(A6040,'Base Prueba'!A:E,5,),"NO REGISTRA")</f>
        <v>OFICINA DE MERCADEO</v>
      </c>
    </row>
    <row r="6041" spans="1:5" ht="15.75" x14ac:dyDescent="0.25">
      <c r="A6041" s="14">
        <v>1013101788</v>
      </c>
      <c r="B6041" s="2">
        <v>46141.709276620371</v>
      </c>
      <c r="C6041" s="3" t="str">
        <f>IFERROR(VLOOKUP(A6041,'Base Prueba'!A:C,3,),"NO REGISTRA")</f>
        <v>SARA TANGARIFE MONTOYA</v>
      </c>
      <c r="D6041" s="4" t="str">
        <f>IFERROR(VLOOKUP(A6041,'Base Prueba'!A:D,4,),"NO REGISTRA")</f>
        <v>APRENDIZ UNIVERSITARIO</v>
      </c>
      <c r="E6041" s="5" t="str">
        <f>IFERROR(VLOOKUP(A6041,'Base Prueba'!A:E,5,),"NO REGISTRA")</f>
        <v>OFICINA DE MERCADEO</v>
      </c>
    </row>
    <row r="6042" spans="1:5" ht="15.75" x14ac:dyDescent="0.25">
      <c r="A6042" s="14">
        <v>1013098430</v>
      </c>
      <c r="B6042" s="2">
        <v>46141.709311458333</v>
      </c>
      <c r="C6042" s="3" t="str">
        <f>IFERROR(VLOOKUP(A6042,'Base Prueba'!A:C,3,),"NO REGISTRA")</f>
        <v>ANDRES FELIPE LOPEZ ROMERO</v>
      </c>
      <c r="D6042" s="4" t="str">
        <f>IFERROR(VLOOKUP(A6042,'Base Prueba'!A:D,4,),"NO REGISTRA")</f>
        <v>APRENDIZ UNIVERSITARIO</v>
      </c>
      <c r="E6042" s="5" t="str">
        <f>IFERROR(VLOOKUP(A6042,'Base Prueba'!A:E,5,),"NO REGISTRA")</f>
        <v>OFICINA DE MERCADEO</v>
      </c>
    </row>
    <row r="6043" spans="1:5" ht="15.75" x14ac:dyDescent="0.25">
      <c r="A6043" s="14">
        <v>1033820146</v>
      </c>
      <c r="B6043" s="2">
        <v>46141.713165624999</v>
      </c>
      <c r="C6043" s="3" t="str">
        <f>IFERROR(VLOOKUP(A6043,'Base Prueba'!A:C,3,),"NO REGISTRA")</f>
        <v>JULIETH ALEXANDRA BUSTAMANTE RUIZ</v>
      </c>
      <c r="D6043" s="4" t="str">
        <f>IFERROR(VLOOKUP(A6043,'Base Prueba'!A:D,4,),"NO REGISTRA")</f>
        <v>AUXILIAR ADMINISTRATIVO</v>
      </c>
      <c r="E6043" s="5" t="str">
        <f>IFERROR(VLOOKUP(A6043,'Base Prueba'!A:E,5,),"NO REGISTRA")</f>
        <v>REGISTRO Y CONTROL ACADEMICO</v>
      </c>
    </row>
    <row r="6044" spans="1:5" ht="15.75" x14ac:dyDescent="0.25">
      <c r="A6044" s="14">
        <v>1000324729</v>
      </c>
      <c r="B6044" s="2">
        <v>46141.713215972224</v>
      </c>
      <c r="C6044" s="3" t="str">
        <f>IFERROR(VLOOKUP(A6044,'Base Prueba'!A:C,3,),"NO REGISTRA")</f>
        <v>ANYIE VANESSA TINOCO CAMACHO</v>
      </c>
      <c r="D6044" s="4" t="str">
        <f>IFERROR(VLOOKUP(A6044,'Base Prueba'!A:D,4,),"NO REGISTRA")</f>
        <v>LIDER DE REGISTRO Y CONTROL</v>
      </c>
      <c r="E6044" s="5" t="str">
        <f>IFERROR(VLOOKUP(A6044,'Base Prueba'!A:E,5,),"NO REGISTRA")</f>
        <v>REGISTRO Y CONTROL ACADEMICO</v>
      </c>
    </row>
    <row r="6045" spans="1:5" ht="15.75" x14ac:dyDescent="0.25">
      <c r="A6045" s="14">
        <v>1000611958</v>
      </c>
      <c r="B6045" s="2">
        <v>46141.714571875003</v>
      </c>
      <c r="C6045" s="3" t="str">
        <f>IFERROR(VLOOKUP(A6045,'Base Prueba'!A:C,3,),"NO REGISTRA")</f>
        <v>TYLER CORRADINE  VARGAS</v>
      </c>
      <c r="D6045" s="4" t="str">
        <f>IFERROR(VLOOKUP(A6045,'Base Prueba'!A:D,4,),"NO REGISTRA")</f>
        <v>APRENDIZ UNIVERSITARIO</v>
      </c>
      <c r="E6045" s="5" t="str">
        <f>IFERROR(VLOOKUP(A6045,'Base Prueba'!A:E,5,),"NO REGISTRA")</f>
        <v>DEPARTAMENTO DE INFORMATICA Y TECNOLOGIA</v>
      </c>
    </row>
    <row r="6046" spans="1:5" ht="15.75" x14ac:dyDescent="0.25">
      <c r="A6046" s="14">
        <v>1000604979</v>
      </c>
      <c r="B6046" s="2">
        <v>46141.720471643515</v>
      </c>
      <c r="C6046" s="3" t="str">
        <f>IFERROR(VLOOKUP(A6046,'Base Prueba'!A:C,3,),"NO REGISTRA")</f>
        <v>JULIETH TATIANA PARDO PINTO</v>
      </c>
      <c r="D6046" s="4" t="str">
        <f>IFERROR(VLOOKUP(A6046,'Base Prueba'!A:D,4,),"NO REGISTRA")</f>
        <v>AUXILIAR JURIDICO</v>
      </c>
      <c r="E6046" s="5" t="str">
        <f>IFERROR(VLOOKUP(A6046,'Base Prueba'!A:E,5,),"NO REGISTRA")</f>
        <v>SECRETARIA GENERAL</v>
      </c>
    </row>
    <row r="6047" spans="1:5" ht="15.75" x14ac:dyDescent="0.25">
      <c r="A6047" s="14">
        <v>72</v>
      </c>
      <c r="B6047" s="2">
        <v>46141.720736342591</v>
      </c>
      <c r="C6047" s="3" t="str">
        <f>IFERROR(VLOOKUP(A6047,'Base Prueba'!A:C,3,),"NO REGISTRA")</f>
        <v>NO REGISTRA</v>
      </c>
      <c r="D6047" s="4" t="str">
        <f>IFERROR(VLOOKUP(A6047,'Base Prueba'!A:D,4,),"NO REGISTRA")</f>
        <v>NO REGISTRA</v>
      </c>
      <c r="E6047" s="5" t="str">
        <f>IFERROR(VLOOKUP(A6047,'Base Prueba'!A:E,5,),"NO REGISTRA")</f>
        <v>NO REGISTRA</v>
      </c>
    </row>
    <row r="6048" spans="1:5" ht="15.75" x14ac:dyDescent="0.25">
      <c r="A6048" s="14">
        <v>1024512067</v>
      </c>
      <c r="B6048" s="2">
        <v>46141.737025462964</v>
      </c>
      <c r="C6048" s="3" t="str">
        <f>IFERROR(VLOOKUP(A6048,'Base Prueba'!A:C,3,),"NO REGISTRA")</f>
        <v>CINDY GIOVANA SALGAR GOMEZ</v>
      </c>
      <c r="D6048" s="4" t="str">
        <f>IFERROR(VLOOKUP(A6048,'Base Prueba'!A:D,4,),"NO REGISTRA")</f>
        <v>COORDINADOR DEL SISTEMA INTEGRADO DE GESTION INSTITUCIONAL - SIGI</v>
      </c>
      <c r="E6048" s="5" t="str">
        <f>IFERROR(VLOOKUP(A6048,'Base Prueba'!A:E,5,),"NO REGISTRA")</f>
        <v>OFICINA DE PLANEACION Y GESTION DE LA CALIDAD</v>
      </c>
    </row>
    <row r="6049" spans="1:5" ht="15.75" x14ac:dyDescent="0.25">
      <c r="A6049" s="14">
        <v>52225539</v>
      </c>
      <c r="B6049" s="2">
        <v>46141.750184143515</v>
      </c>
      <c r="C6049" s="3" t="str">
        <f>IFERROR(VLOOKUP(A6049,'Base Prueba'!A:C,3,),"NO REGISTRA")</f>
        <v>LISA MINELLY ZAMBRANO CONTRERAS</v>
      </c>
      <c r="D6049" s="4" t="str">
        <f>IFERROR(VLOOKUP(A6049,'Base Prueba'!A:D,4,),"NO REGISTRA")</f>
        <v>LIDER DE COMPRAS</v>
      </c>
      <c r="E6049" s="5" t="str">
        <f>IFERROR(VLOOKUP(A6049,'Base Prueba'!A:E,5,),"NO REGISTRA")</f>
        <v>VICERRECTORIA ADMINISTRATIVA Y FINANCIERA</v>
      </c>
    </row>
    <row r="6050" spans="1:5" ht="15.75" x14ac:dyDescent="0.25">
      <c r="A6050" s="14">
        <v>1022996882</v>
      </c>
      <c r="B6050" s="2">
        <v>46141.750305439811</v>
      </c>
      <c r="C6050" s="3" t="str">
        <f>IFERROR(VLOOKUP(A6050,'Base Prueba'!A:C,3,),"NO REGISTRA")</f>
        <v>NANCY BRIGITH ALDANA GUEVARA</v>
      </c>
      <c r="D6050" s="4" t="str">
        <f>IFERROR(VLOOKUP(A6050,'Base Prueba'!A:D,4,),"NO REGISTRA")</f>
        <v>COORDINADORA DE GESTIÓN HUMANA</v>
      </c>
      <c r="E6050" s="5" t="str">
        <f>IFERROR(VLOOKUP(A6050,'Base Prueba'!A:E,5,),"NO REGISTRA")</f>
        <v>DEPARTAMENTO DE GESTION HUMANA</v>
      </c>
    </row>
    <row r="6051" spans="1:5" ht="15.75" x14ac:dyDescent="0.25">
      <c r="A6051" s="14">
        <v>1193457976</v>
      </c>
      <c r="B6051" s="2">
        <v>46141.750490972219</v>
      </c>
      <c r="C6051" s="3" t="str">
        <f>IFERROR(VLOOKUP(A6051,'Base Prueba'!A:C,3,),"NO REGISTRA")</f>
        <v>SEDENIS RIVAS ASPRILLA</v>
      </c>
      <c r="D6051" s="4" t="str">
        <f>IFERROR(VLOOKUP(A6051,'Base Prueba'!A:D,4,),"NO REGISTRA")</f>
        <v>APRENDIZ UNIVERSITARIO</v>
      </c>
      <c r="E6051" s="5" t="str">
        <f>IFERROR(VLOOKUP(A6051,'Base Prueba'!A:E,5,),"NO REGISTRA")</f>
        <v>DEPARTAMENTO DE GESTION HUMANA</v>
      </c>
    </row>
    <row r="6052" spans="1:5" ht="15.75" x14ac:dyDescent="0.25">
      <c r="A6052" s="14">
        <v>1023883232</v>
      </c>
      <c r="B6052" s="2">
        <v>46141.751707175928</v>
      </c>
      <c r="C6052" s="3" t="str">
        <f>IFERROR(VLOOKUP(A6052,'Base Prueba'!A:C,3,),"NO REGISTRA")</f>
        <v>MONICA ANDREA ACERO URBANO</v>
      </c>
      <c r="D6052" s="4" t="str">
        <f>IFERROR(VLOOKUP(A6052,'Base Prueba'!A:D,4,),"NO REGISTRA")</f>
        <v>APOYO INTEGRAL A GESTION HUMANA</v>
      </c>
      <c r="E6052" s="5" t="str">
        <f>IFERROR(VLOOKUP(A6052,'Base Prueba'!A:E,5,),"NO REGISTRA")</f>
        <v>DEPARTAMENTO DE GESTION HUMANA</v>
      </c>
    </row>
    <row r="6053" spans="1:5" ht="15.75" x14ac:dyDescent="0.25">
      <c r="A6053" s="14">
        <v>1049644802</v>
      </c>
      <c r="B6053" s="2">
        <v>46141.752333680553</v>
      </c>
      <c r="C6053" s="3" t="str">
        <f>IFERROR(VLOOKUP(A6053,'Base Prueba'!A:C,3,),"NO REGISTRA")</f>
        <v>DANIELA ALEXANDRA CIPAMOCHA BOSIGA</v>
      </c>
      <c r="D6053" s="4" t="str">
        <f>IFERROR(VLOOKUP(A6053,'Base Prueba'!A:D,4,),"NO REGISTRA")</f>
        <v>LIDER DE DATOS Y SERVICIOS</v>
      </c>
      <c r="E6053" s="5" t="str">
        <f>IFERROR(VLOOKUP(A6053,'Base Prueba'!A:E,5,),"NO REGISTRA")</f>
        <v>OFICINA DE PLANEACION Y GESTION DE LA CALIDAD</v>
      </c>
    </row>
    <row r="6054" spans="1:5" ht="15.75" x14ac:dyDescent="0.25">
      <c r="A6054" s="14">
        <v>1000467399</v>
      </c>
      <c r="B6054" s="2">
        <v>46141.753092824074</v>
      </c>
      <c r="C6054" s="3" t="str">
        <f>IFERROR(VLOOKUP(A6054,'Base Prueba'!A:C,3,),"NO REGISTRA")</f>
        <v>BRANDO ESTIVEN DIAZ QUIMBAYA</v>
      </c>
      <c r="D6054" s="4" t="str">
        <f>IFERROR(VLOOKUP(A6054,'Base Prueba'!A:D,4,),"NO REGISTRA")</f>
        <v>APRENDIZ UNIVERSITARIO</v>
      </c>
      <c r="E6054" s="5" t="str">
        <f>IFERROR(VLOOKUP(A6054,'Base Prueba'!A:E,5,),"NO REGISTRA")</f>
        <v>DEPARTAMENTO DE GESTION HUMANA</v>
      </c>
    </row>
    <row r="6055" spans="1:5" ht="15.75" x14ac:dyDescent="0.25">
      <c r="A6055" s="14">
        <v>1014266838</v>
      </c>
      <c r="B6055" s="2">
        <v>46141.753610763888</v>
      </c>
      <c r="C6055" s="3" t="str">
        <f>IFERROR(VLOOKUP(A6055,'Base Prueba'!A:C,3,),"NO REGISTRA")</f>
        <v>JENNIFER ASTRID ROMERO HURTADO</v>
      </c>
      <c r="D6055" s="4" t="str">
        <f>IFERROR(VLOOKUP(A6055,'Base Prueba'!A:D,4,),"NO REGISTRA")</f>
        <v>LIDER DE RECAUDO</v>
      </c>
      <c r="E6055" s="5" t="str">
        <f>IFERROR(VLOOKUP(A6055,'Base Prueba'!A:E,5,),"NO REGISTRA")</f>
        <v>AREA FINANCIERA Y CONTABLE</v>
      </c>
    </row>
    <row r="6056" spans="1:5" ht="15.75" x14ac:dyDescent="0.25">
      <c r="A6056" s="14">
        <v>1000992568</v>
      </c>
      <c r="B6056" s="2">
        <v>46141.757779282409</v>
      </c>
      <c r="C6056" s="3" t="str">
        <f>IFERROR(VLOOKUP(A6056,'Base Prueba'!A:C,3,),"NO REGISTRA")</f>
        <v>KAREN BRIGITTE DALEMAN MORENO</v>
      </c>
      <c r="D6056" s="4" t="str">
        <f>IFERROR(VLOOKUP(A6056,'Base Prueba'!A:D,4,),"NO REGISTRA")</f>
        <v>RECEPCIONISTA</v>
      </c>
      <c r="E6056" s="5" t="str">
        <f>IFERROR(VLOOKUP(A6056,'Base Prueba'!A:E,5,),"NO REGISTRA")</f>
        <v>CENTRO DE GESTION DOCUMENTAL</v>
      </c>
    </row>
    <row r="6057" spans="1:5" ht="15.75" x14ac:dyDescent="0.25">
      <c r="A6057" s="14">
        <v>1087121273</v>
      </c>
      <c r="B6057" s="2">
        <v>46141.759754050923</v>
      </c>
      <c r="C6057" s="3" t="str">
        <f>IFERROR(VLOOKUP(A6057,'Base Prueba'!A:C,3,),"NO REGISTRA")</f>
        <v>MAYRA ALEJANDRA CASTILLO ARBOLEDA</v>
      </c>
      <c r="D6057" s="4" t="str">
        <f>IFERROR(VLOOKUP(A6057,'Base Prueba'!A:D,4,),"NO REGISTRA")</f>
        <v>APOYO INTEGRAL DE MERCADEO</v>
      </c>
      <c r="E6057" s="5" t="str">
        <f>IFERROR(VLOOKUP(A6057,'Base Prueba'!A:E,5,),"NO REGISTRA")</f>
        <v>CENTRO DE GESTION DOCUMENTAL</v>
      </c>
    </row>
    <row r="6058" spans="1:5" ht="15.75" x14ac:dyDescent="0.25">
      <c r="A6058" s="14">
        <v>80191732</v>
      </c>
      <c r="B6058" s="2">
        <v>46141.76320173611</v>
      </c>
      <c r="C6058" s="3" t="str">
        <f>IFERROR(VLOOKUP(A6058,'Base Prueba'!A:C,3,),"NO REGISTRA")</f>
        <v>DANIEL MAURICIO ZAMBRANO TUNJANO</v>
      </c>
      <c r="D6058" s="4" t="str">
        <f>IFERROR(VLOOKUP(A6058,'Base Prueba'!A:D,4,),"NO REGISTRA")</f>
        <v>COORDINADOR DE DISEÑO E IMAGEN INSTITUCIONAL</v>
      </c>
      <c r="E6058" s="5" t="str">
        <f>IFERROR(VLOOKUP(A6058,'Base Prueba'!A:E,5,),"NO REGISTRA")</f>
        <v>OFICINA DE MERCADEO</v>
      </c>
    </row>
    <row r="6059" spans="1:5" ht="15.75" x14ac:dyDescent="0.25">
      <c r="A6059" s="14">
        <v>1000257136</v>
      </c>
      <c r="B6059" s="2">
        <v>46141.764814236114</v>
      </c>
      <c r="C6059" s="3" t="str">
        <f>IFERROR(VLOOKUP(A6059,'Base Prueba'!A:C,3,),"NO REGISTRA")</f>
        <v>FRANCI VALENTINA CANO PUENTES</v>
      </c>
      <c r="D6059" s="4" t="str">
        <f>IFERROR(VLOOKUP(A6059,'Base Prueba'!A:D,4,),"NO REGISTRA")</f>
        <v>AUXILIAR CONTABLE</v>
      </c>
      <c r="E6059" s="5" t="str">
        <f>IFERROR(VLOOKUP(A6059,'Base Prueba'!A:E,5,),"NO REGISTRA")</f>
        <v>AREA FINANCIERA Y CONTABLE</v>
      </c>
    </row>
    <row r="6060" spans="1:5" ht="15.75" x14ac:dyDescent="0.25">
      <c r="A6060" s="14">
        <v>53932358</v>
      </c>
      <c r="B6060" s="2">
        <v>46141.768819444442</v>
      </c>
      <c r="C6060" s="3" t="str">
        <f>IFERROR(VLOOKUP(A6060,'Base Prueba'!A:C,3,),"NO REGISTRA")</f>
        <v>DIANA MADELEYNE GAONA RODRIGUEZ</v>
      </c>
      <c r="D6060" s="4" t="str">
        <f>IFERROR(VLOOKUP(A6060,'Base Prueba'!A:D,4,),"NO REGISTRA")</f>
        <v>CONTADOR</v>
      </c>
      <c r="E6060" s="5" t="str">
        <f>IFERROR(VLOOKUP(A6060,'Base Prueba'!A:E,5,),"NO REGISTRA")</f>
        <v>AREA FINANCIERA Y CONTABLE</v>
      </c>
    </row>
    <row r="6061" spans="1:5" ht="15.75" x14ac:dyDescent="0.25">
      <c r="A6061" s="14">
        <v>1000457706</v>
      </c>
      <c r="B6061" s="2">
        <v>46141.769303819441</v>
      </c>
      <c r="C6061" s="3" t="str">
        <f>IFERROR(VLOOKUP(A6061,'Base Prueba'!A:C,3,),"NO REGISTRA")</f>
        <v>CRISTIAN DANILO ARROYO SANABRIA</v>
      </c>
      <c r="D6061" s="4" t="str">
        <f>IFERROR(VLOOKUP(A6061,'Base Prueba'!A:D,4,),"NO REGISTRA")</f>
        <v>AUXILIAR CONTABLE</v>
      </c>
      <c r="E6061" s="5" t="str">
        <f>IFERROR(VLOOKUP(A6061,'Base Prueba'!A:E,5,),"NO REGISTRA")</f>
        <v>AREA FINANCIERA Y CONTABLE</v>
      </c>
    </row>
    <row r="6062" spans="1:5" ht="15.75" x14ac:dyDescent="0.25">
      <c r="A6062" s="14">
        <v>1012426741</v>
      </c>
      <c r="B6062" s="2">
        <v>46141.770927199075</v>
      </c>
      <c r="C6062" s="3" t="str">
        <f>IFERROR(VLOOKUP(A6062,'Base Prueba'!A:C,3,),"NO REGISTRA")</f>
        <v>CRISTIAN FABIAN ROJAS SANCENO</v>
      </c>
      <c r="D6062" s="4" t="str">
        <f>IFERROR(VLOOKUP(A6062,'Base Prueba'!A:D,4,),"NO REGISTRA")</f>
        <v>AUXILIAR DE REINTEGROS</v>
      </c>
      <c r="E6062" s="5" t="str">
        <f>IFERROR(VLOOKUP(A6062,'Base Prueba'!A:E,5,),"NO REGISTRA")</f>
        <v>DIRECCION DE BIENESTAR INSTITUCIONAL</v>
      </c>
    </row>
    <row r="6063" spans="1:5" ht="15.75" x14ac:dyDescent="0.25">
      <c r="A6063" s="14">
        <v>1013616244</v>
      </c>
      <c r="B6063" s="2">
        <v>46141.772184027781</v>
      </c>
      <c r="C6063" s="3" t="str">
        <f>IFERROR(VLOOKUP(A6063,'Base Prueba'!A:C,3,),"NO REGISTRA")</f>
        <v>DIANA CAROLINA MARIN BETANCOURT</v>
      </c>
      <c r="D6063" s="4" t="str">
        <f>IFERROR(VLOOKUP(A6063,'Base Prueba'!A:D,4,),"NO REGISTRA")</f>
        <v>AUXILIAR ADMINISTRATIVO</v>
      </c>
      <c r="E6063" s="5" t="str">
        <f>IFERROR(VLOOKUP(A6063,'Base Prueba'!A:E,5,),"NO REGISTRA")</f>
        <v>REGISTRO Y CONTROL ACADEMICO</v>
      </c>
    </row>
    <row r="6064" spans="1:5" ht="15.75" x14ac:dyDescent="0.25">
      <c r="A6064" s="14">
        <v>52474489</v>
      </c>
      <c r="B6064" s="2">
        <v>46141.772220949075</v>
      </c>
      <c r="C6064" s="3" t="str">
        <f>IFERROR(VLOOKUP(A6064,'Base Prueba'!A:C,3,),"NO REGISTRA")</f>
        <v>ADRIANA JIMENA SOTO BOCANEGRA</v>
      </c>
      <c r="D6064" s="4" t="str">
        <f>IFERROR(VLOOKUP(A6064,'Base Prueba'!A:D,4,),"NO REGISTRA")</f>
        <v>COORDINADOR DE LA OFICINA DE REGISTRO Y CONTROL</v>
      </c>
      <c r="E6064" s="5" t="str">
        <f>IFERROR(VLOOKUP(A6064,'Base Prueba'!A:E,5,),"NO REGISTRA")</f>
        <v>REGISTRO Y CONTROL ACADEMICO</v>
      </c>
    </row>
    <row r="6065" spans="1:5" ht="15.75" x14ac:dyDescent="0.25">
      <c r="A6065" s="14">
        <v>28798349</v>
      </c>
      <c r="B6065" s="2">
        <v>46141.774797453705</v>
      </c>
      <c r="C6065" s="3" t="str">
        <f>IFERROR(VLOOKUP(A6065,'Base Prueba'!A:C,3,),"NO REGISTRA")</f>
        <v>MARTHA ISABEL TOVAR WILLIAMS</v>
      </c>
      <c r="D6065" s="4" t="str">
        <f>IFERROR(VLOOKUP(A6065,'Base Prueba'!A:D,4,),"NO REGISTRA")</f>
        <v>PROMOTOR CALL CENTER</v>
      </c>
      <c r="E6065" s="5" t="str">
        <f>IFERROR(VLOOKUP(A6065,'Base Prueba'!A:E,5,),"NO REGISTRA")</f>
        <v>OFICINA DE MERCADEO</v>
      </c>
    </row>
    <row r="6066" spans="1:5" ht="15.75" x14ac:dyDescent="0.25">
      <c r="A6066" s="14">
        <v>1023961952</v>
      </c>
      <c r="B6066" s="2">
        <v>46141.775247800928</v>
      </c>
      <c r="C6066" s="3" t="str">
        <f>IFERROR(VLOOKUP(A6066,'Base Prueba'!A:C,3,),"NO REGISTRA")</f>
        <v>ALEJANDRO PINZON MERCHAN</v>
      </c>
      <c r="D6066" s="4" t="str">
        <f>IFERROR(VLOOKUP(A6066,'Base Prueba'!A:D,4,),"NO REGISTRA")</f>
        <v>PROMOTOR CALL CENTER</v>
      </c>
      <c r="E6066" s="5" t="str">
        <f>IFERROR(VLOOKUP(A6066,'Base Prueba'!A:E,5,),"NO REGISTRA")</f>
        <v>OFICINA DE MERCADEO</v>
      </c>
    </row>
    <row r="6067" spans="1:5" ht="15.75" x14ac:dyDescent="0.25">
      <c r="A6067" s="14">
        <v>52175674</v>
      </c>
      <c r="B6067" s="2">
        <v>46141.778184490744</v>
      </c>
      <c r="C6067" s="3" t="str">
        <f>IFERROR(VLOOKUP(A6067,'Base Prueba'!A:C,3,),"NO REGISTRA")</f>
        <v>LUZ YANETH GOMEZ AREVALO</v>
      </c>
      <c r="D6067" s="4" t="str">
        <f>IFERROR(VLOOKUP(A6067,'Base Prueba'!A:D,4,),"NO REGISTRA")</f>
        <v>COORDINADORA DE ADMISIONES</v>
      </c>
      <c r="E6067" s="5" t="str">
        <f>IFERROR(VLOOKUP(A6067,'Base Prueba'!A:E,5,),"NO REGISTRA")</f>
        <v>OFICINA DE MERCADEO</v>
      </c>
    </row>
    <row r="6068" spans="1:5" ht="15.75" x14ac:dyDescent="0.25">
      <c r="A6068" s="14">
        <v>1019105003</v>
      </c>
      <c r="B6068" s="2">
        <v>46141.779715046294</v>
      </c>
      <c r="C6068" s="3" t="str">
        <f>IFERROR(VLOOKUP(A6068,'Base Prueba'!A:C,3,),"NO REGISTRA")</f>
        <v>DAISY JULIETH GASPAR MORENO</v>
      </c>
      <c r="D6068" s="4" t="str">
        <f>IFERROR(VLOOKUP(A6068,'Base Prueba'!A:D,4,),"NO REGISTRA")</f>
        <v>PROMOTOR CALL CENTER</v>
      </c>
      <c r="E6068" s="5" t="str">
        <f>IFERROR(VLOOKUP(A6068,'Base Prueba'!A:E,5,),"NO REGISTRA")</f>
        <v>OFICINA DE MERCADEO</v>
      </c>
    </row>
    <row r="6069" spans="1:5" ht="15.75" x14ac:dyDescent="0.25">
      <c r="A6069" s="14">
        <v>52764929</v>
      </c>
      <c r="B6069" s="2">
        <v>46141.782125347221</v>
      </c>
      <c r="C6069" s="3" t="str">
        <f>IFERROR(VLOOKUP(A6069,'Base Prueba'!A:C,3,),"NO REGISTRA")</f>
        <v>GUERLY YOHANA DURAN RIVERA</v>
      </c>
      <c r="D6069" s="4" t="str">
        <f>IFERROR(VLOOKUP(A6069,'Base Prueba'!A:D,4,),"NO REGISTRA")</f>
        <v>LIDER DE VINCULACION COLEGIOS</v>
      </c>
      <c r="E6069" s="5" t="str">
        <f>IFERROR(VLOOKUP(A6069,'Base Prueba'!A:E,5,),"NO REGISTRA")</f>
        <v>OFICINA DE MERCADEO</v>
      </c>
    </row>
    <row r="6070" spans="1:5" ht="15.75" x14ac:dyDescent="0.25">
      <c r="A6070" s="14">
        <v>52472386</v>
      </c>
      <c r="B6070" s="2">
        <v>46141.782556134262</v>
      </c>
      <c r="C6070" s="3" t="str">
        <f>IFERROR(VLOOKUP(A6070,'Base Prueba'!A:C,3,),"NO REGISTRA")</f>
        <v>ADRIANA MARCELA MORALES PARDO</v>
      </c>
      <c r="D6070" s="4" t="str">
        <f>IFERROR(VLOOKUP(A6070,'Base Prueba'!A:D,4,),"NO REGISTRA")</f>
        <v>PROMOTOR CALL CENTER</v>
      </c>
      <c r="E6070" s="5" t="str">
        <f>IFERROR(VLOOKUP(A6070,'Base Prueba'!A:E,5,),"NO REGISTRA")</f>
        <v>OFICINA DE MERCADEO</v>
      </c>
    </row>
    <row r="6071" spans="1:5" ht="15.75" x14ac:dyDescent="0.25">
      <c r="A6071" s="14">
        <v>53089882</v>
      </c>
      <c r="B6071" s="2">
        <v>46141.787600925927</v>
      </c>
      <c r="C6071" s="3" t="str">
        <f>IFERROR(VLOOKUP(A6071,'Base Prueba'!A:C,3,),"NO REGISTRA")</f>
        <v>MARIA JOHANA ESCAMILLA MARTINEZ</v>
      </c>
      <c r="D6071" s="4" t="str">
        <f>IFERROR(VLOOKUP(A6071,'Base Prueba'!A:D,4,),"NO REGISTRA")</f>
        <v>PROMOTOR DE INFORMACIÓN</v>
      </c>
      <c r="E6071" s="5" t="str">
        <f>IFERROR(VLOOKUP(A6071,'Base Prueba'!A:E,5,),"NO REGISTRA")</f>
        <v>OFICINA DE MERCADEO</v>
      </c>
    </row>
    <row r="6072" spans="1:5" ht="15.75" x14ac:dyDescent="0.25">
      <c r="A6072" s="14">
        <v>1018413529</v>
      </c>
      <c r="B6072" s="2">
        <v>46141.787620254632</v>
      </c>
      <c r="C6072" s="3" t="str">
        <f>IFERROR(VLOOKUP(A6072,'Base Prueba'!A:C,3,),"NO REGISTRA")</f>
        <v>FRANCY STELLA CHARRY MORENO</v>
      </c>
      <c r="D6072" s="4" t="str">
        <f>IFERROR(VLOOKUP(A6072,'Base Prueba'!A:D,4,),"NO REGISTRA")</f>
        <v>PROMOTOR COMERCIAL DEL CEA</v>
      </c>
      <c r="E6072" s="5" t="str">
        <f>IFERROR(VLOOKUP(A6072,'Base Prueba'!A:E,5,),"NO REGISTRA")</f>
        <v>OFICINA DE MERCADEO</v>
      </c>
    </row>
    <row r="6073" spans="1:5" ht="15.75" x14ac:dyDescent="0.25">
      <c r="A6073" s="14">
        <v>80234243</v>
      </c>
      <c r="B6073" s="2">
        <v>46141.789512615738</v>
      </c>
      <c r="C6073" s="3" t="str">
        <f>IFERROR(VLOOKUP(A6073,'Base Prueba'!A:C,3,),"NO REGISTRA")</f>
        <v>ARGENIS MARTINEZ MARTINEZ</v>
      </c>
      <c r="D6073" s="4" t="str">
        <f>IFERROR(VLOOKUP(A6073,'Base Prueba'!A:D,4,),"NO REGISTRA")</f>
        <v>LIDER CALL CENTER</v>
      </c>
      <c r="E6073" s="5" t="str">
        <f>IFERROR(VLOOKUP(A6073,'Base Prueba'!A:E,5,),"NO REGISTRA")</f>
        <v>OFICINA DE MERCADEO</v>
      </c>
    </row>
    <row r="6074" spans="1:5" ht="15.75" x14ac:dyDescent="0.25">
      <c r="A6074" s="14">
        <v>1033709056</v>
      </c>
      <c r="B6074" s="2">
        <v>46141.792064930552</v>
      </c>
      <c r="C6074" s="3" t="str">
        <f>IFERROR(VLOOKUP(A6074,'Base Prueba'!A:C,3,),"NO REGISTRA")</f>
        <v>YEIMY ALEXANDRA RODRIGUEZ PALACIO</v>
      </c>
      <c r="D6074" s="4" t="str">
        <f>IFERROR(VLOOKUP(A6074,'Base Prueba'!A:D,4,),"NO REGISTRA")</f>
        <v>PROMOTOR CALL CENTER</v>
      </c>
      <c r="E6074" s="5" t="str">
        <f>IFERROR(VLOOKUP(A6074,'Base Prueba'!A:E,5,),"NO REGISTRA")</f>
        <v>OFICINA DE MERCADEO</v>
      </c>
    </row>
    <row r="6075" spans="1:5" ht="15.75" x14ac:dyDescent="0.25">
      <c r="A6075" s="14">
        <v>1018414290</v>
      </c>
      <c r="B6075" s="2">
        <v>46141.79211574074</v>
      </c>
      <c r="C6075" s="3" t="str">
        <f>IFERROR(VLOOKUP(A6075,'Base Prueba'!A:C,3,),"NO REGISTRA")</f>
        <v>AMANDA LISBETH RODRIGUEZ LEON</v>
      </c>
      <c r="D6075" s="4" t="str">
        <f>IFERROR(VLOOKUP(A6075,'Base Prueba'!A:D,4,),"NO REGISTRA")</f>
        <v>PROMOTOR CALL CENTER</v>
      </c>
      <c r="E6075" s="5" t="str">
        <f>IFERROR(VLOOKUP(A6075,'Base Prueba'!A:E,5,),"NO REGISTRA")</f>
        <v>OFICINA DE MERCADEO</v>
      </c>
    </row>
    <row r="6076" spans="1:5" ht="15.75" x14ac:dyDescent="0.25">
      <c r="A6076" s="14">
        <v>1024512067</v>
      </c>
      <c r="B6076" s="2">
        <v>46142.307864351853</v>
      </c>
      <c r="C6076" s="3" t="str">
        <f>IFERROR(VLOOKUP(A6076,'Base Prueba'!A:C,3,),"NO REGISTRA")</f>
        <v>CINDY GIOVANA SALGAR GOMEZ</v>
      </c>
      <c r="D6076" s="4" t="str">
        <f>IFERROR(VLOOKUP(A6076,'Base Prueba'!A:D,4,),"NO REGISTRA")</f>
        <v>COORDINADOR DEL SISTEMA INTEGRADO DE GESTION INSTITUCIONAL - SIGI</v>
      </c>
      <c r="E6076" s="5" t="str">
        <f>IFERROR(VLOOKUP(A6076,'Base Prueba'!A:E,5,),"NO REGISTRA")</f>
        <v>OFICINA DE PLANEACION Y GESTION DE LA CALIDAD</v>
      </c>
    </row>
    <row r="6077" spans="1:5" ht="15.75" x14ac:dyDescent="0.25">
      <c r="A6077" s="14">
        <v>1032469638</v>
      </c>
      <c r="B6077" s="2">
        <v>46142.308640972224</v>
      </c>
      <c r="C6077" s="3" t="str">
        <f>IFERROR(VLOOKUP(A6077,'Base Prueba'!A:C,3,),"NO REGISTRA")</f>
        <v>MAICOL JARBEY GUALTEROS CASTAÑEDA</v>
      </c>
      <c r="D6077" s="4" t="str">
        <f>IFERROR(VLOOKUP(A6077,'Base Prueba'!A:D,4,),"NO REGISTRA")</f>
        <v>COORDINADOR DEL SISTEMA INTERNO DE ASEGURAMIENTO DE LA CALIDAD - SIAC</v>
      </c>
      <c r="E6077" s="5" t="str">
        <f>IFERROR(VLOOKUP(A6077,'Base Prueba'!A:E,5,),"NO REGISTRA")</f>
        <v>OFICINA DE PLANEACION Y GESTION DE LA CALIDAD</v>
      </c>
    </row>
    <row r="6078" spans="1:5" ht="15.75" x14ac:dyDescent="0.25">
      <c r="A6078" s="14">
        <v>1013616244</v>
      </c>
      <c r="B6078" s="2">
        <v>46142.318686689818</v>
      </c>
      <c r="C6078" s="3" t="str">
        <f>IFERROR(VLOOKUP(A6078,'Base Prueba'!A:C,3,),"NO REGISTRA")</f>
        <v>DIANA CAROLINA MARIN BETANCOURT</v>
      </c>
      <c r="D6078" s="4" t="str">
        <f>IFERROR(VLOOKUP(A6078,'Base Prueba'!A:D,4,),"NO REGISTRA")</f>
        <v>AUXILIAR ADMINISTRATIVO</v>
      </c>
      <c r="E6078" s="5" t="str">
        <f>IFERROR(VLOOKUP(A6078,'Base Prueba'!A:E,5,),"NO REGISTRA")</f>
        <v>REGISTRO Y CONTROL ACADEMICO</v>
      </c>
    </row>
    <row r="6079" spans="1:5" ht="15.75" x14ac:dyDescent="0.25">
      <c r="A6079" s="14">
        <v>1000604979</v>
      </c>
      <c r="B6079" s="2">
        <v>46142.320218402776</v>
      </c>
      <c r="C6079" s="3" t="str">
        <f>IFERROR(VLOOKUP(A6079,'Base Prueba'!A:C,3,),"NO REGISTRA")</f>
        <v>JULIETH TATIANA PARDO PINTO</v>
      </c>
      <c r="D6079" s="4" t="str">
        <f>IFERROR(VLOOKUP(A6079,'Base Prueba'!A:D,4,),"NO REGISTRA")</f>
        <v>AUXILIAR JURIDICO</v>
      </c>
      <c r="E6079" s="5" t="str">
        <f>IFERROR(VLOOKUP(A6079,'Base Prueba'!A:E,5,),"NO REGISTRA")</f>
        <v>SECRETARIA GENERAL</v>
      </c>
    </row>
    <row r="6080" spans="1:5" ht="15.75" x14ac:dyDescent="0.25">
      <c r="A6080" s="14">
        <v>1000992568</v>
      </c>
      <c r="B6080" s="2">
        <v>46142.322867129631</v>
      </c>
      <c r="C6080" s="3" t="str">
        <f>IFERROR(VLOOKUP(A6080,'Base Prueba'!A:C,3,),"NO REGISTRA")</f>
        <v>KAREN BRIGITTE DALEMAN MORENO</v>
      </c>
      <c r="D6080" s="4" t="str">
        <f>IFERROR(VLOOKUP(A6080,'Base Prueba'!A:D,4,),"NO REGISTRA")</f>
        <v>RECEPCIONISTA</v>
      </c>
      <c r="E6080" s="5" t="str">
        <f>IFERROR(VLOOKUP(A6080,'Base Prueba'!A:E,5,),"NO REGISTRA")</f>
        <v>CENTRO DE GESTION DOCUMENTAL</v>
      </c>
    </row>
    <row r="6081" spans="1:5" ht="15.75" x14ac:dyDescent="0.25">
      <c r="A6081" s="14">
        <v>1000324729</v>
      </c>
      <c r="B6081" s="2">
        <v>46142.325041550925</v>
      </c>
      <c r="C6081" s="3" t="str">
        <f>IFERROR(VLOOKUP(A6081,'Base Prueba'!A:C,3,),"NO REGISTRA")</f>
        <v>ANYIE VANESSA TINOCO CAMACHO</v>
      </c>
      <c r="D6081" s="4" t="str">
        <f>IFERROR(VLOOKUP(A6081,'Base Prueba'!A:D,4,),"NO REGISTRA")</f>
        <v>LIDER DE REGISTRO Y CONTROL</v>
      </c>
      <c r="E6081" s="5" t="str">
        <f>IFERROR(VLOOKUP(A6081,'Base Prueba'!A:E,5,),"NO REGISTRA")</f>
        <v>REGISTRO Y CONTROL ACADEMICO</v>
      </c>
    </row>
    <row r="6082" spans="1:5" ht="15.75" x14ac:dyDescent="0.25">
      <c r="A6082" s="14">
        <v>52225539</v>
      </c>
      <c r="B6082" s="2">
        <v>46142.328373611112</v>
      </c>
      <c r="C6082" s="3" t="str">
        <f>IFERROR(VLOOKUP(A6082,'Base Prueba'!A:C,3,),"NO REGISTRA")</f>
        <v>LISA MINELLY ZAMBRANO CONTRERAS</v>
      </c>
      <c r="D6082" s="4" t="str">
        <f>IFERROR(VLOOKUP(A6082,'Base Prueba'!A:D,4,),"NO REGISTRA")</f>
        <v>LIDER DE COMPRAS</v>
      </c>
      <c r="E6082" s="5" t="str">
        <f>IFERROR(VLOOKUP(A6082,'Base Prueba'!A:E,5,),"NO REGISTRA")</f>
        <v>VICERRECTORIA ADMINISTRATIVA Y FINANCIERA</v>
      </c>
    </row>
    <row r="6083" spans="1:5" ht="15.75" x14ac:dyDescent="0.25">
      <c r="A6083" s="14">
        <v>1000257136</v>
      </c>
      <c r="B6083" s="2">
        <v>46142.328613773148</v>
      </c>
      <c r="C6083" s="3" t="str">
        <f>IFERROR(VLOOKUP(A6083,'Base Prueba'!A:C,3,),"NO REGISTRA")</f>
        <v>FRANCI VALENTINA CANO PUENTES</v>
      </c>
      <c r="D6083" s="4" t="str">
        <f>IFERROR(VLOOKUP(A6083,'Base Prueba'!A:D,4,),"NO REGISTRA")</f>
        <v>AUXILIAR CONTABLE</v>
      </c>
      <c r="E6083" s="5" t="str">
        <f>IFERROR(VLOOKUP(A6083,'Base Prueba'!A:E,5,),"NO REGISTRA")</f>
        <v>AREA FINANCIERA Y CONTABLE</v>
      </c>
    </row>
    <row r="6084" spans="1:5" ht="15.75" x14ac:dyDescent="0.25">
      <c r="A6084" s="14">
        <v>80191732</v>
      </c>
      <c r="B6084" s="2">
        <v>46142.329955092595</v>
      </c>
      <c r="C6084" s="3" t="str">
        <f>IFERROR(VLOOKUP(A6084,'Base Prueba'!A:C,3,),"NO REGISTRA")</f>
        <v>DANIEL MAURICIO ZAMBRANO TUNJANO</v>
      </c>
      <c r="D6084" s="4" t="str">
        <f>IFERROR(VLOOKUP(A6084,'Base Prueba'!A:D,4,),"NO REGISTRA")</f>
        <v>COORDINADOR DE DISEÑO E IMAGEN INSTITUCIONAL</v>
      </c>
      <c r="E6084" s="5" t="str">
        <f>IFERROR(VLOOKUP(A6084,'Base Prueba'!A:E,5,),"NO REGISTRA")</f>
        <v>OFICINA DE MERCADEO</v>
      </c>
    </row>
    <row r="6085" spans="1:5" ht="15.75" x14ac:dyDescent="0.25">
      <c r="A6085" s="14">
        <v>1014196857</v>
      </c>
      <c r="B6085" s="2">
        <v>46142.330835995373</v>
      </c>
      <c r="C6085" s="3" t="str">
        <f>IFERROR(VLOOKUP(A6085,'Base Prueba'!A:C,3,),"NO REGISTRA")</f>
        <v>CARLOS ANDRES JIMENEZ PARDO</v>
      </c>
      <c r="D6085" s="4" t="str">
        <f>IFERROR(VLOOKUP(A6085,'Base Prueba'!A:D,4,),"NO REGISTRA")</f>
        <v>COORDINADOR DE MARKETING DIGITAL</v>
      </c>
      <c r="E6085" s="5" t="str">
        <f>IFERROR(VLOOKUP(A6085,'Base Prueba'!A:E,5,),"NO REGISTRA")</f>
        <v>OFICINA DE MERCADEO</v>
      </c>
    </row>
    <row r="6086" spans="1:5" ht="15.75" x14ac:dyDescent="0.25">
      <c r="A6086" s="14">
        <v>1033820146</v>
      </c>
      <c r="B6086" s="2">
        <v>46142.332322222224</v>
      </c>
      <c r="C6086" s="3" t="str">
        <f>IFERROR(VLOOKUP(A6086,'Base Prueba'!A:C,3,),"NO REGISTRA")</f>
        <v>JULIETH ALEXANDRA BUSTAMANTE RUIZ</v>
      </c>
      <c r="D6086" s="4" t="str">
        <f>IFERROR(VLOOKUP(A6086,'Base Prueba'!A:D,4,),"NO REGISTRA")</f>
        <v>AUXILIAR ADMINISTRATIVO</v>
      </c>
      <c r="E6086" s="5" t="str">
        <f>IFERROR(VLOOKUP(A6086,'Base Prueba'!A:E,5,),"NO REGISTRA")</f>
        <v>REGISTRO Y CONTROL ACADEMICO</v>
      </c>
    </row>
    <row r="6087" spans="1:5" ht="15.75" x14ac:dyDescent="0.25">
      <c r="A6087" s="14">
        <v>1049644802</v>
      </c>
      <c r="B6087" s="2">
        <v>46142.335303819447</v>
      </c>
      <c r="C6087" s="3" t="str">
        <f>IFERROR(VLOOKUP(A6087,'Base Prueba'!A:C,3,),"NO REGISTRA")</f>
        <v>DANIELA ALEXANDRA CIPAMOCHA BOSIGA</v>
      </c>
      <c r="D6087" s="4" t="str">
        <f>IFERROR(VLOOKUP(A6087,'Base Prueba'!A:D,4,),"NO REGISTRA")</f>
        <v>LIDER DE DATOS Y SERVICIOS</v>
      </c>
      <c r="E6087" s="5" t="str">
        <f>IFERROR(VLOOKUP(A6087,'Base Prueba'!A:E,5,),"NO REGISTRA")</f>
        <v>OFICINA DE PLANEACION Y GESTION DE LA CALIDAD</v>
      </c>
    </row>
    <row r="6088" spans="1:5" ht="15.75" x14ac:dyDescent="0.25">
      <c r="A6088" s="14">
        <v>1193457976</v>
      </c>
      <c r="B6088" s="2">
        <v>46142.340941435185</v>
      </c>
      <c r="C6088" s="3" t="str">
        <f>IFERROR(VLOOKUP(A6088,'Base Prueba'!A:C,3,),"NO REGISTRA")</f>
        <v>SEDENIS RIVAS ASPRILLA</v>
      </c>
      <c r="D6088" s="4" t="str">
        <f>IFERROR(VLOOKUP(A6088,'Base Prueba'!A:D,4,),"NO REGISTRA")</f>
        <v>APRENDIZ UNIVERSITARIO</v>
      </c>
      <c r="E6088" s="5" t="str">
        <f>IFERROR(VLOOKUP(A6088,'Base Prueba'!A:E,5,),"NO REGISTRA")</f>
        <v>DEPARTAMENTO DE GESTION HUMANA</v>
      </c>
    </row>
    <row r="6089" spans="1:5" ht="15.75" x14ac:dyDescent="0.25">
      <c r="A6089" s="14">
        <v>1013098430</v>
      </c>
      <c r="B6089" s="2">
        <v>46142.341106250002</v>
      </c>
      <c r="C6089" s="3" t="str">
        <f>IFERROR(VLOOKUP(A6089,'Base Prueba'!A:C,3,),"NO REGISTRA")</f>
        <v>ANDRES FELIPE LOPEZ ROMERO</v>
      </c>
      <c r="D6089" s="4" t="str">
        <f>IFERROR(VLOOKUP(A6089,'Base Prueba'!A:D,4,),"NO REGISTRA")</f>
        <v>APRENDIZ UNIVERSITARIO</v>
      </c>
      <c r="E6089" s="5" t="str">
        <f>IFERROR(VLOOKUP(A6089,'Base Prueba'!A:E,5,),"NO REGISTRA")</f>
        <v>OFICINA DE MERCADEO</v>
      </c>
    </row>
    <row r="6090" spans="1:5" ht="15.75" x14ac:dyDescent="0.25">
      <c r="A6090" s="14">
        <v>1000457706</v>
      </c>
      <c r="B6090" s="2">
        <v>46142.34810023148</v>
      </c>
      <c r="C6090" s="3" t="str">
        <f>IFERROR(VLOOKUP(A6090,'Base Prueba'!A:C,3,),"NO REGISTRA")</f>
        <v>CRISTIAN DANILO ARROYO SANABRIA</v>
      </c>
      <c r="D6090" s="4" t="str">
        <f>IFERROR(VLOOKUP(A6090,'Base Prueba'!A:D,4,),"NO REGISTRA")</f>
        <v>AUXILIAR CONTABLE</v>
      </c>
      <c r="E6090" s="5" t="str">
        <f>IFERROR(VLOOKUP(A6090,'Base Prueba'!A:E,5,),"NO REGISTRA")</f>
        <v>AREA FINANCIERA Y CONTABLE</v>
      </c>
    </row>
    <row r="6091" spans="1:5" ht="15.75" x14ac:dyDescent="0.25">
      <c r="A6091" s="14">
        <v>53932358</v>
      </c>
      <c r="B6091" s="2">
        <v>46142.354204050927</v>
      </c>
      <c r="C6091" s="3" t="str">
        <f>IFERROR(VLOOKUP(A6091,'Base Prueba'!A:C,3,),"NO REGISTRA")</f>
        <v>DIANA MADELEYNE GAONA RODRIGUEZ</v>
      </c>
      <c r="D6091" s="4" t="str">
        <f>IFERROR(VLOOKUP(A6091,'Base Prueba'!A:D,4,),"NO REGISTRA")</f>
        <v>CONTADOR</v>
      </c>
      <c r="E6091" s="5" t="str">
        <f>IFERROR(VLOOKUP(A6091,'Base Prueba'!A:E,5,),"NO REGISTRA")</f>
        <v>AREA FINANCIERA Y CONTABLE</v>
      </c>
    </row>
    <row r="6092" spans="1:5" ht="15.75" x14ac:dyDescent="0.25">
      <c r="A6092" s="14">
        <v>1087121273</v>
      </c>
      <c r="B6092" s="2">
        <v>46142.357198726851</v>
      </c>
      <c r="C6092" s="3" t="str">
        <f>IFERROR(VLOOKUP(A6092,'Base Prueba'!A:C,3,),"NO REGISTRA")</f>
        <v>MAYRA ALEJANDRA CASTILLO ARBOLEDA</v>
      </c>
      <c r="D6092" s="4" t="str">
        <f>IFERROR(VLOOKUP(A6092,'Base Prueba'!A:D,4,),"NO REGISTRA")</f>
        <v>APOYO INTEGRAL DE MERCADEO</v>
      </c>
      <c r="E6092" s="5" t="str">
        <f>IFERROR(VLOOKUP(A6092,'Base Prueba'!A:E,5,),"NO REGISTRA")</f>
        <v>CENTRO DE GESTION DOCUMENTAL</v>
      </c>
    </row>
    <row r="6093" spans="1:5" ht="15.75" x14ac:dyDescent="0.25">
      <c r="A6093" s="14">
        <v>1032407386</v>
      </c>
      <c r="B6093" s="2">
        <v>46142.362208680555</v>
      </c>
      <c r="C6093" s="3" t="str">
        <f>IFERROR(VLOOKUP(A6093,'Base Prueba'!A:C,3,),"NO REGISTRA")</f>
        <v>GINA PAOLA BAEZ GALVIS</v>
      </c>
      <c r="D6093" s="4" t="str">
        <f>IFERROR(VLOOKUP(A6093,'Base Prueba'!A:D,4,),"NO REGISTRA")</f>
        <v>PROMOTOR CALL CENTER</v>
      </c>
      <c r="E6093" s="5" t="str">
        <f>IFERROR(VLOOKUP(A6093,'Base Prueba'!A:E,5,),"NO REGISTRA")</f>
        <v>OFICINA DE MERCADEO</v>
      </c>
    </row>
    <row r="6094" spans="1:5" ht="15.75" x14ac:dyDescent="0.25">
      <c r="A6094" s="14">
        <v>1033709056</v>
      </c>
      <c r="B6094" s="2">
        <v>46142.366981134262</v>
      </c>
      <c r="C6094" s="3" t="str">
        <f>IFERROR(VLOOKUP(A6094,'Base Prueba'!A:C,3,),"NO REGISTRA")</f>
        <v>YEIMY ALEXANDRA RODRIGUEZ PALACIO</v>
      </c>
      <c r="D6094" s="4" t="str">
        <f>IFERROR(VLOOKUP(A6094,'Base Prueba'!A:D,4,),"NO REGISTRA")</f>
        <v>PROMOTOR CALL CENTER</v>
      </c>
      <c r="E6094" s="5" t="str">
        <f>IFERROR(VLOOKUP(A6094,'Base Prueba'!A:E,5,),"NO REGISTRA")</f>
        <v>OFICINA DE MERCADEO</v>
      </c>
    </row>
    <row r="6095" spans="1:5" ht="15.75" x14ac:dyDescent="0.25">
      <c r="A6095" s="14">
        <v>1023883232</v>
      </c>
      <c r="B6095" s="2">
        <v>46142.369343171296</v>
      </c>
      <c r="C6095" s="3" t="str">
        <f>IFERROR(VLOOKUP(A6095,'Base Prueba'!A:C,3,),"NO REGISTRA")</f>
        <v>MONICA ANDREA ACERO URBANO</v>
      </c>
      <c r="D6095" s="4" t="str">
        <f>IFERROR(VLOOKUP(A6095,'Base Prueba'!A:D,4,),"NO REGISTRA")</f>
        <v>APOYO INTEGRAL A GESTION HUMANA</v>
      </c>
      <c r="E6095" s="5" t="str">
        <f>IFERROR(VLOOKUP(A6095,'Base Prueba'!A:E,5,),"NO REGISTRA")</f>
        <v>DEPARTAMENTO DE GESTION HUMANA</v>
      </c>
    </row>
    <row r="6096" spans="1:5" ht="15.75" x14ac:dyDescent="0.25">
      <c r="A6096" s="14">
        <v>80234243</v>
      </c>
      <c r="B6096" s="2">
        <v>46142.373406944447</v>
      </c>
      <c r="C6096" s="3" t="str">
        <f>IFERROR(VLOOKUP(A6096,'Base Prueba'!A:C,3,),"NO REGISTRA")</f>
        <v>ARGENIS MARTINEZ MARTINEZ</v>
      </c>
      <c r="D6096" s="4" t="str">
        <f>IFERROR(VLOOKUP(A6096,'Base Prueba'!A:D,4,),"NO REGISTRA")</f>
        <v>LIDER CALL CENTER</v>
      </c>
      <c r="E6096" s="5" t="str">
        <f>IFERROR(VLOOKUP(A6096,'Base Prueba'!A:E,5,),"NO REGISTRA")</f>
        <v>OFICINA DE MERCADEO</v>
      </c>
    </row>
    <row r="6097" spans="1:5" ht="15.75" x14ac:dyDescent="0.25">
      <c r="A6097" s="14">
        <v>1023961952</v>
      </c>
      <c r="B6097" s="2">
        <v>46142.373433912035</v>
      </c>
      <c r="C6097" s="3" t="str">
        <f>IFERROR(VLOOKUP(A6097,'Base Prueba'!A:C,3,),"NO REGISTRA")</f>
        <v>ALEJANDRO PINZON MERCHAN</v>
      </c>
      <c r="D6097" s="4" t="str">
        <f>IFERROR(VLOOKUP(A6097,'Base Prueba'!A:D,4,),"NO REGISTRA")</f>
        <v>PROMOTOR CALL CENTER</v>
      </c>
      <c r="E6097" s="5" t="str">
        <f>IFERROR(VLOOKUP(A6097,'Base Prueba'!A:E,5,),"NO REGISTRA")</f>
        <v>OFICINA DE MERCADEO</v>
      </c>
    </row>
    <row r="6098" spans="1:5" ht="15.75" x14ac:dyDescent="0.25">
      <c r="A6098" s="14">
        <v>1012426741</v>
      </c>
      <c r="B6098" s="2">
        <v>46142.373885069443</v>
      </c>
      <c r="C6098" s="3" t="str">
        <f>IFERROR(VLOOKUP(A6098,'Base Prueba'!A:C,3,),"NO REGISTRA")</f>
        <v>CRISTIAN FABIAN ROJAS SANCENO</v>
      </c>
      <c r="D6098" s="4" t="str">
        <f>IFERROR(VLOOKUP(A6098,'Base Prueba'!A:D,4,),"NO REGISTRA")</f>
        <v>AUXILIAR DE REINTEGROS</v>
      </c>
      <c r="E6098" s="5" t="str">
        <f>IFERROR(VLOOKUP(A6098,'Base Prueba'!A:E,5,),"NO REGISTRA")</f>
        <v>DIRECCION DE BIENESTAR INSTITUCIONAL</v>
      </c>
    </row>
    <row r="6099" spans="1:5" ht="15.75" x14ac:dyDescent="0.25">
      <c r="A6099" s="14">
        <v>28798349</v>
      </c>
      <c r="B6099" s="2">
        <v>46142.374178009261</v>
      </c>
      <c r="C6099" s="3" t="str">
        <f>IFERROR(VLOOKUP(A6099,'Base Prueba'!A:C,3,),"NO REGISTRA")</f>
        <v>MARTHA ISABEL TOVAR WILLIAMS</v>
      </c>
      <c r="D6099" s="4" t="str">
        <f>IFERROR(VLOOKUP(A6099,'Base Prueba'!A:D,4,),"NO REGISTRA")</f>
        <v>PROMOTOR CALL CENTER</v>
      </c>
      <c r="E6099" s="5" t="str">
        <f>IFERROR(VLOOKUP(A6099,'Base Prueba'!A:E,5,),"NO REGISTRA")</f>
        <v>OFICINA DE MERCADEO</v>
      </c>
    </row>
    <row r="6100" spans="1:5" ht="15.75" x14ac:dyDescent="0.25">
      <c r="A6100" s="14">
        <v>52472386</v>
      </c>
      <c r="B6100" s="2">
        <v>46142.374198148151</v>
      </c>
      <c r="C6100" s="3" t="str">
        <f>IFERROR(VLOOKUP(A6100,'Base Prueba'!A:C,3,),"NO REGISTRA")</f>
        <v>ADRIANA MARCELA MORALES PARDO</v>
      </c>
      <c r="D6100" s="4" t="str">
        <f>IFERROR(VLOOKUP(A6100,'Base Prueba'!A:D,4,),"NO REGISTRA")</f>
        <v>PROMOTOR CALL CENTER</v>
      </c>
      <c r="E6100" s="5" t="str">
        <f>IFERROR(VLOOKUP(A6100,'Base Prueba'!A:E,5,),"NO REGISTRA")</f>
        <v>OFICINA DE MERCADEO</v>
      </c>
    </row>
    <row r="6101" spans="1:5" ht="15.75" x14ac:dyDescent="0.25">
      <c r="A6101" s="14">
        <v>1000046533</v>
      </c>
      <c r="B6101" s="2">
        <v>46142.37513310185</v>
      </c>
      <c r="C6101" s="3" t="str">
        <f>IFERROR(VLOOKUP(A6101,'Base Prueba'!A:C,3,),"NO REGISTRA")</f>
        <v>ERIKA JULIETH VALDERRAMA SANCHEZ</v>
      </c>
      <c r="D6101" s="4" t="str">
        <f>IFERROR(VLOOKUP(A6101,'Base Prueba'!A:D,4,),"NO REGISTRA")</f>
        <v>PROMOTOR CALL CENTER</v>
      </c>
      <c r="E6101" s="5" t="str">
        <f>IFERROR(VLOOKUP(A6101,'Base Prueba'!A:E,5,),"NO REGISTRA")</f>
        <v>OFICINA DE MERCADEO</v>
      </c>
    </row>
    <row r="6102" spans="1:5" ht="15.75" x14ac:dyDescent="0.25">
      <c r="A6102" s="14">
        <v>1013101788</v>
      </c>
      <c r="B6102" s="2">
        <v>46142.375773842592</v>
      </c>
      <c r="C6102" s="3" t="str">
        <f>IFERROR(VLOOKUP(A6102,'Base Prueba'!A:C,3,),"NO REGISTRA")</f>
        <v>SARA TANGARIFE MONTOYA</v>
      </c>
      <c r="D6102" s="4" t="str">
        <f>IFERROR(VLOOKUP(A6102,'Base Prueba'!A:D,4,),"NO REGISTRA")</f>
        <v>APRENDIZ UNIVERSITARIO</v>
      </c>
      <c r="E6102" s="5" t="str">
        <f>IFERROR(VLOOKUP(A6102,'Base Prueba'!A:E,5,),"NO REGISTRA")</f>
        <v>OFICINA DE MERCADEO</v>
      </c>
    </row>
    <row r="6103" spans="1:5" ht="15.75" x14ac:dyDescent="0.25">
      <c r="A6103" s="14">
        <v>52764929</v>
      </c>
      <c r="B6103" s="2">
        <v>46142.380649537037</v>
      </c>
      <c r="C6103" s="3" t="str">
        <f>IFERROR(VLOOKUP(A6103,'Base Prueba'!A:C,3,),"NO REGISTRA")</f>
        <v>GUERLY YOHANA DURAN RIVERA</v>
      </c>
      <c r="D6103" s="4" t="str">
        <f>IFERROR(VLOOKUP(A6103,'Base Prueba'!A:D,4,),"NO REGISTRA")</f>
        <v>LIDER DE VINCULACION COLEGIOS</v>
      </c>
      <c r="E6103" s="5" t="str">
        <f>IFERROR(VLOOKUP(A6103,'Base Prueba'!A:E,5,),"NO REGISTRA")</f>
        <v>OFICINA DE MERCADEO</v>
      </c>
    </row>
    <row r="6104" spans="1:5" ht="15.75" x14ac:dyDescent="0.25">
      <c r="A6104" s="14">
        <v>1018413529</v>
      </c>
      <c r="B6104" s="2">
        <v>46142.385072337966</v>
      </c>
      <c r="C6104" s="3" t="str">
        <f>IFERROR(VLOOKUP(A6104,'Base Prueba'!A:C,3,),"NO REGISTRA")</f>
        <v>FRANCY STELLA CHARRY MORENO</v>
      </c>
      <c r="D6104" s="4" t="str">
        <f>IFERROR(VLOOKUP(A6104,'Base Prueba'!A:D,4,),"NO REGISTRA")</f>
        <v>PROMOTOR COMERCIAL DEL CEA</v>
      </c>
      <c r="E6104" s="5" t="str">
        <f>IFERROR(VLOOKUP(A6104,'Base Prueba'!A:E,5,),"NO REGISTRA")</f>
        <v>OFICINA DE MERCADEO</v>
      </c>
    </row>
    <row r="6105" spans="1:5" ht="15.75" x14ac:dyDescent="0.25">
      <c r="A6105" s="14">
        <v>1016090131</v>
      </c>
      <c r="B6105" s="2">
        <v>46142.396985879626</v>
      </c>
      <c r="C6105" s="3" t="str">
        <f>IFERROR(VLOOKUP(A6105,'Base Prueba'!A:C,3,),"NO REGISTRA")</f>
        <v>NICOLAS RODRIGUEZ PACHECO</v>
      </c>
      <c r="D6105" s="4" t="str">
        <f>IFERROR(VLOOKUP(A6105,'Base Prueba'!A:D,4,),"NO REGISTRA")</f>
        <v>COORDINADOR DE COMUNICACIONES</v>
      </c>
      <c r="E6105" s="5" t="str">
        <f>IFERROR(VLOOKUP(A6105,'Base Prueba'!A:E,5,),"NO REGISTRA")</f>
        <v>OFICINA DE MERCADEO</v>
      </c>
    </row>
    <row r="6106" spans="1:5" ht="15.75" x14ac:dyDescent="0.25">
      <c r="A6106" s="14">
        <v>53089882</v>
      </c>
      <c r="B6106" s="2">
        <v>46142.398978703706</v>
      </c>
      <c r="C6106" s="3" t="str">
        <f>IFERROR(VLOOKUP(A6106,'Base Prueba'!A:C,3,),"NO REGISTRA")</f>
        <v>MARIA JOHANA ESCAMILLA MARTINEZ</v>
      </c>
      <c r="D6106" s="4" t="str">
        <f>IFERROR(VLOOKUP(A6106,'Base Prueba'!A:D,4,),"NO REGISTRA")</f>
        <v>PROMOTOR DE INFORMACIÓN</v>
      </c>
      <c r="E6106" s="5" t="str">
        <f>IFERROR(VLOOKUP(A6106,'Base Prueba'!A:E,5,),"NO REGISTRA")</f>
        <v>OFICINA DE MERCADEO</v>
      </c>
    </row>
    <row r="6107" spans="1:5" ht="15.75" x14ac:dyDescent="0.25">
      <c r="A6107" s="14">
        <v>1030567635</v>
      </c>
      <c r="B6107" s="2">
        <v>46142.413772222222</v>
      </c>
      <c r="C6107" s="3" t="str">
        <f>IFERROR(VLOOKUP(A6107,'Base Prueba'!A:C,3,),"NO REGISTRA")</f>
        <v>JEFFERSON ANDRES BARRETO DIAZ</v>
      </c>
      <c r="D6107" s="4" t="str">
        <f>IFERROR(VLOOKUP(A6107,'Base Prueba'!A:D,4,),"NO REGISTRA")</f>
        <v>AUXILIAR DE ARCHIVO</v>
      </c>
      <c r="E6107" s="5" t="str">
        <f>IFERROR(VLOOKUP(A6107,'Base Prueba'!A:E,5,),"NO REGISTRA")</f>
        <v>CENTRO DE GESTION DOCUMENTAL</v>
      </c>
    </row>
    <row r="6108" spans="1:5" ht="15.75" x14ac:dyDescent="0.25">
      <c r="A6108" s="14">
        <v>52443092</v>
      </c>
      <c r="B6108" s="2">
        <v>46142.417850810183</v>
      </c>
      <c r="C6108" s="3" t="str">
        <f>IFERROR(VLOOKUP(A6108,'Base Prueba'!A:C,3,),"NO REGISTRA")</f>
        <v>LUZ MYRIAM SAAVEDRA CONTRERAS</v>
      </c>
      <c r="D6108" s="4" t="str">
        <f>IFERROR(VLOOKUP(A6108,'Base Prueba'!A:D,4,),"NO REGISTRA")</f>
        <v>AUXILIAR DE SERVICIOS</v>
      </c>
      <c r="E6108" s="5" t="str">
        <f>IFERROR(VLOOKUP(A6108,'Base Prueba'!A:E,5,),"NO REGISTRA")</f>
        <v>LOGISTICA Y SERVICIOS GENERALES</v>
      </c>
    </row>
    <row r="6109" spans="1:5" ht="15.75" x14ac:dyDescent="0.25">
      <c r="A6109" s="14">
        <v>1033820146</v>
      </c>
      <c r="B6109" s="2">
        <v>46142.711437962964</v>
      </c>
      <c r="C6109" s="3" t="str">
        <f>IFERROR(VLOOKUP(A6109,'Base Prueba'!A:C,3,),"NO REGISTRA")</f>
        <v>JULIETH ALEXANDRA BUSTAMANTE RUIZ</v>
      </c>
      <c r="D6109" s="4" t="str">
        <f>IFERROR(VLOOKUP(A6109,'Base Prueba'!A:D,4,),"NO REGISTRA")</f>
        <v>AUXILIAR ADMINISTRATIVO</v>
      </c>
      <c r="E6109" s="5" t="str">
        <f>IFERROR(VLOOKUP(A6109,'Base Prueba'!A:E,5,),"NO REGISTRA")</f>
        <v>REGISTRO Y CONTROL ACADEMICO</v>
      </c>
    </row>
    <row r="6110" spans="1:5" ht="15.75" x14ac:dyDescent="0.25">
      <c r="A6110" s="14">
        <v>1030567635</v>
      </c>
      <c r="B6110" s="2">
        <v>46142.712796180553</v>
      </c>
      <c r="C6110" s="3" t="str">
        <f>IFERROR(VLOOKUP(A6110,'Base Prueba'!A:C,3,),"NO REGISTRA")</f>
        <v>JEFFERSON ANDRES BARRETO DIAZ</v>
      </c>
      <c r="D6110" s="4" t="str">
        <f>IFERROR(VLOOKUP(A6110,'Base Prueba'!A:D,4,),"NO REGISTRA")</f>
        <v>AUXILIAR DE ARCHIVO</v>
      </c>
      <c r="E6110" s="5" t="str">
        <f>IFERROR(VLOOKUP(A6110,'Base Prueba'!A:E,5,),"NO REGISTRA")</f>
        <v>CENTRO DE GESTION DOCUMENTAL</v>
      </c>
    </row>
    <row r="6111" spans="1:5" ht="15.75" x14ac:dyDescent="0.25">
      <c r="A6111" s="14">
        <v>1000324729</v>
      </c>
      <c r="B6111" s="2">
        <v>46142.715264351849</v>
      </c>
      <c r="C6111" s="3" t="str">
        <f>IFERROR(VLOOKUP(A6111,'Base Prueba'!A:C,3,),"NO REGISTRA")</f>
        <v>ANYIE VANESSA TINOCO CAMACHO</v>
      </c>
      <c r="D6111" s="4" t="str">
        <f>IFERROR(VLOOKUP(A6111,'Base Prueba'!A:D,4,),"NO REGISTRA")</f>
        <v>LIDER DE REGISTRO Y CONTROL</v>
      </c>
      <c r="E6111" s="5" t="str">
        <f>IFERROR(VLOOKUP(A6111,'Base Prueba'!A:E,5,),"NO REGISTRA")</f>
        <v>REGISTRO Y CONTROL ACADEMICO</v>
      </c>
    </row>
    <row r="6112" spans="1:5" ht="15.75" x14ac:dyDescent="0.25">
      <c r="A6112" s="14">
        <v>1000611958</v>
      </c>
      <c r="B6112" s="2">
        <v>46142.72137939815</v>
      </c>
      <c r="C6112" s="3" t="str">
        <f>IFERROR(VLOOKUP(A6112,'Base Prueba'!A:C,3,),"NO REGISTRA")</f>
        <v>TYLER CORRADINE  VARGAS</v>
      </c>
      <c r="D6112" s="4" t="str">
        <f>IFERROR(VLOOKUP(A6112,'Base Prueba'!A:D,4,),"NO REGISTRA")</f>
        <v>APRENDIZ UNIVERSITARIO</v>
      </c>
      <c r="E6112" s="5" t="str">
        <f>IFERROR(VLOOKUP(A6112,'Base Prueba'!A:E,5,),"NO REGISTRA")</f>
        <v>DEPARTAMENTO DE INFORMATICA Y TECNOLOGIA</v>
      </c>
    </row>
    <row r="6113" spans="1:5" ht="15.75" x14ac:dyDescent="0.25">
      <c r="A6113" s="14">
        <v>1024512067</v>
      </c>
      <c r="B6113" s="2">
        <v>46142.731160995369</v>
      </c>
      <c r="C6113" s="3" t="str">
        <f>IFERROR(VLOOKUP(A6113,'Base Prueba'!A:C,3,),"NO REGISTRA")</f>
        <v>CINDY GIOVANA SALGAR GOMEZ</v>
      </c>
      <c r="D6113" s="4" t="str">
        <f>IFERROR(VLOOKUP(A6113,'Base Prueba'!A:D,4,),"NO REGISTRA")</f>
        <v>COORDINADOR DEL SISTEMA INTEGRADO DE GESTION INSTITUCIONAL - SIGI</v>
      </c>
      <c r="E6113" s="5" t="str">
        <f>IFERROR(VLOOKUP(A6113,'Base Prueba'!A:E,5,),"NO REGISTRA")</f>
        <v>OFICINA DE PLANEACION Y GESTION DE LA CALIDAD</v>
      </c>
    </row>
    <row r="6114" spans="1:5" ht="15.75" x14ac:dyDescent="0.25">
      <c r="A6114" s="14">
        <v>1000604979</v>
      </c>
      <c r="B6114" s="2">
        <v>46142.734598495372</v>
      </c>
      <c r="C6114" s="3" t="str">
        <f>IFERROR(VLOOKUP(A6114,'Base Prueba'!A:C,3,),"NO REGISTRA")</f>
        <v>JULIETH TATIANA PARDO PINTO</v>
      </c>
      <c r="D6114" s="4" t="str">
        <f>IFERROR(VLOOKUP(A6114,'Base Prueba'!A:D,4,),"NO REGISTRA")</f>
        <v>AUXILIAR JURIDICO</v>
      </c>
      <c r="E6114" s="5" t="str">
        <f>IFERROR(VLOOKUP(A6114,'Base Prueba'!A:E,5,),"NO REGISTRA")</f>
        <v>SECRETARIA GENERAL</v>
      </c>
    </row>
    <row r="6115" spans="1:5" ht="15.75" x14ac:dyDescent="0.25">
      <c r="A6115" s="14">
        <v>52443092</v>
      </c>
      <c r="B6115" s="2">
        <v>46142.749735763886</v>
      </c>
      <c r="C6115" s="3" t="str">
        <f>IFERROR(VLOOKUP(A6115,'Base Prueba'!A:C,3,),"NO REGISTRA")</f>
        <v>LUZ MYRIAM SAAVEDRA CONTRERAS</v>
      </c>
      <c r="D6115" s="4" t="str">
        <f>IFERROR(VLOOKUP(A6115,'Base Prueba'!A:D,4,),"NO REGISTRA")</f>
        <v>AUXILIAR DE SERVICIOS</v>
      </c>
      <c r="E6115" s="5" t="str">
        <f>IFERROR(VLOOKUP(A6115,'Base Prueba'!A:E,5,),"NO REGISTRA")</f>
        <v>LOGISTICA Y SERVICIOS GENERALES</v>
      </c>
    </row>
    <row r="6116" spans="1:5" ht="15.75" x14ac:dyDescent="0.25">
      <c r="A6116" s="14">
        <v>1193457976</v>
      </c>
      <c r="B6116" s="2">
        <v>46142.75003275463</v>
      </c>
      <c r="C6116" s="3" t="str">
        <f>IFERROR(VLOOKUP(A6116,'Base Prueba'!A:C,3,),"NO REGISTRA")</f>
        <v>SEDENIS RIVAS ASPRILLA</v>
      </c>
      <c r="D6116" s="4" t="str">
        <f>IFERROR(VLOOKUP(A6116,'Base Prueba'!A:D,4,),"NO REGISTRA")</f>
        <v>APRENDIZ UNIVERSITARIO</v>
      </c>
      <c r="E6116" s="5" t="str">
        <f>IFERROR(VLOOKUP(A6116,'Base Prueba'!A:E,5,),"NO REGISTRA")</f>
        <v>DEPARTAMENTO DE GESTION HUMANA</v>
      </c>
    </row>
    <row r="6117" spans="1:5" ht="15.75" x14ac:dyDescent="0.25">
      <c r="A6117" s="14">
        <v>52225539</v>
      </c>
      <c r="B6117" s="2">
        <v>46142.750094675925</v>
      </c>
      <c r="C6117" s="3" t="str">
        <f>IFERROR(VLOOKUP(A6117,'Base Prueba'!A:C,3,),"NO REGISTRA")</f>
        <v>LISA MINELLY ZAMBRANO CONTRERAS</v>
      </c>
      <c r="D6117" s="4" t="str">
        <f>IFERROR(VLOOKUP(A6117,'Base Prueba'!A:D,4,),"NO REGISTRA")</f>
        <v>LIDER DE COMPRAS</v>
      </c>
      <c r="E6117" s="5" t="str">
        <f>IFERROR(VLOOKUP(A6117,'Base Prueba'!A:E,5,),"NO REGISTRA")</f>
        <v>VICERRECTORIA ADMINISTRATIVA Y FINANCIERA</v>
      </c>
    </row>
    <row r="6118" spans="1:5" ht="15.75" x14ac:dyDescent="0.25">
      <c r="A6118" s="14">
        <v>1000046533</v>
      </c>
      <c r="B6118" s="2">
        <v>46142.750134027781</v>
      </c>
      <c r="C6118" s="3" t="str">
        <f>IFERROR(VLOOKUP(A6118,'Base Prueba'!A:C,3,),"NO REGISTRA")</f>
        <v>ERIKA JULIETH VALDERRAMA SANCHEZ</v>
      </c>
      <c r="D6118" s="4" t="str">
        <f>IFERROR(VLOOKUP(A6118,'Base Prueba'!A:D,4,),"NO REGISTRA")</f>
        <v>PROMOTOR CALL CENTER</v>
      </c>
      <c r="E6118" s="5" t="str">
        <f>IFERROR(VLOOKUP(A6118,'Base Prueba'!A:E,5,),"NO REGISTRA")</f>
        <v>OFICINA DE MERCADEO</v>
      </c>
    </row>
    <row r="6119" spans="1:5" ht="15.75" x14ac:dyDescent="0.25">
      <c r="A6119" s="14">
        <v>1022996882</v>
      </c>
      <c r="B6119" s="2">
        <v>46142.750289004631</v>
      </c>
      <c r="C6119" s="3" t="str">
        <f>IFERROR(VLOOKUP(A6119,'Base Prueba'!A:C,3,),"NO REGISTRA")</f>
        <v>NANCY BRIGITH ALDANA GUEVARA</v>
      </c>
      <c r="D6119" s="4" t="str">
        <f>IFERROR(VLOOKUP(A6119,'Base Prueba'!A:D,4,),"NO REGISTRA")</f>
        <v>COORDINADORA DE GESTIÓN HUMANA</v>
      </c>
      <c r="E6119" s="5" t="str">
        <f>IFERROR(VLOOKUP(A6119,'Base Prueba'!A:E,5,),"NO REGISTRA")</f>
        <v>DEPARTAMENTO DE GESTION HUMANA</v>
      </c>
    </row>
    <row r="6120" spans="1:5" ht="15.75" x14ac:dyDescent="0.25">
      <c r="A6120" s="14">
        <v>1012426741</v>
      </c>
      <c r="B6120" s="2">
        <v>46142.750343634259</v>
      </c>
      <c r="C6120" s="3" t="str">
        <f>IFERROR(VLOOKUP(A6120,'Base Prueba'!A:C,3,),"NO REGISTRA")</f>
        <v>CRISTIAN FABIAN ROJAS SANCENO</v>
      </c>
      <c r="D6120" s="4" t="str">
        <f>IFERROR(VLOOKUP(A6120,'Base Prueba'!A:D,4,),"NO REGISTRA")</f>
        <v>AUXILIAR DE REINTEGROS</v>
      </c>
      <c r="E6120" s="5" t="str">
        <f>IFERROR(VLOOKUP(A6120,'Base Prueba'!A:E,5,),"NO REGISTRA")</f>
        <v>DIRECCION DE BIENESTAR INSTITUCIONAL</v>
      </c>
    </row>
    <row r="6121" spans="1:5" ht="15.75" x14ac:dyDescent="0.25">
      <c r="A6121" s="14">
        <v>80191732</v>
      </c>
      <c r="B6121" s="2">
        <v>46142.751162037035</v>
      </c>
      <c r="C6121" s="3" t="str">
        <f>IFERROR(VLOOKUP(A6121,'Base Prueba'!A:C,3,),"NO REGISTRA")</f>
        <v>DANIEL MAURICIO ZAMBRANO TUNJANO</v>
      </c>
      <c r="D6121" s="4" t="str">
        <f>IFERROR(VLOOKUP(A6121,'Base Prueba'!A:D,4,),"NO REGISTRA")</f>
        <v>COORDINADOR DE DISEÑO E IMAGEN INSTITUCIONAL</v>
      </c>
      <c r="E6121" s="5" t="str">
        <f>IFERROR(VLOOKUP(A6121,'Base Prueba'!A:E,5,),"NO REGISTRA")</f>
        <v>OFICINA DE MERCADEO</v>
      </c>
    </row>
    <row r="6122" spans="1:5" ht="15.75" x14ac:dyDescent="0.25">
      <c r="A6122" s="14">
        <v>1049644802</v>
      </c>
      <c r="B6122" s="2">
        <v>46142.751876851849</v>
      </c>
      <c r="C6122" s="3" t="str">
        <f>IFERROR(VLOOKUP(A6122,'Base Prueba'!A:C,3,),"NO REGISTRA")</f>
        <v>DANIELA ALEXANDRA CIPAMOCHA BOSIGA</v>
      </c>
      <c r="D6122" s="4" t="str">
        <f>IFERROR(VLOOKUP(A6122,'Base Prueba'!A:D,4,),"NO REGISTRA")</f>
        <v>LIDER DE DATOS Y SERVICIOS</v>
      </c>
      <c r="E6122" s="5" t="str">
        <f>IFERROR(VLOOKUP(A6122,'Base Prueba'!A:E,5,),"NO REGISTRA")</f>
        <v>OFICINA DE PLANEACION Y GESTION DE LA CALIDAD</v>
      </c>
    </row>
    <row r="6123" spans="1:5" ht="15.75" x14ac:dyDescent="0.25">
      <c r="A6123" s="14">
        <v>1013098430</v>
      </c>
      <c r="B6123" s="2">
        <v>46142.7524849537</v>
      </c>
      <c r="C6123" s="3" t="str">
        <f>IFERROR(VLOOKUP(A6123,'Base Prueba'!A:C,3,),"NO REGISTRA")</f>
        <v>ANDRES FELIPE LOPEZ ROMERO</v>
      </c>
      <c r="D6123" s="4" t="str">
        <f>IFERROR(VLOOKUP(A6123,'Base Prueba'!A:D,4,),"NO REGISTRA")</f>
        <v>APRENDIZ UNIVERSITARIO</v>
      </c>
      <c r="E6123" s="5" t="str">
        <f>IFERROR(VLOOKUP(A6123,'Base Prueba'!A:E,5,),"NO REGISTRA")</f>
        <v>OFICINA DE MERCADEO</v>
      </c>
    </row>
    <row r="6124" spans="1:5" ht="15.75" x14ac:dyDescent="0.25">
      <c r="A6124" s="14">
        <v>1013101788</v>
      </c>
      <c r="B6124" s="2">
        <v>46142.752507291669</v>
      </c>
      <c r="C6124" s="3" t="str">
        <f>IFERROR(VLOOKUP(A6124,'Base Prueba'!A:C,3,),"NO REGISTRA")</f>
        <v>SARA TANGARIFE MONTOYA</v>
      </c>
      <c r="D6124" s="4" t="str">
        <f>IFERROR(VLOOKUP(A6124,'Base Prueba'!A:D,4,),"NO REGISTRA")</f>
        <v>APRENDIZ UNIVERSITARIO</v>
      </c>
      <c r="E6124" s="5" t="str">
        <f>IFERROR(VLOOKUP(A6124,'Base Prueba'!A:E,5,),"NO REGISTRA")</f>
        <v>OFICINA DE MERCADEO</v>
      </c>
    </row>
    <row r="6125" spans="1:5" ht="15.75" x14ac:dyDescent="0.25">
      <c r="A6125" s="14">
        <v>1000992568</v>
      </c>
      <c r="B6125" s="2">
        <v>46142.752731018518</v>
      </c>
      <c r="C6125" s="3" t="str">
        <f>IFERROR(VLOOKUP(A6125,'Base Prueba'!A:C,3,),"NO REGISTRA")</f>
        <v>KAREN BRIGITTE DALEMAN MORENO</v>
      </c>
      <c r="D6125" s="4" t="str">
        <f>IFERROR(VLOOKUP(A6125,'Base Prueba'!A:D,4,),"NO REGISTRA")</f>
        <v>RECEPCIONISTA</v>
      </c>
      <c r="E6125" s="5" t="str">
        <f>IFERROR(VLOOKUP(A6125,'Base Prueba'!A:E,5,),"NO REGISTRA")</f>
        <v>CENTRO DE GESTION DOCUMENTAL</v>
      </c>
    </row>
    <row r="6126" spans="1:5" ht="15.75" x14ac:dyDescent="0.25">
      <c r="A6126" s="14">
        <v>1087121273</v>
      </c>
      <c r="B6126" s="2">
        <v>46142.754632986114</v>
      </c>
      <c r="C6126" s="3" t="str">
        <f>IFERROR(VLOOKUP(A6126,'Base Prueba'!A:C,3,),"NO REGISTRA")</f>
        <v>MAYRA ALEJANDRA CASTILLO ARBOLEDA</v>
      </c>
      <c r="D6126" s="4" t="str">
        <f>IFERROR(VLOOKUP(A6126,'Base Prueba'!A:D,4,),"NO REGISTRA")</f>
        <v>APOYO INTEGRAL DE MERCADEO</v>
      </c>
      <c r="E6126" s="5" t="str">
        <f>IFERROR(VLOOKUP(A6126,'Base Prueba'!A:E,5,),"NO REGISTRA")</f>
        <v>CENTRO DE GESTION DOCUMENTAL</v>
      </c>
    </row>
    <row r="6127" spans="1:5" ht="15.75" x14ac:dyDescent="0.25">
      <c r="A6127" s="14">
        <v>1023883232</v>
      </c>
      <c r="B6127" s="2">
        <v>46142.754689814814</v>
      </c>
      <c r="C6127" s="3" t="str">
        <f>IFERROR(VLOOKUP(A6127,'Base Prueba'!A:C,3,),"NO REGISTRA")</f>
        <v>MONICA ANDREA ACERO URBANO</v>
      </c>
      <c r="D6127" s="4" t="str">
        <f>IFERROR(VLOOKUP(A6127,'Base Prueba'!A:D,4,),"NO REGISTRA")</f>
        <v>APOYO INTEGRAL A GESTION HUMANA</v>
      </c>
      <c r="E6127" s="5" t="str">
        <f>IFERROR(VLOOKUP(A6127,'Base Prueba'!A:E,5,),"NO REGISTRA")</f>
        <v>DEPARTAMENTO DE GESTION HUMANA</v>
      </c>
    </row>
    <row r="6128" spans="1:5" ht="15.75" x14ac:dyDescent="0.25">
      <c r="A6128" s="14">
        <v>1014266838</v>
      </c>
      <c r="B6128" s="2">
        <v>46142.758981250001</v>
      </c>
      <c r="C6128" s="3" t="str">
        <f>IFERROR(VLOOKUP(A6128,'Base Prueba'!A:C,3,),"NO REGISTRA")</f>
        <v>JENNIFER ASTRID ROMERO HURTADO</v>
      </c>
      <c r="D6128" s="4" t="str">
        <f>IFERROR(VLOOKUP(A6128,'Base Prueba'!A:D,4,),"NO REGISTRA")</f>
        <v>LIDER DE RECAUDO</v>
      </c>
      <c r="E6128" s="5" t="str">
        <f>IFERROR(VLOOKUP(A6128,'Base Prueba'!A:E,5,),"NO REGISTRA")</f>
        <v>AREA FINANCIERA Y CONTABLE</v>
      </c>
    </row>
    <row r="6129" spans="1:5" ht="15.75" x14ac:dyDescent="0.25">
      <c r="A6129" s="14">
        <v>1000457706</v>
      </c>
      <c r="B6129" s="2">
        <v>46142.75931296296</v>
      </c>
      <c r="C6129" s="3" t="str">
        <f>IFERROR(VLOOKUP(A6129,'Base Prueba'!A:C,3,),"NO REGISTRA")</f>
        <v>CRISTIAN DANILO ARROYO SANABRIA</v>
      </c>
      <c r="D6129" s="4" t="str">
        <f>IFERROR(VLOOKUP(A6129,'Base Prueba'!A:D,4,),"NO REGISTRA")</f>
        <v>AUXILIAR CONTABLE</v>
      </c>
      <c r="E6129" s="5" t="str">
        <f>IFERROR(VLOOKUP(A6129,'Base Prueba'!A:E,5,),"NO REGISTRA")</f>
        <v>AREA FINANCIERA Y CONTABLE</v>
      </c>
    </row>
    <row r="6130" spans="1:5" ht="15.75" x14ac:dyDescent="0.25">
      <c r="A6130" s="14">
        <v>1032407386</v>
      </c>
      <c r="B6130" s="2">
        <v>46142.759852199073</v>
      </c>
      <c r="C6130" s="3" t="str">
        <f>IFERROR(VLOOKUP(A6130,'Base Prueba'!A:C,3,),"NO REGISTRA")</f>
        <v>GINA PAOLA BAEZ GALVIS</v>
      </c>
      <c r="D6130" s="4" t="str">
        <f>IFERROR(VLOOKUP(A6130,'Base Prueba'!A:D,4,),"NO REGISTRA")</f>
        <v>PROMOTOR CALL CENTER</v>
      </c>
      <c r="E6130" s="5" t="str">
        <f>IFERROR(VLOOKUP(A6130,'Base Prueba'!A:E,5,),"NO REGISTRA")</f>
        <v>OFICINA DE MERCADEO</v>
      </c>
    </row>
    <row r="6131" spans="1:5" ht="15.75" x14ac:dyDescent="0.25">
      <c r="A6131" s="14">
        <v>28798349</v>
      </c>
      <c r="B6131" s="2">
        <v>46142.75997835648</v>
      </c>
      <c r="C6131" s="3" t="str">
        <f>IFERROR(VLOOKUP(A6131,'Base Prueba'!A:C,3,),"NO REGISTRA")</f>
        <v>MARTHA ISABEL TOVAR WILLIAMS</v>
      </c>
      <c r="D6131" s="4" t="str">
        <f>IFERROR(VLOOKUP(A6131,'Base Prueba'!A:D,4,),"NO REGISTRA")</f>
        <v>PROMOTOR CALL CENTER</v>
      </c>
      <c r="E6131" s="5" t="str">
        <f>IFERROR(VLOOKUP(A6131,'Base Prueba'!A:E,5,),"NO REGISTRA")</f>
        <v>OFICINA DE MERCADEO</v>
      </c>
    </row>
    <row r="6132" spans="1:5" ht="15.75" x14ac:dyDescent="0.25">
      <c r="A6132" s="14">
        <v>1023961952</v>
      </c>
      <c r="B6132" s="2">
        <v>46142.760005555552</v>
      </c>
      <c r="C6132" s="3" t="str">
        <f>IFERROR(VLOOKUP(A6132,'Base Prueba'!A:C,3,),"NO REGISTRA")</f>
        <v>ALEJANDRO PINZON MERCHAN</v>
      </c>
      <c r="D6132" s="4" t="str">
        <f>IFERROR(VLOOKUP(A6132,'Base Prueba'!A:D,4,),"NO REGISTRA")</f>
        <v>PROMOTOR CALL CENTER</v>
      </c>
      <c r="E6132" s="5" t="str">
        <f>IFERROR(VLOOKUP(A6132,'Base Prueba'!A:E,5,),"NO REGISTRA")</f>
        <v>OFICINA DE MERCADEO</v>
      </c>
    </row>
    <row r="6133" spans="1:5" ht="15.75" x14ac:dyDescent="0.25">
      <c r="A6133" s="14">
        <v>1000257136</v>
      </c>
      <c r="B6133" s="2">
        <v>46142.76033715278</v>
      </c>
      <c r="C6133" s="3" t="str">
        <f>IFERROR(VLOOKUP(A6133,'Base Prueba'!A:C,3,),"NO REGISTRA")</f>
        <v>FRANCI VALENTINA CANO PUENTES</v>
      </c>
      <c r="D6133" s="4" t="str">
        <f>IFERROR(VLOOKUP(A6133,'Base Prueba'!A:D,4,),"NO REGISTRA")</f>
        <v>AUXILIAR CONTABLE</v>
      </c>
      <c r="E6133" s="5" t="str">
        <f>IFERROR(VLOOKUP(A6133,'Base Prueba'!A:E,5,),"NO REGISTRA")</f>
        <v>AREA FINANCIERA Y CONTABLE</v>
      </c>
    </row>
    <row r="6134" spans="1:5" ht="15.75" x14ac:dyDescent="0.25">
      <c r="A6134" s="14">
        <v>1033709056</v>
      </c>
      <c r="B6134" s="2">
        <v>46142.764297685186</v>
      </c>
      <c r="C6134" s="3" t="str">
        <f>IFERROR(VLOOKUP(A6134,'Base Prueba'!A:C,3,),"NO REGISTRA")</f>
        <v>YEIMY ALEXANDRA RODRIGUEZ PALACIO</v>
      </c>
      <c r="D6134" s="4" t="str">
        <f>IFERROR(VLOOKUP(A6134,'Base Prueba'!A:D,4,),"NO REGISTRA")</f>
        <v>PROMOTOR CALL CENTER</v>
      </c>
      <c r="E6134" s="5" t="str">
        <f>IFERROR(VLOOKUP(A6134,'Base Prueba'!A:E,5,),"NO REGISTRA")</f>
        <v>OFICINA DE MERCADEO</v>
      </c>
    </row>
    <row r="6135" spans="1:5" ht="15.75" x14ac:dyDescent="0.25">
      <c r="A6135" s="14">
        <v>1019105003</v>
      </c>
      <c r="B6135" s="2">
        <v>46142.76437060185</v>
      </c>
      <c r="C6135" s="3" t="str">
        <f>IFERROR(VLOOKUP(A6135,'Base Prueba'!A:C,3,),"NO REGISTRA")</f>
        <v>DAISY JULIETH GASPAR MORENO</v>
      </c>
      <c r="D6135" s="4" t="str">
        <f>IFERROR(VLOOKUP(A6135,'Base Prueba'!A:D,4,),"NO REGISTRA")</f>
        <v>PROMOTOR CALL CENTER</v>
      </c>
      <c r="E6135" s="5" t="str">
        <f>IFERROR(VLOOKUP(A6135,'Base Prueba'!A:E,5,),"NO REGISTRA")</f>
        <v>OFICINA DE MERCADEO</v>
      </c>
    </row>
    <row r="6136" spans="1:5" ht="15.75" x14ac:dyDescent="0.25">
      <c r="A6136" s="14">
        <v>1018413529</v>
      </c>
      <c r="B6136" s="2">
        <v>46142.764421643522</v>
      </c>
      <c r="C6136" s="3" t="str">
        <f>IFERROR(VLOOKUP(A6136,'Base Prueba'!A:C,3,),"NO REGISTRA")</f>
        <v>FRANCY STELLA CHARRY MORENO</v>
      </c>
      <c r="D6136" s="4" t="str">
        <f>IFERROR(VLOOKUP(A6136,'Base Prueba'!A:D,4,),"NO REGISTRA")</f>
        <v>PROMOTOR COMERCIAL DEL CEA</v>
      </c>
      <c r="E6136" s="5" t="str">
        <f>IFERROR(VLOOKUP(A6136,'Base Prueba'!A:E,5,),"NO REGISTRA")</f>
        <v>OFICINA DE MERCADEO</v>
      </c>
    </row>
    <row r="6137" spans="1:5" ht="15.75" x14ac:dyDescent="0.25">
      <c r="A6137" s="14">
        <v>53089882</v>
      </c>
      <c r="B6137" s="2">
        <v>46142.764586805555</v>
      </c>
      <c r="C6137" s="3" t="str">
        <f>IFERROR(VLOOKUP(A6137,'Base Prueba'!A:C,3,),"NO REGISTRA")</f>
        <v>MARIA JOHANA ESCAMILLA MARTINEZ</v>
      </c>
      <c r="D6137" s="4" t="str">
        <f>IFERROR(VLOOKUP(A6137,'Base Prueba'!A:D,4,),"NO REGISTRA")</f>
        <v>PROMOTOR DE INFORMACIÓN</v>
      </c>
      <c r="E6137" s="5" t="str">
        <f>IFERROR(VLOOKUP(A6137,'Base Prueba'!A:E,5,),"NO REGISTRA")</f>
        <v>OFICINA DE MERCADEO</v>
      </c>
    </row>
    <row r="6138" spans="1:5" ht="15.75" x14ac:dyDescent="0.25">
      <c r="A6138" s="14">
        <v>1013616244</v>
      </c>
      <c r="B6138" s="2">
        <v>46142.768561921293</v>
      </c>
      <c r="C6138" s="3" t="str">
        <f>IFERROR(VLOOKUP(A6138,'Base Prueba'!A:C,3,),"NO REGISTRA")</f>
        <v>DIANA CAROLINA MARIN BETANCOURT</v>
      </c>
      <c r="D6138" s="4" t="str">
        <f>IFERROR(VLOOKUP(A6138,'Base Prueba'!A:D,4,),"NO REGISTRA")</f>
        <v>AUXILIAR ADMINISTRATIVO</v>
      </c>
      <c r="E6138" s="5" t="str">
        <f>IFERROR(VLOOKUP(A6138,'Base Prueba'!A:E,5,),"NO REGISTRA")</f>
        <v>REGISTRO Y CONTROL ACADEMICO</v>
      </c>
    </row>
    <row r="6139" spans="1:5" ht="15.75" x14ac:dyDescent="0.25">
      <c r="A6139" s="14">
        <v>53932358</v>
      </c>
      <c r="B6139" s="2">
        <v>46142.769074189811</v>
      </c>
      <c r="C6139" s="3" t="str">
        <f>IFERROR(VLOOKUP(A6139,'Base Prueba'!A:C,3,),"NO REGISTRA")</f>
        <v>DIANA MADELEYNE GAONA RODRIGUEZ</v>
      </c>
      <c r="D6139" s="4" t="str">
        <f>IFERROR(VLOOKUP(A6139,'Base Prueba'!A:D,4,),"NO REGISTRA")</f>
        <v>CONTADOR</v>
      </c>
      <c r="E6139" s="5" t="str">
        <f>IFERROR(VLOOKUP(A6139,'Base Prueba'!A:E,5,),"NO REGISTRA")</f>
        <v>AREA FINANCIERA Y CONTABLE</v>
      </c>
    </row>
    <row r="6140" spans="1:5" ht="15.75" x14ac:dyDescent="0.25">
      <c r="A6140" s="14">
        <v>52474489</v>
      </c>
      <c r="B6140" s="2">
        <v>46142.771327893519</v>
      </c>
      <c r="C6140" s="3" t="str">
        <f>IFERROR(VLOOKUP(A6140,'Base Prueba'!A:C,3,),"NO REGISTRA")</f>
        <v>ADRIANA JIMENA SOTO BOCANEGRA</v>
      </c>
      <c r="D6140" s="4" t="str">
        <f>IFERROR(VLOOKUP(A6140,'Base Prueba'!A:D,4,),"NO REGISTRA")</f>
        <v>COORDINADOR DE LA OFICINA DE REGISTRO Y CONTROL</v>
      </c>
      <c r="E6140" s="5" t="str">
        <f>IFERROR(VLOOKUP(A6140,'Base Prueba'!A:E,5,),"NO REGISTRA")</f>
        <v>REGISTRO Y CONTROL ACADEMICO</v>
      </c>
    </row>
    <row r="6141" spans="1:5" ht="15.75" x14ac:dyDescent="0.25">
      <c r="A6141" s="14">
        <v>52472386</v>
      </c>
      <c r="B6141" s="2">
        <v>46142.777974884259</v>
      </c>
      <c r="C6141" s="3" t="str">
        <f>IFERROR(VLOOKUP(A6141,'Base Prueba'!A:C,3,),"NO REGISTRA")</f>
        <v>ADRIANA MARCELA MORALES PARDO</v>
      </c>
      <c r="D6141" s="4" t="str">
        <f>IFERROR(VLOOKUP(A6141,'Base Prueba'!A:D,4,),"NO REGISTRA")</f>
        <v>PROMOTOR CALL CENTER</v>
      </c>
      <c r="E6141" s="5" t="str">
        <f>IFERROR(VLOOKUP(A6141,'Base Prueba'!A:E,5,),"NO REGISTRA")</f>
        <v>OFICINA DE MERCADEO</v>
      </c>
    </row>
    <row r="6142" spans="1:5" ht="15.75" x14ac:dyDescent="0.25">
      <c r="A6142" s="14">
        <v>1014196857</v>
      </c>
      <c r="B6142" s="2">
        <v>46142.778440509261</v>
      </c>
      <c r="C6142" s="3" t="str">
        <f>IFERROR(VLOOKUP(A6142,'Base Prueba'!A:C,3,),"NO REGISTRA")</f>
        <v>CARLOS ANDRES JIMENEZ PARDO</v>
      </c>
      <c r="D6142" s="4" t="str">
        <f>IFERROR(VLOOKUP(A6142,'Base Prueba'!A:D,4,),"NO REGISTRA")</f>
        <v>COORDINADOR DE MARKETING DIGITAL</v>
      </c>
      <c r="E6142" s="5" t="str">
        <f>IFERROR(VLOOKUP(A6142,'Base Prueba'!A:E,5,),"NO REGISTRA")</f>
        <v>OFICINA DE MERCADEO</v>
      </c>
    </row>
    <row r="6143" spans="1:5" ht="15.75" x14ac:dyDescent="0.25">
      <c r="A6143" s="14">
        <v>52764929</v>
      </c>
      <c r="B6143" s="2">
        <v>46142.778694560184</v>
      </c>
      <c r="C6143" s="3" t="str">
        <f>IFERROR(VLOOKUP(A6143,'Base Prueba'!A:C,3,),"NO REGISTRA")</f>
        <v>GUERLY YOHANA DURAN RIVERA</v>
      </c>
      <c r="D6143" s="4" t="str">
        <f>IFERROR(VLOOKUP(A6143,'Base Prueba'!A:D,4,),"NO REGISTRA")</f>
        <v>LIDER DE VINCULACION COLEGIOS</v>
      </c>
      <c r="E6143" s="5" t="str">
        <f>IFERROR(VLOOKUP(A6143,'Base Prueba'!A:E,5,),"NO REGISTRA")</f>
        <v>OFICINA DE MERCADEO</v>
      </c>
    </row>
    <row r="6144" spans="1:5" ht="15.75" x14ac:dyDescent="0.25">
      <c r="A6144" s="14">
        <v>1032469638</v>
      </c>
      <c r="B6144" s="2">
        <v>46142.783264467595</v>
      </c>
      <c r="C6144" s="3" t="str">
        <f>IFERROR(VLOOKUP(A6144,'Base Prueba'!A:C,3,),"NO REGISTRA")</f>
        <v>MAICOL JARBEY GUALTEROS CASTAÑEDA</v>
      </c>
      <c r="D6144" s="4" t="str">
        <f>IFERROR(VLOOKUP(A6144,'Base Prueba'!A:D,4,),"NO REGISTRA")</f>
        <v>COORDINADOR DEL SISTEMA INTERNO DE ASEGURAMIENTO DE LA CALIDAD - SIAC</v>
      </c>
      <c r="E6144" s="5" t="str">
        <f>IFERROR(VLOOKUP(A6144,'Base Prueba'!A:E,5,),"NO REGISTRA")</f>
        <v>OFICINA DE PLANEACION Y GESTION DE LA CALIDAD</v>
      </c>
    </row>
    <row r="6145" spans="1:5" ht="15.75" x14ac:dyDescent="0.25">
      <c r="A6145" s="14">
        <v>80234243</v>
      </c>
      <c r="B6145" s="2">
        <v>46142.784219444446</v>
      </c>
      <c r="C6145" s="3" t="str">
        <f>IFERROR(VLOOKUP(A6145,'Base Prueba'!A:C,3,),"NO REGISTRA")</f>
        <v>ARGENIS MARTINEZ MARTINEZ</v>
      </c>
      <c r="D6145" s="4" t="str">
        <f>IFERROR(VLOOKUP(A6145,'Base Prueba'!A:D,4,),"NO REGISTRA")</f>
        <v>LIDER CALL CENTER</v>
      </c>
      <c r="E6145" s="5" t="str">
        <f>IFERROR(VLOOKUP(A6145,'Base Prueba'!A:E,5,),"NO REGISTRA")</f>
        <v>OFICINA DE MERCADEO</v>
      </c>
    </row>
    <row r="6146" spans="1:5" ht="15.75" x14ac:dyDescent="0.25">
      <c r="A6146" s="14">
        <v>1020716152</v>
      </c>
      <c r="B6146" s="2">
        <v>46144.297840624997</v>
      </c>
      <c r="C6146" s="3" t="str">
        <f>IFERROR(VLOOKUP(A6146,'Base Prueba'!A:C,3,),"NO REGISTRA")</f>
        <v>JORGE ARMANDO JURADO PERALTA</v>
      </c>
      <c r="D6146" s="4" t="str">
        <f>IFERROR(VLOOKUP(A6146,'Base Prueba'!A:D,4,),"NO REGISTRA")</f>
        <v>DOCENTE DE TIEMPO COMPLETO</v>
      </c>
      <c r="E6146" s="5" t="str">
        <f>IFERROR(VLOOKUP(A6146,'Base Prueba'!A:E,5,),"NO REGISTRA")</f>
        <v>CIENCIAS DE LA INFORMACION Y BIBLIOTECOLOGIA</v>
      </c>
    </row>
    <row r="6147" spans="1:5" ht="15.75" x14ac:dyDescent="0.25">
      <c r="A6147" s="14">
        <v>1000324729</v>
      </c>
      <c r="B6147" s="2">
        <v>46144.356203587966</v>
      </c>
      <c r="C6147" s="3" t="str">
        <f>IFERROR(VLOOKUP(A6147,'Base Prueba'!A:C,3,),"NO REGISTRA")</f>
        <v>ANYIE VANESSA TINOCO CAMACHO</v>
      </c>
      <c r="D6147" s="4" t="str">
        <f>IFERROR(VLOOKUP(A6147,'Base Prueba'!A:D,4,),"NO REGISTRA")</f>
        <v>LIDER DE REGISTRO Y CONTROL</v>
      </c>
      <c r="E6147" s="5" t="str">
        <f>IFERROR(VLOOKUP(A6147,'Base Prueba'!A:E,5,),"NO REGISTRA")</f>
        <v>REGISTRO Y CONTROL ACADEMICO</v>
      </c>
    </row>
    <row r="6148" spans="1:5" ht="15.75" x14ac:dyDescent="0.25">
      <c r="A6148" s="14">
        <v>1000257136</v>
      </c>
      <c r="B6148" s="2">
        <v>46144.361729398152</v>
      </c>
      <c r="C6148" s="3" t="str">
        <f>IFERROR(VLOOKUP(A6148,'Base Prueba'!A:C,3,),"NO REGISTRA")</f>
        <v>FRANCI VALENTINA CANO PUENTES</v>
      </c>
      <c r="D6148" s="4" t="str">
        <f>IFERROR(VLOOKUP(A6148,'Base Prueba'!A:D,4,),"NO REGISTRA")</f>
        <v>AUXILIAR CONTABLE</v>
      </c>
      <c r="E6148" s="5" t="str">
        <f>IFERROR(VLOOKUP(A6148,'Base Prueba'!A:E,5,),"NO REGISTRA")</f>
        <v>AREA FINANCIERA Y CONTABLE</v>
      </c>
    </row>
    <row r="6149" spans="1:5" ht="15.75" x14ac:dyDescent="0.25">
      <c r="A6149" s="14">
        <v>1000992568</v>
      </c>
      <c r="B6149" s="2">
        <v>46144.364033796293</v>
      </c>
      <c r="C6149" s="3" t="str">
        <f>IFERROR(VLOOKUP(A6149,'Base Prueba'!A:C,3,),"NO REGISTRA")</f>
        <v>KAREN BRIGITTE DALEMAN MORENO</v>
      </c>
      <c r="D6149" s="4" t="str">
        <f>IFERROR(VLOOKUP(A6149,'Base Prueba'!A:D,4,),"NO REGISTRA")</f>
        <v>RECEPCIONISTA</v>
      </c>
      <c r="E6149" s="5" t="str">
        <f>IFERROR(VLOOKUP(A6149,'Base Prueba'!A:E,5,),"NO REGISTRA")</f>
        <v>CENTRO DE GESTION DOCUMENTAL</v>
      </c>
    </row>
    <row r="6150" spans="1:5" ht="15.75" x14ac:dyDescent="0.25">
      <c r="A6150" s="14">
        <v>1013101788</v>
      </c>
      <c r="B6150" s="2">
        <v>46144.36988888889</v>
      </c>
      <c r="C6150" s="3" t="str">
        <f>IFERROR(VLOOKUP(A6150,'Base Prueba'!A:C,3,),"NO REGISTRA")</f>
        <v>SARA TANGARIFE MONTOYA</v>
      </c>
      <c r="D6150" s="4" t="str">
        <f>IFERROR(VLOOKUP(A6150,'Base Prueba'!A:D,4,),"NO REGISTRA")</f>
        <v>APRENDIZ UNIVERSITARIO</v>
      </c>
      <c r="E6150" s="5" t="str">
        <f>IFERROR(VLOOKUP(A6150,'Base Prueba'!A:E,5,),"NO REGISTRA")</f>
        <v>OFICINA DE MERCADEO</v>
      </c>
    </row>
    <row r="6151" spans="1:5" ht="15.75" x14ac:dyDescent="0.25">
      <c r="A6151" s="14">
        <v>1033820146</v>
      </c>
      <c r="B6151" s="2">
        <v>46144.371480902781</v>
      </c>
      <c r="C6151" s="3" t="str">
        <f>IFERROR(VLOOKUP(A6151,'Base Prueba'!A:C,3,),"NO REGISTRA")</f>
        <v>JULIETH ALEXANDRA BUSTAMANTE RUIZ</v>
      </c>
      <c r="D6151" s="4" t="str">
        <f>IFERROR(VLOOKUP(A6151,'Base Prueba'!A:D,4,),"NO REGISTRA")</f>
        <v>AUXILIAR ADMINISTRATIVO</v>
      </c>
      <c r="E6151" s="5" t="str">
        <f>IFERROR(VLOOKUP(A6151,'Base Prueba'!A:E,5,),"NO REGISTRA")</f>
        <v>REGISTRO Y CONTROL ACADEMICO</v>
      </c>
    </row>
    <row r="6152" spans="1:5" ht="15.75" x14ac:dyDescent="0.25">
      <c r="A6152" s="14">
        <v>1087121273</v>
      </c>
      <c r="B6152" s="2">
        <v>46144.372260879631</v>
      </c>
      <c r="C6152" s="3" t="str">
        <f>IFERROR(VLOOKUP(A6152,'Base Prueba'!A:C,3,),"NO REGISTRA")</f>
        <v>MAYRA ALEJANDRA CASTILLO ARBOLEDA</v>
      </c>
      <c r="D6152" s="4" t="str">
        <f>IFERROR(VLOOKUP(A6152,'Base Prueba'!A:D,4,),"NO REGISTRA")</f>
        <v>APOYO INTEGRAL DE MERCADEO</v>
      </c>
      <c r="E6152" s="5" t="str">
        <f>IFERROR(VLOOKUP(A6152,'Base Prueba'!A:E,5,),"NO REGISTRA")</f>
        <v>CENTRO DE GESTION DOCUMENTAL</v>
      </c>
    </row>
    <row r="6153" spans="1:5" ht="15.75" x14ac:dyDescent="0.25">
      <c r="A6153" s="14">
        <v>1000046533</v>
      </c>
      <c r="B6153" s="2">
        <v>46144.377296296298</v>
      </c>
      <c r="C6153" s="3" t="str">
        <f>IFERROR(VLOOKUP(A6153,'Base Prueba'!A:C,3,),"NO REGISTRA")</f>
        <v>ERIKA JULIETH VALDERRAMA SANCHEZ</v>
      </c>
      <c r="D6153" s="4" t="str">
        <f>IFERROR(VLOOKUP(A6153,'Base Prueba'!A:D,4,),"NO REGISTRA")</f>
        <v>PROMOTOR CALL CENTER</v>
      </c>
      <c r="E6153" s="5" t="str">
        <f>IFERROR(VLOOKUP(A6153,'Base Prueba'!A:E,5,),"NO REGISTRA")</f>
        <v>OFICINA DE MERCADEO</v>
      </c>
    </row>
    <row r="6154" spans="1:5" ht="15.75" x14ac:dyDescent="0.25">
      <c r="A6154" s="14">
        <v>1012426741</v>
      </c>
      <c r="B6154" s="2">
        <v>46144.379835879627</v>
      </c>
      <c r="C6154" s="3" t="str">
        <f>IFERROR(VLOOKUP(A6154,'Base Prueba'!A:C,3,),"NO REGISTRA")</f>
        <v>CRISTIAN FABIAN ROJAS SANCENO</v>
      </c>
      <c r="D6154" s="4" t="str">
        <f>IFERROR(VLOOKUP(A6154,'Base Prueba'!A:D,4,),"NO REGISTRA")</f>
        <v>AUXILIAR DE REINTEGROS</v>
      </c>
      <c r="E6154" s="5" t="str">
        <f>IFERROR(VLOOKUP(A6154,'Base Prueba'!A:E,5,),"NO REGISTRA")</f>
        <v>DIRECCION DE BIENESTAR INSTITUCIONAL</v>
      </c>
    </row>
    <row r="6155" spans="1:5" ht="15.75" x14ac:dyDescent="0.25">
      <c r="A6155" s="14">
        <v>1013098430</v>
      </c>
      <c r="B6155" s="2">
        <v>46144.379939004626</v>
      </c>
      <c r="C6155" s="3" t="str">
        <f>IFERROR(VLOOKUP(A6155,'Base Prueba'!A:C,3,),"NO REGISTRA")</f>
        <v>ANDRES FELIPE LOPEZ ROMERO</v>
      </c>
      <c r="D6155" s="4" t="str">
        <f>IFERROR(VLOOKUP(A6155,'Base Prueba'!A:D,4,),"NO REGISTRA")</f>
        <v>APRENDIZ UNIVERSITARIO</v>
      </c>
      <c r="E6155" s="5" t="str">
        <f>IFERROR(VLOOKUP(A6155,'Base Prueba'!A:E,5,),"NO REGISTRA")</f>
        <v>OFICINA DE MERCADEO</v>
      </c>
    </row>
    <row r="6156" spans="1:5" ht="15.75" x14ac:dyDescent="0.25">
      <c r="A6156" s="14">
        <v>52764929</v>
      </c>
      <c r="B6156" s="2">
        <v>46144.391973495367</v>
      </c>
      <c r="C6156" s="3" t="str">
        <f>IFERROR(VLOOKUP(A6156,'Base Prueba'!A:C,3,),"NO REGISTRA")</f>
        <v>GUERLY YOHANA DURAN RIVERA</v>
      </c>
      <c r="D6156" s="4" t="str">
        <f>IFERROR(VLOOKUP(A6156,'Base Prueba'!A:D,4,),"NO REGISTRA")</f>
        <v>LIDER DE VINCULACION COLEGIOS</v>
      </c>
      <c r="E6156" s="5" t="str">
        <f>IFERROR(VLOOKUP(A6156,'Base Prueba'!A:E,5,),"NO REGISTRA")</f>
        <v>OFICINA DE MERCADEO</v>
      </c>
    </row>
    <row r="6157" spans="1:5" ht="15.75" x14ac:dyDescent="0.25">
      <c r="A6157" s="14">
        <v>1016090131</v>
      </c>
      <c r="B6157" s="2">
        <v>46144.472668518516</v>
      </c>
      <c r="C6157" s="3" t="str">
        <f>IFERROR(VLOOKUP(A6157,'Base Prueba'!A:C,3,),"NO REGISTRA")</f>
        <v>NICOLAS RODRIGUEZ PACHECO</v>
      </c>
      <c r="D6157" s="4" t="str">
        <f>IFERROR(VLOOKUP(A6157,'Base Prueba'!A:D,4,),"NO REGISTRA")</f>
        <v>COORDINADOR DE COMUNICACIONES</v>
      </c>
      <c r="E6157" s="5" t="str">
        <f>IFERROR(VLOOKUP(A6157,'Base Prueba'!A:E,5,),"NO REGISTRA")</f>
        <v>OFICINA DE MERCADEO</v>
      </c>
    </row>
    <row r="6158" spans="1:5" ht="15.75" x14ac:dyDescent="0.25">
      <c r="A6158" s="14">
        <v>1012426741</v>
      </c>
      <c r="B6158" s="2">
        <v>46144.500655902775</v>
      </c>
      <c r="C6158" s="3" t="str">
        <f>IFERROR(VLOOKUP(A6158,'Base Prueba'!A:C,3,),"NO REGISTRA")</f>
        <v>CRISTIAN FABIAN ROJAS SANCENO</v>
      </c>
      <c r="D6158" s="4" t="str">
        <f>IFERROR(VLOOKUP(A6158,'Base Prueba'!A:D,4,),"NO REGISTRA")</f>
        <v>AUXILIAR DE REINTEGROS</v>
      </c>
      <c r="E6158" s="5" t="str">
        <f>IFERROR(VLOOKUP(A6158,'Base Prueba'!A:E,5,),"NO REGISTRA")</f>
        <v>DIRECCION DE BIENESTAR INSTITUCIONAL</v>
      </c>
    </row>
    <row r="6159" spans="1:5" ht="15.75" x14ac:dyDescent="0.25">
      <c r="A6159" s="14">
        <v>52443092</v>
      </c>
      <c r="B6159" s="2">
        <v>46144.50139247685</v>
      </c>
      <c r="C6159" s="3" t="str">
        <f>IFERROR(VLOOKUP(A6159,'Base Prueba'!A:C,3,),"NO REGISTRA")</f>
        <v>LUZ MYRIAM SAAVEDRA CONTRERAS</v>
      </c>
      <c r="D6159" s="4" t="str">
        <f>IFERROR(VLOOKUP(A6159,'Base Prueba'!A:D,4,),"NO REGISTRA")</f>
        <v>AUXILIAR DE SERVICIOS</v>
      </c>
      <c r="E6159" s="5" t="str">
        <f>IFERROR(VLOOKUP(A6159,'Base Prueba'!A:E,5,),"NO REGISTRA")</f>
        <v>LOGISTICA Y SERVICIOS GENERALES</v>
      </c>
    </row>
    <row r="6160" spans="1:5" ht="15.75" x14ac:dyDescent="0.25">
      <c r="A6160" s="14">
        <v>1000046533</v>
      </c>
      <c r="B6160" s="2">
        <v>46144.501776157405</v>
      </c>
      <c r="C6160" s="3" t="str">
        <f>IFERROR(VLOOKUP(A6160,'Base Prueba'!A:C,3,),"NO REGISTRA")</f>
        <v>ERIKA JULIETH VALDERRAMA SANCHEZ</v>
      </c>
      <c r="D6160" s="4" t="str">
        <f>IFERROR(VLOOKUP(A6160,'Base Prueba'!A:D,4,),"NO REGISTRA")</f>
        <v>PROMOTOR CALL CENTER</v>
      </c>
      <c r="E6160" s="5" t="str">
        <f>IFERROR(VLOOKUP(A6160,'Base Prueba'!A:E,5,),"NO REGISTRA")</f>
        <v>OFICINA DE MERCADEO</v>
      </c>
    </row>
    <row r="6161" spans="1:5" ht="15.75" x14ac:dyDescent="0.25">
      <c r="A6161" s="14">
        <v>1013101788</v>
      </c>
      <c r="B6161" s="2">
        <v>46144.503833101851</v>
      </c>
      <c r="C6161" s="3" t="str">
        <f>IFERROR(VLOOKUP(A6161,'Base Prueba'!A:C,3,),"NO REGISTRA")</f>
        <v>SARA TANGARIFE MONTOYA</v>
      </c>
      <c r="D6161" s="4" t="str">
        <f>IFERROR(VLOOKUP(A6161,'Base Prueba'!A:D,4,),"NO REGISTRA")</f>
        <v>APRENDIZ UNIVERSITARIO</v>
      </c>
      <c r="E6161" s="5" t="str">
        <f>IFERROR(VLOOKUP(A6161,'Base Prueba'!A:E,5,),"NO REGISTRA")</f>
        <v>OFICINA DE MERCADEO</v>
      </c>
    </row>
    <row r="6162" spans="1:5" ht="15.75" x14ac:dyDescent="0.25">
      <c r="A6162" s="14">
        <v>1013098430</v>
      </c>
      <c r="B6162" s="2">
        <v>46144.503928819446</v>
      </c>
      <c r="C6162" s="3" t="str">
        <f>IFERROR(VLOOKUP(A6162,'Base Prueba'!A:C,3,),"NO REGISTRA")</f>
        <v>ANDRES FELIPE LOPEZ ROMERO</v>
      </c>
      <c r="D6162" s="4" t="str">
        <f>IFERROR(VLOOKUP(A6162,'Base Prueba'!A:D,4,),"NO REGISTRA")</f>
        <v>APRENDIZ UNIVERSITARIO</v>
      </c>
      <c r="E6162" s="5" t="str">
        <f>IFERROR(VLOOKUP(A6162,'Base Prueba'!A:E,5,),"NO REGISTRA")</f>
        <v>OFICINA DE MERCADEO</v>
      </c>
    </row>
    <row r="6163" spans="1:5" ht="15.75" x14ac:dyDescent="0.25">
      <c r="A6163" s="14">
        <v>1000611958</v>
      </c>
      <c r="B6163" s="2">
        <v>46144.506597916668</v>
      </c>
      <c r="C6163" s="3" t="str">
        <f>IFERROR(VLOOKUP(A6163,'Base Prueba'!A:C,3,),"NO REGISTRA")</f>
        <v>TYLER CORRADINE  VARGAS</v>
      </c>
      <c r="D6163" s="4" t="str">
        <f>IFERROR(VLOOKUP(A6163,'Base Prueba'!A:D,4,),"NO REGISTRA")</f>
        <v>APRENDIZ UNIVERSITARIO</v>
      </c>
      <c r="E6163" s="5" t="str">
        <f>IFERROR(VLOOKUP(A6163,'Base Prueba'!A:E,5,),"NO REGISTRA")</f>
        <v>DEPARTAMENTO DE INFORMATICA Y TECNOLOGIA</v>
      </c>
    </row>
    <row r="6164" spans="1:5" ht="15.75" x14ac:dyDescent="0.25">
      <c r="A6164" s="14">
        <v>1000992568</v>
      </c>
      <c r="B6164" s="2">
        <v>46144.508200462966</v>
      </c>
      <c r="C6164" s="3" t="str">
        <f>IFERROR(VLOOKUP(A6164,'Base Prueba'!A:C,3,),"NO REGISTRA")</f>
        <v>KAREN BRIGITTE DALEMAN MORENO</v>
      </c>
      <c r="D6164" s="4" t="str">
        <f>IFERROR(VLOOKUP(A6164,'Base Prueba'!A:D,4,),"NO REGISTRA")</f>
        <v>RECEPCIONISTA</v>
      </c>
      <c r="E6164" s="5" t="str">
        <f>IFERROR(VLOOKUP(A6164,'Base Prueba'!A:E,5,),"NO REGISTRA")</f>
        <v>CENTRO DE GESTION DOCUMENTAL</v>
      </c>
    </row>
    <row r="6165" spans="1:5" ht="15.75" x14ac:dyDescent="0.25">
      <c r="A6165" s="14">
        <v>1000257136</v>
      </c>
      <c r="B6165" s="2">
        <v>46144.509595949072</v>
      </c>
      <c r="C6165" s="3" t="str">
        <f>IFERROR(VLOOKUP(A6165,'Base Prueba'!A:C,3,),"NO REGISTRA")</f>
        <v>FRANCI VALENTINA CANO PUENTES</v>
      </c>
      <c r="D6165" s="4" t="str">
        <f>IFERROR(VLOOKUP(A6165,'Base Prueba'!A:D,4,),"NO REGISTRA")</f>
        <v>AUXILIAR CONTABLE</v>
      </c>
      <c r="E6165" s="5" t="str">
        <f>IFERROR(VLOOKUP(A6165,'Base Prueba'!A:E,5,),"NO REGISTRA")</f>
        <v>AREA FINANCIERA Y CONTABLE</v>
      </c>
    </row>
    <row r="6166" spans="1:5" ht="15.75" x14ac:dyDescent="0.25">
      <c r="A6166" s="14">
        <v>1087121273</v>
      </c>
      <c r="B6166" s="2">
        <v>46144.515854745368</v>
      </c>
      <c r="C6166" s="3" t="str">
        <f>IFERROR(VLOOKUP(A6166,'Base Prueba'!A:C,3,),"NO REGISTRA")</f>
        <v>MAYRA ALEJANDRA CASTILLO ARBOLEDA</v>
      </c>
      <c r="D6166" s="4" t="str">
        <f>IFERROR(VLOOKUP(A6166,'Base Prueba'!A:D,4,),"NO REGISTRA")</f>
        <v>APOYO INTEGRAL DE MERCADEO</v>
      </c>
      <c r="E6166" s="5" t="str">
        <f>IFERROR(VLOOKUP(A6166,'Base Prueba'!A:E,5,),"NO REGISTRA")</f>
        <v>CENTRO DE GESTION DOCUMENTAL</v>
      </c>
    </row>
    <row r="6167" spans="1:5" ht="15.75" x14ac:dyDescent="0.25">
      <c r="A6167" s="14">
        <v>1033820146</v>
      </c>
      <c r="B6167" s="2">
        <v>46144.519228472222</v>
      </c>
      <c r="C6167" s="3" t="str">
        <f>IFERROR(VLOOKUP(A6167,'Base Prueba'!A:C,3,),"NO REGISTRA")</f>
        <v>JULIETH ALEXANDRA BUSTAMANTE RUIZ</v>
      </c>
      <c r="D6167" s="4" t="str">
        <f>IFERROR(VLOOKUP(A6167,'Base Prueba'!A:D,4,),"NO REGISTRA")</f>
        <v>AUXILIAR ADMINISTRATIVO</v>
      </c>
      <c r="E6167" s="5" t="str">
        <f>IFERROR(VLOOKUP(A6167,'Base Prueba'!A:E,5,),"NO REGISTRA")</f>
        <v>REGISTRO Y CONTROL ACADEMICO</v>
      </c>
    </row>
    <row r="6168" spans="1:5" ht="15.75" x14ac:dyDescent="0.25">
      <c r="A6168" s="14">
        <v>1000324729</v>
      </c>
      <c r="B6168" s="2">
        <v>46144.519276736108</v>
      </c>
      <c r="C6168" s="3" t="str">
        <f>IFERROR(VLOOKUP(A6168,'Base Prueba'!A:C,3,),"NO REGISTRA")</f>
        <v>ANYIE VANESSA TINOCO CAMACHO</v>
      </c>
      <c r="D6168" s="4" t="str">
        <f>IFERROR(VLOOKUP(A6168,'Base Prueba'!A:D,4,),"NO REGISTRA")</f>
        <v>LIDER DE REGISTRO Y CONTROL</v>
      </c>
      <c r="E6168" s="5" t="str">
        <f>IFERROR(VLOOKUP(A6168,'Base Prueba'!A:E,5,),"NO REGISTRA")</f>
        <v>REGISTRO Y CONTROL ACADEMICO</v>
      </c>
    </row>
    <row r="6169" spans="1:5" ht="15.75" x14ac:dyDescent="0.25">
      <c r="A6169" s="14">
        <v>52764929</v>
      </c>
      <c r="B6169" s="2">
        <v>46144.531772800925</v>
      </c>
      <c r="C6169" s="3" t="str">
        <f>IFERROR(VLOOKUP(A6169,'Base Prueba'!A:C,3,),"NO REGISTRA")</f>
        <v>GUERLY YOHANA DURAN RIVERA</v>
      </c>
      <c r="D6169" s="4" t="str">
        <f>IFERROR(VLOOKUP(A6169,'Base Prueba'!A:D,4,),"NO REGISTRA")</f>
        <v>LIDER DE VINCULACION COLEGIOS</v>
      </c>
      <c r="E6169" s="5" t="str">
        <f>IFERROR(VLOOKUP(A6169,'Base Prueba'!A:E,5,),"NO REGISTRA")</f>
        <v>OFICINA DE MERCADEO</v>
      </c>
    </row>
    <row r="6170" spans="1:5" ht="15.75" x14ac:dyDescent="0.25">
      <c r="A6170" s="14">
        <v>1024512067</v>
      </c>
      <c r="B6170" s="2">
        <v>46146.309924305555</v>
      </c>
      <c r="C6170" s="3" t="str">
        <f>IFERROR(VLOOKUP(A6170,'Base Prueba'!A:C,3,),"NO REGISTRA")</f>
        <v>CINDY GIOVANA SALGAR GOMEZ</v>
      </c>
      <c r="D6170" s="4" t="str">
        <f>IFERROR(VLOOKUP(A6170,'Base Prueba'!A:D,4,),"NO REGISTRA")</f>
        <v>COORDINADOR DEL SISTEMA INTEGRADO DE GESTION INSTITUCIONAL - SIGI</v>
      </c>
      <c r="E6170" s="5" t="str">
        <f>IFERROR(VLOOKUP(A6170,'Base Prueba'!A:E,5,),"NO REGISTRA")</f>
        <v>OFICINA DE PLANEACION Y GESTION DE LA CALIDAD</v>
      </c>
    </row>
    <row r="6171" spans="1:5" ht="15.75" x14ac:dyDescent="0.25">
      <c r="A6171" s="14">
        <v>1013616244</v>
      </c>
      <c r="B6171" s="2">
        <v>46146.313244791665</v>
      </c>
      <c r="C6171" s="3" t="str">
        <f>IFERROR(VLOOKUP(A6171,'Base Prueba'!A:C,3,),"NO REGISTRA")</f>
        <v>DIANA CAROLINA MARIN BETANCOURT</v>
      </c>
      <c r="D6171" s="4" t="str">
        <f>IFERROR(VLOOKUP(A6171,'Base Prueba'!A:D,4,),"NO REGISTRA")</f>
        <v>AUXILIAR ADMINISTRATIVO</v>
      </c>
      <c r="E6171" s="5" t="str">
        <f>IFERROR(VLOOKUP(A6171,'Base Prueba'!A:E,5,),"NO REGISTRA")</f>
        <v>REGISTRO Y CONTROL ACADEMICO</v>
      </c>
    </row>
    <row r="6172" spans="1:5" ht="15.75" x14ac:dyDescent="0.25">
      <c r="A6172" s="14">
        <v>1000324729</v>
      </c>
      <c r="B6172" s="2">
        <v>46146.321403819442</v>
      </c>
      <c r="C6172" s="3" t="str">
        <f>IFERROR(VLOOKUP(A6172,'Base Prueba'!A:C,3,),"NO REGISTRA")</f>
        <v>ANYIE VANESSA TINOCO CAMACHO</v>
      </c>
      <c r="D6172" s="4" t="str">
        <f>IFERROR(VLOOKUP(A6172,'Base Prueba'!A:D,4,),"NO REGISTRA")</f>
        <v>LIDER DE REGISTRO Y CONTROL</v>
      </c>
      <c r="E6172" s="5" t="str">
        <f>IFERROR(VLOOKUP(A6172,'Base Prueba'!A:E,5,),"NO REGISTRA")</f>
        <v>REGISTRO Y CONTROL ACADEMICO</v>
      </c>
    </row>
    <row r="6173" spans="1:5" ht="15.75" x14ac:dyDescent="0.25">
      <c r="A6173" s="14">
        <v>1000992568</v>
      </c>
      <c r="B6173" s="2">
        <v>46146.324721064811</v>
      </c>
      <c r="C6173" s="3" t="str">
        <f>IFERROR(VLOOKUP(A6173,'Base Prueba'!A:C,3,),"NO REGISTRA")</f>
        <v>KAREN BRIGITTE DALEMAN MORENO</v>
      </c>
      <c r="D6173" s="4" t="str">
        <f>IFERROR(VLOOKUP(A6173,'Base Prueba'!A:D,4,),"NO REGISTRA")</f>
        <v>RECEPCIONISTA</v>
      </c>
      <c r="E6173" s="5" t="str">
        <f>IFERROR(VLOOKUP(A6173,'Base Prueba'!A:E,5,),"NO REGISTRA")</f>
        <v>CENTRO DE GESTION DOCUMENTAL</v>
      </c>
    </row>
    <row r="6174" spans="1:5" ht="15.75" x14ac:dyDescent="0.25">
      <c r="A6174" s="14">
        <v>1014308296</v>
      </c>
      <c r="B6174" s="2">
        <v>46146.326939004626</v>
      </c>
      <c r="C6174" s="3" t="str">
        <f>IFERROR(VLOOKUP(A6174,'Base Prueba'!A:C,3,),"NO REGISTRA")</f>
        <v>DARLENE YULIANA MORENO CELEITA</v>
      </c>
      <c r="D6174" s="4" t="str">
        <f>IFERROR(VLOOKUP(A6174,'Base Prueba'!A:D,4,),"NO REGISTRA")</f>
        <v>CAJERO PRINCIPAL</v>
      </c>
      <c r="E6174" s="5" t="str">
        <f>IFERROR(VLOOKUP(A6174,'Base Prueba'!A:E,5,),"NO REGISTRA")</f>
        <v>AREA FINANCIERA Y CONTABLE</v>
      </c>
    </row>
    <row r="6175" spans="1:5" ht="15.75" x14ac:dyDescent="0.25">
      <c r="A6175" s="14">
        <v>1014266838</v>
      </c>
      <c r="B6175" s="2">
        <v>46146.328805439814</v>
      </c>
      <c r="C6175" s="3" t="str">
        <f>IFERROR(VLOOKUP(A6175,'Base Prueba'!A:C,3,),"NO REGISTRA")</f>
        <v>JENNIFER ASTRID ROMERO HURTADO</v>
      </c>
      <c r="D6175" s="4" t="str">
        <f>IFERROR(VLOOKUP(A6175,'Base Prueba'!A:D,4,),"NO REGISTRA")</f>
        <v>LIDER DE RECAUDO</v>
      </c>
      <c r="E6175" s="5" t="str">
        <f>IFERROR(VLOOKUP(A6175,'Base Prueba'!A:E,5,),"NO REGISTRA")</f>
        <v>AREA FINANCIERA Y CONTABLE</v>
      </c>
    </row>
    <row r="6176" spans="1:5" ht="15.75" x14ac:dyDescent="0.25">
      <c r="A6176" s="14">
        <v>52225539</v>
      </c>
      <c r="B6176" s="2">
        <v>46146.3306099537</v>
      </c>
      <c r="C6176" s="3" t="str">
        <f>IFERROR(VLOOKUP(A6176,'Base Prueba'!A:C,3,),"NO REGISTRA")</f>
        <v>LISA MINELLY ZAMBRANO CONTRERAS</v>
      </c>
      <c r="D6176" s="4" t="str">
        <f>IFERROR(VLOOKUP(A6176,'Base Prueba'!A:D,4,),"NO REGISTRA")</f>
        <v>LIDER DE COMPRAS</v>
      </c>
      <c r="E6176" s="5" t="str">
        <f>IFERROR(VLOOKUP(A6176,'Base Prueba'!A:E,5,),"NO REGISTRA")</f>
        <v>VICERRECTORIA ADMINISTRATIVA Y FINANCIERA</v>
      </c>
    </row>
    <row r="6177" spans="1:5" ht="15.75" x14ac:dyDescent="0.25">
      <c r="A6177" s="14">
        <v>1033820146</v>
      </c>
      <c r="B6177" s="2">
        <v>46146.331365509257</v>
      </c>
      <c r="C6177" s="3" t="str">
        <f>IFERROR(VLOOKUP(A6177,'Base Prueba'!A:C,3,),"NO REGISTRA")</f>
        <v>JULIETH ALEXANDRA BUSTAMANTE RUIZ</v>
      </c>
      <c r="D6177" s="4" t="str">
        <f>IFERROR(VLOOKUP(A6177,'Base Prueba'!A:D,4,),"NO REGISTRA")</f>
        <v>AUXILIAR ADMINISTRATIVO</v>
      </c>
      <c r="E6177" s="5" t="str">
        <f>IFERROR(VLOOKUP(A6177,'Base Prueba'!A:E,5,),"NO REGISTRA")</f>
        <v>REGISTRO Y CONTROL ACADEMICO</v>
      </c>
    </row>
    <row r="6178" spans="1:5" ht="15.75" x14ac:dyDescent="0.25">
      <c r="A6178" s="14">
        <v>80191732</v>
      </c>
      <c r="B6178" s="2">
        <v>46146.335040393518</v>
      </c>
      <c r="C6178" s="3" t="str">
        <f>IFERROR(VLOOKUP(A6178,'Base Prueba'!A:C,3,),"NO REGISTRA")</f>
        <v>DANIEL MAURICIO ZAMBRANO TUNJANO</v>
      </c>
      <c r="D6178" s="4" t="str">
        <f>IFERROR(VLOOKUP(A6178,'Base Prueba'!A:D,4,),"NO REGISTRA")</f>
        <v>COORDINADOR DE DISEÑO E IMAGEN INSTITUCIONAL</v>
      </c>
      <c r="E6178" s="5" t="str">
        <f>IFERROR(VLOOKUP(A6178,'Base Prueba'!A:E,5,),"NO REGISTRA")</f>
        <v>OFICINA DE MERCADEO</v>
      </c>
    </row>
    <row r="6179" spans="1:5" ht="15.75" x14ac:dyDescent="0.25">
      <c r="A6179" s="14">
        <v>1014977624</v>
      </c>
      <c r="B6179" s="2">
        <v>46146.338140972221</v>
      </c>
      <c r="C6179" s="3" t="str">
        <f>IFERROR(VLOOKUP(A6179,'Base Prueba'!A:C,3,),"NO REGISTRA")</f>
        <v>NICCOLE VALENTINA HERNANDEZ MALAVER</v>
      </c>
      <c r="D6179" s="4" t="str">
        <f>IFERROR(VLOOKUP(A6179,'Base Prueba'!A:D,4,),"NO REGISTRA")</f>
        <v>APRENDIZ UNIVERSITARIO</v>
      </c>
      <c r="E6179" s="5" t="str">
        <f>IFERROR(VLOOKUP(A6179,'Base Prueba'!A:E,5,),"NO REGISTRA")</f>
        <v>AREA FINANCIERA Y CONTABLE</v>
      </c>
    </row>
    <row r="6180" spans="1:5" ht="15.75" x14ac:dyDescent="0.25">
      <c r="A6180" s="14">
        <v>1013098430</v>
      </c>
      <c r="B6180" s="2">
        <v>46146.338459837963</v>
      </c>
      <c r="C6180" s="3" t="str">
        <f>IFERROR(VLOOKUP(A6180,'Base Prueba'!A:C,3,),"NO REGISTRA")</f>
        <v>ANDRES FELIPE LOPEZ ROMERO</v>
      </c>
      <c r="D6180" s="4" t="str">
        <f>IFERROR(VLOOKUP(A6180,'Base Prueba'!A:D,4,),"NO REGISTRA")</f>
        <v>APRENDIZ UNIVERSITARIO</v>
      </c>
      <c r="E6180" s="5" t="str">
        <f>IFERROR(VLOOKUP(A6180,'Base Prueba'!A:E,5,),"NO REGISTRA")</f>
        <v>OFICINA DE MERCADEO</v>
      </c>
    </row>
    <row r="6181" spans="1:5" ht="15.75" x14ac:dyDescent="0.25">
      <c r="A6181" s="14">
        <v>1022996882</v>
      </c>
      <c r="B6181" s="2">
        <v>46146.338580324074</v>
      </c>
      <c r="C6181" s="3" t="str">
        <f>IFERROR(VLOOKUP(A6181,'Base Prueba'!A:C,3,),"NO REGISTRA")</f>
        <v>NANCY BRIGITH ALDANA GUEVARA</v>
      </c>
      <c r="D6181" s="4" t="str">
        <f>IFERROR(VLOOKUP(A6181,'Base Prueba'!A:D,4,),"NO REGISTRA")</f>
        <v>COORDINADORA DE GESTIÓN HUMANA</v>
      </c>
      <c r="E6181" s="5" t="str">
        <f>IFERROR(VLOOKUP(A6181,'Base Prueba'!A:E,5,),"NO REGISTRA")</f>
        <v>DEPARTAMENTO DE GESTION HUMANA</v>
      </c>
    </row>
    <row r="6182" spans="1:5" ht="15.75" x14ac:dyDescent="0.25">
      <c r="A6182" s="14">
        <v>1000257136</v>
      </c>
      <c r="B6182" s="2">
        <v>46146.341592824072</v>
      </c>
      <c r="C6182" s="3" t="str">
        <f>IFERROR(VLOOKUP(A6182,'Base Prueba'!A:C,3,),"NO REGISTRA")</f>
        <v>FRANCI VALENTINA CANO PUENTES</v>
      </c>
      <c r="D6182" s="4" t="str">
        <f>IFERROR(VLOOKUP(A6182,'Base Prueba'!A:D,4,),"NO REGISTRA")</f>
        <v>AUXILIAR CONTABLE</v>
      </c>
      <c r="E6182" s="5" t="str">
        <f>IFERROR(VLOOKUP(A6182,'Base Prueba'!A:E,5,),"NO REGISTRA")</f>
        <v>AREA FINANCIERA Y CONTABLE</v>
      </c>
    </row>
    <row r="6183" spans="1:5" ht="15.75" x14ac:dyDescent="0.25">
      <c r="A6183" s="14">
        <v>1049644802</v>
      </c>
      <c r="B6183" s="2">
        <v>46146.342943750002</v>
      </c>
      <c r="C6183" s="3" t="str">
        <f>IFERROR(VLOOKUP(A6183,'Base Prueba'!A:C,3,),"NO REGISTRA")</f>
        <v>DANIELA ALEXANDRA CIPAMOCHA BOSIGA</v>
      </c>
      <c r="D6183" s="4" t="str">
        <f>IFERROR(VLOOKUP(A6183,'Base Prueba'!A:D,4,),"NO REGISTRA")</f>
        <v>LIDER DE DATOS Y SERVICIOS</v>
      </c>
      <c r="E6183" s="5" t="str">
        <f>IFERROR(VLOOKUP(A6183,'Base Prueba'!A:E,5,),"NO REGISTRA")</f>
        <v>OFICINA DE PLANEACION Y GESTION DE LA CALIDAD</v>
      </c>
    </row>
    <row r="6184" spans="1:5" ht="15.75" x14ac:dyDescent="0.25">
      <c r="A6184" s="14">
        <v>1000593372</v>
      </c>
      <c r="B6184" s="2">
        <v>46146.344959259259</v>
      </c>
      <c r="C6184" s="3" t="str">
        <f>IFERROR(VLOOKUP(A6184,'Base Prueba'!A:C,3,),"NO REGISTRA")</f>
        <v>LAURA SOFIA CHAPARRO LOPEZ</v>
      </c>
      <c r="D6184" s="4" t="str">
        <f>IFERROR(VLOOKUP(A6184,'Base Prueba'!A:D,4,),"NO REGISTRA")</f>
        <v>AUXILIAR JURIDICO</v>
      </c>
      <c r="E6184" s="5" t="str">
        <f>IFERROR(VLOOKUP(A6184,'Base Prueba'!A:E,5,),"NO REGISTRA")</f>
        <v>SECRETARIA GENERAL</v>
      </c>
    </row>
    <row r="6185" spans="1:5" ht="15.75" x14ac:dyDescent="0.25">
      <c r="A6185" s="14">
        <v>1023883232</v>
      </c>
      <c r="B6185" s="2">
        <v>46146.349389583331</v>
      </c>
      <c r="C6185" s="3" t="str">
        <f>IFERROR(VLOOKUP(A6185,'Base Prueba'!A:C,3,),"NO REGISTRA")</f>
        <v>MONICA ANDREA ACERO URBANO</v>
      </c>
      <c r="D6185" s="4" t="str">
        <f>IFERROR(VLOOKUP(A6185,'Base Prueba'!A:D,4,),"NO REGISTRA")</f>
        <v>APOYO INTEGRAL A GESTION HUMANA</v>
      </c>
      <c r="E6185" s="5" t="str">
        <f>IFERROR(VLOOKUP(A6185,'Base Prueba'!A:E,5,),"NO REGISTRA")</f>
        <v>DEPARTAMENTO DE GESTION HUMANA</v>
      </c>
    </row>
    <row r="6186" spans="1:5" ht="15.75" x14ac:dyDescent="0.25">
      <c r="A6186" s="14">
        <v>1193457976</v>
      </c>
      <c r="B6186" s="2">
        <v>46146.353612615741</v>
      </c>
      <c r="C6186" s="3" t="str">
        <f>IFERROR(VLOOKUP(A6186,'Base Prueba'!A:C,3,),"NO REGISTRA")</f>
        <v>SEDENIS RIVAS ASPRILLA</v>
      </c>
      <c r="D6186" s="4" t="str">
        <f>IFERROR(VLOOKUP(A6186,'Base Prueba'!A:D,4,),"NO REGISTRA")</f>
        <v>APRENDIZ UNIVERSITARIO</v>
      </c>
      <c r="E6186" s="5" t="str">
        <f>IFERROR(VLOOKUP(A6186,'Base Prueba'!A:E,5,),"NO REGISTRA")</f>
        <v>DEPARTAMENTO DE GESTION HUMANA</v>
      </c>
    </row>
    <row r="6187" spans="1:5" ht="15.75" x14ac:dyDescent="0.25">
      <c r="A6187" s="14">
        <v>1000457706</v>
      </c>
      <c r="B6187" s="2">
        <v>46146.354528240743</v>
      </c>
      <c r="C6187" s="3" t="str">
        <f>IFERROR(VLOOKUP(A6187,'Base Prueba'!A:C,3,),"NO REGISTRA")</f>
        <v>CRISTIAN DANILO ARROYO SANABRIA</v>
      </c>
      <c r="D6187" s="4" t="str">
        <f>IFERROR(VLOOKUP(A6187,'Base Prueba'!A:D,4,),"NO REGISTRA")</f>
        <v>AUXILIAR CONTABLE</v>
      </c>
      <c r="E6187" s="5" t="str">
        <f>IFERROR(VLOOKUP(A6187,'Base Prueba'!A:E,5,),"NO REGISTRA")</f>
        <v>AREA FINANCIERA Y CONTABLE</v>
      </c>
    </row>
    <row r="6188" spans="1:5" ht="15.75" x14ac:dyDescent="0.25">
      <c r="A6188" s="14">
        <v>1087121273</v>
      </c>
      <c r="B6188" s="2">
        <v>46146.354869212963</v>
      </c>
      <c r="C6188" s="3" t="str">
        <f>IFERROR(VLOOKUP(A6188,'Base Prueba'!A:C,3,),"NO REGISTRA")</f>
        <v>MAYRA ALEJANDRA CASTILLO ARBOLEDA</v>
      </c>
      <c r="D6188" s="4" t="str">
        <f>IFERROR(VLOOKUP(A6188,'Base Prueba'!A:D,4,),"NO REGISTRA")</f>
        <v>APOYO INTEGRAL DE MERCADEO</v>
      </c>
      <c r="E6188" s="5" t="str">
        <f>IFERROR(VLOOKUP(A6188,'Base Prueba'!A:E,5,),"NO REGISTRA")</f>
        <v>CENTRO DE GESTION DOCUMENTAL</v>
      </c>
    </row>
    <row r="6189" spans="1:5" ht="15.75" x14ac:dyDescent="0.25">
      <c r="A6189" s="14">
        <v>53932358</v>
      </c>
      <c r="B6189" s="2">
        <v>46146.36021979167</v>
      </c>
      <c r="C6189" s="3" t="str">
        <f>IFERROR(VLOOKUP(A6189,'Base Prueba'!A:C,3,),"NO REGISTRA")</f>
        <v>DIANA MADELEYNE GAONA RODRIGUEZ</v>
      </c>
      <c r="D6189" s="4" t="str">
        <f>IFERROR(VLOOKUP(A6189,'Base Prueba'!A:D,4,),"NO REGISTRA")</f>
        <v>CONTADOR</v>
      </c>
      <c r="E6189" s="5" t="str">
        <f>IFERROR(VLOOKUP(A6189,'Base Prueba'!A:E,5,),"NO REGISTRA")</f>
        <v>AREA FINANCIERA Y CONTABLE</v>
      </c>
    </row>
    <row r="6190" spans="1:5" ht="15.75" x14ac:dyDescent="0.25">
      <c r="A6190" s="14">
        <v>52472386</v>
      </c>
      <c r="B6190" s="2">
        <v>46146.363280439815</v>
      </c>
      <c r="C6190" s="3" t="str">
        <f>IFERROR(VLOOKUP(A6190,'Base Prueba'!A:C,3,),"NO REGISTRA")</f>
        <v>ADRIANA MARCELA MORALES PARDO</v>
      </c>
      <c r="D6190" s="4" t="str">
        <f>IFERROR(VLOOKUP(A6190,'Base Prueba'!A:D,4,),"NO REGISTRA")</f>
        <v>PROMOTOR CALL CENTER</v>
      </c>
      <c r="E6190" s="5" t="str">
        <f>IFERROR(VLOOKUP(A6190,'Base Prueba'!A:E,5,),"NO REGISTRA")</f>
        <v>OFICINA DE MERCADEO</v>
      </c>
    </row>
    <row r="6191" spans="1:5" ht="15.75" x14ac:dyDescent="0.25">
      <c r="A6191" s="14">
        <v>1013101788</v>
      </c>
      <c r="B6191" s="2">
        <v>46146.366725231484</v>
      </c>
      <c r="C6191" s="3" t="str">
        <f>IFERROR(VLOOKUP(A6191,'Base Prueba'!A:C,3,),"NO REGISTRA")</f>
        <v>SARA TANGARIFE MONTOYA</v>
      </c>
      <c r="D6191" s="4" t="str">
        <f>IFERROR(VLOOKUP(A6191,'Base Prueba'!A:D,4,),"NO REGISTRA")</f>
        <v>APRENDIZ UNIVERSITARIO</v>
      </c>
      <c r="E6191" s="5" t="str">
        <f>IFERROR(VLOOKUP(A6191,'Base Prueba'!A:E,5,),"NO REGISTRA")</f>
        <v>OFICINA DE MERCADEO</v>
      </c>
    </row>
    <row r="6192" spans="1:5" ht="15.75" x14ac:dyDescent="0.25">
      <c r="A6192" s="14">
        <v>1014196857</v>
      </c>
      <c r="B6192" s="2">
        <v>46146.367259722225</v>
      </c>
      <c r="C6192" s="3" t="str">
        <f>IFERROR(VLOOKUP(A6192,'Base Prueba'!A:C,3,),"NO REGISTRA")</f>
        <v>CARLOS ANDRES JIMENEZ PARDO</v>
      </c>
      <c r="D6192" s="4" t="str">
        <f>IFERROR(VLOOKUP(A6192,'Base Prueba'!A:D,4,),"NO REGISTRA")</f>
        <v>COORDINADOR DE MARKETING DIGITAL</v>
      </c>
      <c r="E6192" s="5" t="str">
        <f>IFERROR(VLOOKUP(A6192,'Base Prueba'!A:E,5,),"NO REGISTRA")</f>
        <v>OFICINA DE MERCADEO</v>
      </c>
    </row>
    <row r="6193" spans="1:5" ht="15.75" x14ac:dyDescent="0.25">
      <c r="A6193" s="14">
        <v>1032407386</v>
      </c>
      <c r="B6193" s="2">
        <v>46146.368967476854</v>
      </c>
      <c r="C6193" s="3" t="str">
        <f>IFERROR(VLOOKUP(A6193,'Base Prueba'!A:C,3,),"NO REGISTRA")</f>
        <v>GINA PAOLA BAEZ GALVIS</v>
      </c>
      <c r="D6193" s="4" t="str">
        <f>IFERROR(VLOOKUP(A6193,'Base Prueba'!A:D,4,),"NO REGISTRA")</f>
        <v>PROMOTOR CALL CENTER</v>
      </c>
      <c r="E6193" s="5" t="str">
        <f>IFERROR(VLOOKUP(A6193,'Base Prueba'!A:E,5,),"NO REGISTRA")</f>
        <v>OFICINA DE MERCADEO</v>
      </c>
    </row>
    <row r="6194" spans="1:5" ht="15.75" x14ac:dyDescent="0.25">
      <c r="A6194" s="14">
        <v>1019105003</v>
      </c>
      <c r="B6194" s="2">
        <v>46146.370718055558</v>
      </c>
      <c r="C6194" s="3" t="str">
        <f>IFERROR(VLOOKUP(A6194,'Base Prueba'!A:C,3,),"NO REGISTRA")</f>
        <v>DAISY JULIETH GASPAR MORENO</v>
      </c>
      <c r="D6194" s="4" t="str">
        <f>IFERROR(VLOOKUP(A6194,'Base Prueba'!A:D,4,),"NO REGISTRA")</f>
        <v>PROMOTOR CALL CENTER</v>
      </c>
      <c r="E6194" s="5" t="str">
        <f>IFERROR(VLOOKUP(A6194,'Base Prueba'!A:E,5,),"NO REGISTRA")</f>
        <v>OFICINA DE MERCADEO</v>
      </c>
    </row>
    <row r="6195" spans="1:5" ht="15.75" x14ac:dyDescent="0.25">
      <c r="A6195" s="14">
        <v>1018414290</v>
      </c>
      <c r="B6195" s="2">
        <v>46146.372167013891</v>
      </c>
      <c r="C6195" s="3" t="str">
        <f>IFERROR(VLOOKUP(A6195,'Base Prueba'!A:C,3,),"NO REGISTRA")</f>
        <v>AMANDA LISBETH RODRIGUEZ LEON</v>
      </c>
      <c r="D6195" s="4" t="str">
        <f>IFERROR(VLOOKUP(A6195,'Base Prueba'!A:D,4,),"NO REGISTRA")</f>
        <v>PROMOTOR CALL CENTER</v>
      </c>
      <c r="E6195" s="5" t="str">
        <f>IFERROR(VLOOKUP(A6195,'Base Prueba'!A:E,5,),"NO REGISTRA")</f>
        <v>OFICINA DE MERCADEO</v>
      </c>
    </row>
    <row r="6196" spans="1:5" ht="15.75" x14ac:dyDescent="0.25">
      <c r="A6196" s="14">
        <v>52764929</v>
      </c>
      <c r="B6196" s="2">
        <v>46146.372826041668</v>
      </c>
      <c r="C6196" s="3" t="str">
        <f>IFERROR(VLOOKUP(A6196,'Base Prueba'!A:C,3,),"NO REGISTRA")</f>
        <v>GUERLY YOHANA DURAN RIVERA</v>
      </c>
      <c r="D6196" s="4" t="str">
        <f>IFERROR(VLOOKUP(A6196,'Base Prueba'!A:D,4,),"NO REGISTRA")</f>
        <v>LIDER DE VINCULACION COLEGIOS</v>
      </c>
      <c r="E6196" s="5" t="str">
        <f>IFERROR(VLOOKUP(A6196,'Base Prueba'!A:E,5,),"NO REGISTRA")</f>
        <v>OFICINA DE MERCADEO</v>
      </c>
    </row>
    <row r="6197" spans="1:5" ht="15.75" x14ac:dyDescent="0.25">
      <c r="A6197" s="14">
        <v>1033709056</v>
      </c>
      <c r="B6197" s="2">
        <v>46146.374808564811</v>
      </c>
      <c r="C6197" s="3" t="str">
        <f>IFERROR(VLOOKUP(A6197,'Base Prueba'!A:C,3,),"NO REGISTRA")</f>
        <v>YEIMY ALEXANDRA RODRIGUEZ PALACIO</v>
      </c>
      <c r="D6197" s="4" t="str">
        <f>IFERROR(VLOOKUP(A6197,'Base Prueba'!A:D,4,),"NO REGISTRA")</f>
        <v>PROMOTOR CALL CENTER</v>
      </c>
      <c r="E6197" s="5" t="str">
        <f>IFERROR(VLOOKUP(A6197,'Base Prueba'!A:E,5,),"NO REGISTRA")</f>
        <v>OFICINA DE MERCADEO</v>
      </c>
    </row>
    <row r="6198" spans="1:5" ht="15.75" x14ac:dyDescent="0.25">
      <c r="A6198" s="14">
        <v>28798349</v>
      </c>
      <c r="B6198" s="2">
        <v>46146.374878819443</v>
      </c>
      <c r="C6198" s="3" t="str">
        <f>IFERROR(VLOOKUP(A6198,'Base Prueba'!A:C,3,),"NO REGISTRA")</f>
        <v>MARTHA ISABEL TOVAR WILLIAMS</v>
      </c>
      <c r="D6198" s="4" t="str">
        <f>IFERROR(VLOOKUP(A6198,'Base Prueba'!A:D,4,),"NO REGISTRA")</f>
        <v>PROMOTOR CALL CENTER</v>
      </c>
      <c r="E6198" s="5" t="str">
        <f>IFERROR(VLOOKUP(A6198,'Base Prueba'!A:E,5,),"NO REGISTRA")</f>
        <v>OFICINA DE MERCADEO</v>
      </c>
    </row>
    <row r="6199" spans="1:5" ht="15.75" x14ac:dyDescent="0.25">
      <c r="A6199" s="14">
        <v>1016090131</v>
      </c>
      <c r="B6199" s="2">
        <v>46146.377332291668</v>
      </c>
      <c r="C6199" s="3" t="str">
        <f>IFERROR(VLOOKUP(A6199,'Base Prueba'!A:C,3,),"NO REGISTRA")</f>
        <v>NICOLAS RODRIGUEZ PACHECO</v>
      </c>
      <c r="D6199" s="4" t="str">
        <f>IFERROR(VLOOKUP(A6199,'Base Prueba'!A:D,4,),"NO REGISTRA")</f>
        <v>COORDINADOR DE COMUNICACIONES</v>
      </c>
      <c r="E6199" s="5" t="str">
        <f>IFERROR(VLOOKUP(A6199,'Base Prueba'!A:E,5,),"NO REGISTRA")</f>
        <v>OFICINA DE MERCADEO</v>
      </c>
    </row>
    <row r="6200" spans="1:5" ht="15.75" x14ac:dyDescent="0.25">
      <c r="A6200" s="14">
        <v>1000046533</v>
      </c>
      <c r="B6200" s="2">
        <v>46146.378465856484</v>
      </c>
      <c r="C6200" s="3" t="str">
        <f>IFERROR(VLOOKUP(A6200,'Base Prueba'!A:C,3,),"NO REGISTRA")</f>
        <v>ERIKA JULIETH VALDERRAMA SANCHEZ</v>
      </c>
      <c r="D6200" s="4" t="str">
        <f>IFERROR(VLOOKUP(A6200,'Base Prueba'!A:D,4,),"NO REGISTRA")</f>
        <v>PROMOTOR CALL CENTER</v>
      </c>
      <c r="E6200" s="5" t="str">
        <f>IFERROR(VLOOKUP(A6200,'Base Prueba'!A:E,5,),"NO REGISTRA")</f>
        <v>OFICINA DE MERCADEO</v>
      </c>
    </row>
    <row r="6201" spans="1:5" ht="15.75" x14ac:dyDescent="0.25">
      <c r="A6201" s="14">
        <v>1012426741</v>
      </c>
      <c r="B6201" s="2">
        <v>46146.37922141204</v>
      </c>
      <c r="C6201" s="3" t="str">
        <f>IFERROR(VLOOKUP(A6201,'Base Prueba'!A:C,3,),"NO REGISTRA")</f>
        <v>CRISTIAN FABIAN ROJAS SANCENO</v>
      </c>
      <c r="D6201" s="4" t="str">
        <f>IFERROR(VLOOKUP(A6201,'Base Prueba'!A:D,4,),"NO REGISTRA")</f>
        <v>AUXILIAR DE REINTEGROS</v>
      </c>
      <c r="E6201" s="5" t="str">
        <f>IFERROR(VLOOKUP(A6201,'Base Prueba'!A:E,5,),"NO REGISTRA")</f>
        <v>DIRECCION DE BIENESTAR INSTITUCIONAL</v>
      </c>
    </row>
    <row r="6202" spans="1:5" ht="15.75" x14ac:dyDescent="0.25">
      <c r="A6202" s="14">
        <v>80234243</v>
      </c>
      <c r="B6202" s="2">
        <v>46146.379838773151</v>
      </c>
      <c r="C6202" s="3" t="str">
        <f>IFERROR(VLOOKUP(A6202,'Base Prueba'!A:C,3,),"NO REGISTRA")</f>
        <v>ARGENIS MARTINEZ MARTINEZ</v>
      </c>
      <c r="D6202" s="4" t="str">
        <f>IFERROR(VLOOKUP(A6202,'Base Prueba'!A:D,4,),"NO REGISTRA")</f>
        <v>LIDER CALL CENTER</v>
      </c>
      <c r="E6202" s="5" t="str">
        <f>IFERROR(VLOOKUP(A6202,'Base Prueba'!A:E,5,),"NO REGISTRA")</f>
        <v>OFICINA DE MERCADEO</v>
      </c>
    </row>
    <row r="6203" spans="1:5" ht="15.75" x14ac:dyDescent="0.25">
      <c r="A6203" s="14">
        <v>1000604979</v>
      </c>
      <c r="B6203" s="2">
        <v>46146.381507060185</v>
      </c>
      <c r="C6203" s="3" t="str">
        <f>IFERROR(VLOOKUP(A6203,'Base Prueba'!A:C,3,),"NO REGISTRA")</f>
        <v>JULIETH TATIANA PARDO PINTO</v>
      </c>
      <c r="D6203" s="4" t="str">
        <f>IFERROR(VLOOKUP(A6203,'Base Prueba'!A:D,4,),"NO REGISTRA")</f>
        <v>AUXILIAR JURIDICO</v>
      </c>
      <c r="E6203" s="5" t="str">
        <f>IFERROR(VLOOKUP(A6203,'Base Prueba'!A:E,5,),"NO REGISTRA")</f>
        <v>SECRETARIA GENERAL</v>
      </c>
    </row>
    <row r="6204" spans="1:5" ht="15.75" x14ac:dyDescent="0.25">
      <c r="A6204" s="14">
        <v>52175674</v>
      </c>
      <c r="B6204" s="2">
        <v>46146.384000925929</v>
      </c>
      <c r="C6204" s="3" t="str">
        <f>IFERROR(VLOOKUP(A6204,'Base Prueba'!A:C,3,),"NO REGISTRA")</f>
        <v>LUZ YANETH GOMEZ AREVALO</v>
      </c>
      <c r="D6204" s="4" t="str">
        <f>IFERROR(VLOOKUP(A6204,'Base Prueba'!A:D,4,),"NO REGISTRA")</f>
        <v>COORDINADORA DE ADMISIONES</v>
      </c>
      <c r="E6204" s="5" t="str">
        <f>IFERROR(VLOOKUP(A6204,'Base Prueba'!A:E,5,),"NO REGISTRA")</f>
        <v>OFICINA DE MERCADEO</v>
      </c>
    </row>
    <row r="6205" spans="1:5" ht="15.75" x14ac:dyDescent="0.25">
      <c r="A6205" s="14">
        <v>1023961952</v>
      </c>
      <c r="B6205" s="2">
        <v>46146.387949537035</v>
      </c>
      <c r="C6205" s="3" t="str">
        <f>IFERROR(VLOOKUP(A6205,'Base Prueba'!A:C,3,),"NO REGISTRA")</f>
        <v>ALEJANDRO PINZON MERCHAN</v>
      </c>
      <c r="D6205" s="4" t="str">
        <f>IFERROR(VLOOKUP(A6205,'Base Prueba'!A:D,4,),"NO REGISTRA")</f>
        <v>PROMOTOR CALL CENTER</v>
      </c>
      <c r="E6205" s="5" t="str">
        <f>IFERROR(VLOOKUP(A6205,'Base Prueba'!A:E,5,),"NO REGISTRA")</f>
        <v>OFICINA DE MERCADEO</v>
      </c>
    </row>
    <row r="6206" spans="1:5" ht="15.75" x14ac:dyDescent="0.25">
      <c r="A6206" s="14">
        <v>53089882</v>
      </c>
      <c r="B6206" s="2">
        <v>46146.418654513887</v>
      </c>
      <c r="C6206" s="3" t="str">
        <f>IFERROR(VLOOKUP(A6206,'Base Prueba'!A:C,3,),"NO REGISTRA")</f>
        <v>MARIA JOHANA ESCAMILLA MARTINEZ</v>
      </c>
      <c r="D6206" s="4" t="str">
        <f>IFERROR(VLOOKUP(A6206,'Base Prueba'!A:D,4,),"NO REGISTRA")</f>
        <v>PROMOTOR DE INFORMACIÓN</v>
      </c>
      <c r="E6206" s="5" t="str">
        <f>IFERROR(VLOOKUP(A6206,'Base Prueba'!A:E,5,),"NO REGISTRA")</f>
        <v>OFICINA DE MERCADEO</v>
      </c>
    </row>
    <row r="6207" spans="1:5" ht="15.75" x14ac:dyDescent="0.25">
      <c r="A6207" s="14">
        <v>1018413529</v>
      </c>
      <c r="B6207" s="2">
        <v>46146.426693981484</v>
      </c>
      <c r="C6207" s="3" t="str">
        <f>IFERROR(VLOOKUP(A6207,'Base Prueba'!A:C,3,),"NO REGISTRA")</f>
        <v>FRANCY STELLA CHARRY MORENO</v>
      </c>
      <c r="D6207" s="4" t="str">
        <f>IFERROR(VLOOKUP(A6207,'Base Prueba'!A:D,4,),"NO REGISTRA")</f>
        <v>PROMOTOR COMERCIAL DEL CEA</v>
      </c>
      <c r="E6207" s="5" t="str">
        <f>IFERROR(VLOOKUP(A6207,'Base Prueba'!A:E,5,),"NO REGISTRA")</f>
        <v>OFICINA DE MERCADEO</v>
      </c>
    </row>
    <row r="6208" spans="1:5" ht="15.75" x14ac:dyDescent="0.25">
      <c r="A6208" s="14">
        <v>1032407386</v>
      </c>
      <c r="B6208" s="2">
        <v>46146.501399884262</v>
      </c>
      <c r="C6208" s="3" t="str">
        <f>IFERROR(VLOOKUP(A6208,'Base Prueba'!A:C,3,),"NO REGISTRA")</f>
        <v>GINA PAOLA BAEZ GALVIS</v>
      </c>
      <c r="D6208" s="4" t="str">
        <f>IFERROR(VLOOKUP(A6208,'Base Prueba'!A:D,4,),"NO REGISTRA")</f>
        <v>PROMOTOR CALL CENTER</v>
      </c>
      <c r="E6208" s="5" t="str">
        <f>IFERROR(VLOOKUP(A6208,'Base Prueba'!A:E,5,),"NO REGISTRA")</f>
        <v>OFICINA DE MERCADEO</v>
      </c>
    </row>
    <row r="6209" spans="1:5" ht="15.75" x14ac:dyDescent="0.25">
      <c r="A6209" s="14">
        <v>52443092</v>
      </c>
      <c r="B6209" s="2">
        <v>46146.580886805554</v>
      </c>
      <c r="C6209" s="3" t="str">
        <f>IFERROR(VLOOKUP(A6209,'Base Prueba'!A:C,3,),"NO REGISTRA")</f>
        <v>LUZ MYRIAM SAAVEDRA CONTRERAS</v>
      </c>
      <c r="D6209" s="4" t="str">
        <f>IFERROR(VLOOKUP(A6209,'Base Prueba'!A:D,4,),"NO REGISTRA")</f>
        <v>AUXILIAR DE SERVICIOS</v>
      </c>
      <c r="E6209" s="5" t="str">
        <f>IFERROR(VLOOKUP(A6209,'Base Prueba'!A:E,5,),"NO REGISTRA")</f>
        <v>LOGISTICA Y SERVICIOS GENERALES</v>
      </c>
    </row>
    <row r="6210" spans="1:5" ht="15.75" x14ac:dyDescent="0.25">
      <c r="A6210" s="14">
        <v>1013098430</v>
      </c>
      <c r="B6210" s="2">
        <v>46146.716348148148</v>
      </c>
      <c r="C6210" s="3" t="str">
        <f>IFERROR(VLOOKUP(A6210,'Base Prueba'!A:C,3,),"NO REGISTRA")</f>
        <v>ANDRES FELIPE LOPEZ ROMERO</v>
      </c>
      <c r="D6210" s="4" t="str">
        <f>IFERROR(VLOOKUP(A6210,'Base Prueba'!A:D,4,),"NO REGISTRA")</f>
        <v>APRENDIZ UNIVERSITARIO</v>
      </c>
      <c r="E6210" s="5" t="str">
        <f>IFERROR(VLOOKUP(A6210,'Base Prueba'!A:E,5,),"NO REGISTRA")</f>
        <v>OFICINA DE MERCADEO</v>
      </c>
    </row>
    <row r="6211" spans="1:5" ht="15.75" x14ac:dyDescent="0.25">
      <c r="A6211" s="14">
        <v>1024512067</v>
      </c>
      <c r="B6211" s="2">
        <v>46146.71724583333</v>
      </c>
      <c r="C6211" s="3" t="str">
        <f>IFERROR(VLOOKUP(A6211,'Base Prueba'!A:C,3,),"NO REGISTRA")</f>
        <v>CINDY GIOVANA SALGAR GOMEZ</v>
      </c>
      <c r="D6211" s="4" t="str">
        <f>IFERROR(VLOOKUP(A6211,'Base Prueba'!A:D,4,),"NO REGISTRA")</f>
        <v>COORDINADOR DEL SISTEMA INTEGRADO DE GESTION INSTITUCIONAL - SIGI</v>
      </c>
      <c r="E6211" s="5" t="str">
        <f>IFERROR(VLOOKUP(A6211,'Base Prueba'!A:E,5,),"NO REGISTRA")</f>
        <v>OFICINA DE PLANEACION Y GESTION DE LA CALIDAD</v>
      </c>
    </row>
    <row r="6212" spans="1:5" ht="15.75" x14ac:dyDescent="0.25">
      <c r="A6212" s="14">
        <v>1000593372</v>
      </c>
      <c r="B6212" s="2">
        <v>46146.744537962964</v>
      </c>
      <c r="C6212" s="3" t="str">
        <f>IFERROR(VLOOKUP(A6212,'Base Prueba'!A:C,3,),"NO REGISTRA")</f>
        <v>LAURA SOFIA CHAPARRO LOPEZ</v>
      </c>
      <c r="D6212" s="4" t="str">
        <f>IFERROR(VLOOKUP(A6212,'Base Prueba'!A:D,4,),"NO REGISTRA")</f>
        <v>AUXILIAR JURIDICO</v>
      </c>
      <c r="E6212" s="5" t="str">
        <f>IFERROR(VLOOKUP(A6212,'Base Prueba'!A:E,5,),"NO REGISTRA")</f>
        <v>SECRETARIA GENERAL</v>
      </c>
    </row>
    <row r="6213" spans="1:5" ht="15.75" x14ac:dyDescent="0.25">
      <c r="A6213" s="14">
        <v>1000604979</v>
      </c>
      <c r="B6213" s="2">
        <v>46146.744549537034</v>
      </c>
      <c r="C6213" s="3" t="str">
        <f>IFERROR(VLOOKUP(A6213,'Base Prueba'!A:C,3,),"NO REGISTRA")</f>
        <v>JULIETH TATIANA PARDO PINTO</v>
      </c>
      <c r="D6213" s="4" t="str">
        <f>IFERROR(VLOOKUP(A6213,'Base Prueba'!A:D,4,),"NO REGISTRA")</f>
        <v>AUXILIAR JURIDICO</v>
      </c>
      <c r="E6213" s="5" t="str">
        <f>IFERROR(VLOOKUP(A6213,'Base Prueba'!A:E,5,),"NO REGISTRA")</f>
        <v>SECRETARIA GENERAL</v>
      </c>
    </row>
    <row r="6214" spans="1:5" ht="15.75" x14ac:dyDescent="0.25">
      <c r="A6214" s="14">
        <v>1022996882</v>
      </c>
      <c r="B6214" s="2">
        <v>46146.749872800923</v>
      </c>
      <c r="C6214" s="3" t="str">
        <f>IFERROR(VLOOKUP(A6214,'Base Prueba'!A:C,3,),"NO REGISTRA")</f>
        <v>NANCY BRIGITH ALDANA GUEVARA</v>
      </c>
      <c r="D6214" s="4" t="str">
        <f>IFERROR(VLOOKUP(A6214,'Base Prueba'!A:D,4,),"NO REGISTRA")</f>
        <v>COORDINADORA DE GESTIÓN HUMANA</v>
      </c>
      <c r="E6214" s="5" t="str">
        <f>IFERROR(VLOOKUP(A6214,'Base Prueba'!A:E,5,),"NO REGISTRA")</f>
        <v>DEPARTAMENTO DE GESTION HUMANA</v>
      </c>
    </row>
    <row r="6215" spans="1:5" ht="15.75" x14ac:dyDescent="0.25">
      <c r="A6215" s="14">
        <v>1012426741</v>
      </c>
      <c r="B6215" s="2">
        <v>46146.750159722222</v>
      </c>
      <c r="C6215" s="3" t="str">
        <f>IFERROR(VLOOKUP(A6215,'Base Prueba'!A:C,3,),"NO REGISTRA")</f>
        <v>CRISTIAN FABIAN ROJAS SANCENO</v>
      </c>
      <c r="D6215" s="4" t="str">
        <f>IFERROR(VLOOKUP(A6215,'Base Prueba'!A:D,4,),"NO REGISTRA")</f>
        <v>AUXILIAR DE REINTEGROS</v>
      </c>
      <c r="E6215" s="5" t="str">
        <f>IFERROR(VLOOKUP(A6215,'Base Prueba'!A:E,5,),"NO REGISTRA")</f>
        <v>DIRECCION DE BIENESTAR INSTITUCIONAL</v>
      </c>
    </row>
    <row r="6216" spans="1:5" ht="15.75" x14ac:dyDescent="0.25">
      <c r="A6216" s="14">
        <v>1000611958</v>
      </c>
      <c r="B6216" s="2">
        <v>46146.750239004628</v>
      </c>
      <c r="C6216" s="3" t="str">
        <f>IFERROR(VLOOKUP(A6216,'Base Prueba'!A:C,3,),"NO REGISTRA")</f>
        <v>TYLER CORRADINE  VARGAS</v>
      </c>
      <c r="D6216" s="4" t="str">
        <f>IFERROR(VLOOKUP(A6216,'Base Prueba'!A:D,4,),"NO REGISTRA")</f>
        <v>APRENDIZ UNIVERSITARIO</v>
      </c>
      <c r="E6216" s="5" t="str">
        <f>IFERROR(VLOOKUP(A6216,'Base Prueba'!A:E,5,),"NO REGISTRA")</f>
        <v>DEPARTAMENTO DE INFORMATICA Y TECNOLOGIA</v>
      </c>
    </row>
    <row r="6217" spans="1:5" ht="15.75" x14ac:dyDescent="0.25">
      <c r="A6217" s="14">
        <v>1193457976</v>
      </c>
      <c r="B6217" s="2">
        <v>46146.750331365743</v>
      </c>
      <c r="C6217" s="3" t="str">
        <f>IFERROR(VLOOKUP(A6217,'Base Prueba'!A:C,3,),"NO REGISTRA")</f>
        <v>SEDENIS RIVAS ASPRILLA</v>
      </c>
      <c r="D6217" s="4" t="str">
        <f>IFERROR(VLOOKUP(A6217,'Base Prueba'!A:D,4,),"NO REGISTRA")</f>
        <v>APRENDIZ UNIVERSITARIO</v>
      </c>
      <c r="E6217" s="5" t="str">
        <f>IFERROR(VLOOKUP(A6217,'Base Prueba'!A:E,5,),"NO REGISTRA")</f>
        <v>DEPARTAMENTO DE GESTION HUMANA</v>
      </c>
    </row>
    <row r="6218" spans="1:5" ht="15.75" x14ac:dyDescent="0.25">
      <c r="A6218" s="14">
        <v>52175674</v>
      </c>
      <c r="B6218" s="2">
        <v>46146.750767592595</v>
      </c>
      <c r="C6218" s="3" t="str">
        <f>IFERROR(VLOOKUP(A6218,'Base Prueba'!A:C,3,),"NO REGISTRA")</f>
        <v>LUZ YANETH GOMEZ AREVALO</v>
      </c>
      <c r="D6218" s="4" t="str">
        <f>IFERROR(VLOOKUP(A6218,'Base Prueba'!A:D,4,),"NO REGISTRA")</f>
        <v>COORDINADORA DE ADMISIONES</v>
      </c>
      <c r="E6218" s="5" t="str">
        <f>IFERROR(VLOOKUP(A6218,'Base Prueba'!A:E,5,),"NO REGISTRA")</f>
        <v>OFICINA DE MERCADEO</v>
      </c>
    </row>
    <row r="6219" spans="1:5" ht="15.75" x14ac:dyDescent="0.25">
      <c r="A6219" s="14">
        <v>1023883232</v>
      </c>
      <c r="B6219" s="2">
        <v>46146.751009143518</v>
      </c>
      <c r="C6219" s="3" t="str">
        <f>IFERROR(VLOOKUP(A6219,'Base Prueba'!A:C,3,),"NO REGISTRA")</f>
        <v>MONICA ANDREA ACERO URBANO</v>
      </c>
      <c r="D6219" s="4" t="str">
        <f>IFERROR(VLOOKUP(A6219,'Base Prueba'!A:D,4,),"NO REGISTRA")</f>
        <v>APOYO INTEGRAL A GESTION HUMANA</v>
      </c>
      <c r="E6219" s="5" t="str">
        <f>IFERROR(VLOOKUP(A6219,'Base Prueba'!A:E,5,),"NO REGISTRA")</f>
        <v>DEPARTAMENTO DE GESTION HUMANA</v>
      </c>
    </row>
    <row r="6220" spans="1:5" ht="15.75" x14ac:dyDescent="0.25">
      <c r="A6220" s="14">
        <v>1087121273</v>
      </c>
      <c r="B6220" s="2">
        <v>46146.751029398147</v>
      </c>
      <c r="C6220" s="3" t="str">
        <f>IFERROR(VLOOKUP(A6220,'Base Prueba'!A:C,3,),"NO REGISTRA")</f>
        <v>MAYRA ALEJANDRA CASTILLO ARBOLEDA</v>
      </c>
      <c r="D6220" s="4" t="str">
        <f>IFERROR(VLOOKUP(A6220,'Base Prueba'!A:D,4,),"NO REGISTRA")</f>
        <v>APOYO INTEGRAL DE MERCADEO</v>
      </c>
      <c r="E6220" s="5" t="str">
        <f>IFERROR(VLOOKUP(A6220,'Base Prueba'!A:E,5,),"NO REGISTRA")</f>
        <v>CENTRO DE GESTION DOCUMENTAL</v>
      </c>
    </row>
    <row r="6221" spans="1:5" ht="15.75" x14ac:dyDescent="0.25">
      <c r="A6221" s="14">
        <v>1000467399</v>
      </c>
      <c r="B6221" s="2">
        <v>46146.751645949073</v>
      </c>
      <c r="C6221" s="3" t="str">
        <f>IFERROR(VLOOKUP(A6221,'Base Prueba'!A:C,3,),"NO REGISTRA")</f>
        <v>BRANDO ESTIVEN DIAZ QUIMBAYA</v>
      </c>
      <c r="D6221" s="4" t="str">
        <f>IFERROR(VLOOKUP(A6221,'Base Prueba'!A:D,4,),"NO REGISTRA")</f>
        <v>APRENDIZ UNIVERSITARIO</v>
      </c>
      <c r="E6221" s="5" t="str">
        <f>IFERROR(VLOOKUP(A6221,'Base Prueba'!A:E,5,),"NO REGISTRA")</f>
        <v>DEPARTAMENTO DE GESTION HUMANA</v>
      </c>
    </row>
    <row r="6222" spans="1:5" ht="15.75" x14ac:dyDescent="0.25">
      <c r="A6222" s="14">
        <v>1013101788</v>
      </c>
      <c r="B6222" s="2">
        <v>46146.752631597221</v>
      </c>
      <c r="C6222" s="3" t="str">
        <f>IFERROR(VLOOKUP(A6222,'Base Prueba'!A:C,3,),"NO REGISTRA")</f>
        <v>SARA TANGARIFE MONTOYA</v>
      </c>
      <c r="D6222" s="4" t="str">
        <f>IFERROR(VLOOKUP(A6222,'Base Prueba'!A:D,4,),"NO REGISTRA")</f>
        <v>APRENDIZ UNIVERSITARIO</v>
      </c>
      <c r="E6222" s="5" t="str">
        <f>IFERROR(VLOOKUP(A6222,'Base Prueba'!A:E,5,),"NO REGISTRA")</f>
        <v>OFICINA DE MERCADEO</v>
      </c>
    </row>
    <row r="6223" spans="1:5" ht="15.75" x14ac:dyDescent="0.25">
      <c r="A6223" s="14">
        <v>1000992568</v>
      </c>
      <c r="B6223" s="2">
        <v>46146.753543865743</v>
      </c>
      <c r="C6223" s="3" t="str">
        <f>IFERROR(VLOOKUP(A6223,'Base Prueba'!A:C,3,),"NO REGISTRA")</f>
        <v>KAREN BRIGITTE DALEMAN MORENO</v>
      </c>
      <c r="D6223" s="4" t="str">
        <f>IFERROR(VLOOKUP(A6223,'Base Prueba'!A:D,4,),"NO REGISTRA")</f>
        <v>RECEPCIONISTA</v>
      </c>
      <c r="E6223" s="5" t="str">
        <f>IFERROR(VLOOKUP(A6223,'Base Prueba'!A:E,5,),"NO REGISTRA")</f>
        <v>CENTRO DE GESTION DOCUMENTAL</v>
      </c>
    </row>
    <row r="6224" spans="1:5" ht="15.75" x14ac:dyDescent="0.25">
      <c r="A6224" s="14">
        <v>52225539</v>
      </c>
      <c r="B6224" s="2">
        <v>46146.753606712962</v>
      </c>
      <c r="C6224" s="3" t="str">
        <f>IFERROR(VLOOKUP(A6224,'Base Prueba'!A:C,3,),"NO REGISTRA")</f>
        <v>LISA MINELLY ZAMBRANO CONTRERAS</v>
      </c>
      <c r="D6224" s="4" t="str">
        <f>IFERROR(VLOOKUP(A6224,'Base Prueba'!A:D,4,),"NO REGISTRA")</f>
        <v>LIDER DE COMPRAS</v>
      </c>
      <c r="E6224" s="5" t="str">
        <f>IFERROR(VLOOKUP(A6224,'Base Prueba'!A:E,5,),"NO REGISTRA")</f>
        <v>VICERRECTORIA ADMINISTRATIVA Y FINANCIERA</v>
      </c>
    </row>
    <row r="6225" spans="1:5" ht="15.75" x14ac:dyDescent="0.25">
      <c r="A6225" s="14">
        <v>1049644802</v>
      </c>
      <c r="B6225" s="2">
        <v>46146.75448113426</v>
      </c>
      <c r="C6225" s="3" t="str">
        <f>IFERROR(VLOOKUP(A6225,'Base Prueba'!A:C,3,),"NO REGISTRA")</f>
        <v>DANIELA ALEXANDRA CIPAMOCHA BOSIGA</v>
      </c>
      <c r="D6225" s="4" t="str">
        <f>IFERROR(VLOOKUP(A6225,'Base Prueba'!A:D,4,),"NO REGISTRA")</f>
        <v>LIDER DE DATOS Y SERVICIOS</v>
      </c>
      <c r="E6225" s="5" t="str">
        <f>IFERROR(VLOOKUP(A6225,'Base Prueba'!A:E,5,),"NO REGISTRA")</f>
        <v>OFICINA DE PLANEACION Y GESTION DE LA CALIDAD</v>
      </c>
    </row>
    <row r="6226" spans="1:5" ht="15.75" x14ac:dyDescent="0.25">
      <c r="A6226" s="14">
        <v>1014266838</v>
      </c>
      <c r="B6226" s="2">
        <v>46146.755901157405</v>
      </c>
      <c r="C6226" s="3" t="str">
        <f>IFERROR(VLOOKUP(A6226,'Base Prueba'!A:C,3,),"NO REGISTRA")</f>
        <v>JENNIFER ASTRID ROMERO HURTADO</v>
      </c>
      <c r="D6226" s="4" t="str">
        <f>IFERROR(VLOOKUP(A6226,'Base Prueba'!A:D,4,),"NO REGISTRA")</f>
        <v>LIDER DE RECAUDO</v>
      </c>
      <c r="E6226" s="5" t="str">
        <f>IFERROR(VLOOKUP(A6226,'Base Prueba'!A:E,5,),"NO REGISTRA")</f>
        <v>AREA FINANCIERA Y CONTABLE</v>
      </c>
    </row>
    <row r="6227" spans="1:5" ht="15.75" x14ac:dyDescent="0.25">
      <c r="A6227" s="14">
        <v>1000046533</v>
      </c>
      <c r="B6227" s="2">
        <v>46146.75742199074</v>
      </c>
      <c r="C6227" s="3" t="str">
        <f>IFERROR(VLOOKUP(A6227,'Base Prueba'!A:C,3,),"NO REGISTRA")</f>
        <v>ERIKA JULIETH VALDERRAMA SANCHEZ</v>
      </c>
      <c r="D6227" s="4" t="str">
        <f>IFERROR(VLOOKUP(A6227,'Base Prueba'!A:D,4,),"NO REGISTRA")</f>
        <v>PROMOTOR CALL CENTER</v>
      </c>
      <c r="E6227" s="5" t="str">
        <f>IFERROR(VLOOKUP(A6227,'Base Prueba'!A:E,5,),"NO REGISTRA")</f>
        <v>OFICINA DE MERCADEO</v>
      </c>
    </row>
    <row r="6228" spans="1:5" ht="15.75" x14ac:dyDescent="0.25">
      <c r="A6228" s="14">
        <v>1000257136</v>
      </c>
      <c r="B6228" s="2">
        <v>46146.757634027781</v>
      </c>
      <c r="C6228" s="3" t="str">
        <f>IFERROR(VLOOKUP(A6228,'Base Prueba'!A:C,3,),"NO REGISTRA")</f>
        <v>FRANCI VALENTINA CANO PUENTES</v>
      </c>
      <c r="D6228" s="4" t="str">
        <f>IFERROR(VLOOKUP(A6228,'Base Prueba'!A:D,4,),"NO REGISTRA")</f>
        <v>AUXILIAR CONTABLE</v>
      </c>
      <c r="E6228" s="5" t="str">
        <f>IFERROR(VLOOKUP(A6228,'Base Prueba'!A:E,5,),"NO REGISTRA")</f>
        <v>AREA FINANCIERA Y CONTABLE</v>
      </c>
    </row>
    <row r="6229" spans="1:5" ht="15.75" x14ac:dyDescent="0.25">
      <c r="A6229" s="14">
        <v>1018414290</v>
      </c>
      <c r="B6229" s="2">
        <v>46146.757649768515</v>
      </c>
      <c r="C6229" s="3" t="str">
        <f>IFERROR(VLOOKUP(A6229,'Base Prueba'!A:C,3,),"NO REGISTRA")</f>
        <v>AMANDA LISBETH RODRIGUEZ LEON</v>
      </c>
      <c r="D6229" s="4" t="str">
        <f>IFERROR(VLOOKUP(A6229,'Base Prueba'!A:D,4,),"NO REGISTRA")</f>
        <v>PROMOTOR CALL CENTER</v>
      </c>
      <c r="E6229" s="5" t="str">
        <f>IFERROR(VLOOKUP(A6229,'Base Prueba'!A:E,5,),"NO REGISTRA")</f>
        <v>OFICINA DE MERCADEO</v>
      </c>
    </row>
    <row r="6230" spans="1:5" ht="15.75" x14ac:dyDescent="0.25">
      <c r="A6230" s="14">
        <v>1013616244</v>
      </c>
      <c r="B6230" s="2">
        <v>46146.757702083334</v>
      </c>
      <c r="C6230" s="3" t="str">
        <f>IFERROR(VLOOKUP(A6230,'Base Prueba'!A:C,3,),"NO REGISTRA")</f>
        <v>DIANA CAROLINA MARIN BETANCOURT</v>
      </c>
      <c r="D6230" s="4" t="str">
        <f>IFERROR(VLOOKUP(A6230,'Base Prueba'!A:D,4,),"NO REGISTRA")</f>
        <v>AUXILIAR ADMINISTRATIVO</v>
      </c>
      <c r="E6230" s="5" t="str">
        <f>IFERROR(VLOOKUP(A6230,'Base Prueba'!A:E,5,),"NO REGISTRA")</f>
        <v>REGISTRO Y CONTROL ACADEMICO</v>
      </c>
    </row>
    <row r="6231" spans="1:5" ht="15.75" x14ac:dyDescent="0.25">
      <c r="A6231" s="14">
        <v>1019105003</v>
      </c>
      <c r="B6231" s="2">
        <v>46146.758424768515</v>
      </c>
      <c r="C6231" s="3" t="str">
        <f>IFERROR(VLOOKUP(A6231,'Base Prueba'!A:C,3,),"NO REGISTRA")</f>
        <v>DAISY JULIETH GASPAR MORENO</v>
      </c>
      <c r="D6231" s="4" t="str">
        <f>IFERROR(VLOOKUP(A6231,'Base Prueba'!A:D,4,),"NO REGISTRA")</f>
        <v>PROMOTOR CALL CENTER</v>
      </c>
      <c r="E6231" s="5" t="str">
        <f>IFERROR(VLOOKUP(A6231,'Base Prueba'!A:E,5,),"NO REGISTRA")</f>
        <v>OFICINA DE MERCADEO</v>
      </c>
    </row>
    <row r="6232" spans="1:5" ht="15.75" x14ac:dyDescent="0.25">
      <c r="A6232" s="14">
        <v>1014977624</v>
      </c>
      <c r="B6232" s="2">
        <v>46146.758511458334</v>
      </c>
      <c r="C6232" s="3" t="str">
        <f>IFERROR(VLOOKUP(A6232,'Base Prueba'!A:C,3,),"NO REGISTRA")</f>
        <v>NICCOLE VALENTINA HERNANDEZ MALAVER</v>
      </c>
      <c r="D6232" s="4" t="str">
        <f>IFERROR(VLOOKUP(A6232,'Base Prueba'!A:D,4,),"NO REGISTRA")</f>
        <v>APRENDIZ UNIVERSITARIO</v>
      </c>
      <c r="E6232" s="5" t="str">
        <f>IFERROR(VLOOKUP(A6232,'Base Prueba'!A:E,5,),"NO REGISTRA")</f>
        <v>AREA FINANCIERA Y CONTABLE</v>
      </c>
    </row>
    <row r="6233" spans="1:5" ht="15.75" x14ac:dyDescent="0.25">
      <c r="A6233" s="14">
        <v>1000324729</v>
      </c>
      <c r="B6233" s="2">
        <v>46146.759247453701</v>
      </c>
      <c r="C6233" s="3" t="str">
        <f>IFERROR(VLOOKUP(A6233,'Base Prueba'!A:C,3,),"NO REGISTRA")</f>
        <v>ANYIE VANESSA TINOCO CAMACHO</v>
      </c>
      <c r="D6233" s="4" t="str">
        <f>IFERROR(VLOOKUP(A6233,'Base Prueba'!A:D,4,),"NO REGISTRA")</f>
        <v>LIDER DE REGISTRO Y CONTROL</v>
      </c>
      <c r="E6233" s="5" t="str">
        <f>IFERROR(VLOOKUP(A6233,'Base Prueba'!A:E,5,),"NO REGISTRA")</f>
        <v>REGISTRO Y CONTROL ACADEMICO</v>
      </c>
    </row>
    <row r="6234" spans="1:5" ht="15.75" x14ac:dyDescent="0.25">
      <c r="A6234" s="14">
        <v>1033820146</v>
      </c>
      <c r="B6234" s="2">
        <v>46146.759279050922</v>
      </c>
      <c r="C6234" s="3" t="str">
        <f>IFERROR(VLOOKUP(A6234,'Base Prueba'!A:C,3,),"NO REGISTRA")</f>
        <v>JULIETH ALEXANDRA BUSTAMANTE RUIZ</v>
      </c>
      <c r="D6234" s="4" t="str">
        <f>IFERROR(VLOOKUP(A6234,'Base Prueba'!A:D,4,),"NO REGISTRA")</f>
        <v>AUXILIAR ADMINISTRATIVO</v>
      </c>
      <c r="E6234" s="5" t="str">
        <f>IFERROR(VLOOKUP(A6234,'Base Prueba'!A:E,5,),"NO REGISTRA")</f>
        <v>REGISTRO Y CONTROL ACADEMICO</v>
      </c>
    </row>
    <row r="6235" spans="1:5" ht="15.75" x14ac:dyDescent="0.25">
      <c r="A6235" s="14">
        <v>1000457706</v>
      </c>
      <c r="B6235" s="2">
        <v>46146.762162384257</v>
      </c>
      <c r="C6235" s="3" t="str">
        <f>IFERROR(VLOOKUP(A6235,'Base Prueba'!A:C,3,),"NO REGISTRA")</f>
        <v>CRISTIAN DANILO ARROYO SANABRIA</v>
      </c>
      <c r="D6235" s="4" t="str">
        <f>IFERROR(VLOOKUP(A6235,'Base Prueba'!A:D,4,),"NO REGISTRA")</f>
        <v>AUXILIAR CONTABLE</v>
      </c>
      <c r="E6235" s="5" t="str">
        <f>IFERROR(VLOOKUP(A6235,'Base Prueba'!A:E,5,),"NO REGISTRA")</f>
        <v>AREA FINANCIERA Y CONTABLE</v>
      </c>
    </row>
    <row r="6236" spans="1:5" ht="15.75" x14ac:dyDescent="0.25">
      <c r="A6236" s="14">
        <v>1014308296</v>
      </c>
      <c r="B6236" s="2">
        <v>46146.762444907406</v>
      </c>
      <c r="C6236" s="3" t="str">
        <f>IFERROR(VLOOKUP(A6236,'Base Prueba'!A:C,3,),"NO REGISTRA")</f>
        <v>DARLENE YULIANA MORENO CELEITA</v>
      </c>
      <c r="D6236" s="4" t="str">
        <f>IFERROR(VLOOKUP(A6236,'Base Prueba'!A:D,4,),"NO REGISTRA")</f>
        <v>CAJERO PRINCIPAL</v>
      </c>
      <c r="E6236" s="5" t="str">
        <f>IFERROR(VLOOKUP(A6236,'Base Prueba'!A:E,5,),"NO REGISTRA")</f>
        <v>AREA FINANCIERA Y CONTABLE</v>
      </c>
    </row>
    <row r="6237" spans="1:5" ht="15.75" x14ac:dyDescent="0.25">
      <c r="A6237" s="14">
        <v>1023961952</v>
      </c>
      <c r="B6237" s="2">
        <v>46146.762976851853</v>
      </c>
      <c r="C6237" s="3" t="str">
        <f>IFERROR(VLOOKUP(A6237,'Base Prueba'!A:C,3,),"NO REGISTRA")</f>
        <v>ALEJANDRO PINZON MERCHAN</v>
      </c>
      <c r="D6237" s="4" t="str">
        <f>IFERROR(VLOOKUP(A6237,'Base Prueba'!A:D,4,),"NO REGISTRA")</f>
        <v>PROMOTOR CALL CENTER</v>
      </c>
      <c r="E6237" s="5" t="str">
        <f>IFERROR(VLOOKUP(A6237,'Base Prueba'!A:E,5,),"NO REGISTRA")</f>
        <v>OFICINA DE MERCADEO</v>
      </c>
    </row>
    <row r="6238" spans="1:5" ht="15.75" x14ac:dyDescent="0.25">
      <c r="A6238" s="14">
        <v>28798349</v>
      </c>
      <c r="B6238" s="2">
        <v>46146.763046759261</v>
      </c>
      <c r="C6238" s="3" t="str">
        <f>IFERROR(VLOOKUP(A6238,'Base Prueba'!A:C,3,),"NO REGISTRA")</f>
        <v>MARTHA ISABEL TOVAR WILLIAMS</v>
      </c>
      <c r="D6238" s="4" t="str">
        <f>IFERROR(VLOOKUP(A6238,'Base Prueba'!A:D,4,),"NO REGISTRA")</f>
        <v>PROMOTOR CALL CENTER</v>
      </c>
      <c r="E6238" s="5" t="str">
        <f>IFERROR(VLOOKUP(A6238,'Base Prueba'!A:E,5,),"NO REGISTRA")</f>
        <v>OFICINA DE MERCADEO</v>
      </c>
    </row>
    <row r="6239" spans="1:5" ht="15.75" x14ac:dyDescent="0.25">
      <c r="A6239" s="14">
        <v>52472386</v>
      </c>
      <c r="B6239" s="2">
        <v>46146.765107175925</v>
      </c>
      <c r="C6239" s="3" t="str">
        <f>IFERROR(VLOOKUP(A6239,'Base Prueba'!A:C,3,),"NO REGISTRA")</f>
        <v>ADRIANA MARCELA MORALES PARDO</v>
      </c>
      <c r="D6239" s="4" t="str">
        <f>IFERROR(VLOOKUP(A6239,'Base Prueba'!A:D,4,),"NO REGISTRA")</f>
        <v>PROMOTOR CALL CENTER</v>
      </c>
      <c r="E6239" s="5" t="str">
        <f>IFERROR(VLOOKUP(A6239,'Base Prueba'!A:E,5,),"NO REGISTRA")</f>
        <v>OFICINA DE MERCADEO</v>
      </c>
    </row>
    <row r="6240" spans="1:5" ht="15.75" x14ac:dyDescent="0.25">
      <c r="A6240" s="14">
        <v>1014196857</v>
      </c>
      <c r="B6240" s="2">
        <v>46146.76768946759</v>
      </c>
      <c r="C6240" s="3" t="str">
        <f>IFERROR(VLOOKUP(A6240,'Base Prueba'!A:C,3,),"NO REGISTRA")</f>
        <v>CARLOS ANDRES JIMENEZ PARDO</v>
      </c>
      <c r="D6240" s="4" t="str">
        <f>IFERROR(VLOOKUP(A6240,'Base Prueba'!A:D,4,),"NO REGISTRA")</f>
        <v>COORDINADOR DE MARKETING DIGITAL</v>
      </c>
      <c r="E6240" s="5" t="str">
        <f>IFERROR(VLOOKUP(A6240,'Base Prueba'!A:E,5,),"NO REGISTRA")</f>
        <v>OFICINA DE MERCADEO</v>
      </c>
    </row>
    <row r="6241" spans="1:5" ht="15.75" x14ac:dyDescent="0.25">
      <c r="A6241" s="14">
        <v>52764929</v>
      </c>
      <c r="B6241" s="2">
        <v>46146.768460648149</v>
      </c>
      <c r="C6241" s="3" t="str">
        <f>IFERROR(VLOOKUP(A6241,'Base Prueba'!A:C,3,),"NO REGISTRA")</f>
        <v>GUERLY YOHANA DURAN RIVERA</v>
      </c>
      <c r="D6241" s="4" t="str">
        <f>IFERROR(VLOOKUP(A6241,'Base Prueba'!A:D,4,),"NO REGISTRA")</f>
        <v>LIDER DE VINCULACION COLEGIOS</v>
      </c>
      <c r="E6241" s="5" t="str">
        <f>IFERROR(VLOOKUP(A6241,'Base Prueba'!A:E,5,),"NO REGISTRA")</f>
        <v>OFICINA DE MERCADEO</v>
      </c>
    </row>
    <row r="6242" spans="1:5" ht="15.75" x14ac:dyDescent="0.25">
      <c r="A6242" s="14">
        <v>80234243</v>
      </c>
      <c r="B6242" s="2">
        <v>46146.769166087965</v>
      </c>
      <c r="C6242" s="3" t="str">
        <f>IFERROR(VLOOKUP(A6242,'Base Prueba'!A:C,3,),"NO REGISTRA")</f>
        <v>ARGENIS MARTINEZ MARTINEZ</v>
      </c>
      <c r="D6242" s="4" t="str">
        <f>IFERROR(VLOOKUP(A6242,'Base Prueba'!A:D,4,),"NO REGISTRA")</f>
        <v>LIDER CALL CENTER</v>
      </c>
      <c r="E6242" s="5" t="str">
        <f>IFERROR(VLOOKUP(A6242,'Base Prueba'!A:E,5,),"NO REGISTRA")</f>
        <v>OFICINA DE MERCADEO</v>
      </c>
    </row>
    <row r="6243" spans="1:5" ht="15.75" x14ac:dyDescent="0.25">
      <c r="A6243" s="14">
        <v>52474489</v>
      </c>
      <c r="B6243" s="2">
        <v>46146.770093287036</v>
      </c>
      <c r="C6243" s="3" t="str">
        <f>IFERROR(VLOOKUP(A6243,'Base Prueba'!A:C,3,),"NO REGISTRA")</f>
        <v>ADRIANA JIMENA SOTO BOCANEGRA</v>
      </c>
      <c r="D6243" s="4" t="str">
        <f>IFERROR(VLOOKUP(A6243,'Base Prueba'!A:D,4,),"NO REGISTRA")</f>
        <v>COORDINADOR DE LA OFICINA DE REGISTRO Y CONTROL</v>
      </c>
      <c r="E6243" s="5" t="str">
        <f>IFERROR(VLOOKUP(A6243,'Base Prueba'!A:E,5,),"NO REGISTRA")</f>
        <v>REGISTRO Y CONTROL ACADEMICO</v>
      </c>
    </row>
    <row r="6244" spans="1:5" ht="15.75" x14ac:dyDescent="0.25">
      <c r="A6244" s="14">
        <v>53932358</v>
      </c>
      <c r="B6244" s="2">
        <v>46146.773838425928</v>
      </c>
      <c r="C6244" s="3" t="str">
        <f>IFERROR(VLOOKUP(A6244,'Base Prueba'!A:C,3,),"NO REGISTRA")</f>
        <v>DIANA MADELEYNE GAONA RODRIGUEZ</v>
      </c>
      <c r="D6244" s="4" t="str">
        <f>IFERROR(VLOOKUP(A6244,'Base Prueba'!A:D,4,),"NO REGISTRA")</f>
        <v>CONTADOR</v>
      </c>
      <c r="E6244" s="5" t="str">
        <f>IFERROR(VLOOKUP(A6244,'Base Prueba'!A:E,5,),"NO REGISTRA")</f>
        <v>AREA FINANCIERA Y CONTABLE</v>
      </c>
    </row>
    <row r="6245" spans="1:5" ht="15.75" x14ac:dyDescent="0.25">
      <c r="A6245" s="14">
        <v>80191732</v>
      </c>
      <c r="B6245" s="2">
        <v>46146.774114814812</v>
      </c>
      <c r="C6245" s="3" t="str">
        <f>IFERROR(VLOOKUP(A6245,'Base Prueba'!A:C,3,),"NO REGISTRA")</f>
        <v>DANIEL MAURICIO ZAMBRANO TUNJANO</v>
      </c>
      <c r="D6245" s="4" t="str">
        <f>IFERROR(VLOOKUP(A6245,'Base Prueba'!A:D,4,),"NO REGISTRA")</f>
        <v>COORDINADOR DE DISEÑO E IMAGEN INSTITUCIONAL</v>
      </c>
      <c r="E6245" s="5" t="str">
        <f>IFERROR(VLOOKUP(A6245,'Base Prueba'!A:E,5,),"NO REGISTRA")</f>
        <v>OFICINA DE MERCADEO</v>
      </c>
    </row>
    <row r="6246" spans="1:5" ht="15.75" x14ac:dyDescent="0.25">
      <c r="A6246" s="14">
        <v>1033709056</v>
      </c>
      <c r="B6246" s="2">
        <v>46146.774796759259</v>
      </c>
      <c r="C6246" s="3" t="str">
        <f>IFERROR(VLOOKUP(A6246,'Base Prueba'!A:C,3,),"NO REGISTRA")</f>
        <v>YEIMY ALEXANDRA RODRIGUEZ PALACIO</v>
      </c>
      <c r="D6246" s="4" t="str">
        <f>IFERROR(VLOOKUP(A6246,'Base Prueba'!A:D,4,),"NO REGISTRA")</f>
        <v>PROMOTOR CALL CENTER</v>
      </c>
      <c r="E6246" s="5" t="str">
        <f>IFERROR(VLOOKUP(A6246,'Base Prueba'!A:E,5,),"NO REGISTRA")</f>
        <v>OFICINA DE MERCADEO</v>
      </c>
    </row>
    <row r="6247" spans="1:5" ht="15.75" x14ac:dyDescent="0.25">
      <c r="A6247" s="14">
        <v>53089882</v>
      </c>
      <c r="B6247" s="2">
        <v>46146.791789351853</v>
      </c>
      <c r="C6247" s="3" t="str">
        <f>IFERROR(VLOOKUP(A6247,'Base Prueba'!A:C,3,),"NO REGISTRA")</f>
        <v>MARIA JOHANA ESCAMILLA MARTINEZ</v>
      </c>
      <c r="D6247" s="4" t="str">
        <f>IFERROR(VLOOKUP(A6247,'Base Prueba'!A:D,4,),"NO REGISTRA")</f>
        <v>PROMOTOR DE INFORMACIÓN</v>
      </c>
      <c r="E6247" s="5" t="str">
        <f>IFERROR(VLOOKUP(A6247,'Base Prueba'!A:E,5,),"NO REGISTRA")</f>
        <v>OFICINA DE MERCADEO</v>
      </c>
    </row>
    <row r="6248" spans="1:5" ht="15.75" x14ac:dyDescent="0.25">
      <c r="A6248" s="14">
        <v>1018413529</v>
      </c>
      <c r="B6248" s="2">
        <v>46146.791843402774</v>
      </c>
      <c r="C6248" s="3" t="str">
        <f>IFERROR(VLOOKUP(A6248,'Base Prueba'!A:C,3,),"NO REGISTRA")</f>
        <v>FRANCY STELLA CHARRY MORENO</v>
      </c>
      <c r="D6248" s="4" t="str">
        <f>IFERROR(VLOOKUP(A6248,'Base Prueba'!A:D,4,),"NO REGISTRA")</f>
        <v>PROMOTOR COMERCIAL DEL CEA</v>
      </c>
      <c r="E6248" s="5" t="str">
        <f>IFERROR(VLOOKUP(A6248,'Base Prueba'!A:E,5,),"NO REGISTRA")</f>
        <v>OFICINA DE MERCADEO</v>
      </c>
    </row>
    <row r="6249" spans="1:5" ht="15.75" x14ac:dyDescent="0.25">
      <c r="A6249" s="14">
        <v>1024512067</v>
      </c>
      <c r="B6249" s="2">
        <v>46147.313035416664</v>
      </c>
      <c r="C6249" s="3" t="str">
        <f>IFERROR(VLOOKUP(A6249,'Base Prueba'!A:C,3,),"NO REGISTRA")</f>
        <v>CINDY GIOVANA SALGAR GOMEZ</v>
      </c>
      <c r="D6249" s="4" t="str">
        <f>IFERROR(VLOOKUP(A6249,'Base Prueba'!A:D,4,),"NO REGISTRA")</f>
        <v>COORDINADOR DEL SISTEMA INTEGRADO DE GESTION INSTITUCIONAL - SIGI</v>
      </c>
      <c r="E6249" s="5" t="str">
        <f>IFERROR(VLOOKUP(A6249,'Base Prueba'!A:E,5,),"NO REGISTRA")</f>
        <v>OFICINA DE PLANEACION Y GESTION DE LA CALIDAD</v>
      </c>
    </row>
    <row r="6250" spans="1:5" ht="15.75" x14ac:dyDescent="0.25">
      <c r="A6250" s="14">
        <v>1000324729</v>
      </c>
      <c r="B6250" s="2">
        <v>46147.321564930557</v>
      </c>
      <c r="C6250" s="3" t="str">
        <f>IFERROR(VLOOKUP(A6250,'Base Prueba'!A:C,3,),"NO REGISTRA")</f>
        <v>ANYIE VANESSA TINOCO CAMACHO</v>
      </c>
      <c r="D6250" s="4" t="str">
        <f>IFERROR(VLOOKUP(A6250,'Base Prueba'!A:D,4,),"NO REGISTRA")</f>
        <v>LIDER DE REGISTRO Y CONTROL</v>
      </c>
      <c r="E6250" s="5" t="str">
        <f>IFERROR(VLOOKUP(A6250,'Base Prueba'!A:E,5,),"NO REGISTRA")</f>
        <v>REGISTRO Y CONTROL ACADEMICO</v>
      </c>
    </row>
    <row r="6251" spans="1:5" ht="15.75" x14ac:dyDescent="0.25">
      <c r="A6251" s="14">
        <v>1014308296</v>
      </c>
      <c r="B6251" s="2">
        <v>46147.321890624997</v>
      </c>
      <c r="C6251" s="3" t="str">
        <f>IFERROR(VLOOKUP(A6251,'Base Prueba'!A:C,3,),"NO REGISTRA")</f>
        <v>DARLENE YULIANA MORENO CELEITA</v>
      </c>
      <c r="D6251" s="4" t="str">
        <f>IFERROR(VLOOKUP(A6251,'Base Prueba'!A:D,4,),"NO REGISTRA")</f>
        <v>CAJERO PRINCIPAL</v>
      </c>
      <c r="E6251" s="5" t="str">
        <f>IFERROR(VLOOKUP(A6251,'Base Prueba'!A:E,5,),"NO REGISTRA")</f>
        <v>AREA FINANCIERA Y CONTABLE</v>
      </c>
    </row>
    <row r="6252" spans="1:5" ht="15.75" x14ac:dyDescent="0.25">
      <c r="A6252" s="14">
        <v>1013616244</v>
      </c>
      <c r="B6252" s="2">
        <v>46147.3298</v>
      </c>
      <c r="C6252" s="3" t="str">
        <f>IFERROR(VLOOKUP(A6252,'Base Prueba'!A:C,3,),"NO REGISTRA")</f>
        <v>DIANA CAROLINA MARIN BETANCOURT</v>
      </c>
      <c r="D6252" s="4" t="str">
        <f>IFERROR(VLOOKUP(A6252,'Base Prueba'!A:D,4,),"NO REGISTRA")</f>
        <v>AUXILIAR ADMINISTRATIVO</v>
      </c>
      <c r="E6252" s="5" t="str">
        <f>IFERROR(VLOOKUP(A6252,'Base Prueba'!A:E,5,),"NO REGISTRA")</f>
        <v>REGISTRO Y CONTROL ACADEMICO</v>
      </c>
    </row>
    <row r="6253" spans="1:5" ht="15.75" x14ac:dyDescent="0.25">
      <c r="A6253" s="14">
        <v>52225539</v>
      </c>
      <c r="B6253" s="2">
        <v>46147.330597800923</v>
      </c>
      <c r="C6253" s="3" t="str">
        <f>IFERROR(VLOOKUP(A6253,'Base Prueba'!A:C,3,),"NO REGISTRA")</f>
        <v>LISA MINELLY ZAMBRANO CONTRERAS</v>
      </c>
      <c r="D6253" s="4" t="str">
        <f>IFERROR(VLOOKUP(A6253,'Base Prueba'!A:D,4,),"NO REGISTRA")</f>
        <v>LIDER DE COMPRAS</v>
      </c>
      <c r="E6253" s="5" t="str">
        <f>IFERROR(VLOOKUP(A6253,'Base Prueba'!A:E,5,),"NO REGISTRA")</f>
        <v>VICERRECTORIA ADMINISTRATIVA Y FINANCIERA</v>
      </c>
    </row>
    <row r="6254" spans="1:5" ht="15.75" x14ac:dyDescent="0.25">
      <c r="A6254" s="14">
        <v>80191732</v>
      </c>
      <c r="B6254" s="2">
        <v>46147.332146296299</v>
      </c>
      <c r="C6254" s="3" t="str">
        <f>IFERROR(VLOOKUP(A6254,'Base Prueba'!A:C,3,),"NO REGISTRA")</f>
        <v>DANIEL MAURICIO ZAMBRANO TUNJANO</v>
      </c>
      <c r="D6254" s="4" t="str">
        <f>IFERROR(VLOOKUP(A6254,'Base Prueba'!A:D,4,),"NO REGISTRA")</f>
        <v>COORDINADOR DE DISEÑO E IMAGEN INSTITUCIONAL</v>
      </c>
      <c r="E6254" s="5" t="str">
        <f>IFERROR(VLOOKUP(A6254,'Base Prueba'!A:E,5,),"NO REGISTRA")</f>
        <v>OFICINA DE MERCADEO</v>
      </c>
    </row>
    <row r="6255" spans="1:5" ht="15.75" x14ac:dyDescent="0.25">
      <c r="A6255" s="14">
        <v>1000257136</v>
      </c>
      <c r="B6255" s="2">
        <v>46147.334730208335</v>
      </c>
      <c r="C6255" s="3" t="str">
        <f>IFERROR(VLOOKUP(A6255,'Base Prueba'!A:C,3,),"NO REGISTRA")</f>
        <v>FRANCI VALENTINA CANO PUENTES</v>
      </c>
      <c r="D6255" s="4" t="str">
        <f>IFERROR(VLOOKUP(A6255,'Base Prueba'!A:D,4,),"NO REGISTRA")</f>
        <v>AUXILIAR CONTABLE</v>
      </c>
      <c r="E6255" s="5" t="str">
        <f>IFERROR(VLOOKUP(A6255,'Base Prueba'!A:E,5,),"NO REGISTRA")</f>
        <v>AREA FINANCIERA Y CONTABLE</v>
      </c>
    </row>
    <row r="6256" spans="1:5" ht="15.75" x14ac:dyDescent="0.25">
      <c r="A6256" s="14">
        <v>1049644802</v>
      </c>
      <c r="B6256" s="2">
        <v>46147.335789236109</v>
      </c>
      <c r="C6256" s="3" t="str">
        <f>IFERROR(VLOOKUP(A6256,'Base Prueba'!A:C,3,),"NO REGISTRA")</f>
        <v>DANIELA ALEXANDRA CIPAMOCHA BOSIGA</v>
      </c>
      <c r="D6256" s="4" t="str">
        <f>IFERROR(VLOOKUP(A6256,'Base Prueba'!A:D,4,),"NO REGISTRA")</f>
        <v>LIDER DE DATOS Y SERVICIOS</v>
      </c>
      <c r="E6256" s="5" t="str">
        <f>IFERROR(VLOOKUP(A6256,'Base Prueba'!A:E,5,),"NO REGISTRA")</f>
        <v>OFICINA DE PLANEACION Y GESTION DE LA CALIDAD</v>
      </c>
    </row>
    <row r="6257" spans="1:5" ht="15.75" x14ac:dyDescent="0.25">
      <c r="A6257" s="14">
        <v>1014977624</v>
      </c>
      <c r="B6257" s="2">
        <v>46147.336067013886</v>
      </c>
      <c r="C6257" s="3" t="str">
        <f>IFERROR(VLOOKUP(A6257,'Base Prueba'!A:C,3,),"NO REGISTRA")</f>
        <v>NICCOLE VALENTINA HERNANDEZ MALAVER</v>
      </c>
      <c r="D6257" s="4" t="str">
        <f>IFERROR(VLOOKUP(A6257,'Base Prueba'!A:D,4,),"NO REGISTRA")</f>
        <v>APRENDIZ UNIVERSITARIO</v>
      </c>
      <c r="E6257" s="5" t="str">
        <f>IFERROR(VLOOKUP(A6257,'Base Prueba'!A:E,5,),"NO REGISTRA")</f>
        <v>AREA FINANCIERA Y CONTABLE</v>
      </c>
    </row>
    <row r="6258" spans="1:5" ht="15.75" x14ac:dyDescent="0.25">
      <c r="A6258" s="14">
        <v>1000992568</v>
      </c>
      <c r="B6258" s="2">
        <v>46147.336669675926</v>
      </c>
      <c r="C6258" s="3" t="str">
        <f>IFERROR(VLOOKUP(A6258,'Base Prueba'!A:C,3,),"NO REGISTRA")</f>
        <v>KAREN BRIGITTE DALEMAN MORENO</v>
      </c>
      <c r="D6258" s="4" t="str">
        <f>IFERROR(VLOOKUP(A6258,'Base Prueba'!A:D,4,),"NO REGISTRA")</f>
        <v>RECEPCIONISTA</v>
      </c>
      <c r="E6258" s="5" t="str">
        <f>IFERROR(VLOOKUP(A6258,'Base Prueba'!A:E,5,),"NO REGISTRA")</f>
        <v>CENTRO DE GESTION DOCUMENTAL</v>
      </c>
    </row>
    <row r="6259" spans="1:5" ht="15.75" x14ac:dyDescent="0.25">
      <c r="A6259" s="14">
        <v>1000604979</v>
      </c>
      <c r="B6259" s="2">
        <v>46147.337852314813</v>
      </c>
      <c r="C6259" s="3" t="str">
        <f>IFERROR(VLOOKUP(A6259,'Base Prueba'!A:C,3,),"NO REGISTRA")</f>
        <v>JULIETH TATIANA PARDO PINTO</v>
      </c>
      <c r="D6259" s="4" t="str">
        <f>IFERROR(VLOOKUP(A6259,'Base Prueba'!A:D,4,),"NO REGISTRA")</f>
        <v>AUXILIAR JURIDICO</v>
      </c>
      <c r="E6259" s="5" t="str">
        <f>IFERROR(VLOOKUP(A6259,'Base Prueba'!A:E,5,),"NO REGISTRA")</f>
        <v>SECRETARIA GENERAL</v>
      </c>
    </row>
    <row r="6260" spans="1:5" ht="15.75" x14ac:dyDescent="0.25">
      <c r="A6260" s="14">
        <v>1013098430</v>
      </c>
      <c r="B6260" s="2">
        <v>46147.338204050924</v>
      </c>
      <c r="C6260" s="3" t="str">
        <f>IFERROR(VLOOKUP(A6260,'Base Prueba'!A:C,3,),"NO REGISTRA")</f>
        <v>ANDRES FELIPE LOPEZ ROMERO</v>
      </c>
      <c r="D6260" s="4" t="str">
        <f>IFERROR(VLOOKUP(A6260,'Base Prueba'!A:D,4,),"NO REGISTRA")</f>
        <v>APRENDIZ UNIVERSITARIO</v>
      </c>
      <c r="E6260" s="5" t="str">
        <f>IFERROR(VLOOKUP(A6260,'Base Prueba'!A:E,5,),"NO REGISTRA")</f>
        <v>OFICINA DE MERCADEO</v>
      </c>
    </row>
    <row r="6261" spans="1:5" ht="15.75" x14ac:dyDescent="0.25">
      <c r="A6261" s="14">
        <v>1014196857</v>
      </c>
      <c r="B6261" s="2">
        <v>46147.340285069447</v>
      </c>
      <c r="C6261" s="3" t="str">
        <f>IFERROR(VLOOKUP(A6261,'Base Prueba'!A:C,3,),"NO REGISTRA")</f>
        <v>CARLOS ANDRES JIMENEZ PARDO</v>
      </c>
      <c r="D6261" s="4" t="str">
        <f>IFERROR(VLOOKUP(A6261,'Base Prueba'!A:D,4,),"NO REGISTRA")</f>
        <v>COORDINADOR DE MARKETING DIGITAL</v>
      </c>
      <c r="E6261" s="5" t="str">
        <f>IFERROR(VLOOKUP(A6261,'Base Prueba'!A:E,5,),"NO REGISTRA")</f>
        <v>OFICINA DE MERCADEO</v>
      </c>
    </row>
    <row r="6262" spans="1:5" ht="15.75" x14ac:dyDescent="0.25">
      <c r="A6262" s="14">
        <v>1087121273</v>
      </c>
      <c r="B6262" s="2">
        <v>46147.340566319443</v>
      </c>
      <c r="C6262" s="3" t="str">
        <f>IFERROR(VLOOKUP(A6262,'Base Prueba'!A:C,3,),"NO REGISTRA")</f>
        <v>MAYRA ALEJANDRA CASTILLO ARBOLEDA</v>
      </c>
      <c r="D6262" s="4" t="str">
        <f>IFERROR(VLOOKUP(A6262,'Base Prueba'!A:D,4,),"NO REGISTRA")</f>
        <v>APOYO INTEGRAL DE MERCADEO</v>
      </c>
      <c r="E6262" s="5" t="str">
        <f>IFERROR(VLOOKUP(A6262,'Base Prueba'!A:E,5,),"NO REGISTRA")</f>
        <v>CENTRO DE GESTION DOCUMENTAL</v>
      </c>
    </row>
    <row r="6263" spans="1:5" ht="15.75" x14ac:dyDescent="0.25">
      <c r="A6263" s="14">
        <v>1193457976</v>
      </c>
      <c r="B6263" s="2">
        <v>46147.346426388889</v>
      </c>
      <c r="C6263" s="3" t="str">
        <f>IFERROR(VLOOKUP(A6263,'Base Prueba'!A:C,3,),"NO REGISTRA")</f>
        <v>SEDENIS RIVAS ASPRILLA</v>
      </c>
      <c r="D6263" s="4" t="str">
        <f>IFERROR(VLOOKUP(A6263,'Base Prueba'!A:D,4,),"NO REGISTRA")</f>
        <v>APRENDIZ UNIVERSITARIO</v>
      </c>
      <c r="E6263" s="5" t="str">
        <f>IFERROR(VLOOKUP(A6263,'Base Prueba'!A:E,5,),"NO REGISTRA")</f>
        <v>DEPARTAMENTO DE GESTION HUMANA</v>
      </c>
    </row>
    <row r="6264" spans="1:5" ht="15.75" x14ac:dyDescent="0.25">
      <c r="A6264" s="14">
        <v>1033820146</v>
      </c>
      <c r="B6264" s="2">
        <v>46147.347813425928</v>
      </c>
      <c r="C6264" s="3" t="str">
        <f>IFERROR(VLOOKUP(A6264,'Base Prueba'!A:C,3,),"NO REGISTRA")</f>
        <v>JULIETH ALEXANDRA BUSTAMANTE RUIZ</v>
      </c>
      <c r="D6264" s="4" t="str">
        <f>IFERROR(VLOOKUP(A6264,'Base Prueba'!A:D,4,),"NO REGISTRA")</f>
        <v>AUXILIAR ADMINISTRATIVO</v>
      </c>
      <c r="E6264" s="5" t="str">
        <f>IFERROR(VLOOKUP(A6264,'Base Prueba'!A:E,5,),"NO REGISTRA")</f>
        <v>REGISTRO Y CONTROL ACADEMICO</v>
      </c>
    </row>
    <row r="6265" spans="1:5" ht="15.75" x14ac:dyDescent="0.25">
      <c r="A6265" s="14">
        <v>1023883232</v>
      </c>
      <c r="B6265" s="2">
        <v>46147.348757870372</v>
      </c>
      <c r="C6265" s="3" t="str">
        <f>IFERROR(VLOOKUP(A6265,'Base Prueba'!A:C,3,),"NO REGISTRA")</f>
        <v>MONICA ANDREA ACERO URBANO</v>
      </c>
      <c r="D6265" s="4" t="str">
        <f>IFERROR(VLOOKUP(A6265,'Base Prueba'!A:D,4,),"NO REGISTRA")</f>
        <v>APOYO INTEGRAL A GESTION HUMANA</v>
      </c>
      <c r="E6265" s="5" t="str">
        <f>IFERROR(VLOOKUP(A6265,'Base Prueba'!A:E,5,),"NO REGISTRA")</f>
        <v>DEPARTAMENTO DE GESTION HUMANA</v>
      </c>
    </row>
    <row r="6266" spans="1:5" ht="15.75" x14ac:dyDescent="0.25">
      <c r="A6266" s="14">
        <v>53932358</v>
      </c>
      <c r="B6266" s="2">
        <v>46147.352762152776</v>
      </c>
      <c r="C6266" s="3" t="str">
        <f>IFERROR(VLOOKUP(A6266,'Base Prueba'!A:C,3,),"NO REGISTRA")</f>
        <v>DIANA MADELEYNE GAONA RODRIGUEZ</v>
      </c>
      <c r="D6266" s="4" t="str">
        <f>IFERROR(VLOOKUP(A6266,'Base Prueba'!A:D,4,),"NO REGISTRA")</f>
        <v>CONTADOR</v>
      </c>
      <c r="E6266" s="5" t="str">
        <f>IFERROR(VLOOKUP(A6266,'Base Prueba'!A:E,5,),"NO REGISTRA")</f>
        <v>AREA FINANCIERA Y CONTABLE</v>
      </c>
    </row>
    <row r="6267" spans="1:5" ht="15.75" x14ac:dyDescent="0.25">
      <c r="A6267" s="14">
        <v>52472386</v>
      </c>
      <c r="B6267" s="2">
        <v>46147.358044560184</v>
      </c>
      <c r="C6267" s="3" t="str">
        <f>IFERROR(VLOOKUP(A6267,'Base Prueba'!A:C,3,),"NO REGISTRA")</f>
        <v>ADRIANA MARCELA MORALES PARDO</v>
      </c>
      <c r="D6267" s="4" t="str">
        <f>IFERROR(VLOOKUP(A6267,'Base Prueba'!A:D,4,),"NO REGISTRA")</f>
        <v>PROMOTOR CALL CENTER</v>
      </c>
      <c r="E6267" s="5" t="str">
        <f>IFERROR(VLOOKUP(A6267,'Base Prueba'!A:E,5,),"NO REGISTRA")</f>
        <v>OFICINA DE MERCADEO</v>
      </c>
    </row>
    <row r="6268" spans="1:5" ht="15.75" x14ac:dyDescent="0.25">
      <c r="A6268" s="14">
        <v>1000593372</v>
      </c>
      <c r="B6268" s="2">
        <v>46147.361623842589</v>
      </c>
      <c r="C6268" s="3" t="str">
        <f>IFERROR(VLOOKUP(A6268,'Base Prueba'!A:C,3,),"NO REGISTRA")</f>
        <v>LAURA SOFIA CHAPARRO LOPEZ</v>
      </c>
      <c r="D6268" s="4" t="str">
        <f>IFERROR(VLOOKUP(A6268,'Base Prueba'!A:D,4,),"NO REGISTRA")</f>
        <v>AUXILIAR JURIDICO</v>
      </c>
      <c r="E6268" s="5" t="str">
        <f>IFERROR(VLOOKUP(A6268,'Base Prueba'!A:E,5,),"NO REGISTRA")</f>
        <v>SECRETARIA GENERAL</v>
      </c>
    </row>
    <row r="6269" spans="1:5" ht="15.75" x14ac:dyDescent="0.25">
      <c r="A6269" s="14">
        <v>80234243</v>
      </c>
      <c r="B6269" s="2">
        <v>46147.362492129629</v>
      </c>
      <c r="C6269" s="3" t="str">
        <f>IFERROR(VLOOKUP(A6269,'Base Prueba'!A:C,3,),"NO REGISTRA")</f>
        <v>ARGENIS MARTINEZ MARTINEZ</v>
      </c>
      <c r="D6269" s="4" t="str">
        <f>IFERROR(VLOOKUP(A6269,'Base Prueba'!A:D,4,),"NO REGISTRA")</f>
        <v>LIDER CALL CENTER</v>
      </c>
      <c r="E6269" s="5" t="str">
        <f>IFERROR(VLOOKUP(A6269,'Base Prueba'!A:E,5,),"NO REGISTRA")</f>
        <v>OFICINA DE MERCADEO</v>
      </c>
    </row>
    <row r="6270" spans="1:5" ht="15.75" x14ac:dyDescent="0.25">
      <c r="A6270" s="14">
        <v>1032407386</v>
      </c>
      <c r="B6270" s="2">
        <v>46147.367727430559</v>
      </c>
      <c r="C6270" s="3" t="str">
        <f>IFERROR(VLOOKUP(A6270,'Base Prueba'!A:C,3,),"NO REGISTRA")</f>
        <v>GINA PAOLA BAEZ GALVIS</v>
      </c>
      <c r="D6270" s="4" t="str">
        <f>IFERROR(VLOOKUP(A6270,'Base Prueba'!A:D,4,),"NO REGISTRA")</f>
        <v>PROMOTOR CALL CENTER</v>
      </c>
      <c r="E6270" s="5" t="str">
        <f>IFERROR(VLOOKUP(A6270,'Base Prueba'!A:E,5,),"NO REGISTRA")</f>
        <v>OFICINA DE MERCADEO</v>
      </c>
    </row>
    <row r="6271" spans="1:5" ht="15.75" x14ac:dyDescent="0.25">
      <c r="A6271" s="14">
        <v>1000046533</v>
      </c>
      <c r="B6271" s="2">
        <v>46147.370160532409</v>
      </c>
      <c r="C6271" s="3" t="str">
        <f>IFERROR(VLOOKUP(A6271,'Base Prueba'!A:C,3,),"NO REGISTRA")</f>
        <v>ERIKA JULIETH VALDERRAMA SANCHEZ</v>
      </c>
      <c r="D6271" s="4" t="str">
        <f>IFERROR(VLOOKUP(A6271,'Base Prueba'!A:D,4,),"NO REGISTRA")</f>
        <v>PROMOTOR CALL CENTER</v>
      </c>
      <c r="E6271" s="5" t="str">
        <f>IFERROR(VLOOKUP(A6271,'Base Prueba'!A:E,5,),"NO REGISTRA")</f>
        <v>OFICINA DE MERCADEO</v>
      </c>
    </row>
    <row r="6272" spans="1:5" ht="15.75" x14ac:dyDescent="0.25">
      <c r="A6272" s="14">
        <v>1033709056</v>
      </c>
      <c r="B6272" s="2">
        <v>46147.370513310183</v>
      </c>
      <c r="C6272" s="3" t="str">
        <f>IFERROR(VLOOKUP(A6272,'Base Prueba'!A:C,3,),"NO REGISTRA")</f>
        <v>YEIMY ALEXANDRA RODRIGUEZ PALACIO</v>
      </c>
      <c r="D6272" s="4" t="str">
        <f>IFERROR(VLOOKUP(A6272,'Base Prueba'!A:D,4,),"NO REGISTRA")</f>
        <v>PROMOTOR CALL CENTER</v>
      </c>
      <c r="E6272" s="5" t="str">
        <f>IFERROR(VLOOKUP(A6272,'Base Prueba'!A:E,5,),"NO REGISTRA")</f>
        <v>OFICINA DE MERCADEO</v>
      </c>
    </row>
    <row r="6273" spans="1:5" ht="15.75" x14ac:dyDescent="0.25">
      <c r="A6273" s="14">
        <v>1023961952</v>
      </c>
      <c r="B6273" s="2">
        <v>46147.37067916667</v>
      </c>
      <c r="C6273" s="3" t="str">
        <f>IFERROR(VLOOKUP(A6273,'Base Prueba'!A:C,3,),"NO REGISTRA")</f>
        <v>ALEJANDRO PINZON MERCHAN</v>
      </c>
      <c r="D6273" s="4" t="str">
        <f>IFERROR(VLOOKUP(A6273,'Base Prueba'!A:D,4,),"NO REGISTRA")</f>
        <v>PROMOTOR CALL CENTER</v>
      </c>
      <c r="E6273" s="5" t="str">
        <f>IFERROR(VLOOKUP(A6273,'Base Prueba'!A:E,5,),"NO REGISTRA")</f>
        <v>OFICINA DE MERCADEO</v>
      </c>
    </row>
    <row r="6274" spans="1:5" ht="15.75" x14ac:dyDescent="0.25">
      <c r="A6274" s="14">
        <v>1018414290</v>
      </c>
      <c r="B6274" s="2">
        <v>46147.372343055555</v>
      </c>
      <c r="C6274" s="3" t="str">
        <f>IFERROR(VLOOKUP(A6274,'Base Prueba'!A:C,3,),"NO REGISTRA")</f>
        <v>AMANDA LISBETH RODRIGUEZ LEON</v>
      </c>
      <c r="D6274" s="4" t="str">
        <f>IFERROR(VLOOKUP(A6274,'Base Prueba'!A:D,4,),"NO REGISTRA")</f>
        <v>PROMOTOR CALL CENTER</v>
      </c>
      <c r="E6274" s="5" t="str">
        <f>IFERROR(VLOOKUP(A6274,'Base Prueba'!A:E,5,),"NO REGISTRA")</f>
        <v>OFICINA DE MERCADEO</v>
      </c>
    </row>
    <row r="6275" spans="1:5" ht="15.75" x14ac:dyDescent="0.25">
      <c r="A6275" s="14">
        <v>28798349</v>
      </c>
      <c r="B6275" s="2">
        <v>46147.379082060186</v>
      </c>
      <c r="C6275" s="3" t="str">
        <f>IFERROR(VLOOKUP(A6275,'Base Prueba'!A:C,3,),"NO REGISTRA")</f>
        <v>MARTHA ISABEL TOVAR WILLIAMS</v>
      </c>
      <c r="D6275" s="4" t="str">
        <f>IFERROR(VLOOKUP(A6275,'Base Prueba'!A:D,4,),"NO REGISTRA")</f>
        <v>PROMOTOR CALL CENTER</v>
      </c>
      <c r="E6275" s="5" t="str">
        <f>IFERROR(VLOOKUP(A6275,'Base Prueba'!A:E,5,),"NO REGISTRA")</f>
        <v>OFICINA DE MERCADEO</v>
      </c>
    </row>
    <row r="6276" spans="1:5" ht="15.75" x14ac:dyDescent="0.25">
      <c r="A6276" s="14">
        <v>1012426741</v>
      </c>
      <c r="B6276" s="2">
        <v>46147.38109722222</v>
      </c>
      <c r="C6276" s="3" t="str">
        <f>IFERROR(VLOOKUP(A6276,'Base Prueba'!A:C,3,),"NO REGISTRA")</f>
        <v>CRISTIAN FABIAN ROJAS SANCENO</v>
      </c>
      <c r="D6276" s="4" t="str">
        <f>IFERROR(VLOOKUP(A6276,'Base Prueba'!A:D,4,),"NO REGISTRA")</f>
        <v>AUXILIAR DE REINTEGROS</v>
      </c>
      <c r="E6276" s="5" t="str">
        <f>IFERROR(VLOOKUP(A6276,'Base Prueba'!A:E,5,),"NO REGISTRA")</f>
        <v>DIRECCION DE BIENESTAR INSTITUCIONAL</v>
      </c>
    </row>
    <row r="6277" spans="1:5" ht="15.75" x14ac:dyDescent="0.25">
      <c r="A6277" s="14">
        <v>1013101788</v>
      </c>
      <c r="B6277" s="2">
        <v>46147.381147916669</v>
      </c>
      <c r="C6277" s="3" t="str">
        <f>IFERROR(VLOOKUP(A6277,'Base Prueba'!A:C,3,),"NO REGISTRA")</f>
        <v>SARA TANGARIFE MONTOYA</v>
      </c>
      <c r="D6277" s="4" t="str">
        <f>IFERROR(VLOOKUP(A6277,'Base Prueba'!A:D,4,),"NO REGISTRA")</f>
        <v>APRENDIZ UNIVERSITARIO</v>
      </c>
      <c r="E6277" s="5" t="str">
        <f>IFERROR(VLOOKUP(A6277,'Base Prueba'!A:E,5,),"NO REGISTRA")</f>
        <v>OFICINA DE MERCADEO</v>
      </c>
    </row>
    <row r="6278" spans="1:5" ht="15.75" x14ac:dyDescent="0.25">
      <c r="A6278" s="14">
        <v>1016090131</v>
      </c>
      <c r="B6278" s="2">
        <v>46147.386173148145</v>
      </c>
      <c r="C6278" s="3" t="str">
        <f>IFERROR(VLOOKUP(A6278,'Base Prueba'!A:C,3,),"NO REGISTRA")</f>
        <v>NICOLAS RODRIGUEZ PACHECO</v>
      </c>
      <c r="D6278" s="4" t="str">
        <f>IFERROR(VLOOKUP(A6278,'Base Prueba'!A:D,4,),"NO REGISTRA")</f>
        <v>COORDINADOR DE COMUNICACIONES</v>
      </c>
      <c r="E6278" s="5" t="str">
        <f>IFERROR(VLOOKUP(A6278,'Base Prueba'!A:E,5,),"NO REGISTRA")</f>
        <v>OFICINA DE MERCADEO</v>
      </c>
    </row>
    <row r="6279" spans="1:5" ht="15.75" x14ac:dyDescent="0.25">
      <c r="A6279" s="14">
        <v>1018413529</v>
      </c>
      <c r="B6279" s="2">
        <v>46147.393748263887</v>
      </c>
      <c r="C6279" s="3" t="str">
        <f>IFERROR(VLOOKUP(A6279,'Base Prueba'!A:C,3,),"NO REGISTRA")</f>
        <v>FRANCY STELLA CHARRY MORENO</v>
      </c>
      <c r="D6279" s="4" t="str">
        <f>IFERROR(VLOOKUP(A6279,'Base Prueba'!A:D,4,),"NO REGISTRA")</f>
        <v>PROMOTOR COMERCIAL DEL CEA</v>
      </c>
      <c r="E6279" s="5" t="str">
        <f>IFERROR(VLOOKUP(A6279,'Base Prueba'!A:E,5,),"NO REGISTRA")</f>
        <v>OFICINA DE MERCADEO</v>
      </c>
    </row>
    <row r="6280" spans="1:5" ht="15.75" x14ac:dyDescent="0.25">
      <c r="A6280" s="14">
        <v>53089882</v>
      </c>
      <c r="B6280" s="2">
        <v>46147.409200925926</v>
      </c>
      <c r="C6280" s="3" t="str">
        <f>IFERROR(VLOOKUP(A6280,'Base Prueba'!A:C,3,),"NO REGISTRA")</f>
        <v>MARIA JOHANA ESCAMILLA MARTINEZ</v>
      </c>
      <c r="D6280" s="4" t="str">
        <f>IFERROR(VLOOKUP(A6280,'Base Prueba'!A:D,4,),"NO REGISTRA")</f>
        <v>PROMOTOR DE INFORMACIÓN</v>
      </c>
      <c r="E6280" s="5" t="str">
        <f>IFERROR(VLOOKUP(A6280,'Base Prueba'!A:E,5,),"NO REGISTRA")</f>
        <v>OFICINA DE MERCADEO</v>
      </c>
    </row>
    <row r="6281" spans="1:5" ht="15.75" x14ac:dyDescent="0.25">
      <c r="A6281" s="14">
        <v>1000457706</v>
      </c>
      <c r="B6281" s="2">
        <v>46147.442331134262</v>
      </c>
      <c r="C6281" s="3" t="str">
        <f>IFERROR(VLOOKUP(A6281,'Base Prueba'!A:C,3,),"NO REGISTRA")</f>
        <v>CRISTIAN DANILO ARROYO SANABRIA</v>
      </c>
      <c r="D6281" s="4" t="str">
        <f>IFERROR(VLOOKUP(A6281,'Base Prueba'!A:D,4,),"NO REGISTRA")</f>
        <v>AUXILIAR CONTABLE</v>
      </c>
      <c r="E6281" s="5" t="str">
        <f>IFERROR(VLOOKUP(A6281,'Base Prueba'!A:E,5,),"NO REGISTRA")</f>
        <v>AREA FINANCIERA Y CONTABLE</v>
      </c>
    </row>
    <row r="6282" spans="1:5" ht="15.75" x14ac:dyDescent="0.25">
      <c r="A6282" s="14">
        <v>52764929</v>
      </c>
      <c r="B6282" s="2">
        <v>46147.482778587961</v>
      </c>
      <c r="C6282" s="3" t="str">
        <f>IFERROR(VLOOKUP(A6282,'Base Prueba'!A:C,3,),"NO REGISTRA")</f>
        <v>GUERLY YOHANA DURAN RIVERA</v>
      </c>
      <c r="D6282" s="4" t="str">
        <f>IFERROR(VLOOKUP(A6282,'Base Prueba'!A:D,4,),"NO REGISTRA")</f>
        <v>LIDER DE VINCULACION COLEGIOS</v>
      </c>
      <c r="E6282" s="5" t="str">
        <f>IFERROR(VLOOKUP(A6282,'Base Prueba'!A:E,5,),"NO REGISTRA")</f>
        <v>OFICINA DE MERCADEO</v>
      </c>
    </row>
    <row r="6283" spans="1:5" ht="15.75" x14ac:dyDescent="0.25">
      <c r="A6283" s="14">
        <v>52443092</v>
      </c>
      <c r="B6283" s="2">
        <v>46147.540370023147</v>
      </c>
      <c r="C6283" s="3" t="str">
        <f>IFERROR(VLOOKUP(A6283,'Base Prueba'!A:C,3,),"NO REGISTRA")</f>
        <v>LUZ MYRIAM SAAVEDRA CONTRERAS</v>
      </c>
      <c r="D6283" s="4" t="str">
        <f>IFERROR(VLOOKUP(A6283,'Base Prueba'!A:D,4,),"NO REGISTRA")</f>
        <v>AUXILIAR DE SERVICIOS</v>
      </c>
      <c r="E6283" s="5" t="str">
        <f>IFERROR(VLOOKUP(A6283,'Base Prueba'!A:E,5,),"NO REGISTRA")</f>
        <v>LOGISTICA Y SERVICIOS GENERALES</v>
      </c>
    </row>
    <row r="6284" spans="1:5" ht="15.75" x14ac:dyDescent="0.25">
      <c r="A6284" s="14">
        <v>1000992568</v>
      </c>
      <c r="B6284" s="2">
        <v>46147.715664004631</v>
      </c>
      <c r="C6284" s="3" t="str">
        <f>IFERROR(VLOOKUP(A6284,'Base Prueba'!A:C,3,),"NO REGISTRA")</f>
        <v>KAREN BRIGITTE DALEMAN MORENO</v>
      </c>
      <c r="D6284" s="4" t="str">
        <f>IFERROR(VLOOKUP(A6284,'Base Prueba'!A:D,4,),"NO REGISTRA")</f>
        <v>RECEPCIONISTA</v>
      </c>
      <c r="E6284" s="5" t="str">
        <f>IFERROR(VLOOKUP(A6284,'Base Prueba'!A:E,5,),"NO REGISTRA")</f>
        <v>CENTRO DE GESTION DOCUMENTAL</v>
      </c>
    </row>
    <row r="6285" spans="1:5" ht="15.75" x14ac:dyDescent="0.25">
      <c r="A6285" s="14">
        <v>1013616244</v>
      </c>
      <c r="B6285" s="2">
        <v>46147.71870578704</v>
      </c>
      <c r="C6285" s="3" t="str">
        <f>IFERROR(VLOOKUP(A6285,'Base Prueba'!A:C,3,),"NO REGISTRA")</f>
        <v>DIANA CAROLINA MARIN BETANCOURT</v>
      </c>
      <c r="D6285" s="4" t="str">
        <f>IFERROR(VLOOKUP(A6285,'Base Prueba'!A:D,4,),"NO REGISTRA")</f>
        <v>AUXILIAR ADMINISTRATIVO</v>
      </c>
      <c r="E6285" s="5" t="str">
        <f>IFERROR(VLOOKUP(A6285,'Base Prueba'!A:E,5,),"NO REGISTRA")</f>
        <v>REGISTRO Y CONTROL ACADEMICO</v>
      </c>
    </row>
    <row r="6286" spans="1:5" ht="15.75" x14ac:dyDescent="0.25">
      <c r="A6286" s="14">
        <v>1000611958</v>
      </c>
      <c r="B6286" s="2">
        <v>46147.719420833331</v>
      </c>
      <c r="C6286" s="3" t="str">
        <f>IFERROR(VLOOKUP(A6286,'Base Prueba'!A:C,3,),"NO REGISTRA")</f>
        <v>TYLER CORRADINE  VARGAS</v>
      </c>
      <c r="D6286" s="4" t="str">
        <f>IFERROR(VLOOKUP(A6286,'Base Prueba'!A:D,4,),"NO REGISTRA")</f>
        <v>APRENDIZ UNIVERSITARIO</v>
      </c>
      <c r="E6286" s="5" t="str">
        <f>IFERROR(VLOOKUP(A6286,'Base Prueba'!A:E,5,),"NO REGISTRA")</f>
        <v>DEPARTAMENTO DE INFORMATICA Y TECNOLOGIA</v>
      </c>
    </row>
    <row r="6287" spans="1:5" ht="15.75" x14ac:dyDescent="0.25">
      <c r="A6287" s="14">
        <v>1024512067</v>
      </c>
      <c r="B6287" s="2">
        <v>46147.726397800929</v>
      </c>
      <c r="C6287" s="3" t="str">
        <f>IFERROR(VLOOKUP(A6287,'Base Prueba'!A:C,3,),"NO REGISTRA")</f>
        <v>CINDY GIOVANA SALGAR GOMEZ</v>
      </c>
      <c r="D6287" s="4" t="str">
        <f>IFERROR(VLOOKUP(A6287,'Base Prueba'!A:D,4,),"NO REGISTRA")</f>
        <v>COORDINADOR DEL SISTEMA INTEGRADO DE GESTION INSTITUCIONAL - SIGI</v>
      </c>
      <c r="E6287" s="5" t="str">
        <f>IFERROR(VLOOKUP(A6287,'Base Prueba'!A:E,5,),"NO REGISTRA")</f>
        <v>OFICINA DE PLANEACION Y GESTION DE LA CALIDAD</v>
      </c>
    </row>
    <row r="6288" spans="1:5" ht="15.75" x14ac:dyDescent="0.25">
      <c r="A6288" s="14">
        <v>1014196857</v>
      </c>
      <c r="B6288" s="2">
        <v>46147.738365740741</v>
      </c>
      <c r="C6288" s="3" t="str">
        <f>IFERROR(VLOOKUP(A6288,'Base Prueba'!A:C,3,),"NO REGISTRA")</f>
        <v>CARLOS ANDRES JIMENEZ PARDO</v>
      </c>
      <c r="D6288" s="4" t="str">
        <f>IFERROR(VLOOKUP(A6288,'Base Prueba'!A:D,4,),"NO REGISTRA")</f>
        <v>COORDINADOR DE MARKETING DIGITAL</v>
      </c>
      <c r="E6288" s="5" t="str">
        <f>IFERROR(VLOOKUP(A6288,'Base Prueba'!A:E,5,),"NO REGISTRA")</f>
        <v>OFICINA DE MERCADEO</v>
      </c>
    </row>
    <row r="6289" spans="1:5" ht="15.75" x14ac:dyDescent="0.25">
      <c r="A6289" s="14">
        <v>1013098430</v>
      </c>
      <c r="B6289" s="2">
        <v>46147.738414467596</v>
      </c>
      <c r="C6289" s="3" t="str">
        <f>IFERROR(VLOOKUP(A6289,'Base Prueba'!A:C,3,),"NO REGISTRA")</f>
        <v>ANDRES FELIPE LOPEZ ROMERO</v>
      </c>
      <c r="D6289" s="4" t="str">
        <f>IFERROR(VLOOKUP(A6289,'Base Prueba'!A:D,4,),"NO REGISTRA")</f>
        <v>APRENDIZ UNIVERSITARIO</v>
      </c>
      <c r="E6289" s="5" t="str">
        <f>IFERROR(VLOOKUP(A6289,'Base Prueba'!A:E,5,),"NO REGISTRA")</f>
        <v>OFICINA DE MERCADEO</v>
      </c>
    </row>
    <row r="6290" spans="1:5" ht="15.75" x14ac:dyDescent="0.25">
      <c r="A6290" s="14">
        <v>1000467399</v>
      </c>
      <c r="B6290" s="2">
        <v>46147.7495837963</v>
      </c>
      <c r="C6290" s="3" t="str">
        <f>IFERROR(VLOOKUP(A6290,'Base Prueba'!A:C,3,),"NO REGISTRA")</f>
        <v>BRANDO ESTIVEN DIAZ QUIMBAYA</v>
      </c>
      <c r="D6290" s="4" t="str">
        <f>IFERROR(VLOOKUP(A6290,'Base Prueba'!A:D,4,),"NO REGISTRA")</f>
        <v>APRENDIZ UNIVERSITARIO</v>
      </c>
      <c r="E6290" s="5" t="str">
        <f>IFERROR(VLOOKUP(A6290,'Base Prueba'!A:E,5,),"NO REGISTRA")</f>
        <v>DEPARTAMENTO DE GESTION HUMANA</v>
      </c>
    </row>
    <row r="6291" spans="1:5" ht="15.75" x14ac:dyDescent="0.25">
      <c r="A6291" s="14">
        <v>1022996882</v>
      </c>
      <c r="B6291" s="2">
        <v>46147.749664930554</v>
      </c>
      <c r="C6291" s="3" t="str">
        <f>IFERROR(VLOOKUP(A6291,'Base Prueba'!A:C,3,),"NO REGISTRA")</f>
        <v>NANCY BRIGITH ALDANA GUEVARA</v>
      </c>
      <c r="D6291" s="4" t="str">
        <f>IFERROR(VLOOKUP(A6291,'Base Prueba'!A:D,4,),"NO REGISTRA")</f>
        <v>COORDINADORA DE GESTIÓN HUMANA</v>
      </c>
      <c r="E6291" s="5" t="str">
        <f>IFERROR(VLOOKUP(A6291,'Base Prueba'!A:E,5,),"NO REGISTRA")</f>
        <v>DEPARTAMENTO DE GESTION HUMANA</v>
      </c>
    </row>
    <row r="6292" spans="1:5" ht="15.75" x14ac:dyDescent="0.25">
      <c r="A6292" s="14">
        <v>52225539</v>
      </c>
      <c r="B6292" s="2">
        <v>46147.750101851852</v>
      </c>
      <c r="C6292" s="3" t="str">
        <f>IFERROR(VLOOKUP(A6292,'Base Prueba'!A:C,3,),"NO REGISTRA")</f>
        <v>LISA MINELLY ZAMBRANO CONTRERAS</v>
      </c>
      <c r="D6292" s="4" t="str">
        <f>IFERROR(VLOOKUP(A6292,'Base Prueba'!A:D,4,),"NO REGISTRA")</f>
        <v>LIDER DE COMPRAS</v>
      </c>
      <c r="E6292" s="5" t="str">
        <f>IFERROR(VLOOKUP(A6292,'Base Prueba'!A:E,5,),"NO REGISTRA")</f>
        <v>VICERRECTORIA ADMINISTRATIVA Y FINANCIERA</v>
      </c>
    </row>
    <row r="6293" spans="1:5" ht="15.75" x14ac:dyDescent="0.25">
      <c r="A6293" s="14">
        <v>1000593372</v>
      </c>
      <c r="B6293" s="2">
        <v>46147.750452314816</v>
      </c>
      <c r="C6293" s="3" t="str">
        <f>IFERROR(VLOOKUP(A6293,'Base Prueba'!A:C,3,),"NO REGISTRA")</f>
        <v>LAURA SOFIA CHAPARRO LOPEZ</v>
      </c>
      <c r="D6293" s="4" t="str">
        <f>IFERROR(VLOOKUP(A6293,'Base Prueba'!A:D,4,),"NO REGISTRA")</f>
        <v>AUXILIAR JURIDICO</v>
      </c>
      <c r="E6293" s="5" t="str">
        <f>IFERROR(VLOOKUP(A6293,'Base Prueba'!A:E,5,),"NO REGISTRA")</f>
        <v>SECRETARIA GENERAL</v>
      </c>
    </row>
    <row r="6294" spans="1:5" ht="15.75" x14ac:dyDescent="0.25">
      <c r="A6294" s="14">
        <v>1000604979</v>
      </c>
      <c r="B6294" s="2">
        <v>46147.750469560182</v>
      </c>
      <c r="C6294" s="3" t="str">
        <f>IFERROR(VLOOKUP(A6294,'Base Prueba'!A:C,3,),"NO REGISTRA")</f>
        <v>JULIETH TATIANA PARDO PINTO</v>
      </c>
      <c r="D6294" s="4" t="str">
        <f>IFERROR(VLOOKUP(A6294,'Base Prueba'!A:D,4,),"NO REGISTRA")</f>
        <v>AUXILIAR JURIDICO</v>
      </c>
      <c r="E6294" s="5" t="str">
        <f>IFERROR(VLOOKUP(A6294,'Base Prueba'!A:E,5,),"NO REGISTRA")</f>
        <v>SECRETARIA GENERAL</v>
      </c>
    </row>
    <row r="6295" spans="1:5" ht="15.75" x14ac:dyDescent="0.25">
      <c r="A6295" s="14">
        <v>1023883232</v>
      </c>
      <c r="B6295" s="2">
        <v>46147.752391782407</v>
      </c>
      <c r="C6295" s="3" t="str">
        <f>IFERROR(VLOOKUP(A6295,'Base Prueba'!A:C,3,),"NO REGISTRA")</f>
        <v>MONICA ANDREA ACERO URBANO</v>
      </c>
      <c r="D6295" s="4" t="str">
        <f>IFERROR(VLOOKUP(A6295,'Base Prueba'!A:D,4,),"NO REGISTRA")</f>
        <v>APOYO INTEGRAL A GESTION HUMANA</v>
      </c>
      <c r="E6295" s="5" t="str">
        <f>IFERROR(VLOOKUP(A6295,'Base Prueba'!A:E,5,),"NO REGISTRA")</f>
        <v>DEPARTAMENTO DE GESTION HUMANA</v>
      </c>
    </row>
    <row r="6296" spans="1:5" ht="15.75" x14ac:dyDescent="0.25">
      <c r="A6296" s="14">
        <v>1000257136</v>
      </c>
      <c r="B6296" s="2">
        <v>46147.755663194446</v>
      </c>
      <c r="C6296" s="3" t="str">
        <f>IFERROR(VLOOKUP(A6296,'Base Prueba'!A:C,3,),"NO REGISTRA")</f>
        <v>FRANCI VALENTINA CANO PUENTES</v>
      </c>
      <c r="D6296" s="4" t="str">
        <f>IFERROR(VLOOKUP(A6296,'Base Prueba'!A:D,4,),"NO REGISTRA")</f>
        <v>AUXILIAR CONTABLE</v>
      </c>
      <c r="E6296" s="5" t="str">
        <f>IFERROR(VLOOKUP(A6296,'Base Prueba'!A:E,5,),"NO REGISTRA")</f>
        <v>AREA FINANCIERA Y CONTABLE</v>
      </c>
    </row>
    <row r="6297" spans="1:5" ht="15.75" x14ac:dyDescent="0.25">
      <c r="A6297" s="14">
        <v>53932358</v>
      </c>
      <c r="B6297" s="2">
        <v>46147.759716319444</v>
      </c>
      <c r="C6297" s="3" t="str">
        <f>IFERROR(VLOOKUP(A6297,'Base Prueba'!A:C,3,),"NO REGISTRA")</f>
        <v>DIANA MADELEYNE GAONA RODRIGUEZ</v>
      </c>
      <c r="D6297" s="4" t="str">
        <f>IFERROR(VLOOKUP(A6297,'Base Prueba'!A:D,4,),"NO REGISTRA")</f>
        <v>CONTADOR</v>
      </c>
      <c r="E6297" s="5" t="str">
        <f>IFERROR(VLOOKUP(A6297,'Base Prueba'!A:E,5,),"NO REGISTRA")</f>
        <v>AREA FINANCIERA Y CONTABLE</v>
      </c>
    </row>
    <row r="6298" spans="1:5" ht="15.75" x14ac:dyDescent="0.25">
      <c r="A6298" s="14">
        <v>1000457706</v>
      </c>
      <c r="B6298" s="2">
        <v>46147.759891898146</v>
      </c>
      <c r="C6298" s="3" t="str">
        <f>IFERROR(VLOOKUP(A6298,'Base Prueba'!A:C,3,),"NO REGISTRA")</f>
        <v>CRISTIAN DANILO ARROYO SANABRIA</v>
      </c>
      <c r="D6298" s="4" t="str">
        <f>IFERROR(VLOOKUP(A6298,'Base Prueba'!A:D,4,),"NO REGISTRA")</f>
        <v>AUXILIAR CONTABLE</v>
      </c>
      <c r="E6298" s="5" t="str">
        <f>IFERROR(VLOOKUP(A6298,'Base Prueba'!A:E,5,),"NO REGISTRA")</f>
        <v>AREA FINANCIERA Y CONTABLE</v>
      </c>
    </row>
    <row r="6299" spans="1:5" ht="15.75" x14ac:dyDescent="0.25">
      <c r="A6299" s="14">
        <v>1033820146</v>
      </c>
      <c r="B6299" s="2">
        <v>46147.762302430558</v>
      </c>
      <c r="C6299" s="3" t="str">
        <f>IFERROR(VLOOKUP(A6299,'Base Prueba'!A:C,3,),"NO REGISTRA")</f>
        <v>JULIETH ALEXANDRA BUSTAMANTE RUIZ</v>
      </c>
      <c r="D6299" s="4" t="str">
        <f>IFERROR(VLOOKUP(A6299,'Base Prueba'!A:D,4,),"NO REGISTRA")</f>
        <v>AUXILIAR ADMINISTRATIVO</v>
      </c>
      <c r="E6299" s="5" t="str">
        <f>IFERROR(VLOOKUP(A6299,'Base Prueba'!A:E,5,),"NO REGISTRA")</f>
        <v>REGISTRO Y CONTROL ACADEMICO</v>
      </c>
    </row>
    <row r="6300" spans="1:5" ht="15.75" x14ac:dyDescent="0.25">
      <c r="A6300" s="14">
        <v>1087121273</v>
      </c>
      <c r="B6300" s="2">
        <v>46147.763923842591</v>
      </c>
      <c r="C6300" s="3" t="str">
        <f>IFERROR(VLOOKUP(A6300,'Base Prueba'!A:C,3,),"NO REGISTRA")</f>
        <v>MAYRA ALEJANDRA CASTILLO ARBOLEDA</v>
      </c>
      <c r="D6300" s="4" t="str">
        <f>IFERROR(VLOOKUP(A6300,'Base Prueba'!A:D,4,),"NO REGISTRA")</f>
        <v>APOYO INTEGRAL DE MERCADEO</v>
      </c>
      <c r="E6300" s="5" t="str">
        <f>IFERROR(VLOOKUP(A6300,'Base Prueba'!A:E,5,),"NO REGISTRA")</f>
        <v>CENTRO DE GESTION DOCUMENTAL</v>
      </c>
    </row>
    <row r="6301" spans="1:5" ht="15.75" x14ac:dyDescent="0.25">
      <c r="A6301" s="14">
        <v>1000324729</v>
      </c>
      <c r="B6301" s="2">
        <v>46147.764121180553</v>
      </c>
      <c r="C6301" s="3" t="str">
        <f>IFERROR(VLOOKUP(A6301,'Base Prueba'!A:C,3,),"NO REGISTRA")</f>
        <v>ANYIE VANESSA TINOCO CAMACHO</v>
      </c>
      <c r="D6301" s="4" t="str">
        <f>IFERROR(VLOOKUP(A6301,'Base Prueba'!A:D,4,),"NO REGISTRA")</f>
        <v>LIDER DE REGISTRO Y CONTROL</v>
      </c>
      <c r="E6301" s="5" t="str">
        <f>IFERROR(VLOOKUP(A6301,'Base Prueba'!A:E,5,),"NO REGISTRA")</f>
        <v>REGISTRO Y CONTROL ACADEMICO</v>
      </c>
    </row>
    <row r="6302" spans="1:5" ht="15.75" x14ac:dyDescent="0.25">
      <c r="A6302" s="14">
        <v>80191732</v>
      </c>
      <c r="B6302" s="2">
        <v>46147.767171990738</v>
      </c>
      <c r="C6302" s="3" t="str">
        <f>IFERROR(VLOOKUP(A6302,'Base Prueba'!A:C,3,),"NO REGISTRA")</f>
        <v>DANIEL MAURICIO ZAMBRANO TUNJANO</v>
      </c>
      <c r="D6302" s="4" t="str">
        <f>IFERROR(VLOOKUP(A6302,'Base Prueba'!A:D,4,),"NO REGISTRA")</f>
        <v>COORDINADOR DE DISEÑO E IMAGEN INSTITUCIONAL</v>
      </c>
      <c r="E6302" s="5" t="str">
        <f>IFERROR(VLOOKUP(A6302,'Base Prueba'!A:E,5,),"NO REGISTRA")</f>
        <v>OFICINA DE MERCADEO</v>
      </c>
    </row>
    <row r="6303" spans="1:5" ht="15.75" x14ac:dyDescent="0.25">
      <c r="A6303" s="14">
        <v>1014308296</v>
      </c>
      <c r="B6303" s="2">
        <v>46147.770063310185</v>
      </c>
      <c r="C6303" s="3" t="str">
        <f>IFERROR(VLOOKUP(A6303,'Base Prueba'!A:C,3,),"NO REGISTRA")</f>
        <v>DARLENE YULIANA MORENO CELEITA</v>
      </c>
      <c r="D6303" s="4" t="str">
        <f>IFERROR(VLOOKUP(A6303,'Base Prueba'!A:D,4,),"NO REGISTRA")</f>
        <v>CAJERO PRINCIPAL</v>
      </c>
      <c r="E6303" s="5" t="str">
        <f>IFERROR(VLOOKUP(A6303,'Base Prueba'!A:E,5,),"NO REGISTRA")</f>
        <v>AREA FINANCIERA Y CONTABLE</v>
      </c>
    </row>
    <row r="6304" spans="1:5" ht="15.75" x14ac:dyDescent="0.25">
      <c r="A6304" s="14">
        <v>1012426741</v>
      </c>
      <c r="B6304" s="2">
        <v>46147.770900810188</v>
      </c>
      <c r="C6304" s="3" t="str">
        <f>IFERROR(VLOOKUP(A6304,'Base Prueba'!A:C,3,),"NO REGISTRA")</f>
        <v>CRISTIAN FABIAN ROJAS SANCENO</v>
      </c>
      <c r="D6304" s="4" t="str">
        <f>IFERROR(VLOOKUP(A6304,'Base Prueba'!A:D,4,),"NO REGISTRA")</f>
        <v>AUXILIAR DE REINTEGROS</v>
      </c>
      <c r="E6304" s="5" t="str">
        <f>IFERROR(VLOOKUP(A6304,'Base Prueba'!A:E,5,),"NO REGISTRA")</f>
        <v>DIRECCION DE BIENESTAR INSTITUCIONAL</v>
      </c>
    </row>
    <row r="6305" spans="1:5" ht="15.75" x14ac:dyDescent="0.25">
      <c r="A6305" s="14">
        <v>1013101788</v>
      </c>
      <c r="B6305" s="2">
        <v>46147.772145254632</v>
      </c>
      <c r="C6305" s="3" t="str">
        <f>IFERROR(VLOOKUP(A6305,'Base Prueba'!A:C,3,),"NO REGISTRA")</f>
        <v>SARA TANGARIFE MONTOYA</v>
      </c>
      <c r="D6305" s="4" t="str">
        <f>IFERROR(VLOOKUP(A6305,'Base Prueba'!A:D,4,),"NO REGISTRA")</f>
        <v>APRENDIZ UNIVERSITARIO</v>
      </c>
      <c r="E6305" s="5" t="str">
        <f>IFERROR(VLOOKUP(A6305,'Base Prueba'!A:E,5,),"NO REGISTRA")</f>
        <v>OFICINA DE MERCADEO</v>
      </c>
    </row>
    <row r="6306" spans="1:5" ht="15.75" x14ac:dyDescent="0.25">
      <c r="A6306" s="14">
        <v>52175674</v>
      </c>
      <c r="B6306" s="2">
        <v>46147.773022337962</v>
      </c>
      <c r="C6306" s="3" t="str">
        <f>IFERROR(VLOOKUP(A6306,'Base Prueba'!A:C,3,),"NO REGISTRA")</f>
        <v>LUZ YANETH GOMEZ AREVALO</v>
      </c>
      <c r="D6306" s="4" t="str">
        <f>IFERROR(VLOOKUP(A6306,'Base Prueba'!A:D,4,),"NO REGISTRA")</f>
        <v>COORDINADORA DE ADMISIONES</v>
      </c>
      <c r="E6306" s="5" t="str">
        <f>IFERROR(VLOOKUP(A6306,'Base Prueba'!A:E,5,),"NO REGISTRA")</f>
        <v>OFICINA DE MERCADEO</v>
      </c>
    </row>
    <row r="6307" spans="1:5" ht="15.75" x14ac:dyDescent="0.25">
      <c r="A6307" s="14">
        <v>52474489</v>
      </c>
      <c r="B6307" s="2">
        <v>46147.773076736114</v>
      </c>
      <c r="C6307" s="3" t="str">
        <f>IFERROR(VLOOKUP(A6307,'Base Prueba'!A:C,3,),"NO REGISTRA")</f>
        <v>ADRIANA JIMENA SOTO BOCANEGRA</v>
      </c>
      <c r="D6307" s="4" t="str">
        <f>IFERROR(VLOOKUP(A6307,'Base Prueba'!A:D,4,),"NO REGISTRA")</f>
        <v>COORDINADOR DE LA OFICINA DE REGISTRO Y CONTROL</v>
      </c>
      <c r="E6307" s="5" t="str">
        <f>IFERROR(VLOOKUP(A6307,'Base Prueba'!A:E,5,),"NO REGISTRA")</f>
        <v>REGISTRO Y CONTROL ACADEMICO</v>
      </c>
    </row>
    <row r="6308" spans="1:5" ht="15.75" x14ac:dyDescent="0.25">
      <c r="A6308" s="14">
        <v>1000046533</v>
      </c>
      <c r="B6308" s="2">
        <v>46147.774511574076</v>
      </c>
      <c r="C6308" s="3" t="str">
        <f>IFERROR(VLOOKUP(A6308,'Base Prueba'!A:C,3,),"NO REGISTRA")</f>
        <v>ERIKA JULIETH VALDERRAMA SANCHEZ</v>
      </c>
      <c r="D6308" s="4" t="str">
        <f>IFERROR(VLOOKUP(A6308,'Base Prueba'!A:D,4,),"NO REGISTRA")</f>
        <v>PROMOTOR CALL CENTER</v>
      </c>
      <c r="E6308" s="5" t="str">
        <f>IFERROR(VLOOKUP(A6308,'Base Prueba'!A:E,5,),"NO REGISTRA")</f>
        <v>OFICINA DE MERCADEO</v>
      </c>
    </row>
    <row r="6309" spans="1:5" ht="15.75" x14ac:dyDescent="0.25">
      <c r="A6309" s="14">
        <v>1019105003</v>
      </c>
      <c r="B6309" s="2">
        <v>46147.778247453702</v>
      </c>
      <c r="C6309" s="3" t="str">
        <f>IFERROR(VLOOKUP(A6309,'Base Prueba'!A:C,3,),"NO REGISTRA")</f>
        <v>DAISY JULIETH GASPAR MORENO</v>
      </c>
      <c r="D6309" s="4" t="str">
        <f>IFERROR(VLOOKUP(A6309,'Base Prueba'!A:D,4,),"NO REGISTRA")</f>
        <v>PROMOTOR CALL CENTER</v>
      </c>
      <c r="E6309" s="5" t="str">
        <f>IFERROR(VLOOKUP(A6309,'Base Prueba'!A:E,5,),"NO REGISTRA")</f>
        <v>OFICINA DE MERCADEO</v>
      </c>
    </row>
    <row r="6310" spans="1:5" ht="15.75" x14ac:dyDescent="0.25">
      <c r="A6310" s="14">
        <v>52472386</v>
      </c>
      <c r="B6310" s="2">
        <v>46147.778881018516</v>
      </c>
      <c r="C6310" s="3" t="str">
        <f>IFERROR(VLOOKUP(A6310,'Base Prueba'!A:C,3,),"NO REGISTRA")</f>
        <v>ADRIANA MARCELA MORALES PARDO</v>
      </c>
      <c r="D6310" s="4" t="str">
        <f>IFERROR(VLOOKUP(A6310,'Base Prueba'!A:D,4,),"NO REGISTRA")</f>
        <v>PROMOTOR CALL CENTER</v>
      </c>
      <c r="E6310" s="5" t="str">
        <f>IFERROR(VLOOKUP(A6310,'Base Prueba'!A:E,5,),"NO REGISTRA")</f>
        <v>OFICINA DE MERCADEO</v>
      </c>
    </row>
    <row r="6311" spans="1:5" ht="15.75" x14ac:dyDescent="0.25">
      <c r="A6311" s="14">
        <v>1024549760</v>
      </c>
      <c r="B6311" s="2">
        <v>46147.781180208331</v>
      </c>
      <c r="C6311" s="3" t="str">
        <f>IFERROR(VLOOKUP(A6311,'Base Prueba'!A:C,3,),"NO REGISTRA")</f>
        <v>FRANCY YISETH JAIMES NEIRA</v>
      </c>
      <c r="D6311" s="4" t="str">
        <f>IFERROR(VLOOKUP(A6311,'Base Prueba'!A:D,4,),"NO REGISTRA")</f>
        <v>SECRETARIA ACADEMICA - ADMINISTRATIVA DE FACULTAD</v>
      </c>
      <c r="E6311" s="5" t="str">
        <f>IFERROR(VLOOKUP(A6311,'Base Prueba'!A:E,5,),"NO REGISTRA")</f>
        <v>FACULTAD DE COMINICACIÓN PERIODISMO Y ARTES</v>
      </c>
    </row>
    <row r="6312" spans="1:5" ht="15.75" x14ac:dyDescent="0.25">
      <c r="A6312" s="14">
        <v>53089882</v>
      </c>
      <c r="B6312" s="2">
        <v>46147.782415972222</v>
      </c>
      <c r="C6312" s="3" t="str">
        <f>IFERROR(VLOOKUP(A6312,'Base Prueba'!A:C,3,),"NO REGISTRA")</f>
        <v>MARIA JOHANA ESCAMILLA MARTINEZ</v>
      </c>
      <c r="D6312" s="4" t="str">
        <f>IFERROR(VLOOKUP(A6312,'Base Prueba'!A:D,4,),"NO REGISTRA")</f>
        <v>PROMOTOR DE INFORMACIÓN</v>
      </c>
      <c r="E6312" s="5" t="str">
        <f>IFERROR(VLOOKUP(A6312,'Base Prueba'!A:E,5,),"NO REGISTRA")</f>
        <v>OFICINA DE MERCADEO</v>
      </c>
    </row>
    <row r="6313" spans="1:5" ht="15.75" x14ac:dyDescent="0.25">
      <c r="A6313" s="14">
        <v>6</v>
      </c>
      <c r="B6313" s="2">
        <v>46147.782448495367</v>
      </c>
      <c r="C6313" s="3" t="str">
        <f>IFERROR(VLOOKUP(A6313,'Base Prueba'!A:C,3,),"NO REGISTRA")</f>
        <v>NO REGISTRA</v>
      </c>
      <c r="D6313" s="4" t="str">
        <f>IFERROR(VLOOKUP(A6313,'Base Prueba'!A:D,4,),"NO REGISTRA")</f>
        <v>NO REGISTRA</v>
      </c>
      <c r="E6313" s="5" t="str">
        <f>IFERROR(VLOOKUP(A6313,'Base Prueba'!A:E,5,),"NO REGISTRA")</f>
        <v>NO REGISTRA</v>
      </c>
    </row>
    <row r="6314" spans="1:5" ht="15.75" x14ac:dyDescent="0.25">
      <c r="A6314" s="14">
        <v>1018413529</v>
      </c>
      <c r="B6314" s="2">
        <v>46147.782454513886</v>
      </c>
      <c r="C6314" s="3" t="str">
        <f>IFERROR(VLOOKUP(A6314,'Base Prueba'!A:C,3,),"NO REGISTRA")</f>
        <v>FRANCY STELLA CHARRY MORENO</v>
      </c>
      <c r="D6314" s="4" t="str">
        <f>IFERROR(VLOOKUP(A6314,'Base Prueba'!A:D,4,),"NO REGISTRA")</f>
        <v>PROMOTOR COMERCIAL DEL CEA</v>
      </c>
      <c r="E6314" s="5" t="str">
        <f>IFERROR(VLOOKUP(A6314,'Base Prueba'!A:E,5,),"NO REGISTRA")</f>
        <v>OFICINA DE MERCADEO</v>
      </c>
    </row>
    <row r="6315" spans="1:5" ht="15.75" x14ac:dyDescent="0.25">
      <c r="A6315" s="14">
        <v>1033709056</v>
      </c>
      <c r="B6315" s="2">
        <v>46147.782559027779</v>
      </c>
      <c r="C6315" s="3" t="str">
        <f>IFERROR(VLOOKUP(A6315,'Base Prueba'!A:C,3,),"NO REGISTRA")</f>
        <v>YEIMY ALEXANDRA RODRIGUEZ PALACIO</v>
      </c>
      <c r="D6315" s="4" t="str">
        <f>IFERROR(VLOOKUP(A6315,'Base Prueba'!A:D,4,),"NO REGISTRA")</f>
        <v>PROMOTOR CALL CENTER</v>
      </c>
      <c r="E6315" s="5" t="str">
        <f>IFERROR(VLOOKUP(A6315,'Base Prueba'!A:E,5,),"NO REGISTRA")</f>
        <v>OFICINA DE MERCADEO</v>
      </c>
    </row>
    <row r="6316" spans="1:5" ht="15.75" x14ac:dyDescent="0.25">
      <c r="A6316" s="14">
        <v>1023961952</v>
      </c>
      <c r="B6316" s="2">
        <v>46147.784399884258</v>
      </c>
      <c r="C6316" s="3" t="str">
        <f>IFERROR(VLOOKUP(A6316,'Base Prueba'!A:C,3,),"NO REGISTRA")</f>
        <v>ALEJANDRO PINZON MERCHAN</v>
      </c>
      <c r="D6316" s="4" t="str">
        <f>IFERROR(VLOOKUP(A6316,'Base Prueba'!A:D,4,),"NO REGISTRA")</f>
        <v>PROMOTOR CALL CENTER</v>
      </c>
      <c r="E6316" s="5" t="str">
        <f>IFERROR(VLOOKUP(A6316,'Base Prueba'!A:E,5,),"NO REGISTRA")</f>
        <v>OFICINA DE MERCADEO</v>
      </c>
    </row>
    <row r="6317" spans="1:5" ht="15.75" x14ac:dyDescent="0.25">
      <c r="A6317" s="14">
        <v>28798349</v>
      </c>
      <c r="B6317" s="2">
        <v>46147.784446527781</v>
      </c>
      <c r="C6317" s="3" t="str">
        <f>IFERROR(VLOOKUP(A6317,'Base Prueba'!A:C,3,),"NO REGISTRA")</f>
        <v>MARTHA ISABEL TOVAR WILLIAMS</v>
      </c>
      <c r="D6317" s="4" t="str">
        <f>IFERROR(VLOOKUP(A6317,'Base Prueba'!A:D,4,),"NO REGISTRA")</f>
        <v>PROMOTOR CALL CENTER</v>
      </c>
      <c r="E6317" s="5" t="str">
        <f>IFERROR(VLOOKUP(A6317,'Base Prueba'!A:E,5,),"NO REGISTRA")</f>
        <v>OFICINA DE MERCADEO</v>
      </c>
    </row>
    <row r="6318" spans="1:5" ht="15.75" x14ac:dyDescent="0.25">
      <c r="A6318" s="14">
        <v>1018414290</v>
      </c>
      <c r="B6318" s="2">
        <v>46147.788917129626</v>
      </c>
      <c r="C6318" s="3" t="str">
        <f>IFERROR(VLOOKUP(A6318,'Base Prueba'!A:C,3,),"NO REGISTRA")</f>
        <v>AMANDA LISBETH RODRIGUEZ LEON</v>
      </c>
      <c r="D6318" s="4" t="str">
        <f>IFERROR(VLOOKUP(A6318,'Base Prueba'!A:D,4,),"NO REGISTRA")</f>
        <v>PROMOTOR CALL CENTER</v>
      </c>
      <c r="E6318" s="5" t="str">
        <f>IFERROR(VLOOKUP(A6318,'Base Prueba'!A:E,5,),"NO REGISTRA")</f>
        <v>OFICINA DE MERCADEO</v>
      </c>
    </row>
    <row r="6319" spans="1:5" ht="15.75" x14ac:dyDescent="0.25">
      <c r="A6319" s="14">
        <v>1032407386</v>
      </c>
      <c r="B6319" s="2">
        <v>46147.788959837962</v>
      </c>
      <c r="C6319" s="3" t="str">
        <f>IFERROR(VLOOKUP(A6319,'Base Prueba'!A:C,3,),"NO REGISTRA")</f>
        <v>GINA PAOLA BAEZ GALVIS</v>
      </c>
      <c r="D6319" s="4" t="str">
        <f>IFERROR(VLOOKUP(A6319,'Base Prueba'!A:D,4,),"NO REGISTRA")</f>
        <v>PROMOTOR CALL CENTER</v>
      </c>
      <c r="E6319" s="5" t="str">
        <f>IFERROR(VLOOKUP(A6319,'Base Prueba'!A:E,5,),"NO REGISTRA")</f>
        <v>OFICINA DE MERCADEO</v>
      </c>
    </row>
    <row r="6320" spans="1:5" ht="15.75" x14ac:dyDescent="0.25">
      <c r="A6320" s="14">
        <v>80234243</v>
      </c>
      <c r="B6320" s="2">
        <v>46147.808124537034</v>
      </c>
      <c r="C6320" s="3" t="str">
        <f>IFERROR(VLOOKUP(A6320,'Base Prueba'!A:C,3,),"NO REGISTRA")</f>
        <v>ARGENIS MARTINEZ MARTINEZ</v>
      </c>
      <c r="D6320" s="4" t="str">
        <f>IFERROR(VLOOKUP(A6320,'Base Prueba'!A:D,4,),"NO REGISTRA")</f>
        <v>LIDER CALL CENTER</v>
      </c>
      <c r="E6320" s="5" t="str">
        <f>IFERROR(VLOOKUP(A6320,'Base Prueba'!A:E,5,),"NO REGISTRA")</f>
        <v>OFICINA DE MERCADEO</v>
      </c>
    </row>
    <row r="6321" spans="1:5" ht="15.75" x14ac:dyDescent="0.25">
      <c r="A6321" s="14">
        <v>52764929</v>
      </c>
      <c r="B6321" s="2">
        <v>46147.836603587966</v>
      </c>
      <c r="C6321" s="3" t="str">
        <f>IFERROR(VLOOKUP(A6321,'Base Prueba'!A:C,3,),"NO REGISTRA")</f>
        <v>GUERLY YOHANA DURAN RIVERA</v>
      </c>
      <c r="D6321" s="4" t="str">
        <f>IFERROR(VLOOKUP(A6321,'Base Prueba'!A:D,4,),"NO REGISTRA")</f>
        <v>LIDER DE VINCULACION COLEGIOS</v>
      </c>
      <c r="E6321" s="5" t="str">
        <f>IFERROR(VLOOKUP(A6321,'Base Prueba'!A:E,5,),"NO REGISTRA")</f>
        <v>OFICINA DE MERCADEO</v>
      </c>
    </row>
    <row r="6322" spans="1:5" ht="15.75" x14ac:dyDescent="0.25">
      <c r="A6322" s="14">
        <v>1024512067</v>
      </c>
      <c r="B6322" s="2">
        <v>46148.313249652776</v>
      </c>
      <c r="C6322" s="3" t="str">
        <f>IFERROR(VLOOKUP(A6322,'Base Prueba'!A:C,3,),"NO REGISTRA")</f>
        <v>CINDY GIOVANA SALGAR GOMEZ</v>
      </c>
      <c r="D6322" s="4" t="str">
        <f>IFERROR(VLOOKUP(A6322,'Base Prueba'!A:D,4,),"NO REGISTRA")</f>
        <v>COORDINADOR DEL SISTEMA INTEGRADO DE GESTION INSTITUCIONAL - SIGI</v>
      </c>
      <c r="E6322" s="5" t="str">
        <f>IFERROR(VLOOKUP(A6322,'Base Prueba'!A:E,5,),"NO REGISTRA")</f>
        <v>OFICINA DE PLANEACION Y GESTION DE LA CALIDAD</v>
      </c>
    </row>
    <row r="6323" spans="1:5" ht="15.75" x14ac:dyDescent="0.25">
      <c r="A6323" s="14">
        <v>1000992568</v>
      </c>
      <c r="B6323" s="2">
        <v>46148.319575000001</v>
      </c>
      <c r="C6323" s="3" t="str">
        <f>IFERROR(VLOOKUP(A6323,'Base Prueba'!A:C,3,),"NO REGISTRA")</f>
        <v>KAREN BRIGITTE DALEMAN MORENO</v>
      </c>
      <c r="D6323" s="4" t="str">
        <f>IFERROR(VLOOKUP(A6323,'Base Prueba'!A:D,4,),"NO REGISTRA")</f>
        <v>RECEPCIONISTA</v>
      </c>
      <c r="E6323" s="5" t="str">
        <f>IFERROR(VLOOKUP(A6323,'Base Prueba'!A:E,5,),"NO REGISTRA")</f>
        <v>CENTRO DE GESTION DOCUMENTAL</v>
      </c>
    </row>
    <row r="6324" spans="1:5" ht="15.75" x14ac:dyDescent="0.25">
      <c r="A6324" s="14">
        <v>1032469638</v>
      </c>
      <c r="B6324" s="2">
        <v>46148.322686805557</v>
      </c>
      <c r="C6324" s="3" t="str">
        <f>IFERROR(VLOOKUP(A6324,'Base Prueba'!A:C,3,),"NO REGISTRA")</f>
        <v>MAICOL JARBEY GUALTEROS CASTAÑEDA</v>
      </c>
      <c r="D6324" s="4" t="str">
        <f>IFERROR(VLOOKUP(A6324,'Base Prueba'!A:D,4,),"NO REGISTRA")</f>
        <v>COORDINADOR DEL SISTEMA INTERNO DE ASEGURAMIENTO DE LA CALIDAD - SIAC</v>
      </c>
      <c r="E6324" s="5" t="str">
        <f>IFERROR(VLOOKUP(A6324,'Base Prueba'!A:E,5,),"NO REGISTRA")</f>
        <v>OFICINA DE PLANEACION Y GESTION DE LA CALIDAD</v>
      </c>
    </row>
    <row r="6325" spans="1:5" ht="15.75" x14ac:dyDescent="0.25">
      <c r="A6325" s="14">
        <v>1000324729</v>
      </c>
      <c r="B6325" s="2">
        <v>46148.322869097225</v>
      </c>
      <c r="C6325" s="3" t="str">
        <f>IFERROR(VLOOKUP(A6325,'Base Prueba'!A:C,3,),"NO REGISTRA")</f>
        <v>ANYIE VANESSA TINOCO CAMACHO</v>
      </c>
      <c r="D6325" s="4" t="str">
        <f>IFERROR(VLOOKUP(A6325,'Base Prueba'!A:D,4,),"NO REGISTRA")</f>
        <v>LIDER DE REGISTRO Y CONTROL</v>
      </c>
      <c r="E6325" s="5" t="str">
        <f>IFERROR(VLOOKUP(A6325,'Base Prueba'!A:E,5,),"NO REGISTRA")</f>
        <v>REGISTRO Y CONTROL ACADEMICO</v>
      </c>
    </row>
    <row r="6326" spans="1:5" ht="15.75" x14ac:dyDescent="0.25">
      <c r="A6326" s="14">
        <v>80191732</v>
      </c>
      <c r="B6326" s="2">
        <v>46148.325449074073</v>
      </c>
      <c r="C6326" s="3" t="str">
        <f>IFERROR(VLOOKUP(A6326,'Base Prueba'!A:C,3,),"NO REGISTRA")</f>
        <v>DANIEL MAURICIO ZAMBRANO TUNJANO</v>
      </c>
      <c r="D6326" s="4" t="str">
        <f>IFERROR(VLOOKUP(A6326,'Base Prueba'!A:D,4,),"NO REGISTRA")</f>
        <v>COORDINADOR DE DISEÑO E IMAGEN INSTITUCIONAL</v>
      </c>
      <c r="E6326" s="5" t="str">
        <f>IFERROR(VLOOKUP(A6326,'Base Prueba'!A:E,5,),"NO REGISTRA")</f>
        <v>OFICINA DE MERCADEO</v>
      </c>
    </row>
    <row r="6327" spans="1:5" ht="15.75" x14ac:dyDescent="0.25">
      <c r="A6327" s="14">
        <v>1014308296</v>
      </c>
      <c r="B6327" s="2">
        <v>46148.327576736112</v>
      </c>
      <c r="C6327" s="3" t="str">
        <f>IFERROR(VLOOKUP(A6327,'Base Prueba'!A:C,3,),"NO REGISTRA")</f>
        <v>DARLENE YULIANA MORENO CELEITA</v>
      </c>
      <c r="D6327" s="4" t="str">
        <f>IFERROR(VLOOKUP(A6327,'Base Prueba'!A:D,4,),"NO REGISTRA")</f>
        <v>CAJERO PRINCIPAL</v>
      </c>
      <c r="E6327" s="5" t="str">
        <f>IFERROR(VLOOKUP(A6327,'Base Prueba'!A:E,5,),"NO REGISTRA")</f>
        <v>AREA FINANCIERA Y CONTABLE</v>
      </c>
    </row>
    <row r="6328" spans="1:5" ht="15.75" x14ac:dyDescent="0.25">
      <c r="A6328" s="14">
        <v>1014266838</v>
      </c>
      <c r="B6328" s="2">
        <v>46148.328487615741</v>
      </c>
      <c r="C6328" s="3" t="str">
        <f>IFERROR(VLOOKUP(A6328,'Base Prueba'!A:C,3,),"NO REGISTRA")</f>
        <v>JENNIFER ASTRID ROMERO HURTADO</v>
      </c>
      <c r="D6328" s="4" t="str">
        <f>IFERROR(VLOOKUP(A6328,'Base Prueba'!A:D,4,),"NO REGISTRA")</f>
        <v>LIDER DE RECAUDO</v>
      </c>
      <c r="E6328" s="5" t="str">
        <f>IFERROR(VLOOKUP(A6328,'Base Prueba'!A:E,5,),"NO REGISTRA")</f>
        <v>AREA FINANCIERA Y CONTABLE</v>
      </c>
    </row>
    <row r="6329" spans="1:5" ht="15.75" x14ac:dyDescent="0.25">
      <c r="A6329" s="14">
        <v>52225539</v>
      </c>
      <c r="B6329" s="2">
        <v>46148.330446759261</v>
      </c>
      <c r="C6329" s="3" t="str">
        <f>IFERROR(VLOOKUP(A6329,'Base Prueba'!A:C,3,),"NO REGISTRA")</f>
        <v>LISA MINELLY ZAMBRANO CONTRERAS</v>
      </c>
      <c r="D6329" s="4" t="str">
        <f>IFERROR(VLOOKUP(A6329,'Base Prueba'!A:D,4,),"NO REGISTRA")</f>
        <v>LIDER DE COMPRAS</v>
      </c>
      <c r="E6329" s="5" t="str">
        <f>IFERROR(VLOOKUP(A6329,'Base Prueba'!A:E,5,),"NO REGISTRA")</f>
        <v>VICERRECTORIA ADMINISTRATIVA Y FINANCIERA</v>
      </c>
    </row>
    <row r="6330" spans="1:5" ht="15.75" x14ac:dyDescent="0.25">
      <c r="A6330" s="14">
        <v>1000257136</v>
      </c>
      <c r="B6330" s="2">
        <v>46148.331435532411</v>
      </c>
      <c r="C6330" s="3" t="str">
        <f>IFERROR(VLOOKUP(A6330,'Base Prueba'!A:C,3,),"NO REGISTRA")</f>
        <v>FRANCI VALENTINA CANO PUENTES</v>
      </c>
      <c r="D6330" s="4" t="str">
        <f>IFERROR(VLOOKUP(A6330,'Base Prueba'!A:D,4,),"NO REGISTRA")</f>
        <v>AUXILIAR CONTABLE</v>
      </c>
      <c r="E6330" s="5" t="str">
        <f>IFERROR(VLOOKUP(A6330,'Base Prueba'!A:E,5,),"NO REGISTRA")</f>
        <v>AREA FINANCIERA Y CONTABLE</v>
      </c>
    </row>
    <row r="6331" spans="1:5" ht="15.75" x14ac:dyDescent="0.25">
      <c r="A6331" s="14">
        <v>1013616244</v>
      </c>
      <c r="B6331" s="2">
        <v>46148.334130671297</v>
      </c>
      <c r="C6331" s="3" t="str">
        <f>IFERROR(VLOOKUP(A6331,'Base Prueba'!A:C,3,),"NO REGISTRA")</f>
        <v>DIANA CAROLINA MARIN BETANCOURT</v>
      </c>
      <c r="D6331" s="4" t="str">
        <f>IFERROR(VLOOKUP(A6331,'Base Prueba'!A:D,4,),"NO REGISTRA")</f>
        <v>AUXILIAR ADMINISTRATIVO</v>
      </c>
      <c r="E6331" s="5" t="str">
        <f>IFERROR(VLOOKUP(A6331,'Base Prueba'!A:E,5,),"NO REGISTRA")</f>
        <v>REGISTRO Y CONTROL ACADEMICO</v>
      </c>
    </row>
    <row r="6332" spans="1:5" ht="15.75" x14ac:dyDescent="0.25">
      <c r="A6332" s="14">
        <v>1033820146</v>
      </c>
      <c r="B6332" s="2">
        <v>46148.336176620367</v>
      </c>
      <c r="C6332" s="3" t="str">
        <f>IFERROR(VLOOKUP(A6332,'Base Prueba'!A:C,3,),"NO REGISTRA")</f>
        <v>JULIETH ALEXANDRA BUSTAMANTE RUIZ</v>
      </c>
      <c r="D6332" s="4" t="str">
        <f>IFERROR(VLOOKUP(A6332,'Base Prueba'!A:D,4,),"NO REGISTRA")</f>
        <v>AUXILIAR ADMINISTRATIVO</v>
      </c>
      <c r="E6332" s="5" t="str">
        <f>IFERROR(VLOOKUP(A6332,'Base Prueba'!A:E,5,),"NO REGISTRA")</f>
        <v>REGISTRO Y CONTROL ACADEMICO</v>
      </c>
    </row>
    <row r="6333" spans="1:5" ht="15.75" x14ac:dyDescent="0.25">
      <c r="A6333" s="14">
        <v>1030567635</v>
      </c>
      <c r="B6333" s="2">
        <v>46148.336370254627</v>
      </c>
      <c r="C6333" s="3" t="str">
        <f>IFERROR(VLOOKUP(A6333,'Base Prueba'!A:C,3,),"NO REGISTRA")</f>
        <v>JEFFERSON ANDRES BARRETO DIAZ</v>
      </c>
      <c r="D6333" s="4" t="str">
        <f>IFERROR(VLOOKUP(A6333,'Base Prueba'!A:D,4,),"NO REGISTRA")</f>
        <v>AUXILIAR DE ARCHIVO</v>
      </c>
      <c r="E6333" s="5" t="str">
        <f>IFERROR(VLOOKUP(A6333,'Base Prueba'!A:E,5,),"NO REGISTRA")</f>
        <v>CENTRO DE GESTION DOCUMENTAL</v>
      </c>
    </row>
    <row r="6334" spans="1:5" ht="15.75" x14ac:dyDescent="0.25">
      <c r="A6334" s="14">
        <v>1013098430</v>
      </c>
      <c r="B6334" s="2">
        <v>46148.342043055556</v>
      </c>
      <c r="C6334" s="3" t="str">
        <f>IFERROR(VLOOKUP(A6334,'Base Prueba'!A:C,3,),"NO REGISTRA")</f>
        <v>ANDRES FELIPE LOPEZ ROMERO</v>
      </c>
      <c r="D6334" s="4" t="str">
        <f>IFERROR(VLOOKUP(A6334,'Base Prueba'!A:D,4,),"NO REGISTRA")</f>
        <v>APRENDIZ UNIVERSITARIO</v>
      </c>
      <c r="E6334" s="5" t="str">
        <f>IFERROR(VLOOKUP(A6334,'Base Prueba'!A:E,5,),"NO REGISTRA")</f>
        <v>OFICINA DE MERCADEO</v>
      </c>
    </row>
    <row r="6335" spans="1:5" ht="15.75" x14ac:dyDescent="0.25">
      <c r="A6335" s="14">
        <v>1193457976</v>
      </c>
      <c r="B6335" s="2">
        <v>46148.345272916667</v>
      </c>
      <c r="C6335" s="3" t="str">
        <f>IFERROR(VLOOKUP(A6335,'Base Prueba'!A:C,3,),"NO REGISTRA")</f>
        <v>SEDENIS RIVAS ASPRILLA</v>
      </c>
      <c r="D6335" s="4" t="str">
        <f>IFERROR(VLOOKUP(A6335,'Base Prueba'!A:D,4,),"NO REGISTRA")</f>
        <v>APRENDIZ UNIVERSITARIO</v>
      </c>
      <c r="E6335" s="5" t="str">
        <f>IFERROR(VLOOKUP(A6335,'Base Prueba'!A:E,5,),"NO REGISTRA")</f>
        <v>DEPARTAMENTO DE GESTION HUMANA</v>
      </c>
    </row>
    <row r="6336" spans="1:5" ht="15.75" x14ac:dyDescent="0.25">
      <c r="A6336" s="14">
        <v>1014196857</v>
      </c>
      <c r="B6336" s="2">
        <v>46148.345907870367</v>
      </c>
      <c r="C6336" s="3" t="str">
        <f>IFERROR(VLOOKUP(A6336,'Base Prueba'!A:C,3,),"NO REGISTRA")</f>
        <v>CARLOS ANDRES JIMENEZ PARDO</v>
      </c>
      <c r="D6336" s="4" t="str">
        <f>IFERROR(VLOOKUP(A6336,'Base Prueba'!A:D,4,),"NO REGISTRA")</f>
        <v>COORDINADOR DE MARKETING DIGITAL</v>
      </c>
      <c r="E6336" s="5" t="str">
        <f>IFERROR(VLOOKUP(A6336,'Base Prueba'!A:E,5,),"NO REGISTRA")</f>
        <v>OFICINA DE MERCADEO</v>
      </c>
    </row>
    <row r="6337" spans="1:5" ht="15.75" x14ac:dyDescent="0.25">
      <c r="A6337" s="14">
        <v>1023883232</v>
      </c>
      <c r="B6337" s="2">
        <v>46148.347821412041</v>
      </c>
      <c r="C6337" s="3" t="str">
        <f>IFERROR(VLOOKUP(A6337,'Base Prueba'!A:C,3,),"NO REGISTRA")</f>
        <v>MONICA ANDREA ACERO URBANO</v>
      </c>
      <c r="D6337" s="4" t="str">
        <f>IFERROR(VLOOKUP(A6337,'Base Prueba'!A:D,4,),"NO REGISTRA")</f>
        <v>APOYO INTEGRAL A GESTION HUMANA</v>
      </c>
      <c r="E6337" s="5" t="str">
        <f>IFERROR(VLOOKUP(A6337,'Base Prueba'!A:E,5,),"NO REGISTRA")</f>
        <v>DEPARTAMENTO DE GESTION HUMANA</v>
      </c>
    </row>
    <row r="6338" spans="1:5" ht="15.75" x14ac:dyDescent="0.25">
      <c r="A6338" s="14">
        <v>1000604979</v>
      </c>
      <c r="B6338" s="2">
        <v>46148.35074548611</v>
      </c>
      <c r="C6338" s="3" t="str">
        <f>IFERROR(VLOOKUP(A6338,'Base Prueba'!A:C,3,),"NO REGISTRA")</f>
        <v>JULIETH TATIANA PARDO PINTO</v>
      </c>
      <c r="D6338" s="4" t="str">
        <f>IFERROR(VLOOKUP(A6338,'Base Prueba'!A:D,4,),"NO REGISTRA")</f>
        <v>AUXILIAR JURIDICO</v>
      </c>
      <c r="E6338" s="5" t="str">
        <f>IFERROR(VLOOKUP(A6338,'Base Prueba'!A:E,5,),"NO REGISTRA")</f>
        <v>SECRETARIA GENERAL</v>
      </c>
    </row>
    <row r="6339" spans="1:5" ht="15.75" x14ac:dyDescent="0.25">
      <c r="A6339" s="14">
        <v>1022996882</v>
      </c>
      <c r="B6339" s="2">
        <v>46148.35146701389</v>
      </c>
      <c r="C6339" s="3" t="str">
        <f>IFERROR(VLOOKUP(A6339,'Base Prueba'!A:C,3,),"NO REGISTRA")</f>
        <v>NANCY BRIGITH ALDANA GUEVARA</v>
      </c>
      <c r="D6339" s="4" t="str">
        <f>IFERROR(VLOOKUP(A6339,'Base Prueba'!A:D,4,),"NO REGISTRA")</f>
        <v>COORDINADORA DE GESTIÓN HUMANA</v>
      </c>
      <c r="E6339" s="5" t="str">
        <f>IFERROR(VLOOKUP(A6339,'Base Prueba'!A:E,5,),"NO REGISTRA")</f>
        <v>DEPARTAMENTO DE GESTION HUMANA</v>
      </c>
    </row>
    <row r="6340" spans="1:5" ht="15.75" x14ac:dyDescent="0.25">
      <c r="A6340" s="14">
        <v>1000457706</v>
      </c>
      <c r="B6340" s="2">
        <v>46148.354787384262</v>
      </c>
      <c r="C6340" s="3" t="str">
        <f>IFERROR(VLOOKUP(A6340,'Base Prueba'!A:C,3,),"NO REGISTRA")</f>
        <v>CRISTIAN DANILO ARROYO SANABRIA</v>
      </c>
      <c r="D6340" s="4" t="str">
        <f>IFERROR(VLOOKUP(A6340,'Base Prueba'!A:D,4,),"NO REGISTRA")</f>
        <v>AUXILIAR CONTABLE</v>
      </c>
      <c r="E6340" s="5" t="str">
        <f>IFERROR(VLOOKUP(A6340,'Base Prueba'!A:E,5,),"NO REGISTRA")</f>
        <v>AREA FINANCIERA Y CONTABLE</v>
      </c>
    </row>
    <row r="6341" spans="1:5" ht="15.75" x14ac:dyDescent="0.25">
      <c r="A6341" s="14">
        <v>1087121273</v>
      </c>
      <c r="B6341" s="2">
        <v>46148.357498032405</v>
      </c>
      <c r="C6341" s="3" t="str">
        <f>IFERROR(VLOOKUP(A6341,'Base Prueba'!A:C,3,),"NO REGISTRA")</f>
        <v>MAYRA ALEJANDRA CASTILLO ARBOLEDA</v>
      </c>
      <c r="D6341" s="4" t="str">
        <f>IFERROR(VLOOKUP(A6341,'Base Prueba'!A:D,4,),"NO REGISTRA")</f>
        <v>APOYO INTEGRAL DE MERCADEO</v>
      </c>
      <c r="E6341" s="5" t="str">
        <f>IFERROR(VLOOKUP(A6341,'Base Prueba'!A:E,5,),"NO REGISTRA")</f>
        <v>CENTRO DE GESTION DOCUMENTAL</v>
      </c>
    </row>
    <row r="6342" spans="1:5" ht="15.75" x14ac:dyDescent="0.25">
      <c r="A6342" s="14">
        <v>80234243</v>
      </c>
      <c r="B6342" s="2">
        <v>46148.357696412037</v>
      </c>
      <c r="C6342" s="3" t="str">
        <f>IFERROR(VLOOKUP(A6342,'Base Prueba'!A:C,3,),"NO REGISTRA")</f>
        <v>ARGENIS MARTINEZ MARTINEZ</v>
      </c>
      <c r="D6342" s="4" t="str">
        <f>IFERROR(VLOOKUP(A6342,'Base Prueba'!A:D,4,),"NO REGISTRA")</f>
        <v>LIDER CALL CENTER</v>
      </c>
      <c r="E6342" s="5" t="str">
        <f>IFERROR(VLOOKUP(A6342,'Base Prueba'!A:E,5,),"NO REGISTRA")</f>
        <v>OFICINA DE MERCADEO</v>
      </c>
    </row>
    <row r="6343" spans="1:5" ht="15.75" x14ac:dyDescent="0.25">
      <c r="A6343" s="14">
        <v>53932358</v>
      </c>
      <c r="B6343" s="2">
        <v>46148.357880208336</v>
      </c>
      <c r="C6343" s="3" t="str">
        <f>IFERROR(VLOOKUP(A6343,'Base Prueba'!A:C,3,),"NO REGISTRA")</f>
        <v>DIANA MADELEYNE GAONA RODRIGUEZ</v>
      </c>
      <c r="D6343" s="4" t="str">
        <f>IFERROR(VLOOKUP(A6343,'Base Prueba'!A:D,4,),"NO REGISTRA")</f>
        <v>CONTADOR</v>
      </c>
      <c r="E6343" s="5" t="str">
        <f>IFERROR(VLOOKUP(A6343,'Base Prueba'!A:E,5,),"NO REGISTRA")</f>
        <v>AREA FINANCIERA Y CONTABLE</v>
      </c>
    </row>
    <row r="6344" spans="1:5" ht="15.75" x14ac:dyDescent="0.25">
      <c r="A6344" s="14">
        <v>52472386</v>
      </c>
      <c r="B6344" s="2">
        <v>46148.364617129628</v>
      </c>
      <c r="C6344" s="3" t="str">
        <f>IFERROR(VLOOKUP(A6344,'Base Prueba'!A:C,3,),"NO REGISTRA")</f>
        <v>ADRIANA MARCELA MORALES PARDO</v>
      </c>
      <c r="D6344" s="4" t="str">
        <f>IFERROR(VLOOKUP(A6344,'Base Prueba'!A:D,4,),"NO REGISTRA")</f>
        <v>PROMOTOR CALL CENTER</v>
      </c>
      <c r="E6344" s="5" t="str">
        <f>IFERROR(VLOOKUP(A6344,'Base Prueba'!A:E,5,),"NO REGISTRA")</f>
        <v>OFICINA DE MERCADEO</v>
      </c>
    </row>
    <row r="6345" spans="1:5" ht="15.75" x14ac:dyDescent="0.25">
      <c r="A6345" s="14">
        <v>1012426741</v>
      </c>
      <c r="B6345" s="2">
        <v>46148.364901967594</v>
      </c>
      <c r="C6345" s="3" t="str">
        <f>IFERROR(VLOOKUP(A6345,'Base Prueba'!A:C,3,),"NO REGISTRA")</f>
        <v>CRISTIAN FABIAN ROJAS SANCENO</v>
      </c>
      <c r="D6345" s="4" t="str">
        <f>IFERROR(VLOOKUP(A6345,'Base Prueba'!A:D,4,),"NO REGISTRA")</f>
        <v>AUXILIAR DE REINTEGROS</v>
      </c>
      <c r="E6345" s="5" t="str">
        <f>IFERROR(VLOOKUP(A6345,'Base Prueba'!A:E,5,),"NO REGISTRA")</f>
        <v>DIRECCION DE BIENESTAR INSTITUCIONAL</v>
      </c>
    </row>
    <row r="6346" spans="1:5" ht="15.75" x14ac:dyDescent="0.25">
      <c r="A6346" s="14">
        <v>52175674</v>
      </c>
      <c r="B6346" s="2">
        <v>46148.36517164352</v>
      </c>
      <c r="C6346" s="3" t="str">
        <f>IFERROR(VLOOKUP(A6346,'Base Prueba'!A:C,3,),"NO REGISTRA")</f>
        <v>LUZ YANETH GOMEZ AREVALO</v>
      </c>
      <c r="D6346" s="4" t="str">
        <f>IFERROR(VLOOKUP(A6346,'Base Prueba'!A:D,4,),"NO REGISTRA")</f>
        <v>COORDINADORA DE ADMISIONES</v>
      </c>
      <c r="E6346" s="5" t="str">
        <f>IFERROR(VLOOKUP(A6346,'Base Prueba'!A:E,5,),"NO REGISTRA")</f>
        <v>OFICINA DE MERCADEO</v>
      </c>
    </row>
    <row r="6347" spans="1:5" ht="15.75" x14ac:dyDescent="0.25">
      <c r="A6347" s="14">
        <v>1018413529</v>
      </c>
      <c r="B6347" s="2">
        <v>46148.370342939816</v>
      </c>
      <c r="C6347" s="3" t="str">
        <f>IFERROR(VLOOKUP(A6347,'Base Prueba'!A:C,3,),"NO REGISTRA")</f>
        <v>FRANCY STELLA CHARRY MORENO</v>
      </c>
      <c r="D6347" s="4" t="str">
        <f>IFERROR(VLOOKUP(A6347,'Base Prueba'!A:D,4,),"NO REGISTRA")</f>
        <v>PROMOTOR COMERCIAL DEL CEA</v>
      </c>
      <c r="E6347" s="5" t="str">
        <f>IFERROR(VLOOKUP(A6347,'Base Prueba'!A:E,5,),"NO REGISTRA")</f>
        <v>OFICINA DE MERCADEO</v>
      </c>
    </row>
    <row r="6348" spans="1:5" ht="15.75" x14ac:dyDescent="0.25">
      <c r="A6348" s="14">
        <v>1000046533</v>
      </c>
      <c r="B6348" s="2">
        <v>46148.371284953704</v>
      </c>
      <c r="C6348" s="3" t="str">
        <f>IFERROR(VLOOKUP(A6348,'Base Prueba'!A:C,3,),"NO REGISTRA")</f>
        <v>ERIKA JULIETH VALDERRAMA SANCHEZ</v>
      </c>
      <c r="D6348" s="4" t="str">
        <f>IFERROR(VLOOKUP(A6348,'Base Prueba'!A:D,4,),"NO REGISTRA")</f>
        <v>PROMOTOR CALL CENTER</v>
      </c>
      <c r="E6348" s="5" t="str">
        <f>IFERROR(VLOOKUP(A6348,'Base Prueba'!A:E,5,),"NO REGISTRA")</f>
        <v>OFICINA DE MERCADEO</v>
      </c>
    </row>
    <row r="6349" spans="1:5" ht="15.75" x14ac:dyDescent="0.25">
      <c r="A6349" s="14">
        <v>1032407386</v>
      </c>
      <c r="B6349" s="2">
        <v>46148.373797569446</v>
      </c>
      <c r="C6349" s="3" t="str">
        <f>IFERROR(VLOOKUP(A6349,'Base Prueba'!A:C,3,),"NO REGISTRA")</f>
        <v>GINA PAOLA BAEZ GALVIS</v>
      </c>
      <c r="D6349" s="4" t="str">
        <f>IFERROR(VLOOKUP(A6349,'Base Prueba'!A:D,4,),"NO REGISTRA")</f>
        <v>PROMOTOR CALL CENTER</v>
      </c>
      <c r="E6349" s="5" t="str">
        <f>IFERROR(VLOOKUP(A6349,'Base Prueba'!A:E,5,),"NO REGISTRA")</f>
        <v>OFICINA DE MERCADEO</v>
      </c>
    </row>
    <row r="6350" spans="1:5" ht="15.75" x14ac:dyDescent="0.25">
      <c r="A6350" s="14">
        <v>1023961952</v>
      </c>
      <c r="B6350" s="2">
        <v>46148.376056944442</v>
      </c>
      <c r="C6350" s="3" t="str">
        <f>IFERROR(VLOOKUP(A6350,'Base Prueba'!A:C,3,),"NO REGISTRA")</f>
        <v>ALEJANDRO PINZON MERCHAN</v>
      </c>
      <c r="D6350" s="4" t="str">
        <f>IFERROR(VLOOKUP(A6350,'Base Prueba'!A:D,4,),"NO REGISTRA")</f>
        <v>PROMOTOR CALL CENTER</v>
      </c>
      <c r="E6350" s="5" t="str">
        <f>IFERROR(VLOOKUP(A6350,'Base Prueba'!A:E,5,),"NO REGISTRA")</f>
        <v>OFICINA DE MERCADEO</v>
      </c>
    </row>
    <row r="6351" spans="1:5" ht="15.75" x14ac:dyDescent="0.25">
      <c r="A6351" s="14">
        <v>1018414290</v>
      </c>
      <c r="B6351" s="2">
        <v>46148.377768981481</v>
      </c>
      <c r="C6351" s="3" t="str">
        <f>IFERROR(VLOOKUP(A6351,'Base Prueba'!A:C,3,),"NO REGISTRA")</f>
        <v>AMANDA LISBETH RODRIGUEZ LEON</v>
      </c>
      <c r="D6351" s="4" t="str">
        <f>IFERROR(VLOOKUP(A6351,'Base Prueba'!A:D,4,),"NO REGISTRA")</f>
        <v>PROMOTOR CALL CENTER</v>
      </c>
      <c r="E6351" s="5" t="str">
        <f>IFERROR(VLOOKUP(A6351,'Base Prueba'!A:E,5,),"NO REGISTRA")</f>
        <v>OFICINA DE MERCADEO</v>
      </c>
    </row>
    <row r="6352" spans="1:5" ht="15.75" x14ac:dyDescent="0.25">
      <c r="A6352" s="14">
        <v>53089882</v>
      </c>
      <c r="B6352" s="2">
        <v>46148.379567476855</v>
      </c>
      <c r="C6352" s="3" t="str">
        <f>IFERROR(VLOOKUP(A6352,'Base Prueba'!A:C,3,),"NO REGISTRA")</f>
        <v>MARIA JOHANA ESCAMILLA MARTINEZ</v>
      </c>
      <c r="D6352" s="4" t="str">
        <f>IFERROR(VLOOKUP(A6352,'Base Prueba'!A:D,4,),"NO REGISTRA")</f>
        <v>PROMOTOR DE INFORMACIÓN</v>
      </c>
      <c r="E6352" s="5" t="str">
        <f>IFERROR(VLOOKUP(A6352,'Base Prueba'!A:E,5,),"NO REGISTRA")</f>
        <v>OFICINA DE MERCADEO</v>
      </c>
    </row>
    <row r="6353" spans="1:5" ht="15.75" x14ac:dyDescent="0.25">
      <c r="A6353" s="14">
        <v>1013101788</v>
      </c>
      <c r="B6353" s="2">
        <v>46148.381971064817</v>
      </c>
      <c r="C6353" s="3" t="str">
        <f>IFERROR(VLOOKUP(A6353,'Base Prueba'!A:C,3,),"NO REGISTRA")</f>
        <v>SARA TANGARIFE MONTOYA</v>
      </c>
      <c r="D6353" s="4" t="str">
        <f>IFERROR(VLOOKUP(A6353,'Base Prueba'!A:D,4,),"NO REGISTRA")</f>
        <v>APRENDIZ UNIVERSITARIO</v>
      </c>
      <c r="E6353" s="5" t="str">
        <f>IFERROR(VLOOKUP(A6353,'Base Prueba'!A:E,5,),"NO REGISTRA")</f>
        <v>OFICINA DE MERCADEO</v>
      </c>
    </row>
    <row r="6354" spans="1:5" ht="15.75" x14ac:dyDescent="0.25">
      <c r="A6354" s="14">
        <v>28798349</v>
      </c>
      <c r="B6354" s="2">
        <v>46148.385223148151</v>
      </c>
      <c r="C6354" s="3" t="str">
        <f>IFERROR(VLOOKUP(A6354,'Base Prueba'!A:C,3,),"NO REGISTRA")</f>
        <v>MARTHA ISABEL TOVAR WILLIAMS</v>
      </c>
      <c r="D6354" s="4" t="str">
        <f>IFERROR(VLOOKUP(A6354,'Base Prueba'!A:D,4,),"NO REGISTRA")</f>
        <v>PROMOTOR CALL CENTER</v>
      </c>
      <c r="E6354" s="5" t="str">
        <f>IFERROR(VLOOKUP(A6354,'Base Prueba'!A:E,5,),"NO REGISTRA")</f>
        <v>OFICINA DE MERCADEO</v>
      </c>
    </row>
    <row r="6355" spans="1:5" ht="15.75" x14ac:dyDescent="0.25">
      <c r="A6355" s="14">
        <v>52764929</v>
      </c>
      <c r="B6355" s="2">
        <v>46148.385822337965</v>
      </c>
      <c r="C6355" s="3" t="str">
        <f>IFERROR(VLOOKUP(A6355,'Base Prueba'!A:C,3,),"NO REGISTRA")</f>
        <v>GUERLY YOHANA DURAN RIVERA</v>
      </c>
      <c r="D6355" s="4" t="str">
        <f>IFERROR(VLOOKUP(A6355,'Base Prueba'!A:D,4,),"NO REGISTRA")</f>
        <v>LIDER DE VINCULACION COLEGIOS</v>
      </c>
      <c r="E6355" s="5" t="str">
        <f>IFERROR(VLOOKUP(A6355,'Base Prueba'!A:E,5,),"NO REGISTRA")</f>
        <v>OFICINA DE MERCADEO</v>
      </c>
    </row>
    <row r="6356" spans="1:5" ht="15.75" x14ac:dyDescent="0.25">
      <c r="A6356" s="14">
        <v>1033709056</v>
      </c>
      <c r="B6356" s="2">
        <v>46148.387166782406</v>
      </c>
      <c r="C6356" s="3" t="str">
        <f>IFERROR(VLOOKUP(A6356,'Base Prueba'!A:C,3,),"NO REGISTRA")</f>
        <v>YEIMY ALEXANDRA RODRIGUEZ PALACIO</v>
      </c>
      <c r="D6356" s="4" t="str">
        <f>IFERROR(VLOOKUP(A6356,'Base Prueba'!A:D,4,),"NO REGISTRA")</f>
        <v>PROMOTOR CALL CENTER</v>
      </c>
      <c r="E6356" s="5" t="str">
        <f>IFERROR(VLOOKUP(A6356,'Base Prueba'!A:E,5,),"NO REGISTRA")</f>
        <v>OFICINA DE MERCADEO</v>
      </c>
    </row>
    <row r="6357" spans="1:5" ht="15.75" x14ac:dyDescent="0.25">
      <c r="A6357" s="14">
        <v>52443092</v>
      </c>
      <c r="B6357" s="2">
        <v>46148.541367013888</v>
      </c>
      <c r="C6357" s="3" t="str">
        <f>IFERROR(VLOOKUP(A6357,'Base Prueba'!A:C,3,),"NO REGISTRA")</f>
        <v>LUZ MYRIAM SAAVEDRA CONTRERAS</v>
      </c>
      <c r="D6357" s="4" t="str">
        <f>IFERROR(VLOOKUP(A6357,'Base Prueba'!A:D,4,),"NO REGISTRA")</f>
        <v>AUXILIAR DE SERVICIOS</v>
      </c>
      <c r="E6357" s="5" t="str">
        <f>IFERROR(VLOOKUP(A6357,'Base Prueba'!A:E,5,),"NO REGISTRA")</f>
        <v>LOGISTICA Y SERVICIOS GENERALES</v>
      </c>
    </row>
    <row r="6358" spans="1:5" ht="15.75" x14ac:dyDescent="0.25">
      <c r="A6358" s="14">
        <v>79872151</v>
      </c>
      <c r="B6358" s="2">
        <v>46148.697629861112</v>
      </c>
      <c r="C6358" s="3" t="str">
        <f>IFERROR(VLOOKUP(A6358,'Base Prueba'!A:C,3,),"NO REGISTRA")</f>
        <v>HECTOR ALIRIO MARTINEZ TORRES</v>
      </c>
      <c r="D6358" s="4" t="str">
        <f>IFERROR(VLOOKUP(A6358,'Base Prueba'!A:D,4,),"NO REGISTRA")</f>
        <v>DOCENTE DE TIEMPO COMPLETO</v>
      </c>
      <c r="E6358" s="5" t="str">
        <f>IFERROR(VLOOKUP(A6358,'Base Prueba'!A:E,5,),"NO REGISTRA")</f>
        <v>CIENCIAS DE LA INFORMACION Y BIBLIOTECOLOGIA</v>
      </c>
    </row>
    <row r="6359" spans="1:5" ht="15.75" x14ac:dyDescent="0.25">
      <c r="A6359" s="14">
        <v>1000611958</v>
      </c>
      <c r="B6359" s="2">
        <v>46148.711825694445</v>
      </c>
      <c r="C6359" s="3" t="str">
        <f>IFERROR(VLOOKUP(A6359,'Base Prueba'!A:C,3,),"NO REGISTRA")</f>
        <v>TYLER CORRADINE  VARGAS</v>
      </c>
      <c r="D6359" s="4" t="str">
        <f>IFERROR(VLOOKUP(A6359,'Base Prueba'!A:D,4,),"NO REGISTRA")</f>
        <v>APRENDIZ UNIVERSITARIO</v>
      </c>
      <c r="E6359" s="5" t="str">
        <f>IFERROR(VLOOKUP(A6359,'Base Prueba'!A:E,5,),"NO REGISTRA")</f>
        <v>DEPARTAMENTO DE INFORMATICA Y TECNOLOGIA</v>
      </c>
    </row>
    <row r="6360" spans="1:5" ht="15.75" x14ac:dyDescent="0.25">
      <c r="A6360" s="14">
        <v>1000992568</v>
      </c>
      <c r="B6360" s="2">
        <v>46148.713594328707</v>
      </c>
      <c r="C6360" s="3" t="str">
        <f>IFERROR(VLOOKUP(A6360,'Base Prueba'!A:C,3,),"NO REGISTRA")</f>
        <v>KAREN BRIGITTE DALEMAN MORENO</v>
      </c>
      <c r="D6360" s="4" t="str">
        <f>IFERROR(VLOOKUP(A6360,'Base Prueba'!A:D,4,),"NO REGISTRA")</f>
        <v>RECEPCIONISTA</v>
      </c>
      <c r="E6360" s="5" t="str">
        <f>IFERROR(VLOOKUP(A6360,'Base Prueba'!A:E,5,),"NO REGISTRA")</f>
        <v>CENTRO DE GESTION DOCUMENTAL</v>
      </c>
    </row>
    <row r="6361" spans="1:5" ht="15.75" x14ac:dyDescent="0.25">
      <c r="A6361" s="14">
        <v>1013616244</v>
      </c>
      <c r="B6361" s="2">
        <v>46148.718079861108</v>
      </c>
      <c r="C6361" s="3" t="str">
        <f>IFERROR(VLOOKUP(A6361,'Base Prueba'!A:C,3,),"NO REGISTRA")</f>
        <v>DIANA CAROLINA MARIN BETANCOURT</v>
      </c>
      <c r="D6361" s="4" t="str">
        <f>IFERROR(VLOOKUP(A6361,'Base Prueba'!A:D,4,),"NO REGISTRA")</f>
        <v>AUXILIAR ADMINISTRATIVO</v>
      </c>
      <c r="E6361" s="5" t="str">
        <f>IFERROR(VLOOKUP(A6361,'Base Prueba'!A:E,5,),"NO REGISTRA")</f>
        <v>REGISTRO Y CONTROL ACADEMICO</v>
      </c>
    </row>
    <row r="6362" spans="1:5" ht="15.75" x14ac:dyDescent="0.25">
      <c r="A6362" s="14">
        <v>1024512067</v>
      </c>
      <c r="B6362" s="2">
        <v>46148.719576157404</v>
      </c>
      <c r="C6362" s="3" t="str">
        <f>IFERROR(VLOOKUP(A6362,'Base Prueba'!A:C,3,),"NO REGISTRA")</f>
        <v>CINDY GIOVANA SALGAR GOMEZ</v>
      </c>
      <c r="D6362" s="4" t="str">
        <f>IFERROR(VLOOKUP(A6362,'Base Prueba'!A:D,4,),"NO REGISTRA")</f>
        <v>COORDINADOR DEL SISTEMA INTEGRADO DE GESTION INSTITUCIONAL - SIGI</v>
      </c>
      <c r="E6362" s="5" t="str">
        <f>IFERROR(VLOOKUP(A6362,'Base Prueba'!A:E,5,),"NO REGISTRA")</f>
        <v>OFICINA DE PLANEACION Y GESTION DE LA CALIDAD</v>
      </c>
    </row>
    <row r="6363" spans="1:5" ht="15.75" x14ac:dyDescent="0.25">
      <c r="A6363" s="14">
        <v>1013098430</v>
      </c>
      <c r="B6363" s="2">
        <v>46148.725454398147</v>
      </c>
      <c r="C6363" s="3" t="str">
        <f>IFERROR(VLOOKUP(A6363,'Base Prueba'!A:C,3,),"NO REGISTRA")</f>
        <v>ANDRES FELIPE LOPEZ ROMERO</v>
      </c>
      <c r="D6363" s="4" t="str">
        <f>IFERROR(VLOOKUP(A6363,'Base Prueba'!A:D,4,),"NO REGISTRA")</f>
        <v>APRENDIZ UNIVERSITARIO</v>
      </c>
      <c r="E6363" s="5" t="str">
        <f>IFERROR(VLOOKUP(A6363,'Base Prueba'!A:E,5,),"NO REGISTRA")</f>
        <v>OFICINA DE MERCADEO</v>
      </c>
    </row>
    <row r="6364" spans="1:5" ht="15.75" x14ac:dyDescent="0.25">
      <c r="A6364" s="14">
        <v>1193457976</v>
      </c>
      <c r="B6364" s="2">
        <v>46148.750873495374</v>
      </c>
      <c r="C6364" s="3" t="str">
        <f>IFERROR(VLOOKUP(A6364,'Base Prueba'!A:C,3,),"NO REGISTRA")</f>
        <v>SEDENIS RIVAS ASPRILLA</v>
      </c>
      <c r="D6364" s="4" t="str">
        <f>IFERROR(VLOOKUP(A6364,'Base Prueba'!A:D,4,),"NO REGISTRA")</f>
        <v>APRENDIZ UNIVERSITARIO</v>
      </c>
      <c r="E6364" s="5" t="str">
        <f>IFERROR(VLOOKUP(A6364,'Base Prueba'!A:E,5,),"NO REGISTRA")</f>
        <v>DEPARTAMENTO DE GESTION HUMANA</v>
      </c>
    </row>
    <row r="6365" spans="1:5" ht="15.75" x14ac:dyDescent="0.25">
      <c r="A6365" s="14">
        <v>1030567635</v>
      </c>
      <c r="B6365" s="2">
        <v>46148.75161712963</v>
      </c>
      <c r="C6365" s="3" t="str">
        <f>IFERROR(VLOOKUP(A6365,'Base Prueba'!A:C,3,),"NO REGISTRA")</f>
        <v>JEFFERSON ANDRES BARRETO DIAZ</v>
      </c>
      <c r="D6365" s="4" t="str">
        <f>IFERROR(VLOOKUP(A6365,'Base Prueba'!A:D,4,),"NO REGISTRA")</f>
        <v>AUXILIAR DE ARCHIVO</v>
      </c>
      <c r="E6365" s="5" t="str">
        <f>IFERROR(VLOOKUP(A6365,'Base Prueba'!A:E,5,),"NO REGISTRA")</f>
        <v>CENTRO DE GESTION DOCUMENTAL</v>
      </c>
    </row>
    <row r="6366" spans="1:5" ht="15.75" x14ac:dyDescent="0.25">
      <c r="A6366" s="14">
        <v>1000467399</v>
      </c>
      <c r="B6366" s="2">
        <v>46148.751859143522</v>
      </c>
      <c r="C6366" s="3" t="str">
        <f>IFERROR(VLOOKUP(A6366,'Base Prueba'!A:C,3,),"NO REGISTRA")</f>
        <v>BRANDO ESTIVEN DIAZ QUIMBAYA</v>
      </c>
      <c r="D6366" s="4" t="str">
        <f>IFERROR(VLOOKUP(A6366,'Base Prueba'!A:D,4,),"NO REGISTRA")</f>
        <v>APRENDIZ UNIVERSITARIO</v>
      </c>
      <c r="E6366" s="5" t="str">
        <f>IFERROR(VLOOKUP(A6366,'Base Prueba'!A:E,5,),"NO REGISTRA")</f>
        <v>DEPARTAMENTO DE GESTION HUMANA</v>
      </c>
    </row>
    <row r="6367" spans="1:5" ht="15.75" x14ac:dyDescent="0.25">
      <c r="A6367" s="14">
        <v>80191732</v>
      </c>
      <c r="B6367" s="2">
        <v>46148.752689004628</v>
      </c>
      <c r="C6367" s="3" t="str">
        <f>IFERROR(VLOOKUP(A6367,'Base Prueba'!A:C,3,),"NO REGISTRA")</f>
        <v>DANIEL MAURICIO ZAMBRANO TUNJANO</v>
      </c>
      <c r="D6367" s="4" t="str">
        <f>IFERROR(VLOOKUP(A6367,'Base Prueba'!A:D,4,),"NO REGISTRA")</f>
        <v>COORDINADOR DE DISEÑO E IMAGEN INSTITUCIONAL</v>
      </c>
      <c r="E6367" s="5" t="str">
        <f>IFERROR(VLOOKUP(A6367,'Base Prueba'!A:E,5,),"NO REGISTRA")</f>
        <v>OFICINA DE MERCADEO</v>
      </c>
    </row>
    <row r="6368" spans="1:5" ht="15.75" x14ac:dyDescent="0.25">
      <c r="A6368" s="14">
        <v>52225539</v>
      </c>
      <c r="B6368" s="2">
        <v>46148.753134953702</v>
      </c>
      <c r="C6368" s="3" t="str">
        <f>IFERROR(VLOOKUP(A6368,'Base Prueba'!A:C,3,),"NO REGISTRA")</f>
        <v>LISA MINELLY ZAMBRANO CONTRERAS</v>
      </c>
      <c r="D6368" s="4" t="str">
        <f>IFERROR(VLOOKUP(A6368,'Base Prueba'!A:D,4,),"NO REGISTRA")</f>
        <v>LIDER DE COMPRAS</v>
      </c>
      <c r="E6368" s="5" t="str">
        <f>IFERROR(VLOOKUP(A6368,'Base Prueba'!A:E,5,),"NO REGISTRA")</f>
        <v>VICERRECTORIA ADMINISTRATIVA Y FINANCIERA</v>
      </c>
    </row>
    <row r="6369" spans="1:5" ht="15.75" x14ac:dyDescent="0.25">
      <c r="A6369" s="14">
        <v>1000324729</v>
      </c>
      <c r="B6369" s="2">
        <v>46148.753572106485</v>
      </c>
      <c r="C6369" s="3" t="str">
        <f>IFERROR(VLOOKUP(A6369,'Base Prueba'!A:C,3,),"NO REGISTRA")</f>
        <v>ANYIE VANESSA TINOCO CAMACHO</v>
      </c>
      <c r="D6369" s="4" t="str">
        <f>IFERROR(VLOOKUP(A6369,'Base Prueba'!A:D,4,),"NO REGISTRA")</f>
        <v>LIDER DE REGISTRO Y CONTROL</v>
      </c>
      <c r="E6369" s="5" t="str">
        <f>IFERROR(VLOOKUP(A6369,'Base Prueba'!A:E,5,),"NO REGISTRA")</f>
        <v>REGISTRO Y CONTROL ACADEMICO</v>
      </c>
    </row>
    <row r="6370" spans="1:5" ht="15.75" x14ac:dyDescent="0.25">
      <c r="A6370" s="14">
        <v>1033820146</v>
      </c>
      <c r="B6370" s="2">
        <v>46148.753583680555</v>
      </c>
      <c r="C6370" s="3" t="str">
        <f>IFERROR(VLOOKUP(A6370,'Base Prueba'!A:C,3,),"NO REGISTRA")</f>
        <v>JULIETH ALEXANDRA BUSTAMANTE RUIZ</v>
      </c>
      <c r="D6370" s="4" t="str">
        <f>IFERROR(VLOOKUP(A6370,'Base Prueba'!A:D,4,),"NO REGISTRA")</f>
        <v>AUXILIAR ADMINISTRATIVO</v>
      </c>
      <c r="E6370" s="5" t="str">
        <f>IFERROR(VLOOKUP(A6370,'Base Prueba'!A:E,5,),"NO REGISTRA")</f>
        <v>REGISTRO Y CONTROL ACADEMICO</v>
      </c>
    </row>
    <row r="6371" spans="1:5" ht="15.75" x14ac:dyDescent="0.25">
      <c r="A6371" s="14">
        <v>1087121273</v>
      </c>
      <c r="B6371" s="2">
        <v>46148.753599421296</v>
      </c>
      <c r="C6371" s="3" t="str">
        <f>IFERROR(VLOOKUP(A6371,'Base Prueba'!A:C,3,),"NO REGISTRA")</f>
        <v>MAYRA ALEJANDRA CASTILLO ARBOLEDA</v>
      </c>
      <c r="D6371" s="4" t="str">
        <f>IFERROR(VLOOKUP(A6371,'Base Prueba'!A:D,4,),"NO REGISTRA")</f>
        <v>APOYO INTEGRAL DE MERCADEO</v>
      </c>
      <c r="E6371" s="5" t="str">
        <f>IFERROR(VLOOKUP(A6371,'Base Prueba'!A:E,5,),"NO REGISTRA")</f>
        <v>CENTRO DE GESTION DOCUMENTAL</v>
      </c>
    </row>
    <row r="6372" spans="1:5" ht="15.75" x14ac:dyDescent="0.25">
      <c r="A6372" s="14">
        <v>1023883232</v>
      </c>
      <c r="B6372" s="2">
        <v>46148.753847685184</v>
      </c>
      <c r="C6372" s="3" t="str">
        <f>IFERROR(VLOOKUP(A6372,'Base Prueba'!A:C,3,),"NO REGISTRA")</f>
        <v>MONICA ANDREA ACERO URBANO</v>
      </c>
      <c r="D6372" s="4" t="str">
        <f>IFERROR(VLOOKUP(A6372,'Base Prueba'!A:D,4,),"NO REGISTRA")</f>
        <v>APOYO INTEGRAL A GESTION HUMANA</v>
      </c>
      <c r="E6372" s="5" t="str">
        <f>IFERROR(VLOOKUP(A6372,'Base Prueba'!A:E,5,),"NO REGISTRA")</f>
        <v>DEPARTAMENTO DE GESTION HUMANA</v>
      </c>
    </row>
    <row r="6373" spans="1:5" ht="15.75" x14ac:dyDescent="0.25">
      <c r="A6373" s="14">
        <v>1014308296</v>
      </c>
      <c r="B6373" s="2">
        <v>46148.755404976851</v>
      </c>
      <c r="C6373" s="3" t="str">
        <f>IFERROR(VLOOKUP(A6373,'Base Prueba'!A:C,3,),"NO REGISTRA")</f>
        <v>DARLENE YULIANA MORENO CELEITA</v>
      </c>
      <c r="D6373" s="4" t="str">
        <f>IFERROR(VLOOKUP(A6373,'Base Prueba'!A:D,4,),"NO REGISTRA")</f>
        <v>CAJERO PRINCIPAL</v>
      </c>
      <c r="E6373" s="5" t="str">
        <f>IFERROR(VLOOKUP(A6373,'Base Prueba'!A:E,5,),"NO REGISTRA")</f>
        <v>AREA FINANCIERA Y CONTABLE</v>
      </c>
    </row>
    <row r="6374" spans="1:5" ht="15.75" x14ac:dyDescent="0.25">
      <c r="A6374" s="14">
        <v>1000257136</v>
      </c>
      <c r="B6374" s="2">
        <v>46148.757078356481</v>
      </c>
      <c r="C6374" s="3" t="str">
        <f>IFERROR(VLOOKUP(A6374,'Base Prueba'!A:C,3,),"NO REGISTRA")</f>
        <v>FRANCI VALENTINA CANO PUENTES</v>
      </c>
      <c r="D6374" s="4" t="str">
        <f>IFERROR(VLOOKUP(A6374,'Base Prueba'!A:D,4,),"NO REGISTRA")</f>
        <v>AUXILIAR CONTABLE</v>
      </c>
      <c r="E6374" s="5" t="str">
        <f>IFERROR(VLOOKUP(A6374,'Base Prueba'!A:E,5,),"NO REGISTRA")</f>
        <v>AREA FINANCIERA Y CONTABLE</v>
      </c>
    </row>
    <row r="6375" spans="1:5" ht="15.75" x14ac:dyDescent="0.25">
      <c r="A6375" s="14">
        <v>52175674</v>
      </c>
      <c r="B6375" s="2">
        <v>46148.762498495373</v>
      </c>
      <c r="C6375" s="3" t="str">
        <f>IFERROR(VLOOKUP(A6375,'Base Prueba'!A:C,3,),"NO REGISTRA")</f>
        <v>LUZ YANETH GOMEZ AREVALO</v>
      </c>
      <c r="D6375" s="4" t="str">
        <f>IFERROR(VLOOKUP(A6375,'Base Prueba'!A:D,4,),"NO REGISTRA")</f>
        <v>COORDINADORA DE ADMISIONES</v>
      </c>
      <c r="E6375" s="5" t="str">
        <f>IFERROR(VLOOKUP(A6375,'Base Prueba'!A:E,5,),"NO REGISTRA")</f>
        <v>OFICINA DE MERCADEO</v>
      </c>
    </row>
    <row r="6376" spans="1:5" ht="15.75" x14ac:dyDescent="0.25">
      <c r="A6376" s="14">
        <v>1000604979</v>
      </c>
      <c r="B6376" s="2">
        <v>46148.77019722222</v>
      </c>
      <c r="C6376" s="3" t="str">
        <f>IFERROR(VLOOKUP(A6376,'Base Prueba'!A:C,3,),"NO REGISTRA")</f>
        <v>JULIETH TATIANA PARDO PINTO</v>
      </c>
      <c r="D6376" s="4" t="str">
        <f>IFERROR(VLOOKUP(A6376,'Base Prueba'!A:D,4,),"NO REGISTRA")</f>
        <v>AUXILIAR JURIDICO</v>
      </c>
      <c r="E6376" s="5" t="str">
        <f>IFERROR(VLOOKUP(A6376,'Base Prueba'!A:E,5,),"NO REGISTRA")</f>
        <v>SECRETARIA GENERAL</v>
      </c>
    </row>
    <row r="6377" spans="1:5" ht="15.75" x14ac:dyDescent="0.25">
      <c r="A6377" s="14">
        <v>1012426741</v>
      </c>
      <c r="B6377" s="2">
        <v>46148.770798263889</v>
      </c>
      <c r="C6377" s="3" t="str">
        <f>IFERROR(VLOOKUP(A6377,'Base Prueba'!A:C,3,),"NO REGISTRA")</f>
        <v>CRISTIAN FABIAN ROJAS SANCENO</v>
      </c>
      <c r="D6377" s="4" t="str">
        <f>IFERROR(VLOOKUP(A6377,'Base Prueba'!A:D,4,),"NO REGISTRA")</f>
        <v>AUXILIAR DE REINTEGROS</v>
      </c>
      <c r="E6377" s="5" t="str">
        <f>IFERROR(VLOOKUP(A6377,'Base Prueba'!A:E,5,),"NO REGISTRA")</f>
        <v>DIRECCION DE BIENESTAR INSTITUCIONAL</v>
      </c>
    </row>
    <row r="6378" spans="1:5" ht="15.75" x14ac:dyDescent="0.25">
      <c r="A6378" s="14">
        <v>53932358</v>
      </c>
      <c r="B6378" s="2">
        <v>46148.771244675925</v>
      </c>
      <c r="C6378" s="3" t="str">
        <f>IFERROR(VLOOKUP(A6378,'Base Prueba'!A:C,3,),"NO REGISTRA")</f>
        <v>DIANA MADELEYNE GAONA RODRIGUEZ</v>
      </c>
      <c r="D6378" s="4" t="str">
        <f>IFERROR(VLOOKUP(A6378,'Base Prueba'!A:D,4,),"NO REGISTRA")</f>
        <v>CONTADOR</v>
      </c>
      <c r="E6378" s="5" t="str">
        <f>IFERROR(VLOOKUP(A6378,'Base Prueba'!A:E,5,),"NO REGISTRA")</f>
        <v>AREA FINANCIERA Y CONTABLE</v>
      </c>
    </row>
    <row r="6379" spans="1:5" ht="15.75" x14ac:dyDescent="0.25">
      <c r="A6379" s="14">
        <v>1014266838</v>
      </c>
      <c r="B6379" s="2">
        <v>46148.772083564814</v>
      </c>
      <c r="C6379" s="3" t="str">
        <f>IFERROR(VLOOKUP(A6379,'Base Prueba'!A:C,3,),"NO REGISTRA")</f>
        <v>JENNIFER ASTRID ROMERO HURTADO</v>
      </c>
      <c r="D6379" s="4" t="str">
        <f>IFERROR(VLOOKUP(A6379,'Base Prueba'!A:D,4,),"NO REGISTRA")</f>
        <v>LIDER DE RECAUDO</v>
      </c>
      <c r="E6379" s="5" t="str">
        <f>IFERROR(VLOOKUP(A6379,'Base Prueba'!A:E,5,),"NO REGISTRA")</f>
        <v>AREA FINANCIERA Y CONTABLE</v>
      </c>
    </row>
    <row r="6380" spans="1:5" ht="15.75" x14ac:dyDescent="0.25">
      <c r="A6380" s="14">
        <v>1013101788</v>
      </c>
      <c r="B6380" s="2">
        <v>46148.77223599537</v>
      </c>
      <c r="C6380" s="3" t="str">
        <f>IFERROR(VLOOKUP(A6380,'Base Prueba'!A:C,3,),"NO REGISTRA")</f>
        <v>SARA TANGARIFE MONTOYA</v>
      </c>
      <c r="D6380" s="4" t="str">
        <f>IFERROR(VLOOKUP(A6380,'Base Prueba'!A:D,4,),"NO REGISTRA")</f>
        <v>APRENDIZ UNIVERSITARIO</v>
      </c>
      <c r="E6380" s="5" t="str">
        <f>IFERROR(VLOOKUP(A6380,'Base Prueba'!A:E,5,),"NO REGISTRA")</f>
        <v>OFICINA DE MERCADEO</v>
      </c>
    </row>
    <row r="6381" spans="1:5" ht="15.75" x14ac:dyDescent="0.25">
      <c r="A6381" s="14">
        <v>1000457706</v>
      </c>
      <c r="B6381" s="2">
        <v>46148.775549305552</v>
      </c>
      <c r="C6381" s="3" t="str">
        <f>IFERROR(VLOOKUP(A6381,'Base Prueba'!A:C,3,),"NO REGISTRA")</f>
        <v>CRISTIAN DANILO ARROYO SANABRIA</v>
      </c>
      <c r="D6381" s="4" t="str">
        <f>IFERROR(VLOOKUP(A6381,'Base Prueba'!A:D,4,),"NO REGISTRA")</f>
        <v>AUXILIAR CONTABLE</v>
      </c>
      <c r="E6381" s="5" t="str">
        <f>IFERROR(VLOOKUP(A6381,'Base Prueba'!A:E,5,),"NO REGISTRA")</f>
        <v>AREA FINANCIERA Y CONTABLE</v>
      </c>
    </row>
    <row r="6382" spans="1:5" ht="15.75" x14ac:dyDescent="0.25">
      <c r="A6382" s="14">
        <v>52474489</v>
      </c>
      <c r="B6382" s="2">
        <v>46148.778206597221</v>
      </c>
      <c r="C6382" s="3" t="str">
        <f>IFERROR(VLOOKUP(A6382,'Base Prueba'!A:C,3,),"NO REGISTRA")</f>
        <v>ADRIANA JIMENA SOTO BOCANEGRA</v>
      </c>
      <c r="D6382" s="4" t="str">
        <f>IFERROR(VLOOKUP(A6382,'Base Prueba'!A:D,4,),"NO REGISTRA")</f>
        <v>COORDINADOR DE LA OFICINA DE REGISTRO Y CONTROL</v>
      </c>
      <c r="E6382" s="5" t="str">
        <f>IFERROR(VLOOKUP(A6382,'Base Prueba'!A:E,5,),"NO REGISTRA")</f>
        <v>REGISTRO Y CONTROL ACADEMICO</v>
      </c>
    </row>
    <row r="6383" spans="1:5" ht="15.75" x14ac:dyDescent="0.25">
      <c r="A6383" s="14">
        <v>1000046533</v>
      </c>
      <c r="B6383" s="2">
        <v>46148.780505671297</v>
      </c>
      <c r="C6383" s="3" t="str">
        <f>IFERROR(VLOOKUP(A6383,'Base Prueba'!A:C,3,),"NO REGISTRA")</f>
        <v>ERIKA JULIETH VALDERRAMA SANCHEZ</v>
      </c>
      <c r="D6383" s="4" t="str">
        <f>IFERROR(VLOOKUP(A6383,'Base Prueba'!A:D,4,),"NO REGISTRA")</f>
        <v>PROMOTOR CALL CENTER</v>
      </c>
      <c r="E6383" s="5" t="str">
        <f>IFERROR(VLOOKUP(A6383,'Base Prueba'!A:E,5,),"NO REGISTRA")</f>
        <v>OFICINA DE MERCADEO</v>
      </c>
    </row>
    <row r="6384" spans="1:5" ht="15.75" x14ac:dyDescent="0.25">
      <c r="A6384" s="14">
        <v>1019105003</v>
      </c>
      <c r="B6384" s="2">
        <v>46148.786841782407</v>
      </c>
      <c r="C6384" s="3" t="str">
        <f>IFERROR(VLOOKUP(A6384,'Base Prueba'!A:C,3,),"NO REGISTRA")</f>
        <v>DAISY JULIETH GASPAR MORENO</v>
      </c>
      <c r="D6384" s="4" t="str">
        <f>IFERROR(VLOOKUP(A6384,'Base Prueba'!A:D,4,),"NO REGISTRA")</f>
        <v>PROMOTOR CALL CENTER</v>
      </c>
      <c r="E6384" s="5" t="str">
        <f>IFERROR(VLOOKUP(A6384,'Base Prueba'!A:E,5,),"NO REGISTRA")</f>
        <v>OFICINA DE MERCADEO</v>
      </c>
    </row>
    <row r="6385" spans="1:5" ht="15.75" x14ac:dyDescent="0.25">
      <c r="A6385" s="14">
        <v>52472386</v>
      </c>
      <c r="B6385" s="2">
        <v>46148.790241666669</v>
      </c>
      <c r="C6385" s="3" t="str">
        <f>IFERROR(VLOOKUP(A6385,'Base Prueba'!A:C,3,),"NO REGISTRA")</f>
        <v>ADRIANA MARCELA MORALES PARDO</v>
      </c>
      <c r="D6385" s="4" t="str">
        <f>IFERROR(VLOOKUP(A6385,'Base Prueba'!A:D,4,),"NO REGISTRA")</f>
        <v>PROMOTOR CALL CENTER</v>
      </c>
      <c r="E6385" s="5" t="str">
        <f>IFERROR(VLOOKUP(A6385,'Base Prueba'!A:E,5,),"NO REGISTRA")</f>
        <v>OFICINA DE MERCADEO</v>
      </c>
    </row>
    <row r="6386" spans="1:5" ht="15.75" x14ac:dyDescent="0.25">
      <c r="A6386" s="14">
        <v>1033709056</v>
      </c>
      <c r="B6386" s="2">
        <v>46148.79278113426</v>
      </c>
      <c r="C6386" s="3" t="str">
        <f>IFERROR(VLOOKUP(A6386,'Base Prueba'!A:C,3,),"NO REGISTRA")</f>
        <v>YEIMY ALEXANDRA RODRIGUEZ PALACIO</v>
      </c>
      <c r="D6386" s="4" t="str">
        <f>IFERROR(VLOOKUP(A6386,'Base Prueba'!A:D,4,),"NO REGISTRA")</f>
        <v>PROMOTOR CALL CENTER</v>
      </c>
      <c r="E6386" s="5" t="str">
        <f>IFERROR(VLOOKUP(A6386,'Base Prueba'!A:E,5,),"NO REGISTRA")</f>
        <v>OFICINA DE MERCADEO</v>
      </c>
    </row>
    <row r="6387" spans="1:5" ht="15.75" x14ac:dyDescent="0.25">
      <c r="A6387" s="14">
        <v>53089882</v>
      </c>
      <c r="B6387" s="2">
        <v>46148.79283622685</v>
      </c>
      <c r="C6387" s="3" t="str">
        <f>IFERROR(VLOOKUP(A6387,'Base Prueba'!A:C,3,),"NO REGISTRA")</f>
        <v>MARIA JOHANA ESCAMILLA MARTINEZ</v>
      </c>
      <c r="D6387" s="4" t="str">
        <f>IFERROR(VLOOKUP(A6387,'Base Prueba'!A:D,4,),"NO REGISTRA")</f>
        <v>PROMOTOR DE INFORMACIÓN</v>
      </c>
      <c r="E6387" s="5" t="str">
        <f>IFERROR(VLOOKUP(A6387,'Base Prueba'!A:E,5,),"NO REGISTRA")</f>
        <v>OFICINA DE MERCADEO</v>
      </c>
    </row>
    <row r="6388" spans="1:5" ht="15.75" x14ac:dyDescent="0.25">
      <c r="A6388" s="14">
        <v>1018413529</v>
      </c>
      <c r="B6388" s="2">
        <v>46148.792938773149</v>
      </c>
      <c r="C6388" s="3" t="str">
        <f>IFERROR(VLOOKUP(A6388,'Base Prueba'!A:C,3,),"NO REGISTRA")</f>
        <v>FRANCY STELLA CHARRY MORENO</v>
      </c>
      <c r="D6388" s="4" t="str">
        <f>IFERROR(VLOOKUP(A6388,'Base Prueba'!A:D,4,),"NO REGISTRA")</f>
        <v>PROMOTOR COMERCIAL DEL CEA</v>
      </c>
      <c r="E6388" s="5" t="str">
        <f>IFERROR(VLOOKUP(A6388,'Base Prueba'!A:E,5,),"NO REGISTRA")</f>
        <v>OFICINA DE MERCADEO</v>
      </c>
    </row>
    <row r="6389" spans="1:5" ht="15.75" x14ac:dyDescent="0.25">
      <c r="A6389" s="14">
        <v>52764929</v>
      </c>
      <c r="B6389" s="2">
        <v>46148.793123263888</v>
      </c>
      <c r="C6389" s="3" t="str">
        <f>IFERROR(VLOOKUP(A6389,'Base Prueba'!A:C,3,),"NO REGISTRA")</f>
        <v>GUERLY YOHANA DURAN RIVERA</v>
      </c>
      <c r="D6389" s="4" t="str">
        <f>IFERROR(VLOOKUP(A6389,'Base Prueba'!A:D,4,),"NO REGISTRA")</f>
        <v>LIDER DE VINCULACION COLEGIOS</v>
      </c>
      <c r="E6389" s="5" t="str">
        <f>IFERROR(VLOOKUP(A6389,'Base Prueba'!A:E,5,),"NO REGISTRA")</f>
        <v>OFICINA DE MERCADEO</v>
      </c>
    </row>
    <row r="6390" spans="1:5" ht="15.75" x14ac:dyDescent="0.25">
      <c r="A6390" s="14">
        <v>1023961952</v>
      </c>
      <c r="B6390" s="2">
        <v>46148.793846643515</v>
      </c>
      <c r="C6390" s="3" t="str">
        <f>IFERROR(VLOOKUP(A6390,'Base Prueba'!A:C,3,),"NO REGISTRA")</f>
        <v>ALEJANDRO PINZON MERCHAN</v>
      </c>
      <c r="D6390" s="4" t="str">
        <f>IFERROR(VLOOKUP(A6390,'Base Prueba'!A:D,4,),"NO REGISTRA")</f>
        <v>PROMOTOR CALL CENTER</v>
      </c>
      <c r="E6390" s="5" t="str">
        <f>IFERROR(VLOOKUP(A6390,'Base Prueba'!A:E,5,),"NO REGISTRA")</f>
        <v>OFICINA DE MERCADEO</v>
      </c>
    </row>
    <row r="6391" spans="1:5" ht="15.75" x14ac:dyDescent="0.25">
      <c r="A6391" s="14">
        <v>1018414290</v>
      </c>
      <c r="B6391" s="2">
        <v>46148.79465358796</v>
      </c>
      <c r="C6391" s="3" t="str">
        <f>IFERROR(VLOOKUP(A6391,'Base Prueba'!A:C,3,),"NO REGISTRA")</f>
        <v>AMANDA LISBETH RODRIGUEZ LEON</v>
      </c>
      <c r="D6391" s="4" t="str">
        <f>IFERROR(VLOOKUP(A6391,'Base Prueba'!A:D,4,),"NO REGISTRA")</f>
        <v>PROMOTOR CALL CENTER</v>
      </c>
      <c r="E6391" s="5" t="str">
        <f>IFERROR(VLOOKUP(A6391,'Base Prueba'!A:E,5,),"NO REGISTRA")</f>
        <v>OFICINA DE MERCADEO</v>
      </c>
    </row>
    <row r="6392" spans="1:5" ht="15.75" x14ac:dyDescent="0.25">
      <c r="A6392" s="14">
        <v>80234243</v>
      </c>
      <c r="B6392" s="2">
        <v>46148.79471736111</v>
      </c>
      <c r="C6392" s="3" t="str">
        <f>IFERROR(VLOOKUP(A6392,'Base Prueba'!A:C,3,),"NO REGISTRA")</f>
        <v>ARGENIS MARTINEZ MARTINEZ</v>
      </c>
      <c r="D6392" s="4" t="str">
        <f>IFERROR(VLOOKUP(A6392,'Base Prueba'!A:D,4,),"NO REGISTRA")</f>
        <v>LIDER CALL CENTER</v>
      </c>
      <c r="E6392" s="5" t="str">
        <f>IFERROR(VLOOKUP(A6392,'Base Prueba'!A:E,5,),"NO REGISTRA")</f>
        <v>OFICINA DE MERCADEO</v>
      </c>
    </row>
    <row r="6393" spans="1:5" ht="15.75" x14ac:dyDescent="0.25">
      <c r="A6393" s="14">
        <v>28798349</v>
      </c>
      <c r="B6393" s="2">
        <v>46148.794749189816</v>
      </c>
      <c r="C6393" s="3" t="str">
        <f>IFERROR(VLOOKUP(A6393,'Base Prueba'!A:C,3,),"NO REGISTRA")</f>
        <v>MARTHA ISABEL TOVAR WILLIAMS</v>
      </c>
      <c r="D6393" s="4" t="str">
        <f>IFERROR(VLOOKUP(A6393,'Base Prueba'!A:D,4,),"NO REGISTRA")</f>
        <v>PROMOTOR CALL CENTER</v>
      </c>
      <c r="E6393" s="5" t="str">
        <f>IFERROR(VLOOKUP(A6393,'Base Prueba'!A:E,5,),"NO REGISTRA")</f>
        <v>OFICINA DE MERCADEO</v>
      </c>
    </row>
    <row r="6394" spans="1:5" ht="15.75" x14ac:dyDescent="0.25">
      <c r="A6394" s="14">
        <v>1032407386</v>
      </c>
      <c r="B6394" s="2">
        <v>46148.794807060185</v>
      </c>
      <c r="C6394" s="3" t="str">
        <f>IFERROR(VLOOKUP(A6394,'Base Prueba'!A:C,3,),"NO REGISTRA")</f>
        <v>GINA PAOLA BAEZ GALVIS</v>
      </c>
      <c r="D6394" s="4" t="str">
        <f>IFERROR(VLOOKUP(A6394,'Base Prueba'!A:D,4,),"NO REGISTRA")</f>
        <v>PROMOTOR CALL CENTER</v>
      </c>
      <c r="E6394" s="5" t="str">
        <f>IFERROR(VLOOKUP(A6394,'Base Prueba'!A:E,5,),"NO REGISTRA")</f>
        <v>OFICINA DE MERCADEO</v>
      </c>
    </row>
    <row r="6395" spans="1:5" ht="15.75" x14ac:dyDescent="0.25">
      <c r="A6395" s="14">
        <v>1032469638</v>
      </c>
      <c r="B6395" s="2">
        <v>46148.801924652777</v>
      </c>
      <c r="C6395" s="3" t="str">
        <f>IFERROR(VLOOKUP(A6395,'Base Prueba'!A:C,3,),"NO REGISTRA")</f>
        <v>MAICOL JARBEY GUALTEROS CASTAÑEDA</v>
      </c>
      <c r="D6395" s="4" t="str">
        <f>IFERROR(VLOOKUP(A6395,'Base Prueba'!A:D,4,),"NO REGISTRA")</f>
        <v>COORDINADOR DEL SISTEMA INTERNO DE ASEGURAMIENTO DE LA CALIDAD - SIAC</v>
      </c>
      <c r="E6395" s="5" t="str">
        <f>IFERROR(VLOOKUP(A6395,'Base Prueba'!A:E,5,),"NO REGISTRA")</f>
        <v>OFICINA DE PLANEACION Y GESTION DE LA CALIDAD</v>
      </c>
    </row>
    <row r="6396" spans="1:5" ht="15.75" x14ac:dyDescent="0.25">
      <c r="A6396" s="14">
        <v>1013616244</v>
      </c>
      <c r="B6396" s="2">
        <v>46149.315143171298</v>
      </c>
      <c r="C6396" s="3" t="str">
        <f>IFERROR(VLOOKUP(A6396,'Base Prueba'!A:C,3,),"NO REGISTRA")</f>
        <v>DIANA CAROLINA MARIN BETANCOURT</v>
      </c>
      <c r="D6396" s="4" t="str">
        <f>IFERROR(VLOOKUP(A6396,'Base Prueba'!A:D,4,),"NO REGISTRA")</f>
        <v>AUXILIAR ADMINISTRATIVO</v>
      </c>
      <c r="E6396" s="5" t="str">
        <f>IFERROR(VLOOKUP(A6396,'Base Prueba'!A:E,5,),"NO REGISTRA")</f>
        <v>REGISTRO Y CONTROL ACADEMICO</v>
      </c>
    </row>
    <row r="6397" spans="1:5" ht="15.75" x14ac:dyDescent="0.25">
      <c r="A6397" s="14">
        <v>1000324729</v>
      </c>
      <c r="B6397" s="2">
        <v>46149.317831250002</v>
      </c>
      <c r="C6397" s="3" t="str">
        <f>IFERROR(VLOOKUP(A6397,'Base Prueba'!A:C,3,),"NO REGISTRA")</f>
        <v>ANYIE VANESSA TINOCO CAMACHO</v>
      </c>
      <c r="D6397" s="4" t="str">
        <f>IFERROR(VLOOKUP(A6397,'Base Prueba'!A:D,4,),"NO REGISTRA")</f>
        <v>LIDER DE REGISTRO Y CONTROL</v>
      </c>
      <c r="E6397" s="5" t="str">
        <f>IFERROR(VLOOKUP(A6397,'Base Prueba'!A:E,5,),"NO REGISTRA")</f>
        <v>REGISTRO Y CONTROL ACADEMICO</v>
      </c>
    </row>
    <row r="6398" spans="1:5" ht="15.75" x14ac:dyDescent="0.25">
      <c r="A6398" s="14">
        <v>1000992568</v>
      </c>
      <c r="B6398" s="2">
        <v>46149.319587962964</v>
      </c>
      <c r="C6398" s="3" t="str">
        <f>IFERROR(VLOOKUP(A6398,'Base Prueba'!A:C,3,),"NO REGISTRA")</f>
        <v>KAREN BRIGITTE DALEMAN MORENO</v>
      </c>
      <c r="D6398" s="4" t="str">
        <f>IFERROR(VLOOKUP(A6398,'Base Prueba'!A:D,4,),"NO REGISTRA")</f>
        <v>RECEPCIONISTA</v>
      </c>
      <c r="E6398" s="5" t="str">
        <f>IFERROR(VLOOKUP(A6398,'Base Prueba'!A:E,5,),"NO REGISTRA")</f>
        <v>CENTRO DE GESTION DOCUMENTAL</v>
      </c>
    </row>
    <row r="6399" spans="1:5" ht="15.75" x14ac:dyDescent="0.25">
      <c r="A6399" s="14">
        <v>1024512067</v>
      </c>
      <c r="B6399" s="2">
        <v>46149.325094097221</v>
      </c>
      <c r="C6399" s="3" t="str">
        <f>IFERROR(VLOOKUP(A6399,'Base Prueba'!A:C,3,),"NO REGISTRA")</f>
        <v>CINDY GIOVANA SALGAR GOMEZ</v>
      </c>
      <c r="D6399" s="4" t="str">
        <f>IFERROR(VLOOKUP(A6399,'Base Prueba'!A:D,4,),"NO REGISTRA")</f>
        <v>COORDINADOR DEL SISTEMA INTEGRADO DE GESTION INSTITUCIONAL - SIGI</v>
      </c>
      <c r="E6399" s="5" t="str">
        <f>IFERROR(VLOOKUP(A6399,'Base Prueba'!A:E,5,),"NO REGISTRA")</f>
        <v>OFICINA DE PLANEACION Y GESTION DE LA CALIDAD</v>
      </c>
    </row>
    <row r="6400" spans="1:5" ht="15.75" x14ac:dyDescent="0.25">
      <c r="A6400" s="14">
        <v>1033820146</v>
      </c>
      <c r="B6400" s="2">
        <v>46149.330012384256</v>
      </c>
      <c r="C6400" s="3" t="str">
        <f>IFERROR(VLOOKUP(A6400,'Base Prueba'!A:C,3,),"NO REGISTRA")</f>
        <v>JULIETH ALEXANDRA BUSTAMANTE RUIZ</v>
      </c>
      <c r="D6400" s="4" t="str">
        <f>IFERROR(VLOOKUP(A6400,'Base Prueba'!A:D,4,),"NO REGISTRA")</f>
        <v>AUXILIAR ADMINISTRATIVO</v>
      </c>
      <c r="E6400" s="5" t="str">
        <f>IFERROR(VLOOKUP(A6400,'Base Prueba'!A:E,5,),"NO REGISTRA")</f>
        <v>REGISTRO Y CONTROL ACADEMICO</v>
      </c>
    </row>
    <row r="6401" spans="1:5" ht="15.75" x14ac:dyDescent="0.25">
      <c r="A6401" s="14">
        <v>1014308296</v>
      </c>
      <c r="B6401" s="2">
        <v>46149.333202314818</v>
      </c>
      <c r="C6401" s="3" t="str">
        <f>IFERROR(VLOOKUP(A6401,'Base Prueba'!A:C,3,),"NO REGISTRA")</f>
        <v>DARLENE YULIANA MORENO CELEITA</v>
      </c>
      <c r="D6401" s="4" t="str">
        <f>IFERROR(VLOOKUP(A6401,'Base Prueba'!A:D,4,),"NO REGISTRA")</f>
        <v>CAJERO PRINCIPAL</v>
      </c>
      <c r="E6401" s="5" t="str">
        <f>IFERROR(VLOOKUP(A6401,'Base Prueba'!A:E,5,),"NO REGISTRA")</f>
        <v>AREA FINANCIERA Y CONTABLE</v>
      </c>
    </row>
    <row r="6402" spans="1:5" ht="15.75" x14ac:dyDescent="0.25">
      <c r="A6402" s="14">
        <v>52225539</v>
      </c>
      <c r="B6402" s="2">
        <v>46149.333643518519</v>
      </c>
      <c r="C6402" s="3" t="str">
        <f>IFERROR(VLOOKUP(A6402,'Base Prueba'!A:C,3,),"NO REGISTRA")</f>
        <v>LISA MINELLY ZAMBRANO CONTRERAS</v>
      </c>
      <c r="D6402" s="4" t="str">
        <f>IFERROR(VLOOKUP(A6402,'Base Prueba'!A:D,4,),"NO REGISTRA")</f>
        <v>LIDER DE COMPRAS</v>
      </c>
      <c r="E6402" s="5" t="str">
        <f>IFERROR(VLOOKUP(A6402,'Base Prueba'!A:E,5,),"NO REGISTRA")</f>
        <v>VICERRECTORIA ADMINISTRATIVA Y FINANCIERA</v>
      </c>
    </row>
    <row r="6403" spans="1:5" ht="15.75" x14ac:dyDescent="0.25">
      <c r="A6403" s="14">
        <v>80191732</v>
      </c>
      <c r="B6403" s="2">
        <v>46149.334165162036</v>
      </c>
      <c r="C6403" s="3" t="str">
        <f>IFERROR(VLOOKUP(A6403,'Base Prueba'!A:C,3,),"NO REGISTRA")</f>
        <v>DANIEL MAURICIO ZAMBRANO TUNJANO</v>
      </c>
      <c r="D6403" s="4" t="str">
        <f>IFERROR(VLOOKUP(A6403,'Base Prueba'!A:D,4,),"NO REGISTRA")</f>
        <v>COORDINADOR DE DISEÑO E IMAGEN INSTITUCIONAL</v>
      </c>
      <c r="E6403" s="5" t="str">
        <f>IFERROR(VLOOKUP(A6403,'Base Prueba'!A:E,5,),"NO REGISTRA")</f>
        <v>OFICINA DE MERCADEO</v>
      </c>
    </row>
    <row r="6404" spans="1:5" ht="15.75" x14ac:dyDescent="0.25">
      <c r="A6404" s="14">
        <v>1049644802</v>
      </c>
      <c r="B6404" s="2">
        <v>46149.334694212965</v>
      </c>
      <c r="C6404" s="3" t="str">
        <f>IFERROR(VLOOKUP(A6404,'Base Prueba'!A:C,3,),"NO REGISTRA")</f>
        <v>DANIELA ALEXANDRA CIPAMOCHA BOSIGA</v>
      </c>
      <c r="D6404" s="4" t="str">
        <f>IFERROR(VLOOKUP(A6404,'Base Prueba'!A:D,4,),"NO REGISTRA")</f>
        <v>LIDER DE DATOS Y SERVICIOS</v>
      </c>
      <c r="E6404" s="5" t="str">
        <f>IFERROR(VLOOKUP(A6404,'Base Prueba'!A:E,5,),"NO REGISTRA")</f>
        <v>OFICINA DE PLANEACION Y GESTION DE LA CALIDAD</v>
      </c>
    </row>
    <row r="6405" spans="1:5" ht="15.75" x14ac:dyDescent="0.25">
      <c r="A6405" s="14">
        <v>1030567635</v>
      </c>
      <c r="B6405" s="2">
        <v>46149.335216898151</v>
      </c>
      <c r="C6405" s="3" t="str">
        <f>IFERROR(VLOOKUP(A6405,'Base Prueba'!A:C,3,),"NO REGISTRA")</f>
        <v>JEFFERSON ANDRES BARRETO DIAZ</v>
      </c>
      <c r="D6405" s="4" t="str">
        <f>IFERROR(VLOOKUP(A6405,'Base Prueba'!A:D,4,),"NO REGISTRA")</f>
        <v>AUXILIAR DE ARCHIVO</v>
      </c>
      <c r="E6405" s="5" t="str">
        <f>IFERROR(VLOOKUP(A6405,'Base Prueba'!A:E,5,),"NO REGISTRA")</f>
        <v>CENTRO DE GESTION DOCUMENTAL</v>
      </c>
    </row>
    <row r="6406" spans="1:5" ht="15.75" x14ac:dyDescent="0.25">
      <c r="A6406" s="14">
        <v>1013098430</v>
      </c>
      <c r="B6406" s="2">
        <v>46149.336466319444</v>
      </c>
      <c r="C6406" s="3" t="str">
        <f>IFERROR(VLOOKUP(A6406,'Base Prueba'!A:C,3,),"NO REGISTRA")</f>
        <v>ANDRES FELIPE LOPEZ ROMERO</v>
      </c>
      <c r="D6406" s="4" t="str">
        <f>IFERROR(VLOOKUP(A6406,'Base Prueba'!A:D,4,),"NO REGISTRA")</f>
        <v>APRENDIZ UNIVERSITARIO</v>
      </c>
      <c r="E6406" s="5" t="str">
        <f>IFERROR(VLOOKUP(A6406,'Base Prueba'!A:E,5,),"NO REGISTRA")</f>
        <v>OFICINA DE MERCADEO</v>
      </c>
    </row>
    <row r="6407" spans="1:5" ht="15.75" x14ac:dyDescent="0.25">
      <c r="A6407" s="14">
        <v>1014977624</v>
      </c>
      <c r="B6407" s="2">
        <v>46149.337310185183</v>
      </c>
      <c r="C6407" s="3" t="str">
        <f>IFERROR(VLOOKUP(A6407,'Base Prueba'!A:C,3,),"NO REGISTRA")</f>
        <v>NICCOLE VALENTINA HERNANDEZ MALAVER</v>
      </c>
      <c r="D6407" s="4" t="str">
        <f>IFERROR(VLOOKUP(A6407,'Base Prueba'!A:D,4,),"NO REGISTRA")</f>
        <v>APRENDIZ UNIVERSITARIO</v>
      </c>
      <c r="E6407" s="5" t="str">
        <f>IFERROR(VLOOKUP(A6407,'Base Prueba'!A:E,5,),"NO REGISTRA")</f>
        <v>AREA FINANCIERA Y CONTABLE</v>
      </c>
    </row>
    <row r="6408" spans="1:5" ht="15.75" x14ac:dyDescent="0.25">
      <c r="A6408" s="14">
        <v>1022996882</v>
      </c>
      <c r="B6408" s="2">
        <v>46149.337879513892</v>
      </c>
      <c r="C6408" s="3" t="str">
        <f>IFERROR(VLOOKUP(A6408,'Base Prueba'!A:C,3,),"NO REGISTRA")</f>
        <v>NANCY BRIGITH ALDANA GUEVARA</v>
      </c>
      <c r="D6408" s="4" t="str">
        <f>IFERROR(VLOOKUP(A6408,'Base Prueba'!A:D,4,),"NO REGISTRA")</f>
        <v>COORDINADORA DE GESTIÓN HUMANA</v>
      </c>
      <c r="E6408" s="5" t="str">
        <f>IFERROR(VLOOKUP(A6408,'Base Prueba'!A:E,5,),"NO REGISTRA")</f>
        <v>DEPARTAMENTO DE GESTION HUMANA</v>
      </c>
    </row>
    <row r="6409" spans="1:5" ht="15.75" x14ac:dyDescent="0.25">
      <c r="A6409" s="14">
        <v>1014196857</v>
      </c>
      <c r="B6409" s="2">
        <v>46149.341484027776</v>
      </c>
      <c r="C6409" s="3" t="str">
        <f>IFERROR(VLOOKUP(A6409,'Base Prueba'!A:C,3,),"NO REGISTRA")</f>
        <v>CARLOS ANDRES JIMENEZ PARDO</v>
      </c>
      <c r="D6409" s="4" t="str">
        <f>IFERROR(VLOOKUP(A6409,'Base Prueba'!A:D,4,),"NO REGISTRA")</f>
        <v>COORDINADOR DE MARKETING DIGITAL</v>
      </c>
      <c r="E6409" s="5" t="str">
        <f>IFERROR(VLOOKUP(A6409,'Base Prueba'!A:E,5,),"NO REGISTRA")</f>
        <v>OFICINA DE MERCADEO</v>
      </c>
    </row>
    <row r="6410" spans="1:5" ht="15.75" x14ac:dyDescent="0.25">
      <c r="A6410" s="14">
        <v>1193457976</v>
      </c>
      <c r="B6410" s="2">
        <v>46149.342460648149</v>
      </c>
      <c r="C6410" s="3" t="str">
        <f>IFERROR(VLOOKUP(A6410,'Base Prueba'!A:C,3,),"NO REGISTRA")</f>
        <v>SEDENIS RIVAS ASPRILLA</v>
      </c>
      <c r="D6410" s="4" t="str">
        <f>IFERROR(VLOOKUP(A6410,'Base Prueba'!A:D,4,),"NO REGISTRA")</f>
        <v>APRENDIZ UNIVERSITARIO</v>
      </c>
      <c r="E6410" s="5" t="str">
        <f>IFERROR(VLOOKUP(A6410,'Base Prueba'!A:E,5,),"NO REGISTRA")</f>
        <v>DEPARTAMENTO DE GESTION HUMANA</v>
      </c>
    </row>
    <row r="6411" spans="1:5" ht="15.75" x14ac:dyDescent="0.25">
      <c r="A6411" s="14">
        <v>1000457706</v>
      </c>
      <c r="B6411" s="2">
        <v>46149.342826504631</v>
      </c>
      <c r="C6411" s="3" t="str">
        <f>IFERROR(VLOOKUP(A6411,'Base Prueba'!A:C,3,),"NO REGISTRA")</f>
        <v>CRISTIAN DANILO ARROYO SANABRIA</v>
      </c>
      <c r="D6411" s="4" t="str">
        <f>IFERROR(VLOOKUP(A6411,'Base Prueba'!A:D,4,),"NO REGISTRA")</f>
        <v>AUXILIAR CONTABLE</v>
      </c>
      <c r="E6411" s="5" t="str">
        <f>IFERROR(VLOOKUP(A6411,'Base Prueba'!A:E,5,),"NO REGISTRA")</f>
        <v>AREA FINANCIERA Y CONTABLE</v>
      </c>
    </row>
    <row r="6412" spans="1:5" ht="15.75" x14ac:dyDescent="0.25">
      <c r="A6412" s="14">
        <v>1000257136</v>
      </c>
      <c r="B6412" s="2">
        <v>46149.345318171298</v>
      </c>
      <c r="C6412" s="3" t="str">
        <f>IFERROR(VLOOKUP(A6412,'Base Prueba'!A:C,3,),"NO REGISTRA")</f>
        <v>FRANCI VALENTINA CANO PUENTES</v>
      </c>
      <c r="D6412" s="4" t="str">
        <f>IFERROR(VLOOKUP(A6412,'Base Prueba'!A:D,4,),"NO REGISTRA")</f>
        <v>AUXILIAR CONTABLE</v>
      </c>
      <c r="E6412" s="5" t="str">
        <f>IFERROR(VLOOKUP(A6412,'Base Prueba'!A:E,5,),"NO REGISTRA")</f>
        <v>AREA FINANCIERA Y CONTABLE</v>
      </c>
    </row>
    <row r="6413" spans="1:5" ht="15.75" x14ac:dyDescent="0.25">
      <c r="A6413" s="14">
        <v>1023883232</v>
      </c>
      <c r="B6413" s="2">
        <v>46149.347665393521</v>
      </c>
      <c r="C6413" s="3" t="str">
        <f>IFERROR(VLOOKUP(A6413,'Base Prueba'!A:C,3,),"NO REGISTRA")</f>
        <v>MONICA ANDREA ACERO URBANO</v>
      </c>
      <c r="D6413" s="4" t="str">
        <f>IFERROR(VLOOKUP(A6413,'Base Prueba'!A:D,4,),"NO REGISTRA")</f>
        <v>APOYO INTEGRAL A GESTION HUMANA</v>
      </c>
      <c r="E6413" s="5" t="str">
        <f>IFERROR(VLOOKUP(A6413,'Base Prueba'!A:E,5,),"NO REGISTRA")</f>
        <v>DEPARTAMENTO DE GESTION HUMANA</v>
      </c>
    </row>
    <row r="6414" spans="1:5" ht="15.75" x14ac:dyDescent="0.25">
      <c r="A6414" s="14">
        <v>1023883232</v>
      </c>
      <c r="B6414" s="2">
        <v>46149.347720138889</v>
      </c>
      <c r="C6414" s="3" t="str">
        <f>IFERROR(VLOOKUP(A6414,'Base Prueba'!A:C,3,),"NO REGISTRA")</f>
        <v>MONICA ANDREA ACERO URBANO</v>
      </c>
      <c r="D6414" s="4" t="str">
        <f>IFERROR(VLOOKUP(A6414,'Base Prueba'!A:D,4,),"NO REGISTRA")</f>
        <v>APOYO INTEGRAL A GESTION HUMANA</v>
      </c>
      <c r="E6414" s="5" t="str">
        <f>IFERROR(VLOOKUP(A6414,'Base Prueba'!A:E,5,),"NO REGISTRA")</f>
        <v>DEPARTAMENTO DE GESTION HUMANA</v>
      </c>
    </row>
    <row r="6415" spans="1:5" ht="15.75" x14ac:dyDescent="0.25">
      <c r="A6415" s="14">
        <v>1000604979</v>
      </c>
      <c r="B6415" s="2">
        <v>46149.351031828701</v>
      </c>
      <c r="C6415" s="3" t="str">
        <f>IFERROR(VLOOKUP(A6415,'Base Prueba'!A:C,3,),"NO REGISTRA")</f>
        <v>JULIETH TATIANA PARDO PINTO</v>
      </c>
      <c r="D6415" s="4" t="str">
        <f>IFERROR(VLOOKUP(A6415,'Base Prueba'!A:D,4,),"NO REGISTRA")</f>
        <v>AUXILIAR JURIDICO</v>
      </c>
      <c r="E6415" s="5" t="str">
        <f>IFERROR(VLOOKUP(A6415,'Base Prueba'!A:E,5,),"NO REGISTRA")</f>
        <v>SECRETARIA GENERAL</v>
      </c>
    </row>
    <row r="6416" spans="1:5" ht="15.75" x14ac:dyDescent="0.25">
      <c r="A6416" s="14">
        <v>1014266838</v>
      </c>
      <c r="B6416" s="2">
        <v>46149.352079050928</v>
      </c>
      <c r="C6416" s="3" t="str">
        <f>IFERROR(VLOOKUP(A6416,'Base Prueba'!A:C,3,),"NO REGISTRA")</f>
        <v>JENNIFER ASTRID ROMERO HURTADO</v>
      </c>
      <c r="D6416" s="4" t="str">
        <f>IFERROR(VLOOKUP(A6416,'Base Prueba'!A:D,4,),"NO REGISTRA")</f>
        <v>LIDER DE RECAUDO</v>
      </c>
      <c r="E6416" s="5" t="str">
        <f>IFERROR(VLOOKUP(A6416,'Base Prueba'!A:E,5,),"NO REGISTRA")</f>
        <v>AREA FINANCIERA Y CONTABLE</v>
      </c>
    </row>
    <row r="6417" spans="1:5" ht="15.75" x14ac:dyDescent="0.25">
      <c r="A6417" s="14">
        <v>1087121273</v>
      </c>
      <c r="B6417" s="2">
        <v>46149.355376041669</v>
      </c>
      <c r="C6417" s="3" t="str">
        <f>IFERROR(VLOOKUP(A6417,'Base Prueba'!A:C,3,),"NO REGISTRA")</f>
        <v>MAYRA ALEJANDRA CASTILLO ARBOLEDA</v>
      </c>
      <c r="D6417" s="4" t="str">
        <f>IFERROR(VLOOKUP(A6417,'Base Prueba'!A:D,4,),"NO REGISTRA")</f>
        <v>APOYO INTEGRAL DE MERCADEO</v>
      </c>
      <c r="E6417" s="5" t="str">
        <f>IFERROR(VLOOKUP(A6417,'Base Prueba'!A:E,5,),"NO REGISTRA")</f>
        <v>CENTRO DE GESTION DOCUMENTAL</v>
      </c>
    </row>
    <row r="6418" spans="1:5" ht="15.75" x14ac:dyDescent="0.25">
      <c r="A6418" s="14">
        <v>1012426741</v>
      </c>
      <c r="B6418" s="2">
        <v>46149.36204039352</v>
      </c>
      <c r="C6418" s="3" t="str">
        <f>IFERROR(VLOOKUP(A6418,'Base Prueba'!A:C,3,),"NO REGISTRA")</f>
        <v>CRISTIAN FABIAN ROJAS SANCENO</v>
      </c>
      <c r="D6418" s="4" t="str">
        <f>IFERROR(VLOOKUP(A6418,'Base Prueba'!A:D,4,),"NO REGISTRA")</f>
        <v>AUXILIAR DE REINTEGROS</v>
      </c>
      <c r="E6418" s="5" t="str">
        <f>IFERROR(VLOOKUP(A6418,'Base Prueba'!A:E,5,),"NO REGISTRA")</f>
        <v>DIRECCION DE BIENESTAR INSTITUCIONAL</v>
      </c>
    </row>
    <row r="6419" spans="1:5" ht="15.75" x14ac:dyDescent="0.25">
      <c r="A6419" s="14">
        <v>28798349</v>
      </c>
      <c r="B6419" s="2">
        <v>46149.369472337959</v>
      </c>
      <c r="C6419" s="3" t="str">
        <f>IFERROR(VLOOKUP(A6419,'Base Prueba'!A:C,3,),"NO REGISTRA")</f>
        <v>MARTHA ISABEL TOVAR WILLIAMS</v>
      </c>
      <c r="D6419" s="4" t="str">
        <f>IFERROR(VLOOKUP(A6419,'Base Prueba'!A:D,4,),"NO REGISTRA")</f>
        <v>PROMOTOR CALL CENTER</v>
      </c>
      <c r="E6419" s="5" t="str">
        <f>IFERROR(VLOOKUP(A6419,'Base Prueba'!A:E,5,),"NO REGISTRA")</f>
        <v>OFICINA DE MERCADEO</v>
      </c>
    </row>
    <row r="6420" spans="1:5" ht="15.75" x14ac:dyDescent="0.25">
      <c r="A6420" s="14">
        <v>52472386</v>
      </c>
      <c r="B6420" s="2">
        <v>46149.370232870373</v>
      </c>
      <c r="C6420" s="3" t="str">
        <f>IFERROR(VLOOKUP(A6420,'Base Prueba'!A:C,3,),"NO REGISTRA")</f>
        <v>ADRIANA MARCELA MORALES PARDO</v>
      </c>
      <c r="D6420" s="4" t="str">
        <f>IFERROR(VLOOKUP(A6420,'Base Prueba'!A:D,4,),"NO REGISTRA")</f>
        <v>PROMOTOR CALL CENTER</v>
      </c>
      <c r="E6420" s="5" t="str">
        <f>IFERROR(VLOOKUP(A6420,'Base Prueba'!A:E,5,),"NO REGISTRA")</f>
        <v>OFICINA DE MERCADEO</v>
      </c>
    </row>
    <row r="6421" spans="1:5" ht="15.75" x14ac:dyDescent="0.25">
      <c r="A6421" s="14">
        <v>52764929</v>
      </c>
      <c r="B6421" s="2">
        <v>46149.371924999999</v>
      </c>
      <c r="C6421" s="3" t="str">
        <f>IFERROR(VLOOKUP(A6421,'Base Prueba'!A:C,3,),"NO REGISTRA")</f>
        <v>GUERLY YOHANA DURAN RIVERA</v>
      </c>
      <c r="D6421" s="4" t="str">
        <f>IFERROR(VLOOKUP(A6421,'Base Prueba'!A:D,4,),"NO REGISTRA")</f>
        <v>LIDER DE VINCULACION COLEGIOS</v>
      </c>
      <c r="E6421" s="5" t="str">
        <f>IFERROR(VLOOKUP(A6421,'Base Prueba'!A:E,5,),"NO REGISTRA")</f>
        <v>OFICINA DE MERCADEO</v>
      </c>
    </row>
    <row r="6422" spans="1:5" ht="15.75" x14ac:dyDescent="0.25">
      <c r="A6422" s="14">
        <v>1023961952</v>
      </c>
      <c r="B6422" s="2">
        <v>46149.373216782406</v>
      </c>
      <c r="C6422" s="3" t="str">
        <f>IFERROR(VLOOKUP(A6422,'Base Prueba'!A:C,3,),"NO REGISTRA")</f>
        <v>ALEJANDRO PINZON MERCHAN</v>
      </c>
      <c r="D6422" s="4" t="str">
        <f>IFERROR(VLOOKUP(A6422,'Base Prueba'!A:D,4,),"NO REGISTRA")</f>
        <v>PROMOTOR CALL CENTER</v>
      </c>
      <c r="E6422" s="5" t="str">
        <f>IFERROR(VLOOKUP(A6422,'Base Prueba'!A:E,5,),"NO REGISTRA")</f>
        <v>OFICINA DE MERCADEO</v>
      </c>
    </row>
    <row r="6423" spans="1:5" ht="15.75" x14ac:dyDescent="0.25">
      <c r="A6423" s="14">
        <v>1032407386</v>
      </c>
      <c r="B6423" s="2">
        <v>46149.37401388889</v>
      </c>
      <c r="C6423" s="3" t="str">
        <f>IFERROR(VLOOKUP(A6423,'Base Prueba'!A:C,3,),"NO REGISTRA")</f>
        <v>GINA PAOLA BAEZ GALVIS</v>
      </c>
      <c r="D6423" s="4" t="str">
        <f>IFERROR(VLOOKUP(A6423,'Base Prueba'!A:D,4,),"NO REGISTRA")</f>
        <v>PROMOTOR CALL CENTER</v>
      </c>
      <c r="E6423" s="5" t="str">
        <f>IFERROR(VLOOKUP(A6423,'Base Prueba'!A:E,5,),"NO REGISTRA")</f>
        <v>OFICINA DE MERCADEO</v>
      </c>
    </row>
    <row r="6424" spans="1:5" ht="15.75" x14ac:dyDescent="0.25">
      <c r="A6424" s="14">
        <v>80234243</v>
      </c>
      <c r="B6424" s="2">
        <v>46149.376036111113</v>
      </c>
      <c r="C6424" s="3" t="str">
        <f>IFERROR(VLOOKUP(A6424,'Base Prueba'!A:C,3,),"NO REGISTRA")</f>
        <v>ARGENIS MARTINEZ MARTINEZ</v>
      </c>
      <c r="D6424" s="4" t="str">
        <f>IFERROR(VLOOKUP(A6424,'Base Prueba'!A:D,4,),"NO REGISTRA")</f>
        <v>LIDER CALL CENTER</v>
      </c>
      <c r="E6424" s="5" t="str">
        <f>IFERROR(VLOOKUP(A6424,'Base Prueba'!A:E,5,),"NO REGISTRA")</f>
        <v>OFICINA DE MERCADEO</v>
      </c>
    </row>
    <row r="6425" spans="1:5" ht="15.75" x14ac:dyDescent="0.25">
      <c r="A6425" s="14">
        <v>1013101788</v>
      </c>
      <c r="B6425" s="2">
        <v>46149.37953622685</v>
      </c>
      <c r="C6425" s="3" t="str">
        <f>IFERROR(VLOOKUP(A6425,'Base Prueba'!A:C,3,),"NO REGISTRA")</f>
        <v>SARA TANGARIFE MONTOYA</v>
      </c>
      <c r="D6425" s="4" t="str">
        <f>IFERROR(VLOOKUP(A6425,'Base Prueba'!A:D,4,),"NO REGISTRA")</f>
        <v>APRENDIZ UNIVERSITARIO</v>
      </c>
      <c r="E6425" s="5" t="str">
        <f>IFERROR(VLOOKUP(A6425,'Base Prueba'!A:E,5,),"NO REGISTRA")</f>
        <v>OFICINA DE MERCADEO</v>
      </c>
    </row>
    <row r="6426" spans="1:5" ht="15.75" x14ac:dyDescent="0.25">
      <c r="A6426" s="14">
        <v>52175674</v>
      </c>
      <c r="B6426" s="2">
        <v>46149.382414120373</v>
      </c>
      <c r="C6426" s="3" t="str">
        <f>IFERROR(VLOOKUP(A6426,'Base Prueba'!A:C,3,),"NO REGISTRA")</f>
        <v>LUZ YANETH GOMEZ AREVALO</v>
      </c>
      <c r="D6426" s="4" t="str">
        <f>IFERROR(VLOOKUP(A6426,'Base Prueba'!A:D,4,),"NO REGISTRA")</f>
        <v>COORDINADORA DE ADMISIONES</v>
      </c>
      <c r="E6426" s="5" t="str">
        <f>IFERROR(VLOOKUP(A6426,'Base Prueba'!A:E,5,),"NO REGISTRA")</f>
        <v>OFICINA DE MERCADEO</v>
      </c>
    </row>
    <row r="6427" spans="1:5" ht="15.75" x14ac:dyDescent="0.25">
      <c r="A6427" s="14">
        <v>1016090131</v>
      </c>
      <c r="B6427" s="2">
        <v>46149.393977893516</v>
      </c>
      <c r="C6427" s="3" t="str">
        <f>IFERROR(VLOOKUP(A6427,'Base Prueba'!A:C,3,),"NO REGISTRA")</f>
        <v>NICOLAS RODRIGUEZ PACHECO</v>
      </c>
      <c r="D6427" s="4" t="str">
        <f>IFERROR(VLOOKUP(A6427,'Base Prueba'!A:D,4,),"NO REGISTRA")</f>
        <v>COORDINADOR DE COMUNICACIONES</v>
      </c>
      <c r="E6427" s="5" t="str">
        <f>IFERROR(VLOOKUP(A6427,'Base Prueba'!A:E,5,),"NO REGISTRA")</f>
        <v>OFICINA DE MERCADEO</v>
      </c>
    </row>
    <row r="6428" spans="1:5" ht="15.75" x14ac:dyDescent="0.25">
      <c r="A6428" s="14">
        <v>1033709056</v>
      </c>
      <c r="B6428" s="2">
        <v>46149.421287500001</v>
      </c>
      <c r="C6428" s="3" t="str">
        <f>IFERROR(VLOOKUP(A6428,'Base Prueba'!A:C,3,),"NO REGISTRA")</f>
        <v>YEIMY ALEXANDRA RODRIGUEZ PALACIO</v>
      </c>
      <c r="D6428" s="4" t="str">
        <f>IFERROR(VLOOKUP(A6428,'Base Prueba'!A:D,4,),"NO REGISTRA")</f>
        <v>PROMOTOR CALL CENTER</v>
      </c>
      <c r="E6428" s="5" t="str">
        <f>IFERROR(VLOOKUP(A6428,'Base Prueba'!A:E,5,),"NO REGISTRA")</f>
        <v>OFICINA DE MERCADEO</v>
      </c>
    </row>
    <row r="6429" spans="1:5" ht="15.75" x14ac:dyDescent="0.25">
      <c r="A6429" s="14">
        <v>1018413529</v>
      </c>
      <c r="B6429" s="2">
        <v>46149.431459490741</v>
      </c>
      <c r="C6429" s="3" t="str">
        <f>IFERROR(VLOOKUP(A6429,'Base Prueba'!A:C,3,),"NO REGISTRA")</f>
        <v>FRANCY STELLA CHARRY MORENO</v>
      </c>
      <c r="D6429" s="4" t="str">
        <f>IFERROR(VLOOKUP(A6429,'Base Prueba'!A:D,4,),"NO REGISTRA")</f>
        <v>PROMOTOR COMERCIAL DEL CEA</v>
      </c>
      <c r="E6429" s="5" t="str">
        <f>IFERROR(VLOOKUP(A6429,'Base Prueba'!A:E,5,),"NO REGISTRA")</f>
        <v>OFICINA DE MERCADEO</v>
      </c>
    </row>
    <row r="6430" spans="1:5" ht="15.75" x14ac:dyDescent="0.25">
      <c r="A6430" s="14">
        <v>53932358</v>
      </c>
      <c r="B6430" s="2">
        <v>46149.433767361108</v>
      </c>
      <c r="C6430" s="3" t="str">
        <f>IFERROR(VLOOKUP(A6430,'Base Prueba'!A:C,3,),"NO REGISTRA")</f>
        <v>DIANA MADELEYNE GAONA RODRIGUEZ</v>
      </c>
      <c r="D6430" s="4" t="str">
        <f>IFERROR(VLOOKUP(A6430,'Base Prueba'!A:D,4,),"NO REGISTRA")</f>
        <v>CONTADOR</v>
      </c>
      <c r="E6430" s="5" t="str">
        <f>IFERROR(VLOOKUP(A6430,'Base Prueba'!A:E,5,),"NO REGISTRA")</f>
        <v>AREA FINANCIERA Y CONTABLE</v>
      </c>
    </row>
    <row r="6431" spans="1:5" ht="15.75" x14ac:dyDescent="0.25">
      <c r="A6431" s="14">
        <v>52443092</v>
      </c>
      <c r="B6431" s="2">
        <v>46149.582347800926</v>
      </c>
      <c r="C6431" s="3" t="str">
        <f>IFERROR(VLOOKUP(A6431,'Base Prueba'!A:C,3,),"NO REGISTRA")</f>
        <v>LUZ MYRIAM SAAVEDRA CONTRERAS</v>
      </c>
      <c r="D6431" s="4" t="str">
        <f>IFERROR(VLOOKUP(A6431,'Base Prueba'!A:D,4,),"NO REGISTRA")</f>
        <v>AUXILIAR DE SERVICIOS</v>
      </c>
      <c r="E6431" s="5" t="str">
        <f>IFERROR(VLOOKUP(A6431,'Base Prueba'!A:E,5,),"NO REGISTRA")</f>
        <v>LOGISTICA Y SERVICIOS GENERALES</v>
      </c>
    </row>
    <row r="6432" spans="1:5" ht="15.75" x14ac:dyDescent="0.25">
      <c r="A6432" s="14">
        <v>79872151</v>
      </c>
      <c r="B6432" s="2">
        <v>46149.710734259257</v>
      </c>
      <c r="C6432" s="3" t="str">
        <f>IFERROR(VLOOKUP(A6432,'Base Prueba'!A:C,3,),"NO REGISTRA")</f>
        <v>HECTOR ALIRIO MARTINEZ TORRES</v>
      </c>
      <c r="D6432" s="4" t="str">
        <f>IFERROR(VLOOKUP(A6432,'Base Prueba'!A:D,4,),"NO REGISTRA")</f>
        <v>DOCENTE DE TIEMPO COMPLETO</v>
      </c>
      <c r="E6432" s="5" t="str">
        <f>IFERROR(VLOOKUP(A6432,'Base Prueba'!A:E,5,),"NO REGISTRA")</f>
        <v>CIENCIAS DE LA INFORMACION Y BIBLIOTECOLOGIA</v>
      </c>
    </row>
    <row r="6433" spans="1:5" ht="15.75" x14ac:dyDescent="0.25">
      <c r="A6433" s="14">
        <v>1000992568</v>
      </c>
      <c r="B6433" s="2">
        <v>46149.710775347223</v>
      </c>
      <c r="C6433" s="3" t="str">
        <f>IFERROR(VLOOKUP(A6433,'Base Prueba'!A:C,3,),"NO REGISTRA")</f>
        <v>KAREN BRIGITTE DALEMAN MORENO</v>
      </c>
      <c r="D6433" s="4" t="str">
        <f>IFERROR(VLOOKUP(A6433,'Base Prueba'!A:D,4,),"NO REGISTRA")</f>
        <v>RECEPCIONISTA</v>
      </c>
      <c r="E6433" s="5" t="str">
        <f>IFERROR(VLOOKUP(A6433,'Base Prueba'!A:E,5,),"NO REGISTRA")</f>
        <v>CENTRO DE GESTION DOCUMENTAL</v>
      </c>
    </row>
    <row r="6434" spans="1:5" ht="15.75" x14ac:dyDescent="0.25">
      <c r="A6434" s="14">
        <v>1000611958</v>
      </c>
      <c r="B6434" s="2">
        <v>46149.7119318287</v>
      </c>
      <c r="C6434" s="3" t="str">
        <f>IFERROR(VLOOKUP(A6434,'Base Prueba'!A:C,3,),"NO REGISTRA")</f>
        <v>TYLER CORRADINE  VARGAS</v>
      </c>
      <c r="D6434" s="4" t="str">
        <f>IFERROR(VLOOKUP(A6434,'Base Prueba'!A:D,4,),"NO REGISTRA")</f>
        <v>APRENDIZ UNIVERSITARIO</v>
      </c>
      <c r="E6434" s="5" t="str">
        <f>IFERROR(VLOOKUP(A6434,'Base Prueba'!A:E,5,),"NO REGISTRA")</f>
        <v>DEPARTAMENTO DE INFORMATICA Y TECNOLOGIA</v>
      </c>
    </row>
    <row r="6435" spans="1:5" ht="15.75" x14ac:dyDescent="0.25">
      <c r="A6435" s="14">
        <v>1013616244</v>
      </c>
      <c r="B6435" s="2">
        <v>46149.722971296294</v>
      </c>
      <c r="C6435" s="3" t="str">
        <f>IFERROR(VLOOKUP(A6435,'Base Prueba'!A:C,3,),"NO REGISTRA")</f>
        <v>DIANA CAROLINA MARIN BETANCOURT</v>
      </c>
      <c r="D6435" s="4" t="str">
        <f>IFERROR(VLOOKUP(A6435,'Base Prueba'!A:D,4,),"NO REGISTRA")</f>
        <v>AUXILIAR ADMINISTRATIVO</v>
      </c>
      <c r="E6435" s="5" t="str">
        <f>IFERROR(VLOOKUP(A6435,'Base Prueba'!A:E,5,),"NO REGISTRA")</f>
        <v>REGISTRO Y CONTROL ACADEMICO</v>
      </c>
    </row>
    <row r="6436" spans="1:5" ht="15.75" x14ac:dyDescent="0.25">
      <c r="A6436" s="14">
        <v>1024512067</v>
      </c>
      <c r="B6436" s="2">
        <v>46149.730547685183</v>
      </c>
      <c r="C6436" s="3" t="str">
        <f>IFERROR(VLOOKUP(A6436,'Base Prueba'!A:C,3,),"NO REGISTRA")</f>
        <v>CINDY GIOVANA SALGAR GOMEZ</v>
      </c>
      <c r="D6436" s="4" t="str">
        <f>IFERROR(VLOOKUP(A6436,'Base Prueba'!A:D,4,),"NO REGISTRA")</f>
        <v>COORDINADOR DEL SISTEMA INTEGRADO DE GESTION INSTITUCIONAL - SIGI</v>
      </c>
      <c r="E6436" s="5" t="str">
        <f>IFERROR(VLOOKUP(A6436,'Base Prueba'!A:E,5,),"NO REGISTRA")</f>
        <v>OFICINA DE PLANEACION Y GESTION DE LA CALIDAD</v>
      </c>
    </row>
    <row r="6437" spans="1:5" ht="15.75" x14ac:dyDescent="0.25">
      <c r="A6437" s="14">
        <v>1193457976</v>
      </c>
      <c r="B6437" s="2">
        <v>46149.749674189814</v>
      </c>
      <c r="C6437" s="3" t="str">
        <f>IFERROR(VLOOKUP(A6437,'Base Prueba'!A:C,3,),"NO REGISTRA")</f>
        <v>SEDENIS RIVAS ASPRILLA</v>
      </c>
      <c r="D6437" s="4" t="str">
        <f>IFERROR(VLOOKUP(A6437,'Base Prueba'!A:D,4,),"NO REGISTRA")</f>
        <v>APRENDIZ UNIVERSITARIO</v>
      </c>
      <c r="E6437" s="5" t="str">
        <f>IFERROR(VLOOKUP(A6437,'Base Prueba'!A:E,5,),"NO REGISTRA")</f>
        <v>DEPARTAMENTO DE GESTION HUMANA</v>
      </c>
    </row>
    <row r="6438" spans="1:5" ht="15.75" x14ac:dyDescent="0.25">
      <c r="A6438" s="14">
        <v>1012426741</v>
      </c>
      <c r="B6438" s="2">
        <v>46149.749722106484</v>
      </c>
      <c r="C6438" s="3" t="str">
        <f>IFERROR(VLOOKUP(A6438,'Base Prueba'!A:C,3,),"NO REGISTRA")</f>
        <v>CRISTIAN FABIAN ROJAS SANCENO</v>
      </c>
      <c r="D6438" s="4" t="str">
        <f>IFERROR(VLOOKUP(A6438,'Base Prueba'!A:D,4,),"NO REGISTRA")</f>
        <v>AUXILIAR DE REINTEGROS</v>
      </c>
      <c r="E6438" s="5" t="str">
        <f>IFERROR(VLOOKUP(A6438,'Base Prueba'!A:E,5,),"NO REGISTRA")</f>
        <v>DIRECCION DE BIENESTAR INSTITUCIONAL</v>
      </c>
    </row>
    <row r="6439" spans="1:5" ht="15.75" x14ac:dyDescent="0.25">
      <c r="A6439" s="14">
        <v>52225539</v>
      </c>
      <c r="B6439" s="2">
        <v>46149.750042361113</v>
      </c>
      <c r="C6439" s="3" t="str">
        <f>IFERROR(VLOOKUP(A6439,'Base Prueba'!A:C,3,),"NO REGISTRA")</f>
        <v>LISA MINELLY ZAMBRANO CONTRERAS</v>
      </c>
      <c r="D6439" s="4" t="str">
        <f>IFERROR(VLOOKUP(A6439,'Base Prueba'!A:D,4,),"NO REGISTRA")</f>
        <v>LIDER DE COMPRAS</v>
      </c>
      <c r="E6439" s="5" t="str">
        <f>IFERROR(VLOOKUP(A6439,'Base Prueba'!A:E,5,),"NO REGISTRA")</f>
        <v>VICERRECTORIA ADMINISTRATIVA Y FINANCIERA</v>
      </c>
    </row>
    <row r="6440" spans="1:5" ht="15.75" x14ac:dyDescent="0.25">
      <c r="A6440" s="14">
        <v>1000604979</v>
      </c>
      <c r="B6440" s="2">
        <v>46149.750299305553</v>
      </c>
      <c r="C6440" s="3" t="str">
        <f>IFERROR(VLOOKUP(A6440,'Base Prueba'!A:C,3,),"NO REGISTRA")</f>
        <v>JULIETH TATIANA PARDO PINTO</v>
      </c>
      <c r="D6440" s="4" t="str">
        <f>IFERROR(VLOOKUP(A6440,'Base Prueba'!A:D,4,),"NO REGISTRA")</f>
        <v>AUXILIAR JURIDICO</v>
      </c>
      <c r="E6440" s="5" t="str">
        <f>IFERROR(VLOOKUP(A6440,'Base Prueba'!A:E,5,),"NO REGISTRA")</f>
        <v>SECRETARIA GENERAL</v>
      </c>
    </row>
    <row r="6441" spans="1:5" ht="15.75" x14ac:dyDescent="0.25">
      <c r="A6441" s="14">
        <v>1022996882</v>
      </c>
      <c r="B6441" s="2">
        <v>46149.750403472222</v>
      </c>
      <c r="C6441" s="3" t="str">
        <f>IFERROR(VLOOKUP(A6441,'Base Prueba'!A:C,3,),"NO REGISTRA")</f>
        <v>NANCY BRIGITH ALDANA GUEVARA</v>
      </c>
      <c r="D6441" s="4" t="str">
        <f>IFERROR(VLOOKUP(A6441,'Base Prueba'!A:D,4,),"NO REGISTRA")</f>
        <v>COORDINADORA DE GESTIÓN HUMANA</v>
      </c>
      <c r="E6441" s="5" t="str">
        <f>IFERROR(VLOOKUP(A6441,'Base Prueba'!A:E,5,),"NO REGISTRA")</f>
        <v>DEPARTAMENTO DE GESTION HUMANA</v>
      </c>
    </row>
    <row r="6442" spans="1:5" ht="15.75" x14ac:dyDescent="0.25">
      <c r="A6442" s="14">
        <v>80191732</v>
      </c>
      <c r="B6442" s="2">
        <v>46149.750760995368</v>
      </c>
      <c r="C6442" s="3" t="str">
        <f>IFERROR(VLOOKUP(A6442,'Base Prueba'!A:C,3,),"NO REGISTRA")</f>
        <v>DANIEL MAURICIO ZAMBRANO TUNJANO</v>
      </c>
      <c r="D6442" s="4" t="str">
        <f>IFERROR(VLOOKUP(A6442,'Base Prueba'!A:D,4,),"NO REGISTRA")</f>
        <v>COORDINADOR DE DISEÑO E IMAGEN INSTITUCIONAL</v>
      </c>
      <c r="E6442" s="5" t="str">
        <f>IFERROR(VLOOKUP(A6442,'Base Prueba'!A:E,5,),"NO REGISTRA")</f>
        <v>OFICINA DE MERCADEO</v>
      </c>
    </row>
    <row r="6443" spans="1:5" ht="15.75" x14ac:dyDescent="0.25">
      <c r="A6443" s="14">
        <v>1023883232</v>
      </c>
      <c r="B6443" s="2">
        <v>46149.751372800929</v>
      </c>
      <c r="C6443" s="3" t="str">
        <f>IFERROR(VLOOKUP(A6443,'Base Prueba'!A:C,3,),"NO REGISTRA")</f>
        <v>MONICA ANDREA ACERO URBANO</v>
      </c>
      <c r="D6443" s="4" t="str">
        <f>IFERROR(VLOOKUP(A6443,'Base Prueba'!A:D,4,),"NO REGISTRA")</f>
        <v>APOYO INTEGRAL A GESTION HUMANA</v>
      </c>
      <c r="E6443" s="5" t="str">
        <f>IFERROR(VLOOKUP(A6443,'Base Prueba'!A:E,5,),"NO REGISTRA")</f>
        <v>DEPARTAMENTO DE GESTION HUMANA</v>
      </c>
    </row>
    <row r="6444" spans="1:5" ht="15.75" x14ac:dyDescent="0.25">
      <c r="A6444" s="14">
        <v>1030567635</v>
      </c>
      <c r="B6444" s="2">
        <v>46149.751751851851</v>
      </c>
      <c r="C6444" s="3" t="str">
        <f>IFERROR(VLOOKUP(A6444,'Base Prueba'!A:C,3,),"NO REGISTRA")</f>
        <v>JEFFERSON ANDRES BARRETO DIAZ</v>
      </c>
      <c r="D6444" s="4" t="str">
        <f>IFERROR(VLOOKUP(A6444,'Base Prueba'!A:D,4,),"NO REGISTRA")</f>
        <v>AUXILIAR DE ARCHIVO</v>
      </c>
      <c r="E6444" s="5" t="str">
        <f>IFERROR(VLOOKUP(A6444,'Base Prueba'!A:E,5,),"NO REGISTRA")</f>
        <v>CENTRO DE GESTION DOCUMENTAL</v>
      </c>
    </row>
    <row r="6445" spans="1:5" ht="15.75" x14ac:dyDescent="0.25">
      <c r="A6445" s="14">
        <v>1000467399</v>
      </c>
      <c r="B6445" s="2">
        <v>46149.751927546298</v>
      </c>
      <c r="C6445" s="3" t="str">
        <f>IFERROR(VLOOKUP(A6445,'Base Prueba'!A:C,3,),"NO REGISTRA")</f>
        <v>BRANDO ESTIVEN DIAZ QUIMBAYA</v>
      </c>
      <c r="D6445" s="4" t="str">
        <f>IFERROR(VLOOKUP(A6445,'Base Prueba'!A:D,4,),"NO REGISTRA")</f>
        <v>APRENDIZ UNIVERSITARIO</v>
      </c>
      <c r="E6445" s="5" t="str">
        <f>IFERROR(VLOOKUP(A6445,'Base Prueba'!A:E,5,),"NO REGISTRA")</f>
        <v>DEPARTAMENTO DE GESTION HUMANA</v>
      </c>
    </row>
    <row r="6446" spans="1:5" ht="15.75" x14ac:dyDescent="0.25">
      <c r="A6446" s="14">
        <v>1049644802</v>
      </c>
      <c r="B6446" s="2">
        <v>46149.752741666663</v>
      </c>
      <c r="C6446" s="3" t="str">
        <f>IFERROR(VLOOKUP(A6446,'Base Prueba'!A:C,3,),"NO REGISTRA")</f>
        <v>DANIELA ALEXANDRA CIPAMOCHA BOSIGA</v>
      </c>
      <c r="D6446" s="4" t="str">
        <f>IFERROR(VLOOKUP(A6446,'Base Prueba'!A:D,4,),"NO REGISTRA")</f>
        <v>LIDER DE DATOS Y SERVICIOS</v>
      </c>
      <c r="E6446" s="5" t="str">
        <f>IFERROR(VLOOKUP(A6446,'Base Prueba'!A:E,5,),"NO REGISTRA")</f>
        <v>OFICINA DE PLANEACION Y GESTION DE LA CALIDAD</v>
      </c>
    </row>
    <row r="6447" spans="1:5" ht="15.75" x14ac:dyDescent="0.25">
      <c r="A6447" s="14">
        <v>1033820146</v>
      </c>
      <c r="B6447" s="2">
        <v>46149.753671527775</v>
      </c>
      <c r="C6447" s="3" t="str">
        <f>IFERROR(VLOOKUP(A6447,'Base Prueba'!A:C,3,),"NO REGISTRA")</f>
        <v>JULIETH ALEXANDRA BUSTAMANTE RUIZ</v>
      </c>
      <c r="D6447" s="4" t="str">
        <f>IFERROR(VLOOKUP(A6447,'Base Prueba'!A:D,4,),"NO REGISTRA")</f>
        <v>AUXILIAR ADMINISTRATIVO</v>
      </c>
      <c r="E6447" s="5" t="str">
        <f>IFERROR(VLOOKUP(A6447,'Base Prueba'!A:E,5,),"NO REGISTRA")</f>
        <v>REGISTRO Y CONTROL ACADEMICO</v>
      </c>
    </row>
    <row r="6448" spans="1:5" ht="15.75" x14ac:dyDescent="0.25">
      <c r="A6448" s="14">
        <v>1000324729</v>
      </c>
      <c r="B6448" s="2">
        <v>46149.753748379633</v>
      </c>
      <c r="C6448" s="3" t="str">
        <f>IFERROR(VLOOKUP(A6448,'Base Prueba'!A:C,3,),"NO REGISTRA")</f>
        <v>ANYIE VANESSA TINOCO CAMACHO</v>
      </c>
      <c r="D6448" s="4" t="str">
        <f>IFERROR(VLOOKUP(A6448,'Base Prueba'!A:D,4,),"NO REGISTRA")</f>
        <v>LIDER DE REGISTRO Y CONTROL</v>
      </c>
      <c r="E6448" s="5" t="str">
        <f>IFERROR(VLOOKUP(A6448,'Base Prueba'!A:E,5,),"NO REGISTRA")</f>
        <v>REGISTRO Y CONTROL ACADEMICO</v>
      </c>
    </row>
    <row r="6449" spans="1:5" ht="15.75" x14ac:dyDescent="0.25">
      <c r="A6449" s="14">
        <v>1014308296</v>
      </c>
      <c r="B6449" s="2">
        <v>46149.753917013892</v>
      </c>
      <c r="C6449" s="3" t="str">
        <f>IFERROR(VLOOKUP(A6449,'Base Prueba'!A:C,3,),"NO REGISTRA")</f>
        <v>DARLENE YULIANA MORENO CELEITA</v>
      </c>
      <c r="D6449" s="4" t="str">
        <f>IFERROR(VLOOKUP(A6449,'Base Prueba'!A:D,4,),"NO REGISTRA")</f>
        <v>CAJERO PRINCIPAL</v>
      </c>
      <c r="E6449" s="5" t="str">
        <f>IFERROR(VLOOKUP(A6449,'Base Prueba'!A:E,5,),"NO REGISTRA")</f>
        <v>AREA FINANCIERA Y CONTABLE</v>
      </c>
    </row>
    <row r="6450" spans="1:5" ht="15.75" x14ac:dyDescent="0.25">
      <c r="A6450" s="14">
        <v>1000046533</v>
      </c>
      <c r="B6450" s="2">
        <v>46149.75397662037</v>
      </c>
      <c r="C6450" s="3" t="str">
        <f>IFERROR(VLOOKUP(A6450,'Base Prueba'!A:C,3,),"NO REGISTRA")</f>
        <v>ERIKA JULIETH VALDERRAMA SANCHEZ</v>
      </c>
      <c r="D6450" s="4" t="str">
        <f>IFERROR(VLOOKUP(A6450,'Base Prueba'!A:D,4,),"NO REGISTRA")</f>
        <v>PROMOTOR CALL CENTER</v>
      </c>
      <c r="E6450" s="5" t="str">
        <f>IFERROR(VLOOKUP(A6450,'Base Prueba'!A:E,5,),"NO REGISTRA")</f>
        <v>OFICINA DE MERCADEO</v>
      </c>
    </row>
    <row r="6451" spans="1:5" ht="15.75" x14ac:dyDescent="0.25">
      <c r="A6451" s="14">
        <v>1013098430</v>
      </c>
      <c r="B6451" s="2">
        <v>46149.754683796295</v>
      </c>
      <c r="C6451" s="3" t="str">
        <f>IFERROR(VLOOKUP(A6451,'Base Prueba'!A:C,3,),"NO REGISTRA")</f>
        <v>ANDRES FELIPE LOPEZ ROMERO</v>
      </c>
      <c r="D6451" s="4" t="str">
        <f>IFERROR(VLOOKUP(A6451,'Base Prueba'!A:D,4,),"NO REGISTRA")</f>
        <v>APRENDIZ UNIVERSITARIO</v>
      </c>
      <c r="E6451" s="5" t="str">
        <f>IFERROR(VLOOKUP(A6451,'Base Prueba'!A:E,5,),"NO REGISTRA")</f>
        <v>OFICINA DE MERCADEO</v>
      </c>
    </row>
    <row r="6452" spans="1:5" ht="15.75" x14ac:dyDescent="0.25">
      <c r="A6452" s="14">
        <v>1013101788</v>
      </c>
      <c r="B6452" s="2">
        <v>46149.754696759257</v>
      </c>
      <c r="C6452" s="3" t="str">
        <f>IFERROR(VLOOKUP(A6452,'Base Prueba'!A:C,3,),"NO REGISTRA")</f>
        <v>SARA TANGARIFE MONTOYA</v>
      </c>
      <c r="D6452" s="4" t="str">
        <f>IFERROR(VLOOKUP(A6452,'Base Prueba'!A:D,4,),"NO REGISTRA")</f>
        <v>APRENDIZ UNIVERSITARIO</v>
      </c>
      <c r="E6452" s="5" t="str">
        <f>IFERROR(VLOOKUP(A6452,'Base Prueba'!A:E,5,),"NO REGISTRA")</f>
        <v>OFICINA DE MERCADEO</v>
      </c>
    </row>
    <row r="6453" spans="1:5" ht="15.75" x14ac:dyDescent="0.25">
      <c r="A6453" s="14">
        <v>1014977624</v>
      </c>
      <c r="B6453" s="2">
        <v>46149.75530636574</v>
      </c>
      <c r="C6453" s="3" t="str">
        <f>IFERROR(VLOOKUP(A6453,'Base Prueba'!A:C,3,),"NO REGISTRA")</f>
        <v>NICCOLE VALENTINA HERNANDEZ MALAVER</v>
      </c>
      <c r="D6453" s="4" t="str">
        <f>IFERROR(VLOOKUP(A6453,'Base Prueba'!A:D,4,),"NO REGISTRA")</f>
        <v>APRENDIZ UNIVERSITARIO</v>
      </c>
      <c r="E6453" s="5" t="str">
        <f>IFERROR(VLOOKUP(A6453,'Base Prueba'!A:E,5,),"NO REGISTRA")</f>
        <v>AREA FINANCIERA Y CONTABLE</v>
      </c>
    </row>
    <row r="6454" spans="1:5" ht="15.75" x14ac:dyDescent="0.25">
      <c r="A6454" s="14">
        <v>1023961952</v>
      </c>
      <c r="B6454" s="2">
        <v>46149.755536805555</v>
      </c>
      <c r="C6454" s="3" t="str">
        <f>IFERROR(VLOOKUP(A6454,'Base Prueba'!A:C,3,),"NO REGISTRA")</f>
        <v>ALEJANDRO PINZON MERCHAN</v>
      </c>
      <c r="D6454" s="4" t="str">
        <f>IFERROR(VLOOKUP(A6454,'Base Prueba'!A:D,4,),"NO REGISTRA")</f>
        <v>PROMOTOR CALL CENTER</v>
      </c>
      <c r="E6454" s="5" t="str">
        <f>IFERROR(VLOOKUP(A6454,'Base Prueba'!A:E,5,),"NO REGISTRA")</f>
        <v>OFICINA DE MERCADEO</v>
      </c>
    </row>
    <row r="6455" spans="1:5" ht="15.75" x14ac:dyDescent="0.25">
      <c r="A6455" s="14">
        <v>1014266838</v>
      </c>
      <c r="B6455" s="2">
        <v>46149.755847106484</v>
      </c>
      <c r="C6455" s="3" t="str">
        <f>IFERROR(VLOOKUP(A6455,'Base Prueba'!A:C,3,),"NO REGISTRA")</f>
        <v>JENNIFER ASTRID ROMERO HURTADO</v>
      </c>
      <c r="D6455" s="4" t="str">
        <f>IFERROR(VLOOKUP(A6455,'Base Prueba'!A:D,4,),"NO REGISTRA")</f>
        <v>LIDER DE RECAUDO</v>
      </c>
      <c r="E6455" s="5" t="str">
        <f>IFERROR(VLOOKUP(A6455,'Base Prueba'!A:E,5,),"NO REGISTRA")</f>
        <v>AREA FINANCIERA Y CONTABLE</v>
      </c>
    </row>
    <row r="6456" spans="1:5" ht="15.75" x14ac:dyDescent="0.25">
      <c r="A6456" s="14">
        <v>1019105003</v>
      </c>
      <c r="B6456" s="2">
        <v>46149.757228240742</v>
      </c>
      <c r="C6456" s="3" t="str">
        <f>IFERROR(VLOOKUP(A6456,'Base Prueba'!A:C,3,),"NO REGISTRA")</f>
        <v>DAISY JULIETH GASPAR MORENO</v>
      </c>
      <c r="D6456" s="4" t="str">
        <f>IFERROR(VLOOKUP(A6456,'Base Prueba'!A:D,4,),"NO REGISTRA")</f>
        <v>PROMOTOR CALL CENTER</v>
      </c>
      <c r="E6456" s="5" t="str">
        <f>IFERROR(VLOOKUP(A6456,'Base Prueba'!A:E,5,),"NO REGISTRA")</f>
        <v>OFICINA DE MERCADEO</v>
      </c>
    </row>
    <row r="6457" spans="1:5" ht="15.75" x14ac:dyDescent="0.25">
      <c r="A6457" s="14">
        <v>1033709056</v>
      </c>
      <c r="B6457" s="2">
        <v>46149.757938194445</v>
      </c>
      <c r="C6457" s="3" t="str">
        <f>IFERROR(VLOOKUP(A6457,'Base Prueba'!A:C,3,),"NO REGISTRA")</f>
        <v>YEIMY ALEXANDRA RODRIGUEZ PALACIO</v>
      </c>
      <c r="D6457" s="4" t="str">
        <f>IFERROR(VLOOKUP(A6457,'Base Prueba'!A:D,4,),"NO REGISTRA")</f>
        <v>PROMOTOR CALL CENTER</v>
      </c>
      <c r="E6457" s="5" t="str">
        <f>IFERROR(VLOOKUP(A6457,'Base Prueba'!A:E,5,),"NO REGISTRA")</f>
        <v>OFICINA DE MERCADEO</v>
      </c>
    </row>
    <row r="6458" spans="1:5" ht="15.75" x14ac:dyDescent="0.25">
      <c r="A6458" s="14">
        <v>1087121273</v>
      </c>
      <c r="B6458" s="2">
        <v>46149.757966087964</v>
      </c>
      <c r="C6458" s="3" t="str">
        <f>IFERROR(VLOOKUP(A6458,'Base Prueba'!A:C,3,),"NO REGISTRA")</f>
        <v>MAYRA ALEJANDRA CASTILLO ARBOLEDA</v>
      </c>
      <c r="D6458" s="4" t="str">
        <f>IFERROR(VLOOKUP(A6458,'Base Prueba'!A:D,4,),"NO REGISTRA")</f>
        <v>APOYO INTEGRAL DE MERCADEO</v>
      </c>
      <c r="E6458" s="5" t="str">
        <f>IFERROR(VLOOKUP(A6458,'Base Prueba'!A:E,5,),"NO REGISTRA")</f>
        <v>CENTRO DE GESTION DOCUMENTAL</v>
      </c>
    </row>
    <row r="6459" spans="1:5" ht="15.75" x14ac:dyDescent="0.25">
      <c r="A6459" s="14">
        <v>52175674</v>
      </c>
      <c r="B6459" s="2">
        <v>46149.758091550924</v>
      </c>
      <c r="C6459" s="3" t="str">
        <f>IFERROR(VLOOKUP(A6459,'Base Prueba'!A:C,3,),"NO REGISTRA")</f>
        <v>LUZ YANETH GOMEZ AREVALO</v>
      </c>
      <c r="D6459" s="4" t="str">
        <f>IFERROR(VLOOKUP(A6459,'Base Prueba'!A:D,4,),"NO REGISTRA")</f>
        <v>COORDINADORA DE ADMISIONES</v>
      </c>
      <c r="E6459" s="5" t="str">
        <f>IFERROR(VLOOKUP(A6459,'Base Prueba'!A:E,5,),"NO REGISTRA")</f>
        <v>OFICINA DE MERCADEO</v>
      </c>
    </row>
    <row r="6460" spans="1:5" ht="15.75" x14ac:dyDescent="0.25">
      <c r="A6460" s="14">
        <v>52764929</v>
      </c>
      <c r="B6460" s="2">
        <v>46149.764583564815</v>
      </c>
      <c r="C6460" s="3" t="str">
        <f>IFERROR(VLOOKUP(A6460,'Base Prueba'!A:C,3,),"NO REGISTRA")</f>
        <v>GUERLY YOHANA DURAN RIVERA</v>
      </c>
      <c r="D6460" s="4" t="str">
        <f>IFERROR(VLOOKUP(A6460,'Base Prueba'!A:D,4,),"NO REGISTRA")</f>
        <v>LIDER DE VINCULACION COLEGIOS</v>
      </c>
      <c r="E6460" s="5" t="str">
        <f>IFERROR(VLOOKUP(A6460,'Base Prueba'!A:E,5,),"NO REGISTRA")</f>
        <v>OFICINA DE MERCADEO</v>
      </c>
    </row>
    <row r="6461" spans="1:5" ht="15.75" x14ac:dyDescent="0.25">
      <c r="A6461" s="14">
        <v>28798349</v>
      </c>
      <c r="B6461" s="2">
        <v>46149.767943634259</v>
      </c>
      <c r="C6461" s="3" t="str">
        <f>IFERROR(VLOOKUP(A6461,'Base Prueba'!A:C,3,),"NO REGISTRA")</f>
        <v>MARTHA ISABEL TOVAR WILLIAMS</v>
      </c>
      <c r="D6461" s="4" t="str">
        <f>IFERROR(VLOOKUP(A6461,'Base Prueba'!A:D,4,),"NO REGISTRA")</f>
        <v>PROMOTOR CALL CENTER</v>
      </c>
      <c r="E6461" s="5" t="str">
        <f>IFERROR(VLOOKUP(A6461,'Base Prueba'!A:E,5,),"NO REGISTRA")</f>
        <v>OFICINA DE MERCADEO</v>
      </c>
    </row>
    <row r="6462" spans="1:5" ht="15.75" x14ac:dyDescent="0.25">
      <c r="A6462" s="14">
        <v>52472386</v>
      </c>
      <c r="B6462" s="2">
        <v>46149.768038194445</v>
      </c>
      <c r="C6462" s="3" t="str">
        <f>IFERROR(VLOOKUP(A6462,'Base Prueba'!A:C,3,),"NO REGISTRA")</f>
        <v>ADRIANA MARCELA MORALES PARDO</v>
      </c>
      <c r="D6462" s="4" t="str">
        <f>IFERROR(VLOOKUP(A6462,'Base Prueba'!A:D,4,),"NO REGISTRA")</f>
        <v>PROMOTOR CALL CENTER</v>
      </c>
      <c r="E6462" s="5" t="str">
        <f>IFERROR(VLOOKUP(A6462,'Base Prueba'!A:E,5,),"NO REGISTRA")</f>
        <v>OFICINA DE MERCADEO</v>
      </c>
    </row>
    <row r="6463" spans="1:5" ht="15.75" x14ac:dyDescent="0.25">
      <c r="A6463" s="14">
        <v>80234243</v>
      </c>
      <c r="B6463" s="2">
        <v>46149.77057291667</v>
      </c>
      <c r="C6463" s="3" t="str">
        <f>IFERROR(VLOOKUP(A6463,'Base Prueba'!A:C,3,),"NO REGISTRA")</f>
        <v>ARGENIS MARTINEZ MARTINEZ</v>
      </c>
      <c r="D6463" s="4" t="str">
        <f>IFERROR(VLOOKUP(A6463,'Base Prueba'!A:D,4,),"NO REGISTRA")</f>
        <v>LIDER CALL CENTER</v>
      </c>
      <c r="E6463" s="5" t="str">
        <f>IFERROR(VLOOKUP(A6463,'Base Prueba'!A:E,5,),"NO REGISTRA")</f>
        <v>OFICINA DE MERCADEO</v>
      </c>
    </row>
    <row r="6464" spans="1:5" ht="15.75" x14ac:dyDescent="0.25">
      <c r="A6464" s="14">
        <v>1018413529</v>
      </c>
      <c r="B6464" s="2">
        <v>46149.771092708332</v>
      </c>
      <c r="C6464" s="3" t="str">
        <f>IFERROR(VLOOKUP(A6464,'Base Prueba'!A:C,3,),"NO REGISTRA")</f>
        <v>FRANCY STELLA CHARRY MORENO</v>
      </c>
      <c r="D6464" s="4" t="str">
        <f>IFERROR(VLOOKUP(A6464,'Base Prueba'!A:D,4,),"NO REGISTRA")</f>
        <v>PROMOTOR COMERCIAL DEL CEA</v>
      </c>
      <c r="E6464" s="5" t="str">
        <f>IFERROR(VLOOKUP(A6464,'Base Prueba'!A:E,5,),"NO REGISTRA")</f>
        <v>OFICINA DE MERCADEO</v>
      </c>
    </row>
    <row r="6465" spans="1:5" ht="15.75" x14ac:dyDescent="0.25">
      <c r="A6465" s="14">
        <v>1032407386</v>
      </c>
      <c r="B6465" s="2">
        <v>46149.771190046296</v>
      </c>
      <c r="C6465" s="3" t="str">
        <f>IFERROR(VLOOKUP(A6465,'Base Prueba'!A:C,3,),"NO REGISTRA")</f>
        <v>GINA PAOLA BAEZ GALVIS</v>
      </c>
      <c r="D6465" s="4" t="str">
        <f>IFERROR(VLOOKUP(A6465,'Base Prueba'!A:D,4,),"NO REGISTRA")</f>
        <v>PROMOTOR CALL CENTER</v>
      </c>
      <c r="E6465" s="5" t="str">
        <f>IFERROR(VLOOKUP(A6465,'Base Prueba'!A:E,5,),"NO REGISTRA")</f>
        <v>OFICINA DE MERCADEO</v>
      </c>
    </row>
    <row r="6466" spans="1:5" ht="15.75" x14ac:dyDescent="0.25">
      <c r="A6466" s="14">
        <v>1000257136</v>
      </c>
      <c r="B6466" s="2">
        <v>46149.782197916669</v>
      </c>
      <c r="C6466" s="3" t="str">
        <f>IFERROR(VLOOKUP(A6466,'Base Prueba'!A:C,3,),"NO REGISTRA")</f>
        <v>FRANCI VALENTINA CANO PUENTES</v>
      </c>
      <c r="D6466" s="4" t="str">
        <f>IFERROR(VLOOKUP(A6466,'Base Prueba'!A:D,4,),"NO REGISTRA")</f>
        <v>AUXILIAR CONTABLE</v>
      </c>
      <c r="E6466" s="5" t="str">
        <f>IFERROR(VLOOKUP(A6466,'Base Prueba'!A:E,5,),"NO REGISTRA")</f>
        <v>AREA FINANCIERA Y CONTABLE</v>
      </c>
    </row>
    <row r="6467" spans="1:5" ht="15.75" x14ac:dyDescent="0.25">
      <c r="A6467" s="14">
        <v>53932358</v>
      </c>
      <c r="B6467" s="2">
        <v>46149.782216319443</v>
      </c>
      <c r="C6467" s="3" t="str">
        <f>IFERROR(VLOOKUP(A6467,'Base Prueba'!A:C,3,),"NO REGISTRA")</f>
        <v>DIANA MADELEYNE GAONA RODRIGUEZ</v>
      </c>
      <c r="D6467" s="4" t="str">
        <f>IFERROR(VLOOKUP(A6467,'Base Prueba'!A:D,4,),"NO REGISTRA")</f>
        <v>CONTADOR</v>
      </c>
      <c r="E6467" s="5" t="str">
        <f>IFERROR(VLOOKUP(A6467,'Base Prueba'!A:E,5,),"NO REGISTRA")</f>
        <v>AREA FINANCIERA Y CONTABLE</v>
      </c>
    </row>
    <row r="6468" spans="1:5" ht="15.75" x14ac:dyDescent="0.25">
      <c r="A6468" s="14">
        <v>1000457706</v>
      </c>
      <c r="B6468" s="2">
        <v>46149.78262233796</v>
      </c>
      <c r="C6468" s="3" t="str">
        <f>IFERROR(VLOOKUP(A6468,'Base Prueba'!A:C,3,),"NO REGISTRA")</f>
        <v>CRISTIAN DANILO ARROYO SANABRIA</v>
      </c>
      <c r="D6468" s="4" t="str">
        <f>IFERROR(VLOOKUP(A6468,'Base Prueba'!A:D,4,),"NO REGISTRA")</f>
        <v>AUXILIAR CONTABLE</v>
      </c>
      <c r="E6468" s="5" t="str">
        <f>IFERROR(VLOOKUP(A6468,'Base Prueba'!A:E,5,),"NO REGISTRA")</f>
        <v>AREA FINANCIERA Y CONTABLE</v>
      </c>
    </row>
    <row r="6469" spans="1:5" ht="15.75" x14ac:dyDescent="0.25">
      <c r="A6469" s="14">
        <v>1016090131</v>
      </c>
      <c r="B6469" s="2">
        <v>46149.793403356482</v>
      </c>
      <c r="C6469" s="3" t="str">
        <f>IFERROR(VLOOKUP(A6469,'Base Prueba'!A:C,3,),"NO REGISTRA")</f>
        <v>NICOLAS RODRIGUEZ PACHECO</v>
      </c>
      <c r="D6469" s="4" t="str">
        <f>IFERROR(VLOOKUP(A6469,'Base Prueba'!A:D,4,),"NO REGISTRA")</f>
        <v>COORDINADOR DE COMUNICACIONES</v>
      </c>
      <c r="E6469" s="5" t="str">
        <f>IFERROR(VLOOKUP(A6469,'Base Prueba'!A:E,5,),"NO REGISTRA")</f>
        <v>OFICINA DE MERCADEO</v>
      </c>
    </row>
    <row r="6470" spans="1:5" ht="15.75" x14ac:dyDescent="0.25">
      <c r="A6470" s="14">
        <v>1014196857</v>
      </c>
      <c r="B6470" s="2">
        <v>46149.808901273151</v>
      </c>
      <c r="C6470" s="3" t="str">
        <f>IFERROR(VLOOKUP(A6470,'Base Prueba'!A:C,3,),"NO REGISTRA")</f>
        <v>CARLOS ANDRES JIMENEZ PARDO</v>
      </c>
      <c r="D6470" s="4" t="str">
        <f>IFERROR(VLOOKUP(A6470,'Base Prueba'!A:D,4,),"NO REGISTRA")</f>
        <v>COORDINADOR DE MARKETING DIGITAL</v>
      </c>
      <c r="E6470" s="5" t="str">
        <f>IFERROR(VLOOKUP(A6470,'Base Prueba'!A:E,5,),"NO REGISTRA")</f>
        <v>OFICINA DE MERCADEO</v>
      </c>
    </row>
    <row r="6471" spans="1:5" ht="15.75" x14ac:dyDescent="0.25">
      <c r="A6471" s="14">
        <v>1014196857</v>
      </c>
      <c r="B6471" s="2">
        <v>46150.300495023148</v>
      </c>
      <c r="C6471" s="3" t="str">
        <f>IFERROR(VLOOKUP(A6471,'Base Prueba'!A:C,3,),"NO REGISTRA")</f>
        <v>CARLOS ANDRES JIMENEZ PARDO</v>
      </c>
      <c r="D6471" s="4" t="str">
        <f>IFERROR(VLOOKUP(A6471,'Base Prueba'!A:D,4,),"NO REGISTRA")</f>
        <v>COORDINADOR DE MARKETING DIGITAL</v>
      </c>
      <c r="E6471" s="5" t="str">
        <f>IFERROR(VLOOKUP(A6471,'Base Prueba'!A:E,5,),"NO REGISTRA")</f>
        <v>OFICINA DE MERCADEO</v>
      </c>
    </row>
    <row r="6472" spans="1:5" ht="15.75" x14ac:dyDescent="0.25">
      <c r="A6472" s="14">
        <v>1000324729</v>
      </c>
      <c r="B6472" s="2">
        <v>46150.319989236108</v>
      </c>
      <c r="C6472" s="3" t="str">
        <f>IFERROR(VLOOKUP(A6472,'Base Prueba'!A:C,3,),"NO REGISTRA")</f>
        <v>ANYIE VANESSA TINOCO CAMACHO</v>
      </c>
      <c r="D6472" s="4" t="str">
        <f>IFERROR(VLOOKUP(A6472,'Base Prueba'!A:D,4,),"NO REGISTRA")</f>
        <v>LIDER DE REGISTRO Y CONTROL</v>
      </c>
      <c r="E6472" s="5" t="str">
        <f>IFERROR(VLOOKUP(A6472,'Base Prueba'!A:E,5,),"NO REGISTRA")</f>
        <v>REGISTRO Y CONTROL ACADEMICO</v>
      </c>
    </row>
    <row r="6473" spans="1:5" ht="15.75" x14ac:dyDescent="0.25">
      <c r="A6473" s="14">
        <v>80191732</v>
      </c>
      <c r="B6473" s="2">
        <v>46150.32693703704</v>
      </c>
      <c r="C6473" s="3" t="str">
        <f>IFERROR(VLOOKUP(A6473,'Base Prueba'!A:C,3,),"NO REGISTRA")</f>
        <v>DANIEL MAURICIO ZAMBRANO TUNJANO</v>
      </c>
      <c r="D6473" s="4" t="str">
        <f>IFERROR(VLOOKUP(A6473,'Base Prueba'!A:D,4,),"NO REGISTRA")</f>
        <v>COORDINADOR DE DISEÑO E IMAGEN INSTITUCIONAL</v>
      </c>
      <c r="E6473" s="5" t="str">
        <f>IFERROR(VLOOKUP(A6473,'Base Prueba'!A:E,5,),"NO REGISTRA")</f>
        <v>OFICINA DE MERCADEO</v>
      </c>
    </row>
    <row r="6474" spans="1:5" ht="15.75" x14ac:dyDescent="0.25">
      <c r="A6474" s="14">
        <v>52225539</v>
      </c>
      <c r="B6474" s="2">
        <v>46150.331191087964</v>
      </c>
      <c r="C6474" s="3" t="str">
        <f>IFERROR(VLOOKUP(A6474,'Base Prueba'!A:C,3,),"NO REGISTRA")</f>
        <v>LISA MINELLY ZAMBRANO CONTRERAS</v>
      </c>
      <c r="D6474" s="4" t="str">
        <f>IFERROR(VLOOKUP(A6474,'Base Prueba'!A:D,4,),"NO REGISTRA")</f>
        <v>LIDER DE COMPRAS</v>
      </c>
      <c r="E6474" s="5" t="str">
        <f>IFERROR(VLOOKUP(A6474,'Base Prueba'!A:E,5,),"NO REGISTRA")</f>
        <v>VICERRECTORIA ADMINISTRATIVA Y FINANCIERA</v>
      </c>
    </row>
    <row r="6475" spans="1:5" ht="15.75" x14ac:dyDescent="0.25">
      <c r="A6475" s="14">
        <v>1049644802</v>
      </c>
      <c r="B6475" s="2">
        <v>46150.331331944442</v>
      </c>
      <c r="C6475" s="3" t="str">
        <f>IFERROR(VLOOKUP(A6475,'Base Prueba'!A:C,3,),"NO REGISTRA")</f>
        <v>DANIELA ALEXANDRA CIPAMOCHA BOSIGA</v>
      </c>
      <c r="D6475" s="4" t="str">
        <f>IFERROR(VLOOKUP(A6475,'Base Prueba'!A:D,4,),"NO REGISTRA")</f>
        <v>LIDER DE DATOS Y SERVICIOS</v>
      </c>
      <c r="E6475" s="5" t="str">
        <f>IFERROR(VLOOKUP(A6475,'Base Prueba'!A:E,5,),"NO REGISTRA")</f>
        <v>OFICINA DE PLANEACION Y GESTION DE LA CALIDAD</v>
      </c>
    </row>
    <row r="6476" spans="1:5" ht="15.75" x14ac:dyDescent="0.25">
      <c r="A6476" s="14">
        <v>1024512067</v>
      </c>
      <c r="B6476" s="2">
        <v>46150.331857523146</v>
      </c>
      <c r="C6476" s="3" t="str">
        <f>IFERROR(VLOOKUP(A6476,'Base Prueba'!A:C,3,),"NO REGISTRA")</f>
        <v>CINDY GIOVANA SALGAR GOMEZ</v>
      </c>
      <c r="D6476" s="4" t="str">
        <f>IFERROR(VLOOKUP(A6476,'Base Prueba'!A:D,4,),"NO REGISTRA")</f>
        <v>COORDINADOR DEL SISTEMA INTEGRADO DE GESTION INSTITUCIONAL - SIGI</v>
      </c>
      <c r="E6476" s="5" t="str">
        <f>IFERROR(VLOOKUP(A6476,'Base Prueba'!A:E,5,),"NO REGISTRA")</f>
        <v>OFICINA DE PLANEACION Y GESTION DE LA CALIDAD</v>
      </c>
    </row>
    <row r="6477" spans="1:5" ht="15.75" x14ac:dyDescent="0.25">
      <c r="A6477" s="14">
        <v>1022996882</v>
      </c>
      <c r="B6477" s="2">
        <v>46150.333924421298</v>
      </c>
      <c r="C6477" s="3" t="str">
        <f>IFERROR(VLOOKUP(A6477,'Base Prueba'!A:C,3,),"NO REGISTRA")</f>
        <v>NANCY BRIGITH ALDANA GUEVARA</v>
      </c>
      <c r="D6477" s="4" t="str">
        <f>IFERROR(VLOOKUP(A6477,'Base Prueba'!A:D,4,),"NO REGISTRA")</f>
        <v>COORDINADORA DE GESTIÓN HUMANA</v>
      </c>
      <c r="E6477" s="5" t="str">
        <f>IFERROR(VLOOKUP(A6477,'Base Prueba'!A:E,5,),"NO REGISTRA")</f>
        <v>DEPARTAMENTO DE GESTION HUMANA</v>
      </c>
    </row>
    <row r="6478" spans="1:5" ht="15.75" x14ac:dyDescent="0.25">
      <c r="A6478" s="14">
        <v>1000257136</v>
      </c>
      <c r="B6478" s="2">
        <v>46150.334413425924</v>
      </c>
      <c r="C6478" s="3" t="str">
        <f>IFERROR(VLOOKUP(A6478,'Base Prueba'!A:C,3,),"NO REGISTRA")</f>
        <v>FRANCI VALENTINA CANO PUENTES</v>
      </c>
      <c r="D6478" s="4" t="str">
        <f>IFERROR(VLOOKUP(A6478,'Base Prueba'!A:D,4,),"NO REGISTRA")</f>
        <v>AUXILIAR CONTABLE</v>
      </c>
      <c r="E6478" s="5" t="str">
        <f>IFERROR(VLOOKUP(A6478,'Base Prueba'!A:E,5,),"NO REGISTRA")</f>
        <v>AREA FINANCIERA Y CONTABLE</v>
      </c>
    </row>
    <row r="6479" spans="1:5" ht="15.75" x14ac:dyDescent="0.25">
      <c r="A6479" s="14">
        <v>1000992568</v>
      </c>
      <c r="B6479" s="2">
        <v>46150.335107638886</v>
      </c>
      <c r="C6479" s="3" t="str">
        <f>IFERROR(VLOOKUP(A6479,'Base Prueba'!A:C,3,),"NO REGISTRA")</f>
        <v>KAREN BRIGITTE DALEMAN MORENO</v>
      </c>
      <c r="D6479" s="4" t="str">
        <f>IFERROR(VLOOKUP(A6479,'Base Prueba'!A:D,4,),"NO REGISTRA")</f>
        <v>RECEPCIONISTA</v>
      </c>
      <c r="E6479" s="5" t="str">
        <f>IFERROR(VLOOKUP(A6479,'Base Prueba'!A:E,5,),"NO REGISTRA")</f>
        <v>CENTRO DE GESTION DOCUMENTAL</v>
      </c>
    </row>
    <row r="6480" spans="1:5" ht="15.75" x14ac:dyDescent="0.25">
      <c r="A6480" s="14">
        <v>1030567635</v>
      </c>
      <c r="B6480" s="2">
        <v>46150.335214467596</v>
      </c>
      <c r="C6480" s="3" t="str">
        <f>IFERROR(VLOOKUP(A6480,'Base Prueba'!A:C,3,),"NO REGISTRA")</f>
        <v>JEFFERSON ANDRES BARRETO DIAZ</v>
      </c>
      <c r="D6480" s="4" t="str">
        <f>IFERROR(VLOOKUP(A6480,'Base Prueba'!A:D,4,),"NO REGISTRA")</f>
        <v>AUXILIAR DE ARCHIVO</v>
      </c>
      <c r="E6480" s="5" t="str">
        <f>IFERROR(VLOOKUP(A6480,'Base Prueba'!A:E,5,),"NO REGISTRA")</f>
        <v>CENTRO DE GESTION DOCUMENTAL</v>
      </c>
    </row>
    <row r="6481" spans="1:5" ht="15.75" x14ac:dyDescent="0.25">
      <c r="A6481" s="14">
        <v>1014266838</v>
      </c>
      <c r="B6481" s="2">
        <v>46150.338874305555</v>
      </c>
      <c r="C6481" s="3" t="str">
        <f>IFERROR(VLOOKUP(A6481,'Base Prueba'!A:C,3,),"NO REGISTRA")</f>
        <v>JENNIFER ASTRID ROMERO HURTADO</v>
      </c>
      <c r="D6481" s="4" t="str">
        <f>IFERROR(VLOOKUP(A6481,'Base Prueba'!A:D,4,),"NO REGISTRA")</f>
        <v>LIDER DE RECAUDO</v>
      </c>
      <c r="E6481" s="5" t="str">
        <f>IFERROR(VLOOKUP(A6481,'Base Prueba'!A:E,5,),"NO REGISTRA")</f>
        <v>AREA FINANCIERA Y CONTABLE</v>
      </c>
    </row>
    <row r="6482" spans="1:5" ht="15.75" x14ac:dyDescent="0.25">
      <c r="A6482" s="14">
        <v>1013098430</v>
      </c>
      <c r="B6482" s="2">
        <v>46150.33937037037</v>
      </c>
      <c r="C6482" s="3" t="str">
        <f>IFERROR(VLOOKUP(A6482,'Base Prueba'!A:C,3,),"NO REGISTRA")</f>
        <v>ANDRES FELIPE LOPEZ ROMERO</v>
      </c>
      <c r="D6482" s="4" t="str">
        <f>IFERROR(VLOOKUP(A6482,'Base Prueba'!A:D,4,),"NO REGISTRA")</f>
        <v>APRENDIZ UNIVERSITARIO</v>
      </c>
      <c r="E6482" s="5" t="str">
        <f>IFERROR(VLOOKUP(A6482,'Base Prueba'!A:E,5,),"NO REGISTRA")</f>
        <v>OFICINA DE MERCADEO</v>
      </c>
    </row>
    <row r="6483" spans="1:5" ht="15.75" x14ac:dyDescent="0.25">
      <c r="A6483" s="14">
        <v>1193457976</v>
      </c>
      <c r="B6483" s="2">
        <v>46150.340994212966</v>
      </c>
      <c r="C6483" s="3" t="str">
        <f>IFERROR(VLOOKUP(A6483,'Base Prueba'!A:C,3,),"NO REGISTRA")</f>
        <v>SEDENIS RIVAS ASPRILLA</v>
      </c>
      <c r="D6483" s="4" t="str">
        <f>IFERROR(VLOOKUP(A6483,'Base Prueba'!A:D,4,),"NO REGISTRA")</f>
        <v>APRENDIZ UNIVERSITARIO</v>
      </c>
      <c r="E6483" s="5" t="str">
        <f>IFERROR(VLOOKUP(A6483,'Base Prueba'!A:E,5,),"NO REGISTRA")</f>
        <v>DEPARTAMENTO DE GESTION HUMANA</v>
      </c>
    </row>
    <row r="6484" spans="1:5" ht="15.75" x14ac:dyDescent="0.25">
      <c r="A6484" s="14">
        <v>1014977624</v>
      </c>
      <c r="B6484" s="2">
        <v>46150.342024768521</v>
      </c>
      <c r="C6484" s="3" t="str">
        <f>IFERROR(VLOOKUP(A6484,'Base Prueba'!A:C,3,),"NO REGISTRA")</f>
        <v>NICCOLE VALENTINA HERNANDEZ MALAVER</v>
      </c>
      <c r="D6484" s="4" t="str">
        <f>IFERROR(VLOOKUP(A6484,'Base Prueba'!A:D,4,),"NO REGISTRA")</f>
        <v>APRENDIZ UNIVERSITARIO</v>
      </c>
      <c r="E6484" s="5" t="str">
        <f>IFERROR(VLOOKUP(A6484,'Base Prueba'!A:E,5,),"NO REGISTRA")</f>
        <v>AREA FINANCIERA Y CONTABLE</v>
      </c>
    </row>
    <row r="6485" spans="1:5" ht="15.75" x14ac:dyDescent="0.25">
      <c r="A6485" s="14">
        <v>1023883232</v>
      </c>
      <c r="B6485" s="2">
        <v>46150.34211203704</v>
      </c>
      <c r="C6485" s="3" t="str">
        <f>IFERROR(VLOOKUP(A6485,'Base Prueba'!A:C,3,),"NO REGISTRA")</f>
        <v>MONICA ANDREA ACERO URBANO</v>
      </c>
      <c r="D6485" s="4" t="str">
        <f>IFERROR(VLOOKUP(A6485,'Base Prueba'!A:D,4,),"NO REGISTRA")</f>
        <v>APOYO INTEGRAL A GESTION HUMANA</v>
      </c>
      <c r="E6485" s="5" t="str">
        <f>IFERROR(VLOOKUP(A6485,'Base Prueba'!A:E,5,),"NO REGISTRA")</f>
        <v>DEPARTAMENTO DE GESTION HUMANA</v>
      </c>
    </row>
    <row r="6486" spans="1:5" ht="15.75" x14ac:dyDescent="0.25">
      <c r="A6486" s="14">
        <v>1000457706</v>
      </c>
      <c r="B6486" s="2">
        <v>46150.344435069448</v>
      </c>
      <c r="C6486" s="3" t="str">
        <f>IFERROR(VLOOKUP(A6486,'Base Prueba'!A:C,3,),"NO REGISTRA")</f>
        <v>CRISTIAN DANILO ARROYO SANABRIA</v>
      </c>
      <c r="D6486" s="4" t="str">
        <f>IFERROR(VLOOKUP(A6486,'Base Prueba'!A:D,4,),"NO REGISTRA")</f>
        <v>AUXILIAR CONTABLE</v>
      </c>
      <c r="E6486" s="5" t="str">
        <f>IFERROR(VLOOKUP(A6486,'Base Prueba'!A:E,5,),"NO REGISTRA")</f>
        <v>AREA FINANCIERA Y CONTABLE</v>
      </c>
    </row>
    <row r="6487" spans="1:5" ht="15.75" x14ac:dyDescent="0.25">
      <c r="A6487" s="14">
        <v>53932358</v>
      </c>
      <c r="B6487" s="2">
        <v>46150.345757291667</v>
      </c>
      <c r="C6487" s="3" t="str">
        <f>IFERROR(VLOOKUP(A6487,'Base Prueba'!A:C,3,),"NO REGISTRA")</f>
        <v>DIANA MADELEYNE GAONA RODRIGUEZ</v>
      </c>
      <c r="D6487" s="4" t="str">
        <f>IFERROR(VLOOKUP(A6487,'Base Prueba'!A:D,4,),"NO REGISTRA")</f>
        <v>CONTADOR</v>
      </c>
      <c r="E6487" s="5" t="str">
        <f>IFERROR(VLOOKUP(A6487,'Base Prueba'!A:E,5,),"NO REGISTRA")</f>
        <v>AREA FINANCIERA Y CONTABLE</v>
      </c>
    </row>
    <row r="6488" spans="1:5" ht="15.75" x14ac:dyDescent="0.25">
      <c r="A6488" s="14">
        <v>1087121273</v>
      </c>
      <c r="B6488" s="2">
        <v>46150.355676620369</v>
      </c>
      <c r="C6488" s="3" t="str">
        <f>IFERROR(VLOOKUP(A6488,'Base Prueba'!A:C,3,),"NO REGISTRA")</f>
        <v>MAYRA ALEJANDRA CASTILLO ARBOLEDA</v>
      </c>
      <c r="D6488" s="4" t="str">
        <f>IFERROR(VLOOKUP(A6488,'Base Prueba'!A:D,4,),"NO REGISTRA")</f>
        <v>APOYO INTEGRAL DE MERCADEO</v>
      </c>
      <c r="E6488" s="5" t="str">
        <f>IFERROR(VLOOKUP(A6488,'Base Prueba'!A:E,5,),"NO REGISTRA")</f>
        <v>CENTRO DE GESTION DOCUMENTAL</v>
      </c>
    </row>
    <row r="6489" spans="1:5" ht="15.75" x14ac:dyDescent="0.25">
      <c r="A6489" s="14">
        <v>80234243</v>
      </c>
      <c r="B6489" s="2">
        <v>46150.35645428241</v>
      </c>
      <c r="C6489" s="3" t="str">
        <f>IFERROR(VLOOKUP(A6489,'Base Prueba'!A:C,3,),"NO REGISTRA")</f>
        <v>ARGENIS MARTINEZ MARTINEZ</v>
      </c>
      <c r="D6489" s="4" t="str">
        <f>IFERROR(VLOOKUP(A6489,'Base Prueba'!A:D,4,),"NO REGISTRA")</f>
        <v>LIDER CALL CENTER</v>
      </c>
      <c r="E6489" s="5" t="str">
        <f>IFERROR(VLOOKUP(A6489,'Base Prueba'!A:E,5,),"NO REGISTRA")</f>
        <v>OFICINA DE MERCADEO</v>
      </c>
    </row>
    <row r="6490" spans="1:5" ht="15.75" x14ac:dyDescent="0.25">
      <c r="A6490" s="14">
        <v>1012426741</v>
      </c>
      <c r="B6490" s="2">
        <v>46150.362041435183</v>
      </c>
      <c r="C6490" s="3" t="str">
        <f>IFERROR(VLOOKUP(A6490,'Base Prueba'!A:C,3,),"NO REGISTRA")</f>
        <v>CRISTIAN FABIAN ROJAS SANCENO</v>
      </c>
      <c r="D6490" s="4" t="str">
        <f>IFERROR(VLOOKUP(A6490,'Base Prueba'!A:D,4,),"NO REGISTRA")</f>
        <v>AUXILIAR DE REINTEGROS</v>
      </c>
      <c r="E6490" s="5" t="str">
        <f>IFERROR(VLOOKUP(A6490,'Base Prueba'!A:E,5,),"NO REGISTRA")</f>
        <v>DIRECCION DE BIENESTAR INSTITUCIONAL</v>
      </c>
    </row>
    <row r="6491" spans="1:5" ht="15.75" x14ac:dyDescent="0.25">
      <c r="A6491" s="14">
        <v>1033709056</v>
      </c>
      <c r="B6491" s="2">
        <v>46150.367032407405</v>
      </c>
      <c r="C6491" s="3" t="str">
        <f>IFERROR(VLOOKUP(A6491,'Base Prueba'!A:C,3,),"NO REGISTRA")</f>
        <v>YEIMY ALEXANDRA RODRIGUEZ PALACIO</v>
      </c>
      <c r="D6491" s="4" t="str">
        <f>IFERROR(VLOOKUP(A6491,'Base Prueba'!A:D,4,),"NO REGISTRA")</f>
        <v>PROMOTOR CALL CENTER</v>
      </c>
      <c r="E6491" s="5" t="str">
        <f>IFERROR(VLOOKUP(A6491,'Base Prueba'!A:E,5,),"NO REGISTRA")</f>
        <v>OFICINA DE MERCADEO</v>
      </c>
    </row>
    <row r="6492" spans="1:5" ht="15.75" x14ac:dyDescent="0.25">
      <c r="A6492" s="14">
        <v>1018413529</v>
      </c>
      <c r="B6492" s="2">
        <v>46150.367113773151</v>
      </c>
      <c r="C6492" s="3" t="str">
        <f>IFERROR(VLOOKUP(A6492,'Base Prueba'!A:C,3,),"NO REGISTRA")</f>
        <v>FRANCY STELLA CHARRY MORENO</v>
      </c>
      <c r="D6492" s="4" t="str">
        <f>IFERROR(VLOOKUP(A6492,'Base Prueba'!A:D,4,),"NO REGISTRA")</f>
        <v>PROMOTOR COMERCIAL DEL CEA</v>
      </c>
      <c r="E6492" s="5" t="str">
        <f>IFERROR(VLOOKUP(A6492,'Base Prueba'!A:E,5,),"NO REGISTRA")</f>
        <v>OFICINA DE MERCADEO</v>
      </c>
    </row>
    <row r="6493" spans="1:5" ht="15.75" x14ac:dyDescent="0.25">
      <c r="A6493" s="14">
        <v>1019105003</v>
      </c>
      <c r="B6493" s="2">
        <v>46150.368033796294</v>
      </c>
      <c r="C6493" s="3" t="str">
        <f>IFERROR(VLOOKUP(A6493,'Base Prueba'!A:C,3,),"NO REGISTRA")</f>
        <v>DAISY JULIETH GASPAR MORENO</v>
      </c>
      <c r="D6493" s="4" t="str">
        <f>IFERROR(VLOOKUP(A6493,'Base Prueba'!A:D,4,),"NO REGISTRA")</f>
        <v>PROMOTOR CALL CENTER</v>
      </c>
      <c r="E6493" s="5" t="str">
        <f>IFERROR(VLOOKUP(A6493,'Base Prueba'!A:E,5,),"NO REGISTRA")</f>
        <v>OFICINA DE MERCADEO</v>
      </c>
    </row>
    <row r="6494" spans="1:5" ht="15.75" x14ac:dyDescent="0.25">
      <c r="A6494" s="14">
        <v>28798349</v>
      </c>
      <c r="B6494" s="2">
        <v>46150.370076388892</v>
      </c>
      <c r="C6494" s="3" t="str">
        <f>IFERROR(VLOOKUP(A6494,'Base Prueba'!A:C,3,),"NO REGISTRA")</f>
        <v>MARTHA ISABEL TOVAR WILLIAMS</v>
      </c>
      <c r="D6494" s="4" t="str">
        <f>IFERROR(VLOOKUP(A6494,'Base Prueba'!A:D,4,),"NO REGISTRA")</f>
        <v>PROMOTOR CALL CENTER</v>
      </c>
      <c r="E6494" s="5" t="str">
        <f>IFERROR(VLOOKUP(A6494,'Base Prueba'!A:E,5,),"NO REGISTRA")</f>
        <v>OFICINA DE MERCADEO</v>
      </c>
    </row>
    <row r="6495" spans="1:5" ht="15.75" x14ac:dyDescent="0.25">
      <c r="A6495" s="14">
        <v>52472386</v>
      </c>
      <c r="B6495" s="2">
        <v>46150.370094097219</v>
      </c>
      <c r="C6495" s="3" t="str">
        <f>IFERROR(VLOOKUP(A6495,'Base Prueba'!A:C,3,),"NO REGISTRA")</f>
        <v>ADRIANA MARCELA MORALES PARDO</v>
      </c>
      <c r="D6495" s="4" t="str">
        <f>IFERROR(VLOOKUP(A6495,'Base Prueba'!A:D,4,),"NO REGISTRA")</f>
        <v>PROMOTOR CALL CENTER</v>
      </c>
      <c r="E6495" s="5" t="str">
        <f>IFERROR(VLOOKUP(A6495,'Base Prueba'!A:E,5,),"NO REGISTRA")</f>
        <v>OFICINA DE MERCADEO</v>
      </c>
    </row>
    <row r="6496" spans="1:5" ht="15.75" x14ac:dyDescent="0.25">
      <c r="A6496" s="14">
        <v>1013101788</v>
      </c>
      <c r="B6496" s="2">
        <v>46150.370185069442</v>
      </c>
      <c r="C6496" s="3" t="str">
        <f>IFERROR(VLOOKUP(A6496,'Base Prueba'!A:C,3,),"NO REGISTRA")</f>
        <v>SARA TANGARIFE MONTOYA</v>
      </c>
      <c r="D6496" s="4" t="str">
        <f>IFERROR(VLOOKUP(A6496,'Base Prueba'!A:D,4,),"NO REGISTRA")</f>
        <v>APRENDIZ UNIVERSITARIO</v>
      </c>
      <c r="E6496" s="5" t="str">
        <f>IFERROR(VLOOKUP(A6496,'Base Prueba'!A:E,5,),"NO REGISTRA")</f>
        <v>OFICINA DE MERCADEO</v>
      </c>
    </row>
    <row r="6497" spans="1:5" ht="15.75" x14ac:dyDescent="0.25">
      <c r="A6497" s="14">
        <v>1000046533</v>
      </c>
      <c r="B6497" s="2">
        <v>46150.375939930556</v>
      </c>
      <c r="C6497" s="3" t="str">
        <f>IFERROR(VLOOKUP(A6497,'Base Prueba'!A:C,3,),"NO REGISTRA")</f>
        <v>ERIKA JULIETH VALDERRAMA SANCHEZ</v>
      </c>
      <c r="D6497" s="4" t="str">
        <f>IFERROR(VLOOKUP(A6497,'Base Prueba'!A:D,4,),"NO REGISTRA")</f>
        <v>PROMOTOR CALL CENTER</v>
      </c>
      <c r="E6497" s="5" t="str">
        <f>IFERROR(VLOOKUP(A6497,'Base Prueba'!A:E,5,),"NO REGISTRA")</f>
        <v>OFICINA DE MERCADEO</v>
      </c>
    </row>
    <row r="6498" spans="1:5" ht="15.75" x14ac:dyDescent="0.25">
      <c r="A6498" s="14">
        <v>1016090131</v>
      </c>
      <c r="B6498" s="2">
        <v>46150.381137037039</v>
      </c>
      <c r="C6498" s="3" t="str">
        <f>IFERROR(VLOOKUP(A6498,'Base Prueba'!A:C,3,),"NO REGISTRA")</f>
        <v>NICOLAS RODRIGUEZ PACHECO</v>
      </c>
      <c r="D6498" s="4" t="str">
        <f>IFERROR(VLOOKUP(A6498,'Base Prueba'!A:D,4,),"NO REGISTRA")</f>
        <v>COORDINADOR DE COMUNICACIONES</v>
      </c>
      <c r="E6498" s="5" t="str">
        <f>IFERROR(VLOOKUP(A6498,'Base Prueba'!A:E,5,),"NO REGISTRA")</f>
        <v>OFICINA DE MERCADEO</v>
      </c>
    </row>
    <row r="6499" spans="1:5" ht="15.75" x14ac:dyDescent="0.25">
      <c r="A6499" s="14">
        <v>52764929</v>
      </c>
      <c r="B6499" s="2">
        <v>46150.383519097224</v>
      </c>
      <c r="C6499" s="3" t="str">
        <f>IFERROR(VLOOKUP(A6499,'Base Prueba'!A:C,3,),"NO REGISTRA")</f>
        <v>GUERLY YOHANA DURAN RIVERA</v>
      </c>
      <c r="D6499" s="4" t="str">
        <f>IFERROR(VLOOKUP(A6499,'Base Prueba'!A:D,4,),"NO REGISTRA")</f>
        <v>LIDER DE VINCULACION COLEGIOS</v>
      </c>
      <c r="E6499" s="5" t="str">
        <f>IFERROR(VLOOKUP(A6499,'Base Prueba'!A:E,5,),"NO REGISTRA")</f>
        <v>OFICINA DE MERCADEO</v>
      </c>
    </row>
    <row r="6500" spans="1:5" ht="15.75" x14ac:dyDescent="0.25">
      <c r="A6500" s="14">
        <v>1032407386</v>
      </c>
      <c r="B6500" s="2">
        <v>46150.405196527776</v>
      </c>
      <c r="C6500" s="3" t="str">
        <f>IFERROR(VLOOKUP(A6500,'Base Prueba'!A:C,3,),"NO REGISTRA")</f>
        <v>GINA PAOLA BAEZ GALVIS</v>
      </c>
      <c r="D6500" s="4" t="str">
        <f>IFERROR(VLOOKUP(A6500,'Base Prueba'!A:D,4,),"NO REGISTRA")</f>
        <v>PROMOTOR CALL CENTER</v>
      </c>
      <c r="E6500" s="5" t="str">
        <f>IFERROR(VLOOKUP(A6500,'Base Prueba'!A:E,5,),"NO REGISTRA")</f>
        <v>OFICINA DE MERCADEO</v>
      </c>
    </row>
    <row r="6501" spans="1:5" ht="15.75" x14ac:dyDescent="0.25">
      <c r="A6501" s="14">
        <v>1000324729</v>
      </c>
      <c r="B6501" s="2">
        <v>46150.550164699074</v>
      </c>
      <c r="C6501" s="3" t="str">
        <f>IFERROR(VLOOKUP(A6501,'Base Prueba'!A:C,3,),"NO REGISTRA")</f>
        <v>ANYIE VANESSA TINOCO CAMACHO</v>
      </c>
      <c r="D6501" s="4" t="str">
        <f>IFERROR(VLOOKUP(A6501,'Base Prueba'!A:D,4,),"NO REGISTRA")</f>
        <v>LIDER DE REGISTRO Y CONTROL</v>
      </c>
      <c r="E6501" s="5" t="str">
        <f>IFERROR(VLOOKUP(A6501,'Base Prueba'!A:E,5,),"NO REGISTRA")</f>
        <v>REGISTRO Y CONTROL ACADEMICO</v>
      </c>
    </row>
    <row r="6502" spans="1:5" ht="15.75" x14ac:dyDescent="0.25">
      <c r="A6502" s="14">
        <v>52443092</v>
      </c>
      <c r="B6502" s="2">
        <v>46150.58298958333</v>
      </c>
      <c r="C6502" s="3" t="str">
        <f>IFERROR(VLOOKUP(A6502,'Base Prueba'!A:C,3,),"NO REGISTRA")</f>
        <v>LUZ MYRIAM SAAVEDRA CONTRERAS</v>
      </c>
      <c r="D6502" s="4" t="str">
        <f>IFERROR(VLOOKUP(A6502,'Base Prueba'!A:D,4,),"NO REGISTRA")</f>
        <v>AUXILIAR DE SERVICIOS</v>
      </c>
      <c r="E6502" s="5" t="str">
        <f>IFERROR(VLOOKUP(A6502,'Base Prueba'!A:E,5,),"NO REGISTRA")</f>
        <v>LOGISTICA Y SERVICIOS GENERALES</v>
      </c>
    </row>
    <row r="6503" spans="1:5" ht="15.75" x14ac:dyDescent="0.25">
      <c r="A6503" s="14">
        <v>1030567635</v>
      </c>
      <c r="B6503" s="2">
        <v>46150.710617013887</v>
      </c>
      <c r="C6503" s="3" t="str">
        <f>IFERROR(VLOOKUP(A6503,'Base Prueba'!A:C,3,),"NO REGISTRA")</f>
        <v>JEFFERSON ANDRES BARRETO DIAZ</v>
      </c>
      <c r="D6503" s="4" t="str">
        <f>IFERROR(VLOOKUP(A6503,'Base Prueba'!A:D,4,),"NO REGISTRA")</f>
        <v>AUXILIAR DE ARCHIVO</v>
      </c>
      <c r="E6503" s="5" t="str">
        <f>IFERROR(VLOOKUP(A6503,'Base Prueba'!A:E,5,),"NO REGISTRA")</f>
        <v>CENTRO DE GESTION DOCUMENTAL</v>
      </c>
    </row>
    <row r="6504" spans="1:5" ht="15.75" x14ac:dyDescent="0.25">
      <c r="A6504" s="14">
        <v>1000992568</v>
      </c>
      <c r="B6504" s="2">
        <v>46150.711191203707</v>
      </c>
      <c r="C6504" s="3" t="str">
        <f>IFERROR(VLOOKUP(A6504,'Base Prueba'!A:C,3,),"NO REGISTRA")</f>
        <v>KAREN BRIGITTE DALEMAN MORENO</v>
      </c>
      <c r="D6504" s="4" t="str">
        <f>IFERROR(VLOOKUP(A6504,'Base Prueba'!A:D,4,),"NO REGISTRA")</f>
        <v>RECEPCIONISTA</v>
      </c>
      <c r="E6504" s="5" t="str">
        <f>IFERROR(VLOOKUP(A6504,'Base Prueba'!A:E,5,),"NO REGISTRA")</f>
        <v>CENTRO DE GESTION DOCUMENTAL</v>
      </c>
    </row>
    <row r="6505" spans="1:5" ht="15.75" x14ac:dyDescent="0.25">
      <c r="A6505" s="14">
        <v>1000257136</v>
      </c>
      <c r="B6505" s="2">
        <v>46150.713480555554</v>
      </c>
      <c r="C6505" s="3" t="str">
        <f>IFERROR(VLOOKUP(A6505,'Base Prueba'!A:C,3,),"NO REGISTRA")</f>
        <v>FRANCI VALENTINA CANO PUENTES</v>
      </c>
      <c r="D6505" s="4" t="str">
        <f>IFERROR(VLOOKUP(A6505,'Base Prueba'!A:D,4,),"NO REGISTRA")</f>
        <v>AUXILIAR CONTABLE</v>
      </c>
      <c r="E6505" s="5" t="str">
        <f>IFERROR(VLOOKUP(A6505,'Base Prueba'!A:E,5,),"NO REGISTRA")</f>
        <v>AREA FINANCIERA Y CONTABLE</v>
      </c>
    </row>
    <row r="6506" spans="1:5" ht="15.75" x14ac:dyDescent="0.25">
      <c r="A6506" s="14">
        <v>1000457706</v>
      </c>
      <c r="B6506" s="2">
        <v>46150.714283449073</v>
      </c>
      <c r="C6506" s="3" t="str">
        <f>IFERROR(VLOOKUP(A6506,'Base Prueba'!A:C,3,),"NO REGISTRA")</f>
        <v>CRISTIAN DANILO ARROYO SANABRIA</v>
      </c>
      <c r="D6506" s="4" t="str">
        <f>IFERROR(VLOOKUP(A6506,'Base Prueba'!A:D,4,),"NO REGISTRA")</f>
        <v>AUXILIAR CONTABLE</v>
      </c>
      <c r="E6506" s="5" t="str">
        <f>IFERROR(VLOOKUP(A6506,'Base Prueba'!A:E,5,),"NO REGISTRA")</f>
        <v>AREA FINANCIERA Y CONTABLE</v>
      </c>
    </row>
    <row r="6507" spans="1:5" ht="15.75" x14ac:dyDescent="0.25">
      <c r="A6507" s="14">
        <v>1014266838</v>
      </c>
      <c r="B6507" s="2">
        <v>46150.714989583335</v>
      </c>
      <c r="C6507" s="3" t="str">
        <f>IFERROR(VLOOKUP(A6507,'Base Prueba'!A:C,3,),"NO REGISTRA")</f>
        <v>JENNIFER ASTRID ROMERO HURTADO</v>
      </c>
      <c r="D6507" s="4" t="str">
        <f>IFERROR(VLOOKUP(A6507,'Base Prueba'!A:D,4,),"NO REGISTRA")</f>
        <v>LIDER DE RECAUDO</v>
      </c>
      <c r="E6507" s="5" t="str">
        <f>IFERROR(VLOOKUP(A6507,'Base Prueba'!A:E,5,),"NO REGISTRA")</f>
        <v>AREA FINANCIERA Y CONTABLE</v>
      </c>
    </row>
    <row r="6508" spans="1:5" ht="15.75" x14ac:dyDescent="0.25">
      <c r="A6508" s="14">
        <v>1049644802</v>
      </c>
      <c r="B6508" s="2">
        <v>46150.715136342595</v>
      </c>
      <c r="C6508" s="3" t="str">
        <f>IFERROR(VLOOKUP(A6508,'Base Prueba'!A:C,3,),"NO REGISTRA")</f>
        <v>DANIELA ALEXANDRA CIPAMOCHA BOSIGA</v>
      </c>
      <c r="D6508" s="4" t="str">
        <f>IFERROR(VLOOKUP(A6508,'Base Prueba'!A:D,4,),"NO REGISTRA")</f>
        <v>LIDER DE DATOS Y SERVICIOS</v>
      </c>
      <c r="E6508" s="5" t="str">
        <f>IFERROR(VLOOKUP(A6508,'Base Prueba'!A:E,5,),"NO REGISTRA")</f>
        <v>OFICINA DE PLANEACION Y GESTION DE LA CALIDAD</v>
      </c>
    </row>
    <row r="6509" spans="1:5" ht="15.75" x14ac:dyDescent="0.25">
      <c r="A6509" s="14">
        <v>1014977624</v>
      </c>
      <c r="B6509" s="2">
        <v>46150.719098958332</v>
      </c>
      <c r="C6509" s="3" t="str">
        <f>IFERROR(VLOOKUP(A6509,'Base Prueba'!A:C,3,),"NO REGISTRA")</f>
        <v>NICCOLE VALENTINA HERNANDEZ MALAVER</v>
      </c>
      <c r="D6509" s="4" t="str">
        <f>IFERROR(VLOOKUP(A6509,'Base Prueba'!A:D,4,),"NO REGISTRA")</f>
        <v>APRENDIZ UNIVERSITARIO</v>
      </c>
      <c r="E6509" s="5" t="str">
        <f>IFERROR(VLOOKUP(A6509,'Base Prueba'!A:E,5,),"NO REGISTRA")</f>
        <v>AREA FINANCIERA Y CONTABLE</v>
      </c>
    </row>
    <row r="6510" spans="1:5" ht="15.75" x14ac:dyDescent="0.25">
      <c r="A6510" s="14">
        <v>52474489</v>
      </c>
      <c r="B6510" s="2">
        <v>46150.720729513887</v>
      </c>
      <c r="C6510" s="3" t="str">
        <f>IFERROR(VLOOKUP(A6510,'Base Prueba'!A:C,3,),"NO REGISTRA")</f>
        <v>ADRIANA JIMENA SOTO BOCANEGRA</v>
      </c>
      <c r="D6510" s="4" t="str">
        <f>IFERROR(VLOOKUP(A6510,'Base Prueba'!A:D,4,),"NO REGISTRA")</f>
        <v>COORDINADOR DE LA OFICINA DE REGISTRO Y CONTROL</v>
      </c>
      <c r="E6510" s="5" t="str">
        <f>IFERROR(VLOOKUP(A6510,'Base Prueba'!A:E,5,),"NO REGISTRA")</f>
        <v>REGISTRO Y CONTROL ACADEMICO</v>
      </c>
    </row>
    <row r="6511" spans="1:5" ht="15.75" x14ac:dyDescent="0.25">
      <c r="A6511" s="14">
        <v>1024512067</v>
      </c>
      <c r="B6511" s="2">
        <v>46150.722801157404</v>
      </c>
      <c r="C6511" s="3" t="str">
        <f>IFERROR(VLOOKUP(A6511,'Base Prueba'!A:C,3,),"NO REGISTRA")</f>
        <v>CINDY GIOVANA SALGAR GOMEZ</v>
      </c>
      <c r="D6511" s="4" t="str">
        <f>IFERROR(VLOOKUP(A6511,'Base Prueba'!A:D,4,),"NO REGISTRA")</f>
        <v>COORDINADOR DEL SISTEMA INTEGRADO DE GESTION INSTITUCIONAL - SIGI</v>
      </c>
      <c r="E6511" s="5" t="str">
        <f>IFERROR(VLOOKUP(A6511,'Base Prueba'!A:E,5,),"NO REGISTRA")</f>
        <v>OFICINA DE PLANEACION Y GESTION DE LA CALIDAD</v>
      </c>
    </row>
    <row r="6512" spans="1:5" ht="15.75" x14ac:dyDescent="0.25">
      <c r="A6512" s="14">
        <v>1000467399</v>
      </c>
      <c r="B6512" s="2">
        <v>46150.723419097223</v>
      </c>
      <c r="C6512" s="3" t="str">
        <f>IFERROR(VLOOKUP(A6512,'Base Prueba'!A:C,3,),"NO REGISTRA")</f>
        <v>BRANDO ESTIVEN DIAZ QUIMBAYA</v>
      </c>
      <c r="D6512" s="4" t="str">
        <f>IFERROR(VLOOKUP(A6512,'Base Prueba'!A:D,4,),"NO REGISTRA")</f>
        <v>APRENDIZ UNIVERSITARIO</v>
      </c>
      <c r="E6512" s="5" t="str">
        <f>IFERROR(VLOOKUP(A6512,'Base Prueba'!A:E,5,),"NO REGISTRA")</f>
        <v>DEPARTAMENTO DE GESTION HUMANA</v>
      </c>
    </row>
    <row r="6513" spans="1:5" ht="15.75" x14ac:dyDescent="0.25">
      <c r="A6513" s="14">
        <v>1193457976</v>
      </c>
      <c r="B6513" s="2">
        <v>46150.725240509259</v>
      </c>
      <c r="C6513" s="3" t="str">
        <f>IFERROR(VLOOKUP(A6513,'Base Prueba'!A:C,3,),"NO REGISTRA")</f>
        <v>SEDENIS RIVAS ASPRILLA</v>
      </c>
      <c r="D6513" s="4" t="str">
        <f>IFERROR(VLOOKUP(A6513,'Base Prueba'!A:D,4,),"NO REGISTRA")</f>
        <v>APRENDIZ UNIVERSITARIO</v>
      </c>
      <c r="E6513" s="5" t="str">
        <f>IFERROR(VLOOKUP(A6513,'Base Prueba'!A:E,5,),"NO REGISTRA")</f>
        <v>DEPARTAMENTO DE GESTION HUMANA</v>
      </c>
    </row>
    <row r="6514" spans="1:5" ht="15.75" x14ac:dyDescent="0.25">
      <c r="A6514" s="14">
        <v>53932358</v>
      </c>
      <c r="B6514" s="2">
        <v>46150.728621064816</v>
      </c>
      <c r="C6514" s="3" t="str">
        <f>IFERROR(VLOOKUP(A6514,'Base Prueba'!A:C,3,),"NO REGISTRA")</f>
        <v>DIANA MADELEYNE GAONA RODRIGUEZ</v>
      </c>
      <c r="D6514" s="4" t="str">
        <f>IFERROR(VLOOKUP(A6514,'Base Prueba'!A:D,4,),"NO REGISTRA")</f>
        <v>CONTADOR</v>
      </c>
      <c r="E6514" s="5" t="str">
        <f>IFERROR(VLOOKUP(A6514,'Base Prueba'!A:E,5,),"NO REGISTRA")</f>
        <v>AREA FINANCIERA Y CONTABLE</v>
      </c>
    </row>
    <row r="6515" spans="1:5" ht="15.75" x14ac:dyDescent="0.25">
      <c r="A6515" s="14">
        <v>1022996882</v>
      </c>
      <c r="B6515" s="2">
        <v>46150.746397569441</v>
      </c>
      <c r="C6515" s="3" t="str">
        <f>IFERROR(VLOOKUP(A6515,'Base Prueba'!A:C,3,),"NO REGISTRA")</f>
        <v>NANCY BRIGITH ALDANA GUEVARA</v>
      </c>
      <c r="D6515" s="4" t="str">
        <f>IFERROR(VLOOKUP(A6515,'Base Prueba'!A:D,4,),"NO REGISTRA")</f>
        <v>COORDINADORA DE GESTIÓN HUMANA</v>
      </c>
      <c r="E6515" s="5" t="str">
        <f>IFERROR(VLOOKUP(A6515,'Base Prueba'!A:E,5,),"NO REGISTRA")</f>
        <v>DEPARTAMENTO DE GESTION HUMANA</v>
      </c>
    </row>
    <row r="6516" spans="1:5" ht="15.75" x14ac:dyDescent="0.25">
      <c r="A6516" s="14">
        <v>52225539</v>
      </c>
      <c r="B6516" s="2">
        <v>46150.750051967596</v>
      </c>
      <c r="C6516" s="3" t="str">
        <f>IFERROR(VLOOKUP(A6516,'Base Prueba'!A:C,3,),"NO REGISTRA")</f>
        <v>LISA MINELLY ZAMBRANO CONTRERAS</v>
      </c>
      <c r="D6516" s="4" t="str">
        <f>IFERROR(VLOOKUP(A6516,'Base Prueba'!A:D,4,),"NO REGISTRA")</f>
        <v>LIDER DE COMPRAS</v>
      </c>
      <c r="E6516" s="5" t="str">
        <f>IFERROR(VLOOKUP(A6516,'Base Prueba'!A:E,5,),"NO REGISTRA")</f>
        <v>VICERRECTORIA ADMINISTRATIVA Y FINANCIERA</v>
      </c>
    </row>
    <row r="6517" spans="1:5" ht="15.75" x14ac:dyDescent="0.25">
      <c r="A6517" s="14">
        <v>80191732</v>
      </c>
      <c r="B6517" s="2">
        <v>46150.750123032405</v>
      </c>
      <c r="C6517" s="3" t="str">
        <f>IFERROR(VLOOKUP(A6517,'Base Prueba'!A:C,3,),"NO REGISTRA")</f>
        <v>DANIEL MAURICIO ZAMBRANO TUNJANO</v>
      </c>
      <c r="D6517" s="4" t="str">
        <f>IFERROR(VLOOKUP(A6517,'Base Prueba'!A:D,4,),"NO REGISTRA")</f>
        <v>COORDINADOR DE DISEÑO E IMAGEN INSTITUCIONAL</v>
      </c>
      <c r="E6517" s="5" t="str">
        <f>IFERROR(VLOOKUP(A6517,'Base Prueba'!A:E,5,),"NO REGISTRA")</f>
        <v>OFICINA DE MERCADEO</v>
      </c>
    </row>
    <row r="6518" spans="1:5" ht="15.75" x14ac:dyDescent="0.25">
      <c r="A6518" s="14">
        <v>1012426741</v>
      </c>
      <c r="B6518" s="2">
        <v>46150.750323611108</v>
      </c>
      <c r="C6518" s="3" t="str">
        <f>IFERROR(VLOOKUP(A6518,'Base Prueba'!A:C,3,),"NO REGISTRA")</f>
        <v>CRISTIAN FABIAN ROJAS SANCENO</v>
      </c>
      <c r="D6518" s="4" t="str">
        <f>IFERROR(VLOOKUP(A6518,'Base Prueba'!A:D,4,),"NO REGISTRA")</f>
        <v>AUXILIAR DE REINTEGROS</v>
      </c>
      <c r="E6518" s="5" t="str">
        <f>IFERROR(VLOOKUP(A6518,'Base Prueba'!A:E,5,),"NO REGISTRA")</f>
        <v>DIRECCION DE BIENESTAR INSTITUCIONAL</v>
      </c>
    </row>
    <row r="6519" spans="1:5" ht="15.75" x14ac:dyDescent="0.25">
      <c r="A6519" s="14">
        <v>1087121273</v>
      </c>
      <c r="B6519" s="2">
        <v>46150.752344328706</v>
      </c>
      <c r="C6519" s="3" t="str">
        <f>IFERROR(VLOOKUP(A6519,'Base Prueba'!A:C,3,),"NO REGISTRA")</f>
        <v>MAYRA ALEJANDRA CASTILLO ARBOLEDA</v>
      </c>
      <c r="D6519" s="4" t="str">
        <f>IFERROR(VLOOKUP(A6519,'Base Prueba'!A:D,4,),"NO REGISTRA")</f>
        <v>APOYO INTEGRAL DE MERCADEO</v>
      </c>
      <c r="E6519" s="5" t="str">
        <f>IFERROR(VLOOKUP(A6519,'Base Prueba'!A:E,5,),"NO REGISTRA")</f>
        <v>CENTRO DE GESTION DOCUMENTAL</v>
      </c>
    </row>
    <row r="6520" spans="1:5" ht="15.75" x14ac:dyDescent="0.25">
      <c r="A6520" s="14">
        <v>1013101788</v>
      </c>
      <c r="B6520" s="2">
        <v>46150.752965162035</v>
      </c>
      <c r="C6520" s="3" t="str">
        <f>IFERROR(VLOOKUP(A6520,'Base Prueba'!A:C,3,),"NO REGISTRA")</f>
        <v>SARA TANGARIFE MONTOYA</v>
      </c>
      <c r="D6520" s="4" t="str">
        <f>IFERROR(VLOOKUP(A6520,'Base Prueba'!A:D,4,),"NO REGISTRA")</f>
        <v>APRENDIZ UNIVERSITARIO</v>
      </c>
      <c r="E6520" s="5" t="str">
        <f>IFERROR(VLOOKUP(A6520,'Base Prueba'!A:E,5,),"NO REGISTRA")</f>
        <v>OFICINA DE MERCADEO</v>
      </c>
    </row>
    <row r="6521" spans="1:5" ht="15.75" x14ac:dyDescent="0.25">
      <c r="A6521" s="14">
        <v>1013098430</v>
      </c>
      <c r="B6521" s="2">
        <v>46150.7530275463</v>
      </c>
      <c r="C6521" s="3" t="str">
        <f>IFERROR(VLOOKUP(A6521,'Base Prueba'!A:C,3,),"NO REGISTRA")</f>
        <v>ANDRES FELIPE LOPEZ ROMERO</v>
      </c>
      <c r="D6521" s="4" t="str">
        <f>IFERROR(VLOOKUP(A6521,'Base Prueba'!A:D,4,),"NO REGISTRA")</f>
        <v>APRENDIZ UNIVERSITARIO</v>
      </c>
      <c r="E6521" s="5" t="str">
        <f>IFERROR(VLOOKUP(A6521,'Base Prueba'!A:E,5,),"NO REGISTRA")</f>
        <v>OFICINA DE MERCADEO</v>
      </c>
    </row>
    <row r="6522" spans="1:5" ht="15.75" x14ac:dyDescent="0.25">
      <c r="A6522" s="14">
        <v>1000046533</v>
      </c>
      <c r="B6522" s="2">
        <v>46150.75365150463</v>
      </c>
      <c r="C6522" s="3" t="str">
        <f>IFERROR(VLOOKUP(A6522,'Base Prueba'!A:C,3,),"NO REGISTRA")</f>
        <v>ERIKA JULIETH VALDERRAMA SANCHEZ</v>
      </c>
      <c r="D6522" s="4" t="str">
        <f>IFERROR(VLOOKUP(A6522,'Base Prueba'!A:D,4,),"NO REGISTRA")</f>
        <v>PROMOTOR CALL CENTER</v>
      </c>
      <c r="E6522" s="5" t="str">
        <f>IFERROR(VLOOKUP(A6522,'Base Prueba'!A:E,5,),"NO REGISTRA")</f>
        <v>OFICINA DE MERCADEO</v>
      </c>
    </row>
    <row r="6523" spans="1:5" ht="15.75" x14ac:dyDescent="0.25">
      <c r="A6523" s="14">
        <v>52175674</v>
      </c>
      <c r="B6523" s="2">
        <v>46150.75486296296</v>
      </c>
      <c r="C6523" s="3" t="str">
        <f>IFERROR(VLOOKUP(A6523,'Base Prueba'!A:C,3,),"NO REGISTRA")</f>
        <v>LUZ YANETH GOMEZ AREVALO</v>
      </c>
      <c r="D6523" s="4" t="str">
        <f>IFERROR(VLOOKUP(A6523,'Base Prueba'!A:D,4,),"NO REGISTRA")</f>
        <v>COORDINADORA DE ADMISIONES</v>
      </c>
      <c r="E6523" s="5" t="str">
        <f>IFERROR(VLOOKUP(A6523,'Base Prueba'!A:E,5,),"NO REGISTRA")</f>
        <v>OFICINA DE MERCADEO</v>
      </c>
    </row>
    <row r="6524" spans="1:5" ht="15.75" x14ac:dyDescent="0.25">
      <c r="A6524" s="14">
        <v>52472386</v>
      </c>
      <c r="B6524" s="2">
        <v>46150.755603819445</v>
      </c>
      <c r="C6524" s="3" t="str">
        <f>IFERROR(VLOOKUP(A6524,'Base Prueba'!A:C,3,),"NO REGISTRA")</f>
        <v>ADRIANA MARCELA MORALES PARDO</v>
      </c>
      <c r="D6524" s="4" t="str">
        <f>IFERROR(VLOOKUP(A6524,'Base Prueba'!A:D,4,),"NO REGISTRA")</f>
        <v>PROMOTOR CALL CENTER</v>
      </c>
      <c r="E6524" s="5" t="str">
        <f>IFERROR(VLOOKUP(A6524,'Base Prueba'!A:E,5,),"NO REGISTRA")</f>
        <v>OFICINA DE MERCADEO</v>
      </c>
    </row>
    <row r="6525" spans="1:5" ht="15.75" x14ac:dyDescent="0.25">
      <c r="A6525" s="14">
        <v>1016090131</v>
      </c>
      <c r="B6525" s="2">
        <v>46150.765832638892</v>
      </c>
      <c r="C6525" s="3" t="str">
        <f>IFERROR(VLOOKUP(A6525,'Base Prueba'!A:C,3,),"NO REGISTRA")</f>
        <v>NICOLAS RODRIGUEZ PACHECO</v>
      </c>
      <c r="D6525" s="4" t="str">
        <f>IFERROR(VLOOKUP(A6525,'Base Prueba'!A:D,4,),"NO REGISTRA")</f>
        <v>COORDINADOR DE COMUNICACIONES</v>
      </c>
      <c r="E6525" s="5" t="str">
        <f>IFERROR(VLOOKUP(A6525,'Base Prueba'!A:E,5,),"NO REGISTRA")</f>
        <v>OFICINA DE MERCADEO</v>
      </c>
    </row>
    <row r="6526" spans="1:5" ht="15.75" x14ac:dyDescent="0.25">
      <c r="A6526" s="14">
        <v>1033709056</v>
      </c>
      <c r="B6526" s="2">
        <v>46150.772632175926</v>
      </c>
      <c r="C6526" s="3" t="str">
        <f>IFERROR(VLOOKUP(A6526,'Base Prueba'!A:C,3,),"NO REGISTRA")</f>
        <v>YEIMY ALEXANDRA RODRIGUEZ PALACIO</v>
      </c>
      <c r="D6526" s="4" t="str">
        <f>IFERROR(VLOOKUP(A6526,'Base Prueba'!A:D,4,),"NO REGISTRA")</f>
        <v>PROMOTOR CALL CENTER</v>
      </c>
      <c r="E6526" s="5" t="str">
        <f>IFERROR(VLOOKUP(A6526,'Base Prueba'!A:E,5,),"NO REGISTRA")</f>
        <v>OFICINA DE MERCADEO</v>
      </c>
    </row>
    <row r="6527" spans="1:5" ht="15.75" x14ac:dyDescent="0.25">
      <c r="A6527" s="14">
        <v>52764929</v>
      </c>
      <c r="B6527" s="2">
        <v>46150.77332615741</v>
      </c>
      <c r="C6527" s="3" t="str">
        <f>IFERROR(VLOOKUP(A6527,'Base Prueba'!A:C,3,),"NO REGISTRA")</f>
        <v>GUERLY YOHANA DURAN RIVERA</v>
      </c>
      <c r="D6527" s="4" t="str">
        <f>IFERROR(VLOOKUP(A6527,'Base Prueba'!A:D,4,),"NO REGISTRA")</f>
        <v>LIDER DE VINCULACION COLEGIOS</v>
      </c>
      <c r="E6527" s="5" t="str">
        <f>IFERROR(VLOOKUP(A6527,'Base Prueba'!A:E,5,),"NO REGISTRA")</f>
        <v>OFICINA DE MERCADEO</v>
      </c>
    </row>
    <row r="6528" spans="1:5" ht="15.75" x14ac:dyDescent="0.25">
      <c r="A6528" s="14">
        <v>1032469638</v>
      </c>
      <c r="B6528" s="2">
        <v>46150.775421412036</v>
      </c>
      <c r="C6528" s="3" t="str">
        <f>IFERROR(VLOOKUP(A6528,'Base Prueba'!A:C,3,),"NO REGISTRA")</f>
        <v>MAICOL JARBEY GUALTEROS CASTAÑEDA</v>
      </c>
      <c r="D6528" s="4" t="str">
        <f>IFERROR(VLOOKUP(A6528,'Base Prueba'!A:D,4,),"NO REGISTRA")</f>
        <v>COORDINADOR DEL SISTEMA INTERNO DE ASEGURAMIENTO DE LA CALIDAD - SIAC</v>
      </c>
      <c r="E6528" s="5" t="str">
        <f>IFERROR(VLOOKUP(A6528,'Base Prueba'!A:E,5,),"NO REGISTRA")</f>
        <v>OFICINA DE PLANEACION Y GESTION DE LA CALIDAD</v>
      </c>
    </row>
    <row r="6529" spans="1:5" ht="15.75" x14ac:dyDescent="0.25">
      <c r="A6529" s="14">
        <v>1014196857</v>
      </c>
      <c r="B6529" s="2">
        <v>46150.776788773146</v>
      </c>
      <c r="C6529" s="3" t="str">
        <f>IFERROR(VLOOKUP(A6529,'Base Prueba'!A:C,3,),"NO REGISTRA")</f>
        <v>CARLOS ANDRES JIMENEZ PARDO</v>
      </c>
      <c r="D6529" s="4" t="str">
        <f>IFERROR(VLOOKUP(A6529,'Base Prueba'!A:D,4,),"NO REGISTRA")</f>
        <v>COORDINADOR DE MARKETING DIGITAL</v>
      </c>
      <c r="E6529" s="5" t="str">
        <f>IFERROR(VLOOKUP(A6529,'Base Prueba'!A:E,5,),"NO REGISTRA")</f>
        <v>OFICINA DE MERCADEO</v>
      </c>
    </row>
    <row r="6530" spans="1:5" ht="15.75" x14ac:dyDescent="0.25">
      <c r="A6530" s="14">
        <v>1019105003</v>
      </c>
      <c r="B6530" s="2">
        <v>46150.787625231482</v>
      </c>
      <c r="C6530" s="3" t="str">
        <f>IFERROR(VLOOKUP(A6530,'Base Prueba'!A:C,3,),"NO REGISTRA")</f>
        <v>DAISY JULIETH GASPAR MORENO</v>
      </c>
      <c r="D6530" s="4" t="str">
        <f>IFERROR(VLOOKUP(A6530,'Base Prueba'!A:D,4,),"NO REGISTRA")</f>
        <v>PROMOTOR CALL CENTER</v>
      </c>
      <c r="E6530" s="5" t="str">
        <f>IFERROR(VLOOKUP(A6530,'Base Prueba'!A:E,5,),"NO REGISTRA")</f>
        <v>OFICINA DE MERCADEO</v>
      </c>
    </row>
    <row r="6531" spans="1:5" ht="15.75" x14ac:dyDescent="0.25">
      <c r="A6531" s="14">
        <v>28798349</v>
      </c>
      <c r="B6531" s="2">
        <v>46150.791806712965</v>
      </c>
      <c r="C6531" s="3" t="str">
        <f>IFERROR(VLOOKUP(A6531,'Base Prueba'!A:C,3,),"NO REGISTRA")</f>
        <v>MARTHA ISABEL TOVAR WILLIAMS</v>
      </c>
      <c r="D6531" s="4" t="str">
        <f>IFERROR(VLOOKUP(A6531,'Base Prueba'!A:D,4,),"NO REGISTRA")</f>
        <v>PROMOTOR CALL CENTER</v>
      </c>
      <c r="E6531" s="5" t="str">
        <f>IFERROR(VLOOKUP(A6531,'Base Prueba'!A:E,5,),"NO REGISTRA")</f>
        <v>OFICINA DE MERCADEO</v>
      </c>
    </row>
    <row r="6532" spans="1:5" ht="15.75" x14ac:dyDescent="0.25">
      <c r="A6532" s="14">
        <v>1018413529</v>
      </c>
      <c r="B6532" s="2">
        <v>46150.793422685187</v>
      </c>
      <c r="C6532" s="3" t="str">
        <f>IFERROR(VLOOKUP(A6532,'Base Prueba'!A:C,3,),"NO REGISTRA")</f>
        <v>FRANCY STELLA CHARRY MORENO</v>
      </c>
      <c r="D6532" s="4" t="str">
        <f>IFERROR(VLOOKUP(A6532,'Base Prueba'!A:D,4,),"NO REGISTRA")</f>
        <v>PROMOTOR COMERCIAL DEL CEA</v>
      </c>
      <c r="E6532" s="5" t="str">
        <f>IFERROR(VLOOKUP(A6532,'Base Prueba'!A:E,5,),"NO REGISTRA")</f>
        <v>OFICINA DE MERCADEO</v>
      </c>
    </row>
    <row r="6533" spans="1:5" ht="15.75" x14ac:dyDescent="0.25">
      <c r="A6533" s="14">
        <v>1032407386</v>
      </c>
      <c r="B6533" s="2">
        <v>46150.793459722219</v>
      </c>
      <c r="C6533" s="3" t="str">
        <f>IFERROR(VLOOKUP(A6533,'Base Prueba'!A:C,3,),"NO REGISTRA")</f>
        <v>GINA PAOLA BAEZ GALVIS</v>
      </c>
      <c r="D6533" s="4" t="str">
        <f>IFERROR(VLOOKUP(A6533,'Base Prueba'!A:D,4,),"NO REGISTRA")</f>
        <v>PROMOTOR CALL CENTER</v>
      </c>
      <c r="E6533" s="5" t="str">
        <f>IFERROR(VLOOKUP(A6533,'Base Prueba'!A:E,5,),"NO REGISTRA")</f>
        <v>OFICINA DE MERCADEO</v>
      </c>
    </row>
    <row r="6534" spans="1:5" ht="15.75" x14ac:dyDescent="0.25">
      <c r="A6534" s="14">
        <v>80234243</v>
      </c>
      <c r="B6534" s="2">
        <v>46150.831987847225</v>
      </c>
      <c r="C6534" s="3" t="str">
        <f>IFERROR(VLOOKUP(A6534,'Base Prueba'!A:C,3,),"NO REGISTRA")</f>
        <v>ARGENIS MARTINEZ MARTINEZ</v>
      </c>
      <c r="D6534" s="4" t="str">
        <f>IFERROR(VLOOKUP(A6534,'Base Prueba'!A:D,4,),"NO REGISTRA")</f>
        <v>LIDER CALL CENTER</v>
      </c>
      <c r="E6534" s="5" t="str">
        <f>IFERROR(VLOOKUP(A6534,'Base Prueba'!A:E,5,),"NO REGISTRA")</f>
        <v>OFICINA DE MERCADEO</v>
      </c>
    </row>
    <row r="6535" spans="1:5" ht="15.75" x14ac:dyDescent="0.25">
      <c r="A6535" s="14">
        <v>1013616244</v>
      </c>
      <c r="B6535" s="2">
        <v>46151.313181944446</v>
      </c>
      <c r="C6535" s="3" t="str">
        <f>IFERROR(VLOOKUP(A6535,'Base Prueba'!A:C,3,),"NO REGISTRA")</f>
        <v>DIANA CAROLINA MARIN BETANCOURT</v>
      </c>
      <c r="D6535" s="4" t="str">
        <f>IFERROR(VLOOKUP(A6535,'Base Prueba'!A:D,4,),"NO REGISTRA")</f>
        <v>AUXILIAR ADMINISTRATIVO</v>
      </c>
      <c r="E6535" s="5" t="str">
        <f>IFERROR(VLOOKUP(A6535,'Base Prueba'!A:E,5,),"NO REGISTRA")</f>
        <v>REGISTRO Y CONTROL ACADEMICO</v>
      </c>
    </row>
    <row r="6536" spans="1:5" ht="15.75" x14ac:dyDescent="0.25">
      <c r="A6536" s="14">
        <v>80234243</v>
      </c>
      <c r="B6536" s="2">
        <v>46151.363866782405</v>
      </c>
      <c r="C6536" s="3" t="str">
        <f>IFERROR(VLOOKUP(A6536,'Base Prueba'!A:C,3,),"NO REGISTRA")</f>
        <v>ARGENIS MARTINEZ MARTINEZ</v>
      </c>
      <c r="D6536" s="4" t="str">
        <f>IFERROR(VLOOKUP(A6536,'Base Prueba'!A:D,4,),"NO REGISTRA")</f>
        <v>LIDER CALL CENTER</v>
      </c>
      <c r="E6536" s="5" t="str">
        <f>IFERROR(VLOOKUP(A6536,'Base Prueba'!A:E,5,),"NO REGISTRA")</f>
        <v>OFICINA DE MERCADEO</v>
      </c>
    </row>
    <row r="6537" spans="1:5" ht="15.75" x14ac:dyDescent="0.25">
      <c r="A6537" s="14">
        <v>1012426741</v>
      </c>
      <c r="B6537" s="2">
        <v>46151.367537500002</v>
      </c>
      <c r="C6537" s="3" t="str">
        <f>IFERROR(VLOOKUP(A6537,'Base Prueba'!A:C,3,),"NO REGISTRA")</f>
        <v>CRISTIAN FABIAN ROJAS SANCENO</v>
      </c>
      <c r="D6537" s="4" t="str">
        <f>IFERROR(VLOOKUP(A6537,'Base Prueba'!A:D,4,),"NO REGISTRA")</f>
        <v>AUXILIAR DE REINTEGROS</v>
      </c>
      <c r="E6537" s="5" t="str">
        <f>IFERROR(VLOOKUP(A6537,'Base Prueba'!A:E,5,),"NO REGISTRA")</f>
        <v>DIRECCION DE BIENESTAR INSTITUCIONAL</v>
      </c>
    </row>
    <row r="6538" spans="1:5" ht="15.75" x14ac:dyDescent="0.25">
      <c r="A6538" s="14">
        <v>1014308296</v>
      </c>
      <c r="B6538" s="2">
        <v>46151.370587152778</v>
      </c>
      <c r="C6538" s="3" t="str">
        <f>IFERROR(VLOOKUP(A6538,'Base Prueba'!A:C,3,),"NO REGISTRA")</f>
        <v>DARLENE YULIANA MORENO CELEITA</v>
      </c>
      <c r="D6538" s="4" t="str">
        <f>IFERROR(VLOOKUP(A6538,'Base Prueba'!A:D,4,),"NO REGISTRA")</f>
        <v>CAJERO PRINCIPAL</v>
      </c>
      <c r="E6538" s="5" t="str">
        <f>IFERROR(VLOOKUP(A6538,'Base Prueba'!A:E,5,),"NO REGISTRA")</f>
        <v>AREA FINANCIERA Y CONTABLE</v>
      </c>
    </row>
    <row r="6539" spans="1:5" ht="15.75" x14ac:dyDescent="0.25">
      <c r="A6539" s="14">
        <v>1000992568</v>
      </c>
      <c r="B6539" s="2">
        <v>46151.370864004632</v>
      </c>
      <c r="C6539" s="3" t="str">
        <f>IFERROR(VLOOKUP(A6539,'Base Prueba'!A:C,3,),"NO REGISTRA")</f>
        <v>KAREN BRIGITTE DALEMAN MORENO</v>
      </c>
      <c r="D6539" s="4" t="str">
        <f>IFERROR(VLOOKUP(A6539,'Base Prueba'!A:D,4,),"NO REGISTRA")</f>
        <v>RECEPCIONISTA</v>
      </c>
      <c r="E6539" s="5" t="str">
        <f>IFERROR(VLOOKUP(A6539,'Base Prueba'!A:E,5,),"NO REGISTRA")</f>
        <v>CENTRO DE GESTION DOCUMENTAL</v>
      </c>
    </row>
    <row r="6540" spans="1:5" ht="15.75" x14ac:dyDescent="0.25">
      <c r="A6540" s="14">
        <v>1024512067</v>
      </c>
      <c r="B6540" s="2">
        <v>46151.374213657407</v>
      </c>
      <c r="C6540" s="3" t="str">
        <f>IFERROR(VLOOKUP(A6540,'Base Prueba'!A:C,3,),"NO REGISTRA")</f>
        <v>CINDY GIOVANA SALGAR GOMEZ</v>
      </c>
      <c r="D6540" s="4" t="str">
        <f>IFERROR(VLOOKUP(A6540,'Base Prueba'!A:D,4,),"NO REGISTRA")</f>
        <v>COORDINADOR DEL SISTEMA INTEGRADO DE GESTION INSTITUCIONAL - SIGI</v>
      </c>
      <c r="E6540" s="5" t="str">
        <f>IFERROR(VLOOKUP(A6540,'Base Prueba'!A:E,5,),"NO REGISTRA")</f>
        <v>OFICINA DE PLANEACION Y GESTION DE LA CALIDAD</v>
      </c>
    </row>
    <row r="6541" spans="1:5" ht="15.75" x14ac:dyDescent="0.25">
      <c r="A6541" s="14">
        <v>1087121273</v>
      </c>
      <c r="B6541" s="2">
        <v>46151.37453587963</v>
      </c>
      <c r="C6541" s="3" t="str">
        <f>IFERROR(VLOOKUP(A6541,'Base Prueba'!A:C,3,),"NO REGISTRA")</f>
        <v>MAYRA ALEJANDRA CASTILLO ARBOLEDA</v>
      </c>
      <c r="D6541" s="4" t="str">
        <f>IFERROR(VLOOKUP(A6541,'Base Prueba'!A:D,4,),"NO REGISTRA")</f>
        <v>APOYO INTEGRAL DE MERCADEO</v>
      </c>
      <c r="E6541" s="5" t="str">
        <f>IFERROR(VLOOKUP(A6541,'Base Prueba'!A:E,5,),"NO REGISTRA")</f>
        <v>CENTRO DE GESTION DOCUMENTAL</v>
      </c>
    </row>
    <row r="6542" spans="1:5" ht="15.75" x14ac:dyDescent="0.25">
      <c r="A6542" s="14">
        <v>1013101788</v>
      </c>
      <c r="B6542" s="2">
        <v>46151.380157060186</v>
      </c>
      <c r="C6542" s="3" t="str">
        <f>IFERROR(VLOOKUP(A6542,'Base Prueba'!A:C,3,),"NO REGISTRA")</f>
        <v>SARA TANGARIFE MONTOYA</v>
      </c>
      <c r="D6542" s="4" t="str">
        <f>IFERROR(VLOOKUP(A6542,'Base Prueba'!A:D,4,),"NO REGISTRA")</f>
        <v>APRENDIZ UNIVERSITARIO</v>
      </c>
      <c r="E6542" s="5" t="str">
        <f>IFERROR(VLOOKUP(A6542,'Base Prueba'!A:E,5,),"NO REGISTRA")</f>
        <v>OFICINA DE MERCADEO</v>
      </c>
    </row>
    <row r="6543" spans="1:5" ht="15.75" x14ac:dyDescent="0.25">
      <c r="A6543" s="14">
        <v>52175674</v>
      </c>
      <c r="B6543" s="2">
        <v>46151.38156076389</v>
      </c>
      <c r="C6543" s="3" t="str">
        <f>IFERROR(VLOOKUP(A6543,'Base Prueba'!A:C,3,),"NO REGISTRA")</f>
        <v>LUZ YANETH GOMEZ AREVALO</v>
      </c>
      <c r="D6543" s="4" t="str">
        <f>IFERROR(VLOOKUP(A6543,'Base Prueba'!A:D,4,),"NO REGISTRA")</f>
        <v>COORDINADORA DE ADMISIONES</v>
      </c>
      <c r="E6543" s="5" t="str">
        <f>IFERROR(VLOOKUP(A6543,'Base Prueba'!A:E,5,),"NO REGISTRA")</f>
        <v>OFICINA DE MERCADEO</v>
      </c>
    </row>
    <row r="6544" spans="1:5" ht="15.75" x14ac:dyDescent="0.25">
      <c r="A6544" s="14">
        <v>52764929</v>
      </c>
      <c r="B6544" s="2">
        <v>46151.394139814816</v>
      </c>
      <c r="C6544" s="3" t="str">
        <f>IFERROR(VLOOKUP(A6544,'Base Prueba'!A:C,3,),"NO REGISTRA")</f>
        <v>GUERLY YOHANA DURAN RIVERA</v>
      </c>
      <c r="D6544" s="4" t="str">
        <f>IFERROR(VLOOKUP(A6544,'Base Prueba'!A:D,4,),"NO REGISTRA")</f>
        <v>LIDER DE VINCULACION COLEGIOS</v>
      </c>
      <c r="E6544" s="5" t="str">
        <f>IFERROR(VLOOKUP(A6544,'Base Prueba'!A:E,5,),"NO REGISTRA")</f>
        <v>OFICINA DE MERCADEO</v>
      </c>
    </row>
    <row r="6545" spans="1:5" ht="15.75" x14ac:dyDescent="0.25">
      <c r="A6545" s="14">
        <v>1013098430</v>
      </c>
      <c r="B6545" s="2">
        <v>46151.412276388888</v>
      </c>
      <c r="C6545" s="3" t="str">
        <f>IFERROR(VLOOKUP(A6545,'Base Prueba'!A:C,3,),"NO REGISTRA")</f>
        <v>ANDRES FELIPE LOPEZ ROMERO</v>
      </c>
      <c r="D6545" s="4" t="str">
        <f>IFERROR(VLOOKUP(A6545,'Base Prueba'!A:D,4,),"NO REGISTRA")</f>
        <v>APRENDIZ UNIVERSITARIO</v>
      </c>
      <c r="E6545" s="5" t="str">
        <f>IFERROR(VLOOKUP(A6545,'Base Prueba'!A:E,5,),"NO REGISTRA")</f>
        <v>OFICINA DE MERCADEO</v>
      </c>
    </row>
    <row r="6546" spans="1:5" ht="15.75" x14ac:dyDescent="0.25">
      <c r="A6546" s="14">
        <v>1014308296</v>
      </c>
      <c r="B6546" s="2">
        <v>46151.500166666665</v>
      </c>
      <c r="C6546" s="3" t="str">
        <f>IFERROR(VLOOKUP(A6546,'Base Prueba'!A:C,3,),"NO REGISTRA")</f>
        <v>DARLENE YULIANA MORENO CELEITA</v>
      </c>
      <c r="D6546" s="4" t="str">
        <f>IFERROR(VLOOKUP(A6546,'Base Prueba'!A:D,4,),"NO REGISTRA")</f>
        <v>CAJERO PRINCIPAL</v>
      </c>
      <c r="E6546" s="5" t="str">
        <f>IFERROR(VLOOKUP(A6546,'Base Prueba'!A:E,5,),"NO REGISTRA")</f>
        <v>AREA FINANCIERA Y CONTABLE</v>
      </c>
    </row>
    <row r="6547" spans="1:5" ht="15.75" x14ac:dyDescent="0.25">
      <c r="A6547" s="14">
        <v>1012426741</v>
      </c>
      <c r="B6547" s="2">
        <v>46151.500210763887</v>
      </c>
      <c r="C6547" s="3" t="str">
        <f>IFERROR(VLOOKUP(A6547,'Base Prueba'!A:C,3,),"NO REGISTRA")</f>
        <v>CRISTIAN FABIAN ROJAS SANCENO</v>
      </c>
      <c r="D6547" s="4" t="str">
        <f>IFERROR(VLOOKUP(A6547,'Base Prueba'!A:D,4,),"NO REGISTRA")</f>
        <v>AUXILIAR DE REINTEGROS</v>
      </c>
      <c r="E6547" s="5" t="str">
        <f>IFERROR(VLOOKUP(A6547,'Base Prueba'!A:E,5,),"NO REGISTRA")</f>
        <v>DIRECCION DE BIENESTAR INSTITUCIONAL</v>
      </c>
    </row>
    <row r="6548" spans="1:5" ht="15.75" x14ac:dyDescent="0.25">
      <c r="A6548" s="14">
        <v>1000611958</v>
      </c>
      <c r="B6548" s="2">
        <v>46151.501060416667</v>
      </c>
      <c r="C6548" s="3" t="str">
        <f>IFERROR(VLOOKUP(A6548,'Base Prueba'!A:C,3,),"NO REGISTRA")</f>
        <v>TYLER CORRADINE  VARGAS</v>
      </c>
      <c r="D6548" s="4" t="str">
        <f>IFERROR(VLOOKUP(A6548,'Base Prueba'!A:D,4,),"NO REGISTRA")</f>
        <v>APRENDIZ UNIVERSITARIO</v>
      </c>
      <c r="E6548" s="5" t="str">
        <f>IFERROR(VLOOKUP(A6548,'Base Prueba'!A:E,5,),"NO REGISTRA")</f>
        <v>DEPARTAMENTO DE INFORMATICA Y TECNOLOGIA</v>
      </c>
    </row>
    <row r="6549" spans="1:5" ht="15.75" x14ac:dyDescent="0.25">
      <c r="A6549" s="14">
        <v>80725196</v>
      </c>
      <c r="B6549" s="2">
        <v>46151.501895949077</v>
      </c>
      <c r="C6549" s="3" t="str">
        <f>IFERROR(VLOOKUP(A6549,'Base Prueba'!A:C,3,),"NO REGISTRA")</f>
        <v>YEISON YOSET TOVAR BARBOSA</v>
      </c>
      <c r="D6549" s="4" t="str">
        <f>IFERROR(VLOOKUP(A6549,'Base Prueba'!A:D,4,),"NO REGISTRA")</f>
        <v>LIDER GESTION DOCUMENTAL</v>
      </c>
      <c r="E6549" s="5" t="str">
        <f>IFERROR(VLOOKUP(A6549,'Base Prueba'!A:E,5,),"NO REGISTRA")</f>
        <v>CENTRO DE GESTION DOCUMENTAL</v>
      </c>
    </row>
    <row r="6550" spans="1:5" ht="15.75" x14ac:dyDescent="0.25">
      <c r="A6550" s="14">
        <v>1000992568</v>
      </c>
      <c r="B6550" s="2">
        <v>46151.502164814818</v>
      </c>
      <c r="C6550" s="3" t="str">
        <f>IFERROR(VLOOKUP(A6550,'Base Prueba'!A:C,3,),"NO REGISTRA")</f>
        <v>KAREN BRIGITTE DALEMAN MORENO</v>
      </c>
      <c r="D6550" s="4" t="str">
        <f>IFERROR(VLOOKUP(A6550,'Base Prueba'!A:D,4,),"NO REGISTRA")</f>
        <v>RECEPCIONISTA</v>
      </c>
      <c r="E6550" s="5" t="str">
        <f>IFERROR(VLOOKUP(A6550,'Base Prueba'!A:E,5,),"NO REGISTRA")</f>
        <v>CENTRO DE GESTION DOCUMENTAL</v>
      </c>
    </row>
    <row r="6551" spans="1:5" ht="15.75" x14ac:dyDescent="0.25">
      <c r="A6551" s="14">
        <v>52175674</v>
      </c>
      <c r="B6551" s="2">
        <v>46151.508589467594</v>
      </c>
      <c r="C6551" s="3" t="str">
        <f>IFERROR(VLOOKUP(A6551,'Base Prueba'!A:C,3,),"NO REGISTRA")</f>
        <v>LUZ YANETH GOMEZ AREVALO</v>
      </c>
      <c r="D6551" s="4" t="str">
        <f>IFERROR(VLOOKUP(A6551,'Base Prueba'!A:D,4,),"NO REGISTRA")</f>
        <v>COORDINADORA DE ADMISIONES</v>
      </c>
      <c r="E6551" s="5" t="str">
        <f>IFERROR(VLOOKUP(A6551,'Base Prueba'!A:E,5,),"NO REGISTRA")</f>
        <v>OFICINA DE MERCADEO</v>
      </c>
    </row>
    <row r="6552" spans="1:5" ht="15.75" x14ac:dyDescent="0.25">
      <c r="A6552" s="14">
        <v>1024512067</v>
      </c>
      <c r="B6552" s="2">
        <v>46151.515716782407</v>
      </c>
      <c r="C6552" s="3" t="str">
        <f>IFERROR(VLOOKUP(A6552,'Base Prueba'!A:C,3,),"NO REGISTRA")</f>
        <v>CINDY GIOVANA SALGAR GOMEZ</v>
      </c>
      <c r="D6552" s="4" t="str">
        <f>IFERROR(VLOOKUP(A6552,'Base Prueba'!A:D,4,),"NO REGISTRA")</f>
        <v>COORDINADOR DEL SISTEMA INTEGRADO DE GESTION INSTITUCIONAL - SIGI</v>
      </c>
      <c r="E6552" s="5" t="str">
        <f>IFERROR(VLOOKUP(A6552,'Base Prueba'!A:E,5,),"NO REGISTRA")</f>
        <v>OFICINA DE PLANEACION Y GESTION DE LA CALIDAD</v>
      </c>
    </row>
    <row r="6553" spans="1:5" ht="15.75" x14ac:dyDescent="0.25">
      <c r="A6553" s="14">
        <v>1013616244</v>
      </c>
      <c r="B6553" s="2">
        <v>46151.521260995367</v>
      </c>
      <c r="C6553" s="3" t="str">
        <f>IFERROR(VLOOKUP(A6553,'Base Prueba'!A:C,3,),"NO REGISTRA")</f>
        <v>DIANA CAROLINA MARIN BETANCOURT</v>
      </c>
      <c r="D6553" s="4" t="str">
        <f>IFERROR(VLOOKUP(A6553,'Base Prueba'!A:D,4,),"NO REGISTRA")</f>
        <v>AUXILIAR ADMINISTRATIVO</v>
      </c>
      <c r="E6553" s="5" t="str">
        <f>IFERROR(VLOOKUP(A6553,'Base Prueba'!A:E,5,),"NO REGISTRA")</f>
        <v>REGISTRO Y CONTROL ACADEMICO</v>
      </c>
    </row>
    <row r="6554" spans="1:5" ht="15.75" x14ac:dyDescent="0.25">
      <c r="A6554" s="14">
        <v>1087121273</v>
      </c>
      <c r="B6554" s="2">
        <v>46151.521541782407</v>
      </c>
      <c r="C6554" s="3" t="str">
        <f>IFERROR(VLOOKUP(A6554,'Base Prueba'!A:C,3,),"NO REGISTRA")</f>
        <v>MAYRA ALEJANDRA CASTILLO ARBOLEDA</v>
      </c>
      <c r="D6554" s="4" t="str">
        <f>IFERROR(VLOOKUP(A6554,'Base Prueba'!A:D,4,),"NO REGISTRA")</f>
        <v>APOYO INTEGRAL DE MERCADEO</v>
      </c>
      <c r="E6554" s="5" t="str">
        <f>IFERROR(VLOOKUP(A6554,'Base Prueba'!A:E,5,),"NO REGISTRA")</f>
        <v>CENTRO DE GESTION DOCUMENTAL</v>
      </c>
    </row>
    <row r="6555" spans="1:5" ht="15.75" x14ac:dyDescent="0.25">
      <c r="A6555" s="14">
        <v>1013098430</v>
      </c>
      <c r="B6555" s="2">
        <v>46151.536490393519</v>
      </c>
      <c r="C6555" s="3" t="str">
        <f>IFERROR(VLOOKUP(A6555,'Base Prueba'!A:C,3,),"NO REGISTRA")</f>
        <v>ANDRES FELIPE LOPEZ ROMERO</v>
      </c>
      <c r="D6555" s="4" t="str">
        <f>IFERROR(VLOOKUP(A6555,'Base Prueba'!A:D,4,),"NO REGISTRA")</f>
        <v>APRENDIZ UNIVERSITARIO</v>
      </c>
      <c r="E6555" s="5" t="str">
        <f>IFERROR(VLOOKUP(A6555,'Base Prueba'!A:E,5,),"NO REGISTRA")</f>
        <v>OFICINA DE MERCADEO</v>
      </c>
    </row>
    <row r="6556" spans="1:5" ht="15.75" x14ac:dyDescent="0.25">
      <c r="A6556" s="14">
        <v>1032407386</v>
      </c>
      <c r="B6556" s="2">
        <v>46151.552019907409</v>
      </c>
      <c r="C6556" s="3" t="str">
        <f>IFERROR(VLOOKUP(A6556,'Base Prueba'!A:C,3,),"NO REGISTRA")</f>
        <v>GINA PAOLA BAEZ GALVIS</v>
      </c>
      <c r="D6556" s="4" t="str">
        <f>IFERROR(VLOOKUP(A6556,'Base Prueba'!A:D,4,),"NO REGISTRA")</f>
        <v>PROMOTOR CALL CENTER</v>
      </c>
      <c r="E6556" s="5" t="str">
        <f>IFERROR(VLOOKUP(A6556,'Base Prueba'!A:E,5,),"NO REGISTRA")</f>
        <v>OFICINA DE MERCADEO</v>
      </c>
    </row>
    <row r="6557" spans="1:5" ht="15.75" x14ac:dyDescent="0.25">
      <c r="A6557" s="14">
        <v>80234243</v>
      </c>
      <c r="B6557" s="2">
        <v>46151.561929166666</v>
      </c>
      <c r="C6557" s="3" t="str">
        <f>IFERROR(VLOOKUP(A6557,'Base Prueba'!A:C,3,),"NO REGISTRA")</f>
        <v>ARGENIS MARTINEZ MARTINEZ</v>
      </c>
      <c r="D6557" s="4" t="str">
        <f>IFERROR(VLOOKUP(A6557,'Base Prueba'!A:D,4,),"NO REGISTRA")</f>
        <v>LIDER CALL CENTER</v>
      </c>
      <c r="E6557" s="5" t="str">
        <f>IFERROR(VLOOKUP(A6557,'Base Prueba'!A:E,5,),"NO REGISTRA")</f>
        <v>OFICINA DE MERCADEO</v>
      </c>
    </row>
    <row r="6558" spans="1:5" ht="15.75" x14ac:dyDescent="0.25">
      <c r="A6558" s="14">
        <v>1024512067</v>
      </c>
      <c r="B6558" s="2">
        <v>46153.302682175927</v>
      </c>
      <c r="C6558" s="3" t="str">
        <f>IFERROR(VLOOKUP(A6558,'Base Prueba'!A:C,3,),"NO REGISTRA")</f>
        <v>CINDY GIOVANA SALGAR GOMEZ</v>
      </c>
      <c r="D6558" s="4" t="str">
        <f>IFERROR(VLOOKUP(A6558,'Base Prueba'!A:D,4,),"NO REGISTRA")</f>
        <v>COORDINADOR DEL SISTEMA INTEGRADO DE GESTION INSTITUCIONAL - SIGI</v>
      </c>
      <c r="E6558" s="5" t="str">
        <f>IFERROR(VLOOKUP(A6558,'Base Prueba'!A:E,5,),"NO REGISTRA")</f>
        <v>OFICINA DE PLANEACION Y GESTION DE LA CALIDAD</v>
      </c>
    </row>
    <row r="6559" spans="1:5" ht="15.75" x14ac:dyDescent="0.25">
      <c r="A6559" s="14">
        <v>1013616244</v>
      </c>
      <c r="B6559" s="2">
        <v>46153.314534490739</v>
      </c>
      <c r="C6559" s="3" t="str">
        <f>IFERROR(VLOOKUP(A6559,'Base Prueba'!A:C,3,),"NO REGISTRA")</f>
        <v>DIANA CAROLINA MARIN BETANCOURT</v>
      </c>
      <c r="D6559" s="4" t="str">
        <f>IFERROR(VLOOKUP(A6559,'Base Prueba'!A:D,4,),"NO REGISTRA")</f>
        <v>AUXILIAR ADMINISTRATIVO</v>
      </c>
      <c r="E6559" s="5" t="str">
        <f>IFERROR(VLOOKUP(A6559,'Base Prueba'!A:E,5,),"NO REGISTRA")</f>
        <v>REGISTRO Y CONTROL ACADEMICO</v>
      </c>
    </row>
    <row r="6560" spans="1:5" ht="15.75" x14ac:dyDescent="0.25">
      <c r="A6560" s="14">
        <v>1000324729</v>
      </c>
      <c r="B6560" s="2">
        <v>46153.319925694443</v>
      </c>
      <c r="C6560" s="3" t="str">
        <f>IFERROR(VLOOKUP(A6560,'Base Prueba'!A:C,3,),"NO REGISTRA")</f>
        <v>ANYIE VANESSA TINOCO CAMACHO</v>
      </c>
      <c r="D6560" s="4" t="str">
        <f>IFERROR(VLOOKUP(A6560,'Base Prueba'!A:D,4,),"NO REGISTRA")</f>
        <v>LIDER DE REGISTRO Y CONTROL</v>
      </c>
      <c r="E6560" s="5" t="str">
        <f>IFERROR(VLOOKUP(A6560,'Base Prueba'!A:E,5,),"NO REGISTRA")</f>
        <v>REGISTRO Y CONTROL ACADEMICO</v>
      </c>
    </row>
    <row r="6561" spans="1:5" ht="15.75" x14ac:dyDescent="0.25">
      <c r="A6561" s="14">
        <v>1014266838</v>
      </c>
      <c r="B6561" s="2">
        <v>46153.320363657411</v>
      </c>
      <c r="C6561" s="3" t="str">
        <f>IFERROR(VLOOKUP(A6561,'Base Prueba'!A:C,3,),"NO REGISTRA")</f>
        <v>JENNIFER ASTRID ROMERO HURTADO</v>
      </c>
      <c r="D6561" s="4" t="str">
        <f>IFERROR(VLOOKUP(A6561,'Base Prueba'!A:D,4,),"NO REGISTRA")</f>
        <v>LIDER DE RECAUDO</v>
      </c>
      <c r="E6561" s="5" t="str">
        <f>IFERROR(VLOOKUP(A6561,'Base Prueba'!A:E,5,),"NO REGISTRA")</f>
        <v>AREA FINANCIERA Y CONTABLE</v>
      </c>
    </row>
    <row r="6562" spans="1:5" ht="15.75" x14ac:dyDescent="0.25">
      <c r="A6562" s="14">
        <v>1000992568</v>
      </c>
      <c r="B6562" s="2">
        <v>46153.323908101855</v>
      </c>
      <c r="C6562" s="3" t="str">
        <f>IFERROR(VLOOKUP(A6562,'Base Prueba'!A:C,3,),"NO REGISTRA")</f>
        <v>KAREN BRIGITTE DALEMAN MORENO</v>
      </c>
      <c r="D6562" s="4" t="str">
        <f>IFERROR(VLOOKUP(A6562,'Base Prueba'!A:D,4,),"NO REGISTRA")</f>
        <v>RECEPCIONISTA</v>
      </c>
      <c r="E6562" s="5" t="str">
        <f>IFERROR(VLOOKUP(A6562,'Base Prueba'!A:E,5,),"NO REGISTRA")</f>
        <v>CENTRO DE GESTION DOCUMENTAL</v>
      </c>
    </row>
    <row r="6563" spans="1:5" ht="15.75" x14ac:dyDescent="0.25">
      <c r="A6563" s="14">
        <v>1049644802</v>
      </c>
      <c r="B6563" s="2">
        <v>46153.325715740742</v>
      </c>
      <c r="C6563" s="3" t="str">
        <f>IFERROR(VLOOKUP(A6563,'Base Prueba'!A:C,3,),"NO REGISTRA")</f>
        <v>DANIELA ALEXANDRA CIPAMOCHA BOSIGA</v>
      </c>
      <c r="D6563" s="4" t="str">
        <f>IFERROR(VLOOKUP(A6563,'Base Prueba'!A:D,4,),"NO REGISTRA")</f>
        <v>LIDER DE DATOS Y SERVICIOS</v>
      </c>
      <c r="E6563" s="5" t="str">
        <f>IFERROR(VLOOKUP(A6563,'Base Prueba'!A:E,5,),"NO REGISTRA")</f>
        <v>OFICINA DE PLANEACION Y GESTION DE LA CALIDAD</v>
      </c>
    </row>
    <row r="6564" spans="1:5" ht="15.75" x14ac:dyDescent="0.25">
      <c r="A6564" s="14">
        <v>80191732</v>
      </c>
      <c r="B6564" s="2">
        <v>46153.331429745369</v>
      </c>
      <c r="C6564" s="3" t="str">
        <f>IFERROR(VLOOKUP(A6564,'Base Prueba'!A:C,3,),"NO REGISTRA")</f>
        <v>DANIEL MAURICIO ZAMBRANO TUNJANO</v>
      </c>
      <c r="D6564" s="4" t="str">
        <f>IFERROR(VLOOKUP(A6564,'Base Prueba'!A:D,4,),"NO REGISTRA")</f>
        <v>COORDINADOR DE DISEÑO E IMAGEN INSTITUCIONAL</v>
      </c>
      <c r="E6564" s="5" t="str">
        <f>IFERROR(VLOOKUP(A6564,'Base Prueba'!A:E,5,),"NO REGISTRA")</f>
        <v>OFICINA DE MERCADEO</v>
      </c>
    </row>
    <row r="6565" spans="1:5" ht="15.75" x14ac:dyDescent="0.25">
      <c r="A6565" s="14">
        <v>1014308296</v>
      </c>
      <c r="B6565" s="2">
        <v>46153.333932175927</v>
      </c>
      <c r="C6565" s="3" t="str">
        <f>IFERROR(VLOOKUP(A6565,'Base Prueba'!A:C,3,),"NO REGISTRA")</f>
        <v>DARLENE YULIANA MORENO CELEITA</v>
      </c>
      <c r="D6565" s="4" t="str">
        <f>IFERROR(VLOOKUP(A6565,'Base Prueba'!A:D,4,),"NO REGISTRA")</f>
        <v>CAJERO PRINCIPAL</v>
      </c>
      <c r="E6565" s="5" t="str">
        <f>IFERROR(VLOOKUP(A6565,'Base Prueba'!A:E,5,),"NO REGISTRA")</f>
        <v>AREA FINANCIERA Y CONTABLE</v>
      </c>
    </row>
    <row r="6566" spans="1:5" ht="15.75" x14ac:dyDescent="0.25">
      <c r="A6566" s="14">
        <v>1033820146</v>
      </c>
      <c r="B6566" s="2">
        <v>46153.334647222226</v>
      </c>
      <c r="C6566" s="3" t="str">
        <f>IFERROR(VLOOKUP(A6566,'Base Prueba'!A:C,3,),"NO REGISTRA")</f>
        <v>JULIETH ALEXANDRA BUSTAMANTE RUIZ</v>
      </c>
      <c r="D6566" s="4" t="str">
        <f>IFERROR(VLOOKUP(A6566,'Base Prueba'!A:D,4,),"NO REGISTRA")</f>
        <v>AUXILIAR ADMINISTRATIVO</v>
      </c>
      <c r="E6566" s="5" t="str">
        <f>IFERROR(VLOOKUP(A6566,'Base Prueba'!A:E,5,),"NO REGISTRA")</f>
        <v>REGISTRO Y CONTROL ACADEMICO</v>
      </c>
    </row>
    <row r="6567" spans="1:5" ht="15.75" x14ac:dyDescent="0.25">
      <c r="A6567" s="14">
        <v>1013098430</v>
      </c>
      <c r="B6567" s="2">
        <v>46153.334994212964</v>
      </c>
      <c r="C6567" s="3" t="str">
        <f>IFERROR(VLOOKUP(A6567,'Base Prueba'!A:C,3,),"NO REGISTRA")</f>
        <v>ANDRES FELIPE LOPEZ ROMERO</v>
      </c>
      <c r="D6567" s="4" t="str">
        <f>IFERROR(VLOOKUP(A6567,'Base Prueba'!A:D,4,),"NO REGISTRA")</f>
        <v>APRENDIZ UNIVERSITARIO</v>
      </c>
      <c r="E6567" s="5" t="str">
        <f>IFERROR(VLOOKUP(A6567,'Base Prueba'!A:E,5,),"NO REGISTRA")</f>
        <v>OFICINA DE MERCADEO</v>
      </c>
    </row>
    <row r="6568" spans="1:5" ht="15.75" x14ac:dyDescent="0.25">
      <c r="A6568" s="14">
        <v>52225539</v>
      </c>
      <c r="B6568" s="2">
        <v>46153.336032060186</v>
      </c>
      <c r="C6568" s="3" t="str">
        <f>IFERROR(VLOOKUP(A6568,'Base Prueba'!A:C,3,),"NO REGISTRA")</f>
        <v>LISA MINELLY ZAMBRANO CONTRERAS</v>
      </c>
      <c r="D6568" s="4" t="str">
        <f>IFERROR(VLOOKUP(A6568,'Base Prueba'!A:D,4,),"NO REGISTRA")</f>
        <v>LIDER DE COMPRAS</v>
      </c>
      <c r="E6568" s="5" t="str">
        <f>IFERROR(VLOOKUP(A6568,'Base Prueba'!A:E,5,),"NO REGISTRA")</f>
        <v>VICERRECTORIA ADMINISTRATIVA Y FINANCIERA</v>
      </c>
    </row>
    <row r="6569" spans="1:5" ht="15.75" x14ac:dyDescent="0.25">
      <c r="A6569" s="14">
        <v>1000257136</v>
      </c>
      <c r="B6569" s="2">
        <v>46153.336408564814</v>
      </c>
      <c r="C6569" s="3" t="str">
        <f>IFERROR(VLOOKUP(A6569,'Base Prueba'!A:C,3,),"NO REGISTRA")</f>
        <v>FRANCI VALENTINA CANO PUENTES</v>
      </c>
      <c r="D6569" s="4" t="str">
        <f>IFERROR(VLOOKUP(A6569,'Base Prueba'!A:D,4,),"NO REGISTRA")</f>
        <v>AUXILIAR CONTABLE</v>
      </c>
      <c r="E6569" s="5" t="str">
        <f>IFERROR(VLOOKUP(A6569,'Base Prueba'!A:E,5,),"NO REGISTRA")</f>
        <v>AREA FINANCIERA Y CONTABLE</v>
      </c>
    </row>
    <row r="6570" spans="1:5" ht="15.75" x14ac:dyDescent="0.25">
      <c r="A6570" s="14">
        <v>1000593372</v>
      </c>
      <c r="B6570" s="2">
        <v>46153.338596296293</v>
      </c>
      <c r="C6570" s="3" t="str">
        <f>IFERROR(VLOOKUP(A6570,'Base Prueba'!A:C,3,),"NO REGISTRA")</f>
        <v>LAURA SOFIA CHAPARRO LOPEZ</v>
      </c>
      <c r="D6570" s="4" t="str">
        <f>IFERROR(VLOOKUP(A6570,'Base Prueba'!A:D,4,),"NO REGISTRA")</f>
        <v>AUXILIAR JURIDICO</v>
      </c>
      <c r="E6570" s="5" t="str">
        <f>IFERROR(VLOOKUP(A6570,'Base Prueba'!A:E,5,),"NO REGISTRA")</f>
        <v>SECRETARIA GENERAL</v>
      </c>
    </row>
    <row r="6571" spans="1:5" ht="15.75" x14ac:dyDescent="0.25">
      <c r="A6571" s="14">
        <v>1000593372</v>
      </c>
      <c r="B6571" s="2">
        <v>46153.338606597223</v>
      </c>
      <c r="C6571" s="3" t="str">
        <f>IFERROR(VLOOKUP(A6571,'Base Prueba'!A:C,3,),"NO REGISTRA")</f>
        <v>LAURA SOFIA CHAPARRO LOPEZ</v>
      </c>
      <c r="D6571" s="4" t="str">
        <f>IFERROR(VLOOKUP(A6571,'Base Prueba'!A:D,4,),"NO REGISTRA")</f>
        <v>AUXILIAR JURIDICO</v>
      </c>
      <c r="E6571" s="5" t="str">
        <f>IFERROR(VLOOKUP(A6571,'Base Prueba'!A:E,5,),"NO REGISTRA")</f>
        <v>SECRETARIA GENERAL</v>
      </c>
    </row>
    <row r="6572" spans="1:5" ht="15.75" x14ac:dyDescent="0.25">
      <c r="A6572" s="14">
        <v>1000467399</v>
      </c>
      <c r="B6572" s="2">
        <v>46153.340368171295</v>
      </c>
      <c r="C6572" s="3" t="str">
        <f>IFERROR(VLOOKUP(A6572,'Base Prueba'!A:C,3,),"NO REGISTRA")</f>
        <v>BRANDO ESTIVEN DIAZ QUIMBAYA</v>
      </c>
      <c r="D6572" s="4" t="str">
        <f>IFERROR(VLOOKUP(A6572,'Base Prueba'!A:D,4,),"NO REGISTRA")</f>
        <v>APRENDIZ UNIVERSITARIO</v>
      </c>
      <c r="E6572" s="5" t="str">
        <f>IFERROR(VLOOKUP(A6572,'Base Prueba'!A:E,5,),"NO REGISTRA")</f>
        <v>DEPARTAMENTO DE GESTION HUMANA</v>
      </c>
    </row>
    <row r="6573" spans="1:5" ht="15.75" x14ac:dyDescent="0.25">
      <c r="A6573" s="14">
        <v>1193457976</v>
      </c>
      <c r="B6573" s="2">
        <v>46153.342362615738</v>
      </c>
      <c r="C6573" s="3" t="str">
        <f>IFERROR(VLOOKUP(A6573,'Base Prueba'!A:C,3,),"NO REGISTRA")</f>
        <v>SEDENIS RIVAS ASPRILLA</v>
      </c>
      <c r="D6573" s="4" t="str">
        <f>IFERROR(VLOOKUP(A6573,'Base Prueba'!A:D,4,),"NO REGISTRA")</f>
        <v>APRENDIZ UNIVERSITARIO</v>
      </c>
      <c r="E6573" s="5" t="str">
        <f>IFERROR(VLOOKUP(A6573,'Base Prueba'!A:E,5,),"NO REGISTRA")</f>
        <v>DEPARTAMENTO DE GESTION HUMANA</v>
      </c>
    </row>
    <row r="6574" spans="1:5" ht="15.75" x14ac:dyDescent="0.25">
      <c r="A6574" s="14">
        <v>1032469638</v>
      </c>
      <c r="B6574" s="2">
        <v>46153.342546643522</v>
      </c>
      <c r="C6574" s="3" t="str">
        <f>IFERROR(VLOOKUP(A6574,'Base Prueba'!A:C,3,),"NO REGISTRA")</f>
        <v>MAICOL JARBEY GUALTEROS CASTAÑEDA</v>
      </c>
      <c r="D6574" s="4" t="str">
        <f>IFERROR(VLOOKUP(A6574,'Base Prueba'!A:D,4,),"NO REGISTRA")</f>
        <v>COORDINADOR DEL SISTEMA INTERNO DE ASEGURAMIENTO DE LA CALIDAD - SIAC</v>
      </c>
      <c r="E6574" s="5" t="str">
        <f>IFERROR(VLOOKUP(A6574,'Base Prueba'!A:E,5,),"NO REGISTRA")</f>
        <v>OFICINA DE PLANEACION Y GESTION DE LA CALIDAD</v>
      </c>
    </row>
    <row r="6575" spans="1:5" ht="15.75" x14ac:dyDescent="0.25">
      <c r="A6575" s="14">
        <v>1014977624</v>
      </c>
      <c r="B6575" s="2">
        <v>46153.344930902778</v>
      </c>
      <c r="C6575" s="3" t="str">
        <f>IFERROR(VLOOKUP(A6575,'Base Prueba'!A:C,3,),"NO REGISTRA")</f>
        <v>NICCOLE VALENTINA HERNANDEZ MALAVER</v>
      </c>
      <c r="D6575" s="4" t="str">
        <f>IFERROR(VLOOKUP(A6575,'Base Prueba'!A:D,4,),"NO REGISTRA")</f>
        <v>APRENDIZ UNIVERSITARIO</v>
      </c>
      <c r="E6575" s="5" t="str">
        <f>IFERROR(VLOOKUP(A6575,'Base Prueba'!A:E,5,),"NO REGISTRA")</f>
        <v>AREA FINANCIERA Y CONTABLE</v>
      </c>
    </row>
    <row r="6576" spans="1:5" ht="15.75" x14ac:dyDescent="0.25">
      <c r="A6576" s="14">
        <v>1023883232</v>
      </c>
      <c r="B6576" s="2">
        <v>46153.350498726853</v>
      </c>
      <c r="C6576" s="3" t="str">
        <f>IFERROR(VLOOKUP(A6576,'Base Prueba'!A:C,3,),"NO REGISTRA")</f>
        <v>MONICA ANDREA ACERO URBANO</v>
      </c>
      <c r="D6576" s="4" t="str">
        <f>IFERROR(VLOOKUP(A6576,'Base Prueba'!A:D,4,),"NO REGISTRA")</f>
        <v>APOYO INTEGRAL A GESTION HUMANA</v>
      </c>
      <c r="E6576" s="5" t="str">
        <f>IFERROR(VLOOKUP(A6576,'Base Prueba'!A:E,5,),"NO REGISTRA")</f>
        <v>DEPARTAMENTO DE GESTION HUMANA</v>
      </c>
    </row>
    <row r="6577" spans="1:5" ht="15.75" x14ac:dyDescent="0.25">
      <c r="A6577" s="14">
        <v>1000457706</v>
      </c>
      <c r="B6577" s="2">
        <v>46153.351441550927</v>
      </c>
      <c r="C6577" s="3" t="str">
        <f>IFERROR(VLOOKUP(A6577,'Base Prueba'!A:C,3,),"NO REGISTRA")</f>
        <v>CRISTIAN DANILO ARROYO SANABRIA</v>
      </c>
      <c r="D6577" s="4" t="str">
        <f>IFERROR(VLOOKUP(A6577,'Base Prueba'!A:D,4,),"NO REGISTRA")</f>
        <v>AUXILIAR CONTABLE</v>
      </c>
      <c r="E6577" s="5" t="str">
        <f>IFERROR(VLOOKUP(A6577,'Base Prueba'!A:E,5,),"NO REGISTRA")</f>
        <v>AREA FINANCIERA Y CONTABLE</v>
      </c>
    </row>
    <row r="6578" spans="1:5" ht="15.75" x14ac:dyDescent="0.25">
      <c r="A6578" s="14">
        <v>1033709056</v>
      </c>
      <c r="B6578" s="2">
        <v>46153.35865185185</v>
      </c>
      <c r="C6578" s="3" t="str">
        <f>IFERROR(VLOOKUP(A6578,'Base Prueba'!A:C,3,),"NO REGISTRA")</f>
        <v>YEIMY ALEXANDRA RODRIGUEZ PALACIO</v>
      </c>
      <c r="D6578" s="4" t="str">
        <f>IFERROR(VLOOKUP(A6578,'Base Prueba'!A:D,4,),"NO REGISTRA")</f>
        <v>PROMOTOR CALL CENTER</v>
      </c>
      <c r="E6578" s="5" t="str">
        <f>IFERROR(VLOOKUP(A6578,'Base Prueba'!A:E,5,),"NO REGISTRA")</f>
        <v>OFICINA DE MERCADEO</v>
      </c>
    </row>
    <row r="6579" spans="1:5" ht="15.75" x14ac:dyDescent="0.25">
      <c r="A6579" s="14">
        <v>1087121273</v>
      </c>
      <c r="B6579" s="2">
        <v>46153.36007141204</v>
      </c>
      <c r="C6579" s="3" t="str">
        <f>IFERROR(VLOOKUP(A6579,'Base Prueba'!A:C,3,),"NO REGISTRA")</f>
        <v>MAYRA ALEJANDRA CASTILLO ARBOLEDA</v>
      </c>
      <c r="D6579" s="4" t="str">
        <f>IFERROR(VLOOKUP(A6579,'Base Prueba'!A:D,4,),"NO REGISTRA")</f>
        <v>APOYO INTEGRAL DE MERCADEO</v>
      </c>
      <c r="E6579" s="5" t="str">
        <f>IFERROR(VLOOKUP(A6579,'Base Prueba'!A:E,5,),"NO REGISTRA")</f>
        <v>CENTRO DE GESTION DOCUMENTAL</v>
      </c>
    </row>
    <row r="6580" spans="1:5" ht="15.75" x14ac:dyDescent="0.25">
      <c r="A6580" s="14">
        <v>53932358</v>
      </c>
      <c r="B6580" s="2">
        <v>46153.36012986111</v>
      </c>
      <c r="C6580" s="3" t="str">
        <f>IFERROR(VLOOKUP(A6580,'Base Prueba'!A:C,3,),"NO REGISTRA")</f>
        <v>DIANA MADELEYNE GAONA RODRIGUEZ</v>
      </c>
      <c r="D6580" s="4" t="str">
        <f>IFERROR(VLOOKUP(A6580,'Base Prueba'!A:D,4,),"NO REGISTRA")</f>
        <v>CONTADOR</v>
      </c>
      <c r="E6580" s="5" t="str">
        <f>IFERROR(VLOOKUP(A6580,'Base Prueba'!A:E,5,),"NO REGISTRA")</f>
        <v>AREA FINANCIERA Y CONTABLE</v>
      </c>
    </row>
    <row r="6581" spans="1:5" ht="15.75" x14ac:dyDescent="0.25">
      <c r="A6581" s="14">
        <v>80234243</v>
      </c>
      <c r="B6581" s="2">
        <v>46153.362708912035</v>
      </c>
      <c r="C6581" s="3" t="str">
        <f>IFERROR(VLOOKUP(A6581,'Base Prueba'!A:C,3,),"NO REGISTRA")</f>
        <v>ARGENIS MARTINEZ MARTINEZ</v>
      </c>
      <c r="D6581" s="4" t="str">
        <f>IFERROR(VLOOKUP(A6581,'Base Prueba'!A:D,4,),"NO REGISTRA")</f>
        <v>LIDER CALL CENTER</v>
      </c>
      <c r="E6581" s="5" t="str">
        <f>IFERROR(VLOOKUP(A6581,'Base Prueba'!A:E,5,),"NO REGISTRA")</f>
        <v>OFICINA DE MERCADEO</v>
      </c>
    </row>
    <row r="6582" spans="1:5" ht="15.75" x14ac:dyDescent="0.25">
      <c r="A6582" s="14">
        <v>1018413529</v>
      </c>
      <c r="B6582" s="2">
        <v>46153.369377893519</v>
      </c>
      <c r="C6582" s="3" t="str">
        <f>IFERROR(VLOOKUP(A6582,'Base Prueba'!A:C,3,),"NO REGISTRA")</f>
        <v>FRANCY STELLA CHARRY MORENO</v>
      </c>
      <c r="D6582" s="4" t="str">
        <f>IFERROR(VLOOKUP(A6582,'Base Prueba'!A:D,4,),"NO REGISTRA")</f>
        <v>PROMOTOR COMERCIAL DEL CEA</v>
      </c>
      <c r="E6582" s="5" t="str">
        <f>IFERROR(VLOOKUP(A6582,'Base Prueba'!A:E,5,),"NO REGISTRA")</f>
        <v>OFICINA DE MERCADEO</v>
      </c>
    </row>
    <row r="6583" spans="1:5" ht="15.75" x14ac:dyDescent="0.25">
      <c r="A6583" s="14">
        <v>1000604979</v>
      </c>
      <c r="B6583" s="2">
        <v>46153.370912962964</v>
      </c>
      <c r="C6583" s="3" t="str">
        <f>IFERROR(VLOOKUP(A6583,'Base Prueba'!A:C,3,),"NO REGISTRA")</f>
        <v>JULIETH TATIANA PARDO PINTO</v>
      </c>
      <c r="D6583" s="4" t="str">
        <f>IFERROR(VLOOKUP(A6583,'Base Prueba'!A:D,4,),"NO REGISTRA")</f>
        <v>AUXILIAR JURIDICO</v>
      </c>
      <c r="E6583" s="5" t="str">
        <f>IFERROR(VLOOKUP(A6583,'Base Prueba'!A:E,5,),"NO REGISTRA")</f>
        <v>SECRETARIA GENERAL</v>
      </c>
    </row>
    <row r="6584" spans="1:5" ht="15.75" x14ac:dyDescent="0.25">
      <c r="A6584" s="14">
        <v>1013101788</v>
      </c>
      <c r="B6584" s="2">
        <v>46153.371676041665</v>
      </c>
      <c r="C6584" s="3" t="str">
        <f>IFERROR(VLOOKUP(A6584,'Base Prueba'!A:C,3,),"NO REGISTRA")</f>
        <v>SARA TANGARIFE MONTOYA</v>
      </c>
      <c r="D6584" s="4" t="str">
        <f>IFERROR(VLOOKUP(A6584,'Base Prueba'!A:D,4,),"NO REGISTRA")</f>
        <v>APRENDIZ UNIVERSITARIO</v>
      </c>
      <c r="E6584" s="5" t="str">
        <f>IFERROR(VLOOKUP(A6584,'Base Prueba'!A:E,5,),"NO REGISTRA")</f>
        <v>OFICINA DE MERCADEO</v>
      </c>
    </row>
    <row r="6585" spans="1:5" ht="15.75" x14ac:dyDescent="0.25">
      <c r="A6585" s="14">
        <v>1000046533</v>
      </c>
      <c r="B6585" s="2">
        <v>46153.371757986111</v>
      </c>
      <c r="C6585" s="3" t="str">
        <f>IFERROR(VLOOKUP(A6585,'Base Prueba'!A:C,3,),"NO REGISTRA")</f>
        <v>ERIKA JULIETH VALDERRAMA SANCHEZ</v>
      </c>
      <c r="D6585" s="4" t="str">
        <f>IFERROR(VLOOKUP(A6585,'Base Prueba'!A:D,4,),"NO REGISTRA")</f>
        <v>PROMOTOR CALL CENTER</v>
      </c>
      <c r="E6585" s="5" t="str">
        <f>IFERROR(VLOOKUP(A6585,'Base Prueba'!A:E,5,),"NO REGISTRA")</f>
        <v>OFICINA DE MERCADEO</v>
      </c>
    </row>
    <row r="6586" spans="1:5" ht="15.75" x14ac:dyDescent="0.25">
      <c r="A6586" s="14">
        <v>1032407386</v>
      </c>
      <c r="B6586" s="2">
        <v>46153.372585763886</v>
      </c>
      <c r="C6586" s="3" t="str">
        <f>IFERROR(VLOOKUP(A6586,'Base Prueba'!A:C,3,),"NO REGISTRA")</f>
        <v>GINA PAOLA BAEZ GALVIS</v>
      </c>
      <c r="D6586" s="4" t="str">
        <f>IFERROR(VLOOKUP(A6586,'Base Prueba'!A:D,4,),"NO REGISTRA")</f>
        <v>PROMOTOR CALL CENTER</v>
      </c>
      <c r="E6586" s="5" t="str">
        <f>IFERROR(VLOOKUP(A6586,'Base Prueba'!A:E,5,),"NO REGISTRA")</f>
        <v>OFICINA DE MERCADEO</v>
      </c>
    </row>
    <row r="6587" spans="1:5" ht="15.75" x14ac:dyDescent="0.25">
      <c r="A6587" s="14">
        <v>53089882</v>
      </c>
      <c r="B6587" s="2">
        <v>46153.374007523147</v>
      </c>
      <c r="C6587" s="3" t="str">
        <f>IFERROR(VLOOKUP(A6587,'Base Prueba'!A:C,3,),"NO REGISTRA")</f>
        <v>MARIA JOHANA ESCAMILLA MARTINEZ</v>
      </c>
      <c r="D6587" s="4" t="str">
        <f>IFERROR(VLOOKUP(A6587,'Base Prueba'!A:D,4,),"NO REGISTRA")</f>
        <v>PROMOTOR DE INFORMACIÓN</v>
      </c>
      <c r="E6587" s="5" t="str">
        <f>IFERROR(VLOOKUP(A6587,'Base Prueba'!A:E,5,),"NO REGISTRA")</f>
        <v>OFICINA DE MERCADEO</v>
      </c>
    </row>
    <row r="6588" spans="1:5" ht="15.75" x14ac:dyDescent="0.25">
      <c r="A6588" s="14">
        <v>1012426741</v>
      </c>
      <c r="B6588" s="2">
        <v>46153.374192708332</v>
      </c>
      <c r="C6588" s="3" t="str">
        <f>IFERROR(VLOOKUP(A6588,'Base Prueba'!A:C,3,),"NO REGISTRA")</f>
        <v>CRISTIAN FABIAN ROJAS SANCENO</v>
      </c>
      <c r="D6588" s="4" t="str">
        <f>IFERROR(VLOOKUP(A6588,'Base Prueba'!A:D,4,),"NO REGISTRA")</f>
        <v>AUXILIAR DE REINTEGROS</v>
      </c>
      <c r="E6588" s="5" t="str">
        <f>IFERROR(VLOOKUP(A6588,'Base Prueba'!A:E,5,),"NO REGISTRA")</f>
        <v>DIRECCION DE BIENESTAR INSTITUCIONAL</v>
      </c>
    </row>
    <row r="6589" spans="1:5" ht="15.75" x14ac:dyDescent="0.25">
      <c r="A6589" s="14">
        <v>1014196857</v>
      </c>
      <c r="B6589" s="2">
        <v>46153.375510300924</v>
      </c>
      <c r="C6589" s="3" t="str">
        <f>IFERROR(VLOOKUP(A6589,'Base Prueba'!A:C,3,),"NO REGISTRA")</f>
        <v>CARLOS ANDRES JIMENEZ PARDO</v>
      </c>
      <c r="D6589" s="4" t="str">
        <f>IFERROR(VLOOKUP(A6589,'Base Prueba'!A:D,4,),"NO REGISTRA")</f>
        <v>COORDINADOR DE MARKETING DIGITAL</v>
      </c>
      <c r="E6589" s="5" t="str">
        <f>IFERROR(VLOOKUP(A6589,'Base Prueba'!A:E,5,),"NO REGISTRA")</f>
        <v>OFICINA DE MERCADEO</v>
      </c>
    </row>
    <row r="6590" spans="1:5" ht="15.75" x14ac:dyDescent="0.25">
      <c r="A6590" s="14">
        <v>1016090131</v>
      </c>
      <c r="B6590" s="2">
        <v>46153.38258784722</v>
      </c>
      <c r="C6590" s="3" t="str">
        <f>IFERROR(VLOOKUP(A6590,'Base Prueba'!A:C,3,),"NO REGISTRA")</f>
        <v>NICOLAS RODRIGUEZ PACHECO</v>
      </c>
      <c r="D6590" s="4" t="str">
        <f>IFERROR(VLOOKUP(A6590,'Base Prueba'!A:D,4,),"NO REGISTRA")</f>
        <v>COORDINADOR DE COMUNICACIONES</v>
      </c>
      <c r="E6590" s="5" t="str">
        <f>IFERROR(VLOOKUP(A6590,'Base Prueba'!A:E,5,),"NO REGISTRA")</f>
        <v>OFICINA DE MERCADEO</v>
      </c>
    </row>
    <row r="6591" spans="1:5" ht="15.75" x14ac:dyDescent="0.25">
      <c r="A6591" s="14">
        <v>52472386</v>
      </c>
      <c r="B6591" s="2">
        <v>46153.40834814815</v>
      </c>
      <c r="C6591" s="3" t="str">
        <f>IFERROR(VLOOKUP(A6591,'Base Prueba'!A:C,3,),"NO REGISTRA")</f>
        <v>ADRIANA MARCELA MORALES PARDO</v>
      </c>
      <c r="D6591" s="4" t="str">
        <f>IFERROR(VLOOKUP(A6591,'Base Prueba'!A:D,4,),"NO REGISTRA")</f>
        <v>PROMOTOR CALL CENTER</v>
      </c>
      <c r="E6591" s="5" t="str">
        <f>IFERROR(VLOOKUP(A6591,'Base Prueba'!A:E,5,),"NO REGISTRA")</f>
        <v>OFICINA DE MERCADEO</v>
      </c>
    </row>
    <row r="6592" spans="1:5" ht="15.75" x14ac:dyDescent="0.25">
      <c r="A6592" s="14">
        <v>1023961952</v>
      </c>
      <c r="B6592" s="2">
        <v>46153.4169744213</v>
      </c>
      <c r="C6592" s="3" t="str">
        <f>IFERROR(VLOOKUP(A6592,'Base Prueba'!A:C,3,),"NO REGISTRA")</f>
        <v>ALEJANDRO PINZON MERCHAN</v>
      </c>
      <c r="D6592" s="4" t="str">
        <f>IFERROR(VLOOKUP(A6592,'Base Prueba'!A:D,4,),"NO REGISTRA")</f>
        <v>PROMOTOR CALL CENTER</v>
      </c>
      <c r="E6592" s="5" t="str">
        <f>IFERROR(VLOOKUP(A6592,'Base Prueba'!A:E,5,),"NO REGISTRA")</f>
        <v>OFICINA DE MERCADEO</v>
      </c>
    </row>
    <row r="6593" spans="1:5" ht="15.75" x14ac:dyDescent="0.25">
      <c r="A6593" s="14">
        <v>52443092</v>
      </c>
      <c r="B6593" s="2">
        <v>46153.545638888892</v>
      </c>
      <c r="C6593" s="3" t="str">
        <f>IFERROR(VLOOKUP(A6593,'Base Prueba'!A:C,3,),"NO REGISTRA")</f>
        <v>LUZ MYRIAM SAAVEDRA CONTRERAS</v>
      </c>
      <c r="D6593" s="4" t="str">
        <f>IFERROR(VLOOKUP(A6593,'Base Prueba'!A:D,4,),"NO REGISTRA")</f>
        <v>AUXILIAR DE SERVICIOS</v>
      </c>
      <c r="E6593" s="5" t="str">
        <f>IFERROR(VLOOKUP(A6593,'Base Prueba'!A:E,5,),"NO REGISTRA")</f>
        <v>LOGISTICA Y SERVICIOS GENERALES</v>
      </c>
    </row>
    <row r="6594" spans="1:5" ht="15.75" x14ac:dyDescent="0.25">
      <c r="A6594" s="14">
        <v>52443092</v>
      </c>
      <c r="B6594" s="2">
        <v>46153.545657523151</v>
      </c>
      <c r="C6594" s="3" t="str">
        <f>IFERROR(VLOOKUP(A6594,'Base Prueba'!A:C,3,),"NO REGISTRA")</f>
        <v>LUZ MYRIAM SAAVEDRA CONTRERAS</v>
      </c>
      <c r="D6594" s="4" t="str">
        <f>IFERROR(VLOOKUP(A6594,'Base Prueba'!A:D,4,),"NO REGISTRA")</f>
        <v>AUXILIAR DE SERVICIOS</v>
      </c>
      <c r="E6594" s="5" t="str">
        <f>IFERROR(VLOOKUP(A6594,'Base Prueba'!A:E,5,),"NO REGISTRA")</f>
        <v>LOGISTICA Y SERVICIOS GENERALES</v>
      </c>
    </row>
    <row r="6595" spans="1:5" ht="15.75" x14ac:dyDescent="0.25">
      <c r="A6595" s="14">
        <v>1019105003</v>
      </c>
      <c r="B6595" s="2">
        <v>46153.602212847225</v>
      </c>
      <c r="C6595" s="3" t="str">
        <f>IFERROR(VLOOKUP(A6595,'Base Prueba'!A:C,3,),"NO REGISTRA")</f>
        <v>DAISY JULIETH GASPAR MORENO</v>
      </c>
      <c r="D6595" s="4" t="str">
        <f>IFERROR(VLOOKUP(A6595,'Base Prueba'!A:D,4,),"NO REGISTRA")</f>
        <v>PROMOTOR CALL CENTER</v>
      </c>
      <c r="E6595" s="5" t="str">
        <f>IFERROR(VLOOKUP(A6595,'Base Prueba'!A:E,5,),"NO REGISTRA")</f>
        <v>OFICINA DE MERCADEO</v>
      </c>
    </row>
    <row r="6596" spans="1:5" ht="15.75" x14ac:dyDescent="0.25">
      <c r="A6596" s="14">
        <v>1014266838</v>
      </c>
      <c r="B6596" s="2">
        <v>46153.672733680556</v>
      </c>
      <c r="C6596" s="3" t="str">
        <f>IFERROR(VLOOKUP(A6596,'Base Prueba'!A:C,3,),"NO REGISTRA")</f>
        <v>JENNIFER ASTRID ROMERO HURTADO</v>
      </c>
      <c r="D6596" s="4" t="str">
        <f>IFERROR(VLOOKUP(A6596,'Base Prueba'!A:D,4,),"NO REGISTRA")</f>
        <v>LIDER DE RECAUDO</v>
      </c>
      <c r="E6596" s="5" t="str">
        <f>IFERROR(VLOOKUP(A6596,'Base Prueba'!A:E,5,),"NO REGISTRA")</f>
        <v>AREA FINANCIERA Y CONTABLE</v>
      </c>
    </row>
    <row r="6597" spans="1:5" ht="15.75" x14ac:dyDescent="0.25">
      <c r="A6597" s="14">
        <v>1000611958</v>
      </c>
      <c r="B6597" s="2">
        <v>46153.715449421295</v>
      </c>
      <c r="C6597" s="3" t="str">
        <f>IFERROR(VLOOKUP(A6597,'Base Prueba'!A:C,3,),"NO REGISTRA")</f>
        <v>TYLER CORRADINE  VARGAS</v>
      </c>
      <c r="D6597" s="4" t="str">
        <f>IFERROR(VLOOKUP(A6597,'Base Prueba'!A:D,4,),"NO REGISTRA")</f>
        <v>APRENDIZ UNIVERSITARIO</v>
      </c>
      <c r="E6597" s="5" t="str">
        <f>IFERROR(VLOOKUP(A6597,'Base Prueba'!A:E,5,),"NO REGISTRA")</f>
        <v>DEPARTAMENTO DE INFORMATICA Y TECNOLOGIA</v>
      </c>
    </row>
    <row r="6598" spans="1:5" ht="15.75" x14ac:dyDescent="0.25">
      <c r="A6598" s="14">
        <v>1013098430</v>
      </c>
      <c r="B6598" s="2">
        <v>46153.719495717596</v>
      </c>
      <c r="C6598" s="3" t="str">
        <f>IFERROR(VLOOKUP(A6598,'Base Prueba'!A:C,3,),"NO REGISTRA")</f>
        <v>ANDRES FELIPE LOPEZ ROMERO</v>
      </c>
      <c r="D6598" s="4" t="str">
        <f>IFERROR(VLOOKUP(A6598,'Base Prueba'!A:D,4,),"NO REGISTRA")</f>
        <v>APRENDIZ UNIVERSITARIO</v>
      </c>
      <c r="E6598" s="5" t="str">
        <f>IFERROR(VLOOKUP(A6598,'Base Prueba'!A:E,5,),"NO REGISTRA")</f>
        <v>OFICINA DE MERCADEO</v>
      </c>
    </row>
    <row r="6599" spans="1:5" ht="15.75" x14ac:dyDescent="0.25">
      <c r="A6599" s="14">
        <v>1024512067</v>
      </c>
      <c r="B6599" s="2">
        <v>46153.721681365743</v>
      </c>
      <c r="C6599" s="3" t="str">
        <f>IFERROR(VLOOKUP(A6599,'Base Prueba'!A:C,3,),"NO REGISTRA")</f>
        <v>CINDY GIOVANA SALGAR GOMEZ</v>
      </c>
      <c r="D6599" s="4" t="str">
        <f>IFERROR(VLOOKUP(A6599,'Base Prueba'!A:D,4,),"NO REGISTRA")</f>
        <v>COORDINADOR DEL SISTEMA INTEGRADO DE GESTION INSTITUCIONAL - SIGI</v>
      </c>
      <c r="E6599" s="5" t="str">
        <f>IFERROR(VLOOKUP(A6599,'Base Prueba'!A:E,5,),"NO REGISTRA")</f>
        <v>OFICINA DE PLANEACION Y GESTION DE LA CALIDAD</v>
      </c>
    </row>
    <row r="6600" spans="1:5" ht="15.75" x14ac:dyDescent="0.25">
      <c r="A6600" s="14">
        <v>1000593372</v>
      </c>
      <c r="B6600" s="2">
        <v>46153.748570138887</v>
      </c>
      <c r="C6600" s="3" t="str">
        <f>IFERROR(VLOOKUP(A6600,'Base Prueba'!A:C,3,),"NO REGISTRA")</f>
        <v>LAURA SOFIA CHAPARRO LOPEZ</v>
      </c>
      <c r="D6600" s="4" t="str">
        <f>IFERROR(VLOOKUP(A6600,'Base Prueba'!A:D,4,),"NO REGISTRA")</f>
        <v>AUXILIAR JURIDICO</v>
      </c>
      <c r="E6600" s="5" t="str">
        <f>IFERROR(VLOOKUP(A6600,'Base Prueba'!A:E,5,),"NO REGISTRA")</f>
        <v>SECRETARIA GENERAL</v>
      </c>
    </row>
    <row r="6601" spans="1:5" ht="15.75" x14ac:dyDescent="0.25">
      <c r="A6601" s="14">
        <v>1000604979</v>
      </c>
      <c r="B6601" s="2">
        <v>46153.748622800929</v>
      </c>
      <c r="C6601" s="3" t="str">
        <f>IFERROR(VLOOKUP(A6601,'Base Prueba'!A:C,3,),"NO REGISTRA")</f>
        <v>JULIETH TATIANA PARDO PINTO</v>
      </c>
      <c r="D6601" s="4" t="str">
        <f>IFERROR(VLOOKUP(A6601,'Base Prueba'!A:D,4,),"NO REGISTRA")</f>
        <v>AUXILIAR JURIDICO</v>
      </c>
      <c r="E6601" s="5" t="str">
        <f>IFERROR(VLOOKUP(A6601,'Base Prueba'!A:E,5,),"NO REGISTRA")</f>
        <v>SECRETARIA GENERAL</v>
      </c>
    </row>
    <row r="6602" spans="1:5" ht="15.75" x14ac:dyDescent="0.25">
      <c r="A6602" s="14">
        <v>1012426741</v>
      </c>
      <c r="B6602" s="2">
        <v>46153.750149768515</v>
      </c>
      <c r="C6602" s="3" t="str">
        <f>IFERROR(VLOOKUP(A6602,'Base Prueba'!A:C,3,),"NO REGISTRA")</f>
        <v>CRISTIAN FABIAN ROJAS SANCENO</v>
      </c>
      <c r="D6602" s="4" t="str">
        <f>IFERROR(VLOOKUP(A6602,'Base Prueba'!A:D,4,),"NO REGISTRA")</f>
        <v>AUXILIAR DE REINTEGROS</v>
      </c>
      <c r="E6602" s="5" t="str">
        <f>IFERROR(VLOOKUP(A6602,'Base Prueba'!A:E,5,),"NO REGISTRA")</f>
        <v>DIRECCION DE BIENESTAR INSTITUCIONAL</v>
      </c>
    </row>
    <row r="6603" spans="1:5" ht="15.75" x14ac:dyDescent="0.25">
      <c r="A6603" s="14">
        <v>1000467399</v>
      </c>
      <c r="B6603" s="2">
        <v>46153.75039814815</v>
      </c>
      <c r="C6603" s="3" t="str">
        <f>IFERROR(VLOOKUP(A6603,'Base Prueba'!A:C,3,),"NO REGISTRA")</f>
        <v>BRANDO ESTIVEN DIAZ QUIMBAYA</v>
      </c>
      <c r="D6603" s="4" t="str">
        <f>IFERROR(VLOOKUP(A6603,'Base Prueba'!A:D,4,),"NO REGISTRA")</f>
        <v>APRENDIZ UNIVERSITARIO</v>
      </c>
      <c r="E6603" s="5" t="str">
        <f>IFERROR(VLOOKUP(A6603,'Base Prueba'!A:E,5,),"NO REGISTRA")</f>
        <v>DEPARTAMENTO DE GESTION HUMANA</v>
      </c>
    </row>
    <row r="6604" spans="1:5" ht="15.75" x14ac:dyDescent="0.25">
      <c r="A6604" s="14">
        <v>1193457976</v>
      </c>
      <c r="B6604" s="2">
        <v>46153.750518865738</v>
      </c>
      <c r="C6604" s="3" t="str">
        <f>IFERROR(VLOOKUP(A6604,'Base Prueba'!A:C,3,),"NO REGISTRA")</f>
        <v>SEDENIS RIVAS ASPRILLA</v>
      </c>
      <c r="D6604" s="4" t="str">
        <f>IFERROR(VLOOKUP(A6604,'Base Prueba'!A:D,4,),"NO REGISTRA")</f>
        <v>APRENDIZ UNIVERSITARIO</v>
      </c>
      <c r="E6604" s="5" t="str">
        <f>IFERROR(VLOOKUP(A6604,'Base Prueba'!A:E,5,),"NO REGISTRA")</f>
        <v>DEPARTAMENTO DE GESTION HUMANA</v>
      </c>
    </row>
    <row r="6605" spans="1:5" ht="15.75" x14ac:dyDescent="0.25">
      <c r="A6605" s="14">
        <v>1023883232</v>
      </c>
      <c r="B6605" s="2">
        <v>46153.750643518521</v>
      </c>
      <c r="C6605" s="3" t="str">
        <f>IFERROR(VLOOKUP(A6605,'Base Prueba'!A:C,3,),"NO REGISTRA")</f>
        <v>MONICA ANDREA ACERO URBANO</v>
      </c>
      <c r="D6605" s="4" t="str">
        <f>IFERROR(VLOOKUP(A6605,'Base Prueba'!A:D,4,),"NO REGISTRA")</f>
        <v>APOYO INTEGRAL A GESTION HUMANA</v>
      </c>
      <c r="E6605" s="5" t="str">
        <f>IFERROR(VLOOKUP(A6605,'Base Prueba'!A:E,5,),"NO REGISTRA")</f>
        <v>DEPARTAMENTO DE GESTION HUMANA</v>
      </c>
    </row>
    <row r="6606" spans="1:5" ht="15.75" x14ac:dyDescent="0.25">
      <c r="A6606" s="14">
        <v>52225539</v>
      </c>
      <c r="B6606" s="2">
        <v>46153.750808449076</v>
      </c>
      <c r="C6606" s="3" t="str">
        <f>IFERROR(VLOOKUP(A6606,'Base Prueba'!A:C,3,),"NO REGISTRA")</f>
        <v>LISA MINELLY ZAMBRANO CONTRERAS</v>
      </c>
      <c r="D6606" s="4" t="str">
        <f>IFERROR(VLOOKUP(A6606,'Base Prueba'!A:D,4,),"NO REGISTRA")</f>
        <v>LIDER DE COMPRAS</v>
      </c>
      <c r="E6606" s="5" t="str">
        <f>IFERROR(VLOOKUP(A6606,'Base Prueba'!A:E,5,),"NO REGISTRA")</f>
        <v>VICERRECTORIA ADMINISTRATIVA Y FINANCIERA</v>
      </c>
    </row>
    <row r="6607" spans="1:5" ht="15.75" x14ac:dyDescent="0.25">
      <c r="A6607" s="14">
        <v>1013101788</v>
      </c>
      <c r="B6607" s="2">
        <v>46153.750876388891</v>
      </c>
      <c r="C6607" s="3" t="str">
        <f>IFERROR(VLOOKUP(A6607,'Base Prueba'!A:C,3,),"NO REGISTRA")</f>
        <v>SARA TANGARIFE MONTOYA</v>
      </c>
      <c r="D6607" s="4" t="str">
        <f>IFERROR(VLOOKUP(A6607,'Base Prueba'!A:D,4,),"NO REGISTRA")</f>
        <v>APRENDIZ UNIVERSITARIO</v>
      </c>
      <c r="E6607" s="5" t="str">
        <f>IFERROR(VLOOKUP(A6607,'Base Prueba'!A:E,5,),"NO REGISTRA")</f>
        <v>OFICINA DE MERCADEO</v>
      </c>
    </row>
    <row r="6608" spans="1:5" ht="15.75" x14ac:dyDescent="0.25">
      <c r="A6608" s="14">
        <v>1000992568</v>
      </c>
      <c r="B6608" s="2">
        <v>46153.750915856479</v>
      </c>
      <c r="C6608" s="3" t="str">
        <f>IFERROR(VLOOKUP(A6608,'Base Prueba'!A:C,3,),"NO REGISTRA")</f>
        <v>KAREN BRIGITTE DALEMAN MORENO</v>
      </c>
      <c r="D6608" s="4" t="str">
        <f>IFERROR(VLOOKUP(A6608,'Base Prueba'!A:D,4,),"NO REGISTRA")</f>
        <v>RECEPCIONISTA</v>
      </c>
      <c r="E6608" s="5" t="str">
        <f>IFERROR(VLOOKUP(A6608,'Base Prueba'!A:E,5,),"NO REGISTRA")</f>
        <v>CENTRO DE GESTION DOCUMENTAL</v>
      </c>
    </row>
    <row r="6609" spans="1:5" ht="15.75" x14ac:dyDescent="0.25">
      <c r="A6609" s="14">
        <v>1049644802</v>
      </c>
      <c r="B6609" s="2">
        <v>46153.751151504628</v>
      </c>
      <c r="C6609" s="3" t="str">
        <f>IFERROR(VLOOKUP(A6609,'Base Prueba'!A:C,3,),"NO REGISTRA")</f>
        <v>DANIELA ALEXANDRA CIPAMOCHA BOSIGA</v>
      </c>
      <c r="D6609" s="4" t="str">
        <f>IFERROR(VLOOKUP(A6609,'Base Prueba'!A:D,4,),"NO REGISTRA")</f>
        <v>LIDER DE DATOS Y SERVICIOS</v>
      </c>
      <c r="E6609" s="5" t="str">
        <f>IFERROR(VLOOKUP(A6609,'Base Prueba'!A:E,5,),"NO REGISTRA")</f>
        <v>OFICINA DE PLANEACION Y GESTION DE LA CALIDAD</v>
      </c>
    </row>
    <row r="6610" spans="1:5" ht="15.75" x14ac:dyDescent="0.25">
      <c r="A6610" s="14">
        <v>1014308296</v>
      </c>
      <c r="B6610" s="2">
        <v>46153.753004861108</v>
      </c>
      <c r="C6610" s="3" t="str">
        <f>IFERROR(VLOOKUP(A6610,'Base Prueba'!A:C,3,),"NO REGISTRA")</f>
        <v>DARLENE YULIANA MORENO CELEITA</v>
      </c>
      <c r="D6610" s="4" t="str">
        <f>IFERROR(VLOOKUP(A6610,'Base Prueba'!A:D,4,),"NO REGISTRA")</f>
        <v>CAJERO PRINCIPAL</v>
      </c>
      <c r="E6610" s="5" t="str">
        <f>IFERROR(VLOOKUP(A6610,'Base Prueba'!A:E,5,),"NO REGISTRA")</f>
        <v>AREA FINANCIERA Y CONTABLE</v>
      </c>
    </row>
    <row r="6611" spans="1:5" ht="15.75" x14ac:dyDescent="0.25">
      <c r="A6611" s="14">
        <v>1013616244</v>
      </c>
      <c r="B6611" s="2">
        <v>46153.753271527778</v>
      </c>
      <c r="C6611" s="3" t="str">
        <f>IFERROR(VLOOKUP(A6611,'Base Prueba'!A:C,3,),"NO REGISTRA")</f>
        <v>DIANA CAROLINA MARIN BETANCOURT</v>
      </c>
      <c r="D6611" s="4" t="str">
        <f>IFERROR(VLOOKUP(A6611,'Base Prueba'!A:D,4,),"NO REGISTRA")</f>
        <v>AUXILIAR ADMINISTRATIVO</v>
      </c>
      <c r="E6611" s="5" t="str">
        <f>IFERROR(VLOOKUP(A6611,'Base Prueba'!A:E,5,),"NO REGISTRA")</f>
        <v>REGISTRO Y CONTROL ACADEMICO</v>
      </c>
    </row>
    <row r="6612" spans="1:5" ht="15.75" x14ac:dyDescent="0.25">
      <c r="A6612" s="14">
        <v>1033820146</v>
      </c>
      <c r="B6612" s="2">
        <v>46153.75337395833</v>
      </c>
      <c r="C6612" s="3" t="str">
        <f>IFERROR(VLOOKUP(A6612,'Base Prueba'!A:C,3,),"NO REGISTRA")</f>
        <v>JULIETH ALEXANDRA BUSTAMANTE RUIZ</v>
      </c>
      <c r="D6612" s="4" t="str">
        <f>IFERROR(VLOOKUP(A6612,'Base Prueba'!A:D,4,),"NO REGISTRA")</f>
        <v>AUXILIAR ADMINISTRATIVO</v>
      </c>
      <c r="E6612" s="5" t="str">
        <f>IFERROR(VLOOKUP(A6612,'Base Prueba'!A:E,5,),"NO REGISTRA")</f>
        <v>REGISTRO Y CONTROL ACADEMICO</v>
      </c>
    </row>
    <row r="6613" spans="1:5" ht="15.75" x14ac:dyDescent="0.25">
      <c r="A6613" s="14">
        <v>1000324729</v>
      </c>
      <c r="B6613" s="2">
        <v>46153.753435763887</v>
      </c>
      <c r="C6613" s="3" t="str">
        <f>IFERROR(VLOOKUP(A6613,'Base Prueba'!A:C,3,),"NO REGISTRA")</f>
        <v>ANYIE VANESSA TINOCO CAMACHO</v>
      </c>
      <c r="D6613" s="4" t="str">
        <f>IFERROR(VLOOKUP(A6613,'Base Prueba'!A:D,4,),"NO REGISTRA")</f>
        <v>LIDER DE REGISTRO Y CONTROL</v>
      </c>
      <c r="E6613" s="5" t="str">
        <f>IFERROR(VLOOKUP(A6613,'Base Prueba'!A:E,5,),"NO REGISTRA")</f>
        <v>REGISTRO Y CONTROL ACADEMICO</v>
      </c>
    </row>
    <row r="6614" spans="1:5" ht="15.75" x14ac:dyDescent="0.25">
      <c r="A6614" s="14">
        <v>1024505434</v>
      </c>
      <c r="B6614" s="2">
        <v>46153.755155555555</v>
      </c>
      <c r="C6614" s="3" t="str">
        <f>IFERROR(VLOOKUP(A6614,'Base Prueba'!A:C,3,),"NO REGISTRA")</f>
        <v>CRISTIAN ALBERTO MELO TORRES</v>
      </c>
      <c r="D6614" s="4" t="str">
        <f>IFERROR(VLOOKUP(A6614,'Base Prueba'!A:D,4,),"NO REGISTRA")</f>
        <v>COORDINADOR DE INFRAESTRUCTURA</v>
      </c>
      <c r="E6614" s="5" t="str">
        <f>IFERROR(VLOOKUP(A6614,'Base Prueba'!A:E,5,),"NO REGISTRA")</f>
        <v>VICERRECTORIA ADMINISTRATIVA Y FINANCIERA</v>
      </c>
    </row>
    <row r="6615" spans="1:5" ht="15.75" x14ac:dyDescent="0.25">
      <c r="A6615" s="14">
        <v>1014977624</v>
      </c>
      <c r="B6615" s="2">
        <v>46153.756026041665</v>
      </c>
      <c r="C6615" s="3" t="str">
        <f>IFERROR(VLOOKUP(A6615,'Base Prueba'!A:C,3,),"NO REGISTRA")</f>
        <v>NICCOLE VALENTINA HERNANDEZ MALAVER</v>
      </c>
      <c r="D6615" s="4" t="str">
        <f>IFERROR(VLOOKUP(A6615,'Base Prueba'!A:D,4,),"NO REGISTRA")</f>
        <v>APRENDIZ UNIVERSITARIO</v>
      </c>
      <c r="E6615" s="5" t="str">
        <f>IFERROR(VLOOKUP(A6615,'Base Prueba'!A:E,5,),"NO REGISTRA")</f>
        <v>AREA FINANCIERA Y CONTABLE</v>
      </c>
    </row>
    <row r="6616" spans="1:5" ht="15.75" x14ac:dyDescent="0.25">
      <c r="A6616" s="14">
        <v>1000046533</v>
      </c>
      <c r="B6616" s="2">
        <v>46153.756152430557</v>
      </c>
      <c r="C6616" s="3" t="str">
        <f>IFERROR(VLOOKUP(A6616,'Base Prueba'!A:C,3,),"NO REGISTRA")</f>
        <v>ERIKA JULIETH VALDERRAMA SANCHEZ</v>
      </c>
      <c r="D6616" s="4" t="str">
        <f>IFERROR(VLOOKUP(A6616,'Base Prueba'!A:D,4,),"NO REGISTRA")</f>
        <v>PROMOTOR CALL CENTER</v>
      </c>
      <c r="E6616" s="5" t="str">
        <f>IFERROR(VLOOKUP(A6616,'Base Prueba'!A:E,5,),"NO REGISTRA")</f>
        <v>OFICINA DE MERCADEO</v>
      </c>
    </row>
    <row r="6617" spans="1:5" ht="15.75" x14ac:dyDescent="0.25">
      <c r="A6617" s="14">
        <v>52175674</v>
      </c>
      <c r="B6617" s="2">
        <v>46153.757207407405</v>
      </c>
      <c r="C6617" s="3" t="str">
        <f>IFERROR(VLOOKUP(A6617,'Base Prueba'!A:C,3,),"NO REGISTRA")</f>
        <v>LUZ YANETH GOMEZ AREVALO</v>
      </c>
      <c r="D6617" s="4" t="str">
        <f>IFERROR(VLOOKUP(A6617,'Base Prueba'!A:D,4,),"NO REGISTRA")</f>
        <v>COORDINADORA DE ADMISIONES</v>
      </c>
      <c r="E6617" s="5" t="str">
        <f>IFERROR(VLOOKUP(A6617,'Base Prueba'!A:E,5,),"NO REGISTRA")</f>
        <v>OFICINA DE MERCADEO</v>
      </c>
    </row>
    <row r="6618" spans="1:5" ht="15.75" x14ac:dyDescent="0.25">
      <c r="A6618" s="14">
        <v>1000257136</v>
      </c>
      <c r="B6618" s="2">
        <v>46153.758155787036</v>
      </c>
      <c r="C6618" s="3" t="str">
        <f>IFERROR(VLOOKUP(A6618,'Base Prueba'!A:C,3,),"NO REGISTRA")</f>
        <v>FRANCI VALENTINA CANO PUENTES</v>
      </c>
      <c r="D6618" s="4" t="str">
        <f>IFERROR(VLOOKUP(A6618,'Base Prueba'!A:D,4,),"NO REGISTRA")</f>
        <v>AUXILIAR CONTABLE</v>
      </c>
      <c r="E6618" s="5" t="str">
        <f>IFERROR(VLOOKUP(A6618,'Base Prueba'!A:E,5,),"NO REGISTRA")</f>
        <v>AREA FINANCIERA Y CONTABLE</v>
      </c>
    </row>
    <row r="6619" spans="1:5" ht="15.75" x14ac:dyDescent="0.25">
      <c r="A6619" s="14">
        <v>1087121273</v>
      </c>
      <c r="B6619" s="2">
        <v>46153.758574884261</v>
      </c>
      <c r="C6619" s="3" t="str">
        <f>IFERROR(VLOOKUP(A6619,'Base Prueba'!A:C,3,),"NO REGISTRA")</f>
        <v>MAYRA ALEJANDRA CASTILLO ARBOLEDA</v>
      </c>
      <c r="D6619" s="4" t="str">
        <f>IFERROR(VLOOKUP(A6619,'Base Prueba'!A:D,4,),"NO REGISTRA")</f>
        <v>APOYO INTEGRAL DE MERCADEO</v>
      </c>
      <c r="E6619" s="5" t="str">
        <f>IFERROR(VLOOKUP(A6619,'Base Prueba'!A:E,5,),"NO REGISTRA")</f>
        <v>CENTRO DE GESTION DOCUMENTAL</v>
      </c>
    </row>
    <row r="6620" spans="1:5" ht="15.75" x14ac:dyDescent="0.25">
      <c r="A6620" s="14">
        <v>1033709056</v>
      </c>
      <c r="B6620" s="2">
        <v>46153.759135763888</v>
      </c>
      <c r="C6620" s="3" t="str">
        <f>IFERROR(VLOOKUP(A6620,'Base Prueba'!A:C,3,),"NO REGISTRA")</f>
        <v>YEIMY ALEXANDRA RODRIGUEZ PALACIO</v>
      </c>
      <c r="D6620" s="4" t="str">
        <f>IFERROR(VLOOKUP(A6620,'Base Prueba'!A:D,4,),"NO REGISTRA")</f>
        <v>PROMOTOR CALL CENTER</v>
      </c>
      <c r="E6620" s="5" t="str">
        <f>IFERROR(VLOOKUP(A6620,'Base Prueba'!A:E,5,),"NO REGISTRA")</f>
        <v>OFICINA DE MERCADEO</v>
      </c>
    </row>
    <row r="6621" spans="1:5" ht="15.75" x14ac:dyDescent="0.25">
      <c r="A6621" s="14">
        <v>1000457706</v>
      </c>
      <c r="B6621" s="2">
        <v>46153.759604166669</v>
      </c>
      <c r="C6621" s="3" t="str">
        <f>IFERROR(VLOOKUP(A6621,'Base Prueba'!A:C,3,),"NO REGISTRA")</f>
        <v>CRISTIAN DANILO ARROYO SANABRIA</v>
      </c>
      <c r="D6621" s="4" t="str">
        <f>IFERROR(VLOOKUP(A6621,'Base Prueba'!A:D,4,),"NO REGISTRA")</f>
        <v>AUXILIAR CONTABLE</v>
      </c>
      <c r="E6621" s="5" t="str">
        <f>IFERROR(VLOOKUP(A6621,'Base Prueba'!A:E,5,),"NO REGISTRA")</f>
        <v>AREA FINANCIERA Y CONTABLE</v>
      </c>
    </row>
    <row r="6622" spans="1:5" ht="15.75" x14ac:dyDescent="0.25">
      <c r="A6622" s="14">
        <v>80191732</v>
      </c>
      <c r="B6622" s="2">
        <v>46153.760308912038</v>
      </c>
      <c r="C6622" s="3" t="str">
        <f>IFERROR(VLOOKUP(A6622,'Base Prueba'!A:C,3,),"NO REGISTRA")</f>
        <v>DANIEL MAURICIO ZAMBRANO TUNJANO</v>
      </c>
      <c r="D6622" s="4" t="str">
        <f>IFERROR(VLOOKUP(A6622,'Base Prueba'!A:D,4,),"NO REGISTRA")</f>
        <v>COORDINADOR DE DISEÑO E IMAGEN INSTITUCIONAL</v>
      </c>
      <c r="E6622" s="5" t="str">
        <f>IFERROR(VLOOKUP(A6622,'Base Prueba'!A:E,5,),"NO REGISTRA")</f>
        <v>OFICINA DE MERCADEO</v>
      </c>
    </row>
    <row r="6623" spans="1:5" ht="15.75" x14ac:dyDescent="0.25">
      <c r="A6623" s="14">
        <v>52474489</v>
      </c>
      <c r="B6623" s="2">
        <v>46153.761522916669</v>
      </c>
      <c r="C6623" s="3" t="str">
        <f>IFERROR(VLOOKUP(A6623,'Base Prueba'!A:C,3,),"NO REGISTRA")</f>
        <v>ADRIANA JIMENA SOTO BOCANEGRA</v>
      </c>
      <c r="D6623" s="4" t="str">
        <f>IFERROR(VLOOKUP(A6623,'Base Prueba'!A:D,4,),"NO REGISTRA")</f>
        <v>COORDINADOR DE LA OFICINA DE REGISTRO Y CONTROL</v>
      </c>
      <c r="E6623" s="5" t="str">
        <f>IFERROR(VLOOKUP(A6623,'Base Prueba'!A:E,5,),"NO REGISTRA")</f>
        <v>REGISTRO Y CONTROL ACADEMICO</v>
      </c>
    </row>
    <row r="6624" spans="1:5" ht="15.75" x14ac:dyDescent="0.25">
      <c r="A6624" s="14">
        <v>53089882</v>
      </c>
      <c r="B6624" s="2">
        <v>46153.765138773146</v>
      </c>
      <c r="C6624" s="3" t="str">
        <f>IFERROR(VLOOKUP(A6624,'Base Prueba'!A:C,3,),"NO REGISTRA")</f>
        <v>MARIA JOHANA ESCAMILLA MARTINEZ</v>
      </c>
      <c r="D6624" s="4" t="str">
        <f>IFERROR(VLOOKUP(A6624,'Base Prueba'!A:D,4,),"NO REGISTRA")</f>
        <v>PROMOTOR DE INFORMACIÓN</v>
      </c>
      <c r="E6624" s="5" t="str">
        <f>IFERROR(VLOOKUP(A6624,'Base Prueba'!A:E,5,),"NO REGISTRA")</f>
        <v>OFICINA DE MERCADEO</v>
      </c>
    </row>
    <row r="6625" spans="1:5" ht="15.75" x14ac:dyDescent="0.25">
      <c r="A6625" s="14">
        <v>1032407386</v>
      </c>
      <c r="B6625" s="2">
        <v>46153.76655335648</v>
      </c>
      <c r="C6625" s="3" t="str">
        <f>IFERROR(VLOOKUP(A6625,'Base Prueba'!A:C,3,),"NO REGISTRA")</f>
        <v>GINA PAOLA BAEZ GALVIS</v>
      </c>
      <c r="D6625" s="4" t="str">
        <f>IFERROR(VLOOKUP(A6625,'Base Prueba'!A:D,4,),"NO REGISTRA")</f>
        <v>PROMOTOR CALL CENTER</v>
      </c>
      <c r="E6625" s="5" t="str">
        <f>IFERROR(VLOOKUP(A6625,'Base Prueba'!A:E,5,),"NO REGISTRA")</f>
        <v>OFICINA DE MERCADEO</v>
      </c>
    </row>
    <row r="6626" spans="1:5" ht="15.75" x14ac:dyDescent="0.25">
      <c r="A6626" s="14">
        <v>1018413529</v>
      </c>
      <c r="B6626" s="2">
        <v>46153.766603935183</v>
      </c>
      <c r="C6626" s="3" t="str">
        <f>IFERROR(VLOOKUP(A6626,'Base Prueba'!A:C,3,),"NO REGISTRA")</f>
        <v>FRANCY STELLA CHARRY MORENO</v>
      </c>
      <c r="D6626" s="4" t="str">
        <f>IFERROR(VLOOKUP(A6626,'Base Prueba'!A:D,4,),"NO REGISTRA")</f>
        <v>PROMOTOR COMERCIAL DEL CEA</v>
      </c>
      <c r="E6626" s="5" t="str">
        <f>IFERROR(VLOOKUP(A6626,'Base Prueba'!A:E,5,),"NO REGISTRA")</f>
        <v>OFICINA DE MERCADEO</v>
      </c>
    </row>
    <row r="6627" spans="1:5" ht="15.75" x14ac:dyDescent="0.25">
      <c r="A6627" s="14">
        <v>1014196857</v>
      </c>
      <c r="B6627" s="2">
        <v>46153.769284027781</v>
      </c>
      <c r="C6627" s="3" t="str">
        <f>IFERROR(VLOOKUP(A6627,'Base Prueba'!A:C,3,),"NO REGISTRA")</f>
        <v>CARLOS ANDRES JIMENEZ PARDO</v>
      </c>
      <c r="D6627" s="4" t="str">
        <f>IFERROR(VLOOKUP(A6627,'Base Prueba'!A:D,4,),"NO REGISTRA")</f>
        <v>COORDINADOR DE MARKETING DIGITAL</v>
      </c>
      <c r="E6627" s="5" t="str">
        <f>IFERROR(VLOOKUP(A6627,'Base Prueba'!A:E,5,),"NO REGISTRA")</f>
        <v>OFICINA DE MERCADEO</v>
      </c>
    </row>
    <row r="6628" spans="1:5" ht="15.75" x14ac:dyDescent="0.25">
      <c r="A6628" s="14">
        <v>53932358</v>
      </c>
      <c r="B6628" s="2">
        <v>46153.772585648148</v>
      </c>
      <c r="C6628" s="3" t="str">
        <f>IFERROR(VLOOKUP(A6628,'Base Prueba'!A:C,3,),"NO REGISTRA")</f>
        <v>DIANA MADELEYNE GAONA RODRIGUEZ</v>
      </c>
      <c r="D6628" s="4" t="str">
        <f>IFERROR(VLOOKUP(A6628,'Base Prueba'!A:D,4,),"NO REGISTRA")</f>
        <v>CONTADOR</v>
      </c>
      <c r="E6628" s="5" t="str">
        <f>IFERROR(VLOOKUP(A6628,'Base Prueba'!A:E,5,),"NO REGISTRA")</f>
        <v>AREA FINANCIERA Y CONTABLE</v>
      </c>
    </row>
    <row r="6629" spans="1:5" ht="15.75" x14ac:dyDescent="0.25">
      <c r="A6629" s="14">
        <v>80234243</v>
      </c>
      <c r="B6629" s="2">
        <v>46153.775194444446</v>
      </c>
      <c r="C6629" s="3" t="str">
        <f>IFERROR(VLOOKUP(A6629,'Base Prueba'!A:C,3,),"NO REGISTRA")</f>
        <v>ARGENIS MARTINEZ MARTINEZ</v>
      </c>
      <c r="D6629" s="4" t="str">
        <f>IFERROR(VLOOKUP(A6629,'Base Prueba'!A:D,4,),"NO REGISTRA")</f>
        <v>LIDER CALL CENTER</v>
      </c>
      <c r="E6629" s="5" t="str">
        <f>IFERROR(VLOOKUP(A6629,'Base Prueba'!A:E,5,),"NO REGISTRA")</f>
        <v>OFICINA DE MERCADEO</v>
      </c>
    </row>
    <row r="6630" spans="1:5" ht="15.75" x14ac:dyDescent="0.25">
      <c r="A6630" s="14">
        <v>52472386</v>
      </c>
      <c r="B6630" s="2">
        <v>46153.780845833331</v>
      </c>
      <c r="C6630" s="3" t="str">
        <f>IFERROR(VLOOKUP(A6630,'Base Prueba'!A:C,3,),"NO REGISTRA")</f>
        <v>ADRIANA MARCELA MORALES PARDO</v>
      </c>
      <c r="D6630" s="4" t="str">
        <f>IFERROR(VLOOKUP(A6630,'Base Prueba'!A:D,4,),"NO REGISTRA")</f>
        <v>PROMOTOR CALL CENTER</v>
      </c>
      <c r="E6630" s="5" t="str">
        <f>IFERROR(VLOOKUP(A6630,'Base Prueba'!A:E,5,),"NO REGISTRA")</f>
        <v>OFICINA DE MERCADEO</v>
      </c>
    </row>
    <row r="6631" spans="1:5" ht="15.75" x14ac:dyDescent="0.25">
      <c r="A6631" s="14">
        <v>1023961952</v>
      </c>
      <c r="B6631" s="2">
        <v>46153.804428009258</v>
      </c>
      <c r="C6631" s="3" t="str">
        <f>IFERROR(VLOOKUP(A6631,'Base Prueba'!A:C,3,),"NO REGISTRA")</f>
        <v>ALEJANDRO PINZON MERCHAN</v>
      </c>
      <c r="D6631" s="4" t="str">
        <f>IFERROR(VLOOKUP(A6631,'Base Prueba'!A:D,4,),"NO REGISTRA")</f>
        <v>PROMOTOR CALL CENTER</v>
      </c>
      <c r="E6631" s="5" t="str">
        <f>IFERROR(VLOOKUP(A6631,'Base Prueba'!A:E,5,),"NO REGISTRA")</f>
        <v>OFICINA DE MERCADEO</v>
      </c>
    </row>
    <row r="6632" spans="1:5" ht="15.75" x14ac:dyDescent="0.25">
      <c r="A6632" s="14">
        <v>1013616244</v>
      </c>
      <c r="B6632" s="2">
        <v>46154.310545601853</v>
      </c>
      <c r="C6632" s="3" t="str">
        <f>IFERROR(VLOOKUP(A6632,'Base Prueba'!A:C,3,),"NO REGISTRA")</f>
        <v>DIANA CAROLINA MARIN BETANCOURT</v>
      </c>
      <c r="D6632" s="4" t="str">
        <f>IFERROR(VLOOKUP(A6632,'Base Prueba'!A:D,4,),"NO REGISTRA")</f>
        <v>AUXILIAR ADMINISTRATIVO</v>
      </c>
      <c r="E6632" s="5" t="str">
        <f>IFERROR(VLOOKUP(A6632,'Base Prueba'!A:E,5,),"NO REGISTRA")</f>
        <v>REGISTRO Y CONTROL ACADEMICO</v>
      </c>
    </row>
    <row r="6633" spans="1:5" ht="15.75" x14ac:dyDescent="0.25">
      <c r="A6633" s="14">
        <v>1024512067</v>
      </c>
      <c r="B6633" s="2">
        <v>46154.311941898151</v>
      </c>
      <c r="C6633" s="3" t="str">
        <f>IFERROR(VLOOKUP(A6633,'Base Prueba'!A:C,3,),"NO REGISTRA")</f>
        <v>CINDY GIOVANA SALGAR GOMEZ</v>
      </c>
      <c r="D6633" s="4" t="str">
        <f>IFERROR(VLOOKUP(A6633,'Base Prueba'!A:D,4,),"NO REGISTRA")</f>
        <v>COORDINADOR DEL SISTEMA INTEGRADO DE GESTION INSTITUCIONAL - SIGI</v>
      </c>
      <c r="E6633" s="5" t="str">
        <f>IFERROR(VLOOKUP(A6633,'Base Prueba'!A:E,5,),"NO REGISTRA")</f>
        <v>OFICINA DE PLANEACION Y GESTION DE LA CALIDAD</v>
      </c>
    </row>
    <row r="6634" spans="1:5" ht="15.75" x14ac:dyDescent="0.25">
      <c r="A6634" s="14">
        <v>1032469638</v>
      </c>
      <c r="B6634" s="2">
        <v>46154.315637384258</v>
      </c>
      <c r="C6634" s="3" t="str">
        <f>IFERROR(VLOOKUP(A6634,'Base Prueba'!A:C,3,),"NO REGISTRA")</f>
        <v>MAICOL JARBEY GUALTEROS CASTAÑEDA</v>
      </c>
      <c r="D6634" s="4" t="str">
        <f>IFERROR(VLOOKUP(A6634,'Base Prueba'!A:D,4,),"NO REGISTRA")</f>
        <v>COORDINADOR DEL SISTEMA INTERNO DE ASEGURAMIENTO DE LA CALIDAD - SIAC</v>
      </c>
      <c r="E6634" s="5" t="str">
        <f>IFERROR(VLOOKUP(A6634,'Base Prueba'!A:E,5,),"NO REGISTRA")</f>
        <v>OFICINA DE PLANEACION Y GESTION DE LA CALIDAD</v>
      </c>
    </row>
    <row r="6635" spans="1:5" ht="15.75" x14ac:dyDescent="0.25">
      <c r="A6635" s="14">
        <v>1000992568</v>
      </c>
      <c r="B6635" s="2">
        <v>46154.325131018515</v>
      </c>
      <c r="C6635" s="3" t="str">
        <f>IFERROR(VLOOKUP(A6635,'Base Prueba'!A:C,3,),"NO REGISTRA")</f>
        <v>KAREN BRIGITTE DALEMAN MORENO</v>
      </c>
      <c r="D6635" s="4" t="str">
        <f>IFERROR(VLOOKUP(A6635,'Base Prueba'!A:D,4,),"NO REGISTRA")</f>
        <v>RECEPCIONISTA</v>
      </c>
      <c r="E6635" s="5" t="str">
        <f>IFERROR(VLOOKUP(A6635,'Base Prueba'!A:E,5,),"NO REGISTRA")</f>
        <v>CENTRO DE GESTION DOCUMENTAL</v>
      </c>
    </row>
    <row r="6636" spans="1:5" ht="15.75" x14ac:dyDescent="0.25">
      <c r="A6636" s="14">
        <v>1049644802</v>
      </c>
      <c r="B6636" s="2">
        <v>46154.329172106482</v>
      </c>
      <c r="C6636" s="3" t="str">
        <f>IFERROR(VLOOKUP(A6636,'Base Prueba'!A:C,3,),"NO REGISTRA")</f>
        <v>DANIELA ALEXANDRA CIPAMOCHA BOSIGA</v>
      </c>
      <c r="D6636" s="4" t="str">
        <f>IFERROR(VLOOKUP(A6636,'Base Prueba'!A:D,4,),"NO REGISTRA")</f>
        <v>LIDER DE DATOS Y SERVICIOS</v>
      </c>
      <c r="E6636" s="5" t="str">
        <f>IFERROR(VLOOKUP(A6636,'Base Prueba'!A:E,5,),"NO REGISTRA")</f>
        <v>OFICINA DE PLANEACION Y GESTION DE LA CALIDAD</v>
      </c>
    </row>
    <row r="6637" spans="1:5" ht="15.75" x14ac:dyDescent="0.25">
      <c r="A6637" s="14">
        <v>52225539</v>
      </c>
      <c r="B6637" s="2">
        <v>46154.329732407408</v>
      </c>
      <c r="C6637" s="3" t="str">
        <f>IFERROR(VLOOKUP(A6637,'Base Prueba'!A:C,3,),"NO REGISTRA")</f>
        <v>LISA MINELLY ZAMBRANO CONTRERAS</v>
      </c>
      <c r="D6637" s="4" t="str">
        <f>IFERROR(VLOOKUP(A6637,'Base Prueba'!A:D,4,),"NO REGISTRA")</f>
        <v>LIDER DE COMPRAS</v>
      </c>
      <c r="E6637" s="5" t="str">
        <f>IFERROR(VLOOKUP(A6637,'Base Prueba'!A:E,5,),"NO REGISTRA")</f>
        <v>VICERRECTORIA ADMINISTRATIVA Y FINANCIERA</v>
      </c>
    </row>
    <row r="6638" spans="1:5" ht="15.75" x14ac:dyDescent="0.25">
      <c r="A6638" s="14">
        <v>1000324729</v>
      </c>
      <c r="B6638" s="2">
        <v>46154.332741435188</v>
      </c>
      <c r="C6638" s="3" t="str">
        <f>IFERROR(VLOOKUP(A6638,'Base Prueba'!A:C,3,),"NO REGISTRA")</f>
        <v>ANYIE VANESSA TINOCO CAMACHO</v>
      </c>
      <c r="D6638" s="4" t="str">
        <f>IFERROR(VLOOKUP(A6638,'Base Prueba'!A:D,4,),"NO REGISTRA")</f>
        <v>LIDER DE REGISTRO Y CONTROL</v>
      </c>
      <c r="E6638" s="5" t="str">
        <f>IFERROR(VLOOKUP(A6638,'Base Prueba'!A:E,5,),"NO REGISTRA")</f>
        <v>REGISTRO Y CONTROL ACADEMICO</v>
      </c>
    </row>
    <row r="6639" spans="1:5" ht="15.75" x14ac:dyDescent="0.25">
      <c r="A6639" s="14">
        <v>1033820146</v>
      </c>
      <c r="B6639" s="2">
        <v>46154.332791203706</v>
      </c>
      <c r="C6639" s="3" t="str">
        <f>IFERROR(VLOOKUP(A6639,'Base Prueba'!A:C,3,),"NO REGISTRA")</f>
        <v>JULIETH ALEXANDRA BUSTAMANTE RUIZ</v>
      </c>
      <c r="D6639" s="4" t="str">
        <f>IFERROR(VLOOKUP(A6639,'Base Prueba'!A:D,4,),"NO REGISTRA")</f>
        <v>AUXILIAR ADMINISTRATIVO</v>
      </c>
      <c r="E6639" s="5" t="str">
        <f>IFERROR(VLOOKUP(A6639,'Base Prueba'!A:E,5,),"NO REGISTRA")</f>
        <v>REGISTRO Y CONTROL ACADEMICO</v>
      </c>
    </row>
    <row r="6640" spans="1:5" ht="15.75" x14ac:dyDescent="0.25">
      <c r="A6640" s="14">
        <v>80191732</v>
      </c>
      <c r="B6640" s="2">
        <v>46154.333453587962</v>
      </c>
      <c r="C6640" s="3" t="str">
        <f>IFERROR(VLOOKUP(A6640,'Base Prueba'!A:C,3,),"NO REGISTRA")</f>
        <v>DANIEL MAURICIO ZAMBRANO TUNJANO</v>
      </c>
      <c r="D6640" s="4" t="str">
        <f>IFERROR(VLOOKUP(A6640,'Base Prueba'!A:D,4,),"NO REGISTRA")</f>
        <v>COORDINADOR DE DISEÑO E IMAGEN INSTITUCIONAL</v>
      </c>
      <c r="E6640" s="5" t="str">
        <f>IFERROR(VLOOKUP(A6640,'Base Prueba'!A:E,5,),"NO REGISTRA")</f>
        <v>OFICINA DE MERCADEO</v>
      </c>
    </row>
    <row r="6641" spans="1:5" ht="15.75" x14ac:dyDescent="0.25">
      <c r="A6641" s="14">
        <v>1013098430</v>
      </c>
      <c r="B6641" s="2">
        <v>46154.335412037035</v>
      </c>
      <c r="C6641" s="3" t="str">
        <f>IFERROR(VLOOKUP(A6641,'Base Prueba'!A:C,3,),"NO REGISTRA")</f>
        <v>ANDRES FELIPE LOPEZ ROMERO</v>
      </c>
      <c r="D6641" s="4" t="str">
        <f>IFERROR(VLOOKUP(A6641,'Base Prueba'!A:D,4,),"NO REGISTRA")</f>
        <v>APRENDIZ UNIVERSITARIO</v>
      </c>
      <c r="E6641" s="5" t="str">
        <f>IFERROR(VLOOKUP(A6641,'Base Prueba'!A:E,5,),"NO REGISTRA")</f>
        <v>OFICINA DE MERCADEO</v>
      </c>
    </row>
    <row r="6642" spans="1:5" ht="15.75" x14ac:dyDescent="0.25">
      <c r="A6642" s="14">
        <v>1193457976</v>
      </c>
      <c r="B6642" s="2">
        <v>46154.339740393516</v>
      </c>
      <c r="C6642" s="3" t="str">
        <f>IFERROR(VLOOKUP(A6642,'Base Prueba'!A:C,3,),"NO REGISTRA")</f>
        <v>SEDENIS RIVAS ASPRILLA</v>
      </c>
      <c r="D6642" s="4" t="str">
        <f>IFERROR(VLOOKUP(A6642,'Base Prueba'!A:D,4,),"NO REGISTRA")</f>
        <v>APRENDIZ UNIVERSITARIO</v>
      </c>
      <c r="E6642" s="5" t="str">
        <f>IFERROR(VLOOKUP(A6642,'Base Prueba'!A:E,5,),"NO REGISTRA")</f>
        <v>DEPARTAMENTO DE GESTION HUMANA</v>
      </c>
    </row>
    <row r="6643" spans="1:5" ht="15.75" x14ac:dyDescent="0.25">
      <c r="A6643" s="14">
        <v>1000604979</v>
      </c>
      <c r="B6643" s="2">
        <v>46154.342290856483</v>
      </c>
      <c r="C6643" s="3" t="str">
        <f>IFERROR(VLOOKUP(A6643,'Base Prueba'!A:C,3,),"NO REGISTRA")</f>
        <v>JULIETH TATIANA PARDO PINTO</v>
      </c>
      <c r="D6643" s="4" t="str">
        <f>IFERROR(VLOOKUP(A6643,'Base Prueba'!A:D,4,),"NO REGISTRA")</f>
        <v>AUXILIAR JURIDICO</v>
      </c>
      <c r="E6643" s="5" t="str">
        <f>IFERROR(VLOOKUP(A6643,'Base Prueba'!A:E,5,),"NO REGISTRA")</f>
        <v>SECRETARIA GENERAL</v>
      </c>
    </row>
    <row r="6644" spans="1:5" ht="15.75" x14ac:dyDescent="0.25">
      <c r="A6644" s="14">
        <v>1014308296</v>
      </c>
      <c r="B6644" s="2">
        <v>46154.342422222224</v>
      </c>
      <c r="C6644" s="3" t="str">
        <f>IFERROR(VLOOKUP(A6644,'Base Prueba'!A:C,3,),"NO REGISTRA")</f>
        <v>DARLENE YULIANA MORENO CELEITA</v>
      </c>
      <c r="D6644" s="4" t="str">
        <f>IFERROR(VLOOKUP(A6644,'Base Prueba'!A:D,4,),"NO REGISTRA")</f>
        <v>CAJERO PRINCIPAL</v>
      </c>
      <c r="E6644" s="5" t="str">
        <f>IFERROR(VLOOKUP(A6644,'Base Prueba'!A:E,5,),"NO REGISTRA")</f>
        <v>AREA FINANCIERA Y CONTABLE</v>
      </c>
    </row>
    <row r="6645" spans="1:5" ht="15.75" x14ac:dyDescent="0.25">
      <c r="A6645" s="14">
        <v>1023883232</v>
      </c>
      <c r="B6645" s="2">
        <v>46154.343459606484</v>
      </c>
      <c r="C6645" s="3" t="str">
        <f>IFERROR(VLOOKUP(A6645,'Base Prueba'!A:C,3,),"NO REGISTRA")</f>
        <v>MONICA ANDREA ACERO URBANO</v>
      </c>
      <c r="D6645" s="4" t="str">
        <f>IFERROR(VLOOKUP(A6645,'Base Prueba'!A:D,4,),"NO REGISTRA")</f>
        <v>APOYO INTEGRAL A GESTION HUMANA</v>
      </c>
      <c r="E6645" s="5" t="str">
        <f>IFERROR(VLOOKUP(A6645,'Base Prueba'!A:E,5,),"NO REGISTRA")</f>
        <v>DEPARTAMENTO DE GESTION HUMANA</v>
      </c>
    </row>
    <row r="6646" spans="1:5" ht="15.75" x14ac:dyDescent="0.25">
      <c r="A6646" s="14">
        <v>1014977624</v>
      </c>
      <c r="B6646" s="2">
        <v>46154.347095138888</v>
      </c>
      <c r="C6646" s="3" t="str">
        <f>IFERROR(VLOOKUP(A6646,'Base Prueba'!A:C,3,),"NO REGISTRA")</f>
        <v>NICCOLE VALENTINA HERNANDEZ MALAVER</v>
      </c>
      <c r="D6646" s="4" t="str">
        <f>IFERROR(VLOOKUP(A6646,'Base Prueba'!A:D,4,),"NO REGISTRA")</f>
        <v>APRENDIZ UNIVERSITARIO</v>
      </c>
      <c r="E6646" s="5" t="str">
        <f>IFERROR(VLOOKUP(A6646,'Base Prueba'!A:E,5,),"NO REGISTRA")</f>
        <v>AREA FINANCIERA Y CONTABLE</v>
      </c>
    </row>
    <row r="6647" spans="1:5" ht="15.75" x14ac:dyDescent="0.25">
      <c r="A6647" s="14">
        <v>1000457706</v>
      </c>
      <c r="B6647" s="2">
        <v>46154.34712175926</v>
      </c>
      <c r="C6647" s="3" t="str">
        <f>IFERROR(VLOOKUP(A6647,'Base Prueba'!A:C,3,),"NO REGISTRA")</f>
        <v>CRISTIAN DANILO ARROYO SANABRIA</v>
      </c>
      <c r="D6647" s="4" t="str">
        <f>IFERROR(VLOOKUP(A6647,'Base Prueba'!A:D,4,),"NO REGISTRA")</f>
        <v>AUXILIAR CONTABLE</v>
      </c>
      <c r="E6647" s="5" t="str">
        <f>IFERROR(VLOOKUP(A6647,'Base Prueba'!A:E,5,),"NO REGISTRA")</f>
        <v>AREA FINANCIERA Y CONTABLE</v>
      </c>
    </row>
    <row r="6648" spans="1:5" ht="15.75" x14ac:dyDescent="0.25">
      <c r="A6648" s="14">
        <v>53932358</v>
      </c>
      <c r="B6648" s="2">
        <v>46154.349747453707</v>
      </c>
      <c r="C6648" s="3" t="str">
        <f>IFERROR(VLOOKUP(A6648,'Base Prueba'!A:C,3,),"NO REGISTRA")</f>
        <v>DIANA MADELEYNE GAONA RODRIGUEZ</v>
      </c>
      <c r="D6648" s="4" t="str">
        <f>IFERROR(VLOOKUP(A6648,'Base Prueba'!A:D,4,),"NO REGISTRA")</f>
        <v>CONTADOR</v>
      </c>
      <c r="E6648" s="5" t="str">
        <f>IFERROR(VLOOKUP(A6648,'Base Prueba'!A:E,5,),"NO REGISTRA")</f>
        <v>AREA FINANCIERA Y CONTABLE</v>
      </c>
    </row>
    <row r="6649" spans="1:5" ht="15.75" x14ac:dyDescent="0.25">
      <c r="A6649" s="14">
        <v>1087121273</v>
      </c>
      <c r="B6649" s="2">
        <v>46154.353095949074</v>
      </c>
      <c r="C6649" s="3" t="str">
        <f>IFERROR(VLOOKUP(A6649,'Base Prueba'!A:C,3,),"NO REGISTRA")</f>
        <v>MAYRA ALEJANDRA CASTILLO ARBOLEDA</v>
      </c>
      <c r="D6649" s="4" t="str">
        <f>IFERROR(VLOOKUP(A6649,'Base Prueba'!A:D,4,),"NO REGISTRA")</f>
        <v>APOYO INTEGRAL DE MERCADEO</v>
      </c>
      <c r="E6649" s="5" t="str">
        <f>IFERROR(VLOOKUP(A6649,'Base Prueba'!A:E,5,),"NO REGISTRA")</f>
        <v>CENTRO DE GESTION DOCUMENTAL</v>
      </c>
    </row>
    <row r="6650" spans="1:5" ht="15.75" x14ac:dyDescent="0.25">
      <c r="A6650" s="14">
        <v>1014196857</v>
      </c>
      <c r="B6650" s="2">
        <v>46154.355256712966</v>
      </c>
      <c r="C6650" s="3" t="str">
        <f>IFERROR(VLOOKUP(A6650,'Base Prueba'!A:C,3,),"NO REGISTRA")</f>
        <v>CARLOS ANDRES JIMENEZ PARDO</v>
      </c>
      <c r="D6650" s="4" t="str">
        <f>IFERROR(VLOOKUP(A6650,'Base Prueba'!A:D,4,),"NO REGISTRA")</f>
        <v>COORDINADOR DE MARKETING DIGITAL</v>
      </c>
      <c r="E6650" s="5" t="str">
        <f>IFERROR(VLOOKUP(A6650,'Base Prueba'!A:E,5,),"NO REGISTRA")</f>
        <v>OFICINA DE MERCADEO</v>
      </c>
    </row>
    <row r="6651" spans="1:5" ht="15.75" x14ac:dyDescent="0.25">
      <c r="A6651" s="14">
        <v>1000257136</v>
      </c>
      <c r="B6651" s="2">
        <v>46154.357483796295</v>
      </c>
      <c r="C6651" s="3" t="str">
        <f>IFERROR(VLOOKUP(A6651,'Base Prueba'!A:C,3,),"NO REGISTRA")</f>
        <v>FRANCI VALENTINA CANO PUENTES</v>
      </c>
      <c r="D6651" s="4" t="str">
        <f>IFERROR(VLOOKUP(A6651,'Base Prueba'!A:D,4,),"NO REGISTRA")</f>
        <v>AUXILIAR CONTABLE</v>
      </c>
      <c r="E6651" s="5" t="str">
        <f>IFERROR(VLOOKUP(A6651,'Base Prueba'!A:E,5,),"NO REGISTRA")</f>
        <v>AREA FINANCIERA Y CONTABLE</v>
      </c>
    </row>
    <row r="6652" spans="1:5" ht="15.75" x14ac:dyDescent="0.25">
      <c r="A6652" s="14">
        <v>80234243</v>
      </c>
      <c r="B6652" s="2">
        <v>46154.358736805552</v>
      </c>
      <c r="C6652" s="3" t="str">
        <f>IFERROR(VLOOKUP(A6652,'Base Prueba'!A:C,3,),"NO REGISTRA")</f>
        <v>ARGENIS MARTINEZ MARTINEZ</v>
      </c>
      <c r="D6652" s="4" t="str">
        <f>IFERROR(VLOOKUP(A6652,'Base Prueba'!A:D,4,),"NO REGISTRA")</f>
        <v>LIDER CALL CENTER</v>
      </c>
      <c r="E6652" s="5" t="str">
        <f>IFERROR(VLOOKUP(A6652,'Base Prueba'!A:E,5,),"NO REGISTRA")</f>
        <v>OFICINA DE MERCADEO</v>
      </c>
    </row>
    <row r="6653" spans="1:5" ht="15.75" x14ac:dyDescent="0.25">
      <c r="A6653" s="14">
        <v>1018413529</v>
      </c>
      <c r="B6653" s="2">
        <v>46154.362958449077</v>
      </c>
      <c r="C6653" s="3" t="str">
        <f>IFERROR(VLOOKUP(A6653,'Base Prueba'!A:C,3,),"NO REGISTRA")</f>
        <v>FRANCY STELLA CHARRY MORENO</v>
      </c>
      <c r="D6653" s="4" t="str">
        <f>IFERROR(VLOOKUP(A6653,'Base Prueba'!A:D,4,),"NO REGISTRA")</f>
        <v>PROMOTOR COMERCIAL DEL CEA</v>
      </c>
      <c r="E6653" s="5" t="str">
        <f>IFERROR(VLOOKUP(A6653,'Base Prueba'!A:E,5,),"NO REGISTRA")</f>
        <v>OFICINA DE MERCADEO</v>
      </c>
    </row>
    <row r="6654" spans="1:5" ht="15.75" x14ac:dyDescent="0.25">
      <c r="A6654" s="14">
        <v>1000046533</v>
      </c>
      <c r="B6654" s="2">
        <v>46154.364863541668</v>
      </c>
      <c r="C6654" s="3" t="str">
        <f>IFERROR(VLOOKUP(A6654,'Base Prueba'!A:C,3,),"NO REGISTRA")</f>
        <v>ERIKA JULIETH VALDERRAMA SANCHEZ</v>
      </c>
      <c r="D6654" s="4" t="str">
        <f>IFERROR(VLOOKUP(A6654,'Base Prueba'!A:D,4,),"NO REGISTRA")</f>
        <v>PROMOTOR CALL CENTER</v>
      </c>
      <c r="E6654" s="5" t="str">
        <f>IFERROR(VLOOKUP(A6654,'Base Prueba'!A:E,5,),"NO REGISTRA")</f>
        <v>OFICINA DE MERCADEO</v>
      </c>
    </row>
    <row r="6655" spans="1:5" ht="15.75" x14ac:dyDescent="0.25">
      <c r="A6655" s="14">
        <v>1033709056</v>
      </c>
      <c r="B6655" s="2">
        <v>46154.365441087961</v>
      </c>
      <c r="C6655" s="3" t="str">
        <f>IFERROR(VLOOKUP(A6655,'Base Prueba'!A:C,3,),"NO REGISTRA")</f>
        <v>YEIMY ALEXANDRA RODRIGUEZ PALACIO</v>
      </c>
      <c r="D6655" s="4" t="str">
        <f>IFERROR(VLOOKUP(A6655,'Base Prueba'!A:D,4,),"NO REGISTRA")</f>
        <v>PROMOTOR CALL CENTER</v>
      </c>
      <c r="E6655" s="5" t="str">
        <f>IFERROR(VLOOKUP(A6655,'Base Prueba'!A:E,5,),"NO REGISTRA")</f>
        <v>OFICINA DE MERCADEO</v>
      </c>
    </row>
    <row r="6656" spans="1:5" ht="15.75" x14ac:dyDescent="0.25">
      <c r="A6656" s="14">
        <v>1032407386</v>
      </c>
      <c r="B6656" s="2">
        <v>46154.367235300924</v>
      </c>
      <c r="C6656" s="3" t="str">
        <f>IFERROR(VLOOKUP(A6656,'Base Prueba'!A:C,3,),"NO REGISTRA")</f>
        <v>GINA PAOLA BAEZ GALVIS</v>
      </c>
      <c r="D6656" s="4" t="str">
        <f>IFERROR(VLOOKUP(A6656,'Base Prueba'!A:D,4,),"NO REGISTRA")</f>
        <v>PROMOTOR CALL CENTER</v>
      </c>
      <c r="E6656" s="5" t="str">
        <f>IFERROR(VLOOKUP(A6656,'Base Prueba'!A:E,5,),"NO REGISTRA")</f>
        <v>OFICINA DE MERCADEO</v>
      </c>
    </row>
    <row r="6657" spans="1:5" ht="15.75" x14ac:dyDescent="0.25">
      <c r="A6657" s="14">
        <v>1000593372</v>
      </c>
      <c r="B6657" s="2">
        <v>46154.370572106483</v>
      </c>
      <c r="C6657" s="3" t="str">
        <f>IFERROR(VLOOKUP(A6657,'Base Prueba'!A:C,3,),"NO REGISTRA")</f>
        <v>LAURA SOFIA CHAPARRO LOPEZ</v>
      </c>
      <c r="D6657" s="4" t="str">
        <f>IFERROR(VLOOKUP(A6657,'Base Prueba'!A:D,4,),"NO REGISTRA")</f>
        <v>AUXILIAR JURIDICO</v>
      </c>
      <c r="E6657" s="5" t="str">
        <f>IFERROR(VLOOKUP(A6657,'Base Prueba'!A:E,5,),"NO REGISTRA")</f>
        <v>SECRETARIA GENERAL</v>
      </c>
    </row>
    <row r="6658" spans="1:5" ht="15.75" x14ac:dyDescent="0.25">
      <c r="A6658" s="14">
        <v>52472386</v>
      </c>
      <c r="B6658" s="2">
        <v>46154.371703240744</v>
      </c>
      <c r="C6658" s="3" t="str">
        <f>IFERROR(VLOOKUP(A6658,'Base Prueba'!A:C,3,),"NO REGISTRA")</f>
        <v>ADRIANA MARCELA MORALES PARDO</v>
      </c>
      <c r="D6658" s="4" t="str">
        <f>IFERROR(VLOOKUP(A6658,'Base Prueba'!A:D,4,),"NO REGISTRA")</f>
        <v>PROMOTOR CALL CENTER</v>
      </c>
      <c r="E6658" s="5" t="str">
        <f>IFERROR(VLOOKUP(A6658,'Base Prueba'!A:E,5,),"NO REGISTRA")</f>
        <v>OFICINA DE MERCADEO</v>
      </c>
    </row>
    <row r="6659" spans="1:5" ht="15.75" x14ac:dyDescent="0.25">
      <c r="A6659" s="14">
        <v>1023961952</v>
      </c>
      <c r="B6659" s="2">
        <v>46154.372343634263</v>
      </c>
      <c r="C6659" s="3" t="str">
        <f>IFERROR(VLOOKUP(A6659,'Base Prueba'!A:C,3,),"NO REGISTRA")</f>
        <v>ALEJANDRO PINZON MERCHAN</v>
      </c>
      <c r="D6659" s="4" t="str">
        <f>IFERROR(VLOOKUP(A6659,'Base Prueba'!A:D,4,),"NO REGISTRA")</f>
        <v>PROMOTOR CALL CENTER</v>
      </c>
      <c r="E6659" s="5" t="str">
        <f>IFERROR(VLOOKUP(A6659,'Base Prueba'!A:E,5,),"NO REGISTRA")</f>
        <v>OFICINA DE MERCADEO</v>
      </c>
    </row>
    <row r="6660" spans="1:5" ht="15.75" x14ac:dyDescent="0.25">
      <c r="A6660" s="14">
        <v>52175674</v>
      </c>
      <c r="B6660" s="2">
        <v>46154.372990162039</v>
      </c>
      <c r="C6660" s="3" t="str">
        <f>IFERROR(VLOOKUP(A6660,'Base Prueba'!A:C,3,),"NO REGISTRA")</f>
        <v>LUZ YANETH GOMEZ AREVALO</v>
      </c>
      <c r="D6660" s="4" t="str">
        <f>IFERROR(VLOOKUP(A6660,'Base Prueba'!A:D,4,),"NO REGISTRA")</f>
        <v>COORDINADORA DE ADMISIONES</v>
      </c>
      <c r="E6660" s="5" t="str">
        <f>IFERROR(VLOOKUP(A6660,'Base Prueba'!A:E,5,),"NO REGISTRA")</f>
        <v>OFICINA DE MERCADEO</v>
      </c>
    </row>
    <row r="6661" spans="1:5" ht="15.75" x14ac:dyDescent="0.25">
      <c r="A6661" s="14">
        <v>1013101788</v>
      </c>
      <c r="B6661" s="2">
        <v>46154.376167361108</v>
      </c>
      <c r="C6661" s="3" t="str">
        <f>IFERROR(VLOOKUP(A6661,'Base Prueba'!A:C,3,),"NO REGISTRA")</f>
        <v>SARA TANGARIFE MONTOYA</v>
      </c>
      <c r="D6661" s="4" t="str">
        <f>IFERROR(VLOOKUP(A6661,'Base Prueba'!A:D,4,),"NO REGISTRA")</f>
        <v>APRENDIZ UNIVERSITARIO</v>
      </c>
      <c r="E6661" s="5" t="str">
        <f>IFERROR(VLOOKUP(A6661,'Base Prueba'!A:E,5,),"NO REGISTRA")</f>
        <v>OFICINA DE MERCADEO</v>
      </c>
    </row>
    <row r="6662" spans="1:5" ht="15.75" x14ac:dyDescent="0.25">
      <c r="A6662" s="14">
        <v>28798349</v>
      </c>
      <c r="B6662" s="2">
        <v>46154.377622453707</v>
      </c>
      <c r="C6662" s="3" t="str">
        <f>IFERROR(VLOOKUP(A6662,'Base Prueba'!A:C,3,),"NO REGISTRA")</f>
        <v>MARTHA ISABEL TOVAR WILLIAMS</v>
      </c>
      <c r="D6662" s="4" t="str">
        <f>IFERROR(VLOOKUP(A6662,'Base Prueba'!A:D,4,),"NO REGISTRA")</f>
        <v>PROMOTOR CALL CENTER</v>
      </c>
      <c r="E6662" s="5" t="str">
        <f>IFERROR(VLOOKUP(A6662,'Base Prueba'!A:E,5,),"NO REGISTRA")</f>
        <v>OFICINA DE MERCADEO</v>
      </c>
    </row>
    <row r="6663" spans="1:5" ht="15.75" x14ac:dyDescent="0.25">
      <c r="A6663" s="14">
        <v>53089882</v>
      </c>
      <c r="B6663" s="2">
        <v>46154.379815046297</v>
      </c>
      <c r="C6663" s="3" t="str">
        <f>IFERROR(VLOOKUP(A6663,'Base Prueba'!A:C,3,),"NO REGISTRA")</f>
        <v>MARIA JOHANA ESCAMILLA MARTINEZ</v>
      </c>
      <c r="D6663" s="4" t="str">
        <f>IFERROR(VLOOKUP(A6663,'Base Prueba'!A:D,4,),"NO REGISTRA")</f>
        <v>PROMOTOR DE INFORMACIÓN</v>
      </c>
      <c r="E6663" s="5" t="str">
        <f>IFERROR(VLOOKUP(A6663,'Base Prueba'!A:E,5,),"NO REGISTRA")</f>
        <v>OFICINA DE MERCADEO</v>
      </c>
    </row>
    <row r="6664" spans="1:5" ht="15.75" x14ac:dyDescent="0.25">
      <c r="A6664" s="14">
        <v>1018414290</v>
      </c>
      <c r="B6664" s="2">
        <v>46154.38120520833</v>
      </c>
      <c r="C6664" s="3" t="str">
        <f>IFERROR(VLOOKUP(A6664,'Base Prueba'!A:C,3,),"NO REGISTRA")</f>
        <v>AMANDA LISBETH RODRIGUEZ LEON</v>
      </c>
      <c r="D6664" s="4" t="str">
        <f>IFERROR(VLOOKUP(A6664,'Base Prueba'!A:D,4,),"NO REGISTRA")</f>
        <v>PROMOTOR CALL CENTER</v>
      </c>
      <c r="E6664" s="5" t="str">
        <f>IFERROR(VLOOKUP(A6664,'Base Prueba'!A:E,5,),"NO REGISTRA")</f>
        <v>OFICINA DE MERCADEO</v>
      </c>
    </row>
    <row r="6665" spans="1:5" ht="15.75" x14ac:dyDescent="0.25">
      <c r="A6665" s="14">
        <v>1012426741</v>
      </c>
      <c r="B6665" s="2">
        <v>46154.383681481479</v>
      </c>
      <c r="C6665" s="3" t="str">
        <f>IFERROR(VLOOKUP(A6665,'Base Prueba'!A:C,3,),"NO REGISTRA")</f>
        <v>CRISTIAN FABIAN ROJAS SANCENO</v>
      </c>
      <c r="D6665" s="4" t="str">
        <f>IFERROR(VLOOKUP(A6665,'Base Prueba'!A:D,4,),"NO REGISTRA")</f>
        <v>AUXILIAR DE REINTEGROS</v>
      </c>
      <c r="E6665" s="5" t="str">
        <f>IFERROR(VLOOKUP(A6665,'Base Prueba'!A:E,5,),"NO REGISTRA")</f>
        <v>DIRECCION DE BIENESTAR INSTITUCIONAL</v>
      </c>
    </row>
    <row r="6666" spans="1:5" ht="15.75" x14ac:dyDescent="0.25">
      <c r="A6666" s="14">
        <v>1016090131</v>
      </c>
      <c r="B6666" s="2">
        <v>46154.386602314815</v>
      </c>
      <c r="C6666" s="3" t="str">
        <f>IFERROR(VLOOKUP(A6666,'Base Prueba'!A:C,3,),"NO REGISTRA")</f>
        <v>NICOLAS RODRIGUEZ PACHECO</v>
      </c>
      <c r="D6666" s="4" t="str">
        <f>IFERROR(VLOOKUP(A6666,'Base Prueba'!A:D,4,),"NO REGISTRA")</f>
        <v>COORDINADOR DE COMUNICACIONES</v>
      </c>
      <c r="E6666" s="5" t="str">
        <f>IFERROR(VLOOKUP(A6666,'Base Prueba'!A:E,5,),"NO REGISTRA")</f>
        <v>OFICINA DE MERCADEO</v>
      </c>
    </row>
    <row r="6667" spans="1:5" ht="15.75" x14ac:dyDescent="0.25">
      <c r="A6667" s="14">
        <v>52764929</v>
      </c>
      <c r="B6667" s="2">
        <v>46154.403582523148</v>
      </c>
      <c r="C6667" s="3" t="str">
        <f>IFERROR(VLOOKUP(A6667,'Base Prueba'!A:C,3,),"NO REGISTRA")</f>
        <v>GUERLY YOHANA DURAN RIVERA</v>
      </c>
      <c r="D6667" s="4" t="str">
        <f>IFERROR(VLOOKUP(A6667,'Base Prueba'!A:D,4,),"NO REGISTRA")</f>
        <v>LIDER DE VINCULACION COLEGIOS</v>
      </c>
      <c r="E6667" s="5" t="str">
        <f>IFERROR(VLOOKUP(A6667,'Base Prueba'!A:E,5,),"NO REGISTRA")</f>
        <v>OFICINA DE MERCADEO</v>
      </c>
    </row>
    <row r="6668" spans="1:5" ht="15.75" x14ac:dyDescent="0.25">
      <c r="A6668" s="14">
        <v>52443092</v>
      </c>
      <c r="B6668" s="2">
        <v>46154.58102060185</v>
      </c>
      <c r="C6668" s="3" t="str">
        <f>IFERROR(VLOOKUP(A6668,'Base Prueba'!A:C,3,),"NO REGISTRA")</f>
        <v>LUZ MYRIAM SAAVEDRA CONTRERAS</v>
      </c>
      <c r="D6668" s="4" t="str">
        <f>IFERROR(VLOOKUP(A6668,'Base Prueba'!A:D,4,),"NO REGISTRA")</f>
        <v>AUXILIAR DE SERVICIOS</v>
      </c>
      <c r="E6668" s="5" t="str">
        <f>IFERROR(VLOOKUP(A6668,'Base Prueba'!A:E,5,),"NO REGISTRA")</f>
        <v>LOGISTICA Y SERVICIOS GENERALES</v>
      </c>
    </row>
    <row r="6669" spans="1:5" ht="15.75" x14ac:dyDescent="0.25">
      <c r="A6669" s="14">
        <v>1033820146</v>
      </c>
      <c r="B6669" s="2">
        <v>46154.710804166665</v>
      </c>
      <c r="C6669" s="3" t="str">
        <f>IFERROR(VLOOKUP(A6669,'Base Prueba'!A:C,3,),"NO REGISTRA")</f>
        <v>JULIETH ALEXANDRA BUSTAMANTE RUIZ</v>
      </c>
      <c r="D6669" s="4" t="str">
        <f>IFERROR(VLOOKUP(A6669,'Base Prueba'!A:D,4,),"NO REGISTRA")</f>
        <v>AUXILIAR ADMINISTRATIVO</v>
      </c>
      <c r="E6669" s="5" t="str">
        <f>IFERROR(VLOOKUP(A6669,'Base Prueba'!A:E,5,),"NO REGISTRA")</f>
        <v>REGISTRO Y CONTROL ACADEMICO</v>
      </c>
    </row>
    <row r="6670" spans="1:5" ht="15.75" x14ac:dyDescent="0.25">
      <c r="A6670" s="14">
        <v>1000324729</v>
      </c>
      <c r="B6670" s="2">
        <v>46154.710828587966</v>
      </c>
      <c r="C6670" s="3" t="str">
        <f>IFERROR(VLOOKUP(A6670,'Base Prueba'!A:C,3,),"NO REGISTRA")</f>
        <v>ANYIE VANESSA TINOCO CAMACHO</v>
      </c>
      <c r="D6670" s="4" t="str">
        <f>IFERROR(VLOOKUP(A6670,'Base Prueba'!A:D,4,),"NO REGISTRA")</f>
        <v>LIDER DE REGISTRO Y CONTROL</v>
      </c>
      <c r="E6670" s="5" t="str">
        <f>IFERROR(VLOOKUP(A6670,'Base Prueba'!A:E,5,),"NO REGISTRA")</f>
        <v>REGISTRO Y CONTROL ACADEMICO</v>
      </c>
    </row>
    <row r="6671" spans="1:5" ht="15.75" x14ac:dyDescent="0.25">
      <c r="A6671" s="14">
        <v>1000611958</v>
      </c>
      <c r="B6671" s="2">
        <v>46154.712468518519</v>
      </c>
      <c r="C6671" s="3" t="str">
        <f>IFERROR(VLOOKUP(A6671,'Base Prueba'!A:C,3,),"NO REGISTRA")</f>
        <v>TYLER CORRADINE  VARGAS</v>
      </c>
      <c r="D6671" s="4" t="str">
        <f>IFERROR(VLOOKUP(A6671,'Base Prueba'!A:D,4,),"NO REGISTRA")</f>
        <v>APRENDIZ UNIVERSITARIO</v>
      </c>
      <c r="E6671" s="5" t="str">
        <f>IFERROR(VLOOKUP(A6671,'Base Prueba'!A:E,5,),"NO REGISTRA")</f>
        <v>DEPARTAMENTO DE INFORMATICA Y TECNOLOGIA</v>
      </c>
    </row>
    <row r="6672" spans="1:5" ht="15.75" x14ac:dyDescent="0.25">
      <c r="A6672" s="14">
        <v>1000992568</v>
      </c>
      <c r="B6672" s="2">
        <v>46154.712639351848</v>
      </c>
      <c r="C6672" s="3" t="str">
        <f>IFERROR(VLOOKUP(A6672,'Base Prueba'!A:C,3,),"NO REGISTRA")</f>
        <v>KAREN BRIGITTE DALEMAN MORENO</v>
      </c>
      <c r="D6672" s="4" t="str">
        <f>IFERROR(VLOOKUP(A6672,'Base Prueba'!A:D,4,),"NO REGISTRA")</f>
        <v>RECEPCIONISTA</v>
      </c>
      <c r="E6672" s="5" t="str">
        <f>IFERROR(VLOOKUP(A6672,'Base Prueba'!A:E,5,),"NO REGISTRA")</f>
        <v>CENTRO DE GESTION DOCUMENTAL</v>
      </c>
    </row>
    <row r="6673" spans="1:5" ht="15.75" x14ac:dyDescent="0.25">
      <c r="A6673" s="14">
        <v>1024512067</v>
      </c>
      <c r="B6673" s="2">
        <v>46154.717589583335</v>
      </c>
      <c r="C6673" s="3" t="str">
        <f>IFERROR(VLOOKUP(A6673,'Base Prueba'!A:C,3,),"NO REGISTRA")</f>
        <v>CINDY GIOVANA SALGAR GOMEZ</v>
      </c>
      <c r="D6673" s="4" t="str">
        <f>IFERROR(VLOOKUP(A6673,'Base Prueba'!A:D,4,),"NO REGISTRA")</f>
        <v>COORDINADOR DEL SISTEMA INTEGRADO DE GESTION INSTITUCIONAL - SIGI</v>
      </c>
      <c r="E6673" s="5" t="str">
        <f>IFERROR(VLOOKUP(A6673,'Base Prueba'!A:E,5,),"NO REGISTRA")</f>
        <v>OFICINA DE PLANEACION Y GESTION DE LA CALIDAD</v>
      </c>
    </row>
    <row r="6674" spans="1:5" ht="15.75" x14ac:dyDescent="0.25">
      <c r="A6674" s="14">
        <v>1087121273</v>
      </c>
      <c r="B6674" s="2">
        <v>46154.750052662035</v>
      </c>
      <c r="C6674" s="3" t="str">
        <f>IFERROR(VLOOKUP(A6674,'Base Prueba'!A:C,3,),"NO REGISTRA")</f>
        <v>MAYRA ALEJANDRA CASTILLO ARBOLEDA</v>
      </c>
      <c r="D6674" s="4" t="str">
        <f>IFERROR(VLOOKUP(A6674,'Base Prueba'!A:D,4,),"NO REGISTRA")</f>
        <v>APOYO INTEGRAL DE MERCADEO</v>
      </c>
      <c r="E6674" s="5" t="str">
        <f>IFERROR(VLOOKUP(A6674,'Base Prueba'!A:E,5,),"NO REGISTRA")</f>
        <v>CENTRO DE GESTION DOCUMENTAL</v>
      </c>
    </row>
    <row r="6675" spans="1:5" ht="15.75" x14ac:dyDescent="0.25">
      <c r="A6675" s="14">
        <v>52225539</v>
      </c>
      <c r="B6675" s="2">
        <v>46154.750124652775</v>
      </c>
      <c r="C6675" s="3" t="str">
        <f>IFERROR(VLOOKUP(A6675,'Base Prueba'!A:C,3,),"NO REGISTRA")</f>
        <v>LISA MINELLY ZAMBRANO CONTRERAS</v>
      </c>
      <c r="D6675" s="4" t="str">
        <f>IFERROR(VLOOKUP(A6675,'Base Prueba'!A:D,4,),"NO REGISTRA")</f>
        <v>LIDER DE COMPRAS</v>
      </c>
      <c r="E6675" s="5" t="str">
        <f>IFERROR(VLOOKUP(A6675,'Base Prueba'!A:E,5,),"NO REGISTRA")</f>
        <v>VICERRECTORIA ADMINISTRATIVA Y FINANCIERA</v>
      </c>
    </row>
    <row r="6676" spans="1:5" ht="15.75" x14ac:dyDescent="0.25">
      <c r="A6676" s="14">
        <v>1022996882</v>
      </c>
      <c r="B6676" s="2">
        <v>46154.75030428241</v>
      </c>
      <c r="C6676" s="3" t="str">
        <f>IFERROR(VLOOKUP(A6676,'Base Prueba'!A:C,3,),"NO REGISTRA")</f>
        <v>NANCY BRIGITH ALDANA GUEVARA</v>
      </c>
      <c r="D6676" s="4" t="str">
        <f>IFERROR(VLOOKUP(A6676,'Base Prueba'!A:D,4,),"NO REGISTRA")</f>
        <v>COORDINADORA DE GESTIÓN HUMANA</v>
      </c>
      <c r="E6676" s="5" t="str">
        <f>IFERROR(VLOOKUP(A6676,'Base Prueba'!A:E,5,),"NO REGISTRA")</f>
        <v>DEPARTAMENTO DE GESTION HUMANA</v>
      </c>
    </row>
    <row r="6677" spans="1:5" ht="15.75" x14ac:dyDescent="0.25">
      <c r="A6677" s="14">
        <v>1000467399</v>
      </c>
      <c r="B6677" s="2">
        <v>46154.750624768516</v>
      </c>
      <c r="C6677" s="3" t="str">
        <f>IFERROR(VLOOKUP(A6677,'Base Prueba'!A:C,3,),"NO REGISTRA")</f>
        <v>BRANDO ESTIVEN DIAZ QUIMBAYA</v>
      </c>
      <c r="D6677" s="4" t="str">
        <f>IFERROR(VLOOKUP(A6677,'Base Prueba'!A:D,4,),"NO REGISTRA")</f>
        <v>APRENDIZ UNIVERSITARIO</v>
      </c>
      <c r="E6677" s="5" t="str">
        <f>IFERROR(VLOOKUP(A6677,'Base Prueba'!A:E,5,),"NO REGISTRA")</f>
        <v>DEPARTAMENTO DE GESTION HUMANA</v>
      </c>
    </row>
    <row r="6678" spans="1:5" ht="15.75" x14ac:dyDescent="0.25">
      <c r="A6678" s="14">
        <v>1193457976</v>
      </c>
      <c r="B6678" s="2">
        <v>46154.751149884258</v>
      </c>
      <c r="C6678" s="3" t="str">
        <f>IFERROR(VLOOKUP(A6678,'Base Prueba'!A:C,3,),"NO REGISTRA")</f>
        <v>SEDENIS RIVAS ASPRILLA</v>
      </c>
      <c r="D6678" s="4" t="str">
        <f>IFERROR(VLOOKUP(A6678,'Base Prueba'!A:D,4,),"NO REGISTRA")</f>
        <v>APRENDIZ UNIVERSITARIO</v>
      </c>
      <c r="E6678" s="5" t="str">
        <f>IFERROR(VLOOKUP(A6678,'Base Prueba'!A:E,5,),"NO REGISTRA")</f>
        <v>DEPARTAMENTO DE GESTION HUMANA</v>
      </c>
    </row>
    <row r="6679" spans="1:5" ht="15.75" x14ac:dyDescent="0.25">
      <c r="A6679" s="14">
        <v>1049644802</v>
      </c>
      <c r="B6679" s="2">
        <v>46154.752612037038</v>
      </c>
      <c r="C6679" s="3" t="str">
        <f>IFERROR(VLOOKUP(A6679,'Base Prueba'!A:C,3,),"NO REGISTRA")</f>
        <v>DANIELA ALEXANDRA CIPAMOCHA BOSIGA</v>
      </c>
      <c r="D6679" s="4" t="str">
        <f>IFERROR(VLOOKUP(A6679,'Base Prueba'!A:D,4,),"NO REGISTRA")</f>
        <v>LIDER DE DATOS Y SERVICIOS</v>
      </c>
      <c r="E6679" s="5" t="str">
        <f>IFERROR(VLOOKUP(A6679,'Base Prueba'!A:E,5,),"NO REGISTRA")</f>
        <v>OFICINA DE PLANEACION Y GESTION DE LA CALIDAD</v>
      </c>
    </row>
    <row r="6680" spans="1:5" ht="15.75" x14ac:dyDescent="0.25">
      <c r="A6680" s="14">
        <v>80191732</v>
      </c>
      <c r="B6680" s="2">
        <v>46154.753596759256</v>
      </c>
      <c r="C6680" s="3" t="str">
        <f>IFERROR(VLOOKUP(A6680,'Base Prueba'!A:C,3,),"NO REGISTRA")</f>
        <v>DANIEL MAURICIO ZAMBRANO TUNJANO</v>
      </c>
      <c r="D6680" s="4" t="str">
        <f>IFERROR(VLOOKUP(A6680,'Base Prueba'!A:D,4,),"NO REGISTRA")</f>
        <v>COORDINADOR DE DISEÑO E IMAGEN INSTITUCIONAL</v>
      </c>
      <c r="E6680" s="5" t="str">
        <f>IFERROR(VLOOKUP(A6680,'Base Prueba'!A:E,5,),"NO REGISTRA")</f>
        <v>OFICINA DE MERCADEO</v>
      </c>
    </row>
    <row r="6681" spans="1:5" ht="15.75" x14ac:dyDescent="0.25">
      <c r="A6681" s="14">
        <v>1014977624</v>
      </c>
      <c r="B6681" s="2">
        <v>46154.758513194443</v>
      </c>
      <c r="C6681" s="3" t="str">
        <f>IFERROR(VLOOKUP(A6681,'Base Prueba'!A:C,3,),"NO REGISTRA")</f>
        <v>NICCOLE VALENTINA HERNANDEZ MALAVER</v>
      </c>
      <c r="D6681" s="4" t="str">
        <f>IFERROR(VLOOKUP(A6681,'Base Prueba'!A:D,4,),"NO REGISTRA")</f>
        <v>APRENDIZ UNIVERSITARIO</v>
      </c>
      <c r="E6681" s="5" t="str">
        <f>IFERROR(VLOOKUP(A6681,'Base Prueba'!A:E,5,),"NO REGISTRA")</f>
        <v>AREA FINANCIERA Y CONTABLE</v>
      </c>
    </row>
    <row r="6682" spans="1:5" ht="15.75" x14ac:dyDescent="0.25">
      <c r="A6682" s="14">
        <v>1013616244</v>
      </c>
      <c r="B6682" s="2">
        <v>46154.759042361111</v>
      </c>
      <c r="C6682" s="3" t="str">
        <f>IFERROR(VLOOKUP(A6682,'Base Prueba'!A:C,3,),"NO REGISTRA")</f>
        <v>DIANA CAROLINA MARIN BETANCOURT</v>
      </c>
      <c r="D6682" s="4" t="str">
        <f>IFERROR(VLOOKUP(A6682,'Base Prueba'!A:D,4,),"NO REGISTRA")</f>
        <v>AUXILIAR ADMINISTRATIVO</v>
      </c>
      <c r="E6682" s="5" t="str">
        <f>IFERROR(VLOOKUP(A6682,'Base Prueba'!A:E,5,),"NO REGISTRA")</f>
        <v>REGISTRO Y CONTROL ACADEMICO</v>
      </c>
    </row>
    <row r="6683" spans="1:5" ht="15.75" x14ac:dyDescent="0.25">
      <c r="A6683" s="14">
        <v>52474489</v>
      </c>
      <c r="B6683" s="2">
        <v>46154.762543287034</v>
      </c>
      <c r="C6683" s="3" t="str">
        <f>IFERROR(VLOOKUP(A6683,'Base Prueba'!A:C,3,),"NO REGISTRA")</f>
        <v>ADRIANA JIMENA SOTO BOCANEGRA</v>
      </c>
      <c r="D6683" s="4" t="str">
        <f>IFERROR(VLOOKUP(A6683,'Base Prueba'!A:D,4,),"NO REGISTRA")</f>
        <v>COORDINADOR DE LA OFICINA DE REGISTRO Y CONTROL</v>
      </c>
      <c r="E6683" s="5" t="str">
        <f>IFERROR(VLOOKUP(A6683,'Base Prueba'!A:E,5,),"NO REGISTRA")</f>
        <v>REGISTRO Y CONTROL ACADEMICO</v>
      </c>
    </row>
    <row r="6684" spans="1:5" ht="15.75" x14ac:dyDescent="0.25">
      <c r="A6684" s="14">
        <v>1023883232</v>
      </c>
      <c r="B6684" s="2">
        <v>46154.763584375003</v>
      </c>
      <c r="C6684" s="3" t="str">
        <f>IFERROR(VLOOKUP(A6684,'Base Prueba'!A:C,3,),"NO REGISTRA")</f>
        <v>MONICA ANDREA ACERO URBANO</v>
      </c>
      <c r="D6684" s="4" t="str">
        <f>IFERROR(VLOOKUP(A6684,'Base Prueba'!A:D,4,),"NO REGISTRA")</f>
        <v>APOYO INTEGRAL A GESTION HUMANA</v>
      </c>
      <c r="E6684" s="5" t="str">
        <f>IFERROR(VLOOKUP(A6684,'Base Prueba'!A:E,5,),"NO REGISTRA")</f>
        <v>DEPARTAMENTO DE GESTION HUMANA</v>
      </c>
    </row>
    <row r="6685" spans="1:5" ht="15.75" x14ac:dyDescent="0.25">
      <c r="A6685" s="14">
        <v>1014308296</v>
      </c>
      <c r="B6685" s="2">
        <v>46154.767448495368</v>
      </c>
      <c r="C6685" s="3" t="str">
        <f>IFERROR(VLOOKUP(A6685,'Base Prueba'!A:C,3,),"NO REGISTRA")</f>
        <v>DARLENE YULIANA MORENO CELEITA</v>
      </c>
      <c r="D6685" s="4" t="str">
        <f>IFERROR(VLOOKUP(A6685,'Base Prueba'!A:D,4,),"NO REGISTRA")</f>
        <v>CAJERO PRINCIPAL</v>
      </c>
      <c r="E6685" s="5" t="str">
        <f>IFERROR(VLOOKUP(A6685,'Base Prueba'!A:E,5,),"NO REGISTRA")</f>
        <v>AREA FINANCIERA Y CONTABLE</v>
      </c>
    </row>
    <row r="6686" spans="1:5" ht="15.75" x14ac:dyDescent="0.25">
      <c r="A6686" s="14">
        <v>52175674</v>
      </c>
      <c r="B6686" s="2">
        <v>46154.768737384256</v>
      </c>
      <c r="C6686" s="3" t="str">
        <f>IFERROR(VLOOKUP(A6686,'Base Prueba'!A:C,3,),"NO REGISTRA")</f>
        <v>LUZ YANETH GOMEZ AREVALO</v>
      </c>
      <c r="D6686" s="4" t="str">
        <f>IFERROR(VLOOKUP(A6686,'Base Prueba'!A:D,4,),"NO REGISTRA")</f>
        <v>COORDINADORA DE ADMISIONES</v>
      </c>
      <c r="E6686" s="5" t="str">
        <f>IFERROR(VLOOKUP(A6686,'Base Prueba'!A:E,5,),"NO REGISTRA")</f>
        <v>OFICINA DE MERCADEO</v>
      </c>
    </row>
    <row r="6687" spans="1:5" ht="15.75" x14ac:dyDescent="0.25">
      <c r="A6687" s="14">
        <v>1012426741</v>
      </c>
      <c r="B6687" s="2">
        <v>46154.769862615743</v>
      </c>
      <c r="C6687" s="3" t="str">
        <f>IFERROR(VLOOKUP(A6687,'Base Prueba'!A:C,3,),"NO REGISTRA")</f>
        <v>CRISTIAN FABIAN ROJAS SANCENO</v>
      </c>
      <c r="D6687" s="4" t="str">
        <f>IFERROR(VLOOKUP(A6687,'Base Prueba'!A:D,4,),"NO REGISTRA")</f>
        <v>AUXILIAR DE REINTEGROS</v>
      </c>
      <c r="E6687" s="5" t="str">
        <f>IFERROR(VLOOKUP(A6687,'Base Prueba'!A:E,5,),"NO REGISTRA")</f>
        <v>DIRECCION DE BIENESTAR INSTITUCIONAL</v>
      </c>
    </row>
    <row r="6688" spans="1:5" ht="15.75" x14ac:dyDescent="0.25">
      <c r="A6688" s="14">
        <v>1014196857</v>
      </c>
      <c r="B6688" s="2">
        <v>46154.770055208333</v>
      </c>
      <c r="C6688" s="3" t="str">
        <f>IFERROR(VLOOKUP(A6688,'Base Prueba'!A:C,3,),"NO REGISTRA")</f>
        <v>CARLOS ANDRES JIMENEZ PARDO</v>
      </c>
      <c r="D6688" s="4" t="str">
        <f>IFERROR(VLOOKUP(A6688,'Base Prueba'!A:D,4,),"NO REGISTRA")</f>
        <v>COORDINADOR DE MARKETING DIGITAL</v>
      </c>
      <c r="E6688" s="5" t="str">
        <f>IFERROR(VLOOKUP(A6688,'Base Prueba'!A:E,5,),"NO REGISTRA")</f>
        <v>OFICINA DE MERCADEO</v>
      </c>
    </row>
    <row r="6689" spans="1:5" ht="15.75" x14ac:dyDescent="0.25">
      <c r="A6689" s="14">
        <v>1000604979</v>
      </c>
      <c r="B6689" s="2">
        <v>46154.770789120368</v>
      </c>
      <c r="C6689" s="3" t="str">
        <f>IFERROR(VLOOKUP(A6689,'Base Prueba'!A:C,3,),"NO REGISTRA")</f>
        <v>JULIETH TATIANA PARDO PINTO</v>
      </c>
      <c r="D6689" s="4" t="str">
        <f>IFERROR(VLOOKUP(A6689,'Base Prueba'!A:D,4,),"NO REGISTRA")</f>
        <v>AUXILIAR JURIDICO</v>
      </c>
      <c r="E6689" s="5" t="str">
        <f>IFERROR(VLOOKUP(A6689,'Base Prueba'!A:E,5,),"NO REGISTRA")</f>
        <v>SECRETARIA GENERAL</v>
      </c>
    </row>
    <row r="6690" spans="1:5" ht="15.75" x14ac:dyDescent="0.25">
      <c r="A6690" s="14">
        <v>1000593372</v>
      </c>
      <c r="B6690" s="2">
        <v>46154.770849884262</v>
      </c>
      <c r="C6690" s="3" t="str">
        <f>IFERROR(VLOOKUP(A6690,'Base Prueba'!A:C,3,),"NO REGISTRA")</f>
        <v>LAURA SOFIA CHAPARRO LOPEZ</v>
      </c>
      <c r="D6690" s="4" t="str">
        <f>IFERROR(VLOOKUP(A6690,'Base Prueba'!A:D,4,),"NO REGISTRA")</f>
        <v>AUXILIAR JURIDICO</v>
      </c>
      <c r="E6690" s="5" t="str">
        <f>IFERROR(VLOOKUP(A6690,'Base Prueba'!A:E,5,),"NO REGISTRA")</f>
        <v>SECRETARIA GENERAL</v>
      </c>
    </row>
    <row r="6691" spans="1:5" ht="15.75" x14ac:dyDescent="0.25">
      <c r="A6691" s="14">
        <v>1013098430</v>
      </c>
      <c r="B6691" s="2">
        <v>46154.771343981483</v>
      </c>
      <c r="C6691" s="3" t="str">
        <f>IFERROR(VLOOKUP(A6691,'Base Prueba'!A:C,3,),"NO REGISTRA")</f>
        <v>ANDRES FELIPE LOPEZ ROMERO</v>
      </c>
      <c r="D6691" s="4" t="str">
        <f>IFERROR(VLOOKUP(A6691,'Base Prueba'!A:D,4,),"NO REGISTRA")</f>
        <v>APRENDIZ UNIVERSITARIO</v>
      </c>
      <c r="E6691" s="5" t="str">
        <f>IFERROR(VLOOKUP(A6691,'Base Prueba'!A:E,5,),"NO REGISTRA")</f>
        <v>OFICINA DE MERCADEO</v>
      </c>
    </row>
    <row r="6692" spans="1:5" ht="15.75" x14ac:dyDescent="0.25">
      <c r="A6692" s="14">
        <v>1013101788</v>
      </c>
      <c r="B6692" s="2">
        <v>46154.771366550929</v>
      </c>
      <c r="C6692" s="3" t="str">
        <f>IFERROR(VLOOKUP(A6692,'Base Prueba'!A:C,3,),"NO REGISTRA")</f>
        <v>SARA TANGARIFE MONTOYA</v>
      </c>
      <c r="D6692" s="4" t="str">
        <f>IFERROR(VLOOKUP(A6692,'Base Prueba'!A:D,4,),"NO REGISTRA")</f>
        <v>APRENDIZ UNIVERSITARIO</v>
      </c>
      <c r="E6692" s="5" t="str">
        <f>IFERROR(VLOOKUP(A6692,'Base Prueba'!A:E,5,),"NO REGISTRA")</f>
        <v>OFICINA DE MERCADEO</v>
      </c>
    </row>
    <row r="6693" spans="1:5" ht="15.75" x14ac:dyDescent="0.25">
      <c r="A6693" s="14">
        <v>1000457706</v>
      </c>
      <c r="B6693" s="2">
        <v>46154.772867939813</v>
      </c>
      <c r="C6693" s="3" t="str">
        <f>IFERROR(VLOOKUP(A6693,'Base Prueba'!A:C,3,),"NO REGISTRA")</f>
        <v>CRISTIAN DANILO ARROYO SANABRIA</v>
      </c>
      <c r="D6693" s="4" t="str">
        <f>IFERROR(VLOOKUP(A6693,'Base Prueba'!A:D,4,),"NO REGISTRA")</f>
        <v>AUXILIAR CONTABLE</v>
      </c>
      <c r="E6693" s="5" t="str">
        <f>IFERROR(VLOOKUP(A6693,'Base Prueba'!A:E,5,),"NO REGISTRA")</f>
        <v>AREA FINANCIERA Y CONTABLE</v>
      </c>
    </row>
    <row r="6694" spans="1:5" ht="15.75" x14ac:dyDescent="0.25">
      <c r="A6694" s="14">
        <v>1033709056</v>
      </c>
      <c r="B6694" s="2">
        <v>46154.775152546295</v>
      </c>
      <c r="C6694" s="3" t="str">
        <f>IFERROR(VLOOKUP(A6694,'Base Prueba'!A:C,3,),"NO REGISTRA")</f>
        <v>YEIMY ALEXANDRA RODRIGUEZ PALACIO</v>
      </c>
      <c r="D6694" s="4" t="str">
        <f>IFERROR(VLOOKUP(A6694,'Base Prueba'!A:D,4,),"NO REGISTRA")</f>
        <v>PROMOTOR CALL CENTER</v>
      </c>
      <c r="E6694" s="5" t="str">
        <f>IFERROR(VLOOKUP(A6694,'Base Prueba'!A:E,5,),"NO REGISTRA")</f>
        <v>OFICINA DE MERCADEO</v>
      </c>
    </row>
    <row r="6695" spans="1:5" ht="15.75" x14ac:dyDescent="0.25">
      <c r="A6695" s="14">
        <v>1000257136</v>
      </c>
      <c r="B6695" s="2">
        <v>46154.7754255787</v>
      </c>
      <c r="C6695" s="3" t="str">
        <f>IFERROR(VLOOKUP(A6695,'Base Prueba'!A:C,3,),"NO REGISTRA")</f>
        <v>FRANCI VALENTINA CANO PUENTES</v>
      </c>
      <c r="D6695" s="4" t="str">
        <f>IFERROR(VLOOKUP(A6695,'Base Prueba'!A:D,4,),"NO REGISTRA")</f>
        <v>AUXILIAR CONTABLE</v>
      </c>
      <c r="E6695" s="5" t="str">
        <f>IFERROR(VLOOKUP(A6695,'Base Prueba'!A:E,5,),"NO REGISTRA")</f>
        <v>AREA FINANCIERA Y CONTABLE</v>
      </c>
    </row>
    <row r="6696" spans="1:5" ht="15.75" x14ac:dyDescent="0.25">
      <c r="A6696" s="14">
        <v>53932358</v>
      </c>
      <c r="B6696" s="2">
        <v>46154.777542361109</v>
      </c>
      <c r="C6696" s="3" t="str">
        <f>IFERROR(VLOOKUP(A6696,'Base Prueba'!A:C,3,),"NO REGISTRA")</f>
        <v>DIANA MADELEYNE GAONA RODRIGUEZ</v>
      </c>
      <c r="D6696" s="4" t="str">
        <f>IFERROR(VLOOKUP(A6696,'Base Prueba'!A:D,4,),"NO REGISTRA")</f>
        <v>CONTADOR</v>
      </c>
      <c r="E6696" s="5" t="str">
        <f>IFERROR(VLOOKUP(A6696,'Base Prueba'!A:E,5,),"NO REGISTRA")</f>
        <v>AREA FINANCIERA Y CONTABLE</v>
      </c>
    </row>
    <row r="6697" spans="1:5" ht="15.75" x14ac:dyDescent="0.25">
      <c r="A6697" s="14">
        <v>1019105003</v>
      </c>
      <c r="B6697" s="2">
        <v>46154.778918865741</v>
      </c>
      <c r="C6697" s="3" t="str">
        <f>IFERROR(VLOOKUP(A6697,'Base Prueba'!A:C,3,),"NO REGISTRA")</f>
        <v>DAISY JULIETH GASPAR MORENO</v>
      </c>
      <c r="D6697" s="4" t="str">
        <f>IFERROR(VLOOKUP(A6697,'Base Prueba'!A:D,4,),"NO REGISTRA")</f>
        <v>PROMOTOR CALL CENTER</v>
      </c>
      <c r="E6697" s="5" t="str">
        <f>IFERROR(VLOOKUP(A6697,'Base Prueba'!A:E,5,),"NO REGISTRA")</f>
        <v>OFICINA DE MERCADEO</v>
      </c>
    </row>
    <row r="6698" spans="1:5" ht="15.75" x14ac:dyDescent="0.25">
      <c r="A6698" s="14">
        <v>53089882</v>
      </c>
      <c r="B6698" s="2">
        <v>46154.779654976854</v>
      </c>
      <c r="C6698" s="3" t="str">
        <f>IFERROR(VLOOKUP(A6698,'Base Prueba'!A:C,3,),"NO REGISTRA")</f>
        <v>MARIA JOHANA ESCAMILLA MARTINEZ</v>
      </c>
      <c r="D6698" s="4" t="str">
        <f>IFERROR(VLOOKUP(A6698,'Base Prueba'!A:D,4,),"NO REGISTRA")</f>
        <v>PROMOTOR DE INFORMACIÓN</v>
      </c>
      <c r="E6698" s="5" t="str">
        <f>IFERROR(VLOOKUP(A6698,'Base Prueba'!A:E,5,),"NO REGISTRA")</f>
        <v>OFICINA DE MERCADEO</v>
      </c>
    </row>
    <row r="6699" spans="1:5" ht="15.75" x14ac:dyDescent="0.25">
      <c r="A6699" s="14">
        <v>1018413529</v>
      </c>
      <c r="B6699" s="2">
        <v>46154.779761574071</v>
      </c>
      <c r="C6699" s="3" t="str">
        <f>IFERROR(VLOOKUP(A6699,'Base Prueba'!A:C,3,),"NO REGISTRA")</f>
        <v>FRANCY STELLA CHARRY MORENO</v>
      </c>
      <c r="D6699" s="4" t="str">
        <f>IFERROR(VLOOKUP(A6699,'Base Prueba'!A:D,4,),"NO REGISTRA")</f>
        <v>PROMOTOR COMERCIAL DEL CEA</v>
      </c>
      <c r="E6699" s="5" t="str">
        <f>IFERROR(VLOOKUP(A6699,'Base Prueba'!A:E,5,),"NO REGISTRA")</f>
        <v>OFICINA DE MERCADEO</v>
      </c>
    </row>
    <row r="6700" spans="1:5" ht="15.75" x14ac:dyDescent="0.25">
      <c r="A6700" s="14">
        <v>52764929</v>
      </c>
      <c r="B6700" s="2">
        <v>46154.781720833336</v>
      </c>
      <c r="C6700" s="3" t="str">
        <f>IFERROR(VLOOKUP(A6700,'Base Prueba'!A:C,3,),"NO REGISTRA")</f>
        <v>GUERLY YOHANA DURAN RIVERA</v>
      </c>
      <c r="D6700" s="4" t="str">
        <f>IFERROR(VLOOKUP(A6700,'Base Prueba'!A:D,4,),"NO REGISTRA")</f>
        <v>LIDER DE VINCULACION COLEGIOS</v>
      </c>
      <c r="E6700" s="5" t="str">
        <f>IFERROR(VLOOKUP(A6700,'Base Prueba'!A:E,5,),"NO REGISTRA")</f>
        <v>OFICINA DE MERCADEO</v>
      </c>
    </row>
    <row r="6701" spans="1:5" ht="15.75" x14ac:dyDescent="0.25">
      <c r="A6701" s="14">
        <v>52472386</v>
      </c>
      <c r="B6701" s="2">
        <v>46154.782273495373</v>
      </c>
      <c r="C6701" s="3" t="str">
        <f>IFERROR(VLOOKUP(A6701,'Base Prueba'!A:C,3,),"NO REGISTRA")</f>
        <v>ADRIANA MARCELA MORALES PARDO</v>
      </c>
      <c r="D6701" s="4" t="str">
        <f>IFERROR(VLOOKUP(A6701,'Base Prueba'!A:D,4,),"NO REGISTRA")</f>
        <v>PROMOTOR CALL CENTER</v>
      </c>
      <c r="E6701" s="5" t="str">
        <f>IFERROR(VLOOKUP(A6701,'Base Prueba'!A:E,5,),"NO REGISTRA")</f>
        <v>OFICINA DE MERCADEO</v>
      </c>
    </row>
    <row r="6702" spans="1:5" ht="15.75" x14ac:dyDescent="0.25">
      <c r="A6702" s="14">
        <v>1032407386</v>
      </c>
      <c r="B6702" s="2">
        <v>46154.783369097226</v>
      </c>
      <c r="C6702" s="3" t="str">
        <f>IFERROR(VLOOKUP(A6702,'Base Prueba'!A:C,3,),"NO REGISTRA")</f>
        <v>GINA PAOLA BAEZ GALVIS</v>
      </c>
      <c r="D6702" s="4" t="str">
        <f>IFERROR(VLOOKUP(A6702,'Base Prueba'!A:D,4,),"NO REGISTRA")</f>
        <v>PROMOTOR CALL CENTER</v>
      </c>
      <c r="E6702" s="5" t="str">
        <f>IFERROR(VLOOKUP(A6702,'Base Prueba'!A:E,5,),"NO REGISTRA")</f>
        <v>OFICINA DE MERCADEO</v>
      </c>
    </row>
    <row r="6703" spans="1:5" ht="15.75" x14ac:dyDescent="0.25">
      <c r="A6703" s="14">
        <v>1018414290</v>
      </c>
      <c r="B6703" s="2">
        <v>46154.783520949073</v>
      </c>
      <c r="C6703" s="3" t="str">
        <f>IFERROR(VLOOKUP(A6703,'Base Prueba'!A:C,3,),"NO REGISTRA")</f>
        <v>AMANDA LISBETH RODRIGUEZ LEON</v>
      </c>
      <c r="D6703" s="4" t="str">
        <f>IFERROR(VLOOKUP(A6703,'Base Prueba'!A:D,4,),"NO REGISTRA")</f>
        <v>PROMOTOR CALL CENTER</v>
      </c>
      <c r="E6703" s="5" t="str">
        <f>IFERROR(VLOOKUP(A6703,'Base Prueba'!A:E,5,),"NO REGISTRA")</f>
        <v>OFICINA DE MERCADEO</v>
      </c>
    </row>
    <row r="6704" spans="1:5" ht="15.75" x14ac:dyDescent="0.25">
      <c r="A6704" s="14">
        <v>80234243</v>
      </c>
      <c r="B6704" s="2">
        <v>46154.788142245372</v>
      </c>
      <c r="C6704" s="3" t="str">
        <f>IFERROR(VLOOKUP(A6704,'Base Prueba'!A:C,3,),"NO REGISTRA")</f>
        <v>ARGENIS MARTINEZ MARTINEZ</v>
      </c>
      <c r="D6704" s="4" t="str">
        <f>IFERROR(VLOOKUP(A6704,'Base Prueba'!A:D,4,),"NO REGISTRA")</f>
        <v>LIDER CALL CENTER</v>
      </c>
      <c r="E6704" s="5" t="str">
        <f>IFERROR(VLOOKUP(A6704,'Base Prueba'!A:E,5,),"NO REGISTRA")</f>
        <v>OFICINA DE MERCADEO</v>
      </c>
    </row>
    <row r="6705" spans="1:5" ht="15.75" x14ac:dyDescent="0.25">
      <c r="A6705" s="14">
        <v>28798349</v>
      </c>
      <c r="B6705" s="2">
        <v>46154.791384837961</v>
      </c>
      <c r="C6705" s="3" t="str">
        <f>IFERROR(VLOOKUP(A6705,'Base Prueba'!A:C,3,),"NO REGISTRA")</f>
        <v>MARTHA ISABEL TOVAR WILLIAMS</v>
      </c>
      <c r="D6705" s="4" t="str">
        <f>IFERROR(VLOOKUP(A6705,'Base Prueba'!A:D,4,),"NO REGISTRA")</f>
        <v>PROMOTOR CALL CENTER</v>
      </c>
      <c r="E6705" s="5" t="str">
        <f>IFERROR(VLOOKUP(A6705,'Base Prueba'!A:E,5,),"NO REGISTRA")</f>
        <v>OFICINA DE MERCADEO</v>
      </c>
    </row>
    <row r="6706" spans="1:5" ht="15.75" x14ac:dyDescent="0.25">
      <c r="A6706" s="14">
        <v>1023961952</v>
      </c>
      <c r="B6706" s="2">
        <v>46154.791422106478</v>
      </c>
      <c r="C6706" s="3" t="str">
        <f>IFERROR(VLOOKUP(A6706,'Base Prueba'!A:C,3,),"NO REGISTRA")</f>
        <v>ALEJANDRO PINZON MERCHAN</v>
      </c>
      <c r="D6706" s="4" t="str">
        <f>IFERROR(VLOOKUP(A6706,'Base Prueba'!A:D,4,),"NO REGISTRA")</f>
        <v>PROMOTOR CALL CENTER</v>
      </c>
      <c r="E6706" s="5" t="str">
        <f>IFERROR(VLOOKUP(A6706,'Base Prueba'!A:E,5,),"NO REGISTRA")</f>
        <v>OFICINA DE MERCADEO</v>
      </c>
    </row>
    <row r="6707" spans="1:5" ht="15.75" x14ac:dyDescent="0.25">
      <c r="A6707" s="14">
        <v>1032469638</v>
      </c>
      <c r="B6707" s="2">
        <v>46154.799728472222</v>
      </c>
      <c r="C6707" s="3" t="str">
        <f>IFERROR(VLOOKUP(A6707,'Base Prueba'!A:C,3,),"NO REGISTRA")</f>
        <v>MAICOL JARBEY GUALTEROS CASTAÑEDA</v>
      </c>
      <c r="D6707" s="4" t="str">
        <f>IFERROR(VLOOKUP(A6707,'Base Prueba'!A:D,4,),"NO REGISTRA")</f>
        <v>COORDINADOR DEL SISTEMA INTERNO DE ASEGURAMIENTO DE LA CALIDAD - SIAC</v>
      </c>
      <c r="E6707" s="5" t="str">
        <f>IFERROR(VLOOKUP(A6707,'Base Prueba'!A:E,5,),"NO REGISTRA")</f>
        <v>OFICINA DE PLANEACION Y GESTION DE LA CALIDAD</v>
      </c>
    </row>
    <row r="6708" spans="1:5" ht="15.75" x14ac:dyDescent="0.25">
      <c r="A6708" s="14">
        <v>1024512067</v>
      </c>
      <c r="B6708" s="2">
        <v>46155.309282060189</v>
      </c>
      <c r="C6708" s="3" t="str">
        <f>IFERROR(VLOOKUP(A6708,'Base Prueba'!A:C,3,),"NO REGISTRA")</f>
        <v>CINDY GIOVANA SALGAR GOMEZ</v>
      </c>
      <c r="D6708" s="4" t="str">
        <f>IFERROR(VLOOKUP(A6708,'Base Prueba'!A:D,4,),"NO REGISTRA")</f>
        <v>COORDINADOR DEL SISTEMA INTEGRADO DE GESTION INSTITUCIONAL - SIGI</v>
      </c>
      <c r="E6708" s="5" t="str">
        <f>IFERROR(VLOOKUP(A6708,'Base Prueba'!A:E,5,),"NO REGISTRA")</f>
        <v>OFICINA DE PLANEACION Y GESTION DE LA CALIDAD</v>
      </c>
    </row>
    <row r="6709" spans="1:5" ht="15.75" x14ac:dyDescent="0.25">
      <c r="A6709" s="14">
        <v>1013616244</v>
      </c>
      <c r="B6709" s="2">
        <v>46155.31266909722</v>
      </c>
      <c r="C6709" s="3" t="str">
        <f>IFERROR(VLOOKUP(A6709,'Base Prueba'!A:C,3,),"NO REGISTRA")</f>
        <v>DIANA CAROLINA MARIN BETANCOURT</v>
      </c>
      <c r="D6709" s="4" t="str">
        <f>IFERROR(VLOOKUP(A6709,'Base Prueba'!A:D,4,),"NO REGISTRA")</f>
        <v>AUXILIAR ADMINISTRATIVO</v>
      </c>
      <c r="E6709" s="5" t="str">
        <f>IFERROR(VLOOKUP(A6709,'Base Prueba'!A:E,5,),"NO REGISTRA")</f>
        <v>REGISTRO Y CONTROL ACADEMICO</v>
      </c>
    </row>
    <row r="6710" spans="1:5" ht="15.75" x14ac:dyDescent="0.25">
      <c r="A6710" s="14">
        <v>1000992568</v>
      </c>
      <c r="B6710" s="2">
        <v>46155.324419560187</v>
      </c>
      <c r="C6710" s="3" t="str">
        <f>IFERROR(VLOOKUP(A6710,'Base Prueba'!A:C,3,),"NO REGISTRA")</f>
        <v>KAREN BRIGITTE DALEMAN MORENO</v>
      </c>
      <c r="D6710" s="4" t="str">
        <f>IFERROR(VLOOKUP(A6710,'Base Prueba'!A:D,4,),"NO REGISTRA")</f>
        <v>RECEPCIONISTA</v>
      </c>
      <c r="E6710" s="5" t="str">
        <f>IFERROR(VLOOKUP(A6710,'Base Prueba'!A:E,5,),"NO REGISTRA")</f>
        <v>CENTRO DE GESTION DOCUMENTAL</v>
      </c>
    </row>
    <row r="6711" spans="1:5" ht="15.75" x14ac:dyDescent="0.25">
      <c r="A6711" s="14">
        <v>1014308296</v>
      </c>
      <c r="B6711" s="2">
        <v>46155.324558912034</v>
      </c>
      <c r="C6711" s="3" t="str">
        <f>IFERROR(VLOOKUP(A6711,'Base Prueba'!A:C,3,),"NO REGISTRA")</f>
        <v>DARLENE YULIANA MORENO CELEITA</v>
      </c>
      <c r="D6711" s="4" t="str">
        <f>IFERROR(VLOOKUP(A6711,'Base Prueba'!A:D,4,),"NO REGISTRA")</f>
        <v>CAJERO PRINCIPAL</v>
      </c>
      <c r="E6711" s="5" t="str">
        <f>IFERROR(VLOOKUP(A6711,'Base Prueba'!A:E,5,),"NO REGISTRA")</f>
        <v>AREA FINANCIERA Y CONTABLE</v>
      </c>
    </row>
    <row r="6712" spans="1:5" ht="15.75" x14ac:dyDescent="0.25">
      <c r="A6712" s="14">
        <v>1000324729</v>
      </c>
      <c r="B6712" s="2">
        <v>46155.331018750003</v>
      </c>
      <c r="C6712" s="3" t="str">
        <f>IFERROR(VLOOKUP(A6712,'Base Prueba'!A:C,3,),"NO REGISTRA")</f>
        <v>ANYIE VANESSA TINOCO CAMACHO</v>
      </c>
      <c r="D6712" s="4" t="str">
        <f>IFERROR(VLOOKUP(A6712,'Base Prueba'!A:D,4,),"NO REGISTRA")</f>
        <v>LIDER DE REGISTRO Y CONTROL</v>
      </c>
      <c r="E6712" s="5" t="str">
        <f>IFERROR(VLOOKUP(A6712,'Base Prueba'!A:E,5,),"NO REGISTRA")</f>
        <v>REGISTRO Y CONTROL ACADEMICO</v>
      </c>
    </row>
    <row r="6713" spans="1:5" ht="15.75" x14ac:dyDescent="0.25">
      <c r="A6713" s="14">
        <v>1013098430</v>
      </c>
      <c r="B6713" s="2">
        <v>46155.331893634262</v>
      </c>
      <c r="C6713" s="3" t="str">
        <f>IFERROR(VLOOKUP(A6713,'Base Prueba'!A:C,3,),"NO REGISTRA")</f>
        <v>ANDRES FELIPE LOPEZ ROMERO</v>
      </c>
      <c r="D6713" s="4" t="str">
        <f>IFERROR(VLOOKUP(A6713,'Base Prueba'!A:D,4,),"NO REGISTRA")</f>
        <v>APRENDIZ UNIVERSITARIO</v>
      </c>
      <c r="E6713" s="5" t="str">
        <f>IFERROR(VLOOKUP(A6713,'Base Prueba'!A:E,5,),"NO REGISTRA")</f>
        <v>OFICINA DE MERCADEO</v>
      </c>
    </row>
    <row r="6714" spans="1:5" ht="15.75" x14ac:dyDescent="0.25">
      <c r="A6714" s="14">
        <v>52225539</v>
      </c>
      <c r="B6714" s="2">
        <v>46155.334221874997</v>
      </c>
      <c r="C6714" s="3" t="str">
        <f>IFERROR(VLOOKUP(A6714,'Base Prueba'!A:C,3,),"NO REGISTRA")</f>
        <v>LISA MINELLY ZAMBRANO CONTRERAS</v>
      </c>
      <c r="D6714" s="4" t="str">
        <f>IFERROR(VLOOKUP(A6714,'Base Prueba'!A:D,4,),"NO REGISTRA")</f>
        <v>LIDER DE COMPRAS</v>
      </c>
      <c r="E6714" s="5" t="str">
        <f>IFERROR(VLOOKUP(A6714,'Base Prueba'!A:E,5,),"NO REGISTRA")</f>
        <v>VICERRECTORIA ADMINISTRATIVA Y FINANCIERA</v>
      </c>
    </row>
    <row r="6715" spans="1:5" ht="15.75" x14ac:dyDescent="0.25">
      <c r="A6715" s="14">
        <v>80191732</v>
      </c>
      <c r="B6715" s="2">
        <v>46155.334692592594</v>
      </c>
      <c r="C6715" s="3" t="str">
        <f>IFERROR(VLOOKUP(A6715,'Base Prueba'!A:C,3,),"NO REGISTRA")</f>
        <v>DANIEL MAURICIO ZAMBRANO TUNJANO</v>
      </c>
      <c r="D6715" s="4" t="str">
        <f>IFERROR(VLOOKUP(A6715,'Base Prueba'!A:D,4,),"NO REGISTRA")</f>
        <v>COORDINADOR DE DISEÑO E IMAGEN INSTITUCIONAL</v>
      </c>
      <c r="E6715" s="5" t="str">
        <f>IFERROR(VLOOKUP(A6715,'Base Prueba'!A:E,5,),"NO REGISTRA")</f>
        <v>OFICINA DE MERCADEO</v>
      </c>
    </row>
    <row r="6716" spans="1:5" ht="15.75" x14ac:dyDescent="0.25">
      <c r="A6716" s="14">
        <v>1022996882</v>
      </c>
      <c r="B6716" s="2">
        <v>46155.337332060182</v>
      </c>
      <c r="C6716" s="3" t="str">
        <f>IFERROR(VLOOKUP(A6716,'Base Prueba'!A:C,3,),"NO REGISTRA")</f>
        <v>NANCY BRIGITH ALDANA GUEVARA</v>
      </c>
      <c r="D6716" s="4" t="str">
        <f>IFERROR(VLOOKUP(A6716,'Base Prueba'!A:D,4,),"NO REGISTRA")</f>
        <v>COORDINADORA DE GESTIÓN HUMANA</v>
      </c>
      <c r="E6716" s="5" t="str">
        <f>IFERROR(VLOOKUP(A6716,'Base Prueba'!A:E,5,),"NO REGISTRA")</f>
        <v>DEPARTAMENTO DE GESTION HUMANA</v>
      </c>
    </row>
    <row r="6717" spans="1:5" ht="15.75" x14ac:dyDescent="0.25">
      <c r="A6717" s="14">
        <v>1193457976</v>
      </c>
      <c r="B6717" s="2">
        <v>46155.338651851853</v>
      </c>
      <c r="C6717" s="3" t="str">
        <f>IFERROR(VLOOKUP(A6717,'Base Prueba'!A:C,3,),"NO REGISTRA")</f>
        <v>SEDENIS RIVAS ASPRILLA</v>
      </c>
      <c r="D6717" s="4" t="str">
        <f>IFERROR(VLOOKUP(A6717,'Base Prueba'!A:D,4,),"NO REGISTRA")</f>
        <v>APRENDIZ UNIVERSITARIO</v>
      </c>
      <c r="E6717" s="5" t="str">
        <f>IFERROR(VLOOKUP(A6717,'Base Prueba'!A:E,5,),"NO REGISTRA")</f>
        <v>DEPARTAMENTO DE GESTION HUMANA</v>
      </c>
    </row>
    <row r="6718" spans="1:5" ht="15.75" x14ac:dyDescent="0.25">
      <c r="A6718" s="14">
        <v>1033820146</v>
      </c>
      <c r="B6718" s="2">
        <v>46155.339601851854</v>
      </c>
      <c r="C6718" s="3" t="str">
        <f>IFERROR(VLOOKUP(A6718,'Base Prueba'!A:C,3,),"NO REGISTRA")</f>
        <v>JULIETH ALEXANDRA BUSTAMANTE RUIZ</v>
      </c>
      <c r="D6718" s="4" t="str">
        <f>IFERROR(VLOOKUP(A6718,'Base Prueba'!A:D,4,),"NO REGISTRA")</f>
        <v>AUXILIAR ADMINISTRATIVO</v>
      </c>
      <c r="E6718" s="5" t="str">
        <f>IFERROR(VLOOKUP(A6718,'Base Prueba'!A:E,5,),"NO REGISTRA")</f>
        <v>REGISTRO Y CONTROL ACADEMICO</v>
      </c>
    </row>
    <row r="6719" spans="1:5" ht="15.75" x14ac:dyDescent="0.25">
      <c r="A6719" s="14">
        <v>1000257136</v>
      </c>
      <c r="B6719" s="2">
        <v>46155.339988425927</v>
      </c>
      <c r="C6719" s="3" t="str">
        <f>IFERROR(VLOOKUP(A6719,'Base Prueba'!A:C,3,),"NO REGISTRA")</f>
        <v>FRANCI VALENTINA CANO PUENTES</v>
      </c>
      <c r="D6719" s="4" t="str">
        <f>IFERROR(VLOOKUP(A6719,'Base Prueba'!A:D,4,),"NO REGISTRA")</f>
        <v>AUXILIAR CONTABLE</v>
      </c>
      <c r="E6719" s="5" t="str">
        <f>IFERROR(VLOOKUP(A6719,'Base Prueba'!A:E,5,),"NO REGISTRA")</f>
        <v>AREA FINANCIERA Y CONTABLE</v>
      </c>
    </row>
    <row r="6720" spans="1:5" ht="15.75" x14ac:dyDescent="0.25">
      <c r="A6720" s="14">
        <v>1014196857</v>
      </c>
      <c r="B6720" s="2">
        <v>46155.342632754633</v>
      </c>
      <c r="C6720" s="3" t="str">
        <f>IFERROR(VLOOKUP(A6720,'Base Prueba'!A:C,3,),"NO REGISTRA")</f>
        <v>CARLOS ANDRES JIMENEZ PARDO</v>
      </c>
      <c r="D6720" s="4" t="str">
        <f>IFERROR(VLOOKUP(A6720,'Base Prueba'!A:D,4,),"NO REGISTRA")</f>
        <v>COORDINADOR DE MARKETING DIGITAL</v>
      </c>
      <c r="E6720" s="5" t="str">
        <f>IFERROR(VLOOKUP(A6720,'Base Prueba'!A:E,5,),"NO REGISTRA")</f>
        <v>OFICINA DE MERCADEO</v>
      </c>
    </row>
    <row r="6721" spans="1:5" ht="15.75" x14ac:dyDescent="0.25">
      <c r="A6721" s="14">
        <v>1087121273</v>
      </c>
      <c r="B6721" s="2">
        <v>46155.343162847224</v>
      </c>
      <c r="C6721" s="3" t="str">
        <f>IFERROR(VLOOKUP(A6721,'Base Prueba'!A:C,3,),"NO REGISTRA")</f>
        <v>MAYRA ALEJANDRA CASTILLO ARBOLEDA</v>
      </c>
      <c r="D6721" s="4" t="str">
        <f>IFERROR(VLOOKUP(A6721,'Base Prueba'!A:D,4,),"NO REGISTRA")</f>
        <v>APOYO INTEGRAL DE MERCADEO</v>
      </c>
      <c r="E6721" s="5" t="str">
        <f>IFERROR(VLOOKUP(A6721,'Base Prueba'!A:E,5,),"NO REGISTRA")</f>
        <v>CENTRO DE GESTION DOCUMENTAL</v>
      </c>
    </row>
    <row r="6722" spans="1:5" ht="15.75" x14ac:dyDescent="0.25">
      <c r="A6722" s="14">
        <v>1000604979</v>
      </c>
      <c r="B6722" s="2">
        <v>46155.344523148146</v>
      </c>
      <c r="C6722" s="3" t="str">
        <f>IFERROR(VLOOKUP(A6722,'Base Prueba'!A:C,3,),"NO REGISTRA")</f>
        <v>JULIETH TATIANA PARDO PINTO</v>
      </c>
      <c r="D6722" s="4" t="str">
        <f>IFERROR(VLOOKUP(A6722,'Base Prueba'!A:D,4,),"NO REGISTRA")</f>
        <v>AUXILIAR JURIDICO</v>
      </c>
      <c r="E6722" s="5" t="str">
        <f>IFERROR(VLOOKUP(A6722,'Base Prueba'!A:E,5,),"NO REGISTRA")</f>
        <v>SECRETARIA GENERAL</v>
      </c>
    </row>
    <row r="6723" spans="1:5" ht="15.75" x14ac:dyDescent="0.25">
      <c r="A6723" s="14">
        <v>53932358</v>
      </c>
      <c r="B6723" s="2">
        <v>46155.347226967591</v>
      </c>
      <c r="C6723" s="3" t="str">
        <f>IFERROR(VLOOKUP(A6723,'Base Prueba'!A:C,3,),"NO REGISTRA")</f>
        <v>DIANA MADELEYNE GAONA RODRIGUEZ</v>
      </c>
      <c r="D6723" s="4" t="str">
        <f>IFERROR(VLOOKUP(A6723,'Base Prueba'!A:D,4,),"NO REGISTRA")</f>
        <v>CONTADOR</v>
      </c>
      <c r="E6723" s="5" t="str">
        <f>IFERROR(VLOOKUP(A6723,'Base Prueba'!A:E,5,),"NO REGISTRA")</f>
        <v>AREA FINANCIERA Y CONTABLE</v>
      </c>
    </row>
    <row r="6724" spans="1:5" ht="15.75" x14ac:dyDescent="0.25">
      <c r="A6724" s="14">
        <v>1023883232</v>
      </c>
      <c r="B6724" s="2">
        <v>46155.348520023152</v>
      </c>
      <c r="C6724" s="3" t="str">
        <f>IFERROR(VLOOKUP(A6724,'Base Prueba'!A:C,3,),"NO REGISTRA")</f>
        <v>MONICA ANDREA ACERO URBANO</v>
      </c>
      <c r="D6724" s="4" t="str">
        <f>IFERROR(VLOOKUP(A6724,'Base Prueba'!A:D,4,),"NO REGISTRA")</f>
        <v>APOYO INTEGRAL A GESTION HUMANA</v>
      </c>
      <c r="E6724" s="5" t="str">
        <f>IFERROR(VLOOKUP(A6724,'Base Prueba'!A:E,5,),"NO REGISTRA")</f>
        <v>DEPARTAMENTO DE GESTION HUMANA</v>
      </c>
    </row>
    <row r="6725" spans="1:5" ht="15.75" x14ac:dyDescent="0.25">
      <c r="A6725" s="14">
        <v>1000457706</v>
      </c>
      <c r="B6725" s="2">
        <v>46155.34886539352</v>
      </c>
      <c r="C6725" s="3" t="str">
        <f>IFERROR(VLOOKUP(A6725,'Base Prueba'!A:C,3,),"NO REGISTRA")</f>
        <v>CRISTIAN DANILO ARROYO SANABRIA</v>
      </c>
      <c r="D6725" s="4" t="str">
        <f>IFERROR(VLOOKUP(A6725,'Base Prueba'!A:D,4,),"NO REGISTRA")</f>
        <v>AUXILIAR CONTABLE</v>
      </c>
      <c r="E6725" s="5" t="str">
        <f>IFERROR(VLOOKUP(A6725,'Base Prueba'!A:E,5,),"NO REGISTRA")</f>
        <v>AREA FINANCIERA Y CONTABLE</v>
      </c>
    </row>
    <row r="6726" spans="1:5" ht="15.75" x14ac:dyDescent="0.25">
      <c r="A6726" s="14">
        <v>1033709056</v>
      </c>
      <c r="B6726" s="2">
        <v>46155.360539814814</v>
      </c>
      <c r="C6726" s="3" t="str">
        <f>IFERROR(VLOOKUP(A6726,'Base Prueba'!A:C,3,),"NO REGISTRA")</f>
        <v>YEIMY ALEXANDRA RODRIGUEZ PALACIO</v>
      </c>
      <c r="D6726" s="4" t="str">
        <f>IFERROR(VLOOKUP(A6726,'Base Prueba'!A:D,4,),"NO REGISTRA")</f>
        <v>PROMOTOR CALL CENTER</v>
      </c>
      <c r="E6726" s="5" t="str">
        <f>IFERROR(VLOOKUP(A6726,'Base Prueba'!A:E,5,),"NO REGISTRA")</f>
        <v>OFICINA DE MERCADEO</v>
      </c>
    </row>
    <row r="6727" spans="1:5" ht="15.75" x14ac:dyDescent="0.25">
      <c r="A6727" s="14">
        <v>52472386</v>
      </c>
      <c r="B6727" s="2">
        <v>46155.362497106478</v>
      </c>
      <c r="C6727" s="3" t="str">
        <f>IFERROR(VLOOKUP(A6727,'Base Prueba'!A:C,3,),"NO REGISTRA")</f>
        <v>ADRIANA MARCELA MORALES PARDO</v>
      </c>
      <c r="D6727" s="4" t="str">
        <f>IFERROR(VLOOKUP(A6727,'Base Prueba'!A:D,4,),"NO REGISTRA")</f>
        <v>PROMOTOR CALL CENTER</v>
      </c>
      <c r="E6727" s="5" t="str">
        <f>IFERROR(VLOOKUP(A6727,'Base Prueba'!A:E,5,),"NO REGISTRA")</f>
        <v>OFICINA DE MERCADEO</v>
      </c>
    </row>
    <row r="6728" spans="1:5" ht="15.75" x14ac:dyDescent="0.25">
      <c r="A6728" s="14">
        <v>52175674</v>
      </c>
      <c r="B6728" s="2">
        <v>46155.363791782409</v>
      </c>
      <c r="C6728" s="3" t="str">
        <f>IFERROR(VLOOKUP(A6728,'Base Prueba'!A:C,3,),"NO REGISTRA")</f>
        <v>LUZ YANETH GOMEZ AREVALO</v>
      </c>
      <c r="D6728" s="4" t="str">
        <f>IFERROR(VLOOKUP(A6728,'Base Prueba'!A:D,4,),"NO REGISTRA")</f>
        <v>COORDINADORA DE ADMISIONES</v>
      </c>
      <c r="E6728" s="5" t="str">
        <f>IFERROR(VLOOKUP(A6728,'Base Prueba'!A:E,5,),"NO REGISTRA")</f>
        <v>OFICINA DE MERCADEO</v>
      </c>
    </row>
    <row r="6729" spans="1:5" ht="15.75" x14ac:dyDescent="0.25">
      <c r="A6729" s="14">
        <v>1018413529</v>
      </c>
      <c r="B6729" s="2">
        <v>46155.365826851848</v>
      </c>
      <c r="C6729" s="3" t="str">
        <f>IFERROR(VLOOKUP(A6729,'Base Prueba'!A:C,3,),"NO REGISTRA")</f>
        <v>FRANCY STELLA CHARRY MORENO</v>
      </c>
      <c r="D6729" s="4" t="str">
        <f>IFERROR(VLOOKUP(A6729,'Base Prueba'!A:D,4,),"NO REGISTRA")</f>
        <v>PROMOTOR COMERCIAL DEL CEA</v>
      </c>
      <c r="E6729" s="5" t="str">
        <f>IFERROR(VLOOKUP(A6729,'Base Prueba'!A:E,5,),"NO REGISTRA")</f>
        <v>OFICINA DE MERCADEO</v>
      </c>
    </row>
    <row r="6730" spans="1:5" ht="15.75" x14ac:dyDescent="0.25">
      <c r="A6730" s="14">
        <v>28798349</v>
      </c>
      <c r="B6730" s="2">
        <v>46155.368718518519</v>
      </c>
      <c r="C6730" s="3" t="str">
        <f>IFERROR(VLOOKUP(A6730,'Base Prueba'!A:C,3,),"NO REGISTRA")</f>
        <v>MARTHA ISABEL TOVAR WILLIAMS</v>
      </c>
      <c r="D6730" s="4" t="str">
        <f>IFERROR(VLOOKUP(A6730,'Base Prueba'!A:D,4,),"NO REGISTRA")</f>
        <v>PROMOTOR CALL CENTER</v>
      </c>
      <c r="E6730" s="5" t="str">
        <f>IFERROR(VLOOKUP(A6730,'Base Prueba'!A:E,5,),"NO REGISTRA")</f>
        <v>OFICINA DE MERCADEO</v>
      </c>
    </row>
    <row r="6731" spans="1:5" ht="15.75" x14ac:dyDescent="0.25">
      <c r="A6731" s="14">
        <v>1032407386</v>
      </c>
      <c r="B6731" s="2">
        <v>46155.370814236114</v>
      </c>
      <c r="C6731" s="3" t="str">
        <f>IFERROR(VLOOKUP(A6731,'Base Prueba'!A:C,3,),"NO REGISTRA")</f>
        <v>GINA PAOLA BAEZ GALVIS</v>
      </c>
      <c r="D6731" s="4" t="str">
        <f>IFERROR(VLOOKUP(A6731,'Base Prueba'!A:D,4,),"NO REGISTRA")</f>
        <v>PROMOTOR CALL CENTER</v>
      </c>
      <c r="E6731" s="5" t="str">
        <f>IFERROR(VLOOKUP(A6731,'Base Prueba'!A:E,5,),"NO REGISTRA")</f>
        <v>OFICINA DE MERCADEO</v>
      </c>
    </row>
    <row r="6732" spans="1:5" ht="15.75" x14ac:dyDescent="0.25">
      <c r="A6732" s="14">
        <v>1013101788</v>
      </c>
      <c r="B6732" s="2">
        <v>46155.371640509256</v>
      </c>
      <c r="C6732" s="3" t="str">
        <f>IFERROR(VLOOKUP(A6732,'Base Prueba'!A:C,3,),"NO REGISTRA")</f>
        <v>SARA TANGARIFE MONTOYA</v>
      </c>
      <c r="D6732" s="4" t="str">
        <f>IFERROR(VLOOKUP(A6732,'Base Prueba'!A:D,4,),"NO REGISTRA")</f>
        <v>APRENDIZ UNIVERSITARIO</v>
      </c>
      <c r="E6732" s="5" t="str">
        <f>IFERROR(VLOOKUP(A6732,'Base Prueba'!A:E,5,),"NO REGISTRA")</f>
        <v>OFICINA DE MERCADEO</v>
      </c>
    </row>
    <row r="6733" spans="1:5" ht="15.75" x14ac:dyDescent="0.25">
      <c r="A6733" s="14">
        <v>53089882</v>
      </c>
      <c r="B6733" s="2">
        <v>46155.373629166665</v>
      </c>
      <c r="C6733" s="3" t="str">
        <f>IFERROR(VLOOKUP(A6733,'Base Prueba'!A:C,3,),"NO REGISTRA")</f>
        <v>MARIA JOHANA ESCAMILLA MARTINEZ</v>
      </c>
      <c r="D6733" s="4" t="str">
        <f>IFERROR(VLOOKUP(A6733,'Base Prueba'!A:D,4,),"NO REGISTRA")</f>
        <v>PROMOTOR DE INFORMACIÓN</v>
      </c>
      <c r="E6733" s="5" t="str">
        <f>IFERROR(VLOOKUP(A6733,'Base Prueba'!A:E,5,),"NO REGISTRA")</f>
        <v>OFICINA DE MERCADEO</v>
      </c>
    </row>
    <row r="6734" spans="1:5" ht="15.75" x14ac:dyDescent="0.25">
      <c r="A6734" s="14">
        <v>1012426741</v>
      </c>
      <c r="B6734" s="2">
        <v>46155.373881481479</v>
      </c>
      <c r="C6734" s="3" t="str">
        <f>IFERROR(VLOOKUP(A6734,'Base Prueba'!A:C,3,),"NO REGISTRA")</f>
        <v>CRISTIAN FABIAN ROJAS SANCENO</v>
      </c>
      <c r="D6734" s="4" t="str">
        <f>IFERROR(VLOOKUP(A6734,'Base Prueba'!A:D,4,),"NO REGISTRA")</f>
        <v>AUXILIAR DE REINTEGROS</v>
      </c>
      <c r="E6734" s="5" t="str">
        <f>IFERROR(VLOOKUP(A6734,'Base Prueba'!A:E,5,),"NO REGISTRA")</f>
        <v>DIRECCION DE BIENESTAR INSTITUCIONAL</v>
      </c>
    </row>
    <row r="6735" spans="1:5" ht="15.75" x14ac:dyDescent="0.25">
      <c r="A6735" s="14">
        <v>80234243</v>
      </c>
      <c r="B6735" s="2">
        <v>46155.374618287038</v>
      </c>
      <c r="C6735" s="3" t="str">
        <f>IFERROR(VLOOKUP(A6735,'Base Prueba'!A:C,3,),"NO REGISTRA")</f>
        <v>ARGENIS MARTINEZ MARTINEZ</v>
      </c>
      <c r="D6735" s="4" t="str">
        <f>IFERROR(VLOOKUP(A6735,'Base Prueba'!A:D,4,),"NO REGISTRA")</f>
        <v>LIDER CALL CENTER</v>
      </c>
      <c r="E6735" s="5" t="str">
        <f>IFERROR(VLOOKUP(A6735,'Base Prueba'!A:E,5,),"NO REGISTRA")</f>
        <v>OFICINA DE MERCADEO</v>
      </c>
    </row>
    <row r="6736" spans="1:5" ht="15.75" x14ac:dyDescent="0.25">
      <c r="A6736" s="14">
        <v>1016090131</v>
      </c>
      <c r="B6736" s="2">
        <v>46155.374725000001</v>
      </c>
      <c r="C6736" s="3" t="str">
        <f>IFERROR(VLOOKUP(A6736,'Base Prueba'!A:C,3,),"NO REGISTRA")</f>
        <v>NICOLAS RODRIGUEZ PACHECO</v>
      </c>
      <c r="D6736" s="4" t="str">
        <f>IFERROR(VLOOKUP(A6736,'Base Prueba'!A:D,4,),"NO REGISTRA")</f>
        <v>COORDINADOR DE COMUNICACIONES</v>
      </c>
      <c r="E6736" s="5" t="str">
        <f>IFERROR(VLOOKUP(A6736,'Base Prueba'!A:E,5,),"NO REGISTRA")</f>
        <v>OFICINA DE MERCADEO</v>
      </c>
    </row>
    <row r="6737" spans="1:5" ht="15.75" x14ac:dyDescent="0.25">
      <c r="A6737" s="14">
        <v>1023961952</v>
      </c>
      <c r="B6737" s="2">
        <v>46155.375196990739</v>
      </c>
      <c r="C6737" s="3" t="str">
        <f>IFERROR(VLOOKUP(A6737,'Base Prueba'!A:C,3,),"NO REGISTRA")</f>
        <v>ALEJANDRO PINZON MERCHAN</v>
      </c>
      <c r="D6737" s="4" t="str">
        <f>IFERROR(VLOOKUP(A6737,'Base Prueba'!A:D,4,),"NO REGISTRA")</f>
        <v>PROMOTOR CALL CENTER</v>
      </c>
      <c r="E6737" s="5" t="str">
        <f>IFERROR(VLOOKUP(A6737,'Base Prueba'!A:E,5,),"NO REGISTRA")</f>
        <v>OFICINA DE MERCADEO</v>
      </c>
    </row>
    <row r="6738" spans="1:5" ht="15.75" x14ac:dyDescent="0.25">
      <c r="A6738" s="14">
        <v>52764929</v>
      </c>
      <c r="B6738" s="2">
        <v>46155.375828240743</v>
      </c>
      <c r="C6738" s="3" t="str">
        <f>IFERROR(VLOOKUP(A6738,'Base Prueba'!A:C,3,),"NO REGISTRA")</f>
        <v>GUERLY YOHANA DURAN RIVERA</v>
      </c>
      <c r="D6738" s="4" t="str">
        <f>IFERROR(VLOOKUP(A6738,'Base Prueba'!A:D,4,),"NO REGISTRA")</f>
        <v>LIDER DE VINCULACION COLEGIOS</v>
      </c>
      <c r="E6738" s="5" t="str">
        <f>IFERROR(VLOOKUP(A6738,'Base Prueba'!A:E,5,),"NO REGISTRA")</f>
        <v>OFICINA DE MERCADEO</v>
      </c>
    </row>
    <row r="6739" spans="1:5" ht="15.75" x14ac:dyDescent="0.25">
      <c r="A6739" s="14">
        <v>1000046533</v>
      </c>
      <c r="B6739" s="2">
        <v>46155.378795254626</v>
      </c>
      <c r="C6739" s="3" t="str">
        <f>IFERROR(VLOOKUP(A6739,'Base Prueba'!A:C,3,),"NO REGISTRA")</f>
        <v>ERIKA JULIETH VALDERRAMA SANCHEZ</v>
      </c>
      <c r="D6739" s="4" t="str">
        <f>IFERROR(VLOOKUP(A6739,'Base Prueba'!A:D,4,),"NO REGISTRA")</f>
        <v>PROMOTOR CALL CENTER</v>
      </c>
      <c r="E6739" s="5" t="str">
        <f>IFERROR(VLOOKUP(A6739,'Base Prueba'!A:E,5,),"NO REGISTRA")</f>
        <v>OFICINA DE MERCADEO</v>
      </c>
    </row>
    <row r="6740" spans="1:5" ht="15.75" x14ac:dyDescent="0.25">
      <c r="A6740" s="14">
        <v>1018414290</v>
      </c>
      <c r="B6740" s="2">
        <v>46155.380183449073</v>
      </c>
      <c r="C6740" s="3" t="str">
        <f>IFERROR(VLOOKUP(A6740,'Base Prueba'!A:C,3,),"NO REGISTRA")</f>
        <v>AMANDA LISBETH RODRIGUEZ LEON</v>
      </c>
      <c r="D6740" s="4" t="str">
        <f>IFERROR(VLOOKUP(A6740,'Base Prueba'!A:D,4,),"NO REGISTRA")</f>
        <v>PROMOTOR CALL CENTER</v>
      </c>
      <c r="E6740" s="5" t="str">
        <f>IFERROR(VLOOKUP(A6740,'Base Prueba'!A:E,5,),"NO REGISTRA")</f>
        <v>OFICINA DE MERCADEO</v>
      </c>
    </row>
    <row r="6741" spans="1:5" ht="15.75" x14ac:dyDescent="0.25">
      <c r="A6741" s="14">
        <v>1024549760</v>
      </c>
      <c r="B6741" s="2">
        <v>46155.423857754628</v>
      </c>
      <c r="C6741" s="3" t="str">
        <f>IFERROR(VLOOKUP(A6741,'Base Prueba'!A:C,3,),"NO REGISTRA")</f>
        <v>FRANCY YISETH JAIMES NEIRA</v>
      </c>
      <c r="D6741" s="4" t="str">
        <f>IFERROR(VLOOKUP(A6741,'Base Prueba'!A:D,4,),"NO REGISTRA")</f>
        <v>SECRETARIA ACADEMICA - ADMINISTRATIVA DE FACULTAD</v>
      </c>
      <c r="E6741" s="5" t="str">
        <f>IFERROR(VLOOKUP(A6741,'Base Prueba'!A:E,5,),"NO REGISTRA")</f>
        <v>FACULTAD DE COMINICACIÓN PERIODISMO Y ARTES</v>
      </c>
    </row>
    <row r="6742" spans="1:5" ht="15.75" x14ac:dyDescent="0.25">
      <c r="A6742" s="14">
        <v>1014977624</v>
      </c>
      <c r="B6742" s="2">
        <v>46155.512662037036</v>
      </c>
      <c r="C6742" s="3" t="str">
        <f>IFERROR(VLOOKUP(A6742,'Base Prueba'!A:C,3,),"NO REGISTRA")</f>
        <v>NICCOLE VALENTINA HERNANDEZ MALAVER</v>
      </c>
      <c r="D6742" s="4" t="str">
        <f>IFERROR(VLOOKUP(A6742,'Base Prueba'!A:D,4,),"NO REGISTRA")</f>
        <v>APRENDIZ UNIVERSITARIO</v>
      </c>
      <c r="E6742" s="5" t="str">
        <f>IFERROR(VLOOKUP(A6742,'Base Prueba'!A:E,5,),"NO REGISTRA")</f>
        <v>AREA FINANCIERA Y CONTABLE</v>
      </c>
    </row>
    <row r="6743" spans="1:5" ht="15.75" x14ac:dyDescent="0.25">
      <c r="A6743" s="14">
        <v>52443092</v>
      </c>
      <c r="B6743" s="2">
        <v>46155.584620254631</v>
      </c>
      <c r="C6743" s="3" t="str">
        <f>IFERROR(VLOOKUP(A6743,'Base Prueba'!A:C,3,),"NO REGISTRA")</f>
        <v>LUZ MYRIAM SAAVEDRA CONTRERAS</v>
      </c>
      <c r="D6743" s="4" t="str">
        <f>IFERROR(VLOOKUP(A6743,'Base Prueba'!A:D,4,),"NO REGISTRA")</f>
        <v>AUXILIAR DE SERVICIOS</v>
      </c>
      <c r="E6743" s="5" t="str">
        <f>IFERROR(VLOOKUP(A6743,'Base Prueba'!A:E,5,),"NO REGISTRA")</f>
        <v>LOGISTICA Y SERVICIOS GENERALES</v>
      </c>
    </row>
    <row r="6744" spans="1:5" ht="15.75" x14ac:dyDescent="0.25">
      <c r="A6744" s="14">
        <v>1000257136</v>
      </c>
      <c r="B6744" s="2">
        <v>46155.70852951389</v>
      </c>
      <c r="C6744" s="3" t="str">
        <f>IFERROR(VLOOKUP(A6744,'Base Prueba'!A:C,3,),"NO REGISTRA")</f>
        <v>FRANCI VALENTINA CANO PUENTES</v>
      </c>
      <c r="D6744" s="4" t="str">
        <f>IFERROR(VLOOKUP(A6744,'Base Prueba'!A:D,4,),"NO REGISTRA")</f>
        <v>AUXILIAR CONTABLE</v>
      </c>
      <c r="E6744" s="5" t="str">
        <f>IFERROR(VLOOKUP(A6744,'Base Prueba'!A:E,5,),"NO REGISTRA")</f>
        <v>AREA FINANCIERA Y CONTABLE</v>
      </c>
    </row>
    <row r="6745" spans="1:5" ht="15.75" x14ac:dyDescent="0.25">
      <c r="A6745" s="14">
        <v>1000324729</v>
      </c>
      <c r="B6745" s="2">
        <v>46155.711253935187</v>
      </c>
      <c r="C6745" s="3" t="str">
        <f>IFERROR(VLOOKUP(A6745,'Base Prueba'!A:C,3,),"NO REGISTRA")</f>
        <v>ANYIE VANESSA TINOCO CAMACHO</v>
      </c>
      <c r="D6745" s="4" t="str">
        <f>IFERROR(VLOOKUP(A6745,'Base Prueba'!A:D,4,),"NO REGISTRA")</f>
        <v>LIDER DE REGISTRO Y CONTROL</v>
      </c>
      <c r="E6745" s="5" t="str">
        <f>IFERROR(VLOOKUP(A6745,'Base Prueba'!A:E,5,),"NO REGISTRA")</f>
        <v>REGISTRO Y CONTROL ACADEMICO</v>
      </c>
    </row>
    <row r="6746" spans="1:5" ht="15.75" x14ac:dyDescent="0.25">
      <c r="A6746" s="14">
        <v>1033820146</v>
      </c>
      <c r="B6746" s="2">
        <v>46155.711276388887</v>
      </c>
      <c r="C6746" s="3" t="str">
        <f>IFERROR(VLOOKUP(A6746,'Base Prueba'!A:C,3,),"NO REGISTRA")</f>
        <v>JULIETH ALEXANDRA BUSTAMANTE RUIZ</v>
      </c>
      <c r="D6746" s="4" t="str">
        <f>IFERROR(VLOOKUP(A6746,'Base Prueba'!A:D,4,),"NO REGISTRA")</f>
        <v>AUXILIAR ADMINISTRATIVO</v>
      </c>
      <c r="E6746" s="5" t="str">
        <f>IFERROR(VLOOKUP(A6746,'Base Prueba'!A:E,5,),"NO REGISTRA")</f>
        <v>REGISTRO Y CONTROL ACADEMICO</v>
      </c>
    </row>
    <row r="6747" spans="1:5" ht="15.75" x14ac:dyDescent="0.25">
      <c r="A6747" s="14">
        <v>1000611958</v>
      </c>
      <c r="B6747" s="2">
        <v>46155.714128703701</v>
      </c>
      <c r="C6747" s="3" t="str">
        <f>IFERROR(VLOOKUP(A6747,'Base Prueba'!A:C,3,),"NO REGISTRA")</f>
        <v>TYLER CORRADINE  VARGAS</v>
      </c>
      <c r="D6747" s="4" t="str">
        <f>IFERROR(VLOOKUP(A6747,'Base Prueba'!A:D,4,),"NO REGISTRA")</f>
        <v>APRENDIZ UNIVERSITARIO</v>
      </c>
      <c r="E6747" s="5" t="str">
        <f>IFERROR(VLOOKUP(A6747,'Base Prueba'!A:E,5,),"NO REGISTRA")</f>
        <v>DEPARTAMENTO DE INFORMATICA Y TECNOLOGIA</v>
      </c>
    </row>
    <row r="6748" spans="1:5" ht="15.75" x14ac:dyDescent="0.25">
      <c r="A6748" s="14">
        <v>1000992568</v>
      </c>
      <c r="B6748" s="2">
        <v>46155.724927314812</v>
      </c>
      <c r="C6748" s="3" t="str">
        <f>IFERROR(VLOOKUP(A6748,'Base Prueba'!A:C,3,),"NO REGISTRA")</f>
        <v>KAREN BRIGITTE DALEMAN MORENO</v>
      </c>
      <c r="D6748" s="4" t="str">
        <f>IFERROR(VLOOKUP(A6748,'Base Prueba'!A:D,4,),"NO REGISTRA")</f>
        <v>RECEPCIONISTA</v>
      </c>
      <c r="E6748" s="5" t="str">
        <f>IFERROR(VLOOKUP(A6748,'Base Prueba'!A:E,5,),"NO REGISTRA")</f>
        <v>CENTRO DE GESTION DOCUMENTAL</v>
      </c>
    </row>
    <row r="6749" spans="1:5" ht="15.75" x14ac:dyDescent="0.25">
      <c r="A6749" s="14">
        <v>52225539</v>
      </c>
      <c r="B6749" s="2">
        <v>46155.750260995374</v>
      </c>
      <c r="C6749" s="3" t="str">
        <f>IFERROR(VLOOKUP(A6749,'Base Prueba'!A:C,3,),"NO REGISTRA")</f>
        <v>LISA MINELLY ZAMBRANO CONTRERAS</v>
      </c>
      <c r="D6749" s="4" t="str">
        <f>IFERROR(VLOOKUP(A6749,'Base Prueba'!A:D,4,),"NO REGISTRA")</f>
        <v>LIDER DE COMPRAS</v>
      </c>
      <c r="E6749" s="5" t="str">
        <f>IFERROR(VLOOKUP(A6749,'Base Prueba'!A:E,5,),"NO REGISTRA")</f>
        <v>VICERRECTORIA ADMINISTRATIVA Y FINANCIERA</v>
      </c>
    </row>
    <row r="6750" spans="1:5" ht="15.75" x14ac:dyDescent="0.25">
      <c r="A6750" s="14">
        <v>1022996882</v>
      </c>
      <c r="B6750" s="2">
        <v>46155.750600810185</v>
      </c>
      <c r="C6750" s="3" t="str">
        <f>IFERROR(VLOOKUP(A6750,'Base Prueba'!A:C,3,),"NO REGISTRA")</f>
        <v>NANCY BRIGITH ALDANA GUEVARA</v>
      </c>
      <c r="D6750" s="4" t="str">
        <f>IFERROR(VLOOKUP(A6750,'Base Prueba'!A:D,4,),"NO REGISTRA")</f>
        <v>COORDINADORA DE GESTIÓN HUMANA</v>
      </c>
      <c r="E6750" s="5" t="str">
        <f>IFERROR(VLOOKUP(A6750,'Base Prueba'!A:E,5,),"NO REGISTRA")</f>
        <v>DEPARTAMENTO DE GESTION HUMANA</v>
      </c>
    </row>
    <row r="6751" spans="1:5" ht="15.75" x14ac:dyDescent="0.25">
      <c r="A6751" s="14">
        <v>1000467399</v>
      </c>
      <c r="B6751" s="2">
        <v>46155.750667824075</v>
      </c>
      <c r="C6751" s="3" t="str">
        <f>IFERROR(VLOOKUP(A6751,'Base Prueba'!A:C,3,),"NO REGISTRA")</f>
        <v>BRANDO ESTIVEN DIAZ QUIMBAYA</v>
      </c>
      <c r="D6751" s="4" t="str">
        <f>IFERROR(VLOOKUP(A6751,'Base Prueba'!A:D,4,),"NO REGISTRA")</f>
        <v>APRENDIZ UNIVERSITARIO</v>
      </c>
      <c r="E6751" s="5" t="str">
        <f>IFERROR(VLOOKUP(A6751,'Base Prueba'!A:E,5,),"NO REGISTRA")</f>
        <v>DEPARTAMENTO DE GESTION HUMANA</v>
      </c>
    </row>
    <row r="6752" spans="1:5" ht="15.75" x14ac:dyDescent="0.25">
      <c r="A6752" s="14">
        <v>1013098430</v>
      </c>
      <c r="B6752" s="2">
        <v>46155.750876157406</v>
      </c>
      <c r="C6752" s="3" t="str">
        <f>IFERROR(VLOOKUP(A6752,'Base Prueba'!A:C,3,),"NO REGISTRA")</f>
        <v>ANDRES FELIPE LOPEZ ROMERO</v>
      </c>
      <c r="D6752" s="4" t="str">
        <f>IFERROR(VLOOKUP(A6752,'Base Prueba'!A:D,4,),"NO REGISTRA")</f>
        <v>APRENDIZ UNIVERSITARIO</v>
      </c>
      <c r="E6752" s="5" t="str">
        <f>IFERROR(VLOOKUP(A6752,'Base Prueba'!A:E,5,),"NO REGISTRA")</f>
        <v>OFICINA DE MERCADEO</v>
      </c>
    </row>
    <row r="6753" spans="1:5" ht="15.75" x14ac:dyDescent="0.25">
      <c r="A6753" s="14">
        <v>1193457976</v>
      </c>
      <c r="B6753" s="2">
        <v>46155.751079629626</v>
      </c>
      <c r="C6753" s="3" t="str">
        <f>IFERROR(VLOOKUP(A6753,'Base Prueba'!A:C,3,),"NO REGISTRA")</f>
        <v>SEDENIS RIVAS ASPRILLA</v>
      </c>
      <c r="D6753" s="4" t="str">
        <f>IFERROR(VLOOKUP(A6753,'Base Prueba'!A:D,4,),"NO REGISTRA")</f>
        <v>APRENDIZ UNIVERSITARIO</v>
      </c>
      <c r="E6753" s="5" t="str">
        <f>IFERROR(VLOOKUP(A6753,'Base Prueba'!A:E,5,),"NO REGISTRA")</f>
        <v>DEPARTAMENTO DE GESTION HUMANA</v>
      </c>
    </row>
    <row r="6754" spans="1:5" ht="15.75" x14ac:dyDescent="0.25">
      <c r="A6754" s="14">
        <v>1014266838</v>
      </c>
      <c r="B6754" s="2">
        <v>46155.753059027775</v>
      </c>
      <c r="C6754" s="3" t="str">
        <f>IFERROR(VLOOKUP(A6754,'Base Prueba'!A:C,3,),"NO REGISTRA")</f>
        <v>JENNIFER ASTRID ROMERO HURTADO</v>
      </c>
      <c r="D6754" s="4" t="str">
        <f>IFERROR(VLOOKUP(A6754,'Base Prueba'!A:D,4,),"NO REGISTRA")</f>
        <v>LIDER DE RECAUDO</v>
      </c>
      <c r="E6754" s="5" t="str">
        <f>IFERROR(VLOOKUP(A6754,'Base Prueba'!A:E,5,),"NO REGISTRA")</f>
        <v>AREA FINANCIERA Y CONTABLE</v>
      </c>
    </row>
    <row r="6755" spans="1:5" ht="15.75" x14ac:dyDescent="0.25">
      <c r="A6755" s="14">
        <v>52175674</v>
      </c>
      <c r="B6755" s="2">
        <v>46155.753414930557</v>
      </c>
      <c r="C6755" s="3" t="str">
        <f>IFERROR(VLOOKUP(A6755,'Base Prueba'!A:C,3,),"NO REGISTRA")</f>
        <v>LUZ YANETH GOMEZ AREVALO</v>
      </c>
      <c r="D6755" s="4" t="str">
        <f>IFERROR(VLOOKUP(A6755,'Base Prueba'!A:D,4,),"NO REGISTRA")</f>
        <v>COORDINADORA DE ADMISIONES</v>
      </c>
      <c r="E6755" s="5" t="str">
        <f>IFERROR(VLOOKUP(A6755,'Base Prueba'!A:E,5,),"NO REGISTRA")</f>
        <v>OFICINA DE MERCADEO</v>
      </c>
    </row>
    <row r="6756" spans="1:5" ht="15.75" x14ac:dyDescent="0.25">
      <c r="A6756" s="14">
        <v>80191732</v>
      </c>
      <c r="B6756" s="2">
        <v>46155.753845486113</v>
      </c>
      <c r="C6756" s="3" t="str">
        <f>IFERROR(VLOOKUP(A6756,'Base Prueba'!A:C,3,),"NO REGISTRA")</f>
        <v>DANIEL MAURICIO ZAMBRANO TUNJANO</v>
      </c>
      <c r="D6756" s="4" t="str">
        <f>IFERROR(VLOOKUP(A6756,'Base Prueba'!A:D,4,),"NO REGISTRA")</f>
        <v>COORDINADOR DE DISEÑO E IMAGEN INSTITUCIONAL</v>
      </c>
      <c r="E6756" s="5" t="str">
        <f>IFERROR(VLOOKUP(A6756,'Base Prueba'!A:E,5,),"NO REGISTRA")</f>
        <v>OFICINA DE MERCADEO</v>
      </c>
    </row>
    <row r="6757" spans="1:5" ht="15.75" x14ac:dyDescent="0.25">
      <c r="A6757" s="14">
        <v>1087121273</v>
      </c>
      <c r="B6757" s="2">
        <v>46155.753960879629</v>
      </c>
      <c r="C6757" s="3" t="str">
        <f>IFERROR(VLOOKUP(A6757,'Base Prueba'!A:C,3,),"NO REGISTRA")</f>
        <v>MAYRA ALEJANDRA CASTILLO ARBOLEDA</v>
      </c>
      <c r="D6757" s="4" t="str">
        <f>IFERROR(VLOOKUP(A6757,'Base Prueba'!A:D,4,),"NO REGISTRA")</f>
        <v>APOYO INTEGRAL DE MERCADEO</v>
      </c>
      <c r="E6757" s="5" t="str">
        <f>IFERROR(VLOOKUP(A6757,'Base Prueba'!A:E,5,),"NO REGISTRA")</f>
        <v>CENTRO DE GESTION DOCUMENTAL</v>
      </c>
    </row>
    <row r="6758" spans="1:5" ht="15.75" x14ac:dyDescent="0.25">
      <c r="A6758" s="14">
        <v>1013616244</v>
      </c>
      <c r="B6758" s="2">
        <v>46155.754151157409</v>
      </c>
      <c r="C6758" s="3" t="str">
        <f>IFERROR(VLOOKUP(A6758,'Base Prueba'!A:C,3,),"NO REGISTRA")</f>
        <v>DIANA CAROLINA MARIN BETANCOURT</v>
      </c>
      <c r="D6758" s="4" t="str">
        <f>IFERROR(VLOOKUP(A6758,'Base Prueba'!A:D,4,),"NO REGISTRA")</f>
        <v>AUXILIAR ADMINISTRATIVO</v>
      </c>
      <c r="E6758" s="5" t="str">
        <f>IFERROR(VLOOKUP(A6758,'Base Prueba'!A:E,5,),"NO REGISTRA")</f>
        <v>REGISTRO Y CONTROL ACADEMICO</v>
      </c>
    </row>
    <row r="6759" spans="1:5" ht="15.75" x14ac:dyDescent="0.25">
      <c r="A6759" s="14">
        <v>1023883232</v>
      </c>
      <c r="B6759" s="2">
        <v>46155.754749305554</v>
      </c>
      <c r="C6759" s="3" t="str">
        <f>IFERROR(VLOOKUP(A6759,'Base Prueba'!A:C,3,),"NO REGISTRA")</f>
        <v>MONICA ANDREA ACERO URBANO</v>
      </c>
      <c r="D6759" s="4" t="str">
        <f>IFERROR(VLOOKUP(A6759,'Base Prueba'!A:D,4,),"NO REGISTRA")</f>
        <v>APOYO INTEGRAL A GESTION HUMANA</v>
      </c>
      <c r="E6759" s="5" t="str">
        <f>IFERROR(VLOOKUP(A6759,'Base Prueba'!A:E,5,),"NO REGISTRA")</f>
        <v>DEPARTAMENTO DE GESTION HUMANA</v>
      </c>
    </row>
    <row r="6760" spans="1:5" ht="15.75" x14ac:dyDescent="0.25">
      <c r="A6760" s="14">
        <v>1014977624</v>
      </c>
      <c r="B6760" s="2">
        <v>46155.755112152779</v>
      </c>
      <c r="C6760" s="3" t="str">
        <f>IFERROR(VLOOKUP(A6760,'Base Prueba'!A:C,3,),"NO REGISTRA")</f>
        <v>NICCOLE VALENTINA HERNANDEZ MALAVER</v>
      </c>
      <c r="D6760" s="4" t="str">
        <f>IFERROR(VLOOKUP(A6760,'Base Prueba'!A:D,4,),"NO REGISTRA")</f>
        <v>APRENDIZ UNIVERSITARIO</v>
      </c>
      <c r="E6760" s="5" t="str">
        <f>IFERROR(VLOOKUP(A6760,'Base Prueba'!A:E,5,),"NO REGISTRA")</f>
        <v>AREA FINANCIERA Y CONTABLE</v>
      </c>
    </row>
    <row r="6761" spans="1:5" ht="15.75" x14ac:dyDescent="0.25">
      <c r="A6761" s="14">
        <v>1014308296</v>
      </c>
      <c r="B6761" s="2">
        <v>46155.757495138889</v>
      </c>
      <c r="C6761" s="3" t="str">
        <f>IFERROR(VLOOKUP(A6761,'Base Prueba'!A:C,3,),"NO REGISTRA")</f>
        <v>DARLENE YULIANA MORENO CELEITA</v>
      </c>
      <c r="D6761" s="4" t="str">
        <f>IFERROR(VLOOKUP(A6761,'Base Prueba'!A:D,4,),"NO REGISTRA")</f>
        <v>CAJERO PRINCIPAL</v>
      </c>
      <c r="E6761" s="5" t="str">
        <f>IFERROR(VLOOKUP(A6761,'Base Prueba'!A:E,5,),"NO REGISTRA")</f>
        <v>AREA FINANCIERA Y CONTABLE</v>
      </c>
    </row>
    <row r="6762" spans="1:5" ht="15.75" x14ac:dyDescent="0.25">
      <c r="A6762" s="14">
        <v>1024512067</v>
      </c>
      <c r="B6762" s="2">
        <v>46155.764663310183</v>
      </c>
      <c r="C6762" s="3" t="str">
        <f>IFERROR(VLOOKUP(A6762,'Base Prueba'!A:C,3,),"NO REGISTRA")</f>
        <v>CINDY GIOVANA SALGAR GOMEZ</v>
      </c>
      <c r="D6762" s="4" t="str">
        <f>IFERROR(VLOOKUP(A6762,'Base Prueba'!A:D,4,),"NO REGISTRA")</f>
        <v>COORDINADOR DEL SISTEMA INTEGRADO DE GESTION INSTITUCIONAL - SIGI</v>
      </c>
      <c r="E6762" s="5" t="str">
        <f>IFERROR(VLOOKUP(A6762,'Base Prueba'!A:E,5,),"NO REGISTRA")</f>
        <v>OFICINA DE PLANEACION Y GESTION DE LA CALIDAD</v>
      </c>
    </row>
    <row r="6763" spans="1:5" ht="15.75" x14ac:dyDescent="0.25">
      <c r="A6763" s="14">
        <v>1000604979</v>
      </c>
      <c r="B6763" s="2">
        <v>46155.766627430552</v>
      </c>
      <c r="C6763" s="3" t="str">
        <f>IFERROR(VLOOKUP(A6763,'Base Prueba'!A:C,3,),"NO REGISTRA")</f>
        <v>JULIETH TATIANA PARDO PINTO</v>
      </c>
      <c r="D6763" s="4" t="str">
        <f>IFERROR(VLOOKUP(A6763,'Base Prueba'!A:D,4,),"NO REGISTRA")</f>
        <v>AUXILIAR JURIDICO</v>
      </c>
      <c r="E6763" s="5" t="str">
        <f>IFERROR(VLOOKUP(A6763,'Base Prueba'!A:E,5,),"NO REGISTRA")</f>
        <v>SECRETARIA GENERAL</v>
      </c>
    </row>
    <row r="6764" spans="1:5" ht="15.75" x14ac:dyDescent="0.25">
      <c r="A6764" s="14">
        <v>1013101788</v>
      </c>
      <c r="B6764" s="2">
        <v>46155.770783796295</v>
      </c>
      <c r="C6764" s="3" t="str">
        <f>IFERROR(VLOOKUP(A6764,'Base Prueba'!A:C,3,),"NO REGISTRA")</f>
        <v>SARA TANGARIFE MONTOYA</v>
      </c>
      <c r="D6764" s="4" t="str">
        <f>IFERROR(VLOOKUP(A6764,'Base Prueba'!A:D,4,),"NO REGISTRA")</f>
        <v>APRENDIZ UNIVERSITARIO</v>
      </c>
      <c r="E6764" s="5" t="str">
        <f>IFERROR(VLOOKUP(A6764,'Base Prueba'!A:E,5,),"NO REGISTRA")</f>
        <v>OFICINA DE MERCADEO</v>
      </c>
    </row>
    <row r="6765" spans="1:5" ht="15.75" x14ac:dyDescent="0.25">
      <c r="A6765" s="14">
        <v>1012426741</v>
      </c>
      <c r="B6765" s="2">
        <v>46155.771854513892</v>
      </c>
      <c r="C6765" s="3" t="str">
        <f>IFERROR(VLOOKUP(A6765,'Base Prueba'!A:C,3,),"NO REGISTRA")</f>
        <v>CRISTIAN FABIAN ROJAS SANCENO</v>
      </c>
      <c r="D6765" s="4" t="str">
        <f>IFERROR(VLOOKUP(A6765,'Base Prueba'!A:D,4,),"NO REGISTRA")</f>
        <v>AUXILIAR DE REINTEGROS</v>
      </c>
      <c r="E6765" s="5" t="str">
        <f>IFERROR(VLOOKUP(A6765,'Base Prueba'!A:E,5,),"NO REGISTRA")</f>
        <v>DIRECCION DE BIENESTAR INSTITUCIONAL</v>
      </c>
    </row>
    <row r="6766" spans="1:5" ht="15.75" x14ac:dyDescent="0.25">
      <c r="A6766" s="14">
        <v>1033709056</v>
      </c>
      <c r="B6766" s="2">
        <v>46155.773191666667</v>
      </c>
      <c r="C6766" s="3" t="str">
        <f>IFERROR(VLOOKUP(A6766,'Base Prueba'!A:C,3,),"NO REGISTRA")</f>
        <v>YEIMY ALEXANDRA RODRIGUEZ PALACIO</v>
      </c>
      <c r="D6766" s="4" t="str">
        <f>IFERROR(VLOOKUP(A6766,'Base Prueba'!A:D,4,),"NO REGISTRA")</f>
        <v>PROMOTOR CALL CENTER</v>
      </c>
      <c r="E6766" s="5" t="str">
        <f>IFERROR(VLOOKUP(A6766,'Base Prueba'!A:E,5,),"NO REGISTRA")</f>
        <v>OFICINA DE MERCADEO</v>
      </c>
    </row>
    <row r="6767" spans="1:5" ht="15.75" x14ac:dyDescent="0.25">
      <c r="A6767" s="14">
        <v>1019105003</v>
      </c>
      <c r="B6767" s="2">
        <v>46155.774124884258</v>
      </c>
      <c r="C6767" s="3" t="str">
        <f>IFERROR(VLOOKUP(A6767,'Base Prueba'!A:C,3,),"NO REGISTRA")</f>
        <v>DAISY JULIETH GASPAR MORENO</v>
      </c>
      <c r="D6767" s="4" t="str">
        <f>IFERROR(VLOOKUP(A6767,'Base Prueba'!A:D,4,),"NO REGISTRA")</f>
        <v>PROMOTOR CALL CENTER</v>
      </c>
      <c r="E6767" s="5" t="str">
        <f>IFERROR(VLOOKUP(A6767,'Base Prueba'!A:E,5,),"NO REGISTRA")</f>
        <v>OFICINA DE MERCADEO</v>
      </c>
    </row>
    <row r="6768" spans="1:5" ht="15.75" x14ac:dyDescent="0.25">
      <c r="A6768" s="14">
        <v>52474489</v>
      </c>
      <c r="B6768" s="2">
        <v>46155.774724421295</v>
      </c>
      <c r="C6768" s="3" t="str">
        <f>IFERROR(VLOOKUP(A6768,'Base Prueba'!A:C,3,),"NO REGISTRA")</f>
        <v>ADRIANA JIMENA SOTO BOCANEGRA</v>
      </c>
      <c r="D6768" s="4" t="str">
        <f>IFERROR(VLOOKUP(A6768,'Base Prueba'!A:D,4,),"NO REGISTRA")</f>
        <v>COORDINADOR DE LA OFICINA DE REGISTRO Y CONTROL</v>
      </c>
      <c r="E6768" s="5" t="str">
        <f>IFERROR(VLOOKUP(A6768,'Base Prueba'!A:E,5,),"NO REGISTRA")</f>
        <v>REGISTRO Y CONTROL ACADEMICO</v>
      </c>
    </row>
    <row r="6769" spans="1:5" ht="15.75" x14ac:dyDescent="0.25">
      <c r="A6769" s="14">
        <v>52472386</v>
      </c>
      <c r="B6769" s="2">
        <v>46155.776796874998</v>
      </c>
      <c r="C6769" s="3" t="str">
        <f>IFERROR(VLOOKUP(A6769,'Base Prueba'!A:C,3,),"NO REGISTRA")</f>
        <v>ADRIANA MARCELA MORALES PARDO</v>
      </c>
      <c r="D6769" s="4" t="str">
        <f>IFERROR(VLOOKUP(A6769,'Base Prueba'!A:D,4,),"NO REGISTRA")</f>
        <v>PROMOTOR CALL CENTER</v>
      </c>
      <c r="E6769" s="5" t="str">
        <f>IFERROR(VLOOKUP(A6769,'Base Prueba'!A:E,5,),"NO REGISTRA")</f>
        <v>OFICINA DE MERCADEO</v>
      </c>
    </row>
    <row r="6770" spans="1:5" ht="15.75" x14ac:dyDescent="0.25">
      <c r="A6770" s="14">
        <v>1032407386</v>
      </c>
      <c r="B6770" s="2">
        <v>46155.77848252315</v>
      </c>
      <c r="C6770" s="3" t="str">
        <f>IFERROR(VLOOKUP(A6770,'Base Prueba'!A:C,3,),"NO REGISTRA")</f>
        <v>GINA PAOLA BAEZ GALVIS</v>
      </c>
      <c r="D6770" s="4" t="str">
        <f>IFERROR(VLOOKUP(A6770,'Base Prueba'!A:D,4,),"NO REGISTRA")</f>
        <v>PROMOTOR CALL CENTER</v>
      </c>
      <c r="E6770" s="5" t="str">
        <f>IFERROR(VLOOKUP(A6770,'Base Prueba'!A:E,5,),"NO REGISTRA")</f>
        <v>OFICINA DE MERCADEO</v>
      </c>
    </row>
    <row r="6771" spans="1:5" ht="15.75" x14ac:dyDescent="0.25">
      <c r="A6771" s="14">
        <v>1018414290</v>
      </c>
      <c r="B6771" s="2">
        <v>46155.77860636574</v>
      </c>
      <c r="C6771" s="3" t="str">
        <f>IFERROR(VLOOKUP(A6771,'Base Prueba'!A:C,3,),"NO REGISTRA")</f>
        <v>AMANDA LISBETH RODRIGUEZ LEON</v>
      </c>
      <c r="D6771" s="4" t="str">
        <f>IFERROR(VLOOKUP(A6771,'Base Prueba'!A:D,4,),"NO REGISTRA")</f>
        <v>PROMOTOR CALL CENTER</v>
      </c>
      <c r="E6771" s="5" t="str">
        <f>IFERROR(VLOOKUP(A6771,'Base Prueba'!A:E,5,),"NO REGISTRA")</f>
        <v>OFICINA DE MERCADEO</v>
      </c>
    </row>
    <row r="6772" spans="1:5" ht="15.75" x14ac:dyDescent="0.25">
      <c r="A6772" s="14">
        <v>1000046533</v>
      </c>
      <c r="B6772" s="2">
        <v>46155.778661226854</v>
      </c>
      <c r="C6772" s="3" t="str">
        <f>IFERROR(VLOOKUP(A6772,'Base Prueba'!A:C,3,),"NO REGISTRA")</f>
        <v>ERIKA JULIETH VALDERRAMA SANCHEZ</v>
      </c>
      <c r="D6772" s="4" t="str">
        <f>IFERROR(VLOOKUP(A6772,'Base Prueba'!A:D,4,),"NO REGISTRA")</f>
        <v>PROMOTOR CALL CENTER</v>
      </c>
      <c r="E6772" s="5" t="str">
        <f>IFERROR(VLOOKUP(A6772,'Base Prueba'!A:E,5,),"NO REGISTRA")</f>
        <v>OFICINA DE MERCADEO</v>
      </c>
    </row>
    <row r="6773" spans="1:5" ht="15.75" x14ac:dyDescent="0.25">
      <c r="A6773" s="14">
        <v>1023961952</v>
      </c>
      <c r="B6773" s="2">
        <v>46155.77982546296</v>
      </c>
      <c r="C6773" s="3" t="str">
        <f>IFERROR(VLOOKUP(A6773,'Base Prueba'!A:C,3,),"NO REGISTRA")</f>
        <v>ALEJANDRO PINZON MERCHAN</v>
      </c>
      <c r="D6773" s="4" t="str">
        <f>IFERROR(VLOOKUP(A6773,'Base Prueba'!A:D,4,),"NO REGISTRA")</f>
        <v>PROMOTOR CALL CENTER</v>
      </c>
      <c r="E6773" s="5" t="str">
        <f>IFERROR(VLOOKUP(A6773,'Base Prueba'!A:E,5,),"NO REGISTRA")</f>
        <v>OFICINA DE MERCADEO</v>
      </c>
    </row>
    <row r="6774" spans="1:5" ht="15.75" x14ac:dyDescent="0.25">
      <c r="A6774" s="14">
        <v>28798349</v>
      </c>
      <c r="B6774" s="2">
        <v>46155.779839814815</v>
      </c>
      <c r="C6774" s="3" t="str">
        <f>IFERROR(VLOOKUP(A6774,'Base Prueba'!A:C,3,),"NO REGISTRA")</f>
        <v>MARTHA ISABEL TOVAR WILLIAMS</v>
      </c>
      <c r="D6774" s="4" t="str">
        <f>IFERROR(VLOOKUP(A6774,'Base Prueba'!A:D,4,),"NO REGISTRA")</f>
        <v>PROMOTOR CALL CENTER</v>
      </c>
      <c r="E6774" s="5" t="str">
        <f>IFERROR(VLOOKUP(A6774,'Base Prueba'!A:E,5,),"NO REGISTRA")</f>
        <v>OFICINA DE MERCADEO</v>
      </c>
    </row>
    <row r="6775" spans="1:5" ht="15.75" x14ac:dyDescent="0.25">
      <c r="A6775" s="14">
        <v>1018413529</v>
      </c>
      <c r="B6775" s="2">
        <v>46155.783969212964</v>
      </c>
      <c r="C6775" s="3" t="str">
        <f>IFERROR(VLOOKUP(A6775,'Base Prueba'!A:C,3,),"NO REGISTRA")</f>
        <v>FRANCY STELLA CHARRY MORENO</v>
      </c>
      <c r="D6775" s="4" t="str">
        <f>IFERROR(VLOOKUP(A6775,'Base Prueba'!A:D,4,),"NO REGISTRA")</f>
        <v>PROMOTOR COMERCIAL DEL CEA</v>
      </c>
      <c r="E6775" s="5" t="str">
        <f>IFERROR(VLOOKUP(A6775,'Base Prueba'!A:E,5,),"NO REGISTRA")</f>
        <v>OFICINA DE MERCADEO</v>
      </c>
    </row>
    <row r="6776" spans="1:5" ht="15.75" x14ac:dyDescent="0.25">
      <c r="A6776" s="14">
        <v>53089882</v>
      </c>
      <c r="B6776" s="2">
        <v>46155.784001851855</v>
      </c>
      <c r="C6776" s="3" t="str">
        <f>IFERROR(VLOOKUP(A6776,'Base Prueba'!A:C,3,),"NO REGISTRA")</f>
        <v>MARIA JOHANA ESCAMILLA MARTINEZ</v>
      </c>
      <c r="D6776" s="4" t="str">
        <f>IFERROR(VLOOKUP(A6776,'Base Prueba'!A:D,4,),"NO REGISTRA")</f>
        <v>PROMOTOR DE INFORMACIÓN</v>
      </c>
      <c r="E6776" s="5" t="str">
        <f>IFERROR(VLOOKUP(A6776,'Base Prueba'!A:E,5,),"NO REGISTRA")</f>
        <v>OFICINA DE MERCADEO</v>
      </c>
    </row>
    <row r="6777" spans="1:5" ht="15.75" x14ac:dyDescent="0.25">
      <c r="A6777" s="14">
        <v>80234243</v>
      </c>
      <c r="B6777" s="2">
        <v>46155.785948379627</v>
      </c>
      <c r="C6777" s="3" t="str">
        <f>IFERROR(VLOOKUP(A6777,'Base Prueba'!A:C,3,),"NO REGISTRA")</f>
        <v>ARGENIS MARTINEZ MARTINEZ</v>
      </c>
      <c r="D6777" s="4" t="str">
        <f>IFERROR(VLOOKUP(A6777,'Base Prueba'!A:D,4,),"NO REGISTRA")</f>
        <v>LIDER CALL CENTER</v>
      </c>
      <c r="E6777" s="5" t="str">
        <f>IFERROR(VLOOKUP(A6777,'Base Prueba'!A:E,5,),"NO REGISTRA")</f>
        <v>OFICINA DE MERCADEO</v>
      </c>
    </row>
    <row r="6778" spans="1:5" ht="15.75" x14ac:dyDescent="0.25">
      <c r="A6778" s="14">
        <v>1014196857</v>
      </c>
      <c r="B6778" s="2">
        <v>46155.793100347226</v>
      </c>
      <c r="C6778" s="3" t="str">
        <f>IFERROR(VLOOKUP(A6778,'Base Prueba'!A:C,3,),"NO REGISTRA")</f>
        <v>CARLOS ANDRES JIMENEZ PARDO</v>
      </c>
      <c r="D6778" s="4" t="str">
        <f>IFERROR(VLOOKUP(A6778,'Base Prueba'!A:D,4,),"NO REGISTRA")</f>
        <v>COORDINADOR DE MARKETING DIGITAL</v>
      </c>
      <c r="E6778" s="5" t="str">
        <f>IFERROR(VLOOKUP(A6778,'Base Prueba'!A:E,5,),"NO REGISTRA")</f>
        <v>OFICINA DE MERCADEO</v>
      </c>
    </row>
    <row r="6779" spans="1:5" ht="15.75" x14ac:dyDescent="0.25">
      <c r="A6779" s="14">
        <v>1000457706</v>
      </c>
      <c r="B6779" s="2">
        <v>46155.797266203706</v>
      </c>
      <c r="C6779" s="3" t="str">
        <f>IFERROR(VLOOKUP(A6779,'Base Prueba'!A:C,3,),"NO REGISTRA")</f>
        <v>CRISTIAN DANILO ARROYO SANABRIA</v>
      </c>
      <c r="D6779" s="4" t="str">
        <f>IFERROR(VLOOKUP(A6779,'Base Prueba'!A:D,4,),"NO REGISTRA")</f>
        <v>AUXILIAR CONTABLE</v>
      </c>
      <c r="E6779" s="5" t="str">
        <f>IFERROR(VLOOKUP(A6779,'Base Prueba'!A:E,5,),"NO REGISTRA")</f>
        <v>AREA FINANCIERA Y CONTABLE</v>
      </c>
    </row>
    <row r="6780" spans="1:5" ht="15.75" x14ac:dyDescent="0.25">
      <c r="A6780" s="14">
        <v>53932358</v>
      </c>
      <c r="B6780" s="2">
        <v>46155.816142939817</v>
      </c>
      <c r="C6780" s="3" t="str">
        <f>IFERROR(VLOOKUP(A6780,'Base Prueba'!A:C,3,),"NO REGISTRA")</f>
        <v>DIANA MADELEYNE GAONA RODRIGUEZ</v>
      </c>
      <c r="D6780" s="4" t="str">
        <f>IFERROR(VLOOKUP(A6780,'Base Prueba'!A:D,4,),"NO REGISTRA")</f>
        <v>CONTADOR</v>
      </c>
      <c r="E6780" s="5" t="str">
        <f>IFERROR(VLOOKUP(A6780,'Base Prueba'!A:E,5,),"NO REGISTRA")</f>
        <v>AREA FINANCIERA Y CONTABLE</v>
      </c>
    </row>
    <row r="6781" spans="1:5" ht="15.75" x14ac:dyDescent="0.25">
      <c r="A6781" s="14">
        <v>1024512067</v>
      </c>
      <c r="B6781" s="2">
        <v>46156.313009953701</v>
      </c>
      <c r="C6781" s="3" t="str">
        <f>IFERROR(VLOOKUP(A6781,'Base Prueba'!A:C,3,),"NO REGISTRA")</f>
        <v>CINDY GIOVANA SALGAR GOMEZ</v>
      </c>
      <c r="D6781" s="4" t="str">
        <f>IFERROR(VLOOKUP(A6781,'Base Prueba'!A:D,4,),"NO REGISTRA")</f>
        <v>COORDINADOR DEL SISTEMA INTEGRADO DE GESTION INSTITUCIONAL - SIGI</v>
      </c>
      <c r="E6781" s="5" t="str">
        <f>IFERROR(VLOOKUP(A6781,'Base Prueba'!A:E,5,),"NO REGISTRA")</f>
        <v>OFICINA DE PLANEACION Y GESTION DE LA CALIDAD</v>
      </c>
    </row>
    <row r="6782" spans="1:5" ht="15.75" x14ac:dyDescent="0.25">
      <c r="A6782" s="14">
        <v>1013616244</v>
      </c>
      <c r="B6782" s="2">
        <v>46156.315359722219</v>
      </c>
      <c r="C6782" s="3" t="str">
        <f>IFERROR(VLOOKUP(A6782,'Base Prueba'!A:C,3,),"NO REGISTRA")</f>
        <v>DIANA CAROLINA MARIN BETANCOURT</v>
      </c>
      <c r="D6782" s="4" t="str">
        <f>IFERROR(VLOOKUP(A6782,'Base Prueba'!A:D,4,),"NO REGISTRA")</f>
        <v>AUXILIAR ADMINISTRATIVO</v>
      </c>
      <c r="E6782" s="5" t="str">
        <f>IFERROR(VLOOKUP(A6782,'Base Prueba'!A:E,5,),"NO REGISTRA")</f>
        <v>REGISTRO Y CONTROL ACADEMICO</v>
      </c>
    </row>
    <row r="6783" spans="1:5" ht="15.75" x14ac:dyDescent="0.25">
      <c r="A6783" s="14">
        <v>1032469638</v>
      </c>
      <c r="B6783" s="2">
        <v>46156.318633333336</v>
      </c>
      <c r="C6783" s="3" t="str">
        <f>IFERROR(VLOOKUP(A6783,'Base Prueba'!A:C,3,),"NO REGISTRA")</f>
        <v>MAICOL JARBEY GUALTEROS CASTAÑEDA</v>
      </c>
      <c r="D6783" s="4" t="str">
        <f>IFERROR(VLOOKUP(A6783,'Base Prueba'!A:D,4,),"NO REGISTRA")</f>
        <v>COORDINADOR DEL SISTEMA INTERNO DE ASEGURAMIENTO DE LA CALIDAD - SIAC</v>
      </c>
      <c r="E6783" s="5" t="str">
        <f>IFERROR(VLOOKUP(A6783,'Base Prueba'!A:E,5,),"NO REGISTRA")</f>
        <v>OFICINA DE PLANEACION Y GESTION DE LA CALIDAD</v>
      </c>
    </row>
    <row r="6784" spans="1:5" ht="15.75" x14ac:dyDescent="0.25">
      <c r="A6784" s="14">
        <v>1000324729</v>
      </c>
      <c r="B6784" s="2">
        <v>46156.319888194441</v>
      </c>
      <c r="C6784" s="3" t="str">
        <f>IFERROR(VLOOKUP(A6784,'Base Prueba'!A:C,3,),"NO REGISTRA")</f>
        <v>ANYIE VANESSA TINOCO CAMACHO</v>
      </c>
      <c r="D6784" s="4" t="str">
        <f>IFERROR(VLOOKUP(A6784,'Base Prueba'!A:D,4,),"NO REGISTRA")</f>
        <v>LIDER DE REGISTRO Y CONTROL</v>
      </c>
      <c r="E6784" s="5" t="str">
        <f>IFERROR(VLOOKUP(A6784,'Base Prueba'!A:E,5,),"NO REGISTRA")</f>
        <v>REGISTRO Y CONTROL ACADEMICO</v>
      </c>
    </row>
    <row r="6785" spans="1:5" ht="15.75" x14ac:dyDescent="0.25">
      <c r="A6785" s="14">
        <v>1014308296</v>
      </c>
      <c r="B6785" s="2">
        <v>46156.324617824073</v>
      </c>
      <c r="C6785" s="3" t="str">
        <f>IFERROR(VLOOKUP(A6785,'Base Prueba'!A:C,3,),"NO REGISTRA")</f>
        <v>DARLENE YULIANA MORENO CELEITA</v>
      </c>
      <c r="D6785" s="4" t="str">
        <f>IFERROR(VLOOKUP(A6785,'Base Prueba'!A:D,4,),"NO REGISTRA")</f>
        <v>CAJERO PRINCIPAL</v>
      </c>
      <c r="E6785" s="5" t="str">
        <f>IFERROR(VLOOKUP(A6785,'Base Prueba'!A:E,5,),"NO REGISTRA")</f>
        <v>AREA FINANCIERA Y CONTABLE</v>
      </c>
    </row>
    <row r="6786" spans="1:5" ht="15.75" x14ac:dyDescent="0.25">
      <c r="A6786" s="14">
        <v>52225539</v>
      </c>
      <c r="B6786" s="2">
        <v>46156.33245277778</v>
      </c>
      <c r="C6786" s="3" t="str">
        <f>IFERROR(VLOOKUP(A6786,'Base Prueba'!A:C,3,),"NO REGISTRA")</f>
        <v>LISA MINELLY ZAMBRANO CONTRERAS</v>
      </c>
      <c r="D6786" s="4" t="str">
        <f>IFERROR(VLOOKUP(A6786,'Base Prueba'!A:D,4,),"NO REGISTRA")</f>
        <v>LIDER DE COMPRAS</v>
      </c>
      <c r="E6786" s="5" t="str">
        <f>IFERROR(VLOOKUP(A6786,'Base Prueba'!A:E,5,),"NO REGISTRA")</f>
        <v>VICERRECTORIA ADMINISTRATIVA Y FINANCIERA</v>
      </c>
    </row>
    <row r="6787" spans="1:5" ht="15.75" x14ac:dyDescent="0.25">
      <c r="A6787" s="14">
        <v>1049644802</v>
      </c>
      <c r="B6787" s="2">
        <v>46156.333155671295</v>
      </c>
      <c r="C6787" s="3" t="str">
        <f>IFERROR(VLOOKUP(A6787,'Base Prueba'!A:C,3,),"NO REGISTRA")</f>
        <v>DANIELA ALEXANDRA CIPAMOCHA BOSIGA</v>
      </c>
      <c r="D6787" s="4" t="str">
        <f>IFERROR(VLOOKUP(A6787,'Base Prueba'!A:D,4,),"NO REGISTRA")</f>
        <v>LIDER DE DATOS Y SERVICIOS</v>
      </c>
      <c r="E6787" s="5" t="str">
        <f>IFERROR(VLOOKUP(A6787,'Base Prueba'!A:E,5,),"NO REGISTRA")</f>
        <v>OFICINA DE PLANEACION Y GESTION DE LA CALIDAD</v>
      </c>
    </row>
    <row r="6788" spans="1:5" ht="15.75" x14ac:dyDescent="0.25">
      <c r="A6788" s="14">
        <v>1033820146</v>
      </c>
      <c r="B6788" s="2">
        <v>46156.335786342592</v>
      </c>
      <c r="C6788" s="3" t="str">
        <f>IFERROR(VLOOKUP(A6788,'Base Prueba'!A:C,3,),"NO REGISTRA")</f>
        <v>JULIETH ALEXANDRA BUSTAMANTE RUIZ</v>
      </c>
      <c r="D6788" s="4" t="str">
        <f>IFERROR(VLOOKUP(A6788,'Base Prueba'!A:D,4,),"NO REGISTRA")</f>
        <v>AUXILIAR ADMINISTRATIVO</v>
      </c>
      <c r="E6788" s="5" t="str">
        <f>IFERROR(VLOOKUP(A6788,'Base Prueba'!A:E,5,),"NO REGISTRA")</f>
        <v>REGISTRO Y CONTROL ACADEMICO</v>
      </c>
    </row>
    <row r="6789" spans="1:5" ht="15.75" x14ac:dyDescent="0.25">
      <c r="A6789" s="14">
        <v>80191732</v>
      </c>
      <c r="B6789" s="2">
        <v>46156.33626747685</v>
      </c>
      <c r="C6789" s="3" t="str">
        <f>IFERROR(VLOOKUP(A6789,'Base Prueba'!A:C,3,),"NO REGISTRA")</f>
        <v>DANIEL MAURICIO ZAMBRANO TUNJANO</v>
      </c>
      <c r="D6789" s="4" t="str">
        <f>IFERROR(VLOOKUP(A6789,'Base Prueba'!A:D,4,),"NO REGISTRA")</f>
        <v>COORDINADOR DE DISEÑO E IMAGEN INSTITUCIONAL</v>
      </c>
      <c r="E6789" s="5" t="str">
        <f>IFERROR(VLOOKUP(A6789,'Base Prueba'!A:E,5,),"NO REGISTRA")</f>
        <v>OFICINA DE MERCADEO</v>
      </c>
    </row>
    <row r="6790" spans="1:5" ht="15.75" x14ac:dyDescent="0.25">
      <c r="A6790" s="14">
        <v>1013098430</v>
      </c>
      <c r="B6790" s="2">
        <v>46156.339522916664</v>
      </c>
      <c r="C6790" s="3" t="str">
        <f>IFERROR(VLOOKUP(A6790,'Base Prueba'!A:C,3,),"NO REGISTRA")</f>
        <v>ANDRES FELIPE LOPEZ ROMERO</v>
      </c>
      <c r="D6790" s="4" t="str">
        <f>IFERROR(VLOOKUP(A6790,'Base Prueba'!A:D,4,),"NO REGISTRA")</f>
        <v>APRENDIZ UNIVERSITARIO</v>
      </c>
      <c r="E6790" s="5" t="str">
        <f>IFERROR(VLOOKUP(A6790,'Base Prueba'!A:E,5,),"NO REGISTRA")</f>
        <v>OFICINA DE MERCADEO</v>
      </c>
    </row>
    <row r="6791" spans="1:5" ht="15.75" x14ac:dyDescent="0.25">
      <c r="A6791" s="14">
        <v>1000593372</v>
      </c>
      <c r="B6791" s="2">
        <v>46156.339813888888</v>
      </c>
      <c r="C6791" s="3" t="str">
        <f>IFERROR(VLOOKUP(A6791,'Base Prueba'!A:C,3,),"NO REGISTRA")</f>
        <v>LAURA SOFIA CHAPARRO LOPEZ</v>
      </c>
      <c r="D6791" s="4" t="str">
        <f>IFERROR(VLOOKUP(A6791,'Base Prueba'!A:D,4,),"NO REGISTRA")</f>
        <v>AUXILIAR JURIDICO</v>
      </c>
      <c r="E6791" s="5" t="str">
        <f>IFERROR(VLOOKUP(A6791,'Base Prueba'!A:E,5,),"NO REGISTRA")</f>
        <v>SECRETARIA GENERAL</v>
      </c>
    </row>
    <row r="6792" spans="1:5" ht="15.75" x14ac:dyDescent="0.25">
      <c r="A6792" s="14">
        <v>1014977624</v>
      </c>
      <c r="B6792" s="2">
        <v>46156.340730439813</v>
      </c>
      <c r="C6792" s="3" t="str">
        <f>IFERROR(VLOOKUP(A6792,'Base Prueba'!A:C,3,),"NO REGISTRA")</f>
        <v>NICCOLE VALENTINA HERNANDEZ MALAVER</v>
      </c>
      <c r="D6792" s="4" t="str">
        <f>IFERROR(VLOOKUP(A6792,'Base Prueba'!A:D,4,),"NO REGISTRA")</f>
        <v>APRENDIZ UNIVERSITARIO</v>
      </c>
      <c r="E6792" s="5" t="str">
        <f>IFERROR(VLOOKUP(A6792,'Base Prueba'!A:E,5,),"NO REGISTRA")</f>
        <v>AREA FINANCIERA Y CONTABLE</v>
      </c>
    </row>
    <row r="6793" spans="1:5" ht="15.75" x14ac:dyDescent="0.25">
      <c r="A6793" s="14">
        <v>1193457976</v>
      </c>
      <c r="B6793" s="2">
        <v>46156.34093564815</v>
      </c>
      <c r="C6793" s="3" t="str">
        <f>IFERROR(VLOOKUP(A6793,'Base Prueba'!A:C,3,),"NO REGISTRA")</f>
        <v>SEDENIS RIVAS ASPRILLA</v>
      </c>
      <c r="D6793" s="4" t="str">
        <f>IFERROR(VLOOKUP(A6793,'Base Prueba'!A:D,4,),"NO REGISTRA")</f>
        <v>APRENDIZ UNIVERSITARIO</v>
      </c>
      <c r="E6793" s="5" t="str">
        <f>IFERROR(VLOOKUP(A6793,'Base Prueba'!A:E,5,),"NO REGISTRA")</f>
        <v>DEPARTAMENTO DE GESTION HUMANA</v>
      </c>
    </row>
    <row r="6794" spans="1:5" ht="15.75" x14ac:dyDescent="0.25">
      <c r="A6794" s="14">
        <v>1000257136</v>
      </c>
      <c r="B6794" s="2">
        <v>46156.342890046297</v>
      </c>
      <c r="C6794" s="3" t="str">
        <f>IFERROR(VLOOKUP(A6794,'Base Prueba'!A:C,3,),"NO REGISTRA")</f>
        <v>FRANCI VALENTINA CANO PUENTES</v>
      </c>
      <c r="D6794" s="4" t="str">
        <f>IFERROR(VLOOKUP(A6794,'Base Prueba'!A:D,4,),"NO REGISTRA")</f>
        <v>AUXILIAR CONTABLE</v>
      </c>
      <c r="E6794" s="5" t="str">
        <f>IFERROR(VLOOKUP(A6794,'Base Prueba'!A:E,5,),"NO REGISTRA")</f>
        <v>AREA FINANCIERA Y CONTABLE</v>
      </c>
    </row>
    <row r="6795" spans="1:5" ht="15.75" x14ac:dyDescent="0.25">
      <c r="A6795" s="14">
        <v>1023883232</v>
      </c>
      <c r="B6795" s="2">
        <v>46156.34299837963</v>
      </c>
      <c r="C6795" s="3" t="str">
        <f>IFERROR(VLOOKUP(A6795,'Base Prueba'!A:C,3,),"NO REGISTRA")</f>
        <v>MONICA ANDREA ACERO URBANO</v>
      </c>
      <c r="D6795" s="4" t="str">
        <f>IFERROR(VLOOKUP(A6795,'Base Prueba'!A:D,4,),"NO REGISTRA")</f>
        <v>APOYO INTEGRAL A GESTION HUMANA</v>
      </c>
      <c r="E6795" s="5" t="str">
        <f>IFERROR(VLOOKUP(A6795,'Base Prueba'!A:E,5,),"NO REGISTRA")</f>
        <v>DEPARTAMENTO DE GESTION HUMANA</v>
      </c>
    </row>
    <row r="6796" spans="1:5" ht="15.75" x14ac:dyDescent="0.25">
      <c r="A6796" s="14">
        <v>1000457706</v>
      </c>
      <c r="B6796" s="2">
        <v>46156.351040740738</v>
      </c>
      <c r="C6796" s="3" t="str">
        <f>IFERROR(VLOOKUP(A6796,'Base Prueba'!A:C,3,),"NO REGISTRA")</f>
        <v>CRISTIAN DANILO ARROYO SANABRIA</v>
      </c>
      <c r="D6796" s="4" t="str">
        <f>IFERROR(VLOOKUP(A6796,'Base Prueba'!A:D,4,),"NO REGISTRA")</f>
        <v>AUXILIAR CONTABLE</v>
      </c>
      <c r="E6796" s="5" t="str">
        <f>IFERROR(VLOOKUP(A6796,'Base Prueba'!A:E,5,),"NO REGISTRA")</f>
        <v>AREA FINANCIERA Y CONTABLE</v>
      </c>
    </row>
    <row r="6797" spans="1:5" ht="15.75" x14ac:dyDescent="0.25">
      <c r="A6797" s="14">
        <v>1014196857</v>
      </c>
      <c r="B6797" s="2">
        <v>46156.351296875</v>
      </c>
      <c r="C6797" s="3" t="str">
        <f>IFERROR(VLOOKUP(A6797,'Base Prueba'!A:C,3,),"NO REGISTRA")</f>
        <v>CARLOS ANDRES JIMENEZ PARDO</v>
      </c>
      <c r="D6797" s="4" t="str">
        <f>IFERROR(VLOOKUP(A6797,'Base Prueba'!A:D,4,),"NO REGISTRA")</f>
        <v>COORDINADOR DE MARKETING DIGITAL</v>
      </c>
      <c r="E6797" s="5" t="str">
        <f>IFERROR(VLOOKUP(A6797,'Base Prueba'!A:E,5,),"NO REGISTRA")</f>
        <v>OFICINA DE MERCADEO</v>
      </c>
    </row>
    <row r="6798" spans="1:5" ht="15.75" x14ac:dyDescent="0.25">
      <c r="A6798" s="14">
        <v>1087121273</v>
      </c>
      <c r="B6798" s="2">
        <v>46156.354414004629</v>
      </c>
      <c r="C6798" s="3" t="str">
        <f>IFERROR(VLOOKUP(A6798,'Base Prueba'!A:C,3,),"NO REGISTRA")</f>
        <v>MAYRA ALEJANDRA CASTILLO ARBOLEDA</v>
      </c>
      <c r="D6798" s="4" t="str">
        <f>IFERROR(VLOOKUP(A6798,'Base Prueba'!A:D,4,),"NO REGISTRA")</f>
        <v>APOYO INTEGRAL DE MERCADEO</v>
      </c>
      <c r="E6798" s="5" t="str">
        <f>IFERROR(VLOOKUP(A6798,'Base Prueba'!A:E,5,),"NO REGISTRA")</f>
        <v>CENTRO DE GESTION DOCUMENTAL</v>
      </c>
    </row>
    <row r="6799" spans="1:5" ht="15.75" x14ac:dyDescent="0.25">
      <c r="A6799" s="14">
        <v>80234243</v>
      </c>
      <c r="B6799" s="2">
        <v>46156.357910300925</v>
      </c>
      <c r="C6799" s="3" t="str">
        <f>IFERROR(VLOOKUP(A6799,'Base Prueba'!A:C,3,),"NO REGISTRA")</f>
        <v>ARGENIS MARTINEZ MARTINEZ</v>
      </c>
      <c r="D6799" s="4" t="str">
        <f>IFERROR(VLOOKUP(A6799,'Base Prueba'!A:D,4,),"NO REGISTRA")</f>
        <v>LIDER CALL CENTER</v>
      </c>
      <c r="E6799" s="5" t="str">
        <f>IFERROR(VLOOKUP(A6799,'Base Prueba'!A:E,5,),"NO REGISTRA")</f>
        <v>OFICINA DE MERCADEO</v>
      </c>
    </row>
    <row r="6800" spans="1:5" ht="15.75" x14ac:dyDescent="0.25">
      <c r="A6800" s="14">
        <v>1033709056</v>
      </c>
      <c r="B6800" s="2">
        <v>46156.363380902774</v>
      </c>
      <c r="C6800" s="3" t="str">
        <f>IFERROR(VLOOKUP(A6800,'Base Prueba'!A:C,3,),"NO REGISTRA")</f>
        <v>YEIMY ALEXANDRA RODRIGUEZ PALACIO</v>
      </c>
      <c r="D6800" s="4" t="str">
        <f>IFERROR(VLOOKUP(A6800,'Base Prueba'!A:D,4,),"NO REGISTRA")</f>
        <v>PROMOTOR CALL CENTER</v>
      </c>
      <c r="E6800" s="5" t="str">
        <f>IFERROR(VLOOKUP(A6800,'Base Prueba'!A:E,5,),"NO REGISTRA")</f>
        <v>OFICINA DE MERCADEO</v>
      </c>
    </row>
    <row r="6801" spans="1:5" ht="15.75" x14ac:dyDescent="0.25">
      <c r="A6801" s="14">
        <v>1023961952</v>
      </c>
      <c r="B6801" s="2">
        <v>46156.363783217595</v>
      </c>
      <c r="C6801" s="3" t="str">
        <f>IFERROR(VLOOKUP(A6801,'Base Prueba'!A:C,3,),"NO REGISTRA")</f>
        <v>ALEJANDRO PINZON MERCHAN</v>
      </c>
      <c r="D6801" s="4" t="str">
        <f>IFERROR(VLOOKUP(A6801,'Base Prueba'!A:D,4,),"NO REGISTRA")</f>
        <v>PROMOTOR CALL CENTER</v>
      </c>
      <c r="E6801" s="5" t="str">
        <f>IFERROR(VLOOKUP(A6801,'Base Prueba'!A:E,5,),"NO REGISTRA")</f>
        <v>OFICINA DE MERCADEO</v>
      </c>
    </row>
    <row r="6802" spans="1:5" ht="15.75" x14ac:dyDescent="0.25">
      <c r="A6802" s="14">
        <v>1000046533</v>
      </c>
      <c r="B6802" s="2">
        <v>46156.364151041664</v>
      </c>
      <c r="C6802" s="3" t="str">
        <f>IFERROR(VLOOKUP(A6802,'Base Prueba'!A:C,3,),"NO REGISTRA")</f>
        <v>ERIKA JULIETH VALDERRAMA SANCHEZ</v>
      </c>
      <c r="D6802" s="4" t="str">
        <f>IFERROR(VLOOKUP(A6802,'Base Prueba'!A:D,4,),"NO REGISTRA")</f>
        <v>PROMOTOR CALL CENTER</v>
      </c>
      <c r="E6802" s="5" t="str">
        <f>IFERROR(VLOOKUP(A6802,'Base Prueba'!A:E,5,),"NO REGISTRA")</f>
        <v>OFICINA DE MERCADEO</v>
      </c>
    </row>
    <row r="6803" spans="1:5" ht="15.75" x14ac:dyDescent="0.25">
      <c r="A6803" s="14">
        <v>52472386</v>
      </c>
      <c r="B6803" s="2">
        <v>46156.37132662037</v>
      </c>
      <c r="C6803" s="3" t="str">
        <f>IFERROR(VLOOKUP(A6803,'Base Prueba'!A:C,3,),"NO REGISTRA")</f>
        <v>ADRIANA MARCELA MORALES PARDO</v>
      </c>
      <c r="D6803" s="4" t="str">
        <f>IFERROR(VLOOKUP(A6803,'Base Prueba'!A:D,4,),"NO REGISTRA")</f>
        <v>PROMOTOR CALL CENTER</v>
      </c>
      <c r="E6803" s="5" t="str">
        <f>IFERROR(VLOOKUP(A6803,'Base Prueba'!A:E,5,),"NO REGISTRA")</f>
        <v>OFICINA DE MERCADEO</v>
      </c>
    </row>
    <row r="6804" spans="1:5" ht="15.75" x14ac:dyDescent="0.25">
      <c r="A6804" s="14">
        <v>1032407386</v>
      </c>
      <c r="B6804" s="2">
        <v>46156.371867361115</v>
      </c>
      <c r="C6804" s="3" t="str">
        <f>IFERROR(VLOOKUP(A6804,'Base Prueba'!A:C,3,),"NO REGISTRA")</f>
        <v>GINA PAOLA BAEZ GALVIS</v>
      </c>
      <c r="D6804" s="4" t="str">
        <f>IFERROR(VLOOKUP(A6804,'Base Prueba'!A:D,4,),"NO REGISTRA")</f>
        <v>PROMOTOR CALL CENTER</v>
      </c>
      <c r="E6804" s="5" t="str">
        <f>IFERROR(VLOOKUP(A6804,'Base Prueba'!A:E,5,),"NO REGISTRA")</f>
        <v>OFICINA DE MERCADEO</v>
      </c>
    </row>
    <row r="6805" spans="1:5" ht="15.75" x14ac:dyDescent="0.25">
      <c r="A6805" s="14">
        <v>1012426741</v>
      </c>
      <c r="B6805" s="2">
        <v>46156.374163773151</v>
      </c>
      <c r="C6805" s="3" t="str">
        <f>IFERROR(VLOOKUP(A6805,'Base Prueba'!A:C,3,),"NO REGISTRA")</f>
        <v>CRISTIAN FABIAN ROJAS SANCENO</v>
      </c>
      <c r="D6805" s="4" t="str">
        <f>IFERROR(VLOOKUP(A6805,'Base Prueba'!A:D,4,),"NO REGISTRA")</f>
        <v>AUXILIAR DE REINTEGROS</v>
      </c>
      <c r="E6805" s="5" t="str">
        <f>IFERROR(VLOOKUP(A6805,'Base Prueba'!A:E,5,),"NO REGISTRA")</f>
        <v>DIRECCION DE BIENESTAR INSTITUCIONAL</v>
      </c>
    </row>
    <row r="6806" spans="1:5" ht="15.75" x14ac:dyDescent="0.25">
      <c r="A6806" s="14">
        <v>1013101788</v>
      </c>
      <c r="B6806" s="2">
        <v>46156.375551967591</v>
      </c>
      <c r="C6806" s="3" t="str">
        <f>IFERROR(VLOOKUP(A6806,'Base Prueba'!A:C,3,),"NO REGISTRA")</f>
        <v>SARA TANGARIFE MONTOYA</v>
      </c>
      <c r="D6806" s="4" t="str">
        <f>IFERROR(VLOOKUP(A6806,'Base Prueba'!A:D,4,),"NO REGISTRA")</f>
        <v>APRENDIZ UNIVERSITARIO</v>
      </c>
      <c r="E6806" s="5" t="str">
        <f>IFERROR(VLOOKUP(A6806,'Base Prueba'!A:E,5,),"NO REGISTRA")</f>
        <v>OFICINA DE MERCADEO</v>
      </c>
    </row>
    <row r="6807" spans="1:5" ht="15.75" x14ac:dyDescent="0.25">
      <c r="A6807" s="14">
        <v>1018414290</v>
      </c>
      <c r="B6807" s="2">
        <v>46156.376340046299</v>
      </c>
      <c r="C6807" s="3" t="str">
        <f>IFERROR(VLOOKUP(A6807,'Base Prueba'!A:C,3,),"NO REGISTRA")</f>
        <v>AMANDA LISBETH RODRIGUEZ LEON</v>
      </c>
      <c r="D6807" s="4" t="str">
        <f>IFERROR(VLOOKUP(A6807,'Base Prueba'!A:D,4,),"NO REGISTRA")</f>
        <v>PROMOTOR CALL CENTER</v>
      </c>
      <c r="E6807" s="5" t="str">
        <f>IFERROR(VLOOKUP(A6807,'Base Prueba'!A:E,5,),"NO REGISTRA")</f>
        <v>OFICINA DE MERCADEO</v>
      </c>
    </row>
    <row r="6808" spans="1:5" ht="15.75" x14ac:dyDescent="0.25">
      <c r="A6808" s="14">
        <v>53089882</v>
      </c>
      <c r="B6808" s="2">
        <v>46156.377307870367</v>
      </c>
      <c r="C6808" s="3" t="str">
        <f>IFERROR(VLOOKUP(A6808,'Base Prueba'!A:C,3,),"NO REGISTRA")</f>
        <v>MARIA JOHANA ESCAMILLA MARTINEZ</v>
      </c>
      <c r="D6808" s="4" t="str">
        <f>IFERROR(VLOOKUP(A6808,'Base Prueba'!A:D,4,),"NO REGISTRA")</f>
        <v>PROMOTOR DE INFORMACIÓN</v>
      </c>
      <c r="E6808" s="5" t="str">
        <f>IFERROR(VLOOKUP(A6808,'Base Prueba'!A:E,5,),"NO REGISTRA")</f>
        <v>OFICINA DE MERCADEO</v>
      </c>
    </row>
    <row r="6809" spans="1:5" ht="15.75" x14ac:dyDescent="0.25">
      <c r="A6809" s="14">
        <v>28798349</v>
      </c>
      <c r="B6809" s="2">
        <v>46156.378261921294</v>
      </c>
      <c r="C6809" s="3" t="str">
        <f>IFERROR(VLOOKUP(A6809,'Base Prueba'!A:C,3,),"NO REGISTRA")</f>
        <v>MARTHA ISABEL TOVAR WILLIAMS</v>
      </c>
      <c r="D6809" s="4" t="str">
        <f>IFERROR(VLOOKUP(A6809,'Base Prueba'!A:D,4,),"NO REGISTRA")</f>
        <v>PROMOTOR CALL CENTER</v>
      </c>
      <c r="E6809" s="5" t="str">
        <f>IFERROR(VLOOKUP(A6809,'Base Prueba'!A:E,5,),"NO REGISTRA")</f>
        <v>OFICINA DE MERCADEO</v>
      </c>
    </row>
    <row r="6810" spans="1:5" ht="15.75" x14ac:dyDescent="0.25">
      <c r="A6810" s="14">
        <v>52175674</v>
      </c>
      <c r="B6810" s="2">
        <v>46156.378291319445</v>
      </c>
      <c r="C6810" s="3" t="str">
        <f>IFERROR(VLOOKUP(A6810,'Base Prueba'!A:C,3,),"NO REGISTRA")</f>
        <v>LUZ YANETH GOMEZ AREVALO</v>
      </c>
      <c r="D6810" s="4" t="str">
        <f>IFERROR(VLOOKUP(A6810,'Base Prueba'!A:D,4,),"NO REGISTRA")</f>
        <v>COORDINADORA DE ADMISIONES</v>
      </c>
      <c r="E6810" s="5" t="str">
        <f>IFERROR(VLOOKUP(A6810,'Base Prueba'!A:E,5,),"NO REGISTRA")</f>
        <v>OFICINA DE MERCADEO</v>
      </c>
    </row>
    <row r="6811" spans="1:5" ht="15.75" x14ac:dyDescent="0.25">
      <c r="A6811" s="14">
        <v>1018413529</v>
      </c>
      <c r="B6811" s="2">
        <v>46156.384198958331</v>
      </c>
      <c r="C6811" s="3" t="str">
        <f>IFERROR(VLOOKUP(A6811,'Base Prueba'!A:C,3,),"NO REGISTRA")</f>
        <v>FRANCY STELLA CHARRY MORENO</v>
      </c>
      <c r="D6811" s="4" t="str">
        <f>IFERROR(VLOOKUP(A6811,'Base Prueba'!A:D,4,),"NO REGISTRA")</f>
        <v>PROMOTOR COMERCIAL DEL CEA</v>
      </c>
      <c r="E6811" s="5" t="str">
        <f>IFERROR(VLOOKUP(A6811,'Base Prueba'!A:E,5,),"NO REGISTRA")</f>
        <v>OFICINA DE MERCADEO</v>
      </c>
    </row>
    <row r="6812" spans="1:5" ht="15.75" x14ac:dyDescent="0.25">
      <c r="A6812" s="14">
        <v>52764929</v>
      </c>
      <c r="B6812" s="2">
        <v>46156.390364699073</v>
      </c>
      <c r="C6812" s="3" t="str">
        <f>IFERROR(VLOOKUP(A6812,'Base Prueba'!A:C,3,),"NO REGISTRA")</f>
        <v>GUERLY YOHANA DURAN RIVERA</v>
      </c>
      <c r="D6812" s="4" t="str">
        <f>IFERROR(VLOOKUP(A6812,'Base Prueba'!A:D,4,),"NO REGISTRA")</f>
        <v>LIDER DE VINCULACION COLEGIOS</v>
      </c>
      <c r="E6812" s="5" t="str">
        <f>IFERROR(VLOOKUP(A6812,'Base Prueba'!A:E,5,),"NO REGISTRA")</f>
        <v>OFICINA DE MERCADEO</v>
      </c>
    </row>
    <row r="6813" spans="1:5" ht="15.75" x14ac:dyDescent="0.25">
      <c r="A6813" s="14">
        <v>53932358</v>
      </c>
      <c r="B6813" s="2">
        <v>46156.448714583334</v>
      </c>
      <c r="C6813" s="3" t="str">
        <f>IFERROR(VLOOKUP(A6813,'Base Prueba'!A:C,3,),"NO REGISTRA")</f>
        <v>DIANA MADELEYNE GAONA RODRIGUEZ</v>
      </c>
      <c r="D6813" s="4" t="str">
        <f>IFERROR(VLOOKUP(A6813,'Base Prueba'!A:D,4,),"NO REGISTRA")</f>
        <v>CONTADOR</v>
      </c>
      <c r="E6813" s="5" t="str">
        <f>IFERROR(VLOOKUP(A6813,'Base Prueba'!A:E,5,),"NO REGISTRA")</f>
        <v>AREA FINANCIERA Y CONTABLE</v>
      </c>
    </row>
    <row r="6814" spans="1:5" ht="15.75" x14ac:dyDescent="0.25">
      <c r="A6814" s="14">
        <v>52443092</v>
      </c>
      <c r="B6814" s="2">
        <v>46156.529430324073</v>
      </c>
      <c r="C6814" s="3" t="str">
        <f>IFERROR(VLOOKUP(A6814,'Base Prueba'!A:C,3,),"NO REGISTRA")</f>
        <v>LUZ MYRIAM SAAVEDRA CONTRERAS</v>
      </c>
      <c r="D6814" s="4" t="str">
        <f>IFERROR(VLOOKUP(A6814,'Base Prueba'!A:D,4,),"NO REGISTRA")</f>
        <v>AUXILIAR DE SERVICIOS</v>
      </c>
      <c r="E6814" s="5" t="str">
        <f>IFERROR(VLOOKUP(A6814,'Base Prueba'!A:E,5,),"NO REGISTRA")</f>
        <v>LOGISTICA Y SERVICIOS GENERALES</v>
      </c>
    </row>
    <row r="6815" spans="1:5" ht="15.75" x14ac:dyDescent="0.25">
      <c r="A6815" s="14">
        <v>1033709056</v>
      </c>
      <c r="B6815" s="2">
        <v>46156.560087731479</v>
      </c>
      <c r="C6815" s="3" t="str">
        <f>IFERROR(VLOOKUP(A6815,'Base Prueba'!A:C,3,),"NO REGISTRA")</f>
        <v>YEIMY ALEXANDRA RODRIGUEZ PALACIO</v>
      </c>
      <c r="D6815" s="4" t="str">
        <f>IFERROR(VLOOKUP(A6815,'Base Prueba'!A:D,4,),"NO REGISTRA")</f>
        <v>PROMOTOR CALL CENTER</v>
      </c>
      <c r="E6815" s="5" t="str">
        <f>IFERROR(VLOOKUP(A6815,'Base Prueba'!A:E,5,),"NO REGISTRA")</f>
        <v>OFICINA DE MERCADEO</v>
      </c>
    </row>
    <row r="6816" spans="1:5" ht="15.75" x14ac:dyDescent="0.25">
      <c r="A6816" s="14">
        <v>1014196857</v>
      </c>
      <c r="B6816" s="2">
        <v>46156.694429282405</v>
      </c>
      <c r="C6816" s="3" t="str">
        <f>IFERROR(VLOOKUP(A6816,'Base Prueba'!A:C,3,),"NO REGISTRA")</f>
        <v>CARLOS ANDRES JIMENEZ PARDO</v>
      </c>
      <c r="D6816" s="4" t="str">
        <f>IFERROR(VLOOKUP(A6816,'Base Prueba'!A:D,4,),"NO REGISTRA")</f>
        <v>COORDINADOR DE MARKETING DIGITAL</v>
      </c>
      <c r="E6816" s="5" t="str">
        <f>IFERROR(VLOOKUP(A6816,'Base Prueba'!A:E,5,),"NO REGISTRA")</f>
        <v>OFICINA DE MERCADEO</v>
      </c>
    </row>
    <row r="6817" spans="1:5" ht="15.75" x14ac:dyDescent="0.25">
      <c r="A6817" s="14">
        <v>79872151</v>
      </c>
      <c r="B6817" s="2">
        <v>46156.695394560185</v>
      </c>
      <c r="C6817" s="3" t="str">
        <f>IFERROR(VLOOKUP(A6817,'Base Prueba'!A:C,3,),"NO REGISTRA")</f>
        <v>HECTOR ALIRIO MARTINEZ TORRES</v>
      </c>
      <c r="D6817" s="4" t="str">
        <f>IFERROR(VLOOKUP(A6817,'Base Prueba'!A:D,4,),"NO REGISTRA")</f>
        <v>DOCENTE DE TIEMPO COMPLETO</v>
      </c>
      <c r="E6817" s="5" t="str">
        <f>IFERROR(VLOOKUP(A6817,'Base Prueba'!A:E,5,),"NO REGISTRA")</f>
        <v>CIENCIAS DE LA INFORMACION Y BIBLIOTECOLOGIA</v>
      </c>
    </row>
    <row r="6818" spans="1:5" ht="15.75" x14ac:dyDescent="0.25">
      <c r="A6818" s="14">
        <v>1033820146</v>
      </c>
      <c r="B6818" s="2">
        <v>46156.71005509259</v>
      </c>
      <c r="C6818" s="3" t="str">
        <f>IFERROR(VLOOKUP(A6818,'Base Prueba'!A:C,3,),"NO REGISTRA")</f>
        <v>JULIETH ALEXANDRA BUSTAMANTE RUIZ</v>
      </c>
      <c r="D6818" s="4" t="str">
        <f>IFERROR(VLOOKUP(A6818,'Base Prueba'!A:D,4,),"NO REGISTRA")</f>
        <v>AUXILIAR ADMINISTRATIVO</v>
      </c>
      <c r="E6818" s="5" t="str">
        <f>IFERROR(VLOOKUP(A6818,'Base Prueba'!A:E,5,),"NO REGISTRA")</f>
        <v>REGISTRO Y CONTROL ACADEMICO</v>
      </c>
    </row>
    <row r="6819" spans="1:5" ht="15.75" x14ac:dyDescent="0.25">
      <c r="A6819" s="14">
        <v>1000324729</v>
      </c>
      <c r="B6819" s="2">
        <v>46156.710245254631</v>
      </c>
      <c r="C6819" s="3" t="str">
        <f>IFERROR(VLOOKUP(A6819,'Base Prueba'!A:C,3,),"NO REGISTRA")</f>
        <v>ANYIE VANESSA TINOCO CAMACHO</v>
      </c>
      <c r="D6819" s="4" t="str">
        <f>IFERROR(VLOOKUP(A6819,'Base Prueba'!A:D,4,),"NO REGISTRA")</f>
        <v>LIDER DE REGISTRO Y CONTROL</v>
      </c>
      <c r="E6819" s="5" t="str">
        <f>IFERROR(VLOOKUP(A6819,'Base Prueba'!A:E,5,),"NO REGISTRA")</f>
        <v>REGISTRO Y CONTROL ACADEMICO</v>
      </c>
    </row>
    <row r="6820" spans="1:5" ht="15.75" x14ac:dyDescent="0.25">
      <c r="A6820" s="14">
        <v>1000992568</v>
      </c>
      <c r="B6820" s="2">
        <v>46156.711782175924</v>
      </c>
      <c r="C6820" s="3" t="str">
        <f>IFERROR(VLOOKUP(A6820,'Base Prueba'!A:C,3,),"NO REGISTRA")</f>
        <v>KAREN BRIGITTE DALEMAN MORENO</v>
      </c>
      <c r="D6820" s="4" t="str">
        <f>IFERROR(VLOOKUP(A6820,'Base Prueba'!A:D,4,),"NO REGISTRA")</f>
        <v>RECEPCIONISTA</v>
      </c>
      <c r="E6820" s="5" t="str">
        <f>IFERROR(VLOOKUP(A6820,'Base Prueba'!A:E,5,),"NO REGISTRA")</f>
        <v>CENTRO DE GESTION DOCUMENTAL</v>
      </c>
    </row>
    <row r="6821" spans="1:5" ht="15.75" x14ac:dyDescent="0.25">
      <c r="A6821" s="14">
        <v>1000611958</v>
      </c>
      <c r="B6821" s="2">
        <v>46156.713782407409</v>
      </c>
      <c r="C6821" s="3" t="str">
        <f>IFERROR(VLOOKUP(A6821,'Base Prueba'!A:C,3,),"NO REGISTRA")</f>
        <v>TYLER CORRADINE  VARGAS</v>
      </c>
      <c r="D6821" s="4" t="str">
        <f>IFERROR(VLOOKUP(A6821,'Base Prueba'!A:D,4,),"NO REGISTRA")</f>
        <v>APRENDIZ UNIVERSITARIO</v>
      </c>
      <c r="E6821" s="5" t="str">
        <f>IFERROR(VLOOKUP(A6821,'Base Prueba'!A:E,5,),"NO REGISTRA")</f>
        <v>DEPARTAMENTO DE INFORMATICA Y TECNOLOGIA</v>
      </c>
    </row>
    <row r="6822" spans="1:5" ht="15.75" x14ac:dyDescent="0.25">
      <c r="A6822" s="14">
        <v>1019105003</v>
      </c>
      <c r="B6822" s="2">
        <v>46156.722621180554</v>
      </c>
      <c r="C6822" s="3" t="str">
        <f>IFERROR(VLOOKUP(A6822,'Base Prueba'!A:C,3,),"NO REGISTRA")</f>
        <v>DAISY JULIETH GASPAR MORENO</v>
      </c>
      <c r="D6822" s="4" t="str">
        <f>IFERROR(VLOOKUP(A6822,'Base Prueba'!A:D,4,),"NO REGISTRA")</f>
        <v>PROMOTOR CALL CENTER</v>
      </c>
      <c r="E6822" s="5" t="str">
        <f>IFERROR(VLOOKUP(A6822,'Base Prueba'!A:E,5,),"NO REGISTRA")</f>
        <v>OFICINA DE MERCADEO</v>
      </c>
    </row>
    <row r="6823" spans="1:5" ht="15.75" x14ac:dyDescent="0.25">
      <c r="A6823" s="14">
        <v>1024512067</v>
      </c>
      <c r="B6823" s="2">
        <v>46156.731776736109</v>
      </c>
      <c r="C6823" s="3" t="str">
        <f>IFERROR(VLOOKUP(A6823,'Base Prueba'!A:C,3,),"NO REGISTRA")</f>
        <v>CINDY GIOVANA SALGAR GOMEZ</v>
      </c>
      <c r="D6823" s="4" t="str">
        <f>IFERROR(VLOOKUP(A6823,'Base Prueba'!A:D,4,),"NO REGISTRA")</f>
        <v>COORDINADOR DEL SISTEMA INTEGRADO DE GESTION INSTITUCIONAL - SIGI</v>
      </c>
      <c r="E6823" s="5" t="str">
        <f>IFERROR(VLOOKUP(A6823,'Base Prueba'!A:E,5,),"NO REGISTRA")</f>
        <v>OFICINA DE PLANEACION Y GESTION DE LA CALIDAD</v>
      </c>
    </row>
    <row r="6824" spans="1:5" ht="15.75" x14ac:dyDescent="0.25">
      <c r="A6824" s="14">
        <v>1087121273</v>
      </c>
      <c r="B6824" s="2">
        <v>46156.750075000004</v>
      </c>
      <c r="C6824" s="3" t="str">
        <f>IFERROR(VLOOKUP(A6824,'Base Prueba'!A:C,3,),"NO REGISTRA")</f>
        <v>MAYRA ALEJANDRA CASTILLO ARBOLEDA</v>
      </c>
      <c r="D6824" s="4" t="str">
        <f>IFERROR(VLOOKUP(A6824,'Base Prueba'!A:D,4,),"NO REGISTRA")</f>
        <v>APOYO INTEGRAL DE MERCADEO</v>
      </c>
      <c r="E6824" s="5" t="str">
        <f>IFERROR(VLOOKUP(A6824,'Base Prueba'!A:E,5,),"NO REGISTRA")</f>
        <v>CENTRO DE GESTION DOCUMENTAL</v>
      </c>
    </row>
    <row r="6825" spans="1:5" ht="15.75" x14ac:dyDescent="0.25">
      <c r="A6825" s="14">
        <v>52225539</v>
      </c>
      <c r="B6825" s="2">
        <v>46156.750115393515</v>
      </c>
      <c r="C6825" s="3" t="str">
        <f>IFERROR(VLOOKUP(A6825,'Base Prueba'!A:C,3,),"NO REGISTRA")</f>
        <v>LISA MINELLY ZAMBRANO CONTRERAS</v>
      </c>
      <c r="D6825" s="4" t="str">
        <f>IFERROR(VLOOKUP(A6825,'Base Prueba'!A:D,4,),"NO REGISTRA")</f>
        <v>LIDER DE COMPRAS</v>
      </c>
      <c r="E6825" s="5" t="str">
        <f>IFERROR(VLOOKUP(A6825,'Base Prueba'!A:E,5,),"NO REGISTRA")</f>
        <v>VICERRECTORIA ADMINISTRATIVA Y FINANCIERA</v>
      </c>
    </row>
    <row r="6826" spans="1:5" ht="15.75" x14ac:dyDescent="0.25">
      <c r="A6826" s="14">
        <v>1012426741</v>
      </c>
      <c r="B6826" s="2">
        <v>46156.750182060183</v>
      </c>
      <c r="C6826" s="3" t="str">
        <f>IFERROR(VLOOKUP(A6826,'Base Prueba'!A:C,3,),"NO REGISTRA")</f>
        <v>CRISTIAN FABIAN ROJAS SANCENO</v>
      </c>
      <c r="D6826" s="4" t="str">
        <f>IFERROR(VLOOKUP(A6826,'Base Prueba'!A:D,4,),"NO REGISTRA")</f>
        <v>AUXILIAR DE REINTEGROS</v>
      </c>
      <c r="E6826" s="5" t="str">
        <f>IFERROR(VLOOKUP(A6826,'Base Prueba'!A:E,5,),"NO REGISTRA")</f>
        <v>DIRECCION DE BIENESTAR INSTITUCIONAL</v>
      </c>
    </row>
    <row r="6827" spans="1:5" ht="15.75" x14ac:dyDescent="0.25">
      <c r="A6827" s="14">
        <v>1023883232</v>
      </c>
      <c r="B6827" s="2">
        <v>46156.751400231478</v>
      </c>
      <c r="C6827" s="3" t="str">
        <f>IFERROR(VLOOKUP(A6827,'Base Prueba'!A:C,3,),"NO REGISTRA")</f>
        <v>MONICA ANDREA ACERO URBANO</v>
      </c>
      <c r="D6827" s="4" t="str">
        <f>IFERROR(VLOOKUP(A6827,'Base Prueba'!A:D,4,),"NO REGISTRA")</f>
        <v>APOYO INTEGRAL A GESTION HUMANA</v>
      </c>
      <c r="E6827" s="5" t="str">
        <f>IFERROR(VLOOKUP(A6827,'Base Prueba'!A:E,5,),"NO REGISTRA")</f>
        <v>DEPARTAMENTO DE GESTION HUMANA</v>
      </c>
    </row>
    <row r="6828" spans="1:5" ht="15.75" x14ac:dyDescent="0.25">
      <c r="A6828" s="14">
        <v>1193457976</v>
      </c>
      <c r="B6828" s="2">
        <v>46156.751438657404</v>
      </c>
      <c r="C6828" s="3" t="str">
        <f>IFERROR(VLOOKUP(A6828,'Base Prueba'!A:C,3,),"NO REGISTRA")</f>
        <v>SEDENIS RIVAS ASPRILLA</v>
      </c>
      <c r="D6828" s="4" t="str">
        <f>IFERROR(VLOOKUP(A6828,'Base Prueba'!A:D,4,),"NO REGISTRA")</f>
        <v>APRENDIZ UNIVERSITARIO</v>
      </c>
      <c r="E6828" s="5" t="str">
        <f>IFERROR(VLOOKUP(A6828,'Base Prueba'!A:E,5,),"NO REGISTRA")</f>
        <v>DEPARTAMENTO DE GESTION HUMANA</v>
      </c>
    </row>
    <row r="6829" spans="1:5" ht="15.75" x14ac:dyDescent="0.25">
      <c r="A6829" s="14">
        <v>1000467399</v>
      </c>
      <c r="B6829" s="2">
        <v>46156.752155787035</v>
      </c>
      <c r="C6829" s="3" t="str">
        <f>IFERROR(VLOOKUP(A6829,'Base Prueba'!A:C,3,),"NO REGISTRA")</f>
        <v>BRANDO ESTIVEN DIAZ QUIMBAYA</v>
      </c>
      <c r="D6829" s="4" t="str">
        <f>IFERROR(VLOOKUP(A6829,'Base Prueba'!A:D,4,),"NO REGISTRA")</f>
        <v>APRENDIZ UNIVERSITARIO</v>
      </c>
      <c r="E6829" s="5" t="str">
        <f>IFERROR(VLOOKUP(A6829,'Base Prueba'!A:E,5,),"NO REGISTRA")</f>
        <v>DEPARTAMENTO DE GESTION HUMANA</v>
      </c>
    </row>
    <row r="6830" spans="1:5" ht="15.75" x14ac:dyDescent="0.25">
      <c r="A6830" s="14">
        <v>52175674</v>
      </c>
      <c r="B6830" s="2">
        <v>46156.752340277781</v>
      </c>
      <c r="C6830" s="3" t="str">
        <f>IFERROR(VLOOKUP(A6830,'Base Prueba'!A:C,3,),"NO REGISTRA")</f>
        <v>LUZ YANETH GOMEZ AREVALO</v>
      </c>
      <c r="D6830" s="4" t="str">
        <f>IFERROR(VLOOKUP(A6830,'Base Prueba'!A:D,4,),"NO REGISTRA")</f>
        <v>COORDINADORA DE ADMISIONES</v>
      </c>
      <c r="E6830" s="5" t="str">
        <f>IFERROR(VLOOKUP(A6830,'Base Prueba'!A:E,5,),"NO REGISTRA")</f>
        <v>OFICINA DE MERCADEO</v>
      </c>
    </row>
    <row r="6831" spans="1:5" ht="15.75" x14ac:dyDescent="0.25">
      <c r="A6831" s="14">
        <v>1013098430</v>
      </c>
      <c r="B6831" s="2">
        <v>46156.753545601852</v>
      </c>
      <c r="C6831" s="3" t="str">
        <f>IFERROR(VLOOKUP(A6831,'Base Prueba'!A:C,3,),"NO REGISTRA")</f>
        <v>ANDRES FELIPE LOPEZ ROMERO</v>
      </c>
      <c r="D6831" s="4" t="str">
        <f>IFERROR(VLOOKUP(A6831,'Base Prueba'!A:D,4,),"NO REGISTRA")</f>
        <v>APRENDIZ UNIVERSITARIO</v>
      </c>
      <c r="E6831" s="5" t="str">
        <f>IFERROR(VLOOKUP(A6831,'Base Prueba'!A:E,5,),"NO REGISTRA")</f>
        <v>OFICINA DE MERCADEO</v>
      </c>
    </row>
    <row r="6832" spans="1:5" ht="15.75" x14ac:dyDescent="0.25">
      <c r="A6832" s="14">
        <v>1013101788</v>
      </c>
      <c r="B6832" s="2">
        <v>46156.753569328706</v>
      </c>
      <c r="C6832" s="3" t="str">
        <f>IFERROR(VLOOKUP(A6832,'Base Prueba'!A:C,3,),"NO REGISTRA")</f>
        <v>SARA TANGARIFE MONTOYA</v>
      </c>
      <c r="D6832" s="4" t="str">
        <f>IFERROR(VLOOKUP(A6832,'Base Prueba'!A:D,4,),"NO REGISTRA")</f>
        <v>APRENDIZ UNIVERSITARIO</v>
      </c>
      <c r="E6832" s="5" t="str">
        <f>IFERROR(VLOOKUP(A6832,'Base Prueba'!A:E,5,),"NO REGISTRA")</f>
        <v>OFICINA DE MERCADEO</v>
      </c>
    </row>
    <row r="6833" spans="1:5" ht="15.75" x14ac:dyDescent="0.25">
      <c r="A6833" s="14">
        <v>1022996882</v>
      </c>
      <c r="B6833" s="2">
        <v>46156.754053240744</v>
      </c>
      <c r="C6833" s="3" t="str">
        <f>IFERROR(VLOOKUP(A6833,'Base Prueba'!A:C,3,),"NO REGISTRA")</f>
        <v>NANCY BRIGITH ALDANA GUEVARA</v>
      </c>
      <c r="D6833" s="4" t="str">
        <f>IFERROR(VLOOKUP(A6833,'Base Prueba'!A:D,4,),"NO REGISTRA")</f>
        <v>COORDINADORA DE GESTIÓN HUMANA</v>
      </c>
      <c r="E6833" s="5" t="str">
        <f>IFERROR(VLOOKUP(A6833,'Base Prueba'!A:E,5,),"NO REGISTRA")</f>
        <v>DEPARTAMENTO DE GESTION HUMANA</v>
      </c>
    </row>
    <row r="6834" spans="1:5" ht="15.75" x14ac:dyDescent="0.25">
      <c r="A6834" s="14">
        <v>80191732</v>
      </c>
      <c r="B6834" s="2">
        <v>46156.754508796294</v>
      </c>
      <c r="C6834" s="3" t="str">
        <f>IFERROR(VLOOKUP(A6834,'Base Prueba'!A:C,3,),"NO REGISTRA")</f>
        <v>DANIEL MAURICIO ZAMBRANO TUNJANO</v>
      </c>
      <c r="D6834" s="4" t="str">
        <f>IFERROR(VLOOKUP(A6834,'Base Prueba'!A:D,4,),"NO REGISTRA")</f>
        <v>COORDINADOR DE DISEÑO E IMAGEN INSTITUCIONAL</v>
      </c>
      <c r="E6834" s="5" t="str">
        <f>IFERROR(VLOOKUP(A6834,'Base Prueba'!A:E,5,),"NO REGISTRA")</f>
        <v>OFICINA DE MERCADEO</v>
      </c>
    </row>
    <row r="6835" spans="1:5" ht="15.75" x14ac:dyDescent="0.25">
      <c r="A6835" s="14">
        <v>1000046533</v>
      </c>
      <c r="B6835" s="2">
        <v>46156.755218287035</v>
      </c>
      <c r="C6835" s="3" t="str">
        <f>IFERROR(VLOOKUP(A6835,'Base Prueba'!A:C,3,),"NO REGISTRA")</f>
        <v>ERIKA JULIETH VALDERRAMA SANCHEZ</v>
      </c>
      <c r="D6835" s="4" t="str">
        <f>IFERROR(VLOOKUP(A6835,'Base Prueba'!A:D,4,),"NO REGISTRA")</f>
        <v>PROMOTOR CALL CENTER</v>
      </c>
      <c r="E6835" s="5" t="str">
        <f>IFERROR(VLOOKUP(A6835,'Base Prueba'!A:E,5,),"NO REGISTRA")</f>
        <v>OFICINA DE MERCADEO</v>
      </c>
    </row>
    <row r="6836" spans="1:5" ht="15.75" x14ac:dyDescent="0.25">
      <c r="A6836" s="14">
        <v>1000257136</v>
      </c>
      <c r="B6836" s="2">
        <v>46156.756461342593</v>
      </c>
      <c r="C6836" s="3" t="str">
        <f>IFERROR(VLOOKUP(A6836,'Base Prueba'!A:C,3,),"NO REGISTRA")</f>
        <v>FRANCI VALENTINA CANO PUENTES</v>
      </c>
      <c r="D6836" s="4" t="str">
        <f>IFERROR(VLOOKUP(A6836,'Base Prueba'!A:D,4,),"NO REGISTRA")</f>
        <v>AUXILIAR CONTABLE</v>
      </c>
      <c r="E6836" s="5" t="str">
        <f>IFERROR(VLOOKUP(A6836,'Base Prueba'!A:E,5,),"NO REGISTRA")</f>
        <v>AREA FINANCIERA Y CONTABLE</v>
      </c>
    </row>
    <row r="6837" spans="1:5" ht="15.75" x14ac:dyDescent="0.25">
      <c r="A6837" s="14">
        <v>1014266838</v>
      </c>
      <c r="B6837" s="2">
        <v>46156.757808449074</v>
      </c>
      <c r="C6837" s="3" t="str">
        <f>IFERROR(VLOOKUP(A6837,'Base Prueba'!A:C,3,),"NO REGISTRA")</f>
        <v>JENNIFER ASTRID ROMERO HURTADO</v>
      </c>
      <c r="D6837" s="4" t="str">
        <f>IFERROR(VLOOKUP(A6837,'Base Prueba'!A:D,4,),"NO REGISTRA")</f>
        <v>LIDER DE RECAUDO</v>
      </c>
      <c r="E6837" s="5" t="str">
        <f>IFERROR(VLOOKUP(A6837,'Base Prueba'!A:E,5,),"NO REGISTRA")</f>
        <v>AREA FINANCIERA Y CONTABLE</v>
      </c>
    </row>
    <row r="6838" spans="1:5" ht="15.75" x14ac:dyDescent="0.25">
      <c r="A6838" s="14">
        <v>1014308296</v>
      </c>
      <c r="B6838" s="2">
        <v>46156.757909953703</v>
      </c>
      <c r="C6838" s="3" t="str">
        <f>IFERROR(VLOOKUP(A6838,'Base Prueba'!A:C,3,),"NO REGISTRA")</f>
        <v>DARLENE YULIANA MORENO CELEITA</v>
      </c>
      <c r="D6838" s="4" t="str">
        <f>IFERROR(VLOOKUP(A6838,'Base Prueba'!A:D,4,),"NO REGISTRA")</f>
        <v>CAJERO PRINCIPAL</v>
      </c>
      <c r="E6838" s="5" t="str">
        <f>IFERROR(VLOOKUP(A6838,'Base Prueba'!A:E,5,),"NO REGISTRA")</f>
        <v>AREA FINANCIERA Y CONTABLE</v>
      </c>
    </row>
    <row r="6839" spans="1:5" ht="15.75" x14ac:dyDescent="0.25">
      <c r="A6839" s="14">
        <v>28798349</v>
      </c>
      <c r="B6839" s="2">
        <v>46156.758309837962</v>
      </c>
      <c r="C6839" s="3" t="str">
        <f>IFERROR(VLOOKUP(A6839,'Base Prueba'!A:C,3,),"NO REGISTRA")</f>
        <v>MARTHA ISABEL TOVAR WILLIAMS</v>
      </c>
      <c r="D6839" s="4" t="str">
        <f>IFERROR(VLOOKUP(A6839,'Base Prueba'!A:D,4,),"NO REGISTRA")</f>
        <v>PROMOTOR CALL CENTER</v>
      </c>
      <c r="E6839" s="5" t="str">
        <f>IFERROR(VLOOKUP(A6839,'Base Prueba'!A:E,5,),"NO REGISTRA")</f>
        <v>OFICINA DE MERCADEO</v>
      </c>
    </row>
    <row r="6840" spans="1:5" ht="15.75" x14ac:dyDescent="0.25">
      <c r="A6840" s="14">
        <v>1023961952</v>
      </c>
      <c r="B6840" s="2">
        <v>46156.758402893516</v>
      </c>
      <c r="C6840" s="3" t="str">
        <f>IFERROR(VLOOKUP(A6840,'Base Prueba'!A:C,3,),"NO REGISTRA")</f>
        <v>ALEJANDRO PINZON MERCHAN</v>
      </c>
      <c r="D6840" s="4" t="str">
        <f>IFERROR(VLOOKUP(A6840,'Base Prueba'!A:D,4,),"NO REGISTRA")</f>
        <v>PROMOTOR CALL CENTER</v>
      </c>
      <c r="E6840" s="5" t="str">
        <f>IFERROR(VLOOKUP(A6840,'Base Prueba'!A:E,5,),"NO REGISTRA")</f>
        <v>OFICINA DE MERCADEO</v>
      </c>
    </row>
    <row r="6841" spans="1:5" ht="15.75" x14ac:dyDescent="0.25">
      <c r="A6841" s="14">
        <v>1049644802</v>
      </c>
      <c r="B6841" s="2">
        <v>46156.759373726854</v>
      </c>
      <c r="C6841" s="3" t="str">
        <f>IFERROR(VLOOKUP(A6841,'Base Prueba'!A:C,3,),"NO REGISTRA")</f>
        <v>DANIELA ALEXANDRA CIPAMOCHA BOSIGA</v>
      </c>
      <c r="D6841" s="4" t="str">
        <f>IFERROR(VLOOKUP(A6841,'Base Prueba'!A:D,4,),"NO REGISTRA")</f>
        <v>LIDER DE DATOS Y SERVICIOS</v>
      </c>
      <c r="E6841" s="5" t="str">
        <f>IFERROR(VLOOKUP(A6841,'Base Prueba'!A:E,5,),"NO REGISTRA")</f>
        <v>OFICINA DE PLANEACION Y GESTION DE LA CALIDAD</v>
      </c>
    </row>
    <row r="6842" spans="1:5" ht="15.75" x14ac:dyDescent="0.25">
      <c r="A6842" s="14">
        <v>52472386</v>
      </c>
      <c r="B6842" s="2">
        <v>46156.75950162037</v>
      </c>
      <c r="C6842" s="3" t="str">
        <f>IFERROR(VLOOKUP(A6842,'Base Prueba'!A:C,3,),"NO REGISTRA")</f>
        <v>ADRIANA MARCELA MORALES PARDO</v>
      </c>
      <c r="D6842" s="4" t="str">
        <f>IFERROR(VLOOKUP(A6842,'Base Prueba'!A:D,4,),"NO REGISTRA")</f>
        <v>PROMOTOR CALL CENTER</v>
      </c>
      <c r="E6842" s="5" t="str">
        <f>IFERROR(VLOOKUP(A6842,'Base Prueba'!A:E,5,),"NO REGISTRA")</f>
        <v>OFICINA DE MERCADEO</v>
      </c>
    </row>
    <row r="6843" spans="1:5" ht="15.75" x14ac:dyDescent="0.25">
      <c r="A6843" s="14">
        <v>1000593372</v>
      </c>
      <c r="B6843" s="2">
        <v>46156.761327199078</v>
      </c>
      <c r="C6843" s="3" t="str">
        <f>IFERROR(VLOOKUP(A6843,'Base Prueba'!A:C,3,),"NO REGISTRA")</f>
        <v>LAURA SOFIA CHAPARRO LOPEZ</v>
      </c>
      <c r="D6843" s="4" t="str">
        <f>IFERROR(VLOOKUP(A6843,'Base Prueba'!A:D,4,),"NO REGISTRA")</f>
        <v>AUXILIAR JURIDICO</v>
      </c>
      <c r="E6843" s="5" t="str">
        <f>IFERROR(VLOOKUP(A6843,'Base Prueba'!A:E,5,),"NO REGISTRA")</f>
        <v>SECRETARIA GENERAL</v>
      </c>
    </row>
    <row r="6844" spans="1:5" ht="15.75" x14ac:dyDescent="0.25">
      <c r="A6844" s="14">
        <v>1013616244</v>
      </c>
      <c r="B6844" s="2">
        <v>46156.762210069443</v>
      </c>
      <c r="C6844" s="3" t="str">
        <f>IFERROR(VLOOKUP(A6844,'Base Prueba'!A:C,3,),"NO REGISTRA")</f>
        <v>DIANA CAROLINA MARIN BETANCOURT</v>
      </c>
      <c r="D6844" s="4" t="str">
        <f>IFERROR(VLOOKUP(A6844,'Base Prueba'!A:D,4,),"NO REGISTRA")</f>
        <v>AUXILIAR ADMINISTRATIVO</v>
      </c>
      <c r="E6844" s="5" t="str">
        <f>IFERROR(VLOOKUP(A6844,'Base Prueba'!A:E,5,),"NO REGISTRA")</f>
        <v>REGISTRO Y CONTROL ACADEMICO</v>
      </c>
    </row>
    <row r="6845" spans="1:5" ht="15.75" x14ac:dyDescent="0.25">
      <c r="A6845" s="14">
        <v>52474489</v>
      </c>
      <c r="B6845" s="2">
        <v>46156.76228171296</v>
      </c>
      <c r="C6845" s="3" t="str">
        <f>IFERROR(VLOOKUP(A6845,'Base Prueba'!A:C,3,),"NO REGISTRA")</f>
        <v>ADRIANA JIMENA SOTO BOCANEGRA</v>
      </c>
      <c r="D6845" s="4" t="str">
        <f>IFERROR(VLOOKUP(A6845,'Base Prueba'!A:D,4,),"NO REGISTRA")</f>
        <v>COORDINADOR DE LA OFICINA DE REGISTRO Y CONTROL</v>
      </c>
      <c r="E6845" s="5" t="str">
        <f>IFERROR(VLOOKUP(A6845,'Base Prueba'!A:E,5,),"NO REGISTRA")</f>
        <v>REGISTRO Y CONTROL ACADEMICO</v>
      </c>
    </row>
    <row r="6846" spans="1:5" ht="15.75" x14ac:dyDescent="0.25">
      <c r="A6846" s="14">
        <v>1014977624</v>
      </c>
      <c r="B6846" s="2">
        <v>46156.762525347222</v>
      </c>
      <c r="C6846" s="3" t="str">
        <f>IFERROR(VLOOKUP(A6846,'Base Prueba'!A:C,3,),"NO REGISTRA")</f>
        <v>NICCOLE VALENTINA HERNANDEZ MALAVER</v>
      </c>
      <c r="D6846" s="4" t="str">
        <f>IFERROR(VLOOKUP(A6846,'Base Prueba'!A:D,4,),"NO REGISTRA")</f>
        <v>APRENDIZ UNIVERSITARIO</v>
      </c>
      <c r="E6846" s="5" t="str">
        <f>IFERROR(VLOOKUP(A6846,'Base Prueba'!A:E,5,),"NO REGISTRA")</f>
        <v>AREA FINANCIERA Y CONTABLE</v>
      </c>
    </row>
    <row r="6847" spans="1:5" ht="15.75" x14ac:dyDescent="0.25">
      <c r="A6847" s="14">
        <v>1000457706</v>
      </c>
      <c r="B6847" s="2">
        <v>46156.764588194441</v>
      </c>
      <c r="C6847" s="3" t="str">
        <f>IFERROR(VLOOKUP(A6847,'Base Prueba'!A:C,3,),"NO REGISTRA")</f>
        <v>CRISTIAN DANILO ARROYO SANABRIA</v>
      </c>
      <c r="D6847" s="4" t="str">
        <f>IFERROR(VLOOKUP(A6847,'Base Prueba'!A:D,4,),"NO REGISTRA")</f>
        <v>AUXILIAR CONTABLE</v>
      </c>
      <c r="E6847" s="5" t="str">
        <f>IFERROR(VLOOKUP(A6847,'Base Prueba'!A:E,5,),"NO REGISTRA")</f>
        <v>AREA FINANCIERA Y CONTABLE</v>
      </c>
    </row>
    <row r="6848" spans="1:5" ht="15.75" x14ac:dyDescent="0.25">
      <c r="A6848" s="14">
        <v>53932358</v>
      </c>
      <c r="B6848" s="2">
        <v>46156.767342129628</v>
      </c>
      <c r="C6848" s="3" t="str">
        <f>IFERROR(VLOOKUP(A6848,'Base Prueba'!A:C,3,),"NO REGISTRA")</f>
        <v>DIANA MADELEYNE GAONA RODRIGUEZ</v>
      </c>
      <c r="D6848" s="4" t="str">
        <f>IFERROR(VLOOKUP(A6848,'Base Prueba'!A:D,4,),"NO REGISTRA")</f>
        <v>CONTADOR</v>
      </c>
      <c r="E6848" s="5" t="str">
        <f>IFERROR(VLOOKUP(A6848,'Base Prueba'!A:E,5,),"NO REGISTRA")</f>
        <v>AREA FINANCIERA Y CONTABLE</v>
      </c>
    </row>
    <row r="6849" spans="1:5" ht="15.75" x14ac:dyDescent="0.25">
      <c r="A6849" s="14">
        <v>1032407386</v>
      </c>
      <c r="B6849" s="2">
        <v>46156.771859606481</v>
      </c>
      <c r="C6849" s="3" t="str">
        <f>IFERROR(VLOOKUP(A6849,'Base Prueba'!A:C,3,),"NO REGISTRA")</f>
        <v>GINA PAOLA BAEZ GALVIS</v>
      </c>
      <c r="D6849" s="4" t="str">
        <f>IFERROR(VLOOKUP(A6849,'Base Prueba'!A:D,4,),"NO REGISTRA")</f>
        <v>PROMOTOR CALL CENTER</v>
      </c>
      <c r="E6849" s="5" t="str">
        <f>IFERROR(VLOOKUP(A6849,'Base Prueba'!A:E,5,),"NO REGISTRA")</f>
        <v>OFICINA DE MERCADEO</v>
      </c>
    </row>
    <row r="6850" spans="1:5" ht="15.75" x14ac:dyDescent="0.25">
      <c r="A6850" s="14">
        <v>1018414290</v>
      </c>
      <c r="B6850" s="2">
        <v>46156.771893055557</v>
      </c>
      <c r="C6850" s="3" t="str">
        <f>IFERROR(VLOOKUP(A6850,'Base Prueba'!A:C,3,),"NO REGISTRA")</f>
        <v>AMANDA LISBETH RODRIGUEZ LEON</v>
      </c>
      <c r="D6850" s="4" t="str">
        <f>IFERROR(VLOOKUP(A6850,'Base Prueba'!A:D,4,),"NO REGISTRA")</f>
        <v>PROMOTOR CALL CENTER</v>
      </c>
      <c r="E6850" s="5" t="str">
        <f>IFERROR(VLOOKUP(A6850,'Base Prueba'!A:E,5,),"NO REGISTRA")</f>
        <v>OFICINA DE MERCADEO</v>
      </c>
    </row>
    <row r="6851" spans="1:5" ht="15.75" x14ac:dyDescent="0.25">
      <c r="A6851" s="14">
        <v>1018413529</v>
      </c>
      <c r="B6851" s="2">
        <v>46156.778447453704</v>
      </c>
      <c r="C6851" s="3" t="str">
        <f>IFERROR(VLOOKUP(A6851,'Base Prueba'!A:C,3,),"NO REGISTRA")</f>
        <v>FRANCY STELLA CHARRY MORENO</v>
      </c>
      <c r="D6851" s="4" t="str">
        <f>IFERROR(VLOOKUP(A6851,'Base Prueba'!A:D,4,),"NO REGISTRA")</f>
        <v>PROMOTOR COMERCIAL DEL CEA</v>
      </c>
      <c r="E6851" s="5" t="str">
        <f>IFERROR(VLOOKUP(A6851,'Base Prueba'!A:E,5,),"NO REGISTRA")</f>
        <v>OFICINA DE MERCADEO</v>
      </c>
    </row>
    <row r="6852" spans="1:5" ht="15.75" x14ac:dyDescent="0.25">
      <c r="A6852" s="14">
        <v>53089882</v>
      </c>
      <c r="B6852" s="2">
        <v>46156.779114004632</v>
      </c>
      <c r="C6852" s="3" t="str">
        <f>IFERROR(VLOOKUP(A6852,'Base Prueba'!A:C,3,),"NO REGISTRA")</f>
        <v>MARIA JOHANA ESCAMILLA MARTINEZ</v>
      </c>
      <c r="D6852" s="4" t="str">
        <f>IFERROR(VLOOKUP(A6852,'Base Prueba'!A:D,4,),"NO REGISTRA")</f>
        <v>PROMOTOR DE INFORMACIÓN</v>
      </c>
      <c r="E6852" s="5" t="str">
        <f>IFERROR(VLOOKUP(A6852,'Base Prueba'!A:E,5,),"NO REGISTRA")</f>
        <v>OFICINA DE MERCADEO</v>
      </c>
    </row>
    <row r="6853" spans="1:5" ht="15.75" x14ac:dyDescent="0.25">
      <c r="A6853" s="14">
        <v>1032469638</v>
      </c>
      <c r="B6853" s="2">
        <v>46156.789596527778</v>
      </c>
      <c r="C6853" s="3" t="str">
        <f>IFERROR(VLOOKUP(A6853,'Base Prueba'!A:C,3,),"NO REGISTRA")</f>
        <v>MAICOL JARBEY GUALTEROS CASTAÑEDA</v>
      </c>
      <c r="D6853" s="4" t="str">
        <f>IFERROR(VLOOKUP(A6853,'Base Prueba'!A:D,4,),"NO REGISTRA")</f>
        <v>COORDINADOR DEL SISTEMA INTERNO DE ASEGURAMIENTO DE LA CALIDAD - SIAC</v>
      </c>
      <c r="E6853" s="5" t="str">
        <f>IFERROR(VLOOKUP(A6853,'Base Prueba'!A:E,5,),"NO REGISTRA")</f>
        <v>OFICINA DE PLANEACION Y GESTION DE LA CALIDAD</v>
      </c>
    </row>
    <row r="6854" spans="1:5" ht="15.75" x14ac:dyDescent="0.25">
      <c r="A6854" s="14">
        <v>52764929</v>
      </c>
      <c r="B6854" s="2">
        <v>46156.78978240741</v>
      </c>
      <c r="C6854" s="3" t="str">
        <f>IFERROR(VLOOKUP(A6854,'Base Prueba'!A:C,3,),"NO REGISTRA")</f>
        <v>GUERLY YOHANA DURAN RIVERA</v>
      </c>
      <c r="D6854" s="4" t="str">
        <f>IFERROR(VLOOKUP(A6854,'Base Prueba'!A:D,4,),"NO REGISTRA")</f>
        <v>LIDER DE VINCULACION COLEGIOS</v>
      </c>
      <c r="E6854" s="5" t="str">
        <f>IFERROR(VLOOKUP(A6854,'Base Prueba'!A:E,5,),"NO REGISTRA")</f>
        <v>OFICINA DE MERCADEO</v>
      </c>
    </row>
    <row r="6855" spans="1:5" ht="15.75" x14ac:dyDescent="0.25">
      <c r="A6855" s="14">
        <v>80234243</v>
      </c>
      <c r="B6855" s="2">
        <v>46156.794658680556</v>
      </c>
      <c r="C6855" s="3" t="str">
        <f>IFERROR(VLOOKUP(A6855,'Base Prueba'!A:C,3,),"NO REGISTRA")</f>
        <v>ARGENIS MARTINEZ MARTINEZ</v>
      </c>
      <c r="D6855" s="4" t="str">
        <f>IFERROR(VLOOKUP(A6855,'Base Prueba'!A:D,4,),"NO REGISTRA")</f>
        <v>LIDER CALL CENTER</v>
      </c>
      <c r="E6855" s="5" t="str">
        <f>IFERROR(VLOOKUP(A6855,'Base Prueba'!A:E,5,),"NO REGISTRA")</f>
        <v>OFICINA DE MERCADEO</v>
      </c>
    </row>
    <row r="6856" spans="1:5" ht="15.75" x14ac:dyDescent="0.25">
      <c r="A6856" s="14">
        <v>52443092</v>
      </c>
      <c r="B6856" s="2">
        <v>46156.872796412033</v>
      </c>
      <c r="C6856" s="3" t="str">
        <f>IFERROR(VLOOKUP(A6856,'Base Prueba'!A:C,3,),"NO REGISTRA")</f>
        <v>LUZ MYRIAM SAAVEDRA CONTRERAS</v>
      </c>
      <c r="D6856" s="4" t="str">
        <f>IFERROR(VLOOKUP(A6856,'Base Prueba'!A:D,4,),"NO REGISTRA")</f>
        <v>AUXILIAR DE SERVICIOS</v>
      </c>
      <c r="E6856" s="5" t="str">
        <f>IFERROR(VLOOKUP(A6856,'Base Prueba'!A:E,5,),"NO REGISTRA")</f>
        <v>LOGISTICA Y SERVICIOS GENERALES</v>
      </c>
    </row>
    <row r="6857" spans="1:5" ht="15.75" x14ac:dyDescent="0.25">
      <c r="A6857" s="14">
        <v>80191732</v>
      </c>
      <c r="B6857" s="2">
        <v>46157.296266550926</v>
      </c>
      <c r="C6857" s="3" t="str">
        <f>IFERROR(VLOOKUP(A6857,'Base Prueba'!A:C,3,),"NO REGISTRA")</f>
        <v>DANIEL MAURICIO ZAMBRANO TUNJANO</v>
      </c>
      <c r="D6857" s="4" t="str">
        <f>IFERROR(VLOOKUP(A6857,'Base Prueba'!A:D,4,),"NO REGISTRA")</f>
        <v>COORDINADOR DE DISEÑO E IMAGEN INSTITUCIONAL</v>
      </c>
      <c r="E6857" s="5" t="str">
        <f>IFERROR(VLOOKUP(A6857,'Base Prueba'!A:E,5,),"NO REGISTRA")</f>
        <v>OFICINA DE MERCADEO</v>
      </c>
    </row>
    <row r="6858" spans="1:5" ht="15.75" x14ac:dyDescent="0.25">
      <c r="A6858" s="14">
        <v>1024512067</v>
      </c>
      <c r="B6858" s="2">
        <v>46157.317800925928</v>
      </c>
      <c r="C6858" s="3" t="str">
        <f>IFERROR(VLOOKUP(A6858,'Base Prueba'!A:C,3,),"NO REGISTRA")</f>
        <v>CINDY GIOVANA SALGAR GOMEZ</v>
      </c>
      <c r="D6858" s="4" t="str">
        <f>IFERROR(VLOOKUP(A6858,'Base Prueba'!A:D,4,),"NO REGISTRA")</f>
        <v>COORDINADOR DEL SISTEMA INTEGRADO DE GESTION INSTITUCIONAL - SIGI</v>
      </c>
      <c r="E6858" s="5" t="str">
        <f>IFERROR(VLOOKUP(A6858,'Base Prueba'!A:E,5,),"NO REGISTRA")</f>
        <v>OFICINA DE PLANEACION Y GESTION DE LA CALIDAD</v>
      </c>
    </row>
    <row r="6859" spans="1:5" ht="15.75" x14ac:dyDescent="0.25">
      <c r="A6859" s="14">
        <v>1013098430</v>
      </c>
      <c r="B6859" s="2">
        <v>46157.318545254631</v>
      </c>
      <c r="C6859" s="3" t="str">
        <f>IFERROR(VLOOKUP(A6859,'Base Prueba'!A:C,3,),"NO REGISTRA")</f>
        <v>ANDRES FELIPE LOPEZ ROMERO</v>
      </c>
      <c r="D6859" s="4" t="str">
        <f>IFERROR(VLOOKUP(A6859,'Base Prueba'!A:D,4,),"NO REGISTRA")</f>
        <v>APRENDIZ UNIVERSITARIO</v>
      </c>
      <c r="E6859" s="5" t="str">
        <f>IFERROR(VLOOKUP(A6859,'Base Prueba'!A:E,5,),"NO REGISTRA")</f>
        <v>OFICINA DE MERCADEO</v>
      </c>
    </row>
    <row r="6860" spans="1:5" ht="15.75" x14ac:dyDescent="0.25">
      <c r="A6860" s="14">
        <v>1013101788</v>
      </c>
      <c r="B6860" s="2">
        <v>46157.319562731478</v>
      </c>
      <c r="C6860" s="3" t="str">
        <f>IFERROR(VLOOKUP(A6860,'Base Prueba'!A:C,3,),"NO REGISTRA")</f>
        <v>SARA TANGARIFE MONTOYA</v>
      </c>
      <c r="D6860" s="4" t="str">
        <f>IFERROR(VLOOKUP(A6860,'Base Prueba'!A:D,4,),"NO REGISTRA")</f>
        <v>APRENDIZ UNIVERSITARIO</v>
      </c>
      <c r="E6860" s="5" t="str">
        <f>IFERROR(VLOOKUP(A6860,'Base Prueba'!A:E,5,),"NO REGISTRA")</f>
        <v>OFICINA DE MERCADEO</v>
      </c>
    </row>
    <row r="6861" spans="1:5" ht="15.75" x14ac:dyDescent="0.25">
      <c r="A6861" s="14">
        <v>1000324729</v>
      </c>
      <c r="B6861" s="2">
        <v>46157.319869212966</v>
      </c>
      <c r="C6861" s="3" t="str">
        <f>IFERROR(VLOOKUP(A6861,'Base Prueba'!A:C,3,),"NO REGISTRA")</f>
        <v>ANYIE VANESSA TINOCO CAMACHO</v>
      </c>
      <c r="D6861" s="4" t="str">
        <f>IFERROR(VLOOKUP(A6861,'Base Prueba'!A:D,4,),"NO REGISTRA")</f>
        <v>LIDER DE REGISTRO Y CONTROL</v>
      </c>
      <c r="E6861" s="5" t="str">
        <f>IFERROR(VLOOKUP(A6861,'Base Prueba'!A:E,5,),"NO REGISTRA")</f>
        <v>REGISTRO Y CONTROL ACADEMICO</v>
      </c>
    </row>
    <row r="6862" spans="1:5" ht="15.75" x14ac:dyDescent="0.25">
      <c r="A6862" s="14">
        <v>1014308296</v>
      </c>
      <c r="B6862" s="2">
        <v>46157.327450578705</v>
      </c>
      <c r="C6862" s="3" t="str">
        <f>IFERROR(VLOOKUP(A6862,'Base Prueba'!A:C,3,),"NO REGISTRA")</f>
        <v>DARLENE YULIANA MORENO CELEITA</v>
      </c>
      <c r="D6862" s="4" t="str">
        <f>IFERROR(VLOOKUP(A6862,'Base Prueba'!A:D,4,),"NO REGISTRA")</f>
        <v>CAJERO PRINCIPAL</v>
      </c>
      <c r="E6862" s="5" t="str">
        <f>IFERROR(VLOOKUP(A6862,'Base Prueba'!A:E,5,),"NO REGISTRA")</f>
        <v>AREA FINANCIERA Y CONTABLE</v>
      </c>
    </row>
    <row r="6863" spans="1:5" ht="15.75" x14ac:dyDescent="0.25">
      <c r="A6863" s="14">
        <v>1000257136</v>
      </c>
      <c r="B6863" s="2">
        <v>46157.329827662033</v>
      </c>
      <c r="C6863" s="3" t="str">
        <f>IFERROR(VLOOKUP(A6863,'Base Prueba'!A:C,3,),"NO REGISTRA")</f>
        <v>FRANCI VALENTINA CANO PUENTES</v>
      </c>
      <c r="D6863" s="4" t="str">
        <f>IFERROR(VLOOKUP(A6863,'Base Prueba'!A:D,4,),"NO REGISTRA")</f>
        <v>AUXILIAR CONTABLE</v>
      </c>
      <c r="E6863" s="5" t="str">
        <f>IFERROR(VLOOKUP(A6863,'Base Prueba'!A:E,5,),"NO REGISTRA")</f>
        <v>AREA FINANCIERA Y CONTABLE</v>
      </c>
    </row>
    <row r="6864" spans="1:5" ht="15.75" x14ac:dyDescent="0.25">
      <c r="A6864" s="14">
        <v>1033820146</v>
      </c>
      <c r="B6864" s="2">
        <v>46157.330454629628</v>
      </c>
      <c r="C6864" s="3" t="str">
        <f>IFERROR(VLOOKUP(A6864,'Base Prueba'!A:C,3,),"NO REGISTRA")</f>
        <v>JULIETH ALEXANDRA BUSTAMANTE RUIZ</v>
      </c>
      <c r="D6864" s="4" t="str">
        <f>IFERROR(VLOOKUP(A6864,'Base Prueba'!A:D,4,),"NO REGISTRA")</f>
        <v>AUXILIAR ADMINISTRATIVO</v>
      </c>
      <c r="E6864" s="5" t="str">
        <f>IFERROR(VLOOKUP(A6864,'Base Prueba'!A:E,5,),"NO REGISTRA")</f>
        <v>REGISTRO Y CONTROL ACADEMICO</v>
      </c>
    </row>
    <row r="6865" spans="1:5" ht="15.75" x14ac:dyDescent="0.25">
      <c r="A6865" s="14">
        <v>1049644802</v>
      </c>
      <c r="B6865" s="2">
        <v>46157.33263449074</v>
      </c>
      <c r="C6865" s="3" t="str">
        <f>IFERROR(VLOOKUP(A6865,'Base Prueba'!A:C,3,),"NO REGISTRA")</f>
        <v>DANIELA ALEXANDRA CIPAMOCHA BOSIGA</v>
      </c>
      <c r="D6865" s="4" t="str">
        <f>IFERROR(VLOOKUP(A6865,'Base Prueba'!A:D,4,),"NO REGISTRA")</f>
        <v>LIDER DE DATOS Y SERVICIOS</v>
      </c>
      <c r="E6865" s="5" t="str">
        <f>IFERROR(VLOOKUP(A6865,'Base Prueba'!A:E,5,),"NO REGISTRA")</f>
        <v>OFICINA DE PLANEACION Y GESTION DE LA CALIDAD</v>
      </c>
    </row>
    <row r="6866" spans="1:5" ht="15.75" x14ac:dyDescent="0.25">
      <c r="A6866" s="14">
        <v>52225539</v>
      </c>
      <c r="B6866" s="2">
        <v>46157.334563773147</v>
      </c>
      <c r="C6866" s="3" t="str">
        <f>IFERROR(VLOOKUP(A6866,'Base Prueba'!A:C,3,),"NO REGISTRA")</f>
        <v>LISA MINELLY ZAMBRANO CONTRERAS</v>
      </c>
      <c r="D6866" s="4" t="str">
        <f>IFERROR(VLOOKUP(A6866,'Base Prueba'!A:D,4,),"NO REGISTRA")</f>
        <v>LIDER DE COMPRAS</v>
      </c>
      <c r="E6866" s="5" t="str">
        <f>IFERROR(VLOOKUP(A6866,'Base Prueba'!A:E,5,),"NO REGISTRA")</f>
        <v>VICERRECTORIA ADMINISTRATIVA Y FINANCIERA</v>
      </c>
    </row>
    <row r="6867" spans="1:5" ht="15.75" x14ac:dyDescent="0.25">
      <c r="A6867" s="14">
        <v>1023883232</v>
      </c>
      <c r="B6867" s="2">
        <v>46157.342335763889</v>
      </c>
      <c r="C6867" s="3" t="str">
        <f>IFERROR(VLOOKUP(A6867,'Base Prueba'!A:C,3,),"NO REGISTRA")</f>
        <v>MONICA ANDREA ACERO URBANO</v>
      </c>
      <c r="D6867" s="4" t="str">
        <f>IFERROR(VLOOKUP(A6867,'Base Prueba'!A:D,4,),"NO REGISTRA")</f>
        <v>APOYO INTEGRAL A GESTION HUMANA</v>
      </c>
      <c r="E6867" s="5" t="str">
        <f>IFERROR(VLOOKUP(A6867,'Base Prueba'!A:E,5,),"NO REGISTRA")</f>
        <v>DEPARTAMENTO DE GESTION HUMANA</v>
      </c>
    </row>
    <row r="6868" spans="1:5" ht="15.75" x14ac:dyDescent="0.25">
      <c r="A6868" s="14">
        <v>1193457976</v>
      </c>
      <c r="B6868" s="2">
        <v>46157.34377777778</v>
      </c>
      <c r="C6868" s="3" t="str">
        <f>IFERROR(VLOOKUP(A6868,'Base Prueba'!A:C,3,),"NO REGISTRA")</f>
        <v>SEDENIS RIVAS ASPRILLA</v>
      </c>
      <c r="D6868" s="4" t="str">
        <f>IFERROR(VLOOKUP(A6868,'Base Prueba'!A:D,4,),"NO REGISTRA")</f>
        <v>APRENDIZ UNIVERSITARIO</v>
      </c>
      <c r="E6868" s="5" t="str">
        <f>IFERROR(VLOOKUP(A6868,'Base Prueba'!A:E,5,),"NO REGISTRA")</f>
        <v>DEPARTAMENTO DE GESTION HUMANA</v>
      </c>
    </row>
    <row r="6869" spans="1:5" ht="15.75" x14ac:dyDescent="0.25">
      <c r="A6869" s="14">
        <v>1014977624</v>
      </c>
      <c r="B6869" s="2">
        <v>46157.344224305554</v>
      </c>
      <c r="C6869" s="3" t="str">
        <f>IFERROR(VLOOKUP(A6869,'Base Prueba'!A:C,3,),"NO REGISTRA")</f>
        <v>NICCOLE VALENTINA HERNANDEZ MALAVER</v>
      </c>
      <c r="D6869" s="4" t="str">
        <f>IFERROR(VLOOKUP(A6869,'Base Prueba'!A:D,4,),"NO REGISTRA")</f>
        <v>APRENDIZ UNIVERSITARIO</v>
      </c>
      <c r="E6869" s="5" t="str">
        <f>IFERROR(VLOOKUP(A6869,'Base Prueba'!A:E,5,),"NO REGISTRA")</f>
        <v>AREA FINANCIERA Y CONTABLE</v>
      </c>
    </row>
    <row r="6870" spans="1:5" ht="15.75" x14ac:dyDescent="0.25">
      <c r="A6870" s="14">
        <v>53932358</v>
      </c>
      <c r="B6870" s="2">
        <v>46157.347926736111</v>
      </c>
      <c r="C6870" s="3" t="str">
        <f>IFERROR(VLOOKUP(A6870,'Base Prueba'!A:C,3,),"NO REGISTRA")</f>
        <v>DIANA MADELEYNE GAONA RODRIGUEZ</v>
      </c>
      <c r="D6870" s="4" t="str">
        <f>IFERROR(VLOOKUP(A6870,'Base Prueba'!A:D,4,),"NO REGISTRA")</f>
        <v>CONTADOR</v>
      </c>
      <c r="E6870" s="5" t="str">
        <f>IFERROR(VLOOKUP(A6870,'Base Prueba'!A:E,5,),"NO REGISTRA")</f>
        <v>AREA FINANCIERA Y CONTABLE</v>
      </c>
    </row>
    <row r="6871" spans="1:5" ht="15.75" x14ac:dyDescent="0.25">
      <c r="A6871" s="14">
        <v>1000457706</v>
      </c>
      <c r="B6871" s="2">
        <v>46157.349805902777</v>
      </c>
      <c r="C6871" s="3" t="str">
        <f>IFERROR(VLOOKUP(A6871,'Base Prueba'!A:C,3,),"NO REGISTRA")</f>
        <v>CRISTIAN DANILO ARROYO SANABRIA</v>
      </c>
      <c r="D6871" s="4" t="str">
        <f>IFERROR(VLOOKUP(A6871,'Base Prueba'!A:D,4,),"NO REGISTRA")</f>
        <v>AUXILIAR CONTABLE</v>
      </c>
      <c r="E6871" s="5" t="str">
        <f>IFERROR(VLOOKUP(A6871,'Base Prueba'!A:E,5,),"NO REGISTRA")</f>
        <v>AREA FINANCIERA Y CONTABLE</v>
      </c>
    </row>
    <row r="6872" spans="1:5" ht="15.75" x14ac:dyDescent="0.25">
      <c r="A6872" s="14">
        <v>1087121273</v>
      </c>
      <c r="B6872" s="2">
        <v>46157.353215393516</v>
      </c>
      <c r="C6872" s="3" t="str">
        <f>IFERROR(VLOOKUP(A6872,'Base Prueba'!A:C,3,),"NO REGISTRA")</f>
        <v>MAYRA ALEJANDRA CASTILLO ARBOLEDA</v>
      </c>
      <c r="D6872" s="4" t="str">
        <f>IFERROR(VLOOKUP(A6872,'Base Prueba'!A:D,4,),"NO REGISTRA")</f>
        <v>APOYO INTEGRAL DE MERCADEO</v>
      </c>
      <c r="E6872" s="5" t="str">
        <f>IFERROR(VLOOKUP(A6872,'Base Prueba'!A:E,5,),"NO REGISTRA")</f>
        <v>CENTRO DE GESTION DOCUMENTAL</v>
      </c>
    </row>
    <row r="6873" spans="1:5" ht="15.75" x14ac:dyDescent="0.25">
      <c r="A6873" s="14">
        <v>1018413529</v>
      </c>
      <c r="B6873" s="2">
        <v>46157.354464467593</v>
      </c>
      <c r="C6873" s="3" t="str">
        <f>IFERROR(VLOOKUP(A6873,'Base Prueba'!A:C,3,),"NO REGISTRA")</f>
        <v>FRANCY STELLA CHARRY MORENO</v>
      </c>
      <c r="D6873" s="4" t="str">
        <f>IFERROR(VLOOKUP(A6873,'Base Prueba'!A:D,4,),"NO REGISTRA")</f>
        <v>PROMOTOR COMERCIAL DEL CEA</v>
      </c>
      <c r="E6873" s="5" t="str">
        <f>IFERROR(VLOOKUP(A6873,'Base Prueba'!A:E,5,),"NO REGISTRA")</f>
        <v>OFICINA DE MERCADEO</v>
      </c>
    </row>
    <row r="6874" spans="1:5" ht="15.75" x14ac:dyDescent="0.25">
      <c r="A6874" s="14">
        <v>1000593372</v>
      </c>
      <c r="B6874" s="2">
        <v>46157.358845601855</v>
      </c>
      <c r="C6874" s="3" t="str">
        <f>IFERROR(VLOOKUP(A6874,'Base Prueba'!A:C,3,),"NO REGISTRA")</f>
        <v>LAURA SOFIA CHAPARRO LOPEZ</v>
      </c>
      <c r="D6874" s="4" t="str">
        <f>IFERROR(VLOOKUP(A6874,'Base Prueba'!A:D,4,),"NO REGISTRA")</f>
        <v>AUXILIAR JURIDICO</v>
      </c>
      <c r="E6874" s="5" t="str">
        <f>IFERROR(VLOOKUP(A6874,'Base Prueba'!A:E,5,),"NO REGISTRA")</f>
        <v>SECRETARIA GENERAL</v>
      </c>
    </row>
    <row r="6875" spans="1:5" ht="15.75" x14ac:dyDescent="0.25">
      <c r="A6875" s="14">
        <v>1000604979</v>
      </c>
      <c r="B6875" s="2">
        <v>46157.358860069442</v>
      </c>
      <c r="C6875" s="3" t="str">
        <f>IFERROR(VLOOKUP(A6875,'Base Prueba'!A:C,3,),"NO REGISTRA")</f>
        <v>JULIETH TATIANA PARDO PINTO</v>
      </c>
      <c r="D6875" s="4" t="str">
        <f>IFERROR(VLOOKUP(A6875,'Base Prueba'!A:D,4,),"NO REGISTRA")</f>
        <v>AUXILIAR JURIDICO</v>
      </c>
      <c r="E6875" s="5" t="str">
        <f>IFERROR(VLOOKUP(A6875,'Base Prueba'!A:E,5,),"NO REGISTRA")</f>
        <v>SECRETARIA GENERAL</v>
      </c>
    </row>
    <row r="6876" spans="1:5" ht="15.75" x14ac:dyDescent="0.25">
      <c r="A6876" s="14">
        <v>1012426741</v>
      </c>
      <c r="B6876" s="2">
        <v>46157.368463310188</v>
      </c>
      <c r="C6876" s="3" t="str">
        <f>IFERROR(VLOOKUP(A6876,'Base Prueba'!A:C,3,),"NO REGISTRA")</f>
        <v>CRISTIAN FABIAN ROJAS SANCENO</v>
      </c>
      <c r="D6876" s="4" t="str">
        <f>IFERROR(VLOOKUP(A6876,'Base Prueba'!A:D,4,),"NO REGISTRA")</f>
        <v>AUXILIAR DE REINTEGROS</v>
      </c>
      <c r="E6876" s="5" t="str">
        <f>IFERROR(VLOOKUP(A6876,'Base Prueba'!A:E,5,),"NO REGISTRA")</f>
        <v>DIRECCION DE BIENESTAR INSTITUCIONAL</v>
      </c>
    </row>
    <row r="6877" spans="1:5" ht="15.75" x14ac:dyDescent="0.25">
      <c r="A6877" s="14">
        <v>1033709056</v>
      </c>
      <c r="B6877" s="2">
        <v>46157.369103124998</v>
      </c>
      <c r="C6877" s="3" t="str">
        <f>IFERROR(VLOOKUP(A6877,'Base Prueba'!A:C,3,),"NO REGISTRA")</f>
        <v>YEIMY ALEXANDRA RODRIGUEZ PALACIO</v>
      </c>
      <c r="D6877" s="4" t="str">
        <f>IFERROR(VLOOKUP(A6877,'Base Prueba'!A:D,4,),"NO REGISTRA")</f>
        <v>PROMOTOR CALL CENTER</v>
      </c>
      <c r="E6877" s="5" t="str">
        <f>IFERROR(VLOOKUP(A6877,'Base Prueba'!A:E,5,),"NO REGISTRA")</f>
        <v>OFICINA DE MERCADEO</v>
      </c>
    </row>
    <row r="6878" spans="1:5" ht="15.75" x14ac:dyDescent="0.25">
      <c r="A6878" s="14">
        <v>52472386</v>
      </c>
      <c r="B6878" s="2">
        <v>46157.369952893518</v>
      </c>
      <c r="C6878" s="3" t="str">
        <f>IFERROR(VLOOKUP(A6878,'Base Prueba'!A:C,3,),"NO REGISTRA")</f>
        <v>ADRIANA MARCELA MORALES PARDO</v>
      </c>
      <c r="D6878" s="4" t="str">
        <f>IFERROR(VLOOKUP(A6878,'Base Prueba'!A:D,4,),"NO REGISTRA")</f>
        <v>PROMOTOR CALL CENTER</v>
      </c>
      <c r="E6878" s="5" t="str">
        <f>IFERROR(VLOOKUP(A6878,'Base Prueba'!A:E,5,),"NO REGISTRA")</f>
        <v>OFICINA DE MERCADEO</v>
      </c>
    </row>
    <row r="6879" spans="1:5" ht="15.75" x14ac:dyDescent="0.25">
      <c r="A6879" s="14">
        <v>1000046533</v>
      </c>
      <c r="B6879" s="2">
        <v>46157.371566435184</v>
      </c>
      <c r="C6879" s="3" t="str">
        <f>IFERROR(VLOOKUP(A6879,'Base Prueba'!A:C,3,),"NO REGISTRA")</f>
        <v>ERIKA JULIETH VALDERRAMA SANCHEZ</v>
      </c>
      <c r="D6879" s="4" t="str">
        <f>IFERROR(VLOOKUP(A6879,'Base Prueba'!A:D,4,),"NO REGISTRA")</f>
        <v>PROMOTOR CALL CENTER</v>
      </c>
      <c r="E6879" s="5" t="str">
        <f>IFERROR(VLOOKUP(A6879,'Base Prueba'!A:E,5,),"NO REGISTRA")</f>
        <v>OFICINA DE MERCADEO</v>
      </c>
    </row>
    <row r="6880" spans="1:5" ht="15.75" x14ac:dyDescent="0.25">
      <c r="A6880" s="14">
        <v>1032407386</v>
      </c>
      <c r="B6880" s="2">
        <v>46157.375520601854</v>
      </c>
      <c r="C6880" s="3" t="str">
        <f>IFERROR(VLOOKUP(A6880,'Base Prueba'!A:C,3,),"NO REGISTRA")</f>
        <v>GINA PAOLA BAEZ GALVIS</v>
      </c>
      <c r="D6880" s="4" t="str">
        <f>IFERROR(VLOOKUP(A6880,'Base Prueba'!A:D,4,),"NO REGISTRA")</f>
        <v>PROMOTOR CALL CENTER</v>
      </c>
      <c r="E6880" s="5" t="str">
        <f>IFERROR(VLOOKUP(A6880,'Base Prueba'!A:E,5,),"NO REGISTRA")</f>
        <v>OFICINA DE MERCADEO</v>
      </c>
    </row>
    <row r="6881" spans="1:5" ht="15.75" x14ac:dyDescent="0.25">
      <c r="A6881" s="14">
        <v>1018414290</v>
      </c>
      <c r="B6881" s="2">
        <v>46157.377627430556</v>
      </c>
      <c r="C6881" s="3" t="str">
        <f>IFERROR(VLOOKUP(A6881,'Base Prueba'!A:C,3,),"NO REGISTRA")</f>
        <v>AMANDA LISBETH RODRIGUEZ LEON</v>
      </c>
      <c r="D6881" s="4" t="str">
        <f>IFERROR(VLOOKUP(A6881,'Base Prueba'!A:D,4,),"NO REGISTRA")</f>
        <v>PROMOTOR CALL CENTER</v>
      </c>
      <c r="E6881" s="5" t="str">
        <f>IFERROR(VLOOKUP(A6881,'Base Prueba'!A:E,5,),"NO REGISTRA")</f>
        <v>OFICINA DE MERCADEO</v>
      </c>
    </row>
    <row r="6882" spans="1:5" ht="15.75" x14ac:dyDescent="0.25">
      <c r="A6882" s="14">
        <v>1023961952</v>
      </c>
      <c r="B6882" s="2">
        <v>46157.377719675926</v>
      </c>
      <c r="C6882" s="3" t="str">
        <f>IFERROR(VLOOKUP(A6882,'Base Prueba'!A:C,3,),"NO REGISTRA")</f>
        <v>ALEJANDRO PINZON MERCHAN</v>
      </c>
      <c r="D6882" s="4" t="str">
        <f>IFERROR(VLOOKUP(A6882,'Base Prueba'!A:D,4,),"NO REGISTRA")</f>
        <v>PROMOTOR CALL CENTER</v>
      </c>
      <c r="E6882" s="5" t="str">
        <f>IFERROR(VLOOKUP(A6882,'Base Prueba'!A:E,5,),"NO REGISTRA")</f>
        <v>OFICINA DE MERCADEO</v>
      </c>
    </row>
    <row r="6883" spans="1:5" ht="15.75" x14ac:dyDescent="0.25">
      <c r="A6883" s="14">
        <v>53089882</v>
      </c>
      <c r="B6883" s="2">
        <v>46157.378276736112</v>
      </c>
      <c r="C6883" s="3" t="str">
        <f>IFERROR(VLOOKUP(A6883,'Base Prueba'!A:C,3,),"NO REGISTRA")</f>
        <v>MARIA JOHANA ESCAMILLA MARTINEZ</v>
      </c>
      <c r="D6883" s="4" t="str">
        <f>IFERROR(VLOOKUP(A6883,'Base Prueba'!A:D,4,),"NO REGISTRA")</f>
        <v>PROMOTOR DE INFORMACIÓN</v>
      </c>
      <c r="E6883" s="5" t="str">
        <f>IFERROR(VLOOKUP(A6883,'Base Prueba'!A:E,5,),"NO REGISTRA")</f>
        <v>OFICINA DE MERCADEO</v>
      </c>
    </row>
    <row r="6884" spans="1:5" ht="15.75" x14ac:dyDescent="0.25">
      <c r="A6884" s="14">
        <v>28798349</v>
      </c>
      <c r="B6884" s="2">
        <v>46157.37837395833</v>
      </c>
      <c r="C6884" s="3" t="str">
        <f>IFERROR(VLOOKUP(A6884,'Base Prueba'!A:C,3,),"NO REGISTRA")</f>
        <v>MARTHA ISABEL TOVAR WILLIAMS</v>
      </c>
      <c r="D6884" s="4" t="str">
        <f>IFERROR(VLOOKUP(A6884,'Base Prueba'!A:D,4,),"NO REGISTRA")</f>
        <v>PROMOTOR CALL CENTER</v>
      </c>
      <c r="E6884" s="5" t="str">
        <f>IFERROR(VLOOKUP(A6884,'Base Prueba'!A:E,5,),"NO REGISTRA")</f>
        <v>OFICINA DE MERCADEO</v>
      </c>
    </row>
    <row r="6885" spans="1:5" ht="15.75" x14ac:dyDescent="0.25">
      <c r="A6885" s="14">
        <v>79484197</v>
      </c>
      <c r="B6885" s="2">
        <v>46157.389945486109</v>
      </c>
      <c r="C6885" s="3" t="str">
        <f>IFERROR(VLOOKUP(A6885,'Base Prueba'!A:C,3,),"NO REGISTRA")</f>
        <v>JOHN DANIEL GUTIERREZ BOADA</v>
      </c>
      <c r="D6885" s="4" t="str">
        <f>IFERROR(VLOOKUP(A6885,'Base Prueba'!A:D,4,),"NO REGISTRA")</f>
        <v>DOCENTE DE MEDIO TIEMPO</v>
      </c>
      <c r="E6885" s="5" t="str">
        <f>IFERROR(VLOOKUP(A6885,'Base Prueba'!A:E,5,),"NO REGISTRA")</f>
        <v>UNIVERSITARIO COMUNICACION SOCIAL</v>
      </c>
    </row>
    <row r="6886" spans="1:5" ht="15.75" x14ac:dyDescent="0.25">
      <c r="A6886" s="14">
        <v>52764929</v>
      </c>
      <c r="B6886" s="2">
        <v>46157.391470254632</v>
      </c>
      <c r="C6886" s="3" t="str">
        <f>IFERROR(VLOOKUP(A6886,'Base Prueba'!A:C,3,),"NO REGISTRA")</f>
        <v>GUERLY YOHANA DURAN RIVERA</v>
      </c>
      <c r="D6886" s="4" t="str">
        <f>IFERROR(VLOOKUP(A6886,'Base Prueba'!A:D,4,),"NO REGISTRA")</f>
        <v>LIDER DE VINCULACION COLEGIOS</v>
      </c>
      <c r="E6886" s="5" t="str">
        <f>IFERROR(VLOOKUP(A6886,'Base Prueba'!A:E,5,),"NO REGISTRA")</f>
        <v>OFICINA DE MERCADEO</v>
      </c>
    </row>
    <row r="6887" spans="1:5" ht="15.75" x14ac:dyDescent="0.25">
      <c r="A6887" s="14">
        <v>52443092</v>
      </c>
      <c r="B6887" s="2">
        <v>46157.533696296297</v>
      </c>
      <c r="C6887" s="3" t="str">
        <f>IFERROR(VLOOKUP(A6887,'Base Prueba'!A:C,3,),"NO REGISTRA")</f>
        <v>LUZ MYRIAM SAAVEDRA CONTRERAS</v>
      </c>
      <c r="D6887" s="4" t="str">
        <f>IFERROR(VLOOKUP(A6887,'Base Prueba'!A:D,4,),"NO REGISTRA")</f>
        <v>AUXILIAR DE SERVICIOS</v>
      </c>
      <c r="E6887" s="5" t="str">
        <f>IFERROR(VLOOKUP(A6887,'Base Prueba'!A:E,5,),"NO REGISTRA")</f>
        <v>LOGISTICA Y SERVICIOS GENERALES</v>
      </c>
    </row>
    <row r="6888" spans="1:5" ht="15.75" x14ac:dyDescent="0.25">
      <c r="A6888" s="14">
        <v>1023883232</v>
      </c>
      <c r="B6888" s="2">
        <v>46157.552182060186</v>
      </c>
      <c r="C6888" s="3" t="str">
        <f>IFERROR(VLOOKUP(A6888,'Base Prueba'!A:C,3,),"NO REGISTRA")</f>
        <v>MONICA ANDREA ACERO URBANO</v>
      </c>
      <c r="D6888" s="4" t="str">
        <f>IFERROR(VLOOKUP(A6888,'Base Prueba'!A:D,4,),"NO REGISTRA")</f>
        <v>APOYO INTEGRAL A GESTION HUMANA</v>
      </c>
      <c r="E6888" s="5" t="str">
        <f>IFERROR(VLOOKUP(A6888,'Base Prueba'!A:E,5,),"NO REGISTRA")</f>
        <v>DEPARTAMENTO DE GESTION HUMANA</v>
      </c>
    </row>
    <row r="6889" spans="1:5" ht="15.75" x14ac:dyDescent="0.25">
      <c r="A6889" s="14">
        <v>1193457976</v>
      </c>
      <c r="B6889" s="2">
        <v>46157.708564120374</v>
      </c>
      <c r="C6889" s="3" t="str">
        <f>IFERROR(VLOOKUP(A6889,'Base Prueba'!A:C,3,),"NO REGISTRA")</f>
        <v>SEDENIS RIVAS ASPRILLA</v>
      </c>
      <c r="D6889" s="4" t="str">
        <f>IFERROR(VLOOKUP(A6889,'Base Prueba'!A:D,4,),"NO REGISTRA")</f>
        <v>APRENDIZ UNIVERSITARIO</v>
      </c>
      <c r="E6889" s="5" t="str">
        <f>IFERROR(VLOOKUP(A6889,'Base Prueba'!A:E,5,),"NO REGISTRA")</f>
        <v>DEPARTAMENTO DE GESTION HUMANA</v>
      </c>
    </row>
    <row r="6890" spans="1:5" ht="15.75" x14ac:dyDescent="0.25">
      <c r="A6890" s="14">
        <v>1022996882</v>
      </c>
      <c r="B6890" s="2">
        <v>46157.709000347226</v>
      </c>
      <c r="C6890" s="3" t="str">
        <f>IFERROR(VLOOKUP(A6890,'Base Prueba'!A:C,3,),"NO REGISTRA")</f>
        <v>NANCY BRIGITH ALDANA GUEVARA</v>
      </c>
      <c r="D6890" s="4" t="str">
        <f>IFERROR(VLOOKUP(A6890,'Base Prueba'!A:D,4,),"NO REGISTRA")</f>
        <v>COORDINADORA DE GESTIÓN HUMANA</v>
      </c>
      <c r="E6890" s="5" t="str">
        <f>IFERROR(VLOOKUP(A6890,'Base Prueba'!A:E,5,),"NO REGISTRA")</f>
        <v>DEPARTAMENTO DE GESTION HUMANA</v>
      </c>
    </row>
    <row r="6891" spans="1:5" ht="15.75" x14ac:dyDescent="0.25">
      <c r="A6891" s="14">
        <v>52225539</v>
      </c>
      <c r="B6891" s="2">
        <v>46157.709211689813</v>
      </c>
      <c r="C6891" s="3" t="str">
        <f>IFERROR(VLOOKUP(A6891,'Base Prueba'!A:C,3,),"NO REGISTRA")</f>
        <v>LISA MINELLY ZAMBRANO CONTRERAS</v>
      </c>
      <c r="D6891" s="4" t="str">
        <f>IFERROR(VLOOKUP(A6891,'Base Prueba'!A:D,4,),"NO REGISTRA")</f>
        <v>LIDER DE COMPRAS</v>
      </c>
      <c r="E6891" s="5" t="str">
        <f>IFERROR(VLOOKUP(A6891,'Base Prueba'!A:E,5,),"NO REGISTRA")</f>
        <v>VICERRECTORIA ADMINISTRATIVA Y FINANCIERA</v>
      </c>
    </row>
    <row r="6892" spans="1:5" ht="15.75" x14ac:dyDescent="0.25">
      <c r="A6892" s="14">
        <v>1000467399</v>
      </c>
      <c r="B6892" s="2">
        <v>46157.709298379632</v>
      </c>
      <c r="C6892" s="3" t="str">
        <f>IFERROR(VLOOKUP(A6892,'Base Prueba'!A:C,3,),"NO REGISTRA")</f>
        <v>BRANDO ESTIVEN DIAZ QUIMBAYA</v>
      </c>
      <c r="D6892" s="4" t="str">
        <f>IFERROR(VLOOKUP(A6892,'Base Prueba'!A:D,4,),"NO REGISTRA")</f>
        <v>APRENDIZ UNIVERSITARIO</v>
      </c>
      <c r="E6892" s="5" t="str">
        <f>IFERROR(VLOOKUP(A6892,'Base Prueba'!A:E,5,),"NO REGISTRA")</f>
        <v>DEPARTAMENTO DE GESTION HUMANA</v>
      </c>
    </row>
    <row r="6893" spans="1:5" ht="15.75" x14ac:dyDescent="0.25">
      <c r="A6893" s="14">
        <v>1000324729</v>
      </c>
      <c r="B6893" s="2">
        <v>46157.711138657411</v>
      </c>
      <c r="C6893" s="3" t="str">
        <f>IFERROR(VLOOKUP(A6893,'Base Prueba'!A:C,3,),"NO REGISTRA")</f>
        <v>ANYIE VANESSA TINOCO CAMACHO</v>
      </c>
      <c r="D6893" s="4" t="str">
        <f>IFERROR(VLOOKUP(A6893,'Base Prueba'!A:D,4,),"NO REGISTRA")</f>
        <v>LIDER DE REGISTRO Y CONTROL</v>
      </c>
      <c r="E6893" s="5" t="str">
        <f>IFERROR(VLOOKUP(A6893,'Base Prueba'!A:E,5,),"NO REGISTRA")</f>
        <v>REGISTRO Y CONTROL ACADEMICO</v>
      </c>
    </row>
    <row r="6894" spans="1:5" ht="15.75" x14ac:dyDescent="0.25">
      <c r="A6894" s="14">
        <v>1049644802</v>
      </c>
      <c r="B6894" s="2">
        <v>46157.711391435187</v>
      </c>
      <c r="C6894" s="3" t="str">
        <f>IFERROR(VLOOKUP(A6894,'Base Prueba'!A:C,3,),"NO REGISTRA")</f>
        <v>DANIELA ALEXANDRA CIPAMOCHA BOSIGA</v>
      </c>
      <c r="D6894" s="4" t="str">
        <f>IFERROR(VLOOKUP(A6894,'Base Prueba'!A:D,4,),"NO REGISTRA")</f>
        <v>LIDER DE DATOS Y SERVICIOS</v>
      </c>
      <c r="E6894" s="5" t="str">
        <f>IFERROR(VLOOKUP(A6894,'Base Prueba'!A:E,5,),"NO REGISTRA")</f>
        <v>OFICINA DE PLANEACION Y GESTION DE LA CALIDAD</v>
      </c>
    </row>
    <row r="6895" spans="1:5" ht="15.75" x14ac:dyDescent="0.25">
      <c r="A6895" s="14">
        <v>1000992568</v>
      </c>
      <c r="B6895" s="2">
        <v>46157.713108217591</v>
      </c>
      <c r="C6895" s="3" t="str">
        <f>IFERROR(VLOOKUP(A6895,'Base Prueba'!A:C,3,),"NO REGISTRA")</f>
        <v>KAREN BRIGITTE DALEMAN MORENO</v>
      </c>
      <c r="D6895" s="4" t="str">
        <f>IFERROR(VLOOKUP(A6895,'Base Prueba'!A:D,4,),"NO REGISTRA")</f>
        <v>RECEPCIONISTA</v>
      </c>
      <c r="E6895" s="5" t="str">
        <f>IFERROR(VLOOKUP(A6895,'Base Prueba'!A:E,5,),"NO REGISTRA")</f>
        <v>CENTRO DE GESTION DOCUMENTAL</v>
      </c>
    </row>
    <row r="6896" spans="1:5" ht="15.75" x14ac:dyDescent="0.25">
      <c r="A6896" s="14">
        <v>1000611958</v>
      </c>
      <c r="B6896" s="2">
        <v>46157.713960185189</v>
      </c>
      <c r="C6896" s="3" t="str">
        <f>IFERROR(VLOOKUP(A6896,'Base Prueba'!A:C,3,),"NO REGISTRA")</f>
        <v>TYLER CORRADINE  VARGAS</v>
      </c>
      <c r="D6896" s="4" t="str">
        <f>IFERROR(VLOOKUP(A6896,'Base Prueba'!A:D,4,),"NO REGISTRA")</f>
        <v>APRENDIZ UNIVERSITARIO</v>
      </c>
      <c r="E6896" s="5" t="str">
        <f>IFERROR(VLOOKUP(A6896,'Base Prueba'!A:E,5,),"NO REGISTRA")</f>
        <v>DEPARTAMENTO DE INFORMATICA Y TECNOLOGIA</v>
      </c>
    </row>
    <row r="6897" spans="1:5" ht="15.75" x14ac:dyDescent="0.25">
      <c r="A6897" s="14">
        <v>1000604979</v>
      </c>
      <c r="B6897" s="2">
        <v>46157.714052199073</v>
      </c>
      <c r="C6897" s="3" t="str">
        <f>IFERROR(VLOOKUP(A6897,'Base Prueba'!A:C,3,),"NO REGISTRA")</f>
        <v>JULIETH TATIANA PARDO PINTO</v>
      </c>
      <c r="D6897" s="4" t="str">
        <f>IFERROR(VLOOKUP(A6897,'Base Prueba'!A:D,4,),"NO REGISTRA")</f>
        <v>AUXILIAR JURIDICO</v>
      </c>
      <c r="E6897" s="5" t="str">
        <f>IFERROR(VLOOKUP(A6897,'Base Prueba'!A:E,5,),"NO REGISTRA")</f>
        <v>SECRETARIA GENERAL</v>
      </c>
    </row>
    <row r="6898" spans="1:5" ht="15.75" x14ac:dyDescent="0.25">
      <c r="A6898" s="14">
        <v>1000593372</v>
      </c>
      <c r="B6898" s="2">
        <v>46157.714127777777</v>
      </c>
      <c r="C6898" s="3" t="str">
        <f>IFERROR(VLOOKUP(A6898,'Base Prueba'!A:C,3,),"NO REGISTRA")</f>
        <v>LAURA SOFIA CHAPARRO LOPEZ</v>
      </c>
      <c r="D6898" s="4" t="str">
        <f>IFERROR(VLOOKUP(A6898,'Base Prueba'!A:D,4,),"NO REGISTRA")</f>
        <v>AUXILIAR JURIDICO</v>
      </c>
      <c r="E6898" s="5" t="str">
        <f>IFERROR(VLOOKUP(A6898,'Base Prueba'!A:E,5,),"NO REGISTRA")</f>
        <v>SECRETARIA GENERAL</v>
      </c>
    </row>
    <row r="6899" spans="1:5" ht="15.75" x14ac:dyDescent="0.25">
      <c r="A6899" s="14">
        <v>1024512067</v>
      </c>
      <c r="B6899" s="2">
        <v>46157.732862268516</v>
      </c>
      <c r="C6899" s="3" t="str">
        <f>IFERROR(VLOOKUP(A6899,'Base Prueba'!A:C,3,),"NO REGISTRA")</f>
        <v>CINDY GIOVANA SALGAR GOMEZ</v>
      </c>
      <c r="D6899" s="4" t="str">
        <f>IFERROR(VLOOKUP(A6899,'Base Prueba'!A:D,4,),"NO REGISTRA")</f>
        <v>COORDINADOR DEL SISTEMA INTEGRADO DE GESTION INSTITUCIONAL - SIGI</v>
      </c>
      <c r="E6899" s="5" t="str">
        <f>IFERROR(VLOOKUP(A6899,'Base Prueba'!A:E,5,),"NO REGISTRA")</f>
        <v>OFICINA DE PLANEACION Y GESTION DE LA CALIDAD</v>
      </c>
    </row>
    <row r="6900" spans="1:5" ht="15.75" x14ac:dyDescent="0.25">
      <c r="A6900" s="14">
        <v>1000457706</v>
      </c>
      <c r="B6900" s="2">
        <v>46157.737877777778</v>
      </c>
      <c r="C6900" s="3" t="str">
        <f>IFERROR(VLOOKUP(A6900,'Base Prueba'!A:C,3,),"NO REGISTRA")</f>
        <v>CRISTIAN DANILO ARROYO SANABRIA</v>
      </c>
      <c r="D6900" s="4" t="str">
        <f>IFERROR(VLOOKUP(A6900,'Base Prueba'!A:D,4,),"NO REGISTRA")</f>
        <v>AUXILIAR CONTABLE</v>
      </c>
      <c r="E6900" s="5" t="str">
        <f>IFERROR(VLOOKUP(A6900,'Base Prueba'!A:E,5,),"NO REGISTRA")</f>
        <v>AREA FINANCIERA Y CONTABLE</v>
      </c>
    </row>
    <row r="6901" spans="1:5" ht="15.75" x14ac:dyDescent="0.25">
      <c r="A6901" s="14">
        <v>1000257136</v>
      </c>
      <c r="B6901" s="2">
        <v>46157.738059490737</v>
      </c>
      <c r="C6901" s="3" t="str">
        <f>IFERROR(VLOOKUP(A6901,'Base Prueba'!A:C,3,),"NO REGISTRA")</f>
        <v>FRANCI VALENTINA CANO PUENTES</v>
      </c>
      <c r="D6901" s="4" t="str">
        <f>IFERROR(VLOOKUP(A6901,'Base Prueba'!A:D,4,),"NO REGISTRA")</f>
        <v>AUXILIAR CONTABLE</v>
      </c>
      <c r="E6901" s="5" t="str">
        <f>IFERROR(VLOOKUP(A6901,'Base Prueba'!A:E,5,),"NO REGISTRA")</f>
        <v>AREA FINANCIERA Y CONTABLE</v>
      </c>
    </row>
    <row r="6902" spans="1:5" ht="15.75" x14ac:dyDescent="0.25">
      <c r="A6902" s="14">
        <v>1014266838</v>
      </c>
      <c r="B6902" s="2">
        <v>46157.738210185184</v>
      </c>
      <c r="C6902" s="3" t="str">
        <f>IFERROR(VLOOKUP(A6902,'Base Prueba'!A:C,3,),"NO REGISTRA")</f>
        <v>JENNIFER ASTRID ROMERO HURTADO</v>
      </c>
      <c r="D6902" s="4" t="str">
        <f>IFERROR(VLOOKUP(A6902,'Base Prueba'!A:D,4,),"NO REGISTRA")</f>
        <v>LIDER DE RECAUDO</v>
      </c>
      <c r="E6902" s="5" t="str">
        <f>IFERROR(VLOOKUP(A6902,'Base Prueba'!A:E,5,),"NO REGISTRA")</f>
        <v>AREA FINANCIERA Y CONTABLE</v>
      </c>
    </row>
    <row r="6903" spans="1:5" ht="15.75" x14ac:dyDescent="0.25">
      <c r="A6903" s="14">
        <v>53932358</v>
      </c>
      <c r="B6903" s="2">
        <v>46157.739160648147</v>
      </c>
      <c r="C6903" s="3" t="str">
        <f>IFERROR(VLOOKUP(A6903,'Base Prueba'!A:C,3,),"NO REGISTRA")</f>
        <v>DIANA MADELEYNE GAONA RODRIGUEZ</v>
      </c>
      <c r="D6903" s="4" t="str">
        <f>IFERROR(VLOOKUP(A6903,'Base Prueba'!A:D,4,),"NO REGISTRA")</f>
        <v>CONTADOR</v>
      </c>
      <c r="E6903" s="5" t="str">
        <f>IFERROR(VLOOKUP(A6903,'Base Prueba'!A:E,5,),"NO REGISTRA")</f>
        <v>AREA FINANCIERA Y CONTABLE</v>
      </c>
    </row>
    <row r="6904" spans="1:5" ht="15.75" x14ac:dyDescent="0.25">
      <c r="A6904" s="14">
        <v>1014977624</v>
      </c>
      <c r="B6904" s="2">
        <v>46157.739400810184</v>
      </c>
      <c r="C6904" s="3" t="str">
        <f>IFERROR(VLOOKUP(A6904,'Base Prueba'!A:C,3,),"NO REGISTRA")</f>
        <v>NICCOLE VALENTINA HERNANDEZ MALAVER</v>
      </c>
      <c r="D6904" s="4" t="str">
        <f>IFERROR(VLOOKUP(A6904,'Base Prueba'!A:D,4,),"NO REGISTRA")</f>
        <v>APRENDIZ UNIVERSITARIO</v>
      </c>
      <c r="E6904" s="5" t="str">
        <f>IFERROR(VLOOKUP(A6904,'Base Prueba'!A:E,5,),"NO REGISTRA")</f>
        <v>AREA FINANCIERA Y CONTABLE</v>
      </c>
    </row>
    <row r="6905" spans="1:5" ht="15.75" x14ac:dyDescent="0.25">
      <c r="A6905" s="14">
        <v>1012426741</v>
      </c>
      <c r="B6905" s="2">
        <v>46157.750168055558</v>
      </c>
      <c r="C6905" s="3" t="str">
        <f>IFERROR(VLOOKUP(A6905,'Base Prueba'!A:C,3,),"NO REGISTRA")</f>
        <v>CRISTIAN FABIAN ROJAS SANCENO</v>
      </c>
      <c r="D6905" s="4" t="str">
        <f>IFERROR(VLOOKUP(A6905,'Base Prueba'!A:D,4,),"NO REGISTRA")</f>
        <v>AUXILIAR DE REINTEGROS</v>
      </c>
      <c r="E6905" s="5" t="str">
        <f>IFERROR(VLOOKUP(A6905,'Base Prueba'!A:E,5,),"NO REGISTRA")</f>
        <v>DIRECCION DE BIENESTAR INSTITUCIONAL</v>
      </c>
    </row>
    <row r="6906" spans="1:5" ht="15.75" x14ac:dyDescent="0.25">
      <c r="A6906" s="14">
        <v>1087121273</v>
      </c>
      <c r="B6906" s="2">
        <v>46157.751030671294</v>
      </c>
      <c r="C6906" s="3" t="str">
        <f>IFERROR(VLOOKUP(A6906,'Base Prueba'!A:C,3,),"NO REGISTRA")</f>
        <v>MAYRA ALEJANDRA CASTILLO ARBOLEDA</v>
      </c>
      <c r="D6906" s="4" t="str">
        <f>IFERROR(VLOOKUP(A6906,'Base Prueba'!A:D,4,),"NO REGISTRA")</f>
        <v>APOYO INTEGRAL DE MERCADEO</v>
      </c>
      <c r="E6906" s="5" t="str">
        <f>IFERROR(VLOOKUP(A6906,'Base Prueba'!A:E,5,),"NO REGISTRA")</f>
        <v>CENTRO DE GESTION DOCUMENTAL</v>
      </c>
    </row>
    <row r="6907" spans="1:5" ht="15.75" x14ac:dyDescent="0.25">
      <c r="A6907" s="14">
        <v>1019105003</v>
      </c>
      <c r="B6907" s="2">
        <v>46157.754068055554</v>
      </c>
      <c r="C6907" s="3" t="str">
        <f>IFERROR(VLOOKUP(A6907,'Base Prueba'!A:C,3,),"NO REGISTRA")</f>
        <v>DAISY JULIETH GASPAR MORENO</v>
      </c>
      <c r="D6907" s="4" t="str">
        <f>IFERROR(VLOOKUP(A6907,'Base Prueba'!A:D,4,),"NO REGISTRA")</f>
        <v>PROMOTOR CALL CENTER</v>
      </c>
      <c r="E6907" s="5" t="str">
        <f>IFERROR(VLOOKUP(A6907,'Base Prueba'!A:E,5,),"NO REGISTRA")</f>
        <v>OFICINA DE MERCADEO</v>
      </c>
    </row>
    <row r="6908" spans="1:5" ht="15.75" x14ac:dyDescent="0.25">
      <c r="A6908" s="14">
        <v>28798349</v>
      </c>
      <c r="B6908" s="2">
        <v>46157.754470254629</v>
      </c>
      <c r="C6908" s="3" t="str">
        <f>IFERROR(VLOOKUP(A6908,'Base Prueba'!A:C,3,),"NO REGISTRA")</f>
        <v>MARTHA ISABEL TOVAR WILLIAMS</v>
      </c>
      <c r="D6908" s="4" t="str">
        <f>IFERROR(VLOOKUP(A6908,'Base Prueba'!A:D,4,),"NO REGISTRA")</f>
        <v>PROMOTOR CALL CENTER</v>
      </c>
      <c r="E6908" s="5" t="str">
        <f>IFERROR(VLOOKUP(A6908,'Base Prueba'!A:E,5,),"NO REGISTRA")</f>
        <v>OFICINA DE MERCADEO</v>
      </c>
    </row>
    <row r="6909" spans="1:5" ht="15.75" x14ac:dyDescent="0.25">
      <c r="A6909" s="14">
        <v>52472386</v>
      </c>
      <c r="B6909" s="2">
        <v>46157.755558680554</v>
      </c>
      <c r="C6909" s="3" t="str">
        <f>IFERROR(VLOOKUP(A6909,'Base Prueba'!A:C,3,),"NO REGISTRA")</f>
        <v>ADRIANA MARCELA MORALES PARDO</v>
      </c>
      <c r="D6909" s="4" t="str">
        <f>IFERROR(VLOOKUP(A6909,'Base Prueba'!A:D,4,),"NO REGISTRA")</f>
        <v>PROMOTOR CALL CENTER</v>
      </c>
      <c r="E6909" s="5" t="str">
        <f>IFERROR(VLOOKUP(A6909,'Base Prueba'!A:E,5,),"NO REGISTRA")</f>
        <v>OFICINA DE MERCADEO</v>
      </c>
    </row>
    <row r="6910" spans="1:5" ht="15.75" x14ac:dyDescent="0.25">
      <c r="A6910" s="14">
        <v>1014308296</v>
      </c>
      <c r="B6910" s="2">
        <v>46157.757607060186</v>
      </c>
      <c r="C6910" s="3" t="str">
        <f>IFERROR(VLOOKUP(A6910,'Base Prueba'!A:C,3,),"NO REGISTRA")</f>
        <v>DARLENE YULIANA MORENO CELEITA</v>
      </c>
      <c r="D6910" s="4" t="str">
        <f>IFERROR(VLOOKUP(A6910,'Base Prueba'!A:D,4,),"NO REGISTRA")</f>
        <v>CAJERO PRINCIPAL</v>
      </c>
      <c r="E6910" s="5" t="str">
        <f>IFERROR(VLOOKUP(A6910,'Base Prueba'!A:E,5,),"NO REGISTRA")</f>
        <v>AREA FINANCIERA Y CONTABLE</v>
      </c>
    </row>
    <row r="6911" spans="1:5" ht="15.75" x14ac:dyDescent="0.25">
      <c r="A6911" s="14">
        <v>52474489</v>
      </c>
      <c r="B6911" s="2">
        <v>46157.761185069445</v>
      </c>
      <c r="C6911" s="3" t="str">
        <f>IFERROR(VLOOKUP(A6911,'Base Prueba'!A:C,3,),"NO REGISTRA")</f>
        <v>ADRIANA JIMENA SOTO BOCANEGRA</v>
      </c>
      <c r="D6911" s="4" t="str">
        <f>IFERROR(VLOOKUP(A6911,'Base Prueba'!A:D,4,),"NO REGISTRA")</f>
        <v>COORDINADOR DE LA OFICINA DE REGISTRO Y CONTROL</v>
      </c>
      <c r="E6911" s="5" t="str">
        <f>IFERROR(VLOOKUP(A6911,'Base Prueba'!A:E,5,),"NO REGISTRA")</f>
        <v>REGISTRO Y CONTROL ACADEMICO</v>
      </c>
    </row>
    <row r="6912" spans="1:5" ht="15.75" x14ac:dyDescent="0.25">
      <c r="A6912" s="14">
        <v>1023961952</v>
      </c>
      <c r="B6912" s="2">
        <v>46157.762927662036</v>
      </c>
      <c r="C6912" s="3" t="str">
        <f>IFERROR(VLOOKUP(A6912,'Base Prueba'!A:C,3,),"NO REGISTRA")</f>
        <v>ALEJANDRO PINZON MERCHAN</v>
      </c>
      <c r="D6912" s="4" t="str">
        <f>IFERROR(VLOOKUP(A6912,'Base Prueba'!A:D,4,),"NO REGISTRA")</f>
        <v>PROMOTOR CALL CENTER</v>
      </c>
      <c r="E6912" s="5" t="str">
        <f>IFERROR(VLOOKUP(A6912,'Base Prueba'!A:E,5,),"NO REGISTRA")</f>
        <v>OFICINA DE MERCADEO</v>
      </c>
    </row>
    <row r="6913" spans="1:5" ht="15.75" x14ac:dyDescent="0.25">
      <c r="A6913" s="14">
        <v>1033709056</v>
      </c>
      <c r="B6913" s="2">
        <v>46157.762984143519</v>
      </c>
      <c r="C6913" s="3" t="str">
        <f>IFERROR(VLOOKUP(A6913,'Base Prueba'!A:C,3,),"NO REGISTRA")</f>
        <v>YEIMY ALEXANDRA RODRIGUEZ PALACIO</v>
      </c>
      <c r="D6913" s="4" t="str">
        <f>IFERROR(VLOOKUP(A6913,'Base Prueba'!A:D,4,),"NO REGISTRA")</f>
        <v>PROMOTOR CALL CENTER</v>
      </c>
      <c r="E6913" s="5" t="str">
        <f>IFERROR(VLOOKUP(A6913,'Base Prueba'!A:E,5,),"NO REGISTRA")</f>
        <v>OFICINA DE MERCADEO</v>
      </c>
    </row>
    <row r="6914" spans="1:5" ht="15.75" x14ac:dyDescent="0.25">
      <c r="A6914" s="14">
        <v>1000046533</v>
      </c>
      <c r="B6914" s="2">
        <v>46157.76349513889</v>
      </c>
      <c r="C6914" s="3" t="str">
        <f>IFERROR(VLOOKUP(A6914,'Base Prueba'!A:C,3,),"NO REGISTRA")</f>
        <v>ERIKA JULIETH VALDERRAMA SANCHEZ</v>
      </c>
      <c r="D6914" s="4" t="str">
        <f>IFERROR(VLOOKUP(A6914,'Base Prueba'!A:D,4,),"NO REGISTRA")</f>
        <v>PROMOTOR CALL CENTER</v>
      </c>
      <c r="E6914" s="5" t="str">
        <f>IFERROR(VLOOKUP(A6914,'Base Prueba'!A:E,5,),"NO REGISTRA")</f>
        <v>OFICINA DE MERCADEO</v>
      </c>
    </row>
    <row r="6915" spans="1:5" ht="15.75" x14ac:dyDescent="0.25">
      <c r="A6915" s="14">
        <v>1018414290</v>
      </c>
      <c r="B6915" s="2">
        <v>46157.763639814817</v>
      </c>
      <c r="C6915" s="3" t="str">
        <f>IFERROR(VLOOKUP(A6915,'Base Prueba'!A:C,3,),"NO REGISTRA")</f>
        <v>AMANDA LISBETH RODRIGUEZ LEON</v>
      </c>
      <c r="D6915" s="4" t="str">
        <f>IFERROR(VLOOKUP(A6915,'Base Prueba'!A:D,4,),"NO REGISTRA")</f>
        <v>PROMOTOR CALL CENTER</v>
      </c>
      <c r="E6915" s="5" t="str">
        <f>IFERROR(VLOOKUP(A6915,'Base Prueba'!A:E,5,),"NO REGISTRA")</f>
        <v>OFICINA DE MERCADEO</v>
      </c>
    </row>
    <row r="6916" spans="1:5" ht="15.75" x14ac:dyDescent="0.25">
      <c r="A6916" s="14">
        <v>1032407386</v>
      </c>
      <c r="B6916" s="2">
        <v>46157.764133217592</v>
      </c>
      <c r="C6916" s="3" t="str">
        <f>IFERROR(VLOOKUP(A6916,'Base Prueba'!A:C,3,),"NO REGISTRA")</f>
        <v>GINA PAOLA BAEZ GALVIS</v>
      </c>
      <c r="D6916" s="4" t="str">
        <f>IFERROR(VLOOKUP(A6916,'Base Prueba'!A:D,4,),"NO REGISTRA")</f>
        <v>PROMOTOR CALL CENTER</v>
      </c>
      <c r="E6916" s="5" t="str">
        <f>IFERROR(VLOOKUP(A6916,'Base Prueba'!A:E,5,),"NO REGISTRA")</f>
        <v>OFICINA DE MERCADEO</v>
      </c>
    </row>
    <row r="6917" spans="1:5" ht="15.75" x14ac:dyDescent="0.25">
      <c r="A6917" s="14">
        <v>52175674</v>
      </c>
      <c r="B6917" s="2">
        <v>46157.766527083331</v>
      </c>
      <c r="C6917" s="3" t="str">
        <f>IFERROR(VLOOKUP(A6917,'Base Prueba'!A:C,3,),"NO REGISTRA")</f>
        <v>LUZ YANETH GOMEZ AREVALO</v>
      </c>
      <c r="D6917" s="4" t="str">
        <f>IFERROR(VLOOKUP(A6917,'Base Prueba'!A:D,4,),"NO REGISTRA")</f>
        <v>COORDINADORA DE ADMISIONES</v>
      </c>
      <c r="E6917" s="5" t="str">
        <f>IFERROR(VLOOKUP(A6917,'Base Prueba'!A:E,5,),"NO REGISTRA")</f>
        <v>OFICINA DE MERCADEO</v>
      </c>
    </row>
    <row r="6918" spans="1:5" ht="15.75" x14ac:dyDescent="0.25">
      <c r="A6918" s="14">
        <v>1018413529</v>
      </c>
      <c r="B6918" s="2">
        <v>46157.772825115739</v>
      </c>
      <c r="C6918" s="3" t="str">
        <f>IFERROR(VLOOKUP(A6918,'Base Prueba'!A:C,3,),"NO REGISTRA")</f>
        <v>FRANCY STELLA CHARRY MORENO</v>
      </c>
      <c r="D6918" s="4" t="str">
        <f>IFERROR(VLOOKUP(A6918,'Base Prueba'!A:D,4,),"NO REGISTRA")</f>
        <v>PROMOTOR COMERCIAL DEL CEA</v>
      </c>
      <c r="E6918" s="5" t="str">
        <f>IFERROR(VLOOKUP(A6918,'Base Prueba'!A:E,5,),"NO REGISTRA")</f>
        <v>OFICINA DE MERCADEO</v>
      </c>
    </row>
    <row r="6919" spans="1:5" ht="15.75" x14ac:dyDescent="0.25">
      <c r="A6919" s="14">
        <v>53089882</v>
      </c>
      <c r="B6919" s="2">
        <v>46157.772919560186</v>
      </c>
      <c r="C6919" s="3" t="str">
        <f>IFERROR(VLOOKUP(A6919,'Base Prueba'!A:C,3,),"NO REGISTRA")</f>
        <v>MARIA JOHANA ESCAMILLA MARTINEZ</v>
      </c>
      <c r="D6919" s="4" t="str">
        <f>IFERROR(VLOOKUP(A6919,'Base Prueba'!A:D,4,),"NO REGISTRA")</f>
        <v>PROMOTOR DE INFORMACIÓN</v>
      </c>
      <c r="E6919" s="5" t="str">
        <f>IFERROR(VLOOKUP(A6919,'Base Prueba'!A:E,5,),"NO REGISTRA")</f>
        <v>OFICINA DE MERCADEO</v>
      </c>
    </row>
    <row r="6920" spans="1:5" ht="15.75" x14ac:dyDescent="0.25">
      <c r="A6920" s="14">
        <v>1033820146</v>
      </c>
      <c r="B6920" s="2">
        <v>46157.785460763887</v>
      </c>
      <c r="C6920" s="3" t="str">
        <f>IFERROR(VLOOKUP(A6920,'Base Prueba'!A:C,3,),"NO REGISTRA")</f>
        <v>JULIETH ALEXANDRA BUSTAMANTE RUIZ</v>
      </c>
      <c r="D6920" s="4" t="str">
        <f>IFERROR(VLOOKUP(A6920,'Base Prueba'!A:D,4,),"NO REGISTRA")</f>
        <v>AUXILIAR ADMINISTRATIVO</v>
      </c>
      <c r="E6920" s="5" t="str">
        <f>IFERROR(VLOOKUP(A6920,'Base Prueba'!A:E,5,),"NO REGISTRA")</f>
        <v>REGISTRO Y CONTROL ACADEMICO</v>
      </c>
    </row>
    <row r="6921" spans="1:5" ht="15.75" x14ac:dyDescent="0.25">
      <c r="A6921" s="14">
        <v>80191732</v>
      </c>
      <c r="B6921" s="2">
        <v>46157.834733217591</v>
      </c>
      <c r="C6921" s="3" t="str">
        <f>IFERROR(VLOOKUP(A6921,'Base Prueba'!A:C,3,),"NO REGISTRA")</f>
        <v>DANIEL MAURICIO ZAMBRANO TUNJANO</v>
      </c>
      <c r="D6921" s="4" t="str">
        <f>IFERROR(VLOOKUP(A6921,'Base Prueba'!A:D,4,),"NO REGISTRA")</f>
        <v>COORDINADOR DE DISEÑO E IMAGEN INSTITUCIONAL</v>
      </c>
      <c r="E6921" s="5" t="str">
        <f>IFERROR(VLOOKUP(A6921,'Base Prueba'!A:E,5,),"NO REGISTRA")</f>
        <v>OFICINA DE MERCADEO</v>
      </c>
    </row>
    <row r="6922" spans="1:5" ht="15.75" x14ac:dyDescent="0.25">
      <c r="A6922" s="14">
        <v>1013098430</v>
      </c>
      <c r="B6922" s="2">
        <v>46157.83785358796</v>
      </c>
      <c r="C6922" s="3" t="str">
        <f>IFERROR(VLOOKUP(A6922,'Base Prueba'!A:C,3,),"NO REGISTRA")</f>
        <v>ANDRES FELIPE LOPEZ ROMERO</v>
      </c>
      <c r="D6922" s="4" t="str">
        <f>IFERROR(VLOOKUP(A6922,'Base Prueba'!A:D,4,),"NO REGISTRA")</f>
        <v>APRENDIZ UNIVERSITARIO</v>
      </c>
      <c r="E6922" s="5" t="str">
        <f>IFERROR(VLOOKUP(A6922,'Base Prueba'!A:E,5,),"NO REGISTRA")</f>
        <v>OFICINA DE MERCADEO</v>
      </c>
    </row>
    <row r="6923" spans="1:5" ht="15.75" x14ac:dyDescent="0.25">
      <c r="A6923" s="14">
        <v>52443092</v>
      </c>
      <c r="B6923" s="2">
        <v>46157.874109606484</v>
      </c>
      <c r="C6923" s="3" t="str">
        <f>IFERROR(VLOOKUP(A6923,'Base Prueba'!A:C,3,),"NO REGISTRA")</f>
        <v>LUZ MYRIAM SAAVEDRA CONTRERAS</v>
      </c>
      <c r="D6923" s="4" t="str">
        <f>IFERROR(VLOOKUP(A6923,'Base Prueba'!A:D,4,),"NO REGISTRA")</f>
        <v>AUXILIAR DE SERVICIOS</v>
      </c>
      <c r="E6923" s="5" t="str">
        <f>IFERROR(VLOOKUP(A6923,'Base Prueba'!A:E,5,),"NO REGISTRA")</f>
        <v>LOGISTICA Y SERVICIOS GENERALES</v>
      </c>
    </row>
    <row r="6924" spans="1:5" ht="15.75" x14ac:dyDescent="0.25">
      <c r="A6924" s="14">
        <v>79872151</v>
      </c>
      <c r="B6924" s="2">
        <v>46158.294135532407</v>
      </c>
      <c r="C6924" s="3" t="str">
        <f>IFERROR(VLOOKUP(A6924,'Base Prueba'!A:C,3,),"NO REGISTRA")</f>
        <v>HECTOR ALIRIO MARTINEZ TORRES</v>
      </c>
      <c r="D6924" s="4" t="str">
        <f>IFERROR(VLOOKUP(A6924,'Base Prueba'!A:D,4,),"NO REGISTRA")</f>
        <v>DOCENTE DE TIEMPO COMPLETO</v>
      </c>
      <c r="E6924" s="5" t="str">
        <f>IFERROR(VLOOKUP(A6924,'Base Prueba'!A:E,5,),"NO REGISTRA")</f>
        <v>CIENCIAS DE LA INFORMACION Y BIBLIOTECOLOGIA</v>
      </c>
    </row>
    <row r="6925" spans="1:5" ht="15.75" x14ac:dyDescent="0.25">
      <c r="A6925" s="14">
        <v>1033820146</v>
      </c>
      <c r="B6925" s="2">
        <v>46158.345177083334</v>
      </c>
      <c r="C6925" s="3" t="str">
        <f>IFERROR(VLOOKUP(A6925,'Base Prueba'!A:C,3,),"NO REGISTRA")</f>
        <v>JULIETH ALEXANDRA BUSTAMANTE RUIZ</v>
      </c>
      <c r="D6925" s="4" t="str">
        <f>IFERROR(VLOOKUP(A6925,'Base Prueba'!A:D,4,),"NO REGISTRA")</f>
        <v>AUXILIAR ADMINISTRATIVO</v>
      </c>
      <c r="E6925" s="5" t="str">
        <f>IFERROR(VLOOKUP(A6925,'Base Prueba'!A:E,5,),"NO REGISTRA")</f>
        <v>REGISTRO Y CONTROL ACADEMICO</v>
      </c>
    </row>
    <row r="6926" spans="1:5" ht="15.75" x14ac:dyDescent="0.25">
      <c r="A6926" s="14">
        <v>1013098430</v>
      </c>
      <c r="B6926" s="2">
        <v>46158.359091087965</v>
      </c>
      <c r="C6926" s="3" t="str">
        <f>IFERROR(VLOOKUP(A6926,'Base Prueba'!A:C,3,),"NO REGISTRA")</f>
        <v>ANDRES FELIPE LOPEZ ROMERO</v>
      </c>
      <c r="D6926" s="4" t="str">
        <f>IFERROR(VLOOKUP(A6926,'Base Prueba'!A:D,4,),"NO REGISTRA")</f>
        <v>APRENDIZ UNIVERSITARIO</v>
      </c>
      <c r="E6926" s="5" t="str">
        <f>IFERROR(VLOOKUP(A6926,'Base Prueba'!A:E,5,),"NO REGISTRA")</f>
        <v>OFICINA DE MERCADEO</v>
      </c>
    </row>
    <row r="6927" spans="1:5" ht="15.75" x14ac:dyDescent="0.25">
      <c r="A6927" s="14">
        <v>1000992568</v>
      </c>
      <c r="B6927" s="2">
        <v>46158.363851504633</v>
      </c>
      <c r="C6927" s="3" t="str">
        <f>IFERROR(VLOOKUP(A6927,'Base Prueba'!A:C,3,),"NO REGISTRA")</f>
        <v>KAREN BRIGITTE DALEMAN MORENO</v>
      </c>
      <c r="D6927" s="4" t="str">
        <f>IFERROR(VLOOKUP(A6927,'Base Prueba'!A:D,4,),"NO REGISTRA")</f>
        <v>RECEPCIONISTA</v>
      </c>
      <c r="E6927" s="5" t="str">
        <f>IFERROR(VLOOKUP(A6927,'Base Prueba'!A:E,5,),"NO REGISTRA")</f>
        <v>CENTRO DE GESTION DOCUMENTAL</v>
      </c>
    </row>
    <row r="6928" spans="1:5" ht="15.75" x14ac:dyDescent="0.25">
      <c r="A6928" s="14">
        <v>1012426741</v>
      </c>
      <c r="B6928" s="2">
        <v>46158.370224074075</v>
      </c>
      <c r="C6928" s="3" t="str">
        <f>IFERROR(VLOOKUP(A6928,'Base Prueba'!A:C,3,),"NO REGISTRA")</f>
        <v>CRISTIAN FABIAN ROJAS SANCENO</v>
      </c>
      <c r="D6928" s="4" t="str">
        <f>IFERROR(VLOOKUP(A6928,'Base Prueba'!A:D,4,),"NO REGISTRA")</f>
        <v>AUXILIAR DE REINTEGROS</v>
      </c>
      <c r="E6928" s="5" t="str">
        <f>IFERROR(VLOOKUP(A6928,'Base Prueba'!A:E,5,),"NO REGISTRA")</f>
        <v>DIRECCION DE BIENESTAR INSTITUCIONAL</v>
      </c>
    </row>
    <row r="6929" spans="1:5" ht="15.75" x14ac:dyDescent="0.25">
      <c r="A6929" s="14">
        <v>1087121273</v>
      </c>
      <c r="B6929" s="2">
        <v>46158.374100694447</v>
      </c>
      <c r="C6929" s="3" t="str">
        <f>IFERROR(VLOOKUP(A6929,'Base Prueba'!A:C,3,),"NO REGISTRA")</f>
        <v>MAYRA ALEJANDRA CASTILLO ARBOLEDA</v>
      </c>
      <c r="D6929" s="4" t="str">
        <f>IFERROR(VLOOKUP(A6929,'Base Prueba'!A:D,4,),"NO REGISTRA")</f>
        <v>APOYO INTEGRAL DE MERCADEO</v>
      </c>
      <c r="E6929" s="5" t="str">
        <f>IFERROR(VLOOKUP(A6929,'Base Prueba'!A:E,5,),"NO REGISTRA")</f>
        <v>CENTRO DE GESTION DOCUMENTAL</v>
      </c>
    </row>
    <row r="6930" spans="1:5" ht="15.75" x14ac:dyDescent="0.25">
      <c r="A6930" s="14">
        <v>1000324729</v>
      </c>
      <c r="B6930" s="2">
        <v>46158.374728356481</v>
      </c>
      <c r="C6930" s="3" t="str">
        <f>IFERROR(VLOOKUP(A6930,'Base Prueba'!A:C,3,),"NO REGISTRA")</f>
        <v>ANYIE VANESSA TINOCO CAMACHO</v>
      </c>
      <c r="D6930" s="4" t="str">
        <f>IFERROR(VLOOKUP(A6930,'Base Prueba'!A:D,4,),"NO REGISTRA")</f>
        <v>LIDER DE REGISTRO Y CONTROL</v>
      </c>
      <c r="E6930" s="5" t="str">
        <f>IFERROR(VLOOKUP(A6930,'Base Prueba'!A:E,5,),"NO REGISTRA")</f>
        <v>REGISTRO Y CONTROL ACADEMICO</v>
      </c>
    </row>
    <row r="6931" spans="1:5" ht="15.75" x14ac:dyDescent="0.25">
      <c r="A6931" s="14">
        <v>1032407386</v>
      </c>
      <c r="B6931" s="2">
        <v>46158.376676041669</v>
      </c>
      <c r="C6931" s="3" t="str">
        <f>IFERROR(VLOOKUP(A6931,'Base Prueba'!A:C,3,),"NO REGISTRA")</f>
        <v>GINA PAOLA BAEZ GALVIS</v>
      </c>
      <c r="D6931" s="4" t="str">
        <f>IFERROR(VLOOKUP(A6931,'Base Prueba'!A:D,4,),"NO REGISTRA")</f>
        <v>PROMOTOR CALL CENTER</v>
      </c>
      <c r="E6931" s="5" t="str">
        <f>IFERROR(VLOOKUP(A6931,'Base Prueba'!A:E,5,),"NO REGISTRA")</f>
        <v>OFICINA DE MERCADEO</v>
      </c>
    </row>
    <row r="6932" spans="1:5" ht="15.75" x14ac:dyDescent="0.25">
      <c r="A6932" s="14">
        <v>1030567635</v>
      </c>
      <c r="B6932" s="2">
        <v>46158.376858796299</v>
      </c>
      <c r="C6932" s="3" t="str">
        <f>IFERROR(VLOOKUP(A6932,'Base Prueba'!A:C,3,),"NO REGISTRA")</f>
        <v>JEFFERSON ANDRES BARRETO DIAZ</v>
      </c>
      <c r="D6932" s="4" t="str">
        <f>IFERROR(VLOOKUP(A6932,'Base Prueba'!A:D,4,),"NO REGISTRA")</f>
        <v>AUXILIAR DE ARCHIVO</v>
      </c>
      <c r="E6932" s="5" t="str">
        <f>IFERROR(VLOOKUP(A6932,'Base Prueba'!A:E,5,),"NO REGISTRA")</f>
        <v>CENTRO DE GESTION DOCUMENTAL</v>
      </c>
    </row>
    <row r="6933" spans="1:5" ht="15.75" x14ac:dyDescent="0.25">
      <c r="A6933" s="14">
        <v>1000257136</v>
      </c>
      <c r="B6933" s="2">
        <v>46158.380442592592</v>
      </c>
      <c r="C6933" s="3" t="str">
        <f>IFERROR(VLOOKUP(A6933,'Base Prueba'!A:C,3,),"NO REGISTRA")</f>
        <v>FRANCI VALENTINA CANO PUENTES</v>
      </c>
      <c r="D6933" s="4" t="str">
        <f>IFERROR(VLOOKUP(A6933,'Base Prueba'!A:D,4,),"NO REGISTRA")</f>
        <v>AUXILIAR CONTABLE</v>
      </c>
      <c r="E6933" s="5" t="str">
        <f>IFERROR(VLOOKUP(A6933,'Base Prueba'!A:E,5,),"NO REGISTRA")</f>
        <v>AREA FINANCIERA Y CONTABLE</v>
      </c>
    </row>
    <row r="6934" spans="1:5" ht="15.75" x14ac:dyDescent="0.25">
      <c r="A6934" s="14">
        <v>1024512067</v>
      </c>
      <c r="B6934" s="2">
        <v>46158.386529398151</v>
      </c>
      <c r="C6934" s="3" t="str">
        <f>IFERROR(VLOOKUP(A6934,'Base Prueba'!A:C,3,),"NO REGISTRA")</f>
        <v>CINDY GIOVANA SALGAR GOMEZ</v>
      </c>
      <c r="D6934" s="4" t="str">
        <f>IFERROR(VLOOKUP(A6934,'Base Prueba'!A:D,4,),"NO REGISTRA")</f>
        <v>COORDINADOR DEL SISTEMA INTEGRADO DE GESTION INSTITUCIONAL - SIGI</v>
      </c>
      <c r="E6934" s="5" t="str">
        <f>IFERROR(VLOOKUP(A6934,'Base Prueba'!A:E,5,),"NO REGISTRA")</f>
        <v>OFICINA DE PLANEACION Y GESTION DE LA CALIDAD</v>
      </c>
    </row>
    <row r="6935" spans="1:5" ht="15.75" x14ac:dyDescent="0.25">
      <c r="A6935" s="14">
        <v>1012426741</v>
      </c>
      <c r="B6935" s="2">
        <v>46158.500435532405</v>
      </c>
      <c r="C6935" s="3" t="str">
        <f>IFERROR(VLOOKUP(A6935,'Base Prueba'!A:C,3,),"NO REGISTRA")</f>
        <v>CRISTIAN FABIAN ROJAS SANCENO</v>
      </c>
      <c r="D6935" s="4" t="str">
        <f>IFERROR(VLOOKUP(A6935,'Base Prueba'!A:D,4,),"NO REGISTRA")</f>
        <v>AUXILIAR DE REINTEGROS</v>
      </c>
      <c r="E6935" s="5" t="str">
        <f>IFERROR(VLOOKUP(A6935,'Base Prueba'!A:E,5,),"NO REGISTRA")</f>
        <v>DIRECCION DE BIENESTAR INSTITUCIONAL</v>
      </c>
    </row>
    <row r="6936" spans="1:5" ht="15.75" x14ac:dyDescent="0.25">
      <c r="A6936" s="14">
        <v>1013098430</v>
      </c>
      <c r="B6936" s="2">
        <v>46158.501596296293</v>
      </c>
      <c r="C6936" s="3" t="str">
        <f>IFERROR(VLOOKUP(A6936,'Base Prueba'!A:C,3,),"NO REGISTRA")</f>
        <v>ANDRES FELIPE LOPEZ ROMERO</v>
      </c>
      <c r="D6936" s="4" t="str">
        <f>IFERROR(VLOOKUP(A6936,'Base Prueba'!A:D,4,),"NO REGISTRA")</f>
        <v>APRENDIZ UNIVERSITARIO</v>
      </c>
      <c r="E6936" s="5" t="str">
        <f>IFERROR(VLOOKUP(A6936,'Base Prueba'!A:E,5,),"NO REGISTRA")</f>
        <v>OFICINA DE MERCADEO</v>
      </c>
    </row>
    <row r="6937" spans="1:5" ht="15.75" x14ac:dyDescent="0.25">
      <c r="A6937" s="14">
        <v>1000257136</v>
      </c>
      <c r="B6937" s="2">
        <v>46158.502177546296</v>
      </c>
      <c r="C6937" s="3" t="str">
        <f>IFERROR(VLOOKUP(A6937,'Base Prueba'!A:C,3,),"NO REGISTRA")</f>
        <v>FRANCI VALENTINA CANO PUENTES</v>
      </c>
      <c r="D6937" s="4" t="str">
        <f>IFERROR(VLOOKUP(A6937,'Base Prueba'!A:D,4,),"NO REGISTRA")</f>
        <v>AUXILIAR CONTABLE</v>
      </c>
      <c r="E6937" s="5" t="str">
        <f>IFERROR(VLOOKUP(A6937,'Base Prueba'!A:E,5,),"NO REGISTRA")</f>
        <v>AREA FINANCIERA Y CONTABLE</v>
      </c>
    </row>
    <row r="6938" spans="1:5" ht="15.75" x14ac:dyDescent="0.25">
      <c r="A6938" s="14">
        <v>1000992568</v>
      </c>
      <c r="B6938" s="2">
        <v>46158.502521759263</v>
      </c>
      <c r="C6938" s="3" t="str">
        <f>IFERROR(VLOOKUP(A6938,'Base Prueba'!A:C,3,),"NO REGISTRA")</f>
        <v>KAREN BRIGITTE DALEMAN MORENO</v>
      </c>
      <c r="D6938" s="4" t="str">
        <f>IFERROR(VLOOKUP(A6938,'Base Prueba'!A:D,4,),"NO REGISTRA")</f>
        <v>RECEPCIONISTA</v>
      </c>
      <c r="E6938" s="5" t="str">
        <f>IFERROR(VLOOKUP(A6938,'Base Prueba'!A:E,5,),"NO REGISTRA")</f>
        <v>CENTRO DE GESTION DOCUMENTAL</v>
      </c>
    </row>
    <row r="6939" spans="1:5" ht="15.75" x14ac:dyDescent="0.25">
      <c r="A6939" s="14">
        <v>1030567635</v>
      </c>
      <c r="B6939" s="2">
        <v>46158.502573958336</v>
      </c>
      <c r="C6939" s="3" t="str">
        <f>IFERROR(VLOOKUP(A6939,'Base Prueba'!A:C,3,),"NO REGISTRA")</f>
        <v>JEFFERSON ANDRES BARRETO DIAZ</v>
      </c>
      <c r="D6939" s="4" t="str">
        <f>IFERROR(VLOOKUP(A6939,'Base Prueba'!A:D,4,),"NO REGISTRA")</f>
        <v>AUXILIAR DE ARCHIVO</v>
      </c>
      <c r="E6939" s="5" t="str">
        <f>IFERROR(VLOOKUP(A6939,'Base Prueba'!A:E,5,),"NO REGISTRA")</f>
        <v>CENTRO DE GESTION DOCUMENTAL</v>
      </c>
    </row>
    <row r="6940" spans="1:5" ht="15.75" x14ac:dyDescent="0.25">
      <c r="A6940" s="14">
        <v>1000611958</v>
      </c>
      <c r="B6940" s="2">
        <v>46158.505979513888</v>
      </c>
      <c r="C6940" s="3" t="str">
        <f>IFERROR(VLOOKUP(A6940,'Base Prueba'!A:C,3,),"NO REGISTRA")</f>
        <v>TYLER CORRADINE  VARGAS</v>
      </c>
      <c r="D6940" s="4" t="str">
        <f>IFERROR(VLOOKUP(A6940,'Base Prueba'!A:D,4,),"NO REGISTRA")</f>
        <v>APRENDIZ UNIVERSITARIO</v>
      </c>
      <c r="E6940" s="5" t="str">
        <f>IFERROR(VLOOKUP(A6940,'Base Prueba'!A:E,5,),"NO REGISTRA")</f>
        <v>DEPARTAMENTO DE INFORMATICA Y TECNOLOGIA</v>
      </c>
    </row>
    <row r="6941" spans="1:5" ht="15.75" x14ac:dyDescent="0.25">
      <c r="A6941" s="14">
        <v>1087121273</v>
      </c>
      <c r="B6941" s="2">
        <v>46158.506280208334</v>
      </c>
      <c r="C6941" s="3" t="str">
        <f>IFERROR(VLOOKUP(A6941,'Base Prueba'!A:C,3,),"NO REGISTRA")</f>
        <v>MAYRA ALEJANDRA CASTILLO ARBOLEDA</v>
      </c>
      <c r="D6941" s="4" t="str">
        <f>IFERROR(VLOOKUP(A6941,'Base Prueba'!A:D,4,),"NO REGISTRA")</f>
        <v>APOYO INTEGRAL DE MERCADEO</v>
      </c>
      <c r="E6941" s="5" t="str">
        <f>IFERROR(VLOOKUP(A6941,'Base Prueba'!A:E,5,),"NO REGISTRA")</f>
        <v>CENTRO DE GESTION DOCUMENTAL</v>
      </c>
    </row>
    <row r="6942" spans="1:5" ht="15.75" x14ac:dyDescent="0.25">
      <c r="A6942" s="14">
        <v>1000324729</v>
      </c>
      <c r="B6942" s="2">
        <v>46158.506405208333</v>
      </c>
      <c r="C6942" s="3" t="str">
        <f>IFERROR(VLOOKUP(A6942,'Base Prueba'!A:C,3,),"NO REGISTRA")</f>
        <v>ANYIE VANESSA TINOCO CAMACHO</v>
      </c>
      <c r="D6942" s="4" t="str">
        <f>IFERROR(VLOOKUP(A6942,'Base Prueba'!A:D,4,),"NO REGISTRA")</f>
        <v>LIDER DE REGISTRO Y CONTROL</v>
      </c>
      <c r="E6942" s="5" t="str">
        <f>IFERROR(VLOOKUP(A6942,'Base Prueba'!A:E,5,),"NO REGISTRA")</f>
        <v>REGISTRO Y CONTROL ACADEMICO</v>
      </c>
    </row>
    <row r="6943" spans="1:5" ht="15.75" x14ac:dyDescent="0.25">
      <c r="A6943" s="14">
        <v>52443092</v>
      </c>
      <c r="B6943" s="2">
        <v>46158.512603819443</v>
      </c>
      <c r="C6943" s="3" t="str">
        <f>IFERROR(VLOOKUP(A6943,'Base Prueba'!A:C,3,),"NO REGISTRA")</f>
        <v>LUZ MYRIAM SAAVEDRA CONTRERAS</v>
      </c>
      <c r="D6943" s="4" t="str">
        <f>IFERROR(VLOOKUP(A6943,'Base Prueba'!A:D,4,),"NO REGISTRA")</f>
        <v>AUXILIAR DE SERVICIOS</v>
      </c>
      <c r="E6943" s="5" t="str">
        <f>IFERROR(VLOOKUP(A6943,'Base Prueba'!A:E,5,),"NO REGISTRA")</f>
        <v>LOGISTICA Y SERVICIOS GENERALES</v>
      </c>
    </row>
    <row r="6944" spans="1:5" ht="15.75" x14ac:dyDescent="0.25">
      <c r="A6944" s="14">
        <v>1024512067</v>
      </c>
      <c r="B6944" s="2">
        <v>46158.51419976852</v>
      </c>
      <c r="C6944" s="3" t="str">
        <f>IFERROR(VLOOKUP(A6944,'Base Prueba'!A:C,3,),"NO REGISTRA")</f>
        <v>CINDY GIOVANA SALGAR GOMEZ</v>
      </c>
      <c r="D6944" s="4" t="str">
        <f>IFERROR(VLOOKUP(A6944,'Base Prueba'!A:D,4,),"NO REGISTRA")</f>
        <v>COORDINADOR DEL SISTEMA INTEGRADO DE GESTION INSTITUCIONAL - SIGI</v>
      </c>
      <c r="E6944" s="5" t="str">
        <f>IFERROR(VLOOKUP(A6944,'Base Prueba'!A:E,5,),"NO REGISTRA")</f>
        <v>OFICINA DE PLANEACION Y GESTION DE LA CALIDAD</v>
      </c>
    </row>
    <row r="6945" spans="1:5" ht="15.75" x14ac:dyDescent="0.25">
      <c r="A6945" s="14">
        <v>1032407386</v>
      </c>
      <c r="B6945" s="2">
        <v>46158.519483564814</v>
      </c>
      <c r="C6945" s="3" t="str">
        <f>IFERROR(VLOOKUP(A6945,'Base Prueba'!A:C,3,),"NO REGISTRA")</f>
        <v>GINA PAOLA BAEZ GALVIS</v>
      </c>
      <c r="D6945" s="4" t="str">
        <f>IFERROR(VLOOKUP(A6945,'Base Prueba'!A:D,4,),"NO REGISTRA")</f>
        <v>PROMOTOR CALL CENTER</v>
      </c>
      <c r="E6945" s="5" t="str">
        <f>IFERROR(VLOOKUP(A6945,'Base Prueba'!A:E,5,),"NO REGISTRA")</f>
        <v>OFICINA DE MERCADEO</v>
      </c>
    </row>
    <row r="6946" spans="1:5" ht="15.75" x14ac:dyDescent="0.25">
      <c r="A6946" s="14">
        <v>1033820146</v>
      </c>
      <c r="B6946" s="2">
        <v>46158.540442361111</v>
      </c>
      <c r="C6946" s="3" t="str">
        <f>IFERROR(VLOOKUP(A6946,'Base Prueba'!A:C,3,),"NO REGISTRA")</f>
        <v>JULIETH ALEXANDRA BUSTAMANTE RUIZ</v>
      </c>
      <c r="D6946" s="4" t="str">
        <f>IFERROR(VLOOKUP(A6946,'Base Prueba'!A:D,4,),"NO REGISTRA")</f>
        <v>AUXILIAR ADMINISTRATIVO</v>
      </c>
      <c r="E6946" s="5" t="str">
        <f>IFERROR(VLOOKUP(A6946,'Base Prueba'!A:E,5,),"NO REGISTRA")</f>
        <v>REGISTRO Y CONTROL ACADEMICO</v>
      </c>
    </row>
    <row r="6947" spans="1:5" ht="15.75" x14ac:dyDescent="0.25">
      <c r="A6947" s="14">
        <v>1024512067</v>
      </c>
      <c r="B6947" s="2">
        <v>46161.311817245369</v>
      </c>
      <c r="C6947" s="3" t="str">
        <f>IFERROR(VLOOKUP(A6947,'Base Prueba'!A:C,3,),"NO REGISTRA")</f>
        <v>CINDY GIOVANA SALGAR GOMEZ</v>
      </c>
      <c r="D6947" s="4" t="str">
        <f>IFERROR(VLOOKUP(A6947,'Base Prueba'!A:D,4,),"NO REGISTRA")</f>
        <v>COORDINADOR DEL SISTEMA INTEGRADO DE GESTION INSTITUCIONAL - SIGI</v>
      </c>
      <c r="E6947" s="5" t="str">
        <f>IFERROR(VLOOKUP(A6947,'Base Prueba'!A:E,5,),"NO REGISTRA")</f>
        <v>OFICINA DE PLANEACION Y GESTION DE LA CALIDAD</v>
      </c>
    </row>
    <row r="6948" spans="1:5" ht="15.75" x14ac:dyDescent="0.25">
      <c r="A6948" s="14">
        <v>1013616244</v>
      </c>
      <c r="B6948" s="2">
        <v>46161.316535995371</v>
      </c>
      <c r="C6948" s="3" t="str">
        <f>IFERROR(VLOOKUP(A6948,'Base Prueba'!A:C,3,),"NO REGISTRA")</f>
        <v>DIANA CAROLINA MARIN BETANCOURT</v>
      </c>
      <c r="D6948" s="4" t="str">
        <f>IFERROR(VLOOKUP(A6948,'Base Prueba'!A:D,4,),"NO REGISTRA")</f>
        <v>AUXILIAR ADMINISTRATIVO</v>
      </c>
      <c r="E6948" s="5" t="str">
        <f>IFERROR(VLOOKUP(A6948,'Base Prueba'!A:E,5,),"NO REGISTRA")</f>
        <v>REGISTRO Y CONTROL ACADEMICO</v>
      </c>
    </row>
    <row r="6949" spans="1:5" ht="15.75" x14ac:dyDescent="0.25">
      <c r="A6949" s="14">
        <v>1014308296</v>
      </c>
      <c r="B6949" s="2">
        <v>46161.317753009258</v>
      </c>
      <c r="C6949" s="3" t="str">
        <f>IFERROR(VLOOKUP(A6949,'Base Prueba'!A:C,3,),"NO REGISTRA")</f>
        <v>DARLENE YULIANA MORENO CELEITA</v>
      </c>
      <c r="D6949" s="4" t="str">
        <f>IFERROR(VLOOKUP(A6949,'Base Prueba'!A:D,4,),"NO REGISTRA")</f>
        <v>CAJERO PRINCIPAL</v>
      </c>
      <c r="E6949" s="5" t="str">
        <f>IFERROR(VLOOKUP(A6949,'Base Prueba'!A:E,5,),"NO REGISTRA")</f>
        <v>AREA FINANCIERA Y CONTABLE</v>
      </c>
    </row>
    <row r="6950" spans="1:5" ht="15.75" x14ac:dyDescent="0.25">
      <c r="A6950" s="14">
        <v>1000324729</v>
      </c>
      <c r="B6950" s="2">
        <v>46161.321425810187</v>
      </c>
      <c r="C6950" s="3" t="str">
        <f>IFERROR(VLOOKUP(A6950,'Base Prueba'!A:C,3,),"NO REGISTRA")</f>
        <v>ANYIE VANESSA TINOCO CAMACHO</v>
      </c>
      <c r="D6950" s="4" t="str">
        <f>IFERROR(VLOOKUP(A6950,'Base Prueba'!A:D,4,),"NO REGISTRA")</f>
        <v>LIDER DE REGISTRO Y CONTROL</v>
      </c>
      <c r="E6950" s="5" t="str">
        <f>IFERROR(VLOOKUP(A6950,'Base Prueba'!A:E,5,),"NO REGISTRA")</f>
        <v>REGISTRO Y CONTROL ACADEMICO</v>
      </c>
    </row>
    <row r="6951" spans="1:5" ht="15.75" x14ac:dyDescent="0.25">
      <c r="A6951" s="14">
        <v>1033709056</v>
      </c>
      <c r="B6951" s="2">
        <v>46161.324086458335</v>
      </c>
      <c r="C6951" s="3" t="str">
        <f>IFERROR(VLOOKUP(A6951,'Base Prueba'!A:C,3,),"NO REGISTRA")</f>
        <v>YEIMY ALEXANDRA RODRIGUEZ PALACIO</v>
      </c>
      <c r="D6951" s="4" t="str">
        <f>IFERROR(VLOOKUP(A6951,'Base Prueba'!A:D,4,),"NO REGISTRA")</f>
        <v>PROMOTOR CALL CENTER</v>
      </c>
      <c r="E6951" s="5" t="str">
        <f>IFERROR(VLOOKUP(A6951,'Base Prueba'!A:E,5,),"NO REGISTRA")</f>
        <v>OFICINA DE MERCADEO</v>
      </c>
    </row>
    <row r="6952" spans="1:5" ht="15.75" x14ac:dyDescent="0.25">
      <c r="A6952" s="14">
        <v>1049644802</v>
      </c>
      <c r="B6952" s="2">
        <v>46161.333000694445</v>
      </c>
      <c r="C6952" s="3" t="str">
        <f>IFERROR(VLOOKUP(A6952,'Base Prueba'!A:C,3,),"NO REGISTRA")</f>
        <v>DANIELA ALEXANDRA CIPAMOCHA BOSIGA</v>
      </c>
      <c r="D6952" s="4" t="str">
        <f>IFERROR(VLOOKUP(A6952,'Base Prueba'!A:D,4,),"NO REGISTRA")</f>
        <v>LIDER DE DATOS Y SERVICIOS</v>
      </c>
      <c r="E6952" s="5" t="str">
        <f>IFERROR(VLOOKUP(A6952,'Base Prueba'!A:E,5,),"NO REGISTRA")</f>
        <v>OFICINA DE PLANEACION Y GESTION DE LA CALIDAD</v>
      </c>
    </row>
    <row r="6953" spans="1:5" ht="15.75" x14ac:dyDescent="0.25">
      <c r="A6953" s="14">
        <v>52225539</v>
      </c>
      <c r="B6953" s="2">
        <v>46161.335162152776</v>
      </c>
      <c r="C6953" s="3" t="str">
        <f>IFERROR(VLOOKUP(A6953,'Base Prueba'!A:C,3,),"NO REGISTRA")</f>
        <v>LISA MINELLY ZAMBRANO CONTRERAS</v>
      </c>
      <c r="D6953" s="4" t="str">
        <f>IFERROR(VLOOKUP(A6953,'Base Prueba'!A:D,4,),"NO REGISTRA")</f>
        <v>LIDER DE COMPRAS</v>
      </c>
      <c r="E6953" s="5" t="str">
        <f>IFERROR(VLOOKUP(A6953,'Base Prueba'!A:E,5,),"NO REGISTRA")</f>
        <v>VICERRECTORIA ADMINISTRATIVA Y FINANCIERA</v>
      </c>
    </row>
    <row r="6954" spans="1:5" ht="15.75" x14ac:dyDescent="0.25">
      <c r="A6954" s="14">
        <v>80191732</v>
      </c>
      <c r="B6954" s="2">
        <v>46161.335257986109</v>
      </c>
      <c r="C6954" s="3" t="str">
        <f>IFERROR(VLOOKUP(A6954,'Base Prueba'!A:C,3,),"NO REGISTRA")</f>
        <v>DANIEL MAURICIO ZAMBRANO TUNJANO</v>
      </c>
      <c r="D6954" s="4" t="str">
        <f>IFERROR(VLOOKUP(A6954,'Base Prueba'!A:D,4,),"NO REGISTRA")</f>
        <v>COORDINADOR DE DISEÑO E IMAGEN INSTITUCIONAL</v>
      </c>
      <c r="E6954" s="5" t="str">
        <f>IFERROR(VLOOKUP(A6954,'Base Prueba'!A:E,5,),"NO REGISTRA")</f>
        <v>OFICINA DE MERCADEO</v>
      </c>
    </row>
    <row r="6955" spans="1:5" ht="15.75" x14ac:dyDescent="0.25">
      <c r="A6955" s="14">
        <v>1033820146</v>
      </c>
      <c r="B6955" s="2">
        <v>46161.338887152779</v>
      </c>
      <c r="C6955" s="3" t="str">
        <f>IFERROR(VLOOKUP(A6955,'Base Prueba'!A:C,3,),"NO REGISTRA")</f>
        <v>JULIETH ALEXANDRA BUSTAMANTE RUIZ</v>
      </c>
      <c r="D6955" s="4" t="str">
        <f>IFERROR(VLOOKUP(A6955,'Base Prueba'!A:D,4,),"NO REGISTRA")</f>
        <v>AUXILIAR ADMINISTRATIVO</v>
      </c>
      <c r="E6955" s="5" t="str">
        <f>IFERROR(VLOOKUP(A6955,'Base Prueba'!A:E,5,),"NO REGISTRA")</f>
        <v>REGISTRO Y CONTROL ACADEMICO</v>
      </c>
    </row>
    <row r="6956" spans="1:5" ht="15.75" x14ac:dyDescent="0.25">
      <c r="A6956" s="14">
        <v>1013098430</v>
      </c>
      <c r="B6956" s="2">
        <v>46161.339009374999</v>
      </c>
      <c r="C6956" s="3" t="str">
        <f>IFERROR(VLOOKUP(A6956,'Base Prueba'!A:C,3,),"NO REGISTRA")</f>
        <v>ANDRES FELIPE LOPEZ ROMERO</v>
      </c>
      <c r="D6956" s="4" t="str">
        <f>IFERROR(VLOOKUP(A6956,'Base Prueba'!A:D,4,),"NO REGISTRA")</f>
        <v>APRENDIZ UNIVERSITARIO</v>
      </c>
      <c r="E6956" s="5" t="str">
        <f>IFERROR(VLOOKUP(A6956,'Base Prueba'!A:E,5,),"NO REGISTRA")</f>
        <v>OFICINA DE MERCADEO</v>
      </c>
    </row>
    <row r="6957" spans="1:5" ht="15.75" x14ac:dyDescent="0.25">
      <c r="A6957" s="14">
        <v>1000257136</v>
      </c>
      <c r="B6957" s="2">
        <v>46161.341195138892</v>
      </c>
      <c r="C6957" s="3" t="str">
        <f>IFERROR(VLOOKUP(A6957,'Base Prueba'!A:C,3,),"NO REGISTRA")</f>
        <v>FRANCI VALENTINA CANO PUENTES</v>
      </c>
      <c r="D6957" s="4" t="str">
        <f>IFERROR(VLOOKUP(A6957,'Base Prueba'!A:D,4,),"NO REGISTRA")</f>
        <v>AUXILIAR CONTABLE</v>
      </c>
      <c r="E6957" s="5" t="str">
        <f>IFERROR(VLOOKUP(A6957,'Base Prueba'!A:E,5,),"NO REGISTRA")</f>
        <v>AREA FINANCIERA Y CONTABLE</v>
      </c>
    </row>
    <row r="6958" spans="1:5" ht="15.75" x14ac:dyDescent="0.25">
      <c r="A6958" s="14">
        <v>1193457976</v>
      </c>
      <c r="B6958" s="2">
        <v>46161.343474421294</v>
      </c>
      <c r="C6958" s="3" t="str">
        <f>IFERROR(VLOOKUP(A6958,'Base Prueba'!A:C,3,),"NO REGISTRA")</f>
        <v>SEDENIS RIVAS ASPRILLA</v>
      </c>
      <c r="D6958" s="4" t="str">
        <f>IFERROR(VLOOKUP(A6958,'Base Prueba'!A:D,4,),"NO REGISTRA")</f>
        <v>APRENDIZ UNIVERSITARIO</v>
      </c>
      <c r="E6958" s="5" t="str">
        <f>IFERROR(VLOOKUP(A6958,'Base Prueba'!A:E,5,),"NO REGISTRA")</f>
        <v>DEPARTAMENTO DE GESTION HUMANA</v>
      </c>
    </row>
    <row r="6959" spans="1:5" ht="15.75" x14ac:dyDescent="0.25">
      <c r="A6959" s="14">
        <v>1087121273</v>
      </c>
      <c r="B6959" s="2">
        <v>46161.344282060185</v>
      </c>
      <c r="C6959" s="3" t="str">
        <f>IFERROR(VLOOKUP(A6959,'Base Prueba'!A:C,3,),"NO REGISTRA")</f>
        <v>MAYRA ALEJANDRA CASTILLO ARBOLEDA</v>
      </c>
      <c r="D6959" s="4" t="str">
        <f>IFERROR(VLOOKUP(A6959,'Base Prueba'!A:D,4,),"NO REGISTRA")</f>
        <v>APOYO INTEGRAL DE MERCADEO</v>
      </c>
      <c r="E6959" s="5" t="str">
        <f>IFERROR(VLOOKUP(A6959,'Base Prueba'!A:E,5,),"NO REGISTRA")</f>
        <v>CENTRO DE GESTION DOCUMENTAL</v>
      </c>
    </row>
    <row r="6960" spans="1:5" ht="15.75" x14ac:dyDescent="0.25">
      <c r="A6960" s="14">
        <v>53932358</v>
      </c>
      <c r="B6960" s="2">
        <v>46161.346277199074</v>
      </c>
      <c r="C6960" s="3" t="str">
        <f>IFERROR(VLOOKUP(A6960,'Base Prueba'!A:C,3,),"NO REGISTRA")</f>
        <v>DIANA MADELEYNE GAONA RODRIGUEZ</v>
      </c>
      <c r="D6960" s="4" t="str">
        <f>IFERROR(VLOOKUP(A6960,'Base Prueba'!A:D,4,),"NO REGISTRA")</f>
        <v>CONTADOR</v>
      </c>
      <c r="E6960" s="5" t="str">
        <f>IFERROR(VLOOKUP(A6960,'Base Prueba'!A:E,5,),"NO REGISTRA")</f>
        <v>AREA FINANCIERA Y CONTABLE</v>
      </c>
    </row>
    <row r="6961" spans="1:5" ht="15.75" x14ac:dyDescent="0.25">
      <c r="A6961" s="14">
        <v>1014977624</v>
      </c>
      <c r="B6961" s="2">
        <v>46161.348451273145</v>
      </c>
      <c r="C6961" s="3" t="str">
        <f>IFERROR(VLOOKUP(A6961,'Base Prueba'!A:C,3,),"NO REGISTRA")</f>
        <v>NICCOLE VALENTINA HERNANDEZ MALAVER</v>
      </c>
      <c r="D6961" s="4" t="str">
        <f>IFERROR(VLOOKUP(A6961,'Base Prueba'!A:D,4,),"NO REGISTRA")</f>
        <v>APRENDIZ UNIVERSITARIO</v>
      </c>
      <c r="E6961" s="5" t="str">
        <f>IFERROR(VLOOKUP(A6961,'Base Prueba'!A:E,5,),"NO REGISTRA")</f>
        <v>AREA FINANCIERA Y CONTABLE</v>
      </c>
    </row>
    <row r="6962" spans="1:5" ht="15.75" x14ac:dyDescent="0.25">
      <c r="A6962" s="14">
        <v>1023883232</v>
      </c>
      <c r="B6962" s="2">
        <v>46161.349862268522</v>
      </c>
      <c r="C6962" s="3" t="str">
        <f>IFERROR(VLOOKUP(A6962,'Base Prueba'!A:C,3,),"NO REGISTRA")</f>
        <v>MONICA ANDREA ACERO URBANO</v>
      </c>
      <c r="D6962" s="4" t="str">
        <f>IFERROR(VLOOKUP(A6962,'Base Prueba'!A:D,4,),"NO REGISTRA")</f>
        <v>APOYO INTEGRAL A GESTION HUMANA</v>
      </c>
      <c r="E6962" s="5" t="str">
        <f>IFERROR(VLOOKUP(A6962,'Base Prueba'!A:E,5,),"NO REGISTRA")</f>
        <v>DEPARTAMENTO DE GESTION HUMANA</v>
      </c>
    </row>
    <row r="6963" spans="1:5" ht="15.75" x14ac:dyDescent="0.25">
      <c r="A6963" s="14">
        <v>1000457706</v>
      </c>
      <c r="B6963" s="2">
        <v>46161.351511574074</v>
      </c>
      <c r="C6963" s="3" t="str">
        <f>IFERROR(VLOOKUP(A6963,'Base Prueba'!A:C,3,),"NO REGISTRA")</f>
        <v>CRISTIAN DANILO ARROYO SANABRIA</v>
      </c>
      <c r="D6963" s="4" t="str">
        <f>IFERROR(VLOOKUP(A6963,'Base Prueba'!A:D,4,),"NO REGISTRA")</f>
        <v>AUXILIAR CONTABLE</v>
      </c>
      <c r="E6963" s="5" t="str">
        <f>IFERROR(VLOOKUP(A6963,'Base Prueba'!A:E,5,),"NO REGISTRA")</f>
        <v>AREA FINANCIERA Y CONTABLE</v>
      </c>
    </row>
    <row r="6964" spans="1:5" ht="15.75" x14ac:dyDescent="0.25">
      <c r="A6964" s="14">
        <v>1000604979</v>
      </c>
      <c r="B6964" s="2">
        <v>46161.361676504632</v>
      </c>
      <c r="C6964" s="3" t="str">
        <f>IFERROR(VLOOKUP(A6964,'Base Prueba'!A:C,3,),"NO REGISTRA")</f>
        <v>JULIETH TATIANA PARDO PINTO</v>
      </c>
      <c r="D6964" s="4" t="str">
        <f>IFERROR(VLOOKUP(A6964,'Base Prueba'!A:D,4,),"NO REGISTRA")</f>
        <v>AUXILIAR JURIDICO</v>
      </c>
      <c r="E6964" s="5" t="str">
        <f>IFERROR(VLOOKUP(A6964,'Base Prueba'!A:E,5,),"NO REGISTRA")</f>
        <v>SECRETARIA GENERAL</v>
      </c>
    </row>
    <row r="6965" spans="1:5" ht="15.75" x14ac:dyDescent="0.25">
      <c r="A6965" s="14">
        <v>1000046533</v>
      </c>
      <c r="B6965" s="2">
        <v>46161.370328819445</v>
      </c>
      <c r="C6965" s="3" t="str">
        <f>IFERROR(VLOOKUP(A6965,'Base Prueba'!A:C,3,),"NO REGISTRA")</f>
        <v>ERIKA JULIETH VALDERRAMA SANCHEZ</v>
      </c>
      <c r="D6965" s="4" t="str">
        <f>IFERROR(VLOOKUP(A6965,'Base Prueba'!A:D,4,),"NO REGISTRA")</f>
        <v>PROMOTOR CALL CENTER</v>
      </c>
      <c r="E6965" s="5" t="str">
        <f>IFERROR(VLOOKUP(A6965,'Base Prueba'!A:E,5,),"NO REGISTRA")</f>
        <v>OFICINA DE MERCADEO</v>
      </c>
    </row>
    <row r="6966" spans="1:5" ht="15.75" x14ac:dyDescent="0.25">
      <c r="A6966" s="14">
        <v>1014196857</v>
      </c>
      <c r="B6966" s="2">
        <v>46161.370981712964</v>
      </c>
      <c r="C6966" s="3" t="str">
        <f>IFERROR(VLOOKUP(A6966,'Base Prueba'!A:C,3,),"NO REGISTRA")</f>
        <v>CARLOS ANDRES JIMENEZ PARDO</v>
      </c>
      <c r="D6966" s="4" t="str">
        <f>IFERROR(VLOOKUP(A6966,'Base Prueba'!A:D,4,),"NO REGISTRA")</f>
        <v>COORDINADOR DE MARKETING DIGITAL</v>
      </c>
      <c r="E6966" s="5" t="str">
        <f>IFERROR(VLOOKUP(A6966,'Base Prueba'!A:E,5,),"NO REGISTRA")</f>
        <v>OFICINA DE MERCADEO</v>
      </c>
    </row>
    <row r="6967" spans="1:5" ht="15.75" x14ac:dyDescent="0.25">
      <c r="A6967" s="14">
        <v>53089882</v>
      </c>
      <c r="B6967" s="2">
        <v>46161.372403125002</v>
      </c>
      <c r="C6967" s="3" t="str">
        <f>IFERROR(VLOOKUP(A6967,'Base Prueba'!A:C,3,),"NO REGISTRA")</f>
        <v>MARIA JOHANA ESCAMILLA MARTINEZ</v>
      </c>
      <c r="D6967" s="4" t="str">
        <f>IFERROR(VLOOKUP(A6967,'Base Prueba'!A:D,4,),"NO REGISTRA")</f>
        <v>PROMOTOR DE INFORMACIÓN</v>
      </c>
      <c r="E6967" s="5" t="str">
        <f>IFERROR(VLOOKUP(A6967,'Base Prueba'!A:E,5,),"NO REGISTRA")</f>
        <v>OFICINA DE MERCADEO</v>
      </c>
    </row>
    <row r="6968" spans="1:5" ht="15.75" x14ac:dyDescent="0.25">
      <c r="A6968" s="14">
        <v>52472386</v>
      </c>
      <c r="B6968" s="2">
        <v>46161.374243171296</v>
      </c>
      <c r="C6968" s="3" t="str">
        <f>IFERROR(VLOOKUP(A6968,'Base Prueba'!A:C,3,),"NO REGISTRA")</f>
        <v>ADRIANA MARCELA MORALES PARDO</v>
      </c>
      <c r="D6968" s="4" t="str">
        <f>IFERROR(VLOOKUP(A6968,'Base Prueba'!A:D,4,),"NO REGISTRA")</f>
        <v>PROMOTOR CALL CENTER</v>
      </c>
      <c r="E6968" s="5" t="str">
        <f>IFERROR(VLOOKUP(A6968,'Base Prueba'!A:E,5,),"NO REGISTRA")</f>
        <v>OFICINA DE MERCADEO</v>
      </c>
    </row>
    <row r="6969" spans="1:5" ht="15.75" x14ac:dyDescent="0.25">
      <c r="A6969" s="14">
        <v>28798349</v>
      </c>
      <c r="B6969" s="2">
        <v>46161.374276504626</v>
      </c>
      <c r="C6969" s="3" t="str">
        <f>IFERROR(VLOOKUP(A6969,'Base Prueba'!A:C,3,),"NO REGISTRA")</f>
        <v>MARTHA ISABEL TOVAR WILLIAMS</v>
      </c>
      <c r="D6969" s="4" t="str">
        <f>IFERROR(VLOOKUP(A6969,'Base Prueba'!A:D,4,),"NO REGISTRA")</f>
        <v>PROMOTOR CALL CENTER</v>
      </c>
      <c r="E6969" s="5" t="str">
        <f>IFERROR(VLOOKUP(A6969,'Base Prueba'!A:E,5,),"NO REGISTRA")</f>
        <v>OFICINA DE MERCADEO</v>
      </c>
    </row>
    <row r="6970" spans="1:5" ht="15.75" x14ac:dyDescent="0.25">
      <c r="A6970" s="14">
        <v>52175674</v>
      </c>
      <c r="B6970" s="2">
        <v>46161.375526736112</v>
      </c>
      <c r="C6970" s="3" t="str">
        <f>IFERROR(VLOOKUP(A6970,'Base Prueba'!A:C,3,),"NO REGISTRA")</f>
        <v>LUZ YANETH GOMEZ AREVALO</v>
      </c>
      <c r="D6970" s="4" t="str">
        <f>IFERROR(VLOOKUP(A6970,'Base Prueba'!A:D,4,),"NO REGISTRA")</f>
        <v>COORDINADORA DE ADMISIONES</v>
      </c>
      <c r="E6970" s="5" t="str">
        <f>IFERROR(VLOOKUP(A6970,'Base Prueba'!A:E,5,),"NO REGISTRA")</f>
        <v>OFICINA DE MERCADEO</v>
      </c>
    </row>
    <row r="6971" spans="1:5" ht="15.75" x14ac:dyDescent="0.25">
      <c r="A6971" s="14">
        <v>1012426741</v>
      </c>
      <c r="B6971" s="2">
        <v>46161.37690520833</v>
      </c>
      <c r="C6971" s="3" t="str">
        <f>IFERROR(VLOOKUP(A6971,'Base Prueba'!A:C,3,),"NO REGISTRA")</f>
        <v>CRISTIAN FABIAN ROJAS SANCENO</v>
      </c>
      <c r="D6971" s="4" t="str">
        <f>IFERROR(VLOOKUP(A6971,'Base Prueba'!A:D,4,),"NO REGISTRA")</f>
        <v>AUXILIAR DE REINTEGROS</v>
      </c>
      <c r="E6971" s="5" t="str">
        <f>IFERROR(VLOOKUP(A6971,'Base Prueba'!A:E,5,),"NO REGISTRA")</f>
        <v>DIRECCION DE BIENESTAR INSTITUCIONAL</v>
      </c>
    </row>
    <row r="6972" spans="1:5" ht="15.75" x14ac:dyDescent="0.25">
      <c r="A6972" s="14">
        <v>1023961952</v>
      </c>
      <c r="B6972" s="2">
        <v>46161.378644097225</v>
      </c>
      <c r="C6972" s="3" t="str">
        <f>IFERROR(VLOOKUP(A6972,'Base Prueba'!A:C,3,),"NO REGISTRA")</f>
        <v>ALEJANDRO PINZON MERCHAN</v>
      </c>
      <c r="D6972" s="4" t="str">
        <f>IFERROR(VLOOKUP(A6972,'Base Prueba'!A:D,4,),"NO REGISTRA")</f>
        <v>PROMOTOR CALL CENTER</v>
      </c>
      <c r="E6972" s="5" t="str">
        <f>IFERROR(VLOOKUP(A6972,'Base Prueba'!A:E,5,),"NO REGISTRA")</f>
        <v>OFICINA DE MERCADEO</v>
      </c>
    </row>
    <row r="6973" spans="1:5" ht="15.75" x14ac:dyDescent="0.25">
      <c r="A6973" s="14">
        <v>1018414290</v>
      </c>
      <c r="B6973" s="2">
        <v>46161.380240046296</v>
      </c>
      <c r="C6973" s="3" t="str">
        <f>IFERROR(VLOOKUP(A6973,'Base Prueba'!A:C,3,),"NO REGISTRA")</f>
        <v>AMANDA LISBETH RODRIGUEZ LEON</v>
      </c>
      <c r="D6973" s="4" t="str">
        <f>IFERROR(VLOOKUP(A6973,'Base Prueba'!A:D,4,),"NO REGISTRA")</f>
        <v>PROMOTOR CALL CENTER</v>
      </c>
      <c r="E6973" s="5" t="str">
        <f>IFERROR(VLOOKUP(A6973,'Base Prueba'!A:E,5,),"NO REGISTRA")</f>
        <v>OFICINA DE MERCADEO</v>
      </c>
    </row>
    <row r="6974" spans="1:5" ht="15.75" x14ac:dyDescent="0.25">
      <c r="A6974" s="14">
        <v>1000593372</v>
      </c>
      <c r="B6974" s="2">
        <v>46161.380441666668</v>
      </c>
      <c r="C6974" s="3" t="str">
        <f>IFERROR(VLOOKUP(A6974,'Base Prueba'!A:C,3,),"NO REGISTRA")</f>
        <v>LAURA SOFIA CHAPARRO LOPEZ</v>
      </c>
      <c r="D6974" s="4" t="str">
        <f>IFERROR(VLOOKUP(A6974,'Base Prueba'!A:D,4,),"NO REGISTRA")</f>
        <v>AUXILIAR JURIDICO</v>
      </c>
      <c r="E6974" s="5" t="str">
        <f>IFERROR(VLOOKUP(A6974,'Base Prueba'!A:E,5,),"NO REGISTRA")</f>
        <v>SECRETARIA GENERAL</v>
      </c>
    </row>
    <row r="6975" spans="1:5" ht="15.75" x14ac:dyDescent="0.25">
      <c r="A6975" s="14">
        <v>1016090131</v>
      </c>
      <c r="B6975" s="2">
        <v>46161.380973032406</v>
      </c>
      <c r="C6975" s="3" t="str">
        <f>IFERROR(VLOOKUP(A6975,'Base Prueba'!A:C,3,),"NO REGISTRA")</f>
        <v>NICOLAS RODRIGUEZ PACHECO</v>
      </c>
      <c r="D6975" s="4" t="str">
        <f>IFERROR(VLOOKUP(A6975,'Base Prueba'!A:D,4,),"NO REGISTRA")</f>
        <v>COORDINADOR DE COMUNICACIONES</v>
      </c>
      <c r="E6975" s="5" t="str">
        <f>IFERROR(VLOOKUP(A6975,'Base Prueba'!A:E,5,),"NO REGISTRA")</f>
        <v>OFICINA DE MERCADEO</v>
      </c>
    </row>
    <row r="6976" spans="1:5" ht="15.75" x14ac:dyDescent="0.25">
      <c r="A6976" s="14">
        <v>1014266838</v>
      </c>
      <c r="B6976" s="2">
        <v>46161.396422800928</v>
      </c>
      <c r="C6976" s="3" t="str">
        <f>IFERROR(VLOOKUP(A6976,'Base Prueba'!A:C,3,),"NO REGISTRA")</f>
        <v>JENNIFER ASTRID ROMERO HURTADO</v>
      </c>
      <c r="D6976" s="4" t="str">
        <f>IFERROR(VLOOKUP(A6976,'Base Prueba'!A:D,4,),"NO REGISTRA")</f>
        <v>LIDER DE RECAUDO</v>
      </c>
      <c r="E6976" s="5" t="str">
        <f>IFERROR(VLOOKUP(A6976,'Base Prueba'!A:E,5,),"NO REGISTRA")</f>
        <v>AREA FINANCIERA Y CONTABLE</v>
      </c>
    </row>
    <row r="6977" spans="1:5" ht="15.75" x14ac:dyDescent="0.25">
      <c r="A6977" s="14">
        <v>1032407386</v>
      </c>
      <c r="B6977" s="2">
        <v>46161.41886539352</v>
      </c>
      <c r="C6977" s="3" t="str">
        <f>IFERROR(VLOOKUP(A6977,'Base Prueba'!A:C,3,),"NO REGISTRA")</f>
        <v>GINA PAOLA BAEZ GALVIS</v>
      </c>
      <c r="D6977" s="4" t="str">
        <f>IFERROR(VLOOKUP(A6977,'Base Prueba'!A:D,4,),"NO REGISTRA")</f>
        <v>PROMOTOR CALL CENTER</v>
      </c>
      <c r="E6977" s="5" t="str">
        <f>IFERROR(VLOOKUP(A6977,'Base Prueba'!A:E,5,),"NO REGISTRA")</f>
        <v>OFICINA DE MERCADEO</v>
      </c>
    </row>
    <row r="6978" spans="1:5" ht="15.75" x14ac:dyDescent="0.25">
      <c r="A6978" s="14">
        <v>52764929</v>
      </c>
      <c r="B6978" s="2">
        <v>46161.43062175926</v>
      </c>
      <c r="C6978" s="3" t="str">
        <f>IFERROR(VLOOKUP(A6978,'Base Prueba'!A:C,3,),"NO REGISTRA")</f>
        <v>GUERLY YOHANA DURAN RIVERA</v>
      </c>
      <c r="D6978" s="4" t="str">
        <f>IFERROR(VLOOKUP(A6978,'Base Prueba'!A:D,4,),"NO REGISTRA")</f>
        <v>LIDER DE VINCULACION COLEGIOS</v>
      </c>
      <c r="E6978" s="5" t="str">
        <f>IFERROR(VLOOKUP(A6978,'Base Prueba'!A:E,5,),"NO REGISTRA")</f>
        <v>OFICINA DE MERCADEO</v>
      </c>
    </row>
    <row r="6979" spans="1:5" ht="15.75" x14ac:dyDescent="0.25">
      <c r="A6979" s="14">
        <v>52443092</v>
      </c>
      <c r="B6979" s="2">
        <v>46161.540859606481</v>
      </c>
      <c r="C6979" s="3" t="str">
        <f>IFERROR(VLOOKUP(A6979,'Base Prueba'!A:C,3,),"NO REGISTRA")</f>
        <v>LUZ MYRIAM SAAVEDRA CONTRERAS</v>
      </c>
      <c r="D6979" s="4" t="str">
        <f>IFERROR(VLOOKUP(A6979,'Base Prueba'!A:D,4,),"NO REGISTRA")</f>
        <v>AUXILIAR DE SERVICIOS</v>
      </c>
      <c r="E6979" s="5" t="str">
        <f>IFERROR(VLOOKUP(A6979,'Base Prueba'!A:E,5,),"NO REGISTRA")</f>
        <v>LOGISTICA Y SERVICIOS GENERALES</v>
      </c>
    </row>
    <row r="6980" spans="1:5" ht="15.75" x14ac:dyDescent="0.25">
      <c r="A6980" s="14">
        <v>1000324729</v>
      </c>
      <c r="B6980" s="2">
        <v>46161.711148379633</v>
      </c>
      <c r="C6980" s="3" t="str">
        <f>IFERROR(VLOOKUP(A6980,'Base Prueba'!A:C,3,),"NO REGISTRA")</f>
        <v>ANYIE VANESSA TINOCO CAMACHO</v>
      </c>
      <c r="D6980" s="4" t="str">
        <f>IFERROR(VLOOKUP(A6980,'Base Prueba'!A:D,4,),"NO REGISTRA")</f>
        <v>LIDER DE REGISTRO Y CONTROL</v>
      </c>
      <c r="E6980" s="5" t="str">
        <f>IFERROR(VLOOKUP(A6980,'Base Prueba'!A:E,5,),"NO REGISTRA")</f>
        <v>REGISTRO Y CONTROL ACADEMICO</v>
      </c>
    </row>
    <row r="6981" spans="1:5" ht="15.75" x14ac:dyDescent="0.25">
      <c r="A6981" s="14">
        <v>1013098430</v>
      </c>
      <c r="B6981" s="2">
        <v>46161.712592824071</v>
      </c>
      <c r="C6981" s="3" t="str">
        <f>IFERROR(VLOOKUP(A6981,'Base Prueba'!A:C,3,),"NO REGISTRA")</f>
        <v>ANDRES FELIPE LOPEZ ROMERO</v>
      </c>
      <c r="D6981" s="4" t="str">
        <f>IFERROR(VLOOKUP(A6981,'Base Prueba'!A:D,4,),"NO REGISTRA")</f>
        <v>APRENDIZ UNIVERSITARIO</v>
      </c>
      <c r="E6981" s="5" t="str">
        <f>IFERROR(VLOOKUP(A6981,'Base Prueba'!A:E,5,),"NO REGISTRA")</f>
        <v>OFICINA DE MERCADEO</v>
      </c>
    </row>
    <row r="6982" spans="1:5" ht="15.75" x14ac:dyDescent="0.25">
      <c r="A6982" s="14">
        <v>1000611958</v>
      </c>
      <c r="B6982" s="2">
        <v>46161.719361805553</v>
      </c>
      <c r="C6982" s="3" t="str">
        <f>IFERROR(VLOOKUP(A6982,'Base Prueba'!A:C,3,),"NO REGISTRA")</f>
        <v>TYLER CORRADINE  VARGAS</v>
      </c>
      <c r="D6982" s="4" t="str">
        <f>IFERROR(VLOOKUP(A6982,'Base Prueba'!A:D,4,),"NO REGISTRA")</f>
        <v>APRENDIZ UNIVERSITARIO</v>
      </c>
      <c r="E6982" s="5" t="str">
        <f>IFERROR(VLOOKUP(A6982,'Base Prueba'!A:E,5,),"NO REGISTRA")</f>
        <v>DEPARTAMENTO DE INFORMATICA Y TECNOLOGIA</v>
      </c>
    </row>
    <row r="6983" spans="1:5" ht="15.75" x14ac:dyDescent="0.25">
      <c r="A6983" s="14">
        <v>1000992568</v>
      </c>
      <c r="B6983" s="2">
        <v>46161.720986921297</v>
      </c>
      <c r="C6983" s="3" t="str">
        <f>IFERROR(VLOOKUP(A6983,'Base Prueba'!A:C,3,),"NO REGISTRA")</f>
        <v>KAREN BRIGITTE DALEMAN MORENO</v>
      </c>
      <c r="D6983" s="4" t="str">
        <f>IFERROR(VLOOKUP(A6983,'Base Prueba'!A:D,4,),"NO REGISTRA")</f>
        <v>RECEPCIONISTA</v>
      </c>
      <c r="E6983" s="5" t="str">
        <f>IFERROR(VLOOKUP(A6983,'Base Prueba'!A:E,5,),"NO REGISTRA")</f>
        <v>CENTRO DE GESTION DOCUMENTAL</v>
      </c>
    </row>
    <row r="6984" spans="1:5" ht="15.75" x14ac:dyDescent="0.25">
      <c r="A6984" s="14">
        <v>1024512067</v>
      </c>
      <c r="B6984" s="2">
        <v>46161.724367824077</v>
      </c>
      <c r="C6984" s="3" t="str">
        <f>IFERROR(VLOOKUP(A6984,'Base Prueba'!A:C,3,),"NO REGISTRA")</f>
        <v>CINDY GIOVANA SALGAR GOMEZ</v>
      </c>
      <c r="D6984" s="4" t="str">
        <f>IFERROR(VLOOKUP(A6984,'Base Prueba'!A:D,4,),"NO REGISTRA")</f>
        <v>COORDINADOR DEL SISTEMA INTEGRADO DE GESTION INSTITUCIONAL - SIGI</v>
      </c>
      <c r="E6984" s="5" t="str">
        <f>IFERROR(VLOOKUP(A6984,'Base Prueba'!A:E,5,),"NO REGISTRA")</f>
        <v>OFICINA DE PLANEACION Y GESTION DE LA CALIDAD</v>
      </c>
    </row>
    <row r="6985" spans="1:5" ht="15.75" x14ac:dyDescent="0.25">
      <c r="A6985" s="14">
        <v>1024505434</v>
      </c>
      <c r="B6985" s="2">
        <v>46161.748881481479</v>
      </c>
      <c r="C6985" s="3" t="str">
        <f>IFERROR(VLOOKUP(A6985,'Base Prueba'!A:C,3,),"NO REGISTRA")</f>
        <v>CRISTIAN ALBERTO MELO TORRES</v>
      </c>
      <c r="D6985" s="4" t="str">
        <f>IFERROR(VLOOKUP(A6985,'Base Prueba'!A:D,4,),"NO REGISTRA")</f>
        <v>COORDINADOR DE INFRAESTRUCTURA</v>
      </c>
      <c r="E6985" s="5" t="str">
        <f>IFERROR(VLOOKUP(A6985,'Base Prueba'!A:E,5,),"NO REGISTRA")</f>
        <v>VICERRECTORIA ADMINISTRATIVA Y FINANCIERA</v>
      </c>
    </row>
    <row r="6986" spans="1:5" ht="15.75" x14ac:dyDescent="0.25">
      <c r="A6986" s="14">
        <v>1000604979</v>
      </c>
      <c r="B6986" s="2">
        <v>46161.749189467591</v>
      </c>
      <c r="C6986" s="3" t="str">
        <f>IFERROR(VLOOKUP(A6986,'Base Prueba'!A:C,3,),"NO REGISTRA")</f>
        <v>JULIETH TATIANA PARDO PINTO</v>
      </c>
      <c r="D6986" s="4" t="str">
        <f>IFERROR(VLOOKUP(A6986,'Base Prueba'!A:D,4,),"NO REGISTRA")</f>
        <v>AUXILIAR JURIDICO</v>
      </c>
      <c r="E6986" s="5" t="str">
        <f>IFERROR(VLOOKUP(A6986,'Base Prueba'!A:E,5,),"NO REGISTRA")</f>
        <v>SECRETARIA GENERAL</v>
      </c>
    </row>
    <row r="6987" spans="1:5" ht="15.75" x14ac:dyDescent="0.25">
      <c r="A6987" s="14">
        <v>1000593372</v>
      </c>
      <c r="B6987" s="2">
        <v>46161.749206828703</v>
      </c>
      <c r="C6987" s="3" t="str">
        <f>IFERROR(VLOOKUP(A6987,'Base Prueba'!A:C,3,),"NO REGISTRA")</f>
        <v>LAURA SOFIA CHAPARRO LOPEZ</v>
      </c>
      <c r="D6987" s="4" t="str">
        <f>IFERROR(VLOOKUP(A6987,'Base Prueba'!A:D,4,),"NO REGISTRA")</f>
        <v>AUXILIAR JURIDICO</v>
      </c>
      <c r="E6987" s="5" t="str">
        <f>IFERROR(VLOOKUP(A6987,'Base Prueba'!A:E,5,),"NO REGISTRA")</f>
        <v>SECRETARIA GENERAL</v>
      </c>
    </row>
    <row r="6988" spans="1:5" ht="15.75" x14ac:dyDescent="0.25">
      <c r="A6988" s="14">
        <v>1000467399</v>
      </c>
      <c r="B6988" s="2">
        <v>46161.750215972221</v>
      </c>
      <c r="C6988" s="3" t="str">
        <f>IFERROR(VLOOKUP(A6988,'Base Prueba'!A:C,3,),"NO REGISTRA")</f>
        <v>BRANDO ESTIVEN DIAZ QUIMBAYA</v>
      </c>
      <c r="D6988" s="4" t="str">
        <f>IFERROR(VLOOKUP(A6988,'Base Prueba'!A:D,4,),"NO REGISTRA")</f>
        <v>APRENDIZ UNIVERSITARIO</v>
      </c>
      <c r="E6988" s="5" t="str">
        <f>IFERROR(VLOOKUP(A6988,'Base Prueba'!A:E,5,),"NO REGISTRA")</f>
        <v>DEPARTAMENTO DE GESTION HUMANA</v>
      </c>
    </row>
    <row r="6989" spans="1:5" ht="15.75" x14ac:dyDescent="0.25">
      <c r="A6989" s="14">
        <v>52225539</v>
      </c>
      <c r="B6989" s="2">
        <v>46161.750253240738</v>
      </c>
      <c r="C6989" s="3" t="str">
        <f>IFERROR(VLOOKUP(A6989,'Base Prueba'!A:C,3,),"NO REGISTRA")</f>
        <v>LISA MINELLY ZAMBRANO CONTRERAS</v>
      </c>
      <c r="D6989" s="4" t="str">
        <f>IFERROR(VLOOKUP(A6989,'Base Prueba'!A:D,4,),"NO REGISTRA")</f>
        <v>LIDER DE COMPRAS</v>
      </c>
      <c r="E6989" s="5" t="str">
        <f>IFERROR(VLOOKUP(A6989,'Base Prueba'!A:E,5,),"NO REGISTRA")</f>
        <v>VICERRECTORIA ADMINISTRATIVA Y FINANCIERA</v>
      </c>
    </row>
    <row r="6990" spans="1:5" ht="15.75" x14ac:dyDescent="0.25">
      <c r="A6990" s="14">
        <v>1049644802</v>
      </c>
      <c r="B6990" s="2">
        <v>46161.750637037039</v>
      </c>
      <c r="C6990" s="3" t="str">
        <f>IFERROR(VLOOKUP(A6990,'Base Prueba'!A:C,3,),"NO REGISTRA")</f>
        <v>DANIELA ALEXANDRA CIPAMOCHA BOSIGA</v>
      </c>
      <c r="D6990" s="4" t="str">
        <f>IFERROR(VLOOKUP(A6990,'Base Prueba'!A:D,4,),"NO REGISTRA")</f>
        <v>LIDER DE DATOS Y SERVICIOS</v>
      </c>
      <c r="E6990" s="5" t="str">
        <f>IFERROR(VLOOKUP(A6990,'Base Prueba'!A:E,5,),"NO REGISTRA")</f>
        <v>OFICINA DE PLANEACION Y GESTION DE LA CALIDAD</v>
      </c>
    </row>
    <row r="6991" spans="1:5" ht="15.75" x14ac:dyDescent="0.25">
      <c r="A6991" s="14">
        <v>1193457976</v>
      </c>
      <c r="B6991" s="2">
        <v>46161.75123321759</v>
      </c>
      <c r="C6991" s="3" t="str">
        <f>IFERROR(VLOOKUP(A6991,'Base Prueba'!A:C,3,),"NO REGISTRA")</f>
        <v>SEDENIS RIVAS ASPRILLA</v>
      </c>
      <c r="D6991" s="4" t="str">
        <f>IFERROR(VLOOKUP(A6991,'Base Prueba'!A:D,4,),"NO REGISTRA")</f>
        <v>APRENDIZ UNIVERSITARIO</v>
      </c>
      <c r="E6991" s="5" t="str">
        <f>IFERROR(VLOOKUP(A6991,'Base Prueba'!A:E,5,),"NO REGISTRA")</f>
        <v>DEPARTAMENTO DE GESTION HUMANA</v>
      </c>
    </row>
    <row r="6992" spans="1:5" ht="15.75" x14ac:dyDescent="0.25">
      <c r="A6992" s="14">
        <v>80191732</v>
      </c>
      <c r="B6992" s="2">
        <v>46161.751877546296</v>
      </c>
      <c r="C6992" s="3" t="str">
        <f>IFERROR(VLOOKUP(A6992,'Base Prueba'!A:C,3,),"NO REGISTRA")</f>
        <v>DANIEL MAURICIO ZAMBRANO TUNJANO</v>
      </c>
      <c r="D6992" s="4" t="str">
        <f>IFERROR(VLOOKUP(A6992,'Base Prueba'!A:D,4,),"NO REGISTRA")</f>
        <v>COORDINADOR DE DISEÑO E IMAGEN INSTITUCIONAL</v>
      </c>
      <c r="E6992" s="5" t="str">
        <f>IFERROR(VLOOKUP(A6992,'Base Prueba'!A:E,5,),"NO REGISTRA")</f>
        <v>OFICINA DE MERCADEO</v>
      </c>
    </row>
    <row r="6993" spans="1:5" ht="15.75" x14ac:dyDescent="0.25">
      <c r="A6993" s="14">
        <v>1033820146</v>
      </c>
      <c r="B6993" s="2">
        <v>46161.751927662037</v>
      </c>
      <c r="C6993" s="3" t="str">
        <f>IFERROR(VLOOKUP(A6993,'Base Prueba'!A:C,3,),"NO REGISTRA")</f>
        <v>JULIETH ALEXANDRA BUSTAMANTE RUIZ</v>
      </c>
      <c r="D6993" s="4" t="str">
        <f>IFERROR(VLOOKUP(A6993,'Base Prueba'!A:D,4,),"NO REGISTRA")</f>
        <v>AUXILIAR ADMINISTRATIVO</v>
      </c>
      <c r="E6993" s="5" t="str">
        <f>IFERROR(VLOOKUP(A6993,'Base Prueba'!A:E,5,),"NO REGISTRA")</f>
        <v>REGISTRO Y CONTROL ACADEMICO</v>
      </c>
    </row>
    <row r="6994" spans="1:5" ht="15.75" x14ac:dyDescent="0.25">
      <c r="A6994" s="14">
        <v>1013616244</v>
      </c>
      <c r="B6994" s="2">
        <v>46161.751965856478</v>
      </c>
      <c r="C6994" s="3" t="str">
        <f>IFERROR(VLOOKUP(A6994,'Base Prueba'!A:C,3,),"NO REGISTRA")</f>
        <v>DIANA CAROLINA MARIN BETANCOURT</v>
      </c>
      <c r="D6994" s="4" t="str">
        <f>IFERROR(VLOOKUP(A6994,'Base Prueba'!A:D,4,),"NO REGISTRA")</f>
        <v>AUXILIAR ADMINISTRATIVO</v>
      </c>
      <c r="E6994" s="5" t="str">
        <f>IFERROR(VLOOKUP(A6994,'Base Prueba'!A:E,5,),"NO REGISTRA")</f>
        <v>REGISTRO Y CONTROL ACADEMICO</v>
      </c>
    </row>
    <row r="6995" spans="1:5" ht="15.75" x14ac:dyDescent="0.25">
      <c r="A6995" s="14">
        <v>1023883232</v>
      </c>
      <c r="B6995" s="2">
        <v>46161.752733564812</v>
      </c>
      <c r="C6995" s="3" t="str">
        <f>IFERROR(VLOOKUP(A6995,'Base Prueba'!A:C,3,),"NO REGISTRA")</f>
        <v>MONICA ANDREA ACERO URBANO</v>
      </c>
      <c r="D6995" s="4" t="str">
        <f>IFERROR(VLOOKUP(A6995,'Base Prueba'!A:D,4,),"NO REGISTRA")</f>
        <v>APOYO INTEGRAL A GESTION HUMANA</v>
      </c>
      <c r="E6995" s="5" t="str">
        <f>IFERROR(VLOOKUP(A6995,'Base Prueba'!A:E,5,),"NO REGISTRA")</f>
        <v>DEPARTAMENTO DE GESTION HUMANA</v>
      </c>
    </row>
    <row r="6996" spans="1:5" ht="15.75" x14ac:dyDescent="0.25">
      <c r="A6996" s="14">
        <v>1032469638</v>
      </c>
      <c r="B6996" s="2">
        <v>46161.755155092593</v>
      </c>
      <c r="C6996" s="3" t="str">
        <f>IFERROR(VLOOKUP(A6996,'Base Prueba'!A:C,3,),"NO REGISTRA")</f>
        <v>MAICOL JARBEY GUALTEROS CASTAÑEDA</v>
      </c>
      <c r="D6996" s="4" t="str">
        <f>IFERROR(VLOOKUP(A6996,'Base Prueba'!A:D,4,),"NO REGISTRA")</f>
        <v>COORDINADOR DEL SISTEMA INTERNO DE ASEGURAMIENTO DE LA CALIDAD - SIAC</v>
      </c>
      <c r="E6996" s="5" t="str">
        <f>IFERROR(VLOOKUP(A6996,'Base Prueba'!A:E,5,),"NO REGISTRA")</f>
        <v>OFICINA DE PLANEACION Y GESTION DE LA CALIDAD</v>
      </c>
    </row>
    <row r="6997" spans="1:5" ht="15.75" x14ac:dyDescent="0.25">
      <c r="A6997" s="14">
        <v>1014266838</v>
      </c>
      <c r="B6997" s="2">
        <v>46161.755253240743</v>
      </c>
      <c r="C6997" s="3" t="str">
        <f>IFERROR(VLOOKUP(A6997,'Base Prueba'!A:C,3,),"NO REGISTRA")</f>
        <v>JENNIFER ASTRID ROMERO HURTADO</v>
      </c>
      <c r="D6997" s="4" t="str">
        <f>IFERROR(VLOOKUP(A6997,'Base Prueba'!A:D,4,),"NO REGISTRA")</f>
        <v>LIDER DE RECAUDO</v>
      </c>
      <c r="E6997" s="5" t="str">
        <f>IFERROR(VLOOKUP(A6997,'Base Prueba'!A:E,5,),"NO REGISTRA")</f>
        <v>AREA FINANCIERA Y CONTABLE</v>
      </c>
    </row>
    <row r="6998" spans="1:5" ht="15.75" x14ac:dyDescent="0.25">
      <c r="A6998" s="14">
        <v>52175674</v>
      </c>
      <c r="B6998" s="2">
        <v>46161.755619212963</v>
      </c>
      <c r="C6998" s="3" t="str">
        <f>IFERROR(VLOOKUP(A6998,'Base Prueba'!A:C,3,),"NO REGISTRA")</f>
        <v>LUZ YANETH GOMEZ AREVALO</v>
      </c>
      <c r="D6998" s="4" t="str">
        <f>IFERROR(VLOOKUP(A6998,'Base Prueba'!A:D,4,),"NO REGISTRA")</f>
        <v>COORDINADORA DE ADMISIONES</v>
      </c>
      <c r="E6998" s="5" t="str">
        <f>IFERROR(VLOOKUP(A6998,'Base Prueba'!A:E,5,),"NO REGISTRA")</f>
        <v>OFICINA DE MERCADEO</v>
      </c>
    </row>
    <row r="6999" spans="1:5" ht="15.75" x14ac:dyDescent="0.25">
      <c r="A6999" s="14">
        <v>1000257136</v>
      </c>
      <c r="B6999" s="2">
        <v>46161.759602199076</v>
      </c>
      <c r="C6999" s="3" t="str">
        <f>IFERROR(VLOOKUP(A6999,'Base Prueba'!A:C,3,),"NO REGISTRA")</f>
        <v>FRANCI VALENTINA CANO PUENTES</v>
      </c>
      <c r="D6999" s="4" t="str">
        <f>IFERROR(VLOOKUP(A6999,'Base Prueba'!A:D,4,),"NO REGISTRA")</f>
        <v>AUXILIAR CONTABLE</v>
      </c>
      <c r="E6999" s="5" t="str">
        <f>IFERROR(VLOOKUP(A6999,'Base Prueba'!A:E,5,),"NO REGISTRA")</f>
        <v>AREA FINANCIERA Y CONTABLE</v>
      </c>
    </row>
    <row r="7000" spans="1:5" ht="15.75" x14ac:dyDescent="0.25">
      <c r="A7000" s="14">
        <v>52474489</v>
      </c>
      <c r="B7000" s="2">
        <v>46161.760677893515</v>
      </c>
      <c r="C7000" s="3" t="str">
        <f>IFERROR(VLOOKUP(A7000,'Base Prueba'!A:C,3,),"NO REGISTRA")</f>
        <v>ADRIANA JIMENA SOTO BOCANEGRA</v>
      </c>
      <c r="D7000" s="4" t="str">
        <f>IFERROR(VLOOKUP(A7000,'Base Prueba'!A:D,4,),"NO REGISTRA")</f>
        <v>COORDINADOR DE LA OFICINA DE REGISTRO Y CONTROL</v>
      </c>
      <c r="E7000" s="5" t="str">
        <f>IFERROR(VLOOKUP(A7000,'Base Prueba'!A:E,5,),"NO REGISTRA")</f>
        <v>REGISTRO Y CONTROL ACADEMICO</v>
      </c>
    </row>
    <row r="7001" spans="1:5" ht="15.75" x14ac:dyDescent="0.25">
      <c r="A7001" s="14">
        <v>1000457706</v>
      </c>
      <c r="B7001" s="2">
        <v>46161.764197222219</v>
      </c>
      <c r="C7001" s="3" t="str">
        <f>IFERROR(VLOOKUP(A7001,'Base Prueba'!A:C,3,),"NO REGISTRA")</f>
        <v>CRISTIAN DANILO ARROYO SANABRIA</v>
      </c>
      <c r="D7001" s="4" t="str">
        <f>IFERROR(VLOOKUP(A7001,'Base Prueba'!A:D,4,),"NO REGISTRA")</f>
        <v>AUXILIAR CONTABLE</v>
      </c>
      <c r="E7001" s="5" t="str">
        <f>IFERROR(VLOOKUP(A7001,'Base Prueba'!A:E,5,),"NO REGISTRA")</f>
        <v>AREA FINANCIERA Y CONTABLE</v>
      </c>
    </row>
    <row r="7002" spans="1:5" ht="15.75" x14ac:dyDescent="0.25">
      <c r="A7002" s="14">
        <v>1014308296</v>
      </c>
      <c r="B7002" s="2">
        <v>46161.769089004629</v>
      </c>
      <c r="C7002" s="3" t="str">
        <f>IFERROR(VLOOKUP(A7002,'Base Prueba'!A:C,3,),"NO REGISTRA")</f>
        <v>DARLENE YULIANA MORENO CELEITA</v>
      </c>
      <c r="D7002" s="4" t="str">
        <f>IFERROR(VLOOKUP(A7002,'Base Prueba'!A:D,4,),"NO REGISTRA")</f>
        <v>CAJERO PRINCIPAL</v>
      </c>
      <c r="E7002" s="5" t="str">
        <f>IFERROR(VLOOKUP(A7002,'Base Prueba'!A:E,5,),"NO REGISTRA")</f>
        <v>AREA FINANCIERA Y CONTABLE</v>
      </c>
    </row>
    <row r="7003" spans="1:5" ht="15.75" x14ac:dyDescent="0.25">
      <c r="A7003" s="14">
        <v>1012426741</v>
      </c>
      <c r="B7003" s="2">
        <v>46161.774286574073</v>
      </c>
      <c r="C7003" s="3" t="str">
        <f>IFERROR(VLOOKUP(A7003,'Base Prueba'!A:C,3,),"NO REGISTRA")</f>
        <v>CRISTIAN FABIAN ROJAS SANCENO</v>
      </c>
      <c r="D7003" s="4" t="str">
        <f>IFERROR(VLOOKUP(A7003,'Base Prueba'!A:D,4,),"NO REGISTRA")</f>
        <v>AUXILIAR DE REINTEGROS</v>
      </c>
      <c r="E7003" s="5" t="str">
        <f>IFERROR(VLOOKUP(A7003,'Base Prueba'!A:E,5,),"NO REGISTRA")</f>
        <v>DIRECCION DE BIENESTAR INSTITUCIONAL</v>
      </c>
    </row>
    <row r="7004" spans="1:5" ht="15.75" x14ac:dyDescent="0.25">
      <c r="A7004" s="14">
        <v>1000046533</v>
      </c>
      <c r="B7004" s="2">
        <v>46161.776227430557</v>
      </c>
      <c r="C7004" s="3" t="str">
        <f>IFERROR(VLOOKUP(A7004,'Base Prueba'!A:C,3,),"NO REGISTRA")</f>
        <v>ERIKA JULIETH VALDERRAMA SANCHEZ</v>
      </c>
      <c r="D7004" s="4" t="str">
        <f>IFERROR(VLOOKUP(A7004,'Base Prueba'!A:D,4,),"NO REGISTRA")</f>
        <v>PROMOTOR CALL CENTER</v>
      </c>
      <c r="E7004" s="5" t="str">
        <f>IFERROR(VLOOKUP(A7004,'Base Prueba'!A:E,5,),"NO REGISTRA")</f>
        <v>OFICINA DE MERCADEO</v>
      </c>
    </row>
    <row r="7005" spans="1:5" ht="15.75" x14ac:dyDescent="0.25">
      <c r="A7005" s="14">
        <v>1032407386</v>
      </c>
      <c r="B7005" s="2">
        <v>46161.778299537036</v>
      </c>
      <c r="C7005" s="3" t="str">
        <f>IFERROR(VLOOKUP(A7005,'Base Prueba'!A:C,3,),"NO REGISTRA")</f>
        <v>GINA PAOLA BAEZ GALVIS</v>
      </c>
      <c r="D7005" s="4" t="str">
        <f>IFERROR(VLOOKUP(A7005,'Base Prueba'!A:D,4,),"NO REGISTRA")</f>
        <v>PROMOTOR CALL CENTER</v>
      </c>
      <c r="E7005" s="5" t="str">
        <f>IFERROR(VLOOKUP(A7005,'Base Prueba'!A:E,5,),"NO REGISTRA")</f>
        <v>OFICINA DE MERCADEO</v>
      </c>
    </row>
    <row r="7006" spans="1:5" ht="15.75" x14ac:dyDescent="0.25">
      <c r="A7006" s="14">
        <v>1018414290</v>
      </c>
      <c r="B7006" s="2">
        <v>46161.778377546296</v>
      </c>
      <c r="C7006" s="3" t="str">
        <f>IFERROR(VLOOKUP(A7006,'Base Prueba'!A:C,3,),"NO REGISTRA")</f>
        <v>AMANDA LISBETH RODRIGUEZ LEON</v>
      </c>
      <c r="D7006" s="4" t="str">
        <f>IFERROR(VLOOKUP(A7006,'Base Prueba'!A:D,4,),"NO REGISTRA")</f>
        <v>PROMOTOR CALL CENTER</v>
      </c>
      <c r="E7006" s="5" t="str">
        <f>IFERROR(VLOOKUP(A7006,'Base Prueba'!A:E,5,),"NO REGISTRA")</f>
        <v>OFICINA DE MERCADEO</v>
      </c>
    </row>
    <row r="7007" spans="1:5" ht="15.75" x14ac:dyDescent="0.25">
      <c r="A7007" s="14">
        <v>28798349</v>
      </c>
      <c r="B7007" s="2">
        <v>46161.77854861111</v>
      </c>
      <c r="C7007" s="3" t="str">
        <f>IFERROR(VLOOKUP(A7007,'Base Prueba'!A:C,3,),"NO REGISTRA")</f>
        <v>MARTHA ISABEL TOVAR WILLIAMS</v>
      </c>
      <c r="D7007" s="4" t="str">
        <f>IFERROR(VLOOKUP(A7007,'Base Prueba'!A:D,4,),"NO REGISTRA")</f>
        <v>PROMOTOR CALL CENTER</v>
      </c>
      <c r="E7007" s="5" t="str">
        <f>IFERROR(VLOOKUP(A7007,'Base Prueba'!A:E,5,),"NO REGISTRA")</f>
        <v>OFICINA DE MERCADEO</v>
      </c>
    </row>
    <row r="7008" spans="1:5" ht="15.75" x14ac:dyDescent="0.25">
      <c r="A7008" s="14">
        <v>1014196857</v>
      </c>
      <c r="B7008" s="2">
        <v>46161.779803240737</v>
      </c>
      <c r="C7008" s="3" t="str">
        <f>IFERROR(VLOOKUP(A7008,'Base Prueba'!A:C,3,),"NO REGISTRA")</f>
        <v>CARLOS ANDRES JIMENEZ PARDO</v>
      </c>
      <c r="D7008" s="4" t="str">
        <f>IFERROR(VLOOKUP(A7008,'Base Prueba'!A:D,4,),"NO REGISTRA")</f>
        <v>COORDINADOR DE MARKETING DIGITAL</v>
      </c>
      <c r="E7008" s="5" t="str">
        <f>IFERROR(VLOOKUP(A7008,'Base Prueba'!A:E,5,),"NO REGISTRA")</f>
        <v>OFICINA DE MERCADEO</v>
      </c>
    </row>
    <row r="7009" spans="1:5" ht="15.75" x14ac:dyDescent="0.25">
      <c r="A7009" s="14">
        <v>1033709056</v>
      </c>
      <c r="B7009" s="2">
        <v>46161.780308449073</v>
      </c>
      <c r="C7009" s="3" t="str">
        <f>IFERROR(VLOOKUP(A7009,'Base Prueba'!A:C,3,),"NO REGISTRA")</f>
        <v>YEIMY ALEXANDRA RODRIGUEZ PALACIO</v>
      </c>
      <c r="D7009" s="4" t="str">
        <f>IFERROR(VLOOKUP(A7009,'Base Prueba'!A:D,4,),"NO REGISTRA")</f>
        <v>PROMOTOR CALL CENTER</v>
      </c>
      <c r="E7009" s="5" t="str">
        <f>IFERROR(VLOOKUP(A7009,'Base Prueba'!A:E,5,),"NO REGISTRA")</f>
        <v>OFICINA DE MERCADEO</v>
      </c>
    </row>
    <row r="7010" spans="1:5" ht="15.75" x14ac:dyDescent="0.25">
      <c r="A7010" s="14">
        <v>53089882</v>
      </c>
      <c r="B7010" s="2">
        <v>46161.780385648148</v>
      </c>
      <c r="C7010" s="3" t="str">
        <f>IFERROR(VLOOKUP(A7010,'Base Prueba'!A:C,3,),"NO REGISTRA")</f>
        <v>MARIA JOHANA ESCAMILLA MARTINEZ</v>
      </c>
      <c r="D7010" s="4" t="str">
        <f>IFERROR(VLOOKUP(A7010,'Base Prueba'!A:D,4,),"NO REGISTRA")</f>
        <v>PROMOTOR DE INFORMACIÓN</v>
      </c>
      <c r="E7010" s="5" t="str">
        <f>IFERROR(VLOOKUP(A7010,'Base Prueba'!A:E,5,),"NO REGISTRA")</f>
        <v>OFICINA DE MERCADEO</v>
      </c>
    </row>
    <row r="7011" spans="1:5" ht="15.75" x14ac:dyDescent="0.25">
      <c r="A7011" s="14">
        <v>1023961952</v>
      </c>
      <c r="B7011" s="2">
        <v>46161.780452662038</v>
      </c>
      <c r="C7011" s="3" t="str">
        <f>IFERROR(VLOOKUP(A7011,'Base Prueba'!A:C,3,),"NO REGISTRA")</f>
        <v>ALEJANDRO PINZON MERCHAN</v>
      </c>
      <c r="D7011" s="4" t="str">
        <f>IFERROR(VLOOKUP(A7011,'Base Prueba'!A:D,4,),"NO REGISTRA")</f>
        <v>PROMOTOR CALL CENTER</v>
      </c>
      <c r="E7011" s="5" t="str">
        <f>IFERROR(VLOOKUP(A7011,'Base Prueba'!A:E,5,),"NO REGISTRA")</f>
        <v>OFICINA DE MERCADEO</v>
      </c>
    </row>
    <row r="7012" spans="1:5" ht="15.75" x14ac:dyDescent="0.25">
      <c r="A7012" s="14">
        <v>52472386</v>
      </c>
      <c r="B7012" s="2">
        <v>46161.788158564814</v>
      </c>
      <c r="C7012" s="3" t="str">
        <f>IFERROR(VLOOKUP(A7012,'Base Prueba'!A:C,3,),"NO REGISTRA")</f>
        <v>ADRIANA MARCELA MORALES PARDO</v>
      </c>
      <c r="D7012" s="4" t="str">
        <f>IFERROR(VLOOKUP(A7012,'Base Prueba'!A:D,4,),"NO REGISTRA")</f>
        <v>PROMOTOR CALL CENTER</v>
      </c>
      <c r="E7012" s="5" t="str">
        <f>IFERROR(VLOOKUP(A7012,'Base Prueba'!A:E,5,),"NO REGISTRA")</f>
        <v>OFICINA DE MERCADEO</v>
      </c>
    </row>
    <row r="7013" spans="1:5" ht="15.75" x14ac:dyDescent="0.25">
      <c r="A7013" s="14">
        <v>52764929</v>
      </c>
      <c r="B7013" s="2">
        <v>46161.842364004631</v>
      </c>
      <c r="C7013" s="3" t="str">
        <f>IFERROR(VLOOKUP(A7013,'Base Prueba'!A:C,3,),"NO REGISTRA")</f>
        <v>GUERLY YOHANA DURAN RIVERA</v>
      </c>
      <c r="D7013" s="4" t="str">
        <f>IFERROR(VLOOKUP(A7013,'Base Prueba'!A:D,4,),"NO REGISTRA")</f>
        <v>LIDER DE VINCULACION COLEGIOS</v>
      </c>
      <c r="E7013" s="5" t="str">
        <f>IFERROR(VLOOKUP(A7013,'Base Prueba'!A:E,5,),"NO REGISTRA")</f>
        <v>OFICINA DE MERCADEO</v>
      </c>
    </row>
    <row r="7014" spans="1:5" ht="15.75" x14ac:dyDescent="0.25">
      <c r="A7014" s="14">
        <v>53932358</v>
      </c>
      <c r="B7014" s="2">
        <v>46161.843830555554</v>
      </c>
      <c r="C7014" s="3" t="str">
        <f>IFERROR(VLOOKUP(A7014,'Base Prueba'!A:C,3,),"NO REGISTRA")</f>
        <v>DIANA MADELEYNE GAONA RODRIGUEZ</v>
      </c>
      <c r="D7014" s="4" t="str">
        <f>IFERROR(VLOOKUP(A7014,'Base Prueba'!A:D,4,),"NO REGISTRA")</f>
        <v>CONTADOR</v>
      </c>
      <c r="E7014" s="5" t="str">
        <f>IFERROR(VLOOKUP(A7014,'Base Prueba'!A:E,5,),"NO REGISTRA")</f>
        <v>AREA FINANCIERA Y CONTABLE</v>
      </c>
    </row>
    <row r="7015" spans="1:5" ht="15.75" x14ac:dyDescent="0.25">
      <c r="A7015" s="14">
        <v>1024512067</v>
      </c>
      <c r="B7015" s="2">
        <v>46162.311798726849</v>
      </c>
      <c r="C7015" s="3" t="str">
        <f>IFERROR(VLOOKUP(A7015,'Base Prueba'!A:C,3,),"NO REGISTRA")</f>
        <v>CINDY GIOVANA SALGAR GOMEZ</v>
      </c>
      <c r="D7015" s="4" t="str">
        <f>IFERROR(VLOOKUP(A7015,'Base Prueba'!A:D,4,),"NO REGISTRA")</f>
        <v>COORDINADOR DEL SISTEMA INTEGRADO DE GESTION INSTITUCIONAL - SIGI</v>
      </c>
      <c r="E7015" s="5" t="str">
        <f>IFERROR(VLOOKUP(A7015,'Base Prueba'!A:E,5,),"NO REGISTRA")</f>
        <v>OFICINA DE PLANEACION Y GESTION DE LA CALIDAD</v>
      </c>
    </row>
    <row r="7016" spans="1:5" ht="15.75" x14ac:dyDescent="0.25">
      <c r="A7016" s="14">
        <v>1000324729</v>
      </c>
      <c r="B7016" s="2">
        <v>46162.321345138887</v>
      </c>
      <c r="C7016" s="3" t="str">
        <f>IFERROR(VLOOKUP(A7016,'Base Prueba'!A:C,3,),"NO REGISTRA")</f>
        <v>ANYIE VANESSA TINOCO CAMACHO</v>
      </c>
      <c r="D7016" s="4" t="str">
        <f>IFERROR(VLOOKUP(A7016,'Base Prueba'!A:D,4,),"NO REGISTRA")</f>
        <v>LIDER DE REGISTRO Y CONTROL</v>
      </c>
      <c r="E7016" s="5" t="str">
        <f>IFERROR(VLOOKUP(A7016,'Base Prueba'!A:E,5,),"NO REGISTRA")</f>
        <v>REGISTRO Y CONTROL ACADEMICO</v>
      </c>
    </row>
    <row r="7017" spans="1:5" ht="15.75" x14ac:dyDescent="0.25">
      <c r="A7017" s="14">
        <v>1032407386</v>
      </c>
      <c r="B7017" s="2">
        <v>46162.321812037037</v>
      </c>
      <c r="C7017" s="3" t="str">
        <f>IFERROR(VLOOKUP(A7017,'Base Prueba'!A:C,3,),"NO REGISTRA")</f>
        <v>GINA PAOLA BAEZ GALVIS</v>
      </c>
      <c r="D7017" s="4" t="str">
        <f>IFERROR(VLOOKUP(A7017,'Base Prueba'!A:D,4,),"NO REGISTRA")</f>
        <v>PROMOTOR CALL CENTER</v>
      </c>
      <c r="E7017" s="5" t="str">
        <f>IFERROR(VLOOKUP(A7017,'Base Prueba'!A:E,5,),"NO REGISTRA")</f>
        <v>OFICINA DE MERCADEO</v>
      </c>
    </row>
    <row r="7018" spans="1:5" ht="15.75" x14ac:dyDescent="0.25">
      <c r="A7018" s="14">
        <v>1013616244</v>
      </c>
      <c r="B7018" s="2">
        <v>46162.326394791664</v>
      </c>
      <c r="C7018" s="3" t="str">
        <f>IFERROR(VLOOKUP(A7018,'Base Prueba'!A:C,3,),"NO REGISTRA")</f>
        <v>DIANA CAROLINA MARIN BETANCOURT</v>
      </c>
      <c r="D7018" s="4" t="str">
        <f>IFERROR(VLOOKUP(A7018,'Base Prueba'!A:D,4,),"NO REGISTRA")</f>
        <v>AUXILIAR ADMINISTRATIVO</v>
      </c>
      <c r="E7018" s="5" t="str">
        <f>IFERROR(VLOOKUP(A7018,'Base Prueba'!A:E,5,),"NO REGISTRA")</f>
        <v>REGISTRO Y CONTROL ACADEMICO</v>
      </c>
    </row>
    <row r="7019" spans="1:5" ht="15.75" x14ac:dyDescent="0.25">
      <c r="A7019" s="14">
        <v>80191732</v>
      </c>
      <c r="B7019" s="2">
        <v>46162.330313194441</v>
      </c>
      <c r="C7019" s="3" t="str">
        <f>IFERROR(VLOOKUP(A7019,'Base Prueba'!A:C,3,),"NO REGISTRA")</f>
        <v>DANIEL MAURICIO ZAMBRANO TUNJANO</v>
      </c>
      <c r="D7019" s="4" t="str">
        <f>IFERROR(VLOOKUP(A7019,'Base Prueba'!A:D,4,),"NO REGISTRA")</f>
        <v>COORDINADOR DE DISEÑO E IMAGEN INSTITUCIONAL</v>
      </c>
      <c r="E7019" s="5" t="str">
        <f>IFERROR(VLOOKUP(A7019,'Base Prueba'!A:E,5,),"NO REGISTRA")</f>
        <v>OFICINA DE MERCADEO</v>
      </c>
    </row>
    <row r="7020" spans="1:5" ht="15.75" x14ac:dyDescent="0.25">
      <c r="A7020" s="14">
        <v>52225539</v>
      </c>
      <c r="B7020" s="2">
        <v>46162.337431250002</v>
      </c>
      <c r="C7020" s="3" t="str">
        <f>IFERROR(VLOOKUP(A7020,'Base Prueba'!A:C,3,),"NO REGISTRA")</f>
        <v>LISA MINELLY ZAMBRANO CONTRERAS</v>
      </c>
      <c r="D7020" s="4" t="str">
        <f>IFERROR(VLOOKUP(A7020,'Base Prueba'!A:D,4,),"NO REGISTRA")</f>
        <v>LIDER DE COMPRAS</v>
      </c>
      <c r="E7020" s="5" t="str">
        <f>IFERROR(VLOOKUP(A7020,'Base Prueba'!A:E,5,),"NO REGISTRA")</f>
        <v>VICERRECTORIA ADMINISTRATIVA Y FINANCIERA</v>
      </c>
    </row>
    <row r="7021" spans="1:5" ht="15.75" x14ac:dyDescent="0.25">
      <c r="A7021" s="14">
        <v>1000257136</v>
      </c>
      <c r="B7021" s="2">
        <v>46162.340173032404</v>
      </c>
      <c r="C7021" s="3" t="str">
        <f>IFERROR(VLOOKUP(A7021,'Base Prueba'!A:C,3,),"NO REGISTRA")</f>
        <v>FRANCI VALENTINA CANO PUENTES</v>
      </c>
      <c r="D7021" s="4" t="str">
        <f>IFERROR(VLOOKUP(A7021,'Base Prueba'!A:D,4,),"NO REGISTRA")</f>
        <v>AUXILIAR CONTABLE</v>
      </c>
      <c r="E7021" s="5" t="str">
        <f>IFERROR(VLOOKUP(A7021,'Base Prueba'!A:E,5,),"NO REGISTRA")</f>
        <v>AREA FINANCIERA Y CONTABLE</v>
      </c>
    </row>
    <row r="7022" spans="1:5" ht="15.75" x14ac:dyDescent="0.25">
      <c r="A7022" s="14">
        <v>1000257136</v>
      </c>
      <c r="B7022" s="2">
        <v>46162.34018240741</v>
      </c>
      <c r="C7022" s="3" t="str">
        <f>IFERROR(VLOOKUP(A7022,'Base Prueba'!A:C,3,),"NO REGISTRA")</f>
        <v>FRANCI VALENTINA CANO PUENTES</v>
      </c>
      <c r="D7022" s="4" t="str">
        <f>IFERROR(VLOOKUP(A7022,'Base Prueba'!A:D,4,),"NO REGISTRA")</f>
        <v>AUXILIAR CONTABLE</v>
      </c>
      <c r="E7022" s="5" t="str">
        <f>IFERROR(VLOOKUP(A7022,'Base Prueba'!A:E,5,),"NO REGISTRA")</f>
        <v>AREA FINANCIERA Y CONTABLE</v>
      </c>
    </row>
    <row r="7023" spans="1:5" ht="15.75" x14ac:dyDescent="0.25">
      <c r="A7023" s="14">
        <v>53932358</v>
      </c>
      <c r="B7023" s="2">
        <v>46162.340489351853</v>
      </c>
      <c r="C7023" s="3" t="str">
        <f>IFERROR(VLOOKUP(A7023,'Base Prueba'!A:C,3,),"NO REGISTRA")</f>
        <v>DIANA MADELEYNE GAONA RODRIGUEZ</v>
      </c>
      <c r="D7023" s="4" t="str">
        <f>IFERROR(VLOOKUP(A7023,'Base Prueba'!A:D,4,),"NO REGISTRA")</f>
        <v>CONTADOR</v>
      </c>
      <c r="E7023" s="5" t="str">
        <f>IFERROR(VLOOKUP(A7023,'Base Prueba'!A:E,5,),"NO REGISTRA")</f>
        <v>AREA FINANCIERA Y CONTABLE</v>
      </c>
    </row>
    <row r="7024" spans="1:5" ht="15.75" x14ac:dyDescent="0.25">
      <c r="A7024" s="14">
        <v>1022996882</v>
      </c>
      <c r="B7024" s="2">
        <v>46162.341112268521</v>
      </c>
      <c r="C7024" s="3" t="str">
        <f>IFERROR(VLOOKUP(A7024,'Base Prueba'!A:C,3,),"NO REGISTRA")</f>
        <v>NANCY BRIGITH ALDANA GUEVARA</v>
      </c>
      <c r="D7024" s="4" t="str">
        <f>IFERROR(VLOOKUP(A7024,'Base Prueba'!A:D,4,),"NO REGISTRA")</f>
        <v>COORDINADORA DE GESTIÓN HUMANA</v>
      </c>
      <c r="E7024" s="5" t="str">
        <f>IFERROR(VLOOKUP(A7024,'Base Prueba'!A:E,5,),"NO REGISTRA")</f>
        <v>DEPARTAMENTO DE GESTION HUMANA</v>
      </c>
    </row>
    <row r="7025" spans="1:5" ht="15.75" x14ac:dyDescent="0.25">
      <c r="A7025" s="14">
        <v>1049644802</v>
      </c>
      <c r="B7025" s="2">
        <v>46162.34157488426</v>
      </c>
      <c r="C7025" s="3" t="str">
        <f>IFERROR(VLOOKUP(A7025,'Base Prueba'!A:C,3,),"NO REGISTRA")</f>
        <v>DANIELA ALEXANDRA CIPAMOCHA BOSIGA</v>
      </c>
      <c r="D7025" s="4" t="str">
        <f>IFERROR(VLOOKUP(A7025,'Base Prueba'!A:D,4,),"NO REGISTRA")</f>
        <v>LIDER DE DATOS Y SERVICIOS</v>
      </c>
      <c r="E7025" s="5" t="str">
        <f>IFERROR(VLOOKUP(A7025,'Base Prueba'!A:E,5,),"NO REGISTRA")</f>
        <v>OFICINA DE PLANEACION Y GESTION DE LA CALIDAD</v>
      </c>
    </row>
    <row r="7026" spans="1:5" ht="15.75" x14ac:dyDescent="0.25">
      <c r="A7026" s="14">
        <v>1087121273</v>
      </c>
      <c r="B7026" s="2">
        <v>46162.342838773147</v>
      </c>
      <c r="C7026" s="3" t="str">
        <f>IFERROR(VLOOKUP(A7026,'Base Prueba'!A:C,3,),"NO REGISTRA")</f>
        <v>MAYRA ALEJANDRA CASTILLO ARBOLEDA</v>
      </c>
      <c r="D7026" s="4" t="str">
        <f>IFERROR(VLOOKUP(A7026,'Base Prueba'!A:D,4,),"NO REGISTRA")</f>
        <v>APOYO INTEGRAL DE MERCADEO</v>
      </c>
      <c r="E7026" s="5" t="str">
        <f>IFERROR(VLOOKUP(A7026,'Base Prueba'!A:E,5,),"NO REGISTRA")</f>
        <v>CENTRO DE GESTION DOCUMENTAL</v>
      </c>
    </row>
    <row r="7027" spans="1:5" ht="15.75" x14ac:dyDescent="0.25">
      <c r="A7027" s="14">
        <v>1023883232</v>
      </c>
      <c r="B7027" s="2">
        <v>46162.343188078703</v>
      </c>
      <c r="C7027" s="3" t="str">
        <f>IFERROR(VLOOKUP(A7027,'Base Prueba'!A:C,3,),"NO REGISTRA")</f>
        <v>MONICA ANDREA ACERO URBANO</v>
      </c>
      <c r="D7027" s="4" t="str">
        <f>IFERROR(VLOOKUP(A7027,'Base Prueba'!A:D,4,),"NO REGISTRA")</f>
        <v>APOYO INTEGRAL A GESTION HUMANA</v>
      </c>
      <c r="E7027" s="5" t="str">
        <f>IFERROR(VLOOKUP(A7027,'Base Prueba'!A:E,5,),"NO REGISTRA")</f>
        <v>DEPARTAMENTO DE GESTION HUMANA</v>
      </c>
    </row>
    <row r="7028" spans="1:5" ht="15.75" x14ac:dyDescent="0.25">
      <c r="A7028" s="14">
        <v>1013098430</v>
      </c>
      <c r="B7028" s="2">
        <v>46162.345122916668</v>
      </c>
      <c r="C7028" s="3" t="str">
        <f>IFERROR(VLOOKUP(A7028,'Base Prueba'!A:C,3,),"NO REGISTRA")</f>
        <v>ANDRES FELIPE LOPEZ ROMERO</v>
      </c>
      <c r="D7028" s="4" t="str">
        <f>IFERROR(VLOOKUP(A7028,'Base Prueba'!A:D,4,),"NO REGISTRA")</f>
        <v>APRENDIZ UNIVERSITARIO</v>
      </c>
      <c r="E7028" s="5" t="str">
        <f>IFERROR(VLOOKUP(A7028,'Base Prueba'!A:E,5,),"NO REGISTRA")</f>
        <v>OFICINA DE MERCADEO</v>
      </c>
    </row>
    <row r="7029" spans="1:5" ht="15.75" x14ac:dyDescent="0.25">
      <c r="A7029" s="14">
        <v>1014196857</v>
      </c>
      <c r="B7029" s="2">
        <v>46162.345896990744</v>
      </c>
      <c r="C7029" s="3" t="str">
        <f>IFERROR(VLOOKUP(A7029,'Base Prueba'!A:C,3,),"NO REGISTRA")</f>
        <v>CARLOS ANDRES JIMENEZ PARDO</v>
      </c>
      <c r="D7029" s="4" t="str">
        <f>IFERROR(VLOOKUP(A7029,'Base Prueba'!A:D,4,),"NO REGISTRA")</f>
        <v>COORDINADOR DE MARKETING DIGITAL</v>
      </c>
      <c r="E7029" s="5" t="str">
        <f>IFERROR(VLOOKUP(A7029,'Base Prueba'!A:E,5,),"NO REGISTRA")</f>
        <v>OFICINA DE MERCADEO</v>
      </c>
    </row>
    <row r="7030" spans="1:5" ht="15.75" x14ac:dyDescent="0.25">
      <c r="A7030" s="14">
        <v>1193457976</v>
      </c>
      <c r="B7030" s="2">
        <v>46162.346766319446</v>
      </c>
      <c r="C7030" s="3" t="str">
        <f>IFERROR(VLOOKUP(A7030,'Base Prueba'!A:C,3,),"NO REGISTRA")</f>
        <v>SEDENIS RIVAS ASPRILLA</v>
      </c>
      <c r="D7030" s="4" t="str">
        <f>IFERROR(VLOOKUP(A7030,'Base Prueba'!A:D,4,),"NO REGISTRA")</f>
        <v>APRENDIZ UNIVERSITARIO</v>
      </c>
      <c r="E7030" s="5" t="str">
        <f>IFERROR(VLOOKUP(A7030,'Base Prueba'!A:E,5,),"NO REGISTRA")</f>
        <v>DEPARTAMENTO DE GESTION HUMANA</v>
      </c>
    </row>
    <row r="7031" spans="1:5" ht="15.75" x14ac:dyDescent="0.25">
      <c r="A7031" s="14">
        <v>1000457706</v>
      </c>
      <c r="B7031" s="2">
        <v>46162.349227314815</v>
      </c>
      <c r="C7031" s="3" t="str">
        <f>IFERROR(VLOOKUP(A7031,'Base Prueba'!A:C,3,),"NO REGISTRA")</f>
        <v>CRISTIAN DANILO ARROYO SANABRIA</v>
      </c>
      <c r="D7031" s="4" t="str">
        <f>IFERROR(VLOOKUP(A7031,'Base Prueba'!A:D,4,),"NO REGISTRA")</f>
        <v>AUXILIAR CONTABLE</v>
      </c>
      <c r="E7031" s="5" t="str">
        <f>IFERROR(VLOOKUP(A7031,'Base Prueba'!A:E,5,),"NO REGISTRA")</f>
        <v>AREA FINANCIERA Y CONTABLE</v>
      </c>
    </row>
    <row r="7032" spans="1:5" ht="15.75" x14ac:dyDescent="0.25">
      <c r="A7032" s="14">
        <v>1000604979</v>
      </c>
      <c r="B7032" s="2">
        <v>46162.350052199072</v>
      </c>
      <c r="C7032" s="3" t="str">
        <f>IFERROR(VLOOKUP(A7032,'Base Prueba'!A:C,3,),"NO REGISTRA")</f>
        <v>JULIETH TATIANA PARDO PINTO</v>
      </c>
      <c r="D7032" s="4" t="str">
        <f>IFERROR(VLOOKUP(A7032,'Base Prueba'!A:D,4,),"NO REGISTRA")</f>
        <v>AUXILIAR JURIDICO</v>
      </c>
      <c r="E7032" s="5" t="str">
        <f>IFERROR(VLOOKUP(A7032,'Base Prueba'!A:E,5,),"NO REGISTRA")</f>
        <v>SECRETARIA GENERAL</v>
      </c>
    </row>
    <row r="7033" spans="1:5" ht="15.75" x14ac:dyDescent="0.25">
      <c r="A7033" s="14">
        <v>1033820146</v>
      </c>
      <c r="B7033" s="2">
        <v>46162.351896643515</v>
      </c>
      <c r="C7033" s="3" t="str">
        <f>IFERROR(VLOOKUP(A7033,'Base Prueba'!A:C,3,),"NO REGISTRA")</f>
        <v>JULIETH ALEXANDRA BUSTAMANTE RUIZ</v>
      </c>
      <c r="D7033" s="4" t="str">
        <f>IFERROR(VLOOKUP(A7033,'Base Prueba'!A:D,4,),"NO REGISTRA")</f>
        <v>AUXILIAR ADMINISTRATIVO</v>
      </c>
      <c r="E7033" s="5" t="str">
        <f>IFERROR(VLOOKUP(A7033,'Base Prueba'!A:E,5,),"NO REGISTRA")</f>
        <v>REGISTRO Y CONTROL ACADEMICO</v>
      </c>
    </row>
    <row r="7034" spans="1:5" ht="15.75" x14ac:dyDescent="0.25">
      <c r="A7034" s="14">
        <v>52175674</v>
      </c>
      <c r="B7034" s="2">
        <v>46162.362348726849</v>
      </c>
      <c r="C7034" s="3" t="str">
        <f>IFERROR(VLOOKUP(A7034,'Base Prueba'!A:C,3,),"NO REGISTRA")</f>
        <v>LUZ YANETH GOMEZ AREVALO</v>
      </c>
      <c r="D7034" s="4" t="str">
        <f>IFERROR(VLOOKUP(A7034,'Base Prueba'!A:D,4,),"NO REGISTRA")</f>
        <v>COORDINADORA DE ADMISIONES</v>
      </c>
      <c r="E7034" s="5" t="str">
        <f>IFERROR(VLOOKUP(A7034,'Base Prueba'!A:E,5,),"NO REGISTRA")</f>
        <v>OFICINA DE MERCADEO</v>
      </c>
    </row>
    <row r="7035" spans="1:5" ht="15.75" x14ac:dyDescent="0.25">
      <c r="A7035" s="14">
        <v>1018413529</v>
      </c>
      <c r="B7035" s="2">
        <v>46162.36323101852</v>
      </c>
      <c r="C7035" s="3" t="str">
        <f>IFERROR(VLOOKUP(A7035,'Base Prueba'!A:C,3,),"NO REGISTRA")</f>
        <v>FRANCY STELLA CHARRY MORENO</v>
      </c>
      <c r="D7035" s="4" t="str">
        <f>IFERROR(VLOOKUP(A7035,'Base Prueba'!A:D,4,),"NO REGISTRA")</f>
        <v>PROMOTOR COMERCIAL DEL CEA</v>
      </c>
      <c r="E7035" s="5" t="str">
        <f>IFERROR(VLOOKUP(A7035,'Base Prueba'!A:E,5,),"NO REGISTRA")</f>
        <v>OFICINA DE MERCADEO</v>
      </c>
    </row>
    <row r="7036" spans="1:5" ht="15.75" x14ac:dyDescent="0.25">
      <c r="A7036" s="14">
        <v>1033709056</v>
      </c>
      <c r="B7036" s="2">
        <v>46162.363671064813</v>
      </c>
      <c r="C7036" s="3" t="str">
        <f>IFERROR(VLOOKUP(A7036,'Base Prueba'!A:C,3,),"NO REGISTRA")</f>
        <v>YEIMY ALEXANDRA RODRIGUEZ PALACIO</v>
      </c>
      <c r="D7036" s="4" t="str">
        <f>IFERROR(VLOOKUP(A7036,'Base Prueba'!A:D,4,),"NO REGISTRA")</f>
        <v>PROMOTOR CALL CENTER</v>
      </c>
      <c r="E7036" s="5" t="str">
        <f>IFERROR(VLOOKUP(A7036,'Base Prueba'!A:E,5,),"NO REGISTRA")</f>
        <v>OFICINA DE MERCADEO</v>
      </c>
    </row>
    <row r="7037" spans="1:5" ht="15.75" x14ac:dyDescent="0.25">
      <c r="A7037" s="14">
        <v>1014308296</v>
      </c>
      <c r="B7037" s="2">
        <v>46162.367943865742</v>
      </c>
      <c r="C7037" s="3" t="str">
        <f>IFERROR(VLOOKUP(A7037,'Base Prueba'!A:C,3,),"NO REGISTRA")</f>
        <v>DARLENE YULIANA MORENO CELEITA</v>
      </c>
      <c r="D7037" s="4" t="str">
        <f>IFERROR(VLOOKUP(A7037,'Base Prueba'!A:D,4,),"NO REGISTRA")</f>
        <v>CAJERO PRINCIPAL</v>
      </c>
      <c r="E7037" s="5" t="str">
        <f>IFERROR(VLOOKUP(A7037,'Base Prueba'!A:E,5,),"NO REGISTRA")</f>
        <v>AREA FINANCIERA Y CONTABLE</v>
      </c>
    </row>
    <row r="7038" spans="1:5" ht="15.75" x14ac:dyDescent="0.25">
      <c r="A7038" s="14">
        <v>52472386</v>
      </c>
      <c r="B7038" s="2">
        <v>46162.368595370368</v>
      </c>
      <c r="C7038" s="3" t="str">
        <f>IFERROR(VLOOKUP(A7038,'Base Prueba'!A:C,3,),"NO REGISTRA")</f>
        <v>ADRIANA MARCELA MORALES PARDO</v>
      </c>
      <c r="D7038" s="4" t="str">
        <f>IFERROR(VLOOKUP(A7038,'Base Prueba'!A:D,4,),"NO REGISTRA")</f>
        <v>PROMOTOR CALL CENTER</v>
      </c>
      <c r="E7038" s="5" t="str">
        <f>IFERROR(VLOOKUP(A7038,'Base Prueba'!A:E,5,),"NO REGISTRA")</f>
        <v>OFICINA DE MERCADEO</v>
      </c>
    </row>
    <row r="7039" spans="1:5" ht="15.75" x14ac:dyDescent="0.25">
      <c r="A7039" s="14">
        <v>1023961952</v>
      </c>
      <c r="B7039" s="2">
        <v>46162.368714699071</v>
      </c>
      <c r="C7039" s="3" t="str">
        <f>IFERROR(VLOOKUP(A7039,'Base Prueba'!A:C,3,),"NO REGISTRA")</f>
        <v>ALEJANDRO PINZON MERCHAN</v>
      </c>
      <c r="D7039" s="4" t="str">
        <f>IFERROR(VLOOKUP(A7039,'Base Prueba'!A:D,4,),"NO REGISTRA")</f>
        <v>PROMOTOR CALL CENTER</v>
      </c>
      <c r="E7039" s="5" t="str">
        <f>IFERROR(VLOOKUP(A7039,'Base Prueba'!A:E,5,),"NO REGISTRA")</f>
        <v>OFICINA DE MERCADEO</v>
      </c>
    </row>
    <row r="7040" spans="1:5" ht="15.75" x14ac:dyDescent="0.25">
      <c r="A7040" s="14">
        <v>28798349</v>
      </c>
      <c r="B7040" s="2">
        <v>46162.37350833333</v>
      </c>
      <c r="C7040" s="3" t="str">
        <f>IFERROR(VLOOKUP(A7040,'Base Prueba'!A:C,3,),"NO REGISTRA")</f>
        <v>MARTHA ISABEL TOVAR WILLIAMS</v>
      </c>
      <c r="D7040" s="4" t="str">
        <f>IFERROR(VLOOKUP(A7040,'Base Prueba'!A:D,4,),"NO REGISTRA")</f>
        <v>PROMOTOR CALL CENTER</v>
      </c>
      <c r="E7040" s="5" t="str">
        <f>IFERROR(VLOOKUP(A7040,'Base Prueba'!A:E,5,),"NO REGISTRA")</f>
        <v>OFICINA DE MERCADEO</v>
      </c>
    </row>
    <row r="7041" spans="1:5" ht="15.75" x14ac:dyDescent="0.25">
      <c r="A7041" s="14">
        <v>1000593372</v>
      </c>
      <c r="B7041" s="2">
        <v>46162.374730902775</v>
      </c>
      <c r="C7041" s="3" t="str">
        <f>IFERROR(VLOOKUP(A7041,'Base Prueba'!A:C,3,),"NO REGISTRA")</f>
        <v>LAURA SOFIA CHAPARRO LOPEZ</v>
      </c>
      <c r="D7041" s="4" t="str">
        <f>IFERROR(VLOOKUP(A7041,'Base Prueba'!A:D,4,),"NO REGISTRA")</f>
        <v>AUXILIAR JURIDICO</v>
      </c>
      <c r="E7041" s="5" t="str">
        <f>IFERROR(VLOOKUP(A7041,'Base Prueba'!A:E,5,),"NO REGISTRA")</f>
        <v>SECRETARIA GENERAL</v>
      </c>
    </row>
    <row r="7042" spans="1:5" ht="15.75" x14ac:dyDescent="0.25">
      <c r="A7042" s="14">
        <v>1018414290</v>
      </c>
      <c r="B7042" s="2">
        <v>46162.374949074074</v>
      </c>
      <c r="C7042" s="3" t="str">
        <f>IFERROR(VLOOKUP(A7042,'Base Prueba'!A:C,3,),"NO REGISTRA")</f>
        <v>AMANDA LISBETH RODRIGUEZ LEON</v>
      </c>
      <c r="D7042" s="4" t="str">
        <f>IFERROR(VLOOKUP(A7042,'Base Prueba'!A:D,4,),"NO REGISTRA")</f>
        <v>PROMOTOR CALL CENTER</v>
      </c>
      <c r="E7042" s="5" t="str">
        <f>IFERROR(VLOOKUP(A7042,'Base Prueba'!A:E,5,),"NO REGISTRA")</f>
        <v>OFICINA DE MERCADEO</v>
      </c>
    </row>
    <row r="7043" spans="1:5" ht="15.75" x14ac:dyDescent="0.25">
      <c r="A7043" s="14">
        <v>1000046533</v>
      </c>
      <c r="B7043" s="2">
        <v>46162.377309374999</v>
      </c>
      <c r="C7043" s="3" t="str">
        <f>IFERROR(VLOOKUP(A7043,'Base Prueba'!A:C,3,),"NO REGISTRA")</f>
        <v>ERIKA JULIETH VALDERRAMA SANCHEZ</v>
      </c>
      <c r="D7043" s="4" t="str">
        <f>IFERROR(VLOOKUP(A7043,'Base Prueba'!A:D,4,),"NO REGISTRA")</f>
        <v>PROMOTOR CALL CENTER</v>
      </c>
      <c r="E7043" s="5" t="str">
        <f>IFERROR(VLOOKUP(A7043,'Base Prueba'!A:E,5,),"NO REGISTRA")</f>
        <v>OFICINA DE MERCADEO</v>
      </c>
    </row>
    <row r="7044" spans="1:5" ht="15.75" x14ac:dyDescent="0.25">
      <c r="A7044" s="14">
        <v>53089882</v>
      </c>
      <c r="B7044" s="2">
        <v>46162.37736215278</v>
      </c>
      <c r="C7044" s="3" t="str">
        <f>IFERROR(VLOOKUP(A7044,'Base Prueba'!A:C,3,),"NO REGISTRA")</f>
        <v>MARIA JOHANA ESCAMILLA MARTINEZ</v>
      </c>
      <c r="D7044" s="4" t="str">
        <f>IFERROR(VLOOKUP(A7044,'Base Prueba'!A:D,4,),"NO REGISTRA")</f>
        <v>PROMOTOR DE INFORMACIÓN</v>
      </c>
      <c r="E7044" s="5" t="str">
        <f>IFERROR(VLOOKUP(A7044,'Base Prueba'!A:E,5,),"NO REGISTRA")</f>
        <v>OFICINA DE MERCADEO</v>
      </c>
    </row>
    <row r="7045" spans="1:5" ht="15.75" x14ac:dyDescent="0.25">
      <c r="A7045" s="14">
        <v>1016090131</v>
      </c>
      <c r="B7045" s="2">
        <v>46162.37890520833</v>
      </c>
      <c r="C7045" s="3" t="str">
        <f>IFERROR(VLOOKUP(A7045,'Base Prueba'!A:C,3,),"NO REGISTRA")</f>
        <v>NICOLAS RODRIGUEZ PACHECO</v>
      </c>
      <c r="D7045" s="4" t="str">
        <f>IFERROR(VLOOKUP(A7045,'Base Prueba'!A:D,4,),"NO REGISTRA")</f>
        <v>COORDINADOR DE COMUNICACIONES</v>
      </c>
      <c r="E7045" s="5" t="str">
        <f>IFERROR(VLOOKUP(A7045,'Base Prueba'!A:E,5,),"NO REGISTRA")</f>
        <v>OFICINA DE MERCADEO</v>
      </c>
    </row>
    <row r="7046" spans="1:5" ht="15.75" x14ac:dyDescent="0.25">
      <c r="A7046" s="14">
        <v>1012426741</v>
      </c>
      <c r="B7046" s="2">
        <v>46162.380375115739</v>
      </c>
      <c r="C7046" s="3" t="str">
        <f>IFERROR(VLOOKUP(A7046,'Base Prueba'!A:C,3,),"NO REGISTRA")</f>
        <v>CRISTIAN FABIAN ROJAS SANCENO</v>
      </c>
      <c r="D7046" s="4" t="str">
        <f>IFERROR(VLOOKUP(A7046,'Base Prueba'!A:D,4,),"NO REGISTRA")</f>
        <v>AUXILIAR DE REINTEGROS</v>
      </c>
      <c r="E7046" s="5" t="str">
        <f>IFERROR(VLOOKUP(A7046,'Base Prueba'!A:E,5,),"NO REGISTRA")</f>
        <v>DIRECCION DE BIENESTAR INSTITUCIONAL</v>
      </c>
    </row>
    <row r="7047" spans="1:5" ht="15.75" x14ac:dyDescent="0.25">
      <c r="A7047" s="14">
        <v>1023898029</v>
      </c>
      <c r="B7047" s="2">
        <v>46162.392891782409</v>
      </c>
      <c r="C7047" s="3" t="str">
        <f>IFERROR(VLOOKUP(A7047,'Base Prueba'!A:C,3,),"NO REGISTRA")</f>
        <v>EMANUEL ENCISO CAMACHO</v>
      </c>
      <c r="D7047" s="4" t="str">
        <f>IFERROR(VLOOKUP(A7047,'Base Prueba'!A:D,4,),"NO REGISTRA")</f>
        <v>DECANO</v>
      </c>
      <c r="E7047" s="5" t="str">
        <f>IFERROR(VLOOKUP(A7047,'Base Prueba'!A:E,5,),"NO REGISTRA")</f>
        <v>FACULTAD DE COMINICACIÓN PERIODISMO Y ARTES</v>
      </c>
    </row>
    <row r="7048" spans="1:5" ht="15.75" x14ac:dyDescent="0.25">
      <c r="A7048" s="14">
        <v>52443092</v>
      </c>
      <c r="B7048" s="2">
        <v>46162.540953009258</v>
      </c>
      <c r="C7048" s="3" t="str">
        <f>IFERROR(VLOOKUP(A7048,'Base Prueba'!A:C,3,),"NO REGISTRA")</f>
        <v>LUZ MYRIAM SAAVEDRA CONTRERAS</v>
      </c>
      <c r="D7048" s="4" t="str">
        <f>IFERROR(VLOOKUP(A7048,'Base Prueba'!A:D,4,),"NO REGISTRA")</f>
        <v>AUXILIAR DE SERVICIOS</v>
      </c>
      <c r="E7048" s="5" t="str">
        <f>IFERROR(VLOOKUP(A7048,'Base Prueba'!A:E,5,),"NO REGISTRA")</f>
        <v>LOGISTICA Y SERVICIOS GENERALES</v>
      </c>
    </row>
    <row r="7049" spans="1:5" ht="15.75" x14ac:dyDescent="0.25">
      <c r="A7049" s="14">
        <v>1024512067</v>
      </c>
      <c r="B7049" s="2">
        <v>46162.660901620373</v>
      </c>
      <c r="C7049" s="3" t="str">
        <f>IFERROR(VLOOKUP(A7049,'Base Prueba'!A:C,3,),"NO REGISTRA")</f>
        <v>CINDY GIOVANA SALGAR GOMEZ</v>
      </c>
      <c r="D7049" s="4" t="str">
        <f>IFERROR(VLOOKUP(A7049,'Base Prueba'!A:D,4,),"NO REGISTRA")</f>
        <v>COORDINADOR DEL SISTEMA INTEGRADO DE GESTION INSTITUCIONAL - SIGI</v>
      </c>
      <c r="E7049" s="5" t="str">
        <f>IFERROR(VLOOKUP(A7049,'Base Prueba'!A:E,5,),"NO REGISTRA")</f>
        <v>OFICINA DE PLANEACION Y GESTION DE LA CALIDAD</v>
      </c>
    </row>
    <row r="7050" spans="1:5" ht="15.75" x14ac:dyDescent="0.25">
      <c r="A7050" s="14">
        <v>1000992568</v>
      </c>
      <c r="B7050" s="2">
        <v>46162.715448726849</v>
      </c>
      <c r="C7050" s="3" t="str">
        <f>IFERROR(VLOOKUP(A7050,'Base Prueba'!A:C,3,),"NO REGISTRA")</f>
        <v>KAREN BRIGITTE DALEMAN MORENO</v>
      </c>
      <c r="D7050" s="4" t="str">
        <f>IFERROR(VLOOKUP(A7050,'Base Prueba'!A:D,4,),"NO REGISTRA")</f>
        <v>RECEPCIONISTA</v>
      </c>
      <c r="E7050" s="5" t="str">
        <f>IFERROR(VLOOKUP(A7050,'Base Prueba'!A:E,5,),"NO REGISTRA")</f>
        <v>CENTRO DE GESTION DOCUMENTAL</v>
      </c>
    </row>
    <row r="7051" spans="1:5" ht="15.75" x14ac:dyDescent="0.25">
      <c r="A7051" s="14">
        <v>1000324729</v>
      </c>
      <c r="B7051" s="2">
        <v>46162.715962152775</v>
      </c>
      <c r="C7051" s="3" t="str">
        <f>IFERROR(VLOOKUP(A7051,'Base Prueba'!A:C,3,),"NO REGISTRA")</f>
        <v>ANYIE VANESSA TINOCO CAMACHO</v>
      </c>
      <c r="D7051" s="4" t="str">
        <f>IFERROR(VLOOKUP(A7051,'Base Prueba'!A:D,4,),"NO REGISTRA")</f>
        <v>LIDER DE REGISTRO Y CONTROL</v>
      </c>
      <c r="E7051" s="5" t="str">
        <f>IFERROR(VLOOKUP(A7051,'Base Prueba'!A:E,5,),"NO REGISTRA")</f>
        <v>REGISTRO Y CONTROL ACADEMICO</v>
      </c>
    </row>
    <row r="7052" spans="1:5" ht="15.75" x14ac:dyDescent="0.25">
      <c r="A7052" s="14">
        <v>1024505434</v>
      </c>
      <c r="B7052" s="2">
        <v>46162.720514004628</v>
      </c>
      <c r="C7052" s="3" t="str">
        <f>IFERROR(VLOOKUP(A7052,'Base Prueba'!A:C,3,),"NO REGISTRA")</f>
        <v>CRISTIAN ALBERTO MELO TORRES</v>
      </c>
      <c r="D7052" s="4" t="str">
        <f>IFERROR(VLOOKUP(A7052,'Base Prueba'!A:D,4,),"NO REGISTRA")</f>
        <v>COORDINADOR DE INFRAESTRUCTURA</v>
      </c>
      <c r="E7052" s="5" t="str">
        <f>IFERROR(VLOOKUP(A7052,'Base Prueba'!A:E,5,),"NO REGISTRA")</f>
        <v>VICERRECTORIA ADMINISTRATIVA Y FINANCIERA</v>
      </c>
    </row>
    <row r="7053" spans="1:5" ht="15.75" x14ac:dyDescent="0.25">
      <c r="A7053" s="14">
        <v>79872151</v>
      </c>
      <c r="B7053" s="2">
        <v>46162.734723842594</v>
      </c>
      <c r="C7053" s="3" t="str">
        <f>IFERROR(VLOOKUP(A7053,'Base Prueba'!A:C,3,),"NO REGISTRA")</f>
        <v>HECTOR ALIRIO MARTINEZ TORRES</v>
      </c>
      <c r="D7053" s="4" t="str">
        <f>IFERROR(VLOOKUP(A7053,'Base Prueba'!A:D,4,),"NO REGISTRA")</f>
        <v>DOCENTE DE TIEMPO COMPLETO</v>
      </c>
      <c r="E7053" s="5" t="str">
        <f>IFERROR(VLOOKUP(A7053,'Base Prueba'!A:E,5,),"NO REGISTRA")</f>
        <v>CIENCIAS DE LA INFORMACION Y BIBLIOTECOLOGIA</v>
      </c>
    </row>
    <row r="7054" spans="1:5" ht="15.75" x14ac:dyDescent="0.25">
      <c r="A7054" s="14">
        <v>1000611958</v>
      </c>
      <c r="B7054" s="2">
        <v>46162.744361458332</v>
      </c>
      <c r="C7054" s="3" t="str">
        <f>IFERROR(VLOOKUP(A7054,'Base Prueba'!A:C,3,),"NO REGISTRA")</f>
        <v>TYLER CORRADINE  VARGAS</v>
      </c>
      <c r="D7054" s="4" t="str">
        <f>IFERROR(VLOOKUP(A7054,'Base Prueba'!A:D,4,),"NO REGISTRA")</f>
        <v>APRENDIZ UNIVERSITARIO</v>
      </c>
      <c r="E7054" s="5" t="str">
        <f>IFERROR(VLOOKUP(A7054,'Base Prueba'!A:E,5,),"NO REGISTRA")</f>
        <v>DEPARTAMENTO DE INFORMATICA Y TECNOLOGIA</v>
      </c>
    </row>
    <row r="7055" spans="1:5" ht="15.75" x14ac:dyDescent="0.25">
      <c r="A7055" s="14">
        <v>1013098430</v>
      </c>
      <c r="B7055" s="2">
        <v>46162.748595717596</v>
      </c>
      <c r="C7055" s="3" t="str">
        <f>IFERROR(VLOOKUP(A7055,'Base Prueba'!A:C,3,),"NO REGISTRA")</f>
        <v>ANDRES FELIPE LOPEZ ROMERO</v>
      </c>
      <c r="D7055" s="4" t="str">
        <f>IFERROR(VLOOKUP(A7055,'Base Prueba'!A:D,4,),"NO REGISTRA")</f>
        <v>APRENDIZ UNIVERSITARIO</v>
      </c>
      <c r="E7055" s="5" t="str">
        <f>IFERROR(VLOOKUP(A7055,'Base Prueba'!A:E,5,),"NO REGISTRA")</f>
        <v>OFICINA DE MERCADEO</v>
      </c>
    </row>
    <row r="7056" spans="1:5" ht="15.75" x14ac:dyDescent="0.25">
      <c r="A7056" s="14">
        <v>1022996882</v>
      </c>
      <c r="B7056" s="2">
        <v>46162.750946874999</v>
      </c>
      <c r="C7056" s="3" t="str">
        <f>IFERROR(VLOOKUP(A7056,'Base Prueba'!A:C,3,),"NO REGISTRA")</f>
        <v>NANCY BRIGITH ALDANA GUEVARA</v>
      </c>
      <c r="D7056" s="4" t="str">
        <f>IFERROR(VLOOKUP(A7056,'Base Prueba'!A:D,4,),"NO REGISTRA")</f>
        <v>COORDINADORA DE GESTIÓN HUMANA</v>
      </c>
      <c r="E7056" s="5" t="str">
        <f>IFERROR(VLOOKUP(A7056,'Base Prueba'!A:E,5,),"NO REGISTRA")</f>
        <v>DEPARTAMENTO DE GESTION HUMANA</v>
      </c>
    </row>
    <row r="7057" spans="1:5" ht="15.75" x14ac:dyDescent="0.25">
      <c r="A7057" s="14">
        <v>52225539</v>
      </c>
      <c r="B7057" s="2">
        <v>46162.750959722223</v>
      </c>
      <c r="C7057" s="3" t="str">
        <f>IFERROR(VLOOKUP(A7057,'Base Prueba'!A:C,3,),"NO REGISTRA")</f>
        <v>LISA MINELLY ZAMBRANO CONTRERAS</v>
      </c>
      <c r="D7057" s="4" t="str">
        <f>IFERROR(VLOOKUP(A7057,'Base Prueba'!A:D,4,),"NO REGISTRA")</f>
        <v>LIDER DE COMPRAS</v>
      </c>
      <c r="E7057" s="5" t="str">
        <f>IFERROR(VLOOKUP(A7057,'Base Prueba'!A:E,5,),"NO REGISTRA")</f>
        <v>VICERRECTORIA ADMINISTRATIVA Y FINANCIERA</v>
      </c>
    </row>
    <row r="7058" spans="1:5" ht="15.75" x14ac:dyDescent="0.25">
      <c r="A7058" s="14">
        <v>1033820146</v>
      </c>
      <c r="B7058" s="2">
        <v>46162.752187268517</v>
      </c>
      <c r="C7058" s="3" t="str">
        <f>IFERROR(VLOOKUP(A7058,'Base Prueba'!A:C,3,),"NO REGISTRA")</f>
        <v>JULIETH ALEXANDRA BUSTAMANTE RUIZ</v>
      </c>
      <c r="D7058" s="4" t="str">
        <f>IFERROR(VLOOKUP(A7058,'Base Prueba'!A:D,4,),"NO REGISTRA")</f>
        <v>AUXILIAR ADMINISTRATIVO</v>
      </c>
      <c r="E7058" s="5" t="str">
        <f>IFERROR(VLOOKUP(A7058,'Base Prueba'!A:E,5,),"NO REGISTRA")</f>
        <v>REGISTRO Y CONTROL ACADEMICO</v>
      </c>
    </row>
    <row r="7059" spans="1:5" ht="15.75" x14ac:dyDescent="0.25">
      <c r="A7059" s="14">
        <v>1049644802</v>
      </c>
      <c r="B7059" s="2">
        <v>46162.753027199076</v>
      </c>
      <c r="C7059" s="3" t="str">
        <f>IFERROR(VLOOKUP(A7059,'Base Prueba'!A:C,3,),"NO REGISTRA")</f>
        <v>DANIELA ALEXANDRA CIPAMOCHA BOSIGA</v>
      </c>
      <c r="D7059" s="4" t="str">
        <f>IFERROR(VLOOKUP(A7059,'Base Prueba'!A:D,4,),"NO REGISTRA")</f>
        <v>LIDER DE DATOS Y SERVICIOS</v>
      </c>
      <c r="E7059" s="5" t="str">
        <f>IFERROR(VLOOKUP(A7059,'Base Prueba'!A:E,5,),"NO REGISTRA")</f>
        <v>OFICINA DE PLANEACION Y GESTION DE LA CALIDAD</v>
      </c>
    </row>
    <row r="7060" spans="1:5" ht="15.75" x14ac:dyDescent="0.25">
      <c r="A7060" s="14">
        <v>1193457976</v>
      </c>
      <c r="B7060" s="2">
        <v>46162.754086574074</v>
      </c>
      <c r="C7060" s="3" t="str">
        <f>IFERROR(VLOOKUP(A7060,'Base Prueba'!A:C,3,),"NO REGISTRA")</f>
        <v>SEDENIS RIVAS ASPRILLA</v>
      </c>
      <c r="D7060" s="4" t="str">
        <f>IFERROR(VLOOKUP(A7060,'Base Prueba'!A:D,4,),"NO REGISTRA")</f>
        <v>APRENDIZ UNIVERSITARIO</v>
      </c>
      <c r="E7060" s="5" t="str">
        <f>IFERROR(VLOOKUP(A7060,'Base Prueba'!A:E,5,),"NO REGISTRA")</f>
        <v>DEPARTAMENTO DE GESTION HUMANA</v>
      </c>
    </row>
    <row r="7061" spans="1:5" ht="15.75" x14ac:dyDescent="0.25">
      <c r="A7061" s="14">
        <v>1014308296</v>
      </c>
      <c r="B7061" s="2">
        <v>46162.754822222225</v>
      </c>
      <c r="C7061" s="3" t="str">
        <f>IFERROR(VLOOKUP(A7061,'Base Prueba'!A:C,3,),"NO REGISTRA")</f>
        <v>DARLENE YULIANA MORENO CELEITA</v>
      </c>
      <c r="D7061" s="4" t="str">
        <f>IFERROR(VLOOKUP(A7061,'Base Prueba'!A:D,4,),"NO REGISTRA")</f>
        <v>CAJERO PRINCIPAL</v>
      </c>
      <c r="E7061" s="5" t="str">
        <f>IFERROR(VLOOKUP(A7061,'Base Prueba'!A:E,5,),"NO REGISTRA")</f>
        <v>AREA FINANCIERA Y CONTABLE</v>
      </c>
    </row>
    <row r="7062" spans="1:5" ht="15.75" x14ac:dyDescent="0.25">
      <c r="A7062" s="14">
        <v>1000467399</v>
      </c>
      <c r="B7062" s="2">
        <v>46162.755975462962</v>
      </c>
      <c r="C7062" s="3" t="str">
        <f>IFERROR(VLOOKUP(A7062,'Base Prueba'!A:C,3,),"NO REGISTRA")</f>
        <v>BRANDO ESTIVEN DIAZ QUIMBAYA</v>
      </c>
      <c r="D7062" s="4" t="str">
        <f>IFERROR(VLOOKUP(A7062,'Base Prueba'!A:D,4,),"NO REGISTRA")</f>
        <v>APRENDIZ UNIVERSITARIO</v>
      </c>
      <c r="E7062" s="5" t="str">
        <f>IFERROR(VLOOKUP(A7062,'Base Prueba'!A:E,5,),"NO REGISTRA")</f>
        <v>DEPARTAMENTO DE GESTION HUMANA</v>
      </c>
    </row>
    <row r="7063" spans="1:5" ht="15.75" x14ac:dyDescent="0.25">
      <c r="A7063" s="14">
        <v>1000257136</v>
      </c>
      <c r="B7063" s="2">
        <v>46162.75701828704</v>
      </c>
      <c r="C7063" s="3" t="str">
        <f>IFERROR(VLOOKUP(A7063,'Base Prueba'!A:C,3,),"NO REGISTRA")</f>
        <v>FRANCI VALENTINA CANO PUENTES</v>
      </c>
      <c r="D7063" s="4" t="str">
        <f>IFERROR(VLOOKUP(A7063,'Base Prueba'!A:D,4,),"NO REGISTRA")</f>
        <v>AUXILIAR CONTABLE</v>
      </c>
      <c r="E7063" s="5" t="str">
        <f>IFERROR(VLOOKUP(A7063,'Base Prueba'!A:E,5,),"NO REGISTRA")</f>
        <v>AREA FINANCIERA Y CONTABLE</v>
      </c>
    </row>
    <row r="7064" spans="1:5" ht="15.75" x14ac:dyDescent="0.25">
      <c r="A7064" s="14">
        <v>1032410833</v>
      </c>
      <c r="B7064" s="2">
        <v>46162.757401620373</v>
      </c>
      <c r="C7064" s="3" t="str">
        <f>IFERROR(VLOOKUP(A7064,'Base Prueba'!A:C,3,),"NO REGISTRA")</f>
        <v>DIANA PAOLA MONTAÑEZ GONZALEZ</v>
      </c>
      <c r="D7064" s="4" t="str">
        <f>IFERROR(VLOOKUP(A7064,'Base Prueba'!A:D,4,),"NO REGISTRA")</f>
        <v>APRENDIZ UNIVERSITARIO</v>
      </c>
      <c r="E7064" s="5" t="str">
        <f>IFERROR(VLOOKUP(A7064,'Base Prueba'!A:E,5,),"NO REGISTRA")</f>
        <v>AREA FINANCIERA Y CONTABLE</v>
      </c>
    </row>
    <row r="7065" spans="1:5" ht="15.75" x14ac:dyDescent="0.25">
      <c r="A7065" s="14">
        <v>1023883232</v>
      </c>
      <c r="B7065" s="2">
        <v>46162.758603935188</v>
      </c>
      <c r="C7065" s="3" t="str">
        <f>IFERROR(VLOOKUP(A7065,'Base Prueba'!A:C,3,),"NO REGISTRA")</f>
        <v>MONICA ANDREA ACERO URBANO</v>
      </c>
      <c r="D7065" s="4" t="str">
        <f>IFERROR(VLOOKUP(A7065,'Base Prueba'!A:D,4,),"NO REGISTRA")</f>
        <v>APOYO INTEGRAL A GESTION HUMANA</v>
      </c>
      <c r="E7065" s="5" t="str">
        <f>IFERROR(VLOOKUP(A7065,'Base Prueba'!A:E,5,),"NO REGISTRA")</f>
        <v>DEPARTAMENTO DE GESTION HUMANA</v>
      </c>
    </row>
    <row r="7066" spans="1:5" ht="15.75" x14ac:dyDescent="0.25">
      <c r="A7066" s="14">
        <v>1087121273</v>
      </c>
      <c r="B7066" s="2">
        <v>46162.75868958333</v>
      </c>
      <c r="C7066" s="3" t="str">
        <f>IFERROR(VLOOKUP(A7066,'Base Prueba'!A:C,3,),"NO REGISTRA")</f>
        <v>MAYRA ALEJANDRA CASTILLO ARBOLEDA</v>
      </c>
      <c r="D7066" s="4" t="str">
        <f>IFERROR(VLOOKUP(A7066,'Base Prueba'!A:D,4,),"NO REGISTRA")</f>
        <v>APOYO INTEGRAL DE MERCADEO</v>
      </c>
      <c r="E7066" s="5" t="str">
        <f>IFERROR(VLOOKUP(A7066,'Base Prueba'!A:E,5,),"NO REGISTRA")</f>
        <v>CENTRO DE GESTION DOCUMENTAL</v>
      </c>
    </row>
    <row r="7067" spans="1:5" ht="15.75" x14ac:dyDescent="0.25">
      <c r="A7067" s="14">
        <v>53932358</v>
      </c>
      <c r="B7067" s="2">
        <v>46162.76312152778</v>
      </c>
      <c r="C7067" s="3" t="str">
        <f>IFERROR(VLOOKUP(A7067,'Base Prueba'!A:C,3,),"NO REGISTRA")</f>
        <v>DIANA MADELEYNE GAONA RODRIGUEZ</v>
      </c>
      <c r="D7067" s="4" t="str">
        <f>IFERROR(VLOOKUP(A7067,'Base Prueba'!A:D,4,),"NO REGISTRA")</f>
        <v>CONTADOR</v>
      </c>
      <c r="E7067" s="5" t="str">
        <f>IFERROR(VLOOKUP(A7067,'Base Prueba'!A:E,5,),"NO REGISTRA")</f>
        <v>AREA FINANCIERA Y CONTABLE</v>
      </c>
    </row>
    <row r="7068" spans="1:5" ht="15.75" x14ac:dyDescent="0.25">
      <c r="A7068" s="14">
        <v>52175674</v>
      </c>
      <c r="B7068" s="2">
        <v>46162.76358460648</v>
      </c>
      <c r="C7068" s="3" t="str">
        <f>IFERROR(VLOOKUP(A7068,'Base Prueba'!A:C,3,),"NO REGISTRA")</f>
        <v>LUZ YANETH GOMEZ AREVALO</v>
      </c>
      <c r="D7068" s="4" t="str">
        <f>IFERROR(VLOOKUP(A7068,'Base Prueba'!A:D,4,),"NO REGISTRA")</f>
        <v>COORDINADORA DE ADMISIONES</v>
      </c>
      <c r="E7068" s="5" t="str">
        <f>IFERROR(VLOOKUP(A7068,'Base Prueba'!A:E,5,),"NO REGISTRA")</f>
        <v>OFICINA DE MERCADEO</v>
      </c>
    </row>
    <row r="7069" spans="1:5" ht="15.75" x14ac:dyDescent="0.25">
      <c r="A7069" s="14">
        <v>80191732</v>
      </c>
      <c r="B7069" s="2">
        <v>46162.764334722226</v>
      </c>
      <c r="C7069" s="3" t="str">
        <f>IFERROR(VLOOKUP(A7069,'Base Prueba'!A:C,3,),"NO REGISTRA")</f>
        <v>DANIEL MAURICIO ZAMBRANO TUNJANO</v>
      </c>
      <c r="D7069" s="4" t="str">
        <f>IFERROR(VLOOKUP(A7069,'Base Prueba'!A:D,4,),"NO REGISTRA")</f>
        <v>COORDINADOR DE DISEÑO E IMAGEN INSTITUCIONAL</v>
      </c>
      <c r="E7069" s="5" t="str">
        <f>IFERROR(VLOOKUP(A7069,'Base Prueba'!A:E,5,),"NO REGISTRA")</f>
        <v>OFICINA DE MERCADEO</v>
      </c>
    </row>
    <row r="7070" spans="1:5" ht="15.75" x14ac:dyDescent="0.25">
      <c r="A7070" s="14">
        <v>1000457706</v>
      </c>
      <c r="B7070" s="2">
        <v>46162.766799421297</v>
      </c>
      <c r="C7070" s="3" t="str">
        <f>IFERROR(VLOOKUP(A7070,'Base Prueba'!A:C,3,),"NO REGISTRA")</f>
        <v>CRISTIAN DANILO ARROYO SANABRIA</v>
      </c>
      <c r="D7070" s="4" t="str">
        <f>IFERROR(VLOOKUP(A7070,'Base Prueba'!A:D,4,),"NO REGISTRA")</f>
        <v>AUXILIAR CONTABLE</v>
      </c>
      <c r="E7070" s="5" t="str">
        <f>IFERROR(VLOOKUP(A7070,'Base Prueba'!A:E,5,),"NO REGISTRA")</f>
        <v>AREA FINANCIERA Y CONTABLE</v>
      </c>
    </row>
    <row r="7071" spans="1:5" ht="15.75" x14ac:dyDescent="0.25">
      <c r="A7071" s="14">
        <v>1014266838</v>
      </c>
      <c r="B7071" s="2">
        <v>46162.766983564812</v>
      </c>
      <c r="C7071" s="3" t="str">
        <f>IFERROR(VLOOKUP(A7071,'Base Prueba'!A:C,3,),"NO REGISTRA")</f>
        <v>JENNIFER ASTRID ROMERO HURTADO</v>
      </c>
      <c r="D7071" s="4" t="str">
        <f>IFERROR(VLOOKUP(A7071,'Base Prueba'!A:D,4,),"NO REGISTRA")</f>
        <v>LIDER DE RECAUDO</v>
      </c>
      <c r="E7071" s="5" t="str">
        <f>IFERROR(VLOOKUP(A7071,'Base Prueba'!A:E,5,),"NO REGISTRA")</f>
        <v>AREA FINANCIERA Y CONTABLE</v>
      </c>
    </row>
    <row r="7072" spans="1:5" ht="15.75" x14ac:dyDescent="0.25">
      <c r="A7072" s="14">
        <v>1013616244</v>
      </c>
      <c r="B7072" s="2">
        <v>46162.768446412039</v>
      </c>
      <c r="C7072" s="3" t="str">
        <f>IFERROR(VLOOKUP(A7072,'Base Prueba'!A:C,3,),"NO REGISTRA")</f>
        <v>DIANA CAROLINA MARIN BETANCOURT</v>
      </c>
      <c r="D7072" s="4" t="str">
        <f>IFERROR(VLOOKUP(A7072,'Base Prueba'!A:D,4,),"NO REGISTRA")</f>
        <v>AUXILIAR ADMINISTRATIVO</v>
      </c>
      <c r="E7072" s="5" t="str">
        <f>IFERROR(VLOOKUP(A7072,'Base Prueba'!A:E,5,),"NO REGISTRA")</f>
        <v>REGISTRO Y CONTROL ACADEMICO</v>
      </c>
    </row>
    <row r="7073" spans="1:5" ht="15.75" x14ac:dyDescent="0.25">
      <c r="A7073" s="14">
        <v>1000604979</v>
      </c>
      <c r="B7073" s="2">
        <v>46162.768661921298</v>
      </c>
      <c r="C7073" s="3" t="str">
        <f>IFERROR(VLOOKUP(A7073,'Base Prueba'!A:C,3,),"NO REGISTRA")</f>
        <v>JULIETH TATIANA PARDO PINTO</v>
      </c>
      <c r="D7073" s="4" t="str">
        <f>IFERROR(VLOOKUP(A7073,'Base Prueba'!A:D,4,),"NO REGISTRA")</f>
        <v>AUXILIAR JURIDICO</v>
      </c>
      <c r="E7073" s="5" t="str">
        <f>IFERROR(VLOOKUP(A7073,'Base Prueba'!A:E,5,),"NO REGISTRA")</f>
        <v>SECRETARIA GENERAL</v>
      </c>
    </row>
    <row r="7074" spans="1:5" ht="15.75" x14ac:dyDescent="0.25">
      <c r="A7074" s="14">
        <v>1000593372</v>
      </c>
      <c r="B7074" s="2">
        <v>46162.768697569445</v>
      </c>
      <c r="C7074" s="3" t="str">
        <f>IFERROR(VLOOKUP(A7074,'Base Prueba'!A:C,3,),"NO REGISTRA")</f>
        <v>LAURA SOFIA CHAPARRO LOPEZ</v>
      </c>
      <c r="D7074" s="4" t="str">
        <f>IFERROR(VLOOKUP(A7074,'Base Prueba'!A:D,4,),"NO REGISTRA")</f>
        <v>AUXILIAR JURIDICO</v>
      </c>
      <c r="E7074" s="5" t="str">
        <f>IFERROR(VLOOKUP(A7074,'Base Prueba'!A:E,5,),"NO REGISTRA")</f>
        <v>SECRETARIA GENERAL</v>
      </c>
    </row>
    <row r="7075" spans="1:5" ht="15.75" x14ac:dyDescent="0.25">
      <c r="A7075" s="14">
        <v>1012426741</v>
      </c>
      <c r="B7075" s="2">
        <v>46162.770871180554</v>
      </c>
      <c r="C7075" s="3" t="str">
        <f>IFERROR(VLOOKUP(A7075,'Base Prueba'!A:C,3,),"NO REGISTRA")</f>
        <v>CRISTIAN FABIAN ROJAS SANCENO</v>
      </c>
      <c r="D7075" s="4" t="str">
        <f>IFERROR(VLOOKUP(A7075,'Base Prueba'!A:D,4,),"NO REGISTRA")</f>
        <v>AUXILIAR DE REINTEGROS</v>
      </c>
      <c r="E7075" s="5" t="str">
        <f>IFERROR(VLOOKUP(A7075,'Base Prueba'!A:E,5,),"NO REGISTRA")</f>
        <v>DIRECCION DE BIENESTAR INSTITUCIONAL</v>
      </c>
    </row>
    <row r="7076" spans="1:5" ht="15.75" x14ac:dyDescent="0.25">
      <c r="A7076" s="14">
        <v>1023961952</v>
      </c>
      <c r="B7076" s="2">
        <v>46162.776303587962</v>
      </c>
      <c r="C7076" s="3" t="str">
        <f>IFERROR(VLOOKUP(A7076,'Base Prueba'!A:C,3,),"NO REGISTRA")</f>
        <v>ALEJANDRO PINZON MERCHAN</v>
      </c>
      <c r="D7076" s="4" t="str">
        <f>IFERROR(VLOOKUP(A7076,'Base Prueba'!A:D,4,),"NO REGISTRA")</f>
        <v>PROMOTOR CALL CENTER</v>
      </c>
      <c r="E7076" s="5" t="str">
        <f>IFERROR(VLOOKUP(A7076,'Base Prueba'!A:E,5,),"NO REGISTRA")</f>
        <v>OFICINA DE MERCADEO</v>
      </c>
    </row>
    <row r="7077" spans="1:5" ht="15.75" x14ac:dyDescent="0.25">
      <c r="A7077" s="14">
        <v>28798349</v>
      </c>
      <c r="B7077" s="2">
        <v>46162.777008449077</v>
      </c>
      <c r="C7077" s="3" t="str">
        <f>IFERROR(VLOOKUP(A7077,'Base Prueba'!A:C,3,),"NO REGISTRA")</f>
        <v>MARTHA ISABEL TOVAR WILLIAMS</v>
      </c>
      <c r="D7077" s="4" t="str">
        <f>IFERROR(VLOOKUP(A7077,'Base Prueba'!A:D,4,),"NO REGISTRA")</f>
        <v>PROMOTOR CALL CENTER</v>
      </c>
      <c r="E7077" s="5" t="str">
        <f>IFERROR(VLOOKUP(A7077,'Base Prueba'!A:E,5,),"NO REGISTRA")</f>
        <v>OFICINA DE MERCADEO</v>
      </c>
    </row>
    <row r="7078" spans="1:5" ht="15.75" x14ac:dyDescent="0.25">
      <c r="A7078" s="14">
        <v>52472386</v>
      </c>
      <c r="B7078" s="2">
        <v>46162.777082638888</v>
      </c>
      <c r="C7078" s="3" t="str">
        <f>IFERROR(VLOOKUP(A7078,'Base Prueba'!A:C,3,),"NO REGISTRA")</f>
        <v>ADRIANA MARCELA MORALES PARDO</v>
      </c>
      <c r="D7078" s="4" t="str">
        <f>IFERROR(VLOOKUP(A7078,'Base Prueba'!A:D,4,),"NO REGISTRA")</f>
        <v>PROMOTOR CALL CENTER</v>
      </c>
      <c r="E7078" s="5" t="str">
        <f>IFERROR(VLOOKUP(A7078,'Base Prueba'!A:E,5,),"NO REGISTRA")</f>
        <v>OFICINA DE MERCADEO</v>
      </c>
    </row>
    <row r="7079" spans="1:5" ht="15.75" x14ac:dyDescent="0.25">
      <c r="A7079" s="14">
        <v>1032407386</v>
      </c>
      <c r="B7079" s="2">
        <v>46162.777908217591</v>
      </c>
      <c r="C7079" s="3" t="str">
        <f>IFERROR(VLOOKUP(A7079,'Base Prueba'!A:C,3,),"NO REGISTRA")</f>
        <v>GINA PAOLA BAEZ GALVIS</v>
      </c>
      <c r="D7079" s="4" t="str">
        <f>IFERROR(VLOOKUP(A7079,'Base Prueba'!A:D,4,),"NO REGISTRA")</f>
        <v>PROMOTOR CALL CENTER</v>
      </c>
      <c r="E7079" s="5" t="str">
        <f>IFERROR(VLOOKUP(A7079,'Base Prueba'!A:E,5,),"NO REGISTRA")</f>
        <v>OFICINA DE MERCADEO</v>
      </c>
    </row>
    <row r="7080" spans="1:5" ht="15.75" x14ac:dyDescent="0.25">
      <c r="A7080" s="14">
        <v>1000046533</v>
      </c>
      <c r="B7080" s="2">
        <v>46162.777935532409</v>
      </c>
      <c r="C7080" s="3" t="str">
        <f>IFERROR(VLOOKUP(A7080,'Base Prueba'!A:C,3,),"NO REGISTRA")</f>
        <v>ERIKA JULIETH VALDERRAMA SANCHEZ</v>
      </c>
      <c r="D7080" s="4" t="str">
        <f>IFERROR(VLOOKUP(A7080,'Base Prueba'!A:D,4,),"NO REGISTRA")</f>
        <v>PROMOTOR CALL CENTER</v>
      </c>
      <c r="E7080" s="5" t="str">
        <f>IFERROR(VLOOKUP(A7080,'Base Prueba'!A:E,5,),"NO REGISTRA")</f>
        <v>OFICINA DE MERCADEO</v>
      </c>
    </row>
    <row r="7081" spans="1:5" ht="15.75" x14ac:dyDescent="0.25">
      <c r="A7081" s="14">
        <v>1018414290</v>
      </c>
      <c r="B7081" s="2">
        <v>46162.778171874997</v>
      </c>
      <c r="C7081" s="3" t="str">
        <f>IFERROR(VLOOKUP(A7081,'Base Prueba'!A:C,3,),"NO REGISTRA")</f>
        <v>AMANDA LISBETH RODRIGUEZ LEON</v>
      </c>
      <c r="D7081" s="4" t="str">
        <f>IFERROR(VLOOKUP(A7081,'Base Prueba'!A:D,4,),"NO REGISTRA")</f>
        <v>PROMOTOR CALL CENTER</v>
      </c>
      <c r="E7081" s="5" t="str">
        <f>IFERROR(VLOOKUP(A7081,'Base Prueba'!A:E,5,),"NO REGISTRA")</f>
        <v>OFICINA DE MERCADEO</v>
      </c>
    </row>
    <row r="7082" spans="1:5" ht="15.75" x14ac:dyDescent="0.25">
      <c r="A7082" s="14">
        <v>1033709056</v>
      </c>
      <c r="B7082" s="2">
        <v>46162.785291666667</v>
      </c>
      <c r="C7082" s="3" t="str">
        <f>IFERROR(VLOOKUP(A7082,'Base Prueba'!A:C,3,),"NO REGISTRA")</f>
        <v>YEIMY ALEXANDRA RODRIGUEZ PALACIO</v>
      </c>
      <c r="D7082" s="4" t="str">
        <f>IFERROR(VLOOKUP(A7082,'Base Prueba'!A:D,4,),"NO REGISTRA")</f>
        <v>PROMOTOR CALL CENTER</v>
      </c>
      <c r="E7082" s="5" t="str">
        <f>IFERROR(VLOOKUP(A7082,'Base Prueba'!A:E,5,),"NO REGISTRA")</f>
        <v>OFICINA DE MERCADEO</v>
      </c>
    </row>
    <row r="7083" spans="1:5" ht="15.75" x14ac:dyDescent="0.25">
      <c r="A7083" s="14">
        <v>53089882</v>
      </c>
      <c r="B7083" s="2">
        <v>46162.785476504629</v>
      </c>
      <c r="C7083" s="3" t="str">
        <f>IFERROR(VLOOKUP(A7083,'Base Prueba'!A:C,3,),"NO REGISTRA")</f>
        <v>MARIA JOHANA ESCAMILLA MARTINEZ</v>
      </c>
      <c r="D7083" s="4" t="str">
        <f>IFERROR(VLOOKUP(A7083,'Base Prueba'!A:D,4,),"NO REGISTRA")</f>
        <v>PROMOTOR DE INFORMACIÓN</v>
      </c>
      <c r="E7083" s="5" t="str">
        <f>IFERROR(VLOOKUP(A7083,'Base Prueba'!A:E,5,),"NO REGISTRA")</f>
        <v>OFICINA DE MERCADEO</v>
      </c>
    </row>
    <row r="7084" spans="1:5" ht="15.75" x14ac:dyDescent="0.25">
      <c r="A7084" s="14">
        <v>1018413529</v>
      </c>
      <c r="B7084" s="2">
        <v>46162.785538773147</v>
      </c>
      <c r="C7084" s="3" t="str">
        <f>IFERROR(VLOOKUP(A7084,'Base Prueba'!A:C,3,),"NO REGISTRA")</f>
        <v>FRANCY STELLA CHARRY MORENO</v>
      </c>
      <c r="D7084" s="4" t="str">
        <f>IFERROR(VLOOKUP(A7084,'Base Prueba'!A:D,4,),"NO REGISTRA")</f>
        <v>PROMOTOR COMERCIAL DEL CEA</v>
      </c>
      <c r="E7084" s="5" t="str">
        <f>IFERROR(VLOOKUP(A7084,'Base Prueba'!A:E,5,),"NO REGISTRA")</f>
        <v>OFICINA DE MERCADEO</v>
      </c>
    </row>
    <row r="7085" spans="1:5" ht="15.75" x14ac:dyDescent="0.25">
      <c r="A7085" s="14">
        <v>52474489</v>
      </c>
      <c r="B7085" s="2">
        <v>46162.793219444444</v>
      </c>
      <c r="C7085" s="3" t="str">
        <f>IFERROR(VLOOKUP(A7085,'Base Prueba'!A:C,3,),"NO REGISTRA")</f>
        <v>ADRIANA JIMENA SOTO BOCANEGRA</v>
      </c>
      <c r="D7085" s="4" t="str">
        <f>IFERROR(VLOOKUP(A7085,'Base Prueba'!A:D,4,),"NO REGISTRA")</f>
        <v>COORDINADOR DE LA OFICINA DE REGISTRO Y CONTROL</v>
      </c>
      <c r="E7085" s="5" t="str">
        <f>IFERROR(VLOOKUP(A7085,'Base Prueba'!A:E,5,),"NO REGISTRA")</f>
        <v>REGISTRO Y CONTROL ACADEMICO</v>
      </c>
    </row>
    <row r="7086" spans="1:5" ht="15.75" x14ac:dyDescent="0.25">
      <c r="A7086" s="14">
        <v>1032469638</v>
      </c>
      <c r="B7086" s="2">
        <v>46162.806707060183</v>
      </c>
      <c r="C7086" s="3" t="str">
        <f>IFERROR(VLOOKUP(A7086,'Base Prueba'!A:C,3,),"NO REGISTRA")</f>
        <v>MAICOL JARBEY GUALTEROS CASTAÑEDA</v>
      </c>
      <c r="D7086" s="4" t="str">
        <f>IFERROR(VLOOKUP(A7086,'Base Prueba'!A:D,4,),"NO REGISTRA")</f>
        <v>COORDINADOR DEL SISTEMA INTERNO DE ASEGURAMIENTO DE LA CALIDAD - SIAC</v>
      </c>
      <c r="E7086" s="5" t="str">
        <f>IFERROR(VLOOKUP(A7086,'Base Prueba'!A:E,5,),"NO REGISTRA")</f>
        <v>OFICINA DE PLANEACION Y GESTION DE LA CALIDAD</v>
      </c>
    </row>
    <row r="7087" spans="1:5" ht="15.75" x14ac:dyDescent="0.25">
      <c r="A7087" s="14">
        <v>1014196857</v>
      </c>
      <c r="B7087" s="2">
        <v>46162.834442013889</v>
      </c>
      <c r="C7087" s="3" t="str">
        <f>IFERROR(VLOOKUP(A7087,'Base Prueba'!A:C,3,),"NO REGISTRA")</f>
        <v>CARLOS ANDRES JIMENEZ PARDO</v>
      </c>
      <c r="D7087" s="4" t="str">
        <f>IFERROR(VLOOKUP(A7087,'Base Prueba'!A:D,4,),"NO REGISTRA")</f>
        <v>COORDINADOR DE MARKETING DIGITAL</v>
      </c>
      <c r="E7087" s="5" t="str">
        <f>IFERROR(VLOOKUP(A7087,'Base Prueba'!A:E,5,),"NO REGISTRA")</f>
        <v>OFICINA DE MERCADEO</v>
      </c>
    </row>
    <row r="7088" spans="1:5" ht="15.75" x14ac:dyDescent="0.25">
      <c r="A7088" s="14">
        <v>1024512067</v>
      </c>
      <c r="B7088" s="2">
        <v>46163.316626504631</v>
      </c>
      <c r="C7088" s="3" t="str">
        <f>IFERROR(VLOOKUP(A7088,'Base Prueba'!A:C,3,),"NO REGISTRA")</f>
        <v>CINDY GIOVANA SALGAR GOMEZ</v>
      </c>
      <c r="D7088" s="4" t="str">
        <f>IFERROR(VLOOKUP(A7088,'Base Prueba'!A:D,4,),"NO REGISTRA")</f>
        <v>COORDINADOR DEL SISTEMA INTEGRADO DE GESTION INSTITUCIONAL - SIGI</v>
      </c>
      <c r="E7088" s="5" t="str">
        <f>IFERROR(VLOOKUP(A7088,'Base Prueba'!A:E,5,),"NO REGISTRA")</f>
        <v>OFICINA DE PLANEACION Y GESTION DE LA CALIDAD</v>
      </c>
    </row>
    <row r="7089" spans="1:5" ht="15.75" x14ac:dyDescent="0.25">
      <c r="A7089" s="14">
        <v>1013616244</v>
      </c>
      <c r="B7089" s="2">
        <v>46163.320755324072</v>
      </c>
      <c r="C7089" s="3" t="str">
        <f>IFERROR(VLOOKUP(A7089,'Base Prueba'!A:C,3,),"NO REGISTRA")</f>
        <v>DIANA CAROLINA MARIN BETANCOURT</v>
      </c>
      <c r="D7089" s="4" t="str">
        <f>IFERROR(VLOOKUP(A7089,'Base Prueba'!A:D,4,),"NO REGISTRA")</f>
        <v>AUXILIAR ADMINISTRATIVO</v>
      </c>
      <c r="E7089" s="5" t="str">
        <f>IFERROR(VLOOKUP(A7089,'Base Prueba'!A:E,5,),"NO REGISTRA")</f>
        <v>REGISTRO Y CONTROL ACADEMICO</v>
      </c>
    </row>
    <row r="7090" spans="1:5" ht="15.75" x14ac:dyDescent="0.25">
      <c r="A7090" s="14">
        <v>1000324729</v>
      </c>
      <c r="B7090" s="2">
        <v>46163.321275694441</v>
      </c>
      <c r="C7090" s="3" t="str">
        <f>IFERROR(VLOOKUP(A7090,'Base Prueba'!A:C,3,),"NO REGISTRA")</f>
        <v>ANYIE VANESSA TINOCO CAMACHO</v>
      </c>
      <c r="D7090" s="4" t="str">
        <f>IFERROR(VLOOKUP(A7090,'Base Prueba'!A:D,4,),"NO REGISTRA")</f>
        <v>LIDER DE REGISTRO Y CONTROL</v>
      </c>
      <c r="E7090" s="5" t="str">
        <f>IFERROR(VLOOKUP(A7090,'Base Prueba'!A:E,5,),"NO REGISTRA")</f>
        <v>REGISTRO Y CONTROL ACADEMICO</v>
      </c>
    </row>
    <row r="7091" spans="1:5" ht="15.75" x14ac:dyDescent="0.25">
      <c r="A7091" s="14">
        <v>80191732</v>
      </c>
      <c r="B7091" s="2">
        <v>46163.330873842591</v>
      </c>
      <c r="C7091" s="3" t="str">
        <f>IFERROR(VLOOKUP(A7091,'Base Prueba'!A:C,3,),"NO REGISTRA")</f>
        <v>DANIEL MAURICIO ZAMBRANO TUNJANO</v>
      </c>
      <c r="D7091" s="4" t="str">
        <f>IFERROR(VLOOKUP(A7091,'Base Prueba'!A:D,4,),"NO REGISTRA")</f>
        <v>COORDINADOR DE DISEÑO E IMAGEN INSTITUCIONAL</v>
      </c>
      <c r="E7091" s="5" t="str">
        <f>IFERROR(VLOOKUP(A7091,'Base Prueba'!A:E,5,),"NO REGISTRA")</f>
        <v>OFICINA DE MERCADEO</v>
      </c>
    </row>
    <row r="7092" spans="1:5" ht="15.75" x14ac:dyDescent="0.25">
      <c r="A7092" s="14">
        <v>1033820146</v>
      </c>
      <c r="B7092" s="2">
        <v>46163.334724189815</v>
      </c>
      <c r="C7092" s="3" t="str">
        <f>IFERROR(VLOOKUP(A7092,'Base Prueba'!A:C,3,),"NO REGISTRA")</f>
        <v>JULIETH ALEXANDRA BUSTAMANTE RUIZ</v>
      </c>
      <c r="D7092" s="4" t="str">
        <f>IFERROR(VLOOKUP(A7092,'Base Prueba'!A:D,4,),"NO REGISTRA")</f>
        <v>AUXILIAR ADMINISTRATIVO</v>
      </c>
      <c r="E7092" s="5" t="str">
        <f>IFERROR(VLOOKUP(A7092,'Base Prueba'!A:E,5,),"NO REGISTRA")</f>
        <v>REGISTRO Y CONTROL ACADEMICO</v>
      </c>
    </row>
    <row r="7093" spans="1:5" ht="15.75" x14ac:dyDescent="0.25">
      <c r="A7093" s="14">
        <v>52225539</v>
      </c>
      <c r="B7093" s="2">
        <v>46163.335082407408</v>
      </c>
      <c r="C7093" s="3" t="str">
        <f>IFERROR(VLOOKUP(A7093,'Base Prueba'!A:C,3,),"NO REGISTRA")</f>
        <v>LISA MINELLY ZAMBRANO CONTRERAS</v>
      </c>
      <c r="D7093" s="4" t="str">
        <f>IFERROR(VLOOKUP(A7093,'Base Prueba'!A:D,4,),"NO REGISTRA")</f>
        <v>LIDER DE COMPRAS</v>
      </c>
      <c r="E7093" s="5" t="str">
        <f>IFERROR(VLOOKUP(A7093,'Base Prueba'!A:E,5,),"NO REGISTRA")</f>
        <v>VICERRECTORIA ADMINISTRATIVA Y FINANCIERA</v>
      </c>
    </row>
    <row r="7094" spans="1:5" ht="15.75" x14ac:dyDescent="0.25">
      <c r="A7094" s="14">
        <v>1032410833</v>
      </c>
      <c r="B7094" s="2">
        <v>46163.33921215278</v>
      </c>
      <c r="C7094" s="3" t="str">
        <f>IFERROR(VLOOKUP(A7094,'Base Prueba'!A:C,3,),"NO REGISTRA")</f>
        <v>DIANA PAOLA MONTAÑEZ GONZALEZ</v>
      </c>
      <c r="D7094" s="4" t="str">
        <f>IFERROR(VLOOKUP(A7094,'Base Prueba'!A:D,4,),"NO REGISTRA")</f>
        <v>APRENDIZ UNIVERSITARIO</v>
      </c>
      <c r="E7094" s="5" t="str">
        <f>IFERROR(VLOOKUP(A7094,'Base Prueba'!A:E,5,),"NO REGISTRA")</f>
        <v>AREA FINANCIERA Y CONTABLE</v>
      </c>
    </row>
    <row r="7095" spans="1:5" ht="15.75" x14ac:dyDescent="0.25">
      <c r="A7095" s="14">
        <v>1049644802</v>
      </c>
      <c r="B7095" s="2">
        <v>46163.340350810184</v>
      </c>
      <c r="C7095" s="3" t="str">
        <f>IFERROR(VLOOKUP(A7095,'Base Prueba'!A:C,3,),"NO REGISTRA")</f>
        <v>DANIELA ALEXANDRA CIPAMOCHA BOSIGA</v>
      </c>
      <c r="D7095" s="4" t="str">
        <f>IFERROR(VLOOKUP(A7095,'Base Prueba'!A:D,4,),"NO REGISTRA")</f>
        <v>LIDER DE DATOS Y SERVICIOS</v>
      </c>
      <c r="E7095" s="5" t="str">
        <f>IFERROR(VLOOKUP(A7095,'Base Prueba'!A:E,5,),"NO REGISTRA")</f>
        <v>OFICINA DE PLANEACION Y GESTION DE LA CALIDAD</v>
      </c>
    </row>
    <row r="7096" spans="1:5" ht="15.75" x14ac:dyDescent="0.25">
      <c r="A7096" s="14">
        <v>1014196857</v>
      </c>
      <c r="B7096" s="2">
        <v>46163.340839814817</v>
      </c>
      <c r="C7096" s="3" t="str">
        <f>IFERROR(VLOOKUP(A7096,'Base Prueba'!A:C,3,),"NO REGISTRA")</f>
        <v>CARLOS ANDRES JIMENEZ PARDO</v>
      </c>
      <c r="D7096" s="4" t="str">
        <f>IFERROR(VLOOKUP(A7096,'Base Prueba'!A:D,4,),"NO REGISTRA")</f>
        <v>COORDINADOR DE MARKETING DIGITAL</v>
      </c>
      <c r="E7096" s="5" t="str">
        <f>IFERROR(VLOOKUP(A7096,'Base Prueba'!A:E,5,),"NO REGISTRA")</f>
        <v>OFICINA DE MERCADEO</v>
      </c>
    </row>
    <row r="7097" spans="1:5" ht="15.75" x14ac:dyDescent="0.25">
      <c r="A7097" s="14">
        <v>1013098430</v>
      </c>
      <c r="B7097" s="2">
        <v>46163.344768287039</v>
      </c>
      <c r="C7097" s="3" t="str">
        <f>IFERROR(VLOOKUP(A7097,'Base Prueba'!A:C,3,),"NO REGISTRA")</f>
        <v>ANDRES FELIPE LOPEZ ROMERO</v>
      </c>
      <c r="D7097" s="4" t="str">
        <f>IFERROR(VLOOKUP(A7097,'Base Prueba'!A:D,4,),"NO REGISTRA")</f>
        <v>APRENDIZ UNIVERSITARIO</v>
      </c>
      <c r="E7097" s="5" t="str">
        <f>IFERROR(VLOOKUP(A7097,'Base Prueba'!A:E,5,),"NO REGISTRA")</f>
        <v>OFICINA DE MERCADEO</v>
      </c>
    </row>
    <row r="7098" spans="1:5" ht="15.75" x14ac:dyDescent="0.25">
      <c r="A7098" s="14">
        <v>1023883232</v>
      </c>
      <c r="B7098" s="2">
        <v>46163.344902430559</v>
      </c>
      <c r="C7098" s="3" t="str">
        <f>IFERROR(VLOOKUP(A7098,'Base Prueba'!A:C,3,),"NO REGISTRA")</f>
        <v>MONICA ANDREA ACERO URBANO</v>
      </c>
      <c r="D7098" s="4" t="str">
        <f>IFERROR(VLOOKUP(A7098,'Base Prueba'!A:D,4,),"NO REGISTRA")</f>
        <v>APOYO INTEGRAL A GESTION HUMANA</v>
      </c>
      <c r="E7098" s="5" t="str">
        <f>IFERROR(VLOOKUP(A7098,'Base Prueba'!A:E,5,),"NO REGISTRA")</f>
        <v>DEPARTAMENTO DE GESTION HUMANA</v>
      </c>
    </row>
    <row r="7099" spans="1:5" ht="15.75" x14ac:dyDescent="0.25">
      <c r="A7099" s="14">
        <v>1000257136</v>
      </c>
      <c r="B7099" s="2">
        <v>46163.345153819442</v>
      </c>
      <c r="C7099" s="3" t="str">
        <f>IFERROR(VLOOKUP(A7099,'Base Prueba'!A:C,3,),"NO REGISTRA")</f>
        <v>FRANCI VALENTINA CANO PUENTES</v>
      </c>
      <c r="D7099" s="4" t="str">
        <f>IFERROR(VLOOKUP(A7099,'Base Prueba'!A:D,4,),"NO REGISTRA")</f>
        <v>AUXILIAR CONTABLE</v>
      </c>
      <c r="E7099" s="5" t="str">
        <f>IFERROR(VLOOKUP(A7099,'Base Prueba'!A:E,5,),"NO REGISTRA")</f>
        <v>AREA FINANCIERA Y CONTABLE</v>
      </c>
    </row>
    <row r="7100" spans="1:5" ht="15.75" x14ac:dyDescent="0.25">
      <c r="A7100" s="14">
        <v>53932358</v>
      </c>
      <c r="B7100" s="2">
        <v>46163.345447916668</v>
      </c>
      <c r="C7100" s="3" t="str">
        <f>IFERROR(VLOOKUP(A7100,'Base Prueba'!A:C,3,),"NO REGISTRA")</f>
        <v>DIANA MADELEYNE GAONA RODRIGUEZ</v>
      </c>
      <c r="D7100" s="4" t="str">
        <f>IFERROR(VLOOKUP(A7100,'Base Prueba'!A:D,4,),"NO REGISTRA")</f>
        <v>CONTADOR</v>
      </c>
      <c r="E7100" s="5" t="str">
        <f>IFERROR(VLOOKUP(A7100,'Base Prueba'!A:E,5,),"NO REGISTRA")</f>
        <v>AREA FINANCIERA Y CONTABLE</v>
      </c>
    </row>
    <row r="7101" spans="1:5" ht="15.75" x14ac:dyDescent="0.25">
      <c r="A7101" s="14">
        <v>1000593372</v>
      </c>
      <c r="B7101" s="2">
        <v>46163.347009143516</v>
      </c>
      <c r="C7101" s="3" t="str">
        <f>IFERROR(VLOOKUP(A7101,'Base Prueba'!A:C,3,),"NO REGISTRA")</f>
        <v>LAURA SOFIA CHAPARRO LOPEZ</v>
      </c>
      <c r="D7101" s="4" t="str">
        <f>IFERROR(VLOOKUP(A7101,'Base Prueba'!A:D,4,),"NO REGISTRA")</f>
        <v>AUXILIAR JURIDICO</v>
      </c>
      <c r="E7101" s="5" t="str">
        <f>IFERROR(VLOOKUP(A7101,'Base Prueba'!A:E,5,),"NO REGISTRA")</f>
        <v>SECRETARIA GENERAL</v>
      </c>
    </row>
    <row r="7102" spans="1:5" ht="15.75" x14ac:dyDescent="0.25">
      <c r="A7102" s="14">
        <v>1000604979</v>
      </c>
      <c r="B7102" s="2">
        <v>46163.347102662039</v>
      </c>
      <c r="C7102" s="3" t="str">
        <f>IFERROR(VLOOKUP(A7102,'Base Prueba'!A:C,3,),"NO REGISTRA")</f>
        <v>JULIETH TATIANA PARDO PINTO</v>
      </c>
      <c r="D7102" s="4" t="str">
        <f>IFERROR(VLOOKUP(A7102,'Base Prueba'!A:D,4,),"NO REGISTRA")</f>
        <v>AUXILIAR JURIDICO</v>
      </c>
      <c r="E7102" s="5" t="str">
        <f>IFERROR(VLOOKUP(A7102,'Base Prueba'!A:E,5,),"NO REGISTRA")</f>
        <v>SECRETARIA GENERAL</v>
      </c>
    </row>
    <row r="7103" spans="1:5" ht="15.75" x14ac:dyDescent="0.25">
      <c r="A7103" s="14">
        <v>1193457976</v>
      </c>
      <c r="B7103" s="2">
        <v>46163.348046527775</v>
      </c>
      <c r="C7103" s="3" t="str">
        <f>IFERROR(VLOOKUP(A7103,'Base Prueba'!A:C,3,),"NO REGISTRA")</f>
        <v>SEDENIS RIVAS ASPRILLA</v>
      </c>
      <c r="D7103" s="4" t="str">
        <f>IFERROR(VLOOKUP(A7103,'Base Prueba'!A:D,4,),"NO REGISTRA")</f>
        <v>APRENDIZ UNIVERSITARIO</v>
      </c>
      <c r="E7103" s="5" t="str">
        <f>IFERROR(VLOOKUP(A7103,'Base Prueba'!A:E,5,),"NO REGISTRA")</f>
        <v>DEPARTAMENTO DE GESTION HUMANA</v>
      </c>
    </row>
    <row r="7104" spans="1:5" ht="15.75" x14ac:dyDescent="0.25">
      <c r="A7104" s="14">
        <v>1000457706</v>
      </c>
      <c r="B7104" s="2">
        <v>46163.348555902776</v>
      </c>
      <c r="C7104" s="3" t="str">
        <f>IFERROR(VLOOKUP(A7104,'Base Prueba'!A:C,3,),"NO REGISTRA")</f>
        <v>CRISTIAN DANILO ARROYO SANABRIA</v>
      </c>
      <c r="D7104" s="4" t="str">
        <f>IFERROR(VLOOKUP(A7104,'Base Prueba'!A:D,4,),"NO REGISTRA")</f>
        <v>AUXILIAR CONTABLE</v>
      </c>
      <c r="E7104" s="5" t="str">
        <f>IFERROR(VLOOKUP(A7104,'Base Prueba'!A:E,5,),"NO REGISTRA")</f>
        <v>AREA FINANCIERA Y CONTABLE</v>
      </c>
    </row>
    <row r="7105" spans="1:5" ht="15.75" x14ac:dyDescent="0.25">
      <c r="A7105" s="14">
        <v>1022996882</v>
      </c>
      <c r="B7105" s="2">
        <v>46163.348704745367</v>
      </c>
      <c r="C7105" s="3" t="str">
        <f>IFERROR(VLOOKUP(A7105,'Base Prueba'!A:C,3,),"NO REGISTRA")</f>
        <v>NANCY BRIGITH ALDANA GUEVARA</v>
      </c>
      <c r="D7105" s="4" t="str">
        <f>IFERROR(VLOOKUP(A7105,'Base Prueba'!A:D,4,),"NO REGISTRA")</f>
        <v>COORDINADORA DE GESTIÓN HUMANA</v>
      </c>
      <c r="E7105" s="5" t="str">
        <f>IFERROR(VLOOKUP(A7105,'Base Prueba'!A:E,5,),"NO REGISTRA")</f>
        <v>DEPARTAMENTO DE GESTION HUMANA</v>
      </c>
    </row>
    <row r="7106" spans="1:5" ht="15.75" x14ac:dyDescent="0.25">
      <c r="A7106" s="14">
        <v>1033709056</v>
      </c>
      <c r="B7106" s="2">
        <v>46163.358056597222</v>
      </c>
      <c r="C7106" s="3" t="str">
        <f>IFERROR(VLOOKUP(A7106,'Base Prueba'!A:C,3,),"NO REGISTRA")</f>
        <v>YEIMY ALEXANDRA RODRIGUEZ PALACIO</v>
      </c>
      <c r="D7106" s="4" t="str">
        <f>IFERROR(VLOOKUP(A7106,'Base Prueba'!A:D,4,),"NO REGISTRA")</f>
        <v>PROMOTOR CALL CENTER</v>
      </c>
      <c r="E7106" s="5" t="str">
        <f>IFERROR(VLOOKUP(A7106,'Base Prueba'!A:E,5,),"NO REGISTRA")</f>
        <v>OFICINA DE MERCADEO</v>
      </c>
    </row>
    <row r="7107" spans="1:5" ht="15.75" x14ac:dyDescent="0.25">
      <c r="A7107" s="14">
        <v>1000046533</v>
      </c>
      <c r="B7107" s="2">
        <v>46163.362542824078</v>
      </c>
      <c r="C7107" s="3" t="str">
        <f>IFERROR(VLOOKUP(A7107,'Base Prueba'!A:C,3,),"NO REGISTRA")</f>
        <v>ERIKA JULIETH VALDERRAMA SANCHEZ</v>
      </c>
      <c r="D7107" s="4" t="str">
        <f>IFERROR(VLOOKUP(A7107,'Base Prueba'!A:D,4,),"NO REGISTRA")</f>
        <v>PROMOTOR CALL CENTER</v>
      </c>
      <c r="E7107" s="5" t="str">
        <f>IFERROR(VLOOKUP(A7107,'Base Prueba'!A:E,5,),"NO REGISTRA")</f>
        <v>OFICINA DE MERCADEO</v>
      </c>
    </row>
    <row r="7108" spans="1:5" ht="15.75" x14ac:dyDescent="0.25">
      <c r="A7108" s="14">
        <v>1014308296</v>
      </c>
      <c r="B7108" s="2">
        <v>46163.363239467595</v>
      </c>
      <c r="C7108" s="3" t="str">
        <f>IFERROR(VLOOKUP(A7108,'Base Prueba'!A:C,3,),"NO REGISTRA")</f>
        <v>DARLENE YULIANA MORENO CELEITA</v>
      </c>
      <c r="D7108" s="4" t="str">
        <f>IFERROR(VLOOKUP(A7108,'Base Prueba'!A:D,4,),"NO REGISTRA")</f>
        <v>CAJERO PRINCIPAL</v>
      </c>
      <c r="E7108" s="5" t="str">
        <f>IFERROR(VLOOKUP(A7108,'Base Prueba'!A:E,5,),"NO REGISTRA")</f>
        <v>AREA FINANCIERA Y CONTABLE</v>
      </c>
    </row>
    <row r="7109" spans="1:5" ht="15.75" x14ac:dyDescent="0.25">
      <c r="A7109" s="14">
        <v>28798349</v>
      </c>
      <c r="B7109" s="2">
        <v>46163.366658333332</v>
      </c>
      <c r="C7109" s="3" t="str">
        <f>IFERROR(VLOOKUP(A7109,'Base Prueba'!A:C,3,),"NO REGISTRA")</f>
        <v>MARTHA ISABEL TOVAR WILLIAMS</v>
      </c>
      <c r="D7109" s="4" t="str">
        <f>IFERROR(VLOOKUP(A7109,'Base Prueba'!A:D,4,),"NO REGISTRA")</f>
        <v>PROMOTOR CALL CENTER</v>
      </c>
      <c r="E7109" s="5" t="str">
        <f>IFERROR(VLOOKUP(A7109,'Base Prueba'!A:E,5,),"NO REGISTRA")</f>
        <v>OFICINA DE MERCADEO</v>
      </c>
    </row>
    <row r="7110" spans="1:5" ht="15.75" x14ac:dyDescent="0.25">
      <c r="A7110" s="14">
        <v>1023961952</v>
      </c>
      <c r="B7110" s="2">
        <v>46163.367951388886</v>
      </c>
      <c r="C7110" s="3" t="str">
        <f>IFERROR(VLOOKUP(A7110,'Base Prueba'!A:C,3,),"NO REGISTRA")</f>
        <v>ALEJANDRO PINZON MERCHAN</v>
      </c>
      <c r="D7110" s="4" t="str">
        <f>IFERROR(VLOOKUP(A7110,'Base Prueba'!A:D,4,),"NO REGISTRA")</f>
        <v>PROMOTOR CALL CENTER</v>
      </c>
      <c r="E7110" s="5" t="str">
        <f>IFERROR(VLOOKUP(A7110,'Base Prueba'!A:E,5,),"NO REGISTRA")</f>
        <v>OFICINA DE MERCADEO</v>
      </c>
    </row>
    <row r="7111" spans="1:5" ht="15.75" x14ac:dyDescent="0.25">
      <c r="A7111" s="14">
        <v>1032407386</v>
      </c>
      <c r="B7111" s="2">
        <v>46163.371447453705</v>
      </c>
      <c r="C7111" s="3" t="str">
        <f>IFERROR(VLOOKUP(A7111,'Base Prueba'!A:C,3,),"NO REGISTRA")</f>
        <v>GINA PAOLA BAEZ GALVIS</v>
      </c>
      <c r="D7111" s="4" t="str">
        <f>IFERROR(VLOOKUP(A7111,'Base Prueba'!A:D,4,),"NO REGISTRA")</f>
        <v>PROMOTOR CALL CENTER</v>
      </c>
      <c r="E7111" s="5" t="str">
        <f>IFERROR(VLOOKUP(A7111,'Base Prueba'!A:E,5,),"NO REGISTRA")</f>
        <v>OFICINA DE MERCADEO</v>
      </c>
    </row>
    <row r="7112" spans="1:5" ht="15.75" x14ac:dyDescent="0.25">
      <c r="A7112" s="14">
        <v>52472386</v>
      </c>
      <c r="B7112" s="2">
        <v>46163.375749074075</v>
      </c>
      <c r="C7112" s="3" t="str">
        <f>IFERROR(VLOOKUP(A7112,'Base Prueba'!A:C,3,),"NO REGISTRA")</f>
        <v>ADRIANA MARCELA MORALES PARDO</v>
      </c>
      <c r="D7112" s="4" t="str">
        <f>IFERROR(VLOOKUP(A7112,'Base Prueba'!A:D,4,),"NO REGISTRA")</f>
        <v>PROMOTOR CALL CENTER</v>
      </c>
      <c r="E7112" s="5" t="str">
        <f>IFERROR(VLOOKUP(A7112,'Base Prueba'!A:E,5,),"NO REGISTRA")</f>
        <v>OFICINA DE MERCADEO</v>
      </c>
    </row>
    <row r="7113" spans="1:5" ht="15.75" x14ac:dyDescent="0.25">
      <c r="A7113" s="14">
        <v>1087121273</v>
      </c>
      <c r="B7113" s="2">
        <v>46163.375787731478</v>
      </c>
      <c r="C7113" s="3" t="str">
        <f>IFERROR(VLOOKUP(A7113,'Base Prueba'!A:C,3,),"NO REGISTRA")</f>
        <v>MAYRA ALEJANDRA CASTILLO ARBOLEDA</v>
      </c>
      <c r="D7113" s="4" t="str">
        <f>IFERROR(VLOOKUP(A7113,'Base Prueba'!A:D,4,),"NO REGISTRA")</f>
        <v>APOYO INTEGRAL DE MERCADEO</v>
      </c>
      <c r="E7113" s="5" t="str">
        <f>IFERROR(VLOOKUP(A7113,'Base Prueba'!A:E,5,),"NO REGISTRA")</f>
        <v>CENTRO DE GESTION DOCUMENTAL</v>
      </c>
    </row>
    <row r="7114" spans="1:5" ht="15.75" x14ac:dyDescent="0.25">
      <c r="A7114" s="14">
        <v>1018413529</v>
      </c>
      <c r="B7114" s="2">
        <v>46163.376961921298</v>
      </c>
      <c r="C7114" s="3" t="str">
        <f>IFERROR(VLOOKUP(A7114,'Base Prueba'!A:C,3,),"NO REGISTRA")</f>
        <v>FRANCY STELLA CHARRY MORENO</v>
      </c>
      <c r="D7114" s="4" t="str">
        <f>IFERROR(VLOOKUP(A7114,'Base Prueba'!A:D,4,),"NO REGISTRA")</f>
        <v>PROMOTOR COMERCIAL DEL CEA</v>
      </c>
      <c r="E7114" s="5" t="str">
        <f>IFERROR(VLOOKUP(A7114,'Base Prueba'!A:E,5,),"NO REGISTRA")</f>
        <v>OFICINA DE MERCADEO</v>
      </c>
    </row>
    <row r="7115" spans="1:5" ht="15.75" x14ac:dyDescent="0.25">
      <c r="A7115" s="14">
        <v>53089882</v>
      </c>
      <c r="B7115" s="2">
        <v>46163.378201967593</v>
      </c>
      <c r="C7115" s="3" t="str">
        <f>IFERROR(VLOOKUP(A7115,'Base Prueba'!A:C,3,),"NO REGISTRA")</f>
        <v>MARIA JOHANA ESCAMILLA MARTINEZ</v>
      </c>
      <c r="D7115" s="4" t="str">
        <f>IFERROR(VLOOKUP(A7115,'Base Prueba'!A:D,4,),"NO REGISTRA")</f>
        <v>PROMOTOR DE INFORMACIÓN</v>
      </c>
      <c r="E7115" s="5" t="str">
        <f>IFERROR(VLOOKUP(A7115,'Base Prueba'!A:E,5,),"NO REGISTRA")</f>
        <v>OFICINA DE MERCADEO</v>
      </c>
    </row>
    <row r="7116" spans="1:5" ht="15.75" x14ac:dyDescent="0.25">
      <c r="A7116" s="14">
        <v>1012426741</v>
      </c>
      <c r="B7116" s="2">
        <v>46163.378224189815</v>
      </c>
      <c r="C7116" s="3" t="str">
        <f>IFERROR(VLOOKUP(A7116,'Base Prueba'!A:C,3,),"NO REGISTRA")</f>
        <v>CRISTIAN FABIAN ROJAS SANCENO</v>
      </c>
      <c r="D7116" s="4" t="str">
        <f>IFERROR(VLOOKUP(A7116,'Base Prueba'!A:D,4,),"NO REGISTRA")</f>
        <v>AUXILIAR DE REINTEGROS</v>
      </c>
      <c r="E7116" s="5" t="str">
        <f>IFERROR(VLOOKUP(A7116,'Base Prueba'!A:E,5,),"NO REGISTRA")</f>
        <v>DIRECCION DE BIENESTAR INSTITUCIONAL</v>
      </c>
    </row>
    <row r="7117" spans="1:5" ht="15.75" x14ac:dyDescent="0.25">
      <c r="A7117" s="14">
        <v>1018414290</v>
      </c>
      <c r="B7117" s="2">
        <v>46163.382478240739</v>
      </c>
      <c r="C7117" s="3" t="str">
        <f>IFERROR(VLOOKUP(A7117,'Base Prueba'!A:C,3,),"NO REGISTRA")</f>
        <v>AMANDA LISBETH RODRIGUEZ LEON</v>
      </c>
      <c r="D7117" s="4" t="str">
        <f>IFERROR(VLOOKUP(A7117,'Base Prueba'!A:D,4,),"NO REGISTRA")</f>
        <v>PROMOTOR CALL CENTER</v>
      </c>
      <c r="E7117" s="5" t="str">
        <f>IFERROR(VLOOKUP(A7117,'Base Prueba'!A:E,5,),"NO REGISTRA")</f>
        <v>OFICINA DE MERCADEO</v>
      </c>
    </row>
    <row r="7118" spans="1:5" ht="15.75" x14ac:dyDescent="0.25">
      <c r="A7118" s="14">
        <v>52175674</v>
      </c>
      <c r="B7118" s="2">
        <v>46163.384950462962</v>
      </c>
      <c r="C7118" s="3" t="str">
        <f>IFERROR(VLOOKUP(A7118,'Base Prueba'!A:C,3,),"NO REGISTRA")</f>
        <v>LUZ YANETH GOMEZ AREVALO</v>
      </c>
      <c r="D7118" s="4" t="str">
        <f>IFERROR(VLOOKUP(A7118,'Base Prueba'!A:D,4,),"NO REGISTRA")</f>
        <v>COORDINADORA DE ADMISIONES</v>
      </c>
      <c r="E7118" s="5" t="str">
        <f>IFERROR(VLOOKUP(A7118,'Base Prueba'!A:E,5,),"NO REGISTRA")</f>
        <v>OFICINA DE MERCADEO</v>
      </c>
    </row>
    <row r="7119" spans="1:5" ht="15.75" x14ac:dyDescent="0.25">
      <c r="A7119" s="14">
        <v>52764929</v>
      </c>
      <c r="B7119" s="2">
        <v>46163.385476504627</v>
      </c>
      <c r="C7119" s="3" t="str">
        <f>IFERROR(VLOOKUP(A7119,'Base Prueba'!A:C,3,),"NO REGISTRA")</f>
        <v>GUERLY YOHANA DURAN RIVERA</v>
      </c>
      <c r="D7119" s="4" t="str">
        <f>IFERROR(VLOOKUP(A7119,'Base Prueba'!A:D,4,),"NO REGISTRA")</f>
        <v>LIDER DE VINCULACION COLEGIOS</v>
      </c>
      <c r="E7119" s="5" t="str">
        <f>IFERROR(VLOOKUP(A7119,'Base Prueba'!A:E,5,),"NO REGISTRA")</f>
        <v>OFICINA DE MERCADEO</v>
      </c>
    </row>
    <row r="7120" spans="1:5" ht="15.75" x14ac:dyDescent="0.25">
      <c r="A7120" s="14">
        <v>1016090131</v>
      </c>
      <c r="B7120" s="2">
        <v>46163.392997337964</v>
      </c>
      <c r="C7120" s="3" t="str">
        <f>IFERROR(VLOOKUP(A7120,'Base Prueba'!A:C,3,),"NO REGISTRA")</f>
        <v>NICOLAS RODRIGUEZ PACHECO</v>
      </c>
      <c r="D7120" s="4" t="str">
        <f>IFERROR(VLOOKUP(A7120,'Base Prueba'!A:D,4,),"NO REGISTRA")</f>
        <v>COORDINADOR DE COMUNICACIONES</v>
      </c>
      <c r="E7120" s="5" t="str">
        <f>IFERROR(VLOOKUP(A7120,'Base Prueba'!A:E,5,),"NO REGISTRA")</f>
        <v>OFICINA DE MERCADEO</v>
      </c>
    </row>
    <row r="7121" spans="1:5" ht="15.75" x14ac:dyDescent="0.25">
      <c r="A7121" s="14">
        <v>52603556</v>
      </c>
      <c r="B7121" s="2">
        <v>46163.532327777779</v>
      </c>
      <c r="C7121" s="3" t="str">
        <f>IFERROR(VLOOKUP(A7121,'Base Prueba'!A:C,3,),"NO REGISTRA")</f>
        <v>MARISOL FARFAN QUIROGA</v>
      </c>
      <c r="D7121" s="4" t="str">
        <f>IFERROR(VLOOKUP(A7121,'Base Prueba'!A:D,4,),"NO REGISTRA")</f>
        <v>AUXILIAR DE SERVICIOS</v>
      </c>
      <c r="E7121" s="5" t="str">
        <f>IFERROR(VLOOKUP(A7121,'Base Prueba'!A:E,5,),"NO REGISTRA")</f>
        <v>LOGISTICA Y SERVICIOS GENERALES</v>
      </c>
    </row>
    <row r="7122" spans="1:5" ht="15.75" x14ac:dyDescent="0.25">
      <c r="A7122" s="14">
        <v>79872151</v>
      </c>
      <c r="B7122" s="2">
        <v>46163.542785300924</v>
      </c>
      <c r="C7122" s="3" t="str">
        <f>IFERROR(VLOOKUP(A7122,'Base Prueba'!A:C,3,),"NO REGISTRA")</f>
        <v>HECTOR ALIRIO MARTINEZ TORRES</v>
      </c>
      <c r="D7122" s="4" t="str">
        <f>IFERROR(VLOOKUP(A7122,'Base Prueba'!A:D,4,),"NO REGISTRA")</f>
        <v>DOCENTE DE TIEMPO COMPLETO</v>
      </c>
      <c r="E7122" s="5" t="str">
        <f>IFERROR(VLOOKUP(A7122,'Base Prueba'!A:E,5,),"NO REGISTRA")</f>
        <v>CIENCIAS DE LA INFORMACION Y BIBLIOTECOLOGIA</v>
      </c>
    </row>
    <row r="7123" spans="1:5" ht="15.75" x14ac:dyDescent="0.25">
      <c r="A7123" s="14">
        <v>52443092</v>
      </c>
      <c r="B7123" s="2">
        <v>46163.580340393521</v>
      </c>
      <c r="C7123" s="3" t="str">
        <f>IFERROR(VLOOKUP(A7123,'Base Prueba'!A:C,3,),"NO REGISTRA")</f>
        <v>LUZ MYRIAM SAAVEDRA CONTRERAS</v>
      </c>
      <c r="D7123" s="4" t="str">
        <f>IFERROR(VLOOKUP(A7123,'Base Prueba'!A:D,4,),"NO REGISTRA")</f>
        <v>AUXILIAR DE SERVICIOS</v>
      </c>
      <c r="E7123" s="5" t="str">
        <f>IFERROR(VLOOKUP(A7123,'Base Prueba'!A:E,5,),"NO REGISTRA")</f>
        <v>LOGISTICA Y SERVICIOS GENERALES</v>
      </c>
    </row>
    <row r="7124" spans="1:5" ht="15.75" x14ac:dyDescent="0.25">
      <c r="A7124" s="14">
        <v>53089882</v>
      </c>
      <c r="B7124" s="2">
        <v>46163.600253819444</v>
      </c>
      <c r="C7124" s="3" t="str">
        <f>IFERROR(VLOOKUP(A7124,'Base Prueba'!A:C,3,),"NO REGISTRA")</f>
        <v>MARIA JOHANA ESCAMILLA MARTINEZ</v>
      </c>
      <c r="D7124" s="4" t="str">
        <f>IFERROR(VLOOKUP(A7124,'Base Prueba'!A:D,4,),"NO REGISTRA")</f>
        <v>PROMOTOR DE INFORMACIÓN</v>
      </c>
      <c r="E7124" s="5" t="str">
        <f>IFERROR(VLOOKUP(A7124,'Base Prueba'!A:E,5,),"NO REGISTRA")</f>
        <v>OFICINA DE MERCADEO</v>
      </c>
    </row>
    <row r="7125" spans="1:5" ht="15.75" x14ac:dyDescent="0.25">
      <c r="A7125" s="14">
        <v>1000467399</v>
      </c>
      <c r="B7125" s="2">
        <v>46163.712442013886</v>
      </c>
      <c r="C7125" s="3" t="str">
        <f>IFERROR(VLOOKUP(A7125,'Base Prueba'!A:C,3,),"NO REGISTRA")</f>
        <v>BRANDO ESTIVEN DIAZ QUIMBAYA</v>
      </c>
      <c r="D7125" s="4" t="str">
        <f>IFERROR(VLOOKUP(A7125,'Base Prueba'!A:D,4,),"NO REGISTRA")</f>
        <v>APRENDIZ UNIVERSITARIO</v>
      </c>
      <c r="E7125" s="5" t="str">
        <f>IFERROR(VLOOKUP(A7125,'Base Prueba'!A:E,5,),"NO REGISTRA")</f>
        <v>DEPARTAMENTO DE GESTION HUMANA</v>
      </c>
    </row>
    <row r="7126" spans="1:5" ht="15.75" x14ac:dyDescent="0.25">
      <c r="A7126" s="14">
        <v>1013098430</v>
      </c>
      <c r="B7126" s="2">
        <v>46163.71346979167</v>
      </c>
      <c r="C7126" s="3" t="str">
        <f>IFERROR(VLOOKUP(A7126,'Base Prueba'!A:C,3,),"NO REGISTRA")</f>
        <v>ANDRES FELIPE LOPEZ ROMERO</v>
      </c>
      <c r="D7126" s="4" t="str">
        <f>IFERROR(VLOOKUP(A7126,'Base Prueba'!A:D,4,),"NO REGISTRA")</f>
        <v>APRENDIZ UNIVERSITARIO</v>
      </c>
      <c r="E7126" s="5" t="str">
        <f>IFERROR(VLOOKUP(A7126,'Base Prueba'!A:E,5,),"NO REGISTRA")</f>
        <v>OFICINA DE MERCADEO</v>
      </c>
    </row>
    <row r="7127" spans="1:5" ht="15.75" x14ac:dyDescent="0.25">
      <c r="A7127" s="14">
        <v>1000992568</v>
      </c>
      <c r="B7127" s="2">
        <v>46163.713838888892</v>
      </c>
      <c r="C7127" s="3" t="str">
        <f>IFERROR(VLOOKUP(A7127,'Base Prueba'!A:C,3,),"NO REGISTRA")</f>
        <v>KAREN BRIGITTE DALEMAN MORENO</v>
      </c>
      <c r="D7127" s="4" t="str">
        <f>IFERROR(VLOOKUP(A7127,'Base Prueba'!A:D,4,),"NO REGISTRA")</f>
        <v>RECEPCIONISTA</v>
      </c>
      <c r="E7127" s="5" t="str">
        <f>IFERROR(VLOOKUP(A7127,'Base Prueba'!A:E,5,),"NO REGISTRA")</f>
        <v>CENTRO DE GESTION DOCUMENTAL</v>
      </c>
    </row>
    <row r="7128" spans="1:5" ht="15.75" x14ac:dyDescent="0.25">
      <c r="A7128" s="14">
        <v>1000611958</v>
      </c>
      <c r="B7128" s="2">
        <v>46163.714637500001</v>
      </c>
      <c r="C7128" s="3" t="str">
        <f>IFERROR(VLOOKUP(A7128,'Base Prueba'!A:C,3,),"NO REGISTRA")</f>
        <v>TYLER CORRADINE  VARGAS</v>
      </c>
      <c r="D7128" s="4" t="str">
        <f>IFERROR(VLOOKUP(A7128,'Base Prueba'!A:D,4,),"NO REGISTRA")</f>
        <v>APRENDIZ UNIVERSITARIO</v>
      </c>
      <c r="E7128" s="5" t="str">
        <f>IFERROR(VLOOKUP(A7128,'Base Prueba'!A:E,5,),"NO REGISTRA")</f>
        <v>DEPARTAMENTO DE INFORMATICA Y TECNOLOGIA</v>
      </c>
    </row>
    <row r="7129" spans="1:5" ht="15.75" x14ac:dyDescent="0.25">
      <c r="A7129" s="14">
        <v>1012426741</v>
      </c>
      <c r="B7129" s="2">
        <v>46163.750254513892</v>
      </c>
      <c r="C7129" s="3" t="str">
        <f>IFERROR(VLOOKUP(A7129,'Base Prueba'!A:C,3,),"NO REGISTRA")</f>
        <v>CRISTIAN FABIAN ROJAS SANCENO</v>
      </c>
      <c r="D7129" s="4" t="str">
        <f>IFERROR(VLOOKUP(A7129,'Base Prueba'!A:D,4,),"NO REGISTRA")</f>
        <v>AUXILIAR DE REINTEGROS</v>
      </c>
      <c r="E7129" s="5" t="str">
        <f>IFERROR(VLOOKUP(A7129,'Base Prueba'!A:E,5,),"NO REGISTRA")</f>
        <v>DIRECCION DE BIENESTAR INSTITUCIONAL</v>
      </c>
    </row>
    <row r="7130" spans="1:5" ht="15.75" x14ac:dyDescent="0.25">
      <c r="A7130" s="14">
        <v>52225539</v>
      </c>
      <c r="B7130" s="2">
        <v>46163.75062997685</v>
      </c>
      <c r="C7130" s="3" t="str">
        <f>IFERROR(VLOOKUP(A7130,'Base Prueba'!A:C,3,),"NO REGISTRA")</f>
        <v>LISA MINELLY ZAMBRANO CONTRERAS</v>
      </c>
      <c r="D7130" s="4" t="str">
        <f>IFERROR(VLOOKUP(A7130,'Base Prueba'!A:D,4,),"NO REGISTRA")</f>
        <v>LIDER DE COMPRAS</v>
      </c>
      <c r="E7130" s="5" t="str">
        <f>IFERROR(VLOOKUP(A7130,'Base Prueba'!A:E,5,),"NO REGISTRA")</f>
        <v>VICERRECTORIA ADMINISTRATIVA Y FINANCIERA</v>
      </c>
    </row>
    <row r="7131" spans="1:5" ht="15.75" x14ac:dyDescent="0.25">
      <c r="A7131" s="14">
        <v>1013616244</v>
      </c>
      <c r="B7131" s="2">
        <v>46163.751561689816</v>
      </c>
      <c r="C7131" s="3" t="str">
        <f>IFERROR(VLOOKUP(A7131,'Base Prueba'!A:C,3,),"NO REGISTRA")</f>
        <v>DIANA CAROLINA MARIN BETANCOURT</v>
      </c>
      <c r="D7131" s="4" t="str">
        <f>IFERROR(VLOOKUP(A7131,'Base Prueba'!A:D,4,),"NO REGISTRA")</f>
        <v>AUXILIAR ADMINISTRATIVO</v>
      </c>
      <c r="E7131" s="5" t="str">
        <f>IFERROR(VLOOKUP(A7131,'Base Prueba'!A:E,5,),"NO REGISTRA")</f>
        <v>REGISTRO Y CONTROL ACADEMICO</v>
      </c>
    </row>
    <row r="7132" spans="1:5" ht="15.75" x14ac:dyDescent="0.25">
      <c r="A7132" s="14">
        <v>1193457976</v>
      </c>
      <c r="B7132" s="2">
        <v>46163.752590162039</v>
      </c>
      <c r="C7132" s="3" t="str">
        <f>IFERROR(VLOOKUP(A7132,'Base Prueba'!A:C,3,),"NO REGISTRA")</f>
        <v>SEDENIS RIVAS ASPRILLA</v>
      </c>
      <c r="D7132" s="4" t="str">
        <f>IFERROR(VLOOKUP(A7132,'Base Prueba'!A:D,4,),"NO REGISTRA")</f>
        <v>APRENDIZ UNIVERSITARIO</v>
      </c>
      <c r="E7132" s="5" t="str">
        <f>IFERROR(VLOOKUP(A7132,'Base Prueba'!A:E,5,),"NO REGISTRA")</f>
        <v>DEPARTAMENTO DE GESTION HUMANA</v>
      </c>
    </row>
    <row r="7133" spans="1:5" ht="15.75" x14ac:dyDescent="0.25">
      <c r="A7133" s="14">
        <v>1049644802</v>
      </c>
      <c r="B7133" s="2">
        <v>46163.752842824077</v>
      </c>
      <c r="C7133" s="3" t="str">
        <f>IFERROR(VLOOKUP(A7133,'Base Prueba'!A:C,3,),"NO REGISTRA")</f>
        <v>DANIELA ALEXANDRA CIPAMOCHA BOSIGA</v>
      </c>
      <c r="D7133" s="4" t="str">
        <f>IFERROR(VLOOKUP(A7133,'Base Prueba'!A:D,4,),"NO REGISTRA")</f>
        <v>LIDER DE DATOS Y SERVICIOS</v>
      </c>
      <c r="E7133" s="5" t="str">
        <f>IFERROR(VLOOKUP(A7133,'Base Prueba'!A:E,5,),"NO REGISTRA")</f>
        <v>OFICINA DE PLANEACION Y GESTION DE LA CALIDAD</v>
      </c>
    </row>
    <row r="7134" spans="1:5" ht="15.75" x14ac:dyDescent="0.25">
      <c r="A7134" s="14">
        <v>80191732</v>
      </c>
      <c r="B7134" s="2">
        <v>46163.753392013889</v>
      </c>
      <c r="C7134" s="3" t="str">
        <f>IFERROR(VLOOKUP(A7134,'Base Prueba'!A:C,3,),"NO REGISTRA")</f>
        <v>DANIEL MAURICIO ZAMBRANO TUNJANO</v>
      </c>
      <c r="D7134" s="4" t="str">
        <f>IFERROR(VLOOKUP(A7134,'Base Prueba'!A:D,4,),"NO REGISTRA")</f>
        <v>COORDINADOR DE DISEÑO E IMAGEN INSTITUCIONAL</v>
      </c>
      <c r="E7134" s="5" t="str">
        <f>IFERROR(VLOOKUP(A7134,'Base Prueba'!A:E,5,),"NO REGISTRA")</f>
        <v>OFICINA DE MERCADEO</v>
      </c>
    </row>
    <row r="7135" spans="1:5" ht="15.75" x14ac:dyDescent="0.25">
      <c r="A7135" s="14">
        <v>1033820146</v>
      </c>
      <c r="B7135" s="2">
        <v>46163.754415393516</v>
      </c>
      <c r="C7135" s="3" t="str">
        <f>IFERROR(VLOOKUP(A7135,'Base Prueba'!A:C,3,),"NO REGISTRA")</f>
        <v>JULIETH ALEXANDRA BUSTAMANTE RUIZ</v>
      </c>
      <c r="D7135" s="4" t="str">
        <f>IFERROR(VLOOKUP(A7135,'Base Prueba'!A:D,4,),"NO REGISTRA")</f>
        <v>AUXILIAR ADMINISTRATIVO</v>
      </c>
      <c r="E7135" s="5" t="str">
        <f>IFERROR(VLOOKUP(A7135,'Base Prueba'!A:E,5,),"NO REGISTRA")</f>
        <v>REGISTRO Y CONTROL ACADEMICO</v>
      </c>
    </row>
    <row r="7136" spans="1:5" ht="15.75" x14ac:dyDescent="0.25">
      <c r="A7136" s="14">
        <v>1087121273</v>
      </c>
      <c r="B7136" s="2">
        <v>46163.754918287035</v>
      </c>
      <c r="C7136" s="3" t="str">
        <f>IFERROR(VLOOKUP(A7136,'Base Prueba'!A:C,3,),"NO REGISTRA")</f>
        <v>MAYRA ALEJANDRA CASTILLO ARBOLEDA</v>
      </c>
      <c r="D7136" s="4" t="str">
        <f>IFERROR(VLOOKUP(A7136,'Base Prueba'!A:D,4,),"NO REGISTRA")</f>
        <v>APOYO INTEGRAL DE MERCADEO</v>
      </c>
      <c r="E7136" s="5" t="str">
        <f>IFERROR(VLOOKUP(A7136,'Base Prueba'!A:E,5,),"NO REGISTRA")</f>
        <v>CENTRO DE GESTION DOCUMENTAL</v>
      </c>
    </row>
    <row r="7137" spans="1:5" ht="15.75" x14ac:dyDescent="0.25">
      <c r="A7137" s="14">
        <v>1000324729</v>
      </c>
      <c r="B7137" s="2">
        <v>46163.755476041668</v>
      </c>
      <c r="C7137" s="3" t="str">
        <f>IFERROR(VLOOKUP(A7137,'Base Prueba'!A:C,3,),"NO REGISTRA")</f>
        <v>ANYIE VANESSA TINOCO CAMACHO</v>
      </c>
      <c r="D7137" s="4" t="str">
        <f>IFERROR(VLOOKUP(A7137,'Base Prueba'!A:D,4,),"NO REGISTRA")</f>
        <v>LIDER DE REGISTRO Y CONTROL</v>
      </c>
      <c r="E7137" s="5" t="str">
        <f>IFERROR(VLOOKUP(A7137,'Base Prueba'!A:E,5,),"NO REGISTRA")</f>
        <v>REGISTRO Y CONTROL ACADEMICO</v>
      </c>
    </row>
    <row r="7138" spans="1:5" ht="15.75" x14ac:dyDescent="0.25">
      <c r="A7138" s="14">
        <v>1000046533</v>
      </c>
      <c r="B7138" s="2">
        <v>46163.755618171293</v>
      </c>
      <c r="C7138" s="3" t="str">
        <f>IFERROR(VLOOKUP(A7138,'Base Prueba'!A:C,3,),"NO REGISTRA")</f>
        <v>ERIKA JULIETH VALDERRAMA SANCHEZ</v>
      </c>
      <c r="D7138" s="4" t="str">
        <f>IFERROR(VLOOKUP(A7138,'Base Prueba'!A:D,4,),"NO REGISTRA")</f>
        <v>PROMOTOR CALL CENTER</v>
      </c>
      <c r="E7138" s="5" t="str">
        <f>IFERROR(VLOOKUP(A7138,'Base Prueba'!A:E,5,),"NO REGISTRA")</f>
        <v>OFICINA DE MERCADEO</v>
      </c>
    </row>
    <row r="7139" spans="1:5" ht="15.75" x14ac:dyDescent="0.25">
      <c r="A7139" s="14">
        <v>52175674</v>
      </c>
      <c r="B7139" s="2">
        <v>46163.75657326389</v>
      </c>
      <c r="C7139" s="3" t="str">
        <f>IFERROR(VLOOKUP(A7139,'Base Prueba'!A:C,3,),"NO REGISTRA")</f>
        <v>LUZ YANETH GOMEZ AREVALO</v>
      </c>
      <c r="D7139" s="4" t="str">
        <f>IFERROR(VLOOKUP(A7139,'Base Prueba'!A:D,4,),"NO REGISTRA")</f>
        <v>COORDINADORA DE ADMISIONES</v>
      </c>
      <c r="E7139" s="5" t="str">
        <f>IFERROR(VLOOKUP(A7139,'Base Prueba'!A:E,5,),"NO REGISTRA")</f>
        <v>OFICINA DE MERCADEO</v>
      </c>
    </row>
    <row r="7140" spans="1:5" ht="15.75" x14ac:dyDescent="0.25">
      <c r="A7140" s="14">
        <v>1000257136</v>
      </c>
      <c r="B7140" s="2">
        <v>46163.756742476849</v>
      </c>
      <c r="C7140" s="3" t="str">
        <f>IFERROR(VLOOKUP(A7140,'Base Prueba'!A:C,3,),"NO REGISTRA")</f>
        <v>FRANCI VALENTINA CANO PUENTES</v>
      </c>
      <c r="D7140" s="4" t="str">
        <f>IFERROR(VLOOKUP(A7140,'Base Prueba'!A:D,4,),"NO REGISTRA")</f>
        <v>AUXILIAR CONTABLE</v>
      </c>
      <c r="E7140" s="5" t="str">
        <f>IFERROR(VLOOKUP(A7140,'Base Prueba'!A:E,5,),"NO REGISTRA")</f>
        <v>AREA FINANCIERA Y CONTABLE</v>
      </c>
    </row>
    <row r="7141" spans="1:5" ht="15.75" x14ac:dyDescent="0.25">
      <c r="A7141" s="14">
        <v>1000593372</v>
      </c>
      <c r="B7141" s="2">
        <v>46163.758426504632</v>
      </c>
      <c r="C7141" s="3" t="str">
        <f>IFERROR(VLOOKUP(A7141,'Base Prueba'!A:C,3,),"NO REGISTRA")</f>
        <v>LAURA SOFIA CHAPARRO LOPEZ</v>
      </c>
      <c r="D7141" s="4" t="str">
        <f>IFERROR(VLOOKUP(A7141,'Base Prueba'!A:D,4,),"NO REGISTRA")</f>
        <v>AUXILIAR JURIDICO</v>
      </c>
      <c r="E7141" s="5" t="str">
        <f>IFERROR(VLOOKUP(A7141,'Base Prueba'!A:E,5,),"NO REGISTRA")</f>
        <v>SECRETARIA GENERAL</v>
      </c>
    </row>
    <row r="7142" spans="1:5" ht="15.75" x14ac:dyDescent="0.25">
      <c r="A7142" s="14">
        <v>1000604979</v>
      </c>
      <c r="B7142" s="2">
        <v>46163.758518055554</v>
      </c>
      <c r="C7142" s="3" t="str">
        <f>IFERROR(VLOOKUP(A7142,'Base Prueba'!A:C,3,),"NO REGISTRA")</f>
        <v>JULIETH TATIANA PARDO PINTO</v>
      </c>
      <c r="D7142" s="4" t="str">
        <f>IFERROR(VLOOKUP(A7142,'Base Prueba'!A:D,4,),"NO REGISTRA")</f>
        <v>AUXILIAR JURIDICO</v>
      </c>
      <c r="E7142" s="5" t="str">
        <f>IFERROR(VLOOKUP(A7142,'Base Prueba'!A:E,5,),"NO REGISTRA")</f>
        <v>SECRETARIA GENERAL</v>
      </c>
    </row>
    <row r="7143" spans="1:5" ht="15.75" x14ac:dyDescent="0.25">
      <c r="A7143" s="14">
        <v>1033709056</v>
      </c>
      <c r="B7143" s="2">
        <v>46163.758610763885</v>
      </c>
      <c r="C7143" s="3" t="str">
        <f>IFERROR(VLOOKUP(A7143,'Base Prueba'!A:C,3,),"NO REGISTRA")</f>
        <v>YEIMY ALEXANDRA RODRIGUEZ PALACIO</v>
      </c>
      <c r="D7143" s="4" t="str">
        <f>IFERROR(VLOOKUP(A7143,'Base Prueba'!A:D,4,),"NO REGISTRA")</f>
        <v>PROMOTOR CALL CENTER</v>
      </c>
      <c r="E7143" s="5" t="str">
        <f>IFERROR(VLOOKUP(A7143,'Base Prueba'!A:E,5,),"NO REGISTRA")</f>
        <v>OFICINA DE MERCADEO</v>
      </c>
    </row>
    <row r="7144" spans="1:5" ht="15.75" x14ac:dyDescent="0.25">
      <c r="A7144" s="14">
        <v>1023883232</v>
      </c>
      <c r="B7144" s="2">
        <v>46163.759449074074</v>
      </c>
      <c r="C7144" s="3" t="str">
        <f>IFERROR(VLOOKUP(A7144,'Base Prueba'!A:C,3,),"NO REGISTRA")</f>
        <v>MONICA ANDREA ACERO URBANO</v>
      </c>
      <c r="D7144" s="4" t="str">
        <f>IFERROR(VLOOKUP(A7144,'Base Prueba'!A:D,4,),"NO REGISTRA")</f>
        <v>APOYO INTEGRAL A GESTION HUMANA</v>
      </c>
      <c r="E7144" s="5" t="str">
        <f>IFERROR(VLOOKUP(A7144,'Base Prueba'!A:E,5,),"NO REGISTRA")</f>
        <v>DEPARTAMENTO DE GESTION HUMANA</v>
      </c>
    </row>
    <row r="7145" spans="1:5" ht="15.75" x14ac:dyDescent="0.25">
      <c r="A7145" s="14">
        <v>1032410833</v>
      </c>
      <c r="B7145" s="2">
        <v>46163.760381481479</v>
      </c>
      <c r="C7145" s="3" t="str">
        <f>IFERROR(VLOOKUP(A7145,'Base Prueba'!A:C,3,),"NO REGISTRA")</f>
        <v>DIANA PAOLA MONTAÑEZ GONZALEZ</v>
      </c>
      <c r="D7145" s="4" t="str">
        <f>IFERROR(VLOOKUP(A7145,'Base Prueba'!A:D,4,),"NO REGISTRA")</f>
        <v>APRENDIZ UNIVERSITARIO</v>
      </c>
      <c r="E7145" s="5" t="str">
        <f>IFERROR(VLOOKUP(A7145,'Base Prueba'!A:E,5,),"NO REGISTRA")</f>
        <v>AREA FINANCIERA Y CONTABLE</v>
      </c>
    </row>
    <row r="7146" spans="1:5" ht="15.75" x14ac:dyDescent="0.25">
      <c r="A7146" s="14">
        <v>1014308296</v>
      </c>
      <c r="B7146" s="2">
        <v>46163.762198958335</v>
      </c>
      <c r="C7146" s="3" t="str">
        <f>IFERROR(VLOOKUP(A7146,'Base Prueba'!A:C,3,),"NO REGISTRA")</f>
        <v>DARLENE YULIANA MORENO CELEITA</v>
      </c>
      <c r="D7146" s="4" t="str">
        <f>IFERROR(VLOOKUP(A7146,'Base Prueba'!A:D,4,),"NO REGISTRA")</f>
        <v>CAJERO PRINCIPAL</v>
      </c>
      <c r="E7146" s="5" t="str">
        <f>IFERROR(VLOOKUP(A7146,'Base Prueba'!A:E,5,),"NO REGISTRA")</f>
        <v>AREA FINANCIERA Y CONTABLE</v>
      </c>
    </row>
    <row r="7147" spans="1:5" ht="15.75" x14ac:dyDescent="0.25">
      <c r="A7147" s="14">
        <v>1000457706</v>
      </c>
      <c r="B7147" s="2">
        <v>46163.763196643522</v>
      </c>
      <c r="C7147" s="3" t="str">
        <f>IFERROR(VLOOKUP(A7147,'Base Prueba'!A:C,3,),"NO REGISTRA")</f>
        <v>CRISTIAN DANILO ARROYO SANABRIA</v>
      </c>
      <c r="D7147" s="4" t="str">
        <f>IFERROR(VLOOKUP(A7147,'Base Prueba'!A:D,4,),"NO REGISTRA")</f>
        <v>AUXILIAR CONTABLE</v>
      </c>
      <c r="E7147" s="5" t="str">
        <f>IFERROR(VLOOKUP(A7147,'Base Prueba'!A:E,5,),"NO REGISTRA")</f>
        <v>AREA FINANCIERA Y CONTABLE</v>
      </c>
    </row>
    <row r="7148" spans="1:5" ht="15.75" x14ac:dyDescent="0.25">
      <c r="A7148" s="14">
        <v>1024512067</v>
      </c>
      <c r="B7148" s="2">
        <v>46163.765257638886</v>
      </c>
      <c r="C7148" s="3" t="str">
        <f>IFERROR(VLOOKUP(A7148,'Base Prueba'!A:C,3,),"NO REGISTRA")</f>
        <v>CINDY GIOVANA SALGAR GOMEZ</v>
      </c>
      <c r="D7148" s="4" t="str">
        <f>IFERROR(VLOOKUP(A7148,'Base Prueba'!A:D,4,),"NO REGISTRA")</f>
        <v>COORDINADOR DEL SISTEMA INTEGRADO DE GESTION INSTITUCIONAL - SIGI</v>
      </c>
      <c r="E7148" s="5" t="str">
        <f>IFERROR(VLOOKUP(A7148,'Base Prueba'!A:E,5,),"NO REGISTRA")</f>
        <v>OFICINA DE PLANEACION Y GESTION DE LA CALIDAD</v>
      </c>
    </row>
    <row r="7149" spans="1:5" ht="15.75" x14ac:dyDescent="0.25">
      <c r="A7149" s="14">
        <v>1023961952</v>
      </c>
      <c r="B7149" s="2">
        <v>46163.768665740739</v>
      </c>
      <c r="C7149" s="3" t="str">
        <f>IFERROR(VLOOKUP(A7149,'Base Prueba'!A:C,3,),"NO REGISTRA")</f>
        <v>ALEJANDRO PINZON MERCHAN</v>
      </c>
      <c r="D7149" s="4" t="str">
        <f>IFERROR(VLOOKUP(A7149,'Base Prueba'!A:D,4,),"NO REGISTRA")</f>
        <v>PROMOTOR CALL CENTER</v>
      </c>
      <c r="E7149" s="5" t="str">
        <f>IFERROR(VLOOKUP(A7149,'Base Prueba'!A:E,5,),"NO REGISTRA")</f>
        <v>OFICINA DE MERCADEO</v>
      </c>
    </row>
    <row r="7150" spans="1:5" ht="15.75" x14ac:dyDescent="0.25">
      <c r="A7150" s="14">
        <v>1018413529</v>
      </c>
      <c r="B7150" s="2">
        <v>46163.76957592593</v>
      </c>
      <c r="C7150" s="3" t="str">
        <f>IFERROR(VLOOKUP(A7150,'Base Prueba'!A:C,3,),"NO REGISTRA")</f>
        <v>FRANCY STELLA CHARRY MORENO</v>
      </c>
      <c r="D7150" s="4" t="str">
        <f>IFERROR(VLOOKUP(A7150,'Base Prueba'!A:D,4,),"NO REGISTRA")</f>
        <v>PROMOTOR COMERCIAL DEL CEA</v>
      </c>
      <c r="E7150" s="5" t="str">
        <f>IFERROR(VLOOKUP(A7150,'Base Prueba'!A:E,5,),"NO REGISTRA")</f>
        <v>OFICINA DE MERCADEO</v>
      </c>
    </row>
    <row r="7151" spans="1:5" ht="15.75" x14ac:dyDescent="0.25">
      <c r="A7151" s="14">
        <v>1032407386</v>
      </c>
      <c r="B7151" s="2">
        <v>46163.769655787037</v>
      </c>
      <c r="C7151" s="3" t="str">
        <f>IFERROR(VLOOKUP(A7151,'Base Prueba'!A:C,3,),"NO REGISTRA")</f>
        <v>GINA PAOLA BAEZ GALVIS</v>
      </c>
      <c r="D7151" s="4" t="str">
        <f>IFERROR(VLOOKUP(A7151,'Base Prueba'!A:D,4,),"NO REGISTRA")</f>
        <v>PROMOTOR CALL CENTER</v>
      </c>
      <c r="E7151" s="5" t="str">
        <f>IFERROR(VLOOKUP(A7151,'Base Prueba'!A:E,5,),"NO REGISTRA")</f>
        <v>OFICINA DE MERCADEO</v>
      </c>
    </row>
    <row r="7152" spans="1:5" ht="15.75" x14ac:dyDescent="0.25">
      <c r="A7152" s="14">
        <v>1018414290</v>
      </c>
      <c r="B7152" s="2">
        <v>46163.770064351855</v>
      </c>
      <c r="C7152" s="3" t="str">
        <f>IFERROR(VLOOKUP(A7152,'Base Prueba'!A:C,3,),"NO REGISTRA")</f>
        <v>AMANDA LISBETH RODRIGUEZ LEON</v>
      </c>
      <c r="D7152" s="4" t="str">
        <f>IFERROR(VLOOKUP(A7152,'Base Prueba'!A:D,4,),"NO REGISTRA")</f>
        <v>PROMOTOR CALL CENTER</v>
      </c>
      <c r="E7152" s="5" t="str">
        <f>IFERROR(VLOOKUP(A7152,'Base Prueba'!A:E,5,),"NO REGISTRA")</f>
        <v>OFICINA DE MERCADEO</v>
      </c>
    </row>
    <row r="7153" spans="1:5" ht="15.75" x14ac:dyDescent="0.25">
      <c r="A7153" s="14">
        <v>53932358</v>
      </c>
      <c r="B7153" s="2">
        <v>46163.770914004628</v>
      </c>
      <c r="C7153" s="3" t="str">
        <f>IFERROR(VLOOKUP(A7153,'Base Prueba'!A:C,3,),"NO REGISTRA")</f>
        <v>DIANA MADELEYNE GAONA RODRIGUEZ</v>
      </c>
      <c r="D7153" s="4" t="str">
        <f>IFERROR(VLOOKUP(A7153,'Base Prueba'!A:D,4,),"NO REGISTRA")</f>
        <v>CONTADOR</v>
      </c>
      <c r="E7153" s="5" t="str">
        <f>IFERROR(VLOOKUP(A7153,'Base Prueba'!A:E,5,),"NO REGISTRA")</f>
        <v>AREA FINANCIERA Y CONTABLE</v>
      </c>
    </row>
    <row r="7154" spans="1:5" ht="15.75" x14ac:dyDescent="0.25">
      <c r="A7154" s="14">
        <v>1014266838</v>
      </c>
      <c r="B7154" s="2">
        <v>46163.770967824072</v>
      </c>
      <c r="C7154" s="3" t="str">
        <f>IFERROR(VLOOKUP(A7154,'Base Prueba'!A:C,3,),"NO REGISTRA")</f>
        <v>JENNIFER ASTRID ROMERO HURTADO</v>
      </c>
      <c r="D7154" s="4" t="str">
        <f>IFERROR(VLOOKUP(A7154,'Base Prueba'!A:D,4,),"NO REGISTRA")</f>
        <v>LIDER DE RECAUDO</v>
      </c>
      <c r="E7154" s="5" t="str">
        <f>IFERROR(VLOOKUP(A7154,'Base Prueba'!A:E,5,),"NO REGISTRA")</f>
        <v>AREA FINANCIERA Y CONTABLE</v>
      </c>
    </row>
    <row r="7155" spans="1:5" ht="15.75" x14ac:dyDescent="0.25">
      <c r="A7155" s="14">
        <v>1014196857</v>
      </c>
      <c r="B7155" s="2">
        <v>46163.77461296296</v>
      </c>
      <c r="C7155" s="3" t="str">
        <f>IFERROR(VLOOKUP(A7155,'Base Prueba'!A:C,3,),"NO REGISTRA")</f>
        <v>CARLOS ANDRES JIMENEZ PARDO</v>
      </c>
      <c r="D7155" s="4" t="str">
        <f>IFERROR(VLOOKUP(A7155,'Base Prueba'!A:D,4,),"NO REGISTRA")</f>
        <v>COORDINADOR DE MARKETING DIGITAL</v>
      </c>
      <c r="E7155" s="5" t="str">
        <f>IFERROR(VLOOKUP(A7155,'Base Prueba'!A:E,5,),"NO REGISTRA")</f>
        <v>OFICINA DE MERCADEO</v>
      </c>
    </row>
    <row r="7156" spans="1:5" ht="15.75" x14ac:dyDescent="0.25">
      <c r="A7156" s="14">
        <v>52472386</v>
      </c>
      <c r="B7156" s="2">
        <v>46163.775852662038</v>
      </c>
      <c r="C7156" s="3" t="str">
        <f>IFERROR(VLOOKUP(A7156,'Base Prueba'!A:C,3,),"NO REGISTRA")</f>
        <v>ADRIANA MARCELA MORALES PARDO</v>
      </c>
      <c r="D7156" s="4" t="str">
        <f>IFERROR(VLOOKUP(A7156,'Base Prueba'!A:D,4,),"NO REGISTRA")</f>
        <v>PROMOTOR CALL CENTER</v>
      </c>
      <c r="E7156" s="5" t="str">
        <f>IFERROR(VLOOKUP(A7156,'Base Prueba'!A:E,5,),"NO REGISTRA")</f>
        <v>OFICINA DE MERCADEO</v>
      </c>
    </row>
    <row r="7157" spans="1:5" ht="15.75" x14ac:dyDescent="0.25">
      <c r="A7157" s="14">
        <v>1016090131</v>
      </c>
      <c r="B7157" s="2">
        <v>46163.879005324074</v>
      </c>
      <c r="C7157" s="3" t="str">
        <f>IFERROR(VLOOKUP(A7157,'Base Prueba'!A:C,3,),"NO REGISTRA")</f>
        <v>NICOLAS RODRIGUEZ PACHECO</v>
      </c>
      <c r="D7157" s="4" t="str">
        <f>IFERROR(VLOOKUP(A7157,'Base Prueba'!A:D,4,),"NO REGISTRA")</f>
        <v>COORDINADOR DE COMUNICACIONES</v>
      </c>
      <c r="E7157" s="5" t="str">
        <f>IFERROR(VLOOKUP(A7157,'Base Prueba'!A:E,5,),"NO REGISTRA")</f>
        <v>OFICINA DE MERCADEO</v>
      </c>
    </row>
    <row r="7158" spans="1:5" ht="15.75" x14ac:dyDescent="0.25">
      <c r="A7158" s="14">
        <v>1022996882</v>
      </c>
      <c r="B7158" s="2">
        <v>46164.317820254633</v>
      </c>
      <c r="C7158" s="3" t="str">
        <f>IFERROR(VLOOKUP(A7158,'Base Prueba'!A:C,3,),"NO REGISTRA")</f>
        <v>NANCY BRIGITH ALDANA GUEVARA</v>
      </c>
      <c r="D7158" s="4" t="str">
        <f>IFERROR(VLOOKUP(A7158,'Base Prueba'!A:D,4,),"NO REGISTRA")</f>
        <v>COORDINADORA DE GESTIÓN HUMANA</v>
      </c>
      <c r="E7158" s="5" t="str">
        <f>IFERROR(VLOOKUP(A7158,'Base Prueba'!A:E,5,),"NO REGISTRA")</f>
        <v>DEPARTAMENTO DE GESTION HUMANA</v>
      </c>
    </row>
    <row r="7159" spans="1:5" ht="15.75" x14ac:dyDescent="0.25">
      <c r="A7159" s="14">
        <v>1069712533</v>
      </c>
      <c r="B7159" s="2">
        <v>46164.326949074071</v>
      </c>
      <c r="C7159" s="3" t="str">
        <f>IFERROR(VLOOKUP(A7159,'Base Prueba'!A:C,3,),"NO REGISTRA")</f>
        <v>SONIA ROCIO MOLINA ZIPA</v>
      </c>
      <c r="D7159" s="4" t="str">
        <f>IFERROR(VLOOKUP(A7159,'Base Prueba'!A:D,4,),"NO REGISTRA")</f>
        <v>COORDINADOR PRACTICAS</v>
      </c>
      <c r="E7159" s="5" t="str">
        <f>IFERROR(VLOOKUP(A7159,'Base Prueba'!A:E,5,),"NO REGISTRA")</f>
        <v>VICERRECTORIA ACADEMICA</v>
      </c>
    </row>
    <row r="7160" spans="1:5" ht="15.75" x14ac:dyDescent="0.25">
      <c r="A7160" s="14">
        <v>80191732</v>
      </c>
      <c r="B7160" s="2">
        <v>46164.330402546293</v>
      </c>
      <c r="C7160" s="3" t="str">
        <f>IFERROR(VLOOKUP(A7160,'Base Prueba'!A:C,3,),"NO REGISTRA")</f>
        <v>DANIEL MAURICIO ZAMBRANO TUNJANO</v>
      </c>
      <c r="D7160" s="4" t="str">
        <f>IFERROR(VLOOKUP(A7160,'Base Prueba'!A:D,4,),"NO REGISTRA")</f>
        <v>COORDINADOR DE DISEÑO E IMAGEN INSTITUCIONAL</v>
      </c>
      <c r="E7160" s="5" t="str">
        <f>IFERROR(VLOOKUP(A7160,'Base Prueba'!A:E,5,),"NO REGISTRA")</f>
        <v>OFICINA DE MERCADEO</v>
      </c>
    </row>
    <row r="7161" spans="1:5" ht="15.75" x14ac:dyDescent="0.25">
      <c r="A7161" s="14">
        <v>1000324729</v>
      </c>
      <c r="B7161" s="2">
        <v>46164.330501620374</v>
      </c>
      <c r="C7161" s="3" t="str">
        <f>IFERROR(VLOOKUP(A7161,'Base Prueba'!A:C,3,),"NO REGISTRA")</f>
        <v>ANYIE VANESSA TINOCO CAMACHO</v>
      </c>
      <c r="D7161" s="4" t="str">
        <f>IFERROR(VLOOKUP(A7161,'Base Prueba'!A:D,4,),"NO REGISTRA")</f>
        <v>LIDER DE REGISTRO Y CONTROL</v>
      </c>
      <c r="E7161" s="5" t="str">
        <f>IFERROR(VLOOKUP(A7161,'Base Prueba'!A:E,5,),"NO REGISTRA")</f>
        <v>REGISTRO Y CONTROL ACADEMICO</v>
      </c>
    </row>
    <row r="7162" spans="1:5" ht="15.75" x14ac:dyDescent="0.25">
      <c r="A7162" s="14">
        <v>1024512067</v>
      </c>
      <c r="B7162" s="2">
        <v>46164.333387500003</v>
      </c>
      <c r="C7162" s="3" t="str">
        <f>IFERROR(VLOOKUP(A7162,'Base Prueba'!A:C,3,),"NO REGISTRA")</f>
        <v>CINDY GIOVANA SALGAR GOMEZ</v>
      </c>
      <c r="D7162" s="4" t="str">
        <f>IFERROR(VLOOKUP(A7162,'Base Prueba'!A:D,4,),"NO REGISTRA")</f>
        <v>COORDINADOR DEL SISTEMA INTEGRADO DE GESTION INSTITUCIONAL - SIGI</v>
      </c>
      <c r="E7162" s="5" t="str">
        <f>IFERROR(VLOOKUP(A7162,'Base Prueba'!A:E,5,),"NO REGISTRA")</f>
        <v>OFICINA DE PLANEACION Y GESTION DE LA CALIDAD</v>
      </c>
    </row>
    <row r="7163" spans="1:5" ht="15.75" x14ac:dyDescent="0.25">
      <c r="A7163" s="14">
        <v>1049644802</v>
      </c>
      <c r="B7163" s="2">
        <v>46164.335571064817</v>
      </c>
      <c r="C7163" s="3" t="str">
        <f>IFERROR(VLOOKUP(A7163,'Base Prueba'!A:C,3,),"NO REGISTRA")</f>
        <v>DANIELA ALEXANDRA CIPAMOCHA BOSIGA</v>
      </c>
      <c r="D7163" s="4" t="str">
        <f>IFERROR(VLOOKUP(A7163,'Base Prueba'!A:D,4,),"NO REGISTRA")</f>
        <v>LIDER DE DATOS Y SERVICIOS</v>
      </c>
      <c r="E7163" s="5" t="str">
        <f>IFERROR(VLOOKUP(A7163,'Base Prueba'!A:E,5,),"NO REGISTRA")</f>
        <v>OFICINA DE PLANEACION Y GESTION DE LA CALIDAD</v>
      </c>
    </row>
    <row r="7164" spans="1:5" ht="15.75" x14ac:dyDescent="0.25">
      <c r="A7164" s="14">
        <v>1013098430</v>
      </c>
      <c r="B7164" s="2">
        <v>46164.335922685183</v>
      </c>
      <c r="C7164" s="3" t="str">
        <f>IFERROR(VLOOKUP(A7164,'Base Prueba'!A:C,3,),"NO REGISTRA")</f>
        <v>ANDRES FELIPE LOPEZ ROMERO</v>
      </c>
      <c r="D7164" s="4" t="str">
        <f>IFERROR(VLOOKUP(A7164,'Base Prueba'!A:D,4,),"NO REGISTRA")</f>
        <v>APRENDIZ UNIVERSITARIO</v>
      </c>
      <c r="E7164" s="5" t="str">
        <f>IFERROR(VLOOKUP(A7164,'Base Prueba'!A:E,5,),"NO REGISTRA")</f>
        <v>OFICINA DE MERCADEO</v>
      </c>
    </row>
    <row r="7165" spans="1:5" ht="15.75" x14ac:dyDescent="0.25">
      <c r="A7165" s="14">
        <v>1000593372</v>
      </c>
      <c r="B7165" s="2">
        <v>46164.336610532409</v>
      </c>
      <c r="C7165" s="3" t="str">
        <f>IFERROR(VLOOKUP(A7165,'Base Prueba'!A:C,3,),"NO REGISTRA")</f>
        <v>LAURA SOFIA CHAPARRO LOPEZ</v>
      </c>
      <c r="D7165" s="4" t="str">
        <f>IFERROR(VLOOKUP(A7165,'Base Prueba'!A:D,4,),"NO REGISTRA")</f>
        <v>AUXILIAR JURIDICO</v>
      </c>
      <c r="E7165" s="5" t="str">
        <f>IFERROR(VLOOKUP(A7165,'Base Prueba'!A:E,5,),"NO REGISTRA")</f>
        <v>SECRETARIA GENERAL</v>
      </c>
    </row>
    <row r="7166" spans="1:5" ht="15.75" x14ac:dyDescent="0.25">
      <c r="A7166" s="14">
        <v>1033820146</v>
      </c>
      <c r="B7166" s="2">
        <v>46164.33796597222</v>
      </c>
      <c r="C7166" s="3" t="str">
        <f>IFERROR(VLOOKUP(A7166,'Base Prueba'!A:C,3,),"NO REGISTRA")</f>
        <v>JULIETH ALEXANDRA BUSTAMANTE RUIZ</v>
      </c>
      <c r="D7166" s="4" t="str">
        <f>IFERROR(VLOOKUP(A7166,'Base Prueba'!A:D,4,),"NO REGISTRA")</f>
        <v>AUXILIAR ADMINISTRATIVO</v>
      </c>
      <c r="E7166" s="5" t="str">
        <f>IFERROR(VLOOKUP(A7166,'Base Prueba'!A:E,5,),"NO REGISTRA")</f>
        <v>REGISTRO Y CONTROL ACADEMICO</v>
      </c>
    </row>
    <row r="7167" spans="1:5" ht="15.75" x14ac:dyDescent="0.25">
      <c r="A7167" s="14">
        <v>1000467399</v>
      </c>
      <c r="B7167" s="2">
        <v>46164.340400578702</v>
      </c>
      <c r="C7167" s="3" t="str">
        <f>IFERROR(VLOOKUP(A7167,'Base Prueba'!A:C,3,),"NO REGISTRA")</f>
        <v>BRANDO ESTIVEN DIAZ QUIMBAYA</v>
      </c>
      <c r="D7167" s="4" t="str">
        <f>IFERROR(VLOOKUP(A7167,'Base Prueba'!A:D,4,),"NO REGISTRA")</f>
        <v>APRENDIZ UNIVERSITARIO</v>
      </c>
      <c r="E7167" s="5" t="str">
        <f>IFERROR(VLOOKUP(A7167,'Base Prueba'!A:E,5,),"NO REGISTRA")</f>
        <v>DEPARTAMENTO DE GESTION HUMANA</v>
      </c>
    </row>
    <row r="7168" spans="1:5" ht="15.75" x14ac:dyDescent="0.25">
      <c r="A7168" s="14">
        <v>1193457976</v>
      </c>
      <c r="B7168" s="2">
        <v>46164.341000347224</v>
      </c>
      <c r="C7168" s="3" t="str">
        <f>IFERROR(VLOOKUP(A7168,'Base Prueba'!A:C,3,),"NO REGISTRA")</f>
        <v>SEDENIS RIVAS ASPRILLA</v>
      </c>
      <c r="D7168" s="4" t="str">
        <f>IFERROR(VLOOKUP(A7168,'Base Prueba'!A:D,4,),"NO REGISTRA")</f>
        <v>APRENDIZ UNIVERSITARIO</v>
      </c>
      <c r="E7168" s="5" t="str">
        <f>IFERROR(VLOOKUP(A7168,'Base Prueba'!A:E,5,),"NO REGISTRA")</f>
        <v>DEPARTAMENTO DE GESTION HUMANA</v>
      </c>
    </row>
    <row r="7169" spans="1:5" ht="15.75" x14ac:dyDescent="0.25">
      <c r="A7169" s="14">
        <v>1000257136</v>
      </c>
      <c r="B7169" s="2">
        <v>46164.342795486111</v>
      </c>
      <c r="C7169" s="3" t="str">
        <f>IFERROR(VLOOKUP(A7169,'Base Prueba'!A:C,3,),"NO REGISTRA")</f>
        <v>FRANCI VALENTINA CANO PUENTES</v>
      </c>
      <c r="D7169" s="4" t="str">
        <f>IFERROR(VLOOKUP(A7169,'Base Prueba'!A:D,4,),"NO REGISTRA")</f>
        <v>AUXILIAR CONTABLE</v>
      </c>
      <c r="E7169" s="5" t="str">
        <f>IFERROR(VLOOKUP(A7169,'Base Prueba'!A:E,5,),"NO REGISTRA")</f>
        <v>AREA FINANCIERA Y CONTABLE</v>
      </c>
    </row>
    <row r="7170" spans="1:5" ht="15.75" x14ac:dyDescent="0.25">
      <c r="A7170" s="14">
        <v>1032410833</v>
      </c>
      <c r="B7170" s="2">
        <v>46164.345962615742</v>
      </c>
      <c r="C7170" s="3" t="str">
        <f>IFERROR(VLOOKUP(A7170,'Base Prueba'!A:C,3,),"NO REGISTRA")</f>
        <v>DIANA PAOLA MONTAÑEZ GONZALEZ</v>
      </c>
      <c r="D7170" s="4" t="str">
        <f>IFERROR(VLOOKUP(A7170,'Base Prueba'!A:D,4,),"NO REGISTRA")</f>
        <v>APRENDIZ UNIVERSITARIO</v>
      </c>
      <c r="E7170" s="5" t="str">
        <f>IFERROR(VLOOKUP(A7170,'Base Prueba'!A:E,5,),"NO REGISTRA")</f>
        <v>AREA FINANCIERA Y CONTABLE</v>
      </c>
    </row>
    <row r="7171" spans="1:5" ht="15.75" x14ac:dyDescent="0.25">
      <c r="A7171" s="14">
        <v>1014196857</v>
      </c>
      <c r="B7171" s="2">
        <v>46164.347911921293</v>
      </c>
      <c r="C7171" s="3" t="str">
        <f>IFERROR(VLOOKUP(A7171,'Base Prueba'!A:C,3,),"NO REGISTRA")</f>
        <v>CARLOS ANDRES JIMENEZ PARDO</v>
      </c>
      <c r="D7171" s="4" t="str">
        <f>IFERROR(VLOOKUP(A7171,'Base Prueba'!A:D,4,),"NO REGISTRA")</f>
        <v>COORDINADOR DE MARKETING DIGITAL</v>
      </c>
      <c r="E7171" s="5" t="str">
        <f>IFERROR(VLOOKUP(A7171,'Base Prueba'!A:E,5,),"NO REGISTRA")</f>
        <v>OFICINA DE MERCADEO</v>
      </c>
    </row>
    <row r="7172" spans="1:5" ht="15.75" x14ac:dyDescent="0.25">
      <c r="A7172" s="14">
        <v>1023883232</v>
      </c>
      <c r="B7172" s="2">
        <v>46164.348242361113</v>
      </c>
      <c r="C7172" s="3" t="str">
        <f>IFERROR(VLOOKUP(A7172,'Base Prueba'!A:C,3,),"NO REGISTRA")</f>
        <v>MONICA ANDREA ACERO URBANO</v>
      </c>
      <c r="D7172" s="4" t="str">
        <f>IFERROR(VLOOKUP(A7172,'Base Prueba'!A:D,4,),"NO REGISTRA")</f>
        <v>APOYO INTEGRAL A GESTION HUMANA</v>
      </c>
      <c r="E7172" s="5" t="str">
        <f>IFERROR(VLOOKUP(A7172,'Base Prueba'!A:E,5,),"NO REGISTRA")</f>
        <v>DEPARTAMENTO DE GESTION HUMANA</v>
      </c>
    </row>
    <row r="7173" spans="1:5" ht="15.75" x14ac:dyDescent="0.25">
      <c r="A7173" s="14">
        <v>1000604979</v>
      </c>
      <c r="B7173" s="2">
        <v>46164.348317939817</v>
      </c>
      <c r="C7173" s="3" t="str">
        <f>IFERROR(VLOOKUP(A7173,'Base Prueba'!A:C,3,),"NO REGISTRA")</f>
        <v>JULIETH TATIANA PARDO PINTO</v>
      </c>
      <c r="D7173" s="4" t="str">
        <f>IFERROR(VLOOKUP(A7173,'Base Prueba'!A:D,4,),"NO REGISTRA")</f>
        <v>AUXILIAR JURIDICO</v>
      </c>
      <c r="E7173" s="5" t="str">
        <f>IFERROR(VLOOKUP(A7173,'Base Prueba'!A:E,5,),"NO REGISTRA")</f>
        <v>SECRETARIA GENERAL</v>
      </c>
    </row>
    <row r="7174" spans="1:5" ht="15.75" x14ac:dyDescent="0.25">
      <c r="A7174" s="14">
        <v>1000457706</v>
      </c>
      <c r="B7174" s="2">
        <v>46164.348414351851</v>
      </c>
      <c r="C7174" s="3" t="str">
        <f>IFERROR(VLOOKUP(A7174,'Base Prueba'!A:C,3,),"NO REGISTRA")</f>
        <v>CRISTIAN DANILO ARROYO SANABRIA</v>
      </c>
      <c r="D7174" s="4" t="str">
        <f>IFERROR(VLOOKUP(A7174,'Base Prueba'!A:D,4,),"NO REGISTRA")</f>
        <v>AUXILIAR CONTABLE</v>
      </c>
      <c r="E7174" s="5" t="str">
        <f>IFERROR(VLOOKUP(A7174,'Base Prueba'!A:E,5,),"NO REGISTRA")</f>
        <v>AREA FINANCIERA Y CONTABLE</v>
      </c>
    </row>
    <row r="7175" spans="1:5" ht="15.75" x14ac:dyDescent="0.25">
      <c r="A7175" s="14">
        <v>53932358</v>
      </c>
      <c r="B7175" s="2">
        <v>46164.351806134262</v>
      </c>
      <c r="C7175" s="3" t="str">
        <f>IFERROR(VLOOKUP(A7175,'Base Prueba'!A:C,3,),"NO REGISTRA")</f>
        <v>DIANA MADELEYNE GAONA RODRIGUEZ</v>
      </c>
      <c r="D7175" s="4" t="str">
        <f>IFERROR(VLOOKUP(A7175,'Base Prueba'!A:D,4,),"NO REGISTRA")</f>
        <v>CONTADOR</v>
      </c>
      <c r="E7175" s="5" t="str">
        <f>IFERROR(VLOOKUP(A7175,'Base Prueba'!A:E,5,),"NO REGISTRA")</f>
        <v>AREA FINANCIERA Y CONTABLE</v>
      </c>
    </row>
    <row r="7176" spans="1:5" ht="15.75" x14ac:dyDescent="0.25">
      <c r="A7176" s="14">
        <v>1087121273</v>
      </c>
      <c r="B7176" s="2">
        <v>46164.353332870371</v>
      </c>
      <c r="C7176" s="3" t="str">
        <f>IFERROR(VLOOKUP(A7176,'Base Prueba'!A:C,3,),"NO REGISTRA")</f>
        <v>MAYRA ALEJANDRA CASTILLO ARBOLEDA</v>
      </c>
      <c r="D7176" s="4" t="str">
        <f>IFERROR(VLOOKUP(A7176,'Base Prueba'!A:D,4,),"NO REGISTRA")</f>
        <v>APOYO INTEGRAL DE MERCADEO</v>
      </c>
      <c r="E7176" s="5" t="str">
        <f>IFERROR(VLOOKUP(A7176,'Base Prueba'!A:E,5,),"NO REGISTRA")</f>
        <v>CENTRO DE GESTION DOCUMENTAL</v>
      </c>
    </row>
    <row r="7177" spans="1:5" ht="15.75" x14ac:dyDescent="0.25">
      <c r="A7177" s="14">
        <v>80234243</v>
      </c>
      <c r="B7177" s="2">
        <v>46164.354387847219</v>
      </c>
      <c r="C7177" s="3" t="str">
        <f>IFERROR(VLOOKUP(A7177,'Base Prueba'!A:C,3,),"NO REGISTRA")</f>
        <v>ARGENIS MARTINEZ MARTINEZ</v>
      </c>
      <c r="D7177" s="4" t="str">
        <f>IFERROR(VLOOKUP(A7177,'Base Prueba'!A:D,4,),"NO REGISTRA")</f>
        <v>LIDER CALL CENTER</v>
      </c>
      <c r="E7177" s="5" t="str">
        <f>IFERROR(VLOOKUP(A7177,'Base Prueba'!A:E,5,),"NO REGISTRA")</f>
        <v>OFICINA DE MERCADEO</v>
      </c>
    </row>
    <row r="7178" spans="1:5" ht="15.75" x14ac:dyDescent="0.25">
      <c r="A7178" s="14">
        <v>1033709056</v>
      </c>
      <c r="B7178" s="2">
        <v>46164.365975347224</v>
      </c>
      <c r="C7178" s="3" t="str">
        <f>IFERROR(VLOOKUP(A7178,'Base Prueba'!A:C,3,),"NO REGISTRA")</f>
        <v>YEIMY ALEXANDRA RODRIGUEZ PALACIO</v>
      </c>
      <c r="D7178" s="4" t="str">
        <f>IFERROR(VLOOKUP(A7178,'Base Prueba'!A:D,4,),"NO REGISTRA")</f>
        <v>PROMOTOR CALL CENTER</v>
      </c>
      <c r="E7178" s="5" t="str">
        <f>IFERROR(VLOOKUP(A7178,'Base Prueba'!A:E,5,),"NO REGISTRA")</f>
        <v>OFICINA DE MERCADEO</v>
      </c>
    </row>
    <row r="7179" spans="1:5" ht="15.75" x14ac:dyDescent="0.25">
      <c r="A7179" s="14">
        <v>1012426741</v>
      </c>
      <c r="B7179" s="2">
        <v>46164.367774189814</v>
      </c>
      <c r="C7179" s="3" t="str">
        <f>IFERROR(VLOOKUP(A7179,'Base Prueba'!A:C,3,),"NO REGISTRA")</f>
        <v>CRISTIAN FABIAN ROJAS SANCENO</v>
      </c>
      <c r="D7179" s="4" t="str">
        <f>IFERROR(VLOOKUP(A7179,'Base Prueba'!A:D,4,),"NO REGISTRA")</f>
        <v>AUXILIAR DE REINTEGROS</v>
      </c>
      <c r="E7179" s="5" t="str">
        <f>IFERROR(VLOOKUP(A7179,'Base Prueba'!A:E,5,),"NO REGISTRA")</f>
        <v>DIRECCION DE BIENESTAR INSTITUCIONAL</v>
      </c>
    </row>
    <row r="7180" spans="1:5" ht="15.75" x14ac:dyDescent="0.25">
      <c r="A7180" s="14">
        <v>1014308296</v>
      </c>
      <c r="B7180" s="2">
        <v>46164.369962037039</v>
      </c>
      <c r="C7180" s="3" t="str">
        <f>IFERROR(VLOOKUP(A7180,'Base Prueba'!A:C,3,),"NO REGISTRA")</f>
        <v>DARLENE YULIANA MORENO CELEITA</v>
      </c>
      <c r="D7180" s="4" t="str">
        <f>IFERROR(VLOOKUP(A7180,'Base Prueba'!A:D,4,),"NO REGISTRA")</f>
        <v>CAJERO PRINCIPAL</v>
      </c>
      <c r="E7180" s="5" t="str">
        <f>IFERROR(VLOOKUP(A7180,'Base Prueba'!A:E,5,),"NO REGISTRA")</f>
        <v>AREA FINANCIERA Y CONTABLE</v>
      </c>
    </row>
    <row r="7181" spans="1:5" ht="15.75" x14ac:dyDescent="0.25">
      <c r="A7181" s="14">
        <v>52472386</v>
      </c>
      <c r="B7181" s="2">
        <v>46164.370548148145</v>
      </c>
      <c r="C7181" s="3" t="str">
        <f>IFERROR(VLOOKUP(A7181,'Base Prueba'!A:C,3,),"NO REGISTRA")</f>
        <v>ADRIANA MARCELA MORALES PARDO</v>
      </c>
      <c r="D7181" s="4" t="str">
        <f>IFERROR(VLOOKUP(A7181,'Base Prueba'!A:D,4,),"NO REGISTRA")</f>
        <v>PROMOTOR CALL CENTER</v>
      </c>
      <c r="E7181" s="5" t="str">
        <f>IFERROR(VLOOKUP(A7181,'Base Prueba'!A:E,5,),"NO REGISTRA")</f>
        <v>OFICINA DE MERCADEO</v>
      </c>
    </row>
    <row r="7182" spans="1:5" ht="15.75" x14ac:dyDescent="0.25">
      <c r="A7182" s="14">
        <v>1000046533</v>
      </c>
      <c r="B7182" s="2">
        <v>46164.372551388886</v>
      </c>
      <c r="C7182" s="3" t="str">
        <f>IFERROR(VLOOKUP(A7182,'Base Prueba'!A:C,3,),"NO REGISTRA")</f>
        <v>ERIKA JULIETH VALDERRAMA SANCHEZ</v>
      </c>
      <c r="D7182" s="4" t="str">
        <f>IFERROR(VLOOKUP(A7182,'Base Prueba'!A:D,4,),"NO REGISTRA")</f>
        <v>PROMOTOR CALL CENTER</v>
      </c>
      <c r="E7182" s="5" t="str">
        <f>IFERROR(VLOOKUP(A7182,'Base Prueba'!A:E,5,),"NO REGISTRA")</f>
        <v>OFICINA DE MERCADEO</v>
      </c>
    </row>
    <row r="7183" spans="1:5" ht="15.75" x14ac:dyDescent="0.25">
      <c r="A7183" s="14">
        <v>1023961952</v>
      </c>
      <c r="B7183" s="2">
        <v>46164.374099074077</v>
      </c>
      <c r="C7183" s="3" t="str">
        <f>IFERROR(VLOOKUP(A7183,'Base Prueba'!A:C,3,),"NO REGISTRA")</f>
        <v>ALEJANDRO PINZON MERCHAN</v>
      </c>
      <c r="D7183" s="4" t="str">
        <f>IFERROR(VLOOKUP(A7183,'Base Prueba'!A:D,4,),"NO REGISTRA")</f>
        <v>PROMOTOR CALL CENTER</v>
      </c>
      <c r="E7183" s="5" t="str">
        <f>IFERROR(VLOOKUP(A7183,'Base Prueba'!A:E,5,),"NO REGISTRA")</f>
        <v>OFICINA DE MERCADEO</v>
      </c>
    </row>
    <row r="7184" spans="1:5" ht="15.75" x14ac:dyDescent="0.25">
      <c r="A7184" s="14">
        <v>52175674</v>
      </c>
      <c r="B7184" s="2">
        <v>46164.375628472226</v>
      </c>
      <c r="C7184" s="3" t="str">
        <f>IFERROR(VLOOKUP(A7184,'Base Prueba'!A:C,3,),"NO REGISTRA")</f>
        <v>LUZ YANETH GOMEZ AREVALO</v>
      </c>
      <c r="D7184" s="4" t="str">
        <f>IFERROR(VLOOKUP(A7184,'Base Prueba'!A:D,4,),"NO REGISTRA")</f>
        <v>COORDINADORA DE ADMISIONES</v>
      </c>
      <c r="E7184" s="5" t="str">
        <f>IFERROR(VLOOKUP(A7184,'Base Prueba'!A:E,5,),"NO REGISTRA")</f>
        <v>OFICINA DE MERCADEO</v>
      </c>
    </row>
    <row r="7185" spans="1:5" ht="15.75" x14ac:dyDescent="0.25">
      <c r="A7185" s="14">
        <v>1018414290</v>
      </c>
      <c r="B7185" s="2">
        <v>46164.376703703703</v>
      </c>
      <c r="C7185" s="3" t="str">
        <f>IFERROR(VLOOKUP(A7185,'Base Prueba'!A:C,3,),"NO REGISTRA")</f>
        <v>AMANDA LISBETH RODRIGUEZ LEON</v>
      </c>
      <c r="D7185" s="4" t="str">
        <f>IFERROR(VLOOKUP(A7185,'Base Prueba'!A:D,4,),"NO REGISTRA")</f>
        <v>PROMOTOR CALL CENTER</v>
      </c>
      <c r="E7185" s="5" t="str">
        <f>IFERROR(VLOOKUP(A7185,'Base Prueba'!A:E,5,),"NO REGISTRA")</f>
        <v>OFICINA DE MERCADEO</v>
      </c>
    </row>
    <row r="7186" spans="1:5" ht="15.75" x14ac:dyDescent="0.25">
      <c r="A7186" s="14">
        <v>1016090131</v>
      </c>
      <c r="B7186" s="2">
        <v>46164.37756724537</v>
      </c>
      <c r="C7186" s="3" t="str">
        <f>IFERROR(VLOOKUP(A7186,'Base Prueba'!A:C,3,),"NO REGISTRA")</f>
        <v>NICOLAS RODRIGUEZ PACHECO</v>
      </c>
      <c r="D7186" s="4" t="str">
        <f>IFERROR(VLOOKUP(A7186,'Base Prueba'!A:D,4,),"NO REGISTRA")</f>
        <v>COORDINADOR DE COMUNICACIONES</v>
      </c>
      <c r="E7186" s="5" t="str">
        <f>IFERROR(VLOOKUP(A7186,'Base Prueba'!A:E,5,),"NO REGISTRA")</f>
        <v>OFICINA DE MERCADEO</v>
      </c>
    </row>
    <row r="7187" spans="1:5" ht="15.75" x14ac:dyDescent="0.25">
      <c r="A7187" s="14">
        <v>53089882</v>
      </c>
      <c r="B7187" s="2">
        <v>46164.378021759258</v>
      </c>
      <c r="C7187" s="3" t="str">
        <f>IFERROR(VLOOKUP(A7187,'Base Prueba'!A:C,3,),"NO REGISTRA")</f>
        <v>MARIA JOHANA ESCAMILLA MARTINEZ</v>
      </c>
      <c r="D7187" s="4" t="str">
        <f>IFERROR(VLOOKUP(A7187,'Base Prueba'!A:D,4,),"NO REGISTRA")</f>
        <v>PROMOTOR DE INFORMACIÓN</v>
      </c>
      <c r="E7187" s="5" t="str">
        <f>IFERROR(VLOOKUP(A7187,'Base Prueba'!A:E,5,),"NO REGISTRA")</f>
        <v>OFICINA DE MERCADEO</v>
      </c>
    </row>
    <row r="7188" spans="1:5" ht="15.75" x14ac:dyDescent="0.25">
      <c r="A7188" s="14">
        <v>1193457976</v>
      </c>
      <c r="B7188" s="2">
        <v>46164.544141782404</v>
      </c>
      <c r="C7188" s="3" t="str">
        <f>IFERROR(VLOOKUP(A7188,'Base Prueba'!A:C,3,),"NO REGISTRA")</f>
        <v>SEDENIS RIVAS ASPRILLA</v>
      </c>
      <c r="D7188" s="4" t="str">
        <f>IFERROR(VLOOKUP(A7188,'Base Prueba'!A:D,4,),"NO REGISTRA")</f>
        <v>APRENDIZ UNIVERSITARIO</v>
      </c>
      <c r="E7188" s="5" t="str">
        <f>IFERROR(VLOOKUP(A7188,'Base Prueba'!A:E,5,),"NO REGISTRA")</f>
        <v>DEPARTAMENTO DE GESTION HUMANA</v>
      </c>
    </row>
    <row r="7189" spans="1:5" ht="15.75" x14ac:dyDescent="0.25">
      <c r="A7189" s="14">
        <v>1018413529</v>
      </c>
      <c r="B7189" s="2">
        <v>46164.547147916666</v>
      </c>
      <c r="C7189" s="3" t="str">
        <f>IFERROR(VLOOKUP(A7189,'Base Prueba'!A:C,3,),"NO REGISTRA")</f>
        <v>FRANCY STELLA CHARRY MORENO</v>
      </c>
      <c r="D7189" s="4" t="str">
        <f>IFERROR(VLOOKUP(A7189,'Base Prueba'!A:D,4,),"NO REGISTRA")</f>
        <v>PROMOTOR COMERCIAL DEL CEA</v>
      </c>
      <c r="E7189" s="5" t="str">
        <f>IFERROR(VLOOKUP(A7189,'Base Prueba'!A:E,5,),"NO REGISTRA")</f>
        <v>OFICINA DE MERCADEO</v>
      </c>
    </row>
    <row r="7190" spans="1:5" ht="15.75" x14ac:dyDescent="0.25">
      <c r="A7190" s="14">
        <v>52443092</v>
      </c>
      <c r="B7190" s="2">
        <v>46164.583443981479</v>
      </c>
      <c r="C7190" s="3" t="str">
        <f>IFERROR(VLOOKUP(A7190,'Base Prueba'!A:C,3,),"NO REGISTRA")</f>
        <v>LUZ MYRIAM SAAVEDRA CONTRERAS</v>
      </c>
      <c r="D7190" s="4" t="str">
        <f>IFERROR(VLOOKUP(A7190,'Base Prueba'!A:D,4,),"NO REGISTRA")</f>
        <v>AUXILIAR DE SERVICIOS</v>
      </c>
      <c r="E7190" s="5" t="str">
        <f>IFERROR(VLOOKUP(A7190,'Base Prueba'!A:E,5,),"NO REGISTRA")</f>
        <v>LOGISTICA Y SERVICIOS GENERALES</v>
      </c>
    </row>
    <row r="7191" spans="1:5" ht="15.75" x14ac:dyDescent="0.25">
      <c r="A7191" s="14">
        <v>1013098430</v>
      </c>
      <c r="B7191" s="2">
        <v>46164.693760532406</v>
      </c>
      <c r="C7191" s="3" t="str">
        <f>IFERROR(VLOOKUP(A7191,'Base Prueba'!A:C,3,),"NO REGISTRA")</f>
        <v>ANDRES FELIPE LOPEZ ROMERO</v>
      </c>
      <c r="D7191" s="4" t="str">
        <f>IFERROR(VLOOKUP(A7191,'Base Prueba'!A:D,4,),"NO REGISTRA")</f>
        <v>APRENDIZ UNIVERSITARIO</v>
      </c>
      <c r="E7191" s="5" t="str">
        <f>IFERROR(VLOOKUP(A7191,'Base Prueba'!A:E,5,),"NO REGISTRA")</f>
        <v>OFICINA DE MERCADEO</v>
      </c>
    </row>
    <row r="7192" spans="1:5" ht="15.75" x14ac:dyDescent="0.25">
      <c r="A7192" s="14">
        <v>1000324729</v>
      </c>
      <c r="B7192" s="2">
        <v>46164.711116666665</v>
      </c>
      <c r="C7192" s="3" t="str">
        <f>IFERROR(VLOOKUP(A7192,'Base Prueba'!A:C,3,),"NO REGISTRA")</f>
        <v>ANYIE VANESSA TINOCO CAMACHO</v>
      </c>
      <c r="D7192" s="4" t="str">
        <f>IFERROR(VLOOKUP(A7192,'Base Prueba'!A:D,4,),"NO REGISTRA")</f>
        <v>LIDER DE REGISTRO Y CONTROL</v>
      </c>
      <c r="E7192" s="5" t="str">
        <f>IFERROR(VLOOKUP(A7192,'Base Prueba'!A:E,5,),"NO REGISTRA")</f>
        <v>REGISTRO Y CONTROL ACADEMICO</v>
      </c>
    </row>
    <row r="7193" spans="1:5" ht="15.75" x14ac:dyDescent="0.25">
      <c r="A7193" s="14">
        <v>1000992568</v>
      </c>
      <c r="B7193" s="2">
        <v>46164.711359606481</v>
      </c>
      <c r="C7193" s="3" t="str">
        <f>IFERROR(VLOOKUP(A7193,'Base Prueba'!A:C,3,),"NO REGISTRA")</f>
        <v>KAREN BRIGITTE DALEMAN MORENO</v>
      </c>
      <c r="D7193" s="4" t="str">
        <f>IFERROR(VLOOKUP(A7193,'Base Prueba'!A:D,4,),"NO REGISTRA")</f>
        <v>RECEPCIONISTA</v>
      </c>
      <c r="E7193" s="5" t="str">
        <f>IFERROR(VLOOKUP(A7193,'Base Prueba'!A:E,5,),"NO REGISTRA")</f>
        <v>CENTRO DE GESTION DOCUMENTAL</v>
      </c>
    </row>
    <row r="7194" spans="1:5" ht="15.75" x14ac:dyDescent="0.25">
      <c r="A7194" s="14">
        <v>1000611958</v>
      </c>
      <c r="B7194" s="2">
        <v>46164.714715046299</v>
      </c>
      <c r="C7194" s="3" t="str">
        <f>IFERROR(VLOOKUP(A7194,'Base Prueba'!A:C,3,),"NO REGISTRA")</f>
        <v>TYLER CORRADINE  VARGAS</v>
      </c>
      <c r="D7194" s="4" t="str">
        <f>IFERROR(VLOOKUP(A7194,'Base Prueba'!A:D,4,),"NO REGISTRA")</f>
        <v>APRENDIZ UNIVERSITARIO</v>
      </c>
      <c r="E7194" s="5" t="str">
        <f>IFERROR(VLOOKUP(A7194,'Base Prueba'!A:E,5,),"NO REGISTRA")</f>
        <v>DEPARTAMENTO DE INFORMATICA Y TECNOLOGIA</v>
      </c>
    </row>
    <row r="7195" spans="1:5" ht="15.75" x14ac:dyDescent="0.25">
      <c r="A7195" s="14">
        <v>1000593372</v>
      </c>
      <c r="B7195" s="2">
        <v>46164.715355787041</v>
      </c>
      <c r="C7195" s="3" t="str">
        <f>IFERROR(VLOOKUP(A7195,'Base Prueba'!A:C,3,),"NO REGISTRA")</f>
        <v>LAURA SOFIA CHAPARRO LOPEZ</v>
      </c>
      <c r="D7195" s="4" t="str">
        <f>IFERROR(VLOOKUP(A7195,'Base Prueba'!A:D,4,),"NO REGISTRA")</f>
        <v>AUXILIAR JURIDICO</v>
      </c>
      <c r="E7195" s="5" t="str">
        <f>IFERROR(VLOOKUP(A7195,'Base Prueba'!A:E,5,),"NO REGISTRA")</f>
        <v>SECRETARIA GENERAL</v>
      </c>
    </row>
    <row r="7196" spans="1:5" ht="15.75" x14ac:dyDescent="0.25">
      <c r="A7196" s="14">
        <v>1049644802</v>
      </c>
      <c r="B7196" s="2">
        <v>46164.716293055557</v>
      </c>
      <c r="C7196" s="3" t="str">
        <f>IFERROR(VLOOKUP(A7196,'Base Prueba'!A:C,3,),"NO REGISTRA")</f>
        <v>DANIELA ALEXANDRA CIPAMOCHA BOSIGA</v>
      </c>
      <c r="D7196" s="4" t="str">
        <f>IFERROR(VLOOKUP(A7196,'Base Prueba'!A:D,4,),"NO REGISTRA")</f>
        <v>LIDER DE DATOS Y SERVICIOS</v>
      </c>
      <c r="E7196" s="5" t="str">
        <f>IFERROR(VLOOKUP(A7196,'Base Prueba'!A:E,5,),"NO REGISTRA")</f>
        <v>OFICINA DE PLANEACION Y GESTION DE LA CALIDAD</v>
      </c>
    </row>
    <row r="7197" spans="1:5" ht="15.75" x14ac:dyDescent="0.25">
      <c r="A7197" s="14">
        <v>1000257136</v>
      </c>
      <c r="B7197" s="2">
        <v>46164.724247685182</v>
      </c>
      <c r="C7197" s="3" t="str">
        <f>IFERROR(VLOOKUP(A7197,'Base Prueba'!A:C,3,),"NO REGISTRA")</f>
        <v>FRANCI VALENTINA CANO PUENTES</v>
      </c>
      <c r="D7197" s="4" t="str">
        <f>IFERROR(VLOOKUP(A7197,'Base Prueba'!A:D,4,),"NO REGISTRA")</f>
        <v>AUXILIAR CONTABLE</v>
      </c>
      <c r="E7197" s="5" t="str">
        <f>IFERROR(VLOOKUP(A7197,'Base Prueba'!A:E,5,),"NO REGISTRA")</f>
        <v>AREA FINANCIERA Y CONTABLE</v>
      </c>
    </row>
    <row r="7198" spans="1:5" ht="15.75" x14ac:dyDescent="0.25">
      <c r="A7198" s="14">
        <v>1032410833</v>
      </c>
      <c r="B7198" s="2">
        <v>46164.725214814818</v>
      </c>
      <c r="C7198" s="3" t="str">
        <f>IFERROR(VLOOKUP(A7198,'Base Prueba'!A:C,3,),"NO REGISTRA")</f>
        <v>DIANA PAOLA MONTAÑEZ GONZALEZ</v>
      </c>
      <c r="D7198" s="4" t="str">
        <f>IFERROR(VLOOKUP(A7198,'Base Prueba'!A:D,4,),"NO REGISTRA")</f>
        <v>APRENDIZ UNIVERSITARIO</v>
      </c>
      <c r="E7198" s="5" t="str">
        <f>IFERROR(VLOOKUP(A7198,'Base Prueba'!A:E,5,),"NO REGISTRA")</f>
        <v>AREA FINANCIERA Y CONTABLE</v>
      </c>
    </row>
    <row r="7199" spans="1:5" ht="15.75" x14ac:dyDescent="0.25">
      <c r="A7199" s="14">
        <v>1000457706</v>
      </c>
      <c r="B7199" s="2">
        <v>46164.727614814816</v>
      </c>
      <c r="C7199" s="3" t="str">
        <f>IFERROR(VLOOKUP(A7199,'Base Prueba'!A:C,3,),"NO REGISTRA")</f>
        <v>CRISTIAN DANILO ARROYO SANABRIA</v>
      </c>
      <c r="D7199" s="4" t="str">
        <f>IFERROR(VLOOKUP(A7199,'Base Prueba'!A:D,4,),"NO REGISTRA")</f>
        <v>AUXILIAR CONTABLE</v>
      </c>
      <c r="E7199" s="5" t="str">
        <f>IFERROR(VLOOKUP(A7199,'Base Prueba'!A:E,5,),"NO REGISTRA")</f>
        <v>AREA FINANCIERA Y CONTABLE</v>
      </c>
    </row>
    <row r="7200" spans="1:5" ht="15.75" x14ac:dyDescent="0.25">
      <c r="A7200" s="14">
        <v>1033820146</v>
      </c>
      <c r="B7200" s="2">
        <v>46164.732506597225</v>
      </c>
      <c r="C7200" s="3" t="str">
        <f>IFERROR(VLOOKUP(A7200,'Base Prueba'!A:C,3,),"NO REGISTRA")</f>
        <v>JULIETH ALEXANDRA BUSTAMANTE RUIZ</v>
      </c>
      <c r="D7200" s="4" t="str">
        <f>IFERROR(VLOOKUP(A7200,'Base Prueba'!A:D,4,),"NO REGISTRA")</f>
        <v>AUXILIAR ADMINISTRATIVO</v>
      </c>
      <c r="E7200" s="5" t="str">
        <f>IFERROR(VLOOKUP(A7200,'Base Prueba'!A:E,5,),"NO REGISTRA")</f>
        <v>REGISTRO Y CONTROL ACADEMICO</v>
      </c>
    </row>
    <row r="7201" spans="1:5" ht="15.75" x14ac:dyDescent="0.25">
      <c r="A7201" s="14">
        <v>1014308296</v>
      </c>
      <c r="B7201" s="2">
        <v>46164.745455555552</v>
      </c>
      <c r="C7201" s="3" t="str">
        <f>IFERROR(VLOOKUP(A7201,'Base Prueba'!A:C,3,),"NO REGISTRA")</f>
        <v>DARLENE YULIANA MORENO CELEITA</v>
      </c>
      <c r="D7201" s="4" t="str">
        <f>IFERROR(VLOOKUP(A7201,'Base Prueba'!A:D,4,),"NO REGISTRA")</f>
        <v>CAJERO PRINCIPAL</v>
      </c>
      <c r="E7201" s="5" t="str">
        <f>IFERROR(VLOOKUP(A7201,'Base Prueba'!A:E,5,),"NO REGISTRA")</f>
        <v>AREA FINANCIERA Y CONTABLE</v>
      </c>
    </row>
    <row r="7202" spans="1:5" ht="15.75" x14ac:dyDescent="0.25">
      <c r="A7202" s="14">
        <v>1012426741</v>
      </c>
      <c r="B7202" s="2">
        <v>46164.750294097219</v>
      </c>
      <c r="C7202" s="3" t="str">
        <f>IFERROR(VLOOKUP(A7202,'Base Prueba'!A:C,3,),"NO REGISTRA")</f>
        <v>CRISTIAN FABIAN ROJAS SANCENO</v>
      </c>
      <c r="D7202" s="4" t="str">
        <f>IFERROR(VLOOKUP(A7202,'Base Prueba'!A:D,4,),"NO REGISTRA")</f>
        <v>AUXILIAR DE REINTEGROS</v>
      </c>
      <c r="E7202" s="5" t="str">
        <f>IFERROR(VLOOKUP(A7202,'Base Prueba'!A:E,5,),"NO REGISTRA")</f>
        <v>DIRECCION DE BIENESTAR INSTITUCIONAL</v>
      </c>
    </row>
    <row r="7203" spans="1:5" ht="15.75" x14ac:dyDescent="0.25">
      <c r="A7203" s="14">
        <v>80191732</v>
      </c>
      <c r="B7203" s="2">
        <v>46164.753700925925</v>
      </c>
      <c r="C7203" s="3" t="str">
        <f>IFERROR(VLOOKUP(A7203,'Base Prueba'!A:C,3,),"NO REGISTRA")</f>
        <v>DANIEL MAURICIO ZAMBRANO TUNJANO</v>
      </c>
      <c r="D7203" s="4" t="str">
        <f>IFERROR(VLOOKUP(A7203,'Base Prueba'!A:D,4,),"NO REGISTRA")</f>
        <v>COORDINADOR DE DISEÑO E IMAGEN INSTITUCIONAL</v>
      </c>
      <c r="E7203" s="5" t="str">
        <f>IFERROR(VLOOKUP(A7203,'Base Prueba'!A:E,5,),"NO REGISTRA")</f>
        <v>OFICINA DE MERCADEO</v>
      </c>
    </row>
    <row r="7204" spans="1:5" ht="15.75" x14ac:dyDescent="0.25">
      <c r="A7204" s="14">
        <v>52474489</v>
      </c>
      <c r="B7204" s="2">
        <v>46164.754987731481</v>
      </c>
      <c r="C7204" s="3" t="str">
        <f>IFERROR(VLOOKUP(A7204,'Base Prueba'!A:C,3,),"NO REGISTRA")</f>
        <v>ADRIANA JIMENA SOTO BOCANEGRA</v>
      </c>
      <c r="D7204" s="4" t="str">
        <f>IFERROR(VLOOKUP(A7204,'Base Prueba'!A:D,4,),"NO REGISTRA")</f>
        <v>COORDINADOR DE LA OFICINA DE REGISTRO Y CONTROL</v>
      </c>
      <c r="E7204" s="5" t="str">
        <f>IFERROR(VLOOKUP(A7204,'Base Prueba'!A:E,5,),"NO REGISTRA")</f>
        <v>REGISTRO Y CONTROL ACADEMICO</v>
      </c>
    </row>
    <row r="7205" spans="1:5" ht="15.75" x14ac:dyDescent="0.25">
      <c r="A7205" s="14">
        <v>1014196857</v>
      </c>
      <c r="B7205" s="2">
        <v>46164.755321412034</v>
      </c>
      <c r="C7205" s="3" t="str">
        <f>IFERROR(VLOOKUP(A7205,'Base Prueba'!A:C,3,),"NO REGISTRA")</f>
        <v>CARLOS ANDRES JIMENEZ PARDO</v>
      </c>
      <c r="D7205" s="4" t="str">
        <f>IFERROR(VLOOKUP(A7205,'Base Prueba'!A:D,4,),"NO REGISTRA")</f>
        <v>COORDINADOR DE MARKETING DIGITAL</v>
      </c>
      <c r="E7205" s="5" t="str">
        <f>IFERROR(VLOOKUP(A7205,'Base Prueba'!A:E,5,),"NO REGISTRA")</f>
        <v>OFICINA DE MERCADEO</v>
      </c>
    </row>
    <row r="7206" spans="1:5" ht="15.75" x14ac:dyDescent="0.25">
      <c r="A7206" s="14">
        <v>1033709056</v>
      </c>
      <c r="B7206" s="2">
        <v>46164.755638078706</v>
      </c>
      <c r="C7206" s="3" t="str">
        <f>IFERROR(VLOOKUP(A7206,'Base Prueba'!A:C,3,),"NO REGISTRA")</f>
        <v>YEIMY ALEXANDRA RODRIGUEZ PALACIO</v>
      </c>
      <c r="D7206" s="4" t="str">
        <f>IFERROR(VLOOKUP(A7206,'Base Prueba'!A:D,4,),"NO REGISTRA")</f>
        <v>PROMOTOR CALL CENTER</v>
      </c>
      <c r="E7206" s="5" t="str">
        <f>IFERROR(VLOOKUP(A7206,'Base Prueba'!A:E,5,),"NO REGISTRA")</f>
        <v>OFICINA DE MERCADEO</v>
      </c>
    </row>
    <row r="7207" spans="1:5" ht="15.75" x14ac:dyDescent="0.25">
      <c r="A7207" s="14">
        <v>1000046533</v>
      </c>
      <c r="B7207" s="2">
        <v>46164.755809027774</v>
      </c>
      <c r="C7207" s="3" t="str">
        <f>IFERROR(VLOOKUP(A7207,'Base Prueba'!A:C,3,),"NO REGISTRA")</f>
        <v>ERIKA JULIETH VALDERRAMA SANCHEZ</v>
      </c>
      <c r="D7207" s="4" t="str">
        <f>IFERROR(VLOOKUP(A7207,'Base Prueba'!A:D,4,),"NO REGISTRA")</f>
        <v>PROMOTOR CALL CENTER</v>
      </c>
      <c r="E7207" s="5" t="str">
        <f>IFERROR(VLOOKUP(A7207,'Base Prueba'!A:E,5,),"NO REGISTRA")</f>
        <v>OFICINA DE MERCADEO</v>
      </c>
    </row>
    <row r="7208" spans="1:5" ht="15.75" x14ac:dyDescent="0.25">
      <c r="A7208" s="14">
        <v>1018414290</v>
      </c>
      <c r="B7208" s="2">
        <v>46164.756049305557</v>
      </c>
      <c r="C7208" s="3" t="str">
        <f>IFERROR(VLOOKUP(A7208,'Base Prueba'!A:C,3,),"NO REGISTRA")</f>
        <v>AMANDA LISBETH RODRIGUEZ LEON</v>
      </c>
      <c r="D7208" s="4" t="str">
        <f>IFERROR(VLOOKUP(A7208,'Base Prueba'!A:D,4,),"NO REGISTRA")</f>
        <v>PROMOTOR CALL CENTER</v>
      </c>
      <c r="E7208" s="5" t="str">
        <f>IFERROR(VLOOKUP(A7208,'Base Prueba'!A:E,5,),"NO REGISTRA")</f>
        <v>OFICINA DE MERCADEO</v>
      </c>
    </row>
    <row r="7209" spans="1:5" ht="15.75" x14ac:dyDescent="0.25">
      <c r="A7209" s="14">
        <v>52175674</v>
      </c>
      <c r="B7209" s="2">
        <v>46164.75630833333</v>
      </c>
      <c r="C7209" s="3" t="str">
        <f>IFERROR(VLOOKUP(A7209,'Base Prueba'!A:C,3,),"NO REGISTRA")</f>
        <v>LUZ YANETH GOMEZ AREVALO</v>
      </c>
      <c r="D7209" s="4" t="str">
        <f>IFERROR(VLOOKUP(A7209,'Base Prueba'!A:D,4,),"NO REGISTRA")</f>
        <v>COORDINADORA DE ADMISIONES</v>
      </c>
      <c r="E7209" s="5" t="str">
        <f>IFERROR(VLOOKUP(A7209,'Base Prueba'!A:E,5,),"NO REGISTRA")</f>
        <v>OFICINA DE MERCADEO</v>
      </c>
    </row>
    <row r="7210" spans="1:5" ht="15.75" x14ac:dyDescent="0.25">
      <c r="A7210" s="14">
        <v>52472386</v>
      </c>
      <c r="B7210" s="2">
        <v>46164.756574074076</v>
      </c>
      <c r="C7210" s="3" t="str">
        <f>IFERROR(VLOOKUP(A7210,'Base Prueba'!A:C,3,),"NO REGISTRA")</f>
        <v>ADRIANA MARCELA MORALES PARDO</v>
      </c>
      <c r="D7210" s="4" t="str">
        <f>IFERROR(VLOOKUP(A7210,'Base Prueba'!A:D,4,),"NO REGISTRA")</f>
        <v>PROMOTOR CALL CENTER</v>
      </c>
      <c r="E7210" s="5" t="str">
        <f>IFERROR(VLOOKUP(A7210,'Base Prueba'!A:E,5,),"NO REGISTRA")</f>
        <v>OFICINA DE MERCADEO</v>
      </c>
    </row>
    <row r="7211" spans="1:5" ht="15.75" x14ac:dyDescent="0.25">
      <c r="A7211" s="14">
        <v>1022996882</v>
      </c>
      <c r="B7211" s="2">
        <v>46164.757487615738</v>
      </c>
      <c r="C7211" s="3" t="str">
        <f>IFERROR(VLOOKUP(A7211,'Base Prueba'!A:C,3,),"NO REGISTRA")</f>
        <v>NANCY BRIGITH ALDANA GUEVARA</v>
      </c>
      <c r="D7211" s="4" t="str">
        <f>IFERROR(VLOOKUP(A7211,'Base Prueba'!A:D,4,),"NO REGISTRA")</f>
        <v>COORDINADORA DE GESTIÓN HUMANA</v>
      </c>
      <c r="E7211" s="5" t="str">
        <f>IFERROR(VLOOKUP(A7211,'Base Prueba'!A:E,5,),"NO REGISTRA")</f>
        <v>DEPARTAMENTO DE GESTION HUMANA</v>
      </c>
    </row>
    <row r="7212" spans="1:5" ht="15.75" x14ac:dyDescent="0.25">
      <c r="A7212" s="14">
        <v>53932358</v>
      </c>
      <c r="B7212" s="2">
        <v>46164.757970949075</v>
      </c>
      <c r="C7212" s="3" t="str">
        <f>IFERROR(VLOOKUP(A7212,'Base Prueba'!A:C,3,),"NO REGISTRA")</f>
        <v>DIANA MADELEYNE GAONA RODRIGUEZ</v>
      </c>
      <c r="D7212" s="4" t="str">
        <f>IFERROR(VLOOKUP(A7212,'Base Prueba'!A:D,4,),"NO REGISTRA")</f>
        <v>CONTADOR</v>
      </c>
      <c r="E7212" s="5" t="str">
        <f>IFERROR(VLOOKUP(A7212,'Base Prueba'!A:E,5,),"NO REGISTRA")</f>
        <v>AREA FINANCIERA Y CONTABLE</v>
      </c>
    </row>
    <row r="7213" spans="1:5" ht="15.75" x14ac:dyDescent="0.25">
      <c r="A7213" s="14">
        <v>52764929</v>
      </c>
      <c r="B7213" s="2">
        <v>46164.759266435183</v>
      </c>
      <c r="C7213" s="3" t="str">
        <f>IFERROR(VLOOKUP(A7213,'Base Prueba'!A:C,3,),"NO REGISTRA")</f>
        <v>GUERLY YOHANA DURAN RIVERA</v>
      </c>
      <c r="D7213" s="4" t="str">
        <f>IFERROR(VLOOKUP(A7213,'Base Prueba'!A:D,4,),"NO REGISTRA")</f>
        <v>LIDER DE VINCULACION COLEGIOS</v>
      </c>
      <c r="E7213" s="5" t="str">
        <f>IFERROR(VLOOKUP(A7213,'Base Prueba'!A:E,5,),"NO REGISTRA")</f>
        <v>OFICINA DE MERCADEO</v>
      </c>
    </row>
    <row r="7214" spans="1:5" ht="15.75" x14ac:dyDescent="0.25">
      <c r="A7214" s="14">
        <v>1023883232</v>
      </c>
      <c r="B7214" s="2">
        <v>46164.760748611108</v>
      </c>
      <c r="C7214" s="3" t="str">
        <f>IFERROR(VLOOKUP(A7214,'Base Prueba'!A:C,3,),"NO REGISTRA")</f>
        <v>MONICA ANDREA ACERO URBANO</v>
      </c>
      <c r="D7214" s="4" t="str">
        <f>IFERROR(VLOOKUP(A7214,'Base Prueba'!A:D,4,),"NO REGISTRA")</f>
        <v>APOYO INTEGRAL A GESTION HUMANA</v>
      </c>
      <c r="E7214" s="5" t="str">
        <f>IFERROR(VLOOKUP(A7214,'Base Prueba'!A:E,5,),"NO REGISTRA")</f>
        <v>DEPARTAMENTO DE GESTION HUMANA</v>
      </c>
    </row>
    <row r="7215" spans="1:5" ht="15.75" x14ac:dyDescent="0.25">
      <c r="A7215" s="14">
        <v>1000604979</v>
      </c>
      <c r="B7215" s="2">
        <v>46164.762268055558</v>
      </c>
      <c r="C7215" s="3" t="str">
        <f>IFERROR(VLOOKUP(A7215,'Base Prueba'!A:C,3,),"NO REGISTRA")</f>
        <v>JULIETH TATIANA PARDO PINTO</v>
      </c>
      <c r="D7215" s="4" t="str">
        <f>IFERROR(VLOOKUP(A7215,'Base Prueba'!A:D,4,),"NO REGISTRA")</f>
        <v>AUXILIAR JURIDICO</v>
      </c>
      <c r="E7215" s="5" t="str">
        <f>IFERROR(VLOOKUP(A7215,'Base Prueba'!A:E,5,),"NO REGISTRA")</f>
        <v>SECRETARIA GENERAL</v>
      </c>
    </row>
    <row r="7216" spans="1:5" ht="15.75" x14ac:dyDescent="0.25">
      <c r="A7216" s="14">
        <v>1024512067</v>
      </c>
      <c r="B7216" s="2">
        <v>46164.765018865743</v>
      </c>
      <c r="C7216" s="3" t="str">
        <f>IFERROR(VLOOKUP(A7216,'Base Prueba'!A:C,3,),"NO REGISTRA")</f>
        <v>CINDY GIOVANA SALGAR GOMEZ</v>
      </c>
      <c r="D7216" s="4" t="str">
        <f>IFERROR(VLOOKUP(A7216,'Base Prueba'!A:D,4,),"NO REGISTRA")</f>
        <v>COORDINADOR DEL SISTEMA INTEGRADO DE GESTION INSTITUCIONAL - SIGI</v>
      </c>
      <c r="E7216" s="5" t="str">
        <f>IFERROR(VLOOKUP(A7216,'Base Prueba'!A:E,5,),"NO REGISTRA")</f>
        <v>OFICINA DE PLANEACION Y GESTION DE LA CALIDAD</v>
      </c>
    </row>
    <row r="7217" spans="1:5" ht="15.75" x14ac:dyDescent="0.25">
      <c r="A7217" s="14">
        <v>1023961952</v>
      </c>
      <c r="B7217" s="2">
        <v>46164.76619988426</v>
      </c>
      <c r="C7217" s="3" t="str">
        <f>IFERROR(VLOOKUP(A7217,'Base Prueba'!A:C,3,),"NO REGISTRA")</f>
        <v>ALEJANDRO PINZON MERCHAN</v>
      </c>
      <c r="D7217" s="4" t="str">
        <f>IFERROR(VLOOKUP(A7217,'Base Prueba'!A:D,4,),"NO REGISTRA")</f>
        <v>PROMOTOR CALL CENTER</v>
      </c>
      <c r="E7217" s="5" t="str">
        <f>IFERROR(VLOOKUP(A7217,'Base Prueba'!A:E,5,),"NO REGISTRA")</f>
        <v>OFICINA DE MERCADEO</v>
      </c>
    </row>
    <row r="7218" spans="1:5" ht="15.75" x14ac:dyDescent="0.25">
      <c r="A7218" s="14">
        <v>1018413529</v>
      </c>
      <c r="B7218" s="2">
        <v>46164.766247106483</v>
      </c>
      <c r="C7218" s="3" t="str">
        <f>IFERROR(VLOOKUP(A7218,'Base Prueba'!A:C,3,),"NO REGISTRA")</f>
        <v>FRANCY STELLA CHARRY MORENO</v>
      </c>
      <c r="D7218" s="4" t="str">
        <f>IFERROR(VLOOKUP(A7218,'Base Prueba'!A:D,4,),"NO REGISTRA")</f>
        <v>PROMOTOR COMERCIAL DEL CEA</v>
      </c>
      <c r="E7218" s="5" t="str">
        <f>IFERROR(VLOOKUP(A7218,'Base Prueba'!A:E,5,),"NO REGISTRA")</f>
        <v>OFICINA DE MERCADEO</v>
      </c>
    </row>
    <row r="7219" spans="1:5" ht="15.75" x14ac:dyDescent="0.25">
      <c r="A7219" s="14">
        <v>53089882</v>
      </c>
      <c r="B7219" s="2">
        <v>46164.76639837963</v>
      </c>
      <c r="C7219" s="3" t="str">
        <f>IFERROR(VLOOKUP(A7219,'Base Prueba'!A:C,3,),"NO REGISTRA")</f>
        <v>MARIA JOHANA ESCAMILLA MARTINEZ</v>
      </c>
      <c r="D7219" s="4" t="str">
        <f>IFERROR(VLOOKUP(A7219,'Base Prueba'!A:D,4,),"NO REGISTRA")</f>
        <v>PROMOTOR DE INFORMACIÓN</v>
      </c>
      <c r="E7219" s="5" t="str">
        <f>IFERROR(VLOOKUP(A7219,'Base Prueba'!A:E,5,),"NO REGISTRA")</f>
        <v>OFICINA DE MERCADEO</v>
      </c>
    </row>
    <row r="7220" spans="1:5" ht="15.75" x14ac:dyDescent="0.25">
      <c r="A7220" s="14">
        <v>80234243</v>
      </c>
      <c r="B7220" s="2">
        <v>46164.785879976851</v>
      </c>
      <c r="C7220" s="3" t="str">
        <f>IFERROR(VLOOKUP(A7220,'Base Prueba'!A:C,3,),"NO REGISTRA")</f>
        <v>ARGENIS MARTINEZ MARTINEZ</v>
      </c>
      <c r="D7220" s="4" t="str">
        <f>IFERROR(VLOOKUP(A7220,'Base Prueba'!A:D,4,),"NO REGISTRA")</f>
        <v>LIDER CALL CENTER</v>
      </c>
      <c r="E7220" s="5" t="str">
        <f>IFERROR(VLOOKUP(A7220,'Base Prueba'!A:E,5,),"NO REGISTRA")</f>
        <v>OFICINA DE MERCADEO</v>
      </c>
    </row>
    <row r="7221" spans="1:5" ht="15.75" x14ac:dyDescent="0.25">
      <c r="A7221" s="14">
        <v>79872151</v>
      </c>
      <c r="B7221" s="2">
        <v>46165.322414699076</v>
      </c>
      <c r="C7221" s="3" t="str">
        <f>IFERROR(VLOOKUP(A7221,'Base Prueba'!A:C,3,),"NO REGISTRA")</f>
        <v>HECTOR ALIRIO MARTINEZ TORRES</v>
      </c>
      <c r="D7221" s="4" t="str">
        <f>IFERROR(VLOOKUP(A7221,'Base Prueba'!A:D,4,),"NO REGISTRA")</f>
        <v>DOCENTE DE TIEMPO COMPLETO</v>
      </c>
      <c r="E7221" s="5" t="str">
        <f>IFERROR(VLOOKUP(A7221,'Base Prueba'!A:E,5,),"NO REGISTRA")</f>
        <v>CIENCIAS DE LA INFORMACION Y BIBLIOTECOLOGIA</v>
      </c>
    </row>
    <row r="7222" spans="1:5" ht="15.75" x14ac:dyDescent="0.25">
      <c r="A7222" s="14">
        <v>1000046533</v>
      </c>
      <c r="B7222" s="2">
        <v>46165.358589814816</v>
      </c>
      <c r="C7222" s="3" t="str">
        <f>IFERROR(VLOOKUP(A7222,'Base Prueba'!A:C,3,),"NO REGISTRA")</f>
        <v>ERIKA JULIETH VALDERRAMA SANCHEZ</v>
      </c>
      <c r="D7222" s="4" t="str">
        <f>IFERROR(VLOOKUP(A7222,'Base Prueba'!A:D,4,),"NO REGISTRA")</f>
        <v>PROMOTOR CALL CENTER</v>
      </c>
      <c r="E7222" s="5" t="str">
        <f>IFERROR(VLOOKUP(A7222,'Base Prueba'!A:E,5,),"NO REGISTRA")</f>
        <v>OFICINA DE MERCADEO</v>
      </c>
    </row>
    <row r="7223" spans="1:5" ht="15.75" x14ac:dyDescent="0.25">
      <c r="A7223" s="14">
        <v>1018413529</v>
      </c>
      <c r="B7223" s="2">
        <v>46165.360647337962</v>
      </c>
      <c r="C7223" s="3" t="str">
        <f>IFERROR(VLOOKUP(A7223,'Base Prueba'!A:C,3,),"NO REGISTRA")</f>
        <v>FRANCY STELLA CHARRY MORENO</v>
      </c>
      <c r="D7223" s="4" t="str">
        <f>IFERROR(VLOOKUP(A7223,'Base Prueba'!A:D,4,),"NO REGISTRA")</f>
        <v>PROMOTOR COMERCIAL DEL CEA</v>
      </c>
      <c r="E7223" s="5" t="str">
        <f>IFERROR(VLOOKUP(A7223,'Base Prueba'!A:E,5,),"NO REGISTRA")</f>
        <v>OFICINA DE MERCADEO</v>
      </c>
    </row>
    <row r="7224" spans="1:5" ht="15.75" x14ac:dyDescent="0.25">
      <c r="A7224" s="14">
        <v>1014308296</v>
      </c>
      <c r="B7224" s="2">
        <v>46165.360747685183</v>
      </c>
      <c r="C7224" s="3" t="str">
        <f>IFERROR(VLOOKUP(A7224,'Base Prueba'!A:C,3,),"NO REGISTRA")</f>
        <v>DARLENE YULIANA MORENO CELEITA</v>
      </c>
      <c r="D7224" s="4" t="str">
        <f>IFERROR(VLOOKUP(A7224,'Base Prueba'!A:D,4,),"NO REGISTRA")</f>
        <v>CAJERO PRINCIPAL</v>
      </c>
      <c r="E7224" s="5" t="str">
        <f>IFERROR(VLOOKUP(A7224,'Base Prueba'!A:E,5,),"NO REGISTRA")</f>
        <v>AREA FINANCIERA Y CONTABLE</v>
      </c>
    </row>
    <row r="7225" spans="1:5" ht="15.75" x14ac:dyDescent="0.25">
      <c r="A7225" s="14">
        <v>52472386</v>
      </c>
      <c r="B7225" s="2">
        <v>46165.360905208334</v>
      </c>
      <c r="C7225" s="3" t="str">
        <f>IFERROR(VLOOKUP(A7225,'Base Prueba'!A:C,3,),"NO REGISTRA")</f>
        <v>ADRIANA MARCELA MORALES PARDO</v>
      </c>
      <c r="D7225" s="4" t="str">
        <f>IFERROR(VLOOKUP(A7225,'Base Prueba'!A:D,4,),"NO REGISTRA")</f>
        <v>PROMOTOR CALL CENTER</v>
      </c>
      <c r="E7225" s="5" t="str">
        <f>IFERROR(VLOOKUP(A7225,'Base Prueba'!A:E,5,),"NO REGISTRA")</f>
        <v>OFICINA DE MERCADEO</v>
      </c>
    </row>
    <row r="7226" spans="1:5" ht="15.75" x14ac:dyDescent="0.25">
      <c r="A7226" s="14">
        <v>52764929</v>
      </c>
      <c r="B7226" s="2">
        <v>46165.36849212963</v>
      </c>
      <c r="C7226" s="3" t="str">
        <f>IFERROR(VLOOKUP(A7226,'Base Prueba'!A:C,3,),"NO REGISTRA")</f>
        <v>GUERLY YOHANA DURAN RIVERA</v>
      </c>
      <c r="D7226" s="4" t="str">
        <f>IFERROR(VLOOKUP(A7226,'Base Prueba'!A:D,4,),"NO REGISTRA")</f>
        <v>LIDER DE VINCULACION COLEGIOS</v>
      </c>
      <c r="E7226" s="5" t="str">
        <f>IFERROR(VLOOKUP(A7226,'Base Prueba'!A:E,5,),"NO REGISTRA")</f>
        <v>OFICINA DE MERCADEO</v>
      </c>
    </row>
    <row r="7227" spans="1:5" ht="15.75" x14ac:dyDescent="0.25">
      <c r="A7227" s="14">
        <v>1033709056</v>
      </c>
      <c r="B7227" s="2">
        <v>46165.368717824073</v>
      </c>
      <c r="C7227" s="3" t="str">
        <f>IFERROR(VLOOKUP(A7227,'Base Prueba'!A:C,3,),"NO REGISTRA")</f>
        <v>YEIMY ALEXANDRA RODRIGUEZ PALACIO</v>
      </c>
      <c r="D7227" s="4" t="str">
        <f>IFERROR(VLOOKUP(A7227,'Base Prueba'!A:D,4,),"NO REGISTRA")</f>
        <v>PROMOTOR CALL CENTER</v>
      </c>
      <c r="E7227" s="5" t="str">
        <f>IFERROR(VLOOKUP(A7227,'Base Prueba'!A:E,5,),"NO REGISTRA")</f>
        <v>OFICINA DE MERCADEO</v>
      </c>
    </row>
    <row r="7228" spans="1:5" ht="15.75" x14ac:dyDescent="0.25">
      <c r="A7228" s="14">
        <v>1012426741</v>
      </c>
      <c r="B7228" s="2">
        <v>46165.369353009257</v>
      </c>
      <c r="C7228" s="3" t="str">
        <f>IFERROR(VLOOKUP(A7228,'Base Prueba'!A:C,3,),"NO REGISTRA")</f>
        <v>CRISTIAN FABIAN ROJAS SANCENO</v>
      </c>
      <c r="D7228" s="4" t="str">
        <f>IFERROR(VLOOKUP(A7228,'Base Prueba'!A:D,4,),"NO REGISTRA")</f>
        <v>AUXILIAR DE REINTEGROS</v>
      </c>
      <c r="E7228" s="5" t="str">
        <f>IFERROR(VLOOKUP(A7228,'Base Prueba'!A:E,5,),"NO REGISTRA")</f>
        <v>DIRECCION DE BIENESTAR INSTITUCIONAL</v>
      </c>
    </row>
    <row r="7229" spans="1:5" ht="15.75" x14ac:dyDescent="0.25">
      <c r="A7229" s="14">
        <v>1023961952</v>
      </c>
      <c r="B7229" s="2">
        <v>46165.373227430558</v>
      </c>
      <c r="C7229" s="3" t="str">
        <f>IFERROR(VLOOKUP(A7229,'Base Prueba'!A:C,3,),"NO REGISTRA")</f>
        <v>ALEJANDRO PINZON MERCHAN</v>
      </c>
      <c r="D7229" s="4" t="str">
        <f>IFERROR(VLOOKUP(A7229,'Base Prueba'!A:D,4,),"NO REGISTRA")</f>
        <v>PROMOTOR CALL CENTER</v>
      </c>
      <c r="E7229" s="5" t="str">
        <f>IFERROR(VLOOKUP(A7229,'Base Prueba'!A:E,5,),"NO REGISTRA")</f>
        <v>OFICINA DE MERCADEO</v>
      </c>
    </row>
    <row r="7230" spans="1:5" ht="15.75" x14ac:dyDescent="0.25">
      <c r="A7230" s="14">
        <v>80234243</v>
      </c>
      <c r="B7230" s="2">
        <v>46165.373240740744</v>
      </c>
      <c r="C7230" s="3" t="str">
        <f>IFERROR(VLOOKUP(A7230,'Base Prueba'!A:C,3,),"NO REGISTRA")</f>
        <v>ARGENIS MARTINEZ MARTINEZ</v>
      </c>
      <c r="D7230" s="4" t="str">
        <f>IFERROR(VLOOKUP(A7230,'Base Prueba'!A:D,4,),"NO REGISTRA")</f>
        <v>LIDER CALL CENTER</v>
      </c>
      <c r="E7230" s="5" t="str">
        <f>IFERROR(VLOOKUP(A7230,'Base Prueba'!A:E,5,),"NO REGISTRA")</f>
        <v>OFICINA DE MERCADEO</v>
      </c>
    </row>
    <row r="7231" spans="1:5" ht="15.75" x14ac:dyDescent="0.25">
      <c r="A7231" s="14">
        <v>1000324729</v>
      </c>
      <c r="B7231" s="2">
        <v>46165.374212962961</v>
      </c>
      <c r="C7231" s="3" t="str">
        <f>IFERROR(VLOOKUP(A7231,'Base Prueba'!A:C,3,),"NO REGISTRA")</f>
        <v>ANYIE VANESSA TINOCO CAMACHO</v>
      </c>
      <c r="D7231" s="4" t="str">
        <f>IFERROR(VLOOKUP(A7231,'Base Prueba'!A:D,4,),"NO REGISTRA")</f>
        <v>LIDER DE REGISTRO Y CONTROL</v>
      </c>
      <c r="E7231" s="5" t="str">
        <f>IFERROR(VLOOKUP(A7231,'Base Prueba'!A:E,5,),"NO REGISTRA")</f>
        <v>REGISTRO Y CONTROL ACADEMICO</v>
      </c>
    </row>
    <row r="7232" spans="1:5" ht="15.75" x14ac:dyDescent="0.25">
      <c r="A7232" s="14">
        <v>1013098430</v>
      </c>
      <c r="B7232" s="2">
        <v>46165.374497453704</v>
      </c>
      <c r="C7232" s="3" t="str">
        <f>IFERROR(VLOOKUP(A7232,'Base Prueba'!A:C,3,),"NO REGISTRA")</f>
        <v>ANDRES FELIPE LOPEZ ROMERO</v>
      </c>
      <c r="D7232" s="4" t="str">
        <f>IFERROR(VLOOKUP(A7232,'Base Prueba'!A:D,4,),"NO REGISTRA")</f>
        <v>APRENDIZ UNIVERSITARIO</v>
      </c>
      <c r="E7232" s="5" t="str">
        <f>IFERROR(VLOOKUP(A7232,'Base Prueba'!A:E,5,),"NO REGISTRA")</f>
        <v>OFICINA DE MERCADEO</v>
      </c>
    </row>
    <row r="7233" spans="1:5" ht="15.75" x14ac:dyDescent="0.25">
      <c r="A7233" s="14">
        <v>1087121273</v>
      </c>
      <c r="B7233" s="2">
        <v>46165.375444212965</v>
      </c>
      <c r="C7233" s="3" t="str">
        <f>IFERROR(VLOOKUP(A7233,'Base Prueba'!A:C,3,),"NO REGISTRA")</f>
        <v>MAYRA ALEJANDRA CASTILLO ARBOLEDA</v>
      </c>
      <c r="D7233" s="4" t="str">
        <f>IFERROR(VLOOKUP(A7233,'Base Prueba'!A:D,4,),"NO REGISTRA")</f>
        <v>APOYO INTEGRAL DE MERCADEO</v>
      </c>
      <c r="E7233" s="5" t="str">
        <f>IFERROR(VLOOKUP(A7233,'Base Prueba'!A:E,5,),"NO REGISTRA")</f>
        <v>CENTRO DE GESTION DOCUMENTAL</v>
      </c>
    </row>
    <row r="7234" spans="1:5" ht="15.75" x14ac:dyDescent="0.25">
      <c r="A7234" s="14">
        <v>53089882</v>
      </c>
      <c r="B7234" s="2">
        <v>46165.381597800922</v>
      </c>
      <c r="C7234" s="3" t="str">
        <f>IFERROR(VLOOKUP(A7234,'Base Prueba'!A:C,3,),"NO REGISTRA")</f>
        <v>MARIA JOHANA ESCAMILLA MARTINEZ</v>
      </c>
      <c r="D7234" s="4" t="str">
        <f>IFERROR(VLOOKUP(A7234,'Base Prueba'!A:D,4,),"NO REGISTRA")</f>
        <v>PROMOTOR DE INFORMACIÓN</v>
      </c>
      <c r="E7234" s="5" t="str">
        <f>IFERROR(VLOOKUP(A7234,'Base Prueba'!A:E,5,),"NO REGISTRA")</f>
        <v>OFICINA DE MERCADEO</v>
      </c>
    </row>
    <row r="7235" spans="1:5" ht="15.75" x14ac:dyDescent="0.25">
      <c r="A7235" s="14">
        <v>1018414290</v>
      </c>
      <c r="B7235" s="2">
        <v>46165.38162615741</v>
      </c>
      <c r="C7235" s="3" t="str">
        <f>IFERROR(VLOOKUP(A7235,'Base Prueba'!A:C,3,),"NO REGISTRA")</f>
        <v>AMANDA LISBETH RODRIGUEZ LEON</v>
      </c>
      <c r="D7235" s="4" t="str">
        <f>IFERROR(VLOOKUP(A7235,'Base Prueba'!A:D,4,),"NO REGISTRA")</f>
        <v>PROMOTOR CALL CENTER</v>
      </c>
      <c r="E7235" s="5" t="str">
        <f>IFERROR(VLOOKUP(A7235,'Base Prueba'!A:E,5,),"NO REGISTRA")</f>
        <v>OFICINA DE MERCADEO</v>
      </c>
    </row>
    <row r="7236" spans="1:5" ht="15.75" x14ac:dyDescent="0.25">
      <c r="A7236" s="14">
        <v>52175674</v>
      </c>
      <c r="B7236" s="2">
        <v>46165.381732754628</v>
      </c>
      <c r="C7236" s="3" t="str">
        <f>IFERROR(VLOOKUP(A7236,'Base Prueba'!A:C,3,),"NO REGISTRA")</f>
        <v>LUZ YANETH GOMEZ AREVALO</v>
      </c>
      <c r="D7236" s="4" t="str">
        <f>IFERROR(VLOOKUP(A7236,'Base Prueba'!A:D,4,),"NO REGISTRA")</f>
        <v>COORDINADORA DE ADMISIONES</v>
      </c>
      <c r="E7236" s="5" t="str">
        <f>IFERROR(VLOOKUP(A7236,'Base Prueba'!A:E,5,),"NO REGISTRA")</f>
        <v>OFICINA DE MERCADEO</v>
      </c>
    </row>
    <row r="7237" spans="1:5" ht="15.75" x14ac:dyDescent="0.25">
      <c r="A7237" s="14">
        <v>28798349</v>
      </c>
      <c r="B7237" s="2">
        <v>46165.389203356484</v>
      </c>
      <c r="C7237" s="3" t="str">
        <f>IFERROR(VLOOKUP(A7237,'Base Prueba'!A:C,3,),"NO REGISTRA")</f>
        <v>MARTHA ISABEL TOVAR WILLIAMS</v>
      </c>
      <c r="D7237" s="4" t="str">
        <f>IFERROR(VLOOKUP(A7237,'Base Prueba'!A:D,4,),"NO REGISTRA")</f>
        <v>PROMOTOR CALL CENTER</v>
      </c>
      <c r="E7237" s="5" t="str">
        <f>IFERROR(VLOOKUP(A7237,'Base Prueba'!A:E,5,),"NO REGISTRA")</f>
        <v>OFICINA DE MERCADEO</v>
      </c>
    </row>
    <row r="7238" spans="1:5" ht="15.75" x14ac:dyDescent="0.25">
      <c r="A7238" s="14">
        <v>1016090131</v>
      </c>
      <c r="B7238" s="2">
        <v>46165.390373263886</v>
      </c>
      <c r="C7238" s="3" t="str">
        <f>IFERROR(VLOOKUP(A7238,'Base Prueba'!A:C,3,),"NO REGISTRA")</f>
        <v>NICOLAS RODRIGUEZ PACHECO</v>
      </c>
      <c r="D7238" s="4" t="str">
        <f>IFERROR(VLOOKUP(A7238,'Base Prueba'!A:D,4,),"NO REGISTRA")</f>
        <v>COORDINADOR DE COMUNICACIONES</v>
      </c>
      <c r="E7238" s="5" t="str">
        <f>IFERROR(VLOOKUP(A7238,'Base Prueba'!A:E,5,),"NO REGISTRA")</f>
        <v>OFICINA DE MERCADEO</v>
      </c>
    </row>
    <row r="7239" spans="1:5" ht="15.75" x14ac:dyDescent="0.25">
      <c r="A7239" s="14">
        <v>52443092</v>
      </c>
      <c r="B7239" s="2">
        <v>46165.499469328701</v>
      </c>
      <c r="C7239" s="3" t="str">
        <f>IFERROR(VLOOKUP(A7239,'Base Prueba'!A:C,3,),"NO REGISTRA")</f>
        <v>LUZ MYRIAM SAAVEDRA CONTRERAS</v>
      </c>
      <c r="D7239" s="4" t="str">
        <f>IFERROR(VLOOKUP(A7239,'Base Prueba'!A:D,4,),"NO REGISTRA")</f>
        <v>AUXILIAR DE SERVICIOS</v>
      </c>
      <c r="E7239" s="5" t="str">
        <f>IFERROR(VLOOKUP(A7239,'Base Prueba'!A:E,5,),"NO REGISTRA")</f>
        <v>LOGISTICA Y SERVICIOS GENERALES</v>
      </c>
    </row>
    <row r="7240" spans="1:5" ht="15.75" x14ac:dyDescent="0.25">
      <c r="A7240" s="14">
        <v>1012426741</v>
      </c>
      <c r="B7240" s="2">
        <v>46165.502833796294</v>
      </c>
      <c r="C7240" s="3" t="str">
        <f>IFERROR(VLOOKUP(A7240,'Base Prueba'!A:C,3,),"NO REGISTRA")</f>
        <v>CRISTIAN FABIAN ROJAS SANCENO</v>
      </c>
      <c r="D7240" s="4" t="str">
        <f>IFERROR(VLOOKUP(A7240,'Base Prueba'!A:D,4,),"NO REGISTRA")</f>
        <v>AUXILIAR DE REINTEGROS</v>
      </c>
      <c r="E7240" s="5" t="str">
        <f>IFERROR(VLOOKUP(A7240,'Base Prueba'!A:E,5,),"NO REGISTRA")</f>
        <v>DIRECCION DE BIENESTAR INSTITUCIONAL</v>
      </c>
    </row>
    <row r="7241" spans="1:5" ht="15.75" x14ac:dyDescent="0.25">
      <c r="A7241" s="14">
        <v>1000611958</v>
      </c>
      <c r="B7241" s="2">
        <v>46165.503665856479</v>
      </c>
      <c r="C7241" s="3" t="str">
        <f>IFERROR(VLOOKUP(A7241,'Base Prueba'!A:C,3,),"NO REGISTRA")</f>
        <v>TYLER CORRADINE  VARGAS</v>
      </c>
      <c r="D7241" s="4" t="str">
        <f>IFERROR(VLOOKUP(A7241,'Base Prueba'!A:D,4,),"NO REGISTRA")</f>
        <v>APRENDIZ UNIVERSITARIO</v>
      </c>
      <c r="E7241" s="5" t="str">
        <f>IFERROR(VLOOKUP(A7241,'Base Prueba'!A:E,5,),"NO REGISTRA")</f>
        <v>DEPARTAMENTO DE INFORMATICA Y TECNOLOGIA</v>
      </c>
    </row>
    <row r="7242" spans="1:5" ht="15.75" x14ac:dyDescent="0.25">
      <c r="A7242" s="14">
        <v>1000324729</v>
      </c>
      <c r="B7242" s="2">
        <v>46165.503802199077</v>
      </c>
      <c r="C7242" s="3" t="str">
        <f>IFERROR(VLOOKUP(A7242,'Base Prueba'!A:C,3,),"NO REGISTRA")</f>
        <v>ANYIE VANESSA TINOCO CAMACHO</v>
      </c>
      <c r="D7242" s="4" t="str">
        <f>IFERROR(VLOOKUP(A7242,'Base Prueba'!A:D,4,),"NO REGISTRA")</f>
        <v>LIDER DE REGISTRO Y CONTROL</v>
      </c>
      <c r="E7242" s="5" t="str">
        <f>IFERROR(VLOOKUP(A7242,'Base Prueba'!A:E,5,),"NO REGISTRA")</f>
        <v>REGISTRO Y CONTROL ACADEMICO</v>
      </c>
    </row>
    <row r="7243" spans="1:5" ht="15.75" x14ac:dyDescent="0.25">
      <c r="A7243" s="14">
        <v>1000992568</v>
      </c>
      <c r="B7243" s="2">
        <v>46165.504871180558</v>
      </c>
      <c r="C7243" s="3" t="str">
        <f>IFERROR(VLOOKUP(A7243,'Base Prueba'!A:C,3,),"NO REGISTRA")</f>
        <v>KAREN BRIGITTE DALEMAN MORENO</v>
      </c>
      <c r="D7243" s="4" t="str">
        <f>IFERROR(VLOOKUP(A7243,'Base Prueba'!A:D,4,),"NO REGISTRA")</f>
        <v>RECEPCIONISTA</v>
      </c>
      <c r="E7243" s="5" t="str">
        <f>IFERROR(VLOOKUP(A7243,'Base Prueba'!A:E,5,),"NO REGISTRA")</f>
        <v>CENTRO DE GESTION DOCUMENTAL</v>
      </c>
    </row>
    <row r="7244" spans="1:5" ht="15.75" x14ac:dyDescent="0.25">
      <c r="A7244" s="14">
        <v>1000046533</v>
      </c>
      <c r="B7244" s="2">
        <v>46165.506999074074</v>
      </c>
      <c r="C7244" s="3" t="str">
        <f>IFERROR(VLOOKUP(A7244,'Base Prueba'!A:C,3,),"NO REGISTRA")</f>
        <v>ERIKA JULIETH VALDERRAMA SANCHEZ</v>
      </c>
      <c r="D7244" s="4" t="str">
        <f>IFERROR(VLOOKUP(A7244,'Base Prueba'!A:D,4,),"NO REGISTRA")</f>
        <v>PROMOTOR CALL CENTER</v>
      </c>
      <c r="E7244" s="5" t="str">
        <f>IFERROR(VLOOKUP(A7244,'Base Prueba'!A:E,5,),"NO REGISTRA")</f>
        <v>OFICINA DE MERCADEO</v>
      </c>
    </row>
    <row r="7245" spans="1:5" ht="15.75" x14ac:dyDescent="0.25">
      <c r="A7245" s="14">
        <v>1018414290</v>
      </c>
      <c r="B7245" s="2">
        <v>46165.507367824073</v>
      </c>
      <c r="C7245" s="3" t="str">
        <f>IFERROR(VLOOKUP(A7245,'Base Prueba'!A:C,3,),"NO REGISTRA")</f>
        <v>AMANDA LISBETH RODRIGUEZ LEON</v>
      </c>
      <c r="D7245" s="4" t="str">
        <f>IFERROR(VLOOKUP(A7245,'Base Prueba'!A:D,4,),"NO REGISTRA")</f>
        <v>PROMOTOR CALL CENTER</v>
      </c>
      <c r="E7245" s="5" t="str">
        <f>IFERROR(VLOOKUP(A7245,'Base Prueba'!A:E,5,),"NO REGISTRA")</f>
        <v>OFICINA DE MERCADEO</v>
      </c>
    </row>
    <row r="7246" spans="1:5" ht="15.75" x14ac:dyDescent="0.25">
      <c r="A7246" s="14">
        <v>1033709056</v>
      </c>
      <c r="B7246" s="2">
        <v>46165.512395138889</v>
      </c>
      <c r="C7246" s="3" t="str">
        <f>IFERROR(VLOOKUP(A7246,'Base Prueba'!A:C,3,),"NO REGISTRA")</f>
        <v>YEIMY ALEXANDRA RODRIGUEZ PALACIO</v>
      </c>
      <c r="D7246" s="4" t="str">
        <f>IFERROR(VLOOKUP(A7246,'Base Prueba'!A:D,4,),"NO REGISTRA")</f>
        <v>PROMOTOR CALL CENTER</v>
      </c>
      <c r="E7246" s="5" t="str">
        <f>IFERROR(VLOOKUP(A7246,'Base Prueba'!A:E,5,),"NO REGISTRA")</f>
        <v>OFICINA DE MERCADEO</v>
      </c>
    </row>
    <row r="7247" spans="1:5" ht="15.75" x14ac:dyDescent="0.25">
      <c r="A7247" s="14">
        <v>53089882</v>
      </c>
      <c r="B7247" s="2">
        <v>46165.51242997685</v>
      </c>
      <c r="C7247" s="3" t="str">
        <f>IFERROR(VLOOKUP(A7247,'Base Prueba'!A:C,3,),"NO REGISTRA")</f>
        <v>MARIA JOHANA ESCAMILLA MARTINEZ</v>
      </c>
      <c r="D7247" s="4" t="str">
        <f>IFERROR(VLOOKUP(A7247,'Base Prueba'!A:D,4,),"NO REGISTRA")</f>
        <v>PROMOTOR DE INFORMACIÓN</v>
      </c>
      <c r="E7247" s="5" t="str">
        <f>IFERROR(VLOOKUP(A7247,'Base Prueba'!A:E,5,),"NO REGISTRA")</f>
        <v>OFICINA DE MERCADEO</v>
      </c>
    </row>
    <row r="7248" spans="1:5" ht="15.75" x14ac:dyDescent="0.25">
      <c r="A7248" s="14">
        <v>1018413529</v>
      </c>
      <c r="B7248" s="2">
        <v>46165.517326041663</v>
      </c>
      <c r="C7248" s="3" t="str">
        <f>IFERROR(VLOOKUP(A7248,'Base Prueba'!A:C,3,),"NO REGISTRA")</f>
        <v>FRANCY STELLA CHARRY MORENO</v>
      </c>
      <c r="D7248" s="4" t="str">
        <f>IFERROR(VLOOKUP(A7248,'Base Prueba'!A:D,4,),"NO REGISTRA")</f>
        <v>PROMOTOR COMERCIAL DEL CEA</v>
      </c>
      <c r="E7248" s="5" t="str">
        <f>IFERROR(VLOOKUP(A7248,'Base Prueba'!A:E,5,),"NO REGISTRA")</f>
        <v>OFICINA DE MERCADEO</v>
      </c>
    </row>
    <row r="7249" spans="1:5" ht="15.75" x14ac:dyDescent="0.25">
      <c r="A7249" s="14">
        <v>1014308296</v>
      </c>
      <c r="B7249" s="2">
        <v>46165.528064699072</v>
      </c>
      <c r="C7249" s="3" t="str">
        <f>IFERROR(VLOOKUP(A7249,'Base Prueba'!A:C,3,),"NO REGISTRA")</f>
        <v>DARLENE YULIANA MORENO CELEITA</v>
      </c>
      <c r="D7249" s="4" t="str">
        <f>IFERROR(VLOOKUP(A7249,'Base Prueba'!A:D,4,),"NO REGISTRA")</f>
        <v>CAJERO PRINCIPAL</v>
      </c>
      <c r="E7249" s="5" t="str">
        <f>IFERROR(VLOOKUP(A7249,'Base Prueba'!A:E,5,),"NO REGISTRA")</f>
        <v>AREA FINANCIERA Y CONTABLE</v>
      </c>
    </row>
    <row r="7250" spans="1:5" ht="15.75" x14ac:dyDescent="0.25">
      <c r="A7250" s="14">
        <v>52175674</v>
      </c>
      <c r="B7250" s="2">
        <v>46165.530934722221</v>
      </c>
      <c r="C7250" s="3" t="str">
        <f>IFERROR(VLOOKUP(A7250,'Base Prueba'!A:C,3,),"NO REGISTRA")</f>
        <v>LUZ YANETH GOMEZ AREVALO</v>
      </c>
      <c r="D7250" s="4" t="str">
        <f>IFERROR(VLOOKUP(A7250,'Base Prueba'!A:D,4,),"NO REGISTRA")</f>
        <v>COORDINADORA DE ADMISIONES</v>
      </c>
      <c r="E7250" s="5" t="str">
        <f>IFERROR(VLOOKUP(A7250,'Base Prueba'!A:E,5,),"NO REGISTRA")</f>
        <v>OFICINA DE MERCADEO</v>
      </c>
    </row>
    <row r="7251" spans="1:5" ht="15.75" x14ac:dyDescent="0.25">
      <c r="A7251" s="14">
        <v>52472386</v>
      </c>
      <c r="B7251" s="2">
        <v>46165.530973263893</v>
      </c>
      <c r="C7251" s="3" t="str">
        <f>IFERROR(VLOOKUP(A7251,'Base Prueba'!A:C,3,),"NO REGISTRA")</f>
        <v>ADRIANA MARCELA MORALES PARDO</v>
      </c>
      <c r="D7251" s="4" t="str">
        <f>IFERROR(VLOOKUP(A7251,'Base Prueba'!A:D,4,),"NO REGISTRA")</f>
        <v>PROMOTOR CALL CENTER</v>
      </c>
      <c r="E7251" s="5" t="str">
        <f>IFERROR(VLOOKUP(A7251,'Base Prueba'!A:E,5,),"NO REGISTRA")</f>
        <v>OFICINA DE MERCADEO</v>
      </c>
    </row>
    <row r="7252" spans="1:5" ht="15.75" x14ac:dyDescent="0.25">
      <c r="A7252" s="14">
        <v>1013098430</v>
      </c>
      <c r="B7252" s="2">
        <v>46165.547463425923</v>
      </c>
      <c r="C7252" s="3" t="str">
        <f>IFERROR(VLOOKUP(A7252,'Base Prueba'!A:C,3,),"NO REGISTRA")</f>
        <v>ANDRES FELIPE LOPEZ ROMERO</v>
      </c>
      <c r="D7252" s="4" t="str">
        <f>IFERROR(VLOOKUP(A7252,'Base Prueba'!A:D,4,),"NO REGISTRA")</f>
        <v>APRENDIZ UNIVERSITARIO</v>
      </c>
      <c r="E7252" s="5" t="str">
        <f>IFERROR(VLOOKUP(A7252,'Base Prueba'!A:E,5,),"NO REGISTRA")</f>
        <v>OFICINA DE MERCADEO</v>
      </c>
    </row>
    <row r="7253" spans="1:5" ht="15.75" x14ac:dyDescent="0.25">
      <c r="A7253" s="14">
        <v>1023961952</v>
      </c>
      <c r="B7253" s="2">
        <v>46165.549918287034</v>
      </c>
      <c r="C7253" s="3" t="str">
        <f>IFERROR(VLOOKUP(A7253,'Base Prueba'!A:C,3,),"NO REGISTRA")</f>
        <v>ALEJANDRO PINZON MERCHAN</v>
      </c>
      <c r="D7253" s="4" t="str">
        <f>IFERROR(VLOOKUP(A7253,'Base Prueba'!A:D,4,),"NO REGISTRA")</f>
        <v>PROMOTOR CALL CENTER</v>
      </c>
      <c r="E7253" s="5" t="str">
        <f>IFERROR(VLOOKUP(A7253,'Base Prueba'!A:E,5,),"NO REGISTRA")</f>
        <v>OFICINA DE MERCADEO</v>
      </c>
    </row>
    <row r="7254" spans="1:5" ht="15.75" x14ac:dyDescent="0.25">
      <c r="A7254" s="14">
        <v>28798349</v>
      </c>
      <c r="B7254" s="2">
        <v>46165.626843518519</v>
      </c>
      <c r="C7254" s="3" t="str">
        <f>IFERROR(VLOOKUP(A7254,'Base Prueba'!A:C,3,),"NO REGISTRA")</f>
        <v>MARTHA ISABEL TOVAR WILLIAMS</v>
      </c>
      <c r="D7254" s="4" t="str">
        <f>IFERROR(VLOOKUP(A7254,'Base Prueba'!A:D,4,),"NO REGISTRA")</f>
        <v>PROMOTOR CALL CENTER</v>
      </c>
      <c r="E7254" s="5" t="str">
        <f>IFERROR(VLOOKUP(A7254,'Base Prueba'!A:E,5,),"NO REGISTRA")</f>
        <v>OFICINA DE MERCADEO</v>
      </c>
    </row>
    <row r="7255" spans="1:5" ht="15.75" x14ac:dyDescent="0.25">
      <c r="A7255" s="14">
        <v>80234243</v>
      </c>
      <c r="B7255" s="2">
        <v>46165.632449537035</v>
      </c>
      <c r="C7255" s="3" t="str">
        <f>IFERROR(VLOOKUP(A7255,'Base Prueba'!A:C,3,),"NO REGISTRA")</f>
        <v>ARGENIS MARTINEZ MARTINEZ</v>
      </c>
      <c r="D7255" s="4" t="str">
        <f>IFERROR(VLOOKUP(A7255,'Base Prueba'!A:D,4,),"NO REGISTRA")</f>
        <v>LIDER CALL CENTER</v>
      </c>
      <c r="E7255" s="5" t="str">
        <f>IFERROR(VLOOKUP(A7255,'Base Prueba'!A:E,5,),"NO REGISTRA")</f>
        <v>OFICINA DE MERCADEO</v>
      </c>
    </row>
    <row r="7256" spans="1:5" ht="15.75" x14ac:dyDescent="0.25">
      <c r="A7256" s="14">
        <v>80234243</v>
      </c>
      <c r="B7256" s="2">
        <v>46165.632455324077</v>
      </c>
      <c r="C7256" s="3" t="str">
        <f>IFERROR(VLOOKUP(A7256,'Base Prueba'!A:C,3,),"NO REGISTRA")</f>
        <v>ARGENIS MARTINEZ MARTINEZ</v>
      </c>
      <c r="D7256" s="4" t="str">
        <f>IFERROR(VLOOKUP(A7256,'Base Prueba'!A:D,4,),"NO REGISTRA")</f>
        <v>LIDER CALL CENTER</v>
      </c>
      <c r="E7256" s="5" t="str">
        <f>IFERROR(VLOOKUP(A7256,'Base Prueba'!A:E,5,),"NO REGISTRA")</f>
        <v>OFICINA DE MERCADEO</v>
      </c>
    </row>
    <row r="7257" spans="1:5" ht="15.75" x14ac:dyDescent="0.25">
      <c r="A7257" s="14">
        <v>1087121273</v>
      </c>
      <c r="B7257" s="2">
        <v>46165.709618981484</v>
      </c>
      <c r="C7257" s="3" t="str">
        <f>IFERROR(VLOOKUP(A7257,'Base Prueba'!A:C,3,),"NO REGISTRA")</f>
        <v>MAYRA ALEJANDRA CASTILLO ARBOLEDA</v>
      </c>
      <c r="D7257" s="4" t="str">
        <f>IFERROR(VLOOKUP(A7257,'Base Prueba'!A:D,4,),"NO REGISTRA")</f>
        <v>APOYO INTEGRAL DE MERCADEO</v>
      </c>
      <c r="E7257" s="5" t="str">
        <f>IFERROR(VLOOKUP(A7257,'Base Prueba'!A:E,5,),"NO REGISTRA")</f>
        <v>CENTRO DE GESTION DOCUMENTAL</v>
      </c>
    </row>
    <row r="7258" spans="1:5" ht="15.75" x14ac:dyDescent="0.25">
      <c r="A7258" s="14">
        <v>1024512067</v>
      </c>
      <c r="B7258" s="2">
        <v>46167.30695810185</v>
      </c>
      <c r="C7258" s="3" t="str">
        <f>IFERROR(VLOOKUP(A7258,'Base Prueba'!A:C,3,),"NO REGISTRA")</f>
        <v>CINDY GIOVANA SALGAR GOMEZ</v>
      </c>
      <c r="D7258" s="4" t="str">
        <f>IFERROR(VLOOKUP(A7258,'Base Prueba'!A:D,4,),"NO REGISTRA")</f>
        <v>COORDINADOR DEL SISTEMA INTEGRADO DE GESTION INSTITUCIONAL - SIGI</v>
      </c>
      <c r="E7258" s="5" t="str">
        <f>IFERROR(VLOOKUP(A7258,'Base Prueba'!A:E,5,),"NO REGISTRA")</f>
        <v>OFICINA DE PLANEACION Y GESTION DE LA CALIDAD</v>
      </c>
    </row>
    <row r="7259" spans="1:5" ht="15.75" x14ac:dyDescent="0.25">
      <c r="A7259" s="14">
        <v>1032469638</v>
      </c>
      <c r="B7259" s="2">
        <v>46167.318269560186</v>
      </c>
      <c r="C7259" s="3" t="str">
        <f>IFERROR(VLOOKUP(A7259,'Base Prueba'!A:C,3,),"NO REGISTRA")</f>
        <v>MAICOL JARBEY GUALTEROS CASTAÑEDA</v>
      </c>
      <c r="D7259" s="4" t="str">
        <f>IFERROR(VLOOKUP(A7259,'Base Prueba'!A:D,4,),"NO REGISTRA")</f>
        <v>COORDINADOR DEL SISTEMA INTERNO DE ASEGURAMIENTO DE LA CALIDAD - SIAC</v>
      </c>
      <c r="E7259" s="5" t="str">
        <f>IFERROR(VLOOKUP(A7259,'Base Prueba'!A:E,5,),"NO REGISTRA")</f>
        <v>OFICINA DE PLANEACION Y GESTION DE LA CALIDAD</v>
      </c>
    </row>
    <row r="7260" spans="1:5" ht="15.75" x14ac:dyDescent="0.25">
      <c r="A7260" s="14">
        <v>1000992568</v>
      </c>
      <c r="B7260" s="2">
        <v>46167.318408796295</v>
      </c>
      <c r="C7260" s="3" t="str">
        <f>IFERROR(VLOOKUP(A7260,'Base Prueba'!A:C,3,),"NO REGISTRA")</f>
        <v>KAREN BRIGITTE DALEMAN MORENO</v>
      </c>
      <c r="D7260" s="4" t="str">
        <f>IFERROR(VLOOKUP(A7260,'Base Prueba'!A:D,4,),"NO REGISTRA")</f>
        <v>RECEPCIONISTA</v>
      </c>
      <c r="E7260" s="5" t="str">
        <f>IFERROR(VLOOKUP(A7260,'Base Prueba'!A:E,5,),"NO REGISTRA")</f>
        <v>CENTRO DE GESTION DOCUMENTAL</v>
      </c>
    </row>
    <row r="7261" spans="1:5" ht="15.75" x14ac:dyDescent="0.25">
      <c r="A7261" s="14">
        <v>1000324729</v>
      </c>
      <c r="B7261" s="2">
        <v>46167.319903819443</v>
      </c>
      <c r="C7261" s="3" t="str">
        <f>IFERROR(VLOOKUP(A7261,'Base Prueba'!A:C,3,),"NO REGISTRA")</f>
        <v>ANYIE VANESSA TINOCO CAMACHO</v>
      </c>
      <c r="D7261" s="4" t="str">
        <f>IFERROR(VLOOKUP(A7261,'Base Prueba'!A:D,4,),"NO REGISTRA")</f>
        <v>LIDER DE REGISTRO Y CONTROL</v>
      </c>
      <c r="E7261" s="5" t="str">
        <f>IFERROR(VLOOKUP(A7261,'Base Prueba'!A:E,5,),"NO REGISTRA")</f>
        <v>REGISTRO Y CONTROL ACADEMICO</v>
      </c>
    </row>
    <row r="7262" spans="1:5" ht="15.75" x14ac:dyDescent="0.25">
      <c r="A7262" s="14">
        <v>1049644802</v>
      </c>
      <c r="B7262" s="2">
        <v>46167.324039467596</v>
      </c>
      <c r="C7262" s="3" t="str">
        <f>IFERROR(VLOOKUP(A7262,'Base Prueba'!A:C,3,),"NO REGISTRA")</f>
        <v>DANIELA ALEXANDRA CIPAMOCHA BOSIGA</v>
      </c>
      <c r="D7262" s="4" t="str">
        <f>IFERROR(VLOOKUP(A7262,'Base Prueba'!A:D,4,),"NO REGISTRA")</f>
        <v>LIDER DE DATOS Y SERVICIOS</v>
      </c>
      <c r="E7262" s="5" t="str">
        <f>IFERROR(VLOOKUP(A7262,'Base Prueba'!A:E,5,),"NO REGISTRA")</f>
        <v>OFICINA DE PLANEACION Y GESTION DE LA CALIDAD</v>
      </c>
    </row>
    <row r="7263" spans="1:5" ht="15.75" x14ac:dyDescent="0.25">
      <c r="A7263" s="14">
        <v>1013098430</v>
      </c>
      <c r="B7263" s="2">
        <v>46167.333236689818</v>
      </c>
      <c r="C7263" s="3" t="str">
        <f>IFERROR(VLOOKUP(A7263,'Base Prueba'!A:C,3,),"NO REGISTRA")</f>
        <v>ANDRES FELIPE LOPEZ ROMERO</v>
      </c>
      <c r="D7263" s="4" t="str">
        <f>IFERROR(VLOOKUP(A7263,'Base Prueba'!A:D,4,),"NO REGISTRA")</f>
        <v>APRENDIZ UNIVERSITARIO</v>
      </c>
      <c r="E7263" s="5" t="str">
        <f>IFERROR(VLOOKUP(A7263,'Base Prueba'!A:E,5,),"NO REGISTRA")</f>
        <v>OFICINA DE MERCADEO</v>
      </c>
    </row>
    <row r="7264" spans="1:5" ht="15.75" x14ac:dyDescent="0.25">
      <c r="A7264" s="14">
        <v>80191732</v>
      </c>
      <c r="B7264" s="2">
        <v>46167.334547222221</v>
      </c>
      <c r="C7264" s="3" t="str">
        <f>IFERROR(VLOOKUP(A7264,'Base Prueba'!A:C,3,),"NO REGISTRA")</f>
        <v>DANIEL MAURICIO ZAMBRANO TUNJANO</v>
      </c>
      <c r="D7264" s="4" t="str">
        <f>IFERROR(VLOOKUP(A7264,'Base Prueba'!A:D,4,),"NO REGISTRA")</f>
        <v>COORDINADOR DE DISEÑO E IMAGEN INSTITUCIONAL</v>
      </c>
      <c r="E7264" s="5" t="str">
        <f>IFERROR(VLOOKUP(A7264,'Base Prueba'!A:E,5,),"NO REGISTRA")</f>
        <v>OFICINA DE MERCADEO</v>
      </c>
    </row>
    <row r="7265" spans="1:5" ht="15.75" x14ac:dyDescent="0.25">
      <c r="A7265" s="14">
        <v>1193457976</v>
      </c>
      <c r="B7265" s="2">
        <v>46167.338584027777</v>
      </c>
      <c r="C7265" s="3" t="str">
        <f>IFERROR(VLOOKUP(A7265,'Base Prueba'!A:C,3,),"NO REGISTRA")</f>
        <v>SEDENIS RIVAS ASPRILLA</v>
      </c>
      <c r="D7265" s="4" t="str">
        <f>IFERROR(VLOOKUP(A7265,'Base Prueba'!A:D,4,),"NO REGISTRA")</f>
        <v>APRENDIZ UNIVERSITARIO</v>
      </c>
      <c r="E7265" s="5" t="str">
        <f>IFERROR(VLOOKUP(A7265,'Base Prueba'!A:E,5,),"NO REGISTRA")</f>
        <v>DEPARTAMENTO DE GESTION HUMANA</v>
      </c>
    </row>
    <row r="7266" spans="1:5" ht="15.75" x14ac:dyDescent="0.25">
      <c r="A7266" s="14">
        <v>1032410833</v>
      </c>
      <c r="B7266" s="2">
        <v>46167.338707175928</v>
      </c>
      <c r="C7266" s="3" t="str">
        <f>IFERROR(VLOOKUP(A7266,'Base Prueba'!A:C,3,),"NO REGISTRA")</f>
        <v>DIANA PAOLA MONTAÑEZ GONZALEZ</v>
      </c>
      <c r="D7266" s="4" t="str">
        <f>IFERROR(VLOOKUP(A7266,'Base Prueba'!A:D,4,),"NO REGISTRA")</f>
        <v>APRENDIZ UNIVERSITARIO</v>
      </c>
      <c r="E7266" s="5" t="str">
        <f>IFERROR(VLOOKUP(A7266,'Base Prueba'!A:E,5,),"NO REGISTRA")</f>
        <v>AREA FINANCIERA Y CONTABLE</v>
      </c>
    </row>
    <row r="7267" spans="1:5" ht="15.75" x14ac:dyDescent="0.25">
      <c r="A7267" s="14">
        <v>1000593372</v>
      </c>
      <c r="B7267" s="2">
        <v>46167.340707754629</v>
      </c>
      <c r="C7267" s="3" t="str">
        <f>IFERROR(VLOOKUP(A7267,'Base Prueba'!A:C,3,),"NO REGISTRA")</f>
        <v>LAURA SOFIA CHAPARRO LOPEZ</v>
      </c>
      <c r="D7267" s="4" t="str">
        <f>IFERROR(VLOOKUP(A7267,'Base Prueba'!A:D,4,),"NO REGISTRA")</f>
        <v>AUXILIAR JURIDICO</v>
      </c>
      <c r="E7267" s="5" t="str">
        <f>IFERROR(VLOOKUP(A7267,'Base Prueba'!A:E,5,),"NO REGISTRA")</f>
        <v>SECRETARIA GENERAL</v>
      </c>
    </row>
    <row r="7268" spans="1:5" ht="15.75" x14ac:dyDescent="0.25">
      <c r="A7268" s="14">
        <v>1000257136</v>
      </c>
      <c r="B7268" s="2">
        <v>46167.34222766204</v>
      </c>
      <c r="C7268" s="3" t="str">
        <f>IFERROR(VLOOKUP(A7268,'Base Prueba'!A:C,3,),"NO REGISTRA")</f>
        <v>FRANCI VALENTINA CANO PUENTES</v>
      </c>
      <c r="D7268" s="4" t="str">
        <f>IFERROR(VLOOKUP(A7268,'Base Prueba'!A:D,4,),"NO REGISTRA")</f>
        <v>AUXILIAR CONTABLE</v>
      </c>
      <c r="E7268" s="5" t="str">
        <f>IFERROR(VLOOKUP(A7268,'Base Prueba'!A:E,5,),"NO REGISTRA")</f>
        <v>AREA FINANCIERA Y CONTABLE</v>
      </c>
    </row>
    <row r="7269" spans="1:5" ht="15.75" x14ac:dyDescent="0.25">
      <c r="A7269" s="14">
        <v>53932358</v>
      </c>
      <c r="B7269" s="2">
        <v>46167.342940393515</v>
      </c>
      <c r="C7269" s="3" t="str">
        <f>IFERROR(VLOOKUP(A7269,'Base Prueba'!A:C,3,),"NO REGISTRA")</f>
        <v>DIANA MADELEYNE GAONA RODRIGUEZ</v>
      </c>
      <c r="D7269" s="4" t="str">
        <f>IFERROR(VLOOKUP(A7269,'Base Prueba'!A:D,4,),"NO REGISTRA")</f>
        <v>CONTADOR</v>
      </c>
      <c r="E7269" s="5" t="str">
        <f>IFERROR(VLOOKUP(A7269,'Base Prueba'!A:E,5,),"NO REGISTRA")</f>
        <v>AREA FINANCIERA Y CONTABLE</v>
      </c>
    </row>
    <row r="7270" spans="1:5" ht="15.75" x14ac:dyDescent="0.25">
      <c r="A7270" s="14">
        <v>1000457706</v>
      </c>
      <c r="B7270" s="2">
        <v>46167.345070601848</v>
      </c>
      <c r="C7270" s="3" t="str">
        <f>IFERROR(VLOOKUP(A7270,'Base Prueba'!A:C,3,),"NO REGISTRA")</f>
        <v>CRISTIAN DANILO ARROYO SANABRIA</v>
      </c>
      <c r="D7270" s="4" t="str">
        <f>IFERROR(VLOOKUP(A7270,'Base Prueba'!A:D,4,),"NO REGISTRA")</f>
        <v>AUXILIAR CONTABLE</v>
      </c>
      <c r="E7270" s="5" t="str">
        <f>IFERROR(VLOOKUP(A7270,'Base Prueba'!A:E,5,),"NO REGISTRA")</f>
        <v>AREA FINANCIERA Y CONTABLE</v>
      </c>
    </row>
    <row r="7271" spans="1:5" ht="15.75" x14ac:dyDescent="0.25">
      <c r="A7271" s="14">
        <v>1016090131</v>
      </c>
      <c r="B7271" s="2">
        <v>46167.358858333333</v>
      </c>
      <c r="C7271" s="3" t="str">
        <f>IFERROR(VLOOKUP(A7271,'Base Prueba'!A:C,3,),"NO REGISTRA")</f>
        <v>NICOLAS RODRIGUEZ PACHECO</v>
      </c>
      <c r="D7271" s="4" t="str">
        <f>IFERROR(VLOOKUP(A7271,'Base Prueba'!A:D,4,),"NO REGISTRA")</f>
        <v>COORDINADOR DE COMUNICACIONES</v>
      </c>
      <c r="E7271" s="5" t="str">
        <f>IFERROR(VLOOKUP(A7271,'Base Prueba'!A:E,5,),"NO REGISTRA")</f>
        <v>OFICINA DE MERCADEO</v>
      </c>
    </row>
    <row r="7272" spans="1:5" ht="15.75" x14ac:dyDescent="0.25">
      <c r="A7272" s="14">
        <v>1087121273</v>
      </c>
      <c r="B7272" s="2">
        <v>46167.359369675927</v>
      </c>
      <c r="C7272" s="3" t="str">
        <f>IFERROR(VLOOKUP(A7272,'Base Prueba'!A:C,3,),"NO REGISTRA")</f>
        <v>MAYRA ALEJANDRA CASTILLO ARBOLEDA</v>
      </c>
      <c r="D7272" s="4" t="str">
        <f>IFERROR(VLOOKUP(A7272,'Base Prueba'!A:D,4,),"NO REGISTRA")</f>
        <v>APOYO INTEGRAL DE MERCADEO</v>
      </c>
      <c r="E7272" s="5" t="str">
        <f>IFERROR(VLOOKUP(A7272,'Base Prueba'!A:E,5,),"NO REGISTRA")</f>
        <v>CENTRO DE GESTION DOCUMENTAL</v>
      </c>
    </row>
    <row r="7273" spans="1:5" ht="15.75" x14ac:dyDescent="0.25">
      <c r="A7273" s="14">
        <v>1018413529</v>
      </c>
      <c r="B7273" s="2">
        <v>46167.366058912034</v>
      </c>
      <c r="C7273" s="3" t="str">
        <f>IFERROR(VLOOKUP(A7273,'Base Prueba'!A:C,3,),"NO REGISTRA")</f>
        <v>FRANCY STELLA CHARRY MORENO</v>
      </c>
      <c r="D7273" s="4" t="str">
        <f>IFERROR(VLOOKUP(A7273,'Base Prueba'!A:D,4,),"NO REGISTRA")</f>
        <v>PROMOTOR COMERCIAL DEL CEA</v>
      </c>
      <c r="E7273" s="5" t="str">
        <f>IFERROR(VLOOKUP(A7273,'Base Prueba'!A:E,5,),"NO REGISTRA")</f>
        <v>OFICINA DE MERCADEO</v>
      </c>
    </row>
    <row r="7274" spans="1:5" ht="15.75" x14ac:dyDescent="0.25">
      <c r="A7274" s="14">
        <v>1033709056</v>
      </c>
      <c r="B7274" s="2">
        <v>46167.367616550924</v>
      </c>
      <c r="C7274" s="3" t="str">
        <f>IFERROR(VLOOKUP(A7274,'Base Prueba'!A:C,3,),"NO REGISTRA")</f>
        <v>YEIMY ALEXANDRA RODRIGUEZ PALACIO</v>
      </c>
      <c r="D7274" s="4" t="str">
        <f>IFERROR(VLOOKUP(A7274,'Base Prueba'!A:D,4,),"NO REGISTRA")</f>
        <v>PROMOTOR CALL CENTER</v>
      </c>
      <c r="E7274" s="5" t="str">
        <f>IFERROR(VLOOKUP(A7274,'Base Prueba'!A:E,5,),"NO REGISTRA")</f>
        <v>OFICINA DE MERCADEO</v>
      </c>
    </row>
    <row r="7275" spans="1:5" ht="15.75" x14ac:dyDescent="0.25">
      <c r="A7275" s="14">
        <v>80234243</v>
      </c>
      <c r="B7275" s="2">
        <v>46167.368503703707</v>
      </c>
      <c r="C7275" s="3" t="str">
        <f>IFERROR(VLOOKUP(A7275,'Base Prueba'!A:C,3,),"NO REGISTRA")</f>
        <v>ARGENIS MARTINEZ MARTINEZ</v>
      </c>
      <c r="D7275" s="4" t="str">
        <f>IFERROR(VLOOKUP(A7275,'Base Prueba'!A:D,4,),"NO REGISTRA")</f>
        <v>LIDER CALL CENTER</v>
      </c>
      <c r="E7275" s="5" t="str">
        <f>IFERROR(VLOOKUP(A7275,'Base Prueba'!A:E,5,),"NO REGISTRA")</f>
        <v>OFICINA DE MERCADEO</v>
      </c>
    </row>
    <row r="7276" spans="1:5" ht="15.75" x14ac:dyDescent="0.25">
      <c r="A7276" s="14">
        <v>28798349</v>
      </c>
      <c r="B7276" s="2">
        <v>46167.369038541663</v>
      </c>
      <c r="C7276" s="3" t="str">
        <f>IFERROR(VLOOKUP(A7276,'Base Prueba'!A:C,3,),"NO REGISTRA")</f>
        <v>MARTHA ISABEL TOVAR WILLIAMS</v>
      </c>
      <c r="D7276" s="4" t="str">
        <f>IFERROR(VLOOKUP(A7276,'Base Prueba'!A:D,4,),"NO REGISTRA")</f>
        <v>PROMOTOR CALL CENTER</v>
      </c>
      <c r="E7276" s="5" t="str">
        <f>IFERROR(VLOOKUP(A7276,'Base Prueba'!A:E,5,),"NO REGISTRA")</f>
        <v>OFICINA DE MERCADEO</v>
      </c>
    </row>
    <row r="7277" spans="1:5" ht="15.75" x14ac:dyDescent="0.25">
      <c r="A7277" s="14">
        <v>52472386</v>
      </c>
      <c r="B7277" s="2">
        <v>46167.369845949077</v>
      </c>
      <c r="C7277" s="3" t="str">
        <f>IFERROR(VLOOKUP(A7277,'Base Prueba'!A:C,3,),"NO REGISTRA")</f>
        <v>ADRIANA MARCELA MORALES PARDO</v>
      </c>
      <c r="D7277" s="4" t="str">
        <f>IFERROR(VLOOKUP(A7277,'Base Prueba'!A:D,4,),"NO REGISTRA")</f>
        <v>PROMOTOR CALL CENTER</v>
      </c>
      <c r="E7277" s="5" t="str">
        <f>IFERROR(VLOOKUP(A7277,'Base Prueba'!A:E,5,),"NO REGISTRA")</f>
        <v>OFICINA DE MERCADEO</v>
      </c>
    </row>
    <row r="7278" spans="1:5" ht="15.75" x14ac:dyDescent="0.25">
      <c r="A7278" s="14">
        <v>1013101788</v>
      </c>
      <c r="B7278" s="2">
        <v>46167.369910416666</v>
      </c>
      <c r="C7278" s="3" t="str">
        <f>IFERROR(VLOOKUP(A7278,'Base Prueba'!A:C,3,),"NO REGISTRA")</f>
        <v>SARA TANGARIFE MONTOYA</v>
      </c>
      <c r="D7278" s="4" t="str">
        <f>IFERROR(VLOOKUP(A7278,'Base Prueba'!A:D,4,),"NO REGISTRA")</f>
        <v>APRENDIZ UNIVERSITARIO</v>
      </c>
      <c r="E7278" s="5" t="str">
        <f>IFERROR(VLOOKUP(A7278,'Base Prueba'!A:E,5,),"NO REGISTRA")</f>
        <v>OFICINA DE MERCADEO</v>
      </c>
    </row>
    <row r="7279" spans="1:5" ht="15.75" x14ac:dyDescent="0.25">
      <c r="A7279" s="14">
        <v>1000046533</v>
      </c>
      <c r="B7279" s="2">
        <v>46167.370841550925</v>
      </c>
      <c r="C7279" s="3" t="str">
        <f>IFERROR(VLOOKUP(A7279,'Base Prueba'!A:C,3,),"NO REGISTRA")</f>
        <v>ERIKA JULIETH VALDERRAMA SANCHEZ</v>
      </c>
      <c r="D7279" s="4" t="str">
        <f>IFERROR(VLOOKUP(A7279,'Base Prueba'!A:D,4,),"NO REGISTRA")</f>
        <v>PROMOTOR CALL CENTER</v>
      </c>
      <c r="E7279" s="5" t="str">
        <f>IFERROR(VLOOKUP(A7279,'Base Prueba'!A:E,5,),"NO REGISTRA")</f>
        <v>OFICINA DE MERCADEO</v>
      </c>
    </row>
    <row r="7280" spans="1:5" ht="15.75" x14ac:dyDescent="0.25">
      <c r="A7280" s="14">
        <v>1012426741</v>
      </c>
      <c r="B7280" s="2">
        <v>46167.371235648148</v>
      </c>
      <c r="C7280" s="3" t="str">
        <f>IFERROR(VLOOKUP(A7280,'Base Prueba'!A:C,3,),"NO REGISTRA")</f>
        <v>CRISTIAN FABIAN ROJAS SANCENO</v>
      </c>
      <c r="D7280" s="4" t="str">
        <f>IFERROR(VLOOKUP(A7280,'Base Prueba'!A:D,4,),"NO REGISTRA")</f>
        <v>AUXILIAR DE REINTEGROS</v>
      </c>
      <c r="E7280" s="5" t="str">
        <f>IFERROR(VLOOKUP(A7280,'Base Prueba'!A:E,5,),"NO REGISTRA")</f>
        <v>DIRECCION DE BIENESTAR INSTITUCIONAL</v>
      </c>
    </row>
    <row r="7281" spans="1:5" ht="15.75" x14ac:dyDescent="0.25">
      <c r="A7281" s="14">
        <v>1023961952</v>
      </c>
      <c r="B7281" s="2">
        <v>46167.373015509256</v>
      </c>
      <c r="C7281" s="3" t="str">
        <f>IFERROR(VLOOKUP(A7281,'Base Prueba'!A:C,3,),"NO REGISTRA")</f>
        <v>ALEJANDRO PINZON MERCHAN</v>
      </c>
      <c r="D7281" s="4" t="str">
        <f>IFERROR(VLOOKUP(A7281,'Base Prueba'!A:D,4,),"NO REGISTRA")</f>
        <v>PROMOTOR CALL CENTER</v>
      </c>
      <c r="E7281" s="5" t="str">
        <f>IFERROR(VLOOKUP(A7281,'Base Prueba'!A:E,5,),"NO REGISTRA")</f>
        <v>OFICINA DE MERCADEO</v>
      </c>
    </row>
    <row r="7282" spans="1:5" ht="15.75" x14ac:dyDescent="0.25">
      <c r="A7282" s="14">
        <v>1014196857</v>
      </c>
      <c r="B7282" s="2">
        <v>46167.374348495374</v>
      </c>
      <c r="C7282" s="3" t="str">
        <f>IFERROR(VLOOKUP(A7282,'Base Prueba'!A:C,3,),"NO REGISTRA")</f>
        <v>CARLOS ANDRES JIMENEZ PARDO</v>
      </c>
      <c r="D7282" s="4" t="str">
        <f>IFERROR(VLOOKUP(A7282,'Base Prueba'!A:D,4,),"NO REGISTRA")</f>
        <v>COORDINADOR DE MARKETING DIGITAL</v>
      </c>
      <c r="E7282" s="5" t="str">
        <f>IFERROR(VLOOKUP(A7282,'Base Prueba'!A:E,5,),"NO REGISTRA")</f>
        <v>OFICINA DE MERCADEO</v>
      </c>
    </row>
    <row r="7283" spans="1:5" ht="15.75" x14ac:dyDescent="0.25">
      <c r="A7283" s="14">
        <v>1018414290</v>
      </c>
      <c r="B7283" s="2">
        <v>46167.374426041664</v>
      </c>
      <c r="C7283" s="3" t="str">
        <f>IFERROR(VLOOKUP(A7283,'Base Prueba'!A:C,3,),"NO REGISTRA")</f>
        <v>AMANDA LISBETH RODRIGUEZ LEON</v>
      </c>
      <c r="D7283" s="4" t="str">
        <f>IFERROR(VLOOKUP(A7283,'Base Prueba'!A:D,4,),"NO REGISTRA")</f>
        <v>PROMOTOR CALL CENTER</v>
      </c>
      <c r="E7283" s="5" t="str">
        <f>IFERROR(VLOOKUP(A7283,'Base Prueba'!A:E,5,),"NO REGISTRA")</f>
        <v>OFICINA DE MERCADEO</v>
      </c>
    </row>
    <row r="7284" spans="1:5" ht="15.75" x14ac:dyDescent="0.25">
      <c r="A7284" s="14">
        <v>53089882</v>
      </c>
      <c r="B7284" s="2">
        <v>46167.377280555556</v>
      </c>
      <c r="C7284" s="3" t="str">
        <f>IFERROR(VLOOKUP(A7284,'Base Prueba'!A:C,3,),"NO REGISTRA")</f>
        <v>MARIA JOHANA ESCAMILLA MARTINEZ</v>
      </c>
      <c r="D7284" s="4" t="str">
        <f>IFERROR(VLOOKUP(A7284,'Base Prueba'!A:D,4,),"NO REGISTRA")</f>
        <v>PROMOTOR DE INFORMACIÓN</v>
      </c>
      <c r="E7284" s="5" t="str">
        <f>IFERROR(VLOOKUP(A7284,'Base Prueba'!A:E,5,),"NO REGISTRA")</f>
        <v>OFICINA DE MERCADEO</v>
      </c>
    </row>
    <row r="7285" spans="1:5" ht="15.75" x14ac:dyDescent="0.25">
      <c r="A7285" s="14">
        <v>52175674</v>
      </c>
      <c r="B7285" s="2">
        <v>46167.38342766204</v>
      </c>
      <c r="C7285" s="3" t="str">
        <f>IFERROR(VLOOKUP(A7285,'Base Prueba'!A:C,3,),"NO REGISTRA")</f>
        <v>LUZ YANETH GOMEZ AREVALO</v>
      </c>
      <c r="D7285" s="4" t="str">
        <f>IFERROR(VLOOKUP(A7285,'Base Prueba'!A:D,4,),"NO REGISTRA")</f>
        <v>COORDINADORA DE ADMISIONES</v>
      </c>
      <c r="E7285" s="5" t="str">
        <f>IFERROR(VLOOKUP(A7285,'Base Prueba'!A:E,5,),"NO REGISTRA")</f>
        <v>OFICINA DE MERCADEO</v>
      </c>
    </row>
    <row r="7286" spans="1:5" ht="15.75" x14ac:dyDescent="0.25">
      <c r="A7286" s="14">
        <v>52764929</v>
      </c>
      <c r="B7286" s="2">
        <v>46167.387586689816</v>
      </c>
      <c r="C7286" s="3" t="str">
        <f>IFERROR(VLOOKUP(A7286,'Base Prueba'!A:C,3,),"NO REGISTRA")</f>
        <v>GUERLY YOHANA DURAN RIVERA</v>
      </c>
      <c r="D7286" s="4" t="str">
        <f>IFERROR(VLOOKUP(A7286,'Base Prueba'!A:D,4,),"NO REGISTRA")</f>
        <v>LIDER DE VINCULACION COLEGIOS</v>
      </c>
      <c r="E7286" s="5" t="str">
        <f>IFERROR(VLOOKUP(A7286,'Base Prueba'!A:E,5,),"NO REGISTRA")</f>
        <v>OFICINA DE MERCADEO</v>
      </c>
    </row>
    <row r="7287" spans="1:5" ht="15.75" x14ac:dyDescent="0.25">
      <c r="A7287" s="14">
        <v>52443092</v>
      </c>
      <c r="B7287" s="2">
        <v>46167.546864467593</v>
      </c>
      <c r="C7287" s="3" t="str">
        <f>IFERROR(VLOOKUP(A7287,'Base Prueba'!A:C,3,),"NO REGISTRA")</f>
        <v>LUZ MYRIAM SAAVEDRA CONTRERAS</v>
      </c>
      <c r="D7287" s="4" t="str">
        <f>IFERROR(VLOOKUP(A7287,'Base Prueba'!A:D,4,),"NO REGISTRA")</f>
        <v>AUXILIAR DE SERVICIOS</v>
      </c>
      <c r="E7287" s="5" t="str">
        <f>IFERROR(VLOOKUP(A7287,'Base Prueba'!A:E,5,),"NO REGISTRA")</f>
        <v>LOGISTICA Y SERVICIOS GENERALES</v>
      </c>
    </row>
    <row r="7288" spans="1:5" ht="15.75" x14ac:dyDescent="0.25">
      <c r="A7288" s="14">
        <v>1022996882</v>
      </c>
      <c r="B7288" s="2">
        <v>46167.548725694447</v>
      </c>
      <c r="C7288" s="3" t="str">
        <f>IFERROR(VLOOKUP(A7288,'Base Prueba'!A:C,3,),"NO REGISTRA")</f>
        <v>NANCY BRIGITH ALDANA GUEVARA</v>
      </c>
      <c r="D7288" s="4" t="str">
        <f>IFERROR(VLOOKUP(A7288,'Base Prueba'!A:D,4,),"NO REGISTRA")</f>
        <v>COORDINADORA DE GESTIÓN HUMANA</v>
      </c>
      <c r="E7288" s="5" t="str">
        <f>IFERROR(VLOOKUP(A7288,'Base Prueba'!A:E,5,),"NO REGISTRA")</f>
        <v>DEPARTAMENTO DE GESTION HUMANA</v>
      </c>
    </row>
    <row r="7289" spans="1:5" ht="15.75" x14ac:dyDescent="0.25">
      <c r="A7289" s="14">
        <v>1013098430</v>
      </c>
      <c r="B7289" s="2">
        <v>46167.71062662037</v>
      </c>
      <c r="C7289" s="3" t="str">
        <f>IFERROR(VLOOKUP(A7289,'Base Prueba'!A:C,3,),"NO REGISTRA")</f>
        <v>ANDRES FELIPE LOPEZ ROMERO</v>
      </c>
      <c r="D7289" s="4" t="str">
        <f>IFERROR(VLOOKUP(A7289,'Base Prueba'!A:D,4,),"NO REGISTRA")</f>
        <v>APRENDIZ UNIVERSITARIO</v>
      </c>
      <c r="E7289" s="5" t="str">
        <f>IFERROR(VLOOKUP(A7289,'Base Prueba'!A:E,5,),"NO REGISTRA")</f>
        <v>OFICINA DE MERCADEO</v>
      </c>
    </row>
    <row r="7290" spans="1:5" ht="15.75" x14ac:dyDescent="0.25">
      <c r="A7290" s="14">
        <v>1000611958</v>
      </c>
      <c r="B7290" s="2">
        <v>46167.713134606478</v>
      </c>
      <c r="C7290" s="3" t="str">
        <f>IFERROR(VLOOKUP(A7290,'Base Prueba'!A:C,3,),"NO REGISTRA")</f>
        <v>TYLER CORRADINE  VARGAS</v>
      </c>
      <c r="D7290" s="4" t="str">
        <f>IFERROR(VLOOKUP(A7290,'Base Prueba'!A:D,4,),"NO REGISTRA")</f>
        <v>APRENDIZ UNIVERSITARIO</v>
      </c>
      <c r="E7290" s="5" t="str">
        <f>IFERROR(VLOOKUP(A7290,'Base Prueba'!A:E,5,),"NO REGISTRA")</f>
        <v>DEPARTAMENTO DE INFORMATICA Y TECNOLOGIA</v>
      </c>
    </row>
    <row r="7291" spans="1:5" ht="15.75" x14ac:dyDescent="0.25">
      <c r="A7291" s="14">
        <v>1024512067</v>
      </c>
      <c r="B7291" s="2">
        <v>46167.739787268518</v>
      </c>
      <c r="C7291" s="3" t="str">
        <f>IFERROR(VLOOKUP(A7291,'Base Prueba'!A:C,3,),"NO REGISTRA")</f>
        <v>CINDY GIOVANA SALGAR GOMEZ</v>
      </c>
      <c r="D7291" s="4" t="str">
        <f>IFERROR(VLOOKUP(A7291,'Base Prueba'!A:D,4,),"NO REGISTRA")</f>
        <v>COORDINADOR DEL SISTEMA INTEGRADO DE GESTION INSTITUCIONAL - SIGI</v>
      </c>
      <c r="E7291" s="5" t="str">
        <f>IFERROR(VLOOKUP(A7291,'Base Prueba'!A:E,5,),"NO REGISTRA")</f>
        <v>OFICINA DE PLANEACION Y GESTION DE LA CALIDAD</v>
      </c>
    </row>
    <row r="7292" spans="1:5" ht="15.75" x14ac:dyDescent="0.25">
      <c r="A7292" s="14">
        <v>1014266838</v>
      </c>
      <c r="B7292" s="2">
        <v>46167.750262615744</v>
      </c>
      <c r="C7292" s="3" t="str">
        <f>IFERROR(VLOOKUP(A7292,'Base Prueba'!A:C,3,),"NO REGISTRA")</f>
        <v>JENNIFER ASTRID ROMERO HURTADO</v>
      </c>
      <c r="D7292" s="4" t="str">
        <f>IFERROR(VLOOKUP(A7292,'Base Prueba'!A:D,4,),"NO REGISTRA")</f>
        <v>LIDER DE RECAUDO</v>
      </c>
      <c r="E7292" s="5" t="str">
        <f>IFERROR(VLOOKUP(A7292,'Base Prueba'!A:E,5,),"NO REGISTRA")</f>
        <v>AREA FINANCIERA Y CONTABLE</v>
      </c>
    </row>
    <row r="7293" spans="1:5" ht="15.75" x14ac:dyDescent="0.25">
      <c r="A7293" s="14">
        <v>1000324729</v>
      </c>
      <c r="B7293" s="2">
        <v>46167.750287268522</v>
      </c>
      <c r="C7293" s="3" t="str">
        <f>IFERROR(VLOOKUP(A7293,'Base Prueba'!A:C,3,),"NO REGISTRA")</f>
        <v>ANYIE VANESSA TINOCO CAMACHO</v>
      </c>
      <c r="D7293" s="4" t="str">
        <f>IFERROR(VLOOKUP(A7293,'Base Prueba'!A:D,4,),"NO REGISTRA")</f>
        <v>LIDER DE REGISTRO Y CONTROL</v>
      </c>
      <c r="E7293" s="5" t="str">
        <f>IFERROR(VLOOKUP(A7293,'Base Prueba'!A:E,5,),"NO REGISTRA")</f>
        <v>REGISTRO Y CONTROL ACADEMICO</v>
      </c>
    </row>
    <row r="7294" spans="1:5" ht="15.75" x14ac:dyDescent="0.25">
      <c r="A7294" s="14">
        <v>1193457976</v>
      </c>
      <c r="B7294" s="2">
        <v>46167.750320717591</v>
      </c>
      <c r="C7294" s="3" t="str">
        <f>IFERROR(VLOOKUP(A7294,'Base Prueba'!A:C,3,),"NO REGISTRA")</f>
        <v>SEDENIS RIVAS ASPRILLA</v>
      </c>
      <c r="D7294" s="4" t="str">
        <f>IFERROR(VLOOKUP(A7294,'Base Prueba'!A:D,4,),"NO REGISTRA")</f>
        <v>APRENDIZ UNIVERSITARIO</v>
      </c>
      <c r="E7294" s="5" t="str">
        <f>IFERROR(VLOOKUP(A7294,'Base Prueba'!A:E,5,),"NO REGISTRA")</f>
        <v>DEPARTAMENTO DE GESTION HUMANA</v>
      </c>
    </row>
    <row r="7295" spans="1:5" ht="15.75" x14ac:dyDescent="0.25">
      <c r="A7295" s="14">
        <v>1012426741</v>
      </c>
      <c r="B7295" s="2">
        <v>46167.751142129629</v>
      </c>
      <c r="C7295" s="3" t="str">
        <f>IFERROR(VLOOKUP(A7295,'Base Prueba'!A:C,3,),"NO REGISTRA")</f>
        <v>CRISTIAN FABIAN ROJAS SANCENO</v>
      </c>
      <c r="D7295" s="4" t="str">
        <f>IFERROR(VLOOKUP(A7295,'Base Prueba'!A:D,4,),"NO REGISTRA")</f>
        <v>AUXILIAR DE REINTEGROS</v>
      </c>
      <c r="E7295" s="5" t="str">
        <f>IFERROR(VLOOKUP(A7295,'Base Prueba'!A:E,5,),"NO REGISTRA")</f>
        <v>DIRECCION DE BIENESTAR INSTITUCIONAL</v>
      </c>
    </row>
    <row r="7296" spans="1:5" ht="15.75" x14ac:dyDescent="0.25">
      <c r="A7296" s="14">
        <v>1000992568</v>
      </c>
      <c r="B7296" s="2">
        <v>46167.751361689814</v>
      </c>
      <c r="C7296" s="3" t="str">
        <f>IFERROR(VLOOKUP(A7296,'Base Prueba'!A:C,3,),"NO REGISTRA")</f>
        <v>KAREN BRIGITTE DALEMAN MORENO</v>
      </c>
      <c r="D7296" s="4" t="str">
        <f>IFERROR(VLOOKUP(A7296,'Base Prueba'!A:D,4,),"NO REGISTRA")</f>
        <v>RECEPCIONISTA</v>
      </c>
      <c r="E7296" s="5" t="str">
        <f>IFERROR(VLOOKUP(A7296,'Base Prueba'!A:E,5,),"NO REGISTRA")</f>
        <v>CENTRO DE GESTION DOCUMENTAL</v>
      </c>
    </row>
    <row r="7297" spans="1:5" ht="15.75" x14ac:dyDescent="0.25">
      <c r="A7297" s="14">
        <v>80191732</v>
      </c>
      <c r="B7297" s="2">
        <v>46167.751755671299</v>
      </c>
      <c r="C7297" s="3" t="str">
        <f>IFERROR(VLOOKUP(A7297,'Base Prueba'!A:C,3,),"NO REGISTRA")</f>
        <v>DANIEL MAURICIO ZAMBRANO TUNJANO</v>
      </c>
      <c r="D7297" s="4" t="str">
        <f>IFERROR(VLOOKUP(A7297,'Base Prueba'!A:D,4,),"NO REGISTRA")</f>
        <v>COORDINADOR DE DISEÑO E IMAGEN INSTITUCIONAL</v>
      </c>
      <c r="E7297" s="5" t="str">
        <f>IFERROR(VLOOKUP(A7297,'Base Prueba'!A:E,5,),"NO REGISTRA")</f>
        <v>OFICINA DE MERCADEO</v>
      </c>
    </row>
    <row r="7298" spans="1:5" ht="15.75" x14ac:dyDescent="0.25">
      <c r="A7298" s="14">
        <v>1013101788</v>
      </c>
      <c r="B7298" s="2">
        <v>46167.751958449073</v>
      </c>
      <c r="C7298" s="3" t="str">
        <f>IFERROR(VLOOKUP(A7298,'Base Prueba'!A:C,3,),"NO REGISTRA")</f>
        <v>SARA TANGARIFE MONTOYA</v>
      </c>
      <c r="D7298" s="4" t="str">
        <f>IFERROR(VLOOKUP(A7298,'Base Prueba'!A:D,4,),"NO REGISTRA")</f>
        <v>APRENDIZ UNIVERSITARIO</v>
      </c>
      <c r="E7298" s="5" t="str">
        <f>IFERROR(VLOOKUP(A7298,'Base Prueba'!A:E,5,),"NO REGISTRA")</f>
        <v>OFICINA DE MERCADEO</v>
      </c>
    </row>
    <row r="7299" spans="1:5" ht="15.75" x14ac:dyDescent="0.25">
      <c r="A7299" s="14">
        <v>1049644802</v>
      </c>
      <c r="B7299" s="2">
        <v>46167.753365393517</v>
      </c>
      <c r="C7299" s="3" t="str">
        <f>IFERROR(VLOOKUP(A7299,'Base Prueba'!A:C,3,),"NO REGISTRA")</f>
        <v>DANIELA ALEXANDRA CIPAMOCHA BOSIGA</v>
      </c>
      <c r="D7299" s="4" t="str">
        <f>IFERROR(VLOOKUP(A7299,'Base Prueba'!A:D,4,),"NO REGISTRA")</f>
        <v>LIDER DE DATOS Y SERVICIOS</v>
      </c>
      <c r="E7299" s="5" t="str">
        <f>IFERROR(VLOOKUP(A7299,'Base Prueba'!A:E,5,),"NO REGISTRA")</f>
        <v>OFICINA DE PLANEACION Y GESTION DE LA CALIDAD</v>
      </c>
    </row>
    <row r="7300" spans="1:5" ht="15.75" x14ac:dyDescent="0.25">
      <c r="A7300" s="14">
        <v>1000046533</v>
      </c>
      <c r="B7300" s="2">
        <v>46167.753414236111</v>
      </c>
      <c r="C7300" s="3" t="str">
        <f>IFERROR(VLOOKUP(A7300,'Base Prueba'!A:C,3,),"NO REGISTRA")</f>
        <v>ERIKA JULIETH VALDERRAMA SANCHEZ</v>
      </c>
      <c r="D7300" s="4" t="str">
        <f>IFERROR(VLOOKUP(A7300,'Base Prueba'!A:D,4,),"NO REGISTRA")</f>
        <v>PROMOTOR CALL CENTER</v>
      </c>
      <c r="E7300" s="5" t="str">
        <f>IFERROR(VLOOKUP(A7300,'Base Prueba'!A:E,5,),"NO REGISTRA")</f>
        <v>OFICINA DE MERCADEO</v>
      </c>
    </row>
    <row r="7301" spans="1:5" ht="15.75" x14ac:dyDescent="0.25">
      <c r="A7301" s="14">
        <v>1014196857</v>
      </c>
      <c r="B7301" s="2">
        <v>46167.759246875001</v>
      </c>
      <c r="C7301" s="3" t="str">
        <f>IFERROR(VLOOKUP(A7301,'Base Prueba'!A:C,3,),"NO REGISTRA")</f>
        <v>CARLOS ANDRES JIMENEZ PARDO</v>
      </c>
      <c r="D7301" s="4" t="str">
        <f>IFERROR(VLOOKUP(A7301,'Base Prueba'!A:D,4,),"NO REGISTRA")</f>
        <v>COORDINADOR DE MARKETING DIGITAL</v>
      </c>
      <c r="E7301" s="5" t="str">
        <f>IFERROR(VLOOKUP(A7301,'Base Prueba'!A:E,5,),"NO REGISTRA")</f>
        <v>OFICINA DE MERCADEO</v>
      </c>
    </row>
    <row r="7302" spans="1:5" ht="15.75" x14ac:dyDescent="0.25">
      <c r="A7302" s="14">
        <v>1032410833</v>
      </c>
      <c r="B7302" s="2">
        <v>46167.76130648148</v>
      </c>
      <c r="C7302" s="3" t="str">
        <f>IFERROR(VLOOKUP(A7302,'Base Prueba'!A:C,3,),"NO REGISTRA")</f>
        <v>DIANA PAOLA MONTAÑEZ GONZALEZ</v>
      </c>
      <c r="D7302" s="4" t="str">
        <f>IFERROR(VLOOKUP(A7302,'Base Prueba'!A:D,4,),"NO REGISTRA")</f>
        <v>APRENDIZ UNIVERSITARIO</v>
      </c>
      <c r="E7302" s="5" t="str">
        <f>IFERROR(VLOOKUP(A7302,'Base Prueba'!A:E,5,),"NO REGISTRA")</f>
        <v>AREA FINANCIERA Y CONTABLE</v>
      </c>
    </row>
    <row r="7303" spans="1:5" ht="15.75" x14ac:dyDescent="0.25">
      <c r="A7303" s="14">
        <v>1019105003</v>
      </c>
      <c r="B7303" s="2">
        <v>46167.761635300929</v>
      </c>
      <c r="C7303" s="3" t="str">
        <f>IFERROR(VLOOKUP(A7303,'Base Prueba'!A:C,3,),"NO REGISTRA")</f>
        <v>DAISY JULIETH GASPAR MORENO</v>
      </c>
      <c r="D7303" s="4" t="str">
        <f>IFERROR(VLOOKUP(A7303,'Base Prueba'!A:D,4,),"NO REGISTRA")</f>
        <v>PROMOTOR CALL CENTER</v>
      </c>
      <c r="E7303" s="5" t="str">
        <f>IFERROR(VLOOKUP(A7303,'Base Prueba'!A:E,5,),"NO REGISTRA")</f>
        <v>OFICINA DE MERCADEO</v>
      </c>
    </row>
    <row r="7304" spans="1:5" ht="15.75" x14ac:dyDescent="0.25">
      <c r="A7304" s="14">
        <v>1000593372</v>
      </c>
      <c r="B7304" s="2">
        <v>46167.761686111109</v>
      </c>
      <c r="C7304" s="3" t="str">
        <f>IFERROR(VLOOKUP(A7304,'Base Prueba'!A:C,3,),"NO REGISTRA")</f>
        <v>LAURA SOFIA CHAPARRO LOPEZ</v>
      </c>
      <c r="D7304" s="4" t="str">
        <f>IFERROR(VLOOKUP(A7304,'Base Prueba'!A:D,4,),"NO REGISTRA")</f>
        <v>AUXILIAR JURIDICO</v>
      </c>
      <c r="E7304" s="5" t="str">
        <f>IFERROR(VLOOKUP(A7304,'Base Prueba'!A:E,5,),"NO REGISTRA")</f>
        <v>SECRETARIA GENERAL</v>
      </c>
    </row>
    <row r="7305" spans="1:5" ht="15.75" x14ac:dyDescent="0.25">
      <c r="A7305" s="14">
        <v>1033709056</v>
      </c>
      <c r="B7305" s="2">
        <v>46167.764605092591</v>
      </c>
      <c r="C7305" s="3" t="str">
        <f>IFERROR(VLOOKUP(A7305,'Base Prueba'!A:C,3,),"NO REGISTRA")</f>
        <v>YEIMY ALEXANDRA RODRIGUEZ PALACIO</v>
      </c>
      <c r="D7305" s="4" t="str">
        <f>IFERROR(VLOOKUP(A7305,'Base Prueba'!A:D,4,),"NO REGISTRA")</f>
        <v>PROMOTOR CALL CENTER</v>
      </c>
      <c r="E7305" s="5" t="str">
        <f>IFERROR(VLOOKUP(A7305,'Base Prueba'!A:E,5,),"NO REGISTRA")</f>
        <v>OFICINA DE MERCADEO</v>
      </c>
    </row>
    <row r="7306" spans="1:5" ht="15.75" x14ac:dyDescent="0.25">
      <c r="A7306" s="14">
        <v>1000257136</v>
      </c>
      <c r="B7306" s="2">
        <v>46167.76523553241</v>
      </c>
      <c r="C7306" s="3" t="str">
        <f>IFERROR(VLOOKUP(A7306,'Base Prueba'!A:C,3,),"NO REGISTRA")</f>
        <v>FRANCI VALENTINA CANO PUENTES</v>
      </c>
      <c r="D7306" s="4" t="str">
        <f>IFERROR(VLOOKUP(A7306,'Base Prueba'!A:D,4,),"NO REGISTRA")</f>
        <v>AUXILIAR CONTABLE</v>
      </c>
      <c r="E7306" s="5" t="str">
        <f>IFERROR(VLOOKUP(A7306,'Base Prueba'!A:E,5,),"NO REGISTRA")</f>
        <v>AREA FINANCIERA Y CONTABLE</v>
      </c>
    </row>
    <row r="7307" spans="1:5" ht="15.75" x14ac:dyDescent="0.25">
      <c r="A7307" s="14">
        <v>1018414290</v>
      </c>
      <c r="B7307" s="2">
        <v>46167.766885532408</v>
      </c>
      <c r="C7307" s="3" t="str">
        <f>IFERROR(VLOOKUP(A7307,'Base Prueba'!A:C,3,),"NO REGISTRA")</f>
        <v>AMANDA LISBETH RODRIGUEZ LEON</v>
      </c>
      <c r="D7307" s="4" t="str">
        <f>IFERROR(VLOOKUP(A7307,'Base Prueba'!A:D,4,),"NO REGISTRA")</f>
        <v>PROMOTOR CALL CENTER</v>
      </c>
      <c r="E7307" s="5" t="str">
        <f>IFERROR(VLOOKUP(A7307,'Base Prueba'!A:E,5,),"NO REGISTRA")</f>
        <v>OFICINA DE MERCADEO</v>
      </c>
    </row>
    <row r="7308" spans="1:5" ht="15.75" x14ac:dyDescent="0.25">
      <c r="A7308" s="14">
        <v>53932358</v>
      </c>
      <c r="B7308" s="2">
        <v>46167.770348032405</v>
      </c>
      <c r="C7308" s="3" t="str">
        <f>IFERROR(VLOOKUP(A7308,'Base Prueba'!A:C,3,),"NO REGISTRA")</f>
        <v>DIANA MADELEYNE GAONA RODRIGUEZ</v>
      </c>
      <c r="D7308" s="4" t="str">
        <f>IFERROR(VLOOKUP(A7308,'Base Prueba'!A:D,4,),"NO REGISTRA")</f>
        <v>CONTADOR</v>
      </c>
      <c r="E7308" s="5" t="str">
        <f>IFERROR(VLOOKUP(A7308,'Base Prueba'!A:E,5,),"NO REGISTRA")</f>
        <v>AREA FINANCIERA Y CONTABLE</v>
      </c>
    </row>
    <row r="7309" spans="1:5" ht="15.75" x14ac:dyDescent="0.25">
      <c r="A7309" s="14">
        <v>52175674</v>
      </c>
      <c r="B7309" s="2">
        <v>46167.772483217595</v>
      </c>
      <c r="C7309" s="3" t="str">
        <f>IFERROR(VLOOKUP(A7309,'Base Prueba'!A:C,3,),"NO REGISTRA")</f>
        <v>LUZ YANETH GOMEZ AREVALO</v>
      </c>
      <c r="D7309" s="4" t="str">
        <f>IFERROR(VLOOKUP(A7309,'Base Prueba'!A:D,4,),"NO REGISTRA")</f>
        <v>COORDINADORA DE ADMISIONES</v>
      </c>
      <c r="E7309" s="5" t="str">
        <f>IFERROR(VLOOKUP(A7309,'Base Prueba'!A:E,5,),"NO REGISTRA")</f>
        <v>OFICINA DE MERCADEO</v>
      </c>
    </row>
    <row r="7310" spans="1:5" ht="15.75" x14ac:dyDescent="0.25">
      <c r="A7310" s="14">
        <v>1087121273</v>
      </c>
      <c r="B7310" s="2">
        <v>46167.772512962962</v>
      </c>
      <c r="C7310" s="3" t="str">
        <f>IFERROR(VLOOKUP(A7310,'Base Prueba'!A:C,3,),"NO REGISTRA")</f>
        <v>MAYRA ALEJANDRA CASTILLO ARBOLEDA</v>
      </c>
      <c r="D7310" s="4" t="str">
        <f>IFERROR(VLOOKUP(A7310,'Base Prueba'!A:D,4,),"NO REGISTRA")</f>
        <v>APOYO INTEGRAL DE MERCADEO</v>
      </c>
      <c r="E7310" s="5" t="str">
        <f>IFERROR(VLOOKUP(A7310,'Base Prueba'!A:E,5,),"NO REGISTRA")</f>
        <v>CENTRO DE GESTION DOCUMENTAL</v>
      </c>
    </row>
    <row r="7311" spans="1:5" ht="15.75" x14ac:dyDescent="0.25">
      <c r="A7311" s="14">
        <v>80234243</v>
      </c>
      <c r="B7311" s="2">
        <v>46167.777604976851</v>
      </c>
      <c r="C7311" s="3" t="str">
        <f>IFERROR(VLOOKUP(A7311,'Base Prueba'!A:C,3,),"NO REGISTRA")</f>
        <v>ARGENIS MARTINEZ MARTINEZ</v>
      </c>
      <c r="D7311" s="4" t="str">
        <f>IFERROR(VLOOKUP(A7311,'Base Prueba'!A:D,4,),"NO REGISTRA")</f>
        <v>LIDER CALL CENTER</v>
      </c>
      <c r="E7311" s="5" t="str">
        <f>IFERROR(VLOOKUP(A7311,'Base Prueba'!A:E,5,),"NO REGISTRA")</f>
        <v>OFICINA DE MERCADEO</v>
      </c>
    </row>
    <row r="7312" spans="1:5" ht="15.75" x14ac:dyDescent="0.25">
      <c r="A7312" s="14">
        <v>1018413529</v>
      </c>
      <c r="B7312" s="2">
        <v>46167.780125231482</v>
      </c>
      <c r="C7312" s="3" t="str">
        <f>IFERROR(VLOOKUP(A7312,'Base Prueba'!A:C,3,),"NO REGISTRA")</f>
        <v>FRANCY STELLA CHARRY MORENO</v>
      </c>
      <c r="D7312" s="4" t="str">
        <f>IFERROR(VLOOKUP(A7312,'Base Prueba'!A:D,4,),"NO REGISTRA")</f>
        <v>PROMOTOR COMERCIAL DEL CEA</v>
      </c>
      <c r="E7312" s="5" t="str">
        <f>IFERROR(VLOOKUP(A7312,'Base Prueba'!A:E,5,),"NO REGISTRA")</f>
        <v>OFICINA DE MERCADEO</v>
      </c>
    </row>
    <row r="7313" spans="1:5" ht="15.75" x14ac:dyDescent="0.25">
      <c r="A7313" s="14">
        <v>53089882</v>
      </c>
      <c r="B7313" s="2">
        <v>46167.780293402779</v>
      </c>
      <c r="C7313" s="3" t="str">
        <f>IFERROR(VLOOKUP(A7313,'Base Prueba'!A:C,3,),"NO REGISTRA")</f>
        <v>MARIA JOHANA ESCAMILLA MARTINEZ</v>
      </c>
      <c r="D7313" s="4" t="str">
        <f>IFERROR(VLOOKUP(A7313,'Base Prueba'!A:D,4,),"NO REGISTRA")</f>
        <v>PROMOTOR DE INFORMACIÓN</v>
      </c>
      <c r="E7313" s="5" t="str">
        <f>IFERROR(VLOOKUP(A7313,'Base Prueba'!A:E,5,),"NO REGISTRA")</f>
        <v>OFICINA DE MERCADEO</v>
      </c>
    </row>
    <row r="7314" spans="1:5" ht="15.75" x14ac:dyDescent="0.25">
      <c r="A7314" s="14">
        <v>1014308296</v>
      </c>
      <c r="B7314" s="2">
        <v>46167.780405902777</v>
      </c>
      <c r="C7314" s="3" t="str">
        <f>IFERROR(VLOOKUP(A7314,'Base Prueba'!A:C,3,),"NO REGISTRA")</f>
        <v>DARLENE YULIANA MORENO CELEITA</v>
      </c>
      <c r="D7314" s="4" t="str">
        <f>IFERROR(VLOOKUP(A7314,'Base Prueba'!A:D,4,),"NO REGISTRA")</f>
        <v>CAJERO PRINCIPAL</v>
      </c>
      <c r="E7314" s="5" t="str">
        <f>IFERROR(VLOOKUP(A7314,'Base Prueba'!A:E,5,),"NO REGISTRA")</f>
        <v>AREA FINANCIERA Y CONTABLE</v>
      </c>
    </row>
    <row r="7315" spans="1:5" ht="15.75" x14ac:dyDescent="0.25">
      <c r="A7315" s="14">
        <v>1023961952</v>
      </c>
      <c r="B7315" s="2">
        <v>46167.782078124997</v>
      </c>
      <c r="C7315" s="3" t="str">
        <f>IFERROR(VLOOKUP(A7315,'Base Prueba'!A:C,3,),"NO REGISTRA")</f>
        <v>ALEJANDRO PINZON MERCHAN</v>
      </c>
      <c r="D7315" s="4" t="str">
        <f>IFERROR(VLOOKUP(A7315,'Base Prueba'!A:D,4,),"NO REGISTRA")</f>
        <v>PROMOTOR CALL CENTER</v>
      </c>
      <c r="E7315" s="5" t="str">
        <f>IFERROR(VLOOKUP(A7315,'Base Prueba'!A:E,5,),"NO REGISTRA")</f>
        <v>OFICINA DE MERCADEO</v>
      </c>
    </row>
    <row r="7316" spans="1:5" ht="15.75" x14ac:dyDescent="0.25">
      <c r="A7316" s="14">
        <v>52472386</v>
      </c>
      <c r="B7316" s="2">
        <v>46167.790688541667</v>
      </c>
      <c r="C7316" s="3" t="str">
        <f>IFERROR(VLOOKUP(A7316,'Base Prueba'!A:C,3,),"NO REGISTRA")</f>
        <v>ADRIANA MARCELA MORALES PARDO</v>
      </c>
      <c r="D7316" s="4" t="str">
        <f>IFERROR(VLOOKUP(A7316,'Base Prueba'!A:D,4,),"NO REGISTRA")</f>
        <v>PROMOTOR CALL CENTER</v>
      </c>
      <c r="E7316" s="5" t="str">
        <f>IFERROR(VLOOKUP(A7316,'Base Prueba'!A:E,5,),"NO REGISTRA")</f>
        <v>OFICINA DE MERCADEO</v>
      </c>
    </row>
    <row r="7317" spans="1:5" ht="15.75" x14ac:dyDescent="0.25">
      <c r="A7317" s="14">
        <v>28798349</v>
      </c>
      <c r="B7317" s="2">
        <v>46167.792258796297</v>
      </c>
      <c r="C7317" s="3" t="str">
        <f>IFERROR(VLOOKUP(A7317,'Base Prueba'!A:C,3,),"NO REGISTRA")</f>
        <v>MARTHA ISABEL TOVAR WILLIAMS</v>
      </c>
      <c r="D7317" s="4" t="str">
        <f>IFERROR(VLOOKUP(A7317,'Base Prueba'!A:D,4,),"NO REGISTRA")</f>
        <v>PROMOTOR CALL CENTER</v>
      </c>
      <c r="E7317" s="5" t="str">
        <f>IFERROR(VLOOKUP(A7317,'Base Prueba'!A:E,5,),"NO REGISTRA")</f>
        <v>OFICINA DE MERCADEO</v>
      </c>
    </row>
    <row r="7318" spans="1:5" ht="15.75" x14ac:dyDescent="0.25">
      <c r="A7318" s="14">
        <v>1000457706</v>
      </c>
      <c r="B7318" s="2">
        <v>46167.794941666667</v>
      </c>
      <c r="C7318" s="3" t="str">
        <f>IFERROR(VLOOKUP(A7318,'Base Prueba'!A:C,3,),"NO REGISTRA")</f>
        <v>CRISTIAN DANILO ARROYO SANABRIA</v>
      </c>
      <c r="D7318" s="4" t="str">
        <f>IFERROR(VLOOKUP(A7318,'Base Prueba'!A:D,4,),"NO REGISTRA")</f>
        <v>AUXILIAR CONTABLE</v>
      </c>
      <c r="E7318" s="5" t="str">
        <f>IFERROR(VLOOKUP(A7318,'Base Prueba'!A:E,5,),"NO REGISTRA")</f>
        <v>AREA FINANCIERA Y CONTABLE</v>
      </c>
    </row>
    <row r="7319" spans="1:5" ht="15.75" x14ac:dyDescent="0.25">
      <c r="A7319" s="14">
        <v>52474489</v>
      </c>
      <c r="B7319" s="2">
        <v>46167.798880324073</v>
      </c>
      <c r="C7319" s="3" t="str">
        <f>IFERROR(VLOOKUP(A7319,'Base Prueba'!A:C,3,),"NO REGISTRA")</f>
        <v>ADRIANA JIMENA SOTO BOCANEGRA</v>
      </c>
      <c r="D7319" s="4" t="str">
        <f>IFERROR(VLOOKUP(A7319,'Base Prueba'!A:D,4,),"NO REGISTRA")</f>
        <v>COORDINADOR DE LA OFICINA DE REGISTRO Y CONTROL</v>
      </c>
      <c r="E7319" s="5" t="str">
        <f>IFERROR(VLOOKUP(A7319,'Base Prueba'!A:E,5,),"NO REGISTRA")</f>
        <v>REGISTRO Y CONTROL ACADEMICO</v>
      </c>
    </row>
    <row r="7320" spans="1:5" ht="15.75" x14ac:dyDescent="0.25">
      <c r="A7320" s="14">
        <v>1024512067</v>
      </c>
      <c r="B7320" s="2">
        <v>46168.315936689818</v>
      </c>
      <c r="C7320" s="3" t="str">
        <f>IFERROR(VLOOKUP(A7320,'Base Prueba'!A:C,3,),"NO REGISTRA")</f>
        <v>CINDY GIOVANA SALGAR GOMEZ</v>
      </c>
      <c r="D7320" s="4" t="str">
        <f>IFERROR(VLOOKUP(A7320,'Base Prueba'!A:D,4,),"NO REGISTRA")</f>
        <v>COORDINADOR DEL SISTEMA INTEGRADO DE GESTION INSTITUCIONAL - SIGI</v>
      </c>
      <c r="E7320" s="5" t="str">
        <f>IFERROR(VLOOKUP(A7320,'Base Prueba'!A:E,5,),"NO REGISTRA")</f>
        <v>OFICINA DE PLANEACION Y GESTION DE LA CALIDAD</v>
      </c>
    </row>
    <row r="7321" spans="1:5" ht="15.75" x14ac:dyDescent="0.25">
      <c r="A7321" s="14">
        <v>1013616244</v>
      </c>
      <c r="B7321" s="2">
        <v>46168.32495509259</v>
      </c>
      <c r="C7321" s="3" t="str">
        <f>IFERROR(VLOOKUP(A7321,'Base Prueba'!A:C,3,),"NO REGISTRA")</f>
        <v>DIANA CAROLINA MARIN BETANCOURT</v>
      </c>
      <c r="D7321" s="4" t="str">
        <f>IFERROR(VLOOKUP(A7321,'Base Prueba'!A:D,4,),"NO REGISTRA")</f>
        <v>AUXILIAR ADMINISTRATIVO</v>
      </c>
      <c r="E7321" s="5" t="str">
        <f>IFERROR(VLOOKUP(A7321,'Base Prueba'!A:E,5,),"NO REGISTRA")</f>
        <v>REGISTRO Y CONTROL ACADEMICO</v>
      </c>
    </row>
    <row r="7322" spans="1:5" ht="15.75" x14ac:dyDescent="0.25">
      <c r="A7322" s="14">
        <v>1014308296</v>
      </c>
      <c r="B7322" s="2">
        <v>46168.332888078701</v>
      </c>
      <c r="C7322" s="3" t="str">
        <f>IFERROR(VLOOKUP(A7322,'Base Prueba'!A:C,3,),"NO REGISTRA")</f>
        <v>DARLENE YULIANA MORENO CELEITA</v>
      </c>
      <c r="D7322" s="4" t="str">
        <f>IFERROR(VLOOKUP(A7322,'Base Prueba'!A:D,4,),"NO REGISTRA")</f>
        <v>CAJERO PRINCIPAL</v>
      </c>
      <c r="E7322" s="5" t="str">
        <f>IFERROR(VLOOKUP(A7322,'Base Prueba'!A:E,5,),"NO REGISTRA")</f>
        <v>AREA FINANCIERA Y CONTABLE</v>
      </c>
    </row>
    <row r="7323" spans="1:5" ht="15.75" x14ac:dyDescent="0.25">
      <c r="A7323" s="14">
        <v>1032469638</v>
      </c>
      <c r="B7323" s="2">
        <v>46168.333428935184</v>
      </c>
      <c r="C7323" s="3" t="str">
        <f>IFERROR(VLOOKUP(A7323,'Base Prueba'!A:C,3,),"NO REGISTRA")</f>
        <v>MAICOL JARBEY GUALTEROS CASTAÑEDA</v>
      </c>
      <c r="D7323" s="4" t="str">
        <f>IFERROR(VLOOKUP(A7323,'Base Prueba'!A:D,4,),"NO REGISTRA")</f>
        <v>COORDINADOR DEL SISTEMA INTERNO DE ASEGURAMIENTO DE LA CALIDAD - SIAC</v>
      </c>
      <c r="E7323" s="5" t="str">
        <f>IFERROR(VLOOKUP(A7323,'Base Prueba'!A:E,5,),"NO REGISTRA")</f>
        <v>OFICINA DE PLANEACION Y GESTION DE LA CALIDAD</v>
      </c>
    </row>
    <row r="7324" spans="1:5" ht="15.75" x14ac:dyDescent="0.25">
      <c r="A7324" s="14">
        <v>80191732</v>
      </c>
      <c r="B7324" s="2">
        <v>46168.334390277778</v>
      </c>
      <c r="C7324" s="3" t="str">
        <f>IFERROR(VLOOKUP(A7324,'Base Prueba'!A:C,3,),"NO REGISTRA")</f>
        <v>DANIEL MAURICIO ZAMBRANO TUNJANO</v>
      </c>
      <c r="D7324" s="4" t="str">
        <f>IFERROR(VLOOKUP(A7324,'Base Prueba'!A:D,4,),"NO REGISTRA")</f>
        <v>COORDINADOR DE DISEÑO E IMAGEN INSTITUCIONAL</v>
      </c>
      <c r="E7324" s="5" t="str">
        <f>IFERROR(VLOOKUP(A7324,'Base Prueba'!A:E,5,),"NO REGISTRA")</f>
        <v>OFICINA DE MERCADEO</v>
      </c>
    </row>
    <row r="7325" spans="1:5" ht="15.75" x14ac:dyDescent="0.25">
      <c r="A7325" s="14">
        <v>80234243</v>
      </c>
      <c r="B7325" s="2">
        <v>46168.335355092589</v>
      </c>
      <c r="C7325" s="3" t="str">
        <f>IFERROR(VLOOKUP(A7325,'Base Prueba'!A:C,3,),"NO REGISTRA")</f>
        <v>ARGENIS MARTINEZ MARTINEZ</v>
      </c>
      <c r="D7325" s="4" t="str">
        <f>IFERROR(VLOOKUP(A7325,'Base Prueba'!A:D,4,),"NO REGISTRA")</f>
        <v>LIDER CALL CENTER</v>
      </c>
      <c r="E7325" s="5" t="str">
        <f>IFERROR(VLOOKUP(A7325,'Base Prueba'!A:E,5,),"NO REGISTRA")</f>
        <v>OFICINA DE MERCADEO</v>
      </c>
    </row>
    <row r="7326" spans="1:5" ht="15.75" x14ac:dyDescent="0.25">
      <c r="A7326" s="14">
        <v>1014196857</v>
      </c>
      <c r="B7326" s="2">
        <v>46168.336719444444</v>
      </c>
      <c r="C7326" s="3" t="str">
        <f>IFERROR(VLOOKUP(A7326,'Base Prueba'!A:C,3,),"NO REGISTRA")</f>
        <v>CARLOS ANDRES JIMENEZ PARDO</v>
      </c>
      <c r="D7326" s="4" t="str">
        <f>IFERROR(VLOOKUP(A7326,'Base Prueba'!A:D,4,),"NO REGISTRA")</f>
        <v>COORDINADOR DE MARKETING DIGITAL</v>
      </c>
      <c r="E7326" s="5" t="str">
        <f>IFERROR(VLOOKUP(A7326,'Base Prueba'!A:E,5,),"NO REGISTRA")</f>
        <v>OFICINA DE MERCADEO</v>
      </c>
    </row>
    <row r="7327" spans="1:5" ht="15.75" x14ac:dyDescent="0.25">
      <c r="A7327" s="14">
        <v>1032410833</v>
      </c>
      <c r="B7327" s="2">
        <v>46168.337983101854</v>
      </c>
      <c r="C7327" s="3" t="str">
        <f>IFERROR(VLOOKUP(A7327,'Base Prueba'!A:C,3,),"NO REGISTRA")</f>
        <v>DIANA PAOLA MONTAÑEZ GONZALEZ</v>
      </c>
      <c r="D7327" s="4" t="str">
        <f>IFERROR(VLOOKUP(A7327,'Base Prueba'!A:D,4,),"NO REGISTRA")</f>
        <v>APRENDIZ UNIVERSITARIO</v>
      </c>
      <c r="E7327" s="5" t="str">
        <f>IFERROR(VLOOKUP(A7327,'Base Prueba'!A:E,5,),"NO REGISTRA")</f>
        <v>AREA FINANCIERA Y CONTABLE</v>
      </c>
    </row>
    <row r="7328" spans="1:5" ht="15.75" x14ac:dyDescent="0.25">
      <c r="A7328" s="14">
        <v>1033820146</v>
      </c>
      <c r="B7328" s="2">
        <v>46168.33923553241</v>
      </c>
      <c r="C7328" s="3" t="str">
        <f>IFERROR(VLOOKUP(A7328,'Base Prueba'!A:C,3,),"NO REGISTRA")</f>
        <v>JULIETH ALEXANDRA BUSTAMANTE RUIZ</v>
      </c>
      <c r="D7328" s="4" t="str">
        <f>IFERROR(VLOOKUP(A7328,'Base Prueba'!A:D,4,),"NO REGISTRA")</f>
        <v>AUXILIAR ADMINISTRATIVO</v>
      </c>
      <c r="E7328" s="5" t="str">
        <f>IFERROR(VLOOKUP(A7328,'Base Prueba'!A:E,5,),"NO REGISTRA")</f>
        <v>REGISTRO Y CONTROL ACADEMICO</v>
      </c>
    </row>
    <row r="7329" spans="1:5" ht="15.75" x14ac:dyDescent="0.25">
      <c r="A7329" s="14">
        <v>1000324729</v>
      </c>
      <c r="B7329" s="2">
        <v>46168.339820138892</v>
      </c>
      <c r="C7329" s="3" t="str">
        <f>IFERROR(VLOOKUP(A7329,'Base Prueba'!A:C,3,),"NO REGISTRA")</f>
        <v>ANYIE VANESSA TINOCO CAMACHO</v>
      </c>
      <c r="D7329" s="4" t="str">
        <f>IFERROR(VLOOKUP(A7329,'Base Prueba'!A:D,4,),"NO REGISTRA")</f>
        <v>LIDER DE REGISTRO Y CONTROL</v>
      </c>
      <c r="E7329" s="5" t="str">
        <f>IFERROR(VLOOKUP(A7329,'Base Prueba'!A:E,5,),"NO REGISTRA")</f>
        <v>REGISTRO Y CONTROL ACADEMICO</v>
      </c>
    </row>
    <row r="7330" spans="1:5" ht="15.75" x14ac:dyDescent="0.25">
      <c r="A7330" s="14">
        <v>1049644802</v>
      </c>
      <c r="B7330" s="2">
        <v>46168.340022916665</v>
      </c>
      <c r="C7330" s="3" t="str">
        <f>IFERROR(VLOOKUP(A7330,'Base Prueba'!A:C,3,),"NO REGISTRA")</f>
        <v>DANIELA ALEXANDRA CIPAMOCHA BOSIGA</v>
      </c>
      <c r="D7330" s="4" t="str">
        <f>IFERROR(VLOOKUP(A7330,'Base Prueba'!A:D,4,),"NO REGISTRA")</f>
        <v>LIDER DE DATOS Y SERVICIOS</v>
      </c>
      <c r="E7330" s="5" t="str">
        <f>IFERROR(VLOOKUP(A7330,'Base Prueba'!A:E,5,),"NO REGISTRA")</f>
        <v>OFICINA DE PLANEACION Y GESTION DE LA CALIDAD</v>
      </c>
    </row>
    <row r="7331" spans="1:5" ht="15.75" x14ac:dyDescent="0.25">
      <c r="A7331" s="14">
        <v>1013098430</v>
      </c>
      <c r="B7331" s="2">
        <v>46168.34082002315</v>
      </c>
      <c r="C7331" s="3" t="str">
        <f>IFERROR(VLOOKUP(A7331,'Base Prueba'!A:C,3,),"NO REGISTRA")</f>
        <v>ANDRES FELIPE LOPEZ ROMERO</v>
      </c>
      <c r="D7331" s="4" t="str">
        <f>IFERROR(VLOOKUP(A7331,'Base Prueba'!A:D,4,),"NO REGISTRA")</f>
        <v>APRENDIZ UNIVERSITARIO</v>
      </c>
      <c r="E7331" s="5" t="str">
        <f>IFERROR(VLOOKUP(A7331,'Base Prueba'!A:E,5,),"NO REGISTRA")</f>
        <v>OFICINA DE MERCADEO</v>
      </c>
    </row>
    <row r="7332" spans="1:5" ht="15.75" x14ac:dyDescent="0.25">
      <c r="A7332" s="14">
        <v>1000593372</v>
      </c>
      <c r="B7332" s="2">
        <v>46168.340870023145</v>
      </c>
      <c r="C7332" s="3" t="str">
        <f>IFERROR(VLOOKUP(A7332,'Base Prueba'!A:C,3,),"NO REGISTRA")</f>
        <v>LAURA SOFIA CHAPARRO LOPEZ</v>
      </c>
      <c r="D7332" s="4" t="str">
        <f>IFERROR(VLOOKUP(A7332,'Base Prueba'!A:D,4,),"NO REGISTRA")</f>
        <v>AUXILIAR JURIDICO</v>
      </c>
      <c r="E7332" s="5" t="str">
        <f>IFERROR(VLOOKUP(A7332,'Base Prueba'!A:E,5,),"NO REGISTRA")</f>
        <v>SECRETARIA GENERAL</v>
      </c>
    </row>
    <row r="7333" spans="1:5" ht="15.75" x14ac:dyDescent="0.25">
      <c r="A7333" s="14">
        <v>1022996882</v>
      </c>
      <c r="B7333" s="2">
        <v>46168.341053356482</v>
      </c>
      <c r="C7333" s="3" t="str">
        <f>IFERROR(VLOOKUP(A7333,'Base Prueba'!A:C,3,),"NO REGISTRA")</f>
        <v>NANCY BRIGITH ALDANA GUEVARA</v>
      </c>
      <c r="D7333" s="4" t="str">
        <f>IFERROR(VLOOKUP(A7333,'Base Prueba'!A:D,4,),"NO REGISTRA")</f>
        <v>COORDINADORA DE GESTIÓN HUMANA</v>
      </c>
      <c r="E7333" s="5" t="str">
        <f>IFERROR(VLOOKUP(A7333,'Base Prueba'!A:E,5,),"NO REGISTRA")</f>
        <v>DEPARTAMENTO DE GESTION HUMANA</v>
      </c>
    </row>
    <row r="7334" spans="1:5" ht="15.75" x14ac:dyDescent="0.25">
      <c r="A7334" s="14">
        <v>1193457976</v>
      </c>
      <c r="B7334" s="2">
        <v>46168.343609953707</v>
      </c>
      <c r="C7334" s="3" t="str">
        <f>IFERROR(VLOOKUP(A7334,'Base Prueba'!A:C,3,),"NO REGISTRA")</f>
        <v>SEDENIS RIVAS ASPRILLA</v>
      </c>
      <c r="D7334" s="4" t="str">
        <f>IFERROR(VLOOKUP(A7334,'Base Prueba'!A:D,4,),"NO REGISTRA")</f>
        <v>APRENDIZ UNIVERSITARIO</v>
      </c>
      <c r="E7334" s="5" t="str">
        <f>IFERROR(VLOOKUP(A7334,'Base Prueba'!A:E,5,),"NO REGISTRA")</f>
        <v>DEPARTAMENTO DE GESTION HUMANA</v>
      </c>
    </row>
    <row r="7335" spans="1:5" ht="15.75" x14ac:dyDescent="0.25">
      <c r="A7335" s="14">
        <v>53932358</v>
      </c>
      <c r="B7335" s="2">
        <v>46168.345879513887</v>
      </c>
      <c r="C7335" s="3" t="str">
        <f>IFERROR(VLOOKUP(A7335,'Base Prueba'!A:C,3,),"NO REGISTRA")</f>
        <v>DIANA MADELEYNE GAONA RODRIGUEZ</v>
      </c>
      <c r="D7335" s="4" t="str">
        <f>IFERROR(VLOOKUP(A7335,'Base Prueba'!A:D,4,),"NO REGISTRA")</f>
        <v>CONTADOR</v>
      </c>
      <c r="E7335" s="5" t="str">
        <f>IFERROR(VLOOKUP(A7335,'Base Prueba'!A:E,5,),"NO REGISTRA")</f>
        <v>AREA FINANCIERA Y CONTABLE</v>
      </c>
    </row>
    <row r="7336" spans="1:5" ht="15.75" x14ac:dyDescent="0.25">
      <c r="A7336" s="14">
        <v>1000457706</v>
      </c>
      <c r="B7336" s="2">
        <v>46168.348700578703</v>
      </c>
      <c r="C7336" s="3" t="str">
        <f>IFERROR(VLOOKUP(A7336,'Base Prueba'!A:C,3,),"NO REGISTRA")</f>
        <v>CRISTIAN DANILO ARROYO SANABRIA</v>
      </c>
      <c r="D7336" s="4" t="str">
        <f>IFERROR(VLOOKUP(A7336,'Base Prueba'!A:D,4,),"NO REGISTRA")</f>
        <v>AUXILIAR CONTABLE</v>
      </c>
      <c r="E7336" s="5" t="str">
        <f>IFERROR(VLOOKUP(A7336,'Base Prueba'!A:E,5,),"NO REGISTRA")</f>
        <v>AREA FINANCIERA Y CONTABLE</v>
      </c>
    </row>
    <row r="7337" spans="1:5" ht="15.75" x14ac:dyDescent="0.25">
      <c r="A7337" s="14">
        <v>1087121273</v>
      </c>
      <c r="B7337" s="2">
        <v>46168.352415856483</v>
      </c>
      <c r="C7337" s="3" t="str">
        <f>IFERROR(VLOOKUP(A7337,'Base Prueba'!A:C,3,),"NO REGISTRA")</f>
        <v>MAYRA ALEJANDRA CASTILLO ARBOLEDA</v>
      </c>
      <c r="D7337" s="4" t="str">
        <f>IFERROR(VLOOKUP(A7337,'Base Prueba'!A:D,4,),"NO REGISTRA")</f>
        <v>APOYO INTEGRAL DE MERCADEO</v>
      </c>
      <c r="E7337" s="5" t="str">
        <f>IFERROR(VLOOKUP(A7337,'Base Prueba'!A:E,5,),"NO REGISTRA")</f>
        <v>CENTRO DE GESTION DOCUMENTAL</v>
      </c>
    </row>
    <row r="7338" spans="1:5" ht="15.75" x14ac:dyDescent="0.25">
      <c r="A7338" s="14">
        <v>1018413529</v>
      </c>
      <c r="B7338" s="2">
        <v>46168.360213888889</v>
      </c>
      <c r="C7338" s="3" t="str">
        <f>IFERROR(VLOOKUP(A7338,'Base Prueba'!A:C,3,),"NO REGISTRA")</f>
        <v>FRANCY STELLA CHARRY MORENO</v>
      </c>
      <c r="D7338" s="4" t="str">
        <f>IFERROR(VLOOKUP(A7338,'Base Prueba'!A:D,4,),"NO REGISTRA")</f>
        <v>PROMOTOR COMERCIAL DEL CEA</v>
      </c>
      <c r="E7338" s="5" t="str">
        <f>IFERROR(VLOOKUP(A7338,'Base Prueba'!A:E,5,),"NO REGISTRA")</f>
        <v>OFICINA DE MERCADEO</v>
      </c>
    </row>
    <row r="7339" spans="1:5" ht="15.75" x14ac:dyDescent="0.25">
      <c r="A7339" s="14">
        <v>1032407386</v>
      </c>
      <c r="B7339" s="2">
        <v>46168.361955092594</v>
      </c>
      <c r="C7339" s="3" t="str">
        <f>IFERROR(VLOOKUP(A7339,'Base Prueba'!A:C,3,),"NO REGISTRA")</f>
        <v>GINA PAOLA BAEZ GALVIS</v>
      </c>
      <c r="D7339" s="4" t="str">
        <f>IFERROR(VLOOKUP(A7339,'Base Prueba'!A:D,4,),"NO REGISTRA")</f>
        <v>PROMOTOR CALL CENTER</v>
      </c>
      <c r="E7339" s="5" t="str">
        <f>IFERROR(VLOOKUP(A7339,'Base Prueba'!A:E,5,),"NO REGISTRA")</f>
        <v>OFICINA DE MERCADEO</v>
      </c>
    </row>
    <row r="7340" spans="1:5" ht="15.75" x14ac:dyDescent="0.25">
      <c r="A7340" s="14">
        <v>1013101788</v>
      </c>
      <c r="B7340" s="2">
        <v>46168.36446099537</v>
      </c>
      <c r="C7340" s="3" t="str">
        <f>IFERROR(VLOOKUP(A7340,'Base Prueba'!A:C,3,),"NO REGISTRA")</f>
        <v>SARA TANGARIFE MONTOYA</v>
      </c>
      <c r="D7340" s="4" t="str">
        <f>IFERROR(VLOOKUP(A7340,'Base Prueba'!A:D,4,),"NO REGISTRA")</f>
        <v>APRENDIZ UNIVERSITARIO</v>
      </c>
      <c r="E7340" s="5" t="str">
        <f>IFERROR(VLOOKUP(A7340,'Base Prueba'!A:E,5,),"NO REGISTRA")</f>
        <v>OFICINA DE MERCADEO</v>
      </c>
    </row>
    <row r="7341" spans="1:5" ht="15.75" x14ac:dyDescent="0.25">
      <c r="A7341" s="14">
        <v>1033709056</v>
      </c>
      <c r="B7341" s="2">
        <v>46168.364864699077</v>
      </c>
      <c r="C7341" s="3" t="str">
        <f>IFERROR(VLOOKUP(A7341,'Base Prueba'!A:C,3,),"NO REGISTRA")</f>
        <v>YEIMY ALEXANDRA RODRIGUEZ PALACIO</v>
      </c>
      <c r="D7341" s="4" t="str">
        <f>IFERROR(VLOOKUP(A7341,'Base Prueba'!A:D,4,),"NO REGISTRA")</f>
        <v>PROMOTOR CALL CENTER</v>
      </c>
      <c r="E7341" s="5" t="str">
        <f>IFERROR(VLOOKUP(A7341,'Base Prueba'!A:E,5,),"NO REGISTRA")</f>
        <v>OFICINA DE MERCADEO</v>
      </c>
    </row>
    <row r="7342" spans="1:5" ht="15.75" x14ac:dyDescent="0.25">
      <c r="A7342" s="14">
        <v>52472386</v>
      </c>
      <c r="B7342" s="2">
        <v>46168.370164120373</v>
      </c>
      <c r="C7342" s="3" t="str">
        <f>IFERROR(VLOOKUP(A7342,'Base Prueba'!A:C,3,),"NO REGISTRA")</f>
        <v>ADRIANA MARCELA MORALES PARDO</v>
      </c>
      <c r="D7342" s="4" t="str">
        <f>IFERROR(VLOOKUP(A7342,'Base Prueba'!A:D,4,),"NO REGISTRA")</f>
        <v>PROMOTOR CALL CENTER</v>
      </c>
      <c r="E7342" s="5" t="str">
        <f>IFERROR(VLOOKUP(A7342,'Base Prueba'!A:E,5,),"NO REGISTRA")</f>
        <v>OFICINA DE MERCADEO</v>
      </c>
    </row>
    <row r="7343" spans="1:5" ht="15.75" x14ac:dyDescent="0.25">
      <c r="A7343" s="14">
        <v>28798349</v>
      </c>
      <c r="B7343" s="2">
        <v>46168.370434722223</v>
      </c>
      <c r="C7343" s="3" t="str">
        <f>IFERROR(VLOOKUP(A7343,'Base Prueba'!A:C,3,),"NO REGISTRA")</f>
        <v>MARTHA ISABEL TOVAR WILLIAMS</v>
      </c>
      <c r="D7343" s="4" t="str">
        <f>IFERROR(VLOOKUP(A7343,'Base Prueba'!A:D,4,),"NO REGISTRA")</f>
        <v>PROMOTOR CALL CENTER</v>
      </c>
      <c r="E7343" s="5" t="str">
        <f>IFERROR(VLOOKUP(A7343,'Base Prueba'!A:E,5,),"NO REGISTRA")</f>
        <v>OFICINA DE MERCADEO</v>
      </c>
    </row>
    <row r="7344" spans="1:5" ht="15.75" x14ac:dyDescent="0.25">
      <c r="A7344" s="14">
        <v>1012426741</v>
      </c>
      <c r="B7344" s="2">
        <v>46168.371994444446</v>
      </c>
      <c r="C7344" s="3" t="str">
        <f>IFERROR(VLOOKUP(A7344,'Base Prueba'!A:C,3,),"NO REGISTRA")</f>
        <v>CRISTIAN FABIAN ROJAS SANCENO</v>
      </c>
      <c r="D7344" s="4" t="str">
        <f>IFERROR(VLOOKUP(A7344,'Base Prueba'!A:D,4,),"NO REGISTRA")</f>
        <v>AUXILIAR DE REINTEGROS</v>
      </c>
      <c r="E7344" s="5" t="str">
        <f>IFERROR(VLOOKUP(A7344,'Base Prueba'!A:E,5,),"NO REGISTRA")</f>
        <v>DIRECCION DE BIENESTAR INSTITUCIONAL</v>
      </c>
    </row>
    <row r="7345" spans="1:5" ht="15.75" x14ac:dyDescent="0.25">
      <c r="A7345" s="14">
        <v>52764929</v>
      </c>
      <c r="B7345" s="2">
        <v>46168.37207002315</v>
      </c>
      <c r="C7345" s="3" t="str">
        <f>IFERROR(VLOOKUP(A7345,'Base Prueba'!A:C,3,),"NO REGISTRA")</f>
        <v>GUERLY YOHANA DURAN RIVERA</v>
      </c>
      <c r="D7345" s="4" t="str">
        <f>IFERROR(VLOOKUP(A7345,'Base Prueba'!A:D,4,),"NO REGISTRA")</f>
        <v>LIDER DE VINCULACION COLEGIOS</v>
      </c>
      <c r="E7345" s="5" t="str">
        <f>IFERROR(VLOOKUP(A7345,'Base Prueba'!A:E,5,),"NO REGISTRA")</f>
        <v>OFICINA DE MERCADEO</v>
      </c>
    </row>
    <row r="7346" spans="1:5" ht="15.75" x14ac:dyDescent="0.25">
      <c r="A7346" s="14">
        <v>1000046533</v>
      </c>
      <c r="B7346" s="2">
        <v>46168.373980324075</v>
      </c>
      <c r="C7346" s="3" t="str">
        <f>IFERROR(VLOOKUP(A7346,'Base Prueba'!A:C,3,),"NO REGISTRA")</f>
        <v>ERIKA JULIETH VALDERRAMA SANCHEZ</v>
      </c>
      <c r="D7346" s="4" t="str">
        <f>IFERROR(VLOOKUP(A7346,'Base Prueba'!A:D,4,),"NO REGISTRA")</f>
        <v>PROMOTOR CALL CENTER</v>
      </c>
      <c r="E7346" s="5" t="str">
        <f>IFERROR(VLOOKUP(A7346,'Base Prueba'!A:E,5,),"NO REGISTRA")</f>
        <v>OFICINA DE MERCADEO</v>
      </c>
    </row>
    <row r="7347" spans="1:5" ht="15.75" x14ac:dyDescent="0.25">
      <c r="A7347" s="14">
        <v>1023961952</v>
      </c>
      <c r="B7347" s="2">
        <v>46168.375255787039</v>
      </c>
      <c r="C7347" s="3" t="str">
        <f>IFERROR(VLOOKUP(A7347,'Base Prueba'!A:C,3,),"NO REGISTRA")</f>
        <v>ALEJANDRO PINZON MERCHAN</v>
      </c>
      <c r="D7347" s="4" t="str">
        <f>IFERROR(VLOOKUP(A7347,'Base Prueba'!A:D,4,),"NO REGISTRA")</f>
        <v>PROMOTOR CALL CENTER</v>
      </c>
      <c r="E7347" s="5" t="str">
        <f>IFERROR(VLOOKUP(A7347,'Base Prueba'!A:E,5,),"NO REGISTRA")</f>
        <v>OFICINA DE MERCADEO</v>
      </c>
    </row>
    <row r="7348" spans="1:5" ht="15.75" x14ac:dyDescent="0.25">
      <c r="A7348" s="14">
        <v>1016090131</v>
      </c>
      <c r="B7348" s="2">
        <v>46168.380657870373</v>
      </c>
      <c r="C7348" s="3" t="str">
        <f>IFERROR(VLOOKUP(A7348,'Base Prueba'!A:C,3,),"NO REGISTRA")</f>
        <v>NICOLAS RODRIGUEZ PACHECO</v>
      </c>
      <c r="D7348" s="4" t="str">
        <f>IFERROR(VLOOKUP(A7348,'Base Prueba'!A:D,4,),"NO REGISTRA")</f>
        <v>COORDINADOR DE COMUNICACIONES</v>
      </c>
      <c r="E7348" s="5" t="str">
        <f>IFERROR(VLOOKUP(A7348,'Base Prueba'!A:E,5,),"NO REGISTRA")</f>
        <v>OFICINA DE MERCADEO</v>
      </c>
    </row>
    <row r="7349" spans="1:5" ht="15.75" x14ac:dyDescent="0.25">
      <c r="A7349" s="14">
        <v>53089882</v>
      </c>
      <c r="B7349" s="2">
        <v>46168.384502430556</v>
      </c>
      <c r="C7349" s="3" t="str">
        <f>IFERROR(VLOOKUP(A7349,'Base Prueba'!A:C,3,),"NO REGISTRA")</f>
        <v>MARIA JOHANA ESCAMILLA MARTINEZ</v>
      </c>
      <c r="D7349" s="4" t="str">
        <f>IFERROR(VLOOKUP(A7349,'Base Prueba'!A:D,4,),"NO REGISTRA")</f>
        <v>PROMOTOR DE INFORMACIÓN</v>
      </c>
      <c r="E7349" s="5" t="str">
        <f>IFERROR(VLOOKUP(A7349,'Base Prueba'!A:E,5,),"NO REGISTRA")</f>
        <v>OFICINA DE MERCADEO</v>
      </c>
    </row>
    <row r="7350" spans="1:5" ht="15.75" x14ac:dyDescent="0.25">
      <c r="A7350" s="14">
        <v>1018414290</v>
      </c>
      <c r="B7350" s="2">
        <v>46168.469753819445</v>
      </c>
      <c r="C7350" s="3" t="str">
        <f>IFERROR(VLOOKUP(A7350,'Base Prueba'!A:C,3,),"NO REGISTRA")</f>
        <v>AMANDA LISBETH RODRIGUEZ LEON</v>
      </c>
      <c r="D7350" s="4" t="str">
        <f>IFERROR(VLOOKUP(A7350,'Base Prueba'!A:D,4,),"NO REGISTRA")</f>
        <v>PROMOTOR CALL CENTER</v>
      </c>
      <c r="E7350" s="5" t="str">
        <f>IFERROR(VLOOKUP(A7350,'Base Prueba'!A:E,5,),"NO REGISTRA")</f>
        <v>OFICINA DE MERCADEO</v>
      </c>
    </row>
    <row r="7351" spans="1:5" ht="15.75" x14ac:dyDescent="0.25">
      <c r="A7351" s="14">
        <v>52443092</v>
      </c>
      <c r="B7351" s="2">
        <v>46168.59014270833</v>
      </c>
      <c r="C7351" s="3" t="str">
        <f>IFERROR(VLOOKUP(A7351,'Base Prueba'!A:C,3,),"NO REGISTRA")</f>
        <v>LUZ MYRIAM SAAVEDRA CONTRERAS</v>
      </c>
      <c r="D7351" s="4" t="str">
        <f>IFERROR(VLOOKUP(A7351,'Base Prueba'!A:D,4,),"NO REGISTRA")</f>
        <v>AUXILIAR DE SERVICIOS</v>
      </c>
      <c r="E7351" s="5" t="str">
        <f>IFERROR(VLOOKUP(A7351,'Base Prueba'!A:E,5,),"NO REGISTRA")</f>
        <v>LOGISTICA Y SERVICIOS GENERALES</v>
      </c>
    </row>
    <row r="7352" spans="1:5" ht="15.75" x14ac:dyDescent="0.25">
      <c r="A7352" s="14">
        <v>1000611958</v>
      </c>
      <c r="B7352" s="2">
        <v>46168.715479398146</v>
      </c>
      <c r="C7352" s="3" t="str">
        <f>IFERROR(VLOOKUP(A7352,'Base Prueba'!A:C,3,),"NO REGISTRA")</f>
        <v>TYLER CORRADINE  VARGAS</v>
      </c>
      <c r="D7352" s="4" t="str">
        <f>IFERROR(VLOOKUP(A7352,'Base Prueba'!A:D,4,),"NO REGISTRA")</f>
        <v>APRENDIZ UNIVERSITARIO</v>
      </c>
      <c r="E7352" s="5" t="str">
        <f>IFERROR(VLOOKUP(A7352,'Base Prueba'!A:E,5,),"NO REGISTRA")</f>
        <v>DEPARTAMENTO DE INFORMATICA Y TECNOLOGIA</v>
      </c>
    </row>
    <row r="7353" spans="1:5" ht="15.75" x14ac:dyDescent="0.25">
      <c r="A7353" s="14">
        <v>1013616244</v>
      </c>
      <c r="B7353" s="2">
        <v>46168.719896527778</v>
      </c>
      <c r="C7353" s="3" t="str">
        <f>IFERROR(VLOOKUP(A7353,'Base Prueba'!A:C,3,),"NO REGISTRA")</f>
        <v>DIANA CAROLINA MARIN BETANCOURT</v>
      </c>
      <c r="D7353" s="4" t="str">
        <f>IFERROR(VLOOKUP(A7353,'Base Prueba'!A:D,4,),"NO REGISTRA")</f>
        <v>AUXILIAR ADMINISTRATIVO</v>
      </c>
      <c r="E7353" s="5" t="str">
        <f>IFERROR(VLOOKUP(A7353,'Base Prueba'!A:E,5,),"NO REGISTRA")</f>
        <v>REGISTRO Y CONTROL ACADEMICO</v>
      </c>
    </row>
    <row r="7354" spans="1:5" ht="15.75" x14ac:dyDescent="0.25">
      <c r="A7354" s="14">
        <v>1013098430</v>
      </c>
      <c r="B7354" s="2">
        <v>46168.72434803241</v>
      </c>
      <c r="C7354" s="3" t="str">
        <f>IFERROR(VLOOKUP(A7354,'Base Prueba'!A:C,3,),"NO REGISTRA")</f>
        <v>ANDRES FELIPE LOPEZ ROMERO</v>
      </c>
      <c r="D7354" s="4" t="str">
        <f>IFERROR(VLOOKUP(A7354,'Base Prueba'!A:D,4,),"NO REGISTRA")</f>
        <v>APRENDIZ UNIVERSITARIO</v>
      </c>
      <c r="E7354" s="5" t="str">
        <f>IFERROR(VLOOKUP(A7354,'Base Prueba'!A:E,5,),"NO REGISTRA")</f>
        <v>OFICINA DE MERCADEO</v>
      </c>
    </row>
    <row r="7355" spans="1:5" ht="15.75" x14ac:dyDescent="0.25">
      <c r="A7355" s="14">
        <v>1024512067</v>
      </c>
      <c r="B7355" s="2">
        <v>46168.733401851852</v>
      </c>
      <c r="C7355" s="3" t="str">
        <f>IFERROR(VLOOKUP(A7355,'Base Prueba'!A:C,3,),"NO REGISTRA")</f>
        <v>CINDY GIOVANA SALGAR GOMEZ</v>
      </c>
      <c r="D7355" s="4" t="str">
        <f>IFERROR(VLOOKUP(A7355,'Base Prueba'!A:D,4,),"NO REGISTRA")</f>
        <v>COORDINADOR DEL SISTEMA INTEGRADO DE GESTION INSTITUCIONAL - SIGI</v>
      </c>
      <c r="E7355" s="5" t="str">
        <f>IFERROR(VLOOKUP(A7355,'Base Prueba'!A:E,5,),"NO REGISTRA")</f>
        <v>OFICINA DE PLANEACION Y GESTION DE LA CALIDAD</v>
      </c>
    </row>
    <row r="7356" spans="1:5" ht="15.75" x14ac:dyDescent="0.25">
      <c r="A7356" s="14">
        <v>80191732</v>
      </c>
      <c r="B7356" s="2">
        <v>46168.749862037039</v>
      </c>
      <c r="C7356" s="3" t="str">
        <f>IFERROR(VLOOKUP(A7356,'Base Prueba'!A:C,3,),"NO REGISTRA")</f>
        <v>DANIEL MAURICIO ZAMBRANO TUNJANO</v>
      </c>
      <c r="D7356" s="4" t="str">
        <f>IFERROR(VLOOKUP(A7356,'Base Prueba'!A:D,4,),"NO REGISTRA")</f>
        <v>COORDINADOR DE DISEÑO E IMAGEN INSTITUCIONAL</v>
      </c>
      <c r="E7356" s="5" t="str">
        <f>IFERROR(VLOOKUP(A7356,'Base Prueba'!A:E,5,),"NO REGISTRA")</f>
        <v>OFICINA DE MERCADEO</v>
      </c>
    </row>
    <row r="7357" spans="1:5" ht="15.75" x14ac:dyDescent="0.25">
      <c r="A7357" s="14">
        <v>1193457976</v>
      </c>
      <c r="B7357" s="2">
        <v>46168.750406018517</v>
      </c>
      <c r="C7357" s="3" t="str">
        <f>IFERROR(VLOOKUP(A7357,'Base Prueba'!A:C,3,),"NO REGISTRA")</f>
        <v>SEDENIS RIVAS ASPRILLA</v>
      </c>
      <c r="D7357" s="4" t="str">
        <f>IFERROR(VLOOKUP(A7357,'Base Prueba'!A:D,4,),"NO REGISTRA")</f>
        <v>APRENDIZ UNIVERSITARIO</v>
      </c>
      <c r="E7357" s="5" t="str">
        <f>IFERROR(VLOOKUP(A7357,'Base Prueba'!A:E,5,),"NO REGISTRA")</f>
        <v>DEPARTAMENTO DE GESTION HUMANA</v>
      </c>
    </row>
    <row r="7358" spans="1:5" ht="15.75" x14ac:dyDescent="0.25">
      <c r="A7358" s="14">
        <v>1087121273</v>
      </c>
      <c r="B7358" s="2">
        <v>46168.750825000003</v>
      </c>
      <c r="C7358" s="3" t="str">
        <f>IFERROR(VLOOKUP(A7358,'Base Prueba'!A:C,3,),"NO REGISTRA")</f>
        <v>MAYRA ALEJANDRA CASTILLO ARBOLEDA</v>
      </c>
      <c r="D7358" s="4" t="str">
        <f>IFERROR(VLOOKUP(A7358,'Base Prueba'!A:D,4,),"NO REGISTRA")</f>
        <v>APOYO INTEGRAL DE MERCADEO</v>
      </c>
      <c r="E7358" s="5" t="str">
        <f>IFERROR(VLOOKUP(A7358,'Base Prueba'!A:E,5,),"NO REGISTRA")</f>
        <v>CENTRO DE GESTION DOCUMENTAL</v>
      </c>
    </row>
    <row r="7359" spans="1:5" ht="15.75" x14ac:dyDescent="0.25">
      <c r="A7359" s="14">
        <v>1000992568</v>
      </c>
      <c r="B7359" s="2">
        <v>46168.751880439813</v>
      </c>
      <c r="C7359" s="3" t="str">
        <f>IFERROR(VLOOKUP(A7359,'Base Prueba'!A:C,3,),"NO REGISTRA")</f>
        <v>KAREN BRIGITTE DALEMAN MORENO</v>
      </c>
      <c r="D7359" s="4" t="str">
        <f>IFERROR(VLOOKUP(A7359,'Base Prueba'!A:D,4,),"NO REGISTRA")</f>
        <v>RECEPCIONISTA</v>
      </c>
      <c r="E7359" s="5" t="str">
        <f>IFERROR(VLOOKUP(A7359,'Base Prueba'!A:E,5,),"NO REGISTRA")</f>
        <v>CENTRO DE GESTION DOCUMENTAL</v>
      </c>
    </row>
    <row r="7360" spans="1:5" ht="15.75" x14ac:dyDescent="0.25">
      <c r="A7360" s="14">
        <v>1000324729</v>
      </c>
      <c r="B7360" s="2">
        <v>46168.752090856484</v>
      </c>
      <c r="C7360" s="3" t="str">
        <f>IFERROR(VLOOKUP(A7360,'Base Prueba'!A:C,3,),"NO REGISTRA")</f>
        <v>ANYIE VANESSA TINOCO CAMACHO</v>
      </c>
      <c r="D7360" s="4" t="str">
        <f>IFERROR(VLOOKUP(A7360,'Base Prueba'!A:D,4,),"NO REGISTRA")</f>
        <v>LIDER DE REGISTRO Y CONTROL</v>
      </c>
      <c r="E7360" s="5" t="str">
        <f>IFERROR(VLOOKUP(A7360,'Base Prueba'!A:E,5,),"NO REGISTRA")</f>
        <v>REGISTRO Y CONTROL ACADEMICO</v>
      </c>
    </row>
    <row r="7361" spans="1:5" ht="15.75" x14ac:dyDescent="0.25">
      <c r="A7361" s="14">
        <v>1033820146</v>
      </c>
      <c r="B7361" s="2">
        <v>46168.752113657407</v>
      </c>
      <c r="C7361" s="3" t="str">
        <f>IFERROR(VLOOKUP(A7361,'Base Prueba'!A:C,3,),"NO REGISTRA")</f>
        <v>JULIETH ALEXANDRA BUSTAMANTE RUIZ</v>
      </c>
      <c r="D7361" s="4" t="str">
        <f>IFERROR(VLOOKUP(A7361,'Base Prueba'!A:D,4,),"NO REGISTRA")</f>
        <v>AUXILIAR ADMINISTRATIVO</v>
      </c>
      <c r="E7361" s="5" t="str">
        <f>IFERROR(VLOOKUP(A7361,'Base Prueba'!A:E,5,),"NO REGISTRA")</f>
        <v>REGISTRO Y CONTROL ACADEMICO</v>
      </c>
    </row>
    <row r="7362" spans="1:5" ht="15.75" x14ac:dyDescent="0.25">
      <c r="A7362" s="14">
        <v>1049644802</v>
      </c>
      <c r="B7362" s="2">
        <v>46168.75486400463</v>
      </c>
      <c r="C7362" s="3" t="str">
        <f>IFERROR(VLOOKUP(A7362,'Base Prueba'!A:C,3,),"NO REGISTRA")</f>
        <v>DANIELA ALEXANDRA CIPAMOCHA BOSIGA</v>
      </c>
      <c r="D7362" s="4" t="str">
        <f>IFERROR(VLOOKUP(A7362,'Base Prueba'!A:D,4,),"NO REGISTRA")</f>
        <v>LIDER DE DATOS Y SERVICIOS</v>
      </c>
      <c r="E7362" s="5" t="str">
        <f>IFERROR(VLOOKUP(A7362,'Base Prueba'!A:E,5,),"NO REGISTRA")</f>
        <v>OFICINA DE PLANEACION Y GESTION DE LA CALIDAD</v>
      </c>
    </row>
    <row r="7363" spans="1:5" ht="15.75" x14ac:dyDescent="0.25">
      <c r="A7363" s="14">
        <v>1032410833</v>
      </c>
      <c r="B7363" s="2">
        <v>46168.75656898148</v>
      </c>
      <c r="C7363" s="3" t="str">
        <f>IFERROR(VLOOKUP(A7363,'Base Prueba'!A:C,3,),"NO REGISTRA")</f>
        <v>DIANA PAOLA MONTAÑEZ GONZALEZ</v>
      </c>
      <c r="D7363" s="4" t="str">
        <f>IFERROR(VLOOKUP(A7363,'Base Prueba'!A:D,4,),"NO REGISTRA")</f>
        <v>APRENDIZ UNIVERSITARIO</v>
      </c>
      <c r="E7363" s="5" t="str">
        <f>IFERROR(VLOOKUP(A7363,'Base Prueba'!A:E,5,),"NO REGISTRA")</f>
        <v>AREA FINANCIERA Y CONTABLE</v>
      </c>
    </row>
    <row r="7364" spans="1:5" ht="15.75" x14ac:dyDescent="0.25">
      <c r="A7364" s="14">
        <v>1013101788</v>
      </c>
      <c r="B7364" s="2">
        <v>46168.757497453706</v>
      </c>
      <c r="C7364" s="3" t="str">
        <f>IFERROR(VLOOKUP(A7364,'Base Prueba'!A:C,3,),"NO REGISTRA")</f>
        <v>SARA TANGARIFE MONTOYA</v>
      </c>
      <c r="D7364" s="4" t="str">
        <f>IFERROR(VLOOKUP(A7364,'Base Prueba'!A:D,4,),"NO REGISTRA")</f>
        <v>APRENDIZ UNIVERSITARIO</v>
      </c>
      <c r="E7364" s="5" t="str">
        <f>IFERROR(VLOOKUP(A7364,'Base Prueba'!A:E,5,),"NO REGISTRA")</f>
        <v>OFICINA DE MERCADEO</v>
      </c>
    </row>
    <row r="7365" spans="1:5" ht="15.75" x14ac:dyDescent="0.25">
      <c r="A7365" s="14">
        <v>1014308296</v>
      </c>
      <c r="B7365" s="2">
        <v>46168.765135300928</v>
      </c>
      <c r="C7365" s="3" t="str">
        <f>IFERROR(VLOOKUP(A7365,'Base Prueba'!A:C,3,),"NO REGISTRA")</f>
        <v>DARLENE YULIANA MORENO CELEITA</v>
      </c>
      <c r="D7365" s="4" t="str">
        <f>IFERROR(VLOOKUP(A7365,'Base Prueba'!A:D,4,),"NO REGISTRA")</f>
        <v>CAJERO PRINCIPAL</v>
      </c>
      <c r="E7365" s="5" t="str">
        <f>IFERROR(VLOOKUP(A7365,'Base Prueba'!A:E,5,),"NO REGISTRA")</f>
        <v>AREA FINANCIERA Y CONTABLE</v>
      </c>
    </row>
    <row r="7366" spans="1:5" ht="15.75" x14ac:dyDescent="0.25">
      <c r="A7366" s="14">
        <v>1032469638</v>
      </c>
      <c r="B7366" s="2">
        <v>46168.766398958331</v>
      </c>
      <c r="C7366" s="3" t="str">
        <f>IFERROR(VLOOKUP(A7366,'Base Prueba'!A:C,3,),"NO REGISTRA")</f>
        <v>MAICOL JARBEY GUALTEROS CASTAÑEDA</v>
      </c>
      <c r="D7366" s="4" t="str">
        <f>IFERROR(VLOOKUP(A7366,'Base Prueba'!A:D,4,),"NO REGISTRA")</f>
        <v>COORDINADOR DEL SISTEMA INTERNO DE ASEGURAMIENTO DE LA CALIDAD - SIAC</v>
      </c>
      <c r="E7366" s="5" t="str">
        <f>IFERROR(VLOOKUP(A7366,'Base Prueba'!A:E,5,),"NO REGISTRA")</f>
        <v>OFICINA DE PLANEACION Y GESTION DE LA CALIDAD</v>
      </c>
    </row>
    <row r="7367" spans="1:5" ht="15.75" x14ac:dyDescent="0.25">
      <c r="A7367" s="14">
        <v>1012426741</v>
      </c>
      <c r="B7367" s="2">
        <v>46168.770978009263</v>
      </c>
      <c r="C7367" s="3" t="str">
        <f>IFERROR(VLOOKUP(A7367,'Base Prueba'!A:C,3,),"NO REGISTRA")</f>
        <v>CRISTIAN FABIAN ROJAS SANCENO</v>
      </c>
      <c r="D7367" s="4" t="str">
        <f>IFERROR(VLOOKUP(A7367,'Base Prueba'!A:D,4,),"NO REGISTRA")</f>
        <v>AUXILIAR DE REINTEGROS</v>
      </c>
      <c r="E7367" s="5" t="str">
        <f>IFERROR(VLOOKUP(A7367,'Base Prueba'!A:E,5,),"NO REGISTRA")</f>
        <v>DIRECCION DE BIENESTAR INSTITUCIONAL</v>
      </c>
    </row>
    <row r="7368" spans="1:5" ht="15.75" x14ac:dyDescent="0.25">
      <c r="A7368" s="14">
        <v>1000593372</v>
      </c>
      <c r="B7368" s="2">
        <v>46168.772972916668</v>
      </c>
      <c r="C7368" s="3" t="str">
        <f>IFERROR(VLOOKUP(A7368,'Base Prueba'!A:C,3,),"NO REGISTRA")</f>
        <v>LAURA SOFIA CHAPARRO LOPEZ</v>
      </c>
      <c r="D7368" s="4" t="str">
        <f>IFERROR(VLOOKUP(A7368,'Base Prueba'!A:D,4,),"NO REGISTRA")</f>
        <v>AUXILIAR JURIDICO</v>
      </c>
      <c r="E7368" s="5" t="str">
        <f>IFERROR(VLOOKUP(A7368,'Base Prueba'!A:E,5,),"NO REGISTRA")</f>
        <v>SECRETARIA GENERAL</v>
      </c>
    </row>
    <row r="7369" spans="1:5" ht="15.75" x14ac:dyDescent="0.25">
      <c r="A7369" s="14">
        <v>1016090131</v>
      </c>
      <c r="B7369" s="2">
        <v>46168.772993865743</v>
      </c>
      <c r="C7369" s="3" t="str">
        <f>IFERROR(VLOOKUP(A7369,'Base Prueba'!A:C,3,),"NO REGISTRA")</f>
        <v>NICOLAS RODRIGUEZ PACHECO</v>
      </c>
      <c r="D7369" s="4" t="str">
        <f>IFERROR(VLOOKUP(A7369,'Base Prueba'!A:D,4,),"NO REGISTRA")</f>
        <v>COORDINADOR DE COMUNICACIONES</v>
      </c>
      <c r="E7369" s="5" t="str">
        <f>IFERROR(VLOOKUP(A7369,'Base Prueba'!A:E,5,),"NO REGISTRA")</f>
        <v>OFICINA DE MERCADEO</v>
      </c>
    </row>
    <row r="7370" spans="1:5" ht="15.75" x14ac:dyDescent="0.25">
      <c r="A7370" s="14">
        <v>1000046533</v>
      </c>
      <c r="B7370" s="2">
        <v>46168.77548611111</v>
      </c>
      <c r="C7370" s="3" t="str">
        <f>IFERROR(VLOOKUP(A7370,'Base Prueba'!A:C,3,),"NO REGISTRA")</f>
        <v>ERIKA JULIETH VALDERRAMA SANCHEZ</v>
      </c>
      <c r="D7370" s="4" t="str">
        <f>IFERROR(VLOOKUP(A7370,'Base Prueba'!A:D,4,),"NO REGISTRA")</f>
        <v>PROMOTOR CALL CENTER</v>
      </c>
      <c r="E7370" s="5" t="str">
        <f>IFERROR(VLOOKUP(A7370,'Base Prueba'!A:E,5,),"NO REGISTRA")</f>
        <v>OFICINA DE MERCADEO</v>
      </c>
    </row>
    <row r="7371" spans="1:5" ht="15.75" x14ac:dyDescent="0.25">
      <c r="A7371" s="14">
        <v>28798349</v>
      </c>
      <c r="B7371" s="2">
        <v>46168.777461226855</v>
      </c>
      <c r="C7371" s="3" t="str">
        <f>IFERROR(VLOOKUP(A7371,'Base Prueba'!A:C,3,),"NO REGISTRA")</f>
        <v>MARTHA ISABEL TOVAR WILLIAMS</v>
      </c>
      <c r="D7371" s="4" t="str">
        <f>IFERROR(VLOOKUP(A7371,'Base Prueba'!A:D,4,),"NO REGISTRA")</f>
        <v>PROMOTOR CALL CENTER</v>
      </c>
      <c r="E7371" s="5" t="str">
        <f>IFERROR(VLOOKUP(A7371,'Base Prueba'!A:E,5,),"NO REGISTRA")</f>
        <v>OFICINA DE MERCADEO</v>
      </c>
    </row>
    <row r="7372" spans="1:5" ht="15.75" x14ac:dyDescent="0.25">
      <c r="A7372" s="14">
        <v>52175674</v>
      </c>
      <c r="B7372" s="2">
        <v>46168.77803090278</v>
      </c>
      <c r="C7372" s="3" t="str">
        <f>IFERROR(VLOOKUP(A7372,'Base Prueba'!A:C,3,),"NO REGISTRA")</f>
        <v>LUZ YANETH GOMEZ AREVALO</v>
      </c>
      <c r="D7372" s="4" t="str">
        <f>IFERROR(VLOOKUP(A7372,'Base Prueba'!A:D,4,),"NO REGISTRA")</f>
        <v>COORDINADORA DE ADMISIONES</v>
      </c>
      <c r="E7372" s="5" t="str">
        <f>IFERROR(VLOOKUP(A7372,'Base Prueba'!A:E,5,),"NO REGISTRA")</f>
        <v>OFICINA DE MERCADEO</v>
      </c>
    </row>
    <row r="7373" spans="1:5" ht="15.75" x14ac:dyDescent="0.25">
      <c r="A7373" s="14">
        <v>1023961952</v>
      </c>
      <c r="B7373" s="2">
        <v>46168.779196875003</v>
      </c>
      <c r="C7373" s="3" t="str">
        <f>IFERROR(VLOOKUP(A7373,'Base Prueba'!A:C,3,),"NO REGISTRA")</f>
        <v>ALEJANDRO PINZON MERCHAN</v>
      </c>
      <c r="D7373" s="4" t="str">
        <f>IFERROR(VLOOKUP(A7373,'Base Prueba'!A:D,4,),"NO REGISTRA")</f>
        <v>PROMOTOR CALL CENTER</v>
      </c>
      <c r="E7373" s="5" t="str">
        <f>IFERROR(VLOOKUP(A7373,'Base Prueba'!A:E,5,),"NO REGISTRA")</f>
        <v>OFICINA DE MERCADEO</v>
      </c>
    </row>
    <row r="7374" spans="1:5" ht="15.75" x14ac:dyDescent="0.25">
      <c r="A7374" s="14">
        <v>1019105003</v>
      </c>
      <c r="B7374" s="2">
        <v>46168.779226157407</v>
      </c>
      <c r="C7374" s="3" t="str">
        <f>IFERROR(VLOOKUP(A7374,'Base Prueba'!A:C,3,),"NO REGISTRA")</f>
        <v>DAISY JULIETH GASPAR MORENO</v>
      </c>
      <c r="D7374" s="4" t="str">
        <f>IFERROR(VLOOKUP(A7374,'Base Prueba'!A:D,4,),"NO REGISTRA")</f>
        <v>PROMOTOR CALL CENTER</v>
      </c>
      <c r="E7374" s="5" t="str">
        <f>IFERROR(VLOOKUP(A7374,'Base Prueba'!A:E,5,),"NO REGISTRA")</f>
        <v>OFICINA DE MERCADEO</v>
      </c>
    </row>
    <row r="7375" spans="1:5" ht="15.75" x14ac:dyDescent="0.25">
      <c r="A7375" s="14">
        <v>52472386</v>
      </c>
      <c r="B7375" s="2">
        <v>46168.781854745372</v>
      </c>
      <c r="C7375" s="3" t="str">
        <f>IFERROR(VLOOKUP(A7375,'Base Prueba'!A:C,3,),"NO REGISTRA")</f>
        <v>ADRIANA MARCELA MORALES PARDO</v>
      </c>
      <c r="D7375" s="4" t="str">
        <f>IFERROR(VLOOKUP(A7375,'Base Prueba'!A:D,4,),"NO REGISTRA")</f>
        <v>PROMOTOR CALL CENTER</v>
      </c>
      <c r="E7375" s="5" t="str">
        <f>IFERROR(VLOOKUP(A7375,'Base Prueba'!A:E,5,),"NO REGISTRA")</f>
        <v>OFICINA DE MERCADEO</v>
      </c>
    </row>
    <row r="7376" spans="1:5" ht="15.75" x14ac:dyDescent="0.25">
      <c r="A7376" s="14">
        <v>53089882</v>
      </c>
      <c r="B7376" s="2">
        <v>46168.786015972219</v>
      </c>
      <c r="C7376" s="3" t="str">
        <f>IFERROR(VLOOKUP(A7376,'Base Prueba'!A:C,3,),"NO REGISTRA")</f>
        <v>MARIA JOHANA ESCAMILLA MARTINEZ</v>
      </c>
      <c r="D7376" s="4" t="str">
        <f>IFERROR(VLOOKUP(A7376,'Base Prueba'!A:D,4,),"NO REGISTRA")</f>
        <v>PROMOTOR DE INFORMACIÓN</v>
      </c>
      <c r="E7376" s="5" t="str">
        <f>IFERROR(VLOOKUP(A7376,'Base Prueba'!A:E,5,),"NO REGISTRA")</f>
        <v>OFICINA DE MERCADEO</v>
      </c>
    </row>
    <row r="7377" spans="1:5" ht="15.75" x14ac:dyDescent="0.25">
      <c r="A7377" s="14">
        <v>1018413529</v>
      </c>
      <c r="B7377" s="2">
        <v>46168.786342013889</v>
      </c>
      <c r="C7377" s="3" t="str">
        <f>IFERROR(VLOOKUP(A7377,'Base Prueba'!A:C,3,),"NO REGISTRA")</f>
        <v>FRANCY STELLA CHARRY MORENO</v>
      </c>
      <c r="D7377" s="4" t="str">
        <f>IFERROR(VLOOKUP(A7377,'Base Prueba'!A:D,4,),"NO REGISTRA")</f>
        <v>PROMOTOR COMERCIAL DEL CEA</v>
      </c>
      <c r="E7377" s="5" t="str">
        <f>IFERROR(VLOOKUP(A7377,'Base Prueba'!A:E,5,),"NO REGISTRA")</f>
        <v>OFICINA DE MERCADEO</v>
      </c>
    </row>
    <row r="7378" spans="1:5" ht="15.75" x14ac:dyDescent="0.25">
      <c r="A7378" s="14">
        <v>1018414290</v>
      </c>
      <c r="B7378" s="2">
        <v>46168.787817939818</v>
      </c>
      <c r="C7378" s="3" t="str">
        <f>IFERROR(VLOOKUP(A7378,'Base Prueba'!A:C,3,),"NO REGISTRA")</f>
        <v>AMANDA LISBETH RODRIGUEZ LEON</v>
      </c>
      <c r="D7378" s="4" t="str">
        <f>IFERROR(VLOOKUP(A7378,'Base Prueba'!A:D,4,),"NO REGISTRA")</f>
        <v>PROMOTOR CALL CENTER</v>
      </c>
      <c r="E7378" s="5" t="str">
        <f>IFERROR(VLOOKUP(A7378,'Base Prueba'!A:E,5,),"NO REGISTRA")</f>
        <v>OFICINA DE MERCADEO</v>
      </c>
    </row>
    <row r="7379" spans="1:5" ht="15.75" x14ac:dyDescent="0.25">
      <c r="A7379" s="14">
        <v>1000457706</v>
      </c>
      <c r="B7379" s="2">
        <v>46168.787870138891</v>
      </c>
      <c r="C7379" s="3" t="str">
        <f>IFERROR(VLOOKUP(A7379,'Base Prueba'!A:C,3,),"NO REGISTRA")</f>
        <v>CRISTIAN DANILO ARROYO SANABRIA</v>
      </c>
      <c r="D7379" s="4" t="str">
        <f>IFERROR(VLOOKUP(A7379,'Base Prueba'!A:D,4,),"NO REGISTRA")</f>
        <v>AUXILIAR CONTABLE</v>
      </c>
      <c r="E7379" s="5" t="str">
        <f>IFERROR(VLOOKUP(A7379,'Base Prueba'!A:E,5,),"NO REGISTRA")</f>
        <v>AREA FINANCIERA Y CONTABLE</v>
      </c>
    </row>
    <row r="7380" spans="1:5" ht="15.75" x14ac:dyDescent="0.25">
      <c r="A7380" s="14">
        <v>53932358</v>
      </c>
      <c r="B7380" s="2">
        <v>46168.790312847224</v>
      </c>
      <c r="C7380" s="3" t="str">
        <f>IFERROR(VLOOKUP(A7380,'Base Prueba'!A:C,3,),"NO REGISTRA")</f>
        <v>DIANA MADELEYNE GAONA RODRIGUEZ</v>
      </c>
      <c r="D7380" s="4" t="str">
        <f>IFERROR(VLOOKUP(A7380,'Base Prueba'!A:D,4,),"NO REGISTRA")</f>
        <v>CONTADOR</v>
      </c>
      <c r="E7380" s="5" t="str">
        <f>IFERROR(VLOOKUP(A7380,'Base Prueba'!A:E,5,),"NO REGISTRA")</f>
        <v>AREA FINANCIERA Y CONTABLE</v>
      </c>
    </row>
    <row r="7381" spans="1:5" ht="15.75" x14ac:dyDescent="0.25">
      <c r="A7381" s="14">
        <v>1033709056</v>
      </c>
      <c r="B7381" s="2">
        <v>46168.791744907408</v>
      </c>
      <c r="C7381" s="3" t="str">
        <f>IFERROR(VLOOKUP(A7381,'Base Prueba'!A:C,3,),"NO REGISTRA")</f>
        <v>YEIMY ALEXANDRA RODRIGUEZ PALACIO</v>
      </c>
      <c r="D7381" s="4" t="str">
        <f>IFERROR(VLOOKUP(A7381,'Base Prueba'!A:D,4,),"NO REGISTRA")</f>
        <v>PROMOTOR CALL CENTER</v>
      </c>
      <c r="E7381" s="5" t="str">
        <f>IFERROR(VLOOKUP(A7381,'Base Prueba'!A:E,5,),"NO REGISTRA")</f>
        <v>OFICINA DE MERCADEO</v>
      </c>
    </row>
    <row r="7382" spans="1:5" ht="15.75" x14ac:dyDescent="0.25">
      <c r="A7382" s="14">
        <v>80234243</v>
      </c>
      <c r="B7382" s="2">
        <v>46168.796799884258</v>
      </c>
      <c r="C7382" s="3" t="str">
        <f>IFERROR(VLOOKUP(A7382,'Base Prueba'!A:C,3,),"NO REGISTRA")</f>
        <v>ARGENIS MARTINEZ MARTINEZ</v>
      </c>
      <c r="D7382" s="4" t="str">
        <f>IFERROR(VLOOKUP(A7382,'Base Prueba'!A:D,4,),"NO REGISTRA")</f>
        <v>LIDER CALL CENTER</v>
      </c>
      <c r="E7382" s="5" t="str">
        <f>IFERROR(VLOOKUP(A7382,'Base Prueba'!A:E,5,),"NO REGISTRA")</f>
        <v>OFICINA DE MERCADEO</v>
      </c>
    </row>
    <row r="7383" spans="1:5" ht="15.75" x14ac:dyDescent="0.25">
      <c r="A7383" s="14">
        <v>1014196857</v>
      </c>
      <c r="B7383" s="2">
        <v>46168.79951527778</v>
      </c>
      <c r="C7383" s="3" t="str">
        <f>IFERROR(VLOOKUP(A7383,'Base Prueba'!A:C,3,),"NO REGISTRA")</f>
        <v>CARLOS ANDRES JIMENEZ PARDO</v>
      </c>
      <c r="D7383" s="4" t="str">
        <f>IFERROR(VLOOKUP(A7383,'Base Prueba'!A:D,4,),"NO REGISTRA")</f>
        <v>COORDINADOR DE MARKETING DIGITAL</v>
      </c>
      <c r="E7383" s="5" t="str">
        <f>IFERROR(VLOOKUP(A7383,'Base Prueba'!A:E,5,),"NO REGISTRA")</f>
        <v>OFICINA DE MERCADEO</v>
      </c>
    </row>
    <row r="7384" spans="1:5" ht="15.75" x14ac:dyDescent="0.25">
      <c r="A7384" s="14">
        <v>52764929</v>
      </c>
      <c r="B7384" s="2">
        <v>46168.799666087965</v>
      </c>
      <c r="C7384" s="3" t="str">
        <f>IFERROR(VLOOKUP(A7384,'Base Prueba'!A:C,3,),"NO REGISTRA")</f>
        <v>GUERLY YOHANA DURAN RIVERA</v>
      </c>
      <c r="D7384" s="4" t="str">
        <f>IFERROR(VLOOKUP(A7384,'Base Prueba'!A:D,4,),"NO REGISTRA")</f>
        <v>LIDER DE VINCULACION COLEGIOS</v>
      </c>
      <c r="E7384" s="5" t="str">
        <f>IFERROR(VLOOKUP(A7384,'Base Prueba'!A:E,5,),"NO REGISTRA")</f>
        <v>OFICINA DE MERCADEO</v>
      </c>
    </row>
    <row r="7385" spans="1:5" ht="15.75" x14ac:dyDescent="0.25">
      <c r="A7385" s="14">
        <v>52474489</v>
      </c>
      <c r="B7385" s="2">
        <v>46168.807955902776</v>
      </c>
      <c r="C7385" s="3" t="str">
        <f>IFERROR(VLOOKUP(A7385,'Base Prueba'!A:C,3,),"NO REGISTRA")</f>
        <v>ADRIANA JIMENA SOTO BOCANEGRA</v>
      </c>
      <c r="D7385" s="4" t="str">
        <f>IFERROR(VLOOKUP(A7385,'Base Prueba'!A:D,4,),"NO REGISTRA")</f>
        <v>COORDINADOR DE LA OFICINA DE REGISTRO Y CONTROL</v>
      </c>
      <c r="E7385" s="5" t="str">
        <f>IFERROR(VLOOKUP(A7385,'Base Prueba'!A:E,5,),"NO REGISTRA")</f>
        <v>REGISTRO Y CONTROL ACADEMICO</v>
      </c>
    </row>
    <row r="7386" spans="1:5" ht="15.75" x14ac:dyDescent="0.25">
      <c r="A7386" s="14">
        <v>52443092</v>
      </c>
      <c r="B7386" s="2">
        <v>46168.834117013888</v>
      </c>
      <c r="C7386" s="3" t="str">
        <f>IFERROR(VLOOKUP(A7386,'Base Prueba'!A:C,3,),"NO REGISTRA")</f>
        <v>LUZ MYRIAM SAAVEDRA CONTRERAS</v>
      </c>
      <c r="D7386" s="4" t="str">
        <f>IFERROR(VLOOKUP(A7386,'Base Prueba'!A:D,4,),"NO REGISTRA")</f>
        <v>AUXILIAR DE SERVICIOS</v>
      </c>
      <c r="E7386" s="5" t="str">
        <f>IFERROR(VLOOKUP(A7386,'Base Prueba'!A:E,5,),"NO REGISTRA")</f>
        <v>LOGISTICA Y SERVICIOS GENERALES</v>
      </c>
    </row>
    <row r="7387" spans="1:5" ht="15.75" x14ac:dyDescent="0.25">
      <c r="A7387" s="14">
        <v>1024512067</v>
      </c>
      <c r="B7387" s="2">
        <v>46169.31236087963</v>
      </c>
      <c r="C7387" s="3" t="str">
        <f>IFERROR(VLOOKUP(A7387,'Base Prueba'!A:C,3,),"NO REGISTRA")</f>
        <v>CINDY GIOVANA SALGAR GOMEZ</v>
      </c>
      <c r="D7387" s="4" t="str">
        <f>IFERROR(VLOOKUP(A7387,'Base Prueba'!A:D,4,),"NO REGISTRA")</f>
        <v>COORDINADOR DEL SISTEMA INTEGRADO DE GESTION INSTITUCIONAL - SIGI</v>
      </c>
      <c r="E7387" s="5" t="str">
        <f>IFERROR(VLOOKUP(A7387,'Base Prueba'!A:E,5,),"NO REGISTRA")</f>
        <v>OFICINA DE PLANEACION Y GESTION DE LA CALIDAD</v>
      </c>
    </row>
    <row r="7388" spans="1:5" ht="15.75" x14ac:dyDescent="0.25">
      <c r="A7388" s="14">
        <v>1000324729</v>
      </c>
      <c r="B7388" s="2">
        <v>46169.32440046296</v>
      </c>
      <c r="C7388" s="3" t="str">
        <f>IFERROR(VLOOKUP(A7388,'Base Prueba'!A:C,3,),"NO REGISTRA")</f>
        <v>ANYIE VANESSA TINOCO CAMACHO</v>
      </c>
      <c r="D7388" s="4" t="str">
        <f>IFERROR(VLOOKUP(A7388,'Base Prueba'!A:D,4,),"NO REGISTRA")</f>
        <v>LIDER DE REGISTRO Y CONTROL</v>
      </c>
      <c r="E7388" s="5" t="str">
        <f>IFERROR(VLOOKUP(A7388,'Base Prueba'!A:E,5,),"NO REGISTRA")</f>
        <v>REGISTRO Y CONTROL ACADEMICO</v>
      </c>
    </row>
    <row r="7389" spans="1:5" ht="15.75" x14ac:dyDescent="0.25">
      <c r="A7389" s="14">
        <v>1000257136</v>
      </c>
      <c r="B7389" s="2">
        <v>46169.326525578705</v>
      </c>
      <c r="C7389" s="3" t="str">
        <f>IFERROR(VLOOKUP(A7389,'Base Prueba'!A:C,3,),"NO REGISTRA")</f>
        <v>FRANCI VALENTINA CANO PUENTES</v>
      </c>
      <c r="D7389" s="4" t="str">
        <f>IFERROR(VLOOKUP(A7389,'Base Prueba'!A:D,4,),"NO REGISTRA")</f>
        <v>AUXILIAR CONTABLE</v>
      </c>
      <c r="E7389" s="5" t="str">
        <f>IFERROR(VLOOKUP(A7389,'Base Prueba'!A:E,5,),"NO REGISTRA")</f>
        <v>AREA FINANCIERA Y CONTABLE</v>
      </c>
    </row>
    <row r="7390" spans="1:5" ht="15.75" x14ac:dyDescent="0.25">
      <c r="A7390" s="14">
        <v>1000992568</v>
      </c>
      <c r="B7390" s="2">
        <v>46169.327071064814</v>
      </c>
      <c r="C7390" s="3" t="str">
        <f>IFERROR(VLOOKUP(A7390,'Base Prueba'!A:C,3,),"NO REGISTRA")</f>
        <v>KAREN BRIGITTE DALEMAN MORENO</v>
      </c>
      <c r="D7390" s="4" t="str">
        <f>IFERROR(VLOOKUP(A7390,'Base Prueba'!A:D,4,),"NO REGISTRA")</f>
        <v>RECEPCIONISTA</v>
      </c>
      <c r="E7390" s="5" t="str">
        <f>IFERROR(VLOOKUP(A7390,'Base Prueba'!A:E,5,),"NO REGISTRA")</f>
        <v>CENTRO DE GESTION DOCUMENTAL</v>
      </c>
    </row>
    <row r="7391" spans="1:5" ht="15.75" x14ac:dyDescent="0.25">
      <c r="A7391" s="14">
        <v>1014266838</v>
      </c>
      <c r="B7391" s="2">
        <v>46169.32872002315</v>
      </c>
      <c r="C7391" s="3" t="str">
        <f>IFERROR(VLOOKUP(A7391,'Base Prueba'!A:C,3,),"NO REGISTRA")</f>
        <v>JENNIFER ASTRID ROMERO HURTADO</v>
      </c>
      <c r="D7391" s="4" t="str">
        <f>IFERROR(VLOOKUP(A7391,'Base Prueba'!A:D,4,),"NO REGISTRA")</f>
        <v>LIDER DE RECAUDO</v>
      </c>
      <c r="E7391" s="5" t="str">
        <f>IFERROR(VLOOKUP(A7391,'Base Prueba'!A:E,5,),"NO REGISTRA")</f>
        <v>AREA FINANCIERA Y CONTABLE</v>
      </c>
    </row>
    <row r="7392" spans="1:5" ht="15.75" x14ac:dyDescent="0.25">
      <c r="A7392" s="14">
        <v>80191732</v>
      </c>
      <c r="B7392" s="2">
        <v>46169.332199305558</v>
      </c>
      <c r="C7392" s="3" t="str">
        <f>IFERROR(VLOOKUP(A7392,'Base Prueba'!A:C,3,),"NO REGISTRA")</f>
        <v>DANIEL MAURICIO ZAMBRANO TUNJANO</v>
      </c>
      <c r="D7392" s="4" t="str">
        <f>IFERROR(VLOOKUP(A7392,'Base Prueba'!A:D,4,),"NO REGISTRA")</f>
        <v>COORDINADOR DE DISEÑO E IMAGEN INSTITUCIONAL</v>
      </c>
      <c r="E7392" s="5" t="str">
        <f>IFERROR(VLOOKUP(A7392,'Base Prueba'!A:E,5,),"NO REGISTRA")</f>
        <v>OFICINA DE MERCADEO</v>
      </c>
    </row>
    <row r="7393" spans="1:5" ht="15.75" x14ac:dyDescent="0.25">
      <c r="A7393" s="14">
        <v>1032469638</v>
      </c>
      <c r="B7393" s="2">
        <v>46169.333538773149</v>
      </c>
      <c r="C7393" s="3" t="str">
        <f>IFERROR(VLOOKUP(A7393,'Base Prueba'!A:C,3,),"NO REGISTRA")</f>
        <v>MAICOL JARBEY GUALTEROS CASTAÑEDA</v>
      </c>
      <c r="D7393" s="4" t="str">
        <f>IFERROR(VLOOKUP(A7393,'Base Prueba'!A:D,4,),"NO REGISTRA")</f>
        <v>COORDINADOR DEL SISTEMA INTERNO DE ASEGURAMIENTO DE LA CALIDAD - SIAC</v>
      </c>
      <c r="E7393" s="5" t="str">
        <f>IFERROR(VLOOKUP(A7393,'Base Prueba'!A:E,5,),"NO REGISTRA")</f>
        <v>OFICINA DE PLANEACION Y GESTION DE LA CALIDAD</v>
      </c>
    </row>
    <row r="7394" spans="1:5" ht="15.75" x14ac:dyDescent="0.25">
      <c r="A7394" s="14">
        <v>1033820146</v>
      </c>
      <c r="B7394" s="2">
        <v>46169.33600787037</v>
      </c>
      <c r="C7394" s="3" t="str">
        <f>IFERROR(VLOOKUP(A7394,'Base Prueba'!A:C,3,),"NO REGISTRA")</f>
        <v>JULIETH ALEXANDRA BUSTAMANTE RUIZ</v>
      </c>
      <c r="D7394" s="4" t="str">
        <f>IFERROR(VLOOKUP(A7394,'Base Prueba'!A:D,4,),"NO REGISTRA")</f>
        <v>AUXILIAR ADMINISTRATIVO</v>
      </c>
      <c r="E7394" s="5" t="str">
        <f>IFERROR(VLOOKUP(A7394,'Base Prueba'!A:E,5,),"NO REGISTRA")</f>
        <v>REGISTRO Y CONTROL ACADEMICO</v>
      </c>
    </row>
    <row r="7395" spans="1:5" ht="15.75" x14ac:dyDescent="0.25">
      <c r="A7395" s="14">
        <v>1013616244</v>
      </c>
      <c r="B7395" s="2">
        <v>46169.336697106482</v>
      </c>
      <c r="C7395" s="3" t="str">
        <f>IFERROR(VLOOKUP(A7395,'Base Prueba'!A:C,3,),"NO REGISTRA")</f>
        <v>DIANA CAROLINA MARIN BETANCOURT</v>
      </c>
      <c r="D7395" s="4" t="str">
        <f>IFERROR(VLOOKUP(A7395,'Base Prueba'!A:D,4,),"NO REGISTRA")</f>
        <v>AUXILIAR ADMINISTRATIVO</v>
      </c>
      <c r="E7395" s="5" t="str">
        <f>IFERROR(VLOOKUP(A7395,'Base Prueba'!A:E,5,),"NO REGISTRA")</f>
        <v>REGISTRO Y CONTROL ACADEMICO</v>
      </c>
    </row>
    <row r="7396" spans="1:5" ht="15.75" x14ac:dyDescent="0.25">
      <c r="A7396" s="14">
        <v>1013098430</v>
      </c>
      <c r="B7396" s="2">
        <v>46169.339173726854</v>
      </c>
      <c r="C7396" s="3" t="str">
        <f>IFERROR(VLOOKUP(A7396,'Base Prueba'!A:C,3,),"NO REGISTRA")</f>
        <v>ANDRES FELIPE LOPEZ ROMERO</v>
      </c>
      <c r="D7396" s="4" t="str">
        <f>IFERROR(VLOOKUP(A7396,'Base Prueba'!A:D,4,),"NO REGISTRA")</f>
        <v>APRENDIZ UNIVERSITARIO</v>
      </c>
      <c r="E7396" s="5" t="str">
        <f>IFERROR(VLOOKUP(A7396,'Base Prueba'!A:E,5,),"NO REGISTRA")</f>
        <v>OFICINA DE MERCADEO</v>
      </c>
    </row>
    <row r="7397" spans="1:5" ht="15.75" x14ac:dyDescent="0.25">
      <c r="A7397" s="14">
        <v>1032410833</v>
      </c>
      <c r="B7397" s="2">
        <v>46169.341863773145</v>
      </c>
      <c r="C7397" s="3" t="str">
        <f>IFERROR(VLOOKUP(A7397,'Base Prueba'!A:C,3,),"NO REGISTRA")</f>
        <v>DIANA PAOLA MONTAÑEZ GONZALEZ</v>
      </c>
      <c r="D7397" s="4" t="str">
        <f>IFERROR(VLOOKUP(A7397,'Base Prueba'!A:D,4,),"NO REGISTRA")</f>
        <v>APRENDIZ UNIVERSITARIO</v>
      </c>
      <c r="E7397" s="5" t="str">
        <f>IFERROR(VLOOKUP(A7397,'Base Prueba'!A:E,5,),"NO REGISTRA")</f>
        <v>AREA FINANCIERA Y CONTABLE</v>
      </c>
    </row>
    <row r="7398" spans="1:5" ht="15.75" x14ac:dyDescent="0.25">
      <c r="A7398" s="14">
        <v>1014196857</v>
      </c>
      <c r="B7398" s="2">
        <v>46169.342251504633</v>
      </c>
      <c r="C7398" s="3" t="str">
        <f>IFERROR(VLOOKUP(A7398,'Base Prueba'!A:C,3,),"NO REGISTRA")</f>
        <v>CARLOS ANDRES JIMENEZ PARDO</v>
      </c>
      <c r="D7398" s="4" t="str">
        <f>IFERROR(VLOOKUP(A7398,'Base Prueba'!A:D,4,),"NO REGISTRA")</f>
        <v>COORDINADOR DE MARKETING DIGITAL</v>
      </c>
      <c r="E7398" s="5" t="str">
        <f>IFERROR(VLOOKUP(A7398,'Base Prueba'!A:E,5,),"NO REGISTRA")</f>
        <v>OFICINA DE MERCADEO</v>
      </c>
    </row>
    <row r="7399" spans="1:5" ht="15.75" x14ac:dyDescent="0.25">
      <c r="A7399" s="14">
        <v>1023883232</v>
      </c>
      <c r="B7399" s="2">
        <v>46169.34416064815</v>
      </c>
      <c r="C7399" s="3" t="str">
        <f>IFERROR(VLOOKUP(A7399,'Base Prueba'!A:C,3,),"NO REGISTRA")</f>
        <v>MONICA ANDREA ACERO URBANO</v>
      </c>
      <c r="D7399" s="4" t="str">
        <f>IFERROR(VLOOKUP(A7399,'Base Prueba'!A:D,4,),"NO REGISTRA")</f>
        <v>APOYO INTEGRAL A GESTION HUMANA</v>
      </c>
      <c r="E7399" s="5" t="str">
        <f>IFERROR(VLOOKUP(A7399,'Base Prueba'!A:E,5,),"NO REGISTRA")</f>
        <v>DEPARTAMENTO DE GESTION HUMANA</v>
      </c>
    </row>
    <row r="7400" spans="1:5" ht="15.75" x14ac:dyDescent="0.25">
      <c r="A7400" s="14">
        <v>1193457976</v>
      </c>
      <c r="B7400" s="2">
        <v>46169.344761458335</v>
      </c>
      <c r="C7400" s="3" t="str">
        <f>IFERROR(VLOOKUP(A7400,'Base Prueba'!A:C,3,),"NO REGISTRA")</f>
        <v>SEDENIS RIVAS ASPRILLA</v>
      </c>
      <c r="D7400" s="4" t="str">
        <f>IFERROR(VLOOKUP(A7400,'Base Prueba'!A:D,4,),"NO REGISTRA")</f>
        <v>APRENDIZ UNIVERSITARIO</v>
      </c>
      <c r="E7400" s="5" t="str">
        <f>IFERROR(VLOOKUP(A7400,'Base Prueba'!A:E,5,),"NO REGISTRA")</f>
        <v>DEPARTAMENTO DE GESTION HUMANA</v>
      </c>
    </row>
    <row r="7401" spans="1:5" ht="15.75" x14ac:dyDescent="0.25">
      <c r="A7401" s="14">
        <v>1000457706</v>
      </c>
      <c r="B7401" s="2">
        <v>46169.347494791669</v>
      </c>
      <c r="C7401" s="3" t="str">
        <f>IFERROR(VLOOKUP(A7401,'Base Prueba'!A:C,3,),"NO REGISTRA")</f>
        <v>CRISTIAN DANILO ARROYO SANABRIA</v>
      </c>
      <c r="D7401" s="4" t="str">
        <f>IFERROR(VLOOKUP(A7401,'Base Prueba'!A:D,4,),"NO REGISTRA")</f>
        <v>AUXILIAR CONTABLE</v>
      </c>
      <c r="E7401" s="5" t="str">
        <f>IFERROR(VLOOKUP(A7401,'Base Prueba'!A:E,5,),"NO REGISTRA")</f>
        <v>AREA FINANCIERA Y CONTABLE</v>
      </c>
    </row>
    <row r="7402" spans="1:5" ht="15.75" x14ac:dyDescent="0.25">
      <c r="A7402" s="14">
        <v>1000604979</v>
      </c>
      <c r="B7402" s="2">
        <v>46169.350535069447</v>
      </c>
      <c r="C7402" s="3" t="str">
        <f>IFERROR(VLOOKUP(A7402,'Base Prueba'!A:C,3,),"NO REGISTRA")</f>
        <v>JULIETH TATIANA PARDO PINTO</v>
      </c>
      <c r="D7402" s="4" t="str">
        <f>IFERROR(VLOOKUP(A7402,'Base Prueba'!A:D,4,),"NO REGISTRA")</f>
        <v>AUXILIAR JURIDICO</v>
      </c>
      <c r="E7402" s="5" t="str">
        <f>IFERROR(VLOOKUP(A7402,'Base Prueba'!A:E,5,),"NO REGISTRA")</f>
        <v>SECRETARIA GENERAL</v>
      </c>
    </row>
    <row r="7403" spans="1:5" ht="15.75" x14ac:dyDescent="0.25">
      <c r="A7403" s="14">
        <v>1087121273</v>
      </c>
      <c r="B7403" s="2">
        <v>46169.350934837959</v>
      </c>
      <c r="C7403" s="3" t="str">
        <f>IFERROR(VLOOKUP(A7403,'Base Prueba'!A:C,3,),"NO REGISTRA")</f>
        <v>MAYRA ALEJANDRA CASTILLO ARBOLEDA</v>
      </c>
      <c r="D7403" s="4" t="str">
        <f>IFERROR(VLOOKUP(A7403,'Base Prueba'!A:D,4,),"NO REGISTRA")</f>
        <v>APOYO INTEGRAL DE MERCADEO</v>
      </c>
      <c r="E7403" s="5" t="str">
        <f>IFERROR(VLOOKUP(A7403,'Base Prueba'!A:E,5,),"NO REGISTRA")</f>
        <v>CENTRO DE GESTION DOCUMENTAL</v>
      </c>
    </row>
    <row r="7404" spans="1:5" ht="15.75" x14ac:dyDescent="0.25">
      <c r="A7404" s="14">
        <v>53932358</v>
      </c>
      <c r="B7404" s="2">
        <v>46169.353245949074</v>
      </c>
      <c r="C7404" s="3" t="str">
        <f>IFERROR(VLOOKUP(A7404,'Base Prueba'!A:C,3,),"NO REGISTRA")</f>
        <v>DIANA MADELEYNE GAONA RODRIGUEZ</v>
      </c>
      <c r="D7404" s="4" t="str">
        <f>IFERROR(VLOOKUP(A7404,'Base Prueba'!A:D,4,),"NO REGISTRA")</f>
        <v>CONTADOR</v>
      </c>
      <c r="E7404" s="5" t="str">
        <f>IFERROR(VLOOKUP(A7404,'Base Prueba'!A:E,5,),"NO REGISTRA")</f>
        <v>AREA FINANCIERA Y CONTABLE</v>
      </c>
    </row>
    <row r="7405" spans="1:5" ht="15.75" x14ac:dyDescent="0.25">
      <c r="A7405" s="14">
        <v>1000593372</v>
      </c>
      <c r="B7405" s="2">
        <v>46169.358936689816</v>
      </c>
      <c r="C7405" s="3" t="str">
        <f>IFERROR(VLOOKUP(A7405,'Base Prueba'!A:C,3,),"NO REGISTRA")</f>
        <v>LAURA SOFIA CHAPARRO LOPEZ</v>
      </c>
      <c r="D7405" s="4" t="str">
        <f>IFERROR(VLOOKUP(A7405,'Base Prueba'!A:D,4,),"NO REGISTRA")</f>
        <v>AUXILIAR JURIDICO</v>
      </c>
      <c r="E7405" s="5" t="str">
        <f>IFERROR(VLOOKUP(A7405,'Base Prueba'!A:E,5,),"NO REGISTRA")</f>
        <v>SECRETARIA GENERAL</v>
      </c>
    </row>
    <row r="7406" spans="1:5" ht="15.75" x14ac:dyDescent="0.25">
      <c r="A7406" s="14">
        <v>52175674</v>
      </c>
      <c r="B7406" s="2">
        <v>46169.361745717593</v>
      </c>
      <c r="C7406" s="3" t="str">
        <f>IFERROR(VLOOKUP(A7406,'Base Prueba'!A:C,3,),"NO REGISTRA")</f>
        <v>LUZ YANETH GOMEZ AREVALO</v>
      </c>
      <c r="D7406" s="4" t="str">
        <f>IFERROR(VLOOKUP(A7406,'Base Prueba'!A:D,4,),"NO REGISTRA")</f>
        <v>COORDINADORA DE ADMISIONES</v>
      </c>
      <c r="E7406" s="5" t="str">
        <f>IFERROR(VLOOKUP(A7406,'Base Prueba'!A:E,5,),"NO REGISTRA")</f>
        <v>OFICINA DE MERCADEO</v>
      </c>
    </row>
    <row r="7407" spans="1:5" ht="15.75" x14ac:dyDescent="0.25">
      <c r="A7407" s="14">
        <v>1012426741</v>
      </c>
      <c r="B7407" s="2">
        <v>46169.363394328706</v>
      </c>
      <c r="C7407" s="3" t="str">
        <f>IFERROR(VLOOKUP(A7407,'Base Prueba'!A:C,3,),"NO REGISTRA")</f>
        <v>CRISTIAN FABIAN ROJAS SANCENO</v>
      </c>
      <c r="D7407" s="4" t="str">
        <f>IFERROR(VLOOKUP(A7407,'Base Prueba'!A:D,4,),"NO REGISTRA")</f>
        <v>AUXILIAR DE REINTEGROS</v>
      </c>
      <c r="E7407" s="5" t="str">
        <f>IFERROR(VLOOKUP(A7407,'Base Prueba'!A:E,5,),"NO REGISTRA")</f>
        <v>DIRECCION DE BIENESTAR INSTITUCIONAL</v>
      </c>
    </row>
    <row r="7408" spans="1:5" ht="15.75" x14ac:dyDescent="0.25">
      <c r="A7408" s="14">
        <v>52472386</v>
      </c>
      <c r="B7408" s="2">
        <v>46169.36348310185</v>
      </c>
      <c r="C7408" s="3" t="str">
        <f>IFERROR(VLOOKUP(A7408,'Base Prueba'!A:C,3,),"NO REGISTRA")</f>
        <v>ADRIANA MARCELA MORALES PARDO</v>
      </c>
      <c r="D7408" s="4" t="str">
        <f>IFERROR(VLOOKUP(A7408,'Base Prueba'!A:D,4,),"NO REGISTRA")</f>
        <v>PROMOTOR CALL CENTER</v>
      </c>
      <c r="E7408" s="5" t="str">
        <f>IFERROR(VLOOKUP(A7408,'Base Prueba'!A:E,5,),"NO REGISTRA")</f>
        <v>OFICINA DE MERCADEO</v>
      </c>
    </row>
    <row r="7409" spans="1:5" ht="15.75" x14ac:dyDescent="0.25">
      <c r="A7409" s="14">
        <v>1013101788</v>
      </c>
      <c r="B7409" s="2">
        <v>46169.364279861111</v>
      </c>
      <c r="C7409" s="3" t="str">
        <f>IFERROR(VLOOKUP(A7409,'Base Prueba'!A:C,3,),"NO REGISTRA")</f>
        <v>SARA TANGARIFE MONTOYA</v>
      </c>
      <c r="D7409" s="4" t="str">
        <f>IFERROR(VLOOKUP(A7409,'Base Prueba'!A:D,4,),"NO REGISTRA")</f>
        <v>APRENDIZ UNIVERSITARIO</v>
      </c>
      <c r="E7409" s="5" t="str">
        <f>IFERROR(VLOOKUP(A7409,'Base Prueba'!A:E,5,),"NO REGISTRA")</f>
        <v>OFICINA DE MERCADEO</v>
      </c>
    </row>
    <row r="7410" spans="1:5" ht="15.75" x14ac:dyDescent="0.25">
      <c r="A7410" s="14">
        <v>1033709056</v>
      </c>
      <c r="B7410" s="2">
        <v>46169.366289467594</v>
      </c>
      <c r="C7410" s="3" t="str">
        <f>IFERROR(VLOOKUP(A7410,'Base Prueba'!A:C,3,),"NO REGISTRA")</f>
        <v>YEIMY ALEXANDRA RODRIGUEZ PALACIO</v>
      </c>
      <c r="D7410" s="4" t="str">
        <f>IFERROR(VLOOKUP(A7410,'Base Prueba'!A:D,4,),"NO REGISTRA")</f>
        <v>PROMOTOR CALL CENTER</v>
      </c>
      <c r="E7410" s="5" t="str">
        <f>IFERROR(VLOOKUP(A7410,'Base Prueba'!A:E,5,),"NO REGISTRA")</f>
        <v>OFICINA DE MERCADEO</v>
      </c>
    </row>
    <row r="7411" spans="1:5" ht="15.75" x14ac:dyDescent="0.25">
      <c r="A7411" s="14">
        <v>1018413529</v>
      </c>
      <c r="B7411" s="2">
        <v>46169.369849537034</v>
      </c>
      <c r="C7411" s="3" t="str">
        <f>IFERROR(VLOOKUP(A7411,'Base Prueba'!A:C,3,),"NO REGISTRA")</f>
        <v>FRANCY STELLA CHARRY MORENO</v>
      </c>
      <c r="D7411" s="4" t="str">
        <f>IFERROR(VLOOKUP(A7411,'Base Prueba'!A:D,4,),"NO REGISTRA")</f>
        <v>PROMOTOR COMERCIAL DEL CEA</v>
      </c>
      <c r="E7411" s="5" t="str">
        <f>IFERROR(VLOOKUP(A7411,'Base Prueba'!A:E,5,),"NO REGISTRA")</f>
        <v>OFICINA DE MERCADEO</v>
      </c>
    </row>
    <row r="7412" spans="1:5" ht="15.75" x14ac:dyDescent="0.25">
      <c r="A7412" s="14">
        <v>1023961952</v>
      </c>
      <c r="B7412" s="2">
        <v>46169.371716898146</v>
      </c>
      <c r="C7412" s="3" t="str">
        <f>IFERROR(VLOOKUP(A7412,'Base Prueba'!A:C,3,),"NO REGISTRA")</f>
        <v>ALEJANDRO PINZON MERCHAN</v>
      </c>
      <c r="D7412" s="4" t="str">
        <f>IFERROR(VLOOKUP(A7412,'Base Prueba'!A:D,4,),"NO REGISTRA")</f>
        <v>PROMOTOR CALL CENTER</v>
      </c>
      <c r="E7412" s="5" t="str">
        <f>IFERROR(VLOOKUP(A7412,'Base Prueba'!A:E,5,),"NO REGISTRA")</f>
        <v>OFICINA DE MERCADEO</v>
      </c>
    </row>
    <row r="7413" spans="1:5" ht="15.75" x14ac:dyDescent="0.25">
      <c r="A7413" s="14">
        <v>1000046533</v>
      </c>
      <c r="B7413" s="2">
        <v>46169.372966898147</v>
      </c>
      <c r="C7413" s="3" t="str">
        <f>IFERROR(VLOOKUP(A7413,'Base Prueba'!A:C,3,),"NO REGISTRA")</f>
        <v>ERIKA JULIETH VALDERRAMA SANCHEZ</v>
      </c>
      <c r="D7413" s="4" t="str">
        <f>IFERROR(VLOOKUP(A7413,'Base Prueba'!A:D,4,),"NO REGISTRA")</f>
        <v>PROMOTOR CALL CENTER</v>
      </c>
      <c r="E7413" s="5" t="str">
        <f>IFERROR(VLOOKUP(A7413,'Base Prueba'!A:E,5,),"NO REGISTRA")</f>
        <v>OFICINA DE MERCADEO</v>
      </c>
    </row>
    <row r="7414" spans="1:5" ht="15.75" x14ac:dyDescent="0.25">
      <c r="A7414" s="14">
        <v>80234243</v>
      </c>
      <c r="B7414" s="2">
        <v>46169.374243865743</v>
      </c>
      <c r="C7414" s="3" t="str">
        <f>IFERROR(VLOOKUP(A7414,'Base Prueba'!A:C,3,),"NO REGISTRA")</f>
        <v>ARGENIS MARTINEZ MARTINEZ</v>
      </c>
      <c r="D7414" s="4" t="str">
        <f>IFERROR(VLOOKUP(A7414,'Base Prueba'!A:D,4,),"NO REGISTRA")</f>
        <v>LIDER CALL CENTER</v>
      </c>
      <c r="E7414" s="5" t="str">
        <f>IFERROR(VLOOKUP(A7414,'Base Prueba'!A:E,5,),"NO REGISTRA")</f>
        <v>OFICINA DE MERCADEO</v>
      </c>
    </row>
    <row r="7415" spans="1:5" ht="15.75" x14ac:dyDescent="0.25">
      <c r="A7415" s="14">
        <v>1016090131</v>
      </c>
      <c r="B7415" s="2">
        <v>46169.376580439814</v>
      </c>
      <c r="C7415" s="3" t="str">
        <f>IFERROR(VLOOKUP(A7415,'Base Prueba'!A:C,3,),"NO REGISTRA")</f>
        <v>NICOLAS RODRIGUEZ PACHECO</v>
      </c>
      <c r="D7415" s="4" t="str">
        <f>IFERROR(VLOOKUP(A7415,'Base Prueba'!A:D,4,),"NO REGISTRA")</f>
        <v>COORDINADOR DE COMUNICACIONES</v>
      </c>
      <c r="E7415" s="5" t="str">
        <f>IFERROR(VLOOKUP(A7415,'Base Prueba'!A:E,5,),"NO REGISTRA")</f>
        <v>OFICINA DE MERCADEO</v>
      </c>
    </row>
    <row r="7416" spans="1:5" ht="15.75" x14ac:dyDescent="0.25">
      <c r="A7416" s="14">
        <v>1014308296</v>
      </c>
      <c r="B7416" s="2">
        <v>46169.37739386574</v>
      </c>
      <c r="C7416" s="3" t="str">
        <f>IFERROR(VLOOKUP(A7416,'Base Prueba'!A:C,3,),"NO REGISTRA")</f>
        <v>DARLENE YULIANA MORENO CELEITA</v>
      </c>
      <c r="D7416" s="4" t="str">
        <f>IFERROR(VLOOKUP(A7416,'Base Prueba'!A:D,4,),"NO REGISTRA")</f>
        <v>CAJERO PRINCIPAL</v>
      </c>
      <c r="E7416" s="5" t="str">
        <f>IFERROR(VLOOKUP(A7416,'Base Prueba'!A:E,5,),"NO REGISTRA")</f>
        <v>AREA FINANCIERA Y CONTABLE</v>
      </c>
    </row>
    <row r="7417" spans="1:5" ht="15.75" x14ac:dyDescent="0.25">
      <c r="A7417" s="14">
        <v>53089882</v>
      </c>
      <c r="B7417" s="2">
        <v>46169.377682060185</v>
      </c>
      <c r="C7417" s="3" t="str">
        <f>IFERROR(VLOOKUP(A7417,'Base Prueba'!A:C,3,),"NO REGISTRA")</f>
        <v>MARIA JOHANA ESCAMILLA MARTINEZ</v>
      </c>
      <c r="D7417" s="4" t="str">
        <f>IFERROR(VLOOKUP(A7417,'Base Prueba'!A:D,4,),"NO REGISTRA")</f>
        <v>PROMOTOR DE INFORMACIÓN</v>
      </c>
      <c r="E7417" s="5" t="str">
        <f>IFERROR(VLOOKUP(A7417,'Base Prueba'!A:E,5,),"NO REGISTRA")</f>
        <v>OFICINA DE MERCADEO</v>
      </c>
    </row>
    <row r="7418" spans="1:5" ht="15.75" x14ac:dyDescent="0.25">
      <c r="A7418" s="14">
        <v>28798349</v>
      </c>
      <c r="B7418" s="2">
        <v>46169.380210300929</v>
      </c>
      <c r="C7418" s="3" t="str">
        <f>IFERROR(VLOOKUP(A7418,'Base Prueba'!A:C,3,),"NO REGISTRA")</f>
        <v>MARTHA ISABEL TOVAR WILLIAMS</v>
      </c>
      <c r="D7418" s="4" t="str">
        <f>IFERROR(VLOOKUP(A7418,'Base Prueba'!A:D,4,),"NO REGISTRA")</f>
        <v>PROMOTOR CALL CENTER</v>
      </c>
      <c r="E7418" s="5" t="str">
        <f>IFERROR(VLOOKUP(A7418,'Base Prueba'!A:E,5,),"NO REGISTRA")</f>
        <v>OFICINA DE MERCADEO</v>
      </c>
    </row>
    <row r="7419" spans="1:5" ht="15.75" x14ac:dyDescent="0.25">
      <c r="A7419" s="14">
        <v>1018414290</v>
      </c>
      <c r="B7419" s="2">
        <v>46169.407372106478</v>
      </c>
      <c r="C7419" s="3" t="str">
        <f>IFERROR(VLOOKUP(A7419,'Base Prueba'!A:C,3,),"NO REGISTRA")</f>
        <v>AMANDA LISBETH RODRIGUEZ LEON</v>
      </c>
      <c r="D7419" s="4" t="str">
        <f>IFERROR(VLOOKUP(A7419,'Base Prueba'!A:D,4,),"NO REGISTRA")</f>
        <v>PROMOTOR CALL CENTER</v>
      </c>
      <c r="E7419" s="5" t="str">
        <f>IFERROR(VLOOKUP(A7419,'Base Prueba'!A:E,5,),"NO REGISTRA")</f>
        <v>OFICINA DE MERCADEO</v>
      </c>
    </row>
    <row r="7420" spans="1:5" ht="15.75" x14ac:dyDescent="0.25">
      <c r="A7420" s="14">
        <v>1013098430</v>
      </c>
      <c r="B7420" s="2">
        <v>46169.527551736108</v>
      </c>
      <c r="C7420" s="3" t="str">
        <f>IFERROR(VLOOKUP(A7420,'Base Prueba'!A:C,3,),"NO REGISTRA")</f>
        <v>ANDRES FELIPE LOPEZ ROMERO</v>
      </c>
      <c r="D7420" s="4" t="str">
        <f>IFERROR(VLOOKUP(A7420,'Base Prueba'!A:D,4,),"NO REGISTRA")</f>
        <v>APRENDIZ UNIVERSITARIO</v>
      </c>
      <c r="E7420" s="5" t="str">
        <f>IFERROR(VLOOKUP(A7420,'Base Prueba'!A:E,5,),"NO REGISTRA")</f>
        <v>OFICINA DE MERCADEO</v>
      </c>
    </row>
    <row r="7421" spans="1:5" ht="15.75" x14ac:dyDescent="0.25">
      <c r="A7421" s="14">
        <v>52764929</v>
      </c>
      <c r="B7421" s="2">
        <v>46169.574313425925</v>
      </c>
      <c r="C7421" s="3" t="str">
        <f>IFERROR(VLOOKUP(A7421,'Base Prueba'!A:C,3,),"NO REGISTRA")</f>
        <v>GUERLY YOHANA DURAN RIVERA</v>
      </c>
      <c r="D7421" s="4" t="str">
        <f>IFERROR(VLOOKUP(A7421,'Base Prueba'!A:D,4,),"NO REGISTRA")</f>
        <v>LIDER DE VINCULACION COLEGIOS</v>
      </c>
      <c r="E7421" s="5" t="str">
        <f>IFERROR(VLOOKUP(A7421,'Base Prueba'!A:E,5,),"NO REGISTRA")</f>
        <v>OFICINA DE MERCADEO</v>
      </c>
    </row>
    <row r="7422" spans="1:5" ht="15.75" x14ac:dyDescent="0.25">
      <c r="A7422" s="14">
        <v>52443092</v>
      </c>
      <c r="B7422" s="2">
        <v>46169.57856736111</v>
      </c>
      <c r="C7422" s="3" t="str">
        <f>IFERROR(VLOOKUP(A7422,'Base Prueba'!A:C,3,),"NO REGISTRA")</f>
        <v>LUZ MYRIAM SAAVEDRA CONTRERAS</v>
      </c>
      <c r="D7422" s="4" t="str">
        <f>IFERROR(VLOOKUP(A7422,'Base Prueba'!A:D,4,),"NO REGISTRA")</f>
        <v>AUXILIAR DE SERVICIOS</v>
      </c>
      <c r="E7422" s="5" t="str">
        <f>IFERROR(VLOOKUP(A7422,'Base Prueba'!A:E,5,),"NO REGISTRA")</f>
        <v>LOGISTICA Y SERVICIOS GENERALES</v>
      </c>
    </row>
    <row r="7423" spans="1:5" ht="15.75" x14ac:dyDescent="0.25">
      <c r="A7423" s="14">
        <v>1033820146</v>
      </c>
      <c r="B7423" s="2">
        <v>46169.711016782407</v>
      </c>
      <c r="C7423" s="3" t="str">
        <f>IFERROR(VLOOKUP(A7423,'Base Prueba'!A:C,3,),"NO REGISTRA")</f>
        <v>JULIETH ALEXANDRA BUSTAMANTE RUIZ</v>
      </c>
      <c r="D7423" s="4" t="str">
        <f>IFERROR(VLOOKUP(A7423,'Base Prueba'!A:D,4,),"NO REGISTRA")</f>
        <v>AUXILIAR ADMINISTRATIVO</v>
      </c>
      <c r="E7423" s="5" t="str">
        <f>IFERROR(VLOOKUP(A7423,'Base Prueba'!A:E,5,),"NO REGISTRA")</f>
        <v>REGISTRO Y CONTROL ACADEMICO</v>
      </c>
    </row>
    <row r="7424" spans="1:5" ht="15.75" x14ac:dyDescent="0.25">
      <c r="A7424" s="14">
        <v>1000611958</v>
      </c>
      <c r="B7424" s="2">
        <v>46169.713530324072</v>
      </c>
      <c r="C7424" s="3" t="str">
        <f>IFERROR(VLOOKUP(A7424,'Base Prueba'!A:C,3,),"NO REGISTRA")</f>
        <v>TYLER CORRADINE  VARGAS</v>
      </c>
      <c r="D7424" s="4" t="str">
        <f>IFERROR(VLOOKUP(A7424,'Base Prueba'!A:D,4,),"NO REGISTRA")</f>
        <v>APRENDIZ UNIVERSITARIO</v>
      </c>
      <c r="E7424" s="5" t="str">
        <f>IFERROR(VLOOKUP(A7424,'Base Prueba'!A:E,5,),"NO REGISTRA")</f>
        <v>DEPARTAMENTO DE INFORMATICA Y TECNOLOGIA</v>
      </c>
    </row>
    <row r="7425" spans="1:5" ht="15.75" x14ac:dyDescent="0.25">
      <c r="A7425" s="14">
        <v>1013616244</v>
      </c>
      <c r="B7425" s="2">
        <v>46169.72882384259</v>
      </c>
      <c r="C7425" s="3" t="str">
        <f>IFERROR(VLOOKUP(A7425,'Base Prueba'!A:C,3,),"NO REGISTRA")</f>
        <v>DIANA CAROLINA MARIN BETANCOURT</v>
      </c>
      <c r="D7425" s="4" t="str">
        <f>IFERROR(VLOOKUP(A7425,'Base Prueba'!A:D,4,),"NO REGISTRA")</f>
        <v>AUXILIAR ADMINISTRATIVO</v>
      </c>
      <c r="E7425" s="5" t="str">
        <f>IFERROR(VLOOKUP(A7425,'Base Prueba'!A:E,5,),"NO REGISTRA")</f>
        <v>REGISTRO Y CONTROL ACADEMICO</v>
      </c>
    </row>
    <row r="7426" spans="1:5" ht="15.75" x14ac:dyDescent="0.25">
      <c r="A7426" s="14">
        <v>1024512067</v>
      </c>
      <c r="B7426" s="2">
        <v>46169.73621354167</v>
      </c>
      <c r="C7426" s="3" t="str">
        <f>IFERROR(VLOOKUP(A7426,'Base Prueba'!A:C,3,),"NO REGISTRA")</f>
        <v>CINDY GIOVANA SALGAR GOMEZ</v>
      </c>
      <c r="D7426" s="4" t="str">
        <f>IFERROR(VLOOKUP(A7426,'Base Prueba'!A:D,4,),"NO REGISTRA")</f>
        <v>COORDINADOR DEL SISTEMA INTEGRADO DE GESTION INSTITUCIONAL - SIGI</v>
      </c>
      <c r="E7426" s="5" t="str">
        <f>IFERROR(VLOOKUP(A7426,'Base Prueba'!A:E,5,),"NO REGISTRA")</f>
        <v>OFICINA DE PLANEACION Y GESTION DE LA CALIDAD</v>
      </c>
    </row>
    <row r="7427" spans="1:5" ht="15.75" x14ac:dyDescent="0.25">
      <c r="A7427" s="14">
        <v>80191732</v>
      </c>
      <c r="B7427" s="2">
        <v>46169.751360416667</v>
      </c>
      <c r="C7427" s="3" t="str">
        <f>IFERROR(VLOOKUP(A7427,'Base Prueba'!A:C,3,),"NO REGISTRA")</f>
        <v>DANIEL MAURICIO ZAMBRANO TUNJANO</v>
      </c>
      <c r="D7427" s="4" t="str">
        <f>IFERROR(VLOOKUP(A7427,'Base Prueba'!A:D,4,),"NO REGISTRA")</f>
        <v>COORDINADOR DE DISEÑO E IMAGEN INSTITUCIONAL</v>
      </c>
      <c r="E7427" s="5" t="str">
        <f>IFERROR(VLOOKUP(A7427,'Base Prueba'!A:E,5,),"NO REGISTRA")</f>
        <v>OFICINA DE MERCADEO</v>
      </c>
    </row>
    <row r="7428" spans="1:5" ht="15.75" x14ac:dyDescent="0.25">
      <c r="A7428" s="14">
        <v>1193457976</v>
      </c>
      <c r="B7428" s="2">
        <v>46169.751393981482</v>
      </c>
      <c r="C7428" s="3" t="str">
        <f>IFERROR(VLOOKUP(A7428,'Base Prueba'!A:C,3,),"NO REGISTRA")</f>
        <v>SEDENIS RIVAS ASPRILLA</v>
      </c>
      <c r="D7428" s="4" t="str">
        <f>IFERROR(VLOOKUP(A7428,'Base Prueba'!A:D,4,),"NO REGISTRA")</f>
        <v>APRENDIZ UNIVERSITARIO</v>
      </c>
      <c r="E7428" s="5" t="str">
        <f>IFERROR(VLOOKUP(A7428,'Base Prueba'!A:E,5,),"NO REGISTRA")</f>
        <v>DEPARTAMENTO DE GESTION HUMANA</v>
      </c>
    </row>
    <row r="7429" spans="1:5" ht="15.75" x14ac:dyDescent="0.25">
      <c r="A7429" s="14">
        <v>1000992568</v>
      </c>
      <c r="B7429" s="2">
        <v>46169.75173113426</v>
      </c>
      <c r="C7429" s="3" t="str">
        <f>IFERROR(VLOOKUP(A7429,'Base Prueba'!A:C,3,),"NO REGISTRA")</f>
        <v>KAREN BRIGITTE DALEMAN MORENO</v>
      </c>
      <c r="D7429" s="4" t="str">
        <f>IFERROR(VLOOKUP(A7429,'Base Prueba'!A:D,4,),"NO REGISTRA")</f>
        <v>RECEPCIONISTA</v>
      </c>
      <c r="E7429" s="5" t="str">
        <f>IFERROR(VLOOKUP(A7429,'Base Prueba'!A:E,5,),"NO REGISTRA")</f>
        <v>CENTRO DE GESTION DOCUMENTAL</v>
      </c>
    </row>
    <row r="7430" spans="1:5" ht="15.75" x14ac:dyDescent="0.25">
      <c r="A7430" s="14">
        <v>1014266838</v>
      </c>
      <c r="B7430" s="2">
        <v>46169.754900462962</v>
      </c>
      <c r="C7430" s="3" t="str">
        <f>IFERROR(VLOOKUP(A7430,'Base Prueba'!A:C,3,),"NO REGISTRA")</f>
        <v>JENNIFER ASTRID ROMERO HURTADO</v>
      </c>
      <c r="D7430" s="4" t="str">
        <f>IFERROR(VLOOKUP(A7430,'Base Prueba'!A:D,4,),"NO REGISTRA")</f>
        <v>LIDER DE RECAUDO</v>
      </c>
      <c r="E7430" s="5" t="str">
        <f>IFERROR(VLOOKUP(A7430,'Base Prueba'!A:E,5,),"NO REGISTRA")</f>
        <v>AREA FINANCIERA Y CONTABLE</v>
      </c>
    </row>
    <row r="7431" spans="1:5" ht="15.75" x14ac:dyDescent="0.25">
      <c r="A7431" s="14">
        <v>1000324729</v>
      </c>
      <c r="B7431" s="2">
        <v>46169.754960416663</v>
      </c>
      <c r="C7431" s="3" t="str">
        <f>IFERROR(VLOOKUP(A7431,'Base Prueba'!A:C,3,),"NO REGISTRA")</f>
        <v>ANYIE VANESSA TINOCO CAMACHO</v>
      </c>
      <c r="D7431" s="4" t="str">
        <f>IFERROR(VLOOKUP(A7431,'Base Prueba'!A:D,4,),"NO REGISTRA")</f>
        <v>LIDER DE REGISTRO Y CONTROL</v>
      </c>
      <c r="E7431" s="5" t="str">
        <f>IFERROR(VLOOKUP(A7431,'Base Prueba'!A:E,5,),"NO REGISTRA")</f>
        <v>REGISTRO Y CONTROL ACADEMICO</v>
      </c>
    </row>
    <row r="7432" spans="1:5" ht="15.75" x14ac:dyDescent="0.25">
      <c r="A7432" s="14">
        <v>52175674</v>
      </c>
      <c r="B7432" s="2">
        <v>46169.759878009259</v>
      </c>
      <c r="C7432" s="3" t="str">
        <f>IFERROR(VLOOKUP(A7432,'Base Prueba'!A:C,3,),"NO REGISTRA")</f>
        <v>LUZ YANETH GOMEZ AREVALO</v>
      </c>
      <c r="D7432" s="4" t="str">
        <f>IFERROR(VLOOKUP(A7432,'Base Prueba'!A:D,4,),"NO REGISTRA")</f>
        <v>COORDINADORA DE ADMISIONES</v>
      </c>
      <c r="E7432" s="5" t="str">
        <f>IFERROR(VLOOKUP(A7432,'Base Prueba'!A:E,5,),"NO REGISTRA")</f>
        <v>OFICINA DE MERCADEO</v>
      </c>
    </row>
    <row r="7433" spans="1:5" ht="15.75" x14ac:dyDescent="0.25">
      <c r="A7433" s="14">
        <v>1032410833</v>
      </c>
      <c r="B7433" s="2">
        <v>46169.760748726854</v>
      </c>
      <c r="C7433" s="3" t="str">
        <f>IFERROR(VLOOKUP(A7433,'Base Prueba'!A:C,3,),"NO REGISTRA")</f>
        <v>DIANA PAOLA MONTAÑEZ GONZALEZ</v>
      </c>
      <c r="D7433" s="4" t="str">
        <f>IFERROR(VLOOKUP(A7433,'Base Prueba'!A:D,4,),"NO REGISTRA")</f>
        <v>APRENDIZ UNIVERSITARIO</v>
      </c>
      <c r="E7433" s="5" t="str">
        <f>IFERROR(VLOOKUP(A7433,'Base Prueba'!A:E,5,),"NO REGISTRA")</f>
        <v>AREA FINANCIERA Y CONTABLE</v>
      </c>
    </row>
    <row r="7434" spans="1:5" ht="15.75" x14ac:dyDescent="0.25">
      <c r="A7434" s="14">
        <v>1032469638</v>
      </c>
      <c r="B7434" s="2">
        <v>46169.76327974537</v>
      </c>
      <c r="C7434" s="3" t="str">
        <f>IFERROR(VLOOKUP(A7434,'Base Prueba'!A:C,3,),"NO REGISTRA")</f>
        <v>MAICOL JARBEY GUALTEROS CASTAÑEDA</v>
      </c>
      <c r="D7434" s="4" t="str">
        <f>IFERROR(VLOOKUP(A7434,'Base Prueba'!A:D,4,),"NO REGISTRA")</f>
        <v>COORDINADOR DEL SISTEMA INTERNO DE ASEGURAMIENTO DE LA CALIDAD - SIAC</v>
      </c>
      <c r="E7434" s="5" t="str">
        <f>IFERROR(VLOOKUP(A7434,'Base Prueba'!A:E,5,),"NO REGISTRA")</f>
        <v>OFICINA DE PLANEACION Y GESTION DE LA CALIDAD</v>
      </c>
    </row>
    <row r="7435" spans="1:5" ht="15.75" x14ac:dyDescent="0.25">
      <c r="A7435" s="14">
        <v>1023883232</v>
      </c>
      <c r="B7435" s="2">
        <v>46169.766350810183</v>
      </c>
      <c r="C7435" s="3" t="str">
        <f>IFERROR(VLOOKUP(A7435,'Base Prueba'!A:C,3,),"NO REGISTRA")</f>
        <v>MONICA ANDREA ACERO URBANO</v>
      </c>
      <c r="D7435" s="4" t="str">
        <f>IFERROR(VLOOKUP(A7435,'Base Prueba'!A:D,4,),"NO REGISTRA")</f>
        <v>APOYO INTEGRAL A GESTION HUMANA</v>
      </c>
      <c r="E7435" s="5" t="str">
        <f>IFERROR(VLOOKUP(A7435,'Base Prueba'!A:E,5,),"NO REGISTRA")</f>
        <v>DEPARTAMENTO DE GESTION HUMANA</v>
      </c>
    </row>
    <row r="7436" spans="1:5" ht="15.75" x14ac:dyDescent="0.25">
      <c r="A7436" s="14">
        <v>1087121273</v>
      </c>
      <c r="B7436" s="2">
        <v>46169.76667488426</v>
      </c>
      <c r="C7436" s="3" t="str">
        <f>IFERROR(VLOOKUP(A7436,'Base Prueba'!A:C,3,),"NO REGISTRA")</f>
        <v>MAYRA ALEJANDRA CASTILLO ARBOLEDA</v>
      </c>
      <c r="D7436" s="4" t="str">
        <f>IFERROR(VLOOKUP(A7436,'Base Prueba'!A:D,4,),"NO REGISTRA")</f>
        <v>APOYO INTEGRAL DE MERCADEO</v>
      </c>
      <c r="E7436" s="5" t="str">
        <f>IFERROR(VLOOKUP(A7436,'Base Prueba'!A:E,5,),"NO REGISTRA")</f>
        <v>CENTRO DE GESTION DOCUMENTAL</v>
      </c>
    </row>
    <row r="7437" spans="1:5" ht="15.75" x14ac:dyDescent="0.25">
      <c r="A7437" s="14">
        <v>1000593372</v>
      </c>
      <c r="B7437" s="2">
        <v>46169.767988194442</v>
      </c>
      <c r="C7437" s="3" t="str">
        <f>IFERROR(VLOOKUP(A7437,'Base Prueba'!A:C,3,),"NO REGISTRA")</f>
        <v>LAURA SOFIA CHAPARRO LOPEZ</v>
      </c>
      <c r="D7437" s="4" t="str">
        <f>IFERROR(VLOOKUP(A7437,'Base Prueba'!A:D,4,),"NO REGISTRA")</f>
        <v>AUXILIAR JURIDICO</v>
      </c>
      <c r="E7437" s="5" t="str">
        <f>IFERROR(VLOOKUP(A7437,'Base Prueba'!A:E,5,),"NO REGISTRA")</f>
        <v>SECRETARIA GENERAL</v>
      </c>
    </row>
    <row r="7438" spans="1:5" ht="15.75" x14ac:dyDescent="0.25">
      <c r="A7438" s="14">
        <v>1000604979</v>
      </c>
      <c r="B7438" s="2">
        <v>46169.768034953704</v>
      </c>
      <c r="C7438" s="3" t="str">
        <f>IFERROR(VLOOKUP(A7438,'Base Prueba'!A:C,3,),"NO REGISTRA")</f>
        <v>JULIETH TATIANA PARDO PINTO</v>
      </c>
      <c r="D7438" s="4" t="str">
        <f>IFERROR(VLOOKUP(A7438,'Base Prueba'!A:D,4,),"NO REGISTRA")</f>
        <v>AUXILIAR JURIDICO</v>
      </c>
      <c r="E7438" s="5" t="str">
        <f>IFERROR(VLOOKUP(A7438,'Base Prueba'!A:E,5,),"NO REGISTRA")</f>
        <v>SECRETARIA GENERAL</v>
      </c>
    </row>
    <row r="7439" spans="1:5" ht="15.75" x14ac:dyDescent="0.25">
      <c r="A7439" s="14">
        <v>1012426741</v>
      </c>
      <c r="B7439" s="2">
        <v>46169.770881365737</v>
      </c>
      <c r="C7439" s="3" t="str">
        <f>IFERROR(VLOOKUP(A7439,'Base Prueba'!A:C,3,),"NO REGISTRA")</f>
        <v>CRISTIAN FABIAN ROJAS SANCENO</v>
      </c>
      <c r="D7439" s="4" t="str">
        <f>IFERROR(VLOOKUP(A7439,'Base Prueba'!A:D,4,),"NO REGISTRA")</f>
        <v>AUXILIAR DE REINTEGROS</v>
      </c>
      <c r="E7439" s="5" t="str">
        <f>IFERROR(VLOOKUP(A7439,'Base Prueba'!A:E,5,),"NO REGISTRA")</f>
        <v>DIRECCION DE BIENESTAR INSTITUCIONAL</v>
      </c>
    </row>
    <row r="7440" spans="1:5" ht="15.75" x14ac:dyDescent="0.25">
      <c r="A7440" s="14">
        <v>1013101788</v>
      </c>
      <c r="B7440" s="2">
        <v>46169.771892476849</v>
      </c>
      <c r="C7440" s="3" t="str">
        <f>IFERROR(VLOOKUP(A7440,'Base Prueba'!A:C,3,),"NO REGISTRA")</f>
        <v>SARA TANGARIFE MONTOYA</v>
      </c>
      <c r="D7440" s="4" t="str">
        <f>IFERROR(VLOOKUP(A7440,'Base Prueba'!A:D,4,),"NO REGISTRA")</f>
        <v>APRENDIZ UNIVERSITARIO</v>
      </c>
      <c r="E7440" s="5" t="str">
        <f>IFERROR(VLOOKUP(A7440,'Base Prueba'!A:E,5,),"NO REGISTRA")</f>
        <v>OFICINA DE MERCADEO</v>
      </c>
    </row>
    <row r="7441" spans="1:5" ht="15.75" x14ac:dyDescent="0.25">
      <c r="A7441" s="14">
        <v>1014196857</v>
      </c>
      <c r="B7441" s="2">
        <v>46169.77193923611</v>
      </c>
      <c r="C7441" s="3" t="str">
        <f>IFERROR(VLOOKUP(A7441,'Base Prueba'!A:C,3,),"NO REGISTRA")</f>
        <v>CARLOS ANDRES JIMENEZ PARDO</v>
      </c>
      <c r="D7441" s="4" t="str">
        <f>IFERROR(VLOOKUP(A7441,'Base Prueba'!A:D,4,),"NO REGISTRA")</f>
        <v>COORDINADOR DE MARKETING DIGITAL</v>
      </c>
      <c r="E7441" s="5" t="str">
        <f>IFERROR(VLOOKUP(A7441,'Base Prueba'!A:E,5,),"NO REGISTRA")</f>
        <v>OFICINA DE MERCADEO</v>
      </c>
    </row>
    <row r="7442" spans="1:5" ht="15.75" x14ac:dyDescent="0.25">
      <c r="A7442" s="14">
        <v>1023961952</v>
      </c>
      <c r="B7442" s="2">
        <v>46169.773797800925</v>
      </c>
      <c r="C7442" s="3" t="str">
        <f>IFERROR(VLOOKUP(A7442,'Base Prueba'!A:C,3,),"NO REGISTRA")</f>
        <v>ALEJANDRO PINZON MERCHAN</v>
      </c>
      <c r="D7442" s="4" t="str">
        <f>IFERROR(VLOOKUP(A7442,'Base Prueba'!A:D,4,),"NO REGISTRA")</f>
        <v>PROMOTOR CALL CENTER</v>
      </c>
      <c r="E7442" s="5" t="str">
        <f>IFERROR(VLOOKUP(A7442,'Base Prueba'!A:E,5,),"NO REGISTRA")</f>
        <v>OFICINA DE MERCADEO</v>
      </c>
    </row>
    <row r="7443" spans="1:5" ht="15.75" x14ac:dyDescent="0.25">
      <c r="A7443" s="14">
        <v>1000046533</v>
      </c>
      <c r="B7443" s="2">
        <v>46169.77435590278</v>
      </c>
      <c r="C7443" s="3" t="str">
        <f>IFERROR(VLOOKUP(A7443,'Base Prueba'!A:C,3,),"NO REGISTRA")</f>
        <v>ERIKA JULIETH VALDERRAMA SANCHEZ</v>
      </c>
      <c r="D7443" s="4" t="str">
        <f>IFERROR(VLOOKUP(A7443,'Base Prueba'!A:D,4,),"NO REGISTRA")</f>
        <v>PROMOTOR CALL CENTER</v>
      </c>
      <c r="E7443" s="5" t="str">
        <f>IFERROR(VLOOKUP(A7443,'Base Prueba'!A:E,5,),"NO REGISTRA")</f>
        <v>OFICINA DE MERCADEO</v>
      </c>
    </row>
    <row r="7444" spans="1:5" ht="15.75" x14ac:dyDescent="0.25">
      <c r="A7444" s="14">
        <v>1033709056</v>
      </c>
      <c r="B7444" s="2">
        <v>46169.774461458335</v>
      </c>
      <c r="C7444" s="3" t="str">
        <f>IFERROR(VLOOKUP(A7444,'Base Prueba'!A:C,3,),"NO REGISTRA")</f>
        <v>YEIMY ALEXANDRA RODRIGUEZ PALACIO</v>
      </c>
      <c r="D7444" s="4" t="str">
        <f>IFERROR(VLOOKUP(A7444,'Base Prueba'!A:D,4,),"NO REGISTRA")</f>
        <v>PROMOTOR CALL CENTER</v>
      </c>
      <c r="E7444" s="5" t="str">
        <f>IFERROR(VLOOKUP(A7444,'Base Prueba'!A:E,5,),"NO REGISTRA")</f>
        <v>OFICINA DE MERCADEO</v>
      </c>
    </row>
    <row r="7445" spans="1:5" ht="15.75" x14ac:dyDescent="0.25">
      <c r="A7445" s="14">
        <v>1032407386</v>
      </c>
      <c r="B7445" s="2">
        <v>46169.774606134262</v>
      </c>
      <c r="C7445" s="3" t="str">
        <f>IFERROR(VLOOKUP(A7445,'Base Prueba'!A:C,3,),"NO REGISTRA")</f>
        <v>GINA PAOLA BAEZ GALVIS</v>
      </c>
      <c r="D7445" s="4" t="str">
        <f>IFERROR(VLOOKUP(A7445,'Base Prueba'!A:D,4,),"NO REGISTRA")</f>
        <v>PROMOTOR CALL CENTER</v>
      </c>
      <c r="E7445" s="5" t="str">
        <f>IFERROR(VLOOKUP(A7445,'Base Prueba'!A:E,5,),"NO REGISTRA")</f>
        <v>OFICINA DE MERCADEO</v>
      </c>
    </row>
    <row r="7446" spans="1:5" ht="15.75" x14ac:dyDescent="0.25">
      <c r="A7446" s="14">
        <v>1018414290</v>
      </c>
      <c r="B7446" s="2">
        <v>46169.775492708337</v>
      </c>
      <c r="C7446" s="3" t="str">
        <f>IFERROR(VLOOKUP(A7446,'Base Prueba'!A:C,3,),"NO REGISTRA")</f>
        <v>AMANDA LISBETH RODRIGUEZ LEON</v>
      </c>
      <c r="D7446" s="4" t="str">
        <f>IFERROR(VLOOKUP(A7446,'Base Prueba'!A:D,4,),"NO REGISTRA")</f>
        <v>PROMOTOR CALL CENTER</v>
      </c>
      <c r="E7446" s="5" t="str">
        <f>IFERROR(VLOOKUP(A7446,'Base Prueba'!A:E,5,),"NO REGISTRA")</f>
        <v>OFICINA DE MERCADEO</v>
      </c>
    </row>
    <row r="7447" spans="1:5" ht="15.75" x14ac:dyDescent="0.25">
      <c r="A7447" s="14">
        <v>1014308296</v>
      </c>
      <c r="B7447" s="2">
        <v>46169.776910185188</v>
      </c>
      <c r="C7447" s="3" t="str">
        <f>IFERROR(VLOOKUP(A7447,'Base Prueba'!A:C,3,),"NO REGISTRA")</f>
        <v>DARLENE YULIANA MORENO CELEITA</v>
      </c>
      <c r="D7447" s="4" t="str">
        <f>IFERROR(VLOOKUP(A7447,'Base Prueba'!A:D,4,),"NO REGISTRA")</f>
        <v>CAJERO PRINCIPAL</v>
      </c>
      <c r="E7447" s="5" t="str">
        <f>IFERROR(VLOOKUP(A7447,'Base Prueba'!A:E,5,),"NO REGISTRA")</f>
        <v>AREA FINANCIERA Y CONTABLE</v>
      </c>
    </row>
    <row r="7448" spans="1:5" ht="15.75" x14ac:dyDescent="0.25">
      <c r="A7448" s="14">
        <v>1000257136</v>
      </c>
      <c r="B7448" s="2">
        <v>46169.778561458334</v>
      </c>
      <c r="C7448" s="3" t="str">
        <f>IFERROR(VLOOKUP(A7448,'Base Prueba'!A:C,3,),"NO REGISTRA")</f>
        <v>FRANCI VALENTINA CANO PUENTES</v>
      </c>
      <c r="D7448" s="4" t="str">
        <f>IFERROR(VLOOKUP(A7448,'Base Prueba'!A:D,4,),"NO REGISTRA")</f>
        <v>AUXILIAR CONTABLE</v>
      </c>
      <c r="E7448" s="5" t="str">
        <f>IFERROR(VLOOKUP(A7448,'Base Prueba'!A:E,5,),"NO REGISTRA")</f>
        <v>AREA FINANCIERA Y CONTABLE</v>
      </c>
    </row>
    <row r="7449" spans="1:5" ht="15.75" x14ac:dyDescent="0.25">
      <c r="A7449" s="14">
        <v>1000457706</v>
      </c>
      <c r="B7449" s="2">
        <v>46169.781732060183</v>
      </c>
      <c r="C7449" s="3" t="str">
        <f>IFERROR(VLOOKUP(A7449,'Base Prueba'!A:C,3,),"NO REGISTRA")</f>
        <v>CRISTIAN DANILO ARROYO SANABRIA</v>
      </c>
      <c r="D7449" s="4" t="str">
        <f>IFERROR(VLOOKUP(A7449,'Base Prueba'!A:D,4,),"NO REGISTRA")</f>
        <v>AUXILIAR CONTABLE</v>
      </c>
      <c r="E7449" s="5" t="str">
        <f>IFERROR(VLOOKUP(A7449,'Base Prueba'!A:E,5,),"NO REGISTRA")</f>
        <v>AREA FINANCIERA Y CONTABLE</v>
      </c>
    </row>
    <row r="7450" spans="1:5" ht="15.75" x14ac:dyDescent="0.25">
      <c r="A7450" s="14">
        <v>1019105003</v>
      </c>
      <c r="B7450" s="2">
        <v>46169.781884143522</v>
      </c>
      <c r="C7450" s="3" t="str">
        <f>IFERROR(VLOOKUP(A7450,'Base Prueba'!A:C,3,),"NO REGISTRA")</f>
        <v>DAISY JULIETH GASPAR MORENO</v>
      </c>
      <c r="D7450" s="4" t="str">
        <f>IFERROR(VLOOKUP(A7450,'Base Prueba'!A:D,4,),"NO REGISTRA")</f>
        <v>PROMOTOR CALL CENTER</v>
      </c>
      <c r="E7450" s="5" t="str">
        <f>IFERROR(VLOOKUP(A7450,'Base Prueba'!A:E,5,),"NO REGISTRA")</f>
        <v>OFICINA DE MERCADEO</v>
      </c>
    </row>
    <row r="7451" spans="1:5" ht="15.75" x14ac:dyDescent="0.25">
      <c r="A7451" s="14">
        <v>53932358</v>
      </c>
      <c r="B7451" s="2">
        <v>46169.783837962961</v>
      </c>
      <c r="C7451" s="3" t="str">
        <f>IFERROR(VLOOKUP(A7451,'Base Prueba'!A:C,3,),"NO REGISTRA")</f>
        <v>DIANA MADELEYNE GAONA RODRIGUEZ</v>
      </c>
      <c r="D7451" s="4" t="str">
        <f>IFERROR(VLOOKUP(A7451,'Base Prueba'!A:D,4,),"NO REGISTRA")</f>
        <v>CONTADOR</v>
      </c>
      <c r="E7451" s="5" t="str">
        <f>IFERROR(VLOOKUP(A7451,'Base Prueba'!A:E,5,),"NO REGISTRA")</f>
        <v>AREA FINANCIERA Y CONTABLE</v>
      </c>
    </row>
    <row r="7452" spans="1:5" ht="15.75" x14ac:dyDescent="0.25">
      <c r="A7452" s="14">
        <v>52474489</v>
      </c>
      <c r="B7452" s="2">
        <v>46169.791056944443</v>
      </c>
      <c r="C7452" s="3" t="str">
        <f>IFERROR(VLOOKUP(A7452,'Base Prueba'!A:C,3,),"NO REGISTRA")</f>
        <v>ADRIANA JIMENA SOTO BOCANEGRA</v>
      </c>
      <c r="D7452" s="4" t="str">
        <f>IFERROR(VLOOKUP(A7452,'Base Prueba'!A:D,4,),"NO REGISTRA")</f>
        <v>COORDINADOR DE LA OFICINA DE REGISTRO Y CONTROL</v>
      </c>
      <c r="E7452" s="5" t="str">
        <f>IFERROR(VLOOKUP(A7452,'Base Prueba'!A:E,5,),"NO REGISTRA")</f>
        <v>REGISTRO Y CONTROL ACADEMICO</v>
      </c>
    </row>
    <row r="7453" spans="1:5" ht="15.75" x14ac:dyDescent="0.25">
      <c r="A7453" s="14">
        <v>28798349</v>
      </c>
      <c r="B7453" s="2">
        <v>46169.792152083333</v>
      </c>
      <c r="C7453" s="3" t="str">
        <f>IFERROR(VLOOKUP(A7453,'Base Prueba'!A:C,3,),"NO REGISTRA")</f>
        <v>MARTHA ISABEL TOVAR WILLIAMS</v>
      </c>
      <c r="D7453" s="4" t="str">
        <f>IFERROR(VLOOKUP(A7453,'Base Prueba'!A:D,4,),"NO REGISTRA")</f>
        <v>PROMOTOR CALL CENTER</v>
      </c>
      <c r="E7453" s="5" t="str">
        <f>IFERROR(VLOOKUP(A7453,'Base Prueba'!A:E,5,),"NO REGISTRA")</f>
        <v>OFICINA DE MERCADEO</v>
      </c>
    </row>
    <row r="7454" spans="1:5" ht="15.75" x14ac:dyDescent="0.25">
      <c r="A7454" s="14">
        <v>52472386</v>
      </c>
      <c r="B7454" s="2">
        <v>46169.792192245368</v>
      </c>
      <c r="C7454" s="3" t="str">
        <f>IFERROR(VLOOKUP(A7454,'Base Prueba'!A:C,3,),"NO REGISTRA")</f>
        <v>ADRIANA MARCELA MORALES PARDO</v>
      </c>
      <c r="D7454" s="4" t="str">
        <f>IFERROR(VLOOKUP(A7454,'Base Prueba'!A:D,4,),"NO REGISTRA")</f>
        <v>PROMOTOR CALL CENTER</v>
      </c>
      <c r="E7454" s="5" t="str">
        <f>IFERROR(VLOOKUP(A7454,'Base Prueba'!A:E,5,),"NO REGISTRA")</f>
        <v>OFICINA DE MERCADEO</v>
      </c>
    </row>
    <row r="7455" spans="1:5" ht="15.75" x14ac:dyDescent="0.25">
      <c r="A7455" s="14">
        <v>1018413529</v>
      </c>
      <c r="B7455" s="2">
        <v>46169.793193750003</v>
      </c>
      <c r="C7455" s="3" t="str">
        <f>IFERROR(VLOOKUP(A7455,'Base Prueba'!A:C,3,),"NO REGISTRA")</f>
        <v>FRANCY STELLA CHARRY MORENO</v>
      </c>
      <c r="D7455" s="4" t="str">
        <f>IFERROR(VLOOKUP(A7455,'Base Prueba'!A:D,4,),"NO REGISTRA")</f>
        <v>PROMOTOR COMERCIAL DEL CEA</v>
      </c>
      <c r="E7455" s="5" t="str">
        <f>IFERROR(VLOOKUP(A7455,'Base Prueba'!A:E,5,),"NO REGISTRA")</f>
        <v>OFICINA DE MERCADEO</v>
      </c>
    </row>
    <row r="7456" spans="1:5" ht="15.75" x14ac:dyDescent="0.25">
      <c r="A7456" s="14">
        <v>53089882</v>
      </c>
      <c r="B7456" s="2">
        <v>46169.793384375</v>
      </c>
      <c r="C7456" s="3" t="str">
        <f>IFERROR(VLOOKUP(A7456,'Base Prueba'!A:C,3,),"NO REGISTRA")</f>
        <v>MARIA JOHANA ESCAMILLA MARTINEZ</v>
      </c>
      <c r="D7456" s="4" t="str">
        <f>IFERROR(VLOOKUP(A7456,'Base Prueba'!A:D,4,),"NO REGISTRA")</f>
        <v>PROMOTOR DE INFORMACIÓN</v>
      </c>
      <c r="E7456" s="5" t="str">
        <f>IFERROR(VLOOKUP(A7456,'Base Prueba'!A:E,5,),"NO REGISTRA")</f>
        <v>OFICINA DE MERCADEO</v>
      </c>
    </row>
    <row r="7457" spans="1:5" ht="15.75" x14ac:dyDescent="0.25">
      <c r="A7457" s="14">
        <v>80234243</v>
      </c>
      <c r="B7457" s="2">
        <v>46169.806043865741</v>
      </c>
      <c r="C7457" s="3" t="str">
        <f>IFERROR(VLOOKUP(A7457,'Base Prueba'!A:C,3,),"NO REGISTRA")</f>
        <v>ARGENIS MARTINEZ MARTINEZ</v>
      </c>
      <c r="D7457" s="4" t="str">
        <f>IFERROR(VLOOKUP(A7457,'Base Prueba'!A:D,4,),"NO REGISTRA")</f>
        <v>LIDER CALL CENTER</v>
      </c>
      <c r="E7457" s="5" t="str">
        <f>IFERROR(VLOOKUP(A7457,'Base Prueba'!A:E,5,),"NO REGISTRA")</f>
        <v>OFICINA DE MERCADEO</v>
      </c>
    </row>
    <row r="7458" spans="1:5" ht="15.75" x14ac:dyDescent="0.25">
      <c r="A7458" s="14">
        <v>52764929</v>
      </c>
      <c r="B7458" s="2">
        <v>46169.836889467595</v>
      </c>
      <c r="C7458" s="3" t="str">
        <f>IFERROR(VLOOKUP(A7458,'Base Prueba'!A:C,3,),"NO REGISTRA")</f>
        <v>GUERLY YOHANA DURAN RIVERA</v>
      </c>
      <c r="D7458" s="4" t="str">
        <f>IFERROR(VLOOKUP(A7458,'Base Prueba'!A:D,4,),"NO REGISTRA")</f>
        <v>LIDER DE VINCULACION COLEGIOS</v>
      </c>
      <c r="E7458" s="5" t="str">
        <f>IFERROR(VLOOKUP(A7458,'Base Prueba'!A:E,5,),"NO REGISTRA")</f>
        <v>OFICINA DE MERCADEO</v>
      </c>
    </row>
    <row r="7459" spans="1:5" ht="15.75" x14ac:dyDescent="0.25">
      <c r="A7459" s="14">
        <v>1024512067</v>
      </c>
      <c r="B7459" s="2">
        <v>46170.311076273145</v>
      </c>
      <c r="C7459" s="3" t="str">
        <f>IFERROR(VLOOKUP(A7459,'Base Prueba'!A:C,3,),"NO REGISTRA")</f>
        <v>CINDY GIOVANA SALGAR GOMEZ</v>
      </c>
      <c r="D7459" s="4" t="str">
        <f>IFERROR(VLOOKUP(A7459,'Base Prueba'!A:D,4,),"NO REGISTRA")</f>
        <v>COORDINADOR DEL SISTEMA INTEGRADO DE GESTION INSTITUCIONAL - SIGI</v>
      </c>
      <c r="E7459" s="5" t="str">
        <f>IFERROR(VLOOKUP(A7459,'Base Prueba'!A:E,5,),"NO REGISTRA")</f>
        <v>OFICINA DE PLANEACION Y GESTION DE LA CALIDAD</v>
      </c>
    </row>
    <row r="7460" spans="1:5" ht="15.75" x14ac:dyDescent="0.25">
      <c r="A7460" s="14">
        <v>1090524989</v>
      </c>
      <c r="B7460" s="2">
        <v>46170.31504212963</v>
      </c>
      <c r="C7460" s="3" t="str">
        <f>IFERROR(VLOOKUP(A7460,'Base Prueba'!A:C,3,),"NO REGISTRA")</f>
        <v>JOHANA CECILIA ARAQUE ZULETA</v>
      </c>
      <c r="D7460" s="4" t="str">
        <f>IFERROR(VLOOKUP(A7460,'Base Prueba'!A:D,4,),"NO REGISTRA")</f>
        <v>COORDINADORA JURIDICA</v>
      </c>
      <c r="E7460" s="5" t="str">
        <f>IFERROR(VLOOKUP(A7460,'Base Prueba'!A:E,5,),"NO REGISTRA")</f>
        <v>SECRETARIA GENERAL</v>
      </c>
    </row>
    <row r="7461" spans="1:5" ht="15.75" x14ac:dyDescent="0.25">
      <c r="A7461" s="14">
        <v>1013616244</v>
      </c>
      <c r="B7461" s="2">
        <v>46170.327256597222</v>
      </c>
      <c r="C7461" s="3" t="str">
        <f>IFERROR(VLOOKUP(A7461,'Base Prueba'!A:C,3,),"NO REGISTRA")</f>
        <v>DIANA CAROLINA MARIN BETANCOURT</v>
      </c>
      <c r="D7461" s="4" t="str">
        <f>IFERROR(VLOOKUP(A7461,'Base Prueba'!A:D,4,),"NO REGISTRA")</f>
        <v>AUXILIAR ADMINISTRATIVO</v>
      </c>
      <c r="E7461" s="5" t="str">
        <f>IFERROR(VLOOKUP(A7461,'Base Prueba'!A:E,5,),"NO REGISTRA")</f>
        <v>REGISTRO Y CONTROL ACADEMICO</v>
      </c>
    </row>
    <row r="7462" spans="1:5" ht="15.75" x14ac:dyDescent="0.25">
      <c r="A7462" s="14">
        <v>1000257136</v>
      </c>
      <c r="B7462" s="2">
        <v>46170.328523611111</v>
      </c>
      <c r="C7462" s="3" t="str">
        <f>IFERROR(VLOOKUP(A7462,'Base Prueba'!A:C,3,),"NO REGISTRA")</f>
        <v>FRANCI VALENTINA CANO PUENTES</v>
      </c>
      <c r="D7462" s="4" t="str">
        <f>IFERROR(VLOOKUP(A7462,'Base Prueba'!A:D,4,),"NO REGISTRA")</f>
        <v>AUXILIAR CONTABLE</v>
      </c>
      <c r="E7462" s="5" t="str">
        <f>IFERROR(VLOOKUP(A7462,'Base Prueba'!A:E,5,),"NO REGISTRA")</f>
        <v>AREA FINANCIERA Y CONTABLE</v>
      </c>
    </row>
    <row r="7463" spans="1:5" ht="15.75" x14ac:dyDescent="0.25">
      <c r="A7463" s="14">
        <v>1032410833</v>
      </c>
      <c r="B7463" s="2">
        <v>46170.329113888889</v>
      </c>
      <c r="C7463" s="3" t="str">
        <f>IFERROR(VLOOKUP(A7463,'Base Prueba'!A:C,3,),"NO REGISTRA")</f>
        <v>DIANA PAOLA MONTAÑEZ GONZALEZ</v>
      </c>
      <c r="D7463" s="4" t="str">
        <f>IFERROR(VLOOKUP(A7463,'Base Prueba'!A:D,4,),"NO REGISTRA")</f>
        <v>APRENDIZ UNIVERSITARIO</v>
      </c>
      <c r="E7463" s="5" t="str">
        <f>IFERROR(VLOOKUP(A7463,'Base Prueba'!A:E,5,),"NO REGISTRA")</f>
        <v>AREA FINANCIERA Y CONTABLE</v>
      </c>
    </row>
    <row r="7464" spans="1:5" ht="15.75" x14ac:dyDescent="0.25">
      <c r="A7464" s="14">
        <v>80191732</v>
      </c>
      <c r="B7464" s="2">
        <v>46170.329622453704</v>
      </c>
      <c r="C7464" s="3" t="str">
        <f>IFERROR(VLOOKUP(A7464,'Base Prueba'!A:C,3,),"NO REGISTRA")</f>
        <v>DANIEL MAURICIO ZAMBRANO TUNJANO</v>
      </c>
      <c r="D7464" s="4" t="str">
        <f>IFERROR(VLOOKUP(A7464,'Base Prueba'!A:D,4,),"NO REGISTRA")</f>
        <v>COORDINADOR DE DISEÑO E IMAGEN INSTITUCIONAL</v>
      </c>
      <c r="E7464" s="5" t="str">
        <f>IFERROR(VLOOKUP(A7464,'Base Prueba'!A:E,5,),"NO REGISTRA")</f>
        <v>OFICINA DE MERCADEO</v>
      </c>
    </row>
    <row r="7465" spans="1:5" ht="15.75" x14ac:dyDescent="0.25">
      <c r="A7465" s="14">
        <v>1049644802</v>
      </c>
      <c r="B7465" s="2">
        <v>46170.331323842591</v>
      </c>
      <c r="C7465" s="3" t="str">
        <f>IFERROR(VLOOKUP(A7465,'Base Prueba'!A:C,3,),"NO REGISTRA")</f>
        <v>DANIELA ALEXANDRA CIPAMOCHA BOSIGA</v>
      </c>
      <c r="D7465" s="4" t="str">
        <f>IFERROR(VLOOKUP(A7465,'Base Prueba'!A:D,4,),"NO REGISTRA")</f>
        <v>LIDER DE DATOS Y SERVICIOS</v>
      </c>
      <c r="E7465" s="5" t="str">
        <f>IFERROR(VLOOKUP(A7465,'Base Prueba'!A:E,5,),"NO REGISTRA")</f>
        <v>OFICINA DE PLANEACION Y GESTION DE LA CALIDAD</v>
      </c>
    </row>
    <row r="7466" spans="1:5" ht="15.75" x14ac:dyDescent="0.25">
      <c r="A7466" s="14">
        <v>1000324729</v>
      </c>
      <c r="B7466" s="2">
        <v>46170.333904050924</v>
      </c>
      <c r="C7466" s="3" t="str">
        <f>IFERROR(VLOOKUP(A7466,'Base Prueba'!A:C,3,),"NO REGISTRA")</f>
        <v>ANYIE VANESSA TINOCO CAMACHO</v>
      </c>
      <c r="D7466" s="4" t="str">
        <f>IFERROR(VLOOKUP(A7466,'Base Prueba'!A:D,4,),"NO REGISTRA")</f>
        <v>LIDER DE REGISTRO Y CONTROL</v>
      </c>
      <c r="E7466" s="5" t="str">
        <f>IFERROR(VLOOKUP(A7466,'Base Prueba'!A:E,5,),"NO REGISTRA")</f>
        <v>REGISTRO Y CONTROL ACADEMICO</v>
      </c>
    </row>
    <row r="7467" spans="1:5" ht="15.75" x14ac:dyDescent="0.25">
      <c r="A7467" s="14">
        <v>1013098430</v>
      </c>
      <c r="B7467" s="2">
        <v>46170.334486111111</v>
      </c>
      <c r="C7467" s="3" t="str">
        <f>IFERROR(VLOOKUP(A7467,'Base Prueba'!A:C,3,),"NO REGISTRA")</f>
        <v>ANDRES FELIPE LOPEZ ROMERO</v>
      </c>
      <c r="D7467" s="4" t="str">
        <f>IFERROR(VLOOKUP(A7467,'Base Prueba'!A:D,4,),"NO REGISTRA")</f>
        <v>APRENDIZ UNIVERSITARIO</v>
      </c>
      <c r="E7467" s="5" t="str">
        <f>IFERROR(VLOOKUP(A7467,'Base Prueba'!A:E,5,),"NO REGISTRA")</f>
        <v>OFICINA DE MERCADEO</v>
      </c>
    </row>
    <row r="7468" spans="1:5" ht="15.75" x14ac:dyDescent="0.25">
      <c r="A7468" s="14">
        <v>1000604979</v>
      </c>
      <c r="B7468" s="2">
        <v>46170.334551504631</v>
      </c>
      <c r="C7468" s="3" t="str">
        <f>IFERROR(VLOOKUP(A7468,'Base Prueba'!A:C,3,),"NO REGISTRA")</f>
        <v>JULIETH TATIANA PARDO PINTO</v>
      </c>
      <c r="D7468" s="4" t="str">
        <f>IFERROR(VLOOKUP(A7468,'Base Prueba'!A:D,4,),"NO REGISTRA")</f>
        <v>AUXILIAR JURIDICO</v>
      </c>
      <c r="E7468" s="5" t="str">
        <f>IFERROR(VLOOKUP(A7468,'Base Prueba'!A:E,5,),"NO REGISTRA")</f>
        <v>SECRETARIA GENERAL</v>
      </c>
    </row>
    <row r="7469" spans="1:5" ht="15.75" x14ac:dyDescent="0.25">
      <c r="A7469" s="14">
        <v>1014196857</v>
      </c>
      <c r="B7469" s="2">
        <v>46170.34135949074</v>
      </c>
      <c r="C7469" s="3" t="str">
        <f>IFERROR(VLOOKUP(A7469,'Base Prueba'!A:C,3,),"NO REGISTRA")</f>
        <v>CARLOS ANDRES JIMENEZ PARDO</v>
      </c>
      <c r="D7469" s="4" t="str">
        <f>IFERROR(VLOOKUP(A7469,'Base Prueba'!A:D,4,),"NO REGISTRA")</f>
        <v>COORDINADOR DE MARKETING DIGITAL</v>
      </c>
      <c r="E7469" s="5" t="str">
        <f>IFERROR(VLOOKUP(A7469,'Base Prueba'!A:E,5,),"NO REGISTRA")</f>
        <v>OFICINA DE MERCADEO</v>
      </c>
    </row>
    <row r="7470" spans="1:5" ht="15.75" x14ac:dyDescent="0.25">
      <c r="A7470" s="14">
        <v>1023883232</v>
      </c>
      <c r="B7470" s="2">
        <v>46170.347119328704</v>
      </c>
      <c r="C7470" s="3" t="str">
        <f>IFERROR(VLOOKUP(A7470,'Base Prueba'!A:C,3,),"NO REGISTRA")</f>
        <v>MONICA ANDREA ACERO URBANO</v>
      </c>
      <c r="D7470" s="4" t="str">
        <f>IFERROR(VLOOKUP(A7470,'Base Prueba'!A:D,4,),"NO REGISTRA")</f>
        <v>APOYO INTEGRAL A GESTION HUMANA</v>
      </c>
      <c r="E7470" s="5" t="str">
        <f>IFERROR(VLOOKUP(A7470,'Base Prueba'!A:E,5,),"NO REGISTRA")</f>
        <v>DEPARTAMENTO DE GESTION HUMANA</v>
      </c>
    </row>
    <row r="7471" spans="1:5" ht="15.75" x14ac:dyDescent="0.25">
      <c r="A7471" s="14">
        <v>1193457976</v>
      </c>
      <c r="B7471" s="2">
        <v>46170.347212152781</v>
      </c>
      <c r="C7471" s="3" t="str">
        <f>IFERROR(VLOOKUP(A7471,'Base Prueba'!A:C,3,),"NO REGISTRA")</f>
        <v>SEDENIS RIVAS ASPRILLA</v>
      </c>
      <c r="D7471" s="4" t="str">
        <f>IFERROR(VLOOKUP(A7471,'Base Prueba'!A:D,4,),"NO REGISTRA")</f>
        <v>APRENDIZ UNIVERSITARIO</v>
      </c>
      <c r="E7471" s="5" t="str">
        <f>IFERROR(VLOOKUP(A7471,'Base Prueba'!A:E,5,),"NO REGISTRA")</f>
        <v>DEPARTAMENTO DE GESTION HUMANA</v>
      </c>
    </row>
    <row r="7472" spans="1:5" ht="15.75" x14ac:dyDescent="0.25">
      <c r="A7472" s="14">
        <v>80234243</v>
      </c>
      <c r="B7472" s="2">
        <v>46170.353366319447</v>
      </c>
      <c r="C7472" s="3" t="str">
        <f>IFERROR(VLOOKUP(A7472,'Base Prueba'!A:C,3,),"NO REGISTRA")</f>
        <v>ARGENIS MARTINEZ MARTINEZ</v>
      </c>
      <c r="D7472" s="4" t="str">
        <f>IFERROR(VLOOKUP(A7472,'Base Prueba'!A:D,4,),"NO REGISTRA")</f>
        <v>LIDER CALL CENTER</v>
      </c>
      <c r="E7472" s="5" t="str">
        <f>IFERROR(VLOOKUP(A7472,'Base Prueba'!A:E,5,),"NO REGISTRA")</f>
        <v>OFICINA DE MERCADEO</v>
      </c>
    </row>
    <row r="7473" spans="1:5" ht="15.75" x14ac:dyDescent="0.25">
      <c r="A7473" s="14">
        <v>1087121273</v>
      </c>
      <c r="B7473" s="2">
        <v>46170.357136921295</v>
      </c>
      <c r="C7473" s="3" t="str">
        <f>IFERROR(VLOOKUP(A7473,'Base Prueba'!A:C,3,),"NO REGISTRA")</f>
        <v>MAYRA ALEJANDRA CASTILLO ARBOLEDA</v>
      </c>
      <c r="D7473" s="4" t="str">
        <f>IFERROR(VLOOKUP(A7473,'Base Prueba'!A:D,4,),"NO REGISTRA")</f>
        <v>APOYO INTEGRAL DE MERCADEO</v>
      </c>
      <c r="E7473" s="5" t="str">
        <f>IFERROR(VLOOKUP(A7473,'Base Prueba'!A:E,5,),"NO REGISTRA")</f>
        <v>CENTRO DE GESTION DOCUMENTAL</v>
      </c>
    </row>
    <row r="7474" spans="1:5" ht="15.75" x14ac:dyDescent="0.25">
      <c r="A7474" s="14">
        <v>1014308296</v>
      </c>
      <c r="B7474" s="2">
        <v>46170.362650115741</v>
      </c>
      <c r="C7474" s="3" t="str">
        <f>IFERROR(VLOOKUP(A7474,'Base Prueba'!A:C,3,),"NO REGISTRA")</f>
        <v>DARLENE YULIANA MORENO CELEITA</v>
      </c>
      <c r="D7474" s="4" t="str">
        <f>IFERROR(VLOOKUP(A7474,'Base Prueba'!A:D,4,),"NO REGISTRA")</f>
        <v>CAJERO PRINCIPAL</v>
      </c>
      <c r="E7474" s="5" t="str">
        <f>IFERROR(VLOOKUP(A7474,'Base Prueba'!A:E,5,),"NO REGISTRA")</f>
        <v>AREA FINANCIERA Y CONTABLE</v>
      </c>
    </row>
    <row r="7475" spans="1:5" ht="15.75" x14ac:dyDescent="0.25">
      <c r="A7475" s="14">
        <v>1032407386</v>
      </c>
      <c r="B7475" s="2">
        <v>46170.365254282406</v>
      </c>
      <c r="C7475" s="3" t="str">
        <f>IFERROR(VLOOKUP(A7475,'Base Prueba'!A:C,3,),"NO REGISTRA")</f>
        <v>GINA PAOLA BAEZ GALVIS</v>
      </c>
      <c r="D7475" s="4" t="str">
        <f>IFERROR(VLOOKUP(A7475,'Base Prueba'!A:D,4,),"NO REGISTRA")</f>
        <v>PROMOTOR CALL CENTER</v>
      </c>
      <c r="E7475" s="5" t="str">
        <f>IFERROR(VLOOKUP(A7475,'Base Prueba'!A:E,5,),"NO REGISTRA")</f>
        <v>OFICINA DE MERCADEO</v>
      </c>
    </row>
    <row r="7476" spans="1:5" ht="15.75" x14ac:dyDescent="0.25">
      <c r="A7476" s="14">
        <v>1013101788</v>
      </c>
      <c r="B7476" s="2">
        <v>46170.365542361113</v>
      </c>
      <c r="C7476" s="3" t="str">
        <f>IFERROR(VLOOKUP(A7476,'Base Prueba'!A:C,3,),"NO REGISTRA")</f>
        <v>SARA TANGARIFE MONTOYA</v>
      </c>
      <c r="D7476" s="4" t="str">
        <f>IFERROR(VLOOKUP(A7476,'Base Prueba'!A:D,4,),"NO REGISTRA")</f>
        <v>APRENDIZ UNIVERSITARIO</v>
      </c>
      <c r="E7476" s="5" t="str">
        <f>IFERROR(VLOOKUP(A7476,'Base Prueba'!A:E,5,),"NO REGISTRA")</f>
        <v>OFICINA DE MERCADEO</v>
      </c>
    </row>
    <row r="7477" spans="1:5" ht="15.75" x14ac:dyDescent="0.25">
      <c r="A7477" s="14">
        <v>1018413529</v>
      </c>
      <c r="B7477" s="2">
        <v>46170.368524884259</v>
      </c>
      <c r="C7477" s="3" t="str">
        <f>IFERROR(VLOOKUP(A7477,'Base Prueba'!A:C,3,),"NO REGISTRA")</f>
        <v>FRANCY STELLA CHARRY MORENO</v>
      </c>
      <c r="D7477" s="4" t="str">
        <f>IFERROR(VLOOKUP(A7477,'Base Prueba'!A:D,4,),"NO REGISTRA")</f>
        <v>PROMOTOR COMERCIAL DEL CEA</v>
      </c>
      <c r="E7477" s="5" t="str">
        <f>IFERROR(VLOOKUP(A7477,'Base Prueba'!A:E,5,),"NO REGISTRA")</f>
        <v>OFICINA DE MERCADEO</v>
      </c>
    </row>
    <row r="7478" spans="1:5" ht="15.75" x14ac:dyDescent="0.25">
      <c r="A7478" s="14">
        <v>1016090131</v>
      </c>
      <c r="B7478" s="2">
        <v>46170.373294328703</v>
      </c>
      <c r="C7478" s="3" t="str">
        <f>IFERROR(VLOOKUP(A7478,'Base Prueba'!A:C,3,),"NO REGISTRA")</f>
        <v>NICOLAS RODRIGUEZ PACHECO</v>
      </c>
      <c r="D7478" s="4" t="str">
        <f>IFERROR(VLOOKUP(A7478,'Base Prueba'!A:D,4,),"NO REGISTRA")</f>
        <v>COORDINADOR DE COMUNICACIONES</v>
      </c>
      <c r="E7478" s="5" t="str">
        <f>IFERROR(VLOOKUP(A7478,'Base Prueba'!A:E,5,),"NO REGISTRA")</f>
        <v>OFICINA DE MERCADEO</v>
      </c>
    </row>
    <row r="7479" spans="1:5" ht="15.75" x14ac:dyDescent="0.25">
      <c r="A7479" s="14">
        <v>1012426741</v>
      </c>
      <c r="B7479" s="2">
        <v>46170.374586805556</v>
      </c>
      <c r="C7479" s="3" t="str">
        <f>IFERROR(VLOOKUP(A7479,'Base Prueba'!A:C,3,),"NO REGISTRA")</f>
        <v>CRISTIAN FABIAN ROJAS SANCENO</v>
      </c>
      <c r="D7479" s="4" t="str">
        <f>IFERROR(VLOOKUP(A7479,'Base Prueba'!A:D,4,),"NO REGISTRA")</f>
        <v>AUXILIAR DE REINTEGROS</v>
      </c>
      <c r="E7479" s="5" t="str">
        <f>IFERROR(VLOOKUP(A7479,'Base Prueba'!A:E,5,),"NO REGISTRA")</f>
        <v>DIRECCION DE BIENESTAR INSTITUCIONAL</v>
      </c>
    </row>
    <row r="7480" spans="1:5" ht="15.75" x14ac:dyDescent="0.25">
      <c r="A7480" s="14">
        <v>1023961952</v>
      </c>
      <c r="B7480" s="2">
        <v>46170.375128587963</v>
      </c>
      <c r="C7480" s="3" t="str">
        <f>IFERROR(VLOOKUP(A7480,'Base Prueba'!A:C,3,),"NO REGISTRA")</f>
        <v>ALEJANDRO PINZON MERCHAN</v>
      </c>
      <c r="D7480" s="4" t="str">
        <f>IFERROR(VLOOKUP(A7480,'Base Prueba'!A:D,4,),"NO REGISTRA")</f>
        <v>PROMOTOR CALL CENTER</v>
      </c>
      <c r="E7480" s="5" t="str">
        <f>IFERROR(VLOOKUP(A7480,'Base Prueba'!A:E,5,),"NO REGISTRA")</f>
        <v>OFICINA DE MERCADEO</v>
      </c>
    </row>
    <row r="7481" spans="1:5" ht="15.75" x14ac:dyDescent="0.25">
      <c r="A7481" s="14">
        <v>28798349</v>
      </c>
      <c r="B7481" s="2">
        <v>46170.375444675927</v>
      </c>
      <c r="C7481" s="3" t="str">
        <f>IFERROR(VLOOKUP(A7481,'Base Prueba'!A:C,3,),"NO REGISTRA")</f>
        <v>MARTHA ISABEL TOVAR WILLIAMS</v>
      </c>
      <c r="D7481" s="4" t="str">
        <f>IFERROR(VLOOKUP(A7481,'Base Prueba'!A:D,4,),"NO REGISTRA")</f>
        <v>PROMOTOR CALL CENTER</v>
      </c>
      <c r="E7481" s="5" t="str">
        <f>IFERROR(VLOOKUP(A7481,'Base Prueba'!A:E,5,),"NO REGISTRA")</f>
        <v>OFICINA DE MERCADEO</v>
      </c>
    </row>
    <row r="7482" spans="1:5" ht="15.75" x14ac:dyDescent="0.25">
      <c r="A7482" s="14">
        <v>52472386</v>
      </c>
      <c r="B7482" s="2">
        <v>46170.37546747685</v>
      </c>
      <c r="C7482" s="3" t="str">
        <f>IFERROR(VLOOKUP(A7482,'Base Prueba'!A:C,3,),"NO REGISTRA")</f>
        <v>ADRIANA MARCELA MORALES PARDO</v>
      </c>
      <c r="D7482" s="4" t="str">
        <f>IFERROR(VLOOKUP(A7482,'Base Prueba'!A:D,4,),"NO REGISTRA")</f>
        <v>PROMOTOR CALL CENTER</v>
      </c>
      <c r="E7482" s="5" t="str">
        <f>IFERROR(VLOOKUP(A7482,'Base Prueba'!A:E,5,),"NO REGISTRA")</f>
        <v>OFICINA DE MERCADEO</v>
      </c>
    </row>
    <row r="7483" spans="1:5" ht="15.75" x14ac:dyDescent="0.25">
      <c r="A7483" s="14">
        <v>52175674</v>
      </c>
      <c r="B7483" s="2">
        <v>46170.377683449071</v>
      </c>
      <c r="C7483" s="3" t="str">
        <f>IFERROR(VLOOKUP(A7483,'Base Prueba'!A:C,3,),"NO REGISTRA")</f>
        <v>LUZ YANETH GOMEZ AREVALO</v>
      </c>
      <c r="D7483" s="4" t="str">
        <f>IFERROR(VLOOKUP(A7483,'Base Prueba'!A:D,4,),"NO REGISTRA")</f>
        <v>COORDINADORA DE ADMISIONES</v>
      </c>
      <c r="E7483" s="5" t="str">
        <f>IFERROR(VLOOKUP(A7483,'Base Prueba'!A:E,5,),"NO REGISTRA")</f>
        <v>OFICINA DE MERCADEO</v>
      </c>
    </row>
    <row r="7484" spans="1:5" ht="15.75" x14ac:dyDescent="0.25">
      <c r="A7484" s="14">
        <v>1000046533</v>
      </c>
      <c r="B7484" s="2">
        <v>46170.377879282409</v>
      </c>
      <c r="C7484" s="3" t="str">
        <f>IFERROR(VLOOKUP(A7484,'Base Prueba'!A:C,3,),"NO REGISTRA")</f>
        <v>ERIKA JULIETH VALDERRAMA SANCHEZ</v>
      </c>
      <c r="D7484" s="4" t="str">
        <f>IFERROR(VLOOKUP(A7484,'Base Prueba'!A:D,4,),"NO REGISTRA")</f>
        <v>PROMOTOR CALL CENTER</v>
      </c>
      <c r="E7484" s="5" t="str">
        <f>IFERROR(VLOOKUP(A7484,'Base Prueba'!A:E,5,),"NO REGISTRA")</f>
        <v>OFICINA DE MERCADEO</v>
      </c>
    </row>
    <row r="7485" spans="1:5" ht="15.75" x14ac:dyDescent="0.25">
      <c r="A7485" s="14">
        <v>1018414290</v>
      </c>
      <c r="B7485" s="2">
        <v>46170.378188657407</v>
      </c>
      <c r="C7485" s="3" t="str">
        <f>IFERROR(VLOOKUP(A7485,'Base Prueba'!A:C,3,),"NO REGISTRA")</f>
        <v>AMANDA LISBETH RODRIGUEZ LEON</v>
      </c>
      <c r="D7485" s="4" t="str">
        <f>IFERROR(VLOOKUP(A7485,'Base Prueba'!A:D,4,),"NO REGISTRA")</f>
        <v>PROMOTOR CALL CENTER</v>
      </c>
      <c r="E7485" s="5" t="str">
        <f>IFERROR(VLOOKUP(A7485,'Base Prueba'!A:E,5,),"NO REGISTRA")</f>
        <v>OFICINA DE MERCADEO</v>
      </c>
    </row>
    <row r="7486" spans="1:5" ht="15.75" x14ac:dyDescent="0.25">
      <c r="A7486" s="14">
        <v>53089882</v>
      </c>
      <c r="B7486" s="2">
        <v>46170.379177314811</v>
      </c>
      <c r="C7486" s="3" t="str">
        <f>IFERROR(VLOOKUP(A7486,'Base Prueba'!A:C,3,),"NO REGISTRA")</f>
        <v>MARIA JOHANA ESCAMILLA MARTINEZ</v>
      </c>
      <c r="D7486" s="4" t="str">
        <f>IFERROR(VLOOKUP(A7486,'Base Prueba'!A:D,4,),"NO REGISTRA")</f>
        <v>PROMOTOR DE INFORMACIÓN</v>
      </c>
      <c r="E7486" s="5" t="str">
        <f>IFERROR(VLOOKUP(A7486,'Base Prueba'!A:E,5,),"NO REGISTRA")</f>
        <v>OFICINA DE MERCADEO</v>
      </c>
    </row>
    <row r="7487" spans="1:5" ht="15.75" x14ac:dyDescent="0.25">
      <c r="A7487" s="14">
        <v>53932358</v>
      </c>
      <c r="B7487" s="2">
        <v>46170.44021666667</v>
      </c>
      <c r="C7487" s="3" t="str">
        <f>IFERROR(VLOOKUP(A7487,'Base Prueba'!A:C,3,),"NO REGISTRA")</f>
        <v>DIANA MADELEYNE GAONA RODRIGUEZ</v>
      </c>
      <c r="D7487" s="4" t="str">
        <f>IFERROR(VLOOKUP(A7487,'Base Prueba'!A:D,4,),"NO REGISTRA")</f>
        <v>CONTADOR</v>
      </c>
      <c r="E7487" s="5" t="str">
        <f>IFERROR(VLOOKUP(A7487,'Base Prueba'!A:E,5,),"NO REGISTRA")</f>
        <v>AREA FINANCIERA Y CONTABLE</v>
      </c>
    </row>
    <row r="7488" spans="1:5" ht="15.75" x14ac:dyDescent="0.25">
      <c r="A7488" s="14">
        <v>52764929</v>
      </c>
      <c r="B7488" s="2">
        <v>46170.440542245371</v>
      </c>
      <c r="C7488" s="3" t="str">
        <f>IFERROR(VLOOKUP(A7488,'Base Prueba'!A:C,3,),"NO REGISTRA")</f>
        <v>GUERLY YOHANA DURAN RIVERA</v>
      </c>
      <c r="D7488" s="4" t="str">
        <f>IFERROR(VLOOKUP(A7488,'Base Prueba'!A:D,4,),"NO REGISTRA")</f>
        <v>LIDER DE VINCULACION COLEGIOS</v>
      </c>
      <c r="E7488" s="5" t="str">
        <f>IFERROR(VLOOKUP(A7488,'Base Prueba'!A:E,5,),"NO REGISTRA")</f>
        <v>OFICINA DE MERCADEO</v>
      </c>
    </row>
    <row r="7489" spans="1:5" ht="15.75" x14ac:dyDescent="0.25">
      <c r="A7489" s="14">
        <v>1014266838</v>
      </c>
      <c r="B7489" s="2">
        <v>46170.466034375</v>
      </c>
      <c r="C7489" s="3" t="str">
        <f>IFERROR(VLOOKUP(A7489,'Base Prueba'!A:C,3,),"NO REGISTRA")</f>
        <v>JENNIFER ASTRID ROMERO HURTADO</v>
      </c>
      <c r="D7489" s="4" t="str">
        <f>IFERROR(VLOOKUP(A7489,'Base Prueba'!A:D,4,),"NO REGISTRA")</f>
        <v>LIDER DE RECAUDO</v>
      </c>
      <c r="E7489" s="5" t="str">
        <f>IFERROR(VLOOKUP(A7489,'Base Prueba'!A:E,5,),"NO REGISTRA")</f>
        <v>AREA FINANCIERA Y CONTABLE</v>
      </c>
    </row>
    <row r="7490" spans="1:5" ht="15.75" x14ac:dyDescent="0.25">
      <c r="A7490" s="14">
        <v>1000324729</v>
      </c>
      <c r="B7490" s="2">
        <v>46170.486109606485</v>
      </c>
      <c r="C7490" s="3" t="str">
        <f>IFERROR(VLOOKUP(A7490,'Base Prueba'!A:C,3,),"NO REGISTRA")</f>
        <v>ANYIE VANESSA TINOCO CAMACHO</v>
      </c>
      <c r="D7490" s="4" t="str">
        <f>IFERROR(VLOOKUP(A7490,'Base Prueba'!A:D,4,),"NO REGISTRA")</f>
        <v>LIDER DE REGISTRO Y CONTROL</v>
      </c>
      <c r="E7490" s="5" t="str">
        <f>IFERROR(VLOOKUP(A7490,'Base Prueba'!A:E,5,),"NO REGISTRA")</f>
        <v>REGISTRO Y CONTROL ACADEMICO</v>
      </c>
    </row>
    <row r="7491" spans="1:5" ht="15.75" x14ac:dyDescent="0.25">
      <c r="A7491" s="14">
        <v>1019116766</v>
      </c>
      <c r="B7491" s="2">
        <v>46170.552694212965</v>
      </c>
      <c r="C7491" s="3" t="str">
        <f>IFERROR(VLOOKUP(A7491,'Base Prueba'!A:C,3,),"NO REGISTRA")</f>
        <v>IVAN FERNEY MONTOYA BOLAÑOS</v>
      </c>
      <c r="D7491" s="4" t="str">
        <f>IFERROR(VLOOKUP(A7491,'Base Prueba'!A:D,4,),"NO REGISTRA")</f>
        <v>DOCENTE DE TIEMPO COMPLETO</v>
      </c>
      <c r="E7491" s="5" t="str">
        <f>IFERROR(VLOOKUP(A7491,'Base Prueba'!A:E,5,),"NO REGISTRA")</f>
        <v>UNIVERSITARIO EN TURISMO Y GASTRONOMIA</v>
      </c>
    </row>
    <row r="7492" spans="1:5" ht="15.75" x14ac:dyDescent="0.25">
      <c r="A7492" s="14">
        <v>1000611958</v>
      </c>
      <c r="B7492" s="2">
        <v>46170.717414004626</v>
      </c>
      <c r="C7492" s="3" t="str">
        <f>IFERROR(VLOOKUP(A7492,'Base Prueba'!A:C,3,),"NO REGISTRA")</f>
        <v>TYLER CORRADINE  VARGAS</v>
      </c>
      <c r="D7492" s="4" t="str">
        <f>IFERROR(VLOOKUP(A7492,'Base Prueba'!A:D,4,),"NO REGISTRA")</f>
        <v>APRENDIZ UNIVERSITARIO</v>
      </c>
      <c r="E7492" s="5" t="str">
        <f>IFERROR(VLOOKUP(A7492,'Base Prueba'!A:E,5,),"NO REGISTRA")</f>
        <v>DEPARTAMENTO DE INFORMATICA Y TECNOLOGIA</v>
      </c>
    </row>
    <row r="7493" spans="1:5" ht="15.75" x14ac:dyDescent="0.25">
      <c r="A7493" s="14">
        <v>1015462891</v>
      </c>
      <c r="B7493" s="2">
        <v>46170.718796412039</v>
      </c>
      <c r="C7493" s="3" t="str">
        <f>IFERROR(VLOOKUP(A7493,'Base Prueba'!A:C,3,),"NO REGISTRA")</f>
        <v>EMMANUEL CAMARGO PERAZA</v>
      </c>
      <c r="D7493" s="4" t="str">
        <f>IFERROR(VLOOKUP(A7493,'Base Prueba'!A:D,4,),"NO REGISTRA")</f>
        <v>LIDER DE COMUNICACIONES</v>
      </c>
      <c r="E7493" s="5" t="str">
        <f>IFERROR(VLOOKUP(A7493,'Base Prueba'!A:E,5,),"NO REGISTRA")</f>
        <v>OFICINA DE MERCADEO</v>
      </c>
    </row>
    <row r="7494" spans="1:5" ht="15.75" x14ac:dyDescent="0.25">
      <c r="A7494" s="14">
        <v>1024512067</v>
      </c>
      <c r="B7494" s="2">
        <v>46170.723518055558</v>
      </c>
      <c r="C7494" s="3" t="str">
        <f>IFERROR(VLOOKUP(A7494,'Base Prueba'!A:C,3,),"NO REGISTRA")</f>
        <v>CINDY GIOVANA SALGAR GOMEZ</v>
      </c>
      <c r="D7494" s="4" t="str">
        <f>IFERROR(VLOOKUP(A7494,'Base Prueba'!A:D,4,),"NO REGISTRA")</f>
        <v>COORDINADOR DEL SISTEMA INTEGRADO DE GESTION INSTITUCIONAL - SIGI</v>
      </c>
      <c r="E7494" s="5" t="str">
        <f>IFERROR(VLOOKUP(A7494,'Base Prueba'!A:E,5,),"NO REGISTRA")</f>
        <v>OFICINA DE PLANEACION Y GESTION DE LA CALIDAD</v>
      </c>
    </row>
    <row r="7495" spans="1:5" ht="15.75" x14ac:dyDescent="0.25">
      <c r="A7495" s="14">
        <v>1013616244</v>
      </c>
      <c r="B7495" s="2">
        <v>46170.747955902778</v>
      </c>
      <c r="C7495" s="3" t="str">
        <f>IFERROR(VLOOKUP(A7495,'Base Prueba'!A:C,3,),"NO REGISTRA")</f>
        <v>DIANA CAROLINA MARIN BETANCOURT</v>
      </c>
      <c r="D7495" s="4" t="str">
        <f>IFERROR(VLOOKUP(A7495,'Base Prueba'!A:D,4,),"NO REGISTRA")</f>
        <v>AUXILIAR ADMINISTRATIVO</v>
      </c>
      <c r="E7495" s="5" t="str">
        <f>IFERROR(VLOOKUP(A7495,'Base Prueba'!A:E,5,),"NO REGISTRA")</f>
        <v>REGISTRO Y CONTROL ACADEMICO</v>
      </c>
    </row>
    <row r="7496" spans="1:5" ht="15.75" x14ac:dyDescent="0.25">
      <c r="A7496" s="14">
        <v>1012426741</v>
      </c>
      <c r="B7496" s="2">
        <v>46170.749571180553</v>
      </c>
      <c r="C7496" s="3" t="str">
        <f>IFERROR(VLOOKUP(A7496,'Base Prueba'!A:C,3,),"NO REGISTRA")</f>
        <v>CRISTIAN FABIAN ROJAS SANCENO</v>
      </c>
      <c r="D7496" s="4" t="str">
        <f>IFERROR(VLOOKUP(A7496,'Base Prueba'!A:D,4,),"NO REGISTRA")</f>
        <v>AUXILIAR DE REINTEGROS</v>
      </c>
      <c r="E7496" s="5" t="str">
        <f>IFERROR(VLOOKUP(A7496,'Base Prueba'!A:E,5,),"NO REGISTRA")</f>
        <v>DIRECCION DE BIENESTAR INSTITUCIONAL</v>
      </c>
    </row>
    <row r="7497" spans="1:5" ht="15.75" x14ac:dyDescent="0.25">
      <c r="A7497" s="14">
        <v>1000604979</v>
      </c>
      <c r="B7497" s="2">
        <v>46170.749843287034</v>
      </c>
      <c r="C7497" s="3" t="str">
        <f>IFERROR(VLOOKUP(A7497,'Base Prueba'!A:C,3,),"NO REGISTRA")</f>
        <v>JULIETH TATIANA PARDO PINTO</v>
      </c>
      <c r="D7497" s="4" t="str">
        <f>IFERROR(VLOOKUP(A7497,'Base Prueba'!A:D,4,),"NO REGISTRA")</f>
        <v>AUXILIAR JURIDICO</v>
      </c>
      <c r="E7497" s="5" t="str">
        <f>IFERROR(VLOOKUP(A7497,'Base Prueba'!A:E,5,),"NO REGISTRA")</f>
        <v>SECRETARIA GENERAL</v>
      </c>
    </row>
    <row r="7498" spans="1:5" ht="15.75" x14ac:dyDescent="0.25">
      <c r="A7498" s="14">
        <v>1000604979</v>
      </c>
      <c r="B7498" s="2">
        <v>46170.749847222221</v>
      </c>
      <c r="C7498" s="3" t="str">
        <f>IFERROR(VLOOKUP(A7498,'Base Prueba'!A:C,3,),"NO REGISTRA")</f>
        <v>JULIETH TATIANA PARDO PINTO</v>
      </c>
      <c r="D7498" s="4" t="str">
        <f>IFERROR(VLOOKUP(A7498,'Base Prueba'!A:D,4,),"NO REGISTRA")</f>
        <v>AUXILIAR JURIDICO</v>
      </c>
      <c r="E7498" s="5" t="str">
        <f>IFERROR(VLOOKUP(A7498,'Base Prueba'!A:E,5,),"NO REGISTRA")</f>
        <v>SECRETARIA GENERAL</v>
      </c>
    </row>
    <row r="7499" spans="1:5" ht="15.75" x14ac:dyDescent="0.25">
      <c r="A7499" s="14">
        <v>1000992568</v>
      </c>
      <c r="B7499" s="2">
        <v>46170.751187731483</v>
      </c>
      <c r="C7499" s="3" t="str">
        <f>IFERROR(VLOOKUP(A7499,'Base Prueba'!A:C,3,),"NO REGISTRA")</f>
        <v>KAREN BRIGITTE DALEMAN MORENO</v>
      </c>
      <c r="D7499" s="4" t="str">
        <f>IFERROR(VLOOKUP(A7499,'Base Prueba'!A:D,4,),"NO REGISTRA")</f>
        <v>RECEPCIONISTA</v>
      </c>
      <c r="E7499" s="5" t="str">
        <f>IFERROR(VLOOKUP(A7499,'Base Prueba'!A:E,5,),"NO REGISTRA")</f>
        <v>CENTRO DE GESTION DOCUMENTAL</v>
      </c>
    </row>
    <row r="7500" spans="1:5" ht="15.75" x14ac:dyDescent="0.25">
      <c r="A7500" s="14">
        <v>1014266838</v>
      </c>
      <c r="B7500" s="2">
        <v>46170.751607175924</v>
      </c>
      <c r="C7500" s="3" t="str">
        <f>IFERROR(VLOOKUP(A7500,'Base Prueba'!A:C,3,),"NO REGISTRA")</f>
        <v>JENNIFER ASTRID ROMERO HURTADO</v>
      </c>
      <c r="D7500" s="4" t="str">
        <f>IFERROR(VLOOKUP(A7500,'Base Prueba'!A:D,4,),"NO REGISTRA")</f>
        <v>LIDER DE RECAUDO</v>
      </c>
      <c r="E7500" s="5" t="str">
        <f>IFERROR(VLOOKUP(A7500,'Base Prueba'!A:E,5,),"NO REGISTRA")</f>
        <v>AREA FINANCIERA Y CONTABLE</v>
      </c>
    </row>
    <row r="7501" spans="1:5" ht="15.75" x14ac:dyDescent="0.25">
      <c r="A7501" s="14">
        <v>1049644802</v>
      </c>
      <c r="B7501" s="2">
        <v>46170.751625694444</v>
      </c>
      <c r="C7501" s="3" t="str">
        <f>IFERROR(VLOOKUP(A7501,'Base Prueba'!A:C,3,),"NO REGISTRA")</f>
        <v>DANIELA ALEXANDRA CIPAMOCHA BOSIGA</v>
      </c>
      <c r="D7501" s="4" t="str">
        <f>IFERROR(VLOOKUP(A7501,'Base Prueba'!A:D,4,),"NO REGISTRA")</f>
        <v>LIDER DE DATOS Y SERVICIOS</v>
      </c>
      <c r="E7501" s="5" t="str">
        <f>IFERROR(VLOOKUP(A7501,'Base Prueba'!A:E,5,),"NO REGISTRA")</f>
        <v>OFICINA DE PLANEACION Y GESTION DE LA CALIDAD</v>
      </c>
    </row>
    <row r="7502" spans="1:5" ht="15.75" x14ac:dyDescent="0.25">
      <c r="A7502" s="14">
        <v>1193457976</v>
      </c>
      <c r="B7502" s="2">
        <v>46170.751694328705</v>
      </c>
      <c r="C7502" s="3" t="str">
        <f>IFERROR(VLOOKUP(A7502,'Base Prueba'!A:C,3,),"NO REGISTRA")</f>
        <v>SEDENIS RIVAS ASPRILLA</v>
      </c>
      <c r="D7502" s="4" t="str">
        <f>IFERROR(VLOOKUP(A7502,'Base Prueba'!A:D,4,),"NO REGISTRA")</f>
        <v>APRENDIZ UNIVERSITARIO</v>
      </c>
      <c r="E7502" s="5" t="str">
        <f>IFERROR(VLOOKUP(A7502,'Base Prueba'!A:E,5,),"NO REGISTRA")</f>
        <v>DEPARTAMENTO DE GESTION HUMANA</v>
      </c>
    </row>
    <row r="7503" spans="1:5" ht="15.75" x14ac:dyDescent="0.25">
      <c r="A7503" s="14">
        <v>1023883232</v>
      </c>
      <c r="B7503" s="2">
        <v>46170.752705555555</v>
      </c>
      <c r="C7503" s="3" t="str">
        <f>IFERROR(VLOOKUP(A7503,'Base Prueba'!A:C,3,),"NO REGISTRA")</f>
        <v>MONICA ANDREA ACERO URBANO</v>
      </c>
      <c r="D7503" s="4" t="str">
        <f>IFERROR(VLOOKUP(A7503,'Base Prueba'!A:D,4,),"NO REGISTRA")</f>
        <v>APOYO INTEGRAL A GESTION HUMANA</v>
      </c>
      <c r="E7503" s="5" t="str">
        <f>IFERROR(VLOOKUP(A7503,'Base Prueba'!A:E,5,),"NO REGISTRA")</f>
        <v>DEPARTAMENTO DE GESTION HUMANA</v>
      </c>
    </row>
    <row r="7504" spans="1:5" ht="15.75" x14ac:dyDescent="0.25">
      <c r="A7504" s="14">
        <v>1087121273</v>
      </c>
      <c r="B7504" s="2">
        <v>46170.757207060182</v>
      </c>
      <c r="C7504" s="3" t="str">
        <f>IFERROR(VLOOKUP(A7504,'Base Prueba'!A:C,3,),"NO REGISTRA")</f>
        <v>MAYRA ALEJANDRA CASTILLO ARBOLEDA</v>
      </c>
      <c r="D7504" s="4" t="str">
        <f>IFERROR(VLOOKUP(A7504,'Base Prueba'!A:D,4,),"NO REGISTRA")</f>
        <v>APOYO INTEGRAL DE MERCADEO</v>
      </c>
      <c r="E7504" s="5" t="str">
        <f>IFERROR(VLOOKUP(A7504,'Base Prueba'!A:E,5,),"NO REGISTRA")</f>
        <v>CENTRO DE GESTION DOCUMENTAL</v>
      </c>
    </row>
    <row r="7505" spans="1:5" ht="15.75" x14ac:dyDescent="0.25">
      <c r="A7505" s="14">
        <v>1013098430</v>
      </c>
      <c r="B7505" s="2">
        <v>46170.757294907409</v>
      </c>
      <c r="C7505" s="3" t="str">
        <f>IFERROR(VLOOKUP(A7505,'Base Prueba'!A:C,3,),"NO REGISTRA")</f>
        <v>ANDRES FELIPE LOPEZ ROMERO</v>
      </c>
      <c r="D7505" s="4" t="str">
        <f>IFERROR(VLOOKUP(A7505,'Base Prueba'!A:D,4,),"NO REGISTRA")</f>
        <v>APRENDIZ UNIVERSITARIO</v>
      </c>
      <c r="E7505" s="5" t="str">
        <f>IFERROR(VLOOKUP(A7505,'Base Prueba'!A:E,5,),"NO REGISTRA")</f>
        <v>OFICINA DE MERCADEO</v>
      </c>
    </row>
    <row r="7506" spans="1:5" ht="15.75" x14ac:dyDescent="0.25">
      <c r="A7506" s="14">
        <v>1013101788</v>
      </c>
      <c r="B7506" s="2">
        <v>46170.757317824071</v>
      </c>
      <c r="C7506" s="3" t="str">
        <f>IFERROR(VLOOKUP(A7506,'Base Prueba'!A:C,3,),"NO REGISTRA")</f>
        <v>SARA TANGARIFE MONTOYA</v>
      </c>
      <c r="D7506" s="4" t="str">
        <f>IFERROR(VLOOKUP(A7506,'Base Prueba'!A:D,4,),"NO REGISTRA")</f>
        <v>APRENDIZ UNIVERSITARIO</v>
      </c>
      <c r="E7506" s="5" t="str">
        <f>IFERROR(VLOOKUP(A7506,'Base Prueba'!A:E,5,),"NO REGISTRA")</f>
        <v>OFICINA DE MERCADEO</v>
      </c>
    </row>
    <row r="7507" spans="1:5" ht="15.75" x14ac:dyDescent="0.25">
      <c r="A7507" s="14">
        <v>1019105003</v>
      </c>
      <c r="B7507" s="2">
        <v>46170.757553124997</v>
      </c>
      <c r="C7507" s="3" t="str">
        <f>IFERROR(VLOOKUP(A7507,'Base Prueba'!A:C,3,),"NO REGISTRA")</f>
        <v>DAISY JULIETH GASPAR MORENO</v>
      </c>
      <c r="D7507" s="4" t="str">
        <f>IFERROR(VLOOKUP(A7507,'Base Prueba'!A:D,4,),"NO REGISTRA")</f>
        <v>PROMOTOR CALL CENTER</v>
      </c>
      <c r="E7507" s="5" t="str">
        <f>IFERROR(VLOOKUP(A7507,'Base Prueba'!A:E,5,),"NO REGISTRA")</f>
        <v>OFICINA DE MERCADEO</v>
      </c>
    </row>
    <row r="7508" spans="1:5" ht="15.75" x14ac:dyDescent="0.25">
      <c r="A7508" s="14">
        <v>1032410833</v>
      </c>
      <c r="B7508" s="2">
        <v>46170.758379513885</v>
      </c>
      <c r="C7508" s="3" t="str">
        <f>IFERROR(VLOOKUP(A7508,'Base Prueba'!A:C,3,),"NO REGISTRA")</f>
        <v>DIANA PAOLA MONTAÑEZ GONZALEZ</v>
      </c>
      <c r="D7508" s="4" t="str">
        <f>IFERROR(VLOOKUP(A7508,'Base Prueba'!A:D,4,),"NO REGISTRA")</f>
        <v>APRENDIZ UNIVERSITARIO</v>
      </c>
      <c r="E7508" s="5" t="str">
        <f>IFERROR(VLOOKUP(A7508,'Base Prueba'!A:E,5,),"NO REGISTRA")</f>
        <v>AREA FINANCIERA Y CONTABLE</v>
      </c>
    </row>
    <row r="7509" spans="1:5" ht="15.75" x14ac:dyDescent="0.25">
      <c r="A7509" s="14">
        <v>28798349</v>
      </c>
      <c r="B7509" s="2">
        <v>46170.759393171298</v>
      </c>
      <c r="C7509" s="3" t="str">
        <f>IFERROR(VLOOKUP(A7509,'Base Prueba'!A:C,3,),"NO REGISTRA")</f>
        <v>MARTHA ISABEL TOVAR WILLIAMS</v>
      </c>
      <c r="D7509" s="4" t="str">
        <f>IFERROR(VLOOKUP(A7509,'Base Prueba'!A:D,4,),"NO REGISTRA")</f>
        <v>PROMOTOR CALL CENTER</v>
      </c>
      <c r="E7509" s="5" t="str">
        <f>IFERROR(VLOOKUP(A7509,'Base Prueba'!A:E,5,),"NO REGISTRA")</f>
        <v>OFICINA DE MERCADEO</v>
      </c>
    </row>
    <row r="7510" spans="1:5" ht="15.75" x14ac:dyDescent="0.25">
      <c r="A7510" s="14">
        <v>1090524989</v>
      </c>
      <c r="B7510" s="2">
        <v>46170.760487037034</v>
      </c>
      <c r="C7510" s="3" t="str">
        <f>IFERROR(VLOOKUP(A7510,'Base Prueba'!A:C,3,),"NO REGISTRA")</f>
        <v>JOHANA CECILIA ARAQUE ZULETA</v>
      </c>
      <c r="D7510" s="4" t="str">
        <f>IFERROR(VLOOKUP(A7510,'Base Prueba'!A:D,4,),"NO REGISTRA")</f>
        <v>COORDINADORA JURIDICA</v>
      </c>
      <c r="E7510" s="5" t="str">
        <f>IFERROR(VLOOKUP(A7510,'Base Prueba'!A:E,5,),"NO REGISTRA")</f>
        <v>SECRETARIA GENERAL</v>
      </c>
    </row>
    <row r="7511" spans="1:5" ht="15.75" x14ac:dyDescent="0.25">
      <c r="A7511" s="14">
        <v>1000046533</v>
      </c>
      <c r="B7511" s="2">
        <v>46170.760923726855</v>
      </c>
      <c r="C7511" s="3" t="str">
        <f>IFERROR(VLOOKUP(A7511,'Base Prueba'!A:C,3,),"NO REGISTRA")</f>
        <v>ERIKA JULIETH VALDERRAMA SANCHEZ</v>
      </c>
      <c r="D7511" s="4" t="str">
        <f>IFERROR(VLOOKUP(A7511,'Base Prueba'!A:D,4,),"NO REGISTRA")</f>
        <v>PROMOTOR CALL CENTER</v>
      </c>
      <c r="E7511" s="5" t="str">
        <f>IFERROR(VLOOKUP(A7511,'Base Prueba'!A:E,5,),"NO REGISTRA")</f>
        <v>OFICINA DE MERCADEO</v>
      </c>
    </row>
    <row r="7512" spans="1:5" ht="15.75" x14ac:dyDescent="0.25">
      <c r="A7512" s="14">
        <v>1023961952</v>
      </c>
      <c r="B7512" s="2">
        <v>46170.760983217595</v>
      </c>
      <c r="C7512" s="3" t="str">
        <f>IFERROR(VLOOKUP(A7512,'Base Prueba'!A:C,3,),"NO REGISTRA")</f>
        <v>ALEJANDRO PINZON MERCHAN</v>
      </c>
      <c r="D7512" s="4" t="str">
        <f>IFERROR(VLOOKUP(A7512,'Base Prueba'!A:D,4,),"NO REGISTRA")</f>
        <v>PROMOTOR CALL CENTER</v>
      </c>
      <c r="E7512" s="5" t="str">
        <f>IFERROR(VLOOKUP(A7512,'Base Prueba'!A:E,5,),"NO REGISTRA")</f>
        <v>OFICINA DE MERCADEO</v>
      </c>
    </row>
    <row r="7513" spans="1:5" ht="15.75" x14ac:dyDescent="0.25">
      <c r="A7513" s="14">
        <v>1018414290</v>
      </c>
      <c r="B7513" s="2">
        <v>46170.761028356479</v>
      </c>
      <c r="C7513" s="3" t="str">
        <f>IFERROR(VLOOKUP(A7513,'Base Prueba'!A:C,3,),"NO REGISTRA")</f>
        <v>AMANDA LISBETH RODRIGUEZ LEON</v>
      </c>
      <c r="D7513" s="4" t="str">
        <f>IFERROR(VLOOKUP(A7513,'Base Prueba'!A:D,4,),"NO REGISTRA")</f>
        <v>PROMOTOR CALL CENTER</v>
      </c>
      <c r="E7513" s="5" t="str">
        <f>IFERROR(VLOOKUP(A7513,'Base Prueba'!A:E,5,),"NO REGISTRA")</f>
        <v>OFICINA DE MERCADEO</v>
      </c>
    </row>
    <row r="7514" spans="1:5" ht="15.75" x14ac:dyDescent="0.25">
      <c r="A7514" s="14">
        <v>1000257136</v>
      </c>
      <c r="B7514" s="2">
        <v>46170.767996527778</v>
      </c>
      <c r="C7514" s="3" t="str">
        <f>IFERROR(VLOOKUP(A7514,'Base Prueba'!A:C,3,),"NO REGISTRA")</f>
        <v>FRANCI VALENTINA CANO PUENTES</v>
      </c>
      <c r="D7514" s="4" t="str">
        <f>IFERROR(VLOOKUP(A7514,'Base Prueba'!A:D,4,),"NO REGISTRA")</f>
        <v>AUXILIAR CONTABLE</v>
      </c>
      <c r="E7514" s="5" t="str">
        <f>IFERROR(VLOOKUP(A7514,'Base Prueba'!A:E,5,),"NO REGISTRA")</f>
        <v>AREA FINANCIERA Y CONTABLE</v>
      </c>
    </row>
    <row r="7515" spans="1:5" ht="15.75" x14ac:dyDescent="0.25">
      <c r="A7515" s="14">
        <v>53932358</v>
      </c>
      <c r="B7515" s="2">
        <v>46170.769303703702</v>
      </c>
      <c r="C7515" s="3" t="str">
        <f>IFERROR(VLOOKUP(A7515,'Base Prueba'!A:C,3,),"NO REGISTRA")</f>
        <v>DIANA MADELEYNE GAONA RODRIGUEZ</v>
      </c>
      <c r="D7515" s="4" t="str">
        <f>IFERROR(VLOOKUP(A7515,'Base Prueba'!A:D,4,),"NO REGISTRA")</f>
        <v>CONTADOR</v>
      </c>
      <c r="E7515" s="5" t="str">
        <f>IFERROR(VLOOKUP(A7515,'Base Prueba'!A:E,5,),"NO REGISTRA")</f>
        <v>AREA FINANCIERA Y CONTABLE</v>
      </c>
    </row>
    <row r="7516" spans="1:5" ht="15.75" x14ac:dyDescent="0.25">
      <c r="A7516" s="14">
        <v>1032407386</v>
      </c>
      <c r="B7516" s="2">
        <v>46170.770559259261</v>
      </c>
      <c r="C7516" s="3" t="str">
        <f>IFERROR(VLOOKUP(A7516,'Base Prueba'!A:C,3,),"NO REGISTRA")</f>
        <v>GINA PAOLA BAEZ GALVIS</v>
      </c>
      <c r="D7516" s="4" t="str">
        <f>IFERROR(VLOOKUP(A7516,'Base Prueba'!A:D,4,),"NO REGISTRA")</f>
        <v>PROMOTOR CALL CENTER</v>
      </c>
      <c r="E7516" s="5" t="str">
        <f>IFERROR(VLOOKUP(A7516,'Base Prueba'!A:E,5,),"NO REGISTRA")</f>
        <v>OFICINA DE MERCADEO</v>
      </c>
    </row>
    <row r="7517" spans="1:5" ht="15.75" x14ac:dyDescent="0.25">
      <c r="A7517" s="14">
        <v>80234243</v>
      </c>
      <c r="B7517" s="2">
        <v>46170.77226863426</v>
      </c>
      <c r="C7517" s="3" t="str">
        <f>IFERROR(VLOOKUP(A7517,'Base Prueba'!A:C,3,),"NO REGISTRA")</f>
        <v>ARGENIS MARTINEZ MARTINEZ</v>
      </c>
      <c r="D7517" s="4" t="str">
        <f>IFERROR(VLOOKUP(A7517,'Base Prueba'!A:D,4,),"NO REGISTRA")</f>
        <v>LIDER CALL CENTER</v>
      </c>
      <c r="E7517" s="5" t="str">
        <f>IFERROR(VLOOKUP(A7517,'Base Prueba'!A:E,5,),"NO REGISTRA")</f>
        <v>OFICINA DE MERCADEO</v>
      </c>
    </row>
    <row r="7518" spans="1:5" ht="15.75" x14ac:dyDescent="0.25">
      <c r="A7518" s="14">
        <v>52175674</v>
      </c>
      <c r="B7518" s="2">
        <v>46170.774275347219</v>
      </c>
      <c r="C7518" s="3" t="str">
        <f>IFERROR(VLOOKUP(A7518,'Base Prueba'!A:C,3,),"NO REGISTRA")</f>
        <v>LUZ YANETH GOMEZ AREVALO</v>
      </c>
      <c r="D7518" s="4" t="str">
        <f>IFERROR(VLOOKUP(A7518,'Base Prueba'!A:D,4,),"NO REGISTRA")</f>
        <v>COORDINADORA DE ADMISIONES</v>
      </c>
      <c r="E7518" s="5" t="str">
        <f>IFERROR(VLOOKUP(A7518,'Base Prueba'!A:E,5,),"NO REGISTRA")</f>
        <v>OFICINA DE MERCADEO</v>
      </c>
    </row>
    <row r="7519" spans="1:5" ht="15.75" x14ac:dyDescent="0.25">
      <c r="A7519" s="14">
        <v>1014308296</v>
      </c>
      <c r="B7519" s="2">
        <v>46170.776057523151</v>
      </c>
      <c r="C7519" s="3" t="str">
        <f>IFERROR(VLOOKUP(A7519,'Base Prueba'!A:C,3,),"NO REGISTRA")</f>
        <v>DARLENE YULIANA MORENO CELEITA</v>
      </c>
      <c r="D7519" s="4" t="str">
        <f>IFERROR(VLOOKUP(A7519,'Base Prueba'!A:D,4,),"NO REGISTRA")</f>
        <v>CAJERO PRINCIPAL</v>
      </c>
      <c r="E7519" s="5" t="str">
        <f>IFERROR(VLOOKUP(A7519,'Base Prueba'!A:E,5,),"NO REGISTRA")</f>
        <v>AREA FINANCIERA Y CONTABLE</v>
      </c>
    </row>
    <row r="7520" spans="1:5" ht="15.75" x14ac:dyDescent="0.25">
      <c r="A7520" s="14">
        <v>1018413529</v>
      </c>
      <c r="B7520" s="2">
        <v>46170.777693055556</v>
      </c>
      <c r="C7520" s="3" t="str">
        <f>IFERROR(VLOOKUP(A7520,'Base Prueba'!A:C,3,),"NO REGISTRA")</f>
        <v>FRANCY STELLA CHARRY MORENO</v>
      </c>
      <c r="D7520" s="4" t="str">
        <f>IFERROR(VLOOKUP(A7520,'Base Prueba'!A:D,4,),"NO REGISTRA")</f>
        <v>PROMOTOR COMERCIAL DEL CEA</v>
      </c>
      <c r="E7520" s="5" t="str">
        <f>IFERROR(VLOOKUP(A7520,'Base Prueba'!A:E,5,),"NO REGISTRA")</f>
        <v>OFICINA DE MERCADEO</v>
      </c>
    </row>
    <row r="7521" spans="1:5" ht="15.75" x14ac:dyDescent="0.25">
      <c r="A7521" s="14">
        <v>53089882</v>
      </c>
      <c r="B7521" s="2">
        <v>46170.777881365742</v>
      </c>
      <c r="C7521" s="3" t="str">
        <f>IFERROR(VLOOKUP(A7521,'Base Prueba'!A:C,3,),"NO REGISTRA")</f>
        <v>MARIA JOHANA ESCAMILLA MARTINEZ</v>
      </c>
      <c r="D7521" s="4" t="str">
        <f>IFERROR(VLOOKUP(A7521,'Base Prueba'!A:D,4,),"NO REGISTRA")</f>
        <v>PROMOTOR DE INFORMACIÓN</v>
      </c>
      <c r="E7521" s="5" t="str">
        <f>IFERROR(VLOOKUP(A7521,'Base Prueba'!A:E,5,),"NO REGISTRA")</f>
        <v>OFICINA DE MERCADEO</v>
      </c>
    </row>
    <row r="7522" spans="1:5" ht="15.75" x14ac:dyDescent="0.25">
      <c r="A7522" s="14">
        <v>52474489</v>
      </c>
      <c r="B7522" s="2">
        <v>46170.780605208332</v>
      </c>
      <c r="C7522" s="3" t="str">
        <f>IFERROR(VLOOKUP(A7522,'Base Prueba'!A:C,3,),"NO REGISTRA")</f>
        <v>ADRIANA JIMENA SOTO BOCANEGRA</v>
      </c>
      <c r="D7522" s="4" t="str">
        <f>IFERROR(VLOOKUP(A7522,'Base Prueba'!A:D,4,),"NO REGISTRA")</f>
        <v>COORDINADOR DE LA OFICINA DE REGISTRO Y CONTROL</v>
      </c>
      <c r="E7522" s="5" t="str">
        <f>IFERROR(VLOOKUP(A7522,'Base Prueba'!A:E,5,),"NO REGISTRA")</f>
        <v>REGISTRO Y CONTROL ACADEMICO</v>
      </c>
    </row>
    <row r="7523" spans="1:5" ht="15.75" x14ac:dyDescent="0.25">
      <c r="A7523" s="14">
        <v>1014196857</v>
      </c>
      <c r="B7523" s="2">
        <v>46170.810354050926</v>
      </c>
      <c r="C7523" s="3" t="str">
        <f>IFERROR(VLOOKUP(A7523,'Base Prueba'!A:C,3,),"NO REGISTRA")</f>
        <v>CARLOS ANDRES JIMENEZ PARDO</v>
      </c>
      <c r="D7523" s="4" t="str">
        <f>IFERROR(VLOOKUP(A7523,'Base Prueba'!A:D,4,),"NO REGISTRA")</f>
        <v>COORDINADOR DE MARKETING DIGITAL</v>
      </c>
      <c r="E7523" s="5" t="str">
        <f>IFERROR(VLOOKUP(A7523,'Base Prueba'!A:E,5,),"NO REGISTRA")</f>
        <v>OFICINA DE MERCADEO</v>
      </c>
    </row>
    <row r="7524" spans="1:5" ht="15.75" x14ac:dyDescent="0.25">
      <c r="A7524" s="14">
        <v>52472386</v>
      </c>
      <c r="B7524" s="2">
        <v>46170.832610648147</v>
      </c>
      <c r="C7524" s="3" t="str">
        <f>IFERROR(VLOOKUP(A7524,'Base Prueba'!A:C,3,),"NO REGISTRA")</f>
        <v>ADRIANA MARCELA MORALES PARDO</v>
      </c>
      <c r="D7524" s="4" t="str">
        <f>IFERROR(VLOOKUP(A7524,'Base Prueba'!A:D,4,),"NO REGISTRA")</f>
        <v>PROMOTOR CALL CENTER</v>
      </c>
      <c r="E7524" s="5" t="str">
        <f>IFERROR(VLOOKUP(A7524,'Base Prueba'!A:E,5,),"NO REGISTRA")</f>
        <v>OFICINA DE MERCADEO</v>
      </c>
    </row>
    <row r="7525" spans="1:5" ht="15.75" x14ac:dyDescent="0.25">
      <c r="A7525" s="14">
        <v>52443092</v>
      </c>
      <c r="B7525" s="2">
        <v>46170.867940625001</v>
      </c>
      <c r="C7525" s="3" t="str">
        <f>IFERROR(VLOOKUP(A7525,'Base Prueba'!A:C,3,),"NO REGISTRA")</f>
        <v>LUZ MYRIAM SAAVEDRA CONTRERAS</v>
      </c>
      <c r="D7525" s="4" t="str">
        <f>IFERROR(VLOOKUP(A7525,'Base Prueba'!A:D,4,),"NO REGISTRA")</f>
        <v>AUXILIAR DE SERVICIOS</v>
      </c>
      <c r="E7525" s="5" t="str">
        <f>IFERROR(VLOOKUP(A7525,'Base Prueba'!A:E,5,),"NO REGISTRA")</f>
        <v>LOGISTICA Y SERVICIOS GENERALES</v>
      </c>
    </row>
    <row r="7526" spans="1:5" ht="15.75" x14ac:dyDescent="0.25">
      <c r="A7526" s="14">
        <v>1000992568</v>
      </c>
      <c r="B7526" s="2">
        <v>46171.313154629628</v>
      </c>
      <c r="C7526" s="3" t="str">
        <f>IFERROR(VLOOKUP(A7526,'Base Prueba'!A:C,3,),"NO REGISTRA")</f>
        <v>KAREN BRIGITTE DALEMAN MORENO</v>
      </c>
      <c r="D7526" s="4" t="str">
        <f>IFERROR(VLOOKUP(A7526,'Base Prueba'!A:D,4,),"NO REGISTRA")</f>
        <v>RECEPCIONISTA</v>
      </c>
      <c r="E7526" s="5" t="str">
        <f>IFERROR(VLOOKUP(A7526,'Base Prueba'!A:E,5,),"NO REGISTRA")</f>
        <v>CENTRO DE GESTION DOCUMENTAL</v>
      </c>
    </row>
    <row r="7527" spans="1:5" ht="15.75" x14ac:dyDescent="0.25">
      <c r="A7527" s="14">
        <v>1024512067</v>
      </c>
      <c r="B7527" s="2">
        <v>46171.314521412038</v>
      </c>
      <c r="C7527" s="3" t="str">
        <f>IFERROR(VLOOKUP(A7527,'Base Prueba'!A:C,3,),"NO REGISTRA")</f>
        <v>CINDY GIOVANA SALGAR GOMEZ</v>
      </c>
      <c r="D7527" s="4" t="str">
        <f>IFERROR(VLOOKUP(A7527,'Base Prueba'!A:D,4,),"NO REGISTRA")</f>
        <v>COORDINADOR DEL SISTEMA INTEGRADO DE GESTION INSTITUCIONAL - SIGI</v>
      </c>
      <c r="E7527" s="5" t="str">
        <f>IFERROR(VLOOKUP(A7527,'Base Prueba'!A:E,5,),"NO REGISTRA")</f>
        <v>OFICINA DE PLANEACION Y GESTION DE LA CALIDAD</v>
      </c>
    </row>
    <row r="7528" spans="1:5" ht="15.75" x14ac:dyDescent="0.25">
      <c r="A7528" s="14">
        <v>1090524989</v>
      </c>
      <c r="B7528" s="2">
        <v>46171.319373379629</v>
      </c>
      <c r="C7528" s="3" t="str">
        <f>IFERROR(VLOOKUP(A7528,'Base Prueba'!A:C,3,),"NO REGISTRA")</f>
        <v>JOHANA CECILIA ARAQUE ZULETA</v>
      </c>
      <c r="D7528" s="4" t="str">
        <f>IFERROR(VLOOKUP(A7528,'Base Prueba'!A:D,4,),"NO REGISTRA")</f>
        <v>COORDINADORA JURIDICA</v>
      </c>
      <c r="E7528" s="5" t="str">
        <f>IFERROR(VLOOKUP(A7528,'Base Prueba'!A:E,5,),"NO REGISTRA")</f>
        <v>SECRETARIA GENERAL</v>
      </c>
    </row>
    <row r="7529" spans="1:5" ht="15.75" x14ac:dyDescent="0.25">
      <c r="A7529" s="14">
        <v>80191732</v>
      </c>
      <c r="B7529" s="2">
        <v>46171.324743518519</v>
      </c>
      <c r="C7529" s="3" t="str">
        <f>IFERROR(VLOOKUP(A7529,'Base Prueba'!A:C,3,),"NO REGISTRA")</f>
        <v>DANIEL MAURICIO ZAMBRANO TUNJANO</v>
      </c>
      <c r="D7529" s="4" t="str">
        <f>IFERROR(VLOOKUP(A7529,'Base Prueba'!A:D,4,),"NO REGISTRA")</f>
        <v>COORDINADOR DE DISEÑO E IMAGEN INSTITUCIONAL</v>
      </c>
      <c r="E7529" s="5" t="str">
        <f>IFERROR(VLOOKUP(A7529,'Base Prueba'!A:E,5,),"NO REGISTRA")</f>
        <v>OFICINA DE MERCADEO</v>
      </c>
    </row>
    <row r="7530" spans="1:5" ht="15.75" x14ac:dyDescent="0.25">
      <c r="A7530" s="14">
        <v>1013616244</v>
      </c>
      <c r="B7530" s="2">
        <v>46171.324875231483</v>
      </c>
      <c r="C7530" s="3" t="str">
        <f>IFERROR(VLOOKUP(A7530,'Base Prueba'!A:C,3,),"NO REGISTRA")</f>
        <v>DIANA CAROLINA MARIN BETANCOURT</v>
      </c>
      <c r="D7530" s="4" t="str">
        <f>IFERROR(VLOOKUP(A7530,'Base Prueba'!A:D,4,),"NO REGISTRA")</f>
        <v>AUXILIAR ADMINISTRATIVO</v>
      </c>
      <c r="E7530" s="5" t="str">
        <f>IFERROR(VLOOKUP(A7530,'Base Prueba'!A:E,5,),"NO REGISTRA")</f>
        <v>REGISTRO Y CONTROL ACADEMICO</v>
      </c>
    </row>
    <row r="7531" spans="1:5" ht="15.75" x14ac:dyDescent="0.25">
      <c r="A7531" s="14">
        <v>1032469638</v>
      </c>
      <c r="B7531" s="2">
        <v>46171.326566203701</v>
      </c>
      <c r="C7531" s="3" t="str">
        <f>IFERROR(VLOOKUP(A7531,'Base Prueba'!A:C,3,),"NO REGISTRA")</f>
        <v>MAICOL JARBEY GUALTEROS CASTAÑEDA</v>
      </c>
      <c r="D7531" s="4" t="str">
        <f>IFERROR(VLOOKUP(A7531,'Base Prueba'!A:D,4,),"NO REGISTRA")</f>
        <v>COORDINADOR DEL SISTEMA INTERNO DE ASEGURAMIENTO DE LA CALIDAD - SIAC</v>
      </c>
      <c r="E7531" s="5" t="str">
        <f>IFERROR(VLOOKUP(A7531,'Base Prueba'!A:E,5,),"NO REGISTRA")</f>
        <v>OFICINA DE PLANEACION Y GESTION DE LA CALIDAD</v>
      </c>
    </row>
    <row r="7532" spans="1:5" ht="15.75" x14ac:dyDescent="0.25">
      <c r="A7532" s="14">
        <v>1049644802</v>
      </c>
      <c r="B7532" s="2">
        <v>46171.329993055559</v>
      </c>
      <c r="C7532" s="3" t="str">
        <f>IFERROR(VLOOKUP(A7532,'Base Prueba'!A:C,3,),"NO REGISTRA")</f>
        <v>DANIELA ALEXANDRA CIPAMOCHA BOSIGA</v>
      </c>
      <c r="D7532" s="4" t="str">
        <f>IFERROR(VLOOKUP(A7532,'Base Prueba'!A:D,4,),"NO REGISTRA")</f>
        <v>LIDER DE DATOS Y SERVICIOS</v>
      </c>
      <c r="E7532" s="5" t="str">
        <f>IFERROR(VLOOKUP(A7532,'Base Prueba'!A:E,5,),"NO REGISTRA")</f>
        <v>OFICINA DE PLANEACION Y GESTION DE LA CALIDAD</v>
      </c>
    </row>
    <row r="7533" spans="1:5" ht="15.75" x14ac:dyDescent="0.25">
      <c r="A7533" s="14">
        <v>52225539</v>
      </c>
      <c r="B7533" s="2">
        <v>46171.330314467596</v>
      </c>
      <c r="C7533" s="3" t="str">
        <f>IFERROR(VLOOKUP(A7533,'Base Prueba'!A:C,3,),"NO REGISTRA")</f>
        <v>LISA MINELLY ZAMBRANO CONTRERAS</v>
      </c>
      <c r="D7533" s="4" t="str">
        <f>IFERROR(VLOOKUP(A7533,'Base Prueba'!A:D,4,),"NO REGISTRA")</f>
        <v>LIDER DE COMPRAS</v>
      </c>
      <c r="E7533" s="5" t="str">
        <f>IFERROR(VLOOKUP(A7533,'Base Prueba'!A:E,5,),"NO REGISTRA")</f>
        <v>VICERRECTORIA ADMINISTRATIVA Y FINANCIERA</v>
      </c>
    </row>
    <row r="7534" spans="1:5" ht="15.75" x14ac:dyDescent="0.25">
      <c r="A7534" s="14">
        <v>1032410833</v>
      </c>
      <c r="B7534" s="2">
        <v>46171.337450231484</v>
      </c>
      <c r="C7534" s="3" t="str">
        <f>IFERROR(VLOOKUP(A7534,'Base Prueba'!A:C,3,),"NO REGISTRA")</f>
        <v>DIANA PAOLA MONTAÑEZ GONZALEZ</v>
      </c>
      <c r="D7534" s="4" t="str">
        <f>IFERROR(VLOOKUP(A7534,'Base Prueba'!A:D,4,),"NO REGISTRA")</f>
        <v>APRENDIZ UNIVERSITARIO</v>
      </c>
      <c r="E7534" s="5" t="str">
        <f>IFERROR(VLOOKUP(A7534,'Base Prueba'!A:E,5,),"NO REGISTRA")</f>
        <v>AREA FINANCIERA Y CONTABLE</v>
      </c>
    </row>
    <row r="7535" spans="1:5" ht="15.75" x14ac:dyDescent="0.25">
      <c r="A7535" s="14">
        <v>1000457706</v>
      </c>
      <c r="B7535" s="2">
        <v>46171.338648842589</v>
      </c>
      <c r="C7535" s="3" t="str">
        <f>IFERROR(VLOOKUP(A7535,'Base Prueba'!A:C,3,),"NO REGISTRA")</f>
        <v>CRISTIAN DANILO ARROYO SANABRIA</v>
      </c>
      <c r="D7535" s="4" t="str">
        <f>IFERROR(VLOOKUP(A7535,'Base Prueba'!A:D,4,),"NO REGISTRA")</f>
        <v>AUXILIAR CONTABLE</v>
      </c>
      <c r="E7535" s="5" t="str">
        <f>IFERROR(VLOOKUP(A7535,'Base Prueba'!A:E,5,),"NO REGISTRA")</f>
        <v>AREA FINANCIERA Y CONTABLE</v>
      </c>
    </row>
    <row r="7536" spans="1:5" ht="15.75" x14ac:dyDescent="0.25">
      <c r="A7536" s="14">
        <v>1000604979</v>
      </c>
      <c r="B7536" s="2">
        <v>46171.340247685184</v>
      </c>
      <c r="C7536" s="3" t="str">
        <f>IFERROR(VLOOKUP(A7536,'Base Prueba'!A:C,3,),"NO REGISTRA")</f>
        <v>JULIETH TATIANA PARDO PINTO</v>
      </c>
      <c r="D7536" s="4" t="str">
        <f>IFERROR(VLOOKUP(A7536,'Base Prueba'!A:D,4,),"NO REGISTRA")</f>
        <v>AUXILIAR JURIDICO</v>
      </c>
      <c r="E7536" s="5" t="str">
        <f>IFERROR(VLOOKUP(A7536,'Base Prueba'!A:E,5,),"NO REGISTRA")</f>
        <v>SECRETARIA GENERAL</v>
      </c>
    </row>
    <row r="7537" spans="1:5" ht="15.75" x14ac:dyDescent="0.25">
      <c r="A7537" s="14">
        <v>1000593372</v>
      </c>
      <c r="B7537" s="2">
        <v>46171.341542939816</v>
      </c>
      <c r="C7537" s="3" t="str">
        <f>IFERROR(VLOOKUP(A7537,'Base Prueba'!A:C,3,),"NO REGISTRA")</f>
        <v>LAURA SOFIA CHAPARRO LOPEZ</v>
      </c>
      <c r="D7537" s="4" t="str">
        <f>IFERROR(VLOOKUP(A7537,'Base Prueba'!A:D,4,),"NO REGISTRA")</f>
        <v>AUXILIAR JURIDICO</v>
      </c>
      <c r="E7537" s="5" t="str">
        <f>IFERROR(VLOOKUP(A7537,'Base Prueba'!A:E,5,),"NO REGISTRA")</f>
        <v>SECRETARIA GENERAL</v>
      </c>
    </row>
    <row r="7538" spans="1:5" ht="15.75" x14ac:dyDescent="0.25">
      <c r="A7538" s="14">
        <v>1033820146</v>
      </c>
      <c r="B7538" s="2">
        <v>46171.341682175924</v>
      </c>
      <c r="C7538" s="3" t="str">
        <f>IFERROR(VLOOKUP(A7538,'Base Prueba'!A:C,3,),"NO REGISTRA")</f>
        <v>JULIETH ALEXANDRA BUSTAMANTE RUIZ</v>
      </c>
      <c r="D7538" s="4" t="str">
        <f>IFERROR(VLOOKUP(A7538,'Base Prueba'!A:D,4,),"NO REGISTRA")</f>
        <v>AUXILIAR ADMINISTRATIVO</v>
      </c>
      <c r="E7538" s="5" t="str">
        <f>IFERROR(VLOOKUP(A7538,'Base Prueba'!A:E,5,),"NO REGISTRA")</f>
        <v>REGISTRO Y CONTROL ACADEMICO</v>
      </c>
    </row>
    <row r="7539" spans="1:5" ht="15.75" x14ac:dyDescent="0.25">
      <c r="A7539" s="14">
        <v>1015462891</v>
      </c>
      <c r="B7539" s="2">
        <v>46171.342010185188</v>
      </c>
      <c r="C7539" s="3" t="str">
        <f>IFERROR(VLOOKUP(A7539,'Base Prueba'!A:C,3,),"NO REGISTRA")</f>
        <v>EMMANUEL CAMARGO PERAZA</v>
      </c>
      <c r="D7539" s="4" t="str">
        <f>IFERROR(VLOOKUP(A7539,'Base Prueba'!A:D,4,),"NO REGISTRA")</f>
        <v>LIDER DE COMUNICACIONES</v>
      </c>
      <c r="E7539" s="5" t="str">
        <f>IFERROR(VLOOKUP(A7539,'Base Prueba'!A:E,5,),"NO REGISTRA")</f>
        <v>OFICINA DE MERCADEO</v>
      </c>
    </row>
    <row r="7540" spans="1:5" ht="15.75" x14ac:dyDescent="0.25">
      <c r="A7540" s="14">
        <v>1013098430</v>
      </c>
      <c r="B7540" s="2">
        <v>46171.342182523149</v>
      </c>
      <c r="C7540" s="3" t="str">
        <f>IFERROR(VLOOKUP(A7540,'Base Prueba'!A:C,3,),"NO REGISTRA")</f>
        <v>ANDRES FELIPE LOPEZ ROMERO</v>
      </c>
      <c r="D7540" s="4" t="str">
        <f>IFERROR(VLOOKUP(A7540,'Base Prueba'!A:D,4,),"NO REGISTRA")</f>
        <v>APRENDIZ UNIVERSITARIO</v>
      </c>
      <c r="E7540" s="5" t="str">
        <f>IFERROR(VLOOKUP(A7540,'Base Prueba'!A:E,5,),"NO REGISTRA")</f>
        <v>OFICINA DE MERCADEO</v>
      </c>
    </row>
    <row r="7541" spans="1:5" ht="15.75" x14ac:dyDescent="0.25">
      <c r="A7541" s="14">
        <v>1023883232</v>
      </c>
      <c r="B7541" s="2">
        <v>46171.346011458336</v>
      </c>
      <c r="C7541" s="3" t="str">
        <f>IFERROR(VLOOKUP(A7541,'Base Prueba'!A:C,3,),"NO REGISTRA")</f>
        <v>MONICA ANDREA ACERO URBANO</v>
      </c>
      <c r="D7541" s="4" t="str">
        <f>IFERROR(VLOOKUP(A7541,'Base Prueba'!A:D,4,),"NO REGISTRA")</f>
        <v>APOYO INTEGRAL A GESTION HUMANA</v>
      </c>
      <c r="E7541" s="5" t="str">
        <f>IFERROR(VLOOKUP(A7541,'Base Prueba'!A:E,5,),"NO REGISTRA")</f>
        <v>DEPARTAMENTO DE GESTION HUMANA</v>
      </c>
    </row>
    <row r="7542" spans="1:5" ht="15.75" x14ac:dyDescent="0.25">
      <c r="A7542" s="14">
        <v>53932358</v>
      </c>
      <c r="B7542" s="2">
        <v>46171.348944212965</v>
      </c>
      <c r="C7542" s="3" t="str">
        <f>IFERROR(VLOOKUP(A7542,'Base Prueba'!A:C,3,),"NO REGISTRA")</f>
        <v>DIANA MADELEYNE GAONA RODRIGUEZ</v>
      </c>
      <c r="D7542" s="4" t="str">
        <f>IFERROR(VLOOKUP(A7542,'Base Prueba'!A:D,4,),"NO REGISTRA")</f>
        <v>CONTADOR</v>
      </c>
      <c r="E7542" s="5" t="str">
        <f>IFERROR(VLOOKUP(A7542,'Base Prueba'!A:E,5,),"NO REGISTRA")</f>
        <v>AREA FINANCIERA Y CONTABLE</v>
      </c>
    </row>
    <row r="7543" spans="1:5" ht="15.75" x14ac:dyDescent="0.25">
      <c r="A7543" s="14">
        <v>1193457976</v>
      </c>
      <c r="B7543" s="2">
        <v>46171.351761342594</v>
      </c>
      <c r="C7543" s="3" t="str">
        <f>IFERROR(VLOOKUP(A7543,'Base Prueba'!A:C,3,),"NO REGISTRA")</f>
        <v>SEDENIS RIVAS ASPRILLA</v>
      </c>
      <c r="D7543" s="4" t="str">
        <f>IFERROR(VLOOKUP(A7543,'Base Prueba'!A:D,4,),"NO REGISTRA")</f>
        <v>APRENDIZ UNIVERSITARIO</v>
      </c>
      <c r="E7543" s="5" t="str">
        <f>IFERROR(VLOOKUP(A7543,'Base Prueba'!A:E,5,),"NO REGISTRA")</f>
        <v>DEPARTAMENTO DE GESTION HUMANA</v>
      </c>
    </row>
    <row r="7544" spans="1:5" ht="15.75" x14ac:dyDescent="0.25">
      <c r="A7544" s="14">
        <v>1014196857</v>
      </c>
      <c r="B7544" s="2">
        <v>46171.353141898151</v>
      </c>
      <c r="C7544" s="3" t="str">
        <f>IFERROR(VLOOKUP(A7544,'Base Prueba'!A:C,3,),"NO REGISTRA")</f>
        <v>CARLOS ANDRES JIMENEZ PARDO</v>
      </c>
      <c r="D7544" s="4" t="str">
        <f>IFERROR(VLOOKUP(A7544,'Base Prueba'!A:D,4,),"NO REGISTRA")</f>
        <v>COORDINADOR DE MARKETING DIGITAL</v>
      </c>
      <c r="E7544" s="5" t="str">
        <f>IFERROR(VLOOKUP(A7544,'Base Prueba'!A:E,5,),"NO REGISTRA")</f>
        <v>OFICINA DE MERCADEO</v>
      </c>
    </row>
    <row r="7545" spans="1:5" ht="15.75" x14ac:dyDescent="0.25">
      <c r="A7545" s="14">
        <v>1000046533</v>
      </c>
      <c r="B7545" s="2">
        <v>46171.363404050928</v>
      </c>
      <c r="C7545" s="3" t="str">
        <f>IFERROR(VLOOKUP(A7545,'Base Prueba'!A:C,3,),"NO REGISTRA")</f>
        <v>ERIKA JULIETH VALDERRAMA SANCHEZ</v>
      </c>
      <c r="D7545" s="4" t="str">
        <f>IFERROR(VLOOKUP(A7545,'Base Prueba'!A:D,4,),"NO REGISTRA")</f>
        <v>PROMOTOR CALL CENTER</v>
      </c>
      <c r="E7545" s="5" t="str">
        <f>IFERROR(VLOOKUP(A7545,'Base Prueba'!A:E,5,),"NO REGISTRA")</f>
        <v>OFICINA DE MERCADEO</v>
      </c>
    </row>
    <row r="7546" spans="1:5" ht="15.75" x14ac:dyDescent="0.25">
      <c r="A7546" s="14">
        <v>1013101788</v>
      </c>
      <c r="B7546" s="2">
        <v>46171.369155902779</v>
      </c>
      <c r="C7546" s="3" t="str">
        <f>IFERROR(VLOOKUP(A7546,'Base Prueba'!A:C,3,),"NO REGISTRA")</f>
        <v>SARA TANGARIFE MONTOYA</v>
      </c>
      <c r="D7546" s="4" t="str">
        <f>IFERROR(VLOOKUP(A7546,'Base Prueba'!A:D,4,),"NO REGISTRA")</f>
        <v>APRENDIZ UNIVERSITARIO</v>
      </c>
      <c r="E7546" s="5" t="str">
        <f>IFERROR(VLOOKUP(A7546,'Base Prueba'!A:E,5,),"NO REGISTRA")</f>
        <v>OFICINA DE MERCADEO</v>
      </c>
    </row>
    <row r="7547" spans="1:5" ht="15.75" x14ac:dyDescent="0.25">
      <c r="A7547" s="14">
        <v>1018413529</v>
      </c>
      <c r="B7547" s="2">
        <v>46171.372139814812</v>
      </c>
      <c r="C7547" s="3" t="str">
        <f>IFERROR(VLOOKUP(A7547,'Base Prueba'!A:C,3,),"NO REGISTRA")</f>
        <v>FRANCY STELLA CHARRY MORENO</v>
      </c>
      <c r="D7547" s="4" t="str">
        <f>IFERROR(VLOOKUP(A7547,'Base Prueba'!A:D,4,),"NO REGISTRA")</f>
        <v>PROMOTOR COMERCIAL DEL CEA</v>
      </c>
      <c r="E7547" s="5" t="str">
        <f>IFERROR(VLOOKUP(A7547,'Base Prueba'!A:E,5,),"NO REGISTRA")</f>
        <v>OFICINA DE MERCADEO</v>
      </c>
    </row>
    <row r="7548" spans="1:5" ht="15.75" x14ac:dyDescent="0.25">
      <c r="A7548" s="14">
        <v>1032407386</v>
      </c>
      <c r="B7548" s="2">
        <v>46171.374616435183</v>
      </c>
      <c r="C7548" s="3" t="str">
        <f>IFERROR(VLOOKUP(A7548,'Base Prueba'!A:C,3,),"NO REGISTRA")</f>
        <v>GINA PAOLA BAEZ GALVIS</v>
      </c>
      <c r="D7548" s="4" t="str">
        <f>IFERROR(VLOOKUP(A7548,'Base Prueba'!A:D,4,),"NO REGISTRA")</f>
        <v>PROMOTOR CALL CENTER</v>
      </c>
      <c r="E7548" s="5" t="str">
        <f>IFERROR(VLOOKUP(A7548,'Base Prueba'!A:E,5,),"NO REGISTRA")</f>
        <v>OFICINA DE MERCADEO</v>
      </c>
    </row>
    <row r="7549" spans="1:5" ht="15.75" x14ac:dyDescent="0.25">
      <c r="A7549" s="14">
        <v>1018414290</v>
      </c>
      <c r="B7549" s="2">
        <v>46171.37557152778</v>
      </c>
      <c r="C7549" s="3" t="str">
        <f>IFERROR(VLOOKUP(A7549,'Base Prueba'!A:C,3,),"NO REGISTRA")</f>
        <v>AMANDA LISBETH RODRIGUEZ LEON</v>
      </c>
      <c r="D7549" s="4" t="str">
        <f>IFERROR(VLOOKUP(A7549,'Base Prueba'!A:D,4,),"NO REGISTRA")</f>
        <v>PROMOTOR CALL CENTER</v>
      </c>
      <c r="E7549" s="5" t="str">
        <f>IFERROR(VLOOKUP(A7549,'Base Prueba'!A:E,5,),"NO REGISTRA")</f>
        <v>OFICINA DE MERCADEO</v>
      </c>
    </row>
    <row r="7550" spans="1:5" ht="15.75" x14ac:dyDescent="0.25">
      <c r="A7550" s="14">
        <v>1018414290</v>
      </c>
      <c r="B7550" s="2">
        <v>46171.375585648151</v>
      </c>
      <c r="C7550" s="3" t="str">
        <f>IFERROR(VLOOKUP(A7550,'Base Prueba'!A:C,3,),"NO REGISTRA")</f>
        <v>AMANDA LISBETH RODRIGUEZ LEON</v>
      </c>
      <c r="D7550" s="4" t="str">
        <f>IFERROR(VLOOKUP(A7550,'Base Prueba'!A:D,4,),"NO REGISTRA")</f>
        <v>PROMOTOR CALL CENTER</v>
      </c>
      <c r="E7550" s="5" t="str">
        <f>IFERROR(VLOOKUP(A7550,'Base Prueba'!A:E,5,),"NO REGISTRA")</f>
        <v>OFICINA DE MERCADEO</v>
      </c>
    </row>
    <row r="7551" spans="1:5" ht="15.75" x14ac:dyDescent="0.25">
      <c r="A7551" s="14">
        <v>1012426741</v>
      </c>
      <c r="B7551" s="2">
        <v>46171.375960648147</v>
      </c>
      <c r="C7551" s="3" t="str">
        <f>IFERROR(VLOOKUP(A7551,'Base Prueba'!A:C,3,),"NO REGISTRA")</f>
        <v>CRISTIAN FABIAN ROJAS SANCENO</v>
      </c>
      <c r="D7551" s="4" t="str">
        <f>IFERROR(VLOOKUP(A7551,'Base Prueba'!A:D,4,),"NO REGISTRA")</f>
        <v>AUXILIAR DE REINTEGROS</v>
      </c>
      <c r="E7551" s="5" t="str">
        <f>IFERROR(VLOOKUP(A7551,'Base Prueba'!A:E,5,),"NO REGISTRA")</f>
        <v>DIRECCION DE BIENESTAR INSTITUCIONAL</v>
      </c>
    </row>
    <row r="7552" spans="1:5" ht="15.75" x14ac:dyDescent="0.25">
      <c r="A7552" s="14">
        <v>1014308296</v>
      </c>
      <c r="B7552" s="2">
        <v>46171.377820486108</v>
      </c>
      <c r="C7552" s="3" t="str">
        <f>IFERROR(VLOOKUP(A7552,'Base Prueba'!A:C,3,),"NO REGISTRA")</f>
        <v>DARLENE YULIANA MORENO CELEITA</v>
      </c>
      <c r="D7552" s="4" t="str">
        <f>IFERROR(VLOOKUP(A7552,'Base Prueba'!A:D,4,),"NO REGISTRA")</f>
        <v>CAJERO PRINCIPAL</v>
      </c>
      <c r="E7552" s="5" t="str">
        <f>IFERROR(VLOOKUP(A7552,'Base Prueba'!A:E,5,),"NO REGISTRA")</f>
        <v>AREA FINANCIERA Y CONTABLE</v>
      </c>
    </row>
    <row r="7553" spans="1:5" ht="15.75" x14ac:dyDescent="0.25">
      <c r="A7553" s="14">
        <v>1016090131</v>
      </c>
      <c r="B7553" s="2">
        <v>46171.378228703703</v>
      </c>
      <c r="C7553" s="3" t="str">
        <f>IFERROR(VLOOKUP(A7553,'Base Prueba'!A:C,3,),"NO REGISTRA")</f>
        <v>NICOLAS RODRIGUEZ PACHECO</v>
      </c>
      <c r="D7553" s="4" t="str">
        <f>IFERROR(VLOOKUP(A7553,'Base Prueba'!A:D,4,),"NO REGISTRA")</f>
        <v>COORDINADOR DE COMUNICACIONES</v>
      </c>
      <c r="E7553" s="5" t="str">
        <f>IFERROR(VLOOKUP(A7553,'Base Prueba'!A:E,5,),"NO REGISTRA")</f>
        <v>OFICINA DE MERCADEO</v>
      </c>
    </row>
    <row r="7554" spans="1:5" ht="15.75" x14ac:dyDescent="0.25">
      <c r="A7554" s="14">
        <v>28798349</v>
      </c>
      <c r="B7554" s="2">
        <v>46171.378591435183</v>
      </c>
      <c r="C7554" s="3" t="str">
        <f>IFERROR(VLOOKUP(A7554,'Base Prueba'!A:C,3,),"NO REGISTRA")</f>
        <v>MARTHA ISABEL TOVAR WILLIAMS</v>
      </c>
      <c r="D7554" s="4" t="str">
        <f>IFERROR(VLOOKUP(A7554,'Base Prueba'!A:D,4,),"NO REGISTRA")</f>
        <v>PROMOTOR CALL CENTER</v>
      </c>
      <c r="E7554" s="5" t="str">
        <f>IFERROR(VLOOKUP(A7554,'Base Prueba'!A:E,5,),"NO REGISTRA")</f>
        <v>OFICINA DE MERCADEO</v>
      </c>
    </row>
    <row r="7555" spans="1:5" ht="15.75" x14ac:dyDescent="0.25">
      <c r="A7555" s="14">
        <v>1087121273</v>
      </c>
      <c r="B7555" s="2">
        <v>46171.378985648145</v>
      </c>
      <c r="C7555" s="3" t="str">
        <f>IFERROR(VLOOKUP(A7555,'Base Prueba'!A:C,3,),"NO REGISTRA")</f>
        <v>MAYRA ALEJANDRA CASTILLO ARBOLEDA</v>
      </c>
      <c r="D7555" s="4" t="str">
        <f>IFERROR(VLOOKUP(A7555,'Base Prueba'!A:D,4,),"NO REGISTRA")</f>
        <v>APOYO INTEGRAL DE MERCADEO</v>
      </c>
      <c r="E7555" s="5" t="str">
        <f>IFERROR(VLOOKUP(A7555,'Base Prueba'!A:E,5,),"NO REGISTRA")</f>
        <v>CENTRO DE GESTION DOCUMENTAL</v>
      </c>
    </row>
    <row r="7556" spans="1:5" ht="15.75" x14ac:dyDescent="0.25">
      <c r="A7556" s="14">
        <v>53089882</v>
      </c>
      <c r="B7556" s="2">
        <v>46171.37912766204</v>
      </c>
      <c r="C7556" s="3" t="str">
        <f>IFERROR(VLOOKUP(A7556,'Base Prueba'!A:C,3,),"NO REGISTRA")</f>
        <v>MARIA JOHANA ESCAMILLA MARTINEZ</v>
      </c>
      <c r="D7556" s="4" t="str">
        <f>IFERROR(VLOOKUP(A7556,'Base Prueba'!A:D,4,),"NO REGISTRA")</f>
        <v>PROMOTOR DE INFORMACIÓN</v>
      </c>
      <c r="E7556" s="5" t="str">
        <f>IFERROR(VLOOKUP(A7556,'Base Prueba'!A:E,5,),"NO REGISTRA")</f>
        <v>OFICINA DE MERCADEO</v>
      </c>
    </row>
    <row r="7557" spans="1:5" ht="15.75" x14ac:dyDescent="0.25">
      <c r="A7557" s="14">
        <v>52175674</v>
      </c>
      <c r="B7557" s="2">
        <v>46171.387275578702</v>
      </c>
      <c r="C7557" s="3" t="str">
        <f>IFERROR(VLOOKUP(A7557,'Base Prueba'!A:C,3,),"NO REGISTRA")</f>
        <v>LUZ YANETH GOMEZ AREVALO</v>
      </c>
      <c r="D7557" s="4" t="str">
        <f>IFERROR(VLOOKUP(A7557,'Base Prueba'!A:D,4,),"NO REGISTRA")</f>
        <v>COORDINADORA DE ADMISIONES</v>
      </c>
      <c r="E7557" s="5" t="str">
        <f>IFERROR(VLOOKUP(A7557,'Base Prueba'!A:E,5,),"NO REGISTRA")</f>
        <v>OFICINA DE MERCADEO</v>
      </c>
    </row>
    <row r="7558" spans="1:5" ht="15.75" x14ac:dyDescent="0.25">
      <c r="A7558" s="14">
        <v>1033709056</v>
      </c>
      <c r="B7558" s="2">
        <v>46171.402442013889</v>
      </c>
      <c r="C7558" s="3" t="str">
        <f>IFERROR(VLOOKUP(A7558,'Base Prueba'!A:C,3,),"NO REGISTRA")</f>
        <v>YEIMY ALEXANDRA RODRIGUEZ PALACIO</v>
      </c>
      <c r="D7558" s="4" t="str">
        <f>IFERROR(VLOOKUP(A7558,'Base Prueba'!A:D,4,),"NO REGISTRA")</f>
        <v>PROMOTOR CALL CENTER</v>
      </c>
      <c r="E7558" s="5" t="str">
        <f>IFERROR(VLOOKUP(A7558,'Base Prueba'!A:E,5,),"NO REGISTRA")</f>
        <v>OFICINA DE MERCADEO</v>
      </c>
    </row>
    <row r="7559" spans="1:5" ht="15.75" x14ac:dyDescent="0.25">
      <c r="A7559" s="14">
        <v>1023961952</v>
      </c>
      <c r="B7559" s="2">
        <v>46171.404731828705</v>
      </c>
      <c r="C7559" s="3" t="str">
        <f>IFERROR(VLOOKUP(A7559,'Base Prueba'!A:C,3,),"NO REGISTRA")</f>
        <v>ALEJANDRO PINZON MERCHAN</v>
      </c>
      <c r="D7559" s="4" t="str">
        <f>IFERROR(VLOOKUP(A7559,'Base Prueba'!A:D,4,),"NO REGISTRA")</f>
        <v>PROMOTOR CALL CENTER</v>
      </c>
      <c r="E7559" s="5" t="str">
        <f>IFERROR(VLOOKUP(A7559,'Base Prueba'!A:E,5,),"NO REGISTRA")</f>
        <v>OFICINA DE MERCADEO</v>
      </c>
    </row>
    <row r="7560" spans="1:5" ht="15.75" x14ac:dyDescent="0.25">
      <c r="A7560" s="14">
        <v>79872151</v>
      </c>
      <c r="B7560" s="2">
        <v>46171.589465625002</v>
      </c>
      <c r="C7560" s="3" t="str">
        <f>IFERROR(VLOOKUP(A7560,'Base Prueba'!A:C,3,),"NO REGISTRA")</f>
        <v>HECTOR ALIRIO MARTINEZ TORRES</v>
      </c>
      <c r="D7560" s="4" t="str">
        <f>IFERROR(VLOOKUP(A7560,'Base Prueba'!A:D,4,),"NO REGISTRA")</f>
        <v>DOCENTE DE TIEMPO COMPLETO</v>
      </c>
      <c r="E7560" s="5" t="str">
        <f>IFERROR(VLOOKUP(A7560,'Base Prueba'!A:E,5,),"NO REGISTRA")</f>
        <v>CIENCIAS DE LA INFORMACION Y BIBLIOTECOLOGIA</v>
      </c>
    </row>
    <row r="7561" spans="1:5" ht="15.75" x14ac:dyDescent="0.25">
      <c r="A7561" s="14">
        <v>1000992568</v>
      </c>
      <c r="B7561" s="2">
        <v>46171.71097025463</v>
      </c>
      <c r="C7561" s="3" t="str">
        <f>IFERROR(VLOOKUP(A7561,'Base Prueba'!A:C,3,),"NO REGISTRA")</f>
        <v>KAREN BRIGITTE DALEMAN MORENO</v>
      </c>
      <c r="D7561" s="4" t="str">
        <f>IFERROR(VLOOKUP(A7561,'Base Prueba'!A:D,4,),"NO REGISTRA")</f>
        <v>RECEPCIONISTA</v>
      </c>
      <c r="E7561" s="5" t="str">
        <f>IFERROR(VLOOKUP(A7561,'Base Prueba'!A:E,5,),"NO REGISTRA")</f>
        <v>CENTRO DE GESTION DOCUMENTAL</v>
      </c>
    </row>
    <row r="7562" spans="1:5" ht="15.75" x14ac:dyDescent="0.25">
      <c r="A7562" s="14">
        <v>1049644802</v>
      </c>
      <c r="B7562" s="2">
        <v>46171.711071180558</v>
      </c>
      <c r="C7562" s="3" t="str">
        <f>IFERROR(VLOOKUP(A7562,'Base Prueba'!A:C,3,),"NO REGISTRA")</f>
        <v>DANIELA ALEXANDRA CIPAMOCHA BOSIGA</v>
      </c>
      <c r="D7562" s="4" t="str">
        <f>IFERROR(VLOOKUP(A7562,'Base Prueba'!A:D,4,),"NO REGISTRA")</f>
        <v>LIDER DE DATOS Y SERVICIOS</v>
      </c>
      <c r="E7562" s="5" t="str">
        <f>IFERROR(VLOOKUP(A7562,'Base Prueba'!A:E,5,),"NO REGISTRA")</f>
        <v>OFICINA DE PLANEACION Y GESTION DE LA CALIDAD</v>
      </c>
    </row>
    <row r="7563" spans="1:5" ht="15.75" x14ac:dyDescent="0.25">
      <c r="A7563" s="14">
        <v>1193457976</v>
      </c>
      <c r="B7563" s="2">
        <v>46171.712597106482</v>
      </c>
      <c r="C7563" s="3" t="str">
        <f>IFERROR(VLOOKUP(A7563,'Base Prueba'!A:C,3,),"NO REGISTRA")</f>
        <v>SEDENIS RIVAS ASPRILLA</v>
      </c>
      <c r="D7563" s="4" t="str">
        <f>IFERROR(VLOOKUP(A7563,'Base Prueba'!A:D,4,),"NO REGISTRA")</f>
        <v>APRENDIZ UNIVERSITARIO</v>
      </c>
      <c r="E7563" s="5" t="str">
        <f>IFERROR(VLOOKUP(A7563,'Base Prueba'!A:E,5,),"NO REGISTRA")</f>
        <v>DEPARTAMENTO DE GESTION HUMANA</v>
      </c>
    </row>
    <row r="7564" spans="1:5" ht="15.75" x14ac:dyDescent="0.25">
      <c r="A7564" s="14">
        <v>1033820146</v>
      </c>
      <c r="B7564" s="2">
        <v>46171.712764004631</v>
      </c>
      <c r="C7564" s="3" t="str">
        <f>IFERROR(VLOOKUP(A7564,'Base Prueba'!A:C,3,),"NO REGISTRA")</f>
        <v>JULIETH ALEXANDRA BUSTAMANTE RUIZ</v>
      </c>
      <c r="D7564" s="4" t="str">
        <f>IFERROR(VLOOKUP(A7564,'Base Prueba'!A:D,4,),"NO REGISTRA")</f>
        <v>AUXILIAR ADMINISTRATIVO</v>
      </c>
      <c r="E7564" s="5" t="str">
        <f>IFERROR(VLOOKUP(A7564,'Base Prueba'!A:E,5,),"NO REGISTRA")</f>
        <v>REGISTRO Y CONTROL ACADEMICO</v>
      </c>
    </row>
    <row r="7565" spans="1:5" ht="15.75" x14ac:dyDescent="0.25">
      <c r="A7565" s="14">
        <v>1032410833</v>
      </c>
      <c r="B7565" s="2">
        <v>46171.713385069444</v>
      </c>
      <c r="C7565" s="3" t="str">
        <f>IFERROR(VLOOKUP(A7565,'Base Prueba'!A:C,3,),"NO REGISTRA")</f>
        <v>DIANA PAOLA MONTAÑEZ GONZALEZ</v>
      </c>
      <c r="D7565" s="4" t="str">
        <f>IFERROR(VLOOKUP(A7565,'Base Prueba'!A:D,4,),"NO REGISTRA")</f>
        <v>APRENDIZ UNIVERSITARIO</v>
      </c>
      <c r="E7565" s="5" t="str">
        <f>IFERROR(VLOOKUP(A7565,'Base Prueba'!A:E,5,),"NO REGISTRA")</f>
        <v>AREA FINANCIERA Y CONTABLE</v>
      </c>
    </row>
    <row r="7566" spans="1:5" ht="15.75" x14ac:dyDescent="0.25">
      <c r="A7566" s="14">
        <v>1023883232</v>
      </c>
      <c r="B7566" s="2">
        <v>46171.713992708334</v>
      </c>
      <c r="C7566" s="3" t="str">
        <f>IFERROR(VLOOKUP(A7566,'Base Prueba'!A:C,3,),"NO REGISTRA")</f>
        <v>MONICA ANDREA ACERO URBANO</v>
      </c>
      <c r="D7566" s="4" t="str">
        <f>IFERROR(VLOOKUP(A7566,'Base Prueba'!A:D,4,),"NO REGISTRA")</f>
        <v>APOYO INTEGRAL A GESTION HUMANA</v>
      </c>
      <c r="E7566" s="5" t="str">
        <f>IFERROR(VLOOKUP(A7566,'Base Prueba'!A:E,5,),"NO REGISTRA")</f>
        <v>DEPARTAMENTO DE GESTION HUMANA</v>
      </c>
    </row>
    <row r="7567" spans="1:5" ht="15.75" x14ac:dyDescent="0.25">
      <c r="A7567" s="14">
        <v>1000611958</v>
      </c>
      <c r="B7567" s="2">
        <v>46171.714600578707</v>
      </c>
      <c r="C7567" s="3" t="str">
        <f>IFERROR(VLOOKUP(A7567,'Base Prueba'!A:C,3,),"NO REGISTRA")</f>
        <v>TYLER CORRADINE  VARGAS</v>
      </c>
      <c r="D7567" s="4" t="str">
        <f>IFERROR(VLOOKUP(A7567,'Base Prueba'!A:D,4,),"NO REGISTRA")</f>
        <v>APRENDIZ UNIVERSITARIO</v>
      </c>
      <c r="E7567" s="5" t="str">
        <f>IFERROR(VLOOKUP(A7567,'Base Prueba'!A:E,5,),"NO REGISTRA")</f>
        <v>DEPARTAMENTO DE INFORMATICA Y TECNOLOGIA</v>
      </c>
    </row>
    <row r="7568" spans="1:5" ht="15.75" x14ac:dyDescent="0.25">
      <c r="A7568" s="14">
        <v>1032469638</v>
      </c>
      <c r="B7568" s="2">
        <v>46171.715396990738</v>
      </c>
      <c r="C7568" s="3" t="str">
        <f>IFERROR(VLOOKUP(A7568,'Base Prueba'!A:C,3,),"NO REGISTRA")</f>
        <v>MAICOL JARBEY GUALTEROS CASTAÑEDA</v>
      </c>
      <c r="D7568" s="4" t="str">
        <f>IFERROR(VLOOKUP(A7568,'Base Prueba'!A:D,4,),"NO REGISTRA")</f>
        <v>COORDINADOR DEL SISTEMA INTERNO DE ASEGURAMIENTO DE LA CALIDAD - SIAC</v>
      </c>
      <c r="E7568" s="5" t="str">
        <f>IFERROR(VLOOKUP(A7568,'Base Prueba'!A:E,5,),"NO REGISTRA")</f>
        <v>OFICINA DE PLANEACION Y GESTION DE LA CALIDAD</v>
      </c>
    </row>
    <row r="7569" spans="1:5" ht="15.75" x14ac:dyDescent="0.25">
      <c r="A7569" s="14">
        <v>1090524989</v>
      </c>
      <c r="B7569" s="2">
        <v>46171.717441898145</v>
      </c>
      <c r="C7569" s="3" t="str">
        <f>IFERROR(VLOOKUP(A7569,'Base Prueba'!A:C,3,),"NO REGISTRA")</f>
        <v>JOHANA CECILIA ARAQUE ZULETA</v>
      </c>
      <c r="D7569" s="4" t="str">
        <f>IFERROR(VLOOKUP(A7569,'Base Prueba'!A:D,4,),"NO REGISTRA")</f>
        <v>COORDINADORA JURIDICA</v>
      </c>
      <c r="E7569" s="5" t="str">
        <f>IFERROR(VLOOKUP(A7569,'Base Prueba'!A:E,5,),"NO REGISTRA")</f>
        <v>SECRETARIA GENERAL</v>
      </c>
    </row>
    <row r="7570" spans="1:5" ht="15.75" x14ac:dyDescent="0.25">
      <c r="A7570" s="14">
        <v>1000604979</v>
      </c>
      <c r="B7570" s="2">
        <v>46171.72168761574</v>
      </c>
      <c r="C7570" s="3" t="str">
        <f>IFERROR(VLOOKUP(A7570,'Base Prueba'!A:C,3,),"NO REGISTRA")</f>
        <v>JULIETH TATIANA PARDO PINTO</v>
      </c>
      <c r="D7570" s="4" t="str">
        <f>IFERROR(VLOOKUP(A7570,'Base Prueba'!A:D,4,),"NO REGISTRA")</f>
        <v>AUXILIAR JURIDICO</v>
      </c>
      <c r="E7570" s="5" t="str">
        <f>IFERROR(VLOOKUP(A7570,'Base Prueba'!A:E,5,),"NO REGISTRA")</f>
        <v>SECRETARIA GENERAL</v>
      </c>
    </row>
    <row r="7571" spans="1:5" ht="15.75" x14ac:dyDescent="0.25">
      <c r="A7571" s="14">
        <v>1000593372</v>
      </c>
      <c r="B7571" s="2">
        <v>46171.72172199074</v>
      </c>
      <c r="C7571" s="3" t="str">
        <f>IFERROR(VLOOKUP(A7571,'Base Prueba'!A:C,3,),"NO REGISTRA")</f>
        <v>LAURA SOFIA CHAPARRO LOPEZ</v>
      </c>
      <c r="D7571" s="4" t="str">
        <f>IFERROR(VLOOKUP(A7571,'Base Prueba'!A:D,4,),"NO REGISTRA")</f>
        <v>AUXILIAR JURIDICO</v>
      </c>
      <c r="E7571" s="5" t="str">
        <f>IFERROR(VLOOKUP(A7571,'Base Prueba'!A:E,5,),"NO REGISTRA")</f>
        <v>SECRETARIA GENERAL</v>
      </c>
    </row>
    <row r="7572" spans="1:5" ht="15.75" x14ac:dyDescent="0.25">
      <c r="A7572" s="14">
        <v>1024512067</v>
      </c>
      <c r="B7572" s="2">
        <v>46171.723703703705</v>
      </c>
      <c r="C7572" s="3" t="str">
        <f>IFERROR(VLOOKUP(A7572,'Base Prueba'!A:C,3,),"NO REGISTRA")</f>
        <v>CINDY GIOVANA SALGAR GOMEZ</v>
      </c>
      <c r="D7572" s="4" t="str">
        <f>IFERROR(VLOOKUP(A7572,'Base Prueba'!A:D,4,),"NO REGISTRA")</f>
        <v>COORDINADOR DEL SISTEMA INTEGRADO DE GESTION INSTITUCIONAL - SIGI</v>
      </c>
      <c r="E7572" s="5" t="str">
        <f>IFERROR(VLOOKUP(A7572,'Base Prueba'!A:E,5,),"NO REGISTRA")</f>
        <v>OFICINA DE PLANEACION Y GESTION DE LA CALIDAD</v>
      </c>
    </row>
    <row r="7573" spans="1:5" ht="15.75" x14ac:dyDescent="0.25">
      <c r="A7573" s="14">
        <v>1013616244</v>
      </c>
      <c r="B7573" s="2">
        <v>46171.730344212963</v>
      </c>
      <c r="C7573" s="3" t="str">
        <f>IFERROR(VLOOKUP(A7573,'Base Prueba'!A:C,3,),"NO REGISTRA")</f>
        <v>DIANA CAROLINA MARIN BETANCOURT</v>
      </c>
      <c r="D7573" s="4" t="str">
        <f>IFERROR(VLOOKUP(A7573,'Base Prueba'!A:D,4,),"NO REGISTRA")</f>
        <v>AUXILIAR ADMINISTRATIVO</v>
      </c>
      <c r="E7573" s="5" t="str">
        <f>IFERROR(VLOOKUP(A7573,'Base Prueba'!A:E,5,),"NO REGISTRA")</f>
        <v>REGISTRO Y CONTROL ACADEMICO</v>
      </c>
    </row>
    <row r="7574" spans="1:5" ht="15.75" x14ac:dyDescent="0.25">
      <c r="A7574" s="14">
        <v>1022996882</v>
      </c>
      <c r="B7574" s="2">
        <v>46171.734073495369</v>
      </c>
      <c r="C7574" s="3" t="str">
        <f>IFERROR(VLOOKUP(A7574,'Base Prueba'!A:C,3,),"NO REGISTRA")</f>
        <v>NANCY BRIGITH ALDANA GUEVARA</v>
      </c>
      <c r="D7574" s="4" t="str">
        <f>IFERROR(VLOOKUP(A7574,'Base Prueba'!A:D,4,),"NO REGISTRA")</f>
        <v>COORDINADORA DE GESTIÓN HUMANA</v>
      </c>
      <c r="E7574" s="5" t="str">
        <f>IFERROR(VLOOKUP(A7574,'Base Prueba'!A:E,5,),"NO REGISTRA")</f>
        <v>DEPARTAMENTO DE GESTION HUMANA</v>
      </c>
    </row>
    <row r="7575" spans="1:5" ht="15.75" x14ac:dyDescent="0.25">
      <c r="A7575" s="14">
        <v>1015462891</v>
      </c>
      <c r="B7575" s="2">
        <v>46171.742283333333</v>
      </c>
      <c r="C7575" s="3" t="str">
        <f>IFERROR(VLOOKUP(A7575,'Base Prueba'!A:C,3,),"NO REGISTRA")</f>
        <v>EMMANUEL CAMARGO PERAZA</v>
      </c>
      <c r="D7575" s="4" t="str">
        <f>IFERROR(VLOOKUP(A7575,'Base Prueba'!A:D,4,),"NO REGISTRA")</f>
        <v>LIDER DE COMUNICACIONES</v>
      </c>
      <c r="E7575" s="5" t="str">
        <f>IFERROR(VLOOKUP(A7575,'Base Prueba'!A:E,5,),"NO REGISTRA")</f>
        <v>OFICINA DE MERCADEO</v>
      </c>
    </row>
    <row r="7576" spans="1:5" ht="15.75" x14ac:dyDescent="0.25">
      <c r="A7576" s="14">
        <v>1012426741</v>
      </c>
      <c r="B7576" s="2">
        <v>46171.750323379631</v>
      </c>
      <c r="C7576" s="3" t="str">
        <f>IFERROR(VLOOKUP(A7576,'Base Prueba'!A:C,3,),"NO REGISTRA")</f>
        <v>CRISTIAN FABIAN ROJAS SANCENO</v>
      </c>
      <c r="D7576" s="4" t="str">
        <f>IFERROR(VLOOKUP(A7576,'Base Prueba'!A:D,4,),"NO REGISTRA")</f>
        <v>AUXILIAR DE REINTEGROS</v>
      </c>
      <c r="E7576" s="5" t="str">
        <f>IFERROR(VLOOKUP(A7576,'Base Prueba'!A:E,5,),"NO REGISTRA")</f>
        <v>DIRECCION DE BIENESTAR INSTITUCIONAL</v>
      </c>
    </row>
    <row r="7577" spans="1:5" ht="15.75" x14ac:dyDescent="0.25">
      <c r="A7577" s="14">
        <v>1087121273</v>
      </c>
      <c r="B7577" s="2">
        <v>46171.750357523146</v>
      </c>
      <c r="C7577" s="3" t="str">
        <f>IFERROR(VLOOKUP(A7577,'Base Prueba'!A:C,3,),"NO REGISTRA")</f>
        <v>MAYRA ALEJANDRA CASTILLO ARBOLEDA</v>
      </c>
      <c r="D7577" s="4" t="str">
        <f>IFERROR(VLOOKUP(A7577,'Base Prueba'!A:D,4,),"NO REGISTRA")</f>
        <v>APOYO INTEGRAL DE MERCADEO</v>
      </c>
      <c r="E7577" s="5" t="str">
        <f>IFERROR(VLOOKUP(A7577,'Base Prueba'!A:E,5,),"NO REGISTRA")</f>
        <v>CENTRO DE GESTION DOCUMENTAL</v>
      </c>
    </row>
    <row r="7578" spans="1:5" ht="15.75" x14ac:dyDescent="0.25">
      <c r="A7578" s="14">
        <v>52225539</v>
      </c>
      <c r="B7578" s="2">
        <v>46171.750471180552</v>
      </c>
      <c r="C7578" s="3" t="str">
        <f>IFERROR(VLOOKUP(A7578,'Base Prueba'!A:C,3,),"NO REGISTRA")</f>
        <v>LISA MINELLY ZAMBRANO CONTRERAS</v>
      </c>
      <c r="D7578" s="4" t="str">
        <f>IFERROR(VLOOKUP(A7578,'Base Prueba'!A:D,4,),"NO REGISTRA")</f>
        <v>LIDER DE COMPRAS</v>
      </c>
      <c r="E7578" s="5" t="str">
        <f>IFERROR(VLOOKUP(A7578,'Base Prueba'!A:E,5,),"NO REGISTRA")</f>
        <v>VICERRECTORIA ADMINISTRATIVA Y FINANCIERA</v>
      </c>
    </row>
    <row r="7579" spans="1:5" ht="15.75" x14ac:dyDescent="0.25">
      <c r="A7579" s="14">
        <v>80191732</v>
      </c>
      <c r="B7579" s="2">
        <v>46171.750835185187</v>
      </c>
      <c r="C7579" s="3" t="str">
        <f>IFERROR(VLOOKUP(A7579,'Base Prueba'!A:C,3,),"NO REGISTRA")</f>
        <v>DANIEL MAURICIO ZAMBRANO TUNJANO</v>
      </c>
      <c r="D7579" s="4" t="str">
        <f>IFERROR(VLOOKUP(A7579,'Base Prueba'!A:D,4,),"NO REGISTRA")</f>
        <v>COORDINADOR DE DISEÑO E IMAGEN INSTITUCIONAL</v>
      </c>
      <c r="E7579" s="5" t="str">
        <f>IFERROR(VLOOKUP(A7579,'Base Prueba'!A:E,5,),"NO REGISTRA")</f>
        <v>OFICINA DE MERCADEO</v>
      </c>
    </row>
    <row r="7580" spans="1:5" ht="15.75" x14ac:dyDescent="0.25">
      <c r="A7580" s="14">
        <v>1014308296</v>
      </c>
      <c r="B7580" s="2">
        <v>46171.752700578705</v>
      </c>
      <c r="C7580" s="3" t="str">
        <f>IFERROR(VLOOKUP(A7580,'Base Prueba'!A:C,3,),"NO REGISTRA")</f>
        <v>DARLENE YULIANA MORENO CELEITA</v>
      </c>
      <c r="D7580" s="4" t="str">
        <f>IFERROR(VLOOKUP(A7580,'Base Prueba'!A:D,4,),"NO REGISTRA")</f>
        <v>CAJERO PRINCIPAL</v>
      </c>
      <c r="E7580" s="5" t="str">
        <f>IFERROR(VLOOKUP(A7580,'Base Prueba'!A:E,5,),"NO REGISTRA")</f>
        <v>AREA FINANCIERA Y CONTABLE</v>
      </c>
    </row>
    <row r="7581" spans="1:5" ht="15.75" x14ac:dyDescent="0.25">
      <c r="A7581" s="14">
        <v>1000046533</v>
      </c>
      <c r="B7581" s="2">
        <v>46171.75515740741</v>
      </c>
      <c r="C7581" s="3" t="str">
        <f>IFERROR(VLOOKUP(A7581,'Base Prueba'!A:C,3,),"NO REGISTRA")</f>
        <v>ERIKA JULIETH VALDERRAMA SANCHEZ</v>
      </c>
      <c r="D7581" s="4" t="str">
        <f>IFERROR(VLOOKUP(A7581,'Base Prueba'!A:D,4,),"NO REGISTRA")</f>
        <v>PROMOTOR CALL CENTER</v>
      </c>
      <c r="E7581" s="5" t="str">
        <f>IFERROR(VLOOKUP(A7581,'Base Prueba'!A:E,5,),"NO REGISTRA")</f>
        <v>OFICINA DE MERCADEO</v>
      </c>
    </row>
    <row r="7582" spans="1:5" ht="15.75" x14ac:dyDescent="0.25">
      <c r="A7582" s="14">
        <v>1013098430</v>
      </c>
      <c r="B7582" s="2">
        <v>46171.75945474537</v>
      </c>
      <c r="C7582" s="3" t="str">
        <f>IFERROR(VLOOKUP(A7582,'Base Prueba'!A:C,3,),"NO REGISTRA")</f>
        <v>ANDRES FELIPE LOPEZ ROMERO</v>
      </c>
      <c r="D7582" s="4" t="str">
        <f>IFERROR(VLOOKUP(A7582,'Base Prueba'!A:D,4,),"NO REGISTRA")</f>
        <v>APRENDIZ UNIVERSITARIO</v>
      </c>
      <c r="E7582" s="5" t="str">
        <f>IFERROR(VLOOKUP(A7582,'Base Prueba'!A:E,5,),"NO REGISTRA")</f>
        <v>OFICINA DE MERCADEO</v>
      </c>
    </row>
    <row r="7583" spans="1:5" ht="15.75" x14ac:dyDescent="0.25">
      <c r="A7583" s="14">
        <v>28798349</v>
      </c>
      <c r="B7583" s="2">
        <v>46171.760441782404</v>
      </c>
      <c r="C7583" s="3" t="str">
        <f>IFERROR(VLOOKUP(A7583,'Base Prueba'!A:C,3,),"NO REGISTRA")</f>
        <v>MARTHA ISABEL TOVAR WILLIAMS</v>
      </c>
      <c r="D7583" s="4" t="str">
        <f>IFERROR(VLOOKUP(A7583,'Base Prueba'!A:D,4,),"NO REGISTRA")</f>
        <v>PROMOTOR CALL CENTER</v>
      </c>
      <c r="E7583" s="5" t="str">
        <f>IFERROR(VLOOKUP(A7583,'Base Prueba'!A:E,5,),"NO REGISTRA")</f>
        <v>OFICINA DE MERCADEO</v>
      </c>
    </row>
    <row r="7584" spans="1:5" ht="15.75" x14ac:dyDescent="0.25">
      <c r="A7584" s="14">
        <v>1033709056</v>
      </c>
      <c r="B7584" s="2">
        <v>46171.760497337964</v>
      </c>
      <c r="C7584" s="3" t="str">
        <f>IFERROR(VLOOKUP(A7584,'Base Prueba'!A:C,3,),"NO REGISTRA")</f>
        <v>YEIMY ALEXANDRA RODRIGUEZ PALACIO</v>
      </c>
      <c r="D7584" s="4" t="str">
        <f>IFERROR(VLOOKUP(A7584,'Base Prueba'!A:D,4,),"NO REGISTRA")</f>
        <v>PROMOTOR CALL CENTER</v>
      </c>
      <c r="E7584" s="5" t="str">
        <f>IFERROR(VLOOKUP(A7584,'Base Prueba'!A:E,5,),"NO REGISTRA")</f>
        <v>OFICINA DE MERCADEO</v>
      </c>
    </row>
    <row r="7585" spans="1:5" ht="15.75" x14ac:dyDescent="0.25">
      <c r="A7585" s="14">
        <v>1018414290</v>
      </c>
      <c r="B7585" s="2">
        <v>46171.764584259261</v>
      </c>
      <c r="C7585" s="3" t="str">
        <f>IFERROR(VLOOKUP(A7585,'Base Prueba'!A:C,3,),"NO REGISTRA")</f>
        <v>AMANDA LISBETH RODRIGUEZ LEON</v>
      </c>
      <c r="D7585" s="4" t="str">
        <f>IFERROR(VLOOKUP(A7585,'Base Prueba'!A:D,4,),"NO REGISTRA")</f>
        <v>PROMOTOR CALL CENTER</v>
      </c>
      <c r="E7585" s="5" t="str">
        <f>IFERROR(VLOOKUP(A7585,'Base Prueba'!A:E,5,),"NO REGISTRA")</f>
        <v>OFICINA DE MERCADEO</v>
      </c>
    </row>
    <row r="7586" spans="1:5" ht="15.75" x14ac:dyDescent="0.25">
      <c r="A7586" s="14">
        <v>52474489</v>
      </c>
      <c r="B7586" s="2">
        <v>46171.765650347224</v>
      </c>
      <c r="C7586" s="3" t="str">
        <f>IFERROR(VLOOKUP(A7586,'Base Prueba'!A:C,3,),"NO REGISTRA")</f>
        <v>ADRIANA JIMENA SOTO BOCANEGRA</v>
      </c>
      <c r="D7586" s="4" t="str">
        <f>IFERROR(VLOOKUP(A7586,'Base Prueba'!A:D,4,),"NO REGISTRA")</f>
        <v>COORDINADOR DE LA OFICINA DE REGISTRO Y CONTROL</v>
      </c>
      <c r="E7586" s="5" t="str">
        <f>IFERROR(VLOOKUP(A7586,'Base Prueba'!A:E,5,),"NO REGISTRA")</f>
        <v>REGISTRO Y CONTROL ACADEMICO</v>
      </c>
    </row>
    <row r="7587" spans="1:5" ht="15.75" x14ac:dyDescent="0.25">
      <c r="A7587" s="14">
        <v>1032407386</v>
      </c>
      <c r="B7587" s="2">
        <v>46171.765747337966</v>
      </c>
      <c r="C7587" s="3" t="str">
        <f>IFERROR(VLOOKUP(A7587,'Base Prueba'!A:C,3,),"NO REGISTRA")</f>
        <v>GINA PAOLA BAEZ GALVIS</v>
      </c>
      <c r="D7587" s="4" t="str">
        <f>IFERROR(VLOOKUP(A7587,'Base Prueba'!A:D,4,),"NO REGISTRA")</f>
        <v>PROMOTOR CALL CENTER</v>
      </c>
      <c r="E7587" s="5" t="str">
        <f>IFERROR(VLOOKUP(A7587,'Base Prueba'!A:E,5,),"NO REGISTRA")</f>
        <v>OFICINA DE MERCADEO</v>
      </c>
    </row>
    <row r="7588" spans="1:5" ht="15.75" x14ac:dyDescent="0.25">
      <c r="A7588" s="14">
        <v>1019105003</v>
      </c>
      <c r="B7588" s="2">
        <v>46171.766200694445</v>
      </c>
      <c r="C7588" s="3" t="str">
        <f>IFERROR(VLOOKUP(A7588,'Base Prueba'!A:C,3,),"NO REGISTRA")</f>
        <v>DAISY JULIETH GASPAR MORENO</v>
      </c>
      <c r="D7588" s="4" t="str">
        <f>IFERROR(VLOOKUP(A7588,'Base Prueba'!A:D,4,),"NO REGISTRA")</f>
        <v>PROMOTOR CALL CENTER</v>
      </c>
      <c r="E7588" s="5" t="str">
        <f>IFERROR(VLOOKUP(A7588,'Base Prueba'!A:E,5,),"NO REGISTRA")</f>
        <v>OFICINA DE MERCADEO</v>
      </c>
    </row>
    <row r="7589" spans="1:5" ht="15.75" x14ac:dyDescent="0.25">
      <c r="A7589" s="14">
        <v>1023961952</v>
      </c>
      <c r="B7589" s="2">
        <v>46171.770007060186</v>
      </c>
      <c r="C7589" s="3" t="str">
        <f>IFERROR(VLOOKUP(A7589,'Base Prueba'!A:C,3,),"NO REGISTRA")</f>
        <v>ALEJANDRO PINZON MERCHAN</v>
      </c>
      <c r="D7589" s="4" t="str">
        <f>IFERROR(VLOOKUP(A7589,'Base Prueba'!A:D,4,),"NO REGISTRA")</f>
        <v>PROMOTOR CALL CENTER</v>
      </c>
      <c r="E7589" s="5" t="str">
        <f>IFERROR(VLOOKUP(A7589,'Base Prueba'!A:E,5,),"NO REGISTRA")</f>
        <v>OFICINA DE MERCADEO</v>
      </c>
    </row>
    <row r="7590" spans="1:5" ht="15.75" x14ac:dyDescent="0.25">
      <c r="A7590" s="14">
        <v>1018413529</v>
      </c>
      <c r="B7590" s="2">
        <v>46171.772284259256</v>
      </c>
      <c r="C7590" s="3" t="str">
        <f>IFERROR(VLOOKUP(A7590,'Base Prueba'!A:C,3,),"NO REGISTRA")</f>
        <v>FRANCY STELLA CHARRY MORENO</v>
      </c>
      <c r="D7590" s="4" t="str">
        <f>IFERROR(VLOOKUP(A7590,'Base Prueba'!A:D,4,),"NO REGISTRA")</f>
        <v>PROMOTOR COMERCIAL DEL CEA</v>
      </c>
      <c r="E7590" s="5" t="str">
        <f>IFERROR(VLOOKUP(A7590,'Base Prueba'!A:E,5,),"NO REGISTRA")</f>
        <v>OFICINA DE MERCADEO</v>
      </c>
    </row>
    <row r="7591" spans="1:5" ht="15.75" x14ac:dyDescent="0.25">
      <c r="A7591" s="14">
        <v>53089882</v>
      </c>
      <c r="B7591" s="2">
        <v>46171.772363657408</v>
      </c>
      <c r="C7591" s="3" t="str">
        <f>IFERROR(VLOOKUP(A7591,'Base Prueba'!A:C,3,),"NO REGISTRA")</f>
        <v>MARIA JOHANA ESCAMILLA MARTINEZ</v>
      </c>
      <c r="D7591" s="4" t="str">
        <f>IFERROR(VLOOKUP(A7591,'Base Prueba'!A:D,4,),"NO REGISTRA")</f>
        <v>PROMOTOR DE INFORMACIÓN</v>
      </c>
      <c r="E7591" s="5" t="str">
        <f>IFERROR(VLOOKUP(A7591,'Base Prueba'!A:E,5,),"NO REGISTRA")</f>
        <v>OFICINA DE MERCADEO</v>
      </c>
    </row>
    <row r="7592" spans="1:5" ht="15.75" x14ac:dyDescent="0.25">
      <c r="A7592" s="14">
        <v>52175674</v>
      </c>
      <c r="B7592" s="2">
        <v>46171.782647800923</v>
      </c>
      <c r="C7592" s="3" t="str">
        <f>IFERROR(VLOOKUP(A7592,'Base Prueba'!A:C,3,),"NO REGISTRA")</f>
        <v>LUZ YANETH GOMEZ AREVALO</v>
      </c>
      <c r="D7592" s="4" t="str">
        <f>IFERROR(VLOOKUP(A7592,'Base Prueba'!A:D,4,),"NO REGISTRA")</f>
        <v>COORDINADORA DE ADMISIONES</v>
      </c>
      <c r="E7592" s="5" t="str">
        <f>IFERROR(VLOOKUP(A7592,'Base Prueba'!A:E,5,),"NO REGISTRA")</f>
        <v>OFICINA DE MERCADEO</v>
      </c>
    </row>
    <row r="7593" spans="1:5" ht="15.75" x14ac:dyDescent="0.25">
      <c r="A7593" s="14">
        <v>1013101788</v>
      </c>
      <c r="B7593" s="2">
        <v>46171.784394328701</v>
      </c>
      <c r="C7593" s="3" t="str">
        <f>IFERROR(VLOOKUP(A7593,'Base Prueba'!A:C,3,),"NO REGISTRA")</f>
        <v>SARA TANGARIFE MONTOYA</v>
      </c>
      <c r="D7593" s="4" t="str">
        <f>IFERROR(VLOOKUP(A7593,'Base Prueba'!A:D,4,),"NO REGISTRA")</f>
        <v>APRENDIZ UNIVERSITARIO</v>
      </c>
      <c r="E7593" s="5" t="str">
        <f>IFERROR(VLOOKUP(A7593,'Base Prueba'!A:E,5,),"NO REGISTRA")</f>
        <v>OFICINA DE MERCADEO</v>
      </c>
    </row>
    <row r="7594" spans="1:5" ht="15.75" x14ac:dyDescent="0.25">
      <c r="A7594" s="14">
        <v>1014196857</v>
      </c>
      <c r="B7594" s="2">
        <v>46171.784912615738</v>
      </c>
      <c r="C7594" s="3" t="str">
        <f>IFERROR(VLOOKUP(A7594,'Base Prueba'!A:C,3,),"NO REGISTRA")</f>
        <v>CARLOS ANDRES JIMENEZ PARDO</v>
      </c>
      <c r="D7594" s="4" t="str">
        <f>IFERROR(VLOOKUP(A7594,'Base Prueba'!A:D,4,),"NO REGISTRA")</f>
        <v>COORDINADOR DE MARKETING DIGITAL</v>
      </c>
      <c r="E7594" s="5" t="str">
        <f>IFERROR(VLOOKUP(A7594,'Base Prueba'!A:E,5,),"NO REGISTRA")</f>
        <v>OFICINA DE MERCADEO</v>
      </c>
    </row>
    <row r="7595" spans="1:5" ht="15.75" x14ac:dyDescent="0.25">
      <c r="A7595" s="14">
        <v>1000457706</v>
      </c>
      <c r="B7595" s="2">
        <v>46171.794159490739</v>
      </c>
      <c r="C7595" s="3" t="str">
        <f>IFERROR(VLOOKUP(A7595,'Base Prueba'!A:C,3,),"NO REGISTRA")</f>
        <v>CRISTIAN DANILO ARROYO SANABRIA</v>
      </c>
      <c r="D7595" s="4" t="str">
        <f>IFERROR(VLOOKUP(A7595,'Base Prueba'!A:D,4,),"NO REGISTRA")</f>
        <v>AUXILIAR CONTABLE</v>
      </c>
      <c r="E7595" s="5" t="str">
        <f>IFERROR(VLOOKUP(A7595,'Base Prueba'!A:E,5,),"NO REGISTRA")</f>
        <v>AREA FINANCIERA Y CONTABLE</v>
      </c>
    </row>
    <row r="7596" spans="1:5" ht="15.75" x14ac:dyDescent="0.25">
      <c r="A7596" s="14">
        <v>53932358</v>
      </c>
      <c r="B7596" s="2">
        <v>46171.801091898145</v>
      </c>
      <c r="C7596" s="3" t="str">
        <f>IFERROR(VLOOKUP(A7596,'Base Prueba'!A:C,3,),"NO REGISTRA")</f>
        <v>DIANA MADELEYNE GAONA RODRIGUEZ</v>
      </c>
      <c r="D7596" s="4" t="str">
        <f>IFERROR(VLOOKUP(A7596,'Base Prueba'!A:D,4,),"NO REGISTRA")</f>
        <v>CONTADOR</v>
      </c>
      <c r="E7596" s="5" t="str">
        <f>IFERROR(VLOOKUP(A7596,'Base Prueba'!A:E,5,),"NO REGISTRA")</f>
        <v>AREA FINANCIERA Y CONTABLE</v>
      </c>
    </row>
    <row r="7597" spans="1:5" ht="15.75" x14ac:dyDescent="0.25">
      <c r="A7597" s="14">
        <v>52443092</v>
      </c>
      <c r="B7597" s="2">
        <v>46171.867528703704</v>
      </c>
      <c r="C7597" s="3" t="str">
        <f>IFERROR(VLOOKUP(A7597,'Base Prueba'!A:C,3,),"NO REGISTRA")</f>
        <v>LUZ MYRIAM SAAVEDRA CONTRERAS</v>
      </c>
      <c r="D7597" s="4" t="str">
        <f>IFERROR(VLOOKUP(A7597,'Base Prueba'!A:D,4,),"NO REGISTRA")</f>
        <v>AUXILIAR DE SERVICIOS</v>
      </c>
      <c r="E7597" s="5" t="str">
        <f>IFERROR(VLOOKUP(A7597,'Base Prueba'!A:E,5,),"NO REGISTRA")</f>
        <v>LOGISTICA Y SERVICIOS GENERALES</v>
      </c>
    </row>
    <row r="7598" spans="1:5" ht="15.75" x14ac:dyDescent="0.25">
      <c r="A7598" s="14">
        <v>1018413529</v>
      </c>
      <c r="B7598" s="2">
        <v>46172.316350578702</v>
      </c>
      <c r="C7598" s="3" t="str">
        <f>IFERROR(VLOOKUP(A7598,'Base Prueba'!A:C,3,),"NO REGISTRA")</f>
        <v>FRANCY STELLA CHARRY MORENO</v>
      </c>
      <c r="D7598" s="4" t="str">
        <f>IFERROR(VLOOKUP(A7598,'Base Prueba'!A:D,4,),"NO REGISTRA")</f>
        <v>PROMOTOR COMERCIAL DEL CEA</v>
      </c>
      <c r="E7598" s="5" t="str">
        <f>IFERROR(VLOOKUP(A7598,'Base Prueba'!A:E,5,),"NO REGISTRA")</f>
        <v>OFICINA DE MERCADEO</v>
      </c>
    </row>
    <row r="7599" spans="1:5" ht="15.75" x14ac:dyDescent="0.25">
      <c r="A7599" s="14">
        <v>80191732</v>
      </c>
      <c r="B7599" s="2">
        <v>46172.328018287037</v>
      </c>
      <c r="C7599" s="3" t="str">
        <f>IFERROR(VLOOKUP(A7599,'Base Prueba'!A:C,3,),"NO REGISTRA")</f>
        <v>DANIEL MAURICIO ZAMBRANO TUNJANO</v>
      </c>
      <c r="D7599" s="4" t="str">
        <f>IFERROR(VLOOKUP(A7599,'Base Prueba'!A:D,4,),"NO REGISTRA")</f>
        <v>COORDINADOR DE DISEÑO E IMAGEN INSTITUCIONAL</v>
      </c>
      <c r="E7599" s="5" t="str">
        <f>IFERROR(VLOOKUP(A7599,'Base Prueba'!A:E,5,),"NO REGISTRA")</f>
        <v>OFICINA DE MERCADEO</v>
      </c>
    </row>
    <row r="7600" spans="1:5" ht="15.75" x14ac:dyDescent="0.25">
      <c r="A7600" s="14">
        <v>1023961952</v>
      </c>
      <c r="B7600" s="2">
        <v>46172.329746064817</v>
      </c>
      <c r="C7600" s="3" t="str">
        <f>IFERROR(VLOOKUP(A7600,'Base Prueba'!A:C,3,),"NO REGISTRA")</f>
        <v>ALEJANDRO PINZON MERCHAN</v>
      </c>
      <c r="D7600" s="4" t="str">
        <f>IFERROR(VLOOKUP(A7600,'Base Prueba'!A:D,4,),"NO REGISTRA")</f>
        <v>PROMOTOR CALL CENTER</v>
      </c>
      <c r="E7600" s="5" t="str">
        <f>IFERROR(VLOOKUP(A7600,'Base Prueba'!A:E,5,),"NO REGISTRA")</f>
        <v>OFICINA DE MERCADEO</v>
      </c>
    </row>
    <row r="7601" spans="1:5" ht="15.75" x14ac:dyDescent="0.25">
      <c r="A7601" s="14">
        <v>1013616244</v>
      </c>
      <c r="B7601" s="2">
        <v>46172.333613310184</v>
      </c>
      <c r="C7601" s="3" t="str">
        <f>IFERROR(VLOOKUP(A7601,'Base Prueba'!A:C,3,),"NO REGISTRA")</f>
        <v>DIANA CAROLINA MARIN BETANCOURT</v>
      </c>
      <c r="D7601" s="4" t="str">
        <f>IFERROR(VLOOKUP(A7601,'Base Prueba'!A:D,4,),"NO REGISTRA")</f>
        <v>AUXILIAR ADMINISTRATIVO</v>
      </c>
      <c r="E7601" s="5" t="str">
        <f>IFERROR(VLOOKUP(A7601,'Base Prueba'!A:E,5,),"NO REGISTRA")</f>
        <v>REGISTRO Y CONTROL ACADEMICO</v>
      </c>
    </row>
    <row r="7602" spans="1:5" ht="15.75" x14ac:dyDescent="0.25">
      <c r="A7602" s="14">
        <v>1013101788</v>
      </c>
      <c r="B7602" s="2">
        <v>46172.334036689812</v>
      </c>
      <c r="C7602" s="3" t="str">
        <f>IFERROR(VLOOKUP(A7602,'Base Prueba'!A:C,3,),"NO REGISTRA")</f>
        <v>SARA TANGARIFE MONTOYA</v>
      </c>
      <c r="D7602" s="4" t="str">
        <f>IFERROR(VLOOKUP(A7602,'Base Prueba'!A:D,4,),"NO REGISTRA")</f>
        <v>APRENDIZ UNIVERSITARIO</v>
      </c>
      <c r="E7602" s="5" t="str">
        <f>IFERROR(VLOOKUP(A7602,'Base Prueba'!A:E,5,),"NO REGISTRA")</f>
        <v>OFICINA DE MERCADEO</v>
      </c>
    </row>
    <row r="7603" spans="1:5" ht="15.75" x14ac:dyDescent="0.25">
      <c r="A7603" s="14">
        <v>1015462891</v>
      </c>
      <c r="B7603" s="2">
        <v>46172.338725000001</v>
      </c>
      <c r="C7603" s="3" t="str">
        <f>IFERROR(VLOOKUP(A7603,'Base Prueba'!A:C,3,),"NO REGISTRA")</f>
        <v>EMMANUEL CAMARGO PERAZA</v>
      </c>
      <c r="D7603" s="4" t="str">
        <f>IFERROR(VLOOKUP(A7603,'Base Prueba'!A:D,4,),"NO REGISTRA")</f>
        <v>LIDER DE COMUNICACIONES</v>
      </c>
      <c r="E7603" s="5" t="str">
        <f>IFERROR(VLOOKUP(A7603,'Base Prueba'!A:E,5,),"NO REGISTRA")</f>
        <v>OFICINA DE MERCADEO</v>
      </c>
    </row>
    <row r="7604" spans="1:5" ht="15.75" x14ac:dyDescent="0.25">
      <c r="A7604" s="14">
        <v>1024512067</v>
      </c>
      <c r="B7604" s="2">
        <v>46172.340882291668</v>
      </c>
      <c r="C7604" s="3" t="str">
        <f>IFERROR(VLOOKUP(A7604,'Base Prueba'!A:C,3,),"NO REGISTRA")</f>
        <v>CINDY GIOVANA SALGAR GOMEZ</v>
      </c>
      <c r="D7604" s="4" t="str">
        <f>IFERROR(VLOOKUP(A7604,'Base Prueba'!A:D,4,),"NO REGISTRA")</f>
        <v>COORDINADOR DEL SISTEMA INTEGRADO DE GESTION INSTITUCIONAL - SIGI</v>
      </c>
      <c r="E7604" s="5" t="str">
        <f>IFERROR(VLOOKUP(A7604,'Base Prueba'!A:E,5,),"NO REGISTRA")</f>
        <v>OFICINA DE PLANEACION Y GESTION DE LA CALIDAD</v>
      </c>
    </row>
    <row r="7605" spans="1:5" ht="15.75" x14ac:dyDescent="0.25">
      <c r="A7605" s="14">
        <v>1033709056</v>
      </c>
      <c r="B7605" s="2">
        <v>46172.348532060183</v>
      </c>
      <c r="C7605" s="3" t="str">
        <f>IFERROR(VLOOKUP(A7605,'Base Prueba'!A:C,3,),"NO REGISTRA")</f>
        <v>YEIMY ALEXANDRA RODRIGUEZ PALACIO</v>
      </c>
      <c r="D7605" s="4" t="str">
        <f>IFERROR(VLOOKUP(A7605,'Base Prueba'!A:D,4,),"NO REGISTRA")</f>
        <v>PROMOTOR CALL CENTER</v>
      </c>
      <c r="E7605" s="5" t="str">
        <f>IFERROR(VLOOKUP(A7605,'Base Prueba'!A:E,5,),"NO REGISTRA")</f>
        <v>OFICINA DE MERCADEO</v>
      </c>
    </row>
    <row r="7606" spans="1:5" ht="15.75" x14ac:dyDescent="0.25">
      <c r="A7606" s="14">
        <v>53089882</v>
      </c>
      <c r="B7606" s="2">
        <v>46172.348637847223</v>
      </c>
      <c r="C7606" s="3" t="str">
        <f>IFERROR(VLOOKUP(A7606,'Base Prueba'!A:C,3,),"NO REGISTRA")</f>
        <v>MARIA JOHANA ESCAMILLA MARTINEZ</v>
      </c>
      <c r="D7606" s="4" t="str">
        <f>IFERROR(VLOOKUP(A7606,'Base Prueba'!A:D,4,),"NO REGISTRA")</f>
        <v>PROMOTOR DE INFORMACIÓN</v>
      </c>
      <c r="E7606" s="5" t="str">
        <f>IFERROR(VLOOKUP(A7606,'Base Prueba'!A:E,5,),"NO REGISTRA")</f>
        <v>OFICINA DE MERCADEO</v>
      </c>
    </row>
    <row r="7607" spans="1:5" ht="15.75" x14ac:dyDescent="0.25">
      <c r="A7607" s="14">
        <v>1032407386</v>
      </c>
      <c r="B7607" s="2">
        <v>46172.360276736108</v>
      </c>
      <c r="C7607" s="3" t="str">
        <f>IFERROR(VLOOKUP(A7607,'Base Prueba'!A:C,3,),"NO REGISTRA")</f>
        <v>GINA PAOLA BAEZ GALVIS</v>
      </c>
      <c r="D7607" s="4" t="str">
        <f>IFERROR(VLOOKUP(A7607,'Base Prueba'!A:D,4,),"NO REGISTRA")</f>
        <v>PROMOTOR CALL CENTER</v>
      </c>
      <c r="E7607" s="5" t="str">
        <f>IFERROR(VLOOKUP(A7607,'Base Prueba'!A:E,5,),"NO REGISTRA")</f>
        <v>OFICINA DE MERCADEO</v>
      </c>
    </row>
    <row r="7608" spans="1:5" ht="15.75" x14ac:dyDescent="0.25">
      <c r="A7608" s="14">
        <v>52472386</v>
      </c>
      <c r="B7608" s="2">
        <v>46172.363859722223</v>
      </c>
      <c r="C7608" s="3" t="str">
        <f>IFERROR(VLOOKUP(A7608,'Base Prueba'!A:C,3,),"NO REGISTRA")</f>
        <v>ADRIANA MARCELA MORALES PARDO</v>
      </c>
      <c r="D7608" s="4" t="str">
        <f>IFERROR(VLOOKUP(A7608,'Base Prueba'!A:D,4,),"NO REGISTRA")</f>
        <v>PROMOTOR CALL CENTER</v>
      </c>
      <c r="E7608" s="5" t="str">
        <f>IFERROR(VLOOKUP(A7608,'Base Prueba'!A:E,5,),"NO REGISTRA")</f>
        <v>OFICINA DE MERCADEO</v>
      </c>
    </row>
    <row r="7609" spans="1:5" ht="15.75" x14ac:dyDescent="0.25">
      <c r="A7609" s="14">
        <v>52175674</v>
      </c>
      <c r="B7609" s="2">
        <v>46172.365076504633</v>
      </c>
      <c r="C7609" s="3" t="str">
        <f>IFERROR(VLOOKUP(A7609,'Base Prueba'!A:C,3,),"NO REGISTRA")</f>
        <v>LUZ YANETH GOMEZ AREVALO</v>
      </c>
      <c r="D7609" s="4" t="str">
        <f>IFERROR(VLOOKUP(A7609,'Base Prueba'!A:D,4,),"NO REGISTRA")</f>
        <v>COORDINADORA DE ADMISIONES</v>
      </c>
      <c r="E7609" s="5" t="str">
        <f>IFERROR(VLOOKUP(A7609,'Base Prueba'!A:E,5,),"NO REGISTRA")</f>
        <v>OFICINA DE MERCADEO</v>
      </c>
    </row>
    <row r="7610" spans="1:5" ht="15.75" x14ac:dyDescent="0.25">
      <c r="A7610" s="14">
        <v>1014308296</v>
      </c>
      <c r="B7610" s="2">
        <v>46172.370268055558</v>
      </c>
      <c r="C7610" s="3" t="str">
        <f>IFERROR(VLOOKUP(A7610,'Base Prueba'!A:C,3,),"NO REGISTRA")</f>
        <v>DARLENE YULIANA MORENO CELEITA</v>
      </c>
      <c r="D7610" s="4" t="str">
        <f>IFERROR(VLOOKUP(A7610,'Base Prueba'!A:D,4,),"NO REGISTRA")</f>
        <v>CAJERO PRINCIPAL</v>
      </c>
      <c r="E7610" s="5" t="str">
        <f>IFERROR(VLOOKUP(A7610,'Base Prueba'!A:E,5,),"NO REGISTRA")</f>
        <v>AREA FINANCIERA Y CONTABLE</v>
      </c>
    </row>
    <row r="7611" spans="1:5" ht="15.75" x14ac:dyDescent="0.25">
      <c r="A7611" s="14">
        <v>1012426741</v>
      </c>
      <c r="B7611" s="2">
        <v>46172.370464236112</v>
      </c>
      <c r="C7611" s="3" t="str">
        <f>IFERROR(VLOOKUP(A7611,'Base Prueba'!A:C,3,),"NO REGISTRA")</f>
        <v>CRISTIAN FABIAN ROJAS SANCENO</v>
      </c>
      <c r="D7611" s="4" t="str">
        <f>IFERROR(VLOOKUP(A7611,'Base Prueba'!A:D,4,),"NO REGISTRA")</f>
        <v>AUXILIAR DE REINTEGROS</v>
      </c>
      <c r="E7611" s="5" t="str">
        <f>IFERROR(VLOOKUP(A7611,'Base Prueba'!A:E,5,),"NO REGISTRA")</f>
        <v>DIRECCION DE BIENESTAR INSTITUCIONAL</v>
      </c>
    </row>
    <row r="7612" spans="1:5" ht="15.75" x14ac:dyDescent="0.25">
      <c r="A7612" s="14">
        <v>1000046533</v>
      </c>
      <c r="B7612" s="2">
        <v>46172.37223148148</v>
      </c>
      <c r="C7612" s="3" t="str">
        <f>IFERROR(VLOOKUP(A7612,'Base Prueba'!A:C,3,),"NO REGISTRA")</f>
        <v>ERIKA JULIETH VALDERRAMA SANCHEZ</v>
      </c>
      <c r="D7612" s="4" t="str">
        <f>IFERROR(VLOOKUP(A7612,'Base Prueba'!A:D,4,),"NO REGISTRA")</f>
        <v>PROMOTOR CALL CENTER</v>
      </c>
      <c r="E7612" s="5" t="str">
        <f>IFERROR(VLOOKUP(A7612,'Base Prueba'!A:E,5,),"NO REGISTRA")</f>
        <v>OFICINA DE MERCADEO</v>
      </c>
    </row>
    <row r="7613" spans="1:5" ht="15.75" x14ac:dyDescent="0.25">
      <c r="A7613" s="14">
        <v>1018414290</v>
      </c>
      <c r="B7613" s="2">
        <v>46172.372618634261</v>
      </c>
      <c r="C7613" s="3" t="str">
        <f>IFERROR(VLOOKUP(A7613,'Base Prueba'!A:C,3,),"NO REGISTRA")</f>
        <v>AMANDA LISBETH RODRIGUEZ LEON</v>
      </c>
      <c r="D7613" s="4" t="str">
        <f>IFERROR(VLOOKUP(A7613,'Base Prueba'!A:D,4,),"NO REGISTRA")</f>
        <v>PROMOTOR CALL CENTER</v>
      </c>
      <c r="E7613" s="5" t="str">
        <f>IFERROR(VLOOKUP(A7613,'Base Prueba'!A:E,5,),"NO REGISTRA")</f>
        <v>OFICINA DE MERCADEO</v>
      </c>
    </row>
    <row r="7614" spans="1:5" ht="15.75" x14ac:dyDescent="0.25">
      <c r="A7614" s="14">
        <v>1087121273</v>
      </c>
      <c r="B7614" s="2">
        <v>46172.375550462966</v>
      </c>
      <c r="C7614" s="3" t="str">
        <f>IFERROR(VLOOKUP(A7614,'Base Prueba'!A:C,3,),"NO REGISTRA")</f>
        <v>MAYRA ALEJANDRA CASTILLO ARBOLEDA</v>
      </c>
      <c r="D7614" s="4" t="str">
        <f>IFERROR(VLOOKUP(A7614,'Base Prueba'!A:D,4,),"NO REGISTRA")</f>
        <v>APOYO INTEGRAL DE MERCADEO</v>
      </c>
      <c r="E7614" s="5" t="str">
        <f>IFERROR(VLOOKUP(A7614,'Base Prueba'!A:E,5,),"NO REGISTRA")</f>
        <v>CENTRO DE GESTION DOCUMENTAL</v>
      </c>
    </row>
    <row r="7615" spans="1:5" ht="15.75" x14ac:dyDescent="0.25">
      <c r="A7615" s="14">
        <v>1033820146</v>
      </c>
      <c r="B7615" s="2">
        <v>46172.380443981485</v>
      </c>
      <c r="C7615" s="3" t="str">
        <f>IFERROR(VLOOKUP(A7615,'Base Prueba'!A:C,3,),"NO REGISTRA")</f>
        <v>JULIETH ALEXANDRA BUSTAMANTE RUIZ</v>
      </c>
      <c r="D7615" s="4" t="str">
        <f>IFERROR(VLOOKUP(A7615,'Base Prueba'!A:D,4,),"NO REGISTRA")</f>
        <v>AUXILIAR ADMINISTRATIVO</v>
      </c>
      <c r="E7615" s="5" t="str">
        <f>IFERROR(VLOOKUP(A7615,'Base Prueba'!A:E,5,),"NO REGISTRA")</f>
        <v>REGISTRO Y CONTROL ACADEMICO</v>
      </c>
    </row>
    <row r="7616" spans="1:5" ht="15.75" x14ac:dyDescent="0.25">
      <c r="A7616" s="14">
        <v>52764929</v>
      </c>
      <c r="B7616" s="2">
        <v>46172.393304398145</v>
      </c>
      <c r="C7616" s="3" t="str">
        <f>IFERROR(VLOOKUP(A7616,'Base Prueba'!A:C,3,),"NO REGISTRA")</f>
        <v>GUERLY YOHANA DURAN RIVERA</v>
      </c>
      <c r="D7616" s="4" t="str">
        <f>IFERROR(VLOOKUP(A7616,'Base Prueba'!A:D,4,),"NO REGISTRA")</f>
        <v>LIDER DE VINCULACION COLEGIOS</v>
      </c>
      <c r="E7616" s="5" t="str">
        <f>IFERROR(VLOOKUP(A7616,'Base Prueba'!A:E,5,),"NO REGISTRA")</f>
        <v>OFICINA DE MERCADEO</v>
      </c>
    </row>
    <row r="7617" spans="1:5" ht="15.75" x14ac:dyDescent="0.25">
      <c r="A7617" s="14">
        <v>52764929</v>
      </c>
      <c r="B7617" s="2">
        <v>46172.396710416666</v>
      </c>
      <c r="C7617" s="3" t="str">
        <f>IFERROR(VLOOKUP(A7617,'Base Prueba'!A:C,3,),"NO REGISTRA")</f>
        <v>GUERLY YOHANA DURAN RIVERA</v>
      </c>
      <c r="D7617" s="4" t="str">
        <f>IFERROR(VLOOKUP(A7617,'Base Prueba'!A:D,4,),"NO REGISTRA")</f>
        <v>LIDER DE VINCULACION COLEGIOS</v>
      </c>
      <c r="E7617" s="5" t="str">
        <f>IFERROR(VLOOKUP(A7617,'Base Prueba'!A:E,5,),"NO REGISTRA")</f>
        <v>OFICINA DE MERCADEO</v>
      </c>
    </row>
    <row r="7618" spans="1:5" ht="15.75" x14ac:dyDescent="0.25">
      <c r="A7618" s="14">
        <v>79872151</v>
      </c>
      <c r="B7618" s="2">
        <v>46172.41783622685</v>
      </c>
      <c r="C7618" s="3" t="str">
        <f>IFERROR(VLOOKUP(A7618,'Base Prueba'!A:C,3,),"NO REGISTRA")</f>
        <v>HECTOR ALIRIO MARTINEZ TORRES</v>
      </c>
      <c r="D7618" s="4" t="str">
        <f>IFERROR(VLOOKUP(A7618,'Base Prueba'!A:D,4,),"NO REGISTRA")</f>
        <v>DOCENTE DE TIEMPO COMPLETO</v>
      </c>
      <c r="E7618" s="5" t="str">
        <f>IFERROR(VLOOKUP(A7618,'Base Prueba'!A:E,5,),"NO REGISTRA")</f>
        <v>CIENCIAS DE LA INFORMACION Y BIBLIOTECOLOGIA</v>
      </c>
    </row>
    <row r="7619" spans="1:5" ht="15.75" x14ac:dyDescent="0.25">
      <c r="A7619" s="14">
        <v>1015462891</v>
      </c>
      <c r="B7619" s="2">
        <v>46172.499193981479</v>
      </c>
      <c r="C7619" s="3" t="str">
        <f>IFERROR(VLOOKUP(A7619,'Base Prueba'!A:C,3,),"NO REGISTRA")</f>
        <v>EMMANUEL CAMARGO PERAZA</v>
      </c>
      <c r="D7619" s="4" t="str">
        <f>IFERROR(VLOOKUP(A7619,'Base Prueba'!A:D,4,),"NO REGISTRA")</f>
        <v>LIDER DE COMUNICACIONES</v>
      </c>
      <c r="E7619" s="5" t="str">
        <f>IFERROR(VLOOKUP(A7619,'Base Prueba'!A:E,5,),"NO REGISTRA")</f>
        <v>OFICINA DE MERCADEO</v>
      </c>
    </row>
    <row r="7620" spans="1:5" ht="15.75" x14ac:dyDescent="0.25">
      <c r="A7620" s="14">
        <v>1000611958</v>
      </c>
      <c r="B7620" s="2">
        <v>46172.504985763888</v>
      </c>
      <c r="C7620" s="3" t="str">
        <f>IFERROR(VLOOKUP(A7620,'Base Prueba'!A:C,3,),"NO REGISTRA")</f>
        <v>TYLER CORRADINE  VARGAS</v>
      </c>
      <c r="D7620" s="4" t="str">
        <f>IFERROR(VLOOKUP(A7620,'Base Prueba'!A:D,4,),"NO REGISTRA")</f>
        <v>APRENDIZ UNIVERSITARIO</v>
      </c>
      <c r="E7620" s="5" t="str">
        <f>IFERROR(VLOOKUP(A7620,'Base Prueba'!A:E,5,),"NO REGISTRA")</f>
        <v>DEPARTAMENTO DE INFORMATICA Y TECNOLOGIA</v>
      </c>
    </row>
    <row r="7621" spans="1:5" ht="15.75" x14ac:dyDescent="0.25">
      <c r="A7621" s="14">
        <v>52443092</v>
      </c>
      <c r="B7621" s="2">
        <v>46172.50554085648</v>
      </c>
      <c r="C7621" s="3" t="str">
        <f>IFERROR(VLOOKUP(A7621,'Base Prueba'!A:C,3,),"NO REGISTRA")</f>
        <v>LUZ MYRIAM SAAVEDRA CONTRERAS</v>
      </c>
      <c r="D7621" s="4" t="str">
        <f>IFERROR(VLOOKUP(A7621,'Base Prueba'!A:D,4,),"NO REGISTRA")</f>
        <v>AUXILIAR DE SERVICIOS</v>
      </c>
      <c r="E7621" s="5" t="str">
        <f>IFERROR(VLOOKUP(A7621,'Base Prueba'!A:E,5,),"NO REGISTRA")</f>
        <v>LOGISTICA Y SERVICIOS GENERALES</v>
      </c>
    </row>
    <row r="7622" spans="1:5" ht="15.75" x14ac:dyDescent="0.25">
      <c r="A7622" s="14">
        <v>1013616244</v>
      </c>
      <c r="B7622" s="2">
        <v>46172.514761342594</v>
      </c>
      <c r="C7622" s="3" t="str">
        <f>IFERROR(VLOOKUP(A7622,'Base Prueba'!A:C,3,),"NO REGISTRA")</f>
        <v>DIANA CAROLINA MARIN BETANCOURT</v>
      </c>
      <c r="D7622" s="4" t="str">
        <f>IFERROR(VLOOKUP(A7622,'Base Prueba'!A:D,4,),"NO REGISTRA")</f>
        <v>AUXILIAR ADMINISTRATIVO</v>
      </c>
      <c r="E7622" s="5" t="str">
        <f>IFERROR(VLOOKUP(A7622,'Base Prueba'!A:E,5,),"NO REGISTRA")</f>
        <v>REGISTRO Y CONTROL ACADEMICO</v>
      </c>
    </row>
    <row r="7623" spans="1:5" ht="15.75" x14ac:dyDescent="0.25">
      <c r="A7623" s="14">
        <v>1012426741</v>
      </c>
      <c r="B7623" s="2">
        <v>46172.521439467593</v>
      </c>
      <c r="C7623" s="3" t="str">
        <f>IFERROR(VLOOKUP(A7623,'Base Prueba'!A:C,3,),"NO REGISTRA")</f>
        <v>CRISTIAN FABIAN ROJAS SANCENO</v>
      </c>
      <c r="D7623" s="4" t="str">
        <f>IFERROR(VLOOKUP(A7623,'Base Prueba'!A:D,4,),"NO REGISTRA")</f>
        <v>AUXILIAR DE REINTEGROS</v>
      </c>
      <c r="E7623" s="5" t="str">
        <f>IFERROR(VLOOKUP(A7623,'Base Prueba'!A:E,5,),"NO REGISTRA")</f>
        <v>DIRECCION DE BIENESTAR INSTITUCIONAL</v>
      </c>
    </row>
    <row r="7624" spans="1:5" ht="15.75" x14ac:dyDescent="0.25">
      <c r="A7624" s="14">
        <v>1013098430</v>
      </c>
      <c r="B7624" s="2">
        <v>46172.52185636574</v>
      </c>
      <c r="C7624" s="3" t="str">
        <f>IFERROR(VLOOKUP(A7624,'Base Prueba'!A:C,3,),"NO REGISTRA")</f>
        <v>ANDRES FELIPE LOPEZ ROMERO</v>
      </c>
      <c r="D7624" s="4" t="str">
        <f>IFERROR(VLOOKUP(A7624,'Base Prueba'!A:D,4,),"NO REGISTRA")</f>
        <v>APRENDIZ UNIVERSITARIO</v>
      </c>
      <c r="E7624" s="5" t="str">
        <f>IFERROR(VLOOKUP(A7624,'Base Prueba'!A:E,5,),"NO REGISTRA")</f>
        <v>OFICINA DE MERCADEO</v>
      </c>
    </row>
    <row r="7625" spans="1:5" ht="15.75" x14ac:dyDescent="0.25">
      <c r="A7625" s="14">
        <v>1000046533</v>
      </c>
      <c r="B7625" s="2">
        <v>46172.538555092593</v>
      </c>
      <c r="C7625" s="3" t="str">
        <f>IFERROR(VLOOKUP(A7625,'Base Prueba'!A:C,3,),"NO REGISTRA")</f>
        <v>ERIKA JULIETH VALDERRAMA SANCHEZ</v>
      </c>
      <c r="D7625" s="4" t="str">
        <f>IFERROR(VLOOKUP(A7625,'Base Prueba'!A:D,4,),"NO REGISTRA")</f>
        <v>PROMOTOR CALL CENTER</v>
      </c>
      <c r="E7625" s="5" t="str">
        <f>IFERROR(VLOOKUP(A7625,'Base Prueba'!A:E,5,),"NO REGISTRA")</f>
        <v>OFICINA DE MERCADEO</v>
      </c>
    </row>
    <row r="7626" spans="1:5" ht="15.75" x14ac:dyDescent="0.25">
      <c r="A7626" s="14">
        <v>1014308296</v>
      </c>
      <c r="B7626" s="2">
        <v>46172.544302314818</v>
      </c>
      <c r="C7626" s="3" t="str">
        <f>IFERROR(VLOOKUP(A7626,'Base Prueba'!A:C,3,),"NO REGISTRA")</f>
        <v>DARLENE YULIANA MORENO CELEITA</v>
      </c>
      <c r="D7626" s="4" t="str">
        <f>IFERROR(VLOOKUP(A7626,'Base Prueba'!A:D,4,),"NO REGISTRA")</f>
        <v>CAJERO PRINCIPAL</v>
      </c>
      <c r="E7626" s="5" t="str">
        <f>IFERROR(VLOOKUP(A7626,'Base Prueba'!A:E,5,),"NO REGISTRA")</f>
        <v>AREA FINANCIERA Y CONTABLE</v>
      </c>
    </row>
    <row r="7627" spans="1:5" ht="15.75" x14ac:dyDescent="0.25">
      <c r="A7627" s="14">
        <v>1018413529</v>
      </c>
      <c r="B7627" s="2">
        <v>46172.559190509259</v>
      </c>
      <c r="C7627" s="3" t="str">
        <f>IFERROR(VLOOKUP(A7627,'Base Prueba'!A:C,3,),"NO REGISTRA")</f>
        <v>FRANCY STELLA CHARRY MORENO</v>
      </c>
      <c r="D7627" s="4" t="str">
        <f>IFERROR(VLOOKUP(A7627,'Base Prueba'!A:D,4,),"NO REGISTRA")</f>
        <v>PROMOTOR COMERCIAL DEL CEA</v>
      </c>
      <c r="E7627" s="5" t="str">
        <f>IFERROR(VLOOKUP(A7627,'Base Prueba'!A:E,5,),"NO REGISTRA")</f>
        <v>OFICINA DE MERCADEO</v>
      </c>
    </row>
    <row r="7628" spans="1:5" ht="15.75" x14ac:dyDescent="0.25">
      <c r="A7628" s="14">
        <v>1033709056</v>
      </c>
      <c r="B7628" s="2">
        <v>46172.56026111111</v>
      </c>
      <c r="C7628" s="3" t="str">
        <f>IFERROR(VLOOKUP(A7628,'Base Prueba'!A:C,3,),"NO REGISTRA")</f>
        <v>YEIMY ALEXANDRA RODRIGUEZ PALACIO</v>
      </c>
      <c r="D7628" s="4" t="str">
        <f>IFERROR(VLOOKUP(A7628,'Base Prueba'!A:D,4,),"NO REGISTRA")</f>
        <v>PROMOTOR CALL CENTER</v>
      </c>
      <c r="E7628" s="5" t="str">
        <f>IFERROR(VLOOKUP(A7628,'Base Prueba'!A:E,5,),"NO REGISTRA")</f>
        <v>OFICINA DE MERCADEO</v>
      </c>
    </row>
    <row r="7629" spans="1:5" ht="15.75" x14ac:dyDescent="0.25">
      <c r="A7629" s="14">
        <v>53089882</v>
      </c>
      <c r="B7629" s="2">
        <v>46172.560276736112</v>
      </c>
      <c r="C7629" s="3" t="str">
        <f>IFERROR(VLOOKUP(A7629,'Base Prueba'!A:C,3,),"NO REGISTRA")</f>
        <v>MARIA JOHANA ESCAMILLA MARTINEZ</v>
      </c>
      <c r="D7629" s="4" t="str">
        <f>IFERROR(VLOOKUP(A7629,'Base Prueba'!A:D,4,),"NO REGISTRA")</f>
        <v>PROMOTOR DE INFORMACIÓN</v>
      </c>
      <c r="E7629" s="5" t="str">
        <f>IFERROR(VLOOKUP(A7629,'Base Prueba'!A:E,5,),"NO REGISTRA")</f>
        <v>OFICINA DE MERCADEO</v>
      </c>
    </row>
    <row r="7630" spans="1:5" ht="15.75" x14ac:dyDescent="0.25">
      <c r="A7630" s="14">
        <v>52175674</v>
      </c>
      <c r="B7630" s="2">
        <v>46172.584349652781</v>
      </c>
      <c r="C7630" s="3" t="str">
        <f>IFERROR(VLOOKUP(A7630,'Base Prueba'!A:C,3,),"NO REGISTRA")</f>
        <v>LUZ YANETH GOMEZ AREVALO</v>
      </c>
      <c r="D7630" s="4" t="str">
        <f>IFERROR(VLOOKUP(A7630,'Base Prueba'!A:D,4,),"NO REGISTRA")</f>
        <v>COORDINADORA DE ADMISIONES</v>
      </c>
      <c r="E7630" s="5" t="str">
        <f>IFERROR(VLOOKUP(A7630,'Base Prueba'!A:E,5,),"NO REGISTRA")</f>
        <v>OFICINA DE MERCADEO</v>
      </c>
    </row>
    <row r="7631" spans="1:5" ht="15.75" x14ac:dyDescent="0.25">
      <c r="A7631" s="14">
        <v>1023961952</v>
      </c>
      <c r="B7631" s="2">
        <v>46172.604801273148</v>
      </c>
      <c r="C7631" s="3" t="str">
        <f>IFERROR(VLOOKUP(A7631,'Base Prueba'!A:C,3,),"NO REGISTRA")</f>
        <v>ALEJANDRO PINZON MERCHAN</v>
      </c>
      <c r="D7631" s="4" t="str">
        <f>IFERROR(VLOOKUP(A7631,'Base Prueba'!A:D,4,),"NO REGISTRA")</f>
        <v>PROMOTOR CALL CENTER</v>
      </c>
      <c r="E7631" s="5" t="str">
        <f>IFERROR(VLOOKUP(A7631,'Base Prueba'!A:E,5,),"NO REGISTRA")</f>
        <v>OFICINA DE MERCADEO</v>
      </c>
    </row>
    <row r="7632" spans="1:5" ht="15.75" x14ac:dyDescent="0.25">
      <c r="A7632" s="14">
        <v>1014196857</v>
      </c>
      <c r="B7632" s="2">
        <v>46172.618591782404</v>
      </c>
      <c r="C7632" s="3" t="str">
        <f>IFERROR(VLOOKUP(A7632,'Base Prueba'!A:C,3,),"NO REGISTRA")</f>
        <v>CARLOS ANDRES JIMENEZ PARDO</v>
      </c>
      <c r="D7632" s="4" t="str">
        <f>IFERROR(VLOOKUP(A7632,'Base Prueba'!A:D,4,),"NO REGISTRA")</f>
        <v>COORDINADOR DE MARKETING DIGITAL</v>
      </c>
      <c r="E7632" s="5" t="str">
        <f>IFERROR(VLOOKUP(A7632,'Base Prueba'!A:E,5,),"NO REGISTRA")</f>
        <v>OFICINA DE MERCADEO</v>
      </c>
    </row>
    <row r="7633" spans="1:5" ht="15.75" x14ac:dyDescent="0.25">
      <c r="A7633" s="14">
        <v>52764929</v>
      </c>
      <c r="B7633" s="2">
        <v>46172.61871909722</v>
      </c>
      <c r="C7633" s="3" t="str">
        <f>IFERROR(VLOOKUP(A7633,'Base Prueba'!A:C,3,),"NO REGISTRA")</f>
        <v>GUERLY YOHANA DURAN RIVERA</v>
      </c>
      <c r="D7633" s="4" t="str">
        <f>IFERROR(VLOOKUP(A7633,'Base Prueba'!A:D,4,),"NO REGISTRA")</f>
        <v>LIDER DE VINCULACION COLEGIOS</v>
      </c>
      <c r="E7633" s="5" t="str">
        <f>IFERROR(VLOOKUP(A7633,'Base Prueba'!A:E,5,),"NO REGISTRA")</f>
        <v>OFICINA DE MERCADEO</v>
      </c>
    </row>
    <row r="7634" spans="1:5" ht="15.75" x14ac:dyDescent="0.25">
      <c r="A7634" s="14">
        <v>28798349</v>
      </c>
      <c r="B7634" s="2">
        <v>46172.635725694447</v>
      </c>
      <c r="C7634" s="3" t="str">
        <f>IFERROR(VLOOKUP(A7634,'Base Prueba'!A:C,3,),"NO REGISTRA")</f>
        <v>MARTHA ISABEL TOVAR WILLIAMS</v>
      </c>
      <c r="D7634" s="4" t="str">
        <f>IFERROR(VLOOKUP(A7634,'Base Prueba'!A:D,4,),"NO REGISTRA")</f>
        <v>PROMOTOR CALL CENTER</v>
      </c>
      <c r="E7634" s="5" t="str">
        <f>IFERROR(VLOOKUP(A7634,'Base Prueba'!A:E,5,),"NO REGISTRA")</f>
        <v>OFICINA DE MERCADEO</v>
      </c>
    </row>
    <row r="7635" spans="1:5" ht="15.75" x14ac:dyDescent="0.25">
      <c r="A7635" s="14">
        <v>1032407386</v>
      </c>
      <c r="B7635" s="2">
        <v>46172.653641319448</v>
      </c>
      <c r="C7635" s="3" t="str">
        <f>IFERROR(VLOOKUP(A7635,'Base Prueba'!A:C,3,),"NO REGISTRA")</f>
        <v>GINA PAOLA BAEZ GALVIS</v>
      </c>
      <c r="D7635" s="4" t="str">
        <f>IFERROR(VLOOKUP(A7635,'Base Prueba'!A:D,4,),"NO REGISTRA")</f>
        <v>PROMOTOR CALL CENTER</v>
      </c>
      <c r="E7635" s="5" t="str">
        <f>IFERROR(VLOOKUP(A7635,'Base Prueba'!A:E,5,),"NO REGISTRA")</f>
        <v>OFICINA DE MERCADEO</v>
      </c>
    </row>
    <row r="7636" spans="1:5" ht="15.75" x14ac:dyDescent="0.25">
      <c r="A7636" s="14">
        <v>1018414290</v>
      </c>
      <c r="B7636" s="2">
        <v>46172.653679513889</v>
      </c>
      <c r="C7636" s="3" t="str">
        <f>IFERROR(VLOOKUP(A7636,'Base Prueba'!A:C,3,),"NO REGISTRA")</f>
        <v>AMANDA LISBETH RODRIGUEZ LEON</v>
      </c>
      <c r="D7636" s="4" t="str">
        <f>IFERROR(VLOOKUP(A7636,'Base Prueba'!A:D,4,),"NO REGISTRA")</f>
        <v>PROMOTOR CALL CENTER</v>
      </c>
      <c r="E7636" s="5" t="str">
        <f>IFERROR(VLOOKUP(A7636,'Base Prueba'!A:E,5,),"NO REGISTRA")</f>
        <v>OFICINA DE MERCADEO</v>
      </c>
    </row>
    <row r="7637" spans="1:5" ht="15.75" x14ac:dyDescent="0.25">
      <c r="A7637" s="14">
        <v>1032469638</v>
      </c>
      <c r="B7637" s="2">
        <v>46172.676363194441</v>
      </c>
      <c r="C7637" s="3" t="str">
        <f>IFERROR(VLOOKUP(A7637,'Base Prueba'!A:C,3,),"NO REGISTRA")</f>
        <v>MAICOL JARBEY GUALTEROS CASTAÑEDA</v>
      </c>
      <c r="D7637" s="4" t="str">
        <f>IFERROR(VLOOKUP(A7637,'Base Prueba'!A:D,4,),"NO REGISTRA")</f>
        <v>COORDINADOR DEL SISTEMA INTERNO DE ASEGURAMIENTO DE LA CALIDAD - SIAC</v>
      </c>
      <c r="E7637" s="5" t="str">
        <f>IFERROR(VLOOKUP(A7637,'Base Prueba'!A:E,5,),"NO REGISTRA")</f>
        <v>OFICINA DE PLANEACION Y GESTION DE LA CALIDAD</v>
      </c>
    </row>
    <row r="7638" spans="1:5" ht="15.75" x14ac:dyDescent="0.25">
      <c r="A7638" s="14">
        <v>1024512067</v>
      </c>
      <c r="B7638" s="2">
        <v>46172.676676388888</v>
      </c>
      <c r="C7638" s="3" t="str">
        <f>IFERROR(VLOOKUP(A7638,'Base Prueba'!A:C,3,),"NO REGISTRA")</f>
        <v>CINDY GIOVANA SALGAR GOMEZ</v>
      </c>
      <c r="D7638" s="4" t="str">
        <f>IFERROR(VLOOKUP(A7638,'Base Prueba'!A:D,4,),"NO REGISTRA")</f>
        <v>COORDINADOR DEL SISTEMA INTEGRADO DE GESTION INSTITUCIONAL - SIGI</v>
      </c>
      <c r="E7638" s="5" t="str">
        <f>IFERROR(VLOOKUP(A7638,'Base Prueba'!A:E,5,),"NO REGISTRA")</f>
        <v>OFICINA DE PLANEACION Y GESTION DE LA CALIDAD</v>
      </c>
    </row>
    <row r="7639" spans="1:5" ht="15.75" x14ac:dyDescent="0.25">
      <c r="A7639" s="14">
        <v>1087121273</v>
      </c>
      <c r="B7639" s="2">
        <v>46172.696526736108</v>
      </c>
      <c r="C7639" s="3" t="str">
        <f>IFERROR(VLOOKUP(A7639,'Base Prueba'!A:C,3,),"NO REGISTRA")</f>
        <v>MAYRA ALEJANDRA CASTILLO ARBOLEDA</v>
      </c>
      <c r="D7639" s="4" t="str">
        <f>IFERROR(VLOOKUP(A7639,'Base Prueba'!A:D,4,),"NO REGISTRA")</f>
        <v>APOYO INTEGRAL DE MERCADEO</v>
      </c>
      <c r="E7639" s="5" t="str">
        <f>IFERROR(VLOOKUP(A7639,'Base Prueba'!A:E,5,),"NO REGISTRA")</f>
        <v>CENTRO DE GESTION DOCUMENTAL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 Prueba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UNINPAHU</dc:creator>
  <cp:lastModifiedBy>JUAN CARLOS PAZ CUBILLOS</cp:lastModifiedBy>
  <dcterms:created xsi:type="dcterms:W3CDTF">2020-10-03T15:19:28Z</dcterms:created>
  <dcterms:modified xsi:type="dcterms:W3CDTF">2026-06-22T20:14:45Z</dcterms:modified>
</cp:coreProperties>
</file>