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pahuedu-my.sharepoint.com/personal/juanpaz_uninpahu_edu_co/Documents/Documentos/JUANPAZ/Backup_Huelleros_xlsm/2026/Junio2026/TYLER/"/>
    </mc:Choice>
  </mc:AlternateContent>
  <xr:revisionPtr revIDLastSave="2" documentId="11_4C9F4659CF071347A36783EB2F3C5C0CD7087092" xr6:coauthVersionLast="47" xr6:coauthVersionMax="47" xr10:uidLastSave="{534853FC-AE78-4B40-91E4-AA48168AFD91}"/>
  <bookViews>
    <workbookView xWindow="-120" yWindow="-120" windowWidth="24240" windowHeight="13290" firstSheet="1" activeTab="1" xr2:uid="{00000000-000D-0000-FFFF-FFFF00000000}"/>
  </bookViews>
  <sheets>
    <sheet name="Base Prueba" sheetId="4" state="hidden" r:id="rId1"/>
    <sheet name="Validacion" sheetId="1" r:id="rId2"/>
  </sheets>
  <definedNames>
    <definedName name="_xlnm._FilterDatabase" localSheetId="1" hidden="1">Validacion!$A$1:$E$1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7" i="1" l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3" i="1" l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2" i="1"/>
  <c r="D2" i="1"/>
  <c r="E2" i="1"/>
</calcChain>
</file>

<file path=xl/sharedStrings.xml><?xml version="1.0" encoding="utf-8"?>
<sst xmlns="http://schemas.openxmlformats.org/spreadsheetml/2006/main" count="13114" uniqueCount="3716">
  <si>
    <t>FECHA Y HORA</t>
  </si>
  <si>
    <t>VICERRECTORIA ACADEMICA</t>
  </si>
  <si>
    <t>TECNOLOGIA EN SISTEMAS DE INFORMACION Y DOCUMENTACION</t>
  </si>
  <si>
    <t>INGENIERIA DE SOFTWARE</t>
  </si>
  <si>
    <t>DEPARTAMENTO DE CONTABILIDAD</t>
  </si>
  <si>
    <t>CIENCIAS DE LA INFORMACION Y BIBLIOTECOLOGIA</t>
  </si>
  <si>
    <t>TECNOLOGIA EN COMUNICACIÓN SOCIAL - PERIODISMO</t>
  </si>
  <si>
    <t>TECNICA EN FOTOGRAFIA</t>
  </si>
  <si>
    <t>UNIVERSITARIO COMUNICACION SOCIAL</t>
  </si>
  <si>
    <t>TECNOLOGIA EN GESTION TURISTICA Y HOTELERA</t>
  </si>
  <si>
    <t>UNIVERSITARIO ADMINISTRACION DE EMPRESAS</t>
  </si>
  <si>
    <t>TECNOLOGIA EN ADMINISTRACION DEL TALENTO HUMANO</t>
  </si>
  <si>
    <t>UNIDAD DE IDIOMAS</t>
  </si>
  <si>
    <t>UNIVERSITARIO EN SEGURIDAD Y SALUD EN EL TRABAJO</t>
  </si>
  <si>
    <t>TECNOLOGÍA EN PRODUCCIÓN DE MEDIOS AUDIOVISUALES</t>
  </si>
  <si>
    <t>UNIVERSITARIO EN TURISMO Y GASTRONOMIA</t>
  </si>
  <si>
    <t>DEPARTAMENTO DE INFORMATICA Y TECNOLOGIA</t>
  </si>
  <si>
    <t>VICERRECTORIA DE BIENESTAR INSTITUCIONAL</t>
  </si>
  <si>
    <t>SECRETARIA GENERAL</t>
  </si>
  <si>
    <t>OFICINA DE COMUNICACION IMAGEN Y PROMOCION INSTITUCIONAL</t>
  </si>
  <si>
    <t>DEPARTAMENTO DE GESTION HUMANA</t>
  </si>
  <si>
    <t>VICERRECTORIA ADMINISTRATIVA Y FINANCIERA</t>
  </si>
  <si>
    <t>RECURSOS ACADEMICOS</t>
  </si>
  <si>
    <t>LOGISTICA Y SERVICIOS GENERALES</t>
  </si>
  <si>
    <t>OFICINA DE PLANEACION Y GESTION DE LA CALIDAD</t>
  </si>
  <si>
    <t>RECTORIA</t>
  </si>
  <si>
    <t>BIBLIOTECA</t>
  </si>
  <si>
    <t>FACULTAD DE CIENCIAS ECONOMICAS Y ADMINISTRATIVAS</t>
  </si>
  <si>
    <t>PRESIDENCIA</t>
  </si>
  <si>
    <t>FACULTAD DE COMUNICACIÓN, INFORMACION Y LENGUAJE</t>
  </si>
  <si>
    <t>REGISTRO Y CONTROL ACADEMICO</t>
  </si>
  <si>
    <t>ADMISIONES, REGISTRO Y CONTROL ACADEMICO</t>
  </si>
  <si>
    <t>NOMBRE COMPLETO</t>
  </si>
  <si>
    <t>VICERRECTORIA ADMINISTRATIVA</t>
  </si>
  <si>
    <t>RECEPCIONISTA - CORRESPONDENCIA</t>
  </si>
  <si>
    <t>CONTADOR</t>
  </si>
  <si>
    <t>PASANTE</t>
  </si>
  <si>
    <t>DECANO</t>
  </si>
  <si>
    <t>DOCENTE DE MEDIO TIEMPO</t>
  </si>
  <si>
    <t>LIDER DE EDUCACION CONTINUA</t>
  </si>
  <si>
    <t>AUXILIAR DE SERVICIOS</t>
  </si>
  <si>
    <t>AUXILIAR ADMINISTRATIVO</t>
  </si>
  <si>
    <t>TESORERO</t>
  </si>
  <si>
    <t>DOCENTE DE TIEMPO COMPLETO</t>
  </si>
  <si>
    <t>AUXILIAR DE SISTEMAS</t>
  </si>
  <si>
    <t>ABOGADO ASISTENTE</t>
  </si>
  <si>
    <t>PROMOTOR APOYO COMERCIAL EXTENSIÓN</t>
  </si>
  <si>
    <t>APRENDIZ ETAPA PRODUCTIVA INPAHU</t>
  </si>
  <si>
    <t>PROMOTOR CALL CENTER</t>
  </si>
  <si>
    <t>SECRETARIO GENERAL</t>
  </si>
  <si>
    <t>COORDINADOR DE SEGURIDAD Y SALUD EN EL TRABAJO</t>
  </si>
  <si>
    <t>DIRECTORA DE GESTION HUMANA</t>
  </si>
  <si>
    <t>AUXILIAR RECURSOS ACADÉMICOS</t>
  </si>
  <si>
    <t>AUXILIAR CONTABLE</t>
  </si>
  <si>
    <t>ANALISTA DE SISTEMAS</t>
  </si>
  <si>
    <t>ANALISTA DE REDES</t>
  </si>
  <si>
    <t>CAJERO PRINCIPAL</t>
  </si>
  <si>
    <t>AUXILIAR  DE MANTENIMIENTO</t>
  </si>
  <si>
    <t>OFICIAL DE MANTENIMIENTO</t>
  </si>
  <si>
    <t>PROMOTOR DE INFORMACIÓN</t>
  </si>
  <si>
    <t>ELECTRICISTA</t>
  </si>
  <si>
    <t>AUXILIAR DE SERVICIOS  GENERALES</t>
  </si>
  <si>
    <t>DIR BIENESTAR INSTITUCIONAL, PROYEC SOCIAL Y GEST EGRESADOS</t>
  </si>
  <si>
    <t>APOYO INTEGRAL A GESTION HUMANA</t>
  </si>
  <si>
    <t>RECTOR</t>
  </si>
  <si>
    <t>APOYO INTEGRAL ACADEMIA</t>
  </si>
  <si>
    <t>VICERRECTOR ADMINISTRATIVO Y FINANCIERO</t>
  </si>
  <si>
    <t>PRESIDENTE</t>
  </si>
  <si>
    <t>DIR. OFICINA DE PLANEACION Y GESTION DE LA CALIDAD</t>
  </si>
  <si>
    <t>LIDER DE ATENCIÓN Y SERVICIO AL ESTUDIANTE</t>
  </si>
  <si>
    <t>VICERRECTOR ACADEMICO</t>
  </si>
  <si>
    <t>SECRETARIA ACADÉMICA GENERAL</t>
  </si>
  <si>
    <t>SUPERVISOR DE SERVICIOS</t>
  </si>
  <si>
    <t>APOYO INTEGRAL ADMISIONES, REGISTRO Y CONTROL</t>
  </si>
  <si>
    <t>APOYO INTEGRAL DIRECCION GENERAL</t>
  </si>
  <si>
    <t>COORDINADOR</t>
  </si>
  <si>
    <t>Documento</t>
  </si>
  <si>
    <t>DIRECTOR FINANCIERO</t>
  </si>
  <si>
    <t>AUXILIAR SEGURIDAD Y SALUD EN EL TRABAJO</t>
  </si>
  <si>
    <t>APRENDIZ UNIVERSITARIO</t>
  </si>
  <si>
    <t>LIDER DE GESTION HUMANA</t>
  </si>
  <si>
    <t>COORDINADOR DE BIBLIOTECA</t>
  </si>
  <si>
    <t>DEPARTAMENTO</t>
  </si>
  <si>
    <t>ADM</t>
  </si>
  <si>
    <t>DOC</t>
  </si>
  <si>
    <t>AREA DE COMUNICACIÓN Y PRODUCCION</t>
  </si>
  <si>
    <t>AREA DE CIENCIAS SOCIALES Y EXPRESION</t>
  </si>
  <si>
    <t>OFICINA DE ASEGURAMIENTO DE LA CALIDAD ACADEMICA Y DESARROLLO DE LA DOCENCIA</t>
  </si>
  <si>
    <t>PROFESIONAL DE ASEGURAMIENTO DEL APRENDIZAJE</t>
  </si>
  <si>
    <t>AUXILIAR DE COMUNICACIONES Y PRODUCCION AUDIOVISUAL</t>
  </si>
  <si>
    <t>LIDER DE COMUNICACIONES</t>
  </si>
  <si>
    <t>COORDINADOR DEL SISTEMA INTEGRADO DE GESTIÓN INSTITUCIONAL</t>
  </si>
  <si>
    <t>COORDINADORA DE PERMANENCIA Y APOYO ESTUDIANTIL</t>
  </si>
  <si>
    <t>APOYO INTEGRAL DE PROCESOS</t>
  </si>
  <si>
    <t>APOYO INTEGRAL DE MERCADEO</t>
  </si>
  <si>
    <t>COORDINADOR DE MARKETING DIGITAL</t>
  </si>
  <si>
    <t>AUXILIAR DE ARCHIVO</t>
  </si>
  <si>
    <t>AUXILIAR DE DISEÑO</t>
  </si>
  <si>
    <t>LIDER DE ENTORNOS VIRTUALES DEL APRENDIZAJE</t>
  </si>
  <si>
    <t>COORDINADOR DE CENTRO DE IDIOMAS</t>
  </si>
  <si>
    <t>COORDINADOR GESTION DOCUMENTAL</t>
  </si>
  <si>
    <t>LIDER DE REGISTRO Y CONTROL</t>
  </si>
  <si>
    <t>LIDER COMERCIAL</t>
  </si>
  <si>
    <t>LIDER DE ASEGURAMIENTO DEL APRENDIZAJE</t>
  </si>
  <si>
    <t>LIDER DE PROCESOS INTEGRADOS</t>
  </si>
  <si>
    <t>LIDER DE CONTACT CENTER</t>
  </si>
  <si>
    <t>COORDINADOR DE MEDIOS AUDIOVISUALES</t>
  </si>
  <si>
    <t>COORDINADOR DE DISEÑO E IMAGEN INSTITUCIONAL</t>
  </si>
  <si>
    <t>ADMINISTRADOR SISTEMA ACADEMICO DE INFORMACION SAI</t>
  </si>
  <si>
    <t>HON</t>
  </si>
  <si>
    <t>NOMBRE_DEPENDENCIA</t>
  </si>
  <si>
    <t>NOMBRE_CARGO</t>
  </si>
  <si>
    <t>NOMBRE</t>
  </si>
  <si>
    <t>EMPRESA</t>
  </si>
  <si>
    <t>NIT</t>
  </si>
  <si>
    <t>CARGO</t>
  </si>
  <si>
    <t>CAT</t>
  </si>
  <si>
    <t>CATEDRATICO</t>
  </si>
  <si>
    <t>ESPECIALIZACION EN GERENCIA DE PROYECTOS INFORMATICOS</t>
  </si>
  <si>
    <t>ESPECIALIZACIÓN EN SEGURIDAD INFORMÁTICA</t>
  </si>
  <si>
    <t>ESPECIALIZACION EN INNOVACION EDUCATIVA EN TIC</t>
  </si>
  <si>
    <t>AJUSTES SEGURIDAD SOCIAL</t>
  </si>
  <si>
    <t>COORDINADOR DE NOMINA</t>
  </si>
  <si>
    <t>COORDINACION DE NOMINA</t>
  </si>
  <si>
    <t>FRANKLIN JOSE COLINA GONZALEZ</t>
  </si>
  <si>
    <t>LINTON ALEJANDRO TORO PEÑA</t>
  </si>
  <si>
    <t>JOSE FRANCISCO NIEVES PIMIENTO</t>
  </si>
  <si>
    <t>TECNOLOGIA EN COMERCIO Y NEGOCIOS INTERNACIONALES</t>
  </si>
  <si>
    <t>PAULO ANTONIO LONDOÑO CASTRO</t>
  </si>
  <si>
    <t>PROFESIONAL</t>
  </si>
  <si>
    <t>GONZALO  JARAMILLO RUIZ</t>
  </si>
  <si>
    <t>SIN DEFINIR</t>
  </si>
  <si>
    <t>MAURICIO RICARDO SARASTY GUERRERO</t>
  </si>
  <si>
    <t>FRANCISCO RICARDO MUÑOZ MUÑOZ</t>
  </si>
  <si>
    <t>AREA DE CIENCIAS BASICAS</t>
  </si>
  <si>
    <t>LEONARDO  LONDOÑO  DIAZ</t>
  </si>
  <si>
    <t>JUAN PABLO HENAO VALLEJO</t>
  </si>
  <si>
    <t>AUXILIAR TALLER DE RADIO Y TELEVISION</t>
  </si>
  <si>
    <t>COORDINACION TALLERES TV Y RADIO</t>
  </si>
  <si>
    <t>ALFONSO GONZALEZ CASTILLO</t>
  </si>
  <si>
    <t>JUAN SEBASTIAN TORRES LOMBANA</t>
  </si>
  <si>
    <t>APRENDIZ ETAPA PRODUCTIVA SENA</t>
  </si>
  <si>
    <t>COORDINACION DE TALLERES Y LABORATORIOS</t>
  </si>
  <si>
    <t>SURY VANESA OROZCO BEDOYA</t>
  </si>
  <si>
    <t>DIEGO ALEJANDRO SOTO HUERTAS</t>
  </si>
  <si>
    <t>FERNANDO  YEPES CALDERON</t>
  </si>
  <si>
    <t>LUIS FERNANDO MEDINA CARDONA</t>
  </si>
  <si>
    <t>TECNOLOGIA EN SISTEMAS</t>
  </si>
  <si>
    <t>VICTOR MANUEL PEÑA LEON</t>
  </si>
  <si>
    <t>LUIS FERNANDO RODRIGUEZ BOHORQUEZ</t>
  </si>
  <si>
    <t>LUIS ALBERTO CORREA MARIN</t>
  </si>
  <si>
    <t>INSTRUCTOR</t>
  </si>
  <si>
    <t>DEPARTAMENTO DE CULTURA, RECREACION Y DEPORTE</t>
  </si>
  <si>
    <t>UBERNEY OSORIO BORJA</t>
  </si>
  <si>
    <t>COORDINADOR DE SGSST</t>
  </si>
  <si>
    <t>SALUD INTEGRAL Y SEGURIDAD EN EL TRABAJO</t>
  </si>
  <si>
    <t>JEFFERSSON STIVEN BONILLA MAHECHA</t>
  </si>
  <si>
    <t>CARLOS GILBERTO DONOSO ALBARRACIN</t>
  </si>
  <si>
    <t>OSCAR AUGUSTO AGUDELO MENDIVELSO</t>
  </si>
  <si>
    <t>NELSON ENRIQUE VERA PARRA</t>
  </si>
  <si>
    <t>ALEXANDER CALDERON ALVARADO</t>
  </si>
  <si>
    <t>RICHARD FERNANDO GIL OSPINA</t>
  </si>
  <si>
    <t>NESTOR ALEXANDER HERNANDEZ MORENO</t>
  </si>
  <si>
    <t>OSCAR EMILIO MORA NAVARRO</t>
  </si>
  <si>
    <t>LUIS FERNANDO DOMINGUEZ BONILLA</t>
  </si>
  <si>
    <t>JUAN CARLOS OLAYA P</t>
  </si>
  <si>
    <t>YILMAN MEDINA CASTAÑEDA</t>
  </si>
  <si>
    <t>ALEXANDER CABRERA CARDENAS</t>
  </si>
  <si>
    <t>TECNOLOGIA EN SEGURIDAD Y SALUD EN EL TRABAJO</t>
  </si>
  <si>
    <t>MANUEL IGNACIO CABRERA CUELLAR</t>
  </si>
  <si>
    <t>TECNOLOGIA EN COMPUTACION Y DESARROLLO SOFTWARE</t>
  </si>
  <si>
    <t>HUGO FERNANDO POSADA QUINTERO</t>
  </si>
  <si>
    <t>DOCENTE DE MEDIO TIEMPO CON FUNC. DE COORD. DE AR</t>
  </si>
  <si>
    <t>INVESTIGACION FACULTAD DE NUEVAS TECNOLOGIAS</t>
  </si>
  <si>
    <t>RAUL  ROVIRA GAMARRA</t>
  </si>
  <si>
    <t>MANUEL DE JESUS LASTRE AMELL</t>
  </si>
  <si>
    <t>HENRY ALFONSO DE LA OSSA SIERRA</t>
  </si>
  <si>
    <t>DEISY MARILIN CABRERA SAAVEDRA</t>
  </si>
  <si>
    <t>ALVARO ANDRES HAMBURGER FERNANDEZ</t>
  </si>
  <si>
    <t>AREA DE CIENCIAS SOCIALES</t>
  </si>
  <si>
    <t>WILLIAM FERNANDO APARICIO CAMACHO</t>
  </si>
  <si>
    <t>LUIS EDUARDO FLOREZ HOLGUIN</t>
  </si>
  <si>
    <t>LIBARDO GOMEZ DIAZ</t>
  </si>
  <si>
    <t>FABIO ALEXANDER TURRIAGO GAMBOA</t>
  </si>
  <si>
    <t>DANNY JIMENEZ RIOS</t>
  </si>
  <si>
    <t>DOCENTE TIEMPO COMP. CON FUNCIONES DE DIR DE CARR</t>
  </si>
  <si>
    <t>TECNOLOGIA EN MERCADEO</t>
  </si>
  <si>
    <t>CARLOS JAHIR PEDRAZA RUIZ</t>
  </si>
  <si>
    <t>JOSE IGNACIO ANZOLA</t>
  </si>
  <si>
    <t>ALEXANDER REINA OTERO</t>
  </si>
  <si>
    <t>WILLINGTON GONZALEZ MARTINEZ</t>
  </si>
  <si>
    <t>FABIO ANDRES RIBERO SALAZAR</t>
  </si>
  <si>
    <t>CARLOS ALBERTO ESPINOSA HERRERA</t>
  </si>
  <si>
    <t>KENNYS ALEXANDER MORA VILLEGAS</t>
  </si>
  <si>
    <t>LUIS ALBERTO MORENO AYALA</t>
  </si>
  <si>
    <t>PROMOTOR II</t>
  </si>
  <si>
    <t>OFICINA DE MERCADEO</t>
  </si>
  <si>
    <t>RAFAEL  SANABRIA DIAZ</t>
  </si>
  <si>
    <t>JAIRO ENRIQUE ALMEIDA FRANCO</t>
  </si>
  <si>
    <t>ASISTENTE ADMINISTRATIVO</t>
  </si>
  <si>
    <t>RAUL DIAZ PEREZ</t>
  </si>
  <si>
    <t>SAMUEL LEONARDO VILLAMIZAR BERDUGO</t>
  </si>
  <si>
    <t>YEILOR RAFAEL ESPINEL TORRES</t>
  </si>
  <si>
    <t>DOCENTE DE TIEMPO COMP. CON FUNC. DE COORD. DE AR</t>
  </si>
  <si>
    <t>RAMIRO ANDRES FLOREZ GARROTT</t>
  </si>
  <si>
    <t>AREA JURIDICA</t>
  </si>
  <si>
    <t>JAVIER MAURICIO SOTO PULIDO</t>
  </si>
  <si>
    <t>JUAN JOSE LONDOÑO PABON</t>
  </si>
  <si>
    <t>JOHN JAIRO HERNANDEZ VILLAMIZAR</t>
  </si>
  <si>
    <t>JOSE GREGORIO OGLIASTRI GIL-FALCO</t>
  </si>
  <si>
    <t>AREA FINANCIERA Y CONTABLE</t>
  </si>
  <si>
    <t>HERNAN EDUARDO BUITRAGO VILLAMIZAR</t>
  </si>
  <si>
    <t>LUIS FERNANDO BOTERO CARDONA</t>
  </si>
  <si>
    <t>LUIS FELIPE MARTINEZ GUERRERO</t>
  </si>
  <si>
    <t>LUIS ENRIQUE BELEÑO GUTIERREZ</t>
  </si>
  <si>
    <t>DACARTH RAFAEL SARMIENTO PORTO</t>
  </si>
  <si>
    <t>JOAN  CARLOS MIER ERASO</t>
  </si>
  <si>
    <t>PRODUCTOR DE MEDIO AUDIOVISUALES INSTITUCIONALES</t>
  </si>
  <si>
    <t>ALFREDO DE LEON MONSALVE</t>
  </si>
  <si>
    <t>OSCAR JULIAN HERRERA FAJARDO</t>
  </si>
  <si>
    <t>JEAN ANDREI BRICEÑO VELANDIA</t>
  </si>
  <si>
    <t>GABRIEL ROJAS MANJARREZ</t>
  </si>
  <si>
    <t>CARLOS ALBERTO ROJAS CARVAJAL</t>
  </si>
  <si>
    <t>DANIEL NICOLAS CABRAL BONILLA</t>
  </si>
  <si>
    <t>ADALBERTO JOSE MORENO GONZALEZ</t>
  </si>
  <si>
    <t>AUXILIAR DE PARQUEADERO</t>
  </si>
  <si>
    <t>FRANCISCO TOMAS HURTADO MEYER</t>
  </si>
  <si>
    <t>CARLOS ALBERTO RAMIREZ SALINA</t>
  </si>
  <si>
    <t>ANDRES FABIAN FUENTES TORRES</t>
  </si>
  <si>
    <t>EDGAR JOSE PISCIOTTI LEON</t>
  </si>
  <si>
    <t>CAMILO ERNESTO TORRES LUQUERNA</t>
  </si>
  <si>
    <t>EDUARDO RAFAEL ORTEGA PADILLA</t>
  </si>
  <si>
    <t>TECNOLOGIA EN TELECOMUNICACIONES</t>
  </si>
  <si>
    <t>STALYN  BALLESTEROS GARCIA</t>
  </si>
  <si>
    <t>HORDERLIN VRANGEL ROBLES VEGA</t>
  </si>
  <si>
    <t>ALVARO IVAN GARCIA GARCIA</t>
  </si>
  <si>
    <t>CARLOS EDUARDO QUINTERO VALDERRAMA</t>
  </si>
  <si>
    <t>AREA ADMINISTRATIVA</t>
  </si>
  <si>
    <t>HUMBERTO  SOTO MESA</t>
  </si>
  <si>
    <t>RICARDO VARGAS</t>
  </si>
  <si>
    <t>ROBERTO ALEJANDRO MORALES RUBIO</t>
  </si>
  <si>
    <t>DISEÑADOR GRAFICO</t>
  </si>
  <si>
    <t>CENTRO DE PRODUCCION DE ARTES GRAFICAS</t>
  </si>
  <si>
    <t>JAVIER DAVID AVILA ECHEVERRIA</t>
  </si>
  <si>
    <t>JUAN PABLO CHIVATA PEÑA</t>
  </si>
  <si>
    <t>EDWIN GUILLERMO POSADA HERNANDEZ</t>
  </si>
  <si>
    <t>ANALISTA DE PAUTA</t>
  </si>
  <si>
    <t>JHON EDISON AREVALO BUSTOS</t>
  </si>
  <si>
    <t>CENTRO DE GESTION DOCUMENTAL</t>
  </si>
  <si>
    <t>NESTOR FABIAN FRANCO FLOREZ</t>
  </si>
  <si>
    <t>VICTOR  RAFAEL BERTEL SUAREZ</t>
  </si>
  <si>
    <t>SIMAR ENRIQUE HERRERA JIMENEZ</t>
  </si>
  <si>
    <t>JULIAN ANDRES URIBE MORA</t>
  </si>
  <si>
    <t>NICOLAS MUJICA URREGO</t>
  </si>
  <si>
    <t>JUAN SEBASTIAN LARA RODRIGUEZ</t>
  </si>
  <si>
    <t>CARLOS ANDRES SANABRIA DUARTE</t>
  </si>
  <si>
    <t>ANDRES DAVID HERRERA CASTRO</t>
  </si>
  <si>
    <t>WALTHER LADINO SANCHEZ</t>
  </si>
  <si>
    <t>OSCAR JAVIER ZALDUA RODRIGUEZ</t>
  </si>
  <si>
    <t>GILBERTO ALONSO RAMIREZ ROBAYO</t>
  </si>
  <si>
    <t>JHON FREDY CUERVO GONZALEZ</t>
  </si>
  <si>
    <t>CARLOS ANDRES PULIDO IBARRA</t>
  </si>
  <si>
    <t>JAVIER ERNESTO SANCHEZ ROZO</t>
  </si>
  <si>
    <t>TECNOLOGIA EN SALUD OCUPACIONAL</t>
  </si>
  <si>
    <t>OMAR ALEXANDER VALDERRAMA ESPEJO</t>
  </si>
  <si>
    <t>JOHN ALEXANDER HERNANDEZ OLARTE</t>
  </si>
  <si>
    <t>CARLOS FELIPE HERNANDEZ ROJAS</t>
  </si>
  <si>
    <t>CESAR AUGUSTO BARBERI VARGAS</t>
  </si>
  <si>
    <t>ALBERTO  OVIEDO URREA SOLANO</t>
  </si>
  <si>
    <t>ADMINISTRADOR DE BASE DE DATOS</t>
  </si>
  <si>
    <t>ANDRES RICARDO BELTRAN VILLEGAS</t>
  </si>
  <si>
    <t>MEDICO</t>
  </si>
  <si>
    <t>DEPARTAMENTO DE SALUD INTEGRAL</t>
  </si>
  <si>
    <t>LUIS ALEJANDRO GUZMAN YOPASA</t>
  </si>
  <si>
    <t>GUSTAVO HUMBERTO ALARCON SUAREZ</t>
  </si>
  <si>
    <t>JAVIER YESID MOLINA CASTILLO</t>
  </si>
  <si>
    <t>ELFAR DIDIER MORANTES SANCHEZ</t>
  </si>
  <si>
    <t>JUAN SEBASTIAN RODRIGUEZ GALINDO</t>
  </si>
  <si>
    <t>PROFESIONAL DE APOYO EN CALIDAD</t>
  </si>
  <si>
    <t>JOAN EDISON ROZO SALINAS</t>
  </si>
  <si>
    <t>JUAN CAMILO CASALLAS MOYA</t>
  </si>
  <si>
    <t>JUAN  MANUEL LLACH VELASQUEZ</t>
  </si>
  <si>
    <t>DANIEL FERNANDO RODRIGUEZ MORENO</t>
  </si>
  <si>
    <t>OMAR ANDRES BONILLA ACOSTA</t>
  </si>
  <si>
    <t>LUIS ALEXANDER TRIANA YANQUEN</t>
  </si>
  <si>
    <t>LUIS HELI RUIZ GUTIERREZ</t>
  </si>
  <si>
    <t>YEISON GABRIEL GARCIA ALVARADO</t>
  </si>
  <si>
    <t>EDIXON LEANDRO MESTIZO DIAZ</t>
  </si>
  <si>
    <t>JORGE ALEJANDRO CARRILLO FUENTES</t>
  </si>
  <si>
    <t>JOSE ANTONIO RODRIGUEZ TERE</t>
  </si>
  <si>
    <t>AUXILIAR ELECTRICO</t>
  </si>
  <si>
    <t>CHRISTIAN PAUL VALENCIA SEGURA</t>
  </si>
  <si>
    <t>JULIAN MARTIN MOLANO GALINDO</t>
  </si>
  <si>
    <t>EDGAR GIOVANNY POVEDA ROBLES</t>
  </si>
  <si>
    <t>JONHY ANDREE BENAVIDES AGUILERA</t>
  </si>
  <si>
    <t>ISMAEL ALEXIS AREVALO GALINDO</t>
  </si>
  <si>
    <t>DANIEL FERNANDO POLANIA CASTRO</t>
  </si>
  <si>
    <t>JOBAN  DARIO CAMARGO RODRIGUEZ</t>
  </si>
  <si>
    <t>JIMY JAVIER ALDANA REYES</t>
  </si>
  <si>
    <t>CAMILO ANDRES ACOSTA HERMOSA</t>
  </si>
  <si>
    <t>OFICINA DE PRENSA</t>
  </si>
  <si>
    <t>DANIEL RICARDO BAUTISTA ROA</t>
  </si>
  <si>
    <t>DIEGO ALFONSO BAUTISTA VASQUEZ</t>
  </si>
  <si>
    <t>JULIO CESAR RUEDA CADENA</t>
  </si>
  <si>
    <t>CARLOS EDUARDO RIAÑO BONELL</t>
  </si>
  <si>
    <t>JONNATAN TORRES RODRIGUEZ</t>
  </si>
  <si>
    <t>AUXILIAR DE SALAS DE COMPUTO LABORA Y TALLERES FIT</t>
  </si>
  <si>
    <t>FREDY ARMANDO GOMEZ TORRES</t>
  </si>
  <si>
    <t>CARLOS ROBERTO CRUZ JIMENEZ</t>
  </si>
  <si>
    <t>RONY ALEXIS MOSCOSO ALDANA</t>
  </si>
  <si>
    <t>RICARDO ALONSO CORREDOR LOPEZ</t>
  </si>
  <si>
    <t>FREDY ALEJANDRO VANEGAS RODRIGUEZ</t>
  </si>
  <si>
    <t>AUXILAR DE TALLER EN PRODUCCION DE ARTES GRAFICAS</t>
  </si>
  <si>
    <t>JAIME ALBERTO CARVAJAL DIAZ</t>
  </si>
  <si>
    <t>GABRIEL ALBERTO HERNANDEZ LOPEZ</t>
  </si>
  <si>
    <t>JHON JAIRO GARCIA QUIROGA</t>
  </si>
  <si>
    <t>DIEGO FERNANDO SANCHEZ QUINTERO</t>
  </si>
  <si>
    <t>CAMILO ANDRES BENAVIDES PEREZ</t>
  </si>
  <si>
    <t>JUAN CARLOS SOTO CASTILLO</t>
  </si>
  <si>
    <t>RAUL FRANCISCO MATEUS TOVAR</t>
  </si>
  <si>
    <t>ALFONSO PULIDO FORERO</t>
  </si>
  <si>
    <t>HUGO ALEJANDRO GONZALEZ GONZALEZ</t>
  </si>
  <si>
    <t>IVAN ALEXANDER MALDONADO RAMIREZ</t>
  </si>
  <si>
    <t>ASISTENTE II</t>
  </si>
  <si>
    <t>LUIS ABELARDO MARTINEZ SANTANA</t>
  </si>
  <si>
    <t>CARLOS MALAVER PARADA</t>
  </si>
  <si>
    <t>WILLINGTON  OSPINA  PINZON</t>
  </si>
  <si>
    <t>BENJAMIN PULIDO MARQUEZ</t>
  </si>
  <si>
    <t>TECNICO LABORAL EN COCINA</t>
  </si>
  <si>
    <t>WILFREDO RAFAEL OSPINA URIBE</t>
  </si>
  <si>
    <t>JUAN CARLOS VARGAS DE MENDOZA</t>
  </si>
  <si>
    <t>FRANCISCO JAVIER MONTENEGRO AGUILAR</t>
  </si>
  <si>
    <t>ERICK ROJAS ARENAS</t>
  </si>
  <si>
    <t>TECNOLOGIA EN ADMINISTRACION DE EMPRESAS</t>
  </si>
  <si>
    <t>JUAN PABLO MENDEZ RODRIGUEZ</t>
  </si>
  <si>
    <t>EDGARD RICARDO LOMBO BASTIDAS</t>
  </si>
  <si>
    <t>TECNOLOGIA EN CONTABLE Y TRIBUTARIA</t>
  </si>
  <si>
    <t>RAFAEL AYALA SAENZ</t>
  </si>
  <si>
    <t>JOAQUIN FERNANDO SANCHEZ CIFUENTES</t>
  </si>
  <si>
    <t>RAUL ALFONSO PUENTES</t>
  </si>
  <si>
    <t>JARDINERO</t>
  </si>
  <si>
    <t>LUIS FERNANDO GALINDO QUINTERO</t>
  </si>
  <si>
    <t>TECNICA EN PRODUCCION Y REALIZACION DE TV</t>
  </si>
  <si>
    <t>CARLOS  SANCHEQUEZ ORTIZ</t>
  </si>
  <si>
    <t>JUAN MANUEL BAUTISTA FAJARDO</t>
  </si>
  <si>
    <t>FERNANDO  GARCIA CARDENAS</t>
  </si>
  <si>
    <t>CARLOS EDUARDO TRIVIÑO NOVA</t>
  </si>
  <si>
    <t>FERNANDO ORJUELA LEAL</t>
  </si>
  <si>
    <t>JOSE ARTURO LAGOS SANDOVAL</t>
  </si>
  <si>
    <t>JAVIER ALBERTO RAMIREZ</t>
  </si>
  <si>
    <t>CONDUCTOR</t>
  </si>
  <si>
    <t>JORGE ENRIQUE LOPEZ LARA</t>
  </si>
  <si>
    <t>HECTOR AGUSTIN CASTIBLANCO MUÑOZ</t>
  </si>
  <si>
    <t>AUXILIAR BIBLIOTECA II</t>
  </si>
  <si>
    <t>FERNE LICEDIER SEGURA CASALLAS</t>
  </si>
  <si>
    <t>ALVARO BARRETO LUGO</t>
  </si>
  <si>
    <t>JORGE ANTONIO SARMIENTO PEREZ</t>
  </si>
  <si>
    <t>HECTOR VICENTE COY BELTRAN</t>
  </si>
  <si>
    <t>SORLEIMH OYOLA CASTRO</t>
  </si>
  <si>
    <t>COORDINACION LOGISTICA</t>
  </si>
  <si>
    <t>GABRIEL ANTONIO LOPEZ VELOZA</t>
  </si>
  <si>
    <t>HALVER STIVEN GUZMAN PEREZ</t>
  </si>
  <si>
    <t>JOHN ALEXANDER RODRIGUEZ YARA</t>
  </si>
  <si>
    <t>AUXILIAR AUDIOVISUALES</t>
  </si>
  <si>
    <t>CENTRO DE AUDIOVISUALES</t>
  </si>
  <si>
    <t>OSCAR JOHANNY RODRIGUEZ DIAZ</t>
  </si>
  <si>
    <t>AUXILIAR ADMINISTRATIVO I</t>
  </si>
  <si>
    <t>COORDINACION DE DOCUMENTACION Y ARCHIVISTICA</t>
  </si>
  <si>
    <t>HERNAN ALFONSO CALDERON SOLANO</t>
  </si>
  <si>
    <t>DIEGO FERNANDO BUITRAGO NAVARRO</t>
  </si>
  <si>
    <t>HELIO HENRY RAMIREZ AREVALO</t>
  </si>
  <si>
    <t>JUAN FELIPE ALZATE PONGUTA</t>
  </si>
  <si>
    <t>ANDRES JULIAN CARREÑO DIAZ</t>
  </si>
  <si>
    <t>RAMON HUMBERTO CAMARGO PLATA</t>
  </si>
  <si>
    <t>CESAR ANDRES MOLANO PRIETO</t>
  </si>
  <si>
    <t>JORGE ANDRES GAMBOA GONZALEZ</t>
  </si>
  <si>
    <t>MIGUEL ANGEL VALLEJO BURGOS</t>
  </si>
  <si>
    <t>GUILLERMO ENRIQUE CAMPOS DUEÑAS</t>
  </si>
  <si>
    <t>ADMINISTRADOR DE REDES</t>
  </si>
  <si>
    <t>ECDUART DAVID ORTEGA MUÑOZ</t>
  </si>
  <si>
    <t>OMAR ERNESTO CASTRO RUIZ</t>
  </si>
  <si>
    <t>AUXILIAR BIBLIOTECA</t>
  </si>
  <si>
    <t>DIEGO FERNANDO LINARES DIAZ</t>
  </si>
  <si>
    <t>RAFAEL MOISES RAMIREZ INFANTE</t>
  </si>
  <si>
    <t>JASON ALEXIS TIBATA PEDRAZA</t>
  </si>
  <si>
    <t>CHRISTIAN ALBERTO NIÑO ROA</t>
  </si>
  <si>
    <t>EDWIN GIOVANNY QUIMBAY HIDALGO</t>
  </si>
  <si>
    <t>EDGAR ALBERTO DIAZ BALLESTEROS</t>
  </si>
  <si>
    <t>LUIS CARLOS ALFONSO RAMIREZ GUTIERREZ</t>
  </si>
  <si>
    <t>SERGIO MAURICIO PARRAGA BARBOSA</t>
  </si>
  <si>
    <t>EDWIN YOVANNY CABRERA HURTADO</t>
  </si>
  <si>
    <t>JORGE ALBERTO URICOECHEA MARMOLEJO</t>
  </si>
  <si>
    <t>JULIO CESAR PULIDO CASTILLO</t>
  </si>
  <si>
    <t>ANDRES EDUARDO ACUÑA MENDEZ</t>
  </si>
  <si>
    <t>GABRIEL FERNANDO PINILLOS PINILLA</t>
  </si>
  <si>
    <t>ALEJANDRO CUERVO BOJACA</t>
  </si>
  <si>
    <t>RICARDO ANDRES SARMIENTO GARCIA</t>
  </si>
  <si>
    <t>LEONARD EDGARDO RUBIANO CASAS</t>
  </si>
  <si>
    <t>PEDRO JULIO VARGAS BARRIOS</t>
  </si>
  <si>
    <t>CARLOS ANDRES VARGAS RODRIGUEZ</t>
  </si>
  <si>
    <t>CAMILO ANDRES MORENO ABELLA</t>
  </si>
  <si>
    <t>COORDINADOR CONTACT CENTER</t>
  </si>
  <si>
    <t>ANDRES FERNANDO ARRIETA NIÑO</t>
  </si>
  <si>
    <t>EDWIN CAMILO SAAVEDRA ESPITIA</t>
  </si>
  <si>
    <t>DANIEL ALEJANDRO JIMENEZ LEON</t>
  </si>
  <si>
    <t>HERNAN DAVID MONSALVE DOMINGUEZ</t>
  </si>
  <si>
    <t>GABRIEL ALBERTO MORENO CARO</t>
  </si>
  <si>
    <t>EDWARD ANDERSSON GARZON ORTIZ</t>
  </si>
  <si>
    <t>IVAN ALBERTO MORALES RODRIGUEZ</t>
  </si>
  <si>
    <t>DANIEL EDGARDO SANCHEZ SANTAMARIA</t>
  </si>
  <si>
    <t>EDWIN MONTENEGRO MURILLO</t>
  </si>
  <si>
    <t>JONHATTAN RUEDA LEMUS</t>
  </si>
  <si>
    <t>MAICK PETER MARIN REKTEMVALD</t>
  </si>
  <si>
    <t>TECNOLOGIA EN NUEVAS TECNOLOGIA EN REDES</t>
  </si>
  <si>
    <t>JAVIER ANTONIO ANGEL HERNANDEZ</t>
  </si>
  <si>
    <t>MARTIN JULIAN PEDRAZA GALINDO</t>
  </si>
  <si>
    <t>YEISSON DIEGO TAMAYO SALAMANCA</t>
  </si>
  <si>
    <t>INVESTIGACION FACULTAD DE CIENCIAS ECONOMICAS</t>
  </si>
  <si>
    <t>DIEGO ORLANDO ORTIZ BELTRAN</t>
  </si>
  <si>
    <t>JUAN CARLOS DEVIA GONZALEZ</t>
  </si>
  <si>
    <t>MARIO FERNANDO HINESTROSA BEJARANO</t>
  </si>
  <si>
    <t>MARVIN CARDOZO GARCIA</t>
  </si>
  <si>
    <t>ÁREA DE IDIOMAS EXTRANJEROS</t>
  </si>
  <si>
    <t>DIEGO FERNANDO CRESPO DIAZ</t>
  </si>
  <si>
    <t>LABORATORISTA</t>
  </si>
  <si>
    <t>OSCAR YOBANY ROMERO BONILLA</t>
  </si>
  <si>
    <t>JUAN CARLOS BETANCOURT RAMIREZ</t>
  </si>
  <si>
    <t>LUIS  EDUARDO DIAZ MOGOLLON</t>
  </si>
  <si>
    <t>GERMAN TAUTIVA CELIS</t>
  </si>
  <si>
    <t>DAVID EDUARDO CUBILLOS BLANCO</t>
  </si>
  <si>
    <t>AUXILIAR OFICINA DE ADMISIONES</t>
  </si>
  <si>
    <t>EDWIN MANUEL BELLO VARON</t>
  </si>
  <si>
    <t>HERNAN STEBAN PEDRAZA ARIAS</t>
  </si>
  <si>
    <t>CESAR AUGUSTO VARON CALDERON</t>
  </si>
  <si>
    <t>GERMAN ALBERTO BONIL GOMEZ</t>
  </si>
  <si>
    <t>FABIAN ANDRES CARRASCAL PEÑARANDA</t>
  </si>
  <si>
    <t>MARCO ANTONIO ARIZA NAVARRO</t>
  </si>
  <si>
    <t>LUIS EDUARDO MORALES GUTIERREZ</t>
  </si>
  <si>
    <t>RICARDO ALI PARRA CORTES</t>
  </si>
  <si>
    <t>RICARDO AVENDAÑO AVENDAÑO</t>
  </si>
  <si>
    <t>JAVIER LOPEZ LAGOS</t>
  </si>
  <si>
    <t>CAMILO ALEJANDRO CORCHUELO RODRIGUEZ</t>
  </si>
  <si>
    <t>JULIAN ANDRES BORDA HERRERA</t>
  </si>
  <si>
    <t>RONAL ALEXIS CANO RUBIANO</t>
  </si>
  <si>
    <t>DIEGO LEONARDO CIENDUA FORERO</t>
  </si>
  <si>
    <t>ARTHUR JONATHAN FUQUEN VILLAMIZAR</t>
  </si>
  <si>
    <t>ELKIN GIOVANNY DELGADO CONTRERAS</t>
  </si>
  <si>
    <t>ANDRES PEDRAZA MORA</t>
  </si>
  <si>
    <t>DAVID LEONARDO GONZALEZ MARTINEZ</t>
  </si>
  <si>
    <t>EDUWIN LEONARDO PARRA SANTOS</t>
  </si>
  <si>
    <t>ALVARO ENRIQUE BAUTISTA DIAZ</t>
  </si>
  <si>
    <t>DAVID ARNULFO NIETO CASTILLO</t>
  </si>
  <si>
    <t>JOHAN SEBASTIAN GRACIA GOMEZ</t>
  </si>
  <si>
    <t>TECNOLOGIA EN PROCESOS INDUSTRIALES</t>
  </si>
  <si>
    <t>CRISTIAN JULIAN OCHOA ESTEPA</t>
  </si>
  <si>
    <t>CRISTIAN ALBERTO CASTILLO</t>
  </si>
  <si>
    <t>GABRIEL ANGEL GARZON GARZON</t>
  </si>
  <si>
    <t>MIGUEL ANDRES LUNA ORTIZ</t>
  </si>
  <si>
    <t>HERNAN RICARDO PEREZ JIMENEZ</t>
  </si>
  <si>
    <t>JOHAM MANUEL SIERRA CARDENAS</t>
  </si>
  <si>
    <t>CARLOS ANDRES CARRERA DONADO</t>
  </si>
  <si>
    <t>JHON PEÑA SIERRA</t>
  </si>
  <si>
    <t>JIMMY ROLANDO ALDANA SALVADOR</t>
  </si>
  <si>
    <t>JUAN  FRANCISCO GIRALDO VILLADA</t>
  </si>
  <si>
    <t>PROMOTOR I</t>
  </si>
  <si>
    <t>CARLOS ANDRES HERRERA PEREZ</t>
  </si>
  <si>
    <t>JAIME JULIAN CORTES CABRERA</t>
  </si>
  <si>
    <t>LEONARDO SIERRA FIGUEROA</t>
  </si>
  <si>
    <t>JOSE ALEXANDER GERENA HERRERA</t>
  </si>
  <si>
    <t>DIEGO FERNANDO BALANTA MOSQUERA</t>
  </si>
  <si>
    <t>HUNZAHUA TINANSUCA VARGAS SALAMANCA</t>
  </si>
  <si>
    <t>ROBINSON ANDRES GIL SANCHEZ</t>
  </si>
  <si>
    <t>ALVARO MAURICIO BELTRAN ROLDAN</t>
  </si>
  <si>
    <t>IVAN EDUARDO DIAZ PARDO</t>
  </si>
  <si>
    <t>JAVIER ENRIQUE PINILLA PINZON</t>
  </si>
  <si>
    <t>CARLOS ANDRES ROJAS RAMOS</t>
  </si>
  <si>
    <t>FABIO NELSON TOVAR RAMIREZ</t>
  </si>
  <si>
    <t>LIDER GESTION DOCUMENTAL</t>
  </si>
  <si>
    <t>CAMILO ALEJANDRO TORRES PEÑA</t>
  </si>
  <si>
    <t>MARIO JAVIER SALAMANCA ORTIZ</t>
  </si>
  <si>
    <t>SECRETARIO I</t>
  </si>
  <si>
    <t>YECID GIOVANNI MUÑOZ SANTAMARIA</t>
  </si>
  <si>
    <t>RONALD ANDREI DUARTE BURGOS</t>
  </si>
  <si>
    <t>MIGUEL ALEJANDRO MURCIA RODRIGUEZ</t>
  </si>
  <si>
    <t>MAURICIO JAVIER SANCHEZ VILLAMARIN</t>
  </si>
  <si>
    <t>MANUEL LEONARDO LOZADA COHECHA</t>
  </si>
  <si>
    <t>WILLIAM ALEXANDER MURCIA CASTRO</t>
  </si>
  <si>
    <t>FABIAN RICARDO CIFUENTES BARRERA</t>
  </si>
  <si>
    <t>JAIME ALEJANDRO GOMEZ VARELA</t>
  </si>
  <si>
    <t>DANIEL MAURICIO GRACIA CASTILLO</t>
  </si>
  <si>
    <t>JALVER UYABAN CORTES</t>
  </si>
  <si>
    <t>AREA DE EXPRESIÓN Y LENGUAJE</t>
  </si>
  <si>
    <t>MARCO BERNAL CARRILLO</t>
  </si>
  <si>
    <t>JOHN FREDDY PARRA PEÑA</t>
  </si>
  <si>
    <t>JULIAN EDUARDO QUEVEDO PINEDA</t>
  </si>
  <si>
    <t>OFICINA DE TESORERIA</t>
  </si>
  <si>
    <t>EDISON GOMEZ AMAYA</t>
  </si>
  <si>
    <t>LUIS ADOLFO ANZOLA MURCIA</t>
  </si>
  <si>
    <t>COORDINADOR PRACTICAS</t>
  </si>
  <si>
    <t>UNIDAD DE PRACTICAS EMPRESARIALES</t>
  </si>
  <si>
    <t>ARNOVY FAJARDO BARRAGAN</t>
  </si>
  <si>
    <t>EDUARD ALFONSO BELTRAN PINZON</t>
  </si>
  <si>
    <t>GEOFFREY ALEXANDER NUÑEZ MORA</t>
  </si>
  <si>
    <t>HOLMER ADRIAN SALAMANCA RUIZ</t>
  </si>
  <si>
    <t>DAVID ALEXANDER ACEVEDO BARRERA</t>
  </si>
  <si>
    <t>JONATTAN MORRISON TARQUINO APARICIO</t>
  </si>
  <si>
    <t>CESAR AUGUSTO PATIÑO DIAZ</t>
  </si>
  <si>
    <t>GIOVANNY GILBERTO LEAL RONCANCIO</t>
  </si>
  <si>
    <t>WILMAR GIOVANNY MEDINA LEON</t>
  </si>
  <si>
    <t>OSCAR JAVIER JIMENEZ RAYO</t>
  </si>
  <si>
    <t>EDUARDO OCAMPO FERRER</t>
  </si>
  <si>
    <t>ARMANDO AUGUSTO CASTILLO TIBANA</t>
  </si>
  <si>
    <t>RAFAEL FRANCISCO DIAZ VASQUEZ</t>
  </si>
  <si>
    <t>JUAN PABLO CALIXTO NIÑO</t>
  </si>
  <si>
    <t>EDWIN ALBERTO GOMEZ LINDO</t>
  </si>
  <si>
    <t>HAROLD AMAURY THOMAS VELANDIA</t>
  </si>
  <si>
    <t>VICTOR ORLANDO SANCHEZ BELTRAN</t>
  </si>
  <si>
    <t>DONNY DAVID NEGRETTE COGOLLO</t>
  </si>
  <si>
    <t>EMILIO ALBERTO GODOY MONTOYA</t>
  </si>
  <si>
    <t>CARLOS GIOVANNY LLANO</t>
  </si>
  <si>
    <t>HERNAN ANDRES ROJAS VARGAS</t>
  </si>
  <si>
    <t>JAVIER AUGUSTO RIOS SUAREZ</t>
  </si>
  <si>
    <t>DAVID ESTEBAN BALDION HENAO</t>
  </si>
  <si>
    <t>JUAN PABLO TRUJILLO TALERO</t>
  </si>
  <si>
    <t>ASISTENTE OFICINA RELACIONES INTERINSTITUCIONALES</t>
  </si>
  <si>
    <t>OFICINA DE RELACIONES INTERINSTITUCIONALES - OFICINA DE CONVENIOS</t>
  </si>
  <si>
    <t>JORGE ALFREDO GARCIA SANCHEZ</t>
  </si>
  <si>
    <t>ALEJANDRO ZULUAGA ALVAREZ</t>
  </si>
  <si>
    <t>YERSON YEINS SUTACHAN  GOMEZ</t>
  </si>
  <si>
    <t>ALVARO ENRIQUE HERNANDEZ ARDILA</t>
  </si>
  <si>
    <t>SECRETARIA V</t>
  </si>
  <si>
    <t>FELIX ANTONIO ORTIZ SUAREZ</t>
  </si>
  <si>
    <t>ALBERTO LLACH VELASQUEZ</t>
  </si>
  <si>
    <t>NICOLAS ALFONSO CUERVO PINEDA</t>
  </si>
  <si>
    <t>HOLMAN DIEGO BOLIVAR BARON</t>
  </si>
  <si>
    <t>LISANDRO MAURICIO SILVA CHACON</t>
  </si>
  <si>
    <t>DANIEL DIAZ DIAZ</t>
  </si>
  <si>
    <t>CARLOS ALBERTO MOGOLLON FUENTES</t>
  </si>
  <si>
    <t>LEONARDO GUERRERO GUTIERREZ</t>
  </si>
  <si>
    <t>IVAN RAMIRO VELANDIA BUSTOS</t>
  </si>
  <si>
    <t>MAURICIO ANDRES LEON CHICAGUY</t>
  </si>
  <si>
    <t>UNIDAD DE INVESTIGACIÓN</t>
  </si>
  <si>
    <t>WILMAN URIEL RIVERA CAMACHO</t>
  </si>
  <si>
    <t>JORGE MAURICIO COMBA CASTILLO</t>
  </si>
  <si>
    <t>LUIS JORGE HERRAN BARON</t>
  </si>
  <si>
    <t>IVAN ANDRES SALAS MONTENEGRO</t>
  </si>
  <si>
    <t>JORGE CAMILO RINCON BELTRAN</t>
  </si>
  <si>
    <t>CARLOS ANDRES GIL SANTAMARIA</t>
  </si>
  <si>
    <t>OLMER ESNEIDER MARTINEZ GARCIA</t>
  </si>
  <si>
    <t>DAVID BALLEN HERNANDEZ</t>
  </si>
  <si>
    <t>HERNAN ALONSO FAJARDO ARIZA</t>
  </si>
  <si>
    <t>FREDY ALBERTO HERNANDEZ</t>
  </si>
  <si>
    <t>GERMAN AVILA SANTOYO</t>
  </si>
  <si>
    <t>WILLIAM FERNANDO JIMENEZ VANEGAS</t>
  </si>
  <si>
    <t>COORDINADOR DE CONTABILIDAD</t>
  </si>
  <si>
    <t>CARLOS ALBERTO RODRIGUEZ LOPEZ</t>
  </si>
  <si>
    <t>WILLIAM ALBERTO FANDIÑO CRUZ</t>
  </si>
  <si>
    <t>NELSON ORLANDO GUACANEME AMAYA</t>
  </si>
  <si>
    <t>JOSE FERNANDO NIETO ZAMBRANO</t>
  </si>
  <si>
    <t>LUBER YESID ZUÑIGA ORDOÑEZ</t>
  </si>
  <si>
    <t>JOSE RICARDO SANCHEZ TORRES</t>
  </si>
  <si>
    <t>NESTOR RAUL GARCIA GONZALEZ</t>
  </si>
  <si>
    <t>ODONTOLOGO</t>
  </si>
  <si>
    <t>LUIS GUILLERMO CHAVES ARDILA</t>
  </si>
  <si>
    <t>GUILLERMO MONROY BOLIVAR</t>
  </si>
  <si>
    <t>JORGE ELIECER MENDOZA SUAREZ</t>
  </si>
  <si>
    <t>RICARDO HUMBERTO SUSA RUBIANO</t>
  </si>
  <si>
    <t>DIRECTOR DE INFORMATICA Y TECNOLOGIA</t>
  </si>
  <si>
    <t>JOHN ALEXANDER RAMOS FORERO</t>
  </si>
  <si>
    <t>PROGRAMADOR</t>
  </si>
  <si>
    <t>OSCAR JAVIER LOPEZ BERNAL</t>
  </si>
  <si>
    <t>JULIO FERNANDO OCHOA RODRIGUEZ</t>
  </si>
  <si>
    <t>JUAN CARLOS NIÑO</t>
  </si>
  <si>
    <t>VICTOR VICENTE MARTINEZ FARIAS</t>
  </si>
  <si>
    <t>RAUL ALEJANDRO MUÑOZ GALINDO</t>
  </si>
  <si>
    <t>JULIO ALEXANDER RODRIGUEZ DEL CASTILLO</t>
  </si>
  <si>
    <t>OVEIMAR GIL SANCHEZ</t>
  </si>
  <si>
    <t>JORGE ENRIQUE FONSECA MIRANDA</t>
  </si>
  <si>
    <t>WILLIAM ENRIQUE SILVA OSORIO</t>
  </si>
  <si>
    <t>JAIRO CAMILO LOPERA PATIÑO</t>
  </si>
  <si>
    <t>ANDRES LEONARDO TIBADUIZA AVILA</t>
  </si>
  <si>
    <t>JAIRO ENRIQUE MARTIN BURITICA</t>
  </si>
  <si>
    <t>OSCAR OSWALDO CHALA BLANCO</t>
  </si>
  <si>
    <t>ANTHONY MARTINEZ ARANZALEZ</t>
  </si>
  <si>
    <t>EDWIN ARLEY BERNAL HOLGUIN</t>
  </si>
  <si>
    <t>OMAR JAIDY HERNANDEZ TRIVIÑO</t>
  </si>
  <si>
    <t>GUSTAVO ALONSO RODRIGUEZ RODRIGUEZ</t>
  </si>
  <si>
    <t>ANDRES MONSALVE RODRIGUEZ</t>
  </si>
  <si>
    <t>RODRIGO ALBERTO GAVIRIA BENAVIDES</t>
  </si>
  <si>
    <t>JAVIER DANILO PARRA CAMACHO</t>
  </si>
  <si>
    <t>JENSY LEONARDO MARTINEZ</t>
  </si>
  <si>
    <t>CARLOS ANDRES MESA CASTELLANOS</t>
  </si>
  <si>
    <t>JHON JAIRO MATEUS ARBELAEZ</t>
  </si>
  <si>
    <t>FRANK URQUIJO GARZON</t>
  </si>
  <si>
    <t>HECTOR MANUEL GOMEZ GOMEZ</t>
  </si>
  <si>
    <t>FRANCISCO ANDRES CRISTANCHO ROJAS</t>
  </si>
  <si>
    <t>PABLO FELIPE GOMEZ MONTAÑEZ</t>
  </si>
  <si>
    <t>INVESTIGACION FACULTAD DE COMUNICACION INFORMACION Y LENGUAJE</t>
  </si>
  <si>
    <t>ANDRES ALFONSO CARRILLO MARIN</t>
  </si>
  <si>
    <t>LUIS ALEJANDRO MOLINA SANCHEZ</t>
  </si>
  <si>
    <t>MARIO BRICEÑO TORRES</t>
  </si>
  <si>
    <t>RODRIGO MORALES ORTIZ</t>
  </si>
  <si>
    <t>JUAN VICENTE BARRETO BRAMD</t>
  </si>
  <si>
    <t>DANIEL MARIN ECHEVERRY</t>
  </si>
  <si>
    <t>IVAN DARIO TRUJILLO BECERRA</t>
  </si>
  <si>
    <t>JUAN ANDRES ECHEVERRY SOLANILLA</t>
  </si>
  <si>
    <t>TOTTO - NALSANI TECNOLOGIA MERCADEOº</t>
  </si>
  <si>
    <t>WILLIAM JOVANNY PEDRAZA</t>
  </si>
  <si>
    <t>CAMILO HEBERTO USME PINILLA</t>
  </si>
  <si>
    <t>EDGARD JAVIER RUIZ AFANADOR</t>
  </si>
  <si>
    <t>JAIME HORACIO GRACIA RODRIGUEZ</t>
  </si>
  <si>
    <t>JAVIER AUGUSTO NUÑEZ CASTILLO</t>
  </si>
  <si>
    <t>MIGUEL ANDRE GARRIDO AVILA</t>
  </si>
  <si>
    <t>GERMAN ÑAÑEZ LLOREDA</t>
  </si>
  <si>
    <t>JAVIER ANDRES MORALES MONCADA</t>
  </si>
  <si>
    <t>ESTEBAN LEON ARIAS</t>
  </si>
  <si>
    <t>CARLOS ALBERTO RIAÑO TORRES</t>
  </si>
  <si>
    <t>IVAN DARIO LOPEZ BARRANCO</t>
  </si>
  <si>
    <t>CARLOS MAURICIO PALACIOS SOTO</t>
  </si>
  <si>
    <t>LUIS ALFREDO ROJAS CHACON</t>
  </si>
  <si>
    <t>DAVID MAURICIO MUÑOZ ORTIZ</t>
  </si>
  <si>
    <t>EDWIN QUINTERO ARANGO</t>
  </si>
  <si>
    <t>JUAN PABLO GAMBA URQUIJO</t>
  </si>
  <si>
    <t>EDICSON ALEXANDER ROJAS GAMBA</t>
  </si>
  <si>
    <t>JUAN MANUEL CASTILLO LIZARAZO</t>
  </si>
  <si>
    <t>OSCAR ALEJANDRO BUENDIA GODOY</t>
  </si>
  <si>
    <t>MANUEL ALFONSO GARZON  CORTES</t>
  </si>
  <si>
    <t>IVAN ALEXANDER ROMERO CESPEDES</t>
  </si>
  <si>
    <t>MARLON  RODRIGO MENDOZA ANGEL</t>
  </si>
  <si>
    <t>LUIS FERNANDO SIERRA ESCOBAR</t>
  </si>
  <si>
    <t>JAVIER ALBERTO ALBARRACIN MARTINEZ</t>
  </si>
  <si>
    <t>EDGAR FERNANDO RUSSI OBANDO</t>
  </si>
  <si>
    <t>ANDRES FELIPE ORTIZ GORDILLO</t>
  </si>
  <si>
    <t>ANDRES FERNANDO BARON BELLO</t>
  </si>
  <si>
    <t>OSCAR WILLIAM CASTILLO ROJAS</t>
  </si>
  <si>
    <t>GABRIEL ANTONIO ALVARADO ORTIZ</t>
  </si>
  <si>
    <t>ORLANDO ERNESTO RODRIGUEZ ARGAEZ</t>
  </si>
  <si>
    <t>LUIS CARLOS PACHECO PINZON</t>
  </si>
  <si>
    <t>ARTURO  BRAVO</t>
  </si>
  <si>
    <t>FREDY ANGEL DAVILA CUBIDES</t>
  </si>
  <si>
    <t>GERMAN HUMBERTO RODRIGUEZ SIERRA</t>
  </si>
  <si>
    <t>ALEXANDER CAMACHO VERA</t>
  </si>
  <si>
    <t>LEONARDO  LEAL</t>
  </si>
  <si>
    <t>PABLO EMILIO NAVARRO PUENTES</t>
  </si>
  <si>
    <t>JOHN ALEXANDER ANGULO RAMOS</t>
  </si>
  <si>
    <t>ASISTENTE I OFICINA DE PRENSA</t>
  </si>
  <si>
    <t>HERNAN EDUARDO ARTEAGA LAVERDE</t>
  </si>
  <si>
    <t>OMAR ERNESTO RIVEROS DIAZ</t>
  </si>
  <si>
    <t>GERSSON JARDIRY FRANCO AVILA</t>
  </si>
  <si>
    <t>JOHN EDUARD FORERO ALVAREZ</t>
  </si>
  <si>
    <t>FABIO ORLANDO MONTENEGRO RIAÑO</t>
  </si>
  <si>
    <t>GIOVANNI PARADA PATIÑO</t>
  </si>
  <si>
    <t>DIEGO ALEXANDER BETANCOURTH QUIÑONES</t>
  </si>
  <si>
    <t>GIOVANNI BERNAL TORRES</t>
  </si>
  <si>
    <t>PROFESIONAL GESTION HUMANA</t>
  </si>
  <si>
    <t>JAVIER ALFONSO QUINCHE RODRIGUEZ</t>
  </si>
  <si>
    <t>FABIO RAVE CONTRERAS</t>
  </si>
  <si>
    <t>JORGE ENRIQUE JIMENEZ ROJAS</t>
  </si>
  <si>
    <t>CARLOS ALEJANDRO MARQUEZ LEAL</t>
  </si>
  <si>
    <t>ELKIN LINARES TORRES</t>
  </si>
  <si>
    <t>IVAN DARIO QUINTERO VEGA</t>
  </si>
  <si>
    <t>EDWIN BLADIMIR MONROY JIMENEZ</t>
  </si>
  <si>
    <t>JOHN ANGEL RODRIGUEZ CASTRO</t>
  </si>
  <si>
    <t>DAVID ZARETSKY FERRERA</t>
  </si>
  <si>
    <t>JUAN PABLO BARRERA CRUZ</t>
  </si>
  <si>
    <t>ROBINSON MARIN VALDERRAMA</t>
  </si>
  <si>
    <t>MARIO FRANCISCO JAIMES FLOREZ</t>
  </si>
  <si>
    <t>LUIS ALBERTO OLIVEROS CAJAMARCA</t>
  </si>
  <si>
    <t>OFICINA DE PROMOCION INSTITUCIONAL</t>
  </si>
  <si>
    <t>JESUS DARIO URIBE VERU</t>
  </si>
  <si>
    <t>JUAN DAVID ENCISO CONGOTE</t>
  </si>
  <si>
    <t>JUAN PABLO MARIÑO JIMENEZ</t>
  </si>
  <si>
    <t>NESTOR FERNANDO PENAGOS QUINTERO</t>
  </si>
  <si>
    <t>RICARDO AUGUSTO GOMEZ BECERRA</t>
  </si>
  <si>
    <t>JOSE IGNACIO RODRIGUEZ MOLANO</t>
  </si>
  <si>
    <t>ELMAN ROMAN TORRES TORRES</t>
  </si>
  <si>
    <t>EDGAR REYES CLAROS</t>
  </si>
  <si>
    <t>DOCENTE DE TIEMPO COMP. CON FUNC. DE COORD. DE U.</t>
  </si>
  <si>
    <t>FREY ORLANDO LEON GIL</t>
  </si>
  <si>
    <t>ALFREDO CALDERON GARZON</t>
  </si>
  <si>
    <t>ROBERTO FERRO ESCOBAR</t>
  </si>
  <si>
    <t>MARIO ALBERTO LARA BARRIOS</t>
  </si>
  <si>
    <t>MARK MICHEL SANDRO BRAVO OSORIO</t>
  </si>
  <si>
    <t>LUIS ALBERTO BLANCO MORALES</t>
  </si>
  <si>
    <t>AUXILIAR ADMINISTRATIVO II</t>
  </si>
  <si>
    <t>COMPRAS, CONTRATACION Y ACTIVOS FIJOS</t>
  </si>
  <si>
    <t>WALTER MAURICIO MARTINEZ ROSAS</t>
  </si>
  <si>
    <t>EDGAR MAURICIO LOPEZ SARMIENTO</t>
  </si>
  <si>
    <t>ALDEMAR MORENO QUEVEDO</t>
  </si>
  <si>
    <t>ANDRES GIOVANNI PARDO CARVAJAL</t>
  </si>
  <si>
    <t>JAVIER ORLANDO GARZON CAMACHO</t>
  </si>
  <si>
    <t>MARTIN ALFONSO SAAVEDRA RODRIGUEZ</t>
  </si>
  <si>
    <t>HENRY AVILA CERTUCHE</t>
  </si>
  <si>
    <t>CARLOS JULIO LOZANO PIEDRAHITA</t>
  </si>
  <si>
    <t>FRANCISCO JAVIER ANZOLA CIPAMOCHA</t>
  </si>
  <si>
    <t>OSCAR  VASQUEZ</t>
  </si>
  <si>
    <t>FREDY MAURICIO ROMERO CONTRERAS</t>
  </si>
  <si>
    <t>HECTOR MAURICIO MAZ NIÑO</t>
  </si>
  <si>
    <t>HELBERT RAUL ANTIA CUBILLOS</t>
  </si>
  <si>
    <t>PEDRO ADOLFO CABREJO RUIZ</t>
  </si>
  <si>
    <t>ALEXANDER RUIZ MARTINEZ</t>
  </si>
  <si>
    <t>LUIS EDUARDO SILVA HERNANDEZ</t>
  </si>
  <si>
    <t>RAUL FABIAN CADENA VIDAL</t>
  </si>
  <si>
    <t>CARLOS JAVIER GARAVITO SEGURA</t>
  </si>
  <si>
    <t>JOSE OMAR ARIAS ALDANA</t>
  </si>
  <si>
    <t>HEIVER CUESTA DAVILA</t>
  </si>
  <si>
    <t>WILSON RIGOBERTO PABON QUINTERO</t>
  </si>
  <si>
    <t>GUSTAVO ADOLFO CANAL QUIJANO</t>
  </si>
  <si>
    <t>CARLOS ALBERTO DAZA BENAVIDES</t>
  </si>
  <si>
    <t>WILLIAM CESAR TAMAYO CONTRERAS</t>
  </si>
  <si>
    <t>OPERADOR RECURSOS ACADÉMICOS</t>
  </si>
  <si>
    <t>FIDEL ALFREDO RAMIREZ VALIENTE</t>
  </si>
  <si>
    <t>DANIEL EDUARDO ARCINIEGAS HERRERA</t>
  </si>
  <si>
    <t>GERMAN  MORALES CUELLAR</t>
  </si>
  <si>
    <t>NELSON EDUARDO RIVEROS CARDONA</t>
  </si>
  <si>
    <t>CARLOS FERNANDO ALVAREZ CAMARGO</t>
  </si>
  <si>
    <t>RICARDO ALFONSO SALGUERO</t>
  </si>
  <si>
    <t>DAVID ALEJANDRO GUARIN BUITRAGO</t>
  </si>
  <si>
    <t>JUAN PABLO CEPEDA DUARTE</t>
  </si>
  <si>
    <t>JOSE ANTONIO RONDON RODRIGUEZ</t>
  </si>
  <si>
    <t>MANUEL FORERO RAMIREZ</t>
  </si>
  <si>
    <t>GERMAN ENRIQUE REYES ROJAS</t>
  </si>
  <si>
    <t>FREDDY ALBERTO SUAREZ GUERRERO</t>
  </si>
  <si>
    <t>HECTOR R MASMELA D</t>
  </si>
  <si>
    <t>MIGUEL ANGEL IBARRA LOPEZ</t>
  </si>
  <si>
    <t>HECTOR JAIME PINILLA BAHAMON</t>
  </si>
  <si>
    <t>ANDRES FERNANDO RAMIREZ TORRES</t>
  </si>
  <si>
    <t>HERNAN ANTONIO GARCIA ISAACS</t>
  </si>
  <si>
    <t>LUIS ALBERTO GUAQUEZ AGUDELO</t>
  </si>
  <si>
    <t>ANTONIO SAMUEL PALACIOS ARIZA</t>
  </si>
  <si>
    <t>JOHN CARRILLO FONSECA</t>
  </si>
  <si>
    <t>LUIS HERNAN VALBUENA PEDRAZA</t>
  </si>
  <si>
    <t>JORGE EDUARDO CORRALES AMAYA</t>
  </si>
  <si>
    <t>NESTOR GEOVANY CORTES FRANCO</t>
  </si>
  <si>
    <t>WILLIAM RENE ALVARADO ORDOÑEZ</t>
  </si>
  <si>
    <t>LEONARDO TRIVIÑO AMADO</t>
  </si>
  <si>
    <t>CELIO FERNANDO RIVERA SUAREZ</t>
  </si>
  <si>
    <t>HAROLD  WILSON BELTRAN PINZON</t>
  </si>
  <si>
    <t>ALEXANDER DUQUE</t>
  </si>
  <si>
    <t>FREDY OSCAR CAMACHO GONZALEZ</t>
  </si>
  <si>
    <t>GIOVANNY MAURICIO TARAZONA BERMUDEZ</t>
  </si>
  <si>
    <t>ALFONSO CIFUENTES GALVIS</t>
  </si>
  <si>
    <t>LUIS CARLOS BALLESTEROS ROSERO</t>
  </si>
  <si>
    <t>CAMILO CAYCEDO GUTIERREZ</t>
  </si>
  <si>
    <t>HENRY OSWALDO AVILA ESCOBAR</t>
  </si>
  <si>
    <t>JOSE ALEXANDER ERAZO</t>
  </si>
  <si>
    <t>CARLOS ALBERTO TEJADA TRUJILLO</t>
  </si>
  <si>
    <t>WILLIAM  MOSCOSO MURILLO</t>
  </si>
  <si>
    <t>VICTOR HELMAN RODRIGUEZ MARTINEZ</t>
  </si>
  <si>
    <t>OSCAR ORLANDO ROBAYO RODRIGUEZ</t>
  </si>
  <si>
    <t>HERNANDO BARRERA AFRICANO</t>
  </si>
  <si>
    <t>JESUS ERNESTO GOMEZ BENAVIDES</t>
  </si>
  <si>
    <t>RODOLFO RODRIGUEZ VIANA</t>
  </si>
  <si>
    <t>CARLOS ENRIQUE GOMEZ</t>
  </si>
  <si>
    <t>JORGE ENRIQUE VASQUEZ VANEGAS</t>
  </si>
  <si>
    <t>ELKIN HERNANDEZ MENDOZA</t>
  </si>
  <si>
    <t>LUIS CARLOS VELASQUEZ GARAVITO</t>
  </si>
  <si>
    <t>DIRECTOR LOGISTICA Y SERVICIOS GENERALES</t>
  </si>
  <si>
    <t>ANTONIO JOSE PARRA AGUILAR</t>
  </si>
  <si>
    <t>ALEJANDRO RUBIO RODRIGUEZ</t>
  </si>
  <si>
    <t>HERNAN RODOLFO VILLAMARIN ABRIL</t>
  </si>
  <si>
    <t>DANILO ALEJANDRO ECHEVERRY RODRIGUEZ</t>
  </si>
  <si>
    <t>LUIS ERNESTO LEYVA CAMARGO</t>
  </si>
  <si>
    <t>WILSON LEONARDO PERDOMO DELGADO</t>
  </si>
  <si>
    <t>OSCAR ORLANDO MARIACA OROZCO</t>
  </si>
  <si>
    <t>ROBIN ALEJANDRO GARZON</t>
  </si>
  <si>
    <t>ARGEMIRO PIÑEROS MORENO</t>
  </si>
  <si>
    <t>LUIS FRANCISCO LOPEZ URREA</t>
  </si>
  <si>
    <t>ALVARO ERNESTO MORA CHAVES</t>
  </si>
  <si>
    <t>CAMILO ANDRES ORDOÑEZ MENDOZA</t>
  </si>
  <si>
    <t>OSCAR JOSE LINARES RUIZ</t>
  </si>
  <si>
    <t>JULIAN ARTURO PUIN MANRIQUE</t>
  </si>
  <si>
    <t>JUAN CARLOS REYES ROJAS</t>
  </si>
  <si>
    <t>CARLOS OCTAVIO NOVOA LOPEZ</t>
  </si>
  <si>
    <t>JORGE ALBEIRO BETANCOURT MANJARRES</t>
  </si>
  <si>
    <t>JUAN MANUEL LINARES VENEGAS</t>
  </si>
  <si>
    <t>LIDER RELACION UNIVERSIDAD EMPRESA</t>
  </si>
  <si>
    <t>JUAN CARLOS GUTIERREZ RENDON</t>
  </si>
  <si>
    <t>CANCILLERIA</t>
  </si>
  <si>
    <t>JULIO RAMIREZ CHOACHI</t>
  </si>
  <si>
    <t>BAYARDO MURCIA MELO</t>
  </si>
  <si>
    <t>GONZALO ALZATE GONZALEZ</t>
  </si>
  <si>
    <t>JUAN IGNACIO RODRIGUEZ GARZON</t>
  </si>
  <si>
    <t>JOSE DAVID JIMENEZ MARTIN</t>
  </si>
  <si>
    <t>ROBERTO JAVIER ROZO PARDO</t>
  </si>
  <si>
    <t>TIRSO HERNANDO BUENO CASTAÑEDA</t>
  </si>
  <si>
    <t>MARIO ALONSO RODRIGUEZ RUIZ</t>
  </si>
  <si>
    <t>NELSON DEBORIS RUBIANO SEPULVEDA</t>
  </si>
  <si>
    <t>DANIEL APAZA NIÑO</t>
  </si>
  <si>
    <t>CARLOS JULIO RIVERA SUAREZ</t>
  </si>
  <si>
    <t>MANUEL DE JESÚS AHUMADA RODRÍGUEZ</t>
  </si>
  <si>
    <t>PEDRO JOSE RIVERA OSORIO</t>
  </si>
  <si>
    <t>DIRECTOR DE PROGRAMA</t>
  </si>
  <si>
    <t>BEETHOVEN  BARRAGAN</t>
  </si>
  <si>
    <t>JAVIER HERNANDO VELASCO VALDERRAMA</t>
  </si>
  <si>
    <t>CARLOS EDUARDO PAEZ PAEZ</t>
  </si>
  <si>
    <t>SHARYK ROMERO CALDERON</t>
  </si>
  <si>
    <t>DIEGO FELIPE OTALORA BARON</t>
  </si>
  <si>
    <t>JOSE DE JESUS FERNANDEZ PRADO</t>
  </si>
  <si>
    <t>LUIS EDUARDO CANO OLIVERA</t>
  </si>
  <si>
    <t>JOHN JAIME CHAPARRO HERNANDEZ</t>
  </si>
  <si>
    <t>JOHN JAIRO PARRA LEON</t>
  </si>
  <si>
    <t>FREDY ELIAS DUARTE RICAURTE</t>
  </si>
  <si>
    <t>OSCAR MAURICIO VERGARA SANTAMARIA</t>
  </si>
  <si>
    <t>HUGO ALEJANDRO PARRA MONTOYA</t>
  </si>
  <si>
    <t>ORLANDO ALFREDO BARBOSA SOACHA</t>
  </si>
  <si>
    <t>DANILO BONILLA MORALES</t>
  </si>
  <si>
    <t>WILSON AUGUSTO BALAGUERA MORA</t>
  </si>
  <si>
    <t>DANIEL ROJAS REYES</t>
  </si>
  <si>
    <t>WILLIAM ORLANDO MORENO LAMPREA</t>
  </si>
  <si>
    <t>JOSE NESTOR HERRERA RAMOS</t>
  </si>
  <si>
    <t>JOHN DANIEL GUTIERREZ BOADA</t>
  </si>
  <si>
    <t>GERARDO PARDO BELLO</t>
  </si>
  <si>
    <t>JOHN JAIRO OCAMPO NIÑO</t>
  </si>
  <si>
    <t>JUAN CARLOS  ESCOBAR MUÑOZ</t>
  </si>
  <si>
    <t>JORGE ARMANDO PIEDRAHITA CABRERA</t>
  </si>
  <si>
    <t>ARCADIO SOTO ROJAS</t>
  </si>
  <si>
    <t>JOSE DAVID ALVAREZ PLATA</t>
  </si>
  <si>
    <t>WILSON ADRIAN BONILLA</t>
  </si>
  <si>
    <t>EDGAR HUMBERTO ANGEL MILLAN</t>
  </si>
  <si>
    <t>ALIRIO ALFONSO OSORIO GUTIERREZ</t>
  </si>
  <si>
    <t>FABIAN BLANCO GARRIDO</t>
  </si>
  <si>
    <t>ALVARO JAVIER MORENO PARDO</t>
  </si>
  <si>
    <t>CESAR AUGUSTO AVELLANEDA DUARTE</t>
  </si>
  <si>
    <t>EDILBERTO PINEDA GRANJA</t>
  </si>
  <si>
    <t>LUIS ERNESTO ALFEREZ RIVAS</t>
  </si>
  <si>
    <t>JUAN CARLOS PAZ CUBILLOS</t>
  </si>
  <si>
    <t>JOSUE OSWALDO GOMEZ MORENO</t>
  </si>
  <si>
    <t>ELEACXER PINZON BURGOS</t>
  </si>
  <si>
    <t>JOSE JULIAN REY CORREA</t>
  </si>
  <si>
    <t>JORGE ARMANDO RIAÑO DEL</t>
  </si>
  <si>
    <t>MAXIMILIANO OSPINA OSPINA</t>
  </si>
  <si>
    <t>JORGE ARMANDO BUELVAS FARFAN</t>
  </si>
  <si>
    <t>RICARDO DAVID CAMARGO LEMOS</t>
  </si>
  <si>
    <t>GABRIEL ENRIQUE RODRIGUEZ MENDOZA</t>
  </si>
  <si>
    <t>OMAR DURAN ESPITIA</t>
  </si>
  <si>
    <t>GUSTAVO VILLATE MORENO</t>
  </si>
  <si>
    <t>JOSE LUIS FERRER CORREDOR</t>
  </si>
  <si>
    <t>DANIEL ANDRES MURCIA DIAZ</t>
  </si>
  <si>
    <t>GERMAN AUGUSTO RODRIGUEZ JIMENEZ</t>
  </si>
  <si>
    <t>NELSON GUILLERMO GARCIA GAITAN</t>
  </si>
  <si>
    <t>MAURICIO GOMEZ FORERO</t>
  </si>
  <si>
    <t>SAMUEL RAMIREZ GUZMAN</t>
  </si>
  <si>
    <t>DANIEL FERNANDO SABOGAL NEIRA</t>
  </si>
  <si>
    <t>OSMAN GONZALO FERRER MARIN</t>
  </si>
  <si>
    <t>NESTOR ELIAS PAEZ LOZANO</t>
  </si>
  <si>
    <t>JORGE ENRIQUE SALAMANCA CESPEDES</t>
  </si>
  <si>
    <t>WILLIAM CASTIBLANCO VARGAS</t>
  </si>
  <si>
    <t>JUAN CARLOS GUTIERREZ VELEZ</t>
  </si>
  <si>
    <t>ALEJANDRO TORRES GUTIERREZ</t>
  </si>
  <si>
    <t>ALFONSO TIBOCHA SACRISTAN</t>
  </si>
  <si>
    <t>EDGAR HERNAN LEGUIZAMON SALAMANCA</t>
  </si>
  <si>
    <t>EDGAR EDUARDO MONTILLA GONZALEZ</t>
  </si>
  <si>
    <t>CARLOS EDUARDO MACHADO FRANCO</t>
  </si>
  <si>
    <t>NELSON MANOTAS RODRIGUEZ</t>
  </si>
  <si>
    <t>FERNEY CARRILLO BOMBIELA</t>
  </si>
  <si>
    <t>JIMMY FRANCISCO ESCOBAR GARCIA</t>
  </si>
  <si>
    <t>EDILBERTO  MENDOZA</t>
  </si>
  <si>
    <t>CESAR AUGUSTO GUERRERO MATEUS</t>
  </si>
  <si>
    <t>JORGE HERNAN LOPEZ OSORIO</t>
  </si>
  <si>
    <t>CESAR CAMPO ESPINOSA</t>
  </si>
  <si>
    <t>JUAN LUIS MARTINEZ CADENA</t>
  </si>
  <si>
    <t>RICARDO ALFREDO LOPEZ BULLA</t>
  </si>
  <si>
    <t>VICTOR  MANUEL MARTINEZ GARCIA</t>
  </si>
  <si>
    <t>OSCAR LEONARDO ACERO ORDOÑEZ</t>
  </si>
  <si>
    <t>HELMER ARTEAGA LAVERDE</t>
  </si>
  <si>
    <t>ALFREDO HERRERA CIFUENTES</t>
  </si>
  <si>
    <t>GERARDO HERIBERTO ARISTIZABAL GONZALEZ</t>
  </si>
  <si>
    <t>EDER LUNA CERQUERA</t>
  </si>
  <si>
    <t>JUAN CARLOS FLECHAS MONTAÑA</t>
  </si>
  <si>
    <t>FREDY RENE PRIETO GUTIERREZ</t>
  </si>
  <si>
    <t>JORGE HERNANDO TIBOCHA SACRISTAN</t>
  </si>
  <si>
    <t>JESUS ABELLA CASTRO</t>
  </si>
  <si>
    <t>LUIS HERNANDO CAMARGO TORRES</t>
  </si>
  <si>
    <t>DIRECTOR OFICINA DE PLANEACION</t>
  </si>
  <si>
    <t>OMAR AUGUSTO PUERTO ABELLA</t>
  </si>
  <si>
    <t>TECNOLOGIA EN GESTION FINANCIERA</t>
  </si>
  <si>
    <t>YUBER OCTAVIO PUERTO</t>
  </si>
  <si>
    <t>RAFAEL ANDRES LUGO LOPEZ</t>
  </si>
  <si>
    <t>JOSE LUIS MUÑOZ RODRIGUEZ</t>
  </si>
  <si>
    <t>MAURICIO CHUNZA PLAZAS</t>
  </si>
  <si>
    <t>UNIDAD DE AREAS TRANSVERSALES</t>
  </si>
  <si>
    <t>LIBARDO  PORRAS</t>
  </si>
  <si>
    <t>LUIS ANTONIO CASTILLO RAMOS</t>
  </si>
  <si>
    <t>JAIME GERMAN RODRIGUEZ</t>
  </si>
  <si>
    <t>OSKAR BENJAMIN GUTIERREZ</t>
  </si>
  <si>
    <t>JOSE ADOLFO DIAZ LADINO</t>
  </si>
  <si>
    <t>GERMAN PRIETO VERA</t>
  </si>
  <si>
    <t>JOSE ROBERTO PIRAJAN VILLAGRAN</t>
  </si>
  <si>
    <t>FABRICIO ZABALA ALVARADO</t>
  </si>
  <si>
    <t>IVAN GEOVANNY HERRAN BARON</t>
  </si>
  <si>
    <t>MARCELINO SANCHEZ CASTRO</t>
  </si>
  <si>
    <t>SEGUNDO JAVIER DAZA PIRAGAUTA</t>
  </si>
  <si>
    <t>JUAN CARLOS BLANCO LOPEZ</t>
  </si>
  <si>
    <t>HELIODORO VASQUEZ CRUZ</t>
  </si>
  <si>
    <t>JOSE LUIS JIMENEZ RAMIREZ</t>
  </si>
  <si>
    <t>NESTOR HUMBERTO AGUDELO DIAZ</t>
  </si>
  <si>
    <t>ENGELS  CORTES</t>
  </si>
  <si>
    <t>HENRY WILLIAM GALINDO ROZO</t>
  </si>
  <si>
    <t>CARLOS PATIÑO GALVIS</t>
  </si>
  <si>
    <t>CARLOS ARTURO GALINDO CADENA</t>
  </si>
  <si>
    <t>JUAN CARLOS LEON ACOSTA</t>
  </si>
  <si>
    <t>OMAR EUTIMIO DUARTE GARZON</t>
  </si>
  <si>
    <t>JORGE ALBERTO GAMEZ GUTIERREZ</t>
  </si>
  <si>
    <t>JOHN FRENCH ROJAS</t>
  </si>
  <si>
    <t>IVAN ACOSTA ROJAS</t>
  </si>
  <si>
    <t>RAFAEL ARTURO PARRA PARRA</t>
  </si>
  <si>
    <t>CARLOS HUBER PINILLA BUITRAGO</t>
  </si>
  <si>
    <t>EDUARDO ALBERTO DELGADILLO</t>
  </si>
  <si>
    <t>WILLIAM DANIEL CRISTANCHO BALLESTEROS</t>
  </si>
  <si>
    <t>CAMILO AVILA GARCIA</t>
  </si>
  <si>
    <t>JESUS ARMANDO DAZA LARROTTA</t>
  </si>
  <si>
    <t>RODRIGO  CELIS SALINAS</t>
  </si>
  <si>
    <t>ALVARO MAURICIO BARRETO SANCHEZ</t>
  </si>
  <si>
    <t>ANDRES JOSE CASALLAS NARVAEZ</t>
  </si>
  <si>
    <t>MARCO VINICIO RAMIREZ PEREIRA</t>
  </si>
  <si>
    <t>JOSE ORLANDO LARA MANOSALVA</t>
  </si>
  <si>
    <t>JOSE ALVARO LARA MANOSALVA</t>
  </si>
  <si>
    <t>CARLOS AUGUSTO DIAZ ZAPATA</t>
  </si>
  <si>
    <t>GILBERTO MONTEALEGRE GONZALEZ</t>
  </si>
  <si>
    <t>ROBERTO MEDINA MELO</t>
  </si>
  <si>
    <t>JAIME ENRIQUE LEON</t>
  </si>
  <si>
    <t>HUGO EFRAIN GARZON CASTRILLON</t>
  </si>
  <si>
    <t>HECTOR MAURICIO HERRERA GALARZA</t>
  </si>
  <si>
    <t>GUILLERMO CAMARGO FONSECA</t>
  </si>
  <si>
    <t>YESID ALBERTO SERRATO ALVAREZ</t>
  </si>
  <si>
    <t>BENJAMIN SUAREZ QUIROGA</t>
  </si>
  <si>
    <t>JOSE PASTOR PEREZ CASTRO</t>
  </si>
  <si>
    <t>MIGUEL ARMANDO HERNANDEZ BEJARANO</t>
  </si>
  <si>
    <t>MAURICIO JOSE LIEVANO QUIMBAY</t>
  </si>
  <si>
    <t>EDGAR  GALINDO PAEZ</t>
  </si>
  <si>
    <t>RUBEN SALAZAR HERNANDEZ</t>
  </si>
  <si>
    <t>FRANCISCO  LUGO</t>
  </si>
  <si>
    <t>GERMAN CASTELLANOS MAYORGA</t>
  </si>
  <si>
    <t>JOHN DARIO FONTAL APONTE</t>
  </si>
  <si>
    <t>NELSON BELTRAN ROJAS</t>
  </si>
  <si>
    <t>QUILIAN JOSE CUBIDES MORA</t>
  </si>
  <si>
    <t>FRANCISCO JOSE SALDARRIAGA LOPEZ</t>
  </si>
  <si>
    <t>ALFREDO ORLANDO GARZON RAMOS</t>
  </si>
  <si>
    <t>FACULTAD DE INGENIERIA Y TECNOLOGIA DE LA INFORMACION</t>
  </si>
  <si>
    <t>NORBERTO JAVIER MONTES LEON</t>
  </si>
  <si>
    <t>JOSE FRANCISCO COLORADO SARMIENTO</t>
  </si>
  <si>
    <t>OLMER GONZALO MILLAN ARDILA</t>
  </si>
  <si>
    <t>LUIS MANUEL FORERO CASTAÑEDA</t>
  </si>
  <si>
    <t>PEDRO ALBERTO MORALES APONTE</t>
  </si>
  <si>
    <t>JUAN CARLOS ORREGO</t>
  </si>
  <si>
    <t>RODOLFO  PRADA</t>
  </si>
  <si>
    <t>WILLIAM NORBERTO ROMERO HERNANDEZ</t>
  </si>
  <si>
    <t>ARMANDO RAMIREZ MURCIA</t>
  </si>
  <si>
    <t>JOAQUIN ELIAS RUGELES PEREZ</t>
  </si>
  <si>
    <t>MAURICIO ALONSO VILLALBA</t>
  </si>
  <si>
    <t>WILSON PARDO DURAN</t>
  </si>
  <si>
    <t>JESUS ANTONIO PEÑARANDA BAUTISTA</t>
  </si>
  <si>
    <t>CESAR AUGUSTO BRICEÑO CONTRERAS</t>
  </si>
  <si>
    <t>ALBERTO MORENO LOPEZ</t>
  </si>
  <si>
    <t>OPERARIO TALLER DE PUBLICACIONES</t>
  </si>
  <si>
    <t>GUILLERMO ENRIQUE ARIZA TRUJILLO</t>
  </si>
  <si>
    <t>CARLOS RENE JIMENEZ CASTAÑEDA</t>
  </si>
  <si>
    <t>TECNOLOGIA EN GESTION DE EMPRESAS</t>
  </si>
  <si>
    <t>CARLOS GARAVITO</t>
  </si>
  <si>
    <t>CARLOS  GARAVITO</t>
  </si>
  <si>
    <t>CARLOS ENRIQUE SANCHEZ ARIZA</t>
  </si>
  <si>
    <t>PEDRO MAURICIO TORRES DUQUE</t>
  </si>
  <si>
    <t>ADOLFO JIMENEZ GUTIERREZ</t>
  </si>
  <si>
    <t>GUILLERMPO GUSTAVO OLARTE PAEZ</t>
  </si>
  <si>
    <t>MIGUEL ALEXANDER FLOREZ GARCIA</t>
  </si>
  <si>
    <t>JORGE EDUARDO CORONADO PINEDA</t>
  </si>
  <si>
    <t>ANDRES FELIPE RIVERA PLATA</t>
  </si>
  <si>
    <t>DIEGO ALIRIO VARELA CAÑON</t>
  </si>
  <si>
    <t>HELBER RODRIGO ROJAS GACHA</t>
  </si>
  <si>
    <t>EDIER HERNAN BUSTOS VELAZCO</t>
  </si>
  <si>
    <t>ESTEBAN JESUS CARRASCAL JIMENEZ</t>
  </si>
  <si>
    <t>WILSON REINALDO ZAPATA ESPINOSA</t>
  </si>
  <si>
    <t>SECRETARIO ACADEMICO DE FACULTAD</t>
  </si>
  <si>
    <t>JOSE YESID BUENAVENTURA ROMERO</t>
  </si>
  <si>
    <t>GERMAN CAICEDO PIEDRAHITA</t>
  </si>
  <si>
    <t>LUIS EDUARDO GOMEZ MORENO</t>
  </si>
  <si>
    <t>EDGAR MAURICIO LOPEZ ROJAS</t>
  </si>
  <si>
    <t>PEDRO NEL OVALLE CASTILLO</t>
  </si>
  <si>
    <t>JAVIER RAUL RODRIGUEZ ROA</t>
  </si>
  <si>
    <t>RUBEN DARIO BERNAL CALLE</t>
  </si>
  <si>
    <t>FERNANDO ALFARO VALERO</t>
  </si>
  <si>
    <t>JAIME ARMANDO PABON PEREZ</t>
  </si>
  <si>
    <t>WILKEN RODRIGUEZ ESCOBAR</t>
  </si>
  <si>
    <t>ALEJANDRO SEGURA RODRIGUEZ</t>
  </si>
  <si>
    <t>FERNANDO ALFONSO MARTINEZ WILCHES</t>
  </si>
  <si>
    <t>EDGAR FREDY GARNICA</t>
  </si>
  <si>
    <t>JOSE DAVID CELY CALLEJAS</t>
  </si>
  <si>
    <t>JUAN HERNANDO BRAVO REYES</t>
  </si>
  <si>
    <t>SERGIO ORLANDO ARIZA ARIZA</t>
  </si>
  <si>
    <t>GERMAN EDUARDO ARENAS REINA</t>
  </si>
  <si>
    <t>FELIX BLADIMIR RAMIREZ MORENO</t>
  </si>
  <si>
    <t>ALEJANDRO CARDENAS GUALTEROS</t>
  </si>
  <si>
    <t>MAURICIO AVELLA GUTIERREZ</t>
  </si>
  <si>
    <t>MARTIN RODRIGUEZ MUR</t>
  </si>
  <si>
    <t>SEGUNDO FIDEL PUERTO GARAVITO</t>
  </si>
  <si>
    <t>PEDRO ANTONIO ACERO</t>
  </si>
  <si>
    <t>MARTIN EMILIO BOCANEGRA ORJUELA</t>
  </si>
  <si>
    <t>JORGE CAMILO CORTES CRUZ</t>
  </si>
  <si>
    <t>RICARDO RAFAEL RIASCOS CARDENAS</t>
  </si>
  <si>
    <t>JORGE  BARRERA</t>
  </si>
  <si>
    <t>FREDYS ALBERTO SIMANCA HERRERA</t>
  </si>
  <si>
    <t>RHINA COROMOTO LOPEZ LOYO</t>
  </si>
  <si>
    <t>CESAR ANDREY PERDOMO CHARRY</t>
  </si>
  <si>
    <t>WILLIAM  DE JESÚS HERRERA CAMELO</t>
  </si>
  <si>
    <t>GERARDO MAURICIO POLANIA GUTIERREZ</t>
  </si>
  <si>
    <t>JORGE ANDRES TOLEDO</t>
  </si>
  <si>
    <t>AUGUSTO JOSE ANGEL MORENO</t>
  </si>
  <si>
    <t>JAVIER GOMEZ CAMPOS</t>
  </si>
  <si>
    <t>SERGIO LUIS BERMUDEZ QUINTERO</t>
  </si>
  <si>
    <t>WILMAN JAVIER RINCON BAUTISTA</t>
  </si>
  <si>
    <t>JUAN PABLO BOLAÑOS REBOLLEDO</t>
  </si>
  <si>
    <t>EDUARD ARMANDO CARRILLO SAENZ</t>
  </si>
  <si>
    <t>LUIS FELIPE VELASQUEZ MOSQUERA</t>
  </si>
  <si>
    <t>JUAN LUIS VELASCO MOSQUERA</t>
  </si>
  <si>
    <t>HENRY GAITAN GOMEZ</t>
  </si>
  <si>
    <t>JOSE DARIO LEON OCHOA</t>
  </si>
  <si>
    <t>MIGUEL ANTONIO GOMEZ OSPINA</t>
  </si>
  <si>
    <t>PLANEADOR</t>
  </si>
  <si>
    <t>FABIAN LEANDRO GIRALDO ALZATE</t>
  </si>
  <si>
    <t>JORGE IVAN ARANGO BUITRAGO</t>
  </si>
  <si>
    <t>PEDRO PABLO MEJIA SALAZAR</t>
  </si>
  <si>
    <t>HERNAN SALAZAR SALAZAR</t>
  </si>
  <si>
    <t>CARLOS ARTURO GUALTEROS BARRAGAN</t>
  </si>
  <si>
    <t>JESUS MARIA TAIBEL GUTIERREZ</t>
  </si>
  <si>
    <t>EDWIN JOSE PEREZ H</t>
  </si>
  <si>
    <t>REVISOR FISCAL</t>
  </si>
  <si>
    <t>EDWIN JOSE PEDRAZA CARDENAS</t>
  </si>
  <si>
    <t>LUIS RICARDO MORANTES AFRICANO</t>
  </si>
  <si>
    <t>ASISTENTE V DEPTO CULTURA RECREACION Y DEPORTE</t>
  </si>
  <si>
    <t>JUAN SANTIAGO BOTELLO FORERO</t>
  </si>
  <si>
    <t>JAIME EDGARDO VALDERRAMA OCHOA</t>
  </si>
  <si>
    <t>EDWIN JAVIER MARTINEZ MESA</t>
  </si>
  <si>
    <t>LUIS FELIPE ESPITIA MARTINEZ</t>
  </si>
  <si>
    <t>JOUSEPH RAUL RODRIGUEZ LIZARAZO</t>
  </si>
  <si>
    <t>NESTOR VERGARA CORTINA</t>
  </si>
  <si>
    <t>YOVANNY LAUREANO VELA SAENZ</t>
  </si>
  <si>
    <t>WILFREDO GUIJO TELLO</t>
  </si>
  <si>
    <t>EDGARDO JOSE PAZ ESPINOSA</t>
  </si>
  <si>
    <t>JOHN JAIRO CAICEDO BOLAÑOS</t>
  </si>
  <si>
    <t>GERARDO PEREZ BERMEJO</t>
  </si>
  <si>
    <t>ALEJANDRO  MCNEIL FERNANDEZ</t>
  </si>
  <si>
    <t>LUIS LEONARDO MORENO MORENO</t>
  </si>
  <si>
    <t>DAVID LEON FLOREZ DE LA HOZ</t>
  </si>
  <si>
    <t>ANTONIO RAMON ANGULO HERNANDEZ</t>
  </si>
  <si>
    <t>GERMAN ANTONIO TAMAYO PEREZ</t>
  </si>
  <si>
    <t>WILSON ABRAHAM GARCIA MONTAÑEZ</t>
  </si>
  <si>
    <t>MARTIN ESTEBAN ZAMBRANO ROMAN</t>
  </si>
  <si>
    <t>FRED GIULIANO SOLIS SALGADO</t>
  </si>
  <si>
    <t>LUIS GABRIEL PORRAS PINILLA</t>
  </si>
  <si>
    <t>JONATHAN JAVIER TAPIAS ZAPATA</t>
  </si>
  <si>
    <t>ALVARO ENRIQUE GONZALEZ GUEVARA</t>
  </si>
  <si>
    <t>ARTURO EDUARDO REYES RIPOLL</t>
  </si>
  <si>
    <t>ANDRES EDUARDO SALGADO TOUS</t>
  </si>
  <si>
    <t>CESAR AUGUSTO SERRANO RUEDA</t>
  </si>
  <si>
    <t>TECNICA EN PERIODISMO</t>
  </si>
  <si>
    <t>IVAN RICARDO DIAZ MENDIVIL</t>
  </si>
  <si>
    <t>LUIS EMERSON HURTADO COPETE</t>
  </si>
  <si>
    <t>RAFAEL MAURICIO ROJAS CARRERO</t>
  </si>
  <si>
    <t>JULIAN ANDRES CASTELLANOS CASTRO</t>
  </si>
  <si>
    <t>EDWIN ALONSO SOSSA CRUZ</t>
  </si>
  <si>
    <t>HERNAN DARIO BERMUDEZ RUIZ</t>
  </si>
  <si>
    <t>ORMAN GILBERTO SUAREZ CARDENAS</t>
  </si>
  <si>
    <t>CARLOS ENRIQUE SERNA ROMERO</t>
  </si>
  <si>
    <t>HECTOR WILLIAM ALDANA CASTELLANOS</t>
  </si>
  <si>
    <t>BEITMANTT GEOVANNI CARDENAS QUINTERO</t>
  </si>
  <si>
    <t>CRISTIAN DUNEY BERMUDEZ QUINTERO</t>
  </si>
  <si>
    <t>DIEGO GERMAN GUERRERO RODRIGUEZ</t>
  </si>
  <si>
    <t>JOSE IGNACIO GONZALEZ</t>
  </si>
  <si>
    <t>GUILLERMO JOSE SALGADO ESTRELLA</t>
  </si>
  <si>
    <t>JAZMINE EUGENIA FADUL MEDINA</t>
  </si>
  <si>
    <t>OVETH GOMEZ CAMARGO</t>
  </si>
  <si>
    <t>LUIS ALEXIS PLAZAS GOMEZ</t>
  </si>
  <si>
    <t>JUAN CARLOS PEREZ SUAREZ</t>
  </si>
  <si>
    <t>LUIS ANTONIO SARMIENTO MELO</t>
  </si>
  <si>
    <t>JOSE GUSTAVO NUÑEZ VALERO</t>
  </si>
  <si>
    <t>ANA MARIA CUELLAR MUÑOZ</t>
  </si>
  <si>
    <t>SECRETARIA I</t>
  </si>
  <si>
    <t>ROSALBA MORRIS ANGARITA</t>
  </si>
  <si>
    <t>ANDREA CAROLINA CUARTAS RAMIREZ</t>
  </si>
  <si>
    <t>ALEJANDRA MARIA RUGELES VILLA</t>
  </si>
  <si>
    <t>LINA MARCELA MANJARRES USAQUEN</t>
  </si>
  <si>
    <t>LEDY YASMIN ALVARADO HERRERA</t>
  </si>
  <si>
    <t>BLANCA GUIOMAR MOLANO SILVA</t>
  </si>
  <si>
    <t>SONIA  BERNAL</t>
  </si>
  <si>
    <t>OMAIRA ARAGON OYUELA</t>
  </si>
  <si>
    <t>BERNY ALEJANDRA DAZA ACOSTA</t>
  </si>
  <si>
    <t>YANELDA  JAIMES NOVOA</t>
  </si>
  <si>
    <t>STELLA MARÍA MÁRQUEZ VERBEL</t>
  </si>
  <si>
    <t>ZOBEIDA SILGADO SOTO</t>
  </si>
  <si>
    <t>ADRIANA OCHOA GRANADOS</t>
  </si>
  <si>
    <t>IVONNE ROSIO ORTIZ RUIZ</t>
  </si>
  <si>
    <t>XIOMARA ACEVEDO GOMEZ</t>
  </si>
  <si>
    <t>SANDRA XIMENA RIOS PINTO</t>
  </si>
  <si>
    <t>JANITZA ARACELY BALLESTEROS TORRES</t>
  </si>
  <si>
    <t>MIREYA VARGAS RIVERA</t>
  </si>
  <si>
    <t>MYRIAM ORTIZ MATEUS</t>
  </si>
  <si>
    <t>LIZBETH INES ZABALA PORTILLO</t>
  </si>
  <si>
    <t>MARCELA SILVA NORIEGA</t>
  </si>
  <si>
    <t>ANA VICTORIA SANTAMARIA GOMEZ</t>
  </si>
  <si>
    <t>NELLY  CARO LOPEZ</t>
  </si>
  <si>
    <t>CONSUELO GARZON CANGREJO</t>
  </si>
  <si>
    <t>TOBIAS GONZALEZ JIMENEZ</t>
  </si>
  <si>
    <t>NEYDA XIMENA ORTEGA HERNANDEZ</t>
  </si>
  <si>
    <t>ADRIANA MERCEDES TRUJILLO PAEZ</t>
  </si>
  <si>
    <t>SANDRA PATRICIA BAUTISTA SANTOS</t>
  </si>
  <si>
    <t>LISSETT MILEYNA ESPINEL TORRES</t>
  </si>
  <si>
    <t>UNIDAD DE FORMACION Y DESARROLLO DE LA INVESTIGACION</t>
  </si>
  <si>
    <t>ANA MERCEDES SUAREZ OSPINA</t>
  </si>
  <si>
    <t>HERNAN AVILA PUENTES</t>
  </si>
  <si>
    <t>LUIS EDUARDO CABALLERO RAMIREZ</t>
  </si>
  <si>
    <t>MILDRE KAROLA LOPEZ LOPEZ</t>
  </si>
  <si>
    <t>LEIDY LILIANA BURBANO GALEANO</t>
  </si>
  <si>
    <t>JOSE ANTONIO JIMENEZ NARVAEZ</t>
  </si>
  <si>
    <t>JOSE REINALDO BRIÑEZ SIERRA</t>
  </si>
  <si>
    <t>ANGELICA MARIA FONTALVO VALERO</t>
  </si>
  <si>
    <t>ALONSO GONZALEZ ARIZA</t>
  </si>
  <si>
    <t>SANDRA LILIANA SILVA SALDAÑA</t>
  </si>
  <si>
    <t>RECEPCIONISTA</t>
  </si>
  <si>
    <t>CAROLINA RIOS DIAZ</t>
  </si>
  <si>
    <t>CARLOS IVAN MARQUEZ PEREZ</t>
  </si>
  <si>
    <t>YESID FERNANDO TOLOSA MARTINEZ</t>
  </si>
  <si>
    <t>GLADYS JOHANNA FORIGUA MAYORGA</t>
  </si>
  <si>
    <t>CARMEN JAZZMIN SANCHEZ MORA</t>
  </si>
  <si>
    <t>MARIELLY RINCON CASTAÑO</t>
  </si>
  <si>
    <t>DIANA MARCELA MORENO VASQUEZ</t>
  </si>
  <si>
    <t>KARINA AGUILAR</t>
  </si>
  <si>
    <t>ASISTENTE ADMISIONES REGISTRO Y CONTROL</t>
  </si>
  <si>
    <t>OFICINA DE ADMISIONES</t>
  </si>
  <si>
    <t>DIANA CAROLINA QUINTANA NIVIA</t>
  </si>
  <si>
    <t>MARSELA BUSTOS MORALES</t>
  </si>
  <si>
    <t>ALEJANDRA CEBALLOS RIVERA</t>
  </si>
  <si>
    <t>ADRIANA  MARCELA MARTINEZ MARTIN</t>
  </si>
  <si>
    <t>CLAUDIA MARCELA RIAÑO LOZANO</t>
  </si>
  <si>
    <t>FRANCY ROCIO OLARTE DUSSAN</t>
  </si>
  <si>
    <t>LUZ ADRIANA PARRA GARCIA</t>
  </si>
  <si>
    <t>DIANA LORENA SUAREZ MARTINEZ</t>
  </si>
  <si>
    <t>MARIA FERNANDA GOMEZ RONDON</t>
  </si>
  <si>
    <t>MAYRA VIVIANA QUIROZ GOMEZ</t>
  </si>
  <si>
    <t>MARCELA DEL ROSARIO SABOGAL GONZALEZ</t>
  </si>
  <si>
    <t>YORHLEDY RIAÑO FUENTES</t>
  </si>
  <si>
    <t>IVONNE ANDREA SACRISTAN TOVAR</t>
  </si>
  <si>
    <t>CLAUDIA MARCELA MARTINEZ</t>
  </si>
  <si>
    <t>SANDRA TATIANA RODRIGUEZ MORALES</t>
  </si>
  <si>
    <t>AUXILIAR OFICINA DE PLANEACION</t>
  </si>
  <si>
    <t>DAYANA LISBETH BECERRA ALIPIO</t>
  </si>
  <si>
    <t>YENNY ZORAIDA MENDEZ ROMERO</t>
  </si>
  <si>
    <t>YENY FABIOLA GARZON GODOY</t>
  </si>
  <si>
    <t>MARIA JOHANA ESCAMILLA MARTINEZ</t>
  </si>
  <si>
    <t>DEBORA ALEXANDRA CORTES CORREDOR</t>
  </si>
  <si>
    <t>DIANA MARCELA RODRIGUEZ CACERES</t>
  </si>
  <si>
    <t>ASISTENTE III</t>
  </si>
  <si>
    <t>SUANY PAOLA HERRERA PABON</t>
  </si>
  <si>
    <t>JENNY KATHERINE BARRERO ROMERO</t>
  </si>
  <si>
    <t>LADY JOHANNA CARDENAS CASTILLO</t>
  </si>
  <si>
    <t>ANGELA CONSTANZA VARGAS GALINDO</t>
  </si>
  <si>
    <t>ALEXANDRA VARELA CASTIBLANCO</t>
  </si>
  <si>
    <t>JULIANA RAQUEL CARDOZO MATIZ</t>
  </si>
  <si>
    <t>SECRETARIA</t>
  </si>
  <si>
    <t>NEYDU MAGNOLY VALDES PINZON</t>
  </si>
  <si>
    <t>LADY YURANY ROBLES MORENO</t>
  </si>
  <si>
    <t>YENNY  PAOLA RAMOS CARRILLO</t>
  </si>
  <si>
    <t>COORDINADOR III</t>
  </si>
  <si>
    <t>JENIFFER LIZETH ALFONSO DAZA</t>
  </si>
  <si>
    <t>ANGELA VIVIANA FORERO RODRIGUEZ</t>
  </si>
  <si>
    <t>PATRICIA BARRENECHE TALERO</t>
  </si>
  <si>
    <t>ALEJANDRA ALVAREZ BERNAL</t>
  </si>
  <si>
    <t>NATHALY MELINA MARIN MEDINA</t>
  </si>
  <si>
    <t>CLAUDIA VIVIANA BELTRAN GELVES</t>
  </si>
  <si>
    <t>ANA MELISA OSPINA LONDOÑO</t>
  </si>
  <si>
    <t>AUXILIAR GESTION DOCUMENTAL</t>
  </si>
  <si>
    <t>ANDREA IBAÑEZ CASTRO</t>
  </si>
  <si>
    <t>VIVIANA ARIAS AGUIRRE</t>
  </si>
  <si>
    <t>NATALIA FIGUEREDO MOLANO</t>
  </si>
  <si>
    <t>JENNY STELLA CRUZ ORJUELA</t>
  </si>
  <si>
    <t>ELIZABETH WILCHES SANCHEZ</t>
  </si>
  <si>
    <t>MONICA PATRICIA MONTEALEGRE ACEVEDO</t>
  </si>
  <si>
    <t>ADRIANA MARCELA GONZALEZ CETINA</t>
  </si>
  <si>
    <t>CAROLINA JIMENEZ RIVERO</t>
  </si>
  <si>
    <t>LUZ MIRIAM FORERO</t>
  </si>
  <si>
    <t>IVONNE ADRIANA RABALLATY PARRA</t>
  </si>
  <si>
    <t>MARIA DEL PILAR ESPINOZA RODRIGUEZ</t>
  </si>
  <si>
    <t>YEIMMY CAROLINA FRANCO BARRERA</t>
  </si>
  <si>
    <t>MARIA CRISTINA SALAMANCA ROJAS</t>
  </si>
  <si>
    <t>NANCY CERQUERA OSPINA</t>
  </si>
  <si>
    <t>MARIA ANGELICA SANDOVAL GALVIS</t>
  </si>
  <si>
    <t>VIVIANA PATRICIA SALAZAR GARZON</t>
  </si>
  <si>
    <t>DIANA CAROLINA ROMERO ROJAS</t>
  </si>
  <si>
    <t>JENNY ALEXANDRA TRIANA CASALLAS</t>
  </si>
  <si>
    <t>MARIA FERNANDA NUÑEZ FORERO</t>
  </si>
  <si>
    <t>CAROL ANDREA HERNANDEZ PACHON</t>
  </si>
  <si>
    <t>CAROLINA VELEZ GOMEZ</t>
  </si>
  <si>
    <t>ANGELICA TORRES OBANDO</t>
  </si>
  <si>
    <t>SONIA ROCIO BOHORQUEZ CABALLERO</t>
  </si>
  <si>
    <t>COORDINADOR V</t>
  </si>
  <si>
    <t>CLARA ROSALBA SANCHEZ PALOMA</t>
  </si>
  <si>
    <t>ARACELY BIRGUEZ NOVA</t>
  </si>
  <si>
    <t>LAURA CAROLINA ORJUELA MARQUEZ</t>
  </si>
  <si>
    <t>MARTHA JANETH CIFUENTES IZQUIERDO</t>
  </si>
  <si>
    <t>DIANA MARIA PRIETO SANABRIA</t>
  </si>
  <si>
    <t>YORLENY ANZOLA CIFUENTES</t>
  </si>
  <si>
    <t>DIANA CAROLINA LOMBANA JAIMES</t>
  </si>
  <si>
    <t>MARIBEL CAYCEDO</t>
  </si>
  <si>
    <t>ANA MILENA MARTINEZ TRIVIÑO</t>
  </si>
  <si>
    <t>NANCY ANGELICA RODRIGUEZ MARIN</t>
  </si>
  <si>
    <t>KELLY MARITZA BOHORQUEZ BARBOSA</t>
  </si>
  <si>
    <t>LAURA MILENA RICO OROZCO</t>
  </si>
  <si>
    <t>LINDA PAMELA FLOREZ GALINDO</t>
  </si>
  <si>
    <t>CLAUDIA LILIANA MUÑOZ PEÑA</t>
  </si>
  <si>
    <t>NANCY YANETH GARZON FONTECHA</t>
  </si>
  <si>
    <t>LYNDA MARCELA RAMIREZ PINILLA</t>
  </si>
  <si>
    <t>FLOR EDILMA SANABRIA JAIMES</t>
  </si>
  <si>
    <t>SANDRA CECILIA HERNANDEZ URREGO</t>
  </si>
  <si>
    <t>NANCI MILENA GUZMAN CASTILLO</t>
  </si>
  <si>
    <t>CLAUDIA ESPERANZA PARRA</t>
  </si>
  <si>
    <t>PAOLA ANDREA VASQUEZ FONSECA</t>
  </si>
  <si>
    <t>CIELO YOMARA CHAPARRO ALDANA</t>
  </si>
  <si>
    <t>YISEL CAROLINA ESTRADA BONILLA</t>
  </si>
  <si>
    <t>LINA BRIGITTE OYAGA ORTIZ</t>
  </si>
  <si>
    <t>AUXILIAR ADMINISTRATIVO III</t>
  </si>
  <si>
    <t>LEIDY DIANA RINCON TAUTIVA</t>
  </si>
  <si>
    <t>PAOLA CAROLINA MATALLANA MORA</t>
  </si>
  <si>
    <t>AUXILIAR DE ENFERMERIA</t>
  </si>
  <si>
    <t>PAOLA ANDREA MORENO CASTILLO</t>
  </si>
  <si>
    <t>MARIA PATRICIA HURTADO REYES</t>
  </si>
  <si>
    <t>MYRIAM  JOHANNA ACERO ROMERO</t>
  </si>
  <si>
    <t>DIANA MILENA CARMONA MUÑOZ</t>
  </si>
  <si>
    <t>INGRID  PAOLA MARIN CABEZAS</t>
  </si>
  <si>
    <t>BLANCA CONSUELO WYNTER SARMIENTO</t>
  </si>
  <si>
    <t>DIRECTOR DE INVESTIGACIÓN</t>
  </si>
  <si>
    <t>MARIA ANGELICA CORTES MONTEJO</t>
  </si>
  <si>
    <t>DIANA MARCELA AUX BELLO</t>
  </si>
  <si>
    <t>PAOLA FERNANDA PARADA ROMERO</t>
  </si>
  <si>
    <t>NELLY CATALINA DE LOS ANGELES GALVIS MEDINA</t>
  </si>
  <si>
    <t>LUZ ODILIA CHAVEZ SILVA</t>
  </si>
  <si>
    <t>OSIRIS YASBLEIDY TORRES GUTIERREZ</t>
  </si>
  <si>
    <t>ANDREA DEL PILAR VARGAS FAJARDO</t>
  </si>
  <si>
    <t>DIANA CAROLINA SANDOVAL OCHOA</t>
  </si>
  <si>
    <t>PAOLA CAMACHO PARRA</t>
  </si>
  <si>
    <t>ANDREA DEL PILAR CIFUENTES GONZALEZ</t>
  </si>
  <si>
    <t>DIANA PATRICIA QUIROGA CAMACHO</t>
  </si>
  <si>
    <t>MONICA JOHANNA SANDOVAL RINCON</t>
  </si>
  <si>
    <t>LILY JOHANA TIBAVIJA RODRIGUEZ</t>
  </si>
  <si>
    <t>PROFESIONAL ESPECIALIZADO</t>
  </si>
  <si>
    <t>SANDRA MILENA OCHOA GUIO</t>
  </si>
  <si>
    <t>PROFESIONAL - URI</t>
  </si>
  <si>
    <t>UNIDAD DE RELACIONES INTERINSTITUCIONALES(PRACTICAS, INTERNACIONALIZA,EGRESADOS)</t>
  </si>
  <si>
    <t>EDNA KATALINA MEDINA PALACIOS</t>
  </si>
  <si>
    <t>YULI CATALINA HERRERA FRANCO</t>
  </si>
  <si>
    <t>MARTHA LILIANA TORRES GUERRERO</t>
  </si>
  <si>
    <t>ERICA ALEXANDRA DUARTE VARGAS</t>
  </si>
  <si>
    <t>PILAR ANDREA RIVERA PARRA</t>
  </si>
  <si>
    <t>YULIETH MELO  TOVAR</t>
  </si>
  <si>
    <t>MIREYA BERNAL GOMEZ</t>
  </si>
  <si>
    <t>CAROLINA FLOREZ ALVARÁN</t>
  </si>
  <si>
    <t>ESPERANZA CAMARGO CASALLAS</t>
  </si>
  <si>
    <t>SANDRA MARISOL MARTINEZ BELTRAN</t>
  </si>
  <si>
    <t>JENNY CAROLINA AMEZQUITA TORO</t>
  </si>
  <si>
    <t>JENNY ROSANA PRIETO MOLANO</t>
  </si>
  <si>
    <t>YANETH LAVERDE ULLOA</t>
  </si>
  <si>
    <t>ANGELA MARIA ALVINO MOLINA</t>
  </si>
  <si>
    <t>JEIMMY AREVALO MELO</t>
  </si>
  <si>
    <t>MILENA SOLEY INFANTE RINCON</t>
  </si>
  <si>
    <t>ADRIANA ORTIZ ALVARADO</t>
  </si>
  <si>
    <t>ARGENIS DIAZ RINCON</t>
  </si>
  <si>
    <t>YEIMI ALEJANDRA LEMUS GOMEZ</t>
  </si>
  <si>
    <t>YISED NUÑEZ FRANCO</t>
  </si>
  <si>
    <t>SANDRA BIBIANA NIETO MUÑOZ</t>
  </si>
  <si>
    <t>SORANYI MUÑOZ CORREDOR</t>
  </si>
  <si>
    <t>LEIDY DIANA ANZOLA NIÑO</t>
  </si>
  <si>
    <t>SILVIA XIMENA MERCADO SANTOS</t>
  </si>
  <si>
    <t>CAROLINA HERNANDEZ MUÑOZ</t>
  </si>
  <si>
    <t>ADRIANA MALEIDY GUERRERO SIERRA</t>
  </si>
  <si>
    <t>MILDREY VANEZA VERA DURAN</t>
  </si>
  <si>
    <t>YUDY GIRLEZA CARDONA CATAÑO</t>
  </si>
  <si>
    <t>PAOLA CAROLINA MONTERO CARO</t>
  </si>
  <si>
    <t>TECNOLOGIA EN ADMINISTRACION TURISTICA Y HOTELERA</t>
  </si>
  <si>
    <t>ELIANA ORTIZ CASTILLA</t>
  </si>
  <si>
    <t>INDIRA YINETH CALDERON RODRIGUEZ</t>
  </si>
  <si>
    <t>DIANA CAROLINA HERNANDEZ GUALDRON</t>
  </si>
  <si>
    <t>MIRIAM DERMER WODNICKY</t>
  </si>
  <si>
    <t>GILMA JANNETH GUATIVA QUINCOSIS</t>
  </si>
  <si>
    <t>ELIANA CATALINA SERRANO REY</t>
  </si>
  <si>
    <t>DIANA PATRICIA BAHOS</t>
  </si>
  <si>
    <t>ASISTENTE I GESTION HUMANA</t>
  </si>
  <si>
    <t>GINA MARIA ORTIZ SILVA</t>
  </si>
  <si>
    <t>DIRECTOR OFICINA DE RELACIONES INTERINSTITUCIONALE</t>
  </si>
  <si>
    <t>MARTHA LUCIA PEDRAZA</t>
  </si>
  <si>
    <t>MONICA ISABEL DELGADO CORREAL</t>
  </si>
  <si>
    <t>MARIA PAULA LINARES VENEGAS</t>
  </si>
  <si>
    <t>CANCILLER</t>
  </si>
  <si>
    <t>MARIA JIMENA ROJAS CASAS</t>
  </si>
  <si>
    <t>NIDIA ALEXANDRA LEON RODRIGUEZ</t>
  </si>
  <si>
    <t>JUANA PATRICIA SIERRA SANCHEZ</t>
  </si>
  <si>
    <t>LAURA PIEDAD SOSSA LESMES</t>
  </si>
  <si>
    <t>OLGA HELENA PIÑEROS</t>
  </si>
  <si>
    <t>NANCY MIRELBY BALLESTAS CARO</t>
  </si>
  <si>
    <t>CARMENZA DEL ROSARIO CONTRERAS GONZALEZ</t>
  </si>
  <si>
    <t>DIRECTOR OFICINA DE COMUNICACION PROMOCION E IMAGE</t>
  </si>
  <si>
    <t>MARISOL REY CASTILLO</t>
  </si>
  <si>
    <t>DIANA CAROLINA MARIN MORA</t>
  </si>
  <si>
    <t>COORDINADOR EN FORMACION, PROD. DOCENTE Y PEDAGOG</t>
  </si>
  <si>
    <t>UNIDAD DE FORMACION, PRODUCCION DOCENTE Y PEDAGOGICA</t>
  </si>
  <si>
    <t>BERTHA MILENA ORJUELA CARDENAS</t>
  </si>
  <si>
    <t>DIANA PAOLA MUÑOZ MORENO</t>
  </si>
  <si>
    <t>KELLY FRANCOISE HERRERA GONZALEZ</t>
  </si>
  <si>
    <t>NANCY LILIANA AREVALO</t>
  </si>
  <si>
    <t>CLAUDIA LILIANA INFANTE RINCON</t>
  </si>
  <si>
    <t>INGRID ANDREA ALVARADO ORTIZ</t>
  </si>
  <si>
    <t>JANETH ALICIA MALAGON GUERRERO</t>
  </si>
  <si>
    <t>FRANCI ANDREA PINZON GUTIERREZ</t>
  </si>
  <si>
    <t>LILIANA LUCIA DE LA OSSA SANCHEZ</t>
  </si>
  <si>
    <t>SANDRA MILENA FUENTES PIRATEQUE</t>
  </si>
  <si>
    <t>SONIA ELIANA CALDERON GONZALEZ</t>
  </si>
  <si>
    <t>NUBIA EDITH CADENA CERON</t>
  </si>
  <si>
    <t>CAROLINA VANESSA BECERRA CHAVARRO</t>
  </si>
  <si>
    <t>JULIA ISABEL ROBERTO</t>
  </si>
  <si>
    <t>NANCY ARIAS PACACIRA</t>
  </si>
  <si>
    <t>MONICA BIBIANA ARCE MELO</t>
  </si>
  <si>
    <t>ANGELA MARIA FLECHAS CUASAPUD</t>
  </si>
  <si>
    <t>MYRIAM AYDEE MORENO GARZON</t>
  </si>
  <si>
    <t>JULIETH NATALI FRANCO DIAZ</t>
  </si>
  <si>
    <t>MAGDA LIZETH MORENO RODRIGUEZ</t>
  </si>
  <si>
    <t>MARIBETH RIVERA MORA</t>
  </si>
  <si>
    <t>MARIA DEL PILAR FLORIAN ESCOBAR</t>
  </si>
  <si>
    <t>XIMENA FERNANDA QUINTERO CORREA</t>
  </si>
  <si>
    <t>YENNY CAROLINA BOHORQUEZ BARBOSA</t>
  </si>
  <si>
    <t>SANDRA MILENA VARGAS BELTRAN</t>
  </si>
  <si>
    <t>ADRIANA JIMENA SOTO BOCANEGRA</t>
  </si>
  <si>
    <t>ANGELICA RAMIREZ MARROQUIN</t>
  </si>
  <si>
    <t>DIANA CAROLINA LARA MELO</t>
  </si>
  <si>
    <t>MAYERLY PEREZ VELANDIA</t>
  </si>
  <si>
    <t>ANDREA YULIETH PUENTES HERNANDEZ</t>
  </si>
  <si>
    <t>DIANA CONSTANZA HERRERA RAMIREZ</t>
  </si>
  <si>
    <t>YEIMY SILVA LOZADA</t>
  </si>
  <si>
    <t>GINA MILENA RODRIGUEZ SARMIENTO</t>
  </si>
  <si>
    <t>DEISY RUBIELA REINA REINA</t>
  </si>
  <si>
    <t>POLIANA CAROLINA OTALORA CRUZ</t>
  </si>
  <si>
    <t>MARGARITA LORENA MARTINEZ SALAVARRIETA</t>
  </si>
  <si>
    <t>MARCELA LILIANA CARDENAS CRUZ</t>
  </si>
  <si>
    <t>SANDRA YOVANNA SIERRA CUERVO</t>
  </si>
  <si>
    <t>YENNY MARCELA CASTRO DELGADILLO</t>
  </si>
  <si>
    <t>FLOR YAMILE POSADA PARADA</t>
  </si>
  <si>
    <t>CLAUDIA CALVO GONZALEZ</t>
  </si>
  <si>
    <t>CAROLINA MELO RODRIGUEZ</t>
  </si>
  <si>
    <t>COORDINACION PRACTICAS FCIL</t>
  </si>
  <si>
    <t>AKEMY DOKU RAMIREZ</t>
  </si>
  <si>
    <t>SANDRA YULIER MARTINEZ BUITRAGO</t>
  </si>
  <si>
    <t>PAOLA ANDREA SANCHEZ NOVOA</t>
  </si>
  <si>
    <t>SANDRA MILDRED VALENCIA BONILLA</t>
  </si>
  <si>
    <t>FRANCY MILENA GORDILLO</t>
  </si>
  <si>
    <t>SONIA JIMENA ROJAS LARA</t>
  </si>
  <si>
    <t>LINA MARIA GIRALDO VILLADA</t>
  </si>
  <si>
    <t>PROFESIONAL - COMPRAS</t>
  </si>
  <si>
    <t>COMPRAS Y CONTRATACIÓN</t>
  </si>
  <si>
    <t>ANGELA DEL CIELO ORTIZ MOLINA</t>
  </si>
  <si>
    <t>YENNITH JULIETH CAMARGO LEAL</t>
  </si>
  <si>
    <t>HILDA PAOLA SERNA GONZALEZ</t>
  </si>
  <si>
    <t>LILIANA GARZON ROMAÑA</t>
  </si>
  <si>
    <t>MARIA DEL PILAR GUTIERREZ</t>
  </si>
  <si>
    <t>SARA MILENA OSORIO SANCHEZ</t>
  </si>
  <si>
    <t>LILIANA CONSTANZA CONTRERAS CALLEJAS</t>
  </si>
  <si>
    <t>ANGELA JAZMIN SANCHEZ ARIAS</t>
  </si>
  <si>
    <t>DIANA MILENA VILLALOBOS SARMIENTO</t>
  </si>
  <si>
    <t>AURA CAROLINA ACOSTA AMAYA</t>
  </si>
  <si>
    <t>SANDRA YAZMIN GORDILLO MARTIN</t>
  </si>
  <si>
    <t>NANCY AREVALO GALINDO</t>
  </si>
  <si>
    <t>SANDRA MILENA ARDILA ZUÑIGA</t>
  </si>
  <si>
    <t>JOHANNA OVALLE PINZON</t>
  </si>
  <si>
    <t>ADMINISTRADOR WEB Y COMMUNITY MANAGER</t>
  </si>
  <si>
    <t>SONIA ROCIO WILCHEZ AFRICANO</t>
  </si>
  <si>
    <t>LIZA CATALINA PERALTA PIEDRAHITA</t>
  </si>
  <si>
    <t>ADRIANA YOLANDA MARTINEZ TRIVIÑO</t>
  </si>
  <si>
    <t>NURY MARCELA PRIMICIERO JAMAICA</t>
  </si>
  <si>
    <t>GEORGETTE PERDOMO QUINTERO</t>
  </si>
  <si>
    <t>SANDRA MILENA NIETO CRUZ</t>
  </si>
  <si>
    <t>ASISTENTE IV CENTRO DESARROL EMPRES PARA EL EGRESA</t>
  </si>
  <si>
    <t>SANDRA LILIANA CAICEDO BARRETO</t>
  </si>
  <si>
    <t>MARIA ALEXANDRA CASTRO RICO</t>
  </si>
  <si>
    <t>MARTHA ISABEL HERNANDEZ AGUIRRE</t>
  </si>
  <si>
    <t>GIOVANNA INES ROSSO LONDOÑO</t>
  </si>
  <si>
    <t>PSICOLOGO</t>
  </si>
  <si>
    <t>LIA ELVIRA BUITRAGO QUIROGA</t>
  </si>
  <si>
    <t>LUZ ESNEDA RUIZ OSORIO</t>
  </si>
  <si>
    <t>CLAUDIA PATRICIA RAMIREZ CARRERO</t>
  </si>
  <si>
    <t>XIMENA LOPEZ LYNN</t>
  </si>
  <si>
    <t>CONSUELO  GARZON CANGREJO</t>
  </si>
  <si>
    <t>JEANNETH MURILLO JAIMES</t>
  </si>
  <si>
    <t>PAOLA  CHOACHI DIAZ</t>
  </si>
  <si>
    <t>MARTHA INES LOPEZ BUITRAGO</t>
  </si>
  <si>
    <t>DIANA ERIKA AFANADOR AGUILAR</t>
  </si>
  <si>
    <t>LUZ MYRIAN GARZON MELO</t>
  </si>
  <si>
    <t>SANDRA XIMENA TARAZONA GARCIA</t>
  </si>
  <si>
    <t>JACQUELINE MARIN GALEANO</t>
  </si>
  <si>
    <t>ANA MARITZA REYES MATIZ</t>
  </si>
  <si>
    <t>DIANA MARCELA MURIEL ACEVEDO</t>
  </si>
  <si>
    <t>ELSA STELLA PARDO BAEZ</t>
  </si>
  <si>
    <t>LAURA BELKIS PARADA ROMERO</t>
  </si>
  <si>
    <t>CAMILA BEJARANO DAZA</t>
  </si>
  <si>
    <t>IVONNE ADRIANA BARRAGAN GOMEZ</t>
  </si>
  <si>
    <t>FRANCY NAYIBE CRIALES GUTIERREZ</t>
  </si>
  <si>
    <t>MARIA DEL PILAR MONDRAGON ACEVEDO</t>
  </si>
  <si>
    <t>GLORIA ROSALES SALCEDO</t>
  </si>
  <si>
    <t>REVISORIA FISCAL</t>
  </si>
  <si>
    <t>SANDRA LILIANA NOVOA</t>
  </si>
  <si>
    <t>LIBIA SUSANA URREGO RIVILLAS</t>
  </si>
  <si>
    <t>LIDICE  ALVAREZ MIÑO</t>
  </si>
  <si>
    <t>ROSA ELIZABETH VARGAS MELO</t>
  </si>
  <si>
    <t>LUZ DARY GUZMAN PEREZ</t>
  </si>
  <si>
    <t>CLAUDIA ANDREA VILLAMIZAR ROJAS</t>
  </si>
  <si>
    <t>JENNY CATHERINE CASTAÑEDA QUIROGA</t>
  </si>
  <si>
    <t>GINETH ANDREA CASTAÑEDA</t>
  </si>
  <si>
    <t>MARIA STELLA VELOZA BUITRAGO</t>
  </si>
  <si>
    <t>ELIANA MARIA ROJAS LA ROTTA</t>
  </si>
  <si>
    <t>MARTHA ELIZABETH FLOREZ CULMAN</t>
  </si>
  <si>
    <t>ROSA ELISA CRISTANCHO TORRES</t>
  </si>
  <si>
    <t>YADIRA GONZALEZ RUIZ</t>
  </si>
  <si>
    <t>LUZ STELLA GARCIA MONSALVE</t>
  </si>
  <si>
    <t>ADELA DEL PILAR DIAZ ACUÑA</t>
  </si>
  <si>
    <t>INGRID CONSTANZA PLAZAS PEÑA</t>
  </si>
  <si>
    <t>ANGELA MARIA MERCHAN BASABE</t>
  </si>
  <si>
    <t>DIRECTOR OFICINA DE ASEGURAMIENTO DE LA CALIDAD</t>
  </si>
  <si>
    <t>AURA MATILDE CARRERO USSA</t>
  </si>
  <si>
    <t>ELIZAROVA URREGO MARTINEZ</t>
  </si>
  <si>
    <t>NILSA LILIANA CRUZ SOLORZANO</t>
  </si>
  <si>
    <t>INES JIMENA RAMOS</t>
  </si>
  <si>
    <t>ZULY NORBELIA USME LOPEZ</t>
  </si>
  <si>
    <t>LILIANA DE JESUS MONROY BERMUDEZ</t>
  </si>
  <si>
    <t>MARY LUZ GOMEZ AMAYA</t>
  </si>
  <si>
    <t>LUZ YANETH GOMEZ AREVALO</t>
  </si>
  <si>
    <t>ALMA ALEXANDRA AGUDELO VELASQUEZ</t>
  </si>
  <si>
    <t>LILIANA ARTURO BARRIOS</t>
  </si>
  <si>
    <t>MANGELY LONDOÑO GUTIERREZ</t>
  </si>
  <si>
    <t>BRENDA SOFIA GOMEZ BERNAL</t>
  </si>
  <si>
    <t>YOLIMA ALVAREZ MUÑOZ</t>
  </si>
  <si>
    <t>LEYDIT DEYNETH GONZALEZ PERILLA</t>
  </si>
  <si>
    <t>ADRIANA DUARTE MATEUS</t>
  </si>
  <si>
    <t>MYRIAM EUGENIA PEÑA MARTINEZ</t>
  </si>
  <si>
    <t>CLAUDIA PATRICIA BENITEZ SANCHEZ</t>
  </si>
  <si>
    <t>ESCUELA DE INGENIERÍA Y TECNOLOGÍAS DE LA INFORMACIÓN</t>
  </si>
  <si>
    <t>DIANA DEL PILAR PULIDO PARADA</t>
  </si>
  <si>
    <t>LUISA FERNANDA TELLEZ ESCOBAR</t>
  </si>
  <si>
    <t>FLOMAR YELITHZA CASTILLO ALVAREZ</t>
  </si>
  <si>
    <t>ASESORA OFICINA DE MERCADEO</t>
  </si>
  <si>
    <t>MONICA MARCELA RODRIGUEZ SIERRA</t>
  </si>
  <si>
    <t>LUZ ANGELA LAMPREA RUGE</t>
  </si>
  <si>
    <t>CARMEN ALICIA ALBA RODRIGUEZ</t>
  </si>
  <si>
    <t>NANCY VANEGAS CUEVAS</t>
  </si>
  <si>
    <t>SANDRA YANNETH CELY CABEZA</t>
  </si>
  <si>
    <t>PAOLA KATHERINE VICTORINO TOVAR</t>
  </si>
  <si>
    <t>LUZ MARINA ORJUELA</t>
  </si>
  <si>
    <t>DEISY ASTRID CAMELO BUSTOS</t>
  </si>
  <si>
    <t>ADRIANA PALACIO GARCES</t>
  </si>
  <si>
    <t>MARISOL YOMARY FERNANDEZ AVILA</t>
  </si>
  <si>
    <t>SECRETARIA II</t>
  </si>
  <si>
    <t>LUZ MERY QUIROZ SANCHEZ</t>
  </si>
  <si>
    <t>INGRID TATIANA GARZON ROJAS</t>
  </si>
  <si>
    <t>LUZ DARY ANGEL TORRES</t>
  </si>
  <si>
    <t>DORA INES TORRES MALDONADO</t>
  </si>
  <si>
    <t>YANNETH ALEXANDRA BARRAGAN TORRES</t>
  </si>
  <si>
    <t>LILIANA LUCIA MELO CACERES</t>
  </si>
  <si>
    <t>LUZ MARINA VARGAS MORENO</t>
  </si>
  <si>
    <t>SANDRA LILIANA APONTE ROJAS</t>
  </si>
  <si>
    <t>LUISA FERNANDA CASTRO</t>
  </si>
  <si>
    <t>PAOLA MARROQUIN CIENDUA</t>
  </si>
  <si>
    <t>SANDRA MILENA RAMIREZ OROZCO</t>
  </si>
  <si>
    <t>ROCIO DEL PILAR RONCANCIO PEÑA</t>
  </si>
  <si>
    <t>CONSTANZA GALVIS MARTINEZ</t>
  </si>
  <si>
    <t>YOLANDA GARCIA RODRIGUEZ</t>
  </si>
  <si>
    <t>MARILU  GARCIA MORA</t>
  </si>
  <si>
    <t>MERY ELIZABETH CHAVEZ PEÑA</t>
  </si>
  <si>
    <t>YANETT AFANADOR AGUILAR</t>
  </si>
  <si>
    <t>MINERVA GAONA</t>
  </si>
  <si>
    <t>CLAUDIA JULIANA REYES ROJAS</t>
  </si>
  <si>
    <t>LIBER XIMENA RUEDA SABOGAL</t>
  </si>
  <si>
    <t>GLORIA PATRICIA AVILA SEGURA</t>
  </si>
  <si>
    <t>MONICA ADRIANA HINESTROSA BEJARANO</t>
  </si>
  <si>
    <t>BLANCA LESLY MARTINEZ GONZALEZ</t>
  </si>
  <si>
    <t>ESPERANZA MORALES</t>
  </si>
  <si>
    <t>SARA ISABEL GUZMAN GOMEZ</t>
  </si>
  <si>
    <t>LILIANA CAMACHO CARRERO</t>
  </si>
  <si>
    <t>CLAUDIA MARIA GOMEZ MARULANDA</t>
  </si>
  <si>
    <t>MARIA FERNANDA MUÑOZ</t>
  </si>
  <si>
    <t>DIDILMA BARRERA BAREÑO</t>
  </si>
  <si>
    <t>SONIA PATRICIA MORA JAIME</t>
  </si>
  <si>
    <t>LELY ADRIANA LUENGAS CONTRERAS</t>
  </si>
  <si>
    <t>MARTA PATRICIA NORIEGA RODRIGUEZ</t>
  </si>
  <si>
    <t>MYRIAM SORAYA SUAREZ ROJAS</t>
  </si>
  <si>
    <t>YOLIMA ABIGAIL SEGOVIA RODRIGUEZ</t>
  </si>
  <si>
    <t>GLENDA KARINA REINOSO VALENCIA</t>
  </si>
  <si>
    <t>ANA YAQUELINE CHAVARRO PARRA</t>
  </si>
  <si>
    <t>ANA SILVIA RUBIO CONTRERAS</t>
  </si>
  <si>
    <t>EMMA PATRICIA JIMENEZ VARGAS</t>
  </si>
  <si>
    <t>ANA MARIA FALLA MENDOZA</t>
  </si>
  <si>
    <t>SANDRA YANETH LOMBANA PACHECO</t>
  </si>
  <si>
    <t>ROCIO SUAREZ ALARCON</t>
  </si>
  <si>
    <t>NOHORA LUCIA ALVARADO AMADO</t>
  </si>
  <si>
    <t>NUBIA ELINA LOZANO SANCHEZ</t>
  </si>
  <si>
    <t>AUXILIAR DE SERVICIOS GENERALES ASEO</t>
  </si>
  <si>
    <t>JANNETH CIFUENTES PERALTA</t>
  </si>
  <si>
    <t>OLGA LUCIA RUIZ CONVERS</t>
  </si>
  <si>
    <t>DEISY DUARTE BARRERA</t>
  </si>
  <si>
    <t>MAURA IMELDA DIAZ CASTIBLANCO</t>
  </si>
  <si>
    <t>DIANA LUCERO PEÑA MOSQUERA</t>
  </si>
  <si>
    <t>MARTHA PATRICIA VARGAS MORENO</t>
  </si>
  <si>
    <t>SANDRA LUCIA CUBIDES CRUZ</t>
  </si>
  <si>
    <t>EDELMIRA PRIETO PINZON</t>
  </si>
  <si>
    <t>ANA CRISTINA VALBUENA ROJAS</t>
  </si>
  <si>
    <t>NANCY MOGOLLON CADENA</t>
  </si>
  <si>
    <t>JEFE OFICINA FINANCIERA</t>
  </si>
  <si>
    <t>COORDINACION FINANCIERA</t>
  </si>
  <si>
    <t>DIANA ALEXANDRA DUARTE BARRERA</t>
  </si>
  <si>
    <t>SANDRA PATRICIA DIAZ REYES</t>
  </si>
  <si>
    <t>SECRETARIA III</t>
  </si>
  <si>
    <t>LUZ MIRIAM PEREZ VERA</t>
  </si>
  <si>
    <t>YOLANDA FLOREZ MARTINEZ</t>
  </si>
  <si>
    <t>ADRIANA MARTINEZ HERRAN</t>
  </si>
  <si>
    <t>OLGA LUCIA ROJAS VILLAMIZAR</t>
  </si>
  <si>
    <t>BLANCA ELIZABETH TORO RUBIANO</t>
  </si>
  <si>
    <t>NAYIVE NIÑO CASTILLO</t>
  </si>
  <si>
    <t>MASSIEL ADRIANA MOSSOS JIMENEZ</t>
  </si>
  <si>
    <t>GLADYS PATRICIA ABDEL RAHIM GARZON</t>
  </si>
  <si>
    <t>OLGA LUCIA DIAZ VILLAMIZAR</t>
  </si>
  <si>
    <t>DIANA  OLIVEROS FORTICHEQUE</t>
  </si>
  <si>
    <t>SANDRA YANETH ORTIZ HEREDIA</t>
  </si>
  <si>
    <t>DAISSY LILIANA BUITRAGO ROBELTO</t>
  </si>
  <si>
    <t>LIGIA MABEL BOHORQUEZ CELIS</t>
  </si>
  <si>
    <t>AMANDA LUCIA NAVARRETE ANGARITA</t>
  </si>
  <si>
    <t>MARTA LUCIA LOMBANA ESCOBAR</t>
  </si>
  <si>
    <t>ANGELA MARIA VENEGAS ACERO</t>
  </si>
  <si>
    <t>DIRECTOR DE EGRESADOS</t>
  </si>
  <si>
    <t>OFICINA DE EGRESADOS</t>
  </si>
  <si>
    <t>LILIANA OVIEDO ZAPATA</t>
  </si>
  <si>
    <t>CIELO MORA SANTOYO</t>
  </si>
  <si>
    <t>PILAR VEGA RIAÑO</t>
  </si>
  <si>
    <t>OLGA LUCIA GARZON VANEGAS</t>
  </si>
  <si>
    <t>ALEJANDRA OROZCO GARCIA-MAYORCA</t>
  </si>
  <si>
    <t>GLADYS RUEDA PUERTO</t>
  </si>
  <si>
    <t>ELSA PATRICIA PLAZAS SALAMANCA</t>
  </si>
  <si>
    <t>ALBA LUCIA BELTRAN POVEDA</t>
  </si>
  <si>
    <t>MARIA DEL PILAR CASTAÑEDA LOMBANA</t>
  </si>
  <si>
    <t>GLORIA PATRICIA AREVALO CAICEDO</t>
  </si>
  <si>
    <t>MARITZA LAYNE BERNAL</t>
  </si>
  <si>
    <t>INES ADRIANA PRIETO DUQUE</t>
  </si>
  <si>
    <t>CLAUDIA PATRICIA GOMEZ ESPINOSA</t>
  </si>
  <si>
    <t>SANDRA CRISTINA BARRAGAN BECERRA</t>
  </si>
  <si>
    <t>SONIA CLEOTILDE RODRIGUEZ RIAPIRA</t>
  </si>
  <si>
    <t>OLGA LEONOR TORRES SANCHEQUEZ</t>
  </si>
  <si>
    <t>MARIA ANGELES LERMA CARREÑO</t>
  </si>
  <si>
    <t>MARIA TERESA VARGAS ROJAS</t>
  </si>
  <si>
    <t>GLORIA MARIA VEGA M</t>
  </si>
  <si>
    <t>ROSA ELIZABETH PLAZAS SALAMANCA</t>
  </si>
  <si>
    <t>MARTHA CARMENZA CASTELLANOS ROJAS</t>
  </si>
  <si>
    <t>MERCEDES BARDALES PARRA</t>
  </si>
  <si>
    <t>MARIA ISABEL LEON GALVEZ</t>
  </si>
  <si>
    <t>ROSA MARIA MARTINEZ GONZALEZ</t>
  </si>
  <si>
    <t>FABIOLA GARCIA ARISMENDI</t>
  </si>
  <si>
    <t>ALBA BEATRIZ CABRERA AVILA</t>
  </si>
  <si>
    <t>ESMERALDA GONZALEZ VILLAR</t>
  </si>
  <si>
    <t>DILIA INES MOLINA CUBILLOS</t>
  </si>
  <si>
    <t>NORHA ISMAELINA CASTILLO CASTRO</t>
  </si>
  <si>
    <t>LUZ DARY MUÑOZ</t>
  </si>
  <si>
    <t>MABEL ODILIA FARFAN</t>
  </si>
  <si>
    <t>CONSUELO INFANTE FLOREZ</t>
  </si>
  <si>
    <t>ASISTENTE DE BIBLIOTECA</t>
  </si>
  <si>
    <t>BEATRIZ  CABRAL VARGAS</t>
  </si>
  <si>
    <t>DORIS AMPARO BABATIVA NOVOA</t>
  </si>
  <si>
    <t>VIVIANA ELIZABETH TOVAR PARDO</t>
  </si>
  <si>
    <t>LUZ ANGELA VILLALBA BOGOTA</t>
  </si>
  <si>
    <t>CLAUDIA PILAR POVEDA CORTÉS</t>
  </si>
  <si>
    <t>CLAUDIA GONZALEZ GONZALEZ</t>
  </si>
  <si>
    <t>BLANCA CECILIA BARBOSA ALONSO</t>
  </si>
  <si>
    <t>ELVIA MARIA SOLER OLARTE</t>
  </si>
  <si>
    <t>TECNOLOGIA EN ADMINISTRACION DE INFORMATICA</t>
  </si>
  <si>
    <t>MARIA ELINA LISBETH LUGO DIAZ</t>
  </si>
  <si>
    <t>ESPERANZA RODRIGUEZ OVALLE</t>
  </si>
  <si>
    <t>CLAUDIA MARCELA DUARTE PULIDO</t>
  </si>
  <si>
    <t>ANA LUCIA PEÑA ESCANDON</t>
  </si>
  <si>
    <t>FLOR ANGELA PLAZAS RODRIGUEZ</t>
  </si>
  <si>
    <t>GLORIA NELCY HURTADO TORRES</t>
  </si>
  <si>
    <t>MARTHA  ALEXANDRA CAROLINA MALAGON DUQUE</t>
  </si>
  <si>
    <t>MYRIAM CASTELLANOS CANTOR</t>
  </si>
  <si>
    <t>FANNY STELLA DUQUE GOMEZ</t>
  </si>
  <si>
    <t>MARTHA LUCIA MORA SANTOYO</t>
  </si>
  <si>
    <t>SANDRA OFELIA RODRIGUEZ BERNAL</t>
  </si>
  <si>
    <t>APOYO INTEGRAL GESTION DOCUMENTAL</t>
  </si>
  <si>
    <t>GLORIA MARCELA DELGADO JIMENEZ</t>
  </si>
  <si>
    <t>MARIA CONSUELO NIETO CAMERO</t>
  </si>
  <si>
    <t>BEATRIZ CABRAL VARGAS</t>
  </si>
  <si>
    <t>RAQUEL CASTIBLANCO VANEGAS</t>
  </si>
  <si>
    <t>ELVIA SALAZAR LOPEZ</t>
  </si>
  <si>
    <t>DIANA MYREYA VALLEJO GONZALEZ</t>
  </si>
  <si>
    <t>LILIA ZABALA OSPINA</t>
  </si>
  <si>
    <t>MARIA CLAUDIA HERNANDEZ JOVEN</t>
  </si>
  <si>
    <t>MARTHA LUCIA MOYA PARDO</t>
  </si>
  <si>
    <t>RUTH FAISULY GOMEZ HERNANDEZ</t>
  </si>
  <si>
    <t>AIDA ABELLA CASTRO</t>
  </si>
  <si>
    <t>MARTHA PATRICIA SANABRIA NOPPE</t>
  </si>
  <si>
    <t>PROFESIONAL ESPECIALIZADO EN ASEGURA DE LA CALIDAD</t>
  </si>
  <si>
    <t>JACKELINE  GARCIA GOMEZ</t>
  </si>
  <si>
    <t>MARIA FERNANDA DIAZ HERNANDEZ</t>
  </si>
  <si>
    <t>MARITZA RUEDA GARCES</t>
  </si>
  <si>
    <t>MARIA CAROLINA PULIDO ROJAS</t>
  </si>
  <si>
    <t>JEANNETTE BOHORQUEZ WILCHES</t>
  </si>
  <si>
    <t>LUZ MARLEN MEDINA PORRAS</t>
  </si>
  <si>
    <t>INGA INES BELLO CARRILO</t>
  </si>
  <si>
    <t>MARIA ELSA UNRIZA PUIN</t>
  </si>
  <si>
    <t>CARMEN ROSA ALARCON SUAREZ</t>
  </si>
  <si>
    <t>ANGELA CRISTINA OCHOA SERRANO</t>
  </si>
  <si>
    <t>ANA MARIA CORRALES GOMEZ</t>
  </si>
  <si>
    <t>MARTHA NICOLASA AMAYA BECERRA</t>
  </si>
  <si>
    <t>ALBA ROCIO BETANCOURT TORO</t>
  </si>
  <si>
    <t>MARIA DEL ROSARIO ESCOBAR HERRERA</t>
  </si>
  <si>
    <t>COORDINADOR DE GRADUADOS</t>
  </si>
  <si>
    <t>LUZ DARY AMOROCHO VILLALBA</t>
  </si>
  <si>
    <t>ANA ELENA SALGADO HERRERA</t>
  </si>
  <si>
    <t>DIRECTOR DE CONTABILIDAD</t>
  </si>
  <si>
    <t>CECILIA GARZON DAZA</t>
  </si>
  <si>
    <t>MARIA ELENA SOFAN B</t>
  </si>
  <si>
    <t>MARTHA CECILIA VIDAL ARIZABALETA</t>
  </si>
  <si>
    <t>MARI BETSY MARTINEZ ANGARITA</t>
  </si>
  <si>
    <t>CLAUDIA CRISTINA SEGUANES DIAZ</t>
  </si>
  <si>
    <t>EDILIA MEJIA LANS</t>
  </si>
  <si>
    <t>KATIA CECILIA HUMANEZ PETRO</t>
  </si>
  <si>
    <t>DANI JOSE OCHOA OLIVAR</t>
  </si>
  <si>
    <t>SONIA JANNETH MARTINEZ GOMEZ</t>
  </si>
  <si>
    <t>LUIS EDUARDO RAMIREZ TOVAR</t>
  </si>
  <si>
    <t>CARL ALBERL BARBARESCO COLMENAREZ</t>
  </si>
  <si>
    <t>FELIX ANTONIO LOZANO MANCO</t>
  </si>
  <si>
    <t>LAURA MARCELA BALAN</t>
  </si>
  <si>
    <t>OLGA CECILIA ROJAS SANCHEZ</t>
  </si>
  <si>
    <t>SANDRA BEATRIZ MONTAÑA PANQUEBA</t>
  </si>
  <si>
    <t>DIANA CAROLINA FONSECA FONSECA</t>
  </si>
  <si>
    <t>DIANA CAROLINA HERRERA BARRIOS</t>
  </si>
  <si>
    <t>AMALIA RODRIGUEZ LASSO</t>
  </si>
  <si>
    <t>DIOSELINA FERNANDEZ PONGUTA</t>
  </si>
  <si>
    <t>MARIO CENON CEBALLOS VASQUEZ</t>
  </si>
  <si>
    <t>ERIKA PAEZ MALO</t>
  </si>
  <si>
    <t>BEATRIZ ELENA ORTIZ CASAS</t>
  </si>
  <si>
    <t>ALEXANDRA ABUCHAR PORRAS</t>
  </si>
  <si>
    <t>JUAN ALVARO CASTELLANOS</t>
  </si>
  <si>
    <t>MANUEL GUILLERMO CORREAL GAMBOA</t>
  </si>
  <si>
    <t>ANA MARIA CORREA DIAZ</t>
  </si>
  <si>
    <t>ANDREA ROCIO ZAMBRANO ORTIZ</t>
  </si>
  <si>
    <t>NAYIVE NIEVES PIMIENTO</t>
  </si>
  <si>
    <t>ELIZABETH JIMENEZ CASTAÑO</t>
  </si>
  <si>
    <t>TRINIDAD VANEGAS CASTAÑO</t>
  </si>
  <si>
    <t>ANA CAROLINA TABARES CASAS</t>
  </si>
  <si>
    <t>MANUEL ALFONSO LOZANO FORERO</t>
  </si>
  <si>
    <t>CAROLINA MALDONADO CELIS</t>
  </si>
  <si>
    <t>DORA MARIA MONTOYA PINEDA</t>
  </si>
  <si>
    <t>COORDINADOR OFICINA DE EGRESADOS</t>
  </si>
  <si>
    <t>CENTRO DE DESARROLLO EMPRESARIAL PARA EL EGRESADO</t>
  </si>
  <si>
    <t>HUGO RUIZ MARTINEZ</t>
  </si>
  <si>
    <t>PATRICIA BUSTAMANTE MARIN</t>
  </si>
  <si>
    <t>EDUARDO JULIO MARTINEZ MESA</t>
  </si>
  <si>
    <t>DELSAR ROBERTO GAYON TAVERA</t>
  </si>
  <si>
    <t>VIRNA DERLYZ GUERRA POLANIA</t>
  </si>
  <si>
    <t>PAULA MARCELA GONZALEZ RESTREPO</t>
  </si>
  <si>
    <t>NATALIA HERNANDEZ ALVAREZ</t>
  </si>
  <si>
    <t>KAROLYNA MARTINEZ ARANGO</t>
  </si>
  <si>
    <t>MARIA PATRICIA GIRALDO OSPINA</t>
  </si>
  <si>
    <t>CLAUDIA PATRICIA MERLANO MARTINEZ</t>
  </si>
  <si>
    <t>MARTHA LILIANA OROZCO FLOREZ</t>
  </si>
  <si>
    <t>GLORIA ESPERANZA PRIETO CORREA</t>
  </si>
  <si>
    <t>JUAN CARLOS LOPEZ BARRAGAN</t>
  </si>
  <si>
    <t>FRANCESCA RIVERA LONDOÑO</t>
  </si>
  <si>
    <t>VICERRECTOR DE BIENESTAR INSTITUCIONAL</t>
  </si>
  <si>
    <t>NURY RUIZ ARIAS</t>
  </si>
  <si>
    <t>ROSALBA MALAGON VILLAMIZAR</t>
  </si>
  <si>
    <t>ASTRID  GONZALEZ NARIÑO</t>
  </si>
  <si>
    <t>ROSA ELENA GOMEZ HURTADO</t>
  </si>
  <si>
    <t>FLOR ALBA AGUIRRE BAQUERO</t>
  </si>
  <si>
    <t>DONALIZA CANO CASTAÑO</t>
  </si>
  <si>
    <t>MARIA STELLA GUTIERREZ DE ZAMBRANO</t>
  </si>
  <si>
    <t>EMILIA  BUSTOS PINTO</t>
  </si>
  <si>
    <t>LILIA DIAZ RODRIGUEZ</t>
  </si>
  <si>
    <t>GLORIA INES CEBALLOS HURTADO</t>
  </si>
  <si>
    <t>LUZ MARINA FORERO MONSALVE</t>
  </si>
  <si>
    <t>HAYDEE GUZMAN RAMIREZ</t>
  </si>
  <si>
    <t>MARIA CLAUDIA MARQUEZ DAZA</t>
  </si>
  <si>
    <t>MYRIAM STELLA CANTOR GONZALEZ</t>
  </si>
  <si>
    <t>NUBIA CASTILLO GONZALEZ</t>
  </si>
  <si>
    <t>ESPERANZA CUEVAS TORRES</t>
  </si>
  <si>
    <t>MARIA MERCEDES CASTAÑEDA MONTENEGRO</t>
  </si>
  <si>
    <t>NOHORA LIGIA HEREDIA VIVEROS</t>
  </si>
  <si>
    <t>GLADYS MOGOLLON JAIME</t>
  </si>
  <si>
    <t>PATRICIA INES MARQUEZ DAZA</t>
  </si>
  <si>
    <t>CARLOS ALBERTO CERON</t>
  </si>
  <si>
    <t>NOHORA STELLA CARDENAS</t>
  </si>
  <si>
    <t>GLORIA HILDA CALDERON DE CALDERON</t>
  </si>
  <si>
    <t>ASISTENTE II DE CONTRATACION</t>
  </si>
  <si>
    <t>GLORIA ROSERO ACEVEDO</t>
  </si>
  <si>
    <t>LUCY ARANGO RAMIREZ</t>
  </si>
  <si>
    <t>MARTHA ALBA BONILLA ESTEVEZ</t>
  </si>
  <si>
    <t>OLGA MARITZA CAMACHO MORA</t>
  </si>
  <si>
    <t>MARTHA MARIA RINCON CANAL</t>
  </si>
  <si>
    <t>COORDINACION PRACTICAS FCEA</t>
  </si>
  <si>
    <t>CLARA INÉS QUINTERO ACOSTA</t>
  </si>
  <si>
    <t>MABEL QUINTERO CONTRERAS</t>
  </si>
  <si>
    <t>CLARA INES CALLE AGUDELO</t>
  </si>
  <si>
    <t>COORD. RELACIONES INTERNACIONALES Y EGRESADOS</t>
  </si>
  <si>
    <t>RELACIONES INTERNACIONALES Y EGRESADOS</t>
  </si>
  <si>
    <t>HILDA MARLEN RUBIO G</t>
  </si>
  <si>
    <t>MARTHA CLEMENCIA PINEDA AGUIRRE</t>
  </si>
  <si>
    <t>ALICIA MARIA LOPEZ RESTREPO</t>
  </si>
  <si>
    <t>CONSUELO MONTAÑO ARENAS</t>
  </si>
  <si>
    <t>COORDINADOR DE INVESTIGACIÓN</t>
  </si>
  <si>
    <t>EDITH BLANCO RUIZ</t>
  </si>
  <si>
    <t>NOHELIA RIOS OCAMPO</t>
  </si>
  <si>
    <t>MARIA BETSY MARTINEZ</t>
  </si>
  <si>
    <t>ROSABEL GOMEZ PEDRAZA</t>
  </si>
  <si>
    <t>ANA JULIA ALFONSO DELGADO</t>
  </si>
  <si>
    <t>HILDA LUCIA DE LA PEÑA</t>
  </si>
  <si>
    <t>GLORIA TOQUICA DE ALVARADO</t>
  </si>
  <si>
    <t>GLORIA TOQUICA MONROY</t>
  </si>
  <si>
    <t>LUCY ELENA CAMPO GOMEZ</t>
  </si>
  <si>
    <t>EVELYN OTALORA PINEDA</t>
  </si>
  <si>
    <t>ANA MARIA GUERRERO</t>
  </si>
  <si>
    <t>CARMEN LUCIA GOMEZ PULIDO</t>
  </si>
  <si>
    <t>ELSA RODRIGUEZ MARTINEZ</t>
  </si>
  <si>
    <t>MYRIAM VELASQUEZ BUSTOS</t>
  </si>
  <si>
    <t>GLORIA MARIA PARRA MORA</t>
  </si>
  <si>
    <t>MYRIAM ORTEGA BOHORQUEZ</t>
  </si>
  <si>
    <t>AMPARO RADA ORTIZ</t>
  </si>
  <si>
    <t>MARIA DEL ROSARIO SAAVEDRA</t>
  </si>
  <si>
    <t>LILIA CELINA CARDENAS DE FERNANDEZ</t>
  </si>
  <si>
    <t>LUCY SOTO CORREA</t>
  </si>
  <si>
    <t>NANCY ESTHER CARDENAS ESPINOSA</t>
  </si>
  <si>
    <t>FANNY ISMENIA BARRETO DE LANGTON</t>
  </si>
  <si>
    <t>FAIRYS ASTRID MINDIOLA DAZA</t>
  </si>
  <si>
    <t>SIOVANNY LISBETH CONTRERAS SARMIENTO</t>
  </si>
  <si>
    <t>INDALECIO CASTELLANOS LOPEZ</t>
  </si>
  <si>
    <t>BLANCA LUCIA SALAZAR VILLEGAS</t>
  </si>
  <si>
    <t>ALBINA QUEZADA BARRERA</t>
  </si>
  <si>
    <t>CLARA LUCIA ENCISO BORDA</t>
  </si>
  <si>
    <t>MARIA ANGELICA GARAY CASTRO</t>
  </si>
  <si>
    <t>LILIANA PEÑUELA MUÑOZ</t>
  </si>
  <si>
    <t>ALICE ANDREA CORTES MORENO</t>
  </si>
  <si>
    <t>ELENA LUQUE FERREIRA</t>
  </si>
  <si>
    <t>DIRECTORA OFICINA DE PRENSA Y RELACIONES PUBLICAS</t>
  </si>
  <si>
    <t>LUISA  FERNANDA RICAURTE LOPEZ</t>
  </si>
  <si>
    <t>MARGARITA BRICEÑO DELGADO</t>
  </si>
  <si>
    <t>CLAUDIA PATRICIA SALAS FORERO</t>
  </si>
  <si>
    <t>LUZ ESPERANZA MORA MARTINEZ</t>
  </si>
  <si>
    <t>MARY LEONOR CARREÑO GARZON</t>
  </si>
  <si>
    <t>CLARA ELIZABETH MARROQUIN BELTRAN</t>
  </si>
  <si>
    <t>BERTHA PATRICIA TELLEZ HERRERA</t>
  </si>
  <si>
    <t>MARIA DEL CARMEN GUARIN VARGAS</t>
  </si>
  <si>
    <t>LUZ ANDREA RODRIGUEZ ROJAS</t>
  </si>
  <si>
    <t>YOLANDA  SIERRA ROZO</t>
  </si>
  <si>
    <t>LIGIA ESPERANZA LEAÑO MUÑOZ</t>
  </si>
  <si>
    <t>LOLA VIVIANA ESGUERRA VILLAMIZAR</t>
  </si>
  <si>
    <t>LEONOR VARGAS DELGADILLO</t>
  </si>
  <si>
    <t>DIANA MARIA BURBANO GONZALEZ</t>
  </si>
  <si>
    <t>ALVARO GAMBOA RAMIREZ</t>
  </si>
  <si>
    <t>MARIA DEL ROSARIO TRIANA VENEGAS</t>
  </si>
  <si>
    <t>YULEIMA BARRERO DUEÑAS</t>
  </si>
  <si>
    <t>MARICELA FRAILE RINCON</t>
  </si>
  <si>
    <t>LEYLA ELVIRA RAMIREZ VASQUEZ</t>
  </si>
  <si>
    <t>CLAUDIA  RUIZ</t>
  </si>
  <si>
    <t>SANDRA ANEHIDA VANEGAS PEDRAZA</t>
  </si>
  <si>
    <t>ASISTENTE III COORDINACION DE NOMINA</t>
  </si>
  <si>
    <t>MARIA ESPERANZA DIAZ CANO</t>
  </si>
  <si>
    <t>LEIDY ALEXANDRA DIMATE ROMERO</t>
  </si>
  <si>
    <t>FERNANDO JOSE MOLINA CASTAÑO</t>
  </si>
  <si>
    <t>YOLANDA MORENO MUÑOZ</t>
  </si>
  <si>
    <t>DAHYANA MILDREY GODOY TORRES</t>
  </si>
  <si>
    <t>SANDRA JANNETH MONTILLA CRIALES</t>
  </si>
  <si>
    <t>LIDER DE CONTABILIDAD</t>
  </si>
  <si>
    <t>NELIDA CARDENAS VERGAÑO</t>
  </si>
  <si>
    <t>RUTH VILLAMARIN RENTERIA</t>
  </si>
  <si>
    <t>PILAR DEL ROSARIO PEÑALOZA BERNAL</t>
  </si>
  <si>
    <t>MARIA JULIA GUERRERO CASTELLANOS</t>
  </si>
  <si>
    <t>APOYO INTEGRAL ADMINISTRATIVO</t>
  </si>
  <si>
    <t>ALEXANDRA DEL PILAR TORRES CRUZ</t>
  </si>
  <si>
    <t>JANETH CHACON HERNANDEZ</t>
  </si>
  <si>
    <t>ADRIANA ECHAVARRIA QUIROZ</t>
  </si>
  <si>
    <t>MABEL ESPERANZA FERNANDEZ HERRERA</t>
  </si>
  <si>
    <t>MARIA STELLA SILVA NUBAN</t>
  </si>
  <si>
    <t>ZORAIDA RIOS HOLGUIN</t>
  </si>
  <si>
    <t>MYRIAM  MARIN</t>
  </si>
  <si>
    <t>MARIA CONSUELO MORANTES</t>
  </si>
  <si>
    <t>SANDRA FABIOLA GONZALEZ GOMEZ</t>
  </si>
  <si>
    <t>MARTHA YANETH GUARIN</t>
  </si>
  <si>
    <t>YOLANDA MORALES ARIAS</t>
  </si>
  <si>
    <t>MARIA VICTORIA CORZO ORTEGA</t>
  </si>
  <si>
    <t>CAROLINA  PEDRAZA LOPEZ</t>
  </si>
  <si>
    <t>MALLERLY ULLOQUE RODRIGUEZ</t>
  </si>
  <si>
    <t>SANDRA DEL PILAR BAYONA CLAVIJO</t>
  </si>
  <si>
    <t>AMPARO  OJEDA REVELO</t>
  </si>
  <si>
    <t>MARIA FERNANDA SOTO GODOY</t>
  </si>
  <si>
    <t>SANDRA MILENA ÑAÑEZ URBANO</t>
  </si>
  <si>
    <t>MARGARITA CHARRY DUSSAN</t>
  </si>
  <si>
    <t>ROSABEL  PULIDO DE ZUÑIGA</t>
  </si>
  <si>
    <t>SONIA PATRICIA BUSTOS RINCON</t>
  </si>
  <si>
    <t>NANCY CRUZ HERNANDEZ</t>
  </si>
  <si>
    <t>MYRIAM JACQUELINE FUENTES CABRERA</t>
  </si>
  <si>
    <t>MARIA CONSUELO DE LAS MERCEDES CAICEDO TORO</t>
  </si>
  <si>
    <t>NUBIA ALEGRIA VELASQUEZ ROJAS</t>
  </si>
  <si>
    <t>MARTHA LUCIA PEÑALOSA B</t>
  </si>
  <si>
    <t>ALICIA  VALENZUELA</t>
  </si>
  <si>
    <t>GLADYS MERINO RICARDO</t>
  </si>
  <si>
    <t>ROSALBA SALAZAR VARGAS</t>
  </si>
  <si>
    <t>NUBIA DEYSSY HEREDIA GOMEZ</t>
  </si>
  <si>
    <t>MYRIAM  GARCIA CASTAÑEDA</t>
  </si>
  <si>
    <t>LUZ ESPERANZA BUSTOS SIERRA</t>
  </si>
  <si>
    <t>LUZ ANGELA MERCHAN INFANTE</t>
  </si>
  <si>
    <t>OSCAR HELI ARBELAEZ GARCES</t>
  </si>
  <si>
    <t>EDNA ROSA HURTADO TIMANA</t>
  </si>
  <si>
    <t>MARTHA CECILIA GONZALEZ MUÑOZ</t>
  </si>
  <si>
    <t>CARLOS ITALO LOBOS OCANTO</t>
  </si>
  <si>
    <t>JEFE LOGISTICA Y SERVICIOS GENERALES</t>
  </si>
  <si>
    <t>MELISSA GOMEZ HERNANDEZ</t>
  </si>
  <si>
    <t>ESPERANZA  SALAMANCA</t>
  </si>
  <si>
    <t>MORAIMA DEL CARMEN SALON VILLALBA</t>
  </si>
  <si>
    <t>DIANA MARGARITA SOTO HERNANDEZ</t>
  </si>
  <si>
    <t>MERLY MARIA BERNAL  LLANOS</t>
  </si>
  <si>
    <t>ROSA FILVERANIA TRUJILLO RENDON</t>
  </si>
  <si>
    <t>TECNOLOGIA EN ADMINISTRACION FINANCIERA</t>
  </si>
  <si>
    <t>ALBA CECILIA ZULUAGA BETANCURT</t>
  </si>
  <si>
    <t>GLORIA GALLEGO POSADA</t>
  </si>
  <si>
    <t>ALIRIO AGUIRRE RAMIREZ</t>
  </si>
  <si>
    <t>NINA PATRICIA GOMEZ DE DIAZ</t>
  </si>
  <si>
    <t>NELSON CADENA SANCHEZ</t>
  </si>
  <si>
    <t>RICARDO SOTO PINZON</t>
  </si>
  <si>
    <t>ALEJANDRO BORDA RIVAS</t>
  </si>
  <si>
    <t>DARIO FERNANDO LEON ROJAS</t>
  </si>
  <si>
    <t>YUDY YIRLEZA RAMIREZ MORENO</t>
  </si>
  <si>
    <t>VICTOR JULIO ARIAS</t>
  </si>
  <si>
    <t>LUIS ALFONSO GONZALEZ GARCIA</t>
  </si>
  <si>
    <t>CARLOS JULIO TRIVIÑO BOHORQUEZ</t>
  </si>
  <si>
    <t>RAÚL GUILLERMO CASTILLO RAMIREZ</t>
  </si>
  <si>
    <t>RICARDO ESTEBAN FORERO VASQUEZ</t>
  </si>
  <si>
    <t>MARIA ANTONIETA CANO ACOSTA</t>
  </si>
  <si>
    <t>CAROLINA CHICA CADAVID</t>
  </si>
  <si>
    <t>BEATRIZ HELENA ALVAREZ LONDOÑO</t>
  </si>
  <si>
    <t>MARTHA CECILIA SANTAFE CONTRERAS</t>
  </si>
  <si>
    <t>MARIA ISABEL DE CASTRO DE LOS RIOS</t>
  </si>
  <si>
    <t>PATRICIA ZARAZA IBARRA</t>
  </si>
  <si>
    <t>MARIA CENEIDA GOMEZ TORO</t>
  </si>
  <si>
    <t>GUILLERMO MENDEZ HEREDIA</t>
  </si>
  <si>
    <t>JUAN CARLOS MANCILLA LAGUNA</t>
  </si>
  <si>
    <t>ELIANA GARZON DUARTE</t>
  </si>
  <si>
    <t>LUIS ANTONIO ROMERO VALERO</t>
  </si>
  <si>
    <t>LUIS FERNANDO GARCIA NUÑEZ</t>
  </si>
  <si>
    <t>FABIO CARDENAS LOPEZ</t>
  </si>
  <si>
    <t>MAGALLY HERNANDEZ OSPINA</t>
  </si>
  <si>
    <t>VICTOR MANUEL ARIAS MARTINEZ</t>
  </si>
  <si>
    <t>LUZ DARYS VANEGAS QUIROGA</t>
  </si>
  <si>
    <t>NIDIA PEREZ MALDONADO</t>
  </si>
  <si>
    <t>MARTHA LETICIA AGUIRRE QUINTERO</t>
  </si>
  <si>
    <t>JOHANNA ANDREA VELASQUEZ MORALES</t>
  </si>
  <si>
    <t>MARIA ANGELICA MARTINEZ CAMPOS</t>
  </si>
  <si>
    <t>MARIA CONSTANZA SUAREZ BONILLA</t>
  </si>
  <si>
    <t>LUISA FERNANDA CIRO MORENO</t>
  </si>
  <si>
    <t>AMPARO RUEDA JAIMES</t>
  </si>
  <si>
    <t>ELIZABETH MARIE MASTURZO</t>
  </si>
  <si>
    <t>DORIS BENHUR JAIMES ARCINIEGAS</t>
  </si>
  <si>
    <t>YELITZA YANIVER PARRA GUERRERO</t>
  </si>
  <si>
    <t>WALTER NATALIO VALDEZ MONTAÑEZ</t>
  </si>
  <si>
    <t>GLORIA MARIA MEJIA DE BOTERO</t>
  </si>
  <si>
    <t>BLANCA LIBIA ARIAS CASTELLANOS</t>
  </si>
  <si>
    <t>LIBIA TORO TORO</t>
  </si>
  <si>
    <t>MIREYA RUBIANO MELO</t>
  </si>
  <si>
    <t>EUNICE MISE AYALA</t>
  </si>
  <si>
    <t>MIRIAM PATRICIA RONCANCIO FLOREZ</t>
  </si>
  <si>
    <t>MARIA BRICEIDA ALFONSO GARCIA</t>
  </si>
  <si>
    <t>GLADYS YADIRA PEREZ RODRIGUEZ</t>
  </si>
  <si>
    <t>EDITH ZENAIDA CAICEDO GUTIERREZ</t>
  </si>
  <si>
    <t>LUZ NERY CORREDOR SOSA</t>
  </si>
  <si>
    <t>SONIA MARGARITA PAEZ PINILLA</t>
  </si>
  <si>
    <t>NUBIA ISABEL DELGADILLO RAMOS</t>
  </si>
  <si>
    <t>CARMEN CECILIA VILLAMIL MONTAÑEZ</t>
  </si>
  <si>
    <t>MARITZA DEL  CARMEN ESTRADA GAIBAO</t>
  </si>
  <si>
    <t>ADRIANA RODRIGUEZ ACOSTA</t>
  </si>
  <si>
    <t>JEFE</t>
  </si>
  <si>
    <t>BLANCA ISABEL BUSTOS VIDES</t>
  </si>
  <si>
    <t>VIVIAN GAGLIANI GOMEZ</t>
  </si>
  <si>
    <t>ZUNILDA ROSA PABON MARTINEZ</t>
  </si>
  <si>
    <t>PROFESIONAL - AUTOEVALUACIÓN Y RETENCIÓN</t>
  </si>
  <si>
    <t>MARTHA ELIZABETH BARBOSA MANRIQUE</t>
  </si>
  <si>
    <t>ALEXANDRA VILLALOBOS PEREZ</t>
  </si>
  <si>
    <t>ROSA FRANCISCA LOPEZ RODRIGUEZ</t>
  </si>
  <si>
    <t>NAYIBE CARVAJAL GUTIERREZ</t>
  </si>
  <si>
    <t>PROFESIONAL - CONTABLE</t>
  </si>
  <si>
    <t>ANA ROSA MELO MURILLO</t>
  </si>
  <si>
    <t>LUZ MIREYA GOMEZ SALAMANCA</t>
  </si>
  <si>
    <t>KARENT ANGELICA DIAZ RIOS</t>
  </si>
  <si>
    <t>GLORIA CECILIA ZABALA BASTIDAS</t>
  </si>
  <si>
    <t>CLAUDIA GARZON CORTES</t>
  </si>
  <si>
    <t>AMANDA MOYA DE BERNAL</t>
  </si>
  <si>
    <t>COORDINADOR SEDE COMPENSAR</t>
  </si>
  <si>
    <t>ANGELA MARCELA CASTELLANOS BARBOSA</t>
  </si>
  <si>
    <t>MARIA TERESA BARRERO VELASQUEZ</t>
  </si>
  <si>
    <t>CAROL BIBIANA ROMERO CAÑON</t>
  </si>
  <si>
    <t>JULIO ELMER DE LA RUE GUTIERREZ</t>
  </si>
  <si>
    <t>CARLOS JULIO CRUZ ROMERO</t>
  </si>
  <si>
    <t>ROBERT OSORIO TORRES</t>
  </si>
  <si>
    <t>JOSE ARMANDO RUIZ CALDERON</t>
  </si>
  <si>
    <t>SEGUNDO OCTAVIO JIMENEZ MARTINEZ</t>
  </si>
  <si>
    <t>ARISTARCO LOPEZ TALERO</t>
  </si>
  <si>
    <t>LUIS HERNAN ALVAREZ</t>
  </si>
  <si>
    <t>FERNANDO  MARTINEZ GIL</t>
  </si>
  <si>
    <t>FAUSTINO CASTIBLANCO VARGAS</t>
  </si>
  <si>
    <t>ALVARO GARCIA ALARCON</t>
  </si>
  <si>
    <t>LUIS ORLANDO JIMENEZ MONTES</t>
  </si>
  <si>
    <t>SILVIO GUSTAVO VERTEL TRILLOS</t>
  </si>
  <si>
    <t>ALVARO ARIZA SERRANO</t>
  </si>
  <si>
    <t>JAIRO LOPEZ MENDIVELSO</t>
  </si>
  <si>
    <t>LUIS FERNANDO CEBALLOS HURTADO</t>
  </si>
  <si>
    <t>HENRY GONZALEZ NOVOA</t>
  </si>
  <si>
    <t>HENRY EDUARDO CASTELLANOS MACIAS</t>
  </si>
  <si>
    <t>JUAN CARLOS ANDRES BUSTOS GOMEZ</t>
  </si>
  <si>
    <t>RICARDO HOYOS BALLESTEROS</t>
  </si>
  <si>
    <t>DIRECTOR OFICINA DE MERCADEO</t>
  </si>
  <si>
    <t>ORLANDO ALBERTO ORTIZ SANCHEZ</t>
  </si>
  <si>
    <t>JUAN  DE JESUS RUIZ GONZALEZ</t>
  </si>
  <si>
    <t>EDGAR ALBERTO CAICEDO VELASCO</t>
  </si>
  <si>
    <t>CARLOS HERNANDO VALDES CRUZ</t>
  </si>
  <si>
    <t>ORLANDO AMILCAR JARAMILLO DIAZ</t>
  </si>
  <si>
    <t>ALVARO EMIRO BEJARANO BUSTOS</t>
  </si>
  <si>
    <t>LUIS ENRIQUE PANCHE MAYORGA</t>
  </si>
  <si>
    <t>ALIRIO AUGUSTO AGUILERA RODRIGUEZ</t>
  </si>
  <si>
    <t>JAIRO CARRERO ARIAS</t>
  </si>
  <si>
    <t>MIGUEL MANRIQUE CORDOBA</t>
  </si>
  <si>
    <t>NESTOR  JOSE PARDO RICAURTE</t>
  </si>
  <si>
    <t>LUIS ALFONSO AMAYA FRANCO</t>
  </si>
  <si>
    <t>SIGIFREDO VALLEJO CASTRO</t>
  </si>
  <si>
    <t>JAVIER FLOREZ MIRANDA</t>
  </si>
  <si>
    <t>JAIME ALFONSO MARTINEZ JURADO</t>
  </si>
  <si>
    <t>LUIS FERNANDO PAEZ TRUJILLO</t>
  </si>
  <si>
    <t>LUIS GONZALO BENAVIDES RAMIREZ</t>
  </si>
  <si>
    <t>ISMAEL ALMONACID GONZALEZ</t>
  </si>
  <si>
    <t>TECNICO II TALLER DE PUBLICACIONES</t>
  </si>
  <si>
    <t>RICARDO ROJAS LOPEZ</t>
  </si>
  <si>
    <t>MARCO TULIO URUEÑA BOLAÑOS</t>
  </si>
  <si>
    <t>JORGE ALBERTO PUERTO VEGA</t>
  </si>
  <si>
    <t>CARLOS ALBERTO ORTIZ VIVEROS</t>
  </si>
  <si>
    <t>EFRAIN RICARDO URIBE MOYA</t>
  </si>
  <si>
    <t>JULIO CESAR PUERTO CORTES</t>
  </si>
  <si>
    <t>JAVIER CORREA CORREA</t>
  </si>
  <si>
    <t>JAIRO ALFONSO SIERRA CARRILLO</t>
  </si>
  <si>
    <t>IVAN RENE LEON GARZON</t>
  </si>
  <si>
    <t>JUAN FERNANDO VELÁSQUEZ CARRANZA</t>
  </si>
  <si>
    <t>CARLOS ENRIQUE PIRACHICAN SUESCA</t>
  </si>
  <si>
    <t>MARCO HERIBERTO MALDONADO MESA</t>
  </si>
  <si>
    <t>ROBERTO SEPULVEDA ROMERO</t>
  </si>
  <si>
    <t>LUIS RICARDO GARCIA CIFUENTES</t>
  </si>
  <si>
    <t>MAURICIO JAVIER LEON CARDENAS</t>
  </si>
  <si>
    <t>ALVARO SANDOVAL RUBIO</t>
  </si>
  <si>
    <t>JOSE IGNACIO DUARTE GARCIA</t>
  </si>
  <si>
    <t>ASESOR DE PROYECTOS ESPECIALES</t>
  </si>
  <si>
    <t>HERNANDO PEREA BASTIDAS</t>
  </si>
  <si>
    <t>ALEXIS BARAJAS MORALES</t>
  </si>
  <si>
    <t>RAFAEL ENRIQUE FAJARDO CASTRO</t>
  </si>
  <si>
    <t>RAUL GERARDO WIESNER BARROS</t>
  </si>
  <si>
    <t>LUIS EDUARDO VALENZUELA MELO</t>
  </si>
  <si>
    <t>JOSE LAUREANO MARTA GAVIRIA</t>
  </si>
  <si>
    <t>WILLIAM FERNANDO MOYANO DIAZ</t>
  </si>
  <si>
    <t>ALEX FERNANDO ROMERO ZUBIETA</t>
  </si>
  <si>
    <t>JESUS VIDAL ARIAS ROJAS</t>
  </si>
  <si>
    <t>JOSE ARNULFO PEDRAZA PEREZ</t>
  </si>
  <si>
    <t>OSCAR HERNAN PINILLOS BOHORQUEZ</t>
  </si>
  <si>
    <t>EDGAR ARABI RUSINKE CASTRO</t>
  </si>
  <si>
    <t>HAROLD HUMBERTO SARMIENTO RAMIREZ</t>
  </si>
  <si>
    <t>MARIO AUGUSTO LOPEZ RODRIGUEZ</t>
  </si>
  <si>
    <t>CESAR  DELGADO</t>
  </si>
  <si>
    <t>LUIS ALBERTO FOLLECO MORA</t>
  </si>
  <si>
    <t>VICTOR  DIUSABA</t>
  </si>
  <si>
    <t>RICARDO TEODORO JIMENEZ MARTINEZ</t>
  </si>
  <si>
    <t>CARLOS AMILCAR BARRERA GUARIN</t>
  </si>
  <si>
    <t>RAFAEL ARMANDO RODRIGUEZ OSORNO</t>
  </si>
  <si>
    <t>EDGAR VALERO CABEZAS</t>
  </si>
  <si>
    <t>CARLOS HERNANDO PINZON</t>
  </si>
  <si>
    <t>JAVIER HERNAN CUFIÑO CUFIÑO</t>
  </si>
  <si>
    <t>SAUL MALDONADO MALDONADO</t>
  </si>
  <si>
    <t>FRANCISCO DOMINGO MOLINA PEÑUELA</t>
  </si>
  <si>
    <t>VICTOR MANUEL PEREZ HERNANDEZ</t>
  </si>
  <si>
    <t>CARLOS ALBERTO CASTIBLANCO VARGAS</t>
  </si>
  <si>
    <t>FERNANDO ENRIQUE CALDERON MARTINEZ</t>
  </si>
  <si>
    <t>MANUEL JOSE PEREZ DIAZ</t>
  </si>
  <si>
    <t>RAFAEL NICOLAS MENDIETA JARAMILLO</t>
  </si>
  <si>
    <t>RAUL ADAMES GOMEZ</t>
  </si>
  <si>
    <t>EDGAR PALACINO ANTIA</t>
  </si>
  <si>
    <t>HELMAN  CASTAÑEDA CASTAÑEDA</t>
  </si>
  <si>
    <t>FERNANDO ALBERTO LAMPREA OCHOA</t>
  </si>
  <si>
    <t>ARNULFO  ARIAS MARIN</t>
  </si>
  <si>
    <t>HUGO BORRAEZ HEREDIA</t>
  </si>
  <si>
    <t>ALEJANDRO  MARTINEZ</t>
  </si>
  <si>
    <t>JOSE EULOGIO GUTIERREZ MUÑOZ</t>
  </si>
  <si>
    <t>DANIEL EMILIO CAMARGO REYES</t>
  </si>
  <si>
    <t>LEON DARIO MUÑOZ ALVAREZ</t>
  </si>
  <si>
    <t>VESPASIANO JARAMILLO BARON</t>
  </si>
  <si>
    <t>MANUEL GUERRERO VILLAGRAN</t>
  </si>
  <si>
    <t>CARLOS ARMANDO MARIN</t>
  </si>
  <si>
    <t>JULIO CESAR DAZA LARROTA</t>
  </si>
  <si>
    <t>JAIRO MILCIADES MOSCOSO FONSECA</t>
  </si>
  <si>
    <t>ACTIVOS FIJOS</t>
  </si>
  <si>
    <t>JORGE AUGUSTO VALENCIA</t>
  </si>
  <si>
    <t>HELMER ANTONIO DOMINGUEZ RIVERA</t>
  </si>
  <si>
    <t>WILLIAM CRUZ MORALES</t>
  </si>
  <si>
    <t>IVAN  OSORIO MARTINEZ</t>
  </si>
  <si>
    <t>GUILLERMO LEON RUIZ VICTORIA</t>
  </si>
  <si>
    <t>ALVARO HERNANDO MONCAYO GOMEZ</t>
  </si>
  <si>
    <t>ALEXANDER ANTONIO MESTRE HERNANDEZ</t>
  </si>
  <si>
    <t>GONZALO ERNESTO GUERRERO AMAYA</t>
  </si>
  <si>
    <t>ALBERTO LEON RIVAS</t>
  </si>
  <si>
    <t>LUIS ALBERTO RAMIREZ MALAGON</t>
  </si>
  <si>
    <t>JAIME PEDRAZA FORERO</t>
  </si>
  <si>
    <t>MARIO GERMAN MORENO MARTINEZ</t>
  </si>
  <si>
    <t>LUIS GUILLERMO SANCHEQUEZ ALDANA</t>
  </si>
  <si>
    <t>VÍCTOR MANUEL RAMÍREZ BUITRAGO</t>
  </si>
  <si>
    <t>LUIS CARLOS CAICEDO MARTINEZ</t>
  </si>
  <si>
    <t>FRANCISCO JAVIER MOSQUERA FERNANDEZ</t>
  </si>
  <si>
    <t>JOSE ANGEL BELTRAN C</t>
  </si>
  <si>
    <t>CARLOS ARTURO OSORIO GOMEZ</t>
  </si>
  <si>
    <t>RODOLFO  BELLO LEMUS</t>
  </si>
  <si>
    <t>AUGUSTO ROJAS OSORIO</t>
  </si>
  <si>
    <t>LUIS FRANCISCO PEÑA ANGULO</t>
  </si>
  <si>
    <t>GERMAN ENRIQUE URDINOLA SANABRIA</t>
  </si>
  <si>
    <t>JORGE HUMBERTO RODRIGUEZ MARTINEZ</t>
  </si>
  <si>
    <t>VICERRECTOR ADMINISTRATIVO</t>
  </si>
  <si>
    <t>GABRIEL FERNANDO LIEVANO QUIMBAY</t>
  </si>
  <si>
    <t>OMAR DURABIO QUEVEDO MALDONADO</t>
  </si>
  <si>
    <t>VICTOR HUGO VERGARA VERGARA</t>
  </si>
  <si>
    <t>JOSE MARIA TELLO URBANO</t>
  </si>
  <si>
    <t>CARLOS ARTURO PEREZ DIAZ</t>
  </si>
  <si>
    <t>JOSE MANUEL ALARCON VILLAR</t>
  </si>
  <si>
    <t>GONZALO SOLANO BAUQUE</t>
  </si>
  <si>
    <t>RAUL ALBERTO DUARTE GOMEZ</t>
  </si>
  <si>
    <t>RAUL EDUARDO REYES BERMUDEZ</t>
  </si>
  <si>
    <t>HUMBERTO  GONZALEZ RAMOS</t>
  </si>
  <si>
    <t>LUIS ALEJANDRO HERNANDEZ PULIDO</t>
  </si>
  <si>
    <t>CARLOS JULIO RODRIGUEZ BARRAGAN</t>
  </si>
  <si>
    <t>OCTAVIO BUSTAMANTE MURCIA</t>
  </si>
  <si>
    <t>EDGAR ERNESTO CARO RAMIREZ</t>
  </si>
  <si>
    <t>JORGE ELIECER OCHOA ROJAS</t>
  </si>
  <si>
    <t>ALVARO JOSE MANUEL GOENAGA DE BEDOUT</t>
  </si>
  <si>
    <t>JAIME LEMUS CARDOZO</t>
  </si>
  <si>
    <t>FABIO VILLAMIZAR RODRIGUEZ</t>
  </si>
  <si>
    <t>ORLANDO CASTRO ACEVEDO</t>
  </si>
  <si>
    <t>EDGAR MARIO TORRES VARGAS</t>
  </si>
  <si>
    <t>ALFREDO GHISAYS RUIZ</t>
  </si>
  <si>
    <t>MANUEL ENRIQUE BOLIVAR GODOY</t>
  </si>
  <si>
    <t>DANIEL RAFAEL ARANGO LISCHT</t>
  </si>
  <si>
    <t>MARCO AUGUSTO ALBA TORRES</t>
  </si>
  <si>
    <t>LOPE MEDINA MOLANO</t>
  </si>
  <si>
    <t>CESAR  BECERRRA</t>
  </si>
  <si>
    <t>JOSE HOBBER RODRIGUEZ SANCHEZ</t>
  </si>
  <si>
    <t>NELSON JAVIER CARVAJAL CALDERON</t>
  </si>
  <si>
    <t>CARLOS JULIO DELGADILLO ROJAS</t>
  </si>
  <si>
    <t>EMEL JULIO DÍAZ DÍAZ</t>
  </si>
  <si>
    <t>CARLOS MANUEL ARIAS GUERRERO</t>
  </si>
  <si>
    <t>GONZALO HERNAN AMADOR CASTELLANOS</t>
  </si>
  <si>
    <t>MANUEL ANTONIO PEREZ RODRIGUEZ</t>
  </si>
  <si>
    <t>JESUS ANTONIO SORIANO AVILA</t>
  </si>
  <si>
    <t>RODRIGO JAVIER ALEJANDRO MACHADO SIERRA</t>
  </si>
  <si>
    <t>CARLOS MAURICIO ZULETA GAONA</t>
  </si>
  <si>
    <t>JORGE ENRIQUE RODRIGUEZ MORENO</t>
  </si>
  <si>
    <t>LUIS ALEJANDRO LESMES CARRILLO</t>
  </si>
  <si>
    <t>FRANCISCO RODRIGO CEPEDA LOPEZ</t>
  </si>
  <si>
    <t>EDGAR EMILIO ARDILA ROJAS</t>
  </si>
  <si>
    <t>GABRIEL ALFONSO CAÑON VEGA</t>
  </si>
  <si>
    <t>JOSE OSWALDO ROMERO PEREZ</t>
  </si>
  <si>
    <t>RAUL ORLANDO FRANCO GUZMAN</t>
  </si>
  <si>
    <t>CARLOS BERNARDO GONZALEZ</t>
  </si>
  <si>
    <t>VICTOR HUGO FANDIÑO ROZO</t>
  </si>
  <si>
    <t>FERNANDO MONTAÑA MERINO</t>
  </si>
  <si>
    <t>FABIO JARAMILLO ROJAS</t>
  </si>
  <si>
    <t>ORLANDO  CHITIVA GONZALEZ</t>
  </si>
  <si>
    <t>LUIS ALFREDO VARGAS</t>
  </si>
  <si>
    <t>ALEJANDRO PARADA FERNANDEZ</t>
  </si>
  <si>
    <t>LUIS FRANCISCO CRISTANCHO REYES</t>
  </si>
  <si>
    <t>LUIS ENRIQUE CANTOR GONZALEZ</t>
  </si>
  <si>
    <t>RAUL EDUARDO MONTAÑA MARTINEZ</t>
  </si>
  <si>
    <t>FRANCISCO  PINTO  ROJAS</t>
  </si>
  <si>
    <t>NESTOR HUMBERTO LOPEZ GUZMAN</t>
  </si>
  <si>
    <t>JULIO HERNANDO GALLEGO</t>
  </si>
  <si>
    <t>LUIS HEBERTO PAEZ SERNA</t>
  </si>
  <si>
    <t>GABRIEL GOMEZ MEJIA</t>
  </si>
  <si>
    <t>JAIME DE LA HORTUA NATES</t>
  </si>
  <si>
    <t>JOSE VICENTE TRUJILLO</t>
  </si>
  <si>
    <t>JOSE ARMANDO QUINTERO</t>
  </si>
  <si>
    <t>FRANCISCO OLEGARIO TORRES PEDRAZA</t>
  </si>
  <si>
    <t>ENRIQUE  PINZON ALVAREZ</t>
  </si>
  <si>
    <t>LAURENTINO  CASTILBLANCO</t>
  </si>
  <si>
    <t>ROBERTO ENRIQUE BOSEMBERG RAMIREZ</t>
  </si>
  <si>
    <t>GERMAN PABLO NARANJO DOUSDEBE</t>
  </si>
  <si>
    <t>GERMAN RODRIGUEZ CASTAÑEDA</t>
  </si>
  <si>
    <t>ALVARO GUERRERO MORENO</t>
  </si>
  <si>
    <t>JAIRO MORA</t>
  </si>
  <si>
    <t>PEDRO JOSE VEGAS ANGULO</t>
  </si>
  <si>
    <t>JORGE LUIS SEGURA RODRIGUEZ</t>
  </si>
  <si>
    <t>LUIS ENRIQUE REY RODRIGUEZ</t>
  </si>
  <si>
    <t>JEFE CONTROL INTERNO</t>
  </si>
  <si>
    <t>OFICINA DE CONTROL INTERNO</t>
  </si>
  <si>
    <t>RAFAEL JIMENEZ RODRIGUEZ</t>
  </si>
  <si>
    <t>ALFREDO ENRIQUE POLO GARCIA</t>
  </si>
  <si>
    <t>WILLIAM GUEVARA GONZALEZ</t>
  </si>
  <si>
    <t>JAIRO TREJOS LEON</t>
  </si>
  <si>
    <t>JORGE ALBARRACIN DIAZ</t>
  </si>
  <si>
    <t>HUGO ORTIZ GARCIA</t>
  </si>
  <si>
    <t>JAIRO OSWALDO LOZANO</t>
  </si>
  <si>
    <t>ORLANDO RENGIFO CALLEJAS</t>
  </si>
  <si>
    <t>CARLOS ALFONSO MORALES NIÑO</t>
  </si>
  <si>
    <t>EDGAR ANTONIO GARCIA CARO</t>
  </si>
  <si>
    <t>BENJAMIN URIBE GOMEZ</t>
  </si>
  <si>
    <t>ORLANDO DE JESUS SERENO PATIÑO</t>
  </si>
  <si>
    <t>MIGUEL ANGEL RIVEROS</t>
  </si>
  <si>
    <t>JOSE IRENARCO PEREZ PARRA</t>
  </si>
  <si>
    <t>NELSON ENRIQUE OSPINA ESPITIA</t>
  </si>
  <si>
    <t>DAGOBERTO  DIAZ PACHON</t>
  </si>
  <si>
    <t>HERNANDO RODRIGUEZ PRIETO</t>
  </si>
  <si>
    <t>GERARDO LOPEZ BARON</t>
  </si>
  <si>
    <t>ALVARO  VELASCO ROJAS</t>
  </si>
  <si>
    <t>JOSE DOMINGO BERNAL</t>
  </si>
  <si>
    <t>RICARDO CIPAGAUTA HORTUA</t>
  </si>
  <si>
    <t>JAIRO JAMITH PALACIOS ROZO</t>
  </si>
  <si>
    <t>JUAN CARLOS AGUDELO</t>
  </si>
  <si>
    <t>JOSE ALFREDO GUAVITA</t>
  </si>
  <si>
    <t>ALFREDO  LOPEZ HERNANDEZ</t>
  </si>
  <si>
    <t>LUIS FERNANDO GARCIA VARGAS</t>
  </si>
  <si>
    <t>JOSE ROBERTO RINCON ACOSTA</t>
  </si>
  <si>
    <t>MARIO  LOSADA GUTIERREZ</t>
  </si>
  <si>
    <t>IVAN  MELUK ACUÑA</t>
  </si>
  <si>
    <t>TULIO GUILLOTT CARMONA</t>
  </si>
  <si>
    <t>JAIRO A  NAVARRO M</t>
  </si>
  <si>
    <t>FRANCISCO  GALINDO BERROCAL</t>
  </si>
  <si>
    <t>EDGAR  SUAREZ</t>
  </si>
  <si>
    <t>FABIO  DIAZ IRIARTE</t>
  </si>
  <si>
    <t>VICTOR MANUEL HERNANDEZ OLAVE</t>
  </si>
  <si>
    <t>CARLOS ALIRIO ARANA SAENZ</t>
  </si>
  <si>
    <t>RICARDO CAÑON FAJARDO</t>
  </si>
  <si>
    <t>OSWALDO WEISZ BAUTISTA</t>
  </si>
  <si>
    <t>JUAN DARIO LARA</t>
  </si>
  <si>
    <t>LAUREANO RESTREPO LEIVA</t>
  </si>
  <si>
    <t>JOSE MIGUEL SANCHEZ GONZALEZ</t>
  </si>
  <si>
    <t>ALFONSO  VACCA PERILLA</t>
  </si>
  <si>
    <t>HERNANDO  MARTINEZ CARVAJAL</t>
  </si>
  <si>
    <t>LEONARDO CARLOS RENDON BELLO</t>
  </si>
  <si>
    <t>OTONIEL UMAÑA MURGUEITIO</t>
  </si>
  <si>
    <t>RICARDO CAICEDO CARDONA</t>
  </si>
  <si>
    <t>EDGARDO SAMUEL BARRAZA VERDESOTO</t>
  </si>
  <si>
    <t>LUIS MIGUEL RANGEL TORRES</t>
  </si>
  <si>
    <t>EDINSON ROMERO ORDOÑEZ</t>
  </si>
  <si>
    <t>GUILLERMO ALBERTO BORRERO RENGIFO</t>
  </si>
  <si>
    <t>CESAR AUGUSTO VELEZ CASTILLO</t>
  </si>
  <si>
    <t>ALFREDO NAVIA GARRIDO</t>
  </si>
  <si>
    <t>HERNANDO  DIAZ LOZADA</t>
  </si>
  <si>
    <t>JAVIER LEMOS TAMAYO</t>
  </si>
  <si>
    <t>JUAN PABLO QUINTERO CASTRILLON</t>
  </si>
  <si>
    <t>JORGE IVAN JARAMILLO HINCAPIE</t>
  </si>
  <si>
    <t>ALVARO RAFAEL CAMPUZANO PINEDA</t>
  </si>
  <si>
    <t>GONZALO RUBIO RIVAS</t>
  </si>
  <si>
    <t>DIEGO ALEJANDRO VELASQUEZ RENDON</t>
  </si>
  <si>
    <t>GUILLERMO MUÑOZ PAJOY</t>
  </si>
  <si>
    <t>RODRIGO ALBERTO GAVIRIA MAHECHA</t>
  </si>
  <si>
    <t>CARLOS AUGUSTO TOVAR VARGAS</t>
  </si>
  <si>
    <t>JAVIER SANTIAGO BENJUMEA CELEMIN</t>
  </si>
  <si>
    <t>GABRIEL  RODRIGUEZ JIMENEZ</t>
  </si>
  <si>
    <t>MAURICIO LAVERDE CORREDOR</t>
  </si>
  <si>
    <t>AUXILIAR LABORATORIO FCEA</t>
  </si>
  <si>
    <t>FLORENCIO  SANCHEQUEZ</t>
  </si>
  <si>
    <t>EMILIO BARAJAS LARGO</t>
  </si>
  <si>
    <t>WILSON DIAZ URIBE</t>
  </si>
  <si>
    <t>JAIRO DIAZ CARREÑO</t>
  </si>
  <si>
    <t>MIGUEL DANILO GONZALEZ PARRA</t>
  </si>
  <si>
    <t>CESAR ARTURO BARRERA AGUILAR</t>
  </si>
  <si>
    <t>JORGE FERNANDO AGUDELO GOMEZ</t>
  </si>
  <si>
    <t>ANIBAL FONSECA LOPEZ</t>
  </si>
  <si>
    <t>FREDDY ORLANDO MORA GRANADOS</t>
  </si>
  <si>
    <t>GERMAN ADOLFO RIVEROS VICTORIA</t>
  </si>
  <si>
    <t>RICARDO RIASCOS MENDOZA</t>
  </si>
  <si>
    <t>WILLIAM ORLANDO HERNANDEZ SAENZ</t>
  </si>
  <si>
    <t>ORLANDO ENRIQUE RAMIREZ MANTILLA</t>
  </si>
  <si>
    <t>ERLINGTON SALCEDO BENAVIDES</t>
  </si>
  <si>
    <t>OSWALDO FERNANDO MIDEROS ARGOTE</t>
  </si>
  <si>
    <t>LUIS HUMBERTO YANEZ CONSTANTE</t>
  </si>
  <si>
    <t>COORDINADOR IV DE COMPRAS</t>
  </si>
  <si>
    <t>DARGE SIGIFREDO SOLIS PERALTA</t>
  </si>
  <si>
    <t>LUIS GABRIEL PINEDA ARTEAGA</t>
  </si>
  <si>
    <t>ROGER JOSE CARRILLO CAMPO</t>
  </si>
  <si>
    <t>JOSE MANUEL JIMENEZ GONZALEZ</t>
  </si>
  <si>
    <t>EDGAR ENRIQUE VANEGAS PEREZ</t>
  </si>
  <si>
    <t>ANGEL JUNIOR PEREZ GONZALEZ</t>
  </si>
  <si>
    <t>YENIFER ASTRID ULTENGO ARDILA</t>
  </si>
  <si>
    <t>BRAYAN FERNANDO JAIMES CELIS</t>
  </si>
  <si>
    <t>JENNIFER OMAIRA ZAMORA MONTEJO</t>
  </si>
  <si>
    <t>ANDRES STEVEN DUARTE RODRIGUEZ</t>
  </si>
  <si>
    <t>SHARON SHABELLY ACOSTA GUAYARA</t>
  </si>
  <si>
    <t>APOYO INTEGRAL EGRESADOS</t>
  </si>
  <si>
    <t>SEBASTIAN DAVID ORTIZ</t>
  </si>
  <si>
    <t>MARIA CAMILA MEDINA CASTILLO</t>
  </si>
  <si>
    <t>PABLO SERGIO GARZON REYES</t>
  </si>
  <si>
    <t>MERCEDES ANDREA RAMIREZ OCHOA</t>
  </si>
  <si>
    <t>GABRIELA GERALDINE CUBILLOS MARTINEZ</t>
  </si>
  <si>
    <t>NICOLAS VARGAS CHIQUIZA</t>
  </si>
  <si>
    <t>MARIA ALEJANDRA ALARCON OSORIO</t>
  </si>
  <si>
    <t>MARIA PAULA CAICEDO RODRIGUEZ</t>
  </si>
  <si>
    <t>DAYANA MERCEDES MORALES JOJOA</t>
  </si>
  <si>
    <t>PABLO JOSE LOVERA ARANDA</t>
  </si>
  <si>
    <t>LUIS ENRIQUE GONZALEZ DURAN</t>
  </si>
  <si>
    <t>EDUARDO PEREIRA GARZON</t>
  </si>
  <si>
    <t>VICTOR HUHO ZUÑIGA</t>
  </si>
  <si>
    <t>KAREN TATIANA LOPEZ RODRIGUEZ</t>
  </si>
  <si>
    <t>JUAN PABLO RUIZ OTERO</t>
  </si>
  <si>
    <t>JESUS SANTIAGO HUERTAS GUARIN</t>
  </si>
  <si>
    <t>GINNA ALEJANDRA MANCERA VALENCIA</t>
  </si>
  <si>
    <t>JOHN EDISSON MURILLO ECHEVERRY</t>
  </si>
  <si>
    <t>VICTOR EMILIO CAÑON MONTAÑO</t>
  </si>
  <si>
    <t>NEUMAN RODER ROJAS BERNAL</t>
  </si>
  <si>
    <t>LUIS ALBERTO RUBIO VELANDIA</t>
  </si>
  <si>
    <t>JULIAN DAVID LAMPREA LONDOÑO</t>
  </si>
  <si>
    <t>LUIS FERNANDO LINARES LEON</t>
  </si>
  <si>
    <t>ANGEL ALBERTO MONTOYA CORREALES</t>
  </si>
  <si>
    <t>JORGE ENRIQUE GARCIA GALINDO</t>
  </si>
  <si>
    <t>JOSE LUBIN PARDO VILLALBA</t>
  </si>
  <si>
    <t>DIEGO MAURICIO PADILLA DIAZ</t>
  </si>
  <si>
    <t>MIGUEL ANGEL ARIAS CANCINO</t>
  </si>
  <si>
    <t>LEIDY VIVIANA OLASCOAGA  AGUILAR</t>
  </si>
  <si>
    <t>CARLOS ALEJANDRO SALAZAR SANCHEZ</t>
  </si>
  <si>
    <t>JOSEMARIA MEDINA DE ARTEAGA</t>
  </si>
  <si>
    <t>CESAR AUGUSTO CASTRO CIFUENTES</t>
  </si>
  <si>
    <t>CARLOS ALBERTO CASTILLO RIVERA</t>
  </si>
  <si>
    <t>JOSE JOAQUIN VASQUEZ OSPINA</t>
  </si>
  <si>
    <t>EDGAR LEONARDO RODRIGUEZ SOLORZANO</t>
  </si>
  <si>
    <t>JORGE ENRIQUE BURGOS SAAVEDRA</t>
  </si>
  <si>
    <t>DEISY NATHALY QUIROZ CARDENAS</t>
  </si>
  <si>
    <t>LUIS FERNANDO TRUJILLO</t>
  </si>
  <si>
    <t>ALEJANDRA LOPEZ DE MESA PALACIO</t>
  </si>
  <si>
    <t>SHEILA TATIANA CASTAÑEDA USECHE</t>
  </si>
  <si>
    <t>ANA MARIA SUAREZ RAMIREZ</t>
  </si>
  <si>
    <t>JULIO CESAR RIVEROS MUÑOZ</t>
  </si>
  <si>
    <t>TECNICO TALLER DE PUBLICACIONES</t>
  </si>
  <si>
    <t>JUAN MANUEL BELTRAN V</t>
  </si>
  <si>
    <t>JAIRO ENRIQUE CORTES BARRERA</t>
  </si>
  <si>
    <t>ANTHONY EDWARD TAYLOR GOMEZ</t>
  </si>
  <si>
    <t>ANDREW ARIEL JAY WELCOME</t>
  </si>
  <si>
    <t>BENY BARUJ REINES</t>
  </si>
  <si>
    <t>EDGAR MAURICIO LEGUIZAMON LOPEZ</t>
  </si>
  <si>
    <t>JUAN CAMILO UBAQUE BERNAL</t>
  </si>
  <si>
    <t>YEIDA LIZETH BEJARANO BARRERA</t>
  </si>
  <si>
    <t>JESUS DAVID BENAVIDES MORENO</t>
  </si>
  <si>
    <t>PABLO AUGUSTO ROJAS HERNANDEZ</t>
  </si>
  <si>
    <t>GABRIEL SANTIAGO JIMENEZ VIEIRA</t>
  </si>
  <si>
    <t>FERNEY ALARCON AGUIRRE</t>
  </si>
  <si>
    <t>GUILLERMO ANDRES YARA TOBON</t>
  </si>
  <si>
    <t>FREDY LEONARDO REYES ALBARRACIN</t>
  </si>
  <si>
    <t>LADY MARITZA PARRA ORJUELA</t>
  </si>
  <si>
    <t>TÉCNICO DE ARCHIVO</t>
  </si>
  <si>
    <t>JENNIFER TATIANA ARIAS GOMEZ</t>
  </si>
  <si>
    <t>JUAN PABLO ARTUNDUAGA GONZALEZ</t>
  </si>
  <si>
    <t>JULIAN ANDRES HERNANDEZ LEGUIZAMON</t>
  </si>
  <si>
    <t>ANA MARIA FALLA FIGUEROA</t>
  </si>
  <si>
    <t>COORDINADOR DE IDIOMAS</t>
  </si>
  <si>
    <t>DAVID ARISTIDES JUVINAO RAMOS</t>
  </si>
  <si>
    <t>GIOVANNI RICARDO HERNANDEZ SANCHEZ</t>
  </si>
  <si>
    <t>CESAR AUGUSTO VIVEROS MOLINA</t>
  </si>
  <si>
    <t>OLGA LUCIA RAMIREZ CARMEN</t>
  </si>
  <si>
    <t>JUAN DAVID CASTRO RAMIREZ</t>
  </si>
  <si>
    <t>APOYO INTEGRAL SECRETARIA GENERAL - ASESOR LEGAL</t>
  </si>
  <si>
    <t>CHRISTIAN RENE LOSADA SUAREZ</t>
  </si>
  <si>
    <t>DIEGO ARMANDO MOTTA DIAZ</t>
  </si>
  <si>
    <t>CARLOS ANDRES ROJAS ARANA</t>
  </si>
  <si>
    <t>CESAR ARLEY ARIAS LOZANO</t>
  </si>
  <si>
    <t>ANGELA MARIA AGUAS MENDEZ</t>
  </si>
  <si>
    <t>ANDREA MONSALVE SERRANO</t>
  </si>
  <si>
    <t>OLIVER NAY DOMINGUEZ LEON</t>
  </si>
  <si>
    <t>YOHANNA MOLECHET ROZO BARRERA</t>
  </si>
  <si>
    <t>BENJAMIN GIOVANNI CEPEDA RAMIREZ</t>
  </si>
  <si>
    <t>LAURA MARIA HERRERA SALAZAR</t>
  </si>
  <si>
    <t>JUANITA GONZALEZ CARDONA</t>
  </si>
  <si>
    <t>NINI JOHANA FIALLO RENDON</t>
  </si>
  <si>
    <t>BEATRIZ EUGENIA ZARTA SUAREZ</t>
  </si>
  <si>
    <t>CAMILA GABRIELA NEIRA TORRES</t>
  </si>
  <si>
    <t>CLAUDIA MARCELA CIFUENTES VELASQUEZ</t>
  </si>
  <si>
    <t>ALVARO EZEQUIEL TORO NIÑO</t>
  </si>
  <si>
    <t>NELSON FABIAN TARAZONA VASQUEZ</t>
  </si>
  <si>
    <t>EDGAR MAURICIO FEREZ SANTANDER</t>
  </si>
  <si>
    <t>ALEJANDRA MARIA MOSQUERA MORALES</t>
  </si>
  <si>
    <t>JUAN LEANDRO VELOZA CANO</t>
  </si>
  <si>
    <t>MONICA BUSTAMANTE CASTRILLON</t>
  </si>
  <si>
    <t>DANIELA ALEJANDRA ORTIZ CANO</t>
  </si>
  <si>
    <t>FLOR ELEANA REALPE CAICEDO</t>
  </si>
  <si>
    <t>ROBINSON VELASCO SUAREZ</t>
  </si>
  <si>
    <t>FRANCISCO JAVIER MURILLO PINTO</t>
  </si>
  <si>
    <t>MARIA PAULA NIETO CORREDOR</t>
  </si>
  <si>
    <t>MIGUEL ANGEL GUAVITA HERNANDEZ</t>
  </si>
  <si>
    <t>JUAN MANUEL TOPIA GUTIERREZ</t>
  </si>
  <si>
    <t>GABRIEL ARMANDO SOSA BUITRAGO</t>
  </si>
  <si>
    <t>PAMELA ANDREA OSPINA FRANCO</t>
  </si>
  <si>
    <t>ANGELICA MARIA VILLAMIL BENAVIDES</t>
  </si>
  <si>
    <t>NIYIRETH ALEJANDRA GARCIA CORREDOR</t>
  </si>
  <si>
    <t>OSCAR ANDRÉS MORA RODRÍGUEZ</t>
  </si>
  <si>
    <t>JOHANA ANDREA NAVARRETE LARA</t>
  </si>
  <si>
    <t>JUAN FELIPE SANCHEZ RINCON</t>
  </si>
  <si>
    <t>MARIA GABRIELA DE CASTRO CANCELADO</t>
  </si>
  <si>
    <t>SONIA LIZETH CAMARGO MONTAÑA</t>
  </si>
  <si>
    <t>DIANA YAZMIN PEREZ GUEVARA</t>
  </si>
  <si>
    <t>DIANA STELLA MELGAREJO MUÑOZ</t>
  </si>
  <si>
    <t>FABIAN BAQUERO RUBIANO</t>
  </si>
  <si>
    <t>JUAN ALBERTO RODRIGUEZ ROMERO</t>
  </si>
  <si>
    <t>JORGE LUIS MONCADA MONTAÑEZ</t>
  </si>
  <si>
    <t>JEI ROD RIM</t>
  </si>
  <si>
    <t>ASISTENTE III GESTION HUMANA</t>
  </si>
  <si>
    <t>KKKK JUT JMM</t>
  </si>
  <si>
    <t>ANGIE LIZETH JIMENEZ MOCETON</t>
  </si>
  <si>
    <t>ANDRES FELIPE ORTEGON VILLACORTE</t>
  </si>
  <si>
    <t>CRISTIAN LEONARDO MARIÑO CHAVES</t>
  </si>
  <si>
    <t>AUXILIAR DE TALLERES</t>
  </si>
  <si>
    <t>JENNY CAROLINA ACUÑA MARIN</t>
  </si>
  <si>
    <t>LORENA OSORIO OLARTE</t>
  </si>
  <si>
    <t>GABRIEL ANDRES CASTELLANOS CASTRO</t>
  </si>
  <si>
    <t>LEIBER IVAN SOTO VELASQUEZ</t>
  </si>
  <si>
    <t>ANGELA ROCIO COY RODRIGUEZ</t>
  </si>
  <si>
    <t>YULY ALEXANDRA SANCHEZ CASTRO</t>
  </si>
  <si>
    <t>JOHAN SEBASTIAN SUAREZ LEON</t>
  </si>
  <si>
    <t>JUAN MARIO DICELYS CORDOBA</t>
  </si>
  <si>
    <t>ANGELICA ROCIO VARGAS GARAY</t>
  </si>
  <si>
    <t>PEDRO ALBERTO OSPINA RODRIGUEZ</t>
  </si>
  <si>
    <t>KARENN DAYANNA ALVARADO CASTILLO</t>
  </si>
  <si>
    <t>ANDRES SANDINO DIMATE</t>
  </si>
  <si>
    <t>SERGIO ALEXANDER ROMERO MANCERA</t>
  </si>
  <si>
    <t>MARIA FERNANDA JIMENEZ SANABRIA</t>
  </si>
  <si>
    <t>APOYO INTEGRAL SECRETARIA GENERAL</t>
  </si>
  <si>
    <t>JORGE LUIS PEREZ DE ALBA</t>
  </si>
  <si>
    <t>JENNIFER WALTER MENDOZA</t>
  </si>
  <si>
    <t>LIZ ERINETH BUSTOS CANO</t>
  </si>
  <si>
    <t>ANA GABRIELA MEJIA LANS</t>
  </si>
  <si>
    <t>JULIANA GARCIA RODRIGUEZ</t>
  </si>
  <si>
    <t>DIANA PAOLA MONTAÑEZ CORREDOR</t>
  </si>
  <si>
    <t>LUISA FERNANDA CASTILLO GRAJALES</t>
  </si>
  <si>
    <t>LEIDY YOHANA GONZALEZ PAEZ</t>
  </si>
  <si>
    <t>HENRY HERNAN MARTINEZ SANCHEZ</t>
  </si>
  <si>
    <t>JAVIER DAVID RUIZ MERCADO</t>
  </si>
  <si>
    <t>HERLEY HERNAN VELA PEREZ</t>
  </si>
  <si>
    <t>CAROLINA PEREZ SIABATO</t>
  </si>
  <si>
    <t>LAURA ALEJANDRA SARMIENTO VEGA</t>
  </si>
  <si>
    <t>BRYAN STEVEN HERNANDEZ MARTINEZ</t>
  </si>
  <si>
    <t>ONEYS DEL CARMEN DE ARCO CANOLES</t>
  </si>
  <si>
    <t>KAREN PAOLA TORRES ARCHBOLD</t>
  </si>
  <si>
    <t>OSCAR ANDRES GUZMAN MAYOR</t>
  </si>
  <si>
    <t>ANGIE CATALINA ALVAREZ FLECHAS</t>
  </si>
  <si>
    <t>JOSE ALEJANDRO BRAVO SANTANA</t>
  </si>
  <si>
    <t>LORENA JULIETH GONZALEZ JIMENEZ</t>
  </si>
  <si>
    <t>DANIEL ALEJANDRO ACOSTA MELO</t>
  </si>
  <si>
    <t>ANGIE LORENA PALOMINO PINTO</t>
  </si>
  <si>
    <t>ROBERT DE JESUS OSORIO LOPEZ</t>
  </si>
  <si>
    <t>CENTRO DE APOYO EDUCATIVO</t>
  </si>
  <si>
    <t>MARIA ALEJANDRA GARZON LOPEZ</t>
  </si>
  <si>
    <t>JORGE ARMANDO SUAREZ BEJARANO</t>
  </si>
  <si>
    <t>LUNA ALEXANDRA MEDINA ALARCON</t>
  </si>
  <si>
    <t>MARLYN KRISTEL CASTELLANOS VILLAMIZAR</t>
  </si>
  <si>
    <t>WENDY CHANTAL PARRA GUTIERREZ</t>
  </si>
  <si>
    <t>DANIEL ANTONIO NUÑEZ BARRAGAN</t>
  </si>
  <si>
    <t>JOSE GIOVANNY DIAZ TRUJILLO</t>
  </si>
  <si>
    <t>CRISTIAN GARCIA QUINTANA</t>
  </si>
  <si>
    <t>LAURA ROCIO DIAZ GONZALEZ</t>
  </si>
  <si>
    <t>RICARDO ANDRES CAMARGO RUBIO</t>
  </si>
  <si>
    <t>LUIS ARMANDO GONZALEZ GUTIERREZ</t>
  </si>
  <si>
    <t>LAURA PATRICIA ARISTIZABAL QUINTERO</t>
  </si>
  <si>
    <t>KEVIN JAVIER VARGAS MORENO</t>
  </si>
  <si>
    <t>EFRAIN RICARDO SAENZ GONZALEZ</t>
  </si>
  <si>
    <t>LUIS EDUARDO CONDE GARCIA</t>
  </si>
  <si>
    <t>DANIEL MAURICIO VARGAS SANCHEZ</t>
  </si>
  <si>
    <t>LEIDY VIVIANA BELTRAN RIOS</t>
  </si>
  <si>
    <t>ELIZABETH MUÑOZ CRUZ</t>
  </si>
  <si>
    <t>YEIMY ALEXANDRA RODRIGUEZ PALACIO</t>
  </si>
  <si>
    <t>ANDRES FELIPE VIRGUEZ FERNANDEZ</t>
  </si>
  <si>
    <t>FREDY ALEJANDRO BARBOSA MELENDEZ</t>
  </si>
  <si>
    <t>ANDREA YESENIA MARTINEZ CELY</t>
  </si>
  <si>
    <t>YEYMI PAOLA GARZON CANO</t>
  </si>
  <si>
    <t>JUAN DAVID MARTINEZ QUINTERO</t>
  </si>
  <si>
    <t>DARWIN ESTEBAN OSPINA MUÑOZ</t>
  </si>
  <si>
    <t>SUSANA POSADA MARIN</t>
  </si>
  <si>
    <t>ERIKA PAOLA PINILLA CRUZ</t>
  </si>
  <si>
    <t>SEBASTIAN BARROS SALAMANCA</t>
  </si>
  <si>
    <t>LUISA FERNANDA CARDENAS COCA</t>
  </si>
  <si>
    <t>JESUS DAVID CONTRERAS PAMPLONA</t>
  </si>
  <si>
    <t>OFICINA DE IMAGEN Y PROMOCION INSTITUCIONAL</t>
  </si>
  <si>
    <t>PAULA ALEJANDRA VILLAMIL CASTELLANOS</t>
  </si>
  <si>
    <t>MARIA CAMILA CALVO ROJAS</t>
  </si>
  <si>
    <t>PAULA ANDREA VILLANUEVA BAUTISTA</t>
  </si>
  <si>
    <t>DOMINIQUE SALAZAR LONDOÑO</t>
  </si>
  <si>
    <t>HERNAN DAVID MATEUS JIMENEZ</t>
  </si>
  <si>
    <t>ESTEFANIA PEÑA ROMERO</t>
  </si>
  <si>
    <t>ERIKA LIZETH ALVAREZ PORRAS</t>
  </si>
  <si>
    <t>SUSANA BETANCUR FERGUSSON</t>
  </si>
  <si>
    <t>TECNICO LABORAL EN NOMINA Y PRESTACIONES SOCIALES</t>
  </si>
  <si>
    <t>CIRO ANDRES COBOS SANCHEZ</t>
  </si>
  <si>
    <t>LUISA FERNANDA ORTIZ RODRIGUEZ</t>
  </si>
  <si>
    <t>ANGIE ESTEFANIA RUIZ GOMEZ</t>
  </si>
  <si>
    <t>ADMINISTRADOR DE REDES Y COMMUNITY MANAGER</t>
  </si>
  <si>
    <t>VELASQUEZ FELIPE RICARGO AMADOR</t>
  </si>
  <si>
    <t>ASISTENTE V  VICERRECTORIA ADMINISTRAT</t>
  </si>
  <si>
    <t>LOTUS KING SALCEDO VALLEJO</t>
  </si>
  <si>
    <t>JOSE FERNANDO SALGADO MARQUEZ</t>
  </si>
  <si>
    <t>ADRIANA LISETH MORENO BUITRAGO</t>
  </si>
  <si>
    <t>JAVIER FERNANDO GUZAMNA BUSTOS</t>
  </si>
  <si>
    <t>EDISON JAVIER GUTIERREZ DELGADILLO</t>
  </si>
  <si>
    <t>ANGELA MARCELA JIMENEZ ANACONA</t>
  </si>
  <si>
    <t>JENNY PAOLA ACOSTA BERMUDEZ</t>
  </si>
  <si>
    <t>ANDREA ORTIZ DIAZ</t>
  </si>
  <si>
    <t>SERGIO IVAN GALVIS MOTOA</t>
  </si>
  <si>
    <t>RALPHI YARETH CHILATRA PARADA</t>
  </si>
  <si>
    <t>PAULA ALEJANDRA SANCHEZ MALPICA</t>
  </si>
  <si>
    <t>YENNY JULIETH ACOSTA RAMIREZ</t>
  </si>
  <si>
    <t>JULIAN CAMILO FIGUEROA MORA</t>
  </si>
  <si>
    <t>KATHERIN QUINTERO ZUÑIGA</t>
  </si>
  <si>
    <t>LUIS ALEJANDRO REY DUQUE</t>
  </si>
  <si>
    <t>NORMA LORENA SEGURA ESLAVA</t>
  </si>
  <si>
    <t>BIBIANA MERCEDES QUIROGA RODRIGUEZ</t>
  </si>
  <si>
    <t>JENNIFER ALEXANDRA TRIVIÑO GUTIERREZ</t>
  </si>
  <si>
    <t>MANUEL ANDRES ROA RODRIGUEZ</t>
  </si>
  <si>
    <t>YULIET FERNANDA CORREDOR CASTELLANOS</t>
  </si>
  <si>
    <t>DIEGO SEBASTIAN GARCIA MARTINEZ</t>
  </si>
  <si>
    <t>LEIDY PAOLA QUINTERO CUBILLOS</t>
  </si>
  <si>
    <t>LEIDY VIVIANA ECHEVERRY REINA</t>
  </si>
  <si>
    <t>EDUARDO EVELIO BONCES GARZON</t>
  </si>
  <si>
    <t>JEIMY MAYERLY FRAILE GUZMAN</t>
  </si>
  <si>
    <t>LUIS FERNANDO BARRAGAN ACEVEDO</t>
  </si>
  <si>
    <t>ANDRYU ENRIQUE MENDOZA BELTRAN</t>
  </si>
  <si>
    <t>LUISA FERNANDA ESTRADA PEREZ</t>
  </si>
  <si>
    <t>LAURA VIVIANA CHAVARRO CABEZA</t>
  </si>
  <si>
    <t>YULIER MALLERLY SORIANO ESCOBAR</t>
  </si>
  <si>
    <t>GIOVANNY CARDENAS RODRIGUEZ</t>
  </si>
  <si>
    <t>KASSANDRA NICOLE ORTIZ MOLANO</t>
  </si>
  <si>
    <t>DAHANE PAMELA BERMUDEZ CAICEDO</t>
  </si>
  <si>
    <t>SERGIO IVAN AVILA CIFUENTES</t>
  </si>
  <si>
    <t>JOHN EDWIN MUÑOZ MILA</t>
  </si>
  <si>
    <t>LINA MARICEL VARGAS MARIN</t>
  </si>
  <si>
    <t>GINA PAOLA CAMACHO VENTURA</t>
  </si>
  <si>
    <t>DANIEL FERNANDO GARRIDO DURAN</t>
  </si>
  <si>
    <t>NADYA PAOLA GALINDO PULIDO</t>
  </si>
  <si>
    <t>GUSTAVO ADOLFO PERICO PINEDA</t>
  </si>
  <si>
    <t>MAYBE LORENA CABALLERO GAMEZ</t>
  </si>
  <si>
    <t>JOIZELENA CASTILLO GUZMAN</t>
  </si>
  <si>
    <t>NICOLAS DAVID CADENA ARCINIEGAS</t>
  </si>
  <si>
    <t>CAMILO  ANDRES BALLESTEROS SANABRIA</t>
  </si>
  <si>
    <t>LEIDY JOHANNA VANEGAS GALINDO</t>
  </si>
  <si>
    <t>PROMOTOR</t>
  </si>
  <si>
    <t>ANGELICA MARIA PUENTES VALENCIA</t>
  </si>
  <si>
    <t>MAURICIO HERNEY GORDILLO RODRIGUEZ</t>
  </si>
  <si>
    <t>JULIAN MORENO PIÑEROS</t>
  </si>
  <si>
    <t>OSCAR ORLANDO CHAPARRO VELASQUEZ</t>
  </si>
  <si>
    <t>ANDRES STEVEN CUBILLOS SANGUINO</t>
  </si>
  <si>
    <t>MICHAEL STEVEN DAZA GAVIRIA</t>
  </si>
  <si>
    <t>JOHAN ANDRES CASTRO MONTAÑO</t>
  </si>
  <si>
    <t>LEIDY KATHERINE RIOS MURILLO</t>
  </si>
  <si>
    <t>BRIGITTE REYES FERNANDEZ</t>
  </si>
  <si>
    <t>LAURA DANIELA FORERO PEDRAZA</t>
  </si>
  <si>
    <t>KELLY VIVIANA MONCALEANO MURCIA</t>
  </si>
  <si>
    <t>FABIAN ALEXANDER CHAMORRO PAIBA</t>
  </si>
  <si>
    <t>LAURA MERCEDES ARTEAGA ROJAS</t>
  </si>
  <si>
    <t>KATHERINE ZAPATA LEON</t>
  </si>
  <si>
    <t>EXTENSIÓN Y PROYECCIÓN SOCIAL</t>
  </si>
  <si>
    <t>JUAN DAVID SERRANO WITTINGHAN</t>
  </si>
  <si>
    <t>SEBASTIAN URIBE FAJARDO</t>
  </si>
  <si>
    <t>MICHAEL STEVEN DUARTE MOLINA</t>
  </si>
  <si>
    <t>WILMER JAVIER CUBILLOS VERGARA</t>
  </si>
  <si>
    <t>LUISA FERNANDA GOMEZ GAMBOA</t>
  </si>
  <si>
    <t>SANDRA XIMENA BARRERA RIOS</t>
  </si>
  <si>
    <t>ANDRES YESID MORALES RIVERA</t>
  </si>
  <si>
    <t>JUAN ALEJANDRO RODRIGUEZ SILVA</t>
  </si>
  <si>
    <t>EDNA MAYERLY CASALLAS GRACIA</t>
  </si>
  <si>
    <t>JAIME ARLEY CASTAÑEDA USECHE</t>
  </si>
  <si>
    <t>CESAR SANTIAGO GUZMAN PRADA</t>
  </si>
  <si>
    <t>CAMILO TORRES TORRES</t>
  </si>
  <si>
    <t>KARENTH GINETH BERRIO AVILA</t>
  </si>
  <si>
    <t>KAROL TATIANA CERQUERA NAVARRO</t>
  </si>
  <si>
    <t>NICOLE ANDREA PARRADO LEON</t>
  </si>
  <si>
    <t>AUXILIAR ADMINISTRATIVO EGRESADOS</t>
  </si>
  <si>
    <t>DANIELA BROCHERO PINEDA</t>
  </si>
  <si>
    <t>CARLOS LEONARDO GOMEZ RINCON</t>
  </si>
  <si>
    <t>GINGER MELISSA MARIN JIMENEZ</t>
  </si>
  <si>
    <t>JUDY TATIANA ALVAREZ LAVERDE</t>
  </si>
  <si>
    <t>INGRID TATIANA FUENTES ALVAREZ</t>
  </si>
  <si>
    <t>HEIDY DANIELA MURCIA SANCHEZ</t>
  </si>
  <si>
    <t>GERALDINE PUIN LOPEZ</t>
  </si>
  <si>
    <t>ANGELICA DEL PILAR ROJAS GALINDO</t>
  </si>
  <si>
    <t>DIEGO FELIPE CASTRILLON UNIVIO</t>
  </si>
  <si>
    <t>JAIME RAFAEL BUENAVENTURA PACHON</t>
  </si>
  <si>
    <t>VIVIANA JULIETH FLORES TELLEZ</t>
  </si>
  <si>
    <t>PAULA ANDREA RAMIREZ VASQUEZ</t>
  </si>
  <si>
    <t>JAIRO ANTONIO ALARCON FERNANDEZ</t>
  </si>
  <si>
    <t>GINNA PAOLA GONZALEZ GARCIA</t>
  </si>
  <si>
    <t>NATALY CORTES CACERES</t>
  </si>
  <si>
    <t>BRENDA STEFANY VILLAQUIRAN FRANCO</t>
  </si>
  <si>
    <t>YERALDIN MARTINEZ PULIDO</t>
  </si>
  <si>
    <t>JONATHAN POMPEYO GONZALEZ MURCIA</t>
  </si>
  <si>
    <t>PAOLA ANDREA CHEQUE CARDOZO</t>
  </si>
  <si>
    <t>ZULY ALEJANDRA MUÑOZ BARON</t>
  </si>
  <si>
    <t>WILMER ARLEX PINEDA SILVA</t>
  </si>
  <si>
    <t>DAVID LEONARDO LABRADOR PIZA</t>
  </si>
  <si>
    <t>HAROLD STIVEN CASTAÑEDA MARTINEZ</t>
  </si>
  <si>
    <t>YULY ANDREA PADILLA LEAL</t>
  </si>
  <si>
    <t>YENNI MARCELA SANCHEZ ESCAMILLA</t>
  </si>
  <si>
    <t>JAVIER MAURICIO RIOS DAZA</t>
  </si>
  <si>
    <t>YOLANGI PAOLA REYES HERRERA</t>
  </si>
  <si>
    <t>ANDERSON GIOVANNY RAMIREZ GOMEZ</t>
  </si>
  <si>
    <t>DIANA PAOLA BOHORQUEZ GARZON</t>
  </si>
  <si>
    <t>MARIA FERNANDA MILLAN PALOMINO</t>
  </si>
  <si>
    <t>SINDY MARIANA CABALLERO HERNANDEZ</t>
  </si>
  <si>
    <t>LIDER CONTABLE</t>
  </si>
  <si>
    <t>HAROLD STEVENSON LOAIZA CALVO</t>
  </si>
  <si>
    <t>ESTEBAN ERNESTO VILLAMIZAR CASTRO</t>
  </si>
  <si>
    <t>JOSE ALFONSO OSMA ALVARADO</t>
  </si>
  <si>
    <t>ZULMA ESPERANZA ABRIL MORENO</t>
  </si>
  <si>
    <t>LUIS EDUARDO MARTINEZ BLANCO</t>
  </si>
  <si>
    <t>DENIS YULIED OSPINA CORTES</t>
  </si>
  <si>
    <t>LAURA ESTHER NIETO ROMERO</t>
  </si>
  <si>
    <t>DAPHNE GERALDINE BERNATE VILLA</t>
  </si>
  <si>
    <t>YORSUAL ENRIQUE GARZON BORBON</t>
  </si>
  <si>
    <t>GERMAN SANTIAGO PINEDA NIÑO</t>
  </si>
  <si>
    <t>DANIEL SANTIAGO JUNCA BAYONA</t>
  </si>
  <si>
    <t>DANIEL ARTURO ESCOBAR LEON</t>
  </si>
  <si>
    <t>EDUARDO VALENZUELA RUIZ</t>
  </si>
  <si>
    <t>LAURA VALENTINA LOPEZ OLIVERA</t>
  </si>
  <si>
    <t>LUIS FERNANDO MARTINEZ MEJIA</t>
  </si>
  <si>
    <t>MARLEN ANDREA PILLIMUE DIAZ</t>
  </si>
  <si>
    <t>JENNY PAOLA HERRAN ROMERO</t>
  </si>
  <si>
    <t>LORENA ALEJANDRA DUQUE GONZALEZ</t>
  </si>
  <si>
    <t>JOHANNA VANESSA GARCIA ESTUPIÑAN</t>
  </si>
  <si>
    <t>PAULA XIMENA MENESES DAZA</t>
  </si>
  <si>
    <t>IVAN LEONARDO MARQUEZ RUIZ</t>
  </si>
  <si>
    <t>MARIA  FERNANDA GAVIRIA BENAVIDES</t>
  </si>
  <si>
    <t>FABER DANIEL GONZALEZ MARIN</t>
  </si>
  <si>
    <t>LUIS FELIPE NAVARRETE ECHEVERRIA</t>
  </si>
  <si>
    <t>LUIS FELIPE VEGA MONTOYA</t>
  </si>
  <si>
    <t>CINDY NATHALIA HERNANDEZ MAHECHA</t>
  </si>
  <si>
    <t>JENNY ANDREA CARDONA VARGAS</t>
  </si>
  <si>
    <t>NADIA ROJAS MUÑOZ</t>
  </si>
  <si>
    <t>BERNARDO CAÑON SALAZAR</t>
  </si>
  <si>
    <t>EDELMER CORTES CORTES</t>
  </si>
  <si>
    <t>NATALIA ROCIO REYES RODRIGUEZ</t>
  </si>
  <si>
    <t>JHON ALEXANDER HERNANDEZ PRIETO</t>
  </si>
  <si>
    <t>ELKIN LEONARDO GONZALEZ TRIANA</t>
  </si>
  <si>
    <t>LIDER DE PLANEACIÓN Y GESTIÓN DE LA INFORMACIÓN</t>
  </si>
  <si>
    <t>LEIDY KATHERINE VILLAIZAN LADINO</t>
  </si>
  <si>
    <t>FRANCY YISETH JAIMES NEIRA</t>
  </si>
  <si>
    <t>RUTH STHEFANY CABALLERO REVELO</t>
  </si>
  <si>
    <t>EDGAR JAVIER CUERVO RINCON</t>
  </si>
  <si>
    <t>LEIDY PAOLA SANDOVAL FUENTES</t>
  </si>
  <si>
    <t>JAVIER ANDRES CUERVO RIOS</t>
  </si>
  <si>
    <t>DNJKSD C SJAGDYU</t>
  </si>
  <si>
    <t>ADMINISTRADOR DE RED Y COMMUNITY MANAGER</t>
  </si>
  <si>
    <t>LEYDY JENITH CASTAÑEDA LOPEZ</t>
  </si>
  <si>
    <t>JOHN JAIRO CARO RODRIGUEZ</t>
  </si>
  <si>
    <t>HENRY ARLEY GUERRERO CARDENAS</t>
  </si>
  <si>
    <t>DEIMY TATIANA CHAVARRO CASTRO</t>
  </si>
  <si>
    <t>GINA CATALINA MARTINEZ GONZALEZ</t>
  </si>
  <si>
    <t>OSCAR LEONARDO RAMIREZ CASTIBLANCO</t>
  </si>
  <si>
    <t>JUAN CARLOS PEÑA CASTRO</t>
  </si>
  <si>
    <t>DIANA MILENA AREVALO BUITRAGO</t>
  </si>
  <si>
    <t>KATHLEEN  JOHANA PEÑA PAZ</t>
  </si>
  <si>
    <t>YURI ALEJANDRA GOMEZ</t>
  </si>
  <si>
    <t>JOHNSON LEONARDO OBANDO SARMIENTO</t>
  </si>
  <si>
    <t>KAROL RICARDO LINARES CORREA</t>
  </si>
  <si>
    <t>JESUS EDUARDO GIL CAÑON</t>
  </si>
  <si>
    <t>KAROLD MARYURI BENAVIDES RODRIGUEZ</t>
  </si>
  <si>
    <t>JENNY ALEJANDRA PARADA OROZCO</t>
  </si>
  <si>
    <t>ANGIE DAYANA VELANDIA URBINA</t>
  </si>
  <si>
    <t>ANGIE FERNANDA VELA URREGO</t>
  </si>
  <si>
    <t>JULIANA VALENTINA PARRA VASQUEZ</t>
  </si>
  <si>
    <t>BRANDON STEVEN MONTENEGRO BOGOYA</t>
  </si>
  <si>
    <t>MIGUEL ANGEL VERA PEREZ</t>
  </si>
  <si>
    <t>ANGELA MARIA AYALA GONZALEZ</t>
  </si>
  <si>
    <t>KATHERIN DAYHANA VARGAS LOZANO</t>
  </si>
  <si>
    <t>MICHAEL STEVEN PUERTAS SILVA</t>
  </si>
  <si>
    <t>INGRID ESTEFANY LOSADA PEDRAZA</t>
  </si>
  <si>
    <t>ANGELICA CARVAJAL ARIAS</t>
  </si>
  <si>
    <t>KEVIN ANDRES FIGUEROA QUINTERO</t>
  </si>
  <si>
    <t>JOHAN DANIEL ROBLES URREA</t>
  </si>
  <si>
    <t>ANYELA JULIETH MOLINA RUBIANO</t>
  </si>
  <si>
    <t>PAULA ANDREA BELTRAN PADILLA</t>
  </si>
  <si>
    <t>GONZALO ANDRES SILVA OSPINA</t>
  </si>
  <si>
    <t>JUAN CAMILO NARANJO NARANJO</t>
  </si>
  <si>
    <t>ANGIE YOHANA BARACALDO FLOREZ</t>
  </si>
  <si>
    <t>APOYO A PRACTICAS</t>
  </si>
  <si>
    <t>ANDRES FELIPE RAMIREZ MARTIN</t>
  </si>
  <si>
    <t>HECTOR GIOVANNI MELO QUINTERO</t>
  </si>
  <si>
    <t>WILSON FERNANDO VELOSA MENDOZA</t>
  </si>
  <si>
    <t>DEISY ANDREA HERNANDEZ QUINTERO</t>
  </si>
  <si>
    <t>MICHAEL SMITH ORTEGON SALAZAR</t>
  </si>
  <si>
    <t>VANESSA ALEXANDRA ARIAS GAVIRIA</t>
  </si>
  <si>
    <t>JHODY KATHERINE SANCHEZ BELTRAN</t>
  </si>
  <si>
    <t>PABLO ANDRES BELTRAN SOSA</t>
  </si>
  <si>
    <t>JESSICA ANDREA MORALES HUERFANO</t>
  </si>
  <si>
    <t>EMANUEL ENCISO CAMACHO</t>
  </si>
  <si>
    <t>ARLETH PATRICIA RODRIGUEZ FLOREZ</t>
  </si>
  <si>
    <t>ABEL HUMBERTO ESPINOSA GALLEGO</t>
  </si>
  <si>
    <t>YENY LORENA ORTIZ PRIETO</t>
  </si>
  <si>
    <t>DIEGO FERNANDO LOPEZ LUIS</t>
  </si>
  <si>
    <t>AUXILIAR DE SISTEMAS - APOYO SNIES</t>
  </si>
  <si>
    <t>ANDRES FELIPE LOPEZ CRUZ</t>
  </si>
  <si>
    <t>EDDY JOHANNA GAMBOA MANOSALVA</t>
  </si>
  <si>
    <t>RAUL ALEJANDRO AMAYA PINZON</t>
  </si>
  <si>
    <t>MONICA ANDREA ACERO URBANO</t>
  </si>
  <si>
    <t>EDISON STIVEN PULIDO CORREDOR</t>
  </si>
  <si>
    <t>MARIA NATHALIA RAIRAN HENAO</t>
  </si>
  <si>
    <t>KAREN VIVIANA JIMENEZ CAÑON</t>
  </si>
  <si>
    <t>JENNIFER ALEXANDRA MONCADA MARTINEZ</t>
  </si>
  <si>
    <t>JENNY PAOLA PAEZ POSSE</t>
  </si>
  <si>
    <t>JEYSON DARIO TORRES BLANCO</t>
  </si>
  <si>
    <t>YULI ANDREA BERRIO MONROY</t>
  </si>
  <si>
    <t>HERNAN  RODRIGUEZ URIBE</t>
  </si>
  <si>
    <t>KAREN JULIETH AREVALO RODRIGUEZ</t>
  </si>
  <si>
    <t>LUIS ALFONSO SANCHEZ CARDONA</t>
  </si>
  <si>
    <t>MAICOL ANDRES CABALLERO SAAVEDRA</t>
  </si>
  <si>
    <t>YESSICA DAJHANA SANCHEZ ROMERO</t>
  </si>
  <si>
    <t>BRAYAN ARLEY CALDERON PUERTO</t>
  </si>
  <si>
    <t>ROBINSON ANDRES CALDERON BERBESI</t>
  </si>
  <si>
    <t>CRISTIAN YESID QUINTERO GARCIA</t>
  </si>
  <si>
    <t>JHONATAN VILLEGAS LOZANO</t>
  </si>
  <si>
    <t>FABIO ANDRES TOVAR VALDERRAMA</t>
  </si>
  <si>
    <t>WENDY ESTEFANI ROMERO OSTIOS</t>
  </si>
  <si>
    <t>NANCY BRIGITH ALDANA GUEVARA</t>
  </si>
  <si>
    <t>EDUARD HERNANDO MELO MOLINA</t>
  </si>
  <si>
    <t>PAOLA YERALDIN CHICAIZA CHICAIZA</t>
  </si>
  <si>
    <t>JUAN DAVID CAMELO RAMIREZ</t>
  </si>
  <si>
    <t>DIANA KATHERINE CHICACAUSA POVEDA</t>
  </si>
  <si>
    <t>ROBERT STEV OSSA OTALORA</t>
  </si>
  <si>
    <t>WILLIAM DEIVI CORTES BURGOS</t>
  </si>
  <si>
    <t>PEDRO SAUL LANCHEROS HUERFANO</t>
  </si>
  <si>
    <t>ANDREA  PAOLA MORA CUESTAS</t>
  </si>
  <si>
    <t>FACULTAD DE NUEVAS TECNOLOGIAS</t>
  </si>
  <si>
    <t>ASTRID ALEJANDRA RODRIGUEZ VAQUIRO</t>
  </si>
  <si>
    <t>LADY CAROLINA PRIETO BARON</t>
  </si>
  <si>
    <t>DIAN AUGUSTO BELTRAN TORRES</t>
  </si>
  <si>
    <t>MAIRA ALEJANDRA CASTAÑEDA USECHE</t>
  </si>
  <si>
    <t>JUAN DANIEL PINZON BELTRAN</t>
  </si>
  <si>
    <t>LUISA FERNANDA PEREZ BAREÑO</t>
  </si>
  <si>
    <t>SANTIAGO ANDRES TARAZONA TOVAR</t>
  </si>
  <si>
    <t>CAMILO ANDRES SUAREZ MEJIA</t>
  </si>
  <si>
    <t>DIEGO ALEJANDRO ROJAS GARZON</t>
  </si>
  <si>
    <t>NICOLAS ROMERO MONROY</t>
  </si>
  <si>
    <t>BRYAN FELIPE PACHON OSORIO</t>
  </si>
  <si>
    <t>PAOLA ANDREA BUSTOS OSORIO</t>
  </si>
  <si>
    <t>CATALINA ALBA ROMERO</t>
  </si>
  <si>
    <t>ANDREA PERDOMO VILLARRAGA</t>
  </si>
  <si>
    <t>MARIA ALEJANDRA DIAZ RODRIGUEZ</t>
  </si>
  <si>
    <t>LUZ STELLA VILLALOBOS ROMERO</t>
  </si>
  <si>
    <t>CRISTIAN FABIAN GARCIA AMAYA</t>
  </si>
  <si>
    <t>NATHALY GONZALEZ ABELLA</t>
  </si>
  <si>
    <t>JENNIFER ALEJANDRA GIL GARCIA</t>
  </si>
  <si>
    <t>VIVIANA ESPERANZA YEPES HERNANDEZ</t>
  </si>
  <si>
    <t>BRIYI ESTEFANY ORDUZ FORIGUA</t>
  </si>
  <si>
    <t>JENIFFER ANDREA ARIZA VERDUGO</t>
  </si>
  <si>
    <t>YENNY ALEJANDRA MORALES BERMEO</t>
  </si>
  <si>
    <t>JUAN DAVID CAMARGO MORA</t>
  </si>
  <si>
    <t>ANDREA TATIANA NIÑO GUARIN</t>
  </si>
  <si>
    <t>MARCELA CATALINA CORREA SAMUDIO</t>
  </si>
  <si>
    <t>MARLON MARVIN MURILLO MORENO</t>
  </si>
  <si>
    <t>LUZ ALEJANDRA CASTILLO RODRIGUEZ</t>
  </si>
  <si>
    <t>ERIKA MAYERLY PACHECO BURGOS</t>
  </si>
  <si>
    <t>SANDRA LILIANA BARRETO RODRIGUEZ</t>
  </si>
  <si>
    <t>NEFTIS LEYTON RAMIREZ</t>
  </si>
  <si>
    <t>DIEGO ENRIQUE ARIAS CASTRO</t>
  </si>
  <si>
    <t>BIAINEY LICETH MERCHAN VILLAMIZAR</t>
  </si>
  <si>
    <t>WILMER RICARDO NIEVES GUEVARA</t>
  </si>
  <si>
    <t>DIANA CAROLINA MERCHAN VILLAMIZAR</t>
  </si>
  <si>
    <t>VICTOR ALFONSO GUZMAN GAZABON</t>
  </si>
  <si>
    <t>JHONATHAN SORA CARDENAS</t>
  </si>
  <si>
    <t>JORGE EDUARDO BAUTISTA ESCOBAR</t>
  </si>
  <si>
    <t>LUIS EDUARDO VALLEJO RIOS</t>
  </si>
  <si>
    <t>DANIELA CAROLINA PENAGOS CASTRO</t>
  </si>
  <si>
    <t>CAMILO ANDRÉS ARCINIEGAS OVALLE</t>
  </si>
  <si>
    <t>JHON SEBASTIAN SALAMANCA FERNANDEZ</t>
  </si>
  <si>
    <t>CARLOS ENRIQUE ROCHA ZAMUDIO</t>
  </si>
  <si>
    <t>JUAN MANUEL MEDINA PAJARO</t>
  </si>
  <si>
    <t>MIREYA IQUINAS ANGUCHO</t>
  </si>
  <si>
    <t>DAVID ALEJANDRO SILVA RINCON</t>
  </si>
  <si>
    <t>JESSICA JULIETH MORALES ALVAREZ</t>
  </si>
  <si>
    <t>CARLOS ANDRES DIAZ VIDAL</t>
  </si>
  <si>
    <t>ANDRES FELIPE VASQUEZ RODRIGUEZ</t>
  </si>
  <si>
    <t>ANA JULIETH GOMEZ MONTAÑO</t>
  </si>
  <si>
    <t>DAVID SANTIAGO URREGO GARCIA</t>
  </si>
  <si>
    <t>JUAN DAVID MANCIPE BEJARANO</t>
  </si>
  <si>
    <t>EDGAR YESID ROJAS RODRIGUEZ</t>
  </si>
  <si>
    <t>DANIELA ALEJANDRA SEGURA CONTRERAS</t>
  </si>
  <si>
    <t>COORDINADOR DE EDUCACIÓN VIRTUAL</t>
  </si>
  <si>
    <t>CRISTIAN CAMILO VALENCIA ANTONIO</t>
  </si>
  <si>
    <t>JAIRO ANDRES LORA MATIZ</t>
  </si>
  <si>
    <t>JORGE ARMANDO JURADO PERALTA</t>
  </si>
  <si>
    <t>MIGUEL ANGEL SALCEDO BARCO</t>
  </si>
  <si>
    <t>CARLOS EDUARDO MORATO PRIETO</t>
  </si>
  <si>
    <t>HEIDY ALEJANDRA GUTIERREZ ABAUNZA</t>
  </si>
  <si>
    <t>SAMMIR ESTEBAN MENDOZA MORALES</t>
  </si>
  <si>
    <t>AUXILIAR DE COMUNICACIONES DE ASEGURAMIENTO DEL APRENDIZAJE</t>
  </si>
  <si>
    <t>YAROL MONRRAY PACANCHIQUE RINCON</t>
  </si>
  <si>
    <t>ANGIE PAOLA CALDERON CRUZ</t>
  </si>
  <si>
    <t>ANDRES SEBASTIAN GARZON MONROY</t>
  </si>
  <si>
    <t>JUAN CARLOS URQUIJO SANCHO</t>
  </si>
  <si>
    <t>JOAN SEBASTIAN DIAZ JIMENEZ</t>
  </si>
  <si>
    <t>JESSICA GUZMAN FIERRO</t>
  </si>
  <si>
    <t>KATERINE GUERRERO MOTTA</t>
  </si>
  <si>
    <t>FABIO HERNANDO POLO MOGOLLON</t>
  </si>
  <si>
    <t>DANIELA ALEJANDRA MOLINA ALFONSO</t>
  </si>
  <si>
    <t>LIDER REPORTE DE SISTEMAS  DE INFORMACIÓN</t>
  </si>
  <si>
    <t>ELKIN DAVID SOLER NIÑO</t>
  </si>
  <si>
    <t>BRENDA LIZETH MORENO SUESCUN</t>
  </si>
  <si>
    <t>JULIANA ANDREA TOVAR RODRIGUEZ</t>
  </si>
  <si>
    <t>MARIA CATALINA MORALES MELENDEZ</t>
  </si>
  <si>
    <t>SEBASTIAN CORREA VENEGAS</t>
  </si>
  <si>
    <t>DANIELA ALEXANDRA ROMERO ABRIL</t>
  </si>
  <si>
    <t>STEPHANIA MARTINEZ AGUILAR</t>
  </si>
  <si>
    <t>MAIRA ALEJANDRA PINTO COLORADO</t>
  </si>
  <si>
    <t>MELISSA IBETH GARCIA SUAREZ</t>
  </si>
  <si>
    <t>JOHAN SEBASTIAN RICO PABON</t>
  </si>
  <si>
    <t>LILIAN ANDREA VEGA MEJIA</t>
  </si>
  <si>
    <t>MARGARITA MARIA VEJARANO VARGAS</t>
  </si>
  <si>
    <t>NATHALIE ESPERANZA HERNANDEZ MARTINEZ</t>
  </si>
  <si>
    <t>LAURA MARIA ORJUELA MEDINA</t>
  </si>
  <si>
    <t>DOLLY ESPERANZA FIERRO ORTIZ</t>
  </si>
  <si>
    <t>ALBA MARÍA PEÑA SIERRA</t>
  </si>
  <si>
    <t>GINNA PAOLA LIZARAZO CAICEDO</t>
  </si>
  <si>
    <t>LUISA  MARIA MESA ARCILA</t>
  </si>
  <si>
    <t>JORGE ARIS RUEDA GALVIS</t>
  </si>
  <si>
    <t>MONICA JULIANA ESQUIVEL MENDOZA</t>
  </si>
  <si>
    <t>FABIO ALEXANDER SUAREZ MARTIN</t>
  </si>
  <si>
    <t>RODRIGO SANDOVAL ARAUJO</t>
  </si>
  <si>
    <t>JOHAN SEBASTIAN ARDILA MORENO</t>
  </si>
  <si>
    <t>NORGI MARIETH FEO CARBONELL</t>
  </si>
  <si>
    <t>FRANCISCO JOSE CORDOBA OTALORA</t>
  </si>
  <si>
    <t>TATIANA DULIMA ZABALA LEAL</t>
  </si>
  <si>
    <t>ANGIE LIZETH TOVAR PRECIADO</t>
  </si>
  <si>
    <t>JULIETH ALEXANDRA SANCHEZ RIAÑO</t>
  </si>
  <si>
    <t>SARA XIMENA CASTRO ZALDUA</t>
  </si>
  <si>
    <t>JOHN ANDRES PEDRAZA MESA</t>
  </si>
  <si>
    <t>JHON SEBASTIAN MARTINEZ CRISTANCHO</t>
  </si>
  <si>
    <t>JUAN SEBASTIAN MIRANDA TIBADUIZA</t>
  </si>
  <si>
    <t>MELANY SIERRA JIMENEZ</t>
  </si>
  <si>
    <t>MARIA LUCIA SUAREZ CORTES</t>
  </si>
  <si>
    <t>WILLIAM DAVID OSPINA HERNANDEZ</t>
  </si>
  <si>
    <t>LIZ BRIGIETH RIVERA SALAMANCA</t>
  </si>
  <si>
    <t>NAZHLY TATIANA HURTADO SANCHEZ</t>
  </si>
  <si>
    <t>LIDER DE ASEGURAMIENTO</t>
  </si>
  <si>
    <t>DANIELA BORRERO VASQUEZ</t>
  </si>
  <si>
    <t>CINDY TATIANA PARRA GUEVARA</t>
  </si>
  <si>
    <t>JEFFERSON MANUEL GARZON GARZON</t>
  </si>
  <si>
    <t>LAURA ANDREA VANEGAS VALERO</t>
  </si>
  <si>
    <t>KELLY JOHANNA SIERRA MORA</t>
  </si>
  <si>
    <t>YENNY ALEXANDRA GONZALEZ OLIVARES</t>
  </si>
  <si>
    <t>PAULA ANDREA WILCHES MALAGON</t>
  </si>
  <si>
    <t>SIRLEY MANJARREZ VALEST</t>
  </si>
  <si>
    <t>JOSE SEBASTIAN AYA CORREA</t>
  </si>
  <si>
    <t>BRAYAN ALEXIS MARIN HERRERA</t>
  </si>
  <si>
    <t>KATHERINE ANDREA PAEZ CORREA</t>
  </si>
  <si>
    <t>CINDY YULIETH MORA GARZON</t>
  </si>
  <si>
    <t>JUAN CAMILO RUIZ BUITRAGO</t>
  </si>
  <si>
    <t>NATHALIA SANCHEZ ACERO</t>
  </si>
  <si>
    <t>JEFFERSON RICARDO OLARTE VELASQUEZ</t>
  </si>
  <si>
    <t>ROSANA MERCEDES DIAZ FRANCO</t>
  </si>
  <si>
    <t>IVAN GIUCEPPE PALACINO VILLAMIL</t>
  </si>
  <si>
    <t>MARIA ALEJANDRA MERCHAN CALDERON</t>
  </si>
  <si>
    <t>GUSTAVO ADOLFO ACERO GARCIA</t>
  </si>
  <si>
    <t>DAVID FELIPE MONTENEGRO RIAÑO</t>
  </si>
  <si>
    <t>KATHERIN JINETH RODRIGUEZ CALDERON</t>
  </si>
  <si>
    <t>JONATTAN CAMILO TORRES ALARCON</t>
  </si>
  <si>
    <t>JOHANN DAVID BENAVIDES TORRES</t>
  </si>
  <si>
    <t>ANDREA ALEXANDRA MARTINEZ MORALES</t>
  </si>
  <si>
    <t>COORDINADOR ADMINISTRATIVO</t>
  </si>
  <si>
    <t>LUIS FERNANDO VILLEGAS ROZO</t>
  </si>
  <si>
    <t>MAIKELIN SALCEDO ZAMBRANO</t>
  </si>
  <si>
    <t>LAURA VIVIANA MARTINEZ NEIRA</t>
  </si>
  <si>
    <t>EDNA CATALINA RAMIREZ ARANGUREN</t>
  </si>
  <si>
    <t>CAMILO ANDRES CARO PINZON</t>
  </si>
  <si>
    <t>BRYAN DAMIAN ANGULO CHICO</t>
  </si>
  <si>
    <t>MIGUEL ALFONSO CUELLAR GOMEZ</t>
  </si>
  <si>
    <t>MONICA LILIANA CUERVO GONZALEZ</t>
  </si>
  <si>
    <t>ANGELA PAULINA LEYVA CASAS</t>
  </si>
  <si>
    <t>JOSE LUIS PIEDRAHITA AVENDAÑO</t>
  </si>
  <si>
    <t>JOSE ANTONIO SANCHEZ</t>
  </si>
  <si>
    <t>ANA GABRIELA ROBLES CAMARGO</t>
  </si>
  <si>
    <t>FREDDY MAURICIO MONTOYA VIDAL</t>
  </si>
  <si>
    <t>NATALIA PULIDO MONTAÑEZ</t>
  </si>
  <si>
    <t>MATEO PELAEZ PULIDO</t>
  </si>
  <si>
    <t>LAURA CRISTINA RIVERA LANCHEROS</t>
  </si>
  <si>
    <t>JENNIFER GOMEZ PERDOMO</t>
  </si>
  <si>
    <t>JULIO CESAR SANCHEZ PULIDO</t>
  </si>
  <si>
    <t>ANDRES RODOLFO RUIZ BAUTISTA</t>
  </si>
  <si>
    <t>CRISTIAN FERNANDO DAVILA GODOY</t>
  </si>
  <si>
    <t>ANGELA PATRICIA CEPEDA DIAZ</t>
  </si>
  <si>
    <t>KELLY JEANNINE MONCADA TORRES</t>
  </si>
  <si>
    <t>LAURA VALENTINA CALDERON BUITRAGO</t>
  </si>
  <si>
    <t>DIEGO FABIAN LARA RIOS</t>
  </si>
  <si>
    <t>CAROLAYN DAYANA DIAZ CUCHIGAY</t>
  </si>
  <si>
    <t>SERGIO ANDRES CUERVO ANTURY</t>
  </si>
  <si>
    <t>MANUEL FERNANDO PEREZ ROZO</t>
  </si>
  <si>
    <t>FERNEY YESID REYES MALAGON</t>
  </si>
  <si>
    <t>APOYO ASEGURAMIENTO DE LA CALIDAD</t>
  </si>
  <si>
    <t>PABLO ALEJANDRO FIGUEROA PAEZ</t>
  </si>
  <si>
    <t>ANDRES FERNANDO VELASCO GUEVARA</t>
  </si>
  <si>
    <t>WALTER STEVEN GONZALEZ GOMEZ</t>
  </si>
  <si>
    <t>LUZ ANGELA MARIA SANCHEZ DIAZ</t>
  </si>
  <si>
    <t>WILLIAM FELIPE MISTRE CASTILLO</t>
  </si>
  <si>
    <t>SANDRA MILENA VALLEJO FUENTES</t>
  </si>
  <si>
    <t>JOHN EDISSON HERNANDEZ BARRETO</t>
  </si>
  <si>
    <t>DIEGO ALONSO RODRIGUEZ SUAREZ</t>
  </si>
  <si>
    <t>SERGIO ENRIQUE CLAVIJO MORENO</t>
  </si>
  <si>
    <t>EDNA ROCIO GONZALEZ GONZALEZ</t>
  </si>
  <si>
    <t>DIANA PAOLA PARRA PEÑA</t>
  </si>
  <si>
    <t>JULY VANESSA TORRALBA TORRES</t>
  </si>
  <si>
    <t>JENNY KATHERINE CARO RAMIREZ</t>
  </si>
  <si>
    <t>NICOLAS DANIEL RODRIGUEZ DIAZ</t>
  </si>
  <si>
    <t>DANIEL FELIPE CORREDOR SIERRA</t>
  </si>
  <si>
    <t>JUAN CARLOS ROBLES CAMARGO</t>
  </si>
  <si>
    <t>MAURICIO VASQUEZ RINCON</t>
  </si>
  <si>
    <t>SANDRA MILENA ARBELAEZ SUANCHA</t>
  </si>
  <si>
    <t>CAMILO ANDRES ROMERO MORENO</t>
  </si>
  <si>
    <t>MARIA ALEJANDRA ESCOBAR MAHETE</t>
  </si>
  <si>
    <t>JHONATHAN PRIETO VIVIESCAS</t>
  </si>
  <si>
    <t>HAROL JAVIER SOSA CORREA</t>
  </si>
  <si>
    <t>JENNY PAOLA BAUTISTA JIMENEZ</t>
  </si>
  <si>
    <t>FRANCY NATALIA LOPEZ ORTIZ</t>
  </si>
  <si>
    <t>PAULA ANGELICA URREGO GARZON</t>
  </si>
  <si>
    <t>IVAN DARIO TORRES TORRES</t>
  </si>
  <si>
    <t>IVAN CAMILO CAMARGO PATIÑO</t>
  </si>
  <si>
    <t>AURA VIVIANA PANADERO DELGADO</t>
  </si>
  <si>
    <t>PAULA ANDREA HUERTAS PEÑARANDA</t>
  </si>
  <si>
    <t>JUAN SEBASTIAN LOPEZ ESPINOSA</t>
  </si>
  <si>
    <t>BRAYHAM ALEJANDRO MARIN DUEÑAS</t>
  </si>
  <si>
    <t>APOYO COMUNICACIONES</t>
  </si>
  <si>
    <t>JULIAN DAVID QUIROGA VENEGAS</t>
  </si>
  <si>
    <t>DIANA PRISCILA MARIÑO CHAPARRO</t>
  </si>
  <si>
    <t>WILLIAM ORLANDO GUARIN CLAVIJO</t>
  </si>
  <si>
    <t>APOYO INTEGRAL COMUNICACIONES</t>
  </si>
  <si>
    <t>JESSICA FERNANDA MEDRANO FIERRO</t>
  </si>
  <si>
    <t>JENNIFER PAOLA AREVALO SERRATO</t>
  </si>
  <si>
    <t>MARIA ALEJANDRA ARCE MELO</t>
  </si>
  <si>
    <t>IVONNE JULIETH RICO MATEUS</t>
  </si>
  <si>
    <t>ASESOR COMERCIAL</t>
  </si>
  <si>
    <t>DIEGO ANTONIO OSPINA DIAZ</t>
  </si>
  <si>
    <t>GILMA LIZET RODRIGUEZ FORIGUA</t>
  </si>
  <si>
    <t>ERIKA FLOREZ ALFONSO</t>
  </si>
  <si>
    <t>OSCAR FERNANDO MURILLO MOJICA</t>
  </si>
  <si>
    <t>KATHERINE BECERRA ROJAS</t>
  </si>
  <si>
    <t>PAULA MILENA CONTO MONTEALEGRE</t>
  </si>
  <si>
    <t>ANGIE TATIANA MONTES FLAUTERO</t>
  </si>
  <si>
    <t>DAVID ALEJANDRO GUERRERO PIRATEQUE</t>
  </si>
  <si>
    <t>CAMILO ANDRES ORTEGA CASTILLO</t>
  </si>
  <si>
    <t>JUAN MANUEL MERCADO FUENTES</t>
  </si>
  <si>
    <t>CINDY TATIANA ZABALA QUINTERO</t>
  </si>
  <si>
    <t>SINDY JOHANNA MACIAS IZQUIERDO</t>
  </si>
  <si>
    <t>DAVID ANDRES BARRETO ZAPATA</t>
  </si>
  <si>
    <t>ARQUITECTO</t>
  </si>
  <si>
    <t>JENNIFER TATIANA PULIDO MORENO</t>
  </si>
  <si>
    <t>CARLOS ANDRES JIMENEZ PARDO</t>
  </si>
  <si>
    <t>KATERINE PINZON SALINAS</t>
  </si>
  <si>
    <t>FLOR ALEJANDRA PEREZ BOHADA</t>
  </si>
  <si>
    <t>ELKIN ORLANDO SALAZAR RODRIGUEZ</t>
  </si>
  <si>
    <t>DIEGO HERNANDO CARDENAS MALDONADO</t>
  </si>
  <si>
    <t>PAOLA ANDREA VEGA PEREZ</t>
  </si>
  <si>
    <t>CARLOS ANDRES SIERRA PEÑA</t>
  </si>
  <si>
    <t>MARTHA ISABEL AGUILERA CASTILLO</t>
  </si>
  <si>
    <t>BRIYITH DIAZ LAGOS</t>
  </si>
  <si>
    <t>LIDER DE REGISTRO Y CONTROL ACADEMICO</t>
  </si>
  <si>
    <t>JAIRO ALEXANDER CARDENAS RODRIGUEZ</t>
  </si>
  <si>
    <t>BRAYAN STIVEN SARMIENTO JARAMILLO</t>
  </si>
  <si>
    <t>ANGELA MARIA VACA RODRIGUEZ</t>
  </si>
  <si>
    <t>JULIAN SANTIAGO MORENO SANCHEZ</t>
  </si>
  <si>
    <t>INGRID GISELLE VILLARRAGA RINCON</t>
  </si>
  <si>
    <t>DAISA KATERIN SIERRA GUTIERREZ</t>
  </si>
  <si>
    <t>JULIAN RICARDO VARGAS SANTOS</t>
  </si>
  <si>
    <t>LAURA LICETH SANCHEZ AREVALO</t>
  </si>
  <si>
    <t>FABIO ALEJANDRO MARTINEZ JIMENEZ</t>
  </si>
  <si>
    <t>JEISSON JAMAICA DELGADO</t>
  </si>
  <si>
    <t>DOCENTE DE ASEGURAMIENTO DEL APRENDIZAJE</t>
  </si>
  <si>
    <t>JULIAN RICARDO LOPEZ HERNANDEZ</t>
  </si>
  <si>
    <t>BRYAN STEECK RAMIREZ BERMUDEZ</t>
  </si>
  <si>
    <t>LINDA PAOLA HERRERA CORTES</t>
  </si>
  <si>
    <t>LAURA CATALINA PEREZ TRIANA</t>
  </si>
  <si>
    <t>HAROL MAURICIO VELANDIA ALBARRACIN</t>
  </si>
  <si>
    <t>QUELMEN CHAYAN GOMEZ MORENO</t>
  </si>
  <si>
    <t>LAURA MELISSA RAMIREZ TORRES</t>
  </si>
  <si>
    <t>MARIA ISABEL CUADROS PEDROZA</t>
  </si>
  <si>
    <t>EDNA LIZETH ESPEJO OSMA</t>
  </si>
  <si>
    <t>JHON ALEXANDER ALVAREZ RENGIFO</t>
  </si>
  <si>
    <t>MARIA ANGELICA CASALLAS ZAMORA</t>
  </si>
  <si>
    <t>JULIANA GOMEZ ORDOÑEZ</t>
  </si>
  <si>
    <t>MARLON ANDRES PEÑALOZA VASQUEZ</t>
  </si>
  <si>
    <t>NATALIA CADENA DIAZ</t>
  </si>
  <si>
    <t>GERARDO MATIZ REY</t>
  </si>
  <si>
    <t>DIANA CAROLINA ALVAREZ AMADO</t>
  </si>
  <si>
    <t>RICARDO OVALLE SIERRA</t>
  </si>
  <si>
    <t>LADY YINETH ANDRADE CARDENAS</t>
  </si>
  <si>
    <t>CATHERINE LUCIA PENAGOS RIVERA</t>
  </si>
  <si>
    <t>ANGIE CRISTINA MARTINEZ GONZALES</t>
  </si>
  <si>
    <t>FRANCISCO ALEJANDRO DIAZ DAZA</t>
  </si>
  <si>
    <t>JESICA ALEJANDRA VALBUENA PAEZ</t>
  </si>
  <si>
    <t>DIEGO MANUEL AVILA GARCIA</t>
  </si>
  <si>
    <t>NAYIBE ANDREA GONZALEZ OCAMPO</t>
  </si>
  <si>
    <t>SULAY ALEJANDRA AMAYA BEJARANO</t>
  </si>
  <si>
    <t>NICOLAS BOJACA MIRANDA</t>
  </si>
  <si>
    <t>MAYRA LIZETH CORTES MARTINEZ</t>
  </si>
  <si>
    <t>PROMOTOR COMERCIAL SENIOR</t>
  </si>
  <si>
    <t>DIEGO ANDRES MENDOZA MORA</t>
  </si>
  <si>
    <t>JOSE VICENTE GUTIERREZ ESPINOSA</t>
  </si>
  <si>
    <t>JUAN BAUTISTA GOMEZ NAJAR</t>
  </si>
  <si>
    <t>GHEINER DUWIAN REINA DUARTE</t>
  </si>
  <si>
    <t>YERALDINE RODRIGUEZ MAHECHA</t>
  </si>
  <si>
    <t>MONICA PEÑA RODRIGUEZ</t>
  </si>
  <si>
    <t>CINDY LORENA BOHORQUEZ LEYVA</t>
  </si>
  <si>
    <t>ARNOLD STEVEN CANTOR PULIDO</t>
  </si>
  <si>
    <t>NATALIA MEDINA MARTINEZ</t>
  </si>
  <si>
    <t>YENNY MARITZA GOMEZ SOTTO</t>
  </si>
  <si>
    <t>EDISON JAVIER GONZALEZ VELANDIA</t>
  </si>
  <si>
    <t>INGRID ESNEDA MACIAS SUAREZ</t>
  </si>
  <si>
    <t>JOHN JAIRO TORRES MORALES</t>
  </si>
  <si>
    <t>NATALIA MORENO GUZMAN</t>
  </si>
  <si>
    <t>ANGIE ZULAY FRANCO VEGA</t>
  </si>
  <si>
    <t>ANDRES FELIPE GOMEZ TANGARIFE</t>
  </si>
  <si>
    <t>KAREN ESTEHANY RUIZ CHITIVA</t>
  </si>
  <si>
    <t>NIYYIRETH CRISTINA RUIZ RUIZ</t>
  </si>
  <si>
    <t>RONAL AUGUSTO RODRIGUEZ AGUIRRE</t>
  </si>
  <si>
    <t>THOMAS JULIAN GOMEZ VANEGAS</t>
  </si>
  <si>
    <t>DANIELA CRUZ HERRERA</t>
  </si>
  <si>
    <t>ERIKA YUSMARI CEBALLES CARRILLO</t>
  </si>
  <si>
    <t>YENNY TATIANA REYES ROMERO</t>
  </si>
  <si>
    <t>WENDY KATERINE MENDIVELSO GAMBOA</t>
  </si>
  <si>
    <t>JOAQUIN MARTINEZ GUERRERO</t>
  </si>
  <si>
    <t>LUISA FERNANDA CHILA ROJAS</t>
  </si>
  <si>
    <t>BRENDA GUEVARA PALOMINO</t>
  </si>
  <si>
    <t>MARIA TERESA SUAREZ VALDERRAMA</t>
  </si>
  <si>
    <t>ADRIANA PAOLA CARVAJAL TARAZONA</t>
  </si>
  <si>
    <t>PABLO GERARDO CASTRO ZAMBRANO</t>
  </si>
  <si>
    <t>AUXILIAR DE TALLERES SST</t>
  </si>
  <si>
    <t>SHAMEEL THAHIR SILVA</t>
  </si>
  <si>
    <t>KAAREM NATALY MORENO DEVIA</t>
  </si>
  <si>
    <t>GINA PAOLA BENAVIDES GALINDO</t>
  </si>
  <si>
    <t>RICARDO ANDRES ABRIL ROA</t>
  </si>
  <si>
    <t>MARLON ESNEIDER TOVAR ROJAS</t>
  </si>
  <si>
    <t>JUAN ESTEBAN BETANCOURT MORA</t>
  </si>
  <si>
    <t>GISSELL VALENTINA MORENO LADINO</t>
  </si>
  <si>
    <t>MARIA PAULA RAMIREZ CARVAJAL</t>
  </si>
  <si>
    <t>NICOLE STEFANY GUERRERO GANTIVA</t>
  </si>
  <si>
    <t>ANDREA STEPHANIA BAUTISTA GARZON</t>
  </si>
  <si>
    <t>MICHEEL ESPITIA SEPULVEDA</t>
  </si>
  <si>
    <t>PROMOTOR DE INFORMACION JUNIOR</t>
  </si>
  <si>
    <t>JUAN ESTEBAN GOMEZ HERNANDEZ</t>
  </si>
  <si>
    <t>KAROLL STEFAN TRILLERAS ALZATE</t>
  </si>
  <si>
    <t>CECILIA FERNANDA RODRIGUEZ MALPICA</t>
  </si>
  <si>
    <t>JUAN SEBASTIAN BOHORQUEZ RINCON</t>
  </si>
  <si>
    <t>DAILYN ESTHER JIMENEZ CORTES</t>
  </si>
  <si>
    <t>CAROLINA BEDOYA ARISTIZABAL</t>
  </si>
  <si>
    <t>DIEGO ALEJANDRO CASTAÑEDA BAUTISTA</t>
  </si>
  <si>
    <t>YENCY XIMENA CHAPARRO TOVAR</t>
  </si>
  <si>
    <t>ANA SOFIA VASQUEZ CAICEDO</t>
  </si>
  <si>
    <t>NATALIA KATHERIN JIMENEZ CARDENAS</t>
  </si>
  <si>
    <t>MARIA CAMILA VASQUEZ ROCHA</t>
  </si>
  <si>
    <t>YULDER FABIAN CUCHIMBA CEBALLOS</t>
  </si>
  <si>
    <t>PEDRO LIBARDO CORTES BURGOS</t>
  </si>
  <si>
    <t>KARINA ANDREA ROJAS GARCIA</t>
  </si>
  <si>
    <t>JAIME EDUARDO TRUJILLO RUIZ</t>
  </si>
  <si>
    <t>ERICA TATIANA JARAMILLO PALACINO</t>
  </si>
  <si>
    <t>MARIA PAULA DURAN SALGADO</t>
  </si>
  <si>
    <t>AUXILIAR OPERATIVO DE COMUNICACIONES</t>
  </si>
  <si>
    <t>JOEL SANTIAGO VILLEGAS BERNAL</t>
  </si>
  <si>
    <t>KAREN NATALIA RUIZ MELO</t>
  </si>
  <si>
    <t>YENNY FERNANDA CUEVAS MARTINEZ</t>
  </si>
  <si>
    <t>ANGIE GERALDINE HERNANDEZ LIZCANO</t>
  </si>
  <si>
    <t>BRAYAN ESTIVENS CORTES IBAÑEZ</t>
  </si>
  <si>
    <t>SEBASTIAN MONSALVO CETINA</t>
  </si>
  <si>
    <t>MARIA PAULA PRIAS ALARCON</t>
  </si>
  <si>
    <t>STEFANY SOFIA GONZALEZ HERNANDEZ</t>
  </si>
  <si>
    <t>BRAYAN ESTIVEN RAMIREZ NIVIAYO</t>
  </si>
  <si>
    <t>BRAYAN ESTIBEN LEON OLAYA</t>
  </si>
  <si>
    <t>PAULA SOFIA CALDERON OSORIO</t>
  </si>
  <si>
    <t>YENI VALENTINA CASTILLO FLORIAN</t>
  </si>
  <si>
    <t>JESUS DANIEL MECON CASTILLO</t>
  </si>
  <si>
    <t>DAYANA ESTEFANY GARCIA FORERO</t>
  </si>
  <si>
    <t>JUAN MIGUEL MARTINEZ AVILA</t>
  </si>
  <si>
    <t>JUAN DANIEL MUÑOZ ARAGON</t>
  </si>
  <si>
    <t>MICHAEL DAVID SANTANA ROZO</t>
  </si>
  <si>
    <t>CAROL VALENTINA CAUCALI SANCHEZ</t>
  </si>
  <si>
    <t>MARIA CAMILA CUBILLOS MONTAÑA</t>
  </si>
  <si>
    <t>LAURA DANIELA PADUA CASALLAS</t>
  </si>
  <si>
    <t>KEVIN SANTIAGO JIMENEZ SALAMANCA</t>
  </si>
  <si>
    <t>LAURA DANIELA RUBIO TOVAR</t>
  </si>
  <si>
    <t>MAICOL STIVEN CUELLAR MENDOZA</t>
  </si>
  <si>
    <t>ANA MARIA OVIEDO ROMERO</t>
  </si>
  <si>
    <t>JULIAN STEVEN TOBAR NARVAEZ</t>
  </si>
  <si>
    <t>IRIS MARIA ALEJANDRA BENAVIDES SARMIENTO</t>
  </si>
  <si>
    <t>KELLAN CARLOS CHAVES PALENCIA</t>
  </si>
  <si>
    <t>MARIANA BARRERA ACOSTA</t>
  </si>
  <si>
    <t>KEVIN SEBASTIAN OSORIO BEDOYA</t>
  </si>
  <si>
    <t>JOHANNA ANDREA OSORIO GONZALEZ</t>
  </si>
  <si>
    <t>ANDERSON CARVAJAL</t>
  </si>
  <si>
    <t>BRENDA NATALY GARCIA LANCHEROS</t>
  </si>
  <si>
    <t>DANIEL CAMILO PANQUEVA PARDO</t>
  </si>
  <si>
    <t>DIANA CAROLINA LATORRE CHICA</t>
  </si>
  <si>
    <t>GERALDINE CALDERON DIAZ</t>
  </si>
  <si>
    <t>ANDRES BARBOZA RODRIGUEZ</t>
  </si>
  <si>
    <t>YULIANA ZAPATA MARTIN</t>
  </si>
  <si>
    <t>JEAN POOL SIERRA SABBACH</t>
  </si>
  <si>
    <t>NICOLAS EDUARDO CABALLERO VALBUENA</t>
  </si>
  <si>
    <t>SAMUEL FELIPE AYA NOVOA</t>
  </si>
  <si>
    <t>ERIKA JULIETH VALDERRAMA SANCHEZ</t>
  </si>
  <si>
    <t>HECTOR MARIO ARROYAVE CORREA</t>
  </si>
  <si>
    <t>EDISSON FERNANDO VEGA</t>
  </si>
  <si>
    <t>ANDRES GUZMAN COMBITA</t>
  </si>
  <si>
    <t>DANIEL EDUARDO USECHE LOPEZ</t>
  </si>
  <si>
    <t>RAUL ERNESTO ORTIZ GARZON</t>
  </si>
  <si>
    <t>LUIS ALBERTO AYALA BERROCAL</t>
  </si>
  <si>
    <t>PABLO ARANGO ROBLEDO</t>
  </si>
  <si>
    <t>CIELO ESPERANZA REYES TELLEZ</t>
  </si>
  <si>
    <t>MONICA MARIA AVELLANEDA MORALES</t>
  </si>
  <si>
    <t>ANGIE TATIANA ROBAYO PINEDA</t>
  </si>
  <si>
    <t>SERGIO ALEXANDER VERA GARCIA</t>
  </si>
  <si>
    <t>BRAYAN SEBASTIAN SALAS RICO</t>
  </si>
  <si>
    <t>DIANA MARCELA FORERO MANFLA</t>
  </si>
  <si>
    <t>JUAN DAVID CAMPOS MORALES</t>
  </si>
  <si>
    <t>DIANA LORENA SEPULVEDA RAMIREZ PARIS</t>
  </si>
  <si>
    <t>MIGUEL ANGEL LAITON BARRAGAN</t>
  </si>
  <si>
    <t>MALORY JULIO HERRERA</t>
  </si>
  <si>
    <t>RAFAEL ALEJANDRO PINEDA SANCHEZ</t>
  </si>
  <si>
    <t>OMAR JOSE MUÑOZ BARON</t>
  </si>
  <si>
    <t>PAULA ANDREA CARREÑO MONTOYA</t>
  </si>
  <si>
    <t>JESSICA TATIANA ROJAS SANCHEZ</t>
  </si>
  <si>
    <t>JHOAN ALEXANDER SANCHEZ REINA</t>
  </si>
  <si>
    <t>BRIDGET ROSSANA DIAZ BOGOTA</t>
  </si>
  <si>
    <t>SANTIAGO SIERRA AMEZQUITA</t>
  </si>
  <si>
    <t>JOHNSON RICARDO CRISTANCHO FAJARDO</t>
  </si>
  <si>
    <t>JAIRO ANDRES FLOREZ PINO</t>
  </si>
  <si>
    <t>JUAN DIEGO LOPEZ CASAS</t>
  </si>
  <si>
    <t>HOOVER HERNANDO BARRERO ROBAYO</t>
  </si>
  <si>
    <t>CRISTIAN LEONARDO POTES VELEZ</t>
  </si>
  <si>
    <t>MARIA CAMILA CARO PULIDO</t>
  </si>
  <si>
    <t>KEVIN SANTIAGO DUARTE ORJUELA</t>
  </si>
  <si>
    <t>NICOL ANDREA CARDENAS PADILLA</t>
  </si>
  <si>
    <t>ESTEFANIA CHAPARRO GUERRERO</t>
  </si>
  <si>
    <t>EJECUTIVA COMERCIAL Y ORIENTACION VOCACIONAL</t>
  </si>
  <si>
    <t>LUZ ADRIANA GONZALEZ ROSAS</t>
  </si>
  <si>
    <t>LUIS ALFREDO ROJAS LEON</t>
  </si>
  <si>
    <t>JUDYTH JOHANA PARRA ROMERO</t>
  </si>
  <si>
    <t>JUAN SEBASTIAN VIRGUEZ CORZO</t>
  </si>
  <si>
    <t>CARLOS MARIO OVIEDO FERIA</t>
  </si>
  <si>
    <t>STEVEN FERNANDO CORRECHA PERDOMO</t>
  </si>
  <si>
    <t>ADRIANA PATRICIA GARZON FORERO</t>
  </si>
  <si>
    <t>CESAR AUGUSTO MARULANDA ECHEVERRY</t>
  </si>
  <si>
    <t>KAREN DANIELA MATEUS ORJUELA</t>
  </si>
  <si>
    <t>NICOLAS GONZALEZ HENAO</t>
  </si>
  <si>
    <t>MARLON YEINER MEJIA ACOSTA</t>
  </si>
  <si>
    <t>EDWIN ALBEIRO PINZON PINZON</t>
  </si>
  <si>
    <t>LUZ MARY GUEVARA BARRETO</t>
  </si>
  <si>
    <t>CINDY TATIANA BARBA RAMIREZ</t>
  </si>
  <si>
    <t>JHOSTYN ALEJANDRO GAITAN ANTONIO</t>
  </si>
  <si>
    <t>ELIZABETH BLANCO LOPEZ</t>
  </si>
  <si>
    <t>NIDIA JOHANNA VARGAS BRAUSIN</t>
  </si>
  <si>
    <t>JHON JAIRO RODRIGUEZ PEREZ</t>
  </si>
  <si>
    <t>GERMAN CARRANZA ESPITIA</t>
  </si>
  <si>
    <t>LIDER DE RECAUDO</t>
  </si>
  <si>
    <t>CRISTIAN ANDRES RODRIGUEZ VARGAS</t>
  </si>
  <si>
    <t>DORA ISABEL MORENO AMAZO</t>
  </si>
  <si>
    <t>ANGELA JULIETH LINARES BEJARANO</t>
  </si>
  <si>
    <t>KAREN TATIANA PRIETO PEDRAZA</t>
  </si>
  <si>
    <t>JONATHAN ANDRES UZCATEGUI GONZALEZ</t>
  </si>
  <si>
    <t>DAYANA MARCELA RIVERA MULFORD</t>
  </si>
  <si>
    <t>NELSON ENRIQUE CASTRO LUNA</t>
  </si>
  <si>
    <t>MARIA ALEXANDRA BOLIVAR</t>
  </si>
  <si>
    <t>MATEO FERNANDO CHAPARRO VERGARA</t>
  </si>
  <si>
    <t>ANGIE CATHERINE LOPEZ HERNANDEZ</t>
  </si>
  <si>
    <t>EVY FERNANDA TAPIAS FORERO</t>
  </si>
  <si>
    <t>DAVID ESTEBAN MESA PEREZ</t>
  </si>
  <si>
    <t>ERIKA YURANY REINA CALDERON</t>
  </si>
  <si>
    <t>JAIDER CIPAMOCHA CASALLAS</t>
  </si>
  <si>
    <t>MILTON GEOVANI RANGEL MONROY</t>
  </si>
  <si>
    <t>MIGUEL ALEJANDRO URIBE MARTIN</t>
  </si>
  <si>
    <t>MIGUEL ANGEL CASTIBLANCO</t>
  </si>
  <si>
    <t>PAULA ANDREA BERNAL CARVAJAL</t>
  </si>
  <si>
    <t>BIENESTAR UNIVESITARIO, PROYECCION SOCIAL Y EGRESADOS</t>
  </si>
  <si>
    <t>CARLOS ANDRES VELASQUEZ ORTIZ</t>
  </si>
  <si>
    <t>DANIEL STEVEN CASTRO QUINTERO</t>
  </si>
  <si>
    <t>DELIO EDUARDO HIGUERA PEREZ</t>
  </si>
  <si>
    <t>MARIANA NICOLE MURILLO VARGAS</t>
  </si>
  <si>
    <t>ANTONIO JOSE BETANCUR</t>
  </si>
  <si>
    <t>JOSE ALI NAZARETH LINARES TORREALBA</t>
  </si>
  <si>
    <t>WILLIAM EDUARDO CUBIDES URIBE</t>
  </si>
  <si>
    <t>MENDEL SANTIAGO VACCA LEON</t>
  </si>
  <si>
    <t>DIANA MADELEYNE GAONA RODRIGUEZ</t>
  </si>
  <si>
    <t>JUAN JOSE FRANCO RESTREPO</t>
  </si>
  <si>
    <t>LEIDY VIVIANA ROJAS ACOSTA</t>
  </si>
  <si>
    <t>JUAN DIEGO PORTELA ROJAS</t>
  </si>
  <si>
    <t>VICERRECTORA ACADEMICA</t>
  </si>
  <si>
    <t>FACULTAD DE COMINICACIÓN PERIODISMO Y ARTES</t>
  </si>
  <si>
    <t>SERGIO DUBAN MORALES DUSSAN</t>
  </si>
  <si>
    <t>FERNANDO MANRIQUE NIÑO</t>
  </si>
  <si>
    <t>COORDINADORA DE PLANEACIÓN</t>
  </si>
  <si>
    <t>JEFFERSON ANDRES BARRETO DIAZ</t>
  </si>
  <si>
    <t>SHIRLEY HELAREN MEDELO VACA</t>
  </si>
  <si>
    <t>JHOAN SEBASTIAN MACHADO AGUIRRE</t>
  </si>
  <si>
    <t>JHON EDWAR RODRIGUEZ RODRIGUEZ</t>
  </si>
  <si>
    <t>JOHN ELIECER GARZON MALDONADO</t>
  </si>
  <si>
    <t>PEDRO YOVVANNI PRIETO SANCHEZ</t>
  </si>
  <si>
    <t>PEDRO NEL URREA ROA</t>
  </si>
  <si>
    <t>CARLOS JAVIER GUERRERO RAMIREZ</t>
  </si>
  <si>
    <t>JESUS OSWALDO MORENO CRISTANCHO</t>
  </si>
  <si>
    <t>CARLOS EFREN FERNANDEZ HERNANDEZ</t>
  </si>
  <si>
    <t>DIANA MARCELA OROZCO RAMOS</t>
  </si>
  <si>
    <t>NIDIA CONSTANZA GIL CARBONELL</t>
  </si>
  <si>
    <t>ANGELA MARCELA AGUDELO AGUDELO</t>
  </si>
  <si>
    <t>MARIA DEL PILAR BONILLA MORENO</t>
  </si>
  <si>
    <t>EDGAR EUDORO MARTINEZ CALLEJAS</t>
  </si>
  <si>
    <t>YENIS PAOLA MENDOZA PEREZ</t>
  </si>
  <si>
    <t>ANDRES FELIPE RODRIGUEZ CUELLAR</t>
  </si>
  <si>
    <t>YESENIA PAOLA PINEDA HURTADO</t>
  </si>
  <si>
    <t>DIANA MARCELA AGUILAR QUIROGA</t>
  </si>
  <si>
    <t>GINA MARCELA AVILA CRUZ</t>
  </si>
  <si>
    <t>CHRISTIAN MAURICIO SUAREZ SUAREZ</t>
  </si>
  <si>
    <t>JHEISON DAVID FERRO QUINTERO</t>
  </si>
  <si>
    <t>FABIAN ESTIBEN NAVARRO DURAN</t>
  </si>
  <si>
    <t>JEFFERSON REINA SOLANO</t>
  </si>
  <si>
    <t>JOHAN SEBASTIAN LUNA RODRÍGUEZ</t>
  </si>
  <si>
    <t>WILMER RINCON MONTAÑEZ</t>
  </si>
  <si>
    <t>LUZ ADRIANA ANGARITA MALAVER</t>
  </si>
  <si>
    <t>NIDIA ANDREA MELO WILCHES</t>
  </si>
  <si>
    <t>ANTONIO JOSE ROMERO VERGARA</t>
  </si>
  <si>
    <t>ESPECIALIZACIÓN EN GERENCIA DE PROYECTOS</t>
  </si>
  <si>
    <t>MAIRA ALEJANDRA CANTE OSORIO</t>
  </si>
  <si>
    <t>NARRATIVAS DIGITALES Y AUDIOVISUALES</t>
  </si>
  <si>
    <t>TECNOLOGÍA EN PRODUCCIÓN DE CONTENIDOS PERIODÍSTICOS</t>
  </si>
  <si>
    <t>JULIAN VICENTE VEGA SILVA</t>
  </si>
  <si>
    <t>SEBASTIAN FERNANDO ALVARADO BURBANO</t>
  </si>
  <si>
    <t>NICOLAS RODRIGUEZ PACHECO</t>
  </si>
  <si>
    <t>NATALIA MORALES ROZO</t>
  </si>
  <si>
    <t>JESUS DAVID ROLDAN GARZON</t>
  </si>
  <si>
    <t>ERICK SANTIAGO ESPEJO CONTRERAS</t>
  </si>
  <si>
    <t>LIZET ESTEFANIA MENDEZ ALEGRIA</t>
  </si>
  <si>
    <t>LÍDER DE COMUNICACION EXTERNA</t>
  </si>
  <si>
    <t>ESPECIALIZACIÓN EN INNOVACIÓN DIGITAL</t>
  </si>
  <si>
    <t>PROMOTOR DE SERVICIO AL ESTUDIANTE</t>
  </si>
  <si>
    <t>JHON ANDERSON BELTRAN ACEVEDO</t>
  </si>
  <si>
    <t>PROMOTOR DE PRACTICAS</t>
  </si>
  <si>
    <t>LÍDER DE COMUNICACION INTERNA</t>
  </si>
  <si>
    <t>JHAN CARLOS HOYOS BASTIDAS</t>
  </si>
  <si>
    <t>COORDINADOR DEL SISTEMA INTERNO DE ASEGURAMIENTO DE LA CALIDAD - SIAC</t>
  </si>
  <si>
    <t>COORDINADOR COMERCIAL Y DE VENTA</t>
  </si>
  <si>
    <t>DIRECTORA DE BIENESTAR INSTITUCIONAL</t>
  </si>
  <si>
    <t>LIDER DE ASEGURAMIENTO DE LA CALIDAD</t>
  </si>
  <si>
    <t>LÍDER DE PRACTICAS Y EMPLEABILIDAD</t>
  </si>
  <si>
    <t>LÍDER DE GESTIÓN DOCENTE</t>
  </si>
  <si>
    <t>LÍDER DE DEPORTE Y CULTURA</t>
  </si>
  <si>
    <t>DIRECTORA DE INVESTIGACIÓN, PROYECCIÓN SOCIAL Y CREACION ARTÍSTICA</t>
  </si>
  <si>
    <t>ANGIE MARCELA PUELLO AGUILAR</t>
  </si>
  <si>
    <t>LÍDER DE GRADUADOS Y PROYECTOS ESPECIALES</t>
  </si>
  <si>
    <t>DAVID SANTIAGO BULLA ACEVEDO</t>
  </si>
  <si>
    <t>DIEGO OSORIO REINA</t>
  </si>
  <si>
    <t>ANNY PAOLA GOMEZ RAMIREZ</t>
  </si>
  <si>
    <t>LIDER COMERCIAL DE ALIANZAS Y CONVENIOS</t>
  </si>
  <si>
    <t>LUZ MYRIAM SAAVEDRA CONTRERAS</t>
  </si>
  <si>
    <t>LUZ ANGELA MARQUEZ VARGAS</t>
  </si>
  <si>
    <t>ASISTENTE ADMINISTRATIVO DE FACULTAD</t>
  </si>
  <si>
    <t>MARIA JOSE PERALTA PACHECO</t>
  </si>
  <si>
    <t>CARLOS MIGUEL FABIAN RODRIGUEZ CAMACHO</t>
  </si>
  <si>
    <t>SEBASTIAN CAMILO MORENO CHAVEZ</t>
  </si>
  <si>
    <t>ARLIS NORELLY DELBASTO FORERO</t>
  </si>
  <si>
    <t>PROMOTOR DE BIENESTAR INSTITUCIONAL</t>
  </si>
  <si>
    <t>LIDER DE DESAROLLO HUMANO</t>
  </si>
  <si>
    <t>DEIVID STIFFER VANEGAS QUIROZ</t>
  </si>
  <si>
    <t>COORDINADORA DE EXTENSIÓN Y RELACIONES INSTITUCIONALES</t>
  </si>
  <si>
    <t>PROMOTOR COMERCIAL DEL CEA</t>
  </si>
  <si>
    <t>MARILYN GAITAN HERRERA</t>
  </si>
  <si>
    <t>ANDRES JULIAN TRUJILLO PALOMO</t>
  </si>
  <si>
    <t>LEIDY KATHERIN ORTIZ GOMEZ</t>
  </si>
  <si>
    <t>SOL CATALINA ROCHA GOMEZ</t>
  </si>
  <si>
    <t>DARWIN ANTONIO BRAVO TRUJILLO</t>
  </si>
  <si>
    <t>SUPERVISOR DE FORMACION</t>
  </si>
  <si>
    <t>SAMAEL FERRO PARRAGA</t>
  </si>
  <si>
    <t>FABIAN JOSE BELTRAN CELESTINO</t>
  </si>
  <si>
    <t>ADRIANA MARCELA ZORIANO VIVAS</t>
  </si>
  <si>
    <t>DIEGO ANDRES HERRERA CASTRO</t>
  </si>
  <si>
    <t>DAVID ADOLFO VILLALOBOS ANGEL</t>
  </si>
  <si>
    <t>JORGE IVAN CABRERA DURAN</t>
  </si>
  <si>
    <t>CECILIA DEL CARMEN ULLOA RIVADENEIRA</t>
  </si>
  <si>
    <t>DIANA PATRICIA RIOS GARCIA</t>
  </si>
  <si>
    <t>GIOVANI CHAPARRO ROMERO</t>
  </si>
  <si>
    <t>DAVID GERARDO LOPEZ MEDINA</t>
  </si>
  <si>
    <t>DAVID ALEJANDRO DELGADO CIFUENTES</t>
  </si>
  <si>
    <t>FELIPE DIAZ LOMBANA</t>
  </si>
  <si>
    <t>EDISON CASTRO FLOREZ</t>
  </si>
  <si>
    <t>ANALISTA DE INFRAESTRUCTURA</t>
  </si>
  <si>
    <t>DIANA ALEXANDRA RODRIGUEZ GONZALEZ</t>
  </si>
  <si>
    <t>ERIKA VIVIANA AMAYA CHACON</t>
  </si>
  <si>
    <t>MARCOS WISTAK</t>
  </si>
  <si>
    <t>LUIS MAXIMILIANO CABELLO LEON</t>
  </si>
  <si>
    <t>LIDER DE PRACTICAS</t>
  </si>
  <si>
    <t>FRANCISCO ALEJANDRO CASTRO JARAMILLO</t>
  </si>
  <si>
    <t>YOHAN JULIAN VARGAS CASTELLANOS</t>
  </si>
  <si>
    <t>DAMASO ERLYN HERNANDEZ RIVAS</t>
  </si>
  <si>
    <t>ESPECIALIZACION EN VISUAL ANALITYCS Y BIG DATA</t>
  </si>
  <si>
    <t>ALEJANDRO ANGEL TORRES</t>
  </si>
  <si>
    <t>ESPECIALIZACION EN PERIODISMO Y NARRATIVAS DIGITALES</t>
  </si>
  <si>
    <t>COORDINADOR DE MERCADEO DE PROYECTOS ESPECILAES</t>
  </si>
  <si>
    <t>AMAURY ARCENIO CABRERA CANO</t>
  </si>
  <si>
    <t>LIBARDO ASPRILLA LARA</t>
  </si>
  <si>
    <t>CAMILO ERNESTO VILLOTA PASCUAZA</t>
  </si>
  <si>
    <t>EDISON ARTURO CADENA MENA</t>
  </si>
  <si>
    <t>DIR. MERCADEO, COMUNICACIONES Y ADMISIONES</t>
  </si>
  <si>
    <t>TECNICO LABORAL EN AUXILIAR DE SISTEMAS INFORMATICOS</t>
  </si>
  <si>
    <t>EMILSEN RAMIREZ CUESTA</t>
  </si>
  <si>
    <t>DINAH LUZ CAUSIL PEÑATE</t>
  </si>
  <si>
    <t>LIDER DE PROYECTOS ESPECIALES</t>
  </si>
  <si>
    <t>DIANA PATRICIA CAÑON GUALI</t>
  </si>
  <si>
    <t>GLADYS QUIROGA RIAÑO</t>
  </si>
  <si>
    <t>INGRID PATRICIA SALINAS BERMUDEZ</t>
  </si>
  <si>
    <t>DIRECTORA ADMINISTRATIVA Y DE GESTION HUMANA</t>
  </si>
  <si>
    <t>OLGA GAVILAN BENAVIDES</t>
  </si>
  <si>
    <t>EVELYN DOMINGUEZ SERRANO</t>
  </si>
  <si>
    <t>MARIA CECILIA DIAZ RIOS</t>
  </si>
  <si>
    <t>ERIKA MARITZA GONZALEZ CHAVEZ</t>
  </si>
  <si>
    <t>TECNOLOGIA EN DESARROLLO DE SOFTWARE</t>
  </si>
  <si>
    <t>ADRIANA ANDREA SEGOVIA RODRIGUEZ</t>
  </si>
  <si>
    <t>DIRECTORA DE INFORMATICA Y TECNOLOGIA</t>
  </si>
  <si>
    <t>ANA MARIA VALDERRAMA JARA</t>
  </si>
  <si>
    <t>SANDRA MARIA RAMIREZ BOTERO</t>
  </si>
  <si>
    <t>VERONICA FABIANA RINCON CANTOR</t>
  </si>
  <si>
    <t>MARTHA LUCIA MELO CAVIATIVA</t>
  </si>
  <si>
    <t>GLENDA ROSA JIMENEZ PADILLA</t>
  </si>
  <si>
    <t>LUZ LILIANA CORTES QUECANO</t>
  </si>
  <si>
    <t>LIDER DE EVENTOS Y MEDIOS AUDIOVISUALES</t>
  </si>
  <si>
    <t>MYRIAM JANNETH USECHE PARADA</t>
  </si>
  <si>
    <t>MARIA RUBIANA OLIVEROS FORERO</t>
  </si>
  <si>
    <t>COORDINADOR DE LA OFICINA DE REGISTRO Y CONTROL</t>
  </si>
  <si>
    <t>LIDER DE COMPRAS Y CONTRATACION</t>
  </si>
  <si>
    <t>MARISOL FARFAN QUIROGA</t>
  </si>
  <si>
    <t>LESLIE JULIETH BALLESTEROS SANTOS</t>
  </si>
  <si>
    <t>LUZ ANDREA GONZALEZ ROA</t>
  </si>
  <si>
    <t>KELLY JOHANNA BOHORQUEZ MENDEZ</t>
  </si>
  <si>
    <t>TECNICO LABORAL EN AUXILIAR EN SEGURIDAD EN EL TRABAJO</t>
  </si>
  <si>
    <t>LESLY DAYANA GONZALEZ FAJARDO</t>
  </si>
  <si>
    <t>MELISSA AVENDAÑO TOCANCHON</t>
  </si>
  <si>
    <t>MARTHA JANETH DAZA</t>
  </si>
  <si>
    <t>AMANDA VIVIANA RICO ARIAS</t>
  </si>
  <si>
    <t>SANDRA PAOLA LOAIZA SANDOVAL</t>
  </si>
  <si>
    <t>MARILUZ PARRA ORTIZ</t>
  </si>
  <si>
    <t>ELVY JOHANNA RAMIREZ DONCEL</t>
  </si>
  <si>
    <t>VIVIANA ANDREA AGUIRRE VALENCIA</t>
  </si>
  <si>
    <t>TECNICO LABORAL EN AUXILIAR DE MERCADEO Y VENTAS</t>
  </si>
  <si>
    <t>LUISA YORLENY MALDONADO VALERIANO</t>
  </si>
  <si>
    <t>YURI KATERINE MORENO MARTINEZ</t>
  </si>
  <si>
    <t>ANYI CATTERINE PULIDO PARRA</t>
  </si>
  <si>
    <t>VIVIANA MARCELA AGUILLON GARCIA</t>
  </si>
  <si>
    <t>DIANA MILENA MONTOYA FORERO</t>
  </si>
  <si>
    <t>MARIO JOSE FLOYD QUINTERO</t>
  </si>
  <si>
    <t>CARLOS ALFONSO FABREGAS MERIÑO</t>
  </si>
  <si>
    <t>COORDINADOR DEL SISTEMA INTEGRADO DE GESTION INSTITUCIONAL - SIGI</t>
  </si>
  <si>
    <t>ERWIN ERNESTO CASTAÑEDA SOPO</t>
  </si>
  <si>
    <t>BIDERMAN GONZALEZ GONZALEZ</t>
  </si>
  <si>
    <t>OMAR GALINDO SERRANO</t>
  </si>
  <si>
    <t>OSCAR BARRAGAN PAEZ</t>
  </si>
  <si>
    <t>SERGIO FERNANDO BARBOSA CHACON</t>
  </si>
  <si>
    <t>TECNICO EN MANTENIMIENTO DE RECURSOS ACADEMICOS</t>
  </si>
  <si>
    <t>PROFESIONAL EN INGENIERIA MULTIMEDIA</t>
  </si>
  <si>
    <t>CARLOS JAVIER MATIZ PARRA</t>
  </si>
  <si>
    <t>JULIAN RONALDO MONTOYA GAONA</t>
  </si>
  <si>
    <t>ALVARO GUACANEME TUNJANO</t>
  </si>
  <si>
    <t>NELSON MONGUA PEDREROS</t>
  </si>
  <si>
    <t>JHON ALEXANDER RICO DURAN</t>
  </si>
  <si>
    <t>RICARDO ROA DIAZ</t>
  </si>
  <si>
    <t>JUAN MAURICIO AVILA LEON</t>
  </si>
  <si>
    <t>SANTIAGO FELIPE CARDENAS GARCIA</t>
  </si>
  <si>
    <t>FABIAN EDUARDO RODRIGUEZ QUINTERO</t>
  </si>
  <si>
    <t>CARLOS STEAVE DAVILA MENESES</t>
  </si>
  <si>
    <t>BERTULFO PUENTES DIAZ</t>
  </si>
  <si>
    <t>ENTRENADOR DEL CENTRO DE ENTRENAMIENTO EN ALTURAS</t>
  </si>
  <si>
    <t>ALEJANDRO VIVAS CASTRO</t>
  </si>
  <si>
    <t>HECTOR ALIRIO MARTINEZ TORRES</t>
  </si>
  <si>
    <t>IVAN DAVID RODRIGUEZ BURGOS</t>
  </si>
  <si>
    <t>ALBERTO GOMEZ MELO</t>
  </si>
  <si>
    <t>JAIME EDUARDO PINZON QUINTERO</t>
  </si>
  <si>
    <t>GABRIEL ALBERTO MORENO MONROY</t>
  </si>
  <si>
    <t>ANDRES RICARDO NOVOA MONTOYA</t>
  </si>
  <si>
    <t>JORGE MARIO ORJUELA MARQUEZ</t>
  </si>
  <si>
    <t>ALBERTO HERNAN SEGURA ABRIL</t>
  </si>
  <si>
    <t>LUIS GUSTAVO FIERRO MAYA</t>
  </si>
  <si>
    <t>EDILBERTO RAMIREZ RIVERA</t>
  </si>
  <si>
    <t>EDISON ERNESTO CUERVO SALAZAR</t>
  </si>
  <si>
    <t>ALEXIS ARMANDO HERRERA PIÑEROS</t>
  </si>
  <si>
    <t>JOSE MAXIMILIANO GOMEZ TORRES</t>
  </si>
  <si>
    <t>JORGE ENRIQUE CARDENAS RESTREPO</t>
  </si>
  <si>
    <t>EDGAR CAMILO RAMIREZ GAVILAN</t>
  </si>
  <si>
    <t>LIDER DE RECURSOS AUDIOVISUALES</t>
  </si>
  <si>
    <t>OSCAR MAURICIO CARVAJAL COMBARIZA</t>
  </si>
  <si>
    <t>CARLOS ALBERTO WILCHES BELTRAN</t>
  </si>
  <si>
    <t>JOSE DANIEL MEDINA MONROY</t>
  </si>
  <si>
    <t>DAVID EDUARDO SANCHEZ MONROY</t>
  </si>
  <si>
    <t>LIDER DE RECURSOS ACADEMICOS</t>
  </si>
  <si>
    <t>DIDIER MAURICIO HURTADO COLLAZOS</t>
  </si>
  <si>
    <t>JACKSON MAURICIO RODRIGUEZ BERNAL</t>
  </si>
  <si>
    <t>GABRIEL RICARDO CUBILLOS PEÑA</t>
  </si>
  <si>
    <t>ELMED LEONEL MELO MELO</t>
  </si>
  <si>
    <t>DIEGO ALEXANDER ACOSTA MENDEZ</t>
  </si>
  <si>
    <t>YEISON YOSET TOVAR BARBOSA</t>
  </si>
  <si>
    <t>JULIAN LEONARDO RUIZ MILLAN</t>
  </si>
  <si>
    <t>HECTOR IVAN GRANADOS INFANTE</t>
  </si>
  <si>
    <t>ESTEBAN ADOLFO QUESADA SALAZAR</t>
  </si>
  <si>
    <t>ANDRES ARMANDO DUARTE PRIETO</t>
  </si>
  <si>
    <t>JEISON ASTUDILLO BALLEN</t>
  </si>
  <si>
    <t>WILSON HERNAN OLARTE RAMIREZ</t>
  </si>
  <si>
    <t>STIVEN ORLANDO ROJAS PULIDO</t>
  </si>
  <si>
    <t>MIGUEL ANGEL LOZANO MONTENEGRO</t>
  </si>
  <si>
    <t>CARLOS ALBERTO ACERO RODRIGUEZ</t>
  </si>
  <si>
    <t>JORGE MARIO KARAM ROZO</t>
  </si>
  <si>
    <t>JUSTO REINALDO ARIAS OMAÑA</t>
  </si>
  <si>
    <t>LUIS ALBERTO REYES PRIETO</t>
  </si>
  <si>
    <t>GUSTAVO RAFAEL MONTERO GUARIN</t>
  </si>
  <si>
    <t>JOHN JAIRO BELTRAN ASSIA</t>
  </si>
  <si>
    <t>ALEJANDRO RAMIREZ TUNJUELO</t>
  </si>
  <si>
    <t>LAURA NATHALY VELASQUEZ AMORTEGUI</t>
  </si>
  <si>
    <t>LIZ VALENTINA JIMENEZ PEÑA</t>
  </si>
  <si>
    <t>JOSE SAMUEL MARCA GOMEZ</t>
  </si>
  <si>
    <t>LAURA CAMILA SANCHEZ MARTINEZ</t>
  </si>
  <si>
    <t>PROMOTOR DE GESTION ACADEMICA</t>
  </si>
  <si>
    <t>SEBASTIAN DAVID MELO DIAZ</t>
  </si>
  <si>
    <t>MARIO ANDRES MANRIQUE RODRIGUEZ</t>
  </si>
  <si>
    <t>FRANCI VALENTINA CANO PUENTES</t>
  </si>
  <si>
    <t>ANDRES FELIPE RINCON CADENA</t>
  </si>
  <si>
    <t>DANIEL ESTEBAN CUBILLOS AVILA</t>
  </si>
  <si>
    <t>JERSSON JHOAN BUSTOS OBANDO</t>
  </si>
  <si>
    <t>CAROL VANESSA MARTINEZ OLMOS</t>
  </si>
  <si>
    <t>SERGIO ZABALETA CEDIEL</t>
  </si>
  <si>
    <t>BRANDON LEONARDO ARDILA HERNANDEZ</t>
  </si>
  <si>
    <t>VALENTINA OLARTE PEREZ</t>
  </si>
  <si>
    <t>MONICA SOPHIA CADAVID MACIAS</t>
  </si>
  <si>
    <t>AUXILIAR DE RECURSOS AUDIOVISUALES</t>
  </si>
  <si>
    <t>ANGIE KATHERINE AREVALO LOPEZ</t>
  </si>
  <si>
    <t>ANDRES FELIPE MOSCOSO BARON</t>
  </si>
  <si>
    <t>ROBINSON ANDRES SUAREZ PINEDA</t>
  </si>
  <si>
    <t>CIELO MARIANA RODRIGUEZ PIÑEROS</t>
  </si>
  <si>
    <t>ASISTENTE ADMINISTRATIVO VAC</t>
  </si>
  <si>
    <t>SANTIAGO MORENO ROJAS</t>
  </si>
  <si>
    <t>AUXILIAR DE COMUNICACIONES</t>
  </si>
  <si>
    <t>MARIA ALEJANDRA GALINDO</t>
  </si>
  <si>
    <t>MANUEL ARTURO BECERRA BECERRA</t>
  </si>
  <si>
    <t>ANGIE PAOLA ARDILA FAJARDO</t>
  </si>
  <si>
    <t>ANGIE GABRIELA ADAMES RAMOS</t>
  </si>
  <si>
    <t>KAROL NATALIA LOZANO HERRERA</t>
  </si>
  <si>
    <t>JAYDER LIBARDO SILVA GOMEZ</t>
  </si>
  <si>
    <t>VALENTINA FORERO PEDREROS</t>
  </si>
  <si>
    <t>LIDER DEL CENTRO DE ENTRENAMIENTO EN ALTURAS</t>
  </si>
  <si>
    <t>JUAN SEBASTIAN AVILA SUESCA</t>
  </si>
  <si>
    <t>ASISTENTE JURIDICO</t>
  </si>
  <si>
    <t>OSCAR STEVEN PEREZ HIDALGO</t>
  </si>
  <si>
    <t>AUXILIAR DE RECURSOS ACADEMICOS</t>
  </si>
  <si>
    <t>LAURA JERALDINE PEÑA VARELA</t>
  </si>
  <si>
    <t>MARIA FERNANDA HERRERA SARMIENTO</t>
  </si>
  <si>
    <t>ABOGADA JUNIOR - GESTION CONTRACTUAL</t>
  </si>
  <si>
    <t>BREHITNER JAVIER NAVARRO CONTENTO</t>
  </si>
  <si>
    <t>JUAN SEBASTIAN RUEDA OLIVAR</t>
  </si>
  <si>
    <t>LINA SOFIA OSORIO</t>
  </si>
  <si>
    <t>JULIANA VALENTINA VARGAS BUSTOS</t>
  </si>
  <si>
    <t>JULIAN MAURICIO GUTIERREZ SALCEDO</t>
  </si>
  <si>
    <t>JAVIER STIVEN GOMEZ GALEON</t>
  </si>
  <si>
    <t>JULIAN DAVID BELTRAN BOLIVAR</t>
  </si>
  <si>
    <t>JHOFRE GETZAEL BEDOYA CUBILLOS</t>
  </si>
  <si>
    <t>YULIETH ALEJANDRA LEON RODRIGUEZ</t>
  </si>
  <si>
    <t>SERGIO VARGAS BONILLA</t>
  </si>
  <si>
    <t>SEBASTIAN MOLINA GUIO</t>
  </si>
  <si>
    <t>GABRIELA MARTINA TRIVIÑO DIAZ</t>
  </si>
  <si>
    <t>NICOLAS DAVID CORTES GONZALEZ</t>
  </si>
  <si>
    <t>ABOGADO JUNIOR</t>
  </si>
  <si>
    <t>LIDER DE GRADUADOS Y EMPLEABILIDAD</t>
  </si>
  <si>
    <t>JAVIER ANTONIO PEÑUELA GONZALEZ</t>
  </si>
  <si>
    <t>DAVID FELIPE NASMUTA RINCON</t>
  </si>
  <si>
    <t>ANALISTA DE TESORERIA</t>
  </si>
  <si>
    <t>JOHAN EDUARDO RUBIANO GOMEZ</t>
  </si>
  <si>
    <t>MIGUEL ANGEL LOPEZ FONSECA</t>
  </si>
  <si>
    <t>STHEFANY CASTILLO TRIANA</t>
  </si>
  <si>
    <t>YURY MARCELA CASALLAS BERNAL</t>
  </si>
  <si>
    <t>CRISTIAN FABIAN ROJAS SANCENO</t>
  </si>
  <si>
    <t>LUZ EDILMA HERNANDEZ RODRIGUEZ</t>
  </si>
  <si>
    <t>JESNY NICOL GUTIERREZ FRANCO</t>
  </si>
  <si>
    <t>DIANA CAROLINA MARIN BETANCOURT</t>
  </si>
  <si>
    <t>LAURA VANESSA JIMENEZ VILLANUEVA</t>
  </si>
  <si>
    <t>FREDY ALVARADO MEDINA</t>
  </si>
  <si>
    <t>LUISA FERNANDA LOZA MUÑETON</t>
  </si>
  <si>
    <t>ALEXANDER AFANADOR ACOSTA</t>
  </si>
  <si>
    <t>PABLO JAVIER MEDINA RAMIREZ</t>
  </si>
  <si>
    <t>ALEXANDER BELTRAN AGUILERA</t>
  </si>
  <si>
    <t>ERIKA ANDREA MONTALVO LOZANO</t>
  </si>
  <si>
    <t>YURY ANDREA CARRILLO MARTINEZ</t>
  </si>
  <si>
    <t>LINA MARIA QUIROZ ALVAREZ</t>
  </si>
  <si>
    <t>LAURA VANESSA RINCON VARGAS</t>
  </si>
  <si>
    <t>JORGE ANDRES LIEVANO LOPEZ</t>
  </si>
  <si>
    <t>JOHAN STIVEN MEDINA SANCHEZ</t>
  </si>
  <si>
    <t>JENNIFER ASTRID ROMERO HURTADO</t>
  </si>
  <si>
    <t>ANDERSON FABIAN ARDILA RONDON</t>
  </si>
  <si>
    <t>HANSEL JAVIER CABRERA CANTOR</t>
  </si>
  <si>
    <t>LINA PAOLA ARIAS CHACON</t>
  </si>
  <si>
    <t>DIDIER ANDRES ACOSTA URREGO</t>
  </si>
  <si>
    <t>PAULA ANDREA PAEZ BUITRAGO</t>
  </si>
  <si>
    <t>ELIANA MARIA ALDANA ESCALANTE</t>
  </si>
  <si>
    <t>YENNY MARCELA PERALTA GUZMAN</t>
  </si>
  <si>
    <t>JUAN DIEGO QUINTERO CASTRO</t>
  </si>
  <si>
    <t>YULI ANDREA RAMIREZ CELY</t>
  </si>
  <si>
    <t>LIDER DE INTERNACIONALIZACION</t>
  </si>
  <si>
    <t>YESICA YIRNEY MARTINEZ RODRIGUEZ</t>
  </si>
  <si>
    <t>WINDY LUCIA PERDOMO LEON</t>
  </si>
  <si>
    <t>LIDER DE ORGANIZACIÓN Y RECURSOS ACADÉMICOS</t>
  </si>
  <si>
    <t>LIDER DE VINCULACION COLEGIOS</t>
  </si>
  <si>
    <t>ANGEL DAVID GAMBOA PIZA</t>
  </si>
  <si>
    <t>LIDER DE JOVENES A LA E</t>
  </si>
  <si>
    <t>PATRICK MAVERICK GARZON ROBAYO</t>
  </si>
  <si>
    <t>ISABEL CRISTINA PEREZ ECHEVERRI</t>
  </si>
  <si>
    <t>FELIPE HUMBERTO FIGUEROA AVELLANEDA</t>
  </si>
  <si>
    <t>FRANCY STELLA CHARRY MORENO</t>
  </si>
  <si>
    <t>LUISA FERNANDA RODRIGUEZ RODRIGUEZ</t>
  </si>
  <si>
    <t>ANDREA PAOLA MARIN SUAREZ</t>
  </si>
  <si>
    <t>LINA MARIA SANDOVAL LOPEZ</t>
  </si>
  <si>
    <t>YULIETH ROCIO SILVA PLAZAS</t>
  </si>
  <si>
    <t>RAQUEL YANETH SANDOVAL FORERO</t>
  </si>
  <si>
    <t>DANIEL HAKIM GENES VARGAS</t>
  </si>
  <si>
    <t>JUAN RICARDO BOSSA PRECIADO</t>
  </si>
  <si>
    <t>SANTIAGO JOSE GALLO SUAREZ</t>
  </si>
  <si>
    <t>YULY ESPERANZA MALDONADO CORREA</t>
  </si>
  <si>
    <t>LIDER DE EDUCACION PARA EL TRABAJO</t>
  </si>
  <si>
    <t>LEONARDO VALENZUELA RODRIGUEZ</t>
  </si>
  <si>
    <t>LINA MARCELA GARCIA CRUZ</t>
  </si>
  <si>
    <t>ANGIE LORENA HERNANDEZ BOLAÑOS</t>
  </si>
  <si>
    <t>IVAN FERNEY MONTOYA BOLAÑOS</t>
  </si>
  <si>
    <t>GINA PAOLA ALZATE ARISTIZABAL</t>
  </si>
  <si>
    <t>DAVID SANTIAGO GARZON MOYA</t>
  </si>
  <si>
    <t>IAN DAVID TENJICA CONTRERAS</t>
  </si>
  <si>
    <t>DANIELA OSPINA NORIEGA</t>
  </si>
  <si>
    <t>SANDRA PAOLA SUAREZ HUERTAS</t>
  </si>
  <si>
    <t>JOHAN SANTIAGO MUÑOZ VELANDIA</t>
  </si>
  <si>
    <t>ALISON TATIANA MARIN TARQUINO</t>
  </si>
  <si>
    <t>LEIDY JOHANNA ARIAS BUITRAGO</t>
  </si>
  <si>
    <t>ANGEE STEPHANIA ALDANA MURCIA</t>
  </si>
  <si>
    <t>MARGARITA MARIA VALDIVIESO BELTRAN</t>
  </si>
  <si>
    <t>LINA MARIA LADINO AREVALO</t>
  </si>
  <si>
    <t>FERNEY ANDRES CHASPUENGAL RAMIREZ</t>
  </si>
  <si>
    <t>STEPHANIA PARDO PATIÑO</t>
  </si>
  <si>
    <t>MATEO ALEJANDRO VILLAMIL ROMERO</t>
  </si>
  <si>
    <t>OSCAR ANDRES AMADO VELASCO</t>
  </si>
  <si>
    <t>DIEGO NICOLAS GARCIA ORTEGA</t>
  </si>
  <si>
    <t>LUIS EDUARDO VELASQUEZ TORRES</t>
  </si>
  <si>
    <t>NICOLAS MORA SANCHEZ</t>
  </si>
  <si>
    <t>JOHAN CAMILO DURAN BELTRAN</t>
  </si>
  <si>
    <t>JONY ENRIQUE CASTEBLANCO ROMERO</t>
  </si>
  <si>
    <t>COORDINADORA DE GESTIÓN HUMANA</t>
  </si>
  <si>
    <t>GINA PAOLA MORALES BUSTOS</t>
  </si>
  <si>
    <t>AUXILIAR DE TESORERIA</t>
  </si>
  <si>
    <t>JOSHUA JAVIER ARTURO QUINTERO CHIMBI</t>
  </si>
  <si>
    <t>MANUEL GERARDO CASTILLO NAVARRETE</t>
  </si>
  <si>
    <t>WILSON FERNANDO AVILES SABOGAL</t>
  </si>
  <si>
    <t>ANGIE MILENA CAMARGO ESPEJO</t>
  </si>
  <si>
    <t>EDISON ALEJANDRO SALAZAR HERNANDEZ</t>
  </si>
  <si>
    <t>SARAY MILENA GONZALEZ LAMUS</t>
  </si>
  <si>
    <t>VALENTINA PEÑARETE LEON</t>
  </si>
  <si>
    <t>LUISA FERNANDA ROCHA JIMENEZ</t>
  </si>
  <si>
    <t>LORENA ROCIO VIRGUEZ SIERRA</t>
  </si>
  <si>
    <t>DARLYN STEPHANY PEÑARANDA BELTRAN</t>
  </si>
  <si>
    <t>COORDINADOR DE COMUNICACIONES E IMAGEN INSTITUCIONAL</t>
  </si>
  <si>
    <t>IVAN ALEJANDRO FUQUENE ROJAS</t>
  </si>
  <si>
    <t>EDUAR JAMIR RUBIANO BARRETO</t>
  </si>
  <si>
    <t>IVAN ANDRES BARRERO FIGUEROA</t>
  </si>
  <si>
    <t>VALERIA GUERRERO GONZALEZ</t>
  </si>
  <si>
    <t>JUAN ESTEBAN CRUZ HERNANDEZ</t>
  </si>
  <si>
    <t>JUAN DIEGO AGUIRRE TORRES</t>
  </si>
  <si>
    <t>JULIÁN FELIPE CÁRDENAS ZIPASUCA</t>
  </si>
  <si>
    <t>ELIANA CAMILA GUERRERO LATORRE</t>
  </si>
  <si>
    <t>ALCIBIADES ALIRIO CESPEDES GIL</t>
  </si>
  <si>
    <t>YEISON IVAN ROZO JIMENEZ</t>
  </si>
  <si>
    <t>MICHAEL STIVENS ALFONSO JIMÉNEZ</t>
  </si>
  <si>
    <t>ABRAHAM ORTIZ MIRANDA</t>
  </si>
  <si>
    <t>LINA PATRICIA DIAZ RODRIGUEZ</t>
  </si>
  <si>
    <t>ANDRES DAVID CHILATRA OTAVO</t>
  </si>
  <si>
    <t>JUAN RICARDO ANDRES CABRERA AGUAZACO</t>
  </si>
  <si>
    <t>VIVIANA ANDREA GIRAL ALARCON</t>
  </si>
  <si>
    <t>COORDINADORA DE EGRESADOS</t>
  </si>
  <si>
    <t>JOHANNA PAOLA GUTIERREZ BELLO</t>
  </si>
  <si>
    <t>LIDER DE SERVICIO AL ESTUDIANTE</t>
  </si>
  <si>
    <t>JULIANA PANQUEBA GOMEZ</t>
  </si>
  <si>
    <t>ADRIANA HERNANDEZ BEJARANO</t>
  </si>
  <si>
    <t>OSCAR LEONARDO BELTRAN OLAYA</t>
  </si>
  <si>
    <t>JHONATAN CRISTHIAN BARRETO PUENTES</t>
  </si>
  <si>
    <t>MISAEL ANDRES PATIÑO VARGAS</t>
  </si>
  <si>
    <t>ANGELA KATHERIN MUNAR ALONSO</t>
  </si>
  <si>
    <t>LUIS ALEJANDRO CASTAÑEDA VARON</t>
  </si>
  <si>
    <t>GINA PAOLA BAEZ GALVIS</t>
  </si>
  <si>
    <t>YENI ROCIO RODRIGUEZ MENESES</t>
  </si>
  <si>
    <t>EDIER ALEXANDER BUITRAGO HERNANDEZ</t>
  </si>
  <si>
    <t>JOHN STIVEN OSPINA VARGAS</t>
  </si>
  <si>
    <t>LAURA MILENA GOMEZ MOLINA</t>
  </si>
  <si>
    <t>ANDREA MARCELA PEÑA SEGOVIA</t>
  </si>
  <si>
    <t>MAICOL JARBEY GUALTEROS CASTAÑEDA</t>
  </si>
  <si>
    <t>JUAN FELIPE RESTREPO RUIZ</t>
  </si>
  <si>
    <t>ANDREA CATALINA GAVIRIA TORRES</t>
  </si>
  <si>
    <t>ANDRES FELIPE CAMELO MARTIN</t>
  </si>
  <si>
    <t>JOSHUA SICUA IDARRAGA</t>
  </si>
  <si>
    <t>MARIA PAULA GARZON RAMIREZ</t>
  </si>
  <si>
    <t>YEISON JESUS RUCINQUE RUBIO</t>
  </si>
  <si>
    <t>LAURA STEPHANY VARGAS CONTRERAS</t>
  </si>
  <si>
    <t>JOSE RODRIGO MORALES CESPEDES</t>
  </si>
  <si>
    <t>JUAN SEBASTIÁN NARVÁEZ GARCÍA</t>
  </si>
  <si>
    <t>DIEGO FERNANDO MEDINA PEREZ</t>
  </si>
  <si>
    <t>ERIKA YULYET PALACIOS GONZALEZ</t>
  </si>
  <si>
    <t>AMELIA DEL CARMEN TONCEL ARIZA</t>
  </si>
  <si>
    <t>DANIELA ALEXANDRA CIPAMOCHA BOSIGA</t>
  </si>
  <si>
    <t>LIDER DE DATOS Y SERVICIOS</t>
  </si>
  <si>
    <t>WILLIAM FERNANDO MARIN CHAVEZ</t>
  </si>
  <si>
    <t>JUAN PABLO DUEÑAS BAEZ</t>
  </si>
  <si>
    <t>ANA SABRINA STEFFANNY VANEGAS SOLAQUE</t>
  </si>
  <si>
    <t>LORENA ROJAS ROMERO</t>
  </si>
  <si>
    <t>LESLIE TATIANA TORRES FERNANDEZ</t>
  </si>
  <si>
    <t>CHRISTIAN ORLANDO SILVA FORERO</t>
  </si>
  <si>
    <t>ANGIE MARICELA ORTIZ VANEGAS</t>
  </si>
  <si>
    <t>SHARON MICHELL VALERO RICAURTE</t>
  </si>
  <si>
    <t>MAURICIO PEREZ ESCOBAR</t>
  </si>
  <si>
    <t>ALEXANDRA MOLINA VIDAL</t>
  </si>
  <si>
    <t>MAYRA ALEJANDRA CASTILLO ARBOLEDA</t>
  </si>
  <si>
    <t>YUSSELY CAMILA ORTIZ MONTAÑO</t>
  </si>
  <si>
    <t>PAULA ANDREA MARTINEZ PEÑARANDA</t>
  </si>
  <si>
    <t>MICHAEL STEVEN AMAYA SANCHEZ</t>
  </si>
  <si>
    <t>CAROLINA SILVA LUNA</t>
  </si>
  <si>
    <t>JUAN CARLOS TORRES LIZARAZO</t>
  </si>
  <si>
    <t>JHON HELIER MUÑOZ CHAPARRO</t>
  </si>
  <si>
    <t>VICTORIA GUTIERREZ BARRIOS</t>
  </si>
  <si>
    <t>DIANA MARCELA REYES MURILLO</t>
  </si>
  <si>
    <t>PAOLA ALEXANDRA ORJUELA OLMOS</t>
  </si>
  <si>
    <t>EDNA YULIETH BERNAL ZAPATA</t>
  </si>
  <si>
    <t>RAUL HUMBERTO MALDONADO ORTIZ</t>
  </si>
  <si>
    <t>LAURA NATHALIA VEGA LAVERDE</t>
  </si>
  <si>
    <t>LILIANA ANDREA CASTRO GAMBOA</t>
  </si>
  <si>
    <t>MARIA PAULA CORREDOR TORRES</t>
  </si>
  <si>
    <t>ANDERSON ORTIZ MORENO</t>
  </si>
  <si>
    <t>EDIMAR YATHNIELLYS DURAN VARGAS</t>
  </si>
  <si>
    <t>SERGIO LUIS VILORIA MALDONADO</t>
  </si>
  <si>
    <t>CESAR ALEXIS CAMAÑO QUIÑONES</t>
  </si>
  <si>
    <t>MARIA ANTONIA VISBAL GOMEZ</t>
  </si>
  <si>
    <t>WENDY FERNANDEZ BARRAGAN</t>
  </si>
  <si>
    <t>MARIA FERNANDA AVELLANEDA ROMERO</t>
  </si>
  <si>
    <t>SANTIAGO OSORIO CAMACHO</t>
  </si>
  <si>
    <t>ALEJANDRA ALBINO LEONEL</t>
  </si>
  <si>
    <t>ABOGADA JUNIOR - ASUNTOS JURIDICOS</t>
  </si>
  <si>
    <t>LEIDY PAOLA MENDEZ AGUILLON</t>
  </si>
  <si>
    <t>DAVID SANTIAGO TINJACA LARA</t>
  </si>
  <si>
    <t>LIZ GABRIELA IBARRA TIRADO</t>
  </si>
  <si>
    <t>COORDINADOR DE ORGANIZACION ACADEMICA Y MEDIOS EDUCATIVOS</t>
  </si>
  <si>
    <t>LAURA MARCELA VELANDIA ALBARRACIN</t>
  </si>
  <si>
    <t>NESTOR FABIO OSPINA RIVERA</t>
  </si>
  <si>
    <t>FRANKLIN HUMBERTO ARAUJO HERRERA</t>
  </si>
  <si>
    <t>LUIS ARNULFO SANCHEZ DUEÑAS</t>
  </si>
  <si>
    <t>CARLOS ARTURO PATIÑO CASTAÑO</t>
  </si>
  <si>
    <t>WILLIAM RICARDO ZAMBRANO AYALA</t>
  </si>
  <si>
    <t>JULY FERNANDA GOMEZ NIÑO</t>
  </si>
  <si>
    <t>LUZ ESNEDA MADLLIBY CACERES CHACON</t>
  </si>
  <si>
    <t>MARTHA ISABEL TOVAR WILLIAMS</t>
  </si>
  <si>
    <t>SCHEZNARDA SAYONARA DEL SOCORRO CUBILLOS GARCIA</t>
  </si>
  <si>
    <t>APOYO INTEGRAL DE BIBLIOTECA</t>
  </si>
  <si>
    <t>COORDINADORA DE ADMISIONES</t>
  </si>
  <si>
    <t>ESPECIALIZACION EN GERENCIA DE SEGURIDAD INDUSTRIAL</t>
  </si>
  <si>
    <t>MARIA IDALIA RODRIGUEZ GONZALEZ</t>
  </si>
  <si>
    <t>ADRIANA MARCELA MORALES PARDO</t>
  </si>
  <si>
    <t>GUIOMAR SEPULVEDA RODRIGUEZ</t>
  </si>
  <si>
    <t>MARTHA CECILIA CALDERON RAMOS</t>
  </si>
  <si>
    <t>GUERLY YOHANA DURAN RIVERA</t>
  </si>
  <si>
    <t>LAURA VICTORIA PARRA PERILLA</t>
  </si>
  <si>
    <t>ASTRID DEL PILAR RIPPE RINCON</t>
  </si>
  <si>
    <t>DIRECTORA DE PROGRAMAS DE CIENCIAS DE LA INFORMACIÓN Y DE DATOS</t>
  </si>
  <si>
    <t>OSCAR ANDRES ERASO ERASO</t>
  </si>
  <si>
    <t>ORLANDO BUITRAGO CRUZ</t>
  </si>
  <si>
    <t>NESTOR ALEJANDRO PINZON LOPEZ</t>
  </si>
  <si>
    <t>JAVIER DUVAN AMADO ACOSTA</t>
  </si>
  <si>
    <t>DIRECTOR DE PLANEACION Y EXTENSION</t>
  </si>
  <si>
    <t>FERNANDO MURIEL PIEDRAHITA</t>
  </si>
  <si>
    <t>HARVEY ARTURO RAMOS VELASQUEZ</t>
  </si>
  <si>
    <t>MARLON FREDY OICATA NARVAEZ</t>
  </si>
  <si>
    <t>JOHN JAIRO SUAREZ PINZON</t>
  </si>
  <si>
    <t>LUIS CARLOS GOMEZ DIAZ</t>
  </si>
  <si>
    <t>OFICINA DE AUDIOVISUALES</t>
  </si>
  <si>
    <t>JOAQUIN ANDRES VILLA RIVERA</t>
  </si>
  <si>
    <t>JAIRO FABIAN RIVERA RUBIANO</t>
  </si>
  <si>
    <t>LUIS CARLOS CASTIBLANCO YATE</t>
  </si>
  <si>
    <t>ARGENIS MARTINEZ MARTINEZ</t>
  </si>
  <si>
    <t>LIDER CALL CENTER</t>
  </si>
  <si>
    <t>DIRECTOR DE PROGRAMAS DE INGENIERIA</t>
  </si>
  <si>
    <t>ANDRES RUFINO BARRETO ALARCON</t>
  </si>
  <si>
    <t>TECNICO LABORAL AUXILIAR PRODUCCION GRAFICA</t>
  </si>
  <si>
    <t>JULIAN ANDRES GOMEZ VARGAS</t>
  </si>
  <si>
    <t>DIRECTOR DE PROGRAMAS LINEAS DE ADMINISTRACION Y SST</t>
  </si>
  <si>
    <t>ANDRES FELIPE PUENTES TORRES</t>
  </si>
  <si>
    <t>SECRETARIA ACADEMICA - ADMINISTRATIVA DE FACULTAD</t>
  </si>
  <si>
    <t>CRISTHIAN CAMILO CABUYA SOTELO</t>
  </si>
  <si>
    <t>SARA VALENTINA CHACON ZAPATA</t>
  </si>
  <si>
    <t>ANGIE NATALIA BOHORQUEZ SANCHEZ</t>
  </si>
  <si>
    <t>JHOAN NICOLAS ESCAMILLA MANJARRES</t>
  </si>
  <si>
    <t>CRISTIAN DANILO ARROYO SANABRIA</t>
  </si>
  <si>
    <t>BRANDO ESTIVEN DIAZ QUIMBAYA</t>
  </si>
  <si>
    <t>LAURA SOFIA CHAPARRO LOPEZ</t>
  </si>
  <si>
    <t>AUXILIAR JURIDICO</t>
  </si>
  <si>
    <t>JULIETH TATIANA PARDO PINTO</t>
  </si>
  <si>
    <t>YARHA CAMILA FAJARDO MOLINA</t>
  </si>
  <si>
    <t>DIRECCION DE BIENESTAR INSTITUCIONAL</t>
  </si>
  <si>
    <t>EDILSON FABIAN PLAZAS VELASQUEZ</t>
  </si>
  <si>
    <t>JISETH GABRIELA CABEZAS NAVAS</t>
  </si>
  <si>
    <t>KIMBERLY ALEJANDRA VARGAS VELASQUEZ</t>
  </si>
  <si>
    <t>JENNIFER TATIANA AVILA GRANADOS</t>
  </si>
  <si>
    <t>MELISSA GONZALEZ PEDRAZA</t>
  </si>
  <si>
    <t>MARIA DE LOS ANGELES MONTENEGRO JIMENEZ</t>
  </si>
  <si>
    <t>DERLY TATIANA ROJAS NAVARRO</t>
  </si>
  <si>
    <t>AUXILIAR DE REINTEGROS</t>
  </si>
  <si>
    <t>JOHN FREDY GARZON CAICEDO</t>
  </si>
  <si>
    <t>SECRETARIA GENERAL Y DIRECTORA JURIDICA</t>
  </si>
  <si>
    <t>DARLENE YULIANA MORENO CELEITA</t>
  </si>
  <si>
    <t>NICCOLE VALENTINA HERNANDEZ MALAVER</t>
  </si>
  <si>
    <t>JOSE JOAQUIN ARIAS TORRES</t>
  </si>
  <si>
    <t>COORDINADOR DE COMUNICACIONES</t>
  </si>
  <si>
    <t>DIRECTOR DE PROGRAMAS DE PRODUCCIÓN VISUAL Y AUDIOVISUAL</t>
  </si>
  <si>
    <t>AMANDA LISBETH RODRIGUEZ LEON</t>
  </si>
  <si>
    <t>JORGE ARMANDO CAMARGO GALVIS</t>
  </si>
  <si>
    <t>JUAN FELIPE LOPEZ MOLINA</t>
  </si>
  <si>
    <t>DAISY JULIETH GASPAR MORENO</t>
  </si>
  <si>
    <t>JUAN DAVID RIOS ALVAREZ</t>
  </si>
  <si>
    <t>TATIANA ACUÑA GALVIS</t>
  </si>
  <si>
    <t>KARLA PAOLA BELTRAN PEÑUELA</t>
  </si>
  <si>
    <t>LAURA FERNANDA HERRERA MOLANO</t>
  </si>
  <si>
    <t>DANNA SOFIA GOMEZ VEGA</t>
  </si>
  <si>
    <t>JAGC LEE GUTIERREZ ESPITIA</t>
  </si>
  <si>
    <t>FABIAN ENRIQUE BURGOS MONTES</t>
  </si>
  <si>
    <t>JUAN FRANCISCO HENAO CALDERON</t>
  </si>
  <si>
    <t>MAIRA ALEJANDRA PEREZ SANABRIA</t>
  </si>
  <si>
    <t>JUAN CARLOS ESPITIA ORTIZ</t>
  </si>
  <si>
    <t>ALEJANDRO PINZON MERCHAN</t>
  </si>
  <si>
    <t>CRISTIAN ALBERTO MELO TORRES</t>
  </si>
  <si>
    <t>COORDINADOR DE INFRAESTRUCTURA</t>
  </si>
  <si>
    <t>SUSAN JOHANA GUERRERO MUR</t>
  </si>
  <si>
    <t>ALISON YULIANA BEJARANO RUIZ</t>
  </si>
  <si>
    <t>DANIEL RESTREPO GIRALDO</t>
  </si>
  <si>
    <t>EDGAR GABRIEL SUAREZ HIGUERA</t>
  </si>
  <si>
    <t>LIDER DE COMPRAS</t>
  </si>
  <si>
    <t>LUISA MARIA MAHECHA SOTOMAYOR</t>
  </si>
  <si>
    <t>CAROLINA BEDOYA GOMEZ</t>
  </si>
  <si>
    <t>SAMUEL ALEXANDER FLOREZ</t>
  </si>
  <si>
    <t>SANDRA MARISOL BUITRAGO MUÑOZ</t>
  </si>
  <si>
    <t>CARLOS ALBERTO FERNANDEZ CAMELO</t>
  </si>
  <si>
    <t>LORENA ANDREA SOTO FIGUEROA</t>
  </si>
  <si>
    <t>LAURA ANDREA MEZA MARTINEZ</t>
  </si>
  <si>
    <t>IBET DAYANA PUIN GÓMEZ</t>
  </si>
  <si>
    <t>PROMOTORA DE REMATRICULA</t>
  </si>
  <si>
    <t>HENRY ALIRIO FLOREZ RODRIGUEZ</t>
  </si>
  <si>
    <t>LUZ MARIA RAMIREZ RODRIGUEZ</t>
  </si>
  <si>
    <t>BRAULIO ANDRES LEON TIRADO</t>
  </si>
  <si>
    <t>DIRECTOR DE PROGRAMAS DE COMUNICACION SOCIAL, PERIODISMO Y POSGRADOS</t>
  </si>
  <si>
    <t>LUIS SANTIAGO JIMENEZ ARTUNDUAGA</t>
  </si>
  <si>
    <t>ANDRES DEVANS PUELLO</t>
  </si>
  <si>
    <t>FILIBERTO ROJAS FERRO</t>
  </si>
  <si>
    <t>JEIMY CAROLINA MARTINEZ YATE</t>
  </si>
  <si>
    <t>KEVIN JOHAN MORA GARCIA</t>
  </si>
  <si>
    <t>JUAN DAVID SANCHEZ RAMOS</t>
  </si>
  <si>
    <t>MANUELA ORTIZ AVILA</t>
  </si>
  <si>
    <t>LIDER DE GESTION PQRSF</t>
  </si>
  <si>
    <t>LUIS FELIPE JAIMES BELTRAN</t>
  </si>
  <si>
    <t>SEDENIS RIVAS ASPRILLA</t>
  </si>
  <si>
    <t>NO REGISTRA</t>
  </si>
  <si>
    <t>RODRIGO RODRIGUEZ</t>
  </si>
  <si>
    <t>NORMA CLEMENCIA BERNAL ALVAREZ</t>
  </si>
  <si>
    <t>PAULA MARINA YOPASA RODRIGUEZ</t>
  </si>
  <si>
    <t>JOSE AGUSTIN BLANCO MEJIA</t>
  </si>
  <si>
    <t>ENTRENADOR DEL CENTRO DE ALTURAS</t>
  </si>
  <si>
    <t>EDISON MONSALVE CUARTAS</t>
  </si>
  <si>
    <t>HENRY QUIROGA GONZALEZ</t>
  </si>
  <si>
    <t>PROFESIONAL EN FOTOGRAFÍA Y COMUNICACIÓN VISUAL</t>
  </si>
  <si>
    <t>JUAN CARLOS BOTELLO NOPE</t>
  </si>
  <si>
    <t>DIEGO ANDRES VARON ROZO</t>
  </si>
  <si>
    <t>ANYIE VANESSA TINOCO CAMACHO</t>
  </si>
  <si>
    <t>ANGIE KATERINE SALAMANCA PEÑUELA</t>
  </si>
  <si>
    <t>ASISTENTE ADMINISTRATIVA CEA</t>
  </si>
  <si>
    <t>DIRECTORA DE PROGRAMAS DE TURISMO, GASTRONOMIA Y POSGRADOS</t>
  </si>
  <si>
    <t>LAURA JINETH ORJUELA ROJAS</t>
  </si>
  <si>
    <t>LAURA SOFIA VARGAS LESMES</t>
  </si>
  <si>
    <t>JOSE ALFREDO PARADA PUENTES</t>
  </si>
  <si>
    <t>CLAUDIA MARCELA ALARCON RAMIREZ</t>
  </si>
  <si>
    <t>WILSON CAMACHO MEDINA</t>
  </si>
  <si>
    <t>BYRON YESID PARRA DIAZ</t>
  </si>
  <si>
    <t>IH</t>
  </si>
  <si>
    <t>ILSA BARAHONA POLO</t>
  </si>
  <si>
    <t>CARLOS ANDRES LINEROS HURTADO</t>
  </si>
  <si>
    <t>EDWIN FERNANDO GONZALEZ MARTINEZ</t>
  </si>
  <si>
    <t>DANIEL MAURICIO ZAMBRANO TUNJANO</t>
  </si>
  <si>
    <t>AKON ANDRES GARZON ALVAREZ</t>
  </si>
  <si>
    <t>CINDY GIOVANA SALGAR GOMEZ</t>
  </si>
  <si>
    <t>JONATHAN GONZALEZ AYALA</t>
  </si>
  <si>
    <t>TYLER CORRADINE  VARGAS</t>
  </si>
  <si>
    <t>ANDRES FELIPE LOPEZ ROMERO</t>
  </si>
  <si>
    <t>SARA TANGARIFE MONTOYA</t>
  </si>
  <si>
    <t>MARIA FERNANDA SANTANA BUITRAGO</t>
  </si>
  <si>
    <t>NICOLAS ESPITIA CHACON</t>
  </si>
  <si>
    <t>LAURA KATHERINE GUTIERREZ PINAYO</t>
  </si>
  <si>
    <t>LIDER DE ENTORNOS VIRTUALES Y DESARROLLO</t>
  </si>
  <si>
    <t>JULIETH ALEXANDRA BUSTAMANTE RUIZ</t>
  </si>
  <si>
    <t>VERONICA ALEJANDRA RODRIGUEZ RAMOS</t>
  </si>
  <si>
    <t>LUNA JULIETH SANCHEZ ARDILA</t>
  </si>
  <si>
    <t>M022346044</t>
  </si>
  <si>
    <t>DANIEL ALEJANDRO RIVERA MARIN</t>
  </si>
  <si>
    <t>JUAN MANUEL DIAZ SOSA</t>
  </si>
  <si>
    <t>JULIETH CAROLINA CASTRO MONTAÑEZ</t>
  </si>
  <si>
    <t>JHOBANY ALBERTO VACA LARGO</t>
  </si>
  <si>
    <t>LISA MINELLY ZAMBRANO CONTRERAS</t>
  </si>
  <si>
    <t>PAOLA ANDREA CABEZAS GARCIA</t>
  </si>
  <si>
    <t>KAREN BRIGITTE DALEMAN MORENO</t>
  </si>
  <si>
    <t>HECTOR FELIPE PRIETO GOMEZ</t>
  </si>
  <si>
    <t>!¿r]</t>
  </si>
  <si>
    <t>CRISTIAN DAVID CORREA BEJARANO</t>
  </si>
  <si>
    <t>CRISTHIAN RICARDO CHITIVA LOZADA</t>
  </si>
  <si>
    <t>ALEXANDRA PRIETO CORREDOR</t>
  </si>
  <si>
    <t>ESPECIALIZACION EN GERNCIA DE SEGURIDAD Y SALUD EN EL TRABAJO</t>
  </si>
  <si>
    <t>ESPECIALIZACION EN GERENCIA DE COMUNICACION ESTRATEGICA Y DE MARCA</t>
  </si>
  <si>
    <t>EMMANUEL CAMARGO PERAZA</t>
  </si>
  <si>
    <t>DIANA PAOLA MONTAÑEZ GONZALEZ</t>
  </si>
  <si>
    <t>NELSON NICOLAS SÁNCHEZ VARGAS</t>
  </si>
  <si>
    <t>SONIA ROCIO MOLINA ZIPA</t>
  </si>
  <si>
    <t>JOHANA CECILIA ARAQUE ZULETA</t>
  </si>
  <si>
    <t>COORDINADORA JURIDICA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</si>
</sst>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indexed="22"/>
        <bgColor indexed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4" fillId="0" borderId="0" xfId="0" applyFont="1"/>
    <xf numFmtId="22" fontId="1" fillId="0" borderId="1" xfId="0" applyNumberFormat="1" applyFont="1" applyBorder="1" applyAlignment="1">
      <alignment horizontal="left" vertical="top"/>
    </xf>
    <xf numFmtId="22" fontId="1" fillId="0" borderId="1" xfId="0" applyNumberFormat="1" applyFont="1" applyBorder="1" applyAlignment="1" applyProtection="1">
      <alignment horizontal="left" vertical="top"/>
      <protection locked="0"/>
    </xf>
    <xf numFmtId="1" fontId="2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Protection="1">
      <protection locked="0"/>
    </xf>
    <xf numFmtId="1" fontId="3" fillId="2" borderId="1" xfId="0" applyNumberFormat="1" applyFont="1" applyFill="1" applyBorder="1" applyAlignment="1" applyProtection="1">
      <alignment horizontal="center" vertical="center"/>
      <protection locked="0"/>
    </xf>
    <xf numFmtId="2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left" vertical="top"/>
      <protection locked="0"/>
    </xf>
    <xf numFmtId="0" fontId="4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1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276"/>
  <sheetViews>
    <sheetView workbookViewId="0">
      <pane ySplit="1" topLeftCell="A3254" activePane="bottomLeft" state="frozen"/>
      <selection pane="bottomLeft" activeCell="A3279" sqref="A3279"/>
    </sheetView>
  </sheetViews>
  <sheetFormatPr baseColWidth="10" defaultRowHeight="15" x14ac:dyDescent="0.25"/>
  <cols>
    <col min="1" max="1" width="13" bestFit="1" customWidth="1"/>
    <col min="2" max="2" width="10.28515625" bestFit="1" customWidth="1"/>
    <col min="3" max="3" width="51.7109375" bestFit="1" customWidth="1"/>
    <col min="4" max="4" width="78.28515625" bestFit="1" customWidth="1"/>
    <col min="5" max="5" width="89.85546875" bestFit="1" customWidth="1"/>
  </cols>
  <sheetData>
    <row r="1" spans="1:5" x14ac:dyDescent="0.25">
      <c r="A1" s="12" t="s">
        <v>114</v>
      </c>
      <c r="B1" s="12" t="s">
        <v>113</v>
      </c>
      <c r="C1" s="12" t="s">
        <v>112</v>
      </c>
      <c r="D1" s="12" t="s">
        <v>111</v>
      </c>
      <c r="E1" s="12" t="s">
        <v>110</v>
      </c>
    </row>
    <row r="2" spans="1:5" x14ac:dyDescent="0.25">
      <c r="A2" s="13">
        <v>123456</v>
      </c>
      <c r="B2" s="11" t="s">
        <v>109</v>
      </c>
      <c r="C2" s="1" t="s">
        <v>1403</v>
      </c>
      <c r="D2" s="1" t="s">
        <v>1026</v>
      </c>
      <c r="E2" s="1" t="s">
        <v>1403</v>
      </c>
    </row>
    <row r="3" spans="1:5" x14ac:dyDescent="0.25">
      <c r="A3" s="13">
        <v>194607</v>
      </c>
      <c r="B3" s="11" t="s">
        <v>109</v>
      </c>
      <c r="C3" s="1" t="s">
        <v>1917</v>
      </c>
      <c r="D3" s="1" t="s">
        <v>131</v>
      </c>
      <c r="E3" s="1" t="s">
        <v>131</v>
      </c>
    </row>
    <row r="4" spans="1:5" x14ac:dyDescent="0.25">
      <c r="A4" s="13">
        <v>248294</v>
      </c>
      <c r="B4" s="11" t="s">
        <v>84</v>
      </c>
      <c r="C4" s="1" t="s">
        <v>1860</v>
      </c>
      <c r="D4" s="1" t="s">
        <v>43</v>
      </c>
      <c r="E4" s="1" t="s">
        <v>15</v>
      </c>
    </row>
    <row r="5" spans="1:5" x14ac:dyDescent="0.25">
      <c r="A5" s="13">
        <v>278576</v>
      </c>
      <c r="B5" s="11" t="s">
        <v>109</v>
      </c>
      <c r="C5" s="1" t="s">
        <v>1857</v>
      </c>
      <c r="D5" s="1" t="s">
        <v>131</v>
      </c>
      <c r="E5" s="1" t="s">
        <v>131</v>
      </c>
    </row>
    <row r="6" spans="1:5" x14ac:dyDescent="0.25">
      <c r="A6" s="13">
        <v>345449</v>
      </c>
      <c r="B6" s="11" t="s">
        <v>83</v>
      </c>
      <c r="C6" s="1" t="s">
        <v>1811</v>
      </c>
      <c r="D6" s="1" t="s">
        <v>1812</v>
      </c>
      <c r="E6" s="1" t="s">
        <v>23</v>
      </c>
    </row>
    <row r="7" spans="1:5" x14ac:dyDescent="0.25">
      <c r="A7" s="13">
        <v>396286</v>
      </c>
      <c r="B7" s="11" t="s">
        <v>84</v>
      </c>
      <c r="C7" s="1" t="s">
        <v>1765</v>
      </c>
      <c r="D7" s="1" t="s">
        <v>37</v>
      </c>
      <c r="E7" s="1" t="s">
        <v>29</v>
      </c>
    </row>
    <row r="8" spans="1:5" x14ac:dyDescent="0.25">
      <c r="A8" s="13">
        <v>396839</v>
      </c>
      <c r="B8" s="11" t="s">
        <v>116</v>
      </c>
      <c r="C8" s="1" t="s">
        <v>1755</v>
      </c>
      <c r="D8" s="1" t="s">
        <v>117</v>
      </c>
      <c r="E8" s="1" t="s">
        <v>147</v>
      </c>
    </row>
    <row r="9" spans="1:5" x14ac:dyDescent="0.25">
      <c r="A9" s="13">
        <v>438316</v>
      </c>
      <c r="B9" s="11" t="s">
        <v>116</v>
      </c>
      <c r="C9" s="1" t="s">
        <v>1641</v>
      </c>
      <c r="D9" s="1" t="s">
        <v>151</v>
      </c>
      <c r="E9" s="1" t="s">
        <v>152</v>
      </c>
    </row>
    <row r="10" spans="1:5" x14ac:dyDescent="0.25">
      <c r="A10" s="13">
        <v>479646</v>
      </c>
      <c r="B10" s="11" t="s">
        <v>84</v>
      </c>
      <c r="C10" s="1" t="s">
        <v>1629</v>
      </c>
      <c r="D10" s="1" t="s">
        <v>38</v>
      </c>
      <c r="E10" s="1" t="s">
        <v>14</v>
      </c>
    </row>
    <row r="11" spans="1:5" x14ac:dyDescent="0.25">
      <c r="A11" s="13">
        <v>523483</v>
      </c>
      <c r="B11" s="11" t="s">
        <v>83</v>
      </c>
      <c r="C11" s="1" t="s">
        <v>1368</v>
      </c>
      <c r="D11" s="1" t="s">
        <v>1369</v>
      </c>
      <c r="E11" s="1" t="s">
        <v>16</v>
      </c>
    </row>
    <row r="12" spans="1:5" x14ac:dyDescent="0.25">
      <c r="A12" s="13">
        <v>616821</v>
      </c>
      <c r="B12" s="11" t="s">
        <v>84</v>
      </c>
      <c r="C12" s="1" t="s">
        <v>1102</v>
      </c>
      <c r="D12" s="1" t="s">
        <v>38</v>
      </c>
      <c r="E12" s="1" t="s">
        <v>12</v>
      </c>
    </row>
    <row r="13" spans="1:5" x14ac:dyDescent="0.25">
      <c r="A13" s="13">
        <v>659372</v>
      </c>
      <c r="B13" s="11" t="s">
        <v>116</v>
      </c>
      <c r="C13" s="1" t="s">
        <v>3174</v>
      </c>
      <c r="D13" s="1" t="s">
        <v>131</v>
      </c>
      <c r="E13" s="1" t="s">
        <v>1998</v>
      </c>
    </row>
    <row r="14" spans="1:5" x14ac:dyDescent="0.25">
      <c r="A14" s="13">
        <v>805504</v>
      </c>
      <c r="B14" s="11" t="s">
        <v>83</v>
      </c>
      <c r="C14" s="1" t="s">
        <v>3541</v>
      </c>
      <c r="D14" s="1" t="s">
        <v>131</v>
      </c>
      <c r="E14" s="1" t="s">
        <v>131</v>
      </c>
    </row>
    <row r="15" spans="1:5" x14ac:dyDescent="0.25">
      <c r="A15" s="13">
        <v>865112</v>
      </c>
      <c r="B15" s="11" t="s">
        <v>84</v>
      </c>
      <c r="C15" s="1" t="s">
        <v>3184</v>
      </c>
      <c r="D15" s="1" t="s">
        <v>38</v>
      </c>
      <c r="E15" s="1" t="s">
        <v>14</v>
      </c>
    </row>
    <row r="16" spans="1:5" x14ac:dyDescent="0.25">
      <c r="A16" s="13">
        <v>1240578</v>
      </c>
      <c r="B16" s="11" t="s">
        <v>83</v>
      </c>
      <c r="C16" s="1" t="s">
        <v>2185</v>
      </c>
      <c r="D16" s="1" t="s">
        <v>44</v>
      </c>
      <c r="E16" s="1" t="s">
        <v>16</v>
      </c>
    </row>
    <row r="17" spans="1:5" x14ac:dyDescent="0.25">
      <c r="A17" s="13">
        <v>1267451</v>
      </c>
      <c r="B17" s="11" t="s">
        <v>84</v>
      </c>
      <c r="C17" s="1" t="s">
        <v>3185</v>
      </c>
      <c r="D17" s="1" t="s">
        <v>3186</v>
      </c>
      <c r="E17" s="1" t="s">
        <v>1</v>
      </c>
    </row>
    <row r="18" spans="1:5" x14ac:dyDescent="0.25">
      <c r="A18" s="13">
        <v>1473024</v>
      </c>
      <c r="B18" s="11" t="s">
        <v>83</v>
      </c>
      <c r="C18" s="1" t="s">
        <v>2156</v>
      </c>
      <c r="D18" s="1" t="s">
        <v>61</v>
      </c>
      <c r="E18" s="1" t="s">
        <v>23</v>
      </c>
    </row>
    <row r="19" spans="1:5" x14ac:dyDescent="0.25">
      <c r="A19" s="13">
        <v>1682050</v>
      </c>
      <c r="B19" s="11" t="s">
        <v>109</v>
      </c>
      <c r="C19" s="1" t="s">
        <v>2139</v>
      </c>
      <c r="D19" s="1" t="s">
        <v>131</v>
      </c>
      <c r="E19" s="1" t="s">
        <v>131</v>
      </c>
    </row>
    <row r="20" spans="1:5" x14ac:dyDescent="0.25">
      <c r="A20" s="13">
        <v>2901371</v>
      </c>
      <c r="B20" s="11" t="s">
        <v>84</v>
      </c>
      <c r="C20" s="1" t="s">
        <v>1848</v>
      </c>
      <c r="D20" s="1" t="s">
        <v>38</v>
      </c>
      <c r="E20" s="1" t="s">
        <v>263</v>
      </c>
    </row>
    <row r="21" spans="1:5" x14ac:dyDescent="0.25">
      <c r="A21" s="13">
        <v>2955909</v>
      </c>
      <c r="B21" s="11" t="s">
        <v>83</v>
      </c>
      <c r="C21" s="1" t="s">
        <v>1846</v>
      </c>
      <c r="D21" s="1" t="s">
        <v>350</v>
      </c>
      <c r="E21" s="1" t="s">
        <v>21</v>
      </c>
    </row>
    <row r="22" spans="1:5" x14ac:dyDescent="0.25">
      <c r="A22" s="13">
        <v>2993570</v>
      </c>
      <c r="B22" s="11" t="s">
        <v>109</v>
      </c>
      <c r="C22" s="1" t="s">
        <v>1845</v>
      </c>
      <c r="D22" s="1" t="s">
        <v>131</v>
      </c>
      <c r="E22" s="1" t="s">
        <v>131</v>
      </c>
    </row>
    <row r="23" spans="1:5" x14ac:dyDescent="0.25">
      <c r="A23" s="13">
        <v>3005195</v>
      </c>
      <c r="B23" s="11" t="s">
        <v>83</v>
      </c>
      <c r="C23" s="1" t="s">
        <v>1844</v>
      </c>
      <c r="D23" s="1" t="s">
        <v>57</v>
      </c>
      <c r="E23" s="1" t="s">
        <v>23</v>
      </c>
    </row>
    <row r="24" spans="1:5" x14ac:dyDescent="0.25">
      <c r="A24" s="13">
        <v>3021052</v>
      </c>
      <c r="B24" s="11" t="s">
        <v>84</v>
      </c>
      <c r="C24" s="1" t="s">
        <v>1842</v>
      </c>
      <c r="D24" s="1" t="s">
        <v>185</v>
      </c>
      <c r="E24" s="1" t="s">
        <v>10</v>
      </c>
    </row>
    <row r="25" spans="1:5" x14ac:dyDescent="0.25">
      <c r="A25" s="13">
        <v>3021065</v>
      </c>
      <c r="B25" s="11" t="s">
        <v>116</v>
      </c>
      <c r="C25" s="1" t="s">
        <v>1841</v>
      </c>
      <c r="D25" s="1" t="s">
        <v>117</v>
      </c>
      <c r="E25" s="1" t="s">
        <v>9</v>
      </c>
    </row>
    <row r="26" spans="1:5" x14ac:dyDescent="0.25">
      <c r="A26" s="13">
        <v>3100701</v>
      </c>
      <c r="B26" s="11" t="s">
        <v>116</v>
      </c>
      <c r="C26" s="1" t="s">
        <v>1833</v>
      </c>
      <c r="D26" s="1" t="s">
        <v>117</v>
      </c>
      <c r="E26" s="1" t="s">
        <v>333</v>
      </c>
    </row>
    <row r="27" spans="1:5" x14ac:dyDescent="0.25">
      <c r="A27" s="13">
        <v>3102782</v>
      </c>
      <c r="B27" s="11" t="s">
        <v>116</v>
      </c>
      <c r="C27" s="1" t="s">
        <v>1832</v>
      </c>
      <c r="D27" s="1" t="s">
        <v>117</v>
      </c>
      <c r="E27" s="1" t="s">
        <v>232</v>
      </c>
    </row>
    <row r="28" spans="1:5" x14ac:dyDescent="0.25">
      <c r="A28" s="13">
        <v>3109677</v>
      </c>
      <c r="B28" s="11" t="s">
        <v>83</v>
      </c>
      <c r="C28" s="1" t="s">
        <v>1831</v>
      </c>
      <c r="D28" s="1" t="s">
        <v>91</v>
      </c>
      <c r="E28" s="1" t="s">
        <v>24</v>
      </c>
    </row>
    <row r="29" spans="1:5" x14ac:dyDescent="0.25">
      <c r="A29" s="13">
        <v>3129127</v>
      </c>
      <c r="B29" s="11" t="s">
        <v>84</v>
      </c>
      <c r="C29" s="1" t="s">
        <v>1830</v>
      </c>
      <c r="D29" s="1" t="s">
        <v>52</v>
      </c>
      <c r="E29" s="1" t="s">
        <v>22</v>
      </c>
    </row>
    <row r="30" spans="1:5" x14ac:dyDescent="0.25">
      <c r="A30" s="13">
        <v>3207953</v>
      </c>
      <c r="B30" s="11" t="s">
        <v>116</v>
      </c>
      <c r="C30" s="1" t="s">
        <v>1829</v>
      </c>
      <c r="D30" s="1" t="s">
        <v>117</v>
      </c>
      <c r="E30" s="1" t="s">
        <v>205</v>
      </c>
    </row>
    <row r="31" spans="1:5" x14ac:dyDescent="0.25">
      <c r="A31" s="13">
        <v>3221368</v>
      </c>
      <c r="B31" s="11" t="s">
        <v>84</v>
      </c>
      <c r="C31" s="1" t="s">
        <v>1827</v>
      </c>
      <c r="D31" s="1" t="s">
        <v>38</v>
      </c>
      <c r="E31" s="1" t="s">
        <v>5</v>
      </c>
    </row>
    <row r="32" spans="1:5" x14ac:dyDescent="0.25">
      <c r="A32" s="13">
        <v>3229223</v>
      </c>
      <c r="B32" s="11" t="s">
        <v>116</v>
      </c>
      <c r="C32" s="1" t="s">
        <v>1826</v>
      </c>
      <c r="D32" s="1" t="s">
        <v>117</v>
      </c>
      <c r="E32" s="1" t="s">
        <v>134</v>
      </c>
    </row>
    <row r="33" spans="1:5" x14ac:dyDescent="0.25">
      <c r="A33" s="13">
        <v>3229807</v>
      </c>
      <c r="B33" s="11" t="s">
        <v>116</v>
      </c>
      <c r="C33" s="1" t="s">
        <v>1825</v>
      </c>
      <c r="D33" s="1" t="s">
        <v>117</v>
      </c>
      <c r="E33" s="1" t="s">
        <v>9</v>
      </c>
    </row>
    <row r="34" spans="1:5" x14ac:dyDescent="0.25">
      <c r="A34" s="13">
        <v>3233921</v>
      </c>
      <c r="B34" s="11" t="s">
        <v>116</v>
      </c>
      <c r="C34" s="1" t="s">
        <v>1824</v>
      </c>
      <c r="D34" s="1" t="s">
        <v>117</v>
      </c>
      <c r="E34" s="1" t="s">
        <v>10</v>
      </c>
    </row>
    <row r="35" spans="1:5" x14ac:dyDescent="0.25">
      <c r="A35" s="13">
        <v>3245229</v>
      </c>
      <c r="B35" s="11" t="s">
        <v>109</v>
      </c>
      <c r="C35" s="1" t="s">
        <v>1822</v>
      </c>
      <c r="D35" s="1" t="s">
        <v>131</v>
      </c>
      <c r="E35" s="1" t="s">
        <v>131</v>
      </c>
    </row>
    <row r="36" spans="1:5" x14ac:dyDescent="0.25">
      <c r="A36" s="13">
        <v>3497167</v>
      </c>
      <c r="B36" s="11" t="s">
        <v>116</v>
      </c>
      <c r="C36" s="1" t="s">
        <v>1808</v>
      </c>
      <c r="D36" s="1" t="s">
        <v>117</v>
      </c>
      <c r="E36" s="1" t="s">
        <v>6</v>
      </c>
    </row>
    <row r="37" spans="1:5" x14ac:dyDescent="0.25">
      <c r="A37" s="13">
        <v>4041066</v>
      </c>
      <c r="B37" s="11" t="s">
        <v>116</v>
      </c>
      <c r="C37" s="1" t="s">
        <v>1732</v>
      </c>
      <c r="D37" s="1" t="s">
        <v>117</v>
      </c>
      <c r="E37" s="1" t="s">
        <v>491</v>
      </c>
    </row>
    <row r="38" spans="1:5" x14ac:dyDescent="0.25">
      <c r="A38" s="13">
        <v>4168807</v>
      </c>
      <c r="B38" s="11" t="s">
        <v>116</v>
      </c>
      <c r="C38" s="1" t="s">
        <v>1688</v>
      </c>
      <c r="D38" s="1" t="s">
        <v>117</v>
      </c>
      <c r="E38" s="1" t="s">
        <v>12</v>
      </c>
    </row>
    <row r="39" spans="1:5" x14ac:dyDescent="0.25">
      <c r="A39" s="13">
        <v>4179029</v>
      </c>
      <c r="B39" s="11" t="s">
        <v>84</v>
      </c>
      <c r="C39" s="1" t="s">
        <v>1665</v>
      </c>
      <c r="D39" s="1" t="s">
        <v>38</v>
      </c>
      <c r="E39" s="1" t="s">
        <v>170</v>
      </c>
    </row>
    <row r="40" spans="1:5" x14ac:dyDescent="0.25">
      <c r="A40" s="13">
        <v>4238901</v>
      </c>
      <c r="B40" s="11" t="s">
        <v>84</v>
      </c>
      <c r="C40" s="1" t="s">
        <v>1656</v>
      </c>
      <c r="D40" s="1" t="s">
        <v>37</v>
      </c>
      <c r="E40" s="1" t="s">
        <v>29</v>
      </c>
    </row>
    <row r="41" spans="1:5" x14ac:dyDescent="0.25">
      <c r="A41" s="13">
        <v>4277678</v>
      </c>
      <c r="B41" s="11" t="s">
        <v>116</v>
      </c>
      <c r="C41" s="1" t="s">
        <v>1655</v>
      </c>
      <c r="D41" s="1" t="s">
        <v>117</v>
      </c>
      <c r="E41" s="1" t="s">
        <v>491</v>
      </c>
    </row>
    <row r="42" spans="1:5" x14ac:dyDescent="0.25">
      <c r="A42" s="13">
        <v>4292471</v>
      </c>
      <c r="B42" s="11" t="s">
        <v>84</v>
      </c>
      <c r="C42" s="1" t="s">
        <v>1653</v>
      </c>
      <c r="D42" s="1" t="s">
        <v>38</v>
      </c>
      <c r="E42" s="1" t="s">
        <v>3</v>
      </c>
    </row>
    <row r="43" spans="1:5" x14ac:dyDescent="0.25">
      <c r="A43" s="13">
        <v>4322342</v>
      </c>
      <c r="B43" s="11" t="s">
        <v>109</v>
      </c>
      <c r="C43" s="1" t="s">
        <v>1648</v>
      </c>
      <c r="D43" s="1" t="s">
        <v>131</v>
      </c>
      <c r="E43" s="1" t="s">
        <v>131</v>
      </c>
    </row>
    <row r="44" spans="1:5" x14ac:dyDescent="0.25">
      <c r="A44" s="13">
        <v>4377227</v>
      </c>
      <c r="B44" s="11" t="s">
        <v>84</v>
      </c>
      <c r="C44" s="1" t="s">
        <v>3187</v>
      </c>
      <c r="D44" s="1" t="s">
        <v>38</v>
      </c>
      <c r="E44" s="1" t="s">
        <v>3120</v>
      </c>
    </row>
    <row r="45" spans="1:5" x14ac:dyDescent="0.25">
      <c r="A45" s="13">
        <v>4511035</v>
      </c>
      <c r="B45" s="11" t="s">
        <v>109</v>
      </c>
      <c r="C45" s="1" t="s">
        <v>1640</v>
      </c>
      <c r="D45" s="1" t="s">
        <v>131</v>
      </c>
      <c r="E45" s="1" t="s">
        <v>131</v>
      </c>
    </row>
    <row r="46" spans="1:5" x14ac:dyDescent="0.25">
      <c r="A46" s="13">
        <v>4556650</v>
      </c>
      <c r="B46" s="11" t="s">
        <v>84</v>
      </c>
      <c r="C46" s="1" t="s">
        <v>1636</v>
      </c>
      <c r="D46" s="1" t="s">
        <v>43</v>
      </c>
      <c r="E46" s="1" t="s">
        <v>417</v>
      </c>
    </row>
    <row r="47" spans="1:5" x14ac:dyDescent="0.25">
      <c r="A47" s="13">
        <v>4831698</v>
      </c>
      <c r="B47" s="11" t="s">
        <v>116</v>
      </c>
      <c r="C47" s="1" t="s">
        <v>1628</v>
      </c>
      <c r="D47" s="1" t="s">
        <v>117</v>
      </c>
      <c r="E47" s="1" t="s">
        <v>127</v>
      </c>
    </row>
    <row r="48" spans="1:5" x14ac:dyDescent="0.25">
      <c r="A48" s="13">
        <v>4867186</v>
      </c>
      <c r="B48" s="11" t="s">
        <v>83</v>
      </c>
      <c r="C48" s="1" t="s">
        <v>1627</v>
      </c>
      <c r="D48" s="1" t="s">
        <v>44</v>
      </c>
      <c r="E48" s="1" t="s">
        <v>16</v>
      </c>
    </row>
    <row r="49" spans="1:5" x14ac:dyDescent="0.25">
      <c r="A49" s="13">
        <v>4914303</v>
      </c>
      <c r="B49" s="11" t="s">
        <v>116</v>
      </c>
      <c r="C49" s="1" t="s">
        <v>1626</v>
      </c>
      <c r="D49" s="1" t="s">
        <v>117</v>
      </c>
      <c r="E49" s="1" t="s">
        <v>10</v>
      </c>
    </row>
    <row r="50" spans="1:5" x14ac:dyDescent="0.25">
      <c r="A50" s="13">
        <v>5067151</v>
      </c>
      <c r="B50" s="11" t="s">
        <v>83</v>
      </c>
      <c r="C50" s="1" t="s">
        <v>1624</v>
      </c>
      <c r="D50" s="1" t="s">
        <v>57</v>
      </c>
      <c r="E50" s="1" t="s">
        <v>23</v>
      </c>
    </row>
    <row r="51" spans="1:5" x14ac:dyDescent="0.25">
      <c r="A51" s="13">
        <v>5177131</v>
      </c>
      <c r="B51" s="11" t="s">
        <v>109</v>
      </c>
      <c r="C51" s="1" t="s">
        <v>1565</v>
      </c>
      <c r="D51" s="1" t="s">
        <v>131</v>
      </c>
      <c r="E51" s="1" t="s">
        <v>131</v>
      </c>
    </row>
    <row r="52" spans="1:5" x14ac:dyDescent="0.25">
      <c r="A52" s="13">
        <v>5415344</v>
      </c>
      <c r="B52" s="11" t="s">
        <v>84</v>
      </c>
      <c r="C52" s="1" t="s">
        <v>1121</v>
      </c>
      <c r="D52" s="1" t="s">
        <v>38</v>
      </c>
      <c r="E52" s="1" t="s">
        <v>12</v>
      </c>
    </row>
    <row r="53" spans="1:5" x14ac:dyDescent="0.25">
      <c r="A53" s="13">
        <v>5440280</v>
      </c>
      <c r="B53" s="11" t="s">
        <v>109</v>
      </c>
      <c r="C53" s="1" t="s">
        <v>1120</v>
      </c>
      <c r="D53" s="1" t="s">
        <v>131</v>
      </c>
      <c r="E53" s="1" t="s">
        <v>131</v>
      </c>
    </row>
    <row r="54" spans="1:5" x14ac:dyDescent="0.25">
      <c r="A54" s="13">
        <v>5710868</v>
      </c>
      <c r="B54" s="11" t="s">
        <v>116</v>
      </c>
      <c r="C54" s="1" t="s">
        <v>1116</v>
      </c>
      <c r="D54" s="1" t="s">
        <v>117</v>
      </c>
      <c r="E54" s="1" t="s">
        <v>9</v>
      </c>
    </row>
    <row r="55" spans="1:5" x14ac:dyDescent="0.25">
      <c r="A55" s="13">
        <v>5820805</v>
      </c>
      <c r="B55" s="11" t="s">
        <v>84</v>
      </c>
      <c r="C55" s="1" t="s">
        <v>1114</v>
      </c>
      <c r="D55" s="1" t="s">
        <v>38</v>
      </c>
      <c r="E55" s="1" t="s">
        <v>10</v>
      </c>
    </row>
    <row r="56" spans="1:5" x14ac:dyDescent="0.25">
      <c r="A56" s="13">
        <v>5853353</v>
      </c>
      <c r="B56" s="11" t="s">
        <v>116</v>
      </c>
      <c r="C56" s="1" t="s">
        <v>1113</v>
      </c>
      <c r="D56" s="1" t="s">
        <v>117</v>
      </c>
      <c r="E56" s="1" t="s">
        <v>491</v>
      </c>
    </row>
    <row r="57" spans="1:5" x14ac:dyDescent="0.25">
      <c r="A57" s="13">
        <v>5984430</v>
      </c>
      <c r="B57" s="11" t="s">
        <v>116</v>
      </c>
      <c r="C57" s="1" t="s">
        <v>1110</v>
      </c>
      <c r="D57" s="1" t="s">
        <v>117</v>
      </c>
      <c r="E57" s="1" t="s">
        <v>127</v>
      </c>
    </row>
    <row r="58" spans="1:5" x14ac:dyDescent="0.25">
      <c r="A58" s="13">
        <v>6010713</v>
      </c>
      <c r="B58" s="11" t="s">
        <v>116</v>
      </c>
      <c r="C58" s="1" t="s">
        <v>1109</v>
      </c>
      <c r="D58" s="1" t="s">
        <v>117</v>
      </c>
      <c r="E58" s="1" t="s">
        <v>3</v>
      </c>
    </row>
    <row r="59" spans="1:5" x14ac:dyDescent="0.25">
      <c r="A59" s="13">
        <v>6759181</v>
      </c>
      <c r="B59" s="11" t="s">
        <v>116</v>
      </c>
      <c r="C59" s="1" t="s">
        <v>1075</v>
      </c>
      <c r="D59" s="1" t="s">
        <v>117</v>
      </c>
      <c r="E59" s="1" t="s">
        <v>85</v>
      </c>
    </row>
    <row r="60" spans="1:5" x14ac:dyDescent="0.25">
      <c r="A60" s="13">
        <v>6769668</v>
      </c>
      <c r="B60" s="11" t="s">
        <v>116</v>
      </c>
      <c r="C60" s="1" t="s">
        <v>1074</v>
      </c>
      <c r="D60" s="1" t="s">
        <v>117</v>
      </c>
      <c r="E60" s="1" t="s">
        <v>127</v>
      </c>
    </row>
    <row r="61" spans="1:5" x14ac:dyDescent="0.25">
      <c r="A61" s="13">
        <v>6771708</v>
      </c>
      <c r="B61" s="11" t="s">
        <v>116</v>
      </c>
      <c r="C61" s="1" t="s">
        <v>1073</v>
      </c>
      <c r="D61" s="1" t="s">
        <v>117</v>
      </c>
      <c r="E61" s="1" t="s">
        <v>3</v>
      </c>
    </row>
    <row r="62" spans="1:5" x14ac:dyDescent="0.25">
      <c r="A62" s="13">
        <v>6772439</v>
      </c>
      <c r="B62" s="11" t="s">
        <v>116</v>
      </c>
      <c r="C62" s="1" t="s">
        <v>1072</v>
      </c>
      <c r="D62" s="1" t="s">
        <v>117</v>
      </c>
      <c r="E62" s="1" t="s">
        <v>147</v>
      </c>
    </row>
    <row r="63" spans="1:5" x14ac:dyDescent="0.25">
      <c r="A63" s="13">
        <v>6794317</v>
      </c>
      <c r="B63" s="11" t="s">
        <v>83</v>
      </c>
      <c r="C63" s="1" t="s">
        <v>1071</v>
      </c>
      <c r="D63" s="1" t="s">
        <v>58</v>
      </c>
      <c r="E63" s="1" t="s">
        <v>23</v>
      </c>
    </row>
    <row r="64" spans="1:5" x14ac:dyDescent="0.25">
      <c r="A64" s="13">
        <v>6893789</v>
      </c>
      <c r="B64" s="11" t="s">
        <v>116</v>
      </c>
      <c r="C64" s="1" t="s">
        <v>1069</v>
      </c>
      <c r="D64" s="1" t="s">
        <v>117</v>
      </c>
      <c r="E64" s="1" t="s">
        <v>3</v>
      </c>
    </row>
    <row r="65" spans="1:5" x14ac:dyDescent="0.25">
      <c r="A65" s="13">
        <v>7125053</v>
      </c>
      <c r="B65" s="11" t="s">
        <v>116</v>
      </c>
      <c r="C65" s="1" t="s">
        <v>1067</v>
      </c>
      <c r="D65" s="1" t="s">
        <v>151</v>
      </c>
      <c r="E65" s="1" t="s">
        <v>152</v>
      </c>
    </row>
    <row r="66" spans="1:5" x14ac:dyDescent="0.25">
      <c r="A66" s="13">
        <v>7141795</v>
      </c>
      <c r="B66" s="11" t="s">
        <v>116</v>
      </c>
      <c r="C66" s="1" t="s">
        <v>1066</v>
      </c>
      <c r="D66" s="1" t="s">
        <v>117</v>
      </c>
      <c r="E66" s="1" t="s">
        <v>232</v>
      </c>
    </row>
    <row r="67" spans="1:5" x14ac:dyDescent="0.25">
      <c r="A67" s="13">
        <v>7164610</v>
      </c>
      <c r="B67" s="11" t="s">
        <v>116</v>
      </c>
      <c r="C67" s="1" t="s">
        <v>1065</v>
      </c>
      <c r="D67" s="1" t="s">
        <v>117</v>
      </c>
      <c r="E67" s="1" t="s">
        <v>147</v>
      </c>
    </row>
    <row r="68" spans="1:5" x14ac:dyDescent="0.25">
      <c r="A68" s="13">
        <v>7171205</v>
      </c>
      <c r="B68" s="11" t="s">
        <v>83</v>
      </c>
      <c r="C68" s="1" t="s">
        <v>1062</v>
      </c>
      <c r="D68" s="1" t="s">
        <v>363</v>
      </c>
      <c r="E68" s="1" t="s">
        <v>364</v>
      </c>
    </row>
    <row r="69" spans="1:5" x14ac:dyDescent="0.25">
      <c r="A69" s="13">
        <v>7181282</v>
      </c>
      <c r="B69" s="11" t="s">
        <v>116</v>
      </c>
      <c r="C69" s="1" t="s">
        <v>1059</v>
      </c>
      <c r="D69" s="1" t="s">
        <v>117</v>
      </c>
      <c r="E69" s="1" t="s">
        <v>11</v>
      </c>
    </row>
    <row r="70" spans="1:5" x14ac:dyDescent="0.25">
      <c r="A70" s="13">
        <v>7185291</v>
      </c>
      <c r="B70" s="11" t="s">
        <v>84</v>
      </c>
      <c r="C70" s="1" t="s">
        <v>3188</v>
      </c>
      <c r="D70" s="1" t="s">
        <v>43</v>
      </c>
      <c r="E70" s="1" t="s">
        <v>9</v>
      </c>
    </row>
    <row r="71" spans="1:5" x14ac:dyDescent="0.25">
      <c r="A71" s="13">
        <v>7187838</v>
      </c>
      <c r="B71" s="11" t="s">
        <v>84</v>
      </c>
      <c r="C71" s="1" t="s">
        <v>1058</v>
      </c>
      <c r="D71" s="1" t="s">
        <v>151</v>
      </c>
      <c r="E71" s="1" t="s">
        <v>17</v>
      </c>
    </row>
    <row r="72" spans="1:5" x14ac:dyDescent="0.25">
      <c r="A72" s="13">
        <v>7305263</v>
      </c>
      <c r="B72" s="11" t="s">
        <v>116</v>
      </c>
      <c r="C72" s="1" t="s">
        <v>1049</v>
      </c>
      <c r="D72" s="1" t="s">
        <v>117</v>
      </c>
      <c r="E72" s="1" t="s">
        <v>336</v>
      </c>
    </row>
    <row r="73" spans="1:5" x14ac:dyDescent="0.25">
      <c r="A73" s="13">
        <v>7307401</v>
      </c>
      <c r="B73" s="11" t="s">
        <v>116</v>
      </c>
      <c r="C73" s="1" t="s">
        <v>1047</v>
      </c>
      <c r="D73" s="1" t="s">
        <v>117</v>
      </c>
      <c r="E73" s="1" t="s">
        <v>205</v>
      </c>
    </row>
    <row r="74" spans="1:5" x14ac:dyDescent="0.25">
      <c r="A74" s="13">
        <v>7314231</v>
      </c>
      <c r="B74" s="11" t="s">
        <v>116</v>
      </c>
      <c r="C74" s="1" t="s">
        <v>1042</v>
      </c>
      <c r="D74" s="1" t="s">
        <v>117</v>
      </c>
      <c r="E74" s="1" t="s">
        <v>10</v>
      </c>
    </row>
    <row r="75" spans="1:5" x14ac:dyDescent="0.25">
      <c r="A75" s="13">
        <v>7369199</v>
      </c>
      <c r="B75" s="11" t="s">
        <v>116</v>
      </c>
      <c r="C75" s="1" t="s">
        <v>3189</v>
      </c>
      <c r="D75" s="1" t="s">
        <v>117</v>
      </c>
      <c r="E75" s="1" t="s">
        <v>3190</v>
      </c>
    </row>
    <row r="76" spans="1:5" x14ac:dyDescent="0.25">
      <c r="A76" s="13">
        <v>7425817</v>
      </c>
      <c r="B76" s="11" t="s">
        <v>116</v>
      </c>
      <c r="C76" s="1" t="s">
        <v>1035</v>
      </c>
      <c r="D76" s="1" t="s">
        <v>117</v>
      </c>
      <c r="E76" s="1" t="s">
        <v>127</v>
      </c>
    </row>
    <row r="77" spans="1:5" x14ac:dyDescent="0.25">
      <c r="A77" s="13">
        <v>7444005</v>
      </c>
      <c r="B77" s="11" t="s">
        <v>116</v>
      </c>
      <c r="C77" s="1" t="s">
        <v>1024</v>
      </c>
      <c r="D77" s="1" t="s">
        <v>117</v>
      </c>
      <c r="E77" s="1" t="s">
        <v>336</v>
      </c>
    </row>
    <row r="78" spans="1:5" x14ac:dyDescent="0.25">
      <c r="A78" s="13">
        <v>7470355</v>
      </c>
      <c r="B78" s="11" t="s">
        <v>116</v>
      </c>
      <c r="C78" s="1" t="s">
        <v>1023</v>
      </c>
      <c r="D78" s="1" t="s">
        <v>117</v>
      </c>
      <c r="E78" s="1" t="s">
        <v>336</v>
      </c>
    </row>
    <row r="79" spans="1:5" x14ac:dyDescent="0.25">
      <c r="A79" s="13">
        <v>7506077</v>
      </c>
      <c r="B79" s="11" t="s">
        <v>84</v>
      </c>
      <c r="C79" s="1" t="s">
        <v>1022</v>
      </c>
      <c r="D79" s="1" t="s">
        <v>203</v>
      </c>
      <c r="E79" s="1" t="s">
        <v>134</v>
      </c>
    </row>
    <row r="80" spans="1:5" x14ac:dyDescent="0.25">
      <c r="A80" s="13">
        <v>7522783</v>
      </c>
      <c r="B80" s="11" t="s">
        <v>84</v>
      </c>
      <c r="C80" s="1" t="s">
        <v>1017</v>
      </c>
      <c r="D80" s="1" t="s">
        <v>1018</v>
      </c>
      <c r="E80" s="1" t="s">
        <v>25</v>
      </c>
    </row>
    <row r="81" spans="1:5" x14ac:dyDescent="0.25">
      <c r="A81" s="13">
        <v>7532142</v>
      </c>
      <c r="B81" s="11" t="s">
        <v>83</v>
      </c>
      <c r="C81" s="1" t="s">
        <v>1016</v>
      </c>
      <c r="D81" s="1" t="s">
        <v>61</v>
      </c>
      <c r="E81" s="1" t="s">
        <v>23</v>
      </c>
    </row>
    <row r="82" spans="1:5" x14ac:dyDescent="0.25">
      <c r="A82" s="13">
        <v>7539030</v>
      </c>
      <c r="B82" s="11" t="s">
        <v>84</v>
      </c>
      <c r="C82" s="1" t="s">
        <v>3098</v>
      </c>
      <c r="D82" s="1" t="s">
        <v>38</v>
      </c>
      <c r="E82" s="1" t="s">
        <v>15</v>
      </c>
    </row>
    <row r="83" spans="1:5" x14ac:dyDescent="0.25">
      <c r="A83" s="13">
        <v>7562754</v>
      </c>
      <c r="B83" s="11" t="s">
        <v>116</v>
      </c>
      <c r="C83" s="1" t="s">
        <v>1015</v>
      </c>
      <c r="D83" s="1" t="s">
        <v>117</v>
      </c>
      <c r="E83" s="1" t="s">
        <v>3</v>
      </c>
    </row>
    <row r="84" spans="1:5" x14ac:dyDescent="0.25">
      <c r="A84" s="13">
        <v>7563945</v>
      </c>
      <c r="B84" s="11" t="s">
        <v>83</v>
      </c>
      <c r="C84" s="1" t="s">
        <v>3542</v>
      </c>
      <c r="D84" s="1" t="s">
        <v>57</v>
      </c>
      <c r="E84" s="1" t="s">
        <v>23</v>
      </c>
    </row>
    <row r="85" spans="1:5" x14ac:dyDescent="0.25">
      <c r="A85" s="13">
        <v>7632027</v>
      </c>
      <c r="B85" s="11" t="s">
        <v>116</v>
      </c>
      <c r="C85" s="1" t="s">
        <v>1010</v>
      </c>
      <c r="D85" s="1" t="s">
        <v>117</v>
      </c>
      <c r="E85" s="1" t="s">
        <v>3</v>
      </c>
    </row>
    <row r="86" spans="1:5" x14ac:dyDescent="0.25">
      <c r="A86" s="13">
        <v>7632620</v>
      </c>
      <c r="B86" s="11" t="s">
        <v>116</v>
      </c>
      <c r="C86" s="1" t="s">
        <v>3191</v>
      </c>
      <c r="D86" s="1" t="s">
        <v>117</v>
      </c>
      <c r="E86" s="1" t="s">
        <v>3192</v>
      </c>
    </row>
    <row r="87" spans="1:5" x14ac:dyDescent="0.25">
      <c r="A87" s="13">
        <v>7633964</v>
      </c>
      <c r="B87" s="11" t="s">
        <v>84</v>
      </c>
      <c r="C87" s="1" t="s">
        <v>1009</v>
      </c>
      <c r="D87" s="1" t="s">
        <v>38</v>
      </c>
      <c r="E87" s="1" t="s">
        <v>232</v>
      </c>
    </row>
    <row r="88" spans="1:5" x14ac:dyDescent="0.25">
      <c r="A88" s="13">
        <v>7643125</v>
      </c>
      <c r="B88" s="11" t="s">
        <v>83</v>
      </c>
      <c r="C88" s="1" t="s">
        <v>3077</v>
      </c>
      <c r="D88" s="1" t="s">
        <v>3193</v>
      </c>
      <c r="E88" s="1" t="s">
        <v>19</v>
      </c>
    </row>
    <row r="89" spans="1:5" x14ac:dyDescent="0.25">
      <c r="A89" s="13">
        <v>7684131</v>
      </c>
      <c r="B89" s="11" t="s">
        <v>83</v>
      </c>
      <c r="C89" s="1" t="s">
        <v>1008</v>
      </c>
      <c r="D89" s="1" t="s">
        <v>57</v>
      </c>
      <c r="E89" s="1" t="s">
        <v>23</v>
      </c>
    </row>
    <row r="90" spans="1:5" x14ac:dyDescent="0.25">
      <c r="A90" s="13">
        <v>7684429</v>
      </c>
      <c r="B90" s="11" t="s">
        <v>116</v>
      </c>
      <c r="C90" s="1" t="s">
        <v>1007</v>
      </c>
      <c r="D90" s="1" t="s">
        <v>117</v>
      </c>
      <c r="E90" s="1" t="s">
        <v>170</v>
      </c>
    </row>
    <row r="91" spans="1:5" x14ac:dyDescent="0.25">
      <c r="A91" s="13">
        <v>7689041</v>
      </c>
      <c r="B91" s="11" t="s">
        <v>109</v>
      </c>
      <c r="C91" s="1" t="s">
        <v>1006</v>
      </c>
      <c r="D91" s="1" t="s">
        <v>131</v>
      </c>
      <c r="E91" s="1" t="s">
        <v>131</v>
      </c>
    </row>
    <row r="92" spans="1:5" x14ac:dyDescent="0.25">
      <c r="A92" s="13">
        <v>7690036</v>
      </c>
      <c r="B92" s="11" t="s">
        <v>116</v>
      </c>
      <c r="C92" s="1" t="s">
        <v>1005</v>
      </c>
      <c r="D92" s="1" t="s">
        <v>117</v>
      </c>
      <c r="E92" s="1" t="s">
        <v>3</v>
      </c>
    </row>
    <row r="93" spans="1:5" x14ac:dyDescent="0.25">
      <c r="A93" s="13">
        <v>7716885</v>
      </c>
      <c r="B93" s="11" t="s">
        <v>83</v>
      </c>
      <c r="C93" s="1" t="s">
        <v>3194</v>
      </c>
      <c r="D93" s="1" t="s">
        <v>3181</v>
      </c>
      <c r="E93" s="1" t="s">
        <v>16</v>
      </c>
    </row>
    <row r="94" spans="1:5" x14ac:dyDescent="0.25">
      <c r="A94" s="13">
        <v>7724669</v>
      </c>
      <c r="B94" s="11" t="s">
        <v>116</v>
      </c>
      <c r="C94" s="1" t="s">
        <v>1003</v>
      </c>
      <c r="D94" s="1" t="s">
        <v>117</v>
      </c>
      <c r="E94" s="1" t="s">
        <v>232</v>
      </c>
    </row>
    <row r="95" spans="1:5" x14ac:dyDescent="0.25">
      <c r="A95" s="13">
        <v>7919046</v>
      </c>
      <c r="B95" s="11" t="s">
        <v>116</v>
      </c>
      <c r="C95" s="1" t="s">
        <v>971</v>
      </c>
      <c r="D95" s="1" t="s">
        <v>117</v>
      </c>
      <c r="E95" s="1" t="s">
        <v>147</v>
      </c>
    </row>
    <row r="96" spans="1:5" x14ac:dyDescent="0.25">
      <c r="A96" s="13">
        <v>8129413</v>
      </c>
      <c r="B96" s="11" t="s">
        <v>116</v>
      </c>
      <c r="C96" s="1" t="s">
        <v>243</v>
      </c>
      <c r="D96" s="1" t="s">
        <v>117</v>
      </c>
      <c r="E96" s="1" t="s">
        <v>5</v>
      </c>
    </row>
    <row r="97" spans="1:5" x14ac:dyDescent="0.25">
      <c r="A97" s="13">
        <v>8249813</v>
      </c>
      <c r="B97" s="11" t="s">
        <v>109</v>
      </c>
      <c r="C97" s="1" t="s">
        <v>238</v>
      </c>
      <c r="D97" s="1" t="s">
        <v>131</v>
      </c>
      <c r="E97" s="1" t="s">
        <v>131</v>
      </c>
    </row>
    <row r="98" spans="1:5" x14ac:dyDescent="0.25">
      <c r="A98" s="13">
        <v>8282606</v>
      </c>
      <c r="B98" s="11" t="s">
        <v>116</v>
      </c>
      <c r="C98" s="1" t="s">
        <v>236</v>
      </c>
      <c r="D98" s="1" t="s">
        <v>117</v>
      </c>
      <c r="E98" s="1" t="s">
        <v>237</v>
      </c>
    </row>
    <row r="99" spans="1:5" x14ac:dyDescent="0.25">
      <c r="A99" s="13">
        <v>8282747</v>
      </c>
      <c r="B99" s="11" t="s">
        <v>109</v>
      </c>
      <c r="C99" s="1" t="s">
        <v>235</v>
      </c>
      <c r="D99" s="1" t="s">
        <v>131</v>
      </c>
      <c r="E99" s="1" t="s">
        <v>131</v>
      </c>
    </row>
    <row r="100" spans="1:5" x14ac:dyDescent="0.25">
      <c r="A100" s="13">
        <v>8678808</v>
      </c>
      <c r="B100" s="11" t="s">
        <v>109</v>
      </c>
      <c r="C100" s="1" t="s">
        <v>218</v>
      </c>
      <c r="D100" s="1" t="s">
        <v>131</v>
      </c>
      <c r="E100" s="1" t="s">
        <v>131</v>
      </c>
    </row>
    <row r="101" spans="1:5" x14ac:dyDescent="0.25">
      <c r="A101" s="13">
        <v>8715040</v>
      </c>
      <c r="B101" s="11" t="s">
        <v>84</v>
      </c>
      <c r="C101" s="1" t="s">
        <v>215</v>
      </c>
      <c r="D101" s="1" t="s">
        <v>43</v>
      </c>
      <c r="E101" s="1" t="s">
        <v>3</v>
      </c>
    </row>
    <row r="102" spans="1:5" x14ac:dyDescent="0.25">
      <c r="A102" s="13">
        <v>8720983</v>
      </c>
      <c r="B102" s="11" t="s">
        <v>109</v>
      </c>
      <c r="C102" s="1" t="s">
        <v>214</v>
      </c>
      <c r="D102" s="1" t="s">
        <v>131</v>
      </c>
      <c r="E102" s="1" t="s">
        <v>131</v>
      </c>
    </row>
    <row r="103" spans="1:5" x14ac:dyDescent="0.25">
      <c r="A103" s="13">
        <v>8726209</v>
      </c>
      <c r="B103" s="11" t="s">
        <v>116</v>
      </c>
      <c r="C103" s="1" t="s">
        <v>212</v>
      </c>
      <c r="D103" s="1" t="s">
        <v>117</v>
      </c>
      <c r="E103" s="1" t="s">
        <v>10</v>
      </c>
    </row>
    <row r="104" spans="1:5" x14ac:dyDescent="0.25">
      <c r="A104" s="13">
        <v>9094325</v>
      </c>
      <c r="B104" s="11" t="s">
        <v>116</v>
      </c>
      <c r="C104" s="1" t="s">
        <v>200</v>
      </c>
      <c r="D104" s="1" t="s">
        <v>117</v>
      </c>
      <c r="E104" s="1" t="s">
        <v>134</v>
      </c>
    </row>
    <row r="105" spans="1:5" x14ac:dyDescent="0.25">
      <c r="A105" s="13">
        <v>9145689</v>
      </c>
      <c r="B105" s="11" t="s">
        <v>116</v>
      </c>
      <c r="C105" s="1" t="s">
        <v>3173</v>
      </c>
      <c r="D105" s="1" t="s">
        <v>117</v>
      </c>
      <c r="E105" s="1" t="s">
        <v>120</v>
      </c>
    </row>
    <row r="106" spans="1:5" x14ac:dyDescent="0.25">
      <c r="A106" s="13">
        <v>9173264</v>
      </c>
      <c r="B106" s="11" t="s">
        <v>116</v>
      </c>
      <c r="C106" s="1" t="s">
        <v>178</v>
      </c>
      <c r="D106" s="1" t="s">
        <v>117</v>
      </c>
      <c r="E106" s="1" t="s">
        <v>179</v>
      </c>
    </row>
    <row r="107" spans="1:5" x14ac:dyDescent="0.25">
      <c r="A107" s="13">
        <v>9263069</v>
      </c>
      <c r="B107" s="11" t="s">
        <v>109</v>
      </c>
      <c r="C107" s="1" t="s">
        <v>174</v>
      </c>
      <c r="D107" s="1" t="s">
        <v>131</v>
      </c>
      <c r="E107" s="1" t="s">
        <v>131</v>
      </c>
    </row>
    <row r="108" spans="1:5" x14ac:dyDescent="0.25">
      <c r="A108" s="13">
        <v>9375192</v>
      </c>
      <c r="B108" s="11" t="s">
        <v>83</v>
      </c>
      <c r="C108" s="1" t="s">
        <v>158</v>
      </c>
      <c r="D108" s="1" t="s">
        <v>131</v>
      </c>
      <c r="E108" s="1" t="s">
        <v>131</v>
      </c>
    </row>
    <row r="109" spans="1:5" x14ac:dyDescent="0.25">
      <c r="A109" s="13">
        <v>9395881</v>
      </c>
      <c r="B109" s="11" t="s">
        <v>116</v>
      </c>
      <c r="C109" s="1" t="s">
        <v>157</v>
      </c>
      <c r="D109" s="1" t="s">
        <v>117</v>
      </c>
      <c r="E109" s="1" t="s">
        <v>118</v>
      </c>
    </row>
    <row r="110" spans="1:5" x14ac:dyDescent="0.25">
      <c r="A110" s="13">
        <v>9514155</v>
      </c>
      <c r="B110" s="11" t="s">
        <v>116</v>
      </c>
      <c r="C110" s="1" t="s">
        <v>139</v>
      </c>
      <c r="D110" s="1" t="s">
        <v>117</v>
      </c>
      <c r="E110" s="1" t="s">
        <v>9</v>
      </c>
    </row>
    <row r="111" spans="1:5" x14ac:dyDescent="0.25">
      <c r="A111" s="13">
        <v>9725241</v>
      </c>
      <c r="B111" s="11" t="s">
        <v>84</v>
      </c>
      <c r="C111" s="1" t="s">
        <v>136</v>
      </c>
      <c r="D111" s="1" t="s">
        <v>137</v>
      </c>
      <c r="E111" s="1" t="s">
        <v>138</v>
      </c>
    </row>
    <row r="112" spans="1:5" x14ac:dyDescent="0.25">
      <c r="A112" s="13">
        <v>9779586</v>
      </c>
      <c r="B112" s="11" t="s">
        <v>109</v>
      </c>
      <c r="C112" s="1" t="s">
        <v>135</v>
      </c>
      <c r="D112" s="1" t="s">
        <v>131</v>
      </c>
      <c r="E112" s="1" t="s">
        <v>131</v>
      </c>
    </row>
    <row r="113" spans="1:5" x14ac:dyDescent="0.25">
      <c r="A113" s="13">
        <v>10000316</v>
      </c>
      <c r="B113" s="11" t="s">
        <v>84</v>
      </c>
      <c r="C113" s="1" t="s">
        <v>2999</v>
      </c>
      <c r="D113" s="1" t="s">
        <v>38</v>
      </c>
      <c r="E113" s="1" t="s">
        <v>7</v>
      </c>
    </row>
    <row r="114" spans="1:5" x14ac:dyDescent="0.25">
      <c r="A114" s="13">
        <v>10022854</v>
      </c>
      <c r="B114" s="11" t="s">
        <v>84</v>
      </c>
      <c r="C114" s="1" t="s">
        <v>2954</v>
      </c>
      <c r="D114" s="1" t="s">
        <v>43</v>
      </c>
      <c r="E114" s="1" t="s">
        <v>232</v>
      </c>
    </row>
    <row r="115" spans="1:5" x14ac:dyDescent="0.25">
      <c r="A115" s="13">
        <v>10166030</v>
      </c>
      <c r="B115" s="11" t="s">
        <v>83</v>
      </c>
      <c r="C115" s="1" t="s">
        <v>2773</v>
      </c>
      <c r="D115" s="1" t="s">
        <v>57</v>
      </c>
      <c r="E115" s="1" t="s">
        <v>23</v>
      </c>
    </row>
    <row r="116" spans="1:5" x14ac:dyDescent="0.25">
      <c r="A116" s="13">
        <v>10213979</v>
      </c>
      <c r="B116" s="11" t="s">
        <v>116</v>
      </c>
      <c r="C116" s="1" t="s">
        <v>2665</v>
      </c>
      <c r="D116" s="1" t="s">
        <v>117</v>
      </c>
      <c r="E116" s="1" t="s">
        <v>186</v>
      </c>
    </row>
    <row r="117" spans="1:5" x14ac:dyDescent="0.25">
      <c r="A117" s="13">
        <v>10215915</v>
      </c>
      <c r="B117" s="11" t="s">
        <v>116</v>
      </c>
      <c r="C117" s="1" t="s">
        <v>2664</v>
      </c>
      <c r="D117" s="1" t="s">
        <v>117</v>
      </c>
      <c r="E117" s="1" t="s">
        <v>127</v>
      </c>
    </row>
    <row r="118" spans="1:5" x14ac:dyDescent="0.25">
      <c r="A118" s="13">
        <v>10232357</v>
      </c>
      <c r="B118" s="11" t="s">
        <v>83</v>
      </c>
      <c r="C118" s="1" t="s">
        <v>2608</v>
      </c>
      <c r="D118" s="1" t="s">
        <v>874</v>
      </c>
      <c r="E118" s="1" t="s">
        <v>24</v>
      </c>
    </row>
    <row r="119" spans="1:5" x14ac:dyDescent="0.25">
      <c r="A119" s="13">
        <v>10236991</v>
      </c>
      <c r="B119" s="11" t="s">
        <v>109</v>
      </c>
      <c r="C119" s="1" t="s">
        <v>2606</v>
      </c>
      <c r="D119" s="1" t="s">
        <v>131</v>
      </c>
      <c r="E119" s="1" t="s">
        <v>131</v>
      </c>
    </row>
    <row r="120" spans="1:5" x14ac:dyDescent="0.25">
      <c r="A120" s="13">
        <v>10259308</v>
      </c>
      <c r="B120" s="11" t="s">
        <v>116</v>
      </c>
      <c r="C120" s="1" t="s">
        <v>2533</v>
      </c>
      <c r="D120" s="1" t="s">
        <v>117</v>
      </c>
      <c r="E120" s="1" t="s">
        <v>3</v>
      </c>
    </row>
    <row r="121" spans="1:5" x14ac:dyDescent="0.25">
      <c r="A121" s="13">
        <v>10274293</v>
      </c>
      <c r="B121" s="11" t="s">
        <v>116</v>
      </c>
      <c r="C121" s="1" t="s">
        <v>2509</v>
      </c>
      <c r="D121" s="1" t="s">
        <v>117</v>
      </c>
      <c r="E121" s="1" t="s">
        <v>8</v>
      </c>
    </row>
    <row r="122" spans="1:5" x14ac:dyDescent="0.25">
      <c r="A122" s="13">
        <v>10767248</v>
      </c>
      <c r="B122" s="11" t="s">
        <v>83</v>
      </c>
      <c r="C122" s="1" t="s">
        <v>2286</v>
      </c>
      <c r="D122" s="1" t="s">
        <v>271</v>
      </c>
      <c r="E122" s="1" t="s">
        <v>272</v>
      </c>
    </row>
    <row r="123" spans="1:5" x14ac:dyDescent="0.25">
      <c r="A123" s="13">
        <v>11188899</v>
      </c>
      <c r="B123" s="11" t="s">
        <v>84</v>
      </c>
      <c r="C123" s="1" t="s">
        <v>2248</v>
      </c>
      <c r="D123" s="1" t="s">
        <v>185</v>
      </c>
      <c r="E123" s="1" t="s">
        <v>8</v>
      </c>
    </row>
    <row r="124" spans="1:5" x14ac:dyDescent="0.25">
      <c r="A124" s="13">
        <v>11189087</v>
      </c>
      <c r="B124" s="11" t="s">
        <v>84</v>
      </c>
      <c r="C124" s="1" t="s">
        <v>3543</v>
      </c>
      <c r="D124" s="1" t="s">
        <v>38</v>
      </c>
      <c r="E124" s="1" t="s">
        <v>8</v>
      </c>
    </row>
    <row r="125" spans="1:5" x14ac:dyDescent="0.25">
      <c r="A125" s="13">
        <v>11189559</v>
      </c>
      <c r="B125" s="11" t="s">
        <v>116</v>
      </c>
      <c r="C125" s="1" t="s">
        <v>2247</v>
      </c>
      <c r="D125" s="1" t="s">
        <v>117</v>
      </c>
      <c r="E125" s="1" t="s">
        <v>422</v>
      </c>
    </row>
    <row r="126" spans="1:5" x14ac:dyDescent="0.25">
      <c r="A126" s="13">
        <v>11189740</v>
      </c>
      <c r="B126" s="11" t="s">
        <v>84</v>
      </c>
      <c r="C126" s="1" t="s">
        <v>2246</v>
      </c>
      <c r="D126" s="1" t="s">
        <v>43</v>
      </c>
      <c r="E126" s="1" t="s">
        <v>10</v>
      </c>
    </row>
    <row r="127" spans="1:5" x14ac:dyDescent="0.25">
      <c r="A127" s="13">
        <v>11204849</v>
      </c>
      <c r="B127" s="11" t="s">
        <v>84</v>
      </c>
      <c r="C127" s="1" t="s">
        <v>2245</v>
      </c>
      <c r="D127" s="1" t="s">
        <v>38</v>
      </c>
      <c r="E127" s="1" t="s">
        <v>8</v>
      </c>
    </row>
    <row r="128" spans="1:5" x14ac:dyDescent="0.25">
      <c r="A128" s="13">
        <v>11227036</v>
      </c>
      <c r="B128" s="11" t="s">
        <v>84</v>
      </c>
      <c r="C128" s="1" t="s">
        <v>2240</v>
      </c>
      <c r="D128" s="1" t="s">
        <v>38</v>
      </c>
      <c r="E128" s="1" t="s">
        <v>127</v>
      </c>
    </row>
    <row r="129" spans="1:5" x14ac:dyDescent="0.25">
      <c r="A129" s="13">
        <v>11232348</v>
      </c>
      <c r="B129" s="11" t="s">
        <v>109</v>
      </c>
      <c r="C129" s="1" t="s">
        <v>2239</v>
      </c>
      <c r="D129" s="1" t="s">
        <v>131</v>
      </c>
      <c r="E129" s="1" t="s">
        <v>131</v>
      </c>
    </row>
    <row r="130" spans="1:5" x14ac:dyDescent="0.25">
      <c r="A130" s="13">
        <v>11251284</v>
      </c>
      <c r="B130" s="11" t="s">
        <v>84</v>
      </c>
      <c r="C130" s="1" t="s">
        <v>2236</v>
      </c>
      <c r="D130" s="1" t="s">
        <v>70</v>
      </c>
      <c r="E130" s="1" t="s">
        <v>1</v>
      </c>
    </row>
    <row r="131" spans="1:5" x14ac:dyDescent="0.25">
      <c r="A131" s="13">
        <v>11252111</v>
      </c>
      <c r="B131" s="11" t="s">
        <v>109</v>
      </c>
      <c r="C131" s="1" t="s">
        <v>2235</v>
      </c>
      <c r="D131" s="1" t="s">
        <v>131</v>
      </c>
      <c r="E131" s="1" t="s">
        <v>131</v>
      </c>
    </row>
    <row r="132" spans="1:5" x14ac:dyDescent="0.25">
      <c r="A132" s="13">
        <v>11259891</v>
      </c>
      <c r="B132" s="11" t="s">
        <v>83</v>
      </c>
      <c r="C132" s="1" t="s">
        <v>2233</v>
      </c>
      <c r="D132" s="1" t="s">
        <v>2234</v>
      </c>
      <c r="E132" s="1" t="s">
        <v>242</v>
      </c>
    </row>
    <row r="133" spans="1:5" x14ac:dyDescent="0.25">
      <c r="A133" s="13">
        <v>11301339</v>
      </c>
      <c r="B133" s="11" t="s">
        <v>116</v>
      </c>
      <c r="C133" s="1" t="s">
        <v>2229</v>
      </c>
      <c r="D133" s="1" t="s">
        <v>117</v>
      </c>
      <c r="E133" s="1" t="s">
        <v>491</v>
      </c>
    </row>
    <row r="134" spans="1:5" x14ac:dyDescent="0.25">
      <c r="A134" s="13">
        <v>11306493</v>
      </c>
      <c r="B134" s="11" t="s">
        <v>116</v>
      </c>
      <c r="C134" s="1" t="s">
        <v>2227</v>
      </c>
      <c r="D134" s="1" t="s">
        <v>117</v>
      </c>
      <c r="E134" s="1" t="s">
        <v>2</v>
      </c>
    </row>
    <row r="135" spans="1:5" x14ac:dyDescent="0.25">
      <c r="A135" s="13">
        <v>11308140</v>
      </c>
      <c r="B135" s="11" t="s">
        <v>84</v>
      </c>
      <c r="C135" s="1" t="s">
        <v>3103</v>
      </c>
      <c r="D135" s="1" t="s">
        <v>38</v>
      </c>
      <c r="E135" s="1" t="s">
        <v>134</v>
      </c>
    </row>
    <row r="136" spans="1:5" x14ac:dyDescent="0.25">
      <c r="A136" s="13">
        <v>11314501</v>
      </c>
      <c r="B136" s="11" t="s">
        <v>116</v>
      </c>
      <c r="C136" s="1" t="s">
        <v>2226</v>
      </c>
      <c r="D136" s="1" t="s">
        <v>117</v>
      </c>
      <c r="E136" s="1" t="s">
        <v>10</v>
      </c>
    </row>
    <row r="137" spans="1:5" x14ac:dyDescent="0.25">
      <c r="A137" s="13">
        <v>11317707</v>
      </c>
      <c r="B137" s="11" t="s">
        <v>84</v>
      </c>
      <c r="C137" s="1" t="s">
        <v>2225</v>
      </c>
      <c r="D137" s="1" t="s">
        <v>38</v>
      </c>
      <c r="E137" s="1" t="s">
        <v>3</v>
      </c>
    </row>
    <row r="138" spans="1:5" x14ac:dyDescent="0.25">
      <c r="A138" s="13">
        <v>11318222</v>
      </c>
      <c r="B138" s="11" t="s">
        <v>84</v>
      </c>
      <c r="C138" s="1" t="s">
        <v>2224</v>
      </c>
      <c r="D138" s="1" t="s">
        <v>43</v>
      </c>
      <c r="E138" s="1" t="s">
        <v>10</v>
      </c>
    </row>
    <row r="139" spans="1:5" x14ac:dyDescent="0.25">
      <c r="A139" s="13">
        <v>11318253</v>
      </c>
      <c r="B139" s="11" t="s">
        <v>83</v>
      </c>
      <c r="C139" s="1" t="s">
        <v>3657</v>
      </c>
      <c r="D139" s="1" t="s">
        <v>79</v>
      </c>
      <c r="E139" s="1" t="s">
        <v>248</v>
      </c>
    </row>
    <row r="140" spans="1:5" x14ac:dyDescent="0.25">
      <c r="A140" s="13">
        <v>11323570</v>
      </c>
      <c r="B140" s="11" t="s">
        <v>84</v>
      </c>
      <c r="C140" s="1" t="s">
        <v>2223</v>
      </c>
      <c r="D140" s="1" t="s">
        <v>203</v>
      </c>
      <c r="E140" s="1" t="s">
        <v>210</v>
      </c>
    </row>
    <row r="141" spans="1:5" x14ac:dyDescent="0.25">
      <c r="A141" s="13">
        <v>11388623</v>
      </c>
      <c r="B141" s="11" t="s">
        <v>84</v>
      </c>
      <c r="C141" s="1" t="s">
        <v>2218</v>
      </c>
      <c r="D141" s="1" t="s">
        <v>38</v>
      </c>
      <c r="E141" s="1" t="s">
        <v>10</v>
      </c>
    </row>
    <row r="142" spans="1:5" x14ac:dyDescent="0.25">
      <c r="A142" s="13">
        <v>11425447</v>
      </c>
      <c r="B142" s="11" t="s">
        <v>84</v>
      </c>
      <c r="C142" s="1" t="s">
        <v>2217</v>
      </c>
      <c r="D142" s="1" t="s">
        <v>185</v>
      </c>
      <c r="E142" s="1" t="s">
        <v>6</v>
      </c>
    </row>
    <row r="143" spans="1:5" x14ac:dyDescent="0.25">
      <c r="A143" s="13">
        <v>11428543</v>
      </c>
      <c r="B143" s="11" t="s">
        <v>116</v>
      </c>
      <c r="C143" s="1" t="s">
        <v>2216</v>
      </c>
      <c r="D143" s="1" t="s">
        <v>117</v>
      </c>
      <c r="E143" s="1" t="s">
        <v>263</v>
      </c>
    </row>
    <row r="144" spans="1:5" x14ac:dyDescent="0.25">
      <c r="A144" s="13">
        <v>11433976</v>
      </c>
      <c r="B144" s="11" t="s">
        <v>116</v>
      </c>
      <c r="C144" s="1" t="s">
        <v>2215</v>
      </c>
      <c r="D144" s="1" t="s">
        <v>117</v>
      </c>
      <c r="E144" s="1" t="s">
        <v>333</v>
      </c>
    </row>
    <row r="145" spans="1:5" x14ac:dyDescent="0.25">
      <c r="A145" s="13">
        <v>11439432</v>
      </c>
      <c r="B145" s="11" t="s">
        <v>116</v>
      </c>
      <c r="C145" s="1" t="s">
        <v>2214</v>
      </c>
      <c r="D145" s="1" t="s">
        <v>117</v>
      </c>
      <c r="E145" s="1" t="s">
        <v>417</v>
      </c>
    </row>
    <row r="146" spans="1:5" x14ac:dyDescent="0.25">
      <c r="A146" s="13">
        <v>11441152</v>
      </c>
      <c r="B146" s="11" t="s">
        <v>83</v>
      </c>
      <c r="C146" s="1" t="s">
        <v>2212</v>
      </c>
      <c r="D146" s="1" t="s">
        <v>241</v>
      </c>
      <c r="E146" s="1" t="s">
        <v>242</v>
      </c>
    </row>
    <row r="147" spans="1:5" x14ac:dyDescent="0.25">
      <c r="A147" s="13">
        <v>11519578</v>
      </c>
      <c r="B147" s="11" t="s">
        <v>116</v>
      </c>
      <c r="C147" s="1" t="s">
        <v>2211</v>
      </c>
      <c r="D147" s="1" t="s">
        <v>117</v>
      </c>
      <c r="E147" s="1" t="s">
        <v>10</v>
      </c>
    </row>
    <row r="148" spans="1:5" x14ac:dyDescent="0.25">
      <c r="A148" s="13">
        <v>11521013</v>
      </c>
      <c r="B148" s="11" t="s">
        <v>116</v>
      </c>
      <c r="C148" s="1" t="s">
        <v>2210</v>
      </c>
      <c r="D148" s="1" t="s">
        <v>117</v>
      </c>
      <c r="E148" s="1" t="s">
        <v>12</v>
      </c>
    </row>
    <row r="149" spans="1:5" x14ac:dyDescent="0.25">
      <c r="A149" s="13">
        <v>11792973</v>
      </c>
      <c r="B149" s="11" t="s">
        <v>83</v>
      </c>
      <c r="C149" s="1" t="s">
        <v>2209</v>
      </c>
      <c r="D149" s="1" t="s">
        <v>195</v>
      </c>
      <c r="E149" s="1" t="s">
        <v>19</v>
      </c>
    </row>
    <row r="150" spans="1:5" x14ac:dyDescent="0.25">
      <c r="A150" s="13">
        <v>11796476</v>
      </c>
      <c r="B150" s="11" t="s">
        <v>116</v>
      </c>
      <c r="C150" s="1" t="s">
        <v>3195</v>
      </c>
      <c r="D150" s="1" t="s">
        <v>117</v>
      </c>
      <c r="E150" s="1" t="s">
        <v>3118</v>
      </c>
    </row>
    <row r="151" spans="1:5" x14ac:dyDescent="0.25">
      <c r="A151" s="13">
        <v>12100720</v>
      </c>
      <c r="B151" s="11" t="s">
        <v>109</v>
      </c>
      <c r="C151" s="1" t="s">
        <v>2204</v>
      </c>
      <c r="D151" s="1" t="s">
        <v>131</v>
      </c>
      <c r="E151" s="1" t="s">
        <v>131</v>
      </c>
    </row>
    <row r="152" spans="1:5" x14ac:dyDescent="0.25">
      <c r="A152" s="13">
        <v>12123560</v>
      </c>
      <c r="B152" s="11" t="s">
        <v>116</v>
      </c>
      <c r="C152" s="1" t="s">
        <v>2203</v>
      </c>
      <c r="D152" s="1" t="s">
        <v>117</v>
      </c>
      <c r="E152" s="1" t="s">
        <v>10</v>
      </c>
    </row>
    <row r="153" spans="1:5" x14ac:dyDescent="0.25">
      <c r="A153" s="13">
        <v>12134423</v>
      </c>
      <c r="B153" s="11" t="s">
        <v>116</v>
      </c>
      <c r="C153" s="1" t="s">
        <v>2202</v>
      </c>
      <c r="D153" s="1" t="s">
        <v>117</v>
      </c>
      <c r="E153" s="1" t="s">
        <v>134</v>
      </c>
    </row>
    <row r="154" spans="1:5" x14ac:dyDescent="0.25">
      <c r="A154" s="13">
        <v>12225968</v>
      </c>
      <c r="B154" s="11" t="s">
        <v>109</v>
      </c>
      <c r="C154" s="1" t="s">
        <v>2201</v>
      </c>
      <c r="D154" s="1" t="s">
        <v>131</v>
      </c>
      <c r="E154" s="1" t="s">
        <v>131</v>
      </c>
    </row>
    <row r="155" spans="1:5" x14ac:dyDescent="0.25">
      <c r="A155" s="13">
        <v>12530542</v>
      </c>
      <c r="B155" s="11" t="s">
        <v>84</v>
      </c>
      <c r="C155" s="1" t="s">
        <v>2184</v>
      </c>
      <c r="D155" s="1" t="s">
        <v>38</v>
      </c>
      <c r="E155" s="1" t="s">
        <v>134</v>
      </c>
    </row>
    <row r="156" spans="1:5" x14ac:dyDescent="0.25">
      <c r="A156" s="13">
        <v>12541070</v>
      </c>
      <c r="B156" s="11" t="s">
        <v>84</v>
      </c>
      <c r="C156" s="1" t="s">
        <v>2183</v>
      </c>
      <c r="D156" s="1" t="s">
        <v>38</v>
      </c>
      <c r="E156" s="1" t="s">
        <v>3</v>
      </c>
    </row>
    <row r="157" spans="1:5" x14ac:dyDescent="0.25">
      <c r="A157" s="13">
        <v>12594593</v>
      </c>
      <c r="B157" s="11" t="s">
        <v>109</v>
      </c>
      <c r="C157" s="1" t="s">
        <v>2182</v>
      </c>
      <c r="D157" s="1" t="s">
        <v>131</v>
      </c>
      <c r="E157" s="1" t="s">
        <v>131</v>
      </c>
    </row>
    <row r="158" spans="1:5" x14ac:dyDescent="0.25">
      <c r="A158" s="13">
        <v>12753187</v>
      </c>
      <c r="B158" s="11" t="s">
        <v>116</v>
      </c>
      <c r="C158" s="1" t="s">
        <v>2181</v>
      </c>
      <c r="D158" s="1" t="s">
        <v>117</v>
      </c>
      <c r="E158" s="1" t="s">
        <v>6</v>
      </c>
    </row>
    <row r="159" spans="1:5" x14ac:dyDescent="0.25">
      <c r="A159" s="13">
        <v>12909183</v>
      </c>
      <c r="B159" s="11" t="s">
        <v>116</v>
      </c>
      <c r="C159" s="1" t="s">
        <v>2180</v>
      </c>
      <c r="D159" s="1" t="s">
        <v>117</v>
      </c>
      <c r="E159" s="1" t="s">
        <v>127</v>
      </c>
    </row>
    <row r="160" spans="1:5" x14ac:dyDescent="0.25">
      <c r="A160" s="13">
        <v>12969372</v>
      </c>
      <c r="B160" s="11" t="s">
        <v>83</v>
      </c>
      <c r="C160" s="1" t="s">
        <v>2178</v>
      </c>
      <c r="D160" s="1" t="s">
        <v>2179</v>
      </c>
      <c r="E160" s="1" t="s">
        <v>685</v>
      </c>
    </row>
    <row r="161" spans="1:5" x14ac:dyDescent="0.25">
      <c r="A161" s="13">
        <v>12992093</v>
      </c>
      <c r="B161" s="11" t="s">
        <v>116</v>
      </c>
      <c r="C161" s="1" t="s">
        <v>2177</v>
      </c>
      <c r="D161" s="1" t="s">
        <v>117</v>
      </c>
      <c r="E161" s="1" t="s">
        <v>3</v>
      </c>
    </row>
    <row r="162" spans="1:5" x14ac:dyDescent="0.25">
      <c r="A162" s="13">
        <v>13071159</v>
      </c>
      <c r="B162" s="11" t="s">
        <v>84</v>
      </c>
      <c r="C162" s="1" t="s">
        <v>3196</v>
      </c>
      <c r="D162" s="1" t="s">
        <v>38</v>
      </c>
      <c r="E162" s="1" t="s">
        <v>8</v>
      </c>
    </row>
    <row r="163" spans="1:5" x14ac:dyDescent="0.25">
      <c r="A163" s="13">
        <v>13074246</v>
      </c>
      <c r="B163" s="11" t="s">
        <v>116</v>
      </c>
      <c r="C163" s="1" t="s">
        <v>2176</v>
      </c>
      <c r="D163" s="1" t="s">
        <v>117</v>
      </c>
      <c r="E163" s="1" t="s">
        <v>147</v>
      </c>
    </row>
    <row r="164" spans="1:5" x14ac:dyDescent="0.25">
      <c r="A164" s="13">
        <v>13244606</v>
      </c>
      <c r="B164" s="11" t="s">
        <v>84</v>
      </c>
      <c r="C164" s="1" t="s">
        <v>2175</v>
      </c>
      <c r="D164" s="1" t="s">
        <v>38</v>
      </c>
      <c r="E164" s="1" t="s">
        <v>170</v>
      </c>
    </row>
    <row r="165" spans="1:5" x14ac:dyDescent="0.25">
      <c r="A165" s="13">
        <v>13255867</v>
      </c>
      <c r="B165" s="11" t="s">
        <v>84</v>
      </c>
      <c r="C165" s="1" t="s">
        <v>2174</v>
      </c>
      <c r="D165" s="1" t="s">
        <v>38</v>
      </c>
      <c r="E165" s="1" t="s">
        <v>168</v>
      </c>
    </row>
    <row r="166" spans="1:5" x14ac:dyDescent="0.25">
      <c r="A166" s="13">
        <v>13461320</v>
      </c>
      <c r="B166" s="11" t="s">
        <v>116</v>
      </c>
      <c r="C166" s="1" t="s">
        <v>2173</v>
      </c>
      <c r="D166" s="1" t="s">
        <v>117</v>
      </c>
      <c r="E166" s="1" t="s">
        <v>186</v>
      </c>
    </row>
    <row r="167" spans="1:5" x14ac:dyDescent="0.25">
      <c r="A167" s="13">
        <v>13482243</v>
      </c>
      <c r="B167" s="11" t="s">
        <v>109</v>
      </c>
      <c r="C167" s="1" t="s">
        <v>2172</v>
      </c>
      <c r="D167" s="1" t="s">
        <v>131</v>
      </c>
      <c r="E167" s="1" t="s">
        <v>131</v>
      </c>
    </row>
    <row r="168" spans="1:5" x14ac:dyDescent="0.25">
      <c r="A168" s="13">
        <v>13484430</v>
      </c>
      <c r="B168" s="11" t="s">
        <v>83</v>
      </c>
      <c r="C168" s="1" t="s">
        <v>2171</v>
      </c>
      <c r="D168" s="1" t="s">
        <v>567</v>
      </c>
      <c r="E168" s="1" t="s">
        <v>16</v>
      </c>
    </row>
    <row r="169" spans="1:5" x14ac:dyDescent="0.25">
      <c r="A169" s="13">
        <v>13485790</v>
      </c>
      <c r="B169" s="11" t="s">
        <v>84</v>
      </c>
      <c r="C169" s="1" t="s">
        <v>3544</v>
      </c>
      <c r="D169" s="1" t="s">
        <v>38</v>
      </c>
      <c r="E169" s="1" t="s">
        <v>8</v>
      </c>
    </row>
    <row r="170" spans="1:5" x14ac:dyDescent="0.25">
      <c r="A170" s="13">
        <v>13487249</v>
      </c>
      <c r="B170" s="11" t="s">
        <v>116</v>
      </c>
      <c r="C170" s="1" t="s">
        <v>2170</v>
      </c>
      <c r="D170" s="1" t="s">
        <v>117</v>
      </c>
      <c r="E170" s="1" t="s">
        <v>127</v>
      </c>
    </row>
    <row r="171" spans="1:5" x14ac:dyDescent="0.25">
      <c r="A171" s="13">
        <v>13715626</v>
      </c>
      <c r="B171" s="11" t="s">
        <v>116</v>
      </c>
      <c r="C171" s="1" t="s">
        <v>2169</v>
      </c>
      <c r="D171" s="1" t="s">
        <v>117</v>
      </c>
      <c r="E171" s="1" t="s">
        <v>179</v>
      </c>
    </row>
    <row r="172" spans="1:5" x14ac:dyDescent="0.25">
      <c r="A172" s="13">
        <v>13762058</v>
      </c>
      <c r="B172" s="11" t="s">
        <v>116</v>
      </c>
      <c r="C172" s="1" t="s">
        <v>2168</v>
      </c>
      <c r="D172" s="1" t="s">
        <v>117</v>
      </c>
      <c r="E172" s="1" t="s">
        <v>9</v>
      </c>
    </row>
    <row r="173" spans="1:5" x14ac:dyDescent="0.25">
      <c r="A173" s="13">
        <v>13791391</v>
      </c>
      <c r="B173" s="11" t="s">
        <v>83</v>
      </c>
      <c r="C173" s="1" t="s">
        <v>2167</v>
      </c>
      <c r="D173" s="1" t="s">
        <v>57</v>
      </c>
      <c r="E173" s="1" t="s">
        <v>23</v>
      </c>
    </row>
    <row r="174" spans="1:5" x14ac:dyDescent="0.25">
      <c r="A174" s="13">
        <v>13833856</v>
      </c>
      <c r="B174" s="11" t="s">
        <v>116</v>
      </c>
      <c r="C174" s="1" t="s">
        <v>2166</v>
      </c>
      <c r="D174" s="1" t="s">
        <v>117</v>
      </c>
      <c r="E174" s="1" t="s">
        <v>134</v>
      </c>
    </row>
    <row r="175" spans="1:5" x14ac:dyDescent="0.25">
      <c r="A175" s="13">
        <v>13887871</v>
      </c>
      <c r="B175" s="11" t="s">
        <v>116</v>
      </c>
      <c r="C175" s="1" t="s">
        <v>2165</v>
      </c>
      <c r="D175" s="1" t="s">
        <v>117</v>
      </c>
      <c r="E175" s="1" t="s">
        <v>85</v>
      </c>
    </row>
    <row r="176" spans="1:5" x14ac:dyDescent="0.25">
      <c r="A176" s="13">
        <v>13923305</v>
      </c>
      <c r="B176" s="11" t="s">
        <v>116</v>
      </c>
      <c r="C176" s="1" t="s">
        <v>2164</v>
      </c>
      <c r="D176" s="1" t="s">
        <v>117</v>
      </c>
      <c r="E176" s="1" t="s">
        <v>147</v>
      </c>
    </row>
    <row r="177" spans="1:5" x14ac:dyDescent="0.25">
      <c r="A177" s="13">
        <v>13992889</v>
      </c>
      <c r="B177" s="11" t="s">
        <v>83</v>
      </c>
      <c r="C177" s="1" t="s">
        <v>3197</v>
      </c>
      <c r="D177" s="1" t="s">
        <v>3198</v>
      </c>
      <c r="E177" s="1" t="s">
        <v>19</v>
      </c>
    </row>
    <row r="178" spans="1:5" x14ac:dyDescent="0.25">
      <c r="A178" s="13">
        <v>14090102</v>
      </c>
      <c r="B178" s="11" t="s">
        <v>109</v>
      </c>
      <c r="C178" s="1" t="s">
        <v>2163</v>
      </c>
      <c r="D178" s="1" t="s">
        <v>131</v>
      </c>
      <c r="E178" s="1" t="s">
        <v>131</v>
      </c>
    </row>
    <row r="179" spans="1:5" x14ac:dyDescent="0.25">
      <c r="A179" s="13">
        <v>14135328</v>
      </c>
      <c r="B179" s="11" t="s">
        <v>84</v>
      </c>
      <c r="C179" s="1" t="s">
        <v>2161</v>
      </c>
      <c r="D179" s="1" t="s">
        <v>2162</v>
      </c>
      <c r="E179" s="1" t="s">
        <v>27</v>
      </c>
    </row>
    <row r="180" spans="1:5" x14ac:dyDescent="0.25">
      <c r="A180" s="13">
        <v>14224662</v>
      </c>
      <c r="B180" s="11" t="s">
        <v>109</v>
      </c>
      <c r="C180" s="1" t="s">
        <v>2160</v>
      </c>
      <c r="D180" s="1" t="s">
        <v>131</v>
      </c>
      <c r="E180" s="1" t="s">
        <v>131</v>
      </c>
    </row>
    <row r="181" spans="1:5" x14ac:dyDescent="0.25">
      <c r="A181" s="13">
        <v>14227979</v>
      </c>
      <c r="B181" s="11" t="s">
        <v>116</v>
      </c>
      <c r="C181" s="1" t="s">
        <v>2159</v>
      </c>
      <c r="D181" s="1" t="s">
        <v>117</v>
      </c>
      <c r="E181" s="1" t="s">
        <v>205</v>
      </c>
    </row>
    <row r="182" spans="1:5" x14ac:dyDescent="0.25">
      <c r="A182" s="13">
        <v>14234856</v>
      </c>
      <c r="B182" s="11" t="s">
        <v>84</v>
      </c>
      <c r="C182" s="1" t="s">
        <v>2158</v>
      </c>
      <c r="D182" s="1" t="s">
        <v>38</v>
      </c>
      <c r="E182" s="1" t="s">
        <v>134</v>
      </c>
    </row>
    <row r="183" spans="1:5" x14ac:dyDescent="0.25">
      <c r="A183" s="13">
        <v>14316675</v>
      </c>
      <c r="B183" s="11" t="s">
        <v>116</v>
      </c>
      <c r="C183" s="1" t="s">
        <v>2157</v>
      </c>
      <c r="D183" s="1" t="s">
        <v>117</v>
      </c>
      <c r="E183" s="1" t="s">
        <v>127</v>
      </c>
    </row>
    <row r="184" spans="1:5" x14ac:dyDescent="0.25">
      <c r="A184" s="13">
        <v>14839951</v>
      </c>
      <c r="B184" s="11" t="s">
        <v>84</v>
      </c>
      <c r="C184" s="1" t="s">
        <v>2155</v>
      </c>
      <c r="D184" s="1" t="s">
        <v>43</v>
      </c>
      <c r="E184" s="1" t="s">
        <v>6</v>
      </c>
    </row>
    <row r="185" spans="1:5" x14ac:dyDescent="0.25">
      <c r="A185" s="13">
        <v>14879783</v>
      </c>
      <c r="B185" s="11" t="s">
        <v>84</v>
      </c>
      <c r="C185" s="1" t="s">
        <v>2154</v>
      </c>
      <c r="D185" s="1" t="s">
        <v>38</v>
      </c>
      <c r="E185" s="1" t="s">
        <v>168</v>
      </c>
    </row>
    <row r="186" spans="1:5" x14ac:dyDescent="0.25">
      <c r="A186" s="13">
        <v>15372414</v>
      </c>
      <c r="B186" s="11" t="s">
        <v>116</v>
      </c>
      <c r="C186" s="1" t="s">
        <v>3117</v>
      </c>
      <c r="D186" s="1" t="s">
        <v>117</v>
      </c>
      <c r="E186" s="1" t="s">
        <v>3118</v>
      </c>
    </row>
    <row r="187" spans="1:5" x14ac:dyDescent="0.25">
      <c r="A187" s="13">
        <v>15383645</v>
      </c>
      <c r="B187" s="11" t="s">
        <v>116</v>
      </c>
      <c r="C187" s="1" t="s">
        <v>2153</v>
      </c>
      <c r="D187" s="1" t="s">
        <v>117</v>
      </c>
      <c r="E187" s="1" t="s">
        <v>179</v>
      </c>
    </row>
    <row r="188" spans="1:5" x14ac:dyDescent="0.25">
      <c r="A188" s="13">
        <v>15921417</v>
      </c>
      <c r="B188" s="11" t="s">
        <v>116</v>
      </c>
      <c r="C188" s="1" t="s">
        <v>2152</v>
      </c>
      <c r="D188" s="1" t="s">
        <v>117</v>
      </c>
      <c r="E188" s="1" t="s">
        <v>8</v>
      </c>
    </row>
    <row r="189" spans="1:5" x14ac:dyDescent="0.25">
      <c r="A189" s="13">
        <v>16073411</v>
      </c>
      <c r="B189" s="11" t="s">
        <v>116</v>
      </c>
      <c r="C189" s="1" t="s">
        <v>2151</v>
      </c>
      <c r="D189" s="1" t="s">
        <v>117</v>
      </c>
      <c r="E189" s="1" t="s">
        <v>119</v>
      </c>
    </row>
    <row r="190" spans="1:5" x14ac:dyDescent="0.25">
      <c r="A190" s="13">
        <v>16220028</v>
      </c>
      <c r="B190" s="11" t="s">
        <v>116</v>
      </c>
      <c r="C190" s="1" t="s">
        <v>2150</v>
      </c>
      <c r="D190" s="1" t="s">
        <v>117</v>
      </c>
      <c r="E190" s="1" t="s">
        <v>453</v>
      </c>
    </row>
    <row r="191" spans="1:5" x14ac:dyDescent="0.25">
      <c r="A191" s="13">
        <v>16263464</v>
      </c>
      <c r="B191" s="11" t="s">
        <v>109</v>
      </c>
      <c r="C191" s="1" t="s">
        <v>2149</v>
      </c>
      <c r="D191" s="1" t="s">
        <v>131</v>
      </c>
      <c r="E191" s="1" t="s">
        <v>131</v>
      </c>
    </row>
    <row r="192" spans="1:5" x14ac:dyDescent="0.25">
      <c r="A192" s="13">
        <v>16285592</v>
      </c>
      <c r="B192" s="11" t="s">
        <v>84</v>
      </c>
      <c r="C192" s="1" t="s">
        <v>2148</v>
      </c>
      <c r="D192" s="1" t="s">
        <v>43</v>
      </c>
      <c r="E192" s="1" t="s">
        <v>12</v>
      </c>
    </row>
    <row r="193" spans="1:5" x14ac:dyDescent="0.25">
      <c r="A193" s="13">
        <v>16368361</v>
      </c>
      <c r="B193" s="11" t="s">
        <v>116</v>
      </c>
      <c r="C193" s="1" t="s">
        <v>2147</v>
      </c>
      <c r="D193" s="1" t="s">
        <v>117</v>
      </c>
      <c r="E193" s="1" t="s">
        <v>85</v>
      </c>
    </row>
    <row r="194" spans="1:5" x14ac:dyDescent="0.25">
      <c r="A194" s="13">
        <v>16656504</v>
      </c>
      <c r="B194" s="11" t="s">
        <v>116</v>
      </c>
      <c r="C194" s="1" t="s">
        <v>2146</v>
      </c>
      <c r="D194" s="1" t="s">
        <v>117</v>
      </c>
      <c r="E194" s="1" t="s">
        <v>14</v>
      </c>
    </row>
    <row r="195" spans="1:5" x14ac:dyDescent="0.25">
      <c r="A195" s="13">
        <v>16712504</v>
      </c>
      <c r="B195" s="11" t="s">
        <v>116</v>
      </c>
      <c r="C195" s="1" t="s">
        <v>2145</v>
      </c>
      <c r="D195" s="1" t="s">
        <v>117</v>
      </c>
      <c r="E195" s="1" t="s">
        <v>127</v>
      </c>
    </row>
    <row r="196" spans="1:5" x14ac:dyDescent="0.25">
      <c r="A196" s="13">
        <v>16724858</v>
      </c>
      <c r="B196" s="11" t="s">
        <v>116</v>
      </c>
      <c r="C196" s="1" t="s">
        <v>2144</v>
      </c>
      <c r="D196" s="1" t="s">
        <v>117</v>
      </c>
      <c r="E196" s="1" t="s">
        <v>1276</v>
      </c>
    </row>
    <row r="197" spans="1:5" x14ac:dyDescent="0.25">
      <c r="A197" s="13">
        <v>16729031</v>
      </c>
      <c r="B197" s="11" t="s">
        <v>84</v>
      </c>
      <c r="C197" s="1" t="s">
        <v>2143</v>
      </c>
      <c r="D197" s="1" t="s">
        <v>38</v>
      </c>
      <c r="E197" s="1" t="s">
        <v>170</v>
      </c>
    </row>
    <row r="198" spans="1:5" x14ac:dyDescent="0.25">
      <c r="A198" s="13">
        <v>16740148</v>
      </c>
      <c r="B198" s="11" t="s">
        <v>116</v>
      </c>
      <c r="C198" s="1" t="s">
        <v>2142</v>
      </c>
      <c r="D198" s="1" t="s">
        <v>117</v>
      </c>
      <c r="E198" s="1" t="s">
        <v>8</v>
      </c>
    </row>
    <row r="199" spans="1:5" x14ac:dyDescent="0.25">
      <c r="A199" s="13">
        <v>16782628</v>
      </c>
      <c r="B199" s="11" t="s">
        <v>116</v>
      </c>
      <c r="C199" s="1" t="s">
        <v>2141</v>
      </c>
      <c r="D199" s="1" t="s">
        <v>117</v>
      </c>
      <c r="E199" s="1" t="s">
        <v>6</v>
      </c>
    </row>
    <row r="200" spans="1:5" x14ac:dyDescent="0.25">
      <c r="A200" s="13">
        <v>16791793</v>
      </c>
      <c r="B200" s="11" t="s">
        <v>116</v>
      </c>
      <c r="C200" s="1" t="s">
        <v>2140</v>
      </c>
      <c r="D200" s="1" t="s">
        <v>117</v>
      </c>
      <c r="E200" s="1" t="s">
        <v>10</v>
      </c>
    </row>
    <row r="201" spans="1:5" x14ac:dyDescent="0.25">
      <c r="A201" s="13">
        <v>17018955</v>
      </c>
      <c r="B201" s="11" t="s">
        <v>109</v>
      </c>
      <c r="C201" s="1" t="s">
        <v>2138</v>
      </c>
      <c r="D201" s="1" t="s">
        <v>131</v>
      </c>
      <c r="E201" s="1" t="s">
        <v>131</v>
      </c>
    </row>
    <row r="202" spans="1:5" x14ac:dyDescent="0.25">
      <c r="A202" s="13">
        <v>17053606</v>
      </c>
      <c r="B202" s="11" t="s">
        <v>116</v>
      </c>
      <c r="C202" s="1" t="s">
        <v>2137</v>
      </c>
      <c r="D202" s="1" t="s">
        <v>117</v>
      </c>
      <c r="E202" s="1" t="s">
        <v>6</v>
      </c>
    </row>
    <row r="203" spans="1:5" x14ac:dyDescent="0.25">
      <c r="A203" s="13">
        <v>17060875</v>
      </c>
      <c r="B203" s="11" t="s">
        <v>109</v>
      </c>
      <c r="C203" s="1" t="s">
        <v>2136</v>
      </c>
      <c r="D203" s="1" t="s">
        <v>131</v>
      </c>
      <c r="E203" s="1" t="s">
        <v>131</v>
      </c>
    </row>
    <row r="204" spans="1:5" x14ac:dyDescent="0.25">
      <c r="A204" s="13">
        <v>17066605</v>
      </c>
      <c r="B204" s="11" t="s">
        <v>109</v>
      </c>
      <c r="C204" s="1" t="s">
        <v>2135</v>
      </c>
      <c r="D204" s="1" t="s">
        <v>131</v>
      </c>
      <c r="E204" s="1" t="s">
        <v>131</v>
      </c>
    </row>
    <row r="205" spans="1:5" x14ac:dyDescent="0.25">
      <c r="A205" s="13">
        <v>17107743</v>
      </c>
      <c r="B205" s="11" t="s">
        <v>116</v>
      </c>
      <c r="C205" s="1" t="s">
        <v>2134</v>
      </c>
      <c r="D205" s="1" t="s">
        <v>117</v>
      </c>
      <c r="E205" s="1" t="s">
        <v>263</v>
      </c>
    </row>
    <row r="206" spans="1:5" x14ac:dyDescent="0.25">
      <c r="A206" s="13">
        <v>17125231</v>
      </c>
      <c r="B206" s="11" t="s">
        <v>116</v>
      </c>
      <c r="C206" s="1" t="s">
        <v>2133</v>
      </c>
      <c r="D206" s="1" t="s">
        <v>117</v>
      </c>
      <c r="E206" s="1" t="s">
        <v>6</v>
      </c>
    </row>
    <row r="207" spans="1:5" x14ac:dyDescent="0.25">
      <c r="A207" s="13">
        <v>17137446</v>
      </c>
      <c r="B207" s="11" t="s">
        <v>116</v>
      </c>
      <c r="C207" s="1" t="s">
        <v>2132</v>
      </c>
      <c r="D207" s="1" t="s">
        <v>117</v>
      </c>
      <c r="E207" s="1" t="s">
        <v>127</v>
      </c>
    </row>
    <row r="208" spans="1:5" x14ac:dyDescent="0.25">
      <c r="A208" s="13">
        <v>17141140</v>
      </c>
      <c r="B208" s="11" t="s">
        <v>84</v>
      </c>
      <c r="C208" s="1" t="s">
        <v>2131</v>
      </c>
      <c r="D208" s="1" t="s">
        <v>43</v>
      </c>
      <c r="E208" s="1" t="s">
        <v>417</v>
      </c>
    </row>
    <row r="209" spans="1:5" x14ac:dyDescent="0.25">
      <c r="A209" s="13">
        <v>17143403</v>
      </c>
      <c r="B209" s="11" t="s">
        <v>109</v>
      </c>
      <c r="C209" s="1" t="s">
        <v>2130</v>
      </c>
      <c r="D209" s="1" t="s">
        <v>131</v>
      </c>
      <c r="E209" s="1" t="s">
        <v>131</v>
      </c>
    </row>
    <row r="210" spans="1:5" x14ac:dyDescent="0.25">
      <c r="A210" s="13">
        <v>17146098</v>
      </c>
      <c r="B210" s="11" t="s">
        <v>109</v>
      </c>
      <c r="C210" s="1" t="s">
        <v>2129</v>
      </c>
      <c r="D210" s="1" t="s">
        <v>131</v>
      </c>
      <c r="E210" s="1" t="s">
        <v>131</v>
      </c>
    </row>
    <row r="211" spans="1:5" x14ac:dyDescent="0.25">
      <c r="A211" s="13">
        <v>17149598</v>
      </c>
      <c r="B211" s="11" t="s">
        <v>109</v>
      </c>
      <c r="C211" s="1" t="s">
        <v>2128</v>
      </c>
      <c r="D211" s="1" t="s">
        <v>131</v>
      </c>
      <c r="E211" s="1" t="s">
        <v>131</v>
      </c>
    </row>
    <row r="212" spans="1:5" x14ac:dyDescent="0.25">
      <c r="A212" s="13">
        <v>17149948</v>
      </c>
      <c r="B212" s="11" t="s">
        <v>109</v>
      </c>
      <c r="C212" s="1" t="s">
        <v>2127</v>
      </c>
      <c r="D212" s="1" t="s">
        <v>131</v>
      </c>
      <c r="E212" s="1" t="s">
        <v>131</v>
      </c>
    </row>
    <row r="213" spans="1:5" x14ac:dyDescent="0.25">
      <c r="A213" s="13">
        <v>17152240</v>
      </c>
      <c r="B213" s="11" t="s">
        <v>116</v>
      </c>
      <c r="C213" s="1" t="s">
        <v>2126</v>
      </c>
      <c r="D213" s="1" t="s">
        <v>117</v>
      </c>
      <c r="E213" s="1" t="s">
        <v>10</v>
      </c>
    </row>
    <row r="214" spans="1:5" x14ac:dyDescent="0.25">
      <c r="A214" s="13">
        <v>17188168</v>
      </c>
      <c r="B214" s="11" t="s">
        <v>109</v>
      </c>
      <c r="C214" s="1" t="s">
        <v>2125</v>
      </c>
      <c r="D214" s="1" t="s">
        <v>131</v>
      </c>
      <c r="E214" s="1" t="s">
        <v>131</v>
      </c>
    </row>
    <row r="215" spans="1:5" x14ac:dyDescent="0.25">
      <c r="A215" s="13">
        <v>17188967</v>
      </c>
      <c r="B215" s="11" t="s">
        <v>109</v>
      </c>
      <c r="C215" s="1" t="s">
        <v>2124</v>
      </c>
      <c r="D215" s="1" t="s">
        <v>131</v>
      </c>
      <c r="E215" s="1" t="s">
        <v>131</v>
      </c>
    </row>
    <row r="216" spans="1:5" x14ac:dyDescent="0.25">
      <c r="A216" s="13">
        <v>17190569</v>
      </c>
      <c r="B216" s="11" t="s">
        <v>109</v>
      </c>
      <c r="C216" s="1" t="s">
        <v>2123</v>
      </c>
      <c r="D216" s="1" t="s">
        <v>131</v>
      </c>
      <c r="E216" s="1" t="s">
        <v>131</v>
      </c>
    </row>
    <row r="217" spans="1:5" x14ac:dyDescent="0.25">
      <c r="A217" s="13">
        <v>17197672</v>
      </c>
      <c r="B217" s="11" t="s">
        <v>116</v>
      </c>
      <c r="C217" s="1" t="s">
        <v>2122</v>
      </c>
      <c r="D217" s="1" t="s">
        <v>117</v>
      </c>
      <c r="E217" s="1" t="s">
        <v>10</v>
      </c>
    </row>
    <row r="218" spans="1:5" x14ac:dyDescent="0.25">
      <c r="A218" s="13">
        <v>17321750</v>
      </c>
      <c r="B218" s="11" t="s">
        <v>109</v>
      </c>
      <c r="C218" s="1" t="s">
        <v>2121</v>
      </c>
      <c r="D218" s="1" t="s">
        <v>131</v>
      </c>
      <c r="E218" s="1" t="s">
        <v>131</v>
      </c>
    </row>
    <row r="219" spans="1:5" x14ac:dyDescent="0.25">
      <c r="A219" s="13">
        <v>17332322</v>
      </c>
      <c r="B219" s="11" t="s">
        <v>109</v>
      </c>
      <c r="C219" s="1" t="s">
        <v>2120</v>
      </c>
      <c r="D219" s="1" t="s">
        <v>131</v>
      </c>
      <c r="E219" s="1" t="s">
        <v>131</v>
      </c>
    </row>
    <row r="220" spans="1:5" x14ac:dyDescent="0.25">
      <c r="A220" s="13">
        <v>17341691</v>
      </c>
      <c r="B220" s="11" t="s">
        <v>109</v>
      </c>
      <c r="C220" s="1" t="s">
        <v>2119</v>
      </c>
      <c r="D220" s="1" t="s">
        <v>131</v>
      </c>
      <c r="E220" s="1" t="s">
        <v>131</v>
      </c>
    </row>
    <row r="221" spans="1:5" x14ac:dyDescent="0.25">
      <c r="A221" s="13">
        <v>17389746</v>
      </c>
      <c r="B221" s="11" t="s">
        <v>116</v>
      </c>
      <c r="C221" s="1" t="s">
        <v>2118</v>
      </c>
      <c r="D221" s="1" t="s">
        <v>117</v>
      </c>
      <c r="E221" s="1" t="s">
        <v>3</v>
      </c>
    </row>
    <row r="222" spans="1:5" x14ac:dyDescent="0.25">
      <c r="A222" s="13">
        <v>17419251</v>
      </c>
      <c r="B222" s="11" t="s">
        <v>84</v>
      </c>
      <c r="C222" s="1" t="s">
        <v>2117</v>
      </c>
      <c r="D222" s="1" t="s">
        <v>38</v>
      </c>
      <c r="E222" s="1" t="s">
        <v>12</v>
      </c>
    </row>
    <row r="223" spans="1:5" x14ac:dyDescent="0.25">
      <c r="A223" s="13">
        <v>18494835</v>
      </c>
      <c r="B223" s="11" t="s">
        <v>84</v>
      </c>
      <c r="C223" s="1" t="s">
        <v>3545</v>
      </c>
      <c r="D223" s="1" t="s">
        <v>38</v>
      </c>
      <c r="E223" s="1" t="s">
        <v>8</v>
      </c>
    </row>
    <row r="224" spans="1:5" x14ac:dyDescent="0.25">
      <c r="A224" s="13">
        <v>19052909</v>
      </c>
      <c r="B224" s="11" t="s">
        <v>116</v>
      </c>
      <c r="C224" s="1" t="s">
        <v>2116</v>
      </c>
      <c r="D224" s="1" t="s">
        <v>117</v>
      </c>
      <c r="E224" s="1" t="s">
        <v>85</v>
      </c>
    </row>
    <row r="225" spans="1:5" x14ac:dyDescent="0.25">
      <c r="A225" s="13">
        <v>19055806</v>
      </c>
      <c r="B225" s="11" t="s">
        <v>109</v>
      </c>
      <c r="C225" s="1" t="s">
        <v>2115</v>
      </c>
      <c r="D225" s="1" t="s">
        <v>131</v>
      </c>
      <c r="E225" s="1" t="s">
        <v>131</v>
      </c>
    </row>
    <row r="226" spans="1:5" x14ac:dyDescent="0.25">
      <c r="A226" s="13">
        <v>19063473</v>
      </c>
      <c r="B226" s="11" t="s">
        <v>116</v>
      </c>
      <c r="C226" s="1" t="s">
        <v>2114</v>
      </c>
      <c r="D226" s="1" t="s">
        <v>117</v>
      </c>
      <c r="E226" s="1" t="s">
        <v>127</v>
      </c>
    </row>
    <row r="227" spans="1:5" x14ac:dyDescent="0.25">
      <c r="A227" s="13">
        <v>19064743</v>
      </c>
      <c r="B227" s="11" t="s">
        <v>116</v>
      </c>
      <c r="C227" s="1" t="s">
        <v>2113</v>
      </c>
      <c r="D227" s="1" t="s">
        <v>117</v>
      </c>
      <c r="E227" s="1" t="s">
        <v>263</v>
      </c>
    </row>
    <row r="228" spans="1:5" x14ac:dyDescent="0.25">
      <c r="A228" s="13">
        <v>19064745</v>
      </c>
      <c r="B228" s="11" t="s">
        <v>109</v>
      </c>
      <c r="C228" s="1" t="s">
        <v>2112</v>
      </c>
      <c r="D228" s="1" t="s">
        <v>131</v>
      </c>
      <c r="E228" s="1" t="s">
        <v>131</v>
      </c>
    </row>
    <row r="229" spans="1:5" x14ac:dyDescent="0.25">
      <c r="A229" s="13">
        <v>19065248</v>
      </c>
      <c r="B229" s="11" t="s">
        <v>116</v>
      </c>
      <c r="C229" s="1" t="s">
        <v>2111</v>
      </c>
      <c r="D229" s="1" t="s">
        <v>117</v>
      </c>
      <c r="E229" s="1" t="s">
        <v>491</v>
      </c>
    </row>
    <row r="230" spans="1:5" x14ac:dyDescent="0.25">
      <c r="A230" s="13">
        <v>19065824</v>
      </c>
      <c r="B230" s="11" t="s">
        <v>116</v>
      </c>
      <c r="C230" s="1" t="s">
        <v>2110</v>
      </c>
      <c r="D230" s="1" t="s">
        <v>117</v>
      </c>
      <c r="E230" s="1" t="s">
        <v>453</v>
      </c>
    </row>
    <row r="231" spans="1:5" x14ac:dyDescent="0.25">
      <c r="A231" s="13">
        <v>19079842</v>
      </c>
      <c r="B231" s="11" t="s">
        <v>109</v>
      </c>
      <c r="C231" s="1" t="s">
        <v>2109</v>
      </c>
      <c r="D231" s="1" t="s">
        <v>131</v>
      </c>
      <c r="E231" s="1" t="s">
        <v>131</v>
      </c>
    </row>
    <row r="232" spans="1:5" x14ac:dyDescent="0.25">
      <c r="A232" s="13">
        <v>19092312</v>
      </c>
      <c r="B232" s="11" t="s">
        <v>116</v>
      </c>
      <c r="C232" s="1" t="s">
        <v>2108</v>
      </c>
      <c r="D232" s="1" t="s">
        <v>117</v>
      </c>
      <c r="E232" s="1" t="s">
        <v>237</v>
      </c>
    </row>
    <row r="233" spans="1:5" x14ac:dyDescent="0.25">
      <c r="A233" s="13">
        <v>19097346</v>
      </c>
      <c r="B233" s="11" t="s">
        <v>116</v>
      </c>
      <c r="C233" s="1" t="s">
        <v>2107</v>
      </c>
      <c r="D233" s="1" t="s">
        <v>117</v>
      </c>
      <c r="E233" s="1" t="s">
        <v>336</v>
      </c>
    </row>
    <row r="234" spans="1:5" x14ac:dyDescent="0.25">
      <c r="A234" s="13">
        <v>19098158</v>
      </c>
      <c r="B234" s="11" t="s">
        <v>116</v>
      </c>
      <c r="C234" s="1" t="s">
        <v>2106</v>
      </c>
      <c r="D234" s="1" t="s">
        <v>117</v>
      </c>
      <c r="E234" s="1" t="s">
        <v>127</v>
      </c>
    </row>
    <row r="235" spans="1:5" x14ac:dyDescent="0.25">
      <c r="A235" s="13">
        <v>19098902</v>
      </c>
      <c r="B235" s="11" t="s">
        <v>83</v>
      </c>
      <c r="C235" s="1" t="s">
        <v>2105</v>
      </c>
      <c r="D235" s="1" t="s">
        <v>57</v>
      </c>
      <c r="E235" s="1" t="s">
        <v>23</v>
      </c>
    </row>
    <row r="236" spans="1:5" x14ac:dyDescent="0.25">
      <c r="A236" s="13">
        <v>19099900</v>
      </c>
      <c r="B236" s="11" t="s">
        <v>116</v>
      </c>
      <c r="C236" s="1" t="s">
        <v>2104</v>
      </c>
      <c r="D236" s="1" t="s">
        <v>117</v>
      </c>
      <c r="E236" s="1" t="s">
        <v>1819</v>
      </c>
    </row>
    <row r="237" spans="1:5" x14ac:dyDescent="0.25">
      <c r="A237" s="13">
        <v>19102771</v>
      </c>
      <c r="B237" s="11" t="s">
        <v>116</v>
      </c>
      <c r="C237" s="1" t="s">
        <v>2103</v>
      </c>
      <c r="D237" s="1" t="s">
        <v>117</v>
      </c>
      <c r="E237" s="1" t="s">
        <v>170</v>
      </c>
    </row>
    <row r="238" spans="1:5" x14ac:dyDescent="0.25">
      <c r="A238" s="13">
        <v>19104904</v>
      </c>
      <c r="B238" s="11" t="s">
        <v>116</v>
      </c>
      <c r="C238" s="1" t="s">
        <v>2102</v>
      </c>
      <c r="D238" s="1" t="s">
        <v>117</v>
      </c>
      <c r="E238" s="1" t="s">
        <v>333</v>
      </c>
    </row>
    <row r="239" spans="1:5" x14ac:dyDescent="0.25">
      <c r="A239" s="13">
        <v>19112490</v>
      </c>
      <c r="B239" s="11" t="s">
        <v>116</v>
      </c>
      <c r="C239" s="1" t="s">
        <v>2101</v>
      </c>
      <c r="D239" s="1" t="s">
        <v>117</v>
      </c>
      <c r="E239" s="1" t="s">
        <v>3</v>
      </c>
    </row>
    <row r="240" spans="1:5" x14ac:dyDescent="0.25">
      <c r="A240" s="13">
        <v>19114930</v>
      </c>
      <c r="B240" s="11" t="s">
        <v>84</v>
      </c>
      <c r="C240" s="1" t="s">
        <v>2100</v>
      </c>
      <c r="D240" s="1" t="s">
        <v>38</v>
      </c>
      <c r="E240" s="1" t="s">
        <v>333</v>
      </c>
    </row>
    <row r="241" spans="1:5" x14ac:dyDescent="0.25">
      <c r="A241" s="13">
        <v>19118646</v>
      </c>
      <c r="B241" s="11" t="s">
        <v>84</v>
      </c>
      <c r="C241" s="1" t="s">
        <v>2099</v>
      </c>
      <c r="D241" s="1" t="s">
        <v>185</v>
      </c>
      <c r="E241" s="1" t="s">
        <v>127</v>
      </c>
    </row>
    <row r="242" spans="1:5" x14ac:dyDescent="0.25">
      <c r="A242" s="13">
        <v>19120683</v>
      </c>
      <c r="B242" s="11" t="s">
        <v>116</v>
      </c>
      <c r="C242" s="1" t="s">
        <v>2098</v>
      </c>
      <c r="D242" s="1" t="s">
        <v>117</v>
      </c>
      <c r="E242" s="1" t="s">
        <v>134</v>
      </c>
    </row>
    <row r="243" spans="1:5" x14ac:dyDescent="0.25">
      <c r="A243" s="13">
        <v>19121246</v>
      </c>
      <c r="B243" s="11" t="s">
        <v>84</v>
      </c>
      <c r="C243" s="1" t="s">
        <v>2097</v>
      </c>
      <c r="D243" s="1" t="s">
        <v>38</v>
      </c>
      <c r="E243" s="1" t="s">
        <v>10</v>
      </c>
    </row>
    <row r="244" spans="1:5" x14ac:dyDescent="0.25">
      <c r="A244" s="13">
        <v>19121513</v>
      </c>
      <c r="B244" s="11" t="s">
        <v>83</v>
      </c>
      <c r="C244" s="1" t="s">
        <v>2094</v>
      </c>
      <c r="D244" s="1" t="s">
        <v>2095</v>
      </c>
      <c r="E244" s="1" t="s">
        <v>2096</v>
      </c>
    </row>
    <row r="245" spans="1:5" x14ac:dyDescent="0.25">
      <c r="A245" s="13">
        <v>19122724</v>
      </c>
      <c r="B245" s="11" t="s">
        <v>116</v>
      </c>
      <c r="C245" s="1" t="s">
        <v>2093</v>
      </c>
      <c r="D245" s="1" t="s">
        <v>117</v>
      </c>
      <c r="E245" s="1" t="s">
        <v>10</v>
      </c>
    </row>
    <row r="246" spans="1:5" x14ac:dyDescent="0.25">
      <c r="A246" s="13">
        <v>19123638</v>
      </c>
      <c r="B246" s="11" t="s">
        <v>109</v>
      </c>
      <c r="C246" s="1" t="s">
        <v>2092</v>
      </c>
      <c r="D246" s="1" t="s">
        <v>131</v>
      </c>
      <c r="E246" s="1" t="s">
        <v>131</v>
      </c>
    </row>
    <row r="247" spans="1:5" x14ac:dyDescent="0.25">
      <c r="A247" s="13">
        <v>19129204</v>
      </c>
      <c r="B247" s="11" t="s">
        <v>116</v>
      </c>
      <c r="C247" s="1" t="s">
        <v>2091</v>
      </c>
      <c r="D247" s="1" t="s">
        <v>117</v>
      </c>
      <c r="E247" s="1" t="s">
        <v>2</v>
      </c>
    </row>
    <row r="248" spans="1:5" x14ac:dyDescent="0.25">
      <c r="A248" s="13">
        <v>19134053</v>
      </c>
      <c r="B248" s="11" t="s">
        <v>116</v>
      </c>
      <c r="C248" s="1" t="s">
        <v>2090</v>
      </c>
      <c r="D248" s="1" t="s">
        <v>117</v>
      </c>
      <c r="E248" s="1" t="s">
        <v>10</v>
      </c>
    </row>
    <row r="249" spans="1:5" x14ac:dyDescent="0.25">
      <c r="A249" s="13">
        <v>19134356</v>
      </c>
      <c r="B249" s="11" t="s">
        <v>116</v>
      </c>
      <c r="C249" s="1" t="s">
        <v>2089</v>
      </c>
      <c r="D249" s="1" t="s">
        <v>117</v>
      </c>
      <c r="E249" s="1" t="s">
        <v>263</v>
      </c>
    </row>
    <row r="250" spans="1:5" x14ac:dyDescent="0.25">
      <c r="A250" s="13">
        <v>19137035</v>
      </c>
      <c r="B250" s="11" t="s">
        <v>109</v>
      </c>
      <c r="C250" s="1" t="s">
        <v>2088</v>
      </c>
      <c r="D250" s="1" t="s">
        <v>131</v>
      </c>
      <c r="E250" s="1" t="s">
        <v>131</v>
      </c>
    </row>
    <row r="251" spans="1:5" x14ac:dyDescent="0.25">
      <c r="A251" s="13">
        <v>19142486</v>
      </c>
      <c r="B251" s="11" t="s">
        <v>109</v>
      </c>
      <c r="C251" s="1" t="s">
        <v>2087</v>
      </c>
      <c r="D251" s="1" t="s">
        <v>131</v>
      </c>
      <c r="E251" s="1" t="s">
        <v>131</v>
      </c>
    </row>
    <row r="252" spans="1:5" x14ac:dyDescent="0.25">
      <c r="A252" s="13">
        <v>19142587</v>
      </c>
      <c r="B252" s="11" t="s">
        <v>109</v>
      </c>
      <c r="C252" s="1" t="s">
        <v>2086</v>
      </c>
      <c r="D252" s="1" t="s">
        <v>131</v>
      </c>
      <c r="E252" s="1" t="s">
        <v>131</v>
      </c>
    </row>
    <row r="253" spans="1:5" x14ac:dyDescent="0.25">
      <c r="A253" s="13">
        <v>19143230</v>
      </c>
      <c r="B253" s="11" t="s">
        <v>109</v>
      </c>
      <c r="C253" s="1" t="s">
        <v>2085</v>
      </c>
      <c r="D253" s="1" t="s">
        <v>131</v>
      </c>
      <c r="E253" s="1" t="s">
        <v>131</v>
      </c>
    </row>
    <row r="254" spans="1:5" x14ac:dyDescent="0.25">
      <c r="A254" s="13">
        <v>19145032</v>
      </c>
      <c r="B254" s="11" t="s">
        <v>84</v>
      </c>
      <c r="C254" s="1" t="s">
        <v>2084</v>
      </c>
      <c r="D254" s="1" t="s">
        <v>38</v>
      </c>
      <c r="E254" s="1" t="s">
        <v>127</v>
      </c>
    </row>
    <row r="255" spans="1:5" x14ac:dyDescent="0.25">
      <c r="A255" s="13">
        <v>19145548</v>
      </c>
      <c r="B255" s="11" t="s">
        <v>109</v>
      </c>
      <c r="C255" s="1" t="s">
        <v>2083</v>
      </c>
      <c r="D255" s="1" t="s">
        <v>131</v>
      </c>
      <c r="E255" s="1" t="s">
        <v>131</v>
      </c>
    </row>
    <row r="256" spans="1:5" x14ac:dyDescent="0.25">
      <c r="A256" s="13">
        <v>19145852</v>
      </c>
      <c r="B256" s="11" t="s">
        <v>116</v>
      </c>
      <c r="C256" s="1" t="s">
        <v>2082</v>
      </c>
      <c r="D256" s="1" t="s">
        <v>117</v>
      </c>
      <c r="E256" s="1" t="s">
        <v>10</v>
      </c>
    </row>
    <row r="257" spans="1:5" x14ac:dyDescent="0.25">
      <c r="A257" s="13">
        <v>19149798</v>
      </c>
      <c r="B257" s="11" t="s">
        <v>116</v>
      </c>
      <c r="C257" s="1" t="s">
        <v>2081</v>
      </c>
      <c r="D257" s="1" t="s">
        <v>117</v>
      </c>
      <c r="E257" s="1" t="s">
        <v>263</v>
      </c>
    </row>
    <row r="258" spans="1:5" x14ac:dyDescent="0.25">
      <c r="A258" s="13">
        <v>19150935</v>
      </c>
      <c r="B258" s="11" t="s">
        <v>84</v>
      </c>
      <c r="C258" s="1" t="s">
        <v>2080</v>
      </c>
      <c r="D258" s="1" t="s">
        <v>38</v>
      </c>
      <c r="E258" s="1" t="s">
        <v>6</v>
      </c>
    </row>
    <row r="259" spans="1:5" x14ac:dyDescent="0.25">
      <c r="A259" s="13">
        <v>19151299</v>
      </c>
      <c r="B259" s="11" t="s">
        <v>116</v>
      </c>
      <c r="C259" s="1" t="s">
        <v>2079</v>
      </c>
      <c r="D259" s="1" t="s">
        <v>117</v>
      </c>
      <c r="E259" s="1" t="s">
        <v>876</v>
      </c>
    </row>
    <row r="260" spans="1:5" x14ac:dyDescent="0.25">
      <c r="A260" s="13">
        <v>19154597</v>
      </c>
      <c r="B260" s="11" t="s">
        <v>109</v>
      </c>
      <c r="C260" s="1" t="s">
        <v>2078</v>
      </c>
      <c r="D260" s="1" t="s">
        <v>131</v>
      </c>
      <c r="E260" s="1" t="s">
        <v>131</v>
      </c>
    </row>
    <row r="261" spans="1:5" x14ac:dyDescent="0.25">
      <c r="A261" s="13">
        <v>19155476</v>
      </c>
      <c r="B261" s="11" t="s">
        <v>116</v>
      </c>
      <c r="C261" s="1" t="s">
        <v>2077</v>
      </c>
      <c r="D261" s="1" t="s">
        <v>117</v>
      </c>
      <c r="E261" s="1" t="s">
        <v>127</v>
      </c>
    </row>
    <row r="262" spans="1:5" x14ac:dyDescent="0.25">
      <c r="A262" s="13">
        <v>19158275</v>
      </c>
      <c r="B262" s="11" t="s">
        <v>109</v>
      </c>
      <c r="C262" s="1" t="s">
        <v>2076</v>
      </c>
      <c r="D262" s="1" t="s">
        <v>131</v>
      </c>
      <c r="E262" s="1" t="s">
        <v>131</v>
      </c>
    </row>
    <row r="263" spans="1:5" x14ac:dyDescent="0.25">
      <c r="A263" s="13">
        <v>19169235</v>
      </c>
      <c r="B263" s="11" t="s">
        <v>84</v>
      </c>
      <c r="C263" s="1" t="s">
        <v>2075</v>
      </c>
      <c r="D263" s="1" t="s">
        <v>38</v>
      </c>
      <c r="E263" s="1" t="s">
        <v>3</v>
      </c>
    </row>
    <row r="264" spans="1:5" x14ac:dyDescent="0.25">
      <c r="A264" s="13">
        <v>19171220</v>
      </c>
      <c r="B264" s="11" t="s">
        <v>116</v>
      </c>
      <c r="C264" s="1" t="s">
        <v>2074</v>
      </c>
      <c r="D264" s="1" t="s">
        <v>117</v>
      </c>
      <c r="E264" s="1" t="s">
        <v>10</v>
      </c>
    </row>
    <row r="265" spans="1:5" x14ac:dyDescent="0.25">
      <c r="A265" s="13">
        <v>19171234</v>
      </c>
      <c r="B265" s="11" t="s">
        <v>84</v>
      </c>
      <c r="C265" s="1" t="s">
        <v>2073</v>
      </c>
      <c r="D265" s="1" t="s">
        <v>185</v>
      </c>
      <c r="E265" s="1" t="s">
        <v>1055</v>
      </c>
    </row>
    <row r="266" spans="1:5" x14ac:dyDescent="0.25">
      <c r="A266" s="13">
        <v>19171381</v>
      </c>
      <c r="B266" s="11" t="s">
        <v>116</v>
      </c>
      <c r="C266" s="1" t="s">
        <v>2072</v>
      </c>
      <c r="D266" s="1" t="s">
        <v>117</v>
      </c>
      <c r="E266" s="1" t="s">
        <v>10</v>
      </c>
    </row>
    <row r="267" spans="1:5" x14ac:dyDescent="0.25">
      <c r="A267" s="13">
        <v>19175433</v>
      </c>
      <c r="B267" s="11" t="s">
        <v>84</v>
      </c>
      <c r="C267" s="1" t="s">
        <v>2071</v>
      </c>
      <c r="D267" s="1" t="s">
        <v>43</v>
      </c>
      <c r="E267" s="1" t="s">
        <v>173</v>
      </c>
    </row>
    <row r="268" spans="1:5" x14ac:dyDescent="0.25">
      <c r="A268" s="13">
        <v>19175954</v>
      </c>
      <c r="B268" s="11" t="s">
        <v>109</v>
      </c>
      <c r="C268" s="1" t="s">
        <v>2070</v>
      </c>
      <c r="D268" s="1" t="s">
        <v>131</v>
      </c>
      <c r="E268" s="1" t="s">
        <v>131</v>
      </c>
    </row>
    <row r="269" spans="1:5" x14ac:dyDescent="0.25">
      <c r="A269" s="13">
        <v>19182610</v>
      </c>
      <c r="B269" s="11" t="s">
        <v>116</v>
      </c>
      <c r="C269" s="1" t="s">
        <v>2069</v>
      </c>
      <c r="D269" s="1" t="s">
        <v>117</v>
      </c>
      <c r="E269" s="1" t="s">
        <v>127</v>
      </c>
    </row>
    <row r="270" spans="1:5" x14ac:dyDescent="0.25">
      <c r="A270" s="13">
        <v>19183183</v>
      </c>
      <c r="B270" s="11" t="s">
        <v>84</v>
      </c>
      <c r="C270" s="1" t="s">
        <v>2068</v>
      </c>
      <c r="D270" s="1" t="s">
        <v>43</v>
      </c>
      <c r="E270" s="1" t="s">
        <v>186</v>
      </c>
    </row>
    <row r="271" spans="1:5" x14ac:dyDescent="0.25">
      <c r="A271" s="13">
        <v>19184911</v>
      </c>
      <c r="B271" s="11" t="s">
        <v>109</v>
      </c>
      <c r="C271" s="1" t="s">
        <v>2067</v>
      </c>
      <c r="D271" s="1" t="s">
        <v>131</v>
      </c>
      <c r="E271" s="1" t="s">
        <v>131</v>
      </c>
    </row>
    <row r="272" spans="1:5" x14ac:dyDescent="0.25">
      <c r="A272" s="13">
        <v>19186941</v>
      </c>
      <c r="B272" s="11" t="s">
        <v>109</v>
      </c>
      <c r="C272" s="1" t="s">
        <v>2066</v>
      </c>
      <c r="D272" s="1" t="s">
        <v>131</v>
      </c>
      <c r="E272" s="1" t="s">
        <v>131</v>
      </c>
    </row>
    <row r="273" spans="1:5" x14ac:dyDescent="0.25">
      <c r="A273" s="13">
        <v>19187394</v>
      </c>
      <c r="B273" s="11" t="s">
        <v>109</v>
      </c>
      <c r="C273" s="1" t="s">
        <v>2065</v>
      </c>
      <c r="D273" s="1" t="s">
        <v>131</v>
      </c>
      <c r="E273" s="1" t="s">
        <v>131</v>
      </c>
    </row>
    <row r="274" spans="1:5" x14ac:dyDescent="0.25">
      <c r="A274" s="13">
        <v>19188364</v>
      </c>
      <c r="B274" s="11" t="s">
        <v>84</v>
      </c>
      <c r="C274" s="1" t="s">
        <v>2064</v>
      </c>
      <c r="D274" s="1" t="s">
        <v>38</v>
      </c>
      <c r="E274" s="1" t="s">
        <v>1276</v>
      </c>
    </row>
    <row r="275" spans="1:5" x14ac:dyDescent="0.25">
      <c r="A275" s="13">
        <v>19192537</v>
      </c>
      <c r="B275" s="11" t="s">
        <v>116</v>
      </c>
      <c r="C275" s="1" t="s">
        <v>2063</v>
      </c>
      <c r="D275" s="1" t="s">
        <v>117</v>
      </c>
      <c r="E275" s="1" t="s">
        <v>336</v>
      </c>
    </row>
    <row r="276" spans="1:5" x14ac:dyDescent="0.25">
      <c r="A276" s="13">
        <v>19193748</v>
      </c>
      <c r="B276" s="11" t="s">
        <v>109</v>
      </c>
      <c r="C276" s="1" t="s">
        <v>2062</v>
      </c>
      <c r="D276" s="1" t="s">
        <v>131</v>
      </c>
      <c r="E276" s="1" t="s">
        <v>131</v>
      </c>
    </row>
    <row r="277" spans="1:5" x14ac:dyDescent="0.25">
      <c r="A277" s="13">
        <v>19195601</v>
      </c>
      <c r="B277" s="11" t="s">
        <v>116</v>
      </c>
      <c r="C277" s="1" t="s">
        <v>2061</v>
      </c>
      <c r="D277" s="1" t="s">
        <v>117</v>
      </c>
      <c r="E277" s="1" t="s">
        <v>10</v>
      </c>
    </row>
    <row r="278" spans="1:5" x14ac:dyDescent="0.25">
      <c r="A278" s="13">
        <v>19195844</v>
      </c>
      <c r="B278" s="11" t="s">
        <v>116</v>
      </c>
      <c r="C278" s="1" t="s">
        <v>2060</v>
      </c>
      <c r="D278" s="1" t="s">
        <v>117</v>
      </c>
      <c r="E278" s="1" t="s">
        <v>127</v>
      </c>
    </row>
    <row r="279" spans="1:5" x14ac:dyDescent="0.25">
      <c r="A279" s="13">
        <v>19196831</v>
      </c>
      <c r="B279" s="11" t="s">
        <v>84</v>
      </c>
      <c r="C279" s="1" t="s">
        <v>2059</v>
      </c>
      <c r="D279" s="1" t="s">
        <v>38</v>
      </c>
      <c r="E279" s="1" t="s">
        <v>417</v>
      </c>
    </row>
    <row r="280" spans="1:5" x14ac:dyDescent="0.25">
      <c r="A280" s="13">
        <v>19203390</v>
      </c>
      <c r="B280" s="11" t="s">
        <v>116</v>
      </c>
      <c r="C280" s="1" t="s">
        <v>2058</v>
      </c>
      <c r="D280" s="1" t="s">
        <v>117</v>
      </c>
      <c r="E280" s="1" t="s">
        <v>336</v>
      </c>
    </row>
    <row r="281" spans="1:5" x14ac:dyDescent="0.25">
      <c r="A281" s="13">
        <v>19203875</v>
      </c>
      <c r="B281" s="11" t="s">
        <v>116</v>
      </c>
      <c r="C281" s="1" t="s">
        <v>2057</v>
      </c>
      <c r="D281" s="1" t="s">
        <v>117</v>
      </c>
      <c r="E281" s="1" t="s">
        <v>1276</v>
      </c>
    </row>
    <row r="282" spans="1:5" x14ac:dyDescent="0.25">
      <c r="A282" s="13">
        <v>19214090</v>
      </c>
      <c r="B282" s="11" t="s">
        <v>109</v>
      </c>
      <c r="C282" s="1" t="s">
        <v>2056</v>
      </c>
      <c r="D282" s="1" t="s">
        <v>131</v>
      </c>
      <c r="E282" s="1" t="s">
        <v>131</v>
      </c>
    </row>
    <row r="283" spans="1:5" x14ac:dyDescent="0.25">
      <c r="A283" s="13">
        <v>19216925</v>
      </c>
      <c r="B283" s="11" t="s">
        <v>109</v>
      </c>
      <c r="C283" s="1" t="s">
        <v>2055</v>
      </c>
      <c r="D283" s="1" t="s">
        <v>131</v>
      </c>
      <c r="E283" s="1" t="s">
        <v>131</v>
      </c>
    </row>
    <row r="284" spans="1:5" x14ac:dyDescent="0.25">
      <c r="A284" s="13">
        <v>19218391</v>
      </c>
      <c r="B284" s="11" t="s">
        <v>116</v>
      </c>
      <c r="C284" s="1" t="s">
        <v>2054</v>
      </c>
      <c r="D284" s="1" t="s">
        <v>117</v>
      </c>
      <c r="E284" s="1" t="s">
        <v>186</v>
      </c>
    </row>
    <row r="285" spans="1:5" x14ac:dyDescent="0.25">
      <c r="A285" s="13">
        <v>19218527</v>
      </c>
      <c r="B285" s="11" t="s">
        <v>116</v>
      </c>
      <c r="C285" s="1" t="s">
        <v>2053</v>
      </c>
      <c r="D285" s="1" t="s">
        <v>117</v>
      </c>
      <c r="E285" s="1" t="s">
        <v>147</v>
      </c>
    </row>
    <row r="286" spans="1:5" x14ac:dyDescent="0.25">
      <c r="A286" s="13">
        <v>19220231</v>
      </c>
      <c r="B286" s="11" t="s">
        <v>116</v>
      </c>
      <c r="C286" s="1" t="s">
        <v>2052</v>
      </c>
      <c r="D286" s="1" t="s">
        <v>117</v>
      </c>
      <c r="E286" s="1" t="s">
        <v>127</v>
      </c>
    </row>
    <row r="287" spans="1:5" x14ac:dyDescent="0.25">
      <c r="A287" s="13">
        <v>19222562</v>
      </c>
      <c r="B287" s="11" t="s">
        <v>109</v>
      </c>
      <c r="C287" s="1" t="s">
        <v>2051</v>
      </c>
      <c r="D287" s="1" t="s">
        <v>131</v>
      </c>
      <c r="E287" s="1" t="s">
        <v>131</v>
      </c>
    </row>
    <row r="288" spans="1:5" x14ac:dyDescent="0.25">
      <c r="A288" s="13">
        <v>19224567</v>
      </c>
      <c r="B288" s="11" t="s">
        <v>116</v>
      </c>
      <c r="C288" s="1" t="s">
        <v>2050</v>
      </c>
      <c r="D288" s="1" t="s">
        <v>117</v>
      </c>
      <c r="E288" s="1" t="s">
        <v>333</v>
      </c>
    </row>
    <row r="289" spans="1:5" x14ac:dyDescent="0.25">
      <c r="A289" s="13">
        <v>19225696</v>
      </c>
      <c r="B289" s="11" t="s">
        <v>116</v>
      </c>
      <c r="C289" s="1" t="s">
        <v>2049</v>
      </c>
      <c r="D289" s="1" t="s">
        <v>117</v>
      </c>
      <c r="E289" s="1" t="s">
        <v>134</v>
      </c>
    </row>
    <row r="290" spans="1:5" x14ac:dyDescent="0.25">
      <c r="A290" s="13">
        <v>19226603</v>
      </c>
      <c r="B290" s="11" t="s">
        <v>109</v>
      </c>
      <c r="C290" s="1" t="s">
        <v>2048</v>
      </c>
      <c r="D290" s="1" t="s">
        <v>131</v>
      </c>
      <c r="E290" s="1" t="s">
        <v>131</v>
      </c>
    </row>
    <row r="291" spans="1:5" x14ac:dyDescent="0.25">
      <c r="A291" s="13">
        <v>19231463</v>
      </c>
      <c r="B291" s="11" t="s">
        <v>116</v>
      </c>
      <c r="C291" s="1" t="s">
        <v>2047</v>
      </c>
      <c r="D291" s="1" t="s">
        <v>117</v>
      </c>
      <c r="E291" s="1" t="s">
        <v>7</v>
      </c>
    </row>
    <row r="292" spans="1:5" x14ac:dyDescent="0.25">
      <c r="A292" s="13">
        <v>19235833</v>
      </c>
      <c r="B292" s="11" t="s">
        <v>84</v>
      </c>
      <c r="C292" s="1" t="s">
        <v>2046</v>
      </c>
      <c r="D292" s="1" t="s">
        <v>38</v>
      </c>
      <c r="E292" s="1" t="s">
        <v>127</v>
      </c>
    </row>
    <row r="293" spans="1:5" x14ac:dyDescent="0.25">
      <c r="A293" s="13">
        <v>19239799</v>
      </c>
      <c r="B293" s="11" t="s">
        <v>116</v>
      </c>
      <c r="C293" s="1" t="s">
        <v>2045</v>
      </c>
      <c r="D293" s="1" t="s">
        <v>117</v>
      </c>
      <c r="E293" s="1" t="s">
        <v>606</v>
      </c>
    </row>
    <row r="294" spans="1:5" x14ac:dyDescent="0.25">
      <c r="A294" s="13">
        <v>19243877</v>
      </c>
      <c r="B294" s="11" t="s">
        <v>109</v>
      </c>
      <c r="C294" s="1" t="s">
        <v>2044</v>
      </c>
      <c r="D294" s="1" t="s">
        <v>131</v>
      </c>
      <c r="E294" s="1" t="s">
        <v>131</v>
      </c>
    </row>
    <row r="295" spans="1:5" x14ac:dyDescent="0.25">
      <c r="A295" s="13">
        <v>19244117</v>
      </c>
      <c r="B295" s="11" t="s">
        <v>116</v>
      </c>
      <c r="C295" s="1" t="s">
        <v>2043</v>
      </c>
      <c r="D295" s="1" t="s">
        <v>117</v>
      </c>
      <c r="E295" s="1" t="s">
        <v>134</v>
      </c>
    </row>
    <row r="296" spans="1:5" x14ac:dyDescent="0.25">
      <c r="A296" s="13">
        <v>19245977</v>
      </c>
      <c r="B296" s="11" t="s">
        <v>84</v>
      </c>
      <c r="C296" s="1" t="s">
        <v>2042</v>
      </c>
      <c r="D296" s="1" t="s">
        <v>43</v>
      </c>
      <c r="E296" s="1" t="s">
        <v>2</v>
      </c>
    </row>
    <row r="297" spans="1:5" x14ac:dyDescent="0.25">
      <c r="A297" s="13">
        <v>19246275</v>
      </c>
      <c r="B297" s="11" t="s">
        <v>116</v>
      </c>
      <c r="C297" s="1" t="s">
        <v>2041</v>
      </c>
      <c r="D297" s="1" t="s">
        <v>117</v>
      </c>
      <c r="E297" s="1" t="s">
        <v>134</v>
      </c>
    </row>
    <row r="298" spans="1:5" x14ac:dyDescent="0.25">
      <c r="A298" s="13">
        <v>19246543</v>
      </c>
      <c r="B298" s="11" t="s">
        <v>116</v>
      </c>
      <c r="C298" s="1" t="s">
        <v>2040</v>
      </c>
      <c r="D298" s="1" t="s">
        <v>117</v>
      </c>
      <c r="E298" s="1" t="s">
        <v>336</v>
      </c>
    </row>
    <row r="299" spans="1:5" x14ac:dyDescent="0.25">
      <c r="A299" s="13">
        <v>19255326</v>
      </c>
      <c r="B299" s="11" t="s">
        <v>116</v>
      </c>
      <c r="C299" s="1" t="s">
        <v>2039</v>
      </c>
      <c r="D299" s="1" t="s">
        <v>117</v>
      </c>
      <c r="E299" s="1" t="s">
        <v>134</v>
      </c>
    </row>
    <row r="300" spans="1:5" x14ac:dyDescent="0.25">
      <c r="A300" s="13">
        <v>19257145</v>
      </c>
      <c r="B300" s="11" t="s">
        <v>116</v>
      </c>
      <c r="C300" s="1" t="s">
        <v>2038</v>
      </c>
      <c r="D300" s="1" t="s">
        <v>117</v>
      </c>
      <c r="E300" s="1" t="s">
        <v>9</v>
      </c>
    </row>
    <row r="301" spans="1:5" x14ac:dyDescent="0.25">
      <c r="A301" s="13">
        <v>19257362</v>
      </c>
      <c r="B301" s="11" t="s">
        <v>116</v>
      </c>
      <c r="C301" s="1" t="s">
        <v>2037</v>
      </c>
      <c r="D301" s="1" t="s">
        <v>117</v>
      </c>
      <c r="E301" s="1" t="s">
        <v>205</v>
      </c>
    </row>
    <row r="302" spans="1:5" x14ac:dyDescent="0.25">
      <c r="A302" s="13">
        <v>19257817</v>
      </c>
      <c r="B302" s="11" t="s">
        <v>109</v>
      </c>
      <c r="C302" s="1" t="s">
        <v>2036</v>
      </c>
      <c r="D302" s="1" t="s">
        <v>131</v>
      </c>
      <c r="E302" s="1" t="s">
        <v>131</v>
      </c>
    </row>
    <row r="303" spans="1:5" x14ac:dyDescent="0.25">
      <c r="A303" s="13">
        <v>19263882</v>
      </c>
      <c r="B303" s="11" t="s">
        <v>116</v>
      </c>
      <c r="C303" s="1" t="s">
        <v>3546</v>
      </c>
      <c r="D303" s="1" t="s">
        <v>117</v>
      </c>
      <c r="E303" s="1" t="s">
        <v>3192</v>
      </c>
    </row>
    <row r="304" spans="1:5" x14ac:dyDescent="0.25">
      <c r="A304" s="13">
        <v>19265790</v>
      </c>
      <c r="B304" s="11" t="s">
        <v>116</v>
      </c>
      <c r="C304" s="1" t="s">
        <v>2035</v>
      </c>
      <c r="D304" s="1" t="s">
        <v>117</v>
      </c>
      <c r="E304" s="1" t="s">
        <v>134</v>
      </c>
    </row>
    <row r="305" spans="1:5" x14ac:dyDescent="0.25">
      <c r="A305" s="13">
        <v>19267146</v>
      </c>
      <c r="B305" s="11" t="s">
        <v>84</v>
      </c>
      <c r="C305" s="1" t="s">
        <v>2034</v>
      </c>
      <c r="D305" s="1" t="s">
        <v>38</v>
      </c>
      <c r="E305" s="1" t="s">
        <v>11</v>
      </c>
    </row>
    <row r="306" spans="1:5" x14ac:dyDescent="0.25">
      <c r="A306" s="13">
        <v>19269071</v>
      </c>
      <c r="B306" s="11" t="s">
        <v>84</v>
      </c>
      <c r="C306" s="1" t="s">
        <v>2033</v>
      </c>
      <c r="D306" s="1" t="s">
        <v>38</v>
      </c>
      <c r="E306" s="1" t="s">
        <v>6</v>
      </c>
    </row>
    <row r="307" spans="1:5" x14ac:dyDescent="0.25">
      <c r="A307" s="13">
        <v>19270142</v>
      </c>
      <c r="B307" s="11" t="s">
        <v>109</v>
      </c>
      <c r="C307" s="1" t="s">
        <v>2032</v>
      </c>
      <c r="D307" s="1" t="s">
        <v>131</v>
      </c>
      <c r="E307" s="1" t="s">
        <v>131</v>
      </c>
    </row>
    <row r="308" spans="1:5" x14ac:dyDescent="0.25">
      <c r="A308" s="13">
        <v>19273476</v>
      </c>
      <c r="B308" s="11" t="s">
        <v>116</v>
      </c>
      <c r="C308" s="1" t="s">
        <v>2031</v>
      </c>
      <c r="D308" s="1" t="s">
        <v>117</v>
      </c>
      <c r="E308" s="1" t="s">
        <v>7</v>
      </c>
    </row>
    <row r="309" spans="1:5" x14ac:dyDescent="0.25">
      <c r="A309" s="13">
        <v>19275201</v>
      </c>
      <c r="B309" s="11" t="s">
        <v>116</v>
      </c>
      <c r="C309" s="1" t="s">
        <v>2030</v>
      </c>
      <c r="D309" s="1" t="s">
        <v>117</v>
      </c>
      <c r="E309" s="1" t="s">
        <v>237</v>
      </c>
    </row>
    <row r="310" spans="1:5" x14ac:dyDescent="0.25">
      <c r="A310" s="13">
        <v>19277196</v>
      </c>
      <c r="B310" s="11" t="s">
        <v>116</v>
      </c>
      <c r="C310" s="1" t="s">
        <v>2029</v>
      </c>
      <c r="D310" s="1" t="s">
        <v>117</v>
      </c>
      <c r="E310" s="1" t="s">
        <v>958</v>
      </c>
    </row>
    <row r="311" spans="1:5" x14ac:dyDescent="0.25">
      <c r="A311" s="13">
        <v>19280706</v>
      </c>
      <c r="B311" s="11" t="s">
        <v>84</v>
      </c>
      <c r="C311" s="1" t="s">
        <v>2028</v>
      </c>
      <c r="D311" s="1" t="s">
        <v>37</v>
      </c>
      <c r="E311" s="1" t="s">
        <v>29</v>
      </c>
    </row>
    <row r="312" spans="1:5" x14ac:dyDescent="0.25">
      <c r="A312" s="13">
        <v>19281461</v>
      </c>
      <c r="B312" s="11" t="s">
        <v>109</v>
      </c>
      <c r="C312" s="1" t="s">
        <v>2027</v>
      </c>
      <c r="D312" s="1" t="s">
        <v>131</v>
      </c>
      <c r="E312" s="1" t="s">
        <v>131</v>
      </c>
    </row>
    <row r="313" spans="1:5" x14ac:dyDescent="0.25">
      <c r="A313" s="13">
        <v>19282886</v>
      </c>
      <c r="B313" s="11" t="s">
        <v>109</v>
      </c>
      <c r="C313" s="1" t="s">
        <v>2026</v>
      </c>
      <c r="D313" s="1" t="s">
        <v>131</v>
      </c>
      <c r="E313" s="1" t="s">
        <v>131</v>
      </c>
    </row>
    <row r="314" spans="1:5" x14ac:dyDescent="0.25">
      <c r="A314" s="13">
        <v>19285011</v>
      </c>
      <c r="B314" s="11" t="s">
        <v>84</v>
      </c>
      <c r="C314" s="1" t="s">
        <v>2025</v>
      </c>
      <c r="D314" s="1" t="s">
        <v>43</v>
      </c>
      <c r="E314" s="1" t="s">
        <v>127</v>
      </c>
    </row>
    <row r="315" spans="1:5" x14ac:dyDescent="0.25">
      <c r="A315" s="13">
        <v>19288296</v>
      </c>
      <c r="B315" s="11" t="s">
        <v>116</v>
      </c>
      <c r="C315" s="1" t="s">
        <v>2024</v>
      </c>
      <c r="D315" s="1" t="s">
        <v>117</v>
      </c>
      <c r="E315" s="1" t="s">
        <v>134</v>
      </c>
    </row>
    <row r="316" spans="1:5" x14ac:dyDescent="0.25">
      <c r="A316" s="13">
        <v>19290200</v>
      </c>
      <c r="B316" s="11" t="s">
        <v>109</v>
      </c>
      <c r="C316" s="1" t="s">
        <v>2023</v>
      </c>
      <c r="D316" s="1" t="s">
        <v>131</v>
      </c>
      <c r="E316" s="1" t="s">
        <v>131</v>
      </c>
    </row>
    <row r="317" spans="1:5" x14ac:dyDescent="0.25">
      <c r="A317" s="13">
        <v>19292650</v>
      </c>
      <c r="B317" s="11" t="s">
        <v>83</v>
      </c>
      <c r="C317" s="1" t="s">
        <v>2021</v>
      </c>
      <c r="D317" s="1" t="s">
        <v>2022</v>
      </c>
      <c r="E317" s="1" t="s">
        <v>33</v>
      </c>
    </row>
    <row r="318" spans="1:5" x14ac:dyDescent="0.25">
      <c r="A318" s="13">
        <v>19292843</v>
      </c>
      <c r="B318" s="11" t="s">
        <v>109</v>
      </c>
      <c r="C318" s="1" t="s">
        <v>2020</v>
      </c>
      <c r="D318" s="1" t="s">
        <v>131</v>
      </c>
      <c r="E318" s="1" t="s">
        <v>131</v>
      </c>
    </row>
    <row r="319" spans="1:5" x14ac:dyDescent="0.25">
      <c r="A319" s="13">
        <v>19294922</v>
      </c>
      <c r="B319" s="11" t="s">
        <v>116</v>
      </c>
      <c r="C319" s="1" t="s">
        <v>2019</v>
      </c>
      <c r="D319" s="1" t="s">
        <v>117</v>
      </c>
      <c r="E319" s="1" t="s">
        <v>205</v>
      </c>
    </row>
    <row r="320" spans="1:5" x14ac:dyDescent="0.25">
      <c r="A320" s="13">
        <v>19295644</v>
      </c>
      <c r="B320" s="11" t="s">
        <v>116</v>
      </c>
      <c r="C320" s="1" t="s">
        <v>2018</v>
      </c>
      <c r="D320" s="1" t="s">
        <v>117</v>
      </c>
      <c r="E320" s="1" t="s">
        <v>3</v>
      </c>
    </row>
    <row r="321" spans="1:5" x14ac:dyDescent="0.25">
      <c r="A321" s="13">
        <v>19297311</v>
      </c>
      <c r="B321" s="11" t="s">
        <v>109</v>
      </c>
      <c r="C321" s="1" t="s">
        <v>2017</v>
      </c>
      <c r="D321" s="1" t="s">
        <v>131</v>
      </c>
      <c r="E321" s="1" t="s">
        <v>131</v>
      </c>
    </row>
    <row r="322" spans="1:5" x14ac:dyDescent="0.25">
      <c r="A322" s="13">
        <v>19297567</v>
      </c>
      <c r="B322" s="11" t="s">
        <v>84</v>
      </c>
      <c r="C322" s="1" t="s">
        <v>2016</v>
      </c>
      <c r="D322" s="1" t="s">
        <v>43</v>
      </c>
      <c r="E322" s="1" t="s">
        <v>155</v>
      </c>
    </row>
    <row r="323" spans="1:5" x14ac:dyDescent="0.25">
      <c r="A323" s="13">
        <v>19298380</v>
      </c>
      <c r="B323" s="11" t="s">
        <v>109</v>
      </c>
      <c r="C323" s="1" t="s">
        <v>2015</v>
      </c>
      <c r="D323" s="1" t="s">
        <v>131</v>
      </c>
      <c r="E323" s="1" t="s">
        <v>131</v>
      </c>
    </row>
    <row r="324" spans="1:5" x14ac:dyDescent="0.25">
      <c r="A324" s="13">
        <v>19298610</v>
      </c>
      <c r="B324" s="11" t="s">
        <v>116</v>
      </c>
      <c r="C324" s="1" t="s">
        <v>2014</v>
      </c>
      <c r="D324" s="1" t="s">
        <v>117</v>
      </c>
      <c r="E324" s="1" t="s">
        <v>958</v>
      </c>
    </row>
    <row r="325" spans="1:5" x14ac:dyDescent="0.25">
      <c r="A325" s="13">
        <v>19299304</v>
      </c>
      <c r="B325" s="11" t="s">
        <v>116</v>
      </c>
      <c r="C325" s="1" t="s">
        <v>2013</v>
      </c>
      <c r="D325" s="1" t="s">
        <v>117</v>
      </c>
      <c r="E325" s="1" t="s">
        <v>147</v>
      </c>
    </row>
    <row r="326" spans="1:5" x14ac:dyDescent="0.25">
      <c r="A326" s="13">
        <v>19300233</v>
      </c>
      <c r="B326" s="11" t="s">
        <v>116</v>
      </c>
      <c r="C326" s="1" t="s">
        <v>2012</v>
      </c>
      <c r="D326" s="1" t="s">
        <v>151</v>
      </c>
      <c r="E326" s="1" t="s">
        <v>152</v>
      </c>
    </row>
    <row r="327" spans="1:5" x14ac:dyDescent="0.25">
      <c r="A327" s="13">
        <v>19305737</v>
      </c>
      <c r="B327" s="11" t="s">
        <v>109</v>
      </c>
      <c r="C327" s="1" t="s">
        <v>2011</v>
      </c>
      <c r="D327" s="1" t="s">
        <v>131</v>
      </c>
      <c r="E327" s="1" t="s">
        <v>131</v>
      </c>
    </row>
    <row r="328" spans="1:5" x14ac:dyDescent="0.25">
      <c r="A328" s="13">
        <v>19305802</v>
      </c>
      <c r="B328" s="11" t="s">
        <v>116</v>
      </c>
      <c r="C328" s="1" t="s">
        <v>2010</v>
      </c>
      <c r="D328" s="1" t="s">
        <v>117</v>
      </c>
      <c r="E328" s="1" t="s">
        <v>417</v>
      </c>
    </row>
    <row r="329" spans="1:5" x14ac:dyDescent="0.25">
      <c r="A329" s="13">
        <v>19308254</v>
      </c>
      <c r="B329" s="11" t="s">
        <v>84</v>
      </c>
      <c r="C329" s="1" t="s">
        <v>2009</v>
      </c>
      <c r="D329" s="1" t="s">
        <v>37</v>
      </c>
      <c r="E329" s="1" t="s">
        <v>27</v>
      </c>
    </row>
    <row r="330" spans="1:5" x14ac:dyDescent="0.25">
      <c r="A330" s="13">
        <v>19309898</v>
      </c>
      <c r="B330" s="11" t="s">
        <v>83</v>
      </c>
      <c r="C330" s="1" t="s">
        <v>2008</v>
      </c>
      <c r="D330" s="1" t="s">
        <v>57</v>
      </c>
      <c r="E330" s="1" t="s">
        <v>359</v>
      </c>
    </row>
    <row r="331" spans="1:5" x14ac:dyDescent="0.25">
      <c r="A331" s="13">
        <v>19310956</v>
      </c>
      <c r="B331" s="11" t="s">
        <v>116</v>
      </c>
      <c r="C331" s="1" t="s">
        <v>2007</v>
      </c>
      <c r="D331" s="1" t="s">
        <v>117</v>
      </c>
      <c r="E331" s="1" t="s">
        <v>11</v>
      </c>
    </row>
    <row r="332" spans="1:5" x14ac:dyDescent="0.25">
      <c r="A332" s="13">
        <v>19312098</v>
      </c>
      <c r="B332" s="11" t="s">
        <v>116</v>
      </c>
      <c r="C332" s="1" t="s">
        <v>2006</v>
      </c>
      <c r="D332" s="1" t="s">
        <v>117</v>
      </c>
      <c r="E332" s="1" t="s">
        <v>491</v>
      </c>
    </row>
    <row r="333" spans="1:5" x14ac:dyDescent="0.25">
      <c r="A333" s="13">
        <v>19312229</v>
      </c>
      <c r="B333" s="11" t="s">
        <v>116</v>
      </c>
      <c r="C333" s="1" t="s">
        <v>2005</v>
      </c>
      <c r="D333" s="1" t="s">
        <v>117</v>
      </c>
      <c r="E333" s="1" t="s">
        <v>134</v>
      </c>
    </row>
    <row r="334" spans="1:5" x14ac:dyDescent="0.25">
      <c r="A334" s="13">
        <v>19314060</v>
      </c>
      <c r="B334" s="11" t="s">
        <v>116</v>
      </c>
      <c r="C334" s="1" t="s">
        <v>2004</v>
      </c>
      <c r="D334" s="1" t="s">
        <v>117</v>
      </c>
      <c r="E334" s="1" t="s">
        <v>263</v>
      </c>
    </row>
    <row r="335" spans="1:5" x14ac:dyDescent="0.25">
      <c r="A335" s="13">
        <v>19315283</v>
      </c>
      <c r="B335" s="11" t="s">
        <v>109</v>
      </c>
      <c r="C335" s="1" t="s">
        <v>2003</v>
      </c>
      <c r="D335" s="1" t="s">
        <v>131</v>
      </c>
      <c r="E335" s="1" t="s">
        <v>131</v>
      </c>
    </row>
    <row r="336" spans="1:5" x14ac:dyDescent="0.25">
      <c r="A336" s="13">
        <v>19316932</v>
      </c>
      <c r="B336" s="11" t="s">
        <v>109</v>
      </c>
      <c r="C336" s="1" t="s">
        <v>2002</v>
      </c>
      <c r="D336" s="1" t="s">
        <v>131</v>
      </c>
      <c r="E336" s="1" t="s">
        <v>131</v>
      </c>
    </row>
    <row r="337" spans="1:5" x14ac:dyDescent="0.25">
      <c r="A337" s="13">
        <v>19317248</v>
      </c>
      <c r="B337" s="11" t="s">
        <v>116</v>
      </c>
      <c r="C337" s="1" t="s">
        <v>2001</v>
      </c>
      <c r="D337" s="1" t="s">
        <v>117</v>
      </c>
      <c r="E337" s="1" t="s">
        <v>186</v>
      </c>
    </row>
    <row r="338" spans="1:5" x14ac:dyDescent="0.25">
      <c r="A338" s="13">
        <v>19317906</v>
      </c>
      <c r="B338" s="11" t="s">
        <v>116</v>
      </c>
      <c r="C338" s="1" t="s">
        <v>2000</v>
      </c>
      <c r="D338" s="1" t="s">
        <v>117</v>
      </c>
      <c r="E338" s="1" t="s">
        <v>10</v>
      </c>
    </row>
    <row r="339" spans="1:5" x14ac:dyDescent="0.25">
      <c r="A339" s="13">
        <v>19318239</v>
      </c>
      <c r="B339" s="11" t="s">
        <v>109</v>
      </c>
      <c r="C339" s="1" t="s">
        <v>1999</v>
      </c>
      <c r="D339" s="1" t="s">
        <v>131</v>
      </c>
      <c r="E339" s="1" t="s">
        <v>131</v>
      </c>
    </row>
    <row r="340" spans="1:5" x14ac:dyDescent="0.25">
      <c r="A340" s="13">
        <v>19319315</v>
      </c>
      <c r="B340" s="11" t="s">
        <v>83</v>
      </c>
      <c r="C340" s="1" t="s">
        <v>1997</v>
      </c>
      <c r="D340" s="1" t="s">
        <v>129</v>
      </c>
      <c r="E340" s="1" t="s">
        <v>1998</v>
      </c>
    </row>
    <row r="341" spans="1:5" x14ac:dyDescent="0.25">
      <c r="A341" s="13">
        <v>19327639</v>
      </c>
      <c r="B341" s="11" t="s">
        <v>84</v>
      </c>
      <c r="C341" s="1" t="s">
        <v>1996</v>
      </c>
      <c r="D341" s="1" t="s">
        <v>38</v>
      </c>
      <c r="E341" s="1" t="s">
        <v>328</v>
      </c>
    </row>
    <row r="342" spans="1:5" x14ac:dyDescent="0.25">
      <c r="A342" s="13">
        <v>19330280</v>
      </c>
      <c r="B342" s="11" t="s">
        <v>109</v>
      </c>
      <c r="C342" s="1" t="s">
        <v>1995</v>
      </c>
      <c r="D342" s="1" t="s">
        <v>131</v>
      </c>
      <c r="E342" s="1" t="s">
        <v>131</v>
      </c>
    </row>
    <row r="343" spans="1:5" x14ac:dyDescent="0.25">
      <c r="A343" s="13">
        <v>19330958</v>
      </c>
      <c r="B343" s="11" t="s">
        <v>116</v>
      </c>
      <c r="C343" s="1" t="s">
        <v>1994</v>
      </c>
      <c r="D343" s="1" t="s">
        <v>117</v>
      </c>
      <c r="E343" s="1" t="s">
        <v>1276</v>
      </c>
    </row>
    <row r="344" spans="1:5" x14ac:dyDescent="0.25">
      <c r="A344" s="13">
        <v>19332264</v>
      </c>
      <c r="B344" s="11" t="s">
        <v>84</v>
      </c>
      <c r="C344" s="1" t="s">
        <v>1993</v>
      </c>
      <c r="D344" s="1" t="s">
        <v>38</v>
      </c>
      <c r="E344" s="1" t="s">
        <v>6</v>
      </c>
    </row>
    <row r="345" spans="1:5" x14ac:dyDescent="0.25">
      <c r="A345" s="13">
        <v>19332877</v>
      </c>
      <c r="B345" s="11" t="s">
        <v>116</v>
      </c>
      <c r="C345" s="1" t="s">
        <v>1992</v>
      </c>
      <c r="D345" s="1" t="s">
        <v>117</v>
      </c>
      <c r="E345" s="1" t="s">
        <v>134</v>
      </c>
    </row>
    <row r="346" spans="1:5" x14ac:dyDescent="0.25">
      <c r="A346" s="13">
        <v>19334291</v>
      </c>
      <c r="B346" s="11" t="s">
        <v>84</v>
      </c>
      <c r="C346" s="1" t="s">
        <v>1991</v>
      </c>
      <c r="D346" s="1" t="s">
        <v>38</v>
      </c>
      <c r="E346" s="1" t="s">
        <v>14</v>
      </c>
    </row>
    <row r="347" spans="1:5" x14ac:dyDescent="0.25">
      <c r="A347" s="13">
        <v>19334406</v>
      </c>
      <c r="B347" s="11" t="s">
        <v>116</v>
      </c>
      <c r="C347" s="1" t="s">
        <v>1990</v>
      </c>
      <c r="D347" s="1" t="s">
        <v>117</v>
      </c>
      <c r="E347" s="1" t="s">
        <v>210</v>
      </c>
    </row>
    <row r="348" spans="1:5" x14ac:dyDescent="0.25">
      <c r="A348" s="13">
        <v>19334739</v>
      </c>
      <c r="B348" s="11" t="s">
        <v>109</v>
      </c>
      <c r="C348" s="1" t="s">
        <v>1989</v>
      </c>
      <c r="D348" s="1" t="s">
        <v>131</v>
      </c>
      <c r="E348" s="1" t="s">
        <v>131</v>
      </c>
    </row>
    <row r="349" spans="1:5" x14ac:dyDescent="0.25">
      <c r="A349" s="13">
        <v>19335216</v>
      </c>
      <c r="B349" s="11" t="s">
        <v>116</v>
      </c>
      <c r="C349" s="1" t="s">
        <v>1988</v>
      </c>
      <c r="D349" s="1" t="s">
        <v>117</v>
      </c>
      <c r="E349" s="1" t="s">
        <v>10</v>
      </c>
    </row>
    <row r="350" spans="1:5" x14ac:dyDescent="0.25">
      <c r="A350" s="13">
        <v>19335254</v>
      </c>
      <c r="B350" s="11" t="s">
        <v>109</v>
      </c>
      <c r="C350" s="1" t="s">
        <v>1987</v>
      </c>
      <c r="D350" s="1" t="s">
        <v>131</v>
      </c>
      <c r="E350" s="1" t="s">
        <v>131</v>
      </c>
    </row>
    <row r="351" spans="1:5" x14ac:dyDescent="0.25">
      <c r="A351" s="13">
        <v>19337522</v>
      </c>
      <c r="B351" s="11" t="s">
        <v>84</v>
      </c>
      <c r="C351" s="1" t="s">
        <v>1986</v>
      </c>
      <c r="D351" s="1" t="s">
        <v>43</v>
      </c>
      <c r="E351" s="1" t="s">
        <v>9</v>
      </c>
    </row>
    <row r="352" spans="1:5" x14ac:dyDescent="0.25">
      <c r="A352" s="13">
        <v>19342817</v>
      </c>
      <c r="B352" s="11" t="s">
        <v>109</v>
      </c>
      <c r="C352" s="1" t="s">
        <v>1985</v>
      </c>
      <c r="D352" s="1" t="s">
        <v>131</v>
      </c>
      <c r="E352" s="1" t="s">
        <v>131</v>
      </c>
    </row>
    <row r="353" spans="1:5" x14ac:dyDescent="0.25">
      <c r="A353" s="13">
        <v>19344689</v>
      </c>
      <c r="B353" s="11" t="s">
        <v>84</v>
      </c>
      <c r="C353" s="1" t="s">
        <v>1984</v>
      </c>
      <c r="D353" s="1" t="s">
        <v>38</v>
      </c>
      <c r="E353" s="1" t="s">
        <v>134</v>
      </c>
    </row>
    <row r="354" spans="1:5" x14ac:dyDescent="0.25">
      <c r="A354" s="13">
        <v>19345651</v>
      </c>
      <c r="B354" s="11" t="s">
        <v>84</v>
      </c>
      <c r="C354" s="1" t="s">
        <v>1983</v>
      </c>
      <c r="D354" s="1" t="s">
        <v>38</v>
      </c>
      <c r="E354" s="1" t="s">
        <v>12</v>
      </c>
    </row>
    <row r="355" spans="1:5" x14ac:dyDescent="0.25">
      <c r="A355" s="13">
        <v>19347246</v>
      </c>
      <c r="B355" s="11" t="s">
        <v>116</v>
      </c>
      <c r="C355" s="1" t="s">
        <v>1982</v>
      </c>
      <c r="D355" s="1" t="s">
        <v>117</v>
      </c>
      <c r="E355" s="1" t="s">
        <v>127</v>
      </c>
    </row>
    <row r="356" spans="1:5" x14ac:dyDescent="0.25">
      <c r="A356" s="13">
        <v>19349867</v>
      </c>
      <c r="B356" s="11" t="s">
        <v>116</v>
      </c>
      <c r="C356" s="1" t="s">
        <v>1981</v>
      </c>
      <c r="D356" s="1" t="s">
        <v>117</v>
      </c>
      <c r="E356" s="1" t="s">
        <v>127</v>
      </c>
    </row>
    <row r="357" spans="1:5" x14ac:dyDescent="0.25">
      <c r="A357" s="13">
        <v>19352582</v>
      </c>
      <c r="B357" s="11" t="s">
        <v>116</v>
      </c>
      <c r="C357" s="1" t="s">
        <v>1980</v>
      </c>
      <c r="D357" s="1" t="s">
        <v>117</v>
      </c>
      <c r="E357" s="1" t="s">
        <v>263</v>
      </c>
    </row>
    <row r="358" spans="1:5" x14ac:dyDescent="0.25">
      <c r="A358" s="13">
        <v>19353325</v>
      </c>
      <c r="B358" s="11" t="s">
        <v>116</v>
      </c>
      <c r="C358" s="1" t="s">
        <v>1979</v>
      </c>
      <c r="D358" s="1" t="s">
        <v>117</v>
      </c>
      <c r="E358" s="1" t="s">
        <v>134</v>
      </c>
    </row>
    <row r="359" spans="1:5" x14ac:dyDescent="0.25">
      <c r="A359" s="13">
        <v>19358293</v>
      </c>
      <c r="B359" s="11" t="s">
        <v>116</v>
      </c>
      <c r="C359" s="1" t="s">
        <v>1978</v>
      </c>
      <c r="D359" s="1" t="s">
        <v>117</v>
      </c>
      <c r="E359" s="1" t="s">
        <v>12</v>
      </c>
    </row>
    <row r="360" spans="1:5" x14ac:dyDescent="0.25">
      <c r="A360" s="13">
        <v>19361574</v>
      </c>
      <c r="B360" s="11" t="s">
        <v>116</v>
      </c>
      <c r="C360" s="1" t="s">
        <v>1977</v>
      </c>
      <c r="D360" s="1" t="s">
        <v>117</v>
      </c>
      <c r="E360" s="1" t="s">
        <v>336</v>
      </c>
    </row>
    <row r="361" spans="1:5" x14ac:dyDescent="0.25">
      <c r="A361" s="13">
        <v>19361583</v>
      </c>
      <c r="B361" s="11" t="s">
        <v>84</v>
      </c>
      <c r="C361" s="1" t="s">
        <v>1976</v>
      </c>
      <c r="D361" s="1" t="s">
        <v>38</v>
      </c>
      <c r="E361" s="1" t="s">
        <v>5</v>
      </c>
    </row>
    <row r="362" spans="1:5" x14ac:dyDescent="0.25">
      <c r="A362" s="13">
        <v>19363618</v>
      </c>
      <c r="B362" s="11" t="s">
        <v>116</v>
      </c>
      <c r="C362" s="1" t="s">
        <v>1975</v>
      </c>
      <c r="D362" s="1" t="s">
        <v>117</v>
      </c>
      <c r="E362" s="1" t="s">
        <v>186</v>
      </c>
    </row>
    <row r="363" spans="1:5" x14ac:dyDescent="0.25">
      <c r="A363" s="13">
        <v>19363794</v>
      </c>
      <c r="B363" s="11" t="s">
        <v>116</v>
      </c>
      <c r="C363" s="1" t="s">
        <v>1974</v>
      </c>
      <c r="D363" s="1" t="s">
        <v>117</v>
      </c>
      <c r="E363" s="1" t="s">
        <v>134</v>
      </c>
    </row>
    <row r="364" spans="1:5" x14ac:dyDescent="0.25">
      <c r="A364" s="13">
        <v>19364119</v>
      </c>
      <c r="B364" s="11" t="s">
        <v>116</v>
      </c>
      <c r="C364" s="1" t="s">
        <v>1973</v>
      </c>
      <c r="D364" s="1" t="s">
        <v>117</v>
      </c>
      <c r="E364" s="1" t="s">
        <v>12</v>
      </c>
    </row>
    <row r="365" spans="1:5" x14ac:dyDescent="0.25">
      <c r="A365" s="13">
        <v>19364653</v>
      </c>
      <c r="B365" s="11" t="s">
        <v>116</v>
      </c>
      <c r="C365" s="1" t="s">
        <v>1972</v>
      </c>
      <c r="D365" s="1" t="s">
        <v>117</v>
      </c>
      <c r="E365" s="1" t="s">
        <v>3</v>
      </c>
    </row>
    <row r="366" spans="1:5" x14ac:dyDescent="0.25">
      <c r="A366" s="13">
        <v>19364767</v>
      </c>
      <c r="B366" s="11" t="s">
        <v>116</v>
      </c>
      <c r="C366" s="1" t="s">
        <v>1971</v>
      </c>
      <c r="D366" s="1" t="s">
        <v>117</v>
      </c>
      <c r="E366" s="1" t="s">
        <v>9</v>
      </c>
    </row>
    <row r="367" spans="1:5" x14ac:dyDescent="0.25">
      <c r="A367" s="13">
        <v>19365798</v>
      </c>
      <c r="B367" s="11" t="s">
        <v>84</v>
      </c>
      <c r="C367" s="1" t="s">
        <v>1970</v>
      </c>
      <c r="D367" s="1" t="s">
        <v>43</v>
      </c>
      <c r="E367" s="1" t="s">
        <v>127</v>
      </c>
    </row>
    <row r="368" spans="1:5" x14ac:dyDescent="0.25">
      <c r="A368" s="13">
        <v>19367568</v>
      </c>
      <c r="B368" s="11" t="s">
        <v>109</v>
      </c>
      <c r="C368" s="1" t="s">
        <v>1969</v>
      </c>
      <c r="D368" s="1" t="s">
        <v>131</v>
      </c>
      <c r="E368" s="1" t="s">
        <v>131</v>
      </c>
    </row>
    <row r="369" spans="1:5" x14ac:dyDescent="0.25">
      <c r="A369" s="13">
        <v>19368486</v>
      </c>
      <c r="B369" s="11" t="s">
        <v>116</v>
      </c>
      <c r="C369" s="1" t="s">
        <v>1968</v>
      </c>
      <c r="D369" s="1" t="s">
        <v>117</v>
      </c>
      <c r="E369" s="1" t="s">
        <v>336</v>
      </c>
    </row>
    <row r="370" spans="1:5" x14ac:dyDescent="0.25">
      <c r="A370" s="13">
        <v>19375119</v>
      </c>
      <c r="B370" s="11" t="s">
        <v>109</v>
      </c>
      <c r="C370" s="1" t="s">
        <v>1967</v>
      </c>
      <c r="D370" s="1" t="s">
        <v>131</v>
      </c>
      <c r="E370" s="1" t="s">
        <v>131</v>
      </c>
    </row>
    <row r="371" spans="1:5" x14ac:dyDescent="0.25">
      <c r="A371" s="13">
        <v>19375593</v>
      </c>
      <c r="B371" s="11" t="s">
        <v>116</v>
      </c>
      <c r="C371" s="1" t="s">
        <v>1966</v>
      </c>
      <c r="D371" s="1" t="s">
        <v>117</v>
      </c>
      <c r="E371" s="1" t="s">
        <v>417</v>
      </c>
    </row>
    <row r="372" spans="1:5" x14ac:dyDescent="0.25">
      <c r="A372" s="13">
        <v>19375944</v>
      </c>
      <c r="B372" s="11" t="s">
        <v>84</v>
      </c>
      <c r="C372" s="1" t="s">
        <v>1965</v>
      </c>
      <c r="D372" s="1" t="s">
        <v>38</v>
      </c>
      <c r="E372" s="1" t="s">
        <v>7</v>
      </c>
    </row>
    <row r="373" spans="1:5" x14ac:dyDescent="0.25">
      <c r="A373" s="13">
        <v>19376097</v>
      </c>
      <c r="B373" s="11" t="s">
        <v>116</v>
      </c>
      <c r="C373" s="1" t="s">
        <v>1964</v>
      </c>
      <c r="D373" s="1" t="s">
        <v>117</v>
      </c>
      <c r="E373" s="1" t="s">
        <v>881</v>
      </c>
    </row>
    <row r="374" spans="1:5" x14ac:dyDescent="0.25">
      <c r="A374" s="13">
        <v>19380292</v>
      </c>
      <c r="B374" s="11" t="s">
        <v>116</v>
      </c>
      <c r="C374" s="1" t="s">
        <v>1963</v>
      </c>
      <c r="D374" s="1" t="s">
        <v>117</v>
      </c>
      <c r="E374" s="1" t="s">
        <v>134</v>
      </c>
    </row>
    <row r="375" spans="1:5" x14ac:dyDescent="0.25">
      <c r="A375" s="13">
        <v>19382384</v>
      </c>
      <c r="B375" s="11" t="s">
        <v>109</v>
      </c>
      <c r="C375" s="1" t="s">
        <v>1962</v>
      </c>
      <c r="D375" s="1" t="s">
        <v>131</v>
      </c>
      <c r="E375" s="1" t="s">
        <v>131</v>
      </c>
    </row>
    <row r="376" spans="1:5" x14ac:dyDescent="0.25">
      <c r="A376" s="13">
        <v>19382548</v>
      </c>
      <c r="B376" s="11" t="s">
        <v>116</v>
      </c>
      <c r="C376" s="1" t="s">
        <v>1961</v>
      </c>
      <c r="D376" s="1" t="s">
        <v>117</v>
      </c>
      <c r="E376" s="1" t="s">
        <v>205</v>
      </c>
    </row>
    <row r="377" spans="1:5" x14ac:dyDescent="0.25">
      <c r="A377" s="13">
        <v>19384772</v>
      </c>
      <c r="B377" s="11" t="s">
        <v>116</v>
      </c>
      <c r="C377" s="1" t="s">
        <v>1960</v>
      </c>
      <c r="D377" s="1" t="s">
        <v>117</v>
      </c>
      <c r="E377" s="1" t="s">
        <v>263</v>
      </c>
    </row>
    <row r="378" spans="1:5" x14ac:dyDescent="0.25">
      <c r="A378" s="13">
        <v>19392048</v>
      </c>
      <c r="B378" s="11" t="s">
        <v>116</v>
      </c>
      <c r="C378" s="1" t="s">
        <v>1959</v>
      </c>
      <c r="D378" s="1" t="s">
        <v>117</v>
      </c>
      <c r="E378" s="1" t="s">
        <v>9</v>
      </c>
    </row>
    <row r="379" spans="1:5" x14ac:dyDescent="0.25">
      <c r="A379" s="13">
        <v>19392355</v>
      </c>
      <c r="B379" s="11" t="s">
        <v>116</v>
      </c>
      <c r="C379" s="1" t="s">
        <v>1958</v>
      </c>
      <c r="D379" s="1" t="s">
        <v>117</v>
      </c>
      <c r="E379" s="1" t="s">
        <v>1819</v>
      </c>
    </row>
    <row r="380" spans="1:5" x14ac:dyDescent="0.25">
      <c r="A380" s="13">
        <v>19392614</v>
      </c>
      <c r="B380" s="11" t="s">
        <v>116</v>
      </c>
      <c r="C380" s="1" t="s">
        <v>1957</v>
      </c>
      <c r="D380" s="1" t="s">
        <v>117</v>
      </c>
      <c r="E380" s="1" t="s">
        <v>10</v>
      </c>
    </row>
    <row r="381" spans="1:5" x14ac:dyDescent="0.25">
      <c r="A381" s="13">
        <v>19393953</v>
      </c>
      <c r="B381" s="11" t="s">
        <v>116</v>
      </c>
      <c r="C381" s="1" t="s">
        <v>1956</v>
      </c>
      <c r="D381" s="1" t="s">
        <v>151</v>
      </c>
      <c r="E381" s="1" t="s">
        <v>17</v>
      </c>
    </row>
    <row r="382" spans="1:5" x14ac:dyDescent="0.25">
      <c r="A382" s="13">
        <v>19395022</v>
      </c>
      <c r="B382" s="11" t="s">
        <v>84</v>
      </c>
      <c r="C382" s="1" t="s">
        <v>1955</v>
      </c>
      <c r="D382" s="1" t="s">
        <v>973</v>
      </c>
      <c r="E382" s="1" t="s">
        <v>939</v>
      </c>
    </row>
    <row r="383" spans="1:5" x14ac:dyDescent="0.25">
      <c r="A383" s="13">
        <v>19395178</v>
      </c>
      <c r="B383" s="11" t="s">
        <v>84</v>
      </c>
      <c r="C383" s="1" t="s">
        <v>1954</v>
      </c>
      <c r="D383" s="1" t="s">
        <v>43</v>
      </c>
      <c r="E383" s="1" t="s">
        <v>10</v>
      </c>
    </row>
    <row r="384" spans="1:5" x14ac:dyDescent="0.25">
      <c r="A384" s="13">
        <v>19395227</v>
      </c>
      <c r="B384" s="11" t="s">
        <v>84</v>
      </c>
      <c r="C384" s="1" t="s">
        <v>1953</v>
      </c>
      <c r="D384" s="1" t="s">
        <v>75</v>
      </c>
      <c r="E384" s="1" t="s">
        <v>152</v>
      </c>
    </row>
    <row r="385" spans="1:5" x14ac:dyDescent="0.25">
      <c r="A385" s="13">
        <v>19398191</v>
      </c>
      <c r="B385" s="11" t="s">
        <v>84</v>
      </c>
      <c r="C385" s="1" t="s">
        <v>1951</v>
      </c>
      <c r="D385" s="1" t="s">
        <v>1952</v>
      </c>
      <c r="E385" s="1" t="s">
        <v>25</v>
      </c>
    </row>
    <row r="386" spans="1:5" x14ac:dyDescent="0.25">
      <c r="A386" s="13">
        <v>19402545</v>
      </c>
      <c r="B386" s="11" t="s">
        <v>84</v>
      </c>
      <c r="C386" s="1" t="s">
        <v>1950</v>
      </c>
      <c r="D386" s="1" t="s">
        <v>43</v>
      </c>
      <c r="E386" s="1" t="s">
        <v>881</v>
      </c>
    </row>
    <row r="387" spans="1:5" x14ac:dyDescent="0.25">
      <c r="A387" s="13">
        <v>19402918</v>
      </c>
      <c r="B387" s="11" t="s">
        <v>84</v>
      </c>
      <c r="C387" s="1" t="s">
        <v>1949</v>
      </c>
      <c r="D387" s="1" t="s">
        <v>185</v>
      </c>
      <c r="E387" s="1" t="s">
        <v>9</v>
      </c>
    </row>
    <row r="388" spans="1:5" x14ac:dyDescent="0.25">
      <c r="A388" s="13">
        <v>19408491</v>
      </c>
      <c r="B388" s="11" t="s">
        <v>116</v>
      </c>
      <c r="C388" s="1" t="s">
        <v>1948</v>
      </c>
      <c r="D388" s="1" t="s">
        <v>117</v>
      </c>
      <c r="E388" s="1" t="s">
        <v>10</v>
      </c>
    </row>
    <row r="389" spans="1:5" x14ac:dyDescent="0.25">
      <c r="A389" s="13">
        <v>19415430</v>
      </c>
      <c r="B389" s="11" t="s">
        <v>116</v>
      </c>
      <c r="C389" s="1" t="s">
        <v>1947</v>
      </c>
      <c r="D389" s="1" t="s">
        <v>117</v>
      </c>
      <c r="E389" s="1" t="s">
        <v>6</v>
      </c>
    </row>
    <row r="390" spans="1:5" x14ac:dyDescent="0.25">
      <c r="A390" s="13">
        <v>19415543</v>
      </c>
      <c r="B390" s="11" t="s">
        <v>116</v>
      </c>
      <c r="C390" s="1" t="s">
        <v>1946</v>
      </c>
      <c r="D390" s="1" t="s">
        <v>117</v>
      </c>
      <c r="E390" s="1" t="s">
        <v>333</v>
      </c>
    </row>
    <row r="391" spans="1:5" x14ac:dyDescent="0.25">
      <c r="A391" s="13">
        <v>19415964</v>
      </c>
      <c r="B391" s="11" t="s">
        <v>116</v>
      </c>
      <c r="C391" s="1" t="s">
        <v>1945</v>
      </c>
      <c r="D391" s="1" t="s">
        <v>117</v>
      </c>
      <c r="E391" s="1" t="s">
        <v>127</v>
      </c>
    </row>
    <row r="392" spans="1:5" x14ac:dyDescent="0.25">
      <c r="A392" s="13">
        <v>19419300</v>
      </c>
      <c r="B392" s="11" t="s">
        <v>116</v>
      </c>
      <c r="C392" s="1" t="s">
        <v>1944</v>
      </c>
      <c r="D392" s="1" t="s">
        <v>117</v>
      </c>
      <c r="E392" s="1" t="s">
        <v>232</v>
      </c>
    </row>
    <row r="393" spans="1:5" x14ac:dyDescent="0.25">
      <c r="A393" s="13">
        <v>19420994</v>
      </c>
      <c r="B393" s="11" t="s">
        <v>84</v>
      </c>
      <c r="C393" s="1" t="s">
        <v>1943</v>
      </c>
      <c r="D393" s="1" t="s">
        <v>38</v>
      </c>
      <c r="E393" s="1" t="s">
        <v>8</v>
      </c>
    </row>
    <row r="394" spans="1:5" x14ac:dyDescent="0.25">
      <c r="A394" s="13">
        <v>19423667</v>
      </c>
      <c r="B394" s="11" t="s">
        <v>109</v>
      </c>
      <c r="C394" s="1" t="s">
        <v>1942</v>
      </c>
      <c r="D394" s="1" t="s">
        <v>131</v>
      </c>
      <c r="E394" s="1" t="s">
        <v>131</v>
      </c>
    </row>
    <row r="395" spans="1:5" x14ac:dyDescent="0.25">
      <c r="A395" s="13">
        <v>19423669</v>
      </c>
      <c r="B395" s="11" t="s">
        <v>116</v>
      </c>
      <c r="C395" s="1" t="s">
        <v>1941</v>
      </c>
      <c r="D395" s="1" t="s">
        <v>117</v>
      </c>
      <c r="E395" s="1" t="s">
        <v>491</v>
      </c>
    </row>
    <row r="396" spans="1:5" x14ac:dyDescent="0.25">
      <c r="A396" s="13">
        <v>19424236</v>
      </c>
      <c r="B396" s="11" t="s">
        <v>116</v>
      </c>
      <c r="C396" s="1" t="s">
        <v>1940</v>
      </c>
      <c r="D396" s="1" t="s">
        <v>117</v>
      </c>
      <c r="E396" s="1" t="s">
        <v>263</v>
      </c>
    </row>
    <row r="397" spans="1:5" x14ac:dyDescent="0.25">
      <c r="A397" s="13">
        <v>19424968</v>
      </c>
      <c r="B397" s="11" t="s">
        <v>109</v>
      </c>
      <c r="C397" s="1" t="s">
        <v>1939</v>
      </c>
      <c r="D397" s="1" t="s">
        <v>131</v>
      </c>
      <c r="E397" s="1" t="s">
        <v>131</v>
      </c>
    </row>
    <row r="398" spans="1:5" x14ac:dyDescent="0.25">
      <c r="A398" s="13">
        <v>19425103</v>
      </c>
      <c r="B398" s="11" t="s">
        <v>116</v>
      </c>
      <c r="C398" s="1" t="s">
        <v>1938</v>
      </c>
      <c r="D398" s="1" t="s">
        <v>117</v>
      </c>
      <c r="E398" s="1" t="s">
        <v>147</v>
      </c>
    </row>
    <row r="399" spans="1:5" x14ac:dyDescent="0.25">
      <c r="A399" s="13">
        <v>19427242</v>
      </c>
      <c r="B399" s="11" t="s">
        <v>116</v>
      </c>
      <c r="C399" s="1" t="s">
        <v>1937</v>
      </c>
      <c r="D399" s="1" t="s">
        <v>117</v>
      </c>
      <c r="E399" s="1" t="s">
        <v>336</v>
      </c>
    </row>
    <row r="400" spans="1:5" x14ac:dyDescent="0.25">
      <c r="A400" s="13">
        <v>19427320</v>
      </c>
      <c r="B400" s="11" t="s">
        <v>116</v>
      </c>
      <c r="C400" s="1" t="s">
        <v>1936</v>
      </c>
      <c r="D400" s="1" t="s">
        <v>117</v>
      </c>
      <c r="E400" s="1" t="s">
        <v>127</v>
      </c>
    </row>
    <row r="401" spans="1:5" x14ac:dyDescent="0.25">
      <c r="A401" s="13">
        <v>19428644</v>
      </c>
      <c r="B401" s="11" t="s">
        <v>84</v>
      </c>
      <c r="C401" s="1" t="s">
        <v>1935</v>
      </c>
      <c r="D401" s="1" t="s">
        <v>37</v>
      </c>
      <c r="E401" s="1" t="s">
        <v>27</v>
      </c>
    </row>
    <row r="402" spans="1:5" x14ac:dyDescent="0.25">
      <c r="A402" s="13">
        <v>19430314</v>
      </c>
      <c r="B402" s="11" t="s">
        <v>83</v>
      </c>
      <c r="C402" s="1" t="s">
        <v>1933</v>
      </c>
      <c r="D402" s="1" t="s">
        <v>1934</v>
      </c>
      <c r="E402" s="1" t="s">
        <v>242</v>
      </c>
    </row>
    <row r="403" spans="1:5" x14ac:dyDescent="0.25">
      <c r="A403" s="13">
        <v>19433858</v>
      </c>
      <c r="B403" s="11" t="s">
        <v>84</v>
      </c>
      <c r="C403" s="1" t="s">
        <v>1932</v>
      </c>
      <c r="D403" s="1" t="s">
        <v>203</v>
      </c>
      <c r="E403" s="1" t="s">
        <v>173</v>
      </c>
    </row>
    <row r="404" spans="1:5" x14ac:dyDescent="0.25">
      <c r="A404" s="13">
        <v>19435117</v>
      </c>
      <c r="B404" s="11" t="s">
        <v>109</v>
      </c>
      <c r="C404" s="1" t="s">
        <v>1931</v>
      </c>
      <c r="D404" s="1" t="s">
        <v>131</v>
      </c>
      <c r="E404" s="1" t="s">
        <v>131</v>
      </c>
    </row>
    <row r="405" spans="1:5" x14ac:dyDescent="0.25">
      <c r="A405" s="13">
        <v>19438777</v>
      </c>
      <c r="B405" s="11" t="s">
        <v>116</v>
      </c>
      <c r="C405" s="1" t="s">
        <v>1930</v>
      </c>
      <c r="D405" s="1" t="s">
        <v>117</v>
      </c>
      <c r="E405" s="1" t="s">
        <v>17</v>
      </c>
    </row>
    <row r="406" spans="1:5" x14ac:dyDescent="0.25">
      <c r="A406" s="13">
        <v>19439622</v>
      </c>
      <c r="B406" s="11" t="s">
        <v>116</v>
      </c>
      <c r="C406" s="1" t="s">
        <v>1929</v>
      </c>
      <c r="D406" s="1" t="s">
        <v>117</v>
      </c>
      <c r="E406" s="1" t="s">
        <v>179</v>
      </c>
    </row>
    <row r="407" spans="1:5" x14ac:dyDescent="0.25">
      <c r="A407" s="13">
        <v>19440634</v>
      </c>
      <c r="B407" s="11" t="s">
        <v>84</v>
      </c>
      <c r="C407" s="1" t="s">
        <v>1928</v>
      </c>
      <c r="D407" s="1" t="s">
        <v>43</v>
      </c>
      <c r="E407" s="1" t="s">
        <v>3211</v>
      </c>
    </row>
    <row r="408" spans="1:5" x14ac:dyDescent="0.25">
      <c r="A408" s="13">
        <v>19441219</v>
      </c>
      <c r="B408" s="11" t="s">
        <v>84</v>
      </c>
      <c r="C408" s="1" t="s">
        <v>1927</v>
      </c>
      <c r="D408" s="1" t="s">
        <v>185</v>
      </c>
      <c r="E408" s="1" t="s">
        <v>11</v>
      </c>
    </row>
    <row r="409" spans="1:5" x14ac:dyDescent="0.25">
      <c r="A409" s="13">
        <v>19444735</v>
      </c>
      <c r="B409" s="11" t="s">
        <v>116</v>
      </c>
      <c r="C409" s="1" t="s">
        <v>1926</v>
      </c>
      <c r="D409" s="1" t="s">
        <v>117</v>
      </c>
      <c r="E409" s="1" t="s">
        <v>186</v>
      </c>
    </row>
    <row r="410" spans="1:5" x14ac:dyDescent="0.25">
      <c r="A410" s="13">
        <v>19445050</v>
      </c>
      <c r="B410" s="11" t="s">
        <v>83</v>
      </c>
      <c r="C410" s="1" t="s">
        <v>1925</v>
      </c>
      <c r="D410" s="1" t="s">
        <v>131</v>
      </c>
      <c r="E410" s="1" t="s">
        <v>131</v>
      </c>
    </row>
    <row r="411" spans="1:5" x14ac:dyDescent="0.25">
      <c r="A411" s="13">
        <v>19446052</v>
      </c>
      <c r="B411" s="11" t="s">
        <v>116</v>
      </c>
      <c r="C411" s="1" t="s">
        <v>1924</v>
      </c>
      <c r="D411" s="1" t="s">
        <v>117</v>
      </c>
      <c r="E411" s="1" t="s">
        <v>10</v>
      </c>
    </row>
    <row r="412" spans="1:5" x14ac:dyDescent="0.25">
      <c r="A412" s="13">
        <v>19456357</v>
      </c>
      <c r="B412" s="11" t="s">
        <v>116</v>
      </c>
      <c r="C412" s="1" t="s">
        <v>1923</v>
      </c>
      <c r="D412" s="1" t="s">
        <v>117</v>
      </c>
      <c r="E412" s="1" t="s">
        <v>342</v>
      </c>
    </row>
    <row r="413" spans="1:5" x14ac:dyDescent="0.25">
      <c r="A413" s="13">
        <v>19456939</v>
      </c>
      <c r="B413" s="11" t="s">
        <v>84</v>
      </c>
      <c r="C413" s="1" t="s">
        <v>1922</v>
      </c>
      <c r="D413" s="1" t="s">
        <v>151</v>
      </c>
      <c r="E413" s="1" t="s">
        <v>152</v>
      </c>
    </row>
    <row r="414" spans="1:5" x14ac:dyDescent="0.25">
      <c r="A414" s="13">
        <v>19457011</v>
      </c>
      <c r="B414" s="11" t="s">
        <v>109</v>
      </c>
      <c r="C414" s="1" t="s">
        <v>1921</v>
      </c>
      <c r="D414" s="1" t="s">
        <v>131</v>
      </c>
      <c r="E414" s="1" t="s">
        <v>131</v>
      </c>
    </row>
    <row r="415" spans="1:5" x14ac:dyDescent="0.25">
      <c r="A415" s="13">
        <v>19458458</v>
      </c>
      <c r="B415" s="11" t="s">
        <v>109</v>
      </c>
      <c r="C415" s="1" t="s">
        <v>1920</v>
      </c>
      <c r="D415" s="1" t="s">
        <v>131</v>
      </c>
      <c r="E415" s="1" t="s">
        <v>131</v>
      </c>
    </row>
    <row r="416" spans="1:5" x14ac:dyDescent="0.25">
      <c r="A416" s="13">
        <v>19459143</v>
      </c>
      <c r="B416" s="11" t="s">
        <v>109</v>
      </c>
      <c r="C416" s="1" t="s">
        <v>1919</v>
      </c>
      <c r="D416" s="1" t="s">
        <v>131</v>
      </c>
      <c r="E416" s="1" t="s">
        <v>131</v>
      </c>
    </row>
    <row r="417" spans="1:5" x14ac:dyDescent="0.25">
      <c r="A417" s="13">
        <v>19459733</v>
      </c>
      <c r="B417" s="11" t="s">
        <v>84</v>
      </c>
      <c r="C417" s="1" t="s">
        <v>1918</v>
      </c>
      <c r="D417" s="1" t="s">
        <v>38</v>
      </c>
      <c r="E417" s="1" t="s">
        <v>168</v>
      </c>
    </row>
    <row r="418" spans="1:5" x14ac:dyDescent="0.25">
      <c r="A418" s="13">
        <v>19461924</v>
      </c>
      <c r="B418" s="11" t="s">
        <v>84</v>
      </c>
      <c r="C418" s="1" t="s">
        <v>1916</v>
      </c>
      <c r="D418" s="1" t="s">
        <v>43</v>
      </c>
      <c r="E418" s="1" t="s">
        <v>134</v>
      </c>
    </row>
    <row r="419" spans="1:5" x14ac:dyDescent="0.25">
      <c r="A419" s="13">
        <v>19465494</v>
      </c>
      <c r="B419" s="11" t="s">
        <v>83</v>
      </c>
      <c r="C419" s="1" t="s">
        <v>1914</v>
      </c>
      <c r="D419" s="1" t="s">
        <v>1915</v>
      </c>
      <c r="E419" s="1" t="s">
        <v>196</v>
      </c>
    </row>
    <row r="420" spans="1:5" x14ac:dyDescent="0.25">
      <c r="A420" s="13">
        <v>19471216</v>
      </c>
      <c r="B420" s="11" t="s">
        <v>116</v>
      </c>
      <c r="C420" s="1" t="s">
        <v>1913</v>
      </c>
      <c r="D420" s="1" t="s">
        <v>117</v>
      </c>
      <c r="E420" s="1" t="s">
        <v>8</v>
      </c>
    </row>
    <row r="421" spans="1:5" x14ac:dyDescent="0.25">
      <c r="A421" s="13">
        <v>19471862</v>
      </c>
      <c r="B421" s="11" t="s">
        <v>109</v>
      </c>
      <c r="C421" s="1" t="s">
        <v>1912</v>
      </c>
      <c r="D421" s="1" t="s">
        <v>131</v>
      </c>
      <c r="E421" s="1" t="s">
        <v>131</v>
      </c>
    </row>
    <row r="422" spans="1:5" x14ac:dyDescent="0.25">
      <c r="A422" s="13">
        <v>19472803</v>
      </c>
      <c r="B422" s="11" t="s">
        <v>84</v>
      </c>
      <c r="C422" s="1" t="s">
        <v>1911</v>
      </c>
      <c r="D422" s="1" t="s">
        <v>185</v>
      </c>
      <c r="E422" s="1" t="s">
        <v>336</v>
      </c>
    </row>
    <row r="423" spans="1:5" x14ac:dyDescent="0.25">
      <c r="A423" s="13">
        <v>19475719</v>
      </c>
      <c r="B423" s="11" t="s">
        <v>116</v>
      </c>
      <c r="C423" s="1" t="s">
        <v>1910</v>
      </c>
      <c r="D423" s="1" t="s">
        <v>117</v>
      </c>
      <c r="E423" s="1" t="s">
        <v>10</v>
      </c>
    </row>
    <row r="424" spans="1:5" x14ac:dyDescent="0.25">
      <c r="A424" s="13">
        <v>19476071</v>
      </c>
      <c r="B424" s="11" t="s">
        <v>83</v>
      </c>
      <c r="C424" s="1" t="s">
        <v>1909</v>
      </c>
      <c r="D424" s="1" t="s">
        <v>350</v>
      </c>
      <c r="E424" s="1" t="s">
        <v>28</v>
      </c>
    </row>
    <row r="425" spans="1:5" x14ac:dyDescent="0.25">
      <c r="A425" s="13">
        <v>19477794</v>
      </c>
      <c r="B425" s="11" t="s">
        <v>116</v>
      </c>
      <c r="C425" s="1" t="s">
        <v>1908</v>
      </c>
      <c r="D425" s="1" t="s">
        <v>117</v>
      </c>
      <c r="E425" s="1" t="s">
        <v>11</v>
      </c>
    </row>
    <row r="426" spans="1:5" x14ac:dyDescent="0.25">
      <c r="A426" s="13">
        <v>19478179</v>
      </c>
      <c r="B426" s="11" t="s">
        <v>116</v>
      </c>
      <c r="C426" s="1" t="s">
        <v>1907</v>
      </c>
      <c r="D426" s="1" t="s">
        <v>117</v>
      </c>
      <c r="E426" s="1" t="s">
        <v>7</v>
      </c>
    </row>
    <row r="427" spans="1:5" x14ac:dyDescent="0.25">
      <c r="A427" s="13">
        <v>19479698</v>
      </c>
      <c r="B427" s="11" t="s">
        <v>84</v>
      </c>
      <c r="C427" s="1" t="s">
        <v>1906</v>
      </c>
      <c r="D427" s="1" t="s">
        <v>38</v>
      </c>
      <c r="E427" s="1" t="s">
        <v>9</v>
      </c>
    </row>
    <row r="428" spans="1:5" x14ac:dyDescent="0.25">
      <c r="A428" s="13">
        <v>19479890</v>
      </c>
      <c r="B428" s="11" t="s">
        <v>116</v>
      </c>
      <c r="C428" s="1" t="s">
        <v>1905</v>
      </c>
      <c r="D428" s="1" t="s">
        <v>117</v>
      </c>
      <c r="E428" s="1" t="s">
        <v>958</v>
      </c>
    </row>
    <row r="429" spans="1:5" x14ac:dyDescent="0.25">
      <c r="A429" s="13">
        <v>19485631</v>
      </c>
      <c r="B429" s="11" t="s">
        <v>116</v>
      </c>
      <c r="C429" s="1" t="s">
        <v>1904</v>
      </c>
      <c r="D429" s="1" t="s">
        <v>117</v>
      </c>
      <c r="E429" s="1" t="s">
        <v>205</v>
      </c>
    </row>
    <row r="430" spans="1:5" x14ac:dyDescent="0.25">
      <c r="A430" s="13">
        <v>19486595</v>
      </c>
      <c r="B430" s="11" t="s">
        <v>109</v>
      </c>
      <c r="C430" s="1" t="s">
        <v>1903</v>
      </c>
      <c r="D430" s="1" t="s">
        <v>131</v>
      </c>
      <c r="E430" s="1" t="s">
        <v>131</v>
      </c>
    </row>
    <row r="431" spans="1:5" x14ac:dyDescent="0.25">
      <c r="A431" s="13">
        <v>19487138</v>
      </c>
      <c r="B431" s="11" t="s">
        <v>116</v>
      </c>
      <c r="C431" s="1" t="s">
        <v>1902</v>
      </c>
      <c r="D431" s="1" t="s">
        <v>117</v>
      </c>
      <c r="E431" s="1" t="s">
        <v>10</v>
      </c>
    </row>
    <row r="432" spans="1:5" x14ac:dyDescent="0.25">
      <c r="A432" s="13">
        <v>19488606</v>
      </c>
      <c r="B432" s="11" t="s">
        <v>83</v>
      </c>
      <c r="C432" s="1" t="s">
        <v>1901</v>
      </c>
      <c r="D432" s="1" t="s">
        <v>58</v>
      </c>
      <c r="E432" s="1" t="s">
        <v>23</v>
      </c>
    </row>
    <row r="433" spans="1:5" x14ac:dyDescent="0.25">
      <c r="A433" s="13">
        <v>19490220</v>
      </c>
      <c r="B433" s="11" t="s">
        <v>116</v>
      </c>
      <c r="C433" s="1" t="s">
        <v>1900</v>
      </c>
      <c r="D433" s="1" t="s">
        <v>117</v>
      </c>
      <c r="E433" s="1" t="s">
        <v>205</v>
      </c>
    </row>
    <row r="434" spans="1:5" x14ac:dyDescent="0.25">
      <c r="A434" s="13">
        <v>19490613</v>
      </c>
      <c r="B434" s="11" t="s">
        <v>84</v>
      </c>
      <c r="C434" s="1" t="s">
        <v>1899</v>
      </c>
      <c r="D434" s="1" t="s">
        <v>38</v>
      </c>
      <c r="E434" s="1" t="s">
        <v>127</v>
      </c>
    </row>
    <row r="435" spans="1:5" x14ac:dyDescent="0.25">
      <c r="A435" s="13">
        <v>19492719</v>
      </c>
      <c r="B435" s="11" t="s">
        <v>84</v>
      </c>
      <c r="C435" s="1" t="s">
        <v>1898</v>
      </c>
      <c r="D435" s="1" t="s">
        <v>38</v>
      </c>
      <c r="E435" s="1" t="s">
        <v>3</v>
      </c>
    </row>
    <row r="436" spans="1:5" x14ac:dyDescent="0.25">
      <c r="A436" s="13">
        <v>19494947</v>
      </c>
      <c r="B436" s="11" t="s">
        <v>116</v>
      </c>
      <c r="C436" s="1" t="s">
        <v>1897</v>
      </c>
      <c r="D436" s="1" t="s">
        <v>117</v>
      </c>
      <c r="E436" s="1" t="s">
        <v>10</v>
      </c>
    </row>
    <row r="437" spans="1:5" x14ac:dyDescent="0.25">
      <c r="A437" s="13">
        <v>19495049</v>
      </c>
      <c r="B437" s="11" t="s">
        <v>116</v>
      </c>
      <c r="C437" s="1" t="s">
        <v>1896</v>
      </c>
      <c r="D437" s="1" t="s">
        <v>117</v>
      </c>
      <c r="E437" s="1" t="s">
        <v>85</v>
      </c>
    </row>
    <row r="438" spans="1:5" x14ac:dyDescent="0.25">
      <c r="A438" s="13">
        <v>20352576</v>
      </c>
      <c r="B438" s="11" t="s">
        <v>83</v>
      </c>
      <c r="C438" s="1" t="s">
        <v>1895</v>
      </c>
      <c r="D438" s="1" t="s">
        <v>1286</v>
      </c>
      <c r="E438" s="1" t="s">
        <v>525</v>
      </c>
    </row>
    <row r="439" spans="1:5" x14ac:dyDescent="0.25">
      <c r="A439" s="13">
        <v>20368570</v>
      </c>
      <c r="B439" s="11" t="s">
        <v>84</v>
      </c>
      <c r="C439" s="1" t="s">
        <v>1894</v>
      </c>
      <c r="D439" s="1" t="s">
        <v>38</v>
      </c>
      <c r="E439" s="1" t="s">
        <v>237</v>
      </c>
    </row>
    <row r="440" spans="1:5" x14ac:dyDescent="0.25">
      <c r="A440" s="13">
        <v>20404485</v>
      </c>
      <c r="B440" s="11" t="s">
        <v>116</v>
      </c>
      <c r="C440" s="1" t="s">
        <v>1893</v>
      </c>
      <c r="D440" s="1" t="s">
        <v>117</v>
      </c>
      <c r="E440" s="1" t="s">
        <v>8</v>
      </c>
    </row>
    <row r="441" spans="1:5" x14ac:dyDescent="0.25">
      <c r="A441" s="13">
        <v>20410638</v>
      </c>
      <c r="B441" s="11" t="s">
        <v>84</v>
      </c>
      <c r="C441" s="1" t="s">
        <v>1891</v>
      </c>
      <c r="D441" s="1" t="s">
        <v>1892</v>
      </c>
      <c r="E441" s="1" t="s">
        <v>1</v>
      </c>
    </row>
    <row r="442" spans="1:5" x14ac:dyDescent="0.25">
      <c r="A442" s="13">
        <v>20424399</v>
      </c>
      <c r="B442" s="11" t="s">
        <v>83</v>
      </c>
      <c r="C442" s="1" t="s">
        <v>1890</v>
      </c>
      <c r="D442" s="1" t="s">
        <v>1077</v>
      </c>
      <c r="E442" s="1" t="s">
        <v>27</v>
      </c>
    </row>
    <row r="443" spans="1:5" x14ac:dyDescent="0.25">
      <c r="A443" s="13">
        <v>20471714</v>
      </c>
      <c r="B443" s="11" t="s">
        <v>116</v>
      </c>
      <c r="C443" s="1" t="s">
        <v>1889</v>
      </c>
      <c r="D443" s="1" t="s">
        <v>117</v>
      </c>
      <c r="E443" s="1" t="s">
        <v>417</v>
      </c>
    </row>
    <row r="444" spans="1:5" x14ac:dyDescent="0.25">
      <c r="A444" s="13">
        <v>20533444</v>
      </c>
      <c r="B444" s="11" t="s">
        <v>116</v>
      </c>
      <c r="C444" s="1" t="s">
        <v>1888</v>
      </c>
      <c r="D444" s="1" t="s">
        <v>117</v>
      </c>
      <c r="E444" s="1" t="s">
        <v>12</v>
      </c>
    </row>
    <row r="445" spans="1:5" x14ac:dyDescent="0.25">
      <c r="A445" s="13">
        <v>20876056</v>
      </c>
      <c r="B445" s="11" t="s">
        <v>83</v>
      </c>
      <c r="C445" s="1" t="s">
        <v>3200</v>
      </c>
      <c r="D445" s="1" t="s">
        <v>40</v>
      </c>
      <c r="E445" s="1" t="s">
        <v>23</v>
      </c>
    </row>
    <row r="446" spans="1:5" x14ac:dyDescent="0.25">
      <c r="A446" s="13">
        <v>20896737</v>
      </c>
      <c r="B446" s="11" t="s">
        <v>116</v>
      </c>
      <c r="C446" s="1" t="s">
        <v>1887</v>
      </c>
      <c r="D446" s="1" t="s">
        <v>117</v>
      </c>
      <c r="E446" s="1" t="s">
        <v>2</v>
      </c>
    </row>
    <row r="447" spans="1:5" x14ac:dyDescent="0.25">
      <c r="A447" s="13">
        <v>20956337</v>
      </c>
      <c r="B447" s="11" t="s">
        <v>109</v>
      </c>
      <c r="C447" s="1" t="s">
        <v>1886</v>
      </c>
      <c r="D447" s="1" t="s">
        <v>131</v>
      </c>
      <c r="E447" s="1" t="s">
        <v>131</v>
      </c>
    </row>
    <row r="448" spans="1:5" x14ac:dyDescent="0.25">
      <c r="A448" s="13">
        <v>21018581</v>
      </c>
      <c r="B448" s="11" t="s">
        <v>83</v>
      </c>
      <c r="C448" s="1" t="s">
        <v>1884</v>
      </c>
      <c r="D448" s="1" t="s">
        <v>1885</v>
      </c>
      <c r="E448" s="1" t="s">
        <v>4</v>
      </c>
    </row>
    <row r="449" spans="1:5" x14ac:dyDescent="0.25">
      <c r="A449" s="13">
        <v>21021185</v>
      </c>
      <c r="B449" s="11" t="s">
        <v>84</v>
      </c>
      <c r="C449" s="1" t="s">
        <v>1883</v>
      </c>
      <c r="D449" s="1" t="s">
        <v>38</v>
      </c>
      <c r="E449" s="1" t="s">
        <v>5</v>
      </c>
    </row>
    <row r="450" spans="1:5" x14ac:dyDescent="0.25">
      <c r="A450" s="13">
        <v>21114015</v>
      </c>
      <c r="B450" s="11" t="s">
        <v>83</v>
      </c>
      <c r="C450" s="1" t="s">
        <v>1882</v>
      </c>
      <c r="D450" s="1" t="s">
        <v>72</v>
      </c>
      <c r="E450" s="1" t="s">
        <v>23</v>
      </c>
    </row>
    <row r="451" spans="1:5" x14ac:dyDescent="0.25">
      <c r="A451" s="13">
        <v>21231917</v>
      </c>
      <c r="B451" s="11" t="s">
        <v>116</v>
      </c>
      <c r="C451" s="1" t="s">
        <v>1881</v>
      </c>
      <c r="D451" s="1" t="s">
        <v>117</v>
      </c>
      <c r="E451" s="1" t="s">
        <v>9</v>
      </c>
    </row>
    <row r="452" spans="1:5" x14ac:dyDescent="0.25">
      <c r="A452" s="13">
        <v>22401113</v>
      </c>
      <c r="B452" s="11" t="s">
        <v>84</v>
      </c>
      <c r="C452" s="1" t="s">
        <v>1879</v>
      </c>
      <c r="D452" s="1" t="s">
        <v>1880</v>
      </c>
      <c r="E452" s="1" t="s">
        <v>1</v>
      </c>
    </row>
    <row r="453" spans="1:5" x14ac:dyDescent="0.25">
      <c r="A453" s="13">
        <v>22468961</v>
      </c>
      <c r="B453" s="11" t="s">
        <v>116</v>
      </c>
      <c r="C453" s="1" t="s">
        <v>1878</v>
      </c>
      <c r="D453" s="1" t="s">
        <v>117</v>
      </c>
      <c r="E453" s="1" t="s">
        <v>14</v>
      </c>
    </row>
    <row r="454" spans="1:5" x14ac:dyDescent="0.25">
      <c r="A454" s="13">
        <v>22492135</v>
      </c>
      <c r="B454" s="11" t="s">
        <v>116</v>
      </c>
      <c r="C454" s="1" t="s">
        <v>1877</v>
      </c>
      <c r="D454" s="1" t="s">
        <v>117</v>
      </c>
      <c r="E454" s="1" t="s">
        <v>147</v>
      </c>
    </row>
    <row r="455" spans="1:5" x14ac:dyDescent="0.25">
      <c r="A455" s="13">
        <v>22550425</v>
      </c>
      <c r="B455" s="11" t="s">
        <v>83</v>
      </c>
      <c r="C455" s="1" t="s">
        <v>1875</v>
      </c>
      <c r="D455" s="1" t="s">
        <v>1876</v>
      </c>
      <c r="E455" s="1" t="s">
        <v>21</v>
      </c>
    </row>
    <row r="456" spans="1:5" x14ac:dyDescent="0.25">
      <c r="A456" s="13">
        <v>22837381</v>
      </c>
      <c r="B456" s="11" t="s">
        <v>83</v>
      </c>
      <c r="C456" s="1" t="s">
        <v>1874</v>
      </c>
      <c r="D456" s="1" t="s">
        <v>47</v>
      </c>
      <c r="E456" s="1" t="s">
        <v>24</v>
      </c>
    </row>
    <row r="457" spans="1:5" x14ac:dyDescent="0.25">
      <c r="A457" s="13">
        <v>23326631</v>
      </c>
      <c r="B457" s="11" t="s">
        <v>83</v>
      </c>
      <c r="C457" s="1" t="s">
        <v>1873</v>
      </c>
      <c r="D457" s="1" t="s">
        <v>1158</v>
      </c>
      <c r="E457" s="1" t="s">
        <v>31</v>
      </c>
    </row>
    <row r="458" spans="1:5" x14ac:dyDescent="0.25">
      <c r="A458" s="13">
        <v>23491537</v>
      </c>
      <c r="B458" s="11" t="s">
        <v>83</v>
      </c>
      <c r="C458" s="1" t="s">
        <v>1872</v>
      </c>
      <c r="D458" s="1" t="s">
        <v>40</v>
      </c>
      <c r="E458" s="1" t="s">
        <v>23</v>
      </c>
    </row>
    <row r="459" spans="1:5" x14ac:dyDescent="0.25">
      <c r="A459" s="13">
        <v>23500133</v>
      </c>
      <c r="B459" s="11" t="s">
        <v>116</v>
      </c>
      <c r="C459" s="1" t="s">
        <v>1871</v>
      </c>
      <c r="D459" s="1" t="s">
        <v>117</v>
      </c>
      <c r="E459" s="1" t="s">
        <v>333</v>
      </c>
    </row>
    <row r="460" spans="1:5" x14ac:dyDescent="0.25">
      <c r="A460" s="13">
        <v>23810964</v>
      </c>
      <c r="B460" s="11" t="s">
        <v>84</v>
      </c>
      <c r="C460" s="1" t="s">
        <v>3547</v>
      </c>
      <c r="D460" s="1" t="s">
        <v>38</v>
      </c>
      <c r="E460" s="1" t="s">
        <v>11</v>
      </c>
    </row>
    <row r="461" spans="1:5" x14ac:dyDescent="0.25">
      <c r="A461" s="13">
        <v>23823911</v>
      </c>
      <c r="B461" s="11" t="s">
        <v>116</v>
      </c>
      <c r="C461" s="1" t="s">
        <v>1870</v>
      </c>
      <c r="D461" s="1" t="s">
        <v>117</v>
      </c>
      <c r="E461" s="1" t="s">
        <v>12</v>
      </c>
    </row>
    <row r="462" spans="1:5" x14ac:dyDescent="0.25">
      <c r="A462" s="13">
        <v>24017892</v>
      </c>
      <c r="B462" s="11" t="s">
        <v>109</v>
      </c>
      <c r="C462" s="1" t="s">
        <v>1869</v>
      </c>
      <c r="D462" s="1" t="s">
        <v>131</v>
      </c>
      <c r="E462" s="1" t="s">
        <v>131</v>
      </c>
    </row>
    <row r="463" spans="1:5" x14ac:dyDescent="0.25">
      <c r="A463" s="13">
        <v>24030706</v>
      </c>
      <c r="B463" s="11" t="s">
        <v>109</v>
      </c>
      <c r="C463" s="1" t="s">
        <v>1868</v>
      </c>
      <c r="D463" s="1" t="s">
        <v>131</v>
      </c>
      <c r="E463" s="1" t="s">
        <v>131</v>
      </c>
    </row>
    <row r="464" spans="1:5" x14ac:dyDescent="0.25">
      <c r="A464" s="13">
        <v>24156667</v>
      </c>
      <c r="B464" s="11" t="s">
        <v>83</v>
      </c>
      <c r="C464" s="1" t="s">
        <v>1867</v>
      </c>
      <c r="D464" s="1" t="s">
        <v>1077</v>
      </c>
      <c r="E464" s="1" t="s">
        <v>27</v>
      </c>
    </row>
    <row r="465" spans="1:5" x14ac:dyDescent="0.25">
      <c r="A465" s="13">
        <v>24170170</v>
      </c>
      <c r="B465" s="11" t="s">
        <v>116</v>
      </c>
      <c r="C465" s="1" t="s">
        <v>1866</v>
      </c>
      <c r="D465" s="1" t="s">
        <v>117</v>
      </c>
      <c r="E465" s="1" t="s">
        <v>179</v>
      </c>
    </row>
    <row r="466" spans="1:5" x14ac:dyDescent="0.25">
      <c r="A466" s="13">
        <v>24175966</v>
      </c>
      <c r="B466" s="11" t="s">
        <v>83</v>
      </c>
      <c r="C466" s="1" t="s">
        <v>1865</v>
      </c>
      <c r="D466" s="1" t="s">
        <v>40</v>
      </c>
      <c r="E466" s="1" t="s">
        <v>23</v>
      </c>
    </row>
    <row r="467" spans="1:5" x14ac:dyDescent="0.25">
      <c r="A467" s="13">
        <v>24213115</v>
      </c>
      <c r="B467" s="11" t="s">
        <v>84</v>
      </c>
      <c r="C467" s="1" t="s">
        <v>1864</v>
      </c>
      <c r="D467" s="1" t="s">
        <v>353</v>
      </c>
      <c r="E467" s="1" t="s">
        <v>26</v>
      </c>
    </row>
    <row r="468" spans="1:5" x14ac:dyDescent="0.25">
      <c r="A468" s="13">
        <v>24315822</v>
      </c>
      <c r="B468" s="11" t="s">
        <v>84</v>
      </c>
      <c r="C468" s="1" t="s">
        <v>1863</v>
      </c>
      <c r="D468" s="1" t="s">
        <v>43</v>
      </c>
      <c r="E468" s="1" t="s">
        <v>127</v>
      </c>
    </row>
    <row r="469" spans="1:5" x14ac:dyDescent="0.25">
      <c r="A469" s="13">
        <v>24334467</v>
      </c>
      <c r="B469" s="11" t="s">
        <v>84</v>
      </c>
      <c r="C469" s="1" t="s">
        <v>3658</v>
      </c>
      <c r="D469" s="1" t="s">
        <v>38</v>
      </c>
      <c r="E469" s="1" t="s">
        <v>5</v>
      </c>
    </row>
    <row r="470" spans="1:5" x14ac:dyDescent="0.25">
      <c r="A470" s="13">
        <v>24474567</v>
      </c>
      <c r="B470" s="11" t="s">
        <v>116</v>
      </c>
      <c r="C470" s="1" t="s">
        <v>1862</v>
      </c>
      <c r="D470" s="1" t="s">
        <v>117</v>
      </c>
      <c r="E470" s="1" t="s">
        <v>127</v>
      </c>
    </row>
    <row r="471" spans="1:5" x14ac:dyDescent="0.25">
      <c r="A471" s="13">
        <v>24476160</v>
      </c>
      <c r="B471" s="11" t="s">
        <v>109</v>
      </c>
      <c r="C471" s="1" t="s">
        <v>1861</v>
      </c>
      <c r="D471" s="1" t="s">
        <v>131</v>
      </c>
      <c r="E471" s="1" t="s">
        <v>131</v>
      </c>
    </row>
    <row r="472" spans="1:5" x14ac:dyDescent="0.25">
      <c r="A472" s="13">
        <v>26482867</v>
      </c>
      <c r="B472" s="11" t="s">
        <v>116</v>
      </c>
      <c r="C472" s="1" t="s">
        <v>1859</v>
      </c>
      <c r="D472" s="1" t="s">
        <v>117</v>
      </c>
      <c r="E472" s="1" t="s">
        <v>8</v>
      </c>
    </row>
    <row r="473" spans="1:5" x14ac:dyDescent="0.25">
      <c r="A473" s="13">
        <v>27800754</v>
      </c>
      <c r="B473" s="11" t="s">
        <v>84</v>
      </c>
      <c r="C473" s="1" t="s">
        <v>1858</v>
      </c>
      <c r="D473" s="1" t="s">
        <v>38</v>
      </c>
      <c r="E473" s="1" t="s">
        <v>8</v>
      </c>
    </row>
    <row r="474" spans="1:5" x14ac:dyDescent="0.25">
      <c r="A474" s="13">
        <v>28427839</v>
      </c>
      <c r="B474" s="11" t="s">
        <v>116</v>
      </c>
      <c r="C474" s="1" t="s">
        <v>1856</v>
      </c>
      <c r="D474" s="1" t="s">
        <v>117</v>
      </c>
      <c r="E474" s="1" t="s">
        <v>147</v>
      </c>
    </row>
    <row r="475" spans="1:5" x14ac:dyDescent="0.25">
      <c r="A475" s="13">
        <v>28550789</v>
      </c>
      <c r="B475" s="11" t="s">
        <v>116</v>
      </c>
      <c r="C475" s="1" t="s">
        <v>1855</v>
      </c>
      <c r="D475" s="1" t="s">
        <v>117</v>
      </c>
      <c r="E475" s="1" t="s">
        <v>86</v>
      </c>
    </row>
    <row r="476" spans="1:5" x14ac:dyDescent="0.25">
      <c r="A476" s="13">
        <v>28551096</v>
      </c>
      <c r="B476" s="11" t="s">
        <v>84</v>
      </c>
      <c r="C476" s="1" t="s">
        <v>3548</v>
      </c>
      <c r="D476" s="1" t="s">
        <v>38</v>
      </c>
      <c r="E476" s="1" t="s">
        <v>10</v>
      </c>
    </row>
    <row r="477" spans="1:5" x14ac:dyDescent="0.25">
      <c r="A477" s="13">
        <v>28719270</v>
      </c>
      <c r="B477" s="11" t="s">
        <v>83</v>
      </c>
      <c r="C477" s="1" t="s">
        <v>1854</v>
      </c>
      <c r="D477" s="1" t="s">
        <v>1769</v>
      </c>
      <c r="E477" s="1" t="s">
        <v>4</v>
      </c>
    </row>
    <row r="478" spans="1:5" x14ac:dyDescent="0.25">
      <c r="A478" s="13">
        <v>28787709</v>
      </c>
      <c r="B478" s="11" t="s">
        <v>84</v>
      </c>
      <c r="C478" s="1" t="s">
        <v>1853</v>
      </c>
      <c r="D478" s="1" t="s">
        <v>381</v>
      </c>
      <c r="E478" s="1" t="s">
        <v>26</v>
      </c>
    </row>
    <row r="479" spans="1:5" x14ac:dyDescent="0.25">
      <c r="A479" s="13">
        <v>28798349</v>
      </c>
      <c r="B479" s="11" t="s">
        <v>83</v>
      </c>
      <c r="C479" s="1" t="s">
        <v>3549</v>
      </c>
      <c r="D479" s="1" t="s">
        <v>48</v>
      </c>
      <c r="E479" s="1" t="s">
        <v>196</v>
      </c>
    </row>
    <row r="480" spans="1:5" x14ac:dyDescent="0.25">
      <c r="A480" s="13">
        <v>28821300</v>
      </c>
      <c r="B480" s="11" t="s">
        <v>83</v>
      </c>
      <c r="C480" s="1" t="s">
        <v>1852</v>
      </c>
      <c r="D480" s="1" t="s">
        <v>1381</v>
      </c>
      <c r="E480" s="1" t="s">
        <v>272</v>
      </c>
    </row>
    <row r="481" spans="1:5" x14ac:dyDescent="0.25">
      <c r="A481" s="13">
        <v>28821484</v>
      </c>
      <c r="B481" s="11" t="s">
        <v>84</v>
      </c>
      <c r="C481" s="1" t="s">
        <v>1851</v>
      </c>
      <c r="D481" s="1" t="s">
        <v>1381</v>
      </c>
      <c r="E481" s="1" t="s">
        <v>17</v>
      </c>
    </row>
    <row r="482" spans="1:5" x14ac:dyDescent="0.25">
      <c r="A482" s="13">
        <v>28845358</v>
      </c>
      <c r="B482" s="11" t="s">
        <v>116</v>
      </c>
      <c r="C482" s="1" t="s">
        <v>1850</v>
      </c>
      <c r="D482" s="1" t="s">
        <v>117</v>
      </c>
      <c r="E482" s="1" t="s">
        <v>5</v>
      </c>
    </row>
    <row r="483" spans="1:5" x14ac:dyDescent="0.25">
      <c r="A483" s="13">
        <v>28853897</v>
      </c>
      <c r="B483" s="11" t="s">
        <v>116</v>
      </c>
      <c r="C483" s="1" t="s">
        <v>1849</v>
      </c>
      <c r="D483" s="1" t="s">
        <v>117</v>
      </c>
      <c r="E483" s="1" t="s">
        <v>10</v>
      </c>
    </row>
    <row r="484" spans="1:5" x14ac:dyDescent="0.25">
      <c r="A484" s="13">
        <v>29108588</v>
      </c>
      <c r="B484" s="11" t="s">
        <v>116</v>
      </c>
      <c r="C484" s="1" t="s">
        <v>1847</v>
      </c>
      <c r="D484" s="1" t="s">
        <v>117</v>
      </c>
      <c r="E484" s="1" t="s">
        <v>8</v>
      </c>
    </row>
    <row r="485" spans="1:5" x14ac:dyDescent="0.25">
      <c r="A485" s="13">
        <v>30206629</v>
      </c>
      <c r="B485" s="11" t="s">
        <v>116</v>
      </c>
      <c r="C485" s="1" t="s">
        <v>1843</v>
      </c>
      <c r="D485" s="1" t="s">
        <v>117</v>
      </c>
      <c r="E485" s="1" t="s">
        <v>12</v>
      </c>
    </row>
    <row r="486" spans="1:5" x14ac:dyDescent="0.25">
      <c r="A486" s="13">
        <v>30226211</v>
      </c>
      <c r="B486" s="11" t="s">
        <v>83</v>
      </c>
      <c r="C486" s="1" t="s">
        <v>1840</v>
      </c>
      <c r="D486" s="1" t="s">
        <v>40</v>
      </c>
      <c r="E486" s="1" t="s">
        <v>23</v>
      </c>
    </row>
    <row r="487" spans="1:5" x14ac:dyDescent="0.25">
      <c r="A487" s="13">
        <v>30280203</v>
      </c>
      <c r="B487" s="11" t="s">
        <v>84</v>
      </c>
      <c r="C487" s="1" t="s">
        <v>1839</v>
      </c>
      <c r="D487" s="1" t="s">
        <v>38</v>
      </c>
      <c r="E487" s="1" t="s">
        <v>85</v>
      </c>
    </row>
    <row r="488" spans="1:5" x14ac:dyDescent="0.25">
      <c r="A488" s="13">
        <v>30341704</v>
      </c>
      <c r="B488" s="11" t="s">
        <v>116</v>
      </c>
      <c r="C488" s="1" t="s">
        <v>1838</v>
      </c>
      <c r="D488" s="1" t="s">
        <v>117</v>
      </c>
      <c r="E488" s="1" t="s">
        <v>186</v>
      </c>
    </row>
    <row r="489" spans="1:5" x14ac:dyDescent="0.25">
      <c r="A489" s="13">
        <v>30343046</v>
      </c>
      <c r="B489" s="11" t="s">
        <v>116</v>
      </c>
      <c r="C489" s="1" t="s">
        <v>1837</v>
      </c>
      <c r="D489" s="1" t="s">
        <v>117</v>
      </c>
      <c r="E489" s="1" t="s">
        <v>127</v>
      </c>
    </row>
    <row r="490" spans="1:5" x14ac:dyDescent="0.25">
      <c r="A490" s="13">
        <v>30392551</v>
      </c>
      <c r="B490" s="11" t="s">
        <v>116</v>
      </c>
      <c r="C490" s="1" t="s">
        <v>1836</v>
      </c>
      <c r="D490" s="1" t="s">
        <v>117</v>
      </c>
      <c r="E490" s="1" t="s">
        <v>6</v>
      </c>
    </row>
    <row r="491" spans="1:5" x14ac:dyDescent="0.25">
      <c r="A491" s="13">
        <v>30399763</v>
      </c>
      <c r="B491" s="11" t="s">
        <v>116</v>
      </c>
      <c r="C491" s="1" t="s">
        <v>1835</v>
      </c>
      <c r="D491" s="1" t="s">
        <v>117</v>
      </c>
      <c r="E491" s="1" t="s">
        <v>10</v>
      </c>
    </row>
    <row r="492" spans="1:5" x14ac:dyDescent="0.25">
      <c r="A492" s="13">
        <v>30403044</v>
      </c>
      <c r="B492" s="11" t="s">
        <v>116</v>
      </c>
      <c r="C492" s="1" t="s">
        <v>1834</v>
      </c>
      <c r="D492" s="1" t="s">
        <v>117</v>
      </c>
      <c r="E492" s="1" t="s">
        <v>179</v>
      </c>
    </row>
    <row r="493" spans="1:5" x14ac:dyDescent="0.25">
      <c r="A493" s="13">
        <v>30575692</v>
      </c>
      <c r="B493" s="11" t="s">
        <v>83</v>
      </c>
      <c r="C493" s="1" t="s">
        <v>3201</v>
      </c>
      <c r="D493" s="1" t="s">
        <v>3202</v>
      </c>
      <c r="E493" s="1" t="s">
        <v>19</v>
      </c>
    </row>
    <row r="494" spans="1:5" x14ac:dyDescent="0.25">
      <c r="A494" s="13">
        <v>32108192</v>
      </c>
      <c r="B494" s="11" t="s">
        <v>116</v>
      </c>
      <c r="C494" s="1" t="s">
        <v>1828</v>
      </c>
      <c r="D494" s="1" t="s">
        <v>117</v>
      </c>
      <c r="E494" s="1" t="s">
        <v>205</v>
      </c>
    </row>
    <row r="495" spans="1:5" x14ac:dyDescent="0.25">
      <c r="A495" s="13">
        <v>32418878</v>
      </c>
      <c r="B495" s="11" t="s">
        <v>116</v>
      </c>
      <c r="C495" s="1" t="s">
        <v>1823</v>
      </c>
      <c r="D495" s="1" t="s">
        <v>117</v>
      </c>
      <c r="E495" s="1" t="s">
        <v>9</v>
      </c>
    </row>
    <row r="496" spans="1:5" x14ac:dyDescent="0.25">
      <c r="A496" s="13">
        <v>32526338</v>
      </c>
      <c r="B496" s="11" t="s">
        <v>83</v>
      </c>
      <c r="C496" s="1" t="s">
        <v>1821</v>
      </c>
      <c r="D496" s="1" t="s">
        <v>75</v>
      </c>
      <c r="E496" s="1" t="s">
        <v>19</v>
      </c>
    </row>
    <row r="497" spans="1:5" x14ac:dyDescent="0.25">
      <c r="A497" s="13">
        <v>32538051</v>
      </c>
      <c r="B497" s="11" t="s">
        <v>116</v>
      </c>
      <c r="C497" s="1" t="s">
        <v>1820</v>
      </c>
      <c r="D497" s="1" t="s">
        <v>117</v>
      </c>
      <c r="E497" s="1" t="s">
        <v>491</v>
      </c>
    </row>
    <row r="498" spans="1:5" x14ac:dyDescent="0.25">
      <c r="A498" s="13">
        <v>32543715</v>
      </c>
      <c r="B498" s="11" t="s">
        <v>116</v>
      </c>
      <c r="C498" s="1" t="s">
        <v>1818</v>
      </c>
      <c r="D498" s="1" t="s">
        <v>117</v>
      </c>
      <c r="E498" s="1" t="s">
        <v>1819</v>
      </c>
    </row>
    <row r="499" spans="1:5" x14ac:dyDescent="0.25">
      <c r="A499" s="13">
        <v>32761328</v>
      </c>
      <c r="B499" s="11" t="s">
        <v>116</v>
      </c>
      <c r="C499" s="1" t="s">
        <v>1817</v>
      </c>
      <c r="D499" s="1" t="s">
        <v>117</v>
      </c>
      <c r="E499" s="1" t="s">
        <v>127</v>
      </c>
    </row>
    <row r="500" spans="1:5" x14ac:dyDescent="0.25">
      <c r="A500" s="13">
        <v>32797221</v>
      </c>
      <c r="B500" s="11" t="s">
        <v>116</v>
      </c>
      <c r="C500" s="1" t="s">
        <v>1816</v>
      </c>
      <c r="D500" s="1" t="s">
        <v>117</v>
      </c>
      <c r="E500" s="1" t="s">
        <v>86</v>
      </c>
    </row>
    <row r="501" spans="1:5" x14ac:dyDescent="0.25">
      <c r="A501" s="13">
        <v>33339091</v>
      </c>
      <c r="B501" s="11" t="s">
        <v>116</v>
      </c>
      <c r="C501" s="1" t="s">
        <v>1815</v>
      </c>
      <c r="D501" s="1" t="s">
        <v>117</v>
      </c>
      <c r="E501" s="1" t="s">
        <v>8</v>
      </c>
    </row>
    <row r="502" spans="1:5" x14ac:dyDescent="0.25">
      <c r="A502" s="13">
        <v>33449840</v>
      </c>
      <c r="B502" s="11" t="s">
        <v>109</v>
      </c>
      <c r="C502" s="1" t="s">
        <v>1814</v>
      </c>
      <c r="D502" s="1" t="s">
        <v>131</v>
      </c>
      <c r="E502" s="1" t="s">
        <v>131</v>
      </c>
    </row>
    <row r="503" spans="1:5" x14ac:dyDescent="0.25">
      <c r="A503" s="13">
        <v>34319840</v>
      </c>
      <c r="B503" s="11" t="s">
        <v>116</v>
      </c>
      <c r="C503" s="1" t="s">
        <v>1813</v>
      </c>
      <c r="D503" s="1" t="s">
        <v>117</v>
      </c>
      <c r="E503" s="1" t="s">
        <v>179</v>
      </c>
    </row>
    <row r="504" spans="1:5" x14ac:dyDescent="0.25">
      <c r="A504" s="13">
        <v>34556266</v>
      </c>
      <c r="B504" s="11" t="s">
        <v>84</v>
      </c>
      <c r="C504" s="1" t="s">
        <v>1810</v>
      </c>
      <c r="D504" s="1" t="s">
        <v>38</v>
      </c>
      <c r="E504" s="1" t="s">
        <v>328</v>
      </c>
    </row>
    <row r="505" spans="1:5" x14ac:dyDescent="0.25">
      <c r="A505" s="13">
        <v>34565287</v>
      </c>
      <c r="B505" s="11" t="s">
        <v>116</v>
      </c>
      <c r="C505" s="1" t="s">
        <v>1809</v>
      </c>
      <c r="D505" s="1" t="s">
        <v>117</v>
      </c>
      <c r="E505" s="1" t="s">
        <v>232</v>
      </c>
    </row>
    <row r="506" spans="1:5" x14ac:dyDescent="0.25">
      <c r="A506" s="13">
        <v>35250049</v>
      </c>
      <c r="B506" s="11" t="s">
        <v>116</v>
      </c>
      <c r="C506" s="1" t="s">
        <v>1807</v>
      </c>
      <c r="D506" s="1" t="s">
        <v>117</v>
      </c>
      <c r="E506" s="1" t="s">
        <v>11</v>
      </c>
    </row>
    <row r="507" spans="1:5" x14ac:dyDescent="0.25">
      <c r="A507" s="13">
        <v>35313795</v>
      </c>
      <c r="B507" s="11" t="s">
        <v>109</v>
      </c>
      <c r="C507" s="1" t="s">
        <v>1806</v>
      </c>
      <c r="D507" s="1" t="s">
        <v>131</v>
      </c>
      <c r="E507" s="1" t="s">
        <v>131</v>
      </c>
    </row>
    <row r="508" spans="1:5" x14ac:dyDescent="0.25">
      <c r="A508" s="13">
        <v>35319610</v>
      </c>
      <c r="B508" s="11" t="s">
        <v>109</v>
      </c>
      <c r="C508" s="1" t="s">
        <v>1805</v>
      </c>
      <c r="D508" s="1" t="s">
        <v>131</v>
      </c>
      <c r="E508" s="1" t="s">
        <v>131</v>
      </c>
    </row>
    <row r="509" spans="1:5" x14ac:dyDescent="0.25">
      <c r="A509" s="13">
        <v>35411169</v>
      </c>
      <c r="B509" s="11" t="s">
        <v>84</v>
      </c>
      <c r="C509" s="1" t="s">
        <v>1804</v>
      </c>
      <c r="D509" s="1" t="s">
        <v>43</v>
      </c>
      <c r="E509" s="1" t="s">
        <v>10</v>
      </c>
    </row>
    <row r="510" spans="1:5" x14ac:dyDescent="0.25">
      <c r="A510" s="13">
        <v>35457357</v>
      </c>
      <c r="B510" s="11" t="s">
        <v>84</v>
      </c>
      <c r="C510" s="1" t="s">
        <v>1803</v>
      </c>
      <c r="D510" s="1" t="s">
        <v>38</v>
      </c>
      <c r="E510" s="1" t="s">
        <v>3121</v>
      </c>
    </row>
    <row r="511" spans="1:5" x14ac:dyDescent="0.25">
      <c r="A511" s="13">
        <v>35459111</v>
      </c>
      <c r="B511" s="11" t="s">
        <v>109</v>
      </c>
      <c r="C511" s="1" t="s">
        <v>1802</v>
      </c>
      <c r="D511" s="1" t="s">
        <v>1443</v>
      </c>
      <c r="E511" s="1" t="s">
        <v>25</v>
      </c>
    </row>
    <row r="512" spans="1:5" x14ac:dyDescent="0.25">
      <c r="A512" s="13">
        <v>35466238</v>
      </c>
      <c r="B512" s="11" t="s">
        <v>109</v>
      </c>
      <c r="C512" s="1" t="s">
        <v>1801</v>
      </c>
      <c r="D512" s="1" t="s">
        <v>131</v>
      </c>
      <c r="E512" s="1" t="s">
        <v>131</v>
      </c>
    </row>
    <row r="513" spans="1:5" x14ac:dyDescent="0.25">
      <c r="A513" s="13">
        <v>35468350</v>
      </c>
      <c r="B513" s="11" t="s">
        <v>109</v>
      </c>
      <c r="C513" s="1" t="s">
        <v>1800</v>
      </c>
      <c r="D513" s="1" t="s">
        <v>131</v>
      </c>
      <c r="E513" s="1" t="s">
        <v>131</v>
      </c>
    </row>
    <row r="514" spans="1:5" x14ac:dyDescent="0.25">
      <c r="A514" s="13">
        <v>35473660</v>
      </c>
      <c r="B514" s="11" t="s">
        <v>116</v>
      </c>
      <c r="C514" s="1" t="s">
        <v>1799</v>
      </c>
      <c r="D514" s="1" t="s">
        <v>117</v>
      </c>
      <c r="E514" s="1" t="s">
        <v>10</v>
      </c>
    </row>
    <row r="515" spans="1:5" x14ac:dyDescent="0.25">
      <c r="A515" s="13">
        <v>35500480</v>
      </c>
      <c r="B515" s="11" t="s">
        <v>84</v>
      </c>
      <c r="C515" s="1" t="s">
        <v>1798</v>
      </c>
      <c r="D515" s="1" t="s">
        <v>203</v>
      </c>
      <c r="E515" s="1" t="s">
        <v>1345</v>
      </c>
    </row>
    <row r="516" spans="1:5" x14ac:dyDescent="0.25">
      <c r="A516" s="13">
        <v>35502159</v>
      </c>
      <c r="B516" s="11" t="s">
        <v>83</v>
      </c>
      <c r="C516" s="1" t="s">
        <v>1797</v>
      </c>
      <c r="D516" s="1" t="s">
        <v>1585</v>
      </c>
      <c r="E516" s="1" t="s">
        <v>248</v>
      </c>
    </row>
    <row r="517" spans="1:5" x14ac:dyDescent="0.25">
      <c r="A517" s="13">
        <v>35509166</v>
      </c>
      <c r="B517" s="11" t="s">
        <v>116</v>
      </c>
      <c r="C517" s="1" t="s">
        <v>1796</v>
      </c>
      <c r="D517" s="1" t="s">
        <v>117</v>
      </c>
      <c r="E517" s="1" t="s">
        <v>6</v>
      </c>
    </row>
    <row r="518" spans="1:5" x14ac:dyDescent="0.25">
      <c r="A518" s="13">
        <v>35536816</v>
      </c>
      <c r="B518" s="11" t="s">
        <v>84</v>
      </c>
      <c r="C518" s="1" t="s">
        <v>1795</v>
      </c>
      <c r="D518" s="1" t="s">
        <v>38</v>
      </c>
      <c r="E518" s="1" t="s">
        <v>6</v>
      </c>
    </row>
    <row r="519" spans="1:5" x14ac:dyDescent="0.25">
      <c r="A519" s="13">
        <v>36150280</v>
      </c>
      <c r="B519" s="11" t="s">
        <v>109</v>
      </c>
      <c r="C519" s="1" t="s">
        <v>1794</v>
      </c>
      <c r="D519" s="1" t="s">
        <v>131</v>
      </c>
      <c r="E519" s="1" t="s">
        <v>131</v>
      </c>
    </row>
    <row r="520" spans="1:5" x14ac:dyDescent="0.25">
      <c r="A520" s="13">
        <v>36179369</v>
      </c>
      <c r="B520" s="11" t="s">
        <v>84</v>
      </c>
      <c r="C520" s="1" t="s">
        <v>1793</v>
      </c>
      <c r="D520" s="1" t="s">
        <v>43</v>
      </c>
      <c r="E520" s="1" t="s">
        <v>417</v>
      </c>
    </row>
    <row r="521" spans="1:5" x14ac:dyDescent="0.25">
      <c r="A521" s="13">
        <v>36291765</v>
      </c>
      <c r="B521" s="11" t="s">
        <v>83</v>
      </c>
      <c r="C521" s="1" t="s">
        <v>1792</v>
      </c>
      <c r="D521" s="1" t="s">
        <v>684</v>
      </c>
      <c r="E521" s="1" t="s">
        <v>685</v>
      </c>
    </row>
    <row r="522" spans="1:5" x14ac:dyDescent="0.25">
      <c r="A522" s="13">
        <v>36306751</v>
      </c>
      <c r="B522" s="11" t="s">
        <v>84</v>
      </c>
      <c r="C522" s="1" t="s">
        <v>1791</v>
      </c>
      <c r="D522" s="1" t="s">
        <v>38</v>
      </c>
      <c r="E522" s="1" t="s">
        <v>12</v>
      </c>
    </row>
    <row r="523" spans="1:5" x14ac:dyDescent="0.25">
      <c r="A523" s="13">
        <v>36687721</v>
      </c>
      <c r="B523" s="11" t="s">
        <v>109</v>
      </c>
      <c r="C523" s="1" t="s">
        <v>1790</v>
      </c>
      <c r="D523" s="1" t="s">
        <v>131</v>
      </c>
      <c r="E523" s="1" t="s">
        <v>131</v>
      </c>
    </row>
    <row r="524" spans="1:5" x14ac:dyDescent="0.25">
      <c r="A524" s="13">
        <v>37326146</v>
      </c>
      <c r="B524" s="11" t="s">
        <v>116</v>
      </c>
      <c r="C524" s="1" t="s">
        <v>1789</v>
      </c>
      <c r="D524" s="1" t="s">
        <v>117</v>
      </c>
      <c r="E524" s="1" t="s">
        <v>336</v>
      </c>
    </row>
    <row r="525" spans="1:5" x14ac:dyDescent="0.25">
      <c r="A525" s="13">
        <v>37514730</v>
      </c>
      <c r="B525" s="11" t="s">
        <v>116</v>
      </c>
      <c r="C525" s="1" t="s">
        <v>1788</v>
      </c>
      <c r="D525" s="1" t="s">
        <v>117</v>
      </c>
      <c r="E525" s="1" t="s">
        <v>6</v>
      </c>
    </row>
    <row r="526" spans="1:5" x14ac:dyDescent="0.25">
      <c r="A526" s="13">
        <v>37555199</v>
      </c>
      <c r="B526" s="11" t="s">
        <v>83</v>
      </c>
      <c r="C526" s="1" t="s">
        <v>3550</v>
      </c>
      <c r="D526" s="1" t="s">
        <v>48</v>
      </c>
      <c r="E526" s="1" t="s">
        <v>196</v>
      </c>
    </row>
    <row r="527" spans="1:5" x14ac:dyDescent="0.25">
      <c r="A527" s="13">
        <v>37557328</v>
      </c>
      <c r="B527" s="11" t="s">
        <v>109</v>
      </c>
      <c r="C527" s="1" t="s">
        <v>1787</v>
      </c>
      <c r="D527" s="1" t="s">
        <v>131</v>
      </c>
      <c r="E527" s="1" t="s">
        <v>131</v>
      </c>
    </row>
    <row r="528" spans="1:5" x14ac:dyDescent="0.25">
      <c r="A528" s="13">
        <v>37885283</v>
      </c>
      <c r="B528" s="11" t="s">
        <v>116</v>
      </c>
      <c r="C528" s="1" t="s">
        <v>1786</v>
      </c>
      <c r="D528" s="1" t="s">
        <v>117</v>
      </c>
      <c r="E528" s="1" t="s">
        <v>27</v>
      </c>
    </row>
    <row r="529" spans="1:5" x14ac:dyDescent="0.25">
      <c r="A529" s="13">
        <v>37889929</v>
      </c>
      <c r="B529" s="11" t="s">
        <v>116</v>
      </c>
      <c r="C529" s="1" t="s">
        <v>1785</v>
      </c>
      <c r="D529" s="1" t="s">
        <v>117</v>
      </c>
      <c r="E529" s="1" t="s">
        <v>2</v>
      </c>
    </row>
    <row r="530" spans="1:5" x14ac:dyDescent="0.25">
      <c r="A530" s="13">
        <v>37945352</v>
      </c>
      <c r="B530" s="11" t="s">
        <v>116</v>
      </c>
      <c r="C530" s="1" t="s">
        <v>1784</v>
      </c>
      <c r="D530" s="1" t="s">
        <v>117</v>
      </c>
      <c r="E530" s="1" t="s">
        <v>881</v>
      </c>
    </row>
    <row r="531" spans="1:5" x14ac:dyDescent="0.25">
      <c r="A531" s="13">
        <v>38141973</v>
      </c>
      <c r="B531" s="11" t="s">
        <v>116</v>
      </c>
      <c r="C531" s="1" t="s">
        <v>1783</v>
      </c>
      <c r="D531" s="1" t="s">
        <v>117</v>
      </c>
      <c r="E531" s="1" t="s">
        <v>336</v>
      </c>
    </row>
    <row r="532" spans="1:5" x14ac:dyDescent="0.25">
      <c r="A532" s="13">
        <v>38263832</v>
      </c>
      <c r="B532" s="11" t="s">
        <v>109</v>
      </c>
      <c r="C532" s="1" t="s">
        <v>1782</v>
      </c>
      <c r="D532" s="1" t="s">
        <v>131</v>
      </c>
      <c r="E532" s="1" t="s">
        <v>131</v>
      </c>
    </row>
    <row r="533" spans="1:5" x14ac:dyDescent="0.25">
      <c r="A533" s="13">
        <v>38666208</v>
      </c>
      <c r="B533" s="11" t="s">
        <v>83</v>
      </c>
      <c r="C533" s="1" t="s">
        <v>3203</v>
      </c>
      <c r="D533" s="1" t="s">
        <v>40</v>
      </c>
      <c r="E533" s="1" t="s">
        <v>23</v>
      </c>
    </row>
    <row r="534" spans="1:5" x14ac:dyDescent="0.25">
      <c r="A534" s="13">
        <v>38997598</v>
      </c>
      <c r="B534" s="11" t="s">
        <v>109</v>
      </c>
      <c r="C534" s="1" t="s">
        <v>1781</v>
      </c>
      <c r="D534" s="1" t="s">
        <v>131</v>
      </c>
      <c r="E534" s="1" t="s">
        <v>131</v>
      </c>
    </row>
    <row r="535" spans="1:5" x14ac:dyDescent="0.25">
      <c r="A535" s="13">
        <v>39186368</v>
      </c>
      <c r="B535" s="11" t="s">
        <v>116</v>
      </c>
      <c r="C535" s="1" t="s">
        <v>1780</v>
      </c>
      <c r="D535" s="1" t="s">
        <v>117</v>
      </c>
      <c r="E535" s="1" t="s">
        <v>342</v>
      </c>
    </row>
    <row r="536" spans="1:5" x14ac:dyDescent="0.25">
      <c r="A536" s="13">
        <v>39525238</v>
      </c>
      <c r="B536" s="11" t="s">
        <v>84</v>
      </c>
      <c r="C536" s="1" t="s">
        <v>1779</v>
      </c>
      <c r="D536" s="1" t="s">
        <v>38</v>
      </c>
      <c r="E536" s="1" t="s">
        <v>7</v>
      </c>
    </row>
    <row r="537" spans="1:5" x14ac:dyDescent="0.25">
      <c r="A537" s="13">
        <v>39527036</v>
      </c>
      <c r="B537" s="11" t="s">
        <v>84</v>
      </c>
      <c r="C537" s="1" t="s">
        <v>1778</v>
      </c>
      <c r="D537" s="1" t="s">
        <v>43</v>
      </c>
      <c r="E537" s="1" t="s">
        <v>5</v>
      </c>
    </row>
    <row r="538" spans="1:5" x14ac:dyDescent="0.25">
      <c r="A538" s="13">
        <v>39529660</v>
      </c>
      <c r="B538" s="11" t="s">
        <v>116</v>
      </c>
      <c r="C538" s="1" t="s">
        <v>1777</v>
      </c>
      <c r="D538" s="1" t="s">
        <v>151</v>
      </c>
      <c r="E538" s="1" t="s">
        <v>152</v>
      </c>
    </row>
    <row r="539" spans="1:5" x14ac:dyDescent="0.25">
      <c r="A539" s="13">
        <v>39532089</v>
      </c>
      <c r="B539" s="11" t="s">
        <v>83</v>
      </c>
      <c r="C539" s="1" t="s">
        <v>1776</v>
      </c>
      <c r="D539" s="1" t="s">
        <v>1513</v>
      </c>
      <c r="E539" s="1" t="s">
        <v>27</v>
      </c>
    </row>
    <row r="540" spans="1:5" x14ac:dyDescent="0.25">
      <c r="A540" s="13">
        <v>39542319</v>
      </c>
      <c r="B540" s="11" t="s">
        <v>116</v>
      </c>
      <c r="C540" s="1" t="s">
        <v>1775</v>
      </c>
      <c r="D540" s="1" t="s">
        <v>117</v>
      </c>
      <c r="E540" s="1" t="s">
        <v>8</v>
      </c>
    </row>
    <row r="541" spans="1:5" x14ac:dyDescent="0.25">
      <c r="A541" s="13">
        <v>39544030</v>
      </c>
      <c r="B541" s="11" t="s">
        <v>83</v>
      </c>
      <c r="C541" s="1" t="s">
        <v>1773</v>
      </c>
      <c r="D541" s="1" t="s">
        <v>1774</v>
      </c>
      <c r="E541" s="1" t="s">
        <v>21</v>
      </c>
    </row>
    <row r="542" spans="1:5" x14ac:dyDescent="0.25">
      <c r="A542" s="13">
        <v>39546607</v>
      </c>
      <c r="B542" s="11" t="s">
        <v>116</v>
      </c>
      <c r="C542" s="1" t="s">
        <v>1772</v>
      </c>
      <c r="D542" s="1" t="s">
        <v>117</v>
      </c>
      <c r="E542" s="1" t="s">
        <v>336</v>
      </c>
    </row>
    <row r="543" spans="1:5" x14ac:dyDescent="0.25">
      <c r="A543" s="13">
        <v>39547846</v>
      </c>
      <c r="B543" s="11" t="s">
        <v>116</v>
      </c>
      <c r="C543" s="1" t="s">
        <v>1771</v>
      </c>
      <c r="D543" s="1" t="s">
        <v>117</v>
      </c>
      <c r="E543" s="1" t="s">
        <v>491</v>
      </c>
    </row>
    <row r="544" spans="1:5" x14ac:dyDescent="0.25">
      <c r="A544" s="13">
        <v>39570432</v>
      </c>
      <c r="B544" s="11" t="s">
        <v>116</v>
      </c>
      <c r="C544" s="1" t="s">
        <v>3175</v>
      </c>
      <c r="D544" s="1" t="s">
        <v>117</v>
      </c>
      <c r="E544" s="1" t="s">
        <v>3118</v>
      </c>
    </row>
    <row r="545" spans="1:5" x14ac:dyDescent="0.25">
      <c r="A545" s="13">
        <v>39572259</v>
      </c>
      <c r="B545" s="11" t="s">
        <v>116</v>
      </c>
      <c r="C545" s="1" t="s">
        <v>1770</v>
      </c>
      <c r="D545" s="1" t="s">
        <v>117</v>
      </c>
      <c r="E545" s="1" t="s">
        <v>10</v>
      </c>
    </row>
    <row r="546" spans="1:5" x14ac:dyDescent="0.25">
      <c r="A546" s="13">
        <v>39572653</v>
      </c>
      <c r="B546" s="11" t="s">
        <v>83</v>
      </c>
      <c r="C546" s="1" t="s">
        <v>1768</v>
      </c>
      <c r="D546" s="1" t="s">
        <v>1769</v>
      </c>
      <c r="E546" s="1" t="s">
        <v>4</v>
      </c>
    </row>
    <row r="547" spans="1:5" x14ac:dyDescent="0.25">
      <c r="A547" s="13">
        <v>39584572</v>
      </c>
      <c r="B547" s="11" t="s">
        <v>83</v>
      </c>
      <c r="C547" s="1" t="s">
        <v>1767</v>
      </c>
      <c r="D547" s="1" t="s">
        <v>47</v>
      </c>
      <c r="E547" s="1" t="s">
        <v>16</v>
      </c>
    </row>
    <row r="548" spans="1:5" x14ac:dyDescent="0.25">
      <c r="A548" s="13">
        <v>39622616</v>
      </c>
      <c r="B548" s="11" t="s">
        <v>116</v>
      </c>
      <c r="C548" s="1" t="s">
        <v>1766</v>
      </c>
      <c r="D548" s="1" t="s">
        <v>117</v>
      </c>
      <c r="E548" s="1" t="s">
        <v>491</v>
      </c>
    </row>
    <row r="549" spans="1:5" x14ac:dyDescent="0.25">
      <c r="A549" s="13">
        <v>39629997</v>
      </c>
      <c r="B549" s="11" t="s">
        <v>116</v>
      </c>
      <c r="C549" s="1" t="s">
        <v>1764</v>
      </c>
      <c r="D549" s="1" t="s">
        <v>117</v>
      </c>
      <c r="E549" s="1" t="s">
        <v>168</v>
      </c>
    </row>
    <row r="550" spans="1:5" x14ac:dyDescent="0.25">
      <c r="A550" s="13">
        <v>39644534</v>
      </c>
      <c r="B550" s="11" t="s">
        <v>116</v>
      </c>
      <c r="C550" s="1" t="s">
        <v>1763</v>
      </c>
      <c r="D550" s="1" t="s">
        <v>117</v>
      </c>
      <c r="E550" s="1" t="s">
        <v>491</v>
      </c>
    </row>
    <row r="551" spans="1:5" x14ac:dyDescent="0.25">
      <c r="A551" s="13">
        <v>39656912</v>
      </c>
      <c r="B551" s="11" t="s">
        <v>83</v>
      </c>
      <c r="C551" s="1" t="s">
        <v>1761</v>
      </c>
      <c r="D551" s="1" t="s">
        <v>1762</v>
      </c>
      <c r="E551" s="1" t="s">
        <v>123</v>
      </c>
    </row>
    <row r="552" spans="1:5" x14ac:dyDescent="0.25">
      <c r="A552" s="13">
        <v>39658504</v>
      </c>
      <c r="B552" s="11" t="s">
        <v>109</v>
      </c>
      <c r="C552" s="1" t="s">
        <v>1760</v>
      </c>
      <c r="D552" s="1" t="s">
        <v>131</v>
      </c>
      <c r="E552" s="1" t="s">
        <v>131</v>
      </c>
    </row>
    <row r="553" spans="1:5" x14ac:dyDescent="0.25">
      <c r="A553" s="13">
        <v>39660869</v>
      </c>
      <c r="B553" s="11" t="s">
        <v>84</v>
      </c>
      <c r="C553" s="1" t="s">
        <v>1759</v>
      </c>
      <c r="D553" s="1" t="s">
        <v>38</v>
      </c>
      <c r="E553" s="1" t="s">
        <v>5</v>
      </c>
    </row>
    <row r="554" spans="1:5" x14ac:dyDescent="0.25">
      <c r="A554" s="13">
        <v>39674123</v>
      </c>
      <c r="B554" s="11" t="s">
        <v>84</v>
      </c>
      <c r="C554" s="1" t="s">
        <v>1758</v>
      </c>
      <c r="D554" s="1" t="s">
        <v>381</v>
      </c>
      <c r="E554" s="1" t="s">
        <v>26</v>
      </c>
    </row>
    <row r="555" spans="1:5" x14ac:dyDescent="0.25">
      <c r="A555" s="13">
        <v>39677706</v>
      </c>
      <c r="B555" s="11" t="s">
        <v>83</v>
      </c>
      <c r="C555" s="1" t="s">
        <v>1757</v>
      </c>
      <c r="D555" s="1" t="s">
        <v>129</v>
      </c>
      <c r="E555" s="1" t="s">
        <v>248</v>
      </c>
    </row>
    <row r="556" spans="1:5" x14ac:dyDescent="0.25">
      <c r="A556" s="13">
        <v>39681087</v>
      </c>
      <c r="B556" s="11" t="s">
        <v>83</v>
      </c>
      <c r="C556" s="1" t="s">
        <v>1756</v>
      </c>
      <c r="D556" s="1" t="s">
        <v>40</v>
      </c>
      <c r="E556" s="1" t="s">
        <v>23</v>
      </c>
    </row>
    <row r="557" spans="1:5" x14ac:dyDescent="0.25">
      <c r="A557" s="13">
        <v>39687347</v>
      </c>
      <c r="B557" s="11" t="s">
        <v>116</v>
      </c>
      <c r="C557" s="1" t="s">
        <v>1754</v>
      </c>
      <c r="D557" s="1" t="s">
        <v>117</v>
      </c>
      <c r="E557" s="1" t="s">
        <v>9</v>
      </c>
    </row>
    <row r="558" spans="1:5" x14ac:dyDescent="0.25">
      <c r="A558" s="13">
        <v>39695019</v>
      </c>
      <c r="B558" s="11" t="s">
        <v>116</v>
      </c>
      <c r="C558" s="1" t="s">
        <v>1753</v>
      </c>
      <c r="D558" s="1" t="s">
        <v>117</v>
      </c>
      <c r="E558" s="1" t="s">
        <v>12</v>
      </c>
    </row>
    <row r="559" spans="1:5" x14ac:dyDescent="0.25">
      <c r="A559" s="13">
        <v>39699572</v>
      </c>
      <c r="B559" s="11" t="s">
        <v>116</v>
      </c>
      <c r="C559" s="1" t="s">
        <v>1752</v>
      </c>
      <c r="D559" s="1" t="s">
        <v>117</v>
      </c>
      <c r="E559" s="1" t="s">
        <v>6</v>
      </c>
    </row>
    <row r="560" spans="1:5" x14ac:dyDescent="0.25">
      <c r="A560" s="13">
        <v>39702375</v>
      </c>
      <c r="B560" s="11" t="s">
        <v>116</v>
      </c>
      <c r="C560" s="1" t="s">
        <v>1751</v>
      </c>
      <c r="D560" s="1" t="s">
        <v>117</v>
      </c>
      <c r="E560" s="1" t="s">
        <v>263</v>
      </c>
    </row>
    <row r="561" spans="1:5" x14ac:dyDescent="0.25">
      <c r="A561" s="13">
        <v>39705534</v>
      </c>
      <c r="B561" s="11" t="s">
        <v>109</v>
      </c>
      <c r="C561" s="1" t="s">
        <v>1750</v>
      </c>
      <c r="D561" s="1" t="s">
        <v>131</v>
      </c>
      <c r="E561" s="1" t="s">
        <v>131</v>
      </c>
    </row>
    <row r="562" spans="1:5" x14ac:dyDescent="0.25">
      <c r="A562" s="13">
        <v>39711565</v>
      </c>
      <c r="B562" s="11" t="s">
        <v>84</v>
      </c>
      <c r="C562" s="1" t="s">
        <v>3204</v>
      </c>
      <c r="D562" s="1" t="s">
        <v>43</v>
      </c>
      <c r="E562" s="1" t="s">
        <v>168</v>
      </c>
    </row>
    <row r="563" spans="1:5" x14ac:dyDescent="0.25">
      <c r="A563" s="13">
        <v>39732468</v>
      </c>
      <c r="B563" s="11" t="s">
        <v>116</v>
      </c>
      <c r="C563" s="1" t="s">
        <v>1749</v>
      </c>
      <c r="D563" s="1" t="s">
        <v>117</v>
      </c>
      <c r="E563" s="1" t="s">
        <v>263</v>
      </c>
    </row>
    <row r="564" spans="1:5" x14ac:dyDescent="0.25">
      <c r="A564" s="13">
        <v>39735993</v>
      </c>
      <c r="B564" s="11" t="s">
        <v>116</v>
      </c>
      <c r="C564" s="1" t="s">
        <v>1748</v>
      </c>
      <c r="D564" s="1" t="s">
        <v>117</v>
      </c>
      <c r="E564" s="1" t="s">
        <v>7</v>
      </c>
    </row>
    <row r="565" spans="1:5" x14ac:dyDescent="0.25">
      <c r="A565" s="13">
        <v>39748928</v>
      </c>
      <c r="B565" s="11" t="s">
        <v>84</v>
      </c>
      <c r="C565" s="1" t="s">
        <v>1747</v>
      </c>
      <c r="D565" s="1" t="s">
        <v>38</v>
      </c>
      <c r="E565" s="1" t="s">
        <v>328</v>
      </c>
    </row>
    <row r="566" spans="1:5" x14ac:dyDescent="0.25">
      <c r="A566" s="13">
        <v>39755817</v>
      </c>
      <c r="B566" s="11" t="s">
        <v>116</v>
      </c>
      <c r="C566" s="1" t="s">
        <v>1746</v>
      </c>
      <c r="D566" s="1" t="s">
        <v>117</v>
      </c>
      <c r="E566" s="1" t="s">
        <v>86</v>
      </c>
    </row>
    <row r="567" spans="1:5" x14ac:dyDescent="0.25">
      <c r="A567" s="13">
        <v>39758805</v>
      </c>
      <c r="B567" s="11" t="s">
        <v>116</v>
      </c>
      <c r="C567" s="1" t="s">
        <v>1745</v>
      </c>
      <c r="D567" s="1" t="s">
        <v>117</v>
      </c>
      <c r="E567" s="1" t="s">
        <v>6</v>
      </c>
    </row>
    <row r="568" spans="1:5" x14ac:dyDescent="0.25">
      <c r="A568" s="13">
        <v>39763536</v>
      </c>
      <c r="B568" s="11" t="s">
        <v>83</v>
      </c>
      <c r="C568" s="1" t="s">
        <v>1744</v>
      </c>
      <c r="D568" s="1" t="s">
        <v>1222</v>
      </c>
      <c r="E568" s="1" t="s">
        <v>272</v>
      </c>
    </row>
    <row r="569" spans="1:5" x14ac:dyDescent="0.25">
      <c r="A569" s="13">
        <v>39774685</v>
      </c>
      <c r="B569" s="11" t="s">
        <v>84</v>
      </c>
      <c r="C569" s="1" t="s">
        <v>1743</v>
      </c>
      <c r="D569" s="1" t="s">
        <v>37</v>
      </c>
      <c r="E569" s="1" t="s">
        <v>29</v>
      </c>
    </row>
    <row r="570" spans="1:5" x14ac:dyDescent="0.25">
      <c r="A570" s="13">
        <v>39776097</v>
      </c>
      <c r="B570" s="11" t="s">
        <v>116</v>
      </c>
      <c r="C570" s="1" t="s">
        <v>1742</v>
      </c>
      <c r="D570" s="1" t="s">
        <v>117</v>
      </c>
      <c r="E570" s="1" t="s">
        <v>8</v>
      </c>
    </row>
    <row r="571" spans="1:5" x14ac:dyDescent="0.25">
      <c r="A571" s="13">
        <v>39779483</v>
      </c>
      <c r="B571" s="11" t="s">
        <v>109</v>
      </c>
      <c r="C571" s="1" t="s">
        <v>1741</v>
      </c>
      <c r="D571" s="1" t="s">
        <v>131</v>
      </c>
      <c r="E571" s="1" t="s">
        <v>131</v>
      </c>
    </row>
    <row r="572" spans="1:5" x14ac:dyDescent="0.25">
      <c r="A572" s="13">
        <v>39789781</v>
      </c>
      <c r="B572" s="11" t="s">
        <v>83</v>
      </c>
      <c r="C572" s="1" t="s">
        <v>1739</v>
      </c>
      <c r="D572" s="1" t="s">
        <v>1740</v>
      </c>
      <c r="E572" s="1" t="s">
        <v>300</v>
      </c>
    </row>
    <row r="573" spans="1:5" x14ac:dyDescent="0.25">
      <c r="A573" s="13">
        <v>39790838</v>
      </c>
      <c r="B573" s="11" t="s">
        <v>116</v>
      </c>
      <c r="C573" s="1" t="s">
        <v>1738</v>
      </c>
      <c r="D573" s="1" t="s">
        <v>117</v>
      </c>
      <c r="E573" s="1" t="s">
        <v>8</v>
      </c>
    </row>
    <row r="574" spans="1:5" x14ac:dyDescent="0.25">
      <c r="A574" s="13">
        <v>39797292</v>
      </c>
      <c r="B574" s="11" t="s">
        <v>84</v>
      </c>
      <c r="C574" s="1" t="s">
        <v>1737</v>
      </c>
      <c r="D574" s="1" t="s">
        <v>973</v>
      </c>
      <c r="E574" s="1" t="s">
        <v>27</v>
      </c>
    </row>
    <row r="575" spans="1:5" x14ac:dyDescent="0.25">
      <c r="A575" s="13">
        <v>40189087</v>
      </c>
      <c r="B575" s="11" t="s">
        <v>84</v>
      </c>
      <c r="C575" s="1" t="s">
        <v>1736</v>
      </c>
      <c r="D575" s="1" t="s">
        <v>43</v>
      </c>
      <c r="E575" s="1" t="s">
        <v>10</v>
      </c>
    </row>
    <row r="576" spans="1:5" x14ac:dyDescent="0.25">
      <c r="A576" s="13">
        <v>40205301</v>
      </c>
      <c r="B576" s="11" t="s">
        <v>116</v>
      </c>
      <c r="C576" s="1" t="s">
        <v>1735</v>
      </c>
      <c r="D576" s="1" t="s">
        <v>117</v>
      </c>
      <c r="E576" s="1" t="s">
        <v>263</v>
      </c>
    </row>
    <row r="577" spans="1:5" x14ac:dyDescent="0.25">
      <c r="A577" s="13">
        <v>40372651</v>
      </c>
      <c r="B577" s="11" t="s">
        <v>116</v>
      </c>
      <c r="C577" s="1" t="s">
        <v>1734</v>
      </c>
      <c r="D577" s="1" t="s">
        <v>117</v>
      </c>
      <c r="E577" s="1" t="s">
        <v>11</v>
      </c>
    </row>
    <row r="578" spans="1:5" x14ac:dyDescent="0.25">
      <c r="A578" s="13">
        <v>40387669</v>
      </c>
      <c r="B578" s="11" t="s">
        <v>116</v>
      </c>
      <c r="C578" s="1" t="s">
        <v>1733</v>
      </c>
      <c r="D578" s="1" t="s">
        <v>117</v>
      </c>
      <c r="E578" s="1" t="s">
        <v>6</v>
      </c>
    </row>
    <row r="579" spans="1:5" x14ac:dyDescent="0.25">
      <c r="A579" s="13">
        <v>40938639</v>
      </c>
      <c r="B579" s="11" t="s">
        <v>83</v>
      </c>
      <c r="C579" s="1" t="s">
        <v>1731</v>
      </c>
      <c r="D579" s="1" t="s">
        <v>151</v>
      </c>
      <c r="E579" s="1" t="s">
        <v>152</v>
      </c>
    </row>
    <row r="580" spans="1:5" x14ac:dyDescent="0.25">
      <c r="A580" s="13">
        <v>40941989</v>
      </c>
      <c r="B580" s="11" t="s">
        <v>83</v>
      </c>
      <c r="C580" s="1" t="s">
        <v>1730</v>
      </c>
      <c r="D580" s="1" t="s">
        <v>47</v>
      </c>
      <c r="E580" s="1" t="s">
        <v>17</v>
      </c>
    </row>
    <row r="581" spans="1:5" x14ac:dyDescent="0.25">
      <c r="A581" s="13">
        <v>41315635</v>
      </c>
      <c r="B581" s="11" t="s">
        <v>116</v>
      </c>
      <c r="C581" s="1" t="s">
        <v>1729</v>
      </c>
      <c r="D581" s="1" t="s">
        <v>117</v>
      </c>
      <c r="E581" s="1" t="s">
        <v>1276</v>
      </c>
    </row>
    <row r="582" spans="1:5" x14ac:dyDescent="0.25">
      <c r="A582" s="13">
        <v>41374298</v>
      </c>
      <c r="B582" s="11" t="s">
        <v>116</v>
      </c>
      <c r="C582" s="1" t="s">
        <v>1728</v>
      </c>
      <c r="D582" s="1" t="s">
        <v>117</v>
      </c>
      <c r="E582" s="1" t="s">
        <v>417</v>
      </c>
    </row>
    <row r="583" spans="1:5" x14ac:dyDescent="0.25">
      <c r="A583" s="13">
        <v>41382624</v>
      </c>
      <c r="B583" s="11" t="s">
        <v>116</v>
      </c>
      <c r="C583" s="1" t="s">
        <v>1727</v>
      </c>
      <c r="D583" s="1" t="s">
        <v>117</v>
      </c>
      <c r="E583" s="1" t="s">
        <v>10</v>
      </c>
    </row>
    <row r="584" spans="1:5" x14ac:dyDescent="0.25">
      <c r="A584" s="13">
        <v>41383191</v>
      </c>
      <c r="B584" s="11" t="s">
        <v>84</v>
      </c>
      <c r="C584" s="1" t="s">
        <v>1726</v>
      </c>
      <c r="D584" s="1" t="s">
        <v>38</v>
      </c>
      <c r="E584" s="1" t="s">
        <v>5</v>
      </c>
    </row>
    <row r="585" spans="1:5" x14ac:dyDescent="0.25">
      <c r="A585" s="13">
        <v>41383251</v>
      </c>
      <c r="B585" s="11" t="s">
        <v>109</v>
      </c>
      <c r="C585" s="1" t="s">
        <v>1725</v>
      </c>
      <c r="D585" s="1" t="s">
        <v>131</v>
      </c>
      <c r="E585" s="1" t="s">
        <v>131</v>
      </c>
    </row>
    <row r="586" spans="1:5" x14ac:dyDescent="0.25">
      <c r="A586" s="13">
        <v>41396087</v>
      </c>
      <c r="B586" s="11" t="s">
        <v>84</v>
      </c>
      <c r="C586" s="1" t="s">
        <v>1724</v>
      </c>
      <c r="D586" s="1" t="s">
        <v>43</v>
      </c>
      <c r="E586" s="1" t="s">
        <v>9</v>
      </c>
    </row>
    <row r="587" spans="1:5" x14ac:dyDescent="0.25">
      <c r="A587" s="13">
        <v>41414198</v>
      </c>
      <c r="B587" s="11" t="s">
        <v>116</v>
      </c>
      <c r="C587" s="1" t="s">
        <v>1723</v>
      </c>
      <c r="D587" s="1" t="s">
        <v>117</v>
      </c>
      <c r="E587" s="1" t="s">
        <v>333</v>
      </c>
    </row>
    <row r="588" spans="1:5" x14ac:dyDescent="0.25">
      <c r="A588" s="13">
        <v>41454954</v>
      </c>
      <c r="B588" s="11" t="s">
        <v>84</v>
      </c>
      <c r="C588" s="1" t="s">
        <v>1722</v>
      </c>
      <c r="D588" s="1" t="s">
        <v>43</v>
      </c>
      <c r="E588" s="1" t="s">
        <v>2</v>
      </c>
    </row>
    <row r="589" spans="1:5" x14ac:dyDescent="0.25">
      <c r="A589" s="13">
        <v>41457197</v>
      </c>
      <c r="B589" s="11" t="s">
        <v>83</v>
      </c>
      <c r="C589" s="1" t="s">
        <v>1721</v>
      </c>
      <c r="D589" s="1" t="s">
        <v>64</v>
      </c>
      <c r="E589" s="1" t="s">
        <v>25</v>
      </c>
    </row>
    <row r="590" spans="1:5" x14ac:dyDescent="0.25">
      <c r="A590" s="13">
        <v>41477720</v>
      </c>
      <c r="B590" s="11" t="s">
        <v>116</v>
      </c>
      <c r="C590" s="1" t="s">
        <v>1720</v>
      </c>
      <c r="D590" s="1" t="s">
        <v>117</v>
      </c>
      <c r="E590" s="1" t="s">
        <v>11</v>
      </c>
    </row>
    <row r="591" spans="1:5" x14ac:dyDescent="0.25">
      <c r="A591" s="13">
        <v>41480492</v>
      </c>
      <c r="B591" s="11" t="s">
        <v>109</v>
      </c>
      <c r="C591" s="1" t="s">
        <v>1719</v>
      </c>
      <c r="D591" s="1" t="s">
        <v>131</v>
      </c>
      <c r="E591" s="1" t="s">
        <v>131</v>
      </c>
    </row>
    <row r="592" spans="1:5" x14ac:dyDescent="0.25">
      <c r="A592" s="13">
        <v>41481499</v>
      </c>
      <c r="B592" s="11" t="s">
        <v>109</v>
      </c>
      <c r="C592" s="1" t="s">
        <v>1718</v>
      </c>
      <c r="D592" s="1" t="s">
        <v>131</v>
      </c>
      <c r="E592" s="1" t="s">
        <v>131</v>
      </c>
    </row>
    <row r="593" spans="1:5" x14ac:dyDescent="0.25">
      <c r="A593" s="13">
        <v>41489695</v>
      </c>
      <c r="B593" s="11" t="s">
        <v>109</v>
      </c>
      <c r="C593" s="1" t="s">
        <v>1717</v>
      </c>
      <c r="D593" s="1" t="s">
        <v>131</v>
      </c>
      <c r="E593" s="1" t="s">
        <v>131</v>
      </c>
    </row>
    <row r="594" spans="1:5" x14ac:dyDescent="0.25">
      <c r="A594" s="13">
        <v>41496029</v>
      </c>
      <c r="B594" s="11" t="s">
        <v>116</v>
      </c>
      <c r="C594" s="1" t="s">
        <v>1716</v>
      </c>
      <c r="D594" s="1" t="s">
        <v>117</v>
      </c>
      <c r="E594" s="1" t="s">
        <v>17</v>
      </c>
    </row>
    <row r="595" spans="1:5" x14ac:dyDescent="0.25">
      <c r="A595" s="13">
        <v>41502207</v>
      </c>
      <c r="B595" s="11" t="s">
        <v>116</v>
      </c>
      <c r="C595" s="1" t="s">
        <v>1715</v>
      </c>
      <c r="D595" s="1" t="s">
        <v>117</v>
      </c>
      <c r="E595" s="1" t="s">
        <v>179</v>
      </c>
    </row>
    <row r="596" spans="1:5" x14ac:dyDescent="0.25">
      <c r="A596" s="13">
        <v>41502278</v>
      </c>
      <c r="B596" s="11" t="s">
        <v>84</v>
      </c>
      <c r="C596" s="1" t="s">
        <v>1714</v>
      </c>
      <c r="D596" s="1" t="s">
        <v>43</v>
      </c>
      <c r="E596" s="1" t="s">
        <v>499</v>
      </c>
    </row>
    <row r="597" spans="1:5" x14ac:dyDescent="0.25">
      <c r="A597" s="13">
        <v>41515170</v>
      </c>
      <c r="B597" s="11" t="s">
        <v>109</v>
      </c>
      <c r="C597" s="1" t="s">
        <v>1713</v>
      </c>
      <c r="D597" s="1" t="s">
        <v>131</v>
      </c>
      <c r="E597" s="1" t="s">
        <v>131</v>
      </c>
    </row>
    <row r="598" spans="1:5" x14ac:dyDescent="0.25">
      <c r="A598" s="13">
        <v>41533153</v>
      </c>
      <c r="B598" s="11" t="s">
        <v>84</v>
      </c>
      <c r="C598" s="1" t="s">
        <v>1712</v>
      </c>
      <c r="D598" s="1" t="s">
        <v>43</v>
      </c>
      <c r="E598" s="1" t="s">
        <v>5</v>
      </c>
    </row>
    <row r="599" spans="1:5" x14ac:dyDescent="0.25">
      <c r="A599" s="13">
        <v>41540913</v>
      </c>
      <c r="B599" s="11" t="s">
        <v>84</v>
      </c>
      <c r="C599" s="1" t="s">
        <v>1711</v>
      </c>
      <c r="D599" s="1" t="s">
        <v>43</v>
      </c>
      <c r="E599" s="1" t="s">
        <v>417</v>
      </c>
    </row>
    <row r="600" spans="1:5" x14ac:dyDescent="0.25">
      <c r="A600" s="13">
        <v>41541462</v>
      </c>
      <c r="B600" s="11" t="s">
        <v>109</v>
      </c>
      <c r="C600" s="1" t="s">
        <v>1710</v>
      </c>
      <c r="D600" s="1" t="s">
        <v>131</v>
      </c>
      <c r="E600" s="1" t="s">
        <v>131</v>
      </c>
    </row>
    <row r="601" spans="1:5" x14ac:dyDescent="0.25">
      <c r="A601" s="13">
        <v>41559675</v>
      </c>
      <c r="B601" s="11" t="s">
        <v>84</v>
      </c>
      <c r="C601" s="1" t="s">
        <v>1709</v>
      </c>
      <c r="D601" s="1" t="s">
        <v>43</v>
      </c>
      <c r="E601" s="1" t="s">
        <v>5</v>
      </c>
    </row>
    <row r="602" spans="1:5" x14ac:dyDescent="0.25">
      <c r="A602" s="13">
        <v>41563401</v>
      </c>
      <c r="B602" s="11" t="s">
        <v>116</v>
      </c>
      <c r="C602" s="1" t="s">
        <v>1708</v>
      </c>
      <c r="D602" s="1" t="s">
        <v>117</v>
      </c>
      <c r="E602" s="1" t="s">
        <v>11</v>
      </c>
    </row>
    <row r="603" spans="1:5" x14ac:dyDescent="0.25">
      <c r="A603" s="13">
        <v>41582658</v>
      </c>
      <c r="B603" s="11" t="s">
        <v>84</v>
      </c>
      <c r="C603" s="1" t="s">
        <v>1706</v>
      </c>
      <c r="D603" s="1" t="s">
        <v>1707</v>
      </c>
      <c r="E603" s="1" t="s">
        <v>541</v>
      </c>
    </row>
    <row r="604" spans="1:5" x14ac:dyDescent="0.25">
      <c r="A604" s="13">
        <v>41606221</v>
      </c>
      <c r="B604" s="11" t="s">
        <v>84</v>
      </c>
      <c r="C604" s="1" t="s">
        <v>1705</v>
      </c>
      <c r="D604" s="1" t="s">
        <v>43</v>
      </c>
      <c r="E604" s="1" t="s">
        <v>186</v>
      </c>
    </row>
    <row r="605" spans="1:5" x14ac:dyDescent="0.25">
      <c r="A605" s="13">
        <v>41626194</v>
      </c>
      <c r="B605" s="11" t="s">
        <v>109</v>
      </c>
      <c r="C605" s="1" t="s">
        <v>1704</v>
      </c>
      <c r="D605" s="1" t="s">
        <v>131</v>
      </c>
      <c r="E605" s="1" t="s">
        <v>131</v>
      </c>
    </row>
    <row r="606" spans="1:5" x14ac:dyDescent="0.25">
      <c r="A606" s="13">
        <v>41633242</v>
      </c>
      <c r="B606" s="11" t="s">
        <v>109</v>
      </c>
      <c r="C606" s="1" t="s">
        <v>1703</v>
      </c>
      <c r="D606" s="1" t="s">
        <v>131</v>
      </c>
      <c r="E606" s="1" t="s">
        <v>131</v>
      </c>
    </row>
    <row r="607" spans="1:5" x14ac:dyDescent="0.25">
      <c r="A607" s="13">
        <v>41639419</v>
      </c>
      <c r="B607" s="11" t="s">
        <v>84</v>
      </c>
      <c r="C607" s="1" t="s">
        <v>1700</v>
      </c>
      <c r="D607" s="1" t="s">
        <v>1701</v>
      </c>
      <c r="E607" s="1" t="s">
        <v>1702</v>
      </c>
    </row>
    <row r="608" spans="1:5" x14ac:dyDescent="0.25">
      <c r="A608" s="13">
        <v>41644754</v>
      </c>
      <c r="B608" s="11" t="s">
        <v>116</v>
      </c>
      <c r="C608" s="1" t="s">
        <v>1699</v>
      </c>
      <c r="D608" s="1" t="s">
        <v>117</v>
      </c>
      <c r="E608" s="1" t="s">
        <v>3</v>
      </c>
    </row>
    <row r="609" spans="1:5" x14ac:dyDescent="0.25">
      <c r="A609" s="13">
        <v>41647697</v>
      </c>
      <c r="B609" s="11" t="s">
        <v>83</v>
      </c>
      <c r="C609" s="1" t="s">
        <v>1698</v>
      </c>
      <c r="D609" s="1" t="s">
        <v>1454</v>
      </c>
      <c r="E609" s="1" t="s">
        <v>17</v>
      </c>
    </row>
    <row r="610" spans="1:5" x14ac:dyDescent="0.25">
      <c r="A610" s="13">
        <v>41650455</v>
      </c>
      <c r="B610" s="11" t="s">
        <v>84</v>
      </c>
      <c r="C610" s="1" t="s">
        <v>1696</v>
      </c>
      <c r="D610" s="1" t="s">
        <v>203</v>
      </c>
      <c r="E610" s="1" t="s">
        <v>1697</v>
      </c>
    </row>
    <row r="611" spans="1:5" x14ac:dyDescent="0.25">
      <c r="A611" s="13">
        <v>41650735</v>
      </c>
      <c r="B611" s="11" t="s">
        <v>116</v>
      </c>
      <c r="C611" s="1" t="s">
        <v>1695</v>
      </c>
      <c r="D611" s="1" t="s">
        <v>117</v>
      </c>
      <c r="E611" s="1" t="s">
        <v>134</v>
      </c>
    </row>
    <row r="612" spans="1:5" x14ac:dyDescent="0.25">
      <c r="A612" s="13">
        <v>41656479</v>
      </c>
      <c r="B612" s="11" t="s">
        <v>84</v>
      </c>
      <c r="C612" s="1" t="s">
        <v>1694</v>
      </c>
      <c r="D612" s="1" t="s">
        <v>38</v>
      </c>
      <c r="E612" s="1" t="s">
        <v>3</v>
      </c>
    </row>
    <row r="613" spans="1:5" x14ac:dyDescent="0.25">
      <c r="A613" s="13">
        <v>41659754</v>
      </c>
      <c r="B613" s="11" t="s">
        <v>116</v>
      </c>
      <c r="C613" s="1" t="s">
        <v>1693</v>
      </c>
      <c r="D613" s="1" t="s">
        <v>117</v>
      </c>
      <c r="E613" s="1" t="s">
        <v>12</v>
      </c>
    </row>
    <row r="614" spans="1:5" x14ac:dyDescent="0.25">
      <c r="A614" s="13">
        <v>41663068</v>
      </c>
      <c r="B614" s="11" t="s">
        <v>116</v>
      </c>
      <c r="C614" s="1" t="s">
        <v>1692</v>
      </c>
      <c r="D614" s="1" t="s">
        <v>117</v>
      </c>
      <c r="E614" s="1" t="s">
        <v>179</v>
      </c>
    </row>
    <row r="615" spans="1:5" x14ac:dyDescent="0.25">
      <c r="A615" s="13">
        <v>41671240</v>
      </c>
      <c r="B615" s="11" t="s">
        <v>83</v>
      </c>
      <c r="C615" s="1" t="s">
        <v>1690</v>
      </c>
      <c r="D615" s="1" t="s">
        <v>1691</v>
      </c>
      <c r="E615" s="1" t="s">
        <v>20</v>
      </c>
    </row>
    <row r="616" spans="1:5" x14ac:dyDescent="0.25">
      <c r="A616" s="13">
        <v>41679948</v>
      </c>
      <c r="B616" s="11" t="s">
        <v>109</v>
      </c>
      <c r="C616" s="1" t="s">
        <v>1689</v>
      </c>
      <c r="D616" s="1" t="s">
        <v>131</v>
      </c>
      <c r="E616" s="1" t="s">
        <v>131</v>
      </c>
    </row>
    <row r="617" spans="1:5" x14ac:dyDescent="0.25">
      <c r="A617" s="13">
        <v>41689751</v>
      </c>
      <c r="B617" s="11" t="s">
        <v>116</v>
      </c>
      <c r="C617" s="1" t="s">
        <v>1687</v>
      </c>
      <c r="D617" s="1" t="s">
        <v>117</v>
      </c>
      <c r="E617" s="1" t="s">
        <v>9</v>
      </c>
    </row>
    <row r="618" spans="1:5" x14ac:dyDescent="0.25">
      <c r="A618" s="13">
        <v>41696271</v>
      </c>
      <c r="B618" s="11" t="s">
        <v>116</v>
      </c>
      <c r="C618" s="1" t="s">
        <v>1686</v>
      </c>
      <c r="D618" s="1" t="s">
        <v>117</v>
      </c>
      <c r="E618" s="1" t="s">
        <v>491</v>
      </c>
    </row>
    <row r="619" spans="1:5" x14ac:dyDescent="0.25">
      <c r="A619" s="13">
        <v>41698047</v>
      </c>
      <c r="B619" s="11" t="s">
        <v>84</v>
      </c>
      <c r="C619" s="1" t="s">
        <v>1685</v>
      </c>
      <c r="D619" s="1" t="s">
        <v>203</v>
      </c>
      <c r="E619" s="1" t="s">
        <v>417</v>
      </c>
    </row>
    <row r="620" spans="1:5" x14ac:dyDescent="0.25">
      <c r="A620" s="13">
        <v>41705297</v>
      </c>
      <c r="B620" s="11" t="s">
        <v>109</v>
      </c>
      <c r="C620" s="1" t="s">
        <v>1684</v>
      </c>
      <c r="D620" s="1" t="s">
        <v>1158</v>
      </c>
      <c r="E620" s="1" t="s">
        <v>1107</v>
      </c>
    </row>
    <row r="621" spans="1:5" x14ac:dyDescent="0.25">
      <c r="A621" s="13">
        <v>41708898</v>
      </c>
      <c r="B621" s="11" t="s">
        <v>84</v>
      </c>
      <c r="C621" s="1" t="s">
        <v>1683</v>
      </c>
      <c r="D621" s="1" t="s">
        <v>1454</v>
      </c>
      <c r="E621" s="1" t="s">
        <v>26</v>
      </c>
    </row>
    <row r="622" spans="1:5" x14ac:dyDescent="0.25">
      <c r="A622" s="13">
        <v>41710081</v>
      </c>
      <c r="B622" s="11" t="s">
        <v>84</v>
      </c>
      <c r="C622" s="1" t="s">
        <v>1682</v>
      </c>
      <c r="D622" s="1" t="s">
        <v>38</v>
      </c>
      <c r="E622" s="1" t="s">
        <v>170</v>
      </c>
    </row>
    <row r="623" spans="1:5" x14ac:dyDescent="0.25">
      <c r="A623" s="13">
        <v>41712506</v>
      </c>
      <c r="B623" s="11" t="s">
        <v>116</v>
      </c>
      <c r="C623" s="1" t="s">
        <v>1681</v>
      </c>
      <c r="D623" s="1" t="s">
        <v>117</v>
      </c>
      <c r="E623" s="1" t="s">
        <v>417</v>
      </c>
    </row>
    <row r="624" spans="1:5" x14ac:dyDescent="0.25">
      <c r="A624" s="13">
        <v>41722461</v>
      </c>
      <c r="B624" s="11" t="s">
        <v>116</v>
      </c>
      <c r="C624" s="1" t="s">
        <v>1680</v>
      </c>
      <c r="D624" s="1" t="s">
        <v>117</v>
      </c>
      <c r="E624" s="1" t="s">
        <v>10</v>
      </c>
    </row>
    <row r="625" spans="1:5" x14ac:dyDescent="0.25">
      <c r="A625" s="13">
        <v>41722971</v>
      </c>
      <c r="B625" s="11" t="s">
        <v>84</v>
      </c>
      <c r="C625" s="1" t="s">
        <v>1679</v>
      </c>
      <c r="D625" s="1" t="s">
        <v>172</v>
      </c>
      <c r="E625" s="1" t="s">
        <v>85</v>
      </c>
    </row>
    <row r="626" spans="1:5" x14ac:dyDescent="0.25">
      <c r="A626" s="13">
        <v>41731636</v>
      </c>
      <c r="B626" s="11" t="s">
        <v>109</v>
      </c>
      <c r="C626" s="1" t="s">
        <v>1678</v>
      </c>
      <c r="D626" s="1" t="s">
        <v>131</v>
      </c>
      <c r="E626" s="1" t="s">
        <v>131</v>
      </c>
    </row>
    <row r="627" spans="1:5" x14ac:dyDescent="0.25">
      <c r="A627" s="13">
        <v>41738471</v>
      </c>
      <c r="B627" s="11" t="s">
        <v>116</v>
      </c>
      <c r="C627" s="1" t="s">
        <v>1677</v>
      </c>
      <c r="D627" s="1" t="s">
        <v>117</v>
      </c>
      <c r="E627" s="1" t="s">
        <v>179</v>
      </c>
    </row>
    <row r="628" spans="1:5" x14ac:dyDescent="0.25">
      <c r="A628" s="13">
        <v>41757698</v>
      </c>
      <c r="B628" s="11" t="s">
        <v>84</v>
      </c>
      <c r="C628" s="1" t="s">
        <v>1676</v>
      </c>
      <c r="D628" s="1" t="s">
        <v>973</v>
      </c>
      <c r="E628" s="1" t="s">
        <v>29</v>
      </c>
    </row>
    <row r="629" spans="1:5" x14ac:dyDescent="0.25">
      <c r="A629" s="13">
        <v>41761260</v>
      </c>
      <c r="B629" s="11" t="s">
        <v>109</v>
      </c>
      <c r="C629" s="1" t="s">
        <v>1675</v>
      </c>
      <c r="D629" s="1" t="s">
        <v>131</v>
      </c>
      <c r="E629" s="1" t="s">
        <v>131</v>
      </c>
    </row>
    <row r="630" spans="1:5" x14ac:dyDescent="0.25">
      <c r="A630" s="13">
        <v>41762578</v>
      </c>
      <c r="B630" s="11" t="s">
        <v>116</v>
      </c>
      <c r="C630" s="1" t="s">
        <v>1674</v>
      </c>
      <c r="D630" s="1" t="s">
        <v>117</v>
      </c>
      <c r="E630" s="1" t="s">
        <v>333</v>
      </c>
    </row>
    <row r="631" spans="1:5" x14ac:dyDescent="0.25">
      <c r="A631" s="13">
        <v>41763824</v>
      </c>
      <c r="B631" s="11" t="s">
        <v>84</v>
      </c>
      <c r="C631" s="1" t="s">
        <v>1673</v>
      </c>
      <c r="D631" s="1" t="s">
        <v>38</v>
      </c>
      <c r="E631" s="1" t="s">
        <v>10</v>
      </c>
    </row>
    <row r="632" spans="1:5" x14ac:dyDescent="0.25">
      <c r="A632" s="13">
        <v>41765896</v>
      </c>
      <c r="B632" s="11" t="s">
        <v>116</v>
      </c>
      <c r="C632" s="1" t="s">
        <v>1672</v>
      </c>
      <c r="D632" s="1" t="s">
        <v>117</v>
      </c>
      <c r="E632" s="1" t="s">
        <v>12</v>
      </c>
    </row>
    <row r="633" spans="1:5" x14ac:dyDescent="0.25">
      <c r="A633" s="13">
        <v>41766634</v>
      </c>
      <c r="B633" s="11" t="s">
        <v>84</v>
      </c>
      <c r="C633" s="1" t="s">
        <v>1671</v>
      </c>
      <c r="D633" s="1" t="s">
        <v>38</v>
      </c>
      <c r="E633" s="1" t="s">
        <v>5</v>
      </c>
    </row>
    <row r="634" spans="1:5" x14ac:dyDescent="0.25">
      <c r="A634" s="13">
        <v>41766690</v>
      </c>
      <c r="B634" s="11" t="s">
        <v>109</v>
      </c>
      <c r="C634" s="1" t="s">
        <v>1670</v>
      </c>
      <c r="D634" s="1" t="s">
        <v>131</v>
      </c>
      <c r="E634" s="1" t="s">
        <v>131</v>
      </c>
    </row>
    <row r="635" spans="1:5" x14ac:dyDescent="0.25">
      <c r="A635" s="13">
        <v>41766902</v>
      </c>
      <c r="B635" s="11" t="s">
        <v>109</v>
      </c>
      <c r="C635" s="1" t="s">
        <v>1670</v>
      </c>
      <c r="D635" s="1" t="s">
        <v>131</v>
      </c>
      <c r="E635" s="1" t="s">
        <v>131</v>
      </c>
    </row>
    <row r="636" spans="1:5" x14ac:dyDescent="0.25">
      <c r="A636" s="13">
        <v>41770032</v>
      </c>
      <c r="B636" s="11" t="s">
        <v>116</v>
      </c>
      <c r="C636" s="1" t="s">
        <v>3205</v>
      </c>
      <c r="D636" s="1" t="s">
        <v>117</v>
      </c>
      <c r="E636" s="1" t="s">
        <v>12</v>
      </c>
    </row>
    <row r="637" spans="1:5" x14ac:dyDescent="0.25">
      <c r="A637" s="13">
        <v>41779466</v>
      </c>
      <c r="B637" s="11" t="s">
        <v>84</v>
      </c>
      <c r="C637" s="1" t="s">
        <v>1669</v>
      </c>
      <c r="D637" s="1" t="s">
        <v>38</v>
      </c>
      <c r="E637" s="1" t="s">
        <v>186</v>
      </c>
    </row>
    <row r="638" spans="1:5" x14ac:dyDescent="0.25">
      <c r="A638" s="13">
        <v>41784237</v>
      </c>
      <c r="B638" s="11" t="s">
        <v>116</v>
      </c>
      <c r="C638" s="1" t="s">
        <v>1668</v>
      </c>
      <c r="D638" s="1" t="s">
        <v>117</v>
      </c>
      <c r="E638" s="1" t="s">
        <v>127</v>
      </c>
    </row>
    <row r="639" spans="1:5" x14ac:dyDescent="0.25">
      <c r="A639" s="13">
        <v>41788399</v>
      </c>
      <c r="B639" s="11" t="s">
        <v>84</v>
      </c>
      <c r="C639" s="1" t="s">
        <v>1666</v>
      </c>
      <c r="D639" s="1" t="s">
        <v>1667</v>
      </c>
      <c r="E639" s="1" t="s">
        <v>17</v>
      </c>
    </row>
    <row r="640" spans="1:5" x14ac:dyDescent="0.25">
      <c r="A640" s="13">
        <v>41902229</v>
      </c>
      <c r="B640" s="11" t="s">
        <v>116</v>
      </c>
      <c r="C640" s="1" t="s">
        <v>1664</v>
      </c>
      <c r="D640" s="1" t="s">
        <v>117</v>
      </c>
      <c r="E640" s="1" t="s">
        <v>147</v>
      </c>
    </row>
    <row r="641" spans="1:5" x14ac:dyDescent="0.25">
      <c r="A641" s="13">
        <v>41909746</v>
      </c>
      <c r="B641" s="11" t="s">
        <v>116</v>
      </c>
      <c r="C641" s="1" t="s">
        <v>1663</v>
      </c>
      <c r="D641" s="1" t="s">
        <v>117</v>
      </c>
      <c r="E641" s="1" t="s">
        <v>10</v>
      </c>
    </row>
    <row r="642" spans="1:5" x14ac:dyDescent="0.25">
      <c r="A642" s="13">
        <v>41915156</v>
      </c>
      <c r="B642" s="11" t="s">
        <v>116</v>
      </c>
      <c r="C642" s="1" t="s">
        <v>1662</v>
      </c>
      <c r="D642" s="1" t="s">
        <v>117</v>
      </c>
      <c r="E642" s="1" t="s">
        <v>10</v>
      </c>
    </row>
    <row r="643" spans="1:5" x14ac:dyDescent="0.25">
      <c r="A643" s="13">
        <v>41928445</v>
      </c>
      <c r="B643" s="11" t="s">
        <v>116</v>
      </c>
      <c r="C643" s="1" t="s">
        <v>1661</v>
      </c>
      <c r="D643" s="1" t="s">
        <v>117</v>
      </c>
      <c r="E643" s="1" t="s">
        <v>336</v>
      </c>
    </row>
    <row r="644" spans="1:5" x14ac:dyDescent="0.25">
      <c r="A644" s="13">
        <v>41939325</v>
      </c>
      <c r="B644" s="11" t="s">
        <v>84</v>
      </c>
      <c r="C644" s="1" t="s">
        <v>1660</v>
      </c>
      <c r="D644" s="1" t="s">
        <v>1381</v>
      </c>
      <c r="E644" s="1" t="s">
        <v>17</v>
      </c>
    </row>
    <row r="645" spans="1:5" x14ac:dyDescent="0.25">
      <c r="A645" s="13">
        <v>41948261</v>
      </c>
      <c r="B645" s="11" t="s">
        <v>83</v>
      </c>
      <c r="C645" s="1" t="s">
        <v>1659</v>
      </c>
      <c r="D645" s="1" t="s">
        <v>1298</v>
      </c>
      <c r="E645" s="1" t="s">
        <v>300</v>
      </c>
    </row>
    <row r="646" spans="1:5" x14ac:dyDescent="0.25">
      <c r="A646" s="13">
        <v>41948785</v>
      </c>
      <c r="B646" s="11" t="s">
        <v>109</v>
      </c>
      <c r="C646" s="1" t="s">
        <v>1658</v>
      </c>
      <c r="D646" s="1" t="s">
        <v>131</v>
      </c>
      <c r="E646" s="1" t="s">
        <v>131</v>
      </c>
    </row>
    <row r="647" spans="1:5" x14ac:dyDescent="0.25">
      <c r="A647" s="13">
        <v>42117522</v>
      </c>
      <c r="B647" s="11" t="s">
        <v>116</v>
      </c>
      <c r="C647" s="1" t="s">
        <v>1657</v>
      </c>
      <c r="D647" s="1" t="s">
        <v>117</v>
      </c>
      <c r="E647" s="1" t="s">
        <v>10</v>
      </c>
    </row>
    <row r="648" spans="1:5" x14ac:dyDescent="0.25">
      <c r="A648" s="13">
        <v>42874500</v>
      </c>
      <c r="B648" s="11" t="s">
        <v>84</v>
      </c>
      <c r="C648" s="1" t="s">
        <v>1654</v>
      </c>
      <c r="D648" s="1" t="s">
        <v>38</v>
      </c>
      <c r="E648" s="1" t="s">
        <v>597</v>
      </c>
    </row>
    <row r="649" spans="1:5" x14ac:dyDescent="0.25">
      <c r="A649" s="13">
        <v>43055666</v>
      </c>
      <c r="B649" s="11" t="s">
        <v>109</v>
      </c>
      <c r="C649" s="1" t="s">
        <v>1650</v>
      </c>
      <c r="D649" s="1" t="s">
        <v>1651</v>
      </c>
      <c r="E649" s="1" t="s">
        <v>1652</v>
      </c>
    </row>
    <row r="650" spans="1:5" x14ac:dyDescent="0.25">
      <c r="A650" s="13">
        <v>43201521</v>
      </c>
      <c r="B650" s="11" t="s">
        <v>116</v>
      </c>
      <c r="C650" s="1" t="s">
        <v>1649</v>
      </c>
      <c r="D650" s="1" t="s">
        <v>117</v>
      </c>
      <c r="E650" s="1" t="s">
        <v>2</v>
      </c>
    </row>
    <row r="651" spans="1:5" x14ac:dyDescent="0.25">
      <c r="A651" s="13">
        <v>43275058</v>
      </c>
      <c r="B651" s="11" t="s">
        <v>116</v>
      </c>
      <c r="C651" s="1" t="s">
        <v>1647</v>
      </c>
      <c r="D651" s="1" t="s">
        <v>117</v>
      </c>
      <c r="E651" s="1" t="s">
        <v>7</v>
      </c>
    </row>
    <row r="652" spans="1:5" x14ac:dyDescent="0.25">
      <c r="A652" s="13">
        <v>43421718</v>
      </c>
      <c r="B652" s="11" t="s">
        <v>116</v>
      </c>
      <c r="C652" s="1" t="s">
        <v>1646</v>
      </c>
      <c r="D652" s="1" t="s">
        <v>117</v>
      </c>
      <c r="E652" s="1" t="s">
        <v>10</v>
      </c>
    </row>
    <row r="653" spans="1:5" x14ac:dyDescent="0.25">
      <c r="A653" s="13">
        <v>43578135</v>
      </c>
      <c r="B653" s="11" t="s">
        <v>116</v>
      </c>
      <c r="C653" s="1" t="s">
        <v>1645</v>
      </c>
      <c r="D653" s="1" t="s">
        <v>117</v>
      </c>
      <c r="E653" s="1" t="s">
        <v>491</v>
      </c>
    </row>
    <row r="654" spans="1:5" x14ac:dyDescent="0.25">
      <c r="A654" s="13">
        <v>43597485</v>
      </c>
      <c r="B654" s="11" t="s">
        <v>116</v>
      </c>
      <c r="C654" s="1" t="s">
        <v>1644</v>
      </c>
      <c r="D654" s="1" t="s">
        <v>117</v>
      </c>
      <c r="E654" s="1" t="s">
        <v>134</v>
      </c>
    </row>
    <row r="655" spans="1:5" x14ac:dyDescent="0.25">
      <c r="A655" s="13">
        <v>43633553</v>
      </c>
      <c r="B655" s="11" t="s">
        <v>83</v>
      </c>
      <c r="C655" s="1" t="s">
        <v>1643</v>
      </c>
      <c r="D655" s="1" t="s">
        <v>1077</v>
      </c>
      <c r="E655" s="1" t="s">
        <v>31</v>
      </c>
    </row>
    <row r="656" spans="1:5" x14ac:dyDescent="0.25">
      <c r="A656" s="13">
        <v>43758647</v>
      </c>
      <c r="B656" s="11" t="s">
        <v>84</v>
      </c>
      <c r="C656" s="1" t="s">
        <v>1642</v>
      </c>
      <c r="D656" s="1" t="s">
        <v>43</v>
      </c>
      <c r="E656" s="1" t="s">
        <v>127</v>
      </c>
    </row>
    <row r="657" spans="1:5" x14ac:dyDescent="0.25">
      <c r="A657" s="13">
        <v>45455721</v>
      </c>
      <c r="B657" s="11" t="s">
        <v>116</v>
      </c>
      <c r="C657" s="1" t="s">
        <v>1639</v>
      </c>
      <c r="D657" s="1" t="s">
        <v>117</v>
      </c>
      <c r="E657" s="1" t="s">
        <v>170</v>
      </c>
    </row>
    <row r="658" spans="1:5" x14ac:dyDescent="0.25">
      <c r="A658" s="13">
        <v>45474894</v>
      </c>
      <c r="B658" s="11" t="s">
        <v>83</v>
      </c>
      <c r="C658" s="1" t="s">
        <v>1638</v>
      </c>
      <c r="D658" s="1" t="s">
        <v>42</v>
      </c>
      <c r="E658" s="1" t="s">
        <v>4</v>
      </c>
    </row>
    <row r="659" spans="1:5" x14ac:dyDescent="0.25">
      <c r="A659" s="13">
        <v>45505403</v>
      </c>
      <c r="B659" s="11" t="s">
        <v>116</v>
      </c>
      <c r="C659" s="1" t="s">
        <v>1637</v>
      </c>
      <c r="D659" s="1" t="s">
        <v>117</v>
      </c>
      <c r="E659" s="1" t="s">
        <v>237</v>
      </c>
    </row>
    <row r="660" spans="1:5" x14ac:dyDescent="0.25">
      <c r="A660" s="13">
        <v>46358383</v>
      </c>
      <c r="B660" s="11" t="s">
        <v>83</v>
      </c>
      <c r="C660" s="1" t="s">
        <v>1635</v>
      </c>
      <c r="D660" s="1" t="s">
        <v>40</v>
      </c>
      <c r="E660" s="1" t="s">
        <v>23</v>
      </c>
    </row>
    <row r="661" spans="1:5" x14ac:dyDescent="0.25">
      <c r="A661" s="13">
        <v>46452611</v>
      </c>
      <c r="B661" s="11" t="s">
        <v>83</v>
      </c>
      <c r="C661" s="1" t="s">
        <v>1634</v>
      </c>
      <c r="D661" s="1" t="s">
        <v>1077</v>
      </c>
      <c r="E661" s="1" t="s">
        <v>16</v>
      </c>
    </row>
    <row r="662" spans="1:5" x14ac:dyDescent="0.25">
      <c r="A662" s="13">
        <v>46454903</v>
      </c>
      <c r="B662" s="11" t="s">
        <v>84</v>
      </c>
      <c r="C662" s="1" t="s">
        <v>1633</v>
      </c>
      <c r="D662" s="1" t="s">
        <v>38</v>
      </c>
      <c r="E662" s="1" t="s">
        <v>15</v>
      </c>
    </row>
    <row r="663" spans="1:5" x14ac:dyDescent="0.25">
      <c r="A663" s="13">
        <v>46456143</v>
      </c>
      <c r="B663" s="11" t="s">
        <v>83</v>
      </c>
      <c r="C663" s="1" t="s">
        <v>1632</v>
      </c>
      <c r="D663" s="1" t="s">
        <v>3206</v>
      </c>
      <c r="E663" s="1" t="s">
        <v>20</v>
      </c>
    </row>
    <row r="664" spans="1:5" x14ac:dyDescent="0.25">
      <c r="A664" s="13">
        <v>46667887</v>
      </c>
      <c r="B664" s="11" t="s">
        <v>116</v>
      </c>
      <c r="C664" s="1" t="s">
        <v>1631</v>
      </c>
      <c r="D664" s="1" t="s">
        <v>117</v>
      </c>
      <c r="E664" s="1" t="s">
        <v>12</v>
      </c>
    </row>
    <row r="665" spans="1:5" x14ac:dyDescent="0.25">
      <c r="A665" s="13">
        <v>46669765</v>
      </c>
      <c r="B665" s="11" t="s">
        <v>116</v>
      </c>
      <c r="C665" s="1" t="s">
        <v>1630</v>
      </c>
      <c r="D665" s="1" t="s">
        <v>117</v>
      </c>
      <c r="E665" s="1" t="s">
        <v>12</v>
      </c>
    </row>
    <row r="666" spans="1:5" x14ac:dyDescent="0.25">
      <c r="A666" s="13">
        <v>49724017</v>
      </c>
      <c r="B666" s="11" t="s">
        <v>116</v>
      </c>
      <c r="C666" s="1" t="s">
        <v>1625</v>
      </c>
      <c r="D666" s="1" t="s">
        <v>117</v>
      </c>
      <c r="E666" s="1" t="s">
        <v>168</v>
      </c>
    </row>
    <row r="667" spans="1:5" x14ac:dyDescent="0.25">
      <c r="A667" s="13">
        <v>50894279</v>
      </c>
      <c r="B667" s="11" t="s">
        <v>109</v>
      </c>
      <c r="C667" s="1" t="s">
        <v>1623</v>
      </c>
      <c r="D667" s="1" t="s">
        <v>131</v>
      </c>
      <c r="E667" s="1" t="s">
        <v>131</v>
      </c>
    </row>
    <row r="668" spans="1:5" x14ac:dyDescent="0.25">
      <c r="A668" s="13">
        <v>50975148</v>
      </c>
      <c r="B668" s="11" t="s">
        <v>83</v>
      </c>
      <c r="C668" s="1" t="s">
        <v>1622</v>
      </c>
      <c r="D668" s="1" t="s">
        <v>72</v>
      </c>
      <c r="E668" s="1" t="s">
        <v>23</v>
      </c>
    </row>
    <row r="669" spans="1:5" x14ac:dyDescent="0.25">
      <c r="A669" s="13">
        <v>50993200</v>
      </c>
      <c r="B669" s="11" t="s">
        <v>116</v>
      </c>
      <c r="C669" s="1" t="s">
        <v>1621</v>
      </c>
      <c r="D669" s="1" t="s">
        <v>117</v>
      </c>
      <c r="E669" s="1" t="s">
        <v>263</v>
      </c>
    </row>
    <row r="670" spans="1:5" x14ac:dyDescent="0.25">
      <c r="A670" s="13">
        <v>51541462</v>
      </c>
      <c r="B670" s="11" t="s">
        <v>109</v>
      </c>
      <c r="C670" s="1" t="s">
        <v>1620</v>
      </c>
      <c r="D670" s="1" t="s">
        <v>131</v>
      </c>
      <c r="E670" s="1" t="s">
        <v>131</v>
      </c>
    </row>
    <row r="671" spans="1:5" x14ac:dyDescent="0.25">
      <c r="A671" s="13">
        <v>51555582</v>
      </c>
      <c r="B671" s="11" t="s">
        <v>84</v>
      </c>
      <c r="C671" s="1" t="s">
        <v>1619</v>
      </c>
      <c r="D671" s="1" t="s">
        <v>38</v>
      </c>
      <c r="E671" s="1" t="s">
        <v>3</v>
      </c>
    </row>
    <row r="672" spans="1:5" x14ac:dyDescent="0.25">
      <c r="A672" s="13">
        <v>51560498</v>
      </c>
      <c r="B672" s="11" t="s">
        <v>109</v>
      </c>
      <c r="C672" s="1" t="s">
        <v>1618</v>
      </c>
      <c r="D672" s="1" t="s">
        <v>131</v>
      </c>
      <c r="E672" s="1" t="s">
        <v>131</v>
      </c>
    </row>
    <row r="673" spans="1:5" x14ac:dyDescent="0.25">
      <c r="A673" s="13">
        <v>51566332</v>
      </c>
      <c r="B673" s="11" t="s">
        <v>84</v>
      </c>
      <c r="C673" s="1" t="s">
        <v>1617</v>
      </c>
      <c r="D673" s="1" t="s">
        <v>70</v>
      </c>
      <c r="E673" s="1" t="s">
        <v>1</v>
      </c>
    </row>
    <row r="674" spans="1:5" x14ac:dyDescent="0.25">
      <c r="A674" s="13">
        <v>51588386</v>
      </c>
      <c r="B674" s="11" t="s">
        <v>83</v>
      </c>
      <c r="C674" s="1" t="s">
        <v>1615</v>
      </c>
      <c r="D674" s="1" t="s">
        <v>1616</v>
      </c>
      <c r="E674" s="1" t="s">
        <v>4</v>
      </c>
    </row>
    <row r="675" spans="1:5" x14ac:dyDescent="0.25">
      <c r="A675" s="13">
        <v>51589145</v>
      </c>
      <c r="B675" s="11" t="s">
        <v>116</v>
      </c>
      <c r="C675" s="1" t="s">
        <v>1614</v>
      </c>
      <c r="D675" s="1" t="s">
        <v>117</v>
      </c>
      <c r="E675" s="1" t="s">
        <v>958</v>
      </c>
    </row>
    <row r="676" spans="1:5" x14ac:dyDescent="0.25">
      <c r="A676" s="13">
        <v>51589222</v>
      </c>
      <c r="B676" s="11" t="s">
        <v>84</v>
      </c>
      <c r="C676" s="1" t="s">
        <v>1612</v>
      </c>
      <c r="D676" s="1" t="s">
        <v>1613</v>
      </c>
      <c r="E676" s="1" t="s">
        <v>1531</v>
      </c>
    </row>
    <row r="677" spans="1:5" x14ac:dyDescent="0.25">
      <c r="A677" s="13">
        <v>51593854</v>
      </c>
      <c r="B677" s="11" t="s">
        <v>83</v>
      </c>
      <c r="C677" s="1" t="s">
        <v>1611</v>
      </c>
      <c r="D677" s="1" t="s">
        <v>1381</v>
      </c>
      <c r="E677" s="1" t="s">
        <v>272</v>
      </c>
    </row>
    <row r="678" spans="1:5" x14ac:dyDescent="0.25">
      <c r="A678" s="13">
        <v>51595679</v>
      </c>
      <c r="B678" s="11" t="s">
        <v>109</v>
      </c>
      <c r="C678" s="1" t="s">
        <v>1610</v>
      </c>
      <c r="D678" s="1" t="s">
        <v>131</v>
      </c>
      <c r="E678" s="1" t="s">
        <v>131</v>
      </c>
    </row>
    <row r="679" spans="1:5" x14ac:dyDescent="0.25">
      <c r="A679" s="13">
        <v>51598163</v>
      </c>
      <c r="B679" s="11" t="s">
        <v>116</v>
      </c>
      <c r="C679" s="1" t="s">
        <v>1609</v>
      </c>
      <c r="D679" s="1" t="s">
        <v>117</v>
      </c>
      <c r="E679" s="1" t="s">
        <v>12</v>
      </c>
    </row>
    <row r="680" spans="1:5" x14ac:dyDescent="0.25">
      <c r="A680" s="13">
        <v>51601883</v>
      </c>
      <c r="B680" s="11" t="s">
        <v>109</v>
      </c>
      <c r="C680" s="1" t="s">
        <v>1608</v>
      </c>
      <c r="D680" s="1" t="s">
        <v>131</v>
      </c>
      <c r="E680" s="1" t="s">
        <v>131</v>
      </c>
    </row>
    <row r="681" spans="1:5" x14ac:dyDescent="0.25">
      <c r="A681" s="13">
        <v>51625497</v>
      </c>
      <c r="B681" s="11" t="s">
        <v>116</v>
      </c>
      <c r="C681" s="1" t="s">
        <v>1607</v>
      </c>
      <c r="D681" s="1" t="s">
        <v>117</v>
      </c>
      <c r="E681" s="1" t="s">
        <v>11</v>
      </c>
    </row>
    <row r="682" spans="1:5" x14ac:dyDescent="0.25">
      <c r="A682" s="13">
        <v>51630547</v>
      </c>
      <c r="B682" s="11" t="s">
        <v>116</v>
      </c>
      <c r="C682" s="1" t="s">
        <v>1606</v>
      </c>
      <c r="D682" s="1" t="s">
        <v>117</v>
      </c>
      <c r="E682" s="1" t="s">
        <v>179</v>
      </c>
    </row>
    <row r="683" spans="1:5" x14ac:dyDescent="0.25">
      <c r="A683" s="13">
        <v>51636699</v>
      </c>
      <c r="B683" s="11" t="s">
        <v>116</v>
      </c>
      <c r="C683" s="1" t="s">
        <v>1605</v>
      </c>
      <c r="D683" s="1" t="s">
        <v>117</v>
      </c>
      <c r="E683" s="1" t="s">
        <v>147</v>
      </c>
    </row>
    <row r="684" spans="1:5" x14ac:dyDescent="0.25">
      <c r="A684" s="13">
        <v>51637305</v>
      </c>
      <c r="B684" s="11" t="s">
        <v>116</v>
      </c>
      <c r="C684" s="1" t="s">
        <v>1604</v>
      </c>
      <c r="D684" s="1" t="s">
        <v>117</v>
      </c>
      <c r="E684" s="1" t="s">
        <v>127</v>
      </c>
    </row>
    <row r="685" spans="1:5" x14ac:dyDescent="0.25">
      <c r="A685" s="13">
        <v>51646376</v>
      </c>
      <c r="B685" s="11" t="s">
        <v>116</v>
      </c>
      <c r="C685" s="1" t="s">
        <v>1603</v>
      </c>
      <c r="D685" s="1" t="s">
        <v>117</v>
      </c>
      <c r="E685" s="1" t="s">
        <v>336</v>
      </c>
    </row>
    <row r="686" spans="1:5" x14ac:dyDescent="0.25">
      <c r="A686" s="13">
        <v>51646454</v>
      </c>
      <c r="B686" s="11" t="s">
        <v>83</v>
      </c>
      <c r="C686" s="1" t="s">
        <v>1602</v>
      </c>
      <c r="D686" s="1" t="s">
        <v>1298</v>
      </c>
      <c r="E686" s="1" t="s">
        <v>19</v>
      </c>
    </row>
    <row r="687" spans="1:5" x14ac:dyDescent="0.25">
      <c r="A687" s="13">
        <v>51646456</v>
      </c>
      <c r="B687" s="11" t="s">
        <v>84</v>
      </c>
      <c r="C687" s="1" t="s">
        <v>1601</v>
      </c>
      <c r="D687" s="1" t="s">
        <v>43</v>
      </c>
      <c r="E687" s="1" t="s">
        <v>9</v>
      </c>
    </row>
    <row r="688" spans="1:5" x14ac:dyDescent="0.25">
      <c r="A688" s="13">
        <v>51661990</v>
      </c>
      <c r="B688" s="11" t="s">
        <v>84</v>
      </c>
      <c r="C688" s="1" t="s">
        <v>1600</v>
      </c>
      <c r="D688" s="1" t="s">
        <v>37</v>
      </c>
      <c r="E688" s="1" t="s">
        <v>939</v>
      </c>
    </row>
    <row r="689" spans="1:5" x14ac:dyDescent="0.25">
      <c r="A689" s="13">
        <v>51666734</v>
      </c>
      <c r="B689" s="11" t="s">
        <v>109</v>
      </c>
      <c r="C689" s="1" t="s">
        <v>1599</v>
      </c>
      <c r="D689" s="1" t="s">
        <v>131</v>
      </c>
      <c r="E689" s="1" t="s">
        <v>131</v>
      </c>
    </row>
    <row r="690" spans="1:5" x14ac:dyDescent="0.25">
      <c r="A690" s="13">
        <v>51671525</v>
      </c>
      <c r="B690" s="11" t="s">
        <v>83</v>
      </c>
      <c r="C690" s="1" t="s">
        <v>1597</v>
      </c>
      <c r="D690" s="1" t="s">
        <v>1598</v>
      </c>
      <c r="E690" s="1" t="s">
        <v>87</v>
      </c>
    </row>
    <row r="691" spans="1:5" x14ac:dyDescent="0.25">
      <c r="A691" s="13">
        <v>51673049</v>
      </c>
      <c r="B691" s="11" t="s">
        <v>83</v>
      </c>
      <c r="C691" s="1" t="s">
        <v>1596</v>
      </c>
      <c r="D691" s="1" t="s">
        <v>75</v>
      </c>
      <c r="E691" s="1" t="s">
        <v>31</v>
      </c>
    </row>
    <row r="692" spans="1:5" x14ac:dyDescent="0.25">
      <c r="A692" s="13">
        <v>51677114</v>
      </c>
      <c r="B692" s="11" t="s">
        <v>116</v>
      </c>
      <c r="C692" s="1" t="s">
        <v>1595</v>
      </c>
      <c r="D692" s="1" t="s">
        <v>117</v>
      </c>
      <c r="E692" s="1" t="s">
        <v>422</v>
      </c>
    </row>
    <row r="693" spans="1:5" x14ac:dyDescent="0.25">
      <c r="A693" s="13">
        <v>51678933</v>
      </c>
      <c r="B693" s="11" t="s">
        <v>84</v>
      </c>
      <c r="C693" s="1" t="s">
        <v>1594</v>
      </c>
      <c r="D693" s="1" t="s">
        <v>37</v>
      </c>
      <c r="E693" s="1" t="s">
        <v>27</v>
      </c>
    </row>
    <row r="694" spans="1:5" x14ac:dyDescent="0.25">
      <c r="A694" s="13">
        <v>51688985</v>
      </c>
      <c r="B694" s="11" t="s">
        <v>84</v>
      </c>
      <c r="C694" s="1" t="s">
        <v>1593</v>
      </c>
      <c r="D694" s="1" t="s">
        <v>185</v>
      </c>
      <c r="E694" s="1" t="s">
        <v>6</v>
      </c>
    </row>
    <row r="695" spans="1:5" x14ac:dyDescent="0.25">
      <c r="A695" s="13">
        <v>51690485</v>
      </c>
      <c r="B695" s="11" t="s">
        <v>116</v>
      </c>
      <c r="C695" s="1" t="s">
        <v>1592</v>
      </c>
      <c r="D695" s="1" t="s">
        <v>117</v>
      </c>
      <c r="E695" s="1" t="s">
        <v>333</v>
      </c>
    </row>
    <row r="696" spans="1:5" x14ac:dyDescent="0.25">
      <c r="A696" s="13">
        <v>51694349</v>
      </c>
      <c r="B696" s="11" t="s">
        <v>83</v>
      </c>
      <c r="C696" s="1" t="s">
        <v>1591</v>
      </c>
      <c r="D696" s="1" t="s">
        <v>36</v>
      </c>
      <c r="E696" s="1" t="s">
        <v>33</v>
      </c>
    </row>
    <row r="697" spans="1:5" x14ac:dyDescent="0.25">
      <c r="A697" s="13">
        <v>51698377</v>
      </c>
      <c r="B697" s="11" t="s">
        <v>83</v>
      </c>
      <c r="C697" s="1" t="s">
        <v>1590</v>
      </c>
      <c r="D697" s="1" t="s">
        <v>40</v>
      </c>
      <c r="E697" s="1" t="s">
        <v>23</v>
      </c>
    </row>
    <row r="698" spans="1:5" x14ac:dyDescent="0.25">
      <c r="A698" s="13">
        <v>51705734</v>
      </c>
      <c r="B698" s="11" t="s">
        <v>116</v>
      </c>
      <c r="C698" s="1" t="s">
        <v>1589</v>
      </c>
      <c r="D698" s="1" t="s">
        <v>117</v>
      </c>
      <c r="E698" s="1" t="s">
        <v>237</v>
      </c>
    </row>
    <row r="699" spans="1:5" x14ac:dyDescent="0.25">
      <c r="A699" s="13">
        <v>51711131</v>
      </c>
      <c r="B699" s="11" t="s">
        <v>84</v>
      </c>
      <c r="C699" s="1" t="s">
        <v>1588</v>
      </c>
      <c r="D699" s="1" t="s">
        <v>185</v>
      </c>
      <c r="E699" s="1" t="s">
        <v>10</v>
      </c>
    </row>
    <row r="700" spans="1:5" x14ac:dyDescent="0.25">
      <c r="A700" s="13">
        <v>51711277</v>
      </c>
      <c r="B700" s="11" t="s">
        <v>116</v>
      </c>
      <c r="C700" s="1" t="s">
        <v>1587</v>
      </c>
      <c r="D700" s="1" t="s">
        <v>117</v>
      </c>
      <c r="E700" s="1" t="s">
        <v>12</v>
      </c>
    </row>
    <row r="701" spans="1:5" x14ac:dyDescent="0.25">
      <c r="A701" s="13">
        <v>51712104</v>
      </c>
      <c r="B701" s="11" t="s">
        <v>116</v>
      </c>
      <c r="C701" s="1" t="s">
        <v>1586</v>
      </c>
      <c r="D701" s="1" t="s">
        <v>117</v>
      </c>
      <c r="E701" s="1" t="s">
        <v>186</v>
      </c>
    </row>
    <row r="702" spans="1:5" x14ac:dyDescent="0.25">
      <c r="A702" s="13">
        <v>51715063</v>
      </c>
      <c r="B702" s="11" t="s">
        <v>83</v>
      </c>
      <c r="C702" s="1" t="s">
        <v>1584</v>
      </c>
      <c r="D702" s="1" t="s">
        <v>1585</v>
      </c>
      <c r="E702" s="1" t="s">
        <v>248</v>
      </c>
    </row>
    <row r="703" spans="1:5" x14ac:dyDescent="0.25">
      <c r="A703" s="13">
        <v>51720492</v>
      </c>
      <c r="B703" s="11" t="s">
        <v>83</v>
      </c>
      <c r="C703" s="1" t="s">
        <v>1583</v>
      </c>
      <c r="D703" s="1" t="s">
        <v>1077</v>
      </c>
      <c r="E703" s="1" t="s">
        <v>12</v>
      </c>
    </row>
    <row r="704" spans="1:5" x14ac:dyDescent="0.25">
      <c r="A704" s="13">
        <v>51722975</v>
      </c>
      <c r="B704" s="11" t="s">
        <v>84</v>
      </c>
      <c r="C704" s="1" t="s">
        <v>1582</v>
      </c>
      <c r="D704" s="1" t="s">
        <v>973</v>
      </c>
      <c r="E704" s="1" t="s">
        <v>29</v>
      </c>
    </row>
    <row r="705" spans="1:5" x14ac:dyDescent="0.25">
      <c r="A705" s="13">
        <v>51724657</v>
      </c>
      <c r="B705" s="11" t="s">
        <v>83</v>
      </c>
      <c r="C705" s="1" t="s">
        <v>1581</v>
      </c>
      <c r="D705" s="1" t="s">
        <v>1077</v>
      </c>
      <c r="E705" s="1" t="s">
        <v>525</v>
      </c>
    </row>
    <row r="706" spans="1:5" x14ac:dyDescent="0.25">
      <c r="A706" s="13">
        <v>51726645</v>
      </c>
      <c r="B706" s="11" t="s">
        <v>116</v>
      </c>
      <c r="C706" s="1" t="s">
        <v>1580</v>
      </c>
      <c r="D706" s="1" t="s">
        <v>117</v>
      </c>
      <c r="E706" s="1" t="s">
        <v>336</v>
      </c>
    </row>
    <row r="707" spans="1:5" x14ac:dyDescent="0.25">
      <c r="A707" s="13">
        <v>51727374</v>
      </c>
      <c r="B707" s="11" t="s">
        <v>116</v>
      </c>
      <c r="C707" s="1" t="s">
        <v>1579</v>
      </c>
      <c r="D707" s="1" t="s">
        <v>117</v>
      </c>
      <c r="E707" s="1" t="s">
        <v>12</v>
      </c>
    </row>
    <row r="708" spans="1:5" x14ac:dyDescent="0.25">
      <c r="A708" s="13">
        <v>51732343</v>
      </c>
      <c r="B708" s="11" t="s">
        <v>116</v>
      </c>
      <c r="C708" s="1" t="s">
        <v>1578</v>
      </c>
      <c r="D708" s="1" t="s">
        <v>117</v>
      </c>
      <c r="E708" s="1" t="s">
        <v>8</v>
      </c>
    </row>
    <row r="709" spans="1:5" x14ac:dyDescent="0.25">
      <c r="A709" s="13">
        <v>51737106</v>
      </c>
      <c r="B709" s="11" t="s">
        <v>116</v>
      </c>
      <c r="C709" s="1" t="s">
        <v>1577</v>
      </c>
      <c r="D709" s="1" t="s">
        <v>117</v>
      </c>
      <c r="E709" s="1" t="s">
        <v>6</v>
      </c>
    </row>
    <row r="710" spans="1:5" x14ac:dyDescent="0.25">
      <c r="A710" s="13">
        <v>51741965</v>
      </c>
      <c r="B710" s="11" t="s">
        <v>116</v>
      </c>
      <c r="C710" s="1" t="s">
        <v>1576</v>
      </c>
      <c r="D710" s="1" t="s">
        <v>117</v>
      </c>
      <c r="E710" s="1" t="s">
        <v>958</v>
      </c>
    </row>
    <row r="711" spans="1:5" x14ac:dyDescent="0.25">
      <c r="A711" s="13">
        <v>51742585</v>
      </c>
      <c r="B711" s="11" t="s">
        <v>116</v>
      </c>
      <c r="C711" s="1" t="s">
        <v>1575</v>
      </c>
      <c r="D711" s="1" t="s">
        <v>117</v>
      </c>
      <c r="E711" s="1" t="s">
        <v>491</v>
      </c>
    </row>
    <row r="712" spans="1:5" x14ac:dyDescent="0.25">
      <c r="A712" s="13">
        <v>51742904</v>
      </c>
      <c r="B712" s="11" t="s">
        <v>83</v>
      </c>
      <c r="C712" s="1" t="s">
        <v>1574</v>
      </c>
      <c r="D712" s="1" t="s">
        <v>1077</v>
      </c>
      <c r="E712" s="1" t="s">
        <v>31</v>
      </c>
    </row>
    <row r="713" spans="1:5" x14ac:dyDescent="0.25">
      <c r="A713" s="13">
        <v>51746487</v>
      </c>
      <c r="B713" s="11" t="s">
        <v>84</v>
      </c>
      <c r="C713" s="1" t="s">
        <v>1572</v>
      </c>
      <c r="D713" s="1" t="s">
        <v>38</v>
      </c>
      <c r="E713" s="1" t="s">
        <v>1573</v>
      </c>
    </row>
    <row r="714" spans="1:5" x14ac:dyDescent="0.25">
      <c r="A714" s="13">
        <v>51746592</v>
      </c>
      <c r="B714" s="11" t="s">
        <v>84</v>
      </c>
      <c r="C714" s="1" t="s">
        <v>1571</v>
      </c>
      <c r="D714" s="1" t="s">
        <v>38</v>
      </c>
      <c r="E714" s="1" t="s">
        <v>10</v>
      </c>
    </row>
    <row r="715" spans="1:5" x14ac:dyDescent="0.25">
      <c r="A715" s="13">
        <v>51748197</v>
      </c>
      <c r="B715" s="11" t="s">
        <v>116</v>
      </c>
      <c r="C715" s="1" t="s">
        <v>1570</v>
      </c>
      <c r="D715" s="1" t="s">
        <v>117</v>
      </c>
      <c r="E715" s="1" t="s">
        <v>9</v>
      </c>
    </row>
    <row r="716" spans="1:5" x14ac:dyDescent="0.25">
      <c r="A716" s="13">
        <v>51752149</v>
      </c>
      <c r="B716" s="11" t="s">
        <v>116</v>
      </c>
      <c r="C716" s="1" t="s">
        <v>1569</v>
      </c>
      <c r="D716" s="1" t="s">
        <v>117</v>
      </c>
      <c r="E716" s="1" t="s">
        <v>12</v>
      </c>
    </row>
    <row r="717" spans="1:5" x14ac:dyDescent="0.25">
      <c r="A717" s="13">
        <v>51760258</v>
      </c>
      <c r="B717" s="11" t="s">
        <v>116</v>
      </c>
      <c r="C717" s="1" t="s">
        <v>1568</v>
      </c>
      <c r="D717" s="1" t="s">
        <v>117</v>
      </c>
      <c r="E717" s="1" t="s">
        <v>881</v>
      </c>
    </row>
    <row r="718" spans="1:5" x14ac:dyDescent="0.25">
      <c r="A718" s="13">
        <v>51767501</v>
      </c>
      <c r="B718" s="11" t="s">
        <v>116</v>
      </c>
      <c r="C718" s="1" t="s">
        <v>1567</v>
      </c>
      <c r="D718" s="1" t="s">
        <v>117</v>
      </c>
      <c r="E718" s="1" t="s">
        <v>7</v>
      </c>
    </row>
    <row r="719" spans="1:5" x14ac:dyDescent="0.25">
      <c r="A719" s="13">
        <v>51768721</v>
      </c>
      <c r="B719" s="11" t="s">
        <v>84</v>
      </c>
      <c r="C719" s="1" t="s">
        <v>1566</v>
      </c>
      <c r="D719" s="1" t="s">
        <v>203</v>
      </c>
      <c r="E719" s="1" t="s">
        <v>417</v>
      </c>
    </row>
    <row r="720" spans="1:5" x14ac:dyDescent="0.25">
      <c r="A720" s="13">
        <v>51778438</v>
      </c>
      <c r="B720" s="11" t="s">
        <v>83</v>
      </c>
      <c r="C720" s="1" t="s">
        <v>1563</v>
      </c>
      <c r="D720" s="1" t="s">
        <v>1564</v>
      </c>
      <c r="E720" s="1" t="s">
        <v>26</v>
      </c>
    </row>
    <row r="721" spans="1:5" x14ac:dyDescent="0.25">
      <c r="A721" s="13">
        <v>51783848</v>
      </c>
      <c r="B721" s="11" t="s">
        <v>109</v>
      </c>
      <c r="C721" s="1" t="s">
        <v>1562</v>
      </c>
      <c r="D721" s="1" t="s">
        <v>131</v>
      </c>
      <c r="E721" s="1" t="s">
        <v>131</v>
      </c>
    </row>
    <row r="722" spans="1:5" x14ac:dyDescent="0.25">
      <c r="A722" s="13">
        <v>51793197</v>
      </c>
      <c r="B722" s="11" t="s">
        <v>116</v>
      </c>
      <c r="C722" s="1" t="s">
        <v>1561</v>
      </c>
      <c r="D722" s="1" t="s">
        <v>117</v>
      </c>
      <c r="E722" s="1" t="s">
        <v>12</v>
      </c>
    </row>
    <row r="723" spans="1:5" x14ac:dyDescent="0.25">
      <c r="A723" s="13">
        <v>51797637</v>
      </c>
      <c r="B723" s="11" t="s">
        <v>116</v>
      </c>
      <c r="C723" s="1" t="s">
        <v>1560</v>
      </c>
      <c r="D723" s="1" t="s">
        <v>117</v>
      </c>
      <c r="E723" s="1" t="s">
        <v>237</v>
      </c>
    </row>
    <row r="724" spans="1:5" x14ac:dyDescent="0.25">
      <c r="A724" s="13">
        <v>51799106</v>
      </c>
      <c r="B724" s="11" t="s">
        <v>116</v>
      </c>
      <c r="C724" s="1" t="s">
        <v>1559</v>
      </c>
      <c r="D724" s="1" t="s">
        <v>117</v>
      </c>
      <c r="E724" s="1" t="s">
        <v>147</v>
      </c>
    </row>
    <row r="725" spans="1:5" x14ac:dyDescent="0.25">
      <c r="A725" s="13">
        <v>51804229</v>
      </c>
      <c r="B725" s="11" t="s">
        <v>116</v>
      </c>
      <c r="C725" s="1" t="s">
        <v>1558</v>
      </c>
      <c r="D725" s="1" t="s">
        <v>117</v>
      </c>
      <c r="E725" s="1" t="s">
        <v>417</v>
      </c>
    </row>
    <row r="726" spans="1:5" x14ac:dyDescent="0.25">
      <c r="A726" s="13">
        <v>51804604</v>
      </c>
      <c r="B726" s="11" t="s">
        <v>84</v>
      </c>
      <c r="C726" s="1" t="s">
        <v>1557</v>
      </c>
      <c r="D726" s="1" t="s">
        <v>38</v>
      </c>
      <c r="E726" s="1" t="s">
        <v>3</v>
      </c>
    </row>
    <row r="727" spans="1:5" x14ac:dyDescent="0.25">
      <c r="A727" s="13">
        <v>51825728</v>
      </c>
      <c r="B727" s="11" t="s">
        <v>84</v>
      </c>
      <c r="C727" s="1" t="s">
        <v>1556</v>
      </c>
      <c r="D727" s="1" t="s">
        <v>43</v>
      </c>
      <c r="E727" s="1" t="s">
        <v>3</v>
      </c>
    </row>
    <row r="728" spans="1:5" x14ac:dyDescent="0.25">
      <c r="A728" s="13">
        <v>51832657</v>
      </c>
      <c r="B728" s="11" t="s">
        <v>116</v>
      </c>
      <c r="C728" s="1" t="s">
        <v>1555</v>
      </c>
      <c r="D728" s="1" t="s">
        <v>117</v>
      </c>
      <c r="E728" s="1" t="s">
        <v>205</v>
      </c>
    </row>
    <row r="729" spans="1:5" x14ac:dyDescent="0.25">
      <c r="A729" s="13">
        <v>51833446</v>
      </c>
      <c r="B729" s="11" t="s">
        <v>109</v>
      </c>
      <c r="C729" s="1" t="s">
        <v>1554</v>
      </c>
      <c r="D729" s="1" t="s">
        <v>131</v>
      </c>
      <c r="E729" s="1" t="s">
        <v>131</v>
      </c>
    </row>
    <row r="730" spans="1:5" x14ac:dyDescent="0.25">
      <c r="A730" s="13">
        <v>51833474</v>
      </c>
      <c r="B730" s="11" t="s">
        <v>84</v>
      </c>
      <c r="C730" s="1" t="s">
        <v>1553</v>
      </c>
      <c r="D730" s="1" t="s">
        <v>38</v>
      </c>
      <c r="E730" s="1" t="s">
        <v>3</v>
      </c>
    </row>
    <row r="731" spans="1:5" x14ac:dyDescent="0.25">
      <c r="A731" s="13">
        <v>51836035</v>
      </c>
      <c r="B731" s="11" t="s">
        <v>84</v>
      </c>
      <c r="C731" s="1" t="s">
        <v>3102</v>
      </c>
      <c r="D731" s="1" t="s">
        <v>38</v>
      </c>
      <c r="E731" s="1" t="s">
        <v>3</v>
      </c>
    </row>
    <row r="732" spans="1:5" x14ac:dyDescent="0.25">
      <c r="A732" s="13">
        <v>51839772</v>
      </c>
      <c r="B732" s="11" t="s">
        <v>84</v>
      </c>
      <c r="C732" s="1" t="s">
        <v>1552</v>
      </c>
      <c r="D732" s="1" t="s">
        <v>38</v>
      </c>
      <c r="E732" s="1" t="s">
        <v>170</v>
      </c>
    </row>
    <row r="733" spans="1:5" x14ac:dyDescent="0.25">
      <c r="A733" s="13">
        <v>51840480</v>
      </c>
      <c r="B733" s="11" t="s">
        <v>83</v>
      </c>
      <c r="C733" s="1" t="s">
        <v>3207</v>
      </c>
      <c r="D733" s="1" t="s">
        <v>40</v>
      </c>
      <c r="E733" s="1" t="s">
        <v>23</v>
      </c>
    </row>
    <row r="734" spans="1:5" x14ac:dyDescent="0.25">
      <c r="A734" s="13">
        <v>51850394</v>
      </c>
      <c r="B734" s="11" t="s">
        <v>84</v>
      </c>
      <c r="C734" s="1" t="s">
        <v>1551</v>
      </c>
      <c r="D734" s="1" t="s">
        <v>38</v>
      </c>
      <c r="E734" s="1" t="s">
        <v>8</v>
      </c>
    </row>
    <row r="735" spans="1:5" x14ac:dyDescent="0.25">
      <c r="A735" s="13">
        <v>51854745</v>
      </c>
      <c r="B735" s="11" t="s">
        <v>109</v>
      </c>
      <c r="C735" s="1" t="s">
        <v>1550</v>
      </c>
      <c r="D735" s="1" t="s">
        <v>131</v>
      </c>
      <c r="E735" s="1" t="s">
        <v>131</v>
      </c>
    </row>
    <row r="736" spans="1:5" x14ac:dyDescent="0.25">
      <c r="A736" s="13">
        <v>51855378</v>
      </c>
      <c r="B736" s="11" t="s">
        <v>116</v>
      </c>
      <c r="C736" s="1" t="s">
        <v>1549</v>
      </c>
      <c r="D736" s="1" t="s">
        <v>117</v>
      </c>
      <c r="E736" s="1" t="s">
        <v>7</v>
      </c>
    </row>
    <row r="737" spans="1:5" x14ac:dyDescent="0.25">
      <c r="A737" s="13">
        <v>51858201</v>
      </c>
      <c r="B737" s="11" t="s">
        <v>109</v>
      </c>
      <c r="C737" s="1" t="s">
        <v>1548</v>
      </c>
      <c r="D737" s="1" t="s">
        <v>131</v>
      </c>
      <c r="E737" s="1" t="s">
        <v>131</v>
      </c>
    </row>
    <row r="738" spans="1:5" x14ac:dyDescent="0.25">
      <c r="A738" s="13">
        <v>51858814</v>
      </c>
      <c r="B738" s="11" t="s">
        <v>109</v>
      </c>
      <c r="C738" s="1" t="s">
        <v>1547</v>
      </c>
      <c r="D738" s="1" t="s">
        <v>131</v>
      </c>
      <c r="E738" s="1" t="s">
        <v>131</v>
      </c>
    </row>
    <row r="739" spans="1:5" x14ac:dyDescent="0.25">
      <c r="A739" s="13">
        <v>51866331</v>
      </c>
      <c r="B739" s="11" t="s">
        <v>116</v>
      </c>
      <c r="C739" s="1" t="s">
        <v>1546</v>
      </c>
      <c r="D739" s="1" t="s">
        <v>117</v>
      </c>
      <c r="E739" s="1" t="s">
        <v>134</v>
      </c>
    </row>
    <row r="740" spans="1:5" x14ac:dyDescent="0.25">
      <c r="A740" s="13">
        <v>51868059</v>
      </c>
      <c r="B740" s="11" t="s">
        <v>84</v>
      </c>
      <c r="C740" s="1" t="s">
        <v>1545</v>
      </c>
      <c r="D740" s="1" t="s">
        <v>172</v>
      </c>
      <c r="E740" s="1" t="s">
        <v>205</v>
      </c>
    </row>
    <row r="741" spans="1:5" x14ac:dyDescent="0.25">
      <c r="A741" s="13">
        <v>51868459</v>
      </c>
      <c r="B741" s="11" t="s">
        <v>116</v>
      </c>
      <c r="C741" s="1" t="s">
        <v>1544</v>
      </c>
      <c r="D741" s="1" t="s">
        <v>117</v>
      </c>
      <c r="E741" s="1" t="s">
        <v>11</v>
      </c>
    </row>
    <row r="742" spans="1:5" x14ac:dyDescent="0.25">
      <c r="A742" s="13">
        <v>51878442</v>
      </c>
      <c r="B742" s="11" t="s">
        <v>84</v>
      </c>
      <c r="C742" s="1" t="s">
        <v>1543</v>
      </c>
      <c r="D742" s="1" t="s">
        <v>38</v>
      </c>
      <c r="E742" s="1" t="s">
        <v>8</v>
      </c>
    </row>
    <row r="743" spans="1:5" x14ac:dyDescent="0.25">
      <c r="A743" s="13">
        <v>51878724</v>
      </c>
      <c r="B743" s="11" t="s">
        <v>109</v>
      </c>
      <c r="C743" s="1" t="s">
        <v>1542</v>
      </c>
      <c r="D743" s="1" t="s">
        <v>131</v>
      </c>
      <c r="E743" s="1" t="s">
        <v>131</v>
      </c>
    </row>
    <row r="744" spans="1:5" x14ac:dyDescent="0.25">
      <c r="A744" s="13">
        <v>51879587</v>
      </c>
      <c r="B744" s="11" t="s">
        <v>116</v>
      </c>
      <c r="C744" s="1" t="s">
        <v>1541</v>
      </c>
      <c r="D744" s="1" t="s">
        <v>117</v>
      </c>
      <c r="E744" s="1" t="s">
        <v>12</v>
      </c>
    </row>
    <row r="745" spans="1:5" x14ac:dyDescent="0.25">
      <c r="A745" s="13">
        <v>51879601</v>
      </c>
      <c r="B745" s="11" t="s">
        <v>84</v>
      </c>
      <c r="C745" s="1" t="s">
        <v>3208</v>
      </c>
      <c r="D745" s="1" t="s">
        <v>43</v>
      </c>
      <c r="E745" s="1" t="s">
        <v>14</v>
      </c>
    </row>
    <row r="746" spans="1:5" x14ac:dyDescent="0.25">
      <c r="A746" s="13">
        <v>51880274</v>
      </c>
      <c r="B746" s="11" t="s">
        <v>83</v>
      </c>
      <c r="C746" s="1" t="s">
        <v>1540</v>
      </c>
      <c r="D746" s="1" t="s">
        <v>40</v>
      </c>
      <c r="E746" s="1" t="s">
        <v>23</v>
      </c>
    </row>
    <row r="747" spans="1:5" x14ac:dyDescent="0.25">
      <c r="A747" s="13">
        <v>51882776</v>
      </c>
      <c r="B747" s="11" t="s">
        <v>109</v>
      </c>
      <c r="C747" s="1" t="s">
        <v>1539</v>
      </c>
      <c r="D747" s="1" t="s">
        <v>131</v>
      </c>
      <c r="E747" s="1" t="s">
        <v>131</v>
      </c>
    </row>
    <row r="748" spans="1:5" x14ac:dyDescent="0.25">
      <c r="A748" s="13">
        <v>51890421</v>
      </c>
      <c r="B748" s="11" t="s">
        <v>116</v>
      </c>
      <c r="C748" s="1" t="s">
        <v>1538</v>
      </c>
      <c r="D748" s="1" t="s">
        <v>117</v>
      </c>
      <c r="E748" s="1" t="s">
        <v>86</v>
      </c>
    </row>
    <row r="749" spans="1:5" x14ac:dyDescent="0.25">
      <c r="A749" s="13">
        <v>51891414</v>
      </c>
      <c r="B749" s="11" t="s">
        <v>116</v>
      </c>
      <c r="C749" s="1" t="s">
        <v>1537</v>
      </c>
      <c r="D749" s="1" t="s">
        <v>117</v>
      </c>
      <c r="E749" s="1" t="s">
        <v>186</v>
      </c>
    </row>
    <row r="750" spans="1:5" x14ac:dyDescent="0.25">
      <c r="A750" s="13">
        <v>51896555</v>
      </c>
      <c r="B750" s="11" t="s">
        <v>84</v>
      </c>
      <c r="C750" s="1" t="s">
        <v>3209</v>
      </c>
      <c r="D750" s="1" t="s">
        <v>43</v>
      </c>
      <c r="E750" s="1" t="s">
        <v>15</v>
      </c>
    </row>
    <row r="751" spans="1:5" x14ac:dyDescent="0.25">
      <c r="A751" s="13">
        <v>51897112</v>
      </c>
      <c r="B751" s="11" t="s">
        <v>116</v>
      </c>
      <c r="C751" s="1" t="s">
        <v>1536</v>
      </c>
      <c r="D751" s="1" t="s">
        <v>117</v>
      </c>
      <c r="E751" s="1" t="s">
        <v>2</v>
      </c>
    </row>
    <row r="752" spans="1:5" x14ac:dyDescent="0.25">
      <c r="A752" s="13">
        <v>51897634</v>
      </c>
      <c r="B752" s="11" t="s">
        <v>116</v>
      </c>
      <c r="C752" s="1" t="s">
        <v>1535</v>
      </c>
      <c r="D752" s="1" t="s">
        <v>117</v>
      </c>
      <c r="E752" s="1" t="s">
        <v>417</v>
      </c>
    </row>
    <row r="753" spans="1:5" x14ac:dyDescent="0.25">
      <c r="A753" s="13">
        <v>51900507</v>
      </c>
      <c r="B753" s="11" t="s">
        <v>84</v>
      </c>
      <c r="C753" s="1" t="s">
        <v>1534</v>
      </c>
      <c r="D753" s="1" t="s">
        <v>38</v>
      </c>
      <c r="E753" s="1" t="s">
        <v>10</v>
      </c>
    </row>
    <row r="754" spans="1:5" x14ac:dyDescent="0.25">
      <c r="A754" s="13">
        <v>51900836</v>
      </c>
      <c r="B754" s="11" t="s">
        <v>84</v>
      </c>
      <c r="C754" s="1" t="s">
        <v>1533</v>
      </c>
      <c r="D754" s="1" t="s">
        <v>3152</v>
      </c>
      <c r="E754" s="1" t="s">
        <v>1</v>
      </c>
    </row>
    <row r="755" spans="1:5" x14ac:dyDescent="0.25">
      <c r="A755" s="13">
        <v>51901430</v>
      </c>
      <c r="B755" s="11" t="s">
        <v>84</v>
      </c>
      <c r="C755" s="1" t="s">
        <v>1532</v>
      </c>
      <c r="D755" s="1" t="s">
        <v>38</v>
      </c>
      <c r="E755" s="1" t="s">
        <v>417</v>
      </c>
    </row>
    <row r="756" spans="1:5" x14ac:dyDescent="0.25">
      <c r="A756" s="13">
        <v>51902287</v>
      </c>
      <c r="B756" s="11" t="s">
        <v>83</v>
      </c>
      <c r="C756" s="1" t="s">
        <v>1529</v>
      </c>
      <c r="D756" s="1" t="s">
        <v>1530</v>
      </c>
      <c r="E756" s="1" t="s">
        <v>1531</v>
      </c>
    </row>
    <row r="757" spans="1:5" x14ac:dyDescent="0.25">
      <c r="A757" s="13">
        <v>51911517</v>
      </c>
      <c r="B757" s="11" t="s">
        <v>84</v>
      </c>
      <c r="C757" s="1" t="s">
        <v>3210</v>
      </c>
      <c r="D757" s="1" t="s">
        <v>38</v>
      </c>
      <c r="E757" s="1" t="s">
        <v>3211</v>
      </c>
    </row>
    <row r="758" spans="1:5" x14ac:dyDescent="0.25">
      <c r="A758" s="13">
        <v>51914344</v>
      </c>
      <c r="B758" s="11" t="s">
        <v>84</v>
      </c>
      <c r="C758" s="1" t="s">
        <v>1528</v>
      </c>
      <c r="D758" s="1" t="s">
        <v>38</v>
      </c>
      <c r="E758" s="1" t="s">
        <v>9</v>
      </c>
    </row>
    <row r="759" spans="1:5" x14ac:dyDescent="0.25">
      <c r="A759" s="13">
        <v>51914924</v>
      </c>
      <c r="B759" s="11" t="s">
        <v>84</v>
      </c>
      <c r="C759" s="1" t="s">
        <v>1527</v>
      </c>
      <c r="D759" s="1" t="s">
        <v>3551</v>
      </c>
      <c r="E759" s="1" t="s">
        <v>26</v>
      </c>
    </row>
    <row r="760" spans="1:5" x14ac:dyDescent="0.25">
      <c r="A760" s="13">
        <v>51916038</v>
      </c>
      <c r="B760" s="11" t="s">
        <v>109</v>
      </c>
      <c r="C760" s="1" t="s">
        <v>1526</v>
      </c>
      <c r="D760" s="1" t="s">
        <v>131</v>
      </c>
      <c r="E760" s="1" t="s">
        <v>131</v>
      </c>
    </row>
    <row r="761" spans="1:5" x14ac:dyDescent="0.25">
      <c r="A761" s="13">
        <v>51919748</v>
      </c>
      <c r="B761" s="11" t="s">
        <v>83</v>
      </c>
      <c r="C761" s="1" t="s">
        <v>1525</v>
      </c>
      <c r="D761" s="1" t="s">
        <v>1222</v>
      </c>
      <c r="E761" s="1" t="s">
        <v>272</v>
      </c>
    </row>
    <row r="762" spans="1:5" x14ac:dyDescent="0.25">
      <c r="A762" s="13">
        <v>51934764</v>
      </c>
      <c r="B762" s="11" t="s">
        <v>84</v>
      </c>
      <c r="C762" s="1" t="s">
        <v>1524</v>
      </c>
      <c r="D762" s="1" t="s">
        <v>38</v>
      </c>
      <c r="E762" s="1" t="s">
        <v>12</v>
      </c>
    </row>
    <row r="763" spans="1:5" x14ac:dyDescent="0.25">
      <c r="A763" s="13">
        <v>51938722</v>
      </c>
      <c r="B763" s="11" t="s">
        <v>109</v>
      </c>
      <c r="C763" s="1" t="s">
        <v>1523</v>
      </c>
      <c r="D763" s="1" t="s">
        <v>131</v>
      </c>
      <c r="E763" s="1" t="s">
        <v>131</v>
      </c>
    </row>
    <row r="764" spans="1:5" x14ac:dyDescent="0.25">
      <c r="A764" s="13">
        <v>51940124</v>
      </c>
      <c r="B764" s="11" t="s">
        <v>109</v>
      </c>
      <c r="C764" s="1" t="s">
        <v>1522</v>
      </c>
      <c r="D764" s="1" t="s">
        <v>131</v>
      </c>
      <c r="E764" s="1" t="s">
        <v>131</v>
      </c>
    </row>
    <row r="765" spans="1:5" x14ac:dyDescent="0.25">
      <c r="A765" s="13">
        <v>51943301</v>
      </c>
      <c r="B765" s="11" t="s">
        <v>116</v>
      </c>
      <c r="C765" s="1" t="s">
        <v>1521</v>
      </c>
      <c r="D765" s="1" t="s">
        <v>117</v>
      </c>
      <c r="E765" s="1" t="s">
        <v>134</v>
      </c>
    </row>
    <row r="766" spans="1:5" x14ac:dyDescent="0.25">
      <c r="A766" s="13">
        <v>51948812</v>
      </c>
      <c r="B766" s="11" t="s">
        <v>84</v>
      </c>
      <c r="C766" s="1" t="s">
        <v>1520</v>
      </c>
      <c r="D766" s="1" t="s">
        <v>38</v>
      </c>
      <c r="E766" s="1" t="s">
        <v>86</v>
      </c>
    </row>
    <row r="767" spans="1:5" x14ac:dyDescent="0.25">
      <c r="A767" s="13">
        <v>51952088</v>
      </c>
      <c r="B767" s="11" t="s">
        <v>84</v>
      </c>
      <c r="C767" s="1" t="s">
        <v>1519</v>
      </c>
      <c r="D767" s="1" t="s">
        <v>973</v>
      </c>
      <c r="E767" s="1" t="s">
        <v>29</v>
      </c>
    </row>
    <row r="768" spans="1:5" x14ac:dyDescent="0.25">
      <c r="A768" s="13">
        <v>51954337</v>
      </c>
      <c r="B768" s="11" t="s">
        <v>84</v>
      </c>
      <c r="C768" s="1" t="s">
        <v>1518</v>
      </c>
      <c r="D768" s="1" t="s">
        <v>185</v>
      </c>
      <c r="E768" s="1" t="s">
        <v>958</v>
      </c>
    </row>
    <row r="769" spans="1:5" x14ac:dyDescent="0.25">
      <c r="A769" s="13">
        <v>51958773</v>
      </c>
      <c r="B769" s="11" t="s">
        <v>84</v>
      </c>
      <c r="C769" s="1" t="s">
        <v>1517</v>
      </c>
      <c r="D769" s="1" t="s">
        <v>65</v>
      </c>
      <c r="E769" s="1" t="s">
        <v>1</v>
      </c>
    </row>
    <row r="770" spans="1:5" x14ac:dyDescent="0.25">
      <c r="A770" s="13">
        <v>51958862</v>
      </c>
      <c r="B770" s="11" t="s">
        <v>116</v>
      </c>
      <c r="C770" s="1" t="s">
        <v>1516</v>
      </c>
      <c r="D770" s="1" t="s">
        <v>117</v>
      </c>
      <c r="E770" s="1" t="s">
        <v>342</v>
      </c>
    </row>
    <row r="771" spans="1:5" x14ac:dyDescent="0.25">
      <c r="A771" s="13">
        <v>51962488</v>
      </c>
      <c r="B771" s="11" t="s">
        <v>83</v>
      </c>
      <c r="C771" s="1" t="s">
        <v>1515</v>
      </c>
      <c r="D771" s="1" t="s">
        <v>1498</v>
      </c>
      <c r="E771" s="1" t="s">
        <v>23</v>
      </c>
    </row>
    <row r="772" spans="1:5" x14ac:dyDescent="0.25">
      <c r="A772" s="13">
        <v>51962857</v>
      </c>
      <c r="B772" s="11" t="s">
        <v>116</v>
      </c>
      <c r="C772" s="1" t="s">
        <v>1514</v>
      </c>
      <c r="D772" s="1" t="s">
        <v>117</v>
      </c>
      <c r="E772" s="1" t="s">
        <v>118</v>
      </c>
    </row>
    <row r="773" spans="1:5" x14ac:dyDescent="0.25">
      <c r="A773" s="13">
        <v>51962872</v>
      </c>
      <c r="B773" s="11" t="s">
        <v>83</v>
      </c>
      <c r="C773" s="1" t="s">
        <v>1512</v>
      </c>
      <c r="D773" s="1" t="s">
        <v>1513</v>
      </c>
      <c r="E773" s="1" t="s">
        <v>1302</v>
      </c>
    </row>
    <row r="774" spans="1:5" x14ac:dyDescent="0.25">
      <c r="A774" s="13">
        <v>51966044</v>
      </c>
      <c r="B774" s="11" t="s">
        <v>83</v>
      </c>
      <c r="C774" s="1" t="s">
        <v>1511</v>
      </c>
      <c r="D774" s="1" t="s">
        <v>1077</v>
      </c>
      <c r="E774" s="1" t="s">
        <v>31</v>
      </c>
    </row>
    <row r="775" spans="1:5" x14ac:dyDescent="0.25">
      <c r="A775" s="13">
        <v>51972943</v>
      </c>
      <c r="B775" s="11" t="s">
        <v>83</v>
      </c>
      <c r="C775" s="1" t="s">
        <v>1508</v>
      </c>
      <c r="D775" s="1" t="s">
        <v>1509</v>
      </c>
      <c r="E775" s="1" t="s">
        <v>1510</v>
      </c>
    </row>
    <row r="776" spans="1:5" x14ac:dyDescent="0.25">
      <c r="A776" s="13">
        <v>51975102</v>
      </c>
      <c r="B776" s="11" t="s">
        <v>83</v>
      </c>
      <c r="C776" s="1" t="s">
        <v>1507</v>
      </c>
      <c r="D776" s="1" t="s">
        <v>1158</v>
      </c>
      <c r="E776" s="1" t="s">
        <v>1128</v>
      </c>
    </row>
    <row r="777" spans="1:5" x14ac:dyDescent="0.25">
      <c r="A777" s="13">
        <v>51975833</v>
      </c>
      <c r="B777" s="11" t="s">
        <v>116</v>
      </c>
      <c r="C777" s="1" t="s">
        <v>1506</v>
      </c>
      <c r="D777" s="1" t="s">
        <v>117</v>
      </c>
      <c r="E777" s="1" t="s">
        <v>10</v>
      </c>
    </row>
    <row r="778" spans="1:5" x14ac:dyDescent="0.25">
      <c r="A778" s="13">
        <v>51976141</v>
      </c>
      <c r="B778" s="11" t="s">
        <v>83</v>
      </c>
      <c r="C778" s="1" t="s">
        <v>1505</v>
      </c>
      <c r="D778" s="1" t="s">
        <v>684</v>
      </c>
      <c r="E778" s="1" t="s">
        <v>21</v>
      </c>
    </row>
    <row r="779" spans="1:5" x14ac:dyDescent="0.25">
      <c r="A779" s="13">
        <v>51980182</v>
      </c>
      <c r="B779" s="11" t="s">
        <v>84</v>
      </c>
      <c r="C779" s="1" t="s">
        <v>1504</v>
      </c>
      <c r="D779" s="1" t="s">
        <v>38</v>
      </c>
      <c r="E779" s="1" t="s">
        <v>5</v>
      </c>
    </row>
    <row r="780" spans="1:5" x14ac:dyDescent="0.25">
      <c r="A780" s="13">
        <v>51989486</v>
      </c>
      <c r="B780" s="11" t="s">
        <v>116</v>
      </c>
      <c r="C780" s="1" t="s">
        <v>1503</v>
      </c>
      <c r="D780" s="1" t="s">
        <v>117</v>
      </c>
      <c r="E780" s="1" t="s">
        <v>336</v>
      </c>
    </row>
    <row r="781" spans="1:5" x14ac:dyDescent="0.25">
      <c r="A781" s="13">
        <v>51990584</v>
      </c>
      <c r="B781" s="11" t="s">
        <v>116</v>
      </c>
      <c r="C781" s="1" t="s">
        <v>1502</v>
      </c>
      <c r="D781" s="1" t="s">
        <v>117</v>
      </c>
      <c r="E781" s="1" t="s">
        <v>12</v>
      </c>
    </row>
    <row r="782" spans="1:5" x14ac:dyDescent="0.25">
      <c r="A782" s="13">
        <v>51990985</v>
      </c>
      <c r="B782" s="11" t="s">
        <v>83</v>
      </c>
      <c r="C782" s="1" t="s">
        <v>1501</v>
      </c>
      <c r="D782" s="1" t="s">
        <v>73</v>
      </c>
      <c r="E782" s="1" t="s">
        <v>30</v>
      </c>
    </row>
    <row r="783" spans="1:5" x14ac:dyDescent="0.25">
      <c r="A783" s="13">
        <v>51991075</v>
      </c>
      <c r="B783" s="11" t="s">
        <v>116</v>
      </c>
      <c r="C783" s="1" t="s">
        <v>1500</v>
      </c>
      <c r="D783" s="1" t="s">
        <v>117</v>
      </c>
      <c r="E783" s="1" t="s">
        <v>12</v>
      </c>
    </row>
    <row r="784" spans="1:5" x14ac:dyDescent="0.25">
      <c r="A784" s="13">
        <v>51994293</v>
      </c>
      <c r="B784" s="11" t="s">
        <v>116</v>
      </c>
      <c r="C784" s="1" t="s">
        <v>1499</v>
      </c>
      <c r="D784" s="1" t="s">
        <v>151</v>
      </c>
      <c r="E784" s="1" t="s">
        <v>152</v>
      </c>
    </row>
    <row r="785" spans="1:5" x14ac:dyDescent="0.25">
      <c r="A785" s="13">
        <v>51998449</v>
      </c>
      <c r="B785" s="11" t="s">
        <v>83</v>
      </c>
      <c r="C785" s="1" t="s">
        <v>1497</v>
      </c>
      <c r="D785" s="1" t="s">
        <v>1498</v>
      </c>
      <c r="E785" s="1" t="s">
        <v>23</v>
      </c>
    </row>
    <row r="786" spans="1:5" x14ac:dyDescent="0.25">
      <c r="A786" s="13">
        <v>52005730</v>
      </c>
      <c r="B786" s="11" t="s">
        <v>84</v>
      </c>
      <c r="C786" s="1" t="s">
        <v>1496</v>
      </c>
      <c r="D786" s="1" t="s">
        <v>38</v>
      </c>
      <c r="E786" s="1" t="s">
        <v>5</v>
      </c>
    </row>
    <row r="787" spans="1:5" x14ac:dyDescent="0.25">
      <c r="A787" s="13">
        <v>52006638</v>
      </c>
      <c r="B787" s="11" t="s">
        <v>116</v>
      </c>
      <c r="C787" s="1" t="s">
        <v>1495</v>
      </c>
      <c r="D787" s="1" t="s">
        <v>117</v>
      </c>
      <c r="E787" s="1" t="s">
        <v>10</v>
      </c>
    </row>
    <row r="788" spans="1:5" x14ac:dyDescent="0.25">
      <c r="A788" s="13">
        <v>52009695</v>
      </c>
      <c r="B788" s="11" t="s">
        <v>116</v>
      </c>
      <c r="C788" s="1" t="s">
        <v>1494</v>
      </c>
      <c r="D788" s="1" t="s">
        <v>117</v>
      </c>
      <c r="E788" s="1" t="s">
        <v>11</v>
      </c>
    </row>
    <row r="789" spans="1:5" x14ac:dyDescent="0.25">
      <c r="A789" s="13">
        <v>52018012</v>
      </c>
      <c r="B789" s="11" t="s">
        <v>109</v>
      </c>
      <c r="C789" s="1" t="s">
        <v>1493</v>
      </c>
      <c r="D789" s="1" t="s">
        <v>131</v>
      </c>
      <c r="E789" s="1" t="s">
        <v>131</v>
      </c>
    </row>
    <row r="790" spans="1:5" x14ac:dyDescent="0.25">
      <c r="A790" s="13">
        <v>52019603</v>
      </c>
      <c r="B790" s="11" t="s">
        <v>84</v>
      </c>
      <c r="C790" s="1" t="s">
        <v>1492</v>
      </c>
      <c r="D790" s="1" t="s">
        <v>38</v>
      </c>
      <c r="E790" s="1" t="s">
        <v>127</v>
      </c>
    </row>
    <row r="791" spans="1:5" x14ac:dyDescent="0.25">
      <c r="A791" s="13">
        <v>52019771</v>
      </c>
      <c r="B791" s="11" t="s">
        <v>83</v>
      </c>
      <c r="C791" s="1" t="s">
        <v>1491</v>
      </c>
      <c r="D791" s="1" t="s">
        <v>973</v>
      </c>
      <c r="E791" s="1" t="s">
        <v>27</v>
      </c>
    </row>
    <row r="792" spans="1:5" x14ac:dyDescent="0.25">
      <c r="A792" s="13">
        <v>52021995</v>
      </c>
      <c r="B792" s="11" t="s">
        <v>116</v>
      </c>
      <c r="C792" s="1" t="s">
        <v>1490</v>
      </c>
      <c r="D792" s="1" t="s">
        <v>117</v>
      </c>
      <c r="E792" s="1" t="s">
        <v>147</v>
      </c>
    </row>
    <row r="793" spans="1:5" x14ac:dyDescent="0.25">
      <c r="A793" s="13">
        <v>52023564</v>
      </c>
      <c r="B793" s="11" t="s">
        <v>116</v>
      </c>
      <c r="C793" s="1" t="s">
        <v>3212</v>
      </c>
      <c r="D793" s="1" t="s">
        <v>117</v>
      </c>
      <c r="E793" s="1" t="s">
        <v>3553</v>
      </c>
    </row>
    <row r="794" spans="1:5" x14ac:dyDescent="0.25">
      <c r="A794" s="13">
        <v>52024234</v>
      </c>
      <c r="B794" s="11" t="s">
        <v>116</v>
      </c>
      <c r="C794" s="1" t="s">
        <v>1489</v>
      </c>
      <c r="D794" s="1" t="s">
        <v>117</v>
      </c>
      <c r="E794" s="1" t="s">
        <v>11</v>
      </c>
    </row>
    <row r="795" spans="1:5" x14ac:dyDescent="0.25">
      <c r="A795" s="13">
        <v>52024838</v>
      </c>
      <c r="B795" s="11" t="s">
        <v>116</v>
      </c>
      <c r="C795" s="1" t="s">
        <v>1488</v>
      </c>
      <c r="D795" s="1" t="s">
        <v>117</v>
      </c>
      <c r="E795" s="1" t="s">
        <v>336</v>
      </c>
    </row>
    <row r="796" spans="1:5" x14ac:dyDescent="0.25">
      <c r="A796" s="13">
        <v>52027592</v>
      </c>
      <c r="B796" s="11" t="s">
        <v>116</v>
      </c>
      <c r="C796" s="1" t="s">
        <v>1487</v>
      </c>
      <c r="D796" s="1" t="s">
        <v>117</v>
      </c>
      <c r="E796" s="1" t="s">
        <v>11</v>
      </c>
    </row>
    <row r="797" spans="1:5" x14ac:dyDescent="0.25">
      <c r="A797" s="13">
        <v>52029559</v>
      </c>
      <c r="B797" s="11" t="s">
        <v>116</v>
      </c>
      <c r="C797" s="1" t="s">
        <v>1486</v>
      </c>
      <c r="D797" s="1" t="s">
        <v>117</v>
      </c>
      <c r="E797" s="1" t="s">
        <v>8</v>
      </c>
    </row>
    <row r="798" spans="1:5" x14ac:dyDescent="0.25">
      <c r="A798" s="13">
        <v>52031041</v>
      </c>
      <c r="B798" s="11" t="s">
        <v>116</v>
      </c>
      <c r="C798" s="1" t="s">
        <v>1485</v>
      </c>
      <c r="D798" s="1" t="s">
        <v>117</v>
      </c>
      <c r="E798" s="1" t="s">
        <v>118</v>
      </c>
    </row>
    <row r="799" spans="1:5" x14ac:dyDescent="0.25">
      <c r="A799" s="13">
        <v>52031599</v>
      </c>
      <c r="B799" s="11" t="s">
        <v>116</v>
      </c>
      <c r="C799" s="1" t="s">
        <v>1484</v>
      </c>
      <c r="D799" s="1" t="s">
        <v>117</v>
      </c>
      <c r="E799" s="1" t="s">
        <v>1107</v>
      </c>
    </row>
    <row r="800" spans="1:5" x14ac:dyDescent="0.25">
      <c r="A800" s="13">
        <v>52034349</v>
      </c>
      <c r="B800" s="11" t="s">
        <v>83</v>
      </c>
      <c r="C800" s="1" t="s">
        <v>1483</v>
      </c>
      <c r="D800" s="1" t="s">
        <v>40</v>
      </c>
      <c r="E800" s="1" t="s">
        <v>23</v>
      </c>
    </row>
    <row r="801" spans="1:5" x14ac:dyDescent="0.25">
      <c r="A801" s="13">
        <v>52045469</v>
      </c>
      <c r="B801" s="11" t="s">
        <v>109</v>
      </c>
      <c r="C801" s="1" t="s">
        <v>1482</v>
      </c>
      <c r="D801" s="1" t="s">
        <v>131</v>
      </c>
      <c r="E801" s="1" t="s">
        <v>131</v>
      </c>
    </row>
    <row r="802" spans="1:5" x14ac:dyDescent="0.25">
      <c r="A802" s="13">
        <v>52045629</v>
      </c>
      <c r="B802" s="11" t="s">
        <v>116</v>
      </c>
      <c r="C802" s="1" t="s">
        <v>1481</v>
      </c>
      <c r="D802" s="1" t="s">
        <v>117</v>
      </c>
      <c r="E802" s="1" t="s">
        <v>186</v>
      </c>
    </row>
    <row r="803" spans="1:5" x14ac:dyDescent="0.25">
      <c r="A803" s="13">
        <v>52047362</v>
      </c>
      <c r="B803" s="11" t="s">
        <v>116</v>
      </c>
      <c r="C803" s="1" t="s">
        <v>1480</v>
      </c>
      <c r="D803" s="1" t="s">
        <v>117</v>
      </c>
      <c r="E803" s="1" t="s">
        <v>11</v>
      </c>
    </row>
    <row r="804" spans="1:5" x14ac:dyDescent="0.25">
      <c r="A804" s="13">
        <v>52048214</v>
      </c>
      <c r="B804" s="11" t="s">
        <v>116</v>
      </c>
      <c r="C804" s="1" t="s">
        <v>1479</v>
      </c>
      <c r="D804" s="1" t="s">
        <v>117</v>
      </c>
      <c r="E804" s="1" t="s">
        <v>12</v>
      </c>
    </row>
    <row r="805" spans="1:5" x14ac:dyDescent="0.25">
      <c r="A805" s="13">
        <v>52049956</v>
      </c>
      <c r="B805" s="11" t="s">
        <v>83</v>
      </c>
      <c r="C805" s="1" t="s">
        <v>1478</v>
      </c>
      <c r="D805" s="1" t="s">
        <v>3213</v>
      </c>
      <c r="E805" s="1" t="s">
        <v>16</v>
      </c>
    </row>
    <row r="806" spans="1:5" x14ac:dyDescent="0.25">
      <c r="A806" s="13">
        <v>52051851</v>
      </c>
      <c r="B806" s="11" t="s">
        <v>116</v>
      </c>
      <c r="C806" s="1" t="s">
        <v>1477</v>
      </c>
      <c r="D806" s="1" t="s">
        <v>117</v>
      </c>
      <c r="E806" s="1" t="s">
        <v>127</v>
      </c>
    </row>
    <row r="807" spans="1:5" x14ac:dyDescent="0.25">
      <c r="A807" s="13">
        <v>52053313</v>
      </c>
      <c r="B807" s="11" t="s">
        <v>116</v>
      </c>
      <c r="C807" s="1" t="s">
        <v>1476</v>
      </c>
      <c r="D807" s="1" t="s">
        <v>117</v>
      </c>
      <c r="E807" s="1" t="s">
        <v>2</v>
      </c>
    </row>
    <row r="808" spans="1:5" x14ac:dyDescent="0.25">
      <c r="A808" s="13">
        <v>52053528</v>
      </c>
      <c r="B808" s="11" t="s">
        <v>109</v>
      </c>
      <c r="C808" s="1" t="s">
        <v>1475</v>
      </c>
      <c r="D808" s="1" t="s">
        <v>131</v>
      </c>
      <c r="E808" s="1" t="s">
        <v>131</v>
      </c>
    </row>
    <row r="809" spans="1:5" x14ac:dyDescent="0.25">
      <c r="A809" s="13">
        <v>52054682</v>
      </c>
      <c r="B809" s="11" t="s">
        <v>116</v>
      </c>
      <c r="C809" s="1" t="s">
        <v>1474</v>
      </c>
      <c r="D809" s="1" t="s">
        <v>117</v>
      </c>
      <c r="E809" s="1" t="s">
        <v>10</v>
      </c>
    </row>
    <row r="810" spans="1:5" x14ac:dyDescent="0.25">
      <c r="A810" s="13">
        <v>52055100</v>
      </c>
      <c r="B810" s="11" t="s">
        <v>116</v>
      </c>
      <c r="C810" s="1" t="s">
        <v>1473</v>
      </c>
      <c r="D810" s="1" t="s">
        <v>117</v>
      </c>
      <c r="E810" s="1" t="s">
        <v>179</v>
      </c>
    </row>
    <row r="811" spans="1:5" x14ac:dyDescent="0.25">
      <c r="A811" s="13">
        <v>52059022</v>
      </c>
      <c r="B811" s="11" t="s">
        <v>116</v>
      </c>
      <c r="C811" s="1" t="s">
        <v>1472</v>
      </c>
      <c r="D811" s="1" t="s">
        <v>117</v>
      </c>
      <c r="E811" s="1" t="s">
        <v>12</v>
      </c>
    </row>
    <row r="812" spans="1:5" x14ac:dyDescent="0.25">
      <c r="A812" s="13">
        <v>52059516</v>
      </c>
      <c r="B812" s="11" t="s">
        <v>83</v>
      </c>
      <c r="C812" s="1" t="s">
        <v>1471</v>
      </c>
      <c r="D812" s="1" t="s">
        <v>40</v>
      </c>
      <c r="E812" s="1" t="s">
        <v>23</v>
      </c>
    </row>
    <row r="813" spans="1:5" x14ac:dyDescent="0.25">
      <c r="A813" s="13">
        <v>52060540</v>
      </c>
      <c r="B813" s="11" t="s">
        <v>116</v>
      </c>
      <c r="C813" s="1" t="s">
        <v>1470</v>
      </c>
      <c r="D813" s="1" t="s">
        <v>117</v>
      </c>
      <c r="E813" s="1" t="s">
        <v>491</v>
      </c>
    </row>
    <row r="814" spans="1:5" x14ac:dyDescent="0.25">
      <c r="A814" s="13">
        <v>52064680</v>
      </c>
      <c r="B814" s="11" t="s">
        <v>109</v>
      </c>
      <c r="C814" s="1" t="s">
        <v>1469</v>
      </c>
      <c r="D814" s="1" t="s">
        <v>131</v>
      </c>
      <c r="E814" s="1" t="s">
        <v>131</v>
      </c>
    </row>
    <row r="815" spans="1:5" x14ac:dyDescent="0.25">
      <c r="A815" s="13">
        <v>52083921</v>
      </c>
      <c r="B815" s="11" t="s">
        <v>84</v>
      </c>
      <c r="C815" s="1" t="s">
        <v>1468</v>
      </c>
      <c r="D815" s="1" t="s">
        <v>38</v>
      </c>
      <c r="E815" s="1" t="s">
        <v>5</v>
      </c>
    </row>
    <row r="816" spans="1:5" x14ac:dyDescent="0.25">
      <c r="A816" s="13">
        <v>52084767</v>
      </c>
      <c r="B816" s="11" t="s">
        <v>116</v>
      </c>
      <c r="C816" s="1" t="s">
        <v>1467</v>
      </c>
      <c r="D816" s="1" t="s">
        <v>117</v>
      </c>
      <c r="E816" s="1" t="s">
        <v>263</v>
      </c>
    </row>
    <row r="817" spans="1:5" x14ac:dyDescent="0.25">
      <c r="A817" s="13">
        <v>52085356</v>
      </c>
      <c r="B817" s="11" t="s">
        <v>116</v>
      </c>
      <c r="C817" s="1" t="s">
        <v>1466</v>
      </c>
      <c r="D817" s="1" t="s">
        <v>117</v>
      </c>
      <c r="E817" s="1" t="s">
        <v>263</v>
      </c>
    </row>
    <row r="818" spans="1:5" x14ac:dyDescent="0.25">
      <c r="A818" s="13">
        <v>52085358</v>
      </c>
      <c r="B818" s="11" t="s">
        <v>116</v>
      </c>
      <c r="C818" s="1" t="s">
        <v>1465</v>
      </c>
      <c r="D818" s="1" t="s">
        <v>117</v>
      </c>
      <c r="E818" s="1" t="s">
        <v>9</v>
      </c>
    </row>
    <row r="819" spans="1:5" x14ac:dyDescent="0.25">
      <c r="A819" s="13">
        <v>52085852</v>
      </c>
      <c r="B819" s="11" t="s">
        <v>84</v>
      </c>
      <c r="C819" s="1" t="s">
        <v>1464</v>
      </c>
      <c r="D819" s="1" t="s">
        <v>43</v>
      </c>
      <c r="E819" s="1" t="s">
        <v>1</v>
      </c>
    </row>
    <row r="820" spans="1:5" x14ac:dyDescent="0.25">
      <c r="A820" s="13">
        <v>52087288</v>
      </c>
      <c r="B820" s="11" t="s">
        <v>109</v>
      </c>
      <c r="C820" s="1" t="s">
        <v>1463</v>
      </c>
      <c r="D820" s="1" t="s">
        <v>131</v>
      </c>
      <c r="E820" s="1" t="s">
        <v>131</v>
      </c>
    </row>
    <row r="821" spans="1:5" x14ac:dyDescent="0.25">
      <c r="A821" s="13">
        <v>52087622</v>
      </c>
      <c r="B821" s="11" t="s">
        <v>116</v>
      </c>
      <c r="C821" s="1" t="s">
        <v>1462</v>
      </c>
      <c r="D821" s="1" t="s">
        <v>117</v>
      </c>
      <c r="E821" s="1" t="s">
        <v>7</v>
      </c>
    </row>
    <row r="822" spans="1:5" x14ac:dyDescent="0.25">
      <c r="A822" s="13">
        <v>52097729</v>
      </c>
      <c r="B822" s="11" t="s">
        <v>83</v>
      </c>
      <c r="C822" s="1" t="s">
        <v>1461</v>
      </c>
      <c r="D822" s="1" t="s">
        <v>1077</v>
      </c>
      <c r="E822" s="1" t="s">
        <v>31</v>
      </c>
    </row>
    <row r="823" spans="1:5" x14ac:dyDescent="0.25">
      <c r="A823" s="13">
        <v>52098388</v>
      </c>
      <c r="B823" s="11" t="s">
        <v>116</v>
      </c>
      <c r="C823" s="1" t="s">
        <v>1460</v>
      </c>
      <c r="D823" s="1" t="s">
        <v>117</v>
      </c>
      <c r="E823" s="1" t="s">
        <v>263</v>
      </c>
    </row>
    <row r="824" spans="1:5" x14ac:dyDescent="0.25">
      <c r="A824" s="13">
        <v>52099605</v>
      </c>
      <c r="B824" s="11" t="s">
        <v>84</v>
      </c>
      <c r="C824" s="1" t="s">
        <v>1459</v>
      </c>
      <c r="D824" s="1" t="s">
        <v>38</v>
      </c>
      <c r="E824" s="1" t="s">
        <v>328</v>
      </c>
    </row>
    <row r="825" spans="1:5" x14ac:dyDescent="0.25">
      <c r="A825" s="13">
        <v>52100928</v>
      </c>
      <c r="B825" s="11" t="s">
        <v>83</v>
      </c>
      <c r="C825" s="1" t="s">
        <v>1458</v>
      </c>
      <c r="D825" s="1" t="s">
        <v>47</v>
      </c>
      <c r="E825" s="1" t="s">
        <v>17</v>
      </c>
    </row>
    <row r="826" spans="1:5" x14ac:dyDescent="0.25">
      <c r="A826" s="13">
        <v>52102472</v>
      </c>
      <c r="B826" s="11" t="s">
        <v>116</v>
      </c>
      <c r="C826" s="1" t="s">
        <v>1457</v>
      </c>
      <c r="D826" s="1" t="s">
        <v>117</v>
      </c>
      <c r="E826" s="1" t="s">
        <v>134</v>
      </c>
    </row>
    <row r="827" spans="1:5" x14ac:dyDescent="0.25">
      <c r="A827" s="13">
        <v>52104934</v>
      </c>
      <c r="B827" s="11" t="s">
        <v>109</v>
      </c>
      <c r="C827" s="1" t="s">
        <v>1456</v>
      </c>
      <c r="D827" s="1" t="s">
        <v>131</v>
      </c>
      <c r="E827" s="1" t="s">
        <v>131</v>
      </c>
    </row>
    <row r="828" spans="1:5" x14ac:dyDescent="0.25">
      <c r="A828" s="13">
        <v>52109187</v>
      </c>
      <c r="B828" s="11" t="s">
        <v>83</v>
      </c>
      <c r="C828" s="1" t="s">
        <v>1455</v>
      </c>
      <c r="D828" s="1" t="s">
        <v>278</v>
      </c>
      <c r="E828" s="1" t="s">
        <v>24</v>
      </c>
    </row>
    <row r="829" spans="1:5" x14ac:dyDescent="0.25">
      <c r="A829" s="13">
        <v>52110609</v>
      </c>
      <c r="B829" s="11" t="s">
        <v>84</v>
      </c>
      <c r="C829" s="1" t="s">
        <v>1453</v>
      </c>
      <c r="D829" s="1" t="s">
        <v>1454</v>
      </c>
      <c r="E829" s="1" t="s">
        <v>1</v>
      </c>
    </row>
    <row r="830" spans="1:5" x14ac:dyDescent="0.25">
      <c r="A830" s="13">
        <v>52111620</v>
      </c>
      <c r="B830" s="11" t="s">
        <v>116</v>
      </c>
      <c r="C830" s="1" t="s">
        <v>1452</v>
      </c>
      <c r="D830" s="1" t="s">
        <v>117</v>
      </c>
      <c r="E830" s="1" t="s">
        <v>8</v>
      </c>
    </row>
    <row r="831" spans="1:5" x14ac:dyDescent="0.25">
      <c r="A831" s="13">
        <v>52118083</v>
      </c>
      <c r="B831" s="11" t="s">
        <v>109</v>
      </c>
      <c r="C831" s="1" t="s">
        <v>1451</v>
      </c>
      <c r="D831" s="1" t="s">
        <v>131</v>
      </c>
      <c r="E831" s="1" t="s">
        <v>131</v>
      </c>
    </row>
    <row r="832" spans="1:5" x14ac:dyDescent="0.25">
      <c r="A832" s="13">
        <v>52119437</v>
      </c>
      <c r="B832" s="11" t="s">
        <v>109</v>
      </c>
      <c r="C832" s="1" t="s">
        <v>1450</v>
      </c>
      <c r="D832" s="1" t="s">
        <v>131</v>
      </c>
      <c r="E832" s="1" t="s">
        <v>131</v>
      </c>
    </row>
    <row r="833" spans="1:5" x14ac:dyDescent="0.25">
      <c r="A833" s="13">
        <v>52120519</v>
      </c>
      <c r="B833" s="11" t="s">
        <v>116</v>
      </c>
      <c r="C833" s="1" t="s">
        <v>1449</v>
      </c>
      <c r="D833" s="1" t="s">
        <v>117</v>
      </c>
      <c r="E833" s="1" t="s">
        <v>10</v>
      </c>
    </row>
    <row r="834" spans="1:5" x14ac:dyDescent="0.25">
      <c r="A834" s="13">
        <v>52122145</v>
      </c>
      <c r="B834" s="11" t="s">
        <v>116</v>
      </c>
      <c r="C834" s="1" t="s">
        <v>1448</v>
      </c>
      <c r="D834" s="1" t="s">
        <v>117</v>
      </c>
      <c r="E834" s="1" t="s">
        <v>6</v>
      </c>
    </row>
    <row r="835" spans="1:5" x14ac:dyDescent="0.25">
      <c r="A835" s="13">
        <v>52122214</v>
      </c>
      <c r="B835" s="11" t="s">
        <v>116</v>
      </c>
      <c r="C835" s="1" t="s">
        <v>1447</v>
      </c>
      <c r="D835" s="1" t="s">
        <v>117</v>
      </c>
      <c r="E835" s="1" t="s">
        <v>5</v>
      </c>
    </row>
    <row r="836" spans="1:5" x14ac:dyDescent="0.25">
      <c r="A836" s="13">
        <v>52133632</v>
      </c>
      <c r="B836" s="11" t="s">
        <v>84</v>
      </c>
      <c r="C836" s="1" t="s">
        <v>3214</v>
      </c>
      <c r="D836" s="1" t="s">
        <v>43</v>
      </c>
      <c r="E836" s="1" t="s">
        <v>13</v>
      </c>
    </row>
    <row r="837" spans="1:5" x14ac:dyDescent="0.25">
      <c r="A837" s="13">
        <v>52146527</v>
      </c>
      <c r="B837" s="11" t="s">
        <v>116</v>
      </c>
      <c r="C837" s="1" t="s">
        <v>1446</v>
      </c>
      <c r="D837" s="1" t="s">
        <v>117</v>
      </c>
      <c r="E837" s="1" t="s">
        <v>9</v>
      </c>
    </row>
    <row r="838" spans="1:5" x14ac:dyDescent="0.25">
      <c r="A838" s="13">
        <v>52146944</v>
      </c>
      <c r="B838" s="11" t="s">
        <v>84</v>
      </c>
      <c r="C838" s="1" t="s">
        <v>1445</v>
      </c>
      <c r="D838" s="1" t="s">
        <v>38</v>
      </c>
      <c r="E838" s="1" t="s">
        <v>10</v>
      </c>
    </row>
    <row r="839" spans="1:5" x14ac:dyDescent="0.25">
      <c r="A839" s="13">
        <v>52150545</v>
      </c>
      <c r="B839" s="11" t="s">
        <v>116</v>
      </c>
      <c r="C839" s="1" t="s">
        <v>1444</v>
      </c>
      <c r="D839" s="1" t="s">
        <v>117</v>
      </c>
      <c r="E839" s="1" t="s">
        <v>186</v>
      </c>
    </row>
    <row r="840" spans="1:5" x14ac:dyDescent="0.25">
      <c r="A840" s="13">
        <v>52153320</v>
      </c>
      <c r="B840" s="11" t="s">
        <v>83</v>
      </c>
      <c r="C840" s="1" t="s">
        <v>1442</v>
      </c>
      <c r="D840" s="1" t="s">
        <v>1443</v>
      </c>
      <c r="E840" s="1" t="s">
        <v>196</v>
      </c>
    </row>
    <row r="841" spans="1:5" x14ac:dyDescent="0.25">
      <c r="A841" s="13">
        <v>52155871</v>
      </c>
      <c r="B841" s="11" t="s">
        <v>109</v>
      </c>
      <c r="C841" s="1" t="s">
        <v>1441</v>
      </c>
      <c r="D841" s="1" t="s">
        <v>131</v>
      </c>
      <c r="E841" s="1" t="s">
        <v>131</v>
      </c>
    </row>
    <row r="842" spans="1:5" x14ac:dyDescent="0.25">
      <c r="A842" s="13">
        <v>52157370</v>
      </c>
      <c r="B842" s="11" t="s">
        <v>116</v>
      </c>
      <c r="C842" s="1" t="s">
        <v>1440</v>
      </c>
      <c r="D842" s="1" t="s">
        <v>117</v>
      </c>
      <c r="E842" s="1" t="s">
        <v>11</v>
      </c>
    </row>
    <row r="843" spans="1:5" x14ac:dyDescent="0.25">
      <c r="A843" s="13">
        <v>52159426</v>
      </c>
      <c r="B843" s="11" t="s">
        <v>84</v>
      </c>
      <c r="C843" s="1" t="s">
        <v>1438</v>
      </c>
      <c r="D843" s="1" t="s">
        <v>973</v>
      </c>
      <c r="E843" s="1" t="s">
        <v>1439</v>
      </c>
    </row>
    <row r="844" spans="1:5" x14ac:dyDescent="0.25">
      <c r="A844" s="13">
        <v>52161408</v>
      </c>
      <c r="B844" s="11" t="s">
        <v>84</v>
      </c>
      <c r="C844" s="1" t="s">
        <v>1437</v>
      </c>
      <c r="D844" s="1" t="s">
        <v>43</v>
      </c>
      <c r="E844" s="1" t="s">
        <v>10</v>
      </c>
    </row>
    <row r="845" spans="1:5" x14ac:dyDescent="0.25">
      <c r="A845" s="13">
        <v>52164621</v>
      </c>
      <c r="B845" s="11" t="s">
        <v>116</v>
      </c>
      <c r="C845" s="1" t="s">
        <v>1436</v>
      </c>
      <c r="D845" s="1" t="s">
        <v>117</v>
      </c>
      <c r="E845" s="1" t="s">
        <v>147</v>
      </c>
    </row>
    <row r="846" spans="1:5" x14ac:dyDescent="0.25">
      <c r="A846" s="13">
        <v>52165223</v>
      </c>
      <c r="B846" s="11" t="s">
        <v>116</v>
      </c>
      <c r="C846" s="1" t="s">
        <v>1435</v>
      </c>
      <c r="D846" s="1" t="s">
        <v>117</v>
      </c>
      <c r="E846" s="1" t="s">
        <v>5</v>
      </c>
    </row>
    <row r="847" spans="1:5" x14ac:dyDescent="0.25">
      <c r="A847" s="13">
        <v>52165435</v>
      </c>
      <c r="B847" s="11" t="s">
        <v>116</v>
      </c>
      <c r="C847" s="1" t="s">
        <v>1434</v>
      </c>
      <c r="D847" s="1" t="s">
        <v>117</v>
      </c>
      <c r="E847" s="1" t="s">
        <v>12</v>
      </c>
    </row>
    <row r="848" spans="1:5" x14ac:dyDescent="0.25">
      <c r="A848" s="13">
        <v>52167964</v>
      </c>
      <c r="B848" s="11" t="s">
        <v>116</v>
      </c>
      <c r="C848" s="1" t="s">
        <v>1433</v>
      </c>
      <c r="D848" s="1" t="s">
        <v>117</v>
      </c>
      <c r="E848" s="1" t="s">
        <v>8</v>
      </c>
    </row>
    <row r="849" spans="1:5" x14ac:dyDescent="0.25">
      <c r="A849" s="13">
        <v>52169314</v>
      </c>
      <c r="B849" s="11" t="s">
        <v>116</v>
      </c>
      <c r="C849" s="1" t="s">
        <v>1432</v>
      </c>
      <c r="D849" s="1" t="s">
        <v>117</v>
      </c>
      <c r="E849" s="1" t="s">
        <v>8</v>
      </c>
    </row>
    <row r="850" spans="1:5" x14ac:dyDescent="0.25">
      <c r="A850" s="13">
        <v>52172636</v>
      </c>
      <c r="B850" s="11" t="s">
        <v>116</v>
      </c>
      <c r="C850" s="1" t="s">
        <v>1431</v>
      </c>
      <c r="D850" s="1" t="s">
        <v>117</v>
      </c>
      <c r="E850" s="1" t="s">
        <v>263</v>
      </c>
    </row>
    <row r="851" spans="1:5" x14ac:dyDescent="0.25">
      <c r="A851" s="13">
        <v>52174119</v>
      </c>
      <c r="B851" s="11" t="s">
        <v>116</v>
      </c>
      <c r="C851" s="1" t="s">
        <v>1430</v>
      </c>
      <c r="D851" s="1" t="s">
        <v>117</v>
      </c>
      <c r="E851" s="1" t="s">
        <v>85</v>
      </c>
    </row>
    <row r="852" spans="1:5" x14ac:dyDescent="0.25">
      <c r="A852" s="13">
        <v>52175674</v>
      </c>
      <c r="B852" s="11" t="s">
        <v>83</v>
      </c>
      <c r="C852" s="1" t="s">
        <v>1429</v>
      </c>
      <c r="D852" s="1" t="s">
        <v>3552</v>
      </c>
      <c r="E852" s="1" t="s">
        <v>196</v>
      </c>
    </row>
    <row r="853" spans="1:5" x14ac:dyDescent="0.25">
      <c r="A853" s="13">
        <v>52178178</v>
      </c>
      <c r="B853" s="11" t="s">
        <v>116</v>
      </c>
      <c r="C853" s="1" t="s">
        <v>1428</v>
      </c>
      <c r="D853" s="1" t="s">
        <v>117</v>
      </c>
      <c r="E853" s="1" t="s">
        <v>881</v>
      </c>
    </row>
    <row r="854" spans="1:5" x14ac:dyDescent="0.25">
      <c r="A854" s="13">
        <v>52181895</v>
      </c>
      <c r="B854" s="11" t="s">
        <v>116</v>
      </c>
      <c r="C854" s="1" t="s">
        <v>1427</v>
      </c>
      <c r="D854" s="1" t="s">
        <v>117</v>
      </c>
      <c r="E854" s="1" t="s">
        <v>336</v>
      </c>
    </row>
    <row r="855" spans="1:5" x14ac:dyDescent="0.25">
      <c r="A855" s="13">
        <v>52183114</v>
      </c>
      <c r="B855" s="11" t="s">
        <v>84</v>
      </c>
      <c r="C855" s="1" t="s">
        <v>1426</v>
      </c>
      <c r="D855" s="1" t="s">
        <v>203</v>
      </c>
      <c r="E855" s="1" t="s">
        <v>491</v>
      </c>
    </row>
    <row r="856" spans="1:5" x14ac:dyDescent="0.25">
      <c r="A856" s="13">
        <v>52183697</v>
      </c>
      <c r="B856" s="11" t="s">
        <v>84</v>
      </c>
      <c r="C856" s="1" t="s">
        <v>3101</v>
      </c>
      <c r="D856" s="1" t="s">
        <v>3167</v>
      </c>
      <c r="E856" s="1" t="s">
        <v>1</v>
      </c>
    </row>
    <row r="857" spans="1:5" x14ac:dyDescent="0.25">
      <c r="A857" s="13">
        <v>52185115</v>
      </c>
      <c r="B857" s="11" t="s">
        <v>109</v>
      </c>
      <c r="C857" s="1" t="s">
        <v>1425</v>
      </c>
      <c r="D857" s="1" t="s">
        <v>131</v>
      </c>
      <c r="E857" s="1" t="s">
        <v>131</v>
      </c>
    </row>
    <row r="858" spans="1:5" x14ac:dyDescent="0.25">
      <c r="A858" s="13">
        <v>52185129</v>
      </c>
      <c r="B858" s="11" t="s">
        <v>84</v>
      </c>
      <c r="C858" s="1" t="s">
        <v>1424</v>
      </c>
      <c r="D858" s="1" t="s">
        <v>38</v>
      </c>
      <c r="E858" s="1" t="s">
        <v>12</v>
      </c>
    </row>
    <row r="859" spans="1:5" x14ac:dyDescent="0.25">
      <c r="A859" s="13">
        <v>52187386</v>
      </c>
      <c r="B859" s="11" t="s">
        <v>116</v>
      </c>
      <c r="C859" s="1" t="s">
        <v>1423</v>
      </c>
      <c r="D859" s="1" t="s">
        <v>117</v>
      </c>
      <c r="E859" s="1" t="s">
        <v>263</v>
      </c>
    </row>
    <row r="860" spans="1:5" x14ac:dyDescent="0.25">
      <c r="A860" s="13">
        <v>52191061</v>
      </c>
      <c r="B860" s="11" t="s">
        <v>116</v>
      </c>
      <c r="C860" s="1" t="s">
        <v>1422</v>
      </c>
      <c r="D860" s="1" t="s">
        <v>117</v>
      </c>
      <c r="E860" s="1" t="s">
        <v>12</v>
      </c>
    </row>
    <row r="861" spans="1:5" x14ac:dyDescent="0.25">
      <c r="A861" s="13">
        <v>52192697</v>
      </c>
      <c r="B861" s="11" t="s">
        <v>83</v>
      </c>
      <c r="C861" s="1" t="s">
        <v>1420</v>
      </c>
      <c r="D861" s="1" t="s">
        <v>1421</v>
      </c>
      <c r="E861" s="1" t="s">
        <v>87</v>
      </c>
    </row>
    <row r="862" spans="1:5" x14ac:dyDescent="0.25">
      <c r="A862" s="13">
        <v>52195088</v>
      </c>
      <c r="B862" s="11" t="s">
        <v>109</v>
      </c>
      <c r="C862" s="1" t="s">
        <v>1419</v>
      </c>
      <c r="D862" s="1" t="s">
        <v>131</v>
      </c>
      <c r="E862" s="1" t="s">
        <v>131</v>
      </c>
    </row>
    <row r="863" spans="1:5" x14ac:dyDescent="0.25">
      <c r="A863" s="13">
        <v>52197630</v>
      </c>
      <c r="B863" s="11" t="s">
        <v>84</v>
      </c>
      <c r="C863" s="1" t="s">
        <v>1418</v>
      </c>
      <c r="D863" s="1" t="s">
        <v>38</v>
      </c>
      <c r="E863" s="1" t="s">
        <v>5</v>
      </c>
    </row>
    <row r="864" spans="1:5" x14ac:dyDescent="0.25">
      <c r="A864" s="13">
        <v>52198571</v>
      </c>
      <c r="B864" s="11" t="s">
        <v>116</v>
      </c>
      <c r="C864" s="1" t="s">
        <v>3707</v>
      </c>
      <c r="D864" s="1" t="s">
        <v>117</v>
      </c>
      <c r="E864" s="1" t="s">
        <v>3118</v>
      </c>
    </row>
    <row r="865" spans="1:5" x14ac:dyDescent="0.25">
      <c r="A865" s="13">
        <v>52199199</v>
      </c>
      <c r="B865" s="11" t="s">
        <v>116</v>
      </c>
      <c r="C865" s="1" t="s">
        <v>3215</v>
      </c>
      <c r="D865" s="1" t="s">
        <v>117</v>
      </c>
      <c r="E865" s="1" t="s">
        <v>8</v>
      </c>
    </row>
    <row r="866" spans="1:5" x14ac:dyDescent="0.25">
      <c r="A866" s="13">
        <v>52204783</v>
      </c>
      <c r="B866" s="11" t="s">
        <v>116</v>
      </c>
      <c r="C866" s="1" t="s">
        <v>1417</v>
      </c>
      <c r="D866" s="1" t="s">
        <v>117</v>
      </c>
      <c r="E866" s="1" t="s">
        <v>147</v>
      </c>
    </row>
    <row r="867" spans="1:5" x14ac:dyDescent="0.25">
      <c r="A867" s="13">
        <v>52207343</v>
      </c>
      <c r="B867" s="11" t="s">
        <v>84</v>
      </c>
      <c r="C867" s="1" t="s">
        <v>1416</v>
      </c>
      <c r="D867" s="1" t="s">
        <v>38</v>
      </c>
      <c r="E867" s="1" t="s">
        <v>2</v>
      </c>
    </row>
    <row r="868" spans="1:5" x14ac:dyDescent="0.25">
      <c r="A868" s="13">
        <v>52210265</v>
      </c>
      <c r="B868" s="11" t="s">
        <v>83</v>
      </c>
      <c r="C868" s="1" t="s">
        <v>1415</v>
      </c>
      <c r="D868" s="1" t="s">
        <v>40</v>
      </c>
      <c r="E868" s="1" t="s">
        <v>23</v>
      </c>
    </row>
    <row r="869" spans="1:5" x14ac:dyDescent="0.25">
      <c r="A869" s="13">
        <v>52211021</v>
      </c>
      <c r="B869" s="11" t="s">
        <v>84</v>
      </c>
      <c r="C869" s="1" t="s">
        <v>1414</v>
      </c>
      <c r="D869" s="1" t="s">
        <v>38</v>
      </c>
      <c r="E869" s="1" t="s">
        <v>12</v>
      </c>
    </row>
    <row r="870" spans="1:5" x14ac:dyDescent="0.25">
      <c r="A870" s="13">
        <v>52213366</v>
      </c>
      <c r="B870" s="11" t="s">
        <v>116</v>
      </c>
      <c r="C870" s="1" t="s">
        <v>1413</v>
      </c>
      <c r="D870" s="1" t="s">
        <v>117</v>
      </c>
      <c r="E870" s="1" t="s">
        <v>186</v>
      </c>
    </row>
    <row r="871" spans="1:5" x14ac:dyDescent="0.25">
      <c r="A871" s="13">
        <v>52213875</v>
      </c>
      <c r="B871" s="11" t="s">
        <v>84</v>
      </c>
      <c r="C871" s="1" t="s">
        <v>1412</v>
      </c>
      <c r="D871" s="1" t="s">
        <v>38</v>
      </c>
      <c r="E871" s="1" t="s">
        <v>12</v>
      </c>
    </row>
    <row r="872" spans="1:5" x14ac:dyDescent="0.25">
      <c r="A872" s="13">
        <v>52216090</v>
      </c>
      <c r="B872" s="11" t="s">
        <v>109</v>
      </c>
      <c r="C872" s="1" t="s">
        <v>1411</v>
      </c>
      <c r="D872" s="1" t="s">
        <v>131</v>
      </c>
      <c r="E872" s="1" t="s">
        <v>131</v>
      </c>
    </row>
    <row r="873" spans="1:5" x14ac:dyDescent="0.25">
      <c r="A873" s="13">
        <v>52220354</v>
      </c>
      <c r="B873" s="11" t="s">
        <v>83</v>
      </c>
      <c r="C873" s="1" t="s">
        <v>3678</v>
      </c>
      <c r="D873" s="1" t="s">
        <v>40</v>
      </c>
      <c r="E873" s="1" t="s">
        <v>23</v>
      </c>
    </row>
    <row r="874" spans="1:5" x14ac:dyDescent="0.25">
      <c r="A874" s="13">
        <v>52220884</v>
      </c>
      <c r="B874" s="11" t="s">
        <v>116</v>
      </c>
      <c r="C874" s="1" t="s">
        <v>1410</v>
      </c>
      <c r="D874" s="1" t="s">
        <v>117</v>
      </c>
      <c r="E874" s="1" t="s">
        <v>12</v>
      </c>
    </row>
    <row r="875" spans="1:5" x14ac:dyDescent="0.25">
      <c r="A875" s="13">
        <v>52221785</v>
      </c>
      <c r="B875" s="11" t="s">
        <v>116</v>
      </c>
      <c r="C875" s="1" t="s">
        <v>1409</v>
      </c>
      <c r="D875" s="1" t="s">
        <v>117</v>
      </c>
      <c r="E875" s="1" t="s">
        <v>147</v>
      </c>
    </row>
    <row r="876" spans="1:5" x14ac:dyDescent="0.25">
      <c r="A876" s="13">
        <v>52225312</v>
      </c>
      <c r="B876" s="11" t="s">
        <v>84</v>
      </c>
      <c r="C876" s="1" t="s">
        <v>1408</v>
      </c>
      <c r="D876" s="1" t="s">
        <v>203</v>
      </c>
      <c r="E876" s="1" t="s">
        <v>12</v>
      </c>
    </row>
    <row r="877" spans="1:5" x14ac:dyDescent="0.25">
      <c r="A877" s="13">
        <v>52225539</v>
      </c>
      <c r="B877" s="11" t="s">
        <v>83</v>
      </c>
      <c r="C877" s="1" t="s">
        <v>3700</v>
      </c>
      <c r="D877" s="1" t="s">
        <v>3632</v>
      </c>
      <c r="E877" s="1" t="s">
        <v>21</v>
      </c>
    </row>
    <row r="878" spans="1:5" x14ac:dyDescent="0.25">
      <c r="A878" s="13">
        <v>52226600</v>
      </c>
      <c r="B878" s="11" t="s">
        <v>116</v>
      </c>
      <c r="C878" s="1" t="s">
        <v>1407</v>
      </c>
      <c r="D878" s="1" t="s">
        <v>117</v>
      </c>
      <c r="E878" s="1" t="s">
        <v>10</v>
      </c>
    </row>
    <row r="879" spans="1:5" x14ac:dyDescent="0.25">
      <c r="A879" s="13">
        <v>52228362</v>
      </c>
      <c r="B879" s="11" t="s">
        <v>109</v>
      </c>
      <c r="C879" s="1" t="s">
        <v>1406</v>
      </c>
      <c r="D879" s="1" t="s">
        <v>131</v>
      </c>
      <c r="E879" s="1" t="s">
        <v>131</v>
      </c>
    </row>
    <row r="880" spans="1:5" x14ac:dyDescent="0.25">
      <c r="A880" s="13">
        <v>52229253</v>
      </c>
      <c r="B880" s="11" t="s">
        <v>84</v>
      </c>
      <c r="C880" s="1" t="s">
        <v>1405</v>
      </c>
      <c r="D880" s="1" t="s">
        <v>38</v>
      </c>
      <c r="E880" s="1" t="s">
        <v>3</v>
      </c>
    </row>
    <row r="881" spans="1:5" x14ac:dyDescent="0.25">
      <c r="A881" s="13">
        <v>52229618</v>
      </c>
      <c r="B881" s="11" t="s">
        <v>109</v>
      </c>
      <c r="C881" s="1" t="s">
        <v>1404</v>
      </c>
      <c r="D881" s="1" t="s">
        <v>131</v>
      </c>
      <c r="E881" s="1" t="s">
        <v>131</v>
      </c>
    </row>
    <row r="882" spans="1:5" x14ac:dyDescent="0.25">
      <c r="A882" s="13">
        <v>52231672</v>
      </c>
      <c r="B882" s="11" t="s">
        <v>109</v>
      </c>
      <c r="C882" s="1" t="s">
        <v>1402</v>
      </c>
      <c r="D882" s="1" t="s">
        <v>1026</v>
      </c>
      <c r="E882" s="1" t="s">
        <v>1403</v>
      </c>
    </row>
    <row r="883" spans="1:5" x14ac:dyDescent="0.25">
      <c r="A883" s="13">
        <v>52233259</v>
      </c>
      <c r="B883" s="11" t="s">
        <v>83</v>
      </c>
      <c r="C883" s="1" t="s">
        <v>1401</v>
      </c>
      <c r="D883" s="1" t="s">
        <v>684</v>
      </c>
      <c r="E883" s="1" t="s">
        <v>495</v>
      </c>
    </row>
    <row r="884" spans="1:5" x14ac:dyDescent="0.25">
      <c r="A884" s="13">
        <v>52243394</v>
      </c>
      <c r="B884" s="11" t="s">
        <v>83</v>
      </c>
      <c r="C884" s="1" t="s">
        <v>1400</v>
      </c>
      <c r="D884" s="1" t="s">
        <v>1170</v>
      </c>
      <c r="E884" s="1" t="s">
        <v>248</v>
      </c>
    </row>
    <row r="885" spans="1:5" x14ac:dyDescent="0.25">
      <c r="A885" s="13">
        <v>52249359</v>
      </c>
      <c r="B885" s="11" t="s">
        <v>84</v>
      </c>
      <c r="C885" s="1" t="s">
        <v>1399</v>
      </c>
      <c r="D885" s="1" t="s">
        <v>137</v>
      </c>
      <c r="E885" s="1" t="s">
        <v>142</v>
      </c>
    </row>
    <row r="886" spans="1:5" x14ac:dyDescent="0.25">
      <c r="A886" s="13">
        <v>52255632</v>
      </c>
      <c r="B886" s="11" t="s">
        <v>84</v>
      </c>
      <c r="C886" s="1" t="s">
        <v>1398</v>
      </c>
      <c r="D886" s="1" t="s">
        <v>43</v>
      </c>
      <c r="E886" s="1" t="s">
        <v>9</v>
      </c>
    </row>
    <row r="887" spans="1:5" x14ac:dyDescent="0.25">
      <c r="A887" s="13">
        <v>52259114</v>
      </c>
      <c r="B887" s="11" t="s">
        <v>84</v>
      </c>
      <c r="C887" s="1" t="s">
        <v>1397</v>
      </c>
      <c r="D887" s="1" t="s">
        <v>43</v>
      </c>
      <c r="E887" s="1" t="s">
        <v>263</v>
      </c>
    </row>
    <row r="888" spans="1:5" x14ac:dyDescent="0.25">
      <c r="A888" s="13">
        <v>52261177</v>
      </c>
      <c r="B888" s="11" t="s">
        <v>116</v>
      </c>
      <c r="C888" s="1" t="s">
        <v>1396</v>
      </c>
      <c r="D888" s="1" t="s">
        <v>117</v>
      </c>
      <c r="E888" s="1" t="s">
        <v>3553</v>
      </c>
    </row>
    <row r="889" spans="1:5" x14ac:dyDescent="0.25">
      <c r="A889" s="13">
        <v>52263099</v>
      </c>
      <c r="B889" s="11" t="s">
        <v>84</v>
      </c>
      <c r="C889" s="1" t="s">
        <v>1395</v>
      </c>
      <c r="D889" s="1" t="s">
        <v>43</v>
      </c>
      <c r="E889" s="1" t="s">
        <v>11</v>
      </c>
    </row>
    <row r="890" spans="1:5" x14ac:dyDescent="0.25">
      <c r="A890" s="13">
        <v>52263914</v>
      </c>
      <c r="B890" s="11" t="s">
        <v>84</v>
      </c>
      <c r="C890" s="1" t="s">
        <v>3216</v>
      </c>
      <c r="D890" s="1" t="s">
        <v>43</v>
      </c>
      <c r="E890" s="1" t="s">
        <v>328</v>
      </c>
    </row>
    <row r="891" spans="1:5" x14ac:dyDescent="0.25">
      <c r="A891" s="13">
        <v>52266603</v>
      </c>
      <c r="B891" s="11" t="s">
        <v>116</v>
      </c>
      <c r="C891" s="1" t="s">
        <v>1394</v>
      </c>
      <c r="D891" s="1" t="s">
        <v>117</v>
      </c>
      <c r="E891" s="1" t="s">
        <v>958</v>
      </c>
    </row>
    <row r="892" spans="1:5" x14ac:dyDescent="0.25">
      <c r="A892" s="13">
        <v>52270370</v>
      </c>
      <c r="B892" s="11" t="s">
        <v>116</v>
      </c>
      <c r="C892" s="1" t="s">
        <v>1393</v>
      </c>
      <c r="D892" s="1" t="s">
        <v>117</v>
      </c>
      <c r="E892" s="1" t="s">
        <v>3</v>
      </c>
    </row>
    <row r="893" spans="1:5" x14ac:dyDescent="0.25">
      <c r="A893" s="13">
        <v>52272531</v>
      </c>
      <c r="B893" s="11" t="s">
        <v>83</v>
      </c>
      <c r="C893" s="1" t="s">
        <v>1392</v>
      </c>
      <c r="D893" s="1" t="s">
        <v>49</v>
      </c>
      <c r="E893" s="1" t="s">
        <v>18</v>
      </c>
    </row>
    <row r="894" spans="1:5" x14ac:dyDescent="0.25">
      <c r="A894" s="13">
        <v>52273464</v>
      </c>
      <c r="B894" s="11" t="s">
        <v>83</v>
      </c>
      <c r="C894" s="1" t="s">
        <v>1391</v>
      </c>
      <c r="D894" s="1" t="s">
        <v>50</v>
      </c>
      <c r="E894" s="1" t="s">
        <v>21</v>
      </c>
    </row>
    <row r="895" spans="1:5" x14ac:dyDescent="0.25">
      <c r="A895" s="13">
        <v>52283759</v>
      </c>
      <c r="B895" s="11" t="s">
        <v>83</v>
      </c>
      <c r="C895" s="1" t="s">
        <v>1390</v>
      </c>
      <c r="D895" s="1" t="s">
        <v>40</v>
      </c>
      <c r="E895" s="1" t="s">
        <v>23</v>
      </c>
    </row>
    <row r="896" spans="1:5" x14ac:dyDescent="0.25">
      <c r="A896" s="13">
        <v>52283892</v>
      </c>
      <c r="B896" s="11" t="s">
        <v>109</v>
      </c>
      <c r="C896" s="1" t="s">
        <v>1389</v>
      </c>
      <c r="D896" s="1" t="s">
        <v>366</v>
      </c>
      <c r="E896" s="1" t="s">
        <v>4</v>
      </c>
    </row>
    <row r="897" spans="1:5" x14ac:dyDescent="0.25">
      <c r="A897" s="13">
        <v>52285249</v>
      </c>
      <c r="B897" s="11" t="s">
        <v>109</v>
      </c>
      <c r="C897" s="1" t="s">
        <v>1388</v>
      </c>
      <c r="D897" s="1" t="s">
        <v>131</v>
      </c>
      <c r="E897" s="1" t="s">
        <v>131</v>
      </c>
    </row>
    <row r="898" spans="1:5" x14ac:dyDescent="0.25">
      <c r="A898" s="13">
        <v>52290503</v>
      </c>
      <c r="B898" s="11" t="s">
        <v>83</v>
      </c>
      <c r="C898" s="1" t="s">
        <v>3554</v>
      </c>
      <c r="D898" s="1" t="s">
        <v>40</v>
      </c>
      <c r="E898" s="1" t="s">
        <v>23</v>
      </c>
    </row>
    <row r="899" spans="1:5" x14ac:dyDescent="0.25">
      <c r="A899" s="13">
        <v>52293939</v>
      </c>
      <c r="B899" s="11" t="s">
        <v>83</v>
      </c>
      <c r="C899" s="1" t="s">
        <v>1387</v>
      </c>
      <c r="D899" s="1" t="s">
        <v>100</v>
      </c>
      <c r="E899" s="1" t="s">
        <v>248</v>
      </c>
    </row>
    <row r="900" spans="1:5" x14ac:dyDescent="0.25">
      <c r="A900" s="13">
        <v>52294543</v>
      </c>
      <c r="B900" s="11" t="s">
        <v>109</v>
      </c>
      <c r="C900" s="1" t="s">
        <v>1386</v>
      </c>
      <c r="D900" s="1" t="s">
        <v>131</v>
      </c>
      <c r="E900" s="1" t="s">
        <v>131</v>
      </c>
    </row>
    <row r="901" spans="1:5" x14ac:dyDescent="0.25">
      <c r="A901" s="13">
        <v>52298788</v>
      </c>
      <c r="B901" s="11" t="s">
        <v>83</v>
      </c>
      <c r="C901" s="1" t="s">
        <v>1385</v>
      </c>
      <c r="D901" s="1" t="s">
        <v>36</v>
      </c>
      <c r="E901" s="1" t="s">
        <v>33</v>
      </c>
    </row>
    <row r="902" spans="1:5" x14ac:dyDescent="0.25">
      <c r="A902" s="13">
        <v>52302113</v>
      </c>
      <c r="B902" s="11" t="s">
        <v>116</v>
      </c>
      <c r="C902" s="1" t="s">
        <v>1384</v>
      </c>
      <c r="D902" s="1" t="s">
        <v>117</v>
      </c>
      <c r="E902" s="1" t="s">
        <v>263</v>
      </c>
    </row>
    <row r="903" spans="1:5" x14ac:dyDescent="0.25">
      <c r="A903" s="13">
        <v>52305019</v>
      </c>
      <c r="B903" s="11" t="s">
        <v>83</v>
      </c>
      <c r="C903" s="1" t="s">
        <v>1383</v>
      </c>
      <c r="D903" s="1" t="s">
        <v>1077</v>
      </c>
      <c r="E903" s="1" t="s">
        <v>28</v>
      </c>
    </row>
    <row r="904" spans="1:5" x14ac:dyDescent="0.25">
      <c r="A904" s="13">
        <v>52305822</v>
      </c>
      <c r="B904" s="11" t="s">
        <v>116</v>
      </c>
      <c r="C904" s="1" t="s">
        <v>1382</v>
      </c>
      <c r="D904" s="1" t="s">
        <v>117</v>
      </c>
      <c r="E904" s="1" t="s">
        <v>12</v>
      </c>
    </row>
    <row r="905" spans="1:5" x14ac:dyDescent="0.25">
      <c r="A905" s="13">
        <v>52310877</v>
      </c>
      <c r="B905" s="11" t="s">
        <v>83</v>
      </c>
      <c r="C905" s="1" t="s">
        <v>1380</v>
      </c>
      <c r="D905" s="1" t="s">
        <v>1381</v>
      </c>
      <c r="E905" s="1" t="s">
        <v>272</v>
      </c>
    </row>
    <row r="906" spans="1:5" x14ac:dyDescent="0.25">
      <c r="A906" s="13">
        <v>52313792</v>
      </c>
      <c r="B906" s="11" t="s">
        <v>116</v>
      </c>
      <c r="C906" s="1" t="s">
        <v>1379</v>
      </c>
      <c r="D906" s="1" t="s">
        <v>117</v>
      </c>
      <c r="E906" s="1" t="s">
        <v>8</v>
      </c>
    </row>
    <row r="907" spans="1:5" x14ac:dyDescent="0.25">
      <c r="A907" s="13">
        <v>52314634</v>
      </c>
      <c r="B907" s="11" t="s">
        <v>84</v>
      </c>
      <c r="C907" s="1" t="s">
        <v>1378</v>
      </c>
      <c r="D907" s="1" t="s">
        <v>38</v>
      </c>
      <c r="E907" s="1" t="s">
        <v>127</v>
      </c>
    </row>
    <row r="908" spans="1:5" x14ac:dyDescent="0.25">
      <c r="A908" s="13">
        <v>52328427</v>
      </c>
      <c r="B908" s="11" t="s">
        <v>83</v>
      </c>
      <c r="C908" s="1" t="s">
        <v>3217</v>
      </c>
      <c r="D908" s="1" t="s">
        <v>50</v>
      </c>
      <c r="E908" s="1" t="s">
        <v>21</v>
      </c>
    </row>
    <row r="909" spans="1:5" x14ac:dyDescent="0.25">
      <c r="A909" s="13">
        <v>52330467</v>
      </c>
      <c r="B909" s="11" t="s">
        <v>83</v>
      </c>
      <c r="C909" s="1" t="s">
        <v>3218</v>
      </c>
      <c r="D909" s="1" t="s">
        <v>40</v>
      </c>
      <c r="E909" s="1" t="s">
        <v>23</v>
      </c>
    </row>
    <row r="910" spans="1:5" x14ac:dyDescent="0.25">
      <c r="A910" s="13">
        <v>52331157</v>
      </c>
      <c r="B910" s="11" t="s">
        <v>116</v>
      </c>
      <c r="C910" s="1" t="s">
        <v>1377</v>
      </c>
      <c r="D910" s="1" t="s">
        <v>117</v>
      </c>
      <c r="E910" s="1" t="s">
        <v>168</v>
      </c>
    </row>
    <row r="911" spans="1:5" x14ac:dyDescent="0.25">
      <c r="A911" s="13">
        <v>52331505</v>
      </c>
      <c r="B911" s="11" t="s">
        <v>83</v>
      </c>
      <c r="C911" s="1" t="s">
        <v>1375</v>
      </c>
      <c r="D911" s="1" t="s">
        <v>1376</v>
      </c>
      <c r="E911" s="1" t="s">
        <v>17</v>
      </c>
    </row>
    <row r="912" spans="1:5" x14ac:dyDescent="0.25">
      <c r="A912" s="13">
        <v>52331799</v>
      </c>
      <c r="B912" s="11" t="s">
        <v>83</v>
      </c>
      <c r="C912" s="1" t="s">
        <v>1374</v>
      </c>
      <c r="D912" s="1" t="s">
        <v>47</v>
      </c>
      <c r="E912" s="1" t="s">
        <v>19</v>
      </c>
    </row>
    <row r="913" spans="1:5" x14ac:dyDescent="0.25">
      <c r="A913" s="13">
        <v>52336215</v>
      </c>
      <c r="B913" s="11" t="s">
        <v>116</v>
      </c>
      <c r="C913" s="1" t="s">
        <v>1373</v>
      </c>
      <c r="D913" s="1" t="s">
        <v>117</v>
      </c>
      <c r="E913" s="1" t="s">
        <v>168</v>
      </c>
    </row>
    <row r="914" spans="1:5" x14ac:dyDescent="0.25">
      <c r="A914" s="13">
        <v>52340553</v>
      </c>
      <c r="B914" s="11" t="s">
        <v>84</v>
      </c>
      <c r="C914" s="1" t="s">
        <v>1372</v>
      </c>
      <c r="D914" s="1" t="s">
        <v>38</v>
      </c>
      <c r="E914" s="1" t="s">
        <v>263</v>
      </c>
    </row>
    <row r="915" spans="1:5" x14ac:dyDescent="0.25">
      <c r="A915" s="13">
        <v>52344586</v>
      </c>
      <c r="B915" s="11" t="s">
        <v>84</v>
      </c>
      <c r="C915" s="1" t="s">
        <v>1371</v>
      </c>
      <c r="D915" s="1" t="s">
        <v>38</v>
      </c>
      <c r="E915" s="1" t="s">
        <v>15</v>
      </c>
    </row>
    <row r="916" spans="1:5" x14ac:dyDescent="0.25">
      <c r="A916" s="13">
        <v>52347412</v>
      </c>
      <c r="B916" s="11" t="s">
        <v>84</v>
      </c>
      <c r="C916" s="1" t="s">
        <v>1370</v>
      </c>
      <c r="D916" s="1" t="s">
        <v>151</v>
      </c>
      <c r="E916" s="1" t="s">
        <v>152</v>
      </c>
    </row>
    <row r="917" spans="1:5" x14ac:dyDescent="0.25">
      <c r="A917" s="13">
        <v>52348310</v>
      </c>
      <c r="B917" s="11" t="s">
        <v>83</v>
      </c>
      <c r="C917" s="1" t="s">
        <v>1368</v>
      </c>
      <c r="D917" s="1" t="s">
        <v>567</v>
      </c>
      <c r="E917" s="1" t="s">
        <v>16</v>
      </c>
    </row>
    <row r="918" spans="1:5" x14ac:dyDescent="0.25">
      <c r="A918" s="13">
        <v>52349716</v>
      </c>
      <c r="B918" s="11" t="s">
        <v>83</v>
      </c>
      <c r="C918" s="1" t="s">
        <v>1367</v>
      </c>
      <c r="D918" s="1" t="s">
        <v>1077</v>
      </c>
      <c r="E918" s="1" t="s">
        <v>31</v>
      </c>
    </row>
    <row r="919" spans="1:5" x14ac:dyDescent="0.25">
      <c r="A919" s="13">
        <v>52350067</v>
      </c>
      <c r="B919" s="11" t="s">
        <v>84</v>
      </c>
      <c r="C919" s="1" t="s">
        <v>1366</v>
      </c>
      <c r="D919" s="1" t="s">
        <v>43</v>
      </c>
      <c r="E919" s="1" t="s">
        <v>10</v>
      </c>
    </row>
    <row r="920" spans="1:5" x14ac:dyDescent="0.25">
      <c r="A920" s="13">
        <v>52356354</v>
      </c>
      <c r="B920" s="11" t="s">
        <v>84</v>
      </c>
      <c r="C920" s="1" t="s">
        <v>1365</v>
      </c>
      <c r="D920" s="1" t="s">
        <v>43</v>
      </c>
      <c r="E920" s="1" t="s">
        <v>8</v>
      </c>
    </row>
    <row r="921" spans="1:5" x14ac:dyDescent="0.25">
      <c r="A921" s="13">
        <v>52359037</v>
      </c>
      <c r="B921" s="11" t="s">
        <v>84</v>
      </c>
      <c r="C921" s="1" t="s">
        <v>1364</v>
      </c>
      <c r="D921" s="1" t="s">
        <v>38</v>
      </c>
      <c r="E921" s="1" t="s">
        <v>12</v>
      </c>
    </row>
    <row r="922" spans="1:5" x14ac:dyDescent="0.25">
      <c r="A922" s="13">
        <v>52360214</v>
      </c>
      <c r="B922" s="11" t="s">
        <v>116</v>
      </c>
      <c r="C922" s="1" t="s">
        <v>1363</v>
      </c>
      <c r="D922" s="1" t="s">
        <v>117</v>
      </c>
      <c r="E922" s="1" t="s">
        <v>417</v>
      </c>
    </row>
    <row r="923" spans="1:5" x14ac:dyDescent="0.25">
      <c r="A923" s="13">
        <v>52360337</v>
      </c>
      <c r="B923" s="11" t="s">
        <v>84</v>
      </c>
      <c r="C923" s="1" t="s">
        <v>1362</v>
      </c>
      <c r="D923" s="1" t="s">
        <v>973</v>
      </c>
      <c r="E923" s="1" t="s">
        <v>27</v>
      </c>
    </row>
    <row r="924" spans="1:5" x14ac:dyDescent="0.25">
      <c r="A924" s="13">
        <v>52360726</v>
      </c>
      <c r="B924" s="11" t="s">
        <v>116</v>
      </c>
      <c r="C924" s="1" t="s">
        <v>1361</v>
      </c>
      <c r="D924" s="1" t="s">
        <v>117</v>
      </c>
      <c r="E924" s="1" t="s">
        <v>147</v>
      </c>
    </row>
    <row r="925" spans="1:5" x14ac:dyDescent="0.25">
      <c r="A925" s="13">
        <v>52361213</v>
      </c>
      <c r="B925" s="11" t="s">
        <v>83</v>
      </c>
      <c r="C925" s="1" t="s">
        <v>3151</v>
      </c>
      <c r="D925" s="1" t="s">
        <v>40</v>
      </c>
      <c r="E925" s="1" t="s">
        <v>23</v>
      </c>
    </row>
    <row r="926" spans="1:5" x14ac:dyDescent="0.25">
      <c r="A926" s="13">
        <v>52364147</v>
      </c>
      <c r="B926" s="11" t="s">
        <v>84</v>
      </c>
      <c r="C926" s="1" t="s">
        <v>1360</v>
      </c>
      <c r="D926" s="1" t="s">
        <v>38</v>
      </c>
      <c r="E926" s="1" t="s">
        <v>3</v>
      </c>
    </row>
    <row r="927" spans="1:5" x14ac:dyDescent="0.25">
      <c r="A927" s="13">
        <v>52364402</v>
      </c>
      <c r="B927" s="11" t="s">
        <v>109</v>
      </c>
      <c r="C927" s="1" t="s">
        <v>1359</v>
      </c>
      <c r="D927" s="1" t="s">
        <v>131</v>
      </c>
      <c r="E927" s="1" t="s">
        <v>131</v>
      </c>
    </row>
    <row r="928" spans="1:5" x14ac:dyDescent="0.25">
      <c r="A928" s="13">
        <v>52365242</v>
      </c>
      <c r="B928" s="11" t="s">
        <v>83</v>
      </c>
      <c r="C928" s="1" t="s">
        <v>3219</v>
      </c>
      <c r="D928" s="1" t="s">
        <v>3220</v>
      </c>
      <c r="E928" s="1" t="s">
        <v>22</v>
      </c>
    </row>
    <row r="929" spans="1:5" x14ac:dyDescent="0.25">
      <c r="A929" s="13">
        <v>52376477</v>
      </c>
      <c r="B929" s="11" t="s">
        <v>116</v>
      </c>
      <c r="C929" s="1" t="s">
        <v>1358</v>
      </c>
      <c r="D929" s="1" t="s">
        <v>117</v>
      </c>
      <c r="E929" s="1" t="s">
        <v>12</v>
      </c>
    </row>
    <row r="930" spans="1:5" x14ac:dyDescent="0.25">
      <c r="A930" s="13">
        <v>52379235</v>
      </c>
      <c r="B930" s="11" t="s">
        <v>84</v>
      </c>
      <c r="C930" s="1" t="s">
        <v>1357</v>
      </c>
      <c r="D930" s="1" t="s">
        <v>38</v>
      </c>
      <c r="E930" s="1" t="s">
        <v>5</v>
      </c>
    </row>
    <row r="931" spans="1:5" x14ac:dyDescent="0.25">
      <c r="A931" s="13">
        <v>52380558</v>
      </c>
      <c r="B931" s="11" t="s">
        <v>83</v>
      </c>
      <c r="C931" s="1" t="s">
        <v>1356</v>
      </c>
      <c r="D931" s="1" t="s">
        <v>1170</v>
      </c>
      <c r="E931" s="1" t="s">
        <v>248</v>
      </c>
    </row>
    <row r="932" spans="1:5" x14ac:dyDescent="0.25">
      <c r="A932" s="13">
        <v>52380635</v>
      </c>
      <c r="B932" s="11" t="s">
        <v>84</v>
      </c>
      <c r="C932" s="1" t="s">
        <v>3221</v>
      </c>
      <c r="D932" s="1" t="s">
        <v>43</v>
      </c>
      <c r="E932" s="1" t="s">
        <v>11</v>
      </c>
    </row>
    <row r="933" spans="1:5" x14ac:dyDescent="0.25">
      <c r="A933" s="13">
        <v>52383262</v>
      </c>
      <c r="B933" s="11" t="s">
        <v>84</v>
      </c>
      <c r="C933" s="1" t="s">
        <v>1355</v>
      </c>
      <c r="D933" s="1" t="s">
        <v>43</v>
      </c>
      <c r="E933" s="1" t="s">
        <v>2</v>
      </c>
    </row>
    <row r="934" spans="1:5" x14ac:dyDescent="0.25">
      <c r="A934" s="13">
        <v>52411843</v>
      </c>
      <c r="B934" s="11" t="s">
        <v>83</v>
      </c>
      <c r="C934" s="1" t="s">
        <v>1352</v>
      </c>
      <c r="D934" s="1" t="s">
        <v>1353</v>
      </c>
      <c r="E934" s="1" t="s">
        <v>1354</v>
      </c>
    </row>
    <row r="935" spans="1:5" x14ac:dyDescent="0.25">
      <c r="A935" s="13">
        <v>52413271</v>
      </c>
      <c r="B935" s="11" t="s">
        <v>83</v>
      </c>
      <c r="C935" s="1" t="s">
        <v>1351</v>
      </c>
      <c r="D935" s="1" t="s">
        <v>49</v>
      </c>
      <c r="E935" s="1" t="s">
        <v>18</v>
      </c>
    </row>
    <row r="936" spans="1:5" x14ac:dyDescent="0.25">
      <c r="A936" s="13">
        <v>52418119</v>
      </c>
      <c r="B936" s="11" t="s">
        <v>109</v>
      </c>
      <c r="C936" s="1" t="s">
        <v>1350</v>
      </c>
      <c r="D936" s="1" t="s">
        <v>131</v>
      </c>
      <c r="E936" s="1" t="s">
        <v>131</v>
      </c>
    </row>
    <row r="937" spans="1:5" x14ac:dyDescent="0.25">
      <c r="A937" s="13">
        <v>52421927</v>
      </c>
      <c r="B937" s="11" t="s">
        <v>84</v>
      </c>
      <c r="C937" s="1" t="s">
        <v>1349</v>
      </c>
      <c r="D937" s="1" t="s">
        <v>38</v>
      </c>
      <c r="E937" s="1" t="s">
        <v>417</v>
      </c>
    </row>
    <row r="938" spans="1:5" x14ac:dyDescent="0.25">
      <c r="A938" s="13">
        <v>52422715</v>
      </c>
      <c r="B938" s="11" t="s">
        <v>84</v>
      </c>
      <c r="C938" s="1" t="s">
        <v>3222</v>
      </c>
      <c r="D938" s="1" t="s">
        <v>38</v>
      </c>
      <c r="E938" s="1" t="s">
        <v>15</v>
      </c>
    </row>
    <row r="939" spans="1:5" x14ac:dyDescent="0.25">
      <c r="A939" s="13">
        <v>52424694</v>
      </c>
      <c r="B939" s="11" t="s">
        <v>116</v>
      </c>
      <c r="C939" s="1" t="s">
        <v>1348</v>
      </c>
      <c r="D939" s="1" t="s">
        <v>117</v>
      </c>
      <c r="E939" s="1" t="s">
        <v>11</v>
      </c>
    </row>
    <row r="940" spans="1:5" x14ac:dyDescent="0.25">
      <c r="A940" s="13">
        <v>52425160</v>
      </c>
      <c r="B940" s="11" t="s">
        <v>84</v>
      </c>
      <c r="C940" s="1" t="s">
        <v>1347</v>
      </c>
      <c r="D940" s="1" t="s">
        <v>37</v>
      </c>
      <c r="E940" s="1" t="s">
        <v>27</v>
      </c>
    </row>
    <row r="941" spans="1:5" x14ac:dyDescent="0.25">
      <c r="A941" s="13">
        <v>52428506</v>
      </c>
      <c r="B941" s="11" t="s">
        <v>116</v>
      </c>
      <c r="C941" s="1" t="s">
        <v>1346</v>
      </c>
      <c r="D941" s="1" t="s">
        <v>117</v>
      </c>
      <c r="E941" s="1" t="s">
        <v>10</v>
      </c>
    </row>
    <row r="942" spans="1:5" x14ac:dyDescent="0.25">
      <c r="A942" s="13">
        <v>52429269</v>
      </c>
      <c r="B942" s="11" t="s">
        <v>84</v>
      </c>
      <c r="C942" s="1" t="s">
        <v>1344</v>
      </c>
      <c r="D942" s="1" t="s">
        <v>203</v>
      </c>
      <c r="E942" s="1" t="s">
        <v>1345</v>
      </c>
    </row>
    <row r="943" spans="1:5" x14ac:dyDescent="0.25">
      <c r="A943" s="13">
        <v>52431645</v>
      </c>
      <c r="B943" s="11" t="s">
        <v>116</v>
      </c>
      <c r="C943" s="1" t="s">
        <v>1343</v>
      </c>
      <c r="D943" s="1" t="s">
        <v>117</v>
      </c>
      <c r="E943" s="1" t="s">
        <v>7</v>
      </c>
    </row>
    <row r="944" spans="1:5" x14ac:dyDescent="0.25">
      <c r="A944" s="13">
        <v>52432971</v>
      </c>
      <c r="B944" s="11" t="s">
        <v>116</v>
      </c>
      <c r="C944" s="1" t="s">
        <v>1342</v>
      </c>
      <c r="D944" s="1" t="s">
        <v>117</v>
      </c>
      <c r="E944" s="1" t="s">
        <v>10</v>
      </c>
    </row>
    <row r="945" spans="1:5" x14ac:dyDescent="0.25">
      <c r="A945" s="13">
        <v>52432976</v>
      </c>
      <c r="B945" s="11" t="s">
        <v>116</v>
      </c>
      <c r="C945" s="1" t="s">
        <v>1341</v>
      </c>
      <c r="D945" s="1" t="s">
        <v>117</v>
      </c>
      <c r="E945" s="1" t="s">
        <v>168</v>
      </c>
    </row>
    <row r="946" spans="1:5" x14ac:dyDescent="0.25">
      <c r="A946" s="13">
        <v>52433088</v>
      </c>
      <c r="B946" s="11" t="s">
        <v>84</v>
      </c>
      <c r="C946" s="1" t="s">
        <v>1340</v>
      </c>
      <c r="D946" s="1" t="s">
        <v>38</v>
      </c>
      <c r="E946" s="1" t="s">
        <v>5</v>
      </c>
    </row>
    <row r="947" spans="1:5" x14ac:dyDescent="0.25">
      <c r="A947" s="13">
        <v>52433537</v>
      </c>
      <c r="B947" s="11" t="s">
        <v>84</v>
      </c>
      <c r="C947" s="1" t="s">
        <v>1339</v>
      </c>
      <c r="D947" s="1" t="s">
        <v>38</v>
      </c>
      <c r="E947" s="1" t="s">
        <v>12</v>
      </c>
    </row>
    <row r="948" spans="1:5" x14ac:dyDescent="0.25">
      <c r="A948" s="13">
        <v>52434030</v>
      </c>
      <c r="B948" s="11" t="s">
        <v>116</v>
      </c>
      <c r="C948" s="1" t="s">
        <v>1338</v>
      </c>
      <c r="D948" s="1" t="s">
        <v>117</v>
      </c>
      <c r="E948" s="1" t="s">
        <v>186</v>
      </c>
    </row>
    <row r="949" spans="1:5" x14ac:dyDescent="0.25">
      <c r="A949" s="13">
        <v>52438481</v>
      </c>
      <c r="B949" s="11" t="s">
        <v>84</v>
      </c>
      <c r="C949" s="1" t="s">
        <v>1337</v>
      </c>
      <c r="D949" s="1" t="s">
        <v>38</v>
      </c>
      <c r="E949" s="1" t="s">
        <v>8</v>
      </c>
    </row>
    <row r="950" spans="1:5" x14ac:dyDescent="0.25">
      <c r="A950" s="13">
        <v>52439929</v>
      </c>
      <c r="B950" s="11" t="s">
        <v>116</v>
      </c>
      <c r="C950" s="1" t="s">
        <v>1336</v>
      </c>
      <c r="D950" s="1" t="s">
        <v>117</v>
      </c>
      <c r="E950" s="1" t="s">
        <v>12</v>
      </c>
    </row>
    <row r="951" spans="1:5" x14ac:dyDescent="0.25">
      <c r="A951" s="13">
        <v>52442899</v>
      </c>
      <c r="B951" s="11" t="s">
        <v>84</v>
      </c>
      <c r="C951" s="1" t="s">
        <v>1335</v>
      </c>
      <c r="D951" s="1" t="s">
        <v>38</v>
      </c>
      <c r="E951" s="1" t="s">
        <v>5</v>
      </c>
    </row>
    <row r="952" spans="1:5" x14ac:dyDescent="0.25">
      <c r="A952" s="13">
        <v>52443092</v>
      </c>
      <c r="B952" s="11" t="s">
        <v>83</v>
      </c>
      <c r="C952" s="1" t="s">
        <v>3150</v>
      </c>
      <c r="D952" s="1" t="s">
        <v>40</v>
      </c>
      <c r="E952" s="1" t="s">
        <v>23</v>
      </c>
    </row>
    <row r="953" spans="1:5" x14ac:dyDescent="0.25">
      <c r="A953" s="13">
        <v>52447032</v>
      </c>
      <c r="B953" s="11" t="s">
        <v>116</v>
      </c>
      <c r="C953" s="1" t="s">
        <v>1334</v>
      </c>
      <c r="D953" s="1" t="s">
        <v>117</v>
      </c>
      <c r="E953" s="1" t="s">
        <v>147</v>
      </c>
    </row>
    <row r="954" spans="1:5" x14ac:dyDescent="0.25">
      <c r="A954" s="13">
        <v>52462923</v>
      </c>
      <c r="B954" s="11" t="s">
        <v>116</v>
      </c>
      <c r="C954" s="1" t="s">
        <v>1333</v>
      </c>
      <c r="D954" s="1" t="s">
        <v>117</v>
      </c>
      <c r="E954" s="1" t="s">
        <v>12</v>
      </c>
    </row>
    <row r="955" spans="1:5" x14ac:dyDescent="0.25">
      <c r="A955" s="13">
        <v>52466223</v>
      </c>
      <c r="B955" s="11" t="s">
        <v>116</v>
      </c>
      <c r="C955" s="1" t="s">
        <v>1332</v>
      </c>
      <c r="D955" s="1" t="s">
        <v>117</v>
      </c>
      <c r="E955" s="1" t="s">
        <v>186</v>
      </c>
    </row>
    <row r="956" spans="1:5" x14ac:dyDescent="0.25">
      <c r="A956" s="13">
        <v>52469481</v>
      </c>
      <c r="B956" s="11" t="s">
        <v>116</v>
      </c>
      <c r="C956" s="1" t="s">
        <v>1331</v>
      </c>
      <c r="D956" s="1" t="s">
        <v>117</v>
      </c>
      <c r="E956" s="1" t="s">
        <v>5</v>
      </c>
    </row>
    <row r="957" spans="1:5" x14ac:dyDescent="0.25">
      <c r="A957" s="13">
        <v>52472386</v>
      </c>
      <c r="B957" s="11" t="s">
        <v>83</v>
      </c>
      <c r="C957" s="1" t="s">
        <v>3555</v>
      </c>
      <c r="D957" s="1" t="s">
        <v>48</v>
      </c>
      <c r="E957" s="1" t="s">
        <v>196</v>
      </c>
    </row>
    <row r="958" spans="1:5" x14ac:dyDescent="0.25">
      <c r="A958" s="13">
        <v>52472884</v>
      </c>
      <c r="B958" s="11" t="s">
        <v>84</v>
      </c>
      <c r="C958" s="1" t="s">
        <v>1330</v>
      </c>
      <c r="D958" s="1" t="s">
        <v>38</v>
      </c>
      <c r="E958" s="1" t="s">
        <v>5</v>
      </c>
    </row>
    <row r="959" spans="1:5" x14ac:dyDescent="0.25">
      <c r="A959" s="13">
        <v>52472998</v>
      </c>
      <c r="B959" s="11" t="s">
        <v>116</v>
      </c>
      <c r="C959" s="1" t="s">
        <v>1329</v>
      </c>
      <c r="D959" s="1" t="s">
        <v>117</v>
      </c>
      <c r="E959" s="1" t="s">
        <v>12</v>
      </c>
    </row>
    <row r="960" spans="1:5" x14ac:dyDescent="0.25">
      <c r="A960" s="13">
        <v>52474489</v>
      </c>
      <c r="B960" s="11" t="s">
        <v>83</v>
      </c>
      <c r="C960" s="1" t="s">
        <v>1328</v>
      </c>
      <c r="D960" s="1" t="s">
        <v>3223</v>
      </c>
      <c r="E960" s="1" t="s">
        <v>30</v>
      </c>
    </row>
    <row r="961" spans="1:5" x14ac:dyDescent="0.25">
      <c r="A961" s="13">
        <v>52477583</v>
      </c>
      <c r="B961" s="11" t="s">
        <v>83</v>
      </c>
      <c r="C961" s="1" t="s">
        <v>1327</v>
      </c>
      <c r="D961" s="1" t="s">
        <v>40</v>
      </c>
      <c r="E961" s="1" t="s">
        <v>23</v>
      </c>
    </row>
    <row r="962" spans="1:5" x14ac:dyDescent="0.25">
      <c r="A962" s="13">
        <v>52478309</v>
      </c>
      <c r="B962" s="11" t="s">
        <v>84</v>
      </c>
      <c r="C962" s="1" t="s">
        <v>1326</v>
      </c>
      <c r="D962" s="1" t="s">
        <v>38</v>
      </c>
      <c r="E962" s="1" t="s">
        <v>10</v>
      </c>
    </row>
    <row r="963" spans="1:5" x14ac:dyDescent="0.25">
      <c r="A963" s="13">
        <v>52481093</v>
      </c>
      <c r="B963" s="11" t="s">
        <v>83</v>
      </c>
      <c r="C963" s="1" t="s">
        <v>1325</v>
      </c>
      <c r="D963" s="1" t="s">
        <v>47</v>
      </c>
      <c r="E963" s="1" t="s">
        <v>196</v>
      </c>
    </row>
    <row r="964" spans="1:5" x14ac:dyDescent="0.25">
      <c r="A964" s="13">
        <v>52481245</v>
      </c>
      <c r="B964" s="11" t="s">
        <v>84</v>
      </c>
      <c r="C964" s="1" t="s">
        <v>1324</v>
      </c>
      <c r="D964" s="1" t="s">
        <v>38</v>
      </c>
      <c r="E964" s="1" t="s">
        <v>5</v>
      </c>
    </row>
    <row r="965" spans="1:5" x14ac:dyDescent="0.25">
      <c r="A965" s="13">
        <v>52481362</v>
      </c>
      <c r="B965" s="11" t="s">
        <v>116</v>
      </c>
      <c r="C965" s="1" t="s">
        <v>1323</v>
      </c>
      <c r="D965" s="1" t="s">
        <v>117</v>
      </c>
      <c r="E965" s="1" t="s">
        <v>127</v>
      </c>
    </row>
    <row r="966" spans="1:5" x14ac:dyDescent="0.25">
      <c r="A966" s="13">
        <v>52482518</v>
      </c>
      <c r="B966" s="11" t="s">
        <v>116</v>
      </c>
      <c r="C966" s="1" t="s">
        <v>1322</v>
      </c>
      <c r="D966" s="1" t="s">
        <v>117</v>
      </c>
      <c r="E966" s="1" t="s">
        <v>417</v>
      </c>
    </row>
    <row r="967" spans="1:5" x14ac:dyDescent="0.25">
      <c r="A967" s="13">
        <v>52484165</v>
      </c>
      <c r="B967" s="11" t="s">
        <v>83</v>
      </c>
      <c r="C967" s="1" t="s">
        <v>1321</v>
      </c>
      <c r="D967" s="1" t="s">
        <v>47</v>
      </c>
      <c r="E967" s="1" t="s">
        <v>196</v>
      </c>
    </row>
    <row r="968" spans="1:5" x14ac:dyDescent="0.25">
      <c r="A968" s="13">
        <v>52484739</v>
      </c>
      <c r="B968" s="11" t="s">
        <v>84</v>
      </c>
      <c r="C968" s="1" t="s">
        <v>1320</v>
      </c>
      <c r="D968" s="1" t="s">
        <v>43</v>
      </c>
      <c r="E968" s="1" t="s">
        <v>11</v>
      </c>
    </row>
    <row r="969" spans="1:5" x14ac:dyDescent="0.25">
      <c r="A969" s="13">
        <v>52490324</v>
      </c>
      <c r="B969" s="11" t="s">
        <v>83</v>
      </c>
      <c r="C969" s="1" t="s">
        <v>1319</v>
      </c>
      <c r="D969" s="1" t="s">
        <v>3224</v>
      </c>
      <c r="E969" s="1" t="s">
        <v>21</v>
      </c>
    </row>
    <row r="970" spans="1:5" x14ac:dyDescent="0.25">
      <c r="A970" s="13">
        <v>52490659</v>
      </c>
      <c r="B970" s="11" t="s">
        <v>83</v>
      </c>
      <c r="C970" s="1" t="s">
        <v>1318</v>
      </c>
      <c r="D970" s="1" t="s">
        <v>74</v>
      </c>
      <c r="E970" s="1" t="s">
        <v>25</v>
      </c>
    </row>
    <row r="971" spans="1:5" x14ac:dyDescent="0.25">
      <c r="A971" s="13">
        <v>52490856</v>
      </c>
      <c r="B971" s="11" t="s">
        <v>116</v>
      </c>
      <c r="C971" s="1" t="s">
        <v>1317</v>
      </c>
      <c r="D971" s="1" t="s">
        <v>117</v>
      </c>
      <c r="E971" s="1" t="s">
        <v>12</v>
      </c>
    </row>
    <row r="972" spans="1:5" x14ac:dyDescent="0.25">
      <c r="A972" s="13">
        <v>52492646</v>
      </c>
      <c r="B972" s="11" t="s">
        <v>116</v>
      </c>
      <c r="C972" s="1" t="s">
        <v>1316</v>
      </c>
      <c r="D972" s="1" t="s">
        <v>117</v>
      </c>
      <c r="E972" s="1" t="s">
        <v>3130</v>
      </c>
    </row>
    <row r="973" spans="1:5" x14ac:dyDescent="0.25">
      <c r="A973" s="13">
        <v>52493775</v>
      </c>
      <c r="B973" s="11" t="s">
        <v>84</v>
      </c>
      <c r="C973" s="1" t="s">
        <v>1315</v>
      </c>
      <c r="D973" s="1" t="s">
        <v>38</v>
      </c>
      <c r="E973" s="1" t="s">
        <v>881</v>
      </c>
    </row>
    <row r="974" spans="1:5" x14ac:dyDescent="0.25">
      <c r="A974" s="13">
        <v>52501861</v>
      </c>
      <c r="B974" s="11" t="s">
        <v>84</v>
      </c>
      <c r="C974" s="1" t="s">
        <v>3100</v>
      </c>
      <c r="D974" s="1" t="s">
        <v>38</v>
      </c>
      <c r="E974" s="1" t="s">
        <v>5</v>
      </c>
    </row>
    <row r="975" spans="1:5" x14ac:dyDescent="0.25">
      <c r="A975" s="13">
        <v>52504137</v>
      </c>
      <c r="B975" s="11" t="s">
        <v>83</v>
      </c>
      <c r="C975" s="1" t="s">
        <v>1314</v>
      </c>
      <c r="D975" s="1" t="s">
        <v>47</v>
      </c>
      <c r="E975" s="1" t="s">
        <v>17</v>
      </c>
    </row>
    <row r="976" spans="1:5" x14ac:dyDescent="0.25">
      <c r="A976" s="13">
        <v>52504461</v>
      </c>
      <c r="B976" s="11" t="s">
        <v>83</v>
      </c>
      <c r="C976" s="1" t="s">
        <v>1313</v>
      </c>
      <c r="D976" s="1" t="s">
        <v>1222</v>
      </c>
      <c r="E976" s="1" t="s">
        <v>272</v>
      </c>
    </row>
    <row r="977" spans="1:5" x14ac:dyDescent="0.25">
      <c r="A977" s="13">
        <v>52506860</v>
      </c>
      <c r="B977" s="11" t="s">
        <v>83</v>
      </c>
      <c r="C977" s="1" t="s">
        <v>1312</v>
      </c>
      <c r="D977" s="1" t="s">
        <v>53</v>
      </c>
      <c r="E977" s="1" t="s">
        <v>4</v>
      </c>
    </row>
    <row r="978" spans="1:5" x14ac:dyDescent="0.25">
      <c r="A978" s="13">
        <v>52507268</v>
      </c>
      <c r="B978" s="11" t="s">
        <v>83</v>
      </c>
      <c r="C978" s="1" t="s">
        <v>1311</v>
      </c>
      <c r="D978" s="1" t="s">
        <v>1158</v>
      </c>
      <c r="E978" s="1" t="s">
        <v>27</v>
      </c>
    </row>
    <row r="979" spans="1:5" x14ac:dyDescent="0.25">
      <c r="A979" s="13">
        <v>52507469</v>
      </c>
      <c r="B979" s="11" t="s">
        <v>84</v>
      </c>
      <c r="C979" s="1" t="s">
        <v>1310</v>
      </c>
      <c r="D979" s="1" t="s">
        <v>973</v>
      </c>
      <c r="E979" s="1" t="s">
        <v>939</v>
      </c>
    </row>
    <row r="980" spans="1:5" x14ac:dyDescent="0.25">
      <c r="A980" s="13">
        <v>52507941</v>
      </c>
      <c r="B980" s="11" t="s">
        <v>116</v>
      </c>
      <c r="C980" s="1" t="s">
        <v>1309</v>
      </c>
      <c r="D980" s="1" t="s">
        <v>117</v>
      </c>
      <c r="E980" s="1" t="s">
        <v>263</v>
      </c>
    </row>
    <row r="981" spans="1:5" x14ac:dyDescent="0.25">
      <c r="A981" s="13">
        <v>52515340</v>
      </c>
      <c r="B981" s="11" t="s">
        <v>116</v>
      </c>
      <c r="C981" s="1" t="s">
        <v>1308</v>
      </c>
      <c r="D981" s="1" t="s">
        <v>117</v>
      </c>
      <c r="E981" s="1" t="s">
        <v>11</v>
      </c>
    </row>
    <row r="982" spans="1:5" x14ac:dyDescent="0.25">
      <c r="A982" s="13">
        <v>52515979</v>
      </c>
      <c r="B982" s="11" t="s">
        <v>84</v>
      </c>
      <c r="C982" s="1" t="s">
        <v>1307</v>
      </c>
      <c r="D982" s="1" t="s">
        <v>43</v>
      </c>
      <c r="E982" s="1" t="s">
        <v>147</v>
      </c>
    </row>
    <row r="983" spans="1:5" x14ac:dyDescent="0.25">
      <c r="A983" s="13">
        <v>52525543</v>
      </c>
      <c r="B983" s="11" t="s">
        <v>84</v>
      </c>
      <c r="C983" s="1" t="s">
        <v>3060</v>
      </c>
      <c r="D983" s="1" t="s">
        <v>41</v>
      </c>
      <c r="E983" s="1" t="s">
        <v>1</v>
      </c>
    </row>
    <row r="984" spans="1:5" x14ac:dyDescent="0.25">
      <c r="A984" s="13">
        <v>52531949</v>
      </c>
      <c r="B984" s="11" t="s">
        <v>84</v>
      </c>
      <c r="C984" s="1" t="s">
        <v>1306</v>
      </c>
      <c r="D984" s="1" t="s">
        <v>43</v>
      </c>
      <c r="E984" s="1" t="s">
        <v>10</v>
      </c>
    </row>
    <row r="985" spans="1:5" x14ac:dyDescent="0.25">
      <c r="A985" s="13">
        <v>52534196</v>
      </c>
      <c r="B985" s="11" t="s">
        <v>116</v>
      </c>
      <c r="C985" s="1" t="s">
        <v>1305</v>
      </c>
      <c r="D985" s="1" t="s">
        <v>117</v>
      </c>
      <c r="E985" s="1" t="s">
        <v>417</v>
      </c>
    </row>
    <row r="986" spans="1:5" x14ac:dyDescent="0.25">
      <c r="A986" s="13">
        <v>52537301</v>
      </c>
      <c r="B986" s="11" t="s">
        <v>83</v>
      </c>
      <c r="C986" s="1" t="s">
        <v>3116</v>
      </c>
      <c r="D986" s="1" t="s">
        <v>48</v>
      </c>
      <c r="E986" s="1" t="s">
        <v>19</v>
      </c>
    </row>
    <row r="987" spans="1:5" x14ac:dyDescent="0.25">
      <c r="A987" s="13">
        <v>52539502</v>
      </c>
      <c r="B987" s="11" t="s">
        <v>116</v>
      </c>
      <c r="C987" s="1" t="s">
        <v>1304</v>
      </c>
      <c r="D987" s="1" t="s">
        <v>117</v>
      </c>
      <c r="E987" s="1" t="s">
        <v>417</v>
      </c>
    </row>
    <row r="988" spans="1:5" x14ac:dyDescent="0.25">
      <c r="A988" s="13">
        <v>52539978</v>
      </c>
      <c r="B988" s="11" t="s">
        <v>83</v>
      </c>
      <c r="C988" s="1" t="s">
        <v>1303</v>
      </c>
      <c r="D988" s="1" t="s">
        <v>1077</v>
      </c>
      <c r="E988" s="1" t="s">
        <v>26</v>
      </c>
    </row>
    <row r="989" spans="1:5" x14ac:dyDescent="0.25">
      <c r="A989" s="13">
        <v>52542938</v>
      </c>
      <c r="B989" s="11" t="s">
        <v>84</v>
      </c>
      <c r="C989" s="1" t="s">
        <v>1300</v>
      </c>
      <c r="D989" s="1" t="s">
        <v>1301</v>
      </c>
      <c r="E989" s="1" t="s">
        <v>1302</v>
      </c>
    </row>
    <row r="990" spans="1:5" x14ac:dyDescent="0.25">
      <c r="A990" s="13">
        <v>52544239</v>
      </c>
      <c r="B990" s="11" t="s">
        <v>116</v>
      </c>
      <c r="C990" s="1" t="s">
        <v>1299</v>
      </c>
      <c r="D990" s="1" t="s">
        <v>117</v>
      </c>
      <c r="E990" s="1" t="s">
        <v>12</v>
      </c>
    </row>
    <row r="991" spans="1:5" x14ac:dyDescent="0.25">
      <c r="A991" s="13">
        <v>52548295</v>
      </c>
      <c r="B991" s="11" t="s">
        <v>83</v>
      </c>
      <c r="C991" s="1" t="s">
        <v>1297</v>
      </c>
      <c r="D991" s="1" t="s">
        <v>1298</v>
      </c>
      <c r="E991" s="1" t="s">
        <v>19</v>
      </c>
    </row>
    <row r="992" spans="1:5" x14ac:dyDescent="0.25">
      <c r="A992" s="13">
        <v>52550334</v>
      </c>
      <c r="B992" s="11" t="s">
        <v>83</v>
      </c>
      <c r="C992" s="1" t="s">
        <v>3556</v>
      </c>
      <c r="D992" s="1" t="s">
        <v>3198</v>
      </c>
      <c r="E992" s="1" t="s">
        <v>196</v>
      </c>
    </row>
    <row r="993" spans="1:5" x14ac:dyDescent="0.25">
      <c r="A993" s="13">
        <v>52553355</v>
      </c>
      <c r="B993" s="11" t="s">
        <v>116</v>
      </c>
      <c r="C993" s="1" t="s">
        <v>1296</v>
      </c>
      <c r="D993" s="1" t="s">
        <v>117</v>
      </c>
      <c r="E993" s="1" t="s">
        <v>120</v>
      </c>
    </row>
    <row r="994" spans="1:5" x14ac:dyDescent="0.25">
      <c r="A994" s="13">
        <v>52556099</v>
      </c>
      <c r="B994" s="11" t="s">
        <v>109</v>
      </c>
      <c r="C994" s="1" t="s">
        <v>1295</v>
      </c>
      <c r="D994" s="1" t="s">
        <v>131</v>
      </c>
      <c r="E994" s="1" t="s">
        <v>131</v>
      </c>
    </row>
    <row r="995" spans="1:5" x14ac:dyDescent="0.25">
      <c r="A995" s="13">
        <v>52562100</v>
      </c>
      <c r="B995" s="11" t="s">
        <v>116</v>
      </c>
      <c r="C995" s="1" t="s">
        <v>1294</v>
      </c>
      <c r="D995" s="1" t="s">
        <v>117</v>
      </c>
      <c r="E995" s="1" t="s">
        <v>168</v>
      </c>
    </row>
    <row r="996" spans="1:5" x14ac:dyDescent="0.25">
      <c r="A996" s="13">
        <v>52580974</v>
      </c>
      <c r="B996" s="11" t="s">
        <v>84</v>
      </c>
      <c r="C996" s="1" t="s">
        <v>1293</v>
      </c>
      <c r="D996" s="1" t="s">
        <v>43</v>
      </c>
      <c r="E996" s="1" t="s">
        <v>147</v>
      </c>
    </row>
    <row r="997" spans="1:5" x14ac:dyDescent="0.25">
      <c r="A997" s="13">
        <v>52583457</v>
      </c>
      <c r="B997" s="11" t="s">
        <v>84</v>
      </c>
      <c r="C997" s="1" t="s">
        <v>1292</v>
      </c>
      <c r="D997" s="1" t="s">
        <v>37</v>
      </c>
      <c r="E997" s="1" t="s">
        <v>27</v>
      </c>
    </row>
    <row r="998" spans="1:5" x14ac:dyDescent="0.25">
      <c r="A998" s="13">
        <v>52603556</v>
      </c>
      <c r="B998" s="11" t="s">
        <v>83</v>
      </c>
      <c r="C998" s="1" t="s">
        <v>3225</v>
      </c>
      <c r="D998" s="1" t="s">
        <v>40</v>
      </c>
      <c r="E998" s="1" t="s">
        <v>23</v>
      </c>
    </row>
    <row r="999" spans="1:5" x14ac:dyDescent="0.25">
      <c r="A999" s="13">
        <v>52620599</v>
      </c>
      <c r="B999" s="11" t="s">
        <v>84</v>
      </c>
      <c r="C999" s="1" t="s">
        <v>1291</v>
      </c>
      <c r="D999" s="1" t="s">
        <v>62</v>
      </c>
      <c r="E999" s="1" t="s">
        <v>17</v>
      </c>
    </row>
    <row r="1000" spans="1:5" x14ac:dyDescent="0.25">
      <c r="A1000" s="13">
        <v>52622527</v>
      </c>
      <c r="B1000" s="11" t="s">
        <v>83</v>
      </c>
      <c r="C1000" s="1" t="s">
        <v>1289</v>
      </c>
      <c r="D1000" s="1" t="s">
        <v>1290</v>
      </c>
      <c r="E1000" s="1" t="s">
        <v>778</v>
      </c>
    </row>
    <row r="1001" spans="1:5" x14ac:dyDescent="0.25">
      <c r="A1001" s="13">
        <v>52655082</v>
      </c>
      <c r="B1001" s="11" t="s">
        <v>116</v>
      </c>
      <c r="C1001" s="1" t="s">
        <v>1288</v>
      </c>
      <c r="D1001" s="1" t="s">
        <v>117</v>
      </c>
      <c r="E1001" s="1" t="s">
        <v>232</v>
      </c>
    </row>
    <row r="1002" spans="1:5" x14ac:dyDescent="0.25">
      <c r="A1002" s="13">
        <v>52660957</v>
      </c>
      <c r="B1002" s="11" t="s">
        <v>83</v>
      </c>
      <c r="C1002" s="1" t="s">
        <v>1287</v>
      </c>
      <c r="D1002" s="1" t="s">
        <v>56</v>
      </c>
      <c r="E1002" s="1" t="s">
        <v>495</v>
      </c>
    </row>
    <row r="1003" spans="1:5" x14ac:dyDescent="0.25">
      <c r="A1003" s="13">
        <v>52666702</v>
      </c>
      <c r="B1003" s="11" t="s">
        <v>83</v>
      </c>
      <c r="C1003" s="1" t="s">
        <v>1285</v>
      </c>
      <c r="D1003" s="1" t="s">
        <v>1286</v>
      </c>
      <c r="E1003" s="1" t="s">
        <v>525</v>
      </c>
    </row>
    <row r="1004" spans="1:5" x14ac:dyDescent="0.25">
      <c r="A1004" s="13">
        <v>52693265</v>
      </c>
      <c r="B1004" s="11" t="s">
        <v>83</v>
      </c>
      <c r="C1004" s="1" t="s">
        <v>1283</v>
      </c>
      <c r="D1004" s="1" t="s">
        <v>1284</v>
      </c>
      <c r="E1004" s="1" t="s">
        <v>20</v>
      </c>
    </row>
    <row r="1005" spans="1:5" x14ac:dyDescent="0.25">
      <c r="A1005" s="13">
        <v>52697966</v>
      </c>
      <c r="B1005" s="11" t="s">
        <v>116</v>
      </c>
      <c r="C1005" s="1" t="s">
        <v>1282</v>
      </c>
      <c r="D1005" s="1" t="s">
        <v>117</v>
      </c>
      <c r="E1005" s="1" t="s">
        <v>11</v>
      </c>
    </row>
    <row r="1006" spans="1:5" x14ac:dyDescent="0.25">
      <c r="A1006" s="13">
        <v>52698040</v>
      </c>
      <c r="B1006" s="11" t="s">
        <v>116</v>
      </c>
      <c r="C1006" s="1" t="s">
        <v>1281</v>
      </c>
      <c r="D1006" s="1" t="s">
        <v>117</v>
      </c>
      <c r="E1006" s="1" t="s">
        <v>263</v>
      </c>
    </row>
    <row r="1007" spans="1:5" x14ac:dyDescent="0.25">
      <c r="A1007" s="13">
        <v>52699894</v>
      </c>
      <c r="B1007" s="11" t="s">
        <v>116</v>
      </c>
      <c r="C1007" s="1" t="s">
        <v>1280</v>
      </c>
      <c r="D1007" s="1" t="s">
        <v>117</v>
      </c>
      <c r="E1007" s="1" t="s">
        <v>8</v>
      </c>
    </row>
    <row r="1008" spans="1:5" x14ac:dyDescent="0.25">
      <c r="A1008" s="13">
        <v>52701875</v>
      </c>
      <c r="B1008" s="11" t="s">
        <v>116</v>
      </c>
      <c r="C1008" s="1" t="s">
        <v>1279</v>
      </c>
      <c r="D1008" s="1" t="s">
        <v>117</v>
      </c>
      <c r="E1008" s="1" t="s">
        <v>11</v>
      </c>
    </row>
    <row r="1009" spans="1:5" x14ac:dyDescent="0.25">
      <c r="A1009" s="13">
        <v>52703052</v>
      </c>
      <c r="B1009" s="11" t="s">
        <v>109</v>
      </c>
      <c r="C1009" s="1" t="s">
        <v>1278</v>
      </c>
      <c r="D1009" s="1" t="s">
        <v>366</v>
      </c>
      <c r="E1009" s="1" t="s">
        <v>4</v>
      </c>
    </row>
    <row r="1010" spans="1:5" x14ac:dyDescent="0.25">
      <c r="A1010" s="13">
        <v>52707526</v>
      </c>
      <c r="B1010" s="11" t="s">
        <v>116</v>
      </c>
      <c r="C1010" s="1" t="s">
        <v>1277</v>
      </c>
      <c r="D1010" s="1" t="s">
        <v>117</v>
      </c>
      <c r="E1010" s="1" t="s">
        <v>491</v>
      </c>
    </row>
    <row r="1011" spans="1:5" x14ac:dyDescent="0.25">
      <c r="A1011" s="13">
        <v>52707763</v>
      </c>
      <c r="B1011" s="11" t="s">
        <v>116</v>
      </c>
      <c r="C1011" s="1" t="s">
        <v>1275</v>
      </c>
      <c r="D1011" s="1" t="s">
        <v>117</v>
      </c>
      <c r="E1011" s="1" t="s">
        <v>1276</v>
      </c>
    </row>
    <row r="1012" spans="1:5" x14ac:dyDescent="0.25">
      <c r="A1012" s="13">
        <v>52707816</v>
      </c>
      <c r="B1012" s="11" t="s">
        <v>109</v>
      </c>
      <c r="C1012" s="1" t="s">
        <v>1274</v>
      </c>
      <c r="D1012" s="1" t="s">
        <v>131</v>
      </c>
      <c r="E1012" s="1" t="s">
        <v>131</v>
      </c>
    </row>
    <row r="1013" spans="1:5" x14ac:dyDescent="0.25">
      <c r="A1013" s="13">
        <v>52708259</v>
      </c>
      <c r="B1013" s="11" t="s">
        <v>116</v>
      </c>
      <c r="C1013" s="1" t="s">
        <v>3557</v>
      </c>
      <c r="D1013" s="1" t="s">
        <v>117</v>
      </c>
      <c r="E1013" s="1" t="s">
        <v>3708</v>
      </c>
    </row>
    <row r="1014" spans="1:5" x14ac:dyDescent="0.25">
      <c r="A1014" s="13">
        <v>52708748</v>
      </c>
      <c r="B1014" s="11" t="s">
        <v>83</v>
      </c>
      <c r="C1014" s="1" t="s">
        <v>1273</v>
      </c>
      <c r="D1014" s="1" t="s">
        <v>59</v>
      </c>
      <c r="E1014" s="1" t="s">
        <v>19</v>
      </c>
    </row>
    <row r="1015" spans="1:5" x14ac:dyDescent="0.25">
      <c r="A1015" s="13">
        <v>52712718</v>
      </c>
      <c r="B1015" s="11" t="s">
        <v>83</v>
      </c>
      <c r="C1015" s="1" t="s">
        <v>1272</v>
      </c>
      <c r="D1015" s="1" t="s">
        <v>1077</v>
      </c>
      <c r="E1015" s="1" t="s">
        <v>28</v>
      </c>
    </row>
    <row r="1016" spans="1:5" x14ac:dyDescent="0.25">
      <c r="A1016" s="13">
        <v>52715162</v>
      </c>
      <c r="B1016" s="11" t="s">
        <v>116</v>
      </c>
      <c r="C1016" s="1" t="s">
        <v>1271</v>
      </c>
      <c r="D1016" s="1" t="s">
        <v>117</v>
      </c>
      <c r="E1016" s="1" t="s">
        <v>9</v>
      </c>
    </row>
    <row r="1017" spans="1:5" x14ac:dyDescent="0.25">
      <c r="A1017" s="13">
        <v>52715856</v>
      </c>
      <c r="B1017" s="11" t="s">
        <v>116</v>
      </c>
      <c r="C1017" s="1" t="s">
        <v>1270</v>
      </c>
      <c r="D1017" s="1" t="s">
        <v>117</v>
      </c>
      <c r="E1017" s="1" t="s">
        <v>2</v>
      </c>
    </row>
    <row r="1018" spans="1:5" x14ac:dyDescent="0.25">
      <c r="A1018" s="13">
        <v>52716134</v>
      </c>
      <c r="B1018" s="11" t="s">
        <v>116</v>
      </c>
      <c r="C1018" s="1" t="s">
        <v>1269</v>
      </c>
      <c r="D1018" s="1" t="s">
        <v>117</v>
      </c>
      <c r="E1018" s="1" t="s">
        <v>263</v>
      </c>
    </row>
    <row r="1019" spans="1:5" x14ac:dyDescent="0.25">
      <c r="A1019" s="13">
        <v>52717893</v>
      </c>
      <c r="B1019" s="11" t="s">
        <v>116</v>
      </c>
      <c r="C1019" s="1" t="s">
        <v>1268</v>
      </c>
      <c r="D1019" s="1" t="s">
        <v>117</v>
      </c>
      <c r="E1019" s="1" t="s">
        <v>86</v>
      </c>
    </row>
    <row r="1020" spans="1:5" x14ac:dyDescent="0.25">
      <c r="A1020" s="13">
        <v>52718431</v>
      </c>
      <c r="B1020" s="11" t="s">
        <v>116</v>
      </c>
      <c r="C1020" s="1" t="s">
        <v>3039</v>
      </c>
      <c r="D1020" s="1" t="s">
        <v>117</v>
      </c>
      <c r="E1020" s="1" t="s">
        <v>120</v>
      </c>
    </row>
    <row r="1021" spans="1:5" x14ac:dyDescent="0.25">
      <c r="A1021" s="13">
        <v>52725149</v>
      </c>
      <c r="B1021" s="11" t="s">
        <v>84</v>
      </c>
      <c r="C1021" s="1" t="s">
        <v>1267</v>
      </c>
      <c r="D1021" s="1" t="s">
        <v>38</v>
      </c>
      <c r="E1021" s="1" t="s">
        <v>263</v>
      </c>
    </row>
    <row r="1022" spans="1:5" x14ac:dyDescent="0.25">
      <c r="A1022" s="13">
        <v>52727830</v>
      </c>
      <c r="B1022" s="11" t="s">
        <v>84</v>
      </c>
      <c r="C1022" s="1" t="s">
        <v>1266</v>
      </c>
      <c r="D1022" s="1" t="s">
        <v>38</v>
      </c>
      <c r="E1022" s="1" t="s">
        <v>12</v>
      </c>
    </row>
    <row r="1023" spans="1:5" x14ac:dyDescent="0.25">
      <c r="A1023" s="13">
        <v>52733466</v>
      </c>
      <c r="B1023" s="11" t="s">
        <v>116</v>
      </c>
      <c r="C1023" s="1" t="s">
        <v>1265</v>
      </c>
      <c r="D1023" s="1" t="s">
        <v>117</v>
      </c>
      <c r="E1023" s="1" t="s">
        <v>10</v>
      </c>
    </row>
    <row r="1024" spans="1:5" x14ac:dyDescent="0.25">
      <c r="A1024" s="13">
        <v>52734497</v>
      </c>
      <c r="B1024" s="11" t="s">
        <v>83</v>
      </c>
      <c r="C1024" s="1" t="s">
        <v>1264</v>
      </c>
      <c r="D1024" s="1" t="s">
        <v>47</v>
      </c>
      <c r="E1024" s="1" t="s">
        <v>367</v>
      </c>
    </row>
    <row r="1025" spans="1:5" x14ac:dyDescent="0.25">
      <c r="A1025" s="13">
        <v>52734597</v>
      </c>
      <c r="B1025" s="11" t="s">
        <v>84</v>
      </c>
      <c r="C1025" s="1" t="s">
        <v>1263</v>
      </c>
      <c r="D1025" s="1" t="s">
        <v>38</v>
      </c>
      <c r="E1025" s="1" t="s">
        <v>10</v>
      </c>
    </row>
    <row r="1026" spans="1:5" x14ac:dyDescent="0.25">
      <c r="A1026" s="13">
        <v>52734793</v>
      </c>
      <c r="B1026" s="11" t="s">
        <v>116</v>
      </c>
      <c r="C1026" s="1" t="s">
        <v>1262</v>
      </c>
      <c r="D1026" s="1" t="s">
        <v>117</v>
      </c>
      <c r="E1026" s="1" t="s">
        <v>3</v>
      </c>
    </row>
    <row r="1027" spans="1:5" x14ac:dyDescent="0.25">
      <c r="A1027" s="13">
        <v>52735929</v>
      </c>
      <c r="B1027" s="11" t="s">
        <v>84</v>
      </c>
      <c r="C1027" s="1" t="s">
        <v>1261</v>
      </c>
      <c r="D1027" s="1" t="s">
        <v>81</v>
      </c>
      <c r="E1027" s="1" t="s">
        <v>26</v>
      </c>
    </row>
    <row r="1028" spans="1:5" x14ac:dyDescent="0.25">
      <c r="A1028" s="13">
        <v>52736375</v>
      </c>
      <c r="B1028" s="11" t="s">
        <v>83</v>
      </c>
      <c r="C1028" s="1" t="s">
        <v>1260</v>
      </c>
      <c r="D1028" s="1" t="s">
        <v>59</v>
      </c>
      <c r="E1028" s="1" t="s">
        <v>19</v>
      </c>
    </row>
    <row r="1029" spans="1:5" x14ac:dyDescent="0.25">
      <c r="A1029" s="13">
        <v>52737322</v>
      </c>
      <c r="B1029" s="11" t="s">
        <v>84</v>
      </c>
      <c r="C1029" s="1" t="s">
        <v>3226</v>
      </c>
      <c r="D1029" s="1" t="s">
        <v>43</v>
      </c>
      <c r="E1029" s="1" t="s">
        <v>9</v>
      </c>
    </row>
    <row r="1030" spans="1:5" x14ac:dyDescent="0.25">
      <c r="A1030" s="13">
        <v>52751782</v>
      </c>
      <c r="B1030" s="11" t="s">
        <v>83</v>
      </c>
      <c r="C1030" s="1" t="s">
        <v>3227</v>
      </c>
      <c r="D1030" s="1" t="s">
        <v>48</v>
      </c>
      <c r="E1030" s="1" t="s">
        <v>196</v>
      </c>
    </row>
    <row r="1031" spans="1:5" x14ac:dyDescent="0.25">
      <c r="A1031" s="13">
        <v>52753804</v>
      </c>
      <c r="B1031" s="11" t="s">
        <v>84</v>
      </c>
      <c r="C1031" s="1" t="s">
        <v>3228</v>
      </c>
      <c r="D1031" s="1" t="s">
        <v>38</v>
      </c>
      <c r="E1031" s="1" t="s">
        <v>3229</v>
      </c>
    </row>
    <row r="1032" spans="1:5" x14ac:dyDescent="0.25">
      <c r="A1032" s="13">
        <v>52754335</v>
      </c>
      <c r="B1032" s="11" t="s">
        <v>83</v>
      </c>
      <c r="C1032" s="1" t="s">
        <v>1259</v>
      </c>
      <c r="D1032" s="1" t="s">
        <v>40</v>
      </c>
      <c r="E1032" s="1" t="s">
        <v>23</v>
      </c>
    </row>
    <row r="1033" spans="1:5" x14ac:dyDescent="0.25">
      <c r="A1033" s="13">
        <v>52760467</v>
      </c>
      <c r="B1033" s="11" t="s">
        <v>84</v>
      </c>
      <c r="C1033" s="1" t="s">
        <v>1258</v>
      </c>
      <c r="D1033" s="1" t="s">
        <v>1077</v>
      </c>
      <c r="E1033" s="1" t="s">
        <v>27</v>
      </c>
    </row>
    <row r="1034" spans="1:5" x14ac:dyDescent="0.25">
      <c r="A1034" s="13">
        <v>52761501</v>
      </c>
      <c r="B1034" s="11" t="s">
        <v>83</v>
      </c>
      <c r="C1034" s="1" t="s">
        <v>1257</v>
      </c>
      <c r="D1034" s="1" t="s">
        <v>366</v>
      </c>
      <c r="E1034" s="1" t="s">
        <v>367</v>
      </c>
    </row>
    <row r="1035" spans="1:5" x14ac:dyDescent="0.25">
      <c r="A1035" s="13">
        <v>52763578</v>
      </c>
      <c r="B1035" s="11" t="s">
        <v>84</v>
      </c>
      <c r="C1035" s="1" t="s">
        <v>1256</v>
      </c>
      <c r="D1035" s="1" t="s">
        <v>36</v>
      </c>
      <c r="E1035" s="1" t="s">
        <v>17</v>
      </c>
    </row>
    <row r="1036" spans="1:5" x14ac:dyDescent="0.25">
      <c r="A1036" s="13">
        <v>52764221</v>
      </c>
      <c r="B1036" s="11" t="s">
        <v>116</v>
      </c>
      <c r="C1036" s="1" t="s">
        <v>1255</v>
      </c>
      <c r="D1036" s="1" t="s">
        <v>117</v>
      </c>
      <c r="E1036" s="1" t="s">
        <v>119</v>
      </c>
    </row>
    <row r="1037" spans="1:5" x14ac:dyDescent="0.25">
      <c r="A1037" s="13">
        <v>52764929</v>
      </c>
      <c r="B1037" s="11" t="s">
        <v>83</v>
      </c>
      <c r="C1037" s="1" t="s">
        <v>3558</v>
      </c>
      <c r="D1037" s="1" t="s">
        <v>3400</v>
      </c>
      <c r="E1037" s="1" t="s">
        <v>196</v>
      </c>
    </row>
    <row r="1038" spans="1:5" x14ac:dyDescent="0.25">
      <c r="A1038" s="13">
        <v>52768405</v>
      </c>
      <c r="B1038" s="11" t="s">
        <v>116</v>
      </c>
      <c r="C1038" s="1" t="s">
        <v>1254</v>
      </c>
      <c r="D1038" s="1" t="s">
        <v>151</v>
      </c>
      <c r="E1038" s="1" t="s">
        <v>152</v>
      </c>
    </row>
    <row r="1039" spans="1:5" x14ac:dyDescent="0.25">
      <c r="A1039" s="13">
        <v>52773761</v>
      </c>
      <c r="B1039" s="11" t="s">
        <v>84</v>
      </c>
      <c r="C1039" s="1" t="s">
        <v>1253</v>
      </c>
      <c r="D1039" s="1" t="s">
        <v>38</v>
      </c>
      <c r="E1039" s="1" t="s">
        <v>147</v>
      </c>
    </row>
    <row r="1040" spans="1:5" x14ac:dyDescent="0.25">
      <c r="A1040" s="13">
        <v>52775536</v>
      </c>
      <c r="B1040" s="11" t="s">
        <v>83</v>
      </c>
      <c r="C1040" s="1" t="s">
        <v>1252</v>
      </c>
      <c r="D1040" s="1" t="s">
        <v>47</v>
      </c>
      <c r="E1040" s="1" t="s">
        <v>26</v>
      </c>
    </row>
    <row r="1041" spans="1:5" x14ac:dyDescent="0.25">
      <c r="A1041" s="13">
        <v>52775694</v>
      </c>
      <c r="B1041" s="11" t="s">
        <v>116</v>
      </c>
      <c r="C1041" s="1" t="s">
        <v>1251</v>
      </c>
      <c r="D1041" s="1" t="s">
        <v>117</v>
      </c>
      <c r="E1041" s="1" t="s">
        <v>8</v>
      </c>
    </row>
    <row r="1042" spans="1:5" x14ac:dyDescent="0.25">
      <c r="A1042" s="13">
        <v>52776481</v>
      </c>
      <c r="B1042" s="11" t="s">
        <v>84</v>
      </c>
      <c r="C1042" s="1" t="s">
        <v>3230</v>
      </c>
      <c r="D1042" s="1" t="s">
        <v>43</v>
      </c>
      <c r="E1042" s="1" t="s">
        <v>14</v>
      </c>
    </row>
    <row r="1043" spans="1:5" x14ac:dyDescent="0.25">
      <c r="A1043" s="13">
        <v>52782050</v>
      </c>
      <c r="B1043" s="11" t="s">
        <v>84</v>
      </c>
      <c r="C1043" s="1" t="s">
        <v>3231</v>
      </c>
      <c r="D1043" s="1" t="s">
        <v>38</v>
      </c>
      <c r="E1043" s="1" t="s">
        <v>3120</v>
      </c>
    </row>
    <row r="1044" spans="1:5" x14ac:dyDescent="0.25">
      <c r="A1044" s="13">
        <v>52787396</v>
      </c>
      <c r="B1044" s="11" t="s">
        <v>83</v>
      </c>
      <c r="C1044" s="1" t="s">
        <v>1250</v>
      </c>
      <c r="D1044" s="1" t="s">
        <v>47</v>
      </c>
      <c r="E1044" s="1" t="s">
        <v>27</v>
      </c>
    </row>
    <row r="1045" spans="1:5" x14ac:dyDescent="0.25">
      <c r="A1045" s="13">
        <v>52787788</v>
      </c>
      <c r="B1045" s="11" t="s">
        <v>116</v>
      </c>
      <c r="C1045" s="1" t="s">
        <v>1249</v>
      </c>
      <c r="D1045" s="1" t="s">
        <v>117</v>
      </c>
      <c r="E1045" s="1" t="s">
        <v>6</v>
      </c>
    </row>
    <row r="1046" spans="1:5" x14ac:dyDescent="0.25">
      <c r="A1046" s="13">
        <v>52789796</v>
      </c>
      <c r="B1046" s="11" t="s">
        <v>84</v>
      </c>
      <c r="C1046" s="1" t="s">
        <v>1248</v>
      </c>
      <c r="D1046" s="1" t="s">
        <v>43</v>
      </c>
      <c r="E1046" s="1" t="s">
        <v>127</v>
      </c>
    </row>
    <row r="1047" spans="1:5" x14ac:dyDescent="0.25">
      <c r="A1047" s="13">
        <v>52790582</v>
      </c>
      <c r="B1047" s="11" t="s">
        <v>116</v>
      </c>
      <c r="C1047" s="1" t="s">
        <v>1247</v>
      </c>
      <c r="D1047" s="1" t="s">
        <v>117</v>
      </c>
      <c r="E1047" s="1" t="s">
        <v>10</v>
      </c>
    </row>
    <row r="1048" spans="1:5" x14ac:dyDescent="0.25">
      <c r="A1048" s="13">
        <v>52790764</v>
      </c>
      <c r="B1048" s="11" t="s">
        <v>84</v>
      </c>
      <c r="C1048" s="1" t="s">
        <v>1244</v>
      </c>
      <c r="D1048" s="1" t="s">
        <v>1245</v>
      </c>
      <c r="E1048" s="1" t="s">
        <v>1246</v>
      </c>
    </row>
    <row r="1049" spans="1:5" x14ac:dyDescent="0.25">
      <c r="A1049" s="13">
        <v>52793953</v>
      </c>
      <c r="B1049" s="11" t="s">
        <v>83</v>
      </c>
      <c r="C1049" s="1" t="s">
        <v>1242</v>
      </c>
      <c r="D1049" s="1" t="s">
        <v>1243</v>
      </c>
      <c r="E1049" s="1" t="s">
        <v>87</v>
      </c>
    </row>
    <row r="1050" spans="1:5" x14ac:dyDescent="0.25">
      <c r="A1050" s="13">
        <v>52795090</v>
      </c>
      <c r="B1050" s="11" t="s">
        <v>84</v>
      </c>
      <c r="C1050" s="1" t="s">
        <v>1241</v>
      </c>
      <c r="D1050" s="1" t="s">
        <v>38</v>
      </c>
      <c r="E1050" s="1" t="s">
        <v>5</v>
      </c>
    </row>
    <row r="1051" spans="1:5" x14ac:dyDescent="0.25">
      <c r="A1051" s="13">
        <v>52795308</v>
      </c>
      <c r="B1051" s="11" t="s">
        <v>116</v>
      </c>
      <c r="C1051" s="1" t="s">
        <v>1240</v>
      </c>
      <c r="D1051" s="1" t="s">
        <v>117</v>
      </c>
      <c r="E1051" s="1" t="s">
        <v>3</v>
      </c>
    </row>
    <row r="1052" spans="1:5" x14ac:dyDescent="0.25">
      <c r="A1052" s="13">
        <v>52795724</v>
      </c>
      <c r="B1052" s="11" t="s">
        <v>84</v>
      </c>
      <c r="C1052" s="1" t="s">
        <v>3559</v>
      </c>
      <c r="D1052" s="1" t="s">
        <v>38</v>
      </c>
      <c r="E1052" s="1" t="s">
        <v>9</v>
      </c>
    </row>
    <row r="1053" spans="1:5" x14ac:dyDescent="0.25">
      <c r="A1053" s="13">
        <v>52796409</v>
      </c>
      <c r="B1053" s="11" t="s">
        <v>116</v>
      </c>
      <c r="C1053" s="1" t="s">
        <v>1239</v>
      </c>
      <c r="D1053" s="1" t="s">
        <v>117</v>
      </c>
      <c r="E1053" s="1" t="s">
        <v>6</v>
      </c>
    </row>
    <row r="1054" spans="1:5" x14ac:dyDescent="0.25">
      <c r="A1054" s="13">
        <v>52796896</v>
      </c>
      <c r="B1054" s="11" t="s">
        <v>84</v>
      </c>
      <c r="C1054" s="1" t="s">
        <v>1238</v>
      </c>
      <c r="D1054" s="1" t="s">
        <v>137</v>
      </c>
      <c r="E1054" s="1" t="s">
        <v>138</v>
      </c>
    </row>
    <row r="1055" spans="1:5" x14ac:dyDescent="0.25">
      <c r="A1055" s="13">
        <v>52802061</v>
      </c>
      <c r="B1055" s="11" t="s">
        <v>116</v>
      </c>
      <c r="C1055" s="1" t="s">
        <v>1237</v>
      </c>
      <c r="D1055" s="1" t="s">
        <v>117</v>
      </c>
      <c r="E1055" s="1" t="s">
        <v>7</v>
      </c>
    </row>
    <row r="1056" spans="1:5" x14ac:dyDescent="0.25">
      <c r="A1056" s="13">
        <v>52805749</v>
      </c>
      <c r="B1056" s="11" t="s">
        <v>84</v>
      </c>
      <c r="C1056" s="1" t="s">
        <v>1236</v>
      </c>
      <c r="D1056" s="1" t="s">
        <v>203</v>
      </c>
      <c r="E1056" s="1" t="s">
        <v>12</v>
      </c>
    </row>
    <row r="1057" spans="1:5" x14ac:dyDescent="0.25">
      <c r="A1057" s="13">
        <v>52809135</v>
      </c>
      <c r="B1057" s="11" t="s">
        <v>84</v>
      </c>
      <c r="C1057" s="1" t="s">
        <v>3701</v>
      </c>
      <c r="D1057" s="1" t="s">
        <v>3362</v>
      </c>
      <c r="E1057" s="1" t="s">
        <v>3595</v>
      </c>
    </row>
    <row r="1058" spans="1:5" x14ac:dyDescent="0.25">
      <c r="A1058" s="13">
        <v>52813251</v>
      </c>
      <c r="B1058" s="11" t="s">
        <v>84</v>
      </c>
      <c r="C1058" s="1" t="s">
        <v>1235</v>
      </c>
      <c r="D1058" s="1" t="s">
        <v>38</v>
      </c>
      <c r="E1058" s="1" t="s">
        <v>3</v>
      </c>
    </row>
    <row r="1059" spans="1:5" x14ac:dyDescent="0.25">
      <c r="A1059" s="13">
        <v>52814371</v>
      </c>
      <c r="B1059" s="11" t="s">
        <v>83</v>
      </c>
      <c r="C1059" s="1" t="s">
        <v>1234</v>
      </c>
      <c r="D1059" s="1" t="s">
        <v>1077</v>
      </c>
      <c r="E1059" s="1" t="s">
        <v>30</v>
      </c>
    </row>
    <row r="1060" spans="1:5" x14ac:dyDescent="0.25">
      <c r="A1060" s="13">
        <v>52817786</v>
      </c>
      <c r="B1060" s="11" t="s">
        <v>116</v>
      </c>
      <c r="C1060" s="1" t="s">
        <v>1233</v>
      </c>
      <c r="D1060" s="1" t="s">
        <v>117</v>
      </c>
      <c r="E1060" s="1" t="s">
        <v>11</v>
      </c>
    </row>
    <row r="1061" spans="1:5" x14ac:dyDescent="0.25">
      <c r="A1061" s="13">
        <v>52818807</v>
      </c>
      <c r="B1061" s="11" t="s">
        <v>116</v>
      </c>
      <c r="C1061" s="1" t="s">
        <v>1232</v>
      </c>
      <c r="D1061" s="1" t="s">
        <v>117</v>
      </c>
      <c r="E1061" s="1" t="s">
        <v>10</v>
      </c>
    </row>
    <row r="1062" spans="1:5" x14ac:dyDescent="0.25">
      <c r="A1062" s="13">
        <v>52818953</v>
      </c>
      <c r="B1062" s="11" t="s">
        <v>116</v>
      </c>
      <c r="C1062" s="1" t="s">
        <v>1231</v>
      </c>
      <c r="D1062" s="1" t="s">
        <v>117</v>
      </c>
      <c r="E1062" s="1" t="s">
        <v>12</v>
      </c>
    </row>
    <row r="1063" spans="1:5" x14ac:dyDescent="0.25">
      <c r="A1063" s="13">
        <v>52820948</v>
      </c>
      <c r="B1063" s="11" t="s">
        <v>116</v>
      </c>
      <c r="C1063" s="1" t="s">
        <v>1230</v>
      </c>
      <c r="D1063" s="1" t="s">
        <v>117</v>
      </c>
      <c r="E1063" s="1" t="s">
        <v>205</v>
      </c>
    </row>
    <row r="1064" spans="1:5" x14ac:dyDescent="0.25">
      <c r="A1064" s="13">
        <v>52822205</v>
      </c>
      <c r="B1064" s="11" t="s">
        <v>84</v>
      </c>
      <c r="C1064" s="1" t="s">
        <v>1228</v>
      </c>
      <c r="D1064" s="1" t="s">
        <v>1229</v>
      </c>
      <c r="E1064" s="1" t="s">
        <v>1</v>
      </c>
    </row>
    <row r="1065" spans="1:5" x14ac:dyDescent="0.25">
      <c r="A1065" s="13">
        <v>52822299</v>
      </c>
      <c r="B1065" s="11" t="s">
        <v>83</v>
      </c>
      <c r="C1065" s="1" t="s">
        <v>1227</v>
      </c>
      <c r="D1065" s="1" t="s">
        <v>47</v>
      </c>
      <c r="E1065" s="1" t="s">
        <v>16</v>
      </c>
    </row>
    <row r="1066" spans="1:5" x14ac:dyDescent="0.25">
      <c r="A1066" s="13">
        <v>52824971</v>
      </c>
      <c r="B1066" s="11" t="s">
        <v>116</v>
      </c>
      <c r="C1066" s="1" t="s">
        <v>1226</v>
      </c>
      <c r="D1066" s="1" t="s">
        <v>117</v>
      </c>
      <c r="E1066" s="1" t="s">
        <v>333</v>
      </c>
    </row>
    <row r="1067" spans="1:5" x14ac:dyDescent="0.25">
      <c r="A1067" s="13">
        <v>52830560</v>
      </c>
      <c r="B1067" s="11" t="s">
        <v>83</v>
      </c>
      <c r="C1067" s="1" t="s">
        <v>1225</v>
      </c>
      <c r="D1067" s="1" t="s">
        <v>47</v>
      </c>
      <c r="E1067" s="1" t="s">
        <v>17</v>
      </c>
    </row>
    <row r="1068" spans="1:5" x14ac:dyDescent="0.25">
      <c r="A1068" s="13">
        <v>52831239</v>
      </c>
      <c r="B1068" s="11" t="s">
        <v>84</v>
      </c>
      <c r="C1068" s="1" t="s">
        <v>1224</v>
      </c>
      <c r="D1068" s="1" t="s">
        <v>381</v>
      </c>
      <c r="E1068" s="1" t="s">
        <v>26</v>
      </c>
    </row>
    <row r="1069" spans="1:5" x14ac:dyDescent="0.25">
      <c r="A1069" s="13">
        <v>52837363</v>
      </c>
      <c r="B1069" s="11" t="s">
        <v>84</v>
      </c>
      <c r="C1069" s="1" t="s">
        <v>1223</v>
      </c>
      <c r="D1069" s="1" t="s">
        <v>38</v>
      </c>
      <c r="E1069" s="1" t="s">
        <v>168</v>
      </c>
    </row>
    <row r="1070" spans="1:5" x14ac:dyDescent="0.25">
      <c r="A1070" s="13">
        <v>52838263</v>
      </c>
      <c r="B1070" s="11" t="s">
        <v>83</v>
      </c>
      <c r="C1070" s="1" t="s">
        <v>1221</v>
      </c>
      <c r="D1070" s="1" t="s">
        <v>1222</v>
      </c>
      <c r="E1070" s="1" t="s">
        <v>272</v>
      </c>
    </row>
    <row r="1071" spans="1:5" x14ac:dyDescent="0.25">
      <c r="A1071" s="13">
        <v>52839274</v>
      </c>
      <c r="B1071" s="11" t="s">
        <v>83</v>
      </c>
      <c r="C1071" s="1" t="s">
        <v>1220</v>
      </c>
      <c r="D1071" s="1" t="s">
        <v>47</v>
      </c>
      <c r="E1071" s="1" t="s">
        <v>196</v>
      </c>
    </row>
    <row r="1072" spans="1:5" x14ac:dyDescent="0.25">
      <c r="A1072" s="13">
        <v>52841996</v>
      </c>
      <c r="B1072" s="11" t="s">
        <v>83</v>
      </c>
      <c r="C1072" s="1" t="s">
        <v>1218</v>
      </c>
      <c r="D1072" s="1" t="s">
        <v>1219</v>
      </c>
      <c r="E1072" s="1" t="s">
        <v>24</v>
      </c>
    </row>
    <row r="1073" spans="1:5" x14ac:dyDescent="0.25">
      <c r="A1073" s="13">
        <v>52844219</v>
      </c>
      <c r="B1073" s="11" t="s">
        <v>116</v>
      </c>
      <c r="C1073" s="1" t="s">
        <v>1217</v>
      </c>
      <c r="D1073" s="1" t="s">
        <v>117</v>
      </c>
      <c r="E1073" s="1" t="s">
        <v>263</v>
      </c>
    </row>
    <row r="1074" spans="1:5" x14ac:dyDescent="0.25">
      <c r="A1074" s="13">
        <v>52844682</v>
      </c>
      <c r="B1074" s="11" t="s">
        <v>116</v>
      </c>
      <c r="C1074" s="1" t="s">
        <v>1216</v>
      </c>
      <c r="D1074" s="1" t="s">
        <v>117</v>
      </c>
      <c r="E1074" s="1" t="s">
        <v>186</v>
      </c>
    </row>
    <row r="1075" spans="1:5" x14ac:dyDescent="0.25">
      <c r="A1075" s="13">
        <v>52846484</v>
      </c>
      <c r="B1075" s="11" t="s">
        <v>83</v>
      </c>
      <c r="C1075" s="1" t="s">
        <v>3148</v>
      </c>
      <c r="D1075" s="1" t="s">
        <v>3149</v>
      </c>
      <c r="E1075" s="1" t="s">
        <v>668</v>
      </c>
    </row>
    <row r="1076" spans="1:5" x14ac:dyDescent="0.25">
      <c r="A1076" s="13">
        <v>52847598</v>
      </c>
      <c r="B1076" s="11" t="s">
        <v>83</v>
      </c>
      <c r="C1076" s="1" t="s">
        <v>3232</v>
      </c>
      <c r="D1076" s="1" t="s">
        <v>40</v>
      </c>
      <c r="E1076" s="1" t="s">
        <v>23</v>
      </c>
    </row>
    <row r="1077" spans="1:5" x14ac:dyDescent="0.25">
      <c r="A1077" s="13">
        <v>52850506</v>
      </c>
      <c r="B1077" s="11" t="s">
        <v>84</v>
      </c>
      <c r="C1077" s="1" t="s">
        <v>1215</v>
      </c>
      <c r="D1077" s="1" t="s">
        <v>43</v>
      </c>
      <c r="E1077" s="1" t="s">
        <v>8</v>
      </c>
    </row>
    <row r="1078" spans="1:5" x14ac:dyDescent="0.25">
      <c r="A1078" s="13">
        <v>52851793</v>
      </c>
      <c r="B1078" s="11" t="s">
        <v>83</v>
      </c>
      <c r="C1078" s="1" t="s">
        <v>1214</v>
      </c>
      <c r="D1078" s="1" t="s">
        <v>40</v>
      </c>
      <c r="E1078" s="1" t="s">
        <v>23</v>
      </c>
    </row>
    <row r="1079" spans="1:5" x14ac:dyDescent="0.25">
      <c r="A1079" s="13">
        <v>52852196</v>
      </c>
      <c r="B1079" s="11" t="s">
        <v>83</v>
      </c>
      <c r="C1079" s="1" t="s">
        <v>3233</v>
      </c>
      <c r="D1079" s="1" t="s">
        <v>42</v>
      </c>
      <c r="E1079" s="1" t="s">
        <v>4</v>
      </c>
    </row>
    <row r="1080" spans="1:5" x14ac:dyDescent="0.25">
      <c r="A1080" s="13">
        <v>52859033</v>
      </c>
      <c r="B1080" s="11" t="s">
        <v>84</v>
      </c>
      <c r="C1080" s="1" t="s">
        <v>1213</v>
      </c>
      <c r="D1080" s="1" t="s">
        <v>43</v>
      </c>
      <c r="E1080" s="1" t="s">
        <v>3</v>
      </c>
    </row>
    <row r="1081" spans="1:5" x14ac:dyDescent="0.25">
      <c r="A1081" s="13">
        <v>52860766</v>
      </c>
      <c r="B1081" s="11" t="s">
        <v>84</v>
      </c>
      <c r="C1081" s="1" t="s">
        <v>3234</v>
      </c>
      <c r="D1081" s="1" t="s">
        <v>37</v>
      </c>
      <c r="E1081" s="1" t="s">
        <v>27</v>
      </c>
    </row>
    <row r="1082" spans="1:5" x14ac:dyDescent="0.25">
      <c r="A1082" s="13">
        <v>52861202</v>
      </c>
      <c r="B1082" s="11" t="s">
        <v>84</v>
      </c>
      <c r="C1082" s="1" t="s">
        <v>1212</v>
      </c>
      <c r="D1082" s="1" t="s">
        <v>38</v>
      </c>
      <c r="E1082" s="1" t="s">
        <v>12</v>
      </c>
    </row>
    <row r="1083" spans="1:5" x14ac:dyDescent="0.25">
      <c r="A1083" s="13">
        <v>52862103</v>
      </c>
      <c r="B1083" s="11" t="s">
        <v>116</v>
      </c>
      <c r="C1083" s="1" t="s">
        <v>1211</v>
      </c>
      <c r="D1083" s="1" t="s">
        <v>151</v>
      </c>
      <c r="E1083" s="1" t="s">
        <v>152</v>
      </c>
    </row>
    <row r="1084" spans="1:5" x14ac:dyDescent="0.25">
      <c r="A1084" s="13">
        <v>52869270</v>
      </c>
      <c r="B1084" s="11" t="s">
        <v>83</v>
      </c>
      <c r="C1084" s="1" t="s">
        <v>1210</v>
      </c>
      <c r="D1084" s="1" t="s">
        <v>47</v>
      </c>
      <c r="E1084" s="1" t="s">
        <v>242</v>
      </c>
    </row>
    <row r="1085" spans="1:5" x14ac:dyDescent="0.25">
      <c r="A1085" s="13">
        <v>52871426</v>
      </c>
      <c r="B1085" s="11" t="s">
        <v>116</v>
      </c>
      <c r="C1085" s="1" t="s">
        <v>1209</v>
      </c>
      <c r="D1085" s="1" t="s">
        <v>117</v>
      </c>
      <c r="E1085" s="1" t="s">
        <v>10</v>
      </c>
    </row>
    <row r="1086" spans="1:5" x14ac:dyDescent="0.25">
      <c r="A1086" s="13">
        <v>52871572</v>
      </c>
      <c r="B1086" s="11" t="s">
        <v>84</v>
      </c>
      <c r="C1086" s="1" t="s">
        <v>1208</v>
      </c>
      <c r="D1086" s="1" t="s">
        <v>185</v>
      </c>
      <c r="E1086" s="1" t="s">
        <v>127</v>
      </c>
    </row>
    <row r="1087" spans="1:5" x14ac:dyDescent="0.25">
      <c r="A1087" s="13">
        <v>52872640</v>
      </c>
      <c r="B1087" s="11" t="s">
        <v>116</v>
      </c>
      <c r="C1087" s="1" t="s">
        <v>1207</v>
      </c>
      <c r="D1087" s="1" t="s">
        <v>117</v>
      </c>
      <c r="E1087" s="1" t="s">
        <v>453</v>
      </c>
    </row>
    <row r="1088" spans="1:5" x14ac:dyDescent="0.25">
      <c r="A1088" s="13">
        <v>52875080</v>
      </c>
      <c r="B1088" s="11" t="s">
        <v>84</v>
      </c>
      <c r="C1088" s="1" t="s">
        <v>1206</v>
      </c>
      <c r="D1088" s="1" t="s">
        <v>38</v>
      </c>
      <c r="E1088" s="1" t="s">
        <v>5</v>
      </c>
    </row>
    <row r="1089" spans="1:5" x14ac:dyDescent="0.25">
      <c r="A1089" s="13">
        <v>52877518</v>
      </c>
      <c r="B1089" s="11" t="s">
        <v>84</v>
      </c>
      <c r="C1089" s="1" t="s">
        <v>1205</v>
      </c>
      <c r="D1089" s="1" t="s">
        <v>185</v>
      </c>
      <c r="E1089" s="1" t="s">
        <v>11</v>
      </c>
    </row>
    <row r="1090" spans="1:5" x14ac:dyDescent="0.25">
      <c r="A1090" s="13">
        <v>52879200</v>
      </c>
      <c r="B1090" s="11" t="s">
        <v>84</v>
      </c>
      <c r="C1090" s="1" t="s">
        <v>3235</v>
      </c>
      <c r="D1090" s="1" t="s">
        <v>38</v>
      </c>
      <c r="E1090" s="1" t="s">
        <v>8</v>
      </c>
    </row>
    <row r="1091" spans="1:5" x14ac:dyDescent="0.25">
      <c r="A1091" s="13">
        <v>52883918</v>
      </c>
      <c r="B1091" s="11" t="s">
        <v>116</v>
      </c>
      <c r="C1091" s="1" t="s">
        <v>1204</v>
      </c>
      <c r="D1091" s="1" t="s">
        <v>117</v>
      </c>
      <c r="E1091" s="1" t="s">
        <v>5</v>
      </c>
    </row>
    <row r="1092" spans="1:5" x14ac:dyDescent="0.25">
      <c r="A1092" s="13">
        <v>52885273</v>
      </c>
      <c r="B1092" s="11" t="s">
        <v>116</v>
      </c>
      <c r="C1092" s="1" t="s">
        <v>1203</v>
      </c>
      <c r="D1092" s="1" t="s">
        <v>117</v>
      </c>
      <c r="E1092" s="1" t="s">
        <v>205</v>
      </c>
    </row>
    <row r="1093" spans="1:5" x14ac:dyDescent="0.25">
      <c r="A1093" s="13">
        <v>52885874</v>
      </c>
      <c r="B1093" s="11" t="s">
        <v>83</v>
      </c>
      <c r="C1093" s="1" t="s">
        <v>1202</v>
      </c>
      <c r="D1093" s="1" t="s">
        <v>40</v>
      </c>
      <c r="E1093" s="1" t="s">
        <v>23</v>
      </c>
    </row>
    <row r="1094" spans="1:5" x14ac:dyDescent="0.25">
      <c r="A1094" s="13">
        <v>52886303</v>
      </c>
      <c r="B1094" s="11" t="s">
        <v>84</v>
      </c>
      <c r="C1094" s="1" t="s">
        <v>3674</v>
      </c>
      <c r="D1094" s="1" t="s">
        <v>38</v>
      </c>
      <c r="E1094" s="1" t="s">
        <v>3238</v>
      </c>
    </row>
    <row r="1095" spans="1:5" x14ac:dyDescent="0.25">
      <c r="A1095" s="13">
        <v>52886581</v>
      </c>
      <c r="B1095" s="11" t="s">
        <v>83</v>
      </c>
      <c r="C1095" s="1" t="s">
        <v>1201</v>
      </c>
      <c r="D1095" s="1" t="s">
        <v>47</v>
      </c>
      <c r="E1095" s="1" t="s">
        <v>11</v>
      </c>
    </row>
    <row r="1096" spans="1:5" x14ac:dyDescent="0.25">
      <c r="A1096" s="13">
        <v>52886620</v>
      </c>
      <c r="B1096" s="11" t="s">
        <v>83</v>
      </c>
      <c r="C1096" s="1" t="s">
        <v>1200</v>
      </c>
      <c r="D1096" s="1" t="s">
        <v>79</v>
      </c>
      <c r="E1096" s="1" t="s">
        <v>242</v>
      </c>
    </row>
    <row r="1097" spans="1:5" x14ac:dyDescent="0.25">
      <c r="A1097" s="13">
        <v>52890477</v>
      </c>
      <c r="B1097" s="11" t="s">
        <v>84</v>
      </c>
      <c r="C1097" s="1" t="s">
        <v>1199</v>
      </c>
      <c r="D1097" s="1" t="s">
        <v>43</v>
      </c>
      <c r="E1097" s="1" t="s">
        <v>10</v>
      </c>
    </row>
    <row r="1098" spans="1:5" x14ac:dyDescent="0.25">
      <c r="A1098" s="13">
        <v>52896326</v>
      </c>
      <c r="B1098" s="11" t="s">
        <v>84</v>
      </c>
      <c r="C1098" s="1" t="s">
        <v>1198</v>
      </c>
      <c r="D1098" s="1" t="s">
        <v>38</v>
      </c>
      <c r="E1098" s="1" t="s">
        <v>168</v>
      </c>
    </row>
    <row r="1099" spans="1:5" x14ac:dyDescent="0.25">
      <c r="A1099" s="13">
        <v>52897174</v>
      </c>
      <c r="B1099" s="11" t="s">
        <v>84</v>
      </c>
      <c r="C1099" s="1" t="s">
        <v>1197</v>
      </c>
      <c r="D1099" s="1" t="s">
        <v>131</v>
      </c>
      <c r="E1099" s="1" t="s">
        <v>131</v>
      </c>
    </row>
    <row r="1100" spans="1:5" x14ac:dyDescent="0.25">
      <c r="A1100" s="13">
        <v>52897786</v>
      </c>
      <c r="B1100" s="11" t="s">
        <v>116</v>
      </c>
      <c r="C1100" s="1" t="s">
        <v>1196</v>
      </c>
      <c r="D1100" s="1" t="s">
        <v>117</v>
      </c>
      <c r="E1100" s="1" t="s">
        <v>17</v>
      </c>
    </row>
    <row r="1101" spans="1:5" x14ac:dyDescent="0.25">
      <c r="A1101" s="13">
        <v>52899220</v>
      </c>
      <c r="B1101" s="11" t="s">
        <v>84</v>
      </c>
      <c r="C1101" s="1" t="s">
        <v>1195</v>
      </c>
      <c r="D1101" s="1" t="s">
        <v>38</v>
      </c>
      <c r="E1101" s="1" t="s">
        <v>12</v>
      </c>
    </row>
    <row r="1102" spans="1:5" x14ac:dyDescent="0.25">
      <c r="A1102" s="13">
        <v>52905042</v>
      </c>
      <c r="B1102" s="11" t="s">
        <v>83</v>
      </c>
      <c r="C1102" s="1" t="s">
        <v>1193</v>
      </c>
      <c r="D1102" s="1" t="s">
        <v>1194</v>
      </c>
      <c r="E1102" s="1" t="s">
        <v>1128</v>
      </c>
    </row>
    <row r="1103" spans="1:5" x14ac:dyDescent="0.25">
      <c r="A1103" s="13">
        <v>52906411</v>
      </c>
      <c r="B1103" s="11" t="s">
        <v>84</v>
      </c>
      <c r="C1103" s="1" t="s">
        <v>1192</v>
      </c>
      <c r="D1103" s="1" t="s">
        <v>38</v>
      </c>
      <c r="E1103" s="1" t="s">
        <v>12</v>
      </c>
    </row>
    <row r="1104" spans="1:5" x14ac:dyDescent="0.25">
      <c r="A1104" s="13">
        <v>52910272</v>
      </c>
      <c r="B1104" s="11" t="s">
        <v>116</v>
      </c>
      <c r="C1104" s="1" t="s">
        <v>1191</v>
      </c>
      <c r="D1104" s="1" t="s">
        <v>117</v>
      </c>
      <c r="E1104" s="1" t="s">
        <v>6</v>
      </c>
    </row>
    <row r="1105" spans="1:5" x14ac:dyDescent="0.25">
      <c r="A1105" s="13">
        <v>52912760</v>
      </c>
      <c r="B1105" s="11" t="s">
        <v>83</v>
      </c>
      <c r="C1105" s="1" t="s">
        <v>1190</v>
      </c>
      <c r="D1105" s="1" t="s">
        <v>51</v>
      </c>
      <c r="E1105" s="1" t="s">
        <v>20</v>
      </c>
    </row>
    <row r="1106" spans="1:5" x14ac:dyDescent="0.25">
      <c r="A1106" s="13">
        <v>52917482</v>
      </c>
      <c r="B1106" s="11" t="s">
        <v>116</v>
      </c>
      <c r="C1106" s="1" t="s">
        <v>1189</v>
      </c>
      <c r="D1106" s="1" t="s">
        <v>151</v>
      </c>
      <c r="E1106" s="1" t="s">
        <v>152</v>
      </c>
    </row>
    <row r="1107" spans="1:5" x14ac:dyDescent="0.25">
      <c r="A1107" s="13">
        <v>52918709</v>
      </c>
      <c r="B1107" s="11" t="s">
        <v>83</v>
      </c>
      <c r="C1107" s="1" t="s">
        <v>3560</v>
      </c>
      <c r="D1107" s="1" t="s">
        <v>48</v>
      </c>
      <c r="E1107" s="1" t="s">
        <v>196</v>
      </c>
    </row>
    <row r="1108" spans="1:5" x14ac:dyDescent="0.25">
      <c r="A1108" s="13">
        <v>52919113</v>
      </c>
      <c r="B1108" s="11" t="s">
        <v>116</v>
      </c>
      <c r="C1108" s="1" t="s">
        <v>1188</v>
      </c>
      <c r="D1108" s="1" t="s">
        <v>117</v>
      </c>
      <c r="E1108" s="1" t="s">
        <v>453</v>
      </c>
    </row>
    <row r="1109" spans="1:5" x14ac:dyDescent="0.25">
      <c r="A1109" s="13">
        <v>52926851</v>
      </c>
      <c r="B1109" s="11" t="s">
        <v>116</v>
      </c>
      <c r="C1109" s="1" t="s">
        <v>1187</v>
      </c>
      <c r="D1109" s="1" t="s">
        <v>117</v>
      </c>
      <c r="E1109" s="1" t="s">
        <v>120</v>
      </c>
    </row>
    <row r="1110" spans="1:5" x14ac:dyDescent="0.25">
      <c r="A1110" s="13">
        <v>52933302</v>
      </c>
      <c r="B1110" s="11" t="s">
        <v>83</v>
      </c>
      <c r="C1110" s="1" t="s">
        <v>3049</v>
      </c>
      <c r="D1110" s="1" t="s">
        <v>477</v>
      </c>
      <c r="E1110" s="1" t="s">
        <v>33</v>
      </c>
    </row>
    <row r="1111" spans="1:5" x14ac:dyDescent="0.25">
      <c r="A1111" s="13">
        <v>52933339</v>
      </c>
      <c r="B1111" s="11" t="s">
        <v>84</v>
      </c>
      <c r="C1111" s="1" t="s">
        <v>3115</v>
      </c>
      <c r="D1111" s="1" t="s">
        <v>38</v>
      </c>
      <c r="E1111" s="1" t="s">
        <v>328</v>
      </c>
    </row>
    <row r="1112" spans="1:5" x14ac:dyDescent="0.25">
      <c r="A1112" s="13">
        <v>52936361</v>
      </c>
      <c r="B1112" s="11" t="s">
        <v>83</v>
      </c>
      <c r="C1112" s="1" t="s">
        <v>1186</v>
      </c>
      <c r="D1112" s="1" t="s">
        <v>47</v>
      </c>
      <c r="E1112" s="1" t="s">
        <v>27</v>
      </c>
    </row>
    <row r="1113" spans="1:5" x14ac:dyDescent="0.25">
      <c r="A1113" s="13">
        <v>52953236</v>
      </c>
      <c r="B1113" s="11" t="s">
        <v>84</v>
      </c>
      <c r="C1113" s="1" t="s">
        <v>1185</v>
      </c>
      <c r="D1113" s="1" t="s">
        <v>38</v>
      </c>
      <c r="E1113" s="1" t="s">
        <v>10</v>
      </c>
    </row>
    <row r="1114" spans="1:5" x14ac:dyDescent="0.25">
      <c r="A1114" s="13">
        <v>52955611</v>
      </c>
      <c r="B1114" s="11" t="s">
        <v>83</v>
      </c>
      <c r="C1114" s="1" t="s">
        <v>1184</v>
      </c>
      <c r="D1114" s="1" t="s">
        <v>141</v>
      </c>
      <c r="E1114" s="1" t="s">
        <v>16</v>
      </c>
    </row>
    <row r="1115" spans="1:5" x14ac:dyDescent="0.25">
      <c r="A1115" s="13">
        <v>52957274</v>
      </c>
      <c r="B1115" s="11" t="s">
        <v>116</v>
      </c>
      <c r="C1115" s="1" t="s">
        <v>1183</v>
      </c>
      <c r="D1115" s="1" t="s">
        <v>117</v>
      </c>
      <c r="E1115" s="1" t="s">
        <v>186</v>
      </c>
    </row>
    <row r="1116" spans="1:5" x14ac:dyDescent="0.25">
      <c r="A1116" s="13">
        <v>52959629</v>
      </c>
      <c r="B1116" s="11" t="s">
        <v>116</v>
      </c>
      <c r="C1116" s="1" t="s">
        <v>1182</v>
      </c>
      <c r="D1116" s="1" t="s">
        <v>151</v>
      </c>
      <c r="E1116" s="1" t="s">
        <v>152</v>
      </c>
    </row>
    <row r="1117" spans="1:5" x14ac:dyDescent="0.25">
      <c r="A1117" s="13">
        <v>52960359</v>
      </c>
      <c r="B1117" s="11" t="s">
        <v>116</v>
      </c>
      <c r="C1117" s="1" t="s">
        <v>1181</v>
      </c>
      <c r="D1117" s="1" t="s">
        <v>117</v>
      </c>
      <c r="E1117" s="1" t="s">
        <v>6</v>
      </c>
    </row>
    <row r="1118" spans="1:5" x14ac:dyDescent="0.25">
      <c r="A1118" s="13">
        <v>52960824</v>
      </c>
      <c r="B1118" s="11" t="s">
        <v>84</v>
      </c>
      <c r="C1118" s="1" t="s">
        <v>1180</v>
      </c>
      <c r="D1118" s="1" t="s">
        <v>203</v>
      </c>
      <c r="E1118" s="1" t="s">
        <v>179</v>
      </c>
    </row>
    <row r="1119" spans="1:5" x14ac:dyDescent="0.25">
      <c r="A1119" s="13">
        <v>52961007</v>
      </c>
      <c r="B1119" s="11" t="s">
        <v>83</v>
      </c>
      <c r="C1119" s="1" t="s">
        <v>1179</v>
      </c>
      <c r="D1119" s="1" t="s">
        <v>40</v>
      </c>
      <c r="E1119" s="1" t="s">
        <v>23</v>
      </c>
    </row>
    <row r="1120" spans="1:5" x14ac:dyDescent="0.25">
      <c r="A1120" s="13">
        <v>52961012</v>
      </c>
      <c r="B1120" s="11" t="s">
        <v>84</v>
      </c>
      <c r="C1120" s="1" t="s">
        <v>3236</v>
      </c>
      <c r="D1120" s="1" t="s">
        <v>43</v>
      </c>
      <c r="E1120" s="1" t="s">
        <v>3120</v>
      </c>
    </row>
    <row r="1121" spans="1:5" x14ac:dyDescent="0.25">
      <c r="A1121" s="13">
        <v>52962540</v>
      </c>
      <c r="B1121" s="11" t="s">
        <v>116</v>
      </c>
      <c r="C1121" s="1" t="s">
        <v>1178</v>
      </c>
      <c r="D1121" s="1" t="s">
        <v>117</v>
      </c>
      <c r="E1121" s="1" t="s">
        <v>205</v>
      </c>
    </row>
    <row r="1122" spans="1:5" x14ac:dyDescent="0.25">
      <c r="A1122" s="13">
        <v>52965463</v>
      </c>
      <c r="B1122" s="11" t="s">
        <v>84</v>
      </c>
      <c r="C1122" s="1" t="s">
        <v>1177</v>
      </c>
      <c r="D1122" s="1" t="s">
        <v>3561</v>
      </c>
      <c r="E1122" s="1" t="s">
        <v>939</v>
      </c>
    </row>
    <row r="1123" spans="1:5" x14ac:dyDescent="0.25">
      <c r="A1123" s="13">
        <v>52965808</v>
      </c>
      <c r="B1123" s="11" t="s">
        <v>116</v>
      </c>
      <c r="C1123" s="1" t="s">
        <v>1176</v>
      </c>
      <c r="D1123" s="1" t="s">
        <v>117</v>
      </c>
      <c r="E1123" s="1" t="s">
        <v>453</v>
      </c>
    </row>
    <row r="1124" spans="1:5" x14ac:dyDescent="0.25">
      <c r="A1124" s="13">
        <v>52966309</v>
      </c>
      <c r="B1124" s="11" t="s">
        <v>83</v>
      </c>
      <c r="C1124" s="1" t="s">
        <v>1175</v>
      </c>
      <c r="D1124" s="1" t="s">
        <v>47</v>
      </c>
      <c r="E1124" s="1" t="s">
        <v>16</v>
      </c>
    </row>
    <row r="1125" spans="1:5" x14ac:dyDescent="0.25">
      <c r="A1125" s="13">
        <v>52967038</v>
      </c>
      <c r="B1125" s="11" t="s">
        <v>116</v>
      </c>
      <c r="C1125" s="1" t="s">
        <v>1174</v>
      </c>
      <c r="D1125" s="1" t="s">
        <v>117</v>
      </c>
      <c r="E1125" s="1" t="s">
        <v>147</v>
      </c>
    </row>
    <row r="1126" spans="1:5" x14ac:dyDescent="0.25">
      <c r="A1126" s="13">
        <v>52968673</v>
      </c>
      <c r="B1126" s="11" t="s">
        <v>83</v>
      </c>
      <c r="C1126" s="1" t="s">
        <v>1173</v>
      </c>
      <c r="D1126" s="1" t="s">
        <v>47</v>
      </c>
      <c r="E1126" s="1" t="s">
        <v>19</v>
      </c>
    </row>
    <row r="1127" spans="1:5" x14ac:dyDescent="0.25">
      <c r="A1127" s="13">
        <v>52975492</v>
      </c>
      <c r="B1127" s="11" t="s">
        <v>84</v>
      </c>
      <c r="C1127" s="1" t="s">
        <v>1172</v>
      </c>
      <c r="D1127" s="1" t="s">
        <v>43</v>
      </c>
      <c r="E1127" s="1" t="s">
        <v>8</v>
      </c>
    </row>
    <row r="1128" spans="1:5" x14ac:dyDescent="0.25">
      <c r="A1128" s="13">
        <v>52976228</v>
      </c>
      <c r="B1128" s="11" t="s">
        <v>84</v>
      </c>
      <c r="C1128" s="1" t="s">
        <v>1171</v>
      </c>
      <c r="D1128" s="1" t="s">
        <v>43</v>
      </c>
      <c r="E1128" s="1" t="s">
        <v>12</v>
      </c>
    </row>
    <row r="1129" spans="1:5" x14ac:dyDescent="0.25">
      <c r="A1129" s="13">
        <v>52976570</v>
      </c>
      <c r="B1129" s="11" t="s">
        <v>83</v>
      </c>
      <c r="C1129" s="1" t="s">
        <v>1169</v>
      </c>
      <c r="D1129" s="1" t="s">
        <v>1170</v>
      </c>
      <c r="E1129" s="1" t="s">
        <v>248</v>
      </c>
    </row>
    <row r="1130" spans="1:5" x14ac:dyDescent="0.25">
      <c r="A1130" s="13">
        <v>52980514</v>
      </c>
      <c r="B1130" s="11" t="s">
        <v>84</v>
      </c>
      <c r="C1130" s="1" t="s">
        <v>3099</v>
      </c>
      <c r="D1130" s="1" t="s">
        <v>38</v>
      </c>
      <c r="E1130" s="1" t="s">
        <v>10</v>
      </c>
    </row>
    <row r="1131" spans="1:5" x14ac:dyDescent="0.25">
      <c r="A1131" s="13">
        <v>52982720</v>
      </c>
      <c r="B1131" s="11" t="s">
        <v>84</v>
      </c>
      <c r="C1131" s="1" t="s">
        <v>3237</v>
      </c>
      <c r="D1131" s="1" t="s">
        <v>43</v>
      </c>
      <c r="E1131" s="1" t="s">
        <v>3238</v>
      </c>
    </row>
    <row r="1132" spans="1:5" x14ac:dyDescent="0.25">
      <c r="A1132" s="13">
        <v>52988359</v>
      </c>
      <c r="B1132" s="11" t="s">
        <v>116</v>
      </c>
      <c r="C1132" s="1" t="s">
        <v>1168</v>
      </c>
      <c r="D1132" s="1" t="s">
        <v>117</v>
      </c>
      <c r="E1132" s="1" t="s">
        <v>12</v>
      </c>
    </row>
    <row r="1133" spans="1:5" x14ac:dyDescent="0.25">
      <c r="A1133" s="13">
        <v>52988865</v>
      </c>
      <c r="B1133" s="11" t="s">
        <v>84</v>
      </c>
      <c r="C1133" s="1" t="s">
        <v>3659</v>
      </c>
      <c r="D1133" s="1" t="s">
        <v>3540</v>
      </c>
      <c r="E1133" s="1" t="s">
        <v>1</v>
      </c>
    </row>
    <row r="1134" spans="1:5" x14ac:dyDescent="0.25">
      <c r="A1134" s="13">
        <v>52990699</v>
      </c>
      <c r="B1134" s="11" t="s">
        <v>116</v>
      </c>
      <c r="C1134" s="1" t="s">
        <v>1167</v>
      </c>
      <c r="D1134" s="1" t="s">
        <v>117</v>
      </c>
      <c r="E1134" s="1" t="s">
        <v>118</v>
      </c>
    </row>
    <row r="1135" spans="1:5" x14ac:dyDescent="0.25">
      <c r="A1135" s="13">
        <v>52995775</v>
      </c>
      <c r="B1135" s="11" t="s">
        <v>84</v>
      </c>
      <c r="C1135" s="1" t="s">
        <v>1166</v>
      </c>
      <c r="D1135" s="1" t="s">
        <v>38</v>
      </c>
      <c r="E1135" s="1" t="s">
        <v>14</v>
      </c>
    </row>
    <row r="1136" spans="1:5" x14ac:dyDescent="0.25">
      <c r="A1136" s="13">
        <v>52996136</v>
      </c>
      <c r="B1136" s="11" t="s">
        <v>84</v>
      </c>
      <c r="C1136" s="1" t="s">
        <v>1165</v>
      </c>
      <c r="D1136" s="1" t="s">
        <v>38</v>
      </c>
      <c r="E1136" s="1" t="s">
        <v>86</v>
      </c>
    </row>
    <row r="1137" spans="1:5" x14ac:dyDescent="0.25">
      <c r="A1137" s="13">
        <v>53007120</v>
      </c>
      <c r="B1137" s="11" t="s">
        <v>83</v>
      </c>
      <c r="C1137" s="1" t="s">
        <v>1164</v>
      </c>
      <c r="D1137" s="1" t="s">
        <v>47</v>
      </c>
      <c r="E1137" s="1" t="s">
        <v>27</v>
      </c>
    </row>
    <row r="1138" spans="1:5" x14ac:dyDescent="0.25">
      <c r="A1138" s="13">
        <v>53042113</v>
      </c>
      <c r="B1138" s="11" t="s">
        <v>83</v>
      </c>
      <c r="C1138" s="1" t="s">
        <v>3239</v>
      </c>
      <c r="D1138" s="1" t="s">
        <v>48</v>
      </c>
      <c r="E1138" s="1" t="s">
        <v>19</v>
      </c>
    </row>
    <row r="1139" spans="1:5" x14ac:dyDescent="0.25">
      <c r="A1139" s="13">
        <v>53045127</v>
      </c>
      <c r="B1139" s="11" t="s">
        <v>116</v>
      </c>
      <c r="C1139" s="1" t="s">
        <v>1163</v>
      </c>
      <c r="D1139" s="1" t="s">
        <v>117</v>
      </c>
      <c r="E1139" s="1" t="s">
        <v>263</v>
      </c>
    </row>
    <row r="1140" spans="1:5" x14ac:dyDescent="0.25">
      <c r="A1140" s="13">
        <v>53049415</v>
      </c>
      <c r="B1140" s="11" t="s">
        <v>84</v>
      </c>
      <c r="C1140" s="1" t="s">
        <v>1161</v>
      </c>
      <c r="D1140" s="1" t="s">
        <v>1162</v>
      </c>
      <c r="E1140" s="1" t="s">
        <v>142</v>
      </c>
    </row>
    <row r="1141" spans="1:5" x14ac:dyDescent="0.25">
      <c r="A1141" s="13">
        <v>53050958</v>
      </c>
      <c r="B1141" s="11" t="s">
        <v>84</v>
      </c>
      <c r="C1141" s="1" t="s">
        <v>1160</v>
      </c>
      <c r="D1141" s="1" t="s">
        <v>43</v>
      </c>
      <c r="E1141" s="1" t="s">
        <v>12</v>
      </c>
    </row>
    <row r="1142" spans="1:5" x14ac:dyDescent="0.25">
      <c r="A1142" s="13">
        <v>53052836</v>
      </c>
      <c r="B1142" s="11" t="s">
        <v>84</v>
      </c>
      <c r="C1142" s="1" t="s">
        <v>1159</v>
      </c>
      <c r="D1142" s="1" t="s">
        <v>36</v>
      </c>
      <c r="E1142" s="1" t="s">
        <v>17</v>
      </c>
    </row>
    <row r="1143" spans="1:5" x14ac:dyDescent="0.25">
      <c r="A1143" s="13">
        <v>53053287</v>
      </c>
      <c r="B1143" s="11" t="s">
        <v>84</v>
      </c>
      <c r="C1143" s="1" t="s">
        <v>3240</v>
      </c>
      <c r="D1143" s="1" t="s">
        <v>38</v>
      </c>
      <c r="E1143" s="1" t="s">
        <v>5</v>
      </c>
    </row>
    <row r="1144" spans="1:5" x14ac:dyDescent="0.25">
      <c r="A1144" s="13">
        <v>53054209</v>
      </c>
      <c r="B1144" s="11" t="s">
        <v>109</v>
      </c>
      <c r="C1144" s="1" t="s">
        <v>1157</v>
      </c>
      <c r="D1144" s="1" t="s">
        <v>1158</v>
      </c>
      <c r="E1144" s="1" t="s">
        <v>1</v>
      </c>
    </row>
    <row r="1145" spans="1:5" x14ac:dyDescent="0.25">
      <c r="A1145" s="13">
        <v>53071353</v>
      </c>
      <c r="B1145" s="11" t="s">
        <v>83</v>
      </c>
      <c r="C1145" s="1" t="s">
        <v>1156</v>
      </c>
      <c r="D1145" s="1" t="s">
        <v>47</v>
      </c>
      <c r="E1145" s="1" t="s">
        <v>123</v>
      </c>
    </row>
    <row r="1146" spans="1:5" x14ac:dyDescent="0.25">
      <c r="A1146" s="13">
        <v>53073271</v>
      </c>
      <c r="B1146" s="11" t="s">
        <v>83</v>
      </c>
      <c r="C1146" s="1" t="s">
        <v>1155</v>
      </c>
      <c r="D1146" s="1" t="s">
        <v>47</v>
      </c>
      <c r="E1146" s="1" t="s">
        <v>142</v>
      </c>
    </row>
    <row r="1147" spans="1:5" x14ac:dyDescent="0.25">
      <c r="A1147" s="13">
        <v>53074557</v>
      </c>
      <c r="B1147" s="11" t="s">
        <v>84</v>
      </c>
      <c r="C1147" s="1" t="s">
        <v>1154</v>
      </c>
      <c r="D1147" s="1" t="s">
        <v>36</v>
      </c>
      <c r="E1147" s="1" t="s">
        <v>17</v>
      </c>
    </row>
    <row r="1148" spans="1:5" x14ac:dyDescent="0.25">
      <c r="A1148" s="13">
        <v>53075646</v>
      </c>
      <c r="B1148" s="11" t="s">
        <v>83</v>
      </c>
      <c r="C1148" s="1" t="s">
        <v>3241</v>
      </c>
      <c r="D1148" s="1" t="s">
        <v>48</v>
      </c>
      <c r="E1148" s="1" t="s">
        <v>19</v>
      </c>
    </row>
    <row r="1149" spans="1:5" x14ac:dyDescent="0.25">
      <c r="A1149" s="13">
        <v>53076522</v>
      </c>
      <c r="B1149" s="11" t="s">
        <v>83</v>
      </c>
      <c r="C1149" s="1" t="s">
        <v>1153</v>
      </c>
      <c r="D1149" s="1" t="s">
        <v>47</v>
      </c>
      <c r="E1149" s="1" t="s">
        <v>16</v>
      </c>
    </row>
    <row r="1150" spans="1:5" x14ac:dyDescent="0.25">
      <c r="A1150" s="13">
        <v>53079897</v>
      </c>
      <c r="B1150" s="11" t="s">
        <v>116</v>
      </c>
      <c r="C1150" s="1" t="s">
        <v>1152</v>
      </c>
      <c r="D1150" s="1" t="s">
        <v>117</v>
      </c>
      <c r="E1150" s="1" t="s">
        <v>232</v>
      </c>
    </row>
    <row r="1151" spans="1:5" x14ac:dyDescent="0.25">
      <c r="A1151" s="13">
        <v>53084225</v>
      </c>
      <c r="B1151" s="11" t="s">
        <v>83</v>
      </c>
      <c r="C1151" s="1" t="s">
        <v>1150</v>
      </c>
      <c r="D1151" s="1" t="s">
        <v>1151</v>
      </c>
      <c r="E1151" s="1" t="s">
        <v>495</v>
      </c>
    </row>
    <row r="1152" spans="1:5" x14ac:dyDescent="0.25">
      <c r="A1152" s="13">
        <v>53089313</v>
      </c>
      <c r="B1152" s="11" t="s">
        <v>116</v>
      </c>
      <c r="C1152" s="1" t="s">
        <v>1149</v>
      </c>
      <c r="D1152" s="1" t="s">
        <v>117</v>
      </c>
      <c r="E1152" s="1" t="s">
        <v>11</v>
      </c>
    </row>
    <row r="1153" spans="1:5" x14ac:dyDescent="0.25">
      <c r="A1153" s="13">
        <v>53089882</v>
      </c>
      <c r="B1153" s="11" t="s">
        <v>83</v>
      </c>
      <c r="C1153" s="1" t="s">
        <v>1148</v>
      </c>
      <c r="D1153" s="1" t="s">
        <v>59</v>
      </c>
      <c r="E1153" s="1" t="s">
        <v>196</v>
      </c>
    </row>
    <row r="1154" spans="1:5" x14ac:dyDescent="0.25">
      <c r="A1154" s="13">
        <v>53090183</v>
      </c>
      <c r="B1154" s="11" t="s">
        <v>116</v>
      </c>
      <c r="C1154" s="1" t="s">
        <v>1147</v>
      </c>
      <c r="D1154" s="1" t="s">
        <v>117</v>
      </c>
      <c r="E1154" s="1" t="s">
        <v>127</v>
      </c>
    </row>
    <row r="1155" spans="1:5" x14ac:dyDescent="0.25">
      <c r="A1155" s="13">
        <v>53090775</v>
      </c>
      <c r="B1155" s="11" t="s">
        <v>83</v>
      </c>
      <c r="C1155" s="1" t="s">
        <v>1146</v>
      </c>
      <c r="D1155" s="1" t="s">
        <v>47</v>
      </c>
      <c r="E1155" s="1" t="s">
        <v>367</v>
      </c>
    </row>
    <row r="1156" spans="1:5" x14ac:dyDescent="0.25">
      <c r="A1156" s="13">
        <v>53100248</v>
      </c>
      <c r="B1156" s="11" t="s">
        <v>116</v>
      </c>
      <c r="C1156" s="1" t="s">
        <v>1145</v>
      </c>
      <c r="D1156" s="1" t="s">
        <v>117</v>
      </c>
      <c r="E1156" s="1" t="s">
        <v>10</v>
      </c>
    </row>
    <row r="1157" spans="1:5" x14ac:dyDescent="0.25">
      <c r="A1157" s="13">
        <v>53103304</v>
      </c>
      <c r="B1157" s="11" t="s">
        <v>83</v>
      </c>
      <c r="C1157" s="1" t="s">
        <v>1143</v>
      </c>
      <c r="D1157" s="1" t="s">
        <v>1144</v>
      </c>
      <c r="E1157" s="1" t="s">
        <v>24</v>
      </c>
    </row>
    <row r="1158" spans="1:5" x14ac:dyDescent="0.25">
      <c r="A1158" s="13">
        <v>53103610</v>
      </c>
      <c r="B1158" s="11" t="s">
        <v>83</v>
      </c>
      <c r="C1158" s="1" t="s">
        <v>1142</v>
      </c>
      <c r="D1158" s="1" t="s">
        <v>48</v>
      </c>
      <c r="E1158" s="1" t="s">
        <v>19</v>
      </c>
    </row>
    <row r="1159" spans="1:5" x14ac:dyDescent="0.25">
      <c r="A1159" s="13">
        <v>53103983</v>
      </c>
      <c r="B1159" s="11" t="s">
        <v>84</v>
      </c>
      <c r="C1159" s="1" t="s">
        <v>1141</v>
      </c>
      <c r="D1159" s="1" t="s">
        <v>151</v>
      </c>
      <c r="E1159" s="1" t="s">
        <v>17</v>
      </c>
    </row>
    <row r="1160" spans="1:5" x14ac:dyDescent="0.25">
      <c r="A1160" s="13">
        <v>53107684</v>
      </c>
      <c r="B1160" s="11" t="s">
        <v>83</v>
      </c>
      <c r="C1160" s="1" t="s">
        <v>1140</v>
      </c>
      <c r="D1160" s="1" t="s">
        <v>47</v>
      </c>
      <c r="E1160" s="1" t="s">
        <v>21</v>
      </c>
    </row>
    <row r="1161" spans="1:5" x14ac:dyDescent="0.25">
      <c r="A1161" s="13">
        <v>53108138</v>
      </c>
      <c r="B1161" s="11" t="s">
        <v>116</v>
      </c>
      <c r="C1161" s="1" t="s">
        <v>1139</v>
      </c>
      <c r="D1161" s="1" t="s">
        <v>117</v>
      </c>
      <c r="E1161" s="1" t="s">
        <v>491</v>
      </c>
    </row>
    <row r="1162" spans="1:5" x14ac:dyDescent="0.25">
      <c r="A1162" s="13">
        <v>53108411</v>
      </c>
      <c r="B1162" s="11" t="s">
        <v>84</v>
      </c>
      <c r="C1162" s="1" t="s">
        <v>3242</v>
      </c>
      <c r="D1162" s="1" t="s">
        <v>38</v>
      </c>
      <c r="E1162" s="1" t="s">
        <v>7</v>
      </c>
    </row>
    <row r="1163" spans="1:5" x14ac:dyDescent="0.25">
      <c r="A1163" s="13">
        <v>53119786</v>
      </c>
      <c r="B1163" s="11" t="s">
        <v>83</v>
      </c>
      <c r="C1163" s="1" t="s">
        <v>1138</v>
      </c>
      <c r="D1163" s="1" t="s">
        <v>47</v>
      </c>
      <c r="E1163" s="1" t="s">
        <v>16</v>
      </c>
    </row>
    <row r="1164" spans="1:5" x14ac:dyDescent="0.25">
      <c r="A1164" s="13">
        <v>53121070</v>
      </c>
      <c r="B1164" s="11" t="s">
        <v>116</v>
      </c>
      <c r="C1164" s="1" t="s">
        <v>1137</v>
      </c>
      <c r="D1164" s="1" t="s">
        <v>117</v>
      </c>
      <c r="E1164" s="1" t="s">
        <v>86</v>
      </c>
    </row>
    <row r="1165" spans="1:5" x14ac:dyDescent="0.25">
      <c r="A1165" s="13">
        <v>53121125</v>
      </c>
      <c r="B1165" s="11" t="s">
        <v>83</v>
      </c>
      <c r="C1165" s="1" t="s">
        <v>1136</v>
      </c>
      <c r="D1165" s="1" t="s">
        <v>1077</v>
      </c>
      <c r="E1165" s="1" t="s">
        <v>21</v>
      </c>
    </row>
    <row r="1166" spans="1:5" x14ac:dyDescent="0.25">
      <c r="A1166" s="13">
        <v>53123107</v>
      </c>
      <c r="B1166" s="11" t="s">
        <v>116</v>
      </c>
      <c r="C1166" s="1" t="s">
        <v>1135</v>
      </c>
      <c r="D1166" s="1" t="s">
        <v>117</v>
      </c>
      <c r="E1166" s="1" t="s">
        <v>179</v>
      </c>
    </row>
    <row r="1167" spans="1:5" x14ac:dyDescent="0.25">
      <c r="A1167" s="13">
        <v>53124024</v>
      </c>
      <c r="B1167" s="11" t="s">
        <v>84</v>
      </c>
      <c r="C1167" s="1" t="s">
        <v>1134</v>
      </c>
      <c r="D1167" s="1" t="s">
        <v>38</v>
      </c>
      <c r="E1167" s="1" t="s">
        <v>12</v>
      </c>
    </row>
    <row r="1168" spans="1:5" x14ac:dyDescent="0.25">
      <c r="A1168" s="13">
        <v>53132498</v>
      </c>
      <c r="B1168" s="11" t="s">
        <v>84</v>
      </c>
      <c r="C1168" s="1" t="s">
        <v>1133</v>
      </c>
      <c r="D1168" s="1" t="s">
        <v>43</v>
      </c>
      <c r="E1168" s="1" t="s">
        <v>11</v>
      </c>
    </row>
    <row r="1169" spans="1:5" x14ac:dyDescent="0.25">
      <c r="A1169" s="13">
        <v>53133605</v>
      </c>
      <c r="B1169" s="11" t="s">
        <v>83</v>
      </c>
      <c r="C1169" s="1" t="s">
        <v>1132</v>
      </c>
      <c r="D1169" s="1" t="s">
        <v>47</v>
      </c>
      <c r="E1169" s="1" t="s">
        <v>142</v>
      </c>
    </row>
    <row r="1170" spans="1:5" x14ac:dyDescent="0.25">
      <c r="A1170" s="13">
        <v>53154293</v>
      </c>
      <c r="B1170" s="11" t="s">
        <v>83</v>
      </c>
      <c r="C1170" s="1" t="s">
        <v>1131</v>
      </c>
      <c r="D1170" s="1" t="s">
        <v>42</v>
      </c>
      <c r="E1170" s="1" t="s">
        <v>4</v>
      </c>
    </row>
    <row r="1171" spans="1:5" x14ac:dyDescent="0.25">
      <c r="A1171" s="13">
        <v>53154491</v>
      </c>
      <c r="B1171" s="11" t="s">
        <v>84</v>
      </c>
      <c r="C1171" s="1" t="s">
        <v>3243</v>
      </c>
      <c r="D1171" s="1" t="s">
        <v>38</v>
      </c>
      <c r="E1171" s="1" t="s">
        <v>10</v>
      </c>
    </row>
    <row r="1172" spans="1:5" x14ac:dyDescent="0.25">
      <c r="A1172" s="13">
        <v>53160009</v>
      </c>
      <c r="B1172" s="11" t="s">
        <v>83</v>
      </c>
      <c r="C1172" s="1" t="s">
        <v>1130</v>
      </c>
      <c r="D1172" s="1" t="s">
        <v>464</v>
      </c>
      <c r="E1172" s="1" t="s">
        <v>19</v>
      </c>
    </row>
    <row r="1173" spans="1:5" x14ac:dyDescent="0.25">
      <c r="A1173" s="13">
        <v>53160847</v>
      </c>
      <c r="B1173" s="11" t="s">
        <v>83</v>
      </c>
      <c r="C1173" s="1" t="s">
        <v>1129</v>
      </c>
      <c r="D1173" s="1" t="s">
        <v>50</v>
      </c>
      <c r="E1173" s="1" t="s">
        <v>21</v>
      </c>
    </row>
    <row r="1174" spans="1:5" x14ac:dyDescent="0.25">
      <c r="A1174" s="13">
        <v>53177707</v>
      </c>
      <c r="B1174" s="11" t="s">
        <v>109</v>
      </c>
      <c r="C1174" s="1" t="s">
        <v>1126</v>
      </c>
      <c r="D1174" s="1" t="s">
        <v>1127</v>
      </c>
      <c r="E1174" s="1" t="s">
        <v>1128</v>
      </c>
    </row>
    <row r="1175" spans="1:5" x14ac:dyDescent="0.25">
      <c r="A1175" s="13">
        <v>53891507</v>
      </c>
      <c r="B1175" s="11" t="s">
        <v>84</v>
      </c>
      <c r="C1175" s="1" t="s">
        <v>1125</v>
      </c>
      <c r="D1175" s="1" t="s">
        <v>381</v>
      </c>
      <c r="E1175" s="1" t="s">
        <v>26</v>
      </c>
    </row>
    <row r="1176" spans="1:5" x14ac:dyDescent="0.25">
      <c r="A1176" s="13">
        <v>53891955</v>
      </c>
      <c r="B1176" s="11" t="s">
        <v>83</v>
      </c>
      <c r="C1176" s="1" t="s">
        <v>1124</v>
      </c>
      <c r="D1176" s="1" t="s">
        <v>47</v>
      </c>
      <c r="E1176" s="1" t="s">
        <v>17</v>
      </c>
    </row>
    <row r="1177" spans="1:5" x14ac:dyDescent="0.25">
      <c r="A1177" s="13">
        <v>53892845</v>
      </c>
      <c r="B1177" s="11" t="s">
        <v>84</v>
      </c>
      <c r="C1177" s="1" t="s">
        <v>1123</v>
      </c>
      <c r="D1177" s="1" t="s">
        <v>38</v>
      </c>
      <c r="E1177" s="1" t="s">
        <v>12</v>
      </c>
    </row>
    <row r="1178" spans="1:5" x14ac:dyDescent="0.25">
      <c r="A1178" s="13">
        <v>53931432</v>
      </c>
      <c r="B1178" s="11" t="s">
        <v>84</v>
      </c>
      <c r="C1178" s="1" t="s">
        <v>1122</v>
      </c>
      <c r="D1178" s="1" t="s">
        <v>38</v>
      </c>
      <c r="E1178" s="1" t="s">
        <v>12</v>
      </c>
    </row>
    <row r="1179" spans="1:5" x14ac:dyDescent="0.25">
      <c r="A1179" s="13">
        <v>53932358</v>
      </c>
      <c r="B1179" s="11" t="s">
        <v>83</v>
      </c>
      <c r="C1179" s="1" t="s">
        <v>3080</v>
      </c>
      <c r="D1179" s="1" t="s">
        <v>35</v>
      </c>
      <c r="E1179" s="1" t="s">
        <v>210</v>
      </c>
    </row>
    <row r="1180" spans="1:5" x14ac:dyDescent="0.25">
      <c r="A1180" s="13">
        <v>55158991</v>
      </c>
      <c r="B1180" s="11" t="s">
        <v>83</v>
      </c>
      <c r="C1180" s="1" t="s">
        <v>1119</v>
      </c>
      <c r="D1180" s="1" t="s">
        <v>40</v>
      </c>
      <c r="E1180" s="1" t="s">
        <v>23</v>
      </c>
    </row>
    <row r="1181" spans="1:5" x14ac:dyDescent="0.25">
      <c r="A1181" s="13">
        <v>55169211</v>
      </c>
      <c r="B1181" s="11" t="s">
        <v>83</v>
      </c>
      <c r="C1181" s="1" t="s">
        <v>1117</v>
      </c>
      <c r="D1181" s="1" t="s">
        <v>1118</v>
      </c>
      <c r="E1181" s="1" t="s">
        <v>21</v>
      </c>
    </row>
    <row r="1182" spans="1:5" x14ac:dyDescent="0.25">
      <c r="A1182" s="13">
        <v>57434124</v>
      </c>
      <c r="B1182" s="11" t="s">
        <v>116</v>
      </c>
      <c r="C1182" s="1" t="s">
        <v>1115</v>
      </c>
      <c r="D1182" s="1" t="s">
        <v>117</v>
      </c>
      <c r="E1182" s="1" t="s">
        <v>3</v>
      </c>
    </row>
    <row r="1183" spans="1:5" x14ac:dyDescent="0.25">
      <c r="A1183" s="13">
        <v>59314531</v>
      </c>
      <c r="B1183" s="11" t="s">
        <v>116</v>
      </c>
      <c r="C1183" s="1" t="s">
        <v>1112</v>
      </c>
      <c r="D1183" s="1" t="s">
        <v>117</v>
      </c>
      <c r="E1183" s="1" t="s">
        <v>86</v>
      </c>
    </row>
    <row r="1184" spans="1:5" x14ac:dyDescent="0.25">
      <c r="A1184" s="13">
        <v>59826833</v>
      </c>
      <c r="B1184" s="11" t="s">
        <v>84</v>
      </c>
      <c r="C1184" s="1" t="s">
        <v>1111</v>
      </c>
      <c r="D1184" s="1" t="s">
        <v>38</v>
      </c>
      <c r="E1184" s="1" t="s">
        <v>10</v>
      </c>
    </row>
    <row r="1185" spans="1:5" x14ac:dyDescent="0.25">
      <c r="A1185" s="13">
        <v>60361234</v>
      </c>
      <c r="B1185" s="11" t="s">
        <v>84</v>
      </c>
      <c r="C1185" s="1" t="s">
        <v>1108</v>
      </c>
      <c r="D1185" s="1" t="s">
        <v>38</v>
      </c>
      <c r="E1185" s="1" t="s">
        <v>597</v>
      </c>
    </row>
    <row r="1186" spans="1:5" x14ac:dyDescent="0.25">
      <c r="A1186" s="13">
        <v>60370460</v>
      </c>
      <c r="B1186" s="11" t="s">
        <v>84</v>
      </c>
      <c r="C1186" s="1" t="s">
        <v>1106</v>
      </c>
      <c r="D1186" s="1" t="s">
        <v>43</v>
      </c>
      <c r="E1186" s="1" t="s">
        <v>1107</v>
      </c>
    </row>
    <row r="1187" spans="1:5" x14ac:dyDescent="0.25">
      <c r="A1187" s="13">
        <v>60374639</v>
      </c>
      <c r="B1187" s="11" t="s">
        <v>116</v>
      </c>
      <c r="C1187" s="1" t="s">
        <v>1105</v>
      </c>
      <c r="D1187" s="1" t="s">
        <v>117</v>
      </c>
      <c r="E1187" s="1" t="s">
        <v>7</v>
      </c>
    </row>
    <row r="1188" spans="1:5" x14ac:dyDescent="0.25">
      <c r="A1188" s="13">
        <v>60394544</v>
      </c>
      <c r="B1188" s="11" t="s">
        <v>116</v>
      </c>
      <c r="C1188" s="1" t="s">
        <v>1104</v>
      </c>
      <c r="D1188" s="1" t="s">
        <v>117</v>
      </c>
      <c r="E1188" s="1" t="s">
        <v>127</v>
      </c>
    </row>
    <row r="1189" spans="1:5" x14ac:dyDescent="0.25">
      <c r="A1189" s="13">
        <v>60394733</v>
      </c>
      <c r="B1189" s="11" t="s">
        <v>116</v>
      </c>
      <c r="C1189" s="1" t="s">
        <v>1103</v>
      </c>
      <c r="D1189" s="1" t="s">
        <v>117</v>
      </c>
      <c r="E1189" s="1" t="s">
        <v>10</v>
      </c>
    </row>
    <row r="1190" spans="1:5" x14ac:dyDescent="0.25">
      <c r="A1190" s="13">
        <v>60449313</v>
      </c>
      <c r="B1190" s="11" t="s">
        <v>84</v>
      </c>
      <c r="C1190" s="1" t="s">
        <v>3013</v>
      </c>
      <c r="D1190" s="1" t="s">
        <v>43</v>
      </c>
      <c r="E1190" s="1" t="s">
        <v>13</v>
      </c>
    </row>
    <row r="1191" spans="1:5" x14ac:dyDescent="0.25">
      <c r="A1191" s="13">
        <v>62294543</v>
      </c>
      <c r="B1191" s="11" t="s">
        <v>109</v>
      </c>
      <c r="C1191" s="1" t="s">
        <v>1101</v>
      </c>
      <c r="D1191" s="1" t="s">
        <v>131</v>
      </c>
      <c r="E1191" s="1" t="s">
        <v>131</v>
      </c>
    </row>
    <row r="1192" spans="1:5" x14ac:dyDescent="0.25">
      <c r="A1192" s="13">
        <v>63278123</v>
      </c>
      <c r="B1192" s="11" t="s">
        <v>109</v>
      </c>
      <c r="C1192" s="1" t="s">
        <v>1100</v>
      </c>
      <c r="D1192" s="1" t="s">
        <v>131</v>
      </c>
      <c r="E1192" s="1" t="s">
        <v>131</v>
      </c>
    </row>
    <row r="1193" spans="1:5" x14ac:dyDescent="0.25">
      <c r="A1193" s="13">
        <v>63302715</v>
      </c>
      <c r="B1193" s="11" t="s">
        <v>116</v>
      </c>
      <c r="C1193" s="1" t="s">
        <v>1099</v>
      </c>
      <c r="D1193" s="1" t="s">
        <v>117</v>
      </c>
      <c r="E1193" s="1" t="s">
        <v>6</v>
      </c>
    </row>
    <row r="1194" spans="1:5" x14ac:dyDescent="0.25">
      <c r="A1194" s="13">
        <v>63324704</v>
      </c>
      <c r="B1194" s="11" t="s">
        <v>116</v>
      </c>
      <c r="C1194" s="1" t="s">
        <v>1098</v>
      </c>
      <c r="D1194" s="1" t="s">
        <v>117</v>
      </c>
      <c r="E1194" s="1" t="s">
        <v>9</v>
      </c>
    </row>
    <row r="1195" spans="1:5" x14ac:dyDescent="0.25">
      <c r="A1195" s="13">
        <v>63341781</v>
      </c>
      <c r="B1195" s="11" t="s">
        <v>84</v>
      </c>
      <c r="C1195" s="1" t="s">
        <v>1097</v>
      </c>
      <c r="D1195" s="1" t="s">
        <v>37</v>
      </c>
      <c r="E1195" s="1" t="s">
        <v>29</v>
      </c>
    </row>
    <row r="1196" spans="1:5" x14ac:dyDescent="0.25">
      <c r="A1196" s="13">
        <v>63370399</v>
      </c>
      <c r="B1196" s="11" t="s">
        <v>84</v>
      </c>
      <c r="C1196" s="1" t="s">
        <v>1096</v>
      </c>
      <c r="D1196" s="1" t="s">
        <v>38</v>
      </c>
      <c r="E1196" s="1" t="s">
        <v>134</v>
      </c>
    </row>
    <row r="1197" spans="1:5" x14ac:dyDescent="0.25">
      <c r="A1197" s="13">
        <v>63434529</v>
      </c>
      <c r="B1197" s="11" t="s">
        <v>84</v>
      </c>
      <c r="C1197" s="1" t="s">
        <v>1095</v>
      </c>
      <c r="D1197" s="1" t="s">
        <v>38</v>
      </c>
      <c r="E1197" s="1" t="s">
        <v>12</v>
      </c>
    </row>
    <row r="1198" spans="1:5" x14ac:dyDescent="0.25">
      <c r="A1198" s="13">
        <v>63435894</v>
      </c>
      <c r="B1198" s="11" t="s">
        <v>116</v>
      </c>
      <c r="C1198" s="1" t="s">
        <v>1094</v>
      </c>
      <c r="D1198" s="1" t="s">
        <v>117</v>
      </c>
      <c r="E1198" s="1" t="s">
        <v>10</v>
      </c>
    </row>
    <row r="1199" spans="1:5" x14ac:dyDescent="0.25">
      <c r="A1199" s="13">
        <v>63478515</v>
      </c>
      <c r="B1199" s="11" t="s">
        <v>84</v>
      </c>
      <c r="C1199" s="1" t="s">
        <v>1093</v>
      </c>
      <c r="D1199" s="1" t="s">
        <v>38</v>
      </c>
      <c r="E1199" s="1" t="s">
        <v>11</v>
      </c>
    </row>
    <row r="1200" spans="1:5" x14ac:dyDescent="0.25">
      <c r="A1200" s="13">
        <v>63501223</v>
      </c>
      <c r="B1200" s="11" t="s">
        <v>116</v>
      </c>
      <c r="C1200" s="1" t="s">
        <v>1092</v>
      </c>
      <c r="D1200" s="1" t="s">
        <v>117</v>
      </c>
      <c r="E1200" s="1" t="s">
        <v>127</v>
      </c>
    </row>
    <row r="1201" spans="1:5" x14ac:dyDescent="0.25">
      <c r="A1201" s="13">
        <v>63502044</v>
      </c>
      <c r="B1201" s="11" t="s">
        <v>84</v>
      </c>
      <c r="C1201" s="1" t="s">
        <v>1091</v>
      </c>
      <c r="D1201" s="1" t="s">
        <v>43</v>
      </c>
      <c r="E1201" s="1" t="s">
        <v>8</v>
      </c>
    </row>
    <row r="1202" spans="1:5" x14ac:dyDescent="0.25">
      <c r="A1202" s="13">
        <v>63527984</v>
      </c>
      <c r="B1202" s="11" t="s">
        <v>116</v>
      </c>
      <c r="C1202" s="1" t="s">
        <v>1090</v>
      </c>
      <c r="D1202" s="1" t="s">
        <v>117</v>
      </c>
      <c r="E1202" s="1" t="s">
        <v>186</v>
      </c>
    </row>
    <row r="1203" spans="1:5" x14ac:dyDescent="0.25">
      <c r="A1203" s="13">
        <v>64521931</v>
      </c>
      <c r="B1203" s="11" t="s">
        <v>83</v>
      </c>
      <c r="C1203" s="1" t="s">
        <v>1089</v>
      </c>
      <c r="D1203" s="1" t="s">
        <v>40</v>
      </c>
      <c r="E1203" s="1" t="s">
        <v>23</v>
      </c>
    </row>
    <row r="1204" spans="1:5" x14ac:dyDescent="0.25">
      <c r="A1204" s="13">
        <v>64546828</v>
      </c>
      <c r="B1204" s="11" t="s">
        <v>84</v>
      </c>
      <c r="C1204" s="1" t="s">
        <v>1088</v>
      </c>
      <c r="D1204" s="1" t="s">
        <v>203</v>
      </c>
      <c r="E1204" s="1" t="s">
        <v>417</v>
      </c>
    </row>
    <row r="1205" spans="1:5" x14ac:dyDescent="0.25">
      <c r="A1205" s="13">
        <v>64552202</v>
      </c>
      <c r="B1205" s="11" t="s">
        <v>109</v>
      </c>
      <c r="C1205" s="1" t="s">
        <v>1087</v>
      </c>
      <c r="D1205" s="1" t="s">
        <v>131</v>
      </c>
      <c r="E1205" s="1" t="s">
        <v>131</v>
      </c>
    </row>
    <row r="1206" spans="1:5" x14ac:dyDescent="0.25">
      <c r="A1206" s="13">
        <v>64585741</v>
      </c>
      <c r="B1206" s="11" t="s">
        <v>84</v>
      </c>
      <c r="C1206" s="1" t="s">
        <v>1086</v>
      </c>
      <c r="D1206" s="1" t="s">
        <v>38</v>
      </c>
      <c r="E1206" s="1" t="s">
        <v>8</v>
      </c>
    </row>
    <row r="1207" spans="1:5" x14ac:dyDescent="0.25">
      <c r="A1207" s="13">
        <v>65588590</v>
      </c>
      <c r="B1207" s="11" t="s">
        <v>116</v>
      </c>
      <c r="C1207" s="1" t="s">
        <v>1085</v>
      </c>
      <c r="D1207" s="1" t="s">
        <v>117</v>
      </c>
      <c r="E1207" s="1" t="s">
        <v>205</v>
      </c>
    </row>
    <row r="1208" spans="1:5" x14ac:dyDescent="0.25">
      <c r="A1208" s="13">
        <v>65745864</v>
      </c>
      <c r="B1208" s="11" t="s">
        <v>109</v>
      </c>
      <c r="C1208" s="1" t="s">
        <v>1084</v>
      </c>
      <c r="D1208" s="1" t="s">
        <v>131</v>
      </c>
      <c r="E1208" s="1" t="s">
        <v>131</v>
      </c>
    </row>
    <row r="1209" spans="1:5" x14ac:dyDescent="0.25">
      <c r="A1209" s="13">
        <v>65762746</v>
      </c>
      <c r="B1209" s="11" t="s">
        <v>83</v>
      </c>
      <c r="C1209" s="1" t="s">
        <v>1083</v>
      </c>
      <c r="D1209" s="1" t="s">
        <v>42</v>
      </c>
      <c r="E1209" s="1" t="s">
        <v>4</v>
      </c>
    </row>
    <row r="1210" spans="1:5" x14ac:dyDescent="0.25">
      <c r="A1210" s="13">
        <v>65763527</v>
      </c>
      <c r="B1210" s="11" t="s">
        <v>83</v>
      </c>
      <c r="C1210" s="1" t="s">
        <v>1082</v>
      </c>
      <c r="D1210" s="1" t="s">
        <v>47</v>
      </c>
      <c r="E1210" s="1" t="s">
        <v>16</v>
      </c>
    </row>
    <row r="1211" spans="1:5" x14ac:dyDescent="0.25">
      <c r="A1211" s="13">
        <v>65777748</v>
      </c>
      <c r="B1211" s="11" t="s">
        <v>116</v>
      </c>
      <c r="C1211" s="1" t="s">
        <v>1081</v>
      </c>
      <c r="D1211" s="1" t="s">
        <v>117</v>
      </c>
      <c r="E1211" s="1" t="s">
        <v>5</v>
      </c>
    </row>
    <row r="1212" spans="1:5" x14ac:dyDescent="0.25">
      <c r="A1212" s="13">
        <v>65784153</v>
      </c>
      <c r="B1212" s="11" t="s">
        <v>84</v>
      </c>
      <c r="C1212" s="1" t="s">
        <v>1080</v>
      </c>
      <c r="D1212" s="1" t="s">
        <v>43</v>
      </c>
      <c r="E1212" s="1" t="s">
        <v>10</v>
      </c>
    </row>
    <row r="1213" spans="1:5" x14ac:dyDescent="0.25">
      <c r="A1213" s="13">
        <v>65794350</v>
      </c>
      <c r="B1213" s="11" t="s">
        <v>83</v>
      </c>
      <c r="C1213" s="1" t="s">
        <v>1079</v>
      </c>
      <c r="D1213" s="1" t="s">
        <v>56</v>
      </c>
      <c r="E1213" s="1" t="s">
        <v>4</v>
      </c>
    </row>
    <row r="1214" spans="1:5" x14ac:dyDescent="0.25">
      <c r="A1214" s="13">
        <v>66765341</v>
      </c>
      <c r="B1214" s="11" t="s">
        <v>84</v>
      </c>
      <c r="C1214" s="1" t="s">
        <v>1078</v>
      </c>
      <c r="D1214" s="1" t="s">
        <v>38</v>
      </c>
      <c r="E1214" s="1" t="s">
        <v>12</v>
      </c>
    </row>
    <row r="1215" spans="1:5" x14ac:dyDescent="0.25">
      <c r="A1215" s="13">
        <v>66888762</v>
      </c>
      <c r="B1215" s="11" t="s">
        <v>83</v>
      </c>
      <c r="C1215" s="1" t="s">
        <v>1076</v>
      </c>
      <c r="D1215" s="1" t="s">
        <v>1077</v>
      </c>
      <c r="E1215" s="1" t="s">
        <v>26</v>
      </c>
    </row>
    <row r="1216" spans="1:5" x14ac:dyDescent="0.25">
      <c r="A1216" s="13">
        <v>68299382</v>
      </c>
      <c r="B1216" s="11" t="s">
        <v>116</v>
      </c>
      <c r="C1216" s="1" t="s">
        <v>1070</v>
      </c>
      <c r="D1216" s="1" t="s">
        <v>117</v>
      </c>
      <c r="E1216" s="1" t="s">
        <v>134</v>
      </c>
    </row>
    <row r="1217" spans="1:5" x14ac:dyDescent="0.25">
      <c r="A1217" s="13">
        <v>70116018</v>
      </c>
      <c r="B1217" s="11" t="s">
        <v>109</v>
      </c>
      <c r="C1217" s="1" t="s">
        <v>1068</v>
      </c>
      <c r="D1217" s="1" t="s">
        <v>131</v>
      </c>
      <c r="E1217" s="1" t="s">
        <v>131</v>
      </c>
    </row>
    <row r="1218" spans="1:5" x14ac:dyDescent="0.25">
      <c r="A1218" s="13">
        <v>71647703</v>
      </c>
      <c r="B1218" s="11" t="s">
        <v>84</v>
      </c>
      <c r="C1218" s="1" t="s">
        <v>1064</v>
      </c>
      <c r="D1218" s="1" t="s">
        <v>43</v>
      </c>
      <c r="E1218" s="1" t="s">
        <v>3</v>
      </c>
    </row>
    <row r="1219" spans="1:5" x14ac:dyDescent="0.25">
      <c r="A1219" s="13">
        <v>71706113</v>
      </c>
      <c r="B1219" s="11" t="s">
        <v>116</v>
      </c>
      <c r="C1219" s="1" t="s">
        <v>1063</v>
      </c>
      <c r="D1219" s="1" t="s">
        <v>151</v>
      </c>
      <c r="E1219" s="1" t="s">
        <v>152</v>
      </c>
    </row>
    <row r="1220" spans="1:5" x14ac:dyDescent="0.25">
      <c r="A1220" s="13">
        <v>71720614</v>
      </c>
      <c r="B1220" s="11" t="s">
        <v>116</v>
      </c>
      <c r="C1220" s="1" t="s">
        <v>1061</v>
      </c>
      <c r="D1220" s="1" t="s">
        <v>117</v>
      </c>
      <c r="E1220" s="1" t="s">
        <v>5</v>
      </c>
    </row>
    <row r="1221" spans="1:5" x14ac:dyDescent="0.25">
      <c r="A1221" s="13">
        <v>71781412</v>
      </c>
      <c r="B1221" s="11" t="s">
        <v>84</v>
      </c>
      <c r="C1221" s="1" t="s">
        <v>1060</v>
      </c>
      <c r="D1221" s="1" t="s">
        <v>38</v>
      </c>
      <c r="E1221" s="1" t="s">
        <v>5</v>
      </c>
    </row>
    <row r="1222" spans="1:5" x14ac:dyDescent="0.25">
      <c r="A1222" s="13">
        <v>71984951</v>
      </c>
      <c r="B1222" s="11" t="s">
        <v>83</v>
      </c>
      <c r="C1222" s="1" t="s">
        <v>1057</v>
      </c>
      <c r="D1222" s="1" t="s">
        <v>57</v>
      </c>
      <c r="E1222" s="1" t="s">
        <v>23</v>
      </c>
    </row>
    <row r="1223" spans="1:5" x14ac:dyDescent="0.25">
      <c r="A1223" s="13">
        <v>72003952</v>
      </c>
      <c r="B1223" s="11" t="s">
        <v>84</v>
      </c>
      <c r="C1223" s="1" t="s">
        <v>3244</v>
      </c>
      <c r="D1223" s="1" t="s">
        <v>38</v>
      </c>
      <c r="E1223" s="1" t="s">
        <v>8</v>
      </c>
    </row>
    <row r="1224" spans="1:5" x14ac:dyDescent="0.25">
      <c r="A1224" s="13">
        <v>72007307</v>
      </c>
      <c r="B1224" s="11" t="s">
        <v>116</v>
      </c>
      <c r="C1224" s="1" t="s">
        <v>1056</v>
      </c>
      <c r="D1224" s="1" t="s">
        <v>117</v>
      </c>
      <c r="E1224" s="1" t="s">
        <v>6</v>
      </c>
    </row>
    <row r="1225" spans="1:5" x14ac:dyDescent="0.25">
      <c r="A1225" s="13">
        <v>72168248</v>
      </c>
      <c r="B1225" s="11" t="s">
        <v>116</v>
      </c>
      <c r="C1225" s="1" t="s">
        <v>1054</v>
      </c>
      <c r="D1225" s="1" t="s">
        <v>117</v>
      </c>
      <c r="E1225" s="1" t="s">
        <v>1055</v>
      </c>
    </row>
    <row r="1226" spans="1:5" x14ac:dyDescent="0.25">
      <c r="A1226" s="13">
        <v>72176793</v>
      </c>
      <c r="B1226" s="11" t="s">
        <v>109</v>
      </c>
      <c r="C1226" s="1" t="s">
        <v>1053</v>
      </c>
      <c r="D1226" s="1" t="s">
        <v>131</v>
      </c>
      <c r="E1226" s="1" t="s">
        <v>131</v>
      </c>
    </row>
    <row r="1227" spans="1:5" x14ac:dyDescent="0.25">
      <c r="A1227" s="13">
        <v>72178263</v>
      </c>
      <c r="B1227" s="11" t="s">
        <v>116</v>
      </c>
      <c r="C1227" s="1" t="s">
        <v>1052</v>
      </c>
      <c r="D1227" s="1" t="s">
        <v>117</v>
      </c>
      <c r="E1227" s="1" t="s">
        <v>2</v>
      </c>
    </row>
    <row r="1228" spans="1:5" x14ac:dyDescent="0.25">
      <c r="A1228" s="13">
        <v>72223001</v>
      </c>
      <c r="B1228" s="11" t="s">
        <v>83</v>
      </c>
      <c r="C1228" s="1" t="s">
        <v>3660</v>
      </c>
      <c r="D1228" s="1" t="s">
        <v>3661</v>
      </c>
      <c r="E1228" s="1" t="s">
        <v>24</v>
      </c>
    </row>
    <row r="1229" spans="1:5" x14ac:dyDescent="0.25">
      <c r="A1229" s="13">
        <v>72257456</v>
      </c>
      <c r="B1229" s="11" t="s">
        <v>84</v>
      </c>
      <c r="C1229" s="1" t="s">
        <v>3245</v>
      </c>
      <c r="D1229" s="1" t="s">
        <v>43</v>
      </c>
      <c r="E1229" s="1" t="s">
        <v>3</v>
      </c>
    </row>
    <row r="1230" spans="1:5" x14ac:dyDescent="0.25">
      <c r="A1230" s="13">
        <v>72267228</v>
      </c>
      <c r="B1230" s="11" t="s">
        <v>83</v>
      </c>
      <c r="C1230" s="1" t="s">
        <v>1051</v>
      </c>
      <c r="D1230" s="1" t="s">
        <v>225</v>
      </c>
      <c r="E1230" s="1" t="s">
        <v>23</v>
      </c>
    </row>
    <row r="1231" spans="1:5" x14ac:dyDescent="0.25">
      <c r="A1231" s="13">
        <v>72276719</v>
      </c>
      <c r="B1231" s="11" t="s">
        <v>83</v>
      </c>
      <c r="C1231" s="1" t="s">
        <v>1050</v>
      </c>
      <c r="D1231" s="1" t="s">
        <v>57</v>
      </c>
      <c r="E1231" s="1" t="s">
        <v>23</v>
      </c>
    </row>
    <row r="1232" spans="1:5" x14ac:dyDescent="0.25">
      <c r="A1232" s="13">
        <v>73071277</v>
      </c>
      <c r="B1232" s="11" t="s">
        <v>84</v>
      </c>
      <c r="C1232" s="1" t="s">
        <v>1048</v>
      </c>
      <c r="D1232" s="1" t="s">
        <v>185</v>
      </c>
      <c r="E1232" s="1" t="s">
        <v>7</v>
      </c>
    </row>
    <row r="1233" spans="1:5" x14ac:dyDescent="0.25">
      <c r="A1233" s="13">
        <v>73099638</v>
      </c>
      <c r="B1233" s="11" t="s">
        <v>116</v>
      </c>
      <c r="C1233" s="1" t="s">
        <v>1046</v>
      </c>
      <c r="D1233" s="1" t="s">
        <v>117</v>
      </c>
      <c r="E1233" s="1" t="s">
        <v>6</v>
      </c>
    </row>
    <row r="1234" spans="1:5" x14ac:dyDescent="0.25">
      <c r="A1234" s="13">
        <v>73108039</v>
      </c>
      <c r="B1234" s="11" t="s">
        <v>116</v>
      </c>
      <c r="C1234" s="1" t="s">
        <v>1045</v>
      </c>
      <c r="D1234" s="1" t="s">
        <v>117</v>
      </c>
      <c r="E1234" s="1" t="s">
        <v>127</v>
      </c>
    </row>
    <row r="1235" spans="1:5" x14ac:dyDescent="0.25">
      <c r="A1235" s="13">
        <v>73109132</v>
      </c>
      <c r="B1235" s="11" t="s">
        <v>84</v>
      </c>
      <c r="C1235" s="1" t="s">
        <v>1044</v>
      </c>
      <c r="D1235" s="1" t="s">
        <v>38</v>
      </c>
      <c r="E1235" s="1" t="s">
        <v>127</v>
      </c>
    </row>
    <row r="1236" spans="1:5" x14ac:dyDescent="0.25">
      <c r="A1236" s="13">
        <v>73139702</v>
      </c>
      <c r="B1236" s="11" t="s">
        <v>116</v>
      </c>
      <c r="C1236" s="1" t="s">
        <v>1043</v>
      </c>
      <c r="D1236" s="1" t="s">
        <v>117</v>
      </c>
      <c r="E1236" s="1" t="s">
        <v>11</v>
      </c>
    </row>
    <row r="1237" spans="1:5" x14ac:dyDescent="0.25">
      <c r="A1237" s="13">
        <v>73147234</v>
      </c>
      <c r="B1237" s="11" t="s">
        <v>109</v>
      </c>
      <c r="C1237" s="1" t="s">
        <v>1041</v>
      </c>
      <c r="D1237" s="1" t="s">
        <v>131</v>
      </c>
      <c r="E1237" s="1" t="s">
        <v>131</v>
      </c>
    </row>
    <row r="1238" spans="1:5" x14ac:dyDescent="0.25">
      <c r="A1238" s="13">
        <v>73193241</v>
      </c>
      <c r="B1238" s="11" t="s">
        <v>83</v>
      </c>
      <c r="C1238" s="1" t="s">
        <v>1040</v>
      </c>
      <c r="D1238" s="1" t="s">
        <v>47</v>
      </c>
      <c r="E1238" s="1" t="s">
        <v>939</v>
      </c>
    </row>
    <row r="1239" spans="1:5" x14ac:dyDescent="0.25">
      <c r="A1239" s="13">
        <v>73573912</v>
      </c>
      <c r="B1239" s="11" t="s">
        <v>116</v>
      </c>
      <c r="C1239" s="1" t="s">
        <v>1039</v>
      </c>
      <c r="D1239" s="1" t="s">
        <v>117</v>
      </c>
      <c r="E1239" s="1" t="s">
        <v>3190</v>
      </c>
    </row>
    <row r="1240" spans="1:5" x14ac:dyDescent="0.25">
      <c r="A1240" s="13">
        <v>73576544</v>
      </c>
      <c r="B1240" s="11" t="s">
        <v>116</v>
      </c>
      <c r="C1240" s="1" t="s">
        <v>1038</v>
      </c>
      <c r="D1240" s="1" t="s">
        <v>117</v>
      </c>
      <c r="E1240" s="1" t="s">
        <v>6</v>
      </c>
    </row>
    <row r="1241" spans="1:5" x14ac:dyDescent="0.25">
      <c r="A1241" s="13">
        <v>74186278</v>
      </c>
      <c r="B1241" s="11" t="s">
        <v>83</v>
      </c>
      <c r="C1241" s="1" t="s">
        <v>1037</v>
      </c>
      <c r="D1241" s="1" t="s">
        <v>47</v>
      </c>
      <c r="E1241" s="1" t="s">
        <v>17</v>
      </c>
    </row>
    <row r="1242" spans="1:5" x14ac:dyDescent="0.25">
      <c r="A1242" s="13">
        <v>74187075</v>
      </c>
      <c r="B1242" s="11" t="s">
        <v>116</v>
      </c>
      <c r="C1242" s="1" t="s">
        <v>1036</v>
      </c>
      <c r="D1242" s="1" t="s">
        <v>117</v>
      </c>
      <c r="E1242" s="1" t="s">
        <v>3</v>
      </c>
    </row>
    <row r="1243" spans="1:5" x14ac:dyDescent="0.25">
      <c r="A1243" s="13">
        <v>74281609</v>
      </c>
      <c r="B1243" s="11" t="s">
        <v>116</v>
      </c>
      <c r="C1243" s="1" t="s">
        <v>1034</v>
      </c>
      <c r="D1243" s="1" t="s">
        <v>117</v>
      </c>
      <c r="E1243" s="1" t="s">
        <v>453</v>
      </c>
    </row>
    <row r="1244" spans="1:5" x14ac:dyDescent="0.25">
      <c r="A1244" s="13">
        <v>74333204</v>
      </c>
      <c r="B1244" s="11" t="s">
        <v>109</v>
      </c>
      <c r="C1244" s="1" t="s">
        <v>1033</v>
      </c>
      <c r="D1244" s="1" t="s">
        <v>131</v>
      </c>
      <c r="E1244" s="1" t="s">
        <v>131</v>
      </c>
    </row>
    <row r="1245" spans="1:5" x14ac:dyDescent="0.25">
      <c r="A1245" s="13">
        <v>74348283</v>
      </c>
      <c r="B1245" s="11" t="s">
        <v>116</v>
      </c>
      <c r="C1245" s="1" t="s">
        <v>1032</v>
      </c>
      <c r="D1245" s="1" t="s">
        <v>117</v>
      </c>
      <c r="E1245" s="1" t="s">
        <v>119</v>
      </c>
    </row>
    <row r="1246" spans="1:5" x14ac:dyDescent="0.25">
      <c r="A1246" s="13">
        <v>74360971</v>
      </c>
      <c r="B1246" s="11" t="s">
        <v>84</v>
      </c>
      <c r="C1246" s="1" t="s">
        <v>1031</v>
      </c>
      <c r="D1246" s="1" t="s">
        <v>185</v>
      </c>
      <c r="E1246" s="1" t="s">
        <v>127</v>
      </c>
    </row>
    <row r="1247" spans="1:5" x14ac:dyDescent="0.25">
      <c r="A1247" s="13">
        <v>74374608</v>
      </c>
      <c r="B1247" s="11" t="s">
        <v>116</v>
      </c>
      <c r="C1247" s="1" t="s">
        <v>1030</v>
      </c>
      <c r="D1247" s="1" t="s">
        <v>117</v>
      </c>
      <c r="E1247" s="1" t="s">
        <v>168</v>
      </c>
    </row>
    <row r="1248" spans="1:5" x14ac:dyDescent="0.25">
      <c r="A1248" s="13">
        <v>74376944</v>
      </c>
      <c r="B1248" s="11" t="s">
        <v>83</v>
      </c>
      <c r="C1248" s="1" t="s">
        <v>1028</v>
      </c>
      <c r="D1248" s="1" t="s">
        <v>1029</v>
      </c>
      <c r="E1248" s="1" t="s">
        <v>152</v>
      </c>
    </row>
    <row r="1249" spans="1:5" x14ac:dyDescent="0.25">
      <c r="A1249" s="13">
        <v>74377744</v>
      </c>
      <c r="B1249" s="11" t="s">
        <v>83</v>
      </c>
      <c r="C1249" s="1" t="s">
        <v>1027</v>
      </c>
      <c r="D1249" s="1" t="s">
        <v>3246</v>
      </c>
      <c r="E1249" s="1" t="s">
        <v>24</v>
      </c>
    </row>
    <row r="1250" spans="1:5" x14ac:dyDescent="0.25">
      <c r="A1250" s="13">
        <v>74377774</v>
      </c>
      <c r="B1250" s="11" t="s">
        <v>83</v>
      </c>
      <c r="C1250" s="1" t="s">
        <v>1025</v>
      </c>
      <c r="D1250" s="1" t="s">
        <v>1026</v>
      </c>
      <c r="E1250" s="1" t="s">
        <v>453</v>
      </c>
    </row>
    <row r="1251" spans="1:5" x14ac:dyDescent="0.25">
      <c r="A1251" s="13">
        <v>75075442</v>
      </c>
      <c r="B1251" s="11" t="s">
        <v>116</v>
      </c>
      <c r="C1251" s="1" t="s">
        <v>1021</v>
      </c>
      <c r="D1251" s="1" t="s">
        <v>117</v>
      </c>
      <c r="E1251" s="1" t="s">
        <v>8</v>
      </c>
    </row>
    <row r="1252" spans="1:5" x14ac:dyDescent="0.25">
      <c r="A1252" s="13">
        <v>75082366</v>
      </c>
      <c r="B1252" s="11" t="s">
        <v>116</v>
      </c>
      <c r="C1252" s="1" t="s">
        <v>1020</v>
      </c>
      <c r="D1252" s="1" t="s">
        <v>117</v>
      </c>
      <c r="E1252" s="1" t="s">
        <v>147</v>
      </c>
    </row>
    <row r="1253" spans="1:5" x14ac:dyDescent="0.25">
      <c r="A1253" s="13">
        <v>75103434</v>
      </c>
      <c r="B1253" s="11" t="s">
        <v>84</v>
      </c>
      <c r="C1253" s="1" t="s">
        <v>1019</v>
      </c>
      <c r="D1253" s="1" t="s">
        <v>38</v>
      </c>
      <c r="E1253" s="1" t="s">
        <v>8</v>
      </c>
    </row>
    <row r="1254" spans="1:5" x14ac:dyDescent="0.25">
      <c r="A1254" s="13">
        <v>76305375</v>
      </c>
      <c r="B1254" s="11" t="s">
        <v>83</v>
      </c>
      <c r="C1254" s="1" t="s">
        <v>1014</v>
      </c>
      <c r="D1254" s="1" t="s">
        <v>67</v>
      </c>
      <c r="E1254" s="1" t="s">
        <v>28</v>
      </c>
    </row>
    <row r="1255" spans="1:5" x14ac:dyDescent="0.25">
      <c r="A1255" s="13">
        <v>76309083</v>
      </c>
      <c r="B1255" s="11" t="s">
        <v>116</v>
      </c>
      <c r="C1255" s="1" t="s">
        <v>1013</v>
      </c>
      <c r="D1255" s="1" t="s">
        <v>117</v>
      </c>
      <c r="E1255" s="1" t="s">
        <v>10</v>
      </c>
    </row>
    <row r="1256" spans="1:5" x14ac:dyDescent="0.25">
      <c r="A1256" s="13">
        <v>76310027</v>
      </c>
      <c r="B1256" s="11" t="s">
        <v>83</v>
      </c>
      <c r="C1256" s="1" t="s">
        <v>1012</v>
      </c>
      <c r="D1256" s="1" t="s">
        <v>47</v>
      </c>
      <c r="E1256" s="1" t="s">
        <v>300</v>
      </c>
    </row>
    <row r="1257" spans="1:5" x14ac:dyDescent="0.25">
      <c r="A1257" s="13">
        <v>76310986</v>
      </c>
      <c r="B1257" s="11" t="s">
        <v>116</v>
      </c>
      <c r="C1257" s="1" t="s">
        <v>1011</v>
      </c>
      <c r="D1257" s="1" t="s">
        <v>117</v>
      </c>
      <c r="E1257" s="1" t="s">
        <v>7</v>
      </c>
    </row>
    <row r="1258" spans="1:5" x14ac:dyDescent="0.25">
      <c r="A1258" s="13">
        <v>76319039</v>
      </c>
      <c r="B1258" s="11" t="s">
        <v>84</v>
      </c>
      <c r="C1258" s="1" t="s">
        <v>3562</v>
      </c>
      <c r="D1258" s="1" t="s">
        <v>43</v>
      </c>
      <c r="E1258" s="1" t="s">
        <v>3253</v>
      </c>
    </row>
    <row r="1259" spans="1:5" x14ac:dyDescent="0.25">
      <c r="A1259" s="13">
        <v>77035639</v>
      </c>
      <c r="B1259" s="11" t="s">
        <v>116</v>
      </c>
      <c r="C1259" s="1" t="s">
        <v>1004</v>
      </c>
      <c r="D1259" s="1" t="s">
        <v>117</v>
      </c>
      <c r="E1259" s="1" t="s">
        <v>876</v>
      </c>
    </row>
    <row r="1260" spans="1:5" x14ac:dyDescent="0.25">
      <c r="A1260" s="13">
        <v>78742034</v>
      </c>
      <c r="B1260" s="11" t="s">
        <v>116</v>
      </c>
      <c r="C1260" s="1" t="s">
        <v>1001</v>
      </c>
      <c r="D1260" s="1" t="s">
        <v>117</v>
      </c>
      <c r="E1260" s="1" t="s">
        <v>147</v>
      </c>
    </row>
    <row r="1261" spans="1:5" x14ac:dyDescent="0.25">
      <c r="A1261" s="13">
        <v>78749148</v>
      </c>
      <c r="B1261" s="11" t="s">
        <v>83</v>
      </c>
      <c r="C1261" s="1" t="s">
        <v>3004</v>
      </c>
      <c r="D1261" s="1" t="s">
        <v>57</v>
      </c>
      <c r="E1261" s="1" t="s">
        <v>23</v>
      </c>
    </row>
    <row r="1262" spans="1:5" x14ac:dyDescent="0.25">
      <c r="A1262" s="13">
        <v>79001398</v>
      </c>
      <c r="B1262" s="11" t="s">
        <v>109</v>
      </c>
      <c r="C1262" s="1" t="s">
        <v>1000</v>
      </c>
      <c r="D1262" s="1" t="s">
        <v>131</v>
      </c>
      <c r="E1262" s="1" t="s">
        <v>131</v>
      </c>
    </row>
    <row r="1263" spans="1:5" x14ac:dyDescent="0.25">
      <c r="A1263" s="13">
        <v>79040727</v>
      </c>
      <c r="B1263" s="11" t="s">
        <v>83</v>
      </c>
      <c r="C1263" s="1" t="s">
        <v>999</v>
      </c>
      <c r="D1263" s="1" t="s">
        <v>350</v>
      </c>
      <c r="E1263" s="1" t="s">
        <v>28</v>
      </c>
    </row>
    <row r="1264" spans="1:5" x14ac:dyDescent="0.25">
      <c r="A1264" s="13">
        <v>79042287</v>
      </c>
      <c r="B1264" s="11" t="s">
        <v>116</v>
      </c>
      <c r="C1264" s="1" t="s">
        <v>998</v>
      </c>
      <c r="D1264" s="1" t="s">
        <v>117</v>
      </c>
      <c r="E1264" s="1" t="s">
        <v>186</v>
      </c>
    </row>
    <row r="1265" spans="1:5" x14ac:dyDescent="0.25">
      <c r="A1265" s="13">
        <v>79042407</v>
      </c>
      <c r="B1265" s="11" t="s">
        <v>116</v>
      </c>
      <c r="C1265" s="1" t="s">
        <v>997</v>
      </c>
      <c r="D1265" s="1" t="s">
        <v>117</v>
      </c>
      <c r="E1265" s="1" t="s">
        <v>118</v>
      </c>
    </row>
    <row r="1266" spans="1:5" x14ac:dyDescent="0.25">
      <c r="A1266" s="13">
        <v>79043674</v>
      </c>
      <c r="B1266" s="11" t="s">
        <v>83</v>
      </c>
      <c r="C1266" s="1" t="s">
        <v>996</v>
      </c>
      <c r="D1266" s="1" t="s">
        <v>72</v>
      </c>
      <c r="E1266" s="1" t="s">
        <v>23</v>
      </c>
    </row>
    <row r="1267" spans="1:5" x14ac:dyDescent="0.25">
      <c r="A1267" s="13">
        <v>79046541</v>
      </c>
      <c r="B1267" s="11" t="s">
        <v>116</v>
      </c>
      <c r="C1267" s="1" t="s">
        <v>995</v>
      </c>
      <c r="D1267" s="1" t="s">
        <v>117</v>
      </c>
      <c r="E1267" s="1" t="s">
        <v>3</v>
      </c>
    </row>
    <row r="1268" spans="1:5" x14ac:dyDescent="0.25">
      <c r="A1268" s="13">
        <v>79046647</v>
      </c>
      <c r="B1268" s="11" t="s">
        <v>84</v>
      </c>
      <c r="C1268" s="1" t="s">
        <v>994</v>
      </c>
      <c r="D1268" s="1" t="s">
        <v>38</v>
      </c>
      <c r="E1268" s="1" t="s">
        <v>491</v>
      </c>
    </row>
    <row r="1269" spans="1:5" x14ac:dyDescent="0.25">
      <c r="A1269" s="13">
        <v>79047792</v>
      </c>
      <c r="B1269" s="11" t="s">
        <v>84</v>
      </c>
      <c r="C1269" s="1" t="s">
        <v>993</v>
      </c>
      <c r="D1269" s="1" t="s">
        <v>38</v>
      </c>
      <c r="E1269" s="1" t="s">
        <v>3</v>
      </c>
    </row>
    <row r="1270" spans="1:5" x14ac:dyDescent="0.25">
      <c r="A1270" s="13">
        <v>79048694</v>
      </c>
      <c r="B1270" s="11" t="s">
        <v>84</v>
      </c>
      <c r="C1270" s="1" t="s">
        <v>992</v>
      </c>
      <c r="D1270" s="1" t="s">
        <v>38</v>
      </c>
      <c r="E1270" s="1" t="s">
        <v>7</v>
      </c>
    </row>
    <row r="1271" spans="1:5" x14ac:dyDescent="0.25">
      <c r="A1271" s="13">
        <v>79049843</v>
      </c>
      <c r="B1271" s="11" t="s">
        <v>116</v>
      </c>
      <c r="C1271" s="1" t="s">
        <v>991</v>
      </c>
      <c r="D1271" s="1" t="s">
        <v>117</v>
      </c>
      <c r="E1271" s="1" t="s">
        <v>232</v>
      </c>
    </row>
    <row r="1272" spans="1:5" x14ac:dyDescent="0.25">
      <c r="A1272" s="13">
        <v>79050555</v>
      </c>
      <c r="B1272" s="11" t="s">
        <v>116</v>
      </c>
      <c r="C1272" s="1" t="s">
        <v>990</v>
      </c>
      <c r="D1272" s="1" t="s">
        <v>117</v>
      </c>
      <c r="E1272" s="1" t="s">
        <v>11</v>
      </c>
    </row>
    <row r="1273" spans="1:5" x14ac:dyDescent="0.25">
      <c r="A1273" s="13">
        <v>79051377</v>
      </c>
      <c r="B1273" s="11" t="s">
        <v>109</v>
      </c>
      <c r="C1273" s="1" t="s">
        <v>989</v>
      </c>
      <c r="D1273" s="1" t="s">
        <v>131</v>
      </c>
      <c r="E1273" s="1" t="s">
        <v>131</v>
      </c>
    </row>
    <row r="1274" spans="1:5" x14ac:dyDescent="0.25">
      <c r="A1274" s="13">
        <v>79054021</v>
      </c>
      <c r="B1274" s="11" t="s">
        <v>116</v>
      </c>
      <c r="C1274" s="1" t="s">
        <v>988</v>
      </c>
      <c r="D1274" s="1" t="s">
        <v>117</v>
      </c>
      <c r="E1274" s="1" t="s">
        <v>958</v>
      </c>
    </row>
    <row r="1275" spans="1:5" x14ac:dyDescent="0.25">
      <c r="A1275" s="13">
        <v>79055619</v>
      </c>
      <c r="B1275" s="11" t="s">
        <v>109</v>
      </c>
      <c r="C1275" s="1" t="s">
        <v>987</v>
      </c>
      <c r="D1275" s="1" t="s">
        <v>131</v>
      </c>
      <c r="E1275" s="1" t="s">
        <v>131</v>
      </c>
    </row>
    <row r="1276" spans="1:5" x14ac:dyDescent="0.25">
      <c r="A1276" s="13">
        <v>79055987</v>
      </c>
      <c r="B1276" s="11" t="s">
        <v>83</v>
      </c>
      <c r="C1276" s="1" t="s">
        <v>986</v>
      </c>
      <c r="D1276" s="1" t="s">
        <v>363</v>
      </c>
      <c r="E1276" s="1" t="s">
        <v>364</v>
      </c>
    </row>
    <row r="1277" spans="1:5" x14ac:dyDescent="0.25">
      <c r="A1277" s="13">
        <v>79060980</v>
      </c>
      <c r="B1277" s="11" t="s">
        <v>116</v>
      </c>
      <c r="C1277" s="1" t="s">
        <v>985</v>
      </c>
      <c r="D1277" s="1" t="s">
        <v>117</v>
      </c>
      <c r="E1277" s="1" t="s">
        <v>958</v>
      </c>
    </row>
    <row r="1278" spans="1:5" x14ac:dyDescent="0.25">
      <c r="A1278" s="13">
        <v>79103842</v>
      </c>
      <c r="B1278" s="11" t="s">
        <v>84</v>
      </c>
      <c r="C1278" s="1" t="s">
        <v>3563</v>
      </c>
      <c r="D1278" s="1" t="s">
        <v>38</v>
      </c>
      <c r="E1278" s="1" t="s">
        <v>8</v>
      </c>
    </row>
    <row r="1279" spans="1:5" x14ac:dyDescent="0.25">
      <c r="A1279" s="13">
        <v>79106979</v>
      </c>
      <c r="B1279" s="11" t="s">
        <v>116</v>
      </c>
      <c r="C1279" s="1" t="s">
        <v>984</v>
      </c>
      <c r="D1279" s="1" t="s">
        <v>117</v>
      </c>
      <c r="E1279" s="1" t="s">
        <v>205</v>
      </c>
    </row>
    <row r="1280" spans="1:5" x14ac:dyDescent="0.25">
      <c r="A1280" s="13">
        <v>79108864</v>
      </c>
      <c r="B1280" s="11" t="s">
        <v>116</v>
      </c>
      <c r="C1280" s="1" t="s">
        <v>983</v>
      </c>
      <c r="D1280" s="1" t="s">
        <v>117</v>
      </c>
      <c r="E1280" s="1" t="s">
        <v>134</v>
      </c>
    </row>
    <row r="1281" spans="1:5" x14ac:dyDescent="0.25">
      <c r="A1281" s="13">
        <v>79111065</v>
      </c>
      <c r="B1281" s="11" t="s">
        <v>116</v>
      </c>
      <c r="C1281" s="1" t="s">
        <v>982</v>
      </c>
      <c r="D1281" s="1" t="s">
        <v>117</v>
      </c>
      <c r="E1281" s="1" t="s">
        <v>9</v>
      </c>
    </row>
    <row r="1282" spans="1:5" x14ac:dyDescent="0.25">
      <c r="A1282" s="13">
        <v>79113389</v>
      </c>
      <c r="B1282" s="11" t="s">
        <v>84</v>
      </c>
      <c r="C1282" s="1" t="s">
        <v>981</v>
      </c>
      <c r="D1282" s="1" t="s">
        <v>43</v>
      </c>
      <c r="E1282" s="1" t="s">
        <v>205</v>
      </c>
    </row>
    <row r="1283" spans="1:5" x14ac:dyDescent="0.25">
      <c r="A1283" s="13">
        <v>79131013</v>
      </c>
      <c r="B1283" s="11" t="s">
        <v>116</v>
      </c>
      <c r="C1283" s="1" t="s">
        <v>980</v>
      </c>
      <c r="D1283" s="1" t="s">
        <v>117</v>
      </c>
      <c r="E1283" s="1" t="s">
        <v>336</v>
      </c>
    </row>
    <row r="1284" spans="1:5" x14ac:dyDescent="0.25">
      <c r="A1284" s="13">
        <v>79133754</v>
      </c>
      <c r="B1284" s="11" t="s">
        <v>116</v>
      </c>
      <c r="C1284" s="1" t="s">
        <v>979</v>
      </c>
      <c r="D1284" s="1" t="s">
        <v>117</v>
      </c>
      <c r="E1284" s="1" t="s">
        <v>232</v>
      </c>
    </row>
    <row r="1285" spans="1:5" x14ac:dyDescent="0.25">
      <c r="A1285" s="13">
        <v>79137768</v>
      </c>
      <c r="B1285" s="11" t="s">
        <v>116</v>
      </c>
      <c r="C1285" s="1" t="s">
        <v>978</v>
      </c>
      <c r="D1285" s="1" t="s">
        <v>117</v>
      </c>
      <c r="E1285" s="1" t="s">
        <v>336</v>
      </c>
    </row>
    <row r="1286" spans="1:5" x14ac:dyDescent="0.25">
      <c r="A1286" s="13">
        <v>79138109</v>
      </c>
      <c r="B1286" s="11" t="s">
        <v>84</v>
      </c>
      <c r="C1286" s="1" t="s">
        <v>977</v>
      </c>
      <c r="D1286" s="1" t="s">
        <v>38</v>
      </c>
      <c r="E1286" s="1" t="s">
        <v>3</v>
      </c>
    </row>
    <row r="1287" spans="1:5" x14ac:dyDescent="0.25">
      <c r="A1287" s="13">
        <v>79142390</v>
      </c>
      <c r="B1287" s="11" t="s">
        <v>116</v>
      </c>
      <c r="C1287" s="1" t="s">
        <v>976</v>
      </c>
      <c r="D1287" s="1" t="s">
        <v>117</v>
      </c>
      <c r="E1287" s="1" t="s">
        <v>9</v>
      </c>
    </row>
    <row r="1288" spans="1:5" x14ac:dyDescent="0.25">
      <c r="A1288" s="13">
        <v>79142950</v>
      </c>
      <c r="B1288" s="11" t="s">
        <v>116</v>
      </c>
      <c r="C1288" s="1" t="s">
        <v>975</v>
      </c>
      <c r="D1288" s="1" t="s">
        <v>117</v>
      </c>
      <c r="E1288" s="1" t="s">
        <v>9</v>
      </c>
    </row>
    <row r="1289" spans="1:5" x14ac:dyDescent="0.25">
      <c r="A1289" s="13">
        <v>79144977</v>
      </c>
      <c r="B1289" s="11" t="s">
        <v>84</v>
      </c>
      <c r="C1289" s="1" t="s">
        <v>974</v>
      </c>
      <c r="D1289" s="1" t="s">
        <v>38</v>
      </c>
      <c r="E1289" s="1" t="s">
        <v>134</v>
      </c>
    </row>
    <row r="1290" spans="1:5" x14ac:dyDescent="0.25">
      <c r="A1290" s="13">
        <v>79186905</v>
      </c>
      <c r="B1290" s="11" t="s">
        <v>84</v>
      </c>
      <c r="C1290" s="1" t="s">
        <v>972</v>
      </c>
      <c r="D1290" s="1" t="s">
        <v>973</v>
      </c>
      <c r="E1290" s="1" t="s">
        <v>1</v>
      </c>
    </row>
    <row r="1291" spans="1:5" x14ac:dyDescent="0.25">
      <c r="A1291" s="13">
        <v>79188752</v>
      </c>
      <c r="B1291" s="11" t="s">
        <v>84</v>
      </c>
      <c r="C1291" s="1" t="s">
        <v>3247</v>
      </c>
      <c r="D1291" s="1" t="s">
        <v>43</v>
      </c>
      <c r="E1291" s="1" t="s">
        <v>10</v>
      </c>
    </row>
    <row r="1292" spans="1:5" x14ac:dyDescent="0.25">
      <c r="A1292" s="13">
        <v>79207497</v>
      </c>
      <c r="B1292" s="11" t="s">
        <v>109</v>
      </c>
      <c r="C1292" s="1" t="s">
        <v>970</v>
      </c>
      <c r="D1292" s="1" t="s">
        <v>131</v>
      </c>
      <c r="E1292" s="1" t="s">
        <v>131</v>
      </c>
    </row>
    <row r="1293" spans="1:5" x14ac:dyDescent="0.25">
      <c r="A1293" s="13">
        <v>79208171</v>
      </c>
      <c r="B1293" s="11" t="s">
        <v>84</v>
      </c>
      <c r="C1293" s="1" t="s">
        <v>969</v>
      </c>
      <c r="D1293" s="1" t="s">
        <v>43</v>
      </c>
      <c r="E1293" s="1" t="s">
        <v>3</v>
      </c>
    </row>
    <row r="1294" spans="1:5" x14ac:dyDescent="0.25">
      <c r="A1294" s="13">
        <v>79209238</v>
      </c>
      <c r="B1294" s="11" t="s">
        <v>84</v>
      </c>
      <c r="C1294" s="1" t="s">
        <v>3248</v>
      </c>
      <c r="D1294" s="1" t="s">
        <v>38</v>
      </c>
      <c r="E1294" s="1" t="s">
        <v>1276</v>
      </c>
    </row>
    <row r="1295" spans="1:5" x14ac:dyDescent="0.25">
      <c r="A1295" s="13">
        <v>79211001</v>
      </c>
      <c r="B1295" s="11" t="s">
        <v>84</v>
      </c>
      <c r="C1295" s="1" t="s">
        <v>3662</v>
      </c>
      <c r="D1295" s="1" t="s">
        <v>43</v>
      </c>
      <c r="E1295" s="1" t="s">
        <v>3253</v>
      </c>
    </row>
    <row r="1296" spans="1:5" x14ac:dyDescent="0.25">
      <c r="A1296" s="13">
        <v>79213214</v>
      </c>
      <c r="B1296" s="11" t="s">
        <v>116</v>
      </c>
      <c r="C1296" s="1" t="s">
        <v>968</v>
      </c>
      <c r="D1296" s="1" t="s">
        <v>117</v>
      </c>
      <c r="E1296" s="1" t="s">
        <v>10</v>
      </c>
    </row>
    <row r="1297" spans="1:5" x14ac:dyDescent="0.25">
      <c r="A1297" s="13">
        <v>79215414</v>
      </c>
      <c r="B1297" s="11" t="s">
        <v>84</v>
      </c>
      <c r="C1297" s="1" t="s">
        <v>967</v>
      </c>
      <c r="D1297" s="1" t="s">
        <v>38</v>
      </c>
      <c r="E1297" s="1" t="s">
        <v>3085</v>
      </c>
    </row>
    <row r="1298" spans="1:5" x14ac:dyDescent="0.25">
      <c r="A1298" s="13">
        <v>79215422</v>
      </c>
      <c r="B1298" s="11" t="s">
        <v>116</v>
      </c>
      <c r="C1298" s="1" t="s">
        <v>3069</v>
      </c>
      <c r="D1298" s="1" t="s">
        <v>117</v>
      </c>
      <c r="E1298" s="1" t="s">
        <v>120</v>
      </c>
    </row>
    <row r="1299" spans="1:5" x14ac:dyDescent="0.25">
      <c r="A1299" s="13">
        <v>79222238</v>
      </c>
      <c r="B1299" s="11" t="s">
        <v>83</v>
      </c>
      <c r="C1299" s="1" t="s">
        <v>966</v>
      </c>
      <c r="D1299" s="1" t="s">
        <v>366</v>
      </c>
      <c r="E1299" s="1" t="s">
        <v>367</v>
      </c>
    </row>
    <row r="1300" spans="1:5" x14ac:dyDescent="0.25">
      <c r="A1300" s="13">
        <v>79222984</v>
      </c>
      <c r="B1300" s="11" t="s">
        <v>84</v>
      </c>
      <c r="C1300" s="1" t="s">
        <v>965</v>
      </c>
      <c r="D1300" s="1" t="s">
        <v>43</v>
      </c>
      <c r="E1300" s="1" t="s">
        <v>168</v>
      </c>
    </row>
    <row r="1301" spans="1:5" x14ac:dyDescent="0.25">
      <c r="A1301" s="13">
        <v>79230529</v>
      </c>
      <c r="B1301" s="11" t="s">
        <v>109</v>
      </c>
      <c r="C1301" s="1" t="s">
        <v>964</v>
      </c>
      <c r="D1301" s="1" t="s">
        <v>131</v>
      </c>
      <c r="E1301" s="1" t="s">
        <v>131</v>
      </c>
    </row>
    <row r="1302" spans="1:5" x14ac:dyDescent="0.25">
      <c r="A1302" s="13">
        <v>79234691</v>
      </c>
      <c r="B1302" s="11" t="s">
        <v>116</v>
      </c>
      <c r="C1302" s="1" t="s">
        <v>963</v>
      </c>
      <c r="D1302" s="1" t="s">
        <v>117</v>
      </c>
      <c r="E1302" s="1" t="s">
        <v>237</v>
      </c>
    </row>
    <row r="1303" spans="1:5" x14ac:dyDescent="0.25">
      <c r="A1303" s="13">
        <v>79237619</v>
      </c>
      <c r="B1303" s="11" t="s">
        <v>116</v>
      </c>
      <c r="C1303" s="1" t="s">
        <v>3249</v>
      </c>
      <c r="D1303" s="1" t="s">
        <v>117</v>
      </c>
      <c r="E1303" s="1" t="s">
        <v>3118</v>
      </c>
    </row>
    <row r="1304" spans="1:5" x14ac:dyDescent="0.25">
      <c r="A1304" s="13">
        <v>79242919</v>
      </c>
      <c r="B1304" s="11" t="s">
        <v>116</v>
      </c>
      <c r="C1304" s="1" t="s">
        <v>962</v>
      </c>
      <c r="D1304" s="1" t="s">
        <v>117</v>
      </c>
      <c r="E1304" s="1" t="s">
        <v>186</v>
      </c>
    </row>
    <row r="1305" spans="1:5" x14ac:dyDescent="0.25">
      <c r="A1305" s="13">
        <v>79243248</v>
      </c>
      <c r="B1305" s="11" t="s">
        <v>116</v>
      </c>
      <c r="C1305" s="1" t="s">
        <v>961</v>
      </c>
      <c r="D1305" s="1" t="s">
        <v>117</v>
      </c>
      <c r="E1305" s="1" t="s">
        <v>127</v>
      </c>
    </row>
    <row r="1306" spans="1:5" x14ac:dyDescent="0.25">
      <c r="A1306" s="13">
        <v>79247107</v>
      </c>
      <c r="B1306" s="11" t="s">
        <v>84</v>
      </c>
      <c r="C1306" s="1" t="s">
        <v>3250</v>
      </c>
      <c r="D1306" s="1" t="s">
        <v>38</v>
      </c>
      <c r="E1306" s="1" t="s">
        <v>3211</v>
      </c>
    </row>
    <row r="1307" spans="1:5" x14ac:dyDescent="0.25">
      <c r="A1307" s="13">
        <v>79249383</v>
      </c>
      <c r="B1307" s="11" t="s">
        <v>109</v>
      </c>
      <c r="C1307" s="1" t="s">
        <v>960</v>
      </c>
      <c r="D1307" s="1" t="s">
        <v>131</v>
      </c>
      <c r="E1307" s="1" t="s">
        <v>131</v>
      </c>
    </row>
    <row r="1308" spans="1:5" x14ac:dyDescent="0.25">
      <c r="A1308" s="13">
        <v>79261120</v>
      </c>
      <c r="B1308" s="11" t="s">
        <v>84</v>
      </c>
      <c r="C1308" s="1" t="s">
        <v>957</v>
      </c>
      <c r="D1308" s="1" t="s">
        <v>38</v>
      </c>
      <c r="E1308" s="1" t="s">
        <v>958</v>
      </c>
    </row>
    <row r="1309" spans="1:5" x14ac:dyDescent="0.25">
      <c r="A1309" s="13">
        <v>79265589</v>
      </c>
      <c r="B1309" s="11" t="s">
        <v>116</v>
      </c>
      <c r="C1309" s="1" t="s">
        <v>956</v>
      </c>
      <c r="D1309" s="1" t="s">
        <v>117</v>
      </c>
      <c r="E1309" s="1" t="s">
        <v>9</v>
      </c>
    </row>
    <row r="1310" spans="1:5" x14ac:dyDescent="0.25">
      <c r="A1310" s="13">
        <v>79266171</v>
      </c>
      <c r="B1310" s="11" t="s">
        <v>83</v>
      </c>
      <c r="C1310" s="1" t="s">
        <v>954</v>
      </c>
      <c r="D1310" s="1" t="s">
        <v>955</v>
      </c>
      <c r="E1310" s="1" t="s">
        <v>668</v>
      </c>
    </row>
    <row r="1311" spans="1:5" x14ac:dyDescent="0.25">
      <c r="A1311" s="13">
        <v>79266956</v>
      </c>
      <c r="B1311" s="11" t="s">
        <v>116</v>
      </c>
      <c r="C1311" s="1" t="s">
        <v>953</v>
      </c>
      <c r="D1311" s="1" t="s">
        <v>151</v>
      </c>
      <c r="E1311" s="1" t="s">
        <v>152</v>
      </c>
    </row>
    <row r="1312" spans="1:5" x14ac:dyDescent="0.25">
      <c r="A1312" s="13">
        <v>79267534</v>
      </c>
      <c r="B1312" s="11" t="s">
        <v>84</v>
      </c>
      <c r="C1312" s="1" t="s">
        <v>952</v>
      </c>
      <c r="D1312" s="1" t="s">
        <v>37</v>
      </c>
      <c r="E1312" s="1" t="s">
        <v>939</v>
      </c>
    </row>
    <row r="1313" spans="1:5" x14ac:dyDescent="0.25">
      <c r="A1313" s="13">
        <v>79267858</v>
      </c>
      <c r="B1313" s="11" t="s">
        <v>84</v>
      </c>
      <c r="C1313" s="1" t="s">
        <v>951</v>
      </c>
      <c r="D1313" s="1" t="s">
        <v>43</v>
      </c>
      <c r="E1313" s="1" t="s">
        <v>11</v>
      </c>
    </row>
    <row r="1314" spans="1:5" x14ac:dyDescent="0.25">
      <c r="A1314" s="13">
        <v>79268556</v>
      </c>
      <c r="B1314" s="11" t="s">
        <v>116</v>
      </c>
      <c r="C1314" s="1" t="s">
        <v>950</v>
      </c>
      <c r="D1314" s="1" t="s">
        <v>117</v>
      </c>
      <c r="E1314" s="1" t="s">
        <v>147</v>
      </c>
    </row>
    <row r="1315" spans="1:5" x14ac:dyDescent="0.25">
      <c r="A1315" s="13">
        <v>79268626</v>
      </c>
      <c r="B1315" s="11" t="s">
        <v>84</v>
      </c>
      <c r="C1315" s="1" t="s">
        <v>3251</v>
      </c>
      <c r="D1315" s="1" t="s">
        <v>38</v>
      </c>
      <c r="E1315" s="1" t="s">
        <v>8</v>
      </c>
    </row>
    <row r="1316" spans="1:5" x14ac:dyDescent="0.25">
      <c r="A1316" s="13">
        <v>79270325</v>
      </c>
      <c r="B1316" s="11" t="s">
        <v>116</v>
      </c>
      <c r="C1316" s="1" t="s">
        <v>949</v>
      </c>
      <c r="D1316" s="1" t="s">
        <v>117</v>
      </c>
      <c r="E1316" s="1" t="s">
        <v>232</v>
      </c>
    </row>
    <row r="1317" spans="1:5" x14ac:dyDescent="0.25">
      <c r="A1317" s="13">
        <v>79272796</v>
      </c>
      <c r="B1317" s="11" t="s">
        <v>84</v>
      </c>
      <c r="C1317" s="1" t="s">
        <v>948</v>
      </c>
      <c r="D1317" s="1" t="s">
        <v>38</v>
      </c>
      <c r="E1317" s="1" t="s">
        <v>8</v>
      </c>
    </row>
    <row r="1318" spans="1:5" x14ac:dyDescent="0.25">
      <c r="A1318" s="13">
        <v>79275000</v>
      </c>
      <c r="B1318" s="11" t="s">
        <v>116</v>
      </c>
      <c r="C1318" s="1" t="s">
        <v>947</v>
      </c>
      <c r="D1318" s="1" t="s">
        <v>117</v>
      </c>
      <c r="E1318" s="1" t="s">
        <v>336</v>
      </c>
    </row>
    <row r="1319" spans="1:5" x14ac:dyDescent="0.25">
      <c r="A1319" s="13">
        <v>79278087</v>
      </c>
      <c r="B1319" s="11" t="s">
        <v>109</v>
      </c>
      <c r="C1319" s="1" t="s">
        <v>946</v>
      </c>
      <c r="D1319" s="1" t="s">
        <v>131</v>
      </c>
      <c r="E1319" s="1" t="s">
        <v>131</v>
      </c>
    </row>
    <row r="1320" spans="1:5" x14ac:dyDescent="0.25">
      <c r="A1320" s="13">
        <v>79280282</v>
      </c>
      <c r="B1320" s="11" t="s">
        <v>109</v>
      </c>
      <c r="C1320" s="1" t="s">
        <v>945</v>
      </c>
      <c r="D1320" s="1" t="s">
        <v>131</v>
      </c>
      <c r="E1320" s="1" t="s">
        <v>131</v>
      </c>
    </row>
    <row r="1321" spans="1:5" x14ac:dyDescent="0.25">
      <c r="A1321" s="13">
        <v>79280746</v>
      </c>
      <c r="B1321" s="11" t="s">
        <v>116</v>
      </c>
      <c r="C1321" s="1" t="s">
        <v>944</v>
      </c>
      <c r="D1321" s="1" t="s">
        <v>117</v>
      </c>
      <c r="E1321" s="1" t="s">
        <v>9</v>
      </c>
    </row>
    <row r="1322" spans="1:5" x14ac:dyDescent="0.25">
      <c r="A1322" s="13">
        <v>79283043</v>
      </c>
      <c r="B1322" s="11" t="s">
        <v>84</v>
      </c>
      <c r="C1322" s="1" t="s">
        <v>3003</v>
      </c>
      <c r="D1322" s="1" t="s">
        <v>38</v>
      </c>
      <c r="E1322" s="1" t="s">
        <v>3</v>
      </c>
    </row>
    <row r="1323" spans="1:5" x14ac:dyDescent="0.25">
      <c r="A1323" s="13">
        <v>79284790</v>
      </c>
      <c r="B1323" s="11" t="s">
        <v>116</v>
      </c>
      <c r="C1323" s="1" t="s">
        <v>943</v>
      </c>
      <c r="D1323" s="1" t="s">
        <v>117</v>
      </c>
      <c r="E1323" s="1" t="s">
        <v>10</v>
      </c>
    </row>
    <row r="1324" spans="1:5" x14ac:dyDescent="0.25">
      <c r="A1324" s="13">
        <v>79284929</v>
      </c>
      <c r="B1324" s="11" t="s">
        <v>84</v>
      </c>
      <c r="C1324" s="1" t="s">
        <v>942</v>
      </c>
      <c r="D1324" s="1" t="s">
        <v>38</v>
      </c>
      <c r="E1324" s="1" t="s">
        <v>417</v>
      </c>
    </row>
    <row r="1325" spans="1:5" x14ac:dyDescent="0.25">
      <c r="A1325" s="13">
        <v>79285127</v>
      </c>
      <c r="B1325" s="11" t="s">
        <v>84</v>
      </c>
      <c r="C1325" s="1" t="s">
        <v>941</v>
      </c>
      <c r="D1325" s="1" t="s">
        <v>38</v>
      </c>
      <c r="E1325" s="1" t="s">
        <v>127</v>
      </c>
    </row>
    <row r="1326" spans="1:5" x14ac:dyDescent="0.25">
      <c r="A1326" s="13">
        <v>79286558</v>
      </c>
      <c r="B1326" s="11" t="s">
        <v>109</v>
      </c>
      <c r="C1326" s="1" t="s">
        <v>940</v>
      </c>
      <c r="D1326" s="1" t="s">
        <v>131</v>
      </c>
      <c r="E1326" s="1" t="s">
        <v>131</v>
      </c>
    </row>
    <row r="1327" spans="1:5" x14ac:dyDescent="0.25">
      <c r="A1327" s="13">
        <v>79288554</v>
      </c>
      <c r="B1327" s="11" t="s">
        <v>84</v>
      </c>
      <c r="C1327" s="1" t="s">
        <v>938</v>
      </c>
      <c r="D1327" s="1" t="s">
        <v>37</v>
      </c>
      <c r="E1327" s="1" t="s">
        <v>939</v>
      </c>
    </row>
    <row r="1328" spans="1:5" x14ac:dyDescent="0.25">
      <c r="A1328" s="13">
        <v>79288850</v>
      </c>
      <c r="B1328" s="11" t="s">
        <v>116</v>
      </c>
      <c r="C1328" s="1" t="s">
        <v>937</v>
      </c>
      <c r="D1328" s="1" t="s">
        <v>117</v>
      </c>
      <c r="E1328" s="1" t="s">
        <v>186</v>
      </c>
    </row>
    <row r="1329" spans="1:5" x14ac:dyDescent="0.25">
      <c r="A1329" s="13">
        <v>79289466</v>
      </c>
      <c r="B1329" s="11" t="s">
        <v>116</v>
      </c>
      <c r="C1329" s="1" t="s">
        <v>936</v>
      </c>
      <c r="D1329" s="1" t="s">
        <v>117</v>
      </c>
      <c r="E1329" s="1" t="s">
        <v>11</v>
      </c>
    </row>
    <row r="1330" spans="1:5" x14ac:dyDescent="0.25">
      <c r="A1330" s="13">
        <v>79291693</v>
      </c>
      <c r="B1330" s="11" t="s">
        <v>84</v>
      </c>
      <c r="C1330" s="1" t="s">
        <v>935</v>
      </c>
      <c r="D1330" s="1" t="s">
        <v>38</v>
      </c>
      <c r="E1330" s="1" t="s">
        <v>12</v>
      </c>
    </row>
    <row r="1331" spans="1:5" x14ac:dyDescent="0.25">
      <c r="A1331" s="13">
        <v>79291829</v>
      </c>
      <c r="B1331" s="11" t="s">
        <v>116</v>
      </c>
      <c r="C1331" s="1" t="s">
        <v>934</v>
      </c>
      <c r="D1331" s="1" t="s">
        <v>117</v>
      </c>
      <c r="E1331" s="1" t="s">
        <v>263</v>
      </c>
    </row>
    <row r="1332" spans="1:5" x14ac:dyDescent="0.25">
      <c r="A1332" s="13">
        <v>79292437</v>
      </c>
      <c r="B1332" s="11" t="s">
        <v>84</v>
      </c>
      <c r="C1332" s="1" t="s">
        <v>933</v>
      </c>
      <c r="D1332" s="1" t="s">
        <v>38</v>
      </c>
      <c r="E1332" s="1" t="s">
        <v>13</v>
      </c>
    </row>
    <row r="1333" spans="1:5" x14ac:dyDescent="0.25">
      <c r="A1333" s="13">
        <v>79292527</v>
      </c>
      <c r="B1333" s="11" t="s">
        <v>109</v>
      </c>
      <c r="C1333" s="1" t="s">
        <v>932</v>
      </c>
      <c r="D1333" s="1" t="s">
        <v>131</v>
      </c>
      <c r="E1333" s="1" t="s">
        <v>131</v>
      </c>
    </row>
    <row r="1334" spans="1:5" x14ac:dyDescent="0.25">
      <c r="A1334" s="13">
        <v>79293936</v>
      </c>
      <c r="B1334" s="11" t="s">
        <v>116</v>
      </c>
      <c r="C1334" s="1" t="s">
        <v>931</v>
      </c>
      <c r="D1334" s="1" t="s">
        <v>117</v>
      </c>
      <c r="E1334" s="1" t="s">
        <v>186</v>
      </c>
    </row>
    <row r="1335" spans="1:5" x14ac:dyDescent="0.25">
      <c r="A1335" s="13">
        <v>79294035</v>
      </c>
      <c r="B1335" s="11" t="s">
        <v>109</v>
      </c>
      <c r="C1335" s="1" t="s">
        <v>930</v>
      </c>
      <c r="D1335" s="1" t="s">
        <v>131</v>
      </c>
      <c r="E1335" s="1" t="s">
        <v>131</v>
      </c>
    </row>
    <row r="1336" spans="1:5" x14ac:dyDescent="0.25">
      <c r="A1336" s="13">
        <v>79296544</v>
      </c>
      <c r="B1336" s="11" t="s">
        <v>116</v>
      </c>
      <c r="C1336" s="1" t="s">
        <v>929</v>
      </c>
      <c r="D1336" s="1" t="s">
        <v>117</v>
      </c>
      <c r="E1336" s="1" t="s">
        <v>6</v>
      </c>
    </row>
    <row r="1337" spans="1:5" x14ac:dyDescent="0.25">
      <c r="A1337" s="13">
        <v>79297776</v>
      </c>
      <c r="B1337" s="11" t="s">
        <v>116</v>
      </c>
      <c r="C1337" s="1" t="s">
        <v>928</v>
      </c>
      <c r="D1337" s="1" t="s">
        <v>117</v>
      </c>
      <c r="E1337" s="1" t="s">
        <v>147</v>
      </c>
    </row>
    <row r="1338" spans="1:5" x14ac:dyDescent="0.25">
      <c r="A1338" s="13">
        <v>79297876</v>
      </c>
      <c r="B1338" s="11" t="s">
        <v>109</v>
      </c>
      <c r="C1338" s="1" t="s">
        <v>927</v>
      </c>
      <c r="D1338" s="1" t="s">
        <v>131</v>
      </c>
      <c r="E1338" s="1" t="s">
        <v>131</v>
      </c>
    </row>
    <row r="1339" spans="1:5" x14ac:dyDescent="0.25">
      <c r="A1339" s="13">
        <v>79298164</v>
      </c>
      <c r="B1339" s="11" t="s">
        <v>84</v>
      </c>
      <c r="C1339" s="1" t="s">
        <v>926</v>
      </c>
      <c r="D1339" s="1" t="s">
        <v>38</v>
      </c>
      <c r="E1339" s="1" t="s">
        <v>237</v>
      </c>
    </row>
    <row r="1340" spans="1:5" x14ac:dyDescent="0.25">
      <c r="A1340" s="13">
        <v>79298711</v>
      </c>
      <c r="B1340" s="11" t="s">
        <v>84</v>
      </c>
      <c r="C1340" s="1" t="s">
        <v>925</v>
      </c>
      <c r="D1340" s="1" t="s">
        <v>38</v>
      </c>
      <c r="E1340" s="1" t="s">
        <v>333</v>
      </c>
    </row>
    <row r="1341" spans="1:5" x14ac:dyDescent="0.25">
      <c r="A1341" s="13">
        <v>79301557</v>
      </c>
      <c r="B1341" s="11" t="s">
        <v>84</v>
      </c>
      <c r="C1341" s="1" t="s">
        <v>3564</v>
      </c>
      <c r="D1341" s="1" t="s">
        <v>43</v>
      </c>
      <c r="E1341" s="1" t="s">
        <v>3253</v>
      </c>
    </row>
    <row r="1342" spans="1:5" x14ac:dyDescent="0.25">
      <c r="A1342" s="13">
        <v>79302513</v>
      </c>
      <c r="B1342" s="11" t="s">
        <v>116</v>
      </c>
      <c r="C1342" s="1" t="s">
        <v>924</v>
      </c>
      <c r="D1342" s="1" t="s">
        <v>117</v>
      </c>
      <c r="E1342" s="1" t="s">
        <v>14</v>
      </c>
    </row>
    <row r="1343" spans="1:5" x14ac:dyDescent="0.25">
      <c r="A1343" s="13">
        <v>79303153</v>
      </c>
      <c r="B1343" s="11" t="s">
        <v>84</v>
      </c>
      <c r="C1343" s="1" t="s">
        <v>923</v>
      </c>
      <c r="D1343" s="1" t="s">
        <v>43</v>
      </c>
      <c r="E1343" s="1" t="s">
        <v>119</v>
      </c>
    </row>
    <row r="1344" spans="1:5" x14ac:dyDescent="0.25">
      <c r="A1344" s="13">
        <v>79303573</v>
      </c>
      <c r="B1344" s="11" t="s">
        <v>116</v>
      </c>
      <c r="C1344" s="1" t="s">
        <v>922</v>
      </c>
      <c r="D1344" s="1" t="s">
        <v>117</v>
      </c>
      <c r="E1344" s="1" t="s">
        <v>134</v>
      </c>
    </row>
    <row r="1345" spans="1:5" x14ac:dyDescent="0.25">
      <c r="A1345" s="13">
        <v>79304122</v>
      </c>
      <c r="B1345" s="11" t="s">
        <v>109</v>
      </c>
      <c r="C1345" s="1" t="s">
        <v>921</v>
      </c>
      <c r="D1345" s="1" t="s">
        <v>131</v>
      </c>
      <c r="E1345" s="1" t="s">
        <v>131</v>
      </c>
    </row>
    <row r="1346" spans="1:5" x14ac:dyDescent="0.25">
      <c r="A1346" s="13">
        <v>79304287</v>
      </c>
      <c r="B1346" s="11" t="s">
        <v>116</v>
      </c>
      <c r="C1346" s="1" t="s">
        <v>920</v>
      </c>
      <c r="D1346" s="1" t="s">
        <v>117</v>
      </c>
      <c r="E1346" s="1" t="s">
        <v>170</v>
      </c>
    </row>
    <row r="1347" spans="1:5" x14ac:dyDescent="0.25">
      <c r="A1347" s="13">
        <v>79309161</v>
      </c>
      <c r="B1347" s="11" t="s">
        <v>83</v>
      </c>
      <c r="C1347" s="1" t="s">
        <v>919</v>
      </c>
      <c r="D1347" s="1" t="s">
        <v>57</v>
      </c>
      <c r="E1347" s="1" t="s">
        <v>23</v>
      </c>
    </row>
    <row r="1348" spans="1:5" x14ac:dyDescent="0.25">
      <c r="A1348" s="13">
        <v>79311808</v>
      </c>
      <c r="B1348" s="11" t="s">
        <v>84</v>
      </c>
      <c r="C1348" s="1" t="s">
        <v>918</v>
      </c>
      <c r="D1348" s="1" t="s">
        <v>43</v>
      </c>
      <c r="E1348" s="1" t="s">
        <v>127</v>
      </c>
    </row>
    <row r="1349" spans="1:5" x14ac:dyDescent="0.25">
      <c r="A1349" s="13">
        <v>79312652</v>
      </c>
      <c r="B1349" s="11" t="s">
        <v>84</v>
      </c>
      <c r="C1349" s="1" t="s">
        <v>917</v>
      </c>
      <c r="D1349" s="1" t="s">
        <v>43</v>
      </c>
      <c r="E1349" s="1" t="s">
        <v>10</v>
      </c>
    </row>
    <row r="1350" spans="1:5" x14ac:dyDescent="0.25">
      <c r="A1350" s="13">
        <v>79312656</v>
      </c>
      <c r="B1350" s="11" t="s">
        <v>84</v>
      </c>
      <c r="C1350" s="1" t="s">
        <v>916</v>
      </c>
      <c r="D1350" s="1" t="s">
        <v>131</v>
      </c>
      <c r="E1350" s="1" t="s">
        <v>8</v>
      </c>
    </row>
    <row r="1351" spans="1:5" x14ac:dyDescent="0.25">
      <c r="A1351" s="13">
        <v>79313678</v>
      </c>
      <c r="B1351" s="11" t="s">
        <v>84</v>
      </c>
      <c r="C1351" s="1" t="s">
        <v>915</v>
      </c>
      <c r="D1351" s="1" t="s">
        <v>3252</v>
      </c>
      <c r="E1351" s="1" t="s">
        <v>22</v>
      </c>
    </row>
    <row r="1352" spans="1:5" x14ac:dyDescent="0.25">
      <c r="A1352" s="13">
        <v>79314666</v>
      </c>
      <c r="B1352" s="11" t="s">
        <v>109</v>
      </c>
      <c r="C1352" s="1" t="s">
        <v>914</v>
      </c>
      <c r="D1352" s="1" t="s">
        <v>131</v>
      </c>
      <c r="E1352" s="1" t="s">
        <v>131</v>
      </c>
    </row>
    <row r="1353" spans="1:5" x14ac:dyDescent="0.25">
      <c r="A1353" s="13">
        <v>79317548</v>
      </c>
      <c r="B1353" s="11" t="s">
        <v>116</v>
      </c>
      <c r="C1353" s="1" t="s">
        <v>913</v>
      </c>
      <c r="D1353" s="1" t="s">
        <v>117</v>
      </c>
      <c r="E1353" s="1" t="s">
        <v>8</v>
      </c>
    </row>
    <row r="1354" spans="1:5" x14ac:dyDescent="0.25">
      <c r="A1354" s="13">
        <v>79318194</v>
      </c>
      <c r="B1354" s="11" t="s">
        <v>109</v>
      </c>
      <c r="C1354" s="1" t="s">
        <v>912</v>
      </c>
      <c r="D1354" s="1" t="s">
        <v>131</v>
      </c>
      <c r="E1354" s="1" t="s">
        <v>131</v>
      </c>
    </row>
    <row r="1355" spans="1:5" x14ac:dyDescent="0.25">
      <c r="A1355" s="13">
        <v>79320536</v>
      </c>
      <c r="B1355" s="11" t="s">
        <v>83</v>
      </c>
      <c r="C1355" s="1" t="s">
        <v>911</v>
      </c>
      <c r="D1355" s="1" t="s">
        <v>57</v>
      </c>
      <c r="E1355" s="1" t="s">
        <v>23</v>
      </c>
    </row>
    <row r="1356" spans="1:5" x14ac:dyDescent="0.25">
      <c r="A1356" s="13">
        <v>79323918</v>
      </c>
      <c r="B1356" s="11" t="s">
        <v>116</v>
      </c>
      <c r="C1356" s="1" t="s">
        <v>910</v>
      </c>
      <c r="D1356" s="1" t="s">
        <v>117</v>
      </c>
      <c r="E1356" s="1" t="s">
        <v>10</v>
      </c>
    </row>
    <row r="1357" spans="1:5" x14ac:dyDescent="0.25">
      <c r="A1357" s="13">
        <v>79326411</v>
      </c>
      <c r="B1357" s="11" t="s">
        <v>116</v>
      </c>
      <c r="C1357" s="1" t="s">
        <v>909</v>
      </c>
      <c r="D1357" s="1" t="s">
        <v>117</v>
      </c>
      <c r="E1357" s="1" t="s">
        <v>3</v>
      </c>
    </row>
    <row r="1358" spans="1:5" x14ac:dyDescent="0.25">
      <c r="A1358" s="13">
        <v>79327235</v>
      </c>
      <c r="B1358" s="11" t="s">
        <v>109</v>
      </c>
      <c r="C1358" s="1" t="s">
        <v>908</v>
      </c>
      <c r="D1358" s="1" t="s">
        <v>131</v>
      </c>
      <c r="E1358" s="1" t="s">
        <v>131</v>
      </c>
    </row>
    <row r="1359" spans="1:5" x14ac:dyDescent="0.25">
      <c r="A1359" s="13">
        <v>79327275</v>
      </c>
      <c r="B1359" s="11" t="s">
        <v>109</v>
      </c>
      <c r="C1359" s="1" t="s">
        <v>908</v>
      </c>
      <c r="D1359" s="1" t="s">
        <v>131</v>
      </c>
      <c r="E1359" s="1" t="s">
        <v>131</v>
      </c>
    </row>
    <row r="1360" spans="1:5" x14ac:dyDescent="0.25">
      <c r="A1360" s="13">
        <v>79327611</v>
      </c>
      <c r="B1360" s="11" t="s">
        <v>116</v>
      </c>
      <c r="C1360" s="1" t="s">
        <v>907</v>
      </c>
      <c r="D1360" s="1" t="s">
        <v>117</v>
      </c>
      <c r="E1360" s="1" t="s">
        <v>232</v>
      </c>
    </row>
    <row r="1361" spans="1:5" x14ac:dyDescent="0.25">
      <c r="A1361" s="13">
        <v>79328875</v>
      </c>
      <c r="B1361" s="11" t="s">
        <v>116</v>
      </c>
      <c r="C1361" s="1" t="s">
        <v>906</v>
      </c>
      <c r="D1361" s="1" t="s">
        <v>117</v>
      </c>
      <c r="E1361" s="1" t="s">
        <v>86</v>
      </c>
    </row>
    <row r="1362" spans="1:5" x14ac:dyDescent="0.25">
      <c r="A1362" s="13">
        <v>79328956</v>
      </c>
      <c r="B1362" s="11" t="s">
        <v>84</v>
      </c>
      <c r="C1362" s="1" t="s">
        <v>905</v>
      </c>
      <c r="D1362" s="1" t="s">
        <v>38</v>
      </c>
      <c r="E1362" s="1" t="s">
        <v>14</v>
      </c>
    </row>
    <row r="1363" spans="1:5" x14ac:dyDescent="0.25">
      <c r="A1363" s="13">
        <v>79329527</v>
      </c>
      <c r="B1363" s="11" t="s">
        <v>116</v>
      </c>
      <c r="C1363" s="1" t="s">
        <v>904</v>
      </c>
      <c r="D1363" s="1" t="s">
        <v>117</v>
      </c>
      <c r="E1363" s="1" t="s">
        <v>85</v>
      </c>
    </row>
    <row r="1364" spans="1:5" x14ac:dyDescent="0.25">
      <c r="A1364" s="13">
        <v>79330046</v>
      </c>
      <c r="B1364" s="11" t="s">
        <v>84</v>
      </c>
      <c r="C1364" s="1" t="s">
        <v>903</v>
      </c>
      <c r="D1364" s="1" t="s">
        <v>38</v>
      </c>
      <c r="E1364" s="1" t="s">
        <v>333</v>
      </c>
    </row>
    <row r="1365" spans="1:5" x14ac:dyDescent="0.25">
      <c r="A1365" s="13">
        <v>79330536</v>
      </c>
      <c r="B1365" s="11" t="s">
        <v>116</v>
      </c>
      <c r="C1365" s="1" t="s">
        <v>902</v>
      </c>
      <c r="D1365" s="1" t="s">
        <v>117</v>
      </c>
      <c r="E1365" s="1" t="s">
        <v>186</v>
      </c>
    </row>
    <row r="1366" spans="1:5" x14ac:dyDescent="0.25">
      <c r="A1366" s="13">
        <v>79331644</v>
      </c>
      <c r="B1366" s="11" t="s">
        <v>116</v>
      </c>
      <c r="C1366" s="1" t="s">
        <v>901</v>
      </c>
      <c r="D1366" s="1" t="s">
        <v>117</v>
      </c>
      <c r="E1366" s="1" t="s">
        <v>205</v>
      </c>
    </row>
    <row r="1367" spans="1:5" x14ac:dyDescent="0.25">
      <c r="A1367" s="13">
        <v>79339230</v>
      </c>
      <c r="B1367" s="11" t="s">
        <v>109</v>
      </c>
      <c r="C1367" s="1" t="s">
        <v>900</v>
      </c>
      <c r="D1367" s="1" t="s">
        <v>131</v>
      </c>
      <c r="E1367" s="1" t="s">
        <v>131</v>
      </c>
    </row>
    <row r="1368" spans="1:5" x14ac:dyDescent="0.25">
      <c r="A1368" s="13">
        <v>79341133</v>
      </c>
      <c r="B1368" s="11" t="s">
        <v>84</v>
      </c>
      <c r="C1368" s="1" t="s">
        <v>899</v>
      </c>
      <c r="D1368" s="1" t="s">
        <v>38</v>
      </c>
      <c r="E1368" s="1" t="s">
        <v>8</v>
      </c>
    </row>
    <row r="1369" spans="1:5" x14ac:dyDescent="0.25">
      <c r="A1369" s="13">
        <v>79342851</v>
      </c>
      <c r="B1369" s="11" t="s">
        <v>116</v>
      </c>
      <c r="C1369" s="1" t="s">
        <v>898</v>
      </c>
      <c r="D1369" s="1" t="s">
        <v>117</v>
      </c>
      <c r="E1369" s="1" t="s">
        <v>127</v>
      </c>
    </row>
    <row r="1370" spans="1:5" x14ac:dyDescent="0.25">
      <c r="A1370" s="13">
        <v>79347905</v>
      </c>
      <c r="B1370" s="11" t="s">
        <v>109</v>
      </c>
      <c r="C1370" s="1" t="s">
        <v>897</v>
      </c>
      <c r="D1370" s="1" t="s">
        <v>131</v>
      </c>
      <c r="E1370" s="1" t="s">
        <v>131</v>
      </c>
    </row>
    <row r="1371" spans="1:5" x14ac:dyDescent="0.25">
      <c r="A1371" s="13">
        <v>79348343</v>
      </c>
      <c r="B1371" s="11" t="s">
        <v>109</v>
      </c>
      <c r="C1371" s="1" t="s">
        <v>896</v>
      </c>
      <c r="D1371" s="1" t="s">
        <v>131</v>
      </c>
      <c r="E1371" s="1" t="s">
        <v>131</v>
      </c>
    </row>
    <row r="1372" spans="1:5" x14ac:dyDescent="0.25">
      <c r="A1372" s="13">
        <v>79348766</v>
      </c>
      <c r="B1372" s="11" t="s">
        <v>116</v>
      </c>
      <c r="C1372" s="1" t="s">
        <v>895</v>
      </c>
      <c r="D1372" s="1" t="s">
        <v>117</v>
      </c>
      <c r="E1372" s="1" t="s">
        <v>10</v>
      </c>
    </row>
    <row r="1373" spans="1:5" x14ac:dyDescent="0.25">
      <c r="A1373" s="13">
        <v>79351563</v>
      </c>
      <c r="B1373" s="11" t="s">
        <v>83</v>
      </c>
      <c r="C1373" s="1" t="s">
        <v>894</v>
      </c>
      <c r="D1373" s="1" t="s">
        <v>350</v>
      </c>
      <c r="E1373" s="1" t="s">
        <v>28</v>
      </c>
    </row>
    <row r="1374" spans="1:5" x14ac:dyDescent="0.25">
      <c r="A1374" s="13">
        <v>79359496</v>
      </c>
      <c r="B1374" s="11" t="s">
        <v>116</v>
      </c>
      <c r="C1374" s="1" t="s">
        <v>893</v>
      </c>
      <c r="D1374" s="1" t="s">
        <v>117</v>
      </c>
      <c r="E1374" s="1" t="s">
        <v>6</v>
      </c>
    </row>
    <row r="1375" spans="1:5" x14ac:dyDescent="0.25">
      <c r="A1375" s="13">
        <v>79361623</v>
      </c>
      <c r="B1375" s="11" t="s">
        <v>84</v>
      </c>
      <c r="C1375" s="1" t="s">
        <v>892</v>
      </c>
      <c r="D1375" s="1" t="s">
        <v>38</v>
      </c>
      <c r="E1375" s="1" t="s">
        <v>170</v>
      </c>
    </row>
    <row r="1376" spans="1:5" x14ac:dyDescent="0.25">
      <c r="A1376" s="13">
        <v>79361797</v>
      </c>
      <c r="B1376" s="11" t="s">
        <v>116</v>
      </c>
      <c r="C1376" s="1" t="s">
        <v>891</v>
      </c>
      <c r="D1376" s="1" t="s">
        <v>117</v>
      </c>
      <c r="E1376" s="1" t="s">
        <v>10</v>
      </c>
    </row>
    <row r="1377" spans="1:5" x14ac:dyDescent="0.25">
      <c r="A1377" s="13">
        <v>79364835</v>
      </c>
      <c r="B1377" s="11" t="s">
        <v>116</v>
      </c>
      <c r="C1377" s="1" t="s">
        <v>890</v>
      </c>
      <c r="D1377" s="1" t="s">
        <v>117</v>
      </c>
      <c r="E1377" s="1" t="s">
        <v>12</v>
      </c>
    </row>
    <row r="1378" spans="1:5" x14ac:dyDescent="0.25">
      <c r="A1378" s="13">
        <v>79365187</v>
      </c>
      <c r="B1378" s="11" t="s">
        <v>116</v>
      </c>
      <c r="C1378" s="1" t="s">
        <v>889</v>
      </c>
      <c r="D1378" s="1" t="s">
        <v>117</v>
      </c>
      <c r="E1378" s="1" t="s">
        <v>120</v>
      </c>
    </row>
    <row r="1379" spans="1:5" x14ac:dyDescent="0.25">
      <c r="A1379" s="13">
        <v>79367854</v>
      </c>
      <c r="B1379" s="11" t="s">
        <v>116</v>
      </c>
      <c r="C1379" s="1" t="s">
        <v>888</v>
      </c>
      <c r="D1379" s="1" t="s">
        <v>117</v>
      </c>
      <c r="E1379" s="1" t="s">
        <v>10</v>
      </c>
    </row>
    <row r="1380" spans="1:5" x14ac:dyDescent="0.25">
      <c r="A1380" s="13">
        <v>79368362</v>
      </c>
      <c r="B1380" s="11" t="s">
        <v>116</v>
      </c>
      <c r="C1380" s="1" t="s">
        <v>887</v>
      </c>
      <c r="D1380" s="1" t="s">
        <v>151</v>
      </c>
      <c r="E1380" s="1" t="s">
        <v>152</v>
      </c>
    </row>
    <row r="1381" spans="1:5" x14ac:dyDescent="0.25">
      <c r="A1381" s="13">
        <v>79369803</v>
      </c>
      <c r="B1381" s="11" t="s">
        <v>116</v>
      </c>
      <c r="C1381" s="1" t="s">
        <v>886</v>
      </c>
      <c r="D1381" s="1" t="s">
        <v>117</v>
      </c>
      <c r="E1381" s="1" t="s">
        <v>336</v>
      </c>
    </row>
    <row r="1382" spans="1:5" x14ac:dyDescent="0.25">
      <c r="A1382" s="13">
        <v>79371285</v>
      </c>
      <c r="B1382" s="11" t="s">
        <v>109</v>
      </c>
      <c r="C1382" s="1" t="s">
        <v>885</v>
      </c>
      <c r="D1382" s="1" t="s">
        <v>131</v>
      </c>
      <c r="E1382" s="1" t="s">
        <v>131</v>
      </c>
    </row>
    <row r="1383" spans="1:5" x14ac:dyDescent="0.25">
      <c r="A1383" s="13">
        <v>79371743</v>
      </c>
      <c r="B1383" s="11" t="s">
        <v>116</v>
      </c>
      <c r="C1383" s="1" t="s">
        <v>884</v>
      </c>
      <c r="D1383" s="1" t="s">
        <v>117</v>
      </c>
      <c r="E1383" s="1" t="s">
        <v>3</v>
      </c>
    </row>
    <row r="1384" spans="1:5" x14ac:dyDescent="0.25">
      <c r="A1384" s="13">
        <v>79373189</v>
      </c>
      <c r="B1384" s="11" t="s">
        <v>83</v>
      </c>
      <c r="C1384" s="1" t="s">
        <v>883</v>
      </c>
      <c r="D1384" s="1" t="s">
        <v>35</v>
      </c>
      <c r="E1384" s="1" t="s">
        <v>4</v>
      </c>
    </row>
    <row r="1385" spans="1:5" x14ac:dyDescent="0.25">
      <c r="A1385" s="13">
        <v>79380995</v>
      </c>
      <c r="B1385" s="11" t="s">
        <v>109</v>
      </c>
      <c r="C1385" s="1" t="s">
        <v>882</v>
      </c>
      <c r="D1385" s="1" t="s">
        <v>131</v>
      </c>
      <c r="E1385" s="1" t="s">
        <v>131</v>
      </c>
    </row>
    <row r="1386" spans="1:5" x14ac:dyDescent="0.25">
      <c r="A1386" s="13">
        <v>79381088</v>
      </c>
      <c r="B1386" s="11" t="s">
        <v>116</v>
      </c>
      <c r="C1386" s="1" t="s">
        <v>880</v>
      </c>
      <c r="D1386" s="1" t="s">
        <v>117</v>
      </c>
      <c r="E1386" s="1" t="s">
        <v>881</v>
      </c>
    </row>
    <row r="1387" spans="1:5" x14ac:dyDescent="0.25">
      <c r="A1387" s="13">
        <v>79384819</v>
      </c>
      <c r="B1387" s="11" t="s">
        <v>116</v>
      </c>
      <c r="C1387" s="1" t="s">
        <v>879</v>
      </c>
      <c r="D1387" s="1" t="s">
        <v>117</v>
      </c>
      <c r="E1387" s="1" t="s">
        <v>147</v>
      </c>
    </row>
    <row r="1388" spans="1:5" x14ac:dyDescent="0.25">
      <c r="A1388" s="13">
        <v>79386258</v>
      </c>
      <c r="B1388" s="11" t="s">
        <v>84</v>
      </c>
      <c r="C1388" s="1" t="s">
        <v>878</v>
      </c>
      <c r="D1388" s="1" t="s">
        <v>381</v>
      </c>
      <c r="E1388" s="1" t="s">
        <v>26</v>
      </c>
    </row>
    <row r="1389" spans="1:5" x14ac:dyDescent="0.25">
      <c r="A1389" s="13">
        <v>79387780</v>
      </c>
      <c r="B1389" s="11" t="s">
        <v>109</v>
      </c>
      <c r="C1389" s="1" t="s">
        <v>877</v>
      </c>
      <c r="D1389" s="1" t="s">
        <v>131</v>
      </c>
      <c r="E1389" s="1" t="s">
        <v>131</v>
      </c>
    </row>
    <row r="1390" spans="1:5" x14ac:dyDescent="0.25">
      <c r="A1390" s="13">
        <v>79389194</v>
      </c>
      <c r="B1390" s="11" t="s">
        <v>84</v>
      </c>
      <c r="C1390" s="1" t="s">
        <v>875</v>
      </c>
      <c r="D1390" s="1" t="s">
        <v>185</v>
      </c>
      <c r="E1390" s="1" t="s">
        <v>876</v>
      </c>
    </row>
    <row r="1391" spans="1:5" x14ac:dyDescent="0.25">
      <c r="A1391" s="13">
        <v>79389329</v>
      </c>
      <c r="B1391" s="11" t="s">
        <v>83</v>
      </c>
      <c r="C1391" s="1" t="s">
        <v>873</v>
      </c>
      <c r="D1391" s="1" t="s">
        <v>874</v>
      </c>
      <c r="E1391" s="1" t="s">
        <v>24</v>
      </c>
    </row>
    <row r="1392" spans="1:5" x14ac:dyDescent="0.25">
      <c r="A1392" s="13">
        <v>79391098</v>
      </c>
      <c r="B1392" s="11" t="s">
        <v>83</v>
      </c>
      <c r="C1392" s="1" t="s">
        <v>872</v>
      </c>
      <c r="D1392" s="1" t="s">
        <v>366</v>
      </c>
      <c r="E1392" s="1" t="s">
        <v>248</v>
      </c>
    </row>
    <row r="1393" spans="1:5" x14ac:dyDescent="0.25">
      <c r="A1393" s="13">
        <v>79393592</v>
      </c>
      <c r="B1393" s="11" t="s">
        <v>116</v>
      </c>
      <c r="C1393" s="1" t="s">
        <v>871</v>
      </c>
      <c r="D1393" s="1" t="s">
        <v>117</v>
      </c>
      <c r="E1393" s="1" t="s">
        <v>9</v>
      </c>
    </row>
    <row r="1394" spans="1:5" x14ac:dyDescent="0.25">
      <c r="A1394" s="13">
        <v>79394072</v>
      </c>
      <c r="B1394" s="11" t="s">
        <v>84</v>
      </c>
      <c r="C1394" s="1" t="s">
        <v>870</v>
      </c>
      <c r="D1394" s="1" t="s">
        <v>38</v>
      </c>
      <c r="E1394" s="1" t="s">
        <v>7</v>
      </c>
    </row>
    <row r="1395" spans="1:5" x14ac:dyDescent="0.25">
      <c r="A1395" s="13">
        <v>79396247</v>
      </c>
      <c r="B1395" s="11" t="s">
        <v>109</v>
      </c>
      <c r="C1395" s="1" t="s">
        <v>869</v>
      </c>
      <c r="D1395" s="1" t="s">
        <v>131</v>
      </c>
      <c r="E1395" s="1" t="s">
        <v>131</v>
      </c>
    </row>
    <row r="1396" spans="1:5" x14ac:dyDescent="0.25">
      <c r="A1396" s="13">
        <v>79397094</v>
      </c>
      <c r="B1396" s="11" t="s">
        <v>116</v>
      </c>
      <c r="C1396" s="1" t="s">
        <v>868</v>
      </c>
      <c r="D1396" s="1" t="s">
        <v>117</v>
      </c>
      <c r="E1396" s="1" t="s">
        <v>186</v>
      </c>
    </row>
    <row r="1397" spans="1:5" x14ac:dyDescent="0.25">
      <c r="A1397" s="13">
        <v>79399890</v>
      </c>
      <c r="B1397" s="11" t="s">
        <v>116</v>
      </c>
      <c r="C1397" s="1" t="s">
        <v>867</v>
      </c>
      <c r="D1397" s="1" t="s">
        <v>117</v>
      </c>
      <c r="E1397" s="1" t="s">
        <v>6</v>
      </c>
    </row>
    <row r="1398" spans="1:5" x14ac:dyDescent="0.25">
      <c r="A1398" s="13">
        <v>79401246</v>
      </c>
      <c r="B1398" s="11" t="s">
        <v>84</v>
      </c>
      <c r="C1398" s="1" t="s">
        <v>866</v>
      </c>
      <c r="D1398" s="1" t="s">
        <v>38</v>
      </c>
      <c r="E1398" s="1" t="s">
        <v>11</v>
      </c>
    </row>
    <row r="1399" spans="1:5" x14ac:dyDescent="0.25">
      <c r="A1399" s="13">
        <v>79402193</v>
      </c>
      <c r="B1399" s="11" t="s">
        <v>116</v>
      </c>
      <c r="C1399" s="1" t="s">
        <v>865</v>
      </c>
      <c r="D1399" s="1" t="s">
        <v>151</v>
      </c>
      <c r="E1399" s="1" t="s">
        <v>152</v>
      </c>
    </row>
    <row r="1400" spans="1:5" x14ac:dyDescent="0.25">
      <c r="A1400" s="13">
        <v>79404724</v>
      </c>
      <c r="B1400" s="11" t="s">
        <v>116</v>
      </c>
      <c r="C1400" s="1" t="s">
        <v>864</v>
      </c>
      <c r="D1400" s="1" t="s">
        <v>117</v>
      </c>
      <c r="E1400" s="1" t="s">
        <v>12</v>
      </c>
    </row>
    <row r="1401" spans="1:5" x14ac:dyDescent="0.25">
      <c r="A1401" s="13">
        <v>79406526</v>
      </c>
      <c r="B1401" s="11" t="s">
        <v>109</v>
      </c>
      <c r="C1401" s="1" t="s">
        <v>863</v>
      </c>
      <c r="D1401" s="1" t="s">
        <v>131</v>
      </c>
      <c r="E1401" s="1" t="s">
        <v>131</v>
      </c>
    </row>
    <row r="1402" spans="1:5" x14ac:dyDescent="0.25">
      <c r="A1402" s="13">
        <v>79406563</v>
      </c>
      <c r="B1402" s="11" t="s">
        <v>116</v>
      </c>
      <c r="C1402" s="1" t="s">
        <v>862</v>
      </c>
      <c r="D1402" s="1" t="s">
        <v>117</v>
      </c>
      <c r="E1402" s="1" t="s">
        <v>119</v>
      </c>
    </row>
    <row r="1403" spans="1:5" x14ac:dyDescent="0.25">
      <c r="A1403" s="13">
        <v>79406591</v>
      </c>
      <c r="B1403" s="11" t="s">
        <v>109</v>
      </c>
      <c r="C1403" s="1" t="s">
        <v>861</v>
      </c>
      <c r="D1403" s="1" t="s">
        <v>131</v>
      </c>
      <c r="E1403" s="1" t="s">
        <v>131</v>
      </c>
    </row>
    <row r="1404" spans="1:5" x14ac:dyDescent="0.25">
      <c r="A1404" s="13">
        <v>79407179</v>
      </c>
      <c r="B1404" s="11" t="s">
        <v>83</v>
      </c>
      <c r="C1404" s="1" t="s">
        <v>3023</v>
      </c>
      <c r="D1404" s="1" t="s">
        <v>57</v>
      </c>
      <c r="E1404" s="1" t="s">
        <v>23</v>
      </c>
    </row>
    <row r="1405" spans="1:5" x14ac:dyDescent="0.25">
      <c r="A1405" s="13">
        <v>79407701</v>
      </c>
      <c r="B1405" s="11" t="s">
        <v>116</v>
      </c>
      <c r="C1405" s="1" t="s">
        <v>860</v>
      </c>
      <c r="D1405" s="1" t="s">
        <v>117</v>
      </c>
      <c r="E1405" s="1" t="s">
        <v>10</v>
      </c>
    </row>
    <row r="1406" spans="1:5" x14ac:dyDescent="0.25">
      <c r="A1406" s="13">
        <v>79407930</v>
      </c>
      <c r="B1406" s="11" t="s">
        <v>116</v>
      </c>
      <c r="C1406" s="1" t="s">
        <v>859</v>
      </c>
      <c r="D1406" s="1" t="s">
        <v>117</v>
      </c>
      <c r="E1406" s="1" t="s">
        <v>9</v>
      </c>
    </row>
    <row r="1407" spans="1:5" x14ac:dyDescent="0.25">
      <c r="A1407" s="13">
        <v>79410700</v>
      </c>
      <c r="B1407" s="11" t="s">
        <v>116</v>
      </c>
      <c r="C1407" s="1" t="s">
        <v>858</v>
      </c>
      <c r="D1407" s="1" t="s">
        <v>117</v>
      </c>
      <c r="E1407" s="1" t="s">
        <v>3</v>
      </c>
    </row>
    <row r="1408" spans="1:5" x14ac:dyDescent="0.25">
      <c r="A1408" s="13">
        <v>79411410</v>
      </c>
      <c r="B1408" s="11" t="s">
        <v>109</v>
      </c>
      <c r="C1408" s="1" t="s">
        <v>857</v>
      </c>
      <c r="D1408" s="1" t="s">
        <v>131</v>
      </c>
      <c r="E1408" s="1" t="s">
        <v>131</v>
      </c>
    </row>
    <row r="1409" spans="1:5" x14ac:dyDescent="0.25">
      <c r="A1409" s="13">
        <v>79411946</v>
      </c>
      <c r="B1409" s="11" t="s">
        <v>116</v>
      </c>
      <c r="C1409" s="1" t="s">
        <v>856</v>
      </c>
      <c r="D1409" s="1" t="s">
        <v>117</v>
      </c>
      <c r="E1409" s="1" t="s">
        <v>6</v>
      </c>
    </row>
    <row r="1410" spans="1:5" x14ac:dyDescent="0.25">
      <c r="A1410" s="13">
        <v>79412089</v>
      </c>
      <c r="B1410" s="11" t="s">
        <v>116</v>
      </c>
      <c r="C1410" s="1" t="s">
        <v>855</v>
      </c>
      <c r="D1410" s="1" t="s">
        <v>117</v>
      </c>
      <c r="E1410" s="1" t="s">
        <v>170</v>
      </c>
    </row>
    <row r="1411" spans="1:5" x14ac:dyDescent="0.25">
      <c r="A1411" s="13">
        <v>79415486</v>
      </c>
      <c r="B1411" s="11" t="s">
        <v>83</v>
      </c>
      <c r="C1411" s="1" t="s">
        <v>854</v>
      </c>
      <c r="D1411" s="1" t="s">
        <v>91</v>
      </c>
      <c r="E1411" s="1" t="s">
        <v>24</v>
      </c>
    </row>
    <row r="1412" spans="1:5" x14ac:dyDescent="0.25">
      <c r="A1412" s="13">
        <v>79417584</v>
      </c>
      <c r="B1412" s="11" t="s">
        <v>83</v>
      </c>
      <c r="C1412" s="1" t="s">
        <v>853</v>
      </c>
      <c r="D1412" s="1" t="s">
        <v>57</v>
      </c>
      <c r="E1412" s="1" t="s">
        <v>23</v>
      </c>
    </row>
    <row r="1413" spans="1:5" x14ac:dyDescent="0.25">
      <c r="A1413" s="13">
        <v>79419012</v>
      </c>
      <c r="B1413" s="11" t="s">
        <v>116</v>
      </c>
      <c r="C1413" s="1" t="s">
        <v>852</v>
      </c>
      <c r="D1413" s="1" t="s">
        <v>117</v>
      </c>
      <c r="E1413" s="1" t="s">
        <v>147</v>
      </c>
    </row>
    <row r="1414" spans="1:5" x14ac:dyDescent="0.25">
      <c r="A1414" s="13">
        <v>79419351</v>
      </c>
      <c r="B1414" s="11" t="s">
        <v>84</v>
      </c>
      <c r="C1414" s="1" t="s">
        <v>851</v>
      </c>
      <c r="D1414" s="1" t="s">
        <v>43</v>
      </c>
      <c r="E1414" s="1" t="s">
        <v>3</v>
      </c>
    </row>
    <row r="1415" spans="1:5" x14ac:dyDescent="0.25">
      <c r="A1415" s="13">
        <v>79420856</v>
      </c>
      <c r="B1415" s="11" t="s">
        <v>84</v>
      </c>
      <c r="C1415" s="1" t="s">
        <v>850</v>
      </c>
      <c r="D1415" s="1" t="s">
        <v>43</v>
      </c>
      <c r="E1415" s="1" t="s">
        <v>9</v>
      </c>
    </row>
    <row r="1416" spans="1:5" x14ac:dyDescent="0.25">
      <c r="A1416" s="13">
        <v>79422566</v>
      </c>
      <c r="B1416" s="11" t="s">
        <v>84</v>
      </c>
      <c r="C1416" s="1" t="s">
        <v>849</v>
      </c>
      <c r="D1416" s="1" t="s">
        <v>131</v>
      </c>
      <c r="E1416" s="1" t="s">
        <v>1</v>
      </c>
    </row>
    <row r="1417" spans="1:5" x14ac:dyDescent="0.25">
      <c r="A1417" s="13">
        <v>79422890</v>
      </c>
      <c r="B1417" s="11" t="s">
        <v>116</v>
      </c>
      <c r="C1417" s="1" t="s">
        <v>848</v>
      </c>
      <c r="D1417" s="1" t="s">
        <v>117</v>
      </c>
      <c r="E1417" s="1" t="s">
        <v>12</v>
      </c>
    </row>
    <row r="1418" spans="1:5" x14ac:dyDescent="0.25">
      <c r="A1418" s="13">
        <v>79423094</v>
      </c>
      <c r="B1418" s="11" t="s">
        <v>116</v>
      </c>
      <c r="C1418" s="1" t="s">
        <v>847</v>
      </c>
      <c r="D1418" s="1" t="s">
        <v>117</v>
      </c>
      <c r="E1418" s="1" t="s">
        <v>134</v>
      </c>
    </row>
    <row r="1419" spans="1:5" x14ac:dyDescent="0.25">
      <c r="A1419" s="13">
        <v>79425787</v>
      </c>
      <c r="B1419" s="11" t="s">
        <v>116</v>
      </c>
      <c r="C1419" s="1" t="s">
        <v>846</v>
      </c>
      <c r="D1419" s="1" t="s">
        <v>117</v>
      </c>
      <c r="E1419" s="1" t="s">
        <v>232</v>
      </c>
    </row>
    <row r="1420" spans="1:5" x14ac:dyDescent="0.25">
      <c r="A1420" s="13">
        <v>79426312</v>
      </c>
      <c r="B1420" s="11" t="s">
        <v>116</v>
      </c>
      <c r="C1420" s="1" t="s">
        <v>845</v>
      </c>
      <c r="D1420" s="1" t="s">
        <v>117</v>
      </c>
      <c r="E1420" s="1" t="s">
        <v>237</v>
      </c>
    </row>
    <row r="1421" spans="1:5" x14ac:dyDescent="0.25">
      <c r="A1421" s="13">
        <v>79427009</v>
      </c>
      <c r="B1421" s="11" t="s">
        <v>84</v>
      </c>
      <c r="C1421" s="1" t="s">
        <v>844</v>
      </c>
      <c r="D1421" s="1" t="s">
        <v>38</v>
      </c>
      <c r="E1421" s="1" t="s">
        <v>3</v>
      </c>
    </row>
    <row r="1422" spans="1:5" x14ac:dyDescent="0.25">
      <c r="A1422" s="13">
        <v>79428872</v>
      </c>
      <c r="B1422" s="11" t="s">
        <v>116</v>
      </c>
      <c r="C1422" s="1" t="s">
        <v>843</v>
      </c>
      <c r="D1422" s="1" t="s">
        <v>117</v>
      </c>
      <c r="E1422" s="1" t="s">
        <v>186</v>
      </c>
    </row>
    <row r="1423" spans="1:5" x14ac:dyDescent="0.25">
      <c r="A1423" s="13">
        <v>79429793</v>
      </c>
      <c r="B1423" s="11" t="s">
        <v>116</v>
      </c>
      <c r="C1423" s="1" t="s">
        <v>842</v>
      </c>
      <c r="D1423" s="1" t="s">
        <v>117</v>
      </c>
      <c r="E1423" s="1" t="s">
        <v>10</v>
      </c>
    </row>
    <row r="1424" spans="1:5" x14ac:dyDescent="0.25">
      <c r="A1424" s="13">
        <v>79432076</v>
      </c>
      <c r="B1424" s="11" t="s">
        <v>116</v>
      </c>
      <c r="C1424" s="1" t="s">
        <v>841</v>
      </c>
      <c r="D1424" s="1" t="s">
        <v>117</v>
      </c>
      <c r="E1424" s="1" t="s">
        <v>179</v>
      </c>
    </row>
    <row r="1425" spans="1:5" x14ac:dyDescent="0.25">
      <c r="A1425" s="13">
        <v>79433573</v>
      </c>
      <c r="B1425" s="11" t="s">
        <v>84</v>
      </c>
      <c r="C1425" s="1" t="s">
        <v>840</v>
      </c>
      <c r="D1425" s="1" t="s">
        <v>43</v>
      </c>
      <c r="E1425" s="1" t="s">
        <v>8</v>
      </c>
    </row>
    <row r="1426" spans="1:5" x14ac:dyDescent="0.25">
      <c r="A1426" s="13">
        <v>79434029</v>
      </c>
      <c r="B1426" s="11" t="s">
        <v>109</v>
      </c>
      <c r="C1426" s="1" t="s">
        <v>839</v>
      </c>
      <c r="D1426" s="1" t="s">
        <v>131</v>
      </c>
      <c r="E1426" s="1" t="s">
        <v>131</v>
      </c>
    </row>
    <row r="1427" spans="1:5" x14ac:dyDescent="0.25">
      <c r="A1427" s="13">
        <v>79435738</v>
      </c>
      <c r="B1427" s="11" t="s">
        <v>84</v>
      </c>
      <c r="C1427" s="1" t="s">
        <v>838</v>
      </c>
      <c r="D1427" s="1" t="s">
        <v>43</v>
      </c>
      <c r="E1427" s="1" t="s">
        <v>3</v>
      </c>
    </row>
    <row r="1428" spans="1:5" x14ac:dyDescent="0.25">
      <c r="A1428" s="13">
        <v>79436330</v>
      </c>
      <c r="B1428" s="11" t="s">
        <v>116</v>
      </c>
      <c r="C1428" s="1" t="s">
        <v>837</v>
      </c>
      <c r="D1428" s="1" t="s">
        <v>117</v>
      </c>
      <c r="E1428" s="1" t="s">
        <v>11</v>
      </c>
    </row>
    <row r="1429" spans="1:5" x14ac:dyDescent="0.25">
      <c r="A1429" s="13">
        <v>79436833</v>
      </c>
      <c r="B1429" s="11" t="s">
        <v>116</v>
      </c>
      <c r="C1429" s="1" t="s">
        <v>836</v>
      </c>
      <c r="D1429" s="1" t="s">
        <v>117</v>
      </c>
      <c r="E1429" s="1" t="s">
        <v>5</v>
      </c>
    </row>
    <row r="1430" spans="1:5" x14ac:dyDescent="0.25">
      <c r="A1430" s="13">
        <v>79436886</v>
      </c>
      <c r="B1430" s="11" t="s">
        <v>116</v>
      </c>
      <c r="C1430" s="1" t="s">
        <v>835</v>
      </c>
      <c r="D1430" s="1" t="s">
        <v>117</v>
      </c>
      <c r="E1430" s="1" t="s">
        <v>186</v>
      </c>
    </row>
    <row r="1431" spans="1:5" x14ac:dyDescent="0.25">
      <c r="A1431" s="13">
        <v>79444595</v>
      </c>
      <c r="B1431" s="11" t="s">
        <v>116</v>
      </c>
      <c r="C1431" s="1" t="s">
        <v>834</v>
      </c>
      <c r="D1431" s="1" t="s">
        <v>117</v>
      </c>
      <c r="E1431" s="1" t="s">
        <v>186</v>
      </c>
    </row>
    <row r="1432" spans="1:5" x14ac:dyDescent="0.25">
      <c r="A1432" s="13">
        <v>79444627</v>
      </c>
      <c r="B1432" s="11" t="s">
        <v>83</v>
      </c>
      <c r="C1432" s="1" t="s">
        <v>833</v>
      </c>
      <c r="D1432" s="1" t="s">
        <v>567</v>
      </c>
      <c r="E1432" s="1" t="s">
        <v>16</v>
      </c>
    </row>
    <row r="1433" spans="1:5" x14ac:dyDescent="0.25">
      <c r="A1433" s="13">
        <v>79446996</v>
      </c>
      <c r="B1433" s="11" t="s">
        <v>109</v>
      </c>
      <c r="C1433" s="1" t="s">
        <v>832</v>
      </c>
      <c r="D1433" s="1" t="s">
        <v>131</v>
      </c>
      <c r="E1433" s="1" t="s">
        <v>131</v>
      </c>
    </row>
    <row r="1434" spans="1:5" x14ac:dyDescent="0.25">
      <c r="A1434" s="13">
        <v>79447172</v>
      </c>
      <c r="B1434" s="11" t="s">
        <v>116</v>
      </c>
      <c r="C1434" s="1" t="s">
        <v>831</v>
      </c>
      <c r="D1434" s="1" t="s">
        <v>117</v>
      </c>
      <c r="E1434" s="1" t="s">
        <v>11</v>
      </c>
    </row>
    <row r="1435" spans="1:5" x14ac:dyDescent="0.25">
      <c r="A1435" s="13">
        <v>79447561</v>
      </c>
      <c r="B1435" s="11" t="s">
        <v>109</v>
      </c>
      <c r="C1435" s="1" t="s">
        <v>830</v>
      </c>
      <c r="D1435" s="1" t="s">
        <v>131</v>
      </c>
      <c r="E1435" s="1" t="s">
        <v>131</v>
      </c>
    </row>
    <row r="1436" spans="1:5" x14ac:dyDescent="0.25">
      <c r="A1436" s="13">
        <v>79449595</v>
      </c>
      <c r="B1436" s="11" t="s">
        <v>116</v>
      </c>
      <c r="C1436" s="1" t="s">
        <v>829</v>
      </c>
      <c r="D1436" s="1" t="s">
        <v>117</v>
      </c>
      <c r="E1436" s="1" t="s">
        <v>2</v>
      </c>
    </row>
    <row r="1437" spans="1:5" x14ac:dyDescent="0.25">
      <c r="A1437" s="13">
        <v>79449720</v>
      </c>
      <c r="B1437" s="11" t="s">
        <v>116</v>
      </c>
      <c r="C1437" s="1" t="s">
        <v>828</v>
      </c>
      <c r="D1437" s="1" t="s">
        <v>117</v>
      </c>
      <c r="E1437" s="1" t="s">
        <v>134</v>
      </c>
    </row>
    <row r="1438" spans="1:5" x14ac:dyDescent="0.25">
      <c r="A1438" s="13">
        <v>79451322</v>
      </c>
      <c r="B1438" s="11" t="s">
        <v>116</v>
      </c>
      <c r="C1438" s="1" t="s">
        <v>827</v>
      </c>
      <c r="D1438" s="1" t="s">
        <v>117</v>
      </c>
      <c r="E1438" s="1" t="s">
        <v>232</v>
      </c>
    </row>
    <row r="1439" spans="1:5" x14ac:dyDescent="0.25">
      <c r="A1439" s="13">
        <v>79452150</v>
      </c>
      <c r="B1439" s="11" t="s">
        <v>83</v>
      </c>
      <c r="C1439" s="1" t="s">
        <v>826</v>
      </c>
      <c r="D1439" s="1" t="s">
        <v>54</v>
      </c>
      <c r="E1439" s="1" t="s">
        <v>16</v>
      </c>
    </row>
    <row r="1440" spans="1:5" x14ac:dyDescent="0.25">
      <c r="A1440" s="13">
        <v>79455116</v>
      </c>
      <c r="B1440" s="11" t="s">
        <v>116</v>
      </c>
      <c r="C1440" s="1" t="s">
        <v>825</v>
      </c>
      <c r="D1440" s="1" t="s">
        <v>117</v>
      </c>
      <c r="E1440" s="1" t="s">
        <v>134</v>
      </c>
    </row>
    <row r="1441" spans="1:5" x14ac:dyDescent="0.25">
      <c r="A1441" s="13">
        <v>79455579</v>
      </c>
      <c r="B1441" s="11" t="s">
        <v>116</v>
      </c>
      <c r="C1441" s="1" t="s">
        <v>824</v>
      </c>
      <c r="D1441" s="1" t="s">
        <v>117</v>
      </c>
      <c r="E1441" s="1" t="s">
        <v>118</v>
      </c>
    </row>
    <row r="1442" spans="1:5" x14ac:dyDescent="0.25">
      <c r="A1442" s="13">
        <v>79456180</v>
      </c>
      <c r="B1442" s="11" t="s">
        <v>84</v>
      </c>
      <c r="C1442" s="1" t="s">
        <v>823</v>
      </c>
      <c r="D1442" s="1" t="s">
        <v>43</v>
      </c>
      <c r="E1442" s="1" t="s">
        <v>134</v>
      </c>
    </row>
    <row r="1443" spans="1:5" x14ac:dyDescent="0.25">
      <c r="A1443" s="13">
        <v>79456304</v>
      </c>
      <c r="B1443" s="11" t="s">
        <v>84</v>
      </c>
      <c r="C1443" s="1" t="s">
        <v>822</v>
      </c>
      <c r="D1443" s="1" t="s">
        <v>43</v>
      </c>
      <c r="E1443" s="1" t="s">
        <v>11</v>
      </c>
    </row>
    <row r="1444" spans="1:5" x14ac:dyDescent="0.25">
      <c r="A1444" s="13">
        <v>79465111</v>
      </c>
      <c r="B1444" s="11" t="s">
        <v>116</v>
      </c>
      <c r="C1444" s="1" t="s">
        <v>821</v>
      </c>
      <c r="D1444" s="1" t="s">
        <v>117</v>
      </c>
      <c r="E1444" s="1" t="s">
        <v>118</v>
      </c>
    </row>
    <row r="1445" spans="1:5" x14ac:dyDescent="0.25">
      <c r="A1445" s="13">
        <v>79467662</v>
      </c>
      <c r="B1445" s="11" t="s">
        <v>84</v>
      </c>
      <c r="C1445" s="1" t="s">
        <v>820</v>
      </c>
      <c r="D1445" s="1" t="s">
        <v>38</v>
      </c>
      <c r="E1445" s="1" t="s">
        <v>3</v>
      </c>
    </row>
    <row r="1446" spans="1:5" x14ac:dyDescent="0.25">
      <c r="A1446" s="13">
        <v>79469350</v>
      </c>
      <c r="B1446" s="11" t="s">
        <v>84</v>
      </c>
      <c r="C1446" s="1" t="s">
        <v>819</v>
      </c>
      <c r="D1446" s="1" t="s">
        <v>43</v>
      </c>
      <c r="E1446" s="1" t="s">
        <v>3211</v>
      </c>
    </row>
    <row r="1447" spans="1:5" x14ac:dyDescent="0.25">
      <c r="A1447" s="13">
        <v>79471331</v>
      </c>
      <c r="B1447" s="11" t="s">
        <v>109</v>
      </c>
      <c r="C1447" s="1" t="s">
        <v>818</v>
      </c>
      <c r="D1447" s="1" t="s">
        <v>131</v>
      </c>
      <c r="E1447" s="1" t="s">
        <v>131</v>
      </c>
    </row>
    <row r="1448" spans="1:5" x14ac:dyDescent="0.25">
      <c r="A1448" s="13">
        <v>79471517</v>
      </c>
      <c r="B1448" s="11" t="s">
        <v>116</v>
      </c>
      <c r="C1448" s="1" t="s">
        <v>817</v>
      </c>
      <c r="D1448" s="1" t="s">
        <v>117</v>
      </c>
      <c r="E1448" s="1" t="s">
        <v>118</v>
      </c>
    </row>
    <row r="1449" spans="1:5" x14ac:dyDescent="0.25">
      <c r="A1449" s="13">
        <v>79471848</v>
      </c>
      <c r="B1449" s="11" t="s">
        <v>84</v>
      </c>
      <c r="C1449" s="1" t="s">
        <v>3040</v>
      </c>
      <c r="D1449" s="1" t="s">
        <v>38</v>
      </c>
      <c r="E1449" s="1" t="s">
        <v>134</v>
      </c>
    </row>
    <row r="1450" spans="1:5" x14ac:dyDescent="0.25">
      <c r="A1450" s="13">
        <v>79473556</v>
      </c>
      <c r="B1450" s="11" t="s">
        <v>116</v>
      </c>
      <c r="C1450" s="1" t="s">
        <v>816</v>
      </c>
      <c r="D1450" s="1" t="s">
        <v>117</v>
      </c>
      <c r="E1450" s="1" t="s">
        <v>3553</v>
      </c>
    </row>
    <row r="1451" spans="1:5" x14ac:dyDescent="0.25">
      <c r="A1451" s="13">
        <v>79481872</v>
      </c>
      <c r="B1451" s="11" t="s">
        <v>116</v>
      </c>
      <c r="C1451" s="1" t="s">
        <v>815</v>
      </c>
      <c r="D1451" s="1" t="s">
        <v>117</v>
      </c>
      <c r="E1451" s="1" t="s">
        <v>85</v>
      </c>
    </row>
    <row r="1452" spans="1:5" x14ac:dyDescent="0.25">
      <c r="A1452" s="13">
        <v>79483525</v>
      </c>
      <c r="B1452" s="11" t="s">
        <v>109</v>
      </c>
      <c r="C1452" s="1" t="s">
        <v>814</v>
      </c>
      <c r="D1452" s="1" t="s">
        <v>131</v>
      </c>
      <c r="E1452" s="1" t="s">
        <v>131</v>
      </c>
    </row>
    <row r="1453" spans="1:5" x14ac:dyDescent="0.25">
      <c r="A1453" s="13">
        <v>79483641</v>
      </c>
      <c r="B1453" s="11" t="s">
        <v>109</v>
      </c>
      <c r="C1453" s="1" t="s">
        <v>813</v>
      </c>
      <c r="D1453" s="1" t="s">
        <v>131</v>
      </c>
      <c r="E1453" s="1" t="s">
        <v>131</v>
      </c>
    </row>
    <row r="1454" spans="1:5" x14ac:dyDescent="0.25">
      <c r="A1454" s="13">
        <v>79484046</v>
      </c>
      <c r="B1454" s="11" t="s">
        <v>84</v>
      </c>
      <c r="C1454" s="1" t="s">
        <v>812</v>
      </c>
      <c r="D1454" s="1" t="s">
        <v>38</v>
      </c>
      <c r="E1454" s="1" t="s">
        <v>3</v>
      </c>
    </row>
    <row r="1455" spans="1:5" x14ac:dyDescent="0.25">
      <c r="A1455" s="13">
        <v>79484197</v>
      </c>
      <c r="B1455" s="11" t="s">
        <v>84</v>
      </c>
      <c r="C1455" s="1" t="s">
        <v>811</v>
      </c>
      <c r="D1455" s="1" t="s">
        <v>38</v>
      </c>
      <c r="E1455" s="1" t="s">
        <v>8</v>
      </c>
    </row>
    <row r="1456" spans="1:5" x14ac:dyDescent="0.25">
      <c r="A1456" s="13">
        <v>79484328</v>
      </c>
      <c r="B1456" s="11" t="s">
        <v>83</v>
      </c>
      <c r="C1456" s="1" t="s">
        <v>810</v>
      </c>
      <c r="D1456" s="1" t="s">
        <v>60</v>
      </c>
      <c r="E1456" s="1" t="s">
        <v>23</v>
      </c>
    </row>
    <row r="1457" spans="1:5" x14ac:dyDescent="0.25">
      <c r="A1457" s="13">
        <v>79484415</v>
      </c>
      <c r="B1457" s="11" t="s">
        <v>116</v>
      </c>
      <c r="C1457" s="1" t="s">
        <v>809</v>
      </c>
      <c r="D1457" s="1" t="s">
        <v>151</v>
      </c>
      <c r="E1457" s="1" t="s">
        <v>152</v>
      </c>
    </row>
    <row r="1458" spans="1:5" x14ac:dyDescent="0.25">
      <c r="A1458" s="13">
        <v>79485637</v>
      </c>
      <c r="B1458" s="11" t="s">
        <v>116</v>
      </c>
      <c r="C1458" s="1" t="s">
        <v>808</v>
      </c>
      <c r="D1458" s="1" t="s">
        <v>117</v>
      </c>
      <c r="E1458" s="1" t="s">
        <v>127</v>
      </c>
    </row>
    <row r="1459" spans="1:5" x14ac:dyDescent="0.25">
      <c r="A1459" s="13">
        <v>79487483</v>
      </c>
      <c r="B1459" s="11" t="s">
        <v>109</v>
      </c>
      <c r="C1459" s="1" t="s">
        <v>807</v>
      </c>
      <c r="D1459" s="1" t="s">
        <v>131</v>
      </c>
      <c r="E1459" s="1" t="s">
        <v>131</v>
      </c>
    </row>
    <row r="1460" spans="1:5" x14ac:dyDescent="0.25">
      <c r="A1460" s="13">
        <v>79493424</v>
      </c>
      <c r="B1460" s="11" t="s">
        <v>116</v>
      </c>
      <c r="C1460" s="1" t="s">
        <v>806</v>
      </c>
      <c r="D1460" s="1" t="s">
        <v>117</v>
      </c>
      <c r="E1460" s="1" t="s">
        <v>10</v>
      </c>
    </row>
    <row r="1461" spans="1:5" x14ac:dyDescent="0.25">
      <c r="A1461" s="13">
        <v>79493884</v>
      </c>
      <c r="B1461" s="11" t="s">
        <v>116</v>
      </c>
      <c r="C1461" s="1" t="s">
        <v>805</v>
      </c>
      <c r="D1461" s="1" t="s">
        <v>117</v>
      </c>
      <c r="E1461" s="1" t="s">
        <v>147</v>
      </c>
    </row>
    <row r="1462" spans="1:5" x14ac:dyDescent="0.25">
      <c r="A1462" s="13">
        <v>79495020</v>
      </c>
      <c r="B1462" s="11" t="s">
        <v>116</v>
      </c>
      <c r="C1462" s="1" t="s">
        <v>804</v>
      </c>
      <c r="D1462" s="1" t="s">
        <v>117</v>
      </c>
      <c r="E1462" s="1" t="s">
        <v>491</v>
      </c>
    </row>
    <row r="1463" spans="1:5" x14ac:dyDescent="0.25">
      <c r="A1463" s="13">
        <v>79498355</v>
      </c>
      <c r="B1463" s="11" t="s">
        <v>84</v>
      </c>
      <c r="C1463" s="1" t="s">
        <v>803</v>
      </c>
      <c r="D1463" s="1" t="s">
        <v>38</v>
      </c>
      <c r="E1463" s="1" t="s">
        <v>168</v>
      </c>
    </row>
    <row r="1464" spans="1:5" x14ac:dyDescent="0.25">
      <c r="A1464" s="13">
        <v>79499244</v>
      </c>
      <c r="B1464" s="11" t="s">
        <v>84</v>
      </c>
      <c r="C1464" s="1" t="s">
        <v>802</v>
      </c>
      <c r="D1464" s="1" t="s">
        <v>43</v>
      </c>
      <c r="E1464" s="1" t="s">
        <v>8</v>
      </c>
    </row>
    <row r="1465" spans="1:5" x14ac:dyDescent="0.25">
      <c r="A1465" s="13">
        <v>79504423</v>
      </c>
      <c r="B1465" s="11" t="s">
        <v>116</v>
      </c>
      <c r="C1465" s="1" t="s">
        <v>801</v>
      </c>
      <c r="D1465" s="1" t="s">
        <v>117</v>
      </c>
      <c r="E1465" s="1" t="s">
        <v>232</v>
      </c>
    </row>
    <row r="1466" spans="1:5" x14ac:dyDescent="0.25">
      <c r="A1466" s="13">
        <v>79505680</v>
      </c>
      <c r="B1466" s="11" t="s">
        <v>116</v>
      </c>
      <c r="C1466" s="1" t="s">
        <v>800</v>
      </c>
      <c r="D1466" s="1" t="s">
        <v>117</v>
      </c>
      <c r="E1466" s="1" t="s">
        <v>186</v>
      </c>
    </row>
    <row r="1467" spans="1:5" x14ac:dyDescent="0.25">
      <c r="A1467" s="13">
        <v>79506098</v>
      </c>
      <c r="B1467" s="11" t="s">
        <v>116</v>
      </c>
      <c r="C1467" s="1" t="s">
        <v>799</v>
      </c>
      <c r="D1467" s="1" t="s">
        <v>117</v>
      </c>
      <c r="E1467" s="1" t="s">
        <v>147</v>
      </c>
    </row>
    <row r="1468" spans="1:5" x14ac:dyDescent="0.25">
      <c r="A1468" s="13">
        <v>79506187</v>
      </c>
      <c r="B1468" s="11" t="s">
        <v>116</v>
      </c>
      <c r="C1468" s="1" t="s">
        <v>798</v>
      </c>
      <c r="D1468" s="1" t="s">
        <v>117</v>
      </c>
      <c r="E1468" s="1" t="s">
        <v>491</v>
      </c>
    </row>
    <row r="1469" spans="1:5" x14ac:dyDescent="0.25">
      <c r="A1469" s="13">
        <v>79507037</v>
      </c>
      <c r="B1469" s="11" t="s">
        <v>109</v>
      </c>
      <c r="C1469" s="1" t="s">
        <v>797</v>
      </c>
      <c r="D1469" s="1" t="s">
        <v>131</v>
      </c>
      <c r="E1469" s="1" t="s">
        <v>131</v>
      </c>
    </row>
    <row r="1470" spans="1:5" x14ac:dyDescent="0.25">
      <c r="A1470" s="13">
        <v>79507540</v>
      </c>
      <c r="B1470" s="11" t="s">
        <v>84</v>
      </c>
      <c r="C1470" s="1" t="s">
        <v>796</v>
      </c>
      <c r="D1470" s="1" t="s">
        <v>38</v>
      </c>
      <c r="E1470" s="1" t="s">
        <v>10</v>
      </c>
    </row>
    <row r="1471" spans="1:5" x14ac:dyDescent="0.25">
      <c r="A1471" s="13">
        <v>79507860</v>
      </c>
      <c r="B1471" s="11" t="s">
        <v>116</v>
      </c>
      <c r="C1471" s="1" t="s">
        <v>795</v>
      </c>
      <c r="D1471" s="1" t="s">
        <v>117</v>
      </c>
      <c r="E1471" s="1" t="s">
        <v>14</v>
      </c>
    </row>
    <row r="1472" spans="1:5" x14ac:dyDescent="0.25">
      <c r="A1472" s="13">
        <v>79509195</v>
      </c>
      <c r="B1472" s="11" t="s">
        <v>84</v>
      </c>
      <c r="C1472" s="1" t="s">
        <v>794</v>
      </c>
      <c r="D1472" s="1" t="s">
        <v>43</v>
      </c>
      <c r="E1472" s="1" t="s">
        <v>11</v>
      </c>
    </row>
    <row r="1473" spans="1:5" x14ac:dyDescent="0.25">
      <c r="A1473" s="13">
        <v>79509495</v>
      </c>
      <c r="B1473" s="11" t="s">
        <v>109</v>
      </c>
      <c r="C1473" s="1" t="s">
        <v>793</v>
      </c>
      <c r="D1473" s="1" t="s">
        <v>131</v>
      </c>
      <c r="E1473" s="1" t="s">
        <v>131</v>
      </c>
    </row>
    <row r="1474" spans="1:5" x14ac:dyDescent="0.25">
      <c r="A1474" s="13">
        <v>79510415</v>
      </c>
      <c r="B1474" s="11" t="s">
        <v>84</v>
      </c>
      <c r="C1474" s="1" t="s">
        <v>791</v>
      </c>
      <c r="D1474" s="1" t="s">
        <v>792</v>
      </c>
      <c r="E1474" s="1" t="s">
        <v>3</v>
      </c>
    </row>
    <row r="1475" spans="1:5" x14ac:dyDescent="0.25">
      <c r="A1475" s="13">
        <v>79510658</v>
      </c>
      <c r="B1475" s="11" t="s">
        <v>116</v>
      </c>
      <c r="C1475" s="1" t="s">
        <v>790</v>
      </c>
      <c r="D1475" s="1" t="s">
        <v>117</v>
      </c>
      <c r="E1475" s="1" t="s">
        <v>10</v>
      </c>
    </row>
    <row r="1476" spans="1:5" x14ac:dyDescent="0.25">
      <c r="A1476" s="13">
        <v>79511545</v>
      </c>
      <c r="B1476" s="11" t="s">
        <v>116</v>
      </c>
      <c r="C1476" s="1" t="s">
        <v>789</v>
      </c>
      <c r="D1476" s="1" t="s">
        <v>117</v>
      </c>
      <c r="E1476" s="1" t="s">
        <v>134</v>
      </c>
    </row>
    <row r="1477" spans="1:5" x14ac:dyDescent="0.25">
      <c r="A1477" s="13">
        <v>79511692</v>
      </c>
      <c r="B1477" s="11" t="s">
        <v>116</v>
      </c>
      <c r="C1477" s="1" t="s">
        <v>788</v>
      </c>
      <c r="D1477" s="1" t="s">
        <v>117</v>
      </c>
      <c r="E1477" s="1" t="s">
        <v>205</v>
      </c>
    </row>
    <row r="1478" spans="1:5" x14ac:dyDescent="0.25">
      <c r="A1478" s="13">
        <v>79511724</v>
      </c>
      <c r="B1478" s="11" t="s">
        <v>84</v>
      </c>
      <c r="C1478" s="1" t="s">
        <v>787</v>
      </c>
      <c r="D1478" s="1" t="s">
        <v>185</v>
      </c>
      <c r="E1478" s="1" t="s">
        <v>11</v>
      </c>
    </row>
    <row r="1479" spans="1:5" x14ac:dyDescent="0.25">
      <c r="A1479" s="13">
        <v>79511800</v>
      </c>
      <c r="B1479" s="11" t="s">
        <v>84</v>
      </c>
      <c r="C1479" s="1" t="s">
        <v>786</v>
      </c>
      <c r="D1479" s="1" t="s">
        <v>75</v>
      </c>
      <c r="E1479" s="1" t="s">
        <v>152</v>
      </c>
    </row>
    <row r="1480" spans="1:5" x14ac:dyDescent="0.25">
      <c r="A1480" s="13">
        <v>79512927</v>
      </c>
      <c r="B1480" s="11" t="s">
        <v>116</v>
      </c>
      <c r="C1480" s="1" t="s">
        <v>785</v>
      </c>
      <c r="D1480" s="1" t="s">
        <v>117</v>
      </c>
      <c r="E1480" s="1" t="s">
        <v>491</v>
      </c>
    </row>
    <row r="1481" spans="1:5" x14ac:dyDescent="0.25">
      <c r="A1481" s="13">
        <v>79513354</v>
      </c>
      <c r="B1481" s="11" t="s">
        <v>116</v>
      </c>
      <c r="C1481" s="1" t="s">
        <v>784</v>
      </c>
      <c r="D1481" s="1" t="s">
        <v>117</v>
      </c>
      <c r="E1481" s="1" t="s">
        <v>11</v>
      </c>
    </row>
    <row r="1482" spans="1:5" x14ac:dyDescent="0.25">
      <c r="A1482" s="13">
        <v>79513397</v>
      </c>
      <c r="B1482" s="11" t="s">
        <v>116</v>
      </c>
      <c r="C1482" s="1" t="s">
        <v>783</v>
      </c>
      <c r="D1482" s="1" t="s">
        <v>117</v>
      </c>
      <c r="E1482" s="1" t="s">
        <v>10</v>
      </c>
    </row>
    <row r="1483" spans="1:5" x14ac:dyDescent="0.25">
      <c r="A1483" s="13">
        <v>79513647</v>
      </c>
      <c r="B1483" s="11" t="s">
        <v>116</v>
      </c>
      <c r="C1483" s="1" t="s">
        <v>782</v>
      </c>
      <c r="D1483" s="1" t="s">
        <v>117</v>
      </c>
      <c r="E1483" s="1" t="s">
        <v>10</v>
      </c>
    </row>
    <row r="1484" spans="1:5" x14ac:dyDescent="0.25">
      <c r="A1484" s="13">
        <v>79513882</v>
      </c>
      <c r="B1484" s="11" t="s">
        <v>84</v>
      </c>
      <c r="C1484" s="1" t="s">
        <v>781</v>
      </c>
      <c r="D1484" s="1" t="s">
        <v>38</v>
      </c>
      <c r="E1484" s="1" t="s">
        <v>422</v>
      </c>
    </row>
    <row r="1485" spans="1:5" x14ac:dyDescent="0.25">
      <c r="A1485" s="13">
        <v>79514106</v>
      </c>
      <c r="B1485" s="11" t="s">
        <v>84</v>
      </c>
      <c r="C1485" s="1" t="s">
        <v>780</v>
      </c>
      <c r="D1485" s="1" t="s">
        <v>38</v>
      </c>
      <c r="E1485" s="1" t="s">
        <v>7</v>
      </c>
    </row>
    <row r="1486" spans="1:5" x14ac:dyDescent="0.25">
      <c r="A1486" s="13">
        <v>79515114</v>
      </c>
      <c r="B1486" s="11" t="s">
        <v>116</v>
      </c>
      <c r="C1486" s="1" t="s">
        <v>779</v>
      </c>
      <c r="D1486" s="1" t="s">
        <v>117</v>
      </c>
      <c r="E1486" s="1" t="s">
        <v>170</v>
      </c>
    </row>
    <row r="1487" spans="1:5" x14ac:dyDescent="0.25">
      <c r="A1487" s="13">
        <v>79519248</v>
      </c>
      <c r="B1487" s="11" t="s">
        <v>83</v>
      </c>
      <c r="C1487" s="1" t="s">
        <v>777</v>
      </c>
      <c r="D1487" s="1" t="s">
        <v>350</v>
      </c>
      <c r="E1487" s="1" t="s">
        <v>778</v>
      </c>
    </row>
    <row r="1488" spans="1:5" x14ac:dyDescent="0.25">
      <c r="A1488" s="13">
        <v>79520348</v>
      </c>
      <c r="B1488" s="11" t="s">
        <v>83</v>
      </c>
      <c r="C1488" s="1" t="s">
        <v>775</v>
      </c>
      <c r="D1488" s="1" t="s">
        <v>776</v>
      </c>
      <c r="E1488" s="1" t="s">
        <v>25</v>
      </c>
    </row>
    <row r="1489" spans="1:5" x14ac:dyDescent="0.25">
      <c r="A1489" s="13">
        <v>79520409</v>
      </c>
      <c r="B1489" s="11" t="s">
        <v>116</v>
      </c>
      <c r="C1489" s="1" t="s">
        <v>774</v>
      </c>
      <c r="D1489" s="1" t="s">
        <v>117</v>
      </c>
      <c r="E1489" s="1" t="s">
        <v>12</v>
      </c>
    </row>
    <row r="1490" spans="1:5" x14ac:dyDescent="0.25">
      <c r="A1490" s="13">
        <v>79520461</v>
      </c>
      <c r="B1490" s="11" t="s">
        <v>84</v>
      </c>
      <c r="C1490" s="1" t="s">
        <v>773</v>
      </c>
      <c r="D1490" s="1" t="s">
        <v>38</v>
      </c>
      <c r="E1490" s="1" t="s">
        <v>7</v>
      </c>
    </row>
    <row r="1491" spans="1:5" x14ac:dyDescent="0.25">
      <c r="A1491" s="13">
        <v>79522035</v>
      </c>
      <c r="B1491" s="11" t="s">
        <v>116</v>
      </c>
      <c r="C1491" s="1" t="s">
        <v>772</v>
      </c>
      <c r="D1491" s="1" t="s">
        <v>117</v>
      </c>
      <c r="E1491" s="1" t="s">
        <v>237</v>
      </c>
    </row>
    <row r="1492" spans="1:5" x14ac:dyDescent="0.25">
      <c r="A1492" s="13">
        <v>79522309</v>
      </c>
      <c r="B1492" s="11" t="s">
        <v>84</v>
      </c>
      <c r="C1492" s="1" t="s">
        <v>771</v>
      </c>
      <c r="D1492" s="1" t="s">
        <v>38</v>
      </c>
      <c r="E1492" s="1" t="s">
        <v>168</v>
      </c>
    </row>
    <row r="1493" spans="1:5" x14ac:dyDescent="0.25">
      <c r="A1493" s="13">
        <v>79524745</v>
      </c>
      <c r="B1493" s="11" t="s">
        <v>116</v>
      </c>
      <c r="C1493" s="1" t="s">
        <v>770</v>
      </c>
      <c r="D1493" s="1" t="s">
        <v>117</v>
      </c>
      <c r="E1493" s="1" t="s">
        <v>6</v>
      </c>
    </row>
    <row r="1494" spans="1:5" x14ac:dyDescent="0.25">
      <c r="A1494" s="13">
        <v>79524833</v>
      </c>
      <c r="B1494" s="11" t="s">
        <v>84</v>
      </c>
      <c r="C1494" s="1" t="s">
        <v>769</v>
      </c>
      <c r="D1494" s="1" t="s">
        <v>38</v>
      </c>
      <c r="E1494" s="1" t="s">
        <v>168</v>
      </c>
    </row>
    <row r="1495" spans="1:5" x14ac:dyDescent="0.25">
      <c r="A1495" s="13">
        <v>79525148</v>
      </c>
      <c r="B1495" s="11" t="s">
        <v>83</v>
      </c>
      <c r="C1495" s="1" t="s">
        <v>768</v>
      </c>
      <c r="D1495" s="1" t="s">
        <v>58</v>
      </c>
      <c r="E1495" s="1" t="s">
        <v>23</v>
      </c>
    </row>
    <row r="1496" spans="1:5" x14ac:dyDescent="0.25">
      <c r="A1496" s="13">
        <v>79526588</v>
      </c>
      <c r="B1496" s="11" t="s">
        <v>84</v>
      </c>
      <c r="C1496" s="1" t="s">
        <v>767</v>
      </c>
      <c r="D1496" s="1" t="s">
        <v>38</v>
      </c>
      <c r="E1496" s="1" t="s">
        <v>170</v>
      </c>
    </row>
    <row r="1497" spans="1:5" x14ac:dyDescent="0.25">
      <c r="A1497" s="13">
        <v>79527738</v>
      </c>
      <c r="B1497" s="11" t="s">
        <v>84</v>
      </c>
      <c r="C1497" s="1" t="s">
        <v>766</v>
      </c>
      <c r="D1497" s="1" t="s">
        <v>38</v>
      </c>
      <c r="E1497" s="1" t="s">
        <v>3121</v>
      </c>
    </row>
    <row r="1498" spans="1:5" x14ac:dyDescent="0.25">
      <c r="A1498" s="13">
        <v>79531079</v>
      </c>
      <c r="B1498" s="11" t="s">
        <v>109</v>
      </c>
      <c r="C1498" s="1" t="s">
        <v>765</v>
      </c>
      <c r="D1498" s="1" t="s">
        <v>131</v>
      </c>
      <c r="E1498" s="1" t="s">
        <v>131</v>
      </c>
    </row>
    <row r="1499" spans="1:5" x14ac:dyDescent="0.25">
      <c r="A1499" s="13">
        <v>79532077</v>
      </c>
      <c r="B1499" s="11" t="s">
        <v>109</v>
      </c>
      <c r="C1499" s="1" t="s">
        <v>764</v>
      </c>
      <c r="D1499" s="1" t="s">
        <v>131</v>
      </c>
      <c r="E1499" s="1" t="s">
        <v>131</v>
      </c>
    </row>
    <row r="1500" spans="1:5" x14ac:dyDescent="0.25">
      <c r="A1500" s="13">
        <v>79532609</v>
      </c>
      <c r="B1500" s="11" t="s">
        <v>116</v>
      </c>
      <c r="C1500" s="1" t="s">
        <v>763</v>
      </c>
      <c r="D1500" s="1" t="s">
        <v>117</v>
      </c>
      <c r="E1500" s="1" t="s">
        <v>127</v>
      </c>
    </row>
    <row r="1501" spans="1:5" x14ac:dyDescent="0.25">
      <c r="A1501" s="13">
        <v>79533404</v>
      </c>
      <c r="B1501" s="11" t="s">
        <v>116</v>
      </c>
      <c r="C1501" s="1" t="s">
        <v>762</v>
      </c>
      <c r="D1501" s="1" t="s">
        <v>117</v>
      </c>
      <c r="E1501" s="1" t="s">
        <v>179</v>
      </c>
    </row>
    <row r="1502" spans="1:5" x14ac:dyDescent="0.25">
      <c r="A1502" s="13">
        <v>79533644</v>
      </c>
      <c r="B1502" s="11" t="s">
        <v>84</v>
      </c>
      <c r="C1502" s="1" t="s">
        <v>761</v>
      </c>
      <c r="D1502" s="1" t="s">
        <v>43</v>
      </c>
      <c r="E1502" s="1" t="s">
        <v>10</v>
      </c>
    </row>
    <row r="1503" spans="1:5" x14ac:dyDescent="0.25">
      <c r="A1503" s="13">
        <v>79534258</v>
      </c>
      <c r="B1503" s="11" t="s">
        <v>116</v>
      </c>
      <c r="C1503" s="1" t="s">
        <v>760</v>
      </c>
      <c r="D1503" s="1" t="s">
        <v>117</v>
      </c>
      <c r="E1503" s="1" t="s">
        <v>8</v>
      </c>
    </row>
    <row r="1504" spans="1:5" x14ac:dyDescent="0.25">
      <c r="A1504" s="13">
        <v>79535611</v>
      </c>
      <c r="B1504" s="11" t="s">
        <v>84</v>
      </c>
      <c r="C1504" s="1" t="s">
        <v>759</v>
      </c>
      <c r="D1504" s="1" t="s">
        <v>38</v>
      </c>
      <c r="E1504" s="1" t="s">
        <v>7</v>
      </c>
    </row>
    <row r="1505" spans="1:5" x14ac:dyDescent="0.25">
      <c r="A1505" s="13">
        <v>79538167</v>
      </c>
      <c r="B1505" s="11" t="s">
        <v>116</v>
      </c>
      <c r="C1505" s="1" t="s">
        <v>758</v>
      </c>
      <c r="D1505" s="1" t="s">
        <v>117</v>
      </c>
      <c r="E1505" s="1" t="s">
        <v>186</v>
      </c>
    </row>
    <row r="1506" spans="1:5" x14ac:dyDescent="0.25">
      <c r="A1506" s="13">
        <v>79540988</v>
      </c>
      <c r="B1506" s="11" t="s">
        <v>83</v>
      </c>
      <c r="C1506" s="1" t="s">
        <v>756</v>
      </c>
      <c r="D1506" s="1" t="s">
        <v>757</v>
      </c>
      <c r="E1506" s="1" t="s">
        <v>23</v>
      </c>
    </row>
    <row r="1507" spans="1:5" x14ac:dyDescent="0.25">
      <c r="A1507" s="13">
        <v>79544744</v>
      </c>
      <c r="B1507" s="11" t="s">
        <v>84</v>
      </c>
      <c r="C1507" s="1" t="s">
        <v>755</v>
      </c>
      <c r="D1507" s="1" t="s">
        <v>38</v>
      </c>
      <c r="E1507" s="1" t="s">
        <v>8</v>
      </c>
    </row>
    <row r="1508" spans="1:5" x14ac:dyDescent="0.25">
      <c r="A1508" s="13">
        <v>79546955</v>
      </c>
      <c r="B1508" s="11" t="s">
        <v>83</v>
      </c>
      <c r="C1508" s="1" t="s">
        <v>754</v>
      </c>
      <c r="D1508" s="1" t="s">
        <v>271</v>
      </c>
      <c r="E1508" s="1" t="s">
        <v>272</v>
      </c>
    </row>
    <row r="1509" spans="1:5" x14ac:dyDescent="0.25">
      <c r="A1509" s="13">
        <v>79554738</v>
      </c>
      <c r="B1509" s="11" t="s">
        <v>84</v>
      </c>
      <c r="C1509" s="1" t="s">
        <v>752</v>
      </c>
      <c r="D1509" s="1" t="s">
        <v>38</v>
      </c>
      <c r="E1509" s="1" t="s">
        <v>168</v>
      </c>
    </row>
    <row r="1510" spans="1:5" x14ac:dyDescent="0.25">
      <c r="A1510" s="13">
        <v>79557146</v>
      </c>
      <c r="B1510" s="11" t="s">
        <v>84</v>
      </c>
      <c r="C1510" s="1" t="s">
        <v>751</v>
      </c>
      <c r="D1510" s="1" t="s">
        <v>43</v>
      </c>
      <c r="E1510" s="1" t="s">
        <v>7</v>
      </c>
    </row>
    <row r="1511" spans="1:5" x14ac:dyDescent="0.25">
      <c r="A1511" s="13">
        <v>79558716</v>
      </c>
      <c r="B1511" s="11" t="s">
        <v>83</v>
      </c>
      <c r="C1511" s="1" t="s">
        <v>750</v>
      </c>
      <c r="D1511" s="1" t="s">
        <v>290</v>
      </c>
      <c r="E1511" s="1" t="s">
        <v>23</v>
      </c>
    </row>
    <row r="1512" spans="1:5" x14ac:dyDescent="0.25">
      <c r="A1512" s="13">
        <v>79559380</v>
      </c>
      <c r="B1512" s="11" t="s">
        <v>84</v>
      </c>
      <c r="C1512" s="1" t="s">
        <v>749</v>
      </c>
      <c r="D1512" s="1" t="s">
        <v>38</v>
      </c>
      <c r="E1512" s="1" t="s">
        <v>3199</v>
      </c>
    </row>
    <row r="1513" spans="1:5" x14ac:dyDescent="0.25">
      <c r="A1513" s="13">
        <v>79561600</v>
      </c>
      <c r="B1513" s="11" t="s">
        <v>109</v>
      </c>
      <c r="C1513" s="1" t="s">
        <v>748</v>
      </c>
      <c r="D1513" s="1" t="s">
        <v>131</v>
      </c>
      <c r="E1513" s="1" t="s">
        <v>131</v>
      </c>
    </row>
    <row r="1514" spans="1:5" x14ac:dyDescent="0.25">
      <c r="A1514" s="13">
        <v>79561617</v>
      </c>
      <c r="B1514" s="11" t="s">
        <v>109</v>
      </c>
      <c r="C1514" s="1" t="s">
        <v>747</v>
      </c>
      <c r="D1514" s="1" t="s">
        <v>131</v>
      </c>
      <c r="E1514" s="1" t="s">
        <v>131</v>
      </c>
    </row>
    <row r="1515" spans="1:5" x14ac:dyDescent="0.25">
      <c r="A1515" s="13">
        <v>79562854</v>
      </c>
      <c r="B1515" s="11" t="s">
        <v>116</v>
      </c>
      <c r="C1515" s="1" t="s">
        <v>746</v>
      </c>
      <c r="D1515" s="1" t="s">
        <v>117</v>
      </c>
      <c r="E1515" s="1" t="s">
        <v>186</v>
      </c>
    </row>
    <row r="1516" spans="1:5" x14ac:dyDescent="0.25">
      <c r="A1516" s="13">
        <v>79565739</v>
      </c>
      <c r="B1516" s="11" t="s">
        <v>116</v>
      </c>
      <c r="C1516" s="1" t="s">
        <v>745</v>
      </c>
      <c r="D1516" s="1" t="s">
        <v>117</v>
      </c>
      <c r="E1516" s="1" t="s">
        <v>186</v>
      </c>
    </row>
    <row r="1517" spans="1:5" x14ac:dyDescent="0.25">
      <c r="A1517" s="13">
        <v>79566543</v>
      </c>
      <c r="B1517" s="11" t="s">
        <v>84</v>
      </c>
      <c r="C1517" s="1" t="s">
        <v>744</v>
      </c>
      <c r="D1517" s="1" t="s">
        <v>381</v>
      </c>
      <c r="E1517" s="1" t="s">
        <v>26</v>
      </c>
    </row>
    <row r="1518" spans="1:5" x14ac:dyDescent="0.25">
      <c r="A1518" s="13">
        <v>79566745</v>
      </c>
      <c r="B1518" s="11" t="s">
        <v>84</v>
      </c>
      <c r="C1518" s="1" t="s">
        <v>3097</v>
      </c>
      <c r="D1518" s="1" t="s">
        <v>38</v>
      </c>
      <c r="E1518" s="1" t="s">
        <v>10</v>
      </c>
    </row>
    <row r="1519" spans="1:5" x14ac:dyDescent="0.25">
      <c r="A1519" s="13">
        <v>79569756</v>
      </c>
      <c r="B1519" s="11" t="s">
        <v>84</v>
      </c>
      <c r="C1519" s="1" t="s">
        <v>3254</v>
      </c>
      <c r="D1519" s="1" t="s">
        <v>38</v>
      </c>
      <c r="E1519" s="1" t="s">
        <v>5</v>
      </c>
    </row>
    <row r="1520" spans="1:5" x14ac:dyDescent="0.25">
      <c r="A1520" s="13">
        <v>79570383</v>
      </c>
      <c r="B1520" s="11" t="s">
        <v>116</v>
      </c>
      <c r="C1520" s="1" t="s">
        <v>743</v>
      </c>
      <c r="D1520" s="1" t="s">
        <v>117</v>
      </c>
      <c r="E1520" s="1" t="s">
        <v>210</v>
      </c>
    </row>
    <row r="1521" spans="1:5" x14ac:dyDescent="0.25">
      <c r="A1521" s="13">
        <v>79570581</v>
      </c>
      <c r="B1521" s="11" t="s">
        <v>83</v>
      </c>
      <c r="C1521" s="1" t="s">
        <v>3565</v>
      </c>
      <c r="D1521" s="1" t="s">
        <v>3566</v>
      </c>
      <c r="E1521" s="1" t="s">
        <v>24</v>
      </c>
    </row>
    <row r="1522" spans="1:5" x14ac:dyDescent="0.25">
      <c r="A1522" s="13">
        <v>79570777</v>
      </c>
      <c r="B1522" s="11" t="s">
        <v>84</v>
      </c>
      <c r="C1522" s="1" t="s">
        <v>742</v>
      </c>
      <c r="D1522" s="1" t="s">
        <v>185</v>
      </c>
      <c r="E1522" s="1" t="s">
        <v>147</v>
      </c>
    </row>
    <row r="1523" spans="1:5" x14ac:dyDescent="0.25">
      <c r="A1523" s="13">
        <v>79571206</v>
      </c>
      <c r="B1523" s="11" t="s">
        <v>84</v>
      </c>
      <c r="C1523" s="1" t="s">
        <v>741</v>
      </c>
      <c r="D1523" s="1" t="s">
        <v>38</v>
      </c>
      <c r="E1523" s="1" t="s">
        <v>7</v>
      </c>
    </row>
    <row r="1524" spans="1:5" x14ac:dyDescent="0.25">
      <c r="A1524" s="13">
        <v>79571941</v>
      </c>
      <c r="B1524" s="11" t="s">
        <v>116</v>
      </c>
      <c r="C1524" s="1" t="s">
        <v>740</v>
      </c>
      <c r="D1524" s="1" t="s">
        <v>117</v>
      </c>
      <c r="E1524" s="1" t="s">
        <v>232</v>
      </c>
    </row>
    <row r="1525" spans="1:5" x14ac:dyDescent="0.25">
      <c r="A1525" s="13">
        <v>79572241</v>
      </c>
      <c r="B1525" s="11" t="s">
        <v>84</v>
      </c>
      <c r="C1525" s="1" t="s">
        <v>739</v>
      </c>
      <c r="D1525" s="1" t="s">
        <v>38</v>
      </c>
      <c r="E1525" s="1" t="s">
        <v>9</v>
      </c>
    </row>
    <row r="1526" spans="1:5" x14ac:dyDescent="0.25">
      <c r="A1526" s="13">
        <v>79573447</v>
      </c>
      <c r="B1526" s="11" t="s">
        <v>84</v>
      </c>
      <c r="C1526" s="1" t="s">
        <v>3255</v>
      </c>
      <c r="D1526" s="1" t="s">
        <v>3161</v>
      </c>
      <c r="E1526" s="1" t="s">
        <v>1697</v>
      </c>
    </row>
    <row r="1527" spans="1:5" x14ac:dyDescent="0.25">
      <c r="A1527" s="13">
        <v>79575454</v>
      </c>
      <c r="B1527" s="11" t="s">
        <v>116</v>
      </c>
      <c r="C1527" s="1" t="s">
        <v>738</v>
      </c>
      <c r="D1527" s="1" t="s">
        <v>117</v>
      </c>
      <c r="E1527" s="1" t="s">
        <v>336</v>
      </c>
    </row>
    <row r="1528" spans="1:5" x14ac:dyDescent="0.25">
      <c r="A1528" s="13">
        <v>79577721</v>
      </c>
      <c r="B1528" s="11" t="s">
        <v>83</v>
      </c>
      <c r="C1528" s="1" t="s">
        <v>737</v>
      </c>
      <c r="D1528" s="1" t="s">
        <v>47</v>
      </c>
      <c r="E1528" s="1" t="s">
        <v>17</v>
      </c>
    </row>
    <row r="1529" spans="1:5" x14ac:dyDescent="0.25">
      <c r="A1529" s="13">
        <v>79578675</v>
      </c>
      <c r="B1529" s="11" t="s">
        <v>84</v>
      </c>
      <c r="C1529" s="1" t="s">
        <v>3256</v>
      </c>
      <c r="D1529" s="1" t="s">
        <v>38</v>
      </c>
      <c r="E1529" s="1" t="s">
        <v>3</v>
      </c>
    </row>
    <row r="1530" spans="1:5" x14ac:dyDescent="0.25">
      <c r="A1530" s="13">
        <v>79581004</v>
      </c>
      <c r="B1530" s="11" t="s">
        <v>84</v>
      </c>
      <c r="C1530" s="1" t="s">
        <v>736</v>
      </c>
      <c r="D1530" s="1" t="s">
        <v>38</v>
      </c>
      <c r="E1530" s="1" t="s">
        <v>134</v>
      </c>
    </row>
    <row r="1531" spans="1:5" x14ac:dyDescent="0.25">
      <c r="A1531" s="13">
        <v>79581077</v>
      </c>
      <c r="B1531" s="11" t="s">
        <v>84</v>
      </c>
      <c r="C1531" s="1" t="s">
        <v>735</v>
      </c>
      <c r="D1531" s="1" t="s">
        <v>38</v>
      </c>
      <c r="E1531" s="1" t="s">
        <v>168</v>
      </c>
    </row>
    <row r="1532" spans="1:5" x14ac:dyDescent="0.25">
      <c r="A1532" s="13">
        <v>79584568</v>
      </c>
      <c r="B1532" s="11" t="s">
        <v>116</v>
      </c>
      <c r="C1532" s="1" t="s">
        <v>734</v>
      </c>
      <c r="D1532" s="1" t="s">
        <v>117</v>
      </c>
      <c r="E1532" s="1" t="s">
        <v>119</v>
      </c>
    </row>
    <row r="1533" spans="1:5" x14ac:dyDescent="0.25">
      <c r="A1533" s="13">
        <v>79589559</v>
      </c>
      <c r="B1533" s="11" t="s">
        <v>84</v>
      </c>
      <c r="C1533" s="1" t="s">
        <v>3567</v>
      </c>
      <c r="D1533" s="1" t="s">
        <v>38</v>
      </c>
      <c r="E1533" s="1" t="s">
        <v>14</v>
      </c>
    </row>
    <row r="1534" spans="1:5" x14ac:dyDescent="0.25">
      <c r="A1534" s="13">
        <v>79589998</v>
      </c>
      <c r="B1534" s="11" t="s">
        <v>116</v>
      </c>
      <c r="C1534" s="1" t="s">
        <v>733</v>
      </c>
      <c r="D1534" s="1" t="s">
        <v>117</v>
      </c>
      <c r="E1534" s="1" t="s">
        <v>12</v>
      </c>
    </row>
    <row r="1535" spans="1:5" x14ac:dyDescent="0.25">
      <c r="A1535" s="13">
        <v>79590035</v>
      </c>
      <c r="B1535" s="11" t="s">
        <v>84</v>
      </c>
      <c r="C1535" s="1" t="s">
        <v>732</v>
      </c>
      <c r="D1535" s="1" t="s">
        <v>38</v>
      </c>
      <c r="E1535" s="1" t="s">
        <v>8</v>
      </c>
    </row>
    <row r="1536" spans="1:5" x14ac:dyDescent="0.25">
      <c r="A1536" s="13">
        <v>79592382</v>
      </c>
      <c r="B1536" s="11" t="s">
        <v>84</v>
      </c>
      <c r="C1536" s="1" t="s">
        <v>3663</v>
      </c>
      <c r="D1536" s="1" t="s">
        <v>38</v>
      </c>
      <c r="E1536" s="1" t="s">
        <v>3664</v>
      </c>
    </row>
    <row r="1537" spans="1:5" x14ac:dyDescent="0.25">
      <c r="A1537" s="13">
        <v>79592428</v>
      </c>
      <c r="B1537" s="11" t="s">
        <v>116</v>
      </c>
      <c r="C1537" s="1" t="s">
        <v>731</v>
      </c>
      <c r="D1537" s="1" t="s">
        <v>117</v>
      </c>
      <c r="E1537" s="1" t="s">
        <v>336</v>
      </c>
    </row>
    <row r="1538" spans="1:5" x14ac:dyDescent="0.25">
      <c r="A1538" s="13">
        <v>79595661</v>
      </c>
      <c r="B1538" s="11" t="s">
        <v>84</v>
      </c>
      <c r="C1538" s="1" t="s">
        <v>3665</v>
      </c>
      <c r="D1538" s="1" t="s">
        <v>43</v>
      </c>
      <c r="E1538" s="1" t="s">
        <v>3</v>
      </c>
    </row>
    <row r="1539" spans="1:5" x14ac:dyDescent="0.25">
      <c r="A1539" s="13">
        <v>79596694</v>
      </c>
      <c r="B1539" s="11" t="s">
        <v>116</v>
      </c>
      <c r="C1539" s="1" t="s">
        <v>730</v>
      </c>
      <c r="D1539" s="1" t="s">
        <v>117</v>
      </c>
      <c r="E1539" s="1" t="s">
        <v>10</v>
      </c>
    </row>
    <row r="1540" spans="1:5" x14ac:dyDescent="0.25">
      <c r="A1540" s="13">
        <v>79598464</v>
      </c>
      <c r="B1540" s="11" t="s">
        <v>116</v>
      </c>
      <c r="C1540" s="1" t="s">
        <v>729</v>
      </c>
      <c r="D1540" s="1" t="s">
        <v>151</v>
      </c>
      <c r="E1540" s="1" t="s">
        <v>152</v>
      </c>
    </row>
    <row r="1541" spans="1:5" x14ac:dyDescent="0.25">
      <c r="A1541" s="13">
        <v>79599625</v>
      </c>
      <c r="B1541" s="11" t="s">
        <v>84</v>
      </c>
      <c r="C1541" s="1" t="s">
        <v>728</v>
      </c>
      <c r="D1541" s="1" t="s">
        <v>38</v>
      </c>
      <c r="E1541" s="1" t="s">
        <v>10</v>
      </c>
    </row>
    <row r="1542" spans="1:5" x14ac:dyDescent="0.25">
      <c r="A1542" s="13">
        <v>79600135</v>
      </c>
      <c r="B1542" s="11" t="s">
        <v>116</v>
      </c>
      <c r="C1542" s="1" t="s">
        <v>727</v>
      </c>
      <c r="D1542" s="1" t="s">
        <v>117</v>
      </c>
      <c r="E1542" s="1" t="s">
        <v>10</v>
      </c>
    </row>
    <row r="1543" spans="1:5" x14ac:dyDescent="0.25">
      <c r="A1543" s="13">
        <v>79600164</v>
      </c>
      <c r="B1543" s="11" t="s">
        <v>116</v>
      </c>
      <c r="C1543" s="1" t="s">
        <v>726</v>
      </c>
      <c r="D1543" s="1" t="s">
        <v>117</v>
      </c>
      <c r="E1543" s="1" t="s">
        <v>10</v>
      </c>
    </row>
    <row r="1544" spans="1:5" x14ac:dyDescent="0.25">
      <c r="A1544" s="13">
        <v>79601176</v>
      </c>
      <c r="B1544" s="11" t="s">
        <v>116</v>
      </c>
      <c r="C1544" s="1" t="s">
        <v>725</v>
      </c>
      <c r="D1544" s="1" t="s">
        <v>117</v>
      </c>
      <c r="E1544" s="1" t="s">
        <v>263</v>
      </c>
    </row>
    <row r="1545" spans="1:5" x14ac:dyDescent="0.25">
      <c r="A1545" s="13">
        <v>79601237</v>
      </c>
      <c r="B1545" s="11" t="s">
        <v>116</v>
      </c>
      <c r="C1545" s="1" t="s">
        <v>724</v>
      </c>
      <c r="D1545" s="1" t="s">
        <v>117</v>
      </c>
      <c r="E1545" s="1" t="s">
        <v>8</v>
      </c>
    </row>
    <row r="1546" spans="1:5" x14ac:dyDescent="0.25">
      <c r="A1546" s="13">
        <v>79601679</v>
      </c>
      <c r="B1546" s="11" t="s">
        <v>109</v>
      </c>
      <c r="C1546" s="1" t="s">
        <v>723</v>
      </c>
      <c r="D1546" s="1" t="s">
        <v>131</v>
      </c>
      <c r="E1546" s="1" t="s">
        <v>131</v>
      </c>
    </row>
    <row r="1547" spans="1:5" x14ac:dyDescent="0.25">
      <c r="A1547" s="13">
        <v>79602489</v>
      </c>
      <c r="B1547" s="11" t="s">
        <v>84</v>
      </c>
      <c r="C1547" s="1" t="s">
        <v>722</v>
      </c>
      <c r="D1547" s="1" t="s">
        <v>47</v>
      </c>
      <c r="E1547" s="1" t="s">
        <v>22</v>
      </c>
    </row>
    <row r="1548" spans="1:5" x14ac:dyDescent="0.25">
      <c r="A1548" s="13">
        <v>79602678</v>
      </c>
      <c r="B1548" s="11" t="s">
        <v>84</v>
      </c>
      <c r="C1548" s="1" t="s">
        <v>721</v>
      </c>
      <c r="D1548" s="1" t="s">
        <v>43</v>
      </c>
      <c r="E1548" s="1" t="s">
        <v>11</v>
      </c>
    </row>
    <row r="1549" spans="1:5" x14ac:dyDescent="0.25">
      <c r="A1549" s="13">
        <v>79603276</v>
      </c>
      <c r="B1549" s="11" t="s">
        <v>84</v>
      </c>
      <c r="C1549" s="1" t="s">
        <v>720</v>
      </c>
      <c r="D1549" s="1" t="s">
        <v>381</v>
      </c>
      <c r="E1549" s="1" t="s">
        <v>26</v>
      </c>
    </row>
    <row r="1550" spans="1:5" x14ac:dyDescent="0.25">
      <c r="A1550" s="13">
        <v>79603878</v>
      </c>
      <c r="B1550" s="11" t="s">
        <v>116</v>
      </c>
      <c r="C1550" s="1" t="s">
        <v>719</v>
      </c>
      <c r="D1550" s="1" t="s">
        <v>117</v>
      </c>
      <c r="E1550" s="1" t="s">
        <v>8</v>
      </c>
    </row>
    <row r="1551" spans="1:5" x14ac:dyDescent="0.25">
      <c r="A1551" s="13">
        <v>79605114</v>
      </c>
      <c r="B1551" s="11" t="s">
        <v>116</v>
      </c>
      <c r="C1551" s="1" t="s">
        <v>718</v>
      </c>
      <c r="D1551" s="1" t="s">
        <v>117</v>
      </c>
      <c r="E1551" s="1" t="s">
        <v>11</v>
      </c>
    </row>
    <row r="1552" spans="1:5" x14ac:dyDescent="0.25">
      <c r="A1552" s="13">
        <v>79610566</v>
      </c>
      <c r="B1552" s="11" t="s">
        <v>116</v>
      </c>
      <c r="C1552" s="1" t="s">
        <v>717</v>
      </c>
      <c r="D1552" s="1" t="s">
        <v>117</v>
      </c>
      <c r="E1552" s="1" t="s">
        <v>232</v>
      </c>
    </row>
    <row r="1553" spans="1:5" x14ac:dyDescent="0.25">
      <c r="A1553" s="13">
        <v>79611278</v>
      </c>
      <c r="B1553" s="11" t="s">
        <v>84</v>
      </c>
      <c r="C1553" s="1" t="s">
        <v>716</v>
      </c>
      <c r="D1553" s="1" t="s">
        <v>38</v>
      </c>
      <c r="E1553" s="1" t="s">
        <v>453</v>
      </c>
    </row>
    <row r="1554" spans="1:5" x14ac:dyDescent="0.25">
      <c r="A1554" s="13">
        <v>79612332</v>
      </c>
      <c r="B1554" s="11" t="s">
        <v>116</v>
      </c>
      <c r="C1554" s="1" t="s">
        <v>715</v>
      </c>
      <c r="D1554" s="1" t="s">
        <v>117</v>
      </c>
      <c r="E1554" s="1" t="s">
        <v>491</v>
      </c>
    </row>
    <row r="1555" spans="1:5" x14ac:dyDescent="0.25">
      <c r="A1555" s="13">
        <v>79612644</v>
      </c>
      <c r="B1555" s="11" t="s">
        <v>84</v>
      </c>
      <c r="C1555" s="1" t="s">
        <v>714</v>
      </c>
      <c r="D1555" s="1" t="s">
        <v>38</v>
      </c>
      <c r="E1555" s="1" t="s">
        <v>14</v>
      </c>
    </row>
    <row r="1556" spans="1:5" x14ac:dyDescent="0.25">
      <c r="A1556" s="13">
        <v>79616162</v>
      </c>
      <c r="B1556" s="11" t="s">
        <v>109</v>
      </c>
      <c r="C1556" s="1" t="s">
        <v>713</v>
      </c>
      <c r="D1556" s="1" t="s">
        <v>131</v>
      </c>
      <c r="E1556" s="1" t="s">
        <v>131</v>
      </c>
    </row>
    <row r="1557" spans="1:5" x14ac:dyDescent="0.25">
      <c r="A1557" s="13">
        <v>79618578</v>
      </c>
      <c r="B1557" s="11" t="s">
        <v>116</v>
      </c>
      <c r="C1557" s="1" t="s">
        <v>712</v>
      </c>
      <c r="D1557" s="1" t="s">
        <v>117</v>
      </c>
      <c r="E1557" s="1" t="s">
        <v>232</v>
      </c>
    </row>
    <row r="1558" spans="1:5" x14ac:dyDescent="0.25">
      <c r="A1558" s="13">
        <v>79619328</v>
      </c>
      <c r="B1558" s="11" t="s">
        <v>84</v>
      </c>
      <c r="C1558" s="1" t="s">
        <v>711</v>
      </c>
      <c r="D1558" s="1" t="s">
        <v>172</v>
      </c>
      <c r="E1558" s="1" t="s">
        <v>134</v>
      </c>
    </row>
    <row r="1559" spans="1:5" x14ac:dyDescent="0.25">
      <c r="A1559" s="13">
        <v>79620054</v>
      </c>
      <c r="B1559" s="11" t="s">
        <v>84</v>
      </c>
      <c r="C1559" s="1" t="s">
        <v>3568</v>
      </c>
      <c r="D1559" s="1" t="s">
        <v>38</v>
      </c>
      <c r="E1559" s="1" t="s">
        <v>10</v>
      </c>
    </row>
    <row r="1560" spans="1:5" x14ac:dyDescent="0.25">
      <c r="A1560" s="13">
        <v>79624189</v>
      </c>
      <c r="B1560" s="11" t="s">
        <v>84</v>
      </c>
      <c r="C1560" s="1" t="s">
        <v>709</v>
      </c>
      <c r="D1560" s="1" t="s">
        <v>710</v>
      </c>
      <c r="E1560" s="1" t="s">
        <v>22</v>
      </c>
    </row>
    <row r="1561" spans="1:5" x14ac:dyDescent="0.25">
      <c r="A1561" s="13">
        <v>79624306</v>
      </c>
      <c r="B1561" s="11" t="s">
        <v>83</v>
      </c>
      <c r="C1561" s="1" t="s">
        <v>3257</v>
      </c>
      <c r="D1561" s="1" t="s">
        <v>378</v>
      </c>
      <c r="E1561" s="1" t="s">
        <v>16</v>
      </c>
    </row>
    <row r="1562" spans="1:5" x14ac:dyDescent="0.25">
      <c r="A1562" s="13">
        <v>79624784</v>
      </c>
      <c r="B1562" s="11" t="s">
        <v>116</v>
      </c>
      <c r="C1562" s="1" t="s">
        <v>708</v>
      </c>
      <c r="D1562" s="1" t="s">
        <v>117</v>
      </c>
      <c r="E1562" s="1" t="s">
        <v>210</v>
      </c>
    </row>
    <row r="1563" spans="1:5" x14ac:dyDescent="0.25">
      <c r="A1563" s="13">
        <v>79625429</v>
      </c>
      <c r="B1563" s="11" t="s">
        <v>116</v>
      </c>
      <c r="C1563" s="1" t="s">
        <v>707</v>
      </c>
      <c r="D1563" s="1" t="s">
        <v>117</v>
      </c>
      <c r="E1563" s="1" t="s">
        <v>8</v>
      </c>
    </row>
    <row r="1564" spans="1:5" x14ac:dyDescent="0.25">
      <c r="A1564" s="13">
        <v>79627916</v>
      </c>
      <c r="B1564" s="11" t="s">
        <v>84</v>
      </c>
      <c r="C1564" s="1" t="s">
        <v>706</v>
      </c>
      <c r="D1564" s="1" t="s">
        <v>43</v>
      </c>
      <c r="E1564" s="1" t="s">
        <v>10</v>
      </c>
    </row>
    <row r="1565" spans="1:5" x14ac:dyDescent="0.25">
      <c r="A1565" s="13">
        <v>79632750</v>
      </c>
      <c r="B1565" s="11" t="s">
        <v>84</v>
      </c>
      <c r="C1565" s="1" t="s">
        <v>705</v>
      </c>
      <c r="D1565" s="1" t="s">
        <v>43</v>
      </c>
      <c r="E1565" s="1" t="s">
        <v>147</v>
      </c>
    </row>
    <row r="1566" spans="1:5" x14ac:dyDescent="0.25">
      <c r="A1566" s="13">
        <v>79633867</v>
      </c>
      <c r="B1566" s="11" t="s">
        <v>84</v>
      </c>
      <c r="C1566" s="1" t="s">
        <v>704</v>
      </c>
      <c r="D1566" s="1" t="s">
        <v>38</v>
      </c>
      <c r="E1566" s="1" t="s">
        <v>12</v>
      </c>
    </row>
    <row r="1567" spans="1:5" x14ac:dyDescent="0.25">
      <c r="A1567" s="13">
        <v>79634958</v>
      </c>
      <c r="B1567" s="11" t="s">
        <v>84</v>
      </c>
      <c r="C1567" s="1" t="s">
        <v>703</v>
      </c>
      <c r="D1567" s="1" t="s">
        <v>52</v>
      </c>
      <c r="E1567" s="1" t="s">
        <v>22</v>
      </c>
    </row>
    <row r="1568" spans="1:5" x14ac:dyDescent="0.25">
      <c r="A1568" s="13">
        <v>79636935</v>
      </c>
      <c r="B1568" s="11" t="s">
        <v>116</v>
      </c>
      <c r="C1568" s="1" t="s">
        <v>702</v>
      </c>
      <c r="D1568" s="1" t="s">
        <v>117</v>
      </c>
      <c r="E1568" s="1" t="s">
        <v>186</v>
      </c>
    </row>
    <row r="1569" spans="1:5" x14ac:dyDescent="0.25">
      <c r="A1569" s="13">
        <v>79638510</v>
      </c>
      <c r="B1569" s="11" t="s">
        <v>84</v>
      </c>
      <c r="C1569" s="1" t="s">
        <v>3258</v>
      </c>
      <c r="D1569" s="1" t="s">
        <v>38</v>
      </c>
      <c r="E1569" s="1" t="s">
        <v>3</v>
      </c>
    </row>
    <row r="1570" spans="1:5" x14ac:dyDescent="0.25">
      <c r="A1570" s="13">
        <v>79638883</v>
      </c>
      <c r="B1570" s="11" t="s">
        <v>116</v>
      </c>
      <c r="C1570" s="1" t="s">
        <v>701</v>
      </c>
      <c r="D1570" s="1" t="s">
        <v>117</v>
      </c>
      <c r="E1570" s="1" t="s">
        <v>127</v>
      </c>
    </row>
    <row r="1571" spans="1:5" x14ac:dyDescent="0.25">
      <c r="A1571" s="13">
        <v>79639365</v>
      </c>
      <c r="B1571" s="11" t="s">
        <v>83</v>
      </c>
      <c r="C1571" s="1" t="s">
        <v>3259</v>
      </c>
      <c r="D1571" s="1" t="s">
        <v>57</v>
      </c>
      <c r="E1571" s="1" t="s">
        <v>23</v>
      </c>
    </row>
    <row r="1572" spans="1:5" x14ac:dyDescent="0.25">
      <c r="A1572" s="13">
        <v>79639431</v>
      </c>
      <c r="B1572" s="11" t="s">
        <v>84</v>
      </c>
      <c r="C1572" s="1" t="s">
        <v>700</v>
      </c>
      <c r="D1572" s="1" t="s">
        <v>38</v>
      </c>
      <c r="E1572" s="1" t="s">
        <v>2</v>
      </c>
    </row>
    <row r="1573" spans="1:5" x14ac:dyDescent="0.25">
      <c r="A1573" s="13">
        <v>79640130</v>
      </c>
      <c r="B1573" s="11" t="s">
        <v>84</v>
      </c>
      <c r="C1573" s="1" t="s">
        <v>699</v>
      </c>
      <c r="D1573" s="1" t="s">
        <v>203</v>
      </c>
      <c r="E1573" s="1" t="s">
        <v>12</v>
      </c>
    </row>
    <row r="1574" spans="1:5" x14ac:dyDescent="0.25">
      <c r="A1574" s="13">
        <v>79641444</v>
      </c>
      <c r="B1574" s="11" t="s">
        <v>84</v>
      </c>
      <c r="C1574" s="1" t="s">
        <v>3260</v>
      </c>
      <c r="D1574" s="1" t="s">
        <v>38</v>
      </c>
      <c r="E1574" s="1" t="s">
        <v>3211</v>
      </c>
    </row>
    <row r="1575" spans="1:5" x14ac:dyDescent="0.25">
      <c r="A1575" s="13">
        <v>79641853</v>
      </c>
      <c r="B1575" s="11" t="s">
        <v>116</v>
      </c>
      <c r="C1575" s="1" t="s">
        <v>698</v>
      </c>
      <c r="D1575" s="1" t="s">
        <v>117</v>
      </c>
      <c r="E1575" s="1" t="s">
        <v>491</v>
      </c>
    </row>
    <row r="1576" spans="1:5" x14ac:dyDescent="0.25">
      <c r="A1576" s="13">
        <v>79643969</v>
      </c>
      <c r="B1576" s="11" t="s">
        <v>109</v>
      </c>
      <c r="C1576" s="1" t="s">
        <v>697</v>
      </c>
      <c r="D1576" s="1" t="s">
        <v>131</v>
      </c>
      <c r="E1576" s="1" t="s">
        <v>131</v>
      </c>
    </row>
    <row r="1577" spans="1:5" x14ac:dyDescent="0.25">
      <c r="A1577" s="13">
        <v>79644814</v>
      </c>
      <c r="B1577" s="11" t="s">
        <v>116</v>
      </c>
      <c r="C1577" s="1" t="s">
        <v>696</v>
      </c>
      <c r="D1577" s="1" t="s">
        <v>117</v>
      </c>
      <c r="E1577" s="1" t="s">
        <v>86</v>
      </c>
    </row>
    <row r="1578" spans="1:5" x14ac:dyDescent="0.25">
      <c r="A1578" s="13">
        <v>79646296</v>
      </c>
      <c r="B1578" s="11" t="s">
        <v>109</v>
      </c>
      <c r="C1578" s="1" t="s">
        <v>695</v>
      </c>
      <c r="D1578" s="1" t="s">
        <v>131</v>
      </c>
      <c r="E1578" s="1" t="s">
        <v>131</v>
      </c>
    </row>
    <row r="1579" spans="1:5" x14ac:dyDescent="0.25">
      <c r="A1579" s="13">
        <v>79647244</v>
      </c>
      <c r="B1579" s="11" t="s">
        <v>84</v>
      </c>
      <c r="C1579" s="1" t="s">
        <v>694</v>
      </c>
      <c r="D1579" s="1" t="s">
        <v>38</v>
      </c>
      <c r="E1579" s="1" t="s">
        <v>168</v>
      </c>
    </row>
    <row r="1580" spans="1:5" x14ac:dyDescent="0.25">
      <c r="A1580" s="13">
        <v>79649779</v>
      </c>
      <c r="B1580" s="11" t="s">
        <v>116</v>
      </c>
      <c r="C1580" s="1" t="s">
        <v>693</v>
      </c>
      <c r="D1580" s="1" t="s">
        <v>117</v>
      </c>
      <c r="E1580" s="1" t="s">
        <v>263</v>
      </c>
    </row>
    <row r="1581" spans="1:5" x14ac:dyDescent="0.25">
      <c r="A1581" s="13">
        <v>79650707</v>
      </c>
      <c r="B1581" s="11" t="s">
        <v>84</v>
      </c>
      <c r="C1581" s="1" t="s">
        <v>692</v>
      </c>
      <c r="D1581" s="1" t="s">
        <v>38</v>
      </c>
      <c r="E1581" s="1" t="s">
        <v>186</v>
      </c>
    </row>
    <row r="1582" spans="1:5" x14ac:dyDescent="0.25">
      <c r="A1582" s="13">
        <v>79651265</v>
      </c>
      <c r="B1582" s="11" t="s">
        <v>116</v>
      </c>
      <c r="C1582" s="1" t="s">
        <v>691</v>
      </c>
      <c r="D1582" s="1" t="s">
        <v>151</v>
      </c>
      <c r="E1582" s="1" t="s">
        <v>17</v>
      </c>
    </row>
    <row r="1583" spans="1:5" x14ac:dyDescent="0.25">
      <c r="A1583" s="13">
        <v>79651283</v>
      </c>
      <c r="B1583" s="11" t="s">
        <v>116</v>
      </c>
      <c r="C1583" s="1" t="s">
        <v>690</v>
      </c>
      <c r="D1583" s="1" t="s">
        <v>117</v>
      </c>
      <c r="E1583" s="1" t="s">
        <v>127</v>
      </c>
    </row>
    <row r="1584" spans="1:5" x14ac:dyDescent="0.25">
      <c r="A1584" s="13">
        <v>79652627</v>
      </c>
      <c r="B1584" s="11" t="s">
        <v>116</v>
      </c>
      <c r="C1584" s="1" t="s">
        <v>689</v>
      </c>
      <c r="D1584" s="1" t="s">
        <v>117</v>
      </c>
      <c r="E1584" s="1" t="s">
        <v>205</v>
      </c>
    </row>
    <row r="1585" spans="1:5" x14ac:dyDescent="0.25">
      <c r="A1585" s="13">
        <v>79653534</v>
      </c>
      <c r="B1585" s="11" t="s">
        <v>116</v>
      </c>
      <c r="C1585" s="1" t="s">
        <v>688</v>
      </c>
      <c r="D1585" s="1" t="s">
        <v>117</v>
      </c>
      <c r="E1585" s="1" t="s">
        <v>6</v>
      </c>
    </row>
    <row r="1586" spans="1:5" x14ac:dyDescent="0.25">
      <c r="A1586" s="13">
        <v>79653608</v>
      </c>
      <c r="B1586" s="11" t="s">
        <v>116</v>
      </c>
      <c r="C1586" s="1" t="s">
        <v>687</v>
      </c>
      <c r="D1586" s="1" t="s">
        <v>117</v>
      </c>
      <c r="E1586" s="1" t="s">
        <v>10</v>
      </c>
    </row>
    <row r="1587" spans="1:5" x14ac:dyDescent="0.25">
      <c r="A1587" s="13">
        <v>79654154</v>
      </c>
      <c r="B1587" s="11" t="s">
        <v>84</v>
      </c>
      <c r="C1587" s="1" t="s">
        <v>3569</v>
      </c>
      <c r="D1587" s="1" t="s">
        <v>43</v>
      </c>
      <c r="E1587" s="1" t="s">
        <v>7</v>
      </c>
    </row>
    <row r="1588" spans="1:5" x14ac:dyDescent="0.25">
      <c r="A1588" s="13">
        <v>79655127</v>
      </c>
      <c r="B1588" s="11" t="s">
        <v>109</v>
      </c>
      <c r="C1588" s="1" t="s">
        <v>686</v>
      </c>
      <c r="D1588" s="1" t="s">
        <v>131</v>
      </c>
      <c r="E1588" s="1" t="s">
        <v>131</v>
      </c>
    </row>
    <row r="1589" spans="1:5" x14ac:dyDescent="0.25">
      <c r="A1589" s="13">
        <v>79655160</v>
      </c>
      <c r="B1589" s="11" t="s">
        <v>83</v>
      </c>
      <c r="C1589" s="1" t="s">
        <v>683</v>
      </c>
      <c r="D1589" s="1" t="s">
        <v>684</v>
      </c>
      <c r="E1589" s="1" t="s">
        <v>685</v>
      </c>
    </row>
    <row r="1590" spans="1:5" x14ac:dyDescent="0.25">
      <c r="A1590" s="13">
        <v>79655459</v>
      </c>
      <c r="B1590" s="11" t="s">
        <v>84</v>
      </c>
      <c r="C1590" s="1" t="s">
        <v>682</v>
      </c>
      <c r="D1590" s="1" t="s">
        <v>38</v>
      </c>
      <c r="E1590" s="1" t="s">
        <v>8</v>
      </c>
    </row>
    <row r="1591" spans="1:5" x14ac:dyDescent="0.25">
      <c r="A1591" s="13">
        <v>79657404</v>
      </c>
      <c r="B1591" s="11" t="s">
        <v>116</v>
      </c>
      <c r="C1591" s="1" t="s">
        <v>681</v>
      </c>
      <c r="D1591" s="1" t="s">
        <v>117</v>
      </c>
      <c r="E1591" s="1" t="s">
        <v>10</v>
      </c>
    </row>
    <row r="1592" spans="1:5" x14ac:dyDescent="0.25">
      <c r="A1592" s="13">
        <v>79657603</v>
      </c>
      <c r="B1592" s="11" t="s">
        <v>116</v>
      </c>
      <c r="C1592" s="1" t="s">
        <v>680</v>
      </c>
      <c r="D1592" s="1" t="s">
        <v>117</v>
      </c>
      <c r="E1592" s="1" t="s">
        <v>120</v>
      </c>
    </row>
    <row r="1593" spans="1:5" x14ac:dyDescent="0.25">
      <c r="A1593" s="13">
        <v>79658008</v>
      </c>
      <c r="B1593" s="11" t="s">
        <v>116</v>
      </c>
      <c r="C1593" s="1" t="s">
        <v>679</v>
      </c>
      <c r="D1593" s="1" t="s">
        <v>117</v>
      </c>
      <c r="E1593" s="1" t="s">
        <v>11</v>
      </c>
    </row>
    <row r="1594" spans="1:5" x14ac:dyDescent="0.25">
      <c r="A1594" s="13">
        <v>79658392</v>
      </c>
      <c r="B1594" s="11" t="s">
        <v>84</v>
      </c>
      <c r="C1594" s="1" t="s">
        <v>678</v>
      </c>
      <c r="D1594" s="1" t="s">
        <v>38</v>
      </c>
      <c r="E1594" s="1" t="s">
        <v>232</v>
      </c>
    </row>
    <row r="1595" spans="1:5" x14ac:dyDescent="0.25">
      <c r="A1595" s="13">
        <v>79659668</v>
      </c>
      <c r="B1595" s="11" t="s">
        <v>84</v>
      </c>
      <c r="C1595" s="1" t="s">
        <v>676</v>
      </c>
      <c r="D1595" s="1" t="s">
        <v>677</v>
      </c>
      <c r="E1595" s="1" t="s">
        <v>237</v>
      </c>
    </row>
    <row r="1596" spans="1:5" x14ac:dyDescent="0.25">
      <c r="A1596" s="13">
        <v>79661847</v>
      </c>
      <c r="B1596" s="11" t="s">
        <v>116</v>
      </c>
      <c r="C1596" s="1" t="s">
        <v>675</v>
      </c>
      <c r="D1596" s="1" t="s">
        <v>117</v>
      </c>
      <c r="E1596" s="1" t="s">
        <v>232</v>
      </c>
    </row>
    <row r="1597" spans="1:5" x14ac:dyDescent="0.25">
      <c r="A1597" s="13">
        <v>79667746</v>
      </c>
      <c r="B1597" s="11" t="s">
        <v>83</v>
      </c>
      <c r="C1597" s="1" t="s">
        <v>3570</v>
      </c>
      <c r="D1597" s="1" t="s">
        <v>290</v>
      </c>
      <c r="E1597" s="1" t="s">
        <v>23</v>
      </c>
    </row>
    <row r="1598" spans="1:5" x14ac:dyDescent="0.25">
      <c r="A1598" s="13">
        <v>79671115</v>
      </c>
      <c r="B1598" s="11" t="s">
        <v>84</v>
      </c>
      <c r="C1598" s="1" t="s">
        <v>674</v>
      </c>
      <c r="D1598" s="1" t="s">
        <v>38</v>
      </c>
      <c r="E1598" s="1" t="s">
        <v>173</v>
      </c>
    </row>
    <row r="1599" spans="1:5" x14ac:dyDescent="0.25">
      <c r="A1599" s="13">
        <v>79671274</v>
      </c>
      <c r="B1599" s="11" t="s">
        <v>84</v>
      </c>
      <c r="C1599" s="1" t="s">
        <v>673</v>
      </c>
      <c r="D1599" s="1" t="s">
        <v>38</v>
      </c>
      <c r="E1599" s="1" t="s">
        <v>12</v>
      </c>
    </row>
    <row r="1600" spans="1:5" x14ac:dyDescent="0.25">
      <c r="A1600" s="13">
        <v>79671316</v>
      </c>
      <c r="B1600" s="11" t="s">
        <v>116</v>
      </c>
      <c r="C1600" s="1" t="s">
        <v>672</v>
      </c>
      <c r="D1600" s="1" t="s">
        <v>117</v>
      </c>
      <c r="E1600" s="1" t="s">
        <v>232</v>
      </c>
    </row>
    <row r="1601" spans="1:5" x14ac:dyDescent="0.25">
      <c r="A1601" s="13">
        <v>79671973</v>
      </c>
      <c r="B1601" s="11" t="s">
        <v>116</v>
      </c>
      <c r="C1601" s="1" t="s">
        <v>671</v>
      </c>
      <c r="D1601" s="1" t="s">
        <v>117</v>
      </c>
      <c r="E1601" s="1" t="s">
        <v>10</v>
      </c>
    </row>
    <row r="1602" spans="1:5" x14ac:dyDescent="0.25">
      <c r="A1602" s="13">
        <v>79683041</v>
      </c>
      <c r="B1602" s="11" t="s">
        <v>116</v>
      </c>
      <c r="C1602" s="1" t="s">
        <v>670</v>
      </c>
      <c r="D1602" s="1" t="s">
        <v>117</v>
      </c>
      <c r="E1602" s="1" t="s">
        <v>417</v>
      </c>
    </row>
    <row r="1603" spans="1:5" x14ac:dyDescent="0.25">
      <c r="A1603" s="13">
        <v>79683090</v>
      </c>
      <c r="B1603" s="11" t="s">
        <v>116</v>
      </c>
      <c r="C1603" s="1" t="s">
        <v>669</v>
      </c>
      <c r="D1603" s="1" t="s">
        <v>117</v>
      </c>
      <c r="E1603" s="1" t="s">
        <v>6</v>
      </c>
    </row>
    <row r="1604" spans="1:5" x14ac:dyDescent="0.25">
      <c r="A1604" s="13">
        <v>79683120</v>
      </c>
      <c r="B1604" s="11" t="s">
        <v>83</v>
      </c>
      <c r="C1604" s="1" t="s">
        <v>667</v>
      </c>
      <c r="D1604" s="1" t="s">
        <v>48</v>
      </c>
      <c r="E1604" s="1" t="s">
        <v>668</v>
      </c>
    </row>
    <row r="1605" spans="1:5" x14ac:dyDescent="0.25">
      <c r="A1605" s="13">
        <v>79683712</v>
      </c>
      <c r="B1605" s="11" t="s">
        <v>116</v>
      </c>
      <c r="C1605" s="1" t="s">
        <v>3571</v>
      </c>
      <c r="D1605" s="1" t="s">
        <v>117</v>
      </c>
      <c r="E1605" s="1" t="s">
        <v>3192</v>
      </c>
    </row>
    <row r="1606" spans="1:5" x14ac:dyDescent="0.25">
      <c r="A1606" s="13">
        <v>79687351</v>
      </c>
      <c r="B1606" s="11" t="s">
        <v>84</v>
      </c>
      <c r="C1606" s="1" t="s">
        <v>666</v>
      </c>
      <c r="D1606" s="1" t="s">
        <v>38</v>
      </c>
      <c r="E1606" s="1" t="s">
        <v>6</v>
      </c>
    </row>
    <row r="1607" spans="1:5" x14ac:dyDescent="0.25">
      <c r="A1607" s="13">
        <v>79688380</v>
      </c>
      <c r="B1607" s="11" t="s">
        <v>116</v>
      </c>
      <c r="C1607" s="1" t="s">
        <v>665</v>
      </c>
      <c r="D1607" s="1" t="s">
        <v>117</v>
      </c>
      <c r="E1607" s="1" t="s">
        <v>333</v>
      </c>
    </row>
    <row r="1608" spans="1:5" x14ac:dyDescent="0.25">
      <c r="A1608" s="13">
        <v>79688864</v>
      </c>
      <c r="B1608" s="11" t="s">
        <v>116</v>
      </c>
      <c r="C1608" s="1" t="s">
        <v>664</v>
      </c>
      <c r="D1608" s="1" t="s">
        <v>117</v>
      </c>
      <c r="E1608" s="1" t="s">
        <v>8</v>
      </c>
    </row>
    <row r="1609" spans="1:5" x14ac:dyDescent="0.25">
      <c r="A1609" s="13">
        <v>79689262</v>
      </c>
      <c r="B1609" s="11" t="s">
        <v>116</v>
      </c>
      <c r="C1609" s="1" t="s">
        <v>663</v>
      </c>
      <c r="D1609" s="1" t="s">
        <v>117</v>
      </c>
      <c r="E1609" s="1" t="s">
        <v>11</v>
      </c>
    </row>
    <row r="1610" spans="1:5" x14ac:dyDescent="0.25">
      <c r="A1610" s="13">
        <v>79690376</v>
      </c>
      <c r="B1610" s="11" t="s">
        <v>116</v>
      </c>
      <c r="C1610" s="1" t="s">
        <v>662</v>
      </c>
      <c r="D1610" s="1" t="s">
        <v>117</v>
      </c>
      <c r="E1610" s="1" t="s">
        <v>342</v>
      </c>
    </row>
    <row r="1611" spans="1:5" x14ac:dyDescent="0.25">
      <c r="A1611" s="13">
        <v>79690836</v>
      </c>
      <c r="B1611" s="11" t="s">
        <v>83</v>
      </c>
      <c r="C1611" s="1" t="s">
        <v>661</v>
      </c>
      <c r="D1611" s="1" t="s">
        <v>95</v>
      </c>
      <c r="E1611" s="1" t="s">
        <v>19</v>
      </c>
    </row>
    <row r="1612" spans="1:5" x14ac:dyDescent="0.25">
      <c r="A1612" s="13">
        <v>79691406</v>
      </c>
      <c r="B1612" s="11" t="s">
        <v>84</v>
      </c>
      <c r="C1612" s="1" t="s">
        <v>660</v>
      </c>
      <c r="D1612" s="1" t="s">
        <v>38</v>
      </c>
      <c r="E1612" s="1" t="s">
        <v>8</v>
      </c>
    </row>
    <row r="1613" spans="1:5" x14ac:dyDescent="0.25">
      <c r="A1613" s="13">
        <v>79695370</v>
      </c>
      <c r="B1613" s="11" t="s">
        <v>116</v>
      </c>
      <c r="C1613" s="1" t="s">
        <v>659</v>
      </c>
      <c r="D1613" s="1" t="s">
        <v>117</v>
      </c>
      <c r="E1613" s="1" t="s">
        <v>232</v>
      </c>
    </row>
    <row r="1614" spans="1:5" x14ac:dyDescent="0.25">
      <c r="A1614" s="13">
        <v>79695792</v>
      </c>
      <c r="B1614" s="11" t="s">
        <v>116</v>
      </c>
      <c r="C1614" s="1" t="s">
        <v>658</v>
      </c>
      <c r="D1614" s="1" t="s">
        <v>117</v>
      </c>
      <c r="E1614" s="1" t="s">
        <v>263</v>
      </c>
    </row>
    <row r="1615" spans="1:5" x14ac:dyDescent="0.25">
      <c r="A1615" s="13">
        <v>79697247</v>
      </c>
      <c r="B1615" s="11" t="s">
        <v>116</v>
      </c>
      <c r="C1615" s="1" t="s">
        <v>657</v>
      </c>
      <c r="D1615" s="1" t="s">
        <v>117</v>
      </c>
      <c r="E1615" s="1" t="s">
        <v>8</v>
      </c>
    </row>
    <row r="1616" spans="1:5" x14ac:dyDescent="0.25">
      <c r="A1616" s="13">
        <v>79698187</v>
      </c>
      <c r="B1616" s="11" t="s">
        <v>84</v>
      </c>
      <c r="C1616" s="1" t="s">
        <v>656</v>
      </c>
      <c r="D1616" s="1" t="s">
        <v>43</v>
      </c>
      <c r="E1616" s="1" t="s">
        <v>6</v>
      </c>
    </row>
    <row r="1617" spans="1:5" x14ac:dyDescent="0.25">
      <c r="A1617" s="13">
        <v>79699377</v>
      </c>
      <c r="B1617" s="11" t="s">
        <v>116</v>
      </c>
      <c r="C1617" s="1" t="s">
        <v>655</v>
      </c>
      <c r="D1617" s="1" t="s">
        <v>117</v>
      </c>
      <c r="E1617" s="1" t="s">
        <v>12</v>
      </c>
    </row>
    <row r="1618" spans="1:5" x14ac:dyDescent="0.25">
      <c r="A1618" s="13">
        <v>79701887</v>
      </c>
      <c r="B1618" s="11" t="s">
        <v>83</v>
      </c>
      <c r="C1618" s="1" t="s">
        <v>653</v>
      </c>
      <c r="D1618" s="1" t="s">
        <v>654</v>
      </c>
      <c r="E1618" s="1" t="s">
        <v>20</v>
      </c>
    </row>
    <row r="1619" spans="1:5" x14ac:dyDescent="0.25">
      <c r="A1619" s="13">
        <v>79703234</v>
      </c>
      <c r="B1619" s="11" t="s">
        <v>109</v>
      </c>
      <c r="C1619" s="1" t="s">
        <v>652</v>
      </c>
      <c r="D1619" s="1" t="s">
        <v>131</v>
      </c>
      <c r="E1619" s="1" t="s">
        <v>131</v>
      </c>
    </row>
    <row r="1620" spans="1:5" x14ac:dyDescent="0.25">
      <c r="A1620" s="13">
        <v>79703709</v>
      </c>
      <c r="B1620" s="11" t="s">
        <v>116</v>
      </c>
      <c r="C1620" s="1" t="s">
        <v>651</v>
      </c>
      <c r="D1620" s="1" t="s">
        <v>117</v>
      </c>
      <c r="E1620" s="1" t="s">
        <v>7</v>
      </c>
    </row>
    <row r="1621" spans="1:5" x14ac:dyDescent="0.25">
      <c r="A1621" s="13">
        <v>79704152</v>
      </c>
      <c r="B1621" s="11" t="s">
        <v>84</v>
      </c>
      <c r="C1621" s="1" t="s">
        <v>650</v>
      </c>
      <c r="D1621" s="1" t="s">
        <v>52</v>
      </c>
      <c r="E1621" s="1" t="s">
        <v>3572</v>
      </c>
    </row>
    <row r="1622" spans="1:5" x14ac:dyDescent="0.25">
      <c r="A1622" s="13">
        <v>79704225</v>
      </c>
      <c r="B1622" s="11" t="s">
        <v>109</v>
      </c>
      <c r="C1622" s="1" t="s">
        <v>649</v>
      </c>
      <c r="D1622" s="1" t="s">
        <v>131</v>
      </c>
      <c r="E1622" s="1" t="s">
        <v>131</v>
      </c>
    </row>
    <row r="1623" spans="1:5" x14ac:dyDescent="0.25">
      <c r="A1623" s="13">
        <v>79704600</v>
      </c>
      <c r="B1623" s="11" t="s">
        <v>116</v>
      </c>
      <c r="C1623" s="1" t="s">
        <v>648</v>
      </c>
      <c r="D1623" s="1" t="s">
        <v>117</v>
      </c>
      <c r="E1623" s="1" t="s">
        <v>6</v>
      </c>
    </row>
    <row r="1624" spans="1:5" x14ac:dyDescent="0.25">
      <c r="A1624" s="13">
        <v>79708143</v>
      </c>
      <c r="B1624" s="11" t="s">
        <v>116</v>
      </c>
      <c r="C1624" s="1" t="s">
        <v>647</v>
      </c>
      <c r="D1624" s="1" t="s">
        <v>117</v>
      </c>
      <c r="E1624" s="1" t="s">
        <v>147</v>
      </c>
    </row>
    <row r="1625" spans="1:5" x14ac:dyDescent="0.25">
      <c r="A1625" s="13">
        <v>79708538</v>
      </c>
      <c r="B1625" s="11" t="s">
        <v>116</v>
      </c>
      <c r="C1625" s="1" t="s">
        <v>646</v>
      </c>
      <c r="D1625" s="1" t="s">
        <v>151</v>
      </c>
      <c r="E1625" s="1" t="s">
        <v>152</v>
      </c>
    </row>
    <row r="1626" spans="1:5" x14ac:dyDescent="0.25">
      <c r="A1626" s="13">
        <v>79710066</v>
      </c>
      <c r="B1626" s="11" t="s">
        <v>83</v>
      </c>
      <c r="C1626" s="1" t="s">
        <v>644</v>
      </c>
      <c r="D1626" s="1" t="s">
        <v>645</v>
      </c>
      <c r="E1626" s="1" t="s">
        <v>300</v>
      </c>
    </row>
    <row r="1627" spans="1:5" x14ac:dyDescent="0.25">
      <c r="A1627" s="13">
        <v>79710561</v>
      </c>
      <c r="B1627" s="11" t="s">
        <v>84</v>
      </c>
      <c r="C1627" s="1" t="s">
        <v>643</v>
      </c>
      <c r="D1627" s="1" t="s">
        <v>38</v>
      </c>
      <c r="E1627" s="1" t="s">
        <v>11</v>
      </c>
    </row>
    <row r="1628" spans="1:5" x14ac:dyDescent="0.25">
      <c r="A1628" s="13">
        <v>79710696</v>
      </c>
      <c r="B1628" s="11" t="s">
        <v>109</v>
      </c>
      <c r="C1628" s="1" t="s">
        <v>642</v>
      </c>
      <c r="D1628" s="1" t="s">
        <v>131</v>
      </c>
      <c r="E1628" s="1" t="s">
        <v>131</v>
      </c>
    </row>
    <row r="1629" spans="1:5" x14ac:dyDescent="0.25">
      <c r="A1629" s="13">
        <v>79712147</v>
      </c>
      <c r="B1629" s="11" t="s">
        <v>116</v>
      </c>
      <c r="C1629" s="1" t="s">
        <v>641</v>
      </c>
      <c r="D1629" s="1" t="s">
        <v>117</v>
      </c>
      <c r="E1629" s="1" t="s">
        <v>10</v>
      </c>
    </row>
    <row r="1630" spans="1:5" x14ac:dyDescent="0.25">
      <c r="A1630" s="13">
        <v>79713697</v>
      </c>
      <c r="B1630" s="11" t="s">
        <v>116</v>
      </c>
      <c r="C1630" s="1" t="s">
        <v>640</v>
      </c>
      <c r="D1630" s="1" t="s">
        <v>117</v>
      </c>
      <c r="E1630" s="1" t="s">
        <v>8</v>
      </c>
    </row>
    <row r="1631" spans="1:5" x14ac:dyDescent="0.25">
      <c r="A1631" s="13">
        <v>79713882</v>
      </c>
      <c r="B1631" s="11" t="s">
        <v>84</v>
      </c>
      <c r="C1631" s="1" t="s">
        <v>639</v>
      </c>
      <c r="D1631" s="1" t="s">
        <v>37</v>
      </c>
      <c r="E1631" s="1" t="s">
        <v>1439</v>
      </c>
    </row>
    <row r="1632" spans="1:5" x14ac:dyDescent="0.25">
      <c r="A1632" s="13">
        <v>79713993</v>
      </c>
      <c r="B1632" s="11" t="s">
        <v>116</v>
      </c>
      <c r="C1632" s="1" t="s">
        <v>3261</v>
      </c>
      <c r="D1632" s="1" t="s">
        <v>117</v>
      </c>
      <c r="E1632" s="1" t="s">
        <v>120</v>
      </c>
    </row>
    <row r="1633" spans="1:5" x14ac:dyDescent="0.25">
      <c r="A1633" s="13">
        <v>79714570</v>
      </c>
      <c r="B1633" s="11" t="s">
        <v>109</v>
      </c>
      <c r="C1633" s="1" t="s">
        <v>638</v>
      </c>
      <c r="D1633" s="1" t="s">
        <v>131</v>
      </c>
      <c r="E1633" s="1" t="s">
        <v>131</v>
      </c>
    </row>
    <row r="1634" spans="1:5" x14ac:dyDescent="0.25">
      <c r="A1634" s="13">
        <v>79714931</v>
      </c>
      <c r="B1634" s="11" t="s">
        <v>84</v>
      </c>
      <c r="C1634" s="1" t="s">
        <v>637</v>
      </c>
      <c r="D1634" s="1" t="s">
        <v>38</v>
      </c>
      <c r="E1634" s="1" t="s">
        <v>3121</v>
      </c>
    </row>
    <row r="1635" spans="1:5" x14ac:dyDescent="0.25">
      <c r="A1635" s="13">
        <v>79721742</v>
      </c>
      <c r="B1635" s="11" t="s">
        <v>84</v>
      </c>
      <c r="C1635" s="1" t="s">
        <v>636</v>
      </c>
      <c r="D1635" s="1" t="s">
        <v>43</v>
      </c>
      <c r="E1635" s="1" t="s">
        <v>328</v>
      </c>
    </row>
    <row r="1636" spans="1:5" x14ac:dyDescent="0.25">
      <c r="A1636" s="13">
        <v>79724027</v>
      </c>
      <c r="B1636" s="11" t="s">
        <v>116</v>
      </c>
      <c r="C1636" s="1" t="s">
        <v>635</v>
      </c>
      <c r="D1636" s="1" t="s">
        <v>117</v>
      </c>
      <c r="E1636" s="1" t="s">
        <v>11</v>
      </c>
    </row>
    <row r="1637" spans="1:5" x14ac:dyDescent="0.25">
      <c r="A1637" s="13">
        <v>79724771</v>
      </c>
      <c r="B1637" s="11" t="s">
        <v>84</v>
      </c>
      <c r="C1637" s="1" t="s">
        <v>634</v>
      </c>
      <c r="D1637" s="1" t="s">
        <v>38</v>
      </c>
      <c r="E1637" s="1" t="s">
        <v>13</v>
      </c>
    </row>
    <row r="1638" spans="1:5" x14ac:dyDescent="0.25">
      <c r="A1638" s="13">
        <v>79729563</v>
      </c>
      <c r="B1638" s="11" t="s">
        <v>109</v>
      </c>
      <c r="C1638" s="1" t="s">
        <v>633</v>
      </c>
      <c r="D1638" s="1" t="s">
        <v>131</v>
      </c>
      <c r="E1638" s="1" t="s">
        <v>131</v>
      </c>
    </row>
    <row r="1639" spans="1:5" x14ac:dyDescent="0.25">
      <c r="A1639" s="13">
        <v>79729653</v>
      </c>
      <c r="B1639" s="11" t="s">
        <v>84</v>
      </c>
      <c r="C1639" s="1" t="s">
        <v>632</v>
      </c>
      <c r="D1639" s="1" t="s">
        <v>43</v>
      </c>
      <c r="E1639" s="1" t="s">
        <v>417</v>
      </c>
    </row>
    <row r="1640" spans="1:5" x14ac:dyDescent="0.25">
      <c r="A1640" s="13">
        <v>79730691</v>
      </c>
      <c r="B1640" s="11" t="s">
        <v>84</v>
      </c>
      <c r="C1640" s="1" t="s">
        <v>3262</v>
      </c>
      <c r="D1640" s="1" t="s">
        <v>38</v>
      </c>
      <c r="E1640" s="1" t="s">
        <v>14</v>
      </c>
    </row>
    <row r="1641" spans="1:5" x14ac:dyDescent="0.25">
      <c r="A1641" s="13">
        <v>79731916</v>
      </c>
      <c r="B1641" s="11" t="s">
        <v>116</v>
      </c>
      <c r="C1641" s="1" t="s">
        <v>631</v>
      </c>
      <c r="D1641" s="1" t="s">
        <v>117</v>
      </c>
      <c r="E1641" s="1" t="s">
        <v>127</v>
      </c>
    </row>
    <row r="1642" spans="1:5" x14ac:dyDescent="0.25">
      <c r="A1642" s="13">
        <v>79732443</v>
      </c>
      <c r="B1642" s="11" t="s">
        <v>83</v>
      </c>
      <c r="C1642" s="1" t="s">
        <v>630</v>
      </c>
      <c r="D1642" s="1" t="s">
        <v>151</v>
      </c>
      <c r="E1642" s="1" t="s">
        <v>152</v>
      </c>
    </row>
    <row r="1643" spans="1:5" x14ac:dyDescent="0.25">
      <c r="A1643" s="13">
        <v>79733271</v>
      </c>
      <c r="B1643" s="11" t="s">
        <v>116</v>
      </c>
      <c r="C1643" s="1" t="s">
        <v>629</v>
      </c>
      <c r="D1643" s="1" t="s">
        <v>117</v>
      </c>
      <c r="E1643" s="1" t="s">
        <v>2</v>
      </c>
    </row>
    <row r="1644" spans="1:5" x14ac:dyDescent="0.25">
      <c r="A1644" s="13">
        <v>79733821</v>
      </c>
      <c r="B1644" s="11" t="s">
        <v>83</v>
      </c>
      <c r="C1644" s="1" t="s">
        <v>628</v>
      </c>
      <c r="D1644" s="1" t="s">
        <v>47</v>
      </c>
      <c r="E1644" s="1" t="s">
        <v>4</v>
      </c>
    </row>
    <row r="1645" spans="1:5" x14ac:dyDescent="0.25">
      <c r="A1645" s="13">
        <v>79734082</v>
      </c>
      <c r="B1645" s="11" t="s">
        <v>84</v>
      </c>
      <c r="C1645" s="1" t="s">
        <v>627</v>
      </c>
      <c r="D1645" s="1" t="s">
        <v>38</v>
      </c>
      <c r="E1645" s="1" t="s">
        <v>263</v>
      </c>
    </row>
    <row r="1646" spans="1:5" x14ac:dyDescent="0.25">
      <c r="A1646" s="13">
        <v>79734164</v>
      </c>
      <c r="B1646" s="11" t="s">
        <v>109</v>
      </c>
      <c r="C1646" s="1" t="s">
        <v>626</v>
      </c>
      <c r="D1646" s="1" t="s">
        <v>131</v>
      </c>
      <c r="E1646" s="1" t="s">
        <v>131</v>
      </c>
    </row>
    <row r="1647" spans="1:5" x14ac:dyDescent="0.25">
      <c r="A1647" s="13">
        <v>79737561</v>
      </c>
      <c r="B1647" s="11" t="s">
        <v>84</v>
      </c>
      <c r="C1647" s="1" t="s">
        <v>3675</v>
      </c>
      <c r="D1647" s="1" t="s">
        <v>43</v>
      </c>
      <c r="E1647" s="1" t="s">
        <v>3211</v>
      </c>
    </row>
    <row r="1648" spans="1:5" x14ac:dyDescent="0.25">
      <c r="A1648" s="13">
        <v>79738475</v>
      </c>
      <c r="B1648" s="11" t="s">
        <v>84</v>
      </c>
      <c r="C1648" s="1" t="s">
        <v>625</v>
      </c>
      <c r="D1648" s="1" t="s">
        <v>38</v>
      </c>
      <c r="E1648" s="1" t="s">
        <v>3</v>
      </c>
    </row>
    <row r="1649" spans="1:5" x14ac:dyDescent="0.25">
      <c r="A1649" s="13">
        <v>79740517</v>
      </c>
      <c r="B1649" s="11" t="s">
        <v>84</v>
      </c>
      <c r="C1649" s="1" t="s">
        <v>624</v>
      </c>
      <c r="D1649" s="1" t="s">
        <v>38</v>
      </c>
      <c r="E1649" s="1" t="s">
        <v>14</v>
      </c>
    </row>
    <row r="1650" spans="1:5" x14ac:dyDescent="0.25">
      <c r="A1650" s="13">
        <v>79740919</v>
      </c>
      <c r="B1650" s="11" t="s">
        <v>116</v>
      </c>
      <c r="C1650" s="1" t="s">
        <v>623</v>
      </c>
      <c r="D1650" s="1" t="s">
        <v>117</v>
      </c>
      <c r="E1650" s="1" t="s">
        <v>10</v>
      </c>
    </row>
    <row r="1651" spans="1:5" x14ac:dyDescent="0.25">
      <c r="A1651" s="13">
        <v>79742667</v>
      </c>
      <c r="B1651" s="11" t="s">
        <v>116</v>
      </c>
      <c r="C1651" s="1" t="s">
        <v>622</v>
      </c>
      <c r="D1651" s="1" t="s">
        <v>117</v>
      </c>
      <c r="E1651" s="1" t="s">
        <v>453</v>
      </c>
    </row>
    <row r="1652" spans="1:5" x14ac:dyDescent="0.25">
      <c r="A1652" s="13">
        <v>79742708</v>
      </c>
      <c r="B1652" s="11" t="s">
        <v>84</v>
      </c>
      <c r="C1652" s="1" t="s">
        <v>621</v>
      </c>
      <c r="D1652" s="1" t="s">
        <v>38</v>
      </c>
      <c r="E1652" s="1" t="s">
        <v>7</v>
      </c>
    </row>
    <row r="1653" spans="1:5" x14ac:dyDescent="0.25">
      <c r="A1653" s="13">
        <v>79743384</v>
      </c>
      <c r="B1653" s="11" t="s">
        <v>116</v>
      </c>
      <c r="C1653" s="1" t="s">
        <v>620</v>
      </c>
      <c r="D1653" s="1" t="s">
        <v>117</v>
      </c>
      <c r="E1653" s="1" t="s">
        <v>12</v>
      </c>
    </row>
    <row r="1654" spans="1:5" x14ac:dyDescent="0.25">
      <c r="A1654" s="13">
        <v>79745482</v>
      </c>
      <c r="B1654" s="11" t="s">
        <v>116</v>
      </c>
      <c r="C1654" s="1" t="s">
        <v>619</v>
      </c>
      <c r="D1654" s="1" t="s">
        <v>117</v>
      </c>
      <c r="E1654" s="1" t="s">
        <v>186</v>
      </c>
    </row>
    <row r="1655" spans="1:5" x14ac:dyDescent="0.25">
      <c r="A1655" s="13">
        <v>79745564</v>
      </c>
      <c r="B1655" s="11" t="s">
        <v>116</v>
      </c>
      <c r="C1655" s="1" t="s">
        <v>618</v>
      </c>
      <c r="D1655" s="1" t="s">
        <v>117</v>
      </c>
      <c r="E1655" s="1" t="s">
        <v>3192</v>
      </c>
    </row>
    <row r="1656" spans="1:5" x14ac:dyDescent="0.25">
      <c r="A1656" s="13">
        <v>79746018</v>
      </c>
      <c r="B1656" s="11" t="s">
        <v>116</v>
      </c>
      <c r="C1656" s="1" t="s">
        <v>617</v>
      </c>
      <c r="D1656" s="1" t="s">
        <v>117</v>
      </c>
      <c r="E1656" s="1" t="s">
        <v>147</v>
      </c>
    </row>
    <row r="1657" spans="1:5" x14ac:dyDescent="0.25">
      <c r="A1657" s="13">
        <v>79747179</v>
      </c>
      <c r="B1657" s="11" t="s">
        <v>116</v>
      </c>
      <c r="C1657" s="1" t="s">
        <v>616</v>
      </c>
      <c r="D1657" s="1" t="s">
        <v>117</v>
      </c>
      <c r="E1657" s="1" t="s">
        <v>6</v>
      </c>
    </row>
    <row r="1658" spans="1:5" x14ac:dyDescent="0.25">
      <c r="A1658" s="13">
        <v>79748116</v>
      </c>
      <c r="B1658" s="11" t="s">
        <v>84</v>
      </c>
      <c r="C1658" s="1" t="s">
        <v>615</v>
      </c>
      <c r="D1658" s="1" t="s">
        <v>38</v>
      </c>
      <c r="E1658" s="1" t="s">
        <v>127</v>
      </c>
    </row>
    <row r="1659" spans="1:5" x14ac:dyDescent="0.25">
      <c r="A1659" s="13">
        <v>79750413</v>
      </c>
      <c r="B1659" s="11" t="s">
        <v>84</v>
      </c>
      <c r="C1659" s="1" t="s">
        <v>614</v>
      </c>
      <c r="D1659" s="1" t="s">
        <v>38</v>
      </c>
      <c r="E1659" s="1" t="s">
        <v>12</v>
      </c>
    </row>
    <row r="1660" spans="1:5" x14ac:dyDescent="0.25">
      <c r="A1660" s="13">
        <v>79753573</v>
      </c>
      <c r="B1660" s="11" t="s">
        <v>116</v>
      </c>
      <c r="C1660" s="1" t="s">
        <v>613</v>
      </c>
      <c r="D1660" s="1" t="s">
        <v>117</v>
      </c>
      <c r="E1660" s="1" t="s">
        <v>8</v>
      </c>
    </row>
    <row r="1661" spans="1:5" x14ac:dyDescent="0.25">
      <c r="A1661" s="13">
        <v>79754285</v>
      </c>
      <c r="B1661" s="11" t="s">
        <v>116</v>
      </c>
      <c r="C1661" s="1" t="s">
        <v>612</v>
      </c>
      <c r="D1661" s="1" t="s">
        <v>117</v>
      </c>
      <c r="E1661" s="1" t="s">
        <v>6</v>
      </c>
    </row>
    <row r="1662" spans="1:5" x14ac:dyDescent="0.25">
      <c r="A1662" s="13">
        <v>79756777</v>
      </c>
      <c r="B1662" s="11" t="s">
        <v>116</v>
      </c>
      <c r="C1662" s="1" t="s">
        <v>611</v>
      </c>
      <c r="D1662" s="1" t="s">
        <v>117</v>
      </c>
      <c r="E1662" s="1" t="s">
        <v>8</v>
      </c>
    </row>
    <row r="1663" spans="1:5" x14ac:dyDescent="0.25">
      <c r="A1663" s="13">
        <v>79757109</v>
      </c>
      <c r="B1663" s="11" t="s">
        <v>116</v>
      </c>
      <c r="C1663" s="1" t="s">
        <v>610</v>
      </c>
      <c r="D1663" s="1" t="s">
        <v>117</v>
      </c>
      <c r="E1663" s="1" t="s">
        <v>453</v>
      </c>
    </row>
    <row r="1664" spans="1:5" x14ac:dyDescent="0.25">
      <c r="A1664" s="13">
        <v>79762509</v>
      </c>
      <c r="B1664" s="11" t="s">
        <v>116</v>
      </c>
      <c r="C1664" s="1" t="s">
        <v>609</v>
      </c>
      <c r="D1664" s="1" t="s">
        <v>117</v>
      </c>
      <c r="E1664" s="1" t="s">
        <v>8</v>
      </c>
    </row>
    <row r="1665" spans="1:5" x14ac:dyDescent="0.25">
      <c r="A1665" s="13">
        <v>79765881</v>
      </c>
      <c r="B1665" s="11" t="s">
        <v>116</v>
      </c>
      <c r="C1665" s="1" t="s">
        <v>608</v>
      </c>
      <c r="D1665" s="1" t="s">
        <v>117</v>
      </c>
      <c r="E1665" s="1" t="s">
        <v>263</v>
      </c>
    </row>
    <row r="1666" spans="1:5" x14ac:dyDescent="0.25">
      <c r="A1666" s="13">
        <v>79766133</v>
      </c>
      <c r="B1666" s="11" t="s">
        <v>84</v>
      </c>
      <c r="C1666" s="1" t="s">
        <v>607</v>
      </c>
      <c r="D1666" s="1" t="s">
        <v>43</v>
      </c>
      <c r="E1666" s="1" t="s">
        <v>2</v>
      </c>
    </row>
    <row r="1667" spans="1:5" x14ac:dyDescent="0.25">
      <c r="A1667" s="13">
        <v>79782327</v>
      </c>
      <c r="B1667" s="11" t="s">
        <v>116</v>
      </c>
      <c r="C1667" s="1" t="s">
        <v>605</v>
      </c>
      <c r="D1667" s="1" t="s">
        <v>117</v>
      </c>
      <c r="E1667" s="1" t="s">
        <v>606</v>
      </c>
    </row>
    <row r="1668" spans="1:5" x14ac:dyDescent="0.25">
      <c r="A1668" s="13">
        <v>79783030</v>
      </c>
      <c r="B1668" s="11" t="s">
        <v>84</v>
      </c>
      <c r="C1668" s="1" t="s">
        <v>604</v>
      </c>
      <c r="D1668" s="1" t="s">
        <v>38</v>
      </c>
      <c r="E1668" s="1" t="s">
        <v>7</v>
      </c>
    </row>
    <row r="1669" spans="1:5" x14ac:dyDescent="0.25">
      <c r="A1669" s="13">
        <v>79783803</v>
      </c>
      <c r="B1669" s="11" t="s">
        <v>116</v>
      </c>
      <c r="C1669" s="1" t="s">
        <v>603</v>
      </c>
      <c r="D1669" s="1" t="s">
        <v>117</v>
      </c>
      <c r="E1669" s="1" t="s">
        <v>237</v>
      </c>
    </row>
    <row r="1670" spans="1:5" x14ac:dyDescent="0.25">
      <c r="A1670" s="13">
        <v>79786366</v>
      </c>
      <c r="B1670" s="11" t="s">
        <v>83</v>
      </c>
      <c r="C1670" s="1" t="s">
        <v>602</v>
      </c>
      <c r="D1670" s="1" t="s">
        <v>340</v>
      </c>
      <c r="E1670" s="1" t="s">
        <v>23</v>
      </c>
    </row>
    <row r="1671" spans="1:5" x14ac:dyDescent="0.25">
      <c r="A1671" s="13">
        <v>79786883</v>
      </c>
      <c r="B1671" s="11" t="s">
        <v>84</v>
      </c>
      <c r="C1671" s="1" t="s">
        <v>601</v>
      </c>
      <c r="D1671" s="1" t="s">
        <v>38</v>
      </c>
      <c r="E1671" s="1" t="s">
        <v>342</v>
      </c>
    </row>
    <row r="1672" spans="1:5" x14ac:dyDescent="0.25">
      <c r="A1672" s="13">
        <v>79787286</v>
      </c>
      <c r="B1672" s="11" t="s">
        <v>116</v>
      </c>
      <c r="C1672" s="1" t="s">
        <v>600</v>
      </c>
      <c r="D1672" s="1" t="s">
        <v>117</v>
      </c>
      <c r="E1672" s="1" t="s">
        <v>232</v>
      </c>
    </row>
    <row r="1673" spans="1:5" x14ac:dyDescent="0.25">
      <c r="A1673" s="13">
        <v>79789258</v>
      </c>
      <c r="B1673" s="11" t="s">
        <v>84</v>
      </c>
      <c r="C1673" s="1" t="s">
        <v>599</v>
      </c>
      <c r="D1673" s="1" t="s">
        <v>43</v>
      </c>
      <c r="E1673" s="1" t="s">
        <v>11</v>
      </c>
    </row>
    <row r="1674" spans="1:5" x14ac:dyDescent="0.25">
      <c r="A1674" s="13">
        <v>79789291</v>
      </c>
      <c r="B1674" s="11" t="s">
        <v>83</v>
      </c>
      <c r="C1674" s="1" t="s">
        <v>598</v>
      </c>
      <c r="D1674" s="1" t="s">
        <v>271</v>
      </c>
      <c r="E1674" s="1" t="s">
        <v>272</v>
      </c>
    </row>
    <row r="1675" spans="1:5" x14ac:dyDescent="0.25">
      <c r="A1675" s="13">
        <v>79789560</v>
      </c>
      <c r="B1675" s="11" t="s">
        <v>84</v>
      </c>
      <c r="C1675" s="1" t="s">
        <v>596</v>
      </c>
      <c r="D1675" s="1" t="s">
        <v>38</v>
      </c>
      <c r="E1675" s="1" t="s">
        <v>597</v>
      </c>
    </row>
    <row r="1676" spans="1:5" x14ac:dyDescent="0.25">
      <c r="A1676" s="13">
        <v>79791080</v>
      </c>
      <c r="B1676" s="11" t="s">
        <v>116</v>
      </c>
      <c r="C1676" s="1" t="s">
        <v>595</v>
      </c>
      <c r="D1676" s="1" t="s">
        <v>117</v>
      </c>
      <c r="E1676" s="1" t="s">
        <v>6</v>
      </c>
    </row>
    <row r="1677" spans="1:5" x14ac:dyDescent="0.25">
      <c r="A1677" s="13">
        <v>79791569</v>
      </c>
      <c r="B1677" s="11" t="s">
        <v>116</v>
      </c>
      <c r="C1677" s="1" t="s">
        <v>594</v>
      </c>
      <c r="D1677" s="1" t="s">
        <v>117</v>
      </c>
      <c r="E1677" s="1" t="s">
        <v>11</v>
      </c>
    </row>
    <row r="1678" spans="1:5" x14ac:dyDescent="0.25">
      <c r="A1678" s="13">
        <v>79791863</v>
      </c>
      <c r="B1678" s="11" t="s">
        <v>83</v>
      </c>
      <c r="C1678" s="1" t="s">
        <v>593</v>
      </c>
      <c r="D1678" s="1" t="s">
        <v>269</v>
      </c>
      <c r="E1678" s="1" t="s">
        <v>16</v>
      </c>
    </row>
    <row r="1679" spans="1:5" x14ac:dyDescent="0.25">
      <c r="A1679" s="13">
        <v>79791889</v>
      </c>
      <c r="B1679" s="11" t="s">
        <v>116</v>
      </c>
      <c r="C1679" s="1" t="s">
        <v>592</v>
      </c>
      <c r="D1679" s="1" t="s">
        <v>117</v>
      </c>
      <c r="E1679" s="1" t="s">
        <v>179</v>
      </c>
    </row>
    <row r="1680" spans="1:5" x14ac:dyDescent="0.25">
      <c r="A1680" s="13">
        <v>79791956</v>
      </c>
      <c r="B1680" s="11" t="s">
        <v>116</v>
      </c>
      <c r="C1680" s="1" t="s">
        <v>591</v>
      </c>
      <c r="D1680" s="1" t="s">
        <v>117</v>
      </c>
      <c r="E1680" s="1" t="s">
        <v>263</v>
      </c>
    </row>
    <row r="1681" spans="1:5" x14ac:dyDescent="0.25">
      <c r="A1681" s="13">
        <v>79792584</v>
      </c>
      <c r="B1681" s="11" t="s">
        <v>109</v>
      </c>
      <c r="C1681" s="1" t="s">
        <v>590</v>
      </c>
      <c r="D1681" s="1" t="s">
        <v>131</v>
      </c>
      <c r="E1681" s="1" t="s">
        <v>131</v>
      </c>
    </row>
    <row r="1682" spans="1:5" x14ac:dyDescent="0.25">
      <c r="A1682" s="13">
        <v>79792838</v>
      </c>
      <c r="B1682" s="11" t="s">
        <v>84</v>
      </c>
      <c r="C1682" s="1" t="s">
        <v>3263</v>
      </c>
      <c r="D1682" s="1" t="s">
        <v>38</v>
      </c>
      <c r="E1682" s="1" t="s">
        <v>12</v>
      </c>
    </row>
    <row r="1683" spans="1:5" x14ac:dyDescent="0.25">
      <c r="A1683" s="13">
        <v>79793361</v>
      </c>
      <c r="B1683" s="11" t="s">
        <v>84</v>
      </c>
      <c r="C1683" s="1" t="s">
        <v>589</v>
      </c>
      <c r="D1683" s="1" t="s">
        <v>38</v>
      </c>
      <c r="E1683" s="1" t="s">
        <v>7</v>
      </c>
    </row>
    <row r="1684" spans="1:5" x14ac:dyDescent="0.25">
      <c r="A1684" s="13">
        <v>79794069</v>
      </c>
      <c r="B1684" s="11" t="s">
        <v>116</v>
      </c>
      <c r="C1684" s="1" t="s">
        <v>588</v>
      </c>
      <c r="D1684" s="1" t="s">
        <v>117</v>
      </c>
      <c r="E1684" s="1" t="s">
        <v>186</v>
      </c>
    </row>
    <row r="1685" spans="1:5" x14ac:dyDescent="0.25">
      <c r="A1685" s="13">
        <v>79795936</v>
      </c>
      <c r="B1685" s="11" t="s">
        <v>84</v>
      </c>
      <c r="C1685" s="1" t="s">
        <v>587</v>
      </c>
      <c r="D1685" s="1" t="s">
        <v>38</v>
      </c>
      <c r="E1685" s="1" t="s">
        <v>134</v>
      </c>
    </row>
    <row r="1686" spans="1:5" x14ac:dyDescent="0.25">
      <c r="A1686" s="13">
        <v>79797927</v>
      </c>
      <c r="B1686" s="11" t="s">
        <v>84</v>
      </c>
      <c r="C1686" s="1" t="s">
        <v>586</v>
      </c>
      <c r="D1686" s="1" t="s">
        <v>38</v>
      </c>
      <c r="E1686" s="1" t="s">
        <v>168</v>
      </c>
    </row>
    <row r="1687" spans="1:5" x14ac:dyDescent="0.25">
      <c r="A1687" s="13">
        <v>79798360</v>
      </c>
      <c r="B1687" s="11" t="s">
        <v>116</v>
      </c>
      <c r="C1687" s="1" t="s">
        <v>585</v>
      </c>
      <c r="D1687" s="1" t="s">
        <v>117</v>
      </c>
      <c r="E1687" s="1" t="s">
        <v>11</v>
      </c>
    </row>
    <row r="1688" spans="1:5" x14ac:dyDescent="0.25">
      <c r="A1688" s="13">
        <v>79803169</v>
      </c>
      <c r="B1688" s="11" t="s">
        <v>116</v>
      </c>
      <c r="C1688" s="1" t="s">
        <v>584</v>
      </c>
      <c r="D1688" s="1" t="s">
        <v>117</v>
      </c>
      <c r="E1688" s="1" t="s">
        <v>147</v>
      </c>
    </row>
    <row r="1689" spans="1:5" x14ac:dyDescent="0.25">
      <c r="A1689" s="13">
        <v>79805415</v>
      </c>
      <c r="B1689" s="11" t="s">
        <v>83</v>
      </c>
      <c r="C1689" s="1" t="s">
        <v>583</v>
      </c>
      <c r="D1689" s="1" t="s">
        <v>567</v>
      </c>
      <c r="E1689" s="1" t="s">
        <v>16</v>
      </c>
    </row>
    <row r="1690" spans="1:5" x14ac:dyDescent="0.25">
      <c r="A1690" s="13">
        <v>79809649</v>
      </c>
      <c r="B1690" s="11" t="s">
        <v>83</v>
      </c>
      <c r="C1690" s="1" t="s">
        <v>3264</v>
      </c>
      <c r="D1690" s="1" t="s">
        <v>3265</v>
      </c>
      <c r="E1690" s="1" t="s">
        <v>21</v>
      </c>
    </row>
    <row r="1691" spans="1:5" x14ac:dyDescent="0.25">
      <c r="A1691" s="13">
        <v>79810695</v>
      </c>
      <c r="B1691" s="11" t="s">
        <v>84</v>
      </c>
      <c r="C1691" s="1" t="s">
        <v>582</v>
      </c>
      <c r="D1691" s="1" t="s">
        <v>38</v>
      </c>
      <c r="E1691" s="1" t="s">
        <v>14</v>
      </c>
    </row>
    <row r="1692" spans="1:5" x14ac:dyDescent="0.25">
      <c r="A1692" s="13">
        <v>79814044</v>
      </c>
      <c r="B1692" s="11" t="s">
        <v>116</v>
      </c>
      <c r="C1692" s="1" t="s">
        <v>581</v>
      </c>
      <c r="D1692" s="1" t="s">
        <v>117</v>
      </c>
      <c r="E1692" s="1" t="s">
        <v>86</v>
      </c>
    </row>
    <row r="1693" spans="1:5" x14ac:dyDescent="0.25">
      <c r="A1693" s="13">
        <v>79818380</v>
      </c>
      <c r="B1693" s="11" t="s">
        <v>84</v>
      </c>
      <c r="C1693" s="1" t="s">
        <v>580</v>
      </c>
      <c r="D1693" s="1" t="s">
        <v>38</v>
      </c>
      <c r="E1693" s="1" t="s">
        <v>5</v>
      </c>
    </row>
    <row r="1694" spans="1:5" x14ac:dyDescent="0.25">
      <c r="A1694" s="13">
        <v>79826993</v>
      </c>
      <c r="B1694" s="11" t="s">
        <v>116</v>
      </c>
      <c r="C1694" s="1" t="s">
        <v>579</v>
      </c>
      <c r="D1694" s="1" t="s">
        <v>117</v>
      </c>
      <c r="E1694" s="1" t="s">
        <v>11</v>
      </c>
    </row>
    <row r="1695" spans="1:5" x14ac:dyDescent="0.25">
      <c r="A1695" s="13">
        <v>79828065</v>
      </c>
      <c r="B1695" s="11" t="s">
        <v>83</v>
      </c>
      <c r="C1695" s="1" t="s">
        <v>578</v>
      </c>
      <c r="D1695" s="1" t="s">
        <v>151</v>
      </c>
      <c r="E1695" s="1" t="s">
        <v>152</v>
      </c>
    </row>
    <row r="1696" spans="1:5" x14ac:dyDescent="0.25">
      <c r="A1696" s="13">
        <v>79833541</v>
      </c>
      <c r="B1696" s="11" t="s">
        <v>116</v>
      </c>
      <c r="C1696" s="1" t="s">
        <v>577</v>
      </c>
      <c r="D1696" s="1" t="s">
        <v>117</v>
      </c>
      <c r="E1696" s="1" t="s">
        <v>12</v>
      </c>
    </row>
    <row r="1697" spans="1:5" x14ac:dyDescent="0.25">
      <c r="A1697" s="13">
        <v>79838515</v>
      </c>
      <c r="B1697" s="11" t="s">
        <v>83</v>
      </c>
      <c r="C1697" s="1" t="s">
        <v>576</v>
      </c>
      <c r="D1697" s="1" t="s">
        <v>312</v>
      </c>
      <c r="E1697" s="1" t="s">
        <v>242</v>
      </c>
    </row>
    <row r="1698" spans="1:5" x14ac:dyDescent="0.25">
      <c r="A1698" s="13">
        <v>79838866</v>
      </c>
      <c r="B1698" s="11" t="s">
        <v>116</v>
      </c>
      <c r="C1698" s="1" t="s">
        <v>575</v>
      </c>
      <c r="D1698" s="1" t="s">
        <v>117</v>
      </c>
      <c r="E1698" s="1" t="s">
        <v>11</v>
      </c>
    </row>
    <row r="1699" spans="1:5" x14ac:dyDescent="0.25">
      <c r="A1699" s="13">
        <v>79841119</v>
      </c>
      <c r="B1699" s="11" t="s">
        <v>84</v>
      </c>
      <c r="C1699" s="1" t="s">
        <v>574</v>
      </c>
      <c r="D1699" s="1" t="s">
        <v>38</v>
      </c>
      <c r="E1699" s="1" t="s">
        <v>3</v>
      </c>
    </row>
    <row r="1700" spans="1:5" x14ac:dyDescent="0.25">
      <c r="A1700" s="13">
        <v>79841483</v>
      </c>
      <c r="B1700" s="11" t="s">
        <v>116</v>
      </c>
      <c r="C1700" s="1" t="s">
        <v>573</v>
      </c>
      <c r="D1700" s="1" t="s">
        <v>117</v>
      </c>
      <c r="E1700" s="1" t="s">
        <v>263</v>
      </c>
    </row>
    <row r="1701" spans="1:5" x14ac:dyDescent="0.25">
      <c r="A1701" s="13">
        <v>79843982</v>
      </c>
      <c r="B1701" s="11" t="s">
        <v>84</v>
      </c>
      <c r="C1701" s="1" t="s">
        <v>572</v>
      </c>
      <c r="D1701" s="1" t="s">
        <v>43</v>
      </c>
      <c r="E1701" s="1" t="s">
        <v>263</v>
      </c>
    </row>
    <row r="1702" spans="1:5" x14ac:dyDescent="0.25">
      <c r="A1702" s="13">
        <v>79845230</v>
      </c>
      <c r="B1702" s="11" t="s">
        <v>84</v>
      </c>
      <c r="C1702" s="1" t="s">
        <v>571</v>
      </c>
      <c r="D1702" s="1" t="s">
        <v>185</v>
      </c>
      <c r="E1702" s="1" t="s">
        <v>11</v>
      </c>
    </row>
    <row r="1703" spans="1:5" x14ac:dyDescent="0.25">
      <c r="A1703" s="13">
        <v>79845967</v>
      </c>
      <c r="B1703" s="11" t="s">
        <v>83</v>
      </c>
      <c r="C1703" s="1" t="s">
        <v>570</v>
      </c>
      <c r="D1703" s="1" t="s">
        <v>151</v>
      </c>
      <c r="E1703" s="1" t="s">
        <v>152</v>
      </c>
    </row>
    <row r="1704" spans="1:5" x14ac:dyDescent="0.25">
      <c r="A1704" s="13">
        <v>79847124</v>
      </c>
      <c r="B1704" s="11" t="s">
        <v>83</v>
      </c>
      <c r="C1704" s="1" t="s">
        <v>568</v>
      </c>
      <c r="D1704" s="1" t="s">
        <v>569</v>
      </c>
      <c r="E1704" s="1" t="s">
        <v>16</v>
      </c>
    </row>
    <row r="1705" spans="1:5" x14ac:dyDescent="0.25">
      <c r="A1705" s="13">
        <v>79848897</v>
      </c>
      <c r="B1705" s="11" t="s">
        <v>83</v>
      </c>
      <c r="C1705" s="1" t="s">
        <v>3266</v>
      </c>
      <c r="D1705" s="1" t="s">
        <v>44</v>
      </c>
      <c r="E1705" s="1" t="s">
        <v>16</v>
      </c>
    </row>
    <row r="1706" spans="1:5" x14ac:dyDescent="0.25">
      <c r="A1706" s="13">
        <v>79849027</v>
      </c>
      <c r="B1706" s="11" t="s">
        <v>83</v>
      </c>
      <c r="C1706" s="1" t="s">
        <v>566</v>
      </c>
      <c r="D1706" s="1" t="s">
        <v>567</v>
      </c>
      <c r="E1706" s="1" t="s">
        <v>16</v>
      </c>
    </row>
    <row r="1707" spans="1:5" x14ac:dyDescent="0.25">
      <c r="A1707" s="13">
        <v>79849413</v>
      </c>
      <c r="B1707" s="11" t="s">
        <v>116</v>
      </c>
      <c r="C1707" s="1" t="s">
        <v>565</v>
      </c>
      <c r="D1707" s="1" t="s">
        <v>117</v>
      </c>
      <c r="E1707" s="1" t="s">
        <v>263</v>
      </c>
    </row>
    <row r="1708" spans="1:5" x14ac:dyDescent="0.25">
      <c r="A1708" s="13">
        <v>79849518</v>
      </c>
      <c r="B1708" s="11" t="s">
        <v>83</v>
      </c>
      <c r="C1708" s="1" t="s">
        <v>564</v>
      </c>
      <c r="D1708" s="1" t="s">
        <v>47</v>
      </c>
      <c r="E1708" s="1" t="s">
        <v>19</v>
      </c>
    </row>
    <row r="1709" spans="1:5" x14ac:dyDescent="0.25">
      <c r="A1709" s="13">
        <v>79850111</v>
      </c>
      <c r="B1709" s="11" t="s">
        <v>116</v>
      </c>
      <c r="C1709" s="1" t="s">
        <v>563</v>
      </c>
      <c r="D1709" s="1" t="s">
        <v>117</v>
      </c>
      <c r="E1709" s="1" t="s">
        <v>10</v>
      </c>
    </row>
    <row r="1710" spans="1:5" x14ac:dyDescent="0.25">
      <c r="A1710" s="13">
        <v>79851432</v>
      </c>
      <c r="B1710" s="11" t="s">
        <v>84</v>
      </c>
      <c r="C1710" s="1" t="s">
        <v>561</v>
      </c>
      <c r="D1710" s="1" t="s">
        <v>562</v>
      </c>
      <c r="E1710" s="1" t="s">
        <v>272</v>
      </c>
    </row>
    <row r="1711" spans="1:5" x14ac:dyDescent="0.25">
      <c r="A1711" s="13">
        <v>79855441</v>
      </c>
      <c r="B1711" s="11" t="s">
        <v>116</v>
      </c>
      <c r="C1711" s="1" t="s">
        <v>560</v>
      </c>
      <c r="D1711" s="1" t="s">
        <v>117</v>
      </c>
      <c r="E1711" s="1" t="s">
        <v>8</v>
      </c>
    </row>
    <row r="1712" spans="1:5" x14ac:dyDescent="0.25">
      <c r="A1712" s="13">
        <v>79855885</v>
      </c>
      <c r="B1712" s="11" t="s">
        <v>84</v>
      </c>
      <c r="C1712" s="1" t="s">
        <v>3002</v>
      </c>
      <c r="D1712" s="1" t="s">
        <v>38</v>
      </c>
      <c r="E1712" s="1" t="s">
        <v>15</v>
      </c>
    </row>
    <row r="1713" spans="1:5" x14ac:dyDescent="0.25">
      <c r="A1713" s="13">
        <v>79856681</v>
      </c>
      <c r="B1713" s="11" t="s">
        <v>84</v>
      </c>
      <c r="C1713" s="1" t="s">
        <v>559</v>
      </c>
      <c r="D1713" s="1" t="s">
        <v>38</v>
      </c>
      <c r="E1713" s="1" t="s">
        <v>8</v>
      </c>
    </row>
    <row r="1714" spans="1:5" x14ac:dyDescent="0.25">
      <c r="A1714" s="13">
        <v>79858495</v>
      </c>
      <c r="B1714" s="11" t="s">
        <v>84</v>
      </c>
      <c r="C1714" s="1" t="s">
        <v>558</v>
      </c>
      <c r="D1714" s="1" t="s">
        <v>172</v>
      </c>
      <c r="E1714" s="1" t="s">
        <v>205</v>
      </c>
    </row>
    <row r="1715" spans="1:5" x14ac:dyDescent="0.25">
      <c r="A1715" s="13">
        <v>79858508</v>
      </c>
      <c r="B1715" s="11" t="s">
        <v>84</v>
      </c>
      <c r="C1715" s="1" t="s">
        <v>3096</v>
      </c>
      <c r="D1715" s="1" t="s">
        <v>38</v>
      </c>
      <c r="E1715" s="1" t="s">
        <v>14</v>
      </c>
    </row>
    <row r="1716" spans="1:5" x14ac:dyDescent="0.25">
      <c r="A1716" s="13">
        <v>79862322</v>
      </c>
      <c r="B1716" s="11" t="s">
        <v>84</v>
      </c>
      <c r="C1716" s="1" t="s">
        <v>557</v>
      </c>
      <c r="D1716" s="1" t="s">
        <v>38</v>
      </c>
      <c r="E1716" s="1" t="s">
        <v>134</v>
      </c>
    </row>
    <row r="1717" spans="1:5" x14ac:dyDescent="0.25">
      <c r="A1717" s="13">
        <v>79864467</v>
      </c>
      <c r="B1717" s="11" t="s">
        <v>83</v>
      </c>
      <c r="C1717" s="1" t="s">
        <v>556</v>
      </c>
      <c r="D1717" s="1" t="s">
        <v>366</v>
      </c>
      <c r="E1717" s="1" t="s">
        <v>152</v>
      </c>
    </row>
    <row r="1718" spans="1:5" x14ac:dyDescent="0.25">
      <c r="A1718" s="13">
        <v>79866288</v>
      </c>
      <c r="B1718" s="11" t="s">
        <v>116</v>
      </c>
      <c r="C1718" s="1" t="s">
        <v>555</v>
      </c>
      <c r="D1718" s="1" t="s">
        <v>117</v>
      </c>
      <c r="E1718" s="1" t="s">
        <v>263</v>
      </c>
    </row>
    <row r="1719" spans="1:5" x14ac:dyDescent="0.25">
      <c r="A1719" s="13">
        <v>79872151</v>
      </c>
      <c r="B1719" s="11" t="s">
        <v>84</v>
      </c>
      <c r="C1719" s="1" t="s">
        <v>3267</v>
      </c>
      <c r="D1719" s="1" t="s">
        <v>43</v>
      </c>
      <c r="E1719" s="1" t="s">
        <v>5</v>
      </c>
    </row>
    <row r="1720" spans="1:5" x14ac:dyDescent="0.25">
      <c r="A1720" s="13">
        <v>79872723</v>
      </c>
      <c r="B1720" s="11" t="s">
        <v>83</v>
      </c>
      <c r="C1720" s="1" t="s">
        <v>553</v>
      </c>
      <c r="D1720" s="1" t="s">
        <v>554</v>
      </c>
      <c r="E1720" s="1" t="s">
        <v>4</v>
      </c>
    </row>
    <row r="1721" spans="1:5" x14ac:dyDescent="0.25">
      <c r="A1721" s="13">
        <v>79877465</v>
      </c>
      <c r="B1721" s="11" t="s">
        <v>83</v>
      </c>
      <c r="C1721" s="1" t="s">
        <v>552</v>
      </c>
      <c r="D1721" s="1" t="s">
        <v>53</v>
      </c>
      <c r="E1721" s="1" t="s">
        <v>4</v>
      </c>
    </row>
    <row r="1722" spans="1:5" x14ac:dyDescent="0.25">
      <c r="A1722" s="13">
        <v>79878584</v>
      </c>
      <c r="B1722" s="11" t="s">
        <v>83</v>
      </c>
      <c r="C1722" s="1" t="s">
        <v>551</v>
      </c>
      <c r="D1722" s="1" t="s">
        <v>47</v>
      </c>
      <c r="E1722" s="1" t="s">
        <v>19</v>
      </c>
    </row>
    <row r="1723" spans="1:5" x14ac:dyDescent="0.25">
      <c r="A1723" s="13">
        <v>79878684</v>
      </c>
      <c r="B1723" s="11" t="s">
        <v>116</v>
      </c>
      <c r="C1723" s="1" t="s">
        <v>550</v>
      </c>
      <c r="D1723" s="1" t="s">
        <v>117</v>
      </c>
      <c r="E1723" s="1" t="s">
        <v>127</v>
      </c>
    </row>
    <row r="1724" spans="1:5" x14ac:dyDescent="0.25">
      <c r="A1724" s="13">
        <v>79879132</v>
      </c>
      <c r="B1724" s="11" t="s">
        <v>116</v>
      </c>
      <c r="C1724" s="1" t="s">
        <v>549</v>
      </c>
      <c r="D1724" s="1" t="s">
        <v>117</v>
      </c>
      <c r="E1724" s="1" t="s">
        <v>237</v>
      </c>
    </row>
    <row r="1725" spans="1:5" x14ac:dyDescent="0.25">
      <c r="A1725" s="13">
        <v>79880941</v>
      </c>
      <c r="B1725" s="11" t="s">
        <v>84</v>
      </c>
      <c r="C1725" s="1" t="s">
        <v>3268</v>
      </c>
      <c r="D1725" s="1" t="s">
        <v>38</v>
      </c>
      <c r="E1725" s="1" t="s">
        <v>14</v>
      </c>
    </row>
    <row r="1726" spans="1:5" x14ac:dyDescent="0.25">
      <c r="A1726" s="13">
        <v>79882755</v>
      </c>
      <c r="B1726" s="11" t="s">
        <v>84</v>
      </c>
      <c r="C1726" s="1" t="s">
        <v>548</v>
      </c>
      <c r="D1726" s="1" t="s">
        <v>38</v>
      </c>
      <c r="E1726" s="1" t="s">
        <v>168</v>
      </c>
    </row>
    <row r="1727" spans="1:5" x14ac:dyDescent="0.25">
      <c r="A1727" s="13">
        <v>79882982</v>
      </c>
      <c r="B1727" s="11" t="s">
        <v>116</v>
      </c>
      <c r="C1727" s="1" t="s">
        <v>547</v>
      </c>
      <c r="D1727" s="1" t="s">
        <v>117</v>
      </c>
      <c r="E1727" s="1" t="s">
        <v>5</v>
      </c>
    </row>
    <row r="1728" spans="1:5" x14ac:dyDescent="0.25">
      <c r="A1728" s="13">
        <v>79883918</v>
      </c>
      <c r="B1728" s="11" t="s">
        <v>83</v>
      </c>
      <c r="C1728" s="1" t="s">
        <v>546</v>
      </c>
      <c r="D1728" s="1" t="s">
        <v>66</v>
      </c>
      <c r="E1728" s="1" t="s">
        <v>21</v>
      </c>
    </row>
    <row r="1729" spans="1:5" x14ac:dyDescent="0.25">
      <c r="A1729" s="13">
        <v>79884080</v>
      </c>
      <c r="B1729" s="11" t="s">
        <v>84</v>
      </c>
      <c r="C1729" s="1" t="s">
        <v>545</v>
      </c>
      <c r="D1729" s="1" t="s">
        <v>43</v>
      </c>
      <c r="E1729" s="1" t="s">
        <v>14</v>
      </c>
    </row>
    <row r="1730" spans="1:5" x14ac:dyDescent="0.25">
      <c r="A1730" s="13">
        <v>79889156</v>
      </c>
      <c r="B1730" s="11" t="s">
        <v>84</v>
      </c>
      <c r="C1730" s="1" t="s">
        <v>544</v>
      </c>
      <c r="D1730" s="1" t="s">
        <v>38</v>
      </c>
      <c r="E1730" s="1" t="s">
        <v>12</v>
      </c>
    </row>
    <row r="1731" spans="1:5" x14ac:dyDescent="0.25">
      <c r="A1731" s="13">
        <v>79889603</v>
      </c>
      <c r="B1731" s="11" t="s">
        <v>116</v>
      </c>
      <c r="C1731" s="1" t="s">
        <v>543</v>
      </c>
      <c r="D1731" s="1" t="s">
        <v>117</v>
      </c>
      <c r="E1731" s="1" t="s">
        <v>263</v>
      </c>
    </row>
    <row r="1732" spans="1:5" x14ac:dyDescent="0.25">
      <c r="A1732" s="13">
        <v>79892281</v>
      </c>
      <c r="B1732" s="11" t="s">
        <v>84</v>
      </c>
      <c r="C1732" s="1" t="s">
        <v>3269</v>
      </c>
      <c r="D1732" s="1" t="s">
        <v>38</v>
      </c>
      <c r="E1732" s="1" t="s">
        <v>8</v>
      </c>
    </row>
    <row r="1733" spans="1:5" x14ac:dyDescent="0.25">
      <c r="A1733" s="13">
        <v>79899222</v>
      </c>
      <c r="B1733" s="11" t="s">
        <v>83</v>
      </c>
      <c r="C1733" s="1" t="s">
        <v>542</v>
      </c>
      <c r="D1733" s="1" t="s">
        <v>151</v>
      </c>
      <c r="E1733" s="1" t="s">
        <v>152</v>
      </c>
    </row>
    <row r="1734" spans="1:5" x14ac:dyDescent="0.25">
      <c r="A1734" s="13">
        <v>79900162</v>
      </c>
      <c r="B1734" s="11" t="s">
        <v>84</v>
      </c>
      <c r="C1734" s="1" t="s">
        <v>540</v>
      </c>
      <c r="D1734" s="1" t="s">
        <v>43</v>
      </c>
      <c r="E1734" s="1" t="s">
        <v>541</v>
      </c>
    </row>
    <row r="1735" spans="1:5" x14ac:dyDescent="0.25">
      <c r="A1735" s="13">
        <v>79901410</v>
      </c>
      <c r="B1735" s="11" t="s">
        <v>116</v>
      </c>
      <c r="C1735" s="1" t="s">
        <v>539</v>
      </c>
      <c r="D1735" s="1" t="s">
        <v>117</v>
      </c>
      <c r="E1735" s="1" t="s">
        <v>263</v>
      </c>
    </row>
    <row r="1736" spans="1:5" x14ac:dyDescent="0.25">
      <c r="A1736" s="13">
        <v>79902216</v>
      </c>
      <c r="B1736" s="11" t="s">
        <v>84</v>
      </c>
      <c r="C1736" s="1" t="s">
        <v>3270</v>
      </c>
      <c r="D1736" s="1" t="s">
        <v>43</v>
      </c>
      <c r="E1736" s="1" t="s">
        <v>328</v>
      </c>
    </row>
    <row r="1737" spans="1:5" x14ac:dyDescent="0.25">
      <c r="A1737" s="13">
        <v>79907323</v>
      </c>
      <c r="B1737" s="11" t="s">
        <v>116</v>
      </c>
      <c r="C1737" s="1" t="s">
        <v>538</v>
      </c>
      <c r="D1737" s="1" t="s">
        <v>117</v>
      </c>
      <c r="E1737" s="1" t="s">
        <v>263</v>
      </c>
    </row>
    <row r="1738" spans="1:5" x14ac:dyDescent="0.25">
      <c r="A1738" s="13">
        <v>79909362</v>
      </c>
      <c r="B1738" s="11" t="s">
        <v>84</v>
      </c>
      <c r="C1738" s="1" t="s">
        <v>537</v>
      </c>
      <c r="D1738" s="1" t="s">
        <v>38</v>
      </c>
      <c r="E1738" s="1" t="s">
        <v>8</v>
      </c>
    </row>
    <row r="1739" spans="1:5" x14ac:dyDescent="0.25">
      <c r="A1739" s="13">
        <v>79911924</v>
      </c>
      <c r="B1739" s="11" t="s">
        <v>116</v>
      </c>
      <c r="C1739" s="1" t="s">
        <v>536</v>
      </c>
      <c r="D1739" s="1" t="s">
        <v>117</v>
      </c>
      <c r="E1739" s="1" t="s">
        <v>9</v>
      </c>
    </row>
    <row r="1740" spans="1:5" x14ac:dyDescent="0.25">
      <c r="A1740" s="13">
        <v>79913385</v>
      </c>
      <c r="B1740" s="11" t="s">
        <v>84</v>
      </c>
      <c r="C1740" s="1" t="s">
        <v>535</v>
      </c>
      <c r="D1740" s="1" t="s">
        <v>38</v>
      </c>
      <c r="E1740" s="1" t="s">
        <v>3121</v>
      </c>
    </row>
    <row r="1741" spans="1:5" x14ac:dyDescent="0.25">
      <c r="A1741" s="13">
        <v>79914146</v>
      </c>
      <c r="B1741" s="11" t="s">
        <v>116</v>
      </c>
      <c r="C1741" s="1" t="s">
        <v>534</v>
      </c>
      <c r="D1741" s="1" t="s">
        <v>117</v>
      </c>
      <c r="E1741" s="1" t="s">
        <v>118</v>
      </c>
    </row>
    <row r="1742" spans="1:5" x14ac:dyDescent="0.25">
      <c r="A1742" s="13">
        <v>79917497</v>
      </c>
      <c r="B1742" s="11" t="s">
        <v>116</v>
      </c>
      <c r="C1742" s="1" t="s">
        <v>533</v>
      </c>
      <c r="D1742" s="1" t="s">
        <v>117</v>
      </c>
      <c r="E1742" s="1" t="s">
        <v>6</v>
      </c>
    </row>
    <row r="1743" spans="1:5" x14ac:dyDescent="0.25">
      <c r="A1743" s="13">
        <v>79918292</v>
      </c>
      <c r="B1743" s="11" t="s">
        <v>84</v>
      </c>
      <c r="C1743" s="1" t="s">
        <v>3271</v>
      </c>
      <c r="D1743" s="1" t="s">
        <v>38</v>
      </c>
      <c r="E1743" s="1" t="s">
        <v>127</v>
      </c>
    </row>
    <row r="1744" spans="1:5" x14ac:dyDescent="0.25">
      <c r="A1744" s="13">
        <v>79918931</v>
      </c>
      <c r="B1744" s="11" t="s">
        <v>116</v>
      </c>
      <c r="C1744" s="1" t="s">
        <v>532</v>
      </c>
      <c r="D1744" s="1" t="s">
        <v>117</v>
      </c>
      <c r="E1744" s="1" t="s">
        <v>263</v>
      </c>
    </row>
    <row r="1745" spans="1:5" x14ac:dyDescent="0.25">
      <c r="A1745" s="13">
        <v>79918954</v>
      </c>
      <c r="B1745" s="11" t="s">
        <v>83</v>
      </c>
      <c r="C1745" s="1" t="s">
        <v>531</v>
      </c>
      <c r="D1745" s="1" t="s">
        <v>47</v>
      </c>
      <c r="E1745" s="1" t="s">
        <v>142</v>
      </c>
    </row>
    <row r="1746" spans="1:5" x14ac:dyDescent="0.25">
      <c r="A1746" s="13">
        <v>79920413</v>
      </c>
      <c r="B1746" s="11" t="s">
        <v>116</v>
      </c>
      <c r="C1746" s="1" t="s">
        <v>3696</v>
      </c>
      <c r="D1746" s="1" t="s">
        <v>117</v>
      </c>
      <c r="E1746" s="1" t="s">
        <v>3118</v>
      </c>
    </row>
    <row r="1747" spans="1:5" x14ac:dyDescent="0.25">
      <c r="A1747" s="13">
        <v>79920883</v>
      </c>
      <c r="B1747" s="11" t="s">
        <v>84</v>
      </c>
      <c r="C1747" s="1" t="s">
        <v>529</v>
      </c>
      <c r="D1747" s="1" t="s">
        <v>530</v>
      </c>
      <c r="E1747" s="1" t="s">
        <v>179</v>
      </c>
    </row>
    <row r="1748" spans="1:5" x14ac:dyDescent="0.25">
      <c r="A1748" s="13">
        <v>79924611</v>
      </c>
      <c r="B1748" s="11" t="s">
        <v>83</v>
      </c>
      <c r="C1748" s="1" t="s">
        <v>528</v>
      </c>
      <c r="D1748" s="1" t="s">
        <v>47</v>
      </c>
      <c r="E1748" s="1" t="s">
        <v>272</v>
      </c>
    </row>
    <row r="1749" spans="1:5" x14ac:dyDescent="0.25">
      <c r="A1749" s="13">
        <v>79938591</v>
      </c>
      <c r="B1749" s="11" t="s">
        <v>116</v>
      </c>
      <c r="C1749" s="1" t="s">
        <v>3272</v>
      </c>
      <c r="D1749" s="1" t="s">
        <v>117</v>
      </c>
      <c r="E1749" s="1" t="s">
        <v>3709</v>
      </c>
    </row>
    <row r="1750" spans="1:5" x14ac:dyDescent="0.25">
      <c r="A1750" s="13">
        <v>79940508</v>
      </c>
      <c r="B1750" s="11" t="s">
        <v>83</v>
      </c>
      <c r="C1750" s="1" t="s">
        <v>527</v>
      </c>
      <c r="D1750" s="1" t="s">
        <v>49</v>
      </c>
      <c r="E1750" s="1" t="s">
        <v>18</v>
      </c>
    </row>
    <row r="1751" spans="1:5" x14ac:dyDescent="0.25">
      <c r="A1751" s="13">
        <v>79942078</v>
      </c>
      <c r="B1751" s="11" t="s">
        <v>84</v>
      </c>
      <c r="C1751" s="1" t="s">
        <v>3273</v>
      </c>
      <c r="D1751" s="1" t="s">
        <v>43</v>
      </c>
      <c r="E1751" s="1" t="s">
        <v>10</v>
      </c>
    </row>
    <row r="1752" spans="1:5" x14ac:dyDescent="0.25">
      <c r="A1752" s="13">
        <v>79944332</v>
      </c>
      <c r="B1752" s="11" t="s">
        <v>116</v>
      </c>
      <c r="C1752" s="1" t="s">
        <v>526</v>
      </c>
      <c r="D1752" s="1" t="s">
        <v>117</v>
      </c>
      <c r="E1752" s="1" t="s">
        <v>205</v>
      </c>
    </row>
    <row r="1753" spans="1:5" x14ac:dyDescent="0.25">
      <c r="A1753" s="13">
        <v>79945515</v>
      </c>
      <c r="B1753" s="11" t="s">
        <v>83</v>
      </c>
      <c r="C1753" s="1" t="s">
        <v>523</v>
      </c>
      <c r="D1753" s="1" t="s">
        <v>524</v>
      </c>
      <c r="E1753" s="1" t="s">
        <v>525</v>
      </c>
    </row>
    <row r="1754" spans="1:5" x14ac:dyDescent="0.25">
      <c r="A1754" s="13">
        <v>79946416</v>
      </c>
      <c r="B1754" s="11" t="s">
        <v>84</v>
      </c>
      <c r="C1754" s="1" t="s">
        <v>3274</v>
      </c>
      <c r="D1754" s="1" t="s">
        <v>43</v>
      </c>
      <c r="E1754" s="1" t="s">
        <v>14</v>
      </c>
    </row>
    <row r="1755" spans="1:5" x14ac:dyDescent="0.25">
      <c r="A1755" s="13">
        <v>79948259</v>
      </c>
      <c r="B1755" s="11" t="s">
        <v>84</v>
      </c>
      <c r="C1755" s="1" t="s">
        <v>522</v>
      </c>
      <c r="D1755" s="1" t="s">
        <v>43</v>
      </c>
      <c r="E1755" s="1" t="s">
        <v>8</v>
      </c>
    </row>
    <row r="1756" spans="1:5" x14ac:dyDescent="0.25">
      <c r="A1756" s="13">
        <v>79951631</v>
      </c>
      <c r="B1756" s="11" t="s">
        <v>116</v>
      </c>
      <c r="C1756" s="1" t="s">
        <v>521</v>
      </c>
      <c r="D1756" s="1" t="s">
        <v>117</v>
      </c>
      <c r="E1756" s="1" t="s">
        <v>118</v>
      </c>
    </row>
    <row r="1757" spans="1:5" x14ac:dyDescent="0.25">
      <c r="A1757" s="13">
        <v>79951802</v>
      </c>
      <c r="B1757" s="11" t="s">
        <v>84</v>
      </c>
      <c r="C1757" s="1" t="s">
        <v>520</v>
      </c>
      <c r="D1757" s="1" t="s">
        <v>38</v>
      </c>
      <c r="E1757" s="1" t="s">
        <v>10</v>
      </c>
    </row>
    <row r="1758" spans="1:5" x14ac:dyDescent="0.25">
      <c r="A1758" s="13">
        <v>79952015</v>
      </c>
      <c r="B1758" s="11" t="s">
        <v>84</v>
      </c>
      <c r="C1758" s="1" t="s">
        <v>519</v>
      </c>
      <c r="D1758" s="1" t="s">
        <v>38</v>
      </c>
      <c r="E1758" s="1" t="s">
        <v>13</v>
      </c>
    </row>
    <row r="1759" spans="1:5" x14ac:dyDescent="0.25">
      <c r="A1759" s="13">
        <v>79952460</v>
      </c>
      <c r="B1759" s="11" t="s">
        <v>116</v>
      </c>
      <c r="C1759" s="1" t="s">
        <v>518</v>
      </c>
      <c r="D1759" s="1" t="s">
        <v>117</v>
      </c>
      <c r="E1759" s="1" t="s">
        <v>491</v>
      </c>
    </row>
    <row r="1760" spans="1:5" x14ac:dyDescent="0.25">
      <c r="A1760" s="13">
        <v>79953126</v>
      </c>
      <c r="B1760" s="11" t="s">
        <v>84</v>
      </c>
      <c r="C1760" s="1" t="s">
        <v>517</v>
      </c>
      <c r="D1760" s="1" t="s">
        <v>38</v>
      </c>
      <c r="E1760" s="1" t="s">
        <v>168</v>
      </c>
    </row>
    <row r="1761" spans="1:5" x14ac:dyDescent="0.25">
      <c r="A1761" s="13">
        <v>79953531</v>
      </c>
      <c r="B1761" s="11" t="s">
        <v>116</v>
      </c>
      <c r="C1761" s="1" t="s">
        <v>516</v>
      </c>
      <c r="D1761" s="1" t="s">
        <v>117</v>
      </c>
      <c r="E1761" s="1" t="s">
        <v>127</v>
      </c>
    </row>
    <row r="1762" spans="1:5" x14ac:dyDescent="0.25">
      <c r="A1762" s="13">
        <v>79953861</v>
      </c>
      <c r="B1762" s="11" t="s">
        <v>83</v>
      </c>
      <c r="C1762" s="1" t="s">
        <v>3275</v>
      </c>
      <c r="D1762" s="1" t="s">
        <v>49</v>
      </c>
      <c r="E1762" s="1" t="s">
        <v>18</v>
      </c>
    </row>
    <row r="1763" spans="1:5" x14ac:dyDescent="0.25">
      <c r="A1763" s="13">
        <v>79954192</v>
      </c>
      <c r="B1763" s="11" t="s">
        <v>116</v>
      </c>
      <c r="C1763" s="1" t="s">
        <v>515</v>
      </c>
      <c r="D1763" s="1" t="s">
        <v>117</v>
      </c>
      <c r="E1763" s="1" t="s">
        <v>134</v>
      </c>
    </row>
    <row r="1764" spans="1:5" x14ac:dyDescent="0.25">
      <c r="A1764" s="13">
        <v>79954762</v>
      </c>
      <c r="B1764" s="11" t="s">
        <v>84</v>
      </c>
      <c r="C1764" s="1" t="s">
        <v>514</v>
      </c>
      <c r="D1764" s="1" t="s">
        <v>38</v>
      </c>
      <c r="E1764" s="1" t="s">
        <v>170</v>
      </c>
    </row>
    <row r="1765" spans="1:5" x14ac:dyDescent="0.25">
      <c r="A1765" s="13">
        <v>79955245</v>
      </c>
      <c r="B1765" s="11" t="s">
        <v>116</v>
      </c>
      <c r="C1765" s="1" t="s">
        <v>513</v>
      </c>
      <c r="D1765" s="1" t="s">
        <v>117</v>
      </c>
      <c r="E1765" s="1" t="s">
        <v>5</v>
      </c>
    </row>
    <row r="1766" spans="1:5" x14ac:dyDescent="0.25">
      <c r="A1766" s="13">
        <v>79955605</v>
      </c>
      <c r="B1766" s="11" t="s">
        <v>84</v>
      </c>
      <c r="C1766" s="1" t="s">
        <v>512</v>
      </c>
      <c r="D1766" s="1" t="s">
        <v>38</v>
      </c>
      <c r="E1766" s="1" t="s">
        <v>541</v>
      </c>
    </row>
    <row r="1767" spans="1:5" x14ac:dyDescent="0.25">
      <c r="A1767" s="13">
        <v>79959919</v>
      </c>
      <c r="B1767" s="11" t="s">
        <v>116</v>
      </c>
      <c r="C1767" s="1" t="s">
        <v>511</v>
      </c>
      <c r="D1767" s="1" t="s">
        <v>117</v>
      </c>
      <c r="E1767" s="1" t="s">
        <v>232</v>
      </c>
    </row>
    <row r="1768" spans="1:5" x14ac:dyDescent="0.25">
      <c r="A1768" s="13">
        <v>79960152</v>
      </c>
      <c r="B1768" s="11" t="s">
        <v>84</v>
      </c>
      <c r="C1768" s="1" t="s">
        <v>3573</v>
      </c>
      <c r="D1768" s="1" t="s">
        <v>43</v>
      </c>
      <c r="E1768" s="1" t="s">
        <v>10</v>
      </c>
    </row>
    <row r="1769" spans="1:5" x14ac:dyDescent="0.25">
      <c r="A1769" s="13">
        <v>79961347</v>
      </c>
      <c r="B1769" s="11" t="s">
        <v>84</v>
      </c>
      <c r="C1769" s="1" t="s">
        <v>510</v>
      </c>
      <c r="D1769" s="1" t="s">
        <v>38</v>
      </c>
      <c r="E1769" s="1" t="s">
        <v>10</v>
      </c>
    </row>
    <row r="1770" spans="1:5" x14ac:dyDescent="0.25">
      <c r="A1770" s="13">
        <v>79961627</v>
      </c>
      <c r="B1770" s="11" t="s">
        <v>116</v>
      </c>
      <c r="C1770" s="1" t="s">
        <v>509</v>
      </c>
      <c r="D1770" s="1" t="s">
        <v>117</v>
      </c>
      <c r="E1770" s="1" t="s">
        <v>8</v>
      </c>
    </row>
    <row r="1771" spans="1:5" x14ac:dyDescent="0.25">
      <c r="A1771" s="13">
        <v>79962064</v>
      </c>
      <c r="B1771" s="11" t="s">
        <v>84</v>
      </c>
      <c r="C1771" s="1" t="s">
        <v>3276</v>
      </c>
      <c r="D1771" s="1" t="s">
        <v>43</v>
      </c>
      <c r="E1771" s="1" t="s">
        <v>3211</v>
      </c>
    </row>
    <row r="1772" spans="1:5" x14ac:dyDescent="0.25">
      <c r="A1772" s="13">
        <v>79966843</v>
      </c>
      <c r="B1772" s="11" t="s">
        <v>116</v>
      </c>
      <c r="C1772" s="1" t="s">
        <v>508</v>
      </c>
      <c r="D1772" s="1" t="s">
        <v>117</v>
      </c>
      <c r="E1772" s="1" t="s">
        <v>453</v>
      </c>
    </row>
    <row r="1773" spans="1:5" x14ac:dyDescent="0.25">
      <c r="A1773" s="13">
        <v>79970416</v>
      </c>
      <c r="B1773" s="11" t="s">
        <v>84</v>
      </c>
      <c r="C1773" s="1" t="s">
        <v>507</v>
      </c>
      <c r="D1773" s="1" t="s">
        <v>43</v>
      </c>
      <c r="E1773" s="1" t="s">
        <v>6</v>
      </c>
    </row>
    <row r="1774" spans="1:5" x14ac:dyDescent="0.25">
      <c r="A1774" s="13">
        <v>79979759</v>
      </c>
      <c r="B1774" s="11" t="s">
        <v>116</v>
      </c>
      <c r="C1774" s="1" t="s">
        <v>506</v>
      </c>
      <c r="D1774" s="1" t="s">
        <v>117</v>
      </c>
      <c r="E1774" s="1" t="s">
        <v>6</v>
      </c>
    </row>
    <row r="1775" spans="1:5" x14ac:dyDescent="0.25">
      <c r="A1775" s="13">
        <v>79985581</v>
      </c>
      <c r="B1775" s="11" t="s">
        <v>84</v>
      </c>
      <c r="C1775" s="1" t="s">
        <v>505</v>
      </c>
      <c r="D1775" s="1" t="s">
        <v>38</v>
      </c>
      <c r="E1775" s="1" t="s">
        <v>170</v>
      </c>
    </row>
    <row r="1776" spans="1:5" x14ac:dyDescent="0.25">
      <c r="A1776" s="13">
        <v>79986375</v>
      </c>
      <c r="B1776" s="11" t="s">
        <v>116</v>
      </c>
      <c r="C1776" s="1" t="s">
        <v>504</v>
      </c>
      <c r="D1776" s="1" t="s">
        <v>117</v>
      </c>
      <c r="E1776" s="1" t="s">
        <v>10</v>
      </c>
    </row>
    <row r="1777" spans="1:5" x14ac:dyDescent="0.25">
      <c r="A1777" s="13">
        <v>79986907</v>
      </c>
      <c r="B1777" s="11" t="s">
        <v>83</v>
      </c>
      <c r="C1777" s="1" t="s">
        <v>503</v>
      </c>
      <c r="D1777" s="1" t="s">
        <v>77</v>
      </c>
      <c r="E1777" s="1" t="s">
        <v>4</v>
      </c>
    </row>
    <row r="1778" spans="1:5" x14ac:dyDescent="0.25">
      <c r="A1778" s="13">
        <v>79988490</v>
      </c>
      <c r="B1778" s="11" t="s">
        <v>116</v>
      </c>
      <c r="C1778" s="1" t="s">
        <v>502</v>
      </c>
      <c r="D1778" s="1" t="s">
        <v>117</v>
      </c>
      <c r="E1778" s="1" t="s">
        <v>210</v>
      </c>
    </row>
    <row r="1779" spans="1:5" x14ac:dyDescent="0.25">
      <c r="A1779" s="13">
        <v>79991494</v>
      </c>
      <c r="B1779" s="11" t="s">
        <v>83</v>
      </c>
      <c r="C1779" s="1" t="s">
        <v>501</v>
      </c>
      <c r="D1779" s="1" t="s">
        <v>47</v>
      </c>
      <c r="E1779" s="1" t="s">
        <v>26</v>
      </c>
    </row>
    <row r="1780" spans="1:5" x14ac:dyDescent="0.25">
      <c r="A1780" s="13">
        <v>79996387</v>
      </c>
      <c r="B1780" s="11" t="s">
        <v>84</v>
      </c>
      <c r="C1780" s="1" t="s">
        <v>500</v>
      </c>
      <c r="D1780" s="1" t="s">
        <v>38</v>
      </c>
      <c r="E1780" s="1" t="s">
        <v>8</v>
      </c>
    </row>
    <row r="1781" spans="1:5" x14ac:dyDescent="0.25">
      <c r="A1781" s="13">
        <v>79998567</v>
      </c>
      <c r="B1781" s="11" t="s">
        <v>84</v>
      </c>
      <c r="C1781" s="1" t="s">
        <v>497</v>
      </c>
      <c r="D1781" s="1" t="s">
        <v>498</v>
      </c>
      <c r="E1781" s="1" t="s">
        <v>499</v>
      </c>
    </row>
    <row r="1782" spans="1:5" x14ac:dyDescent="0.25">
      <c r="A1782" s="13">
        <v>80001251</v>
      </c>
      <c r="B1782" s="11" t="s">
        <v>116</v>
      </c>
      <c r="C1782" s="1" t="s">
        <v>496</v>
      </c>
      <c r="D1782" s="1" t="s">
        <v>117</v>
      </c>
      <c r="E1782" s="1" t="s">
        <v>14</v>
      </c>
    </row>
    <row r="1783" spans="1:5" x14ac:dyDescent="0.25">
      <c r="A1783" s="13">
        <v>80003494</v>
      </c>
      <c r="B1783" s="11" t="s">
        <v>83</v>
      </c>
      <c r="C1783" s="1" t="s">
        <v>494</v>
      </c>
      <c r="D1783" s="1" t="s">
        <v>42</v>
      </c>
      <c r="E1783" s="1" t="s">
        <v>495</v>
      </c>
    </row>
    <row r="1784" spans="1:5" x14ac:dyDescent="0.25">
      <c r="A1784" s="13">
        <v>80006490</v>
      </c>
      <c r="B1784" s="11" t="s">
        <v>116</v>
      </c>
      <c r="C1784" s="1" t="s">
        <v>493</v>
      </c>
      <c r="D1784" s="1" t="s">
        <v>117</v>
      </c>
      <c r="E1784" s="1" t="s">
        <v>147</v>
      </c>
    </row>
    <row r="1785" spans="1:5" x14ac:dyDescent="0.25">
      <c r="A1785" s="13">
        <v>80007424</v>
      </c>
      <c r="B1785" s="11" t="s">
        <v>83</v>
      </c>
      <c r="C1785" s="1" t="s">
        <v>492</v>
      </c>
      <c r="D1785" s="1" t="s">
        <v>49</v>
      </c>
      <c r="E1785" s="1" t="s">
        <v>18</v>
      </c>
    </row>
    <row r="1786" spans="1:5" x14ac:dyDescent="0.25">
      <c r="A1786" s="13">
        <v>80007564</v>
      </c>
      <c r="B1786" s="11" t="s">
        <v>116</v>
      </c>
      <c r="C1786" s="1" t="s">
        <v>490</v>
      </c>
      <c r="D1786" s="1" t="s">
        <v>117</v>
      </c>
      <c r="E1786" s="1" t="s">
        <v>491</v>
      </c>
    </row>
    <row r="1787" spans="1:5" x14ac:dyDescent="0.25">
      <c r="A1787" s="13">
        <v>80010042</v>
      </c>
      <c r="B1787" s="11" t="s">
        <v>116</v>
      </c>
      <c r="C1787" s="1" t="s">
        <v>3095</v>
      </c>
      <c r="D1787" s="1" t="s">
        <v>117</v>
      </c>
      <c r="E1787" s="1" t="s">
        <v>3118</v>
      </c>
    </row>
    <row r="1788" spans="1:5" x14ac:dyDescent="0.25">
      <c r="A1788" s="13">
        <v>80012422</v>
      </c>
      <c r="B1788" s="11" t="s">
        <v>84</v>
      </c>
      <c r="C1788" s="1" t="s">
        <v>489</v>
      </c>
      <c r="D1788" s="1" t="s">
        <v>38</v>
      </c>
      <c r="E1788" s="1" t="s">
        <v>12</v>
      </c>
    </row>
    <row r="1789" spans="1:5" x14ac:dyDescent="0.25">
      <c r="A1789" s="13">
        <v>80015826</v>
      </c>
      <c r="B1789" s="11" t="s">
        <v>116</v>
      </c>
      <c r="C1789" s="1" t="s">
        <v>488</v>
      </c>
      <c r="D1789" s="1" t="s">
        <v>117</v>
      </c>
      <c r="E1789" s="1" t="s">
        <v>10</v>
      </c>
    </row>
    <row r="1790" spans="1:5" x14ac:dyDescent="0.25">
      <c r="A1790" s="13">
        <v>80016487</v>
      </c>
      <c r="B1790" s="11" t="s">
        <v>84</v>
      </c>
      <c r="C1790" s="1" t="s">
        <v>487</v>
      </c>
      <c r="D1790" s="1" t="s">
        <v>38</v>
      </c>
      <c r="E1790" s="1" t="s">
        <v>6</v>
      </c>
    </row>
    <row r="1791" spans="1:5" x14ac:dyDescent="0.25">
      <c r="A1791" s="13">
        <v>80017791</v>
      </c>
      <c r="B1791" s="11" t="s">
        <v>116</v>
      </c>
      <c r="C1791" s="1" t="s">
        <v>486</v>
      </c>
      <c r="D1791" s="1" t="s">
        <v>151</v>
      </c>
      <c r="E1791" s="1" t="s">
        <v>152</v>
      </c>
    </row>
    <row r="1792" spans="1:5" x14ac:dyDescent="0.25">
      <c r="A1792" s="13">
        <v>80018174</v>
      </c>
      <c r="B1792" s="11" t="s">
        <v>83</v>
      </c>
      <c r="C1792" s="1" t="s">
        <v>485</v>
      </c>
      <c r="D1792" s="1" t="s">
        <v>102</v>
      </c>
      <c r="E1792" s="1" t="s">
        <v>19</v>
      </c>
    </row>
    <row r="1793" spans="1:5" x14ac:dyDescent="0.25">
      <c r="A1793" s="13">
        <v>80019999</v>
      </c>
      <c r="B1793" s="11" t="s">
        <v>116</v>
      </c>
      <c r="C1793" s="1" t="s">
        <v>484</v>
      </c>
      <c r="D1793" s="1" t="s">
        <v>117</v>
      </c>
      <c r="E1793" s="1" t="s">
        <v>10</v>
      </c>
    </row>
    <row r="1794" spans="1:5" x14ac:dyDescent="0.25">
      <c r="A1794" s="13">
        <v>80022697</v>
      </c>
      <c r="B1794" s="11" t="s">
        <v>84</v>
      </c>
      <c r="C1794" s="1" t="s">
        <v>3024</v>
      </c>
      <c r="D1794" s="1" t="s">
        <v>38</v>
      </c>
      <c r="E1794" s="1" t="s">
        <v>10</v>
      </c>
    </row>
    <row r="1795" spans="1:5" x14ac:dyDescent="0.25">
      <c r="A1795" s="13">
        <v>80023071</v>
      </c>
      <c r="B1795" s="11" t="s">
        <v>84</v>
      </c>
      <c r="C1795" s="1" t="s">
        <v>483</v>
      </c>
      <c r="D1795" s="1" t="s">
        <v>38</v>
      </c>
      <c r="E1795" s="1" t="s">
        <v>8</v>
      </c>
    </row>
    <row r="1796" spans="1:5" x14ac:dyDescent="0.25">
      <c r="A1796" s="13">
        <v>80023577</v>
      </c>
      <c r="B1796" s="11" t="s">
        <v>116</v>
      </c>
      <c r="C1796" s="1" t="s">
        <v>482</v>
      </c>
      <c r="D1796" s="1" t="s">
        <v>117</v>
      </c>
      <c r="E1796" s="1" t="s">
        <v>186</v>
      </c>
    </row>
    <row r="1797" spans="1:5" x14ac:dyDescent="0.25">
      <c r="A1797" s="13">
        <v>80024970</v>
      </c>
      <c r="B1797" s="11" t="s">
        <v>116</v>
      </c>
      <c r="C1797" s="1" t="s">
        <v>481</v>
      </c>
      <c r="D1797" s="1" t="s">
        <v>117</v>
      </c>
      <c r="E1797" s="1" t="s">
        <v>10</v>
      </c>
    </row>
    <row r="1798" spans="1:5" x14ac:dyDescent="0.25">
      <c r="A1798" s="13">
        <v>80025435</v>
      </c>
      <c r="B1798" s="11" t="s">
        <v>83</v>
      </c>
      <c r="C1798" s="1" t="s">
        <v>479</v>
      </c>
      <c r="D1798" s="1" t="s">
        <v>480</v>
      </c>
      <c r="E1798" s="1" t="s">
        <v>31</v>
      </c>
    </row>
    <row r="1799" spans="1:5" x14ac:dyDescent="0.25">
      <c r="A1799" s="13">
        <v>80026493</v>
      </c>
      <c r="B1799" s="11" t="s">
        <v>116</v>
      </c>
      <c r="C1799" s="1" t="s">
        <v>478</v>
      </c>
      <c r="D1799" s="1" t="s">
        <v>117</v>
      </c>
      <c r="E1799" s="1" t="s">
        <v>168</v>
      </c>
    </row>
    <row r="1800" spans="1:5" x14ac:dyDescent="0.25">
      <c r="A1800" s="13">
        <v>80033462</v>
      </c>
      <c r="B1800" s="11" t="s">
        <v>83</v>
      </c>
      <c r="C1800" s="1" t="s">
        <v>476</v>
      </c>
      <c r="D1800" s="1" t="s">
        <v>477</v>
      </c>
      <c r="E1800" s="1" t="s">
        <v>33</v>
      </c>
    </row>
    <row r="1801" spans="1:5" x14ac:dyDescent="0.25">
      <c r="A1801" s="13">
        <v>80035431</v>
      </c>
      <c r="B1801" s="11" t="s">
        <v>84</v>
      </c>
      <c r="C1801" s="1" t="s">
        <v>475</v>
      </c>
      <c r="D1801" s="1" t="s">
        <v>38</v>
      </c>
      <c r="E1801" s="1" t="s">
        <v>10</v>
      </c>
    </row>
    <row r="1802" spans="1:5" x14ac:dyDescent="0.25">
      <c r="A1802" s="13">
        <v>80036972</v>
      </c>
      <c r="B1802" s="11" t="s">
        <v>84</v>
      </c>
      <c r="C1802" s="1" t="s">
        <v>474</v>
      </c>
      <c r="D1802" s="1" t="s">
        <v>38</v>
      </c>
      <c r="E1802" s="1" t="s">
        <v>168</v>
      </c>
    </row>
    <row r="1803" spans="1:5" x14ac:dyDescent="0.25">
      <c r="A1803" s="13">
        <v>80037224</v>
      </c>
      <c r="B1803" s="11" t="s">
        <v>116</v>
      </c>
      <c r="C1803" s="1" t="s">
        <v>473</v>
      </c>
      <c r="D1803" s="1" t="s">
        <v>117</v>
      </c>
      <c r="E1803" s="1" t="s">
        <v>147</v>
      </c>
    </row>
    <row r="1804" spans="1:5" x14ac:dyDescent="0.25">
      <c r="A1804" s="13">
        <v>80039032</v>
      </c>
      <c r="B1804" s="11" t="s">
        <v>116</v>
      </c>
      <c r="C1804" s="1" t="s">
        <v>472</v>
      </c>
      <c r="D1804" s="1" t="s">
        <v>117</v>
      </c>
      <c r="E1804" s="1" t="s">
        <v>8</v>
      </c>
    </row>
    <row r="1805" spans="1:5" x14ac:dyDescent="0.25">
      <c r="A1805" s="13">
        <v>80039147</v>
      </c>
      <c r="B1805" s="11" t="s">
        <v>84</v>
      </c>
      <c r="C1805" s="1" t="s">
        <v>3277</v>
      </c>
      <c r="D1805" s="1" t="s">
        <v>38</v>
      </c>
      <c r="E1805" s="1" t="s">
        <v>170</v>
      </c>
    </row>
    <row r="1806" spans="1:5" x14ac:dyDescent="0.25">
      <c r="A1806" s="13">
        <v>80039235</v>
      </c>
      <c r="B1806" s="11" t="s">
        <v>84</v>
      </c>
      <c r="C1806" s="1" t="s">
        <v>471</v>
      </c>
      <c r="D1806" s="1" t="s">
        <v>137</v>
      </c>
      <c r="E1806" s="1" t="s">
        <v>142</v>
      </c>
    </row>
    <row r="1807" spans="1:5" x14ac:dyDescent="0.25">
      <c r="A1807" s="13">
        <v>80039647</v>
      </c>
      <c r="B1807" s="11" t="s">
        <v>116</v>
      </c>
      <c r="C1807" s="1" t="s">
        <v>470</v>
      </c>
      <c r="D1807" s="1" t="s">
        <v>117</v>
      </c>
      <c r="E1807" s="1" t="s">
        <v>179</v>
      </c>
    </row>
    <row r="1808" spans="1:5" x14ac:dyDescent="0.25">
      <c r="A1808" s="13">
        <v>80049686</v>
      </c>
      <c r="B1808" s="11" t="s">
        <v>116</v>
      </c>
      <c r="C1808" s="1" t="s">
        <v>469</v>
      </c>
      <c r="D1808" s="1" t="s">
        <v>117</v>
      </c>
      <c r="E1808" s="1" t="s">
        <v>85</v>
      </c>
    </row>
    <row r="1809" spans="1:5" x14ac:dyDescent="0.25">
      <c r="A1809" s="13">
        <v>80049711</v>
      </c>
      <c r="B1809" s="11" t="s">
        <v>84</v>
      </c>
      <c r="C1809" s="1" t="s">
        <v>468</v>
      </c>
      <c r="D1809" s="1" t="s">
        <v>43</v>
      </c>
      <c r="E1809" s="1" t="s">
        <v>5</v>
      </c>
    </row>
    <row r="1810" spans="1:5" x14ac:dyDescent="0.25">
      <c r="A1810" s="13">
        <v>80050294</v>
      </c>
      <c r="B1810" s="11" t="s">
        <v>84</v>
      </c>
      <c r="C1810" s="1" t="s">
        <v>3278</v>
      </c>
      <c r="D1810" s="1" t="s">
        <v>38</v>
      </c>
      <c r="E1810" s="1" t="s">
        <v>14</v>
      </c>
    </row>
    <row r="1811" spans="1:5" x14ac:dyDescent="0.25">
      <c r="A1811" s="13">
        <v>80054575</v>
      </c>
      <c r="B1811" s="11" t="s">
        <v>83</v>
      </c>
      <c r="C1811" s="1" t="s">
        <v>3279</v>
      </c>
      <c r="D1811" s="1" t="s">
        <v>64</v>
      </c>
      <c r="E1811" s="1" t="s">
        <v>25</v>
      </c>
    </row>
    <row r="1812" spans="1:5" x14ac:dyDescent="0.25">
      <c r="A1812" s="13">
        <v>80057281</v>
      </c>
      <c r="B1812" s="11" t="s">
        <v>116</v>
      </c>
      <c r="C1812" s="1" t="s">
        <v>467</v>
      </c>
      <c r="D1812" s="1" t="s">
        <v>117</v>
      </c>
      <c r="E1812" s="1" t="s">
        <v>6</v>
      </c>
    </row>
    <row r="1813" spans="1:5" x14ac:dyDescent="0.25">
      <c r="A1813" s="13">
        <v>80057955</v>
      </c>
      <c r="B1813" s="11" t="s">
        <v>116</v>
      </c>
      <c r="C1813" s="1" t="s">
        <v>466</v>
      </c>
      <c r="D1813" s="1" t="s">
        <v>117</v>
      </c>
      <c r="E1813" s="1" t="s">
        <v>10</v>
      </c>
    </row>
    <row r="1814" spans="1:5" x14ac:dyDescent="0.25">
      <c r="A1814" s="13">
        <v>80058545</v>
      </c>
      <c r="B1814" s="11" t="s">
        <v>116</v>
      </c>
      <c r="C1814" s="1" t="s">
        <v>465</v>
      </c>
      <c r="D1814" s="1" t="s">
        <v>117</v>
      </c>
      <c r="E1814" s="1" t="s">
        <v>7</v>
      </c>
    </row>
    <row r="1815" spans="1:5" x14ac:dyDescent="0.25">
      <c r="A1815" s="13">
        <v>80058550</v>
      </c>
      <c r="B1815" s="11" t="s">
        <v>83</v>
      </c>
      <c r="C1815" s="1" t="s">
        <v>463</v>
      </c>
      <c r="D1815" s="1" t="s">
        <v>464</v>
      </c>
      <c r="E1815" s="1" t="s">
        <v>196</v>
      </c>
    </row>
    <row r="1816" spans="1:5" x14ac:dyDescent="0.25">
      <c r="A1816" s="13">
        <v>80059783</v>
      </c>
      <c r="B1816" s="11" t="s">
        <v>84</v>
      </c>
      <c r="C1816" s="1" t="s">
        <v>3574</v>
      </c>
      <c r="D1816" s="1" t="s">
        <v>38</v>
      </c>
      <c r="E1816" s="1" t="s">
        <v>11</v>
      </c>
    </row>
    <row r="1817" spans="1:5" x14ac:dyDescent="0.25">
      <c r="A1817" s="13">
        <v>80060546</v>
      </c>
      <c r="B1817" s="11" t="s">
        <v>116</v>
      </c>
      <c r="C1817" s="1" t="s">
        <v>462</v>
      </c>
      <c r="D1817" s="1" t="s">
        <v>117</v>
      </c>
      <c r="E1817" s="1" t="s">
        <v>10</v>
      </c>
    </row>
    <row r="1818" spans="1:5" x14ac:dyDescent="0.25">
      <c r="A1818" s="13">
        <v>80060556</v>
      </c>
      <c r="B1818" s="11" t="s">
        <v>83</v>
      </c>
      <c r="C1818" s="1" t="s">
        <v>461</v>
      </c>
      <c r="D1818" s="1" t="s">
        <v>195</v>
      </c>
      <c r="E1818" s="1" t="s">
        <v>196</v>
      </c>
    </row>
    <row r="1819" spans="1:5" x14ac:dyDescent="0.25">
      <c r="A1819" s="13">
        <v>80060748</v>
      </c>
      <c r="B1819" s="11" t="s">
        <v>84</v>
      </c>
      <c r="C1819" s="1" t="s">
        <v>3166</v>
      </c>
      <c r="D1819" s="1" t="s">
        <v>3167</v>
      </c>
      <c r="E1819" s="1" t="s">
        <v>1</v>
      </c>
    </row>
    <row r="1820" spans="1:5" x14ac:dyDescent="0.25">
      <c r="A1820" s="13">
        <v>80061004</v>
      </c>
      <c r="B1820" s="11" t="s">
        <v>84</v>
      </c>
      <c r="C1820" s="1" t="s">
        <v>3575</v>
      </c>
      <c r="D1820" s="1" t="s">
        <v>38</v>
      </c>
      <c r="E1820" s="1" t="s">
        <v>3</v>
      </c>
    </row>
    <row r="1821" spans="1:5" x14ac:dyDescent="0.25">
      <c r="A1821" s="13">
        <v>80062024</v>
      </c>
      <c r="B1821" s="11" t="s">
        <v>116</v>
      </c>
      <c r="C1821" s="1" t="s">
        <v>460</v>
      </c>
      <c r="D1821" s="1" t="s">
        <v>117</v>
      </c>
      <c r="E1821" s="1" t="s">
        <v>11</v>
      </c>
    </row>
    <row r="1822" spans="1:5" x14ac:dyDescent="0.25">
      <c r="A1822" s="13">
        <v>80062609</v>
      </c>
      <c r="B1822" s="11" t="s">
        <v>116</v>
      </c>
      <c r="C1822" s="1" t="s">
        <v>459</v>
      </c>
      <c r="D1822" s="1" t="s">
        <v>117</v>
      </c>
      <c r="E1822" s="1" t="s">
        <v>205</v>
      </c>
    </row>
    <row r="1823" spans="1:5" x14ac:dyDescent="0.25">
      <c r="A1823" s="13">
        <v>80064785</v>
      </c>
      <c r="B1823" s="11" t="s">
        <v>84</v>
      </c>
      <c r="C1823" s="1" t="s">
        <v>458</v>
      </c>
      <c r="D1823" s="1" t="s">
        <v>151</v>
      </c>
      <c r="E1823" s="1" t="s">
        <v>17</v>
      </c>
    </row>
    <row r="1824" spans="1:5" x14ac:dyDescent="0.25">
      <c r="A1824" s="13">
        <v>80067361</v>
      </c>
      <c r="B1824" s="11" t="s">
        <v>116</v>
      </c>
      <c r="C1824" s="1" t="s">
        <v>3050</v>
      </c>
      <c r="D1824" s="1" t="s">
        <v>117</v>
      </c>
      <c r="E1824" s="1" t="s">
        <v>120</v>
      </c>
    </row>
    <row r="1825" spans="1:5" x14ac:dyDescent="0.25">
      <c r="A1825" s="13">
        <v>80067615</v>
      </c>
      <c r="B1825" s="11" t="s">
        <v>84</v>
      </c>
      <c r="C1825" s="1" t="s">
        <v>457</v>
      </c>
      <c r="D1825" s="1" t="s">
        <v>38</v>
      </c>
      <c r="E1825" s="1" t="s">
        <v>14</v>
      </c>
    </row>
    <row r="1826" spans="1:5" x14ac:dyDescent="0.25">
      <c r="A1826" s="13">
        <v>80071398</v>
      </c>
      <c r="B1826" s="11" t="s">
        <v>84</v>
      </c>
      <c r="C1826" s="1" t="s">
        <v>456</v>
      </c>
      <c r="D1826" s="1" t="s">
        <v>38</v>
      </c>
      <c r="E1826" s="1" t="s">
        <v>5</v>
      </c>
    </row>
    <row r="1827" spans="1:5" x14ac:dyDescent="0.25">
      <c r="A1827" s="13">
        <v>80071799</v>
      </c>
      <c r="B1827" s="11" t="s">
        <v>84</v>
      </c>
      <c r="C1827" s="1" t="s">
        <v>3280</v>
      </c>
      <c r="D1827" s="1" t="s">
        <v>3142</v>
      </c>
      <c r="E1827" s="1" t="s">
        <v>3071</v>
      </c>
    </row>
    <row r="1828" spans="1:5" x14ac:dyDescent="0.25">
      <c r="A1828" s="13">
        <v>80071813</v>
      </c>
      <c r="B1828" s="11" t="s">
        <v>84</v>
      </c>
      <c r="C1828" s="1" t="s">
        <v>455</v>
      </c>
      <c r="D1828" s="1" t="s">
        <v>151</v>
      </c>
      <c r="E1828" s="1" t="s">
        <v>152</v>
      </c>
    </row>
    <row r="1829" spans="1:5" x14ac:dyDescent="0.25">
      <c r="A1829" s="13">
        <v>80075721</v>
      </c>
      <c r="B1829" s="11" t="s">
        <v>84</v>
      </c>
      <c r="C1829" s="1" t="s">
        <v>454</v>
      </c>
      <c r="D1829" s="1" t="s">
        <v>43</v>
      </c>
      <c r="E1829" s="1" t="s">
        <v>8</v>
      </c>
    </row>
    <row r="1830" spans="1:5" x14ac:dyDescent="0.25">
      <c r="A1830" s="13">
        <v>80076128</v>
      </c>
      <c r="B1830" s="11" t="s">
        <v>116</v>
      </c>
      <c r="C1830" s="1" t="s">
        <v>452</v>
      </c>
      <c r="D1830" s="1" t="s">
        <v>117</v>
      </c>
      <c r="E1830" s="1" t="s">
        <v>453</v>
      </c>
    </row>
    <row r="1831" spans="1:5" x14ac:dyDescent="0.25">
      <c r="A1831" s="13">
        <v>80086886</v>
      </c>
      <c r="B1831" s="11" t="s">
        <v>83</v>
      </c>
      <c r="C1831" s="1" t="s">
        <v>451</v>
      </c>
      <c r="D1831" s="1" t="s">
        <v>217</v>
      </c>
      <c r="E1831" s="1" t="s">
        <v>19</v>
      </c>
    </row>
    <row r="1832" spans="1:5" x14ac:dyDescent="0.25">
      <c r="A1832" s="13">
        <v>80091118</v>
      </c>
      <c r="B1832" s="11" t="s">
        <v>116</v>
      </c>
      <c r="C1832" s="1" t="s">
        <v>450</v>
      </c>
      <c r="D1832" s="1" t="s">
        <v>131</v>
      </c>
      <c r="E1832" s="1" t="s">
        <v>342</v>
      </c>
    </row>
    <row r="1833" spans="1:5" x14ac:dyDescent="0.25">
      <c r="A1833" s="13">
        <v>80092690</v>
      </c>
      <c r="B1833" s="11" t="s">
        <v>116</v>
      </c>
      <c r="C1833" s="1" t="s">
        <v>449</v>
      </c>
      <c r="D1833" s="1" t="s">
        <v>117</v>
      </c>
      <c r="E1833" s="1" t="s">
        <v>232</v>
      </c>
    </row>
    <row r="1834" spans="1:5" x14ac:dyDescent="0.25">
      <c r="A1834" s="13">
        <v>80093192</v>
      </c>
      <c r="B1834" s="11" t="s">
        <v>116</v>
      </c>
      <c r="C1834" s="1" t="s">
        <v>448</v>
      </c>
      <c r="D1834" s="1" t="s">
        <v>117</v>
      </c>
      <c r="E1834" s="1" t="s">
        <v>6</v>
      </c>
    </row>
    <row r="1835" spans="1:5" x14ac:dyDescent="0.25">
      <c r="A1835" s="13">
        <v>80093697</v>
      </c>
      <c r="B1835" s="11" t="s">
        <v>116</v>
      </c>
      <c r="C1835" s="1" t="s">
        <v>447</v>
      </c>
      <c r="D1835" s="1" t="s">
        <v>117</v>
      </c>
      <c r="E1835" s="1" t="s">
        <v>179</v>
      </c>
    </row>
    <row r="1836" spans="1:5" x14ac:dyDescent="0.25">
      <c r="A1836" s="13">
        <v>80096305</v>
      </c>
      <c r="B1836" s="11" t="s">
        <v>116</v>
      </c>
      <c r="C1836" s="1" t="s">
        <v>446</v>
      </c>
      <c r="D1836" s="1" t="s">
        <v>117</v>
      </c>
      <c r="E1836" s="1" t="s">
        <v>5</v>
      </c>
    </row>
    <row r="1837" spans="1:5" x14ac:dyDescent="0.25">
      <c r="A1837" s="13">
        <v>80096813</v>
      </c>
      <c r="B1837" s="11" t="s">
        <v>84</v>
      </c>
      <c r="C1837" s="1" t="s">
        <v>445</v>
      </c>
      <c r="D1837" s="1" t="s">
        <v>38</v>
      </c>
      <c r="E1837" s="1" t="s">
        <v>3</v>
      </c>
    </row>
    <row r="1838" spans="1:5" x14ac:dyDescent="0.25">
      <c r="A1838" s="13">
        <v>80097095</v>
      </c>
      <c r="B1838" s="11" t="s">
        <v>84</v>
      </c>
      <c r="C1838" s="1" t="s">
        <v>3281</v>
      </c>
      <c r="D1838" s="1" t="s">
        <v>3282</v>
      </c>
      <c r="E1838" s="1" t="s">
        <v>22</v>
      </c>
    </row>
    <row r="1839" spans="1:5" x14ac:dyDescent="0.25">
      <c r="A1839" s="13">
        <v>80097836</v>
      </c>
      <c r="B1839" s="11" t="s">
        <v>84</v>
      </c>
      <c r="C1839" s="1" t="s">
        <v>444</v>
      </c>
      <c r="D1839" s="1" t="s">
        <v>38</v>
      </c>
      <c r="E1839" s="1" t="s">
        <v>14</v>
      </c>
    </row>
    <row r="1840" spans="1:5" x14ac:dyDescent="0.25">
      <c r="A1840" s="13">
        <v>80098990</v>
      </c>
      <c r="B1840" s="11" t="s">
        <v>116</v>
      </c>
      <c r="C1840" s="1" t="s">
        <v>443</v>
      </c>
      <c r="D1840" s="1" t="s">
        <v>117</v>
      </c>
      <c r="E1840" s="1" t="s">
        <v>263</v>
      </c>
    </row>
    <row r="1841" spans="1:5" x14ac:dyDescent="0.25">
      <c r="A1841" s="13">
        <v>80111510</v>
      </c>
      <c r="B1841" s="11" t="s">
        <v>84</v>
      </c>
      <c r="C1841" s="1" t="s">
        <v>442</v>
      </c>
      <c r="D1841" s="1" t="s">
        <v>43</v>
      </c>
      <c r="E1841" s="1" t="s">
        <v>127</v>
      </c>
    </row>
    <row r="1842" spans="1:5" x14ac:dyDescent="0.25">
      <c r="A1842" s="13">
        <v>80112191</v>
      </c>
      <c r="B1842" s="11" t="s">
        <v>116</v>
      </c>
      <c r="C1842" s="1" t="s">
        <v>3283</v>
      </c>
      <c r="D1842" s="1" t="s">
        <v>117</v>
      </c>
      <c r="E1842" s="1" t="s">
        <v>8</v>
      </c>
    </row>
    <row r="1843" spans="1:5" x14ac:dyDescent="0.25">
      <c r="A1843" s="13">
        <v>80115076</v>
      </c>
      <c r="B1843" s="11" t="s">
        <v>116</v>
      </c>
      <c r="C1843" s="1" t="s">
        <v>441</v>
      </c>
      <c r="D1843" s="1" t="s">
        <v>117</v>
      </c>
      <c r="E1843" s="1" t="s">
        <v>5</v>
      </c>
    </row>
    <row r="1844" spans="1:5" x14ac:dyDescent="0.25">
      <c r="A1844" s="13">
        <v>80115169</v>
      </c>
      <c r="B1844" s="11" t="s">
        <v>84</v>
      </c>
      <c r="C1844" s="1" t="s">
        <v>3679</v>
      </c>
      <c r="D1844" s="1" t="s">
        <v>38</v>
      </c>
      <c r="E1844" s="1" t="s">
        <v>3199</v>
      </c>
    </row>
    <row r="1845" spans="1:5" x14ac:dyDescent="0.25">
      <c r="A1845" s="13">
        <v>80117154</v>
      </c>
      <c r="B1845" s="11" t="s">
        <v>84</v>
      </c>
      <c r="C1845" s="1" t="s">
        <v>3284</v>
      </c>
      <c r="D1845" s="1" t="s">
        <v>38</v>
      </c>
      <c r="E1845" s="1" t="s">
        <v>3</v>
      </c>
    </row>
    <row r="1846" spans="1:5" x14ac:dyDescent="0.25">
      <c r="A1846" s="13">
        <v>80118121</v>
      </c>
      <c r="B1846" s="11" t="s">
        <v>84</v>
      </c>
      <c r="C1846" s="1" t="s">
        <v>3285</v>
      </c>
      <c r="D1846" s="1" t="s">
        <v>38</v>
      </c>
      <c r="E1846" s="1" t="s">
        <v>168</v>
      </c>
    </row>
    <row r="1847" spans="1:5" x14ac:dyDescent="0.25">
      <c r="A1847" s="13">
        <v>80119246</v>
      </c>
      <c r="B1847" s="11" t="s">
        <v>83</v>
      </c>
      <c r="C1847" s="1" t="s">
        <v>440</v>
      </c>
      <c r="D1847" s="1" t="s">
        <v>36</v>
      </c>
      <c r="E1847" s="1" t="s">
        <v>16</v>
      </c>
    </row>
    <row r="1848" spans="1:5" x14ac:dyDescent="0.25">
      <c r="A1848" s="13">
        <v>80119943</v>
      </c>
      <c r="B1848" s="11" t="s">
        <v>84</v>
      </c>
      <c r="C1848" s="1" t="s">
        <v>3286</v>
      </c>
      <c r="D1848" s="1" t="s">
        <v>38</v>
      </c>
      <c r="E1848" s="1" t="s">
        <v>5</v>
      </c>
    </row>
    <row r="1849" spans="1:5" x14ac:dyDescent="0.25">
      <c r="A1849" s="13">
        <v>80122115</v>
      </c>
      <c r="B1849" s="11" t="s">
        <v>83</v>
      </c>
      <c r="C1849" s="1" t="s">
        <v>439</v>
      </c>
      <c r="D1849" s="1" t="s">
        <v>47</v>
      </c>
      <c r="E1849" s="1" t="s">
        <v>16</v>
      </c>
    </row>
    <row r="1850" spans="1:5" x14ac:dyDescent="0.25">
      <c r="A1850" s="13">
        <v>80122741</v>
      </c>
      <c r="B1850" s="11" t="s">
        <v>84</v>
      </c>
      <c r="C1850" s="1" t="s">
        <v>438</v>
      </c>
      <c r="D1850" s="1" t="s">
        <v>151</v>
      </c>
      <c r="E1850" s="1" t="s">
        <v>152</v>
      </c>
    </row>
    <row r="1851" spans="1:5" x14ac:dyDescent="0.25">
      <c r="A1851" s="13">
        <v>80123400</v>
      </c>
      <c r="B1851" s="11" t="s">
        <v>84</v>
      </c>
      <c r="C1851" s="1" t="s">
        <v>3094</v>
      </c>
      <c r="D1851" s="1" t="s">
        <v>38</v>
      </c>
      <c r="E1851" s="1" t="s">
        <v>10</v>
      </c>
    </row>
    <row r="1852" spans="1:5" x14ac:dyDescent="0.25">
      <c r="A1852" s="13">
        <v>80124589</v>
      </c>
      <c r="B1852" s="11" t="s">
        <v>116</v>
      </c>
      <c r="C1852" s="1" t="s">
        <v>437</v>
      </c>
      <c r="D1852" s="1" t="s">
        <v>117</v>
      </c>
      <c r="E1852" s="1" t="s">
        <v>6</v>
      </c>
    </row>
    <row r="1853" spans="1:5" x14ac:dyDescent="0.25">
      <c r="A1853" s="13">
        <v>80125041</v>
      </c>
      <c r="B1853" s="11" t="s">
        <v>84</v>
      </c>
      <c r="C1853" s="1" t="s">
        <v>436</v>
      </c>
      <c r="D1853" s="1" t="s">
        <v>99</v>
      </c>
      <c r="E1853" s="1" t="s">
        <v>12</v>
      </c>
    </row>
    <row r="1854" spans="1:5" x14ac:dyDescent="0.25">
      <c r="A1854" s="13">
        <v>80134714</v>
      </c>
      <c r="B1854" s="11" t="s">
        <v>84</v>
      </c>
      <c r="C1854" s="1" t="s">
        <v>3025</v>
      </c>
      <c r="D1854" s="1" t="s">
        <v>38</v>
      </c>
      <c r="E1854" s="1" t="s">
        <v>12</v>
      </c>
    </row>
    <row r="1855" spans="1:5" x14ac:dyDescent="0.25">
      <c r="A1855" s="13">
        <v>80135746</v>
      </c>
      <c r="B1855" s="11" t="s">
        <v>116</v>
      </c>
      <c r="C1855" s="1" t="s">
        <v>435</v>
      </c>
      <c r="D1855" s="1" t="s">
        <v>117</v>
      </c>
      <c r="E1855" s="1" t="s">
        <v>118</v>
      </c>
    </row>
    <row r="1856" spans="1:5" x14ac:dyDescent="0.25">
      <c r="A1856" s="13">
        <v>80137083</v>
      </c>
      <c r="B1856" s="11" t="s">
        <v>116</v>
      </c>
      <c r="C1856" s="1" t="s">
        <v>434</v>
      </c>
      <c r="D1856" s="1" t="s">
        <v>117</v>
      </c>
      <c r="E1856" s="1" t="s">
        <v>14</v>
      </c>
    </row>
    <row r="1857" spans="1:5" x14ac:dyDescent="0.25">
      <c r="A1857" s="13">
        <v>80141444</v>
      </c>
      <c r="B1857" s="11" t="s">
        <v>84</v>
      </c>
      <c r="C1857" s="1" t="s">
        <v>433</v>
      </c>
      <c r="D1857" s="1" t="s">
        <v>43</v>
      </c>
      <c r="E1857" s="1" t="s">
        <v>328</v>
      </c>
    </row>
    <row r="1858" spans="1:5" x14ac:dyDescent="0.25">
      <c r="A1858" s="13">
        <v>80143300</v>
      </c>
      <c r="B1858" s="11" t="s">
        <v>116</v>
      </c>
      <c r="C1858" s="1" t="s">
        <v>3680</v>
      </c>
      <c r="D1858" s="1" t="s">
        <v>117</v>
      </c>
      <c r="E1858" s="1" t="s">
        <v>3190</v>
      </c>
    </row>
    <row r="1859" spans="1:5" x14ac:dyDescent="0.25">
      <c r="A1859" s="13">
        <v>80144378</v>
      </c>
      <c r="B1859" s="11" t="s">
        <v>84</v>
      </c>
      <c r="C1859" s="1" t="s">
        <v>432</v>
      </c>
      <c r="D1859" s="1" t="s">
        <v>43</v>
      </c>
      <c r="E1859" s="1" t="s">
        <v>127</v>
      </c>
    </row>
    <row r="1860" spans="1:5" x14ac:dyDescent="0.25">
      <c r="A1860" s="13">
        <v>80147522</v>
      </c>
      <c r="B1860" s="11" t="s">
        <v>83</v>
      </c>
      <c r="C1860" s="1" t="s">
        <v>431</v>
      </c>
      <c r="D1860" s="1" t="s">
        <v>141</v>
      </c>
      <c r="E1860" s="1" t="s">
        <v>152</v>
      </c>
    </row>
    <row r="1861" spans="1:5" x14ac:dyDescent="0.25">
      <c r="A1861" s="13">
        <v>80152304</v>
      </c>
      <c r="B1861" s="11" t="s">
        <v>83</v>
      </c>
      <c r="C1861" s="1" t="s">
        <v>429</v>
      </c>
      <c r="D1861" s="1" t="s">
        <v>430</v>
      </c>
      <c r="E1861" s="1" t="s">
        <v>31</v>
      </c>
    </row>
    <row r="1862" spans="1:5" x14ac:dyDescent="0.25">
      <c r="A1862" s="13">
        <v>80156671</v>
      </c>
      <c r="B1862" s="11" t="s">
        <v>116</v>
      </c>
      <c r="C1862" s="1" t="s">
        <v>428</v>
      </c>
      <c r="D1862" s="1" t="s">
        <v>117</v>
      </c>
      <c r="E1862" s="1" t="s">
        <v>422</v>
      </c>
    </row>
    <row r="1863" spans="1:5" x14ac:dyDescent="0.25">
      <c r="A1863" s="13">
        <v>80160649</v>
      </c>
      <c r="B1863" s="11" t="s">
        <v>84</v>
      </c>
      <c r="C1863" s="1" t="s">
        <v>3093</v>
      </c>
      <c r="D1863" s="1" t="s">
        <v>38</v>
      </c>
      <c r="E1863" s="1" t="s">
        <v>5</v>
      </c>
    </row>
    <row r="1864" spans="1:5" x14ac:dyDescent="0.25">
      <c r="A1864" s="13">
        <v>80161848</v>
      </c>
      <c r="B1864" s="11" t="s">
        <v>83</v>
      </c>
      <c r="C1864" s="1" t="s">
        <v>427</v>
      </c>
      <c r="D1864" s="1" t="s">
        <v>47</v>
      </c>
      <c r="E1864" s="1" t="s">
        <v>16</v>
      </c>
    </row>
    <row r="1865" spans="1:5" x14ac:dyDescent="0.25">
      <c r="A1865" s="13">
        <v>80163833</v>
      </c>
      <c r="B1865" s="11" t="s">
        <v>83</v>
      </c>
      <c r="C1865" s="1" t="s">
        <v>426</v>
      </c>
      <c r="D1865" s="1" t="s">
        <v>44</v>
      </c>
      <c r="E1865" s="1" t="s">
        <v>16</v>
      </c>
    </row>
    <row r="1866" spans="1:5" x14ac:dyDescent="0.25">
      <c r="A1866" s="13">
        <v>80165457</v>
      </c>
      <c r="B1866" s="11" t="s">
        <v>84</v>
      </c>
      <c r="C1866" s="1" t="s">
        <v>425</v>
      </c>
      <c r="D1866" s="1" t="s">
        <v>38</v>
      </c>
      <c r="E1866" s="1" t="s">
        <v>14</v>
      </c>
    </row>
    <row r="1867" spans="1:5" x14ac:dyDescent="0.25">
      <c r="A1867" s="13">
        <v>80165670</v>
      </c>
      <c r="B1867" s="11" t="s">
        <v>84</v>
      </c>
      <c r="C1867" s="1" t="s">
        <v>423</v>
      </c>
      <c r="D1867" s="1" t="s">
        <v>424</v>
      </c>
      <c r="E1867" s="1" t="s">
        <v>142</v>
      </c>
    </row>
    <row r="1868" spans="1:5" x14ac:dyDescent="0.25">
      <c r="A1868" s="13">
        <v>80166117</v>
      </c>
      <c r="B1868" s="11" t="s">
        <v>116</v>
      </c>
      <c r="C1868" s="1" t="s">
        <v>421</v>
      </c>
      <c r="D1868" s="1" t="s">
        <v>117</v>
      </c>
      <c r="E1868" s="1" t="s">
        <v>422</v>
      </c>
    </row>
    <row r="1869" spans="1:5" x14ac:dyDescent="0.25">
      <c r="A1869" s="13">
        <v>80166841</v>
      </c>
      <c r="B1869" s="11" t="s">
        <v>84</v>
      </c>
      <c r="C1869" s="1" t="s">
        <v>420</v>
      </c>
      <c r="D1869" s="1" t="s">
        <v>38</v>
      </c>
      <c r="E1869" s="1" t="s">
        <v>2</v>
      </c>
    </row>
    <row r="1870" spans="1:5" x14ac:dyDescent="0.25">
      <c r="A1870" s="13">
        <v>80167935</v>
      </c>
      <c r="B1870" s="11" t="s">
        <v>116</v>
      </c>
      <c r="C1870" s="1" t="s">
        <v>419</v>
      </c>
      <c r="D1870" s="1" t="s">
        <v>117</v>
      </c>
      <c r="E1870" s="1" t="s">
        <v>3</v>
      </c>
    </row>
    <row r="1871" spans="1:5" x14ac:dyDescent="0.25">
      <c r="A1871" s="13">
        <v>80168849</v>
      </c>
      <c r="B1871" s="11" t="s">
        <v>83</v>
      </c>
      <c r="C1871" s="1" t="s">
        <v>418</v>
      </c>
      <c r="D1871" s="1" t="s">
        <v>271</v>
      </c>
      <c r="E1871" s="1" t="s">
        <v>272</v>
      </c>
    </row>
    <row r="1872" spans="1:5" x14ac:dyDescent="0.25">
      <c r="A1872" s="13">
        <v>80170092</v>
      </c>
      <c r="B1872" s="11" t="s">
        <v>116</v>
      </c>
      <c r="C1872" s="1" t="s">
        <v>416</v>
      </c>
      <c r="D1872" s="1" t="s">
        <v>117</v>
      </c>
      <c r="E1872" s="1" t="s">
        <v>417</v>
      </c>
    </row>
    <row r="1873" spans="1:5" x14ac:dyDescent="0.25">
      <c r="A1873" s="13">
        <v>80171186</v>
      </c>
      <c r="B1873" s="11" t="s">
        <v>84</v>
      </c>
      <c r="C1873" s="1" t="s">
        <v>415</v>
      </c>
      <c r="D1873" s="1" t="s">
        <v>38</v>
      </c>
      <c r="E1873" s="1" t="s">
        <v>2</v>
      </c>
    </row>
    <row r="1874" spans="1:5" x14ac:dyDescent="0.25">
      <c r="A1874" s="13">
        <v>80172767</v>
      </c>
      <c r="B1874" s="11" t="s">
        <v>83</v>
      </c>
      <c r="C1874" s="1" t="s">
        <v>414</v>
      </c>
      <c r="D1874" s="1" t="s">
        <v>106</v>
      </c>
      <c r="E1874" s="1" t="s">
        <v>22</v>
      </c>
    </row>
    <row r="1875" spans="1:5" x14ac:dyDescent="0.25">
      <c r="A1875" s="13">
        <v>80173412</v>
      </c>
      <c r="B1875" s="11" t="s">
        <v>116</v>
      </c>
      <c r="C1875" s="1" t="s">
        <v>412</v>
      </c>
      <c r="D1875" s="1" t="s">
        <v>117</v>
      </c>
      <c r="E1875" s="1" t="s">
        <v>413</v>
      </c>
    </row>
    <row r="1876" spans="1:5" x14ac:dyDescent="0.25">
      <c r="A1876" s="13">
        <v>80175292</v>
      </c>
      <c r="B1876" s="11" t="s">
        <v>84</v>
      </c>
      <c r="C1876" s="1" t="s">
        <v>411</v>
      </c>
      <c r="D1876" s="1" t="s">
        <v>38</v>
      </c>
      <c r="E1876" s="1" t="s">
        <v>12</v>
      </c>
    </row>
    <row r="1877" spans="1:5" x14ac:dyDescent="0.25">
      <c r="A1877" s="13">
        <v>80177156</v>
      </c>
      <c r="B1877" s="11" t="s">
        <v>116</v>
      </c>
      <c r="C1877" s="1" t="s">
        <v>410</v>
      </c>
      <c r="D1877" s="1" t="s">
        <v>117</v>
      </c>
      <c r="E1877" s="1" t="s">
        <v>263</v>
      </c>
    </row>
    <row r="1878" spans="1:5" x14ac:dyDescent="0.25">
      <c r="A1878" s="13">
        <v>80177600</v>
      </c>
      <c r="B1878" s="11" t="s">
        <v>116</v>
      </c>
      <c r="C1878" s="1" t="s">
        <v>409</v>
      </c>
      <c r="D1878" s="1" t="s">
        <v>117</v>
      </c>
      <c r="E1878" s="1" t="s">
        <v>127</v>
      </c>
    </row>
    <row r="1879" spans="1:5" x14ac:dyDescent="0.25">
      <c r="A1879" s="13">
        <v>80177930</v>
      </c>
      <c r="B1879" s="11" t="s">
        <v>84</v>
      </c>
      <c r="C1879" s="1" t="s">
        <v>408</v>
      </c>
      <c r="D1879" s="1" t="s">
        <v>38</v>
      </c>
      <c r="E1879" s="1" t="s">
        <v>12</v>
      </c>
    </row>
    <row r="1880" spans="1:5" x14ac:dyDescent="0.25">
      <c r="A1880" s="13">
        <v>80185937</v>
      </c>
      <c r="B1880" s="11" t="s">
        <v>83</v>
      </c>
      <c r="C1880" s="1" t="s">
        <v>407</v>
      </c>
      <c r="D1880" s="1" t="s">
        <v>47</v>
      </c>
      <c r="E1880" s="1" t="s">
        <v>19</v>
      </c>
    </row>
    <row r="1881" spans="1:5" x14ac:dyDescent="0.25">
      <c r="A1881" s="13">
        <v>80186573</v>
      </c>
      <c r="B1881" s="11" t="s">
        <v>84</v>
      </c>
      <c r="C1881" s="1" t="s">
        <v>406</v>
      </c>
      <c r="D1881" s="1" t="s">
        <v>141</v>
      </c>
      <c r="E1881" s="1" t="s">
        <v>155</v>
      </c>
    </row>
    <row r="1882" spans="1:5" x14ac:dyDescent="0.25">
      <c r="A1882" s="13">
        <v>80186689</v>
      </c>
      <c r="B1882" s="11" t="s">
        <v>116</v>
      </c>
      <c r="C1882" s="1" t="s">
        <v>405</v>
      </c>
      <c r="D1882" s="1" t="s">
        <v>117</v>
      </c>
      <c r="E1882" s="1" t="s">
        <v>10</v>
      </c>
    </row>
    <row r="1883" spans="1:5" x14ac:dyDescent="0.25">
      <c r="A1883" s="13">
        <v>80187517</v>
      </c>
      <c r="B1883" s="11" t="s">
        <v>84</v>
      </c>
      <c r="C1883" s="1" t="s">
        <v>404</v>
      </c>
      <c r="D1883" s="1" t="s">
        <v>38</v>
      </c>
      <c r="E1883" s="1" t="s">
        <v>14</v>
      </c>
    </row>
    <row r="1884" spans="1:5" x14ac:dyDescent="0.25">
      <c r="A1884" s="13">
        <v>80189396</v>
      </c>
      <c r="B1884" s="11" t="s">
        <v>84</v>
      </c>
      <c r="C1884" s="1" t="s">
        <v>403</v>
      </c>
      <c r="D1884" s="1" t="s">
        <v>38</v>
      </c>
      <c r="E1884" s="1" t="s">
        <v>8</v>
      </c>
    </row>
    <row r="1885" spans="1:5" x14ac:dyDescent="0.25">
      <c r="A1885" s="13">
        <v>80189815</v>
      </c>
      <c r="B1885" s="11" t="s">
        <v>84</v>
      </c>
      <c r="C1885" s="1" t="s">
        <v>3697</v>
      </c>
      <c r="D1885" s="1" t="s">
        <v>3325</v>
      </c>
      <c r="E1885" s="1" t="s">
        <v>3572</v>
      </c>
    </row>
    <row r="1886" spans="1:5" x14ac:dyDescent="0.25">
      <c r="A1886" s="13">
        <v>80190032</v>
      </c>
      <c r="B1886" s="11" t="s">
        <v>83</v>
      </c>
      <c r="C1886" s="1" t="s">
        <v>402</v>
      </c>
      <c r="D1886" s="1" t="s">
        <v>241</v>
      </c>
      <c r="E1886" s="1" t="s">
        <v>242</v>
      </c>
    </row>
    <row r="1887" spans="1:5" x14ac:dyDescent="0.25">
      <c r="A1887" s="13">
        <v>80190674</v>
      </c>
      <c r="B1887" s="11" t="s">
        <v>83</v>
      </c>
      <c r="C1887" s="1" t="s">
        <v>400</v>
      </c>
      <c r="D1887" s="1" t="s">
        <v>401</v>
      </c>
      <c r="E1887" s="1" t="s">
        <v>19</v>
      </c>
    </row>
    <row r="1888" spans="1:5" x14ac:dyDescent="0.25">
      <c r="A1888" s="13">
        <v>80191732</v>
      </c>
      <c r="B1888" s="11" t="s">
        <v>83</v>
      </c>
      <c r="C1888" s="1" t="s">
        <v>3681</v>
      </c>
      <c r="D1888" s="1" t="s">
        <v>107</v>
      </c>
      <c r="E1888" s="1" t="s">
        <v>196</v>
      </c>
    </row>
    <row r="1889" spans="1:5" x14ac:dyDescent="0.25">
      <c r="A1889" s="13">
        <v>80191735</v>
      </c>
      <c r="B1889" s="11" t="s">
        <v>84</v>
      </c>
      <c r="C1889" s="1" t="s">
        <v>399</v>
      </c>
      <c r="D1889" s="1" t="s">
        <v>137</v>
      </c>
      <c r="E1889" s="1" t="s">
        <v>142</v>
      </c>
    </row>
    <row r="1890" spans="1:5" x14ac:dyDescent="0.25">
      <c r="A1890" s="13">
        <v>80192128</v>
      </c>
      <c r="B1890" s="11" t="s">
        <v>84</v>
      </c>
      <c r="C1890" s="1" t="s">
        <v>398</v>
      </c>
      <c r="D1890" s="1" t="s">
        <v>38</v>
      </c>
      <c r="E1890" s="1" t="s">
        <v>3</v>
      </c>
    </row>
    <row r="1891" spans="1:5" x14ac:dyDescent="0.25">
      <c r="A1891" s="13">
        <v>80192537</v>
      </c>
      <c r="B1891" s="11" t="s">
        <v>84</v>
      </c>
      <c r="C1891" s="1" t="s">
        <v>397</v>
      </c>
      <c r="D1891" s="1" t="s">
        <v>43</v>
      </c>
      <c r="E1891" s="1" t="s">
        <v>6</v>
      </c>
    </row>
    <row r="1892" spans="1:5" x14ac:dyDescent="0.25">
      <c r="A1892" s="13">
        <v>80193107</v>
      </c>
      <c r="B1892" s="11" t="s">
        <v>84</v>
      </c>
      <c r="C1892" s="1" t="s">
        <v>396</v>
      </c>
      <c r="D1892" s="1" t="s">
        <v>38</v>
      </c>
      <c r="E1892" s="1" t="s">
        <v>170</v>
      </c>
    </row>
    <row r="1893" spans="1:5" x14ac:dyDescent="0.25">
      <c r="A1893" s="13">
        <v>80196024</v>
      </c>
      <c r="B1893" s="11" t="s">
        <v>116</v>
      </c>
      <c r="C1893" s="1" t="s">
        <v>395</v>
      </c>
      <c r="D1893" s="1" t="s">
        <v>117</v>
      </c>
      <c r="E1893" s="1" t="s">
        <v>3192</v>
      </c>
    </row>
    <row r="1894" spans="1:5" x14ac:dyDescent="0.25">
      <c r="A1894" s="13">
        <v>80202352</v>
      </c>
      <c r="B1894" s="11" t="s">
        <v>83</v>
      </c>
      <c r="C1894" s="1" t="s">
        <v>394</v>
      </c>
      <c r="D1894" s="1" t="s">
        <v>47</v>
      </c>
      <c r="E1894" s="1" t="s">
        <v>19</v>
      </c>
    </row>
    <row r="1895" spans="1:5" x14ac:dyDescent="0.25">
      <c r="A1895" s="13">
        <v>80202613</v>
      </c>
      <c r="B1895" s="11" t="s">
        <v>84</v>
      </c>
      <c r="C1895" s="1" t="s">
        <v>393</v>
      </c>
      <c r="D1895" s="1" t="s">
        <v>88</v>
      </c>
      <c r="E1895" s="1" t="s">
        <v>1</v>
      </c>
    </row>
    <row r="1896" spans="1:5" x14ac:dyDescent="0.25">
      <c r="A1896" s="13">
        <v>80203654</v>
      </c>
      <c r="B1896" s="11" t="s">
        <v>84</v>
      </c>
      <c r="C1896" s="1" t="s">
        <v>392</v>
      </c>
      <c r="D1896" s="1" t="s">
        <v>151</v>
      </c>
      <c r="E1896" s="1" t="s">
        <v>17</v>
      </c>
    </row>
    <row r="1897" spans="1:5" x14ac:dyDescent="0.25">
      <c r="A1897" s="13">
        <v>80207244</v>
      </c>
      <c r="B1897" s="11" t="s">
        <v>116</v>
      </c>
      <c r="C1897" s="1" t="s">
        <v>391</v>
      </c>
      <c r="D1897" s="1" t="s">
        <v>117</v>
      </c>
      <c r="E1897" s="1" t="s">
        <v>12</v>
      </c>
    </row>
    <row r="1898" spans="1:5" x14ac:dyDescent="0.25">
      <c r="A1898" s="13">
        <v>80207451</v>
      </c>
      <c r="B1898" s="11" t="s">
        <v>84</v>
      </c>
      <c r="C1898" s="1" t="s">
        <v>390</v>
      </c>
      <c r="D1898" s="1" t="s">
        <v>38</v>
      </c>
      <c r="E1898" s="1" t="s">
        <v>2</v>
      </c>
    </row>
    <row r="1899" spans="1:5" x14ac:dyDescent="0.25">
      <c r="A1899" s="13">
        <v>80207497</v>
      </c>
      <c r="B1899" s="11" t="s">
        <v>116</v>
      </c>
      <c r="C1899" s="1" t="s">
        <v>389</v>
      </c>
      <c r="D1899" s="1" t="s">
        <v>117</v>
      </c>
      <c r="E1899" s="1" t="s">
        <v>179</v>
      </c>
    </row>
    <row r="1900" spans="1:5" x14ac:dyDescent="0.25">
      <c r="A1900" s="13">
        <v>80207928</v>
      </c>
      <c r="B1900" s="11" t="s">
        <v>116</v>
      </c>
      <c r="C1900" s="1" t="s">
        <v>388</v>
      </c>
      <c r="D1900" s="1" t="s">
        <v>117</v>
      </c>
      <c r="E1900" s="1" t="s">
        <v>263</v>
      </c>
    </row>
    <row r="1901" spans="1:5" x14ac:dyDescent="0.25">
      <c r="A1901" s="13">
        <v>80210812</v>
      </c>
      <c r="B1901" s="11" t="s">
        <v>83</v>
      </c>
      <c r="C1901" s="1" t="s">
        <v>387</v>
      </c>
      <c r="D1901" s="1" t="s">
        <v>141</v>
      </c>
      <c r="E1901" s="1" t="s">
        <v>16</v>
      </c>
    </row>
    <row r="1902" spans="1:5" x14ac:dyDescent="0.25">
      <c r="A1902" s="13">
        <v>80211025</v>
      </c>
      <c r="B1902" s="11" t="s">
        <v>84</v>
      </c>
      <c r="C1902" s="1" t="s">
        <v>3001</v>
      </c>
      <c r="D1902" s="1" t="s">
        <v>38</v>
      </c>
      <c r="E1902" s="1" t="s">
        <v>10</v>
      </c>
    </row>
    <row r="1903" spans="1:5" x14ac:dyDescent="0.25">
      <c r="A1903" s="13">
        <v>80211886</v>
      </c>
      <c r="B1903" s="11" t="s">
        <v>84</v>
      </c>
      <c r="C1903" s="1" t="s">
        <v>386</v>
      </c>
      <c r="D1903" s="1" t="s">
        <v>3287</v>
      </c>
      <c r="E1903" s="1" t="s">
        <v>22</v>
      </c>
    </row>
    <row r="1904" spans="1:5" x14ac:dyDescent="0.25">
      <c r="A1904" s="13">
        <v>80213535</v>
      </c>
      <c r="B1904" s="11" t="s">
        <v>84</v>
      </c>
      <c r="C1904" s="1" t="s">
        <v>385</v>
      </c>
      <c r="D1904" s="1" t="s">
        <v>381</v>
      </c>
      <c r="E1904" s="1" t="s">
        <v>26</v>
      </c>
    </row>
    <row r="1905" spans="1:5" x14ac:dyDescent="0.25">
      <c r="A1905" s="13">
        <v>80213669</v>
      </c>
      <c r="B1905" s="11" t="s">
        <v>109</v>
      </c>
      <c r="C1905" s="1" t="s">
        <v>384</v>
      </c>
      <c r="D1905" s="1" t="s">
        <v>53</v>
      </c>
      <c r="E1905" s="1" t="s">
        <v>4</v>
      </c>
    </row>
    <row r="1906" spans="1:5" x14ac:dyDescent="0.25">
      <c r="A1906" s="13">
        <v>80214153</v>
      </c>
      <c r="B1906" s="11" t="s">
        <v>84</v>
      </c>
      <c r="C1906" s="1" t="s">
        <v>3288</v>
      </c>
      <c r="D1906" s="1" t="s">
        <v>38</v>
      </c>
      <c r="E1906" s="1" t="s">
        <v>5</v>
      </c>
    </row>
    <row r="1907" spans="1:5" x14ac:dyDescent="0.25">
      <c r="A1907" s="13">
        <v>80214560</v>
      </c>
      <c r="B1907" s="11" t="s">
        <v>83</v>
      </c>
      <c r="C1907" s="1" t="s">
        <v>383</v>
      </c>
      <c r="D1907" s="1" t="s">
        <v>47</v>
      </c>
      <c r="E1907" s="1" t="s">
        <v>16</v>
      </c>
    </row>
    <row r="1908" spans="1:5" x14ac:dyDescent="0.25">
      <c r="A1908" s="13">
        <v>80217723</v>
      </c>
      <c r="B1908" s="11" t="s">
        <v>84</v>
      </c>
      <c r="C1908" s="1" t="s">
        <v>382</v>
      </c>
      <c r="D1908" s="1" t="s">
        <v>43</v>
      </c>
      <c r="E1908" s="1" t="s">
        <v>14</v>
      </c>
    </row>
    <row r="1909" spans="1:5" x14ac:dyDescent="0.25">
      <c r="A1909" s="13">
        <v>80217916</v>
      </c>
      <c r="B1909" s="11" t="s">
        <v>84</v>
      </c>
      <c r="C1909" s="1" t="s">
        <v>380</v>
      </c>
      <c r="D1909" s="1" t="s">
        <v>381</v>
      </c>
      <c r="E1909" s="1" t="s">
        <v>26</v>
      </c>
    </row>
    <row r="1910" spans="1:5" x14ac:dyDescent="0.25">
      <c r="A1910" s="13">
        <v>80221084</v>
      </c>
      <c r="B1910" s="11" t="s">
        <v>116</v>
      </c>
      <c r="C1910" s="1" t="s">
        <v>379</v>
      </c>
      <c r="D1910" s="1" t="s">
        <v>117</v>
      </c>
      <c r="E1910" s="1" t="s">
        <v>118</v>
      </c>
    </row>
    <row r="1911" spans="1:5" x14ac:dyDescent="0.25">
      <c r="A1911" s="13">
        <v>80221924</v>
      </c>
      <c r="B1911" s="11" t="s">
        <v>83</v>
      </c>
      <c r="C1911" s="1" t="s">
        <v>377</v>
      </c>
      <c r="D1911" s="1" t="s">
        <v>378</v>
      </c>
      <c r="E1911" s="1" t="s">
        <v>16</v>
      </c>
    </row>
    <row r="1912" spans="1:5" x14ac:dyDescent="0.25">
      <c r="A1912" s="13">
        <v>80222117</v>
      </c>
      <c r="B1912" s="11" t="s">
        <v>116</v>
      </c>
      <c r="C1912" s="1" t="s">
        <v>376</v>
      </c>
      <c r="D1912" s="1" t="s">
        <v>151</v>
      </c>
      <c r="E1912" s="1" t="s">
        <v>152</v>
      </c>
    </row>
    <row r="1913" spans="1:5" x14ac:dyDescent="0.25">
      <c r="A1913" s="13">
        <v>80226780</v>
      </c>
      <c r="B1913" s="11" t="s">
        <v>84</v>
      </c>
      <c r="C1913" s="1" t="s">
        <v>375</v>
      </c>
      <c r="D1913" s="1" t="s">
        <v>38</v>
      </c>
      <c r="E1913" s="1" t="s">
        <v>186</v>
      </c>
    </row>
    <row r="1914" spans="1:5" x14ac:dyDescent="0.25">
      <c r="A1914" s="13">
        <v>80227005</v>
      </c>
      <c r="B1914" s="11" t="s">
        <v>84</v>
      </c>
      <c r="C1914" s="1" t="s">
        <v>374</v>
      </c>
      <c r="D1914" s="1" t="s">
        <v>43</v>
      </c>
      <c r="E1914" s="1" t="s">
        <v>3</v>
      </c>
    </row>
    <row r="1915" spans="1:5" x14ac:dyDescent="0.25">
      <c r="A1915" s="13">
        <v>80228451</v>
      </c>
      <c r="B1915" s="11" t="s">
        <v>84</v>
      </c>
      <c r="C1915" s="1" t="s">
        <v>3289</v>
      </c>
      <c r="D1915" s="1" t="s">
        <v>38</v>
      </c>
      <c r="E1915" s="1" t="s">
        <v>8</v>
      </c>
    </row>
    <row r="1916" spans="1:5" x14ac:dyDescent="0.25">
      <c r="A1916" s="13">
        <v>80233168</v>
      </c>
      <c r="B1916" s="11" t="s">
        <v>84</v>
      </c>
      <c r="C1916" s="1" t="s">
        <v>373</v>
      </c>
      <c r="D1916" s="1" t="s">
        <v>38</v>
      </c>
      <c r="E1916" s="1" t="s">
        <v>6</v>
      </c>
    </row>
    <row r="1917" spans="1:5" x14ac:dyDescent="0.25">
      <c r="A1917" s="13">
        <v>80233681</v>
      </c>
      <c r="B1917" s="11" t="s">
        <v>84</v>
      </c>
      <c r="C1917" s="1" t="s">
        <v>3059</v>
      </c>
      <c r="D1917" s="1" t="s">
        <v>43</v>
      </c>
      <c r="E1917" s="1" t="s">
        <v>127</v>
      </c>
    </row>
    <row r="1918" spans="1:5" x14ac:dyDescent="0.25">
      <c r="A1918" s="13">
        <v>80234243</v>
      </c>
      <c r="B1918" s="11" t="s">
        <v>83</v>
      </c>
      <c r="C1918" s="1" t="s">
        <v>3576</v>
      </c>
      <c r="D1918" s="1" t="s">
        <v>3577</v>
      </c>
      <c r="E1918" s="1" t="s">
        <v>196</v>
      </c>
    </row>
    <row r="1919" spans="1:5" x14ac:dyDescent="0.25">
      <c r="A1919" s="13">
        <v>80234742</v>
      </c>
      <c r="B1919" s="11" t="s">
        <v>84</v>
      </c>
      <c r="C1919" s="1" t="s">
        <v>372</v>
      </c>
      <c r="D1919" s="1" t="s">
        <v>38</v>
      </c>
      <c r="E1919" s="1" t="s">
        <v>170</v>
      </c>
    </row>
    <row r="1920" spans="1:5" x14ac:dyDescent="0.25">
      <c r="A1920" s="13">
        <v>80236514</v>
      </c>
      <c r="B1920" s="11" t="s">
        <v>84</v>
      </c>
      <c r="C1920" s="1" t="s">
        <v>371</v>
      </c>
      <c r="D1920" s="1" t="s">
        <v>38</v>
      </c>
      <c r="E1920" s="1" t="s">
        <v>2</v>
      </c>
    </row>
    <row r="1921" spans="1:5" x14ac:dyDescent="0.25">
      <c r="A1921" s="13">
        <v>80238161</v>
      </c>
      <c r="B1921" s="11" t="s">
        <v>83</v>
      </c>
      <c r="C1921" s="1" t="s">
        <v>3051</v>
      </c>
      <c r="D1921" s="1" t="s">
        <v>42</v>
      </c>
      <c r="E1921" s="1" t="s">
        <v>210</v>
      </c>
    </row>
    <row r="1922" spans="1:5" x14ac:dyDescent="0.25">
      <c r="A1922" s="13">
        <v>80238298</v>
      </c>
      <c r="B1922" s="11" t="s">
        <v>116</v>
      </c>
      <c r="C1922" s="1" t="s">
        <v>370</v>
      </c>
      <c r="D1922" s="1" t="s">
        <v>117</v>
      </c>
      <c r="E1922" s="1" t="s">
        <v>147</v>
      </c>
    </row>
    <row r="1923" spans="1:5" x14ac:dyDescent="0.25">
      <c r="A1923" s="13">
        <v>80240940</v>
      </c>
      <c r="B1923" s="11" t="s">
        <v>83</v>
      </c>
      <c r="C1923" s="1" t="s">
        <v>369</v>
      </c>
      <c r="D1923" s="1" t="s">
        <v>64</v>
      </c>
      <c r="E1923" s="1" t="s">
        <v>25</v>
      </c>
    </row>
    <row r="1924" spans="1:5" x14ac:dyDescent="0.25">
      <c r="A1924" s="13">
        <v>80242862</v>
      </c>
      <c r="B1924" s="11" t="s">
        <v>84</v>
      </c>
      <c r="C1924" s="1" t="s">
        <v>3290</v>
      </c>
      <c r="D1924" s="1" t="s">
        <v>38</v>
      </c>
      <c r="E1924" s="1" t="s">
        <v>3120</v>
      </c>
    </row>
    <row r="1925" spans="1:5" x14ac:dyDescent="0.25">
      <c r="A1925" s="13">
        <v>80244131</v>
      </c>
      <c r="B1925" s="11" t="s">
        <v>83</v>
      </c>
      <c r="C1925" s="1" t="s">
        <v>368</v>
      </c>
      <c r="D1925" s="1" t="s">
        <v>59</v>
      </c>
      <c r="E1925" s="1" t="s">
        <v>19</v>
      </c>
    </row>
    <row r="1926" spans="1:5" x14ac:dyDescent="0.25">
      <c r="A1926" s="13">
        <v>80245805</v>
      </c>
      <c r="B1926" s="11" t="s">
        <v>83</v>
      </c>
      <c r="C1926" s="1" t="s">
        <v>365</v>
      </c>
      <c r="D1926" s="1" t="s">
        <v>366</v>
      </c>
      <c r="E1926" s="1" t="s">
        <v>367</v>
      </c>
    </row>
    <row r="1927" spans="1:5" x14ac:dyDescent="0.25">
      <c r="A1927" s="13">
        <v>80247187</v>
      </c>
      <c r="B1927" s="11" t="s">
        <v>83</v>
      </c>
      <c r="C1927" s="1" t="s">
        <v>362</v>
      </c>
      <c r="D1927" s="1" t="s">
        <v>363</v>
      </c>
      <c r="E1927" s="1" t="s">
        <v>364</v>
      </c>
    </row>
    <row r="1928" spans="1:5" x14ac:dyDescent="0.25">
      <c r="A1928" s="13">
        <v>80251422</v>
      </c>
      <c r="B1928" s="11" t="s">
        <v>116</v>
      </c>
      <c r="C1928" s="1" t="s">
        <v>3068</v>
      </c>
      <c r="D1928" s="1" t="s">
        <v>117</v>
      </c>
      <c r="E1928" s="1" t="s">
        <v>120</v>
      </c>
    </row>
    <row r="1929" spans="1:5" x14ac:dyDescent="0.25">
      <c r="A1929" s="13">
        <v>80252432</v>
      </c>
      <c r="B1929" s="11" t="s">
        <v>116</v>
      </c>
      <c r="C1929" s="1" t="s">
        <v>361</v>
      </c>
      <c r="D1929" s="1" t="s">
        <v>117</v>
      </c>
      <c r="E1929" s="1" t="s">
        <v>170</v>
      </c>
    </row>
    <row r="1930" spans="1:5" x14ac:dyDescent="0.25">
      <c r="A1930" s="13">
        <v>80256091</v>
      </c>
      <c r="B1930" s="11" t="s">
        <v>83</v>
      </c>
      <c r="C1930" s="1" t="s">
        <v>360</v>
      </c>
      <c r="D1930" s="1" t="s">
        <v>59</v>
      </c>
      <c r="E1930" s="1" t="s">
        <v>19</v>
      </c>
    </row>
    <row r="1931" spans="1:5" x14ac:dyDescent="0.25">
      <c r="A1931" s="13">
        <v>80260754</v>
      </c>
      <c r="B1931" s="11" t="s">
        <v>83</v>
      </c>
      <c r="C1931" s="1" t="s">
        <v>358</v>
      </c>
      <c r="D1931" s="1" t="s">
        <v>61</v>
      </c>
      <c r="E1931" s="1" t="s">
        <v>359</v>
      </c>
    </row>
    <row r="1932" spans="1:5" x14ac:dyDescent="0.25">
      <c r="A1932" s="13">
        <v>80261949</v>
      </c>
      <c r="B1932" s="11" t="s">
        <v>116</v>
      </c>
      <c r="C1932" s="1" t="s">
        <v>357</v>
      </c>
      <c r="D1932" s="1" t="s">
        <v>117</v>
      </c>
      <c r="E1932" s="1" t="s">
        <v>10</v>
      </c>
    </row>
    <row r="1933" spans="1:5" x14ac:dyDescent="0.25">
      <c r="A1933" s="13">
        <v>80264209</v>
      </c>
      <c r="B1933" s="11" t="s">
        <v>116</v>
      </c>
      <c r="C1933" s="1" t="s">
        <v>356</v>
      </c>
      <c r="D1933" s="1" t="s">
        <v>117</v>
      </c>
      <c r="E1933" s="1" t="s">
        <v>336</v>
      </c>
    </row>
    <row r="1934" spans="1:5" x14ac:dyDescent="0.25">
      <c r="A1934" s="13">
        <v>80268446</v>
      </c>
      <c r="B1934" s="11" t="s">
        <v>84</v>
      </c>
      <c r="C1934" s="1" t="s">
        <v>355</v>
      </c>
      <c r="D1934" s="1" t="s">
        <v>38</v>
      </c>
      <c r="E1934" s="1" t="s">
        <v>10</v>
      </c>
    </row>
    <row r="1935" spans="1:5" x14ac:dyDescent="0.25">
      <c r="A1935" s="13">
        <v>80269320</v>
      </c>
      <c r="B1935" s="11" t="s">
        <v>116</v>
      </c>
      <c r="C1935" s="1" t="s">
        <v>354</v>
      </c>
      <c r="D1935" s="1" t="s">
        <v>117</v>
      </c>
      <c r="E1935" s="1" t="s">
        <v>205</v>
      </c>
    </row>
    <row r="1936" spans="1:5" x14ac:dyDescent="0.25">
      <c r="A1936" s="13">
        <v>80275725</v>
      </c>
      <c r="B1936" s="11" t="s">
        <v>84</v>
      </c>
      <c r="C1936" s="1" t="s">
        <v>352</v>
      </c>
      <c r="D1936" s="1" t="s">
        <v>353</v>
      </c>
      <c r="E1936" s="1" t="s">
        <v>26</v>
      </c>
    </row>
    <row r="1937" spans="1:5" x14ac:dyDescent="0.25">
      <c r="A1937" s="13">
        <v>80282001</v>
      </c>
      <c r="B1937" s="11" t="s">
        <v>84</v>
      </c>
      <c r="C1937" s="1" t="s">
        <v>3291</v>
      </c>
      <c r="D1937" s="1" t="s">
        <v>3167</v>
      </c>
      <c r="E1937" s="1" t="s">
        <v>1</v>
      </c>
    </row>
    <row r="1938" spans="1:5" x14ac:dyDescent="0.25">
      <c r="A1938" s="13">
        <v>80352240</v>
      </c>
      <c r="B1938" s="11" t="s">
        <v>116</v>
      </c>
      <c r="C1938" s="1" t="s">
        <v>351</v>
      </c>
      <c r="D1938" s="1" t="s">
        <v>117</v>
      </c>
      <c r="E1938" s="1" t="s">
        <v>263</v>
      </c>
    </row>
    <row r="1939" spans="1:5" x14ac:dyDescent="0.25">
      <c r="A1939" s="13">
        <v>80355206</v>
      </c>
      <c r="B1939" s="11" t="s">
        <v>83</v>
      </c>
      <c r="C1939" s="1" t="s">
        <v>349</v>
      </c>
      <c r="D1939" s="1" t="s">
        <v>350</v>
      </c>
      <c r="E1939" s="1" t="s">
        <v>28</v>
      </c>
    </row>
    <row r="1940" spans="1:5" x14ac:dyDescent="0.25">
      <c r="A1940" s="13">
        <v>80360128</v>
      </c>
      <c r="B1940" s="11" t="s">
        <v>116</v>
      </c>
      <c r="C1940" s="1" t="s">
        <v>348</v>
      </c>
      <c r="D1940" s="1" t="s">
        <v>117</v>
      </c>
      <c r="E1940" s="1" t="s">
        <v>232</v>
      </c>
    </row>
    <row r="1941" spans="1:5" x14ac:dyDescent="0.25">
      <c r="A1941" s="13">
        <v>80373407</v>
      </c>
      <c r="B1941" s="11" t="s">
        <v>109</v>
      </c>
      <c r="C1941" s="1" t="s">
        <v>347</v>
      </c>
      <c r="D1941" s="1" t="s">
        <v>131</v>
      </c>
      <c r="E1941" s="1" t="s">
        <v>131</v>
      </c>
    </row>
    <row r="1942" spans="1:5" x14ac:dyDescent="0.25">
      <c r="A1942" s="13">
        <v>80409719</v>
      </c>
      <c r="B1942" s="11" t="s">
        <v>116</v>
      </c>
      <c r="C1942" s="1" t="s">
        <v>346</v>
      </c>
      <c r="D1942" s="1" t="s">
        <v>117</v>
      </c>
      <c r="E1942" s="1" t="s">
        <v>127</v>
      </c>
    </row>
    <row r="1943" spans="1:5" x14ac:dyDescent="0.25">
      <c r="A1943" s="13">
        <v>80416199</v>
      </c>
      <c r="B1943" s="11" t="s">
        <v>109</v>
      </c>
      <c r="C1943" s="1" t="s">
        <v>345</v>
      </c>
      <c r="D1943" s="1" t="s">
        <v>131</v>
      </c>
      <c r="E1943" s="1" t="s">
        <v>131</v>
      </c>
    </row>
    <row r="1944" spans="1:5" x14ac:dyDescent="0.25">
      <c r="A1944" s="13">
        <v>80419293</v>
      </c>
      <c r="B1944" s="11" t="s">
        <v>116</v>
      </c>
      <c r="C1944" s="1" t="s">
        <v>344</v>
      </c>
      <c r="D1944" s="1" t="s">
        <v>117</v>
      </c>
      <c r="E1944" s="1" t="s">
        <v>7</v>
      </c>
    </row>
    <row r="1945" spans="1:5" x14ac:dyDescent="0.25">
      <c r="A1945" s="13">
        <v>80425073</v>
      </c>
      <c r="B1945" s="11" t="s">
        <v>109</v>
      </c>
      <c r="C1945" s="1" t="s">
        <v>343</v>
      </c>
      <c r="D1945" s="1" t="s">
        <v>131</v>
      </c>
      <c r="E1945" s="1" t="s">
        <v>131</v>
      </c>
    </row>
    <row r="1946" spans="1:5" x14ac:dyDescent="0.25">
      <c r="A1946" s="13">
        <v>80426693</v>
      </c>
      <c r="B1946" s="11" t="s">
        <v>116</v>
      </c>
      <c r="C1946" s="1" t="s">
        <v>341</v>
      </c>
      <c r="D1946" s="1" t="s">
        <v>117</v>
      </c>
      <c r="E1946" s="1" t="s">
        <v>342</v>
      </c>
    </row>
    <row r="1947" spans="1:5" x14ac:dyDescent="0.25">
      <c r="A1947" s="13">
        <v>80429152</v>
      </c>
      <c r="B1947" s="11" t="s">
        <v>83</v>
      </c>
      <c r="C1947" s="1" t="s">
        <v>339</v>
      </c>
      <c r="D1947" s="1" t="s">
        <v>340</v>
      </c>
      <c r="E1947" s="1" t="s">
        <v>23</v>
      </c>
    </row>
    <row r="1948" spans="1:5" x14ac:dyDescent="0.25">
      <c r="A1948" s="13">
        <v>80432896</v>
      </c>
      <c r="B1948" s="11" t="s">
        <v>116</v>
      </c>
      <c r="C1948" s="1" t="s">
        <v>338</v>
      </c>
      <c r="D1948" s="1" t="s">
        <v>117</v>
      </c>
      <c r="E1948" s="1" t="s">
        <v>232</v>
      </c>
    </row>
    <row r="1949" spans="1:5" x14ac:dyDescent="0.25">
      <c r="A1949" s="13">
        <v>80433041</v>
      </c>
      <c r="B1949" s="11" t="s">
        <v>84</v>
      </c>
      <c r="C1949" s="1" t="s">
        <v>337</v>
      </c>
      <c r="D1949" s="1" t="s">
        <v>38</v>
      </c>
      <c r="E1949" s="1" t="s">
        <v>8</v>
      </c>
    </row>
    <row r="1950" spans="1:5" x14ac:dyDescent="0.25">
      <c r="A1950" s="13">
        <v>80439747</v>
      </c>
      <c r="B1950" s="11" t="s">
        <v>84</v>
      </c>
      <c r="C1950" s="1" t="s">
        <v>335</v>
      </c>
      <c r="D1950" s="1" t="s">
        <v>38</v>
      </c>
      <c r="E1950" s="1" t="s">
        <v>336</v>
      </c>
    </row>
    <row r="1951" spans="1:5" x14ac:dyDescent="0.25">
      <c r="A1951" s="13">
        <v>80449465</v>
      </c>
      <c r="B1951" s="11" t="s">
        <v>83</v>
      </c>
      <c r="C1951" s="1" t="s">
        <v>334</v>
      </c>
      <c r="D1951" s="1" t="s">
        <v>47</v>
      </c>
      <c r="E1951" s="1" t="s">
        <v>19</v>
      </c>
    </row>
    <row r="1952" spans="1:5" x14ac:dyDescent="0.25">
      <c r="A1952" s="13">
        <v>80472119</v>
      </c>
      <c r="B1952" s="11" t="s">
        <v>116</v>
      </c>
      <c r="C1952" s="1" t="s">
        <v>332</v>
      </c>
      <c r="D1952" s="1" t="s">
        <v>117</v>
      </c>
      <c r="E1952" s="1" t="s">
        <v>333</v>
      </c>
    </row>
    <row r="1953" spans="1:5" x14ac:dyDescent="0.25">
      <c r="A1953" s="13">
        <v>80472319</v>
      </c>
      <c r="B1953" s="11" t="s">
        <v>84</v>
      </c>
      <c r="C1953" s="1" t="s">
        <v>331</v>
      </c>
      <c r="D1953" s="1" t="s">
        <v>38</v>
      </c>
      <c r="E1953" s="1" t="s">
        <v>127</v>
      </c>
    </row>
    <row r="1954" spans="1:5" x14ac:dyDescent="0.25">
      <c r="A1954" s="13">
        <v>80472408</v>
      </c>
      <c r="B1954" s="11" t="s">
        <v>109</v>
      </c>
      <c r="C1954" s="1" t="s">
        <v>330</v>
      </c>
      <c r="D1954" s="1" t="s">
        <v>131</v>
      </c>
      <c r="E1954" s="1" t="s">
        <v>131</v>
      </c>
    </row>
    <row r="1955" spans="1:5" x14ac:dyDescent="0.25">
      <c r="A1955" s="13">
        <v>80472523</v>
      </c>
      <c r="B1955" s="11" t="s">
        <v>109</v>
      </c>
      <c r="C1955" s="1" t="s">
        <v>329</v>
      </c>
      <c r="D1955" s="1" t="s">
        <v>131</v>
      </c>
      <c r="E1955" s="1" t="s">
        <v>131</v>
      </c>
    </row>
    <row r="1956" spans="1:5" x14ac:dyDescent="0.25">
      <c r="A1956" s="13">
        <v>80499387</v>
      </c>
      <c r="B1956" s="11" t="s">
        <v>84</v>
      </c>
      <c r="C1956" s="1" t="s">
        <v>327</v>
      </c>
      <c r="D1956" s="1" t="s">
        <v>43</v>
      </c>
      <c r="E1956" s="1" t="s">
        <v>328</v>
      </c>
    </row>
    <row r="1957" spans="1:5" x14ac:dyDescent="0.25">
      <c r="A1957" s="13">
        <v>80504214</v>
      </c>
      <c r="B1957" s="11" t="s">
        <v>109</v>
      </c>
      <c r="C1957" s="1" t="s">
        <v>326</v>
      </c>
      <c r="D1957" s="1" t="s">
        <v>131</v>
      </c>
      <c r="E1957" s="1" t="s">
        <v>131</v>
      </c>
    </row>
    <row r="1958" spans="1:5" x14ac:dyDescent="0.25">
      <c r="A1958" s="13">
        <v>80505988</v>
      </c>
      <c r="B1958" s="11" t="s">
        <v>116</v>
      </c>
      <c r="C1958" s="1" t="s">
        <v>325</v>
      </c>
      <c r="D1958" s="1" t="s">
        <v>117</v>
      </c>
      <c r="E1958" s="1" t="s">
        <v>8</v>
      </c>
    </row>
    <row r="1959" spans="1:5" x14ac:dyDescent="0.25">
      <c r="A1959" s="13">
        <v>80542967</v>
      </c>
      <c r="B1959" s="11" t="s">
        <v>84</v>
      </c>
      <c r="C1959" s="1" t="s">
        <v>324</v>
      </c>
      <c r="D1959" s="1" t="s">
        <v>38</v>
      </c>
      <c r="E1959" s="1" t="s">
        <v>170</v>
      </c>
    </row>
    <row r="1960" spans="1:5" x14ac:dyDescent="0.25">
      <c r="A1960" s="13">
        <v>80544925</v>
      </c>
      <c r="B1960" s="11" t="s">
        <v>83</v>
      </c>
      <c r="C1960" s="1" t="s">
        <v>322</v>
      </c>
      <c r="D1960" s="1" t="s">
        <v>323</v>
      </c>
      <c r="E1960" s="1" t="s">
        <v>4</v>
      </c>
    </row>
    <row r="1961" spans="1:5" x14ac:dyDescent="0.25">
      <c r="A1961" s="13">
        <v>80549001</v>
      </c>
      <c r="B1961" s="11" t="s">
        <v>84</v>
      </c>
      <c r="C1961" s="1" t="s">
        <v>3292</v>
      </c>
      <c r="D1961" s="1" t="s">
        <v>43</v>
      </c>
      <c r="E1961" s="1" t="s">
        <v>14</v>
      </c>
    </row>
    <row r="1962" spans="1:5" x14ac:dyDescent="0.25">
      <c r="A1962" s="13">
        <v>80664492</v>
      </c>
      <c r="B1962" s="11" t="s">
        <v>116</v>
      </c>
      <c r="C1962" s="1" t="s">
        <v>321</v>
      </c>
      <c r="D1962" s="1" t="s">
        <v>117</v>
      </c>
      <c r="E1962" s="1" t="s">
        <v>6</v>
      </c>
    </row>
    <row r="1963" spans="1:5" x14ac:dyDescent="0.25">
      <c r="A1963" s="13">
        <v>80721329</v>
      </c>
      <c r="B1963" s="11" t="s">
        <v>116</v>
      </c>
      <c r="C1963" s="1" t="s">
        <v>320</v>
      </c>
      <c r="D1963" s="1" t="s">
        <v>117</v>
      </c>
      <c r="E1963" s="1" t="s">
        <v>11</v>
      </c>
    </row>
    <row r="1964" spans="1:5" x14ac:dyDescent="0.25">
      <c r="A1964" s="13">
        <v>80721337</v>
      </c>
      <c r="B1964" s="11" t="s">
        <v>116</v>
      </c>
      <c r="C1964" s="1" t="s">
        <v>319</v>
      </c>
      <c r="D1964" s="1" t="s">
        <v>117</v>
      </c>
      <c r="E1964" s="1" t="s">
        <v>9</v>
      </c>
    </row>
    <row r="1965" spans="1:5" x14ac:dyDescent="0.25">
      <c r="A1965" s="13">
        <v>80725196</v>
      </c>
      <c r="B1965" s="11" t="s">
        <v>83</v>
      </c>
      <c r="C1965" s="1" t="s">
        <v>3293</v>
      </c>
      <c r="D1965" s="1" t="s">
        <v>477</v>
      </c>
      <c r="E1965" s="1" t="s">
        <v>248</v>
      </c>
    </row>
    <row r="1966" spans="1:5" x14ac:dyDescent="0.25">
      <c r="A1966" s="13">
        <v>80732285</v>
      </c>
      <c r="B1966" s="11" t="s">
        <v>84</v>
      </c>
      <c r="C1966" s="1" t="s">
        <v>318</v>
      </c>
      <c r="D1966" s="1" t="s">
        <v>38</v>
      </c>
      <c r="E1966" s="1" t="s">
        <v>12</v>
      </c>
    </row>
    <row r="1967" spans="1:5" x14ac:dyDescent="0.25">
      <c r="A1967" s="13">
        <v>80733800</v>
      </c>
      <c r="B1967" s="11" t="s">
        <v>116</v>
      </c>
      <c r="C1967" s="1" t="s">
        <v>317</v>
      </c>
      <c r="D1967" s="1" t="s">
        <v>151</v>
      </c>
      <c r="E1967" s="1" t="s">
        <v>152</v>
      </c>
    </row>
    <row r="1968" spans="1:5" x14ac:dyDescent="0.25">
      <c r="A1968" s="13">
        <v>80747011</v>
      </c>
      <c r="B1968" s="11" t="s">
        <v>84</v>
      </c>
      <c r="C1968" s="1" t="s">
        <v>316</v>
      </c>
      <c r="D1968" s="1" t="s">
        <v>151</v>
      </c>
      <c r="E1968" s="1" t="s">
        <v>152</v>
      </c>
    </row>
    <row r="1969" spans="1:5" x14ac:dyDescent="0.25">
      <c r="A1969" s="13">
        <v>80751590</v>
      </c>
      <c r="B1969" s="11" t="s">
        <v>83</v>
      </c>
      <c r="C1969" s="1" t="s">
        <v>315</v>
      </c>
      <c r="D1969" s="1" t="s">
        <v>312</v>
      </c>
      <c r="E1969" s="1" t="s">
        <v>242</v>
      </c>
    </row>
    <row r="1970" spans="1:5" x14ac:dyDescent="0.25">
      <c r="A1970" s="13">
        <v>80757033</v>
      </c>
      <c r="B1970" s="11" t="s">
        <v>116</v>
      </c>
      <c r="C1970" s="1" t="s">
        <v>314</v>
      </c>
      <c r="D1970" s="1" t="s">
        <v>117</v>
      </c>
      <c r="E1970" s="1" t="s">
        <v>6</v>
      </c>
    </row>
    <row r="1971" spans="1:5" x14ac:dyDescent="0.25">
      <c r="A1971" s="13">
        <v>80757546</v>
      </c>
      <c r="B1971" s="11" t="s">
        <v>84</v>
      </c>
      <c r="C1971" s="1" t="s">
        <v>313</v>
      </c>
      <c r="D1971" s="1" t="s">
        <v>38</v>
      </c>
      <c r="E1971" s="1" t="s">
        <v>6</v>
      </c>
    </row>
    <row r="1972" spans="1:5" x14ac:dyDescent="0.25">
      <c r="A1972" s="13">
        <v>80761917</v>
      </c>
      <c r="B1972" s="11" t="s">
        <v>83</v>
      </c>
      <c r="C1972" s="1" t="s">
        <v>311</v>
      </c>
      <c r="D1972" s="1" t="s">
        <v>312</v>
      </c>
      <c r="E1972" s="1" t="s">
        <v>242</v>
      </c>
    </row>
    <row r="1973" spans="1:5" x14ac:dyDescent="0.25">
      <c r="A1973" s="13">
        <v>80762340</v>
      </c>
      <c r="B1973" s="11" t="s">
        <v>83</v>
      </c>
      <c r="C1973" s="1" t="s">
        <v>310</v>
      </c>
      <c r="D1973" s="1" t="s">
        <v>47</v>
      </c>
      <c r="E1973" s="1" t="s">
        <v>16</v>
      </c>
    </row>
    <row r="1974" spans="1:5" x14ac:dyDescent="0.25">
      <c r="A1974" s="13">
        <v>80762750</v>
      </c>
      <c r="B1974" s="11" t="s">
        <v>84</v>
      </c>
      <c r="C1974" s="1" t="s">
        <v>309</v>
      </c>
      <c r="D1974" s="1" t="s">
        <v>43</v>
      </c>
      <c r="E1974" s="1" t="s">
        <v>10</v>
      </c>
    </row>
    <row r="1975" spans="1:5" x14ac:dyDescent="0.25">
      <c r="A1975" s="13">
        <v>80763305</v>
      </c>
      <c r="B1975" s="11" t="s">
        <v>116</v>
      </c>
      <c r="C1975" s="1" t="s">
        <v>308</v>
      </c>
      <c r="D1975" s="1" t="s">
        <v>117</v>
      </c>
      <c r="E1975" s="1" t="s">
        <v>8</v>
      </c>
    </row>
    <row r="1976" spans="1:5" x14ac:dyDescent="0.25">
      <c r="A1976" s="13">
        <v>80765112</v>
      </c>
      <c r="B1976" s="11" t="s">
        <v>83</v>
      </c>
      <c r="C1976" s="1" t="s">
        <v>307</v>
      </c>
      <c r="D1976" s="1" t="s">
        <v>217</v>
      </c>
      <c r="E1976" s="1" t="s">
        <v>300</v>
      </c>
    </row>
    <row r="1977" spans="1:5" x14ac:dyDescent="0.25">
      <c r="A1977" s="13">
        <v>80766897</v>
      </c>
      <c r="B1977" s="11" t="s">
        <v>84</v>
      </c>
      <c r="C1977" s="1" t="s">
        <v>305</v>
      </c>
      <c r="D1977" s="1" t="s">
        <v>306</v>
      </c>
      <c r="E1977" s="1" t="s">
        <v>142</v>
      </c>
    </row>
    <row r="1978" spans="1:5" x14ac:dyDescent="0.25">
      <c r="A1978" s="13">
        <v>80767124</v>
      </c>
      <c r="B1978" s="11" t="s">
        <v>84</v>
      </c>
      <c r="C1978" s="1" t="s">
        <v>304</v>
      </c>
      <c r="D1978" s="1" t="s">
        <v>137</v>
      </c>
      <c r="E1978" s="1" t="s">
        <v>142</v>
      </c>
    </row>
    <row r="1979" spans="1:5" x14ac:dyDescent="0.25">
      <c r="A1979" s="13">
        <v>80768325</v>
      </c>
      <c r="B1979" s="11" t="s">
        <v>116</v>
      </c>
      <c r="C1979" s="1" t="s">
        <v>303</v>
      </c>
      <c r="D1979" s="1" t="s">
        <v>151</v>
      </c>
      <c r="E1979" s="1" t="s">
        <v>152</v>
      </c>
    </row>
    <row r="1980" spans="1:5" x14ac:dyDescent="0.25">
      <c r="A1980" s="13">
        <v>80768757</v>
      </c>
      <c r="B1980" s="11" t="s">
        <v>83</v>
      </c>
      <c r="C1980" s="1" t="s">
        <v>302</v>
      </c>
      <c r="D1980" s="1" t="s">
        <v>47</v>
      </c>
      <c r="E1980" s="1" t="s">
        <v>16</v>
      </c>
    </row>
    <row r="1981" spans="1:5" x14ac:dyDescent="0.25">
      <c r="A1981" s="13">
        <v>80769772</v>
      </c>
      <c r="B1981" s="11" t="s">
        <v>83</v>
      </c>
      <c r="C1981" s="1" t="s">
        <v>301</v>
      </c>
      <c r="D1981" s="1" t="s">
        <v>68</v>
      </c>
      <c r="E1981" s="1" t="s">
        <v>24</v>
      </c>
    </row>
    <row r="1982" spans="1:5" x14ac:dyDescent="0.25">
      <c r="A1982" s="13">
        <v>80777724</v>
      </c>
      <c r="B1982" s="11" t="s">
        <v>83</v>
      </c>
      <c r="C1982" s="1" t="s">
        <v>299</v>
      </c>
      <c r="D1982" s="1" t="s">
        <v>217</v>
      </c>
      <c r="E1982" s="1" t="s">
        <v>300</v>
      </c>
    </row>
    <row r="1983" spans="1:5" x14ac:dyDescent="0.25">
      <c r="A1983" s="13">
        <v>80778198</v>
      </c>
      <c r="B1983" s="11" t="s">
        <v>84</v>
      </c>
      <c r="C1983" s="1" t="s">
        <v>298</v>
      </c>
      <c r="D1983" s="1" t="s">
        <v>43</v>
      </c>
      <c r="E1983" s="1" t="s">
        <v>3</v>
      </c>
    </row>
    <row r="1984" spans="1:5" x14ac:dyDescent="0.25">
      <c r="A1984" s="13">
        <v>80792218</v>
      </c>
      <c r="B1984" s="11" t="s">
        <v>83</v>
      </c>
      <c r="C1984" s="1" t="s">
        <v>297</v>
      </c>
      <c r="D1984" s="1" t="s">
        <v>47</v>
      </c>
      <c r="E1984" s="1" t="s">
        <v>24</v>
      </c>
    </row>
    <row r="1985" spans="1:5" x14ac:dyDescent="0.25">
      <c r="A1985" s="13">
        <v>80792370</v>
      </c>
      <c r="B1985" s="11" t="s">
        <v>84</v>
      </c>
      <c r="C1985" s="1" t="s">
        <v>296</v>
      </c>
      <c r="D1985" s="1" t="s">
        <v>38</v>
      </c>
      <c r="E1985" s="1" t="s">
        <v>7</v>
      </c>
    </row>
    <row r="1986" spans="1:5" x14ac:dyDescent="0.25">
      <c r="A1986" s="13">
        <v>80792913</v>
      </c>
      <c r="B1986" s="11" t="s">
        <v>83</v>
      </c>
      <c r="C1986" s="1" t="s">
        <v>295</v>
      </c>
      <c r="D1986" s="1" t="s">
        <v>79</v>
      </c>
      <c r="E1986" s="1" t="s">
        <v>20</v>
      </c>
    </row>
    <row r="1987" spans="1:5" x14ac:dyDescent="0.25">
      <c r="A1987" s="13">
        <v>80793275</v>
      </c>
      <c r="B1987" s="11" t="s">
        <v>116</v>
      </c>
      <c r="C1987" s="1" t="s">
        <v>294</v>
      </c>
      <c r="D1987" s="1" t="s">
        <v>117</v>
      </c>
      <c r="E1987" s="1" t="s">
        <v>170</v>
      </c>
    </row>
    <row r="1988" spans="1:5" x14ac:dyDescent="0.25">
      <c r="A1988" s="13">
        <v>80794738</v>
      </c>
      <c r="B1988" s="11" t="s">
        <v>83</v>
      </c>
      <c r="C1988" s="1" t="s">
        <v>293</v>
      </c>
      <c r="D1988" s="1" t="s">
        <v>141</v>
      </c>
      <c r="E1988" s="1" t="s">
        <v>16</v>
      </c>
    </row>
    <row r="1989" spans="1:5" x14ac:dyDescent="0.25">
      <c r="A1989" s="13">
        <v>80794958</v>
      </c>
      <c r="B1989" s="11" t="s">
        <v>116</v>
      </c>
      <c r="C1989" s="1" t="s">
        <v>292</v>
      </c>
      <c r="D1989" s="1" t="s">
        <v>151</v>
      </c>
      <c r="E1989" s="1" t="s">
        <v>152</v>
      </c>
    </row>
    <row r="1990" spans="1:5" x14ac:dyDescent="0.25">
      <c r="A1990" s="13">
        <v>80795431</v>
      </c>
      <c r="B1990" s="11" t="s">
        <v>116</v>
      </c>
      <c r="C1990" s="1" t="s">
        <v>291</v>
      </c>
      <c r="D1990" s="1" t="s">
        <v>117</v>
      </c>
      <c r="E1990" s="1" t="s">
        <v>6</v>
      </c>
    </row>
    <row r="1991" spans="1:5" x14ac:dyDescent="0.25">
      <c r="A1991" s="13">
        <v>80797211</v>
      </c>
      <c r="B1991" s="11" t="s">
        <v>83</v>
      </c>
      <c r="C1991" s="1" t="s">
        <v>289</v>
      </c>
      <c r="D1991" s="1" t="s">
        <v>290</v>
      </c>
      <c r="E1991" s="1" t="s">
        <v>23</v>
      </c>
    </row>
    <row r="1992" spans="1:5" x14ac:dyDescent="0.25">
      <c r="A1992" s="13">
        <v>80799564</v>
      </c>
      <c r="B1992" s="11" t="s">
        <v>83</v>
      </c>
      <c r="C1992" s="1" t="s">
        <v>288</v>
      </c>
      <c r="D1992" s="1" t="s">
        <v>47</v>
      </c>
      <c r="E1992" s="1" t="s">
        <v>19</v>
      </c>
    </row>
    <row r="1993" spans="1:5" x14ac:dyDescent="0.25">
      <c r="A1993" s="13">
        <v>80801501</v>
      </c>
      <c r="B1993" s="11" t="s">
        <v>83</v>
      </c>
      <c r="C1993" s="1" t="s">
        <v>287</v>
      </c>
      <c r="D1993" s="1" t="s">
        <v>47</v>
      </c>
      <c r="E1993" s="1" t="s">
        <v>24</v>
      </c>
    </row>
    <row r="1994" spans="1:5" x14ac:dyDescent="0.25">
      <c r="A1994" s="13">
        <v>80802626</v>
      </c>
      <c r="B1994" s="11" t="s">
        <v>84</v>
      </c>
      <c r="C1994" s="1" t="s">
        <v>3294</v>
      </c>
      <c r="D1994" s="1" t="s">
        <v>38</v>
      </c>
      <c r="E1994" s="1" t="s">
        <v>10</v>
      </c>
    </row>
    <row r="1995" spans="1:5" x14ac:dyDescent="0.25">
      <c r="A1995" s="13">
        <v>80809229</v>
      </c>
      <c r="B1995" s="11" t="s">
        <v>83</v>
      </c>
      <c r="C1995" s="1" t="s">
        <v>286</v>
      </c>
      <c r="D1995" s="1" t="s">
        <v>47</v>
      </c>
      <c r="E1995" s="1" t="s">
        <v>19</v>
      </c>
    </row>
    <row r="1996" spans="1:5" x14ac:dyDescent="0.25">
      <c r="A1996" s="13">
        <v>80812084</v>
      </c>
      <c r="B1996" s="11" t="s">
        <v>83</v>
      </c>
      <c r="C1996" s="1" t="s">
        <v>285</v>
      </c>
      <c r="D1996" s="1" t="s">
        <v>61</v>
      </c>
      <c r="E1996" s="1" t="s">
        <v>23</v>
      </c>
    </row>
    <row r="1997" spans="1:5" x14ac:dyDescent="0.25">
      <c r="A1997" s="13">
        <v>80812413</v>
      </c>
      <c r="B1997" s="11" t="s">
        <v>116</v>
      </c>
      <c r="C1997" s="1" t="s">
        <v>284</v>
      </c>
      <c r="D1997" s="1" t="s">
        <v>117</v>
      </c>
      <c r="E1997" s="1" t="s">
        <v>6</v>
      </c>
    </row>
    <row r="1998" spans="1:5" x14ac:dyDescent="0.25">
      <c r="A1998" s="13">
        <v>80817377</v>
      </c>
      <c r="B1998" s="11" t="s">
        <v>84</v>
      </c>
      <c r="C1998" s="1" t="s">
        <v>283</v>
      </c>
      <c r="D1998" s="1" t="s">
        <v>3578</v>
      </c>
      <c r="E1998" s="1" t="s">
        <v>27</v>
      </c>
    </row>
    <row r="1999" spans="1:5" x14ac:dyDescent="0.25">
      <c r="A1999" s="13">
        <v>80819441</v>
      </c>
      <c r="B1999" s="11" t="s">
        <v>83</v>
      </c>
      <c r="C1999" s="1" t="s">
        <v>282</v>
      </c>
      <c r="D1999" s="1" t="s">
        <v>47</v>
      </c>
      <c r="E1999" s="1" t="s">
        <v>26</v>
      </c>
    </row>
    <row r="2000" spans="1:5" x14ac:dyDescent="0.25">
      <c r="A2000" s="13">
        <v>80819678</v>
      </c>
      <c r="B2000" s="11" t="s">
        <v>116</v>
      </c>
      <c r="C2000" s="1" t="s">
        <v>281</v>
      </c>
      <c r="D2000" s="1" t="s">
        <v>117</v>
      </c>
      <c r="E2000" s="1" t="s">
        <v>6</v>
      </c>
    </row>
    <row r="2001" spans="1:5" x14ac:dyDescent="0.25">
      <c r="A2001" s="13">
        <v>80820340</v>
      </c>
      <c r="B2001" s="11" t="s">
        <v>83</v>
      </c>
      <c r="C2001" s="1" t="s">
        <v>280</v>
      </c>
      <c r="D2001" s="1" t="s">
        <v>47</v>
      </c>
      <c r="E2001" s="1" t="s">
        <v>19</v>
      </c>
    </row>
    <row r="2002" spans="1:5" x14ac:dyDescent="0.25">
      <c r="A2002" s="13">
        <v>80820543</v>
      </c>
      <c r="B2002" s="11" t="s">
        <v>84</v>
      </c>
      <c r="C2002" s="1" t="s">
        <v>279</v>
      </c>
      <c r="D2002" s="1" t="s">
        <v>137</v>
      </c>
      <c r="E2002" s="1" t="s">
        <v>138</v>
      </c>
    </row>
    <row r="2003" spans="1:5" x14ac:dyDescent="0.25">
      <c r="A2003" s="13">
        <v>80820876</v>
      </c>
      <c r="B2003" s="11" t="s">
        <v>83</v>
      </c>
      <c r="C2003" s="1" t="s">
        <v>3295</v>
      </c>
      <c r="D2003" s="1" t="s">
        <v>48</v>
      </c>
      <c r="E2003" s="1" t="s">
        <v>196</v>
      </c>
    </row>
    <row r="2004" spans="1:5" x14ac:dyDescent="0.25">
      <c r="A2004" s="13">
        <v>80822482</v>
      </c>
      <c r="B2004" s="11" t="s">
        <v>83</v>
      </c>
      <c r="C2004" s="1" t="s">
        <v>277</v>
      </c>
      <c r="D2004" s="1" t="s">
        <v>278</v>
      </c>
      <c r="E2004" s="1" t="s">
        <v>24</v>
      </c>
    </row>
    <row r="2005" spans="1:5" x14ac:dyDescent="0.25">
      <c r="A2005" s="13">
        <v>80824834</v>
      </c>
      <c r="B2005" s="11" t="s">
        <v>84</v>
      </c>
      <c r="C2005" s="1" t="s">
        <v>276</v>
      </c>
      <c r="D2005" s="1" t="s">
        <v>38</v>
      </c>
      <c r="E2005" s="1" t="s">
        <v>3</v>
      </c>
    </row>
    <row r="2006" spans="1:5" x14ac:dyDescent="0.25">
      <c r="A2006" s="13">
        <v>80824930</v>
      </c>
      <c r="B2006" s="11" t="s">
        <v>116</v>
      </c>
      <c r="C2006" s="1" t="s">
        <v>275</v>
      </c>
      <c r="D2006" s="1" t="s">
        <v>117</v>
      </c>
      <c r="E2006" s="1" t="s">
        <v>6</v>
      </c>
    </row>
    <row r="2007" spans="1:5" x14ac:dyDescent="0.25">
      <c r="A2007" s="13">
        <v>80826876</v>
      </c>
      <c r="B2007" s="11" t="s">
        <v>83</v>
      </c>
      <c r="C2007" s="1" t="s">
        <v>274</v>
      </c>
      <c r="D2007" s="1" t="s">
        <v>57</v>
      </c>
      <c r="E2007" s="1" t="s">
        <v>23</v>
      </c>
    </row>
    <row r="2008" spans="1:5" x14ac:dyDescent="0.25">
      <c r="A2008" s="13">
        <v>80829988</v>
      </c>
      <c r="B2008" s="11" t="s">
        <v>84</v>
      </c>
      <c r="C2008" s="1" t="s">
        <v>273</v>
      </c>
      <c r="D2008" s="1" t="s">
        <v>38</v>
      </c>
      <c r="E2008" s="1" t="s">
        <v>5</v>
      </c>
    </row>
    <row r="2009" spans="1:5" x14ac:dyDescent="0.25">
      <c r="A2009" s="13">
        <v>80831581</v>
      </c>
      <c r="B2009" s="11" t="s">
        <v>109</v>
      </c>
      <c r="C2009" s="1" t="s">
        <v>270</v>
      </c>
      <c r="D2009" s="1" t="s">
        <v>271</v>
      </c>
      <c r="E2009" s="1" t="s">
        <v>272</v>
      </c>
    </row>
    <row r="2010" spans="1:5" x14ac:dyDescent="0.25">
      <c r="A2010" s="13">
        <v>80834020</v>
      </c>
      <c r="B2010" s="11" t="s">
        <v>83</v>
      </c>
      <c r="C2010" s="1" t="s">
        <v>268</v>
      </c>
      <c r="D2010" s="1" t="s">
        <v>269</v>
      </c>
      <c r="E2010" s="1" t="s">
        <v>16</v>
      </c>
    </row>
    <row r="2011" spans="1:5" x14ac:dyDescent="0.25">
      <c r="A2011" s="13">
        <v>80843387</v>
      </c>
      <c r="B2011" s="11" t="s">
        <v>84</v>
      </c>
      <c r="C2011" s="1" t="s">
        <v>3296</v>
      </c>
      <c r="D2011" s="1" t="s">
        <v>43</v>
      </c>
      <c r="E2011" s="1" t="s">
        <v>8</v>
      </c>
    </row>
    <row r="2012" spans="1:5" x14ac:dyDescent="0.25">
      <c r="A2012" s="13">
        <v>80845005</v>
      </c>
      <c r="B2012" s="11" t="s">
        <v>116</v>
      </c>
      <c r="C2012" s="1" t="s">
        <v>267</v>
      </c>
      <c r="D2012" s="1" t="s">
        <v>117</v>
      </c>
      <c r="E2012" s="1" t="s">
        <v>186</v>
      </c>
    </row>
    <row r="2013" spans="1:5" x14ac:dyDescent="0.25">
      <c r="A2013" s="13">
        <v>80845255</v>
      </c>
      <c r="B2013" s="11" t="s">
        <v>83</v>
      </c>
      <c r="C2013" s="1" t="s">
        <v>266</v>
      </c>
      <c r="D2013" s="1" t="s">
        <v>47</v>
      </c>
      <c r="E2013" s="1" t="s">
        <v>19</v>
      </c>
    </row>
    <row r="2014" spans="1:5" x14ac:dyDescent="0.25">
      <c r="A2014" s="13">
        <v>80845680</v>
      </c>
      <c r="B2014" s="11" t="s">
        <v>83</v>
      </c>
      <c r="C2014" s="1" t="s">
        <v>265</v>
      </c>
      <c r="D2014" s="1" t="s">
        <v>141</v>
      </c>
      <c r="E2014" s="1" t="s">
        <v>16</v>
      </c>
    </row>
    <row r="2015" spans="1:5" x14ac:dyDescent="0.25">
      <c r="A2015" s="13">
        <v>80849718</v>
      </c>
      <c r="B2015" s="11" t="s">
        <v>84</v>
      </c>
      <c r="C2015" s="1" t="s">
        <v>264</v>
      </c>
      <c r="D2015" s="1" t="s">
        <v>38</v>
      </c>
      <c r="E2015" s="1" t="s">
        <v>5</v>
      </c>
    </row>
    <row r="2016" spans="1:5" x14ac:dyDescent="0.25">
      <c r="A2016" s="13">
        <v>80851916</v>
      </c>
      <c r="B2016" s="11" t="s">
        <v>116</v>
      </c>
      <c r="C2016" s="1" t="s">
        <v>3297</v>
      </c>
      <c r="D2016" s="1" t="s">
        <v>117</v>
      </c>
      <c r="E2016" s="1" t="s">
        <v>3192</v>
      </c>
    </row>
    <row r="2017" spans="1:5" x14ac:dyDescent="0.25">
      <c r="A2017" s="13">
        <v>80854647</v>
      </c>
      <c r="B2017" s="11" t="s">
        <v>84</v>
      </c>
      <c r="C2017" s="1" t="s">
        <v>3298</v>
      </c>
      <c r="D2017" s="1" t="s">
        <v>3141</v>
      </c>
      <c r="E2017" s="1" t="s">
        <v>1</v>
      </c>
    </row>
    <row r="2018" spans="1:5" x14ac:dyDescent="0.25">
      <c r="A2018" s="13">
        <v>80856531</v>
      </c>
      <c r="B2018" s="11" t="s">
        <v>116</v>
      </c>
      <c r="C2018" s="1" t="s">
        <v>262</v>
      </c>
      <c r="D2018" s="1" t="s">
        <v>117</v>
      </c>
      <c r="E2018" s="1" t="s">
        <v>263</v>
      </c>
    </row>
    <row r="2019" spans="1:5" x14ac:dyDescent="0.25">
      <c r="A2019" s="13">
        <v>80856914</v>
      </c>
      <c r="B2019" s="11" t="s">
        <v>83</v>
      </c>
      <c r="C2019" s="1" t="s">
        <v>261</v>
      </c>
      <c r="D2019" s="1" t="s">
        <v>47</v>
      </c>
      <c r="E2019" s="1" t="s">
        <v>16</v>
      </c>
    </row>
    <row r="2020" spans="1:5" x14ac:dyDescent="0.25">
      <c r="A2020" s="13">
        <v>80857034</v>
      </c>
      <c r="B2020" s="11" t="s">
        <v>83</v>
      </c>
      <c r="C2020" s="1" t="s">
        <v>3299</v>
      </c>
      <c r="D2020" s="1" t="s">
        <v>105</v>
      </c>
      <c r="E2020" s="1" t="s">
        <v>19</v>
      </c>
    </row>
    <row r="2021" spans="1:5" x14ac:dyDescent="0.25">
      <c r="A2021" s="13">
        <v>80858791</v>
      </c>
      <c r="B2021" s="11" t="s">
        <v>84</v>
      </c>
      <c r="C2021" s="1" t="s">
        <v>260</v>
      </c>
      <c r="D2021" s="1" t="s">
        <v>38</v>
      </c>
      <c r="E2021" s="1" t="s">
        <v>3</v>
      </c>
    </row>
    <row r="2022" spans="1:5" x14ac:dyDescent="0.25">
      <c r="A2022" s="13">
        <v>80859837</v>
      </c>
      <c r="B2022" s="11" t="s">
        <v>116</v>
      </c>
      <c r="C2022" s="1" t="s">
        <v>259</v>
      </c>
      <c r="D2022" s="1" t="s">
        <v>117</v>
      </c>
      <c r="E2022" s="1" t="s">
        <v>12</v>
      </c>
    </row>
    <row r="2023" spans="1:5" x14ac:dyDescent="0.25">
      <c r="A2023" s="13">
        <v>80865137</v>
      </c>
      <c r="B2023" s="11" t="s">
        <v>84</v>
      </c>
      <c r="C2023" s="1" t="s">
        <v>3300</v>
      </c>
      <c r="D2023" s="1" t="s">
        <v>38</v>
      </c>
      <c r="E2023" s="1" t="s">
        <v>5</v>
      </c>
    </row>
    <row r="2024" spans="1:5" x14ac:dyDescent="0.25">
      <c r="A2024" s="13">
        <v>80865155</v>
      </c>
      <c r="B2024" s="11" t="s">
        <v>83</v>
      </c>
      <c r="C2024" s="1" t="s">
        <v>258</v>
      </c>
      <c r="D2024" s="1" t="s">
        <v>57</v>
      </c>
      <c r="E2024" s="1" t="s">
        <v>23</v>
      </c>
    </row>
    <row r="2025" spans="1:5" x14ac:dyDescent="0.25">
      <c r="A2025" s="13">
        <v>80865751</v>
      </c>
      <c r="B2025" s="11" t="s">
        <v>83</v>
      </c>
      <c r="C2025" s="1" t="s">
        <v>257</v>
      </c>
      <c r="D2025" s="1" t="s">
        <v>60</v>
      </c>
      <c r="E2025" s="1" t="s">
        <v>23</v>
      </c>
    </row>
    <row r="2026" spans="1:5" x14ac:dyDescent="0.25">
      <c r="A2026" s="13">
        <v>80870944</v>
      </c>
      <c r="B2026" s="11" t="s">
        <v>83</v>
      </c>
      <c r="C2026" s="1" t="s">
        <v>256</v>
      </c>
      <c r="D2026" s="1" t="s">
        <v>47</v>
      </c>
      <c r="E2026" s="1" t="s">
        <v>16</v>
      </c>
    </row>
    <row r="2027" spans="1:5" x14ac:dyDescent="0.25">
      <c r="A2027" s="13">
        <v>80872972</v>
      </c>
      <c r="B2027" s="11" t="s">
        <v>116</v>
      </c>
      <c r="C2027" s="1" t="s">
        <v>255</v>
      </c>
      <c r="D2027" s="1" t="s">
        <v>117</v>
      </c>
      <c r="E2027" s="1" t="s">
        <v>8</v>
      </c>
    </row>
    <row r="2028" spans="1:5" x14ac:dyDescent="0.25">
      <c r="A2028" s="13">
        <v>80873555</v>
      </c>
      <c r="B2028" s="11" t="s">
        <v>116</v>
      </c>
      <c r="C2028" s="1" t="s">
        <v>254</v>
      </c>
      <c r="D2028" s="1" t="s">
        <v>117</v>
      </c>
      <c r="E2028" s="1" t="s">
        <v>10</v>
      </c>
    </row>
    <row r="2029" spans="1:5" x14ac:dyDescent="0.25">
      <c r="A2029" s="13">
        <v>80875429</v>
      </c>
      <c r="B2029" s="11" t="s">
        <v>116</v>
      </c>
      <c r="C2029" s="1" t="s">
        <v>253</v>
      </c>
      <c r="D2029" s="1" t="s">
        <v>117</v>
      </c>
      <c r="E2029" s="1" t="s">
        <v>86</v>
      </c>
    </row>
    <row r="2030" spans="1:5" x14ac:dyDescent="0.25">
      <c r="A2030" s="13">
        <v>80893992</v>
      </c>
      <c r="B2030" s="11" t="s">
        <v>116</v>
      </c>
      <c r="C2030" s="1" t="s">
        <v>252</v>
      </c>
      <c r="D2030" s="1" t="s">
        <v>117</v>
      </c>
      <c r="E2030" s="1" t="s">
        <v>11</v>
      </c>
    </row>
    <row r="2031" spans="1:5" x14ac:dyDescent="0.25">
      <c r="A2031" s="13">
        <v>80901903</v>
      </c>
      <c r="B2031" s="11" t="s">
        <v>116</v>
      </c>
      <c r="C2031" s="1" t="s">
        <v>251</v>
      </c>
      <c r="D2031" s="1" t="s">
        <v>117</v>
      </c>
      <c r="E2031" s="1" t="s">
        <v>147</v>
      </c>
    </row>
    <row r="2032" spans="1:5" x14ac:dyDescent="0.25">
      <c r="A2032" s="13">
        <v>80903484</v>
      </c>
      <c r="B2032" s="11" t="s">
        <v>84</v>
      </c>
      <c r="C2032" s="1" t="s">
        <v>3301</v>
      </c>
      <c r="D2032" s="1" t="s">
        <v>43</v>
      </c>
      <c r="E2032" s="1" t="s">
        <v>15</v>
      </c>
    </row>
    <row r="2033" spans="1:5" x14ac:dyDescent="0.25">
      <c r="A2033" s="13">
        <v>80904123</v>
      </c>
      <c r="B2033" s="11" t="s">
        <v>83</v>
      </c>
      <c r="C2033" s="1" t="s">
        <v>250</v>
      </c>
      <c r="D2033" s="1" t="s">
        <v>47</v>
      </c>
      <c r="E2033" s="1" t="s">
        <v>16</v>
      </c>
    </row>
    <row r="2034" spans="1:5" x14ac:dyDescent="0.25">
      <c r="A2034" s="13">
        <v>80913675</v>
      </c>
      <c r="B2034" s="11" t="s">
        <v>84</v>
      </c>
      <c r="C2034" s="1" t="s">
        <v>249</v>
      </c>
      <c r="D2034" s="1" t="s">
        <v>38</v>
      </c>
      <c r="E2034" s="1" t="s">
        <v>10</v>
      </c>
    </row>
    <row r="2035" spans="1:5" x14ac:dyDescent="0.25">
      <c r="A2035" s="13">
        <v>80920741</v>
      </c>
      <c r="B2035" s="11" t="s">
        <v>83</v>
      </c>
      <c r="C2035" s="1" t="s">
        <v>247</v>
      </c>
      <c r="D2035" s="1" t="s">
        <v>100</v>
      </c>
      <c r="E2035" s="1" t="s">
        <v>248</v>
      </c>
    </row>
    <row r="2036" spans="1:5" x14ac:dyDescent="0.25">
      <c r="A2036" s="13">
        <v>80927972</v>
      </c>
      <c r="B2036" s="11" t="s">
        <v>83</v>
      </c>
      <c r="C2036" s="1" t="s">
        <v>245</v>
      </c>
      <c r="D2036" s="1" t="s">
        <v>246</v>
      </c>
      <c r="E2036" s="1" t="s">
        <v>19</v>
      </c>
    </row>
    <row r="2037" spans="1:5" x14ac:dyDescent="0.25">
      <c r="A2037" s="13">
        <v>80928254</v>
      </c>
      <c r="B2037" s="11" t="s">
        <v>84</v>
      </c>
      <c r="C2037" s="1" t="s">
        <v>244</v>
      </c>
      <c r="D2037" s="1" t="s">
        <v>38</v>
      </c>
      <c r="E2037" s="1" t="s">
        <v>11</v>
      </c>
    </row>
    <row r="2038" spans="1:5" x14ac:dyDescent="0.25">
      <c r="A2038" s="13">
        <v>80931741</v>
      </c>
      <c r="B2038" s="11" t="s">
        <v>84</v>
      </c>
      <c r="C2038" s="1" t="s">
        <v>3579</v>
      </c>
      <c r="D2038" s="1" t="s">
        <v>38</v>
      </c>
      <c r="E2038" s="1" t="s">
        <v>3580</v>
      </c>
    </row>
    <row r="2039" spans="1:5" x14ac:dyDescent="0.25">
      <c r="A2039" s="13">
        <v>80932179</v>
      </c>
      <c r="B2039" s="11" t="s">
        <v>116</v>
      </c>
      <c r="C2039" s="1" t="s">
        <v>3581</v>
      </c>
      <c r="D2039" s="1" t="s">
        <v>117</v>
      </c>
      <c r="E2039" s="1" t="s">
        <v>3118</v>
      </c>
    </row>
    <row r="2040" spans="1:5" x14ac:dyDescent="0.25">
      <c r="A2040" s="13">
        <v>80933038</v>
      </c>
      <c r="B2040" s="11" t="s">
        <v>84</v>
      </c>
      <c r="C2040" s="1" t="s">
        <v>3302</v>
      </c>
      <c r="D2040" s="1" t="s">
        <v>38</v>
      </c>
      <c r="E2040" s="1" t="s">
        <v>3229</v>
      </c>
    </row>
    <row r="2041" spans="1:5" x14ac:dyDescent="0.25">
      <c r="A2041" s="13">
        <v>81715575</v>
      </c>
      <c r="B2041" s="11" t="s">
        <v>83</v>
      </c>
      <c r="C2041" s="1" t="s">
        <v>240</v>
      </c>
      <c r="D2041" s="1" t="s">
        <v>241</v>
      </c>
      <c r="E2041" s="1" t="s">
        <v>242</v>
      </c>
    </row>
    <row r="2042" spans="1:5" x14ac:dyDescent="0.25">
      <c r="A2042" s="13">
        <v>81720980</v>
      </c>
      <c r="B2042" s="11" t="s">
        <v>83</v>
      </c>
      <c r="C2042" s="1" t="s">
        <v>3067</v>
      </c>
      <c r="D2042" s="1" t="s">
        <v>102</v>
      </c>
      <c r="E2042" s="1" t="s">
        <v>19</v>
      </c>
    </row>
    <row r="2043" spans="1:5" x14ac:dyDescent="0.25">
      <c r="A2043" s="13">
        <v>82330729</v>
      </c>
      <c r="B2043" s="11" t="s">
        <v>83</v>
      </c>
      <c r="C2043" s="1" t="s">
        <v>239</v>
      </c>
      <c r="D2043" s="1" t="s">
        <v>57</v>
      </c>
      <c r="E2043" s="1" t="s">
        <v>23</v>
      </c>
    </row>
    <row r="2044" spans="1:5" x14ac:dyDescent="0.25">
      <c r="A2044" s="13">
        <v>84105147</v>
      </c>
      <c r="B2044" s="11" t="s">
        <v>116</v>
      </c>
      <c r="C2044" s="1" t="s">
        <v>234</v>
      </c>
      <c r="D2044" s="1" t="s">
        <v>117</v>
      </c>
      <c r="E2044" s="1" t="s">
        <v>232</v>
      </c>
    </row>
    <row r="2045" spans="1:5" x14ac:dyDescent="0.25">
      <c r="A2045" s="13">
        <v>84451644</v>
      </c>
      <c r="B2045" s="11" t="s">
        <v>109</v>
      </c>
      <c r="C2045" s="1" t="s">
        <v>233</v>
      </c>
      <c r="D2045" s="1" t="s">
        <v>131</v>
      </c>
      <c r="E2045" s="1" t="s">
        <v>131</v>
      </c>
    </row>
    <row r="2046" spans="1:5" x14ac:dyDescent="0.25">
      <c r="A2046" s="13">
        <v>85372965</v>
      </c>
      <c r="B2046" s="11" t="s">
        <v>116</v>
      </c>
      <c r="C2046" s="1" t="s">
        <v>231</v>
      </c>
      <c r="D2046" s="1" t="s">
        <v>117</v>
      </c>
      <c r="E2046" s="1" t="s">
        <v>232</v>
      </c>
    </row>
    <row r="2047" spans="1:5" x14ac:dyDescent="0.25">
      <c r="A2047" s="13">
        <v>85435633</v>
      </c>
      <c r="B2047" s="11" t="s">
        <v>116</v>
      </c>
      <c r="C2047" s="1" t="s">
        <v>230</v>
      </c>
      <c r="D2047" s="1" t="s">
        <v>117</v>
      </c>
      <c r="E2047" s="1" t="s">
        <v>3</v>
      </c>
    </row>
    <row r="2048" spans="1:5" x14ac:dyDescent="0.25">
      <c r="A2048" s="13">
        <v>85437910</v>
      </c>
      <c r="B2048" s="11" t="s">
        <v>84</v>
      </c>
      <c r="C2048" s="1" t="s">
        <v>229</v>
      </c>
      <c r="D2048" s="1" t="s">
        <v>38</v>
      </c>
      <c r="E2048" s="1" t="s">
        <v>127</v>
      </c>
    </row>
    <row r="2049" spans="1:5" x14ac:dyDescent="0.25">
      <c r="A2049" s="13">
        <v>85446042</v>
      </c>
      <c r="B2049" s="11" t="s">
        <v>116</v>
      </c>
      <c r="C2049" s="1" t="s">
        <v>228</v>
      </c>
      <c r="D2049" s="1" t="s">
        <v>117</v>
      </c>
      <c r="E2049" s="1" t="s">
        <v>205</v>
      </c>
    </row>
    <row r="2050" spans="1:5" x14ac:dyDescent="0.25">
      <c r="A2050" s="13">
        <v>85452405</v>
      </c>
      <c r="B2050" s="11" t="s">
        <v>116</v>
      </c>
      <c r="C2050" s="1" t="s">
        <v>3303</v>
      </c>
      <c r="D2050" s="1" t="s">
        <v>117</v>
      </c>
      <c r="E2050" s="1" t="s">
        <v>3192</v>
      </c>
    </row>
    <row r="2051" spans="1:5" x14ac:dyDescent="0.25">
      <c r="A2051" s="13">
        <v>85465574</v>
      </c>
      <c r="B2051" s="11" t="s">
        <v>116</v>
      </c>
      <c r="C2051" s="1" t="s">
        <v>227</v>
      </c>
      <c r="D2051" s="1" t="s">
        <v>117</v>
      </c>
      <c r="E2051" s="1" t="s">
        <v>85</v>
      </c>
    </row>
    <row r="2052" spans="1:5" x14ac:dyDescent="0.25">
      <c r="A2052" s="13">
        <v>85470105</v>
      </c>
      <c r="B2052" s="11" t="s">
        <v>84</v>
      </c>
      <c r="C2052" s="1" t="s">
        <v>226</v>
      </c>
      <c r="D2052" s="1" t="s">
        <v>38</v>
      </c>
      <c r="E2052" s="1" t="s">
        <v>3</v>
      </c>
    </row>
    <row r="2053" spans="1:5" x14ac:dyDescent="0.25">
      <c r="A2053" s="13">
        <v>85486264</v>
      </c>
      <c r="B2053" s="11" t="s">
        <v>83</v>
      </c>
      <c r="C2053" s="1" t="s">
        <v>224</v>
      </c>
      <c r="D2053" s="1" t="s">
        <v>225</v>
      </c>
      <c r="E2053" s="1" t="s">
        <v>23</v>
      </c>
    </row>
    <row r="2054" spans="1:5" x14ac:dyDescent="0.25">
      <c r="A2054" s="13">
        <v>86036265</v>
      </c>
      <c r="B2054" s="11" t="s">
        <v>116</v>
      </c>
      <c r="C2054" s="1" t="s">
        <v>223</v>
      </c>
      <c r="D2054" s="1" t="s">
        <v>117</v>
      </c>
      <c r="E2054" s="1" t="s">
        <v>8</v>
      </c>
    </row>
    <row r="2055" spans="1:5" x14ac:dyDescent="0.25">
      <c r="A2055" s="13">
        <v>86045558</v>
      </c>
      <c r="B2055" s="11" t="s">
        <v>109</v>
      </c>
      <c r="C2055" s="1" t="s">
        <v>222</v>
      </c>
      <c r="D2055" s="1" t="s">
        <v>131</v>
      </c>
      <c r="E2055" s="1" t="s">
        <v>131</v>
      </c>
    </row>
    <row r="2056" spans="1:5" x14ac:dyDescent="0.25">
      <c r="A2056" s="13">
        <v>86045586</v>
      </c>
      <c r="B2056" s="11" t="s">
        <v>116</v>
      </c>
      <c r="C2056" s="1" t="s">
        <v>3147</v>
      </c>
      <c r="D2056" s="1" t="s">
        <v>117</v>
      </c>
      <c r="E2056" s="1" t="s">
        <v>119</v>
      </c>
    </row>
    <row r="2057" spans="1:5" x14ac:dyDescent="0.25">
      <c r="A2057" s="13">
        <v>86061000</v>
      </c>
      <c r="B2057" s="11" t="s">
        <v>116</v>
      </c>
      <c r="C2057" s="1" t="s">
        <v>221</v>
      </c>
      <c r="D2057" s="1" t="s">
        <v>117</v>
      </c>
      <c r="E2057" s="1" t="s">
        <v>7</v>
      </c>
    </row>
    <row r="2058" spans="1:5" x14ac:dyDescent="0.25">
      <c r="A2058" s="13">
        <v>86081812</v>
      </c>
      <c r="B2058" s="11" t="s">
        <v>84</v>
      </c>
      <c r="C2058" s="1" t="s">
        <v>220</v>
      </c>
      <c r="D2058" s="1" t="s">
        <v>38</v>
      </c>
      <c r="E2058" s="1" t="s">
        <v>15</v>
      </c>
    </row>
    <row r="2059" spans="1:5" x14ac:dyDescent="0.25">
      <c r="A2059" s="13">
        <v>86082026</v>
      </c>
      <c r="B2059" s="11" t="s">
        <v>116</v>
      </c>
      <c r="C2059" s="1" t="s">
        <v>219</v>
      </c>
      <c r="D2059" s="1" t="s">
        <v>117</v>
      </c>
      <c r="E2059" s="1" t="s">
        <v>2</v>
      </c>
    </row>
    <row r="2060" spans="1:5" x14ac:dyDescent="0.25">
      <c r="A2060" s="13">
        <v>87067701</v>
      </c>
      <c r="B2060" s="11" t="s">
        <v>83</v>
      </c>
      <c r="C2060" s="1" t="s">
        <v>216</v>
      </c>
      <c r="D2060" s="1" t="s">
        <v>217</v>
      </c>
      <c r="E2060" s="1" t="s">
        <v>19</v>
      </c>
    </row>
    <row r="2061" spans="1:5" x14ac:dyDescent="0.25">
      <c r="A2061" s="13">
        <v>87245403</v>
      </c>
      <c r="B2061" s="11" t="s">
        <v>116</v>
      </c>
      <c r="C2061" s="1" t="s">
        <v>213</v>
      </c>
      <c r="D2061" s="1" t="s">
        <v>117</v>
      </c>
      <c r="E2061" s="1" t="s">
        <v>9</v>
      </c>
    </row>
    <row r="2062" spans="1:5" x14ac:dyDescent="0.25">
      <c r="A2062" s="13">
        <v>88157637</v>
      </c>
      <c r="B2062" s="11" t="s">
        <v>116</v>
      </c>
      <c r="C2062" s="1" t="s">
        <v>211</v>
      </c>
      <c r="D2062" s="1" t="s">
        <v>117</v>
      </c>
      <c r="E2062" s="1" t="s">
        <v>120</v>
      </c>
    </row>
    <row r="2063" spans="1:5" x14ac:dyDescent="0.25">
      <c r="A2063" s="13">
        <v>88195474</v>
      </c>
      <c r="B2063" s="11" t="s">
        <v>84</v>
      </c>
      <c r="C2063" s="1" t="s">
        <v>3114</v>
      </c>
      <c r="D2063" s="1" t="s">
        <v>3582</v>
      </c>
      <c r="E2063" s="1" t="s">
        <v>27</v>
      </c>
    </row>
    <row r="2064" spans="1:5" x14ac:dyDescent="0.25">
      <c r="A2064" s="13">
        <v>88197450</v>
      </c>
      <c r="B2064" s="11" t="s">
        <v>84</v>
      </c>
      <c r="C2064" s="1" t="s">
        <v>3304</v>
      </c>
      <c r="D2064" s="1" t="s">
        <v>38</v>
      </c>
      <c r="E2064" s="1" t="s">
        <v>170</v>
      </c>
    </row>
    <row r="2065" spans="1:5" x14ac:dyDescent="0.25">
      <c r="A2065" s="13">
        <v>88204238</v>
      </c>
      <c r="B2065" s="11" t="s">
        <v>116</v>
      </c>
      <c r="C2065" s="1" t="s">
        <v>209</v>
      </c>
      <c r="D2065" s="1" t="s">
        <v>117</v>
      </c>
      <c r="E2065" s="1" t="s">
        <v>210</v>
      </c>
    </row>
    <row r="2066" spans="1:5" x14ac:dyDescent="0.25">
      <c r="A2066" s="13">
        <v>88222916</v>
      </c>
      <c r="B2066" s="11" t="s">
        <v>116</v>
      </c>
      <c r="C2066" s="1" t="s">
        <v>208</v>
      </c>
      <c r="D2066" s="1" t="s">
        <v>117</v>
      </c>
      <c r="E2066" s="1" t="s">
        <v>10</v>
      </c>
    </row>
    <row r="2067" spans="1:5" x14ac:dyDescent="0.25">
      <c r="A2067" s="13">
        <v>88228764</v>
      </c>
      <c r="B2067" s="11" t="s">
        <v>116</v>
      </c>
      <c r="C2067" s="1" t="s">
        <v>207</v>
      </c>
      <c r="D2067" s="1" t="s">
        <v>117</v>
      </c>
      <c r="E2067" s="1" t="s">
        <v>8</v>
      </c>
    </row>
    <row r="2068" spans="1:5" x14ac:dyDescent="0.25">
      <c r="A2068" s="13">
        <v>88232774</v>
      </c>
      <c r="B2068" s="11" t="s">
        <v>116</v>
      </c>
      <c r="C2068" s="1" t="s">
        <v>206</v>
      </c>
      <c r="D2068" s="1" t="s">
        <v>117</v>
      </c>
      <c r="E2068" s="1" t="s">
        <v>179</v>
      </c>
    </row>
    <row r="2069" spans="1:5" x14ac:dyDescent="0.25">
      <c r="A2069" s="13">
        <v>88234299</v>
      </c>
      <c r="B2069" s="11" t="s">
        <v>84</v>
      </c>
      <c r="C2069" s="1" t="s">
        <v>204</v>
      </c>
      <c r="D2069" s="1" t="s">
        <v>172</v>
      </c>
      <c r="E2069" s="1" t="s">
        <v>205</v>
      </c>
    </row>
    <row r="2070" spans="1:5" x14ac:dyDescent="0.25">
      <c r="A2070" s="13">
        <v>88236126</v>
      </c>
      <c r="B2070" s="11" t="s">
        <v>84</v>
      </c>
      <c r="C2070" s="1" t="s">
        <v>202</v>
      </c>
      <c r="D2070" s="1" t="s">
        <v>203</v>
      </c>
      <c r="E2070" s="1" t="s">
        <v>179</v>
      </c>
    </row>
    <row r="2071" spans="1:5" x14ac:dyDescent="0.25">
      <c r="A2071" s="13">
        <v>88256484</v>
      </c>
      <c r="B2071" s="11" t="s">
        <v>84</v>
      </c>
      <c r="C2071" s="1" t="s">
        <v>201</v>
      </c>
      <c r="D2071" s="1" t="s">
        <v>37</v>
      </c>
      <c r="E2071" s="1" t="s">
        <v>27</v>
      </c>
    </row>
    <row r="2072" spans="1:5" x14ac:dyDescent="0.25">
      <c r="A2072" s="13">
        <v>91177568</v>
      </c>
      <c r="B2072" s="11" t="s">
        <v>83</v>
      </c>
      <c r="C2072" s="1" t="s">
        <v>198</v>
      </c>
      <c r="D2072" s="1" t="s">
        <v>199</v>
      </c>
      <c r="E2072" s="1" t="s">
        <v>21</v>
      </c>
    </row>
    <row r="2073" spans="1:5" x14ac:dyDescent="0.25">
      <c r="A2073" s="13">
        <v>91263569</v>
      </c>
      <c r="B2073" s="11" t="s">
        <v>109</v>
      </c>
      <c r="C2073" s="1" t="s">
        <v>197</v>
      </c>
      <c r="D2073" s="1" t="s">
        <v>131</v>
      </c>
      <c r="E2073" s="1" t="s">
        <v>131</v>
      </c>
    </row>
    <row r="2074" spans="1:5" x14ac:dyDescent="0.25">
      <c r="A2074" s="13">
        <v>91268418</v>
      </c>
      <c r="B2074" s="11" t="s">
        <v>83</v>
      </c>
      <c r="C2074" s="1" t="s">
        <v>194</v>
      </c>
      <c r="D2074" s="1" t="s">
        <v>195</v>
      </c>
      <c r="E2074" s="1" t="s">
        <v>196</v>
      </c>
    </row>
    <row r="2075" spans="1:5" x14ac:dyDescent="0.25">
      <c r="A2075" s="13">
        <v>91283826</v>
      </c>
      <c r="B2075" s="11" t="s">
        <v>84</v>
      </c>
      <c r="C2075" s="1" t="s">
        <v>192</v>
      </c>
      <c r="D2075" s="1" t="s">
        <v>38</v>
      </c>
      <c r="E2075" s="1" t="s">
        <v>3121</v>
      </c>
    </row>
    <row r="2076" spans="1:5" x14ac:dyDescent="0.25">
      <c r="A2076" s="13">
        <v>91295963</v>
      </c>
      <c r="B2076" s="11" t="s">
        <v>84</v>
      </c>
      <c r="C2076" s="1" t="s">
        <v>191</v>
      </c>
      <c r="D2076" s="1" t="s">
        <v>43</v>
      </c>
      <c r="E2076" s="1" t="s">
        <v>8</v>
      </c>
    </row>
    <row r="2077" spans="1:5" x14ac:dyDescent="0.25">
      <c r="A2077" s="13">
        <v>91296233</v>
      </c>
      <c r="B2077" s="11" t="s">
        <v>116</v>
      </c>
      <c r="C2077" s="1" t="s">
        <v>190</v>
      </c>
      <c r="D2077" s="1" t="s">
        <v>117</v>
      </c>
      <c r="E2077" s="1" t="s">
        <v>119</v>
      </c>
    </row>
    <row r="2078" spans="1:5" x14ac:dyDescent="0.25">
      <c r="A2078" s="13">
        <v>91298384</v>
      </c>
      <c r="B2078" s="11" t="s">
        <v>116</v>
      </c>
      <c r="C2078" s="1" t="s">
        <v>189</v>
      </c>
      <c r="D2078" s="1" t="s">
        <v>117</v>
      </c>
      <c r="E2078" s="1" t="s">
        <v>179</v>
      </c>
    </row>
    <row r="2079" spans="1:5" x14ac:dyDescent="0.25">
      <c r="A2079" s="13">
        <v>91300006</v>
      </c>
      <c r="B2079" s="11" t="s">
        <v>83</v>
      </c>
      <c r="C2079" s="1" t="s">
        <v>188</v>
      </c>
      <c r="D2079" s="1" t="s">
        <v>61</v>
      </c>
      <c r="E2079" s="1" t="s">
        <v>23</v>
      </c>
    </row>
    <row r="2080" spans="1:5" x14ac:dyDescent="0.25">
      <c r="A2080" s="13">
        <v>91481083</v>
      </c>
      <c r="B2080" s="11" t="s">
        <v>116</v>
      </c>
      <c r="C2080" s="1" t="s">
        <v>187</v>
      </c>
      <c r="D2080" s="1" t="s">
        <v>117</v>
      </c>
      <c r="E2080" s="1" t="s">
        <v>10</v>
      </c>
    </row>
    <row r="2081" spans="1:5" x14ac:dyDescent="0.25">
      <c r="A2081" s="13">
        <v>91485755</v>
      </c>
      <c r="B2081" s="11" t="s">
        <v>84</v>
      </c>
      <c r="C2081" s="1" t="s">
        <v>184</v>
      </c>
      <c r="D2081" s="1" t="s">
        <v>185</v>
      </c>
      <c r="E2081" s="1" t="s">
        <v>186</v>
      </c>
    </row>
    <row r="2082" spans="1:5" x14ac:dyDescent="0.25">
      <c r="A2082" s="13">
        <v>91488711</v>
      </c>
      <c r="B2082" s="11" t="s">
        <v>116</v>
      </c>
      <c r="C2082" s="1" t="s">
        <v>183</v>
      </c>
      <c r="D2082" s="1" t="s">
        <v>117</v>
      </c>
      <c r="E2082" s="1" t="s">
        <v>8</v>
      </c>
    </row>
    <row r="2083" spans="1:5" x14ac:dyDescent="0.25">
      <c r="A2083" s="13">
        <v>91512459</v>
      </c>
      <c r="B2083" s="11" t="s">
        <v>84</v>
      </c>
      <c r="C2083" s="1" t="s">
        <v>3000</v>
      </c>
      <c r="D2083" s="1" t="s">
        <v>43</v>
      </c>
      <c r="E2083" s="1" t="s">
        <v>13</v>
      </c>
    </row>
    <row r="2084" spans="1:5" x14ac:dyDescent="0.25">
      <c r="A2084" s="13">
        <v>91535832</v>
      </c>
      <c r="B2084" s="11" t="s">
        <v>84</v>
      </c>
      <c r="C2084" s="1" t="s">
        <v>3305</v>
      </c>
      <c r="D2084" s="1" t="s">
        <v>38</v>
      </c>
      <c r="E2084" s="1" t="s">
        <v>3211</v>
      </c>
    </row>
    <row r="2085" spans="1:5" x14ac:dyDescent="0.25">
      <c r="A2085" s="13">
        <v>91538407</v>
      </c>
      <c r="B2085" s="11" t="s">
        <v>84</v>
      </c>
      <c r="C2085" s="1" t="s">
        <v>182</v>
      </c>
      <c r="D2085" s="1" t="s">
        <v>38</v>
      </c>
      <c r="E2085" s="1" t="s">
        <v>170</v>
      </c>
    </row>
    <row r="2086" spans="1:5" x14ac:dyDescent="0.25">
      <c r="A2086" s="13">
        <v>91540028</v>
      </c>
      <c r="B2086" s="11" t="s">
        <v>83</v>
      </c>
      <c r="C2086" s="1" t="s">
        <v>181</v>
      </c>
      <c r="D2086" s="1" t="s">
        <v>57</v>
      </c>
      <c r="E2086" s="1" t="s">
        <v>23</v>
      </c>
    </row>
    <row r="2087" spans="1:5" x14ac:dyDescent="0.25">
      <c r="A2087" s="13">
        <v>91541163</v>
      </c>
      <c r="B2087" s="11" t="s">
        <v>84</v>
      </c>
      <c r="C2087" s="1" t="s">
        <v>180</v>
      </c>
      <c r="D2087" s="1" t="s">
        <v>38</v>
      </c>
      <c r="E2087" s="1" t="s">
        <v>7</v>
      </c>
    </row>
    <row r="2088" spans="1:5" x14ac:dyDescent="0.25">
      <c r="A2088" s="13">
        <v>92185430</v>
      </c>
      <c r="B2088" s="11" t="s">
        <v>84</v>
      </c>
      <c r="C2088" s="1" t="s">
        <v>176</v>
      </c>
      <c r="D2088" s="1" t="s">
        <v>38</v>
      </c>
      <c r="E2088" s="1" t="s">
        <v>3</v>
      </c>
    </row>
    <row r="2089" spans="1:5" x14ac:dyDescent="0.25">
      <c r="A2089" s="13">
        <v>92502289</v>
      </c>
      <c r="B2089" s="11" t="s">
        <v>116</v>
      </c>
      <c r="C2089" s="1" t="s">
        <v>175</v>
      </c>
      <c r="D2089" s="1" t="s">
        <v>117</v>
      </c>
      <c r="E2089" s="1" t="s">
        <v>12</v>
      </c>
    </row>
    <row r="2090" spans="1:5" x14ac:dyDescent="0.25">
      <c r="A2090" s="13">
        <v>92556798</v>
      </c>
      <c r="B2090" s="11" t="s">
        <v>84</v>
      </c>
      <c r="C2090" s="1" t="s">
        <v>3306</v>
      </c>
      <c r="D2090" s="1" t="s">
        <v>38</v>
      </c>
      <c r="E2090" s="1" t="s">
        <v>3211</v>
      </c>
    </row>
    <row r="2091" spans="1:5" x14ac:dyDescent="0.25">
      <c r="A2091" s="13">
        <v>92559000</v>
      </c>
      <c r="B2091" s="11" t="s">
        <v>116</v>
      </c>
      <c r="C2091" s="1" t="s">
        <v>3307</v>
      </c>
      <c r="D2091" s="1" t="s">
        <v>117</v>
      </c>
      <c r="E2091" s="1" t="s">
        <v>3192</v>
      </c>
    </row>
    <row r="2092" spans="1:5" x14ac:dyDescent="0.25">
      <c r="A2092" s="13">
        <v>93061191</v>
      </c>
      <c r="B2092" s="11" t="s">
        <v>84</v>
      </c>
      <c r="C2092" s="1" t="s">
        <v>171</v>
      </c>
      <c r="D2092" s="1" t="s">
        <v>172</v>
      </c>
      <c r="E2092" s="1" t="s">
        <v>173</v>
      </c>
    </row>
    <row r="2093" spans="1:5" x14ac:dyDescent="0.25">
      <c r="A2093" s="13">
        <v>93288181</v>
      </c>
      <c r="B2093" s="11" t="s">
        <v>84</v>
      </c>
      <c r="C2093" s="1" t="s">
        <v>169</v>
      </c>
      <c r="D2093" s="1" t="s">
        <v>38</v>
      </c>
      <c r="E2093" s="1" t="s">
        <v>170</v>
      </c>
    </row>
    <row r="2094" spans="1:5" x14ac:dyDescent="0.25">
      <c r="A2094" s="13">
        <v>93294799</v>
      </c>
      <c r="B2094" s="11" t="s">
        <v>84</v>
      </c>
      <c r="C2094" s="1" t="s">
        <v>167</v>
      </c>
      <c r="D2094" s="1" t="s">
        <v>43</v>
      </c>
      <c r="E2094" s="1" t="s">
        <v>168</v>
      </c>
    </row>
    <row r="2095" spans="1:5" x14ac:dyDescent="0.25">
      <c r="A2095" s="13">
        <v>93344698</v>
      </c>
      <c r="B2095" s="11" t="s">
        <v>84</v>
      </c>
      <c r="C2095" s="1" t="s">
        <v>166</v>
      </c>
      <c r="D2095" s="1" t="s">
        <v>43</v>
      </c>
      <c r="E2095" s="1" t="s">
        <v>134</v>
      </c>
    </row>
    <row r="2096" spans="1:5" x14ac:dyDescent="0.25">
      <c r="A2096" s="13">
        <v>93361631</v>
      </c>
      <c r="B2096" s="11" t="s">
        <v>109</v>
      </c>
      <c r="C2096" s="1" t="s">
        <v>165</v>
      </c>
      <c r="D2096" s="1" t="s">
        <v>131</v>
      </c>
      <c r="E2096" s="1" t="s">
        <v>131</v>
      </c>
    </row>
    <row r="2097" spans="1:5" x14ac:dyDescent="0.25">
      <c r="A2097" s="13">
        <v>93368471</v>
      </c>
      <c r="B2097" s="11" t="s">
        <v>116</v>
      </c>
      <c r="C2097" s="1" t="s">
        <v>164</v>
      </c>
      <c r="D2097" s="1" t="s">
        <v>117</v>
      </c>
      <c r="E2097" s="1" t="s">
        <v>6</v>
      </c>
    </row>
    <row r="2098" spans="1:5" x14ac:dyDescent="0.25">
      <c r="A2098" s="13">
        <v>93375324</v>
      </c>
      <c r="B2098" s="11" t="s">
        <v>116</v>
      </c>
      <c r="C2098" s="1" t="s">
        <v>163</v>
      </c>
      <c r="D2098" s="1" t="s">
        <v>117</v>
      </c>
      <c r="E2098" s="1" t="s">
        <v>118</v>
      </c>
    </row>
    <row r="2099" spans="1:5" x14ac:dyDescent="0.25">
      <c r="A2099" s="13">
        <v>93391188</v>
      </c>
      <c r="B2099" s="11" t="s">
        <v>109</v>
      </c>
      <c r="C2099" s="1" t="s">
        <v>162</v>
      </c>
      <c r="D2099" s="1" t="s">
        <v>131</v>
      </c>
      <c r="E2099" s="1" t="s">
        <v>131</v>
      </c>
    </row>
    <row r="2100" spans="1:5" x14ac:dyDescent="0.25">
      <c r="A2100" s="13">
        <v>93398983</v>
      </c>
      <c r="B2100" s="11" t="s">
        <v>84</v>
      </c>
      <c r="C2100" s="1" t="s">
        <v>3026</v>
      </c>
      <c r="D2100" s="1" t="s">
        <v>38</v>
      </c>
      <c r="E2100" s="1" t="s">
        <v>168</v>
      </c>
    </row>
    <row r="2101" spans="1:5" x14ac:dyDescent="0.25">
      <c r="A2101" s="13">
        <v>93400499</v>
      </c>
      <c r="B2101" s="11" t="s">
        <v>116</v>
      </c>
      <c r="C2101" s="1" t="s">
        <v>161</v>
      </c>
      <c r="D2101" s="1" t="s">
        <v>117</v>
      </c>
      <c r="E2101" s="1" t="s">
        <v>10</v>
      </c>
    </row>
    <row r="2102" spans="1:5" x14ac:dyDescent="0.25">
      <c r="A2102" s="13">
        <v>93413614</v>
      </c>
      <c r="B2102" s="11" t="s">
        <v>83</v>
      </c>
      <c r="C2102" s="1" t="s">
        <v>160</v>
      </c>
      <c r="D2102" s="1" t="s">
        <v>58</v>
      </c>
      <c r="E2102" s="1" t="s">
        <v>23</v>
      </c>
    </row>
    <row r="2103" spans="1:5" x14ac:dyDescent="0.25">
      <c r="A2103" s="13">
        <v>93414671</v>
      </c>
      <c r="B2103" s="11" t="s">
        <v>116</v>
      </c>
      <c r="C2103" s="1" t="s">
        <v>159</v>
      </c>
      <c r="D2103" s="1" t="s">
        <v>117</v>
      </c>
      <c r="E2103" s="1" t="s">
        <v>147</v>
      </c>
    </row>
    <row r="2104" spans="1:5" x14ac:dyDescent="0.25">
      <c r="A2104" s="13">
        <v>93461539</v>
      </c>
      <c r="B2104" s="11" t="s">
        <v>83</v>
      </c>
      <c r="C2104" s="1" t="s">
        <v>3308</v>
      </c>
      <c r="D2104" s="1" t="s">
        <v>2762</v>
      </c>
      <c r="E2104" s="1" t="s">
        <v>21</v>
      </c>
    </row>
    <row r="2105" spans="1:5" x14ac:dyDescent="0.25">
      <c r="A2105" s="13">
        <v>94276693</v>
      </c>
      <c r="B2105" s="11" t="s">
        <v>84</v>
      </c>
      <c r="C2105" s="1" t="s">
        <v>153</v>
      </c>
      <c r="D2105" s="1" t="s">
        <v>154</v>
      </c>
      <c r="E2105" s="1" t="s">
        <v>155</v>
      </c>
    </row>
    <row r="2106" spans="1:5" x14ac:dyDescent="0.25">
      <c r="A2106" s="13">
        <v>94282610</v>
      </c>
      <c r="B2106" s="11" t="s">
        <v>84</v>
      </c>
      <c r="C2106" s="1" t="s">
        <v>150</v>
      </c>
      <c r="D2106" s="1" t="s">
        <v>151</v>
      </c>
      <c r="E2106" s="1" t="s">
        <v>152</v>
      </c>
    </row>
    <row r="2107" spans="1:5" x14ac:dyDescent="0.25">
      <c r="A2107" s="13">
        <v>94309437</v>
      </c>
      <c r="B2107" s="11" t="s">
        <v>109</v>
      </c>
      <c r="C2107" s="1" t="s">
        <v>3076</v>
      </c>
      <c r="D2107" s="1" t="s">
        <v>131</v>
      </c>
      <c r="E2107" s="1" t="s">
        <v>131</v>
      </c>
    </row>
    <row r="2108" spans="1:5" x14ac:dyDescent="0.25">
      <c r="A2108" s="13">
        <v>94314406</v>
      </c>
      <c r="B2108" s="11" t="s">
        <v>116</v>
      </c>
      <c r="C2108" s="1" t="s">
        <v>149</v>
      </c>
      <c r="D2108" s="1" t="s">
        <v>117</v>
      </c>
      <c r="E2108" s="1" t="s">
        <v>85</v>
      </c>
    </row>
    <row r="2109" spans="1:5" x14ac:dyDescent="0.25">
      <c r="A2109" s="13">
        <v>94412892</v>
      </c>
      <c r="B2109" s="11" t="s">
        <v>116</v>
      </c>
      <c r="C2109" s="1" t="s">
        <v>148</v>
      </c>
      <c r="D2109" s="1" t="s">
        <v>117</v>
      </c>
      <c r="E2109" s="1" t="s">
        <v>8</v>
      </c>
    </row>
    <row r="2110" spans="1:5" x14ac:dyDescent="0.25">
      <c r="A2110" s="13">
        <v>94449786</v>
      </c>
      <c r="B2110" s="11" t="s">
        <v>116</v>
      </c>
      <c r="C2110" s="1" t="s">
        <v>146</v>
      </c>
      <c r="D2110" s="1" t="s">
        <v>117</v>
      </c>
      <c r="E2110" s="1" t="s">
        <v>147</v>
      </c>
    </row>
    <row r="2111" spans="1:5" x14ac:dyDescent="0.25">
      <c r="A2111" s="13">
        <v>94491838</v>
      </c>
      <c r="B2111" s="11" t="s">
        <v>109</v>
      </c>
      <c r="C2111" s="1" t="s">
        <v>145</v>
      </c>
      <c r="D2111" s="1" t="s">
        <v>131</v>
      </c>
      <c r="E2111" s="1" t="s">
        <v>131</v>
      </c>
    </row>
    <row r="2112" spans="1:5" x14ac:dyDescent="0.25">
      <c r="A2112" s="13">
        <v>98323754</v>
      </c>
      <c r="B2112" s="11" t="s">
        <v>116</v>
      </c>
      <c r="C2112" s="1" t="s">
        <v>133</v>
      </c>
      <c r="D2112" s="1" t="s">
        <v>117</v>
      </c>
      <c r="E2112" s="1" t="s">
        <v>3</v>
      </c>
    </row>
    <row r="2113" spans="1:5" x14ac:dyDescent="0.25">
      <c r="A2113" s="13">
        <v>98387572</v>
      </c>
      <c r="B2113" s="11" t="s">
        <v>84</v>
      </c>
      <c r="C2113" s="1" t="s">
        <v>132</v>
      </c>
      <c r="D2113" s="1" t="s">
        <v>38</v>
      </c>
      <c r="E2113" s="1" t="s">
        <v>3</v>
      </c>
    </row>
    <row r="2114" spans="1:5" x14ac:dyDescent="0.25">
      <c r="A2114" s="13">
        <v>98543360</v>
      </c>
      <c r="B2114" s="11" t="s">
        <v>109</v>
      </c>
      <c r="C2114" s="1" t="s">
        <v>130</v>
      </c>
      <c r="D2114" s="1" t="s">
        <v>131</v>
      </c>
      <c r="E2114" s="1" t="s">
        <v>131</v>
      </c>
    </row>
    <row r="2115" spans="1:5" x14ac:dyDescent="0.25">
      <c r="A2115" s="13">
        <v>98580970</v>
      </c>
      <c r="B2115" s="11" t="s">
        <v>84</v>
      </c>
      <c r="C2115" s="1" t="s">
        <v>128</v>
      </c>
      <c r="D2115" s="1" t="s">
        <v>129</v>
      </c>
      <c r="E2115" s="1" t="s">
        <v>1</v>
      </c>
    </row>
    <row r="2116" spans="1:5" x14ac:dyDescent="0.25">
      <c r="A2116" s="13">
        <v>98586202</v>
      </c>
      <c r="B2116" s="11" t="s">
        <v>116</v>
      </c>
      <c r="C2116" s="1" t="s">
        <v>126</v>
      </c>
      <c r="D2116" s="1" t="s">
        <v>117</v>
      </c>
      <c r="E2116" s="1" t="s">
        <v>127</v>
      </c>
    </row>
    <row r="2117" spans="1:5" x14ac:dyDescent="0.25">
      <c r="A2117" s="13">
        <v>98638385</v>
      </c>
      <c r="B2117" s="11" t="s">
        <v>116</v>
      </c>
      <c r="C2117" s="1" t="s">
        <v>125</v>
      </c>
      <c r="D2117" s="1" t="s">
        <v>117</v>
      </c>
      <c r="E2117" s="1" t="s">
        <v>5</v>
      </c>
    </row>
    <row r="2118" spans="1:5" x14ac:dyDescent="0.25">
      <c r="A2118" s="13">
        <v>99999999</v>
      </c>
      <c r="B2118" s="11" t="s">
        <v>83</v>
      </c>
      <c r="C2118" s="1" t="s">
        <v>121</v>
      </c>
      <c r="D2118" s="1" t="s">
        <v>122</v>
      </c>
      <c r="E2118" s="1" t="s">
        <v>123</v>
      </c>
    </row>
    <row r="2119" spans="1:5" x14ac:dyDescent="0.25">
      <c r="A2119" s="13">
        <v>100687931</v>
      </c>
      <c r="B2119" s="11" t="s">
        <v>83</v>
      </c>
      <c r="C2119" s="1" t="s">
        <v>3583</v>
      </c>
      <c r="D2119" s="1" t="s">
        <v>131</v>
      </c>
      <c r="E2119" s="1" t="s">
        <v>131</v>
      </c>
    </row>
    <row r="2120" spans="1:5" x14ac:dyDescent="0.25">
      <c r="A2120" s="13">
        <v>1000002544</v>
      </c>
      <c r="B2120" s="11" t="s">
        <v>83</v>
      </c>
      <c r="C2120" s="1" t="s">
        <v>3309</v>
      </c>
      <c r="D2120" s="1" t="s">
        <v>40</v>
      </c>
      <c r="E2120" s="1" t="s">
        <v>23</v>
      </c>
    </row>
    <row r="2121" spans="1:5" x14ac:dyDescent="0.25">
      <c r="A2121" s="13">
        <v>1000008223</v>
      </c>
      <c r="B2121" s="11" t="s">
        <v>83</v>
      </c>
      <c r="C2121" s="1" t="s">
        <v>3022</v>
      </c>
      <c r="D2121" s="1" t="s">
        <v>48</v>
      </c>
      <c r="E2121" s="1" t="s">
        <v>19</v>
      </c>
    </row>
    <row r="2122" spans="1:5" x14ac:dyDescent="0.25">
      <c r="A2122" s="13">
        <v>1000018087</v>
      </c>
      <c r="B2122" s="11" t="s">
        <v>84</v>
      </c>
      <c r="C2122" s="1" t="s">
        <v>3092</v>
      </c>
      <c r="D2122" s="1" t="s">
        <v>52</v>
      </c>
      <c r="E2122" s="1" t="s">
        <v>22</v>
      </c>
    </row>
    <row r="2123" spans="1:5" x14ac:dyDescent="0.25">
      <c r="A2123" s="13">
        <v>1000035592</v>
      </c>
      <c r="B2123" s="11" t="s">
        <v>84</v>
      </c>
      <c r="C2123" s="1" t="s">
        <v>3310</v>
      </c>
      <c r="D2123" s="1" t="s">
        <v>3131</v>
      </c>
      <c r="E2123" s="1" t="s">
        <v>1</v>
      </c>
    </row>
    <row r="2124" spans="1:5" x14ac:dyDescent="0.25">
      <c r="A2124" s="13">
        <v>1000046533</v>
      </c>
      <c r="B2124" s="11" t="s">
        <v>83</v>
      </c>
      <c r="C2124" s="1" t="s">
        <v>2998</v>
      </c>
      <c r="D2124" s="1" t="s">
        <v>48</v>
      </c>
      <c r="E2124" s="1" t="s">
        <v>196</v>
      </c>
    </row>
    <row r="2125" spans="1:5" x14ac:dyDescent="0.25">
      <c r="A2125" s="13">
        <v>1000076480</v>
      </c>
      <c r="B2125" s="11" t="s">
        <v>84</v>
      </c>
      <c r="C2125" s="1" t="s">
        <v>2997</v>
      </c>
      <c r="D2125" s="1" t="s">
        <v>36</v>
      </c>
      <c r="E2125" s="1" t="s">
        <v>17</v>
      </c>
    </row>
    <row r="2126" spans="1:5" x14ac:dyDescent="0.25">
      <c r="A2126" s="13">
        <v>1000118901</v>
      </c>
      <c r="B2126" s="11" t="s">
        <v>83</v>
      </c>
      <c r="C2126" s="1" t="s">
        <v>2996</v>
      </c>
      <c r="D2126" s="1" t="s">
        <v>44</v>
      </c>
      <c r="E2126" s="1" t="s">
        <v>16</v>
      </c>
    </row>
    <row r="2127" spans="1:5" x14ac:dyDescent="0.25">
      <c r="A2127" s="13">
        <v>1000128445</v>
      </c>
      <c r="B2127" s="11" t="s">
        <v>83</v>
      </c>
      <c r="C2127" s="1" t="s">
        <v>3165</v>
      </c>
      <c r="D2127" s="1" t="s">
        <v>48</v>
      </c>
      <c r="E2127" s="1" t="s">
        <v>19</v>
      </c>
    </row>
    <row r="2128" spans="1:5" x14ac:dyDescent="0.25">
      <c r="A2128" s="13">
        <v>1000131076</v>
      </c>
      <c r="B2128" s="11" t="s">
        <v>83</v>
      </c>
      <c r="C2128" s="1" t="s">
        <v>3311</v>
      </c>
      <c r="D2128" s="1" t="s">
        <v>79</v>
      </c>
      <c r="E2128" s="1" t="s">
        <v>24</v>
      </c>
    </row>
    <row r="2129" spans="1:5" x14ac:dyDescent="0.25">
      <c r="A2129" s="13">
        <v>1000148348</v>
      </c>
      <c r="B2129" s="11" t="s">
        <v>84</v>
      </c>
      <c r="C2129" s="1" t="s">
        <v>2995</v>
      </c>
      <c r="D2129" s="1" t="s">
        <v>36</v>
      </c>
      <c r="E2129" s="1" t="s">
        <v>17</v>
      </c>
    </row>
    <row r="2130" spans="1:5" x14ac:dyDescent="0.25">
      <c r="A2130" s="13">
        <v>1000159046</v>
      </c>
      <c r="B2130" s="11" t="s">
        <v>83</v>
      </c>
      <c r="C2130" s="1" t="s">
        <v>2994</v>
      </c>
      <c r="D2130" s="1" t="s">
        <v>2310</v>
      </c>
      <c r="E2130" s="1" t="s">
        <v>22</v>
      </c>
    </row>
    <row r="2131" spans="1:5" x14ac:dyDescent="0.25">
      <c r="A2131" s="13">
        <v>1000159853</v>
      </c>
      <c r="B2131" s="11" t="s">
        <v>84</v>
      </c>
      <c r="C2131" s="1" t="s">
        <v>2993</v>
      </c>
      <c r="D2131" s="1" t="s">
        <v>41</v>
      </c>
      <c r="E2131" s="1" t="s">
        <v>1</v>
      </c>
    </row>
    <row r="2132" spans="1:5" x14ac:dyDescent="0.25">
      <c r="A2132" s="13">
        <v>1000161811</v>
      </c>
      <c r="B2132" s="11" t="s">
        <v>83</v>
      </c>
      <c r="C2132" s="1" t="s">
        <v>3666</v>
      </c>
      <c r="D2132" s="1" t="s">
        <v>79</v>
      </c>
      <c r="E2132" s="1" t="s">
        <v>196</v>
      </c>
    </row>
    <row r="2133" spans="1:5" x14ac:dyDescent="0.25">
      <c r="A2133" s="13">
        <v>1000180675</v>
      </c>
      <c r="B2133" s="11" t="s">
        <v>84</v>
      </c>
      <c r="C2133" s="1" t="s">
        <v>3027</v>
      </c>
      <c r="D2133" s="1" t="s">
        <v>79</v>
      </c>
      <c r="E2133" s="1" t="s">
        <v>1</v>
      </c>
    </row>
    <row r="2134" spans="1:5" x14ac:dyDescent="0.25">
      <c r="A2134" s="13">
        <v>1000216787</v>
      </c>
      <c r="B2134" s="11" t="s">
        <v>84</v>
      </c>
      <c r="C2134" s="1" t="s">
        <v>3312</v>
      </c>
      <c r="D2134" s="1" t="s">
        <v>3584</v>
      </c>
      <c r="E2134" s="1" t="s">
        <v>939</v>
      </c>
    </row>
    <row r="2135" spans="1:5" x14ac:dyDescent="0.25">
      <c r="A2135" s="13">
        <v>1000218614</v>
      </c>
      <c r="B2135" s="11" t="s">
        <v>83</v>
      </c>
      <c r="C2135" s="1" t="s">
        <v>3314</v>
      </c>
      <c r="D2135" s="1" t="s">
        <v>54</v>
      </c>
      <c r="E2135" s="1" t="s">
        <v>16</v>
      </c>
    </row>
    <row r="2136" spans="1:5" x14ac:dyDescent="0.25">
      <c r="A2136" s="13">
        <v>1000222993</v>
      </c>
      <c r="B2136" s="11" t="s">
        <v>83</v>
      </c>
      <c r="C2136" s="1" t="s">
        <v>2992</v>
      </c>
      <c r="D2136" s="1" t="s">
        <v>36</v>
      </c>
      <c r="E2136" s="1" t="s">
        <v>33</v>
      </c>
    </row>
    <row r="2137" spans="1:5" x14ac:dyDescent="0.25">
      <c r="A2137" s="13">
        <v>1000225915</v>
      </c>
      <c r="B2137" s="11" t="s">
        <v>83</v>
      </c>
      <c r="C2137" s="1" t="s">
        <v>3028</v>
      </c>
      <c r="D2137" s="1" t="s">
        <v>36</v>
      </c>
      <c r="E2137" s="1" t="s">
        <v>33</v>
      </c>
    </row>
    <row r="2138" spans="1:5" x14ac:dyDescent="0.25">
      <c r="A2138" s="13">
        <v>1000235885</v>
      </c>
      <c r="B2138" s="11" t="s">
        <v>84</v>
      </c>
      <c r="C2138" s="1" t="s">
        <v>3585</v>
      </c>
      <c r="D2138" s="1" t="s">
        <v>36</v>
      </c>
      <c r="E2138" s="1" t="s">
        <v>3085</v>
      </c>
    </row>
    <row r="2139" spans="1:5" x14ac:dyDescent="0.25">
      <c r="A2139" s="13">
        <v>1000239033</v>
      </c>
      <c r="B2139" s="11" t="s">
        <v>83</v>
      </c>
      <c r="C2139" s="1" t="s">
        <v>3183</v>
      </c>
      <c r="D2139" s="1" t="s">
        <v>48</v>
      </c>
      <c r="E2139" s="1" t="s">
        <v>19</v>
      </c>
    </row>
    <row r="2140" spans="1:5" x14ac:dyDescent="0.25">
      <c r="A2140" s="13">
        <v>1000239570</v>
      </c>
      <c r="B2140" s="11" t="s">
        <v>83</v>
      </c>
      <c r="C2140" s="1" t="s">
        <v>2991</v>
      </c>
      <c r="D2140" s="1" t="s">
        <v>48</v>
      </c>
      <c r="E2140" s="1" t="s">
        <v>19</v>
      </c>
    </row>
    <row r="2141" spans="1:5" x14ac:dyDescent="0.25">
      <c r="A2141" s="13">
        <v>1000251429</v>
      </c>
      <c r="B2141" s="11" t="s">
        <v>83</v>
      </c>
      <c r="C2141" s="1" t="s">
        <v>2990</v>
      </c>
      <c r="D2141" s="1" t="s">
        <v>57</v>
      </c>
      <c r="E2141" s="1" t="s">
        <v>23</v>
      </c>
    </row>
    <row r="2142" spans="1:5" x14ac:dyDescent="0.25">
      <c r="A2142" s="13">
        <v>1000253158</v>
      </c>
      <c r="B2142" s="11" t="s">
        <v>84</v>
      </c>
      <c r="C2142" s="1" t="s">
        <v>2989</v>
      </c>
      <c r="D2142" s="1" t="s">
        <v>46</v>
      </c>
      <c r="E2142" s="1" t="s">
        <v>1</v>
      </c>
    </row>
    <row r="2143" spans="1:5" x14ac:dyDescent="0.25">
      <c r="A2143" s="13">
        <v>1000253530</v>
      </c>
      <c r="B2143" s="11" t="s">
        <v>83</v>
      </c>
      <c r="C2143" s="1" t="s">
        <v>3053</v>
      </c>
      <c r="D2143" s="1" t="s">
        <v>48</v>
      </c>
      <c r="E2143" s="1" t="s">
        <v>19</v>
      </c>
    </row>
    <row r="2144" spans="1:5" x14ac:dyDescent="0.25">
      <c r="A2144" s="13">
        <v>1000254831</v>
      </c>
      <c r="B2144" s="11" t="s">
        <v>83</v>
      </c>
      <c r="C2144" s="1" t="s">
        <v>3021</v>
      </c>
      <c r="D2144" s="1" t="s">
        <v>97</v>
      </c>
      <c r="E2144" s="1" t="s">
        <v>196</v>
      </c>
    </row>
    <row r="2145" spans="1:5" x14ac:dyDescent="0.25">
      <c r="A2145" s="13">
        <v>1000255277</v>
      </c>
      <c r="B2145" s="11" t="s">
        <v>84</v>
      </c>
      <c r="C2145" s="1" t="s">
        <v>3315</v>
      </c>
      <c r="D2145" s="1" t="s">
        <v>36</v>
      </c>
      <c r="E2145" s="1" t="s">
        <v>3071</v>
      </c>
    </row>
    <row r="2146" spans="1:5" x14ac:dyDescent="0.25">
      <c r="A2146" s="13">
        <v>1000257136</v>
      </c>
      <c r="B2146" s="11" t="s">
        <v>83</v>
      </c>
      <c r="C2146" s="1" t="s">
        <v>3316</v>
      </c>
      <c r="D2146" s="1" t="s">
        <v>53</v>
      </c>
      <c r="E2146" s="1" t="s">
        <v>210</v>
      </c>
    </row>
    <row r="2147" spans="1:5" x14ac:dyDescent="0.25">
      <c r="A2147" s="13">
        <v>1000257532</v>
      </c>
      <c r="B2147" s="11" t="s">
        <v>84</v>
      </c>
      <c r="C2147" s="1" t="s">
        <v>3317</v>
      </c>
      <c r="D2147" s="1" t="s">
        <v>43</v>
      </c>
      <c r="E2147" s="1" t="s">
        <v>14</v>
      </c>
    </row>
    <row r="2148" spans="1:5" x14ac:dyDescent="0.25">
      <c r="A2148" s="13">
        <v>1000271302</v>
      </c>
      <c r="B2148" s="11" t="s">
        <v>83</v>
      </c>
      <c r="C2148" s="1" t="s">
        <v>3146</v>
      </c>
      <c r="D2148" s="1" t="s">
        <v>47</v>
      </c>
      <c r="E2148" s="1" t="s">
        <v>19</v>
      </c>
    </row>
    <row r="2149" spans="1:5" x14ac:dyDescent="0.25">
      <c r="A2149" s="13">
        <v>1000283508</v>
      </c>
      <c r="B2149" s="11" t="s">
        <v>84</v>
      </c>
      <c r="C2149" s="1" t="s">
        <v>3586</v>
      </c>
      <c r="D2149" s="1" t="s">
        <v>3325</v>
      </c>
      <c r="E2149" s="1" t="s">
        <v>3572</v>
      </c>
    </row>
    <row r="2150" spans="1:5" x14ac:dyDescent="0.25">
      <c r="A2150" s="13">
        <v>1000322885</v>
      </c>
      <c r="B2150" s="11" t="s">
        <v>83</v>
      </c>
      <c r="C2150" s="1" t="s">
        <v>2988</v>
      </c>
      <c r="D2150" s="1" t="s">
        <v>2939</v>
      </c>
      <c r="E2150" s="1" t="s">
        <v>196</v>
      </c>
    </row>
    <row r="2151" spans="1:5" x14ac:dyDescent="0.25">
      <c r="A2151" s="13">
        <v>1000324729</v>
      </c>
      <c r="B2151" s="11" t="s">
        <v>83</v>
      </c>
      <c r="C2151" s="1" t="s">
        <v>3667</v>
      </c>
      <c r="D2151" s="1" t="s">
        <v>101</v>
      </c>
      <c r="E2151" s="1" t="s">
        <v>30</v>
      </c>
    </row>
    <row r="2152" spans="1:5" x14ac:dyDescent="0.25">
      <c r="A2152" s="13">
        <v>1000325429</v>
      </c>
      <c r="B2152" s="11" t="s">
        <v>84</v>
      </c>
      <c r="C2152" s="1" t="s">
        <v>2987</v>
      </c>
      <c r="D2152" s="1" t="s">
        <v>36</v>
      </c>
      <c r="E2152" s="1" t="s">
        <v>17</v>
      </c>
    </row>
    <row r="2153" spans="1:5" x14ac:dyDescent="0.25">
      <c r="A2153" s="13">
        <v>1000325439</v>
      </c>
      <c r="B2153" s="11" t="s">
        <v>84</v>
      </c>
      <c r="C2153" s="1" t="s">
        <v>2987</v>
      </c>
      <c r="D2153" s="1" t="s">
        <v>36</v>
      </c>
      <c r="E2153" s="1" t="s">
        <v>17</v>
      </c>
    </row>
    <row r="2154" spans="1:5" x14ac:dyDescent="0.25">
      <c r="A2154" s="13">
        <v>1000333735</v>
      </c>
      <c r="B2154" s="11" t="s">
        <v>84</v>
      </c>
      <c r="C2154" s="1" t="s">
        <v>3318</v>
      </c>
      <c r="D2154" s="1" t="s">
        <v>43</v>
      </c>
      <c r="E2154" s="1" t="s">
        <v>14</v>
      </c>
    </row>
    <row r="2155" spans="1:5" x14ac:dyDescent="0.25">
      <c r="A2155" s="13">
        <v>1000336350</v>
      </c>
      <c r="B2155" s="11" t="s">
        <v>83</v>
      </c>
      <c r="C2155" s="1" t="s">
        <v>3319</v>
      </c>
      <c r="D2155" s="1" t="s">
        <v>79</v>
      </c>
      <c r="E2155" s="1" t="s">
        <v>210</v>
      </c>
    </row>
    <row r="2156" spans="1:5" x14ac:dyDescent="0.25">
      <c r="A2156" s="13">
        <v>1000338439</v>
      </c>
      <c r="B2156" s="11" t="s">
        <v>84</v>
      </c>
      <c r="C2156" s="1" t="s">
        <v>2986</v>
      </c>
      <c r="D2156" s="1" t="s">
        <v>36</v>
      </c>
      <c r="E2156" s="1" t="s">
        <v>17</v>
      </c>
    </row>
    <row r="2157" spans="1:5" x14ac:dyDescent="0.25">
      <c r="A2157" s="13">
        <v>1000351532</v>
      </c>
      <c r="B2157" s="11" t="s">
        <v>84</v>
      </c>
      <c r="C2157" s="1" t="s">
        <v>3320</v>
      </c>
      <c r="D2157" s="1" t="s">
        <v>3157</v>
      </c>
      <c r="E2157" s="1" t="s">
        <v>3071</v>
      </c>
    </row>
    <row r="2158" spans="1:5" x14ac:dyDescent="0.25">
      <c r="A2158" s="13">
        <v>1000354041</v>
      </c>
      <c r="B2158" s="11" t="s">
        <v>83</v>
      </c>
      <c r="C2158" s="1" t="s">
        <v>3587</v>
      </c>
      <c r="D2158" s="1" t="s">
        <v>79</v>
      </c>
      <c r="E2158" s="1" t="s">
        <v>24</v>
      </c>
    </row>
    <row r="2159" spans="1:5" x14ac:dyDescent="0.25">
      <c r="A2159" s="13">
        <v>1000364712</v>
      </c>
      <c r="B2159" s="11" t="s">
        <v>84</v>
      </c>
      <c r="C2159" s="1" t="s">
        <v>2985</v>
      </c>
      <c r="D2159" s="1" t="s">
        <v>79</v>
      </c>
      <c r="E2159" s="1" t="s">
        <v>1</v>
      </c>
    </row>
    <row r="2160" spans="1:5" x14ac:dyDescent="0.25">
      <c r="A2160" s="13">
        <v>1000365751</v>
      </c>
      <c r="B2160" s="11" t="s">
        <v>83</v>
      </c>
      <c r="C2160" s="1" t="s">
        <v>3588</v>
      </c>
      <c r="D2160" s="1" t="s">
        <v>79</v>
      </c>
      <c r="E2160" s="1" t="s">
        <v>196</v>
      </c>
    </row>
    <row r="2161" spans="1:5" x14ac:dyDescent="0.25">
      <c r="A2161" s="13">
        <v>1000366322</v>
      </c>
      <c r="B2161" s="11" t="s">
        <v>84</v>
      </c>
      <c r="C2161" s="1" t="s">
        <v>3128</v>
      </c>
      <c r="D2161" s="1" t="s">
        <v>3131</v>
      </c>
      <c r="E2161" s="1" t="s">
        <v>1</v>
      </c>
    </row>
    <row r="2162" spans="1:5" x14ac:dyDescent="0.25">
      <c r="A2162" s="13">
        <v>1000372857</v>
      </c>
      <c r="B2162" s="11" t="s">
        <v>83</v>
      </c>
      <c r="C2162" s="1" t="s">
        <v>3321</v>
      </c>
      <c r="D2162" s="1" t="s">
        <v>48</v>
      </c>
      <c r="E2162" s="1" t="s">
        <v>196</v>
      </c>
    </row>
    <row r="2163" spans="1:5" x14ac:dyDescent="0.25">
      <c r="A2163" s="13">
        <v>1000373013</v>
      </c>
      <c r="B2163" s="11" t="s">
        <v>84</v>
      </c>
      <c r="C2163" s="1" t="s">
        <v>2984</v>
      </c>
      <c r="D2163" s="1" t="s">
        <v>36</v>
      </c>
      <c r="E2163" s="1" t="s">
        <v>17</v>
      </c>
    </row>
    <row r="2164" spans="1:5" x14ac:dyDescent="0.25">
      <c r="A2164" s="13">
        <v>1000378900</v>
      </c>
      <c r="B2164" s="11" t="s">
        <v>83</v>
      </c>
      <c r="C2164" s="1" t="s">
        <v>3079</v>
      </c>
      <c r="D2164" s="1" t="s">
        <v>48</v>
      </c>
      <c r="E2164" s="1" t="s">
        <v>19</v>
      </c>
    </row>
    <row r="2165" spans="1:5" x14ac:dyDescent="0.25">
      <c r="A2165" s="13">
        <v>1000383474</v>
      </c>
      <c r="B2165" s="11" t="s">
        <v>84</v>
      </c>
      <c r="C2165" s="1" t="s">
        <v>3322</v>
      </c>
      <c r="D2165" s="1" t="s">
        <v>36</v>
      </c>
      <c r="E2165" s="1" t="s">
        <v>1</v>
      </c>
    </row>
    <row r="2166" spans="1:5" x14ac:dyDescent="0.25">
      <c r="A2166" s="13">
        <v>1000454455</v>
      </c>
      <c r="B2166" s="11" t="s">
        <v>83</v>
      </c>
      <c r="C2166" s="1" t="s">
        <v>3323</v>
      </c>
      <c r="D2166" s="1" t="s">
        <v>48</v>
      </c>
      <c r="E2166" s="1" t="s">
        <v>19</v>
      </c>
    </row>
    <row r="2167" spans="1:5" x14ac:dyDescent="0.25">
      <c r="A2167" s="13">
        <v>1000455500</v>
      </c>
      <c r="B2167" s="11" t="s">
        <v>84</v>
      </c>
      <c r="C2167" s="1" t="s">
        <v>2983</v>
      </c>
      <c r="D2167" s="1" t="s">
        <v>36</v>
      </c>
      <c r="E2167" s="1" t="s">
        <v>17</v>
      </c>
    </row>
    <row r="2168" spans="1:5" x14ac:dyDescent="0.25">
      <c r="A2168" s="13">
        <v>1000457706</v>
      </c>
      <c r="B2168" s="11" t="s">
        <v>83</v>
      </c>
      <c r="C2168" s="1" t="s">
        <v>3589</v>
      </c>
      <c r="D2168" s="1" t="s">
        <v>53</v>
      </c>
      <c r="E2168" s="1" t="s">
        <v>210</v>
      </c>
    </row>
    <row r="2169" spans="1:5" x14ac:dyDescent="0.25">
      <c r="A2169" s="13">
        <v>1000457898</v>
      </c>
      <c r="B2169" s="11" t="s">
        <v>84</v>
      </c>
      <c r="C2169" s="1" t="s">
        <v>3324</v>
      </c>
      <c r="D2169" s="1" t="s">
        <v>3325</v>
      </c>
      <c r="E2169" s="1" t="s">
        <v>22</v>
      </c>
    </row>
    <row r="2170" spans="1:5" x14ac:dyDescent="0.25">
      <c r="A2170" s="13">
        <v>1000463875</v>
      </c>
      <c r="B2170" s="11" t="s">
        <v>84</v>
      </c>
      <c r="C2170" s="1" t="s">
        <v>3054</v>
      </c>
      <c r="D2170" s="1" t="s">
        <v>46</v>
      </c>
      <c r="E2170" s="1" t="s">
        <v>1</v>
      </c>
    </row>
    <row r="2171" spans="1:5" x14ac:dyDescent="0.25">
      <c r="A2171" s="13">
        <v>1000467399</v>
      </c>
      <c r="B2171" s="11" t="s">
        <v>83</v>
      </c>
      <c r="C2171" s="1" t="s">
        <v>3590</v>
      </c>
      <c r="D2171" s="1" t="s">
        <v>79</v>
      </c>
      <c r="E2171" s="1" t="s">
        <v>20</v>
      </c>
    </row>
    <row r="2172" spans="1:5" x14ac:dyDescent="0.25">
      <c r="A2172" s="13">
        <v>1000467975</v>
      </c>
      <c r="B2172" s="11" t="s">
        <v>84</v>
      </c>
      <c r="C2172" s="1" t="s">
        <v>3326</v>
      </c>
      <c r="D2172" s="1" t="s">
        <v>381</v>
      </c>
      <c r="E2172" s="1" t="s">
        <v>26</v>
      </c>
    </row>
    <row r="2173" spans="1:5" x14ac:dyDescent="0.25">
      <c r="A2173" s="13">
        <v>1000502468</v>
      </c>
      <c r="B2173" s="11" t="s">
        <v>84</v>
      </c>
      <c r="C2173" s="1" t="s">
        <v>3029</v>
      </c>
      <c r="D2173" s="1" t="s">
        <v>52</v>
      </c>
      <c r="E2173" s="1" t="s">
        <v>22</v>
      </c>
    </row>
    <row r="2174" spans="1:5" x14ac:dyDescent="0.25">
      <c r="A2174" s="13">
        <v>1000503107</v>
      </c>
      <c r="B2174" s="11" t="s">
        <v>116</v>
      </c>
      <c r="C2174" s="1" t="s">
        <v>3327</v>
      </c>
      <c r="D2174" s="1" t="s">
        <v>117</v>
      </c>
      <c r="E2174" s="1" t="s">
        <v>328</v>
      </c>
    </row>
    <row r="2175" spans="1:5" x14ac:dyDescent="0.25">
      <c r="A2175" s="13">
        <v>1000505812</v>
      </c>
      <c r="B2175" s="11" t="s">
        <v>83</v>
      </c>
      <c r="C2175" s="1" t="s">
        <v>3328</v>
      </c>
      <c r="D2175" s="1" t="s">
        <v>3181</v>
      </c>
      <c r="E2175" s="1" t="s">
        <v>16</v>
      </c>
    </row>
    <row r="2176" spans="1:5" x14ac:dyDescent="0.25">
      <c r="A2176" s="13">
        <v>1000516481</v>
      </c>
      <c r="B2176" s="11" t="s">
        <v>84</v>
      </c>
      <c r="C2176" s="1" t="s">
        <v>3329</v>
      </c>
      <c r="D2176" s="1" t="s">
        <v>3330</v>
      </c>
      <c r="E2176" s="1" t="s">
        <v>1</v>
      </c>
    </row>
    <row r="2177" spans="1:5" x14ac:dyDescent="0.25">
      <c r="A2177" s="13">
        <v>1000516583</v>
      </c>
      <c r="B2177" s="11" t="s">
        <v>83</v>
      </c>
      <c r="C2177" s="1" t="s">
        <v>3331</v>
      </c>
      <c r="D2177" s="1" t="s">
        <v>44</v>
      </c>
      <c r="E2177" s="1" t="s">
        <v>16</v>
      </c>
    </row>
    <row r="2178" spans="1:5" x14ac:dyDescent="0.25">
      <c r="A2178" s="13">
        <v>1000592648</v>
      </c>
      <c r="B2178" s="11" t="s">
        <v>83</v>
      </c>
      <c r="C2178" s="1" t="s">
        <v>2982</v>
      </c>
      <c r="D2178" s="1" t="s">
        <v>44</v>
      </c>
      <c r="E2178" s="1" t="s">
        <v>16</v>
      </c>
    </row>
    <row r="2179" spans="1:5" x14ac:dyDescent="0.25">
      <c r="A2179" s="13">
        <v>1000593372</v>
      </c>
      <c r="B2179" s="11" t="s">
        <v>83</v>
      </c>
      <c r="C2179" s="1" t="s">
        <v>3591</v>
      </c>
      <c r="D2179" s="1" t="s">
        <v>3592</v>
      </c>
      <c r="E2179" s="1" t="s">
        <v>18</v>
      </c>
    </row>
    <row r="2180" spans="1:5" x14ac:dyDescent="0.25">
      <c r="A2180" s="13">
        <v>1000595382</v>
      </c>
      <c r="B2180" s="11" t="s">
        <v>83</v>
      </c>
      <c r="C2180" s="1" t="s">
        <v>2981</v>
      </c>
      <c r="D2180" s="1" t="s">
        <v>2538</v>
      </c>
      <c r="E2180" s="1" t="s">
        <v>24</v>
      </c>
    </row>
    <row r="2181" spans="1:5" x14ac:dyDescent="0.25">
      <c r="A2181" s="13">
        <v>1000604622</v>
      </c>
      <c r="B2181" s="11" t="s">
        <v>83</v>
      </c>
      <c r="C2181" s="1" t="s">
        <v>3041</v>
      </c>
      <c r="D2181" s="1" t="s">
        <v>48</v>
      </c>
      <c r="E2181" s="1" t="s">
        <v>19</v>
      </c>
    </row>
    <row r="2182" spans="1:5" x14ac:dyDescent="0.25">
      <c r="A2182" s="13">
        <v>1000604979</v>
      </c>
      <c r="B2182" s="11" t="s">
        <v>83</v>
      </c>
      <c r="C2182" s="1" t="s">
        <v>3593</v>
      </c>
      <c r="D2182" s="1" t="s">
        <v>3592</v>
      </c>
      <c r="E2182" s="1" t="s">
        <v>18</v>
      </c>
    </row>
    <row r="2183" spans="1:5" x14ac:dyDescent="0.25">
      <c r="A2183" s="13">
        <v>1000611958</v>
      </c>
      <c r="B2183" s="11" t="s">
        <v>83</v>
      </c>
      <c r="C2183" s="1" t="s">
        <v>3685</v>
      </c>
      <c r="D2183" s="1" t="s">
        <v>79</v>
      </c>
      <c r="E2183" s="1" t="s">
        <v>16</v>
      </c>
    </row>
    <row r="2184" spans="1:5" x14ac:dyDescent="0.25">
      <c r="A2184" s="13">
        <v>1000616217</v>
      </c>
      <c r="B2184" s="11" t="s">
        <v>84</v>
      </c>
      <c r="C2184" s="1" t="s">
        <v>3113</v>
      </c>
      <c r="D2184" s="1" t="s">
        <v>36</v>
      </c>
      <c r="E2184" s="1" t="s">
        <v>541</v>
      </c>
    </row>
    <row r="2185" spans="1:5" x14ac:dyDescent="0.25">
      <c r="A2185" s="13">
        <v>1000622308</v>
      </c>
      <c r="B2185" s="11" t="s">
        <v>83</v>
      </c>
      <c r="C2185" s="1" t="s">
        <v>2980</v>
      </c>
      <c r="D2185" s="1" t="s">
        <v>141</v>
      </c>
      <c r="E2185" s="1" t="s">
        <v>20</v>
      </c>
    </row>
    <row r="2186" spans="1:5" x14ac:dyDescent="0.25">
      <c r="A2186" s="13">
        <v>1000623453</v>
      </c>
      <c r="B2186" s="11" t="s">
        <v>83</v>
      </c>
      <c r="C2186" s="1" t="s">
        <v>3127</v>
      </c>
      <c r="D2186" s="1" t="s">
        <v>3332</v>
      </c>
      <c r="E2186" s="1" t="s">
        <v>196</v>
      </c>
    </row>
    <row r="2187" spans="1:5" x14ac:dyDescent="0.25">
      <c r="A2187" s="13">
        <v>1000625753</v>
      </c>
      <c r="B2187" s="11" t="s">
        <v>83</v>
      </c>
      <c r="C2187" s="1" t="s">
        <v>2979</v>
      </c>
      <c r="D2187" s="1" t="s">
        <v>41</v>
      </c>
      <c r="E2187" s="1" t="s">
        <v>31</v>
      </c>
    </row>
    <row r="2188" spans="1:5" x14ac:dyDescent="0.25">
      <c r="A2188" s="13">
        <v>1000686520</v>
      </c>
      <c r="B2188" s="11" t="s">
        <v>84</v>
      </c>
      <c r="C2188" s="1" t="s">
        <v>3594</v>
      </c>
      <c r="D2188" s="1" t="s">
        <v>36</v>
      </c>
      <c r="E2188" s="1" t="s">
        <v>3595</v>
      </c>
    </row>
    <row r="2189" spans="1:5" x14ac:dyDescent="0.25">
      <c r="A2189" s="13">
        <v>1000687931</v>
      </c>
      <c r="B2189" s="11" t="s">
        <v>83</v>
      </c>
      <c r="C2189" s="1" t="s">
        <v>3583</v>
      </c>
      <c r="D2189" s="1" t="s">
        <v>41</v>
      </c>
      <c r="E2189" s="1" t="s">
        <v>30</v>
      </c>
    </row>
    <row r="2190" spans="1:5" x14ac:dyDescent="0.25">
      <c r="A2190" s="13">
        <v>1000692621</v>
      </c>
      <c r="B2190" s="11" t="s">
        <v>83</v>
      </c>
      <c r="C2190" s="1" t="s">
        <v>3668</v>
      </c>
      <c r="D2190" s="1" t="s">
        <v>3669</v>
      </c>
      <c r="E2190" s="1" t="s">
        <v>24</v>
      </c>
    </row>
    <row r="2191" spans="1:5" x14ac:dyDescent="0.25">
      <c r="A2191" s="13">
        <v>1000694136</v>
      </c>
      <c r="B2191" s="11" t="s">
        <v>83</v>
      </c>
      <c r="C2191" s="1" t="s">
        <v>2978</v>
      </c>
      <c r="D2191" s="1" t="s">
        <v>54</v>
      </c>
      <c r="E2191" s="1" t="s">
        <v>16</v>
      </c>
    </row>
    <row r="2192" spans="1:5" x14ac:dyDescent="0.25">
      <c r="A2192" s="13">
        <v>1000723167</v>
      </c>
      <c r="B2192" s="11" t="s">
        <v>83</v>
      </c>
      <c r="C2192" s="1" t="s">
        <v>3042</v>
      </c>
      <c r="D2192" s="1" t="s">
        <v>79</v>
      </c>
      <c r="E2192" s="1" t="s">
        <v>4</v>
      </c>
    </row>
    <row r="2193" spans="1:5" x14ac:dyDescent="0.25">
      <c r="A2193" s="13">
        <v>1000723356</v>
      </c>
      <c r="B2193" s="11" t="s">
        <v>83</v>
      </c>
      <c r="C2193" s="1" t="s">
        <v>2977</v>
      </c>
      <c r="D2193" s="1" t="s">
        <v>56</v>
      </c>
      <c r="E2193" s="1" t="s">
        <v>4</v>
      </c>
    </row>
    <row r="2194" spans="1:5" x14ac:dyDescent="0.25">
      <c r="A2194" s="13">
        <v>1000723780</v>
      </c>
      <c r="B2194" s="11" t="s">
        <v>83</v>
      </c>
      <c r="C2194" s="1" t="s">
        <v>2976</v>
      </c>
      <c r="D2194" s="1" t="s">
        <v>105</v>
      </c>
      <c r="E2194" s="1" t="s">
        <v>19</v>
      </c>
    </row>
    <row r="2195" spans="1:5" x14ac:dyDescent="0.25">
      <c r="A2195" s="13">
        <v>1000732844</v>
      </c>
      <c r="B2195" s="11" t="s">
        <v>83</v>
      </c>
      <c r="C2195" s="1" t="s">
        <v>3333</v>
      </c>
      <c r="D2195" s="1" t="s">
        <v>36</v>
      </c>
      <c r="E2195" s="1" t="s">
        <v>24</v>
      </c>
    </row>
    <row r="2196" spans="1:5" x14ac:dyDescent="0.25">
      <c r="A2196" s="13">
        <v>1000733755</v>
      </c>
      <c r="B2196" s="11" t="s">
        <v>84</v>
      </c>
      <c r="C2196" s="1" t="s">
        <v>3334</v>
      </c>
      <c r="D2196" s="1" t="s">
        <v>3325</v>
      </c>
      <c r="E2196" s="1" t="s">
        <v>22</v>
      </c>
    </row>
    <row r="2197" spans="1:5" x14ac:dyDescent="0.25">
      <c r="A2197" s="13">
        <v>1000787203</v>
      </c>
      <c r="B2197" s="11" t="s">
        <v>83</v>
      </c>
      <c r="C2197" s="1" t="s">
        <v>2975</v>
      </c>
      <c r="D2197" s="1" t="s">
        <v>36</v>
      </c>
      <c r="E2197" s="1" t="s">
        <v>33</v>
      </c>
    </row>
    <row r="2198" spans="1:5" x14ac:dyDescent="0.25">
      <c r="A2198" s="13">
        <v>1000788116</v>
      </c>
      <c r="B2198" s="11" t="s">
        <v>83</v>
      </c>
      <c r="C2198" s="1" t="s">
        <v>2974</v>
      </c>
      <c r="D2198" s="1" t="s">
        <v>57</v>
      </c>
      <c r="E2198" s="1" t="s">
        <v>23</v>
      </c>
    </row>
    <row r="2199" spans="1:5" x14ac:dyDescent="0.25">
      <c r="A2199" s="13">
        <v>1000788313</v>
      </c>
      <c r="B2199" s="11" t="s">
        <v>83</v>
      </c>
      <c r="C2199" s="1" t="s">
        <v>3075</v>
      </c>
      <c r="D2199" s="1" t="s">
        <v>47</v>
      </c>
      <c r="E2199" s="1" t="s">
        <v>21</v>
      </c>
    </row>
    <row r="2200" spans="1:5" x14ac:dyDescent="0.25">
      <c r="A2200" s="13">
        <v>1000805504</v>
      </c>
      <c r="B2200" s="11" t="s">
        <v>83</v>
      </c>
      <c r="C2200" s="1" t="s">
        <v>3541</v>
      </c>
      <c r="D2200" s="1" t="s">
        <v>3246</v>
      </c>
      <c r="E2200" s="1" t="s">
        <v>24</v>
      </c>
    </row>
    <row r="2201" spans="1:5" x14ac:dyDescent="0.25">
      <c r="A2201" s="13">
        <v>1000808329</v>
      </c>
      <c r="B2201" s="11" t="s">
        <v>83</v>
      </c>
      <c r="C2201" s="1" t="s">
        <v>3066</v>
      </c>
      <c r="D2201" s="1" t="s">
        <v>48</v>
      </c>
      <c r="E2201" s="1" t="s">
        <v>19</v>
      </c>
    </row>
    <row r="2202" spans="1:5" x14ac:dyDescent="0.25">
      <c r="A2202" s="13">
        <v>1000810194</v>
      </c>
      <c r="B2202" s="11" t="s">
        <v>84</v>
      </c>
      <c r="C2202" s="1" t="s">
        <v>3596</v>
      </c>
      <c r="D2202" s="1" t="s">
        <v>36</v>
      </c>
      <c r="E2202" s="1" t="s">
        <v>3085</v>
      </c>
    </row>
    <row r="2203" spans="1:5" x14ac:dyDescent="0.25">
      <c r="A2203" s="13">
        <v>1000855220</v>
      </c>
      <c r="B2203" s="11" t="s">
        <v>83</v>
      </c>
      <c r="C2203" s="1" t="s">
        <v>2973</v>
      </c>
      <c r="D2203" s="1" t="s">
        <v>2310</v>
      </c>
      <c r="E2203" s="1" t="s">
        <v>22</v>
      </c>
    </row>
    <row r="2204" spans="1:5" x14ac:dyDescent="0.25">
      <c r="A2204" s="13">
        <v>1000856135</v>
      </c>
      <c r="B2204" s="11" t="s">
        <v>84</v>
      </c>
      <c r="C2204" s="1" t="s">
        <v>2972</v>
      </c>
      <c r="D2204" s="1" t="s">
        <v>41</v>
      </c>
      <c r="E2204" s="1" t="s">
        <v>27</v>
      </c>
    </row>
    <row r="2205" spans="1:5" x14ac:dyDescent="0.25">
      <c r="A2205" s="13">
        <v>1000856972</v>
      </c>
      <c r="B2205" s="11" t="s">
        <v>84</v>
      </c>
      <c r="C2205" s="1" t="s">
        <v>3030</v>
      </c>
      <c r="D2205" s="1" t="s">
        <v>36</v>
      </c>
      <c r="E2205" s="1" t="s">
        <v>3071</v>
      </c>
    </row>
    <row r="2206" spans="1:5" x14ac:dyDescent="0.25">
      <c r="A2206" s="13">
        <v>1000862087</v>
      </c>
      <c r="B2206" s="11" t="s">
        <v>84</v>
      </c>
      <c r="C2206" s="1" t="s">
        <v>3335</v>
      </c>
      <c r="D2206" s="1" t="s">
        <v>3133</v>
      </c>
      <c r="E2206" s="1" t="s">
        <v>1</v>
      </c>
    </row>
    <row r="2207" spans="1:5" x14ac:dyDescent="0.25">
      <c r="A2207" s="13">
        <v>1000937044</v>
      </c>
      <c r="B2207" s="11" t="s">
        <v>83</v>
      </c>
      <c r="C2207" s="1" t="s">
        <v>2971</v>
      </c>
      <c r="D2207" s="1" t="s">
        <v>47</v>
      </c>
      <c r="E2207" s="1" t="s">
        <v>20</v>
      </c>
    </row>
    <row r="2208" spans="1:5" x14ac:dyDescent="0.25">
      <c r="A2208" s="13">
        <v>1000938722</v>
      </c>
      <c r="B2208" s="11" t="s">
        <v>84</v>
      </c>
      <c r="C2208" s="1" t="s">
        <v>2970</v>
      </c>
      <c r="D2208" s="1" t="s">
        <v>36</v>
      </c>
      <c r="E2208" s="1" t="s">
        <v>17</v>
      </c>
    </row>
    <row r="2209" spans="1:5" x14ac:dyDescent="0.25">
      <c r="A2209" s="13">
        <v>1000990647</v>
      </c>
      <c r="B2209" s="11" t="s">
        <v>84</v>
      </c>
      <c r="C2209" s="1" t="s">
        <v>2969</v>
      </c>
      <c r="D2209" s="1" t="s">
        <v>36</v>
      </c>
      <c r="E2209" s="1" t="s">
        <v>17</v>
      </c>
    </row>
    <row r="2210" spans="1:5" x14ac:dyDescent="0.25">
      <c r="A2210" s="13">
        <v>1000992568</v>
      </c>
      <c r="B2210" s="11" t="s">
        <v>83</v>
      </c>
      <c r="C2210" s="1" t="s">
        <v>3702</v>
      </c>
      <c r="D2210" s="1" t="s">
        <v>1118</v>
      </c>
      <c r="E2210" s="1" t="s">
        <v>248</v>
      </c>
    </row>
    <row r="2211" spans="1:5" x14ac:dyDescent="0.25">
      <c r="A2211" s="13">
        <v>1001052761</v>
      </c>
      <c r="B2211" s="11" t="s">
        <v>83</v>
      </c>
      <c r="C2211" s="1" t="s">
        <v>3597</v>
      </c>
      <c r="D2211" s="1" t="s">
        <v>1118</v>
      </c>
      <c r="E2211" s="1" t="s">
        <v>248</v>
      </c>
    </row>
    <row r="2212" spans="1:5" x14ac:dyDescent="0.25">
      <c r="A2212" s="13">
        <v>1001060798</v>
      </c>
      <c r="B2212" s="11" t="s">
        <v>84</v>
      </c>
      <c r="C2212" s="1" t="s">
        <v>3336</v>
      </c>
      <c r="D2212" s="1" t="s">
        <v>38</v>
      </c>
      <c r="E2212" s="1" t="s">
        <v>12</v>
      </c>
    </row>
    <row r="2213" spans="1:5" x14ac:dyDescent="0.25">
      <c r="A2213" s="13">
        <v>1001061636</v>
      </c>
      <c r="B2213" s="11" t="s">
        <v>83</v>
      </c>
      <c r="C2213" s="1" t="s">
        <v>3337</v>
      </c>
      <c r="D2213" s="1" t="s">
        <v>79</v>
      </c>
      <c r="E2213" s="1" t="s">
        <v>20</v>
      </c>
    </row>
    <row r="2214" spans="1:5" x14ac:dyDescent="0.25">
      <c r="A2214" s="13">
        <v>1001066734</v>
      </c>
      <c r="B2214" s="11" t="s">
        <v>83</v>
      </c>
      <c r="C2214" s="1" t="s">
        <v>3338</v>
      </c>
      <c r="D2214" s="1" t="s">
        <v>79</v>
      </c>
      <c r="E2214" s="1" t="s">
        <v>196</v>
      </c>
    </row>
    <row r="2215" spans="1:5" x14ac:dyDescent="0.25">
      <c r="A2215" s="13">
        <v>1001066766</v>
      </c>
      <c r="B2215" s="11" t="s">
        <v>83</v>
      </c>
      <c r="C2215" s="1" t="s">
        <v>3339</v>
      </c>
      <c r="D2215" s="1" t="s">
        <v>79</v>
      </c>
      <c r="E2215" s="1" t="s">
        <v>196</v>
      </c>
    </row>
    <row r="2216" spans="1:5" x14ac:dyDescent="0.25">
      <c r="A2216" s="13">
        <v>1001077122</v>
      </c>
      <c r="B2216" s="11" t="s">
        <v>84</v>
      </c>
      <c r="C2216" s="1" t="s">
        <v>2968</v>
      </c>
      <c r="D2216" s="1" t="s">
        <v>3340</v>
      </c>
      <c r="E2216" s="1" t="s">
        <v>1</v>
      </c>
    </row>
    <row r="2217" spans="1:5" x14ac:dyDescent="0.25">
      <c r="A2217" s="13">
        <v>1001090096</v>
      </c>
      <c r="B2217" s="11" t="s">
        <v>83</v>
      </c>
      <c r="C2217" s="1" t="s">
        <v>2967</v>
      </c>
      <c r="D2217" s="1" t="s">
        <v>44</v>
      </c>
      <c r="E2217" s="1" t="s">
        <v>16</v>
      </c>
    </row>
    <row r="2218" spans="1:5" x14ac:dyDescent="0.25">
      <c r="A2218" s="13">
        <v>1001116317</v>
      </c>
      <c r="B2218" s="11" t="s">
        <v>83</v>
      </c>
      <c r="C2218" s="1" t="s">
        <v>2966</v>
      </c>
      <c r="D2218" s="1" t="s">
        <v>44</v>
      </c>
      <c r="E2218" s="1" t="s">
        <v>16</v>
      </c>
    </row>
    <row r="2219" spans="1:5" x14ac:dyDescent="0.25">
      <c r="A2219" s="13">
        <v>1001117652</v>
      </c>
      <c r="B2219" s="11" t="s">
        <v>84</v>
      </c>
      <c r="C2219" s="1" t="s">
        <v>3598</v>
      </c>
      <c r="D2219" s="1" t="s">
        <v>79</v>
      </c>
      <c r="E2219" s="1" t="s">
        <v>3595</v>
      </c>
    </row>
    <row r="2220" spans="1:5" x14ac:dyDescent="0.25">
      <c r="A2220" s="13">
        <v>1001187208</v>
      </c>
      <c r="B2220" s="11" t="s">
        <v>84</v>
      </c>
      <c r="C2220" s="1" t="s">
        <v>2965</v>
      </c>
      <c r="D2220" s="1" t="s">
        <v>36</v>
      </c>
      <c r="E2220" s="1" t="s">
        <v>22</v>
      </c>
    </row>
    <row r="2221" spans="1:5" x14ac:dyDescent="0.25">
      <c r="A2221" s="13">
        <v>1001193453</v>
      </c>
      <c r="B2221" s="11" t="s">
        <v>83</v>
      </c>
      <c r="C2221" s="1" t="s">
        <v>2964</v>
      </c>
      <c r="D2221" s="1" t="s">
        <v>47</v>
      </c>
      <c r="E2221" s="1" t="s">
        <v>20</v>
      </c>
    </row>
    <row r="2222" spans="1:5" x14ac:dyDescent="0.25">
      <c r="A2222" s="13">
        <v>1001200475</v>
      </c>
      <c r="B2222" s="11" t="s">
        <v>83</v>
      </c>
      <c r="C2222" s="1" t="s">
        <v>2963</v>
      </c>
      <c r="D2222" s="1" t="s">
        <v>47</v>
      </c>
      <c r="E2222" s="1" t="s">
        <v>19</v>
      </c>
    </row>
    <row r="2223" spans="1:5" x14ac:dyDescent="0.25">
      <c r="A2223" s="13">
        <v>1001273964</v>
      </c>
      <c r="B2223" s="11" t="s">
        <v>83</v>
      </c>
      <c r="C2223" s="1" t="s">
        <v>2962</v>
      </c>
      <c r="D2223" s="1" t="s">
        <v>44</v>
      </c>
      <c r="E2223" s="1" t="s">
        <v>16</v>
      </c>
    </row>
    <row r="2224" spans="1:5" x14ac:dyDescent="0.25">
      <c r="A2224" s="13">
        <v>1001274504</v>
      </c>
      <c r="B2224" s="11" t="s">
        <v>83</v>
      </c>
      <c r="C2224" s="1" t="s">
        <v>2961</v>
      </c>
      <c r="D2224" s="1" t="s">
        <v>340</v>
      </c>
      <c r="E2224" s="1" t="s">
        <v>23</v>
      </c>
    </row>
    <row r="2225" spans="1:5" x14ac:dyDescent="0.25">
      <c r="A2225" s="13">
        <v>1001277854</v>
      </c>
      <c r="B2225" s="11" t="s">
        <v>83</v>
      </c>
      <c r="C2225" s="1" t="s">
        <v>3341</v>
      </c>
      <c r="D2225" s="1" t="s">
        <v>3342</v>
      </c>
      <c r="E2225" s="1" t="s">
        <v>25</v>
      </c>
    </row>
    <row r="2226" spans="1:5" x14ac:dyDescent="0.25">
      <c r="A2226" s="13">
        <v>1001283275</v>
      </c>
      <c r="B2226" s="11" t="s">
        <v>83</v>
      </c>
      <c r="C2226" s="1" t="s">
        <v>3599</v>
      </c>
      <c r="D2226" s="1" t="s">
        <v>36</v>
      </c>
      <c r="E2226" s="1" t="s">
        <v>24</v>
      </c>
    </row>
    <row r="2227" spans="1:5" x14ac:dyDescent="0.25">
      <c r="A2227" s="13">
        <v>1001283358</v>
      </c>
      <c r="B2227" s="11" t="s">
        <v>83</v>
      </c>
      <c r="C2227" s="1" t="s">
        <v>2960</v>
      </c>
      <c r="D2227" s="1" t="s">
        <v>47</v>
      </c>
      <c r="E2227" s="1" t="s">
        <v>20</v>
      </c>
    </row>
    <row r="2228" spans="1:5" x14ac:dyDescent="0.25">
      <c r="A2228" s="13">
        <v>1001284791</v>
      </c>
      <c r="B2228" s="11" t="s">
        <v>84</v>
      </c>
      <c r="C2228" s="1" t="s">
        <v>3343</v>
      </c>
      <c r="D2228" s="1" t="s">
        <v>3344</v>
      </c>
      <c r="E2228" s="1" t="s">
        <v>22</v>
      </c>
    </row>
    <row r="2229" spans="1:5" x14ac:dyDescent="0.25">
      <c r="A2229" s="13">
        <v>1001289543</v>
      </c>
      <c r="B2229" s="11" t="s">
        <v>84</v>
      </c>
      <c r="C2229" s="1" t="s">
        <v>3345</v>
      </c>
      <c r="D2229" s="1" t="s">
        <v>3325</v>
      </c>
      <c r="E2229" s="1" t="s">
        <v>22</v>
      </c>
    </row>
    <row r="2230" spans="1:5" x14ac:dyDescent="0.25">
      <c r="A2230" s="13">
        <v>1001316379</v>
      </c>
      <c r="B2230" s="11" t="s">
        <v>83</v>
      </c>
      <c r="C2230" s="1" t="s">
        <v>3346</v>
      </c>
      <c r="D2230" s="1" t="s">
        <v>3347</v>
      </c>
      <c r="E2230" s="1" t="s">
        <v>18</v>
      </c>
    </row>
    <row r="2231" spans="1:5" x14ac:dyDescent="0.25">
      <c r="A2231" s="13">
        <v>1001326676</v>
      </c>
      <c r="B2231" s="11" t="s">
        <v>83</v>
      </c>
      <c r="C2231" s="1" t="s">
        <v>2959</v>
      </c>
      <c r="D2231" s="1" t="s">
        <v>79</v>
      </c>
      <c r="E2231" s="1" t="s">
        <v>20</v>
      </c>
    </row>
    <row r="2232" spans="1:5" x14ac:dyDescent="0.25">
      <c r="A2232" s="13">
        <v>1001329576</v>
      </c>
      <c r="B2232" s="11" t="s">
        <v>83</v>
      </c>
      <c r="C2232" s="1" t="s">
        <v>2958</v>
      </c>
      <c r="D2232" s="1" t="s">
        <v>48</v>
      </c>
      <c r="E2232" s="1" t="s">
        <v>19</v>
      </c>
    </row>
    <row r="2233" spans="1:5" x14ac:dyDescent="0.25">
      <c r="A2233" s="13">
        <v>1001330728</v>
      </c>
      <c r="B2233" s="11" t="s">
        <v>83</v>
      </c>
      <c r="C2233" s="1" t="s">
        <v>2956</v>
      </c>
      <c r="D2233" s="1" t="s">
        <v>2957</v>
      </c>
      <c r="E2233" s="1" t="s">
        <v>19</v>
      </c>
    </row>
    <row r="2234" spans="1:5" x14ac:dyDescent="0.25">
      <c r="A2234" s="13">
        <v>1001344205</v>
      </c>
      <c r="B2234" s="11" t="s">
        <v>83</v>
      </c>
      <c r="C2234" s="1" t="s">
        <v>3012</v>
      </c>
      <c r="D2234" s="1" t="s">
        <v>79</v>
      </c>
      <c r="E2234" s="1" t="s">
        <v>21</v>
      </c>
    </row>
    <row r="2235" spans="1:5" x14ac:dyDescent="0.25">
      <c r="A2235" s="13">
        <v>1001344607</v>
      </c>
      <c r="B2235" s="11" t="s">
        <v>84</v>
      </c>
      <c r="C2235" s="1" t="s">
        <v>2955</v>
      </c>
      <c r="D2235" s="1" t="s">
        <v>36</v>
      </c>
      <c r="E2235" s="1" t="s">
        <v>22</v>
      </c>
    </row>
    <row r="2236" spans="1:5" x14ac:dyDescent="0.25">
      <c r="A2236" s="13">
        <v>1001349607</v>
      </c>
      <c r="B2236" s="11" t="s">
        <v>83</v>
      </c>
      <c r="C2236" s="1" t="s">
        <v>3348</v>
      </c>
      <c r="D2236" s="1" t="s">
        <v>79</v>
      </c>
      <c r="E2236" s="1" t="s">
        <v>16</v>
      </c>
    </row>
    <row r="2237" spans="1:5" x14ac:dyDescent="0.25">
      <c r="A2237" s="13">
        <v>1002290865</v>
      </c>
      <c r="B2237" s="11" t="s">
        <v>83</v>
      </c>
      <c r="C2237" s="1" t="s">
        <v>2953</v>
      </c>
      <c r="D2237" s="1" t="s">
        <v>53</v>
      </c>
      <c r="E2237" s="1" t="s">
        <v>4</v>
      </c>
    </row>
    <row r="2238" spans="1:5" x14ac:dyDescent="0.25">
      <c r="A2238" s="13">
        <v>1002526394</v>
      </c>
      <c r="B2238" s="11" t="s">
        <v>83</v>
      </c>
      <c r="C2238" s="1" t="s">
        <v>2952</v>
      </c>
      <c r="D2238" s="1" t="s">
        <v>57</v>
      </c>
      <c r="E2238" s="1" t="s">
        <v>23</v>
      </c>
    </row>
    <row r="2239" spans="1:5" x14ac:dyDescent="0.25">
      <c r="A2239" s="13">
        <v>1002980235</v>
      </c>
      <c r="B2239" s="11" t="s">
        <v>83</v>
      </c>
      <c r="C2239" s="1" t="s">
        <v>2951</v>
      </c>
      <c r="D2239" s="1" t="s">
        <v>79</v>
      </c>
      <c r="E2239" s="1" t="s">
        <v>20</v>
      </c>
    </row>
    <row r="2240" spans="1:5" x14ac:dyDescent="0.25">
      <c r="A2240" s="13">
        <v>1003690253</v>
      </c>
      <c r="B2240" s="11" t="s">
        <v>84</v>
      </c>
      <c r="C2240" s="1" t="s">
        <v>3600</v>
      </c>
      <c r="D2240" s="1" t="s">
        <v>3402</v>
      </c>
      <c r="E2240" s="1" t="s">
        <v>3595</v>
      </c>
    </row>
    <row r="2241" spans="1:5" x14ac:dyDescent="0.25">
      <c r="A2241" s="13">
        <v>1003690472</v>
      </c>
      <c r="B2241" s="11" t="s">
        <v>84</v>
      </c>
      <c r="C2241" s="1" t="s">
        <v>2950</v>
      </c>
      <c r="D2241" s="1" t="s">
        <v>41</v>
      </c>
      <c r="E2241" s="1" t="s">
        <v>1</v>
      </c>
    </row>
    <row r="2242" spans="1:5" x14ac:dyDescent="0.25">
      <c r="A2242" s="13">
        <v>1003710809</v>
      </c>
      <c r="B2242" s="11" t="s">
        <v>83</v>
      </c>
      <c r="C2242" s="1" t="s">
        <v>2949</v>
      </c>
      <c r="D2242" s="1" t="s">
        <v>47</v>
      </c>
      <c r="E2242" s="1" t="s">
        <v>33</v>
      </c>
    </row>
    <row r="2243" spans="1:5" x14ac:dyDescent="0.25">
      <c r="A2243" s="13">
        <v>1003712346</v>
      </c>
      <c r="B2243" s="11" t="s">
        <v>84</v>
      </c>
      <c r="C2243" s="1" t="s">
        <v>2948</v>
      </c>
      <c r="D2243" s="1" t="s">
        <v>46</v>
      </c>
      <c r="E2243" s="1" t="s">
        <v>1</v>
      </c>
    </row>
    <row r="2244" spans="1:5" x14ac:dyDescent="0.25">
      <c r="A2244" s="13">
        <v>1003740470</v>
      </c>
      <c r="B2244" s="11" t="s">
        <v>83</v>
      </c>
      <c r="C2244" s="1" t="s">
        <v>3172</v>
      </c>
      <c r="D2244" s="1" t="s">
        <v>48</v>
      </c>
      <c r="E2244" s="1" t="s">
        <v>19</v>
      </c>
    </row>
    <row r="2245" spans="1:5" x14ac:dyDescent="0.25">
      <c r="A2245" s="13">
        <v>1003776715</v>
      </c>
      <c r="B2245" s="11" t="s">
        <v>84</v>
      </c>
      <c r="C2245" s="1" t="s">
        <v>2947</v>
      </c>
      <c r="D2245" s="1" t="s">
        <v>38</v>
      </c>
      <c r="E2245" s="1" t="s">
        <v>13</v>
      </c>
    </row>
    <row r="2246" spans="1:5" x14ac:dyDescent="0.25">
      <c r="A2246" s="13">
        <v>1005339713</v>
      </c>
      <c r="B2246" s="11" t="s">
        <v>83</v>
      </c>
      <c r="C2246" s="1" t="s">
        <v>3349</v>
      </c>
      <c r="D2246" s="1" t="s">
        <v>48</v>
      </c>
      <c r="E2246" s="1" t="s">
        <v>19</v>
      </c>
    </row>
    <row r="2247" spans="1:5" x14ac:dyDescent="0.25">
      <c r="A2247" s="13">
        <v>1005927138</v>
      </c>
      <c r="B2247" s="11" t="s">
        <v>83</v>
      </c>
      <c r="C2247" s="1" t="s">
        <v>3043</v>
      </c>
      <c r="D2247" s="1" t="s">
        <v>57</v>
      </c>
      <c r="E2247" s="1" t="s">
        <v>23</v>
      </c>
    </row>
    <row r="2248" spans="1:5" x14ac:dyDescent="0.25">
      <c r="A2248" s="13">
        <v>1006094913</v>
      </c>
      <c r="B2248" s="11" t="s">
        <v>84</v>
      </c>
      <c r="C2248" s="1" t="s">
        <v>3350</v>
      </c>
      <c r="D2248" s="1" t="s">
        <v>36</v>
      </c>
      <c r="E2248" s="1" t="s">
        <v>3071</v>
      </c>
    </row>
    <row r="2249" spans="1:5" x14ac:dyDescent="0.25">
      <c r="A2249" s="13">
        <v>1006308846</v>
      </c>
      <c r="B2249" s="11" t="s">
        <v>83</v>
      </c>
      <c r="C2249" s="1" t="s">
        <v>2946</v>
      </c>
      <c r="D2249" s="1" t="s">
        <v>89</v>
      </c>
      <c r="E2249" s="1" t="s">
        <v>19</v>
      </c>
    </row>
    <row r="2250" spans="1:5" x14ac:dyDescent="0.25">
      <c r="A2250" s="13">
        <v>1006372804</v>
      </c>
      <c r="B2250" s="11" t="s">
        <v>83</v>
      </c>
      <c r="C2250" s="1" t="s">
        <v>2945</v>
      </c>
      <c r="D2250" s="1" t="s">
        <v>47</v>
      </c>
      <c r="E2250" s="1" t="s">
        <v>19</v>
      </c>
    </row>
    <row r="2251" spans="1:5" x14ac:dyDescent="0.25">
      <c r="A2251" s="13">
        <v>1006537577</v>
      </c>
      <c r="B2251" s="11" t="s">
        <v>84</v>
      </c>
      <c r="C2251" s="1" t="s">
        <v>3351</v>
      </c>
      <c r="D2251" s="1" t="s">
        <v>79</v>
      </c>
      <c r="E2251" s="1" t="s">
        <v>1</v>
      </c>
    </row>
    <row r="2252" spans="1:5" x14ac:dyDescent="0.25">
      <c r="A2252" s="13">
        <v>1006790680</v>
      </c>
      <c r="B2252" s="11" t="s">
        <v>83</v>
      </c>
      <c r="C2252" s="1" t="s">
        <v>2944</v>
      </c>
      <c r="D2252" s="1" t="s">
        <v>48</v>
      </c>
      <c r="E2252" s="1" t="s">
        <v>19</v>
      </c>
    </row>
    <row r="2253" spans="1:5" x14ac:dyDescent="0.25">
      <c r="A2253" s="13">
        <v>1006881185</v>
      </c>
      <c r="B2253" s="11" t="s">
        <v>83</v>
      </c>
      <c r="C2253" s="1" t="s">
        <v>2943</v>
      </c>
      <c r="D2253" s="1" t="s">
        <v>36</v>
      </c>
      <c r="E2253" s="1" t="s">
        <v>21</v>
      </c>
    </row>
    <row r="2254" spans="1:5" x14ac:dyDescent="0.25">
      <c r="A2254" s="13">
        <v>1007310351</v>
      </c>
      <c r="B2254" s="11" t="s">
        <v>83</v>
      </c>
      <c r="C2254" s="1" t="s">
        <v>2942</v>
      </c>
      <c r="D2254" s="1" t="s">
        <v>47</v>
      </c>
      <c r="E2254" s="1" t="s">
        <v>1246</v>
      </c>
    </row>
    <row r="2255" spans="1:5" x14ac:dyDescent="0.25">
      <c r="A2255" s="13">
        <v>1007351577</v>
      </c>
      <c r="B2255" s="11" t="s">
        <v>83</v>
      </c>
      <c r="C2255" s="1" t="s">
        <v>3352</v>
      </c>
      <c r="D2255" s="1" t="s">
        <v>36</v>
      </c>
      <c r="E2255" s="1" t="s">
        <v>21</v>
      </c>
    </row>
    <row r="2256" spans="1:5" x14ac:dyDescent="0.25">
      <c r="A2256" s="13">
        <v>1007380820</v>
      </c>
      <c r="B2256" s="11" t="s">
        <v>83</v>
      </c>
      <c r="C2256" s="1" t="s">
        <v>2941</v>
      </c>
      <c r="D2256" s="1" t="s">
        <v>63</v>
      </c>
      <c r="E2256" s="1" t="s">
        <v>237</v>
      </c>
    </row>
    <row r="2257" spans="1:5" x14ac:dyDescent="0.25">
      <c r="A2257" s="13">
        <v>1007403168</v>
      </c>
      <c r="B2257" s="11" t="s">
        <v>84</v>
      </c>
      <c r="C2257" s="1" t="s">
        <v>3353</v>
      </c>
      <c r="D2257" s="1" t="s">
        <v>79</v>
      </c>
      <c r="E2257" s="1" t="s">
        <v>1</v>
      </c>
    </row>
    <row r="2258" spans="1:5" x14ac:dyDescent="0.25">
      <c r="A2258" s="13">
        <v>1007473107</v>
      </c>
      <c r="B2258" s="11" t="s">
        <v>83</v>
      </c>
      <c r="C2258" s="1" t="s">
        <v>3354</v>
      </c>
      <c r="D2258" s="1" t="s">
        <v>79</v>
      </c>
      <c r="E2258" s="1" t="s">
        <v>20</v>
      </c>
    </row>
    <row r="2259" spans="1:5" x14ac:dyDescent="0.25">
      <c r="A2259" s="13">
        <v>1007475888</v>
      </c>
      <c r="B2259" s="11" t="s">
        <v>84</v>
      </c>
      <c r="C2259" s="1" t="s">
        <v>3112</v>
      </c>
      <c r="D2259" s="1" t="s">
        <v>36</v>
      </c>
      <c r="E2259" s="1" t="s">
        <v>541</v>
      </c>
    </row>
    <row r="2260" spans="1:5" x14ac:dyDescent="0.25">
      <c r="A2260" s="13">
        <v>1007694886</v>
      </c>
      <c r="B2260" s="11" t="s">
        <v>83</v>
      </c>
      <c r="C2260" s="1" t="s">
        <v>3355</v>
      </c>
      <c r="D2260" s="1" t="s">
        <v>44</v>
      </c>
      <c r="E2260" s="1" t="s">
        <v>16</v>
      </c>
    </row>
    <row r="2261" spans="1:5" x14ac:dyDescent="0.25">
      <c r="A2261" s="13">
        <v>1007719074</v>
      </c>
      <c r="B2261" s="11" t="s">
        <v>83</v>
      </c>
      <c r="C2261" s="1" t="s">
        <v>3356</v>
      </c>
      <c r="D2261" s="1" t="s">
        <v>48</v>
      </c>
      <c r="E2261" s="1" t="s">
        <v>196</v>
      </c>
    </row>
    <row r="2262" spans="1:5" x14ac:dyDescent="0.25">
      <c r="A2262" s="13">
        <v>1010000092</v>
      </c>
      <c r="B2262" s="11" t="s">
        <v>83</v>
      </c>
      <c r="C2262" s="1" t="s">
        <v>2940</v>
      </c>
      <c r="D2262" s="1" t="s">
        <v>47</v>
      </c>
      <c r="E2262" s="1" t="s">
        <v>21</v>
      </c>
    </row>
    <row r="2263" spans="1:5" x14ac:dyDescent="0.25">
      <c r="A2263" s="13">
        <v>1010002831</v>
      </c>
      <c r="B2263" s="11" t="s">
        <v>84</v>
      </c>
      <c r="C2263" s="1" t="s">
        <v>3357</v>
      </c>
      <c r="D2263" s="1" t="s">
        <v>36</v>
      </c>
      <c r="E2263" s="1" t="s">
        <v>26</v>
      </c>
    </row>
    <row r="2264" spans="1:5" x14ac:dyDescent="0.25">
      <c r="A2264" s="13">
        <v>1010007734</v>
      </c>
      <c r="B2264" s="11" t="s">
        <v>83</v>
      </c>
      <c r="C2264" s="1" t="s">
        <v>2938</v>
      </c>
      <c r="D2264" s="1" t="s">
        <v>2939</v>
      </c>
      <c r="E2264" s="1" t="s">
        <v>19</v>
      </c>
    </row>
    <row r="2265" spans="1:5" x14ac:dyDescent="0.25">
      <c r="A2265" s="13">
        <v>1010014722</v>
      </c>
      <c r="B2265" s="11" t="s">
        <v>84</v>
      </c>
      <c r="C2265" s="1" t="s">
        <v>2937</v>
      </c>
      <c r="D2265" s="1" t="s">
        <v>36</v>
      </c>
      <c r="E2265" s="1" t="s">
        <v>17</v>
      </c>
    </row>
    <row r="2266" spans="1:5" x14ac:dyDescent="0.25">
      <c r="A2266" s="13">
        <v>1010030349</v>
      </c>
      <c r="B2266" s="11" t="s">
        <v>84</v>
      </c>
      <c r="C2266" s="1" t="s">
        <v>2936</v>
      </c>
      <c r="D2266" s="1" t="s">
        <v>46</v>
      </c>
      <c r="E2266" s="1" t="s">
        <v>1</v>
      </c>
    </row>
    <row r="2267" spans="1:5" x14ac:dyDescent="0.25">
      <c r="A2267" s="13">
        <v>1010030506</v>
      </c>
      <c r="B2267" s="11" t="s">
        <v>84</v>
      </c>
      <c r="C2267" s="1" t="s">
        <v>2935</v>
      </c>
      <c r="D2267" s="1" t="s">
        <v>36</v>
      </c>
      <c r="E2267" s="1" t="s">
        <v>17</v>
      </c>
    </row>
    <row r="2268" spans="1:5" x14ac:dyDescent="0.25">
      <c r="A2268" s="13">
        <v>1010036822</v>
      </c>
      <c r="B2268" s="11" t="s">
        <v>83</v>
      </c>
      <c r="C2268" s="1" t="s">
        <v>2934</v>
      </c>
      <c r="D2268" s="1" t="s">
        <v>79</v>
      </c>
      <c r="E2268" s="1" t="s">
        <v>19</v>
      </c>
    </row>
    <row r="2269" spans="1:5" x14ac:dyDescent="0.25">
      <c r="A2269" s="13">
        <v>1010038936</v>
      </c>
      <c r="B2269" s="11" t="s">
        <v>83</v>
      </c>
      <c r="C2269" s="1" t="s">
        <v>3111</v>
      </c>
      <c r="D2269" s="1" t="s">
        <v>48</v>
      </c>
      <c r="E2269" s="1" t="s">
        <v>19</v>
      </c>
    </row>
    <row r="2270" spans="1:5" x14ac:dyDescent="0.25">
      <c r="A2270" s="13">
        <v>1010048433</v>
      </c>
      <c r="B2270" s="11" t="s">
        <v>83</v>
      </c>
      <c r="C2270" s="1" t="s">
        <v>3358</v>
      </c>
      <c r="D2270" s="1" t="s">
        <v>48</v>
      </c>
      <c r="E2270" s="1" t="s">
        <v>19</v>
      </c>
    </row>
    <row r="2271" spans="1:5" x14ac:dyDescent="0.25">
      <c r="A2271" s="13">
        <v>1010067412</v>
      </c>
      <c r="B2271" s="11" t="s">
        <v>84</v>
      </c>
      <c r="C2271" s="1" t="s">
        <v>3359</v>
      </c>
      <c r="D2271" s="1" t="s">
        <v>38</v>
      </c>
      <c r="E2271" s="1" t="s">
        <v>12</v>
      </c>
    </row>
    <row r="2272" spans="1:5" x14ac:dyDescent="0.25">
      <c r="A2272" s="13">
        <v>1010069060</v>
      </c>
      <c r="B2272" s="11" t="s">
        <v>84</v>
      </c>
      <c r="C2272" s="1" t="s">
        <v>3705</v>
      </c>
      <c r="D2272" s="1" t="s">
        <v>3325</v>
      </c>
      <c r="E2272" s="1" t="s">
        <v>3572</v>
      </c>
    </row>
    <row r="2273" spans="1:5" x14ac:dyDescent="0.25">
      <c r="A2273" s="13">
        <v>1010071662</v>
      </c>
      <c r="B2273" s="11" t="s">
        <v>84</v>
      </c>
      <c r="C2273" s="1" t="s">
        <v>2933</v>
      </c>
      <c r="D2273" s="1" t="s">
        <v>2310</v>
      </c>
      <c r="E2273" s="1" t="s">
        <v>22</v>
      </c>
    </row>
    <row r="2274" spans="1:5" x14ac:dyDescent="0.25">
      <c r="A2274" s="13">
        <v>1010111131</v>
      </c>
      <c r="B2274" s="11" t="s">
        <v>83</v>
      </c>
      <c r="C2274" s="1" t="s">
        <v>2932</v>
      </c>
      <c r="D2274" s="1" t="s">
        <v>44</v>
      </c>
      <c r="E2274" s="1" t="s">
        <v>16</v>
      </c>
    </row>
    <row r="2275" spans="1:5" x14ac:dyDescent="0.25">
      <c r="A2275" s="13">
        <v>1010121770</v>
      </c>
      <c r="B2275" s="11" t="s">
        <v>83</v>
      </c>
      <c r="C2275" s="1" t="s">
        <v>3178</v>
      </c>
      <c r="D2275" s="1" t="s">
        <v>48</v>
      </c>
      <c r="E2275" s="1" t="s">
        <v>19</v>
      </c>
    </row>
    <row r="2276" spans="1:5" x14ac:dyDescent="0.25">
      <c r="A2276" s="13">
        <v>1010129756</v>
      </c>
      <c r="B2276" s="11" t="s">
        <v>83</v>
      </c>
      <c r="C2276" s="1" t="s">
        <v>3360</v>
      </c>
      <c r="D2276" s="1" t="s">
        <v>3361</v>
      </c>
      <c r="E2276" s="1" t="s">
        <v>18</v>
      </c>
    </row>
    <row r="2277" spans="1:5" x14ac:dyDescent="0.25">
      <c r="A2277" s="13">
        <v>1010163849</v>
      </c>
      <c r="B2277" s="11" t="s">
        <v>84</v>
      </c>
      <c r="C2277" s="1" t="s">
        <v>3164</v>
      </c>
      <c r="D2277" s="1" t="s">
        <v>381</v>
      </c>
      <c r="E2277" s="1" t="s">
        <v>26</v>
      </c>
    </row>
    <row r="2278" spans="1:5" x14ac:dyDescent="0.25">
      <c r="A2278" s="13">
        <v>1010174892</v>
      </c>
      <c r="B2278" s="11" t="s">
        <v>84</v>
      </c>
      <c r="C2278" s="1" t="s">
        <v>3011</v>
      </c>
      <c r="D2278" s="1" t="s">
        <v>3362</v>
      </c>
      <c r="E2278" s="1" t="s">
        <v>17</v>
      </c>
    </row>
    <row r="2279" spans="1:5" x14ac:dyDescent="0.25">
      <c r="A2279" s="13">
        <v>1010175108</v>
      </c>
      <c r="B2279" s="11" t="s">
        <v>83</v>
      </c>
      <c r="C2279" s="1" t="s">
        <v>2931</v>
      </c>
      <c r="D2279" s="1" t="s">
        <v>47</v>
      </c>
      <c r="E2279" s="1" t="s">
        <v>142</v>
      </c>
    </row>
    <row r="2280" spans="1:5" x14ac:dyDescent="0.25">
      <c r="A2280" s="13">
        <v>1010175679</v>
      </c>
      <c r="B2280" s="11" t="s">
        <v>83</v>
      </c>
      <c r="C2280" s="1" t="s">
        <v>2930</v>
      </c>
      <c r="D2280" s="1" t="s">
        <v>47</v>
      </c>
      <c r="E2280" s="1" t="s">
        <v>499</v>
      </c>
    </row>
    <row r="2281" spans="1:5" x14ac:dyDescent="0.25">
      <c r="A2281" s="13">
        <v>1010175828</v>
      </c>
      <c r="B2281" s="11" t="s">
        <v>84</v>
      </c>
      <c r="C2281" s="1" t="s">
        <v>3044</v>
      </c>
      <c r="D2281" s="1" t="s">
        <v>38</v>
      </c>
      <c r="E2281" s="1" t="s">
        <v>5</v>
      </c>
    </row>
    <row r="2282" spans="1:5" x14ac:dyDescent="0.25">
      <c r="A2282" s="13">
        <v>1010180284</v>
      </c>
      <c r="B2282" s="11" t="s">
        <v>83</v>
      </c>
      <c r="C2282" s="1" t="s">
        <v>2929</v>
      </c>
      <c r="D2282" s="1" t="s">
        <v>246</v>
      </c>
      <c r="E2282" s="1" t="s">
        <v>19</v>
      </c>
    </row>
    <row r="2283" spans="1:5" x14ac:dyDescent="0.25">
      <c r="A2283" s="13">
        <v>1010182693</v>
      </c>
      <c r="B2283" s="11" t="s">
        <v>84</v>
      </c>
      <c r="C2283" s="1" t="s">
        <v>2928</v>
      </c>
      <c r="D2283" s="1" t="s">
        <v>38</v>
      </c>
      <c r="E2283" s="1" t="s">
        <v>8</v>
      </c>
    </row>
    <row r="2284" spans="1:5" x14ac:dyDescent="0.25">
      <c r="A2284" s="13">
        <v>1010182748</v>
      </c>
      <c r="B2284" s="11" t="s">
        <v>84</v>
      </c>
      <c r="C2284" s="1" t="s">
        <v>2926</v>
      </c>
      <c r="D2284" s="1" t="s">
        <v>2927</v>
      </c>
      <c r="E2284" s="1" t="s">
        <v>168</v>
      </c>
    </row>
    <row r="2285" spans="1:5" x14ac:dyDescent="0.25">
      <c r="A2285" s="13">
        <v>1010184333</v>
      </c>
      <c r="B2285" s="11" t="s">
        <v>83</v>
      </c>
      <c r="C2285" s="1" t="s">
        <v>3682</v>
      </c>
      <c r="D2285" s="1" t="s">
        <v>79</v>
      </c>
      <c r="E2285" s="1" t="s">
        <v>18</v>
      </c>
    </row>
    <row r="2286" spans="1:5" x14ac:dyDescent="0.25">
      <c r="A2286" s="13">
        <v>1010189117</v>
      </c>
      <c r="B2286" s="11" t="s">
        <v>84</v>
      </c>
      <c r="C2286" s="1" t="s">
        <v>2925</v>
      </c>
      <c r="D2286" s="1" t="s">
        <v>38</v>
      </c>
      <c r="E2286" s="1" t="s">
        <v>8</v>
      </c>
    </row>
    <row r="2287" spans="1:5" x14ac:dyDescent="0.25">
      <c r="A2287" s="13">
        <v>1010192158</v>
      </c>
      <c r="B2287" s="11" t="s">
        <v>116</v>
      </c>
      <c r="C2287" s="1" t="s">
        <v>2924</v>
      </c>
      <c r="D2287" s="1" t="s">
        <v>117</v>
      </c>
      <c r="E2287" s="1" t="s">
        <v>168</v>
      </c>
    </row>
    <row r="2288" spans="1:5" x14ac:dyDescent="0.25">
      <c r="A2288" s="13">
        <v>1010192961</v>
      </c>
      <c r="B2288" s="11" t="s">
        <v>83</v>
      </c>
      <c r="C2288" s="1" t="s">
        <v>3177</v>
      </c>
      <c r="D2288" s="1" t="s">
        <v>48</v>
      </c>
      <c r="E2288" s="1" t="s">
        <v>19</v>
      </c>
    </row>
    <row r="2289" spans="1:5" x14ac:dyDescent="0.25">
      <c r="A2289" s="13">
        <v>1010195608</v>
      </c>
      <c r="B2289" s="11" t="s">
        <v>83</v>
      </c>
      <c r="C2289" s="1" t="s">
        <v>2923</v>
      </c>
      <c r="D2289" s="1" t="s">
        <v>1170</v>
      </c>
      <c r="E2289" s="1" t="s">
        <v>248</v>
      </c>
    </row>
    <row r="2290" spans="1:5" x14ac:dyDescent="0.25">
      <c r="A2290" s="13">
        <v>1010196297</v>
      </c>
      <c r="B2290" s="11" t="s">
        <v>83</v>
      </c>
      <c r="C2290" s="1" t="s">
        <v>2922</v>
      </c>
      <c r="D2290" s="1" t="s">
        <v>47</v>
      </c>
      <c r="E2290" s="1" t="s">
        <v>16</v>
      </c>
    </row>
    <row r="2291" spans="1:5" x14ac:dyDescent="0.25">
      <c r="A2291" s="13">
        <v>1010197655</v>
      </c>
      <c r="B2291" s="11" t="s">
        <v>116</v>
      </c>
      <c r="C2291" s="1" t="s">
        <v>2921</v>
      </c>
      <c r="D2291" s="1" t="s">
        <v>117</v>
      </c>
      <c r="E2291" s="1" t="s">
        <v>168</v>
      </c>
    </row>
    <row r="2292" spans="1:5" x14ac:dyDescent="0.25">
      <c r="A2292" s="13">
        <v>1010197671</v>
      </c>
      <c r="B2292" s="11" t="s">
        <v>84</v>
      </c>
      <c r="C2292" s="1" t="s">
        <v>2920</v>
      </c>
      <c r="D2292" s="1" t="s">
        <v>103</v>
      </c>
      <c r="E2292" s="1" t="s">
        <v>1</v>
      </c>
    </row>
    <row r="2293" spans="1:5" x14ac:dyDescent="0.25">
      <c r="A2293" s="13">
        <v>1010199403</v>
      </c>
      <c r="B2293" s="11" t="s">
        <v>83</v>
      </c>
      <c r="C2293" s="1" t="s">
        <v>2919</v>
      </c>
      <c r="D2293" s="1" t="s">
        <v>47</v>
      </c>
      <c r="E2293" s="1" t="s">
        <v>26</v>
      </c>
    </row>
    <row r="2294" spans="1:5" x14ac:dyDescent="0.25">
      <c r="A2294" s="13">
        <v>1010202216</v>
      </c>
      <c r="B2294" s="11" t="s">
        <v>84</v>
      </c>
      <c r="C2294" s="1" t="s">
        <v>2918</v>
      </c>
      <c r="D2294" s="1" t="s">
        <v>36</v>
      </c>
      <c r="E2294" s="1" t="s">
        <v>17</v>
      </c>
    </row>
    <row r="2295" spans="1:5" x14ac:dyDescent="0.25">
      <c r="A2295" s="13">
        <v>1010205436</v>
      </c>
      <c r="B2295" s="11" t="s">
        <v>84</v>
      </c>
      <c r="C2295" s="1" t="s">
        <v>3020</v>
      </c>
      <c r="D2295" s="1" t="s">
        <v>3142</v>
      </c>
      <c r="E2295" s="1" t="s">
        <v>3071</v>
      </c>
    </row>
    <row r="2296" spans="1:5" x14ac:dyDescent="0.25">
      <c r="A2296" s="13">
        <v>1010208300</v>
      </c>
      <c r="B2296" s="11" t="s">
        <v>83</v>
      </c>
      <c r="C2296" s="1" t="s">
        <v>2917</v>
      </c>
      <c r="D2296" s="1" t="s">
        <v>47</v>
      </c>
      <c r="E2296" s="1" t="s">
        <v>263</v>
      </c>
    </row>
    <row r="2297" spans="1:5" x14ac:dyDescent="0.25">
      <c r="A2297" s="13">
        <v>1010209881</v>
      </c>
      <c r="B2297" s="11" t="s">
        <v>83</v>
      </c>
      <c r="C2297" s="1" t="s">
        <v>2916</v>
      </c>
      <c r="D2297" s="1" t="s">
        <v>47</v>
      </c>
      <c r="E2297" s="1" t="s">
        <v>19</v>
      </c>
    </row>
    <row r="2298" spans="1:5" x14ac:dyDescent="0.25">
      <c r="A2298" s="13">
        <v>1010210488</v>
      </c>
      <c r="B2298" s="11" t="s">
        <v>83</v>
      </c>
      <c r="C2298" s="1" t="s">
        <v>2915</v>
      </c>
      <c r="D2298" s="1" t="s">
        <v>54</v>
      </c>
      <c r="E2298" s="1" t="s">
        <v>16</v>
      </c>
    </row>
    <row r="2299" spans="1:5" x14ac:dyDescent="0.25">
      <c r="A2299" s="13">
        <v>1010210844</v>
      </c>
      <c r="B2299" s="11" t="s">
        <v>83</v>
      </c>
      <c r="C2299" s="1" t="s">
        <v>2914</v>
      </c>
      <c r="D2299" s="1" t="s">
        <v>47</v>
      </c>
      <c r="E2299" s="1" t="s">
        <v>29</v>
      </c>
    </row>
    <row r="2300" spans="1:5" x14ac:dyDescent="0.25">
      <c r="A2300" s="13">
        <v>1010217487</v>
      </c>
      <c r="B2300" s="11" t="s">
        <v>109</v>
      </c>
      <c r="C2300" s="1" t="s">
        <v>2913</v>
      </c>
      <c r="D2300" s="1" t="s">
        <v>366</v>
      </c>
      <c r="E2300" s="1" t="s">
        <v>1128</v>
      </c>
    </row>
    <row r="2301" spans="1:5" x14ac:dyDescent="0.25">
      <c r="A2301" s="13">
        <v>1010221649</v>
      </c>
      <c r="B2301" s="11" t="s">
        <v>83</v>
      </c>
      <c r="C2301" s="1" t="s">
        <v>2912</v>
      </c>
      <c r="D2301" s="1" t="s">
        <v>54</v>
      </c>
      <c r="E2301" s="1" t="s">
        <v>16</v>
      </c>
    </row>
    <row r="2302" spans="1:5" x14ac:dyDescent="0.25">
      <c r="A2302" s="13">
        <v>1010225317</v>
      </c>
      <c r="B2302" s="11" t="s">
        <v>83</v>
      </c>
      <c r="C2302" s="1" t="s">
        <v>2911</v>
      </c>
      <c r="D2302" s="1" t="s">
        <v>47</v>
      </c>
      <c r="E2302" s="1" t="s">
        <v>20</v>
      </c>
    </row>
    <row r="2303" spans="1:5" x14ac:dyDescent="0.25">
      <c r="A2303" s="13">
        <v>1010235495</v>
      </c>
      <c r="B2303" s="11" t="s">
        <v>84</v>
      </c>
      <c r="C2303" s="1" t="s">
        <v>3055</v>
      </c>
      <c r="D2303" s="1" t="s">
        <v>3145</v>
      </c>
      <c r="E2303" s="1" t="s">
        <v>1</v>
      </c>
    </row>
    <row r="2304" spans="1:5" x14ac:dyDescent="0.25">
      <c r="A2304" s="13">
        <v>1010237437</v>
      </c>
      <c r="B2304" s="11" t="s">
        <v>84</v>
      </c>
      <c r="C2304" s="1" t="s">
        <v>2910</v>
      </c>
      <c r="D2304" s="1" t="s">
        <v>36</v>
      </c>
      <c r="E2304" s="1" t="s">
        <v>1</v>
      </c>
    </row>
    <row r="2305" spans="1:5" x14ac:dyDescent="0.25">
      <c r="A2305" s="13">
        <v>1011095300</v>
      </c>
      <c r="B2305" s="11" t="s">
        <v>84</v>
      </c>
      <c r="C2305" s="1" t="s">
        <v>3601</v>
      </c>
      <c r="D2305" s="1" t="s">
        <v>3325</v>
      </c>
      <c r="E2305" s="1" t="s">
        <v>3572</v>
      </c>
    </row>
    <row r="2306" spans="1:5" x14ac:dyDescent="0.25">
      <c r="A2306" s="13">
        <v>1012321853</v>
      </c>
      <c r="B2306" s="11" t="s">
        <v>83</v>
      </c>
      <c r="C2306" s="1" t="s">
        <v>2909</v>
      </c>
      <c r="D2306" s="1" t="s">
        <v>199</v>
      </c>
      <c r="E2306" s="1" t="s">
        <v>21</v>
      </c>
    </row>
    <row r="2307" spans="1:5" x14ac:dyDescent="0.25">
      <c r="A2307" s="13">
        <v>1012323486</v>
      </c>
      <c r="B2307" s="11" t="s">
        <v>83</v>
      </c>
      <c r="C2307" s="1" t="s">
        <v>2908</v>
      </c>
      <c r="D2307" s="1" t="s">
        <v>1170</v>
      </c>
      <c r="E2307" s="1" t="s">
        <v>248</v>
      </c>
    </row>
    <row r="2308" spans="1:5" x14ac:dyDescent="0.25">
      <c r="A2308" s="13">
        <v>1012326825</v>
      </c>
      <c r="B2308" s="11" t="s">
        <v>83</v>
      </c>
      <c r="C2308" s="1" t="s">
        <v>2907</v>
      </c>
      <c r="D2308" s="1" t="s">
        <v>141</v>
      </c>
      <c r="E2308" s="1" t="s">
        <v>16</v>
      </c>
    </row>
    <row r="2309" spans="1:5" x14ac:dyDescent="0.25">
      <c r="A2309" s="13">
        <v>1012330728</v>
      </c>
      <c r="B2309" s="11" t="s">
        <v>84</v>
      </c>
      <c r="C2309" s="1" t="s">
        <v>3363</v>
      </c>
      <c r="D2309" s="1" t="s">
        <v>43</v>
      </c>
      <c r="E2309" s="1" t="s">
        <v>10</v>
      </c>
    </row>
    <row r="2310" spans="1:5" x14ac:dyDescent="0.25">
      <c r="A2310" s="13">
        <v>1012333612</v>
      </c>
      <c r="B2310" s="11" t="s">
        <v>83</v>
      </c>
      <c r="C2310" s="1" t="s">
        <v>2906</v>
      </c>
      <c r="D2310" s="1" t="s">
        <v>35</v>
      </c>
      <c r="E2310" s="1" t="s">
        <v>4</v>
      </c>
    </row>
    <row r="2311" spans="1:5" x14ac:dyDescent="0.25">
      <c r="A2311" s="13">
        <v>1012337508</v>
      </c>
      <c r="B2311" s="11" t="s">
        <v>83</v>
      </c>
      <c r="C2311" s="1" t="s">
        <v>3364</v>
      </c>
      <c r="D2311" s="1" t="s">
        <v>79</v>
      </c>
      <c r="E2311" s="1" t="s">
        <v>20</v>
      </c>
    </row>
    <row r="2312" spans="1:5" x14ac:dyDescent="0.25">
      <c r="A2312" s="13">
        <v>1012338489</v>
      </c>
      <c r="B2312" s="11" t="s">
        <v>84</v>
      </c>
      <c r="C2312" s="1" t="s">
        <v>3602</v>
      </c>
      <c r="D2312" s="1" t="s">
        <v>381</v>
      </c>
      <c r="E2312" s="1" t="s">
        <v>26</v>
      </c>
    </row>
    <row r="2313" spans="1:5" x14ac:dyDescent="0.25">
      <c r="A2313" s="13">
        <v>1012340121</v>
      </c>
      <c r="B2313" s="11" t="s">
        <v>84</v>
      </c>
      <c r="C2313" s="1" t="s">
        <v>2905</v>
      </c>
      <c r="D2313" s="1" t="s">
        <v>43</v>
      </c>
      <c r="E2313" s="1" t="s">
        <v>5</v>
      </c>
    </row>
    <row r="2314" spans="1:5" x14ac:dyDescent="0.25">
      <c r="A2314" s="13">
        <v>1012352713</v>
      </c>
      <c r="B2314" s="11" t="s">
        <v>83</v>
      </c>
      <c r="C2314" s="1" t="s">
        <v>2904</v>
      </c>
      <c r="D2314" s="1" t="s">
        <v>47</v>
      </c>
      <c r="E2314" s="1" t="s">
        <v>19</v>
      </c>
    </row>
    <row r="2315" spans="1:5" x14ac:dyDescent="0.25">
      <c r="A2315" s="13">
        <v>1012357415</v>
      </c>
      <c r="B2315" s="11" t="s">
        <v>83</v>
      </c>
      <c r="C2315" s="1" t="s">
        <v>2903</v>
      </c>
      <c r="D2315" s="1" t="s">
        <v>3365</v>
      </c>
      <c r="E2315" s="1" t="s">
        <v>210</v>
      </c>
    </row>
    <row r="2316" spans="1:5" x14ac:dyDescent="0.25">
      <c r="A2316" s="13">
        <v>1012368958</v>
      </c>
      <c r="B2316" s="11" t="s">
        <v>109</v>
      </c>
      <c r="C2316" s="1" t="s">
        <v>2902</v>
      </c>
      <c r="D2316" s="1" t="s">
        <v>464</v>
      </c>
      <c r="E2316" s="1" t="s">
        <v>1128</v>
      </c>
    </row>
    <row r="2317" spans="1:5" x14ac:dyDescent="0.25">
      <c r="A2317" s="13">
        <v>1012372381</v>
      </c>
      <c r="B2317" s="11" t="s">
        <v>109</v>
      </c>
      <c r="C2317" s="1" t="s">
        <v>2901</v>
      </c>
      <c r="D2317" s="1" t="s">
        <v>464</v>
      </c>
      <c r="E2317" s="1" t="s">
        <v>1128</v>
      </c>
    </row>
    <row r="2318" spans="1:5" x14ac:dyDescent="0.25">
      <c r="A2318" s="13">
        <v>1012373048</v>
      </c>
      <c r="B2318" s="11" t="s">
        <v>83</v>
      </c>
      <c r="C2318" s="1" t="s">
        <v>3065</v>
      </c>
      <c r="D2318" s="1" t="s">
        <v>48</v>
      </c>
      <c r="E2318" s="1" t="s">
        <v>19</v>
      </c>
    </row>
    <row r="2319" spans="1:5" x14ac:dyDescent="0.25">
      <c r="A2319" s="13">
        <v>1012373982</v>
      </c>
      <c r="B2319" s="11" t="s">
        <v>83</v>
      </c>
      <c r="C2319" s="1" t="s">
        <v>2900</v>
      </c>
      <c r="D2319" s="1" t="s">
        <v>47</v>
      </c>
      <c r="E2319" s="1" t="s">
        <v>29</v>
      </c>
    </row>
    <row r="2320" spans="1:5" x14ac:dyDescent="0.25">
      <c r="A2320" s="13">
        <v>1012380181</v>
      </c>
      <c r="B2320" s="11" t="s">
        <v>83</v>
      </c>
      <c r="C2320" s="1" t="s">
        <v>2899</v>
      </c>
      <c r="D2320" s="1" t="s">
        <v>290</v>
      </c>
      <c r="E2320" s="1" t="s">
        <v>23</v>
      </c>
    </row>
    <row r="2321" spans="1:5" x14ac:dyDescent="0.25">
      <c r="A2321" s="13">
        <v>1012385176</v>
      </c>
      <c r="B2321" s="11" t="s">
        <v>83</v>
      </c>
      <c r="C2321" s="1" t="s">
        <v>2898</v>
      </c>
      <c r="D2321" s="1" t="s">
        <v>47</v>
      </c>
      <c r="E2321" s="1" t="s">
        <v>19</v>
      </c>
    </row>
    <row r="2322" spans="1:5" x14ac:dyDescent="0.25">
      <c r="A2322" s="13">
        <v>1012393470</v>
      </c>
      <c r="B2322" s="11" t="s">
        <v>84</v>
      </c>
      <c r="C2322" s="1" t="s">
        <v>3366</v>
      </c>
      <c r="D2322" s="1" t="s">
        <v>38</v>
      </c>
      <c r="E2322" s="1" t="s">
        <v>14</v>
      </c>
    </row>
    <row r="2323" spans="1:5" x14ac:dyDescent="0.25">
      <c r="A2323" s="13">
        <v>1012398519</v>
      </c>
      <c r="B2323" s="11" t="s">
        <v>84</v>
      </c>
      <c r="C2323" s="1" t="s">
        <v>3367</v>
      </c>
      <c r="D2323" s="1" t="s">
        <v>38</v>
      </c>
      <c r="E2323" s="1" t="s">
        <v>328</v>
      </c>
    </row>
    <row r="2324" spans="1:5" x14ac:dyDescent="0.25">
      <c r="A2324" s="13">
        <v>1012401654</v>
      </c>
      <c r="B2324" s="11" t="s">
        <v>116</v>
      </c>
      <c r="C2324" s="1" t="s">
        <v>2897</v>
      </c>
      <c r="D2324" s="1" t="s">
        <v>117</v>
      </c>
      <c r="E2324" s="1" t="s">
        <v>3</v>
      </c>
    </row>
    <row r="2325" spans="1:5" x14ac:dyDescent="0.25">
      <c r="A2325" s="13">
        <v>1012402256</v>
      </c>
      <c r="B2325" s="11" t="s">
        <v>83</v>
      </c>
      <c r="C2325" s="1" t="s">
        <v>2895</v>
      </c>
      <c r="D2325" s="1" t="s">
        <v>2896</v>
      </c>
      <c r="E2325" s="1" t="s">
        <v>19</v>
      </c>
    </row>
    <row r="2326" spans="1:5" x14ac:dyDescent="0.25">
      <c r="A2326" s="13">
        <v>1012402939</v>
      </c>
      <c r="B2326" s="11" t="s">
        <v>83</v>
      </c>
      <c r="C2326" s="1" t="s">
        <v>2894</v>
      </c>
      <c r="D2326" s="1" t="s">
        <v>47</v>
      </c>
      <c r="E2326" s="1" t="s">
        <v>19</v>
      </c>
    </row>
    <row r="2327" spans="1:5" x14ac:dyDescent="0.25">
      <c r="A2327" s="13">
        <v>1012406837</v>
      </c>
      <c r="B2327" s="11" t="s">
        <v>83</v>
      </c>
      <c r="C2327" s="1" t="s">
        <v>2893</v>
      </c>
      <c r="D2327" s="1" t="s">
        <v>47</v>
      </c>
      <c r="E2327" s="1" t="s">
        <v>27</v>
      </c>
    </row>
    <row r="2328" spans="1:5" x14ac:dyDescent="0.25">
      <c r="A2328" s="13">
        <v>1012420296</v>
      </c>
      <c r="B2328" s="11" t="s">
        <v>83</v>
      </c>
      <c r="C2328" s="1" t="s">
        <v>3368</v>
      </c>
      <c r="D2328" s="1" t="s">
        <v>3202</v>
      </c>
      <c r="E2328" s="1" t="s">
        <v>19</v>
      </c>
    </row>
    <row r="2329" spans="1:5" x14ac:dyDescent="0.25">
      <c r="A2329" s="13">
        <v>1012421044</v>
      </c>
      <c r="B2329" s="11" t="s">
        <v>83</v>
      </c>
      <c r="C2329" s="1" t="s">
        <v>3369</v>
      </c>
      <c r="D2329" s="1" t="s">
        <v>2857</v>
      </c>
      <c r="E2329" s="1" t="s">
        <v>30</v>
      </c>
    </row>
    <row r="2330" spans="1:5" x14ac:dyDescent="0.25">
      <c r="A2330" s="13">
        <v>1012424280</v>
      </c>
      <c r="B2330" s="11" t="s">
        <v>84</v>
      </c>
      <c r="C2330" s="1" t="s">
        <v>3091</v>
      </c>
      <c r="D2330" s="1" t="s">
        <v>52</v>
      </c>
      <c r="E2330" s="1" t="s">
        <v>22</v>
      </c>
    </row>
    <row r="2331" spans="1:5" x14ac:dyDescent="0.25">
      <c r="A2331" s="13">
        <v>1012426741</v>
      </c>
      <c r="B2331" s="11" t="s">
        <v>83</v>
      </c>
      <c r="C2331" s="1" t="s">
        <v>3370</v>
      </c>
      <c r="D2331" s="1" t="s">
        <v>3603</v>
      </c>
      <c r="E2331" s="1" t="s">
        <v>3595</v>
      </c>
    </row>
    <row r="2332" spans="1:5" x14ac:dyDescent="0.25">
      <c r="A2332" s="13">
        <v>1012428447</v>
      </c>
      <c r="B2332" s="11" t="s">
        <v>84</v>
      </c>
      <c r="C2332" s="1" t="s">
        <v>2892</v>
      </c>
      <c r="D2332" s="1" t="s">
        <v>47</v>
      </c>
      <c r="E2332" s="1" t="s">
        <v>8</v>
      </c>
    </row>
    <row r="2333" spans="1:5" x14ac:dyDescent="0.25">
      <c r="A2333" s="13">
        <v>1012430948</v>
      </c>
      <c r="B2333" s="11" t="s">
        <v>83</v>
      </c>
      <c r="C2333" s="1" t="s">
        <v>2891</v>
      </c>
      <c r="D2333" s="1" t="s">
        <v>44</v>
      </c>
      <c r="E2333" s="1" t="s">
        <v>16</v>
      </c>
    </row>
    <row r="2334" spans="1:5" x14ac:dyDescent="0.25">
      <c r="A2334" s="13">
        <v>1012433838</v>
      </c>
      <c r="B2334" s="11" t="s">
        <v>84</v>
      </c>
      <c r="C2334" s="1" t="s">
        <v>2890</v>
      </c>
      <c r="D2334" s="1" t="s">
        <v>38</v>
      </c>
      <c r="E2334" s="1" t="s">
        <v>12</v>
      </c>
    </row>
    <row r="2335" spans="1:5" x14ac:dyDescent="0.25">
      <c r="A2335" s="13">
        <v>1012454045</v>
      </c>
      <c r="B2335" s="11" t="s">
        <v>84</v>
      </c>
      <c r="C2335" s="1" t="s">
        <v>2889</v>
      </c>
      <c r="D2335" s="1" t="s">
        <v>36</v>
      </c>
      <c r="E2335" s="1" t="s">
        <v>17</v>
      </c>
    </row>
    <row r="2336" spans="1:5" x14ac:dyDescent="0.25">
      <c r="A2336" s="13">
        <v>1012461032</v>
      </c>
      <c r="B2336" s="11" t="s">
        <v>83</v>
      </c>
      <c r="C2336" s="1" t="s">
        <v>2888</v>
      </c>
      <c r="D2336" s="1" t="s">
        <v>36</v>
      </c>
      <c r="E2336" s="1" t="s">
        <v>21</v>
      </c>
    </row>
    <row r="2337" spans="1:5" x14ac:dyDescent="0.25">
      <c r="A2337" s="13">
        <v>1013098430</v>
      </c>
      <c r="B2337" s="11" t="s">
        <v>83</v>
      </c>
      <c r="C2337" s="1" t="s">
        <v>3686</v>
      </c>
      <c r="D2337" s="1" t="s">
        <v>79</v>
      </c>
      <c r="E2337" s="1" t="s">
        <v>196</v>
      </c>
    </row>
    <row r="2338" spans="1:5" x14ac:dyDescent="0.25">
      <c r="A2338" s="13">
        <v>1013098645</v>
      </c>
      <c r="B2338" s="11" t="s">
        <v>83</v>
      </c>
      <c r="C2338" s="1" t="s">
        <v>2887</v>
      </c>
      <c r="D2338" s="1" t="s">
        <v>2857</v>
      </c>
      <c r="E2338" s="1" t="s">
        <v>30</v>
      </c>
    </row>
    <row r="2339" spans="1:5" x14ac:dyDescent="0.25">
      <c r="A2339" s="13">
        <v>1013101788</v>
      </c>
      <c r="B2339" s="11" t="s">
        <v>83</v>
      </c>
      <c r="C2339" s="1" t="s">
        <v>3687</v>
      </c>
      <c r="D2339" s="1" t="s">
        <v>79</v>
      </c>
      <c r="E2339" s="1" t="s">
        <v>196</v>
      </c>
    </row>
    <row r="2340" spans="1:5" x14ac:dyDescent="0.25">
      <c r="A2340" s="13">
        <v>1013578781</v>
      </c>
      <c r="B2340" s="11" t="s">
        <v>83</v>
      </c>
      <c r="C2340" s="1" t="s">
        <v>2886</v>
      </c>
      <c r="D2340" s="1" t="s">
        <v>1170</v>
      </c>
      <c r="E2340" s="1" t="s">
        <v>248</v>
      </c>
    </row>
    <row r="2341" spans="1:5" x14ac:dyDescent="0.25">
      <c r="A2341" s="13">
        <v>1013584921</v>
      </c>
      <c r="B2341" s="11" t="s">
        <v>83</v>
      </c>
      <c r="C2341" s="1" t="s">
        <v>2885</v>
      </c>
      <c r="D2341" s="1" t="s">
        <v>97</v>
      </c>
      <c r="E2341" s="1" t="s">
        <v>19</v>
      </c>
    </row>
    <row r="2342" spans="1:5" x14ac:dyDescent="0.25">
      <c r="A2342" s="13">
        <v>1013585111</v>
      </c>
      <c r="B2342" s="11" t="s">
        <v>83</v>
      </c>
      <c r="C2342" s="1" t="s">
        <v>2884</v>
      </c>
      <c r="D2342" s="1" t="s">
        <v>47</v>
      </c>
      <c r="E2342" s="1" t="s">
        <v>27</v>
      </c>
    </row>
    <row r="2343" spans="1:5" x14ac:dyDescent="0.25">
      <c r="A2343" s="13">
        <v>1013591018</v>
      </c>
      <c r="B2343" s="11" t="s">
        <v>83</v>
      </c>
      <c r="C2343" s="1" t="s">
        <v>3371</v>
      </c>
      <c r="D2343" s="1" t="s">
        <v>48</v>
      </c>
      <c r="E2343" s="1" t="s">
        <v>196</v>
      </c>
    </row>
    <row r="2344" spans="1:5" x14ac:dyDescent="0.25">
      <c r="A2344" s="13">
        <v>1013591216</v>
      </c>
      <c r="B2344" s="11" t="s">
        <v>84</v>
      </c>
      <c r="C2344" s="1" t="s">
        <v>2883</v>
      </c>
      <c r="D2344" s="1" t="s">
        <v>38</v>
      </c>
      <c r="E2344" s="1" t="s">
        <v>170</v>
      </c>
    </row>
    <row r="2345" spans="1:5" x14ac:dyDescent="0.25">
      <c r="A2345" s="13">
        <v>1013591657</v>
      </c>
      <c r="B2345" s="11" t="s">
        <v>84</v>
      </c>
      <c r="C2345" s="1" t="s">
        <v>3372</v>
      </c>
      <c r="D2345" s="1" t="s">
        <v>36</v>
      </c>
      <c r="E2345" s="1" t="s">
        <v>541</v>
      </c>
    </row>
    <row r="2346" spans="1:5" x14ac:dyDescent="0.25">
      <c r="A2346" s="13">
        <v>1013592933</v>
      </c>
      <c r="B2346" s="11" t="s">
        <v>116</v>
      </c>
      <c r="C2346" s="1" t="s">
        <v>3604</v>
      </c>
      <c r="D2346" s="1" t="s">
        <v>117</v>
      </c>
      <c r="E2346" s="1" t="s">
        <v>3190</v>
      </c>
    </row>
    <row r="2347" spans="1:5" x14ac:dyDescent="0.25">
      <c r="A2347" s="13">
        <v>1013592949</v>
      </c>
      <c r="B2347" s="11" t="s">
        <v>83</v>
      </c>
      <c r="C2347" s="1" t="s">
        <v>2882</v>
      </c>
      <c r="D2347" s="1" t="s">
        <v>47</v>
      </c>
      <c r="E2347" s="1" t="s">
        <v>123</v>
      </c>
    </row>
    <row r="2348" spans="1:5" x14ac:dyDescent="0.25">
      <c r="A2348" s="13">
        <v>1013600015</v>
      </c>
      <c r="B2348" s="11" t="s">
        <v>84</v>
      </c>
      <c r="C2348" s="1" t="s">
        <v>2881</v>
      </c>
      <c r="D2348" s="1" t="s">
        <v>424</v>
      </c>
      <c r="E2348" s="1" t="s">
        <v>142</v>
      </c>
    </row>
    <row r="2349" spans="1:5" x14ac:dyDescent="0.25">
      <c r="A2349" s="13">
        <v>1013601510</v>
      </c>
      <c r="B2349" s="11" t="s">
        <v>83</v>
      </c>
      <c r="C2349" s="1" t="s">
        <v>3163</v>
      </c>
      <c r="D2349" s="1" t="s">
        <v>48</v>
      </c>
      <c r="E2349" s="1" t="s">
        <v>19</v>
      </c>
    </row>
    <row r="2350" spans="1:5" x14ac:dyDescent="0.25">
      <c r="A2350" s="13">
        <v>1013603511</v>
      </c>
      <c r="B2350" s="11" t="s">
        <v>83</v>
      </c>
      <c r="C2350" s="1" t="s">
        <v>2880</v>
      </c>
      <c r="D2350" s="1" t="s">
        <v>47</v>
      </c>
      <c r="E2350" s="1" t="s">
        <v>26</v>
      </c>
    </row>
    <row r="2351" spans="1:5" x14ac:dyDescent="0.25">
      <c r="A2351" s="13">
        <v>1013604369</v>
      </c>
      <c r="B2351" s="11" t="s">
        <v>83</v>
      </c>
      <c r="C2351" s="1" t="s">
        <v>2879</v>
      </c>
      <c r="D2351" s="1" t="s">
        <v>47</v>
      </c>
      <c r="E2351" s="1" t="s">
        <v>242</v>
      </c>
    </row>
    <row r="2352" spans="1:5" x14ac:dyDescent="0.25">
      <c r="A2352" s="13">
        <v>1013604920</v>
      </c>
      <c r="B2352" s="11" t="s">
        <v>84</v>
      </c>
      <c r="C2352" s="1" t="s">
        <v>2878</v>
      </c>
      <c r="D2352" s="1" t="s">
        <v>52</v>
      </c>
      <c r="E2352" s="1" t="s">
        <v>22</v>
      </c>
    </row>
    <row r="2353" spans="1:5" x14ac:dyDescent="0.25">
      <c r="A2353" s="13">
        <v>1013608348</v>
      </c>
      <c r="B2353" s="11" t="s">
        <v>83</v>
      </c>
      <c r="C2353" s="1" t="s">
        <v>2877</v>
      </c>
      <c r="D2353" s="1" t="s">
        <v>47</v>
      </c>
      <c r="E2353" s="1" t="s">
        <v>16</v>
      </c>
    </row>
    <row r="2354" spans="1:5" x14ac:dyDescent="0.25">
      <c r="A2354" s="13">
        <v>1013608575</v>
      </c>
      <c r="B2354" s="11" t="s">
        <v>84</v>
      </c>
      <c r="C2354" s="1" t="s">
        <v>2876</v>
      </c>
      <c r="D2354" s="1" t="s">
        <v>38</v>
      </c>
      <c r="E2354" s="1" t="s">
        <v>14</v>
      </c>
    </row>
    <row r="2355" spans="1:5" x14ac:dyDescent="0.25">
      <c r="A2355" s="13">
        <v>1013610519</v>
      </c>
      <c r="B2355" s="11" t="s">
        <v>83</v>
      </c>
      <c r="C2355" s="1" t="s">
        <v>2875</v>
      </c>
      <c r="D2355" s="1" t="s">
        <v>1222</v>
      </c>
      <c r="E2355" s="1" t="s">
        <v>272</v>
      </c>
    </row>
    <row r="2356" spans="1:5" x14ac:dyDescent="0.25">
      <c r="A2356" s="13">
        <v>1013612613</v>
      </c>
      <c r="B2356" s="11" t="s">
        <v>84</v>
      </c>
      <c r="C2356" s="1" t="s">
        <v>3110</v>
      </c>
      <c r="D2356" s="1" t="s">
        <v>38</v>
      </c>
      <c r="E2356" s="1" t="s">
        <v>8</v>
      </c>
    </row>
    <row r="2357" spans="1:5" x14ac:dyDescent="0.25">
      <c r="A2357" s="13">
        <v>1013616244</v>
      </c>
      <c r="B2357" s="11" t="s">
        <v>83</v>
      </c>
      <c r="C2357" s="1" t="s">
        <v>3373</v>
      </c>
      <c r="D2357" s="1" t="s">
        <v>41</v>
      </c>
      <c r="E2357" s="1" t="s">
        <v>30</v>
      </c>
    </row>
    <row r="2358" spans="1:5" x14ac:dyDescent="0.25">
      <c r="A2358" s="13">
        <v>1013618540</v>
      </c>
      <c r="B2358" s="11" t="s">
        <v>84</v>
      </c>
      <c r="C2358" s="1" t="s">
        <v>2874</v>
      </c>
      <c r="D2358" s="1" t="s">
        <v>38</v>
      </c>
      <c r="E2358" s="1" t="s">
        <v>8</v>
      </c>
    </row>
    <row r="2359" spans="1:5" x14ac:dyDescent="0.25">
      <c r="A2359" s="13">
        <v>1013622723</v>
      </c>
      <c r="B2359" s="11" t="s">
        <v>84</v>
      </c>
      <c r="C2359" s="1" t="s">
        <v>2873</v>
      </c>
      <c r="D2359" s="1" t="s">
        <v>38</v>
      </c>
      <c r="E2359" s="1" t="s">
        <v>14</v>
      </c>
    </row>
    <row r="2360" spans="1:5" x14ac:dyDescent="0.25">
      <c r="A2360" s="13">
        <v>1013624809</v>
      </c>
      <c r="B2360" s="11" t="s">
        <v>83</v>
      </c>
      <c r="C2360" s="1" t="s">
        <v>2872</v>
      </c>
      <c r="D2360" s="1" t="s">
        <v>79</v>
      </c>
      <c r="E2360" s="1" t="s">
        <v>24</v>
      </c>
    </row>
    <row r="2361" spans="1:5" x14ac:dyDescent="0.25">
      <c r="A2361" s="13">
        <v>1013625549</v>
      </c>
      <c r="B2361" s="11" t="s">
        <v>83</v>
      </c>
      <c r="C2361" s="1" t="s">
        <v>2871</v>
      </c>
      <c r="D2361" s="1" t="s">
        <v>141</v>
      </c>
      <c r="E2361" s="1" t="s">
        <v>242</v>
      </c>
    </row>
    <row r="2362" spans="1:5" x14ac:dyDescent="0.25">
      <c r="A2362" s="13">
        <v>1013629101</v>
      </c>
      <c r="B2362" s="11" t="s">
        <v>83</v>
      </c>
      <c r="C2362" s="1" t="s">
        <v>3064</v>
      </c>
      <c r="D2362" s="1" t="s">
        <v>48</v>
      </c>
      <c r="E2362" s="1" t="s">
        <v>19</v>
      </c>
    </row>
    <row r="2363" spans="1:5" x14ac:dyDescent="0.25">
      <c r="A2363" s="13">
        <v>1013632733</v>
      </c>
      <c r="B2363" s="11" t="s">
        <v>83</v>
      </c>
      <c r="C2363" s="1" t="s">
        <v>2870</v>
      </c>
      <c r="D2363" s="1" t="s">
        <v>95</v>
      </c>
      <c r="E2363" s="1" t="s">
        <v>19</v>
      </c>
    </row>
    <row r="2364" spans="1:5" x14ac:dyDescent="0.25">
      <c r="A2364" s="13">
        <v>1013636689</v>
      </c>
      <c r="B2364" s="11" t="s">
        <v>84</v>
      </c>
      <c r="C2364" s="1" t="s">
        <v>2869</v>
      </c>
      <c r="D2364" s="1" t="s">
        <v>38</v>
      </c>
      <c r="E2364" s="1" t="s">
        <v>10</v>
      </c>
    </row>
    <row r="2365" spans="1:5" x14ac:dyDescent="0.25">
      <c r="A2365" s="13">
        <v>1013638331</v>
      </c>
      <c r="B2365" s="11" t="s">
        <v>84</v>
      </c>
      <c r="C2365" s="1" t="s">
        <v>2867</v>
      </c>
      <c r="D2365" s="1" t="s">
        <v>2868</v>
      </c>
      <c r="E2365" s="1" t="s">
        <v>1</v>
      </c>
    </row>
    <row r="2366" spans="1:5" x14ac:dyDescent="0.25">
      <c r="A2366" s="13">
        <v>1013640418</v>
      </c>
      <c r="B2366" s="11" t="s">
        <v>83</v>
      </c>
      <c r="C2366" s="1" t="s">
        <v>2866</v>
      </c>
      <c r="D2366" s="1" t="s">
        <v>47</v>
      </c>
      <c r="E2366" s="1" t="s">
        <v>16</v>
      </c>
    </row>
    <row r="2367" spans="1:5" x14ac:dyDescent="0.25">
      <c r="A2367" s="13">
        <v>1013642915</v>
      </c>
      <c r="B2367" s="11" t="s">
        <v>84</v>
      </c>
      <c r="C2367" s="1" t="s">
        <v>3374</v>
      </c>
      <c r="D2367" s="1" t="s">
        <v>38</v>
      </c>
      <c r="E2367" s="1" t="s">
        <v>134</v>
      </c>
    </row>
    <row r="2368" spans="1:5" x14ac:dyDescent="0.25">
      <c r="A2368" s="13">
        <v>1013648717</v>
      </c>
      <c r="B2368" s="11" t="s">
        <v>83</v>
      </c>
      <c r="C2368" s="1" t="s">
        <v>2865</v>
      </c>
      <c r="D2368" s="1" t="s">
        <v>90</v>
      </c>
      <c r="E2368" s="1" t="s">
        <v>19</v>
      </c>
    </row>
    <row r="2369" spans="1:5" x14ac:dyDescent="0.25">
      <c r="A2369" s="13">
        <v>1013653984</v>
      </c>
      <c r="B2369" s="11" t="s">
        <v>84</v>
      </c>
      <c r="C2369" s="1" t="s">
        <v>2864</v>
      </c>
      <c r="D2369" s="1" t="s">
        <v>47</v>
      </c>
      <c r="E2369" s="1" t="s">
        <v>2349</v>
      </c>
    </row>
    <row r="2370" spans="1:5" x14ac:dyDescent="0.25">
      <c r="A2370" s="13">
        <v>1013656543</v>
      </c>
      <c r="B2370" s="11" t="s">
        <v>83</v>
      </c>
      <c r="C2370" s="1" t="s">
        <v>2863</v>
      </c>
      <c r="D2370" s="1" t="s">
        <v>48</v>
      </c>
      <c r="E2370" s="1" t="s">
        <v>19</v>
      </c>
    </row>
    <row r="2371" spans="1:5" x14ac:dyDescent="0.25">
      <c r="A2371" s="13">
        <v>1013668166</v>
      </c>
      <c r="B2371" s="11" t="s">
        <v>84</v>
      </c>
      <c r="C2371" s="1" t="s">
        <v>3010</v>
      </c>
      <c r="D2371" s="1" t="s">
        <v>38</v>
      </c>
      <c r="E2371" s="1" t="s">
        <v>3</v>
      </c>
    </row>
    <row r="2372" spans="1:5" x14ac:dyDescent="0.25">
      <c r="A2372" s="13">
        <v>1013673435</v>
      </c>
      <c r="B2372" s="11" t="s">
        <v>84</v>
      </c>
      <c r="C2372" s="1" t="s">
        <v>2862</v>
      </c>
      <c r="D2372" s="1" t="s">
        <v>47</v>
      </c>
      <c r="E2372" s="1" t="s">
        <v>1</v>
      </c>
    </row>
    <row r="2373" spans="1:5" x14ac:dyDescent="0.25">
      <c r="A2373" s="13">
        <v>1013676808</v>
      </c>
      <c r="B2373" s="11" t="s">
        <v>84</v>
      </c>
      <c r="C2373" s="1" t="s">
        <v>2861</v>
      </c>
      <c r="D2373" s="1" t="s">
        <v>36</v>
      </c>
      <c r="E2373" s="1" t="s">
        <v>22</v>
      </c>
    </row>
    <row r="2374" spans="1:5" x14ac:dyDescent="0.25">
      <c r="A2374" s="13">
        <v>1013683657</v>
      </c>
      <c r="B2374" s="11" t="s">
        <v>83</v>
      </c>
      <c r="C2374" s="1" t="s">
        <v>2860</v>
      </c>
      <c r="D2374" s="1" t="s">
        <v>69</v>
      </c>
      <c r="E2374" s="1" t="s">
        <v>24</v>
      </c>
    </row>
    <row r="2375" spans="1:5" x14ac:dyDescent="0.25">
      <c r="A2375" s="13">
        <v>1013689783</v>
      </c>
      <c r="B2375" s="11" t="s">
        <v>83</v>
      </c>
      <c r="C2375" s="1" t="s">
        <v>2859</v>
      </c>
      <c r="D2375" s="1" t="s">
        <v>44</v>
      </c>
      <c r="E2375" s="1" t="s">
        <v>16</v>
      </c>
    </row>
    <row r="2376" spans="1:5" x14ac:dyDescent="0.25">
      <c r="A2376" s="13">
        <v>1014177975</v>
      </c>
      <c r="B2376" s="11" t="s">
        <v>116</v>
      </c>
      <c r="C2376" s="1" t="s">
        <v>2858</v>
      </c>
      <c r="D2376" s="1" t="s">
        <v>117</v>
      </c>
      <c r="E2376" s="1" t="s">
        <v>168</v>
      </c>
    </row>
    <row r="2377" spans="1:5" x14ac:dyDescent="0.25">
      <c r="A2377" s="13">
        <v>1014183957</v>
      </c>
      <c r="B2377" s="11" t="s">
        <v>83</v>
      </c>
      <c r="C2377" s="1" t="s">
        <v>2856</v>
      </c>
      <c r="D2377" s="1" t="s">
        <v>2857</v>
      </c>
      <c r="E2377" s="1" t="s">
        <v>30</v>
      </c>
    </row>
    <row r="2378" spans="1:5" x14ac:dyDescent="0.25">
      <c r="A2378" s="13">
        <v>1014184145</v>
      </c>
      <c r="B2378" s="11" t="s">
        <v>116</v>
      </c>
      <c r="C2378" s="1" t="s">
        <v>2855</v>
      </c>
      <c r="D2378" s="1" t="s">
        <v>117</v>
      </c>
      <c r="E2378" s="1" t="s">
        <v>10</v>
      </c>
    </row>
    <row r="2379" spans="1:5" x14ac:dyDescent="0.25">
      <c r="A2379" s="13">
        <v>1014184228</v>
      </c>
      <c r="B2379" s="11" t="s">
        <v>116</v>
      </c>
      <c r="C2379" s="1" t="s">
        <v>2854</v>
      </c>
      <c r="D2379" s="1" t="s">
        <v>117</v>
      </c>
      <c r="E2379" s="1" t="s">
        <v>263</v>
      </c>
    </row>
    <row r="2380" spans="1:5" x14ac:dyDescent="0.25">
      <c r="A2380" s="13">
        <v>1014185316</v>
      </c>
      <c r="B2380" s="11" t="s">
        <v>83</v>
      </c>
      <c r="C2380" s="1" t="s">
        <v>2853</v>
      </c>
      <c r="D2380" s="1" t="s">
        <v>3198</v>
      </c>
      <c r="E2380" s="1" t="s">
        <v>19</v>
      </c>
    </row>
    <row r="2381" spans="1:5" x14ac:dyDescent="0.25">
      <c r="A2381" s="13">
        <v>1014185737</v>
      </c>
      <c r="B2381" s="11" t="s">
        <v>83</v>
      </c>
      <c r="C2381" s="1" t="s">
        <v>2852</v>
      </c>
      <c r="D2381" s="1" t="s">
        <v>47</v>
      </c>
      <c r="E2381" s="1" t="s">
        <v>26</v>
      </c>
    </row>
    <row r="2382" spans="1:5" x14ac:dyDescent="0.25">
      <c r="A2382" s="13">
        <v>1014186315</v>
      </c>
      <c r="B2382" s="11" t="s">
        <v>83</v>
      </c>
      <c r="C2382" s="1" t="s">
        <v>3375</v>
      </c>
      <c r="D2382" s="1" t="s">
        <v>3088</v>
      </c>
      <c r="E2382" s="1" t="s">
        <v>24</v>
      </c>
    </row>
    <row r="2383" spans="1:5" x14ac:dyDescent="0.25">
      <c r="A2383" s="13">
        <v>1014186733</v>
      </c>
      <c r="B2383" s="11" t="s">
        <v>83</v>
      </c>
      <c r="C2383" s="1" t="s">
        <v>2851</v>
      </c>
      <c r="D2383" s="1" t="s">
        <v>57</v>
      </c>
      <c r="E2383" s="1" t="s">
        <v>23</v>
      </c>
    </row>
    <row r="2384" spans="1:5" x14ac:dyDescent="0.25">
      <c r="A2384" s="13">
        <v>1014187323</v>
      </c>
      <c r="B2384" s="11" t="s">
        <v>83</v>
      </c>
      <c r="C2384" s="1" t="s">
        <v>2850</v>
      </c>
      <c r="D2384" s="1" t="s">
        <v>59</v>
      </c>
      <c r="E2384" s="1" t="s">
        <v>19</v>
      </c>
    </row>
    <row r="2385" spans="1:5" x14ac:dyDescent="0.25">
      <c r="A2385" s="13">
        <v>1014190655</v>
      </c>
      <c r="B2385" s="11" t="s">
        <v>84</v>
      </c>
      <c r="C2385" s="1" t="s">
        <v>3376</v>
      </c>
      <c r="D2385" s="1" t="s">
        <v>38</v>
      </c>
      <c r="E2385" s="1" t="s">
        <v>5</v>
      </c>
    </row>
    <row r="2386" spans="1:5" x14ac:dyDescent="0.25">
      <c r="A2386" s="13">
        <v>1014195896</v>
      </c>
      <c r="B2386" s="11" t="s">
        <v>83</v>
      </c>
      <c r="C2386" s="1" t="s">
        <v>2849</v>
      </c>
      <c r="D2386" s="1" t="s">
        <v>47</v>
      </c>
      <c r="E2386" s="1" t="s">
        <v>16</v>
      </c>
    </row>
    <row r="2387" spans="1:5" x14ac:dyDescent="0.25">
      <c r="A2387" s="13">
        <v>1014196857</v>
      </c>
      <c r="B2387" s="11" t="s">
        <v>83</v>
      </c>
      <c r="C2387" s="1" t="s">
        <v>2848</v>
      </c>
      <c r="D2387" s="1" t="s">
        <v>95</v>
      </c>
      <c r="E2387" s="1" t="s">
        <v>196</v>
      </c>
    </row>
    <row r="2388" spans="1:5" x14ac:dyDescent="0.25">
      <c r="A2388" s="13">
        <v>1014199192</v>
      </c>
      <c r="B2388" s="11" t="s">
        <v>84</v>
      </c>
      <c r="C2388" s="1" t="s">
        <v>2847</v>
      </c>
      <c r="D2388" s="1" t="s">
        <v>43</v>
      </c>
      <c r="E2388" s="1" t="s">
        <v>8</v>
      </c>
    </row>
    <row r="2389" spans="1:5" x14ac:dyDescent="0.25">
      <c r="A2389" s="13">
        <v>1014199747</v>
      </c>
      <c r="B2389" s="11" t="s">
        <v>83</v>
      </c>
      <c r="C2389" s="1" t="s">
        <v>2845</v>
      </c>
      <c r="D2389" s="1" t="s">
        <v>2846</v>
      </c>
      <c r="E2389" s="1" t="s">
        <v>21</v>
      </c>
    </row>
    <row r="2390" spans="1:5" x14ac:dyDescent="0.25">
      <c r="A2390" s="13">
        <v>1014200152</v>
      </c>
      <c r="B2390" s="11" t="s">
        <v>84</v>
      </c>
      <c r="C2390" s="1" t="s">
        <v>3377</v>
      </c>
      <c r="D2390" s="1" t="s">
        <v>131</v>
      </c>
      <c r="E2390" s="1" t="s">
        <v>131</v>
      </c>
    </row>
    <row r="2391" spans="1:5" x14ac:dyDescent="0.25">
      <c r="A2391" s="13">
        <v>1014200970</v>
      </c>
      <c r="B2391" s="11" t="s">
        <v>84</v>
      </c>
      <c r="C2391" s="1" t="s">
        <v>3162</v>
      </c>
      <c r="D2391" s="1" t="s">
        <v>38</v>
      </c>
      <c r="E2391" s="1" t="s">
        <v>12</v>
      </c>
    </row>
    <row r="2392" spans="1:5" x14ac:dyDescent="0.25">
      <c r="A2392" s="13">
        <v>1014201905</v>
      </c>
      <c r="B2392" s="11" t="s">
        <v>83</v>
      </c>
      <c r="C2392" s="1" t="s">
        <v>3171</v>
      </c>
      <c r="D2392" s="1" t="s">
        <v>53</v>
      </c>
      <c r="E2392" s="1" t="s">
        <v>4</v>
      </c>
    </row>
    <row r="2393" spans="1:5" x14ac:dyDescent="0.25">
      <c r="A2393" s="13">
        <v>1014204233</v>
      </c>
      <c r="B2393" s="11" t="s">
        <v>84</v>
      </c>
      <c r="C2393" s="1" t="s">
        <v>2844</v>
      </c>
      <c r="D2393" s="1" t="s">
        <v>1381</v>
      </c>
      <c r="E2393" s="1" t="s">
        <v>17</v>
      </c>
    </row>
    <row r="2394" spans="1:5" x14ac:dyDescent="0.25">
      <c r="A2394" s="13">
        <v>1014204354</v>
      </c>
      <c r="B2394" s="11" t="s">
        <v>83</v>
      </c>
      <c r="C2394" s="1" t="s">
        <v>2843</v>
      </c>
      <c r="D2394" s="1" t="s">
        <v>48</v>
      </c>
      <c r="E2394" s="1" t="s">
        <v>19</v>
      </c>
    </row>
    <row r="2395" spans="1:5" x14ac:dyDescent="0.25">
      <c r="A2395" s="13">
        <v>1014210502</v>
      </c>
      <c r="B2395" s="11" t="s">
        <v>84</v>
      </c>
      <c r="C2395" s="1" t="s">
        <v>3378</v>
      </c>
      <c r="D2395" s="1" t="s">
        <v>38</v>
      </c>
      <c r="E2395" s="1" t="s">
        <v>3120</v>
      </c>
    </row>
    <row r="2396" spans="1:5" x14ac:dyDescent="0.25">
      <c r="A2396" s="13">
        <v>1014211708</v>
      </c>
      <c r="B2396" s="11" t="s">
        <v>83</v>
      </c>
      <c r="C2396" s="1" t="s">
        <v>2842</v>
      </c>
      <c r="D2396" s="1" t="s">
        <v>107</v>
      </c>
      <c r="E2396" s="1" t="s">
        <v>196</v>
      </c>
    </row>
    <row r="2397" spans="1:5" x14ac:dyDescent="0.25">
      <c r="A2397" s="13">
        <v>1014211876</v>
      </c>
      <c r="B2397" s="11" t="s">
        <v>84</v>
      </c>
      <c r="C2397" s="1" t="s">
        <v>2841</v>
      </c>
      <c r="D2397" s="1" t="s">
        <v>38</v>
      </c>
      <c r="E2397" s="1" t="s">
        <v>12</v>
      </c>
    </row>
    <row r="2398" spans="1:5" x14ac:dyDescent="0.25">
      <c r="A2398" s="13">
        <v>1014214559</v>
      </c>
      <c r="B2398" s="11" t="s">
        <v>84</v>
      </c>
      <c r="C2398" s="1" t="s">
        <v>2840</v>
      </c>
      <c r="D2398" s="1" t="s">
        <v>43</v>
      </c>
      <c r="E2398" s="1" t="s">
        <v>263</v>
      </c>
    </row>
    <row r="2399" spans="1:5" x14ac:dyDescent="0.25">
      <c r="A2399" s="13">
        <v>1014215096</v>
      </c>
      <c r="B2399" s="11" t="s">
        <v>84</v>
      </c>
      <c r="C2399" s="1" t="s">
        <v>3379</v>
      </c>
      <c r="D2399" s="1" t="s">
        <v>43</v>
      </c>
      <c r="E2399" s="1" t="s">
        <v>15</v>
      </c>
    </row>
    <row r="2400" spans="1:5" x14ac:dyDescent="0.25">
      <c r="A2400" s="13">
        <v>1014215945</v>
      </c>
      <c r="B2400" s="11" t="s">
        <v>83</v>
      </c>
      <c r="C2400" s="1" t="s">
        <v>2839</v>
      </c>
      <c r="D2400" s="1" t="s">
        <v>48</v>
      </c>
      <c r="E2400" s="1" t="s">
        <v>19</v>
      </c>
    </row>
    <row r="2401" spans="1:5" x14ac:dyDescent="0.25">
      <c r="A2401" s="13">
        <v>1014216947</v>
      </c>
      <c r="B2401" s="11" t="s">
        <v>83</v>
      </c>
      <c r="C2401" s="1" t="s">
        <v>3380</v>
      </c>
      <c r="D2401" s="1" t="s">
        <v>1118</v>
      </c>
      <c r="E2401" s="1" t="s">
        <v>21</v>
      </c>
    </row>
    <row r="2402" spans="1:5" x14ac:dyDescent="0.25">
      <c r="A2402" s="13">
        <v>1014218177</v>
      </c>
      <c r="B2402" s="11" t="s">
        <v>83</v>
      </c>
      <c r="C2402" s="1" t="s">
        <v>2838</v>
      </c>
      <c r="D2402" s="1" t="s">
        <v>47</v>
      </c>
      <c r="E2402" s="1" t="s">
        <v>19</v>
      </c>
    </row>
    <row r="2403" spans="1:5" x14ac:dyDescent="0.25">
      <c r="A2403" s="13">
        <v>1014219674</v>
      </c>
      <c r="B2403" s="11" t="s">
        <v>84</v>
      </c>
      <c r="C2403" s="1" t="s">
        <v>2837</v>
      </c>
      <c r="D2403" s="1" t="s">
        <v>38</v>
      </c>
      <c r="E2403" s="1" t="s">
        <v>9</v>
      </c>
    </row>
    <row r="2404" spans="1:5" x14ac:dyDescent="0.25">
      <c r="A2404" s="13">
        <v>1014224610</v>
      </c>
      <c r="B2404" s="11" t="s">
        <v>116</v>
      </c>
      <c r="C2404" s="1" t="s">
        <v>2836</v>
      </c>
      <c r="D2404" s="1" t="s">
        <v>117</v>
      </c>
      <c r="E2404" s="1" t="s">
        <v>85</v>
      </c>
    </row>
    <row r="2405" spans="1:5" x14ac:dyDescent="0.25">
      <c r="A2405" s="13">
        <v>1014227282</v>
      </c>
      <c r="B2405" s="11" t="s">
        <v>84</v>
      </c>
      <c r="C2405" s="1" t="s">
        <v>2835</v>
      </c>
      <c r="D2405" s="1" t="s">
        <v>92</v>
      </c>
      <c r="E2405" s="1" t="s">
        <v>17</v>
      </c>
    </row>
    <row r="2406" spans="1:5" x14ac:dyDescent="0.25">
      <c r="A2406" s="13">
        <v>1014234111</v>
      </c>
      <c r="B2406" s="11" t="s">
        <v>83</v>
      </c>
      <c r="C2406" s="1" t="s">
        <v>3381</v>
      </c>
      <c r="D2406" s="1" t="s">
        <v>3605</v>
      </c>
      <c r="E2406" s="1" t="s">
        <v>18</v>
      </c>
    </row>
    <row r="2407" spans="1:5" x14ac:dyDescent="0.25">
      <c r="A2407" s="13">
        <v>1014239131</v>
      </c>
      <c r="B2407" s="11" t="s">
        <v>83</v>
      </c>
      <c r="C2407" s="1" t="s">
        <v>2834</v>
      </c>
      <c r="D2407" s="1" t="s">
        <v>47</v>
      </c>
      <c r="E2407" s="1" t="s">
        <v>19</v>
      </c>
    </row>
    <row r="2408" spans="1:5" x14ac:dyDescent="0.25">
      <c r="A2408" s="13">
        <v>1014240213</v>
      </c>
      <c r="B2408" s="11" t="s">
        <v>83</v>
      </c>
      <c r="C2408" s="1" t="s">
        <v>2833</v>
      </c>
      <c r="D2408" s="1" t="s">
        <v>47</v>
      </c>
      <c r="E2408" s="1" t="s">
        <v>29</v>
      </c>
    </row>
    <row r="2409" spans="1:5" x14ac:dyDescent="0.25">
      <c r="A2409" s="13">
        <v>1014240584</v>
      </c>
      <c r="B2409" s="11" t="s">
        <v>83</v>
      </c>
      <c r="C2409" s="1" t="s">
        <v>2831</v>
      </c>
      <c r="D2409" s="1" t="s">
        <v>2832</v>
      </c>
      <c r="E2409" s="1" t="s">
        <v>19</v>
      </c>
    </row>
    <row r="2410" spans="1:5" x14ac:dyDescent="0.25">
      <c r="A2410" s="13">
        <v>1014241930</v>
      </c>
      <c r="B2410" s="11" t="s">
        <v>109</v>
      </c>
      <c r="C2410" s="1" t="s">
        <v>2830</v>
      </c>
      <c r="D2410" s="1" t="s">
        <v>366</v>
      </c>
      <c r="E2410" s="1" t="s">
        <v>1128</v>
      </c>
    </row>
    <row r="2411" spans="1:5" x14ac:dyDescent="0.25">
      <c r="A2411" s="13">
        <v>1014244751</v>
      </c>
      <c r="B2411" s="11" t="s">
        <v>83</v>
      </c>
      <c r="C2411" s="1" t="s">
        <v>3382</v>
      </c>
      <c r="D2411" s="1" t="s">
        <v>105</v>
      </c>
      <c r="E2411" s="1" t="s">
        <v>196</v>
      </c>
    </row>
    <row r="2412" spans="1:5" x14ac:dyDescent="0.25">
      <c r="A2412" s="13">
        <v>1014250160</v>
      </c>
      <c r="B2412" s="11" t="s">
        <v>83</v>
      </c>
      <c r="C2412" s="1" t="s">
        <v>2829</v>
      </c>
      <c r="D2412" s="1" t="s">
        <v>36</v>
      </c>
      <c r="E2412" s="1" t="s">
        <v>33</v>
      </c>
    </row>
    <row r="2413" spans="1:5" x14ac:dyDescent="0.25">
      <c r="A2413" s="13">
        <v>1014254507</v>
      </c>
      <c r="B2413" s="11" t="s">
        <v>84</v>
      </c>
      <c r="C2413" s="1" t="s">
        <v>2828</v>
      </c>
      <c r="D2413" s="1" t="s">
        <v>39</v>
      </c>
      <c r="E2413" s="1" t="s">
        <v>1</v>
      </c>
    </row>
    <row r="2414" spans="1:5" x14ac:dyDescent="0.25">
      <c r="A2414" s="13">
        <v>1014255337</v>
      </c>
      <c r="B2414" s="11" t="s">
        <v>84</v>
      </c>
      <c r="C2414" s="1" t="s">
        <v>3383</v>
      </c>
      <c r="D2414" s="1" t="s">
        <v>36</v>
      </c>
      <c r="E2414" s="1" t="s">
        <v>1</v>
      </c>
    </row>
    <row r="2415" spans="1:5" x14ac:dyDescent="0.25">
      <c r="A2415" s="13">
        <v>1014255386</v>
      </c>
      <c r="B2415" s="11" t="s">
        <v>83</v>
      </c>
      <c r="C2415" s="1" t="s">
        <v>2826</v>
      </c>
      <c r="D2415" s="1" t="s">
        <v>2827</v>
      </c>
      <c r="E2415" s="1" t="s">
        <v>19</v>
      </c>
    </row>
    <row r="2416" spans="1:5" x14ac:dyDescent="0.25">
      <c r="A2416" s="13">
        <v>1014256673</v>
      </c>
      <c r="B2416" s="11" t="s">
        <v>84</v>
      </c>
      <c r="C2416" s="1" t="s">
        <v>2825</v>
      </c>
      <c r="D2416" s="1" t="s">
        <v>2310</v>
      </c>
      <c r="E2416" s="1" t="s">
        <v>22</v>
      </c>
    </row>
    <row r="2417" spans="1:5" x14ac:dyDescent="0.25">
      <c r="A2417" s="13">
        <v>1014257968</v>
      </c>
      <c r="B2417" s="11" t="s">
        <v>84</v>
      </c>
      <c r="C2417" s="1" t="s">
        <v>3384</v>
      </c>
      <c r="D2417" s="1" t="s">
        <v>43</v>
      </c>
      <c r="E2417" s="1" t="s">
        <v>12</v>
      </c>
    </row>
    <row r="2418" spans="1:5" x14ac:dyDescent="0.25">
      <c r="A2418" s="13">
        <v>1014259562</v>
      </c>
      <c r="B2418" s="11" t="s">
        <v>84</v>
      </c>
      <c r="C2418" s="1" t="s">
        <v>3385</v>
      </c>
      <c r="D2418" s="1" t="s">
        <v>38</v>
      </c>
      <c r="E2418" s="1" t="s">
        <v>15</v>
      </c>
    </row>
    <row r="2419" spans="1:5" x14ac:dyDescent="0.25">
      <c r="A2419" s="13">
        <v>1014259722</v>
      </c>
      <c r="B2419" s="11" t="s">
        <v>84</v>
      </c>
      <c r="C2419" s="1" t="s">
        <v>3144</v>
      </c>
      <c r="D2419" s="1" t="s">
        <v>92</v>
      </c>
      <c r="E2419" s="1" t="s">
        <v>3071</v>
      </c>
    </row>
    <row r="2420" spans="1:5" x14ac:dyDescent="0.25">
      <c r="A2420" s="13">
        <v>1014265888</v>
      </c>
      <c r="B2420" s="11" t="s">
        <v>84</v>
      </c>
      <c r="C2420" s="1" t="s">
        <v>2824</v>
      </c>
      <c r="D2420" s="1" t="s">
        <v>47</v>
      </c>
      <c r="E2420" s="1" t="s">
        <v>2349</v>
      </c>
    </row>
    <row r="2421" spans="1:5" x14ac:dyDescent="0.25">
      <c r="A2421" s="13">
        <v>1014266838</v>
      </c>
      <c r="B2421" s="11" t="s">
        <v>83</v>
      </c>
      <c r="C2421" s="1" t="s">
        <v>3386</v>
      </c>
      <c r="D2421" s="1" t="s">
        <v>3052</v>
      </c>
      <c r="E2421" s="1" t="s">
        <v>210</v>
      </c>
    </row>
    <row r="2422" spans="1:5" x14ac:dyDescent="0.25">
      <c r="A2422" s="13">
        <v>1014268774</v>
      </c>
      <c r="B2422" s="11" t="s">
        <v>83</v>
      </c>
      <c r="C2422" s="1" t="s">
        <v>2822</v>
      </c>
      <c r="D2422" s="1" t="s">
        <v>2823</v>
      </c>
      <c r="E2422" s="1" t="s">
        <v>19</v>
      </c>
    </row>
    <row r="2423" spans="1:5" x14ac:dyDescent="0.25">
      <c r="A2423" s="13">
        <v>1014278379</v>
      </c>
      <c r="B2423" s="11" t="s">
        <v>83</v>
      </c>
      <c r="C2423" s="1" t="s">
        <v>3182</v>
      </c>
      <c r="D2423" s="1" t="s">
        <v>50</v>
      </c>
      <c r="E2423" s="1" t="s">
        <v>21</v>
      </c>
    </row>
    <row r="2424" spans="1:5" x14ac:dyDescent="0.25">
      <c r="A2424" s="13">
        <v>1014283142</v>
      </c>
      <c r="B2424" s="11" t="s">
        <v>116</v>
      </c>
      <c r="C2424" s="1" t="s">
        <v>3126</v>
      </c>
      <c r="D2424" s="1" t="s">
        <v>117</v>
      </c>
      <c r="E2424" s="1" t="s">
        <v>3118</v>
      </c>
    </row>
    <row r="2425" spans="1:5" x14ac:dyDescent="0.25">
      <c r="A2425" s="13">
        <v>1014284705</v>
      </c>
      <c r="B2425" s="11" t="s">
        <v>83</v>
      </c>
      <c r="C2425" s="1" t="s">
        <v>3387</v>
      </c>
      <c r="D2425" s="1" t="s">
        <v>36</v>
      </c>
      <c r="E2425" s="1" t="s">
        <v>24</v>
      </c>
    </row>
    <row r="2426" spans="1:5" x14ac:dyDescent="0.25">
      <c r="A2426" s="13">
        <v>1014286209</v>
      </c>
      <c r="B2426" s="11" t="s">
        <v>84</v>
      </c>
      <c r="C2426" s="1" t="s">
        <v>3388</v>
      </c>
      <c r="D2426" s="1" t="s">
        <v>3142</v>
      </c>
      <c r="E2426" s="1" t="s">
        <v>3071</v>
      </c>
    </row>
    <row r="2427" spans="1:5" x14ac:dyDescent="0.25">
      <c r="A2427" s="13">
        <v>1014287961</v>
      </c>
      <c r="B2427" s="11" t="s">
        <v>84</v>
      </c>
      <c r="C2427" s="1" t="s">
        <v>2821</v>
      </c>
      <c r="D2427" s="1" t="s">
        <v>47</v>
      </c>
      <c r="E2427" s="1" t="s">
        <v>22</v>
      </c>
    </row>
    <row r="2428" spans="1:5" x14ac:dyDescent="0.25">
      <c r="A2428" s="13">
        <v>1014291603</v>
      </c>
      <c r="B2428" s="11" t="s">
        <v>84</v>
      </c>
      <c r="C2428" s="1" t="s">
        <v>2820</v>
      </c>
      <c r="D2428" s="1" t="s">
        <v>90</v>
      </c>
      <c r="E2428" s="1" t="s">
        <v>1</v>
      </c>
    </row>
    <row r="2429" spans="1:5" x14ac:dyDescent="0.25">
      <c r="A2429" s="13">
        <v>1014295458</v>
      </c>
      <c r="B2429" s="11" t="s">
        <v>83</v>
      </c>
      <c r="C2429" s="1" t="s">
        <v>2819</v>
      </c>
      <c r="D2429" s="1" t="s">
        <v>78</v>
      </c>
      <c r="E2429" s="1" t="s">
        <v>21</v>
      </c>
    </row>
    <row r="2430" spans="1:5" x14ac:dyDescent="0.25">
      <c r="A2430" s="13">
        <v>1014297220</v>
      </c>
      <c r="B2430" s="11" t="s">
        <v>84</v>
      </c>
      <c r="C2430" s="1" t="s">
        <v>2818</v>
      </c>
      <c r="D2430" s="1" t="s">
        <v>47</v>
      </c>
      <c r="E2430" s="1" t="s">
        <v>22</v>
      </c>
    </row>
    <row r="2431" spans="1:5" x14ac:dyDescent="0.25">
      <c r="A2431" s="13">
        <v>1014300045</v>
      </c>
      <c r="B2431" s="11" t="s">
        <v>83</v>
      </c>
      <c r="C2431" s="1" t="s">
        <v>2817</v>
      </c>
      <c r="D2431" s="1" t="s">
        <v>47</v>
      </c>
      <c r="E2431" s="1" t="s">
        <v>21</v>
      </c>
    </row>
    <row r="2432" spans="1:5" x14ac:dyDescent="0.25">
      <c r="A2432" s="13">
        <v>1014300646</v>
      </c>
      <c r="B2432" s="11" t="s">
        <v>84</v>
      </c>
      <c r="C2432" s="1" t="s">
        <v>2816</v>
      </c>
      <c r="D2432" s="1" t="s">
        <v>2546</v>
      </c>
      <c r="E2432" s="1" t="s">
        <v>134</v>
      </c>
    </row>
    <row r="2433" spans="1:5" x14ac:dyDescent="0.25">
      <c r="A2433" s="13">
        <v>1014300777</v>
      </c>
      <c r="B2433" s="11" t="s">
        <v>84</v>
      </c>
      <c r="C2433" s="1" t="s">
        <v>3389</v>
      </c>
      <c r="D2433" s="1" t="s">
        <v>3157</v>
      </c>
      <c r="E2433" s="1" t="s">
        <v>3071</v>
      </c>
    </row>
    <row r="2434" spans="1:5" x14ac:dyDescent="0.25">
      <c r="A2434" s="13">
        <v>1014302394</v>
      </c>
      <c r="B2434" s="11" t="s">
        <v>83</v>
      </c>
      <c r="C2434" s="1" t="s">
        <v>2815</v>
      </c>
      <c r="D2434" s="1" t="s">
        <v>79</v>
      </c>
      <c r="E2434" s="1" t="s">
        <v>33</v>
      </c>
    </row>
    <row r="2435" spans="1:5" x14ac:dyDescent="0.25">
      <c r="A2435" s="13">
        <v>1014308296</v>
      </c>
      <c r="B2435" s="11" t="s">
        <v>83</v>
      </c>
      <c r="C2435" s="1" t="s">
        <v>3606</v>
      </c>
      <c r="D2435" s="1" t="s">
        <v>56</v>
      </c>
      <c r="E2435" s="1" t="s">
        <v>210</v>
      </c>
    </row>
    <row r="2436" spans="1:5" x14ac:dyDescent="0.25">
      <c r="A2436" s="13">
        <v>1014477934</v>
      </c>
      <c r="B2436" s="11" t="s">
        <v>83</v>
      </c>
      <c r="C2436" s="1" t="s">
        <v>3390</v>
      </c>
      <c r="D2436" s="1" t="s">
        <v>44</v>
      </c>
      <c r="E2436" s="1" t="s">
        <v>16</v>
      </c>
    </row>
    <row r="2437" spans="1:5" x14ac:dyDescent="0.25">
      <c r="A2437" s="13">
        <v>1014736595</v>
      </c>
      <c r="B2437" s="11" t="s">
        <v>84</v>
      </c>
      <c r="C2437" s="1" t="s">
        <v>3391</v>
      </c>
      <c r="D2437" s="1" t="s">
        <v>3157</v>
      </c>
      <c r="E2437" s="1" t="s">
        <v>3595</v>
      </c>
    </row>
    <row r="2438" spans="1:5" x14ac:dyDescent="0.25">
      <c r="A2438" s="13">
        <v>1014977624</v>
      </c>
      <c r="B2438" s="11" t="s">
        <v>83</v>
      </c>
      <c r="C2438" s="1" t="s">
        <v>3607</v>
      </c>
      <c r="D2438" s="1" t="s">
        <v>79</v>
      </c>
      <c r="E2438" s="1" t="s">
        <v>210</v>
      </c>
    </row>
    <row r="2439" spans="1:5" x14ac:dyDescent="0.25">
      <c r="A2439" s="13">
        <v>1015394165</v>
      </c>
      <c r="B2439" s="11" t="s">
        <v>83</v>
      </c>
      <c r="C2439" s="1" t="s">
        <v>3087</v>
      </c>
      <c r="D2439" s="1" t="s">
        <v>477</v>
      </c>
      <c r="E2439" s="1" t="s">
        <v>21</v>
      </c>
    </row>
    <row r="2440" spans="1:5" x14ac:dyDescent="0.25">
      <c r="A2440" s="13">
        <v>1015396330</v>
      </c>
      <c r="B2440" s="11" t="s">
        <v>83</v>
      </c>
      <c r="C2440" s="1" t="s">
        <v>2814</v>
      </c>
      <c r="D2440" s="1" t="s">
        <v>47</v>
      </c>
      <c r="E2440" s="1" t="s">
        <v>16</v>
      </c>
    </row>
    <row r="2441" spans="1:5" x14ac:dyDescent="0.25">
      <c r="A2441" s="13">
        <v>1015396359</v>
      </c>
      <c r="B2441" s="11" t="s">
        <v>84</v>
      </c>
      <c r="C2441" s="1" t="s">
        <v>2813</v>
      </c>
      <c r="D2441" s="1" t="s">
        <v>38</v>
      </c>
      <c r="E2441" s="1" t="s">
        <v>7</v>
      </c>
    </row>
    <row r="2442" spans="1:5" x14ac:dyDescent="0.25">
      <c r="A2442" s="13">
        <v>1015401941</v>
      </c>
      <c r="B2442" s="11" t="s">
        <v>84</v>
      </c>
      <c r="C2442" s="1" t="s">
        <v>2812</v>
      </c>
      <c r="D2442" s="1" t="s">
        <v>46</v>
      </c>
      <c r="E2442" s="1" t="s">
        <v>1</v>
      </c>
    </row>
    <row r="2443" spans="1:5" x14ac:dyDescent="0.25">
      <c r="A2443" s="13">
        <v>1015402092</v>
      </c>
      <c r="B2443" s="11" t="s">
        <v>84</v>
      </c>
      <c r="C2443" s="1" t="s">
        <v>2811</v>
      </c>
      <c r="D2443" s="1" t="s">
        <v>424</v>
      </c>
      <c r="E2443" s="1" t="s">
        <v>142</v>
      </c>
    </row>
    <row r="2444" spans="1:5" x14ac:dyDescent="0.25">
      <c r="A2444" s="13">
        <v>1015402884</v>
      </c>
      <c r="B2444" s="11" t="s">
        <v>116</v>
      </c>
      <c r="C2444" s="1" t="s">
        <v>2810</v>
      </c>
      <c r="D2444" s="1" t="s">
        <v>117</v>
      </c>
      <c r="E2444" s="1" t="s">
        <v>6</v>
      </c>
    </row>
    <row r="2445" spans="1:5" x14ac:dyDescent="0.25">
      <c r="A2445" s="13">
        <v>1015402887</v>
      </c>
      <c r="B2445" s="11" t="s">
        <v>84</v>
      </c>
      <c r="C2445" s="1" t="s">
        <v>2809</v>
      </c>
      <c r="D2445" s="1" t="s">
        <v>43</v>
      </c>
      <c r="E2445" s="1" t="s">
        <v>9</v>
      </c>
    </row>
    <row r="2446" spans="1:5" x14ac:dyDescent="0.25">
      <c r="A2446" s="13">
        <v>1015404409</v>
      </c>
      <c r="B2446" s="11" t="s">
        <v>84</v>
      </c>
      <c r="C2446" s="1" t="s">
        <v>2808</v>
      </c>
      <c r="D2446" s="1" t="s">
        <v>2689</v>
      </c>
      <c r="E2446" s="1" t="s">
        <v>1</v>
      </c>
    </row>
    <row r="2447" spans="1:5" x14ac:dyDescent="0.25">
      <c r="A2447" s="13">
        <v>1015410453</v>
      </c>
      <c r="B2447" s="11" t="s">
        <v>116</v>
      </c>
      <c r="C2447" s="1" t="s">
        <v>2807</v>
      </c>
      <c r="D2447" s="1" t="s">
        <v>117</v>
      </c>
      <c r="E2447" s="1" t="s">
        <v>10</v>
      </c>
    </row>
    <row r="2448" spans="1:5" x14ac:dyDescent="0.25">
      <c r="A2448" s="13">
        <v>1015415911</v>
      </c>
      <c r="B2448" s="11" t="s">
        <v>83</v>
      </c>
      <c r="C2448" s="1" t="s">
        <v>2806</v>
      </c>
      <c r="D2448" s="1" t="s">
        <v>47</v>
      </c>
      <c r="E2448" s="1" t="s">
        <v>19</v>
      </c>
    </row>
    <row r="2449" spans="1:5" x14ac:dyDescent="0.25">
      <c r="A2449" s="13">
        <v>1015416160</v>
      </c>
      <c r="B2449" s="11" t="s">
        <v>84</v>
      </c>
      <c r="C2449" s="1" t="s">
        <v>2805</v>
      </c>
      <c r="D2449" s="1" t="s">
        <v>38</v>
      </c>
      <c r="E2449" s="1" t="s">
        <v>6</v>
      </c>
    </row>
    <row r="2450" spans="1:5" x14ac:dyDescent="0.25">
      <c r="A2450" s="13">
        <v>1015416591</v>
      </c>
      <c r="B2450" s="11" t="s">
        <v>83</v>
      </c>
      <c r="C2450" s="1" t="s">
        <v>2804</v>
      </c>
      <c r="D2450" s="1" t="s">
        <v>47</v>
      </c>
      <c r="E2450" s="1" t="s">
        <v>24</v>
      </c>
    </row>
    <row r="2451" spans="1:5" x14ac:dyDescent="0.25">
      <c r="A2451" s="13">
        <v>1015417417</v>
      </c>
      <c r="B2451" s="11" t="s">
        <v>116</v>
      </c>
      <c r="C2451" s="1" t="s">
        <v>2803</v>
      </c>
      <c r="D2451" s="1" t="s">
        <v>117</v>
      </c>
      <c r="E2451" s="1" t="s">
        <v>6</v>
      </c>
    </row>
    <row r="2452" spans="1:5" x14ac:dyDescent="0.25">
      <c r="A2452" s="13">
        <v>1015418046</v>
      </c>
      <c r="B2452" s="11" t="s">
        <v>109</v>
      </c>
      <c r="C2452" s="1" t="s">
        <v>2802</v>
      </c>
      <c r="D2452" s="1" t="s">
        <v>195</v>
      </c>
      <c r="E2452" s="1" t="s">
        <v>19</v>
      </c>
    </row>
    <row r="2453" spans="1:5" x14ac:dyDescent="0.25">
      <c r="A2453" s="13">
        <v>1015418383</v>
      </c>
      <c r="B2453" s="11" t="s">
        <v>83</v>
      </c>
      <c r="C2453" s="1" t="s">
        <v>2801</v>
      </c>
      <c r="D2453" s="1" t="s">
        <v>44</v>
      </c>
      <c r="E2453" s="1" t="s">
        <v>16</v>
      </c>
    </row>
    <row r="2454" spans="1:5" x14ac:dyDescent="0.25">
      <c r="A2454" s="13">
        <v>1015420886</v>
      </c>
      <c r="B2454" s="11" t="s">
        <v>84</v>
      </c>
      <c r="C2454" s="1" t="s">
        <v>3392</v>
      </c>
      <c r="D2454" s="1" t="s">
        <v>3084</v>
      </c>
      <c r="E2454" s="1" t="s">
        <v>1</v>
      </c>
    </row>
    <row r="2455" spans="1:5" x14ac:dyDescent="0.25">
      <c r="A2455" s="13">
        <v>1015422849</v>
      </c>
      <c r="B2455" s="11" t="s">
        <v>83</v>
      </c>
      <c r="C2455" s="1" t="s">
        <v>3176</v>
      </c>
      <c r="D2455" s="1" t="s">
        <v>2762</v>
      </c>
      <c r="E2455" s="1" t="s">
        <v>21</v>
      </c>
    </row>
    <row r="2456" spans="1:5" x14ac:dyDescent="0.25">
      <c r="A2456" s="13">
        <v>1015423634</v>
      </c>
      <c r="B2456" s="11" t="s">
        <v>83</v>
      </c>
      <c r="C2456" s="1" t="s">
        <v>3031</v>
      </c>
      <c r="D2456" s="1" t="s">
        <v>3032</v>
      </c>
      <c r="E2456" s="1" t="s">
        <v>19</v>
      </c>
    </row>
    <row r="2457" spans="1:5" x14ac:dyDescent="0.25">
      <c r="A2457" s="13">
        <v>1015424668</v>
      </c>
      <c r="B2457" s="11" t="s">
        <v>84</v>
      </c>
      <c r="C2457" s="1" t="s">
        <v>2800</v>
      </c>
      <c r="D2457" s="1" t="s">
        <v>38</v>
      </c>
      <c r="E2457" s="1" t="s">
        <v>10</v>
      </c>
    </row>
    <row r="2458" spans="1:5" x14ac:dyDescent="0.25">
      <c r="A2458" s="13">
        <v>1015425008</v>
      </c>
      <c r="B2458" s="11" t="s">
        <v>84</v>
      </c>
      <c r="C2458" s="1" t="s">
        <v>3608</v>
      </c>
      <c r="D2458" s="1" t="s">
        <v>38</v>
      </c>
      <c r="E2458" s="1" t="s">
        <v>10</v>
      </c>
    </row>
    <row r="2459" spans="1:5" x14ac:dyDescent="0.25">
      <c r="A2459" s="13">
        <v>1015425178</v>
      </c>
      <c r="B2459" s="11" t="s">
        <v>84</v>
      </c>
      <c r="C2459" s="1" t="s">
        <v>2799</v>
      </c>
      <c r="D2459" s="1" t="s">
        <v>46</v>
      </c>
      <c r="E2459" s="1" t="s">
        <v>1</v>
      </c>
    </row>
    <row r="2460" spans="1:5" x14ac:dyDescent="0.25">
      <c r="A2460" s="13">
        <v>1015425242</v>
      </c>
      <c r="B2460" s="11" t="s">
        <v>83</v>
      </c>
      <c r="C2460" s="1" t="s">
        <v>2798</v>
      </c>
      <c r="D2460" s="1" t="s">
        <v>57</v>
      </c>
      <c r="E2460" s="1" t="s">
        <v>23</v>
      </c>
    </row>
    <row r="2461" spans="1:5" x14ac:dyDescent="0.25">
      <c r="A2461" s="13">
        <v>1015425834</v>
      </c>
      <c r="B2461" s="11" t="s">
        <v>84</v>
      </c>
      <c r="C2461" s="1" t="s">
        <v>3393</v>
      </c>
      <c r="D2461" s="1" t="s">
        <v>38</v>
      </c>
      <c r="E2461" s="1" t="s">
        <v>7</v>
      </c>
    </row>
    <row r="2462" spans="1:5" x14ac:dyDescent="0.25">
      <c r="A2462" s="13">
        <v>1015428142</v>
      </c>
      <c r="B2462" s="11" t="s">
        <v>83</v>
      </c>
      <c r="C2462" s="1" t="s">
        <v>2797</v>
      </c>
      <c r="D2462" s="1" t="s">
        <v>59</v>
      </c>
      <c r="E2462" s="1" t="s">
        <v>19</v>
      </c>
    </row>
    <row r="2463" spans="1:5" x14ac:dyDescent="0.25">
      <c r="A2463" s="13">
        <v>1015432028</v>
      </c>
      <c r="B2463" s="11" t="s">
        <v>84</v>
      </c>
      <c r="C2463" s="1" t="s">
        <v>2796</v>
      </c>
      <c r="D2463" s="1" t="s">
        <v>98</v>
      </c>
      <c r="E2463" s="1" t="s">
        <v>1</v>
      </c>
    </row>
    <row r="2464" spans="1:5" x14ac:dyDescent="0.25">
      <c r="A2464" s="13">
        <v>1015434256</v>
      </c>
      <c r="B2464" s="11" t="s">
        <v>84</v>
      </c>
      <c r="C2464" s="1" t="s">
        <v>2795</v>
      </c>
      <c r="D2464" s="1" t="s">
        <v>1077</v>
      </c>
      <c r="E2464" s="1" t="s">
        <v>499</v>
      </c>
    </row>
    <row r="2465" spans="1:5" x14ac:dyDescent="0.25">
      <c r="A2465" s="13">
        <v>1015435642</v>
      </c>
      <c r="B2465" s="11" t="s">
        <v>84</v>
      </c>
      <c r="C2465" s="1" t="s">
        <v>3033</v>
      </c>
      <c r="D2465" s="1" t="s">
        <v>46</v>
      </c>
      <c r="E2465" s="1" t="s">
        <v>1</v>
      </c>
    </row>
    <row r="2466" spans="1:5" x14ac:dyDescent="0.25">
      <c r="A2466" s="13">
        <v>1015435727</v>
      </c>
      <c r="B2466" s="11" t="s">
        <v>84</v>
      </c>
      <c r="C2466" s="1" t="s">
        <v>2794</v>
      </c>
      <c r="D2466" s="1" t="s">
        <v>38</v>
      </c>
      <c r="E2466" s="1" t="s">
        <v>127</v>
      </c>
    </row>
    <row r="2467" spans="1:5" x14ac:dyDescent="0.25">
      <c r="A2467" s="13">
        <v>1015435921</v>
      </c>
      <c r="B2467" s="11" t="s">
        <v>83</v>
      </c>
      <c r="C2467" s="1" t="s">
        <v>2793</v>
      </c>
      <c r="D2467" s="1" t="s">
        <v>44</v>
      </c>
      <c r="E2467" s="1" t="s">
        <v>16</v>
      </c>
    </row>
    <row r="2468" spans="1:5" x14ac:dyDescent="0.25">
      <c r="A2468" s="13">
        <v>1015440795</v>
      </c>
      <c r="B2468" s="11" t="s">
        <v>83</v>
      </c>
      <c r="C2468" s="1" t="s">
        <v>2792</v>
      </c>
      <c r="D2468" s="1" t="s">
        <v>47</v>
      </c>
      <c r="E2468" s="1" t="s">
        <v>29</v>
      </c>
    </row>
    <row r="2469" spans="1:5" x14ac:dyDescent="0.25">
      <c r="A2469" s="13">
        <v>1015441100</v>
      </c>
      <c r="B2469" s="11" t="s">
        <v>84</v>
      </c>
      <c r="C2469" s="1" t="s">
        <v>3688</v>
      </c>
      <c r="D2469" s="1" t="s">
        <v>3158</v>
      </c>
      <c r="E2469" s="1" t="s">
        <v>3595</v>
      </c>
    </row>
    <row r="2470" spans="1:5" x14ac:dyDescent="0.25">
      <c r="A2470" s="13">
        <v>1015442088</v>
      </c>
      <c r="B2470" s="11" t="s">
        <v>83</v>
      </c>
      <c r="C2470" s="1" t="s">
        <v>2790</v>
      </c>
      <c r="D2470" s="1" t="s">
        <v>2791</v>
      </c>
      <c r="E2470" s="1" t="s">
        <v>24</v>
      </c>
    </row>
    <row r="2471" spans="1:5" x14ac:dyDescent="0.25">
      <c r="A2471" s="13">
        <v>1015443910</v>
      </c>
      <c r="B2471" s="11" t="s">
        <v>84</v>
      </c>
      <c r="C2471" s="1" t="s">
        <v>3125</v>
      </c>
      <c r="D2471" s="1" t="s">
        <v>38</v>
      </c>
      <c r="E2471" s="1" t="s">
        <v>10</v>
      </c>
    </row>
    <row r="2472" spans="1:5" x14ac:dyDescent="0.25">
      <c r="A2472" s="13">
        <v>1015449279</v>
      </c>
      <c r="B2472" s="11" t="s">
        <v>83</v>
      </c>
      <c r="C2472" s="1" t="s">
        <v>2789</v>
      </c>
      <c r="D2472" s="1" t="s">
        <v>48</v>
      </c>
      <c r="E2472" s="1" t="s">
        <v>19</v>
      </c>
    </row>
    <row r="2473" spans="1:5" x14ac:dyDescent="0.25">
      <c r="A2473" s="13">
        <v>1015454521</v>
      </c>
      <c r="B2473" s="11" t="s">
        <v>83</v>
      </c>
      <c r="C2473" s="1" t="s">
        <v>2788</v>
      </c>
      <c r="D2473" s="1" t="s">
        <v>59</v>
      </c>
      <c r="E2473" s="1" t="s">
        <v>19</v>
      </c>
    </row>
    <row r="2474" spans="1:5" x14ac:dyDescent="0.25">
      <c r="A2474" s="13">
        <v>1015458000</v>
      </c>
      <c r="B2474" s="11" t="s">
        <v>83</v>
      </c>
      <c r="C2474" s="1" t="s">
        <v>2787</v>
      </c>
      <c r="D2474" s="1" t="s">
        <v>59</v>
      </c>
      <c r="E2474" s="1" t="s">
        <v>19</v>
      </c>
    </row>
    <row r="2475" spans="1:5" x14ac:dyDescent="0.25">
      <c r="A2475" s="13">
        <v>1015461728</v>
      </c>
      <c r="B2475" s="11" t="s">
        <v>84</v>
      </c>
      <c r="C2475" s="1" t="s">
        <v>2786</v>
      </c>
      <c r="D2475" s="1" t="s">
        <v>38</v>
      </c>
      <c r="E2475" s="1" t="s">
        <v>15</v>
      </c>
    </row>
    <row r="2476" spans="1:5" x14ac:dyDescent="0.25">
      <c r="A2476" s="13">
        <v>1015462891</v>
      </c>
      <c r="B2476" s="11" t="s">
        <v>83</v>
      </c>
      <c r="C2476" s="1" t="s">
        <v>3710</v>
      </c>
      <c r="D2476" s="1" t="s">
        <v>90</v>
      </c>
      <c r="E2476" s="1" t="s">
        <v>196</v>
      </c>
    </row>
    <row r="2477" spans="1:5" x14ac:dyDescent="0.25">
      <c r="A2477" s="13">
        <v>1015474296</v>
      </c>
      <c r="B2477" s="11" t="s">
        <v>83</v>
      </c>
      <c r="C2477" s="1" t="s">
        <v>2785</v>
      </c>
      <c r="D2477" s="1" t="s">
        <v>59</v>
      </c>
      <c r="E2477" s="1" t="s">
        <v>19</v>
      </c>
    </row>
    <row r="2478" spans="1:5" x14ac:dyDescent="0.25">
      <c r="A2478" s="13">
        <v>1015478949</v>
      </c>
      <c r="B2478" s="11" t="s">
        <v>116</v>
      </c>
      <c r="C2478" s="1" t="s">
        <v>3394</v>
      </c>
      <c r="D2478" s="1" t="s">
        <v>117</v>
      </c>
      <c r="E2478" s="1" t="s">
        <v>3192</v>
      </c>
    </row>
    <row r="2479" spans="1:5" x14ac:dyDescent="0.25">
      <c r="A2479" s="13">
        <v>1015482839</v>
      </c>
      <c r="B2479" s="11" t="s">
        <v>84</v>
      </c>
      <c r="C2479" s="1" t="s">
        <v>3395</v>
      </c>
      <c r="D2479" s="1" t="s">
        <v>3396</v>
      </c>
      <c r="E2479" s="1" t="s">
        <v>25</v>
      </c>
    </row>
    <row r="2480" spans="1:5" x14ac:dyDescent="0.25">
      <c r="A2480" s="13">
        <v>1016002692</v>
      </c>
      <c r="B2480" s="11" t="s">
        <v>84</v>
      </c>
      <c r="C2480" s="1" t="s">
        <v>2784</v>
      </c>
      <c r="D2480" s="1" t="s">
        <v>38</v>
      </c>
      <c r="E2480" s="1" t="s">
        <v>127</v>
      </c>
    </row>
    <row r="2481" spans="1:5" x14ac:dyDescent="0.25">
      <c r="A2481" s="13">
        <v>1016007730</v>
      </c>
      <c r="B2481" s="11" t="s">
        <v>116</v>
      </c>
      <c r="C2481" s="1" t="s">
        <v>2783</v>
      </c>
      <c r="D2481" s="1" t="s">
        <v>117</v>
      </c>
      <c r="E2481" s="1" t="s">
        <v>11</v>
      </c>
    </row>
    <row r="2482" spans="1:5" x14ac:dyDescent="0.25">
      <c r="A2482" s="13">
        <v>1016018744</v>
      </c>
      <c r="B2482" s="11" t="s">
        <v>83</v>
      </c>
      <c r="C2482" s="1" t="s">
        <v>2782</v>
      </c>
      <c r="D2482" s="1" t="s">
        <v>366</v>
      </c>
      <c r="E2482" s="1" t="s">
        <v>24</v>
      </c>
    </row>
    <row r="2483" spans="1:5" x14ac:dyDescent="0.25">
      <c r="A2483" s="13">
        <v>1016023593</v>
      </c>
      <c r="B2483" s="11" t="s">
        <v>116</v>
      </c>
      <c r="C2483" s="1" t="s">
        <v>3086</v>
      </c>
      <c r="D2483" s="1" t="s">
        <v>117</v>
      </c>
      <c r="E2483" s="1" t="s">
        <v>3190</v>
      </c>
    </row>
    <row r="2484" spans="1:5" x14ac:dyDescent="0.25">
      <c r="A2484" s="13">
        <v>1016024227</v>
      </c>
      <c r="B2484" s="11" t="s">
        <v>83</v>
      </c>
      <c r="C2484" s="1" t="s">
        <v>2781</v>
      </c>
      <c r="D2484" s="1" t="s">
        <v>57</v>
      </c>
      <c r="E2484" s="1" t="s">
        <v>23</v>
      </c>
    </row>
    <row r="2485" spans="1:5" x14ac:dyDescent="0.25">
      <c r="A2485" s="13">
        <v>1016036053</v>
      </c>
      <c r="B2485" s="11" t="s">
        <v>84</v>
      </c>
      <c r="C2485" s="1" t="s">
        <v>2780</v>
      </c>
      <c r="D2485" s="1" t="s">
        <v>43</v>
      </c>
      <c r="E2485" s="1" t="s">
        <v>263</v>
      </c>
    </row>
    <row r="2486" spans="1:5" x14ac:dyDescent="0.25">
      <c r="A2486" s="13">
        <v>1016036777</v>
      </c>
      <c r="B2486" s="11" t="s">
        <v>83</v>
      </c>
      <c r="C2486" s="1" t="s">
        <v>2779</v>
      </c>
      <c r="D2486" s="1" t="s">
        <v>47</v>
      </c>
      <c r="E2486" s="1" t="s">
        <v>19</v>
      </c>
    </row>
    <row r="2487" spans="1:5" x14ac:dyDescent="0.25">
      <c r="A2487" s="13">
        <v>1016042025</v>
      </c>
      <c r="B2487" s="11" t="s">
        <v>84</v>
      </c>
      <c r="C2487" s="1" t="s">
        <v>3397</v>
      </c>
      <c r="D2487" s="1" t="s">
        <v>43</v>
      </c>
      <c r="E2487" s="1" t="s">
        <v>9</v>
      </c>
    </row>
    <row r="2488" spans="1:5" x14ac:dyDescent="0.25">
      <c r="A2488" s="13">
        <v>1016071171</v>
      </c>
      <c r="B2488" s="11" t="s">
        <v>84</v>
      </c>
      <c r="C2488" s="1" t="s">
        <v>3398</v>
      </c>
      <c r="D2488" s="1" t="s">
        <v>3141</v>
      </c>
      <c r="E2488" s="1" t="s">
        <v>1</v>
      </c>
    </row>
    <row r="2489" spans="1:5" x14ac:dyDescent="0.25">
      <c r="A2489" s="13">
        <v>1016076619</v>
      </c>
      <c r="B2489" s="11" t="s">
        <v>116</v>
      </c>
      <c r="C2489" s="1" t="s">
        <v>3019</v>
      </c>
      <c r="D2489" s="1" t="s">
        <v>117</v>
      </c>
      <c r="E2489" s="1" t="s">
        <v>12</v>
      </c>
    </row>
    <row r="2490" spans="1:5" x14ac:dyDescent="0.25">
      <c r="A2490" s="13">
        <v>1016079242</v>
      </c>
      <c r="B2490" s="11" t="s">
        <v>83</v>
      </c>
      <c r="C2490" s="1" t="s">
        <v>2778</v>
      </c>
      <c r="D2490" s="1" t="s">
        <v>2939</v>
      </c>
      <c r="E2490" s="1" t="s">
        <v>196</v>
      </c>
    </row>
    <row r="2491" spans="1:5" x14ac:dyDescent="0.25">
      <c r="A2491" s="13">
        <v>1016086517</v>
      </c>
      <c r="B2491" s="11" t="s">
        <v>84</v>
      </c>
      <c r="C2491" s="1" t="s">
        <v>2777</v>
      </c>
      <c r="D2491" s="1" t="s">
        <v>3399</v>
      </c>
      <c r="E2491" s="1" t="s">
        <v>1</v>
      </c>
    </row>
    <row r="2492" spans="1:5" x14ac:dyDescent="0.25">
      <c r="A2492" s="13">
        <v>1016090131</v>
      </c>
      <c r="B2492" s="11" t="s">
        <v>83</v>
      </c>
      <c r="C2492" s="1" t="s">
        <v>3124</v>
      </c>
      <c r="D2492" s="1" t="s">
        <v>3609</v>
      </c>
      <c r="E2492" s="1" t="s">
        <v>196</v>
      </c>
    </row>
    <row r="2493" spans="1:5" x14ac:dyDescent="0.25">
      <c r="A2493" s="13">
        <v>1016090150</v>
      </c>
      <c r="B2493" s="11" t="s">
        <v>83</v>
      </c>
      <c r="C2493" s="1" t="s">
        <v>3401</v>
      </c>
      <c r="D2493" s="1" t="s">
        <v>79</v>
      </c>
      <c r="E2493" s="1" t="s">
        <v>19</v>
      </c>
    </row>
    <row r="2494" spans="1:5" x14ac:dyDescent="0.25">
      <c r="A2494" s="13">
        <v>1016090580</v>
      </c>
      <c r="B2494" s="11" t="s">
        <v>84</v>
      </c>
      <c r="C2494" s="1" t="s">
        <v>2776</v>
      </c>
      <c r="D2494" s="1" t="s">
        <v>41</v>
      </c>
      <c r="E2494" s="1" t="s">
        <v>1</v>
      </c>
    </row>
    <row r="2495" spans="1:5" x14ac:dyDescent="0.25">
      <c r="A2495" s="13">
        <v>1016093685</v>
      </c>
      <c r="B2495" s="11" t="s">
        <v>83</v>
      </c>
      <c r="C2495" s="1" t="s">
        <v>2775</v>
      </c>
      <c r="D2495" s="1" t="s">
        <v>53</v>
      </c>
      <c r="E2495" s="1" t="s">
        <v>4</v>
      </c>
    </row>
    <row r="2496" spans="1:5" x14ac:dyDescent="0.25">
      <c r="A2496" s="13">
        <v>1016096130</v>
      </c>
      <c r="B2496" s="11" t="s">
        <v>83</v>
      </c>
      <c r="C2496" s="1" t="s">
        <v>3034</v>
      </c>
      <c r="D2496" s="1" t="s">
        <v>93</v>
      </c>
      <c r="E2496" s="1" t="s">
        <v>24</v>
      </c>
    </row>
    <row r="2497" spans="1:5" x14ac:dyDescent="0.25">
      <c r="A2497" s="13">
        <v>1016111073</v>
      </c>
      <c r="B2497" s="11" t="s">
        <v>84</v>
      </c>
      <c r="C2497" s="1" t="s">
        <v>2774</v>
      </c>
      <c r="D2497" s="1" t="s">
        <v>3402</v>
      </c>
      <c r="E2497" s="1" t="s">
        <v>3595</v>
      </c>
    </row>
    <row r="2498" spans="1:5" x14ac:dyDescent="0.25">
      <c r="A2498" s="13">
        <v>1016114297</v>
      </c>
      <c r="B2498" s="11" t="s">
        <v>84</v>
      </c>
      <c r="C2498" s="1" t="s">
        <v>3403</v>
      </c>
      <c r="D2498" s="1" t="s">
        <v>2310</v>
      </c>
      <c r="E2498" s="1" t="s">
        <v>22</v>
      </c>
    </row>
    <row r="2499" spans="1:5" x14ac:dyDescent="0.25">
      <c r="A2499" s="13">
        <v>1017183828</v>
      </c>
      <c r="B2499" s="11" t="s">
        <v>83</v>
      </c>
      <c r="C2499" s="1" t="s">
        <v>2772</v>
      </c>
      <c r="D2499" s="1" t="s">
        <v>57</v>
      </c>
      <c r="E2499" s="1" t="s">
        <v>23</v>
      </c>
    </row>
    <row r="2500" spans="1:5" x14ac:dyDescent="0.25">
      <c r="A2500" s="13">
        <v>1017227144</v>
      </c>
      <c r="B2500" s="11" t="s">
        <v>83</v>
      </c>
      <c r="C2500" s="1" t="s">
        <v>3404</v>
      </c>
      <c r="D2500" s="1" t="s">
        <v>3202</v>
      </c>
      <c r="E2500" s="1" t="s">
        <v>19</v>
      </c>
    </row>
    <row r="2501" spans="1:5" x14ac:dyDescent="0.25">
      <c r="A2501" s="13">
        <v>1018404653</v>
      </c>
      <c r="B2501" s="11" t="s">
        <v>84</v>
      </c>
      <c r="C2501" s="1" t="s">
        <v>3405</v>
      </c>
      <c r="D2501" s="1" t="s">
        <v>38</v>
      </c>
      <c r="E2501" s="1" t="s">
        <v>14</v>
      </c>
    </row>
    <row r="2502" spans="1:5" x14ac:dyDescent="0.25">
      <c r="A2502" s="13">
        <v>1018406993</v>
      </c>
      <c r="B2502" s="11" t="s">
        <v>116</v>
      </c>
      <c r="C2502" s="1" t="s">
        <v>2771</v>
      </c>
      <c r="D2502" s="1" t="s">
        <v>117</v>
      </c>
      <c r="E2502" s="1" t="s">
        <v>120</v>
      </c>
    </row>
    <row r="2503" spans="1:5" x14ac:dyDescent="0.25">
      <c r="A2503" s="13">
        <v>1018409066</v>
      </c>
      <c r="B2503" s="11" t="s">
        <v>84</v>
      </c>
      <c r="C2503" s="1" t="s">
        <v>2770</v>
      </c>
      <c r="D2503" s="1" t="s">
        <v>38</v>
      </c>
      <c r="E2503" s="1" t="s">
        <v>2</v>
      </c>
    </row>
    <row r="2504" spans="1:5" x14ac:dyDescent="0.25">
      <c r="A2504" s="13">
        <v>1018411979</v>
      </c>
      <c r="B2504" s="11" t="s">
        <v>84</v>
      </c>
      <c r="C2504" s="1" t="s">
        <v>2769</v>
      </c>
      <c r="D2504" s="1" t="s">
        <v>3610</v>
      </c>
      <c r="E2504" s="1" t="s">
        <v>3085</v>
      </c>
    </row>
    <row r="2505" spans="1:5" x14ac:dyDescent="0.25">
      <c r="A2505" s="13">
        <v>1018413529</v>
      </c>
      <c r="B2505" s="11" t="s">
        <v>83</v>
      </c>
      <c r="C2505" s="1" t="s">
        <v>3406</v>
      </c>
      <c r="D2505" s="1" t="s">
        <v>3161</v>
      </c>
      <c r="E2505" s="1" t="s">
        <v>196</v>
      </c>
    </row>
    <row r="2506" spans="1:5" x14ac:dyDescent="0.25">
      <c r="A2506" s="13">
        <v>1018413553</v>
      </c>
      <c r="B2506" s="11" t="s">
        <v>84</v>
      </c>
      <c r="C2506" s="1" t="s">
        <v>2768</v>
      </c>
      <c r="D2506" s="1" t="s">
        <v>43</v>
      </c>
      <c r="E2506" s="1" t="s">
        <v>14</v>
      </c>
    </row>
    <row r="2507" spans="1:5" x14ac:dyDescent="0.25">
      <c r="A2507" s="13">
        <v>1018414290</v>
      </c>
      <c r="B2507" s="11" t="s">
        <v>83</v>
      </c>
      <c r="C2507" s="1" t="s">
        <v>3611</v>
      </c>
      <c r="D2507" s="1" t="s">
        <v>48</v>
      </c>
      <c r="E2507" s="1" t="s">
        <v>196</v>
      </c>
    </row>
    <row r="2508" spans="1:5" x14ac:dyDescent="0.25">
      <c r="A2508" s="13">
        <v>1018416691</v>
      </c>
      <c r="B2508" s="11" t="s">
        <v>83</v>
      </c>
      <c r="C2508" s="1" t="s">
        <v>2767</v>
      </c>
      <c r="D2508" s="1" t="s">
        <v>47</v>
      </c>
      <c r="E2508" s="1" t="s">
        <v>19</v>
      </c>
    </row>
    <row r="2509" spans="1:5" x14ac:dyDescent="0.25">
      <c r="A2509" s="13">
        <v>1018417376</v>
      </c>
      <c r="B2509" s="11" t="s">
        <v>83</v>
      </c>
      <c r="C2509" s="1" t="s">
        <v>2766</v>
      </c>
      <c r="D2509" s="1" t="s">
        <v>47</v>
      </c>
      <c r="E2509" s="1" t="s">
        <v>19</v>
      </c>
    </row>
    <row r="2510" spans="1:5" x14ac:dyDescent="0.25">
      <c r="A2510" s="13">
        <v>1018418993</v>
      </c>
      <c r="B2510" s="11" t="s">
        <v>83</v>
      </c>
      <c r="C2510" s="1" t="s">
        <v>2765</v>
      </c>
      <c r="D2510" s="1" t="s">
        <v>47</v>
      </c>
      <c r="E2510" s="1" t="s">
        <v>19</v>
      </c>
    </row>
    <row r="2511" spans="1:5" x14ac:dyDescent="0.25">
      <c r="A2511" s="13">
        <v>1018420838</v>
      </c>
      <c r="B2511" s="11" t="s">
        <v>84</v>
      </c>
      <c r="C2511" s="1" t="s">
        <v>2764</v>
      </c>
      <c r="D2511" s="1" t="s">
        <v>36</v>
      </c>
      <c r="E2511" s="1" t="s">
        <v>17</v>
      </c>
    </row>
    <row r="2512" spans="1:5" x14ac:dyDescent="0.25">
      <c r="A2512" s="13">
        <v>1018422258</v>
      </c>
      <c r="B2512" s="11" t="s">
        <v>83</v>
      </c>
      <c r="C2512" s="1" t="s">
        <v>2763</v>
      </c>
      <c r="D2512" s="1" t="s">
        <v>47</v>
      </c>
      <c r="E2512" s="1" t="s">
        <v>16</v>
      </c>
    </row>
    <row r="2513" spans="1:5" x14ac:dyDescent="0.25">
      <c r="A2513" s="13">
        <v>1018422335</v>
      </c>
      <c r="B2513" s="11" t="s">
        <v>83</v>
      </c>
      <c r="C2513" s="1" t="s">
        <v>2761</v>
      </c>
      <c r="D2513" s="1" t="s">
        <v>2762</v>
      </c>
      <c r="E2513" s="1" t="s">
        <v>21</v>
      </c>
    </row>
    <row r="2514" spans="1:5" x14ac:dyDescent="0.25">
      <c r="A2514" s="13">
        <v>1018423012</v>
      </c>
      <c r="B2514" s="11" t="s">
        <v>116</v>
      </c>
      <c r="C2514" s="1" t="s">
        <v>2760</v>
      </c>
      <c r="D2514" s="1" t="s">
        <v>117</v>
      </c>
      <c r="E2514" s="1" t="s">
        <v>8</v>
      </c>
    </row>
    <row r="2515" spans="1:5" x14ac:dyDescent="0.25">
      <c r="A2515" s="13">
        <v>1018427488</v>
      </c>
      <c r="B2515" s="11" t="s">
        <v>84</v>
      </c>
      <c r="C2515" s="1" t="s">
        <v>3063</v>
      </c>
      <c r="D2515" s="1" t="s">
        <v>3143</v>
      </c>
      <c r="E2515" s="1" t="s">
        <v>1</v>
      </c>
    </row>
    <row r="2516" spans="1:5" x14ac:dyDescent="0.25">
      <c r="A2516" s="13">
        <v>1018429735</v>
      </c>
      <c r="B2516" s="11" t="s">
        <v>83</v>
      </c>
      <c r="C2516" s="1" t="s">
        <v>2759</v>
      </c>
      <c r="D2516" s="1" t="s">
        <v>57</v>
      </c>
      <c r="E2516" s="1" t="s">
        <v>23</v>
      </c>
    </row>
    <row r="2517" spans="1:5" x14ac:dyDescent="0.25">
      <c r="A2517" s="13">
        <v>1018430771</v>
      </c>
      <c r="B2517" s="11" t="s">
        <v>84</v>
      </c>
      <c r="C2517" s="1" t="s">
        <v>2758</v>
      </c>
      <c r="D2517" s="1" t="s">
        <v>38</v>
      </c>
      <c r="E2517" s="1" t="s">
        <v>11</v>
      </c>
    </row>
    <row r="2518" spans="1:5" x14ac:dyDescent="0.25">
      <c r="A2518" s="13">
        <v>1018431618</v>
      </c>
      <c r="B2518" s="11" t="s">
        <v>116</v>
      </c>
      <c r="C2518" s="1" t="s">
        <v>3407</v>
      </c>
      <c r="D2518" s="1" t="s">
        <v>117</v>
      </c>
      <c r="E2518" s="1" t="s">
        <v>3130</v>
      </c>
    </row>
    <row r="2519" spans="1:5" x14ac:dyDescent="0.25">
      <c r="A2519" s="13">
        <v>1018432618</v>
      </c>
      <c r="B2519" s="11" t="s">
        <v>84</v>
      </c>
      <c r="C2519" s="1" t="s">
        <v>3408</v>
      </c>
      <c r="D2519" s="1" t="s">
        <v>38</v>
      </c>
      <c r="E2519" s="1" t="s">
        <v>14</v>
      </c>
    </row>
    <row r="2520" spans="1:5" x14ac:dyDescent="0.25">
      <c r="A2520" s="13">
        <v>1018436662</v>
      </c>
      <c r="B2520" s="11" t="s">
        <v>84</v>
      </c>
      <c r="C2520" s="1" t="s">
        <v>2757</v>
      </c>
      <c r="D2520" s="1" t="s">
        <v>38</v>
      </c>
      <c r="E2520" s="1" t="s">
        <v>2</v>
      </c>
    </row>
    <row r="2521" spans="1:5" x14ac:dyDescent="0.25">
      <c r="A2521" s="13">
        <v>1018437575</v>
      </c>
      <c r="B2521" s="11" t="s">
        <v>83</v>
      </c>
      <c r="C2521" s="1" t="s">
        <v>2756</v>
      </c>
      <c r="D2521" s="1" t="s">
        <v>47</v>
      </c>
      <c r="E2521" s="1" t="s">
        <v>939</v>
      </c>
    </row>
    <row r="2522" spans="1:5" x14ac:dyDescent="0.25">
      <c r="A2522" s="13">
        <v>1018438359</v>
      </c>
      <c r="B2522" s="11" t="s">
        <v>84</v>
      </c>
      <c r="C2522" s="1" t="s">
        <v>2755</v>
      </c>
      <c r="D2522" s="1" t="s">
        <v>71</v>
      </c>
      <c r="E2522" s="1" t="s">
        <v>1</v>
      </c>
    </row>
    <row r="2523" spans="1:5" x14ac:dyDescent="0.25">
      <c r="A2523" s="13">
        <v>1018439394</v>
      </c>
      <c r="B2523" s="11" t="s">
        <v>83</v>
      </c>
      <c r="C2523" s="1" t="s">
        <v>2754</v>
      </c>
      <c r="D2523" s="1" t="s">
        <v>47</v>
      </c>
      <c r="E2523" s="1" t="s">
        <v>26</v>
      </c>
    </row>
    <row r="2524" spans="1:5" x14ac:dyDescent="0.25">
      <c r="A2524" s="13">
        <v>1018439842</v>
      </c>
      <c r="B2524" s="11" t="s">
        <v>83</v>
      </c>
      <c r="C2524" s="1" t="s">
        <v>2753</v>
      </c>
      <c r="D2524" s="1" t="s">
        <v>51</v>
      </c>
      <c r="E2524" s="1" t="s">
        <v>20</v>
      </c>
    </row>
    <row r="2525" spans="1:5" x14ac:dyDescent="0.25">
      <c r="A2525" s="13">
        <v>1018441981</v>
      </c>
      <c r="B2525" s="11" t="s">
        <v>84</v>
      </c>
      <c r="C2525" s="1" t="s">
        <v>2752</v>
      </c>
      <c r="D2525" s="1" t="s">
        <v>52</v>
      </c>
      <c r="E2525" s="1" t="s">
        <v>22</v>
      </c>
    </row>
    <row r="2526" spans="1:5" x14ac:dyDescent="0.25">
      <c r="A2526" s="13">
        <v>1018443394</v>
      </c>
      <c r="B2526" s="11" t="s">
        <v>84</v>
      </c>
      <c r="C2526" s="1" t="s">
        <v>3018</v>
      </c>
      <c r="D2526" s="1" t="s">
        <v>38</v>
      </c>
      <c r="E2526" s="1" t="s">
        <v>10</v>
      </c>
    </row>
    <row r="2527" spans="1:5" x14ac:dyDescent="0.25">
      <c r="A2527" s="13">
        <v>1018443678</v>
      </c>
      <c r="B2527" s="11" t="s">
        <v>84</v>
      </c>
      <c r="C2527" s="1" t="s">
        <v>2751</v>
      </c>
      <c r="D2527" s="1" t="s">
        <v>65</v>
      </c>
      <c r="E2527" s="1" t="s">
        <v>1</v>
      </c>
    </row>
    <row r="2528" spans="1:5" x14ac:dyDescent="0.25">
      <c r="A2528" s="13">
        <v>1018447874</v>
      </c>
      <c r="B2528" s="11" t="s">
        <v>84</v>
      </c>
      <c r="C2528" s="1" t="s">
        <v>2750</v>
      </c>
      <c r="D2528" s="1" t="s">
        <v>38</v>
      </c>
      <c r="E2528" s="1" t="s">
        <v>3</v>
      </c>
    </row>
    <row r="2529" spans="1:5" x14ac:dyDescent="0.25">
      <c r="A2529" s="13">
        <v>1018451766</v>
      </c>
      <c r="B2529" s="11" t="s">
        <v>84</v>
      </c>
      <c r="C2529" s="1" t="s">
        <v>2749</v>
      </c>
      <c r="D2529" s="1" t="s">
        <v>43</v>
      </c>
      <c r="E2529" s="1" t="s">
        <v>6</v>
      </c>
    </row>
    <row r="2530" spans="1:5" x14ac:dyDescent="0.25">
      <c r="A2530" s="13">
        <v>1018454880</v>
      </c>
      <c r="B2530" s="11" t="s">
        <v>84</v>
      </c>
      <c r="C2530" s="1" t="s">
        <v>2748</v>
      </c>
      <c r="D2530" s="1" t="s">
        <v>36</v>
      </c>
      <c r="E2530" s="1" t="s">
        <v>17</v>
      </c>
    </row>
    <row r="2531" spans="1:5" x14ac:dyDescent="0.25">
      <c r="A2531" s="13">
        <v>1018456219</v>
      </c>
      <c r="B2531" s="11" t="s">
        <v>83</v>
      </c>
      <c r="C2531" s="1" t="s">
        <v>177</v>
      </c>
      <c r="D2531" s="1" t="s">
        <v>53</v>
      </c>
      <c r="E2531" s="1" t="s">
        <v>4</v>
      </c>
    </row>
    <row r="2532" spans="1:5" x14ac:dyDescent="0.25">
      <c r="A2532" s="13">
        <v>1018456304</v>
      </c>
      <c r="B2532" s="11" t="s">
        <v>83</v>
      </c>
      <c r="C2532" s="1" t="s">
        <v>3409</v>
      </c>
      <c r="D2532" s="1" t="s">
        <v>56</v>
      </c>
      <c r="E2532" s="1" t="s">
        <v>4</v>
      </c>
    </row>
    <row r="2533" spans="1:5" x14ac:dyDescent="0.25">
      <c r="A2533" s="13">
        <v>1018457372</v>
      </c>
      <c r="B2533" s="11" t="s">
        <v>83</v>
      </c>
      <c r="C2533" s="1" t="s">
        <v>3410</v>
      </c>
      <c r="D2533" s="1" t="s">
        <v>3161</v>
      </c>
      <c r="E2533" s="1" t="s">
        <v>19</v>
      </c>
    </row>
    <row r="2534" spans="1:5" x14ac:dyDescent="0.25">
      <c r="A2534" s="13">
        <v>1018458391</v>
      </c>
      <c r="B2534" s="11" t="s">
        <v>83</v>
      </c>
      <c r="C2534" s="1" t="s">
        <v>2747</v>
      </c>
      <c r="D2534" s="1" t="s">
        <v>47</v>
      </c>
      <c r="E2534" s="1" t="s">
        <v>19</v>
      </c>
    </row>
    <row r="2535" spans="1:5" x14ac:dyDescent="0.25">
      <c r="A2535" s="13">
        <v>1018458782</v>
      </c>
      <c r="B2535" s="11" t="s">
        <v>84</v>
      </c>
      <c r="C2535" s="1" t="s">
        <v>2746</v>
      </c>
      <c r="D2535" s="1" t="s">
        <v>38</v>
      </c>
      <c r="E2535" s="1" t="s">
        <v>12</v>
      </c>
    </row>
    <row r="2536" spans="1:5" x14ac:dyDescent="0.25">
      <c r="A2536" s="13">
        <v>1018459510</v>
      </c>
      <c r="B2536" s="11" t="s">
        <v>83</v>
      </c>
      <c r="C2536" s="1" t="s">
        <v>2745</v>
      </c>
      <c r="D2536" s="1" t="s">
        <v>47</v>
      </c>
      <c r="E2536" s="1" t="s">
        <v>1531</v>
      </c>
    </row>
    <row r="2537" spans="1:5" x14ac:dyDescent="0.25">
      <c r="A2537" s="13">
        <v>1018459777</v>
      </c>
      <c r="B2537" s="11" t="s">
        <v>83</v>
      </c>
      <c r="C2537" s="1" t="s">
        <v>2744</v>
      </c>
      <c r="D2537" s="1" t="s">
        <v>47</v>
      </c>
      <c r="E2537" s="1" t="s">
        <v>1531</v>
      </c>
    </row>
    <row r="2538" spans="1:5" x14ac:dyDescent="0.25">
      <c r="A2538" s="13">
        <v>1018459778</v>
      </c>
      <c r="B2538" s="11" t="s">
        <v>83</v>
      </c>
      <c r="C2538" s="1" t="s">
        <v>2743</v>
      </c>
      <c r="D2538" s="1" t="s">
        <v>47</v>
      </c>
      <c r="E2538" s="1" t="s">
        <v>29</v>
      </c>
    </row>
    <row r="2539" spans="1:5" x14ac:dyDescent="0.25">
      <c r="A2539" s="13">
        <v>1018461844</v>
      </c>
      <c r="B2539" s="11" t="s">
        <v>83</v>
      </c>
      <c r="C2539" s="1" t="s">
        <v>2742</v>
      </c>
      <c r="D2539" s="1" t="s">
        <v>47</v>
      </c>
      <c r="E2539" s="1" t="s">
        <v>2380</v>
      </c>
    </row>
    <row r="2540" spans="1:5" x14ac:dyDescent="0.25">
      <c r="A2540" s="13">
        <v>1018466235</v>
      </c>
      <c r="B2540" s="11" t="s">
        <v>83</v>
      </c>
      <c r="C2540" s="1" t="s">
        <v>2741</v>
      </c>
      <c r="D2540" s="1" t="s">
        <v>47</v>
      </c>
      <c r="E2540" s="1" t="s">
        <v>19</v>
      </c>
    </row>
    <row r="2541" spans="1:5" x14ac:dyDescent="0.25">
      <c r="A2541" s="13">
        <v>1018470482</v>
      </c>
      <c r="B2541" s="11" t="s">
        <v>83</v>
      </c>
      <c r="C2541" s="1" t="s">
        <v>2740</v>
      </c>
      <c r="D2541" s="1" t="s">
        <v>36</v>
      </c>
      <c r="E2541" s="1" t="s">
        <v>19</v>
      </c>
    </row>
    <row r="2542" spans="1:5" x14ac:dyDescent="0.25">
      <c r="A2542" s="13">
        <v>1018472015</v>
      </c>
      <c r="B2542" s="11" t="s">
        <v>84</v>
      </c>
      <c r="C2542" s="1" t="s">
        <v>2739</v>
      </c>
      <c r="D2542" s="1" t="s">
        <v>47</v>
      </c>
      <c r="E2542" s="1" t="s">
        <v>2349</v>
      </c>
    </row>
    <row r="2543" spans="1:5" x14ac:dyDescent="0.25">
      <c r="A2543" s="13">
        <v>1018478014</v>
      </c>
      <c r="B2543" s="11" t="s">
        <v>84</v>
      </c>
      <c r="C2543" s="1" t="s">
        <v>2738</v>
      </c>
      <c r="D2543" s="1" t="s">
        <v>38</v>
      </c>
      <c r="E2543" s="1" t="s">
        <v>5</v>
      </c>
    </row>
    <row r="2544" spans="1:5" x14ac:dyDescent="0.25">
      <c r="A2544" s="13">
        <v>1018478338</v>
      </c>
      <c r="B2544" s="11" t="s">
        <v>83</v>
      </c>
      <c r="C2544" s="1" t="s">
        <v>2736</v>
      </c>
      <c r="D2544" s="1" t="s">
        <v>2737</v>
      </c>
      <c r="E2544" s="1" t="s">
        <v>1</v>
      </c>
    </row>
    <row r="2545" spans="1:5" x14ac:dyDescent="0.25">
      <c r="A2545" s="13">
        <v>1018478534</v>
      </c>
      <c r="B2545" s="11" t="s">
        <v>83</v>
      </c>
      <c r="C2545" s="1" t="s">
        <v>2735</v>
      </c>
      <c r="D2545" s="1" t="s">
        <v>47</v>
      </c>
      <c r="E2545" s="1" t="s">
        <v>26</v>
      </c>
    </row>
    <row r="2546" spans="1:5" x14ac:dyDescent="0.25">
      <c r="A2546" s="13">
        <v>1018482392</v>
      </c>
      <c r="B2546" s="11" t="s">
        <v>84</v>
      </c>
      <c r="C2546" s="1" t="s">
        <v>3411</v>
      </c>
      <c r="D2546" s="1" t="s">
        <v>3344</v>
      </c>
      <c r="E2546" s="1" t="s">
        <v>22</v>
      </c>
    </row>
    <row r="2547" spans="1:5" x14ac:dyDescent="0.25">
      <c r="A2547" s="13">
        <v>1018482404</v>
      </c>
      <c r="B2547" s="11" t="s">
        <v>83</v>
      </c>
      <c r="C2547" s="1" t="s">
        <v>2734</v>
      </c>
      <c r="D2547" s="1" t="s">
        <v>48</v>
      </c>
      <c r="E2547" s="1" t="s">
        <v>19</v>
      </c>
    </row>
    <row r="2548" spans="1:5" x14ac:dyDescent="0.25">
      <c r="A2548" s="13">
        <v>1018483276</v>
      </c>
      <c r="B2548" s="11" t="s">
        <v>84</v>
      </c>
      <c r="C2548" s="1" t="s">
        <v>3170</v>
      </c>
      <c r="D2548" s="1" t="s">
        <v>38</v>
      </c>
      <c r="E2548" s="1" t="s">
        <v>13</v>
      </c>
    </row>
    <row r="2549" spans="1:5" x14ac:dyDescent="0.25">
      <c r="A2549" s="13">
        <v>1018484701</v>
      </c>
      <c r="B2549" s="11" t="s">
        <v>83</v>
      </c>
      <c r="C2549" s="1" t="s">
        <v>2733</v>
      </c>
      <c r="D2549" s="1" t="s">
        <v>47</v>
      </c>
      <c r="E2549" s="1" t="s">
        <v>367</v>
      </c>
    </row>
    <row r="2550" spans="1:5" x14ac:dyDescent="0.25">
      <c r="A2550" s="13">
        <v>1018484863</v>
      </c>
      <c r="B2550" s="11" t="s">
        <v>83</v>
      </c>
      <c r="C2550" s="1" t="s">
        <v>2732</v>
      </c>
      <c r="D2550" s="1" t="s">
        <v>97</v>
      </c>
      <c r="E2550" s="1" t="s">
        <v>19</v>
      </c>
    </row>
    <row r="2551" spans="1:5" x14ac:dyDescent="0.25">
      <c r="A2551" s="13">
        <v>1018486442</v>
      </c>
      <c r="B2551" s="11" t="s">
        <v>84</v>
      </c>
      <c r="C2551" s="1" t="s">
        <v>3706</v>
      </c>
      <c r="D2551" s="1" t="s">
        <v>3325</v>
      </c>
      <c r="E2551" s="1" t="s">
        <v>3572</v>
      </c>
    </row>
    <row r="2552" spans="1:5" x14ac:dyDescent="0.25">
      <c r="A2552" s="13">
        <v>1018488631</v>
      </c>
      <c r="B2552" s="11" t="s">
        <v>83</v>
      </c>
      <c r="C2552" s="1" t="s">
        <v>2731</v>
      </c>
      <c r="D2552" s="1" t="s">
        <v>47</v>
      </c>
      <c r="E2552" s="1" t="s">
        <v>16</v>
      </c>
    </row>
    <row r="2553" spans="1:5" x14ac:dyDescent="0.25">
      <c r="A2553" s="13">
        <v>1018489183</v>
      </c>
      <c r="B2553" s="11" t="s">
        <v>83</v>
      </c>
      <c r="C2553" s="1" t="s">
        <v>2730</v>
      </c>
      <c r="D2553" s="1" t="s">
        <v>48</v>
      </c>
      <c r="E2553" s="1" t="s">
        <v>19</v>
      </c>
    </row>
    <row r="2554" spans="1:5" x14ac:dyDescent="0.25">
      <c r="A2554" s="13">
        <v>1018491106</v>
      </c>
      <c r="B2554" s="11" t="s">
        <v>84</v>
      </c>
      <c r="C2554" s="1" t="s">
        <v>2729</v>
      </c>
      <c r="D2554" s="1" t="s">
        <v>65</v>
      </c>
      <c r="E2554" s="1" t="s">
        <v>1</v>
      </c>
    </row>
    <row r="2555" spans="1:5" x14ac:dyDescent="0.25">
      <c r="A2555" s="13">
        <v>1018493698</v>
      </c>
      <c r="B2555" s="11" t="s">
        <v>83</v>
      </c>
      <c r="C2555" s="1" t="s">
        <v>3180</v>
      </c>
      <c r="D2555" s="1" t="s">
        <v>3181</v>
      </c>
      <c r="E2555" s="1" t="s">
        <v>16</v>
      </c>
    </row>
    <row r="2556" spans="1:5" x14ac:dyDescent="0.25">
      <c r="A2556" s="13">
        <v>1018493944</v>
      </c>
      <c r="B2556" s="11" t="s">
        <v>84</v>
      </c>
      <c r="C2556" s="1" t="s">
        <v>3412</v>
      </c>
      <c r="D2556" s="1" t="s">
        <v>381</v>
      </c>
      <c r="E2556" s="1" t="s">
        <v>26</v>
      </c>
    </row>
    <row r="2557" spans="1:5" x14ac:dyDescent="0.25">
      <c r="A2557" s="13">
        <v>1018497672</v>
      </c>
      <c r="B2557" s="11" t="s">
        <v>83</v>
      </c>
      <c r="C2557" s="1" t="s">
        <v>2728</v>
      </c>
      <c r="D2557" s="1" t="s">
        <v>2261</v>
      </c>
      <c r="E2557" s="1" t="s">
        <v>18</v>
      </c>
    </row>
    <row r="2558" spans="1:5" x14ac:dyDescent="0.25">
      <c r="A2558" s="13">
        <v>1018509498</v>
      </c>
      <c r="B2558" s="11" t="s">
        <v>84</v>
      </c>
      <c r="C2558" s="1" t="s">
        <v>2727</v>
      </c>
      <c r="D2558" s="1" t="s">
        <v>41</v>
      </c>
      <c r="E2558" s="1" t="s">
        <v>3085</v>
      </c>
    </row>
    <row r="2559" spans="1:5" x14ac:dyDescent="0.25">
      <c r="A2559" s="13">
        <v>1018510343</v>
      </c>
      <c r="B2559" s="11" t="s">
        <v>83</v>
      </c>
      <c r="C2559" s="1" t="s">
        <v>3413</v>
      </c>
      <c r="D2559" s="1" t="s">
        <v>48</v>
      </c>
      <c r="E2559" s="1" t="s">
        <v>19</v>
      </c>
    </row>
    <row r="2560" spans="1:5" x14ac:dyDescent="0.25">
      <c r="A2560" s="13">
        <v>1018512275</v>
      </c>
      <c r="B2560" s="11" t="s">
        <v>84</v>
      </c>
      <c r="C2560" s="1" t="s">
        <v>2726</v>
      </c>
      <c r="D2560" s="1" t="s">
        <v>381</v>
      </c>
      <c r="E2560" s="1" t="s">
        <v>26</v>
      </c>
    </row>
    <row r="2561" spans="1:5" x14ac:dyDescent="0.25">
      <c r="A2561" s="13">
        <v>1019002414</v>
      </c>
      <c r="B2561" s="11" t="s">
        <v>116</v>
      </c>
      <c r="C2561" s="1" t="s">
        <v>2725</v>
      </c>
      <c r="D2561" s="1" t="s">
        <v>117</v>
      </c>
      <c r="E2561" s="1" t="s">
        <v>10</v>
      </c>
    </row>
    <row r="2562" spans="1:5" x14ac:dyDescent="0.25">
      <c r="A2562" s="13">
        <v>1019005803</v>
      </c>
      <c r="B2562" s="11" t="s">
        <v>116</v>
      </c>
      <c r="C2562" s="1" t="s">
        <v>2724</v>
      </c>
      <c r="D2562" s="1" t="s">
        <v>117</v>
      </c>
      <c r="E2562" s="1" t="s">
        <v>10</v>
      </c>
    </row>
    <row r="2563" spans="1:5" x14ac:dyDescent="0.25">
      <c r="A2563" s="13">
        <v>1019008046</v>
      </c>
      <c r="B2563" s="11" t="s">
        <v>84</v>
      </c>
      <c r="C2563" s="1" t="s">
        <v>3612</v>
      </c>
      <c r="D2563" s="1" t="s">
        <v>38</v>
      </c>
      <c r="E2563" s="1" t="s">
        <v>3120</v>
      </c>
    </row>
    <row r="2564" spans="1:5" x14ac:dyDescent="0.25">
      <c r="A2564" s="13">
        <v>1019010505</v>
      </c>
      <c r="B2564" s="11" t="s">
        <v>83</v>
      </c>
      <c r="C2564" s="1" t="s">
        <v>2723</v>
      </c>
      <c r="D2564" s="1" t="s">
        <v>47</v>
      </c>
      <c r="E2564" s="1" t="s">
        <v>17</v>
      </c>
    </row>
    <row r="2565" spans="1:5" x14ac:dyDescent="0.25">
      <c r="A2565" s="13">
        <v>1019015298</v>
      </c>
      <c r="B2565" s="11" t="s">
        <v>84</v>
      </c>
      <c r="C2565" s="1" t="s">
        <v>2722</v>
      </c>
      <c r="D2565" s="1" t="s">
        <v>43</v>
      </c>
      <c r="E2565" s="1" t="s">
        <v>328</v>
      </c>
    </row>
    <row r="2566" spans="1:5" x14ac:dyDescent="0.25">
      <c r="A2566" s="13">
        <v>1019016615</v>
      </c>
      <c r="B2566" s="11" t="s">
        <v>116</v>
      </c>
      <c r="C2566" s="1" t="s">
        <v>2721</v>
      </c>
      <c r="D2566" s="1" t="s">
        <v>117</v>
      </c>
      <c r="E2566" s="1" t="s">
        <v>6</v>
      </c>
    </row>
    <row r="2567" spans="1:5" x14ac:dyDescent="0.25">
      <c r="A2567" s="13">
        <v>1019024630</v>
      </c>
      <c r="B2567" s="11" t="s">
        <v>83</v>
      </c>
      <c r="C2567" s="1" t="s">
        <v>2720</v>
      </c>
      <c r="D2567" s="1" t="s">
        <v>47</v>
      </c>
      <c r="E2567" s="1" t="s">
        <v>2626</v>
      </c>
    </row>
    <row r="2568" spans="1:5" x14ac:dyDescent="0.25">
      <c r="A2568" s="13">
        <v>1019028955</v>
      </c>
      <c r="B2568" s="11" t="s">
        <v>83</v>
      </c>
      <c r="C2568" s="1" t="s">
        <v>2719</v>
      </c>
      <c r="D2568" s="1" t="s">
        <v>47</v>
      </c>
      <c r="E2568" s="1" t="s">
        <v>26</v>
      </c>
    </row>
    <row r="2569" spans="1:5" x14ac:dyDescent="0.25">
      <c r="A2569" s="13">
        <v>1019029373</v>
      </c>
      <c r="B2569" s="11" t="s">
        <v>83</v>
      </c>
      <c r="C2569" s="1" t="s">
        <v>2718</v>
      </c>
      <c r="D2569" s="1" t="s">
        <v>47</v>
      </c>
      <c r="E2569" s="1" t="s">
        <v>939</v>
      </c>
    </row>
    <row r="2570" spans="1:5" x14ac:dyDescent="0.25">
      <c r="A2570" s="13">
        <v>1019029407</v>
      </c>
      <c r="B2570" s="11" t="s">
        <v>83</v>
      </c>
      <c r="C2570" s="1" t="s">
        <v>3613</v>
      </c>
      <c r="D2570" s="1" t="s">
        <v>79</v>
      </c>
      <c r="E2570" s="1" t="s">
        <v>16</v>
      </c>
    </row>
    <row r="2571" spans="1:5" x14ac:dyDescent="0.25">
      <c r="A2571" s="13">
        <v>1019030777</v>
      </c>
      <c r="B2571" s="11" t="s">
        <v>83</v>
      </c>
      <c r="C2571" s="1" t="s">
        <v>2717</v>
      </c>
      <c r="D2571" s="1" t="s">
        <v>1077</v>
      </c>
      <c r="E2571" s="1" t="s">
        <v>21</v>
      </c>
    </row>
    <row r="2572" spans="1:5" x14ac:dyDescent="0.25">
      <c r="A2572" s="13">
        <v>1019032372</v>
      </c>
      <c r="B2572" s="11" t="s">
        <v>83</v>
      </c>
      <c r="C2572" s="1" t="s">
        <v>2716</v>
      </c>
      <c r="D2572" s="1" t="s">
        <v>1118</v>
      </c>
      <c r="E2572" s="1" t="s">
        <v>21</v>
      </c>
    </row>
    <row r="2573" spans="1:5" x14ac:dyDescent="0.25">
      <c r="A2573" s="13">
        <v>1019035415</v>
      </c>
      <c r="B2573" s="11" t="s">
        <v>83</v>
      </c>
      <c r="C2573" s="1" t="s">
        <v>2715</v>
      </c>
      <c r="D2573" s="1" t="s">
        <v>1170</v>
      </c>
      <c r="E2573" s="1" t="s">
        <v>248</v>
      </c>
    </row>
    <row r="2574" spans="1:5" x14ac:dyDescent="0.25">
      <c r="A2574" s="13">
        <v>1019037803</v>
      </c>
      <c r="B2574" s="11" t="s">
        <v>84</v>
      </c>
      <c r="C2574" s="1" t="s">
        <v>3414</v>
      </c>
      <c r="D2574" s="1" t="s">
        <v>38</v>
      </c>
      <c r="E2574" s="1" t="s">
        <v>12</v>
      </c>
    </row>
    <row r="2575" spans="1:5" x14ac:dyDescent="0.25">
      <c r="A2575" s="13">
        <v>1019037858</v>
      </c>
      <c r="B2575" s="11" t="s">
        <v>83</v>
      </c>
      <c r="C2575" s="1" t="s">
        <v>2714</v>
      </c>
      <c r="D2575" s="1" t="s">
        <v>47</v>
      </c>
      <c r="E2575" s="1" t="s">
        <v>16</v>
      </c>
    </row>
    <row r="2576" spans="1:5" x14ac:dyDescent="0.25">
      <c r="A2576" s="13">
        <v>1019042237</v>
      </c>
      <c r="B2576" s="11" t="s">
        <v>83</v>
      </c>
      <c r="C2576" s="1" t="s">
        <v>2713</v>
      </c>
      <c r="D2576" s="1" t="s">
        <v>47</v>
      </c>
      <c r="E2576" s="1" t="s">
        <v>20</v>
      </c>
    </row>
    <row r="2577" spans="1:5" x14ac:dyDescent="0.25">
      <c r="A2577" s="13">
        <v>1019045766</v>
      </c>
      <c r="B2577" s="11" t="s">
        <v>84</v>
      </c>
      <c r="C2577" s="1" t="s">
        <v>2712</v>
      </c>
      <c r="D2577" s="1" t="s">
        <v>38</v>
      </c>
      <c r="E2577" s="1" t="s">
        <v>14</v>
      </c>
    </row>
    <row r="2578" spans="1:5" x14ac:dyDescent="0.25">
      <c r="A2578" s="13">
        <v>1019048465</v>
      </c>
      <c r="B2578" s="11" t="s">
        <v>83</v>
      </c>
      <c r="C2578" s="1" t="s">
        <v>2711</v>
      </c>
      <c r="D2578" s="1" t="s">
        <v>47</v>
      </c>
      <c r="E2578" s="1" t="s">
        <v>263</v>
      </c>
    </row>
    <row r="2579" spans="1:5" x14ac:dyDescent="0.25">
      <c r="A2579" s="13">
        <v>1019050794</v>
      </c>
      <c r="B2579" s="11" t="s">
        <v>84</v>
      </c>
      <c r="C2579" s="1" t="s">
        <v>3109</v>
      </c>
      <c r="D2579" s="1" t="s">
        <v>3131</v>
      </c>
      <c r="E2579" s="1" t="s">
        <v>1</v>
      </c>
    </row>
    <row r="2580" spans="1:5" x14ac:dyDescent="0.25">
      <c r="A2580" s="13">
        <v>1019052752</v>
      </c>
      <c r="B2580" s="11" t="s">
        <v>84</v>
      </c>
      <c r="C2580" s="1" t="s">
        <v>2710</v>
      </c>
      <c r="D2580" s="1" t="s">
        <v>38</v>
      </c>
      <c r="E2580" s="1" t="s">
        <v>11</v>
      </c>
    </row>
    <row r="2581" spans="1:5" x14ac:dyDescent="0.25">
      <c r="A2581" s="13">
        <v>1019053519</v>
      </c>
      <c r="B2581" s="11" t="s">
        <v>84</v>
      </c>
      <c r="C2581" s="1" t="s">
        <v>2709</v>
      </c>
      <c r="D2581" s="1" t="s">
        <v>137</v>
      </c>
      <c r="E2581" s="1" t="s">
        <v>142</v>
      </c>
    </row>
    <row r="2582" spans="1:5" x14ac:dyDescent="0.25">
      <c r="A2582" s="13">
        <v>1019053623</v>
      </c>
      <c r="B2582" s="11" t="s">
        <v>84</v>
      </c>
      <c r="C2582" s="1" t="s">
        <v>3045</v>
      </c>
      <c r="D2582" s="1" t="s">
        <v>3141</v>
      </c>
      <c r="E2582" s="1" t="s">
        <v>1</v>
      </c>
    </row>
    <row r="2583" spans="1:5" x14ac:dyDescent="0.25">
      <c r="A2583" s="13">
        <v>1019054904</v>
      </c>
      <c r="B2583" s="11" t="s">
        <v>116</v>
      </c>
      <c r="C2583" s="1" t="s">
        <v>2708</v>
      </c>
      <c r="D2583" s="1" t="s">
        <v>117</v>
      </c>
      <c r="E2583" s="1" t="s">
        <v>12</v>
      </c>
    </row>
    <row r="2584" spans="1:5" x14ac:dyDescent="0.25">
      <c r="A2584" s="13">
        <v>1019057272</v>
      </c>
      <c r="B2584" s="11" t="s">
        <v>84</v>
      </c>
      <c r="C2584" s="1" t="s">
        <v>2707</v>
      </c>
      <c r="D2584" s="1" t="s">
        <v>38</v>
      </c>
      <c r="E2584" s="1" t="s">
        <v>12</v>
      </c>
    </row>
    <row r="2585" spans="1:5" x14ac:dyDescent="0.25">
      <c r="A2585" s="13">
        <v>1019067363</v>
      </c>
      <c r="B2585" s="11" t="s">
        <v>83</v>
      </c>
      <c r="C2585" s="1" t="s">
        <v>2706</v>
      </c>
      <c r="D2585" s="1" t="s">
        <v>47</v>
      </c>
      <c r="E2585" s="1" t="s">
        <v>263</v>
      </c>
    </row>
    <row r="2586" spans="1:5" x14ac:dyDescent="0.25">
      <c r="A2586" s="13">
        <v>1019070668</v>
      </c>
      <c r="B2586" s="11" t="s">
        <v>83</v>
      </c>
      <c r="C2586" s="1" t="s">
        <v>2705</v>
      </c>
      <c r="D2586" s="1" t="s">
        <v>47</v>
      </c>
      <c r="E2586" s="1" t="s">
        <v>16</v>
      </c>
    </row>
    <row r="2587" spans="1:5" x14ac:dyDescent="0.25">
      <c r="A2587" s="13">
        <v>1019075760</v>
      </c>
      <c r="B2587" s="11" t="s">
        <v>84</v>
      </c>
      <c r="C2587" s="1" t="s">
        <v>3123</v>
      </c>
      <c r="D2587" s="1" t="s">
        <v>38</v>
      </c>
      <c r="E2587" s="1" t="s">
        <v>14</v>
      </c>
    </row>
    <row r="2588" spans="1:5" x14ac:dyDescent="0.25">
      <c r="A2588" s="13">
        <v>1019076892</v>
      </c>
      <c r="B2588" s="11" t="s">
        <v>83</v>
      </c>
      <c r="C2588" s="1" t="s">
        <v>3078</v>
      </c>
      <c r="D2588" s="1" t="s">
        <v>246</v>
      </c>
      <c r="E2588" s="1" t="s">
        <v>19</v>
      </c>
    </row>
    <row r="2589" spans="1:5" x14ac:dyDescent="0.25">
      <c r="A2589" s="13">
        <v>1019078824</v>
      </c>
      <c r="B2589" s="11" t="s">
        <v>109</v>
      </c>
      <c r="C2589" s="1" t="s">
        <v>2704</v>
      </c>
      <c r="D2589" s="1" t="s">
        <v>464</v>
      </c>
      <c r="E2589" s="1" t="s">
        <v>1128</v>
      </c>
    </row>
    <row r="2590" spans="1:5" x14ac:dyDescent="0.25">
      <c r="A2590" s="13">
        <v>1019081635</v>
      </c>
      <c r="B2590" s="11" t="s">
        <v>84</v>
      </c>
      <c r="C2590" s="1" t="s">
        <v>2703</v>
      </c>
      <c r="D2590" s="1" t="s">
        <v>36</v>
      </c>
      <c r="E2590" s="1" t="s">
        <v>1</v>
      </c>
    </row>
    <row r="2591" spans="1:5" x14ac:dyDescent="0.25">
      <c r="A2591" s="13">
        <v>1019085746</v>
      </c>
      <c r="B2591" s="11" t="s">
        <v>83</v>
      </c>
      <c r="C2591" s="1" t="s">
        <v>3415</v>
      </c>
      <c r="D2591" s="1" t="s">
        <v>3416</v>
      </c>
      <c r="E2591" s="1" t="s">
        <v>19</v>
      </c>
    </row>
    <row r="2592" spans="1:5" x14ac:dyDescent="0.25">
      <c r="A2592" s="13">
        <v>1019086960</v>
      </c>
      <c r="B2592" s="11" t="s">
        <v>83</v>
      </c>
      <c r="C2592" s="1" t="s">
        <v>2702</v>
      </c>
      <c r="D2592" s="1" t="s">
        <v>47</v>
      </c>
      <c r="E2592" s="1" t="s">
        <v>1697</v>
      </c>
    </row>
    <row r="2593" spans="1:5" x14ac:dyDescent="0.25">
      <c r="A2593" s="13">
        <v>1019088352</v>
      </c>
      <c r="B2593" s="11" t="s">
        <v>84</v>
      </c>
      <c r="C2593" s="1" t="s">
        <v>3417</v>
      </c>
      <c r="D2593" s="1" t="s">
        <v>43</v>
      </c>
      <c r="E2593" s="1" t="s">
        <v>3</v>
      </c>
    </row>
    <row r="2594" spans="1:5" x14ac:dyDescent="0.25">
      <c r="A2594" s="13">
        <v>1019088604</v>
      </c>
      <c r="B2594" s="11" t="s">
        <v>84</v>
      </c>
      <c r="C2594" s="1" t="s">
        <v>2701</v>
      </c>
      <c r="D2594" s="1" t="s">
        <v>1222</v>
      </c>
      <c r="E2594" s="1" t="s">
        <v>272</v>
      </c>
    </row>
    <row r="2595" spans="1:5" x14ac:dyDescent="0.25">
      <c r="A2595" s="13">
        <v>1019100271</v>
      </c>
      <c r="B2595" s="11" t="s">
        <v>84</v>
      </c>
      <c r="C2595" s="1" t="s">
        <v>3418</v>
      </c>
      <c r="D2595" s="1" t="s">
        <v>3362</v>
      </c>
      <c r="E2595" s="1" t="s">
        <v>3071</v>
      </c>
    </row>
    <row r="2596" spans="1:5" x14ac:dyDescent="0.25">
      <c r="A2596" s="13">
        <v>1019101639</v>
      </c>
      <c r="B2596" s="11" t="s">
        <v>116</v>
      </c>
      <c r="C2596" s="1" t="s">
        <v>2700</v>
      </c>
      <c r="D2596" s="1" t="s">
        <v>117</v>
      </c>
      <c r="E2596" s="1" t="s">
        <v>6</v>
      </c>
    </row>
    <row r="2597" spans="1:5" x14ac:dyDescent="0.25">
      <c r="A2597" s="13">
        <v>1019102131</v>
      </c>
      <c r="B2597" s="11" t="s">
        <v>83</v>
      </c>
      <c r="C2597" s="1" t="s">
        <v>2698</v>
      </c>
      <c r="D2597" s="1" t="s">
        <v>2699</v>
      </c>
      <c r="E2597" s="1" t="s">
        <v>24</v>
      </c>
    </row>
    <row r="2598" spans="1:5" x14ac:dyDescent="0.25">
      <c r="A2598" s="13">
        <v>1019102692</v>
      </c>
      <c r="B2598" s="11" t="s">
        <v>84</v>
      </c>
      <c r="C2598" s="1" t="s">
        <v>3419</v>
      </c>
      <c r="D2598" s="1" t="s">
        <v>38</v>
      </c>
      <c r="E2598" s="1" t="s">
        <v>328</v>
      </c>
    </row>
    <row r="2599" spans="1:5" x14ac:dyDescent="0.25">
      <c r="A2599" s="13">
        <v>1019104960</v>
      </c>
      <c r="B2599" s="11" t="s">
        <v>83</v>
      </c>
      <c r="C2599" s="1" t="s">
        <v>2697</v>
      </c>
      <c r="D2599" s="1" t="s">
        <v>47</v>
      </c>
      <c r="E2599" s="1" t="s">
        <v>16</v>
      </c>
    </row>
    <row r="2600" spans="1:5" x14ac:dyDescent="0.25">
      <c r="A2600" s="13">
        <v>1019105003</v>
      </c>
      <c r="B2600" s="11" t="s">
        <v>83</v>
      </c>
      <c r="C2600" s="1" t="s">
        <v>3614</v>
      </c>
      <c r="D2600" s="1" t="s">
        <v>48</v>
      </c>
      <c r="E2600" s="1" t="s">
        <v>196</v>
      </c>
    </row>
    <row r="2601" spans="1:5" x14ac:dyDescent="0.25">
      <c r="A2601" s="13">
        <v>1019107852</v>
      </c>
      <c r="B2601" s="11" t="s">
        <v>84</v>
      </c>
      <c r="C2601" s="1" t="s">
        <v>2696</v>
      </c>
      <c r="D2601" s="1" t="s">
        <v>3161</v>
      </c>
      <c r="E2601" s="1" t="s">
        <v>1</v>
      </c>
    </row>
    <row r="2602" spans="1:5" x14ac:dyDescent="0.25">
      <c r="A2602" s="13">
        <v>1019109819</v>
      </c>
      <c r="B2602" s="11" t="s">
        <v>83</v>
      </c>
      <c r="C2602" s="1" t="s">
        <v>2695</v>
      </c>
      <c r="D2602" s="1" t="s">
        <v>34</v>
      </c>
      <c r="E2602" s="1" t="s">
        <v>21</v>
      </c>
    </row>
    <row r="2603" spans="1:5" x14ac:dyDescent="0.25">
      <c r="A2603" s="13">
        <v>1019112366</v>
      </c>
      <c r="B2603" s="11" t="s">
        <v>84</v>
      </c>
      <c r="C2603" s="1" t="s">
        <v>2694</v>
      </c>
      <c r="D2603" s="1" t="s">
        <v>43</v>
      </c>
      <c r="E2603" s="1" t="s">
        <v>10</v>
      </c>
    </row>
    <row r="2604" spans="1:5" x14ac:dyDescent="0.25">
      <c r="A2604" s="13">
        <v>1019116766</v>
      </c>
      <c r="B2604" s="11" t="s">
        <v>84</v>
      </c>
      <c r="C2604" s="1" t="s">
        <v>3420</v>
      </c>
      <c r="D2604" s="1" t="s">
        <v>43</v>
      </c>
      <c r="E2604" s="1" t="s">
        <v>15</v>
      </c>
    </row>
    <row r="2605" spans="1:5" x14ac:dyDescent="0.25">
      <c r="A2605" s="13">
        <v>1019120843</v>
      </c>
      <c r="B2605" s="11" t="s">
        <v>83</v>
      </c>
      <c r="C2605" s="1" t="s">
        <v>2693</v>
      </c>
      <c r="D2605" s="1" t="s">
        <v>47</v>
      </c>
      <c r="E2605" s="1" t="s">
        <v>19</v>
      </c>
    </row>
    <row r="2606" spans="1:5" x14ac:dyDescent="0.25">
      <c r="A2606" s="13">
        <v>1019122540</v>
      </c>
      <c r="B2606" s="11" t="s">
        <v>116</v>
      </c>
      <c r="C2606" s="1" t="s">
        <v>3615</v>
      </c>
      <c r="D2606" s="1" t="s">
        <v>117</v>
      </c>
      <c r="E2606" s="1" t="s">
        <v>3190</v>
      </c>
    </row>
    <row r="2607" spans="1:5" x14ac:dyDescent="0.25">
      <c r="A2607" s="13">
        <v>1019125710</v>
      </c>
      <c r="B2607" s="11" t="s">
        <v>84</v>
      </c>
      <c r="C2607" s="1" t="s">
        <v>3703</v>
      </c>
      <c r="D2607" s="1" t="s">
        <v>3282</v>
      </c>
      <c r="E2607" s="1" t="s">
        <v>3572</v>
      </c>
    </row>
    <row r="2608" spans="1:5" x14ac:dyDescent="0.25">
      <c r="A2608" s="13">
        <v>1019125716</v>
      </c>
      <c r="B2608" s="11" t="s">
        <v>84</v>
      </c>
      <c r="C2608" s="1" t="s">
        <v>3421</v>
      </c>
      <c r="D2608" s="1" t="s">
        <v>38</v>
      </c>
      <c r="E2608" s="1" t="s">
        <v>12</v>
      </c>
    </row>
    <row r="2609" spans="1:5" x14ac:dyDescent="0.25">
      <c r="A2609" s="13">
        <v>1019126693</v>
      </c>
      <c r="B2609" s="11" t="s">
        <v>83</v>
      </c>
      <c r="C2609" s="1" t="s">
        <v>2692</v>
      </c>
      <c r="D2609" s="1" t="s">
        <v>45</v>
      </c>
      <c r="E2609" s="1" t="s">
        <v>18</v>
      </c>
    </row>
    <row r="2610" spans="1:5" x14ac:dyDescent="0.25">
      <c r="A2610" s="13">
        <v>1019127904</v>
      </c>
      <c r="B2610" s="11" t="s">
        <v>83</v>
      </c>
      <c r="C2610" s="1" t="s">
        <v>3056</v>
      </c>
      <c r="D2610" s="1" t="s">
        <v>48</v>
      </c>
      <c r="E2610" s="1" t="s">
        <v>19</v>
      </c>
    </row>
    <row r="2611" spans="1:5" x14ac:dyDescent="0.25">
      <c r="A2611" s="13">
        <v>1019131110</v>
      </c>
      <c r="B2611" s="11" t="s">
        <v>83</v>
      </c>
      <c r="C2611" s="1" t="s">
        <v>2691</v>
      </c>
      <c r="D2611" s="1" t="s">
        <v>2939</v>
      </c>
      <c r="E2611" s="1" t="s">
        <v>19</v>
      </c>
    </row>
    <row r="2612" spans="1:5" x14ac:dyDescent="0.25">
      <c r="A2612" s="13">
        <v>1019133613</v>
      </c>
      <c r="B2612" s="11" t="s">
        <v>84</v>
      </c>
      <c r="C2612" s="1" t="s">
        <v>3422</v>
      </c>
      <c r="D2612" s="1" t="s">
        <v>79</v>
      </c>
      <c r="E2612" s="1" t="s">
        <v>1</v>
      </c>
    </row>
    <row r="2613" spans="1:5" x14ac:dyDescent="0.25">
      <c r="A2613" s="13">
        <v>1019134273</v>
      </c>
      <c r="B2613" s="11" t="s">
        <v>83</v>
      </c>
      <c r="C2613" s="1" t="s">
        <v>2690</v>
      </c>
      <c r="D2613" s="1" t="s">
        <v>44</v>
      </c>
      <c r="E2613" s="1" t="s">
        <v>16</v>
      </c>
    </row>
    <row r="2614" spans="1:5" x14ac:dyDescent="0.25">
      <c r="A2614" s="13">
        <v>1019140476</v>
      </c>
      <c r="B2614" s="11" t="s">
        <v>84</v>
      </c>
      <c r="C2614" s="1" t="s">
        <v>3616</v>
      </c>
      <c r="D2614" s="1" t="s">
        <v>36</v>
      </c>
      <c r="E2614" s="1" t="s">
        <v>3595</v>
      </c>
    </row>
    <row r="2615" spans="1:5" x14ac:dyDescent="0.25">
      <c r="A2615" s="13">
        <v>1019151734</v>
      </c>
      <c r="B2615" s="11" t="s">
        <v>84</v>
      </c>
      <c r="C2615" s="1" t="s">
        <v>2688</v>
      </c>
      <c r="D2615" s="1" t="s">
        <v>2689</v>
      </c>
      <c r="E2615" s="1" t="s">
        <v>1</v>
      </c>
    </row>
    <row r="2616" spans="1:5" x14ac:dyDescent="0.25">
      <c r="A2616" s="13">
        <v>1019603886</v>
      </c>
      <c r="B2616" s="11" t="s">
        <v>84</v>
      </c>
      <c r="C2616" s="1" t="s">
        <v>3689</v>
      </c>
      <c r="D2616" s="1" t="s">
        <v>3344</v>
      </c>
      <c r="E2616" s="1" t="s">
        <v>22</v>
      </c>
    </row>
    <row r="2617" spans="1:5" x14ac:dyDescent="0.25">
      <c r="A2617" s="13">
        <v>1019982836</v>
      </c>
      <c r="B2617" s="11" t="s">
        <v>83</v>
      </c>
      <c r="C2617" s="1" t="s">
        <v>3423</v>
      </c>
      <c r="D2617" s="1" t="s">
        <v>48</v>
      </c>
      <c r="E2617" s="1" t="s">
        <v>19</v>
      </c>
    </row>
    <row r="2618" spans="1:5" x14ac:dyDescent="0.25">
      <c r="A2618" s="13">
        <v>1020460496</v>
      </c>
      <c r="B2618" s="11" t="s">
        <v>83</v>
      </c>
      <c r="C2618" s="1" t="s">
        <v>2687</v>
      </c>
      <c r="D2618" s="1" t="s">
        <v>48</v>
      </c>
      <c r="E2618" s="1" t="s">
        <v>19</v>
      </c>
    </row>
    <row r="2619" spans="1:5" x14ac:dyDescent="0.25">
      <c r="A2619" s="13">
        <v>1020715432</v>
      </c>
      <c r="B2619" s="11" t="s">
        <v>83</v>
      </c>
      <c r="C2619" s="1" t="s">
        <v>2686</v>
      </c>
      <c r="D2619" s="1" t="s">
        <v>54</v>
      </c>
      <c r="E2619" s="1" t="s">
        <v>16</v>
      </c>
    </row>
    <row r="2620" spans="1:5" x14ac:dyDescent="0.25">
      <c r="A2620" s="13">
        <v>1020715609</v>
      </c>
      <c r="B2620" s="11" t="s">
        <v>83</v>
      </c>
      <c r="C2620" s="1" t="s">
        <v>2685</v>
      </c>
      <c r="D2620" s="1" t="s">
        <v>36</v>
      </c>
      <c r="E2620" s="1" t="s">
        <v>21</v>
      </c>
    </row>
    <row r="2621" spans="1:5" x14ac:dyDescent="0.25">
      <c r="A2621" s="13">
        <v>1020716152</v>
      </c>
      <c r="B2621" s="11" t="s">
        <v>84</v>
      </c>
      <c r="C2621" s="1" t="s">
        <v>2684</v>
      </c>
      <c r="D2621" s="1" t="s">
        <v>43</v>
      </c>
      <c r="E2621" s="1" t="s">
        <v>5</v>
      </c>
    </row>
    <row r="2622" spans="1:5" x14ac:dyDescent="0.25">
      <c r="A2622" s="13">
        <v>1020716693</v>
      </c>
      <c r="B2622" s="11" t="s">
        <v>84</v>
      </c>
      <c r="C2622" s="1" t="s">
        <v>2683</v>
      </c>
      <c r="D2622" s="1" t="s">
        <v>38</v>
      </c>
      <c r="E2622" s="1" t="s">
        <v>170</v>
      </c>
    </row>
    <row r="2623" spans="1:5" x14ac:dyDescent="0.25">
      <c r="A2623" s="13">
        <v>1020719313</v>
      </c>
      <c r="B2623" s="11" t="s">
        <v>116</v>
      </c>
      <c r="C2623" s="1" t="s">
        <v>2682</v>
      </c>
      <c r="D2623" s="1" t="s">
        <v>117</v>
      </c>
      <c r="E2623" s="1" t="s">
        <v>8</v>
      </c>
    </row>
    <row r="2624" spans="1:5" x14ac:dyDescent="0.25">
      <c r="A2624" s="13">
        <v>1020731995</v>
      </c>
      <c r="B2624" s="11" t="s">
        <v>83</v>
      </c>
      <c r="C2624" s="1" t="s">
        <v>3617</v>
      </c>
      <c r="D2624" s="1" t="s">
        <v>3167</v>
      </c>
      <c r="E2624" s="1" t="s">
        <v>1</v>
      </c>
    </row>
    <row r="2625" spans="1:5" x14ac:dyDescent="0.25">
      <c r="A2625" s="13">
        <v>1020736386</v>
      </c>
      <c r="B2625" s="11" t="s">
        <v>84</v>
      </c>
      <c r="C2625" s="1" t="s">
        <v>2680</v>
      </c>
      <c r="D2625" s="1" t="s">
        <v>2681</v>
      </c>
      <c r="E2625" s="1" t="s">
        <v>1</v>
      </c>
    </row>
    <row r="2626" spans="1:5" x14ac:dyDescent="0.25">
      <c r="A2626" s="13">
        <v>1020736729</v>
      </c>
      <c r="B2626" s="11" t="s">
        <v>83</v>
      </c>
      <c r="C2626" s="1" t="s">
        <v>2679</v>
      </c>
      <c r="D2626" s="1" t="s">
        <v>47</v>
      </c>
      <c r="E2626" s="1" t="s">
        <v>19</v>
      </c>
    </row>
    <row r="2627" spans="1:5" x14ac:dyDescent="0.25">
      <c r="A2627" s="13">
        <v>1020738112</v>
      </c>
      <c r="B2627" s="11" t="s">
        <v>83</v>
      </c>
      <c r="C2627" s="1" t="s">
        <v>2678</v>
      </c>
      <c r="D2627" s="1" t="s">
        <v>47</v>
      </c>
      <c r="E2627" s="1" t="s">
        <v>142</v>
      </c>
    </row>
    <row r="2628" spans="1:5" x14ac:dyDescent="0.25">
      <c r="A2628" s="13">
        <v>1020742136</v>
      </c>
      <c r="B2628" s="11" t="s">
        <v>83</v>
      </c>
      <c r="C2628" s="1" t="s">
        <v>2677</v>
      </c>
      <c r="D2628" s="1" t="s">
        <v>48</v>
      </c>
      <c r="E2628" s="1" t="s">
        <v>19</v>
      </c>
    </row>
    <row r="2629" spans="1:5" x14ac:dyDescent="0.25">
      <c r="A2629" s="13">
        <v>1020747814</v>
      </c>
      <c r="B2629" s="11" t="s">
        <v>83</v>
      </c>
      <c r="C2629" s="1" t="s">
        <v>2676</v>
      </c>
      <c r="D2629" s="1" t="s">
        <v>41</v>
      </c>
      <c r="E2629" s="1" t="s">
        <v>21</v>
      </c>
    </row>
    <row r="2630" spans="1:5" x14ac:dyDescent="0.25">
      <c r="A2630" s="13">
        <v>1020755625</v>
      </c>
      <c r="B2630" s="11" t="s">
        <v>84</v>
      </c>
      <c r="C2630" s="1" t="s">
        <v>2675</v>
      </c>
      <c r="D2630" s="1" t="s">
        <v>792</v>
      </c>
      <c r="E2630" s="1" t="s">
        <v>9</v>
      </c>
    </row>
    <row r="2631" spans="1:5" x14ac:dyDescent="0.25">
      <c r="A2631" s="13">
        <v>1020771397</v>
      </c>
      <c r="B2631" s="11" t="s">
        <v>116</v>
      </c>
      <c r="C2631" s="1" t="s">
        <v>2674</v>
      </c>
      <c r="D2631" s="1" t="s">
        <v>117</v>
      </c>
      <c r="E2631" s="1" t="s">
        <v>8</v>
      </c>
    </row>
    <row r="2632" spans="1:5" x14ac:dyDescent="0.25">
      <c r="A2632" s="13">
        <v>1020771747</v>
      </c>
      <c r="B2632" s="11" t="s">
        <v>84</v>
      </c>
      <c r="C2632" s="1" t="s">
        <v>2673</v>
      </c>
      <c r="D2632" s="1" t="s">
        <v>38</v>
      </c>
      <c r="E2632" s="1" t="s">
        <v>2389</v>
      </c>
    </row>
    <row r="2633" spans="1:5" x14ac:dyDescent="0.25">
      <c r="A2633" s="13">
        <v>1020779580</v>
      </c>
      <c r="B2633" s="11" t="s">
        <v>116</v>
      </c>
      <c r="C2633" s="1" t="s">
        <v>2672</v>
      </c>
      <c r="D2633" s="1" t="s">
        <v>117</v>
      </c>
      <c r="E2633" s="1" t="s">
        <v>14</v>
      </c>
    </row>
    <row r="2634" spans="1:5" x14ac:dyDescent="0.25">
      <c r="A2634" s="13">
        <v>1020785234</v>
      </c>
      <c r="B2634" s="11" t="s">
        <v>83</v>
      </c>
      <c r="C2634" s="1" t="s">
        <v>2671</v>
      </c>
      <c r="D2634" s="1" t="s">
        <v>48</v>
      </c>
      <c r="E2634" s="1" t="s">
        <v>19</v>
      </c>
    </row>
    <row r="2635" spans="1:5" x14ac:dyDescent="0.25">
      <c r="A2635" s="13">
        <v>1020795122</v>
      </c>
      <c r="B2635" s="11" t="s">
        <v>116</v>
      </c>
      <c r="C2635" s="1" t="s">
        <v>3618</v>
      </c>
      <c r="D2635" s="1" t="s">
        <v>117</v>
      </c>
      <c r="E2635" s="1" t="s">
        <v>3190</v>
      </c>
    </row>
    <row r="2636" spans="1:5" x14ac:dyDescent="0.25">
      <c r="A2636" s="13">
        <v>1020797639</v>
      </c>
      <c r="B2636" s="11" t="s">
        <v>84</v>
      </c>
      <c r="C2636" s="1" t="s">
        <v>2670</v>
      </c>
      <c r="D2636" s="1" t="s">
        <v>2310</v>
      </c>
      <c r="E2636" s="1" t="s">
        <v>22</v>
      </c>
    </row>
    <row r="2637" spans="1:5" x14ac:dyDescent="0.25">
      <c r="A2637" s="13">
        <v>1020809286</v>
      </c>
      <c r="B2637" s="11" t="s">
        <v>116</v>
      </c>
      <c r="C2637" s="1" t="s">
        <v>3424</v>
      </c>
      <c r="D2637" s="1" t="s">
        <v>117</v>
      </c>
      <c r="E2637" s="1" t="s">
        <v>3192</v>
      </c>
    </row>
    <row r="2638" spans="1:5" x14ac:dyDescent="0.25">
      <c r="A2638" s="13">
        <v>1020810756</v>
      </c>
      <c r="B2638" s="11" t="s">
        <v>84</v>
      </c>
      <c r="C2638" s="1" t="s">
        <v>2669</v>
      </c>
      <c r="D2638" s="1" t="s">
        <v>52</v>
      </c>
      <c r="E2638" s="1" t="s">
        <v>22</v>
      </c>
    </row>
    <row r="2639" spans="1:5" x14ac:dyDescent="0.25">
      <c r="A2639" s="13">
        <v>1020811135</v>
      </c>
      <c r="B2639" s="11" t="s">
        <v>83</v>
      </c>
      <c r="C2639" s="1" t="s">
        <v>2668</v>
      </c>
      <c r="D2639" s="1" t="s">
        <v>48</v>
      </c>
      <c r="E2639" s="1" t="s">
        <v>668</v>
      </c>
    </row>
    <row r="2640" spans="1:5" x14ac:dyDescent="0.25">
      <c r="A2640" s="13">
        <v>1020811687</v>
      </c>
      <c r="B2640" s="11" t="s">
        <v>83</v>
      </c>
      <c r="C2640" s="1" t="s">
        <v>2667</v>
      </c>
      <c r="D2640" s="1" t="s">
        <v>47</v>
      </c>
      <c r="E2640" s="1" t="s">
        <v>29</v>
      </c>
    </row>
    <row r="2641" spans="1:5" x14ac:dyDescent="0.25">
      <c r="A2641" s="13">
        <v>1020826799</v>
      </c>
      <c r="B2641" s="11" t="s">
        <v>84</v>
      </c>
      <c r="C2641" s="1" t="s">
        <v>3425</v>
      </c>
      <c r="D2641" s="1" t="s">
        <v>36</v>
      </c>
      <c r="E2641" s="1" t="s">
        <v>24</v>
      </c>
    </row>
    <row r="2642" spans="1:5" x14ac:dyDescent="0.25">
      <c r="A2642" s="13">
        <v>1020837994</v>
      </c>
      <c r="B2642" s="11" t="s">
        <v>84</v>
      </c>
      <c r="C2642" s="1" t="s">
        <v>2666</v>
      </c>
      <c r="D2642" s="1" t="s">
        <v>36</v>
      </c>
      <c r="E2642" s="1" t="s">
        <v>17</v>
      </c>
    </row>
    <row r="2643" spans="1:5" x14ac:dyDescent="0.25">
      <c r="A2643" s="13">
        <v>1021398221</v>
      </c>
      <c r="B2643" s="11" t="s">
        <v>84</v>
      </c>
      <c r="C2643" s="1" t="s">
        <v>3619</v>
      </c>
      <c r="D2643" s="1" t="s">
        <v>36</v>
      </c>
      <c r="E2643" s="1" t="s">
        <v>26</v>
      </c>
    </row>
    <row r="2644" spans="1:5" x14ac:dyDescent="0.25">
      <c r="A2644" s="13">
        <v>1021662145</v>
      </c>
      <c r="B2644" s="11" t="s">
        <v>83</v>
      </c>
      <c r="C2644" s="1" t="s">
        <v>3426</v>
      </c>
      <c r="D2644" s="1" t="s">
        <v>79</v>
      </c>
      <c r="E2644" s="1" t="s">
        <v>30</v>
      </c>
    </row>
    <row r="2645" spans="1:5" x14ac:dyDescent="0.25">
      <c r="A2645" s="13">
        <v>1021677432</v>
      </c>
      <c r="B2645" s="11" t="s">
        <v>83</v>
      </c>
      <c r="C2645" s="1" t="s">
        <v>3427</v>
      </c>
      <c r="D2645" s="1" t="s">
        <v>79</v>
      </c>
      <c r="E2645" s="1" t="s">
        <v>20</v>
      </c>
    </row>
    <row r="2646" spans="1:5" x14ac:dyDescent="0.25">
      <c r="A2646" s="13">
        <v>1022323121</v>
      </c>
      <c r="B2646" s="11" t="s">
        <v>116</v>
      </c>
      <c r="C2646" s="1" t="s">
        <v>2663</v>
      </c>
      <c r="D2646" s="1" t="s">
        <v>117</v>
      </c>
      <c r="E2646" s="1" t="s">
        <v>232</v>
      </c>
    </row>
    <row r="2647" spans="1:5" x14ac:dyDescent="0.25">
      <c r="A2647" s="13">
        <v>1022325287</v>
      </c>
      <c r="B2647" s="11" t="s">
        <v>83</v>
      </c>
      <c r="C2647" s="1" t="s">
        <v>2662</v>
      </c>
      <c r="D2647" s="1" t="s">
        <v>141</v>
      </c>
      <c r="E2647" s="1" t="s">
        <v>16</v>
      </c>
    </row>
    <row r="2648" spans="1:5" x14ac:dyDescent="0.25">
      <c r="A2648" s="13">
        <v>1022326157</v>
      </c>
      <c r="B2648" s="11" t="s">
        <v>116</v>
      </c>
      <c r="C2648" s="1" t="s">
        <v>2661</v>
      </c>
      <c r="D2648" s="1" t="s">
        <v>117</v>
      </c>
      <c r="E2648" s="1" t="s">
        <v>453</v>
      </c>
    </row>
    <row r="2649" spans="1:5" x14ac:dyDescent="0.25">
      <c r="A2649" s="13">
        <v>1022334792</v>
      </c>
      <c r="B2649" s="11" t="s">
        <v>84</v>
      </c>
      <c r="C2649" s="1" t="s">
        <v>3017</v>
      </c>
      <c r="D2649" s="1" t="s">
        <v>36</v>
      </c>
      <c r="E2649" s="1" t="s">
        <v>17</v>
      </c>
    </row>
    <row r="2650" spans="1:5" x14ac:dyDescent="0.25">
      <c r="A2650" s="13">
        <v>1022335273</v>
      </c>
      <c r="B2650" s="11" t="s">
        <v>83</v>
      </c>
      <c r="C2650" s="1" t="s">
        <v>2660</v>
      </c>
      <c r="D2650" s="1" t="s">
        <v>53</v>
      </c>
      <c r="E2650" s="1" t="s">
        <v>4</v>
      </c>
    </row>
    <row r="2651" spans="1:5" x14ac:dyDescent="0.25">
      <c r="A2651" s="13">
        <v>1022340651</v>
      </c>
      <c r="B2651" s="11" t="s">
        <v>116</v>
      </c>
      <c r="C2651" s="1" t="s">
        <v>2659</v>
      </c>
      <c r="D2651" s="1" t="s">
        <v>117</v>
      </c>
      <c r="E2651" s="1" t="s">
        <v>263</v>
      </c>
    </row>
    <row r="2652" spans="1:5" x14ac:dyDescent="0.25">
      <c r="A2652" s="13">
        <v>1022341651</v>
      </c>
      <c r="B2652" s="11" t="s">
        <v>83</v>
      </c>
      <c r="C2652" s="1" t="s">
        <v>2658</v>
      </c>
      <c r="D2652" s="1" t="s">
        <v>47</v>
      </c>
      <c r="E2652" s="1" t="s">
        <v>29</v>
      </c>
    </row>
    <row r="2653" spans="1:5" x14ac:dyDescent="0.25">
      <c r="A2653" s="13">
        <v>1022341955</v>
      </c>
      <c r="B2653" s="11" t="s">
        <v>84</v>
      </c>
      <c r="C2653" s="1" t="s">
        <v>2657</v>
      </c>
      <c r="D2653" s="1" t="s">
        <v>43</v>
      </c>
      <c r="E2653" s="1" t="s">
        <v>168</v>
      </c>
    </row>
    <row r="2654" spans="1:5" x14ac:dyDescent="0.25">
      <c r="A2654" s="13">
        <v>1022342374</v>
      </c>
      <c r="B2654" s="11" t="s">
        <v>83</v>
      </c>
      <c r="C2654" s="1" t="s">
        <v>2656</v>
      </c>
      <c r="D2654" s="1" t="s">
        <v>401</v>
      </c>
      <c r="E2654" s="1" t="s">
        <v>19</v>
      </c>
    </row>
    <row r="2655" spans="1:5" x14ac:dyDescent="0.25">
      <c r="A2655" s="13">
        <v>1022343083</v>
      </c>
      <c r="B2655" s="11" t="s">
        <v>83</v>
      </c>
      <c r="C2655" s="1" t="s">
        <v>2655</v>
      </c>
      <c r="D2655" s="1" t="s">
        <v>47</v>
      </c>
      <c r="E2655" s="1" t="s">
        <v>196</v>
      </c>
    </row>
    <row r="2656" spans="1:5" x14ac:dyDescent="0.25">
      <c r="A2656" s="13">
        <v>1022343653</v>
      </c>
      <c r="B2656" s="11" t="s">
        <v>84</v>
      </c>
      <c r="C2656" s="1" t="s">
        <v>3428</v>
      </c>
      <c r="D2656" s="1" t="s">
        <v>43</v>
      </c>
      <c r="E2656" s="1" t="s">
        <v>3238</v>
      </c>
    </row>
    <row r="2657" spans="1:5" x14ac:dyDescent="0.25">
      <c r="A2657" s="13">
        <v>1022346044</v>
      </c>
      <c r="B2657" s="11" t="s">
        <v>84</v>
      </c>
      <c r="C2657" s="1" t="s">
        <v>2654</v>
      </c>
      <c r="D2657" s="1" t="s">
        <v>38</v>
      </c>
      <c r="E2657" s="1" t="s">
        <v>13</v>
      </c>
    </row>
    <row r="2658" spans="1:5" x14ac:dyDescent="0.25">
      <c r="A2658" s="13">
        <v>1022348004</v>
      </c>
      <c r="B2658" s="11" t="s">
        <v>84</v>
      </c>
      <c r="C2658" s="1" t="s">
        <v>2653</v>
      </c>
      <c r="D2658" s="1" t="s">
        <v>43</v>
      </c>
      <c r="E2658" s="1" t="s">
        <v>5</v>
      </c>
    </row>
    <row r="2659" spans="1:5" x14ac:dyDescent="0.25">
      <c r="A2659" s="13">
        <v>1022354180</v>
      </c>
      <c r="B2659" s="11" t="s">
        <v>84</v>
      </c>
      <c r="C2659" s="1" t="s">
        <v>2652</v>
      </c>
      <c r="D2659" s="1" t="s">
        <v>38</v>
      </c>
      <c r="E2659" s="1" t="s">
        <v>3120</v>
      </c>
    </row>
    <row r="2660" spans="1:5" x14ac:dyDescent="0.25">
      <c r="A2660" s="13">
        <v>1022357857</v>
      </c>
      <c r="B2660" s="11" t="s">
        <v>83</v>
      </c>
      <c r="C2660" s="1" t="s">
        <v>2651</v>
      </c>
      <c r="D2660" s="1" t="s">
        <v>49</v>
      </c>
      <c r="E2660" s="1" t="s">
        <v>18</v>
      </c>
    </row>
    <row r="2661" spans="1:5" x14ac:dyDescent="0.25">
      <c r="A2661" s="13">
        <v>1022365115</v>
      </c>
      <c r="B2661" s="11" t="s">
        <v>83</v>
      </c>
      <c r="C2661" s="1" t="s">
        <v>2650</v>
      </c>
      <c r="D2661" s="1" t="s">
        <v>59</v>
      </c>
      <c r="E2661" s="1" t="s">
        <v>19</v>
      </c>
    </row>
    <row r="2662" spans="1:5" x14ac:dyDescent="0.25">
      <c r="A2662" s="13">
        <v>1022366138</v>
      </c>
      <c r="B2662" s="11" t="s">
        <v>116</v>
      </c>
      <c r="C2662" s="1" t="s">
        <v>3429</v>
      </c>
      <c r="D2662" s="1" t="s">
        <v>117</v>
      </c>
      <c r="E2662" s="1" t="s">
        <v>12</v>
      </c>
    </row>
    <row r="2663" spans="1:5" x14ac:dyDescent="0.25">
      <c r="A2663" s="13">
        <v>1022366273</v>
      </c>
      <c r="B2663" s="11" t="s">
        <v>84</v>
      </c>
      <c r="C2663" s="1" t="s">
        <v>2649</v>
      </c>
      <c r="D2663" s="1" t="s">
        <v>62</v>
      </c>
      <c r="E2663" s="1" t="s">
        <v>17</v>
      </c>
    </row>
    <row r="2664" spans="1:5" x14ac:dyDescent="0.25">
      <c r="A2664" s="13">
        <v>1022366994</v>
      </c>
      <c r="B2664" s="11" t="s">
        <v>84</v>
      </c>
      <c r="C2664" s="1" t="s">
        <v>3035</v>
      </c>
      <c r="D2664" s="1" t="s">
        <v>38</v>
      </c>
      <c r="E2664" s="1" t="s">
        <v>14</v>
      </c>
    </row>
    <row r="2665" spans="1:5" x14ac:dyDescent="0.25">
      <c r="A2665" s="13">
        <v>1022367152</v>
      </c>
      <c r="B2665" s="11" t="s">
        <v>116</v>
      </c>
      <c r="C2665" s="1" t="s">
        <v>2648</v>
      </c>
      <c r="D2665" s="1" t="s">
        <v>117</v>
      </c>
      <c r="E2665" s="1" t="s">
        <v>263</v>
      </c>
    </row>
    <row r="2666" spans="1:5" x14ac:dyDescent="0.25">
      <c r="A2666" s="13">
        <v>1022367202</v>
      </c>
      <c r="B2666" s="11" t="s">
        <v>83</v>
      </c>
      <c r="C2666" s="1" t="s">
        <v>2647</v>
      </c>
      <c r="D2666" s="1" t="s">
        <v>47</v>
      </c>
      <c r="E2666" s="1" t="s">
        <v>16</v>
      </c>
    </row>
    <row r="2667" spans="1:5" x14ac:dyDescent="0.25">
      <c r="A2667" s="13">
        <v>1022368196</v>
      </c>
      <c r="B2667" s="11" t="s">
        <v>84</v>
      </c>
      <c r="C2667" s="1" t="s">
        <v>2646</v>
      </c>
      <c r="D2667" s="1" t="s">
        <v>38</v>
      </c>
      <c r="E2667" s="1" t="s">
        <v>12</v>
      </c>
    </row>
    <row r="2668" spans="1:5" x14ac:dyDescent="0.25">
      <c r="A2668" s="13">
        <v>1022371269</v>
      </c>
      <c r="B2668" s="11" t="s">
        <v>84</v>
      </c>
      <c r="C2668" s="1" t="s">
        <v>3430</v>
      </c>
      <c r="D2668" s="1" t="s">
        <v>38</v>
      </c>
      <c r="E2668" s="1" t="s">
        <v>7</v>
      </c>
    </row>
    <row r="2669" spans="1:5" x14ac:dyDescent="0.25">
      <c r="A2669" s="13">
        <v>1022371554</v>
      </c>
      <c r="B2669" s="11" t="s">
        <v>83</v>
      </c>
      <c r="C2669" s="1" t="s">
        <v>2645</v>
      </c>
      <c r="D2669" s="1" t="s">
        <v>47</v>
      </c>
      <c r="E2669" s="1" t="s">
        <v>16</v>
      </c>
    </row>
    <row r="2670" spans="1:5" x14ac:dyDescent="0.25">
      <c r="A2670" s="13">
        <v>1022374925</v>
      </c>
      <c r="B2670" s="11" t="s">
        <v>83</v>
      </c>
      <c r="C2670" s="1" t="s">
        <v>3431</v>
      </c>
      <c r="D2670" s="1" t="s">
        <v>3161</v>
      </c>
      <c r="E2670" s="1" t="s">
        <v>196</v>
      </c>
    </row>
    <row r="2671" spans="1:5" x14ac:dyDescent="0.25">
      <c r="A2671" s="13">
        <v>1022378300</v>
      </c>
      <c r="B2671" s="11" t="s">
        <v>84</v>
      </c>
      <c r="C2671" s="1" t="s">
        <v>3432</v>
      </c>
      <c r="D2671" s="1" t="s">
        <v>3142</v>
      </c>
      <c r="E2671" s="1" t="s">
        <v>3595</v>
      </c>
    </row>
    <row r="2672" spans="1:5" x14ac:dyDescent="0.25">
      <c r="A2672" s="13">
        <v>1022378439</v>
      </c>
      <c r="B2672" s="11" t="s">
        <v>109</v>
      </c>
      <c r="C2672" s="1" t="s">
        <v>2644</v>
      </c>
      <c r="D2672" s="1" t="s">
        <v>366</v>
      </c>
      <c r="E2672" s="1" t="s">
        <v>31</v>
      </c>
    </row>
    <row r="2673" spans="1:5" x14ac:dyDescent="0.25">
      <c r="A2673" s="13">
        <v>1022378738</v>
      </c>
      <c r="B2673" s="11" t="s">
        <v>83</v>
      </c>
      <c r="C2673" s="1" t="s">
        <v>2643</v>
      </c>
      <c r="D2673" s="1" t="s">
        <v>47</v>
      </c>
      <c r="E2673" s="1" t="s">
        <v>16</v>
      </c>
    </row>
    <row r="2674" spans="1:5" x14ac:dyDescent="0.25">
      <c r="A2674" s="13">
        <v>1022379126</v>
      </c>
      <c r="B2674" s="11" t="s">
        <v>84</v>
      </c>
      <c r="C2674" s="1" t="s">
        <v>2642</v>
      </c>
      <c r="D2674" s="1" t="s">
        <v>381</v>
      </c>
      <c r="E2674" s="1" t="s">
        <v>26</v>
      </c>
    </row>
    <row r="2675" spans="1:5" x14ac:dyDescent="0.25">
      <c r="A2675" s="13">
        <v>1022384349</v>
      </c>
      <c r="B2675" s="11" t="s">
        <v>83</v>
      </c>
      <c r="C2675" s="1" t="s">
        <v>2641</v>
      </c>
      <c r="D2675" s="1" t="s">
        <v>47</v>
      </c>
      <c r="E2675" s="1" t="s">
        <v>17</v>
      </c>
    </row>
    <row r="2676" spans="1:5" x14ac:dyDescent="0.25">
      <c r="A2676" s="13">
        <v>1022385804</v>
      </c>
      <c r="B2676" s="11" t="s">
        <v>84</v>
      </c>
      <c r="C2676" s="1" t="s">
        <v>3620</v>
      </c>
      <c r="D2676" s="1" t="s">
        <v>38</v>
      </c>
      <c r="E2676" s="1" t="s">
        <v>15</v>
      </c>
    </row>
    <row r="2677" spans="1:5" x14ac:dyDescent="0.25">
      <c r="A2677" s="13">
        <v>1022387432</v>
      </c>
      <c r="B2677" s="11" t="s">
        <v>83</v>
      </c>
      <c r="C2677" s="1" t="s">
        <v>2640</v>
      </c>
      <c r="D2677" s="1" t="s">
        <v>59</v>
      </c>
      <c r="E2677" s="1" t="s">
        <v>19</v>
      </c>
    </row>
    <row r="2678" spans="1:5" x14ac:dyDescent="0.25">
      <c r="A2678" s="13">
        <v>1022391698</v>
      </c>
      <c r="B2678" s="11" t="s">
        <v>83</v>
      </c>
      <c r="C2678" s="1" t="s">
        <v>3433</v>
      </c>
      <c r="D2678" s="1" t="s">
        <v>2310</v>
      </c>
      <c r="E2678" s="1" t="s">
        <v>22</v>
      </c>
    </row>
    <row r="2679" spans="1:5" x14ac:dyDescent="0.25">
      <c r="A2679" s="13">
        <v>1022395930</v>
      </c>
      <c r="B2679" s="11" t="s">
        <v>84</v>
      </c>
      <c r="C2679" s="1" t="s">
        <v>2639</v>
      </c>
      <c r="D2679" s="1" t="s">
        <v>38</v>
      </c>
      <c r="E2679" s="1" t="s">
        <v>14</v>
      </c>
    </row>
    <row r="2680" spans="1:5" x14ac:dyDescent="0.25">
      <c r="A2680" s="13">
        <v>1022405501</v>
      </c>
      <c r="B2680" s="11" t="s">
        <v>84</v>
      </c>
      <c r="C2680" s="1" t="s">
        <v>2638</v>
      </c>
      <c r="D2680" s="1" t="s">
        <v>88</v>
      </c>
      <c r="E2680" s="1" t="s">
        <v>1</v>
      </c>
    </row>
    <row r="2681" spans="1:5" x14ac:dyDescent="0.25">
      <c r="A2681" s="13">
        <v>1022407573</v>
      </c>
      <c r="B2681" s="11" t="s">
        <v>84</v>
      </c>
      <c r="C2681" s="1" t="s">
        <v>3062</v>
      </c>
      <c r="D2681" s="1" t="s">
        <v>46</v>
      </c>
      <c r="E2681" s="1" t="s">
        <v>1</v>
      </c>
    </row>
    <row r="2682" spans="1:5" x14ac:dyDescent="0.25">
      <c r="A2682" s="13">
        <v>1022409691</v>
      </c>
      <c r="B2682" s="11" t="s">
        <v>84</v>
      </c>
      <c r="C2682" s="1" t="s">
        <v>3434</v>
      </c>
      <c r="D2682" s="1" t="s">
        <v>38</v>
      </c>
      <c r="E2682" s="1" t="s">
        <v>15</v>
      </c>
    </row>
    <row r="2683" spans="1:5" x14ac:dyDescent="0.25">
      <c r="A2683" s="13">
        <v>1022412464</v>
      </c>
      <c r="B2683" s="11" t="s">
        <v>84</v>
      </c>
      <c r="C2683" s="1" t="s">
        <v>3435</v>
      </c>
      <c r="D2683" s="1" t="s">
        <v>38</v>
      </c>
      <c r="E2683" s="1" t="s">
        <v>328</v>
      </c>
    </row>
    <row r="2684" spans="1:5" x14ac:dyDescent="0.25">
      <c r="A2684" s="13">
        <v>1022415737</v>
      </c>
      <c r="B2684" s="11" t="s">
        <v>83</v>
      </c>
      <c r="C2684" s="1" t="s">
        <v>2637</v>
      </c>
      <c r="D2684" s="1" t="s">
        <v>44</v>
      </c>
      <c r="E2684" s="1" t="s">
        <v>16</v>
      </c>
    </row>
    <row r="2685" spans="1:5" x14ac:dyDescent="0.25">
      <c r="A2685" s="13">
        <v>1022416072</v>
      </c>
      <c r="B2685" s="11" t="s">
        <v>84</v>
      </c>
      <c r="C2685" s="1" t="s">
        <v>3090</v>
      </c>
      <c r="D2685" s="1" t="s">
        <v>3313</v>
      </c>
      <c r="E2685" s="1" t="s">
        <v>1</v>
      </c>
    </row>
    <row r="2686" spans="1:5" x14ac:dyDescent="0.25">
      <c r="A2686" s="13">
        <v>1022419724</v>
      </c>
      <c r="B2686" s="11" t="s">
        <v>83</v>
      </c>
      <c r="C2686" s="1" t="s">
        <v>3046</v>
      </c>
      <c r="D2686" s="1" t="s">
        <v>54</v>
      </c>
      <c r="E2686" s="1" t="s">
        <v>16</v>
      </c>
    </row>
    <row r="2687" spans="1:5" x14ac:dyDescent="0.25">
      <c r="A2687" s="13">
        <v>1022423947</v>
      </c>
      <c r="B2687" s="11" t="s">
        <v>84</v>
      </c>
      <c r="C2687" s="1" t="s">
        <v>3436</v>
      </c>
      <c r="D2687" s="1" t="s">
        <v>38</v>
      </c>
      <c r="E2687" s="1" t="s">
        <v>3120</v>
      </c>
    </row>
    <row r="2688" spans="1:5" x14ac:dyDescent="0.25">
      <c r="A2688" s="13">
        <v>1022424148</v>
      </c>
      <c r="B2688" s="11" t="s">
        <v>83</v>
      </c>
      <c r="C2688" s="1" t="s">
        <v>2636</v>
      </c>
      <c r="D2688" s="1" t="s">
        <v>47</v>
      </c>
      <c r="E2688" s="1" t="s">
        <v>19</v>
      </c>
    </row>
    <row r="2689" spans="1:5" x14ac:dyDescent="0.25">
      <c r="A2689" s="13">
        <v>1022425913</v>
      </c>
      <c r="B2689" s="11" t="s">
        <v>84</v>
      </c>
      <c r="C2689" s="1" t="s">
        <v>2635</v>
      </c>
      <c r="D2689" s="1" t="s">
        <v>36</v>
      </c>
      <c r="E2689" s="1" t="s">
        <v>1</v>
      </c>
    </row>
    <row r="2690" spans="1:5" x14ac:dyDescent="0.25">
      <c r="A2690" s="13">
        <v>1022428618</v>
      </c>
      <c r="B2690" s="11" t="s">
        <v>83</v>
      </c>
      <c r="C2690" s="1" t="s">
        <v>2634</v>
      </c>
      <c r="D2690" s="1" t="s">
        <v>52</v>
      </c>
      <c r="E2690" s="1" t="s">
        <v>16</v>
      </c>
    </row>
    <row r="2691" spans="1:5" x14ac:dyDescent="0.25">
      <c r="A2691" s="13">
        <v>1022430965</v>
      </c>
      <c r="B2691" s="11" t="s">
        <v>83</v>
      </c>
      <c r="C2691" s="1" t="s">
        <v>2633</v>
      </c>
      <c r="D2691" s="1" t="s">
        <v>47</v>
      </c>
      <c r="E2691" s="1" t="s">
        <v>19</v>
      </c>
    </row>
    <row r="2692" spans="1:5" x14ac:dyDescent="0.25">
      <c r="A2692" s="13">
        <v>1022433416</v>
      </c>
      <c r="B2692" s="11" t="s">
        <v>83</v>
      </c>
      <c r="C2692" s="1" t="s">
        <v>2632</v>
      </c>
      <c r="D2692" s="1" t="s">
        <v>141</v>
      </c>
      <c r="E2692" s="1" t="s">
        <v>123</v>
      </c>
    </row>
    <row r="2693" spans="1:5" x14ac:dyDescent="0.25">
      <c r="A2693" s="13">
        <v>1022433905</v>
      </c>
      <c r="B2693" s="11" t="s">
        <v>84</v>
      </c>
      <c r="C2693" s="1" t="s">
        <v>3437</v>
      </c>
      <c r="D2693" s="1" t="s">
        <v>3325</v>
      </c>
      <c r="E2693" s="1" t="s">
        <v>22</v>
      </c>
    </row>
    <row r="2694" spans="1:5" x14ac:dyDescent="0.25">
      <c r="A2694" s="13">
        <v>1022435104</v>
      </c>
      <c r="B2694" s="11" t="s">
        <v>83</v>
      </c>
      <c r="C2694" s="1" t="s">
        <v>3621</v>
      </c>
      <c r="D2694" s="1" t="s">
        <v>3347</v>
      </c>
      <c r="E2694" s="1" t="s">
        <v>18</v>
      </c>
    </row>
    <row r="2695" spans="1:5" x14ac:dyDescent="0.25">
      <c r="A2695" s="13">
        <v>1022441368</v>
      </c>
      <c r="B2695" s="11" t="s">
        <v>83</v>
      </c>
      <c r="C2695" s="1" t="s">
        <v>3438</v>
      </c>
      <c r="D2695" s="1" t="s">
        <v>2310</v>
      </c>
      <c r="E2695" s="1" t="s">
        <v>22</v>
      </c>
    </row>
    <row r="2696" spans="1:5" x14ac:dyDescent="0.25">
      <c r="A2696" s="13">
        <v>1022444202</v>
      </c>
      <c r="B2696" s="11" t="s">
        <v>84</v>
      </c>
      <c r="C2696" s="1" t="s">
        <v>2631</v>
      </c>
      <c r="D2696" s="1" t="s">
        <v>41</v>
      </c>
      <c r="E2696" s="1" t="s">
        <v>3071</v>
      </c>
    </row>
    <row r="2697" spans="1:5" x14ac:dyDescent="0.25">
      <c r="A2697" s="13">
        <v>1022444611</v>
      </c>
      <c r="B2697" s="11" t="s">
        <v>83</v>
      </c>
      <c r="C2697" s="1" t="s">
        <v>3122</v>
      </c>
      <c r="D2697" s="1" t="s">
        <v>48</v>
      </c>
      <c r="E2697" s="1" t="s">
        <v>19</v>
      </c>
    </row>
    <row r="2698" spans="1:5" x14ac:dyDescent="0.25">
      <c r="A2698" s="13">
        <v>1022927483</v>
      </c>
      <c r="B2698" s="11" t="s">
        <v>83</v>
      </c>
      <c r="C2698" s="1" t="s">
        <v>3439</v>
      </c>
      <c r="D2698" s="1" t="s">
        <v>79</v>
      </c>
      <c r="E2698" s="1" t="s">
        <v>16</v>
      </c>
    </row>
    <row r="2699" spans="1:5" x14ac:dyDescent="0.25">
      <c r="A2699" s="13">
        <v>1022927754</v>
      </c>
      <c r="B2699" s="11" t="s">
        <v>83</v>
      </c>
      <c r="C2699" s="1" t="s">
        <v>2630</v>
      </c>
      <c r="D2699" s="1" t="s">
        <v>430</v>
      </c>
      <c r="E2699" s="1" t="s">
        <v>31</v>
      </c>
    </row>
    <row r="2700" spans="1:5" x14ac:dyDescent="0.25">
      <c r="A2700" s="13">
        <v>1022929597</v>
      </c>
      <c r="B2700" s="11" t="s">
        <v>84</v>
      </c>
      <c r="C2700" s="1" t="s">
        <v>2629</v>
      </c>
      <c r="D2700" s="1" t="s">
        <v>52</v>
      </c>
      <c r="E2700" s="1" t="s">
        <v>22</v>
      </c>
    </row>
    <row r="2701" spans="1:5" x14ac:dyDescent="0.25">
      <c r="A2701" s="13">
        <v>1022932716</v>
      </c>
      <c r="B2701" s="11" t="s">
        <v>83</v>
      </c>
      <c r="C2701" s="1" t="s">
        <v>2628</v>
      </c>
      <c r="D2701" s="1" t="s">
        <v>1077</v>
      </c>
      <c r="E2701" s="1" t="s">
        <v>30</v>
      </c>
    </row>
    <row r="2702" spans="1:5" x14ac:dyDescent="0.25">
      <c r="A2702" s="13">
        <v>1022932726</v>
      </c>
      <c r="B2702" s="11" t="s">
        <v>84</v>
      </c>
      <c r="C2702" s="1" t="s">
        <v>2627</v>
      </c>
      <c r="D2702" s="1" t="s">
        <v>43</v>
      </c>
      <c r="E2702" s="1" t="s">
        <v>8</v>
      </c>
    </row>
    <row r="2703" spans="1:5" x14ac:dyDescent="0.25">
      <c r="A2703" s="13">
        <v>1022941579</v>
      </c>
      <c r="B2703" s="11" t="s">
        <v>83</v>
      </c>
      <c r="C2703" s="1" t="s">
        <v>2625</v>
      </c>
      <c r="D2703" s="1" t="s">
        <v>47</v>
      </c>
      <c r="E2703" s="1" t="s">
        <v>2626</v>
      </c>
    </row>
    <row r="2704" spans="1:5" x14ac:dyDescent="0.25">
      <c r="A2704" s="13">
        <v>1022949420</v>
      </c>
      <c r="B2704" s="11" t="s">
        <v>83</v>
      </c>
      <c r="C2704" s="1" t="s">
        <v>2624</v>
      </c>
      <c r="D2704" s="1" t="s">
        <v>47</v>
      </c>
      <c r="E2704" s="1" t="s">
        <v>16</v>
      </c>
    </row>
    <row r="2705" spans="1:5" x14ac:dyDescent="0.25">
      <c r="A2705" s="13">
        <v>1022950769</v>
      </c>
      <c r="B2705" s="11" t="s">
        <v>83</v>
      </c>
      <c r="C2705" s="1" t="s">
        <v>2623</v>
      </c>
      <c r="D2705" s="1" t="s">
        <v>57</v>
      </c>
      <c r="E2705" s="1" t="s">
        <v>23</v>
      </c>
    </row>
    <row r="2706" spans="1:5" x14ac:dyDescent="0.25">
      <c r="A2706" s="13">
        <v>1022955599</v>
      </c>
      <c r="B2706" s="11" t="s">
        <v>84</v>
      </c>
      <c r="C2706" s="1" t="s">
        <v>2622</v>
      </c>
      <c r="D2706" s="1" t="s">
        <v>103</v>
      </c>
      <c r="E2706" s="1" t="s">
        <v>1</v>
      </c>
    </row>
    <row r="2707" spans="1:5" x14ac:dyDescent="0.25">
      <c r="A2707" s="13">
        <v>1022973531</v>
      </c>
      <c r="B2707" s="11" t="s">
        <v>83</v>
      </c>
      <c r="C2707" s="1" t="s">
        <v>3440</v>
      </c>
      <c r="D2707" s="1" t="s">
        <v>3137</v>
      </c>
      <c r="E2707" s="1" t="s">
        <v>19</v>
      </c>
    </row>
    <row r="2708" spans="1:5" x14ac:dyDescent="0.25">
      <c r="A2708" s="13">
        <v>1022973913</v>
      </c>
      <c r="B2708" s="11" t="s">
        <v>84</v>
      </c>
      <c r="C2708" s="1" t="s">
        <v>2621</v>
      </c>
      <c r="D2708" s="1" t="s">
        <v>38</v>
      </c>
      <c r="E2708" s="1" t="s">
        <v>2</v>
      </c>
    </row>
    <row r="2709" spans="1:5" x14ac:dyDescent="0.25">
      <c r="A2709" s="13">
        <v>1022976601</v>
      </c>
      <c r="B2709" s="11" t="s">
        <v>84</v>
      </c>
      <c r="C2709" s="1" t="s">
        <v>2620</v>
      </c>
      <c r="D2709" s="1" t="s">
        <v>38</v>
      </c>
      <c r="E2709" s="1" t="s">
        <v>3120</v>
      </c>
    </row>
    <row r="2710" spans="1:5" x14ac:dyDescent="0.25">
      <c r="A2710" s="13">
        <v>1022978376</v>
      </c>
      <c r="B2710" s="11" t="s">
        <v>84</v>
      </c>
      <c r="C2710" s="1" t="s">
        <v>2619</v>
      </c>
      <c r="D2710" s="1" t="s">
        <v>36</v>
      </c>
      <c r="E2710" s="1" t="s">
        <v>17</v>
      </c>
    </row>
    <row r="2711" spans="1:5" x14ac:dyDescent="0.25">
      <c r="A2711" s="13">
        <v>1022981864</v>
      </c>
      <c r="B2711" s="11" t="s">
        <v>84</v>
      </c>
      <c r="C2711" s="1" t="s">
        <v>3057</v>
      </c>
      <c r="D2711" s="1" t="s">
        <v>39</v>
      </c>
      <c r="E2711" s="1" t="s">
        <v>1</v>
      </c>
    </row>
    <row r="2712" spans="1:5" x14ac:dyDescent="0.25">
      <c r="A2712" s="13">
        <v>1022982671</v>
      </c>
      <c r="B2712" s="11" t="s">
        <v>84</v>
      </c>
      <c r="C2712" s="1" t="s">
        <v>3016</v>
      </c>
      <c r="D2712" s="1" t="s">
        <v>36</v>
      </c>
      <c r="E2712" s="1" t="s">
        <v>17</v>
      </c>
    </row>
    <row r="2713" spans="1:5" x14ac:dyDescent="0.25">
      <c r="A2713" s="13">
        <v>1022995562</v>
      </c>
      <c r="B2713" s="11" t="s">
        <v>83</v>
      </c>
      <c r="C2713" s="1" t="s">
        <v>2618</v>
      </c>
      <c r="D2713" s="1" t="s">
        <v>50</v>
      </c>
      <c r="E2713" s="1" t="s">
        <v>24</v>
      </c>
    </row>
    <row r="2714" spans="1:5" x14ac:dyDescent="0.25">
      <c r="A2714" s="13">
        <v>1022996882</v>
      </c>
      <c r="B2714" s="11" t="s">
        <v>83</v>
      </c>
      <c r="C2714" s="1" t="s">
        <v>2617</v>
      </c>
      <c r="D2714" s="1" t="s">
        <v>3441</v>
      </c>
      <c r="E2714" s="1" t="s">
        <v>20</v>
      </c>
    </row>
    <row r="2715" spans="1:5" x14ac:dyDescent="0.25">
      <c r="A2715" s="13">
        <v>1022997931</v>
      </c>
      <c r="B2715" s="11" t="s">
        <v>84</v>
      </c>
      <c r="C2715" s="1" t="s">
        <v>2616</v>
      </c>
      <c r="D2715" s="1" t="s">
        <v>3160</v>
      </c>
      <c r="E2715" s="1" t="s">
        <v>1</v>
      </c>
    </row>
    <row r="2716" spans="1:5" x14ac:dyDescent="0.25">
      <c r="A2716" s="13">
        <v>1022998674</v>
      </c>
      <c r="B2716" s="11" t="s">
        <v>83</v>
      </c>
      <c r="C2716" s="1" t="s">
        <v>2615</v>
      </c>
      <c r="D2716" s="1" t="s">
        <v>47</v>
      </c>
      <c r="E2716" s="1" t="s">
        <v>19</v>
      </c>
    </row>
    <row r="2717" spans="1:5" x14ac:dyDescent="0.25">
      <c r="A2717" s="13">
        <v>1022999471</v>
      </c>
      <c r="B2717" s="11" t="s">
        <v>83</v>
      </c>
      <c r="C2717" s="1" t="s">
        <v>2614</v>
      </c>
      <c r="D2717" s="1" t="s">
        <v>44</v>
      </c>
      <c r="E2717" s="1" t="s">
        <v>16</v>
      </c>
    </row>
    <row r="2718" spans="1:5" x14ac:dyDescent="0.25">
      <c r="A2718" s="13">
        <v>1023002776</v>
      </c>
      <c r="B2718" s="11" t="s">
        <v>83</v>
      </c>
      <c r="C2718" s="1" t="s">
        <v>2613</v>
      </c>
      <c r="D2718" s="1" t="s">
        <v>47</v>
      </c>
      <c r="E2718" s="1" t="s">
        <v>16</v>
      </c>
    </row>
    <row r="2719" spans="1:5" x14ac:dyDescent="0.25">
      <c r="A2719" s="13">
        <v>1023005433</v>
      </c>
      <c r="B2719" s="11" t="s">
        <v>83</v>
      </c>
      <c r="C2719" s="1" t="s">
        <v>2612</v>
      </c>
      <c r="D2719" s="1" t="s">
        <v>47</v>
      </c>
      <c r="E2719" s="1" t="s">
        <v>19</v>
      </c>
    </row>
    <row r="2720" spans="1:5" x14ac:dyDescent="0.25">
      <c r="A2720" s="13">
        <v>1023010935</v>
      </c>
      <c r="B2720" s="11" t="s">
        <v>83</v>
      </c>
      <c r="C2720" s="1" t="s">
        <v>3442</v>
      </c>
      <c r="D2720" s="1" t="s">
        <v>3443</v>
      </c>
      <c r="E2720" s="1" t="s">
        <v>495</v>
      </c>
    </row>
    <row r="2721" spans="1:5" x14ac:dyDescent="0.25">
      <c r="A2721" s="13">
        <v>1023013186</v>
      </c>
      <c r="B2721" s="11" t="s">
        <v>83</v>
      </c>
      <c r="C2721" s="1" t="s">
        <v>2611</v>
      </c>
      <c r="D2721" s="1" t="s">
        <v>96</v>
      </c>
      <c r="E2721" s="1" t="s">
        <v>21</v>
      </c>
    </row>
    <row r="2722" spans="1:5" x14ac:dyDescent="0.25">
      <c r="A2722" s="13">
        <v>1023013324</v>
      </c>
      <c r="B2722" s="11" t="s">
        <v>83</v>
      </c>
      <c r="C2722" s="1" t="s">
        <v>2610</v>
      </c>
      <c r="D2722" s="1" t="s">
        <v>47</v>
      </c>
      <c r="E2722" s="1" t="s">
        <v>668</v>
      </c>
    </row>
    <row r="2723" spans="1:5" x14ac:dyDescent="0.25">
      <c r="A2723" s="13">
        <v>1023029423</v>
      </c>
      <c r="B2723" s="11" t="s">
        <v>83</v>
      </c>
      <c r="C2723" s="1" t="s">
        <v>2609</v>
      </c>
      <c r="D2723" s="1" t="s">
        <v>63</v>
      </c>
      <c r="E2723" s="1" t="s">
        <v>20</v>
      </c>
    </row>
    <row r="2724" spans="1:5" x14ac:dyDescent="0.25">
      <c r="A2724" s="13">
        <v>1023033647</v>
      </c>
      <c r="B2724" s="11" t="s">
        <v>84</v>
      </c>
      <c r="C2724" s="1" t="s">
        <v>3622</v>
      </c>
      <c r="D2724" s="1" t="s">
        <v>38</v>
      </c>
      <c r="E2724" s="1" t="s">
        <v>328</v>
      </c>
    </row>
    <row r="2725" spans="1:5" x14ac:dyDescent="0.25">
      <c r="A2725" s="13">
        <v>1023035652</v>
      </c>
      <c r="B2725" s="11" t="s">
        <v>83</v>
      </c>
      <c r="C2725" s="1" t="s">
        <v>3444</v>
      </c>
      <c r="D2725" s="1" t="s">
        <v>44</v>
      </c>
      <c r="E2725" s="1" t="s">
        <v>16</v>
      </c>
    </row>
    <row r="2726" spans="1:5" x14ac:dyDescent="0.25">
      <c r="A2726" s="13">
        <v>1023364403</v>
      </c>
      <c r="B2726" s="11" t="s">
        <v>83</v>
      </c>
      <c r="C2726" s="1" t="s">
        <v>2607</v>
      </c>
      <c r="D2726" s="1" t="s">
        <v>48</v>
      </c>
      <c r="E2726" s="1" t="s">
        <v>19</v>
      </c>
    </row>
    <row r="2727" spans="1:5" x14ac:dyDescent="0.25">
      <c r="A2727" s="13">
        <v>1023865713</v>
      </c>
      <c r="B2727" s="11" t="s">
        <v>83</v>
      </c>
      <c r="C2727" s="1" t="s">
        <v>2605</v>
      </c>
      <c r="D2727" s="1" t="s">
        <v>47</v>
      </c>
      <c r="E2727" s="1" t="s">
        <v>4</v>
      </c>
    </row>
    <row r="2728" spans="1:5" x14ac:dyDescent="0.25">
      <c r="A2728" s="13">
        <v>1023866214</v>
      </c>
      <c r="B2728" s="11" t="s">
        <v>116</v>
      </c>
      <c r="C2728" s="1" t="s">
        <v>2604</v>
      </c>
      <c r="D2728" s="1" t="s">
        <v>117</v>
      </c>
      <c r="E2728" s="1" t="s">
        <v>12</v>
      </c>
    </row>
    <row r="2729" spans="1:5" x14ac:dyDescent="0.25">
      <c r="A2729" s="13">
        <v>1023866246</v>
      </c>
      <c r="B2729" s="11" t="s">
        <v>84</v>
      </c>
      <c r="C2729" s="1" t="s">
        <v>2603</v>
      </c>
      <c r="D2729" s="1" t="s">
        <v>43</v>
      </c>
      <c r="E2729" s="1" t="s">
        <v>5</v>
      </c>
    </row>
    <row r="2730" spans="1:5" x14ac:dyDescent="0.25">
      <c r="A2730" s="13">
        <v>1023867666</v>
      </c>
      <c r="B2730" s="11" t="s">
        <v>84</v>
      </c>
      <c r="C2730" s="1" t="s">
        <v>2602</v>
      </c>
      <c r="D2730" s="1" t="s">
        <v>38</v>
      </c>
      <c r="E2730" s="1" t="s">
        <v>8</v>
      </c>
    </row>
    <row r="2731" spans="1:5" x14ac:dyDescent="0.25">
      <c r="A2731" s="13">
        <v>1023870936</v>
      </c>
      <c r="B2731" s="11" t="s">
        <v>83</v>
      </c>
      <c r="C2731" s="1" t="s">
        <v>2601</v>
      </c>
      <c r="D2731" s="1" t="s">
        <v>34</v>
      </c>
      <c r="E2731" s="1" t="s">
        <v>1</v>
      </c>
    </row>
    <row r="2732" spans="1:5" x14ac:dyDescent="0.25">
      <c r="A2732" s="13">
        <v>1023876014</v>
      </c>
      <c r="B2732" s="11" t="s">
        <v>84</v>
      </c>
      <c r="C2732" s="1" t="s">
        <v>2600</v>
      </c>
      <c r="D2732" s="1" t="s">
        <v>3670</v>
      </c>
      <c r="E2732" s="1" t="s">
        <v>27</v>
      </c>
    </row>
    <row r="2733" spans="1:5" x14ac:dyDescent="0.25">
      <c r="A2733" s="13">
        <v>1023876865</v>
      </c>
      <c r="B2733" s="11" t="s">
        <v>83</v>
      </c>
      <c r="C2733" s="1" t="s">
        <v>2599</v>
      </c>
      <c r="D2733" s="1" t="s">
        <v>47</v>
      </c>
      <c r="E2733" s="1" t="s">
        <v>19</v>
      </c>
    </row>
    <row r="2734" spans="1:5" x14ac:dyDescent="0.25">
      <c r="A2734" s="13">
        <v>1023879886</v>
      </c>
      <c r="B2734" s="11" t="s">
        <v>84</v>
      </c>
      <c r="C2734" s="1" t="s">
        <v>3108</v>
      </c>
      <c r="D2734" s="1" t="s">
        <v>43</v>
      </c>
      <c r="E2734" s="1" t="s">
        <v>3121</v>
      </c>
    </row>
    <row r="2735" spans="1:5" x14ac:dyDescent="0.25">
      <c r="A2735" s="13">
        <v>1023880617</v>
      </c>
      <c r="B2735" s="11" t="s">
        <v>83</v>
      </c>
      <c r="C2735" s="1" t="s">
        <v>3676</v>
      </c>
      <c r="D2735" s="1" t="s">
        <v>57</v>
      </c>
      <c r="E2735" s="1" t="s">
        <v>23</v>
      </c>
    </row>
    <row r="2736" spans="1:5" x14ac:dyDescent="0.25">
      <c r="A2736" s="13">
        <v>1023883232</v>
      </c>
      <c r="B2736" s="11" t="s">
        <v>83</v>
      </c>
      <c r="C2736" s="1" t="s">
        <v>2598</v>
      </c>
      <c r="D2736" s="1" t="s">
        <v>63</v>
      </c>
      <c r="E2736" s="1" t="s">
        <v>20</v>
      </c>
    </row>
    <row r="2737" spans="1:5" x14ac:dyDescent="0.25">
      <c r="A2737" s="13">
        <v>1023883407</v>
      </c>
      <c r="B2737" s="11" t="s">
        <v>83</v>
      </c>
      <c r="C2737" s="1" t="s">
        <v>2597</v>
      </c>
      <c r="D2737" s="1" t="s">
        <v>47</v>
      </c>
      <c r="E2737" s="1" t="s">
        <v>16</v>
      </c>
    </row>
    <row r="2738" spans="1:5" x14ac:dyDescent="0.25">
      <c r="A2738" s="13">
        <v>1023886987</v>
      </c>
      <c r="B2738" s="11" t="s">
        <v>83</v>
      </c>
      <c r="C2738" s="1" t="s">
        <v>2596</v>
      </c>
      <c r="D2738" s="1" t="s">
        <v>47</v>
      </c>
      <c r="E2738" s="1" t="s">
        <v>19</v>
      </c>
    </row>
    <row r="2739" spans="1:5" x14ac:dyDescent="0.25">
      <c r="A2739" s="13">
        <v>1023887902</v>
      </c>
      <c r="B2739" s="11" t="s">
        <v>83</v>
      </c>
      <c r="C2739" s="1" t="s">
        <v>2595</v>
      </c>
      <c r="D2739" s="1" t="s">
        <v>430</v>
      </c>
      <c r="E2739" s="1" t="s">
        <v>1128</v>
      </c>
    </row>
    <row r="2740" spans="1:5" x14ac:dyDescent="0.25">
      <c r="A2740" s="13">
        <v>1023890073</v>
      </c>
      <c r="B2740" s="11" t="s">
        <v>83</v>
      </c>
      <c r="C2740" s="1" t="s">
        <v>2593</v>
      </c>
      <c r="D2740" s="1" t="s">
        <v>2594</v>
      </c>
      <c r="E2740" s="1" t="s">
        <v>16</v>
      </c>
    </row>
    <row r="2741" spans="1:5" x14ac:dyDescent="0.25">
      <c r="A2741" s="13">
        <v>1023890427</v>
      </c>
      <c r="B2741" s="11" t="s">
        <v>84</v>
      </c>
      <c r="C2741" s="1" t="s">
        <v>2592</v>
      </c>
      <c r="D2741" s="1" t="s">
        <v>38</v>
      </c>
      <c r="E2741" s="1" t="s">
        <v>5</v>
      </c>
    </row>
    <row r="2742" spans="1:5" x14ac:dyDescent="0.25">
      <c r="A2742" s="13">
        <v>1023891259</v>
      </c>
      <c r="B2742" s="11" t="s">
        <v>83</v>
      </c>
      <c r="C2742" s="1" t="s">
        <v>3445</v>
      </c>
      <c r="D2742" s="1" t="s">
        <v>48</v>
      </c>
      <c r="E2742" s="1" t="s">
        <v>19</v>
      </c>
    </row>
    <row r="2743" spans="1:5" x14ac:dyDescent="0.25">
      <c r="A2743" s="13">
        <v>1023891326</v>
      </c>
      <c r="B2743" s="11" t="s">
        <v>84</v>
      </c>
      <c r="C2743" s="1" t="s">
        <v>2591</v>
      </c>
      <c r="D2743" s="1" t="s">
        <v>38</v>
      </c>
      <c r="E2743" s="1" t="s">
        <v>12</v>
      </c>
    </row>
    <row r="2744" spans="1:5" x14ac:dyDescent="0.25">
      <c r="A2744" s="13">
        <v>1023892460</v>
      </c>
      <c r="B2744" s="11" t="s">
        <v>83</v>
      </c>
      <c r="C2744" s="1" t="s">
        <v>2590</v>
      </c>
      <c r="D2744" s="1" t="s">
        <v>40</v>
      </c>
      <c r="E2744" s="1" t="s">
        <v>23</v>
      </c>
    </row>
    <row r="2745" spans="1:5" x14ac:dyDescent="0.25">
      <c r="A2745" s="13">
        <v>1023898029</v>
      </c>
      <c r="B2745" s="11" t="s">
        <v>84</v>
      </c>
      <c r="C2745" s="1" t="s">
        <v>2589</v>
      </c>
      <c r="D2745" s="1" t="s">
        <v>37</v>
      </c>
      <c r="E2745" s="1" t="s">
        <v>3085</v>
      </c>
    </row>
    <row r="2746" spans="1:5" x14ac:dyDescent="0.25">
      <c r="A2746" s="13">
        <v>1023899630</v>
      </c>
      <c r="B2746" s="11" t="s">
        <v>83</v>
      </c>
      <c r="C2746" s="1" t="s">
        <v>2588</v>
      </c>
      <c r="D2746" s="1" t="s">
        <v>47</v>
      </c>
      <c r="E2746" s="1" t="s">
        <v>26</v>
      </c>
    </row>
    <row r="2747" spans="1:5" x14ac:dyDescent="0.25">
      <c r="A2747" s="13">
        <v>1023900501</v>
      </c>
      <c r="B2747" s="11" t="s">
        <v>84</v>
      </c>
      <c r="C2747" s="1" t="s">
        <v>3446</v>
      </c>
      <c r="D2747" s="1" t="s">
        <v>38</v>
      </c>
      <c r="E2747" s="1" t="s">
        <v>14</v>
      </c>
    </row>
    <row r="2748" spans="1:5" x14ac:dyDescent="0.25">
      <c r="A2748" s="13">
        <v>1023901162</v>
      </c>
      <c r="B2748" s="11" t="s">
        <v>84</v>
      </c>
      <c r="C2748" s="1" t="s">
        <v>2587</v>
      </c>
      <c r="D2748" s="1" t="s">
        <v>38</v>
      </c>
      <c r="E2748" s="1" t="s">
        <v>10</v>
      </c>
    </row>
    <row r="2749" spans="1:5" x14ac:dyDescent="0.25">
      <c r="A2749" s="13">
        <v>1023903432</v>
      </c>
      <c r="B2749" s="11" t="s">
        <v>84</v>
      </c>
      <c r="C2749" s="1" t="s">
        <v>3623</v>
      </c>
      <c r="D2749" s="1" t="s">
        <v>43</v>
      </c>
      <c r="E2749" s="1" t="s">
        <v>3238</v>
      </c>
    </row>
    <row r="2750" spans="1:5" x14ac:dyDescent="0.25">
      <c r="A2750" s="13">
        <v>1023907805</v>
      </c>
      <c r="B2750" s="11" t="s">
        <v>84</v>
      </c>
      <c r="C2750" s="1" t="s">
        <v>2586</v>
      </c>
      <c r="D2750" s="1" t="s">
        <v>38</v>
      </c>
      <c r="E2750" s="1" t="s">
        <v>13</v>
      </c>
    </row>
    <row r="2751" spans="1:5" x14ac:dyDescent="0.25">
      <c r="A2751" s="13">
        <v>1023910012</v>
      </c>
      <c r="B2751" s="11" t="s">
        <v>109</v>
      </c>
      <c r="C2751" s="1" t="s">
        <v>2585</v>
      </c>
      <c r="D2751" s="1" t="s">
        <v>366</v>
      </c>
      <c r="E2751" s="1" t="s">
        <v>1128</v>
      </c>
    </row>
    <row r="2752" spans="1:5" x14ac:dyDescent="0.25">
      <c r="A2752" s="13">
        <v>1023913107</v>
      </c>
      <c r="B2752" s="11" t="s">
        <v>84</v>
      </c>
      <c r="C2752" s="1" t="s">
        <v>2584</v>
      </c>
      <c r="D2752" s="1" t="s">
        <v>37</v>
      </c>
      <c r="E2752" s="1" t="s">
        <v>27</v>
      </c>
    </row>
    <row r="2753" spans="1:5" x14ac:dyDescent="0.25">
      <c r="A2753" s="13">
        <v>1023913132</v>
      </c>
      <c r="B2753" s="11" t="s">
        <v>83</v>
      </c>
      <c r="C2753" s="1" t="s">
        <v>3074</v>
      </c>
      <c r="D2753" s="1" t="s">
        <v>44</v>
      </c>
      <c r="E2753" s="1" t="s">
        <v>16</v>
      </c>
    </row>
    <row r="2754" spans="1:5" x14ac:dyDescent="0.25">
      <c r="A2754" s="13">
        <v>1023913256</v>
      </c>
      <c r="B2754" s="11" t="s">
        <v>83</v>
      </c>
      <c r="C2754" s="1" t="s">
        <v>2583</v>
      </c>
      <c r="D2754" s="1" t="s">
        <v>40</v>
      </c>
      <c r="E2754" s="1" t="s">
        <v>23</v>
      </c>
    </row>
    <row r="2755" spans="1:5" x14ac:dyDescent="0.25">
      <c r="A2755" s="13">
        <v>1023915956</v>
      </c>
      <c r="B2755" s="11" t="s">
        <v>83</v>
      </c>
      <c r="C2755" s="1" t="s">
        <v>2582</v>
      </c>
      <c r="D2755" s="1" t="s">
        <v>47</v>
      </c>
      <c r="E2755" s="1" t="s">
        <v>142</v>
      </c>
    </row>
    <row r="2756" spans="1:5" x14ac:dyDescent="0.25">
      <c r="A2756" s="13">
        <v>1023917944</v>
      </c>
      <c r="B2756" s="11" t="s">
        <v>83</v>
      </c>
      <c r="C2756" s="1" t="s">
        <v>2581</v>
      </c>
      <c r="D2756" s="1" t="s">
        <v>47</v>
      </c>
      <c r="E2756" s="1" t="s">
        <v>142</v>
      </c>
    </row>
    <row r="2757" spans="1:5" x14ac:dyDescent="0.25">
      <c r="A2757" s="13">
        <v>1023919299</v>
      </c>
      <c r="B2757" s="11" t="s">
        <v>83</v>
      </c>
      <c r="C2757" s="1" t="s">
        <v>2580</v>
      </c>
      <c r="D2757" s="1" t="s">
        <v>47</v>
      </c>
      <c r="E2757" s="1" t="s">
        <v>142</v>
      </c>
    </row>
    <row r="2758" spans="1:5" x14ac:dyDescent="0.25">
      <c r="A2758" s="13">
        <v>1023920243</v>
      </c>
      <c r="B2758" s="11" t="s">
        <v>84</v>
      </c>
      <c r="C2758" s="1" t="s">
        <v>2578</v>
      </c>
      <c r="D2758" s="1" t="s">
        <v>2579</v>
      </c>
      <c r="E2758" s="1" t="s">
        <v>1</v>
      </c>
    </row>
    <row r="2759" spans="1:5" x14ac:dyDescent="0.25">
      <c r="A2759" s="13">
        <v>1023921037</v>
      </c>
      <c r="B2759" s="11" t="s">
        <v>84</v>
      </c>
      <c r="C2759" s="1" t="s">
        <v>2577</v>
      </c>
      <c r="D2759" s="1" t="s">
        <v>38</v>
      </c>
      <c r="E2759" s="1" t="s">
        <v>12</v>
      </c>
    </row>
    <row r="2760" spans="1:5" x14ac:dyDescent="0.25">
      <c r="A2760" s="13">
        <v>1023921503</v>
      </c>
      <c r="B2760" s="11" t="s">
        <v>83</v>
      </c>
      <c r="C2760" s="1" t="s">
        <v>2576</v>
      </c>
      <c r="D2760" s="1" t="s">
        <v>47</v>
      </c>
      <c r="E2760" s="1" t="s">
        <v>2349</v>
      </c>
    </row>
    <row r="2761" spans="1:5" x14ac:dyDescent="0.25">
      <c r="A2761" s="13">
        <v>1023922308</v>
      </c>
      <c r="B2761" s="11" t="s">
        <v>83</v>
      </c>
      <c r="C2761" s="1" t="s">
        <v>2575</v>
      </c>
      <c r="D2761" s="1" t="s">
        <v>47</v>
      </c>
      <c r="E2761" s="1" t="s">
        <v>26</v>
      </c>
    </row>
    <row r="2762" spans="1:5" x14ac:dyDescent="0.25">
      <c r="A2762" s="13">
        <v>1023926174</v>
      </c>
      <c r="B2762" s="11" t="s">
        <v>83</v>
      </c>
      <c r="C2762" s="1" t="s">
        <v>2573</v>
      </c>
      <c r="D2762" s="1" t="s">
        <v>47</v>
      </c>
      <c r="E2762" s="1" t="s">
        <v>19</v>
      </c>
    </row>
    <row r="2763" spans="1:5" x14ac:dyDescent="0.25">
      <c r="A2763" s="13">
        <v>1023926532</v>
      </c>
      <c r="B2763" s="11" t="s">
        <v>84</v>
      </c>
      <c r="C2763" s="1" t="s">
        <v>2572</v>
      </c>
      <c r="D2763" s="1" t="s">
        <v>88</v>
      </c>
      <c r="E2763" s="1" t="s">
        <v>87</v>
      </c>
    </row>
    <row r="2764" spans="1:5" x14ac:dyDescent="0.25">
      <c r="A2764" s="13">
        <v>1023930252</v>
      </c>
      <c r="B2764" s="11" t="s">
        <v>83</v>
      </c>
      <c r="C2764" s="1" t="s">
        <v>2571</v>
      </c>
      <c r="D2764" s="1" t="s">
        <v>48</v>
      </c>
      <c r="E2764" s="1" t="s">
        <v>19</v>
      </c>
    </row>
    <row r="2765" spans="1:5" x14ac:dyDescent="0.25">
      <c r="A2765" s="13">
        <v>1023930944</v>
      </c>
      <c r="B2765" s="11" t="s">
        <v>83</v>
      </c>
      <c r="C2765" s="1" t="s">
        <v>2570</v>
      </c>
      <c r="D2765" s="1" t="s">
        <v>36</v>
      </c>
      <c r="E2765" s="1" t="s">
        <v>33</v>
      </c>
    </row>
    <row r="2766" spans="1:5" x14ac:dyDescent="0.25">
      <c r="A2766" s="13">
        <v>1023932452</v>
      </c>
      <c r="B2766" s="11" t="s">
        <v>84</v>
      </c>
      <c r="C2766" s="1" t="s">
        <v>3447</v>
      </c>
      <c r="D2766" s="1" t="s">
        <v>92</v>
      </c>
      <c r="E2766" s="1" t="s">
        <v>3595</v>
      </c>
    </row>
    <row r="2767" spans="1:5" x14ac:dyDescent="0.25">
      <c r="A2767" s="13">
        <v>1023945286</v>
      </c>
      <c r="B2767" s="11" t="s">
        <v>84</v>
      </c>
      <c r="C2767" s="1" t="s">
        <v>2568</v>
      </c>
      <c r="D2767" s="1" t="s">
        <v>52</v>
      </c>
      <c r="E2767" s="1" t="s">
        <v>22</v>
      </c>
    </row>
    <row r="2768" spans="1:5" x14ac:dyDescent="0.25">
      <c r="A2768" s="13">
        <v>1023950000</v>
      </c>
      <c r="B2768" s="11" t="s">
        <v>84</v>
      </c>
      <c r="C2768" s="1" t="s">
        <v>2567</v>
      </c>
      <c r="D2768" s="1" t="s">
        <v>38</v>
      </c>
      <c r="E2768" s="1" t="s">
        <v>5</v>
      </c>
    </row>
    <row r="2769" spans="1:5" x14ac:dyDescent="0.25">
      <c r="A2769" s="13">
        <v>1023954848</v>
      </c>
      <c r="B2769" s="11" t="s">
        <v>83</v>
      </c>
      <c r="C2769" s="1" t="s">
        <v>3624</v>
      </c>
      <c r="D2769" s="1" t="s">
        <v>3181</v>
      </c>
      <c r="E2769" s="1" t="s">
        <v>16</v>
      </c>
    </row>
    <row r="2770" spans="1:5" x14ac:dyDescent="0.25">
      <c r="A2770" s="13">
        <v>1023959368</v>
      </c>
      <c r="B2770" s="11" t="s">
        <v>83</v>
      </c>
      <c r="C2770" s="1" t="s">
        <v>2566</v>
      </c>
      <c r="D2770" s="1" t="s">
        <v>47</v>
      </c>
      <c r="E2770" s="1" t="s">
        <v>2380</v>
      </c>
    </row>
    <row r="2771" spans="1:5" x14ac:dyDescent="0.25">
      <c r="A2771" s="13">
        <v>1023960259</v>
      </c>
      <c r="B2771" s="11" t="s">
        <v>83</v>
      </c>
      <c r="C2771" s="1" t="s">
        <v>2565</v>
      </c>
      <c r="D2771" s="1" t="s">
        <v>52</v>
      </c>
      <c r="E2771" s="1" t="s">
        <v>16</v>
      </c>
    </row>
    <row r="2772" spans="1:5" x14ac:dyDescent="0.25">
      <c r="A2772" s="13">
        <v>1023961026</v>
      </c>
      <c r="B2772" s="11" t="s">
        <v>83</v>
      </c>
      <c r="C2772" s="1" t="s">
        <v>2564</v>
      </c>
      <c r="D2772" s="1" t="s">
        <v>59</v>
      </c>
      <c r="E2772" s="1" t="s">
        <v>19</v>
      </c>
    </row>
    <row r="2773" spans="1:5" x14ac:dyDescent="0.25">
      <c r="A2773" s="13">
        <v>1023961952</v>
      </c>
      <c r="B2773" s="11" t="s">
        <v>83</v>
      </c>
      <c r="C2773" s="1" t="s">
        <v>3625</v>
      </c>
      <c r="D2773" s="1" t="s">
        <v>48</v>
      </c>
      <c r="E2773" s="1" t="s">
        <v>196</v>
      </c>
    </row>
    <row r="2774" spans="1:5" x14ac:dyDescent="0.25">
      <c r="A2774" s="13">
        <v>1023962136</v>
      </c>
      <c r="B2774" s="11" t="s">
        <v>84</v>
      </c>
      <c r="C2774" s="1" t="s">
        <v>2563</v>
      </c>
      <c r="D2774" s="1" t="s">
        <v>3140</v>
      </c>
      <c r="E2774" s="1" t="s">
        <v>1</v>
      </c>
    </row>
    <row r="2775" spans="1:5" x14ac:dyDescent="0.25">
      <c r="A2775" s="13">
        <v>1023965965</v>
      </c>
      <c r="B2775" s="11" t="s">
        <v>84</v>
      </c>
      <c r="C2775" s="1" t="s">
        <v>3448</v>
      </c>
      <c r="D2775" s="1" t="s">
        <v>38</v>
      </c>
      <c r="E2775" s="1" t="s">
        <v>3120</v>
      </c>
    </row>
    <row r="2776" spans="1:5" x14ac:dyDescent="0.25">
      <c r="A2776" s="13">
        <v>1023968360</v>
      </c>
      <c r="B2776" s="11" t="s">
        <v>83</v>
      </c>
      <c r="C2776" s="1" t="s">
        <v>3449</v>
      </c>
      <c r="D2776" s="1" t="s">
        <v>36</v>
      </c>
      <c r="E2776" s="1" t="s">
        <v>24</v>
      </c>
    </row>
    <row r="2777" spans="1:5" x14ac:dyDescent="0.25">
      <c r="A2777" s="13">
        <v>1023976383</v>
      </c>
      <c r="B2777" s="11" t="s">
        <v>83</v>
      </c>
      <c r="C2777" s="1" t="s">
        <v>2562</v>
      </c>
      <c r="D2777" s="1" t="s">
        <v>94</v>
      </c>
      <c r="E2777" s="1" t="s">
        <v>19</v>
      </c>
    </row>
    <row r="2778" spans="1:5" x14ac:dyDescent="0.25">
      <c r="A2778" s="13">
        <v>1023976803</v>
      </c>
      <c r="B2778" s="11" t="s">
        <v>83</v>
      </c>
      <c r="C2778" s="1" t="s">
        <v>2561</v>
      </c>
      <c r="D2778" s="1" t="s">
        <v>59</v>
      </c>
      <c r="E2778" s="1" t="s">
        <v>19</v>
      </c>
    </row>
    <row r="2779" spans="1:5" x14ac:dyDescent="0.25">
      <c r="A2779" s="13">
        <v>1023981015</v>
      </c>
      <c r="B2779" s="11" t="s">
        <v>84</v>
      </c>
      <c r="C2779" s="1" t="s">
        <v>3450</v>
      </c>
      <c r="D2779" s="1" t="s">
        <v>38</v>
      </c>
      <c r="E2779" s="1" t="s">
        <v>10</v>
      </c>
    </row>
    <row r="2780" spans="1:5" x14ac:dyDescent="0.25">
      <c r="A2780" s="13">
        <v>1024461799</v>
      </c>
      <c r="B2780" s="11" t="s">
        <v>109</v>
      </c>
      <c r="C2780" s="1" t="s">
        <v>2560</v>
      </c>
      <c r="D2780" s="1" t="s">
        <v>1077</v>
      </c>
      <c r="E2780" s="1" t="s">
        <v>12</v>
      </c>
    </row>
    <row r="2781" spans="1:5" x14ac:dyDescent="0.25">
      <c r="A2781" s="13">
        <v>1024467656</v>
      </c>
      <c r="B2781" s="11" t="s">
        <v>84</v>
      </c>
      <c r="C2781" s="1" t="s">
        <v>2559</v>
      </c>
      <c r="D2781" s="1" t="s">
        <v>38</v>
      </c>
      <c r="E2781" s="1" t="s">
        <v>8</v>
      </c>
    </row>
    <row r="2782" spans="1:5" x14ac:dyDescent="0.25">
      <c r="A2782" s="13">
        <v>1024469511</v>
      </c>
      <c r="B2782" s="11" t="s">
        <v>84</v>
      </c>
      <c r="C2782" s="1" t="s">
        <v>2558</v>
      </c>
      <c r="D2782" s="1" t="s">
        <v>38</v>
      </c>
      <c r="E2782" s="1" t="s">
        <v>3</v>
      </c>
    </row>
    <row r="2783" spans="1:5" x14ac:dyDescent="0.25">
      <c r="A2783" s="13">
        <v>1024470600</v>
      </c>
      <c r="B2783" s="11" t="s">
        <v>83</v>
      </c>
      <c r="C2783" s="1" t="s">
        <v>2557</v>
      </c>
      <c r="D2783" s="1" t="s">
        <v>47</v>
      </c>
      <c r="E2783" s="1" t="s">
        <v>16</v>
      </c>
    </row>
    <row r="2784" spans="1:5" x14ac:dyDescent="0.25">
      <c r="A2784" s="13">
        <v>1024471795</v>
      </c>
      <c r="B2784" s="11" t="s">
        <v>83</v>
      </c>
      <c r="C2784" s="1" t="s">
        <v>2556</v>
      </c>
      <c r="D2784" s="1" t="s">
        <v>42</v>
      </c>
      <c r="E2784" s="1" t="s">
        <v>4</v>
      </c>
    </row>
    <row r="2785" spans="1:5" x14ac:dyDescent="0.25">
      <c r="A2785" s="13">
        <v>1024473563</v>
      </c>
      <c r="B2785" s="11" t="s">
        <v>84</v>
      </c>
      <c r="C2785" s="1" t="s">
        <v>2555</v>
      </c>
      <c r="D2785" s="1" t="s">
        <v>52</v>
      </c>
      <c r="E2785" s="1" t="s">
        <v>22</v>
      </c>
    </row>
    <row r="2786" spans="1:5" x14ac:dyDescent="0.25">
      <c r="A2786" s="13">
        <v>1024473931</v>
      </c>
      <c r="B2786" s="11" t="s">
        <v>84</v>
      </c>
      <c r="C2786" s="1" t="s">
        <v>2554</v>
      </c>
      <c r="D2786" s="1" t="s">
        <v>381</v>
      </c>
      <c r="E2786" s="1" t="s">
        <v>26</v>
      </c>
    </row>
    <row r="2787" spans="1:5" x14ac:dyDescent="0.25">
      <c r="A2787" s="13">
        <v>1024476450</v>
      </c>
      <c r="B2787" s="11" t="s">
        <v>84</v>
      </c>
      <c r="C2787" s="1" t="s">
        <v>2553</v>
      </c>
      <c r="D2787" s="1" t="s">
        <v>381</v>
      </c>
      <c r="E2787" s="1" t="s">
        <v>26</v>
      </c>
    </row>
    <row r="2788" spans="1:5" x14ac:dyDescent="0.25">
      <c r="A2788" s="13">
        <v>1024479958</v>
      </c>
      <c r="B2788" s="11" t="s">
        <v>83</v>
      </c>
      <c r="C2788" s="1" t="s">
        <v>2552</v>
      </c>
      <c r="D2788" s="1" t="s">
        <v>47</v>
      </c>
      <c r="E2788" s="1" t="s">
        <v>16</v>
      </c>
    </row>
    <row r="2789" spans="1:5" x14ac:dyDescent="0.25">
      <c r="A2789" s="13">
        <v>1024481300</v>
      </c>
      <c r="B2789" s="11" t="s">
        <v>84</v>
      </c>
      <c r="C2789" s="1" t="s">
        <v>2551</v>
      </c>
      <c r="D2789" s="1" t="s">
        <v>38</v>
      </c>
      <c r="E2789" s="1" t="s">
        <v>8</v>
      </c>
    </row>
    <row r="2790" spans="1:5" x14ac:dyDescent="0.25">
      <c r="A2790" s="13">
        <v>1024481892</v>
      </c>
      <c r="B2790" s="11" t="s">
        <v>83</v>
      </c>
      <c r="C2790" s="1" t="s">
        <v>2550</v>
      </c>
      <c r="D2790" s="1" t="s">
        <v>47</v>
      </c>
      <c r="E2790" s="1" t="s">
        <v>19</v>
      </c>
    </row>
    <row r="2791" spans="1:5" x14ac:dyDescent="0.25">
      <c r="A2791" s="13">
        <v>1024485718</v>
      </c>
      <c r="B2791" s="11" t="s">
        <v>84</v>
      </c>
      <c r="C2791" s="1" t="s">
        <v>2549</v>
      </c>
      <c r="D2791" s="1" t="s">
        <v>306</v>
      </c>
      <c r="E2791" s="1" t="s">
        <v>142</v>
      </c>
    </row>
    <row r="2792" spans="1:5" x14ac:dyDescent="0.25">
      <c r="A2792" s="13">
        <v>1024489080</v>
      </c>
      <c r="B2792" s="11" t="s">
        <v>83</v>
      </c>
      <c r="C2792" s="1" t="s">
        <v>3451</v>
      </c>
      <c r="D2792" s="1" t="s">
        <v>48</v>
      </c>
      <c r="E2792" s="1" t="s">
        <v>19</v>
      </c>
    </row>
    <row r="2793" spans="1:5" x14ac:dyDescent="0.25">
      <c r="A2793" s="13">
        <v>1024500911</v>
      </c>
      <c r="B2793" s="11" t="s">
        <v>84</v>
      </c>
      <c r="C2793" s="1" t="s">
        <v>3452</v>
      </c>
      <c r="D2793" s="1" t="s">
        <v>43</v>
      </c>
      <c r="E2793" s="1" t="s">
        <v>1276</v>
      </c>
    </row>
    <row r="2794" spans="1:5" x14ac:dyDescent="0.25">
      <c r="A2794" s="13">
        <v>1024501294</v>
      </c>
      <c r="B2794" s="11" t="s">
        <v>83</v>
      </c>
      <c r="C2794" s="1" t="s">
        <v>3453</v>
      </c>
      <c r="D2794" s="1" t="s">
        <v>3454</v>
      </c>
      <c r="E2794" s="1" t="s">
        <v>19</v>
      </c>
    </row>
    <row r="2795" spans="1:5" x14ac:dyDescent="0.25">
      <c r="A2795" s="13">
        <v>1024504782</v>
      </c>
      <c r="B2795" s="11" t="s">
        <v>83</v>
      </c>
      <c r="C2795" s="1" t="s">
        <v>2548</v>
      </c>
      <c r="D2795" s="1" t="s">
        <v>47</v>
      </c>
      <c r="E2795" s="1" t="s">
        <v>16</v>
      </c>
    </row>
    <row r="2796" spans="1:5" x14ac:dyDescent="0.25">
      <c r="A2796" s="13">
        <v>1024505434</v>
      </c>
      <c r="B2796" s="11" t="s">
        <v>83</v>
      </c>
      <c r="C2796" s="1" t="s">
        <v>3626</v>
      </c>
      <c r="D2796" s="1" t="s">
        <v>3627</v>
      </c>
      <c r="E2796" s="1" t="s">
        <v>21</v>
      </c>
    </row>
    <row r="2797" spans="1:5" x14ac:dyDescent="0.25">
      <c r="A2797" s="13">
        <v>1024506619</v>
      </c>
      <c r="B2797" s="11" t="s">
        <v>83</v>
      </c>
      <c r="C2797" s="1" t="s">
        <v>2547</v>
      </c>
      <c r="D2797" s="1" t="s">
        <v>47</v>
      </c>
      <c r="E2797" s="1" t="s">
        <v>33</v>
      </c>
    </row>
    <row r="2798" spans="1:5" x14ac:dyDescent="0.25">
      <c r="A2798" s="13">
        <v>1024506629</v>
      </c>
      <c r="B2798" s="11" t="s">
        <v>83</v>
      </c>
      <c r="C2798" s="1" t="s">
        <v>2545</v>
      </c>
      <c r="D2798" s="1" t="s">
        <v>2546</v>
      </c>
      <c r="E2798" s="1" t="s">
        <v>134</v>
      </c>
    </row>
    <row r="2799" spans="1:5" x14ac:dyDescent="0.25">
      <c r="A2799" s="13">
        <v>1024512067</v>
      </c>
      <c r="B2799" s="11" t="s">
        <v>83</v>
      </c>
      <c r="C2799" s="1" t="s">
        <v>3683</v>
      </c>
      <c r="D2799" s="1" t="s">
        <v>3246</v>
      </c>
      <c r="E2799" s="1" t="s">
        <v>24</v>
      </c>
    </row>
    <row r="2800" spans="1:5" x14ac:dyDescent="0.25">
      <c r="A2800" s="13">
        <v>1024524821</v>
      </c>
      <c r="B2800" s="11" t="s">
        <v>84</v>
      </c>
      <c r="C2800" s="1" t="s">
        <v>2544</v>
      </c>
      <c r="D2800" s="1" t="s">
        <v>151</v>
      </c>
      <c r="E2800" s="1" t="s">
        <v>17</v>
      </c>
    </row>
    <row r="2801" spans="1:5" x14ac:dyDescent="0.25">
      <c r="A2801" s="13">
        <v>1024525316</v>
      </c>
      <c r="B2801" s="11" t="s">
        <v>116</v>
      </c>
      <c r="C2801" s="1" t="s">
        <v>3628</v>
      </c>
      <c r="D2801" s="1" t="s">
        <v>117</v>
      </c>
      <c r="E2801" s="1" t="s">
        <v>3118</v>
      </c>
    </row>
    <row r="2802" spans="1:5" x14ac:dyDescent="0.25">
      <c r="A2802" s="13">
        <v>1024528858</v>
      </c>
      <c r="B2802" s="11" t="s">
        <v>84</v>
      </c>
      <c r="C2802" s="1" t="s">
        <v>2543</v>
      </c>
      <c r="D2802" s="1" t="s">
        <v>3584</v>
      </c>
      <c r="E2802" s="1" t="s">
        <v>27</v>
      </c>
    </row>
    <row r="2803" spans="1:5" x14ac:dyDescent="0.25">
      <c r="A2803" s="13">
        <v>1024529015</v>
      </c>
      <c r="B2803" s="11" t="s">
        <v>84</v>
      </c>
      <c r="C2803" s="1" t="s">
        <v>2542</v>
      </c>
      <c r="D2803" s="1" t="s">
        <v>38</v>
      </c>
      <c r="E2803" s="1" t="s">
        <v>3120</v>
      </c>
    </row>
    <row r="2804" spans="1:5" x14ac:dyDescent="0.25">
      <c r="A2804" s="13">
        <v>1024536426</v>
      </c>
      <c r="B2804" s="11" t="s">
        <v>83</v>
      </c>
      <c r="C2804" s="1" t="s">
        <v>3455</v>
      </c>
      <c r="D2804" s="1" t="s">
        <v>42</v>
      </c>
      <c r="E2804" s="1" t="s">
        <v>4</v>
      </c>
    </row>
    <row r="2805" spans="1:5" x14ac:dyDescent="0.25">
      <c r="A2805" s="13">
        <v>1024542489</v>
      </c>
      <c r="B2805" s="11" t="s">
        <v>83</v>
      </c>
      <c r="C2805" s="1" t="s">
        <v>3456</v>
      </c>
      <c r="D2805" s="1" t="s">
        <v>340</v>
      </c>
      <c r="E2805" s="1" t="s">
        <v>23</v>
      </c>
    </row>
    <row r="2806" spans="1:5" x14ac:dyDescent="0.25">
      <c r="A2806" s="13">
        <v>1024547698</v>
      </c>
      <c r="B2806" s="11" t="s">
        <v>83</v>
      </c>
      <c r="C2806" s="1" t="s">
        <v>2541</v>
      </c>
      <c r="D2806" s="1" t="s">
        <v>63</v>
      </c>
      <c r="E2806" s="1" t="s">
        <v>20</v>
      </c>
    </row>
    <row r="2807" spans="1:5" x14ac:dyDescent="0.25">
      <c r="A2807" s="13">
        <v>1024549760</v>
      </c>
      <c r="B2807" s="11" t="s">
        <v>84</v>
      </c>
      <c r="C2807" s="1" t="s">
        <v>2540</v>
      </c>
      <c r="D2807" s="1" t="s">
        <v>3584</v>
      </c>
      <c r="E2807" s="1" t="s">
        <v>3085</v>
      </c>
    </row>
    <row r="2808" spans="1:5" x14ac:dyDescent="0.25">
      <c r="A2808" s="13">
        <v>1024561068</v>
      </c>
      <c r="B2808" s="11" t="s">
        <v>84</v>
      </c>
      <c r="C2808" s="1" t="s">
        <v>2539</v>
      </c>
      <c r="D2808" s="1" t="s">
        <v>36</v>
      </c>
      <c r="E2808" s="1" t="s">
        <v>17</v>
      </c>
    </row>
    <row r="2809" spans="1:5" x14ac:dyDescent="0.25">
      <c r="A2809" s="13">
        <v>1024562107</v>
      </c>
      <c r="B2809" s="11" t="s">
        <v>83</v>
      </c>
      <c r="C2809" s="1" t="s">
        <v>2537</v>
      </c>
      <c r="D2809" s="1" t="s">
        <v>2538</v>
      </c>
      <c r="E2809" s="1" t="s">
        <v>24</v>
      </c>
    </row>
    <row r="2810" spans="1:5" x14ac:dyDescent="0.25">
      <c r="A2810" s="13">
        <v>1024574213</v>
      </c>
      <c r="B2810" s="11" t="s">
        <v>116</v>
      </c>
      <c r="C2810" s="1" t="s">
        <v>2536</v>
      </c>
      <c r="D2810" s="1" t="s">
        <v>117</v>
      </c>
      <c r="E2810" s="1" t="s">
        <v>168</v>
      </c>
    </row>
    <row r="2811" spans="1:5" x14ac:dyDescent="0.25">
      <c r="A2811" s="13">
        <v>1024592549</v>
      </c>
      <c r="B2811" s="11" t="s">
        <v>83</v>
      </c>
      <c r="C2811" s="1" t="s">
        <v>2535</v>
      </c>
      <c r="D2811" s="1" t="s">
        <v>36</v>
      </c>
      <c r="E2811" s="1" t="s">
        <v>21</v>
      </c>
    </row>
    <row r="2812" spans="1:5" x14ac:dyDescent="0.25">
      <c r="A2812" s="13">
        <v>1024594848</v>
      </c>
      <c r="B2812" s="11" t="s">
        <v>84</v>
      </c>
      <c r="C2812" s="1" t="s">
        <v>3698</v>
      </c>
      <c r="D2812" s="1" t="s">
        <v>36</v>
      </c>
      <c r="E2812" s="1" t="s">
        <v>26</v>
      </c>
    </row>
    <row r="2813" spans="1:5" x14ac:dyDescent="0.25">
      <c r="A2813" s="13">
        <v>1024598468</v>
      </c>
      <c r="B2813" s="11" t="s">
        <v>83</v>
      </c>
      <c r="C2813" s="1" t="s">
        <v>2534</v>
      </c>
      <c r="D2813" s="1" t="s">
        <v>48</v>
      </c>
      <c r="E2813" s="1" t="s">
        <v>19</v>
      </c>
    </row>
    <row r="2814" spans="1:5" x14ac:dyDescent="0.25">
      <c r="A2814" s="13">
        <v>1025322754</v>
      </c>
      <c r="B2814" s="11" t="s">
        <v>83</v>
      </c>
      <c r="C2814" s="1" t="s">
        <v>3629</v>
      </c>
      <c r="D2814" s="1" t="s">
        <v>44</v>
      </c>
      <c r="E2814" s="1" t="s">
        <v>16</v>
      </c>
    </row>
    <row r="2815" spans="1:5" x14ac:dyDescent="0.25">
      <c r="A2815" s="13">
        <v>1025522386</v>
      </c>
      <c r="B2815" s="11" t="s">
        <v>83</v>
      </c>
      <c r="C2815" s="1" t="s">
        <v>3457</v>
      </c>
      <c r="D2815" s="1" t="s">
        <v>79</v>
      </c>
      <c r="E2815" s="1" t="s">
        <v>16</v>
      </c>
    </row>
    <row r="2816" spans="1:5" x14ac:dyDescent="0.25">
      <c r="A2816" s="13">
        <v>1026252093</v>
      </c>
      <c r="B2816" s="11" t="s">
        <v>84</v>
      </c>
      <c r="C2816" s="1" t="s">
        <v>2532</v>
      </c>
      <c r="D2816" s="1" t="s">
        <v>43</v>
      </c>
      <c r="E2816" s="1" t="s">
        <v>8</v>
      </c>
    </row>
    <row r="2817" spans="1:5" x14ac:dyDescent="0.25">
      <c r="A2817" s="13">
        <v>1026254561</v>
      </c>
      <c r="B2817" s="11" t="s">
        <v>84</v>
      </c>
      <c r="C2817" s="1" t="s">
        <v>2531</v>
      </c>
      <c r="D2817" s="1" t="s">
        <v>185</v>
      </c>
      <c r="E2817" s="1" t="s">
        <v>127</v>
      </c>
    </row>
    <row r="2818" spans="1:5" x14ac:dyDescent="0.25">
      <c r="A2818" s="13">
        <v>1026254953</v>
      </c>
      <c r="B2818" s="11" t="s">
        <v>84</v>
      </c>
      <c r="C2818" s="1" t="s">
        <v>2530</v>
      </c>
      <c r="D2818" s="1" t="s">
        <v>3084</v>
      </c>
      <c r="E2818" s="1" t="s">
        <v>1</v>
      </c>
    </row>
    <row r="2819" spans="1:5" x14ac:dyDescent="0.25">
      <c r="A2819" s="13">
        <v>1026257756</v>
      </c>
      <c r="B2819" s="11" t="s">
        <v>83</v>
      </c>
      <c r="C2819" s="1" t="s">
        <v>2529</v>
      </c>
      <c r="D2819" s="1" t="s">
        <v>47</v>
      </c>
      <c r="E2819" s="1" t="s">
        <v>24</v>
      </c>
    </row>
    <row r="2820" spans="1:5" x14ac:dyDescent="0.25">
      <c r="A2820" s="13">
        <v>1026261012</v>
      </c>
      <c r="B2820" s="11" t="s">
        <v>84</v>
      </c>
      <c r="C2820" s="1" t="s">
        <v>2528</v>
      </c>
      <c r="D2820" s="1" t="s">
        <v>43</v>
      </c>
      <c r="E2820" s="1" t="s">
        <v>8</v>
      </c>
    </row>
    <row r="2821" spans="1:5" x14ac:dyDescent="0.25">
      <c r="A2821" s="13">
        <v>1026263264</v>
      </c>
      <c r="B2821" s="11" t="s">
        <v>83</v>
      </c>
      <c r="C2821" s="1" t="s">
        <v>2527</v>
      </c>
      <c r="D2821" s="1" t="s">
        <v>323</v>
      </c>
      <c r="E2821" s="1" t="s">
        <v>16</v>
      </c>
    </row>
    <row r="2822" spans="1:5" x14ac:dyDescent="0.25">
      <c r="A2822" s="13">
        <v>1026266762</v>
      </c>
      <c r="B2822" s="11" t="s">
        <v>116</v>
      </c>
      <c r="C2822" s="1" t="s">
        <v>2526</v>
      </c>
      <c r="D2822" s="1" t="s">
        <v>117</v>
      </c>
      <c r="E2822" s="1" t="s">
        <v>8</v>
      </c>
    </row>
    <row r="2823" spans="1:5" x14ac:dyDescent="0.25">
      <c r="A2823" s="13">
        <v>1026266822</v>
      </c>
      <c r="B2823" s="11" t="s">
        <v>83</v>
      </c>
      <c r="C2823" s="1" t="s">
        <v>2525</v>
      </c>
      <c r="D2823" s="1" t="s">
        <v>47</v>
      </c>
      <c r="E2823" s="1" t="s">
        <v>19</v>
      </c>
    </row>
    <row r="2824" spans="1:5" x14ac:dyDescent="0.25">
      <c r="A2824" s="13">
        <v>1026274533</v>
      </c>
      <c r="B2824" s="11" t="s">
        <v>84</v>
      </c>
      <c r="C2824" s="1" t="s">
        <v>3107</v>
      </c>
      <c r="D2824" s="1" t="s">
        <v>38</v>
      </c>
      <c r="E2824" s="1" t="s">
        <v>13</v>
      </c>
    </row>
    <row r="2825" spans="1:5" x14ac:dyDescent="0.25">
      <c r="A2825" s="13">
        <v>1026287580</v>
      </c>
      <c r="B2825" s="11" t="s">
        <v>116</v>
      </c>
      <c r="C2825" s="1" t="s">
        <v>3630</v>
      </c>
      <c r="D2825" s="1" t="s">
        <v>117</v>
      </c>
      <c r="E2825" s="1" t="s">
        <v>3190</v>
      </c>
    </row>
    <row r="2826" spans="1:5" x14ac:dyDescent="0.25">
      <c r="A2826" s="13">
        <v>1026288644</v>
      </c>
      <c r="B2826" s="11" t="s">
        <v>84</v>
      </c>
      <c r="C2826" s="1" t="s">
        <v>2524</v>
      </c>
      <c r="D2826" s="1" t="s">
        <v>38</v>
      </c>
      <c r="E2826" s="1" t="s">
        <v>9</v>
      </c>
    </row>
    <row r="2827" spans="1:5" x14ac:dyDescent="0.25">
      <c r="A2827" s="13">
        <v>1026289021</v>
      </c>
      <c r="B2827" s="11" t="s">
        <v>83</v>
      </c>
      <c r="C2827" s="1" t="s">
        <v>2523</v>
      </c>
      <c r="D2827" s="1" t="s">
        <v>47</v>
      </c>
      <c r="E2827" s="1" t="s">
        <v>27</v>
      </c>
    </row>
    <row r="2828" spans="1:5" x14ac:dyDescent="0.25">
      <c r="A2828" s="13">
        <v>1026290741</v>
      </c>
      <c r="B2828" s="11" t="s">
        <v>83</v>
      </c>
      <c r="C2828" s="1" t="s">
        <v>2522</v>
      </c>
      <c r="D2828" s="1" t="s">
        <v>1077</v>
      </c>
      <c r="E2828" s="1" t="s">
        <v>31</v>
      </c>
    </row>
    <row r="2829" spans="1:5" x14ac:dyDescent="0.25">
      <c r="A2829" s="13">
        <v>1026292056</v>
      </c>
      <c r="B2829" s="11" t="s">
        <v>84</v>
      </c>
      <c r="C2829" s="1" t="s">
        <v>2521</v>
      </c>
      <c r="D2829" s="1" t="s">
        <v>41</v>
      </c>
      <c r="E2829" s="1" t="s">
        <v>3071</v>
      </c>
    </row>
    <row r="2830" spans="1:5" x14ac:dyDescent="0.25">
      <c r="A2830" s="13">
        <v>1026292882</v>
      </c>
      <c r="B2830" s="11" t="s">
        <v>84</v>
      </c>
      <c r="C2830" s="1" t="s">
        <v>2520</v>
      </c>
      <c r="D2830" s="1" t="s">
        <v>41</v>
      </c>
      <c r="E2830" s="1" t="s">
        <v>17</v>
      </c>
    </row>
    <row r="2831" spans="1:5" x14ac:dyDescent="0.25">
      <c r="A2831" s="13">
        <v>1026293347</v>
      </c>
      <c r="B2831" s="11" t="s">
        <v>84</v>
      </c>
      <c r="C2831" s="1" t="s">
        <v>3671</v>
      </c>
      <c r="D2831" s="1" t="s">
        <v>79</v>
      </c>
      <c r="E2831" s="1" t="s">
        <v>3595</v>
      </c>
    </row>
    <row r="2832" spans="1:5" x14ac:dyDescent="0.25">
      <c r="A2832" s="13">
        <v>1026298299</v>
      </c>
      <c r="B2832" s="11" t="s">
        <v>83</v>
      </c>
      <c r="C2832" s="1" t="s">
        <v>2519</v>
      </c>
      <c r="D2832" s="1" t="s">
        <v>48</v>
      </c>
      <c r="E2832" s="1" t="s">
        <v>19</v>
      </c>
    </row>
    <row r="2833" spans="1:5" x14ac:dyDescent="0.25">
      <c r="A2833" s="13">
        <v>1026301717</v>
      </c>
      <c r="B2833" s="11" t="s">
        <v>84</v>
      </c>
      <c r="C2833" s="1" t="s">
        <v>2518</v>
      </c>
      <c r="D2833" s="1" t="s">
        <v>36</v>
      </c>
      <c r="E2833" s="1" t="s">
        <v>17</v>
      </c>
    </row>
    <row r="2834" spans="1:5" x14ac:dyDescent="0.25">
      <c r="A2834" s="13">
        <v>1026305440</v>
      </c>
      <c r="B2834" s="11" t="s">
        <v>84</v>
      </c>
      <c r="C2834" s="1" t="s">
        <v>3458</v>
      </c>
      <c r="D2834" s="1" t="s">
        <v>36</v>
      </c>
      <c r="E2834" s="1" t="s">
        <v>3071</v>
      </c>
    </row>
    <row r="2835" spans="1:5" x14ac:dyDescent="0.25">
      <c r="A2835" s="13">
        <v>1026307192</v>
      </c>
      <c r="B2835" s="11" t="s">
        <v>83</v>
      </c>
      <c r="C2835" s="1" t="s">
        <v>2517</v>
      </c>
      <c r="D2835" s="1" t="s">
        <v>57</v>
      </c>
      <c r="E2835" s="1" t="s">
        <v>23</v>
      </c>
    </row>
    <row r="2836" spans="1:5" x14ac:dyDescent="0.25">
      <c r="A2836" s="13">
        <v>1026550380</v>
      </c>
      <c r="B2836" s="11" t="s">
        <v>83</v>
      </c>
      <c r="C2836" s="1" t="s">
        <v>3083</v>
      </c>
      <c r="D2836" s="1" t="s">
        <v>44</v>
      </c>
      <c r="E2836" s="1" t="s">
        <v>16</v>
      </c>
    </row>
    <row r="2837" spans="1:5" x14ac:dyDescent="0.25">
      <c r="A2837" s="13">
        <v>1026553970</v>
      </c>
      <c r="B2837" s="11" t="s">
        <v>116</v>
      </c>
      <c r="C2837" s="1" t="s">
        <v>3631</v>
      </c>
      <c r="D2837" s="1" t="s">
        <v>117</v>
      </c>
      <c r="E2837" s="1" t="s">
        <v>12</v>
      </c>
    </row>
    <row r="2838" spans="1:5" x14ac:dyDescent="0.25">
      <c r="A2838" s="13">
        <v>1026568859</v>
      </c>
      <c r="B2838" s="11" t="s">
        <v>83</v>
      </c>
      <c r="C2838" s="1" t="s">
        <v>2516</v>
      </c>
      <c r="D2838" s="1" t="s">
        <v>79</v>
      </c>
      <c r="E2838" s="1" t="s">
        <v>19</v>
      </c>
    </row>
    <row r="2839" spans="1:5" x14ac:dyDescent="0.25">
      <c r="A2839" s="13">
        <v>1026571374</v>
      </c>
      <c r="B2839" s="11" t="s">
        <v>84</v>
      </c>
      <c r="C2839" s="1" t="s">
        <v>2515</v>
      </c>
      <c r="D2839" s="1" t="s">
        <v>36</v>
      </c>
      <c r="E2839" s="1" t="s">
        <v>17</v>
      </c>
    </row>
    <row r="2840" spans="1:5" x14ac:dyDescent="0.25">
      <c r="A2840" s="13">
        <v>1026574676</v>
      </c>
      <c r="B2840" s="11" t="s">
        <v>83</v>
      </c>
      <c r="C2840" s="1" t="s">
        <v>2514</v>
      </c>
      <c r="D2840" s="1" t="s">
        <v>100</v>
      </c>
      <c r="E2840" s="1" t="s">
        <v>21</v>
      </c>
    </row>
    <row r="2841" spans="1:5" x14ac:dyDescent="0.25">
      <c r="A2841" s="13">
        <v>1026577198</v>
      </c>
      <c r="B2841" s="11" t="s">
        <v>83</v>
      </c>
      <c r="C2841" s="1" t="s">
        <v>2513</v>
      </c>
      <c r="D2841" s="1" t="s">
        <v>36</v>
      </c>
      <c r="E2841" s="1" t="s">
        <v>21</v>
      </c>
    </row>
    <row r="2842" spans="1:5" x14ac:dyDescent="0.25">
      <c r="A2842" s="13">
        <v>1026577742</v>
      </c>
      <c r="B2842" s="11" t="s">
        <v>83</v>
      </c>
      <c r="C2842" s="1" t="s">
        <v>2512</v>
      </c>
      <c r="D2842" s="1" t="s">
        <v>59</v>
      </c>
      <c r="E2842" s="1" t="s">
        <v>19</v>
      </c>
    </row>
    <row r="2843" spans="1:5" x14ac:dyDescent="0.25">
      <c r="A2843" s="13">
        <v>1026580236</v>
      </c>
      <c r="B2843" s="11" t="s">
        <v>84</v>
      </c>
      <c r="C2843" s="1" t="s">
        <v>2511</v>
      </c>
      <c r="D2843" s="1" t="s">
        <v>38</v>
      </c>
      <c r="E2843" s="1" t="s">
        <v>541</v>
      </c>
    </row>
    <row r="2844" spans="1:5" x14ac:dyDescent="0.25">
      <c r="A2844" s="13">
        <v>1026585361</v>
      </c>
      <c r="B2844" s="11" t="s">
        <v>83</v>
      </c>
      <c r="C2844" s="1" t="s">
        <v>2510</v>
      </c>
      <c r="D2844" s="1" t="s">
        <v>47</v>
      </c>
      <c r="E2844" s="1" t="s">
        <v>20</v>
      </c>
    </row>
    <row r="2845" spans="1:5" x14ac:dyDescent="0.25">
      <c r="A2845" s="13">
        <v>1026597443</v>
      </c>
      <c r="B2845" s="11" t="s">
        <v>83</v>
      </c>
      <c r="C2845" s="1" t="s">
        <v>3009</v>
      </c>
      <c r="D2845" s="1" t="s">
        <v>290</v>
      </c>
      <c r="E2845" s="1" t="s">
        <v>23</v>
      </c>
    </row>
    <row r="2846" spans="1:5" x14ac:dyDescent="0.25">
      <c r="A2846" s="13">
        <v>1026599257</v>
      </c>
      <c r="B2846" s="11" t="s">
        <v>83</v>
      </c>
      <c r="C2846" s="1" t="s">
        <v>3106</v>
      </c>
      <c r="D2846" s="1" t="s">
        <v>3632</v>
      </c>
      <c r="E2846" s="1" t="s">
        <v>237</v>
      </c>
    </row>
    <row r="2847" spans="1:5" x14ac:dyDescent="0.25">
      <c r="A2847" s="13">
        <v>1026599957</v>
      </c>
      <c r="B2847" s="11" t="s">
        <v>84</v>
      </c>
      <c r="C2847" s="1" t="s">
        <v>3459</v>
      </c>
      <c r="D2847" s="1" t="s">
        <v>79</v>
      </c>
      <c r="E2847" s="1" t="s">
        <v>1</v>
      </c>
    </row>
    <row r="2848" spans="1:5" x14ac:dyDescent="0.25">
      <c r="A2848" s="13">
        <v>1027521770</v>
      </c>
      <c r="B2848" s="11" t="s">
        <v>84</v>
      </c>
      <c r="C2848" s="1" t="s">
        <v>3460</v>
      </c>
      <c r="D2848" s="1" t="s">
        <v>36</v>
      </c>
      <c r="E2848" s="1" t="s">
        <v>1</v>
      </c>
    </row>
    <row r="2849" spans="1:5" x14ac:dyDescent="0.25">
      <c r="A2849" s="13">
        <v>1028481373</v>
      </c>
      <c r="B2849" s="11" t="s">
        <v>84</v>
      </c>
      <c r="C2849" s="1" t="s">
        <v>3461</v>
      </c>
      <c r="D2849" s="1" t="s">
        <v>36</v>
      </c>
      <c r="E2849" s="1" t="s">
        <v>1</v>
      </c>
    </row>
    <row r="2850" spans="1:5" x14ac:dyDescent="0.25">
      <c r="A2850" s="13">
        <v>1028660521</v>
      </c>
      <c r="B2850" s="11" t="s">
        <v>84</v>
      </c>
      <c r="C2850" s="1" t="s">
        <v>3462</v>
      </c>
      <c r="D2850" s="1" t="s">
        <v>36</v>
      </c>
      <c r="E2850" s="1" t="s">
        <v>1</v>
      </c>
    </row>
    <row r="2851" spans="1:5" x14ac:dyDescent="0.25">
      <c r="A2851" s="13">
        <v>1028860199</v>
      </c>
      <c r="B2851" s="11" t="s">
        <v>84</v>
      </c>
      <c r="C2851" s="1" t="s">
        <v>3073</v>
      </c>
      <c r="D2851" s="1" t="s">
        <v>3131</v>
      </c>
      <c r="E2851" s="1" t="s">
        <v>1</v>
      </c>
    </row>
    <row r="2852" spans="1:5" x14ac:dyDescent="0.25">
      <c r="A2852" s="13">
        <v>1028881056</v>
      </c>
      <c r="B2852" s="11" t="s">
        <v>83</v>
      </c>
      <c r="C2852" s="1" t="s">
        <v>3159</v>
      </c>
      <c r="D2852" s="1" t="s">
        <v>79</v>
      </c>
      <c r="E2852" s="1" t="s">
        <v>16</v>
      </c>
    </row>
    <row r="2853" spans="1:5" x14ac:dyDescent="0.25">
      <c r="A2853" s="13">
        <v>1030521494</v>
      </c>
      <c r="B2853" s="11" t="s">
        <v>116</v>
      </c>
      <c r="C2853" s="1" t="s">
        <v>2508</v>
      </c>
      <c r="D2853" s="1" t="s">
        <v>117</v>
      </c>
      <c r="E2853" s="1" t="s">
        <v>263</v>
      </c>
    </row>
    <row r="2854" spans="1:5" x14ac:dyDescent="0.25">
      <c r="A2854" s="13">
        <v>1030524201</v>
      </c>
      <c r="B2854" s="11" t="s">
        <v>116</v>
      </c>
      <c r="C2854" s="1" t="s">
        <v>2507</v>
      </c>
      <c r="D2854" s="1" t="s">
        <v>151</v>
      </c>
      <c r="E2854" s="1" t="s">
        <v>152</v>
      </c>
    </row>
    <row r="2855" spans="1:5" x14ac:dyDescent="0.25">
      <c r="A2855" s="13">
        <v>1030529666</v>
      </c>
      <c r="B2855" s="11" t="s">
        <v>83</v>
      </c>
      <c r="C2855" s="1" t="s">
        <v>2506</v>
      </c>
      <c r="D2855" s="1" t="s">
        <v>55</v>
      </c>
      <c r="E2855" s="1" t="s">
        <v>16</v>
      </c>
    </row>
    <row r="2856" spans="1:5" x14ac:dyDescent="0.25">
      <c r="A2856" s="13">
        <v>1030530037</v>
      </c>
      <c r="B2856" s="11" t="s">
        <v>83</v>
      </c>
      <c r="C2856" s="1" t="s">
        <v>2505</v>
      </c>
      <c r="D2856" s="1" t="s">
        <v>47</v>
      </c>
      <c r="E2856" s="1" t="s">
        <v>16</v>
      </c>
    </row>
    <row r="2857" spans="1:5" x14ac:dyDescent="0.25">
      <c r="A2857" s="13">
        <v>1030533184</v>
      </c>
      <c r="B2857" s="11" t="s">
        <v>83</v>
      </c>
      <c r="C2857" s="1" t="s">
        <v>2503</v>
      </c>
      <c r="D2857" s="1" t="s">
        <v>2504</v>
      </c>
      <c r="E2857" s="1" t="s">
        <v>4</v>
      </c>
    </row>
    <row r="2858" spans="1:5" x14ac:dyDescent="0.25">
      <c r="A2858" s="13">
        <v>1030533291</v>
      </c>
      <c r="B2858" s="11" t="s">
        <v>116</v>
      </c>
      <c r="C2858" s="1" t="s">
        <v>2502</v>
      </c>
      <c r="D2858" s="1" t="s">
        <v>117</v>
      </c>
      <c r="E2858" s="1" t="s">
        <v>10</v>
      </c>
    </row>
    <row r="2859" spans="1:5" x14ac:dyDescent="0.25">
      <c r="A2859" s="13">
        <v>1030535768</v>
      </c>
      <c r="B2859" s="11" t="s">
        <v>84</v>
      </c>
      <c r="C2859" s="1" t="s">
        <v>2501</v>
      </c>
      <c r="D2859" s="1" t="s">
        <v>38</v>
      </c>
      <c r="E2859" s="1" t="s">
        <v>5</v>
      </c>
    </row>
    <row r="2860" spans="1:5" x14ac:dyDescent="0.25">
      <c r="A2860" s="13">
        <v>1030535980</v>
      </c>
      <c r="B2860" s="11" t="s">
        <v>84</v>
      </c>
      <c r="C2860" s="1" t="s">
        <v>2500</v>
      </c>
      <c r="D2860" s="1" t="s">
        <v>381</v>
      </c>
      <c r="E2860" s="1" t="s">
        <v>26</v>
      </c>
    </row>
    <row r="2861" spans="1:5" x14ac:dyDescent="0.25">
      <c r="A2861" s="13">
        <v>1030537113</v>
      </c>
      <c r="B2861" s="11" t="s">
        <v>116</v>
      </c>
      <c r="C2861" s="1" t="s">
        <v>3463</v>
      </c>
      <c r="D2861" s="1" t="s">
        <v>117</v>
      </c>
      <c r="E2861" s="1" t="s">
        <v>3118</v>
      </c>
    </row>
    <row r="2862" spans="1:5" x14ac:dyDescent="0.25">
      <c r="A2862" s="13">
        <v>1030540063</v>
      </c>
      <c r="B2862" s="11" t="s">
        <v>83</v>
      </c>
      <c r="C2862" s="1" t="s">
        <v>2499</v>
      </c>
      <c r="D2862" s="1" t="s">
        <v>80</v>
      </c>
      <c r="E2862" s="1" t="s">
        <v>20</v>
      </c>
    </row>
    <row r="2863" spans="1:5" x14ac:dyDescent="0.25">
      <c r="A2863" s="13">
        <v>1030540723</v>
      </c>
      <c r="B2863" s="11" t="s">
        <v>83</v>
      </c>
      <c r="C2863" s="1" t="s">
        <v>2498</v>
      </c>
      <c r="D2863" s="1" t="s">
        <v>47</v>
      </c>
      <c r="E2863" s="1" t="s">
        <v>16</v>
      </c>
    </row>
    <row r="2864" spans="1:5" x14ac:dyDescent="0.25">
      <c r="A2864" s="13">
        <v>1030541272</v>
      </c>
      <c r="B2864" s="11" t="s">
        <v>83</v>
      </c>
      <c r="C2864" s="1" t="s">
        <v>2497</v>
      </c>
      <c r="D2864" s="1" t="s">
        <v>2939</v>
      </c>
      <c r="E2864" s="1" t="s">
        <v>196</v>
      </c>
    </row>
    <row r="2865" spans="1:5" x14ac:dyDescent="0.25">
      <c r="A2865" s="13">
        <v>1030553258</v>
      </c>
      <c r="B2865" s="11" t="s">
        <v>116</v>
      </c>
      <c r="C2865" s="1" t="s">
        <v>3464</v>
      </c>
      <c r="D2865" s="1" t="s">
        <v>117</v>
      </c>
      <c r="E2865" s="1" t="s">
        <v>3211</v>
      </c>
    </row>
    <row r="2866" spans="1:5" x14ac:dyDescent="0.25">
      <c r="A2866" s="13">
        <v>1030554668</v>
      </c>
      <c r="B2866" s="11" t="s">
        <v>84</v>
      </c>
      <c r="C2866" s="1" t="s">
        <v>2496</v>
      </c>
      <c r="D2866" s="1" t="s">
        <v>47</v>
      </c>
      <c r="E2866" s="1" t="s">
        <v>17</v>
      </c>
    </row>
    <row r="2867" spans="1:5" x14ac:dyDescent="0.25">
      <c r="A2867" s="13">
        <v>1030556758</v>
      </c>
      <c r="B2867" s="11" t="s">
        <v>83</v>
      </c>
      <c r="C2867" s="1" t="s">
        <v>2495</v>
      </c>
      <c r="D2867" s="1" t="s">
        <v>47</v>
      </c>
      <c r="E2867" s="1" t="s">
        <v>196</v>
      </c>
    </row>
    <row r="2868" spans="1:5" x14ac:dyDescent="0.25">
      <c r="A2868" s="13">
        <v>1030561137</v>
      </c>
      <c r="B2868" s="11" t="s">
        <v>83</v>
      </c>
      <c r="C2868" s="1" t="s">
        <v>2494</v>
      </c>
      <c r="D2868" s="1" t="s">
        <v>47</v>
      </c>
      <c r="E2868" s="1" t="s">
        <v>16</v>
      </c>
    </row>
    <row r="2869" spans="1:5" x14ac:dyDescent="0.25">
      <c r="A2869" s="13">
        <v>1030565700</v>
      </c>
      <c r="B2869" s="11" t="s">
        <v>84</v>
      </c>
      <c r="C2869" s="1" t="s">
        <v>2493</v>
      </c>
      <c r="D2869" s="1" t="s">
        <v>38</v>
      </c>
      <c r="E2869" s="1" t="s">
        <v>168</v>
      </c>
    </row>
    <row r="2870" spans="1:5" x14ac:dyDescent="0.25">
      <c r="A2870" s="13">
        <v>1030567635</v>
      </c>
      <c r="B2870" s="11" t="s">
        <v>83</v>
      </c>
      <c r="C2870" s="1" t="s">
        <v>3089</v>
      </c>
      <c r="D2870" s="1" t="s">
        <v>96</v>
      </c>
      <c r="E2870" s="1" t="s">
        <v>248</v>
      </c>
    </row>
    <row r="2871" spans="1:5" x14ac:dyDescent="0.25">
      <c r="A2871" s="13">
        <v>1030575769</v>
      </c>
      <c r="B2871" s="11" t="s">
        <v>83</v>
      </c>
      <c r="C2871" s="1" t="s">
        <v>2492</v>
      </c>
      <c r="D2871" s="1" t="s">
        <v>3139</v>
      </c>
      <c r="E2871" s="1" t="s">
        <v>24</v>
      </c>
    </row>
    <row r="2872" spans="1:5" x14ac:dyDescent="0.25">
      <c r="A2872" s="13">
        <v>1030580869</v>
      </c>
      <c r="B2872" s="11" t="s">
        <v>83</v>
      </c>
      <c r="C2872" s="1" t="s">
        <v>2491</v>
      </c>
      <c r="D2872" s="1" t="s">
        <v>47</v>
      </c>
      <c r="E2872" s="1" t="s">
        <v>26</v>
      </c>
    </row>
    <row r="2873" spans="1:5" x14ac:dyDescent="0.25">
      <c r="A2873" s="13">
        <v>1030594167</v>
      </c>
      <c r="B2873" s="11" t="s">
        <v>83</v>
      </c>
      <c r="C2873" s="1" t="s">
        <v>2490</v>
      </c>
      <c r="D2873" s="1" t="s">
        <v>44</v>
      </c>
      <c r="E2873" s="1" t="s">
        <v>16</v>
      </c>
    </row>
    <row r="2874" spans="1:5" x14ac:dyDescent="0.25">
      <c r="A2874" s="13">
        <v>1030600037</v>
      </c>
      <c r="B2874" s="11" t="s">
        <v>84</v>
      </c>
      <c r="C2874" s="1" t="s">
        <v>3465</v>
      </c>
      <c r="D2874" s="1" t="s">
        <v>36</v>
      </c>
      <c r="E2874" s="1" t="s">
        <v>1</v>
      </c>
    </row>
    <row r="2875" spans="1:5" x14ac:dyDescent="0.25">
      <c r="A2875" s="13">
        <v>1030602354</v>
      </c>
      <c r="B2875" s="11" t="s">
        <v>83</v>
      </c>
      <c r="C2875" s="1" t="s">
        <v>2489</v>
      </c>
      <c r="D2875" s="1" t="s">
        <v>47</v>
      </c>
      <c r="E2875" s="1" t="s">
        <v>19</v>
      </c>
    </row>
    <row r="2876" spans="1:5" x14ac:dyDescent="0.25">
      <c r="A2876" s="13">
        <v>1030610411</v>
      </c>
      <c r="B2876" s="11" t="s">
        <v>84</v>
      </c>
      <c r="C2876" s="1" t="s">
        <v>3466</v>
      </c>
      <c r="D2876" s="1" t="s">
        <v>38</v>
      </c>
      <c r="E2876" s="1" t="s">
        <v>10</v>
      </c>
    </row>
    <row r="2877" spans="1:5" x14ac:dyDescent="0.25">
      <c r="A2877" s="13">
        <v>1030611663</v>
      </c>
      <c r="B2877" s="11" t="s">
        <v>83</v>
      </c>
      <c r="C2877" s="1" t="s">
        <v>2488</v>
      </c>
      <c r="D2877" s="1" t="s">
        <v>47</v>
      </c>
      <c r="E2877" s="1" t="s">
        <v>29</v>
      </c>
    </row>
    <row r="2878" spans="1:5" x14ac:dyDescent="0.25">
      <c r="A2878" s="13">
        <v>1030611777</v>
      </c>
      <c r="B2878" s="11" t="s">
        <v>83</v>
      </c>
      <c r="C2878" s="1" t="s">
        <v>2487</v>
      </c>
      <c r="D2878" s="1" t="s">
        <v>47</v>
      </c>
      <c r="E2878" s="1" t="s">
        <v>19</v>
      </c>
    </row>
    <row r="2879" spans="1:5" x14ac:dyDescent="0.25">
      <c r="A2879" s="13">
        <v>1030615000</v>
      </c>
      <c r="B2879" s="11" t="s">
        <v>84</v>
      </c>
      <c r="C2879" s="1" t="s">
        <v>2486</v>
      </c>
      <c r="D2879" s="1" t="s">
        <v>3158</v>
      </c>
      <c r="E2879" s="1" t="s">
        <v>3071</v>
      </c>
    </row>
    <row r="2880" spans="1:5" x14ac:dyDescent="0.25">
      <c r="A2880" s="13">
        <v>1030615413</v>
      </c>
      <c r="B2880" s="11" t="s">
        <v>83</v>
      </c>
      <c r="C2880" s="1" t="s">
        <v>3467</v>
      </c>
      <c r="D2880" s="1" t="s">
        <v>56</v>
      </c>
      <c r="E2880" s="1" t="s">
        <v>4</v>
      </c>
    </row>
    <row r="2881" spans="1:5" x14ac:dyDescent="0.25">
      <c r="A2881" s="13">
        <v>1030615821</v>
      </c>
      <c r="B2881" s="11" t="s">
        <v>83</v>
      </c>
      <c r="C2881" s="1" t="s">
        <v>2485</v>
      </c>
      <c r="D2881" s="1" t="s">
        <v>47</v>
      </c>
      <c r="E2881" s="1" t="s">
        <v>17</v>
      </c>
    </row>
    <row r="2882" spans="1:5" x14ac:dyDescent="0.25">
      <c r="A2882" s="13">
        <v>1030619981</v>
      </c>
      <c r="B2882" s="11" t="s">
        <v>83</v>
      </c>
      <c r="C2882" s="1" t="s">
        <v>3468</v>
      </c>
      <c r="D2882" s="1" t="s">
        <v>57</v>
      </c>
      <c r="E2882" s="1" t="s">
        <v>23</v>
      </c>
    </row>
    <row r="2883" spans="1:5" x14ac:dyDescent="0.25">
      <c r="A2883" s="13">
        <v>1030621325</v>
      </c>
      <c r="B2883" s="11" t="s">
        <v>84</v>
      </c>
      <c r="C2883" s="1" t="s">
        <v>3469</v>
      </c>
      <c r="D2883" s="1" t="s">
        <v>38</v>
      </c>
      <c r="E2883" s="1" t="s">
        <v>8</v>
      </c>
    </row>
    <row r="2884" spans="1:5" x14ac:dyDescent="0.25">
      <c r="A2884" s="13">
        <v>1030622393</v>
      </c>
      <c r="B2884" s="11" t="s">
        <v>83</v>
      </c>
      <c r="C2884" s="1" t="s">
        <v>2484</v>
      </c>
      <c r="D2884" s="1" t="s">
        <v>47</v>
      </c>
      <c r="E2884" s="1" t="s">
        <v>1531</v>
      </c>
    </row>
    <row r="2885" spans="1:5" x14ac:dyDescent="0.25">
      <c r="A2885" s="13">
        <v>1030628155</v>
      </c>
      <c r="B2885" s="11" t="s">
        <v>83</v>
      </c>
      <c r="C2885" s="1" t="s">
        <v>2483</v>
      </c>
      <c r="D2885" s="1" t="s">
        <v>47</v>
      </c>
      <c r="E2885" s="1" t="s">
        <v>26</v>
      </c>
    </row>
    <row r="2886" spans="1:5" x14ac:dyDescent="0.25">
      <c r="A2886" s="13">
        <v>1030629389</v>
      </c>
      <c r="B2886" s="11" t="s">
        <v>83</v>
      </c>
      <c r="C2886" s="1" t="s">
        <v>2482</v>
      </c>
      <c r="D2886" s="1" t="s">
        <v>47</v>
      </c>
      <c r="E2886" s="1" t="s">
        <v>16</v>
      </c>
    </row>
    <row r="2887" spans="1:5" x14ac:dyDescent="0.25">
      <c r="A2887" s="13">
        <v>1030632397</v>
      </c>
      <c r="B2887" s="11" t="s">
        <v>84</v>
      </c>
      <c r="C2887" s="1" t="s">
        <v>2481</v>
      </c>
      <c r="D2887" s="1" t="s">
        <v>43</v>
      </c>
      <c r="E2887" s="1" t="s">
        <v>12</v>
      </c>
    </row>
    <row r="2888" spans="1:5" x14ac:dyDescent="0.25">
      <c r="A2888" s="13">
        <v>1030638670</v>
      </c>
      <c r="B2888" s="11" t="s">
        <v>84</v>
      </c>
      <c r="C2888" s="1" t="s">
        <v>2480</v>
      </c>
      <c r="D2888" s="1" t="s">
        <v>38</v>
      </c>
      <c r="E2888" s="1" t="s">
        <v>127</v>
      </c>
    </row>
    <row r="2889" spans="1:5" x14ac:dyDescent="0.25">
      <c r="A2889" s="13">
        <v>1030642110</v>
      </c>
      <c r="B2889" s="11" t="s">
        <v>83</v>
      </c>
      <c r="C2889" s="1" t="s">
        <v>3470</v>
      </c>
      <c r="D2889" s="1" t="s">
        <v>36</v>
      </c>
      <c r="E2889" s="1" t="s">
        <v>24</v>
      </c>
    </row>
    <row r="2890" spans="1:5" x14ac:dyDescent="0.25">
      <c r="A2890" s="13">
        <v>1030642795</v>
      </c>
      <c r="B2890" s="11" t="s">
        <v>84</v>
      </c>
      <c r="C2890" s="1" t="s">
        <v>2479</v>
      </c>
      <c r="D2890" s="1" t="s">
        <v>47</v>
      </c>
      <c r="E2890" s="1" t="s">
        <v>17</v>
      </c>
    </row>
    <row r="2891" spans="1:5" x14ac:dyDescent="0.25">
      <c r="A2891" s="13">
        <v>1030648459</v>
      </c>
      <c r="B2891" s="11" t="s">
        <v>84</v>
      </c>
      <c r="C2891" s="1" t="s">
        <v>2478</v>
      </c>
      <c r="D2891" s="1" t="s">
        <v>38</v>
      </c>
      <c r="E2891" s="1" t="s">
        <v>328</v>
      </c>
    </row>
    <row r="2892" spans="1:5" x14ac:dyDescent="0.25">
      <c r="A2892" s="13">
        <v>1030648523</v>
      </c>
      <c r="B2892" s="11" t="s">
        <v>116</v>
      </c>
      <c r="C2892" s="1" t="s">
        <v>2477</v>
      </c>
      <c r="D2892" s="1" t="s">
        <v>117</v>
      </c>
      <c r="E2892" s="1" t="s">
        <v>8</v>
      </c>
    </row>
    <row r="2893" spans="1:5" x14ac:dyDescent="0.25">
      <c r="A2893" s="13">
        <v>1030653174</v>
      </c>
      <c r="B2893" s="11" t="s">
        <v>84</v>
      </c>
      <c r="C2893" s="1" t="s">
        <v>2476</v>
      </c>
      <c r="D2893" s="1" t="s">
        <v>3471</v>
      </c>
      <c r="E2893" s="1" t="s">
        <v>3071</v>
      </c>
    </row>
    <row r="2894" spans="1:5" x14ac:dyDescent="0.25">
      <c r="A2894" s="13">
        <v>1030654479</v>
      </c>
      <c r="B2894" s="11" t="s">
        <v>84</v>
      </c>
      <c r="C2894" s="1" t="s">
        <v>2475</v>
      </c>
      <c r="D2894" s="1" t="s">
        <v>47</v>
      </c>
      <c r="E2894" s="1" t="s">
        <v>22</v>
      </c>
    </row>
    <row r="2895" spans="1:5" x14ac:dyDescent="0.25">
      <c r="A2895" s="13">
        <v>1030661524</v>
      </c>
      <c r="B2895" s="11" t="s">
        <v>83</v>
      </c>
      <c r="C2895" s="1" t="s">
        <v>3472</v>
      </c>
      <c r="D2895" s="1" t="s">
        <v>56</v>
      </c>
      <c r="E2895" s="1" t="s">
        <v>4</v>
      </c>
    </row>
    <row r="2896" spans="1:5" x14ac:dyDescent="0.25">
      <c r="A2896" s="13">
        <v>1030666692</v>
      </c>
      <c r="B2896" s="11" t="s">
        <v>83</v>
      </c>
      <c r="C2896" s="1" t="s">
        <v>2474</v>
      </c>
      <c r="D2896" s="1" t="s">
        <v>47</v>
      </c>
      <c r="E2896" s="1" t="s">
        <v>16</v>
      </c>
    </row>
    <row r="2897" spans="1:5" x14ac:dyDescent="0.25">
      <c r="A2897" s="13">
        <v>1030669986</v>
      </c>
      <c r="B2897" s="11" t="s">
        <v>84</v>
      </c>
      <c r="C2897" s="1" t="s">
        <v>3156</v>
      </c>
      <c r="D2897" s="1" t="s">
        <v>3158</v>
      </c>
      <c r="E2897" s="1" t="s">
        <v>3071</v>
      </c>
    </row>
    <row r="2898" spans="1:5" x14ac:dyDescent="0.25">
      <c r="A2898" s="13">
        <v>1030671882</v>
      </c>
      <c r="B2898" s="11" t="s">
        <v>83</v>
      </c>
      <c r="C2898" s="1" t="s">
        <v>2473</v>
      </c>
      <c r="D2898" s="1" t="s">
        <v>3088</v>
      </c>
      <c r="E2898" s="1" t="s">
        <v>24</v>
      </c>
    </row>
    <row r="2899" spans="1:5" x14ac:dyDescent="0.25">
      <c r="A2899" s="13">
        <v>1030672051</v>
      </c>
      <c r="B2899" s="11" t="s">
        <v>84</v>
      </c>
      <c r="C2899" s="1" t="s">
        <v>2471</v>
      </c>
      <c r="D2899" s="1" t="s">
        <v>2472</v>
      </c>
      <c r="E2899" s="1" t="s">
        <v>17</v>
      </c>
    </row>
    <row r="2900" spans="1:5" x14ac:dyDescent="0.25">
      <c r="A2900" s="13">
        <v>1030681457</v>
      </c>
      <c r="B2900" s="11" t="s">
        <v>84</v>
      </c>
      <c r="C2900" s="1" t="s">
        <v>2470</v>
      </c>
      <c r="D2900" s="1" t="s">
        <v>46</v>
      </c>
      <c r="E2900" s="1" t="s">
        <v>1</v>
      </c>
    </row>
    <row r="2901" spans="1:5" x14ac:dyDescent="0.25">
      <c r="A2901" s="13">
        <v>1030685985</v>
      </c>
      <c r="B2901" s="11" t="s">
        <v>84</v>
      </c>
      <c r="C2901" s="1" t="s">
        <v>2469</v>
      </c>
      <c r="D2901" s="1" t="s">
        <v>36</v>
      </c>
      <c r="E2901" s="1" t="s">
        <v>17</v>
      </c>
    </row>
    <row r="2902" spans="1:5" x14ac:dyDescent="0.25">
      <c r="A2902" s="13">
        <v>1030692034</v>
      </c>
      <c r="B2902" s="11" t="s">
        <v>84</v>
      </c>
      <c r="C2902" s="1" t="s">
        <v>2468</v>
      </c>
      <c r="D2902" s="1" t="s">
        <v>47</v>
      </c>
      <c r="E2902" s="1" t="s">
        <v>22</v>
      </c>
    </row>
    <row r="2903" spans="1:5" x14ac:dyDescent="0.25">
      <c r="A2903" s="13">
        <v>1030694355</v>
      </c>
      <c r="B2903" s="11" t="s">
        <v>83</v>
      </c>
      <c r="C2903" s="1" t="s">
        <v>3105</v>
      </c>
      <c r="D2903" s="1" t="s">
        <v>2310</v>
      </c>
      <c r="E2903" s="1" t="s">
        <v>22</v>
      </c>
    </row>
    <row r="2904" spans="1:5" x14ac:dyDescent="0.25">
      <c r="A2904" s="13">
        <v>1030695578</v>
      </c>
      <c r="B2904" s="11" t="s">
        <v>83</v>
      </c>
      <c r="C2904" s="1" t="s">
        <v>2467</v>
      </c>
      <c r="D2904" s="1" t="s">
        <v>47</v>
      </c>
      <c r="E2904" s="1" t="s">
        <v>16</v>
      </c>
    </row>
    <row r="2905" spans="1:5" x14ac:dyDescent="0.25">
      <c r="A2905" s="13">
        <v>1030696448</v>
      </c>
      <c r="B2905" s="11" t="s">
        <v>84</v>
      </c>
      <c r="C2905" s="1" t="s">
        <v>3058</v>
      </c>
      <c r="D2905" s="1" t="s">
        <v>3473</v>
      </c>
      <c r="E2905" s="1" t="s">
        <v>1</v>
      </c>
    </row>
    <row r="2906" spans="1:5" x14ac:dyDescent="0.25">
      <c r="A2906" s="13">
        <v>1030696672</v>
      </c>
      <c r="B2906" s="11" t="s">
        <v>83</v>
      </c>
      <c r="C2906" s="1" t="s">
        <v>3690</v>
      </c>
      <c r="D2906" s="1" t="s">
        <v>36</v>
      </c>
      <c r="E2906" s="1" t="s">
        <v>24</v>
      </c>
    </row>
    <row r="2907" spans="1:5" x14ac:dyDescent="0.25">
      <c r="A2907" s="13">
        <v>1030700020</v>
      </c>
      <c r="B2907" s="11" t="s">
        <v>83</v>
      </c>
      <c r="C2907" s="1" t="s">
        <v>2466</v>
      </c>
      <c r="D2907" s="1" t="s">
        <v>47</v>
      </c>
      <c r="E2907" s="1" t="s">
        <v>16</v>
      </c>
    </row>
    <row r="2908" spans="1:5" x14ac:dyDescent="0.25">
      <c r="A2908" s="13">
        <v>1030701015</v>
      </c>
      <c r="B2908" s="11" t="s">
        <v>83</v>
      </c>
      <c r="C2908" s="1" t="s">
        <v>3474</v>
      </c>
      <c r="D2908" s="1" t="s">
        <v>48</v>
      </c>
      <c r="E2908" s="1" t="s">
        <v>19</v>
      </c>
    </row>
    <row r="2909" spans="1:5" x14ac:dyDescent="0.25">
      <c r="A2909" s="13">
        <v>1031121657</v>
      </c>
      <c r="B2909" s="11" t="s">
        <v>84</v>
      </c>
      <c r="C2909" s="1" t="s">
        <v>3475</v>
      </c>
      <c r="D2909" s="1" t="s">
        <v>3141</v>
      </c>
      <c r="E2909" s="1" t="s">
        <v>1</v>
      </c>
    </row>
    <row r="2910" spans="1:5" x14ac:dyDescent="0.25">
      <c r="A2910" s="13">
        <v>1031126773</v>
      </c>
      <c r="B2910" s="11" t="s">
        <v>83</v>
      </c>
      <c r="C2910" s="1" t="s">
        <v>2465</v>
      </c>
      <c r="D2910" s="1" t="s">
        <v>53</v>
      </c>
      <c r="E2910" s="1" t="s">
        <v>4</v>
      </c>
    </row>
    <row r="2911" spans="1:5" x14ac:dyDescent="0.25">
      <c r="A2911" s="13">
        <v>1031128330</v>
      </c>
      <c r="B2911" s="11" t="s">
        <v>83</v>
      </c>
      <c r="C2911" s="1" t="s">
        <v>2464</v>
      </c>
      <c r="D2911" s="1" t="s">
        <v>2261</v>
      </c>
      <c r="E2911" s="1" t="s">
        <v>18</v>
      </c>
    </row>
    <row r="2912" spans="1:5" x14ac:dyDescent="0.25">
      <c r="A2912" s="13">
        <v>1031128645</v>
      </c>
      <c r="B2912" s="11" t="s">
        <v>84</v>
      </c>
      <c r="C2912" s="1" t="s">
        <v>3476</v>
      </c>
      <c r="D2912" s="1" t="s">
        <v>3325</v>
      </c>
      <c r="E2912" s="1" t="s">
        <v>22</v>
      </c>
    </row>
    <row r="2913" spans="1:5" x14ac:dyDescent="0.25">
      <c r="A2913" s="13">
        <v>1031133081</v>
      </c>
      <c r="B2913" s="11" t="s">
        <v>83</v>
      </c>
      <c r="C2913" s="1" t="s">
        <v>2463</v>
      </c>
      <c r="D2913" s="1" t="s">
        <v>47</v>
      </c>
      <c r="E2913" s="1" t="s">
        <v>19</v>
      </c>
    </row>
    <row r="2914" spans="1:5" x14ac:dyDescent="0.25">
      <c r="A2914" s="13">
        <v>1031133152</v>
      </c>
      <c r="B2914" s="11" t="s">
        <v>83</v>
      </c>
      <c r="C2914" s="1" t="s">
        <v>2462</v>
      </c>
      <c r="D2914" s="1" t="s">
        <v>47</v>
      </c>
      <c r="E2914" s="1" t="s">
        <v>17</v>
      </c>
    </row>
    <row r="2915" spans="1:5" x14ac:dyDescent="0.25">
      <c r="A2915" s="13">
        <v>1031143256</v>
      </c>
      <c r="B2915" s="11" t="s">
        <v>83</v>
      </c>
      <c r="C2915" s="1" t="s">
        <v>2461</v>
      </c>
      <c r="D2915" s="1" t="s">
        <v>36</v>
      </c>
      <c r="E2915" s="1" t="s">
        <v>4</v>
      </c>
    </row>
    <row r="2916" spans="1:5" x14ac:dyDescent="0.25">
      <c r="A2916" s="13">
        <v>1031144494</v>
      </c>
      <c r="B2916" s="11" t="s">
        <v>83</v>
      </c>
      <c r="C2916" s="1" t="s">
        <v>2460</v>
      </c>
      <c r="D2916" s="1" t="s">
        <v>47</v>
      </c>
      <c r="E2916" s="1" t="s">
        <v>19</v>
      </c>
    </row>
    <row r="2917" spans="1:5" x14ac:dyDescent="0.25">
      <c r="A2917" s="13">
        <v>1031148592</v>
      </c>
      <c r="B2917" s="11" t="s">
        <v>84</v>
      </c>
      <c r="C2917" s="1" t="s">
        <v>2459</v>
      </c>
      <c r="D2917" s="1" t="s">
        <v>52</v>
      </c>
      <c r="E2917" s="1" t="s">
        <v>22</v>
      </c>
    </row>
    <row r="2918" spans="1:5" x14ac:dyDescent="0.25">
      <c r="A2918" s="13">
        <v>1031149840</v>
      </c>
      <c r="B2918" s="11" t="s">
        <v>83</v>
      </c>
      <c r="C2918" s="1" t="s">
        <v>2458</v>
      </c>
      <c r="D2918" s="1" t="s">
        <v>47</v>
      </c>
      <c r="E2918" s="1" t="s">
        <v>19</v>
      </c>
    </row>
    <row r="2919" spans="1:5" x14ac:dyDescent="0.25">
      <c r="A2919" s="13">
        <v>1031150898</v>
      </c>
      <c r="B2919" s="11" t="s">
        <v>83</v>
      </c>
      <c r="C2919" s="1" t="s">
        <v>2457</v>
      </c>
      <c r="D2919" s="1" t="s">
        <v>47</v>
      </c>
      <c r="E2919" s="1" t="s">
        <v>19</v>
      </c>
    </row>
    <row r="2920" spans="1:5" x14ac:dyDescent="0.25">
      <c r="A2920" s="13">
        <v>1031151666</v>
      </c>
      <c r="B2920" s="11" t="s">
        <v>84</v>
      </c>
      <c r="C2920" s="1" t="s">
        <v>2455</v>
      </c>
      <c r="D2920" s="1" t="s">
        <v>47</v>
      </c>
      <c r="E2920" s="1" t="s">
        <v>2456</v>
      </c>
    </row>
    <row r="2921" spans="1:5" x14ac:dyDescent="0.25">
      <c r="A2921" s="13">
        <v>1031153359</v>
      </c>
      <c r="B2921" s="11" t="s">
        <v>84</v>
      </c>
      <c r="C2921" s="1" t="s">
        <v>2454</v>
      </c>
      <c r="D2921" s="1" t="s">
        <v>38</v>
      </c>
      <c r="E2921" s="1" t="s">
        <v>3</v>
      </c>
    </row>
    <row r="2922" spans="1:5" x14ac:dyDescent="0.25">
      <c r="A2922" s="13">
        <v>1031154518</v>
      </c>
      <c r="B2922" s="11" t="s">
        <v>83</v>
      </c>
      <c r="C2922" s="1" t="s">
        <v>2453</v>
      </c>
      <c r="D2922" s="1" t="s">
        <v>47</v>
      </c>
      <c r="E2922" s="1" t="s">
        <v>26</v>
      </c>
    </row>
    <row r="2923" spans="1:5" x14ac:dyDescent="0.25">
      <c r="A2923" s="13">
        <v>1031154664</v>
      </c>
      <c r="B2923" s="11" t="s">
        <v>83</v>
      </c>
      <c r="C2923" s="1" t="s">
        <v>2452</v>
      </c>
      <c r="D2923" s="1" t="s">
        <v>47</v>
      </c>
      <c r="E2923" s="1" t="s">
        <v>24</v>
      </c>
    </row>
    <row r="2924" spans="1:5" x14ac:dyDescent="0.25">
      <c r="A2924" s="13">
        <v>1031154897</v>
      </c>
      <c r="B2924" s="11" t="s">
        <v>83</v>
      </c>
      <c r="C2924" s="1" t="s">
        <v>2451</v>
      </c>
      <c r="D2924" s="1" t="s">
        <v>52</v>
      </c>
      <c r="E2924" s="1" t="s">
        <v>22</v>
      </c>
    </row>
    <row r="2925" spans="1:5" x14ac:dyDescent="0.25">
      <c r="A2925" s="13">
        <v>1031157558</v>
      </c>
      <c r="B2925" s="11" t="s">
        <v>84</v>
      </c>
      <c r="C2925" s="1" t="s">
        <v>2450</v>
      </c>
      <c r="D2925" s="1" t="s">
        <v>39</v>
      </c>
      <c r="E2925" s="1" t="s">
        <v>1</v>
      </c>
    </row>
    <row r="2926" spans="1:5" x14ac:dyDescent="0.25">
      <c r="A2926" s="13">
        <v>1031159612</v>
      </c>
      <c r="B2926" s="11" t="s">
        <v>83</v>
      </c>
      <c r="C2926" s="1" t="s">
        <v>3008</v>
      </c>
      <c r="D2926" s="1" t="s">
        <v>1118</v>
      </c>
      <c r="E2926" s="1" t="s">
        <v>21</v>
      </c>
    </row>
    <row r="2927" spans="1:5" x14ac:dyDescent="0.25">
      <c r="A2927" s="13">
        <v>1031160654</v>
      </c>
      <c r="B2927" s="11" t="s">
        <v>84</v>
      </c>
      <c r="C2927" s="1" t="s">
        <v>2449</v>
      </c>
      <c r="D2927" s="1" t="s">
        <v>47</v>
      </c>
      <c r="E2927" s="1" t="s">
        <v>22</v>
      </c>
    </row>
    <row r="2928" spans="1:5" x14ac:dyDescent="0.25">
      <c r="A2928" s="13">
        <v>1031161484</v>
      </c>
      <c r="B2928" s="11" t="s">
        <v>84</v>
      </c>
      <c r="C2928" s="1" t="s">
        <v>2448</v>
      </c>
      <c r="D2928" s="1" t="s">
        <v>36</v>
      </c>
      <c r="E2928" s="1" t="s">
        <v>1</v>
      </c>
    </row>
    <row r="2929" spans="1:5" x14ac:dyDescent="0.25">
      <c r="A2929" s="13">
        <v>1031161939</v>
      </c>
      <c r="B2929" s="11" t="s">
        <v>83</v>
      </c>
      <c r="C2929" s="1" t="s">
        <v>2447</v>
      </c>
      <c r="D2929" s="1" t="s">
        <v>46</v>
      </c>
      <c r="E2929" s="1" t="s">
        <v>1</v>
      </c>
    </row>
    <row r="2930" spans="1:5" x14ac:dyDescent="0.25">
      <c r="A2930" s="13">
        <v>1031165096</v>
      </c>
      <c r="B2930" s="11" t="s">
        <v>83</v>
      </c>
      <c r="C2930" s="1" t="s">
        <v>2446</v>
      </c>
      <c r="D2930" s="1" t="s">
        <v>1170</v>
      </c>
      <c r="E2930" s="1" t="s">
        <v>248</v>
      </c>
    </row>
    <row r="2931" spans="1:5" x14ac:dyDescent="0.25">
      <c r="A2931" s="13">
        <v>1031167704</v>
      </c>
      <c r="B2931" s="11" t="s">
        <v>83</v>
      </c>
      <c r="C2931" s="1" t="s">
        <v>2445</v>
      </c>
      <c r="D2931" s="1" t="s">
        <v>47</v>
      </c>
      <c r="E2931" s="1" t="s">
        <v>16</v>
      </c>
    </row>
    <row r="2932" spans="1:5" x14ac:dyDescent="0.25">
      <c r="A2932" s="13">
        <v>1031171000</v>
      </c>
      <c r="B2932" s="11" t="s">
        <v>84</v>
      </c>
      <c r="C2932" s="1" t="s">
        <v>2444</v>
      </c>
      <c r="D2932" s="1" t="s">
        <v>36</v>
      </c>
      <c r="E2932" s="1" t="s">
        <v>17</v>
      </c>
    </row>
    <row r="2933" spans="1:5" x14ac:dyDescent="0.25">
      <c r="A2933" s="13">
        <v>1031176644</v>
      </c>
      <c r="B2933" s="11" t="s">
        <v>83</v>
      </c>
      <c r="C2933" s="1" t="s">
        <v>3155</v>
      </c>
      <c r="D2933" s="1" t="s">
        <v>89</v>
      </c>
      <c r="E2933" s="1" t="s">
        <v>196</v>
      </c>
    </row>
    <row r="2934" spans="1:5" x14ac:dyDescent="0.25">
      <c r="A2934" s="13">
        <v>1031802160</v>
      </c>
      <c r="B2934" s="11" t="s">
        <v>83</v>
      </c>
      <c r="C2934" s="1" t="s">
        <v>3633</v>
      </c>
      <c r="D2934" s="1" t="s">
        <v>79</v>
      </c>
      <c r="E2934" s="1" t="s">
        <v>196</v>
      </c>
    </row>
    <row r="2935" spans="1:5" x14ac:dyDescent="0.25">
      <c r="A2935" s="13">
        <v>1032359267</v>
      </c>
      <c r="B2935" s="11" t="s">
        <v>116</v>
      </c>
      <c r="C2935" s="1" t="s">
        <v>2443</v>
      </c>
      <c r="D2935" s="1" t="s">
        <v>117</v>
      </c>
      <c r="E2935" s="1" t="s">
        <v>453</v>
      </c>
    </row>
    <row r="2936" spans="1:5" x14ac:dyDescent="0.25">
      <c r="A2936" s="13">
        <v>1032359439</v>
      </c>
      <c r="B2936" s="11" t="s">
        <v>83</v>
      </c>
      <c r="C2936" s="1" t="s">
        <v>2442</v>
      </c>
      <c r="D2936" s="1" t="s">
        <v>41</v>
      </c>
      <c r="E2936" s="1" t="s">
        <v>31</v>
      </c>
    </row>
    <row r="2937" spans="1:5" x14ac:dyDescent="0.25">
      <c r="A2937" s="13">
        <v>1032359884</v>
      </c>
      <c r="B2937" s="11" t="s">
        <v>83</v>
      </c>
      <c r="C2937" s="1" t="s">
        <v>2440</v>
      </c>
      <c r="D2937" s="1" t="s">
        <v>2441</v>
      </c>
      <c r="E2937" s="1" t="s">
        <v>668</v>
      </c>
    </row>
    <row r="2938" spans="1:5" x14ac:dyDescent="0.25">
      <c r="A2938" s="13">
        <v>1032361262</v>
      </c>
      <c r="B2938" s="11" t="s">
        <v>84</v>
      </c>
      <c r="C2938" s="1" t="s">
        <v>2439</v>
      </c>
      <c r="D2938" s="1" t="s">
        <v>38</v>
      </c>
      <c r="E2938" s="1" t="s">
        <v>7</v>
      </c>
    </row>
    <row r="2939" spans="1:5" x14ac:dyDescent="0.25">
      <c r="A2939" s="13">
        <v>1032361770</v>
      </c>
      <c r="B2939" s="11" t="s">
        <v>84</v>
      </c>
      <c r="C2939" s="1" t="s">
        <v>3634</v>
      </c>
      <c r="D2939" s="1" t="s">
        <v>38</v>
      </c>
      <c r="E2939" s="1" t="s">
        <v>7</v>
      </c>
    </row>
    <row r="2940" spans="1:5" x14ac:dyDescent="0.25">
      <c r="A2940" s="13">
        <v>1032364161</v>
      </c>
      <c r="B2940" s="11" t="s">
        <v>84</v>
      </c>
      <c r="C2940" s="1" t="s">
        <v>2438</v>
      </c>
      <c r="D2940" s="1" t="s">
        <v>38</v>
      </c>
      <c r="E2940" s="1" t="s">
        <v>7</v>
      </c>
    </row>
    <row r="2941" spans="1:5" x14ac:dyDescent="0.25">
      <c r="A2941" s="13">
        <v>1032371703</v>
      </c>
      <c r="B2941" s="11" t="s">
        <v>84</v>
      </c>
      <c r="C2941" s="1" t="s">
        <v>2437</v>
      </c>
      <c r="D2941" s="1" t="s">
        <v>41</v>
      </c>
      <c r="E2941" s="1" t="s">
        <v>1</v>
      </c>
    </row>
    <row r="2942" spans="1:5" x14ac:dyDescent="0.25">
      <c r="A2942" s="13">
        <v>1032372798</v>
      </c>
      <c r="B2942" s="11" t="s">
        <v>84</v>
      </c>
      <c r="C2942" s="1" t="s">
        <v>2436</v>
      </c>
      <c r="D2942" s="1" t="s">
        <v>43</v>
      </c>
      <c r="E2942" s="1" t="s">
        <v>127</v>
      </c>
    </row>
    <row r="2943" spans="1:5" x14ac:dyDescent="0.25">
      <c r="A2943" s="13">
        <v>1032373100</v>
      </c>
      <c r="B2943" s="11" t="s">
        <v>84</v>
      </c>
      <c r="C2943" s="1" t="s">
        <v>3477</v>
      </c>
      <c r="D2943" s="1" t="s">
        <v>38</v>
      </c>
      <c r="E2943" s="1" t="s">
        <v>3229</v>
      </c>
    </row>
    <row r="2944" spans="1:5" x14ac:dyDescent="0.25">
      <c r="A2944" s="13">
        <v>1032373162</v>
      </c>
      <c r="B2944" s="11" t="s">
        <v>116</v>
      </c>
      <c r="C2944" s="1" t="s">
        <v>3179</v>
      </c>
      <c r="D2944" s="1" t="s">
        <v>117</v>
      </c>
      <c r="E2944" s="1" t="s">
        <v>3118</v>
      </c>
    </row>
    <row r="2945" spans="1:5" x14ac:dyDescent="0.25">
      <c r="A2945" s="13">
        <v>1032374666</v>
      </c>
      <c r="B2945" s="11" t="s">
        <v>84</v>
      </c>
      <c r="C2945" s="1" t="s">
        <v>2435</v>
      </c>
      <c r="D2945" s="1" t="s">
        <v>38</v>
      </c>
      <c r="E2945" s="1" t="s">
        <v>11</v>
      </c>
    </row>
    <row r="2946" spans="1:5" x14ac:dyDescent="0.25">
      <c r="A2946" s="13">
        <v>1032375649</v>
      </c>
      <c r="B2946" s="11" t="s">
        <v>116</v>
      </c>
      <c r="C2946" s="1" t="s">
        <v>2434</v>
      </c>
      <c r="D2946" s="1" t="s">
        <v>117</v>
      </c>
      <c r="E2946" s="1" t="s">
        <v>491</v>
      </c>
    </row>
    <row r="2947" spans="1:5" x14ac:dyDescent="0.25">
      <c r="A2947" s="13">
        <v>1032380467</v>
      </c>
      <c r="B2947" s="11" t="s">
        <v>116</v>
      </c>
      <c r="C2947" s="1" t="s">
        <v>2433</v>
      </c>
      <c r="D2947" s="1" t="s">
        <v>117</v>
      </c>
      <c r="E2947" s="1" t="s">
        <v>6</v>
      </c>
    </row>
    <row r="2948" spans="1:5" x14ac:dyDescent="0.25">
      <c r="A2948" s="13">
        <v>1032384180</v>
      </c>
      <c r="B2948" s="11" t="s">
        <v>84</v>
      </c>
      <c r="C2948" s="1" t="s">
        <v>2432</v>
      </c>
      <c r="D2948" s="1" t="s">
        <v>38</v>
      </c>
      <c r="E2948" s="1" t="s">
        <v>12</v>
      </c>
    </row>
    <row r="2949" spans="1:5" x14ac:dyDescent="0.25">
      <c r="A2949" s="13">
        <v>1032384370</v>
      </c>
      <c r="B2949" s="11" t="s">
        <v>116</v>
      </c>
      <c r="C2949" s="1" t="s">
        <v>2431</v>
      </c>
      <c r="D2949" s="1" t="s">
        <v>117</v>
      </c>
      <c r="E2949" s="1" t="s">
        <v>186</v>
      </c>
    </row>
    <row r="2950" spans="1:5" x14ac:dyDescent="0.25">
      <c r="A2950" s="13">
        <v>1032384728</v>
      </c>
      <c r="B2950" s="11" t="s">
        <v>84</v>
      </c>
      <c r="C2950" s="1" t="s">
        <v>2430</v>
      </c>
      <c r="D2950" s="1" t="s">
        <v>38</v>
      </c>
      <c r="E2950" s="1" t="s">
        <v>7</v>
      </c>
    </row>
    <row r="2951" spans="1:5" x14ac:dyDescent="0.25">
      <c r="A2951" s="13">
        <v>1032386559</v>
      </c>
      <c r="B2951" s="11" t="s">
        <v>83</v>
      </c>
      <c r="C2951" s="1" t="s">
        <v>2429</v>
      </c>
      <c r="D2951" s="1" t="s">
        <v>47</v>
      </c>
      <c r="E2951" s="1" t="s">
        <v>272</v>
      </c>
    </row>
    <row r="2952" spans="1:5" x14ac:dyDescent="0.25">
      <c r="A2952" s="13">
        <v>1032387400</v>
      </c>
      <c r="B2952" s="11" t="s">
        <v>84</v>
      </c>
      <c r="C2952" s="1" t="s">
        <v>2428</v>
      </c>
      <c r="D2952" s="1" t="s">
        <v>46</v>
      </c>
      <c r="E2952" s="1" t="s">
        <v>1</v>
      </c>
    </row>
    <row r="2953" spans="1:5" x14ac:dyDescent="0.25">
      <c r="A2953" s="13">
        <v>1032388910</v>
      </c>
      <c r="B2953" s="11" t="s">
        <v>84</v>
      </c>
      <c r="C2953" s="1" t="s">
        <v>3478</v>
      </c>
      <c r="D2953" s="1" t="s">
        <v>38</v>
      </c>
      <c r="E2953" s="1" t="s">
        <v>242</v>
      </c>
    </row>
    <row r="2954" spans="1:5" x14ac:dyDescent="0.25">
      <c r="A2954" s="13">
        <v>1032393073</v>
      </c>
      <c r="B2954" s="11" t="s">
        <v>84</v>
      </c>
      <c r="C2954" s="1" t="s">
        <v>2427</v>
      </c>
      <c r="D2954" s="1" t="s">
        <v>38</v>
      </c>
      <c r="E2954" s="1" t="s">
        <v>453</v>
      </c>
    </row>
    <row r="2955" spans="1:5" x14ac:dyDescent="0.25">
      <c r="A2955" s="13">
        <v>1032395739</v>
      </c>
      <c r="B2955" s="11" t="s">
        <v>84</v>
      </c>
      <c r="C2955" s="1" t="s">
        <v>3479</v>
      </c>
      <c r="D2955" s="1" t="s">
        <v>38</v>
      </c>
      <c r="E2955" s="1" t="s">
        <v>328</v>
      </c>
    </row>
    <row r="2956" spans="1:5" x14ac:dyDescent="0.25">
      <c r="A2956" s="13">
        <v>1032396070</v>
      </c>
      <c r="B2956" s="11" t="s">
        <v>83</v>
      </c>
      <c r="C2956" s="1" t="s">
        <v>2426</v>
      </c>
      <c r="D2956" s="1" t="s">
        <v>47</v>
      </c>
      <c r="E2956" s="1" t="s">
        <v>16</v>
      </c>
    </row>
    <row r="2957" spans="1:5" x14ac:dyDescent="0.25">
      <c r="A2957" s="13">
        <v>1032397559</v>
      </c>
      <c r="B2957" s="11" t="s">
        <v>83</v>
      </c>
      <c r="C2957" s="1" t="s">
        <v>2425</v>
      </c>
      <c r="D2957" s="1" t="s">
        <v>47</v>
      </c>
      <c r="E2957" s="1" t="s">
        <v>17</v>
      </c>
    </row>
    <row r="2958" spans="1:5" x14ac:dyDescent="0.25">
      <c r="A2958" s="13">
        <v>1032398907</v>
      </c>
      <c r="B2958" s="11" t="s">
        <v>83</v>
      </c>
      <c r="C2958" s="1" t="s">
        <v>3635</v>
      </c>
      <c r="D2958" s="1" t="s">
        <v>3181</v>
      </c>
      <c r="E2958" s="1" t="s">
        <v>16</v>
      </c>
    </row>
    <row r="2959" spans="1:5" x14ac:dyDescent="0.25">
      <c r="A2959" s="13">
        <v>1032399769</v>
      </c>
      <c r="B2959" s="11" t="s">
        <v>116</v>
      </c>
      <c r="C2959" s="1" t="s">
        <v>2424</v>
      </c>
      <c r="D2959" s="1" t="s">
        <v>117</v>
      </c>
      <c r="E2959" s="1" t="s">
        <v>6</v>
      </c>
    </row>
    <row r="2960" spans="1:5" x14ac:dyDescent="0.25">
      <c r="A2960" s="13">
        <v>1032399770</v>
      </c>
      <c r="B2960" s="11" t="s">
        <v>116</v>
      </c>
      <c r="C2960" s="1" t="s">
        <v>2423</v>
      </c>
      <c r="D2960" s="1" t="s">
        <v>117</v>
      </c>
      <c r="E2960" s="1" t="s">
        <v>6</v>
      </c>
    </row>
    <row r="2961" spans="1:5" x14ac:dyDescent="0.25">
      <c r="A2961" s="13">
        <v>1032401971</v>
      </c>
      <c r="B2961" s="11" t="s">
        <v>84</v>
      </c>
      <c r="C2961" s="1" t="s">
        <v>2422</v>
      </c>
      <c r="D2961" s="1" t="s">
        <v>43</v>
      </c>
      <c r="E2961" s="1" t="s">
        <v>10</v>
      </c>
    </row>
    <row r="2962" spans="1:5" x14ac:dyDescent="0.25">
      <c r="A2962" s="13">
        <v>1032403211</v>
      </c>
      <c r="B2962" s="11" t="s">
        <v>84</v>
      </c>
      <c r="C2962" s="1" t="s">
        <v>2421</v>
      </c>
      <c r="D2962" s="1" t="s">
        <v>38</v>
      </c>
      <c r="E2962" s="1" t="s">
        <v>15</v>
      </c>
    </row>
    <row r="2963" spans="1:5" x14ac:dyDescent="0.25">
      <c r="A2963" s="13">
        <v>1032404910</v>
      </c>
      <c r="B2963" s="11" t="s">
        <v>83</v>
      </c>
      <c r="C2963" s="1" t="s">
        <v>3154</v>
      </c>
      <c r="D2963" s="1" t="s">
        <v>48</v>
      </c>
      <c r="E2963" s="1" t="s">
        <v>19</v>
      </c>
    </row>
    <row r="2964" spans="1:5" x14ac:dyDescent="0.25">
      <c r="A2964" s="13">
        <v>1032405093</v>
      </c>
      <c r="B2964" s="11" t="s">
        <v>83</v>
      </c>
      <c r="C2964" s="1" t="s">
        <v>2420</v>
      </c>
      <c r="D2964" s="1" t="s">
        <v>366</v>
      </c>
      <c r="E2964" s="1" t="s">
        <v>20</v>
      </c>
    </row>
    <row r="2965" spans="1:5" x14ac:dyDescent="0.25">
      <c r="A2965" s="13">
        <v>1032405673</v>
      </c>
      <c r="B2965" s="11" t="s">
        <v>84</v>
      </c>
      <c r="C2965" s="1" t="s">
        <v>3480</v>
      </c>
      <c r="D2965" s="1" t="s">
        <v>43</v>
      </c>
      <c r="E2965" s="1" t="s">
        <v>3211</v>
      </c>
    </row>
    <row r="2966" spans="1:5" x14ac:dyDescent="0.25">
      <c r="A2966" s="13">
        <v>1032406746</v>
      </c>
      <c r="B2966" s="11" t="s">
        <v>116</v>
      </c>
      <c r="C2966" s="1" t="s">
        <v>2419</v>
      </c>
      <c r="D2966" s="1" t="s">
        <v>117</v>
      </c>
      <c r="E2966" s="1" t="s">
        <v>8</v>
      </c>
    </row>
    <row r="2967" spans="1:5" x14ac:dyDescent="0.25">
      <c r="A2967" s="13">
        <v>1032407386</v>
      </c>
      <c r="B2967" s="11" t="s">
        <v>83</v>
      </c>
      <c r="C2967" s="1" t="s">
        <v>3481</v>
      </c>
      <c r="D2967" s="1" t="s">
        <v>48</v>
      </c>
      <c r="E2967" s="1" t="s">
        <v>196</v>
      </c>
    </row>
    <row r="2968" spans="1:5" x14ac:dyDescent="0.25">
      <c r="A2968" s="13">
        <v>1032410125</v>
      </c>
      <c r="B2968" s="11" t="s">
        <v>84</v>
      </c>
      <c r="C2968" s="1" t="s">
        <v>2418</v>
      </c>
      <c r="D2968" s="1" t="s">
        <v>38</v>
      </c>
      <c r="E2968" s="1" t="s">
        <v>8</v>
      </c>
    </row>
    <row r="2969" spans="1:5" x14ac:dyDescent="0.25">
      <c r="A2969" s="13">
        <v>1032410833</v>
      </c>
      <c r="B2969" s="11" t="s">
        <v>83</v>
      </c>
      <c r="C2969" s="1" t="s">
        <v>3711</v>
      </c>
      <c r="D2969" s="1" t="s">
        <v>79</v>
      </c>
      <c r="E2969" s="1" t="s">
        <v>210</v>
      </c>
    </row>
    <row r="2970" spans="1:5" x14ac:dyDescent="0.25">
      <c r="A2970" s="13">
        <v>1032411228</v>
      </c>
      <c r="B2970" s="11" t="s">
        <v>83</v>
      </c>
      <c r="C2970" s="1" t="s">
        <v>3636</v>
      </c>
      <c r="D2970" s="1" t="s">
        <v>1118</v>
      </c>
      <c r="E2970" s="1" t="s">
        <v>248</v>
      </c>
    </row>
    <row r="2971" spans="1:5" x14ac:dyDescent="0.25">
      <c r="A2971" s="13">
        <v>1032411265</v>
      </c>
      <c r="B2971" s="11" t="s">
        <v>84</v>
      </c>
      <c r="C2971" s="1" t="s">
        <v>2417</v>
      </c>
      <c r="D2971" s="1" t="s">
        <v>108</v>
      </c>
      <c r="E2971" s="1" t="s">
        <v>1</v>
      </c>
    </row>
    <row r="2972" spans="1:5" x14ac:dyDescent="0.25">
      <c r="A2972" s="13">
        <v>1032411744</v>
      </c>
      <c r="B2972" s="11" t="s">
        <v>83</v>
      </c>
      <c r="C2972" s="1" t="s">
        <v>3072</v>
      </c>
      <c r="D2972" s="1" t="s">
        <v>50</v>
      </c>
      <c r="E2972" s="1" t="s">
        <v>21</v>
      </c>
    </row>
    <row r="2973" spans="1:5" x14ac:dyDescent="0.25">
      <c r="A2973" s="13">
        <v>1032420078</v>
      </c>
      <c r="B2973" s="11" t="s">
        <v>83</v>
      </c>
      <c r="C2973" s="1" t="s">
        <v>2416</v>
      </c>
      <c r="D2973" s="1" t="s">
        <v>47</v>
      </c>
      <c r="E2973" s="1" t="s">
        <v>939</v>
      </c>
    </row>
    <row r="2974" spans="1:5" x14ac:dyDescent="0.25">
      <c r="A2974" s="13">
        <v>1032420300</v>
      </c>
      <c r="B2974" s="11" t="s">
        <v>83</v>
      </c>
      <c r="C2974" s="1" t="s">
        <v>2415</v>
      </c>
      <c r="D2974" s="1" t="s">
        <v>56</v>
      </c>
      <c r="E2974" s="1" t="s">
        <v>4</v>
      </c>
    </row>
    <row r="2975" spans="1:5" x14ac:dyDescent="0.25">
      <c r="A2975" s="13">
        <v>1032422584</v>
      </c>
      <c r="B2975" s="11" t="s">
        <v>83</v>
      </c>
      <c r="C2975" s="1" t="s">
        <v>2414</v>
      </c>
      <c r="D2975" s="1" t="s">
        <v>47</v>
      </c>
      <c r="E2975" s="1" t="s">
        <v>16</v>
      </c>
    </row>
    <row r="2976" spans="1:5" x14ac:dyDescent="0.25">
      <c r="A2976" s="13">
        <v>1032423336</v>
      </c>
      <c r="B2976" s="11" t="s">
        <v>83</v>
      </c>
      <c r="C2976" s="1" t="s">
        <v>2413</v>
      </c>
      <c r="D2976" s="1" t="s">
        <v>2305</v>
      </c>
      <c r="E2976" s="1" t="s">
        <v>20</v>
      </c>
    </row>
    <row r="2977" spans="1:5" x14ac:dyDescent="0.25">
      <c r="A2977" s="13">
        <v>1032424470</v>
      </c>
      <c r="B2977" s="11" t="s">
        <v>84</v>
      </c>
      <c r="C2977" s="1" t="s">
        <v>2412</v>
      </c>
      <c r="D2977" s="1" t="s">
        <v>38</v>
      </c>
      <c r="E2977" s="1" t="s">
        <v>8</v>
      </c>
    </row>
    <row r="2978" spans="1:5" x14ac:dyDescent="0.25">
      <c r="A2978" s="13">
        <v>1032425196</v>
      </c>
      <c r="B2978" s="11" t="s">
        <v>84</v>
      </c>
      <c r="C2978" s="1" t="s">
        <v>2411</v>
      </c>
      <c r="D2978" s="1" t="s">
        <v>38</v>
      </c>
      <c r="E2978" s="1" t="s">
        <v>9</v>
      </c>
    </row>
    <row r="2979" spans="1:5" x14ac:dyDescent="0.25">
      <c r="A2979" s="13">
        <v>1032425800</v>
      </c>
      <c r="B2979" s="11" t="s">
        <v>84</v>
      </c>
      <c r="C2979" s="1" t="s">
        <v>2410</v>
      </c>
      <c r="D2979" s="1" t="s">
        <v>38</v>
      </c>
      <c r="E2979" s="1" t="s">
        <v>5</v>
      </c>
    </row>
    <row r="2980" spans="1:5" x14ac:dyDescent="0.25">
      <c r="A2980" s="13">
        <v>1032427103</v>
      </c>
      <c r="B2980" s="11" t="s">
        <v>84</v>
      </c>
      <c r="C2980" s="1" t="s">
        <v>2409</v>
      </c>
      <c r="D2980" s="1" t="s">
        <v>43</v>
      </c>
      <c r="E2980" s="1" t="s">
        <v>7</v>
      </c>
    </row>
    <row r="2981" spans="1:5" x14ac:dyDescent="0.25">
      <c r="A2981" s="13">
        <v>1032427334</v>
      </c>
      <c r="B2981" s="11" t="s">
        <v>83</v>
      </c>
      <c r="C2981" s="1" t="s">
        <v>2408</v>
      </c>
      <c r="D2981" s="1" t="s">
        <v>241</v>
      </c>
      <c r="E2981" s="1" t="s">
        <v>242</v>
      </c>
    </row>
    <row r="2982" spans="1:5" x14ac:dyDescent="0.25">
      <c r="A2982" s="13">
        <v>1032427577</v>
      </c>
      <c r="B2982" s="11" t="s">
        <v>83</v>
      </c>
      <c r="C2982" s="1" t="s">
        <v>2407</v>
      </c>
      <c r="D2982" s="1" t="s">
        <v>430</v>
      </c>
      <c r="E2982" s="1" t="s">
        <v>1128</v>
      </c>
    </row>
    <row r="2983" spans="1:5" x14ac:dyDescent="0.25">
      <c r="A2983" s="13">
        <v>1032427765</v>
      </c>
      <c r="B2983" s="11" t="s">
        <v>109</v>
      </c>
      <c r="C2983" s="1" t="s">
        <v>2406</v>
      </c>
      <c r="D2983" s="1" t="s">
        <v>271</v>
      </c>
      <c r="E2983" s="1" t="s">
        <v>17</v>
      </c>
    </row>
    <row r="2984" spans="1:5" x14ac:dyDescent="0.25">
      <c r="A2984" s="13">
        <v>1032428439</v>
      </c>
      <c r="B2984" s="11" t="s">
        <v>83</v>
      </c>
      <c r="C2984" s="1" t="s">
        <v>2405</v>
      </c>
      <c r="D2984" s="1" t="s">
        <v>47</v>
      </c>
      <c r="E2984" s="1" t="s">
        <v>16</v>
      </c>
    </row>
    <row r="2985" spans="1:5" x14ac:dyDescent="0.25">
      <c r="A2985" s="13">
        <v>1032428903</v>
      </c>
      <c r="B2985" s="11" t="s">
        <v>83</v>
      </c>
      <c r="C2985" s="1" t="s">
        <v>3482</v>
      </c>
      <c r="D2985" s="1" t="s">
        <v>53</v>
      </c>
      <c r="E2985" s="1" t="s">
        <v>210</v>
      </c>
    </row>
    <row r="2986" spans="1:5" x14ac:dyDescent="0.25">
      <c r="A2986" s="13">
        <v>1032431883</v>
      </c>
      <c r="B2986" s="11" t="s">
        <v>84</v>
      </c>
      <c r="C2986" s="1" t="s">
        <v>2404</v>
      </c>
      <c r="D2986" s="1" t="s">
        <v>43</v>
      </c>
      <c r="E2986" s="1" t="s">
        <v>3</v>
      </c>
    </row>
    <row r="2987" spans="1:5" x14ac:dyDescent="0.25">
      <c r="A2987" s="13">
        <v>1032432736</v>
      </c>
      <c r="B2987" s="11" t="s">
        <v>84</v>
      </c>
      <c r="C2987" s="1" t="s">
        <v>2403</v>
      </c>
      <c r="D2987" s="1" t="s">
        <v>38</v>
      </c>
      <c r="E2987" s="1" t="s">
        <v>7</v>
      </c>
    </row>
    <row r="2988" spans="1:5" x14ac:dyDescent="0.25">
      <c r="A2988" s="13">
        <v>1032434260</v>
      </c>
      <c r="B2988" s="11" t="s">
        <v>83</v>
      </c>
      <c r="C2988" s="1" t="s">
        <v>2402</v>
      </c>
      <c r="D2988" s="1" t="s">
        <v>47</v>
      </c>
      <c r="E2988" s="1" t="s">
        <v>26</v>
      </c>
    </row>
    <row r="2989" spans="1:5" x14ac:dyDescent="0.25">
      <c r="A2989" s="13">
        <v>1032435038</v>
      </c>
      <c r="B2989" s="11" t="s">
        <v>116</v>
      </c>
      <c r="C2989" s="1" t="s">
        <v>2401</v>
      </c>
      <c r="D2989" s="1" t="s">
        <v>117</v>
      </c>
      <c r="E2989" s="1" t="s">
        <v>15</v>
      </c>
    </row>
    <row r="2990" spans="1:5" x14ac:dyDescent="0.25">
      <c r="A2990" s="13">
        <v>1032441382</v>
      </c>
      <c r="B2990" s="11" t="s">
        <v>84</v>
      </c>
      <c r="C2990" s="1" t="s">
        <v>2400</v>
      </c>
      <c r="D2990" s="1" t="s">
        <v>36</v>
      </c>
      <c r="E2990" s="1" t="s">
        <v>1</v>
      </c>
    </row>
    <row r="2991" spans="1:5" x14ac:dyDescent="0.25">
      <c r="A2991" s="13">
        <v>1032449327</v>
      </c>
      <c r="B2991" s="11" t="s">
        <v>116</v>
      </c>
      <c r="C2991" s="1" t="s">
        <v>3483</v>
      </c>
      <c r="D2991" s="1" t="s">
        <v>117</v>
      </c>
      <c r="E2991" s="1" t="s">
        <v>3192</v>
      </c>
    </row>
    <row r="2992" spans="1:5" x14ac:dyDescent="0.25">
      <c r="A2992" s="13">
        <v>1032450360</v>
      </c>
      <c r="B2992" s="11" t="s">
        <v>109</v>
      </c>
      <c r="C2992" s="1" t="s">
        <v>2399</v>
      </c>
      <c r="D2992" s="1" t="s">
        <v>464</v>
      </c>
      <c r="E2992" s="1" t="s">
        <v>19</v>
      </c>
    </row>
    <row r="2993" spans="1:5" x14ac:dyDescent="0.25">
      <c r="A2993" s="13">
        <v>1032452492</v>
      </c>
      <c r="B2993" s="11" t="s">
        <v>83</v>
      </c>
      <c r="C2993" s="1" t="s">
        <v>2398</v>
      </c>
      <c r="D2993" s="1" t="s">
        <v>1077</v>
      </c>
      <c r="E2993" s="1" t="s">
        <v>31</v>
      </c>
    </row>
    <row r="2994" spans="1:5" x14ac:dyDescent="0.25">
      <c r="A2994" s="13">
        <v>1032453118</v>
      </c>
      <c r="B2994" s="11" t="s">
        <v>84</v>
      </c>
      <c r="C2994" s="1" t="s">
        <v>3484</v>
      </c>
      <c r="D2994" s="1" t="s">
        <v>3691</v>
      </c>
      <c r="E2994" s="1" t="s">
        <v>1</v>
      </c>
    </row>
    <row r="2995" spans="1:5" x14ac:dyDescent="0.25">
      <c r="A2995" s="13">
        <v>1032456662</v>
      </c>
      <c r="B2995" s="11" t="s">
        <v>116</v>
      </c>
      <c r="C2995" s="1" t="s">
        <v>2397</v>
      </c>
      <c r="D2995" s="1" t="s">
        <v>117</v>
      </c>
      <c r="E2995" s="1" t="s">
        <v>168</v>
      </c>
    </row>
    <row r="2996" spans="1:5" x14ac:dyDescent="0.25">
      <c r="A2996" s="13">
        <v>1032457498</v>
      </c>
      <c r="B2996" s="11" t="s">
        <v>84</v>
      </c>
      <c r="C2996" s="1" t="s">
        <v>2396</v>
      </c>
      <c r="D2996" s="1" t="s">
        <v>1707</v>
      </c>
      <c r="E2996" s="1" t="s">
        <v>1</v>
      </c>
    </row>
    <row r="2997" spans="1:5" x14ac:dyDescent="0.25">
      <c r="A2997" s="13">
        <v>1032459740</v>
      </c>
      <c r="B2997" s="11" t="s">
        <v>109</v>
      </c>
      <c r="C2997" s="1" t="s">
        <v>2394</v>
      </c>
      <c r="D2997" s="1" t="s">
        <v>2395</v>
      </c>
      <c r="E2997" s="1" t="s">
        <v>21</v>
      </c>
    </row>
    <row r="2998" spans="1:5" x14ac:dyDescent="0.25">
      <c r="A2998" s="13">
        <v>1032460487</v>
      </c>
      <c r="B2998" s="11" t="s">
        <v>84</v>
      </c>
      <c r="C2998" s="1" t="s">
        <v>3637</v>
      </c>
      <c r="D2998" s="1" t="s">
        <v>36</v>
      </c>
      <c r="E2998" s="1" t="s">
        <v>3085</v>
      </c>
    </row>
    <row r="2999" spans="1:5" x14ac:dyDescent="0.25">
      <c r="A2999" s="13">
        <v>1032461982</v>
      </c>
      <c r="B2999" s="11" t="s">
        <v>83</v>
      </c>
      <c r="C2999" s="1" t="s">
        <v>2392</v>
      </c>
      <c r="D2999" s="1" t="s">
        <v>2393</v>
      </c>
      <c r="E2999" s="1" t="s">
        <v>668</v>
      </c>
    </row>
    <row r="3000" spans="1:5" x14ac:dyDescent="0.25">
      <c r="A3000" s="13">
        <v>1032462036</v>
      </c>
      <c r="B3000" s="11" t="s">
        <v>83</v>
      </c>
      <c r="C3000" s="1" t="s">
        <v>2391</v>
      </c>
      <c r="D3000" s="1" t="s">
        <v>49</v>
      </c>
      <c r="E3000" s="1" t="s">
        <v>18</v>
      </c>
    </row>
    <row r="3001" spans="1:5" x14ac:dyDescent="0.25">
      <c r="A3001" s="13">
        <v>1032462500</v>
      </c>
      <c r="B3001" s="11" t="s">
        <v>84</v>
      </c>
      <c r="C3001" s="1" t="s">
        <v>3485</v>
      </c>
      <c r="D3001" s="1" t="s">
        <v>43</v>
      </c>
      <c r="E3001" s="1" t="s">
        <v>3120</v>
      </c>
    </row>
    <row r="3002" spans="1:5" x14ac:dyDescent="0.25">
      <c r="A3002" s="13">
        <v>1032463301</v>
      </c>
      <c r="B3002" s="11" t="s">
        <v>84</v>
      </c>
      <c r="C3002" s="1" t="s">
        <v>2390</v>
      </c>
      <c r="D3002" s="1" t="s">
        <v>43</v>
      </c>
      <c r="E3002" s="1" t="s">
        <v>3</v>
      </c>
    </row>
    <row r="3003" spans="1:5" x14ac:dyDescent="0.25">
      <c r="A3003" s="13">
        <v>1032465113</v>
      </c>
      <c r="B3003" s="11" t="s">
        <v>84</v>
      </c>
      <c r="C3003" s="1" t="s">
        <v>2388</v>
      </c>
      <c r="D3003" s="1" t="s">
        <v>38</v>
      </c>
      <c r="E3003" s="1" t="s">
        <v>2389</v>
      </c>
    </row>
    <row r="3004" spans="1:5" x14ac:dyDescent="0.25">
      <c r="A3004" s="13">
        <v>1032465883</v>
      </c>
      <c r="B3004" s="11" t="s">
        <v>84</v>
      </c>
      <c r="C3004" s="1" t="s">
        <v>2387</v>
      </c>
      <c r="D3004" s="1" t="s">
        <v>36</v>
      </c>
      <c r="E3004" s="1" t="s">
        <v>17</v>
      </c>
    </row>
    <row r="3005" spans="1:5" x14ac:dyDescent="0.25">
      <c r="A3005" s="13">
        <v>1032466582</v>
      </c>
      <c r="B3005" s="11" t="s">
        <v>84</v>
      </c>
      <c r="C3005" s="1" t="s">
        <v>2386</v>
      </c>
      <c r="D3005" s="1" t="s">
        <v>38</v>
      </c>
      <c r="E3005" s="1" t="s">
        <v>8</v>
      </c>
    </row>
    <row r="3006" spans="1:5" x14ac:dyDescent="0.25">
      <c r="A3006" s="13">
        <v>1032467960</v>
      </c>
      <c r="B3006" s="11" t="s">
        <v>84</v>
      </c>
      <c r="C3006" s="1" t="s">
        <v>3486</v>
      </c>
      <c r="D3006" s="1" t="s">
        <v>43</v>
      </c>
      <c r="E3006" s="1" t="s">
        <v>10</v>
      </c>
    </row>
    <row r="3007" spans="1:5" x14ac:dyDescent="0.25">
      <c r="A3007" s="13">
        <v>1032469638</v>
      </c>
      <c r="B3007" s="11" t="s">
        <v>83</v>
      </c>
      <c r="C3007" s="1" t="s">
        <v>3487</v>
      </c>
      <c r="D3007" s="1" t="s">
        <v>3136</v>
      </c>
      <c r="E3007" s="1" t="s">
        <v>24</v>
      </c>
    </row>
    <row r="3008" spans="1:5" x14ac:dyDescent="0.25">
      <c r="A3008" s="13">
        <v>1032471746</v>
      </c>
      <c r="B3008" s="11" t="s">
        <v>84</v>
      </c>
      <c r="C3008" s="1" t="s">
        <v>2385</v>
      </c>
      <c r="D3008" s="1" t="s">
        <v>38</v>
      </c>
      <c r="E3008" s="1" t="s">
        <v>2</v>
      </c>
    </row>
    <row r="3009" spans="1:5" x14ac:dyDescent="0.25">
      <c r="A3009" s="13">
        <v>1032473803</v>
      </c>
      <c r="B3009" s="11" t="s">
        <v>83</v>
      </c>
      <c r="C3009" s="1" t="s">
        <v>2384</v>
      </c>
      <c r="D3009" s="1" t="s">
        <v>47</v>
      </c>
      <c r="E3009" s="1" t="s">
        <v>19</v>
      </c>
    </row>
    <row r="3010" spans="1:5" x14ac:dyDescent="0.25">
      <c r="A3010" s="13">
        <v>1032474919</v>
      </c>
      <c r="B3010" s="11" t="s">
        <v>84</v>
      </c>
      <c r="C3010" s="1" t="s">
        <v>2383</v>
      </c>
      <c r="D3010" s="1" t="s">
        <v>38</v>
      </c>
      <c r="E3010" s="1" t="s">
        <v>14</v>
      </c>
    </row>
    <row r="3011" spans="1:5" x14ac:dyDescent="0.25">
      <c r="A3011" s="13">
        <v>1032477744</v>
      </c>
      <c r="B3011" s="11" t="s">
        <v>116</v>
      </c>
      <c r="C3011" s="1" t="s">
        <v>3638</v>
      </c>
      <c r="D3011" s="1" t="s">
        <v>131</v>
      </c>
      <c r="E3011" s="1" t="s">
        <v>131</v>
      </c>
    </row>
    <row r="3012" spans="1:5" x14ac:dyDescent="0.25">
      <c r="A3012" s="13">
        <v>1032479974</v>
      </c>
      <c r="B3012" s="11" t="s">
        <v>83</v>
      </c>
      <c r="C3012" s="1" t="s">
        <v>2382</v>
      </c>
      <c r="D3012" s="1" t="s">
        <v>48</v>
      </c>
      <c r="E3012" s="1" t="s">
        <v>19</v>
      </c>
    </row>
    <row r="3013" spans="1:5" x14ac:dyDescent="0.25">
      <c r="A3013" s="13">
        <v>1032480710</v>
      </c>
      <c r="B3013" s="11" t="s">
        <v>116</v>
      </c>
      <c r="C3013" s="1" t="s">
        <v>2381</v>
      </c>
      <c r="D3013" s="1" t="s">
        <v>117</v>
      </c>
      <c r="E3013" s="1" t="s">
        <v>11</v>
      </c>
    </row>
    <row r="3014" spans="1:5" x14ac:dyDescent="0.25">
      <c r="A3014" s="13">
        <v>1032486490</v>
      </c>
      <c r="B3014" s="11" t="s">
        <v>83</v>
      </c>
      <c r="C3014" s="1" t="s">
        <v>2379</v>
      </c>
      <c r="D3014" s="1" t="s">
        <v>47</v>
      </c>
      <c r="E3014" s="1" t="s">
        <v>2380</v>
      </c>
    </row>
    <row r="3015" spans="1:5" x14ac:dyDescent="0.25">
      <c r="A3015" s="13">
        <v>1032487526</v>
      </c>
      <c r="B3015" s="11" t="s">
        <v>84</v>
      </c>
      <c r="C3015" s="1" t="s">
        <v>3639</v>
      </c>
      <c r="D3015" s="1" t="s">
        <v>38</v>
      </c>
      <c r="E3015" s="1" t="s">
        <v>3580</v>
      </c>
    </row>
    <row r="3016" spans="1:5" x14ac:dyDescent="0.25">
      <c r="A3016" s="13">
        <v>1032487891</v>
      </c>
      <c r="B3016" s="11" t="s">
        <v>84</v>
      </c>
      <c r="C3016" s="1" t="s">
        <v>3488</v>
      </c>
      <c r="D3016" s="1" t="s">
        <v>3282</v>
      </c>
      <c r="E3016" s="1" t="s">
        <v>22</v>
      </c>
    </row>
    <row r="3017" spans="1:5" x14ac:dyDescent="0.25">
      <c r="A3017" s="13">
        <v>1032492866</v>
      </c>
      <c r="B3017" s="11" t="s">
        <v>84</v>
      </c>
      <c r="C3017" s="1" t="s">
        <v>3007</v>
      </c>
      <c r="D3017" s="1" t="s">
        <v>36</v>
      </c>
      <c r="E3017" s="1" t="s">
        <v>17</v>
      </c>
    </row>
    <row r="3018" spans="1:5" x14ac:dyDescent="0.25">
      <c r="A3018" s="13">
        <v>1032493984</v>
      </c>
      <c r="B3018" s="11" t="s">
        <v>84</v>
      </c>
      <c r="C3018" s="1" t="s">
        <v>3006</v>
      </c>
      <c r="D3018" s="1" t="s">
        <v>38</v>
      </c>
      <c r="E3018" s="1" t="s">
        <v>12</v>
      </c>
    </row>
    <row r="3019" spans="1:5" x14ac:dyDescent="0.25">
      <c r="A3019" s="13">
        <v>1032495850</v>
      </c>
      <c r="B3019" s="11" t="s">
        <v>83</v>
      </c>
      <c r="C3019" s="1" t="s">
        <v>2378</v>
      </c>
      <c r="D3019" s="1" t="s">
        <v>48</v>
      </c>
      <c r="E3019" s="1" t="s">
        <v>19</v>
      </c>
    </row>
    <row r="3020" spans="1:5" x14ac:dyDescent="0.25">
      <c r="A3020" s="13">
        <v>1032496136</v>
      </c>
      <c r="B3020" s="11" t="s">
        <v>84</v>
      </c>
      <c r="C3020" s="1" t="s">
        <v>2377</v>
      </c>
      <c r="D3020" s="1" t="s">
        <v>38</v>
      </c>
      <c r="E3020" s="1" t="s">
        <v>7</v>
      </c>
    </row>
    <row r="3021" spans="1:5" x14ac:dyDescent="0.25">
      <c r="A3021" s="13">
        <v>1032498759</v>
      </c>
      <c r="B3021" s="11" t="s">
        <v>84</v>
      </c>
      <c r="C3021" s="1" t="s">
        <v>3489</v>
      </c>
      <c r="D3021" s="1" t="s">
        <v>3325</v>
      </c>
      <c r="E3021" s="1" t="s">
        <v>3572</v>
      </c>
    </row>
    <row r="3022" spans="1:5" x14ac:dyDescent="0.25">
      <c r="A3022" s="13">
        <v>1032501184</v>
      </c>
      <c r="B3022" s="11" t="s">
        <v>84</v>
      </c>
      <c r="C3022" s="1" t="s">
        <v>2376</v>
      </c>
      <c r="D3022" s="1" t="s">
        <v>36</v>
      </c>
      <c r="E3022" s="1" t="s">
        <v>17</v>
      </c>
    </row>
    <row r="3023" spans="1:5" x14ac:dyDescent="0.25">
      <c r="A3023" s="13">
        <v>1032504270</v>
      </c>
      <c r="B3023" s="11" t="s">
        <v>83</v>
      </c>
      <c r="C3023" s="1" t="s">
        <v>2375</v>
      </c>
      <c r="D3023" s="1" t="s">
        <v>34</v>
      </c>
      <c r="E3023" s="1" t="s">
        <v>33</v>
      </c>
    </row>
    <row r="3024" spans="1:5" x14ac:dyDescent="0.25">
      <c r="A3024" s="13">
        <v>1032506338</v>
      </c>
      <c r="B3024" s="11" t="s">
        <v>83</v>
      </c>
      <c r="C3024" s="1" t="s">
        <v>3490</v>
      </c>
      <c r="D3024" s="1" t="s">
        <v>48</v>
      </c>
      <c r="E3024" s="1" t="s">
        <v>19</v>
      </c>
    </row>
    <row r="3025" spans="1:5" x14ac:dyDescent="0.25">
      <c r="A3025" s="13">
        <v>1032507676</v>
      </c>
      <c r="B3025" s="11" t="s">
        <v>83</v>
      </c>
      <c r="C3025" s="1" t="s">
        <v>2374</v>
      </c>
      <c r="D3025" s="1" t="s">
        <v>101</v>
      </c>
      <c r="E3025" s="1" t="s">
        <v>30</v>
      </c>
    </row>
    <row r="3026" spans="1:5" x14ac:dyDescent="0.25">
      <c r="A3026" s="13">
        <v>1032796272</v>
      </c>
      <c r="B3026" s="11" t="s">
        <v>83</v>
      </c>
      <c r="C3026" s="1" t="s">
        <v>3061</v>
      </c>
      <c r="D3026" s="1" t="s">
        <v>48</v>
      </c>
      <c r="E3026" s="1" t="s">
        <v>19</v>
      </c>
    </row>
    <row r="3027" spans="1:5" x14ac:dyDescent="0.25">
      <c r="A3027" s="13">
        <v>1032797883</v>
      </c>
      <c r="B3027" s="11" t="s">
        <v>83</v>
      </c>
      <c r="C3027" s="1" t="s">
        <v>3640</v>
      </c>
      <c r="D3027" s="1" t="s">
        <v>36</v>
      </c>
      <c r="E3027" s="1" t="s">
        <v>24</v>
      </c>
    </row>
    <row r="3028" spans="1:5" x14ac:dyDescent="0.25">
      <c r="A3028" s="13">
        <v>1033097217</v>
      </c>
      <c r="B3028" s="11" t="s">
        <v>83</v>
      </c>
      <c r="C3028" s="1" t="s">
        <v>3491</v>
      </c>
      <c r="D3028" s="1" t="s">
        <v>48</v>
      </c>
      <c r="E3028" s="1" t="s">
        <v>19</v>
      </c>
    </row>
    <row r="3029" spans="1:5" x14ac:dyDescent="0.25">
      <c r="A3029" s="13">
        <v>1033097989</v>
      </c>
      <c r="B3029" s="11" t="s">
        <v>83</v>
      </c>
      <c r="C3029" s="1" t="s">
        <v>2373</v>
      </c>
      <c r="D3029" s="1" t="s">
        <v>79</v>
      </c>
      <c r="E3029" s="1" t="s">
        <v>21</v>
      </c>
    </row>
    <row r="3030" spans="1:5" x14ac:dyDescent="0.25">
      <c r="A3030" s="13">
        <v>1033676343</v>
      </c>
      <c r="B3030" s="11" t="s">
        <v>84</v>
      </c>
      <c r="C3030" s="1" t="s">
        <v>3492</v>
      </c>
      <c r="D3030" s="1" t="s">
        <v>3641</v>
      </c>
      <c r="E3030" s="1" t="s">
        <v>1</v>
      </c>
    </row>
    <row r="3031" spans="1:5" x14ac:dyDescent="0.25">
      <c r="A3031" s="13">
        <v>1033677485</v>
      </c>
      <c r="B3031" s="11" t="s">
        <v>83</v>
      </c>
      <c r="C3031" s="1" t="s">
        <v>2372</v>
      </c>
      <c r="D3031" s="1" t="s">
        <v>48</v>
      </c>
      <c r="E3031" s="1" t="s">
        <v>19</v>
      </c>
    </row>
    <row r="3032" spans="1:5" x14ac:dyDescent="0.25">
      <c r="A3032" s="13">
        <v>1033680855</v>
      </c>
      <c r="B3032" s="11" t="s">
        <v>84</v>
      </c>
      <c r="C3032" s="1" t="s">
        <v>2371</v>
      </c>
      <c r="D3032" s="1" t="s">
        <v>38</v>
      </c>
      <c r="E3032" s="1" t="s">
        <v>5</v>
      </c>
    </row>
    <row r="3033" spans="1:5" x14ac:dyDescent="0.25">
      <c r="A3033" s="13">
        <v>1033682204</v>
      </c>
      <c r="B3033" s="11" t="s">
        <v>84</v>
      </c>
      <c r="C3033" s="1" t="s">
        <v>3493</v>
      </c>
      <c r="D3033" s="1" t="s">
        <v>3344</v>
      </c>
      <c r="E3033" s="1" t="s">
        <v>22</v>
      </c>
    </row>
    <row r="3034" spans="1:5" x14ac:dyDescent="0.25">
      <c r="A3034" s="13">
        <v>1033688172</v>
      </c>
      <c r="B3034" s="11" t="s">
        <v>116</v>
      </c>
      <c r="C3034" s="1" t="s">
        <v>2370</v>
      </c>
      <c r="D3034" s="1" t="s">
        <v>117</v>
      </c>
      <c r="E3034" s="1" t="s">
        <v>134</v>
      </c>
    </row>
    <row r="3035" spans="1:5" x14ac:dyDescent="0.25">
      <c r="A3035" s="13">
        <v>1033697976</v>
      </c>
      <c r="B3035" s="11" t="s">
        <v>83</v>
      </c>
      <c r="C3035" s="1" t="s">
        <v>3642</v>
      </c>
      <c r="D3035" s="1" t="s">
        <v>3400</v>
      </c>
      <c r="E3035" s="1" t="s">
        <v>196</v>
      </c>
    </row>
    <row r="3036" spans="1:5" x14ac:dyDescent="0.25">
      <c r="A3036" s="13">
        <v>1033700799</v>
      </c>
      <c r="B3036" s="11" t="s">
        <v>83</v>
      </c>
      <c r="C3036" s="1" t="s">
        <v>3494</v>
      </c>
      <c r="D3036" s="1" t="s">
        <v>48</v>
      </c>
      <c r="E3036" s="1" t="s">
        <v>19</v>
      </c>
    </row>
    <row r="3037" spans="1:5" x14ac:dyDescent="0.25">
      <c r="A3037" s="13">
        <v>1033707186</v>
      </c>
      <c r="B3037" s="11" t="s">
        <v>83</v>
      </c>
      <c r="C3037" s="1" t="s">
        <v>2369</v>
      </c>
      <c r="D3037" s="1" t="s">
        <v>1151</v>
      </c>
      <c r="E3037" s="1" t="s">
        <v>123</v>
      </c>
    </row>
    <row r="3038" spans="1:5" x14ac:dyDescent="0.25">
      <c r="A3038" s="13">
        <v>1033709056</v>
      </c>
      <c r="B3038" s="11" t="s">
        <v>83</v>
      </c>
      <c r="C3038" s="1" t="s">
        <v>2368</v>
      </c>
      <c r="D3038" s="1" t="s">
        <v>48</v>
      </c>
      <c r="E3038" s="1" t="s">
        <v>196</v>
      </c>
    </row>
    <row r="3039" spans="1:5" x14ac:dyDescent="0.25">
      <c r="A3039" s="13">
        <v>1033709143</v>
      </c>
      <c r="B3039" s="11" t="s">
        <v>83</v>
      </c>
      <c r="C3039" s="1" t="s">
        <v>2367</v>
      </c>
      <c r="D3039" s="1" t="s">
        <v>141</v>
      </c>
      <c r="E3039" s="1" t="s">
        <v>242</v>
      </c>
    </row>
    <row r="3040" spans="1:5" x14ac:dyDescent="0.25">
      <c r="A3040" s="13">
        <v>1033711408</v>
      </c>
      <c r="B3040" s="11" t="s">
        <v>84</v>
      </c>
      <c r="C3040" s="1" t="s">
        <v>2366</v>
      </c>
      <c r="D3040" s="1" t="s">
        <v>36</v>
      </c>
      <c r="E3040" s="1" t="s">
        <v>17</v>
      </c>
    </row>
    <row r="3041" spans="1:5" x14ac:dyDescent="0.25">
      <c r="A3041" s="13">
        <v>1033719407</v>
      </c>
      <c r="B3041" s="11" t="s">
        <v>83</v>
      </c>
      <c r="C3041" s="1" t="s">
        <v>3495</v>
      </c>
      <c r="D3041" s="1" t="s">
        <v>48</v>
      </c>
      <c r="E3041" s="1" t="s">
        <v>19</v>
      </c>
    </row>
    <row r="3042" spans="1:5" x14ac:dyDescent="0.25">
      <c r="A3042" s="13">
        <v>1033719828</v>
      </c>
      <c r="B3042" s="11" t="s">
        <v>83</v>
      </c>
      <c r="C3042" s="1" t="s">
        <v>2365</v>
      </c>
      <c r="D3042" s="1" t="s">
        <v>246</v>
      </c>
      <c r="E3042" s="1" t="s">
        <v>19</v>
      </c>
    </row>
    <row r="3043" spans="1:5" x14ac:dyDescent="0.25">
      <c r="A3043" s="13">
        <v>1033724304</v>
      </c>
      <c r="B3043" s="11" t="s">
        <v>84</v>
      </c>
      <c r="C3043" s="1" t="s">
        <v>2364</v>
      </c>
      <c r="D3043" s="1" t="s">
        <v>52</v>
      </c>
      <c r="E3043" s="1" t="s">
        <v>22</v>
      </c>
    </row>
    <row r="3044" spans="1:5" x14ac:dyDescent="0.25">
      <c r="A3044" s="13">
        <v>1033724599</v>
      </c>
      <c r="B3044" s="11" t="s">
        <v>83</v>
      </c>
      <c r="C3044" s="1" t="s">
        <v>3643</v>
      </c>
      <c r="D3044" s="1" t="s">
        <v>40</v>
      </c>
      <c r="E3044" s="1" t="s">
        <v>23</v>
      </c>
    </row>
    <row r="3045" spans="1:5" x14ac:dyDescent="0.25">
      <c r="A3045" s="13">
        <v>1033725734</v>
      </c>
      <c r="B3045" s="11" t="s">
        <v>84</v>
      </c>
      <c r="C3045" s="1" t="s">
        <v>2363</v>
      </c>
      <c r="D3045" s="1" t="s">
        <v>38</v>
      </c>
      <c r="E3045" s="1" t="s">
        <v>9</v>
      </c>
    </row>
    <row r="3046" spans="1:5" x14ac:dyDescent="0.25">
      <c r="A3046" s="13">
        <v>1033740156</v>
      </c>
      <c r="B3046" s="11" t="s">
        <v>83</v>
      </c>
      <c r="C3046" s="1" t="s">
        <v>2362</v>
      </c>
      <c r="D3046" s="1" t="s">
        <v>47</v>
      </c>
      <c r="E3046" s="1" t="s">
        <v>19</v>
      </c>
    </row>
    <row r="3047" spans="1:5" x14ac:dyDescent="0.25">
      <c r="A3047" s="13">
        <v>1033747689</v>
      </c>
      <c r="B3047" s="11" t="s">
        <v>83</v>
      </c>
      <c r="C3047" s="1" t="s">
        <v>2361</v>
      </c>
      <c r="D3047" s="1" t="s">
        <v>141</v>
      </c>
      <c r="E3047" s="1" t="s">
        <v>16</v>
      </c>
    </row>
    <row r="3048" spans="1:5" x14ac:dyDescent="0.25">
      <c r="A3048" s="13">
        <v>1033748820</v>
      </c>
      <c r="B3048" s="11" t="s">
        <v>84</v>
      </c>
      <c r="C3048" s="1" t="s">
        <v>2360</v>
      </c>
      <c r="D3048" s="1" t="s">
        <v>38</v>
      </c>
      <c r="E3048" s="1" t="s">
        <v>3121</v>
      </c>
    </row>
    <row r="3049" spans="1:5" x14ac:dyDescent="0.25">
      <c r="A3049" s="13">
        <v>1033754522</v>
      </c>
      <c r="B3049" s="11" t="s">
        <v>83</v>
      </c>
      <c r="C3049" s="1" t="s">
        <v>2359</v>
      </c>
      <c r="D3049" s="1" t="s">
        <v>44</v>
      </c>
      <c r="E3049" s="1" t="s">
        <v>16</v>
      </c>
    </row>
    <row r="3050" spans="1:5" x14ac:dyDescent="0.25">
      <c r="A3050" s="13">
        <v>1033756123</v>
      </c>
      <c r="B3050" s="11" t="s">
        <v>83</v>
      </c>
      <c r="C3050" s="1" t="s">
        <v>2358</v>
      </c>
      <c r="D3050" s="1" t="s">
        <v>47</v>
      </c>
      <c r="E3050" s="1" t="s">
        <v>29</v>
      </c>
    </row>
    <row r="3051" spans="1:5" x14ac:dyDescent="0.25">
      <c r="A3051" s="13">
        <v>1033758644</v>
      </c>
      <c r="B3051" s="11" t="s">
        <v>84</v>
      </c>
      <c r="C3051" s="1" t="s">
        <v>3496</v>
      </c>
      <c r="D3051" s="1" t="s">
        <v>36</v>
      </c>
      <c r="E3051" s="1" t="s">
        <v>3595</v>
      </c>
    </row>
    <row r="3052" spans="1:5" x14ac:dyDescent="0.25">
      <c r="A3052" s="13">
        <v>1033762978</v>
      </c>
      <c r="B3052" s="11" t="s">
        <v>83</v>
      </c>
      <c r="C3052" s="1" t="s">
        <v>2357</v>
      </c>
      <c r="D3052" s="1" t="s">
        <v>141</v>
      </c>
      <c r="E3052" s="1" t="s">
        <v>16</v>
      </c>
    </row>
    <row r="3053" spans="1:5" x14ac:dyDescent="0.25">
      <c r="A3053" s="13">
        <v>1033762993</v>
      </c>
      <c r="B3053" s="11" t="s">
        <v>84</v>
      </c>
      <c r="C3053" s="1" t="s">
        <v>3497</v>
      </c>
      <c r="D3053" s="1" t="s">
        <v>38</v>
      </c>
      <c r="E3053" s="1" t="s">
        <v>12</v>
      </c>
    </row>
    <row r="3054" spans="1:5" x14ac:dyDescent="0.25">
      <c r="A3054" s="13">
        <v>1033763949</v>
      </c>
      <c r="B3054" s="11" t="s">
        <v>83</v>
      </c>
      <c r="C3054" s="1" t="s">
        <v>2356</v>
      </c>
      <c r="D3054" s="1" t="s">
        <v>47</v>
      </c>
      <c r="E3054" s="1" t="s">
        <v>16</v>
      </c>
    </row>
    <row r="3055" spans="1:5" x14ac:dyDescent="0.25">
      <c r="A3055" s="13">
        <v>1033768748</v>
      </c>
      <c r="B3055" s="11" t="s">
        <v>84</v>
      </c>
      <c r="C3055" s="1" t="s">
        <v>3498</v>
      </c>
      <c r="D3055" s="1" t="s">
        <v>38</v>
      </c>
      <c r="E3055" s="1" t="s">
        <v>12</v>
      </c>
    </row>
    <row r="3056" spans="1:5" x14ac:dyDescent="0.25">
      <c r="A3056" s="13">
        <v>1033769579</v>
      </c>
      <c r="B3056" s="11" t="s">
        <v>83</v>
      </c>
      <c r="C3056" s="1" t="s">
        <v>2355</v>
      </c>
      <c r="D3056" s="1" t="s">
        <v>340</v>
      </c>
      <c r="E3056" s="1" t="s">
        <v>23</v>
      </c>
    </row>
    <row r="3057" spans="1:5" x14ac:dyDescent="0.25">
      <c r="A3057" s="13">
        <v>1033770988</v>
      </c>
      <c r="B3057" s="11" t="s">
        <v>83</v>
      </c>
      <c r="C3057" s="1" t="s">
        <v>2354</v>
      </c>
      <c r="D3057" s="1" t="s">
        <v>47</v>
      </c>
      <c r="E3057" s="1" t="s">
        <v>19</v>
      </c>
    </row>
    <row r="3058" spans="1:5" x14ac:dyDescent="0.25">
      <c r="A3058" s="13">
        <v>1033771788</v>
      </c>
      <c r="B3058" s="11" t="s">
        <v>83</v>
      </c>
      <c r="C3058" s="1" t="s">
        <v>2353</v>
      </c>
      <c r="D3058" s="1" t="s">
        <v>47</v>
      </c>
      <c r="E3058" s="1" t="s">
        <v>17</v>
      </c>
    </row>
    <row r="3059" spans="1:5" x14ac:dyDescent="0.25">
      <c r="A3059" s="13">
        <v>1033771906</v>
      </c>
      <c r="B3059" s="11" t="s">
        <v>84</v>
      </c>
      <c r="C3059" s="1" t="s">
        <v>2352</v>
      </c>
      <c r="D3059" s="1" t="s">
        <v>3138</v>
      </c>
      <c r="E3059" s="1" t="s">
        <v>3595</v>
      </c>
    </row>
    <row r="3060" spans="1:5" x14ac:dyDescent="0.25">
      <c r="A3060" s="13">
        <v>1033771921</v>
      </c>
      <c r="B3060" s="11" t="s">
        <v>83</v>
      </c>
      <c r="C3060" s="1" t="s">
        <v>2351</v>
      </c>
      <c r="D3060" s="1" t="s">
        <v>44</v>
      </c>
      <c r="E3060" s="1" t="s">
        <v>16</v>
      </c>
    </row>
    <row r="3061" spans="1:5" x14ac:dyDescent="0.25">
      <c r="A3061" s="13">
        <v>1033774962</v>
      </c>
      <c r="B3061" s="11" t="s">
        <v>83</v>
      </c>
      <c r="C3061" s="1" t="s">
        <v>2350</v>
      </c>
      <c r="D3061" s="1" t="s">
        <v>47</v>
      </c>
      <c r="E3061" s="1" t="s">
        <v>1531</v>
      </c>
    </row>
    <row r="3062" spans="1:5" x14ac:dyDescent="0.25">
      <c r="A3062" s="13">
        <v>1033782231</v>
      </c>
      <c r="B3062" s="11" t="s">
        <v>83</v>
      </c>
      <c r="C3062" s="1" t="s">
        <v>3499</v>
      </c>
      <c r="D3062" s="1" t="s">
        <v>40</v>
      </c>
      <c r="E3062" s="1" t="s">
        <v>23</v>
      </c>
    </row>
    <row r="3063" spans="1:5" x14ac:dyDescent="0.25">
      <c r="A3063" s="13">
        <v>1033787807</v>
      </c>
      <c r="B3063" s="11" t="s">
        <v>84</v>
      </c>
      <c r="C3063" s="1" t="s">
        <v>3082</v>
      </c>
      <c r="D3063" s="1" t="s">
        <v>46</v>
      </c>
      <c r="E3063" s="1" t="s">
        <v>1</v>
      </c>
    </row>
    <row r="3064" spans="1:5" x14ac:dyDescent="0.25">
      <c r="A3064" s="13">
        <v>1033788878</v>
      </c>
      <c r="B3064" s="11" t="s">
        <v>84</v>
      </c>
      <c r="C3064" s="1" t="s">
        <v>2348</v>
      </c>
      <c r="D3064" s="1" t="s">
        <v>47</v>
      </c>
      <c r="E3064" s="1" t="s">
        <v>2349</v>
      </c>
    </row>
    <row r="3065" spans="1:5" x14ac:dyDescent="0.25">
      <c r="A3065" s="13">
        <v>1033791378</v>
      </c>
      <c r="B3065" s="11" t="s">
        <v>83</v>
      </c>
      <c r="C3065" s="1" t="s">
        <v>2347</v>
      </c>
      <c r="D3065" s="1" t="s">
        <v>3198</v>
      </c>
      <c r="E3065" s="1" t="s">
        <v>196</v>
      </c>
    </row>
    <row r="3066" spans="1:5" x14ac:dyDescent="0.25">
      <c r="A3066" s="13">
        <v>1033791641</v>
      </c>
      <c r="B3066" s="11" t="s">
        <v>83</v>
      </c>
      <c r="C3066" s="1" t="s">
        <v>2346</v>
      </c>
      <c r="D3066" s="1" t="s">
        <v>77</v>
      </c>
      <c r="E3066" s="1" t="s">
        <v>210</v>
      </c>
    </row>
    <row r="3067" spans="1:5" x14ac:dyDescent="0.25">
      <c r="A3067" s="13">
        <v>1033794259</v>
      </c>
      <c r="B3067" s="11" t="s">
        <v>84</v>
      </c>
      <c r="C3067" s="1" t="s">
        <v>2345</v>
      </c>
      <c r="D3067" s="1" t="s">
        <v>1222</v>
      </c>
      <c r="E3067" s="1" t="s">
        <v>17</v>
      </c>
    </row>
    <row r="3068" spans="1:5" x14ac:dyDescent="0.25">
      <c r="A3068" s="13">
        <v>1033808056</v>
      </c>
      <c r="B3068" s="11" t="s">
        <v>84</v>
      </c>
      <c r="C3068" s="1" t="s">
        <v>2344</v>
      </c>
      <c r="D3068" s="1" t="s">
        <v>36</v>
      </c>
      <c r="E3068" s="1" t="s">
        <v>17</v>
      </c>
    </row>
    <row r="3069" spans="1:5" x14ac:dyDescent="0.25">
      <c r="A3069" s="13">
        <v>1033808137</v>
      </c>
      <c r="B3069" s="11" t="s">
        <v>83</v>
      </c>
      <c r="C3069" s="1" t="s">
        <v>2343</v>
      </c>
      <c r="D3069" s="1" t="s">
        <v>48</v>
      </c>
      <c r="E3069" s="1" t="s">
        <v>668</v>
      </c>
    </row>
    <row r="3070" spans="1:5" x14ac:dyDescent="0.25">
      <c r="A3070" s="13">
        <v>1033809999</v>
      </c>
      <c r="B3070" s="11" t="s">
        <v>84</v>
      </c>
      <c r="C3070" s="1" t="s">
        <v>3036</v>
      </c>
      <c r="D3070" s="1" t="s">
        <v>3362</v>
      </c>
      <c r="E3070" s="1" t="s">
        <v>1</v>
      </c>
    </row>
    <row r="3071" spans="1:5" x14ac:dyDescent="0.25">
      <c r="A3071" s="13">
        <v>1033820146</v>
      </c>
      <c r="B3071" s="11" t="s">
        <v>83</v>
      </c>
      <c r="C3071" s="1" t="s">
        <v>3692</v>
      </c>
      <c r="D3071" s="1" t="s">
        <v>41</v>
      </c>
      <c r="E3071" s="1" t="s">
        <v>30</v>
      </c>
    </row>
    <row r="3072" spans="1:5" x14ac:dyDescent="0.25">
      <c r="A3072" s="13">
        <v>1034398300</v>
      </c>
      <c r="B3072" s="11" t="s">
        <v>83</v>
      </c>
      <c r="C3072" s="1" t="s">
        <v>3712</v>
      </c>
      <c r="D3072" s="1" t="s">
        <v>36</v>
      </c>
      <c r="E3072" s="1" t="s">
        <v>24</v>
      </c>
    </row>
    <row r="3073" spans="1:5" x14ac:dyDescent="0.25">
      <c r="A3073" s="13">
        <v>1036949558</v>
      </c>
      <c r="B3073" s="11" t="s">
        <v>116</v>
      </c>
      <c r="C3073" s="1" t="s">
        <v>2342</v>
      </c>
      <c r="D3073" s="1" t="s">
        <v>117</v>
      </c>
      <c r="E3073" s="1" t="s">
        <v>3190</v>
      </c>
    </row>
    <row r="3074" spans="1:5" x14ac:dyDescent="0.25">
      <c r="A3074" s="13">
        <v>1045689261</v>
      </c>
      <c r="B3074" s="11" t="s">
        <v>83</v>
      </c>
      <c r="C3074" s="1" t="s">
        <v>2341</v>
      </c>
      <c r="D3074" s="1" t="s">
        <v>47</v>
      </c>
      <c r="E3074" s="1" t="s">
        <v>16</v>
      </c>
    </row>
    <row r="3075" spans="1:5" x14ac:dyDescent="0.25">
      <c r="A3075" s="13">
        <v>1047375666</v>
      </c>
      <c r="B3075" s="11" t="s">
        <v>116</v>
      </c>
      <c r="C3075" s="1" t="s">
        <v>2340</v>
      </c>
      <c r="D3075" s="1" t="s">
        <v>117</v>
      </c>
      <c r="E3075" s="1" t="s">
        <v>263</v>
      </c>
    </row>
    <row r="3076" spans="1:5" x14ac:dyDescent="0.25">
      <c r="A3076" s="13">
        <v>1047393128</v>
      </c>
      <c r="B3076" s="11" t="s">
        <v>84</v>
      </c>
      <c r="C3076" s="1" t="s">
        <v>3015</v>
      </c>
      <c r="D3076" s="1" t="s">
        <v>43</v>
      </c>
      <c r="E3076" s="1" t="s">
        <v>127</v>
      </c>
    </row>
    <row r="3077" spans="1:5" x14ac:dyDescent="0.25">
      <c r="A3077" s="13">
        <v>1047462351</v>
      </c>
      <c r="B3077" s="11" t="s">
        <v>84</v>
      </c>
      <c r="C3077" s="1" t="s">
        <v>3644</v>
      </c>
      <c r="D3077" s="1" t="s">
        <v>36</v>
      </c>
      <c r="E3077" s="1" t="s">
        <v>3595</v>
      </c>
    </row>
    <row r="3078" spans="1:5" x14ac:dyDescent="0.25">
      <c r="A3078" s="13">
        <v>1047477496</v>
      </c>
      <c r="B3078" s="11" t="s">
        <v>83</v>
      </c>
      <c r="C3078" s="1" t="s">
        <v>2339</v>
      </c>
      <c r="D3078" s="1" t="s">
        <v>48</v>
      </c>
      <c r="E3078" s="1" t="s">
        <v>19</v>
      </c>
    </row>
    <row r="3079" spans="1:5" x14ac:dyDescent="0.25">
      <c r="A3079" s="13">
        <v>1049611725</v>
      </c>
      <c r="B3079" s="11" t="s">
        <v>83</v>
      </c>
      <c r="C3079" s="1" t="s">
        <v>2338</v>
      </c>
      <c r="D3079" s="1" t="s">
        <v>47</v>
      </c>
      <c r="E3079" s="1" t="s">
        <v>19</v>
      </c>
    </row>
    <row r="3080" spans="1:5" x14ac:dyDescent="0.25">
      <c r="A3080" s="13">
        <v>1049614165</v>
      </c>
      <c r="B3080" s="11" t="s">
        <v>84</v>
      </c>
      <c r="C3080" s="1" t="s">
        <v>2337</v>
      </c>
      <c r="D3080" s="1" t="s">
        <v>62</v>
      </c>
      <c r="E3080" s="1" t="s">
        <v>3071</v>
      </c>
    </row>
    <row r="3081" spans="1:5" x14ac:dyDescent="0.25">
      <c r="A3081" s="13">
        <v>1049632673</v>
      </c>
      <c r="B3081" s="11" t="s">
        <v>83</v>
      </c>
      <c r="C3081" s="1" t="s">
        <v>2336</v>
      </c>
      <c r="D3081" s="1" t="s">
        <v>63</v>
      </c>
      <c r="E3081" s="1" t="s">
        <v>20</v>
      </c>
    </row>
    <row r="3082" spans="1:5" x14ac:dyDescent="0.25">
      <c r="A3082" s="13">
        <v>1049644802</v>
      </c>
      <c r="B3082" s="11" t="s">
        <v>83</v>
      </c>
      <c r="C3082" s="1" t="s">
        <v>3500</v>
      </c>
      <c r="D3082" s="1" t="s">
        <v>3501</v>
      </c>
      <c r="E3082" s="1" t="s">
        <v>24</v>
      </c>
    </row>
    <row r="3083" spans="1:5" x14ac:dyDescent="0.25">
      <c r="A3083" s="13">
        <v>1050007178</v>
      </c>
      <c r="B3083" s="11" t="s">
        <v>83</v>
      </c>
      <c r="C3083" s="1" t="s">
        <v>2335</v>
      </c>
      <c r="D3083" s="1" t="s">
        <v>44</v>
      </c>
      <c r="E3083" s="1" t="s">
        <v>16</v>
      </c>
    </row>
    <row r="3084" spans="1:5" x14ac:dyDescent="0.25">
      <c r="A3084" s="13">
        <v>1052385616</v>
      </c>
      <c r="B3084" s="11" t="s">
        <v>84</v>
      </c>
      <c r="C3084" s="1" t="s">
        <v>2334</v>
      </c>
      <c r="D3084" s="1" t="s">
        <v>151</v>
      </c>
      <c r="E3084" s="1" t="s">
        <v>152</v>
      </c>
    </row>
    <row r="3085" spans="1:5" x14ac:dyDescent="0.25">
      <c r="A3085" s="13">
        <v>1053324086</v>
      </c>
      <c r="B3085" s="11" t="s">
        <v>83</v>
      </c>
      <c r="C3085" s="1" t="s">
        <v>2333</v>
      </c>
      <c r="D3085" s="1" t="s">
        <v>47</v>
      </c>
      <c r="E3085" s="1" t="s">
        <v>16</v>
      </c>
    </row>
    <row r="3086" spans="1:5" x14ac:dyDescent="0.25">
      <c r="A3086" s="13">
        <v>1053330697</v>
      </c>
      <c r="B3086" s="11" t="s">
        <v>84</v>
      </c>
      <c r="C3086" s="1" t="s">
        <v>3502</v>
      </c>
      <c r="D3086" s="1" t="s">
        <v>43</v>
      </c>
      <c r="E3086" s="1" t="s">
        <v>10</v>
      </c>
    </row>
    <row r="3087" spans="1:5" x14ac:dyDescent="0.25">
      <c r="A3087" s="13">
        <v>1053342965</v>
      </c>
      <c r="B3087" s="11" t="s">
        <v>83</v>
      </c>
      <c r="C3087" s="1" t="s">
        <v>3014</v>
      </c>
      <c r="D3087" s="1" t="s">
        <v>78</v>
      </c>
      <c r="E3087" s="1" t="s">
        <v>21</v>
      </c>
    </row>
    <row r="3088" spans="1:5" x14ac:dyDescent="0.25">
      <c r="A3088" s="13">
        <v>1053807440</v>
      </c>
      <c r="B3088" s="11" t="s">
        <v>84</v>
      </c>
      <c r="C3088" s="1" t="s">
        <v>3005</v>
      </c>
      <c r="D3088" s="1" t="s">
        <v>38</v>
      </c>
      <c r="E3088" s="1" t="s">
        <v>8</v>
      </c>
    </row>
    <row r="3089" spans="1:5" x14ac:dyDescent="0.25">
      <c r="A3089" s="13">
        <v>1053854684</v>
      </c>
      <c r="B3089" s="11" t="s">
        <v>84</v>
      </c>
      <c r="C3089" s="1" t="s">
        <v>2332</v>
      </c>
      <c r="D3089" s="1" t="s">
        <v>92</v>
      </c>
      <c r="E3089" s="1" t="s">
        <v>17</v>
      </c>
    </row>
    <row r="3090" spans="1:5" x14ac:dyDescent="0.25">
      <c r="A3090" s="13">
        <v>1057571376</v>
      </c>
      <c r="B3090" s="11" t="s">
        <v>84</v>
      </c>
      <c r="C3090" s="1" t="s">
        <v>3503</v>
      </c>
      <c r="D3090" s="1" t="s">
        <v>38</v>
      </c>
      <c r="E3090" s="1" t="s">
        <v>7</v>
      </c>
    </row>
    <row r="3091" spans="1:5" x14ac:dyDescent="0.25">
      <c r="A3091" s="13">
        <v>1057574950</v>
      </c>
      <c r="B3091" s="11" t="s">
        <v>83</v>
      </c>
      <c r="C3091" s="1" t="s">
        <v>2331</v>
      </c>
      <c r="D3091" s="1" t="s">
        <v>47</v>
      </c>
      <c r="E3091" s="1" t="s">
        <v>17</v>
      </c>
    </row>
    <row r="3092" spans="1:5" x14ac:dyDescent="0.25">
      <c r="A3092" s="13">
        <v>1057581152</v>
      </c>
      <c r="B3092" s="11" t="s">
        <v>84</v>
      </c>
      <c r="C3092" s="1" t="s">
        <v>3504</v>
      </c>
      <c r="D3092" s="1" t="s">
        <v>3670</v>
      </c>
      <c r="E3092" s="1" t="s">
        <v>27</v>
      </c>
    </row>
    <row r="3093" spans="1:5" x14ac:dyDescent="0.25">
      <c r="A3093" s="13">
        <v>1060652990</v>
      </c>
      <c r="B3093" s="11" t="s">
        <v>84</v>
      </c>
      <c r="C3093" s="1" t="s">
        <v>2330</v>
      </c>
      <c r="D3093" s="1" t="s">
        <v>36</v>
      </c>
      <c r="E3093" s="1" t="s">
        <v>22</v>
      </c>
    </row>
    <row r="3094" spans="1:5" x14ac:dyDescent="0.25">
      <c r="A3094" s="13">
        <v>1064313638</v>
      </c>
      <c r="B3094" s="11" t="s">
        <v>83</v>
      </c>
      <c r="C3094" s="1" t="s">
        <v>2329</v>
      </c>
      <c r="D3094" s="1" t="s">
        <v>1170</v>
      </c>
      <c r="E3094" s="1" t="s">
        <v>248</v>
      </c>
    </row>
    <row r="3095" spans="1:5" x14ac:dyDescent="0.25">
      <c r="A3095" s="13">
        <v>1064722675</v>
      </c>
      <c r="B3095" s="11" t="s">
        <v>83</v>
      </c>
      <c r="C3095" s="1" t="s">
        <v>2328</v>
      </c>
      <c r="D3095" s="1" t="s">
        <v>36</v>
      </c>
      <c r="E3095" s="1" t="s">
        <v>21</v>
      </c>
    </row>
    <row r="3096" spans="1:5" x14ac:dyDescent="0.25">
      <c r="A3096" s="13">
        <v>1065597473</v>
      </c>
      <c r="B3096" s="11" t="s">
        <v>83</v>
      </c>
      <c r="C3096" s="1" t="s">
        <v>2327</v>
      </c>
      <c r="D3096" s="1" t="s">
        <v>47</v>
      </c>
      <c r="E3096" s="1" t="s">
        <v>1531</v>
      </c>
    </row>
    <row r="3097" spans="1:5" x14ac:dyDescent="0.25">
      <c r="A3097" s="13">
        <v>1067854195</v>
      </c>
      <c r="B3097" s="11" t="s">
        <v>83</v>
      </c>
      <c r="C3097" s="1" t="s">
        <v>2326</v>
      </c>
      <c r="D3097" s="1" t="s">
        <v>55</v>
      </c>
      <c r="E3097" s="1" t="s">
        <v>16</v>
      </c>
    </row>
    <row r="3098" spans="1:5" x14ac:dyDescent="0.25">
      <c r="A3098" s="13">
        <v>1069101040</v>
      </c>
      <c r="B3098" s="11" t="s">
        <v>83</v>
      </c>
      <c r="C3098" s="1" t="s">
        <v>2324</v>
      </c>
      <c r="D3098" s="1" t="s">
        <v>2325</v>
      </c>
      <c r="E3098" s="1" t="s">
        <v>18</v>
      </c>
    </row>
    <row r="3099" spans="1:5" x14ac:dyDescent="0.25">
      <c r="A3099" s="13">
        <v>1069306637</v>
      </c>
      <c r="B3099" s="11" t="s">
        <v>84</v>
      </c>
      <c r="C3099" s="1" t="s">
        <v>2323</v>
      </c>
      <c r="D3099" s="1" t="s">
        <v>36</v>
      </c>
      <c r="E3099" s="1" t="s">
        <v>17</v>
      </c>
    </row>
    <row r="3100" spans="1:5" x14ac:dyDescent="0.25">
      <c r="A3100" s="13">
        <v>1069712533</v>
      </c>
      <c r="B3100" s="11" t="s">
        <v>84</v>
      </c>
      <c r="C3100" s="1" t="s">
        <v>3713</v>
      </c>
      <c r="D3100" s="1" t="s">
        <v>498</v>
      </c>
      <c r="E3100" s="1" t="s">
        <v>1</v>
      </c>
    </row>
    <row r="3101" spans="1:5" x14ac:dyDescent="0.25">
      <c r="A3101" s="13">
        <v>1069718527</v>
      </c>
      <c r="B3101" s="11" t="s">
        <v>83</v>
      </c>
      <c r="C3101" s="1" t="s">
        <v>2322</v>
      </c>
      <c r="D3101" s="1" t="s">
        <v>3137</v>
      </c>
      <c r="E3101" s="1" t="s">
        <v>19</v>
      </c>
    </row>
    <row r="3102" spans="1:5" x14ac:dyDescent="0.25">
      <c r="A3102" s="13">
        <v>1069723552</v>
      </c>
      <c r="B3102" s="11" t="s">
        <v>116</v>
      </c>
      <c r="C3102" s="1" t="s">
        <v>2321</v>
      </c>
      <c r="D3102" s="1" t="s">
        <v>117</v>
      </c>
      <c r="E3102" s="1" t="s">
        <v>186</v>
      </c>
    </row>
    <row r="3103" spans="1:5" x14ac:dyDescent="0.25">
      <c r="A3103" s="13">
        <v>1069724855</v>
      </c>
      <c r="B3103" s="11" t="s">
        <v>84</v>
      </c>
      <c r="C3103" s="1" t="s">
        <v>2320</v>
      </c>
      <c r="D3103" s="1" t="s">
        <v>3645</v>
      </c>
      <c r="E3103" s="1" t="s">
        <v>3085</v>
      </c>
    </row>
    <row r="3104" spans="1:5" x14ac:dyDescent="0.25">
      <c r="A3104" s="13">
        <v>1069731466</v>
      </c>
      <c r="B3104" s="11" t="s">
        <v>84</v>
      </c>
      <c r="C3104" s="1" t="s">
        <v>2319</v>
      </c>
      <c r="D3104" s="1" t="s">
        <v>38</v>
      </c>
      <c r="E3104" s="1" t="s">
        <v>134</v>
      </c>
    </row>
    <row r="3105" spans="1:5" x14ac:dyDescent="0.25">
      <c r="A3105" s="13">
        <v>1069738148</v>
      </c>
      <c r="B3105" s="11" t="s">
        <v>83</v>
      </c>
      <c r="C3105" s="1" t="s">
        <v>2318</v>
      </c>
      <c r="D3105" s="1" t="s">
        <v>77</v>
      </c>
      <c r="E3105" s="1" t="s">
        <v>4</v>
      </c>
    </row>
    <row r="3106" spans="1:5" x14ac:dyDescent="0.25">
      <c r="A3106" s="13">
        <v>1069984043</v>
      </c>
      <c r="B3106" s="11" t="s">
        <v>83</v>
      </c>
      <c r="C3106" s="1" t="s">
        <v>3169</v>
      </c>
      <c r="D3106" s="1" t="s">
        <v>79</v>
      </c>
      <c r="E3106" s="1" t="s">
        <v>4</v>
      </c>
    </row>
    <row r="3107" spans="1:5" x14ac:dyDescent="0.25">
      <c r="A3107" s="13">
        <v>1070015759</v>
      </c>
      <c r="B3107" s="11" t="s">
        <v>83</v>
      </c>
      <c r="C3107" s="1" t="s">
        <v>3119</v>
      </c>
      <c r="D3107" s="1" t="s">
        <v>50</v>
      </c>
      <c r="E3107" s="1" t="s">
        <v>21</v>
      </c>
    </row>
    <row r="3108" spans="1:5" x14ac:dyDescent="0.25">
      <c r="A3108" s="13">
        <v>1070922517</v>
      </c>
      <c r="B3108" s="11" t="s">
        <v>84</v>
      </c>
      <c r="C3108" s="1" t="s">
        <v>2317</v>
      </c>
      <c r="D3108" s="1" t="s">
        <v>36</v>
      </c>
      <c r="E3108" s="1" t="s">
        <v>17</v>
      </c>
    </row>
    <row r="3109" spans="1:5" x14ac:dyDescent="0.25">
      <c r="A3109" s="13">
        <v>1070951907</v>
      </c>
      <c r="B3109" s="11" t="s">
        <v>83</v>
      </c>
      <c r="C3109" s="1" t="s">
        <v>2316</v>
      </c>
      <c r="D3109" s="1" t="s">
        <v>47</v>
      </c>
      <c r="E3109" s="1" t="s">
        <v>17</v>
      </c>
    </row>
    <row r="3110" spans="1:5" x14ac:dyDescent="0.25">
      <c r="A3110" s="13">
        <v>1070953510</v>
      </c>
      <c r="B3110" s="11" t="s">
        <v>84</v>
      </c>
      <c r="C3110" s="1" t="s">
        <v>2315</v>
      </c>
      <c r="D3110" s="1" t="s">
        <v>38</v>
      </c>
      <c r="E3110" s="1" t="s">
        <v>12</v>
      </c>
    </row>
    <row r="3111" spans="1:5" x14ac:dyDescent="0.25">
      <c r="A3111" s="13">
        <v>1070965429</v>
      </c>
      <c r="B3111" s="11" t="s">
        <v>83</v>
      </c>
      <c r="C3111" s="1" t="s">
        <v>2314</v>
      </c>
      <c r="D3111" s="1" t="s">
        <v>104</v>
      </c>
      <c r="E3111" s="1" t="s">
        <v>24</v>
      </c>
    </row>
    <row r="3112" spans="1:5" x14ac:dyDescent="0.25">
      <c r="A3112" s="13">
        <v>1070965958</v>
      </c>
      <c r="B3112" s="11" t="s">
        <v>84</v>
      </c>
      <c r="C3112" s="1" t="s">
        <v>2313</v>
      </c>
      <c r="D3112" s="1" t="s">
        <v>43</v>
      </c>
      <c r="E3112" s="1" t="s">
        <v>127</v>
      </c>
    </row>
    <row r="3113" spans="1:5" x14ac:dyDescent="0.25">
      <c r="A3113" s="13">
        <v>1070989946</v>
      </c>
      <c r="B3113" s="11" t="s">
        <v>84</v>
      </c>
      <c r="C3113" s="1" t="s">
        <v>2312</v>
      </c>
      <c r="D3113" s="1" t="s">
        <v>36</v>
      </c>
      <c r="E3113" s="1" t="s">
        <v>17</v>
      </c>
    </row>
    <row r="3114" spans="1:5" x14ac:dyDescent="0.25">
      <c r="A3114" s="13">
        <v>1071329604</v>
      </c>
      <c r="B3114" s="11" t="s">
        <v>84</v>
      </c>
      <c r="C3114" s="1" t="s">
        <v>2311</v>
      </c>
      <c r="D3114" s="1" t="s">
        <v>1381</v>
      </c>
      <c r="E3114" s="1" t="s">
        <v>1</v>
      </c>
    </row>
    <row r="3115" spans="1:5" x14ac:dyDescent="0.25">
      <c r="A3115" s="13">
        <v>1071329799</v>
      </c>
      <c r="B3115" s="11" t="s">
        <v>84</v>
      </c>
      <c r="C3115" s="1" t="s">
        <v>2309</v>
      </c>
      <c r="D3115" s="1" t="s">
        <v>2310</v>
      </c>
      <c r="E3115" s="1" t="s">
        <v>22</v>
      </c>
    </row>
    <row r="3116" spans="1:5" x14ac:dyDescent="0.25">
      <c r="A3116" s="13">
        <v>1071331304</v>
      </c>
      <c r="B3116" s="11" t="s">
        <v>84</v>
      </c>
      <c r="C3116" s="1" t="s">
        <v>2308</v>
      </c>
      <c r="D3116" s="1" t="s">
        <v>38</v>
      </c>
      <c r="E3116" s="1" t="s">
        <v>170</v>
      </c>
    </row>
    <row r="3117" spans="1:5" x14ac:dyDescent="0.25">
      <c r="A3117" s="13">
        <v>1071331814</v>
      </c>
      <c r="B3117" s="11" t="s">
        <v>83</v>
      </c>
      <c r="C3117" s="1" t="s">
        <v>2307</v>
      </c>
      <c r="D3117" s="1" t="s">
        <v>79</v>
      </c>
      <c r="E3117" s="1" t="s">
        <v>21</v>
      </c>
    </row>
    <row r="3118" spans="1:5" x14ac:dyDescent="0.25">
      <c r="A3118" s="13">
        <v>1072625557</v>
      </c>
      <c r="B3118" s="11" t="s">
        <v>84</v>
      </c>
      <c r="C3118" s="1" t="s">
        <v>2304</v>
      </c>
      <c r="D3118" s="1" t="s">
        <v>2305</v>
      </c>
      <c r="E3118" s="1" t="s">
        <v>179</v>
      </c>
    </row>
    <row r="3119" spans="1:5" x14ac:dyDescent="0.25">
      <c r="A3119" s="13">
        <v>1072646885</v>
      </c>
      <c r="B3119" s="11" t="s">
        <v>83</v>
      </c>
      <c r="C3119" s="1" t="s">
        <v>2303</v>
      </c>
      <c r="D3119" s="1" t="s">
        <v>340</v>
      </c>
      <c r="E3119" s="1" t="s">
        <v>23</v>
      </c>
    </row>
    <row r="3120" spans="1:5" x14ac:dyDescent="0.25">
      <c r="A3120" s="13">
        <v>1072652557</v>
      </c>
      <c r="B3120" s="11" t="s">
        <v>84</v>
      </c>
      <c r="C3120" s="1" t="s">
        <v>2302</v>
      </c>
      <c r="D3120" s="1" t="s">
        <v>38</v>
      </c>
      <c r="E3120" s="1" t="s">
        <v>8</v>
      </c>
    </row>
    <row r="3121" spans="1:5" x14ac:dyDescent="0.25">
      <c r="A3121" s="13">
        <v>1072671040</v>
      </c>
      <c r="B3121" s="11" t="s">
        <v>83</v>
      </c>
      <c r="C3121" s="1" t="s">
        <v>3505</v>
      </c>
      <c r="D3121" s="1" t="s">
        <v>3454</v>
      </c>
      <c r="E3121" s="1" t="s">
        <v>19</v>
      </c>
    </row>
    <row r="3122" spans="1:5" x14ac:dyDescent="0.25">
      <c r="A3122" s="13">
        <v>1072894783</v>
      </c>
      <c r="B3122" s="11" t="s">
        <v>116</v>
      </c>
      <c r="C3122" s="1" t="s">
        <v>2301</v>
      </c>
      <c r="D3122" s="1" t="s">
        <v>117</v>
      </c>
      <c r="E3122" s="1" t="s">
        <v>134</v>
      </c>
    </row>
    <row r="3123" spans="1:5" x14ac:dyDescent="0.25">
      <c r="A3123" s="13">
        <v>1073150473</v>
      </c>
      <c r="B3123" s="11" t="s">
        <v>84</v>
      </c>
      <c r="C3123" s="1" t="s">
        <v>2300</v>
      </c>
      <c r="D3123" s="1" t="s">
        <v>38</v>
      </c>
      <c r="E3123" s="1" t="s">
        <v>7</v>
      </c>
    </row>
    <row r="3124" spans="1:5" x14ac:dyDescent="0.25">
      <c r="A3124" s="13">
        <v>1073151861</v>
      </c>
      <c r="B3124" s="11" t="s">
        <v>84</v>
      </c>
      <c r="C3124" s="1" t="s">
        <v>2299</v>
      </c>
      <c r="D3124" s="1" t="s">
        <v>88</v>
      </c>
      <c r="E3124" s="1" t="s">
        <v>1</v>
      </c>
    </row>
    <row r="3125" spans="1:5" x14ac:dyDescent="0.25">
      <c r="A3125" s="13">
        <v>1073158990</v>
      </c>
      <c r="B3125" s="11" t="s">
        <v>83</v>
      </c>
      <c r="C3125" s="1" t="s">
        <v>2298</v>
      </c>
      <c r="D3125" s="1" t="s">
        <v>47</v>
      </c>
      <c r="E3125" s="1" t="s">
        <v>152</v>
      </c>
    </row>
    <row r="3126" spans="1:5" x14ac:dyDescent="0.25">
      <c r="A3126" s="13">
        <v>1073163944</v>
      </c>
      <c r="B3126" s="11" t="s">
        <v>84</v>
      </c>
      <c r="C3126" s="1" t="s">
        <v>2297</v>
      </c>
      <c r="D3126" s="1" t="s">
        <v>38</v>
      </c>
      <c r="E3126" s="1" t="s">
        <v>14</v>
      </c>
    </row>
    <row r="3127" spans="1:5" x14ac:dyDescent="0.25">
      <c r="A3127" s="13">
        <v>1073176891</v>
      </c>
      <c r="B3127" s="11" t="s">
        <v>83</v>
      </c>
      <c r="C3127" s="1" t="s">
        <v>2296</v>
      </c>
      <c r="D3127" s="1" t="s">
        <v>54</v>
      </c>
      <c r="E3127" s="1" t="s">
        <v>16</v>
      </c>
    </row>
    <row r="3128" spans="1:5" x14ac:dyDescent="0.25">
      <c r="A3128" s="13">
        <v>1073178668</v>
      </c>
      <c r="B3128" s="11" t="s">
        <v>84</v>
      </c>
      <c r="C3128" s="1" t="s">
        <v>3506</v>
      </c>
      <c r="D3128" s="1" t="s">
        <v>43</v>
      </c>
      <c r="E3128" s="1" t="s">
        <v>3238</v>
      </c>
    </row>
    <row r="3129" spans="1:5" x14ac:dyDescent="0.25">
      <c r="A3129" s="13">
        <v>1073230882</v>
      </c>
      <c r="B3129" s="11" t="s">
        <v>83</v>
      </c>
      <c r="C3129" s="1" t="s">
        <v>2295</v>
      </c>
      <c r="D3129" s="1" t="s">
        <v>47</v>
      </c>
      <c r="E3129" s="1" t="s">
        <v>152</v>
      </c>
    </row>
    <row r="3130" spans="1:5" x14ac:dyDescent="0.25">
      <c r="A3130" s="13">
        <v>1073232068</v>
      </c>
      <c r="B3130" s="11" t="s">
        <v>83</v>
      </c>
      <c r="C3130" s="1" t="s">
        <v>2294</v>
      </c>
      <c r="D3130" s="1" t="s">
        <v>141</v>
      </c>
      <c r="E3130" s="1" t="s">
        <v>242</v>
      </c>
    </row>
    <row r="3131" spans="1:5" x14ac:dyDescent="0.25">
      <c r="A3131" s="13">
        <v>1073512275</v>
      </c>
      <c r="B3131" s="11" t="s">
        <v>83</v>
      </c>
      <c r="C3131" s="1" t="s">
        <v>2293</v>
      </c>
      <c r="D3131" s="1" t="s">
        <v>47</v>
      </c>
      <c r="E3131" s="1" t="s">
        <v>19</v>
      </c>
    </row>
    <row r="3132" spans="1:5" x14ac:dyDescent="0.25">
      <c r="A3132" s="13">
        <v>1073520623</v>
      </c>
      <c r="B3132" s="11" t="s">
        <v>83</v>
      </c>
      <c r="C3132" s="1" t="s">
        <v>2292</v>
      </c>
      <c r="D3132" s="1" t="s">
        <v>1381</v>
      </c>
      <c r="E3132" s="1" t="s">
        <v>668</v>
      </c>
    </row>
    <row r="3133" spans="1:5" x14ac:dyDescent="0.25">
      <c r="A3133" s="13">
        <v>1073528030</v>
      </c>
      <c r="B3133" s="11" t="s">
        <v>83</v>
      </c>
      <c r="C3133" s="1" t="s">
        <v>2291</v>
      </c>
      <c r="D3133" s="1" t="s">
        <v>47</v>
      </c>
      <c r="E3133" s="1" t="s">
        <v>19</v>
      </c>
    </row>
    <row r="3134" spans="1:5" x14ac:dyDescent="0.25">
      <c r="A3134" s="13">
        <v>1073682257</v>
      </c>
      <c r="B3134" s="11" t="s">
        <v>83</v>
      </c>
      <c r="C3134" s="1" t="s">
        <v>2290</v>
      </c>
      <c r="D3134" s="1" t="s">
        <v>54</v>
      </c>
      <c r="E3134" s="1" t="s">
        <v>16</v>
      </c>
    </row>
    <row r="3135" spans="1:5" x14ac:dyDescent="0.25">
      <c r="A3135" s="13">
        <v>1073690317</v>
      </c>
      <c r="B3135" s="11" t="s">
        <v>84</v>
      </c>
      <c r="C3135" s="1" t="s">
        <v>3507</v>
      </c>
      <c r="D3135" s="1" t="s">
        <v>38</v>
      </c>
      <c r="E3135" s="1" t="s">
        <v>134</v>
      </c>
    </row>
    <row r="3136" spans="1:5" x14ac:dyDescent="0.25">
      <c r="A3136" s="13">
        <v>1073711440</v>
      </c>
      <c r="B3136" s="11" t="s">
        <v>83</v>
      </c>
      <c r="C3136" s="1" t="s">
        <v>2289</v>
      </c>
      <c r="D3136" s="1" t="s">
        <v>104</v>
      </c>
      <c r="E3136" s="1" t="s">
        <v>24</v>
      </c>
    </row>
    <row r="3137" spans="1:5" x14ac:dyDescent="0.25">
      <c r="A3137" s="13">
        <v>1074159398</v>
      </c>
      <c r="B3137" s="11" t="s">
        <v>83</v>
      </c>
      <c r="C3137" s="1" t="s">
        <v>2288</v>
      </c>
      <c r="D3137" s="1" t="s">
        <v>47</v>
      </c>
      <c r="E3137" s="1" t="s">
        <v>29</v>
      </c>
    </row>
    <row r="3138" spans="1:5" x14ac:dyDescent="0.25">
      <c r="A3138" s="13">
        <v>1074160191</v>
      </c>
      <c r="B3138" s="11" t="s">
        <v>84</v>
      </c>
      <c r="C3138" s="1" t="s">
        <v>3508</v>
      </c>
      <c r="D3138" s="1" t="s">
        <v>3473</v>
      </c>
      <c r="E3138" s="1" t="s">
        <v>1</v>
      </c>
    </row>
    <row r="3139" spans="1:5" x14ac:dyDescent="0.25">
      <c r="A3139" s="13">
        <v>1074527083</v>
      </c>
      <c r="B3139" s="11" t="s">
        <v>84</v>
      </c>
      <c r="C3139" s="1" t="s">
        <v>3509</v>
      </c>
      <c r="D3139" s="1" t="s">
        <v>79</v>
      </c>
      <c r="E3139" s="1" t="s">
        <v>1</v>
      </c>
    </row>
    <row r="3140" spans="1:5" x14ac:dyDescent="0.25">
      <c r="A3140" s="13">
        <v>1075282068</v>
      </c>
      <c r="B3140" s="11" t="s">
        <v>116</v>
      </c>
      <c r="C3140" s="1" t="s">
        <v>3510</v>
      </c>
      <c r="D3140" s="1" t="s">
        <v>117</v>
      </c>
      <c r="E3140" s="1" t="s">
        <v>12</v>
      </c>
    </row>
    <row r="3141" spans="1:5" x14ac:dyDescent="0.25">
      <c r="A3141" s="13">
        <v>1075307929</v>
      </c>
      <c r="B3141" s="11" t="s">
        <v>84</v>
      </c>
      <c r="C3141" s="1" t="s">
        <v>3646</v>
      </c>
      <c r="D3141" s="1" t="s">
        <v>38</v>
      </c>
      <c r="E3141" s="1" t="s">
        <v>8</v>
      </c>
    </row>
    <row r="3142" spans="1:5" x14ac:dyDescent="0.25">
      <c r="A3142" s="13">
        <v>1075658668</v>
      </c>
      <c r="B3142" s="11" t="s">
        <v>83</v>
      </c>
      <c r="C3142" s="1" t="s">
        <v>2287</v>
      </c>
      <c r="D3142" s="1" t="s">
        <v>47</v>
      </c>
      <c r="E3142" s="1" t="s">
        <v>19</v>
      </c>
    </row>
    <row r="3143" spans="1:5" x14ac:dyDescent="0.25">
      <c r="A3143" s="13">
        <v>1075872591</v>
      </c>
      <c r="B3143" s="11" t="s">
        <v>83</v>
      </c>
      <c r="C3143" s="1" t="s">
        <v>3168</v>
      </c>
      <c r="D3143" s="1" t="s">
        <v>3149</v>
      </c>
      <c r="E3143" s="1" t="s">
        <v>668</v>
      </c>
    </row>
    <row r="3144" spans="1:5" x14ac:dyDescent="0.25">
      <c r="A3144" s="13">
        <v>1079012207</v>
      </c>
      <c r="B3144" s="11" t="s">
        <v>83</v>
      </c>
      <c r="C3144" s="1" t="s">
        <v>3511</v>
      </c>
      <c r="D3144" s="1" t="s">
        <v>36</v>
      </c>
      <c r="E3144" s="1" t="s">
        <v>21</v>
      </c>
    </row>
    <row r="3145" spans="1:5" x14ac:dyDescent="0.25">
      <c r="A3145" s="13">
        <v>1082155766</v>
      </c>
      <c r="B3145" s="11" t="s">
        <v>83</v>
      </c>
      <c r="C3145" s="1" t="s">
        <v>2285</v>
      </c>
      <c r="D3145" s="1" t="s">
        <v>1222</v>
      </c>
      <c r="E3145" s="1" t="s">
        <v>272</v>
      </c>
    </row>
    <row r="3146" spans="1:5" x14ac:dyDescent="0.25">
      <c r="A3146" s="13">
        <v>1082916320</v>
      </c>
      <c r="B3146" s="11" t="s">
        <v>84</v>
      </c>
      <c r="C3146" s="1" t="s">
        <v>3104</v>
      </c>
      <c r="D3146" s="1" t="s">
        <v>92</v>
      </c>
      <c r="E3146" s="1" t="s">
        <v>3071</v>
      </c>
    </row>
    <row r="3147" spans="1:5" x14ac:dyDescent="0.25">
      <c r="A3147" s="13">
        <v>1082963292</v>
      </c>
      <c r="B3147" s="11" t="s">
        <v>83</v>
      </c>
      <c r="C3147" s="1" t="s">
        <v>3647</v>
      </c>
      <c r="D3147" s="1" t="s">
        <v>57</v>
      </c>
      <c r="E3147" s="1" t="s">
        <v>23</v>
      </c>
    </row>
    <row r="3148" spans="1:5" x14ac:dyDescent="0.25">
      <c r="A3148" s="13">
        <v>1085247220</v>
      </c>
      <c r="B3148" s="11" t="s">
        <v>116</v>
      </c>
      <c r="C3148" s="1" t="s">
        <v>2284</v>
      </c>
      <c r="D3148" s="1" t="s">
        <v>117</v>
      </c>
      <c r="E3148" s="1" t="s">
        <v>336</v>
      </c>
    </row>
    <row r="3149" spans="1:5" x14ac:dyDescent="0.25">
      <c r="A3149" s="13">
        <v>1085267128</v>
      </c>
      <c r="B3149" s="11" t="s">
        <v>84</v>
      </c>
      <c r="C3149" s="1" t="s">
        <v>2283</v>
      </c>
      <c r="D3149" s="1" t="s">
        <v>38</v>
      </c>
      <c r="E3149" s="1" t="s">
        <v>8</v>
      </c>
    </row>
    <row r="3150" spans="1:5" x14ac:dyDescent="0.25">
      <c r="A3150" s="13">
        <v>1087121273</v>
      </c>
      <c r="B3150" s="11" t="s">
        <v>83</v>
      </c>
      <c r="C3150" s="1" t="s">
        <v>3512</v>
      </c>
      <c r="D3150" s="1" t="s">
        <v>94</v>
      </c>
      <c r="E3150" s="1" t="s">
        <v>248</v>
      </c>
    </row>
    <row r="3151" spans="1:5" x14ac:dyDescent="0.25">
      <c r="A3151" s="13">
        <v>1087210902</v>
      </c>
      <c r="B3151" s="11" t="s">
        <v>83</v>
      </c>
      <c r="C3151" s="1" t="s">
        <v>3513</v>
      </c>
      <c r="D3151" s="1" t="s">
        <v>3361</v>
      </c>
      <c r="E3151" s="1" t="s">
        <v>18</v>
      </c>
    </row>
    <row r="3152" spans="1:5" x14ac:dyDescent="0.25">
      <c r="A3152" s="13">
        <v>1088256675</v>
      </c>
      <c r="B3152" s="11" t="s">
        <v>116</v>
      </c>
      <c r="C3152" s="1" t="s">
        <v>2282</v>
      </c>
      <c r="D3152" s="1" t="s">
        <v>117</v>
      </c>
      <c r="E3152" s="1" t="s">
        <v>8</v>
      </c>
    </row>
    <row r="3153" spans="1:5" x14ac:dyDescent="0.25">
      <c r="A3153" s="13">
        <v>1088271590</v>
      </c>
      <c r="B3153" s="11" t="s">
        <v>83</v>
      </c>
      <c r="C3153" s="1" t="s">
        <v>2281</v>
      </c>
      <c r="D3153" s="1" t="s">
        <v>554</v>
      </c>
      <c r="E3153" s="1" t="s">
        <v>4</v>
      </c>
    </row>
    <row r="3154" spans="1:5" x14ac:dyDescent="0.25">
      <c r="A3154" s="13">
        <v>1088296910</v>
      </c>
      <c r="B3154" s="11" t="s">
        <v>83</v>
      </c>
      <c r="C3154" s="1" t="s">
        <v>2280</v>
      </c>
      <c r="D3154" s="1" t="s">
        <v>47</v>
      </c>
      <c r="E3154" s="1" t="s">
        <v>1652</v>
      </c>
    </row>
    <row r="3155" spans="1:5" x14ac:dyDescent="0.25">
      <c r="A3155" s="13">
        <v>1090495027</v>
      </c>
      <c r="B3155" s="11" t="s">
        <v>83</v>
      </c>
      <c r="C3155" s="1" t="s">
        <v>3699</v>
      </c>
      <c r="D3155" s="1" t="s">
        <v>3661</v>
      </c>
      <c r="E3155" s="1" t="s">
        <v>24</v>
      </c>
    </row>
    <row r="3156" spans="1:5" x14ac:dyDescent="0.25">
      <c r="A3156" s="13">
        <v>1090499881</v>
      </c>
      <c r="B3156" s="11" t="s">
        <v>83</v>
      </c>
      <c r="C3156" s="1" t="s">
        <v>3514</v>
      </c>
      <c r="D3156" s="1" t="s">
        <v>3454</v>
      </c>
      <c r="E3156" s="1" t="s">
        <v>19</v>
      </c>
    </row>
    <row r="3157" spans="1:5" x14ac:dyDescent="0.25">
      <c r="A3157" s="13">
        <v>1090524989</v>
      </c>
      <c r="B3157" s="11" t="s">
        <v>83</v>
      </c>
      <c r="C3157" s="1" t="s">
        <v>3714</v>
      </c>
      <c r="D3157" s="1" t="s">
        <v>3715</v>
      </c>
      <c r="E3157" s="1" t="s">
        <v>18</v>
      </c>
    </row>
    <row r="3158" spans="1:5" x14ac:dyDescent="0.25">
      <c r="A3158" s="13">
        <v>1091653531</v>
      </c>
      <c r="B3158" s="11" t="s">
        <v>116</v>
      </c>
      <c r="C3158" s="1" t="s">
        <v>2279</v>
      </c>
      <c r="D3158" s="1" t="s">
        <v>117</v>
      </c>
      <c r="E3158" s="1" t="s">
        <v>881</v>
      </c>
    </row>
    <row r="3159" spans="1:5" x14ac:dyDescent="0.25">
      <c r="A3159" s="13">
        <v>1091656717</v>
      </c>
      <c r="B3159" s="11" t="s">
        <v>116</v>
      </c>
      <c r="C3159" s="1" t="s">
        <v>2278</v>
      </c>
      <c r="D3159" s="1" t="s">
        <v>117</v>
      </c>
      <c r="E3159" s="1" t="s">
        <v>232</v>
      </c>
    </row>
    <row r="3160" spans="1:5" x14ac:dyDescent="0.25">
      <c r="A3160" s="13">
        <v>1092343562</v>
      </c>
      <c r="B3160" s="11" t="s">
        <v>83</v>
      </c>
      <c r="C3160" s="1" t="s">
        <v>2277</v>
      </c>
      <c r="D3160" s="1" t="s">
        <v>141</v>
      </c>
      <c r="E3160" s="1" t="s">
        <v>16</v>
      </c>
    </row>
    <row r="3161" spans="1:5" x14ac:dyDescent="0.25">
      <c r="A3161" s="13">
        <v>1093213742</v>
      </c>
      <c r="B3161" s="11" t="s">
        <v>116</v>
      </c>
      <c r="C3161" s="1" t="s">
        <v>2276</v>
      </c>
      <c r="D3161" s="1" t="s">
        <v>117</v>
      </c>
      <c r="E3161" s="1" t="s">
        <v>3</v>
      </c>
    </row>
    <row r="3162" spans="1:5" x14ac:dyDescent="0.25">
      <c r="A3162" s="13">
        <v>1093773069</v>
      </c>
      <c r="B3162" s="11" t="s">
        <v>84</v>
      </c>
      <c r="C3162" s="1" t="s">
        <v>3515</v>
      </c>
      <c r="D3162" s="1" t="s">
        <v>43</v>
      </c>
      <c r="E3162" s="1" t="s">
        <v>13</v>
      </c>
    </row>
    <row r="3163" spans="1:5" x14ac:dyDescent="0.25">
      <c r="A3163" s="13">
        <v>1093886416</v>
      </c>
      <c r="B3163" s="11" t="s">
        <v>84</v>
      </c>
      <c r="C3163" s="1" t="s">
        <v>2275</v>
      </c>
      <c r="D3163" s="1" t="s">
        <v>36</v>
      </c>
      <c r="E3163" s="1" t="s">
        <v>17</v>
      </c>
    </row>
    <row r="3164" spans="1:5" x14ac:dyDescent="0.25">
      <c r="A3164" s="13">
        <v>1094893845</v>
      </c>
      <c r="B3164" s="11" t="s">
        <v>84</v>
      </c>
      <c r="C3164" s="1" t="s">
        <v>2274</v>
      </c>
      <c r="D3164" s="1" t="s">
        <v>38</v>
      </c>
      <c r="E3164" s="1" t="s">
        <v>12</v>
      </c>
    </row>
    <row r="3165" spans="1:5" x14ac:dyDescent="0.25">
      <c r="A3165" s="13">
        <v>1094904642</v>
      </c>
      <c r="B3165" s="11" t="s">
        <v>116</v>
      </c>
      <c r="C3165" s="1" t="s">
        <v>2273</v>
      </c>
      <c r="D3165" s="1" t="s">
        <v>117</v>
      </c>
      <c r="E3165" s="1" t="s">
        <v>134</v>
      </c>
    </row>
    <row r="3166" spans="1:5" x14ac:dyDescent="0.25">
      <c r="A3166" s="13">
        <v>1094912928</v>
      </c>
      <c r="B3166" s="11" t="s">
        <v>84</v>
      </c>
      <c r="C3166" s="1" t="s">
        <v>2272</v>
      </c>
      <c r="D3166" s="1" t="s">
        <v>43</v>
      </c>
      <c r="E3166" s="1" t="s">
        <v>7</v>
      </c>
    </row>
    <row r="3167" spans="1:5" x14ac:dyDescent="0.25">
      <c r="A3167" s="13">
        <v>1094927950</v>
      </c>
      <c r="B3167" s="11" t="s">
        <v>84</v>
      </c>
      <c r="C3167" s="1" t="s">
        <v>2271</v>
      </c>
      <c r="D3167" s="1" t="s">
        <v>38</v>
      </c>
      <c r="E3167" s="1" t="s">
        <v>5</v>
      </c>
    </row>
    <row r="3168" spans="1:5" x14ac:dyDescent="0.25">
      <c r="A3168" s="13">
        <v>1094929415</v>
      </c>
      <c r="B3168" s="11" t="s">
        <v>83</v>
      </c>
      <c r="C3168" s="1" t="s">
        <v>2270</v>
      </c>
      <c r="D3168" s="1" t="s">
        <v>68</v>
      </c>
      <c r="E3168" s="1" t="s">
        <v>24</v>
      </c>
    </row>
    <row r="3169" spans="1:5" x14ac:dyDescent="0.25">
      <c r="A3169" s="13">
        <v>1097390414</v>
      </c>
      <c r="B3169" s="11" t="s">
        <v>83</v>
      </c>
      <c r="C3169" s="1" t="s">
        <v>3516</v>
      </c>
      <c r="D3169" s="1" t="s">
        <v>48</v>
      </c>
      <c r="E3169" s="1" t="s">
        <v>19</v>
      </c>
    </row>
    <row r="3170" spans="1:5" x14ac:dyDescent="0.25">
      <c r="A3170" s="13">
        <v>1098615643</v>
      </c>
      <c r="B3170" s="11" t="s">
        <v>116</v>
      </c>
      <c r="C3170" s="1" t="s">
        <v>2269</v>
      </c>
      <c r="D3170" s="1" t="s">
        <v>117</v>
      </c>
      <c r="E3170" s="1" t="s">
        <v>6</v>
      </c>
    </row>
    <row r="3171" spans="1:5" x14ac:dyDescent="0.25">
      <c r="A3171" s="13">
        <v>1098672180</v>
      </c>
      <c r="B3171" s="11" t="s">
        <v>83</v>
      </c>
      <c r="C3171" s="1" t="s">
        <v>2268</v>
      </c>
      <c r="D3171" s="1" t="s">
        <v>44</v>
      </c>
      <c r="E3171" s="1" t="s">
        <v>16</v>
      </c>
    </row>
    <row r="3172" spans="1:5" x14ac:dyDescent="0.25">
      <c r="A3172" s="13">
        <v>1098719796</v>
      </c>
      <c r="B3172" s="11" t="s">
        <v>84</v>
      </c>
      <c r="C3172" s="1" t="s">
        <v>2267</v>
      </c>
      <c r="D3172" s="1" t="s">
        <v>38</v>
      </c>
      <c r="E3172" s="1" t="s">
        <v>6</v>
      </c>
    </row>
    <row r="3173" spans="1:5" x14ac:dyDescent="0.25">
      <c r="A3173" s="13">
        <v>1102361742</v>
      </c>
      <c r="B3173" s="11" t="s">
        <v>116</v>
      </c>
      <c r="C3173" s="1" t="s">
        <v>3517</v>
      </c>
      <c r="D3173" s="1" t="s">
        <v>117</v>
      </c>
      <c r="E3173" s="1" t="s">
        <v>3192</v>
      </c>
    </row>
    <row r="3174" spans="1:5" x14ac:dyDescent="0.25">
      <c r="A3174" s="13">
        <v>1102797955</v>
      </c>
      <c r="B3174" s="11" t="s">
        <v>116</v>
      </c>
      <c r="C3174" s="1" t="s">
        <v>2266</v>
      </c>
      <c r="D3174" s="1" t="s">
        <v>117</v>
      </c>
      <c r="E3174" s="1" t="s">
        <v>8</v>
      </c>
    </row>
    <row r="3175" spans="1:5" x14ac:dyDescent="0.25">
      <c r="A3175" s="13">
        <v>1104706299</v>
      </c>
      <c r="B3175" s="11" t="s">
        <v>83</v>
      </c>
      <c r="C3175" s="1" t="s">
        <v>3518</v>
      </c>
      <c r="D3175" s="1" t="s">
        <v>54</v>
      </c>
      <c r="E3175" s="1" t="s">
        <v>16</v>
      </c>
    </row>
    <row r="3176" spans="1:5" x14ac:dyDescent="0.25">
      <c r="A3176" s="13">
        <v>1105681275</v>
      </c>
      <c r="B3176" s="11" t="s">
        <v>83</v>
      </c>
      <c r="C3176" s="1" t="s">
        <v>3519</v>
      </c>
      <c r="D3176" s="1" t="s">
        <v>40</v>
      </c>
      <c r="E3176" s="1" t="s">
        <v>23</v>
      </c>
    </row>
    <row r="3177" spans="1:5" x14ac:dyDescent="0.25">
      <c r="A3177" s="13">
        <v>1106898992</v>
      </c>
      <c r="B3177" s="11" t="s">
        <v>83</v>
      </c>
      <c r="C3177" s="1" t="s">
        <v>2265</v>
      </c>
      <c r="D3177" s="1" t="s">
        <v>44</v>
      </c>
      <c r="E3177" s="1" t="s">
        <v>16</v>
      </c>
    </row>
    <row r="3178" spans="1:5" x14ac:dyDescent="0.25">
      <c r="A3178" s="13">
        <v>1108932221</v>
      </c>
      <c r="B3178" s="11" t="s">
        <v>83</v>
      </c>
      <c r="C3178" s="1" t="s">
        <v>2264</v>
      </c>
      <c r="D3178" s="1" t="s">
        <v>312</v>
      </c>
      <c r="E3178" s="1" t="s">
        <v>242</v>
      </c>
    </row>
    <row r="3179" spans="1:5" x14ac:dyDescent="0.25">
      <c r="A3179" s="13">
        <v>1110443644</v>
      </c>
      <c r="B3179" s="11" t="s">
        <v>84</v>
      </c>
      <c r="C3179" s="1" t="s">
        <v>3648</v>
      </c>
      <c r="D3179" s="1" t="s">
        <v>38</v>
      </c>
      <c r="E3179" s="1" t="s">
        <v>8</v>
      </c>
    </row>
    <row r="3180" spans="1:5" x14ac:dyDescent="0.25">
      <c r="A3180" s="13">
        <v>1110476907</v>
      </c>
      <c r="B3180" s="11" t="s">
        <v>84</v>
      </c>
      <c r="C3180" s="1" t="s">
        <v>2263</v>
      </c>
      <c r="D3180" s="1" t="s">
        <v>43</v>
      </c>
      <c r="E3180" s="1" t="s">
        <v>13</v>
      </c>
    </row>
    <row r="3181" spans="1:5" x14ac:dyDescent="0.25">
      <c r="A3181" s="13">
        <v>1110491057</v>
      </c>
      <c r="B3181" s="11" t="s">
        <v>116</v>
      </c>
      <c r="C3181" s="1" t="s">
        <v>2262</v>
      </c>
      <c r="D3181" s="1" t="s">
        <v>117</v>
      </c>
      <c r="E3181" s="1" t="s">
        <v>12</v>
      </c>
    </row>
    <row r="3182" spans="1:5" x14ac:dyDescent="0.25">
      <c r="A3182" s="13">
        <v>1110492291</v>
      </c>
      <c r="B3182" s="11" t="s">
        <v>83</v>
      </c>
      <c r="C3182" s="1" t="s">
        <v>3684</v>
      </c>
      <c r="D3182" s="1" t="s">
        <v>41</v>
      </c>
      <c r="E3182" s="1" t="s">
        <v>30</v>
      </c>
    </row>
    <row r="3183" spans="1:5" x14ac:dyDescent="0.25">
      <c r="A3183" s="13">
        <v>1110512583</v>
      </c>
      <c r="B3183" s="11" t="s">
        <v>84</v>
      </c>
      <c r="C3183" s="1" t="s">
        <v>3693</v>
      </c>
      <c r="D3183" s="1" t="s">
        <v>38</v>
      </c>
      <c r="E3183" s="1" t="s">
        <v>328</v>
      </c>
    </row>
    <row r="3184" spans="1:5" x14ac:dyDescent="0.25">
      <c r="A3184" s="13">
        <v>1110515665</v>
      </c>
      <c r="B3184" s="11" t="s">
        <v>84</v>
      </c>
      <c r="C3184" s="1" t="s">
        <v>3520</v>
      </c>
      <c r="D3184" s="1" t="s">
        <v>131</v>
      </c>
      <c r="E3184" s="1" t="s">
        <v>131</v>
      </c>
    </row>
    <row r="3185" spans="1:5" x14ac:dyDescent="0.25">
      <c r="A3185" s="13">
        <v>1110518498</v>
      </c>
      <c r="B3185" s="11" t="s">
        <v>84</v>
      </c>
      <c r="C3185" s="1" t="s">
        <v>3521</v>
      </c>
      <c r="D3185" s="1" t="s">
        <v>38</v>
      </c>
      <c r="E3185" s="1" t="s">
        <v>5</v>
      </c>
    </row>
    <row r="3186" spans="1:5" x14ac:dyDescent="0.25">
      <c r="A3186" s="13">
        <v>1110574207</v>
      </c>
      <c r="B3186" s="11" t="s">
        <v>83</v>
      </c>
      <c r="C3186" s="1" t="s">
        <v>3649</v>
      </c>
      <c r="D3186" s="1" t="s">
        <v>56</v>
      </c>
      <c r="E3186" s="1" t="s">
        <v>210</v>
      </c>
    </row>
    <row r="3187" spans="1:5" x14ac:dyDescent="0.25">
      <c r="A3187" s="13">
        <v>1110588462</v>
      </c>
      <c r="B3187" s="11" t="s">
        <v>83</v>
      </c>
      <c r="C3187" s="1" t="s">
        <v>2260</v>
      </c>
      <c r="D3187" s="1" t="s">
        <v>2261</v>
      </c>
      <c r="E3187" s="1" t="s">
        <v>18</v>
      </c>
    </row>
    <row r="3188" spans="1:5" x14ac:dyDescent="0.25">
      <c r="A3188" s="13">
        <v>1111042306</v>
      </c>
      <c r="B3188" s="11" t="s">
        <v>83</v>
      </c>
      <c r="C3188" s="1" t="s">
        <v>3522</v>
      </c>
      <c r="D3188" s="1" t="s">
        <v>79</v>
      </c>
      <c r="E3188" s="1" t="s">
        <v>20</v>
      </c>
    </row>
    <row r="3189" spans="1:5" x14ac:dyDescent="0.25">
      <c r="A3189" s="13">
        <v>1111043661</v>
      </c>
      <c r="B3189" s="11" t="s">
        <v>83</v>
      </c>
      <c r="C3189" s="1" t="s">
        <v>3650</v>
      </c>
      <c r="D3189" s="1" t="s">
        <v>79</v>
      </c>
      <c r="E3189" s="1" t="s">
        <v>248</v>
      </c>
    </row>
    <row r="3190" spans="1:5" x14ac:dyDescent="0.25">
      <c r="A3190" s="13">
        <v>1113627743</v>
      </c>
      <c r="B3190" s="11" t="s">
        <v>84</v>
      </c>
      <c r="C3190" s="1" t="s">
        <v>2259</v>
      </c>
      <c r="D3190" s="1" t="s">
        <v>43</v>
      </c>
      <c r="E3190" s="1" t="s">
        <v>8</v>
      </c>
    </row>
    <row r="3191" spans="1:5" x14ac:dyDescent="0.25">
      <c r="A3191" s="13">
        <v>1115691484</v>
      </c>
      <c r="B3191" s="11" t="s">
        <v>83</v>
      </c>
      <c r="C3191" s="1" t="s">
        <v>3523</v>
      </c>
      <c r="D3191" s="1" t="s">
        <v>57</v>
      </c>
      <c r="E3191" s="1" t="s">
        <v>23</v>
      </c>
    </row>
    <row r="3192" spans="1:5" x14ac:dyDescent="0.25">
      <c r="A3192" s="13">
        <v>1116241721</v>
      </c>
      <c r="B3192" s="11" t="s">
        <v>84</v>
      </c>
      <c r="C3192" s="1" t="s">
        <v>3524</v>
      </c>
      <c r="D3192" s="1" t="s">
        <v>38</v>
      </c>
      <c r="E3192" s="1" t="s">
        <v>7</v>
      </c>
    </row>
    <row r="3193" spans="1:5" x14ac:dyDescent="0.25">
      <c r="A3193" s="13">
        <v>1116260945</v>
      </c>
      <c r="B3193" s="11" t="s">
        <v>116</v>
      </c>
      <c r="C3193" s="1" t="s">
        <v>3651</v>
      </c>
      <c r="D3193" s="1" t="s">
        <v>117</v>
      </c>
      <c r="E3193" s="1" t="s">
        <v>3553</v>
      </c>
    </row>
    <row r="3194" spans="1:5" x14ac:dyDescent="0.25">
      <c r="A3194" s="13">
        <v>1116263969</v>
      </c>
      <c r="B3194" s="11" t="s">
        <v>83</v>
      </c>
      <c r="C3194" s="1" t="s">
        <v>2258</v>
      </c>
      <c r="D3194" s="1" t="s">
        <v>45</v>
      </c>
      <c r="E3194" s="1" t="s">
        <v>18</v>
      </c>
    </row>
    <row r="3195" spans="1:5" x14ac:dyDescent="0.25">
      <c r="A3195" s="13">
        <v>1116788989</v>
      </c>
      <c r="B3195" s="11" t="s">
        <v>84</v>
      </c>
      <c r="C3195" s="1" t="s">
        <v>2257</v>
      </c>
      <c r="D3195" s="1" t="s">
        <v>38</v>
      </c>
      <c r="E3195" s="1" t="s">
        <v>134</v>
      </c>
    </row>
    <row r="3196" spans="1:5" x14ac:dyDescent="0.25">
      <c r="A3196" s="13">
        <v>1116789436</v>
      </c>
      <c r="B3196" s="11" t="s">
        <v>84</v>
      </c>
      <c r="C3196" s="1" t="s">
        <v>2256</v>
      </c>
      <c r="D3196" s="1" t="s">
        <v>38</v>
      </c>
      <c r="E3196" s="1" t="s">
        <v>3</v>
      </c>
    </row>
    <row r="3197" spans="1:5" x14ac:dyDescent="0.25">
      <c r="A3197" s="13">
        <v>1117322510</v>
      </c>
      <c r="B3197" s="11" t="s">
        <v>84</v>
      </c>
      <c r="C3197" s="1" t="s">
        <v>2254</v>
      </c>
      <c r="D3197" s="1" t="s">
        <v>2255</v>
      </c>
      <c r="E3197" s="1" t="s">
        <v>12</v>
      </c>
    </row>
    <row r="3198" spans="1:5" x14ac:dyDescent="0.25">
      <c r="A3198" s="13">
        <v>1117539437</v>
      </c>
      <c r="B3198" s="11" t="s">
        <v>83</v>
      </c>
      <c r="C3198" s="1" t="s">
        <v>2253</v>
      </c>
      <c r="D3198" s="1" t="s">
        <v>199</v>
      </c>
      <c r="E3198" s="1" t="s">
        <v>21</v>
      </c>
    </row>
    <row r="3199" spans="1:5" x14ac:dyDescent="0.25">
      <c r="A3199" s="13">
        <v>1117554931</v>
      </c>
      <c r="B3199" s="11" t="s">
        <v>84</v>
      </c>
      <c r="C3199" s="1" t="s">
        <v>2252</v>
      </c>
      <c r="D3199" s="1" t="s">
        <v>38</v>
      </c>
      <c r="E3199" s="1" t="s">
        <v>15</v>
      </c>
    </row>
    <row r="3200" spans="1:5" x14ac:dyDescent="0.25">
      <c r="A3200" s="13">
        <v>1118533779</v>
      </c>
      <c r="B3200" s="11" t="s">
        <v>83</v>
      </c>
      <c r="C3200" s="1" t="s">
        <v>2251</v>
      </c>
      <c r="D3200" s="1" t="s">
        <v>47</v>
      </c>
      <c r="E3200" s="1" t="s">
        <v>16</v>
      </c>
    </row>
    <row r="3201" spans="1:5" x14ac:dyDescent="0.25">
      <c r="A3201" s="13">
        <v>1118549658</v>
      </c>
      <c r="B3201" s="11" t="s">
        <v>83</v>
      </c>
      <c r="C3201" s="1" t="s">
        <v>2249</v>
      </c>
      <c r="D3201" s="1" t="s">
        <v>2250</v>
      </c>
      <c r="E3201" s="1" t="s">
        <v>248</v>
      </c>
    </row>
    <row r="3202" spans="1:5" x14ac:dyDescent="0.25">
      <c r="A3202" s="13">
        <v>1121816801</v>
      </c>
      <c r="B3202" s="11" t="s">
        <v>116</v>
      </c>
      <c r="C3202" s="1" t="s">
        <v>2244</v>
      </c>
      <c r="D3202" s="1" t="s">
        <v>117</v>
      </c>
      <c r="E3202" s="1" t="s">
        <v>422</v>
      </c>
    </row>
    <row r="3203" spans="1:5" x14ac:dyDescent="0.25">
      <c r="A3203" s="13">
        <v>1121840546</v>
      </c>
      <c r="B3203" s="11" t="s">
        <v>83</v>
      </c>
      <c r="C3203" s="1" t="s">
        <v>3525</v>
      </c>
      <c r="D3203" s="1" t="s">
        <v>50</v>
      </c>
      <c r="E3203" s="1" t="s">
        <v>21</v>
      </c>
    </row>
    <row r="3204" spans="1:5" x14ac:dyDescent="0.25">
      <c r="A3204" s="13">
        <v>1121841203</v>
      </c>
      <c r="B3204" s="11" t="s">
        <v>83</v>
      </c>
      <c r="C3204" s="1" t="s">
        <v>2243</v>
      </c>
      <c r="D3204" s="1" t="s">
        <v>47</v>
      </c>
      <c r="E3204" s="1" t="s">
        <v>19</v>
      </c>
    </row>
    <row r="3205" spans="1:5" x14ac:dyDescent="0.25">
      <c r="A3205" s="13">
        <v>1121886705</v>
      </c>
      <c r="B3205" s="11" t="s">
        <v>83</v>
      </c>
      <c r="C3205" s="1" t="s">
        <v>2242</v>
      </c>
      <c r="D3205" s="1" t="s">
        <v>47</v>
      </c>
      <c r="E3205" s="1" t="s">
        <v>17</v>
      </c>
    </row>
    <row r="3206" spans="1:5" x14ac:dyDescent="0.25">
      <c r="A3206" s="13">
        <v>1121910869</v>
      </c>
      <c r="B3206" s="11" t="s">
        <v>83</v>
      </c>
      <c r="C3206" s="1" t="s">
        <v>3526</v>
      </c>
      <c r="D3206" s="1" t="s">
        <v>56</v>
      </c>
      <c r="E3206" s="1" t="s">
        <v>4</v>
      </c>
    </row>
    <row r="3207" spans="1:5" x14ac:dyDescent="0.25">
      <c r="A3207" s="13">
        <v>1121940299</v>
      </c>
      <c r="B3207" s="11" t="s">
        <v>83</v>
      </c>
      <c r="C3207" s="1" t="s">
        <v>2241</v>
      </c>
      <c r="D3207" s="1" t="s">
        <v>47</v>
      </c>
      <c r="E3207" s="1" t="s">
        <v>19</v>
      </c>
    </row>
    <row r="3208" spans="1:5" x14ac:dyDescent="0.25">
      <c r="A3208" s="13">
        <v>1122127816</v>
      </c>
      <c r="B3208" s="11" t="s">
        <v>84</v>
      </c>
      <c r="C3208" s="1" t="s">
        <v>3527</v>
      </c>
      <c r="D3208" s="1" t="s">
        <v>38</v>
      </c>
      <c r="E3208" s="1" t="s">
        <v>13</v>
      </c>
    </row>
    <row r="3209" spans="1:5" x14ac:dyDescent="0.25">
      <c r="A3209" s="13">
        <v>1123626628</v>
      </c>
      <c r="B3209" s="11" t="s">
        <v>83</v>
      </c>
      <c r="C3209" s="1" t="s">
        <v>2238</v>
      </c>
      <c r="D3209" s="1" t="s">
        <v>47</v>
      </c>
      <c r="E3209" s="1" t="s">
        <v>19</v>
      </c>
    </row>
    <row r="3210" spans="1:5" x14ac:dyDescent="0.25">
      <c r="A3210" s="13">
        <v>1123630822</v>
      </c>
      <c r="B3210" s="11" t="s">
        <v>84</v>
      </c>
      <c r="C3210" s="1" t="s">
        <v>2237</v>
      </c>
      <c r="D3210" s="1" t="s">
        <v>52</v>
      </c>
      <c r="E3210" s="1" t="s">
        <v>22</v>
      </c>
    </row>
    <row r="3211" spans="1:5" x14ac:dyDescent="0.25">
      <c r="A3211" s="13">
        <v>1127227749</v>
      </c>
      <c r="B3211" s="11" t="s">
        <v>83</v>
      </c>
      <c r="C3211" s="1" t="s">
        <v>3047</v>
      </c>
      <c r="D3211" s="1" t="s">
        <v>47</v>
      </c>
      <c r="E3211" s="1" t="s">
        <v>33</v>
      </c>
    </row>
    <row r="3212" spans="1:5" x14ac:dyDescent="0.25">
      <c r="A3212" s="13">
        <v>1127354253</v>
      </c>
      <c r="B3212" s="11" t="s">
        <v>83</v>
      </c>
      <c r="C3212" s="1" t="s">
        <v>2232</v>
      </c>
      <c r="D3212" s="1" t="s">
        <v>48</v>
      </c>
      <c r="E3212" s="1" t="s">
        <v>19</v>
      </c>
    </row>
    <row r="3213" spans="1:5" x14ac:dyDescent="0.25">
      <c r="A3213" s="13">
        <v>1128047111</v>
      </c>
      <c r="B3213" s="11" t="s">
        <v>84</v>
      </c>
      <c r="C3213" s="1" t="s">
        <v>2231</v>
      </c>
      <c r="D3213" s="1" t="s">
        <v>38</v>
      </c>
      <c r="E3213" s="1" t="s">
        <v>6</v>
      </c>
    </row>
    <row r="3214" spans="1:5" x14ac:dyDescent="0.25">
      <c r="A3214" s="13">
        <v>1128270909</v>
      </c>
      <c r="B3214" s="11" t="s">
        <v>116</v>
      </c>
      <c r="C3214" s="1" t="s">
        <v>2230</v>
      </c>
      <c r="D3214" s="1" t="s">
        <v>117</v>
      </c>
      <c r="E3214" s="1" t="s">
        <v>8</v>
      </c>
    </row>
    <row r="3215" spans="1:5" x14ac:dyDescent="0.25">
      <c r="A3215" s="13">
        <v>1130623059</v>
      </c>
      <c r="B3215" s="11" t="s">
        <v>116</v>
      </c>
      <c r="C3215" s="1" t="s">
        <v>2228</v>
      </c>
      <c r="D3215" s="1" t="s">
        <v>117</v>
      </c>
      <c r="E3215" s="1" t="s">
        <v>8</v>
      </c>
    </row>
    <row r="3216" spans="1:5" x14ac:dyDescent="0.25">
      <c r="A3216" s="13">
        <v>1136881445</v>
      </c>
      <c r="B3216" s="11" t="s">
        <v>83</v>
      </c>
      <c r="C3216" s="1" t="s">
        <v>2222</v>
      </c>
      <c r="D3216" s="1" t="s">
        <v>49</v>
      </c>
      <c r="E3216" s="1" t="s">
        <v>18</v>
      </c>
    </row>
    <row r="3217" spans="1:5" x14ac:dyDescent="0.25">
      <c r="A3217" s="13">
        <v>1136885933</v>
      </c>
      <c r="B3217" s="11" t="s">
        <v>84</v>
      </c>
      <c r="C3217" s="1" t="s">
        <v>2221</v>
      </c>
      <c r="D3217" s="1" t="s">
        <v>38</v>
      </c>
      <c r="E3217" s="1" t="s">
        <v>170</v>
      </c>
    </row>
    <row r="3218" spans="1:5" x14ac:dyDescent="0.25">
      <c r="A3218" s="13">
        <v>1136886198</v>
      </c>
      <c r="B3218" s="11" t="s">
        <v>83</v>
      </c>
      <c r="C3218" s="1" t="s">
        <v>2220</v>
      </c>
      <c r="D3218" s="1" t="s">
        <v>47</v>
      </c>
      <c r="E3218" s="1" t="s">
        <v>17</v>
      </c>
    </row>
    <row r="3219" spans="1:5" x14ac:dyDescent="0.25">
      <c r="A3219" s="13">
        <v>1136910113</v>
      </c>
      <c r="B3219" s="11" t="s">
        <v>84</v>
      </c>
      <c r="C3219" s="1" t="s">
        <v>2219</v>
      </c>
      <c r="D3219" s="1" t="s">
        <v>47</v>
      </c>
      <c r="E3219" s="1" t="s">
        <v>6</v>
      </c>
    </row>
    <row r="3220" spans="1:5" x14ac:dyDescent="0.25">
      <c r="A3220" s="13">
        <v>1140415872</v>
      </c>
      <c r="B3220" s="11" t="s">
        <v>83</v>
      </c>
      <c r="C3220" s="1" t="s">
        <v>3528</v>
      </c>
      <c r="D3220" s="1" t="s">
        <v>3134</v>
      </c>
      <c r="E3220" s="1" t="s">
        <v>196</v>
      </c>
    </row>
    <row r="3221" spans="1:5" x14ac:dyDescent="0.25">
      <c r="A3221" s="13">
        <v>1140847678</v>
      </c>
      <c r="B3221" s="11" t="s">
        <v>84</v>
      </c>
      <c r="C3221" s="1" t="s">
        <v>3529</v>
      </c>
      <c r="D3221" s="1" t="s">
        <v>38</v>
      </c>
      <c r="E3221" s="1" t="s">
        <v>9</v>
      </c>
    </row>
    <row r="3222" spans="1:5" x14ac:dyDescent="0.25">
      <c r="A3222" s="13">
        <v>1140855395</v>
      </c>
      <c r="B3222" s="11" t="s">
        <v>84</v>
      </c>
      <c r="C3222" s="1" t="s">
        <v>3530</v>
      </c>
      <c r="D3222" s="1" t="s">
        <v>3142</v>
      </c>
      <c r="E3222" s="1" t="s">
        <v>3071</v>
      </c>
    </row>
    <row r="3223" spans="1:5" x14ac:dyDescent="0.25">
      <c r="A3223" s="13">
        <v>1141317547</v>
      </c>
      <c r="B3223" s="11" t="s">
        <v>84</v>
      </c>
      <c r="C3223" s="1" t="s">
        <v>3694</v>
      </c>
      <c r="D3223" s="1" t="s">
        <v>79</v>
      </c>
      <c r="E3223" s="1" t="s">
        <v>1</v>
      </c>
    </row>
    <row r="3224" spans="1:5" x14ac:dyDescent="0.25">
      <c r="A3224" s="13">
        <v>1141514141</v>
      </c>
      <c r="B3224" s="11" t="s">
        <v>84</v>
      </c>
      <c r="C3224" s="1" t="s">
        <v>3672</v>
      </c>
      <c r="D3224" s="1" t="s">
        <v>381</v>
      </c>
      <c r="E3224" s="1" t="s">
        <v>26</v>
      </c>
    </row>
    <row r="3225" spans="1:5" x14ac:dyDescent="0.25">
      <c r="A3225" s="13">
        <v>1143332426</v>
      </c>
      <c r="B3225" s="11" t="s">
        <v>83</v>
      </c>
      <c r="C3225" s="1" t="s">
        <v>3037</v>
      </c>
      <c r="D3225" s="1" t="s">
        <v>3136</v>
      </c>
      <c r="E3225" s="1" t="s">
        <v>24</v>
      </c>
    </row>
    <row r="3226" spans="1:5" x14ac:dyDescent="0.25">
      <c r="A3226" s="13">
        <v>1144050063</v>
      </c>
      <c r="B3226" s="11" t="s">
        <v>84</v>
      </c>
      <c r="C3226" s="1" t="s">
        <v>2213</v>
      </c>
      <c r="D3226" s="1" t="s">
        <v>43</v>
      </c>
      <c r="E3226" s="1" t="s">
        <v>15</v>
      </c>
    </row>
    <row r="3227" spans="1:5" x14ac:dyDescent="0.25">
      <c r="A3227" s="13">
        <v>1148454724</v>
      </c>
      <c r="B3227" s="11" t="s">
        <v>84</v>
      </c>
      <c r="C3227" s="1" t="s">
        <v>3673</v>
      </c>
      <c r="D3227" s="1" t="s">
        <v>38</v>
      </c>
      <c r="E3227" s="1" t="s">
        <v>10</v>
      </c>
    </row>
    <row r="3228" spans="1:5" x14ac:dyDescent="0.25">
      <c r="A3228" s="13">
        <v>1151199114</v>
      </c>
      <c r="B3228" s="11" t="s">
        <v>83</v>
      </c>
      <c r="C3228" s="1" t="s">
        <v>3153</v>
      </c>
      <c r="D3228" s="1" t="s">
        <v>45</v>
      </c>
      <c r="E3228" s="1" t="s">
        <v>18</v>
      </c>
    </row>
    <row r="3229" spans="1:5" x14ac:dyDescent="0.25">
      <c r="A3229" s="13">
        <v>1152201077</v>
      </c>
      <c r="B3229" s="11" t="s">
        <v>84</v>
      </c>
      <c r="C3229" s="1" t="s">
        <v>3531</v>
      </c>
      <c r="D3229" s="1" t="s">
        <v>38</v>
      </c>
      <c r="E3229" s="1" t="s">
        <v>10</v>
      </c>
    </row>
    <row r="3230" spans="1:5" x14ac:dyDescent="0.25">
      <c r="A3230" s="13">
        <v>1192769448</v>
      </c>
      <c r="B3230" s="11" t="s">
        <v>84</v>
      </c>
      <c r="C3230" s="1" t="s">
        <v>3532</v>
      </c>
      <c r="D3230" s="1" t="s">
        <v>3158</v>
      </c>
      <c r="E3230" s="1" t="s">
        <v>1</v>
      </c>
    </row>
    <row r="3231" spans="1:5" x14ac:dyDescent="0.25">
      <c r="A3231" s="13">
        <v>1192793732</v>
      </c>
      <c r="B3231" s="11" t="s">
        <v>84</v>
      </c>
      <c r="C3231" s="1" t="s">
        <v>3048</v>
      </c>
      <c r="D3231" s="1" t="s">
        <v>36</v>
      </c>
      <c r="E3231" s="1" t="s">
        <v>17</v>
      </c>
    </row>
    <row r="3232" spans="1:5" x14ac:dyDescent="0.25">
      <c r="A3232" s="13">
        <v>1192817316</v>
      </c>
      <c r="B3232" s="11" t="s">
        <v>83</v>
      </c>
      <c r="C3232" s="1" t="s">
        <v>2208</v>
      </c>
      <c r="D3232" s="1" t="s">
        <v>34</v>
      </c>
      <c r="E3232" s="1" t="s">
        <v>21</v>
      </c>
    </row>
    <row r="3233" spans="1:5" x14ac:dyDescent="0.25">
      <c r="A3233" s="13">
        <v>1192899258</v>
      </c>
      <c r="B3233" s="11" t="s">
        <v>83</v>
      </c>
      <c r="C3233" s="1" t="s">
        <v>3652</v>
      </c>
      <c r="D3233" s="1" t="s">
        <v>3653</v>
      </c>
      <c r="E3233" s="1" t="s">
        <v>18</v>
      </c>
    </row>
    <row r="3234" spans="1:5" x14ac:dyDescent="0.25">
      <c r="A3234" s="13">
        <v>1193051177</v>
      </c>
      <c r="B3234" s="11" t="s">
        <v>83</v>
      </c>
      <c r="C3234" s="1" t="s">
        <v>3135</v>
      </c>
      <c r="D3234" s="1" t="s">
        <v>378</v>
      </c>
      <c r="E3234" s="1" t="s">
        <v>16</v>
      </c>
    </row>
    <row r="3235" spans="1:5" x14ac:dyDescent="0.25">
      <c r="A3235" s="13">
        <v>1193071156</v>
      </c>
      <c r="B3235" s="11" t="s">
        <v>83</v>
      </c>
      <c r="C3235" s="1" t="s">
        <v>2207</v>
      </c>
      <c r="D3235" s="1" t="s">
        <v>141</v>
      </c>
      <c r="E3235" s="1" t="s">
        <v>19</v>
      </c>
    </row>
    <row r="3236" spans="1:5" x14ac:dyDescent="0.25">
      <c r="A3236" s="13">
        <v>1193101052</v>
      </c>
      <c r="B3236" s="11" t="s">
        <v>84</v>
      </c>
      <c r="C3236" s="1" t="s">
        <v>3533</v>
      </c>
      <c r="D3236" s="1" t="s">
        <v>3473</v>
      </c>
      <c r="E3236" s="1" t="s">
        <v>1</v>
      </c>
    </row>
    <row r="3237" spans="1:5" x14ac:dyDescent="0.25">
      <c r="A3237" s="13">
        <v>1193150666</v>
      </c>
      <c r="B3237" s="11" t="s">
        <v>84</v>
      </c>
      <c r="C3237" s="1" t="s">
        <v>3654</v>
      </c>
      <c r="D3237" s="1" t="s">
        <v>43</v>
      </c>
      <c r="E3237" s="1" t="s">
        <v>15</v>
      </c>
    </row>
    <row r="3238" spans="1:5" x14ac:dyDescent="0.25">
      <c r="A3238" s="13">
        <v>1193265768</v>
      </c>
      <c r="B3238" s="11" t="s">
        <v>83</v>
      </c>
      <c r="C3238" s="1" t="s">
        <v>3534</v>
      </c>
      <c r="D3238" s="1" t="s">
        <v>246</v>
      </c>
      <c r="E3238" s="1" t="s">
        <v>196</v>
      </c>
    </row>
    <row r="3239" spans="1:5" x14ac:dyDescent="0.25">
      <c r="A3239" s="13">
        <v>1193376686</v>
      </c>
      <c r="B3239" s="11" t="s">
        <v>83</v>
      </c>
      <c r="C3239" s="1" t="s">
        <v>3038</v>
      </c>
      <c r="D3239" s="1" t="s">
        <v>57</v>
      </c>
      <c r="E3239" s="1" t="s">
        <v>23</v>
      </c>
    </row>
    <row r="3240" spans="1:5" x14ac:dyDescent="0.25">
      <c r="A3240" s="13">
        <v>1193442411</v>
      </c>
      <c r="B3240" s="11" t="s">
        <v>84</v>
      </c>
      <c r="C3240" s="1" t="s">
        <v>2206</v>
      </c>
      <c r="D3240" s="1" t="s">
        <v>36</v>
      </c>
      <c r="E3240" s="1" t="s">
        <v>17</v>
      </c>
    </row>
    <row r="3241" spans="1:5" x14ac:dyDescent="0.25">
      <c r="A3241" s="13">
        <v>1193457976</v>
      </c>
      <c r="B3241" s="11" t="s">
        <v>83</v>
      </c>
      <c r="C3241" s="1" t="s">
        <v>3655</v>
      </c>
      <c r="D3241" s="1" t="s">
        <v>79</v>
      </c>
      <c r="E3241" s="1" t="s">
        <v>20</v>
      </c>
    </row>
    <row r="3242" spans="1:5" x14ac:dyDescent="0.25">
      <c r="A3242" s="13">
        <v>1193550701</v>
      </c>
      <c r="B3242" s="11" t="s">
        <v>83</v>
      </c>
      <c r="C3242" s="1" t="s">
        <v>3535</v>
      </c>
      <c r="D3242" s="1" t="s">
        <v>3536</v>
      </c>
      <c r="E3242" s="1" t="s">
        <v>18</v>
      </c>
    </row>
    <row r="3243" spans="1:5" x14ac:dyDescent="0.25">
      <c r="A3243" s="13">
        <v>1193594690</v>
      </c>
      <c r="B3243" s="11" t="s">
        <v>83</v>
      </c>
      <c r="C3243" s="1" t="s">
        <v>2205</v>
      </c>
      <c r="D3243" s="1" t="s">
        <v>1170</v>
      </c>
      <c r="E3243" s="1" t="s">
        <v>248</v>
      </c>
    </row>
    <row r="3244" spans="1:5" x14ac:dyDescent="0.25">
      <c r="A3244" s="13">
        <v>1233497373</v>
      </c>
      <c r="B3244" s="11" t="s">
        <v>83</v>
      </c>
      <c r="C3244" s="1" t="s">
        <v>2200</v>
      </c>
      <c r="D3244" s="1" t="s">
        <v>48</v>
      </c>
      <c r="E3244" s="1" t="s">
        <v>19</v>
      </c>
    </row>
    <row r="3245" spans="1:5" x14ac:dyDescent="0.25">
      <c r="A3245" s="13">
        <v>1233497848</v>
      </c>
      <c r="B3245" s="11" t="s">
        <v>84</v>
      </c>
      <c r="C3245" s="1" t="s">
        <v>2199</v>
      </c>
      <c r="D3245" s="1" t="s">
        <v>381</v>
      </c>
      <c r="E3245" s="1" t="s">
        <v>26</v>
      </c>
    </row>
    <row r="3246" spans="1:5" x14ac:dyDescent="0.25">
      <c r="A3246" s="13">
        <v>1233500803</v>
      </c>
      <c r="B3246" s="11" t="s">
        <v>83</v>
      </c>
      <c r="C3246" s="1" t="s">
        <v>3081</v>
      </c>
      <c r="D3246" s="1" t="s">
        <v>3129</v>
      </c>
      <c r="E3246" s="1" t="s">
        <v>196</v>
      </c>
    </row>
    <row r="3247" spans="1:5" x14ac:dyDescent="0.25">
      <c r="A3247" s="13">
        <v>1233505296</v>
      </c>
      <c r="B3247" s="11" t="s">
        <v>83</v>
      </c>
      <c r="C3247" s="1" t="s">
        <v>2198</v>
      </c>
      <c r="D3247" s="1" t="s">
        <v>63</v>
      </c>
      <c r="E3247" s="1" t="s">
        <v>20</v>
      </c>
    </row>
    <row r="3248" spans="1:5" x14ac:dyDescent="0.25">
      <c r="A3248" s="13">
        <v>1233507910</v>
      </c>
      <c r="B3248" s="11" t="s">
        <v>83</v>
      </c>
      <c r="C3248" s="1" t="s">
        <v>2197</v>
      </c>
      <c r="D3248" s="1" t="s">
        <v>54</v>
      </c>
      <c r="E3248" s="1" t="s">
        <v>16</v>
      </c>
    </row>
    <row r="3249" spans="1:5" x14ac:dyDescent="0.25">
      <c r="A3249" s="13">
        <v>1233510257</v>
      </c>
      <c r="B3249" s="11" t="s">
        <v>84</v>
      </c>
      <c r="C3249" s="1" t="s">
        <v>2196</v>
      </c>
      <c r="D3249" s="1" t="s">
        <v>36</v>
      </c>
      <c r="E3249" s="1" t="s">
        <v>17</v>
      </c>
    </row>
    <row r="3250" spans="1:5" x14ac:dyDescent="0.25">
      <c r="A3250" s="13">
        <v>1233510325</v>
      </c>
      <c r="B3250" s="11" t="s">
        <v>84</v>
      </c>
      <c r="C3250" s="1" t="s">
        <v>2195</v>
      </c>
      <c r="D3250" s="1" t="s">
        <v>36</v>
      </c>
      <c r="E3250" s="1" t="s">
        <v>17</v>
      </c>
    </row>
    <row r="3251" spans="1:5" x14ac:dyDescent="0.25">
      <c r="A3251" s="13">
        <v>1233513133</v>
      </c>
      <c r="B3251" s="11" t="s">
        <v>83</v>
      </c>
      <c r="C3251" s="1" t="s">
        <v>2194</v>
      </c>
      <c r="D3251" s="1" t="s">
        <v>61</v>
      </c>
      <c r="E3251" s="1" t="s">
        <v>359</v>
      </c>
    </row>
    <row r="3252" spans="1:5" x14ac:dyDescent="0.25">
      <c r="A3252" s="13">
        <v>1233690342</v>
      </c>
      <c r="B3252" s="11" t="s">
        <v>83</v>
      </c>
      <c r="C3252" s="1" t="s">
        <v>2193</v>
      </c>
      <c r="D3252" s="1" t="s">
        <v>1170</v>
      </c>
      <c r="E3252" s="1" t="s">
        <v>248</v>
      </c>
    </row>
    <row r="3253" spans="1:5" x14ac:dyDescent="0.25">
      <c r="A3253" s="13">
        <v>1233690515</v>
      </c>
      <c r="B3253" s="11" t="s">
        <v>83</v>
      </c>
      <c r="C3253" s="1" t="s">
        <v>3537</v>
      </c>
      <c r="D3253" s="1" t="s">
        <v>36</v>
      </c>
      <c r="E3253" s="1" t="s">
        <v>21</v>
      </c>
    </row>
    <row r="3254" spans="1:5" x14ac:dyDescent="0.25">
      <c r="A3254" s="13">
        <v>1233690957</v>
      </c>
      <c r="B3254" s="11" t="s">
        <v>84</v>
      </c>
      <c r="C3254" s="1" t="s">
        <v>3538</v>
      </c>
      <c r="D3254" s="1" t="s">
        <v>3282</v>
      </c>
      <c r="E3254" s="1" t="s">
        <v>3572</v>
      </c>
    </row>
    <row r="3255" spans="1:5" x14ac:dyDescent="0.25">
      <c r="A3255" s="13">
        <v>1233692657</v>
      </c>
      <c r="B3255" s="11" t="s">
        <v>84</v>
      </c>
      <c r="C3255" s="1" t="s">
        <v>2192</v>
      </c>
      <c r="D3255" s="1" t="s">
        <v>36</v>
      </c>
      <c r="E3255" s="1" t="s">
        <v>22</v>
      </c>
    </row>
    <row r="3256" spans="1:5" x14ac:dyDescent="0.25">
      <c r="A3256" s="13">
        <v>1233888502</v>
      </c>
      <c r="B3256" s="11" t="s">
        <v>84</v>
      </c>
      <c r="C3256" s="1" t="s">
        <v>2190</v>
      </c>
      <c r="D3256" s="1" t="s">
        <v>2191</v>
      </c>
      <c r="E3256" s="1" t="s">
        <v>17</v>
      </c>
    </row>
    <row r="3257" spans="1:5" x14ac:dyDescent="0.25">
      <c r="A3257" s="13">
        <v>1233888698</v>
      </c>
      <c r="B3257" s="11" t="s">
        <v>84</v>
      </c>
      <c r="C3257" s="1" t="s">
        <v>2189</v>
      </c>
      <c r="D3257" s="1" t="s">
        <v>47</v>
      </c>
      <c r="E3257" s="1" t="s">
        <v>22</v>
      </c>
    </row>
    <row r="3258" spans="1:5" x14ac:dyDescent="0.25">
      <c r="A3258" s="13">
        <v>1233889697</v>
      </c>
      <c r="B3258" s="11" t="s">
        <v>83</v>
      </c>
      <c r="C3258" s="1" t="s">
        <v>2188</v>
      </c>
      <c r="D3258" s="1" t="s">
        <v>1118</v>
      </c>
      <c r="E3258" s="1" t="s">
        <v>21</v>
      </c>
    </row>
    <row r="3259" spans="1:5" x14ac:dyDescent="0.25">
      <c r="A3259" s="13">
        <v>1233892623</v>
      </c>
      <c r="B3259" s="11" t="s">
        <v>84</v>
      </c>
      <c r="C3259" s="1" t="s">
        <v>3539</v>
      </c>
      <c r="D3259" s="1" t="s">
        <v>38</v>
      </c>
      <c r="E3259" s="1" t="s">
        <v>12</v>
      </c>
    </row>
    <row r="3260" spans="1:5" x14ac:dyDescent="0.25">
      <c r="A3260" s="13">
        <v>1233895223</v>
      </c>
      <c r="B3260" s="11" t="s">
        <v>84</v>
      </c>
      <c r="C3260" s="1" t="s">
        <v>3132</v>
      </c>
      <c r="D3260" s="1" t="s">
        <v>3540</v>
      </c>
      <c r="E3260" s="1" t="s">
        <v>1</v>
      </c>
    </row>
    <row r="3261" spans="1:5" x14ac:dyDescent="0.25">
      <c r="A3261" s="13">
        <v>1233900362</v>
      </c>
      <c r="B3261" s="11" t="s">
        <v>84</v>
      </c>
      <c r="C3261" s="1" t="s">
        <v>2187</v>
      </c>
      <c r="D3261" s="1" t="s">
        <v>36</v>
      </c>
      <c r="E3261" s="1" t="s">
        <v>17</v>
      </c>
    </row>
    <row r="3262" spans="1:5" x14ac:dyDescent="0.25">
      <c r="A3262" s="13">
        <v>1233906598</v>
      </c>
      <c r="B3262" s="11" t="s">
        <v>84</v>
      </c>
      <c r="C3262" s="1" t="s">
        <v>2186</v>
      </c>
      <c r="D3262" s="1" t="s">
        <v>36</v>
      </c>
      <c r="E3262" s="1" t="s">
        <v>1</v>
      </c>
    </row>
    <row r="3263" spans="1:5" x14ac:dyDescent="0.25">
      <c r="A3263" s="13">
        <v>1233909402</v>
      </c>
      <c r="B3263" s="11" t="s">
        <v>84</v>
      </c>
      <c r="C3263" s="1" t="s">
        <v>3070</v>
      </c>
      <c r="D3263" s="1" t="s">
        <v>46</v>
      </c>
      <c r="E3263" s="1" t="s">
        <v>1</v>
      </c>
    </row>
    <row r="3264" spans="1:5" x14ac:dyDescent="0.25">
      <c r="A3264" s="13">
        <v>10239258250</v>
      </c>
      <c r="B3264" s="11" t="s">
        <v>83</v>
      </c>
      <c r="C3264" s="1" t="s">
        <v>2574</v>
      </c>
      <c r="D3264" s="1" t="s">
        <v>47</v>
      </c>
      <c r="E3264" s="1" t="s">
        <v>142</v>
      </c>
    </row>
    <row r="3265" spans="1:5" x14ac:dyDescent="0.25">
      <c r="A3265" s="13">
        <v>10239373680</v>
      </c>
      <c r="B3265" s="11" t="s">
        <v>83</v>
      </c>
      <c r="C3265" s="1" t="s">
        <v>2569</v>
      </c>
      <c r="D3265" s="1" t="s">
        <v>47</v>
      </c>
      <c r="E3265" s="1" t="s">
        <v>19</v>
      </c>
    </row>
    <row r="3266" spans="1:5" x14ac:dyDescent="0.25">
      <c r="A3266" s="13">
        <v>10713331814</v>
      </c>
      <c r="B3266" s="11" t="s">
        <v>83</v>
      </c>
      <c r="C3266" s="1" t="s">
        <v>2306</v>
      </c>
      <c r="D3266" s="1" t="s">
        <v>269</v>
      </c>
      <c r="E3266" s="1" t="s">
        <v>237</v>
      </c>
    </row>
    <row r="3267" spans="1:5" x14ac:dyDescent="0.25">
      <c r="A3267" s="13">
        <v>79249383112</v>
      </c>
      <c r="B3267" s="11" t="s">
        <v>109</v>
      </c>
      <c r="C3267" s="1" t="s">
        <v>959</v>
      </c>
      <c r="D3267" s="1" t="s">
        <v>131</v>
      </c>
      <c r="E3267" s="1" t="s">
        <v>131</v>
      </c>
    </row>
    <row r="3268" spans="1:5" x14ac:dyDescent="0.25">
      <c r="A3268" s="13">
        <v>79553614416</v>
      </c>
      <c r="B3268" s="11" t="s">
        <v>109</v>
      </c>
      <c r="C3268" s="1" t="s">
        <v>753</v>
      </c>
      <c r="D3268" s="1" t="s">
        <v>131</v>
      </c>
      <c r="E3268" s="1" t="s">
        <v>131</v>
      </c>
    </row>
    <row r="3269" spans="1:5" x14ac:dyDescent="0.25">
      <c r="A3269" s="13">
        <v>92111853713</v>
      </c>
      <c r="B3269" s="11" t="s">
        <v>83</v>
      </c>
      <c r="C3269" s="1" t="s">
        <v>177</v>
      </c>
      <c r="D3269" s="1" t="s">
        <v>53</v>
      </c>
      <c r="E3269" s="1" t="s">
        <v>4</v>
      </c>
    </row>
    <row r="3270" spans="1:5" x14ac:dyDescent="0.25">
      <c r="A3270" s="13">
        <v>94061430045</v>
      </c>
      <c r="B3270" s="11" t="s">
        <v>83</v>
      </c>
      <c r="C3270" s="1" t="s">
        <v>156</v>
      </c>
      <c r="D3270" s="1" t="s">
        <v>141</v>
      </c>
      <c r="E3270" s="1" t="s">
        <v>16</v>
      </c>
    </row>
    <row r="3271" spans="1:5" x14ac:dyDescent="0.25">
      <c r="A3271" s="13">
        <v>95021319229</v>
      </c>
      <c r="B3271" s="11" t="s">
        <v>83</v>
      </c>
      <c r="C3271" s="1" t="s">
        <v>144</v>
      </c>
      <c r="D3271" s="1" t="s">
        <v>47</v>
      </c>
      <c r="E3271" s="1" t="s">
        <v>142</v>
      </c>
    </row>
    <row r="3272" spans="1:5" x14ac:dyDescent="0.25">
      <c r="A3272" s="13">
        <v>95031810052</v>
      </c>
      <c r="B3272" s="11" t="s">
        <v>83</v>
      </c>
      <c r="C3272" s="1" t="s">
        <v>143</v>
      </c>
      <c r="D3272" s="1" t="s">
        <v>141</v>
      </c>
      <c r="E3272" s="1" t="s">
        <v>142</v>
      </c>
    </row>
    <row r="3273" spans="1:5" x14ac:dyDescent="0.25">
      <c r="A3273" s="13">
        <v>95092907580</v>
      </c>
      <c r="B3273" s="11" t="s">
        <v>83</v>
      </c>
      <c r="C3273" s="1" t="s">
        <v>140</v>
      </c>
      <c r="D3273" s="1" t="s">
        <v>141</v>
      </c>
      <c r="E3273" s="1" t="s">
        <v>142</v>
      </c>
    </row>
    <row r="3274" spans="1:5" x14ac:dyDescent="0.25">
      <c r="A3274" s="13">
        <v>776211091980</v>
      </c>
      <c r="B3274" s="11" t="s">
        <v>83</v>
      </c>
      <c r="C3274" s="1" t="s">
        <v>1002</v>
      </c>
      <c r="D3274" s="1" t="s">
        <v>401</v>
      </c>
      <c r="E3274" s="1" t="s">
        <v>19</v>
      </c>
    </row>
    <row r="3275" spans="1:5" x14ac:dyDescent="0.25">
      <c r="A3275" s="13">
        <v>912807111990</v>
      </c>
      <c r="B3275" s="11" t="s">
        <v>83</v>
      </c>
      <c r="C3275" s="1" t="s">
        <v>193</v>
      </c>
      <c r="D3275" s="1" t="s">
        <v>57</v>
      </c>
      <c r="E3275" s="1" t="s">
        <v>23</v>
      </c>
    </row>
    <row r="3276" spans="1:5" x14ac:dyDescent="0.25">
      <c r="A3276" s="13">
        <v>998619111984</v>
      </c>
      <c r="B3276" s="11" t="s">
        <v>84</v>
      </c>
      <c r="C3276" s="1" t="s">
        <v>124</v>
      </c>
      <c r="D3276" s="1" t="s">
        <v>57</v>
      </c>
      <c r="E3276" s="1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1312"/>
  <sheetViews>
    <sheetView tabSelected="1" zoomScale="90" zoomScaleNormal="90" workbookViewId="0">
      <pane ySplit="1" topLeftCell="A1293" activePane="bottomLeft" state="frozen"/>
      <selection pane="bottomLeft" activeCell="B1313" sqref="B1313"/>
    </sheetView>
  </sheetViews>
  <sheetFormatPr baseColWidth="10" defaultRowHeight="15" x14ac:dyDescent="0.25"/>
  <cols>
    <col min="1" max="1" width="15.85546875" bestFit="1" customWidth="1"/>
    <col min="2" max="2" width="17.7109375" bestFit="1" customWidth="1"/>
    <col min="3" max="3" width="47.7109375" bestFit="1" customWidth="1"/>
    <col min="4" max="4" width="67" bestFit="1" customWidth="1"/>
    <col min="5" max="5" width="69.28515625" bestFit="1" customWidth="1"/>
  </cols>
  <sheetData>
    <row r="1" spans="1:5" ht="15.75" x14ac:dyDescent="0.25">
      <c r="A1" s="6" t="s">
        <v>76</v>
      </c>
      <c r="B1" s="7" t="s">
        <v>0</v>
      </c>
      <c r="C1" s="7" t="s">
        <v>32</v>
      </c>
      <c r="D1" s="8" t="s">
        <v>115</v>
      </c>
      <c r="E1" s="9" t="s">
        <v>82</v>
      </c>
    </row>
    <row r="2" spans="1:5" ht="15.75" x14ac:dyDescent="0.25">
      <c r="A2" s="10">
        <v>79452150</v>
      </c>
      <c r="B2" s="2">
        <v>46023.471010879628</v>
      </c>
      <c r="C2" s="3" t="str">
        <f>IFERROR(VLOOKUP(A2,'Base Prueba'!A:C,3,),"NO REGISTRA")</f>
        <v>JUAN CARLOS PAZ CUBILLOS</v>
      </c>
      <c r="D2" s="4" t="str">
        <f>IFERROR(VLOOKUP(A2,'Base Prueba'!A:D,4,),"NO REGISTRA")</f>
        <v>ANALISTA DE SISTEMAS</v>
      </c>
      <c r="E2" s="5" t="str">
        <f>IFERROR(VLOOKUP(A2,'Base Prueba'!A:E,5,),"NO REGISTRA")</f>
        <v>DEPARTAMENTO DE INFORMATICA Y TECNOLOGIA</v>
      </c>
    </row>
    <row r="3" spans="1:5" ht="15.75" x14ac:dyDescent="0.25">
      <c r="A3" s="10">
        <v>1019029407</v>
      </c>
      <c r="B3" s="2">
        <v>46024.335732754633</v>
      </c>
      <c r="C3" s="3" t="str">
        <f>IFERROR(VLOOKUP(A3,'Base Prueba'!A:C,3,),"NO REGISTRA")</f>
        <v>JUAN FELIPE LOPEZ MOLINA</v>
      </c>
      <c r="D3" s="4" t="str">
        <f>IFERROR(VLOOKUP(A3,'Base Prueba'!A:D,4,),"NO REGISTRA")</f>
        <v>APRENDIZ UNIVERSITARIO</v>
      </c>
      <c r="E3" s="5" t="str">
        <f>IFERROR(VLOOKUP(A3,'Base Prueba'!A:E,5,),"NO REGISTRA")</f>
        <v>DEPARTAMENTO DE INFORMATICA Y TECNOLOGIA</v>
      </c>
    </row>
    <row r="4" spans="1:5" ht="15.75" x14ac:dyDescent="0.25">
      <c r="A4" s="10">
        <v>1019029407</v>
      </c>
      <c r="B4" s="2">
        <v>46024.70822349537</v>
      </c>
      <c r="C4" s="3" t="str">
        <f>IFERROR(VLOOKUP(A4,'Base Prueba'!A:C,3,),"NO REGISTRA")</f>
        <v>JUAN FELIPE LOPEZ MOLINA</v>
      </c>
      <c r="D4" s="4" t="str">
        <f>IFERROR(VLOOKUP(A4,'Base Prueba'!A:D,4,),"NO REGISTRA")</f>
        <v>APRENDIZ UNIVERSITARIO</v>
      </c>
      <c r="E4" s="5" t="str">
        <f>IFERROR(VLOOKUP(A4,'Base Prueba'!A:E,5,),"NO REGISTRA")</f>
        <v>DEPARTAMENTO DE INFORMATICA Y TECNOLOGIA</v>
      </c>
    </row>
    <row r="5" spans="1:5" ht="15.75" x14ac:dyDescent="0.25">
      <c r="A5" s="10">
        <v>79452150</v>
      </c>
      <c r="B5" s="2">
        <v>46024.756093865741</v>
      </c>
      <c r="C5" s="3" t="str">
        <f>IFERROR(VLOOKUP(A5,'Base Prueba'!A:C,3,),"NO REGISTRA")</f>
        <v>JUAN CARLOS PAZ CUBILLOS</v>
      </c>
      <c r="D5" s="4" t="str">
        <f>IFERROR(VLOOKUP(A5,'Base Prueba'!A:D,4,),"NO REGISTRA")</f>
        <v>ANALISTA DE SISTEMAS</v>
      </c>
      <c r="E5" s="5" t="str">
        <f>IFERROR(VLOOKUP(A5,'Base Prueba'!A:E,5,),"NO REGISTRA")</f>
        <v>DEPARTAMENTO DE INFORMATICA Y TECNOLOGIA</v>
      </c>
    </row>
    <row r="6" spans="1:5" ht="15.75" x14ac:dyDescent="0.25">
      <c r="A6" s="10">
        <v>1019029407</v>
      </c>
      <c r="B6" s="2">
        <v>46025.341099421297</v>
      </c>
      <c r="C6" s="3" t="str">
        <f>IFERROR(VLOOKUP(A6,'Base Prueba'!A:C,3,),"NO REGISTRA")</f>
        <v>JUAN FELIPE LOPEZ MOLINA</v>
      </c>
      <c r="D6" s="4" t="str">
        <f>IFERROR(VLOOKUP(A6,'Base Prueba'!A:D,4,),"NO REGISTRA")</f>
        <v>APRENDIZ UNIVERSITARIO</v>
      </c>
      <c r="E6" s="5" t="str">
        <f>IFERROR(VLOOKUP(A6,'Base Prueba'!A:E,5,),"NO REGISTRA")</f>
        <v>DEPARTAMENTO DE INFORMATICA Y TECNOLOGIA</v>
      </c>
    </row>
    <row r="7" spans="1:5" ht="15.75" x14ac:dyDescent="0.25">
      <c r="A7" s="10">
        <v>1019029407</v>
      </c>
      <c r="B7" s="2">
        <v>46025.469604976854</v>
      </c>
      <c r="C7" s="3" t="str">
        <f>IFERROR(VLOOKUP(A7,'Base Prueba'!A:C,3,),"NO REGISTRA")</f>
        <v>JUAN FELIPE LOPEZ MOLINA</v>
      </c>
      <c r="D7" s="4" t="str">
        <f>IFERROR(VLOOKUP(A7,'Base Prueba'!A:D,4,),"NO REGISTRA")</f>
        <v>APRENDIZ UNIVERSITARIO</v>
      </c>
      <c r="E7" s="5" t="str">
        <f>IFERROR(VLOOKUP(A7,'Base Prueba'!A:E,5,),"NO REGISTRA")</f>
        <v>DEPARTAMENTO DE INFORMATICA Y TECNOLOGIA</v>
      </c>
    </row>
    <row r="8" spans="1:5" ht="15.75" x14ac:dyDescent="0.25">
      <c r="A8" s="10">
        <v>79452150</v>
      </c>
      <c r="B8" s="2">
        <v>46025.500517361113</v>
      </c>
      <c r="C8" s="3" t="str">
        <f>IFERROR(VLOOKUP(A8,'Base Prueba'!A:C,3,),"NO REGISTRA")</f>
        <v>JUAN CARLOS PAZ CUBILLOS</v>
      </c>
      <c r="D8" s="4" t="str">
        <f>IFERROR(VLOOKUP(A8,'Base Prueba'!A:D,4,),"NO REGISTRA")</f>
        <v>ANALISTA DE SISTEMAS</v>
      </c>
      <c r="E8" s="5" t="str">
        <f>IFERROR(VLOOKUP(A8,'Base Prueba'!A:E,5,),"NO REGISTRA")</f>
        <v>DEPARTAMENTO DE INFORMATICA Y TECNOLOGIA</v>
      </c>
    </row>
    <row r="9" spans="1:5" ht="15.75" x14ac:dyDescent="0.25">
      <c r="A9" s="10">
        <v>1019029407</v>
      </c>
      <c r="B9" s="2">
        <v>46027.338617592592</v>
      </c>
      <c r="C9" s="3" t="str">
        <f>IFERROR(VLOOKUP(A9,'Base Prueba'!A:C,3,),"NO REGISTRA")</f>
        <v>JUAN FELIPE LOPEZ MOLINA</v>
      </c>
      <c r="D9" s="4" t="str">
        <f>IFERROR(VLOOKUP(A9,'Base Prueba'!A:D,4,),"NO REGISTRA")</f>
        <v>APRENDIZ UNIVERSITARIO</v>
      </c>
      <c r="E9" s="5" t="str">
        <f>IFERROR(VLOOKUP(A9,'Base Prueba'!A:E,5,),"NO REGISTRA")</f>
        <v>DEPARTAMENTO DE INFORMATICA Y TECNOLOGIA</v>
      </c>
    </row>
    <row r="10" spans="1:5" ht="15.75" x14ac:dyDescent="0.25">
      <c r="A10" s="10">
        <v>1022378300</v>
      </c>
      <c r="B10" s="2">
        <v>46027.37551273148</v>
      </c>
      <c r="C10" s="3" t="str">
        <f>IFERROR(VLOOKUP(A10,'Base Prueba'!A:C,3,),"NO REGISTRA")</f>
        <v>FERNEY ANDRES CHASPUENGAL RAMIREZ</v>
      </c>
      <c r="D10" s="4" t="str">
        <f>IFERROR(VLOOKUP(A10,'Base Prueba'!A:D,4,),"NO REGISTRA")</f>
        <v>LÍDER DE DEPORTE Y CULTURA</v>
      </c>
      <c r="E10" s="5" t="str">
        <f>IFERROR(VLOOKUP(A10,'Base Prueba'!A:E,5,),"NO REGISTRA")</f>
        <v>DIRECCION DE BIENESTAR INSTITUCIONAL</v>
      </c>
    </row>
    <row r="11" spans="1:5" ht="15.75" x14ac:dyDescent="0.25">
      <c r="A11" s="10">
        <v>1014736595</v>
      </c>
      <c r="B11" s="2">
        <v>46027.375543287038</v>
      </c>
      <c r="C11" s="3" t="str">
        <f>IFERROR(VLOOKUP(A11,'Base Prueba'!A:C,3,),"NO REGISTRA")</f>
        <v>PAULA ANDREA PAEZ BUITRAGO</v>
      </c>
      <c r="D11" s="4" t="str">
        <f>IFERROR(VLOOKUP(A11,'Base Prueba'!A:D,4,),"NO REGISTRA")</f>
        <v>PROMOTOR DE BIENESTAR INSTITUCIONAL</v>
      </c>
      <c r="E11" s="5" t="str">
        <f>IFERROR(VLOOKUP(A11,'Base Prueba'!A:E,5,),"NO REGISTRA")</f>
        <v>DIRECCION DE BIENESTAR INSTITUCIONAL</v>
      </c>
    </row>
    <row r="12" spans="1:5" ht="15.75" x14ac:dyDescent="0.25">
      <c r="A12" s="10">
        <v>1019029407</v>
      </c>
      <c r="B12" s="2">
        <v>46027.709931712961</v>
      </c>
      <c r="C12" s="3" t="str">
        <f>IFERROR(VLOOKUP(A12,'Base Prueba'!A:C,3,),"NO REGISTRA")</f>
        <v>JUAN FELIPE LOPEZ MOLINA</v>
      </c>
      <c r="D12" s="4" t="str">
        <f>IFERROR(VLOOKUP(A12,'Base Prueba'!A:D,4,),"NO REGISTRA")</f>
        <v>APRENDIZ UNIVERSITARIO</v>
      </c>
      <c r="E12" s="5" t="str">
        <f>IFERROR(VLOOKUP(A12,'Base Prueba'!A:E,5,),"NO REGISTRA")</f>
        <v>DEPARTAMENTO DE INFORMATICA Y TECNOLOGIA</v>
      </c>
    </row>
    <row r="13" spans="1:5" ht="15.75" x14ac:dyDescent="0.25">
      <c r="A13" s="10">
        <v>1023954848</v>
      </c>
      <c r="B13" s="2">
        <v>46027.751381249996</v>
      </c>
      <c r="C13" s="3" t="str">
        <f>IFERROR(VLOOKUP(A13,'Base Prueba'!A:C,3,),"NO REGISTRA")</f>
        <v>JUAN CARLOS ESPITIA ORTIZ</v>
      </c>
      <c r="D13" s="4" t="str">
        <f>IFERROR(VLOOKUP(A13,'Base Prueba'!A:D,4,),"NO REGISTRA")</f>
        <v>ANALISTA DE INFRAESTRUCTURA</v>
      </c>
      <c r="E13" s="5" t="str">
        <f>IFERROR(VLOOKUP(A13,'Base Prueba'!A:E,5,),"NO REGISTRA")</f>
        <v>DEPARTAMENTO DE INFORMATICA Y TECNOLOGIA</v>
      </c>
    </row>
    <row r="14" spans="1:5" ht="15.75" x14ac:dyDescent="0.25">
      <c r="A14" s="10">
        <v>79452150</v>
      </c>
      <c r="B14" s="2">
        <v>46027.792426736109</v>
      </c>
      <c r="C14" s="3" t="str">
        <f>IFERROR(VLOOKUP(A14,'Base Prueba'!A:C,3,),"NO REGISTRA")</f>
        <v>JUAN CARLOS PAZ CUBILLOS</v>
      </c>
      <c r="D14" s="4" t="str">
        <f>IFERROR(VLOOKUP(A14,'Base Prueba'!A:D,4,),"NO REGISTRA")</f>
        <v>ANALISTA DE SISTEMAS</v>
      </c>
      <c r="E14" s="5" t="str">
        <f>IFERROR(VLOOKUP(A14,'Base Prueba'!A:E,5,),"NO REGISTRA")</f>
        <v>DEPARTAMENTO DE INFORMATICA Y TECNOLOGIA</v>
      </c>
    </row>
    <row r="15" spans="1:5" ht="15.75" x14ac:dyDescent="0.25">
      <c r="A15" s="10">
        <v>1019029407</v>
      </c>
      <c r="B15" s="2">
        <v>46028.343241203707</v>
      </c>
      <c r="C15" s="3" t="str">
        <f>IFERROR(VLOOKUP(A15,'Base Prueba'!A:C,3,),"NO REGISTRA")</f>
        <v>JUAN FELIPE LOPEZ MOLINA</v>
      </c>
      <c r="D15" s="4" t="str">
        <f>IFERROR(VLOOKUP(A15,'Base Prueba'!A:D,4,),"NO REGISTRA")</f>
        <v>APRENDIZ UNIVERSITARIO</v>
      </c>
      <c r="E15" s="5" t="str">
        <f>IFERROR(VLOOKUP(A15,'Base Prueba'!A:E,5,),"NO REGISTRA")</f>
        <v>DEPARTAMENTO DE INFORMATICA Y TECNOLOGIA</v>
      </c>
    </row>
    <row r="16" spans="1:5" ht="15.75" x14ac:dyDescent="0.25">
      <c r="A16" s="10">
        <v>1022378300</v>
      </c>
      <c r="B16" s="2">
        <v>46028.373872222219</v>
      </c>
      <c r="C16" s="3" t="str">
        <f>IFERROR(VLOOKUP(A16,'Base Prueba'!A:C,3,),"NO REGISTRA")</f>
        <v>FERNEY ANDRES CHASPUENGAL RAMIREZ</v>
      </c>
      <c r="D16" s="4" t="str">
        <f>IFERROR(VLOOKUP(A16,'Base Prueba'!A:D,4,),"NO REGISTRA")</f>
        <v>LÍDER DE DEPORTE Y CULTURA</v>
      </c>
      <c r="E16" s="5" t="str">
        <f>IFERROR(VLOOKUP(A16,'Base Prueba'!A:E,5,),"NO REGISTRA")</f>
        <v>DIRECCION DE BIENESTAR INSTITUCIONAL</v>
      </c>
    </row>
    <row r="17" spans="1:5" ht="15.75" x14ac:dyDescent="0.25">
      <c r="A17" s="10">
        <v>1019029407</v>
      </c>
      <c r="B17" s="2">
        <v>46028.712837847219</v>
      </c>
      <c r="C17" s="3" t="str">
        <f>IFERROR(VLOOKUP(A17,'Base Prueba'!A:C,3,),"NO REGISTRA")</f>
        <v>JUAN FELIPE LOPEZ MOLINA</v>
      </c>
      <c r="D17" s="4" t="str">
        <f>IFERROR(VLOOKUP(A17,'Base Prueba'!A:D,4,),"NO REGISTRA")</f>
        <v>APRENDIZ UNIVERSITARIO</v>
      </c>
      <c r="E17" s="5" t="str">
        <f>IFERROR(VLOOKUP(A17,'Base Prueba'!A:E,5,),"NO REGISTRA")</f>
        <v>DEPARTAMENTO DE INFORMATICA Y TECNOLOGIA</v>
      </c>
    </row>
    <row r="18" spans="1:5" ht="15.75" x14ac:dyDescent="0.25">
      <c r="A18" s="10">
        <v>79452150</v>
      </c>
      <c r="B18" s="2">
        <v>46028.796379976855</v>
      </c>
      <c r="C18" s="3" t="str">
        <f>IFERROR(VLOOKUP(A18,'Base Prueba'!A:C,3,),"NO REGISTRA")</f>
        <v>JUAN CARLOS PAZ CUBILLOS</v>
      </c>
      <c r="D18" s="4" t="str">
        <f>IFERROR(VLOOKUP(A18,'Base Prueba'!A:D,4,),"NO REGISTRA")</f>
        <v>ANALISTA DE SISTEMAS</v>
      </c>
      <c r="E18" s="5" t="str">
        <f>IFERROR(VLOOKUP(A18,'Base Prueba'!A:E,5,),"NO REGISTRA")</f>
        <v>DEPARTAMENTO DE INFORMATICA Y TECNOLOGIA</v>
      </c>
    </row>
    <row r="19" spans="1:5" ht="15.75" x14ac:dyDescent="0.25">
      <c r="A19" s="10">
        <v>1019029407</v>
      </c>
      <c r="B19" s="2">
        <v>46029.335926388892</v>
      </c>
      <c r="C19" s="3" t="str">
        <f>IFERROR(VLOOKUP(A19,'Base Prueba'!A:C,3,),"NO REGISTRA")</f>
        <v>JUAN FELIPE LOPEZ MOLINA</v>
      </c>
      <c r="D19" s="4" t="str">
        <f>IFERROR(VLOOKUP(A19,'Base Prueba'!A:D,4,),"NO REGISTRA")</f>
        <v>APRENDIZ UNIVERSITARIO</v>
      </c>
      <c r="E19" s="5" t="str">
        <f>IFERROR(VLOOKUP(A19,'Base Prueba'!A:E,5,),"NO REGISTRA")</f>
        <v>DEPARTAMENTO DE INFORMATICA Y TECNOLOGIA</v>
      </c>
    </row>
    <row r="20" spans="1:5" ht="15.75" x14ac:dyDescent="0.25">
      <c r="A20" s="10">
        <v>1019029407</v>
      </c>
      <c r="B20" s="2">
        <v>46029.750822222224</v>
      </c>
      <c r="C20" s="3" t="str">
        <f>IFERROR(VLOOKUP(A20,'Base Prueba'!A:C,3,),"NO REGISTRA")</f>
        <v>JUAN FELIPE LOPEZ MOLINA</v>
      </c>
      <c r="D20" s="4" t="str">
        <f>IFERROR(VLOOKUP(A20,'Base Prueba'!A:D,4,),"NO REGISTRA")</f>
        <v>APRENDIZ UNIVERSITARIO</v>
      </c>
      <c r="E20" s="5" t="str">
        <f>IFERROR(VLOOKUP(A20,'Base Prueba'!A:E,5,),"NO REGISTRA")</f>
        <v>DEPARTAMENTO DE INFORMATICA Y TECNOLOGIA</v>
      </c>
    </row>
    <row r="21" spans="1:5" ht="15.75" x14ac:dyDescent="0.25">
      <c r="A21" s="10">
        <v>79452150</v>
      </c>
      <c r="B21" s="2">
        <v>46029.794932175922</v>
      </c>
      <c r="C21" s="3" t="str">
        <f>IFERROR(VLOOKUP(A21,'Base Prueba'!A:C,3,),"NO REGISTRA")</f>
        <v>JUAN CARLOS PAZ CUBILLOS</v>
      </c>
      <c r="D21" s="4" t="str">
        <f>IFERROR(VLOOKUP(A21,'Base Prueba'!A:D,4,),"NO REGISTRA")</f>
        <v>ANALISTA DE SISTEMAS</v>
      </c>
      <c r="E21" s="5" t="str">
        <f>IFERROR(VLOOKUP(A21,'Base Prueba'!A:E,5,),"NO REGISTRA")</f>
        <v>DEPARTAMENTO DE INFORMATICA Y TECNOLOGIA</v>
      </c>
    </row>
    <row r="22" spans="1:5" ht="15.75" x14ac:dyDescent="0.25">
      <c r="A22" s="10">
        <v>1019029407</v>
      </c>
      <c r="B22" s="2">
        <v>46030.335314467593</v>
      </c>
      <c r="C22" s="3" t="str">
        <f>IFERROR(VLOOKUP(A22,'Base Prueba'!A:C,3,),"NO REGISTRA")</f>
        <v>JUAN FELIPE LOPEZ MOLINA</v>
      </c>
      <c r="D22" s="4" t="str">
        <f>IFERROR(VLOOKUP(A22,'Base Prueba'!A:D,4,),"NO REGISTRA")</f>
        <v>APRENDIZ UNIVERSITARIO</v>
      </c>
      <c r="E22" s="5" t="str">
        <f>IFERROR(VLOOKUP(A22,'Base Prueba'!A:E,5,),"NO REGISTRA")</f>
        <v>DEPARTAMENTO DE INFORMATICA Y TECNOLOGIA</v>
      </c>
    </row>
    <row r="23" spans="1:5" ht="15.75" x14ac:dyDescent="0.25">
      <c r="A23" s="10">
        <v>1019029407</v>
      </c>
      <c r="B23" s="2">
        <v>46030.715180671294</v>
      </c>
      <c r="C23" s="3" t="str">
        <f>IFERROR(VLOOKUP(A23,'Base Prueba'!A:C,3,),"NO REGISTRA")</f>
        <v>JUAN FELIPE LOPEZ MOLINA</v>
      </c>
      <c r="D23" s="4" t="str">
        <f>IFERROR(VLOOKUP(A23,'Base Prueba'!A:D,4,),"NO REGISTRA")</f>
        <v>APRENDIZ UNIVERSITARIO</v>
      </c>
      <c r="E23" s="5" t="str">
        <f>IFERROR(VLOOKUP(A23,'Base Prueba'!A:E,5,),"NO REGISTRA")</f>
        <v>DEPARTAMENTO DE INFORMATICA Y TECNOLOGIA</v>
      </c>
    </row>
    <row r="24" spans="1:5" ht="15.75" x14ac:dyDescent="0.25">
      <c r="A24" s="10">
        <v>79452150</v>
      </c>
      <c r="B24" s="2">
        <v>46030.794197916664</v>
      </c>
      <c r="C24" s="3" t="str">
        <f>IFERROR(VLOOKUP(A24,'Base Prueba'!A:C,3,),"NO REGISTRA")</f>
        <v>JUAN CARLOS PAZ CUBILLOS</v>
      </c>
      <c r="D24" s="4" t="str">
        <f>IFERROR(VLOOKUP(A24,'Base Prueba'!A:D,4,),"NO REGISTRA")</f>
        <v>ANALISTA DE SISTEMAS</v>
      </c>
      <c r="E24" s="5" t="str">
        <f>IFERROR(VLOOKUP(A24,'Base Prueba'!A:E,5,),"NO REGISTRA")</f>
        <v>DEPARTAMENTO DE INFORMATICA Y TECNOLOGIA</v>
      </c>
    </row>
    <row r="25" spans="1:5" ht="15.75" x14ac:dyDescent="0.25">
      <c r="A25" s="10">
        <v>1019029407</v>
      </c>
      <c r="B25" s="2">
        <v>46031.406882175928</v>
      </c>
      <c r="C25" s="3" t="str">
        <f>IFERROR(VLOOKUP(A25,'Base Prueba'!A:C,3,),"NO REGISTRA")</f>
        <v>JUAN FELIPE LOPEZ MOLINA</v>
      </c>
      <c r="D25" s="4" t="str">
        <f>IFERROR(VLOOKUP(A25,'Base Prueba'!A:D,4,),"NO REGISTRA")</f>
        <v>APRENDIZ UNIVERSITARIO</v>
      </c>
      <c r="E25" s="5" t="str">
        <f>IFERROR(VLOOKUP(A25,'Base Prueba'!A:E,5,),"NO REGISTRA")</f>
        <v>DEPARTAMENTO DE INFORMATICA Y TECNOLOGIA</v>
      </c>
    </row>
    <row r="26" spans="1:5" ht="15.75" x14ac:dyDescent="0.25">
      <c r="A26" s="10">
        <v>1019029407</v>
      </c>
      <c r="B26" s="2">
        <v>46031.716895486112</v>
      </c>
      <c r="C26" s="3" t="str">
        <f>IFERROR(VLOOKUP(A26,'Base Prueba'!A:C,3,),"NO REGISTRA")</f>
        <v>JUAN FELIPE LOPEZ MOLINA</v>
      </c>
      <c r="D26" s="4" t="str">
        <f>IFERROR(VLOOKUP(A26,'Base Prueba'!A:D,4,),"NO REGISTRA")</f>
        <v>APRENDIZ UNIVERSITARIO</v>
      </c>
      <c r="E26" s="5" t="str">
        <f>IFERROR(VLOOKUP(A26,'Base Prueba'!A:E,5,),"NO REGISTRA")</f>
        <v>DEPARTAMENTO DE INFORMATICA Y TECNOLOGIA</v>
      </c>
    </row>
    <row r="27" spans="1:5" ht="15.75" x14ac:dyDescent="0.25">
      <c r="A27" s="10">
        <v>79452150</v>
      </c>
      <c r="B27" s="2">
        <v>46031.799153125001</v>
      </c>
      <c r="C27" s="3" t="str">
        <f>IFERROR(VLOOKUP(A27,'Base Prueba'!A:C,3,),"NO REGISTRA")</f>
        <v>JUAN CARLOS PAZ CUBILLOS</v>
      </c>
      <c r="D27" s="4" t="str">
        <f>IFERROR(VLOOKUP(A27,'Base Prueba'!A:D,4,),"NO REGISTRA")</f>
        <v>ANALISTA DE SISTEMAS</v>
      </c>
      <c r="E27" s="5" t="str">
        <f>IFERROR(VLOOKUP(A27,'Base Prueba'!A:E,5,),"NO REGISTRA")</f>
        <v>DEPARTAMENTO DE INFORMATICA Y TECNOLOGIA</v>
      </c>
    </row>
    <row r="28" spans="1:5" ht="15.75" x14ac:dyDescent="0.25">
      <c r="A28" s="10">
        <v>1019029407</v>
      </c>
      <c r="B28" s="2">
        <v>46032.334278125003</v>
      </c>
      <c r="C28" s="3" t="str">
        <f>IFERROR(VLOOKUP(A28,'Base Prueba'!A:C,3,),"NO REGISTRA")</f>
        <v>JUAN FELIPE LOPEZ MOLINA</v>
      </c>
      <c r="D28" s="4" t="str">
        <f>IFERROR(VLOOKUP(A28,'Base Prueba'!A:D,4,),"NO REGISTRA")</f>
        <v>APRENDIZ UNIVERSITARIO</v>
      </c>
      <c r="E28" s="5" t="str">
        <f>IFERROR(VLOOKUP(A28,'Base Prueba'!A:E,5,),"NO REGISTRA")</f>
        <v>DEPARTAMENTO DE INFORMATICA Y TECNOLOGIA</v>
      </c>
    </row>
    <row r="29" spans="1:5" ht="15.75" x14ac:dyDescent="0.25">
      <c r="A29" s="10">
        <v>1019029407</v>
      </c>
      <c r="B29" s="2">
        <v>46032.459981365741</v>
      </c>
      <c r="C29" s="3" t="str">
        <f>IFERROR(VLOOKUP(A29,'Base Prueba'!A:C,3,),"NO REGISTRA")</f>
        <v>JUAN FELIPE LOPEZ MOLINA</v>
      </c>
      <c r="D29" s="4" t="str">
        <f>IFERROR(VLOOKUP(A29,'Base Prueba'!A:D,4,),"NO REGISTRA")</f>
        <v>APRENDIZ UNIVERSITARIO</v>
      </c>
      <c r="E29" s="5" t="str">
        <f>IFERROR(VLOOKUP(A29,'Base Prueba'!A:E,5,),"NO REGISTRA")</f>
        <v>DEPARTAMENTO DE INFORMATICA Y TECNOLOGIA</v>
      </c>
    </row>
    <row r="30" spans="1:5" ht="15.75" x14ac:dyDescent="0.25">
      <c r="A30" s="10">
        <v>1019029407</v>
      </c>
      <c r="B30" s="2">
        <v>46035.344781481479</v>
      </c>
      <c r="C30" s="3" t="str">
        <f>IFERROR(VLOOKUP(A30,'Base Prueba'!A:C,3,),"NO REGISTRA")</f>
        <v>JUAN FELIPE LOPEZ MOLINA</v>
      </c>
      <c r="D30" s="4" t="str">
        <f>IFERROR(VLOOKUP(A30,'Base Prueba'!A:D,4,),"NO REGISTRA")</f>
        <v>APRENDIZ UNIVERSITARIO</v>
      </c>
      <c r="E30" s="5" t="str">
        <f>IFERROR(VLOOKUP(A30,'Base Prueba'!A:E,5,),"NO REGISTRA")</f>
        <v>DEPARTAMENTO DE INFORMATICA Y TECNOLOGIA</v>
      </c>
    </row>
    <row r="31" spans="1:5" ht="15.75" x14ac:dyDescent="0.25">
      <c r="A31" s="10">
        <v>52049956</v>
      </c>
      <c r="B31" s="2">
        <v>46035.371255902777</v>
      </c>
      <c r="C31" s="3" t="str">
        <f>IFERROR(VLOOKUP(A31,'Base Prueba'!A:C,3,),"NO REGISTRA")</f>
        <v>ESPERANZA MORALES</v>
      </c>
      <c r="D31" s="4" t="str">
        <f>IFERROR(VLOOKUP(A31,'Base Prueba'!A:D,4,),"NO REGISTRA")</f>
        <v>DIRECTORA DE INFORMATICA Y TECNOLOGIA</v>
      </c>
      <c r="E31" s="5" t="str">
        <f>IFERROR(VLOOKUP(A31,'Base Prueba'!A:E,5,),"NO REGISTRA")</f>
        <v>DEPARTAMENTO DE INFORMATICA Y TECNOLOGIA</v>
      </c>
    </row>
    <row r="32" spans="1:5" ht="15.75" x14ac:dyDescent="0.25">
      <c r="A32" s="10">
        <v>1019029407</v>
      </c>
      <c r="B32" s="2">
        <v>46035.710942129626</v>
      </c>
      <c r="C32" s="3" t="str">
        <f>IFERROR(VLOOKUP(A32,'Base Prueba'!A:C,3,),"NO REGISTRA")</f>
        <v>JUAN FELIPE LOPEZ MOLINA</v>
      </c>
      <c r="D32" s="4" t="str">
        <f>IFERROR(VLOOKUP(A32,'Base Prueba'!A:D,4,),"NO REGISTRA")</f>
        <v>APRENDIZ UNIVERSITARIO</v>
      </c>
      <c r="E32" s="5" t="str">
        <f>IFERROR(VLOOKUP(A32,'Base Prueba'!A:E,5,),"NO REGISTRA")</f>
        <v>DEPARTAMENTO DE INFORMATICA Y TECNOLOGIA</v>
      </c>
    </row>
    <row r="33" spans="1:5" ht="15.75" x14ac:dyDescent="0.25">
      <c r="A33" s="10">
        <v>79624306</v>
      </c>
      <c r="B33" s="2">
        <v>46035.750084722225</v>
      </c>
      <c r="C33" s="3" t="str">
        <f>IFERROR(VLOOKUP(A33,'Base Prueba'!A:C,3,),"NO REGISTRA")</f>
        <v>NELSON MONGUA PEDREROS</v>
      </c>
      <c r="D33" s="4" t="str">
        <f>IFERROR(VLOOKUP(A33,'Base Prueba'!A:D,4,),"NO REGISTRA")</f>
        <v>ADMINISTRADOR DE REDES</v>
      </c>
      <c r="E33" s="5" t="str">
        <f>IFERROR(VLOOKUP(A33,'Base Prueba'!A:E,5,),"NO REGISTRA")</f>
        <v>DEPARTAMENTO DE INFORMATICA Y TECNOLOGIA</v>
      </c>
    </row>
    <row r="34" spans="1:5" ht="15.75" x14ac:dyDescent="0.25">
      <c r="A34" s="10">
        <v>1074527083</v>
      </c>
      <c r="B34" s="2">
        <v>46035.751050347222</v>
      </c>
      <c r="C34" s="3" t="str">
        <f>IFERROR(VLOOKUP(A34,'Base Prueba'!A:C,3,),"NO REGISTRA")</f>
        <v>SHARON MICHELL VALERO RICAURTE</v>
      </c>
      <c r="D34" s="4" t="str">
        <f>IFERROR(VLOOKUP(A34,'Base Prueba'!A:D,4,),"NO REGISTRA")</f>
        <v>APRENDIZ UNIVERSITARIO</v>
      </c>
      <c r="E34" s="5" t="str">
        <f>IFERROR(VLOOKUP(A34,'Base Prueba'!A:E,5,),"NO REGISTRA")</f>
        <v>VICERRECTORIA ACADEMICA</v>
      </c>
    </row>
    <row r="35" spans="1:5" ht="15.75" x14ac:dyDescent="0.25">
      <c r="A35" s="10">
        <v>1023954848</v>
      </c>
      <c r="B35" s="2">
        <v>46035.751116782405</v>
      </c>
      <c r="C35" s="3" t="str">
        <f>IFERROR(VLOOKUP(A35,'Base Prueba'!A:C,3,),"NO REGISTRA")</f>
        <v>JUAN CARLOS ESPITIA ORTIZ</v>
      </c>
      <c r="D35" s="4" t="str">
        <f>IFERROR(VLOOKUP(A35,'Base Prueba'!A:D,4,),"NO REGISTRA")</f>
        <v>ANALISTA DE INFRAESTRUCTURA</v>
      </c>
      <c r="E35" s="5" t="str">
        <f>IFERROR(VLOOKUP(A35,'Base Prueba'!A:E,5,),"NO REGISTRA")</f>
        <v>DEPARTAMENTO DE INFORMATICA Y TECNOLOGIA</v>
      </c>
    </row>
    <row r="36" spans="1:5" ht="15.75" x14ac:dyDescent="0.25">
      <c r="A36" s="10">
        <v>52049956</v>
      </c>
      <c r="B36" s="2">
        <v>46035.791838657409</v>
      </c>
      <c r="C36" s="3" t="str">
        <f>IFERROR(VLOOKUP(A36,'Base Prueba'!A:C,3,),"NO REGISTRA")</f>
        <v>ESPERANZA MORALES</v>
      </c>
      <c r="D36" s="4" t="str">
        <f>IFERROR(VLOOKUP(A36,'Base Prueba'!A:D,4,),"NO REGISTRA")</f>
        <v>DIRECTORA DE INFORMATICA Y TECNOLOGIA</v>
      </c>
      <c r="E36" s="5" t="str">
        <f>IFERROR(VLOOKUP(A36,'Base Prueba'!A:E,5,),"NO REGISTRA")</f>
        <v>DEPARTAMENTO DE INFORMATICA Y TECNOLOGIA</v>
      </c>
    </row>
    <row r="37" spans="1:5" ht="15.75" x14ac:dyDescent="0.25">
      <c r="A37" s="10">
        <v>79452150</v>
      </c>
      <c r="B37" s="2">
        <v>46035.792164351849</v>
      </c>
      <c r="C37" s="3" t="str">
        <f>IFERROR(VLOOKUP(A37,'Base Prueba'!A:C,3,),"NO REGISTRA")</f>
        <v>JUAN CARLOS PAZ CUBILLOS</v>
      </c>
      <c r="D37" s="4" t="str">
        <f>IFERROR(VLOOKUP(A37,'Base Prueba'!A:D,4,),"NO REGISTRA")</f>
        <v>ANALISTA DE SISTEMAS</v>
      </c>
      <c r="E37" s="5" t="str">
        <f>IFERROR(VLOOKUP(A37,'Base Prueba'!A:E,5,),"NO REGISTRA")</f>
        <v>DEPARTAMENTO DE INFORMATICA Y TECNOLOGIA</v>
      </c>
    </row>
    <row r="38" spans="1:5" ht="15.75" x14ac:dyDescent="0.25">
      <c r="A38" s="10">
        <v>1019029407</v>
      </c>
      <c r="B38" s="2">
        <v>46036.335377777781</v>
      </c>
      <c r="C38" s="3" t="str">
        <f>IFERROR(VLOOKUP(A38,'Base Prueba'!A:C,3,),"NO REGISTRA")</f>
        <v>JUAN FELIPE LOPEZ MOLINA</v>
      </c>
      <c r="D38" s="4" t="str">
        <f>IFERROR(VLOOKUP(A38,'Base Prueba'!A:D,4,),"NO REGISTRA")</f>
        <v>APRENDIZ UNIVERSITARIO</v>
      </c>
      <c r="E38" s="5" t="str">
        <f>IFERROR(VLOOKUP(A38,'Base Prueba'!A:E,5,),"NO REGISTRA")</f>
        <v>DEPARTAMENTO DE INFORMATICA Y TECNOLOGIA</v>
      </c>
    </row>
    <row r="39" spans="1:5" ht="15.75" x14ac:dyDescent="0.25">
      <c r="A39" s="10">
        <v>1014736595</v>
      </c>
      <c r="B39" s="2">
        <v>46036.34320787037</v>
      </c>
      <c r="C39" s="3" t="str">
        <f>IFERROR(VLOOKUP(A39,'Base Prueba'!A:C,3,),"NO REGISTRA")</f>
        <v>PAULA ANDREA PAEZ BUITRAGO</v>
      </c>
      <c r="D39" s="4" t="str">
        <f>IFERROR(VLOOKUP(A39,'Base Prueba'!A:D,4,),"NO REGISTRA")</f>
        <v>PROMOTOR DE BIENESTAR INSTITUCIONAL</v>
      </c>
      <c r="E39" s="5" t="str">
        <f>IFERROR(VLOOKUP(A39,'Base Prueba'!A:E,5,),"NO REGISTRA")</f>
        <v>DIRECCION DE BIENESTAR INSTITUCIONAL</v>
      </c>
    </row>
    <row r="40" spans="1:5" ht="15.75" x14ac:dyDescent="0.25">
      <c r="A40" s="10">
        <v>52049956</v>
      </c>
      <c r="B40" s="2">
        <v>46036.372715162041</v>
      </c>
      <c r="C40" s="3" t="str">
        <f>IFERROR(VLOOKUP(A40,'Base Prueba'!A:C,3,),"NO REGISTRA")</f>
        <v>ESPERANZA MORALES</v>
      </c>
      <c r="D40" s="4" t="str">
        <f>IFERROR(VLOOKUP(A40,'Base Prueba'!A:D,4,),"NO REGISTRA")</f>
        <v>DIRECTORA DE INFORMATICA Y TECNOLOGIA</v>
      </c>
      <c r="E40" s="5" t="str">
        <f>IFERROR(VLOOKUP(A40,'Base Prueba'!A:E,5,),"NO REGISTRA")</f>
        <v>DEPARTAMENTO DE INFORMATICA Y TECNOLOGIA</v>
      </c>
    </row>
    <row r="41" spans="1:5" ht="15.75" x14ac:dyDescent="0.25">
      <c r="A41" s="10">
        <v>1023954848</v>
      </c>
      <c r="B41" s="2">
        <v>46036.750661458333</v>
      </c>
      <c r="C41" s="3" t="str">
        <f>IFERROR(VLOOKUP(A41,'Base Prueba'!A:C,3,),"NO REGISTRA")</f>
        <v>JUAN CARLOS ESPITIA ORTIZ</v>
      </c>
      <c r="D41" s="4" t="str">
        <f>IFERROR(VLOOKUP(A41,'Base Prueba'!A:D,4,),"NO REGISTRA")</f>
        <v>ANALISTA DE INFRAESTRUCTURA</v>
      </c>
      <c r="E41" s="5" t="str">
        <f>IFERROR(VLOOKUP(A41,'Base Prueba'!A:E,5,),"NO REGISTRA")</f>
        <v>DEPARTAMENTO DE INFORMATICA Y TECNOLOGIA</v>
      </c>
    </row>
    <row r="42" spans="1:5" ht="15.75" x14ac:dyDescent="0.25">
      <c r="A42" s="10">
        <v>1019029407</v>
      </c>
      <c r="B42" s="2">
        <v>46036.750929629627</v>
      </c>
      <c r="C42" s="3" t="str">
        <f>IFERROR(VLOOKUP(A42,'Base Prueba'!A:C,3,),"NO REGISTRA")</f>
        <v>JUAN FELIPE LOPEZ MOLINA</v>
      </c>
      <c r="D42" s="4" t="str">
        <f>IFERROR(VLOOKUP(A42,'Base Prueba'!A:D,4,),"NO REGISTRA")</f>
        <v>APRENDIZ UNIVERSITARIO</v>
      </c>
      <c r="E42" s="5" t="str">
        <f>IFERROR(VLOOKUP(A42,'Base Prueba'!A:E,5,),"NO REGISTRA")</f>
        <v>DEPARTAMENTO DE INFORMATICA Y TECNOLOGIA</v>
      </c>
    </row>
    <row r="43" spans="1:5" ht="15.75" x14ac:dyDescent="0.25">
      <c r="A43" s="10">
        <v>79452150</v>
      </c>
      <c r="B43" s="2">
        <v>46036.794775462964</v>
      </c>
      <c r="C43" s="3" t="str">
        <f>IFERROR(VLOOKUP(A43,'Base Prueba'!A:C,3,),"NO REGISTRA")</f>
        <v>JUAN CARLOS PAZ CUBILLOS</v>
      </c>
      <c r="D43" s="4" t="str">
        <f>IFERROR(VLOOKUP(A43,'Base Prueba'!A:D,4,),"NO REGISTRA")</f>
        <v>ANALISTA DE SISTEMAS</v>
      </c>
      <c r="E43" s="5" t="str">
        <f>IFERROR(VLOOKUP(A43,'Base Prueba'!A:E,5,),"NO REGISTRA")</f>
        <v>DEPARTAMENTO DE INFORMATICA Y TECNOLOGIA</v>
      </c>
    </row>
    <row r="44" spans="1:5" ht="15.75" x14ac:dyDescent="0.25">
      <c r="A44" s="10">
        <v>52049956</v>
      </c>
      <c r="B44" s="2">
        <v>46036.795480555556</v>
      </c>
      <c r="C44" s="3" t="str">
        <f>IFERROR(VLOOKUP(A44,'Base Prueba'!A:C,3,),"NO REGISTRA")</f>
        <v>ESPERANZA MORALES</v>
      </c>
      <c r="D44" s="4" t="str">
        <f>IFERROR(VLOOKUP(A44,'Base Prueba'!A:D,4,),"NO REGISTRA")</f>
        <v>DIRECTORA DE INFORMATICA Y TECNOLOGIA</v>
      </c>
      <c r="E44" s="5" t="str">
        <f>IFERROR(VLOOKUP(A44,'Base Prueba'!A:E,5,),"NO REGISTRA")</f>
        <v>DEPARTAMENTO DE INFORMATICA Y TECNOLOGIA</v>
      </c>
    </row>
    <row r="45" spans="1:5" ht="15.75" x14ac:dyDescent="0.25">
      <c r="A45" s="10">
        <v>1019029407</v>
      </c>
      <c r="B45" s="2">
        <v>46037.349561342591</v>
      </c>
      <c r="C45" s="3" t="str">
        <f>IFERROR(VLOOKUP(A45,'Base Prueba'!A:C,3,),"NO REGISTRA")</f>
        <v>JUAN FELIPE LOPEZ MOLINA</v>
      </c>
      <c r="D45" s="4" t="str">
        <f>IFERROR(VLOOKUP(A45,'Base Prueba'!A:D,4,),"NO REGISTRA")</f>
        <v>APRENDIZ UNIVERSITARIO</v>
      </c>
      <c r="E45" s="5" t="str">
        <f>IFERROR(VLOOKUP(A45,'Base Prueba'!A:E,5,),"NO REGISTRA")</f>
        <v>DEPARTAMENTO DE INFORMATICA Y TECNOLOGIA</v>
      </c>
    </row>
    <row r="46" spans="1:5" ht="15.75" x14ac:dyDescent="0.25">
      <c r="A46" s="10">
        <v>52049956</v>
      </c>
      <c r="B46" s="2">
        <v>46037.386841666666</v>
      </c>
      <c r="C46" s="3" t="str">
        <f>IFERROR(VLOOKUP(A46,'Base Prueba'!A:C,3,),"NO REGISTRA")</f>
        <v>ESPERANZA MORALES</v>
      </c>
      <c r="D46" s="4" t="str">
        <f>IFERROR(VLOOKUP(A46,'Base Prueba'!A:D,4,),"NO REGISTRA")</f>
        <v>DIRECTORA DE INFORMATICA Y TECNOLOGIA</v>
      </c>
      <c r="E46" s="5" t="str">
        <f>IFERROR(VLOOKUP(A46,'Base Prueba'!A:E,5,),"NO REGISTRA")</f>
        <v>DEPARTAMENTO DE INFORMATICA Y TECNOLOGIA</v>
      </c>
    </row>
    <row r="47" spans="1:5" ht="15.75" x14ac:dyDescent="0.25">
      <c r="A47" s="10">
        <v>1019029407</v>
      </c>
      <c r="B47" s="2">
        <v>46037.708373842594</v>
      </c>
      <c r="C47" s="3" t="str">
        <f>IFERROR(VLOOKUP(A47,'Base Prueba'!A:C,3,),"NO REGISTRA")</f>
        <v>JUAN FELIPE LOPEZ MOLINA</v>
      </c>
      <c r="D47" s="4" t="str">
        <f>IFERROR(VLOOKUP(A47,'Base Prueba'!A:D,4,),"NO REGISTRA")</f>
        <v>APRENDIZ UNIVERSITARIO</v>
      </c>
      <c r="E47" s="5" t="str">
        <f>IFERROR(VLOOKUP(A47,'Base Prueba'!A:E,5,),"NO REGISTRA")</f>
        <v>DEPARTAMENTO DE INFORMATICA Y TECNOLOGIA</v>
      </c>
    </row>
    <row r="48" spans="1:5" ht="15.75" x14ac:dyDescent="0.25">
      <c r="A48" s="10">
        <v>52049956</v>
      </c>
      <c r="B48" s="2">
        <v>46037.791593634262</v>
      </c>
      <c r="C48" s="3" t="str">
        <f>IFERROR(VLOOKUP(A48,'Base Prueba'!A:C,3,),"NO REGISTRA")</f>
        <v>ESPERANZA MORALES</v>
      </c>
      <c r="D48" s="4" t="str">
        <f>IFERROR(VLOOKUP(A48,'Base Prueba'!A:D,4,),"NO REGISTRA")</f>
        <v>DIRECTORA DE INFORMATICA Y TECNOLOGIA</v>
      </c>
      <c r="E48" s="5" t="str">
        <f>IFERROR(VLOOKUP(A48,'Base Prueba'!A:E,5,),"NO REGISTRA")</f>
        <v>DEPARTAMENTO DE INFORMATICA Y TECNOLOGIA</v>
      </c>
    </row>
    <row r="49" spans="1:5" ht="15.75" x14ac:dyDescent="0.25">
      <c r="A49" s="10">
        <v>79452150</v>
      </c>
      <c r="B49" s="2">
        <v>46037.792351041666</v>
      </c>
      <c r="C49" s="3" t="str">
        <f>IFERROR(VLOOKUP(A49,'Base Prueba'!A:C,3,),"NO REGISTRA")</f>
        <v>JUAN CARLOS PAZ CUBILLOS</v>
      </c>
      <c r="D49" s="4" t="str">
        <f>IFERROR(VLOOKUP(A49,'Base Prueba'!A:D,4,),"NO REGISTRA")</f>
        <v>ANALISTA DE SISTEMAS</v>
      </c>
      <c r="E49" s="5" t="str">
        <f>IFERROR(VLOOKUP(A49,'Base Prueba'!A:E,5,),"NO REGISTRA")</f>
        <v>DEPARTAMENTO DE INFORMATICA Y TECNOLOGIA</v>
      </c>
    </row>
    <row r="50" spans="1:5" ht="15.75" x14ac:dyDescent="0.25">
      <c r="A50" s="10"/>
      <c r="B50" s="2" t="s">
        <v>3656</v>
      </c>
      <c r="C50" s="3" t="str">
        <f>IFERROR(VLOOKUP(A50,'Base Prueba'!A:C,3,),"NO REGISTRA")</f>
        <v>NO REGISTRA</v>
      </c>
      <c r="D50" s="4" t="str">
        <f>IFERROR(VLOOKUP(A50,'Base Prueba'!A:D,4,),"NO REGISTRA")</f>
        <v>NO REGISTRA</v>
      </c>
      <c r="E50" s="5" t="str">
        <f>IFERROR(VLOOKUP(A50,'Base Prueba'!A:E,5,),"NO REGISTRA")</f>
        <v>NO REGISTRA</v>
      </c>
    </row>
    <row r="51" spans="1:5" ht="15.75" x14ac:dyDescent="0.25">
      <c r="A51" s="10"/>
      <c r="B51" s="2">
        <v>52049956</v>
      </c>
      <c r="C51" s="3" t="str">
        <f>IFERROR(VLOOKUP(A51,'Base Prueba'!A:C,3,),"NO REGISTRA")</f>
        <v>NO REGISTRA</v>
      </c>
      <c r="D51" s="4" t="str">
        <f>IFERROR(VLOOKUP(A51,'Base Prueba'!A:D,4,),"NO REGISTRA")</f>
        <v>NO REGISTRA</v>
      </c>
      <c r="E51" s="5" t="str">
        <f>IFERROR(VLOOKUP(A51,'Base Prueba'!A:E,5,),"NO REGISTRA")</f>
        <v>NO REGISTRA</v>
      </c>
    </row>
    <row r="52" spans="1:5" ht="15.75" x14ac:dyDescent="0.25">
      <c r="A52" s="10">
        <v>52049956</v>
      </c>
      <c r="B52" s="2">
        <v>46038.37599641204</v>
      </c>
      <c r="C52" s="3" t="str">
        <f>IFERROR(VLOOKUP(A52,'Base Prueba'!A:C,3,),"NO REGISTRA")</f>
        <v>ESPERANZA MORALES</v>
      </c>
      <c r="D52" s="4" t="str">
        <f>IFERROR(VLOOKUP(A52,'Base Prueba'!A:D,4,),"NO REGISTRA")</f>
        <v>DIRECTORA DE INFORMATICA Y TECNOLOGIA</v>
      </c>
      <c r="E52" s="5" t="str">
        <f>IFERROR(VLOOKUP(A52,'Base Prueba'!A:E,5,),"NO REGISTRA")</f>
        <v>DEPARTAMENTO DE INFORMATICA Y TECNOLOGIA</v>
      </c>
    </row>
    <row r="53" spans="1:5" ht="15.75" x14ac:dyDescent="0.25">
      <c r="A53" s="10">
        <v>52049956</v>
      </c>
      <c r="B53" s="2">
        <v>46038.376003703706</v>
      </c>
      <c r="C53" s="3" t="str">
        <f>IFERROR(VLOOKUP(A53,'Base Prueba'!A:C,3,),"NO REGISTRA")</f>
        <v>ESPERANZA MORALES</v>
      </c>
      <c r="D53" s="4" t="str">
        <f>IFERROR(VLOOKUP(A53,'Base Prueba'!A:D,4,),"NO REGISTRA")</f>
        <v>DIRECTORA DE INFORMATICA Y TECNOLOGIA</v>
      </c>
      <c r="E53" s="5" t="str">
        <f>IFERROR(VLOOKUP(A53,'Base Prueba'!A:E,5,),"NO REGISTRA")</f>
        <v>DEPARTAMENTO DE INFORMATICA Y TECNOLOGIA</v>
      </c>
    </row>
    <row r="54" spans="1:5" ht="15.75" x14ac:dyDescent="0.25">
      <c r="A54" s="10">
        <v>1019029407</v>
      </c>
      <c r="B54" s="2">
        <v>46038.708607175926</v>
      </c>
      <c r="C54" s="3" t="str">
        <f>IFERROR(VLOOKUP(A54,'Base Prueba'!A:C,3,),"NO REGISTRA")</f>
        <v>JUAN FELIPE LOPEZ MOLINA</v>
      </c>
      <c r="D54" s="4" t="str">
        <f>IFERROR(VLOOKUP(A54,'Base Prueba'!A:D,4,),"NO REGISTRA")</f>
        <v>APRENDIZ UNIVERSITARIO</v>
      </c>
      <c r="E54" s="5" t="str">
        <f>IFERROR(VLOOKUP(A54,'Base Prueba'!A:E,5,),"NO REGISTRA")</f>
        <v>DEPARTAMENTO DE INFORMATICA Y TECNOLOGIA</v>
      </c>
    </row>
    <row r="55" spans="1:5" ht="15.75" x14ac:dyDescent="0.25">
      <c r="A55" s="10">
        <v>52049956</v>
      </c>
      <c r="B55" s="2">
        <v>46038.79618553241</v>
      </c>
      <c r="C55" s="3" t="str">
        <f>IFERROR(VLOOKUP(A55,'Base Prueba'!A:C,3,),"NO REGISTRA")</f>
        <v>ESPERANZA MORALES</v>
      </c>
      <c r="D55" s="4" t="str">
        <f>IFERROR(VLOOKUP(A55,'Base Prueba'!A:D,4,),"NO REGISTRA")</f>
        <v>DIRECTORA DE INFORMATICA Y TECNOLOGIA</v>
      </c>
      <c r="E55" s="5" t="str">
        <f>IFERROR(VLOOKUP(A55,'Base Prueba'!A:E,5,),"NO REGISTRA")</f>
        <v>DEPARTAMENTO DE INFORMATICA Y TECNOLOGIA</v>
      </c>
    </row>
    <row r="56" spans="1:5" ht="15.75" x14ac:dyDescent="0.25">
      <c r="A56" s="10">
        <v>52049956</v>
      </c>
      <c r="B56" s="2">
        <v>46038.796191898145</v>
      </c>
      <c r="C56" s="3" t="str">
        <f>IFERROR(VLOOKUP(A56,'Base Prueba'!A:C,3,),"NO REGISTRA")</f>
        <v>ESPERANZA MORALES</v>
      </c>
      <c r="D56" s="4" t="str">
        <f>IFERROR(VLOOKUP(A56,'Base Prueba'!A:D,4,),"NO REGISTRA")</f>
        <v>DIRECTORA DE INFORMATICA Y TECNOLOGIA</v>
      </c>
      <c r="E56" s="5" t="str">
        <f>IFERROR(VLOOKUP(A56,'Base Prueba'!A:E,5,),"NO REGISTRA")</f>
        <v>DEPARTAMENTO DE INFORMATICA Y TECNOLOGIA</v>
      </c>
    </row>
    <row r="57" spans="1:5" ht="15.75" x14ac:dyDescent="0.25">
      <c r="A57" s="10">
        <v>79452150</v>
      </c>
      <c r="B57" s="2">
        <v>46038.797278935184</v>
      </c>
      <c r="C57" s="3" t="str">
        <f>IFERROR(VLOOKUP(A57,'Base Prueba'!A:C,3,),"NO REGISTRA")</f>
        <v>JUAN CARLOS PAZ CUBILLOS</v>
      </c>
      <c r="D57" s="4" t="str">
        <f>IFERROR(VLOOKUP(A57,'Base Prueba'!A:D,4,),"NO REGISTRA")</f>
        <v>ANALISTA DE SISTEMAS</v>
      </c>
      <c r="E57" s="5" t="str">
        <f>IFERROR(VLOOKUP(A57,'Base Prueba'!A:E,5,),"NO REGISTRA")</f>
        <v>DEPARTAMENTO DE INFORMATICA Y TECNOLOGIA</v>
      </c>
    </row>
    <row r="58" spans="1:5" ht="15.75" x14ac:dyDescent="0.25">
      <c r="A58" s="10">
        <v>52049956</v>
      </c>
      <c r="B58" s="2">
        <v>46039.369704398145</v>
      </c>
      <c r="C58" s="3" t="str">
        <f>IFERROR(VLOOKUP(A58,'Base Prueba'!A:C,3,),"NO REGISTRA")</f>
        <v>ESPERANZA MORALES</v>
      </c>
      <c r="D58" s="4" t="str">
        <f>IFERROR(VLOOKUP(A58,'Base Prueba'!A:D,4,),"NO REGISTRA")</f>
        <v>DIRECTORA DE INFORMATICA Y TECNOLOGIA</v>
      </c>
      <c r="E58" s="5" t="str">
        <f>IFERROR(VLOOKUP(A58,'Base Prueba'!A:E,5,),"NO REGISTRA")</f>
        <v>DEPARTAMENTO DE INFORMATICA Y TECNOLOGIA</v>
      </c>
    </row>
    <row r="59" spans="1:5" ht="15.75" x14ac:dyDescent="0.25">
      <c r="A59" s="10">
        <v>52049956</v>
      </c>
      <c r="B59" s="2">
        <v>46039.506817592592</v>
      </c>
      <c r="C59" s="3" t="str">
        <f>IFERROR(VLOOKUP(A59,'Base Prueba'!A:C,3,),"NO REGISTRA")</f>
        <v>ESPERANZA MORALES</v>
      </c>
      <c r="D59" s="4" t="str">
        <f>IFERROR(VLOOKUP(A59,'Base Prueba'!A:D,4,),"NO REGISTRA")</f>
        <v>DIRECTORA DE INFORMATICA Y TECNOLOGIA</v>
      </c>
      <c r="E59" s="5" t="str">
        <f>IFERROR(VLOOKUP(A59,'Base Prueba'!A:E,5,),"NO REGISTRA")</f>
        <v>DEPARTAMENTO DE INFORMATICA Y TECNOLOGIA</v>
      </c>
    </row>
    <row r="60" spans="1:5" ht="15.75" x14ac:dyDescent="0.25">
      <c r="A60" s="10">
        <v>52049956</v>
      </c>
      <c r="B60" s="2">
        <v>46041.378995601852</v>
      </c>
      <c r="C60" s="3" t="str">
        <f>IFERROR(VLOOKUP(A60,'Base Prueba'!A:C,3,),"NO REGISTRA")</f>
        <v>ESPERANZA MORALES</v>
      </c>
      <c r="D60" s="4" t="str">
        <f>IFERROR(VLOOKUP(A60,'Base Prueba'!A:D,4,),"NO REGISTRA")</f>
        <v>DIRECTORA DE INFORMATICA Y TECNOLOGIA</v>
      </c>
      <c r="E60" s="5" t="str">
        <f>IFERROR(VLOOKUP(A60,'Base Prueba'!A:E,5,),"NO REGISTRA")</f>
        <v>DEPARTAMENTO DE INFORMATICA Y TECNOLOGIA</v>
      </c>
    </row>
    <row r="61" spans="1:5" ht="15.75" x14ac:dyDescent="0.25">
      <c r="A61" s="10">
        <v>79452150</v>
      </c>
      <c r="B61" s="2">
        <v>46041.793885648149</v>
      </c>
      <c r="C61" s="3" t="str">
        <f>IFERROR(VLOOKUP(A61,'Base Prueba'!A:C,3,),"NO REGISTRA")</f>
        <v>JUAN CARLOS PAZ CUBILLOS</v>
      </c>
      <c r="D61" s="4" t="str">
        <f>IFERROR(VLOOKUP(A61,'Base Prueba'!A:D,4,),"NO REGISTRA")</f>
        <v>ANALISTA DE SISTEMAS</v>
      </c>
      <c r="E61" s="5" t="str">
        <f>IFERROR(VLOOKUP(A61,'Base Prueba'!A:E,5,),"NO REGISTRA")</f>
        <v>DEPARTAMENTO DE INFORMATICA Y TECNOLOGIA</v>
      </c>
    </row>
    <row r="62" spans="1:5" ht="15.75" x14ac:dyDescent="0.25">
      <c r="A62" s="10">
        <v>52049956</v>
      </c>
      <c r="B62" s="2">
        <v>46041.800189236114</v>
      </c>
      <c r="C62" s="3" t="str">
        <f>IFERROR(VLOOKUP(A62,'Base Prueba'!A:C,3,),"NO REGISTRA")</f>
        <v>ESPERANZA MORALES</v>
      </c>
      <c r="D62" s="4" t="str">
        <f>IFERROR(VLOOKUP(A62,'Base Prueba'!A:D,4,),"NO REGISTRA")</f>
        <v>DIRECTORA DE INFORMATICA Y TECNOLOGIA</v>
      </c>
      <c r="E62" s="5" t="str">
        <f>IFERROR(VLOOKUP(A62,'Base Prueba'!A:E,5,),"NO REGISTRA")</f>
        <v>DEPARTAMENTO DE INFORMATICA Y TECNOLOGIA</v>
      </c>
    </row>
    <row r="63" spans="1:5" ht="15.75" x14ac:dyDescent="0.25">
      <c r="A63" s="10">
        <v>52049956</v>
      </c>
      <c r="B63" s="2">
        <v>46042.345410300928</v>
      </c>
      <c r="C63" s="3" t="str">
        <f>IFERROR(VLOOKUP(A63,'Base Prueba'!A:C,3,),"NO REGISTRA")</f>
        <v>ESPERANZA MORALES</v>
      </c>
      <c r="D63" s="4" t="str">
        <f>IFERROR(VLOOKUP(A63,'Base Prueba'!A:D,4,),"NO REGISTRA")</f>
        <v>DIRECTORA DE INFORMATICA Y TECNOLOGIA</v>
      </c>
      <c r="E63" s="5" t="str">
        <f>IFERROR(VLOOKUP(A63,'Base Prueba'!A:E,5,),"NO REGISTRA")</f>
        <v>DEPARTAMENTO DE INFORMATICA Y TECNOLOGIA</v>
      </c>
    </row>
    <row r="64" spans="1:5" ht="15.75" x14ac:dyDescent="0.25">
      <c r="A64" s="10">
        <v>52049956</v>
      </c>
      <c r="B64" s="2">
        <v>46042.795185648145</v>
      </c>
      <c r="C64" s="3" t="str">
        <f>IFERROR(VLOOKUP(A64,'Base Prueba'!A:C,3,),"NO REGISTRA")</f>
        <v>ESPERANZA MORALES</v>
      </c>
      <c r="D64" s="4" t="str">
        <f>IFERROR(VLOOKUP(A64,'Base Prueba'!A:D,4,),"NO REGISTRA")</f>
        <v>DIRECTORA DE INFORMATICA Y TECNOLOGIA</v>
      </c>
      <c r="E64" s="5" t="str">
        <f>IFERROR(VLOOKUP(A64,'Base Prueba'!A:E,5,),"NO REGISTRA")</f>
        <v>DEPARTAMENTO DE INFORMATICA Y TECNOLOGIA</v>
      </c>
    </row>
    <row r="65" spans="1:5" ht="15.75" x14ac:dyDescent="0.25">
      <c r="A65" s="10">
        <v>52049956</v>
      </c>
      <c r="B65" s="2">
        <v>46042.795192013888</v>
      </c>
      <c r="C65" s="3" t="str">
        <f>IFERROR(VLOOKUP(A65,'Base Prueba'!A:C,3,),"NO REGISTRA")</f>
        <v>ESPERANZA MORALES</v>
      </c>
      <c r="D65" s="4" t="str">
        <f>IFERROR(VLOOKUP(A65,'Base Prueba'!A:D,4,),"NO REGISTRA")</f>
        <v>DIRECTORA DE INFORMATICA Y TECNOLOGIA</v>
      </c>
      <c r="E65" s="5" t="str">
        <f>IFERROR(VLOOKUP(A65,'Base Prueba'!A:E,5,),"NO REGISTRA")</f>
        <v>DEPARTAMENTO DE INFORMATICA Y TECNOLOGIA</v>
      </c>
    </row>
    <row r="66" spans="1:5" ht="15.75" x14ac:dyDescent="0.25">
      <c r="A66" s="10">
        <v>79452150</v>
      </c>
      <c r="B66" s="2">
        <v>46042.796139699072</v>
      </c>
      <c r="C66" s="3" t="str">
        <f>IFERROR(VLOOKUP(A66,'Base Prueba'!A:C,3,),"NO REGISTRA")</f>
        <v>JUAN CARLOS PAZ CUBILLOS</v>
      </c>
      <c r="D66" s="4" t="str">
        <f>IFERROR(VLOOKUP(A66,'Base Prueba'!A:D,4,),"NO REGISTRA")</f>
        <v>ANALISTA DE SISTEMAS</v>
      </c>
      <c r="E66" s="5" t="str">
        <f>IFERROR(VLOOKUP(A66,'Base Prueba'!A:E,5,),"NO REGISTRA")</f>
        <v>DEPARTAMENTO DE INFORMATICA Y TECNOLOGIA</v>
      </c>
    </row>
    <row r="67" spans="1:5" ht="15.75" x14ac:dyDescent="0.25">
      <c r="A67" s="10">
        <v>52049956</v>
      </c>
      <c r="B67" s="2">
        <v>46043.364454976851</v>
      </c>
      <c r="C67" s="3" t="str">
        <f>IFERROR(VLOOKUP(A67,'Base Prueba'!A:C,3,),"NO REGISTRA")</f>
        <v>ESPERANZA MORALES</v>
      </c>
      <c r="D67" s="4" t="str">
        <f>IFERROR(VLOOKUP(A67,'Base Prueba'!A:D,4,),"NO REGISTRA")</f>
        <v>DIRECTORA DE INFORMATICA Y TECNOLOGIA</v>
      </c>
      <c r="E67" s="5" t="str">
        <f>IFERROR(VLOOKUP(A67,'Base Prueba'!A:E,5,),"NO REGISTRA")</f>
        <v>DEPARTAMENTO DE INFORMATICA Y TECNOLOGIA</v>
      </c>
    </row>
    <row r="68" spans="1:5" ht="15.75" x14ac:dyDescent="0.25">
      <c r="A68" s="10">
        <v>52049956</v>
      </c>
      <c r="B68" s="2">
        <v>46043.794372222219</v>
      </c>
      <c r="C68" s="3" t="str">
        <f>IFERROR(VLOOKUP(A68,'Base Prueba'!A:C,3,),"NO REGISTRA")</f>
        <v>ESPERANZA MORALES</v>
      </c>
      <c r="D68" s="4" t="str">
        <f>IFERROR(VLOOKUP(A68,'Base Prueba'!A:D,4,),"NO REGISTRA")</f>
        <v>DIRECTORA DE INFORMATICA Y TECNOLOGIA</v>
      </c>
      <c r="E68" s="5" t="str">
        <f>IFERROR(VLOOKUP(A68,'Base Prueba'!A:E,5,),"NO REGISTRA")</f>
        <v>DEPARTAMENTO DE INFORMATICA Y TECNOLOGIA</v>
      </c>
    </row>
    <row r="69" spans="1:5" ht="15.75" x14ac:dyDescent="0.25">
      <c r="A69" s="10">
        <v>79452150</v>
      </c>
      <c r="B69" s="2">
        <v>46043.796894791667</v>
      </c>
      <c r="C69" s="3" t="str">
        <f>IFERROR(VLOOKUP(A69,'Base Prueba'!A:C,3,),"NO REGISTRA")</f>
        <v>JUAN CARLOS PAZ CUBILLOS</v>
      </c>
      <c r="D69" s="4" t="str">
        <f>IFERROR(VLOOKUP(A69,'Base Prueba'!A:D,4,),"NO REGISTRA")</f>
        <v>ANALISTA DE SISTEMAS</v>
      </c>
      <c r="E69" s="5" t="str">
        <f>IFERROR(VLOOKUP(A69,'Base Prueba'!A:E,5,),"NO REGISTRA")</f>
        <v>DEPARTAMENTO DE INFORMATICA Y TECNOLOGIA</v>
      </c>
    </row>
    <row r="70" spans="1:5" ht="15.75" x14ac:dyDescent="0.25">
      <c r="A70" s="10">
        <v>52049956</v>
      </c>
      <c r="B70" s="2">
        <v>46044.356659606485</v>
      </c>
      <c r="C70" s="3" t="str">
        <f>IFERROR(VLOOKUP(A70,'Base Prueba'!A:C,3,),"NO REGISTRA")</f>
        <v>ESPERANZA MORALES</v>
      </c>
      <c r="D70" s="4" t="str">
        <f>IFERROR(VLOOKUP(A70,'Base Prueba'!A:D,4,),"NO REGISTRA")</f>
        <v>DIRECTORA DE INFORMATICA Y TECNOLOGIA</v>
      </c>
      <c r="E70" s="5" t="str">
        <f>IFERROR(VLOOKUP(A70,'Base Prueba'!A:E,5,),"NO REGISTRA")</f>
        <v>DEPARTAMENTO DE INFORMATICA Y TECNOLOGIA</v>
      </c>
    </row>
    <row r="71" spans="1:5" ht="15.75" x14ac:dyDescent="0.25">
      <c r="A71" s="10">
        <v>79452150</v>
      </c>
      <c r="B71" s="2">
        <v>46044.801539467589</v>
      </c>
      <c r="C71" s="3" t="str">
        <f>IFERROR(VLOOKUP(A71,'Base Prueba'!A:C,3,),"NO REGISTRA")</f>
        <v>JUAN CARLOS PAZ CUBILLOS</v>
      </c>
      <c r="D71" s="4" t="str">
        <f>IFERROR(VLOOKUP(A71,'Base Prueba'!A:D,4,),"NO REGISTRA")</f>
        <v>ANALISTA DE SISTEMAS</v>
      </c>
      <c r="E71" s="5" t="str">
        <f>IFERROR(VLOOKUP(A71,'Base Prueba'!A:E,5,),"NO REGISTRA")</f>
        <v>DEPARTAMENTO DE INFORMATICA Y TECNOLOGIA</v>
      </c>
    </row>
    <row r="72" spans="1:5" ht="15.75" x14ac:dyDescent="0.25">
      <c r="A72" s="10">
        <v>52049956</v>
      </c>
      <c r="B72" s="2">
        <v>46044.802069560188</v>
      </c>
      <c r="C72" s="3" t="str">
        <f>IFERROR(VLOOKUP(A72,'Base Prueba'!A:C,3,),"NO REGISTRA")</f>
        <v>ESPERANZA MORALES</v>
      </c>
      <c r="D72" s="4" t="str">
        <f>IFERROR(VLOOKUP(A72,'Base Prueba'!A:D,4,),"NO REGISTRA")</f>
        <v>DIRECTORA DE INFORMATICA Y TECNOLOGIA</v>
      </c>
      <c r="E72" s="5" t="str">
        <f>IFERROR(VLOOKUP(A72,'Base Prueba'!A:E,5,),"NO REGISTRA")</f>
        <v>DEPARTAMENTO DE INFORMATICA Y TECNOLOGIA</v>
      </c>
    </row>
    <row r="73" spans="1:5" ht="15.75" x14ac:dyDescent="0.25">
      <c r="A73" s="10">
        <v>1026293347</v>
      </c>
      <c r="B73" s="2">
        <v>46045.337806481482</v>
      </c>
      <c r="C73" s="3" t="str">
        <f>IFERROR(VLOOKUP(A73,'Base Prueba'!A:C,3,),"NO REGISTRA")</f>
        <v>LAURA JINETH ORJUELA ROJAS</v>
      </c>
      <c r="D73" s="4" t="str">
        <f>IFERROR(VLOOKUP(A73,'Base Prueba'!A:D,4,),"NO REGISTRA")</f>
        <v>APRENDIZ UNIVERSITARIO</v>
      </c>
      <c r="E73" s="5" t="str">
        <f>IFERROR(VLOOKUP(A73,'Base Prueba'!A:E,5,),"NO REGISTRA")</f>
        <v>DIRECCION DE BIENESTAR INSTITUCIONAL</v>
      </c>
    </row>
    <row r="74" spans="1:5" ht="15.75" x14ac:dyDescent="0.25">
      <c r="A74" s="10">
        <v>1026293347</v>
      </c>
      <c r="B74" s="2">
        <v>46045.337854976853</v>
      </c>
      <c r="C74" s="3" t="str">
        <f>IFERROR(VLOOKUP(A74,'Base Prueba'!A:C,3,),"NO REGISTRA")</f>
        <v>LAURA JINETH ORJUELA ROJAS</v>
      </c>
      <c r="D74" s="4" t="str">
        <f>IFERROR(VLOOKUP(A74,'Base Prueba'!A:D,4,),"NO REGISTRA")</f>
        <v>APRENDIZ UNIVERSITARIO</v>
      </c>
      <c r="E74" s="5" t="str">
        <f>IFERROR(VLOOKUP(A74,'Base Prueba'!A:E,5,),"NO REGISTRA")</f>
        <v>DIRECCION DE BIENESTAR INSTITUCIONAL</v>
      </c>
    </row>
    <row r="75" spans="1:5" ht="15.75" x14ac:dyDescent="0.25">
      <c r="A75" s="10">
        <v>52049956</v>
      </c>
      <c r="B75" s="2">
        <v>46045.379694560186</v>
      </c>
      <c r="C75" s="3" t="str">
        <f>IFERROR(VLOOKUP(A75,'Base Prueba'!A:C,3,),"NO REGISTRA")</f>
        <v>ESPERANZA MORALES</v>
      </c>
      <c r="D75" s="4" t="str">
        <f>IFERROR(VLOOKUP(A75,'Base Prueba'!A:D,4,),"NO REGISTRA")</f>
        <v>DIRECTORA DE INFORMATICA Y TECNOLOGIA</v>
      </c>
      <c r="E75" s="5" t="str">
        <f>IFERROR(VLOOKUP(A75,'Base Prueba'!A:E,5,),"NO REGISTRA")</f>
        <v>DEPARTAMENTO DE INFORMATICA Y TECNOLOGIA</v>
      </c>
    </row>
    <row r="76" spans="1:5" ht="15.75" x14ac:dyDescent="0.25">
      <c r="A76" s="10">
        <v>1026293347</v>
      </c>
      <c r="B76" s="2">
        <v>46045.76136099537</v>
      </c>
      <c r="C76" s="3" t="str">
        <f>IFERROR(VLOOKUP(A76,'Base Prueba'!A:C,3,),"NO REGISTRA")</f>
        <v>LAURA JINETH ORJUELA ROJAS</v>
      </c>
      <c r="D76" s="4" t="str">
        <f>IFERROR(VLOOKUP(A76,'Base Prueba'!A:D,4,),"NO REGISTRA")</f>
        <v>APRENDIZ UNIVERSITARIO</v>
      </c>
      <c r="E76" s="5" t="str">
        <f>IFERROR(VLOOKUP(A76,'Base Prueba'!A:E,5,),"NO REGISTRA")</f>
        <v>DIRECCION DE BIENESTAR INSTITUCIONAL</v>
      </c>
    </row>
    <row r="77" spans="1:5" ht="15.75" x14ac:dyDescent="0.25">
      <c r="A77" s="10">
        <v>79452150</v>
      </c>
      <c r="B77" s="2">
        <v>46045.804004513891</v>
      </c>
      <c r="C77" s="3" t="str">
        <f>IFERROR(VLOOKUP(A77,'Base Prueba'!A:C,3,),"NO REGISTRA")</f>
        <v>JUAN CARLOS PAZ CUBILLOS</v>
      </c>
      <c r="D77" s="4" t="str">
        <f>IFERROR(VLOOKUP(A77,'Base Prueba'!A:D,4,),"NO REGISTRA")</f>
        <v>ANALISTA DE SISTEMAS</v>
      </c>
      <c r="E77" s="5" t="str">
        <f>IFERROR(VLOOKUP(A77,'Base Prueba'!A:E,5,),"NO REGISTRA")</f>
        <v>DEPARTAMENTO DE INFORMATICA Y TECNOLOGIA</v>
      </c>
    </row>
    <row r="78" spans="1:5" ht="15.75" x14ac:dyDescent="0.25">
      <c r="A78" s="10">
        <v>52049956</v>
      </c>
      <c r="B78" s="2">
        <v>46045.805600231484</v>
      </c>
      <c r="C78" s="3" t="str">
        <f>IFERROR(VLOOKUP(A78,'Base Prueba'!A:C,3,),"NO REGISTRA")</f>
        <v>ESPERANZA MORALES</v>
      </c>
      <c r="D78" s="4" t="str">
        <f>IFERROR(VLOOKUP(A78,'Base Prueba'!A:D,4,),"NO REGISTRA")</f>
        <v>DIRECTORA DE INFORMATICA Y TECNOLOGIA</v>
      </c>
      <c r="E78" s="5" t="str">
        <f>IFERROR(VLOOKUP(A78,'Base Prueba'!A:E,5,),"NO REGISTRA")</f>
        <v>DEPARTAMENTO DE INFORMATICA Y TECNOLOGIA</v>
      </c>
    </row>
    <row r="79" spans="1:5" ht="15.75" x14ac:dyDescent="0.25">
      <c r="A79" s="10">
        <v>1000046533</v>
      </c>
      <c r="B79" s="2">
        <v>46046.380864004626</v>
      </c>
      <c r="C79" s="3" t="str">
        <f>IFERROR(VLOOKUP(A79,'Base Prueba'!A:C,3,),"NO REGISTRA")</f>
        <v>ERIKA JULIETH VALDERRAMA SANCHEZ</v>
      </c>
      <c r="D79" s="4" t="str">
        <f>IFERROR(VLOOKUP(A79,'Base Prueba'!A:D,4,),"NO REGISTRA")</f>
        <v>PROMOTOR CALL CENTER</v>
      </c>
      <c r="E79" s="5" t="str">
        <f>IFERROR(VLOOKUP(A79,'Base Prueba'!A:E,5,),"NO REGISTRA")</f>
        <v>OFICINA DE MERCADEO</v>
      </c>
    </row>
    <row r="80" spans="1:5" ht="15.75" x14ac:dyDescent="0.25">
      <c r="A80" s="10">
        <v>52049956</v>
      </c>
      <c r="B80" s="2">
        <v>46048.371818518521</v>
      </c>
      <c r="C80" s="3" t="str">
        <f>IFERROR(VLOOKUP(A80,'Base Prueba'!A:C,3,),"NO REGISTRA")</f>
        <v>ESPERANZA MORALES</v>
      </c>
      <c r="D80" s="4" t="str">
        <f>IFERROR(VLOOKUP(A80,'Base Prueba'!A:D,4,),"NO REGISTRA")</f>
        <v>DIRECTORA DE INFORMATICA Y TECNOLOGIA</v>
      </c>
      <c r="E80" s="5" t="str">
        <f>IFERROR(VLOOKUP(A80,'Base Prueba'!A:E,5,),"NO REGISTRA")</f>
        <v>DEPARTAMENTO DE INFORMATICA Y TECNOLOGIA</v>
      </c>
    </row>
    <row r="81" spans="1:5" ht="15.75" x14ac:dyDescent="0.25">
      <c r="A81" s="10">
        <v>52049956</v>
      </c>
      <c r="B81" s="2">
        <v>46048.371824305555</v>
      </c>
      <c r="C81" s="3" t="str">
        <f>IFERROR(VLOOKUP(A81,'Base Prueba'!A:C,3,),"NO REGISTRA")</f>
        <v>ESPERANZA MORALES</v>
      </c>
      <c r="D81" s="4" t="str">
        <f>IFERROR(VLOOKUP(A81,'Base Prueba'!A:D,4,),"NO REGISTRA")</f>
        <v>DIRECTORA DE INFORMATICA Y TECNOLOGIA</v>
      </c>
      <c r="E81" s="5" t="str">
        <f>IFERROR(VLOOKUP(A81,'Base Prueba'!A:E,5,),"NO REGISTRA")</f>
        <v>DEPARTAMENTO DE INFORMATICA Y TECNOLOGIA</v>
      </c>
    </row>
    <row r="82" spans="1:5" ht="15.75" x14ac:dyDescent="0.25">
      <c r="A82" s="10">
        <v>1022378300</v>
      </c>
      <c r="B82" s="2">
        <v>46048.374896296293</v>
      </c>
      <c r="C82" s="3" t="str">
        <f>IFERROR(VLOOKUP(A82,'Base Prueba'!A:C,3,),"NO REGISTRA")</f>
        <v>FERNEY ANDRES CHASPUENGAL RAMIREZ</v>
      </c>
      <c r="D82" s="4" t="str">
        <f>IFERROR(VLOOKUP(A82,'Base Prueba'!A:D,4,),"NO REGISTRA")</f>
        <v>LÍDER DE DEPORTE Y CULTURA</v>
      </c>
      <c r="E82" s="5" t="str">
        <f>IFERROR(VLOOKUP(A82,'Base Prueba'!A:E,5,),"NO REGISTRA")</f>
        <v>DIRECCION DE BIENESTAR INSTITUCIONAL</v>
      </c>
    </row>
    <row r="83" spans="1:5" ht="15.75" x14ac:dyDescent="0.25">
      <c r="A83" s="10">
        <v>52049956</v>
      </c>
      <c r="B83" s="2">
        <v>46048.792883333335</v>
      </c>
      <c r="C83" s="3" t="str">
        <f>IFERROR(VLOOKUP(A83,'Base Prueba'!A:C,3,),"NO REGISTRA")</f>
        <v>ESPERANZA MORALES</v>
      </c>
      <c r="D83" s="4" t="str">
        <f>IFERROR(VLOOKUP(A83,'Base Prueba'!A:D,4,),"NO REGISTRA")</f>
        <v>DIRECTORA DE INFORMATICA Y TECNOLOGIA</v>
      </c>
      <c r="E83" s="5" t="str">
        <f>IFERROR(VLOOKUP(A83,'Base Prueba'!A:E,5,),"NO REGISTRA")</f>
        <v>DEPARTAMENTO DE INFORMATICA Y TECNOLOGIA</v>
      </c>
    </row>
    <row r="84" spans="1:5" ht="15.75" x14ac:dyDescent="0.25">
      <c r="A84" s="10">
        <v>79452150</v>
      </c>
      <c r="B84" s="2">
        <v>46048.810691203704</v>
      </c>
      <c r="C84" s="3" t="str">
        <f>IFERROR(VLOOKUP(A84,'Base Prueba'!A:C,3,),"NO REGISTRA")</f>
        <v>JUAN CARLOS PAZ CUBILLOS</v>
      </c>
      <c r="D84" s="4" t="str">
        <f>IFERROR(VLOOKUP(A84,'Base Prueba'!A:D,4,),"NO REGISTRA")</f>
        <v>ANALISTA DE SISTEMAS</v>
      </c>
      <c r="E84" s="5" t="str">
        <f>IFERROR(VLOOKUP(A84,'Base Prueba'!A:E,5,),"NO REGISTRA")</f>
        <v>DEPARTAMENTO DE INFORMATICA Y TECNOLOGIA</v>
      </c>
    </row>
    <row r="85" spans="1:5" ht="15.75" x14ac:dyDescent="0.25">
      <c r="A85" s="10">
        <v>52049956</v>
      </c>
      <c r="B85" s="2">
        <v>46049.358122685182</v>
      </c>
      <c r="C85" s="3" t="str">
        <f>IFERROR(VLOOKUP(A85,'Base Prueba'!A:C,3,),"NO REGISTRA")</f>
        <v>ESPERANZA MORALES</v>
      </c>
      <c r="D85" s="4" t="str">
        <f>IFERROR(VLOOKUP(A85,'Base Prueba'!A:D,4,),"NO REGISTRA")</f>
        <v>DIRECTORA DE INFORMATICA Y TECNOLOGIA</v>
      </c>
      <c r="E85" s="5" t="str">
        <f>IFERROR(VLOOKUP(A85,'Base Prueba'!A:E,5,),"NO REGISTRA")</f>
        <v>DEPARTAMENTO DE INFORMATICA Y TECNOLOGIA</v>
      </c>
    </row>
    <row r="86" spans="1:5" ht="15.75" x14ac:dyDescent="0.25">
      <c r="A86" s="10">
        <v>52049956</v>
      </c>
      <c r="B86" s="2">
        <v>46049.792528124999</v>
      </c>
      <c r="C86" s="3" t="str">
        <f>IFERROR(VLOOKUP(A86,'Base Prueba'!A:C,3,),"NO REGISTRA")</f>
        <v>ESPERANZA MORALES</v>
      </c>
      <c r="D86" s="4" t="str">
        <f>IFERROR(VLOOKUP(A86,'Base Prueba'!A:D,4,),"NO REGISTRA")</f>
        <v>DIRECTORA DE INFORMATICA Y TECNOLOGIA</v>
      </c>
      <c r="E86" s="5" t="str">
        <f>IFERROR(VLOOKUP(A86,'Base Prueba'!A:E,5,),"NO REGISTRA")</f>
        <v>DEPARTAMENTO DE INFORMATICA Y TECNOLOGIA</v>
      </c>
    </row>
    <row r="87" spans="1:5" ht="15.75" x14ac:dyDescent="0.25">
      <c r="A87" s="10">
        <v>79452150</v>
      </c>
      <c r="B87" s="2">
        <v>46049.814253703706</v>
      </c>
      <c r="C87" s="3" t="str">
        <f>IFERROR(VLOOKUP(A87,'Base Prueba'!A:C,3,),"NO REGISTRA")</f>
        <v>JUAN CARLOS PAZ CUBILLOS</v>
      </c>
      <c r="D87" s="4" t="str">
        <f>IFERROR(VLOOKUP(A87,'Base Prueba'!A:D,4,),"NO REGISTRA")</f>
        <v>ANALISTA DE SISTEMAS</v>
      </c>
      <c r="E87" s="5" t="str">
        <f>IFERROR(VLOOKUP(A87,'Base Prueba'!A:E,5,),"NO REGISTRA")</f>
        <v>DEPARTAMENTO DE INFORMATICA Y TECNOLOGIA</v>
      </c>
    </row>
    <row r="88" spans="1:5" ht="15.75" x14ac:dyDescent="0.25">
      <c r="A88" s="10">
        <v>52049956</v>
      </c>
      <c r="B88" s="2">
        <v>46050.357668171295</v>
      </c>
      <c r="C88" s="3" t="str">
        <f>IFERROR(VLOOKUP(A88,'Base Prueba'!A:C,3,),"NO REGISTRA")</f>
        <v>ESPERANZA MORALES</v>
      </c>
      <c r="D88" s="4" t="str">
        <f>IFERROR(VLOOKUP(A88,'Base Prueba'!A:D,4,),"NO REGISTRA")</f>
        <v>DIRECTORA DE INFORMATICA Y TECNOLOGIA</v>
      </c>
      <c r="E88" s="5" t="str">
        <f>IFERROR(VLOOKUP(A88,'Base Prueba'!A:E,5,),"NO REGISTRA")</f>
        <v>DEPARTAMENTO DE INFORMATICA Y TECNOLOGIA</v>
      </c>
    </row>
    <row r="89" spans="1:5" ht="15.75" x14ac:dyDescent="0.25">
      <c r="A89" s="10">
        <v>52049956</v>
      </c>
      <c r="B89" s="2">
        <v>46050.797337615739</v>
      </c>
      <c r="C89" s="3" t="str">
        <f>IFERROR(VLOOKUP(A89,'Base Prueba'!A:C,3,),"NO REGISTRA")</f>
        <v>ESPERANZA MORALES</v>
      </c>
      <c r="D89" s="4" t="str">
        <f>IFERROR(VLOOKUP(A89,'Base Prueba'!A:D,4,),"NO REGISTRA")</f>
        <v>DIRECTORA DE INFORMATICA Y TECNOLOGIA</v>
      </c>
      <c r="E89" s="5" t="str">
        <f>IFERROR(VLOOKUP(A89,'Base Prueba'!A:E,5,),"NO REGISTRA")</f>
        <v>DEPARTAMENTO DE INFORMATICA Y TECNOLOGIA</v>
      </c>
    </row>
    <row r="90" spans="1:5" ht="15.75" x14ac:dyDescent="0.25">
      <c r="A90" s="10">
        <v>79452150</v>
      </c>
      <c r="B90" s="2">
        <v>46050.810673842592</v>
      </c>
      <c r="C90" s="3" t="str">
        <f>IFERROR(VLOOKUP(A90,'Base Prueba'!A:C,3,),"NO REGISTRA")</f>
        <v>JUAN CARLOS PAZ CUBILLOS</v>
      </c>
      <c r="D90" s="4" t="str">
        <f>IFERROR(VLOOKUP(A90,'Base Prueba'!A:D,4,),"NO REGISTRA")</f>
        <v>ANALISTA DE SISTEMAS</v>
      </c>
      <c r="E90" s="5" t="str">
        <f>IFERROR(VLOOKUP(A90,'Base Prueba'!A:E,5,),"NO REGISTRA")</f>
        <v>DEPARTAMENTO DE INFORMATICA Y TECNOLOGIA</v>
      </c>
    </row>
    <row r="91" spans="1:5" ht="15.75" x14ac:dyDescent="0.25">
      <c r="A91" s="10">
        <v>52049956</v>
      </c>
      <c r="B91" s="2">
        <v>46051.369624999999</v>
      </c>
      <c r="C91" s="3" t="str">
        <f>IFERROR(VLOOKUP(A91,'Base Prueba'!A:C,3,),"NO REGISTRA")</f>
        <v>ESPERANZA MORALES</v>
      </c>
      <c r="D91" s="4" t="str">
        <f>IFERROR(VLOOKUP(A91,'Base Prueba'!A:D,4,),"NO REGISTRA")</f>
        <v>DIRECTORA DE INFORMATICA Y TECNOLOGIA</v>
      </c>
      <c r="E91" s="5" t="str">
        <f>IFERROR(VLOOKUP(A91,'Base Prueba'!A:E,5,),"NO REGISTRA")</f>
        <v>DEPARTAMENTO DE INFORMATICA Y TECNOLOGIA</v>
      </c>
    </row>
    <row r="92" spans="1:5" ht="15.75" x14ac:dyDescent="0.25">
      <c r="A92" s="10">
        <v>52049956</v>
      </c>
      <c r="B92" s="2">
        <v>46052.345551388891</v>
      </c>
      <c r="C92" s="3" t="str">
        <f>IFERROR(VLOOKUP(A92,'Base Prueba'!A:C,3,),"NO REGISTRA")</f>
        <v>ESPERANZA MORALES</v>
      </c>
      <c r="D92" s="4" t="str">
        <f>IFERROR(VLOOKUP(A92,'Base Prueba'!A:D,4,),"NO REGISTRA")</f>
        <v>DIRECTORA DE INFORMATICA Y TECNOLOGIA</v>
      </c>
      <c r="E92" s="5" t="str">
        <f>IFERROR(VLOOKUP(A92,'Base Prueba'!A:E,5,),"NO REGISTRA")</f>
        <v>DEPARTAMENTO DE INFORMATICA Y TECNOLOGIA</v>
      </c>
    </row>
    <row r="93" spans="1:5" ht="15.75" x14ac:dyDescent="0.25">
      <c r="A93" s="10">
        <v>52049956</v>
      </c>
      <c r="B93" s="2">
        <v>46052.798241087963</v>
      </c>
      <c r="C93" s="3" t="str">
        <f>IFERROR(VLOOKUP(A93,'Base Prueba'!A:C,3,),"NO REGISTRA")</f>
        <v>ESPERANZA MORALES</v>
      </c>
      <c r="D93" s="4" t="str">
        <f>IFERROR(VLOOKUP(A93,'Base Prueba'!A:D,4,),"NO REGISTRA")</f>
        <v>DIRECTORA DE INFORMATICA Y TECNOLOGIA</v>
      </c>
      <c r="E93" s="5" t="str">
        <f>IFERROR(VLOOKUP(A93,'Base Prueba'!A:E,5,),"NO REGISTRA")</f>
        <v>DEPARTAMENTO DE INFORMATICA Y TECNOLOGIA</v>
      </c>
    </row>
    <row r="94" spans="1:5" ht="15.75" x14ac:dyDescent="0.25">
      <c r="A94" s="10">
        <v>79452150</v>
      </c>
      <c r="B94" s="2">
        <v>46052.821044675926</v>
      </c>
      <c r="C94" s="3" t="str">
        <f>IFERROR(VLOOKUP(A94,'Base Prueba'!A:C,3,),"NO REGISTRA")</f>
        <v>JUAN CARLOS PAZ CUBILLOS</v>
      </c>
      <c r="D94" s="4" t="str">
        <f>IFERROR(VLOOKUP(A94,'Base Prueba'!A:D,4,),"NO REGISTRA")</f>
        <v>ANALISTA DE SISTEMAS</v>
      </c>
      <c r="E94" s="5" t="str">
        <f>IFERROR(VLOOKUP(A94,'Base Prueba'!A:E,5,),"NO REGISTRA")</f>
        <v>DEPARTAMENTO DE INFORMATICA Y TECNOLOGIA</v>
      </c>
    </row>
    <row r="95" spans="1:5" ht="15.75" x14ac:dyDescent="0.25">
      <c r="A95" s="10">
        <v>79452150</v>
      </c>
      <c r="B95" s="2">
        <v>46053.504594907405</v>
      </c>
      <c r="C95" s="3" t="str">
        <f>IFERROR(VLOOKUP(A95,'Base Prueba'!A:C,3,),"NO REGISTRA")</f>
        <v>JUAN CARLOS PAZ CUBILLOS</v>
      </c>
      <c r="D95" s="4" t="str">
        <f>IFERROR(VLOOKUP(A95,'Base Prueba'!A:D,4,),"NO REGISTRA")</f>
        <v>ANALISTA DE SISTEMAS</v>
      </c>
      <c r="E95" s="5" t="str">
        <f>IFERROR(VLOOKUP(A95,'Base Prueba'!A:E,5,),"NO REGISTRA")</f>
        <v>DEPARTAMENTO DE INFORMATICA Y TECNOLOGIA</v>
      </c>
    </row>
    <row r="96" spans="1:5" ht="15.75" x14ac:dyDescent="0.25">
      <c r="A96" s="10">
        <v>52049956</v>
      </c>
      <c r="B96" s="2">
        <v>46053.588000694443</v>
      </c>
      <c r="C96" s="3" t="str">
        <f>IFERROR(VLOOKUP(A96,'Base Prueba'!A:C,3,),"NO REGISTRA")</f>
        <v>ESPERANZA MORALES</v>
      </c>
      <c r="D96" s="4" t="str">
        <f>IFERROR(VLOOKUP(A96,'Base Prueba'!A:D,4,),"NO REGISTRA")</f>
        <v>DIRECTORA DE INFORMATICA Y TECNOLOGIA</v>
      </c>
      <c r="E96" s="5" t="str">
        <f>IFERROR(VLOOKUP(A96,'Base Prueba'!A:E,5,),"NO REGISTRA")</f>
        <v>DEPARTAMENTO DE INFORMATICA Y TECNOLOGIA</v>
      </c>
    </row>
    <row r="97" spans="1:5" ht="15.75" x14ac:dyDescent="0.25">
      <c r="A97" s="10">
        <v>51555582</v>
      </c>
      <c r="B97" s="2">
        <v>46055.375904976849</v>
      </c>
      <c r="C97" s="3" t="str">
        <f>IFERROR(VLOOKUP(A97,'Base Prueba'!A:C,3,),"NO REGISTRA")</f>
        <v>MARTHA CECILIA VIDAL ARIZABALETA</v>
      </c>
      <c r="D97" s="4" t="str">
        <f>IFERROR(VLOOKUP(A97,'Base Prueba'!A:D,4,),"NO REGISTRA")</f>
        <v>DOCENTE DE MEDIO TIEMPO</v>
      </c>
      <c r="E97" s="5" t="str">
        <f>IFERROR(VLOOKUP(A97,'Base Prueba'!A:E,5,),"NO REGISTRA")</f>
        <v>INGENIERIA DE SOFTWARE</v>
      </c>
    </row>
    <row r="98" spans="1:5" ht="15.75" x14ac:dyDescent="0.25">
      <c r="A98" s="10">
        <v>51555582</v>
      </c>
      <c r="B98" s="2">
        <v>46055.375929513888</v>
      </c>
      <c r="C98" s="3" t="str">
        <f>IFERROR(VLOOKUP(A98,'Base Prueba'!A:C,3,),"NO REGISTRA")</f>
        <v>MARTHA CECILIA VIDAL ARIZABALETA</v>
      </c>
      <c r="D98" s="4" t="str">
        <f>IFERROR(VLOOKUP(A98,'Base Prueba'!A:D,4,),"NO REGISTRA")</f>
        <v>DOCENTE DE MEDIO TIEMPO</v>
      </c>
      <c r="E98" s="5" t="str">
        <f>IFERROR(VLOOKUP(A98,'Base Prueba'!A:E,5,),"NO REGISTRA")</f>
        <v>INGENIERIA DE SOFTWARE</v>
      </c>
    </row>
    <row r="99" spans="1:5" ht="15.75" x14ac:dyDescent="0.25">
      <c r="A99" s="10">
        <v>51555582</v>
      </c>
      <c r="B99" s="2">
        <v>46055.463994560188</v>
      </c>
      <c r="C99" s="3" t="str">
        <f>IFERROR(VLOOKUP(A99,'Base Prueba'!A:C,3,),"NO REGISTRA")</f>
        <v>MARTHA CECILIA VIDAL ARIZABALETA</v>
      </c>
      <c r="D99" s="4" t="str">
        <f>IFERROR(VLOOKUP(A99,'Base Prueba'!A:D,4,),"NO REGISTRA")</f>
        <v>DOCENTE DE MEDIO TIEMPO</v>
      </c>
      <c r="E99" s="5" t="str">
        <f>IFERROR(VLOOKUP(A99,'Base Prueba'!A:E,5,),"NO REGISTRA")</f>
        <v>INGENIERIA DE SOFTWARE</v>
      </c>
    </row>
    <row r="100" spans="1:5" ht="15.75" x14ac:dyDescent="0.25">
      <c r="A100" s="10">
        <v>1034777141</v>
      </c>
      <c r="B100" s="2">
        <v>46055.490907638887</v>
      </c>
      <c r="C100" s="3" t="str">
        <f>IFERROR(VLOOKUP(A100,'Base Prueba'!A:C,3,),"NO REGISTRA")</f>
        <v>NO REGISTRA</v>
      </c>
      <c r="D100" s="4" t="str">
        <f>IFERROR(VLOOKUP(A100,'Base Prueba'!A:D,4,),"NO REGISTRA")</f>
        <v>NO REGISTRA</v>
      </c>
      <c r="E100" s="5" t="str">
        <f>IFERROR(VLOOKUP(A100,'Base Prueba'!A:E,5,),"NO REGISTRA")</f>
        <v>NO REGISTRA</v>
      </c>
    </row>
    <row r="101" spans="1:5" ht="15.75" x14ac:dyDescent="0.25">
      <c r="A101" s="10">
        <v>79435738</v>
      </c>
      <c r="B101" s="2">
        <v>46055.739173611109</v>
      </c>
      <c r="C101" s="3" t="str">
        <f>IFERROR(VLOOKUP(A101,'Base Prueba'!A:C,3,),"NO REGISTRA")</f>
        <v>DANIEL ANDRES MURCIA DIAZ</v>
      </c>
      <c r="D101" s="4" t="str">
        <f>IFERROR(VLOOKUP(A101,'Base Prueba'!A:D,4,),"NO REGISTRA")</f>
        <v>DOCENTE DE TIEMPO COMPLETO</v>
      </c>
      <c r="E101" s="5" t="str">
        <f>IFERROR(VLOOKUP(A101,'Base Prueba'!A:E,5,),"NO REGISTRA")</f>
        <v>INGENIERIA DE SOFTWARE</v>
      </c>
    </row>
    <row r="102" spans="1:5" ht="15.75" x14ac:dyDescent="0.25">
      <c r="A102" s="10">
        <v>23810964</v>
      </c>
      <c r="B102" s="2">
        <v>46055.744157407411</v>
      </c>
      <c r="C102" s="3" t="str">
        <f>IFERROR(VLOOKUP(A102,'Base Prueba'!A:C,3,),"NO REGISTRA")</f>
        <v>JULY FERNANDA GOMEZ NIÑO</v>
      </c>
      <c r="D102" s="4" t="str">
        <f>IFERROR(VLOOKUP(A102,'Base Prueba'!A:D,4,),"NO REGISTRA")</f>
        <v>DOCENTE DE MEDIO TIEMPO</v>
      </c>
      <c r="E102" s="5" t="str">
        <f>IFERROR(VLOOKUP(A102,'Base Prueba'!A:E,5,),"NO REGISTRA")</f>
        <v>TECNOLOGIA EN ADMINISTRACION DEL TALENTO HUMANO</v>
      </c>
    </row>
    <row r="103" spans="1:5" ht="15.75" x14ac:dyDescent="0.25">
      <c r="A103" s="10">
        <v>11388623</v>
      </c>
      <c r="B103" s="2">
        <v>46055.761314699077</v>
      </c>
      <c r="C103" s="3" t="str">
        <f>IFERROR(VLOOKUP(A103,'Base Prueba'!A:C,3,),"NO REGISTRA")</f>
        <v>DIEGO MAURICIO PADILLA DIAZ</v>
      </c>
      <c r="D103" s="4" t="str">
        <f>IFERROR(VLOOKUP(A103,'Base Prueba'!A:D,4,),"NO REGISTRA")</f>
        <v>DOCENTE DE MEDIO TIEMPO</v>
      </c>
      <c r="E103" s="5" t="str">
        <f>IFERROR(VLOOKUP(A103,'Base Prueba'!A:E,5,),"NO REGISTRA")</f>
        <v>UNIVERSITARIO ADMINISTRACION DE EMPRESAS</v>
      </c>
    </row>
    <row r="104" spans="1:5" ht="15.75" x14ac:dyDescent="0.25">
      <c r="A104" s="10">
        <v>52049956</v>
      </c>
      <c r="B104" s="2">
        <v>46055.839535763887</v>
      </c>
      <c r="C104" s="3" t="str">
        <f>IFERROR(VLOOKUP(A104,'Base Prueba'!A:C,3,),"NO REGISTRA")</f>
        <v>ESPERANZA MORALES</v>
      </c>
      <c r="D104" s="4" t="str">
        <f>IFERROR(VLOOKUP(A104,'Base Prueba'!A:D,4,),"NO REGISTRA")</f>
        <v>DIRECTORA DE INFORMATICA Y TECNOLOGIA</v>
      </c>
      <c r="E104" s="5" t="str">
        <f>IFERROR(VLOOKUP(A104,'Base Prueba'!A:E,5,),"NO REGISTRA")</f>
        <v>DEPARTAMENTO DE INFORMATICA Y TECNOLOGIA</v>
      </c>
    </row>
    <row r="105" spans="1:5" ht="15.75" x14ac:dyDescent="0.25">
      <c r="A105" s="10">
        <v>1019125716</v>
      </c>
      <c r="B105" s="2">
        <v>46055.844952777778</v>
      </c>
      <c r="C105" s="3" t="str">
        <f>IFERROR(VLOOKUP(A105,'Base Prueba'!A:C,3,),"NO REGISTRA")</f>
        <v>GINA PAOLA ALZATE ARISTIZABAL</v>
      </c>
      <c r="D105" s="4" t="str">
        <f>IFERROR(VLOOKUP(A105,'Base Prueba'!A:D,4,),"NO REGISTRA")</f>
        <v>DOCENTE DE MEDIO TIEMPO</v>
      </c>
      <c r="E105" s="5" t="str">
        <f>IFERROR(VLOOKUP(A105,'Base Prueba'!A:E,5,),"NO REGISTRA")</f>
        <v>UNIDAD DE IDIOMAS</v>
      </c>
    </row>
    <row r="106" spans="1:5" ht="15.75" x14ac:dyDescent="0.25">
      <c r="A106" s="10">
        <v>79452150</v>
      </c>
      <c r="B106" s="2">
        <v>46055.856664583334</v>
      </c>
      <c r="C106" s="3" t="str">
        <f>IFERROR(VLOOKUP(A106,'Base Prueba'!A:C,3,),"NO REGISTRA")</f>
        <v>JUAN CARLOS PAZ CUBILLOS</v>
      </c>
      <c r="D106" s="4" t="str">
        <f>IFERROR(VLOOKUP(A106,'Base Prueba'!A:D,4,),"NO REGISTRA")</f>
        <v>ANALISTA DE SISTEMAS</v>
      </c>
      <c r="E106" s="5" t="str">
        <f>IFERROR(VLOOKUP(A106,'Base Prueba'!A:E,5,),"NO REGISTRA")</f>
        <v>DEPARTAMENTO DE INFORMATICA Y TECNOLOGIA</v>
      </c>
    </row>
    <row r="107" spans="1:5" ht="15.75" x14ac:dyDescent="0.25">
      <c r="A107" s="10">
        <v>1148454724</v>
      </c>
      <c r="B107" s="2">
        <v>46055.861871643516</v>
      </c>
      <c r="C107" s="3" t="str">
        <f>IFERROR(VLOOKUP(A107,'Base Prueba'!A:C,3,),"NO REGISTRA")</f>
        <v>JOSE ALFREDO PARADA PUENTES</v>
      </c>
      <c r="D107" s="4" t="str">
        <f>IFERROR(VLOOKUP(A107,'Base Prueba'!A:D,4,),"NO REGISTRA")</f>
        <v>DOCENTE DE MEDIO TIEMPO</v>
      </c>
      <c r="E107" s="5" t="str">
        <f>IFERROR(VLOOKUP(A107,'Base Prueba'!A:E,5,),"NO REGISTRA")</f>
        <v>UNIVERSITARIO ADMINISTRACION DE EMPRESAS</v>
      </c>
    </row>
    <row r="108" spans="1:5" ht="15.75" x14ac:dyDescent="0.25">
      <c r="A108" s="10">
        <v>248294</v>
      </c>
      <c r="B108" s="2">
        <v>46056.357327546299</v>
      </c>
      <c r="C108" s="3" t="str">
        <f>IFERROR(VLOOKUP(A108,'Base Prueba'!A:C,3,),"NO REGISTRA")</f>
        <v>WALTER NATALIO VALDEZ MONTAÑEZ</v>
      </c>
      <c r="D108" s="4" t="str">
        <f>IFERROR(VLOOKUP(A108,'Base Prueba'!A:D,4,),"NO REGISTRA")</f>
        <v>DOCENTE DE TIEMPO COMPLETO</v>
      </c>
      <c r="E108" s="5" t="str">
        <f>IFERROR(VLOOKUP(A108,'Base Prueba'!A:E,5,),"NO REGISTRA")</f>
        <v>UNIVERSITARIO EN TURISMO Y GASTRONOMIA</v>
      </c>
    </row>
    <row r="109" spans="1:5" ht="15.75" x14ac:dyDescent="0.25">
      <c r="A109" s="10">
        <v>1014210502</v>
      </c>
      <c r="B109" s="2">
        <v>46056.433964351854</v>
      </c>
      <c r="C109" s="3" t="str">
        <f>IFERROR(VLOOKUP(A109,'Base Prueba'!A:C,3,),"NO REGISTRA")</f>
        <v>PABLO JAVIER MEDINA RAMIREZ</v>
      </c>
      <c r="D109" s="4" t="str">
        <f>IFERROR(VLOOKUP(A109,'Base Prueba'!A:D,4,),"NO REGISTRA")</f>
        <v>DOCENTE DE MEDIO TIEMPO</v>
      </c>
      <c r="E109" s="5" t="str">
        <f>IFERROR(VLOOKUP(A109,'Base Prueba'!A:E,5,),"NO REGISTRA")</f>
        <v>NARRATIVAS DIGITALES Y AUDIOVISUALES</v>
      </c>
    </row>
    <row r="110" spans="1:5" ht="15.75" x14ac:dyDescent="0.25">
      <c r="A110" s="10">
        <v>1014210502</v>
      </c>
      <c r="B110" s="2">
        <v>46056.434011921294</v>
      </c>
      <c r="C110" s="3" t="str">
        <f>IFERROR(VLOOKUP(A110,'Base Prueba'!A:C,3,),"NO REGISTRA")</f>
        <v>PABLO JAVIER MEDINA RAMIREZ</v>
      </c>
      <c r="D110" s="4" t="str">
        <f>IFERROR(VLOOKUP(A110,'Base Prueba'!A:D,4,),"NO REGISTRA")</f>
        <v>DOCENTE DE MEDIO TIEMPO</v>
      </c>
      <c r="E110" s="5" t="str">
        <f>IFERROR(VLOOKUP(A110,'Base Prueba'!A:E,5,),"NO REGISTRA")</f>
        <v>NARRATIVAS DIGITALES Y AUDIOVISUALES</v>
      </c>
    </row>
    <row r="111" spans="1:5" ht="15.75" x14ac:dyDescent="0.25">
      <c r="A111" s="10">
        <v>248294</v>
      </c>
      <c r="B111" s="2">
        <v>46056.583431481478</v>
      </c>
      <c r="C111" s="3" t="str">
        <f>IFERROR(VLOOKUP(A111,'Base Prueba'!A:C,3,),"NO REGISTRA")</f>
        <v>WALTER NATALIO VALDEZ MONTAÑEZ</v>
      </c>
      <c r="D111" s="4" t="str">
        <f>IFERROR(VLOOKUP(A111,'Base Prueba'!A:D,4,),"NO REGISTRA")</f>
        <v>DOCENTE DE TIEMPO COMPLETO</v>
      </c>
      <c r="E111" s="5" t="str">
        <f>IFERROR(VLOOKUP(A111,'Base Prueba'!A:E,5,),"NO REGISTRA")</f>
        <v>UNIVERSITARIO EN TURISMO Y GASTRONOMIA</v>
      </c>
    </row>
    <row r="112" spans="1:5" ht="15.75" x14ac:dyDescent="0.25">
      <c r="A112" s="10">
        <v>1014257968</v>
      </c>
      <c r="B112" s="2">
        <v>46056.70008923611</v>
      </c>
      <c r="C112" s="3" t="str">
        <f>IFERROR(VLOOKUP(A112,'Base Prueba'!A:C,3,),"NO REGISTRA")</f>
        <v>JORGE ANDRES LIEVANO LOPEZ</v>
      </c>
      <c r="D112" s="4" t="str">
        <f>IFERROR(VLOOKUP(A112,'Base Prueba'!A:D,4,),"NO REGISTRA")</f>
        <v>DOCENTE DE TIEMPO COMPLETO</v>
      </c>
      <c r="E112" s="5" t="str">
        <f>IFERROR(VLOOKUP(A112,'Base Prueba'!A:E,5,),"NO REGISTRA")</f>
        <v>UNIDAD DE IDIOMAS</v>
      </c>
    </row>
    <row r="113" spans="1:5" ht="15.75" x14ac:dyDescent="0.25">
      <c r="A113" s="10">
        <v>79433573</v>
      </c>
      <c r="B113" s="2">
        <v>46056.752480324074</v>
      </c>
      <c r="C113" s="3" t="str">
        <f>IFERROR(VLOOKUP(A113,'Base Prueba'!A:C,3,),"NO REGISTRA")</f>
        <v>NELSON GUILLERMO GARCIA GAITAN</v>
      </c>
      <c r="D113" s="4" t="str">
        <f>IFERROR(VLOOKUP(A113,'Base Prueba'!A:D,4,),"NO REGISTRA")</f>
        <v>DOCENTE DE TIEMPO COMPLETO</v>
      </c>
      <c r="E113" s="5" t="str">
        <f>IFERROR(VLOOKUP(A113,'Base Prueba'!A:E,5,),"NO REGISTRA")</f>
        <v>UNIVERSITARIO COMUNICACION SOCIAL</v>
      </c>
    </row>
    <row r="114" spans="1:5" ht="15.75" x14ac:dyDescent="0.25">
      <c r="A114" s="10">
        <v>79452150</v>
      </c>
      <c r="B114" s="2">
        <v>46056.827760185188</v>
      </c>
      <c r="C114" s="3" t="str">
        <f>IFERROR(VLOOKUP(A114,'Base Prueba'!A:C,3,),"NO REGISTRA")</f>
        <v>JUAN CARLOS PAZ CUBILLOS</v>
      </c>
      <c r="D114" s="4" t="str">
        <f>IFERROR(VLOOKUP(A114,'Base Prueba'!A:D,4,),"NO REGISTRA")</f>
        <v>ANALISTA DE SISTEMAS</v>
      </c>
      <c r="E114" s="5" t="str">
        <f>IFERROR(VLOOKUP(A114,'Base Prueba'!A:E,5,),"NO REGISTRA")</f>
        <v>DEPARTAMENTO DE INFORMATICA Y TECNOLOGIA</v>
      </c>
    </row>
    <row r="115" spans="1:5" ht="15.75" x14ac:dyDescent="0.25">
      <c r="A115" s="10">
        <v>52049956</v>
      </c>
      <c r="B115" s="2">
        <v>46057.36682974537</v>
      </c>
      <c r="C115" s="3" t="str">
        <f>IFERROR(VLOOKUP(A115,'Base Prueba'!A:C,3,),"NO REGISTRA")</f>
        <v>ESPERANZA MORALES</v>
      </c>
      <c r="D115" s="4" t="str">
        <f>IFERROR(VLOOKUP(A115,'Base Prueba'!A:D,4,),"NO REGISTRA")</f>
        <v>DIRECTORA DE INFORMATICA Y TECNOLOGIA</v>
      </c>
      <c r="E115" s="5" t="str">
        <f>IFERROR(VLOOKUP(A115,'Base Prueba'!A:E,5,),"NO REGISTRA")</f>
        <v>DEPARTAMENTO DE INFORMATICA Y TECNOLOGIA</v>
      </c>
    </row>
    <row r="116" spans="1:5" ht="15.75" x14ac:dyDescent="0.25">
      <c r="A116" s="10">
        <v>248294</v>
      </c>
      <c r="B116" s="2">
        <v>46057.540772800923</v>
      </c>
      <c r="C116" s="3" t="str">
        <f>IFERROR(VLOOKUP(A116,'Base Prueba'!A:C,3,),"NO REGISTRA")</f>
        <v>WALTER NATALIO VALDEZ MONTAÑEZ</v>
      </c>
      <c r="D116" s="4" t="str">
        <f>IFERROR(VLOOKUP(A116,'Base Prueba'!A:D,4,),"NO REGISTRA")</f>
        <v>DOCENTE DE TIEMPO COMPLETO</v>
      </c>
      <c r="E116" s="5" t="str">
        <f>IFERROR(VLOOKUP(A116,'Base Prueba'!A:E,5,),"NO REGISTRA")</f>
        <v>UNIVERSITARIO EN TURISMO Y GASTRONOMIA</v>
      </c>
    </row>
    <row r="117" spans="1:5" ht="15.75" x14ac:dyDescent="0.25">
      <c r="A117" s="10">
        <v>1018482392</v>
      </c>
      <c r="B117" s="2">
        <v>46057.581860648148</v>
      </c>
      <c r="C117" s="3" t="str">
        <f>IFERROR(VLOOKUP(A117,'Base Prueba'!A:C,3,),"NO REGISTRA")</f>
        <v>RAQUEL YANETH SANDOVAL FORERO</v>
      </c>
      <c r="D117" s="4" t="str">
        <f>IFERROR(VLOOKUP(A117,'Base Prueba'!A:D,4,),"NO REGISTRA")</f>
        <v>AUXILIAR DE RECURSOS ACADEMICOS</v>
      </c>
      <c r="E117" s="5" t="str">
        <f>IFERROR(VLOOKUP(A117,'Base Prueba'!A:E,5,),"NO REGISTRA")</f>
        <v>RECURSOS ACADEMICOS</v>
      </c>
    </row>
    <row r="118" spans="1:5" ht="15.75" x14ac:dyDescent="0.25">
      <c r="A118" s="10">
        <v>1001284791</v>
      </c>
      <c r="B118" s="2">
        <v>46057.583779629633</v>
      </c>
      <c r="C118" s="3" t="str">
        <f>IFERROR(VLOOKUP(A118,'Base Prueba'!A:C,3,),"NO REGISTRA")</f>
        <v>OSCAR STEVEN PEREZ HIDALGO</v>
      </c>
      <c r="D118" s="4" t="str">
        <f>IFERROR(VLOOKUP(A118,'Base Prueba'!A:D,4,),"NO REGISTRA")</f>
        <v>AUXILIAR DE RECURSOS ACADEMICOS</v>
      </c>
      <c r="E118" s="5" t="str">
        <f>IFERROR(VLOOKUP(A118,'Base Prueba'!A:E,5,),"NO REGISTRA")</f>
        <v>RECURSOS ACADEMICOS</v>
      </c>
    </row>
    <row r="119" spans="1:5" ht="15.75" x14ac:dyDescent="0.25">
      <c r="A119" s="10">
        <v>1011095300</v>
      </c>
      <c r="B119" s="2">
        <v>46057.586352199076</v>
      </c>
      <c r="C119" s="3" t="str">
        <f>IFERROR(VLOOKUP(A119,'Base Prueba'!A:C,3,),"NO REGISTRA")</f>
        <v>MARIA DE LOS ANGELES MONTENEGRO JIMENEZ</v>
      </c>
      <c r="D119" s="4" t="str">
        <f>IFERROR(VLOOKUP(A119,'Base Prueba'!A:D,4,),"NO REGISTRA")</f>
        <v>AUXILIAR DE RECURSOS AUDIOVISUALES</v>
      </c>
      <c r="E119" s="5" t="str">
        <f>IFERROR(VLOOKUP(A119,'Base Prueba'!A:E,5,),"NO REGISTRA")</f>
        <v>OFICINA DE AUDIOVISUALES</v>
      </c>
    </row>
    <row r="120" spans="1:5" ht="15.75" x14ac:dyDescent="0.25">
      <c r="A120" s="10">
        <v>52049956</v>
      </c>
      <c r="B120" s="2">
        <v>46057.835007291666</v>
      </c>
      <c r="C120" s="3" t="str">
        <f>IFERROR(VLOOKUP(A120,'Base Prueba'!A:C,3,),"NO REGISTRA")</f>
        <v>ESPERANZA MORALES</v>
      </c>
      <c r="D120" s="4" t="str">
        <f>IFERROR(VLOOKUP(A120,'Base Prueba'!A:D,4,),"NO REGISTRA")</f>
        <v>DIRECTORA DE INFORMATICA Y TECNOLOGIA</v>
      </c>
      <c r="E120" s="5" t="str">
        <f>IFERROR(VLOOKUP(A120,'Base Prueba'!A:E,5,),"NO REGISTRA")</f>
        <v>DEPARTAMENTO DE INFORMATICA Y TECNOLOGIA</v>
      </c>
    </row>
    <row r="121" spans="1:5" ht="15.75" x14ac:dyDescent="0.25">
      <c r="A121" s="10">
        <v>79452150</v>
      </c>
      <c r="B121" s="2">
        <v>46057.880481597225</v>
      </c>
      <c r="C121" s="3" t="str">
        <f>IFERROR(VLOOKUP(A121,'Base Prueba'!A:C,3,),"NO REGISTRA")</f>
        <v>JUAN CARLOS PAZ CUBILLOS</v>
      </c>
      <c r="D121" s="4" t="str">
        <f>IFERROR(VLOOKUP(A121,'Base Prueba'!A:D,4,),"NO REGISTRA")</f>
        <v>ANALISTA DE SISTEMAS</v>
      </c>
      <c r="E121" s="5" t="str">
        <f>IFERROR(VLOOKUP(A121,'Base Prueba'!A:E,5,),"NO REGISTRA")</f>
        <v>DEPARTAMENTO DE INFORMATICA Y TECNOLOGIA</v>
      </c>
    </row>
    <row r="122" spans="1:5" ht="15.75" x14ac:dyDescent="0.25">
      <c r="A122" s="10">
        <v>52049956</v>
      </c>
      <c r="B122" s="2">
        <v>46058.376042708333</v>
      </c>
      <c r="C122" s="3" t="str">
        <f>IFERROR(VLOOKUP(A122,'Base Prueba'!A:C,3,),"NO REGISTRA")</f>
        <v>ESPERANZA MORALES</v>
      </c>
      <c r="D122" s="4" t="str">
        <f>IFERROR(VLOOKUP(A122,'Base Prueba'!A:D,4,),"NO REGISTRA")</f>
        <v>DIRECTORA DE INFORMATICA Y TECNOLOGIA</v>
      </c>
      <c r="E122" s="5" t="str">
        <f>IFERROR(VLOOKUP(A122,'Base Prueba'!A:E,5,),"NO REGISTRA")</f>
        <v>DEPARTAMENTO DE INFORMATICA Y TECNOLOGIA</v>
      </c>
    </row>
    <row r="123" spans="1:5" ht="15.75" x14ac:dyDescent="0.25">
      <c r="A123" s="10">
        <v>1019125716</v>
      </c>
      <c r="B123" s="2">
        <v>46058.482861111108</v>
      </c>
      <c r="C123" s="3" t="str">
        <f>IFERROR(VLOOKUP(A123,'Base Prueba'!A:C,3,),"NO REGISTRA")</f>
        <v>GINA PAOLA ALZATE ARISTIZABAL</v>
      </c>
      <c r="D123" s="4" t="str">
        <f>IFERROR(VLOOKUP(A123,'Base Prueba'!A:D,4,),"NO REGISTRA")</f>
        <v>DOCENTE DE MEDIO TIEMPO</v>
      </c>
      <c r="E123" s="5" t="str">
        <f>IFERROR(VLOOKUP(A123,'Base Prueba'!A:E,5,),"NO REGISTRA")</f>
        <v>UNIDAD DE IDIOMAS</v>
      </c>
    </row>
    <row r="124" spans="1:5" ht="15.75" x14ac:dyDescent="0.25">
      <c r="A124" s="10">
        <v>52782050</v>
      </c>
      <c r="B124" s="2">
        <v>46058.494436458335</v>
      </c>
      <c r="C124" s="3" t="str">
        <f>IFERROR(VLOOKUP(A124,'Base Prueba'!A:C,3,),"NO REGISTRA")</f>
        <v>MELISSA AVENDAÑO TOCANCHON</v>
      </c>
      <c r="D124" s="4" t="str">
        <f>IFERROR(VLOOKUP(A124,'Base Prueba'!A:D,4,),"NO REGISTRA")</f>
        <v>DOCENTE DE MEDIO TIEMPO</v>
      </c>
      <c r="E124" s="5" t="str">
        <f>IFERROR(VLOOKUP(A124,'Base Prueba'!A:E,5,),"NO REGISTRA")</f>
        <v>NARRATIVAS DIGITALES Y AUDIOVISUALES</v>
      </c>
    </row>
    <row r="125" spans="1:5" ht="15.75" x14ac:dyDescent="0.25">
      <c r="A125" s="10">
        <v>248294</v>
      </c>
      <c r="B125" s="2">
        <v>46058.633761226854</v>
      </c>
      <c r="C125" s="3" t="str">
        <f>IFERROR(VLOOKUP(A125,'Base Prueba'!A:C,3,),"NO REGISTRA")</f>
        <v>WALTER NATALIO VALDEZ MONTAÑEZ</v>
      </c>
      <c r="D125" s="4" t="str">
        <f>IFERROR(VLOOKUP(A125,'Base Prueba'!A:D,4,),"NO REGISTRA")</f>
        <v>DOCENTE DE TIEMPO COMPLETO</v>
      </c>
      <c r="E125" s="5" t="str">
        <f>IFERROR(VLOOKUP(A125,'Base Prueba'!A:E,5,),"NO REGISTRA")</f>
        <v>UNIVERSITARIO EN TURISMO Y GASTRONOMIA</v>
      </c>
    </row>
    <row r="126" spans="1:5" ht="15.75" x14ac:dyDescent="0.25">
      <c r="A126" s="10">
        <v>248294</v>
      </c>
      <c r="B126" s="2">
        <v>46058.633764814818</v>
      </c>
      <c r="C126" s="3" t="str">
        <f>IFERROR(VLOOKUP(A126,'Base Prueba'!A:C,3,),"NO REGISTRA")</f>
        <v>WALTER NATALIO VALDEZ MONTAÑEZ</v>
      </c>
      <c r="D126" s="4" t="str">
        <f>IFERROR(VLOOKUP(A126,'Base Prueba'!A:D,4,),"NO REGISTRA")</f>
        <v>DOCENTE DE TIEMPO COMPLETO</v>
      </c>
      <c r="E126" s="5" t="str">
        <f>IFERROR(VLOOKUP(A126,'Base Prueba'!A:E,5,),"NO REGISTRA")</f>
        <v>UNIVERSITARIO EN TURISMO Y GASTRONOMIA</v>
      </c>
    </row>
    <row r="127" spans="1:5" ht="15.75" x14ac:dyDescent="0.25">
      <c r="A127" s="10">
        <v>52850506</v>
      </c>
      <c r="B127" s="2">
        <v>46058.753826504631</v>
      </c>
      <c r="C127" s="3" t="str">
        <f>IFERROR(VLOOKUP(A127,'Base Prueba'!A:C,3,),"NO REGISTRA")</f>
        <v>PAOLA ANDREA VASQUEZ FONSECA</v>
      </c>
      <c r="D127" s="4" t="str">
        <f>IFERROR(VLOOKUP(A127,'Base Prueba'!A:D,4,),"NO REGISTRA")</f>
        <v>DOCENTE DE TIEMPO COMPLETO</v>
      </c>
      <c r="E127" s="5" t="str">
        <f>IFERROR(VLOOKUP(A127,'Base Prueba'!A:E,5,),"NO REGISTRA")</f>
        <v>UNIVERSITARIO COMUNICACION SOCIAL</v>
      </c>
    </row>
    <row r="128" spans="1:5" ht="15.75" x14ac:dyDescent="0.25">
      <c r="A128" s="10">
        <v>1001284791</v>
      </c>
      <c r="B128" s="2">
        <v>46058.796864351854</v>
      </c>
      <c r="C128" s="3" t="str">
        <f>IFERROR(VLOOKUP(A128,'Base Prueba'!A:C,3,),"NO REGISTRA")</f>
        <v>OSCAR STEVEN PEREZ HIDALGO</v>
      </c>
      <c r="D128" s="4" t="str">
        <f>IFERROR(VLOOKUP(A128,'Base Prueba'!A:D,4,),"NO REGISTRA")</f>
        <v>AUXILIAR DE RECURSOS ACADEMICOS</v>
      </c>
      <c r="E128" s="5" t="str">
        <f>IFERROR(VLOOKUP(A128,'Base Prueba'!A:E,5,),"NO REGISTRA")</f>
        <v>RECURSOS ACADEMICOS</v>
      </c>
    </row>
    <row r="129" spans="1:5" ht="15.75" x14ac:dyDescent="0.25">
      <c r="A129" s="10">
        <v>79452150</v>
      </c>
      <c r="B129" s="2">
        <v>46058.817622685187</v>
      </c>
      <c r="C129" s="3" t="str">
        <f>IFERROR(VLOOKUP(A129,'Base Prueba'!A:C,3,),"NO REGISTRA")</f>
        <v>JUAN CARLOS PAZ CUBILLOS</v>
      </c>
      <c r="D129" s="4" t="str">
        <f>IFERROR(VLOOKUP(A129,'Base Prueba'!A:D,4,),"NO REGISTRA")</f>
        <v>ANALISTA DE SISTEMAS</v>
      </c>
      <c r="E129" s="5" t="str">
        <f>IFERROR(VLOOKUP(A129,'Base Prueba'!A:E,5,),"NO REGISTRA")</f>
        <v>DEPARTAMENTO DE INFORMATICA Y TECNOLOGIA</v>
      </c>
    </row>
    <row r="130" spans="1:5" ht="15.75" x14ac:dyDescent="0.25">
      <c r="A130" s="10">
        <v>52049956</v>
      </c>
      <c r="B130" s="2">
        <v>46058.82280613426</v>
      </c>
      <c r="C130" s="3" t="str">
        <f>IFERROR(VLOOKUP(A130,'Base Prueba'!A:C,3,),"NO REGISTRA")</f>
        <v>ESPERANZA MORALES</v>
      </c>
      <c r="D130" s="4" t="str">
        <f>IFERROR(VLOOKUP(A130,'Base Prueba'!A:D,4,),"NO REGISTRA")</f>
        <v>DIRECTORA DE INFORMATICA Y TECNOLOGIA</v>
      </c>
      <c r="E130" s="5" t="str">
        <f>IFERROR(VLOOKUP(A130,'Base Prueba'!A:E,5,),"NO REGISTRA")</f>
        <v>DEPARTAMENTO DE INFORMATICA Y TECNOLOGIA</v>
      </c>
    </row>
    <row r="131" spans="1:5" ht="15.75" x14ac:dyDescent="0.25">
      <c r="A131" s="10">
        <v>52850506</v>
      </c>
      <c r="B131" s="2">
        <v>46058.848197106483</v>
      </c>
      <c r="C131" s="3" t="str">
        <f>IFERROR(VLOOKUP(A131,'Base Prueba'!A:C,3,),"NO REGISTRA")</f>
        <v>PAOLA ANDREA VASQUEZ FONSECA</v>
      </c>
      <c r="D131" s="4" t="str">
        <f>IFERROR(VLOOKUP(A131,'Base Prueba'!A:D,4,),"NO REGISTRA")</f>
        <v>DOCENTE DE TIEMPO COMPLETO</v>
      </c>
      <c r="E131" s="5" t="str">
        <f>IFERROR(VLOOKUP(A131,'Base Prueba'!A:E,5,),"NO REGISTRA")</f>
        <v>UNIVERSITARIO COMUNICACION SOCIAL</v>
      </c>
    </row>
    <row r="132" spans="1:5" ht="15.75" x14ac:dyDescent="0.25">
      <c r="A132" s="10">
        <v>52049956</v>
      </c>
      <c r="B132" s="2">
        <v>46059.384935300928</v>
      </c>
      <c r="C132" s="3" t="str">
        <f>IFERROR(VLOOKUP(A132,'Base Prueba'!A:C,3,),"NO REGISTRA")</f>
        <v>ESPERANZA MORALES</v>
      </c>
      <c r="D132" s="4" t="str">
        <f>IFERROR(VLOOKUP(A132,'Base Prueba'!A:D,4,),"NO REGISTRA")</f>
        <v>DIRECTORA DE INFORMATICA Y TECNOLOGIA</v>
      </c>
      <c r="E132" s="5" t="str">
        <f>IFERROR(VLOOKUP(A132,'Base Prueba'!A:E,5,),"NO REGISTRA")</f>
        <v>DEPARTAMENTO DE INFORMATICA Y TECNOLOGIA</v>
      </c>
    </row>
    <row r="133" spans="1:5" ht="15.75" x14ac:dyDescent="0.25">
      <c r="A133" s="10">
        <v>79484197</v>
      </c>
      <c r="B133" s="2">
        <v>46059.404953472222</v>
      </c>
      <c r="C133" s="3" t="str">
        <f>IFERROR(VLOOKUP(A133,'Base Prueba'!A:C,3,),"NO REGISTRA")</f>
        <v>JOHN DANIEL GUTIERREZ BOADA</v>
      </c>
      <c r="D133" s="4" t="str">
        <f>IFERROR(VLOOKUP(A133,'Base Prueba'!A:D,4,),"NO REGISTRA")</f>
        <v>DOCENTE DE MEDIO TIEMPO</v>
      </c>
      <c r="E133" s="5" t="str">
        <f>IFERROR(VLOOKUP(A133,'Base Prueba'!A:E,5,),"NO REGISTRA")</f>
        <v>UNIVERSITARIO COMUNICACION SOCIAL</v>
      </c>
    </row>
    <row r="134" spans="1:5" ht="15.75" x14ac:dyDescent="0.25">
      <c r="A134" s="10">
        <v>1001284791</v>
      </c>
      <c r="B134" s="2">
        <v>46059.541637615737</v>
      </c>
      <c r="C134" s="3" t="str">
        <f>IFERROR(VLOOKUP(A134,'Base Prueba'!A:C,3,),"NO REGISTRA")</f>
        <v>OSCAR STEVEN PEREZ HIDALGO</v>
      </c>
      <c r="D134" s="4" t="str">
        <f>IFERROR(VLOOKUP(A134,'Base Prueba'!A:D,4,),"NO REGISTRA")</f>
        <v>AUXILIAR DE RECURSOS ACADEMICOS</v>
      </c>
      <c r="E134" s="5" t="str">
        <f>IFERROR(VLOOKUP(A134,'Base Prueba'!A:E,5,),"NO REGISTRA")</f>
        <v>RECURSOS ACADEMICOS</v>
      </c>
    </row>
    <row r="135" spans="1:5" ht="15.75" x14ac:dyDescent="0.25">
      <c r="A135" s="10">
        <v>52049956</v>
      </c>
      <c r="B135" s="2">
        <v>46059.844267476852</v>
      </c>
      <c r="C135" s="3" t="str">
        <f>IFERROR(VLOOKUP(A135,'Base Prueba'!A:C,3,),"NO REGISTRA")</f>
        <v>ESPERANZA MORALES</v>
      </c>
      <c r="D135" s="4" t="str">
        <f>IFERROR(VLOOKUP(A135,'Base Prueba'!A:D,4,),"NO REGISTRA")</f>
        <v>DIRECTORA DE INFORMATICA Y TECNOLOGIA</v>
      </c>
      <c r="E135" s="5" t="str">
        <f>IFERROR(VLOOKUP(A135,'Base Prueba'!A:E,5,),"NO REGISTRA")</f>
        <v>DEPARTAMENTO DE INFORMATICA Y TECNOLOGIA</v>
      </c>
    </row>
    <row r="136" spans="1:5" ht="15.75" x14ac:dyDescent="0.25">
      <c r="A136" s="10">
        <v>79452150</v>
      </c>
      <c r="B136" s="2">
        <v>46059.849940509259</v>
      </c>
      <c r="C136" s="3" t="str">
        <f>IFERROR(VLOOKUP(A136,'Base Prueba'!A:C,3,),"NO REGISTRA")</f>
        <v>JUAN CARLOS PAZ CUBILLOS</v>
      </c>
      <c r="D136" s="4" t="str">
        <f>IFERROR(VLOOKUP(A136,'Base Prueba'!A:D,4,),"NO REGISTRA")</f>
        <v>ANALISTA DE SISTEMAS</v>
      </c>
      <c r="E136" s="5" t="str">
        <f>IFERROR(VLOOKUP(A136,'Base Prueba'!A:E,5,),"NO REGISTRA")</f>
        <v>DEPARTAMENTO DE INFORMATICA Y TECNOLOGIA</v>
      </c>
    </row>
    <row r="137" spans="1:5" ht="15.75" x14ac:dyDescent="0.25">
      <c r="A137" s="10">
        <v>80843387</v>
      </c>
      <c r="B137" s="2">
        <v>46060.292161921294</v>
      </c>
      <c r="C137" s="3" t="str">
        <f>IFERROR(VLOOKUP(A137,'Base Prueba'!A:C,3,),"NO REGISTRA")</f>
        <v>ESTEBAN ADOLFO QUESADA SALAZAR</v>
      </c>
      <c r="D137" s="4" t="str">
        <f>IFERROR(VLOOKUP(A137,'Base Prueba'!A:D,4,),"NO REGISTRA")</f>
        <v>DOCENTE DE TIEMPO COMPLETO</v>
      </c>
      <c r="E137" s="5" t="str">
        <f>IFERROR(VLOOKUP(A137,'Base Prueba'!A:E,5,),"NO REGISTRA")</f>
        <v>UNIVERSITARIO COMUNICACION SOCIAL</v>
      </c>
    </row>
    <row r="138" spans="1:5" ht="15.75" x14ac:dyDescent="0.25">
      <c r="A138" s="10">
        <v>80843387</v>
      </c>
      <c r="B138" s="2">
        <v>46060.29216597222</v>
      </c>
      <c r="C138" s="3" t="str">
        <f>IFERROR(VLOOKUP(A138,'Base Prueba'!A:C,3,),"NO REGISTRA")</f>
        <v>ESTEBAN ADOLFO QUESADA SALAZAR</v>
      </c>
      <c r="D138" s="4" t="str">
        <f>IFERROR(VLOOKUP(A138,'Base Prueba'!A:D,4,),"NO REGISTRA")</f>
        <v>DOCENTE DE TIEMPO COMPLETO</v>
      </c>
      <c r="E138" s="5" t="str">
        <f>IFERROR(VLOOKUP(A138,'Base Prueba'!A:E,5,),"NO REGISTRA")</f>
        <v>UNIVERSITARIO COMUNICACION SOCIAL</v>
      </c>
    </row>
    <row r="139" spans="1:5" ht="15.75" x14ac:dyDescent="0.25">
      <c r="A139" s="10">
        <v>51555582</v>
      </c>
      <c r="B139" s="2">
        <v>46060.297488425924</v>
      </c>
      <c r="C139" s="3" t="str">
        <f>IFERROR(VLOOKUP(A139,'Base Prueba'!A:C,3,),"NO REGISTRA")</f>
        <v>MARTHA CECILIA VIDAL ARIZABALETA</v>
      </c>
      <c r="D139" s="4" t="str">
        <f>IFERROR(VLOOKUP(A139,'Base Prueba'!A:D,4,),"NO REGISTRA")</f>
        <v>DOCENTE DE MEDIO TIEMPO</v>
      </c>
      <c r="E139" s="5" t="str">
        <f>IFERROR(VLOOKUP(A139,'Base Prueba'!A:E,5,),"NO REGISTRA")</f>
        <v>INGENIERIA DE SOFTWARE</v>
      </c>
    </row>
    <row r="140" spans="1:5" ht="15.75" x14ac:dyDescent="0.25">
      <c r="A140" s="10">
        <v>51555582</v>
      </c>
      <c r="B140" s="2">
        <v>46060.297495601852</v>
      </c>
      <c r="C140" s="3" t="str">
        <f>IFERROR(VLOOKUP(A140,'Base Prueba'!A:C,3,),"NO REGISTRA")</f>
        <v>MARTHA CECILIA VIDAL ARIZABALETA</v>
      </c>
      <c r="D140" s="4" t="str">
        <f>IFERROR(VLOOKUP(A140,'Base Prueba'!A:D,4,),"NO REGISTRA")</f>
        <v>DOCENTE DE MEDIO TIEMPO</v>
      </c>
      <c r="E140" s="5" t="str">
        <f>IFERROR(VLOOKUP(A140,'Base Prueba'!A:E,5,),"NO REGISTRA")</f>
        <v>INGENIERIA DE SOFTWARE</v>
      </c>
    </row>
    <row r="141" spans="1:5" ht="15.75" x14ac:dyDescent="0.25">
      <c r="A141" s="10">
        <v>52049956</v>
      </c>
      <c r="B141" s="2">
        <v>46060.358006712966</v>
      </c>
      <c r="C141" s="3" t="str">
        <f>IFERROR(VLOOKUP(A141,'Base Prueba'!A:C,3,),"NO REGISTRA")</f>
        <v>ESPERANZA MORALES</v>
      </c>
      <c r="D141" s="4" t="str">
        <f>IFERROR(VLOOKUP(A141,'Base Prueba'!A:D,4,),"NO REGISTRA")</f>
        <v>DIRECTORA DE INFORMATICA Y TECNOLOGIA</v>
      </c>
      <c r="E141" s="5" t="str">
        <f>IFERROR(VLOOKUP(A141,'Base Prueba'!A:E,5,),"NO REGISTRA")</f>
        <v>DEPARTAMENTO DE INFORMATICA Y TECNOLOGIA</v>
      </c>
    </row>
    <row r="142" spans="1:5" ht="15.75" x14ac:dyDescent="0.25">
      <c r="A142" s="10">
        <v>24334467</v>
      </c>
      <c r="B142" s="2">
        <v>46060.397969212965</v>
      </c>
      <c r="C142" s="3" t="str">
        <f>IFERROR(VLOOKUP(A142,'Base Prueba'!A:C,3,),"NO REGISTRA")</f>
        <v>NORMA CLEMENCIA BERNAL ALVAREZ</v>
      </c>
      <c r="D142" s="4" t="str">
        <f>IFERROR(VLOOKUP(A142,'Base Prueba'!A:D,4,),"NO REGISTRA")</f>
        <v>DOCENTE DE MEDIO TIEMPO</v>
      </c>
      <c r="E142" s="5" t="str">
        <f>IFERROR(VLOOKUP(A142,'Base Prueba'!A:E,5,),"NO REGISTRA")</f>
        <v>CIENCIAS DE LA INFORMACION Y BIBLIOTECOLOGIA</v>
      </c>
    </row>
    <row r="143" spans="1:5" ht="15.75" x14ac:dyDescent="0.25">
      <c r="A143" s="10">
        <v>51555582</v>
      </c>
      <c r="B143" s="2">
        <v>46060.416258796293</v>
      </c>
      <c r="C143" s="3" t="str">
        <f>IFERROR(VLOOKUP(A143,'Base Prueba'!A:C,3,),"NO REGISTRA")</f>
        <v>MARTHA CECILIA VIDAL ARIZABALETA</v>
      </c>
      <c r="D143" s="4" t="str">
        <f>IFERROR(VLOOKUP(A143,'Base Prueba'!A:D,4,),"NO REGISTRA")</f>
        <v>DOCENTE DE MEDIO TIEMPO</v>
      </c>
      <c r="E143" s="5" t="str">
        <f>IFERROR(VLOOKUP(A143,'Base Prueba'!A:E,5,),"NO REGISTRA")</f>
        <v>INGENIERIA DE SOFTWARE</v>
      </c>
    </row>
    <row r="144" spans="1:5" ht="15.75" x14ac:dyDescent="0.25">
      <c r="A144" s="10">
        <v>1073150473</v>
      </c>
      <c r="B144" s="2">
        <v>46060.547125231482</v>
      </c>
      <c r="C144" s="3" t="str">
        <f>IFERROR(VLOOKUP(A144,'Base Prueba'!A:C,3,),"NO REGISTRA")</f>
        <v>DIANA STELLA MELGAREJO MUÑOZ</v>
      </c>
      <c r="D144" s="4" t="str">
        <f>IFERROR(VLOOKUP(A144,'Base Prueba'!A:D,4,),"NO REGISTRA")</f>
        <v>DOCENTE DE MEDIO TIEMPO</v>
      </c>
      <c r="E144" s="5" t="str">
        <f>IFERROR(VLOOKUP(A144,'Base Prueba'!A:E,5,),"NO REGISTRA")</f>
        <v>TECNICA EN FOTOGRAFIA</v>
      </c>
    </row>
    <row r="145" spans="1:5" ht="15.75" x14ac:dyDescent="0.25">
      <c r="A145" s="10">
        <v>1073150473</v>
      </c>
      <c r="B145" s="2">
        <v>46060.54713136574</v>
      </c>
      <c r="C145" s="3" t="str">
        <f>IFERROR(VLOOKUP(A145,'Base Prueba'!A:C,3,),"NO REGISTRA")</f>
        <v>DIANA STELLA MELGAREJO MUÑOZ</v>
      </c>
      <c r="D145" s="4" t="str">
        <f>IFERROR(VLOOKUP(A145,'Base Prueba'!A:D,4,),"NO REGISTRA")</f>
        <v>DOCENTE DE MEDIO TIEMPO</v>
      </c>
      <c r="E145" s="5" t="str">
        <f>IFERROR(VLOOKUP(A145,'Base Prueba'!A:E,5,),"NO REGISTRA")</f>
        <v>TECNICA EN FOTOGRAFIA</v>
      </c>
    </row>
    <row r="146" spans="1:5" ht="15.75" x14ac:dyDescent="0.25">
      <c r="A146" s="10">
        <v>52049956</v>
      </c>
      <c r="B146" s="2">
        <v>46060.54860509259</v>
      </c>
      <c r="C146" s="3" t="str">
        <f>IFERROR(VLOOKUP(A146,'Base Prueba'!A:C,3,),"NO REGISTRA")</f>
        <v>ESPERANZA MORALES</v>
      </c>
      <c r="D146" s="4" t="str">
        <f>IFERROR(VLOOKUP(A146,'Base Prueba'!A:D,4,),"NO REGISTRA")</f>
        <v>DIRECTORA DE INFORMATICA Y TECNOLOGIA</v>
      </c>
      <c r="E146" s="5" t="str">
        <f>IFERROR(VLOOKUP(A146,'Base Prueba'!A:E,5,),"NO REGISTRA")</f>
        <v>DEPARTAMENTO DE INFORMATICA Y TECNOLOGIA</v>
      </c>
    </row>
    <row r="147" spans="1:5" ht="15.75" x14ac:dyDescent="0.25">
      <c r="A147" s="10">
        <v>1117554931</v>
      </c>
      <c r="B147" s="2">
        <v>46060.653162499999</v>
      </c>
      <c r="C147" s="3" t="str">
        <f>IFERROR(VLOOKUP(A147,'Base Prueba'!A:C,3,),"NO REGISTRA")</f>
        <v>JUAN PABLO ARTUNDUAGA GONZALEZ</v>
      </c>
      <c r="D147" s="4" t="str">
        <f>IFERROR(VLOOKUP(A147,'Base Prueba'!A:D,4,),"NO REGISTRA")</f>
        <v>DOCENTE DE MEDIO TIEMPO</v>
      </c>
      <c r="E147" s="5" t="str">
        <f>IFERROR(VLOOKUP(A147,'Base Prueba'!A:E,5,),"NO REGISTRA")</f>
        <v>UNIVERSITARIO EN TURISMO Y GASTRONOMIA</v>
      </c>
    </row>
    <row r="148" spans="1:5" ht="15.75" x14ac:dyDescent="0.25">
      <c r="A148" s="10">
        <v>1001217179</v>
      </c>
      <c r="B148" s="2">
        <v>46060.681181018517</v>
      </c>
      <c r="C148" s="3" t="str">
        <f>IFERROR(VLOOKUP(A148,'Base Prueba'!A:C,3,),"NO REGISTRA")</f>
        <v>NO REGISTRA</v>
      </c>
      <c r="D148" s="4" t="str">
        <f>IFERROR(VLOOKUP(A148,'Base Prueba'!A:D,4,),"NO REGISTRA")</f>
        <v>NO REGISTRA</v>
      </c>
      <c r="E148" s="5" t="str">
        <f>IFERROR(VLOOKUP(A148,'Base Prueba'!A:E,5,),"NO REGISTRA")</f>
        <v>NO REGISTRA</v>
      </c>
    </row>
    <row r="149" spans="1:5" ht="15.75" x14ac:dyDescent="0.25">
      <c r="A149" s="10">
        <v>1001217179</v>
      </c>
      <c r="B149" s="2">
        <v>46060.681246064814</v>
      </c>
      <c r="C149" s="3" t="str">
        <f>IFERROR(VLOOKUP(A149,'Base Prueba'!A:C,3,),"NO REGISTRA")</f>
        <v>NO REGISTRA</v>
      </c>
      <c r="D149" s="4" t="str">
        <f>IFERROR(VLOOKUP(A149,'Base Prueba'!A:D,4,),"NO REGISTRA")</f>
        <v>NO REGISTRA</v>
      </c>
      <c r="E149" s="5" t="str">
        <f>IFERROR(VLOOKUP(A149,'Base Prueba'!A:E,5,),"NO REGISTRA")</f>
        <v>NO REGISTRA</v>
      </c>
    </row>
    <row r="150" spans="1:5" ht="15.75" x14ac:dyDescent="0.25">
      <c r="A150" s="10">
        <v>1000698872</v>
      </c>
      <c r="B150" s="2">
        <v>46060.681304398146</v>
      </c>
      <c r="C150" s="3" t="str">
        <f>IFERROR(VLOOKUP(A150,'Base Prueba'!A:C,3,),"NO REGISTRA")</f>
        <v>NO REGISTRA</v>
      </c>
      <c r="D150" s="4" t="str">
        <f>IFERROR(VLOOKUP(A150,'Base Prueba'!A:D,4,),"NO REGISTRA")</f>
        <v>NO REGISTRA</v>
      </c>
      <c r="E150" s="5" t="str">
        <f>IFERROR(VLOOKUP(A150,'Base Prueba'!A:E,5,),"NO REGISTRA")</f>
        <v>NO REGISTRA</v>
      </c>
    </row>
    <row r="151" spans="1:5" ht="15.75" x14ac:dyDescent="0.25">
      <c r="A151" s="10">
        <v>11308140</v>
      </c>
      <c r="B151" s="2">
        <v>46060.715909953702</v>
      </c>
      <c r="C151" s="3" t="str">
        <f>IFERROR(VLOOKUP(A151,'Base Prueba'!A:C,3,),"NO REGISTRA")</f>
        <v>EDGAR EUDORO MARTINEZ CALLEJAS</v>
      </c>
      <c r="D151" s="4" t="str">
        <f>IFERROR(VLOOKUP(A151,'Base Prueba'!A:D,4,),"NO REGISTRA")</f>
        <v>DOCENTE DE MEDIO TIEMPO</v>
      </c>
      <c r="E151" s="5" t="str">
        <f>IFERROR(VLOOKUP(A151,'Base Prueba'!A:E,5,),"NO REGISTRA")</f>
        <v>AREA DE CIENCIAS BASICAS</v>
      </c>
    </row>
    <row r="152" spans="1:5" ht="15.75" x14ac:dyDescent="0.25">
      <c r="A152" s="10">
        <v>248294</v>
      </c>
      <c r="B152" s="2">
        <v>46060.788226736113</v>
      </c>
      <c r="C152" s="3" t="str">
        <f>IFERROR(VLOOKUP(A152,'Base Prueba'!A:C,3,),"NO REGISTRA")</f>
        <v>WALTER NATALIO VALDEZ MONTAÑEZ</v>
      </c>
      <c r="D152" s="4" t="str">
        <f>IFERROR(VLOOKUP(A152,'Base Prueba'!A:D,4,),"NO REGISTRA")</f>
        <v>DOCENTE DE TIEMPO COMPLETO</v>
      </c>
      <c r="E152" s="5" t="str">
        <f>IFERROR(VLOOKUP(A152,'Base Prueba'!A:E,5,),"NO REGISTRA")</f>
        <v>UNIVERSITARIO EN TURISMO Y GASTRONOMIA</v>
      </c>
    </row>
    <row r="153" spans="1:5" ht="15.75" x14ac:dyDescent="0.25">
      <c r="A153" s="10">
        <v>1001284791</v>
      </c>
      <c r="B153" s="2">
        <v>46060.795473726852</v>
      </c>
      <c r="C153" s="3" t="str">
        <f>IFERROR(VLOOKUP(A153,'Base Prueba'!A:C,3,),"NO REGISTRA")</f>
        <v>OSCAR STEVEN PEREZ HIDALGO</v>
      </c>
      <c r="D153" s="4" t="str">
        <f>IFERROR(VLOOKUP(A153,'Base Prueba'!A:D,4,),"NO REGISTRA")</f>
        <v>AUXILIAR DE RECURSOS ACADEMICOS</v>
      </c>
      <c r="E153" s="5" t="str">
        <f>IFERROR(VLOOKUP(A153,'Base Prueba'!A:E,5,),"NO REGISTRA")</f>
        <v>RECURSOS ACADEMICOS</v>
      </c>
    </row>
    <row r="154" spans="1:5" ht="15.75" x14ac:dyDescent="0.25">
      <c r="A154" s="10">
        <v>1001284791</v>
      </c>
      <c r="B154" s="2">
        <v>46062.262868749996</v>
      </c>
      <c r="C154" s="3" t="str">
        <f>IFERROR(VLOOKUP(A154,'Base Prueba'!A:C,3,),"NO REGISTRA")</f>
        <v>OSCAR STEVEN PEREZ HIDALGO</v>
      </c>
      <c r="D154" s="4" t="str">
        <f>IFERROR(VLOOKUP(A154,'Base Prueba'!A:D,4,),"NO REGISTRA")</f>
        <v>AUXILIAR DE RECURSOS ACADEMICOS</v>
      </c>
      <c r="E154" s="5" t="str">
        <f>IFERROR(VLOOKUP(A154,'Base Prueba'!A:E,5,),"NO REGISTRA")</f>
        <v>RECURSOS ACADEMICOS</v>
      </c>
    </row>
    <row r="155" spans="1:5" ht="15.75" x14ac:dyDescent="0.25">
      <c r="A155" s="10">
        <v>52049956</v>
      </c>
      <c r="B155" s="2">
        <v>46062.350744560186</v>
      </c>
      <c r="C155" s="3" t="str">
        <f>IFERROR(VLOOKUP(A155,'Base Prueba'!A:C,3,),"NO REGISTRA")</f>
        <v>ESPERANZA MORALES</v>
      </c>
      <c r="D155" s="4" t="str">
        <f>IFERROR(VLOOKUP(A155,'Base Prueba'!A:D,4,),"NO REGISTRA")</f>
        <v>DIRECTORA DE INFORMATICA Y TECNOLOGIA</v>
      </c>
      <c r="E155" s="5" t="str">
        <f>IFERROR(VLOOKUP(A155,'Base Prueba'!A:E,5,),"NO REGISTRA")</f>
        <v>DEPARTAMENTO DE INFORMATICA Y TECNOLOGIA</v>
      </c>
    </row>
    <row r="156" spans="1:5" ht="15.75" x14ac:dyDescent="0.25">
      <c r="A156" s="10">
        <v>80778198</v>
      </c>
      <c r="B156" s="2">
        <v>46062.368984375003</v>
      </c>
      <c r="C156" s="3" t="str">
        <f>IFERROR(VLOOKUP(A156,'Base Prueba'!A:C,3,),"NO REGISTRA")</f>
        <v>JIMY JAVIER ALDANA REYES</v>
      </c>
      <c r="D156" s="4" t="str">
        <f>IFERROR(VLOOKUP(A156,'Base Prueba'!A:D,4,),"NO REGISTRA")</f>
        <v>DOCENTE DE TIEMPO COMPLETO</v>
      </c>
      <c r="E156" s="5" t="str">
        <f>IFERROR(VLOOKUP(A156,'Base Prueba'!A:E,5,),"NO REGISTRA")</f>
        <v>INGENIERIA DE SOFTWARE</v>
      </c>
    </row>
    <row r="157" spans="1:5" ht="15.75" x14ac:dyDescent="0.25">
      <c r="A157" s="10">
        <v>51555582</v>
      </c>
      <c r="B157" s="2">
        <v>46062.375098611112</v>
      </c>
      <c r="C157" s="3" t="str">
        <f>IFERROR(VLOOKUP(A157,'Base Prueba'!A:C,3,),"NO REGISTRA")</f>
        <v>MARTHA CECILIA VIDAL ARIZABALETA</v>
      </c>
      <c r="D157" s="4" t="str">
        <f>IFERROR(VLOOKUP(A157,'Base Prueba'!A:D,4,),"NO REGISTRA")</f>
        <v>DOCENTE DE MEDIO TIEMPO</v>
      </c>
      <c r="E157" s="5" t="str">
        <f>IFERROR(VLOOKUP(A157,'Base Prueba'!A:E,5,),"NO REGISTRA")</f>
        <v>INGENIERIA DE SOFTWARE</v>
      </c>
    </row>
    <row r="158" spans="1:5" ht="15.75" x14ac:dyDescent="0.25">
      <c r="A158" s="10">
        <v>51555582</v>
      </c>
      <c r="B158" s="2">
        <v>46062.4696630787</v>
      </c>
      <c r="C158" s="3" t="str">
        <f>IFERROR(VLOOKUP(A158,'Base Prueba'!A:C,3,),"NO REGISTRA")</f>
        <v>MARTHA CECILIA VIDAL ARIZABALETA</v>
      </c>
      <c r="D158" s="4" t="str">
        <f>IFERROR(VLOOKUP(A158,'Base Prueba'!A:D,4,),"NO REGISTRA")</f>
        <v>DOCENTE DE MEDIO TIEMPO</v>
      </c>
      <c r="E158" s="5" t="str">
        <f>IFERROR(VLOOKUP(A158,'Base Prueba'!A:E,5,),"NO REGISTRA")</f>
        <v>INGENIERIA DE SOFTWARE</v>
      </c>
    </row>
    <row r="159" spans="1:5" ht="15.75" x14ac:dyDescent="0.25">
      <c r="A159" s="10">
        <v>1014736595</v>
      </c>
      <c r="B159" s="2">
        <v>46062.473948611114</v>
      </c>
      <c r="C159" s="3" t="str">
        <f>IFERROR(VLOOKUP(A159,'Base Prueba'!A:C,3,),"NO REGISTRA")</f>
        <v>PAULA ANDREA PAEZ BUITRAGO</v>
      </c>
      <c r="D159" s="4" t="str">
        <f>IFERROR(VLOOKUP(A159,'Base Prueba'!A:D,4,),"NO REGISTRA")</f>
        <v>PROMOTOR DE BIENESTAR INSTITUCIONAL</v>
      </c>
      <c r="E159" s="5" t="str">
        <f>IFERROR(VLOOKUP(A159,'Base Prueba'!A:E,5,),"NO REGISTRA")</f>
        <v>DIRECCION DE BIENESTAR INSTITUCIONAL</v>
      </c>
    </row>
    <row r="160" spans="1:5" ht="15.75" x14ac:dyDescent="0.25">
      <c r="A160" s="10">
        <v>1001284791</v>
      </c>
      <c r="B160" s="2">
        <v>46062.595637384256</v>
      </c>
      <c r="C160" s="3" t="str">
        <f>IFERROR(VLOOKUP(A160,'Base Prueba'!A:C,3,),"NO REGISTRA")</f>
        <v>OSCAR STEVEN PEREZ HIDALGO</v>
      </c>
      <c r="D160" s="4" t="str">
        <f>IFERROR(VLOOKUP(A160,'Base Prueba'!A:D,4,),"NO REGISTRA")</f>
        <v>AUXILIAR DE RECURSOS ACADEMICOS</v>
      </c>
      <c r="E160" s="5" t="str">
        <f>IFERROR(VLOOKUP(A160,'Base Prueba'!A:E,5,),"NO REGISTRA")</f>
        <v>RECURSOS ACADEMICOS</v>
      </c>
    </row>
    <row r="161" spans="1:5" ht="15.75" x14ac:dyDescent="0.25">
      <c r="A161" s="10">
        <v>1018482392</v>
      </c>
      <c r="B161" s="2">
        <v>46062.595665046298</v>
      </c>
      <c r="C161" s="3" t="str">
        <f>IFERROR(VLOOKUP(A161,'Base Prueba'!A:C,3,),"NO REGISTRA")</f>
        <v>RAQUEL YANETH SANDOVAL FORERO</v>
      </c>
      <c r="D161" s="4" t="str">
        <f>IFERROR(VLOOKUP(A161,'Base Prueba'!A:D,4,),"NO REGISTRA")</f>
        <v>AUXILIAR DE RECURSOS ACADEMICOS</v>
      </c>
      <c r="E161" s="5" t="str">
        <f>IFERROR(VLOOKUP(A161,'Base Prueba'!A:E,5,),"NO REGISTRA")</f>
        <v>RECURSOS ACADEMICOS</v>
      </c>
    </row>
    <row r="162" spans="1:5" ht="15.75" x14ac:dyDescent="0.25">
      <c r="A162" s="10">
        <v>51555582</v>
      </c>
      <c r="B162" s="2">
        <v>46062.744142013886</v>
      </c>
      <c r="C162" s="3" t="str">
        <f>IFERROR(VLOOKUP(A162,'Base Prueba'!A:C,3,),"NO REGISTRA")</f>
        <v>MARTHA CECILIA VIDAL ARIZABALETA</v>
      </c>
      <c r="D162" s="4" t="str">
        <f>IFERROR(VLOOKUP(A162,'Base Prueba'!A:D,4,),"NO REGISTRA")</f>
        <v>DOCENTE DE MEDIO TIEMPO</v>
      </c>
      <c r="E162" s="5" t="str">
        <f>IFERROR(VLOOKUP(A162,'Base Prueba'!A:E,5,),"NO REGISTRA")</f>
        <v>INGENIERIA DE SOFTWARE</v>
      </c>
    </row>
    <row r="163" spans="1:5" ht="15.75" x14ac:dyDescent="0.25">
      <c r="A163" s="10">
        <v>52049956</v>
      </c>
      <c r="B163" s="2">
        <v>46062.816695023146</v>
      </c>
      <c r="C163" s="3" t="str">
        <f>IFERROR(VLOOKUP(A163,'Base Prueba'!A:C,3,),"NO REGISTRA")</f>
        <v>ESPERANZA MORALES</v>
      </c>
      <c r="D163" s="4" t="str">
        <f>IFERROR(VLOOKUP(A163,'Base Prueba'!A:D,4,),"NO REGISTRA")</f>
        <v>DIRECTORA DE INFORMATICA Y TECNOLOGIA</v>
      </c>
      <c r="E163" s="5" t="str">
        <f>IFERROR(VLOOKUP(A163,'Base Prueba'!A:E,5,),"NO REGISTRA")</f>
        <v>DEPARTAMENTO DE INFORMATICA Y TECNOLOGIA</v>
      </c>
    </row>
    <row r="164" spans="1:5" ht="15.75" x14ac:dyDescent="0.25">
      <c r="A164" s="10">
        <v>79452150</v>
      </c>
      <c r="B164" s="2">
        <v>46062.836987499999</v>
      </c>
      <c r="C164" s="3" t="str">
        <f>IFERROR(VLOOKUP(A164,'Base Prueba'!A:C,3,),"NO REGISTRA")</f>
        <v>JUAN CARLOS PAZ CUBILLOS</v>
      </c>
      <c r="D164" s="4" t="str">
        <f>IFERROR(VLOOKUP(A164,'Base Prueba'!A:D,4,),"NO REGISTRA")</f>
        <v>ANALISTA DE SISTEMAS</v>
      </c>
      <c r="E164" s="5" t="str">
        <f>IFERROR(VLOOKUP(A164,'Base Prueba'!A:E,5,),"NO REGISTRA")</f>
        <v>DEPARTAMENTO DE INFORMATICA Y TECNOLOGIA</v>
      </c>
    </row>
    <row r="165" spans="1:5" ht="15.75" x14ac:dyDescent="0.25">
      <c r="A165" s="10">
        <v>79484197</v>
      </c>
      <c r="B165" s="2">
        <v>46063.28101979167</v>
      </c>
      <c r="C165" s="3" t="str">
        <f>IFERROR(VLOOKUP(A165,'Base Prueba'!A:C,3,),"NO REGISTRA")</f>
        <v>JOHN DANIEL GUTIERREZ BOADA</v>
      </c>
      <c r="D165" s="4" t="str">
        <f>IFERROR(VLOOKUP(A165,'Base Prueba'!A:D,4,),"NO REGISTRA")</f>
        <v>DOCENTE DE MEDIO TIEMPO</v>
      </c>
      <c r="E165" s="5" t="str">
        <f>IFERROR(VLOOKUP(A165,'Base Prueba'!A:E,5,),"NO REGISTRA")</f>
        <v>UNIVERSITARIO COMUNICACION SOCIAL</v>
      </c>
    </row>
    <row r="166" spans="1:5" ht="15.75" x14ac:dyDescent="0.25">
      <c r="A166" s="10">
        <v>79484197</v>
      </c>
      <c r="B166" s="2">
        <v>46063.28102638889</v>
      </c>
      <c r="C166" s="3" t="str">
        <f>IFERROR(VLOOKUP(A166,'Base Prueba'!A:C,3,),"NO REGISTRA")</f>
        <v>JOHN DANIEL GUTIERREZ BOADA</v>
      </c>
      <c r="D166" s="4" t="str">
        <f>IFERROR(VLOOKUP(A166,'Base Prueba'!A:D,4,),"NO REGISTRA")</f>
        <v>DOCENTE DE MEDIO TIEMPO</v>
      </c>
      <c r="E166" s="5" t="str">
        <f>IFERROR(VLOOKUP(A166,'Base Prueba'!A:E,5,),"NO REGISTRA")</f>
        <v>UNIVERSITARIO COMUNICACION SOCIAL</v>
      </c>
    </row>
    <row r="167" spans="1:5" ht="15.75" x14ac:dyDescent="0.25">
      <c r="A167" s="10">
        <v>1000218614</v>
      </c>
      <c r="B167" s="2">
        <v>46063.320651967595</v>
      </c>
      <c r="C167" s="3" t="str">
        <f>IFERROR(VLOOKUP(A167,'Base Prueba'!A:C,3,),"NO REGISTRA")</f>
        <v>SEBASTIAN DAVID MELO DIAZ</v>
      </c>
      <c r="D167" s="4" t="str">
        <f>IFERROR(VLOOKUP(A167,'Base Prueba'!A:D,4,),"NO REGISTRA")</f>
        <v>ANALISTA DE SISTEMAS</v>
      </c>
      <c r="E167" s="5" t="str">
        <f>IFERROR(VLOOKUP(A167,'Base Prueba'!A:E,5,),"NO REGISTRA")</f>
        <v>DEPARTAMENTO DE INFORMATICA Y TECNOLOGIA</v>
      </c>
    </row>
    <row r="168" spans="1:5" ht="15.75" x14ac:dyDescent="0.25">
      <c r="A168" s="10">
        <v>1022378300</v>
      </c>
      <c r="B168" s="2">
        <v>46063.326933449076</v>
      </c>
      <c r="C168" s="3" t="str">
        <f>IFERROR(VLOOKUP(A168,'Base Prueba'!A:C,3,),"NO REGISTRA")</f>
        <v>FERNEY ANDRES CHASPUENGAL RAMIREZ</v>
      </c>
      <c r="D168" s="4" t="str">
        <f>IFERROR(VLOOKUP(A168,'Base Prueba'!A:D,4,),"NO REGISTRA")</f>
        <v>LÍDER DE DEPORTE Y CULTURA</v>
      </c>
      <c r="E168" s="5" t="str">
        <f>IFERROR(VLOOKUP(A168,'Base Prueba'!A:E,5,),"NO REGISTRA")</f>
        <v>DIRECCION DE BIENESTAR INSTITUCIONAL</v>
      </c>
    </row>
    <row r="169" spans="1:5" ht="15.75" x14ac:dyDescent="0.25">
      <c r="A169" s="10">
        <v>1014257968</v>
      </c>
      <c r="B169" s="2">
        <v>46063.343422685182</v>
      </c>
      <c r="C169" s="3" t="str">
        <f>IFERROR(VLOOKUP(A169,'Base Prueba'!A:C,3,),"NO REGISTRA")</f>
        <v>JORGE ANDRES LIEVANO LOPEZ</v>
      </c>
      <c r="D169" s="4" t="str">
        <f>IFERROR(VLOOKUP(A169,'Base Prueba'!A:D,4,),"NO REGISTRA")</f>
        <v>DOCENTE DE TIEMPO COMPLETO</v>
      </c>
      <c r="E169" s="5" t="str">
        <f>IFERROR(VLOOKUP(A169,'Base Prueba'!A:E,5,),"NO REGISTRA")</f>
        <v>UNIDAD DE IDIOMAS</v>
      </c>
    </row>
    <row r="170" spans="1:5" ht="15.75" x14ac:dyDescent="0.25">
      <c r="A170" s="10">
        <v>52049956</v>
      </c>
      <c r="B170" s="2">
        <v>46063.35279178241</v>
      </c>
      <c r="C170" s="3" t="str">
        <f>IFERROR(VLOOKUP(A170,'Base Prueba'!A:C,3,),"NO REGISTRA")</f>
        <v>ESPERANZA MORALES</v>
      </c>
      <c r="D170" s="4" t="str">
        <f>IFERROR(VLOOKUP(A170,'Base Prueba'!A:D,4,),"NO REGISTRA")</f>
        <v>DIRECTORA DE INFORMATICA Y TECNOLOGIA</v>
      </c>
      <c r="E170" s="5" t="str">
        <f>IFERROR(VLOOKUP(A170,'Base Prueba'!A:E,5,),"NO REGISTRA")</f>
        <v>DEPARTAMENTO DE INFORMATICA Y TECNOLOGIA</v>
      </c>
    </row>
    <row r="171" spans="1:5" ht="15.75" x14ac:dyDescent="0.25">
      <c r="A171" s="10">
        <v>1001284791</v>
      </c>
      <c r="B171" s="2">
        <v>46063.542088425929</v>
      </c>
      <c r="C171" s="3" t="str">
        <f>IFERROR(VLOOKUP(A171,'Base Prueba'!A:C,3,),"NO REGISTRA")</f>
        <v>OSCAR STEVEN PEREZ HIDALGO</v>
      </c>
      <c r="D171" s="4" t="str">
        <f>IFERROR(VLOOKUP(A171,'Base Prueba'!A:D,4,),"NO REGISTRA")</f>
        <v>AUXILIAR DE RECURSOS ACADEMICOS</v>
      </c>
      <c r="E171" s="5" t="str">
        <f>IFERROR(VLOOKUP(A171,'Base Prueba'!A:E,5,),"NO REGISTRA")</f>
        <v>RECURSOS ACADEMICOS</v>
      </c>
    </row>
    <row r="172" spans="1:5" ht="15.75" x14ac:dyDescent="0.25">
      <c r="A172" s="10">
        <v>1018482392</v>
      </c>
      <c r="B172" s="2">
        <v>46063.542266435186</v>
      </c>
      <c r="C172" s="3" t="str">
        <f>IFERROR(VLOOKUP(A172,'Base Prueba'!A:C,3,),"NO REGISTRA")</f>
        <v>RAQUEL YANETH SANDOVAL FORERO</v>
      </c>
      <c r="D172" s="4" t="str">
        <f>IFERROR(VLOOKUP(A172,'Base Prueba'!A:D,4,),"NO REGISTRA")</f>
        <v>AUXILIAR DE RECURSOS ACADEMICOS</v>
      </c>
      <c r="E172" s="5" t="str">
        <f>IFERROR(VLOOKUP(A172,'Base Prueba'!A:E,5,),"NO REGISTRA")</f>
        <v>RECURSOS ACADEMICOS</v>
      </c>
    </row>
    <row r="173" spans="1:5" ht="15.75" x14ac:dyDescent="0.25">
      <c r="A173" s="10">
        <v>248294</v>
      </c>
      <c r="B173" s="2">
        <v>46063.656890972219</v>
      </c>
      <c r="C173" s="3" t="str">
        <f>IFERROR(VLOOKUP(A173,'Base Prueba'!A:C,3,),"NO REGISTRA")</f>
        <v>WALTER NATALIO VALDEZ MONTAÑEZ</v>
      </c>
      <c r="D173" s="4" t="str">
        <f>IFERROR(VLOOKUP(A173,'Base Prueba'!A:D,4,),"NO REGISTRA")</f>
        <v>DOCENTE DE TIEMPO COMPLETO</v>
      </c>
      <c r="E173" s="5" t="str">
        <f>IFERROR(VLOOKUP(A173,'Base Prueba'!A:E,5,),"NO REGISTRA")</f>
        <v>UNIVERSITARIO EN TURISMO Y GASTRONOMIA</v>
      </c>
    </row>
    <row r="174" spans="1:5" ht="15.75" x14ac:dyDescent="0.25">
      <c r="A174" s="10">
        <v>79452150</v>
      </c>
      <c r="B174" s="2">
        <v>46063.799726620367</v>
      </c>
      <c r="C174" s="3" t="str">
        <f>IFERROR(VLOOKUP(A174,'Base Prueba'!A:C,3,),"NO REGISTRA")</f>
        <v>JUAN CARLOS PAZ CUBILLOS</v>
      </c>
      <c r="D174" s="4" t="str">
        <f>IFERROR(VLOOKUP(A174,'Base Prueba'!A:D,4,),"NO REGISTRA")</f>
        <v>ANALISTA DE SISTEMAS</v>
      </c>
      <c r="E174" s="5" t="str">
        <f>IFERROR(VLOOKUP(A174,'Base Prueba'!A:E,5,),"NO REGISTRA")</f>
        <v>DEPARTAMENTO DE INFORMATICA Y TECNOLOGIA</v>
      </c>
    </row>
    <row r="175" spans="1:5" ht="15.75" x14ac:dyDescent="0.25">
      <c r="A175" s="10">
        <v>52049956</v>
      </c>
      <c r="B175" s="2">
        <v>46063.831415740744</v>
      </c>
      <c r="C175" s="3" t="str">
        <f>IFERROR(VLOOKUP(A175,'Base Prueba'!A:C,3,),"NO REGISTRA")</f>
        <v>ESPERANZA MORALES</v>
      </c>
      <c r="D175" s="4" t="str">
        <f>IFERROR(VLOOKUP(A175,'Base Prueba'!A:D,4,),"NO REGISTRA")</f>
        <v>DIRECTORA DE INFORMATICA Y TECNOLOGIA</v>
      </c>
      <c r="E175" s="5" t="str">
        <f>IFERROR(VLOOKUP(A175,'Base Prueba'!A:E,5,),"NO REGISTRA")</f>
        <v>DEPARTAMENTO DE INFORMATICA Y TECNOLOGIA</v>
      </c>
    </row>
    <row r="176" spans="1:5" ht="15.75" x14ac:dyDescent="0.25">
      <c r="A176" s="10">
        <v>1000218614</v>
      </c>
      <c r="B176" s="2">
        <v>46064.316960763892</v>
      </c>
      <c r="C176" s="3" t="str">
        <f>IFERROR(VLOOKUP(A176,'Base Prueba'!A:C,3,),"NO REGISTRA")</f>
        <v>SEBASTIAN DAVID MELO DIAZ</v>
      </c>
      <c r="D176" s="4" t="str">
        <f>IFERROR(VLOOKUP(A176,'Base Prueba'!A:D,4,),"NO REGISTRA")</f>
        <v>ANALISTA DE SISTEMAS</v>
      </c>
      <c r="E176" s="5" t="str">
        <f>IFERROR(VLOOKUP(A176,'Base Prueba'!A:E,5,),"NO REGISTRA")</f>
        <v>DEPARTAMENTO DE INFORMATICA Y TECNOLOGIA</v>
      </c>
    </row>
    <row r="177" spans="1:5" ht="15.75" x14ac:dyDescent="0.25">
      <c r="A177" s="10">
        <v>1022378300</v>
      </c>
      <c r="B177" s="2">
        <v>46064.330124652777</v>
      </c>
      <c r="C177" s="3" t="str">
        <f>IFERROR(VLOOKUP(A177,'Base Prueba'!A:C,3,),"NO REGISTRA")</f>
        <v>FERNEY ANDRES CHASPUENGAL RAMIREZ</v>
      </c>
      <c r="D177" s="4" t="str">
        <f>IFERROR(VLOOKUP(A177,'Base Prueba'!A:D,4,),"NO REGISTRA")</f>
        <v>LÍDER DE DEPORTE Y CULTURA</v>
      </c>
      <c r="E177" s="5" t="str">
        <f>IFERROR(VLOOKUP(A177,'Base Prueba'!A:E,5,),"NO REGISTRA")</f>
        <v>DIRECCION DE BIENESTAR INSTITUCIONAL</v>
      </c>
    </row>
    <row r="178" spans="1:5" ht="15.75" x14ac:dyDescent="0.25">
      <c r="A178" s="10">
        <v>1018482392</v>
      </c>
      <c r="B178" s="2">
        <v>46064.544194212962</v>
      </c>
      <c r="C178" s="3" t="str">
        <f>IFERROR(VLOOKUP(A178,'Base Prueba'!A:C,3,),"NO REGISTRA")</f>
        <v>RAQUEL YANETH SANDOVAL FORERO</v>
      </c>
      <c r="D178" s="4" t="str">
        <f>IFERROR(VLOOKUP(A178,'Base Prueba'!A:D,4,),"NO REGISTRA")</f>
        <v>AUXILIAR DE RECURSOS ACADEMICOS</v>
      </c>
      <c r="E178" s="5" t="str">
        <f>IFERROR(VLOOKUP(A178,'Base Prueba'!A:E,5,),"NO REGISTRA")</f>
        <v>RECURSOS ACADEMICOS</v>
      </c>
    </row>
    <row r="179" spans="1:5" ht="15.75" x14ac:dyDescent="0.25">
      <c r="A179" s="10">
        <v>1001284791</v>
      </c>
      <c r="B179" s="2">
        <v>46064.587278703701</v>
      </c>
      <c r="C179" s="3" t="str">
        <f>IFERROR(VLOOKUP(A179,'Base Prueba'!A:C,3,),"NO REGISTRA")</f>
        <v>OSCAR STEVEN PEREZ HIDALGO</v>
      </c>
      <c r="D179" s="4" t="str">
        <f>IFERROR(VLOOKUP(A179,'Base Prueba'!A:D,4,),"NO REGISTRA")</f>
        <v>AUXILIAR DE RECURSOS ACADEMICOS</v>
      </c>
      <c r="E179" s="5" t="str">
        <f>IFERROR(VLOOKUP(A179,'Base Prueba'!A:E,5,),"NO REGISTRA")</f>
        <v>RECURSOS ACADEMICOS</v>
      </c>
    </row>
    <row r="180" spans="1:5" ht="15.75" x14ac:dyDescent="0.25">
      <c r="A180" s="10">
        <v>51555582</v>
      </c>
      <c r="B180" s="2">
        <v>46064.823249305555</v>
      </c>
      <c r="C180" s="3" t="str">
        <f>IFERROR(VLOOKUP(A180,'Base Prueba'!A:C,3,),"NO REGISTRA")</f>
        <v>MARTHA CECILIA VIDAL ARIZABALETA</v>
      </c>
      <c r="D180" s="4" t="str">
        <f>IFERROR(VLOOKUP(A180,'Base Prueba'!A:D,4,),"NO REGISTRA")</f>
        <v>DOCENTE DE MEDIO TIEMPO</v>
      </c>
      <c r="E180" s="5" t="str">
        <f>IFERROR(VLOOKUP(A180,'Base Prueba'!A:E,5,),"NO REGISTRA")</f>
        <v>INGENIERIA DE SOFTWARE</v>
      </c>
    </row>
    <row r="181" spans="1:5" ht="15.75" x14ac:dyDescent="0.25">
      <c r="A181" s="10">
        <v>52049956</v>
      </c>
      <c r="B181" s="2">
        <v>46064.829731944446</v>
      </c>
      <c r="C181" s="3" t="str">
        <f>IFERROR(VLOOKUP(A181,'Base Prueba'!A:C,3,),"NO REGISTRA")</f>
        <v>ESPERANZA MORALES</v>
      </c>
      <c r="D181" s="4" t="str">
        <f>IFERROR(VLOOKUP(A181,'Base Prueba'!A:D,4,),"NO REGISTRA")</f>
        <v>DIRECTORA DE INFORMATICA Y TECNOLOGIA</v>
      </c>
      <c r="E181" s="5" t="str">
        <f>IFERROR(VLOOKUP(A181,'Base Prueba'!A:E,5,),"NO REGISTRA")</f>
        <v>DEPARTAMENTO DE INFORMATICA Y TECNOLOGIA</v>
      </c>
    </row>
    <row r="182" spans="1:5" ht="15.75" x14ac:dyDescent="0.25">
      <c r="A182" s="10">
        <v>79452150</v>
      </c>
      <c r="B182" s="2">
        <v>46064.848333217589</v>
      </c>
      <c r="C182" s="3" t="str">
        <f>IFERROR(VLOOKUP(A182,'Base Prueba'!A:C,3,),"NO REGISTRA")</f>
        <v>JUAN CARLOS PAZ CUBILLOS</v>
      </c>
      <c r="D182" s="4" t="str">
        <f>IFERROR(VLOOKUP(A182,'Base Prueba'!A:D,4,),"NO REGISTRA")</f>
        <v>ANALISTA DE SISTEMAS</v>
      </c>
      <c r="E182" s="5" t="str">
        <f>IFERROR(VLOOKUP(A182,'Base Prueba'!A:E,5,),"NO REGISTRA")</f>
        <v>DEPARTAMENTO DE INFORMATICA Y TECNOLOGIA</v>
      </c>
    </row>
    <row r="183" spans="1:5" ht="15.75" x14ac:dyDescent="0.25">
      <c r="A183" s="10">
        <v>51555582</v>
      </c>
      <c r="B183" s="2">
        <v>46064.886320949074</v>
      </c>
      <c r="C183" s="3" t="str">
        <f>IFERROR(VLOOKUP(A183,'Base Prueba'!A:C,3,),"NO REGISTRA")</f>
        <v>MARTHA CECILIA VIDAL ARIZABALETA</v>
      </c>
      <c r="D183" s="4" t="str">
        <f>IFERROR(VLOOKUP(A183,'Base Prueba'!A:D,4,),"NO REGISTRA")</f>
        <v>DOCENTE DE MEDIO TIEMPO</v>
      </c>
      <c r="E183" s="5" t="str">
        <f>IFERROR(VLOOKUP(A183,'Base Prueba'!A:E,5,),"NO REGISTRA")</f>
        <v>INGENIERIA DE SOFTWARE</v>
      </c>
    </row>
    <row r="184" spans="1:5" ht="15.75" x14ac:dyDescent="0.25">
      <c r="A184" s="10">
        <v>1022378300</v>
      </c>
      <c r="B184" s="2">
        <v>46065.333437037036</v>
      </c>
      <c r="C184" s="3" t="str">
        <f>IFERROR(VLOOKUP(A184,'Base Prueba'!A:C,3,),"NO REGISTRA")</f>
        <v>FERNEY ANDRES CHASPUENGAL RAMIREZ</v>
      </c>
      <c r="D184" s="4" t="str">
        <f>IFERROR(VLOOKUP(A184,'Base Prueba'!A:D,4,),"NO REGISTRA")</f>
        <v>LÍDER DE DEPORTE Y CULTURA</v>
      </c>
      <c r="E184" s="5" t="str">
        <f>IFERROR(VLOOKUP(A184,'Base Prueba'!A:E,5,),"NO REGISTRA")</f>
        <v>DIRECCION DE BIENESTAR INSTITUCIONAL</v>
      </c>
    </row>
    <row r="185" spans="1:5" ht="15.75" x14ac:dyDescent="0.25">
      <c r="A185" s="10">
        <v>52049956</v>
      </c>
      <c r="B185" s="2">
        <v>46065.358746990743</v>
      </c>
      <c r="C185" s="3" t="str">
        <f>IFERROR(VLOOKUP(A185,'Base Prueba'!A:C,3,),"NO REGISTRA")</f>
        <v>ESPERANZA MORALES</v>
      </c>
      <c r="D185" s="4" t="str">
        <f>IFERROR(VLOOKUP(A185,'Base Prueba'!A:D,4,),"NO REGISTRA")</f>
        <v>DIRECTORA DE INFORMATICA Y TECNOLOGIA</v>
      </c>
      <c r="E185" s="5" t="str">
        <f>IFERROR(VLOOKUP(A185,'Base Prueba'!A:E,5,),"NO REGISTRA")</f>
        <v>DEPARTAMENTO DE INFORMATICA Y TECNOLOGIA</v>
      </c>
    </row>
    <row r="186" spans="1:5" ht="15.75" x14ac:dyDescent="0.25">
      <c r="A186" s="10">
        <v>1019125716</v>
      </c>
      <c r="B186" s="2">
        <v>46065.488525231478</v>
      </c>
      <c r="C186" s="3" t="str">
        <f>IFERROR(VLOOKUP(A186,'Base Prueba'!A:C,3,),"NO REGISTRA")</f>
        <v>GINA PAOLA ALZATE ARISTIZABAL</v>
      </c>
      <c r="D186" s="4" t="str">
        <f>IFERROR(VLOOKUP(A186,'Base Prueba'!A:D,4,),"NO REGISTRA")</f>
        <v>DOCENTE DE MEDIO TIEMPO</v>
      </c>
      <c r="E186" s="5" t="str">
        <f>IFERROR(VLOOKUP(A186,'Base Prueba'!A:E,5,),"NO REGISTRA")</f>
        <v>UNIDAD DE IDIOMAS</v>
      </c>
    </row>
    <row r="187" spans="1:5" ht="15.75" x14ac:dyDescent="0.25">
      <c r="A187" s="10">
        <v>1073150473</v>
      </c>
      <c r="B187" s="2">
        <v>46065.505359953706</v>
      </c>
      <c r="C187" s="3" t="str">
        <f>IFERROR(VLOOKUP(A187,'Base Prueba'!A:C,3,),"NO REGISTRA")</f>
        <v>DIANA STELLA MELGAREJO MUÑOZ</v>
      </c>
      <c r="D187" s="4" t="str">
        <f>IFERROR(VLOOKUP(A187,'Base Prueba'!A:D,4,),"NO REGISTRA")</f>
        <v>DOCENTE DE MEDIO TIEMPO</v>
      </c>
      <c r="E187" s="5" t="str">
        <f>IFERROR(VLOOKUP(A187,'Base Prueba'!A:E,5,),"NO REGISTRA")</f>
        <v>TECNICA EN FOTOGRAFIA</v>
      </c>
    </row>
    <row r="188" spans="1:5" ht="15.75" x14ac:dyDescent="0.25">
      <c r="A188" s="10">
        <v>1032361262</v>
      </c>
      <c r="B188" s="2">
        <v>46065.505600578705</v>
      </c>
      <c r="C188" s="3" t="str">
        <f>IFERROR(VLOOKUP(A188,'Base Prueba'!A:C,3,),"NO REGISTRA")</f>
        <v>CAMILO  ANDRES BALLESTEROS SANABRIA</v>
      </c>
      <c r="D188" s="4" t="str">
        <f>IFERROR(VLOOKUP(A188,'Base Prueba'!A:D,4,),"NO REGISTRA")</f>
        <v>DOCENTE DE MEDIO TIEMPO</v>
      </c>
      <c r="E188" s="5" t="str">
        <f>IFERROR(VLOOKUP(A188,'Base Prueba'!A:E,5,),"NO REGISTRA")</f>
        <v>TECNICA EN FOTOGRAFIA</v>
      </c>
    </row>
    <row r="189" spans="1:5" ht="15.75" x14ac:dyDescent="0.25">
      <c r="A189" s="10">
        <v>1001284791</v>
      </c>
      <c r="B189" s="2">
        <v>46065.541442013891</v>
      </c>
      <c r="C189" s="3" t="str">
        <f>IFERROR(VLOOKUP(A189,'Base Prueba'!A:C,3,),"NO REGISTRA")</f>
        <v>OSCAR STEVEN PEREZ HIDALGO</v>
      </c>
      <c r="D189" s="4" t="str">
        <f>IFERROR(VLOOKUP(A189,'Base Prueba'!A:D,4,),"NO REGISTRA")</f>
        <v>AUXILIAR DE RECURSOS ACADEMICOS</v>
      </c>
      <c r="E189" s="5" t="str">
        <f>IFERROR(VLOOKUP(A189,'Base Prueba'!A:E,5,),"NO REGISTRA")</f>
        <v>RECURSOS ACADEMICOS</v>
      </c>
    </row>
    <row r="190" spans="1:5" ht="15.75" x14ac:dyDescent="0.25">
      <c r="A190" s="10">
        <v>91283826</v>
      </c>
      <c r="B190" s="2">
        <v>46065.588321643518</v>
      </c>
      <c r="C190" s="3" t="str">
        <f>IFERROR(VLOOKUP(A190,'Base Prueba'!A:C,3,),"NO REGISTRA")</f>
        <v>CARLOS ALBERTO ESPINOSA HERRERA</v>
      </c>
      <c r="D190" s="4" t="str">
        <f>IFERROR(VLOOKUP(A190,'Base Prueba'!A:D,4,),"NO REGISTRA")</f>
        <v>DOCENTE DE MEDIO TIEMPO</v>
      </c>
      <c r="E190" s="5" t="str">
        <f>IFERROR(VLOOKUP(A190,'Base Prueba'!A:E,5,),"NO REGISTRA")</f>
        <v>TECNOLOGÍA EN PRODUCCIÓN DE CONTENIDOS PERIODÍSTICOS</v>
      </c>
    </row>
    <row r="191" spans="1:5" ht="15.75" x14ac:dyDescent="0.25">
      <c r="A191" s="10">
        <v>248294</v>
      </c>
      <c r="B191" s="2">
        <v>46065.688753009257</v>
      </c>
      <c r="C191" s="3" t="str">
        <f>IFERROR(VLOOKUP(A191,'Base Prueba'!A:C,3,),"NO REGISTRA")</f>
        <v>WALTER NATALIO VALDEZ MONTAÑEZ</v>
      </c>
      <c r="D191" s="4" t="str">
        <f>IFERROR(VLOOKUP(A191,'Base Prueba'!A:D,4,),"NO REGISTRA")</f>
        <v>DOCENTE DE TIEMPO COMPLETO</v>
      </c>
      <c r="E191" s="5" t="str">
        <f>IFERROR(VLOOKUP(A191,'Base Prueba'!A:E,5,),"NO REGISTRA")</f>
        <v>UNIVERSITARIO EN TURISMO Y GASTRONOMIA</v>
      </c>
    </row>
    <row r="192" spans="1:5" ht="15.75" x14ac:dyDescent="0.25">
      <c r="A192" s="10">
        <v>79452150</v>
      </c>
      <c r="B192" s="2">
        <v>46065.794429629626</v>
      </c>
      <c r="C192" s="3" t="str">
        <f>IFERROR(VLOOKUP(A192,'Base Prueba'!A:C,3,),"NO REGISTRA")</f>
        <v>JUAN CARLOS PAZ CUBILLOS</v>
      </c>
      <c r="D192" s="4" t="str">
        <f>IFERROR(VLOOKUP(A192,'Base Prueba'!A:D,4,),"NO REGISTRA")</f>
        <v>ANALISTA DE SISTEMAS</v>
      </c>
      <c r="E192" s="5" t="str">
        <f>IFERROR(VLOOKUP(A192,'Base Prueba'!A:E,5,),"NO REGISTRA")</f>
        <v>DEPARTAMENTO DE INFORMATICA Y TECNOLOGIA</v>
      </c>
    </row>
    <row r="193" spans="1:5" ht="15.75" x14ac:dyDescent="0.25">
      <c r="A193" s="10">
        <v>52049956</v>
      </c>
      <c r="B193" s="2">
        <v>46065.841932175928</v>
      </c>
      <c r="C193" s="3" t="str">
        <f>IFERROR(VLOOKUP(A193,'Base Prueba'!A:C,3,),"NO REGISTRA")</f>
        <v>ESPERANZA MORALES</v>
      </c>
      <c r="D193" s="4" t="str">
        <f>IFERROR(VLOOKUP(A193,'Base Prueba'!A:D,4,),"NO REGISTRA")</f>
        <v>DIRECTORA DE INFORMATICA Y TECNOLOGIA</v>
      </c>
      <c r="E193" s="5" t="str">
        <f>IFERROR(VLOOKUP(A193,'Base Prueba'!A:E,5,),"NO REGISTRA")</f>
        <v>DEPARTAMENTO DE INFORMATICA Y TECNOLOGIA</v>
      </c>
    </row>
    <row r="194" spans="1:5" ht="15.75" x14ac:dyDescent="0.25">
      <c r="A194" s="10">
        <v>80472319</v>
      </c>
      <c r="B194" s="2">
        <v>46065.877961921295</v>
      </c>
      <c r="C194" s="3" t="str">
        <f>IFERROR(VLOOKUP(A194,'Base Prueba'!A:C,3,),"NO REGISTRA")</f>
        <v>FRANCISCO JAVIER MONTENEGRO AGUILAR</v>
      </c>
      <c r="D194" s="4" t="str">
        <f>IFERROR(VLOOKUP(A194,'Base Prueba'!A:D,4,),"NO REGISTRA")</f>
        <v>DOCENTE DE MEDIO TIEMPO</v>
      </c>
      <c r="E194" s="5" t="str">
        <f>IFERROR(VLOOKUP(A194,'Base Prueba'!A:E,5,),"NO REGISTRA")</f>
        <v>TECNOLOGIA EN COMERCIO Y NEGOCIOS INTERNACIONALES</v>
      </c>
    </row>
    <row r="195" spans="1:5" ht="15.75" x14ac:dyDescent="0.25">
      <c r="A195" s="10">
        <v>52049956</v>
      </c>
      <c r="B195" s="2">
        <v>46066.34477152778</v>
      </c>
      <c r="C195" s="3" t="str">
        <f>IFERROR(VLOOKUP(A195,'Base Prueba'!A:C,3,),"NO REGISTRA")</f>
        <v>ESPERANZA MORALES</v>
      </c>
      <c r="D195" s="4" t="str">
        <f>IFERROR(VLOOKUP(A195,'Base Prueba'!A:D,4,),"NO REGISTRA")</f>
        <v>DIRECTORA DE INFORMATICA Y TECNOLOGIA</v>
      </c>
      <c r="E195" s="5" t="str">
        <f>IFERROR(VLOOKUP(A195,'Base Prueba'!A:E,5,),"NO REGISTRA")</f>
        <v>DEPARTAMENTO DE INFORMATICA Y TECNOLOGIA</v>
      </c>
    </row>
    <row r="196" spans="1:5" ht="15.75" x14ac:dyDescent="0.25">
      <c r="A196" s="10">
        <v>1022378300</v>
      </c>
      <c r="B196" s="2">
        <v>46066.372010763887</v>
      </c>
      <c r="C196" s="3" t="str">
        <f>IFERROR(VLOOKUP(A196,'Base Prueba'!A:C,3,),"NO REGISTRA")</f>
        <v>FERNEY ANDRES CHASPUENGAL RAMIREZ</v>
      </c>
      <c r="D196" s="4" t="str">
        <f>IFERROR(VLOOKUP(A196,'Base Prueba'!A:D,4,),"NO REGISTRA")</f>
        <v>LÍDER DE DEPORTE Y CULTURA</v>
      </c>
      <c r="E196" s="5" t="str">
        <f>IFERROR(VLOOKUP(A196,'Base Prueba'!A:E,5,),"NO REGISTRA")</f>
        <v>DIRECCION DE BIENESTAR INSTITUCIONAL</v>
      </c>
    </row>
    <row r="197" spans="1:5" ht="15.75" x14ac:dyDescent="0.25">
      <c r="A197" s="10">
        <v>79484197</v>
      </c>
      <c r="B197" s="2">
        <v>46066.393991898149</v>
      </c>
      <c r="C197" s="3" t="str">
        <f>IFERROR(VLOOKUP(A197,'Base Prueba'!A:C,3,),"NO REGISTRA")</f>
        <v>JOHN DANIEL GUTIERREZ BOADA</v>
      </c>
      <c r="D197" s="4" t="str">
        <f>IFERROR(VLOOKUP(A197,'Base Prueba'!A:D,4,),"NO REGISTRA")</f>
        <v>DOCENTE DE MEDIO TIEMPO</v>
      </c>
      <c r="E197" s="5" t="str">
        <f>IFERROR(VLOOKUP(A197,'Base Prueba'!A:E,5,),"NO REGISTRA")</f>
        <v>UNIVERSITARIO COMUNICACION SOCIAL</v>
      </c>
    </row>
    <row r="198" spans="1:5" ht="15.75" x14ac:dyDescent="0.25">
      <c r="A198" s="10">
        <v>1001284791</v>
      </c>
      <c r="B198" s="2">
        <v>46066.583212384263</v>
      </c>
      <c r="C198" s="3" t="str">
        <f>IFERROR(VLOOKUP(A198,'Base Prueba'!A:C,3,),"NO REGISTRA")</f>
        <v>OSCAR STEVEN PEREZ HIDALGO</v>
      </c>
      <c r="D198" s="4" t="str">
        <f>IFERROR(VLOOKUP(A198,'Base Prueba'!A:D,4,),"NO REGISTRA")</f>
        <v>AUXILIAR DE RECURSOS ACADEMICOS</v>
      </c>
      <c r="E198" s="5" t="str">
        <f>IFERROR(VLOOKUP(A198,'Base Prueba'!A:E,5,),"NO REGISTRA")</f>
        <v>RECURSOS ACADEMICOS</v>
      </c>
    </row>
    <row r="199" spans="1:5" ht="15.75" x14ac:dyDescent="0.25">
      <c r="A199" s="10">
        <v>1018482392</v>
      </c>
      <c r="B199" s="2">
        <v>46066.583295370372</v>
      </c>
      <c r="C199" s="3" t="str">
        <f>IFERROR(VLOOKUP(A199,'Base Prueba'!A:C,3,),"NO REGISTRA")</f>
        <v>RAQUEL YANETH SANDOVAL FORERO</v>
      </c>
      <c r="D199" s="4" t="str">
        <f>IFERROR(VLOOKUP(A199,'Base Prueba'!A:D,4,),"NO REGISTRA")</f>
        <v>AUXILIAR DE RECURSOS ACADEMICOS</v>
      </c>
      <c r="E199" s="5" t="str">
        <f>IFERROR(VLOOKUP(A199,'Base Prueba'!A:E,5,),"NO REGISTRA")</f>
        <v>RECURSOS ACADEMICOS</v>
      </c>
    </row>
    <row r="200" spans="1:5" ht="15.75" x14ac:dyDescent="0.25">
      <c r="A200" s="10">
        <v>19461924</v>
      </c>
      <c r="B200" s="2">
        <v>46066.754739351854</v>
      </c>
      <c r="C200" s="3" t="str">
        <f>IFERROR(VLOOKUP(A200,'Base Prueba'!A:C,3,),"NO REGISTRA")</f>
        <v>ORLANDO ALBERTO ORTIZ SANCHEZ</v>
      </c>
      <c r="D200" s="4" t="str">
        <f>IFERROR(VLOOKUP(A200,'Base Prueba'!A:D,4,),"NO REGISTRA")</f>
        <v>DOCENTE DE TIEMPO COMPLETO</v>
      </c>
      <c r="E200" s="5" t="str">
        <f>IFERROR(VLOOKUP(A200,'Base Prueba'!A:E,5,),"NO REGISTRA")</f>
        <v>AREA DE CIENCIAS BASICAS</v>
      </c>
    </row>
    <row r="201" spans="1:5" ht="15.75" x14ac:dyDescent="0.25">
      <c r="A201" s="10">
        <v>79452150</v>
      </c>
      <c r="B201" s="2">
        <v>46066.818629050926</v>
      </c>
      <c r="C201" s="3" t="str">
        <f>IFERROR(VLOOKUP(A201,'Base Prueba'!A:C,3,),"NO REGISTRA")</f>
        <v>JUAN CARLOS PAZ CUBILLOS</v>
      </c>
      <c r="D201" s="4" t="str">
        <f>IFERROR(VLOOKUP(A201,'Base Prueba'!A:D,4,),"NO REGISTRA")</f>
        <v>ANALISTA DE SISTEMAS</v>
      </c>
      <c r="E201" s="5" t="str">
        <f>IFERROR(VLOOKUP(A201,'Base Prueba'!A:E,5,),"NO REGISTRA")</f>
        <v>DEPARTAMENTO DE INFORMATICA Y TECNOLOGIA</v>
      </c>
    </row>
    <row r="202" spans="1:5" ht="15.75" x14ac:dyDescent="0.25">
      <c r="A202" s="10">
        <v>52049956</v>
      </c>
      <c r="B202" s="2">
        <v>46066.841683333332</v>
      </c>
      <c r="C202" s="3" t="str">
        <f>IFERROR(VLOOKUP(A202,'Base Prueba'!A:C,3,),"NO REGISTRA")</f>
        <v>ESPERANZA MORALES</v>
      </c>
      <c r="D202" s="4" t="str">
        <f>IFERROR(VLOOKUP(A202,'Base Prueba'!A:D,4,),"NO REGISTRA")</f>
        <v>DIRECTORA DE INFORMATICA Y TECNOLOGIA</v>
      </c>
      <c r="E202" s="5" t="str">
        <f>IFERROR(VLOOKUP(A202,'Base Prueba'!A:E,5,),"NO REGISTRA")</f>
        <v>DEPARTAMENTO DE INFORMATICA Y TECNOLOGIA</v>
      </c>
    </row>
    <row r="203" spans="1:5" ht="15.75" x14ac:dyDescent="0.25">
      <c r="A203" s="10">
        <v>1019088352</v>
      </c>
      <c r="B203" s="2">
        <v>46066.904964814814</v>
      </c>
      <c r="C203" s="3" t="str">
        <f>IFERROR(VLOOKUP(A203,'Base Prueba'!A:C,3,),"NO REGISTRA")</f>
        <v>LEONARDO VALENZUELA RODRIGUEZ</v>
      </c>
      <c r="D203" s="4" t="str">
        <f>IFERROR(VLOOKUP(A203,'Base Prueba'!A:D,4,),"NO REGISTRA")</f>
        <v>DOCENTE DE TIEMPO COMPLETO</v>
      </c>
      <c r="E203" s="5" t="str">
        <f>IFERROR(VLOOKUP(A203,'Base Prueba'!A:E,5,),"NO REGISTRA")</f>
        <v>INGENIERIA DE SOFTWARE</v>
      </c>
    </row>
    <row r="204" spans="1:5" ht="15.75" x14ac:dyDescent="0.25">
      <c r="A204" s="10">
        <v>52049956</v>
      </c>
      <c r="B204" s="2">
        <v>46067.327729513891</v>
      </c>
      <c r="C204" s="3" t="str">
        <f>IFERROR(VLOOKUP(A204,'Base Prueba'!A:C,3,),"NO REGISTRA")</f>
        <v>ESPERANZA MORALES</v>
      </c>
      <c r="D204" s="4" t="str">
        <f>IFERROR(VLOOKUP(A204,'Base Prueba'!A:D,4,),"NO REGISTRA")</f>
        <v>DIRECTORA DE INFORMATICA Y TECNOLOGIA</v>
      </c>
      <c r="E204" s="5" t="str">
        <f>IFERROR(VLOOKUP(A204,'Base Prueba'!A:E,5,),"NO REGISTRA")</f>
        <v>DEPARTAMENTO DE INFORMATICA Y TECNOLOGIA</v>
      </c>
    </row>
    <row r="205" spans="1:5" ht="15.75" x14ac:dyDescent="0.25">
      <c r="A205" s="10">
        <v>51555582</v>
      </c>
      <c r="B205" s="2">
        <v>46067.405566782407</v>
      </c>
      <c r="C205" s="3" t="str">
        <f>IFERROR(VLOOKUP(A205,'Base Prueba'!A:C,3,),"NO REGISTRA")</f>
        <v>MARTHA CECILIA VIDAL ARIZABALETA</v>
      </c>
      <c r="D205" s="4" t="str">
        <f>IFERROR(VLOOKUP(A205,'Base Prueba'!A:D,4,),"NO REGISTRA")</f>
        <v>DOCENTE DE MEDIO TIEMPO</v>
      </c>
      <c r="E205" s="5" t="str">
        <f>IFERROR(VLOOKUP(A205,'Base Prueba'!A:E,5,),"NO REGISTRA")</f>
        <v>INGENIERIA DE SOFTWARE</v>
      </c>
    </row>
    <row r="206" spans="1:5" ht="15.75" x14ac:dyDescent="0.25">
      <c r="A206" s="10">
        <v>91283826</v>
      </c>
      <c r="B206" s="2">
        <v>46067.420705324075</v>
      </c>
      <c r="C206" s="3" t="str">
        <f>IFERROR(VLOOKUP(A206,'Base Prueba'!A:C,3,),"NO REGISTRA")</f>
        <v>CARLOS ALBERTO ESPINOSA HERRERA</v>
      </c>
      <c r="D206" s="4" t="str">
        <f>IFERROR(VLOOKUP(A206,'Base Prueba'!A:D,4,),"NO REGISTRA")</f>
        <v>DOCENTE DE MEDIO TIEMPO</v>
      </c>
      <c r="E206" s="5" t="str">
        <f>IFERROR(VLOOKUP(A206,'Base Prueba'!A:E,5,),"NO REGISTRA")</f>
        <v>TECNOLOGÍA EN PRODUCCIÓN DE CONTENIDOS PERIODÍSTICOS</v>
      </c>
    </row>
    <row r="207" spans="1:5" ht="15.75" x14ac:dyDescent="0.25">
      <c r="A207" s="10">
        <v>1023950000</v>
      </c>
      <c r="B207" s="2">
        <v>46067.498728356484</v>
      </c>
      <c r="C207" s="3" t="str">
        <f>IFERROR(VLOOKUP(A207,'Base Prueba'!A:C,3,),"NO REGISTRA")</f>
        <v>ANGELA MARIA AYALA GONZALEZ</v>
      </c>
      <c r="D207" s="4" t="str">
        <f>IFERROR(VLOOKUP(A207,'Base Prueba'!A:D,4,),"NO REGISTRA")</f>
        <v>DOCENTE DE MEDIO TIEMPO</v>
      </c>
      <c r="E207" s="5" t="str">
        <f>IFERROR(VLOOKUP(A207,'Base Prueba'!A:E,5,),"NO REGISTRA")</f>
        <v>CIENCIAS DE LA INFORMACION Y BIBLIOTECOLOGIA</v>
      </c>
    </row>
    <row r="208" spans="1:5" ht="15.75" x14ac:dyDescent="0.25">
      <c r="A208" s="10">
        <v>1073150473</v>
      </c>
      <c r="B208" s="2">
        <v>46067.542817476853</v>
      </c>
      <c r="C208" s="3" t="str">
        <f>IFERROR(VLOOKUP(A208,'Base Prueba'!A:C,3,),"NO REGISTRA")</f>
        <v>DIANA STELLA MELGAREJO MUÑOZ</v>
      </c>
      <c r="D208" s="4" t="str">
        <f>IFERROR(VLOOKUP(A208,'Base Prueba'!A:D,4,),"NO REGISTRA")</f>
        <v>DOCENTE DE MEDIO TIEMPO</v>
      </c>
      <c r="E208" s="5" t="str">
        <f>IFERROR(VLOOKUP(A208,'Base Prueba'!A:E,5,),"NO REGISTRA")</f>
        <v>TECNICA EN FOTOGRAFIA</v>
      </c>
    </row>
    <row r="209" spans="1:5" ht="15.75" x14ac:dyDescent="0.25">
      <c r="A209" s="10">
        <v>80843387</v>
      </c>
      <c r="B209" s="2">
        <v>46067.543516782411</v>
      </c>
      <c r="C209" s="3" t="str">
        <f>IFERROR(VLOOKUP(A209,'Base Prueba'!A:C,3,),"NO REGISTRA")</f>
        <v>ESTEBAN ADOLFO QUESADA SALAZAR</v>
      </c>
      <c r="D209" s="4" t="str">
        <f>IFERROR(VLOOKUP(A209,'Base Prueba'!A:D,4,),"NO REGISTRA")</f>
        <v>DOCENTE DE TIEMPO COMPLETO</v>
      </c>
      <c r="E209" s="5" t="str">
        <f>IFERROR(VLOOKUP(A209,'Base Prueba'!A:E,5,),"NO REGISTRA")</f>
        <v>UNIVERSITARIO COMUNICACION SOCIAL</v>
      </c>
    </row>
    <row r="210" spans="1:5" ht="15.75" x14ac:dyDescent="0.25">
      <c r="A210" s="10">
        <v>52049956</v>
      </c>
      <c r="B210" s="2">
        <v>46067.578322222224</v>
      </c>
      <c r="C210" s="3" t="str">
        <f>IFERROR(VLOOKUP(A210,'Base Prueba'!A:C,3,),"NO REGISTRA")</f>
        <v>ESPERANZA MORALES</v>
      </c>
      <c r="D210" s="4" t="str">
        <f>IFERROR(VLOOKUP(A210,'Base Prueba'!A:D,4,),"NO REGISTRA")</f>
        <v>DIRECTORA DE INFORMATICA Y TECNOLOGIA</v>
      </c>
      <c r="E210" s="5" t="str">
        <f>IFERROR(VLOOKUP(A210,'Base Prueba'!A:E,5,),"NO REGISTRA")</f>
        <v>DEPARTAMENTO DE INFORMATICA Y TECNOLOGIA</v>
      </c>
    </row>
    <row r="211" spans="1:5" ht="15.75" x14ac:dyDescent="0.25">
      <c r="A211" s="10">
        <v>91283826</v>
      </c>
      <c r="B211" s="2">
        <v>46067.69637395833</v>
      </c>
      <c r="C211" s="3" t="str">
        <f>IFERROR(VLOOKUP(A211,'Base Prueba'!A:C,3,),"NO REGISTRA")</f>
        <v>CARLOS ALBERTO ESPINOSA HERRERA</v>
      </c>
      <c r="D211" s="4" t="str">
        <f>IFERROR(VLOOKUP(A211,'Base Prueba'!A:D,4,),"NO REGISTRA")</f>
        <v>DOCENTE DE MEDIO TIEMPO</v>
      </c>
      <c r="E211" s="5" t="str">
        <f>IFERROR(VLOOKUP(A211,'Base Prueba'!A:E,5,),"NO REGISTRA")</f>
        <v>TECNOLOGÍA EN PRODUCCIÓN DE CONTENIDOS PERIODÍSTICOS</v>
      </c>
    </row>
    <row r="212" spans="1:5" ht="15.75" x14ac:dyDescent="0.25">
      <c r="A212" s="10">
        <v>248294</v>
      </c>
      <c r="B212" s="2">
        <v>46067.790350000003</v>
      </c>
      <c r="C212" s="3" t="str">
        <f>IFERROR(VLOOKUP(A212,'Base Prueba'!A:C,3,),"NO REGISTRA")</f>
        <v>WALTER NATALIO VALDEZ MONTAÑEZ</v>
      </c>
      <c r="D212" s="4" t="str">
        <f>IFERROR(VLOOKUP(A212,'Base Prueba'!A:D,4,),"NO REGISTRA")</f>
        <v>DOCENTE DE TIEMPO COMPLETO</v>
      </c>
      <c r="E212" s="5" t="str">
        <f>IFERROR(VLOOKUP(A212,'Base Prueba'!A:E,5,),"NO REGISTRA")</f>
        <v>UNIVERSITARIO EN TURISMO Y GASTRONOMIA</v>
      </c>
    </row>
    <row r="213" spans="1:5" ht="15.75" x14ac:dyDescent="0.25">
      <c r="A213" s="10">
        <v>1001284791</v>
      </c>
      <c r="B213" s="2">
        <v>46067.802018287039</v>
      </c>
      <c r="C213" s="3" t="str">
        <f>IFERROR(VLOOKUP(A213,'Base Prueba'!A:C,3,),"NO REGISTRA")</f>
        <v>OSCAR STEVEN PEREZ HIDALGO</v>
      </c>
      <c r="D213" s="4" t="str">
        <f>IFERROR(VLOOKUP(A213,'Base Prueba'!A:D,4,),"NO REGISTRA")</f>
        <v>AUXILIAR DE RECURSOS ACADEMICOS</v>
      </c>
      <c r="E213" s="5" t="str">
        <f>IFERROR(VLOOKUP(A213,'Base Prueba'!A:E,5,),"NO REGISTRA")</f>
        <v>RECURSOS ACADEMICOS</v>
      </c>
    </row>
    <row r="214" spans="1:5" ht="15.75" x14ac:dyDescent="0.25">
      <c r="A214" s="10">
        <v>1018482392</v>
      </c>
      <c r="B214" s="2">
        <v>46067.802071296297</v>
      </c>
      <c r="C214" s="3" t="str">
        <f>IFERROR(VLOOKUP(A214,'Base Prueba'!A:C,3,),"NO REGISTRA")</f>
        <v>RAQUEL YANETH SANDOVAL FORERO</v>
      </c>
      <c r="D214" s="4" t="str">
        <f>IFERROR(VLOOKUP(A214,'Base Prueba'!A:D,4,),"NO REGISTRA")</f>
        <v>AUXILIAR DE RECURSOS ACADEMICOS</v>
      </c>
      <c r="E214" s="5" t="str">
        <f>IFERROR(VLOOKUP(A214,'Base Prueba'!A:E,5,),"NO REGISTRA")</f>
        <v>RECURSOS ACADEMICOS</v>
      </c>
    </row>
    <row r="215" spans="1:5" ht="15.75" x14ac:dyDescent="0.25">
      <c r="A215" s="10">
        <v>51555582</v>
      </c>
      <c r="B215" s="2">
        <v>46069.301305787034</v>
      </c>
      <c r="C215" s="3" t="str">
        <f>IFERROR(VLOOKUP(A215,'Base Prueba'!A:C,3,),"NO REGISTRA")</f>
        <v>MARTHA CECILIA VIDAL ARIZABALETA</v>
      </c>
      <c r="D215" s="4" t="str">
        <f>IFERROR(VLOOKUP(A215,'Base Prueba'!A:D,4,),"NO REGISTRA")</f>
        <v>DOCENTE DE MEDIO TIEMPO</v>
      </c>
      <c r="E215" s="5" t="str">
        <f>IFERROR(VLOOKUP(A215,'Base Prueba'!A:E,5,),"NO REGISTRA")</f>
        <v>INGENIERIA DE SOFTWARE</v>
      </c>
    </row>
    <row r="216" spans="1:5" ht="15.75" x14ac:dyDescent="0.25">
      <c r="A216" s="10">
        <v>52049956</v>
      </c>
      <c r="B216" s="2">
        <v>46069.335445833334</v>
      </c>
      <c r="C216" s="3" t="str">
        <f>IFERROR(VLOOKUP(A216,'Base Prueba'!A:C,3,),"NO REGISTRA")</f>
        <v>ESPERANZA MORALES</v>
      </c>
      <c r="D216" s="4" t="str">
        <f>IFERROR(VLOOKUP(A216,'Base Prueba'!A:D,4,),"NO REGISTRA")</f>
        <v>DIRECTORA DE INFORMATICA Y TECNOLOGIA</v>
      </c>
      <c r="E216" s="5" t="str">
        <f>IFERROR(VLOOKUP(A216,'Base Prueba'!A:E,5,),"NO REGISTRA")</f>
        <v>DEPARTAMENTO DE INFORMATICA Y TECNOLOGIA</v>
      </c>
    </row>
    <row r="217" spans="1:5" ht="15.75" x14ac:dyDescent="0.25">
      <c r="A217" s="10">
        <v>80778198</v>
      </c>
      <c r="B217" s="2">
        <v>46069.366279745373</v>
      </c>
      <c r="C217" s="3" t="str">
        <f>IFERROR(VLOOKUP(A217,'Base Prueba'!A:C,3,),"NO REGISTRA")</f>
        <v>JIMY JAVIER ALDANA REYES</v>
      </c>
      <c r="D217" s="4" t="str">
        <f>IFERROR(VLOOKUP(A217,'Base Prueba'!A:D,4,),"NO REGISTRA")</f>
        <v>DOCENTE DE TIEMPO COMPLETO</v>
      </c>
      <c r="E217" s="5" t="str">
        <f>IFERROR(VLOOKUP(A217,'Base Prueba'!A:E,5,),"NO REGISTRA")</f>
        <v>INGENIERIA DE SOFTWARE</v>
      </c>
    </row>
    <row r="218" spans="1:5" ht="15.75" x14ac:dyDescent="0.25">
      <c r="A218" s="10">
        <v>51555582</v>
      </c>
      <c r="B218" s="2">
        <v>46069.382828009257</v>
      </c>
      <c r="C218" s="3" t="str">
        <f>IFERROR(VLOOKUP(A218,'Base Prueba'!A:C,3,),"NO REGISTRA")</f>
        <v>MARTHA CECILIA VIDAL ARIZABALETA</v>
      </c>
      <c r="D218" s="4" t="str">
        <f>IFERROR(VLOOKUP(A218,'Base Prueba'!A:D,4,),"NO REGISTRA")</f>
        <v>DOCENTE DE MEDIO TIEMPO</v>
      </c>
      <c r="E218" s="5" t="str">
        <f>IFERROR(VLOOKUP(A218,'Base Prueba'!A:E,5,),"NO REGISTRA")</f>
        <v>INGENIERIA DE SOFTWARE</v>
      </c>
    </row>
    <row r="219" spans="1:5" ht="15.75" x14ac:dyDescent="0.25">
      <c r="A219" s="10">
        <v>1001284791</v>
      </c>
      <c r="B219" s="2">
        <v>46069.5835337963</v>
      </c>
      <c r="C219" s="3" t="str">
        <f>IFERROR(VLOOKUP(A219,'Base Prueba'!A:C,3,),"NO REGISTRA")</f>
        <v>OSCAR STEVEN PEREZ HIDALGO</v>
      </c>
      <c r="D219" s="4" t="str">
        <f>IFERROR(VLOOKUP(A219,'Base Prueba'!A:D,4,),"NO REGISTRA")</f>
        <v>AUXILIAR DE RECURSOS ACADEMICOS</v>
      </c>
      <c r="E219" s="5" t="str">
        <f>IFERROR(VLOOKUP(A219,'Base Prueba'!A:E,5,),"NO REGISTRA")</f>
        <v>RECURSOS ACADEMICOS</v>
      </c>
    </row>
    <row r="220" spans="1:5" ht="15.75" x14ac:dyDescent="0.25">
      <c r="A220" s="10">
        <v>1018482392</v>
      </c>
      <c r="B220" s="2">
        <v>46069.583629629633</v>
      </c>
      <c r="C220" s="3" t="str">
        <f>IFERROR(VLOOKUP(A220,'Base Prueba'!A:C,3,),"NO REGISTRA")</f>
        <v>RAQUEL YANETH SANDOVAL FORERO</v>
      </c>
      <c r="D220" s="4" t="str">
        <f>IFERROR(VLOOKUP(A220,'Base Prueba'!A:D,4,),"NO REGISTRA")</f>
        <v>AUXILIAR DE RECURSOS ACADEMICOS</v>
      </c>
      <c r="E220" s="5" t="str">
        <f>IFERROR(VLOOKUP(A220,'Base Prueba'!A:E,5,),"NO REGISTRA")</f>
        <v>RECURSOS ACADEMICOS</v>
      </c>
    </row>
    <row r="221" spans="1:5" ht="15.75" x14ac:dyDescent="0.25">
      <c r="A221" s="10">
        <v>1023866246</v>
      </c>
      <c r="B221" s="2">
        <v>46069.65754039352</v>
      </c>
      <c r="C221" s="3" t="str">
        <f>IFERROR(VLOOKUP(A221,'Base Prueba'!A:C,3,),"NO REGISTRA")</f>
        <v>JENNY PAOLA PAEZ POSSE</v>
      </c>
      <c r="D221" s="4" t="str">
        <f>IFERROR(VLOOKUP(A221,'Base Prueba'!A:D,4,),"NO REGISTRA")</f>
        <v>DOCENTE DE TIEMPO COMPLETO</v>
      </c>
      <c r="E221" s="5" t="str">
        <f>IFERROR(VLOOKUP(A221,'Base Prueba'!A:E,5,),"NO REGISTRA")</f>
        <v>CIENCIAS DE LA INFORMACION Y BIBLIOTECOLOGIA</v>
      </c>
    </row>
    <row r="222" spans="1:5" ht="15.75" x14ac:dyDescent="0.25">
      <c r="A222" s="10">
        <v>63478515</v>
      </c>
      <c r="B222" s="2">
        <v>46069.735055092591</v>
      </c>
      <c r="C222" s="3" t="str">
        <f>IFERROR(VLOOKUP(A222,'Base Prueba'!A:C,3,),"NO REGISTRA")</f>
        <v>SANDRA XIMENA RIOS PINTO</v>
      </c>
      <c r="D222" s="4" t="str">
        <f>IFERROR(VLOOKUP(A222,'Base Prueba'!A:D,4,),"NO REGISTRA")</f>
        <v>DOCENTE DE MEDIO TIEMPO</v>
      </c>
      <c r="E222" s="5" t="str">
        <f>IFERROR(VLOOKUP(A222,'Base Prueba'!A:E,5,),"NO REGISTRA")</f>
        <v>TECNOLOGIA EN ADMINISTRACION DEL TALENTO HUMANO</v>
      </c>
    </row>
    <row r="223" spans="1:5" ht="15.75" x14ac:dyDescent="0.25">
      <c r="A223" s="10">
        <v>1032401971</v>
      </c>
      <c r="B223" s="2">
        <v>46069.737954050928</v>
      </c>
      <c r="C223" s="3" t="str">
        <f>IFERROR(VLOOKUP(A223,'Base Prueba'!A:C,3,),"NO REGISTRA")</f>
        <v>ANDRYU ENRIQUE MENDOZA BELTRAN</v>
      </c>
      <c r="D223" s="4" t="str">
        <f>IFERROR(VLOOKUP(A223,'Base Prueba'!A:D,4,),"NO REGISTRA")</f>
        <v>DOCENTE DE TIEMPO COMPLETO</v>
      </c>
      <c r="E223" s="5" t="str">
        <f>IFERROR(VLOOKUP(A223,'Base Prueba'!A:E,5,),"NO REGISTRA")</f>
        <v>UNIVERSITARIO ADMINISTRACION DE EMPRESAS</v>
      </c>
    </row>
    <row r="224" spans="1:5" ht="15.75" x14ac:dyDescent="0.25">
      <c r="A224" s="10">
        <v>80472319</v>
      </c>
      <c r="B224" s="2">
        <v>46069.75612766204</v>
      </c>
      <c r="C224" s="3" t="str">
        <f>IFERROR(VLOOKUP(A224,'Base Prueba'!A:C,3,),"NO REGISTRA")</f>
        <v>FRANCISCO JAVIER MONTENEGRO AGUILAR</v>
      </c>
      <c r="D224" s="4" t="str">
        <f>IFERROR(VLOOKUP(A224,'Base Prueba'!A:D,4,),"NO REGISTRA")</f>
        <v>DOCENTE DE MEDIO TIEMPO</v>
      </c>
      <c r="E224" s="5" t="str">
        <f>IFERROR(VLOOKUP(A224,'Base Prueba'!A:E,5,),"NO REGISTRA")</f>
        <v>TECNOLOGIA EN COMERCIO Y NEGOCIOS INTERNACIONALES</v>
      </c>
    </row>
    <row r="225" spans="1:5" ht="15.75" x14ac:dyDescent="0.25">
      <c r="A225" s="10">
        <v>8715040</v>
      </c>
      <c r="B225" s="2">
        <v>46069.758085185182</v>
      </c>
      <c r="C225" s="3" t="str">
        <f>IFERROR(VLOOKUP(A225,'Base Prueba'!A:C,3,),"NO REGISTRA")</f>
        <v>DACARTH RAFAEL SARMIENTO PORTO</v>
      </c>
      <c r="D225" s="4" t="str">
        <f>IFERROR(VLOOKUP(A225,'Base Prueba'!A:D,4,),"NO REGISTRA")</f>
        <v>DOCENTE DE TIEMPO COMPLETO</v>
      </c>
      <c r="E225" s="5" t="str">
        <f>IFERROR(VLOOKUP(A225,'Base Prueba'!A:E,5,),"NO REGISTRA")</f>
        <v>INGENIERIA DE SOFTWARE</v>
      </c>
    </row>
    <row r="226" spans="1:5" ht="15.75" x14ac:dyDescent="0.25">
      <c r="A226" s="10">
        <v>79452150</v>
      </c>
      <c r="B226" s="2">
        <v>46069.808014699076</v>
      </c>
      <c r="C226" s="3" t="str">
        <f>IFERROR(VLOOKUP(A226,'Base Prueba'!A:C,3,),"NO REGISTRA")</f>
        <v>JUAN CARLOS PAZ CUBILLOS</v>
      </c>
      <c r="D226" s="4" t="str">
        <f>IFERROR(VLOOKUP(A226,'Base Prueba'!A:D,4,),"NO REGISTRA")</f>
        <v>ANALISTA DE SISTEMAS</v>
      </c>
      <c r="E226" s="5" t="str">
        <f>IFERROR(VLOOKUP(A226,'Base Prueba'!A:E,5,),"NO REGISTRA")</f>
        <v>DEPARTAMENTO DE INFORMATICA Y TECNOLOGIA</v>
      </c>
    </row>
    <row r="227" spans="1:5" ht="15.75" x14ac:dyDescent="0.25">
      <c r="A227" s="10">
        <v>52049956</v>
      </c>
      <c r="B227" s="2">
        <v>46069.828711226852</v>
      </c>
      <c r="C227" s="3" t="str">
        <f>IFERROR(VLOOKUP(A227,'Base Prueba'!A:C,3,),"NO REGISTRA")</f>
        <v>ESPERANZA MORALES</v>
      </c>
      <c r="D227" s="4" t="str">
        <f>IFERROR(VLOOKUP(A227,'Base Prueba'!A:D,4,),"NO REGISTRA")</f>
        <v>DIRECTORA DE INFORMATICA Y TECNOLOGIA</v>
      </c>
      <c r="E227" s="5" t="str">
        <f>IFERROR(VLOOKUP(A227,'Base Prueba'!A:E,5,),"NO REGISTRA")</f>
        <v>DEPARTAMENTO DE INFORMATICA Y TECNOLOGIA</v>
      </c>
    </row>
    <row r="228" spans="1:5" ht="15.75" x14ac:dyDescent="0.25">
      <c r="A228" s="10">
        <v>1019125716</v>
      </c>
      <c r="B228" s="2">
        <v>46069.850057523145</v>
      </c>
      <c r="C228" s="3" t="str">
        <f>IFERROR(VLOOKUP(A228,'Base Prueba'!A:C,3,),"NO REGISTRA")</f>
        <v>GINA PAOLA ALZATE ARISTIZABAL</v>
      </c>
      <c r="D228" s="4" t="str">
        <f>IFERROR(VLOOKUP(A228,'Base Prueba'!A:D,4,),"NO REGISTRA")</f>
        <v>DOCENTE DE MEDIO TIEMPO</v>
      </c>
      <c r="E228" s="5" t="str">
        <f>IFERROR(VLOOKUP(A228,'Base Prueba'!A:E,5,),"NO REGISTRA")</f>
        <v>UNIDAD DE IDIOMAS</v>
      </c>
    </row>
    <row r="229" spans="1:5" ht="15.75" x14ac:dyDescent="0.25">
      <c r="A229" s="10">
        <v>51555582</v>
      </c>
      <c r="B229" s="2">
        <v>46069.850767129632</v>
      </c>
      <c r="C229" s="3" t="str">
        <f>IFERROR(VLOOKUP(A229,'Base Prueba'!A:C,3,),"NO REGISTRA")</f>
        <v>MARTHA CECILIA VIDAL ARIZABALETA</v>
      </c>
      <c r="D229" s="4" t="str">
        <f>IFERROR(VLOOKUP(A229,'Base Prueba'!A:D,4,),"NO REGISTRA")</f>
        <v>DOCENTE DE MEDIO TIEMPO</v>
      </c>
      <c r="E229" s="5" t="str">
        <f>IFERROR(VLOOKUP(A229,'Base Prueba'!A:E,5,),"NO REGISTRA")</f>
        <v>INGENIERIA DE SOFTWARE</v>
      </c>
    </row>
    <row r="230" spans="1:5" ht="15.75" x14ac:dyDescent="0.25">
      <c r="A230" s="10">
        <v>1030567635</v>
      </c>
      <c r="B230" s="2">
        <v>46070.334204282408</v>
      </c>
      <c r="C230" s="3" t="str">
        <f>IFERROR(VLOOKUP(A230,'Base Prueba'!A:C,3,),"NO REGISTRA")</f>
        <v>JEFFERSON ANDRES BARRETO DIAZ</v>
      </c>
      <c r="D230" s="4" t="str">
        <f>IFERROR(VLOOKUP(A230,'Base Prueba'!A:D,4,),"NO REGISTRA")</f>
        <v>AUXILIAR DE ARCHIVO</v>
      </c>
      <c r="E230" s="5" t="str">
        <f>IFERROR(VLOOKUP(A230,'Base Prueba'!A:E,5,),"NO REGISTRA")</f>
        <v>CENTRO DE GESTION DOCUMENTAL</v>
      </c>
    </row>
    <row r="231" spans="1:5" ht="15.75" x14ac:dyDescent="0.25">
      <c r="A231" s="10">
        <v>52049956</v>
      </c>
      <c r="B231" s="2">
        <v>46070.371394675924</v>
      </c>
      <c r="C231" s="3" t="str">
        <f>IFERROR(VLOOKUP(A231,'Base Prueba'!A:C,3,),"NO REGISTRA")</f>
        <v>ESPERANZA MORALES</v>
      </c>
      <c r="D231" s="4" t="str">
        <f>IFERROR(VLOOKUP(A231,'Base Prueba'!A:D,4,),"NO REGISTRA")</f>
        <v>DIRECTORA DE INFORMATICA Y TECNOLOGIA</v>
      </c>
      <c r="E231" s="5" t="str">
        <f>IFERROR(VLOOKUP(A231,'Base Prueba'!A:E,5,),"NO REGISTRA")</f>
        <v>DEPARTAMENTO DE INFORMATICA Y TECNOLOGIA</v>
      </c>
    </row>
    <row r="232" spans="1:5" ht="15.75" x14ac:dyDescent="0.25">
      <c r="A232" s="10">
        <v>1018482392</v>
      </c>
      <c r="B232" s="2">
        <v>46070.541132986109</v>
      </c>
      <c r="C232" s="3" t="str">
        <f>IFERROR(VLOOKUP(A232,'Base Prueba'!A:C,3,),"NO REGISTRA")</f>
        <v>RAQUEL YANETH SANDOVAL FORERO</v>
      </c>
      <c r="D232" s="4" t="str">
        <f>IFERROR(VLOOKUP(A232,'Base Prueba'!A:D,4,),"NO REGISTRA")</f>
        <v>AUXILIAR DE RECURSOS ACADEMICOS</v>
      </c>
      <c r="E232" s="5" t="str">
        <f>IFERROR(VLOOKUP(A232,'Base Prueba'!A:E,5,),"NO REGISTRA")</f>
        <v>RECURSOS ACADEMICOS</v>
      </c>
    </row>
    <row r="233" spans="1:5" ht="15.75" x14ac:dyDescent="0.25">
      <c r="A233" s="10">
        <v>1001284791</v>
      </c>
      <c r="B233" s="2">
        <v>46070.54116296296</v>
      </c>
      <c r="C233" s="3" t="str">
        <f>IFERROR(VLOOKUP(A233,'Base Prueba'!A:C,3,),"NO REGISTRA")</f>
        <v>OSCAR STEVEN PEREZ HIDALGO</v>
      </c>
      <c r="D233" s="4" t="str">
        <f>IFERROR(VLOOKUP(A233,'Base Prueba'!A:D,4,),"NO REGISTRA")</f>
        <v>AUXILIAR DE RECURSOS ACADEMICOS</v>
      </c>
      <c r="E233" s="5" t="str">
        <f>IFERROR(VLOOKUP(A233,'Base Prueba'!A:E,5,),"NO REGISTRA")</f>
        <v>RECURSOS ACADEMICOS</v>
      </c>
    </row>
    <row r="234" spans="1:5" ht="15.75" x14ac:dyDescent="0.25">
      <c r="A234" s="10">
        <v>248294</v>
      </c>
      <c r="B234" s="2">
        <v>46070.619664583333</v>
      </c>
      <c r="C234" s="3" t="str">
        <f>IFERROR(VLOOKUP(A234,'Base Prueba'!A:C,3,),"NO REGISTRA")</f>
        <v>WALTER NATALIO VALDEZ MONTAÑEZ</v>
      </c>
      <c r="D234" s="4" t="str">
        <f>IFERROR(VLOOKUP(A234,'Base Prueba'!A:D,4,),"NO REGISTRA")</f>
        <v>DOCENTE DE TIEMPO COMPLETO</v>
      </c>
      <c r="E234" s="5" t="str">
        <f>IFERROR(VLOOKUP(A234,'Base Prueba'!A:E,5,),"NO REGISTRA")</f>
        <v>UNIVERSITARIO EN TURISMO Y GASTRONOMIA</v>
      </c>
    </row>
    <row r="235" spans="1:5" ht="15.75" x14ac:dyDescent="0.25">
      <c r="A235" s="10">
        <v>79452150</v>
      </c>
      <c r="B235" s="2">
        <v>46070.799828587966</v>
      </c>
      <c r="C235" s="3" t="str">
        <f>IFERROR(VLOOKUP(A235,'Base Prueba'!A:C,3,),"NO REGISTRA")</f>
        <v>JUAN CARLOS PAZ CUBILLOS</v>
      </c>
      <c r="D235" s="4" t="str">
        <f>IFERROR(VLOOKUP(A235,'Base Prueba'!A:D,4,),"NO REGISTRA")</f>
        <v>ANALISTA DE SISTEMAS</v>
      </c>
      <c r="E235" s="5" t="str">
        <f>IFERROR(VLOOKUP(A235,'Base Prueba'!A:E,5,),"NO REGISTRA")</f>
        <v>DEPARTAMENTO DE INFORMATICA Y TECNOLOGIA</v>
      </c>
    </row>
    <row r="236" spans="1:5" ht="15.75" x14ac:dyDescent="0.25">
      <c r="A236" s="10">
        <v>52049956</v>
      </c>
      <c r="B236" s="2">
        <v>46070.822099074074</v>
      </c>
      <c r="C236" s="3" t="str">
        <f>IFERROR(VLOOKUP(A236,'Base Prueba'!A:C,3,),"NO REGISTRA")</f>
        <v>ESPERANZA MORALES</v>
      </c>
      <c r="D236" s="4" t="str">
        <f>IFERROR(VLOOKUP(A236,'Base Prueba'!A:D,4,),"NO REGISTRA")</f>
        <v>DIRECTORA DE INFORMATICA Y TECNOLOGIA</v>
      </c>
      <c r="E236" s="5" t="str">
        <f>IFERROR(VLOOKUP(A236,'Base Prueba'!A:E,5,),"NO REGISTRA")</f>
        <v>DEPARTAMENTO DE INFORMATICA Y TECNOLOGIA</v>
      </c>
    </row>
    <row r="237" spans="1:5" ht="15.75" x14ac:dyDescent="0.25">
      <c r="A237" s="10">
        <v>79484197</v>
      </c>
      <c r="B237" s="2">
        <v>46071.277207754632</v>
      </c>
      <c r="C237" s="3" t="str">
        <f>IFERROR(VLOOKUP(A237,'Base Prueba'!A:C,3,),"NO REGISTRA")</f>
        <v>JOHN DANIEL GUTIERREZ BOADA</v>
      </c>
      <c r="D237" s="4" t="str">
        <f>IFERROR(VLOOKUP(A237,'Base Prueba'!A:D,4,),"NO REGISTRA")</f>
        <v>DOCENTE DE MEDIO TIEMPO</v>
      </c>
      <c r="E237" s="5" t="str">
        <f>IFERROR(VLOOKUP(A237,'Base Prueba'!A:E,5,),"NO REGISTRA")</f>
        <v>UNIVERSITARIO COMUNICACION SOCIAL</v>
      </c>
    </row>
    <row r="238" spans="1:5" ht="15.75" x14ac:dyDescent="0.25">
      <c r="A238" s="10">
        <v>52049956</v>
      </c>
      <c r="B238" s="2">
        <v>46071.372412037039</v>
      </c>
      <c r="C238" s="3" t="str">
        <f>IFERROR(VLOOKUP(A238,'Base Prueba'!A:C,3,),"NO REGISTRA")</f>
        <v>ESPERANZA MORALES</v>
      </c>
      <c r="D238" s="4" t="str">
        <f>IFERROR(VLOOKUP(A238,'Base Prueba'!A:D,4,),"NO REGISTRA")</f>
        <v>DIRECTORA DE INFORMATICA Y TECNOLOGIA</v>
      </c>
      <c r="E238" s="5" t="str">
        <f>IFERROR(VLOOKUP(A238,'Base Prueba'!A:E,5,),"NO REGISTRA")</f>
        <v>DEPARTAMENTO DE INFORMATICA Y TECNOLOGIA</v>
      </c>
    </row>
    <row r="239" spans="1:5" ht="15.75" x14ac:dyDescent="0.25">
      <c r="A239" s="10">
        <v>1023932452</v>
      </c>
      <c r="B239" s="2">
        <v>46071.384092708337</v>
      </c>
      <c r="C239" s="3" t="str">
        <f>IFERROR(VLOOKUP(A239,'Base Prueba'!A:C,3,),"NO REGISTRA")</f>
        <v>ANGIE MILENA CAMARGO ESPEJO</v>
      </c>
      <c r="D239" s="4" t="str">
        <f>IFERROR(VLOOKUP(A239,'Base Prueba'!A:D,4,),"NO REGISTRA")</f>
        <v>COORDINADORA DE PERMANENCIA Y APOYO ESTUDIANTIL</v>
      </c>
      <c r="E239" s="5" t="str">
        <f>IFERROR(VLOOKUP(A239,'Base Prueba'!A:E,5,),"NO REGISTRA")</f>
        <v>DIRECCION DE BIENESTAR INSTITUCIONAL</v>
      </c>
    </row>
    <row r="240" spans="1:5" ht="15.75" x14ac:dyDescent="0.25">
      <c r="A240" s="10" t="s">
        <v>3677</v>
      </c>
      <c r="B240" s="2">
        <v>46071.39135972222</v>
      </c>
      <c r="C240" s="3" t="str">
        <f>IFERROR(VLOOKUP(A240,'Base Prueba'!A:C,3,),"NO REGISTRA")</f>
        <v>NO REGISTRA</v>
      </c>
      <c r="D240" s="4" t="str">
        <f>IFERROR(VLOOKUP(A240,'Base Prueba'!A:D,4,),"NO REGISTRA")</f>
        <v>NO REGISTRA</v>
      </c>
      <c r="E240" s="5" t="str">
        <f>IFERROR(VLOOKUP(A240,'Base Prueba'!A:E,5,),"NO REGISTRA")</f>
        <v>NO REGISTRA</v>
      </c>
    </row>
    <row r="241" spans="1:5" ht="15.75" x14ac:dyDescent="0.25">
      <c r="A241" s="10">
        <v>79484197</v>
      </c>
      <c r="B241" s="2">
        <v>46071.393798263889</v>
      </c>
      <c r="C241" s="3" t="str">
        <f>IFERROR(VLOOKUP(A241,'Base Prueba'!A:C,3,),"NO REGISTRA")</f>
        <v>JOHN DANIEL GUTIERREZ BOADA</v>
      </c>
      <c r="D241" s="4" t="str">
        <f>IFERROR(VLOOKUP(A241,'Base Prueba'!A:D,4,),"NO REGISTRA")</f>
        <v>DOCENTE DE MEDIO TIEMPO</v>
      </c>
      <c r="E241" s="5" t="str">
        <f>IFERROR(VLOOKUP(A241,'Base Prueba'!A:E,5,),"NO REGISTRA")</f>
        <v>UNIVERSITARIO COMUNICACION SOCIAL</v>
      </c>
    </row>
    <row r="242" spans="1:5" ht="15.75" x14ac:dyDescent="0.25">
      <c r="A242" s="10">
        <v>23810964</v>
      </c>
      <c r="B242" s="2">
        <v>46071.412521527775</v>
      </c>
      <c r="C242" s="3" t="str">
        <f>IFERROR(VLOOKUP(A242,'Base Prueba'!A:C,3,),"NO REGISTRA")</f>
        <v>JULY FERNANDA GOMEZ NIÑO</v>
      </c>
      <c r="D242" s="4" t="str">
        <f>IFERROR(VLOOKUP(A242,'Base Prueba'!A:D,4,),"NO REGISTRA")</f>
        <v>DOCENTE DE MEDIO TIEMPO</v>
      </c>
      <c r="E242" s="5" t="str">
        <f>IFERROR(VLOOKUP(A242,'Base Prueba'!A:E,5,),"NO REGISTRA")</f>
        <v>TECNOLOGIA EN ADMINISTRACION DEL TALENTO HUMANO</v>
      </c>
    </row>
    <row r="243" spans="1:5" ht="15.75" x14ac:dyDescent="0.25">
      <c r="A243" s="10">
        <v>1014257968</v>
      </c>
      <c r="B243" s="2">
        <v>46071.438258564813</v>
      </c>
      <c r="C243" s="3" t="str">
        <f>IFERROR(VLOOKUP(A243,'Base Prueba'!A:C,3,),"NO REGISTRA")</f>
        <v>JORGE ANDRES LIEVANO LOPEZ</v>
      </c>
      <c r="D243" s="4" t="str">
        <f>IFERROR(VLOOKUP(A243,'Base Prueba'!A:D,4,),"NO REGISTRA")</f>
        <v>DOCENTE DE TIEMPO COMPLETO</v>
      </c>
      <c r="E243" s="5" t="str">
        <f>IFERROR(VLOOKUP(A243,'Base Prueba'!A:E,5,),"NO REGISTRA")</f>
        <v>UNIDAD DE IDIOMAS</v>
      </c>
    </row>
    <row r="244" spans="1:5" ht="15.75" x14ac:dyDescent="0.25">
      <c r="A244" s="10">
        <v>1032361262</v>
      </c>
      <c r="B244" s="2">
        <v>46071.488130092592</v>
      </c>
      <c r="C244" s="3" t="str">
        <f>IFERROR(VLOOKUP(A244,'Base Prueba'!A:C,3,),"NO REGISTRA")</f>
        <v>CAMILO  ANDRES BALLESTEROS SANABRIA</v>
      </c>
      <c r="D244" s="4" t="str">
        <f>IFERROR(VLOOKUP(A244,'Base Prueba'!A:D,4,),"NO REGISTRA")</f>
        <v>DOCENTE DE MEDIO TIEMPO</v>
      </c>
      <c r="E244" s="5" t="str">
        <f>IFERROR(VLOOKUP(A244,'Base Prueba'!A:E,5,),"NO REGISTRA")</f>
        <v>TECNICA EN FOTOGRAFIA</v>
      </c>
    </row>
    <row r="245" spans="1:5" ht="15.75" x14ac:dyDescent="0.25">
      <c r="A245" s="10">
        <v>1032487526</v>
      </c>
      <c r="B245" s="2">
        <v>46071.5114525463</v>
      </c>
      <c r="C245" s="3" t="str">
        <f>IFERROR(VLOOKUP(A245,'Base Prueba'!A:C,3,),"NO REGISTRA")</f>
        <v>LAURA ANDREA MEZA MARTINEZ</v>
      </c>
      <c r="D245" s="4" t="str">
        <f>IFERROR(VLOOKUP(A245,'Base Prueba'!A:D,4,),"NO REGISTRA")</f>
        <v>DOCENTE DE MEDIO TIEMPO</v>
      </c>
      <c r="E245" s="5" t="str">
        <f>IFERROR(VLOOKUP(A245,'Base Prueba'!A:E,5,),"NO REGISTRA")</f>
        <v>TECNICO LABORAL AUXILIAR PRODUCCION GRAFICA</v>
      </c>
    </row>
    <row r="246" spans="1:5" ht="15.75" x14ac:dyDescent="0.25">
      <c r="A246" s="10">
        <v>1018482392</v>
      </c>
      <c r="B246" s="2">
        <v>46071.541370370367</v>
      </c>
      <c r="C246" s="3" t="str">
        <f>IFERROR(VLOOKUP(A246,'Base Prueba'!A:C,3,),"NO REGISTRA")</f>
        <v>RAQUEL YANETH SANDOVAL FORERO</v>
      </c>
      <c r="D246" s="4" t="str">
        <f>IFERROR(VLOOKUP(A246,'Base Prueba'!A:D,4,),"NO REGISTRA")</f>
        <v>AUXILIAR DE RECURSOS ACADEMICOS</v>
      </c>
      <c r="E246" s="5" t="str">
        <f>IFERROR(VLOOKUP(A246,'Base Prueba'!A:E,5,),"NO REGISTRA")</f>
        <v>RECURSOS ACADEMICOS</v>
      </c>
    </row>
    <row r="247" spans="1:5" ht="15.75" x14ac:dyDescent="0.25">
      <c r="A247" s="10">
        <v>248294</v>
      </c>
      <c r="B247" s="2">
        <v>46071.661892708333</v>
      </c>
      <c r="C247" s="3" t="str">
        <f>IFERROR(VLOOKUP(A247,'Base Prueba'!A:C,3,),"NO REGISTRA")</f>
        <v>WALTER NATALIO VALDEZ MONTAÑEZ</v>
      </c>
      <c r="D247" s="4" t="str">
        <f>IFERROR(VLOOKUP(A247,'Base Prueba'!A:D,4,),"NO REGISTRA")</f>
        <v>DOCENTE DE TIEMPO COMPLETO</v>
      </c>
      <c r="E247" s="5" t="str">
        <f>IFERROR(VLOOKUP(A247,'Base Prueba'!A:E,5,),"NO REGISTRA")</f>
        <v>UNIVERSITARIO EN TURISMO Y GASTRONOMIA</v>
      </c>
    </row>
    <row r="248" spans="1:5" ht="15.75" x14ac:dyDescent="0.25">
      <c r="A248" s="10">
        <v>79452150</v>
      </c>
      <c r="B248" s="2">
        <v>46071.802665162038</v>
      </c>
      <c r="C248" s="3" t="str">
        <f>IFERROR(VLOOKUP(A248,'Base Prueba'!A:C,3,),"NO REGISTRA")</f>
        <v>JUAN CARLOS PAZ CUBILLOS</v>
      </c>
      <c r="D248" s="4" t="str">
        <f>IFERROR(VLOOKUP(A248,'Base Prueba'!A:D,4,),"NO REGISTRA")</f>
        <v>ANALISTA DE SISTEMAS</v>
      </c>
      <c r="E248" s="5" t="str">
        <f>IFERROR(VLOOKUP(A248,'Base Prueba'!A:E,5,),"NO REGISTRA")</f>
        <v>DEPARTAMENTO DE INFORMATICA Y TECNOLOGIA</v>
      </c>
    </row>
    <row r="249" spans="1:5" ht="15.75" x14ac:dyDescent="0.25">
      <c r="A249" s="10">
        <v>51555582</v>
      </c>
      <c r="B249" s="2">
        <v>46071.805854398146</v>
      </c>
      <c r="C249" s="3" t="str">
        <f>IFERROR(VLOOKUP(A249,'Base Prueba'!A:C,3,),"NO REGISTRA")</f>
        <v>MARTHA CECILIA VIDAL ARIZABALETA</v>
      </c>
      <c r="D249" s="4" t="str">
        <f>IFERROR(VLOOKUP(A249,'Base Prueba'!A:D,4,),"NO REGISTRA")</f>
        <v>DOCENTE DE MEDIO TIEMPO</v>
      </c>
      <c r="E249" s="5" t="str">
        <f>IFERROR(VLOOKUP(A249,'Base Prueba'!A:E,5,),"NO REGISTRA")</f>
        <v>INGENIERIA DE SOFTWARE</v>
      </c>
    </row>
    <row r="250" spans="1:5" ht="15.75" x14ac:dyDescent="0.25">
      <c r="A250" s="10">
        <v>52049956</v>
      </c>
      <c r="B250" s="2">
        <v>46071.819445370369</v>
      </c>
      <c r="C250" s="3" t="str">
        <f>IFERROR(VLOOKUP(A250,'Base Prueba'!A:C,3,),"NO REGISTRA")</f>
        <v>ESPERANZA MORALES</v>
      </c>
      <c r="D250" s="4" t="str">
        <f>IFERROR(VLOOKUP(A250,'Base Prueba'!A:D,4,),"NO REGISTRA")</f>
        <v>DIRECTORA DE INFORMATICA Y TECNOLOGIA</v>
      </c>
      <c r="E250" s="5" t="str">
        <f>IFERROR(VLOOKUP(A250,'Base Prueba'!A:E,5,),"NO REGISTRA")</f>
        <v>DEPARTAMENTO DE INFORMATICA Y TECNOLOGIA</v>
      </c>
    </row>
    <row r="251" spans="1:5" ht="15.75" x14ac:dyDescent="0.25">
      <c r="A251" s="10">
        <v>52049956</v>
      </c>
      <c r="B251" s="2">
        <v>46072.343228124999</v>
      </c>
      <c r="C251" s="3" t="str">
        <f>IFERROR(VLOOKUP(A251,'Base Prueba'!A:C,3,),"NO REGISTRA")</f>
        <v>ESPERANZA MORALES</v>
      </c>
      <c r="D251" s="4" t="str">
        <f>IFERROR(VLOOKUP(A251,'Base Prueba'!A:D,4,),"NO REGISTRA")</f>
        <v>DIRECTORA DE INFORMATICA Y TECNOLOGIA</v>
      </c>
      <c r="E251" s="5" t="str">
        <f>IFERROR(VLOOKUP(A251,'Base Prueba'!A:E,5,),"NO REGISTRA")</f>
        <v>DEPARTAMENTO DE INFORMATICA Y TECNOLOGIA</v>
      </c>
    </row>
    <row r="252" spans="1:5" ht="15.75" x14ac:dyDescent="0.25">
      <c r="A252" s="10">
        <v>1019125716</v>
      </c>
      <c r="B252" s="2">
        <v>46072.522092939813</v>
      </c>
      <c r="C252" s="3" t="str">
        <f>IFERROR(VLOOKUP(A252,'Base Prueba'!A:C,3,),"NO REGISTRA")</f>
        <v>GINA PAOLA ALZATE ARISTIZABAL</v>
      </c>
      <c r="D252" s="4" t="str">
        <f>IFERROR(VLOOKUP(A252,'Base Prueba'!A:D,4,),"NO REGISTRA")</f>
        <v>DOCENTE DE MEDIO TIEMPO</v>
      </c>
      <c r="E252" s="5" t="str">
        <f>IFERROR(VLOOKUP(A252,'Base Prueba'!A:E,5,),"NO REGISTRA")</f>
        <v>UNIDAD DE IDIOMAS</v>
      </c>
    </row>
    <row r="253" spans="1:5" ht="15.75" x14ac:dyDescent="0.25">
      <c r="A253" s="10">
        <v>1001284791</v>
      </c>
      <c r="B253" s="2">
        <v>46072.58551099537</v>
      </c>
      <c r="C253" s="3" t="str">
        <f>IFERROR(VLOOKUP(A253,'Base Prueba'!A:C,3,),"NO REGISTRA")</f>
        <v>OSCAR STEVEN PEREZ HIDALGO</v>
      </c>
      <c r="D253" s="4" t="str">
        <f>IFERROR(VLOOKUP(A253,'Base Prueba'!A:D,4,),"NO REGISTRA")</f>
        <v>AUXILIAR DE RECURSOS ACADEMICOS</v>
      </c>
      <c r="E253" s="5" t="str">
        <f>IFERROR(VLOOKUP(A253,'Base Prueba'!A:E,5,),"NO REGISTRA")</f>
        <v>RECURSOS ACADEMICOS</v>
      </c>
    </row>
    <row r="254" spans="1:5" ht="15.75" x14ac:dyDescent="0.25">
      <c r="A254" s="10">
        <v>1018482392</v>
      </c>
      <c r="B254" s="2">
        <v>46072.585783912036</v>
      </c>
      <c r="C254" s="3" t="str">
        <f>IFERROR(VLOOKUP(A254,'Base Prueba'!A:C,3,),"NO REGISTRA")</f>
        <v>RAQUEL YANETH SANDOVAL FORERO</v>
      </c>
      <c r="D254" s="4" t="str">
        <f>IFERROR(VLOOKUP(A254,'Base Prueba'!A:D,4,),"NO REGISTRA")</f>
        <v>AUXILIAR DE RECURSOS ACADEMICOS</v>
      </c>
      <c r="E254" s="5" t="str">
        <f>IFERROR(VLOOKUP(A254,'Base Prueba'!A:E,5,),"NO REGISTRA")</f>
        <v>RECURSOS ACADEMICOS</v>
      </c>
    </row>
    <row r="255" spans="1:5" ht="15.75" x14ac:dyDescent="0.25">
      <c r="A255" s="10">
        <v>248294</v>
      </c>
      <c r="B255" s="2">
        <v>46072.681430787037</v>
      </c>
      <c r="C255" s="3" t="str">
        <f>IFERROR(VLOOKUP(A255,'Base Prueba'!A:C,3,),"NO REGISTRA")</f>
        <v>WALTER NATALIO VALDEZ MONTAÑEZ</v>
      </c>
      <c r="D255" s="4" t="str">
        <f>IFERROR(VLOOKUP(A255,'Base Prueba'!A:D,4,),"NO REGISTRA")</f>
        <v>DOCENTE DE TIEMPO COMPLETO</v>
      </c>
      <c r="E255" s="5" t="str">
        <f>IFERROR(VLOOKUP(A255,'Base Prueba'!A:E,5,),"NO REGISTRA")</f>
        <v>UNIVERSITARIO EN TURISMO Y GASTRONOMIA</v>
      </c>
    </row>
    <row r="256" spans="1:5" ht="15.75" x14ac:dyDescent="0.25">
      <c r="A256" s="10">
        <v>1023954848</v>
      </c>
      <c r="B256" s="2">
        <v>46072.752133796297</v>
      </c>
      <c r="C256" s="3" t="str">
        <f>IFERROR(VLOOKUP(A256,'Base Prueba'!A:C,3,),"NO REGISTRA")</f>
        <v>JUAN CARLOS ESPITIA ORTIZ</v>
      </c>
      <c r="D256" s="4" t="str">
        <f>IFERROR(VLOOKUP(A256,'Base Prueba'!A:D,4,),"NO REGISTRA")</f>
        <v>ANALISTA DE INFRAESTRUCTURA</v>
      </c>
      <c r="E256" s="5" t="str">
        <f>IFERROR(VLOOKUP(A256,'Base Prueba'!A:E,5,),"NO REGISTRA")</f>
        <v>DEPARTAMENTO DE INFORMATICA Y TECNOLOGIA</v>
      </c>
    </row>
    <row r="257" spans="1:5" ht="15.75" x14ac:dyDescent="0.25">
      <c r="A257" s="10">
        <v>52708259</v>
      </c>
      <c r="B257" s="2">
        <v>46072.765489930556</v>
      </c>
      <c r="C257" s="3" t="str">
        <f>IFERROR(VLOOKUP(A257,'Base Prueba'!A:C,3,),"NO REGISTRA")</f>
        <v>MARTHA CECILIA CALDERON RAMOS</v>
      </c>
      <c r="D257" s="4" t="str">
        <f>IFERROR(VLOOKUP(A257,'Base Prueba'!A:D,4,),"NO REGISTRA")</f>
        <v>CATEDRATICO</v>
      </c>
      <c r="E257" s="5" t="str">
        <f>IFERROR(VLOOKUP(A257,'Base Prueba'!A:E,5,),"NO REGISTRA")</f>
        <v>ESPECIALIZACION EN GERNCIA DE SEGURIDAD Y SALUD EN EL TRABAJO</v>
      </c>
    </row>
    <row r="258" spans="1:5" ht="15.75" x14ac:dyDescent="0.25">
      <c r="A258" s="10">
        <v>79452150</v>
      </c>
      <c r="B258" s="2">
        <v>46072.807288194446</v>
      </c>
      <c r="C258" s="3" t="str">
        <f>IFERROR(VLOOKUP(A258,'Base Prueba'!A:C,3,),"NO REGISTRA")</f>
        <v>JUAN CARLOS PAZ CUBILLOS</v>
      </c>
      <c r="D258" s="4" t="str">
        <f>IFERROR(VLOOKUP(A258,'Base Prueba'!A:D,4,),"NO REGISTRA")</f>
        <v>ANALISTA DE SISTEMAS</v>
      </c>
      <c r="E258" s="5" t="str">
        <f>IFERROR(VLOOKUP(A258,'Base Prueba'!A:E,5,),"NO REGISTRA")</f>
        <v>DEPARTAMENTO DE INFORMATICA Y TECNOLOGIA</v>
      </c>
    </row>
    <row r="259" spans="1:5" ht="15.75" x14ac:dyDescent="0.25">
      <c r="A259" s="10">
        <v>52049956</v>
      </c>
      <c r="B259" s="2">
        <v>46072.815567939811</v>
      </c>
      <c r="C259" s="3" t="str">
        <f>IFERROR(VLOOKUP(A259,'Base Prueba'!A:C,3,),"NO REGISTRA")</f>
        <v>ESPERANZA MORALES</v>
      </c>
      <c r="D259" s="4" t="str">
        <f>IFERROR(VLOOKUP(A259,'Base Prueba'!A:D,4,),"NO REGISTRA")</f>
        <v>DIRECTORA DE INFORMATICA Y TECNOLOGIA</v>
      </c>
      <c r="E259" s="5" t="str">
        <f>IFERROR(VLOOKUP(A259,'Base Prueba'!A:E,5,),"NO REGISTRA")</f>
        <v>DEPARTAMENTO DE INFORMATICA Y TECNOLOGIA</v>
      </c>
    </row>
    <row r="260" spans="1:5" ht="15.75" x14ac:dyDescent="0.25">
      <c r="A260" s="10">
        <v>1019125716</v>
      </c>
      <c r="B260" s="2">
        <v>46072.845943981483</v>
      </c>
      <c r="C260" s="3" t="str">
        <f>IFERROR(VLOOKUP(A260,'Base Prueba'!A:C,3,),"NO REGISTRA")</f>
        <v>GINA PAOLA ALZATE ARISTIZABAL</v>
      </c>
      <c r="D260" s="4" t="str">
        <f>IFERROR(VLOOKUP(A260,'Base Prueba'!A:D,4,),"NO REGISTRA")</f>
        <v>DOCENTE DE MEDIO TIEMPO</v>
      </c>
      <c r="E260" s="5" t="str">
        <f>IFERROR(VLOOKUP(A260,'Base Prueba'!A:E,5,),"NO REGISTRA")</f>
        <v>UNIDAD DE IDIOMAS</v>
      </c>
    </row>
    <row r="261" spans="1:5" ht="15.75" x14ac:dyDescent="0.25">
      <c r="A261" s="10">
        <v>52708259</v>
      </c>
      <c r="B261" s="2">
        <v>46072.89926539352</v>
      </c>
      <c r="C261" s="3" t="str">
        <f>IFERROR(VLOOKUP(A261,'Base Prueba'!A:C,3,),"NO REGISTRA")</f>
        <v>MARTHA CECILIA CALDERON RAMOS</v>
      </c>
      <c r="D261" s="4" t="str">
        <f>IFERROR(VLOOKUP(A261,'Base Prueba'!A:D,4,),"NO REGISTRA")</f>
        <v>CATEDRATICO</v>
      </c>
      <c r="E261" s="5" t="str">
        <f>IFERROR(VLOOKUP(A261,'Base Prueba'!A:E,5,),"NO REGISTRA")</f>
        <v>ESPECIALIZACION EN GERNCIA DE SEGURIDAD Y SALUD EN EL TRABAJO</v>
      </c>
    </row>
    <row r="262" spans="1:5" ht="15.75" x14ac:dyDescent="0.25">
      <c r="A262" s="10">
        <v>1022378300</v>
      </c>
      <c r="B262" s="2">
        <v>46073.336840277778</v>
      </c>
      <c r="C262" s="3" t="str">
        <f>IFERROR(VLOOKUP(A262,'Base Prueba'!A:C,3,),"NO REGISTRA")</f>
        <v>FERNEY ANDRES CHASPUENGAL RAMIREZ</v>
      </c>
      <c r="D262" s="4" t="str">
        <f>IFERROR(VLOOKUP(A262,'Base Prueba'!A:D,4,),"NO REGISTRA")</f>
        <v>LÍDER DE DEPORTE Y CULTURA</v>
      </c>
      <c r="E262" s="5" t="str">
        <f>IFERROR(VLOOKUP(A262,'Base Prueba'!A:E,5,),"NO REGISTRA")</f>
        <v>DIRECCION DE BIENESTAR INSTITUCIONAL</v>
      </c>
    </row>
    <row r="263" spans="1:5" ht="15.75" x14ac:dyDescent="0.25">
      <c r="A263" s="10">
        <v>52049956</v>
      </c>
      <c r="B263" s="2">
        <v>46073.354172569445</v>
      </c>
      <c r="C263" s="3" t="str">
        <f>IFERROR(VLOOKUP(A263,'Base Prueba'!A:C,3,),"NO REGISTRA")</f>
        <v>ESPERANZA MORALES</v>
      </c>
      <c r="D263" s="4" t="str">
        <f>IFERROR(VLOOKUP(A263,'Base Prueba'!A:D,4,),"NO REGISTRA")</f>
        <v>DIRECTORA DE INFORMATICA Y TECNOLOGIA</v>
      </c>
      <c r="E263" s="5" t="str">
        <f>IFERROR(VLOOKUP(A263,'Base Prueba'!A:E,5,),"NO REGISTRA")</f>
        <v>DEPARTAMENTO DE INFORMATICA Y TECNOLOGIA</v>
      </c>
    </row>
    <row r="264" spans="1:5" ht="15.75" x14ac:dyDescent="0.25">
      <c r="A264" s="10">
        <v>1000218614</v>
      </c>
      <c r="B264" s="2">
        <v>46073.361661342591</v>
      </c>
      <c r="C264" s="3" t="str">
        <f>IFERROR(VLOOKUP(A264,'Base Prueba'!A:C,3,),"NO REGISTRA")</f>
        <v>SEBASTIAN DAVID MELO DIAZ</v>
      </c>
      <c r="D264" s="4" t="str">
        <f>IFERROR(VLOOKUP(A264,'Base Prueba'!A:D,4,),"NO REGISTRA")</f>
        <v>ANALISTA DE SISTEMAS</v>
      </c>
      <c r="E264" s="5" t="str">
        <f>IFERROR(VLOOKUP(A264,'Base Prueba'!A:E,5,),"NO REGISTRA")</f>
        <v>DEPARTAMENTO DE INFORMATICA Y TECNOLOGIA</v>
      </c>
    </row>
    <row r="265" spans="1:5" ht="15.75" x14ac:dyDescent="0.25">
      <c r="A265" s="10">
        <v>52220354</v>
      </c>
      <c r="B265" s="2">
        <v>46073.37791354167</v>
      </c>
      <c r="C265" s="3" t="str">
        <f>IFERROR(VLOOKUP(A265,'Base Prueba'!A:C,3,),"NO REGISTRA")</f>
        <v>ILSA BARAHONA POLO</v>
      </c>
      <c r="D265" s="4" t="str">
        <f>IFERROR(VLOOKUP(A265,'Base Prueba'!A:D,4,),"NO REGISTRA")</f>
        <v>AUXILIAR DE SERVICIOS</v>
      </c>
      <c r="E265" s="5" t="str">
        <f>IFERROR(VLOOKUP(A265,'Base Prueba'!A:E,5,),"NO REGISTRA")</f>
        <v>LOGISTICA Y SERVICIOS GENERALES</v>
      </c>
    </row>
    <row r="266" spans="1:5" ht="15.75" x14ac:dyDescent="0.25">
      <c r="A266" s="10">
        <v>79484197</v>
      </c>
      <c r="B266" s="2">
        <v>46073.415364004628</v>
      </c>
      <c r="C266" s="3" t="str">
        <f>IFERROR(VLOOKUP(A266,'Base Prueba'!A:C,3,),"NO REGISTRA")</f>
        <v>JOHN DANIEL GUTIERREZ BOADA</v>
      </c>
      <c r="D266" s="4" t="str">
        <f>IFERROR(VLOOKUP(A266,'Base Prueba'!A:D,4,),"NO REGISTRA")</f>
        <v>DOCENTE DE MEDIO TIEMPO</v>
      </c>
      <c r="E266" s="5" t="str">
        <f>IFERROR(VLOOKUP(A266,'Base Prueba'!A:E,5,),"NO REGISTRA")</f>
        <v>UNIVERSITARIO COMUNICACION SOCIAL</v>
      </c>
    </row>
    <row r="267" spans="1:5" ht="15.75" x14ac:dyDescent="0.25">
      <c r="A267" s="10">
        <v>1001284791</v>
      </c>
      <c r="B267" s="2">
        <v>46073.582922106485</v>
      </c>
      <c r="C267" s="3" t="str">
        <f>IFERROR(VLOOKUP(A267,'Base Prueba'!A:C,3,),"NO REGISTRA")</f>
        <v>OSCAR STEVEN PEREZ HIDALGO</v>
      </c>
      <c r="D267" s="4" t="str">
        <f>IFERROR(VLOOKUP(A267,'Base Prueba'!A:D,4,),"NO REGISTRA")</f>
        <v>AUXILIAR DE RECURSOS ACADEMICOS</v>
      </c>
      <c r="E267" s="5" t="str">
        <f>IFERROR(VLOOKUP(A267,'Base Prueba'!A:E,5,),"NO REGISTRA")</f>
        <v>RECURSOS ACADEMICOS</v>
      </c>
    </row>
    <row r="268" spans="1:5" ht="15.75" x14ac:dyDescent="0.25">
      <c r="A268" s="10">
        <v>1018482392</v>
      </c>
      <c r="B268" s="2">
        <v>46073.583386689817</v>
      </c>
      <c r="C268" s="3" t="str">
        <f>IFERROR(VLOOKUP(A268,'Base Prueba'!A:C,3,),"NO REGISTRA")</f>
        <v>RAQUEL YANETH SANDOVAL FORERO</v>
      </c>
      <c r="D268" s="4" t="str">
        <f>IFERROR(VLOOKUP(A268,'Base Prueba'!A:D,4,),"NO REGISTRA")</f>
        <v>AUXILIAR DE RECURSOS ACADEMICOS</v>
      </c>
      <c r="E268" s="5" t="str">
        <f>IFERROR(VLOOKUP(A268,'Base Prueba'!A:E,5,),"NO REGISTRA")</f>
        <v>RECURSOS ACADEMICOS</v>
      </c>
    </row>
    <row r="269" spans="1:5" ht="15.75" x14ac:dyDescent="0.25">
      <c r="A269" s="10">
        <v>248294</v>
      </c>
      <c r="B269" s="2">
        <v>46073.666073379631</v>
      </c>
      <c r="C269" s="3" t="str">
        <f>IFERROR(VLOOKUP(A269,'Base Prueba'!A:C,3,),"NO REGISTRA")</f>
        <v>WALTER NATALIO VALDEZ MONTAÑEZ</v>
      </c>
      <c r="D269" s="4" t="str">
        <f>IFERROR(VLOOKUP(A269,'Base Prueba'!A:D,4,),"NO REGISTRA")</f>
        <v>DOCENTE DE TIEMPO COMPLETO</v>
      </c>
      <c r="E269" s="5" t="str">
        <f>IFERROR(VLOOKUP(A269,'Base Prueba'!A:E,5,),"NO REGISTRA")</f>
        <v>UNIVERSITARIO EN TURISMO Y GASTRONOMIA</v>
      </c>
    </row>
    <row r="270" spans="1:5" ht="15.75" x14ac:dyDescent="0.25">
      <c r="A270" s="10">
        <v>52708259</v>
      </c>
      <c r="B270" s="2">
        <v>46073.744083449077</v>
      </c>
      <c r="C270" s="3" t="str">
        <f>IFERROR(VLOOKUP(A270,'Base Prueba'!A:C,3,),"NO REGISTRA")</f>
        <v>MARTHA CECILIA CALDERON RAMOS</v>
      </c>
      <c r="D270" s="4" t="str">
        <f>IFERROR(VLOOKUP(A270,'Base Prueba'!A:D,4,),"NO REGISTRA")</f>
        <v>CATEDRATICO</v>
      </c>
      <c r="E270" s="5" t="str">
        <f>IFERROR(VLOOKUP(A270,'Base Prueba'!A:E,5,),"NO REGISTRA")</f>
        <v>ESPECIALIZACION EN GERNCIA DE SEGURIDAD Y SALUD EN EL TRABAJO</v>
      </c>
    </row>
    <row r="271" spans="1:5" ht="15.75" x14ac:dyDescent="0.25">
      <c r="A271" s="10">
        <v>79452150</v>
      </c>
      <c r="B271" s="2">
        <v>46073.81713333333</v>
      </c>
      <c r="C271" s="3" t="str">
        <f>IFERROR(VLOOKUP(A271,'Base Prueba'!A:C,3,),"NO REGISTRA")</f>
        <v>JUAN CARLOS PAZ CUBILLOS</v>
      </c>
      <c r="D271" s="4" t="str">
        <f>IFERROR(VLOOKUP(A271,'Base Prueba'!A:D,4,),"NO REGISTRA")</f>
        <v>ANALISTA DE SISTEMAS</v>
      </c>
      <c r="E271" s="5" t="str">
        <f>IFERROR(VLOOKUP(A271,'Base Prueba'!A:E,5,),"NO REGISTRA")</f>
        <v>DEPARTAMENTO DE INFORMATICA Y TECNOLOGIA</v>
      </c>
    </row>
    <row r="272" spans="1:5" ht="15.75" x14ac:dyDescent="0.25">
      <c r="A272" s="10">
        <v>52049956</v>
      </c>
      <c r="B272" s="2">
        <v>46073.840128240743</v>
      </c>
      <c r="C272" s="3" t="str">
        <f>IFERROR(VLOOKUP(A272,'Base Prueba'!A:C,3,),"NO REGISTRA")</f>
        <v>ESPERANZA MORALES</v>
      </c>
      <c r="D272" s="4" t="str">
        <f>IFERROR(VLOOKUP(A272,'Base Prueba'!A:D,4,),"NO REGISTRA")</f>
        <v>DIRECTORA DE INFORMATICA Y TECNOLOGIA</v>
      </c>
      <c r="E272" s="5" t="str">
        <f>IFERROR(VLOOKUP(A272,'Base Prueba'!A:E,5,),"NO REGISTRA")</f>
        <v>DEPARTAMENTO DE INFORMATICA Y TECNOLOGIA</v>
      </c>
    </row>
    <row r="273" spans="1:5" ht="15.75" x14ac:dyDescent="0.25">
      <c r="A273" s="10">
        <v>52708259</v>
      </c>
      <c r="B273" s="2">
        <v>46073.89810914352</v>
      </c>
      <c r="C273" s="3" t="str">
        <f>IFERROR(VLOOKUP(A273,'Base Prueba'!A:C,3,),"NO REGISTRA")</f>
        <v>MARTHA CECILIA CALDERON RAMOS</v>
      </c>
      <c r="D273" s="4" t="str">
        <f>IFERROR(VLOOKUP(A273,'Base Prueba'!A:D,4,),"NO REGISTRA")</f>
        <v>CATEDRATICO</v>
      </c>
      <c r="E273" s="5" t="str">
        <f>IFERROR(VLOOKUP(A273,'Base Prueba'!A:E,5,),"NO REGISTRA")</f>
        <v>ESPECIALIZACION EN GERNCIA DE SEGURIDAD Y SALUD EN EL TRABAJO</v>
      </c>
    </row>
    <row r="274" spans="1:5" ht="15.75" x14ac:dyDescent="0.25">
      <c r="A274" s="10">
        <v>80843387</v>
      </c>
      <c r="B274" s="2">
        <v>46074.285994328704</v>
      </c>
      <c r="C274" s="3" t="str">
        <f>IFERROR(VLOOKUP(A274,'Base Prueba'!A:C,3,),"NO REGISTRA")</f>
        <v>ESTEBAN ADOLFO QUESADA SALAZAR</v>
      </c>
      <c r="D274" s="4" t="str">
        <f>IFERROR(VLOOKUP(A274,'Base Prueba'!A:D,4,),"NO REGISTRA")</f>
        <v>DOCENTE DE TIEMPO COMPLETO</v>
      </c>
      <c r="E274" s="5" t="str">
        <f>IFERROR(VLOOKUP(A274,'Base Prueba'!A:E,5,),"NO REGISTRA")</f>
        <v>UNIVERSITARIO COMUNICACION SOCIAL</v>
      </c>
    </row>
    <row r="275" spans="1:5" ht="15.75" x14ac:dyDescent="0.25">
      <c r="A275" s="10">
        <v>1032361262</v>
      </c>
      <c r="B275" s="2">
        <v>46074.291757291663</v>
      </c>
      <c r="C275" s="3" t="str">
        <f>IFERROR(VLOOKUP(A275,'Base Prueba'!A:C,3,),"NO REGISTRA")</f>
        <v>CAMILO  ANDRES BALLESTEROS SANABRIA</v>
      </c>
      <c r="D275" s="4" t="str">
        <f>IFERROR(VLOOKUP(A275,'Base Prueba'!A:D,4,),"NO REGISTRA")</f>
        <v>DOCENTE DE MEDIO TIEMPO</v>
      </c>
      <c r="E275" s="5" t="str">
        <f>IFERROR(VLOOKUP(A275,'Base Prueba'!A:E,5,),"NO REGISTRA")</f>
        <v>TECNICA EN FOTOGRAFIA</v>
      </c>
    </row>
    <row r="276" spans="1:5" ht="15.75" x14ac:dyDescent="0.25">
      <c r="A276" s="10">
        <v>51555582</v>
      </c>
      <c r="B276" s="2">
        <v>46074.321476967591</v>
      </c>
      <c r="C276" s="3" t="str">
        <f>IFERROR(VLOOKUP(A276,'Base Prueba'!A:C,3,),"NO REGISTRA")</f>
        <v>MARTHA CECILIA VIDAL ARIZABALETA</v>
      </c>
      <c r="D276" s="4" t="str">
        <f>IFERROR(VLOOKUP(A276,'Base Prueba'!A:D,4,),"NO REGISTRA")</f>
        <v>DOCENTE DE MEDIO TIEMPO</v>
      </c>
      <c r="E276" s="5" t="str">
        <f>IFERROR(VLOOKUP(A276,'Base Prueba'!A:E,5,),"NO REGISTRA")</f>
        <v>INGENIERIA DE SOFTWARE</v>
      </c>
    </row>
    <row r="277" spans="1:5" ht="15.75" x14ac:dyDescent="0.25">
      <c r="A277" s="10">
        <v>8715040</v>
      </c>
      <c r="B277" s="2">
        <v>46074.336663657406</v>
      </c>
      <c r="C277" s="3" t="str">
        <f>IFERROR(VLOOKUP(A277,'Base Prueba'!A:C,3,),"NO REGISTRA")</f>
        <v>DACARTH RAFAEL SARMIENTO PORTO</v>
      </c>
      <c r="D277" s="4" t="str">
        <f>IFERROR(VLOOKUP(A277,'Base Prueba'!A:D,4,),"NO REGISTRA")</f>
        <v>DOCENTE DE TIEMPO COMPLETO</v>
      </c>
      <c r="E277" s="5" t="str">
        <f>IFERROR(VLOOKUP(A277,'Base Prueba'!A:E,5,),"NO REGISTRA")</f>
        <v>INGENIERIA DE SOFTWARE</v>
      </c>
    </row>
    <row r="278" spans="1:5" ht="15.75" x14ac:dyDescent="0.25">
      <c r="A278" s="10">
        <v>52049956</v>
      </c>
      <c r="B278" s="2">
        <v>46074.346805439818</v>
      </c>
      <c r="C278" s="3" t="str">
        <f>IFERROR(VLOOKUP(A278,'Base Prueba'!A:C,3,),"NO REGISTRA")</f>
        <v>ESPERANZA MORALES</v>
      </c>
      <c r="D278" s="4" t="str">
        <f>IFERROR(VLOOKUP(A278,'Base Prueba'!A:D,4,),"NO REGISTRA")</f>
        <v>DIRECTORA DE INFORMATICA Y TECNOLOGIA</v>
      </c>
      <c r="E278" s="5" t="str">
        <f>IFERROR(VLOOKUP(A278,'Base Prueba'!A:E,5,),"NO REGISTRA")</f>
        <v>DEPARTAMENTO DE INFORMATICA Y TECNOLOGIA</v>
      </c>
    </row>
    <row r="279" spans="1:5" ht="15.75" x14ac:dyDescent="0.25">
      <c r="A279" s="10">
        <v>51555582</v>
      </c>
      <c r="B279" s="2">
        <v>46074.489490277774</v>
      </c>
      <c r="C279" s="3" t="str">
        <f>IFERROR(VLOOKUP(A279,'Base Prueba'!A:C,3,),"NO REGISTRA")</f>
        <v>MARTHA CECILIA VIDAL ARIZABALETA</v>
      </c>
      <c r="D279" s="4" t="str">
        <f>IFERROR(VLOOKUP(A279,'Base Prueba'!A:D,4,),"NO REGISTRA")</f>
        <v>DOCENTE DE MEDIO TIEMPO</v>
      </c>
      <c r="E279" s="5" t="str">
        <f>IFERROR(VLOOKUP(A279,'Base Prueba'!A:E,5,),"NO REGISTRA")</f>
        <v>INGENIERIA DE SOFTWARE</v>
      </c>
    </row>
    <row r="280" spans="1:5" ht="15.75" x14ac:dyDescent="0.25">
      <c r="A280" s="10">
        <v>1022378300</v>
      </c>
      <c r="B280" s="2">
        <v>46074.557829398145</v>
      </c>
      <c r="C280" s="3" t="str">
        <f>IFERROR(VLOOKUP(A280,'Base Prueba'!A:C,3,),"NO REGISTRA")</f>
        <v>FERNEY ANDRES CHASPUENGAL RAMIREZ</v>
      </c>
      <c r="D280" s="4" t="str">
        <f>IFERROR(VLOOKUP(A280,'Base Prueba'!A:D,4,),"NO REGISTRA")</f>
        <v>LÍDER DE DEPORTE Y CULTURA</v>
      </c>
      <c r="E280" s="5" t="str">
        <f>IFERROR(VLOOKUP(A280,'Base Prueba'!A:E,5,),"NO REGISTRA")</f>
        <v>DIRECCION DE BIENESTAR INSTITUCIONAL</v>
      </c>
    </row>
    <row r="281" spans="1:5" ht="15.75" x14ac:dyDescent="0.25">
      <c r="A281" s="10">
        <v>52049956</v>
      </c>
      <c r="B281" s="2">
        <v>46074.606728935185</v>
      </c>
      <c r="C281" s="3" t="str">
        <f>IFERROR(VLOOKUP(A281,'Base Prueba'!A:C,3,),"NO REGISTRA")</f>
        <v>ESPERANZA MORALES</v>
      </c>
      <c r="D281" s="4" t="str">
        <f>IFERROR(VLOOKUP(A281,'Base Prueba'!A:D,4,),"NO REGISTRA")</f>
        <v>DIRECTORA DE INFORMATICA Y TECNOLOGIA</v>
      </c>
      <c r="E281" s="5" t="str">
        <f>IFERROR(VLOOKUP(A281,'Base Prueba'!A:E,5,),"NO REGISTRA")</f>
        <v>DEPARTAMENTO DE INFORMATICA Y TECNOLOGIA</v>
      </c>
    </row>
    <row r="282" spans="1:5" ht="15.75" x14ac:dyDescent="0.25">
      <c r="A282" s="10">
        <v>79918292</v>
      </c>
      <c r="B282" s="2">
        <v>46074.676345138891</v>
      </c>
      <c r="C282" s="3" t="str">
        <f>IFERROR(VLOOKUP(A282,'Base Prueba'!A:C,3,),"NO REGISTRA")</f>
        <v>GABRIEL ALBERTO MORENO MONROY</v>
      </c>
      <c r="D282" s="4" t="str">
        <f>IFERROR(VLOOKUP(A282,'Base Prueba'!A:D,4,),"NO REGISTRA")</f>
        <v>DOCENTE DE MEDIO TIEMPO</v>
      </c>
      <c r="E282" s="5" t="str">
        <f>IFERROR(VLOOKUP(A282,'Base Prueba'!A:E,5,),"NO REGISTRA")</f>
        <v>TECNOLOGIA EN COMERCIO Y NEGOCIOS INTERNACIONALES</v>
      </c>
    </row>
    <row r="283" spans="1:5" ht="15.75" x14ac:dyDescent="0.25">
      <c r="A283" s="10">
        <v>1022932726</v>
      </c>
      <c r="B283" s="2">
        <v>46074.705934490739</v>
      </c>
      <c r="C283" s="3" t="str">
        <f>IFERROR(VLOOKUP(A283,'Base Prueba'!A:C,3,),"NO REGISTRA")</f>
        <v>ASTRID ALEJANDRA RODRIGUEZ VAQUIRO</v>
      </c>
      <c r="D283" s="4" t="str">
        <f>IFERROR(VLOOKUP(A283,'Base Prueba'!A:D,4,),"NO REGISTRA")</f>
        <v>DOCENTE DE TIEMPO COMPLETO</v>
      </c>
      <c r="E283" s="5" t="str">
        <f>IFERROR(VLOOKUP(A283,'Base Prueba'!A:E,5,),"NO REGISTRA")</f>
        <v>UNIVERSITARIO COMUNICACION SOCIAL</v>
      </c>
    </row>
    <row r="284" spans="1:5" ht="15.75" x14ac:dyDescent="0.25">
      <c r="A284" s="10">
        <v>1014200970</v>
      </c>
      <c r="B284" s="2">
        <v>46074.71786365741</v>
      </c>
      <c r="C284" s="3" t="str">
        <f>IFERROR(VLOOKUP(A284,'Base Prueba'!A:C,3,),"NO REGISTRA")</f>
        <v>MARILYN GAITAN HERRERA</v>
      </c>
      <c r="D284" s="4" t="str">
        <f>IFERROR(VLOOKUP(A284,'Base Prueba'!A:D,4,),"NO REGISTRA")</f>
        <v>DOCENTE DE MEDIO TIEMPO</v>
      </c>
      <c r="E284" s="5" t="str">
        <f>IFERROR(VLOOKUP(A284,'Base Prueba'!A:E,5,),"NO REGISTRA")</f>
        <v>UNIDAD DE IDIOMAS</v>
      </c>
    </row>
    <row r="285" spans="1:5" ht="15.75" x14ac:dyDescent="0.25">
      <c r="A285" s="10">
        <v>248294</v>
      </c>
      <c r="B285" s="2">
        <v>46074.787355208333</v>
      </c>
      <c r="C285" s="3" t="str">
        <f>IFERROR(VLOOKUP(A285,'Base Prueba'!A:C,3,),"NO REGISTRA")</f>
        <v>WALTER NATALIO VALDEZ MONTAÑEZ</v>
      </c>
      <c r="D285" s="4" t="str">
        <f>IFERROR(VLOOKUP(A285,'Base Prueba'!A:D,4,),"NO REGISTRA")</f>
        <v>DOCENTE DE TIEMPO COMPLETO</v>
      </c>
      <c r="E285" s="5" t="str">
        <f>IFERROR(VLOOKUP(A285,'Base Prueba'!A:E,5,),"NO REGISTRA")</f>
        <v>UNIVERSITARIO EN TURISMO Y GASTRONOMIA</v>
      </c>
    </row>
    <row r="286" spans="1:5" ht="15.75" x14ac:dyDescent="0.25">
      <c r="A286" s="10">
        <v>1001284791</v>
      </c>
      <c r="B286" s="2">
        <v>46074.795154629632</v>
      </c>
      <c r="C286" s="3" t="str">
        <f>IFERROR(VLOOKUP(A286,'Base Prueba'!A:C,3,),"NO REGISTRA")</f>
        <v>OSCAR STEVEN PEREZ HIDALGO</v>
      </c>
      <c r="D286" s="4" t="str">
        <f>IFERROR(VLOOKUP(A286,'Base Prueba'!A:D,4,),"NO REGISTRA")</f>
        <v>AUXILIAR DE RECURSOS ACADEMICOS</v>
      </c>
      <c r="E286" s="5" t="str">
        <f>IFERROR(VLOOKUP(A286,'Base Prueba'!A:E,5,),"NO REGISTRA")</f>
        <v>RECURSOS ACADEMICOS</v>
      </c>
    </row>
    <row r="287" spans="1:5" ht="15.75" x14ac:dyDescent="0.25">
      <c r="A287" s="10">
        <v>1018482392</v>
      </c>
      <c r="B287" s="2">
        <v>46074.795328819448</v>
      </c>
      <c r="C287" s="3" t="str">
        <f>IFERROR(VLOOKUP(A287,'Base Prueba'!A:C,3,),"NO REGISTRA")</f>
        <v>RAQUEL YANETH SANDOVAL FORERO</v>
      </c>
      <c r="D287" s="4" t="str">
        <f>IFERROR(VLOOKUP(A287,'Base Prueba'!A:D,4,),"NO REGISTRA")</f>
        <v>AUXILIAR DE RECURSOS ACADEMICOS</v>
      </c>
      <c r="E287" s="5" t="str">
        <f>IFERROR(VLOOKUP(A287,'Base Prueba'!A:E,5,),"NO REGISTRA")</f>
        <v>RECURSOS ACADEMICOS</v>
      </c>
    </row>
    <row r="288" spans="1:5" ht="15.75" x14ac:dyDescent="0.25">
      <c r="A288" s="10">
        <v>51555582</v>
      </c>
      <c r="B288" s="2">
        <v>46076.300908564815</v>
      </c>
      <c r="C288" s="3" t="str">
        <f>IFERROR(VLOOKUP(A288,'Base Prueba'!A:C,3,),"NO REGISTRA")</f>
        <v>MARTHA CECILIA VIDAL ARIZABALETA</v>
      </c>
      <c r="D288" s="4" t="str">
        <f>IFERROR(VLOOKUP(A288,'Base Prueba'!A:D,4,),"NO REGISTRA")</f>
        <v>DOCENTE DE MEDIO TIEMPO</v>
      </c>
      <c r="E288" s="5" t="str">
        <f>IFERROR(VLOOKUP(A288,'Base Prueba'!A:E,5,),"NO REGISTRA")</f>
        <v>INGENIERIA DE SOFTWARE</v>
      </c>
    </row>
    <row r="289" spans="1:5" ht="15.75" x14ac:dyDescent="0.25">
      <c r="A289" s="10">
        <v>52049956</v>
      </c>
      <c r="B289" s="2">
        <v>46076.351249537038</v>
      </c>
      <c r="C289" s="3" t="str">
        <f>IFERROR(VLOOKUP(A289,'Base Prueba'!A:C,3,),"NO REGISTRA")</f>
        <v>ESPERANZA MORALES</v>
      </c>
      <c r="D289" s="4" t="str">
        <f>IFERROR(VLOOKUP(A289,'Base Prueba'!A:D,4,),"NO REGISTRA")</f>
        <v>DIRECTORA DE INFORMATICA Y TECNOLOGIA</v>
      </c>
      <c r="E289" s="5" t="str">
        <f>IFERROR(VLOOKUP(A289,'Base Prueba'!A:E,5,),"NO REGISTRA")</f>
        <v>DEPARTAMENTO DE INFORMATICA Y TECNOLOGIA</v>
      </c>
    </row>
    <row r="290" spans="1:5" ht="15.75" x14ac:dyDescent="0.25">
      <c r="A290" s="10">
        <v>51555582</v>
      </c>
      <c r="B290" s="2">
        <v>46076.379140856479</v>
      </c>
      <c r="C290" s="3" t="str">
        <f>IFERROR(VLOOKUP(A290,'Base Prueba'!A:C,3,),"NO REGISTRA")</f>
        <v>MARTHA CECILIA VIDAL ARIZABALETA</v>
      </c>
      <c r="D290" s="4" t="str">
        <f>IFERROR(VLOOKUP(A290,'Base Prueba'!A:D,4,),"NO REGISTRA")</f>
        <v>DOCENTE DE MEDIO TIEMPO</v>
      </c>
      <c r="E290" s="5" t="str">
        <f>IFERROR(VLOOKUP(A290,'Base Prueba'!A:E,5,),"NO REGISTRA")</f>
        <v>INGENIERIA DE SOFTWARE</v>
      </c>
    </row>
    <row r="291" spans="1:5" ht="15.75" x14ac:dyDescent="0.25">
      <c r="A291" s="10">
        <v>1014736595</v>
      </c>
      <c r="B291" s="2">
        <v>46076.388412037035</v>
      </c>
      <c r="C291" s="3" t="str">
        <f>IFERROR(VLOOKUP(A291,'Base Prueba'!A:C,3,),"NO REGISTRA")</f>
        <v>PAULA ANDREA PAEZ BUITRAGO</v>
      </c>
      <c r="D291" s="4" t="str">
        <f>IFERROR(VLOOKUP(A291,'Base Prueba'!A:D,4,),"NO REGISTRA")</f>
        <v>PROMOTOR DE BIENESTAR INSTITUCIONAL</v>
      </c>
      <c r="E291" s="5" t="str">
        <f>IFERROR(VLOOKUP(A291,'Base Prueba'!A:E,5,),"NO REGISTRA")</f>
        <v>DIRECCION DE BIENESTAR INSTITUCIONAL</v>
      </c>
    </row>
    <row r="292" spans="1:5" ht="15.75" x14ac:dyDescent="0.25">
      <c r="A292" s="10">
        <v>79313678</v>
      </c>
      <c r="B292" s="2">
        <v>46076.703853819447</v>
      </c>
      <c r="C292" s="3" t="str">
        <f>IFERROR(VLOOKUP(A292,'Base Prueba'!A:C,3,),"NO REGISTRA")</f>
        <v>MARCO VINICIO RAMIREZ PEREIRA</v>
      </c>
      <c r="D292" s="4" t="str">
        <f>IFERROR(VLOOKUP(A292,'Base Prueba'!A:D,4,),"NO REGISTRA")</f>
        <v>TECNICO EN MANTENIMIENTO DE RECURSOS ACADEMICOS</v>
      </c>
      <c r="E292" s="5" t="str">
        <f>IFERROR(VLOOKUP(A292,'Base Prueba'!A:E,5,),"NO REGISTRA")</f>
        <v>RECURSOS ACADEMICOS</v>
      </c>
    </row>
    <row r="293" spans="1:5" ht="15.75" x14ac:dyDescent="0.25">
      <c r="A293" s="10">
        <v>79452150</v>
      </c>
      <c r="B293" s="2">
        <v>46076.797484490744</v>
      </c>
      <c r="C293" s="3" t="str">
        <f>IFERROR(VLOOKUP(A293,'Base Prueba'!A:C,3,),"NO REGISTRA")</f>
        <v>JUAN CARLOS PAZ CUBILLOS</v>
      </c>
      <c r="D293" s="4" t="str">
        <f>IFERROR(VLOOKUP(A293,'Base Prueba'!A:D,4,),"NO REGISTRA")</f>
        <v>ANALISTA DE SISTEMAS</v>
      </c>
      <c r="E293" s="5" t="str">
        <f>IFERROR(VLOOKUP(A293,'Base Prueba'!A:E,5,),"NO REGISTRA")</f>
        <v>DEPARTAMENTO DE INFORMATICA Y TECNOLOGIA</v>
      </c>
    </row>
    <row r="294" spans="1:5" ht="15.75" x14ac:dyDescent="0.25">
      <c r="A294" s="10">
        <v>52049956</v>
      </c>
      <c r="B294" s="2">
        <v>46076.8257212963</v>
      </c>
      <c r="C294" s="3" t="str">
        <f>IFERROR(VLOOKUP(A294,'Base Prueba'!A:C,3,),"NO REGISTRA")</f>
        <v>ESPERANZA MORALES</v>
      </c>
      <c r="D294" s="4" t="str">
        <f>IFERROR(VLOOKUP(A294,'Base Prueba'!A:D,4,),"NO REGISTRA")</f>
        <v>DIRECTORA DE INFORMATICA Y TECNOLOGIA</v>
      </c>
      <c r="E294" s="5" t="str">
        <f>IFERROR(VLOOKUP(A294,'Base Prueba'!A:E,5,),"NO REGISTRA")</f>
        <v>DEPARTAMENTO DE INFORMATICA Y TECNOLOGIA</v>
      </c>
    </row>
    <row r="295" spans="1:5" ht="15.75" x14ac:dyDescent="0.25">
      <c r="A295" s="10">
        <v>1023954848</v>
      </c>
      <c r="B295" s="2">
        <v>46076.826240162038</v>
      </c>
      <c r="C295" s="3" t="str">
        <f>IFERROR(VLOOKUP(A295,'Base Prueba'!A:C,3,),"NO REGISTRA")</f>
        <v>JUAN CARLOS ESPITIA ORTIZ</v>
      </c>
      <c r="D295" s="4" t="str">
        <f>IFERROR(VLOOKUP(A295,'Base Prueba'!A:D,4,),"NO REGISTRA")</f>
        <v>ANALISTA DE INFRAESTRUCTURA</v>
      </c>
      <c r="E295" s="5" t="str">
        <f>IFERROR(VLOOKUP(A295,'Base Prueba'!A:E,5,),"NO REGISTRA")</f>
        <v>DEPARTAMENTO DE INFORMATICA Y TECNOLOGIA</v>
      </c>
    </row>
    <row r="296" spans="1:5" ht="15.75" x14ac:dyDescent="0.25">
      <c r="A296" s="10">
        <v>79484197</v>
      </c>
      <c r="B296" s="2">
        <v>46077.275097916667</v>
      </c>
      <c r="C296" s="3" t="str">
        <f>IFERROR(VLOOKUP(A296,'Base Prueba'!A:C,3,),"NO REGISTRA")</f>
        <v>JOHN DANIEL GUTIERREZ BOADA</v>
      </c>
      <c r="D296" s="4" t="str">
        <f>IFERROR(VLOOKUP(A296,'Base Prueba'!A:D,4,),"NO REGISTRA")</f>
        <v>DOCENTE DE MEDIO TIEMPO</v>
      </c>
      <c r="E296" s="5" t="str">
        <f>IFERROR(VLOOKUP(A296,'Base Prueba'!A:E,5,),"NO REGISTRA")</f>
        <v>UNIVERSITARIO COMUNICACION SOCIAL</v>
      </c>
    </row>
    <row r="297" spans="1:5" ht="15.75" x14ac:dyDescent="0.25">
      <c r="A297" s="10">
        <v>52049956</v>
      </c>
      <c r="B297" s="2">
        <v>46077.360406250002</v>
      </c>
      <c r="C297" s="3" t="str">
        <f>IFERROR(VLOOKUP(A297,'Base Prueba'!A:C,3,),"NO REGISTRA")</f>
        <v>ESPERANZA MORALES</v>
      </c>
      <c r="D297" s="4" t="str">
        <f>IFERROR(VLOOKUP(A297,'Base Prueba'!A:D,4,),"NO REGISTRA")</f>
        <v>DIRECTORA DE INFORMATICA Y TECNOLOGIA</v>
      </c>
      <c r="E297" s="5" t="str">
        <f>IFERROR(VLOOKUP(A297,'Base Prueba'!A:E,5,),"NO REGISTRA")</f>
        <v>DEPARTAMENTO DE INFORMATICA Y TECNOLOGIA</v>
      </c>
    </row>
    <row r="298" spans="1:5" ht="15.75" x14ac:dyDescent="0.25">
      <c r="A298" s="10">
        <v>79484197</v>
      </c>
      <c r="B298" s="2">
        <v>46077.385570370374</v>
      </c>
      <c r="C298" s="3" t="str">
        <f>IFERROR(VLOOKUP(A298,'Base Prueba'!A:C,3,),"NO REGISTRA")</f>
        <v>JOHN DANIEL GUTIERREZ BOADA</v>
      </c>
      <c r="D298" s="4" t="str">
        <f>IFERROR(VLOOKUP(A298,'Base Prueba'!A:D,4,),"NO REGISTRA")</f>
        <v>DOCENTE DE MEDIO TIEMPO</v>
      </c>
      <c r="E298" s="5" t="str">
        <f>IFERROR(VLOOKUP(A298,'Base Prueba'!A:E,5,),"NO REGISTRA")</f>
        <v>UNIVERSITARIO COMUNICACION SOCIAL</v>
      </c>
    </row>
    <row r="299" spans="1:5" ht="15.75" x14ac:dyDescent="0.25">
      <c r="A299" s="10">
        <v>1032361262</v>
      </c>
      <c r="B299" s="2">
        <v>46077.481294212965</v>
      </c>
      <c r="C299" s="3" t="str">
        <f>IFERROR(VLOOKUP(A299,'Base Prueba'!A:C,3,),"NO REGISTRA")</f>
        <v>CAMILO  ANDRES BALLESTEROS SANABRIA</v>
      </c>
      <c r="D299" s="4" t="str">
        <f>IFERROR(VLOOKUP(A299,'Base Prueba'!A:D,4,),"NO REGISTRA")</f>
        <v>DOCENTE DE MEDIO TIEMPO</v>
      </c>
      <c r="E299" s="5" t="str">
        <f>IFERROR(VLOOKUP(A299,'Base Prueba'!A:E,5,),"NO REGISTRA")</f>
        <v>TECNICA EN FOTOGRAFIA</v>
      </c>
    </row>
    <row r="300" spans="1:5" ht="15.75" x14ac:dyDescent="0.25">
      <c r="A300" s="10">
        <v>1001284791</v>
      </c>
      <c r="B300" s="2">
        <v>46077.543946064812</v>
      </c>
      <c r="C300" s="3" t="str">
        <f>IFERROR(VLOOKUP(A300,'Base Prueba'!A:C,3,),"NO REGISTRA")</f>
        <v>OSCAR STEVEN PEREZ HIDALGO</v>
      </c>
      <c r="D300" s="4" t="str">
        <f>IFERROR(VLOOKUP(A300,'Base Prueba'!A:D,4,),"NO REGISTRA")</f>
        <v>AUXILIAR DE RECURSOS ACADEMICOS</v>
      </c>
      <c r="E300" s="5" t="str">
        <f>IFERROR(VLOOKUP(A300,'Base Prueba'!A:E,5,),"NO REGISTRA")</f>
        <v>RECURSOS ACADEMICOS</v>
      </c>
    </row>
    <row r="301" spans="1:5" ht="15.75" x14ac:dyDescent="0.25">
      <c r="A301" s="10">
        <v>1018482392</v>
      </c>
      <c r="B301" s="2">
        <v>46077.544069560186</v>
      </c>
      <c r="C301" s="3" t="str">
        <f>IFERROR(VLOOKUP(A301,'Base Prueba'!A:C,3,),"NO REGISTRA")</f>
        <v>RAQUEL YANETH SANDOVAL FORERO</v>
      </c>
      <c r="D301" s="4" t="str">
        <f>IFERROR(VLOOKUP(A301,'Base Prueba'!A:D,4,),"NO REGISTRA")</f>
        <v>AUXILIAR DE RECURSOS ACADEMICOS</v>
      </c>
      <c r="E301" s="5" t="str">
        <f>IFERROR(VLOOKUP(A301,'Base Prueba'!A:E,5,),"NO REGISTRA")</f>
        <v>RECURSOS ACADEMICOS</v>
      </c>
    </row>
    <row r="302" spans="1:5" ht="15.75" x14ac:dyDescent="0.25">
      <c r="A302" s="10">
        <v>248294</v>
      </c>
      <c r="B302" s="2">
        <v>46077.598760069443</v>
      </c>
      <c r="C302" s="3" t="str">
        <f>IFERROR(VLOOKUP(A302,'Base Prueba'!A:C,3,),"NO REGISTRA")</f>
        <v>WALTER NATALIO VALDEZ MONTAÑEZ</v>
      </c>
      <c r="D302" s="4" t="str">
        <f>IFERROR(VLOOKUP(A302,'Base Prueba'!A:D,4,),"NO REGISTRA")</f>
        <v>DOCENTE DE TIEMPO COMPLETO</v>
      </c>
      <c r="E302" s="5" t="str">
        <f>IFERROR(VLOOKUP(A302,'Base Prueba'!A:E,5,),"NO REGISTRA")</f>
        <v>UNIVERSITARIO EN TURISMO Y GASTRONOMIA</v>
      </c>
    </row>
    <row r="303" spans="1:5" ht="15.75" x14ac:dyDescent="0.25">
      <c r="A303" s="10">
        <v>1033762993</v>
      </c>
      <c r="B303" s="2">
        <v>46077.75394224537</v>
      </c>
      <c r="C303" s="3" t="str">
        <f>IFERROR(VLOOKUP(A303,'Base Prueba'!A:C,3,),"NO REGISTRA")</f>
        <v>DIEGO FERNANDO MEDINA PEREZ</v>
      </c>
      <c r="D303" s="4" t="str">
        <f>IFERROR(VLOOKUP(A303,'Base Prueba'!A:D,4,),"NO REGISTRA")</f>
        <v>DOCENTE DE MEDIO TIEMPO</v>
      </c>
      <c r="E303" s="5" t="str">
        <f>IFERROR(VLOOKUP(A303,'Base Prueba'!A:E,5,),"NO REGISTRA")</f>
        <v>UNIDAD DE IDIOMAS</v>
      </c>
    </row>
    <row r="304" spans="1:5" ht="15.75" x14ac:dyDescent="0.25">
      <c r="A304" s="10">
        <v>1014736595</v>
      </c>
      <c r="B304" s="2">
        <v>46077.794448611108</v>
      </c>
      <c r="C304" s="3" t="str">
        <f>IFERROR(VLOOKUP(A304,'Base Prueba'!A:C,3,),"NO REGISTRA")</f>
        <v>PAULA ANDREA PAEZ BUITRAGO</v>
      </c>
      <c r="D304" s="4" t="str">
        <f>IFERROR(VLOOKUP(A304,'Base Prueba'!A:D,4,),"NO REGISTRA")</f>
        <v>PROMOTOR DE BIENESTAR INSTITUCIONAL</v>
      </c>
      <c r="E304" s="5" t="str">
        <f>IFERROR(VLOOKUP(A304,'Base Prueba'!A:E,5,),"NO REGISTRA")</f>
        <v>DIRECCION DE BIENESTAR INSTITUCIONAL</v>
      </c>
    </row>
    <row r="305" spans="1:5" ht="15.75" x14ac:dyDescent="0.25">
      <c r="A305" s="10">
        <v>79452150</v>
      </c>
      <c r="B305" s="2">
        <v>46077.79910358796</v>
      </c>
      <c r="C305" s="3" t="str">
        <f>IFERROR(VLOOKUP(A305,'Base Prueba'!A:C,3,),"NO REGISTRA")</f>
        <v>JUAN CARLOS PAZ CUBILLOS</v>
      </c>
      <c r="D305" s="4" t="str">
        <f>IFERROR(VLOOKUP(A305,'Base Prueba'!A:D,4,),"NO REGISTRA")</f>
        <v>ANALISTA DE SISTEMAS</v>
      </c>
      <c r="E305" s="5" t="str">
        <f>IFERROR(VLOOKUP(A305,'Base Prueba'!A:E,5,),"NO REGISTRA")</f>
        <v>DEPARTAMENTO DE INFORMATICA Y TECNOLOGIA</v>
      </c>
    </row>
    <row r="306" spans="1:5" ht="15.75" x14ac:dyDescent="0.25">
      <c r="A306" s="10">
        <v>52049956</v>
      </c>
      <c r="B306" s="2">
        <v>46077.835603935186</v>
      </c>
      <c r="C306" s="3" t="str">
        <f>IFERROR(VLOOKUP(A306,'Base Prueba'!A:C,3,),"NO REGISTRA")</f>
        <v>ESPERANZA MORALES</v>
      </c>
      <c r="D306" s="4" t="str">
        <f>IFERROR(VLOOKUP(A306,'Base Prueba'!A:D,4,),"NO REGISTRA")</f>
        <v>DIRECTORA DE INFORMATICA Y TECNOLOGIA</v>
      </c>
      <c r="E306" s="5" t="str">
        <f>IFERROR(VLOOKUP(A306,'Base Prueba'!A:E,5,),"NO REGISTRA")</f>
        <v>DEPARTAMENTO DE INFORMATICA Y TECNOLOGIA</v>
      </c>
    </row>
    <row r="307" spans="1:5" ht="15.75" x14ac:dyDescent="0.25">
      <c r="A307" s="10">
        <v>1033762993</v>
      </c>
      <c r="B307" s="2">
        <v>46077.855612962965</v>
      </c>
      <c r="C307" s="3" t="str">
        <f>IFERROR(VLOOKUP(A307,'Base Prueba'!A:C,3,),"NO REGISTRA")</f>
        <v>DIEGO FERNANDO MEDINA PEREZ</v>
      </c>
      <c r="D307" s="4" t="str">
        <f>IFERROR(VLOOKUP(A307,'Base Prueba'!A:D,4,),"NO REGISTRA")</f>
        <v>DOCENTE DE MEDIO TIEMPO</v>
      </c>
      <c r="E307" s="5" t="str">
        <f>IFERROR(VLOOKUP(A307,'Base Prueba'!A:E,5,),"NO REGISTRA")</f>
        <v>UNIDAD DE IDIOMAS</v>
      </c>
    </row>
    <row r="308" spans="1:5" ht="15.75" x14ac:dyDescent="0.25">
      <c r="A308" s="10">
        <v>19488606</v>
      </c>
      <c r="B308" s="2">
        <v>46078.275982638886</v>
      </c>
      <c r="C308" s="3" t="str">
        <f>IFERROR(VLOOKUP(A308,'Base Prueba'!A:C,3,),"NO REGISTRA")</f>
        <v>ARISTARCO LOPEZ TALERO</v>
      </c>
      <c r="D308" s="4" t="str">
        <f>IFERROR(VLOOKUP(A308,'Base Prueba'!A:D,4,),"NO REGISTRA")</f>
        <v>OFICIAL DE MANTENIMIENTO</v>
      </c>
      <c r="E308" s="5" t="str">
        <f>IFERROR(VLOOKUP(A308,'Base Prueba'!A:E,5,),"NO REGISTRA")</f>
        <v>LOGISTICA Y SERVICIOS GENERALES</v>
      </c>
    </row>
    <row r="309" spans="1:5" ht="15.75" x14ac:dyDescent="0.25">
      <c r="A309" s="10">
        <v>79484197</v>
      </c>
      <c r="B309" s="2">
        <v>46078.276715972221</v>
      </c>
      <c r="C309" s="3" t="str">
        <f>IFERROR(VLOOKUP(A309,'Base Prueba'!A:C,3,),"NO REGISTRA")</f>
        <v>JOHN DANIEL GUTIERREZ BOADA</v>
      </c>
      <c r="D309" s="4" t="str">
        <f>IFERROR(VLOOKUP(A309,'Base Prueba'!A:D,4,),"NO REGISTRA")</f>
        <v>DOCENTE DE MEDIO TIEMPO</v>
      </c>
      <c r="E309" s="5" t="str">
        <f>IFERROR(VLOOKUP(A309,'Base Prueba'!A:E,5,),"NO REGISTRA")</f>
        <v>UNIVERSITARIO COMUNICACION SOCIAL</v>
      </c>
    </row>
    <row r="310" spans="1:5" ht="15.75" x14ac:dyDescent="0.25">
      <c r="A310" s="10">
        <v>52776481</v>
      </c>
      <c r="B310" s="2">
        <v>46078.283730092589</v>
      </c>
      <c r="C310" s="3" t="str">
        <f>IFERROR(VLOOKUP(A310,'Base Prueba'!A:C,3,),"NO REGISTRA")</f>
        <v>LESLY DAYANA GONZALEZ FAJARDO</v>
      </c>
      <c r="D310" s="4" t="str">
        <f>IFERROR(VLOOKUP(A310,'Base Prueba'!A:D,4,),"NO REGISTRA")</f>
        <v>DOCENTE DE TIEMPO COMPLETO</v>
      </c>
      <c r="E310" s="5" t="str">
        <f>IFERROR(VLOOKUP(A310,'Base Prueba'!A:E,5,),"NO REGISTRA")</f>
        <v>TECNOLOGÍA EN PRODUCCIÓN DE MEDIOS AUDIOVISUALES</v>
      </c>
    </row>
    <row r="311" spans="1:5" ht="15.75" x14ac:dyDescent="0.25">
      <c r="A311" s="10">
        <v>79435738</v>
      </c>
      <c r="B311" s="2">
        <v>46078.285385185183</v>
      </c>
      <c r="C311" s="3" t="str">
        <f>IFERROR(VLOOKUP(A311,'Base Prueba'!A:C,3,),"NO REGISTRA")</f>
        <v>DANIEL ANDRES MURCIA DIAZ</v>
      </c>
      <c r="D311" s="4" t="str">
        <f>IFERROR(VLOOKUP(A311,'Base Prueba'!A:D,4,),"NO REGISTRA")</f>
        <v>DOCENTE DE TIEMPO COMPLETO</v>
      </c>
      <c r="E311" s="5" t="str">
        <f>IFERROR(VLOOKUP(A311,'Base Prueba'!A:E,5,),"NO REGISTRA")</f>
        <v>INGENIERIA DE SOFTWARE</v>
      </c>
    </row>
    <row r="312" spans="1:5" ht="15.75" x14ac:dyDescent="0.25">
      <c r="A312" s="10">
        <v>1193376686</v>
      </c>
      <c r="B312" s="2">
        <v>46078.291126388889</v>
      </c>
      <c r="C312" s="3" t="str">
        <f>IFERROR(VLOOKUP(A312,'Base Prueba'!A:C,3,),"NO REGISTRA")</f>
        <v>STEVEN FERNANDO CORRECHA PERDOMO</v>
      </c>
      <c r="D312" s="4" t="str">
        <f>IFERROR(VLOOKUP(A312,'Base Prueba'!A:D,4,),"NO REGISTRA")</f>
        <v>AUXILIAR  DE MANTENIMIENTO</v>
      </c>
      <c r="E312" s="5" t="str">
        <f>IFERROR(VLOOKUP(A312,'Base Prueba'!A:E,5,),"NO REGISTRA")</f>
        <v>LOGISTICA Y SERVICIOS GENERALES</v>
      </c>
    </row>
    <row r="313" spans="1:5" ht="15.75" x14ac:dyDescent="0.25">
      <c r="A313" s="10">
        <v>52850506</v>
      </c>
      <c r="B313" s="2">
        <v>46078.292163773149</v>
      </c>
      <c r="C313" s="3" t="str">
        <f>IFERROR(VLOOKUP(A313,'Base Prueba'!A:C,3,),"NO REGISTRA")</f>
        <v>PAOLA ANDREA VASQUEZ FONSECA</v>
      </c>
      <c r="D313" s="4" t="str">
        <f>IFERROR(VLOOKUP(A313,'Base Prueba'!A:D,4,),"NO REGISTRA")</f>
        <v>DOCENTE DE TIEMPO COMPLETO</v>
      </c>
      <c r="E313" s="5" t="str">
        <f>IFERROR(VLOOKUP(A313,'Base Prueba'!A:E,5,),"NO REGISTRA")</f>
        <v>UNIVERSITARIO COMUNICACION SOCIAL</v>
      </c>
    </row>
    <row r="314" spans="1:5" ht="15.75" x14ac:dyDescent="0.25">
      <c r="A314" s="10">
        <v>80778198</v>
      </c>
      <c r="B314" s="2">
        <v>46078.292320949076</v>
      </c>
      <c r="C314" s="3" t="str">
        <f>IFERROR(VLOOKUP(A314,'Base Prueba'!A:C,3,),"NO REGISTRA")</f>
        <v>JIMY JAVIER ALDANA REYES</v>
      </c>
      <c r="D314" s="4" t="str">
        <f>IFERROR(VLOOKUP(A314,'Base Prueba'!A:D,4,),"NO REGISTRA")</f>
        <v>DOCENTE DE TIEMPO COMPLETO</v>
      </c>
      <c r="E314" s="5" t="str">
        <f>IFERROR(VLOOKUP(A314,'Base Prueba'!A:E,5,),"NO REGISTRA")</f>
        <v>INGENIERIA DE SOFTWARE</v>
      </c>
    </row>
    <row r="315" spans="1:5" ht="15.75" x14ac:dyDescent="0.25">
      <c r="A315" s="10">
        <v>1026252093</v>
      </c>
      <c r="B315" s="2">
        <v>46078.292809027778</v>
      </c>
      <c r="C315" s="3" t="str">
        <f>IFERROR(VLOOKUP(A315,'Base Prueba'!A:C,3,),"NO REGISTRA")</f>
        <v>NADIA ROJAS MUÑOZ</v>
      </c>
      <c r="D315" s="4" t="str">
        <f>IFERROR(VLOOKUP(A315,'Base Prueba'!A:D,4,),"NO REGISTRA")</f>
        <v>DOCENTE DE TIEMPO COMPLETO</v>
      </c>
      <c r="E315" s="5" t="str">
        <f>IFERROR(VLOOKUP(A315,'Base Prueba'!A:E,5,),"NO REGISTRA")</f>
        <v>UNIVERSITARIO COMUNICACION SOCIAL</v>
      </c>
    </row>
    <row r="316" spans="1:5" ht="15.75" x14ac:dyDescent="0.25">
      <c r="A316" s="10">
        <v>1032361262</v>
      </c>
      <c r="B316" s="2">
        <v>46078.293057523151</v>
      </c>
      <c r="C316" s="3" t="str">
        <f>IFERROR(VLOOKUP(A316,'Base Prueba'!A:C,3,),"NO REGISTRA")</f>
        <v>CAMILO  ANDRES BALLESTEROS SANABRIA</v>
      </c>
      <c r="D316" s="4" t="str">
        <f>IFERROR(VLOOKUP(A316,'Base Prueba'!A:D,4,),"NO REGISTRA")</f>
        <v>DOCENTE DE MEDIO TIEMPO</v>
      </c>
      <c r="E316" s="5" t="str">
        <f>IFERROR(VLOOKUP(A316,'Base Prueba'!A:E,5,),"NO REGISTRA")</f>
        <v>TECNICA EN FOTOGRAFIA</v>
      </c>
    </row>
    <row r="317" spans="1:5" ht="15.75" x14ac:dyDescent="0.25">
      <c r="A317" s="10">
        <v>1019008046</v>
      </c>
      <c r="B317" s="2">
        <v>46078.301502083334</v>
      </c>
      <c r="C317" s="3" t="str">
        <f>IFERROR(VLOOKUP(A317,'Base Prueba'!A:C,3,),"NO REGISTRA")</f>
        <v>JORGE ARMANDO CAMARGO GALVIS</v>
      </c>
      <c r="D317" s="4" t="str">
        <f>IFERROR(VLOOKUP(A317,'Base Prueba'!A:D,4,),"NO REGISTRA")</f>
        <v>DOCENTE DE MEDIO TIEMPO</v>
      </c>
      <c r="E317" s="5" t="str">
        <f>IFERROR(VLOOKUP(A317,'Base Prueba'!A:E,5,),"NO REGISTRA")</f>
        <v>NARRATIVAS DIGITALES Y AUDIOVISUALES</v>
      </c>
    </row>
    <row r="318" spans="1:5" ht="15.75" x14ac:dyDescent="0.25">
      <c r="A318" s="10">
        <v>11189740</v>
      </c>
      <c r="B318" s="2">
        <v>46078.302728472219</v>
      </c>
      <c r="C318" s="3" t="str">
        <f>IFERROR(VLOOKUP(A318,'Base Prueba'!A:C,3,),"NO REGISTRA")</f>
        <v>FERNEY ALARCON AGUIRRE</v>
      </c>
      <c r="D318" s="4" t="str">
        <f>IFERROR(VLOOKUP(A318,'Base Prueba'!A:D,4,),"NO REGISTRA")</f>
        <v>DOCENTE DE TIEMPO COMPLETO</v>
      </c>
      <c r="E318" s="5" t="str">
        <f>IFERROR(VLOOKUP(A318,'Base Prueba'!A:E,5,),"NO REGISTRA")</f>
        <v>UNIVERSITARIO ADMINISTRACION DE EMPRESAS</v>
      </c>
    </row>
    <row r="319" spans="1:5" ht="15.75" x14ac:dyDescent="0.25">
      <c r="A319" s="10">
        <v>23810964</v>
      </c>
      <c r="B319" s="2">
        <v>46078.306444212962</v>
      </c>
      <c r="C319" s="3" t="str">
        <f>IFERROR(VLOOKUP(A319,'Base Prueba'!A:C,3,),"NO REGISTRA")</f>
        <v>JULY FERNANDA GOMEZ NIÑO</v>
      </c>
      <c r="D319" s="4" t="str">
        <f>IFERROR(VLOOKUP(A319,'Base Prueba'!A:D,4,),"NO REGISTRA")</f>
        <v>DOCENTE DE MEDIO TIEMPO</v>
      </c>
      <c r="E319" s="5" t="str">
        <f>IFERROR(VLOOKUP(A319,'Base Prueba'!A:E,5,),"NO REGISTRA")</f>
        <v>TECNOLOGIA EN ADMINISTRACION DEL TALENTO HUMANO</v>
      </c>
    </row>
    <row r="320" spans="1:5" ht="15.75" x14ac:dyDescent="0.25">
      <c r="A320" s="10">
        <v>1014215096</v>
      </c>
      <c r="B320" s="2">
        <v>46078.326727199077</v>
      </c>
      <c r="C320" s="3" t="str">
        <f>IFERROR(VLOOKUP(A320,'Base Prueba'!A:C,3,),"NO REGISTRA")</f>
        <v>ALEXANDER BELTRAN AGUILERA</v>
      </c>
      <c r="D320" s="4" t="str">
        <f>IFERROR(VLOOKUP(A320,'Base Prueba'!A:D,4,),"NO REGISTRA")</f>
        <v>DOCENTE DE TIEMPO COMPLETO</v>
      </c>
      <c r="E320" s="5" t="str">
        <f>IFERROR(VLOOKUP(A320,'Base Prueba'!A:E,5,),"NO REGISTRA")</f>
        <v>UNIVERSITARIO EN TURISMO Y GASTRONOMIA</v>
      </c>
    </row>
    <row r="321" spans="1:5" ht="15.75" x14ac:dyDescent="0.25">
      <c r="A321" s="10">
        <v>1032487526</v>
      </c>
      <c r="B321" s="2">
        <v>46078.330463310187</v>
      </c>
      <c r="C321" s="3" t="str">
        <f>IFERROR(VLOOKUP(A321,'Base Prueba'!A:C,3,),"NO REGISTRA")</f>
        <v>LAURA ANDREA MEZA MARTINEZ</v>
      </c>
      <c r="D321" s="4" t="str">
        <f>IFERROR(VLOOKUP(A321,'Base Prueba'!A:D,4,),"NO REGISTRA")</f>
        <v>DOCENTE DE MEDIO TIEMPO</v>
      </c>
      <c r="E321" s="5" t="str">
        <f>IFERROR(VLOOKUP(A321,'Base Prueba'!A:E,5,),"NO REGISTRA")</f>
        <v>TECNICO LABORAL AUXILIAR PRODUCCION GRAFICA</v>
      </c>
    </row>
    <row r="322" spans="1:5" ht="15.75" x14ac:dyDescent="0.25">
      <c r="A322" s="10">
        <v>1030567635</v>
      </c>
      <c r="B322" s="2">
        <v>46078.33395104167</v>
      </c>
      <c r="C322" s="3" t="str">
        <f>IFERROR(VLOOKUP(A322,'Base Prueba'!A:C,3,),"NO REGISTRA")</f>
        <v>JEFFERSON ANDRES BARRETO DIAZ</v>
      </c>
      <c r="D322" s="4" t="str">
        <f>IFERROR(VLOOKUP(A322,'Base Prueba'!A:D,4,),"NO REGISTRA")</f>
        <v>AUXILIAR DE ARCHIVO</v>
      </c>
      <c r="E322" s="5" t="str">
        <f>IFERROR(VLOOKUP(A322,'Base Prueba'!A:E,5,),"NO REGISTRA")</f>
        <v>CENTRO DE GESTION DOCUMENTAL</v>
      </c>
    </row>
    <row r="323" spans="1:5" ht="15.75" x14ac:dyDescent="0.25">
      <c r="A323" s="10">
        <v>1025322754</v>
      </c>
      <c r="B323" s="2">
        <v>46078.33992835648</v>
      </c>
      <c r="C323" s="3" t="str">
        <f>IFERROR(VLOOKUP(A323,'Base Prueba'!A:C,3,),"NO REGISTRA")</f>
        <v>ALISON YULIANA BEJARANO RUIZ</v>
      </c>
      <c r="D323" s="4" t="str">
        <f>IFERROR(VLOOKUP(A323,'Base Prueba'!A:D,4,),"NO REGISTRA")</f>
        <v>AUXILIAR DE SISTEMAS</v>
      </c>
      <c r="E323" s="5" t="str">
        <f>IFERROR(VLOOKUP(A323,'Base Prueba'!A:E,5,),"NO REGISTRA")</f>
        <v>DEPARTAMENTO DE INFORMATICA Y TECNOLOGIA</v>
      </c>
    </row>
    <row r="324" spans="1:5" ht="15.75" x14ac:dyDescent="0.25">
      <c r="A324" s="10">
        <v>1022378300</v>
      </c>
      <c r="B324" s="2">
        <v>46078.340849884262</v>
      </c>
      <c r="C324" s="3" t="str">
        <f>IFERROR(VLOOKUP(A324,'Base Prueba'!A:C,3,),"NO REGISTRA")</f>
        <v>FERNEY ANDRES CHASPUENGAL RAMIREZ</v>
      </c>
      <c r="D324" s="4" t="str">
        <f>IFERROR(VLOOKUP(A324,'Base Prueba'!A:D,4,),"NO REGISTRA")</f>
        <v>LÍDER DE DEPORTE Y CULTURA</v>
      </c>
      <c r="E324" s="5" t="str">
        <f>IFERROR(VLOOKUP(A324,'Base Prueba'!A:E,5,),"NO REGISTRA")</f>
        <v>DIRECCION DE BIENESTAR INSTITUCIONAL</v>
      </c>
    </row>
    <row r="325" spans="1:5" ht="15.75" x14ac:dyDescent="0.25">
      <c r="A325" s="10">
        <v>1000218614</v>
      </c>
      <c r="B325" s="2">
        <v>46078.34118333333</v>
      </c>
      <c r="C325" s="3" t="str">
        <f>IFERROR(VLOOKUP(A325,'Base Prueba'!A:C,3,),"NO REGISTRA")</f>
        <v>SEBASTIAN DAVID MELO DIAZ</v>
      </c>
      <c r="D325" s="4" t="str">
        <f>IFERROR(VLOOKUP(A325,'Base Prueba'!A:D,4,),"NO REGISTRA")</f>
        <v>ANALISTA DE SISTEMAS</v>
      </c>
      <c r="E325" s="5" t="str">
        <f>IFERROR(VLOOKUP(A325,'Base Prueba'!A:E,5,),"NO REGISTRA")</f>
        <v>DEPARTAMENTO DE INFORMATICA Y TECNOLOGIA</v>
      </c>
    </row>
    <row r="326" spans="1:5" ht="15.75" x14ac:dyDescent="0.25">
      <c r="A326" s="10">
        <v>1018411979</v>
      </c>
      <c r="B326" s="2">
        <v>46078.342023611112</v>
      </c>
      <c r="C326" s="3" t="str">
        <f>IFERROR(VLOOKUP(A326,'Base Prueba'!A:C,3,),"NO REGISTRA")</f>
        <v>MIGUEL ALFONSO CUELLAR GOMEZ</v>
      </c>
      <c r="D326" s="4" t="str">
        <f>IFERROR(VLOOKUP(A326,'Base Prueba'!A:D,4,),"NO REGISTRA")</f>
        <v>DIRECTOR DE PROGRAMAS DE PRODUCCIÓN VISUAL Y AUDIOVISUAL</v>
      </c>
      <c r="E326" s="5" t="str">
        <f>IFERROR(VLOOKUP(A326,'Base Prueba'!A:E,5,),"NO REGISTRA")</f>
        <v>FACULTAD DE COMINICACIÓN PERIODISMO Y ARTES</v>
      </c>
    </row>
    <row r="327" spans="1:5" ht="15.75" x14ac:dyDescent="0.25">
      <c r="A327" s="10">
        <v>1023954848</v>
      </c>
      <c r="B327" s="2">
        <v>46078.345558912035</v>
      </c>
      <c r="C327" s="3" t="str">
        <f>IFERROR(VLOOKUP(A327,'Base Prueba'!A:C,3,),"NO REGISTRA")</f>
        <v>JUAN CARLOS ESPITIA ORTIZ</v>
      </c>
      <c r="D327" s="4" t="str">
        <f>IFERROR(VLOOKUP(A327,'Base Prueba'!A:D,4,),"NO REGISTRA")</f>
        <v>ANALISTA DE INFRAESTRUCTURA</v>
      </c>
      <c r="E327" s="5" t="str">
        <f>IFERROR(VLOOKUP(A327,'Base Prueba'!A:E,5,),"NO REGISTRA")</f>
        <v>DEPARTAMENTO DE INFORMATICA Y TECNOLOGIA</v>
      </c>
    </row>
    <row r="328" spans="1:5" ht="15.75" x14ac:dyDescent="0.25">
      <c r="A328" s="10">
        <v>52049956</v>
      </c>
      <c r="B328" s="2">
        <v>46078.356104166669</v>
      </c>
      <c r="C328" s="3" t="str">
        <f>IFERROR(VLOOKUP(A328,'Base Prueba'!A:C,3,),"NO REGISTRA")</f>
        <v>ESPERANZA MORALES</v>
      </c>
      <c r="D328" s="4" t="str">
        <f>IFERROR(VLOOKUP(A328,'Base Prueba'!A:D,4,),"NO REGISTRA")</f>
        <v>DIRECTORA DE INFORMATICA Y TECNOLOGIA</v>
      </c>
      <c r="E328" s="5" t="str">
        <f>IFERROR(VLOOKUP(A328,'Base Prueba'!A:E,5,),"NO REGISTRA")</f>
        <v>DEPARTAMENTO DE INFORMATICA Y TECNOLOGIA</v>
      </c>
    </row>
    <row r="329" spans="1:5" ht="15.75" x14ac:dyDescent="0.25">
      <c r="A329" s="10">
        <v>19461924</v>
      </c>
      <c r="B329" s="2">
        <v>46078.380579861114</v>
      </c>
      <c r="C329" s="3" t="str">
        <f>IFERROR(VLOOKUP(A329,'Base Prueba'!A:C,3,),"NO REGISTRA")</f>
        <v>ORLANDO ALBERTO ORTIZ SANCHEZ</v>
      </c>
      <c r="D329" s="4" t="str">
        <f>IFERROR(VLOOKUP(A329,'Base Prueba'!A:D,4,),"NO REGISTRA")</f>
        <v>DOCENTE DE TIEMPO COMPLETO</v>
      </c>
      <c r="E329" s="5" t="str">
        <f>IFERROR(VLOOKUP(A329,'Base Prueba'!A:E,5,),"NO REGISTRA")</f>
        <v>AREA DE CIENCIAS BASICAS</v>
      </c>
    </row>
    <row r="330" spans="1:5" ht="15.75" x14ac:dyDescent="0.25">
      <c r="A330" s="10">
        <v>23810964</v>
      </c>
      <c r="B330" s="2">
        <v>46078.388396759263</v>
      </c>
      <c r="C330" s="3" t="str">
        <f>IFERROR(VLOOKUP(A330,'Base Prueba'!A:C,3,),"NO REGISTRA")</f>
        <v>JULY FERNANDA GOMEZ NIÑO</v>
      </c>
      <c r="D330" s="4" t="str">
        <f>IFERROR(VLOOKUP(A330,'Base Prueba'!A:D,4,),"NO REGISTRA")</f>
        <v>DOCENTE DE MEDIO TIEMPO</v>
      </c>
      <c r="E330" s="5" t="str">
        <f>IFERROR(VLOOKUP(A330,'Base Prueba'!A:E,5,),"NO REGISTRA")</f>
        <v>TECNOLOGIA EN ADMINISTRACION DEL TALENTO HUMANO</v>
      </c>
    </row>
    <row r="331" spans="1:5" ht="15.75" x14ac:dyDescent="0.25">
      <c r="A331" s="10">
        <v>1032487526</v>
      </c>
      <c r="B331" s="2">
        <v>46078.495391087963</v>
      </c>
      <c r="C331" s="3" t="str">
        <f>IFERROR(VLOOKUP(A331,'Base Prueba'!A:C,3,),"NO REGISTRA")</f>
        <v>LAURA ANDREA MEZA MARTINEZ</v>
      </c>
      <c r="D331" s="4" t="str">
        <f>IFERROR(VLOOKUP(A331,'Base Prueba'!A:D,4,),"NO REGISTRA")</f>
        <v>DOCENTE DE MEDIO TIEMPO</v>
      </c>
      <c r="E331" s="5" t="str">
        <f>IFERROR(VLOOKUP(A331,'Base Prueba'!A:E,5,),"NO REGISTRA")</f>
        <v>TECNICO LABORAL AUXILIAR PRODUCCION GRAFICA</v>
      </c>
    </row>
    <row r="332" spans="1:5" ht="15.75" x14ac:dyDescent="0.25">
      <c r="A332" s="10">
        <v>1032361262</v>
      </c>
      <c r="B332" s="2">
        <v>46078.501292361114</v>
      </c>
      <c r="C332" s="3" t="str">
        <f>IFERROR(VLOOKUP(A332,'Base Prueba'!A:C,3,),"NO REGISTRA")</f>
        <v>CAMILO  ANDRES BALLESTEROS SANABRIA</v>
      </c>
      <c r="D332" s="4" t="str">
        <f>IFERROR(VLOOKUP(A332,'Base Prueba'!A:D,4,),"NO REGISTRA")</f>
        <v>DOCENTE DE MEDIO TIEMPO</v>
      </c>
      <c r="E332" s="5" t="str">
        <f>IFERROR(VLOOKUP(A332,'Base Prueba'!A:E,5,),"NO REGISTRA")</f>
        <v>TECNICA EN FOTOGRAFIA</v>
      </c>
    </row>
    <row r="333" spans="1:5" ht="15.75" x14ac:dyDescent="0.25">
      <c r="A333" s="10">
        <v>1001284791</v>
      </c>
      <c r="B333" s="2">
        <v>46078.541738310189</v>
      </c>
      <c r="C333" s="3" t="str">
        <f>IFERROR(VLOOKUP(A333,'Base Prueba'!A:C,3,),"NO REGISTRA")</f>
        <v>OSCAR STEVEN PEREZ HIDALGO</v>
      </c>
      <c r="D333" s="4" t="str">
        <f>IFERROR(VLOOKUP(A333,'Base Prueba'!A:D,4,),"NO REGISTRA")</f>
        <v>AUXILIAR DE RECURSOS ACADEMICOS</v>
      </c>
      <c r="E333" s="5" t="str">
        <f>IFERROR(VLOOKUP(A333,'Base Prueba'!A:E,5,),"NO REGISTRA")</f>
        <v>RECURSOS ACADEMICOS</v>
      </c>
    </row>
    <row r="334" spans="1:5" ht="15.75" x14ac:dyDescent="0.25">
      <c r="A334" s="10">
        <v>1018482392</v>
      </c>
      <c r="B334" s="2">
        <v>46078.541801504631</v>
      </c>
      <c r="C334" s="3" t="str">
        <f>IFERROR(VLOOKUP(A334,'Base Prueba'!A:C,3,),"NO REGISTRA")</f>
        <v>RAQUEL YANETH SANDOVAL FORERO</v>
      </c>
      <c r="D334" s="4" t="str">
        <f>IFERROR(VLOOKUP(A334,'Base Prueba'!A:D,4,),"NO REGISTRA")</f>
        <v>AUXILIAR DE RECURSOS ACADEMICOS</v>
      </c>
      <c r="E334" s="5" t="str">
        <f>IFERROR(VLOOKUP(A334,'Base Prueba'!A:E,5,),"NO REGISTRA")</f>
        <v>RECURSOS ACADEMICOS</v>
      </c>
    </row>
    <row r="335" spans="1:5" ht="15.75" x14ac:dyDescent="0.25">
      <c r="A335" s="10">
        <v>248294</v>
      </c>
      <c r="B335" s="2">
        <v>46078.67314467593</v>
      </c>
      <c r="C335" s="3" t="str">
        <f>IFERROR(VLOOKUP(A335,'Base Prueba'!A:C,3,),"NO REGISTRA")</f>
        <v>WALTER NATALIO VALDEZ MONTAÑEZ</v>
      </c>
      <c r="D335" s="4" t="str">
        <f>IFERROR(VLOOKUP(A335,'Base Prueba'!A:D,4,),"NO REGISTRA")</f>
        <v>DOCENTE DE TIEMPO COMPLETO</v>
      </c>
      <c r="E335" s="5" t="str">
        <f>IFERROR(VLOOKUP(A335,'Base Prueba'!A:E,5,),"NO REGISTRA")</f>
        <v>UNIVERSITARIO EN TURISMO Y GASTRONOMIA</v>
      </c>
    </row>
    <row r="336" spans="1:5" ht="15.75" x14ac:dyDescent="0.25">
      <c r="A336" s="10">
        <v>1014210502</v>
      </c>
      <c r="B336" s="2">
        <v>46078.751960069443</v>
      </c>
      <c r="C336" s="3" t="str">
        <f>IFERROR(VLOOKUP(A336,'Base Prueba'!A:C,3,),"NO REGISTRA")</f>
        <v>PABLO JAVIER MEDINA RAMIREZ</v>
      </c>
      <c r="D336" s="4" t="str">
        <f>IFERROR(VLOOKUP(A336,'Base Prueba'!A:D,4,),"NO REGISTRA")</f>
        <v>DOCENTE DE MEDIO TIEMPO</v>
      </c>
      <c r="E336" s="5" t="str">
        <f>IFERROR(VLOOKUP(A336,'Base Prueba'!A:E,5,),"NO REGISTRA")</f>
        <v>NARRATIVAS DIGITALES Y AUDIOVISUALES</v>
      </c>
    </row>
    <row r="337" spans="1:5" ht="15.75" x14ac:dyDescent="0.25">
      <c r="A337" s="10">
        <v>52049956</v>
      </c>
      <c r="B337" s="2">
        <v>46078.810421296293</v>
      </c>
      <c r="C337" s="3" t="str">
        <f>IFERROR(VLOOKUP(A337,'Base Prueba'!A:C,3,),"NO REGISTRA")</f>
        <v>ESPERANZA MORALES</v>
      </c>
      <c r="D337" s="4" t="str">
        <f>IFERROR(VLOOKUP(A337,'Base Prueba'!A:D,4,),"NO REGISTRA")</f>
        <v>DIRECTORA DE INFORMATICA Y TECNOLOGIA</v>
      </c>
      <c r="E337" s="5" t="str">
        <f>IFERROR(VLOOKUP(A337,'Base Prueba'!A:E,5,),"NO REGISTRA")</f>
        <v>DEPARTAMENTO DE INFORMATICA Y TECNOLOGIA</v>
      </c>
    </row>
    <row r="338" spans="1:5" ht="15.75" x14ac:dyDescent="0.25">
      <c r="A338" s="10">
        <v>79452150</v>
      </c>
      <c r="B338" s="2">
        <v>46078.814853240743</v>
      </c>
      <c r="C338" s="3" t="str">
        <f>IFERROR(VLOOKUP(A338,'Base Prueba'!A:C,3,),"NO REGISTRA")</f>
        <v>JUAN CARLOS PAZ CUBILLOS</v>
      </c>
      <c r="D338" s="4" t="str">
        <f>IFERROR(VLOOKUP(A338,'Base Prueba'!A:D,4,),"NO REGISTRA")</f>
        <v>ANALISTA DE SISTEMAS</v>
      </c>
      <c r="E338" s="5" t="str">
        <f>IFERROR(VLOOKUP(A338,'Base Prueba'!A:E,5,),"NO REGISTRA")</f>
        <v>DEPARTAMENTO DE INFORMATICA Y TECNOLOGIA</v>
      </c>
    </row>
    <row r="339" spans="1:5" ht="15.75" x14ac:dyDescent="0.25">
      <c r="A339" s="10">
        <v>80843387</v>
      </c>
      <c r="B339" s="2">
        <v>46078.816517129628</v>
      </c>
      <c r="C339" s="3" t="str">
        <f>IFERROR(VLOOKUP(A339,'Base Prueba'!A:C,3,),"NO REGISTRA")</f>
        <v>ESTEBAN ADOLFO QUESADA SALAZAR</v>
      </c>
      <c r="D339" s="4" t="str">
        <f>IFERROR(VLOOKUP(A339,'Base Prueba'!A:D,4,),"NO REGISTRA")</f>
        <v>DOCENTE DE TIEMPO COMPLETO</v>
      </c>
      <c r="E339" s="5" t="str">
        <f>IFERROR(VLOOKUP(A339,'Base Prueba'!A:E,5,),"NO REGISTRA")</f>
        <v>UNIVERSITARIO COMUNICACION SOCIAL</v>
      </c>
    </row>
    <row r="340" spans="1:5" ht="15.75" x14ac:dyDescent="0.25">
      <c r="A340" s="10">
        <v>51555582</v>
      </c>
      <c r="B340" s="2">
        <v>46078.829725578704</v>
      </c>
      <c r="C340" s="3" t="str">
        <f>IFERROR(VLOOKUP(A340,'Base Prueba'!A:C,3,),"NO REGISTRA")</f>
        <v>MARTHA CECILIA VIDAL ARIZABALETA</v>
      </c>
      <c r="D340" s="4" t="str">
        <f>IFERROR(VLOOKUP(A340,'Base Prueba'!A:D,4,),"NO REGISTRA")</f>
        <v>DOCENTE DE MEDIO TIEMPO</v>
      </c>
      <c r="E340" s="5" t="str">
        <f>IFERROR(VLOOKUP(A340,'Base Prueba'!A:E,5,),"NO REGISTRA")</f>
        <v>INGENIERIA DE SOFTWARE</v>
      </c>
    </row>
    <row r="341" spans="1:5" ht="15.75" x14ac:dyDescent="0.25">
      <c r="A341" s="10">
        <v>1032457498</v>
      </c>
      <c r="B341" s="2">
        <v>46078.850989583334</v>
      </c>
      <c r="C341" s="3" t="str">
        <f>IFERROR(VLOOKUP(A341,'Base Prueba'!A:C,3,),"NO REGISTRA")</f>
        <v>LOTUS KING SALCEDO VALLEJO</v>
      </c>
      <c r="D341" s="4" t="str">
        <f>IFERROR(VLOOKUP(A341,'Base Prueba'!A:D,4,),"NO REGISTRA")</f>
        <v>COORDINADOR DE INVESTIGACIÓN</v>
      </c>
      <c r="E341" s="5" t="str">
        <f>IFERROR(VLOOKUP(A341,'Base Prueba'!A:E,5,),"NO REGISTRA")</f>
        <v>VICERRECTORIA ACADEMICA</v>
      </c>
    </row>
    <row r="342" spans="1:5" ht="15.75" x14ac:dyDescent="0.25">
      <c r="A342" s="10">
        <v>52850506</v>
      </c>
      <c r="B342" s="2">
        <v>46078.852430092593</v>
      </c>
      <c r="C342" s="3" t="str">
        <f>IFERROR(VLOOKUP(A342,'Base Prueba'!A:C,3,),"NO REGISTRA")</f>
        <v>PAOLA ANDREA VASQUEZ FONSECA</v>
      </c>
      <c r="D342" s="4" t="str">
        <f>IFERROR(VLOOKUP(A342,'Base Prueba'!A:D,4,),"NO REGISTRA")</f>
        <v>DOCENTE DE TIEMPO COMPLETO</v>
      </c>
      <c r="E342" s="5" t="str">
        <f>IFERROR(VLOOKUP(A342,'Base Prueba'!A:E,5,),"NO REGISTRA")</f>
        <v>UNIVERSITARIO COMUNICACION SOCIAL</v>
      </c>
    </row>
    <row r="343" spans="1:5" ht="15.75" x14ac:dyDescent="0.25">
      <c r="A343" s="10">
        <v>1023898029</v>
      </c>
      <c r="B343" s="2">
        <v>46078.853148958333</v>
      </c>
      <c r="C343" s="3" t="str">
        <f>IFERROR(VLOOKUP(A343,'Base Prueba'!A:C,3,),"NO REGISTRA")</f>
        <v>EMANUEL ENCISO CAMACHO</v>
      </c>
      <c r="D343" s="4" t="str">
        <f>IFERROR(VLOOKUP(A343,'Base Prueba'!A:D,4,),"NO REGISTRA")</f>
        <v>DECANO</v>
      </c>
      <c r="E343" s="5" t="str">
        <f>IFERROR(VLOOKUP(A343,'Base Prueba'!A:E,5,),"NO REGISTRA")</f>
        <v>FACULTAD DE COMINICACIÓN PERIODISMO Y ARTES</v>
      </c>
    </row>
    <row r="344" spans="1:5" ht="15.75" x14ac:dyDescent="0.25">
      <c r="A344" s="10">
        <v>1018411979</v>
      </c>
      <c r="B344" s="2">
        <v>46078.853217245371</v>
      </c>
      <c r="C344" s="3" t="str">
        <f>IFERROR(VLOOKUP(A344,'Base Prueba'!A:C,3,),"NO REGISTRA")</f>
        <v>MIGUEL ALFONSO CUELLAR GOMEZ</v>
      </c>
      <c r="D344" s="4" t="str">
        <f>IFERROR(VLOOKUP(A344,'Base Prueba'!A:D,4,),"NO REGISTRA")</f>
        <v>DIRECTOR DE PROGRAMAS DE PRODUCCIÓN VISUAL Y AUDIOVISUAL</v>
      </c>
      <c r="E344" s="5" t="str">
        <f>IFERROR(VLOOKUP(A344,'Base Prueba'!A:E,5,),"NO REGISTRA")</f>
        <v>FACULTAD DE COMINICACIÓN PERIODISMO Y ARTES</v>
      </c>
    </row>
    <row r="345" spans="1:5" ht="15.75" x14ac:dyDescent="0.25">
      <c r="A345" s="10">
        <v>1024549760</v>
      </c>
      <c r="B345" s="2">
        <v>46078.854204282405</v>
      </c>
      <c r="C345" s="3" t="str">
        <f>IFERROR(VLOOKUP(A345,'Base Prueba'!A:C,3,),"NO REGISTRA")</f>
        <v>FRANCY YISETH JAIMES NEIRA</v>
      </c>
      <c r="D345" s="4" t="str">
        <f>IFERROR(VLOOKUP(A345,'Base Prueba'!A:D,4,),"NO REGISTRA")</f>
        <v>SECRETARIA ACADEMICA - ADMINISTRATIVA DE FACULTAD</v>
      </c>
      <c r="E345" s="5" t="str">
        <f>IFERROR(VLOOKUP(A345,'Base Prueba'!A:E,5,),"NO REGISTRA")</f>
        <v>FACULTAD DE COMINICACIÓN PERIODISMO Y ARTES</v>
      </c>
    </row>
    <row r="346" spans="1:5" ht="15.75" x14ac:dyDescent="0.25">
      <c r="A346" s="10">
        <v>52049956</v>
      </c>
      <c r="B346" s="2">
        <v>46079.38593773148</v>
      </c>
      <c r="C346" s="3" t="str">
        <f>IFERROR(VLOOKUP(A346,'Base Prueba'!A:C,3,),"NO REGISTRA")</f>
        <v>ESPERANZA MORALES</v>
      </c>
      <c r="D346" s="4" t="str">
        <f>IFERROR(VLOOKUP(A346,'Base Prueba'!A:D,4,),"NO REGISTRA")</f>
        <v>DIRECTORA DE INFORMATICA Y TECNOLOGIA</v>
      </c>
      <c r="E346" s="5" t="str">
        <f>IFERROR(VLOOKUP(A346,'Base Prueba'!A:E,5,),"NO REGISTRA")</f>
        <v>DEPARTAMENTO DE INFORMATICA Y TECNOLOGIA</v>
      </c>
    </row>
    <row r="347" spans="1:5" ht="15.75" x14ac:dyDescent="0.25">
      <c r="A347" s="10">
        <v>1032361262</v>
      </c>
      <c r="B347" s="2">
        <v>46079.481570717595</v>
      </c>
      <c r="C347" s="3" t="str">
        <f>IFERROR(VLOOKUP(A347,'Base Prueba'!A:C,3,),"NO REGISTRA")</f>
        <v>CAMILO  ANDRES BALLESTEROS SANABRIA</v>
      </c>
      <c r="D347" s="4" t="str">
        <f>IFERROR(VLOOKUP(A347,'Base Prueba'!A:D,4,),"NO REGISTRA")</f>
        <v>DOCENTE DE MEDIO TIEMPO</v>
      </c>
      <c r="E347" s="5" t="str">
        <f>IFERROR(VLOOKUP(A347,'Base Prueba'!A:E,5,),"NO REGISTRA")</f>
        <v>TECNICA EN FOTOGRAFIA</v>
      </c>
    </row>
    <row r="348" spans="1:5" ht="15.75" x14ac:dyDescent="0.25">
      <c r="A348" s="10">
        <v>1019125716</v>
      </c>
      <c r="B348" s="2">
        <v>46079.496040972219</v>
      </c>
      <c r="C348" s="3" t="str">
        <f>IFERROR(VLOOKUP(A348,'Base Prueba'!A:C,3,),"NO REGISTRA")</f>
        <v>GINA PAOLA ALZATE ARISTIZABAL</v>
      </c>
      <c r="D348" s="4" t="str">
        <f>IFERROR(VLOOKUP(A348,'Base Prueba'!A:D,4,),"NO REGISTRA")</f>
        <v>DOCENTE DE MEDIO TIEMPO</v>
      </c>
      <c r="E348" s="5" t="str">
        <f>IFERROR(VLOOKUP(A348,'Base Prueba'!A:E,5,),"NO REGISTRA")</f>
        <v>UNIDAD DE IDIOMAS</v>
      </c>
    </row>
    <row r="349" spans="1:5" ht="15.75" x14ac:dyDescent="0.25">
      <c r="A349" s="10">
        <v>52782050</v>
      </c>
      <c r="B349" s="2">
        <v>46079.562590162037</v>
      </c>
      <c r="C349" s="3" t="str">
        <f>IFERROR(VLOOKUP(A349,'Base Prueba'!A:C,3,),"NO REGISTRA")</f>
        <v>MELISSA AVENDAÑO TOCANCHON</v>
      </c>
      <c r="D349" s="4" t="str">
        <f>IFERROR(VLOOKUP(A349,'Base Prueba'!A:D,4,),"NO REGISTRA")</f>
        <v>DOCENTE DE MEDIO TIEMPO</v>
      </c>
      <c r="E349" s="5" t="str">
        <f>IFERROR(VLOOKUP(A349,'Base Prueba'!A:E,5,),"NO REGISTRA")</f>
        <v>NARRATIVAS DIGITALES Y AUDIOVISUALES</v>
      </c>
    </row>
    <row r="350" spans="1:5" ht="15.75" x14ac:dyDescent="0.25">
      <c r="A350" s="10">
        <v>248294</v>
      </c>
      <c r="B350" s="2">
        <v>46079.66874155093</v>
      </c>
      <c r="C350" s="3" t="str">
        <f>IFERROR(VLOOKUP(A350,'Base Prueba'!A:C,3,),"NO REGISTRA")</f>
        <v>WALTER NATALIO VALDEZ MONTAÑEZ</v>
      </c>
      <c r="D350" s="4" t="str">
        <f>IFERROR(VLOOKUP(A350,'Base Prueba'!A:D,4,),"NO REGISTRA")</f>
        <v>DOCENTE DE TIEMPO COMPLETO</v>
      </c>
      <c r="E350" s="5" t="str">
        <f>IFERROR(VLOOKUP(A350,'Base Prueba'!A:E,5,),"NO REGISTRA")</f>
        <v>UNIVERSITARIO EN TURISMO Y GASTRONOMIA</v>
      </c>
    </row>
    <row r="351" spans="1:5" ht="15.75" x14ac:dyDescent="0.25">
      <c r="A351" s="10">
        <v>52708259</v>
      </c>
      <c r="B351" s="2">
        <v>46079.779629513891</v>
      </c>
      <c r="C351" s="3" t="str">
        <f>IFERROR(VLOOKUP(A351,'Base Prueba'!A:C,3,),"NO REGISTRA")</f>
        <v>MARTHA CECILIA CALDERON RAMOS</v>
      </c>
      <c r="D351" s="4" t="str">
        <f>IFERROR(VLOOKUP(A351,'Base Prueba'!A:D,4,),"NO REGISTRA")</f>
        <v>CATEDRATICO</v>
      </c>
      <c r="E351" s="5" t="str">
        <f>IFERROR(VLOOKUP(A351,'Base Prueba'!A:E,5,),"NO REGISTRA")</f>
        <v>ESPECIALIZACION EN GERNCIA DE SEGURIDAD Y SALUD EN EL TRABAJO</v>
      </c>
    </row>
    <row r="352" spans="1:5" ht="15.75" x14ac:dyDescent="0.25">
      <c r="A352" s="10">
        <v>79452150</v>
      </c>
      <c r="B352" s="2">
        <v>46079.800823958336</v>
      </c>
      <c r="C352" s="3" t="str">
        <f>IFERROR(VLOOKUP(A352,'Base Prueba'!A:C,3,),"NO REGISTRA")</f>
        <v>JUAN CARLOS PAZ CUBILLOS</v>
      </c>
      <c r="D352" s="4" t="str">
        <f>IFERROR(VLOOKUP(A352,'Base Prueba'!A:D,4,),"NO REGISTRA")</f>
        <v>ANALISTA DE SISTEMAS</v>
      </c>
      <c r="E352" s="5" t="str">
        <f>IFERROR(VLOOKUP(A352,'Base Prueba'!A:E,5,),"NO REGISTRA")</f>
        <v>DEPARTAMENTO DE INFORMATICA Y TECNOLOGIA</v>
      </c>
    </row>
    <row r="353" spans="1:5" ht="15.75" x14ac:dyDescent="0.25">
      <c r="A353" s="10">
        <v>52049956</v>
      </c>
      <c r="B353" s="2">
        <v>46079.821470486109</v>
      </c>
      <c r="C353" s="3" t="str">
        <f>IFERROR(VLOOKUP(A353,'Base Prueba'!A:C,3,),"NO REGISTRA")</f>
        <v>ESPERANZA MORALES</v>
      </c>
      <c r="D353" s="4" t="str">
        <f>IFERROR(VLOOKUP(A353,'Base Prueba'!A:D,4,),"NO REGISTRA")</f>
        <v>DIRECTORA DE INFORMATICA Y TECNOLOGIA</v>
      </c>
      <c r="E353" s="5" t="str">
        <f>IFERROR(VLOOKUP(A353,'Base Prueba'!A:E,5,),"NO REGISTRA")</f>
        <v>DEPARTAMENTO DE INFORMATICA Y TECNOLOGIA</v>
      </c>
    </row>
    <row r="354" spans="1:5" ht="15.75" x14ac:dyDescent="0.25">
      <c r="A354" s="10">
        <v>52850506</v>
      </c>
      <c r="B354" s="2">
        <v>46079.84724328704</v>
      </c>
      <c r="C354" s="3" t="str">
        <f>IFERROR(VLOOKUP(A354,'Base Prueba'!A:C,3,),"NO REGISTRA")</f>
        <v>PAOLA ANDREA VASQUEZ FONSECA</v>
      </c>
      <c r="D354" s="4" t="str">
        <f>IFERROR(VLOOKUP(A354,'Base Prueba'!A:D,4,),"NO REGISTRA")</f>
        <v>DOCENTE DE TIEMPO COMPLETO</v>
      </c>
      <c r="E354" s="5" t="str">
        <f>IFERROR(VLOOKUP(A354,'Base Prueba'!A:E,5,),"NO REGISTRA")</f>
        <v>UNIVERSITARIO COMUNICACION SOCIAL</v>
      </c>
    </row>
    <row r="355" spans="1:5" ht="15.75" x14ac:dyDescent="0.25">
      <c r="A355" s="10">
        <v>1023897886</v>
      </c>
      <c r="B355" s="2">
        <v>46079.855347569443</v>
      </c>
      <c r="C355" s="3" t="str">
        <f>IFERROR(VLOOKUP(A355,'Base Prueba'!A:C,3,),"NO REGISTRA")</f>
        <v>NO REGISTRA</v>
      </c>
      <c r="D355" s="4" t="str">
        <f>IFERROR(VLOOKUP(A355,'Base Prueba'!A:D,4,),"NO REGISTRA")</f>
        <v>NO REGISTRA</v>
      </c>
      <c r="E355" s="5" t="str">
        <f>IFERROR(VLOOKUP(A355,'Base Prueba'!A:E,5,),"NO REGISTRA")</f>
        <v>NO REGISTRA</v>
      </c>
    </row>
    <row r="356" spans="1:5" ht="15.75" x14ac:dyDescent="0.25">
      <c r="A356" s="10">
        <v>52708259</v>
      </c>
      <c r="B356" s="2">
        <v>46079.903802314817</v>
      </c>
      <c r="C356" s="3" t="str">
        <f>IFERROR(VLOOKUP(A356,'Base Prueba'!A:C,3,),"NO REGISTRA")</f>
        <v>MARTHA CECILIA CALDERON RAMOS</v>
      </c>
      <c r="D356" s="4" t="str">
        <f>IFERROR(VLOOKUP(A356,'Base Prueba'!A:D,4,),"NO REGISTRA")</f>
        <v>CATEDRATICO</v>
      </c>
      <c r="E356" s="5" t="str">
        <f>IFERROR(VLOOKUP(A356,'Base Prueba'!A:E,5,),"NO REGISTRA")</f>
        <v>ESPECIALIZACION EN GERNCIA DE SEGURIDAD Y SALUD EN EL TRABAJO</v>
      </c>
    </row>
    <row r="357" spans="1:5" ht="15.75" x14ac:dyDescent="0.25">
      <c r="A357" s="10">
        <v>1022378300</v>
      </c>
      <c r="B357" s="2">
        <v>46080.331443171293</v>
      </c>
      <c r="C357" s="3" t="str">
        <f>IFERROR(VLOOKUP(A357,'Base Prueba'!A:C,3,),"NO REGISTRA")</f>
        <v>FERNEY ANDRES CHASPUENGAL RAMIREZ</v>
      </c>
      <c r="D357" s="4" t="str">
        <f>IFERROR(VLOOKUP(A357,'Base Prueba'!A:D,4,),"NO REGISTRA")</f>
        <v>LÍDER DE DEPORTE Y CULTURA</v>
      </c>
      <c r="E357" s="5" t="str">
        <f>IFERROR(VLOOKUP(A357,'Base Prueba'!A:E,5,),"NO REGISTRA")</f>
        <v>DIRECCION DE BIENESTAR INSTITUCIONAL</v>
      </c>
    </row>
    <row r="358" spans="1:5" ht="15.75" x14ac:dyDescent="0.25">
      <c r="A358" s="10">
        <v>1022378300</v>
      </c>
      <c r="B358" s="2">
        <v>46080.33145046296</v>
      </c>
      <c r="C358" s="3" t="str">
        <f>IFERROR(VLOOKUP(A358,'Base Prueba'!A:C,3,),"NO REGISTRA")</f>
        <v>FERNEY ANDRES CHASPUENGAL RAMIREZ</v>
      </c>
      <c r="D358" s="4" t="str">
        <f>IFERROR(VLOOKUP(A358,'Base Prueba'!A:D,4,),"NO REGISTRA")</f>
        <v>LÍDER DE DEPORTE Y CULTURA</v>
      </c>
      <c r="E358" s="5" t="str">
        <f>IFERROR(VLOOKUP(A358,'Base Prueba'!A:E,5,),"NO REGISTRA")</f>
        <v>DIRECCION DE BIENESTAR INSTITUCIONAL</v>
      </c>
    </row>
    <row r="359" spans="1:5" ht="15.75" x14ac:dyDescent="0.25">
      <c r="A359" s="10">
        <v>1026293347</v>
      </c>
      <c r="B359" s="2">
        <v>46080.367937152776</v>
      </c>
      <c r="C359" s="3" t="str">
        <f>IFERROR(VLOOKUP(A359,'Base Prueba'!A:C,3,),"NO REGISTRA")</f>
        <v>LAURA JINETH ORJUELA ROJAS</v>
      </c>
      <c r="D359" s="4" t="str">
        <f>IFERROR(VLOOKUP(A359,'Base Prueba'!A:D,4,),"NO REGISTRA")</f>
        <v>APRENDIZ UNIVERSITARIO</v>
      </c>
      <c r="E359" s="5" t="str">
        <f>IFERROR(VLOOKUP(A359,'Base Prueba'!A:E,5,),"NO REGISTRA")</f>
        <v>DIRECCION DE BIENESTAR INSTITUCIONAL</v>
      </c>
    </row>
    <row r="360" spans="1:5" ht="15.75" x14ac:dyDescent="0.25">
      <c r="A360" s="10">
        <v>52049956</v>
      </c>
      <c r="B360" s="2">
        <v>46080.378859259261</v>
      </c>
      <c r="C360" s="3" t="str">
        <f>IFERROR(VLOOKUP(A360,'Base Prueba'!A:C,3,),"NO REGISTRA")</f>
        <v>ESPERANZA MORALES</v>
      </c>
      <c r="D360" s="4" t="str">
        <f>IFERROR(VLOOKUP(A360,'Base Prueba'!A:D,4,),"NO REGISTRA")</f>
        <v>DIRECTORA DE INFORMATICA Y TECNOLOGIA</v>
      </c>
      <c r="E360" s="5" t="str">
        <f>IFERROR(VLOOKUP(A360,'Base Prueba'!A:E,5,),"NO REGISTRA")</f>
        <v>DEPARTAMENTO DE INFORMATICA Y TECNOLOGIA</v>
      </c>
    </row>
    <row r="361" spans="1:5" ht="15.75" x14ac:dyDescent="0.25">
      <c r="A361" s="10">
        <v>79484197</v>
      </c>
      <c r="B361" s="2">
        <v>46080.418175810184</v>
      </c>
      <c r="C361" s="3" t="str">
        <f>IFERROR(VLOOKUP(A361,'Base Prueba'!A:C,3,),"NO REGISTRA")</f>
        <v>JOHN DANIEL GUTIERREZ BOADA</v>
      </c>
      <c r="D361" s="4" t="str">
        <f>IFERROR(VLOOKUP(A361,'Base Prueba'!A:D,4,),"NO REGISTRA")</f>
        <v>DOCENTE DE MEDIO TIEMPO</v>
      </c>
      <c r="E361" s="5" t="str">
        <f>IFERROR(VLOOKUP(A361,'Base Prueba'!A:E,5,),"NO REGISTRA")</f>
        <v>UNIVERSITARIO COMUNICACION SOCIAL</v>
      </c>
    </row>
    <row r="362" spans="1:5" ht="15.75" x14ac:dyDescent="0.25">
      <c r="A362" s="10">
        <v>52850506</v>
      </c>
      <c r="B362" s="2">
        <v>46080.486411689817</v>
      </c>
      <c r="C362" s="3" t="str">
        <f>IFERROR(VLOOKUP(A362,'Base Prueba'!A:C,3,),"NO REGISTRA")</f>
        <v>PAOLA ANDREA VASQUEZ FONSECA</v>
      </c>
      <c r="D362" s="4" t="str">
        <f>IFERROR(VLOOKUP(A362,'Base Prueba'!A:D,4,),"NO REGISTRA")</f>
        <v>DOCENTE DE TIEMPO COMPLETO</v>
      </c>
      <c r="E362" s="5" t="str">
        <f>IFERROR(VLOOKUP(A362,'Base Prueba'!A:E,5,),"NO REGISTRA")</f>
        <v>UNIVERSITARIO COMUNICACION SOCIAL</v>
      </c>
    </row>
    <row r="363" spans="1:5" ht="15.75" x14ac:dyDescent="0.25">
      <c r="A363" s="10">
        <v>52708259</v>
      </c>
      <c r="B363" s="2">
        <v>46080.7542412037</v>
      </c>
      <c r="C363" s="3" t="str">
        <f>IFERROR(VLOOKUP(A363,'Base Prueba'!A:C,3,),"NO REGISTRA")</f>
        <v>MARTHA CECILIA CALDERON RAMOS</v>
      </c>
      <c r="D363" s="4" t="str">
        <f>IFERROR(VLOOKUP(A363,'Base Prueba'!A:D,4,),"NO REGISTRA")</f>
        <v>CATEDRATICO</v>
      </c>
      <c r="E363" s="5" t="str">
        <f>IFERROR(VLOOKUP(A363,'Base Prueba'!A:E,5,),"NO REGISTRA")</f>
        <v>ESPECIALIZACION EN GERNCIA DE SEGURIDAD Y SALUD EN EL TRABAJO</v>
      </c>
    </row>
    <row r="364" spans="1:5" ht="15.75" x14ac:dyDescent="0.25">
      <c r="A364" s="10">
        <v>79452150</v>
      </c>
      <c r="B364" s="2">
        <v>46080.793345833335</v>
      </c>
      <c r="C364" s="3" t="str">
        <f>IFERROR(VLOOKUP(A364,'Base Prueba'!A:C,3,),"NO REGISTRA")</f>
        <v>JUAN CARLOS PAZ CUBILLOS</v>
      </c>
      <c r="D364" s="4" t="str">
        <f>IFERROR(VLOOKUP(A364,'Base Prueba'!A:D,4,),"NO REGISTRA")</f>
        <v>ANALISTA DE SISTEMAS</v>
      </c>
      <c r="E364" s="5" t="str">
        <f>IFERROR(VLOOKUP(A364,'Base Prueba'!A:E,5,),"NO REGISTRA")</f>
        <v>DEPARTAMENTO DE INFORMATICA Y TECNOLOGIA</v>
      </c>
    </row>
    <row r="365" spans="1:5" ht="15.75" x14ac:dyDescent="0.25">
      <c r="A365" s="10">
        <v>1018411979</v>
      </c>
      <c r="B365" s="2">
        <v>46080.805290162039</v>
      </c>
      <c r="C365" s="3" t="str">
        <f>IFERROR(VLOOKUP(A365,'Base Prueba'!A:C,3,),"NO REGISTRA")</f>
        <v>MIGUEL ALFONSO CUELLAR GOMEZ</v>
      </c>
      <c r="D365" s="4" t="str">
        <f>IFERROR(VLOOKUP(A365,'Base Prueba'!A:D,4,),"NO REGISTRA")</f>
        <v>DIRECTOR DE PROGRAMAS DE PRODUCCIÓN VISUAL Y AUDIOVISUAL</v>
      </c>
      <c r="E365" s="5" t="str">
        <f>IFERROR(VLOOKUP(A365,'Base Prueba'!A:E,5,),"NO REGISTRA")</f>
        <v>FACULTAD DE COMINICACIÓN PERIODISMO Y ARTES</v>
      </c>
    </row>
    <row r="366" spans="1:5" ht="15.75" x14ac:dyDescent="0.25">
      <c r="A366" s="10">
        <v>52049956</v>
      </c>
      <c r="B366" s="2">
        <v>46080.812054513888</v>
      </c>
      <c r="C366" s="3" t="str">
        <f>IFERROR(VLOOKUP(A366,'Base Prueba'!A:C,3,),"NO REGISTRA")</f>
        <v>ESPERANZA MORALES</v>
      </c>
      <c r="D366" s="4" t="str">
        <f>IFERROR(VLOOKUP(A366,'Base Prueba'!A:D,4,),"NO REGISTRA")</f>
        <v>DIRECTORA DE INFORMATICA Y TECNOLOGIA</v>
      </c>
      <c r="E366" s="5" t="str">
        <f>IFERROR(VLOOKUP(A366,'Base Prueba'!A:E,5,),"NO REGISTRA")</f>
        <v>DEPARTAMENTO DE INFORMATICA Y TECNOLOGIA</v>
      </c>
    </row>
    <row r="367" spans="1:5" ht="15.75" x14ac:dyDescent="0.25">
      <c r="A367" s="10">
        <v>1014736595</v>
      </c>
      <c r="B367" s="2">
        <v>46080.84075520833</v>
      </c>
      <c r="C367" s="3" t="str">
        <f>IFERROR(VLOOKUP(A367,'Base Prueba'!A:C,3,),"NO REGISTRA")</f>
        <v>PAULA ANDREA PAEZ BUITRAGO</v>
      </c>
      <c r="D367" s="4" t="str">
        <f>IFERROR(VLOOKUP(A367,'Base Prueba'!A:D,4,),"NO REGISTRA")</f>
        <v>PROMOTOR DE BIENESTAR INSTITUCIONAL</v>
      </c>
      <c r="E367" s="5" t="str">
        <f>IFERROR(VLOOKUP(A367,'Base Prueba'!A:E,5,),"NO REGISTRA")</f>
        <v>DIRECCION DE BIENESTAR INSTITUCIONAL</v>
      </c>
    </row>
    <row r="368" spans="1:5" ht="15.75" x14ac:dyDescent="0.25">
      <c r="A368" s="10">
        <v>52708259</v>
      </c>
      <c r="B368" s="2">
        <v>46080.898764699072</v>
      </c>
      <c r="C368" s="3" t="str">
        <f>IFERROR(VLOOKUP(A368,'Base Prueba'!A:C,3,),"NO REGISTRA")</f>
        <v>MARTHA CECILIA CALDERON RAMOS</v>
      </c>
      <c r="D368" s="4" t="str">
        <f>IFERROR(VLOOKUP(A368,'Base Prueba'!A:D,4,),"NO REGISTRA")</f>
        <v>CATEDRATICO</v>
      </c>
      <c r="E368" s="5" t="str">
        <f>IFERROR(VLOOKUP(A368,'Base Prueba'!A:E,5,),"NO REGISTRA")</f>
        <v>ESPECIALIZACION EN GERNCIA DE SEGURIDAD Y SALUD EN EL TRABAJO</v>
      </c>
    </row>
    <row r="369" spans="1:5" ht="15.75" x14ac:dyDescent="0.25">
      <c r="A369" s="10">
        <v>52049956</v>
      </c>
      <c r="B369" s="2">
        <v>46081.366197685187</v>
      </c>
      <c r="C369" s="3" t="str">
        <f>IFERROR(VLOOKUP(A369,'Base Prueba'!A:C,3,),"NO REGISTRA")</f>
        <v>ESPERANZA MORALES</v>
      </c>
      <c r="D369" s="4" t="str">
        <f>IFERROR(VLOOKUP(A369,'Base Prueba'!A:D,4,),"NO REGISTRA")</f>
        <v>DIRECTORA DE INFORMATICA Y TECNOLOGIA</v>
      </c>
      <c r="E369" s="5" t="str">
        <f>IFERROR(VLOOKUP(A369,'Base Prueba'!A:E,5,),"NO REGISTRA")</f>
        <v>DEPARTAMENTO DE INFORMATICA Y TECNOLOGIA</v>
      </c>
    </row>
    <row r="370" spans="1:5" ht="15.75" x14ac:dyDescent="0.25">
      <c r="A370" s="10">
        <v>1022378300</v>
      </c>
      <c r="B370" s="2">
        <v>46081.379936805555</v>
      </c>
      <c r="C370" s="3" t="str">
        <f>IFERROR(VLOOKUP(A370,'Base Prueba'!A:C,3,),"NO REGISTRA")</f>
        <v>FERNEY ANDRES CHASPUENGAL RAMIREZ</v>
      </c>
      <c r="D370" s="4" t="str">
        <f>IFERROR(VLOOKUP(A370,'Base Prueba'!A:D,4,),"NO REGISTRA")</f>
        <v>LÍDER DE DEPORTE Y CULTURA</v>
      </c>
      <c r="E370" s="5" t="str">
        <f>IFERROR(VLOOKUP(A370,'Base Prueba'!A:E,5,),"NO REGISTRA")</f>
        <v>DIRECCION DE BIENESTAR INSTITUCIONAL</v>
      </c>
    </row>
    <row r="371" spans="1:5" ht="15.75" x14ac:dyDescent="0.25">
      <c r="A371" s="10">
        <v>51555582</v>
      </c>
      <c r="B371" s="2">
        <v>46081.490291435184</v>
      </c>
      <c r="C371" s="3" t="str">
        <f>IFERROR(VLOOKUP(A371,'Base Prueba'!A:C,3,),"NO REGISTRA")</f>
        <v>MARTHA CECILIA VIDAL ARIZABALETA</v>
      </c>
      <c r="D371" s="4" t="str">
        <f>IFERROR(VLOOKUP(A371,'Base Prueba'!A:D,4,),"NO REGISTRA")</f>
        <v>DOCENTE DE MEDIO TIEMPO</v>
      </c>
      <c r="E371" s="5" t="str">
        <f>IFERROR(VLOOKUP(A371,'Base Prueba'!A:E,5,),"NO REGISTRA")</f>
        <v>INGENIERIA DE SOFTWARE</v>
      </c>
    </row>
    <row r="372" spans="1:5" ht="15.75" x14ac:dyDescent="0.25">
      <c r="A372" s="10">
        <v>52049956</v>
      </c>
      <c r="B372" s="2">
        <v>46081.528561805557</v>
      </c>
      <c r="C372" s="3" t="str">
        <f>IFERROR(VLOOKUP(A372,'Base Prueba'!A:C,3,),"NO REGISTRA")</f>
        <v>ESPERANZA MORALES</v>
      </c>
      <c r="D372" s="4" t="str">
        <f>IFERROR(VLOOKUP(A372,'Base Prueba'!A:D,4,),"NO REGISTRA")</f>
        <v>DIRECTORA DE INFORMATICA Y TECNOLOGIA</v>
      </c>
      <c r="E372" s="5" t="str">
        <f>IFERROR(VLOOKUP(A372,'Base Prueba'!A:E,5,),"NO REGISTRA")</f>
        <v>DEPARTAMENTO DE INFORMATICA Y TECNOLOGIA</v>
      </c>
    </row>
    <row r="373" spans="1:5" ht="15.75" x14ac:dyDescent="0.25">
      <c r="A373" s="10">
        <v>1073150473</v>
      </c>
      <c r="B373" s="2">
        <v>46081.543146064818</v>
      </c>
      <c r="C373" s="3" t="str">
        <f>IFERROR(VLOOKUP(A373,'Base Prueba'!A:C,3,),"NO REGISTRA")</f>
        <v>DIANA STELLA MELGAREJO MUÑOZ</v>
      </c>
      <c r="D373" s="4" t="str">
        <f>IFERROR(VLOOKUP(A373,'Base Prueba'!A:D,4,),"NO REGISTRA")</f>
        <v>DOCENTE DE MEDIO TIEMPO</v>
      </c>
      <c r="E373" s="5" t="str">
        <f>IFERROR(VLOOKUP(A373,'Base Prueba'!A:E,5,),"NO REGISTRA")</f>
        <v>TECNICA EN FOTOGRAFIA</v>
      </c>
    </row>
    <row r="374" spans="1:5" ht="15.75" x14ac:dyDescent="0.25">
      <c r="A374" s="10">
        <v>1010189117</v>
      </c>
      <c r="B374" s="2">
        <v>46081.787287615742</v>
      </c>
      <c r="C374" s="3" t="str">
        <f>IFERROR(VLOOKUP(A374,'Base Prueba'!A:C,3,),"NO REGISTRA")</f>
        <v>ADRIANA PAOLA CARVAJAL TARAZONA</v>
      </c>
      <c r="D374" s="4" t="str">
        <f>IFERROR(VLOOKUP(A374,'Base Prueba'!A:D,4,),"NO REGISTRA")</f>
        <v>DOCENTE DE MEDIO TIEMPO</v>
      </c>
      <c r="E374" s="5" t="str">
        <f>IFERROR(VLOOKUP(A374,'Base Prueba'!A:E,5,),"NO REGISTRA")</f>
        <v>UNIVERSITARIO COMUNICACION SOCIAL</v>
      </c>
    </row>
    <row r="375" spans="1:5" ht="15.75" x14ac:dyDescent="0.25">
      <c r="A375" s="10">
        <v>248294</v>
      </c>
      <c r="B375" s="2">
        <v>46081.799014699071</v>
      </c>
      <c r="C375" s="3" t="str">
        <f>IFERROR(VLOOKUP(A375,'Base Prueba'!A:C,3,),"NO REGISTRA")</f>
        <v>WALTER NATALIO VALDEZ MONTAÑEZ</v>
      </c>
      <c r="D375" s="4" t="str">
        <f>IFERROR(VLOOKUP(A375,'Base Prueba'!A:D,4,),"NO REGISTRA")</f>
        <v>DOCENTE DE TIEMPO COMPLETO</v>
      </c>
      <c r="E375" s="5" t="str">
        <f>IFERROR(VLOOKUP(A375,'Base Prueba'!A:E,5,),"NO REGISTRA")</f>
        <v>UNIVERSITARIO EN TURISMO Y GASTRONOMIA</v>
      </c>
    </row>
    <row r="376" spans="1:5" ht="15.75" x14ac:dyDescent="0.25">
      <c r="A376" s="10">
        <v>51555582</v>
      </c>
      <c r="B376" s="2">
        <v>46083.299443750002</v>
      </c>
      <c r="C376" s="3" t="str">
        <f>IFERROR(VLOOKUP(A376,'Base Prueba'!A:C,3,),"NO REGISTRA")</f>
        <v>MARTHA CECILIA VIDAL ARIZABALETA</v>
      </c>
      <c r="D376" s="4" t="str">
        <f>IFERROR(VLOOKUP(A376,'Base Prueba'!A:D,4,),"NO REGISTRA")</f>
        <v>DOCENTE DE MEDIO TIEMPO</v>
      </c>
      <c r="E376" s="5" t="str">
        <f>IFERROR(VLOOKUP(A376,'Base Prueba'!A:E,5,),"NO REGISTRA")</f>
        <v>INGENIERIA DE SOFTWARE</v>
      </c>
    </row>
    <row r="377" spans="1:5" ht="15.75" x14ac:dyDescent="0.25">
      <c r="A377" s="10">
        <v>52049956</v>
      </c>
      <c r="B377" s="2">
        <v>46083.376625925928</v>
      </c>
      <c r="C377" s="3" t="str">
        <f>IFERROR(VLOOKUP(A377,'Base Prueba'!A:C,3,),"NO REGISTRA")</f>
        <v>ESPERANZA MORALES</v>
      </c>
      <c r="D377" s="4" t="str">
        <f>IFERROR(VLOOKUP(A377,'Base Prueba'!A:D,4,),"NO REGISTRA")</f>
        <v>DIRECTORA DE INFORMATICA Y TECNOLOGIA</v>
      </c>
      <c r="E377" s="5" t="str">
        <f>IFERROR(VLOOKUP(A377,'Base Prueba'!A:E,5,),"NO REGISTRA")</f>
        <v>DEPARTAMENTO DE INFORMATICA Y TECNOLOGIA</v>
      </c>
    </row>
    <row r="378" spans="1:5" ht="15.75" x14ac:dyDescent="0.25">
      <c r="A378" s="10">
        <v>51555582</v>
      </c>
      <c r="B378" s="2">
        <v>46083.383951388889</v>
      </c>
      <c r="C378" s="3" t="str">
        <f>IFERROR(VLOOKUP(A378,'Base Prueba'!A:C,3,),"NO REGISTRA")</f>
        <v>MARTHA CECILIA VIDAL ARIZABALETA</v>
      </c>
      <c r="D378" s="4" t="str">
        <f>IFERROR(VLOOKUP(A378,'Base Prueba'!A:D,4,),"NO REGISTRA")</f>
        <v>DOCENTE DE MEDIO TIEMPO</v>
      </c>
      <c r="E378" s="5" t="str">
        <f>IFERROR(VLOOKUP(A378,'Base Prueba'!A:E,5,),"NO REGISTRA")</f>
        <v>INGENIERIA DE SOFTWARE</v>
      </c>
    </row>
    <row r="379" spans="1:5" ht="15.75" x14ac:dyDescent="0.25">
      <c r="A379" s="10">
        <v>1010184333</v>
      </c>
      <c r="B379" s="2">
        <v>46083.41186724537</v>
      </c>
      <c r="C379" s="3" t="str">
        <f>IFERROR(VLOOKUP(A379,'Base Prueba'!A:C,3,),"NO REGISTRA")</f>
        <v>AKON ANDRES GARZON ALVAREZ</v>
      </c>
      <c r="D379" s="4" t="str">
        <f>IFERROR(VLOOKUP(A379,'Base Prueba'!A:D,4,),"NO REGISTRA")</f>
        <v>APRENDIZ UNIVERSITARIO</v>
      </c>
      <c r="E379" s="5" t="str">
        <f>IFERROR(VLOOKUP(A379,'Base Prueba'!A:E,5,),"NO REGISTRA")</f>
        <v>SECRETARIA GENERAL</v>
      </c>
    </row>
    <row r="380" spans="1:5" ht="15.75" x14ac:dyDescent="0.25">
      <c r="A380" s="10">
        <v>1001284791</v>
      </c>
      <c r="B380" s="2">
        <v>46083.579245949077</v>
      </c>
      <c r="C380" s="3" t="str">
        <f>IFERROR(VLOOKUP(A380,'Base Prueba'!A:C,3,),"NO REGISTRA")</f>
        <v>OSCAR STEVEN PEREZ HIDALGO</v>
      </c>
      <c r="D380" s="4" t="str">
        <f>IFERROR(VLOOKUP(A380,'Base Prueba'!A:D,4,),"NO REGISTRA")</f>
        <v>AUXILIAR DE RECURSOS ACADEMICOS</v>
      </c>
      <c r="E380" s="5" t="str">
        <f>IFERROR(VLOOKUP(A380,'Base Prueba'!A:E,5,),"NO REGISTRA")</f>
        <v>RECURSOS ACADEMICOS</v>
      </c>
    </row>
    <row r="381" spans="1:5" ht="15.75" x14ac:dyDescent="0.25">
      <c r="A381" s="10">
        <v>1022346044</v>
      </c>
      <c r="B381" s="2">
        <v>46083.730808796296</v>
      </c>
      <c r="C381" s="3" t="str">
        <f>IFERROR(VLOOKUP(A381,'Base Prueba'!A:C,3,),"NO REGISTRA")</f>
        <v>LUZ ALEJANDRA CASTILLO RODRIGUEZ</v>
      </c>
      <c r="D381" s="4" t="str">
        <f>IFERROR(VLOOKUP(A381,'Base Prueba'!A:D,4,),"NO REGISTRA")</f>
        <v>DOCENTE DE MEDIO TIEMPO</v>
      </c>
      <c r="E381" s="5" t="str">
        <f>IFERROR(VLOOKUP(A381,'Base Prueba'!A:E,5,),"NO REGISTRA")</f>
        <v>UNIVERSITARIO EN SEGURIDAD Y SALUD EN EL TRABAJO</v>
      </c>
    </row>
    <row r="382" spans="1:5" ht="15.75" x14ac:dyDescent="0.25">
      <c r="A382" s="10">
        <v>79452150</v>
      </c>
      <c r="B382" s="2">
        <v>46083.811969675924</v>
      </c>
      <c r="C382" s="3" t="str">
        <f>IFERROR(VLOOKUP(A382,'Base Prueba'!A:C,3,),"NO REGISTRA")</f>
        <v>JUAN CARLOS PAZ CUBILLOS</v>
      </c>
      <c r="D382" s="4" t="str">
        <f>IFERROR(VLOOKUP(A382,'Base Prueba'!A:D,4,),"NO REGISTRA")</f>
        <v>ANALISTA DE SISTEMAS</v>
      </c>
      <c r="E382" s="5" t="str">
        <f>IFERROR(VLOOKUP(A382,'Base Prueba'!A:E,5,),"NO REGISTRA")</f>
        <v>DEPARTAMENTO DE INFORMATICA Y TECNOLOGIA</v>
      </c>
    </row>
    <row r="383" spans="1:5" ht="15.75" x14ac:dyDescent="0.25">
      <c r="A383" s="10">
        <v>52049956</v>
      </c>
      <c r="B383" s="2">
        <v>46083.845566666663</v>
      </c>
      <c r="C383" s="3" t="str">
        <f>IFERROR(VLOOKUP(A383,'Base Prueba'!A:C,3,),"NO REGISTRA")</f>
        <v>ESPERANZA MORALES</v>
      </c>
      <c r="D383" s="4" t="str">
        <f>IFERROR(VLOOKUP(A383,'Base Prueba'!A:D,4,),"NO REGISTRA")</f>
        <v>DIRECTORA DE INFORMATICA Y TECNOLOGIA</v>
      </c>
      <c r="E383" s="5" t="str">
        <f>IFERROR(VLOOKUP(A383,'Base Prueba'!A:E,5,),"NO REGISTRA")</f>
        <v>DEPARTAMENTO DE INFORMATICA Y TECNOLOGIA</v>
      </c>
    </row>
    <row r="384" spans="1:5" ht="15.75" x14ac:dyDescent="0.25">
      <c r="A384" s="10">
        <v>1033762993</v>
      </c>
      <c r="B384" s="2">
        <v>46083.852229282405</v>
      </c>
      <c r="C384" s="3" t="str">
        <f>IFERROR(VLOOKUP(A384,'Base Prueba'!A:C,3,),"NO REGISTRA")</f>
        <v>DIEGO FERNANDO MEDINA PEREZ</v>
      </c>
      <c r="D384" s="4" t="str">
        <f>IFERROR(VLOOKUP(A384,'Base Prueba'!A:D,4,),"NO REGISTRA")</f>
        <v>DOCENTE DE MEDIO TIEMPO</v>
      </c>
      <c r="E384" s="5" t="str">
        <f>IFERROR(VLOOKUP(A384,'Base Prueba'!A:E,5,),"NO REGISTRA")</f>
        <v>UNIDAD DE IDIOMAS</v>
      </c>
    </row>
    <row r="385" spans="1:5" ht="15.75" x14ac:dyDescent="0.25">
      <c r="A385" s="10">
        <v>1032401971</v>
      </c>
      <c r="B385" s="2">
        <v>46083.874998611114</v>
      </c>
      <c r="C385" s="3" t="str">
        <f>IFERROR(VLOOKUP(A385,'Base Prueba'!A:C,3,),"NO REGISTRA")</f>
        <v>ANDRYU ENRIQUE MENDOZA BELTRAN</v>
      </c>
      <c r="D385" s="4" t="str">
        <f>IFERROR(VLOOKUP(A385,'Base Prueba'!A:D,4,),"NO REGISTRA")</f>
        <v>DOCENTE DE TIEMPO COMPLETO</v>
      </c>
      <c r="E385" s="5" t="str">
        <f>IFERROR(VLOOKUP(A385,'Base Prueba'!A:E,5,),"NO REGISTRA")</f>
        <v>UNIVERSITARIO ADMINISTRACION DE EMPRESAS</v>
      </c>
    </row>
    <row r="386" spans="1:5" ht="15.75" x14ac:dyDescent="0.25">
      <c r="A386" s="10">
        <v>52049956</v>
      </c>
      <c r="B386" s="2">
        <v>46084.376661805552</v>
      </c>
      <c r="C386" s="3" t="str">
        <f>IFERROR(VLOOKUP(A386,'Base Prueba'!A:C,3,),"NO REGISTRA")</f>
        <v>ESPERANZA MORALES</v>
      </c>
      <c r="D386" s="4" t="str">
        <f>IFERROR(VLOOKUP(A386,'Base Prueba'!A:D,4,),"NO REGISTRA")</f>
        <v>DIRECTORA DE INFORMATICA Y TECNOLOGIA</v>
      </c>
      <c r="E386" s="5" t="str">
        <f>IFERROR(VLOOKUP(A386,'Base Prueba'!A:E,5,),"NO REGISTRA")</f>
        <v>DEPARTAMENTO DE INFORMATICA Y TECNOLOGIA</v>
      </c>
    </row>
    <row r="387" spans="1:5" ht="15.75" x14ac:dyDescent="0.25">
      <c r="A387" s="10">
        <v>1014736595</v>
      </c>
      <c r="B387" s="2">
        <v>46084.398733796297</v>
      </c>
      <c r="C387" s="3" t="str">
        <f>IFERROR(VLOOKUP(A387,'Base Prueba'!A:C,3,),"NO REGISTRA")</f>
        <v>PAULA ANDREA PAEZ BUITRAGO</v>
      </c>
      <c r="D387" s="4" t="str">
        <f>IFERROR(VLOOKUP(A387,'Base Prueba'!A:D,4,),"NO REGISTRA")</f>
        <v>PROMOTOR DE BIENESTAR INSTITUCIONAL</v>
      </c>
      <c r="E387" s="5" t="str">
        <f>IFERROR(VLOOKUP(A387,'Base Prueba'!A:E,5,),"NO REGISTRA")</f>
        <v>DIRECCION DE BIENESTAR INSTITUCIONAL</v>
      </c>
    </row>
    <row r="388" spans="1:5" ht="15.75" x14ac:dyDescent="0.25">
      <c r="A388" s="10">
        <v>1032361262</v>
      </c>
      <c r="B388" s="2">
        <v>46084.482154282407</v>
      </c>
      <c r="C388" s="3" t="str">
        <f>IFERROR(VLOOKUP(A388,'Base Prueba'!A:C,3,),"NO REGISTRA")</f>
        <v>CAMILO  ANDRES BALLESTEROS SANABRIA</v>
      </c>
      <c r="D388" s="4" t="str">
        <f>IFERROR(VLOOKUP(A388,'Base Prueba'!A:D,4,),"NO REGISTRA")</f>
        <v>DOCENTE DE MEDIO TIEMPO</v>
      </c>
      <c r="E388" s="5" t="str">
        <f>IFERROR(VLOOKUP(A388,'Base Prueba'!A:E,5,),"NO REGISTRA")</f>
        <v>TECNICA EN FOTOGRAFIA</v>
      </c>
    </row>
    <row r="389" spans="1:5" ht="15.75" x14ac:dyDescent="0.25">
      <c r="A389" s="10">
        <v>1001284791</v>
      </c>
      <c r="B389" s="2">
        <v>46084.551454629633</v>
      </c>
      <c r="C389" s="3" t="str">
        <f>IFERROR(VLOOKUP(A389,'Base Prueba'!A:C,3,),"NO REGISTRA")</f>
        <v>OSCAR STEVEN PEREZ HIDALGO</v>
      </c>
      <c r="D389" s="4" t="str">
        <f>IFERROR(VLOOKUP(A389,'Base Prueba'!A:D,4,),"NO REGISTRA")</f>
        <v>AUXILIAR DE RECURSOS ACADEMICOS</v>
      </c>
      <c r="E389" s="5" t="str">
        <f>IFERROR(VLOOKUP(A389,'Base Prueba'!A:E,5,),"NO REGISTRA")</f>
        <v>RECURSOS ACADEMICOS</v>
      </c>
    </row>
    <row r="390" spans="1:5" ht="15.75" x14ac:dyDescent="0.25">
      <c r="A390" s="10">
        <v>248294</v>
      </c>
      <c r="B390" s="2">
        <v>46084.735778819442</v>
      </c>
      <c r="C390" s="3" t="str">
        <f>IFERROR(VLOOKUP(A390,'Base Prueba'!A:C,3,),"NO REGISTRA")</f>
        <v>WALTER NATALIO VALDEZ MONTAÑEZ</v>
      </c>
      <c r="D390" s="4" t="str">
        <f>IFERROR(VLOOKUP(A390,'Base Prueba'!A:D,4,),"NO REGISTRA")</f>
        <v>DOCENTE DE TIEMPO COMPLETO</v>
      </c>
      <c r="E390" s="5" t="str">
        <f>IFERROR(VLOOKUP(A390,'Base Prueba'!A:E,5,),"NO REGISTRA")</f>
        <v>UNIVERSITARIO EN TURISMO Y GASTRONOMIA</v>
      </c>
    </row>
    <row r="391" spans="1:5" ht="15.75" x14ac:dyDescent="0.25">
      <c r="A391" s="10">
        <v>79452150</v>
      </c>
      <c r="B391" s="2">
        <v>46084.831476504631</v>
      </c>
      <c r="C391" s="3" t="str">
        <f>IFERROR(VLOOKUP(A391,'Base Prueba'!A:C,3,),"NO REGISTRA")</f>
        <v>JUAN CARLOS PAZ CUBILLOS</v>
      </c>
      <c r="D391" s="4" t="str">
        <f>IFERROR(VLOOKUP(A391,'Base Prueba'!A:D,4,),"NO REGISTRA")</f>
        <v>ANALISTA DE SISTEMAS</v>
      </c>
      <c r="E391" s="5" t="str">
        <f>IFERROR(VLOOKUP(A391,'Base Prueba'!A:E,5,),"NO REGISTRA")</f>
        <v>DEPARTAMENTO DE INFORMATICA Y TECNOLOGIA</v>
      </c>
    </row>
    <row r="392" spans="1:5" ht="15.75" x14ac:dyDescent="0.25">
      <c r="A392" s="10">
        <v>52049956</v>
      </c>
      <c r="B392" s="2">
        <v>46084.835176967594</v>
      </c>
      <c r="C392" s="3" t="str">
        <f>IFERROR(VLOOKUP(A392,'Base Prueba'!A:C,3,),"NO REGISTRA")</f>
        <v>ESPERANZA MORALES</v>
      </c>
      <c r="D392" s="4" t="str">
        <f>IFERROR(VLOOKUP(A392,'Base Prueba'!A:D,4,),"NO REGISTRA")</f>
        <v>DIRECTORA DE INFORMATICA Y TECNOLOGIA</v>
      </c>
      <c r="E392" s="5" t="str">
        <f>IFERROR(VLOOKUP(A392,'Base Prueba'!A:E,5,),"NO REGISTRA")</f>
        <v>DEPARTAMENTO DE INFORMATICA Y TECNOLOGIA</v>
      </c>
    </row>
    <row r="393" spans="1:5" ht="15.75" x14ac:dyDescent="0.25">
      <c r="A393" s="10">
        <v>1033762993</v>
      </c>
      <c r="B393" s="2">
        <v>46084.852249305557</v>
      </c>
      <c r="C393" s="3" t="str">
        <f>IFERROR(VLOOKUP(A393,'Base Prueba'!A:C,3,),"NO REGISTRA")</f>
        <v>DIEGO FERNANDO MEDINA PEREZ</v>
      </c>
      <c r="D393" s="4" t="str">
        <f>IFERROR(VLOOKUP(A393,'Base Prueba'!A:D,4,),"NO REGISTRA")</f>
        <v>DOCENTE DE MEDIO TIEMPO</v>
      </c>
      <c r="E393" s="5" t="str">
        <f>IFERROR(VLOOKUP(A393,'Base Prueba'!A:E,5,),"NO REGISTRA")</f>
        <v>UNIDAD DE IDIOMAS</v>
      </c>
    </row>
    <row r="394" spans="1:5" ht="15.75" x14ac:dyDescent="0.25">
      <c r="A394" s="10">
        <v>1032401971</v>
      </c>
      <c r="B394" s="2">
        <v>46084.912233912037</v>
      </c>
      <c r="C394" s="3" t="str">
        <f>IFERROR(VLOOKUP(A394,'Base Prueba'!A:C,3,),"NO REGISTRA")</f>
        <v>ANDRYU ENRIQUE MENDOZA BELTRAN</v>
      </c>
      <c r="D394" s="4" t="str">
        <f>IFERROR(VLOOKUP(A394,'Base Prueba'!A:D,4,),"NO REGISTRA")</f>
        <v>DOCENTE DE TIEMPO COMPLETO</v>
      </c>
      <c r="E394" s="5" t="str">
        <f>IFERROR(VLOOKUP(A394,'Base Prueba'!A:E,5,),"NO REGISTRA")</f>
        <v>UNIVERSITARIO ADMINISTRACION DE EMPRESAS</v>
      </c>
    </row>
    <row r="395" spans="1:5" ht="15.75" x14ac:dyDescent="0.25">
      <c r="A395" s="10">
        <v>1018411979</v>
      </c>
      <c r="B395" s="2">
        <v>46085.322047685186</v>
      </c>
      <c r="C395" s="3" t="str">
        <f>IFERROR(VLOOKUP(A395,'Base Prueba'!A:C,3,),"NO REGISTRA")</f>
        <v>MIGUEL ALFONSO CUELLAR GOMEZ</v>
      </c>
      <c r="D395" s="4" t="str">
        <f>IFERROR(VLOOKUP(A395,'Base Prueba'!A:D,4,),"NO REGISTRA")</f>
        <v>DIRECTOR DE PROGRAMAS DE PRODUCCIÓN VISUAL Y AUDIOVISUAL</v>
      </c>
      <c r="E395" s="5" t="str">
        <f>IFERROR(VLOOKUP(A395,'Base Prueba'!A:E,5,),"NO REGISTRA")</f>
        <v>FACULTAD DE COMINICACIÓN PERIODISMO Y ARTES</v>
      </c>
    </row>
    <row r="396" spans="1:5" ht="15.75" x14ac:dyDescent="0.25">
      <c r="A396" s="10">
        <v>52049956</v>
      </c>
      <c r="B396" s="2">
        <v>46085.370632754632</v>
      </c>
      <c r="C396" s="3" t="str">
        <f>IFERROR(VLOOKUP(A396,'Base Prueba'!A:C,3,),"NO REGISTRA")</f>
        <v>ESPERANZA MORALES</v>
      </c>
      <c r="D396" s="4" t="str">
        <f>IFERROR(VLOOKUP(A396,'Base Prueba'!A:D,4,),"NO REGISTRA")</f>
        <v>DIRECTORA DE INFORMATICA Y TECNOLOGIA</v>
      </c>
      <c r="E396" s="5" t="str">
        <f>IFERROR(VLOOKUP(A396,'Base Prueba'!A:E,5,),"NO REGISTRA")</f>
        <v>DEPARTAMENTO DE INFORMATICA Y TECNOLOGIA</v>
      </c>
    </row>
    <row r="397" spans="1:5" ht="15.75" x14ac:dyDescent="0.25">
      <c r="A397" s="10">
        <v>1001284791</v>
      </c>
      <c r="B397" s="2">
        <v>46085.54136145833</v>
      </c>
      <c r="C397" s="3" t="str">
        <f>IFERROR(VLOOKUP(A397,'Base Prueba'!A:C,3,),"NO REGISTRA")</f>
        <v>OSCAR STEVEN PEREZ HIDALGO</v>
      </c>
      <c r="D397" s="4" t="str">
        <f>IFERROR(VLOOKUP(A397,'Base Prueba'!A:D,4,),"NO REGISTRA")</f>
        <v>AUXILIAR DE RECURSOS ACADEMICOS</v>
      </c>
      <c r="E397" s="5" t="str">
        <f>IFERROR(VLOOKUP(A397,'Base Prueba'!A:E,5,),"NO REGISTRA")</f>
        <v>RECURSOS ACADEMICOS</v>
      </c>
    </row>
    <row r="398" spans="1:5" ht="15.75" x14ac:dyDescent="0.25">
      <c r="A398" s="10">
        <v>1018482392</v>
      </c>
      <c r="B398" s="2">
        <v>46085.541654629633</v>
      </c>
      <c r="C398" s="3" t="str">
        <f>IFERROR(VLOOKUP(A398,'Base Prueba'!A:C,3,),"NO REGISTRA")</f>
        <v>RAQUEL YANETH SANDOVAL FORERO</v>
      </c>
      <c r="D398" s="4" t="str">
        <f>IFERROR(VLOOKUP(A398,'Base Prueba'!A:D,4,),"NO REGISTRA")</f>
        <v>AUXILIAR DE RECURSOS ACADEMICOS</v>
      </c>
      <c r="E398" s="5" t="str">
        <f>IFERROR(VLOOKUP(A398,'Base Prueba'!A:E,5,),"NO REGISTRA")</f>
        <v>RECURSOS ACADEMICOS</v>
      </c>
    </row>
    <row r="399" spans="1:5" ht="15.75" x14ac:dyDescent="0.25">
      <c r="A399" s="10">
        <v>248294</v>
      </c>
      <c r="B399" s="2">
        <v>46085.702483912035</v>
      </c>
      <c r="C399" s="3" t="str">
        <f>IFERROR(VLOOKUP(A399,'Base Prueba'!A:C,3,),"NO REGISTRA")</f>
        <v>WALTER NATALIO VALDEZ MONTAÑEZ</v>
      </c>
      <c r="D399" s="4" t="str">
        <f>IFERROR(VLOOKUP(A399,'Base Prueba'!A:D,4,),"NO REGISTRA")</f>
        <v>DOCENTE DE TIEMPO COMPLETO</v>
      </c>
      <c r="E399" s="5" t="str">
        <f>IFERROR(VLOOKUP(A399,'Base Prueba'!A:E,5,),"NO REGISTRA")</f>
        <v>UNIVERSITARIO EN TURISMO Y GASTRONOMIA</v>
      </c>
    </row>
    <row r="400" spans="1:5" ht="15.75" x14ac:dyDescent="0.25">
      <c r="A400" s="10">
        <v>80472319</v>
      </c>
      <c r="B400" s="2">
        <v>46085.771038078703</v>
      </c>
      <c r="C400" s="3" t="str">
        <f>IFERROR(VLOOKUP(A400,'Base Prueba'!A:C,3,),"NO REGISTRA")</f>
        <v>FRANCISCO JAVIER MONTENEGRO AGUILAR</v>
      </c>
      <c r="D400" s="4" t="str">
        <f>IFERROR(VLOOKUP(A400,'Base Prueba'!A:D,4,),"NO REGISTRA")</f>
        <v>DOCENTE DE MEDIO TIEMPO</v>
      </c>
      <c r="E400" s="5" t="str">
        <f>IFERROR(VLOOKUP(A400,'Base Prueba'!A:E,5,),"NO REGISTRA")</f>
        <v>TECNOLOGIA EN COMERCIO Y NEGOCIOS INTERNACIONALES</v>
      </c>
    </row>
    <row r="401" spans="1:5" ht="15.75" x14ac:dyDescent="0.25">
      <c r="A401" s="10">
        <v>1014257968</v>
      </c>
      <c r="B401" s="2">
        <v>46085.823859722223</v>
      </c>
      <c r="C401" s="3" t="str">
        <f>IFERROR(VLOOKUP(A401,'Base Prueba'!A:C,3,),"NO REGISTRA")</f>
        <v>JORGE ANDRES LIEVANO LOPEZ</v>
      </c>
      <c r="D401" s="4" t="str">
        <f>IFERROR(VLOOKUP(A401,'Base Prueba'!A:D,4,),"NO REGISTRA")</f>
        <v>DOCENTE DE TIEMPO COMPLETO</v>
      </c>
      <c r="E401" s="5" t="str">
        <f>IFERROR(VLOOKUP(A401,'Base Prueba'!A:E,5,),"NO REGISTRA")</f>
        <v>UNIDAD DE IDIOMAS</v>
      </c>
    </row>
    <row r="402" spans="1:5" ht="15.75" x14ac:dyDescent="0.25">
      <c r="A402" s="10">
        <v>79452150</v>
      </c>
      <c r="B402" s="2">
        <v>46085.82800509259</v>
      </c>
      <c r="C402" s="3" t="str">
        <f>IFERROR(VLOOKUP(A402,'Base Prueba'!A:C,3,),"NO REGISTRA")</f>
        <v>JUAN CARLOS PAZ CUBILLOS</v>
      </c>
      <c r="D402" s="4" t="str">
        <f>IFERROR(VLOOKUP(A402,'Base Prueba'!A:D,4,),"NO REGISTRA")</f>
        <v>ANALISTA DE SISTEMAS</v>
      </c>
      <c r="E402" s="5" t="str">
        <f>IFERROR(VLOOKUP(A402,'Base Prueba'!A:E,5,),"NO REGISTRA")</f>
        <v>DEPARTAMENTO DE INFORMATICA Y TECNOLOGIA</v>
      </c>
    </row>
    <row r="403" spans="1:5" ht="15.75" x14ac:dyDescent="0.25">
      <c r="A403" s="10">
        <v>52049956</v>
      </c>
      <c r="B403" s="2">
        <v>46085.83965011574</v>
      </c>
      <c r="C403" s="3" t="str">
        <f>IFERROR(VLOOKUP(A403,'Base Prueba'!A:C,3,),"NO REGISTRA")</f>
        <v>ESPERANZA MORALES</v>
      </c>
      <c r="D403" s="4" t="str">
        <f>IFERROR(VLOOKUP(A403,'Base Prueba'!A:D,4,),"NO REGISTRA")</f>
        <v>DIRECTORA DE INFORMATICA Y TECNOLOGIA</v>
      </c>
      <c r="E403" s="5" t="str">
        <f>IFERROR(VLOOKUP(A403,'Base Prueba'!A:E,5,),"NO REGISTRA")</f>
        <v>DEPARTAMENTO DE INFORMATICA Y TECNOLOGIA</v>
      </c>
    </row>
    <row r="404" spans="1:5" ht="15.75" x14ac:dyDescent="0.25">
      <c r="A404" s="10">
        <v>52850506</v>
      </c>
      <c r="B404" s="2">
        <v>46085.844534374999</v>
      </c>
      <c r="C404" s="3" t="str">
        <f>IFERROR(VLOOKUP(A404,'Base Prueba'!A:C,3,),"NO REGISTRA")</f>
        <v>PAOLA ANDREA VASQUEZ FONSECA</v>
      </c>
      <c r="D404" s="4" t="str">
        <f>IFERROR(VLOOKUP(A404,'Base Prueba'!A:D,4,),"NO REGISTRA")</f>
        <v>DOCENTE DE TIEMPO COMPLETO</v>
      </c>
      <c r="E404" s="5" t="str">
        <f>IFERROR(VLOOKUP(A404,'Base Prueba'!A:E,5,),"NO REGISTRA")</f>
        <v>UNIVERSITARIO COMUNICACION SOCIAL</v>
      </c>
    </row>
    <row r="405" spans="1:5" ht="15.75" x14ac:dyDescent="0.25">
      <c r="A405" s="10">
        <v>52049956</v>
      </c>
      <c r="B405" s="2">
        <v>46086.337955092589</v>
      </c>
      <c r="C405" s="3" t="str">
        <f>IFERROR(VLOOKUP(A405,'Base Prueba'!A:C,3,),"NO REGISTRA")</f>
        <v>ESPERANZA MORALES</v>
      </c>
      <c r="D405" s="4" t="str">
        <f>IFERROR(VLOOKUP(A405,'Base Prueba'!A:D,4,),"NO REGISTRA")</f>
        <v>DIRECTORA DE INFORMATICA Y TECNOLOGIA</v>
      </c>
      <c r="E405" s="5" t="str">
        <f>IFERROR(VLOOKUP(A405,'Base Prueba'!A:E,5,),"NO REGISTRA")</f>
        <v>DEPARTAMENTO DE INFORMATICA Y TECNOLOGIA</v>
      </c>
    </row>
    <row r="406" spans="1:5" ht="15.75" x14ac:dyDescent="0.25">
      <c r="A406" s="10">
        <v>11189740</v>
      </c>
      <c r="B406" s="2">
        <v>46086.529388425923</v>
      </c>
      <c r="C406" s="3" t="str">
        <f>IFERROR(VLOOKUP(A406,'Base Prueba'!A:C,3,),"NO REGISTRA")</f>
        <v>FERNEY ALARCON AGUIRRE</v>
      </c>
      <c r="D406" s="4" t="str">
        <f>IFERROR(VLOOKUP(A406,'Base Prueba'!A:D,4,),"NO REGISTRA")</f>
        <v>DOCENTE DE TIEMPO COMPLETO</v>
      </c>
      <c r="E406" s="5" t="str">
        <f>IFERROR(VLOOKUP(A406,'Base Prueba'!A:E,5,),"NO REGISTRA")</f>
        <v>UNIVERSITARIO ADMINISTRACION DE EMPRESAS</v>
      </c>
    </row>
    <row r="407" spans="1:5" ht="15.75" x14ac:dyDescent="0.25">
      <c r="A407" s="10">
        <v>248294</v>
      </c>
      <c r="B407" s="2">
        <v>46086.684253125</v>
      </c>
      <c r="C407" s="3" t="str">
        <f>IFERROR(VLOOKUP(A407,'Base Prueba'!A:C,3,),"NO REGISTRA")</f>
        <v>WALTER NATALIO VALDEZ MONTAÑEZ</v>
      </c>
      <c r="D407" s="4" t="str">
        <f>IFERROR(VLOOKUP(A407,'Base Prueba'!A:D,4,),"NO REGISTRA")</f>
        <v>DOCENTE DE TIEMPO COMPLETO</v>
      </c>
      <c r="E407" s="5" t="str">
        <f>IFERROR(VLOOKUP(A407,'Base Prueba'!A:E,5,),"NO REGISTRA")</f>
        <v>UNIVERSITARIO EN TURISMO Y GASTRONOMIA</v>
      </c>
    </row>
    <row r="408" spans="1:5" ht="15.75" x14ac:dyDescent="0.25">
      <c r="A408" s="10">
        <v>52708259</v>
      </c>
      <c r="B408" s="2">
        <v>46086.733714930553</v>
      </c>
      <c r="C408" s="3" t="str">
        <f>IFERROR(VLOOKUP(A408,'Base Prueba'!A:C,3,),"NO REGISTRA")</f>
        <v>MARTHA CECILIA CALDERON RAMOS</v>
      </c>
      <c r="D408" s="4" t="str">
        <f>IFERROR(VLOOKUP(A408,'Base Prueba'!A:D,4,),"NO REGISTRA")</f>
        <v>CATEDRATICO</v>
      </c>
      <c r="E408" s="5" t="str">
        <f>IFERROR(VLOOKUP(A408,'Base Prueba'!A:E,5,),"NO REGISTRA")</f>
        <v>ESPECIALIZACION EN GERNCIA DE SEGURIDAD Y SALUD EN EL TRABAJO</v>
      </c>
    </row>
    <row r="409" spans="1:5" ht="15.75" x14ac:dyDescent="0.25">
      <c r="A409" s="10">
        <v>1014736595</v>
      </c>
      <c r="B409" s="2">
        <v>46086.788766435187</v>
      </c>
      <c r="C409" s="3" t="str">
        <f>IFERROR(VLOOKUP(A409,'Base Prueba'!A:C,3,),"NO REGISTRA")</f>
        <v>PAULA ANDREA PAEZ BUITRAGO</v>
      </c>
      <c r="D409" s="4" t="str">
        <f>IFERROR(VLOOKUP(A409,'Base Prueba'!A:D,4,),"NO REGISTRA")</f>
        <v>PROMOTOR DE BIENESTAR INSTITUCIONAL</v>
      </c>
      <c r="E409" s="5" t="str">
        <f>IFERROR(VLOOKUP(A409,'Base Prueba'!A:E,5,),"NO REGISTRA")</f>
        <v>DIRECCION DE BIENESTAR INSTITUCIONAL</v>
      </c>
    </row>
    <row r="410" spans="1:5" ht="15.75" x14ac:dyDescent="0.25">
      <c r="A410" s="10">
        <v>79452150</v>
      </c>
      <c r="B410" s="2">
        <v>46086.811174537041</v>
      </c>
      <c r="C410" s="3" t="str">
        <f>IFERROR(VLOOKUP(A410,'Base Prueba'!A:C,3,),"NO REGISTRA")</f>
        <v>JUAN CARLOS PAZ CUBILLOS</v>
      </c>
      <c r="D410" s="4" t="str">
        <f>IFERROR(VLOOKUP(A410,'Base Prueba'!A:D,4,),"NO REGISTRA")</f>
        <v>ANALISTA DE SISTEMAS</v>
      </c>
      <c r="E410" s="5" t="str">
        <f>IFERROR(VLOOKUP(A410,'Base Prueba'!A:E,5,),"NO REGISTRA")</f>
        <v>DEPARTAMENTO DE INFORMATICA Y TECNOLOGIA</v>
      </c>
    </row>
    <row r="411" spans="1:5" ht="15.75" x14ac:dyDescent="0.25">
      <c r="A411" s="10">
        <v>52049956</v>
      </c>
      <c r="B411" s="2">
        <v>46086.839798958332</v>
      </c>
      <c r="C411" s="3" t="str">
        <f>IFERROR(VLOOKUP(A411,'Base Prueba'!A:C,3,),"NO REGISTRA")</f>
        <v>ESPERANZA MORALES</v>
      </c>
      <c r="D411" s="4" t="str">
        <f>IFERROR(VLOOKUP(A411,'Base Prueba'!A:D,4,),"NO REGISTRA")</f>
        <v>DIRECTORA DE INFORMATICA Y TECNOLOGIA</v>
      </c>
      <c r="E411" s="5" t="str">
        <f>IFERROR(VLOOKUP(A411,'Base Prueba'!A:E,5,),"NO REGISTRA")</f>
        <v>DEPARTAMENTO DE INFORMATICA Y TECNOLOGIA</v>
      </c>
    </row>
    <row r="412" spans="1:5" ht="15.75" x14ac:dyDescent="0.25">
      <c r="A412" s="10">
        <v>52850506</v>
      </c>
      <c r="B412" s="2">
        <v>46086.846786458336</v>
      </c>
      <c r="C412" s="3" t="str">
        <f>IFERROR(VLOOKUP(A412,'Base Prueba'!A:C,3,),"NO REGISTRA")</f>
        <v>PAOLA ANDREA VASQUEZ FONSECA</v>
      </c>
      <c r="D412" s="4" t="str">
        <f>IFERROR(VLOOKUP(A412,'Base Prueba'!A:D,4,),"NO REGISTRA")</f>
        <v>DOCENTE DE TIEMPO COMPLETO</v>
      </c>
      <c r="E412" s="5" t="str">
        <f>IFERROR(VLOOKUP(A412,'Base Prueba'!A:E,5,),"NO REGISTRA")</f>
        <v>UNIVERSITARIO COMUNICACION SOCIAL</v>
      </c>
    </row>
    <row r="413" spans="1:5" ht="15.75" x14ac:dyDescent="0.25">
      <c r="A413" s="10">
        <v>80472319</v>
      </c>
      <c r="B413" s="2">
        <v>46086.882624999998</v>
      </c>
      <c r="C413" s="3" t="str">
        <f>IFERROR(VLOOKUP(A413,'Base Prueba'!A:C,3,),"NO REGISTRA")</f>
        <v>FRANCISCO JAVIER MONTENEGRO AGUILAR</v>
      </c>
      <c r="D413" s="4" t="str">
        <f>IFERROR(VLOOKUP(A413,'Base Prueba'!A:D,4,),"NO REGISTRA")</f>
        <v>DOCENTE DE MEDIO TIEMPO</v>
      </c>
      <c r="E413" s="5" t="str">
        <f>IFERROR(VLOOKUP(A413,'Base Prueba'!A:E,5,),"NO REGISTRA")</f>
        <v>TECNOLOGIA EN COMERCIO Y NEGOCIOS INTERNACIONALES</v>
      </c>
    </row>
    <row r="414" spans="1:5" ht="15.75" x14ac:dyDescent="0.25">
      <c r="A414" s="10">
        <v>52708259</v>
      </c>
      <c r="B414" s="2">
        <v>46086.903572685187</v>
      </c>
      <c r="C414" s="3" t="str">
        <f>IFERROR(VLOOKUP(A414,'Base Prueba'!A:C,3,),"NO REGISTRA")</f>
        <v>MARTHA CECILIA CALDERON RAMOS</v>
      </c>
      <c r="D414" s="4" t="str">
        <f>IFERROR(VLOOKUP(A414,'Base Prueba'!A:D,4,),"NO REGISTRA")</f>
        <v>CATEDRATICO</v>
      </c>
      <c r="E414" s="5" t="str">
        <f>IFERROR(VLOOKUP(A414,'Base Prueba'!A:E,5,),"NO REGISTRA")</f>
        <v>ESPECIALIZACION EN GERNCIA DE SEGURIDAD Y SALUD EN EL TRABAJO</v>
      </c>
    </row>
    <row r="415" spans="1:5" ht="15.75" x14ac:dyDescent="0.25">
      <c r="A415" s="10">
        <v>52708259</v>
      </c>
      <c r="B415" s="2">
        <v>46086.903593055555</v>
      </c>
      <c r="C415" s="3" t="str">
        <f>IFERROR(VLOOKUP(A415,'Base Prueba'!A:C,3,),"NO REGISTRA")</f>
        <v>MARTHA CECILIA CALDERON RAMOS</v>
      </c>
      <c r="D415" s="4" t="str">
        <f>IFERROR(VLOOKUP(A415,'Base Prueba'!A:D,4,),"NO REGISTRA")</f>
        <v>CATEDRATICO</v>
      </c>
      <c r="E415" s="5" t="str">
        <f>IFERROR(VLOOKUP(A415,'Base Prueba'!A:E,5,),"NO REGISTRA")</f>
        <v>ESPECIALIZACION EN GERNCIA DE SEGURIDAD Y SALUD EN EL TRABAJO</v>
      </c>
    </row>
    <row r="416" spans="1:5" ht="15.75" x14ac:dyDescent="0.25">
      <c r="A416" s="10">
        <v>52049956</v>
      </c>
      <c r="B416" s="2">
        <v>46087.341723148151</v>
      </c>
      <c r="C416" s="3" t="str">
        <f>IFERROR(VLOOKUP(A416,'Base Prueba'!A:C,3,),"NO REGISTRA")</f>
        <v>ESPERANZA MORALES</v>
      </c>
      <c r="D416" s="4" t="str">
        <f>IFERROR(VLOOKUP(A416,'Base Prueba'!A:D,4,),"NO REGISTRA")</f>
        <v>DIRECTORA DE INFORMATICA Y TECNOLOGIA</v>
      </c>
      <c r="E416" s="5" t="str">
        <f>IFERROR(VLOOKUP(A416,'Base Prueba'!A:E,5,),"NO REGISTRA")</f>
        <v>DEPARTAMENTO DE INFORMATICA Y TECNOLOGIA</v>
      </c>
    </row>
    <row r="417" spans="1:5" ht="15.75" x14ac:dyDescent="0.25">
      <c r="A417" s="10">
        <v>79484197</v>
      </c>
      <c r="B417" s="2">
        <v>46087.400307407406</v>
      </c>
      <c r="C417" s="3" t="str">
        <f>IFERROR(VLOOKUP(A417,'Base Prueba'!A:C,3,),"NO REGISTRA")</f>
        <v>JOHN DANIEL GUTIERREZ BOADA</v>
      </c>
      <c r="D417" s="4" t="str">
        <f>IFERROR(VLOOKUP(A417,'Base Prueba'!A:D,4,),"NO REGISTRA")</f>
        <v>DOCENTE DE MEDIO TIEMPO</v>
      </c>
      <c r="E417" s="5" t="str">
        <f>IFERROR(VLOOKUP(A417,'Base Prueba'!A:E,5,),"NO REGISTRA")</f>
        <v>UNIVERSITARIO COMUNICACION SOCIAL</v>
      </c>
    </row>
    <row r="418" spans="1:5" ht="15.75" x14ac:dyDescent="0.25">
      <c r="A418" s="10">
        <v>11189740</v>
      </c>
      <c r="B418" s="2">
        <v>46087.581005902779</v>
      </c>
      <c r="C418" s="3" t="str">
        <f>IFERROR(VLOOKUP(A418,'Base Prueba'!A:C,3,),"NO REGISTRA")</f>
        <v>FERNEY ALARCON AGUIRRE</v>
      </c>
      <c r="D418" s="4" t="str">
        <f>IFERROR(VLOOKUP(A418,'Base Prueba'!A:D,4,),"NO REGISTRA")</f>
        <v>DOCENTE DE TIEMPO COMPLETO</v>
      </c>
      <c r="E418" s="5" t="str">
        <f>IFERROR(VLOOKUP(A418,'Base Prueba'!A:E,5,),"NO REGISTRA")</f>
        <v>UNIVERSITARIO ADMINISTRACION DE EMPRESAS</v>
      </c>
    </row>
    <row r="419" spans="1:5" ht="15.75" x14ac:dyDescent="0.25">
      <c r="A419" s="10">
        <v>1001284791</v>
      </c>
      <c r="B419" s="2">
        <v>46087.58421134259</v>
      </c>
      <c r="C419" s="3" t="str">
        <f>IFERROR(VLOOKUP(A419,'Base Prueba'!A:C,3,),"NO REGISTRA")</f>
        <v>OSCAR STEVEN PEREZ HIDALGO</v>
      </c>
      <c r="D419" s="4" t="str">
        <f>IFERROR(VLOOKUP(A419,'Base Prueba'!A:D,4,),"NO REGISTRA")</f>
        <v>AUXILIAR DE RECURSOS ACADEMICOS</v>
      </c>
      <c r="E419" s="5" t="str">
        <f>IFERROR(VLOOKUP(A419,'Base Prueba'!A:E,5,),"NO REGISTRA")</f>
        <v>RECURSOS ACADEMICOS</v>
      </c>
    </row>
    <row r="420" spans="1:5" ht="15.75" x14ac:dyDescent="0.25">
      <c r="A420" s="10">
        <v>1018482392</v>
      </c>
      <c r="B420" s="2">
        <v>46087.584312268518</v>
      </c>
      <c r="C420" s="3" t="str">
        <f>IFERROR(VLOOKUP(A420,'Base Prueba'!A:C,3,),"NO REGISTRA")</f>
        <v>RAQUEL YANETH SANDOVAL FORERO</v>
      </c>
      <c r="D420" s="4" t="str">
        <f>IFERROR(VLOOKUP(A420,'Base Prueba'!A:D,4,),"NO REGISTRA")</f>
        <v>AUXILIAR DE RECURSOS ACADEMICOS</v>
      </c>
      <c r="E420" s="5" t="str">
        <f>IFERROR(VLOOKUP(A420,'Base Prueba'!A:E,5,),"NO REGISTRA")</f>
        <v>RECURSOS ACADEMICOS</v>
      </c>
    </row>
    <row r="421" spans="1:5" ht="15.75" x14ac:dyDescent="0.25">
      <c r="A421" s="10">
        <v>248294</v>
      </c>
      <c r="B421" s="2">
        <v>46087.685567129629</v>
      </c>
      <c r="C421" s="3" t="str">
        <f>IFERROR(VLOOKUP(A421,'Base Prueba'!A:C,3,),"NO REGISTRA")</f>
        <v>WALTER NATALIO VALDEZ MONTAÑEZ</v>
      </c>
      <c r="D421" s="4" t="str">
        <f>IFERROR(VLOOKUP(A421,'Base Prueba'!A:D,4,),"NO REGISTRA")</f>
        <v>DOCENTE DE TIEMPO COMPLETO</v>
      </c>
      <c r="E421" s="5" t="str">
        <f>IFERROR(VLOOKUP(A421,'Base Prueba'!A:E,5,),"NO REGISTRA")</f>
        <v>UNIVERSITARIO EN TURISMO Y GASTRONOMIA</v>
      </c>
    </row>
    <row r="422" spans="1:5" ht="15.75" x14ac:dyDescent="0.25">
      <c r="A422" s="10">
        <v>80472319</v>
      </c>
      <c r="B422" s="2">
        <v>46087.77421354167</v>
      </c>
      <c r="C422" s="3" t="str">
        <f>IFERROR(VLOOKUP(A422,'Base Prueba'!A:C,3,),"NO REGISTRA")</f>
        <v>FRANCISCO JAVIER MONTENEGRO AGUILAR</v>
      </c>
      <c r="D422" s="4" t="str">
        <f>IFERROR(VLOOKUP(A422,'Base Prueba'!A:D,4,),"NO REGISTRA")</f>
        <v>DOCENTE DE MEDIO TIEMPO</v>
      </c>
      <c r="E422" s="5" t="str">
        <f>IFERROR(VLOOKUP(A422,'Base Prueba'!A:E,5,),"NO REGISTRA")</f>
        <v>TECNOLOGIA EN COMERCIO Y NEGOCIOS INTERNACIONALES</v>
      </c>
    </row>
    <row r="423" spans="1:5" ht="15.75" x14ac:dyDescent="0.25">
      <c r="A423" s="10">
        <v>79452150</v>
      </c>
      <c r="B423" s="2">
        <v>46087.817524189813</v>
      </c>
      <c r="C423" s="3" t="str">
        <f>IFERROR(VLOOKUP(A423,'Base Prueba'!A:C,3,),"NO REGISTRA")</f>
        <v>JUAN CARLOS PAZ CUBILLOS</v>
      </c>
      <c r="D423" s="4" t="str">
        <f>IFERROR(VLOOKUP(A423,'Base Prueba'!A:D,4,),"NO REGISTRA")</f>
        <v>ANALISTA DE SISTEMAS</v>
      </c>
      <c r="E423" s="5" t="str">
        <f>IFERROR(VLOOKUP(A423,'Base Prueba'!A:E,5,),"NO REGISTRA")</f>
        <v>DEPARTAMENTO DE INFORMATICA Y TECNOLOGIA</v>
      </c>
    </row>
    <row r="424" spans="1:5" ht="15.75" x14ac:dyDescent="0.25">
      <c r="A424" s="10">
        <v>52049956</v>
      </c>
      <c r="B424" s="2">
        <v>46087.840913310189</v>
      </c>
      <c r="C424" s="3" t="str">
        <f>IFERROR(VLOOKUP(A424,'Base Prueba'!A:C,3,),"NO REGISTRA")</f>
        <v>ESPERANZA MORALES</v>
      </c>
      <c r="D424" s="4" t="str">
        <f>IFERROR(VLOOKUP(A424,'Base Prueba'!A:D,4,),"NO REGISTRA")</f>
        <v>DIRECTORA DE INFORMATICA Y TECNOLOGIA</v>
      </c>
      <c r="E424" s="5" t="str">
        <f>IFERROR(VLOOKUP(A424,'Base Prueba'!A:E,5,),"NO REGISTRA")</f>
        <v>DEPARTAMENTO DE INFORMATICA Y TECNOLOGIA</v>
      </c>
    </row>
    <row r="425" spans="1:5" ht="15.75" x14ac:dyDescent="0.25">
      <c r="A425" s="10">
        <v>52049956</v>
      </c>
      <c r="B425" s="2">
        <v>46088.341765972225</v>
      </c>
      <c r="C425" s="3" t="str">
        <f>IFERROR(VLOOKUP(A425,'Base Prueba'!A:C,3,),"NO REGISTRA")</f>
        <v>ESPERANZA MORALES</v>
      </c>
      <c r="D425" s="4" t="str">
        <f>IFERROR(VLOOKUP(A425,'Base Prueba'!A:D,4,),"NO REGISTRA")</f>
        <v>DIRECTORA DE INFORMATICA Y TECNOLOGIA</v>
      </c>
      <c r="E425" s="5" t="str">
        <f>IFERROR(VLOOKUP(A425,'Base Prueba'!A:E,5,),"NO REGISTRA")</f>
        <v>DEPARTAMENTO DE INFORMATICA Y TECNOLOGIA</v>
      </c>
    </row>
    <row r="426" spans="1:5" ht="15.75" x14ac:dyDescent="0.25">
      <c r="A426" s="10">
        <v>51555582</v>
      </c>
      <c r="B426" s="2">
        <v>46088.348439930553</v>
      </c>
      <c r="C426" s="3" t="str">
        <f>IFERROR(VLOOKUP(A426,'Base Prueba'!A:C,3,),"NO REGISTRA")</f>
        <v>MARTHA CECILIA VIDAL ARIZABALETA</v>
      </c>
      <c r="D426" s="4" t="str">
        <f>IFERROR(VLOOKUP(A426,'Base Prueba'!A:D,4,),"NO REGISTRA")</f>
        <v>DOCENTE DE MEDIO TIEMPO</v>
      </c>
      <c r="E426" s="5" t="str">
        <f>IFERROR(VLOOKUP(A426,'Base Prueba'!A:E,5,),"NO REGISTRA")</f>
        <v>INGENIERIA DE SOFTWARE</v>
      </c>
    </row>
    <row r="427" spans="1:5" ht="15.75" x14ac:dyDescent="0.25">
      <c r="A427" s="10">
        <v>52049956</v>
      </c>
      <c r="B427" s="2">
        <v>46088.522096875</v>
      </c>
      <c r="C427" s="3" t="str">
        <f>IFERROR(VLOOKUP(A427,'Base Prueba'!A:C,3,),"NO REGISTRA")</f>
        <v>ESPERANZA MORALES</v>
      </c>
      <c r="D427" s="4" t="str">
        <f>IFERROR(VLOOKUP(A427,'Base Prueba'!A:D,4,),"NO REGISTRA")</f>
        <v>DIRECTORA DE INFORMATICA Y TECNOLOGIA</v>
      </c>
      <c r="E427" s="5" t="str">
        <f>IFERROR(VLOOKUP(A427,'Base Prueba'!A:E,5,),"NO REGISTRA")</f>
        <v>DEPARTAMENTO DE INFORMATICA Y TECNOLOGIA</v>
      </c>
    </row>
    <row r="428" spans="1:5" ht="15.75" x14ac:dyDescent="0.25">
      <c r="A428" s="10">
        <v>1014257968</v>
      </c>
      <c r="B428" s="2">
        <v>46088.580174768518</v>
      </c>
      <c r="C428" s="3" t="str">
        <f>IFERROR(VLOOKUP(A428,'Base Prueba'!A:C,3,),"NO REGISTRA")</f>
        <v>JORGE ANDRES LIEVANO LOPEZ</v>
      </c>
      <c r="D428" s="4" t="str">
        <f>IFERROR(VLOOKUP(A428,'Base Prueba'!A:D,4,),"NO REGISTRA")</f>
        <v>DOCENTE DE TIEMPO COMPLETO</v>
      </c>
      <c r="E428" s="5" t="str">
        <f>IFERROR(VLOOKUP(A428,'Base Prueba'!A:E,5,),"NO REGISTRA")</f>
        <v>UNIDAD DE IDIOMAS</v>
      </c>
    </row>
    <row r="429" spans="1:5" ht="15.75" x14ac:dyDescent="0.25">
      <c r="A429" s="10">
        <v>23810964</v>
      </c>
      <c r="B429" s="2">
        <v>46088.702242708336</v>
      </c>
      <c r="C429" s="3" t="str">
        <f>IFERROR(VLOOKUP(A429,'Base Prueba'!A:C,3,),"NO REGISTRA")</f>
        <v>JULY FERNANDA GOMEZ NIÑO</v>
      </c>
      <c r="D429" s="4" t="str">
        <f>IFERROR(VLOOKUP(A429,'Base Prueba'!A:D,4,),"NO REGISTRA")</f>
        <v>DOCENTE DE MEDIO TIEMPO</v>
      </c>
      <c r="E429" s="5" t="str">
        <f>IFERROR(VLOOKUP(A429,'Base Prueba'!A:E,5,),"NO REGISTRA")</f>
        <v>TECNOLOGIA EN ADMINISTRACION DEL TALENTO HUMANO</v>
      </c>
    </row>
    <row r="430" spans="1:5" ht="15.75" x14ac:dyDescent="0.25">
      <c r="A430" s="10">
        <v>248294</v>
      </c>
      <c r="B430" s="2">
        <v>46088.790157175928</v>
      </c>
      <c r="C430" s="3" t="str">
        <f>IFERROR(VLOOKUP(A430,'Base Prueba'!A:C,3,),"NO REGISTRA")</f>
        <v>WALTER NATALIO VALDEZ MONTAÑEZ</v>
      </c>
      <c r="D430" s="4" t="str">
        <f>IFERROR(VLOOKUP(A430,'Base Prueba'!A:D,4,),"NO REGISTRA")</f>
        <v>DOCENTE DE TIEMPO COMPLETO</v>
      </c>
      <c r="E430" s="5" t="str">
        <f>IFERROR(VLOOKUP(A430,'Base Prueba'!A:E,5,),"NO REGISTRA")</f>
        <v>UNIVERSITARIO EN TURISMO Y GASTRONOMIA</v>
      </c>
    </row>
    <row r="431" spans="1:5" ht="15.75" x14ac:dyDescent="0.25">
      <c r="A431" s="10">
        <v>51555582</v>
      </c>
      <c r="B431" s="2">
        <v>46090.291406249999</v>
      </c>
      <c r="C431" s="3" t="str">
        <f>IFERROR(VLOOKUP(A431,'Base Prueba'!A:C,3,),"NO REGISTRA")</f>
        <v>MARTHA CECILIA VIDAL ARIZABALETA</v>
      </c>
      <c r="D431" s="4" t="str">
        <f>IFERROR(VLOOKUP(A431,'Base Prueba'!A:D,4,),"NO REGISTRA")</f>
        <v>DOCENTE DE MEDIO TIEMPO</v>
      </c>
      <c r="E431" s="5" t="str">
        <f>IFERROR(VLOOKUP(A431,'Base Prueba'!A:E,5,),"NO REGISTRA")</f>
        <v>INGENIERIA DE SOFTWARE</v>
      </c>
    </row>
    <row r="432" spans="1:5" ht="15.75" x14ac:dyDescent="0.25">
      <c r="A432" s="10">
        <v>1000218614</v>
      </c>
      <c r="B432" s="2">
        <v>46090.320299189814</v>
      </c>
      <c r="C432" s="3" t="str">
        <f>IFERROR(VLOOKUP(A432,'Base Prueba'!A:C,3,),"NO REGISTRA")</f>
        <v>SEBASTIAN DAVID MELO DIAZ</v>
      </c>
      <c r="D432" s="4" t="str">
        <f>IFERROR(VLOOKUP(A432,'Base Prueba'!A:D,4,),"NO REGISTRA")</f>
        <v>ANALISTA DE SISTEMAS</v>
      </c>
      <c r="E432" s="5" t="str">
        <f>IFERROR(VLOOKUP(A432,'Base Prueba'!A:E,5,),"NO REGISTRA")</f>
        <v>DEPARTAMENTO DE INFORMATICA Y TECNOLOGIA</v>
      </c>
    </row>
    <row r="433" spans="1:5" ht="15.75" x14ac:dyDescent="0.25">
      <c r="A433" s="10">
        <v>52049956</v>
      </c>
      <c r="B433" s="2">
        <v>46090.377154282411</v>
      </c>
      <c r="C433" s="3" t="str">
        <f>IFERROR(VLOOKUP(A433,'Base Prueba'!A:C,3,),"NO REGISTRA")</f>
        <v>ESPERANZA MORALES</v>
      </c>
      <c r="D433" s="4" t="str">
        <f>IFERROR(VLOOKUP(A433,'Base Prueba'!A:D,4,),"NO REGISTRA")</f>
        <v>DIRECTORA DE INFORMATICA Y TECNOLOGIA</v>
      </c>
      <c r="E433" s="5" t="str">
        <f>IFERROR(VLOOKUP(A433,'Base Prueba'!A:E,5,),"NO REGISTRA")</f>
        <v>DEPARTAMENTO DE INFORMATICA Y TECNOLOGIA</v>
      </c>
    </row>
    <row r="434" spans="1:5" ht="15.75" x14ac:dyDescent="0.25">
      <c r="A434" s="10">
        <v>51555582</v>
      </c>
      <c r="B434" s="2">
        <v>46090.384112268519</v>
      </c>
      <c r="C434" s="3" t="str">
        <f>IFERROR(VLOOKUP(A434,'Base Prueba'!A:C,3,),"NO REGISTRA")</f>
        <v>MARTHA CECILIA VIDAL ARIZABALETA</v>
      </c>
      <c r="D434" s="4" t="str">
        <f>IFERROR(VLOOKUP(A434,'Base Prueba'!A:D,4,),"NO REGISTRA")</f>
        <v>DOCENTE DE MEDIO TIEMPO</v>
      </c>
      <c r="E434" s="5" t="str">
        <f>IFERROR(VLOOKUP(A434,'Base Prueba'!A:E,5,),"NO REGISTRA")</f>
        <v>INGENIERIA DE SOFTWARE</v>
      </c>
    </row>
    <row r="435" spans="1:5" ht="15.75" x14ac:dyDescent="0.25">
      <c r="A435" s="10">
        <v>1018482392</v>
      </c>
      <c r="B435" s="2">
        <v>46090.582748958332</v>
      </c>
      <c r="C435" s="3" t="str">
        <f>IFERROR(VLOOKUP(A435,'Base Prueba'!A:C,3,),"NO REGISTRA")</f>
        <v>RAQUEL YANETH SANDOVAL FORERO</v>
      </c>
      <c r="D435" s="4" t="str">
        <f>IFERROR(VLOOKUP(A435,'Base Prueba'!A:D,4,),"NO REGISTRA")</f>
        <v>AUXILIAR DE RECURSOS ACADEMICOS</v>
      </c>
      <c r="E435" s="5" t="str">
        <f>IFERROR(VLOOKUP(A435,'Base Prueba'!A:E,5,),"NO REGISTRA")</f>
        <v>RECURSOS ACADEMICOS</v>
      </c>
    </row>
    <row r="436" spans="1:5" ht="15.75" x14ac:dyDescent="0.25">
      <c r="A436" s="10">
        <v>1001284791</v>
      </c>
      <c r="B436" s="2">
        <v>46090.582770833331</v>
      </c>
      <c r="C436" s="3" t="str">
        <f>IFERROR(VLOOKUP(A436,'Base Prueba'!A:C,3,),"NO REGISTRA")</f>
        <v>OSCAR STEVEN PEREZ HIDALGO</v>
      </c>
      <c r="D436" s="4" t="str">
        <f>IFERROR(VLOOKUP(A436,'Base Prueba'!A:D,4,),"NO REGISTRA")</f>
        <v>AUXILIAR DE RECURSOS ACADEMICOS</v>
      </c>
      <c r="E436" s="5" t="str">
        <f>IFERROR(VLOOKUP(A436,'Base Prueba'!A:E,5,),"NO REGISTRA")</f>
        <v>RECURSOS ACADEMICOS</v>
      </c>
    </row>
    <row r="437" spans="1:5" ht="15.75" x14ac:dyDescent="0.25">
      <c r="A437" s="10">
        <v>79452150</v>
      </c>
      <c r="B437" s="2">
        <v>46090.803958449076</v>
      </c>
      <c r="C437" s="3" t="str">
        <f>IFERROR(VLOOKUP(A437,'Base Prueba'!A:C,3,),"NO REGISTRA")</f>
        <v>JUAN CARLOS PAZ CUBILLOS</v>
      </c>
      <c r="D437" s="4" t="str">
        <f>IFERROR(VLOOKUP(A437,'Base Prueba'!A:D,4,),"NO REGISTRA")</f>
        <v>ANALISTA DE SISTEMAS</v>
      </c>
      <c r="E437" s="5" t="str">
        <f>IFERROR(VLOOKUP(A437,'Base Prueba'!A:E,5,),"NO REGISTRA")</f>
        <v>DEPARTAMENTO DE INFORMATICA Y TECNOLOGIA</v>
      </c>
    </row>
    <row r="438" spans="1:5" ht="15.75" x14ac:dyDescent="0.25">
      <c r="A438" s="10">
        <v>52049956</v>
      </c>
      <c r="B438" s="2">
        <v>46090.832144560183</v>
      </c>
      <c r="C438" s="3" t="str">
        <f>IFERROR(VLOOKUP(A438,'Base Prueba'!A:C,3,),"NO REGISTRA")</f>
        <v>ESPERANZA MORALES</v>
      </c>
      <c r="D438" s="4" t="str">
        <f>IFERROR(VLOOKUP(A438,'Base Prueba'!A:D,4,),"NO REGISTRA")</f>
        <v>DIRECTORA DE INFORMATICA Y TECNOLOGIA</v>
      </c>
      <c r="E438" s="5" t="str">
        <f>IFERROR(VLOOKUP(A438,'Base Prueba'!A:E,5,),"NO REGISTRA")</f>
        <v>DEPARTAMENTO DE INFORMATICA Y TECNOLOGIA</v>
      </c>
    </row>
    <row r="439" spans="1:5" ht="15.75" x14ac:dyDescent="0.25">
      <c r="A439" s="10">
        <v>1019125716</v>
      </c>
      <c r="B439" s="2">
        <v>46090.851915624997</v>
      </c>
      <c r="C439" s="3" t="str">
        <f>IFERROR(VLOOKUP(A439,'Base Prueba'!A:C,3,),"NO REGISTRA")</f>
        <v>GINA PAOLA ALZATE ARISTIZABAL</v>
      </c>
      <c r="D439" s="4" t="str">
        <f>IFERROR(VLOOKUP(A439,'Base Prueba'!A:D,4,),"NO REGISTRA")</f>
        <v>DOCENTE DE MEDIO TIEMPO</v>
      </c>
      <c r="E439" s="5" t="str">
        <f>IFERROR(VLOOKUP(A439,'Base Prueba'!A:E,5,),"NO REGISTRA")</f>
        <v>UNIDAD DE IDIOMAS</v>
      </c>
    </row>
    <row r="440" spans="1:5" ht="15.75" x14ac:dyDescent="0.25">
      <c r="A440" s="10">
        <v>1023954848</v>
      </c>
      <c r="B440" s="2">
        <v>46091.322952893519</v>
      </c>
      <c r="C440" s="3" t="str">
        <f>IFERROR(VLOOKUP(A440,'Base Prueba'!A:C,3,),"NO REGISTRA")</f>
        <v>JUAN CARLOS ESPITIA ORTIZ</v>
      </c>
      <c r="D440" s="4" t="str">
        <f>IFERROR(VLOOKUP(A440,'Base Prueba'!A:D,4,),"NO REGISTRA")</f>
        <v>ANALISTA DE INFRAESTRUCTURA</v>
      </c>
      <c r="E440" s="5" t="str">
        <f>IFERROR(VLOOKUP(A440,'Base Prueba'!A:E,5,),"NO REGISTRA")</f>
        <v>DEPARTAMENTO DE INFORMATICA Y TECNOLOGIA</v>
      </c>
    </row>
    <row r="441" spans="1:5" ht="15.75" x14ac:dyDescent="0.25">
      <c r="A441" s="10">
        <v>1023897886</v>
      </c>
      <c r="B441" s="2">
        <v>46091.347677893522</v>
      </c>
      <c r="C441" s="3" t="str">
        <f>IFERROR(VLOOKUP(A441,'Base Prueba'!A:C,3,),"NO REGISTRA")</f>
        <v>NO REGISTRA</v>
      </c>
      <c r="D441" s="4" t="str">
        <f>IFERROR(VLOOKUP(A441,'Base Prueba'!A:D,4,),"NO REGISTRA")</f>
        <v>NO REGISTRA</v>
      </c>
      <c r="E441" s="5" t="str">
        <f>IFERROR(VLOOKUP(A441,'Base Prueba'!A:E,5,),"NO REGISTRA")</f>
        <v>NO REGISTRA</v>
      </c>
    </row>
    <row r="442" spans="1:5" ht="15.75" x14ac:dyDescent="0.25">
      <c r="A442" s="10">
        <v>52049956</v>
      </c>
      <c r="B442" s="2">
        <v>46091.381998032404</v>
      </c>
      <c r="C442" s="3" t="str">
        <f>IFERROR(VLOOKUP(A442,'Base Prueba'!A:C,3,),"NO REGISTRA")</f>
        <v>ESPERANZA MORALES</v>
      </c>
      <c r="D442" s="4" t="str">
        <f>IFERROR(VLOOKUP(A442,'Base Prueba'!A:D,4,),"NO REGISTRA")</f>
        <v>DIRECTORA DE INFORMATICA Y TECNOLOGIA</v>
      </c>
      <c r="E442" s="5" t="str">
        <f>IFERROR(VLOOKUP(A442,'Base Prueba'!A:E,5,),"NO REGISTRA")</f>
        <v>DEPARTAMENTO DE INFORMATICA Y TECNOLOGIA</v>
      </c>
    </row>
    <row r="443" spans="1:5" ht="15.75" x14ac:dyDescent="0.25">
      <c r="A443" s="10">
        <v>1001284791</v>
      </c>
      <c r="B443" s="2">
        <v>46091.56751990741</v>
      </c>
      <c r="C443" s="3" t="str">
        <f>IFERROR(VLOOKUP(A443,'Base Prueba'!A:C,3,),"NO REGISTRA")</f>
        <v>OSCAR STEVEN PEREZ HIDALGO</v>
      </c>
      <c r="D443" s="4" t="str">
        <f>IFERROR(VLOOKUP(A443,'Base Prueba'!A:D,4,),"NO REGISTRA")</f>
        <v>AUXILIAR DE RECURSOS ACADEMICOS</v>
      </c>
      <c r="E443" s="5" t="str">
        <f>IFERROR(VLOOKUP(A443,'Base Prueba'!A:E,5,),"NO REGISTRA")</f>
        <v>RECURSOS ACADEMICOS</v>
      </c>
    </row>
    <row r="444" spans="1:5" ht="15.75" x14ac:dyDescent="0.25">
      <c r="A444" s="10">
        <v>1018482392</v>
      </c>
      <c r="B444" s="2">
        <v>46091.567639814813</v>
      </c>
      <c r="C444" s="3" t="str">
        <f>IFERROR(VLOOKUP(A444,'Base Prueba'!A:C,3,),"NO REGISTRA")</f>
        <v>RAQUEL YANETH SANDOVAL FORERO</v>
      </c>
      <c r="D444" s="4" t="str">
        <f>IFERROR(VLOOKUP(A444,'Base Prueba'!A:D,4,),"NO REGISTRA")</f>
        <v>AUXILIAR DE RECURSOS ACADEMICOS</v>
      </c>
      <c r="E444" s="5" t="str">
        <f>IFERROR(VLOOKUP(A444,'Base Prueba'!A:E,5,),"NO REGISTRA")</f>
        <v>RECURSOS ACADEMICOS</v>
      </c>
    </row>
    <row r="445" spans="1:5" ht="15.75" x14ac:dyDescent="0.25">
      <c r="A445" s="10">
        <v>248294</v>
      </c>
      <c r="B445" s="2">
        <v>46091.579880324076</v>
      </c>
      <c r="C445" s="3" t="str">
        <f>IFERROR(VLOOKUP(A445,'Base Prueba'!A:C,3,),"NO REGISTRA")</f>
        <v>WALTER NATALIO VALDEZ MONTAÑEZ</v>
      </c>
      <c r="D445" s="4" t="str">
        <f>IFERROR(VLOOKUP(A445,'Base Prueba'!A:D,4,),"NO REGISTRA")</f>
        <v>DOCENTE DE TIEMPO COMPLETO</v>
      </c>
      <c r="E445" s="5" t="str">
        <f>IFERROR(VLOOKUP(A445,'Base Prueba'!A:E,5,),"NO REGISTRA")</f>
        <v>UNIVERSITARIO EN TURISMO Y GASTRONOMIA</v>
      </c>
    </row>
    <row r="446" spans="1:5" ht="15.75" x14ac:dyDescent="0.25">
      <c r="A446" s="10">
        <v>1014257968</v>
      </c>
      <c r="B446" s="2">
        <v>46091.823202777778</v>
      </c>
      <c r="C446" s="3" t="str">
        <f>IFERROR(VLOOKUP(A446,'Base Prueba'!A:C,3,),"NO REGISTRA")</f>
        <v>JORGE ANDRES LIEVANO LOPEZ</v>
      </c>
      <c r="D446" s="4" t="str">
        <f>IFERROR(VLOOKUP(A446,'Base Prueba'!A:D,4,),"NO REGISTRA")</f>
        <v>DOCENTE DE TIEMPO COMPLETO</v>
      </c>
      <c r="E446" s="5" t="str">
        <f>IFERROR(VLOOKUP(A446,'Base Prueba'!A:E,5,),"NO REGISTRA")</f>
        <v>UNIDAD DE IDIOMAS</v>
      </c>
    </row>
    <row r="447" spans="1:5" ht="15.75" x14ac:dyDescent="0.25">
      <c r="A447" s="10">
        <v>79452150</v>
      </c>
      <c r="B447" s="2">
        <v>46091.823553703704</v>
      </c>
      <c r="C447" s="3" t="str">
        <f>IFERROR(VLOOKUP(A447,'Base Prueba'!A:C,3,),"NO REGISTRA")</f>
        <v>JUAN CARLOS PAZ CUBILLOS</v>
      </c>
      <c r="D447" s="4" t="str">
        <f>IFERROR(VLOOKUP(A447,'Base Prueba'!A:D,4,),"NO REGISTRA")</f>
        <v>ANALISTA DE SISTEMAS</v>
      </c>
      <c r="E447" s="5" t="str">
        <f>IFERROR(VLOOKUP(A447,'Base Prueba'!A:E,5,),"NO REGISTRA")</f>
        <v>DEPARTAMENTO DE INFORMATICA Y TECNOLOGIA</v>
      </c>
    </row>
    <row r="448" spans="1:5" ht="15.75" x14ac:dyDescent="0.25">
      <c r="A448" s="10">
        <v>1000319911</v>
      </c>
      <c r="B448" s="2">
        <v>46091.851386226852</v>
      </c>
      <c r="C448" s="3" t="str">
        <f>IFERROR(VLOOKUP(A448,'Base Prueba'!A:C,3,),"NO REGISTRA")</f>
        <v>NO REGISTRA</v>
      </c>
      <c r="D448" s="4" t="str">
        <f>IFERROR(VLOOKUP(A448,'Base Prueba'!A:D,4,),"NO REGISTRA")</f>
        <v>NO REGISTRA</v>
      </c>
      <c r="E448" s="5" t="str">
        <f>IFERROR(VLOOKUP(A448,'Base Prueba'!A:E,5,),"NO REGISTRA")</f>
        <v>NO REGISTRA</v>
      </c>
    </row>
    <row r="449" spans="1:5" ht="15.75" x14ac:dyDescent="0.25">
      <c r="A449" s="10">
        <v>1013260371</v>
      </c>
      <c r="B449" s="2">
        <v>46091.851662152774</v>
      </c>
      <c r="C449" s="3" t="str">
        <f>IFERROR(VLOOKUP(A449,'Base Prueba'!A:C,3,),"NO REGISTRA")</f>
        <v>NO REGISTRA</v>
      </c>
      <c r="D449" s="4" t="str">
        <f>IFERROR(VLOOKUP(A449,'Base Prueba'!A:D,4,),"NO REGISTRA")</f>
        <v>NO REGISTRA</v>
      </c>
      <c r="E449" s="5" t="str">
        <f>IFERROR(VLOOKUP(A449,'Base Prueba'!A:E,5,),"NO REGISTRA")</f>
        <v>NO REGISTRA</v>
      </c>
    </row>
    <row r="450" spans="1:5" ht="15.75" x14ac:dyDescent="0.25">
      <c r="A450" s="10">
        <v>52850506</v>
      </c>
      <c r="B450" s="2">
        <v>46092.29266875</v>
      </c>
      <c r="C450" s="3" t="str">
        <f>IFERROR(VLOOKUP(A450,'Base Prueba'!A:C,3,),"NO REGISTRA")</f>
        <v>PAOLA ANDREA VASQUEZ FONSECA</v>
      </c>
      <c r="D450" s="4" t="str">
        <f>IFERROR(VLOOKUP(A450,'Base Prueba'!A:D,4,),"NO REGISTRA")</f>
        <v>DOCENTE DE TIEMPO COMPLETO</v>
      </c>
      <c r="E450" s="5" t="str">
        <f>IFERROR(VLOOKUP(A450,'Base Prueba'!A:E,5,),"NO REGISTRA")</f>
        <v>UNIVERSITARIO COMUNICACION SOCIAL</v>
      </c>
    </row>
    <row r="451" spans="1:5" ht="15.75" x14ac:dyDescent="0.25">
      <c r="A451" s="10">
        <v>1022378300</v>
      </c>
      <c r="B451" s="2">
        <v>46092.336598263886</v>
      </c>
      <c r="C451" s="3" t="str">
        <f>IFERROR(VLOOKUP(A451,'Base Prueba'!A:C,3,),"NO REGISTRA")</f>
        <v>FERNEY ANDRES CHASPUENGAL RAMIREZ</v>
      </c>
      <c r="D451" s="4" t="str">
        <f>IFERROR(VLOOKUP(A451,'Base Prueba'!A:D,4,),"NO REGISTRA")</f>
        <v>LÍDER DE DEPORTE Y CULTURA</v>
      </c>
      <c r="E451" s="5" t="str">
        <f>IFERROR(VLOOKUP(A451,'Base Prueba'!A:E,5,),"NO REGISTRA")</f>
        <v>DIRECCION DE BIENESTAR INSTITUCIONAL</v>
      </c>
    </row>
    <row r="452" spans="1:5" ht="15.75" x14ac:dyDescent="0.25">
      <c r="A452" s="10">
        <v>52049956</v>
      </c>
      <c r="B452" s="2">
        <v>46092.361918981478</v>
      </c>
      <c r="C452" s="3" t="str">
        <f>IFERROR(VLOOKUP(A452,'Base Prueba'!A:C,3,),"NO REGISTRA")</f>
        <v>ESPERANZA MORALES</v>
      </c>
      <c r="D452" s="4" t="str">
        <f>IFERROR(VLOOKUP(A452,'Base Prueba'!A:D,4,),"NO REGISTRA")</f>
        <v>DIRECTORA DE INFORMATICA Y TECNOLOGIA</v>
      </c>
      <c r="E452" s="5" t="str">
        <f>IFERROR(VLOOKUP(A452,'Base Prueba'!A:E,5,),"NO REGISTRA")</f>
        <v>DEPARTAMENTO DE INFORMATICA Y TECNOLOGIA</v>
      </c>
    </row>
    <row r="453" spans="1:5" ht="15.75" x14ac:dyDescent="0.25">
      <c r="A453" s="10">
        <v>1032361262</v>
      </c>
      <c r="B453" s="2">
        <v>46092.484156365739</v>
      </c>
      <c r="C453" s="3" t="str">
        <f>IFERROR(VLOOKUP(A453,'Base Prueba'!A:C,3,),"NO REGISTRA")</f>
        <v>CAMILO  ANDRES BALLESTEROS SANABRIA</v>
      </c>
      <c r="D453" s="4" t="str">
        <f>IFERROR(VLOOKUP(A453,'Base Prueba'!A:D,4,),"NO REGISTRA")</f>
        <v>DOCENTE DE MEDIO TIEMPO</v>
      </c>
      <c r="E453" s="5" t="str">
        <f>IFERROR(VLOOKUP(A453,'Base Prueba'!A:E,5,),"NO REGISTRA")</f>
        <v>TECNICA EN FOTOGRAFIA</v>
      </c>
    </row>
    <row r="454" spans="1:5" ht="15.75" x14ac:dyDescent="0.25">
      <c r="A454" s="10">
        <v>1018482392</v>
      </c>
      <c r="B454" s="2">
        <v>46092.658109143522</v>
      </c>
      <c r="C454" s="3" t="str">
        <f>IFERROR(VLOOKUP(A454,'Base Prueba'!A:C,3,),"NO REGISTRA")</f>
        <v>RAQUEL YANETH SANDOVAL FORERO</v>
      </c>
      <c r="D454" s="4" t="str">
        <f>IFERROR(VLOOKUP(A454,'Base Prueba'!A:D,4,),"NO REGISTRA")</f>
        <v>AUXILIAR DE RECURSOS ACADEMICOS</v>
      </c>
      <c r="E454" s="5" t="str">
        <f>IFERROR(VLOOKUP(A454,'Base Prueba'!A:E,5,),"NO REGISTRA")</f>
        <v>RECURSOS ACADEMICOS</v>
      </c>
    </row>
    <row r="455" spans="1:5" ht="15.75" x14ac:dyDescent="0.25">
      <c r="A455" s="10">
        <v>248294</v>
      </c>
      <c r="B455" s="2">
        <v>46092.685002430553</v>
      </c>
      <c r="C455" s="3" t="str">
        <f>IFERROR(VLOOKUP(A455,'Base Prueba'!A:C,3,),"NO REGISTRA")</f>
        <v>WALTER NATALIO VALDEZ MONTAÑEZ</v>
      </c>
      <c r="D455" s="4" t="str">
        <f>IFERROR(VLOOKUP(A455,'Base Prueba'!A:D,4,),"NO REGISTRA")</f>
        <v>DOCENTE DE TIEMPO COMPLETO</v>
      </c>
      <c r="E455" s="5" t="str">
        <f>IFERROR(VLOOKUP(A455,'Base Prueba'!A:E,5,),"NO REGISTRA")</f>
        <v>UNIVERSITARIO EN TURISMO Y GASTRONOMIA</v>
      </c>
    </row>
    <row r="456" spans="1:5" ht="15.75" x14ac:dyDescent="0.25">
      <c r="A456" s="10">
        <v>52049956</v>
      </c>
      <c r="B456" s="2">
        <v>46092.825120717593</v>
      </c>
      <c r="C456" s="3" t="str">
        <f>IFERROR(VLOOKUP(A456,'Base Prueba'!A:C,3,),"NO REGISTRA")</f>
        <v>ESPERANZA MORALES</v>
      </c>
      <c r="D456" s="4" t="str">
        <f>IFERROR(VLOOKUP(A456,'Base Prueba'!A:D,4,),"NO REGISTRA")</f>
        <v>DIRECTORA DE INFORMATICA Y TECNOLOGIA</v>
      </c>
      <c r="E456" s="5" t="str">
        <f>IFERROR(VLOOKUP(A456,'Base Prueba'!A:E,5,),"NO REGISTRA")</f>
        <v>DEPARTAMENTO DE INFORMATICA Y TECNOLOGIA</v>
      </c>
    </row>
    <row r="457" spans="1:5" ht="15.75" x14ac:dyDescent="0.25">
      <c r="A457" s="10">
        <v>52850506</v>
      </c>
      <c r="B457" s="2">
        <v>46092.843994907409</v>
      </c>
      <c r="C457" s="3" t="str">
        <f>IFERROR(VLOOKUP(A457,'Base Prueba'!A:C,3,),"NO REGISTRA")</f>
        <v>PAOLA ANDREA VASQUEZ FONSECA</v>
      </c>
      <c r="D457" s="4" t="str">
        <f>IFERROR(VLOOKUP(A457,'Base Prueba'!A:D,4,),"NO REGISTRA")</f>
        <v>DOCENTE DE TIEMPO COMPLETO</v>
      </c>
      <c r="E457" s="5" t="str">
        <f>IFERROR(VLOOKUP(A457,'Base Prueba'!A:E,5,),"NO REGISTRA")</f>
        <v>UNIVERSITARIO COMUNICACION SOCIAL</v>
      </c>
    </row>
    <row r="458" spans="1:5" ht="15.75" x14ac:dyDescent="0.25">
      <c r="A458" s="10">
        <v>79452150</v>
      </c>
      <c r="B458" s="2">
        <v>46092.848355324073</v>
      </c>
      <c r="C458" s="3" t="str">
        <f>IFERROR(VLOOKUP(A458,'Base Prueba'!A:C,3,),"NO REGISTRA")</f>
        <v>JUAN CARLOS PAZ CUBILLOS</v>
      </c>
      <c r="D458" s="4" t="str">
        <f>IFERROR(VLOOKUP(A458,'Base Prueba'!A:D,4,),"NO REGISTRA")</f>
        <v>ANALISTA DE SISTEMAS</v>
      </c>
      <c r="E458" s="5" t="str">
        <f>IFERROR(VLOOKUP(A458,'Base Prueba'!A:E,5,),"NO REGISTRA")</f>
        <v>DEPARTAMENTO DE INFORMATICA Y TECNOLOGIA</v>
      </c>
    </row>
    <row r="459" spans="1:5" ht="15.75" x14ac:dyDescent="0.25">
      <c r="A459" s="10">
        <v>1022378300</v>
      </c>
      <c r="B459" s="2">
        <v>46093.349488078704</v>
      </c>
      <c r="C459" s="3" t="str">
        <f>IFERROR(VLOOKUP(A459,'Base Prueba'!A:C,3,),"NO REGISTRA")</f>
        <v>FERNEY ANDRES CHASPUENGAL RAMIREZ</v>
      </c>
      <c r="D459" s="4" t="str">
        <f>IFERROR(VLOOKUP(A459,'Base Prueba'!A:D,4,),"NO REGISTRA")</f>
        <v>LÍDER DE DEPORTE Y CULTURA</v>
      </c>
      <c r="E459" s="5" t="str">
        <f>IFERROR(VLOOKUP(A459,'Base Prueba'!A:E,5,),"NO REGISTRA")</f>
        <v>DIRECCION DE BIENESTAR INSTITUCIONAL</v>
      </c>
    </row>
    <row r="460" spans="1:5" ht="15.75" x14ac:dyDescent="0.25">
      <c r="A460" s="10">
        <v>52049956</v>
      </c>
      <c r="B460" s="2">
        <v>46093.355683449074</v>
      </c>
      <c r="C460" s="3" t="str">
        <f>IFERROR(VLOOKUP(A460,'Base Prueba'!A:C,3,),"NO REGISTRA")</f>
        <v>ESPERANZA MORALES</v>
      </c>
      <c r="D460" s="4" t="str">
        <f>IFERROR(VLOOKUP(A460,'Base Prueba'!A:D,4,),"NO REGISTRA")</f>
        <v>DIRECTORA DE INFORMATICA Y TECNOLOGIA</v>
      </c>
      <c r="E460" s="5" t="str">
        <f>IFERROR(VLOOKUP(A460,'Base Prueba'!A:E,5,),"NO REGISTRA")</f>
        <v>DEPARTAMENTO DE INFORMATICA Y TECNOLOGIA</v>
      </c>
    </row>
    <row r="461" spans="1:5" ht="15.75" x14ac:dyDescent="0.25">
      <c r="A461" s="10">
        <v>1018482392</v>
      </c>
      <c r="B461" s="2">
        <v>46093.563001504626</v>
      </c>
      <c r="C461" s="3" t="str">
        <f>IFERROR(VLOOKUP(A461,'Base Prueba'!A:C,3,),"NO REGISTRA")</f>
        <v>RAQUEL YANETH SANDOVAL FORERO</v>
      </c>
      <c r="D461" s="4" t="str">
        <f>IFERROR(VLOOKUP(A461,'Base Prueba'!A:D,4,),"NO REGISTRA")</f>
        <v>AUXILIAR DE RECURSOS ACADEMICOS</v>
      </c>
      <c r="E461" s="5" t="str">
        <f>IFERROR(VLOOKUP(A461,'Base Prueba'!A:E,5,),"NO REGISTRA")</f>
        <v>RECURSOS ACADEMICOS</v>
      </c>
    </row>
    <row r="462" spans="1:5" ht="15.75" x14ac:dyDescent="0.25">
      <c r="A462" s="10">
        <v>248294</v>
      </c>
      <c r="B462" s="2">
        <v>46093.678493055559</v>
      </c>
      <c r="C462" s="3" t="str">
        <f>IFERROR(VLOOKUP(A462,'Base Prueba'!A:C,3,),"NO REGISTRA")</f>
        <v>WALTER NATALIO VALDEZ MONTAÑEZ</v>
      </c>
      <c r="D462" s="4" t="str">
        <f>IFERROR(VLOOKUP(A462,'Base Prueba'!A:D,4,),"NO REGISTRA")</f>
        <v>DOCENTE DE TIEMPO COMPLETO</v>
      </c>
      <c r="E462" s="5" t="str">
        <f>IFERROR(VLOOKUP(A462,'Base Prueba'!A:E,5,),"NO REGISTRA")</f>
        <v>UNIVERSITARIO EN TURISMO Y GASTRONOMIA</v>
      </c>
    </row>
    <row r="463" spans="1:5" ht="15.75" x14ac:dyDescent="0.25">
      <c r="A463" s="10">
        <v>80059783</v>
      </c>
      <c r="B463" s="2">
        <v>46093.754477199072</v>
      </c>
      <c r="C463" s="3" t="str">
        <f>IFERROR(VLOOKUP(A463,'Base Prueba'!A:C,3,),"NO REGISTRA")</f>
        <v>JAIRO FABIAN RIVERA RUBIANO</v>
      </c>
      <c r="D463" s="4" t="str">
        <f>IFERROR(VLOOKUP(A463,'Base Prueba'!A:D,4,),"NO REGISTRA")</f>
        <v>DOCENTE DE MEDIO TIEMPO</v>
      </c>
      <c r="E463" s="5" t="str">
        <f>IFERROR(VLOOKUP(A463,'Base Prueba'!A:E,5,),"NO REGISTRA")</f>
        <v>TECNOLOGIA EN ADMINISTRACION DEL TALENTO HUMANO</v>
      </c>
    </row>
    <row r="464" spans="1:5" ht="15.75" x14ac:dyDescent="0.25">
      <c r="A464" s="10">
        <v>79452150</v>
      </c>
      <c r="B464" s="2">
        <v>46093.824247337965</v>
      </c>
      <c r="C464" s="3" t="str">
        <f>IFERROR(VLOOKUP(A464,'Base Prueba'!A:C,3,),"NO REGISTRA")</f>
        <v>JUAN CARLOS PAZ CUBILLOS</v>
      </c>
      <c r="D464" s="4" t="str">
        <f>IFERROR(VLOOKUP(A464,'Base Prueba'!A:D,4,),"NO REGISTRA")</f>
        <v>ANALISTA DE SISTEMAS</v>
      </c>
      <c r="E464" s="5" t="str">
        <f>IFERROR(VLOOKUP(A464,'Base Prueba'!A:E,5,),"NO REGISTRA")</f>
        <v>DEPARTAMENTO DE INFORMATICA Y TECNOLOGIA</v>
      </c>
    </row>
    <row r="465" spans="1:5" ht="15.75" x14ac:dyDescent="0.25">
      <c r="A465" s="10">
        <v>52049956</v>
      </c>
      <c r="B465" s="2">
        <v>46093.830607870368</v>
      </c>
      <c r="C465" s="3" t="str">
        <f>IFERROR(VLOOKUP(A465,'Base Prueba'!A:C,3,),"NO REGISTRA")</f>
        <v>ESPERANZA MORALES</v>
      </c>
      <c r="D465" s="4" t="str">
        <f>IFERROR(VLOOKUP(A465,'Base Prueba'!A:D,4,),"NO REGISTRA")</f>
        <v>DIRECTORA DE INFORMATICA Y TECNOLOGIA</v>
      </c>
      <c r="E465" s="5" t="str">
        <f>IFERROR(VLOOKUP(A465,'Base Prueba'!A:E,5,),"NO REGISTRA")</f>
        <v>DEPARTAMENTO DE INFORMATICA Y TECNOLOGIA</v>
      </c>
    </row>
    <row r="466" spans="1:5" ht="15.75" x14ac:dyDescent="0.25">
      <c r="A466" s="10">
        <v>52850506</v>
      </c>
      <c r="B466" s="2">
        <v>46093.837140740739</v>
      </c>
      <c r="C466" s="3" t="str">
        <f>IFERROR(VLOOKUP(A466,'Base Prueba'!A:C,3,),"NO REGISTRA")</f>
        <v>PAOLA ANDREA VASQUEZ FONSECA</v>
      </c>
      <c r="D466" s="4" t="str">
        <f>IFERROR(VLOOKUP(A466,'Base Prueba'!A:D,4,),"NO REGISTRA")</f>
        <v>DOCENTE DE TIEMPO COMPLETO</v>
      </c>
      <c r="E466" s="5" t="str">
        <f>IFERROR(VLOOKUP(A466,'Base Prueba'!A:E,5,),"NO REGISTRA")</f>
        <v>UNIVERSITARIO COMUNICACION SOCIAL</v>
      </c>
    </row>
    <row r="467" spans="1:5" ht="15.75" x14ac:dyDescent="0.25">
      <c r="A467" s="10">
        <v>19344689</v>
      </c>
      <c r="B467" s="2">
        <v>46094.290704282408</v>
      </c>
      <c r="C467" s="3" t="str">
        <f>IFERROR(VLOOKUP(A467,'Base Prueba'!A:C,3,),"NO REGISTRA")</f>
        <v>EDGAR PALACINO ANTIA</v>
      </c>
      <c r="D467" s="4" t="str">
        <f>IFERROR(VLOOKUP(A467,'Base Prueba'!A:D,4,),"NO REGISTRA")</f>
        <v>DOCENTE DE MEDIO TIEMPO</v>
      </c>
      <c r="E467" s="5" t="str">
        <f>IFERROR(VLOOKUP(A467,'Base Prueba'!A:E,5,),"NO REGISTRA")</f>
        <v>AREA DE CIENCIAS BASICAS</v>
      </c>
    </row>
    <row r="468" spans="1:5" ht="15.75" x14ac:dyDescent="0.25">
      <c r="A468" s="10">
        <v>52049956</v>
      </c>
      <c r="B468" s="2">
        <v>46094.355247916668</v>
      </c>
      <c r="C468" s="3" t="str">
        <f>IFERROR(VLOOKUP(A468,'Base Prueba'!A:C,3,),"NO REGISTRA")</f>
        <v>ESPERANZA MORALES</v>
      </c>
      <c r="D468" s="4" t="str">
        <f>IFERROR(VLOOKUP(A468,'Base Prueba'!A:D,4,),"NO REGISTRA")</f>
        <v>DIRECTORA DE INFORMATICA Y TECNOLOGIA</v>
      </c>
      <c r="E468" s="5" t="str">
        <f>IFERROR(VLOOKUP(A468,'Base Prueba'!A:E,5,),"NO REGISTRA")</f>
        <v>DEPARTAMENTO DE INFORMATICA Y TECNOLOGIA</v>
      </c>
    </row>
    <row r="469" spans="1:5" ht="15.75" x14ac:dyDescent="0.25">
      <c r="A469" s="10">
        <v>79484197</v>
      </c>
      <c r="B469" s="2">
        <v>46094.420384722223</v>
      </c>
      <c r="C469" s="3" t="str">
        <f>IFERROR(VLOOKUP(A469,'Base Prueba'!A:C,3,),"NO REGISTRA")</f>
        <v>JOHN DANIEL GUTIERREZ BOADA</v>
      </c>
      <c r="D469" s="4" t="str">
        <f>IFERROR(VLOOKUP(A469,'Base Prueba'!A:D,4,),"NO REGISTRA")</f>
        <v>DOCENTE DE MEDIO TIEMPO</v>
      </c>
      <c r="E469" s="5" t="str">
        <f>IFERROR(VLOOKUP(A469,'Base Prueba'!A:E,5,),"NO REGISTRA")</f>
        <v>UNIVERSITARIO COMUNICACION SOCIAL</v>
      </c>
    </row>
    <row r="470" spans="1:5" ht="15.75" x14ac:dyDescent="0.25">
      <c r="A470" s="10">
        <v>52261177</v>
      </c>
      <c r="B470" s="2">
        <v>46094.638648263892</v>
      </c>
      <c r="C470" s="3" t="str">
        <f>IFERROR(VLOOKUP(A470,'Base Prueba'!A:C,3,),"NO REGISTRA")</f>
        <v>ELSA STELLA PARDO BAEZ</v>
      </c>
      <c r="D470" s="4" t="str">
        <f>IFERROR(VLOOKUP(A470,'Base Prueba'!A:D,4,),"NO REGISTRA")</f>
        <v>CATEDRATICO</v>
      </c>
      <c r="E470" s="5" t="str">
        <f>IFERROR(VLOOKUP(A470,'Base Prueba'!A:E,5,),"NO REGISTRA")</f>
        <v>ESPECIALIZACION EN GERENCIA DE SEGURIDAD INDUSTRIAL</v>
      </c>
    </row>
    <row r="471" spans="1:5" ht="15.75" x14ac:dyDescent="0.25">
      <c r="A471" s="10">
        <v>248294</v>
      </c>
      <c r="B471" s="2">
        <v>46094.675532175926</v>
      </c>
      <c r="C471" s="3" t="str">
        <f>IFERROR(VLOOKUP(A471,'Base Prueba'!A:C,3,),"NO REGISTRA")</f>
        <v>WALTER NATALIO VALDEZ MONTAÑEZ</v>
      </c>
      <c r="D471" s="4" t="str">
        <f>IFERROR(VLOOKUP(A471,'Base Prueba'!A:D,4,),"NO REGISTRA")</f>
        <v>DOCENTE DE TIEMPO COMPLETO</v>
      </c>
      <c r="E471" s="5" t="str">
        <f>IFERROR(VLOOKUP(A471,'Base Prueba'!A:E,5,),"NO REGISTRA")</f>
        <v>UNIVERSITARIO EN TURISMO Y GASTRONOMIA</v>
      </c>
    </row>
    <row r="472" spans="1:5" ht="15.75" x14ac:dyDescent="0.25">
      <c r="A472" s="10">
        <v>1026287580</v>
      </c>
      <c r="B472" s="2">
        <v>46094.72194664352</v>
      </c>
      <c r="C472" s="3" t="str">
        <f>IFERROR(VLOOKUP(A472,'Base Prueba'!A:C,3,),"NO REGISTRA")</f>
        <v>DANIEL RESTREPO GIRALDO</v>
      </c>
      <c r="D472" s="4" t="str">
        <f>IFERROR(VLOOKUP(A472,'Base Prueba'!A:D,4,),"NO REGISTRA")</f>
        <v>CATEDRATICO</v>
      </c>
      <c r="E472" s="5" t="str">
        <f>IFERROR(VLOOKUP(A472,'Base Prueba'!A:E,5,),"NO REGISTRA")</f>
        <v>ESPECIALIZACION EN VISUAL ANALITYCS Y BIG DATA</v>
      </c>
    </row>
    <row r="473" spans="1:5" ht="15.75" x14ac:dyDescent="0.25">
      <c r="A473" s="10">
        <v>79452150</v>
      </c>
      <c r="B473" s="2">
        <v>46094.817353240738</v>
      </c>
      <c r="C473" s="3" t="str">
        <f>IFERROR(VLOOKUP(A473,'Base Prueba'!A:C,3,),"NO REGISTRA")</f>
        <v>JUAN CARLOS PAZ CUBILLOS</v>
      </c>
      <c r="D473" s="4" t="str">
        <f>IFERROR(VLOOKUP(A473,'Base Prueba'!A:D,4,),"NO REGISTRA")</f>
        <v>ANALISTA DE SISTEMAS</v>
      </c>
      <c r="E473" s="5" t="str">
        <f>IFERROR(VLOOKUP(A473,'Base Prueba'!A:E,5,),"NO REGISTRA")</f>
        <v>DEPARTAMENTO DE INFORMATICA Y TECNOLOGIA</v>
      </c>
    </row>
    <row r="474" spans="1:5" ht="15.75" x14ac:dyDescent="0.25">
      <c r="A474" s="10">
        <v>52049956</v>
      </c>
      <c r="B474" s="2">
        <v>46094.86732060185</v>
      </c>
      <c r="C474" s="3" t="str">
        <f>IFERROR(VLOOKUP(A474,'Base Prueba'!A:C,3,),"NO REGISTRA")</f>
        <v>ESPERANZA MORALES</v>
      </c>
      <c r="D474" s="4" t="str">
        <f>IFERROR(VLOOKUP(A474,'Base Prueba'!A:D,4,),"NO REGISTRA")</f>
        <v>DIRECTORA DE INFORMATICA Y TECNOLOGIA</v>
      </c>
      <c r="E474" s="5" t="str">
        <f>IFERROR(VLOOKUP(A474,'Base Prueba'!A:E,5,),"NO REGISTRA")</f>
        <v>DEPARTAMENTO DE INFORMATICA Y TECNOLOGIA</v>
      </c>
    </row>
    <row r="475" spans="1:5" ht="15.75" x14ac:dyDescent="0.25">
      <c r="A475" s="10">
        <v>80059783</v>
      </c>
      <c r="B475" s="2">
        <v>46095.281744675929</v>
      </c>
      <c r="C475" s="3" t="str">
        <f>IFERROR(VLOOKUP(A475,'Base Prueba'!A:C,3,),"NO REGISTRA")</f>
        <v>JAIRO FABIAN RIVERA RUBIANO</v>
      </c>
      <c r="D475" s="4" t="str">
        <f>IFERROR(VLOOKUP(A475,'Base Prueba'!A:D,4,),"NO REGISTRA")</f>
        <v>DOCENTE DE MEDIO TIEMPO</v>
      </c>
      <c r="E475" s="5" t="str">
        <f>IFERROR(VLOOKUP(A475,'Base Prueba'!A:E,5,),"NO REGISTRA")</f>
        <v>TECNOLOGIA EN ADMINISTRACION DEL TALENTO HUMANO</v>
      </c>
    </row>
    <row r="476" spans="1:5" ht="15.75" x14ac:dyDescent="0.25">
      <c r="A476" s="10">
        <v>1018411979</v>
      </c>
      <c r="B476" s="2">
        <v>46095.292032986108</v>
      </c>
      <c r="C476" s="3" t="str">
        <f>IFERROR(VLOOKUP(A476,'Base Prueba'!A:C,3,),"NO REGISTRA")</f>
        <v>MIGUEL ALFONSO CUELLAR GOMEZ</v>
      </c>
      <c r="D476" s="4" t="str">
        <f>IFERROR(VLOOKUP(A476,'Base Prueba'!A:D,4,),"NO REGISTRA")</f>
        <v>DIRECTOR DE PROGRAMAS DE PRODUCCIÓN VISUAL Y AUDIOVISUAL</v>
      </c>
      <c r="E476" s="5" t="str">
        <f>IFERROR(VLOOKUP(A476,'Base Prueba'!A:E,5,),"NO REGISTRA")</f>
        <v>FACULTAD DE COMINICACIÓN PERIODISMO Y ARTES</v>
      </c>
    </row>
    <row r="477" spans="1:5" ht="15.75" x14ac:dyDescent="0.25">
      <c r="A477" s="10">
        <v>51555582</v>
      </c>
      <c r="B477" s="2">
        <v>46095.365770254626</v>
      </c>
      <c r="C477" s="3" t="str">
        <f>IFERROR(VLOOKUP(A477,'Base Prueba'!A:C,3,),"NO REGISTRA")</f>
        <v>MARTHA CECILIA VIDAL ARIZABALETA</v>
      </c>
      <c r="D477" s="4" t="str">
        <f>IFERROR(VLOOKUP(A477,'Base Prueba'!A:D,4,),"NO REGISTRA")</f>
        <v>DOCENTE DE MEDIO TIEMPO</v>
      </c>
      <c r="E477" s="5" t="str">
        <f>IFERROR(VLOOKUP(A477,'Base Prueba'!A:E,5,),"NO REGISTRA")</f>
        <v>INGENIERIA DE SOFTWARE</v>
      </c>
    </row>
    <row r="478" spans="1:5" ht="15.75" x14ac:dyDescent="0.25">
      <c r="A478" s="10">
        <v>52049956</v>
      </c>
      <c r="B478" s="2">
        <v>46095.365831828705</v>
      </c>
      <c r="C478" s="3" t="str">
        <f>IFERROR(VLOOKUP(A478,'Base Prueba'!A:C,3,),"NO REGISTRA")</f>
        <v>ESPERANZA MORALES</v>
      </c>
      <c r="D478" s="4" t="str">
        <f>IFERROR(VLOOKUP(A478,'Base Prueba'!A:D,4,),"NO REGISTRA")</f>
        <v>DIRECTORA DE INFORMATICA Y TECNOLOGIA</v>
      </c>
      <c r="E478" s="5" t="str">
        <f>IFERROR(VLOOKUP(A478,'Base Prueba'!A:E,5,),"NO REGISTRA")</f>
        <v>DEPARTAMENTO DE INFORMATICA Y TECNOLOGIA</v>
      </c>
    </row>
    <row r="479" spans="1:5" ht="15.75" x14ac:dyDescent="0.25">
      <c r="A479" s="10">
        <v>51555582</v>
      </c>
      <c r="B479" s="2">
        <v>46095.417189699074</v>
      </c>
      <c r="C479" s="3" t="str">
        <f>IFERROR(VLOOKUP(A479,'Base Prueba'!A:C,3,),"NO REGISTRA")</f>
        <v>MARTHA CECILIA VIDAL ARIZABALETA</v>
      </c>
      <c r="D479" s="4" t="str">
        <f>IFERROR(VLOOKUP(A479,'Base Prueba'!A:D,4,),"NO REGISTRA")</f>
        <v>DOCENTE DE MEDIO TIEMPO</v>
      </c>
      <c r="E479" s="5" t="str">
        <f>IFERROR(VLOOKUP(A479,'Base Prueba'!A:E,5,),"NO REGISTRA")</f>
        <v>INGENIERIA DE SOFTWARE</v>
      </c>
    </row>
    <row r="480" spans="1:5" ht="15.75" x14ac:dyDescent="0.25">
      <c r="A480" s="10">
        <v>52049956</v>
      </c>
      <c r="B480" s="2">
        <v>46095.498884606481</v>
      </c>
      <c r="C480" s="3" t="str">
        <f>IFERROR(VLOOKUP(A480,'Base Prueba'!A:C,3,),"NO REGISTRA")</f>
        <v>ESPERANZA MORALES</v>
      </c>
      <c r="D480" s="4" t="str">
        <f>IFERROR(VLOOKUP(A480,'Base Prueba'!A:D,4,),"NO REGISTRA")</f>
        <v>DIRECTORA DE INFORMATICA Y TECNOLOGIA</v>
      </c>
      <c r="E480" s="5" t="str">
        <f>IFERROR(VLOOKUP(A480,'Base Prueba'!A:E,5,),"NO REGISTRA")</f>
        <v>DEPARTAMENTO DE INFORMATICA Y TECNOLOGIA</v>
      </c>
    </row>
    <row r="481" spans="1:5" ht="15.75" x14ac:dyDescent="0.25">
      <c r="A481" s="10">
        <v>1073150473</v>
      </c>
      <c r="B481" s="2">
        <v>46095.565858912036</v>
      </c>
      <c r="C481" s="3" t="str">
        <f>IFERROR(VLOOKUP(A481,'Base Prueba'!A:C,3,),"NO REGISTRA")</f>
        <v>DIANA STELLA MELGAREJO MUÑOZ</v>
      </c>
      <c r="D481" s="4" t="str">
        <f>IFERROR(VLOOKUP(A481,'Base Prueba'!A:D,4,),"NO REGISTRA")</f>
        <v>DOCENTE DE MEDIO TIEMPO</v>
      </c>
      <c r="E481" s="5" t="str">
        <f>IFERROR(VLOOKUP(A481,'Base Prueba'!A:E,5,),"NO REGISTRA")</f>
        <v>TECNICA EN FOTOGRAFIA</v>
      </c>
    </row>
    <row r="482" spans="1:5" ht="15.75" x14ac:dyDescent="0.25">
      <c r="A482" s="10">
        <v>23810964</v>
      </c>
      <c r="B482" s="2">
        <v>46095.70688946759</v>
      </c>
      <c r="C482" s="3" t="str">
        <f>IFERROR(VLOOKUP(A482,'Base Prueba'!A:C,3,),"NO REGISTRA")</f>
        <v>JULY FERNANDA GOMEZ NIÑO</v>
      </c>
      <c r="D482" s="4" t="str">
        <f>IFERROR(VLOOKUP(A482,'Base Prueba'!A:D,4,),"NO REGISTRA")</f>
        <v>DOCENTE DE MEDIO TIEMPO</v>
      </c>
      <c r="E482" s="5" t="str">
        <f>IFERROR(VLOOKUP(A482,'Base Prueba'!A:E,5,),"NO REGISTRA")</f>
        <v>TECNOLOGIA EN ADMINISTRACION DEL TALENTO HUMANO</v>
      </c>
    </row>
    <row r="483" spans="1:5" ht="15.75" x14ac:dyDescent="0.25">
      <c r="A483" s="10">
        <v>248294</v>
      </c>
      <c r="B483" s="2">
        <v>46095.7769275463</v>
      </c>
      <c r="C483" s="3" t="str">
        <f>IFERROR(VLOOKUP(A483,'Base Prueba'!A:C,3,),"NO REGISTRA")</f>
        <v>WALTER NATALIO VALDEZ MONTAÑEZ</v>
      </c>
      <c r="D483" s="4" t="str">
        <f>IFERROR(VLOOKUP(A483,'Base Prueba'!A:D,4,),"NO REGISTRA")</f>
        <v>DOCENTE DE TIEMPO COMPLETO</v>
      </c>
      <c r="E483" s="5" t="str">
        <f>IFERROR(VLOOKUP(A483,'Base Prueba'!A:E,5,),"NO REGISTRA")</f>
        <v>UNIVERSITARIO EN TURISMO Y GASTRONOMIA</v>
      </c>
    </row>
    <row r="484" spans="1:5" ht="15.75" x14ac:dyDescent="0.25">
      <c r="A484" s="10">
        <v>1014257968</v>
      </c>
      <c r="B484" s="2">
        <v>46095.779966203707</v>
      </c>
      <c r="C484" s="3" t="str">
        <f>IFERROR(VLOOKUP(A484,'Base Prueba'!A:C,3,),"NO REGISTRA")</f>
        <v>JORGE ANDRES LIEVANO LOPEZ</v>
      </c>
      <c r="D484" s="4" t="str">
        <f>IFERROR(VLOOKUP(A484,'Base Prueba'!A:D,4,),"NO REGISTRA")</f>
        <v>DOCENTE DE TIEMPO COMPLETO</v>
      </c>
      <c r="E484" s="5" t="str">
        <f>IFERROR(VLOOKUP(A484,'Base Prueba'!A:E,5,),"NO REGISTRA")</f>
        <v>UNIDAD DE IDIOMAS</v>
      </c>
    </row>
    <row r="485" spans="1:5" ht="15.75" x14ac:dyDescent="0.25">
      <c r="A485" s="10">
        <v>51555582</v>
      </c>
      <c r="B485" s="2">
        <v>46097.29978252315</v>
      </c>
      <c r="C485" s="3" t="str">
        <f>IFERROR(VLOOKUP(A485,'Base Prueba'!A:C,3,),"NO REGISTRA")</f>
        <v>MARTHA CECILIA VIDAL ARIZABALETA</v>
      </c>
      <c r="D485" s="4" t="str">
        <f>IFERROR(VLOOKUP(A485,'Base Prueba'!A:D,4,),"NO REGISTRA")</f>
        <v>DOCENTE DE MEDIO TIEMPO</v>
      </c>
      <c r="E485" s="5" t="str">
        <f>IFERROR(VLOOKUP(A485,'Base Prueba'!A:E,5,),"NO REGISTRA")</f>
        <v>INGENIERIA DE SOFTWARE</v>
      </c>
    </row>
    <row r="486" spans="1:5" ht="15.75" x14ac:dyDescent="0.25">
      <c r="A486" s="10">
        <v>52049956</v>
      </c>
      <c r="B486" s="2">
        <v>46097.371710300926</v>
      </c>
      <c r="C486" s="3" t="str">
        <f>IFERROR(VLOOKUP(A486,'Base Prueba'!A:C,3,),"NO REGISTRA")</f>
        <v>ESPERANZA MORALES</v>
      </c>
      <c r="D486" s="4" t="str">
        <f>IFERROR(VLOOKUP(A486,'Base Prueba'!A:D,4,),"NO REGISTRA")</f>
        <v>DIRECTORA DE INFORMATICA Y TECNOLOGIA</v>
      </c>
      <c r="E486" s="5" t="str">
        <f>IFERROR(VLOOKUP(A486,'Base Prueba'!A:E,5,),"NO REGISTRA")</f>
        <v>DEPARTAMENTO DE INFORMATICA Y TECNOLOGIA</v>
      </c>
    </row>
    <row r="487" spans="1:5" ht="15.75" x14ac:dyDescent="0.25">
      <c r="A487" s="10">
        <v>51555582</v>
      </c>
      <c r="B487" s="2">
        <v>46097.378305324077</v>
      </c>
      <c r="C487" s="3" t="str">
        <f>IFERROR(VLOOKUP(A487,'Base Prueba'!A:C,3,),"NO REGISTRA")</f>
        <v>MARTHA CECILIA VIDAL ARIZABALETA</v>
      </c>
      <c r="D487" s="4" t="str">
        <f>IFERROR(VLOOKUP(A487,'Base Prueba'!A:D,4,),"NO REGISTRA")</f>
        <v>DOCENTE DE MEDIO TIEMPO</v>
      </c>
      <c r="E487" s="5" t="str">
        <f>IFERROR(VLOOKUP(A487,'Base Prueba'!A:E,5,),"NO REGISTRA")</f>
        <v>INGENIERIA DE SOFTWARE</v>
      </c>
    </row>
    <row r="488" spans="1:5" ht="15.75" x14ac:dyDescent="0.25">
      <c r="A488" s="10">
        <v>1014257968</v>
      </c>
      <c r="B488" s="2">
        <v>46097.524941782409</v>
      </c>
      <c r="C488" s="3" t="str">
        <f>IFERROR(VLOOKUP(A488,'Base Prueba'!A:C,3,),"NO REGISTRA")</f>
        <v>JORGE ANDRES LIEVANO LOPEZ</v>
      </c>
      <c r="D488" s="4" t="str">
        <f>IFERROR(VLOOKUP(A488,'Base Prueba'!A:D,4,),"NO REGISTRA")</f>
        <v>DOCENTE DE TIEMPO COMPLETO</v>
      </c>
      <c r="E488" s="5" t="str">
        <f>IFERROR(VLOOKUP(A488,'Base Prueba'!A:E,5,),"NO REGISTRA")</f>
        <v>UNIDAD DE IDIOMAS</v>
      </c>
    </row>
    <row r="489" spans="1:5" ht="15.75" x14ac:dyDescent="0.25">
      <c r="A489" s="10">
        <v>52049956</v>
      </c>
      <c r="B489" s="2">
        <v>46097.805924189815</v>
      </c>
      <c r="C489" s="3" t="str">
        <f>IFERROR(VLOOKUP(A489,'Base Prueba'!A:C,3,),"NO REGISTRA")</f>
        <v>ESPERANZA MORALES</v>
      </c>
      <c r="D489" s="4" t="str">
        <f>IFERROR(VLOOKUP(A489,'Base Prueba'!A:D,4,),"NO REGISTRA")</f>
        <v>DIRECTORA DE INFORMATICA Y TECNOLOGIA</v>
      </c>
      <c r="E489" s="5" t="str">
        <f>IFERROR(VLOOKUP(A489,'Base Prueba'!A:E,5,),"NO REGISTRA")</f>
        <v>DEPARTAMENTO DE INFORMATICA Y TECNOLOGIA</v>
      </c>
    </row>
    <row r="490" spans="1:5" ht="15.75" x14ac:dyDescent="0.25">
      <c r="A490" s="10">
        <v>1014257968</v>
      </c>
      <c r="B490" s="2">
        <v>46098.304427777781</v>
      </c>
      <c r="C490" s="3" t="str">
        <f>IFERROR(VLOOKUP(A490,'Base Prueba'!A:C,3,),"NO REGISTRA")</f>
        <v>JORGE ANDRES LIEVANO LOPEZ</v>
      </c>
      <c r="D490" s="4" t="str">
        <f>IFERROR(VLOOKUP(A490,'Base Prueba'!A:D,4,),"NO REGISTRA")</f>
        <v>DOCENTE DE TIEMPO COMPLETO</v>
      </c>
      <c r="E490" s="5" t="str">
        <f>IFERROR(VLOOKUP(A490,'Base Prueba'!A:E,5,),"NO REGISTRA")</f>
        <v>UNIDAD DE IDIOMAS</v>
      </c>
    </row>
    <row r="491" spans="1:5" ht="15.75" x14ac:dyDescent="0.25">
      <c r="A491" s="10">
        <v>1023897886</v>
      </c>
      <c r="B491" s="2">
        <v>46098.338221527774</v>
      </c>
      <c r="C491" s="3" t="str">
        <f>IFERROR(VLOOKUP(A491,'Base Prueba'!A:C,3,),"NO REGISTRA")</f>
        <v>NO REGISTRA</v>
      </c>
      <c r="D491" s="4" t="str">
        <f>IFERROR(VLOOKUP(A491,'Base Prueba'!A:D,4,),"NO REGISTRA")</f>
        <v>NO REGISTRA</v>
      </c>
      <c r="E491" s="5" t="str">
        <f>IFERROR(VLOOKUP(A491,'Base Prueba'!A:E,5,),"NO REGISTRA")</f>
        <v>NO REGISTRA</v>
      </c>
    </row>
    <row r="492" spans="1:5" ht="15.75" x14ac:dyDescent="0.25">
      <c r="A492" s="10">
        <v>52049956</v>
      </c>
      <c r="B492" s="2">
        <v>46098.350774189814</v>
      </c>
      <c r="C492" s="3" t="str">
        <f>IFERROR(VLOOKUP(A492,'Base Prueba'!A:C,3,),"NO REGISTRA")</f>
        <v>ESPERANZA MORALES</v>
      </c>
      <c r="D492" s="4" t="str">
        <f>IFERROR(VLOOKUP(A492,'Base Prueba'!A:D,4,),"NO REGISTRA")</f>
        <v>DIRECTORA DE INFORMATICA Y TECNOLOGIA</v>
      </c>
      <c r="E492" s="5" t="str">
        <f>IFERROR(VLOOKUP(A492,'Base Prueba'!A:E,5,),"NO REGISTRA")</f>
        <v>DEPARTAMENTO DE INFORMATICA Y TECNOLOGIA</v>
      </c>
    </row>
    <row r="493" spans="1:5" ht="15.75" x14ac:dyDescent="0.25">
      <c r="A493" s="10">
        <v>248294</v>
      </c>
      <c r="B493" s="2">
        <v>46098.765379745368</v>
      </c>
      <c r="C493" s="3" t="str">
        <f>IFERROR(VLOOKUP(A493,'Base Prueba'!A:C,3,),"NO REGISTRA")</f>
        <v>WALTER NATALIO VALDEZ MONTAÑEZ</v>
      </c>
      <c r="D493" s="4" t="str">
        <f>IFERROR(VLOOKUP(A493,'Base Prueba'!A:D,4,),"NO REGISTRA")</f>
        <v>DOCENTE DE TIEMPO COMPLETO</v>
      </c>
      <c r="E493" s="5" t="str">
        <f>IFERROR(VLOOKUP(A493,'Base Prueba'!A:E,5,),"NO REGISTRA")</f>
        <v>UNIVERSITARIO EN TURISMO Y GASTRONOMIA</v>
      </c>
    </row>
    <row r="494" spans="1:5" ht="15.75" x14ac:dyDescent="0.25">
      <c r="A494" s="10">
        <v>52049956</v>
      </c>
      <c r="B494" s="2">
        <v>46098.820705092592</v>
      </c>
      <c r="C494" s="3" t="str">
        <f>IFERROR(VLOOKUP(A494,'Base Prueba'!A:C,3,),"NO REGISTRA")</f>
        <v>ESPERANZA MORALES</v>
      </c>
      <c r="D494" s="4" t="str">
        <f>IFERROR(VLOOKUP(A494,'Base Prueba'!A:D,4,),"NO REGISTRA")</f>
        <v>DIRECTORA DE INFORMATICA Y TECNOLOGIA</v>
      </c>
      <c r="E494" s="5" t="str">
        <f>IFERROR(VLOOKUP(A494,'Base Prueba'!A:E,5,),"NO REGISTRA")</f>
        <v>DEPARTAMENTO DE INFORMATICA Y TECNOLOGIA</v>
      </c>
    </row>
    <row r="495" spans="1:5" ht="15.75" x14ac:dyDescent="0.25">
      <c r="A495" s="10">
        <v>52049956</v>
      </c>
      <c r="B495" s="2">
        <v>46099.383731365742</v>
      </c>
      <c r="C495" s="3" t="str">
        <f>IFERROR(VLOOKUP(A495,'Base Prueba'!A:C,3,),"NO REGISTRA")</f>
        <v>ESPERANZA MORALES</v>
      </c>
      <c r="D495" s="4" t="str">
        <f>IFERROR(VLOOKUP(A495,'Base Prueba'!A:D,4,),"NO REGISTRA")</f>
        <v>DIRECTORA DE INFORMATICA Y TECNOLOGIA</v>
      </c>
      <c r="E495" s="5" t="str">
        <f>IFERROR(VLOOKUP(A495,'Base Prueba'!A:E,5,),"NO REGISTRA")</f>
        <v>DEPARTAMENTO DE INFORMATICA Y TECNOLOGIA</v>
      </c>
    </row>
    <row r="496" spans="1:5" ht="15.75" x14ac:dyDescent="0.25">
      <c r="A496" s="10">
        <v>248294</v>
      </c>
      <c r="B496" s="2">
        <v>46099.635241898148</v>
      </c>
      <c r="C496" s="3" t="str">
        <f>IFERROR(VLOOKUP(A496,'Base Prueba'!A:C,3,),"NO REGISTRA")</f>
        <v>WALTER NATALIO VALDEZ MONTAÑEZ</v>
      </c>
      <c r="D496" s="4" t="str">
        <f>IFERROR(VLOOKUP(A496,'Base Prueba'!A:D,4,),"NO REGISTRA")</f>
        <v>DOCENTE DE TIEMPO COMPLETO</v>
      </c>
      <c r="E496" s="5" t="str">
        <f>IFERROR(VLOOKUP(A496,'Base Prueba'!A:E,5,),"NO REGISTRA")</f>
        <v>UNIVERSITARIO EN TURISMO Y GASTRONOMIA</v>
      </c>
    </row>
    <row r="497" spans="1:5" ht="15.75" x14ac:dyDescent="0.25">
      <c r="A497" s="10">
        <v>52049956</v>
      </c>
      <c r="B497" s="2">
        <v>46099.817864699071</v>
      </c>
      <c r="C497" s="3" t="str">
        <f>IFERROR(VLOOKUP(A497,'Base Prueba'!A:C,3,),"NO REGISTRA")</f>
        <v>ESPERANZA MORALES</v>
      </c>
      <c r="D497" s="4" t="str">
        <f>IFERROR(VLOOKUP(A497,'Base Prueba'!A:D,4,),"NO REGISTRA")</f>
        <v>DIRECTORA DE INFORMATICA Y TECNOLOGIA</v>
      </c>
      <c r="E497" s="5" t="str">
        <f>IFERROR(VLOOKUP(A497,'Base Prueba'!A:E,5,),"NO REGISTRA")</f>
        <v>DEPARTAMENTO DE INFORMATICA Y TECNOLOGIA</v>
      </c>
    </row>
    <row r="498" spans="1:5" ht="15.75" x14ac:dyDescent="0.25">
      <c r="A498" s="10">
        <v>80472319</v>
      </c>
      <c r="B498" s="2">
        <v>46099.828597800923</v>
      </c>
      <c r="C498" s="3" t="str">
        <f>IFERROR(VLOOKUP(A498,'Base Prueba'!A:C,3,),"NO REGISTRA")</f>
        <v>FRANCISCO JAVIER MONTENEGRO AGUILAR</v>
      </c>
      <c r="D498" s="4" t="str">
        <f>IFERROR(VLOOKUP(A498,'Base Prueba'!A:D,4,),"NO REGISTRA")</f>
        <v>DOCENTE DE MEDIO TIEMPO</v>
      </c>
      <c r="E498" s="5" t="str">
        <f>IFERROR(VLOOKUP(A498,'Base Prueba'!A:E,5,),"NO REGISTRA")</f>
        <v>TECNOLOGIA EN COMERCIO Y NEGOCIOS INTERNACIONALES</v>
      </c>
    </row>
    <row r="499" spans="1:5" ht="15.75" x14ac:dyDescent="0.25">
      <c r="A499" s="10">
        <v>52850506</v>
      </c>
      <c r="B499" s="2">
        <v>46099.836970601849</v>
      </c>
      <c r="C499" s="3" t="str">
        <f>IFERROR(VLOOKUP(A499,'Base Prueba'!A:C,3,),"NO REGISTRA")</f>
        <v>PAOLA ANDREA VASQUEZ FONSECA</v>
      </c>
      <c r="D499" s="4" t="str">
        <f>IFERROR(VLOOKUP(A499,'Base Prueba'!A:D,4,),"NO REGISTRA")</f>
        <v>DOCENTE DE TIEMPO COMPLETO</v>
      </c>
      <c r="E499" s="5" t="str">
        <f>IFERROR(VLOOKUP(A499,'Base Prueba'!A:E,5,),"NO REGISTRA")</f>
        <v>UNIVERSITARIO COMUNICACION SOCIAL</v>
      </c>
    </row>
    <row r="500" spans="1:5" ht="15.75" x14ac:dyDescent="0.25">
      <c r="A500" s="10">
        <v>1000611958</v>
      </c>
      <c r="B500" s="2">
        <v>46100.331348611115</v>
      </c>
      <c r="C500" s="3" t="str">
        <f>IFERROR(VLOOKUP(A500,'Base Prueba'!A:C,3,),"NO REGISTRA")</f>
        <v>TYLER CORRADINE  VARGAS</v>
      </c>
      <c r="D500" s="4" t="str">
        <f>IFERROR(VLOOKUP(A500,'Base Prueba'!A:D,4,),"NO REGISTRA")</f>
        <v>APRENDIZ UNIVERSITARIO</v>
      </c>
      <c r="E500" s="5" t="str">
        <f>IFERROR(VLOOKUP(A500,'Base Prueba'!A:E,5,),"NO REGISTRA")</f>
        <v>DEPARTAMENTO DE INFORMATICA Y TECNOLOGIA</v>
      </c>
    </row>
    <row r="501" spans="1:5" ht="15.75" x14ac:dyDescent="0.25">
      <c r="A501" s="10">
        <v>52049956</v>
      </c>
      <c r="B501" s="2">
        <v>46100.418474999999</v>
      </c>
      <c r="C501" s="3" t="str">
        <f>IFERROR(VLOOKUP(A501,'Base Prueba'!A:C,3,),"NO REGISTRA")</f>
        <v>ESPERANZA MORALES</v>
      </c>
      <c r="D501" s="4" t="str">
        <f>IFERROR(VLOOKUP(A501,'Base Prueba'!A:D,4,),"NO REGISTRA")</f>
        <v>DIRECTORA DE INFORMATICA Y TECNOLOGIA</v>
      </c>
      <c r="E501" s="5" t="str">
        <f>IFERROR(VLOOKUP(A501,'Base Prueba'!A:E,5,),"NO REGISTRA")</f>
        <v>DEPARTAMENTO DE INFORMATICA Y TECNOLOGIA</v>
      </c>
    </row>
    <row r="502" spans="1:5" ht="15.75" x14ac:dyDescent="0.25">
      <c r="A502" s="10">
        <v>1073150473</v>
      </c>
      <c r="B502" s="2">
        <v>46100.534565393522</v>
      </c>
      <c r="C502" s="3" t="str">
        <f>IFERROR(VLOOKUP(A502,'Base Prueba'!A:C,3,),"NO REGISTRA")</f>
        <v>DIANA STELLA MELGAREJO MUÑOZ</v>
      </c>
      <c r="D502" s="4" t="str">
        <f>IFERROR(VLOOKUP(A502,'Base Prueba'!A:D,4,),"NO REGISTRA")</f>
        <v>DOCENTE DE MEDIO TIEMPO</v>
      </c>
      <c r="E502" s="5" t="str">
        <f>IFERROR(VLOOKUP(A502,'Base Prueba'!A:E,5,),"NO REGISTRA")</f>
        <v>TECNICA EN FOTOGRAFIA</v>
      </c>
    </row>
    <row r="503" spans="1:5" ht="15.75" x14ac:dyDescent="0.25">
      <c r="A503" s="10">
        <v>248294</v>
      </c>
      <c r="B503" s="2">
        <v>46100.684854861109</v>
      </c>
      <c r="C503" s="3" t="str">
        <f>IFERROR(VLOOKUP(A503,'Base Prueba'!A:C,3,),"NO REGISTRA")</f>
        <v>WALTER NATALIO VALDEZ MONTAÑEZ</v>
      </c>
      <c r="D503" s="4" t="str">
        <f>IFERROR(VLOOKUP(A503,'Base Prueba'!A:D,4,),"NO REGISTRA")</f>
        <v>DOCENTE DE TIEMPO COMPLETO</v>
      </c>
      <c r="E503" s="5" t="str">
        <f>IFERROR(VLOOKUP(A503,'Base Prueba'!A:E,5,),"NO REGISTRA")</f>
        <v>UNIVERSITARIO EN TURISMO Y GASTRONOMIA</v>
      </c>
    </row>
    <row r="504" spans="1:5" ht="15.75" x14ac:dyDescent="0.25">
      <c r="A504" s="10">
        <v>52049956</v>
      </c>
      <c r="B504" s="2">
        <v>46100.832749074078</v>
      </c>
      <c r="C504" s="3" t="str">
        <f>IFERROR(VLOOKUP(A504,'Base Prueba'!A:C,3,),"NO REGISTRA")</f>
        <v>ESPERANZA MORALES</v>
      </c>
      <c r="D504" s="4" t="str">
        <f>IFERROR(VLOOKUP(A504,'Base Prueba'!A:D,4,),"NO REGISTRA")</f>
        <v>DIRECTORA DE INFORMATICA Y TECNOLOGIA</v>
      </c>
      <c r="E504" s="5" t="str">
        <f>IFERROR(VLOOKUP(A504,'Base Prueba'!A:E,5,),"NO REGISTRA")</f>
        <v>DEPARTAMENTO DE INFORMATICA Y TECNOLOGIA</v>
      </c>
    </row>
    <row r="505" spans="1:5" ht="15.75" x14ac:dyDescent="0.25">
      <c r="A505" s="10">
        <v>52850506</v>
      </c>
      <c r="B505" s="2">
        <v>46100.841248032404</v>
      </c>
      <c r="C505" s="3" t="str">
        <f>IFERROR(VLOOKUP(A505,'Base Prueba'!A:C,3,),"NO REGISTRA")</f>
        <v>PAOLA ANDREA VASQUEZ FONSECA</v>
      </c>
      <c r="D505" s="4" t="str">
        <f>IFERROR(VLOOKUP(A505,'Base Prueba'!A:D,4,),"NO REGISTRA")</f>
        <v>DOCENTE DE TIEMPO COMPLETO</v>
      </c>
      <c r="E505" s="5" t="str">
        <f>IFERROR(VLOOKUP(A505,'Base Prueba'!A:E,5,),"NO REGISTRA")</f>
        <v>UNIVERSITARIO COMUNICACION SOCIAL</v>
      </c>
    </row>
    <row r="506" spans="1:5" ht="15.75" x14ac:dyDescent="0.25">
      <c r="A506" s="10">
        <v>52049956</v>
      </c>
      <c r="B506" s="2">
        <v>46101.35622962963</v>
      </c>
      <c r="C506" s="3" t="str">
        <f>IFERROR(VLOOKUP(A506,'Base Prueba'!A:C,3,),"NO REGISTRA")</f>
        <v>ESPERANZA MORALES</v>
      </c>
      <c r="D506" s="4" t="str">
        <f>IFERROR(VLOOKUP(A506,'Base Prueba'!A:D,4,),"NO REGISTRA")</f>
        <v>DIRECTORA DE INFORMATICA Y TECNOLOGIA</v>
      </c>
      <c r="E506" s="5" t="str">
        <f>IFERROR(VLOOKUP(A506,'Base Prueba'!A:E,5,),"NO REGISTRA")</f>
        <v>DEPARTAMENTO DE INFORMATICA Y TECNOLOGIA</v>
      </c>
    </row>
    <row r="507" spans="1:5" ht="15.75" x14ac:dyDescent="0.25">
      <c r="A507" s="10">
        <v>248294</v>
      </c>
      <c r="B507" s="2">
        <v>46101.688304050927</v>
      </c>
      <c r="C507" s="3" t="str">
        <f>IFERROR(VLOOKUP(A507,'Base Prueba'!A:C,3,),"NO REGISTRA")</f>
        <v>WALTER NATALIO VALDEZ MONTAÑEZ</v>
      </c>
      <c r="D507" s="4" t="str">
        <f>IFERROR(VLOOKUP(A507,'Base Prueba'!A:D,4,),"NO REGISTRA")</f>
        <v>DOCENTE DE TIEMPO COMPLETO</v>
      </c>
      <c r="E507" s="5" t="str">
        <f>IFERROR(VLOOKUP(A507,'Base Prueba'!A:E,5,),"NO REGISTRA")</f>
        <v>UNIVERSITARIO EN TURISMO Y GASTRONOMIA</v>
      </c>
    </row>
    <row r="508" spans="1:5" ht="15.75" x14ac:dyDescent="0.25">
      <c r="A508" s="10">
        <v>1000611958</v>
      </c>
      <c r="B508" s="2">
        <v>46101.716556828702</v>
      </c>
      <c r="C508" s="3" t="str">
        <f>IFERROR(VLOOKUP(A508,'Base Prueba'!A:C,3,),"NO REGISTRA")</f>
        <v>TYLER CORRADINE  VARGAS</v>
      </c>
      <c r="D508" s="4" t="str">
        <f>IFERROR(VLOOKUP(A508,'Base Prueba'!A:D,4,),"NO REGISTRA")</f>
        <v>APRENDIZ UNIVERSITARIO</v>
      </c>
      <c r="E508" s="5" t="str">
        <f>IFERROR(VLOOKUP(A508,'Base Prueba'!A:E,5,),"NO REGISTRA")</f>
        <v>DEPARTAMENTO DE INFORMATICA Y TECNOLOGIA</v>
      </c>
    </row>
    <row r="509" spans="1:5" ht="15.75" x14ac:dyDescent="0.25">
      <c r="A509" s="10">
        <v>1000611958</v>
      </c>
      <c r="B509" s="2">
        <v>46101.716565162038</v>
      </c>
      <c r="C509" s="3" t="str">
        <f>IFERROR(VLOOKUP(A509,'Base Prueba'!A:C,3,),"NO REGISTRA")</f>
        <v>TYLER CORRADINE  VARGAS</v>
      </c>
      <c r="D509" s="4" t="str">
        <f>IFERROR(VLOOKUP(A509,'Base Prueba'!A:D,4,),"NO REGISTRA")</f>
        <v>APRENDIZ UNIVERSITARIO</v>
      </c>
      <c r="E509" s="5" t="str">
        <f>IFERROR(VLOOKUP(A509,'Base Prueba'!A:E,5,),"NO REGISTRA")</f>
        <v>DEPARTAMENTO DE INFORMATICA Y TECNOLOGIA</v>
      </c>
    </row>
    <row r="510" spans="1:5" ht="15.75" x14ac:dyDescent="0.25">
      <c r="A510" s="10">
        <v>52049956</v>
      </c>
      <c r="B510" s="2">
        <v>46101.826368981485</v>
      </c>
      <c r="C510" s="3" t="str">
        <f>IFERROR(VLOOKUP(A510,'Base Prueba'!A:C,3,),"NO REGISTRA")</f>
        <v>ESPERANZA MORALES</v>
      </c>
      <c r="D510" s="4" t="str">
        <f>IFERROR(VLOOKUP(A510,'Base Prueba'!A:D,4,),"NO REGISTRA")</f>
        <v>DIRECTORA DE INFORMATICA Y TECNOLOGIA</v>
      </c>
      <c r="E510" s="5" t="str">
        <f>IFERROR(VLOOKUP(A510,'Base Prueba'!A:E,5,),"NO REGISTRA")</f>
        <v>DEPARTAMENTO DE INFORMATICA Y TECNOLOGIA</v>
      </c>
    </row>
    <row r="511" spans="1:5" ht="15.75" x14ac:dyDescent="0.25">
      <c r="A511" s="10">
        <v>80059783</v>
      </c>
      <c r="B511" s="2">
        <v>46102.286038194441</v>
      </c>
      <c r="C511" s="3" t="str">
        <f>IFERROR(VLOOKUP(A511,'Base Prueba'!A:C,3,),"NO REGISTRA")</f>
        <v>JAIRO FABIAN RIVERA RUBIANO</v>
      </c>
      <c r="D511" s="4" t="str">
        <f>IFERROR(VLOOKUP(A511,'Base Prueba'!A:D,4,),"NO REGISTRA")</f>
        <v>DOCENTE DE MEDIO TIEMPO</v>
      </c>
      <c r="E511" s="5" t="str">
        <f>IFERROR(VLOOKUP(A511,'Base Prueba'!A:E,5,),"NO REGISTRA")</f>
        <v>TECNOLOGIA EN ADMINISTRACION DEL TALENTO HUMANO</v>
      </c>
    </row>
    <row r="512" spans="1:5" ht="15.75" x14ac:dyDescent="0.25">
      <c r="A512" s="10">
        <v>80059783</v>
      </c>
      <c r="B512" s="2">
        <v>46102.286044097222</v>
      </c>
      <c r="C512" s="3" t="str">
        <f>IFERROR(VLOOKUP(A512,'Base Prueba'!A:C,3,),"NO REGISTRA")</f>
        <v>JAIRO FABIAN RIVERA RUBIANO</v>
      </c>
      <c r="D512" s="4" t="str">
        <f>IFERROR(VLOOKUP(A512,'Base Prueba'!A:D,4,),"NO REGISTRA")</f>
        <v>DOCENTE DE MEDIO TIEMPO</v>
      </c>
      <c r="E512" s="5" t="str">
        <f>IFERROR(VLOOKUP(A512,'Base Prueba'!A:E,5,),"NO REGISTRA")</f>
        <v>TECNOLOGIA EN ADMINISTRACION DEL TALENTO HUMANO</v>
      </c>
    </row>
    <row r="513" spans="1:5" ht="15.75" x14ac:dyDescent="0.25">
      <c r="A513" s="10">
        <v>1018411979</v>
      </c>
      <c r="B513" s="2">
        <v>46102.2898712963</v>
      </c>
      <c r="C513" s="3" t="str">
        <f>IFERROR(VLOOKUP(A513,'Base Prueba'!A:C,3,),"NO REGISTRA")</f>
        <v>MIGUEL ALFONSO CUELLAR GOMEZ</v>
      </c>
      <c r="D513" s="4" t="str">
        <f>IFERROR(VLOOKUP(A513,'Base Prueba'!A:D,4,),"NO REGISTRA")</f>
        <v>DIRECTOR DE PROGRAMAS DE PRODUCCIÓN VISUAL Y AUDIOVISUAL</v>
      </c>
      <c r="E513" s="5" t="str">
        <f>IFERROR(VLOOKUP(A513,'Base Prueba'!A:E,5,),"NO REGISTRA")</f>
        <v>FACULTAD DE COMINICACIÓN PERIODISMO Y ARTES</v>
      </c>
    </row>
    <row r="514" spans="1:5" ht="15.75" x14ac:dyDescent="0.25">
      <c r="A514" s="10">
        <v>51555582</v>
      </c>
      <c r="B514" s="2">
        <v>46102.343403819446</v>
      </c>
      <c r="C514" s="3" t="str">
        <f>IFERROR(VLOOKUP(A514,'Base Prueba'!A:C,3,),"NO REGISTRA")</f>
        <v>MARTHA CECILIA VIDAL ARIZABALETA</v>
      </c>
      <c r="D514" s="4" t="str">
        <f>IFERROR(VLOOKUP(A514,'Base Prueba'!A:D,4,),"NO REGISTRA")</f>
        <v>DOCENTE DE MEDIO TIEMPO</v>
      </c>
      <c r="E514" s="5" t="str">
        <f>IFERROR(VLOOKUP(A514,'Base Prueba'!A:E,5,),"NO REGISTRA")</f>
        <v>INGENIERIA DE SOFTWARE</v>
      </c>
    </row>
    <row r="515" spans="1:5" ht="15.75" x14ac:dyDescent="0.25">
      <c r="A515" s="10">
        <v>52049956</v>
      </c>
      <c r="B515" s="2">
        <v>46102.344706365744</v>
      </c>
      <c r="C515" s="3" t="str">
        <f>IFERROR(VLOOKUP(A515,'Base Prueba'!A:C,3,),"NO REGISTRA")</f>
        <v>ESPERANZA MORALES</v>
      </c>
      <c r="D515" s="4" t="str">
        <f>IFERROR(VLOOKUP(A515,'Base Prueba'!A:D,4,),"NO REGISTRA")</f>
        <v>DIRECTORA DE INFORMATICA Y TECNOLOGIA</v>
      </c>
      <c r="E515" s="5" t="str">
        <f>IFERROR(VLOOKUP(A515,'Base Prueba'!A:E,5,),"NO REGISTRA")</f>
        <v>DEPARTAMENTO DE INFORMATICA Y TECNOLOGIA</v>
      </c>
    </row>
    <row r="516" spans="1:5" ht="15.75" x14ac:dyDescent="0.25">
      <c r="A516" s="10">
        <v>51555582</v>
      </c>
      <c r="B516" s="2">
        <v>46102.414170949072</v>
      </c>
      <c r="C516" s="3" t="str">
        <f>IFERROR(VLOOKUP(A516,'Base Prueba'!A:C,3,),"NO REGISTRA")</f>
        <v>MARTHA CECILIA VIDAL ARIZABALETA</v>
      </c>
      <c r="D516" s="4" t="str">
        <f>IFERROR(VLOOKUP(A516,'Base Prueba'!A:D,4,),"NO REGISTRA")</f>
        <v>DOCENTE DE MEDIO TIEMPO</v>
      </c>
      <c r="E516" s="5" t="str">
        <f>IFERROR(VLOOKUP(A516,'Base Prueba'!A:E,5,),"NO REGISTRA")</f>
        <v>INGENIERIA DE SOFTWARE</v>
      </c>
    </row>
    <row r="517" spans="1:5" ht="15.75" x14ac:dyDescent="0.25">
      <c r="A517" s="10">
        <v>52049956</v>
      </c>
      <c r="B517" s="2">
        <v>46102.499017245369</v>
      </c>
      <c r="C517" s="3" t="str">
        <f>IFERROR(VLOOKUP(A517,'Base Prueba'!A:C,3,),"NO REGISTRA")</f>
        <v>ESPERANZA MORALES</v>
      </c>
      <c r="D517" s="4" t="str">
        <f>IFERROR(VLOOKUP(A517,'Base Prueba'!A:D,4,),"NO REGISTRA")</f>
        <v>DIRECTORA DE INFORMATICA Y TECNOLOGIA</v>
      </c>
      <c r="E517" s="5" t="str">
        <f>IFERROR(VLOOKUP(A517,'Base Prueba'!A:E,5,),"NO REGISTRA")</f>
        <v>DEPARTAMENTO DE INFORMATICA Y TECNOLOGIA</v>
      </c>
    </row>
    <row r="518" spans="1:5" ht="15.75" x14ac:dyDescent="0.25">
      <c r="A518" s="10">
        <v>1073150473</v>
      </c>
      <c r="B518" s="2">
        <v>46102.549853009259</v>
      </c>
      <c r="C518" s="3" t="str">
        <f>IFERROR(VLOOKUP(A518,'Base Prueba'!A:C,3,),"NO REGISTRA")</f>
        <v>DIANA STELLA MELGAREJO MUÑOZ</v>
      </c>
      <c r="D518" s="4" t="str">
        <f>IFERROR(VLOOKUP(A518,'Base Prueba'!A:D,4,),"NO REGISTRA")</f>
        <v>DOCENTE DE MEDIO TIEMPO</v>
      </c>
      <c r="E518" s="5" t="str">
        <f>IFERROR(VLOOKUP(A518,'Base Prueba'!A:E,5,),"NO REGISTRA")</f>
        <v>TECNICA EN FOTOGRAFIA</v>
      </c>
    </row>
    <row r="519" spans="1:5" ht="15.75" x14ac:dyDescent="0.25">
      <c r="A519" s="10">
        <v>23810964</v>
      </c>
      <c r="B519" s="2">
        <v>46102.710387268518</v>
      </c>
      <c r="C519" s="3" t="str">
        <f>IFERROR(VLOOKUP(A519,'Base Prueba'!A:C,3,),"NO REGISTRA")</f>
        <v>JULY FERNANDA GOMEZ NIÑO</v>
      </c>
      <c r="D519" s="4" t="str">
        <f>IFERROR(VLOOKUP(A519,'Base Prueba'!A:D,4,),"NO REGISTRA")</f>
        <v>DOCENTE DE MEDIO TIEMPO</v>
      </c>
      <c r="E519" s="5" t="str">
        <f>IFERROR(VLOOKUP(A519,'Base Prueba'!A:E,5,),"NO REGISTRA")</f>
        <v>TECNOLOGIA EN ADMINISTRACION DEL TALENTO HUMANO</v>
      </c>
    </row>
    <row r="520" spans="1:5" ht="15.75" x14ac:dyDescent="0.25">
      <c r="A520" s="10">
        <v>248294</v>
      </c>
      <c r="B520" s="2">
        <v>46102.715751157404</v>
      </c>
      <c r="C520" s="3" t="str">
        <f>IFERROR(VLOOKUP(A520,'Base Prueba'!A:C,3,),"NO REGISTRA")</f>
        <v>WALTER NATALIO VALDEZ MONTAÑEZ</v>
      </c>
      <c r="D520" s="4" t="str">
        <f>IFERROR(VLOOKUP(A520,'Base Prueba'!A:D,4,),"NO REGISTRA")</f>
        <v>DOCENTE DE TIEMPO COMPLETO</v>
      </c>
      <c r="E520" s="5" t="str">
        <f>IFERROR(VLOOKUP(A520,'Base Prueba'!A:E,5,),"NO REGISTRA")</f>
        <v>UNIVERSITARIO EN TURISMO Y GASTRONOMIA</v>
      </c>
    </row>
    <row r="521" spans="1:5" ht="15.75" x14ac:dyDescent="0.25">
      <c r="A521" s="10">
        <v>1022378300</v>
      </c>
      <c r="B521" s="2">
        <v>46105.339806018521</v>
      </c>
      <c r="C521" s="3" t="str">
        <f>IFERROR(VLOOKUP(A521,'Base Prueba'!A:C,3,),"NO REGISTRA")</f>
        <v>FERNEY ANDRES CHASPUENGAL RAMIREZ</v>
      </c>
      <c r="D521" s="4" t="str">
        <f>IFERROR(VLOOKUP(A521,'Base Prueba'!A:D,4,),"NO REGISTRA")</f>
        <v>LÍDER DE DEPORTE Y CULTURA</v>
      </c>
      <c r="E521" s="5" t="str">
        <f>IFERROR(VLOOKUP(A521,'Base Prueba'!A:E,5,),"NO REGISTRA")</f>
        <v>DIRECCION DE BIENESTAR INSTITUCIONAL</v>
      </c>
    </row>
    <row r="522" spans="1:5" ht="15.75" x14ac:dyDescent="0.25">
      <c r="A522" s="10">
        <v>52049956</v>
      </c>
      <c r="B522" s="2">
        <v>46105.366215856484</v>
      </c>
      <c r="C522" s="3" t="str">
        <f>IFERROR(VLOOKUP(A522,'Base Prueba'!A:C,3,),"NO REGISTRA")</f>
        <v>ESPERANZA MORALES</v>
      </c>
      <c r="D522" s="4" t="str">
        <f>IFERROR(VLOOKUP(A522,'Base Prueba'!A:D,4,),"NO REGISTRA")</f>
        <v>DIRECTORA DE INFORMATICA Y TECNOLOGIA</v>
      </c>
      <c r="E522" s="5" t="str">
        <f>IFERROR(VLOOKUP(A522,'Base Prueba'!A:E,5,),"NO REGISTRA")</f>
        <v>DEPARTAMENTO DE INFORMATICA Y TECNOLOGIA</v>
      </c>
    </row>
    <row r="523" spans="1:5" ht="15.75" x14ac:dyDescent="0.25">
      <c r="A523" s="10">
        <v>1013098430</v>
      </c>
      <c r="B523" s="2">
        <v>46105.420169444442</v>
      </c>
      <c r="C523" s="3" t="str">
        <f>IFERROR(VLOOKUP(A523,'Base Prueba'!A:C,3,),"NO REGISTRA")</f>
        <v>ANDRES FELIPE LOPEZ ROMERO</v>
      </c>
      <c r="D523" s="4" t="str">
        <f>IFERROR(VLOOKUP(A523,'Base Prueba'!A:D,4,),"NO REGISTRA")</f>
        <v>APRENDIZ UNIVERSITARIO</v>
      </c>
      <c r="E523" s="5" t="str">
        <f>IFERROR(VLOOKUP(A523,'Base Prueba'!A:E,5,),"NO REGISTRA")</f>
        <v>OFICINA DE MERCADEO</v>
      </c>
    </row>
    <row r="524" spans="1:5" ht="15.75" x14ac:dyDescent="0.25">
      <c r="A524" s="10">
        <v>1015441100</v>
      </c>
      <c r="B524" s="2">
        <v>46105.420875000003</v>
      </c>
      <c r="C524" s="3" t="str">
        <f>IFERROR(VLOOKUP(A524,'Base Prueba'!A:C,3,),"NO REGISTRA")</f>
        <v>MARIA FERNANDA SANTANA BUITRAGO</v>
      </c>
      <c r="D524" s="4" t="str">
        <f>IFERROR(VLOOKUP(A524,'Base Prueba'!A:D,4,),"NO REGISTRA")</f>
        <v>LIDER DE DESAROLLO HUMANO</v>
      </c>
      <c r="E524" s="5" t="str">
        <f>IFERROR(VLOOKUP(A524,'Base Prueba'!A:E,5,),"NO REGISTRA")</f>
        <v>DIRECCION DE BIENESTAR INSTITUCIONAL</v>
      </c>
    </row>
    <row r="525" spans="1:5" ht="15.75" x14ac:dyDescent="0.25">
      <c r="A525" s="10">
        <v>1000611958</v>
      </c>
      <c r="B525" s="2">
        <v>46105.540925462963</v>
      </c>
      <c r="C525" s="3" t="str">
        <f>IFERROR(VLOOKUP(A525,'Base Prueba'!A:C,3,),"NO REGISTRA")</f>
        <v>TYLER CORRADINE  VARGAS</v>
      </c>
      <c r="D525" s="4" t="str">
        <f>IFERROR(VLOOKUP(A525,'Base Prueba'!A:D,4,),"NO REGISTRA")</f>
        <v>APRENDIZ UNIVERSITARIO</v>
      </c>
      <c r="E525" s="5" t="str">
        <f>IFERROR(VLOOKUP(A525,'Base Prueba'!A:E,5,),"NO REGISTRA")</f>
        <v>DEPARTAMENTO DE INFORMATICA Y TECNOLOGIA</v>
      </c>
    </row>
    <row r="526" spans="1:5" ht="15.75" x14ac:dyDescent="0.25">
      <c r="A526" s="10">
        <v>1015441100</v>
      </c>
      <c r="B526" s="2">
        <v>46105.717341087962</v>
      </c>
      <c r="C526" s="3" t="str">
        <f>IFERROR(VLOOKUP(A526,'Base Prueba'!A:C,3,),"NO REGISTRA")</f>
        <v>MARIA FERNANDA SANTANA BUITRAGO</v>
      </c>
      <c r="D526" s="4" t="str">
        <f>IFERROR(VLOOKUP(A526,'Base Prueba'!A:D,4,),"NO REGISTRA")</f>
        <v>LIDER DE DESAROLLO HUMANO</v>
      </c>
      <c r="E526" s="5" t="str">
        <f>IFERROR(VLOOKUP(A526,'Base Prueba'!A:E,5,),"NO REGISTRA")</f>
        <v>DIRECCION DE BIENESTAR INSTITUCIONAL</v>
      </c>
    </row>
    <row r="527" spans="1:5" ht="15.75" x14ac:dyDescent="0.25">
      <c r="A527" s="10">
        <v>1015441100</v>
      </c>
      <c r="B527" s="2">
        <v>46105.71734826389</v>
      </c>
      <c r="C527" s="3" t="str">
        <f>IFERROR(VLOOKUP(A527,'Base Prueba'!A:C,3,),"NO REGISTRA")</f>
        <v>MARIA FERNANDA SANTANA BUITRAGO</v>
      </c>
      <c r="D527" s="4" t="str">
        <f>IFERROR(VLOOKUP(A527,'Base Prueba'!A:D,4,),"NO REGISTRA")</f>
        <v>LIDER DE DESAROLLO HUMANO</v>
      </c>
      <c r="E527" s="5" t="str">
        <f>IFERROR(VLOOKUP(A527,'Base Prueba'!A:E,5,),"NO REGISTRA")</f>
        <v>DIRECCION DE BIENESTAR INSTITUCIONAL</v>
      </c>
    </row>
    <row r="528" spans="1:5" ht="15.75" x14ac:dyDescent="0.25">
      <c r="A528" s="10">
        <v>1093773069</v>
      </c>
      <c r="B528" s="2">
        <v>46105.757721412039</v>
      </c>
      <c r="C528" s="3" t="str">
        <f>IFERROR(VLOOKUP(A528,'Base Prueba'!A:C,3,),"NO REGISTRA")</f>
        <v>MICHAEL STEVEN AMAYA SANCHEZ</v>
      </c>
      <c r="D528" s="4" t="str">
        <f>IFERROR(VLOOKUP(A528,'Base Prueba'!A:D,4,),"NO REGISTRA")</f>
        <v>DOCENTE DE TIEMPO COMPLETO</v>
      </c>
      <c r="E528" s="5" t="str">
        <f>IFERROR(VLOOKUP(A528,'Base Prueba'!A:E,5,),"NO REGISTRA")</f>
        <v>UNIVERSITARIO EN SEGURIDAD Y SALUD EN EL TRABAJO</v>
      </c>
    </row>
    <row r="529" spans="1:5" ht="15.75" x14ac:dyDescent="0.25">
      <c r="A529" s="10">
        <v>52049956</v>
      </c>
      <c r="B529" s="2">
        <v>46105.817657175925</v>
      </c>
      <c r="C529" s="3" t="str">
        <f>IFERROR(VLOOKUP(A529,'Base Prueba'!A:C,3,),"NO REGISTRA")</f>
        <v>ESPERANZA MORALES</v>
      </c>
      <c r="D529" s="4" t="str">
        <f>IFERROR(VLOOKUP(A529,'Base Prueba'!A:D,4,),"NO REGISTRA")</f>
        <v>DIRECTORA DE INFORMATICA Y TECNOLOGIA</v>
      </c>
      <c r="E529" s="5" t="str">
        <f>IFERROR(VLOOKUP(A529,'Base Prueba'!A:E,5,),"NO REGISTRA")</f>
        <v>DEPARTAMENTO DE INFORMATICA Y TECNOLOGIA</v>
      </c>
    </row>
    <row r="530" spans="1:5" ht="15.75" x14ac:dyDescent="0.25">
      <c r="A530" s="10">
        <v>248294</v>
      </c>
      <c r="B530" s="2">
        <v>46105.837461111114</v>
      </c>
      <c r="C530" s="3" t="str">
        <f>IFERROR(VLOOKUP(A530,'Base Prueba'!A:C,3,),"NO REGISTRA")</f>
        <v>WALTER NATALIO VALDEZ MONTAÑEZ</v>
      </c>
      <c r="D530" s="4" t="str">
        <f>IFERROR(VLOOKUP(A530,'Base Prueba'!A:D,4,),"NO REGISTRA")</f>
        <v>DOCENTE DE TIEMPO COMPLETO</v>
      </c>
      <c r="E530" s="5" t="str">
        <f>IFERROR(VLOOKUP(A530,'Base Prueba'!A:E,5,),"NO REGISTRA")</f>
        <v>UNIVERSITARIO EN TURISMO Y GASTRONOMIA</v>
      </c>
    </row>
    <row r="531" spans="1:5" ht="15.75" x14ac:dyDescent="0.25">
      <c r="A531" s="10">
        <v>1033762993</v>
      </c>
      <c r="B531" s="2">
        <v>46105.858082175924</v>
      </c>
      <c r="C531" s="3" t="str">
        <f>IFERROR(VLOOKUP(A531,'Base Prueba'!A:C,3,),"NO REGISTRA")</f>
        <v>DIEGO FERNANDO MEDINA PEREZ</v>
      </c>
      <c r="D531" s="4" t="str">
        <f>IFERROR(VLOOKUP(A531,'Base Prueba'!A:D,4,),"NO REGISTRA")</f>
        <v>DOCENTE DE MEDIO TIEMPO</v>
      </c>
      <c r="E531" s="5" t="str">
        <f>IFERROR(VLOOKUP(A531,'Base Prueba'!A:E,5,),"NO REGISTRA")</f>
        <v>UNIDAD DE IDIOMAS</v>
      </c>
    </row>
    <row r="532" spans="1:5" ht="15.75" x14ac:dyDescent="0.25">
      <c r="A532" s="10">
        <v>79484197</v>
      </c>
      <c r="B532" s="2">
        <v>46106.28009699074</v>
      </c>
      <c r="C532" s="3" t="str">
        <f>IFERROR(VLOOKUP(A532,'Base Prueba'!A:C,3,),"NO REGISTRA")</f>
        <v>JOHN DANIEL GUTIERREZ BOADA</v>
      </c>
      <c r="D532" s="4" t="str">
        <f>IFERROR(VLOOKUP(A532,'Base Prueba'!A:D,4,),"NO REGISTRA")</f>
        <v>DOCENTE DE MEDIO TIEMPO</v>
      </c>
      <c r="E532" s="5" t="str">
        <f>IFERROR(VLOOKUP(A532,'Base Prueba'!A:E,5,),"NO REGISTRA")</f>
        <v>UNIVERSITARIO COMUNICACION SOCIAL</v>
      </c>
    </row>
    <row r="533" spans="1:5" ht="15.75" x14ac:dyDescent="0.25">
      <c r="A533" s="10">
        <v>1022378300</v>
      </c>
      <c r="B533" s="2">
        <v>46106.333884722226</v>
      </c>
      <c r="C533" s="3" t="str">
        <f>IFERROR(VLOOKUP(A533,'Base Prueba'!A:C,3,),"NO REGISTRA")</f>
        <v>FERNEY ANDRES CHASPUENGAL RAMIREZ</v>
      </c>
      <c r="D533" s="4" t="str">
        <f>IFERROR(VLOOKUP(A533,'Base Prueba'!A:D,4,),"NO REGISTRA")</f>
        <v>LÍDER DE DEPORTE Y CULTURA</v>
      </c>
      <c r="E533" s="5" t="str">
        <f>IFERROR(VLOOKUP(A533,'Base Prueba'!A:E,5,),"NO REGISTRA")</f>
        <v>DIRECCION DE BIENESTAR INSTITUCIONAL</v>
      </c>
    </row>
    <row r="534" spans="1:5" ht="15.75" x14ac:dyDescent="0.25">
      <c r="A534" s="10">
        <v>52049956</v>
      </c>
      <c r="B534" s="2">
        <v>46106.376167939816</v>
      </c>
      <c r="C534" s="3" t="str">
        <f>IFERROR(VLOOKUP(A534,'Base Prueba'!A:C,3,),"NO REGISTRA")</f>
        <v>ESPERANZA MORALES</v>
      </c>
      <c r="D534" s="4" t="str">
        <f>IFERROR(VLOOKUP(A534,'Base Prueba'!A:D,4,),"NO REGISTRA")</f>
        <v>DIRECTORA DE INFORMATICA Y TECNOLOGIA</v>
      </c>
      <c r="E534" s="5" t="str">
        <f>IFERROR(VLOOKUP(A534,'Base Prueba'!A:E,5,),"NO REGISTRA")</f>
        <v>DEPARTAMENTO DE INFORMATICA Y TECNOLOGIA</v>
      </c>
    </row>
    <row r="535" spans="1:5" ht="15.75" x14ac:dyDescent="0.25">
      <c r="A535" s="10">
        <v>79484197</v>
      </c>
      <c r="B535" s="2">
        <v>46106.430295486112</v>
      </c>
      <c r="C535" s="3" t="str">
        <f>IFERROR(VLOOKUP(A535,'Base Prueba'!A:C,3,),"NO REGISTRA")</f>
        <v>JOHN DANIEL GUTIERREZ BOADA</v>
      </c>
      <c r="D535" s="4" t="str">
        <f>IFERROR(VLOOKUP(A535,'Base Prueba'!A:D,4,),"NO REGISTRA")</f>
        <v>DOCENTE DE MEDIO TIEMPO</v>
      </c>
      <c r="E535" s="5" t="str">
        <f>IFERROR(VLOOKUP(A535,'Base Prueba'!A:E,5,),"NO REGISTRA")</f>
        <v>UNIVERSITARIO COMUNICACION SOCIAL</v>
      </c>
    </row>
    <row r="536" spans="1:5" ht="15.75" x14ac:dyDescent="0.25">
      <c r="A536" s="10">
        <v>1032361262</v>
      </c>
      <c r="B536" s="2">
        <v>46106.493965277776</v>
      </c>
      <c r="C536" s="3" t="str">
        <f>IFERROR(VLOOKUP(A536,'Base Prueba'!A:C,3,),"NO REGISTRA")</f>
        <v>CAMILO  ANDRES BALLESTEROS SANABRIA</v>
      </c>
      <c r="D536" s="4" t="str">
        <f>IFERROR(VLOOKUP(A536,'Base Prueba'!A:D,4,),"NO REGISTRA")</f>
        <v>DOCENTE DE MEDIO TIEMPO</v>
      </c>
      <c r="E536" s="5" t="str">
        <f>IFERROR(VLOOKUP(A536,'Base Prueba'!A:E,5,),"NO REGISTRA")</f>
        <v>TECNICA EN FOTOGRAFIA</v>
      </c>
    </row>
    <row r="537" spans="1:5" ht="15.75" x14ac:dyDescent="0.25">
      <c r="A537" s="10">
        <v>1018482392</v>
      </c>
      <c r="B537" s="2">
        <v>46106.590090046295</v>
      </c>
      <c r="C537" s="3" t="str">
        <f>IFERROR(VLOOKUP(A537,'Base Prueba'!A:C,3,),"NO REGISTRA")</f>
        <v>RAQUEL YANETH SANDOVAL FORERO</v>
      </c>
      <c r="D537" s="4" t="str">
        <f>IFERROR(VLOOKUP(A537,'Base Prueba'!A:D,4,),"NO REGISTRA")</f>
        <v>AUXILIAR DE RECURSOS ACADEMICOS</v>
      </c>
      <c r="E537" s="5" t="str">
        <f>IFERROR(VLOOKUP(A537,'Base Prueba'!A:E,5,),"NO REGISTRA")</f>
        <v>RECURSOS ACADEMICOS</v>
      </c>
    </row>
    <row r="538" spans="1:5" ht="15.75" x14ac:dyDescent="0.25">
      <c r="A538" s="10">
        <v>248294</v>
      </c>
      <c r="B538" s="2">
        <v>46106.703539351853</v>
      </c>
      <c r="C538" s="3" t="str">
        <f>IFERROR(VLOOKUP(A538,'Base Prueba'!A:C,3,),"NO REGISTRA")</f>
        <v>WALTER NATALIO VALDEZ MONTAÑEZ</v>
      </c>
      <c r="D538" s="4" t="str">
        <f>IFERROR(VLOOKUP(A538,'Base Prueba'!A:D,4,),"NO REGISTRA")</f>
        <v>DOCENTE DE TIEMPO COMPLETO</v>
      </c>
      <c r="E538" s="5" t="str">
        <f>IFERROR(VLOOKUP(A538,'Base Prueba'!A:E,5,),"NO REGISTRA")</f>
        <v>UNIVERSITARIO EN TURISMO Y GASTRONOMIA</v>
      </c>
    </row>
    <row r="539" spans="1:5" ht="15.75" x14ac:dyDescent="0.25">
      <c r="A539" s="10">
        <v>52049956</v>
      </c>
      <c r="B539" s="2">
        <v>46106.822868287039</v>
      </c>
      <c r="C539" s="3" t="str">
        <f>IFERROR(VLOOKUP(A539,'Base Prueba'!A:C,3,),"NO REGISTRA")</f>
        <v>ESPERANZA MORALES</v>
      </c>
      <c r="D539" s="4" t="str">
        <f>IFERROR(VLOOKUP(A539,'Base Prueba'!A:D,4,),"NO REGISTRA")</f>
        <v>DIRECTORA DE INFORMATICA Y TECNOLOGIA</v>
      </c>
      <c r="E539" s="5" t="str">
        <f>IFERROR(VLOOKUP(A539,'Base Prueba'!A:E,5,),"NO REGISTRA")</f>
        <v>DEPARTAMENTO DE INFORMATICA Y TECNOLOGIA</v>
      </c>
    </row>
    <row r="540" spans="1:5" ht="15.75" x14ac:dyDescent="0.25">
      <c r="A540" s="10">
        <v>1022378300</v>
      </c>
      <c r="B540" s="2">
        <v>46107.339915856479</v>
      </c>
      <c r="C540" s="3" t="str">
        <f>IFERROR(VLOOKUP(A540,'Base Prueba'!A:C,3,),"NO REGISTRA")</f>
        <v>FERNEY ANDRES CHASPUENGAL RAMIREZ</v>
      </c>
      <c r="D540" s="4" t="str">
        <f>IFERROR(VLOOKUP(A540,'Base Prueba'!A:D,4,),"NO REGISTRA")</f>
        <v>LÍDER DE DEPORTE Y CULTURA</v>
      </c>
      <c r="E540" s="5" t="str">
        <f>IFERROR(VLOOKUP(A540,'Base Prueba'!A:E,5,),"NO REGISTRA")</f>
        <v>DIRECCION DE BIENESTAR INSTITUCIONAL</v>
      </c>
    </row>
    <row r="541" spans="1:5" ht="15.75" x14ac:dyDescent="0.25">
      <c r="A541" s="10">
        <v>52049956</v>
      </c>
      <c r="B541" s="2">
        <v>46107.370727314817</v>
      </c>
      <c r="C541" s="3" t="str">
        <f>IFERROR(VLOOKUP(A541,'Base Prueba'!A:C,3,),"NO REGISTRA")</f>
        <v>ESPERANZA MORALES</v>
      </c>
      <c r="D541" s="4" t="str">
        <f>IFERROR(VLOOKUP(A541,'Base Prueba'!A:D,4,),"NO REGISTRA")</f>
        <v>DIRECTORA DE INFORMATICA Y TECNOLOGIA</v>
      </c>
      <c r="E541" s="5" t="str">
        <f>IFERROR(VLOOKUP(A541,'Base Prueba'!A:E,5,),"NO REGISTRA")</f>
        <v>DEPARTAMENTO DE INFORMATICA Y TECNOLOGIA</v>
      </c>
    </row>
    <row r="542" spans="1:5" ht="15.75" x14ac:dyDescent="0.25">
      <c r="A542" s="10">
        <v>85437910</v>
      </c>
      <c r="B542" s="2">
        <v>46107.381939120372</v>
      </c>
      <c r="C542" s="3" t="str">
        <f>IFERROR(VLOOKUP(A542,'Base Prueba'!A:C,3,),"NO REGISTRA")</f>
        <v>EDGAR JOSE PISCIOTTI LEON</v>
      </c>
      <c r="D542" s="4" t="str">
        <f>IFERROR(VLOOKUP(A542,'Base Prueba'!A:D,4,),"NO REGISTRA")</f>
        <v>DOCENTE DE MEDIO TIEMPO</v>
      </c>
      <c r="E542" s="5" t="str">
        <f>IFERROR(VLOOKUP(A542,'Base Prueba'!A:E,5,),"NO REGISTRA")</f>
        <v>TECNOLOGIA EN COMERCIO Y NEGOCIOS INTERNACIONALES</v>
      </c>
    </row>
    <row r="543" spans="1:5" ht="15.75" x14ac:dyDescent="0.25">
      <c r="A543" s="10">
        <v>1019125716</v>
      </c>
      <c r="B543" s="2">
        <v>46107.523065393521</v>
      </c>
      <c r="C543" s="3" t="str">
        <f>IFERROR(VLOOKUP(A543,'Base Prueba'!A:C,3,),"NO REGISTRA")</f>
        <v>GINA PAOLA ALZATE ARISTIZABAL</v>
      </c>
      <c r="D543" s="4" t="str">
        <f>IFERROR(VLOOKUP(A543,'Base Prueba'!A:D,4,),"NO REGISTRA")</f>
        <v>DOCENTE DE MEDIO TIEMPO</v>
      </c>
      <c r="E543" s="5" t="str">
        <f>IFERROR(VLOOKUP(A543,'Base Prueba'!A:E,5,),"NO REGISTRA")</f>
        <v>UNIDAD DE IDIOMAS</v>
      </c>
    </row>
    <row r="544" spans="1:5" ht="15.75" x14ac:dyDescent="0.25">
      <c r="A544" s="10">
        <v>248294</v>
      </c>
      <c r="B544" s="2">
        <v>46107.676207175929</v>
      </c>
      <c r="C544" s="3" t="str">
        <f>IFERROR(VLOOKUP(A544,'Base Prueba'!A:C,3,),"NO REGISTRA")</f>
        <v>WALTER NATALIO VALDEZ MONTAÑEZ</v>
      </c>
      <c r="D544" s="4" t="str">
        <f>IFERROR(VLOOKUP(A544,'Base Prueba'!A:D,4,),"NO REGISTRA")</f>
        <v>DOCENTE DE TIEMPO COMPLETO</v>
      </c>
      <c r="E544" s="5" t="str">
        <f>IFERROR(VLOOKUP(A544,'Base Prueba'!A:E,5,),"NO REGISTRA")</f>
        <v>UNIVERSITARIO EN TURISMO Y GASTRONOMIA</v>
      </c>
    </row>
    <row r="545" spans="1:5" ht="15.75" x14ac:dyDescent="0.25">
      <c r="A545" s="10">
        <v>52049956</v>
      </c>
      <c r="B545" s="2">
        <v>46107.826216319445</v>
      </c>
      <c r="C545" s="3" t="str">
        <f>IFERROR(VLOOKUP(A545,'Base Prueba'!A:C,3,),"NO REGISTRA")</f>
        <v>ESPERANZA MORALES</v>
      </c>
      <c r="D545" s="4" t="str">
        <f>IFERROR(VLOOKUP(A545,'Base Prueba'!A:D,4,),"NO REGISTRA")</f>
        <v>DIRECTORA DE INFORMATICA Y TECNOLOGIA</v>
      </c>
      <c r="E545" s="5" t="str">
        <f>IFERROR(VLOOKUP(A545,'Base Prueba'!A:E,5,),"NO REGISTRA")</f>
        <v>DEPARTAMENTO DE INFORMATICA Y TECNOLOGIA</v>
      </c>
    </row>
    <row r="546" spans="1:5" ht="15.75" x14ac:dyDescent="0.25">
      <c r="A546" s="10">
        <v>79624306</v>
      </c>
      <c r="B546" s="2">
        <v>46108.326006828705</v>
      </c>
      <c r="C546" s="3" t="str">
        <f>IFERROR(VLOOKUP(A546,'Base Prueba'!A:C,3,),"NO REGISTRA")</f>
        <v>NELSON MONGUA PEDREROS</v>
      </c>
      <c r="D546" s="4" t="str">
        <f>IFERROR(VLOOKUP(A546,'Base Prueba'!A:D,4,),"NO REGISTRA")</f>
        <v>ADMINISTRADOR DE REDES</v>
      </c>
      <c r="E546" s="5" t="str">
        <f>IFERROR(VLOOKUP(A546,'Base Prueba'!A:E,5,),"NO REGISTRA")</f>
        <v>DEPARTAMENTO DE INFORMATICA Y TECNOLOGIA</v>
      </c>
    </row>
    <row r="547" spans="1:5" ht="15.75" x14ac:dyDescent="0.25">
      <c r="A547" s="10">
        <v>52049956</v>
      </c>
      <c r="B547" s="2">
        <v>46108.363486574075</v>
      </c>
      <c r="C547" s="3" t="str">
        <f>IFERROR(VLOOKUP(A547,'Base Prueba'!A:C,3,),"NO REGISTRA")</f>
        <v>ESPERANZA MORALES</v>
      </c>
      <c r="D547" s="4" t="str">
        <f>IFERROR(VLOOKUP(A547,'Base Prueba'!A:D,4,),"NO REGISTRA")</f>
        <v>DIRECTORA DE INFORMATICA Y TECNOLOGIA</v>
      </c>
      <c r="E547" s="5" t="str">
        <f>IFERROR(VLOOKUP(A547,'Base Prueba'!A:E,5,),"NO REGISTRA")</f>
        <v>DEPARTAMENTO DE INFORMATICA Y TECNOLOGIA</v>
      </c>
    </row>
    <row r="548" spans="1:5" ht="15.75" x14ac:dyDescent="0.25">
      <c r="A548" s="10">
        <v>79484197</v>
      </c>
      <c r="B548" s="2">
        <v>46108.41876226852</v>
      </c>
      <c r="C548" s="3" t="str">
        <f>IFERROR(VLOOKUP(A548,'Base Prueba'!A:C,3,),"NO REGISTRA")</f>
        <v>JOHN DANIEL GUTIERREZ BOADA</v>
      </c>
      <c r="D548" s="4" t="str">
        <f>IFERROR(VLOOKUP(A548,'Base Prueba'!A:D,4,),"NO REGISTRA")</f>
        <v>DOCENTE DE MEDIO TIEMPO</v>
      </c>
      <c r="E548" s="5" t="str">
        <f>IFERROR(VLOOKUP(A548,'Base Prueba'!A:E,5,),"NO REGISTRA")</f>
        <v>UNIVERSITARIO COMUNICACION SOCIAL</v>
      </c>
    </row>
    <row r="549" spans="1:5" ht="15.75" x14ac:dyDescent="0.25">
      <c r="A549" s="10">
        <v>248294</v>
      </c>
      <c r="B549" s="2">
        <v>46108.692203819446</v>
      </c>
      <c r="C549" s="3" t="str">
        <f>IFERROR(VLOOKUP(A549,'Base Prueba'!A:C,3,),"NO REGISTRA")</f>
        <v>WALTER NATALIO VALDEZ MONTAÑEZ</v>
      </c>
      <c r="D549" s="4" t="str">
        <f>IFERROR(VLOOKUP(A549,'Base Prueba'!A:D,4,),"NO REGISTRA")</f>
        <v>DOCENTE DE TIEMPO COMPLETO</v>
      </c>
      <c r="E549" s="5" t="str">
        <f>IFERROR(VLOOKUP(A549,'Base Prueba'!A:E,5,),"NO REGISTRA")</f>
        <v>UNIVERSITARIO EN TURISMO Y GASTRONOMIA</v>
      </c>
    </row>
    <row r="550" spans="1:5" ht="15.75" x14ac:dyDescent="0.25">
      <c r="A550" s="10">
        <v>52049956</v>
      </c>
      <c r="B550" s="2">
        <v>46108.800314814813</v>
      </c>
      <c r="C550" s="3" t="str">
        <f>IFERROR(VLOOKUP(A550,'Base Prueba'!A:C,3,),"NO REGISTRA")</f>
        <v>ESPERANZA MORALES</v>
      </c>
      <c r="D550" s="4" t="str">
        <f>IFERROR(VLOOKUP(A550,'Base Prueba'!A:D,4,),"NO REGISTRA")</f>
        <v>DIRECTORA DE INFORMATICA Y TECNOLOGIA</v>
      </c>
      <c r="E550" s="5" t="str">
        <f>IFERROR(VLOOKUP(A550,'Base Prueba'!A:E,5,),"NO REGISTRA")</f>
        <v>DEPARTAMENTO DE INFORMATICA Y TECNOLOGIA</v>
      </c>
    </row>
    <row r="551" spans="1:5" ht="15.75" x14ac:dyDescent="0.25">
      <c r="A551" s="10">
        <v>80059783</v>
      </c>
      <c r="B551" s="2">
        <v>46109.289112268518</v>
      </c>
      <c r="C551" s="3" t="str">
        <f>IFERROR(VLOOKUP(A551,'Base Prueba'!A:C,3,),"NO REGISTRA")</f>
        <v>JAIRO FABIAN RIVERA RUBIANO</v>
      </c>
      <c r="D551" s="4" t="str">
        <f>IFERROR(VLOOKUP(A551,'Base Prueba'!A:D,4,),"NO REGISTRA")</f>
        <v>DOCENTE DE MEDIO TIEMPO</v>
      </c>
      <c r="E551" s="5" t="str">
        <f>IFERROR(VLOOKUP(A551,'Base Prueba'!A:E,5,),"NO REGISTRA")</f>
        <v>TECNOLOGIA EN ADMINISTRACION DEL TALENTO HUMANO</v>
      </c>
    </row>
    <row r="552" spans="1:5" ht="15.75" x14ac:dyDescent="0.25">
      <c r="A552" s="10">
        <v>1018411979</v>
      </c>
      <c r="B552" s="2">
        <v>46109.294078935185</v>
      </c>
      <c r="C552" s="3" t="str">
        <f>IFERROR(VLOOKUP(A552,'Base Prueba'!A:C,3,),"NO REGISTRA")</f>
        <v>MIGUEL ALFONSO CUELLAR GOMEZ</v>
      </c>
      <c r="D552" s="4" t="str">
        <f>IFERROR(VLOOKUP(A552,'Base Prueba'!A:D,4,),"NO REGISTRA")</f>
        <v>DIRECTOR DE PROGRAMAS DE PRODUCCIÓN VISUAL Y AUDIOVISUAL</v>
      </c>
      <c r="E552" s="5" t="str">
        <f>IFERROR(VLOOKUP(A552,'Base Prueba'!A:E,5,),"NO REGISTRA")</f>
        <v>FACULTAD DE COMINICACIÓN PERIODISMO Y ARTES</v>
      </c>
    </row>
    <row r="553" spans="1:5" ht="15.75" x14ac:dyDescent="0.25">
      <c r="A553" s="10">
        <v>51555582</v>
      </c>
      <c r="B553" s="2">
        <v>46109.329693634259</v>
      </c>
      <c r="C553" s="3" t="str">
        <f>IFERROR(VLOOKUP(A553,'Base Prueba'!A:C,3,),"NO REGISTRA")</f>
        <v>MARTHA CECILIA VIDAL ARIZABALETA</v>
      </c>
      <c r="D553" s="4" t="str">
        <f>IFERROR(VLOOKUP(A553,'Base Prueba'!A:D,4,),"NO REGISTRA")</f>
        <v>DOCENTE DE MEDIO TIEMPO</v>
      </c>
      <c r="E553" s="5" t="str">
        <f>IFERROR(VLOOKUP(A553,'Base Prueba'!A:E,5,),"NO REGISTRA")</f>
        <v>INGENIERIA DE SOFTWARE</v>
      </c>
    </row>
    <row r="554" spans="1:5" ht="15.75" x14ac:dyDescent="0.25">
      <c r="A554" s="10">
        <v>52049956</v>
      </c>
      <c r="B554" s="2">
        <v>46109.355113425925</v>
      </c>
      <c r="C554" s="3" t="str">
        <f>IFERROR(VLOOKUP(A554,'Base Prueba'!A:C,3,),"NO REGISTRA")</f>
        <v>ESPERANZA MORALES</v>
      </c>
      <c r="D554" s="4" t="str">
        <f>IFERROR(VLOOKUP(A554,'Base Prueba'!A:D,4,),"NO REGISTRA")</f>
        <v>DIRECTORA DE INFORMATICA Y TECNOLOGIA</v>
      </c>
      <c r="E554" s="5" t="str">
        <f>IFERROR(VLOOKUP(A554,'Base Prueba'!A:E,5,),"NO REGISTRA")</f>
        <v>DEPARTAMENTO DE INFORMATICA Y TECNOLOGIA</v>
      </c>
    </row>
    <row r="555" spans="1:5" ht="15.75" x14ac:dyDescent="0.25">
      <c r="A555" s="10">
        <v>1022378300</v>
      </c>
      <c r="B555" s="2">
        <v>46109.382040856479</v>
      </c>
      <c r="C555" s="3" t="str">
        <f>IFERROR(VLOOKUP(A555,'Base Prueba'!A:C,3,),"NO REGISTRA")</f>
        <v>FERNEY ANDRES CHASPUENGAL RAMIREZ</v>
      </c>
      <c r="D555" s="4" t="str">
        <f>IFERROR(VLOOKUP(A555,'Base Prueba'!A:D,4,),"NO REGISTRA")</f>
        <v>LÍDER DE DEPORTE Y CULTURA</v>
      </c>
      <c r="E555" s="5" t="str">
        <f>IFERROR(VLOOKUP(A555,'Base Prueba'!A:E,5,),"NO REGISTRA")</f>
        <v>DIRECCION DE BIENESTAR INSTITUCIONAL</v>
      </c>
    </row>
    <row r="556" spans="1:5" ht="15.75" x14ac:dyDescent="0.25">
      <c r="A556" s="10">
        <v>51555582</v>
      </c>
      <c r="B556" s="2">
        <v>46109.411941550927</v>
      </c>
      <c r="C556" s="3" t="str">
        <f>IFERROR(VLOOKUP(A556,'Base Prueba'!A:C,3,),"NO REGISTRA")</f>
        <v>MARTHA CECILIA VIDAL ARIZABALETA</v>
      </c>
      <c r="D556" s="4" t="str">
        <f>IFERROR(VLOOKUP(A556,'Base Prueba'!A:D,4,),"NO REGISTRA")</f>
        <v>DOCENTE DE MEDIO TIEMPO</v>
      </c>
      <c r="E556" s="5" t="str">
        <f>IFERROR(VLOOKUP(A556,'Base Prueba'!A:E,5,),"NO REGISTRA")</f>
        <v>INGENIERIA DE SOFTWARE</v>
      </c>
    </row>
    <row r="557" spans="1:5" ht="15.75" x14ac:dyDescent="0.25">
      <c r="A557" s="10">
        <v>52049956</v>
      </c>
      <c r="B557" s="2">
        <v>46109.501907754631</v>
      </c>
      <c r="C557" s="3" t="str">
        <f>IFERROR(VLOOKUP(A557,'Base Prueba'!A:C,3,),"NO REGISTRA")</f>
        <v>ESPERANZA MORALES</v>
      </c>
      <c r="D557" s="4" t="str">
        <f>IFERROR(VLOOKUP(A557,'Base Prueba'!A:D,4,),"NO REGISTRA")</f>
        <v>DIRECTORA DE INFORMATICA Y TECNOLOGIA</v>
      </c>
      <c r="E557" s="5" t="str">
        <f>IFERROR(VLOOKUP(A557,'Base Prueba'!A:E,5,),"NO REGISTRA")</f>
        <v>DEPARTAMENTO DE INFORMATICA Y TECNOLOGIA</v>
      </c>
    </row>
    <row r="558" spans="1:5" ht="15.75" x14ac:dyDescent="0.25">
      <c r="A558" s="10">
        <v>1032361262</v>
      </c>
      <c r="B558" s="2">
        <v>46109.548579166665</v>
      </c>
      <c r="C558" s="3" t="str">
        <f>IFERROR(VLOOKUP(A558,'Base Prueba'!A:C,3,),"NO REGISTRA")</f>
        <v>CAMILO  ANDRES BALLESTEROS SANABRIA</v>
      </c>
      <c r="D558" s="4" t="str">
        <f>IFERROR(VLOOKUP(A558,'Base Prueba'!A:D,4,),"NO REGISTRA")</f>
        <v>DOCENTE DE MEDIO TIEMPO</v>
      </c>
      <c r="E558" s="5" t="str">
        <f>IFERROR(VLOOKUP(A558,'Base Prueba'!A:E,5,),"NO REGISTRA")</f>
        <v>TECNICA EN FOTOGRAFIA</v>
      </c>
    </row>
    <row r="559" spans="1:5" ht="15.75" x14ac:dyDescent="0.25">
      <c r="A559" s="10">
        <v>1073150473</v>
      </c>
      <c r="B559" s="2">
        <v>46109.548620138892</v>
      </c>
      <c r="C559" s="3" t="str">
        <f>IFERROR(VLOOKUP(A559,'Base Prueba'!A:C,3,),"NO REGISTRA")</f>
        <v>DIANA STELLA MELGAREJO MUÑOZ</v>
      </c>
      <c r="D559" s="4" t="str">
        <f>IFERROR(VLOOKUP(A559,'Base Prueba'!A:D,4,),"NO REGISTRA")</f>
        <v>DOCENTE DE MEDIO TIEMPO</v>
      </c>
      <c r="E559" s="5" t="str">
        <f>IFERROR(VLOOKUP(A559,'Base Prueba'!A:E,5,),"NO REGISTRA")</f>
        <v>TECNICA EN FOTOGRAFIA</v>
      </c>
    </row>
    <row r="560" spans="1:5" ht="15.75" x14ac:dyDescent="0.25">
      <c r="A560" s="10">
        <v>23810964</v>
      </c>
      <c r="B560" s="2">
        <v>46109.714423148151</v>
      </c>
      <c r="C560" s="3" t="str">
        <f>IFERROR(VLOOKUP(A560,'Base Prueba'!A:C,3,),"NO REGISTRA")</f>
        <v>JULY FERNANDA GOMEZ NIÑO</v>
      </c>
      <c r="D560" s="4" t="str">
        <f>IFERROR(VLOOKUP(A560,'Base Prueba'!A:D,4,),"NO REGISTRA")</f>
        <v>DOCENTE DE MEDIO TIEMPO</v>
      </c>
      <c r="E560" s="5" t="str">
        <f>IFERROR(VLOOKUP(A560,'Base Prueba'!A:E,5,),"NO REGISTRA")</f>
        <v>TECNOLOGIA EN ADMINISTRACION DEL TALENTO HUMANO</v>
      </c>
    </row>
    <row r="561" spans="1:5" ht="15.75" x14ac:dyDescent="0.25">
      <c r="A561" s="10">
        <v>248294</v>
      </c>
      <c r="B561" s="2">
        <v>46109.77237013889</v>
      </c>
      <c r="C561" s="3" t="str">
        <f>IFERROR(VLOOKUP(A561,'Base Prueba'!A:C,3,),"NO REGISTRA")</f>
        <v>WALTER NATALIO VALDEZ MONTAÑEZ</v>
      </c>
      <c r="D561" s="4" t="str">
        <f>IFERROR(VLOOKUP(A561,'Base Prueba'!A:D,4,),"NO REGISTRA")</f>
        <v>DOCENTE DE TIEMPO COMPLETO</v>
      </c>
      <c r="E561" s="5" t="str">
        <f>IFERROR(VLOOKUP(A561,'Base Prueba'!A:E,5,),"NO REGISTRA")</f>
        <v>UNIVERSITARIO EN TURISMO Y GASTRONOMIA</v>
      </c>
    </row>
    <row r="562" spans="1:5" ht="15.75" x14ac:dyDescent="0.25">
      <c r="A562" s="10">
        <v>79946416</v>
      </c>
      <c r="B562" s="2">
        <v>46118.283843055557</v>
      </c>
      <c r="C562" s="3" t="str">
        <f>IFERROR(VLOOKUP(A562,'Base Prueba'!A:C,3,),"NO REGISTRA")</f>
        <v>ALBERTO HERNAN SEGURA ABRIL</v>
      </c>
      <c r="D562" s="4" t="str">
        <f>IFERROR(VLOOKUP(A562,'Base Prueba'!A:D,4,),"NO REGISTRA")</f>
        <v>DOCENTE DE TIEMPO COMPLETO</v>
      </c>
      <c r="E562" s="5" t="str">
        <f>IFERROR(VLOOKUP(A562,'Base Prueba'!A:E,5,),"NO REGISTRA")</f>
        <v>TECNOLOGÍA EN PRODUCCIÓN DE MEDIOS AUDIOVISUALES</v>
      </c>
    </row>
    <row r="563" spans="1:5" ht="15.75" x14ac:dyDescent="0.25">
      <c r="A563" s="10">
        <v>1023965965</v>
      </c>
      <c r="B563" s="2">
        <v>46118.284911689814</v>
      </c>
      <c r="C563" s="3" t="str">
        <f>IFERROR(VLOOKUP(A563,'Base Prueba'!A:C,3,),"NO REGISTRA")</f>
        <v>EDISON ALEJANDRO SALAZAR HERNANDEZ</v>
      </c>
      <c r="D563" s="4" t="str">
        <f>IFERROR(VLOOKUP(A563,'Base Prueba'!A:D,4,),"NO REGISTRA")</f>
        <v>DOCENTE DE MEDIO TIEMPO</v>
      </c>
      <c r="E563" s="5" t="str">
        <f>IFERROR(VLOOKUP(A563,'Base Prueba'!A:E,5,),"NO REGISTRA")</f>
        <v>NARRATIVAS DIGITALES Y AUDIOVISUALES</v>
      </c>
    </row>
    <row r="564" spans="1:5" ht="15.75" x14ac:dyDescent="0.25">
      <c r="A564" s="10">
        <v>51555582</v>
      </c>
      <c r="B564" s="2">
        <v>46118.296931944446</v>
      </c>
      <c r="C564" s="3" t="str">
        <f>IFERROR(VLOOKUP(A564,'Base Prueba'!A:C,3,),"NO REGISTRA")</f>
        <v>MARTHA CECILIA VIDAL ARIZABALETA</v>
      </c>
      <c r="D564" s="4" t="str">
        <f>IFERROR(VLOOKUP(A564,'Base Prueba'!A:D,4,),"NO REGISTRA")</f>
        <v>DOCENTE DE MEDIO TIEMPO</v>
      </c>
      <c r="E564" s="5" t="str">
        <f>IFERROR(VLOOKUP(A564,'Base Prueba'!A:E,5,),"NO REGISTRA")</f>
        <v>INGENIERIA DE SOFTWARE</v>
      </c>
    </row>
    <row r="565" spans="1:5" ht="15.75" x14ac:dyDescent="0.25">
      <c r="A565" s="10">
        <v>1000218614</v>
      </c>
      <c r="B565" s="2">
        <v>46118.322267592594</v>
      </c>
      <c r="C565" s="3" t="str">
        <f>IFERROR(VLOOKUP(A565,'Base Prueba'!A:C,3,),"NO REGISTRA")</f>
        <v>SEBASTIAN DAVID MELO DIAZ</v>
      </c>
      <c r="D565" s="4" t="str">
        <f>IFERROR(VLOOKUP(A565,'Base Prueba'!A:D,4,),"NO REGISTRA")</f>
        <v>ANALISTA DE SISTEMAS</v>
      </c>
      <c r="E565" s="5" t="str">
        <f>IFERROR(VLOOKUP(A565,'Base Prueba'!A:E,5,),"NO REGISTRA")</f>
        <v>DEPARTAMENTO DE INFORMATICA Y TECNOLOGIA</v>
      </c>
    </row>
    <row r="566" spans="1:5" ht="15.75" x14ac:dyDescent="0.25">
      <c r="A566" s="10">
        <v>1022378300</v>
      </c>
      <c r="B566" s="2">
        <v>46118.33479050926</v>
      </c>
      <c r="C566" s="3" t="str">
        <f>IFERROR(VLOOKUP(A566,'Base Prueba'!A:C,3,),"NO REGISTRA")</f>
        <v>FERNEY ANDRES CHASPUENGAL RAMIREZ</v>
      </c>
      <c r="D566" s="4" t="str">
        <f>IFERROR(VLOOKUP(A566,'Base Prueba'!A:D,4,),"NO REGISTRA")</f>
        <v>LÍDER DE DEPORTE Y CULTURA</v>
      </c>
      <c r="E566" s="5" t="str">
        <f>IFERROR(VLOOKUP(A566,'Base Prueba'!A:E,5,),"NO REGISTRA")</f>
        <v>DIRECCION DE BIENESTAR INSTITUCIONAL</v>
      </c>
    </row>
    <row r="567" spans="1:5" ht="15.75" x14ac:dyDescent="0.25">
      <c r="A567" s="10">
        <v>80778198</v>
      </c>
      <c r="B567" s="2">
        <v>46118.360211689818</v>
      </c>
      <c r="C567" s="3" t="str">
        <f>IFERROR(VLOOKUP(A567,'Base Prueba'!A:C,3,),"NO REGISTRA")</f>
        <v>JIMY JAVIER ALDANA REYES</v>
      </c>
      <c r="D567" s="4" t="str">
        <f>IFERROR(VLOOKUP(A567,'Base Prueba'!A:D,4,),"NO REGISTRA")</f>
        <v>DOCENTE DE TIEMPO COMPLETO</v>
      </c>
      <c r="E567" s="5" t="str">
        <f>IFERROR(VLOOKUP(A567,'Base Prueba'!A:E,5,),"NO REGISTRA")</f>
        <v>INGENIERIA DE SOFTWARE</v>
      </c>
    </row>
    <row r="568" spans="1:5" ht="15.75" x14ac:dyDescent="0.25">
      <c r="A568" s="10">
        <v>52049956</v>
      </c>
      <c r="B568" s="2">
        <v>46118.367964699071</v>
      </c>
      <c r="C568" s="3" t="str">
        <f>IFERROR(VLOOKUP(A568,'Base Prueba'!A:C,3,),"NO REGISTRA")</f>
        <v>ESPERANZA MORALES</v>
      </c>
      <c r="D568" s="4" t="str">
        <f>IFERROR(VLOOKUP(A568,'Base Prueba'!A:D,4,),"NO REGISTRA")</f>
        <v>DIRECTORA DE INFORMATICA Y TECNOLOGIA</v>
      </c>
      <c r="E568" s="5" t="str">
        <f>IFERROR(VLOOKUP(A568,'Base Prueba'!A:E,5,),"NO REGISTRA")</f>
        <v>DEPARTAMENTO DE INFORMATICA Y TECNOLOGIA</v>
      </c>
    </row>
    <row r="569" spans="1:5" ht="15.75" x14ac:dyDescent="0.25">
      <c r="A569" s="10">
        <v>51555582</v>
      </c>
      <c r="B569" s="2">
        <v>46118.371026273147</v>
      </c>
      <c r="C569" s="3" t="str">
        <f>IFERROR(VLOOKUP(A569,'Base Prueba'!A:C,3,),"NO REGISTRA")</f>
        <v>MARTHA CECILIA VIDAL ARIZABALETA</v>
      </c>
      <c r="D569" s="4" t="str">
        <f>IFERROR(VLOOKUP(A569,'Base Prueba'!A:D,4,),"NO REGISTRA")</f>
        <v>DOCENTE DE MEDIO TIEMPO</v>
      </c>
      <c r="E569" s="5" t="str">
        <f>IFERROR(VLOOKUP(A569,'Base Prueba'!A:E,5,),"NO REGISTRA")</f>
        <v>INGENIERIA DE SOFTWARE</v>
      </c>
    </row>
    <row r="570" spans="1:5" ht="15.75" x14ac:dyDescent="0.25">
      <c r="A570" s="10">
        <v>1141317547</v>
      </c>
      <c r="B570" s="2">
        <v>46118.448652083331</v>
      </c>
      <c r="C570" s="3" t="str">
        <f>IFERROR(VLOOKUP(A570,'Base Prueba'!A:C,3,),"NO REGISTRA")</f>
        <v>LUNA JULIETH SANCHEZ ARDILA</v>
      </c>
      <c r="D570" s="4" t="str">
        <f>IFERROR(VLOOKUP(A570,'Base Prueba'!A:D,4,),"NO REGISTRA")</f>
        <v>APRENDIZ UNIVERSITARIO</v>
      </c>
      <c r="E570" s="5" t="str">
        <f>IFERROR(VLOOKUP(A570,'Base Prueba'!A:E,5,),"NO REGISTRA")</f>
        <v>VICERRECTORIA ACADEMICA</v>
      </c>
    </row>
    <row r="571" spans="1:5" ht="15.75" x14ac:dyDescent="0.25">
      <c r="A571" s="10">
        <v>1013101788</v>
      </c>
      <c r="B571" s="2">
        <v>46118.449087962967</v>
      </c>
      <c r="C571" s="3" t="str">
        <f>IFERROR(VLOOKUP(A571,'Base Prueba'!A:C,3,),"NO REGISTRA")</f>
        <v>SARA TANGARIFE MONTOYA</v>
      </c>
      <c r="D571" s="4" t="str">
        <f>IFERROR(VLOOKUP(A571,'Base Prueba'!A:D,4,),"NO REGISTRA")</f>
        <v>APRENDIZ UNIVERSITARIO</v>
      </c>
      <c r="E571" s="5" t="str">
        <f>IFERROR(VLOOKUP(A571,'Base Prueba'!A:E,5,),"NO REGISTRA")</f>
        <v>OFICINA DE MERCADEO</v>
      </c>
    </row>
    <row r="572" spans="1:5" ht="15.75" x14ac:dyDescent="0.25">
      <c r="A572" s="10">
        <v>1019603886</v>
      </c>
      <c r="B572" s="2">
        <v>46118.451542708332</v>
      </c>
      <c r="C572" s="3" t="str">
        <f>IFERROR(VLOOKUP(A572,'Base Prueba'!A:C,3,),"NO REGISTRA")</f>
        <v>NICOLAS ESPITIA CHACON</v>
      </c>
      <c r="D572" s="4" t="str">
        <f>IFERROR(VLOOKUP(A572,'Base Prueba'!A:D,4,),"NO REGISTRA")</f>
        <v>AUXILIAR DE RECURSOS ACADEMICOS</v>
      </c>
      <c r="E572" s="5" t="str">
        <f>IFERROR(VLOOKUP(A572,'Base Prueba'!A:E,5,),"NO REGISTRA")</f>
        <v>RECURSOS ACADEMICOS</v>
      </c>
    </row>
    <row r="573" spans="1:5" ht="15.75" x14ac:dyDescent="0.25">
      <c r="A573" s="10">
        <v>1019603886</v>
      </c>
      <c r="B573" s="2">
        <v>46118.45154814815</v>
      </c>
      <c r="C573" s="3" t="str">
        <f>IFERROR(VLOOKUP(A573,'Base Prueba'!A:C,3,),"NO REGISTRA")</f>
        <v>NICOLAS ESPITIA CHACON</v>
      </c>
      <c r="D573" s="4" t="str">
        <f>IFERROR(VLOOKUP(A573,'Base Prueba'!A:D,4,),"NO REGISTRA")</f>
        <v>AUXILIAR DE RECURSOS ACADEMICOS</v>
      </c>
      <c r="E573" s="5" t="str">
        <f>IFERROR(VLOOKUP(A573,'Base Prueba'!A:E,5,),"NO REGISTRA")</f>
        <v>RECURSOS ACADEMICOS</v>
      </c>
    </row>
    <row r="574" spans="1:5" ht="15.75" x14ac:dyDescent="0.25">
      <c r="A574" s="10">
        <v>80843387</v>
      </c>
      <c r="B574" s="2">
        <v>46118.529070370372</v>
      </c>
      <c r="C574" s="3" t="str">
        <f>IFERROR(VLOOKUP(A574,'Base Prueba'!A:C,3,),"NO REGISTRA")</f>
        <v>ESTEBAN ADOLFO QUESADA SALAZAR</v>
      </c>
      <c r="D574" s="4" t="str">
        <f>IFERROR(VLOOKUP(A574,'Base Prueba'!A:D,4,),"NO REGISTRA")</f>
        <v>DOCENTE DE TIEMPO COMPLETO</v>
      </c>
      <c r="E574" s="5" t="str">
        <f>IFERROR(VLOOKUP(A574,'Base Prueba'!A:E,5,),"NO REGISTRA")</f>
        <v>UNIVERSITARIO COMUNICACION SOCIAL</v>
      </c>
    </row>
    <row r="575" spans="1:5" ht="15.75" x14ac:dyDescent="0.25">
      <c r="A575" s="10">
        <v>79452150</v>
      </c>
      <c r="B575" s="2">
        <v>46118.795156712964</v>
      </c>
      <c r="C575" s="3" t="str">
        <f>IFERROR(VLOOKUP(A575,'Base Prueba'!A:C,3,),"NO REGISTRA")</f>
        <v>JUAN CARLOS PAZ CUBILLOS</v>
      </c>
      <c r="D575" s="4" t="str">
        <f>IFERROR(VLOOKUP(A575,'Base Prueba'!A:D,4,),"NO REGISTRA")</f>
        <v>ANALISTA DE SISTEMAS</v>
      </c>
      <c r="E575" s="5" t="str">
        <f>IFERROR(VLOOKUP(A575,'Base Prueba'!A:E,5,),"NO REGISTRA")</f>
        <v>DEPARTAMENTO DE INFORMATICA Y TECNOLOGIA</v>
      </c>
    </row>
    <row r="576" spans="1:5" ht="15.75" x14ac:dyDescent="0.25">
      <c r="A576" s="10">
        <v>52049956</v>
      </c>
      <c r="B576" s="2">
        <v>46118.812359953707</v>
      </c>
      <c r="C576" s="3" t="str">
        <f>IFERROR(VLOOKUP(A576,'Base Prueba'!A:C,3,),"NO REGISTRA")</f>
        <v>ESPERANZA MORALES</v>
      </c>
      <c r="D576" s="4" t="str">
        <f>IFERROR(VLOOKUP(A576,'Base Prueba'!A:D,4,),"NO REGISTRA")</f>
        <v>DIRECTORA DE INFORMATICA Y TECNOLOGIA</v>
      </c>
      <c r="E576" s="5" t="str">
        <f>IFERROR(VLOOKUP(A576,'Base Prueba'!A:E,5,),"NO REGISTRA")</f>
        <v>DEPARTAMENTO DE INFORMATICA Y TECNOLOGIA</v>
      </c>
    </row>
    <row r="577" spans="1:5" ht="15.75" x14ac:dyDescent="0.25">
      <c r="A577" s="10">
        <v>1019125716</v>
      </c>
      <c r="B577" s="2">
        <v>46118.855726620372</v>
      </c>
      <c r="C577" s="3" t="str">
        <f>IFERROR(VLOOKUP(A577,'Base Prueba'!A:C,3,),"NO REGISTRA")</f>
        <v>GINA PAOLA ALZATE ARISTIZABAL</v>
      </c>
      <c r="D577" s="4" t="str">
        <f>IFERROR(VLOOKUP(A577,'Base Prueba'!A:D,4,),"NO REGISTRA")</f>
        <v>DOCENTE DE MEDIO TIEMPO</v>
      </c>
      <c r="E577" s="5" t="str">
        <f>IFERROR(VLOOKUP(A577,'Base Prueba'!A:E,5,),"NO REGISTRA")</f>
        <v>UNIDAD DE IDIOMAS</v>
      </c>
    </row>
    <row r="578" spans="1:5" ht="15.75" x14ac:dyDescent="0.25">
      <c r="A578" s="10">
        <v>79484197</v>
      </c>
      <c r="B578" s="2">
        <v>46119.280246064816</v>
      </c>
      <c r="C578" s="3" t="str">
        <f>IFERROR(VLOOKUP(A578,'Base Prueba'!A:C,3,),"NO REGISTRA")</f>
        <v>JOHN DANIEL GUTIERREZ BOADA</v>
      </c>
      <c r="D578" s="4" t="str">
        <f>IFERROR(VLOOKUP(A578,'Base Prueba'!A:D,4,),"NO REGISTRA")</f>
        <v>DOCENTE DE MEDIO TIEMPO</v>
      </c>
      <c r="E578" s="5" t="str">
        <f>IFERROR(VLOOKUP(A578,'Base Prueba'!A:E,5,),"NO REGISTRA")</f>
        <v>UNIVERSITARIO COMUNICACION SOCIAL</v>
      </c>
    </row>
    <row r="579" spans="1:5" ht="15.75" x14ac:dyDescent="0.25">
      <c r="A579" s="10">
        <v>19344689</v>
      </c>
      <c r="B579" s="2">
        <v>46119.285839930555</v>
      </c>
      <c r="C579" s="3" t="str">
        <f>IFERROR(VLOOKUP(A579,'Base Prueba'!A:C,3,),"NO REGISTRA")</f>
        <v>EDGAR PALACINO ANTIA</v>
      </c>
      <c r="D579" s="4" t="str">
        <f>IFERROR(VLOOKUP(A579,'Base Prueba'!A:D,4,),"NO REGISTRA")</f>
        <v>DOCENTE DE MEDIO TIEMPO</v>
      </c>
      <c r="E579" s="5" t="str">
        <f>IFERROR(VLOOKUP(A579,'Base Prueba'!A:E,5,),"NO REGISTRA")</f>
        <v>AREA DE CIENCIAS BASICAS</v>
      </c>
    </row>
    <row r="580" spans="1:5" ht="15.75" x14ac:dyDescent="0.25">
      <c r="A580" s="10">
        <v>1014257968</v>
      </c>
      <c r="B580" s="2">
        <v>46119.30985578704</v>
      </c>
      <c r="C580" s="3" t="str">
        <f>IFERROR(VLOOKUP(A580,'Base Prueba'!A:C,3,),"NO REGISTRA")</f>
        <v>JORGE ANDRES LIEVANO LOPEZ</v>
      </c>
      <c r="D580" s="4" t="str">
        <f>IFERROR(VLOOKUP(A580,'Base Prueba'!A:D,4,),"NO REGISTRA")</f>
        <v>DOCENTE DE TIEMPO COMPLETO</v>
      </c>
      <c r="E580" s="5" t="str">
        <f>IFERROR(VLOOKUP(A580,'Base Prueba'!A:E,5,),"NO REGISTRA")</f>
        <v>UNIDAD DE IDIOMAS</v>
      </c>
    </row>
    <row r="581" spans="1:5" ht="15.75" x14ac:dyDescent="0.25">
      <c r="A581" s="10">
        <v>1022378300</v>
      </c>
      <c r="B581" s="2">
        <v>46119.334886342593</v>
      </c>
      <c r="C581" s="3" t="str">
        <f>IFERROR(VLOOKUP(A581,'Base Prueba'!A:C,3,),"NO REGISTRA")</f>
        <v>FERNEY ANDRES CHASPUENGAL RAMIREZ</v>
      </c>
      <c r="D581" s="4" t="str">
        <f>IFERROR(VLOOKUP(A581,'Base Prueba'!A:D,4,),"NO REGISTRA")</f>
        <v>LÍDER DE DEPORTE Y CULTURA</v>
      </c>
      <c r="E581" s="5" t="str">
        <f>IFERROR(VLOOKUP(A581,'Base Prueba'!A:E,5,),"NO REGISTRA")</f>
        <v>DIRECCION DE BIENESTAR INSTITUCIONAL</v>
      </c>
    </row>
    <row r="582" spans="1:5" ht="15.75" x14ac:dyDescent="0.25">
      <c r="A582" s="10">
        <v>1019603886</v>
      </c>
      <c r="B582" s="2">
        <v>46119.342980208334</v>
      </c>
      <c r="C582" s="3" t="str">
        <f>IFERROR(VLOOKUP(A582,'Base Prueba'!A:C,3,),"NO REGISTRA")</f>
        <v>NICOLAS ESPITIA CHACON</v>
      </c>
      <c r="D582" s="4" t="str">
        <f>IFERROR(VLOOKUP(A582,'Base Prueba'!A:D,4,),"NO REGISTRA")</f>
        <v>AUXILIAR DE RECURSOS ACADEMICOS</v>
      </c>
      <c r="E582" s="5" t="str">
        <f>IFERROR(VLOOKUP(A582,'Base Prueba'!A:E,5,),"NO REGISTRA")</f>
        <v>RECURSOS ACADEMICOS</v>
      </c>
    </row>
    <row r="583" spans="1:5" ht="15.75" x14ac:dyDescent="0.25">
      <c r="A583" s="10">
        <v>52049956</v>
      </c>
      <c r="B583" s="2">
        <v>46119.37924884259</v>
      </c>
      <c r="C583" s="3" t="str">
        <f>IFERROR(VLOOKUP(A583,'Base Prueba'!A:C,3,),"NO REGISTRA")</f>
        <v>ESPERANZA MORALES</v>
      </c>
      <c r="D583" s="4" t="str">
        <f>IFERROR(VLOOKUP(A583,'Base Prueba'!A:D,4,),"NO REGISTRA")</f>
        <v>DIRECTORA DE INFORMATICA Y TECNOLOGIA</v>
      </c>
      <c r="E583" s="5" t="str">
        <f>IFERROR(VLOOKUP(A583,'Base Prueba'!A:E,5,),"NO REGISTRA")</f>
        <v>DEPARTAMENTO DE INFORMATICA Y TECNOLOGIA</v>
      </c>
    </row>
    <row r="584" spans="1:5" ht="15.75" x14ac:dyDescent="0.25">
      <c r="A584" s="10">
        <v>248294</v>
      </c>
      <c r="B584" s="2">
        <v>46119.731792013888</v>
      </c>
      <c r="C584" s="3" t="str">
        <f>IFERROR(VLOOKUP(A584,'Base Prueba'!A:C,3,),"NO REGISTRA")</f>
        <v>WALTER NATALIO VALDEZ MONTAÑEZ</v>
      </c>
      <c r="D584" s="4" t="str">
        <f>IFERROR(VLOOKUP(A584,'Base Prueba'!A:D,4,),"NO REGISTRA")</f>
        <v>DOCENTE DE TIEMPO COMPLETO</v>
      </c>
      <c r="E584" s="5" t="str">
        <f>IFERROR(VLOOKUP(A584,'Base Prueba'!A:E,5,),"NO REGISTRA")</f>
        <v>UNIVERSITARIO EN TURISMO Y GASTRONOMIA</v>
      </c>
    </row>
    <row r="585" spans="1:5" ht="15.75" x14ac:dyDescent="0.25">
      <c r="A585" s="10">
        <v>1023883232</v>
      </c>
      <c r="B585" s="2">
        <v>46119.756363773151</v>
      </c>
      <c r="C585" s="3" t="str">
        <f>IFERROR(VLOOKUP(A585,'Base Prueba'!A:C,3,),"NO REGISTRA")</f>
        <v>MONICA ANDREA ACERO URBANO</v>
      </c>
      <c r="D585" s="4" t="str">
        <f>IFERROR(VLOOKUP(A585,'Base Prueba'!A:D,4,),"NO REGISTRA")</f>
        <v>APOYO INTEGRAL A GESTION HUMANA</v>
      </c>
      <c r="E585" s="5" t="str">
        <f>IFERROR(VLOOKUP(A585,'Base Prueba'!A:E,5,),"NO REGISTRA")</f>
        <v>DEPARTAMENTO DE GESTION HUMANA</v>
      </c>
    </row>
    <row r="586" spans="1:5" ht="15.75" x14ac:dyDescent="0.25">
      <c r="A586" s="10">
        <v>79452150</v>
      </c>
      <c r="B586" s="2">
        <v>46119.798752546296</v>
      </c>
      <c r="C586" s="3" t="str">
        <f>IFERROR(VLOOKUP(A586,'Base Prueba'!A:C,3,),"NO REGISTRA")</f>
        <v>JUAN CARLOS PAZ CUBILLOS</v>
      </c>
      <c r="D586" s="4" t="str">
        <f>IFERROR(VLOOKUP(A586,'Base Prueba'!A:D,4,),"NO REGISTRA")</f>
        <v>ANALISTA DE SISTEMAS</v>
      </c>
      <c r="E586" s="5" t="str">
        <f>IFERROR(VLOOKUP(A586,'Base Prueba'!A:E,5,),"NO REGISTRA")</f>
        <v>DEPARTAMENTO DE INFORMATICA Y TECNOLOGIA</v>
      </c>
    </row>
    <row r="587" spans="1:5" ht="15.75" x14ac:dyDescent="0.25">
      <c r="A587" s="10">
        <v>52049956</v>
      </c>
      <c r="B587" s="2">
        <v>46119.805989814813</v>
      </c>
      <c r="C587" s="3" t="str">
        <f>IFERROR(VLOOKUP(A587,'Base Prueba'!A:C,3,),"NO REGISTRA")</f>
        <v>ESPERANZA MORALES</v>
      </c>
      <c r="D587" s="4" t="str">
        <f>IFERROR(VLOOKUP(A587,'Base Prueba'!A:D,4,),"NO REGISTRA")</f>
        <v>DIRECTORA DE INFORMATICA Y TECNOLOGIA</v>
      </c>
      <c r="E587" s="5" t="str">
        <f>IFERROR(VLOOKUP(A587,'Base Prueba'!A:E,5,),"NO REGISTRA")</f>
        <v>DEPARTAMENTO DE INFORMATICA Y TECNOLOGIA</v>
      </c>
    </row>
    <row r="588" spans="1:5" ht="15.75" x14ac:dyDescent="0.25">
      <c r="A588" s="10">
        <v>80843387</v>
      </c>
      <c r="B588" s="2">
        <v>46120.29849050926</v>
      </c>
      <c r="C588" s="3" t="str">
        <f>IFERROR(VLOOKUP(A588,'Base Prueba'!A:C,3,),"NO REGISTRA")</f>
        <v>ESTEBAN ADOLFO QUESADA SALAZAR</v>
      </c>
      <c r="D588" s="4" t="str">
        <f>IFERROR(VLOOKUP(A588,'Base Prueba'!A:D,4,),"NO REGISTRA")</f>
        <v>DOCENTE DE TIEMPO COMPLETO</v>
      </c>
      <c r="E588" s="5" t="str">
        <f>IFERROR(VLOOKUP(A588,'Base Prueba'!A:E,5,),"NO REGISTRA")</f>
        <v>UNIVERSITARIO COMUNICACION SOCIAL</v>
      </c>
    </row>
    <row r="589" spans="1:5" ht="15.75" x14ac:dyDescent="0.25">
      <c r="A589" s="10">
        <v>1022378300</v>
      </c>
      <c r="B589" s="2">
        <v>46120.338111226854</v>
      </c>
      <c r="C589" s="3" t="str">
        <f>IFERROR(VLOOKUP(A589,'Base Prueba'!A:C,3,),"NO REGISTRA")</f>
        <v>FERNEY ANDRES CHASPUENGAL RAMIREZ</v>
      </c>
      <c r="D589" s="4" t="str">
        <f>IFERROR(VLOOKUP(A589,'Base Prueba'!A:D,4,),"NO REGISTRA")</f>
        <v>LÍDER DE DEPORTE Y CULTURA</v>
      </c>
      <c r="E589" s="5" t="str">
        <f>IFERROR(VLOOKUP(A589,'Base Prueba'!A:E,5,),"NO REGISTRA")</f>
        <v>DIRECCION DE BIENESTAR INSTITUCIONAL</v>
      </c>
    </row>
    <row r="590" spans="1:5" ht="15.75" x14ac:dyDescent="0.25">
      <c r="A590" s="10">
        <v>52049956</v>
      </c>
      <c r="B590" s="2">
        <v>46120.363896527779</v>
      </c>
      <c r="C590" s="3" t="str">
        <f>IFERROR(VLOOKUP(A590,'Base Prueba'!A:C,3,),"NO REGISTRA")</f>
        <v>ESPERANZA MORALES</v>
      </c>
      <c r="D590" s="4" t="str">
        <f>IFERROR(VLOOKUP(A590,'Base Prueba'!A:D,4,),"NO REGISTRA")</f>
        <v>DIRECTORA DE INFORMATICA Y TECNOLOGIA</v>
      </c>
      <c r="E590" s="5" t="str">
        <f>IFERROR(VLOOKUP(A590,'Base Prueba'!A:E,5,),"NO REGISTRA")</f>
        <v>DEPARTAMENTO DE INFORMATICA Y TECNOLOGIA</v>
      </c>
    </row>
    <row r="591" spans="1:5" ht="15.75" x14ac:dyDescent="0.25">
      <c r="A591" s="10">
        <v>1033820146</v>
      </c>
      <c r="B591" s="2">
        <v>46120.385086111113</v>
      </c>
      <c r="C591" s="3" t="str">
        <f>IFERROR(VLOOKUP(A591,'Base Prueba'!A:C,3,),"NO REGISTRA")</f>
        <v>JULIETH ALEXANDRA BUSTAMANTE RUIZ</v>
      </c>
      <c r="D591" s="4" t="str">
        <f>IFERROR(VLOOKUP(A591,'Base Prueba'!A:D,4,),"NO REGISTRA")</f>
        <v>AUXILIAR ADMINISTRATIVO</v>
      </c>
      <c r="E591" s="5" t="str">
        <f>IFERROR(VLOOKUP(A591,'Base Prueba'!A:E,5,),"NO REGISTRA")</f>
        <v>REGISTRO Y CONTROL ACADEMICO</v>
      </c>
    </row>
    <row r="592" spans="1:5" ht="15.75" x14ac:dyDescent="0.25">
      <c r="A592" s="10">
        <v>1014736595</v>
      </c>
      <c r="B592" s="2">
        <v>46120.458912268521</v>
      </c>
      <c r="C592" s="3" t="str">
        <f>IFERROR(VLOOKUP(A592,'Base Prueba'!A:C,3,),"NO REGISTRA")</f>
        <v>PAULA ANDREA PAEZ BUITRAGO</v>
      </c>
      <c r="D592" s="4" t="str">
        <f>IFERROR(VLOOKUP(A592,'Base Prueba'!A:D,4,),"NO REGISTRA")</f>
        <v>PROMOTOR DE BIENESTAR INSTITUCIONAL</v>
      </c>
      <c r="E592" s="5" t="str">
        <f>IFERROR(VLOOKUP(A592,'Base Prueba'!A:E,5,),"NO REGISTRA")</f>
        <v>DIRECCION DE BIENESTAR INSTITUCIONAL</v>
      </c>
    </row>
    <row r="593" spans="1:5" ht="15.75" x14ac:dyDescent="0.25">
      <c r="A593" s="10">
        <v>79452150</v>
      </c>
      <c r="B593" s="2">
        <v>46120.594626620368</v>
      </c>
      <c r="C593" s="3" t="str">
        <f>IFERROR(VLOOKUP(A593,'Base Prueba'!A:C,3,),"NO REGISTRA")</f>
        <v>JUAN CARLOS PAZ CUBILLOS</v>
      </c>
      <c r="D593" s="4" t="str">
        <f>IFERROR(VLOOKUP(A593,'Base Prueba'!A:D,4,),"NO REGISTRA")</f>
        <v>ANALISTA DE SISTEMAS</v>
      </c>
      <c r="E593" s="5" t="str">
        <f>IFERROR(VLOOKUP(A593,'Base Prueba'!A:E,5,),"NO REGISTRA")</f>
        <v>DEPARTAMENTO DE INFORMATICA Y TECNOLOGIA</v>
      </c>
    </row>
    <row r="594" spans="1:5" ht="15.75" x14ac:dyDescent="0.25">
      <c r="A594" s="10">
        <v>79946416</v>
      </c>
      <c r="B594" s="2">
        <v>46120.594746875002</v>
      </c>
      <c r="C594" s="3" t="str">
        <f>IFERROR(VLOOKUP(A594,'Base Prueba'!A:C,3,),"NO REGISTRA")</f>
        <v>ALBERTO HERNAN SEGURA ABRIL</v>
      </c>
      <c r="D594" s="4" t="str">
        <f>IFERROR(VLOOKUP(A594,'Base Prueba'!A:D,4,),"NO REGISTRA")</f>
        <v>DOCENTE DE TIEMPO COMPLETO</v>
      </c>
      <c r="E594" s="5" t="str">
        <f>IFERROR(VLOOKUP(A594,'Base Prueba'!A:E,5,),"NO REGISTRA")</f>
        <v>TECNOLOGÍA EN PRODUCCIÓN DE MEDIOS AUDIOVISUALES</v>
      </c>
    </row>
    <row r="595" spans="1:5" ht="15.75" x14ac:dyDescent="0.25">
      <c r="A595" s="10">
        <v>248294</v>
      </c>
      <c r="B595" s="2">
        <v>46120.69787152778</v>
      </c>
      <c r="C595" s="3" t="str">
        <f>IFERROR(VLOOKUP(A595,'Base Prueba'!A:C,3,),"NO REGISTRA")</f>
        <v>WALTER NATALIO VALDEZ MONTAÑEZ</v>
      </c>
      <c r="D595" s="4" t="str">
        <f>IFERROR(VLOOKUP(A595,'Base Prueba'!A:D,4,),"NO REGISTRA")</f>
        <v>DOCENTE DE TIEMPO COMPLETO</v>
      </c>
      <c r="E595" s="5" t="str">
        <f>IFERROR(VLOOKUP(A595,'Base Prueba'!A:E,5,),"NO REGISTRA")</f>
        <v>UNIVERSITARIO EN TURISMO Y GASTRONOMIA</v>
      </c>
    </row>
    <row r="596" spans="1:5" ht="15.75" x14ac:dyDescent="0.25">
      <c r="A596" s="10">
        <v>52899220</v>
      </c>
      <c r="B596" s="2">
        <v>46120.727814814818</v>
      </c>
      <c r="C596" s="3" t="str">
        <f>IFERROR(VLOOKUP(A596,'Base Prueba'!A:C,3,),"NO REGISTRA")</f>
        <v>CLARA ROSALBA SANCHEZ PALOMA</v>
      </c>
      <c r="D596" s="4" t="str">
        <f>IFERROR(VLOOKUP(A596,'Base Prueba'!A:D,4,),"NO REGISTRA")</f>
        <v>DOCENTE DE MEDIO TIEMPO</v>
      </c>
      <c r="E596" s="5" t="str">
        <f>IFERROR(VLOOKUP(A596,'Base Prueba'!A:E,5,),"NO REGISTRA")</f>
        <v>UNIDAD DE IDIOMAS</v>
      </c>
    </row>
    <row r="597" spans="1:5" ht="15.75" x14ac:dyDescent="0.25">
      <c r="A597" s="10">
        <v>52782050</v>
      </c>
      <c r="B597" s="2">
        <v>46120.730200115744</v>
      </c>
      <c r="C597" s="3" t="str">
        <f>IFERROR(VLOOKUP(A597,'Base Prueba'!A:C,3,),"NO REGISTRA")</f>
        <v>MELISSA AVENDAÑO TOCANCHON</v>
      </c>
      <c r="D597" s="4" t="str">
        <f>IFERROR(VLOOKUP(A597,'Base Prueba'!A:D,4,),"NO REGISTRA")</f>
        <v>DOCENTE DE MEDIO TIEMPO</v>
      </c>
      <c r="E597" s="5" t="str">
        <f>IFERROR(VLOOKUP(A597,'Base Prueba'!A:E,5,),"NO REGISTRA")</f>
        <v>NARRATIVAS DIGITALES Y AUDIOVISUALES</v>
      </c>
    </row>
    <row r="598" spans="1:5" ht="15.75" x14ac:dyDescent="0.25">
      <c r="A598" s="10">
        <v>8715040</v>
      </c>
      <c r="B598" s="2">
        <v>46120.741631365738</v>
      </c>
      <c r="C598" s="3" t="str">
        <f>IFERROR(VLOOKUP(A598,'Base Prueba'!A:C,3,),"NO REGISTRA")</f>
        <v>DACARTH RAFAEL SARMIENTO PORTO</v>
      </c>
      <c r="D598" s="4" t="str">
        <f>IFERROR(VLOOKUP(A598,'Base Prueba'!A:D,4,),"NO REGISTRA")</f>
        <v>DOCENTE DE TIEMPO COMPLETO</v>
      </c>
      <c r="E598" s="5" t="str">
        <f>IFERROR(VLOOKUP(A598,'Base Prueba'!A:E,5,),"NO REGISTRA")</f>
        <v>INGENIERIA DE SOFTWARE</v>
      </c>
    </row>
    <row r="599" spans="1:5" ht="15.75" x14ac:dyDescent="0.25">
      <c r="A599" s="10">
        <v>1014257968</v>
      </c>
      <c r="B599" s="2">
        <v>46120.744217939813</v>
      </c>
      <c r="C599" s="3" t="str">
        <f>IFERROR(VLOOKUP(A599,'Base Prueba'!A:C,3,),"NO REGISTRA")</f>
        <v>JORGE ANDRES LIEVANO LOPEZ</v>
      </c>
      <c r="D599" s="4" t="str">
        <f>IFERROR(VLOOKUP(A599,'Base Prueba'!A:D,4,),"NO REGISTRA")</f>
        <v>DOCENTE DE TIEMPO COMPLETO</v>
      </c>
      <c r="E599" s="5" t="str">
        <f>IFERROR(VLOOKUP(A599,'Base Prueba'!A:E,5,),"NO REGISTRA")</f>
        <v>UNIDAD DE IDIOMAS</v>
      </c>
    </row>
    <row r="600" spans="1:5" ht="15.75" x14ac:dyDescent="0.25">
      <c r="A600" s="10">
        <v>1014210502</v>
      </c>
      <c r="B600" s="2">
        <v>46120.75759976852</v>
      </c>
      <c r="C600" s="3" t="str">
        <f>IFERROR(VLOOKUP(A600,'Base Prueba'!A:C,3,),"NO REGISTRA")</f>
        <v>PABLO JAVIER MEDINA RAMIREZ</v>
      </c>
      <c r="D600" s="4" t="str">
        <f>IFERROR(VLOOKUP(A600,'Base Prueba'!A:D,4,),"NO REGISTRA")</f>
        <v>DOCENTE DE MEDIO TIEMPO</v>
      </c>
      <c r="E600" s="5" t="str">
        <f>IFERROR(VLOOKUP(A600,'Base Prueba'!A:E,5,),"NO REGISTRA")</f>
        <v>NARRATIVAS DIGITALES Y AUDIOVISUALES</v>
      </c>
    </row>
    <row r="601" spans="1:5" ht="15.75" x14ac:dyDescent="0.25">
      <c r="A601" s="10">
        <v>1032457498</v>
      </c>
      <c r="B601" s="2">
        <v>46120.766077083332</v>
      </c>
      <c r="C601" s="3" t="str">
        <f>IFERROR(VLOOKUP(A601,'Base Prueba'!A:C,3,),"NO REGISTRA")</f>
        <v>LOTUS KING SALCEDO VALLEJO</v>
      </c>
      <c r="D601" s="4" t="str">
        <f>IFERROR(VLOOKUP(A601,'Base Prueba'!A:D,4,),"NO REGISTRA")</f>
        <v>COORDINADOR DE INVESTIGACIÓN</v>
      </c>
      <c r="E601" s="5" t="str">
        <f>IFERROR(VLOOKUP(A601,'Base Prueba'!A:E,5,),"NO REGISTRA")</f>
        <v>VICERRECTORIA ACADEMICA</v>
      </c>
    </row>
    <row r="602" spans="1:5" ht="15.75" x14ac:dyDescent="0.25">
      <c r="A602" s="10">
        <v>80472319</v>
      </c>
      <c r="B602" s="2">
        <v>46120.771094560187</v>
      </c>
      <c r="C602" s="3" t="str">
        <f>IFERROR(VLOOKUP(A602,'Base Prueba'!A:C,3,),"NO REGISTRA")</f>
        <v>FRANCISCO JAVIER MONTENEGRO AGUILAR</v>
      </c>
      <c r="D602" s="4" t="str">
        <f>IFERROR(VLOOKUP(A602,'Base Prueba'!A:D,4,),"NO REGISTRA")</f>
        <v>DOCENTE DE MEDIO TIEMPO</v>
      </c>
      <c r="E602" s="5" t="str">
        <f>IFERROR(VLOOKUP(A602,'Base Prueba'!A:E,5,),"NO REGISTRA")</f>
        <v>TECNOLOGIA EN COMERCIO Y NEGOCIOS INTERNACIONALES</v>
      </c>
    </row>
    <row r="603" spans="1:5" ht="15.75" x14ac:dyDescent="0.25">
      <c r="A603" s="10">
        <v>79452150</v>
      </c>
      <c r="B603" s="2">
        <v>46120.803087615743</v>
      </c>
      <c r="C603" s="3" t="str">
        <f>IFERROR(VLOOKUP(A603,'Base Prueba'!A:C,3,),"NO REGISTRA")</f>
        <v>JUAN CARLOS PAZ CUBILLOS</v>
      </c>
      <c r="D603" s="4" t="str">
        <f>IFERROR(VLOOKUP(A603,'Base Prueba'!A:D,4,),"NO REGISTRA")</f>
        <v>ANALISTA DE SISTEMAS</v>
      </c>
      <c r="E603" s="5" t="str">
        <f>IFERROR(VLOOKUP(A603,'Base Prueba'!A:E,5,),"NO REGISTRA")</f>
        <v>DEPARTAMENTO DE INFORMATICA Y TECNOLOGIA</v>
      </c>
    </row>
    <row r="604" spans="1:5" ht="15.75" x14ac:dyDescent="0.25">
      <c r="A604" s="10">
        <v>1014257968</v>
      </c>
      <c r="B604" s="2">
        <v>46120.834112152777</v>
      </c>
      <c r="C604" s="3" t="str">
        <f>IFERROR(VLOOKUP(A604,'Base Prueba'!A:C,3,),"NO REGISTRA")</f>
        <v>JORGE ANDRES LIEVANO LOPEZ</v>
      </c>
      <c r="D604" s="4" t="str">
        <f>IFERROR(VLOOKUP(A604,'Base Prueba'!A:D,4,),"NO REGISTRA")</f>
        <v>DOCENTE DE TIEMPO COMPLETO</v>
      </c>
      <c r="E604" s="5" t="str">
        <f>IFERROR(VLOOKUP(A604,'Base Prueba'!A:E,5,),"NO REGISTRA")</f>
        <v>UNIDAD DE IDIOMAS</v>
      </c>
    </row>
    <row r="605" spans="1:5" ht="15.75" x14ac:dyDescent="0.25">
      <c r="A605" s="10">
        <v>52850506</v>
      </c>
      <c r="B605" s="2">
        <v>46120.83635578704</v>
      </c>
      <c r="C605" s="3" t="str">
        <f>IFERROR(VLOOKUP(A605,'Base Prueba'!A:C,3,),"NO REGISTRA")</f>
        <v>PAOLA ANDREA VASQUEZ FONSECA</v>
      </c>
      <c r="D605" s="4" t="str">
        <f>IFERROR(VLOOKUP(A605,'Base Prueba'!A:D,4,),"NO REGISTRA")</f>
        <v>DOCENTE DE TIEMPO COMPLETO</v>
      </c>
      <c r="E605" s="5" t="str">
        <f>IFERROR(VLOOKUP(A605,'Base Prueba'!A:E,5,),"NO REGISTRA")</f>
        <v>UNIVERSITARIO COMUNICACION SOCIAL</v>
      </c>
    </row>
    <row r="606" spans="1:5" ht="15.75" x14ac:dyDescent="0.25">
      <c r="A606" s="10">
        <v>52049956</v>
      </c>
      <c r="B606" s="2">
        <v>46120.848929745371</v>
      </c>
      <c r="C606" s="3" t="str">
        <f>IFERROR(VLOOKUP(A606,'Base Prueba'!A:C,3,),"NO REGISTRA")</f>
        <v>ESPERANZA MORALES</v>
      </c>
      <c r="D606" s="4" t="str">
        <f>IFERROR(VLOOKUP(A606,'Base Prueba'!A:D,4,),"NO REGISTRA")</f>
        <v>DIRECTORA DE INFORMATICA Y TECNOLOGIA</v>
      </c>
      <c r="E606" s="5" t="str">
        <f>IFERROR(VLOOKUP(A606,'Base Prueba'!A:E,5,),"NO REGISTRA")</f>
        <v>DEPARTAMENTO DE INFORMATICA Y TECNOLOGIA</v>
      </c>
    </row>
    <row r="607" spans="1:5" ht="15.75" x14ac:dyDescent="0.25">
      <c r="A607" s="10">
        <v>80472319</v>
      </c>
      <c r="B607" s="2">
        <v>46120.876577777781</v>
      </c>
      <c r="C607" s="3" t="str">
        <f>IFERROR(VLOOKUP(A607,'Base Prueba'!A:C,3,),"NO REGISTRA")</f>
        <v>FRANCISCO JAVIER MONTENEGRO AGUILAR</v>
      </c>
      <c r="D607" s="4" t="str">
        <f>IFERROR(VLOOKUP(A607,'Base Prueba'!A:D,4,),"NO REGISTRA")</f>
        <v>DOCENTE DE MEDIO TIEMPO</v>
      </c>
      <c r="E607" s="5" t="str">
        <f>IFERROR(VLOOKUP(A607,'Base Prueba'!A:E,5,),"NO REGISTRA")</f>
        <v>TECNOLOGIA EN COMERCIO Y NEGOCIOS INTERNACIONALES</v>
      </c>
    </row>
    <row r="608" spans="1:5" ht="15.75" x14ac:dyDescent="0.25">
      <c r="A608" s="10">
        <v>52782050</v>
      </c>
      <c r="B608" s="2">
        <v>46120.896470023152</v>
      </c>
      <c r="C608" s="3" t="str">
        <f>IFERROR(VLOOKUP(A608,'Base Prueba'!A:C,3,),"NO REGISTRA")</f>
        <v>MELISSA AVENDAÑO TOCANCHON</v>
      </c>
      <c r="D608" s="4" t="str">
        <f>IFERROR(VLOOKUP(A608,'Base Prueba'!A:D,4,),"NO REGISTRA")</f>
        <v>DOCENTE DE MEDIO TIEMPO</v>
      </c>
      <c r="E608" s="5" t="str">
        <f>IFERROR(VLOOKUP(A608,'Base Prueba'!A:E,5,),"NO REGISTRA")</f>
        <v>NARRATIVAS DIGITALES Y AUDIOVISUALES</v>
      </c>
    </row>
    <row r="609" spans="1:5" ht="15.75" x14ac:dyDescent="0.25">
      <c r="A609" s="10">
        <v>52782050</v>
      </c>
      <c r="B609" s="2">
        <v>46121.282607060188</v>
      </c>
      <c r="C609" s="3" t="str">
        <f>IFERROR(VLOOKUP(A609,'Base Prueba'!A:C,3,),"NO REGISTRA")</f>
        <v>MELISSA AVENDAÑO TOCANCHON</v>
      </c>
      <c r="D609" s="4" t="str">
        <f>IFERROR(VLOOKUP(A609,'Base Prueba'!A:D,4,),"NO REGISTRA")</f>
        <v>DOCENTE DE MEDIO TIEMPO</v>
      </c>
      <c r="E609" s="5" t="str">
        <f>IFERROR(VLOOKUP(A609,'Base Prueba'!A:E,5,),"NO REGISTRA")</f>
        <v>NARRATIVAS DIGITALES Y AUDIOVISUALES</v>
      </c>
    </row>
    <row r="610" spans="1:5" ht="15.75" x14ac:dyDescent="0.25">
      <c r="A610" s="10">
        <v>1014200970</v>
      </c>
      <c r="B610" s="2">
        <v>46121.284842592591</v>
      </c>
      <c r="C610" s="3" t="str">
        <f>IFERROR(VLOOKUP(A610,'Base Prueba'!A:C,3,),"NO REGISTRA")</f>
        <v>MARILYN GAITAN HERRERA</v>
      </c>
      <c r="D610" s="4" t="str">
        <f>IFERROR(VLOOKUP(A610,'Base Prueba'!A:D,4,),"NO REGISTRA")</f>
        <v>DOCENTE DE MEDIO TIEMPO</v>
      </c>
      <c r="E610" s="5" t="str">
        <f>IFERROR(VLOOKUP(A610,'Base Prueba'!A:E,5,),"NO REGISTRA")</f>
        <v>UNIDAD DE IDIOMAS</v>
      </c>
    </row>
    <row r="611" spans="1:5" ht="15.75" x14ac:dyDescent="0.25">
      <c r="A611" s="10">
        <v>1073150473</v>
      </c>
      <c r="B611" s="2">
        <v>46121.288863310183</v>
      </c>
      <c r="C611" s="3" t="str">
        <f>IFERROR(VLOOKUP(A611,'Base Prueba'!A:C,3,),"NO REGISTRA")</f>
        <v>DIANA STELLA MELGAREJO MUÑOZ</v>
      </c>
      <c r="D611" s="4" t="str">
        <f>IFERROR(VLOOKUP(A611,'Base Prueba'!A:D,4,),"NO REGISTRA")</f>
        <v>DOCENTE DE MEDIO TIEMPO</v>
      </c>
      <c r="E611" s="5" t="str">
        <f>IFERROR(VLOOKUP(A611,'Base Prueba'!A:E,5,),"NO REGISTRA")</f>
        <v>TECNICA EN FOTOGRAFIA</v>
      </c>
    </row>
    <row r="612" spans="1:5" ht="15.75" x14ac:dyDescent="0.25">
      <c r="A612" s="10">
        <v>248294</v>
      </c>
      <c r="B612" s="2">
        <v>46121.288964467596</v>
      </c>
      <c r="C612" s="3" t="str">
        <f>IFERROR(VLOOKUP(A612,'Base Prueba'!A:C,3,),"NO REGISTRA")</f>
        <v>WALTER NATALIO VALDEZ MONTAÑEZ</v>
      </c>
      <c r="D612" s="4" t="str">
        <f>IFERROR(VLOOKUP(A612,'Base Prueba'!A:D,4,),"NO REGISTRA")</f>
        <v>DOCENTE DE TIEMPO COMPLETO</v>
      </c>
      <c r="E612" s="5" t="str">
        <f>IFERROR(VLOOKUP(A612,'Base Prueba'!A:E,5,),"NO REGISTRA")</f>
        <v>UNIVERSITARIO EN TURISMO Y GASTRONOMIA</v>
      </c>
    </row>
    <row r="613" spans="1:5" ht="15.75" x14ac:dyDescent="0.25">
      <c r="A613" s="10">
        <v>79946416</v>
      </c>
      <c r="B613" s="2">
        <v>46121.302189236114</v>
      </c>
      <c r="C613" s="3" t="str">
        <f>IFERROR(VLOOKUP(A613,'Base Prueba'!A:C,3,),"NO REGISTRA")</f>
        <v>ALBERTO HERNAN SEGURA ABRIL</v>
      </c>
      <c r="D613" s="4" t="str">
        <f>IFERROR(VLOOKUP(A613,'Base Prueba'!A:D,4,),"NO REGISTRA")</f>
        <v>DOCENTE DE TIEMPO COMPLETO</v>
      </c>
      <c r="E613" s="5" t="str">
        <f>IFERROR(VLOOKUP(A613,'Base Prueba'!A:E,5,),"NO REGISTRA")</f>
        <v>TECNOLOGÍA EN PRODUCCIÓN DE MEDIOS AUDIOVISUALES</v>
      </c>
    </row>
    <row r="614" spans="1:5" ht="15.75" x14ac:dyDescent="0.25">
      <c r="A614" s="10">
        <v>1010189117</v>
      </c>
      <c r="B614" s="2">
        <v>46121.302985879629</v>
      </c>
      <c r="C614" s="3" t="str">
        <f>IFERROR(VLOOKUP(A614,'Base Prueba'!A:C,3,),"NO REGISTRA")</f>
        <v>ADRIANA PAOLA CARVAJAL TARAZONA</v>
      </c>
      <c r="D614" s="4" t="str">
        <f>IFERROR(VLOOKUP(A614,'Base Prueba'!A:D,4,),"NO REGISTRA")</f>
        <v>DOCENTE DE MEDIO TIEMPO</v>
      </c>
      <c r="E614" s="5" t="str">
        <f>IFERROR(VLOOKUP(A614,'Base Prueba'!A:E,5,),"NO REGISTRA")</f>
        <v>UNIVERSITARIO COMUNICACION SOCIAL</v>
      </c>
    </row>
    <row r="615" spans="1:5" ht="15.75" x14ac:dyDescent="0.25">
      <c r="A615" s="10">
        <v>79624306</v>
      </c>
      <c r="B615" s="2">
        <v>46121.327036574075</v>
      </c>
      <c r="C615" s="3" t="str">
        <f>IFERROR(VLOOKUP(A615,'Base Prueba'!A:C,3,),"NO REGISTRA")</f>
        <v>NELSON MONGUA PEDREROS</v>
      </c>
      <c r="D615" s="4" t="str">
        <f>IFERROR(VLOOKUP(A615,'Base Prueba'!A:D,4,),"NO REGISTRA")</f>
        <v>ADMINISTRADOR DE REDES</v>
      </c>
      <c r="E615" s="5" t="str">
        <f>IFERROR(VLOOKUP(A615,'Base Prueba'!A:E,5,),"NO REGISTRA")</f>
        <v>DEPARTAMENTO DE INFORMATICA Y TECNOLOGIA</v>
      </c>
    </row>
    <row r="616" spans="1:5" ht="15.75" x14ac:dyDescent="0.25">
      <c r="A616" s="10">
        <v>1000218614</v>
      </c>
      <c r="B616" s="2">
        <v>46121.327451620367</v>
      </c>
      <c r="C616" s="3" t="str">
        <f>IFERROR(VLOOKUP(A616,'Base Prueba'!A:C,3,),"NO REGISTRA")</f>
        <v>SEBASTIAN DAVID MELO DIAZ</v>
      </c>
      <c r="D616" s="4" t="str">
        <f>IFERROR(VLOOKUP(A616,'Base Prueba'!A:D,4,),"NO REGISTRA")</f>
        <v>ANALISTA DE SISTEMAS</v>
      </c>
      <c r="E616" s="5" t="str">
        <f>IFERROR(VLOOKUP(A616,'Base Prueba'!A:E,5,),"NO REGISTRA")</f>
        <v>DEPARTAMENTO DE INFORMATICA Y TECNOLOGIA</v>
      </c>
    </row>
    <row r="617" spans="1:5" ht="15.75" x14ac:dyDescent="0.25">
      <c r="A617" s="10">
        <v>1032487526</v>
      </c>
      <c r="B617" s="2">
        <v>46121.343451736109</v>
      </c>
      <c r="C617" s="3" t="str">
        <f>IFERROR(VLOOKUP(A617,'Base Prueba'!A:C,3,),"NO REGISTRA")</f>
        <v>LAURA ANDREA MEZA MARTINEZ</v>
      </c>
      <c r="D617" s="4" t="str">
        <f>IFERROR(VLOOKUP(A617,'Base Prueba'!A:D,4,),"NO REGISTRA")</f>
        <v>DOCENTE DE MEDIO TIEMPO</v>
      </c>
      <c r="E617" s="5" t="str">
        <f>IFERROR(VLOOKUP(A617,'Base Prueba'!A:E,5,),"NO REGISTRA")</f>
        <v>TECNICO LABORAL AUXILIAR PRODUCCION GRAFICA</v>
      </c>
    </row>
    <row r="618" spans="1:5" ht="15.75" x14ac:dyDescent="0.25">
      <c r="A618" s="10">
        <v>1022378300</v>
      </c>
      <c r="B618" s="2">
        <v>46121.344674768516</v>
      </c>
      <c r="C618" s="3" t="str">
        <f>IFERROR(VLOOKUP(A618,'Base Prueba'!A:C,3,),"NO REGISTRA")</f>
        <v>FERNEY ANDRES CHASPUENGAL RAMIREZ</v>
      </c>
      <c r="D618" s="4" t="str">
        <f>IFERROR(VLOOKUP(A618,'Base Prueba'!A:D,4,),"NO REGISTRA")</f>
        <v>LÍDER DE DEPORTE Y CULTURA</v>
      </c>
      <c r="E618" s="5" t="str">
        <f>IFERROR(VLOOKUP(A618,'Base Prueba'!A:E,5,),"NO REGISTRA")</f>
        <v>DIRECCION DE BIENESTAR INSTITUCIONAL</v>
      </c>
    </row>
    <row r="619" spans="1:5" ht="15.75" x14ac:dyDescent="0.25">
      <c r="A619" s="10">
        <v>85437910</v>
      </c>
      <c r="B619" s="2">
        <v>46121.379386689812</v>
      </c>
      <c r="C619" s="3" t="str">
        <f>IFERROR(VLOOKUP(A619,'Base Prueba'!A:C,3,),"NO REGISTRA")</f>
        <v>EDGAR JOSE PISCIOTTI LEON</v>
      </c>
      <c r="D619" s="4" t="str">
        <f>IFERROR(VLOOKUP(A619,'Base Prueba'!A:D,4,),"NO REGISTRA")</f>
        <v>DOCENTE DE MEDIO TIEMPO</v>
      </c>
      <c r="E619" s="5" t="str">
        <f>IFERROR(VLOOKUP(A619,'Base Prueba'!A:E,5,),"NO REGISTRA")</f>
        <v>TECNOLOGIA EN COMERCIO Y NEGOCIOS INTERNACIONALES</v>
      </c>
    </row>
    <row r="620" spans="1:5" ht="15.75" x14ac:dyDescent="0.25">
      <c r="A620" s="10">
        <v>52850506</v>
      </c>
      <c r="B620" s="2">
        <v>46121.380496412035</v>
      </c>
      <c r="C620" s="3" t="str">
        <f>IFERROR(VLOOKUP(A620,'Base Prueba'!A:C,3,),"NO REGISTRA")</f>
        <v>PAOLA ANDREA VASQUEZ FONSECA</v>
      </c>
      <c r="D620" s="4" t="str">
        <f>IFERROR(VLOOKUP(A620,'Base Prueba'!A:D,4,),"NO REGISTRA")</f>
        <v>DOCENTE DE TIEMPO COMPLETO</v>
      </c>
      <c r="E620" s="5" t="str">
        <f>IFERROR(VLOOKUP(A620,'Base Prueba'!A:E,5,),"NO REGISTRA")</f>
        <v>UNIVERSITARIO COMUNICACION SOCIAL</v>
      </c>
    </row>
    <row r="621" spans="1:5" ht="15.75" x14ac:dyDescent="0.25">
      <c r="A621" s="10">
        <v>52049956</v>
      </c>
      <c r="B621" s="2">
        <v>46121.381899768516</v>
      </c>
      <c r="C621" s="3" t="str">
        <f>IFERROR(VLOOKUP(A621,'Base Prueba'!A:C,3,),"NO REGISTRA")</f>
        <v>ESPERANZA MORALES</v>
      </c>
      <c r="D621" s="4" t="str">
        <f>IFERROR(VLOOKUP(A621,'Base Prueba'!A:D,4,),"NO REGISTRA")</f>
        <v>DIRECTORA DE INFORMATICA Y TECNOLOGIA</v>
      </c>
      <c r="E621" s="5" t="str">
        <f>IFERROR(VLOOKUP(A621,'Base Prueba'!A:E,5,),"NO REGISTRA")</f>
        <v>DEPARTAMENTO DE INFORMATICA Y TECNOLOGIA</v>
      </c>
    </row>
    <row r="622" spans="1:5" ht="15.75" x14ac:dyDescent="0.25">
      <c r="A622" s="10">
        <v>1019125716</v>
      </c>
      <c r="B622" s="2">
        <v>46121.391010995372</v>
      </c>
      <c r="C622" s="3" t="str">
        <f>IFERROR(VLOOKUP(A622,'Base Prueba'!A:C,3,),"NO REGISTRA")</f>
        <v>GINA PAOLA ALZATE ARISTIZABAL</v>
      </c>
      <c r="D622" s="4" t="str">
        <f>IFERROR(VLOOKUP(A622,'Base Prueba'!A:D,4,),"NO REGISTRA")</f>
        <v>DOCENTE DE MEDIO TIEMPO</v>
      </c>
      <c r="E622" s="5" t="str">
        <f>IFERROR(VLOOKUP(A622,'Base Prueba'!A:E,5,),"NO REGISTRA")</f>
        <v>UNIDAD DE IDIOMAS</v>
      </c>
    </row>
    <row r="623" spans="1:5" ht="15.75" x14ac:dyDescent="0.25">
      <c r="A623" s="10">
        <v>79433573</v>
      </c>
      <c r="B623" s="2">
        <v>46121.392950347225</v>
      </c>
      <c r="C623" s="3" t="str">
        <f>IFERROR(VLOOKUP(A623,'Base Prueba'!A:C,3,),"NO REGISTRA")</f>
        <v>NELSON GUILLERMO GARCIA GAITAN</v>
      </c>
      <c r="D623" s="4" t="str">
        <f>IFERROR(VLOOKUP(A623,'Base Prueba'!A:D,4,),"NO REGISTRA")</f>
        <v>DOCENTE DE TIEMPO COMPLETO</v>
      </c>
      <c r="E623" s="5" t="str">
        <f>IFERROR(VLOOKUP(A623,'Base Prueba'!A:E,5,),"NO REGISTRA")</f>
        <v>UNIVERSITARIO COMUNICACION SOCIAL</v>
      </c>
    </row>
    <row r="624" spans="1:5" ht="15.75" x14ac:dyDescent="0.25">
      <c r="A624" s="10">
        <v>1023898029</v>
      </c>
      <c r="B624" s="2">
        <v>46121.410613425927</v>
      </c>
      <c r="C624" s="3" t="str">
        <f>IFERROR(VLOOKUP(A624,'Base Prueba'!A:C,3,),"NO REGISTRA")</f>
        <v>EMANUEL ENCISO CAMACHO</v>
      </c>
      <c r="D624" s="4" t="str">
        <f>IFERROR(VLOOKUP(A624,'Base Prueba'!A:D,4,),"NO REGISTRA")</f>
        <v>DECANO</v>
      </c>
      <c r="E624" s="5" t="str">
        <f>IFERROR(VLOOKUP(A624,'Base Prueba'!A:E,5,),"NO REGISTRA")</f>
        <v>FACULTAD DE COMINICACIÓN PERIODISMO Y ARTES</v>
      </c>
    </row>
    <row r="625" spans="1:5" ht="15.75" x14ac:dyDescent="0.25">
      <c r="A625" s="10">
        <v>52782050</v>
      </c>
      <c r="B625" s="2">
        <v>46121.47148472222</v>
      </c>
      <c r="C625" s="3" t="str">
        <f>IFERROR(VLOOKUP(A625,'Base Prueba'!A:C,3,),"NO REGISTRA")</f>
        <v>MELISSA AVENDAÑO TOCANCHON</v>
      </c>
      <c r="D625" s="4" t="str">
        <f>IFERROR(VLOOKUP(A625,'Base Prueba'!A:D,4,),"NO REGISTRA")</f>
        <v>DOCENTE DE MEDIO TIEMPO</v>
      </c>
      <c r="E625" s="5" t="str">
        <f>IFERROR(VLOOKUP(A625,'Base Prueba'!A:E,5,),"NO REGISTRA")</f>
        <v>NARRATIVAS DIGITALES Y AUDIOVISUALES</v>
      </c>
    </row>
    <row r="626" spans="1:5" ht="15.75" x14ac:dyDescent="0.25">
      <c r="A626" s="10">
        <v>1073150473</v>
      </c>
      <c r="B626" s="2">
        <v>46121.477190625003</v>
      </c>
      <c r="C626" s="3" t="str">
        <f>IFERROR(VLOOKUP(A626,'Base Prueba'!A:C,3,),"NO REGISTRA")</f>
        <v>DIANA STELLA MELGAREJO MUÑOZ</v>
      </c>
      <c r="D626" s="4" t="str">
        <f>IFERROR(VLOOKUP(A626,'Base Prueba'!A:D,4,),"NO REGISTRA")</f>
        <v>DOCENTE DE MEDIO TIEMPO</v>
      </c>
      <c r="E626" s="5" t="str">
        <f>IFERROR(VLOOKUP(A626,'Base Prueba'!A:E,5,),"NO REGISTRA")</f>
        <v>TECNICA EN FOTOGRAFIA</v>
      </c>
    </row>
    <row r="627" spans="1:5" ht="15.75" x14ac:dyDescent="0.25">
      <c r="A627" s="10">
        <v>1014200970</v>
      </c>
      <c r="B627" s="2">
        <v>46121.492105555553</v>
      </c>
      <c r="C627" s="3" t="str">
        <f>IFERROR(VLOOKUP(A627,'Base Prueba'!A:C,3,),"NO REGISTRA")</f>
        <v>MARILYN GAITAN HERRERA</v>
      </c>
      <c r="D627" s="4" t="str">
        <f>IFERROR(VLOOKUP(A627,'Base Prueba'!A:D,4,),"NO REGISTRA")</f>
        <v>DOCENTE DE MEDIO TIEMPO</v>
      </c>
      <c r="E627" s="5" t="str">
        <f>IFERROR(VLOOKUP(A627,'Base Prueba'!A:E,5,),"NO REGISTRA")</f>
        <v>UNIDAD DE IDIOMAS</v>
      </c>
    </row>
    <row r="628" spans="1:5" ht="15.75" x14ac:dyDescent="0.25">
      <c r="A628" s="10">
        <v>1019125716</v>
      </c>
      <c r="B628" s="2">
        <v>46121.521599537038</v>
      </c>
      <c r="C628" s="3" t="str">
        <f>IFERROR(VLOOKUP(A628,'Base Prueba'!A:C,3,),"NO REGISTRA")</f>
        <v>GINA PAOLA ALZATE ARISTIZABAL</v>
      </c>
      <c r="D628" s="4" t="str">
        <f>IFERROR(VLOOKUP(A628,'Base Prueba'!A:D,4,),"NO REGISTRA")</f>
        <v>DOCENTE DE MEDIO TIEMPO</v>
      </c>
      <c r="E628" s="5" t="str">
        <f>IFERROR(VLOOKUP(A628,'Base Prueba'!A:E,5,),"NO REGISTRA")</f>
        <v>UNIDAD DE IDIOMAS</v>
      </c>
    </row>
    <row r="629" spans="1:5" ht="15.75" x14ac:dyDescent="0.25">
      <c r="A629" s="10">
        <v>1033724599</v>
      </c>
      <c r="B629" s="2">
        <v>46121.538080671293</v>
      </c>
      <c r="C629" s="3" t="str">
        <f>IFERROR(VLOOKUP(A629,'Base Prueba'!A:C,3,),"NO REGISTRA")</f>
        <v>LUZ MARIA RAMIREZ RODRIGUEZ</v>
      </c>
      <c r="D629" s="4" t="str">
        <f>IFERROR(VLOOKUP(A629,'Base Prueba'!A:D,4,),"NO REGISTRA")</f>
        <v>AUXILIAR DE SERVICIOS</v>
      </c>
      <c r="E629" s="5" t="str">
        <f>IFERROR(VLOOKUP(A629,'Base Prueba'!A:E,5,),"NO REGISTRA")</f>
        <v>LOGISTICA Y SERVICIOS GENERALES</v>
      </c>
    </row>
    <row r="630" spans="1:5" ht="15.75" x14ac:dyDescent="0.25">
      <c r="A630" s="10">
        <v>79313678</v>
      </c>
      <c r="B630" s="2">
        <v>46121.59727604167</v>
      </c>
      <c r="C630" s="3" t="str">
        <f>IFERROR(VLOOKUP(A630,'Base Prueba'!A:C,3,),"NO REGISTRA")</f>
        <v>MARCO VINICIO RAMIREZ PEREIRA</v>
      </c>
      <c r="D630" s="4" t="str">
        <f>IFERROR(VLOOKUP(A630,'Base Prueba'!A:D,4,),"NO REGISTRA")</f>
        <v>TECNICO EN MANTENIMIENTO DE RECURSOS ACADEMICOS</v>
      </c>
      <c r="E630" s="5" t="str">
        <f>IFERROR(VLOOKUP(A630,'Base Prueba'!A:E,5,),"NO REGISTRA")</f>
        <v>RECURSOS ACADEMICOS</v>
      </c>
    </row>
    <row r="631" spans="1:5" ht="15.75" x14ac:dyDescent="0.25">
      <c r="A631" s="10">
        <v>91283826</v>
      </c>
      <c r="B631" s="2">
        <v>46121.656788657405</v>
      </c>
      <c r="C631" s="3" t="str">
        <f>IFERROR(VLOOKUP(A631,'Base Prueba'!A:C,3,),"NO REGISTRA")</f>
        <v>CARLOS ALBERTO ESPINOSA HERRERA</v>
      </c>
      <c r="D631" s="4" t="str">
        <f>IFERROR(VLOOKUP(A631,'Base Prueba'!A:D,4,),"NO REGISTRA")</f>
        <v>DOCENTE DE MEDIO TIEMPO</v>
      </c>
      <c r="E631" s="5" t="str">
        <f>IFERROR(VLOOKUP(A631,'Base Prueba'!A:E,5,),"NO REGISTRA")</f>
        <v>TECNOLOGÍA EN PRODUCCIÓN DE CONTENIDOS PERIODÍSTICOS</v>
      </c>
    </row>
    <row r="632" spans="1:5" ht="15.75" x14ac:dyDescent="0.25">
      <c r="A632" s="10">
        <v>91283826</v>
      </c>
      <c r="B632" s="2">
        <v>46121.65681782407</v>
      </c>
      <c r="C632" s="3" t="str">
        <f>IFERROR(VLOOKUP(A632,'Base Prueba'!A:C,3,),"NO REGISTRA")</f>
        <v>CARLOS ALBERTO ESPINOSA HERRERA</v>
      </c>
      <c r="D632" s="4" t="str">
        <f>IFERROR(VLOOKUP(A632,'Base Prueba'!A:D,4,),"NO REGISTRA")</f>
        <v>DOCENTE DE MEDIO TIEMPO</v>
      </c>
      <c r="E632" s="5" t="str">
        <f>IFERROR(VLOOKUP(A632,'Base Prueba'!A:E,5,),"NO REGISTRA")</f>
        <v>TECNOLOGÍA EN PRODUCCIÓN DE CONTENIDOS PERIODÍSTICOS</v>
      </c>
    </row>
    <row r="633" spans="1:5" ht="15.75" x14ac:dyDescent="0.25">
      <c r="A633" s="10">
        <v>248294</v>
      </c>
      <c r="B633" s="2">
        <v>46121.691231018522</v>
      </c>
      <c r="C633" s="3" t="str">
        <f>IFERROR(VLOOKUP(A633,'Base Prueba'!A:C,3,),"NO REGISTRA")</f>
        <v>WALTER NATALIO VALDEZ MONTAÑEZ</v>
      </c>
      <c r="D633" s="4" t="str">
        <f>IFERROR(VLOOKUP(A633,'Base Prueba'!A:D,4,),"NO REGISTRA")</f>
        <v>DOCENTE DE TIEMPO COMPLETO</v>
      </c>
      <c r="E633" s="5" t="str">
        <f>IFERROR(VLOOKUP(A633,'Base Prueba'!A:E,5,),"NO REGISTRA")</f>
        <v>UNIVERSITARIO EN TURISMO Y GASTRONOMIA</v>
      </c>
    </row>
    <row r="634" spans="1:5" ht="15.75" x14ac:dyDescent="0.25">
      <c r="A634" s="10">
        <v>52782050</v>
      </c>
      <c r="B634" s="2">
        <v>46121.739782060184</v>
      </c>
      <c r="C634" s="3" t="str">
        <f>IFERROR(VLOOKUP(A634,'Base Prueba'!A:C,3,),"NO REGISTRA")</f>
        <v>MELISSA AVENDAÑO TOCANCHON</v>
      </c>
      <c r="D634" s="4" t="str">
        <f>IFERROR(VLOOKUP(A634,'Base Prueba'!A:D,4,),"NO REGISTRA")</f>
        <v>DOCENTE DE MEDIO TIEMPO</v>
      </c>
      <c r="E634" s="5" t="str">
        <f>IFERROR(VLOOKUP(A634,'Base Prueba'!A:E,5,),"NO REGISTRA")</f>
        <v>NARRATIVAS DIGITALES Y AUDIOVISUALES</v>
      </c>
    </row>
    <row r="635" spans="1:5" ht="15.75" x14ac:dyDescent="0.25">
      <c r="A635" s="10">
        <v>1022346044</v>
      </c>
      <c r="B635" s="2">
        <v>46121.744285300927</v>
      </c>
      <c r="C635" s="3" t="str">
        <f>IFERROR(VLOOKUP(A635,'Base Prueba'!A:C,3,),"NO REGISTRA")</f>
        <v>LUZ ALEJANDRA CASTILLO RODRIGUEZ</v>
      </c>
      <c r="D635" s="4" t="str">
        <f>IFERROR(VLOOKUP(A635,'Base Prueba'!A:D,4,),"NO REGISTRA")</f>
        <v>DOCENTE DE MEDIO TIEMPO</v>
      </c>
      <c r="E635" s="5" t="str">
        <f>IFERROR(VLOOKUP(A635,'Base Prueba'!A:E,5,),"NO REGISTRA")</f>
        <v>UNIVERSITARIO EN SEGURIDAD Y SALUD EN EL TRABAJO</v>
      </c>
    </row>
    <row r="636" spans="1:5" ht="15.75" x14ac:dyDescent="0.25">
      <c r="A636" s="10">
        <v>1110476907</v>
      </c>
      <c r="B636" s="2">
        <v>46121.756045949071</v>
      </c>
      <c r="C636" s="3" t="str">
        <f>IFERROR(VLOOKUP(A636,'Base Prueba'!A:C,3,),"NO REGISTRA")</f>
        <v>DIEGO ARMANDO MOTTA DIAZ</v>
      </c>
      <c r="D636" s="4" t="str">
        <f>IFERROR(VLOOKUP(A636,'Base Prueba'!A:D,4,),"NO REGISTRA")</f>
        <v>DOCENTE DE TIEMPO COMPLETO</v>
      </c>
      <c r="E636" s="5" t="str">
        <f>IFERROR(VLOOKUP(A636,'Base Prueba'!A:E,5,),"NO REGISTRA")</f>
        <v>UNIVERSITARIO EN SEGURIDAD Y SALUD EN EL TRABAJO</v>
      </c>
    </row>
    <row r="637" spans="1:5" ht="15.75" x14ac:dyDescent="0.25">
      <c r="A637" s="10">
        <v>79433573</v>
      </c>
      <c r="B637" s="2">
        <v>46121.75712962963</v>
      </c>
      <c r="C637" s="3" t="str">
        <f>IFERROR(VLOOKUP(A637,'Base Prueba'!A:C,3,),"NO REGISTRA")</f>
        <v>NELSON GUILLERMO GARCIA GAITAN</v>
      </c>
      <c r="D637" s="4" t="str">
        <f>IFERROR(VLOOKUP(A637,'Base Prueba'!A:D,4,),"NO REGISTRA")</f>
        <v>DOCENTE DE TIEMPO COMPLETO</v>
      </c>
      <c r="E637" s="5" t="str">
        <f>IFERROR(VLOOKUP(A637,'Base Prueba'!A:E,5,),"NO REGISTRA")</f>
        <v>UNIVERSITARIO COMUNICACION SOCIAL</v>
      </c>
    </row>
    <row r="638" spans="1:5" ht="15.75" x14ac:dyDescent="0.25">
      <c r="A638" s="10">
        <v>11388623</v>
      </c>
      <c r="B638" s="2">
        <v>46121.759741550923</v>
      </c>
      <c r="C638" s="3" t="str">
        <f>IFERROR(VLOOKUP(A638,'Base Prueba'!A:C,3,),"NO REGISTRA")</f>
        <v>DIEGO MAURICIO PADILLA DIAZ</v>
      </c>
      <c r="D638" s="4" t="str">
        <f>IFERROR(VLOOKUP(A638,'Base Prueba'!A:D,4,),"NO REGISTRA")</f>
        <v>DOCENTE DE MEDIO TIEMPO</v>
      </c>
      <c r="E638" s="5" t="str">
        <f>IFERROR(VLOOKUP(A638,'Base Prueba'!A:E,5,),"NO REGISTRA")</f>
        <v>UNIVERSITARIO ADMINISTRACION DE EMPRESAS</v>
      </c>
    </row>
    <row r="639" spans="1:5" ht="15.75" x14ac:dyDescent="0.25">
      <c r="A639" s="10">
        <v>1148454724</v>
      </c>
      <c r="B639" s="2">
        <v>46121.765675578703</v>
      </c>
      <c r="C639" s="3" t="str">
        <f>IFERROR(VLOOKUP(A639,'Base Prueba'!A:C,3,),"NO REGISTRA")</f>
        <v>JOSE ALFREDO PARADA PUENTES</v>
      </c>
      <c r="D639" s="4" t="str">
        <f>IFERROR(VLOOKUP(A639,'Base Prueba'!A:D,4,),"NO REGISTRA")</f>
        <v>DOCENTE DE MEDIO TIEMPO</v>
      </c>
      <c r="E639" s="5" t="str">
        <f>IFERROR(VLOOKUP(A639,'Base Prueba'!A:E,5,),"NO REGISTRA")</f>
        <v>UNIVERSITARIO ADMINISTRACION DE EMPRESAS</v>
      </c>
    </row>
    <row r="640" spans="1:5" ht="15.75" x14ac:dyDescent="0.25">
      <c r="A640" s="10">
        <v>79452150</v>
      </c>
      <c r="B640" s="2">
        <v>46121.807328587965</v>
      </c>
      <c r="C640" s="3" t="str">
        <f>IFERROR(VLOOKUP(A640,'Base Prueba'!A:C,3,),"NO REGISTRA")</f>
        <v>JUAN CARLOS PAZ CUBILLOS</v>
      </c>
      <c r="D640" s="4" t="str">
        <f>IFERROR(VLOOKUP(A640,'Base Prueba'!A:D,4,),"NO REGISTRA")</f>
        <v>ANALISTA DE SISTEMAS</v>
      </c>
      <c r="E640" s="5" t="str">
        <f>IFERROR(VLOOKUP(A640,'Base Prueba'!A:E,5,),"NO REGISTRA")</f>
        <v>DEPARTAMENTO DE INFORMATICA Y TECNOLOGIA</v>
      </c>
    </row>
    <row r="641" spans="1:5" ht="15.75" x14ac:dyDescent="0.25">
      <c r="A641" s="10">
        <v>52850506</v>
      </c>
      <c r="B641" s="2">
        <v>46121.820442824072</v>
      </c>
      <c r="C641" s="3" t="str">
        <f>IFERROR(VLOOKUP(A641,'Base Prueba'!A:C,3,),"NO REGISTRA")</f>
        <v>PAOLA ANDREA VASQUEZ FONSECA</v>
      </c>
      <c r="D641" s="4" t="str">
        <f>IFERROR(VLOOKUP(A641,'Base Prueba'!A:D,4,),"NO REGISTRA")</f>
        <v>DOCENTE DE TIEMPO COMPLETO</v>
      </c>
      <c r="E641" s="5" t="str">
        <f>IFERROR(VLOOKUP(A641,'Base Prueba'!A:E,5,),"NO REGISTRA")</f>
        <v>UNIVERSITARIO COMUNICACION SOCIAL</v>
      </c>
    </row>
    <row r="642" spans="1:5" ht="15.75" x14ac:dyDescent="0.25">
      <c r="A642" s="10">
        <v>52049956</v>
      </c>
      <c r="B642" s="2">
        <v>46121.82410208333</v>
      </c>
      <c r="C642" s="3" t="str">
        <f>IFERROR(VLOOKUP(A642,'Base Prueba'!A:C,3,),"NO REGISTRA")</f>
        <v>ESPERANZA MORALES</v>
      </c>
      <c r="D642" s="4" t="str">
        <f>IFERROR(VLOOKUP(A642,'Base Prueba'!A:D,4,),"NO REGISTRA")</f>
        <v>DIRECTORA DE INFORMATICA Y TECNOLOGIA</v>
      </c>
      <c r="E642" s="5" t="str">
        <f>IFERROR(VLOOKUP(A642,'Base Prueba'!A:E,5,),"NO REGISTRA")</f>
        <v>DEPARTAMENTO DE INFORMATICA Y TECNOLOGIA</v>
      </c>
    </row>
    <row r="643" spans="1:5" ht="15.75" x14ac:dyDescent="0.25">
      <c r="A643" s="10">
        <v>52782050</v>
      </c>
      <c r="B643" s="2">
        <v>46121.840723726855</v>
      </c>
      <c r="C643" s="3" t="str">
        <f>IFERROR(VLOOKUP(A643,'Base Prueba'!A:C,3,),"NO REGISTRA")</f>
        <v>MELISSA AVENDAÑO TOCANCHON</v>
      </c>
      <c r="D643" s="4" t="str">
        <f>IFERROR(VLOOKUP(A643,'Base Prueba'!A:D,4,),"NO REGISTRA")</f>
        <v>DOCENTE DE MEDIO TIEMPO</v>
      </c>
      <c r="E643" s="5" t="str">
        <f>IFERROR(VLOOKUP(A643,'Base Prueba'!A:E,5,),"NO REGISTRA")</f>
        <v>NARRATIVAS DIGITALES Y AUDIOVISUALES</v>
      </c>
    </row>
    <row r="644" spans="1:5" ht="15.75" x14ac:dyDescent="0.25">
      <c r="A644" s="10">
        <v>79433573</v>
      </c>
      <c r="B644" s="2">
        <v>46121.856189583334</v>
      </c>
      <c r="C644" s="3" t="str">
        <f>IFERROR(VLOOKUP(A644,'Base Prueba'!A:C,3,),"NO REGISTRA")</f>
        <v>NELSON GUILLERMO GARCIA GAITAN</v>
      </c>
      <c r="D644" s="4" t="str">
        <f>IFERROR(VLOOKUP(A644,'Base Prueba'!A:D,4,),"NO REGISTRA")</f>
        <v>DOCENTE DE TIEMPO COMPLETO</v>
      </c>
      <c r="E644" s="5" t="str">
        <f>IFERROR(VLOOKUP(A644,'Base Prueba'!A:E,5,),"NO REGISTRA")</f>
        <v>UNIVERSITARIO COMUNICACION SOCIAL</v>
      </c>
    </row>
    <row r="645" spans="1:5" ht="15.75" x14ac:dyDescent="0.25">
      <c r="A645" s="10">
        <v>80472319</v>
      </c>
      <c r="B645" s="2">
        <v>46121.879277083332</v>
      </c>
      <c r="C645" s="3" t="str">
        <f>IFERROR(VLOOKUP(A645,'Base Prueba'!A:C,3,),"NO REGISTRA")</f>
        <v>FRANCISCO JAVIER MONTENEGRO AGUILAR</v>
      </c>
      <c r="D645" s="4" t="str">
        <f>IFERROR(VLOOKUP(A645,'Base Prueba'!A:D,4,),"NO REGISTRA")</f>
        <v>DOCENTE DE MEDIO TIEMPO</v>
      </c>
      <c r="E645" s="5" t="str">
        <f>IFERROR(VLOOKUP(A645,'Base Prueba'!A:E,5,),"NO REGISTRA")</f>
        <v>TECNOLOGIA EN COMERCIO Y NEGOCIOS INTERNACIONALES</v>
      </c>
    </row>
    <row r="646" spans="1:5" ht="15.75" x14ac:dyDescent="0.25">
      <c r="A646" s="10">
        <v>1032457498</v>
      </c>
      <c r="B646" s="2">
        <v>46121.894083101855</v>
      </c>
      <c r="C646" s="3" t="str">
        <f>IFERROR(VLOOKUP(A646,'Base Prueba'!A:C,3,),"NO REGISTRA")</f>
        <v>LOTUS KING SALCEDO VALLEJO</v>
      </c>
      <c r="D646" s="4" t="str">
        <f>IFERROR(VLOOKUP(A646,'Base Prueba'!A:D,4,),"NO REGISTRA")</f>
        <v>COORDINADOR DE INVESTIGACIÓN</v>
      </c>
      <c r="E646" s="5" t="str">
        <f>IFERROR(VLOOKUP(A646,'Base Prueba'!A:E,5,),"NO REGISTRA")</f>
        <v>VICERRECTORIA ACADEMICA</v>
      </c>
    </row>
    <row r="647" spans="1:5" ht="15.75" x14ac:dyDescent="0.25">
      <c r="A647" s="10">
        <v>80778198</v>
      </c>
      <c r="B647" s="2">
        <v>46122.295163773146</v>
      </c>
      <c r="C647" s="3" t="str">
        <f>IFERROR(VLOOKUP(A647,'Base Prueba'!A:C,3,),"NO REGISTRA")</f>
        <v>JIMY JAVIER ALDANA REYES</v>
      </c>
      <c r="D647" s="4" t="str">
        <f>IFERROR(VLOOKUP(A647,'Base Prueba'!A:D,4,),"NO REGISTRA")</f>
        <v>DOCENTE DE TIEMPO COMPLETO</v>
      </c>
      <c r="E647" s="5" t="str">
        <f>IFERROR(VLOOKUP(A647,'Base Prueba'!A:E,5,),"NO REGISTRA")</f>
        <v>INGENIERIA DE SOFTWARE</v>
      </c>
    </row>
    <row r="648" spans="1:5" ht="15.75" x14ac:dyDescent="0.25">
      <c r="A648" s="10">
        <v>1022378300</v>
      </c>
      <c r="B648" s="2">
        <v>46122.342865972219</v>
      </c>
      <c r="C648" s="3" t="str">
        <f>IFERROR(VLOOKUP(A648,'Base Prueba'!A:C,3,),"NO REGISTRA")</f>
        <v>FERNEY ANDRES CHASPUENGAL RAMIREZ</v>
      </c>
      <c r="D648" s="4" t="str">
        <f>IFERROR(VLOOKUP(A648,'Base Prueba'!A:D,4,),"NO REGISTRA")</f>
        <v>LÍDER DE DEPORTE Y CULTURA</v>
      </c>
      <c r="E648" s="5" t="str">
        <f>IFERROR(VLOOKUP(A648,'Base Prueba'!A:E,5,),"NO REGISTRA")</f>
        <v>DIRECCION DE BIENESTAR INSTITUCIONAL</v>
      </c>
    </row>
    <row r="649" spans="1:5" ht="15.75" x14ac:dyDescent="0.25">
      <c r="A649" s="10">
        <v>19461924</v>
      </c>
      <c r="B649" s="2">
        <v>46122.345126157408</v>
      </c>
      <c r="C649" s="3" t="str">
        <f>IFERROR(VLOOKUP(A649,'Base Prueba'!A:C,3,),"NO REGISTRA")</f>
        <v>ORLANDO ALBERTO ORTIZ SANCHEZ</v>
      </c>
      <c r="D649" s="4" t="str">
        <f>IFERROR(VLOOKUP(A649,'Base Prueba'!A:D,4,),"NO REGISTRA")</f>
        <v>DOCENTE DE TIEMPO COMPLETO</v>
      </c>
      <c r="E649" s="5" t="str">
        <f>IFERROR(VLOOKUP(A649,'Base Prueba'!A:E,5,),"NO REGISTRA")</f>
        <v>AREA DE CIENCIAS BASICAS</v>
      </c>
    </row>
    <row r="650" spans="1:5" ht="15.75" x14ac:dyDescent="0.25">
      <c r="A650" s="10">
        <v>1032487526</v>
      </c>
      <c r="B650" s="2">
        <v>46122.346926736114</v>
      </c>
      <c r="C650" s="3" t="str">
        <f>IFERROR(VLOOKUP(A650,'Base Prueba'!A:C,3,),"NO REGISTRA")</f>
        <v>LAURA ANDREA MEZA MARTINEZ</v>
      </c>
      <c r="D650" s="4" t="str">
        <f>IFERROR(VLOOKUP(A650,'Base Prueba'!A:D,4,),"NO REGISTRA")</f>
        <v>DOCENTE DE MEDIO TIEMPO</v>
      </c>
      <c r="E650" s="5" t="str">
        <f>IFERROR(VLOOKUP(A650,'Base Prueba'!A:E,5,),"NO REGISTRA")</f>
        <v>TECNICO LABORAL AUXILIAR PRODUCCION GRAFICA</v>
      </c>
    </row>
    <row r="651" spans="1:5" ht="15.75" x14ac:dyDescent="0.25">
      <c r="A651" s="10">
        <v>248294</v>
      </c>
      <c r="B651" s="2">
        <v>46122.353518865741</v>
      </c>
      <c r="C651" s="3" t="str">
        <f>IFERROR(VLOOKUP(A651,'Base Prueba'!A:C,3,),"NO REGISTRA")</f>
        <v>WALTER NATALIO VALDEZ MONTAÑEZ</v>
      </c>
      <c r="D651" s="4" t="str">
        <f>IFERROR(VLOOKUP(A651,'Base Prueba'!A:D,4,),"NO REGISTRA")</f>
        <v>DOCENTE DE TIEMPO COMPLETO</v>
      </c>
      <c r="E651" s="5" t="str">
        <f>IFERROR(VLOOKUP(A651,'Base Prueba'!A:E,5,),"NO REGISTRA")</f>
        <v>UNIVERSITARIO EN TURISMO Y GASTRONOMIA</v>
      </c>
    </row>
    <row r="652" spans="1:5" ht="15.75" x14ac:dyDescent="0.25">
      <c r="A652" s="10">
        <v>52049956</v>
      </c>
      <c r="B652" s="2">
        <v>46122.36109189815</v>
      </c>
      <c r="C652" s="3" t="str">
        <f>IFERROR(VLOOKUP(A652,'Base Prueba'!A:C,3,),"NO REGISTRA")</f>
        <v>ESPERANZA MORALES</v>
      </c>
      <c r="D652" s="4" t="str">
        <f>IFERROR(VLOOKUP(A652,'Base Prueba'!A:D,4,),"NO REGISTRA")</f>
        <v>DIRECTORA DE INFORMATICA Y TECNOLOGIA</v>
      </c>
      <c r="E652" s="5" t="str">
        <f>IFERROR(VLOOKUP(A652,'Base Prueba'!A:E,5,),"NO REGISTRA")</f>
        <v>DEPARTAMENTO DE INFORMATICA Y TECNOLOGIA</v>
      </c>
    </row>
    <row r="653" spans="1:5" ht="15.75" x14ac:dyDescent="0.25">
      <c r="A653" s="10">
        <v>85437910</v>
      </c>
      <c r="B653" s="2">
        <v>46122.363626041668</v>
      </c>
      <c r="C653" s="3" t="str">
        <f>IFERROR(VLOOKUP(A653,'Base Prueba'!A:C,3,),"NO REGISTRA")</f>
        <v>EDGAR JOSE PISCIOTTI LEON</v>
      </c>
      <c r="D653" s="4" t="str">
        <f>IFERROR(VLOOKUP(A653,'Base Prueba'!A:D,4,),"NO REGISTRA")</f>
        <v>DOCENTE DE MEDIO TIEMPO</v>
      </c>
      <c r="E653" s="5" t="str">
        <f>IFERROR(VLOOKUP(A653,'Base Prueba'!A:E,5,),"NO REGISTRA")</f>
        <v>TECNOLOGIA EN COMERCIO Y NEGOCIOS INTERNACIONALES</v>
      </c>
    </row>
    <row r="654" spans="1:5" ht="15.75" x14ac:dyDescent="0.25">
      <c r="A654" s="10">
        <v>79713882</v>
      </c>
      <c r="B654" s="2">
        <v>46122.369261342596</v>
      </c>
      <c r="C654" s="3" t="str">
        <f>IFERROR(VLOOKUP(A654,'Base Prueba'!A:C,3,),"NO REGISTRA")</f>
        <v>FREDY ANGEL DAVILA CUBIDES</v>
      </c>
      <c r="D654" s="4" t="str">
        <f>IFERROR(VLOOKUP(A654,'Base Prueba'!A:D,4,),"NO REGISTRA")</f>
        <v>DECANO</v>
      </c>
      <c r="E654" s="5" t="str">
        <f>IFERROR(VLOOKUP(A654,'Base Prueba'!A:E,5,),"NO REGISTRA")</f>
        <v>ESCUELA DE INGENIERÍA Y TECNOLOGÍAS DE LA INFORMACIÓN</v>
      </c>
    </row>
    <row r="655" spans="1:5" ht="15.75" x14ac:dyDescent="0.25">
      <c r="A655" s="10">
        <v>248294</v>
      </c>
      <c r="B655" s="2">
        <v>46122.686852199076</v>
      </c>
      <c r="C655" s="3" t="str">
        <f>IFERROR(VLOOKUP(A655,'Base Prueba'!A:C,3,),"NO REGISTRA")</f>
        <v>WALTER NATALIO VALDEZ MONTAÑEZ</v>
      </c>
      <c r="D655" s="4" t="str">
        <f>IFERROR(VLOOKUP(A655,'Base Prueba'!A:D,4,),"NO REGISTRA")</f>
        <v>DOCENTE DE TIEMPO COMPLETO</v>
      </c>
      <c r="E655" s="5" t="str">
        <f>IFERROR(VLOOKUP(A655,'Base Prueba'!A:E,5,),"NO REGISTRA")</f>
        <v>UNIVERSITARIO EN TURISMO Y GASTRONOMIA</v>
      </c>
    </row>
    <row r="656" spans="1:5" ht="15.75" x14ac:dyDescent="0.25">
      <c r="A656" s="10">
        <v>1032457498</v>
      </c>
      <c r="B656" s="2">
        <v>46122.742256712962</v>
      </c>
      <c r="C656" s="3" t="str">
        <f>IFERROR(VLOOKUP(A656,'Base Prueba'!A:C,3,),"NO REGISTRA")</f>
        <v>LOTUS KING SALCEDO VALLEJO</v>
      </c>
      <c r="D656" s="4" t="str">
        <f>IFERROR(VLOOKUP(A656,'Base Prueba'!A:D,4,),"NO REGISTRA")</f>
        <v>COORDINADOR DE INVESTIGACIÓN</v>
      </c>
      <c r="E656" s="5" t="str">
        <f>IFERROR(VLOOKUP(A656,'Base Prueba'!A:E,5,),"NO REGISTRA")</f>
        <v>VICERRECTORIA ACADEMICA</v>
      </c>
    </row>
    <row r="657" spans="1:5" ht="15.75" x14ac:dyDescent="0.25">
      <c r="A657" s="10">
        <v>1032457498</v>
      </c>
      <c r="B657" s="2">
        <v>46122.742260763887</v>
      </c>
      <c r="C657" s="3" t="str">
        <f>IFERROR(VLOOKUP(A657,'Base Prueba'!A:C,3,),"NO REGISTRA")</f>
        <v>LOTUS KING SALCEDO VALLEJO</v>
      </c>
      <c r="D657" s="4" t="str">
        <f>IFERROR(VLOOKUP(A657,'Base Prueba'!A:D,4,),"NO REGISTRA")</f>
        <v>COORDINADOR DE INVESTIGACIÓN</v>
      </c>
      <c r="E657" s="5" t="str">
        <f>IFERROR(VLOOKUP(A657,'Base Prueba'!A:E,5,),"NO REGISTRA")</f>
        <v>VICERRECTORIA ACADEMICA</v>
      </c>
    </row>
    <row r="658" spans="1:5" ht="15.75" x14ac:dyDescent="0.25">
      <c r="A658" s="10">
        <v>80932179</v>
      </c>
      <c r="B658" s="2">
        <v>46122.744297453704</v>
      </c>
      <c r="C658" s="3" t="str">
        <f>IFERROR(VLOOKUP(A658,'Base Prueba'!A:C,3,),"NO REGISTRA")</f>
        <v>JULIAN ANDRES GOMEZ VARGAS</v>
      </c>
      <c r="D658" s="4" t="str">
        <f>IFERROR(VLOOKUP(A658,'Base Prueba'!A:D,4,),"NO REGISTRA")</f>
        <v>CATEDRATICO</v>
      </c>
      <c r="E658" s="5" t="str">
        <f>IFERROR(VLOOKUP(A658,'Base Prueba'!A:E,5,),"NO REGISTRA")</f>
        <v>ESPECIALIZACIÓN EN GERENCIA DE PROYECTOS</v>
      </c>
    </row>
    <row r="659" spans="1:5" ht="15.75" x14ac:dyDescent="0.25">
      <c r="A659" s="10">
        <v>79522309</v>
      </c>
      <c r="B659" s="2">
        <v>46122.752931828705</v>
      </c>
      <c r="C659" s="3" t="str">
        <f>IFERROR(VLOOKUP(A659,'Base Prueba'!A:C,3,),"NO REGISTRA")</f>
        <v>JULIAN ARTURO PUIN MANRIQUE</v>
      </c>
      <c r="D659" s="4" t="str">
        <f>IFERROR(VLOOKUP(A659,'Base Prueba'!A:D,4,),"NO REGISTRA")</f>
        <v>DOCENTE DE MEDIO TIEMPO</v>
      </c>
      <c r="E659" s="5" t="str">
        <f>IFERROR(VLOOKUP(A659,'Base Prueba'!A:E,5,),"NO REGISTRA")</f>
        <v>TECNOLOGIA EN SEGURIDAD Y SALUD EN EL TRABAJO</v>
      </c>
    </row>
    <row r="660" spans="1:5" ht="15.75" x14ac:dyDescent="0.25">
      <c r="A660" s="10">
        <v>80059783</v>
      </c>
      <c r="B660" s="2">
        <v>46122.753832523151</v>
      </c>
      <c r="C660" s="3" t="str">
        <f>IFERROR(VLOOKUP(A660,'Base Prueba'!A:C,3,),"NO REGISTRA")</f>
        <v>JAIRO FABIAN RIVERA RUBIANO</v>
      </c>
      <c r="D660" s="4" t="str">
        <f>IFERROR(VLOOKUP(A660,'Base Prueba'!A:D,4,),"NO REGISTRA")</f>
        <v>DOCENTE DE MEDIO TIEMPO</v>
      </c>
      <c r="E660" s="5" t="str">
        <f>IFERROR(VLOOKUP(A660,'Base Prueba'!A:E,5,),"NO REGISTRA")</f>
        <v>TECNOLOGIA EN ADMINISTRACION DEL TALENTO HUMANO</v>
      </c>
    </row>
    <row r="661" spans="1:5" ht="15.75" x14ac:dyDescent="0.25">
      <c r="A661" s="10">
        <v>79452150</v>
      </c>
      <c r="B661" s="2">
        <v>46122.810125115742</v>
      </c>
      <c r="C661" s="3" t="str">
        <f>IFERROR(VLOOKUP(A661,'Base Prueba'!A:C,3,),"NO REGISTRA")</f>
        <v>JUAN CARLOS PAZ CUBILLOS</v>
      </c>
      <c r="D661" s="4" t="str">
        <f>IFERROR(VLOOKUP(A661,'Base Prueba'!A:D,4,),"NO REGISTRA")</f>
        <v>ANALISTA DE SISTEMAS</v>
      </c>
      <c r="E661" s="5" t="str">
        <f>IFERROR(VLOOKUP(A661,'Base Prueba'!A:E,5,),"NO REGISTRA")</f>
        <v>DEPARTAMENTO DE INFORMATICA Y TECNOLOGIA</v>
      </c>
    </row>
    <row r="662" spans="1:5" ht="15.75" x14ac:dyDescent="0.25">
      <c r="A662" s="10">
        <v>52049956</v>
      </c>
      <c r="B662" s="2">
        <v>46122.814483449074</v>
      </c>
      <c r="C662" s="3" t="str">
        <f>IFERROR(VLOOKUP(A662,'Base Prueba'!A:C,3,),"NO REGISTRA")</f>
        <v>ESPERANZA MORALES</v>
      </c>
      <c r="D662" s="4" t="str">
        <f>IFERROR(VLOOKUP(A662,'Base Prueba'!A:D,4,),"NO REGISTRA")</f>
        <v>DIRECTORA DE INFORMATICA Y TECNOLOGIA</v>
      </c>
      <c r="E662" s="5" t="str">
        <f>IFERROR(VLOOKUP(A662,'Base Prueba'!A:E,5,),"NO REGISTRA")</f>
        <v>DEPARTAMENTO DE INFORMATICA Y TECNOLOGIA</v>
      </c>
    </row>
    <row r="663" spans="1:5" ht="15.75" x14ac:dyDescent="0.25">
      <c r="A663" s="10">
        <v>11388623</v>
      </c>
      <c r="B663" s="2">
        <v>46122.877689583336</v>
      </c>
      <c r="C663" s="3" t="str">
        <f>IFERROR(VLOOKUP(A663,'Base Prueba'!A:C,3,),"NO REGISTRA")</f>
        <v>DIEGO MAURICIO PADILLA DIAZ</v>
      </c>
      <c r="D663" s="4" t="str">
        <f>IFERROR(VLOOKUP(A663,'Base Prueba'!A:D,4,),"NO REGISTRA")</f>
        <v>DOCENTE DE MEDIO TIEMPO</v>
      </c>
      <c r="E663" s="5" t="str">
        <f>IFERROR(VLOOKUP(A663,'Base Prueba'!A:E,5,),"NO REGISTRA")</f>
        <v>UNIVERSITARIO ADMINISTRACION DE EMPRESAS</v>
      </c>
    </row>
    <row r="664" spans="1:5" ht="15.75" x14ac:dyDescent="0.25">
      <c r="A664" s="10">
        <v>79471517</v>
      </c>
      <c r="B664" s="2">
        <v>46122.894594444442</v>
      </c>
      <c r="C664" s="3" t="str">
        <f>IFERROR(VLOOKUP(A664,'Base Prueba'!A:C,3,),"NO REGISTRA")</f>
        <v>JOSE DAVID ALVAREZ PLATA</v>
      </c>
      <c r="D664" s="4" t="str">
        <f>IFERROR(VLOOKUP(A664,'Base Prueba'!A:D,4,),"NO REGISTRA")</f>
        <v>CATEDRATICO</v>
      </c>
      <c r="E664" s="5" t="str">
        <f>IFERROR(VLOOKUP(A664,'Base Prueba'!A:E,5,),"NO REGISTRA")</f>
        <v>ESPECIALIZACION EN GERENCIA DE PROYECTOS INFORMATICOS</v>
      </c>
    </row>
    <row r="665" spans="1:5" ht="15.75" x14ac:dyDescent="0.25">
      <c r="A665" s="10">
        <v>23810964</v>
      </c>
      <c r="B665" s="2">
        <v>46123.266894791668</v>
      </c>
      <c r="C665" s="3" t="str">
        <f>IFERROR(VLOOKUP(A665,'Base Prueba'!A:C,3,),"NO REGISTRA")</f>
        <v>JULY FERNANDA GOMEZ NIÑO</v>
      </c>
      <c r="D665" s="4" t="str">
        <f>IFERROR(VLOOKUP(A665,'Base Prueba'!A:D,4,),"NO REGISTRA")</f>
        <v>DOCENTE DE MEDIO TIEMPO</v>
      </c>
      <c r="E665" s="5" t="str">
        <f>IFERROR(VLOOKUP(A665,'Base Prueba'!A:E,5,),"NO REGISTRA")</f>
        <v>TECNOLOGIA EN ADMINISTRACION DEL TALENTO HUMANO</v>
      </c>
    </row>
    <row r="666" spans="1:5" ht="15.75" x14ac:dyDescent="0.25">
      <c r="A666" s="10">
        <v>80059783</v>
      </c>
      <c r="B666" s="2">
        <v>46123.284505787036</v>
      </c>
      <c r="C666" s="3" t="str">
        <f>IFERROR(VLOOKUP(A666,'Base Prueba'!A:C,3,),"NO REGISTRA")</f>
        <v>JAIRO FABIAN RIVERA RUBIANO</v>
      </c>
      <c r="D666" s="4" t="str">
        <f>IFERROR(VLOOKUP(A666,'Base Prueba'!A:D,4,),"NO REGISTRA")</f>
        <v>DOCENTE DE MEDIO TIEMPO</v>
      </c>
      <c r="E666" s="5" t="str">
        <f>IFERROR(VLOOKUP(A666,'Base Prueba'!A:E,5,),"NO REGISTRA")</f>
        <v>TECNOLOGIA EN ADMINISTRACION DEL TALENTO HUMANO</v>
      </c>
    </row>
    <row r="667" spans="1:5" ht="15.75" x14ac:dyDescent="0.25">
      <c r="A667" s="10">
        <v>80059783</v>
      </c>
      <c r="B667" s="2">
        <v>46123.284509375</v>
      </c>
      <c r="C667" s="3" t="str">
        <f>IFERROR(VLOOKUP(A667,'Base Prueba'!A:C,3,),"NO REGISTRA")</f>
        <v>JAIRO FABIAN RIVERA RUBIANO</v>
      </c>
      <c r="D667" s="4" t="str">
        <f>IFERROR(VLOOKUP(A667,'Base Prueba'!A:D,4,),"NO REGISTRA")</f>
        <v>DOCENTE DE MEDIO TIEMPO</v>
      </c>
      <c r="E667" s="5" t="str">
        <f>IFERROR(VLOOKUP(A667,'Base Prueba'!A:E,5,),"NO REGISTRA")</f>
        <v>TECNOLOGIA EN ADMINISTRACION DEL TALENTO HUMANO</v>
      </c>
    </row>
    <row r="668" spans="1:5" ht="15.75" x14ac:dyDescent="0.25">
      <c r="A668" s="10">
        <v>1010196931</v>
      </c>
      <c r="B668" s="2">
        <v>46123.28855902778</v>
      </c>
      <c r="C668" s="3" t="str">
        <f>IFERROR(VLOOKUP(A668,'Base Prueba'!A:C,3,),"NO REGISTRA")</f>
        <v>NO REGISTRA</v>
      </c>
      <c r="D668" s="4" t="str">
        <f>IFERROR(VLOOKUP(A668,'Base Prueba'!A:D,4,),"NO REGISTRA")</f>
        <v>NO REGISTRA</v>
      </c>
      <c r="E668" s="5" t="str">
        <f>IFERROR(VLOOKUP(A668,'Base Prueba'!A:E,5,),"NO REGISTRA")</f>
        <v>NO REGISTRA</v>
      </c>
    </row>
    <row r="669" spans="1:5" ht="15.75" x14ac:dyDescent="0.25">
      <c r="A669" s="10">
        <v>1010196931</v>
      </c>
      <c r="B669" s="2">
        <v>46123.288565393515</v>
      </c>
      <c r="C669" s="3" t="str">
        <f>IFERROR(VLOOKUP(A669,'Base Prueba'!A:C,3,),"NO REGISTRA")</f>
        <v>NO REGISTRA</v>
      </c>
      <c r="D669" s="4" t="str">
        <f>IFERROR(VLOOKUP(A669,'Base Prueba'!A:D,4,),"NO REGISTRA")</f>
        <v>NO REGISTRA</v>
      </c>
      <c r="E669" s="5" t="str">
        <f>IFERROR(VLOOKUP(A669,'Base Prueba'!A:E,5,),"NO REGISTRA")</f>
        <v>NO REGISTRA</v>
      </c>
    </row>
    <row r="670" spans="1:5" ht="15.75" x14ac:dyDescent="0.25">
      <c r="A670" s="10">
        <v>80778198</v>
      </c>
      <c r="B670" s="2">
        <v>46123.291494907404</v>
      </c>
      <c r="C670" s="3" t="str">
        <f>IFERROR(VLOOKUP(A670,'Base Prueba'!A:C,3,),"NO REGISTRA")</f>
        <v>JIMY JAVIER ALDANA REYES</v>
      </c>
      <c r="D670" s="4" t="str">
        <f>IFERROR(VLOOKUP(A670,'Base Prueba'!A:D,4,),"NO REGISTRA")</f>
        <v>DOCENTE DE TIEMPO COMPLETO</v>
      </c>
      <c r="E670" s="5" t="str">
        <f>IFERROR(VLOOKUP(A670,'Base Prueba'!A:E,5,),"NO REGISTRA")</f>
        <v>INGENIERIA DE SOFTWARE</v>
      </c>
    </row>
    <row r="671" spans="1:5" ht="15.75" x14ac:dyDescent="0.25">
      <c r="A671" s="10">
        <v>11308140</v>
      </c>
      <c r="B671" s="2">
        <v>46123.297115162037</v>
      </c>
      <c r="C671" s="3" t="str">
        <f>IFERROR(VLOOKUP(A671,'Base Prueba'!A:C,3,),"NO REGISTRA")</f>
        <v>EDGAR EUDORO MARTINEZ CALLEJAS</v>
      </c>
      <c r="D671" s="4" t="str">
        <f>IFERROR(VLOOKUP(A671,'Base Prueba'!A:D,4,),"NO REGISTRA")</f>
        <v>DOCENTE DE MEDIO TIEMPO</v>
      </c>
      <c r="E671" s="5" t="str">
        <f>IFERROR(VLOOKUP(A671,'Base Prueba'!A:E,5,),"NO REGISTRA")</f>
        <v>AREA DE CIENCIAS BASICAS</v>
      </c>
    </row>
    <row r="672" spans="1:5" ht="15.75" x14ac:dyDescent="0.25">
      <c r="A672" s="10">
        <v>1002426354</v>
      </c>
      <c r="B672" s="2">
        <v>46123.297632407404</v>
      </c>
      <c r="C672" s="3" t="str">
        <f>IFERROR(VLOOKUP(A672,'Base Prueba'!A:C,3,),"NO REGISTRA")</f>
        <v>NO REGISTRA</v>
      </c>
      <c r="D672" s="4" t="str">
        <f>IFERROR(VLOOKUP(A672,'Base Prueba'!A:D,4,),"NO REGISTRA")</f>
        <v>NO REGISTRA</v>
      </c>
      <c r="E672" s="5" t="str">
        <f>IFERROR(VLOOKUP(A672,'Base Prueba'!A:E,5,),"NO REGISTRA")</f>
        <v>NO REGISTRA</v>
      </c>
    </row>
    <row r="673" spans="1:5" ht="15.75" x14ac:dyDescent="0.25">
      <c r="A673" s="10">
        <v>79522309</v>
      </c>
      <c r="B673" s="2">
        <v>46123.300550694446</v>
      </c>
      <c r="C673" s="3" t="str">
        <f>IFERROR(VLOOKUP(A673,'Base Prueba'!A:C,3,),"NO REGISTRA")</f>
        <v>JULIAN ARTURO PUIN MANRIQUE</v>
      </c>
      <c r="D673" s="4" t="str">
        <f>IFERROR(VLOOKUP(A673,'Base Prueba'!A:D,4,),"NO REGISTRA")</f>
        <v>DOCENTE DE MEDIO TIEMPO</v>
      </c>
      <c r="E673" s="5" t="str">
        <f>IFERROR(VLOOKUP(A673,'Base Prueba'!A:E,5,),"NO REGISTRA")</f>
        <v>TECNOLOGIA EN SEGURIDAD Y SALUD EN EL TRABAJO</v>
      </c>
    </row>
    <row r="674" spans="1:5" ht="15.75" x14ac:dyDescent="0.25">
      <c r="A674" s="10">
        <v>52850506</v>
      </c>
      <c r="B674" s="2">
        <v>46123.301683564816</v>
      </c>
      <c r="C674" s="3" t="str">
        <f>IFERROR(VLOOKUP(A674,'Base Prueba'!A:C,3,),"NO REGISTRA")</f>
        <v>PAOLA ANDREA VASQUEZ FONSECA</v>
      </c>
      <c r="D674" s="4" t="str">
        <f>IFERROR(VLOOKUP(A674,'Base Prueba'!A:D,4,),"NO REGISTRA")</f>
        <v>DOCENTE DE TIEMPO COMPLETO</v>
      </c>
      <c r="E674" s="5" t="str">
        <f>IFERROR(VLOOKUP(A674,'Base Prueba'!A:E,5,),"NO REGISTRA")</f>
        <v>UNIVERSITARIO COMUNICACION SOCIAL</v>
      </c>
    </row>
    <row r="675" spans="1:5" ht="15.75" x14ac:dyDescent="0.25">
      <c r="A675" s="10">
        <v>85437910</v>
      </c>
      <c r="B675" s="2">
        <v>46123.310419907408</v>
      </c>
      <c r="C675" s="3" t="str">
        <f>IFERROR(VLOOKUP(A675,'Base Prueba'!A:C,3,),"NO REGISTRA")</f>
        <v>EDGAR JOSE PISCIOTTI LEON</v>
      </c>
      <c r="D675" s="4" t="str">
        <f>IFERROR(VLOOKUP(A675,'Base Prueba'!A:D,4,),"NO REGISTRA")</f>
        <v>DOCENTE DE MEDIO TIEMPO</v>
      </c>
      <c r="E675" s="5" t="str">
        <f>IFERROR(VLOOKUP(A675,'Base Prueba'!A:E,5,),"NO REGISTRA")</f>
        <v>TECNOLOGIA EN COMERCIO Y NEGOCIOS INTERNACIONALES</v>
      </c>
    </row>
    <row r="676" spans="1:5" ht="15.75" x14ac:dyDescent="0.25">
      <c r="A676" s="10">
        <v>80824834</v>
      </c>
      <c r="B676" s="2">
        <v>46123.311963310189</v>
      </c>
      <c r="C676" s="3" t="str">
        <f>IFERROR(VLOOKUP(A676,'Base Prueba'!A:C,3,),"NO REGISTRA")</f>
        <v>ELFAR DIDIER MORANTES SANCHEZ</v>
      </c>
      <c r="D676" s="4" t="str">
        <f>IFERROR(VLOOKUP(A676,'Base Prueba'!A:D,4,),"NO REGISTRA")</f>
        <v>DOCENTE DE MEDIO TIEMPO</v>
      </c>
      <c r="E676" s="5" t="str">
        <f>IFERROR(VLOOKUP(A676,'Base Prueba'!A:E,5,),"NO REGISTRA")</f>
        <v>INGENIERIA DE SOFTWARE</v>
      </c>
    </row>
    <row r="677" spans="1:5" ht="15.75" x14ac:dyDescent="0.25">
      <c r="A677" s="10">
        <v>1000218614</v>
      </c>
      <c r="B677" s="2">
        <v>46123.326174421294</v>
      </c>
      <c r="C677" s="3" t="str">
        <f>IFERROR(VLOOKUP(A677,'Base Prueba'!A:C,3,),"NO REGISTRA")</f>
        <v>SEBASTIAN DAVID MELO DIAZ</v>
      </c>
      <c r="D677" s="4" t="str">
        <f>IFERROR(VLOOKUP(A677,'Base Prueba'!A:D,4,),"NO REGISTRA")</f>
        <v>ANALISTA DE SISTEMAS</v>
      </c>
      <c r="E677" s="5" t="str">
        <f>IFERROR(VLOOKUP(A677,'Base Prueba'!A:E,5,),"NO REGISTRA")</f>
        <v>DEPARTAMENTO DE INFORMATICA Y TECNOLOGIA</v>
      </c>
    </row>
    <row r="678" spans="1:5" ht="15.75" x14ac:dyDescent="0.25">
      <c r="A678" s="10">
        <v>51555582</v>
      </c>
      <c r="B678" s="2">
        <v>46123.337039004633</v>
      </c>
      <c r="C678" s="3" t="str">
        <f>IFERROR(VLOOKUP(A678,'Base Prueba'!A:C,3,),"NO REGISTRA")</f>
        <v>MARTHA CECILIA VIDAL ARIZABALETA</v>
      </c>
      <c r="D678" s="4" t="str">
        <f>IFERROR(VLOOKUP(A678,'Base Prueba'!A:D,4,),"NO REGISTRA")</f>
        <v>DOCENTE DE MEDIO TIEMPO</v>
      </c>
      <c r="E678" s="5" t="str">
        <f>IFERROR(VLOOKUP(A678,'Base Prueba'!A:E,5,),"NO REGISTRA")</f>
        <v>INGENIERIA DE SOFTWARE</v>
      </c>
    </row>
    <row r="679" spans="1:5" ht="15.75" x14ac:dyDescent="0.25">
      <c r="A679" s="10">
        <v>52899220</v>
      </c>
      <c r="B679" s="2">
        <v>46123.344549189816</v>
      </c>
      <c r="C679" s="3" t="str">
        <f>IFERROR(VLOOKUP(A679,'Base Prueba'!A:C,3,),"NO REGISTRA")</f>
        <v>CLARA ROSALBA SANCHEZ PALOMA</v>
      </c>
      <c r="D679" s="4" t="str">
        <f>IFERROR(VLOOKUP(A679,'Base Prueba'!A:D,4,),"NO REGISTRA")</f>
        <v>DOCENTE DE MEDIO TIEMPO</v>
      </c>
      <c r="E679" s="5" t="str">
        <f>IFERROR(VLOOKUP(A679,'Base Prueba'!A:E,5,),"NO REGISTRA")</f>
        <v>UNIDAD DE IDIOMAS</v>
      </c>
    </row>
    <row r="680" spans="1:5" ht="15.75" x14ac:dyDescent="0.25">
      <c r="A680" s="10">
        <v>52049956</v>
      </c>
      <c r="B680" s="2">
        <v>46123.370665856484</v>
      </c>
      <c r="C680" s="3" t="str">
        <f>IFERROR(VLOOKUP(A680,'Base Prueba'!A:C,3,),"NO REGISTRA")</f>
        <v>ESPERANZA MORALES</v>
      </c>
      <c r="D680" s="4" t="str">
        <f>IFERROR(VLOOKUP(A680,'Base Prueba'!A:D,4,),"NO REGISTRA")</f>
        <v>DIRECTORA DE INFORMATICA Y TECNOLOGIA</v>
      </c>
      <c r="E680" s="5" t="str">
        <f>IFERROR(VLOOKUP(A680,'Base Prueba'!A:E,5,),"NO REGISTRA")</f>
        <v>DEPARTAMENTO DE INFORMATICA Y TECNOLOGIA</v>
      </c>
    </row>
    <row r="681" spans="1:5" ht="15.75" x14ac:dyDescent="0.25">
      <c r="A681" s="10">
        <v>1022378300</v>
      </c>
      <c r="B681" s="2">
        <v>46123.381122569444</v>
      </c>
      <c r="C681" s="3" t="str">
        <f>IFERROR(VLOOKUP(A681,'Base Prueba'!A:C,3,),"NO REGISTRA")</f>
        <v>FERNEY ANDRES CHASPUENGAL RAMIREZ</v>
      </c>
      <c r="D681" s="4" t="str">
        <f>IFERROR(VLOOKUP(A681,'Base Prueba'!A:D,4,),"NO REGISTRA")</f>
        <v>LÍDER DE DEPORTE Y CULTURA</v>
      </c>
      <c r="E681" s="5" t="str">
        <f>IFERROR(VLOOKUP(A681,'Base Prueba'!A:E,5,),"NO REGISTRA")</f>
        <v>DIRECCION DE BIENESTAR INSTITUCIONAL</v>
      </c>
    </row>
    <row r="682" spans="1:5" ht="15.75" x14ac:dyDescent="0.25">
      <c r="A682" s="10">
        <v>1019125716</v>
      </c>
      <c r="B682" s="2">
        <v>46123.419853009262</v>
      </c>
      <c r="C682" s="3" t="str">
        <f>IFERROR(VLOOKUP(A682,'Base Prueba'!A:C,3,),"NO REGISTRA")</f>
        <v>GINA PAOLA ALZATE ARISTIZABAL</v>
      </c>
      <c r="D682" s="4" t="str">
        <f>IFERROR(VLOOKUP(A682,'Base Prueba'!A:D,4,),"NO REGISTRA")</f>
        <v>DOCENTE DE MEDIO TIEMPO</v>
      </c>
      <c r="E682" s="5" t="str">
        <f>IFERROR(VLOOKUP(A682,'Base Prueba'!A:E,5,),"NO REGISTRA")</f>
        <v>UNIDAD DE IDIOMAS</v>
      </c>
    </row>
    <row r="683" spans="1:5" ht="15.75" x14ac:dyDescent="0.25">
      <c r="A683" s="10">
        <v>52049956</v>
      </c>
      <c r="B683" s="2">
        <v>46123.507860648147</v>
      </c>
      <c r="C683" s="3" t="str">
        <f>IFERROR(VLOOKUP(A683,'Base Prueba'!A:C,3,),"NO REGISTRA")</f>
        <v>ESPERANZA MORALES</v>
      </c>
      <c r="D683" s="4" t="str">
        <f>IFERROR(VLOOKUP(A683,'Base Prueba'!A:D,4,),"NO REGISTRA")</f>
        <v>DIRECTORA DE INFORMATICA Y TECNOLOGIA</v>
      </c>
      <c r="E683" s="5" t="str">
        <f>IFERROR(VLOOKUP(A683,'Base Prueba'!A:E,5,),"NO REGISTRA")</f>
        <v>DEPARTAMENTO DE INFORMATICA Y TECNOLOGIA</v>
      </c>
    </row>
    <row r="684" spans="1:5" ht="15.75" x14ac:dyDescent="0.25">
      <c r="A684" s="10">
        <v>1032401971</v>
      </c>
      <c r="B684" s="2">
        <v>46123.519749421299</v>
      </c>
      <c r="C684" s="3" t="str">
        <f>IFERROR(VLOOKUP(A684,'Base Prueba'!A:C,3,),"NO REGISTRA")</f>
        <v>ANDRYU ENRIQUE MENDOZA BELTRAN</v>
      </c>
      <c r="D684" s="4" t="str">
        <f>IFERROR(VLOOKUP(A684,'Base Prueba'!A:D,4,),"NO REGISTRA")</f>
        <v>DOCENTE DE TIEMPO COMPLETO</v>
      </c>
      <c r="E684" s="5" t="str">
        <f>IFERROR(VLOOKUP(A684,'Base Prueba'!A:E,5,),"NO REGISTRA")</f>
        <v>UNIVERSITARIO ADMINISTRACION DE EMPRESAS</v>
      </c>
    </row>
    <row r="685" spans="1:5" ht="15.75" x14ac:dyDescent="0.25">
      <c r="A685" s="10">
        <v>91283826</v>
      </c>
      <c r="B685" s="2">
        <v>46123.596408449077</v>
      </c>
      <c r="C685" s="3" t="str">
        <f>IFERROR(VLOOKUP(A685,'Base Prueba'!A:C,3,),"NO REGISTRA")</f>
        <v>CARLOS ALBERTO ESPINOSA HERRERA</v>
      </c>
      <c r="D685" s="4" t="str">
        <f>IFERROR(VLOOKUP(A685,'Base Prueba'!A:D,4,),"NO REGISTRA")</f>
        <v>DOCENTE DE MEDIO TIEMPO</v>
      </c>
      <c r="E685" s="5" t="str">
        <f>IFERROR(VLOOKUP(A685,'Base Prueba'!A:E,5,),"NO REGISTRA")</f>
        <v>TECNOLOGÍA EN PRODUCCIÓN DE CONTENIDOS PERIODÍSTICOS</v>
      </c>
    </row>
    <row r="686" spans="1:5" ht="15.75" x14ac:dyDescent="0.25">
      <c r="A686" s="10">
        <v>91283826</v>
      </c>
      <c r="B686" s="2">
        <v>46123.596414236112</v>
      </c>
      <c r="C686" s="3" t="str">
        <f>IFERROR(VLOOKUP(A686,'Base Prueba'!A:C,3,),"NO REGISTRA")</f>
        <v>CARLOS ALBERTO ESPINOSA HERRERA</v>
      </c>
      <c r="D686" s="4" t="str">
        <f>IFERROR(VLOOKUP(A686,'Base Prueba'!A:D,4,),"NO REGISTRA")</f>
        <v>DOCENTE DE MEDIO TIEMPO</v>
      </c>
      <c r="E686" s="5" t="str">
        <f>IFERROR(VLOOKUP(A686,'Base Prueba'!A:E,5,),"NO REGISTRA")</f>
        <v>TECNOLOGÍA EN PRODUCCIÓN DE CONTENIDOS PERIODÍSTICOS</v>
      </c>
    </row>
    <row r="687" spans="1:5" ht="15.75" x14ac:dyDescent="0.25">
      <c r="A687" s="10">
        <v>1014257968</v>
      </c>
      <c r="B687" s="2">
        <v>46123.604057060184</v>
      </c>
      <c r="C687" s="3" t="str">
        <f>IFERROR(VLOOKUP(A687,'Base Prueba'!A:C,3,),"NO REGISTRA")</f>
        <v>JORGE ANDRES LIEVANO LOPEZ</v>
      </c>
      <c r="D687" s="4" t="str">
        <f>IFERROR(VLOOKUP(A687,'Base Prueba'!A:D,4,),"NO REGISTRA")</f>
        <v>DOCENTE DE TIEMPO COMPLETO</v>
      </c>
      <c r="E687" s="5" t="str">
        <f>IFERROR(VLOOKUP(A687,'Base Prueba'!A:E,5,),"NO REGISTRA")</f>
        <v>UNIDAD DE IDIOMAS</v>
      </c>
    </row>
    <row r="688" spans="1:5" ht="15.75" x14ac:dyDescent="0.25">
      <c r="A688" s="10">
        <v>1033762993</v>
      </c>
      <c r="B688" s="2">
        <v>46123.717731828707</v>
      </c>
      <c r="C688" s="3" t="str">
        <f>IFERROR(VLOOKUP(A688,'Base Prueba'!A:C,3,),"NO REGISTRA")</f>
        <v>DIEGO FERNANDO MEDINA PEREZ</v>
      </c>
      <c r="D688" s="4" t="str">
        <f>IFERROR(VLOOKUP(A688,'Base Prueba'!A:D,4,),"NO REGISTRA")</f>
        <v>DOCENTE DE MEDIO TIEMPO</v>
      </c>
      <c r="E688" s="5" t="str">
        <f>IFERROR(VLOOKUP(A688,'Base Prueba'!A:E,5,),"NO REGISTRA")</f>
        <v>UNIDAD DE IDIOMAS</v>
      </c>
    </row>
    <row r="689" spans="1:5" ht="15.75" x14ac:dyDescent="0.25">
      <c r="A689" s="10">
        <v>248294</v>
      </c>
      <c r="B689" s="2">
        <v>46123.751004861108</v>
      </c>
      <c r="C689" s="3" t="str">
        <f>IFERROR(VLOOKUP(A689,'Base Prueba'!A:C,3,),"NO REGISTRA")</f>
        <v>WALTER NATALIO VALDEZ MONTAÑEZ</v>
      </c>
      <c r="D689" s="4" t="str">
        <f>IFERROR(VLOOKUP(A689,'Base Prueba'!A:D,4,),"NO REGISTRA")</f>
        <v>DOCENTE DE TIEMPO COMPLETO</v>
      </c>
      <c r="E689" s="5" t="str">
        <f>IFERROR(VLOOKUP(A689,'Base Prueba'!A:E,5,),"NO REGISTRA")</f>
        <v>UNIVERSITARIO EN TURISMO Y GASTRONOMIA</v>
      </c>
    </row>
    <row r="690" spans="1:5" ht="15.75" x14ac:dyDescent="0.25">
      <c r="A690" s="10">
        <v>1014257968</v>
      </c>
      <c r="B690" s="2">
        <v>46123.755108564816</v>
      </c>
      <c r="C690" s="3" t="str">
        <f>IFERROR(VLOOKUP(A690,'Base Prueba'!A:C,3,),"NO REGISTRA")</f>
        <v>JORGE ANDRES LIEVANO LOPEZ</v>
      </c>
      <c r="D690" s="4" t="str">
        <f>IFERROR(VLOOKUP(A690,'Base Prueba'!A:D,4,),"NO REGISTRA")</f>
        <v>DOCENTE DE TIEMPO COMPLETO</v>
      </c>
      <c r="E690" s="5" t="str">
        <f>IFERROR(VLOOKUP(A690,'Base Prueba'!A:E,5,),"NO REGISTRA")</f>
        <v>UNIDAD DE IDIOMAS</v>
      </c>
    </row>
    <row r="691" spans="1:5" ht="15.75" x14ac:dyDescent="0.25">
      <c r="A691" s="10">
        <v>1019125716</v>
      </c>
      <c r="B691" s="2">
        <v>46123.778712615742</v>
      </c>
      <c r="C691" s="3" t="str">
        <f>IFERROR(VLOOKUP(A691,'Base Prueba'!A:C,3,),"NO REGISTRA")</f>
        <v>GINA PAOLA ALZATE ARISTIZABAL</v>
      </c>
      <c r="D691" s="4" t="str">
        <f>IFERROR(VLOOKUP(A691,'Base Prueba'!A:D,4,),"NO REGISTRA")</f>
        <v>DOCENTE DE MEDIO TIEMPO</v>
      </c>
      <c r="E691" s="5" t="str">
        <f>IFERROR(VLOOKUP(A691,'Base Prueba'!A:E,5,),"NO REGISTRA")</f>
        <v>UNIDAD DE IDIOMAS</v>
      </c>
    </row>
    <row r="692" spans="1:5" ht="15.75" x14ac:dyDescent="0.25">
      <c r="A692" s="10">
        <v>80824834</v>
      </c>
      <c r="B692" s="2">
        <v>46123.792680671293</v>
      </c>
      <c r="C692" s="3" t="str">
        <f>IFERROR(VLOOKUP(A692,'Base Prueba'!A:C,3,),"NO REGISTRA")</f>
        <v>ELFAR DIDIER MORANTES SANCHEZ</v>
      </c>
      <c r="D692" s="4" t="str">
        <f>IFERROR(VLOOKUP(A692,'Base Prueba'!A:D,4,),"NO REGISTRA")</f>
        <v>DOCENTE DE MEDIO TIEMPO</v>
      </c>
      <c r="E692" s="5" t="str">
        <f>IFERROR(VLOOKUP(A692,'Base Prueba'!A:E,5,),"NO REGISTRA")</f>
        <v>INGENIERIA DE SOFTWARE</v>
      </c>
    </row>
    <row r="693" spans="1:5" ht="15.75" x14ac:dyDescent="0.25">
      <c r="A693" s="10">
        <v>1032487526</v>
      </c>
      <c r="B693" s="2">
        <v>46125.329096064816</v>
      </c>
      <c r="C693" s="3" t="str">
        <f>IFERROR(VLOOKUP(A693,'Base Prueba'!A:C,3,),"NO REGISTRA")</f>
        <v>LAURA ANDREA MEZA MARTINEZ</v>
      </c>
      <c r="D693" s="4" t="str">
        <f>IFERROR(VLOOKUP(A693,'Base Prueba'!A:D,4,),"NO REGISTRA")</f>
        <v>DOCENTE DE MEDIO TIEMPO</v>
      </c>
      <c r="E693" s="5" t="str">
        <f>IFERROR(VLOOKUP(A693,'Base Prueba'!A:E,5,),"NO REGISTRA")</f>
        <v>TECNICO LABORAL AUXILIAR PRODUCCION GRAFICA</v>
      </c>
    </row>
    <row r="694" spans="1:5" ht="15.75" x14ac:dyDescent="0.25">
      <c r="A694" s="10">
        <v>51555582</v>
      </c>
      <c r="B694" s="2">
        <v>46125.336871527776</v>
      </c>
      <c r="C694" s="3" t="str">
        <f>IFERROR(VLOOKUP(A694,'Base Prueba'!A:C,3,),"NO REGISTRA")</f>
        <v>MARTHA CECILIA VIDAL ARIZABALETA</v>
      </c>
      <c r="D694" s="4" t="str">
        <f>IFERROR(VLOOKUP(A694,'Base Prueba'!A:D,4,),"NO REGISTRA")</f>
        <v>DOCENTE DE MEDIO TIEMPO</v>
      </c>
      <c r="E694" s="5" t="str">
        <f>IFERROR(VLOOKUP(A694,'Base Prueba'!A:E,5,),"NO REGISTRA")</f>
        <v>INGENIERIA DE SOFTWARE</v>
      </c>
    </row>
    <row r="695" spans="1:5" ht="15.75" x14ac:dyDescent="0.25">
      <c r="A695" s="10">
        <v>1014210502</v>
      </c>
      <c r="B695" s="2">
        <v>46125.373094444447</v>
      </c>
      <c r="C695" s="3" t="str">
        <f>IFERROR(VLOOKUP(A695,'Base Prueba'!A:C,3,),"NO REGISTRA")</f>
        <v>PABLO JAVIER MEDINA RAMIREZ</v>
      </c>
      <c r="D695" s="4" t="str">
        <f>IFERROR(VLOOKUP(A695,'Base Prueba'!A:D,4,),"NO REGISTRA")</f>
        <v>DOCENTE DE MEDIO TIEMPO</v>
      </c>
      <c r="E695" s="5" t="str">
        <f>IFERROR(VLOOKUP(A695,'Base Prueba'!A:E,5,),"NO REGISTRA")</f>
        <v>NARRATIVAS DIGITALES Y AUDIOVISUALES</v>
      </c>
    </row>
    <row r="696" spans="1:5" ht="15.75" x14ac:dyDescent="0.25">
      <c r="A696" s="10">
        <v>52049956</v>
      </c>
      <c r="B696" s="2">
        <v>46125.373895254626</v>
      </c>
      <c r="C696" s="3" t="str">
        <f>IFERROR(VLOOKUP(A696,'Base Prueba'!A:C,3,),"NO REGISTRA")</f>
        <v>ESPERANZA MORALES</v>
      </c>
      <c r="D696" s="4" t="str">
        <f>IFERROR(VLOOKUP(A696,'Base Prueba'!A:D,4,),"NO REGISTRA")</f>
        <v>DIRECTORA DE INFORMATICA Y TECNOLOGIA</v>
      </c>
      <c r="E696" s="5" t="str">
        <f>IFERROR(VLOOKUP(A696,'Base Prueba'!A:E,5,),"NO REGISTRA")</f>
        <v>DEPARTAMENTO DE INFORMATICA Y TECNOLOGIA</v>
      </c>
    </row>
    <row r="697" spans="1:5" ht="15.75" x14ac:dyDescent="0.25">
      <c r="A697" s="10">
        <v>80778198</v>
      </c>
      <c r="B697" s="2">
        <v>46125.380041550925</v>
      </c>
      <c r="C697" s="3" t="str">
        <f>IFERROR(VLOOKUP(A697,'Base Prueba'!A:C,3,),"NO REGISTRA")</f>
        <v>JIMY JAVIER ALDANA REYES</v>
      </c>
      <c r="D697" s="4" t="str">
        <f>IFERROR(VLOOKUP(A697,'Base Prueba'!A:D,4,),"NO REGISTRA")</f>
        <v>DOCENTE DE TIEMPO COMPLETO</v>
      </c>
      <c r="E697" s="5" t="str">
        <f>IFERROR(VLOOKUP(A697,'Base Prueba'!A:E,5,),"NO REGISTRA")</f>
        <v>INGENIERIA DE SOFTWARE</v>
      </c>
    </row>
    <row r="698" spans="1:5" ht="15.75" x14ac:dyDescent="0.25">
      <c r="A698" s="10">
        <v>51555582</v>
      </c>
      <c r="B698" s="2">
        <v>46125.390759374997</v>
      </c>
      <c r="C698" s="3" t="str">
        <f>IFERROR(VLOOKUP(A698,'Base Prueba'!A:C,3,),"NO REGISTRA")</f>
        <v>MARTHA CECILIA VIDAL ARIZABALETA</v>
      </c>
      <c r="D698" s="4" t="str">
        <f>IFERROR(VLOOKUP(A698,'Base Prueba'!A:D,4,),"NO REGISTRA")</f>
        <v>DOCENTE DE MEDIO TIEMPO</v>
      </c>
      <c r="E698" s="5" t="str">
        <f>IFERROR(VLOOKUP(A698,'Base Prueba'!A:E,5,),"NO REGISTRA")</f>
        <v>INGENIERIA DE SOFTWARE</v>
      </c>
    </row>
    <row r="699" spans="1:5" ht="15.75" x14ac:dyDescent="0.25">
      <c r="A699" s="10">
        <v>85437910</v>
      </c>
      <c r="B699" s="2">
        <v>46125.393833680559</v>
      </c>
      <c r="C699" s="3" t="str">
        <f>IFERROR(VLOOKUP(A699,'Base Prueba'!A:C,3,),"NO REGISTRA")</f>
        <v>EDGAR JOSE PISCIOTTI LEON</v>
      </c>
      <c r="D699" s="4" t="str">
        <f>IFERROR(VLOOKUP(A699,'Base Prueba'!A:D,4,),"NO REGISTRA")</f>
        <v>DOCENTE DE MEDIO TIEMPO</v>
      </c>
      <c r="E699" s="5" t="str">
        <f>IFERROR(VLOOKUP(A699,'Base Prueba'!A:E,5,),"NO REGISTRA")</f>
        <v>TECNOLOGIA EN COMERCIO Y NEGOCIOS INTERNACIONALES</v>
      </c>
    </row>
    <row r="700" spans="1:5" ht="15.75" x14ac:dyDescent="0.25">
      <c r="A700" s="10">
        <v>1032487526</v>
      </c>
      <c r="B700" s="2">
        <v>46125.502828935183</v>
      </c>
      <c r="C700" s="3" t="str">
        <f>IFERROR(VLOOKUP(A700,'Base Prueba'!A:C,3,),"NO REGISTRA")</f>
        <v>LAURA ANDREA MEZA MARTINEZ</v>
      </c>
      <c r="D700" s="4" t="str">
        <f>IFERROR(VLOOKUP(A700,'Base Prueba'!A:D,4,),"NO REGISTRA")</f>
        <v>DOCENTE DE MEDIO TIEMPO</v>
      </c>
      <c r="E700" s="5" t="str">
        <f>IFERROR(VLOOKUP(A700,'Base Prueba'!A:E,5,),"NO REGISTRA")</f>
        <v>TECNICO LABORAL AUXILIAR PRODUCCION GRAFICA</v>
      </c>
    </row>
    <row r="701" spans="1:5" ht="15.75" x14ac:dyDescent="0.25">
      <c r="A701" s="10">
        <v>63478515</v>
      </c>
      <c r="B701" s="2">
        <v>46125.66060289352</v>
      </c>
      <c r="C701" s="3" t="str">
        <f>IFERROR(VLOOKUP(A701,'Base Prueba'!A:C,3,),"NO REGISTRA")</f>
        <v>SANDRA XIMENA RIOS PINTO</v>
      </c>
      <c r="D701" s="4" t="str">
        <f>IFERROR(VLOOKUP(A701,'Base Prueba'!A:D,4,),"NO REGISTRA")</f>
        <v>DOCENTE DE MEDIO TIEMPO</v>
      </c>
      <c r="E701" s="5" t="str">
        <f>IFERROR(VLOOKUP(A701,'Base Prueba'!A:E,5,),"NO REGISTRA")</f>
        <v>TECNOLOGIA EN ADMINISTRACION DEL TALENTO HUMANO</v>
      </c>
    </row>
    <row r="702" spans="1:5" ht="15.75" x14ac:dyDescent="0.25">
      <c r="A702" s="10">
        <v>1022346044</v>
      </c>
      <c r="B702" s="2">
        <v>46125.725156365741</v>
      </c>
      <c r="C702" s="3" t="str">
        <f>IFERROR(VLOOKUP(A702,'Base Prueba'!A:C,3,),"NO REGISTRA")</f>
        <v>LUZ ALEJANDRA CASTILLO RODRIGUEZ</v>
      </c>
      <c r="D702" s="4" t="str">
        <f>IFERROR(VLOOKUP(A702,'Base Prueba'!A:D,4,),"NO REGISTRA")</f>
        <v>DOCENTE DE MEDIO TIEMPO</v>
      </c>
      <c r="E702" s="5" t="str">
        <f>IFERROR(VLOOKUP(A702,'Base Prueba'!A:E,5,),"NO REGISTRA")</f>
        <v>UNIVERSITARIO EN SEGURIDAD Y SALUD EN EL TRABAJO</v>
      </c>
    </row>
    <row r="703" spans="1:5" ht="15.75" x14ac:dyDescent="0.25">
      <c r="A703" s="10">
        <v>1033762993</v>
      </c>
      <c r="B703" s="2">
        <v>46125.74711261574</v>
      </c>
      <c r="C703" s="3" t="str">
        <f>IFERROR(VLOOKUP(A703,'Base Prueba'!A:C,3,),"NO REGISTRA")</f>
        <v>DIEGO FERNANDO MEDINA PEREZ</v>
      </c>
      <c r="D703" s="4" t="str">
        <f>IFERROR(VLOOKUP(A703,'Base Prueba'!A:D,4,),"NO REGISTRA")</f>
        <v>DOCENTE DE MEDIO TIEMPO</v>
      </c>
      <c r="E703" s="5" t="str">
        <f>IFERROR(VLOOKUP(A703,'Base Prueba'!A:E,5,),"NO REGISTRA")</f>
        <v>UNIDAD DE IDIOMAS</v>
      </c>
    </row>
    <row r="704" spans="1:5" ht="15.75" x14ac:dyDescent="0.25">
      <c r="A704" s="10">
        <v>79522309</v>
      </c>
      <c r="B704" s="2">
        <v>46125.749569444444</v>
      </c>
      <c r="C704" s="3" t="str">
        <f>IFERROR(VLOOKUP(A704,'Base Prueba'!A:C,3,),"NO REGISTRA")</f>
        <v>JULIAN ARTURO PUIN MANRIQUE</v>
      </c>
      <c r="D704" s="4" t="str">
        <f>IFERROR(VLOOKUP(A704,'Base Prueba'!A:D,4,),"NO REGISTRA")</f>
        <v>DOCENTE DE MEDIO TIEMPO</v>
      </c>
      <c r="E704" s="5" t="str">
        <f>IFERROR(VLOOKUP(A704,'Base Prueba'!A:E,5,),"NO REGISTRA")</f>
        <v>TECNOLOGIA EN SEGURIDAD Y SALUD EN EL TRABAJO</v>
      </c>
    </row>
    <row r="705" spans="1:5" ht="15.75" x14ac:dyDescent="0.25">
      <c r="A705" s="10">
        <v>1019125716</v>
      </c>
      <c r="B705" s="2">
        <v>46125.759225578702</v>
      </c>
      <c r="C705" s="3" t="str">
        <f>IFERROR(VLOOKUP(A705,'Base Prueba'!A:C,3,),"NO REGISTRA")</f>
        <v>GINA PAOLA ALZATE ARISTIZABAL</v>
      </c>
      <c r="D705" s="4" t="str">
        <f>IFERROR(VLOOKUP(A705,'Base Prueba'!A:D,4,),"NO REGISTRA")</f>
        <v>DOCENTE DE MEDIO TIEMPO</v>
      </c>
      <c r="E705" s="5" t="str">
        <f>IFERROR(VLOOKUP(A705,'Base Prueba'!A:E,5,),"NO REGISTRA")</f>
        <v>UNIDAD DE IDIOMAS</v>
      </c>
    </row>
    <row r="706" spans="1:5" ht="15.75" x14ac:dyDescent="0.25">
      <c r="A706" s="10">
        <v>1032401971</v>
      </c>
      <c r="B706" s="2">
        <v>46125.760305208336</v>
      </c>
      <c r="C706" s="3" t="str">
        <f>IFERROR(VLOOKUP(A706,'Base Prueba'!A:C,3,),"NO REGISTRA")</f>
        <v>ANDRYU ENRIQUE MENDOZA BELTRAN</v>
      </c>
      <c r="D706" s="4" t="str">
        <f>IFERROR(VLOOKUP(A706,'Base Prueba'!A:D,4,),"NO REGISTRA")</f>
        <v>DOCENTE DE TIEMPO COMPLETO</v>
      </c>
      <c r="E706" s="5" t="str">
        <f>IFERROR(VLOOKUP(A706,'Base Prueba'!A:E,5,),"NO REGISTRA")</f>
        <v>UNIVERSITARIO ADMINISTRACION DE EMPRESAS</v>
      </c>
    </row>
    <row r="707" spans="1:5" ht="15.75" x14ac:dyDescent="0.25">
      <c r="A707" s="10">
        <v>79452150</v>
      </c>
      <c r="B707" s="2">
        <v>46125.80493888889</v>
      </c>
      <c r="C707" s="3" t="str">
        <f>IFERROR(VLOOKUP(A707,'Base Prueba'!A:C,3,),"NO REGISTRA")</f>
        <v>JUAN CARLOS PAZ CUBILLOS</v>
      </c>
      <c r="D707" s="4" t="str">
        <f>IFERROR(VLOOKUP(A707,'Base Prueba'!A:D,4,),"NO REGISTRA")</f>
        <v>ANALISTA DE SISTEMAS</v>
      </c>
      <c r="E707" s="5" t="str">
        <f>IFERROR(VLOOKUP(A707,'Base Prueba'!A:E,5,),"NO REGISTRA")</f>
        <v>DEPARTAMENTO DE INFORMATICA Y TECNOLOGIA</v>
      </c>
    </row>
    <row r="708" spans="1:5" ht="15.75" x14ac:dyDescent="0.25">
      <c r="A708" s="10">
        <v>52049956</v>
      </c>
      <c r="B708" s="2">
        <v>46125.817447569447</v>
      </c>
      <c r="C708" s="3" t="str">
        <f>IFERROR(VLOOKUP(A708,'Base Prueba'!A:C,3,),"NO REGISTRA")</f>
        <v>ESPERANZA MORALES</v>
      </c>
      <c r="D708" s="4" t="str">
        <f>IFERROR(VLOOKUP(A708,'Base Prueba'!A:D,4,),"NO REGISTRA")</f>
        <v>DIRECTORA DE INFORMATICA Y TECNOLOGIA</v>
      </c>
      <c r="E708" s="5" t="str">
        <f>IFERROR(VLOOKUP(A708,'Base Prueba'!A:E,5,),"NO REGISTRA")</f>
        <v>DEPARTAMENTO DE INFORMATICA Y TECNOLOGIA</v>
      </c>
    </row>
    <row r="709" spans="1:5" ht="15.75" x14ac:dyDescent="0.25">
      <c r="A709" s="10">
        <v>1033762993</v>
      </c>
      <c r="B709" s="2">
        <v>46125.854476851855</v>
      </c>
      <c r="C709" s="3" t="str">
        <f>IFERROR(VLOOKUP(A709,'Base Prueba'!A:C,3,),"NO REGISTRA")</f>
        <v>DIEGO FERNANDO MEDINA PEREZ</v>
      </c>
      <c r="D709" s="4" t="str">
        <f>IFERROR(VLOOKUP(A709,'Base Prueba'!A:D,4,),"NO REGISTRA")</f>
        <v>DOCENTE DE MEDIO TIEMPO</v>
      </c>
      <c r="E709" s="5" t="str">
        <f>IFERROR(VLOOKUP(A709,'Base Prueba'!A:E,5,),"NO REGISTRA")</f>
        <v>UNIDAD DE IDIOMAS</v>
      </c>
    </row>
    <row r="710" spans="1:5" ht="15.75" x14ac:dyDescent="0.25">
      <c r="A710" s="10">
        <v>1019125716</v>
      </c>
      <c r="B710" s="2">
        <v>46125.856485300923</v>
      </c>
      <c r="C710" s="3" t="str">
        <f>IFERROR(VLOOKUP(A710,'Base Prueba'!A:C,3,),"NO REGISTRA")</f>
        <v>GINA PAOLA ALZATE ARISTIZABAL</v>
      </c>
      <c r="D710" s="4" t="str">
        <f>IFERROR(VLOOKUP(A710,'Base Prueba'!A:D,4,),"NO REGISTRA")</f>
        <v>DOCENTE DE MEDIO TIEMPO</v>
      </c>
      <c r="E710" s="5" t="str">
        <f>IFERROR(VLOOKUP(A710,'Base Prueba'!A:E,5,),"NO REGISTRA")</f>
        <v>UNIDAD DE IDIOMAS</v>
      </c>
    </row>
    <row r="711" spans="1:5" ht="15.75" x14ac:dyDescent="0.25">
      <c r="A711" s="10">
        <v>79484197</v>
      </c>
      <c r="B711" s="2">
        <v>46126.275763773148</v>
      </c>
      <c r="C711" s="3" t="str">
        <f>IFERROR(VLOOKUP(A711,'Base Prueba'!A:C,3,),"NO REGISTRA")</f>
        <v>JOHN DANIEL GUTIERREZ BOADA</v>
      </c>
      <c r="D711" s="4" t="str">
        <f>IFERROR(VLOOKUP(A711,'Base Prueba'!A:D,4,),"NO REGISTRA")</f>
        <v>DOCENTE DE MEDIO TIEMPO</v>
      </c>
      <c r="E711" s="5" t="str">
        <f>IFERROR(VLOOKUP(A711,'Base Prueba'!A:E,5,),"NO REGISTRA")</f>
        <v>UNIVERSITARIO COMUNICACION SOCIAL</v>
      </c>
    </row>
    <row r="712" spans="1:5" ht="15.75" x14ac:dyDescent="0.25">
      <c r="A712" s="10">
        <v>80778198</v>
      </c>
      <c r="B712" s="2">
        <v>46126.287674189814</v>
      </c>
      <c r="C712" s="3" t="str">
        <f>IFERROR(VLOOKUP(A712,'Base Prueba'!A:C,3,),"NO REGISTRA")</f>
        <v>JIMY JAVIER ALDANA REYES</v>
      </c>
      <c r="D712" s="4" t="str">
        <f>IFERROR(VLOOKUP(A712,'Base Prueba'!A:D,4,),"NO REGISTRA")</f>
        <v>DOCENTE DE TIEMPO COMPLETO</v>
      </c>
      <c r="E712" s="5" t="str">
        <f>IFERROR(VLOOKUP(A712,'Base Prueba'!A:E,5,),"NO REGISTRA")</f>
        <v>INGENIERIA DE SOFTWARE</v>
      </c>
    </row>
    <row r="713" spans="1:5" ht="15.75" x14ac:dyDescent="0.25">
      <c r="A713" s="10">
        <v>1014257968</v>
      </c>
      <c r="B713" s="2">
        <v>46126.303484953707</v>
      </c>
      <c r="C713" s="3" t="str">
        <f>IFERROR(VLOOKUP(A713,'Base Prueba'!A:C,3,),"NO REGISTRA")</f>
        <v>JORGE ANDRES LIEVANO LOPEZ</v>
      </c>
      <c r="D713" s="4" t="str">
        <f>IFERROR(VLOOKUP(A713,'Base Prueba'!A:D,4,),"NO REGISTRA")</f>
        <v>DOCENTE DE TIEMPO COMPLETO</v>
      </c>
      <c r="E713" s="5" t="str">
        <f>IFERROR(VLOOKUP(A713,'Base Prueba'!A:E,5,),"NO REGISTRA")</f>
        <v>UNIDAD DE IDIOMAS</v>
      </c>
    </row>
    <row r="714" spans="1:5" ht="15.75" x14ac:dyDescent="0.25">
      <c r="A714" s="10">
        <v>1000218614</v>
      </c>
      <c r="B714" s="2">
        <v>46126.317693750003</v>
      </c>
      <c r="C714" s="3" t="str">
        <f>IFERROR(VLOOKUP(A714,'Base Prueba'!A:C,3,),"NO REGISTRA")</f>
        <v>SEBASTIAN DAVID MELO DIAZ</v>
      </c>
      <c r="D714" s="4" t="str">
        <f>IFERROR(VLOOKUP(A714,'Base Prueba'!A:D,4,),"NO REGISTRA")</f>
        <v>ANALISTA DE SISTEMAS</v>
      </c>
      <c r="E714" s="5" t="str">
        <f>IFERROR(VLOOKUP(A714,'Base Prueba'!A:E,5,),"NO REGISTRA")</f>
        <v>DEPARTAMENTO DE INFORMATICA Y TECNOLOGIA</v>
      </c>
    </row>
    <row r="715" spans="1:5" ht="15.75" x14ac:dyDescent="0.25">
      <c r="A715" s="10">
        <v>1032487526</v>
      </c>
      <c r="B715" s="2">
        <v>46126.35531111111</v>
      </c>
      <c r="C715" s="3" t="str">
        <f>IFERROR(VLOOKUP(A715,'Base Prueba'!A:C,3,),"NO REGISTRA")</f>
        <v>LAURA ANDREA MEZA MARTINEZ</v>
      </c>
      <c r="D715" s="4" t="str">
        <f>IFERROR(VLOOKUP(A715,'Base Prueba'!A:D,4,),"NO REGISTRA")</f>
        <v>DOCENTE DE MEDIO TIEMPO</v>
      </c>
      <c r="E715" s="5" t="str">
        <f>IFERROR(VLOOKUP(A715,'Base Prueba'!A:E,5,),"NO REGISTRA")</f>
        <v>TECNICO LABORAL AUXILIAR PRODUCCION GRAFICA</v>
      </c>
    </row>
    <row r="716" spans="1:5" ht="15.75" x14ac:dyDescent="0.25">
      <c r="A716" s="10">
        <v>52049956</v>
      </c>
      <c r="B716" s="2">
        <v>46126.376191435185</v>
      </c>
      <c r="C716" s="3" t="str">
        <f>IFERROR(VLOOKUP(A716,'Base Prueba'!A:C,3,),"NO REGISTRA")</f>
        <v>ESPERANZA MORALES</v>
      </c>
      <c r="D716" s="4" t="str">
        <f>IFERROR(VLOOKUP(A716,'Base Prueba'!A:D,4,),"NO REGISTRA")</f>
        <v>DIRECTORA DE INFORMATICA Y TECNOLOGIA</v>
      </c>
      <c r="E716" s="5" t="str">
        <f>IFERROR(VLOOKUP(A716,'Base Prueba'!A:E,5,),"NO REGISTRA")</f>
        <v>DEPARTAMENTO DE INFORMATICA Y TECNOLOGIA</v>
      </c>
    </row>
    <row r="717" spans="1:5" ht="15.75" x14ac:dyDescent="0.25">
      <c r="A717" s="10">
        <v>79713882</v>
      </c>
      <c r="B717" s="2">
        <v>46126.378566435182</v>
      </c>
      <c r="C717" s="3" t="str">
        <f>IFERROR(VLOOKUP(A717,'Base Prueba'!A:C,3,),"NO REGISTRA")</f>
        <v>FREDY ANGEL DAVILA CUBIDES</v>
      </c>
      <c r="D717" s="4" t="str">
        <f>IFERROR(VLOOKUP(A717,'Base Prueba'!A:D,4,),"NO REGISTRA")</f>
        <v>DECANO</v>
      </c>
      <c r="E717" s="5" t="str">
        <f>IFERROR(VLOOKUP(A717,'Base Prueba'!A:E,5,),"NO REGISTRA")</f>
        <v>ESCUELA DE INGENIERÍA Y TECNOLOGÍAS DE LA INFORMACIÓN</v>
      </c>
    </row>
    <row r="718" spans="1:5" ht="15.75" x14ac:dyDescent="0.25">
      <c r="A718" s="10">
        <v>52850506</v>
      </c>
      <c r="B718" s="2">
        <v>46126.380053935187</v>
      </c>
      <c r="C718" s="3" t="str">
        <f>IFERROR(VLOOKUP(A718,'Base Prueba'!A:C,3,),"NO REGISTRA")</f>
        <v>PAOLA ANDREA VASQUEZ FONSECA</v>
      </c>
      <c r="D718" s="4" t="str">
        <f>IFERROR(VLOOKUP(A718,'Base Prueba'!A:D,4,),"NO REGISTRA")</f>
        <v>DOCENTE DE TIEMPO COMPLETO</v>
      </c>
      <c r="E718" s="5" t="str">
        <f>IFERROR(VLOOKUP(A718,'Base Prueba'!A:E,5,),"NO REGISTRA")</f>
        <v>UNIVERSITARIO COMUNICACION SOCIAL</v>
      </c>
    </row>
    <row r="719" spans="1:5" ht="15.75" x14ac:dyDescent="0.25">
      <c r="A719" s="10">
        <v>79484197</v>
      </c>
      <c r="B719" s="2">
        <v>46126.389437731479</v>
      </c>
      <c r="C719" s="3" t="str">
        <f>IFERROR(VLOOKUP(A719,'Base Prueba'!A:C,3,),"NO REGISTRA")</f>
        <v>JOHN DANIEL GUTIERREZ BOADA</v>
      </c>
      <c r="D719" s="4" t="str">
        <f>IFERROR(VLOOKUP(A719,'Base Prueba'!A:D,4,),"NO REGISTRA")</f>
        <v>DOCENTE DE MEDIO TIEMPO</v>
      </c>
      <c r="E719" s="5" t="str">
        <f>IFERROR(VLOOKUP(A719,'Base Prueba'!A:E,5,),"NO REGISTRA")</f>
        <v>UNIVERSITARIO COMUNICACION SOCIAL</v>
      </c>
    </row>
    <row r="720" spans="1:5" ht="15.75" x14ac:dyDescent="0.25">
      <c r="A720" s="10">
        <v>1014257968</v>
      </c>
      <c r="B720" s="2">
        <v>46126.482754861114</v>
      </c>
      <c r="C720" s="3" t="str">
        <f>IFERROR(VLOOKUP(A720,'Base Prueba'!A:C,3,),"NO REGISTRA")</f>
        <v>JORGE ANDRES LIEVANO LOPEZ</v>
      </c>
      <c r="D720" s="4" t="str">
        <f>IFERROR(VLOOKUP(A720,'Base Prueba'!A:D,4,),"NO REGISTRA")</f>
        <v>DOCENTE DE TIEMPO COMPLETO</v>
      </c>
      <c r="E720" s="5" t="str">
        <f>IFERROR(VLOOKUP(A720,'Base Prueba'!A:E,5,),"NO REGISTRA")</f>
        <v>UNIDAD DE IDIOMAS</v>
      </c>
    </row>
    <row r="721" spans="1:5" ht="15.75" x14ac:dyDescent="0.25">
      <c r="A721" s="10">
        <v>1032487526</v>
      </c>
      <c r="B721" s="2">
        <v>46126.492904166669</v>
      </c>
      <c r="C721" s="3" t="str">
        <f>IFERROR(VLOOKUP(A721,'Base Prueba'!A:C,3,),"NO REGISTRA")</f>
        <v>LAURA ANDREA MEZA MARTINEZ</v>
      </c>
      <c r="D721" s="4" t="str">
        <f>IFERROR(VLOOKUP(A721,'Base Prueba'!A:D,4,),"NO REGISTRA")</f>
        <v>DOCENTE DE MEDIO TIEMPO</v>
      </c>
      <c r="E721" s="5" t="str">
        <f>IFERROR(VLOOKUP(A721,'Base Prueba'!A:E,5,),"NO REGISTRA")</f>
        <v>TECNICO LABORAL AUXILIAR PRODUCCION GRAFICA</v>
      </c>
    </row>
    <row r="722" spans="1:5" ht="15.75" x14ac:dyDescent="0.25">
      <c r="A722" s="10">
        <v>1019603886</v>
      </c>
      <c r="B722" s="2">
        <v>46126.604398611111</v>
      </c>
      <c r="C722" s="3" t="str">
        <f>IFERROR(VLOOKUP(A722,'Base Prueba'!A:C,3,),"NO REGISTRA")</f>
        <v>NICOLAS ESPITIA CHACON</v>
      </c>
      <c r="D722" s="4" t="str">
        <f>IFERROR(VLOOKUP(A722,'Base Prueba'!A:D,4,),"NO REGISTRA")</f>
        <v>AUXILIAR DE RECURSOS ACADEMICOS</v>
      </c>
      <c r="E722" s="5" t="str">
        <f>IFERROR(VLOOKUP(A722,'Base Prueba'!A:E,5,),"NO REGISTRA")</f>
        <v>RECURSOS ACADEMICOS</v>
      </c>
    </row>
    <row r="723" spans="1:5" ht="15.75" x14ac:dyDescent="0.25">
      <c r="A723" s="10">
        <v>248294</v>
      </c>
      <c r="B723" s="2">
        <v>46126.670874074072</v>
      </c>
      <c r="C723" s="3" t="str">
        <f>IFERROR(VLOOKUP(A723,'Base Prueba'!A:C,3,),"NO REGISTRA")</f>
        <v>WALTER NATALIO VALDEZ MONTAÑEZ</v>
      </c>
      <c r="D723" s="4" t="str">
        <f>IFERROR(VLOOKUP(A723,'Base Prueba'!A:D,4,),"NO REGISTRA")</f>
        <v>DOCENTE DE TIEMPO COMPLETO</v>
      </c>
      <c r="E723" s="5" t="str">
        <f>IFERROR(VLOOKUP(A723,'Base Prueba'!A:E,5,),"NO REGISTRA")</f>
        <v>UNIVERSITARIO EN TURISMO Y GASTRONOMIA</v>
      </c>
    </row>
    <row r="724" spans="1:5" ht="15.75" x14ac:dyDescent="0.25">
      <c r="A724" s="10">
        <v>11388623</v>
      </c>
      <c r="B724" s="2">
        <v>46126.74468703704</v>
      </c>
      <c r="C724" s="3" t="str">
        <f>IFERROR(VLOOKUP(A724,'Base Prueba'!A:C,3,),"NO REGISTRA")</f>
        <v>DIEGO MAURICIO PADILLA DIAZ</v>
      </c>
      <c r="D724" s="4" t="str">
        <f>IFERROR(VLOOKUP(A724,'Base Prueba'!A:D,4,),"NO REGISTRA")</f>
        <v>DOCENTE DE MEDIO TIEMPO</v>
      </c>
      <c r="E724" s="5" t="str">
        <f>IFERROR(VLOOKUP(A724,'Base Prueba'!A:E,5,),"NO REGISTRA")</f>
        <v>UNIVERSITARIO ADMINISTRACION DE EMPRESAS</v>
      </c>
    </row>
    <row r="725" spans="1:5" ht="15.75" x14ac:dyDescent="0.25">
      <c r="A725" s="10">
        <v>52782050</v>
      </c>
      <c r="B725" s="2">
        <v>46126.763506365744</v>
      </c>
      <c r="C725" s="3" t="str">
        <f>IFERROR(VLOOKUP(A725,'Base Prueba'!A:C,3,),"NO REGISTRA")</f>
        <v>MELISSA AVENDAÑO TOCANCHON</v>
      </c>
      <c r="D725" s="4" t="str">
        <f>IFERROR(VLOOKUP(A725,'Base Prueba'!A:D,4,),"NO REGISTRA")</f>
        <v>DOCENTE DE MEDIO TIEMPO</v>
      </c>
      <c r="E725" s="5" t="str">
        <f>IFERROR(VLOOKUP(A725,'Base Prueba'!A:E,5,),"NO REGISTRA")</f>
        <v>NARRATIVAS DIGITALES Y AUDIOVISUALES</v>
      </c>
    </row>
    <row r="726" spans="1:5" ht="15.75" x14ac:dyDescent="0.25">
      <c r="A726" s="10">
        <v>52049956</v>
      </c>
      <c r="B726" s="2">
        <v>46126.816366550927</v>
      </c>
      <c r="C726" s="3" t="str">
        <f>IFERROR(VLOOKUP(A726,'Base Prueba'!A:C,3,),"NO REGISTRA")</f>
        <v>ESPERANZA MORALES</v>
      </c>
      <c r="D726" s="4" t="str">
        <f>IFERROR(VLOOKUP(A726,'Base Prueba'!A:D,4,),"NO REGISTRA")</f>
        <v>DIRECTORA DE INFORMATICA Y TECNOLOGIA</v>
      </c>
      <c r="E726" s="5" t="str">
        <f>IFERROR(VLOOKUP(A726,'Base Prueba'!A:E,5,),"NO REGISTRA")</f>
        <v>DEPARTAMENTO DE INFORMATICA Y TECNOLOGIA</v>
      </c>
    </row>
    <row r="727" spans="1:5" ht="15.75" x14ac:dyDescent="0.25">
      <c r="A727" s="10">
        <v>79452150</v>
      </c>
      <c r="B727" s="2">
        <v>46126.819951851852</v>
      </c>
      <c r="C727" s="3" t="str">
        <f>IFERROR(VLOOKUP(A727,'Base Prueba'!A:C,3,),"NO REGISTRA")</f>
        <v>JUAN CARLOS PAZ CUBILLOS</v>
      </c>
      <c r="D727" s="4" t="str">
        <f>IFERROR(VLOOKUP(A727,'Base Prueba'!A:D,4,),"NO REGISTRA")</f>
        <v>ANALISTA DE SISTEMAS</v>
      </c>
      <c r="E727" s="5" t="str">
        <f>IFERROR(VLOOKUP(A727,'Base Prueba'!A:E,5,),"NO REGISTRA")</f>
        <v>DEPARTAMENTO DE INFORMATICA Y TECNOLOGIA</v>
      </c>
    </row>
    <row r="728" spans="1:5" ht="15.75" x14ac:dyDescent="0.25">
      <c r="A728" s="10">
        <v>1033762993</v>
      </c>
      <c r="B728" s="2">
        <v>46126.854294097226</v>
      </c>
      <c r="C728" s="3" t="str">
        <f>IFERROR(VLOOKUP(A728,'Base Prueba'!A:C,3,),"NO REGISTRA")</f>
        <v>DIEGO FERNANDO MEDINA PEREZ</v>
      </c>
      <c r="D728" s="4" t="str">
        <f>IFERROR(VLOOKUP(A728,'Base Prueba'!A:D,4,),"NO REGISTRA")</f>
        <v>DOCENTE DE MEDIO TIEMPO</v>
      </c>
      <c r="E728" s="5" t="str">
        <f>IFERROR(VLOOKUP(A728,'Base Prueba'!A:E,5,),"NO REGISTRA")</f>
        <v>UNIDAD DE IDIOMAS</v>
      </c>
    </row>
    <row r="729" spans="1:5" ht="15.75" x14ac:dyDescent="0.25">
      <c r="A729" s="10">
        <v>80472319</v>
      </c>
      <c r="B729" s="2">
        <v>46126.877518518515</v>
      </c>
      <c r="C729" s="3" t="str">
        <f>IFERROR(VLOOKUP(A729,'Base Prueba'!A:C,3,),"NO REGISTRA")</f>
        <v>FRANCISCO JAVIER MONTENEGRO AGUILAR</v>
      </c>
      <c r="D729" s="4" t="str">
        <f>IFERROR(VLOOKUP(A729,'Base Prueba'!A:D,4,),"NO REGISTRA")</f>
        <v>DOCENTE DE MEDIO TIEMPO</v>
      </c>
      <c r="E729" s="5" t="str">
        <f>IFERROR(VLOOKUP(A729,'Base Prueba'!A:E,5,),"NO REGISTRA")</f>
        <v>TECNOLOGIA EN COMERCIO Y NEGOCIOS INTERNACIONALES</v>
      </c>
    </row>
    <row r="730" spans="1:5" ht="15.75" x14ac:dyDescent="0.25">
      <c r="A730" s="10">
        <v>52782050</v>
      </c>
      <c r="B730" s="2">
        <v>46126.900954976853</v>
      </c>
      <c r="C730" s="3" t="str">
        <f>IFERROR(VLOOKUP(A730,'Base Prueba'!A:C,3,),"NO REGISTRA")</f>
        <v>MELISSA AVENDAÑO TOCANCHON</v>
      </c>
      <c r="D730" s="4" t="str">
        <f>IFERROR(VLOOKUP(A730,'Base Prueba'!A:D,4,),"NO REGISTRA")</f>
        <v>DOCENTE DE MEDIO TIEMPO</v>
      </c>
      <c r="E730" s="5" t="str">
        <f>IFERROR(VLOOKUP(A730,'Base Prueba'!A:E,5,),"NO REGISTRA")</f>
        <v>NARRATIVAS DIGITALES Y AUDIOVISUALES</v>
      </c>
    </row>
    <row r="731" spans="1:5" ht="15.75" x14ac:dyDescent="0.25">
      <c r="A731" s="10">
        <v>79946416</v>
      </c>
      <c r="B731" s="2">
        <v>46127.277287731478</v>
      </c>
      <c r="C731" s="3" t="str">
        <f>IFERROR(VLOOKUP(A731,'Base Prueba'!A:C,3,),"NO REGISTRA")</f>
        <v>ALBERTO HERNAN SEGURA ABRIL</v>
      </c>
      <c r="D731" s="4" t="str">
        <f>IFERROR(VLOOKUP(A731,'Base Prueba'!A:D,4,),"NO REGISTRA")</f>
        <v>DOCENTE DE TIEMPO COMPLETO</v>
      </c>
      <c r="E731" s="5" t="str">
        <f>IFERROR(VLOOKUP(A731,'Base Prueba'!A:E,5,),"NO REGISTRA")</f>
        <v>TECNOLOGÍA EN PRODUCCIÓN DE MEDIOS AUDIOVISUALES</v>
      </c>
    </row>
    <row r="732" spans="1:5" ht="15.75" x14ac:dyDescent="0.25">
      <c r="A732" s="10">
        <v>79484197</v>
      </c>
      <c r="B732" s="2">
        <v>46127.277764814811</v>
      </c>
      <c r="C732" s="3" t="str">
        <f>IFERROR(VLOOKUP(A732,'Base Prueba'!A:C,3,),"NO REGISTRA")</f>
        <v>JOHN DANIEL GUTIERREZ BOADA</v>
      </c>
      <c r="D732" s="4" t="str">
        <f>IFERROR(VLOOKUP(A732,'Base Prueba'!A:D,4,),"NO REGISTRA")</f>
        <v>DOCENTE DE MEDIO TIEMPO</v>
      </c>
      <c r="E732" s="5" t="str">
        <f>IFERROR(VLOOKUP(A732,'Base Prueba'!A:E,5,),"NO REGISTRA")</f>
        <v>UNIVERSITARIO COMUNICACION SOCIAL</v>
      </c>
    </row>
    <row r="733" spans="1:5" ht="15.75" x14ac:dyDescent="0.25">
      <c r="A733" s="10">
        <v>52850506</v>
      </c>
      <c r="B733" s="2">
        <v>46127.30425335648</v>
      </c>
      <c r="C733" s="3" t="str">
        <f>IFERROR(VLOOKUP(A733,'Base Prueba'!A:C,3,),"NO REGISTRA")</f>
        <v>PAOLA ANDREA VASQUEZ FONSECA</v>
      </c>
      <c r="D733" s="4" t="str">
        <f>IFERROR(VLOOKUP(A733,'Base Prueba'!A:D,4,),"NO REGISTRA")</f>
        <v>DOCENTE DE TIEMPO COMPLETO</v>
      </c>
      <c r="E733" s="5" t="str">
        <f>IFERROR(VLOOKUP(A733,'Base Prueba'!A:E,5,),"NO REGISTRA")</f>
        <v>UNIVERSITARIO COMUNICACION SOCIAL</v>
      </c>
    </row>
    <row r="734" spans="1:5" ht="15.75" x14ac:dyDescent="0.25">
      <c r="A734" s="10">
        <v>1026261012</v>
      </c>
      <c r="B734" s="2">
        <v>46127.30648136574</v>
      </c>
      <c r="C734" s="3" t="str">
        <f>IFERROR(VLOOKUP(A734,'Base Prueba'!A:C,3,),"NO REGISTRA")</f>
        <v>LUIS FELIPE NAVARRETE ECHEVERRIA</v>
      </c>
      <c r="D734" s="4" t="str">
        <f>IFERROR(VLOOKUP(A734,'Base Prueba'!A:D,4,),"NO REGISTRA")</f>
        <v>DOCENTE DE TIEMPO COMPLETO</v>
      </c>
      <c r="E734" s="5" t="str">
        <f>IFERROR(VLOOKUP(A734,'Base Prueba'!A:E,5,),"NO REGISTRA")</f>
        <v>UNIVERSITARIO COMUNICACION SOCIAL</v>
      </c>
    </row>
    <row r="735" spans="1:5" ht="15.75" x14ac:dyDescent="0.25">
      <c r="A735" s="10">
        <v>248294</v>
      </c>
      <c r="B735" s="2">
        <v>46127.309185532409</v>
      </c>
      <c r="C735" s="3" t="str">
        <f>IFERROR(VLOOKUP(A735,'Base Prueba'!A:C,3,),"NO REGISTRA")</f>
        <v>WALTER NATALIO VALDEZ MONTAÑEZ</v>
      </c>
      <c r="D735" s="4" t="str">
        <f>IFERROR(VLOOKUP(A735,'Base Prueba'!A:D,4,),"NO REGISTRA")</f>
        <v>DOCENTE DE TIEMPO COMPLETO</v>
      </c>
      <c r="E735" s="5" t="str">
        <f>IFERROR(VLOOKUP(A735,'Base Prueba'!A:E,5,),"NO REGISTRA")</f>
        <v>UNIVERSITARIO EN TURISMO Y GASTRONOMIA</v>
      </c>
    </row>
    <row r="736" spans="1:5" ht="15.75" x14ac:dyDescent="0.25">
      <c r="A736" s="10">
        <v>1000218614</v>
      </c>
      <c r="B736" s="2">
        <v>46127.327195138889</v>
      </c>
      <c r="C736" s="3" t="str">
        <f>IFERROR(VLOOKUP(A736,'Base Prueba'!A:C,3,),"NO REGISTRA")</f>
        <v>SEBASTIAN DAVID MELO DIAZ</v>
      </c>
      <c r="D736" s="4" t="str">
        <f>IFERROR(VLOOKUP(A736,'Base Prueba'!A:D,4,),"NO REGISTRA")</f>
        <v>ANALISTA DE SISTEMAS</v>
      </c>
      <c r="E736" s="5" t="str">
        <f>IFERROR(VLOOKUP(A736,'Base Prueba'!A:E,5,),"NO REGISTRA")</f>
        <v>DEPARTAMENTO DE INFORMATICA Y TECNOLOGIA</v>
      </c>
    </row>
    <row r="737" spans="1:5" ht="15.75" x14ac:dyDescent="0.25">
      <c r="A737" s="10">
        <v>1000218614</v>
      </c>
      <c r="B737" s="2">
        <v>46127.327201504631</v>
      </c>
      <c r="C737" s="3" t="str">
        <f>IFERROR(VLOOKUP(A737,'Base Prueba'!A:C,3,),"NO REGISTRA")</f>
        <v>SEBASTIAN DAVID MELO DIAZ</v>
      </c>
      <c r="D737" s="4" t="str">
        <f>IFERROR(VLOOKUP(A737,'Base Prueba'!A:D,4,),"NO REGISTRA")</f>
        <v>ANALISTA DE SISTEMAS</v>
      </c>
      <c r="E737" s="5" t="str">
        <f>IFERROR(VLOOKUP(A737,'Base Prueba'!A:E,5,),"NO REGISTRA")</f>
        <v>DEPARTAMENTO DE INFORMATICA Y TECNOLOGIA</v>
      </c>
    </row>
    <row r="738" spans="1:5" ht="15.75" x14ac:dyDescent="0.25">
      <c r="A738" s="10">
        <v>1032487526</v>
      </c>
      <c r="B738" s="2">
        <v>46127.357629050923</v>
      </c>
      <c r="C738" s="3" t="str">
        <f>IFERROR(VLOOKUP(A738,'Base Prueba'!A:C,3,),"NO REGISTRA")</f>
        <v>LAURA ANDREA MEZA MARTINEZ</v>
      </c>
      <c r="D738" s="4" t="str">
        <f>IFERROR(VLOOKUP(A738,'Base Prueba'!A:D,4,),"NO REGISTRA")</f>
        <v>DOCENTE DE MEDIO TIEMPO</v>
      </c>
      <c r="E738" s="5" t="str">
        <f>IFERROR(VLOOKUP(A738,'Base Prueba'!A:E,5,),"NO REGISTRA")</f>
        <v>TECNICO LABORAL AUXILIAR PRODUCCION GRAFICA</v>
      </c>
    </row>
    <row r="739" spans="1:5" ht="15.75" x14ac:dyDescent="0.25">
      <c r="A739" s="10">
        <v>52049956</v>
      </c>
      <c r="B739" s="2">
        <v>46127.3804087963</v>
      </c>
      <c r="C739" s="3" t="str">
        <f>IFERROR(VLOOKUP(A739,'Base Prueba'!A:C,3,),"NO REGISTRA")</f>
        <v>ESPERANZA MORALES</v>
      </c>
      <c r="D739" s="4" t="str">
        <f>IFERROR(VLOOKUP(A739,'Base Prueba'!A:D,4,),"NO REGISTRA")</f>
        <v>DIRECTORA DE INFORMATICA Y TECNOLOGIA</v>
      </c>
      <c r="E739" s="5" t="str">
        <f>IFERROR(VLOOKUP(A739,'Base Prueba'!A:E,5,),"NO REGISTRA")</f>
        <v>DEPARTAMENTO DE INFORMATICA Y TECNOLOGIA</v>
      </c>
    </row>
    <row r="740" spans="1:5" ht="15.75" x14ac:dyDescent="0.25">
      <c r="A740" s="10">
        <v>79484197</v>
      </c>
      <c r="B740" s="2">
        <v>46127.390010416668</v>
      </c>
      <c r="C740" s="3" t="str">
        <f>IFERROR(VLOOKUP(A740,'Base Prueba'!A:C,3,),"NO REGISTRA")</f>
        <v>JOHN DANIEL GUTIERREZ BOADA</v>
      </c>
      <c r="D740" s="4" t="str">
        <f>IFERROR(VLOOKUP(A740,'Base Prueba'!A:D,4,),"NO REGISTRA")</f>
        <v>DOCENTE DE MEDIO TIEMPO</v>
      </c>
      <c r="E740" s="5" t="str">
        <f>IFERROR(VLOOKUP(A740,'Base Prueba'!A:E,5,),"NO REGISTRA")</f>
        <v>UNIVERSITARIO COMUNICACION SOCIAL</v>
      </c>
    </row>
    <row r="741" spans="1:5" ht="15.75" x14ac:dyDescent="0.25">
      <c r="A741" s="10">
        <v>19461924</v>
      </c>
      <c r="B741" s="2">
        <v>46127.427544212966</v>
      </c>
      <c r="C741" s="3" t="str">
        <f>IFERROR(VLOOKUP(A741,'Base Prueba'!A:C,3,),"NO REGISTRA")</f>
        <v>ORLANDO ALBERTO ORTIZ SANCHEZ</v>
      </c>
      <c r="D741" s="4" t="str">
        <f>IFERROR(VLOOKUP(A741,'Base Prueba'!A:D,4,),"NO REGISTRA")</f>
        <v>DOCENTE DE TIEMPO COMPLETO</v>
      </c>
      <c r="E741" s="5" t="str">
        <f>IFERROR(VLOOKUP(A741,'Base Prueba'!A:E,5,),"NO REGISTRA")</f>
        <v>AREA DE CIENCIAS BASICAS</v>
      </c>
    </row>
    <row r="742" spans="1:5" ht="15.75" x14ac:dyDescent="0.25">
      <c r="A742" s="10">
        <v>1032487526</v>
      </c>
      <c r="B742" s="2">
        <v>46127.506655439814</v>
      </c>
      <c r="C742" s="3" t="str">
        <f>IFERROR(VLOOKUP(A742,'Base Prueba'!A:C,3,),"NO REGISTRA")</f>
        <v>LAURA ANDREA MEZA MARTINEZ</v>
      </c>
      <c r="D742" s="4" t="str">
        <f>IFERROR(VLOOKUP(A742,'Base Prueba'!A:D,4,),"NO REGISTRA")</f>
        <v>DOCENTE DE MEDIO TIEMPO</v>
      </c>
      <c r="E742" s="5" t="str">
        <f>IFERROR(VLOOKUP(A742,'Base Prueba'!A:E,5,),"NO REGISTRA")</f>
        <v>TECNICO LABORAL AUXILIAR PRODUCCION GRAFICA</v>
      </c>
    </row>
    <row r="743" spans="1:5" ht="15.75" x14ac:dyDescent="0.25">
      <c r="A743" s="10">
        <v>1018482392</v>
      </c>
      <c r="B743" s="2">
        <v>46127.573721643515</v>
      </c>
      <c r="C743" s="3" t="str">
        <f>IFERROR(VLOOKUP(A743,'Base Prueba'!A:C,3,),"NO REGISTRA")</f>
        <v>RAQUEL YANETH SANDOVAL FORERO</v>
      </c>
      <c r="D743" s="4" t="str">
        <f>IFERROR(VLOOKUP(A743,'Base Prueba'!A:D,4,),"NO REGISTRA")</f>
        <v>AUXILIAR DE RECURSOS ACADEMICOS</v>
      </c>
      <c r="E743" s="5" t="str">
        <f>IFERROR(VLOOKUP(A743,'Base Prueba'!A:E,5,),"NO REGISTRA")</f>
        <v>RECURSOS ACADEMICOS</v>
      </c>
    </row>
    <row r="744" spans="1:5" ht="15.75" x14ac:dyDescent="0.25">
      <c r="A744" s="10">
        <v>248294</v>
      </c>
      <c r="B744" s="2">
        <v>46127.678142939818</v>
      </c>
      <c r="C744" s="3" t="str">
        <f>IFERROR(VLOOKUP(A744,'Base Prueba'!A:C,3,),"NO REGISTRA")</f>
        <v>WALTER NATALIO VALDEZ MONTAÑEZ</v>
      </c>
      <c r="D744" s="4" t="str">
        <f>IFERROR(VLOOKUP(A744,'Base Prueba'!A:D,4,),"NO REGISTRA")</f>
        <v>DOCENTE DE TIEMPO COMPLETO</v>
      </c>
      <c r="E744" s="5" t="str">
        <f>IFERROR(VLOOKUP(A744,'Base Prueba'!A:E,5,),"NO REGISTRA")</f>
        <v>UNIVERSITARIO EN TURISMO Y GASTRONOMIA</v>
      </c>
    </row>
    <row r="745" spans="1:5" ht="15.75" x14ac:dyDescent="0.25">
      <c r="A745" s="10">
        <v>1022378300</v>
      </c>
      <c r="B745" s="2">
        <v>46127.711835069444</v>
      </c>
      <c r="C745" s="3" t="str">
        <f>IFERROR(VLOOKUP(A745,'Base Prueba'!A:C,3,),"NO REGISTRA")</f>
        <v>FERNEY ANDRES CHASPUENGAL RAMIREZ</v>
      </c>
      <c r="D745" s="4" t="str">
        <f>IFERROR(VLOOKUP(A745,'Base Prueba'!A:D,4,),"NO REGISTRA")</f>
        <v>LÍDER DE DEPORTE Y CULTURA</v>
      </c>
      <c r="E745" s="5" t="str">
        <f>IFERROR(VLOOKUP(A745,'Base Prueba'!A:E,5,),"NO REGISTRA")</f>
        <v>DIRECCION DE BIENESTAR INSTITUCIONAL</v>
      </c>
    </row>
    <row r="746" spans="1:5" ht="15.75" x14ac:dyDescent="0.25">
      <c r="A746" s="10">
        <v>1014257968</v>
      </c>
      <c r="B746" s="2">
        <v>46127.738213657409</v>
      </c>
      <c r="C746" s="3" t="str">
        <f>IFERROR(VLOOKUP(A746,'Base Prueba'!A:C,3,),"NO REGISTRA")</f>
        <v>JORGE ANDRES LIEVANO LOPEZ</v>
      </c>
      <c r="D746" s="4" t="str">
        <f>IFERROR(VLOOKUP(A746,'Base Prueba'!A:D,4,),"NO REGISTRA")</f>
        <v>DOCENTE DE TIEMPO COMPLETO</v>
      </c>
      <c r="E746" s="5" t="str">
        <f>IFERROR(VLOOKUP(A746,'Base Prueba'!A:E,5,),"NO REGISTRA")</f>
        <v>UNIDAD DE IDIOMAS</v>
      </c>
    </row>
    <row r="747" spans="1:5" ht="15.75" x14ac:dyDescent="0.25">
      <c r="A747" s="10">
        <v>1014257968</v>
      </c>
      <c r="B747" s="2">
        <v>46127.800190624999</v>
      </c>
      <c r="C747" s="3" t="str">
        <f>IFERROR(VLOOKUP(A747,'Base Prueba'!A:C,3,),"NO REGISTRA")</f>
        <v>JORGE ANDRES LIEVANO LOPEZ</v>
      </c>
      <c r="D747" s="4" t="str">
        <f>IFERROR(VLOOKUP(A747,'Base Prueba'!A:D,4,),"NO REGISTRA")</f>
        <v>DOCENTE DE TIEMPO COMPLETO</v>
      </c>
      <c r="E747" s="5" t="str">
        <f>IFERROR(VLOOKUP(A747,'Base Prueba'!A:E,5,),"NO REGISTRA")</f>
        <v>UNIDAD DE IDIOMAS</v>
      </c>
    </row>
    <row r="748" spans="1:5" ht="15.75" x14ac:dyDescent="0.25">
      <c r="A748" s="10">
        <v>79452150</v>
      </c>
      <c r="B748" s="2">
        <v>46127.802850925924</v>
      </c>
      <c r="C748" s="3" t="str">
        <f>IFERROR(VLOOKUP(A748,'Base Prueba'!A:C,3,),"NO REGISTRA")</f>
        <v>JUAN CARLOS PAZ CUBILLOS</v>
      </c>
      <c r="D748" s="4" t="str">
        <f>IFERROR(VLOOKUP(A748,'Base Prueba'!A:D,4,),"NO REGISTRA")</f>
        <v>ANALISTA DE SISTEMAS</v>
      </c>
      <c r="E748" s="5" t="str">
        <f>IFERROR(VLOOKUP(A748,'Base Prueba'!A:E,5,),"NO REGISTRA")</f>
        <v>DEPARTAMENTO DE INFORMATICA Y TECNOLOGIA</v>
      </c>
    </row>
    <row r="749" spans="1:5" ht="15.75" x14ac:dyDescent="0.25">
      <c r="A749" s="10">
        <v>1032457498</v>
      </c>
      <c r="B749" s="2">
        <v>46127.810599421297</v>
      </c>
      <c r="C749" s="3" t="str">
        <f>IFERROR(VLOOKUP(A749,'Base Prueba'!A:C,3,),"NO REGISTRA")</f>
        <v>LOTUS KING SALCEDO VALLEJO</v>
      </c>
      <c r="D749" s="4" t="str">
        <f>IFERROR(VLOOKUP(A749,'Base Prueba'!A:D,4,),"NO REGISTRA")</f>
        <v>COORDINADOR DE INVESTIGACIÓN</v>
      </c>
      <c r="E749" s="5" t="str">
        <f>IFERROR(VLOOKUP(A749,'Base Prueba'!A:E,5,),"NO REGISTRA")</f>
        <v>VICERRECTORIA ACADEMICA</v>
      </c>
    </row>
    <row r="750" spans="1:5" ht="15.75" x14ac:dyDescent="0.25">
      <c r="A750" s="10">
        <v>52049956</v>
      </c>
      <c r="B750" s="2">
        <v>46127.827206249996</v>
      </c>
      <c r="C750" s="3" t="str">
        <f>IFERROR(VLOOKUP(A750,'Base Prueba'!A:C,3,),"NO REGISTRA")</f>
        <v>ESPERANZA MORALES</v>
      </c>
      <c r="D750" s="4" t="str">
        <f>IFERROR(VLOOKUP(A750,'Base Prueba'!A:D,4,),"NO REGISTRA")</f>
        <v>DIRECTORA DE INFORMATICA Y TECNOLOGIA</v>
      </c>
      <c r="E750" s="5" t="str">
        <f>IFERROR(VLOOKUP(A750,'Base Prueba'!A:E,5,),"NO REGISTRA")</f>
        <v>DEPARTAMENTO DE INFORMATICA Y TECNOLOGIA</v>
      </c>
    </row>
    <row r="751" spans="1:5" ht="15.75" x14ac:dyDescent="0.25">
      <c r="A751" s="10">
        <v>52850506</v>
      </c>
      <c r="B751" s="2">
        <v>46127.846599189812</v>
      </c>
      <c r="C751" s="3" t="str">
        <f>IFERROR(VLOOKUP(A751,'Base Prueba'!A:C,3,),"NO REGISTRA")</f>
        <v>PAOLA ANDREA VASQUEZ FONSECA</v>
      </c>
      <c r="D751" s="4" t="str">
        <f>IFERROR(VLOOKUP(A751,'Base Prueba'!A:D,4,),"NO REGISTRA")</f>
        <v>DOCENTE DE TIEMPO COMPLETO</v>
      </c>
      <c r="E751" s="5" t="str">
        <f>IFERROR(VLOOKUP(A751,'Base Prueba'!A:E,5,),"NO REGISTRA")</f>
        <v>UNIVERSITARIO COMUNICACION SOCIAL</v>
      </c>
    </row>
    <row r="752" spans="1:5" ht="15.75" x14ac:dyDescent="0.25">
      <c r="A752" s="10">
        <v>52782050</v>
      </c>
      <c r="B752" s="2">
        <v>46128.290456481482</v>
      </c>
      <c r="C752" s="3" t="str">
        <f>IFERROR(VLOOKUP(A752,'Base Prueba'!A:C,3,),"NO REGISTRA")</f>
        <v>MELISSA AVENDAÑO TOCANCHON</v>
      </c>
      <c r="D752" s="4" t="str">
        <f>IFERROR(VLOOKUP(A752,'Base Prueba'!A:D,4,),"NO REGISTRA")</f>
        <v>DOCENTE DE MEDIO TIEMPO</v>
      </c>
      <c r="E752" s="5" t="str">
        <f>IFERROR(VLOOKUP(A752,'Base Prueba'!A:E,5,),"NO REGISTRA")</f>
        <v>NARRATIVAS DIGITALES Y AUDIOVISUALES</v>
      </c>
    </row>
    <row r="753" spans="1:5" ht="15.75" x14ac:dyDescent="0.25">
      <c r="A753" s="10">
        <v>1073150473</v>
      </c>
      <c r="B753" s="2">
        <v>46128.291194675927</v>
      </c>
      <c r="C753" s="3" t="str">
        <f>IFERROR(VLOOKUP(A753,'Base Prueba'!A:C,3,),"NO REGISTRA")</f>
        <v>DIANA STELLA MELGAREJO MUÑOZ</v>
      </c>
      <c r="D753" s="4" t="str">
        <f>IFERROR(VLOOKUP(A753,'Base Prueba'!A:D,4,),"NO REGISTRA")</f>
        <v>DOCENTE DE MEDIO TIEMPO</v>
      </c>
      <c r="E753" s="5" t="str">
        <f>IFERROR(VLOOKUP(A753,'Base Prueba'!A:E,5,),"NO REGISTRA")</f>
        <v>TECNICA EN FOTOGRAFIA</v>
      </c>
    </row>
    <row r="754" spans="1:5" ht="15.75" x14ac:dyDescent="0.25">
      <c r="A754" s="10">
        <v>1032487526</v>
      </c>
      <c r="B754" s="2">
        <v>46128.340747569448</v>
      </c>
      <c r="C754" s="3" t="str">
        <f>IFERROR(VLOOKUP(A754,'Base Prueba'!A:C,3,),"NO REGISTRA")</f>
        <v>LAURA ANDREA MEZA MARTINEZ</v>
      </c>
      <c r="D754" s="4" t="str">
        <f>IFERROR(VLOOKUP(A754,'Base Prueba'!A:D,4,),"NO REGISTRA")</f>
        <v>DOCENTE DE MEDIO TIEMPO</v>
      </c>
      <c r="E754" s="5" t="str">
        <f>IFERROR(VLOOKUP(A754,'Base Prueba'!A:E,5,),"NO REGISTRA")</f>
        <v>TECNICO LABORAL AUXILIAR PRODUCCION GRAFICA</v>
      </c>
    </row>
    <row r="755" spans="1:5" ht="15.75" x14ac:dyDescent="0.25">
      <c r="A755" s="10">
        <v>52049956</v>
      </c>
      <c r="B755" s="2">
        <v>46128.343711805559</v>
      </c>
      <c r="C755" s="3" t="str">
        <f>IFERROR(VLOOKUP(A755,'Base Prueba'!A:C,3,),"NO REGISTRA")</f>
        <v>ESPERANZA MORALES</v>
      </c>
      <c r="D755" s="4" t="str">
        <f>IFERROR(VLOOKUP(A755,'Base Prueba'!A:D,4,),"NO REGISTRA")</f>
        <v>DIRECTORA DE INFORMATICA Y TECNOLOGIA</v>
      </c>
      <c r="E755" s="5" t="str">
        <f>IFERROR(VLOOKUP(A755,'Base Prueba'!A:E,5,),"NO REGISTRA")</f>
        <v>DEPARTAMENTO DE INFORMATICA Y TECNOLOGIA</v>
      </c>
    </row>
    <row r="756" spans="1:5" ht="15.75" x14ac:dyDescent="0.25">
      <c r="A756" s="10">
        <v>52850506</v>
      </c>
      <c r="B756" s="2">
        <v>46128.376927430552</v>
      </c>
      <c r="C756" s="3" t="str">
        <f>IFERROR(VLOOKUP(A756,'Base Prueba'!A:C,3,),"NO REGISTRA")</f>
        <v>PAOLA ANDREA VASQUEZ FONSECA</v>
      </c>
      <c r="D756" s="4" t="str">
        <f>IFERROR(VLOOKUP(A756,'Base Prueba'!A:D,4,),"NO REGISTRA")</f>
        <v>DOCENTE DE TIEMPO COMPLETO</v>
      </c>
      <c r="E756" s="5" t="str">
        <f>IFERROR(VLOOKUP(A756,'Base Prueba'!A:E,5,),"NO REGISTRA")</f>
        <v>UNIVERSITARIO COMUNICACION SOCIAL</v>
      </c>
    </row>
    <row r="757" spans="1:5" ht="15.75" x14ac:dyDescent="0.25">
      <c r="A757" s="10">
        <v>85437910</v>
      </c>
      <c r="B757" s="2">
        <v>46128.393558680553</v>
      </c>
      <c r="C757" s="3" t="str">
        <f>IFERROR(VLOOKUP(A757,'Base Prueba'!A:C,3,),"NO REGISTRA")</f>
        <v>EDGAR JOSE PISCIOTTI LEON</v>
      </c>
      <c r="D757" s="4" t="str">
        <f>IFERROR(VLOOKUP(A757,'Base Prueba'!A:D,4,),"NO REGISTRA")</f>
        <v>DOCENTE DE MEDIO TIEMPO</v>
      </c>
      <c r="E757" s="5" t="str">
        <f>IFERROR(VLOOKUP(A757,'Base Prueba'!A:E,5,),"NO REGISTRA")</f>
        <v>TECNOLOGIA EN COMERCIO Y NEGOCIOS INTERNACIONALES</v>
      </c>
    </row>
    <row r="758" spans="1:5" ht="15.75" x14ac:dyDescent="0.25">
      <c r="A758" s="10">
        <v>85437910</v>
      </c>
      <c r="B758" s="2">
        <v>46128.39356527778</v>
      </c>
      <c r="C758" s="3" t="str">
        <f>IFERROR(VLOOKUP(A758,'Base Prueba'!A:C,3,),"NO REGISTRA")</f>
        <v>EDGAR JOSE PISCIOTTI LEON</v>
      </c>
      <c r="D758" s="4" t="str">
        <f>IFERROR(VLOOKUP(A758,'Base Prueba'!A:D,4,),"NO REGISTRA")</f>
        <v>DOCENTE DE MEDIO TIEMPO</v>
      </c>
      <c r="E758" s="5" t="str">
        <f>IFERROR(VLOOKUP(A758,'Base Prueba'!A:E,5,),"NO REGISTRA")</f>
        <v>TECNOLOGIA EN COMERCIO Y NEGOCIOS INTERNACIONALES</v>
      </c>
    </row>
    <row r="759" spans="1:5" ht="15.75" x14ac:dyDescent="0.25">
      <c r="A759" s="10">
        <v>52782050</v>
      </c>
      <c r="B759" s="2">
        <v>46128.470931481483</v>
      </c>
      <c r="C759" s="3" t="str">
        <f>IFERROR(VLOOKUP(A759,'Base Prueba'!A:C,3,),"NO REGISTRA")</f>
        <v>MELISSA AVENDAÑO TOCANCHON</v>
      </c>
      <c r="D759" s="4" t="str">
        <f>IFERROR(VLOOKUP(A759,'Base Prueba'!A:D,4,),"NO REGISTRA")</f>
        <v>DOCENTE DE MEDIO TIEMPO</v>
      </c>
      <c r="E759" s="5" t="str">
        <f>IFERROR(VLOOKUP(A759,'Base Prueba'!A:E,5,),"NO REGISTRA")</f>
        <v>NARRATIVAS DIGITALES Y AUDIOVISUALES</v>
      </c>
    </row>
    <row r="760" spans="1:5" ht="15.75" x14ac:dyDescent="0.25">
      <c r="A760" s="10">
        <v>1032487526</v>
      </c>
      <c r="B760" s="2">
        <v>46128.51074513889</v>
      </c>
      <c r="C760" s="3" t="str">
        <f>IFERROR(VLOOKUP(A760,'Base Prueba'!A:C,3,),"NO REGISTRA")</f>
        <v>LAURA ANDREA MEZA MARTINEZ</v>
      </c>
      <c r="D760" s="4" t="str">
        <f>IFERROR(VLOOKUP(A760,'Base Prueba'!A:D,4,),"NO REGISTRA")</f>
        <v>DOCENTE DE MEDIO TIEMPO</v>
      </c>
      <c r="E760" s="5" t="str">
        <f>IFERROR(VLOOKUP(A760,'Base Prueba'!A:E,5,),"NO REGISTRA")</f>
        <v>TECNICO LABORAL AUXILIAR PRODUCCION GRAFICA</v>
      </c>
    </row>
    <row r="761" spans="1:5" ht="15.75" x14ac:dyDescent="0.25">
      <c r="A761" s="10">
        <v>248294</v>
      </c>
      <c r="B761" s="2">
        <v>46128.546967824077</v>
      </c>
      <c r="C761" s="3" t="str">
        <f>IFERROR(VLOOKUP(A761,'Base Prueba'!A:C,3,),"NO REGISTRA")</f>
        <v>WALTER NATALIO VALDEZ MONTAÑEZ</v>
      </c>
      <c r="D761" s="4" t="str">
        <f>IFERROR(VLOOKUP(A761,'Base Prueba'!A:D,4,),"NO REGISTRA")</f>
        <v>DOCENTE DE TIEMPO COMPLETO</v>
      </c>
      <c r="E761" s="5" t="str">
        <f>IFERROR(VLOOKUP(A761,'Base Prueba'!A:E,5,),"NO REGISTRA")</f>
        <v>UNIVERSITARIO EN TURISMO Y GASTRONOMIA</v>
      </c>
    </row>
    <row r="762" spans="1:5" ht="15.75" x14ac:dyDescent="0.25">
      <c r="A762" s="10">
        <v>91283826</v>
      </c>
      <c r="B762" s="2">
        <v>46128.595851388891</v>
      </c>
      <c r="C762" s="3" t="str">
        <f>IFERROR(VLOOKUP(A762,'Base Prueba'!A:C,3,),"NO REGISTRA")</f>
        <v>CARLOS ALBERTO ESPINOSA HERRERA</v>
      </c>
      <c r="D762" s="4" t="str">
        <f>IFERROR(VLOOKUP(A762,'Base Prueba'!A:D,4,),"NO REGISTRA")</f>
        <v>DOCENTE DE MEDIO TIEMPO</v>
      </c>
      <c r="E762" s="5" t="str">
        <f>IFERROR(VLOOKUP(A762,'Base Prueba'!A:E,5,),"NO REGISTRA")</f>
        <v>TECNOLOGÍA EN PRODUCCIÓN DE CONTENIDOS PERIODÍSTICOS</v>
      </c>
    </row>
    <row r="763" spans="1:5" ht="15.75" x14ac:dyDescent="0.25">
      <c r="A763" s="10">
        <v>91283826</v>
      </c>
      <c r="B763" s="2">
        <v>46128.595864236115</v>
      </c>
      <c r="C763" s="3" t="str">
        <f>IFERROR(VLOOKUP(A763,'Base Prueba'!A:C,3,),"NO REGISTRA")</f>
        <v>CARLOS ALBERTO ESPINOSA HERRERA</v>
      </c>
      <c r="D763" s="4" t="str">
        <f>IFERROR(VLOOKUP(A763,'Base Prueba'!A:D,4,),"NO REGISTRA")</f>
        <v>DOCENTE DE MEDIO TIEMPO</v>
      </c>
      <c r="E763" s="5" t="str">
        <f>IFERROR(VLOOKUP(A763,'Base Prueba'!A:E,5,),"NO REGISTRA")</f>
        <v>TECNOLOGÍA EN PRODUCCIÓN DE CONTENIDOS PERIODÍSTICOS</v>
      </c>
    </row>
    <row r="764" spans="1:5" ht="15.75" x14ac:dyDescent="0.25">
      <c r="A764" s="10">
        <v>1019603886</v>
      </c>
      <c r="B764" s="2">
        <v>46128.604043402775</v>
      </c>
      <c r="C764" s="3" t="str">
        <f>IFERROR(VLOOKUP(A764,'Base Prueba'!A:C,3,),"NO REGISTRA")</f>
        <v>NICOLAS ESPITIA CHACON</v>
      </c>
      <c r="D764" s="4" t="str">
        <f>IFERROR(VLOOKUP(A764,'Base Prueba'!A:D,4,),"NO REGISTRA")</f>
        <v>AUXILIAR DE RECURSOS ACADEMICOS</v>
      </c>
      <c r="E764" s="5" t="str">
        <f>IFERROR(VLOOKUP(A764,'Base Prueba'!A:E,5,),"NO REGISTRA")</f>
        <v>RECURSOS ACADEMICOS</v>
      </c>
    </row>
    <row r="765" spans="1:5" ht="15.75" x14ac:dyDescent="0.25">
      <c r="A765" s="10">
        <v>79942078</v>
      </c>
      <c r="B765" s="2">
        <v>46128.674934953706</v>
      </c>
      <c r="C765" s="3" t="str">
        <f>IFERROR(VLOOKUP(A765,'Base Prueba'!A:C,3,),"NO REGISTRA")</f>
        <v>JORGE MARIO ORJUELA MARQUEZ</v>
      </c>
      <c r="D765" s="4" t="str">
        <f>IFERROR(VLOOKUP(A765,'Base Prueba'!A:D,4,),"NO REGISTRA")</f>
        <v>DOCENTE DE TIEMPO COMPLETO</v>
      </c>
      <c r="E765" s="5" t="str">
        <f>IFERROR(VLOOKUP(A765,'Base Prueba'!A:E,5,),"NO REGISTRA")</f>
        <v>UNIVERSITARIO ADMINISTRACION DE EMPRESAS</v>
      </c>
    </row>
    <row r="766" spans="1:5" ht="15.75" x14ac:dyDescent="0.25">
      <c r="A766" s="10">
        <v>11388623</v>
      </c>
      <c r="B766" s="2">
        <v>46128.731476157409</v>
      </c>
      <c r="C766" s="3" t="str">
        <f>IFERROR(VLOOKUP(A766,'Base Prueba'!A:C,3,),"NO REGISTRA")</f>
        <v>DIEGO MAURICIO PADILLA DIAZ</v>
      </c>
      <c r="D766" s="4" t="str">
        <f>IFERROR(VLOOKUP(A766,'Base Prueba'!A:D,4,),"NO REGISTRA")</f>
        <v>DOCENTE DE MEDIO TIEMPO</v>
      </c>
      <c r="E766" s="5" t="str">
        <f>IFERROR(VLOOKUP(A766,'Base Prueba'!A:E,5,),"NO REGISTRA")</f>
        <v>UNIVERSITARIO ADMINISTRACION DE EMPRESAS</v>
      </c>
    </row>
    <row r="767" spans="1:5" ht="15.75" x14ac:dyDescent="0.25">
      <c r="A767" s="10">
        <v>79473556</v>
      </c>
      <c r="B767" s="2">
        <v>46128.753750810189</v>
      </c>
      <c r="C767" s="3" t="str">
        <f>IFERROR(VLOOKUP(A767,'Base Prueba'!A:C,3,),"NO REGISTRA")</f>
        <v>ARCADIO SOTO ROJAS</v>
      </c>
      <c r="D767" s="4" t="str">
        <f>IFERROR(VLOOKUP(A767,'Base Prueba'!A:D,4,),"NO REGISTRA")</f>
        <v>CATEDRATICO</v>
      </c>
      <c r="E767" s="5" t="str">
        <f>IFERROR(VLOOKUP(A767,'Base Prueba'!A:E,5,),"NO REGISTRA")</f>
        <v>ESPECIALIZACION EN GERENCIA DE SEGURIDAD INDUSTRIAL</v>
      </c>
    </row>
    <row r="768" spans="1:5" ht="15.75" x14ac:dyDescent="0.25">
      <c r="A768" s="10">
        <v>52782050</v>
      </c>
      <c r="B768" s="2">
        <v>46128.755717708336</v>
      </c>
      <c r="C768" s="3" t="str">
        <f>IFERROR(VLOOKUP(A768,'Base Prueba'!A:C,3,),"NO REGISTRA")</f>
        <v>MELISSA AVENDAÑO TOCANCHON</v>
      </c>
      <c r="D768" s="4" t="str">
        <f>IFERROR(VLOOKUP(A768,'Base Prueba'!A:D,4,),"NO REGISTRA")</f>
        <v>DOCENTE DE MEDIO TIEMPO</v>
      </c>
      <c r="E768" s="5" t="str">
        <f>IFERROR(VLOOKUP(A768,'Base Prueba'!A:E,5,),"NO REGISTRA")</f>
        <v>NARRATIVAS DIGITALES Y AUDIOVISUALES</v>
      </c>
    </row>
    <row r="769" spans="1:5" ht="15.75" x14ac:dyDescent="0.25">
      <c r="A769" s="10">
        <v>79452150</v>
      </c>
      <c r="B769" s="2">
        <v>46128.794397800928</v>
      </c>
      <c r="C769" s="3" t="str">
        <f>IFERROR(VLOOKUP(A769,'Base Prueba'!A:C,3,),"NO REGISTRA")</f>
        <v>JUAN CARLOS PAZ CUBILLOS</v>
      </c>
      <c r="D769" s="4" t="str">
        <f>IFERROR(VLOOKUP(A769,'Base Prueba'!A:D,4,),"NO REGISTRA")</f>
        <v>ANALISTA DE SISTEMAS</v>
      </c>
      <c r="E769" s="5" t="str">
        <f>IFERROR(VLOOKUP(A769,'Base Prueba'!A:E,5,),"NO REGISTRA")</f>
        <v>DEPARTAMENTO DE INFORMATICA Y TECNOLOGIA</v>
      </c>
    </row>
    <row r="770" spans="1:5" ht="15.75" x14ac:dyDescent="0.25">
      <c r="A770" s="10">
        <v>52049956</v>
      </c>
      <c r="B770" s="2">
        <v>46128.800410648146</v>
      </c>
      <c r="C770" s="3" t="str">
        <f>IFERROR(VLOOKUP(A770,'Base Prueba'!A:C,3,),"NO REGISTRA")</f>
        <v>ESPERANZA MORALES</v>
      </c>
      <c r="D770" s="4" t="str">
        <f>IFERROR(VLOOKUP(A770,'Base Prueba'!A:D,4,),"NO REGISTRA")</f>
        <v>DIRECTORA DE INFORMATICA Y TECNOLOGIA</v>
      </c>
      <c r="E770" s="5" t="str">
        <f>IFERROR(VLOOKUP(A770,'Base Prueba'!A:E,5,),"NO REGISTRA")</f>
        <v>DEPARTAMENTO DE INFORMATICA Y TECNOLOGIA</v>
      </c>
    </row>
    <row r="771" spans="1:5" ht="15.75" x14ac:dyDescent="0.25">
      <c r="A771" s="10">
        <v>1032457498</v>
      </c>
      <c r="B771" s="2">
        <v>46128.814421643518</v>
      </c>
      <c r="C771" s="3" t="str">
        <f>IFERROR(VLOOKUP(A771,'Base Prueba'!A:C,3,),"NO REGISTRA")</f>
        <v>LOTUS KING SALCEDO VALLEJO</v>
      </c>
      <c r="D771" s="4" t="str">
        <f>IFERROR(VLOOKUP(A771,'Base Prueba'!A:D,4,),"NO REGISTRA")</f>
        <v>COORDINADOR DE INVESTIGACIÓN</v>
      </c>
      <c r="E771" s="5" t="str">
        <f>IFERROR(VLOOKUP(A771,'Base Prueba'!A:E,5,),"NO REGISTRA")</f>
        <v>VICERRECTORIA ACADEMICA</v>
      </c>
    </row>
    <row r="772" spans="1:5" ht="15.75" x14ac:dyDescent="0.25">
      <c r="A772" s="10">
        <v>52782050</v>
      </c>
      <c r="B772" s="2">
        <v>46128.827662384261</v>
      </c>
      <c r="C772" s="3" t="str">
        <f>IFERROR(VLOOKUP(A772,'Base Prueba'!A:C,3,),"NO REGISTRA")</f>
        <v>MELISSA AVENDAÑO TOCANCHON</v>
      </c>
      <c r="D772" s="4" t="str">
        <f>IFERROR(VLOOKUP(A772,'Base Prueba'!A:D,4,),"NO REGISTRA")</f>
        <v>DOCENTE DE MEDIO TIEMPO</v>
      </c>
      <c r="E772" s="5" t="str">
        <f>IFERROR(VLOOKUP(A772,'Base Prueba'!A:E,5,),"NO REGISTRA")</f>
        <v>NARRATIVAS DIGITALES Y AUDIOVISUALES</v>
      </c>
    </row>
    <row r="773" spans="1:5" ht="15.75" x14ac:dyDescent="0.25">
      <c r="A773" s="10">
        <v>52850506</v>
      </c>
      <c r="B773" s="2">
        <v>46128.843739467593</v>
      </c>
      <c r="C773" s="3" t="str">
        <f>IFERROR(VLOOKUP(A773,'Base Prueba'!A:C,3,),"NO REGISTRA")</f>
        <v>PAOLA ANDREA VASQUEZ FONSECA</v>
      </c>
      <c r="D773" s="4" t="str">
        <f>IFERROR(VLOOKUP(A773,'Base Prueba'!A:D,4,),"NO REGISTRA")</f>
        <v>DOCENTE DE TIEMPO COMPLETO</v>
      </c>
      <c r="E773" s="5" t="str">
        <f>IFERROR(VLOOKUP(A773,'Base Prueba'!A:E,5,),"NO REGISTRA")</f>
        <v>UNIVERSITARIO COMUNICACION SOCIAL</v>
      </c>
    </row>
    <row r="774" spans="1:5" ht="15.75" x14ac:dyDescent="0.25">
      <c r="A774" s="10">
        <v>79473556</v>
      </c>
      <c r="B774" s="2">
        <v>46128.900850347221</v>
      </c>
      <c r="C774" s="3" t="str">
        <f>IFERROR(VLOOKUP(A774,'Base Prueba'!A:C,3,),"NO REGISTRA")</f>
        <v>ARCADIO SOTO ROJAS</v>
      </c>
      <c r="D774" s="4" t="str">
        <f>IFERROR(VLOOKUP(A774,'Base Prueba'!A:D,4,),"NO REGISTRA")</f>
        <v>CATEDRATICO</v>
      </c>
      <c r="E774" s="5" t="str">
        <f>IFERROR(VLOOKUP(A774,'Base Prueba'!A:E,5,),"NO REGISTRA")</f>
        <v>ESPECIALIZACION EN GERENCIA DE SEGURIDAD INDUSTRIAL</v>
      </c>
    </row>
    <row r="775" spans="1:5" ht="15.75" x14ac:dyDescent="0.25">
      <c r="A775" s="10">
        <v>79484197</v>
      </c>
      <c r="B775" s="2">
        <v>46129.278810185184</v>
      </c>
      <c r="C775" s="3" t="str">
        <f>IFERROR(VLOOKUP(A775,'Base Prueba'!A:C,3,),"NO REGISTRA")</f>
        <v>JOHN DANIEL GUTIERREZ BOADA</v>
      </c>
      <c r="D775" s="4" t="str">
        <f>IFERROR(VLOOKUP(A775,'Base Prueba'!A:D,4,),"NO REGISTRA")</f>
        <v>DOCENTE DE MEDIO TIEMPO</v>
      </c>
      <c r="E775" s="5" t="str">
        <f>IFERROR(VLOOKUP(A775,'Base Prueba'!A:E,5,),"NO REGISTRA")</f>
        <v>UNIVERSITARIO COMUNICACION SOCIAL</v>
      </c>
    </row>
    <row r="776" spans="1:5" ht="15.75" x14ac:dyDescent="0.25">
      <c r="A776" s="10">
        <v>80778198</v>
      </c>
      <c r="B776" s="2">
        <v>46129.289163194444</v>
      </c>
      <c r="C776" s="3" t="str">
        <f>IFERROR(VLOOKUP(A776,'Base Prueba'!A:C,3,),"NO REGISTRA")</f>
        <v>JIMY JAVIER ALDANA REYES</v>
      </c>
      <c r="D776" s="4" t="str">
        <f>IFERROR(VLOOKUP(A776,'Base Prueba'!A:D,4,),"NO REGISTRA")</f>
        <v>DOCENTE DE TIEMPO COMPLETO</v>
      </c>
      <c r="E776" s="5" t="str">
        <f>IFERROR(VLOOKUP(A776,'Base Prueba'!A:E,5,),"NO REGISTRA")</f>
        <v>INGENIERIA DE SOFTWARE</v>
      </c>
    </row>
    <row r="777" spans="1:5" ht="15.75" x14ac:dyDescent="0.25">
      <c r="A777" s="10">
        <v>1000218614</v>
      </c>
      <c r="B777" s="2">
        <v>46129.326173842594</v>
      </c>
      <c r="C777" s="3" t="str">
        <f>IFERROR(VLOOKUP(A777,'Base Prueba'!A:C,3,),"NO REGISTRA")</f>
        <v>SEBASTIAN DAVID MELO DIAZ</v>
      </c>
      <c r="D777" s="4" t="str">
        <f>IFERROR(VLOOKUP(A777,'Base Prueba'!A:D,4,),"NO REGISTRA")</f>
        <v>ANALISTA DE SISTEMAS</v>
      </c>
      <c r="E777" s="5" t="str">
        <f>IFERROR(VLOOKUP(A777,'Base Prueba'!A:E,5,),"NO REGISTRA")</f>
        <v>DEPARTAMENTO DE INFORMATICA Y TECNOLOGIA</v>
      </c>
    </row>
    <row r="778" spans="1:5" ht="15.75" x14ac:dyDescent="0.25">
      <c r="A778" s="10">
        <v>1032487526</v>
      </c>
      <c r="B778" s="2">
        <v>46129.353476041666</v>
      </c>
      <c r="C778" s="3" t="str">
        <f>IFERROR(VLOOKUP(A778,'Base Prueba'!A:C,3,),"NO REGISTRA")</f>
        <v>LAURA ANDREA MEZA MARTINEZ</v>
      </c>
      <c r="D778" s="4" t="str">
        <f>IFERROR(VLOOKUP(A778,'Base Prueba'!A:D,4,),"NO REGISTRA")</f>
        <v>DOCENTE DE MEDIO TIEMPO</v>
      </c>
      <c r="E778" s="5" t="str">
        <f>IFERROR(VLOOKUP(A778,'Base Prueba'!A:E,5,),"NO REGISTRA")</f>
        <v>TECNICO LABORAL AUXILIAR PRODUCCION GRAFICA</v>
      </c>
    </row>
    <row r="779" spans="1:5" ht="15.75" x14ac:dyDescent="0.25">
      <c r="A779" s="10">
        <v>85437910</v>
      </c>
      <c r="B779" s="2">
        <v>46129.354959953707</v>
      </c>
      <c r="C779" s="3" t="str">
        <f>IFERROR(VLOOKUP(A779,'Base Prueba'!A:C,3,),"NO REGISTRA")</f>
        <v>EDGAR JOSE PISCIOTTI LEON</v>
      </c>
      <c r="D779" s="4" t="str">
        <f>IFERROR(VLOOKUP(A779,'Base Prueba'!A:D,4,),"NO REGISTRA")</f>
        <v>DOCENTE DE MEDIO TIEMPO</v>
      </c>
      <c r="E779" s="5" t="str">
        <f>IFERROR(VLOOKUP(A779,'Base Prueba'!A:E,5,),"NO REGISTRA")</f>
        <v>TECNOLOGIA EN COMERCIO Y NEGOCIOS INTERNACIONALES</v>
      </c>
    </row>
    <row r="780" spans="1:5" ht="15.75" x14ac:dyDescent="0.25">
      <c r="A780" s="10">
        <v>19461924</v>
      </c>
      <c r="B780" s="2">
        <v>46129.362044560185</v>
      </c>
      <c r="C780" s="3" t="str">
        <f>IFERROR(VLOOKUP(A780,'Base Prueba'!A:C,3,),"NO REGISTRA")</f>
        <v>ORLANDO ALBERTO ORTIZ SANCHEZ</v>
      </c>
      <c r="D780" s="4" t="str">
        <f>IFERROR(VLOOKUP(A780,'Base Prueba'!A:D,4,),"NO REGISTRA")</f>
        <v>DOCENTE DE TIEMPO COMPLETO</v>
      </c>
      <c r="E780" s="5" t="str">
        <f>IFERROR(VLOOKUP(A780,'Base Prueba'!A:E,5,),"NO REGISTRA")</f>
        <v>AREA DE CIENCIAS BASICAS</v>
      </c>
    </row>
    <row r="781" spans="1:5" ht="15.75" x14ac:dyDescent="0.25">
      <c r="A781" s="10">
        <v>52049956</v>
      </c>
      <c r="B781" s="2">
        <v>46129.368715625002</v>
      </c>
      <c r="C781" s="3" t="str">
        <f>IFERROR(VLOOKUP(A781,'Base Prueba'!A:C,3,),"NO REGISTRA")</f>
        <v>ESPERANZA MORALES</v>
      </c>
      <c r="D781" s="4" t="str">
        <f>IFERROR(VLOOKUP(A781,'Base Prueba'!A:D,4,),"NO REGISTRA")</f>
        <v>DIRECTORA DE INFORMATICA Y TECNOLOGIA</v>
      </c>
      <c r="E781" s="5" t="str">
        <f>IFERROR(VLOOKUP(A781,'Base Prueba'!A:E,5,),"NO REGISTRA")</f>
        <v>DEPARTAMENTO DE INFORMATICA Y TECNOLOGIA</v>
      </c>
    </row>
    <row r="782" spans="1:5" ht="15.75" x14ac:dyDescent="0.25">
      <c r="A782" s="10">
        <v>1090495027</v>
      </c>
      <c r="B782" s="2">
        <v>46129.393193171294</v>
      </c>
      <c r="C782" s="3" t="str">
        <f>IFERROR(VLOOKUP(A782,'Base Prueba'!A:C,3,),"NO REGISTRA")</f>
        <v>JHOBANY ALBERTO VACA LARGO</v>
      </c>
      <c r="D782" s="4" t="str">
        <f>IFERROR(VLOOKUP(A782,'Base Prueba'!A:D,4,),"NO REGISTRA")</f>
        <v>ENTRENADOR DEL CENTRO DE ALTURAS</v>
      </c>
      <c r="E782" s="5" t="str">
        <f>IFERROR(VLOOKUP(A782,'Base Prueba'!A:E,5,),"NO REGISTRA")</f>
        <v>OFICINA DE PLANEACION Y GESTION DE LA CALIDAD</v>
      </c>
    </row>
    <row r="783" spans="1:5" ht="15.75" x14ac:dyDescent="0.25">
      <c r="A783" s="10">
        <v>79484197</v>
      </c>
      <c r="B783" s="2">
        <v>46129.425830208333</v>
      </c>
      <c r="C783" s="3" t="str">
        <f>IFERROR(VLOOKUP(A783,'Base Prueba'!A:C,3,),"NO REGISTRA")</f>
        <v>JOHN DANIEL GUTIERREZ BOADA</v>
      </c>
      <c r="D783" s="4" t="str">
        <f>IFERROR(VLOOKUP(A783,'Base Prueba'!A:D,4,),"NO REGISTRA")</f>
        <v>DOCENTE DE MEDIO TIEMPO</v>
      </c>
      <c r="E783" s="5" t="str">
        <f>IFERROR(VLOOKUP(A783,'Base Prueba'!A:E,5,),"NO REGISTRA")</f>
        <v>UNIVERSITARIO COMUNICACION SOCIAL</v>
      </c>
    </row>
    <row r="784" spans="1:5" ht="15.75" x14ac:dyDescent="0.25">
      <c r="A784" s="10">
        <v>1032457498</v>
      </c>
      <c r="B784" s="2">
        <v>46129.733190162035</v>
      </c>
      <c r="C784" s="3" t="str">
        <f>IFERROR(VLOOKUP(A784,'Base Prueba'!A:C,3,),"NO REGISTRA")</f>
        <v>LOTUS KING SALCEDO VALLEJO</v>
      </c>
      <c r="D784" s="4" t="str">
        <f>IFERROR(VLOOKUP(A784,'Base Prueba'!A:D,4,),"NO REGISTRA")</f>
        <v>COORDINADOR DE INVESTIGACIÓN</v>
      </c>
      <c r="E784" s="5" t="str">
        <f>IFERROR(VLOOKUP(A784,'Base Prueba'!A:E,5,),"NO REGISTRA")</f>
        <v>VICERRECTORIA ACADEMICA</v>
      </c>
    </row>
    <row r="785" spans="1:5" ht="15.75" x14ac:dyDescent="0.25">
      <c r="A785" s="10">
        <v>79473556</v>
      </c>
      <c r="B785" s="2">
        <v>46129.754481365744</v>
      </c>
      <c r="C785" s="3" t="str">
        <f>IFERROR(VLOOKUP(A785,'Base Prueba'!A:C,3,),"NO REGISTRA")</f>
        <v>ARCADIO SOTO ROJAS</v>
      </c>
      <c r="D785" s="4" t="str">
        <f>IFERROR(VLOOKUP(A785,'Base Prueba'!A:D,4,),"NO REGISTRA")</f>
        <v>CATEDRATICO</v>
      </c>
      <c r="E785" s="5" t="str">
        <f>IFERROR(VLOOKUP(A785,'Base Prueba'!A:E,5,),"NO REGISTRA")</f>
        <v>ESPECIALIZACION EN GERENCIA DE SEGURIDAD INDUSTRIAL</v>
      </c>
    </row>
    <row r="786" spans="1:5" ht="15.75" x14ac:dyDescent="0.25">
      <c r="A786" s="10">
        <v>79473556</v>
      </c>
      <c r="B786" s="2">
        <v>46129.754485185185</v>
      </c>
      <c r="C786" s="3" t="str">
        <f>IFERROR(VLOOKUP(A786,'Base Prueba'!A:C,3,),"NO REGISTRA")</f>
        <v>ARCADIO SOTO ROJAS</v>
      </c>
      <c r="D786" s="4" t="str">
        <f>IFERROR(VLOOKUP(A786,'Base Prueba'!A:D,4,),"NO REGISTRA")</f>
        <v>CATEDRATICO</v>
      </c>
      <c r="E786" s="5" t="str">
        <f>IFERROR(VLOOKUP(A786,'Base Prueba'!A:E,5,),"NO REGISTRA")</f>
        <v>ESPECIALIZACION EN GERENCIA DE SEGURIDAD INDUSTRIAL</v>
      </c>
    </row>
    <row r="787" spans="1:5" ht="15.75" x14ac:dyDescent="0.25">
      <c r="A787" s="10">
        <v>80059783</v>
      </c>
      <c r="B787" s="2">
        <v>46129.75696053241</v>
      </c>
      <c r="C787" s="3" t="str">
        <f>IFERROR(VLOOKUP(A787,'Base Prueba'!A:C,3,),"NO REGISTRA")</f>
        <v>JAIRO FABIAN RIVERA RUBIANO</v>
      </c>
      <c r="D787" s="4" t="str">
        <f>IFERROR(VLOOKUP(A787,'Base Prueba'!A:D,4,),"NO REGISTRA")</f>
        <v>DOCENTE DE MEDIO TIEMPO</v>
      </c>
      <c r="E787" s="5" t="str">
        <f>IFERROR(VLOOKUP(A787,'Base Prueba'!A:E,5,),"NO REGISTRA")</f>
        <v>TECNOLOGIA EN ADMINISTRACION DEL TALENTO HUMANO</v>
      </c>
    </row>
    <row r="788" spans="1:5" ht="15.75" x14ac:dyDescent="0.25">
      <c r="A788" s="10">
        <v>52049956</v>
      </c>
      <c r="B788" s="2">
        <v>46129.797848726848</v>
      </c>
      <c r="C788" s="3" t="str">
        <f>IFERROR(VLOOKUP(A788,'Base Prueba'!A:C,3,),"NO REGISTRA")</f>
        <v>ESPERANZA MORALES</v>
      </c>
      <c r="D788" s="4" t="str">
        <f>IFERROR(VLOOKUP(A788,'Base Prueba'!A:D,4,),"NO REGISTRA")</f>
        <v>DIRECTORA DE INFORMATICA Y TECNOLOGIA</v>
      </c>
      <c r="E788" s="5" t="str">
        <f>IFERROR(VLOOKUP(A788,'Base Prueba'!A:E,5,),"NO REGISTRA")</f>
        <v>DEPARTAMENTO DE INFORMATICA Y TECNOLOGIA</v>
      </c>
    </row>
    <row r="789" spans="1:5" ht="15.75" x14ac:dyDescent="0.25">
      <c r="A789" s="10">
        <v>79452150</v>
      </c>
      <c r="B789" s="2">
        <v>46129.813430439812</v>
      </c>
      <c r="C789" s="3" t="str">
        <f>IFERROR(VLOOKUP(A789,'Base Prueba'!A:C,3,),"NO REGISTRA")</f>
        <v>JUAN CARLOS PAZ CUBILLOS</v>
      </c>
      <c r="D789" s="4" t="str">
        <f>IFERROR(VLOOKUP(A789,'Base Prueba'!A:D,4,),"NO REGISTRA")</f>
        <v>ANALISTA DE SISTEMAS</v>
      </c>
      <c r="E789" s="5" t="str">
        <f>IFERROR(VLOOKUP(A789,'Base Prueba'!A:E,5,),"NO REGISTRA")</f>
        <v>DEPARTAMENTO DE INFORMATICA Y TECNOLOGIA</v>
      </c>
    </row>
    <row r="790" spans="1:5" ht="15.75" x14ac:dyDescent="0.25">
      <c r="A790" s="10">
        <v>79473556</v>
      </c>
      <c r="B790" s="2">
        <v>46129.904198842596</v>
      </c>
      <c r="C790" s="3" t="str">
        <f>IFERROR(VLOOKUP(A790,'Base Prueba'!A:C,3,),"NO REGISTRA")</f>
        <v>ARCADIO SOTO ROJAS</v>
      </c>
      <c r="D790" s="4" t="str">
        <f>IFERROR(VLOOKUP(A790,'Base Prueba'!A:D,4,),"NO REGISTRA")</f>
        <v>CATEDRATICO</v>
      </c>
      <c r="E790" s="5" t="str">
        <f>IFERROR(VLOOKUP(A790,'Base Prueba'!A:E,5,),"NO REGISTRA")</f>
        <v>ESPECIALIZACION EN GERENCIA DE SEGURIDAD INDUSTRIAL</v>
      </c>
    </row>
    <row r="791" spans="1:5" ht="15.75" x14ac:dyDescent="0.25">
      <c r="A791" s="10">
        <v>79484197</v>
      </c>
      <c r="B791" s="2">
        <v>46130.276714814812</v>
      </c>
      <c r="C791" s="3" t="str">
        <f>IFERROR(VLOOKUP(A791,'Base Prueba'!A:C,3,),"NO REGISTRA")</f>
        <v>JOHN DANIEL GUTIERREZ BOADA</v>
      </c>
      <c r="D791" s="4" t="str">
        <f>IFERROR(VLOOKUP(A791,'Base Prueba'!A:D,4,),"NO REGISTRA")</f>
        <v>DOCENTE DE MEDIO TIEMPO</v>
      </c>
      <c r="E791" s="5" t="str">
        <f>IFERROR(VLOOKUP(A791,'Base Prueba'!A:E,5,),"NO REGISTRA")</f>
        <v>UNIVERSITARIO COMUNICACION SOCIAL</v>
      </c>
    </row>
    <row r="792" spans="1:5" ht="15.75" x14ac:dyDescent="0.25">
      <c r="A792" s="10">
        <v>80059783</v>
      </c>
      <c r="B792" s="2">
        <v>46130.285017708331</v>
      </c>
      <c r="C792" s="3" t="str">
        <f>IFERROR(VLOOKUP(A792,'Base Prueba'!A:C,3,),"NO REGISTRA")</f>
        <v>JAIRO FABIAN RIVERA RUBIANO</v>
      </c>
      <c r="D792" s="4" t="str">
        <f>IFERROR(VLOOKUP(A792,'Base Prueba'!A:D,4,),"NO REGISTRA")</f>
        <v>DOCENTE DE MEDIO TIEMPO</v>
      </c>
      <c r="E792" s="5" t="str">
        <f>IFERROR(VLOOKUP(A792,'Base Prueba'!A:E,5,),"NO REGISTRA")</f>
        <v>TECNOLOGIA EN ADMINISTRACION DEL TALENTO HUMANO</v>
      </c>
    </row>
    <row r="793" spans="1:5" ht="15.75" x14ac:dyDescent="0.25">
      <c r="A793" s="10">
        <v>52850506</v>
      </c>
      <c r="B793" s="2">
        <v>46130.302461921296</v>
      </c>
      <c r="C793" s="3" t="str">
        <f>IFERROR(VLOOKUP(A793,'Base Prueba'!A:C,3,),"NO REGISTRA")</f>
        <v>PAOLA ANDREA VASQUEZ FONSECA</v>
      </c>
      <c r="D793" s="4" t="str">
        <f>IFERROR(VLOOKUP(A793,'Base Prueba'!A:D,4,),"NO REGISTRA")</f>
        <v>DOCENTE DE TIEMPO COMPLETO</v>
      </c>
      <c r="E793" s="5" t="str">
        <f>IFERROR(VLOOKUP(A793,'Base Prueba'!A:E,5,),"NO REGISTRA")</f>
        <v>UNIVERSITARIO COMUNICACION SOCIAL</v>
      </c>
    </row>
    <row r="794" spans="1:5" ht="15.75" x14ac:dyDescent="0.25">
      <c r="A794" s="10">
        <v>79522309</v>
      </c>
      <c r="B794" s="2">
        <v>46130.302974652775</v>
      </c>
      <c r="C794" s="3" t="str">
        <f>IFERROR(VLOOKUP(A794,'Base Prueba'!A:C,3,),"NO REGISTRA")</f>
        <v>JULIAN ARTURO PUIN MANRIQUE</v>
      </c>
      <c r="D794" s="4" t="str">
        <f>IFERROR(VLOOKUP(A794,'Base Prueba'!A:D,4,),"NO REGISTRA")</f>
        <v>DOCENTE DE MEDIO TIEMPO</v>
      </c>
      <c r="E794" s="5" t="str">
        <f>IFERROR(VLOOKUP(A794,'Base Prueba'!A:E,5,),"NO REGISTRA")</f>
        <v>TECNOLOGIA EN SEGURIDAD Y SALUD EN EL TRABAJO</v>
      </c>
    </row>
    <row r="795" spans="1:5" ht="15.75" x14ac:dyDescent="0.25">
      <c r="A795" s="10">
        <v>80824834</v>
      </c>
      <c r="B795" s="2">
        <v>46130.308648032405</v>
      </c>
      <c r="C795" s="3" t="str">
        <f>IFERROR(VLOOKUP(A795,'Base Prueba'!A:C,3,),"NO REGISTRA")</f>
        <v>ELFAR DIDIER MORANTES SANCHEZ</v>
      </c>
      <c r="D795" s="4" t="str">
        <f>IFERROR(VLOOKUP(A795,'Base Prueba'!A:D,4,),"NO REGISTRA")</f>
        <v>DOCENTE DE MEDIO TIEMPO</v>
      </c>
      <c r="E795" s="5" t="str">
        <f>IFERROR(VLOOKUP(A795,'Base Prueba'!A:E,5,),"NO REGISTRA")</f>
        <v>INGENIERIA DE SOFTWARE</v>
      </c>
    </row>
    <row r="796" spans="1:5" ht="15.75" x14ac:dyDescent="0.25">
      <c r="A796" s="10">
        <v>85437910</v>
      </c>
      <c r="B796" s="2">
        <v>46130.309630208336</v>
      </c>
      <c r="C796" s="3" t="str">
        <f>IFERROR(VLOOKUP(A796,'Base Prueba'!A:C,3,),"NO REGISTRA")</f>
        <v>EDGAR JOSE PISCIOTTI LEON</v>
      </c>
      <c r="D796" s="4" t="str">
        <f>IFERROR(VLOOKUP(A796,'Base Prueba'!A:D,4,),"NO REGISTRA")</f>
        <v>DOCENTE DE MEDIO TIEMPO</v>
      </c>
      <c r="E796" s="5" t="str">
        <f>IFERROR(VLOOKUP(A796,'Base Prueba'!A:E,5,),"NO REGISTRA")</f>
        <v>TECNOLOGIA EN COMERCIO Y NEGOCIOS INTERNACIONALES</v>
      </c>
    </row>
    <row r="797" spans="1:5" ht="15.75" x14ac:dyDescent="0.25">
      <c r="A797" s="10">
        <v>52049956</v>
      </c>
      <c r="B797" s="2">
        <v>46130.376711574077</v>
      </c>
      <c r="C797" s="3" t="str">
        <f>IFERROR(VLOOKUP(A797,'Base Prueba'!A:C,3,),"NO REGISTRA")</f>
        <v>ESPERANZA MORALES</v>
      </c>
      <c r="D797" s="4" t="str">
        <f>IFERROR(VLOOKUP(A797,'Base Prueba'!A:D,4,),"NO REGISTRA")</f>
        <v>DIRECTORA DE INFORMATICA Y TECNOLOGIA</v>
      </c>
      <c r="E797" s="5" t="str">
        <f>IFERROR(VLOOKUP(A797,'Base Prueba'!A:E,5,),"NO REGISTRA")</f>
        <v>DEPARTAMENTO DE INFORMATICA Y TECNOLOGIA</v>
      </c>
    </row>
    <row r="798" spans="1:5" ht="15.75" x14ac:dyDescent="0.25">
      <c r="A798" s="10">
        <v>52850506</v>
      </c>
      <c r="B798" s="2">
        <v>46130.437906134262</v>
      </c>
      <c r="C798" s="3" t="str">
        <f>IFERROR(VLOOKUP(A798,'Base Prueba'!A:C,3,),"NO REGISTRA")</f>
        <v>PAOLA ANDREA VASQUEZ FONSECA</v>
      </c>
      <c r="D798" s="4" t="str">
        <f>IFERROR(VLOOKUP(A798,'Base Prueba'!A:D,4,),"NO REGISTRA")</f>
        <v>DOCENTE DE TIEMPO COMPLETO</v>
      </c>
      <c r="E798" s="5" t="str">
        <f>IFERROR(VLOOKUP(A798,'Base Prueba'!A:E,5,),"NO REGISTRA")</f>
        <v>UNIVERSITARIO COMUNICACION SOCIAL</v>
      </c>
    </row>
    <row r="799" spans="1:5" ht="15.75" x14ac:dyDescent="0.25">
      <c r="A799" s="10">
        <v>1022346044</v>
      </c>
      <c r="B799" s="2">
        <v>46130.438062384259</v>
      </c>
      <c r="C799" s="3" t="str">
        <f>IFERROR(VLOOKUP(A799,'Base Prueba'!A:C,3,),"NO REGISTRA")</f>
        <v>LUZ ALEJANDRA CASTILLO RODRIGUEZ</v>
      </c>
      <c r="D799" s="4" t="str">
        <f>IFERROR(VLOOKUP(A799,'Base Prueba'!A:D,4,),"NO REGISTRA")</f>
        <v>DOCENTE DE MEDIO TIEMPO</v>
      </c>
      <c r="E799" s="5" t="str">
        <f>IFERROR(VLOOKUP(A799,'Base Prueba'!A:E,5,),"NO REGISTRA")</f>
        <v>UNIVERSITARIO EN SEGURIDAD Y SALUD EN EL TRABAJO</v>
      </c>
    </row>
    <row r="800" spans="1:5" ht="15.75" x14ac:dyDescent="0.25">
      <c r="A800" s="10">
        <v>248294</v>
      </c>
      <c r="B800" s="2">
        <v>46130.450600462966</v>
      </c>
      <c r="C800" s="3" t="str">
        <f>IFERROR(VLOOKUP(A800,'Base Prueba'!A:C,3,),"NO REGISTRA")</f>
        <v>WALTER NATALIO VALDEZ MONTAÑEZ</v>
      </c>
      <c r="D800" s="4" t="str">
        <f>IFERROR(VLOOKUP(A800,'Base Prueba'!A:D,4,),"NO REGISTRA")</f>
        <v>DOCENTE DE TIEMPO COMPLETO</v>
      </c>
      <c r="E800" s="5" t="str">
        <f>IFERROR(VLOOKUP(A800,'Base Prueba'!A:E,5,),"NO REGISTRA")</f>
        <v>UNIVERSITARIO EN TURISMO Y GASTRONOMIA</v>
      </c>
    </row>
    <row r="801" spans="1:5" ht="15.75" x14ac:dyDescent="0.25">
      <c r="A801" s="10">
        <v>1032401971</v>
      </c>
      <c r="B801" s="2">
        <v>46130.5063099537</v>
      </c>
      <c r="C801" s="3" t="str">
        <f>IFERROR(VLOOKUP(A801,'Base Prueba'!A:C,3,),"NO REGISTRA")</f>
        <v>ANDRYU ENRIQUE MENDOZA BELTRAN</v>
      </c>
      <c r="D801" s="4" t="str">
        <f>IFERROR(VLOOKUP(A801,'Base Prueba'!A:D,4,),"NO REGISTRA")</f>
        <v>DOCENTE DE TIEMPO COMPLETO</v>
      </c>
      <c r="E801" s="5" t="str">
        <f>IFERROR(VLOOKUP(A801,'Base Prueba'!A:E,5,),"NO REGISTRA")</f>
        <v>UNIVERSITARIO ADMINISTRACION DE EMPRESAS</v>
      </c>
    </row>
    <row r="802" spans="1:5" ht="15.75" x14ac:dyDescent="0.25">
      <c r="A802" s="10">
        <v>52049956</v>
      </c>
      <c r="B802" s="2">
        <v>46130.513547222225</v>
      </c>
      <c r="C802" s="3" t="str">
        <f>IFERROR(VLOOKUP(A802,'Base Prueba'!A:C,3,),"NO REGISTRA")</f>
        <v>ESPERANZA MORALES</v>
      </c>
      <c r="D802" s="4" t="str">
        <f>IFERROR(VLOOKUP(A802,'Base Prueba'!A:D,4,),"NO REGISTRA")</f>
        <v>DIRECTORA DE INFORMATICA Y TECNOLOGIA</v>
      </c>
      <c r="E802" s="5" t="str">
        <f>IFERROR(VLOOKUP(A802,'Base Prueba'!A:E,5,),"NO REGISTRA")</f>
        <v>DEPARTAMENTO DE INFORMATICA Y TECNOLOGIA</v>
      </c>
    </row>
    <row r="803" spans="1:5" ht="15.75" x14ac:dyDescent="0.25">
      <c r="A803" s="10">
        <v>248294</v>
      </c>
      <c r="B803" s="2">
        <v>46130.627173958332</v>
      </c>
      <c r="C803" s="3" t="str">
        <f>IFERROR(VLOOKUP(A803,'Base Prueba'!A:C,3,),"NO REGISTRA")</f>
        <v>WALTER NATALIO VALDEZ MONTAÑEZ</v>
      </c>
      <c r="D803" s="4" t="str">
        <f>IFERROR(VLOOKUP(A803,'Base Prueba'!A:D,4,),"NO REGISTRA")</f>
        <v>DOCENTE DE TIEMPO COMPLETO</v>
      </c>
      <c r="E803" s="5" t="str">
        <f>IFERROR(VLOOKUP(A803,'Base Prueba'!A:E,5,),"NO REGISTRA")</f>
        <v>UNIVERSITARIO EN TURISMO Y GASTRONOMIA</v>
      </c>
    </row>
    <row r="804" spans="1:5" ht="15.75" x14ac:dyDescent="0.25">
      <c r="A804" s="10">
        <v>1033762993</v>
      </c>
      <c r="B804" s="2">
        <v>46130.716238078705</v>
      </c>
      <c r="C804" s="3" t="str">
        <f>IFERROR(VLOOKUP(A804,'Base Prueba'!A:C,3,),"NO REGISTRA")</f>
        <v>DIEGO FERNANDO MEDINA PEREZ</v>
      </c>
      <c r="D804" s="4" t="str">
        <f>IFERROR(VLOOKUP(A804,'Base Prueba'!A:D,4,),"NO REGISTRA")</f>
        <v>DOCENTE DE MEDIO TIEMPO</v>
      </c>
      <c r="E804" s="5" t="str">
        <f>IFERROR(VLOOKUP(A804,'Base Prueba'!A:E,5,),"NO REGISTRA")</f>
        <v>UNIDAD DE IDIOMAS</v>
      </c>
    </row>
    <row r="805" spans="1:5" ht="15.75" x14ac:dyDescent="0.25">
      <c r="A805" s="10">
        <v>1032401971</v>
      </c>
      <c r="B805" s="2">
        <v>46130.727001157407</v>
      </c>
      <c r="C805" s="3" t="str">
        <f>IFERROR(VLOOKUP(A805,'Base Prueba'!A:C,3,),"NO REGISTRA")</f>
        <v>ANDRYU ENRIQUE MENDOZA BELTRAN</v>
      </c>
      <c r="D805" s="4" t="str">
        <f>IFERROR(VLOOKUP(A805,'Base Prueba'!A:D,4,),"NO REGISTRA")</f>
        <v>DOCENTE DE TIEMPO COMPLETO</v>
      </c>
      <c r="E805" s="5" t="str">
        <f>IFERROR(VLOOKUP(A805,'Base Prueba'!A:E,5,),"NO REGISTRA")</f>
        <v>UNIVERSITARIO ADMINISTRACION DE EMPRESAS</v>
      </c>
    </row>
    <row r="806" spans="1:5" ht="15.75" x14ac:dyDescent="0.25">
      <c r="A806" s="10">
        <v>1019603886</v>
      </c>
      <c r="B806" s="2">
        <v>46132.286752662039</v>
      </c>
      <c r="C806" s="3" t="str">
        <f>IFERROR(VLOOKUP(A806,'Base Prueba'!A:C,3,),"NO REGISTRA")</f>
        <v>NICOLAS ESPITIA CHACON</v>
      </c>
      <c r="D806" s="4" t="str">
        <f>IFERROR(VLOOKUP(A806,'Base Prueba'!A:D,4,),"NO REGISTRA")</f>
        <v>AUXILIAR DE RECURSOS ACADEMICOS</v>
      </c>
      <c r="E806" s="5" t="str">
        <f>IFERROR(VLOOKUP(A806,'Base Prueba'!A:E,5,),"NO REGISTRA")</f>
        <v>RECURSOS ACADEMICOS</v>
      </c>
    </row>
    <row r="807" spans="1:5" ht="15.75" x14ac:dyDescent="0.25">
      <c r="A807" s="10">
        <v>1000218614</v>
      </c>
      <c r="B807" s="2">
        <v>46132.317504976854</v>
      </c>
      <c r="C807" s="3" t="str">
        <f>IFERROR(VLOOKUP(A807,'Base Prueba'!A:C,3,),"NO REGISTRA")</f>
        <v>SEBASTIAN DAVID MELO DIAZ</v>
      </c>
      <c r="D807" s="4" t="str">
        <f>IFERROR(VLOOKUP(A807,'Base Prueba'!A:D,4,),"NO REGISTRA")</f>
        <v>ANALISTA DE SISTEMAS</v>
      </c>
      <c r="E807" s="5" t="str">
        <f>IFERROR(VLOOKUP(A807,'Base Prueba'!A:E,5,),"NO REGISTRA")</f>
        <v>DEPARTAMENTO DE INFORMATICA Y TECNOLOGIA</v>
      </c>
    </row>
    <row r="808" spans="1:5" ht="15.75" x14ac:dyDescent="0.25">
      <c r="A808" s="10">
        <v>1032487526</v>
      </c>
      <c r="B808" s="2">
        <v>46132.324929166665</v>
      </c>
      <c r="C808" s="3" t="str">
        <f>IFERROR(VLOOKUP(A808,'Base Prueba'!A:C,3,),"NO REGISTRA")</f>
        <v>LAURA ANDREA MEZA MARTINEZ</v>
      </c>
      <c r="D808" s="4" t="str">
        <f>IFERROR(VLOOKUP(A808,'Base Prueba'!A:D,4,),"NO REGISTRA")</f>
        <v>DOCENTE DE MEDIO TIEMPO</v>
      </c>
      <c r="E808" s="5" t="str">
        <f>IFERROR(VLOOKUP(A808,'Base Prueba'!A:E,5,),"NO REGISTRA")</f>
        <v>TECNICO LABORAL AUXILIAR PRODUCCION GRAFICA</v>
      </c>
    </row>
    <row r="809" spans="1:5" ht="15.75" x14ac:dyDescent="0.25">
      <c r="A809" s="10">
        <v>1022378300</v>
      </c>
      <c r="B809" s="2">
        <v>46132.342369791666</v>
      </c>
      <c r="C809" s="3" t="str">
        <f>IFERROR(VLOOKUP(A809,'Base Prueba'!A:C,3,),"NO REGISTRA")</f>
        <v>FERNEY ANDRES CHASPUENGAL RAMIREZ</v>
      </c>
      <c r="D809" s="4" t="str">
        <f>IFERROR(VLOOKUP(A809,'Base Prueba'!A:D,4,),"NO REGISTRA")</f>
        <v>LÍDER DE DEPORTE Y CULTURA</v>
      </c>
      <c r="E809" s="5" t="str">
        <f>IFERROR(VLOOKUP(A809,'Base Prueba'!A:E,5,),"NO REGISTRA")</f>
        <v>DIRECCION DE BIENESTAR INSTITUCIONAL</v>
      </c>
    </row>
    <row r="810" spans="1:5" ht="15.75" x14ac:dyDescent="0.25">
      <c r="A810" s="10">
        <v>52049956</v>
      </c>
      <c r="B810" s="2">
        <v>46132.345980092592</v>
      </c>
      <c r="C810" s="3" t="str">
        <f>IFERROR(VLOOKUP(A810,'Base Prueba'!A:C,3,),"NO REGISTRA")</f>
        <v>ESPERANZA MORALES</v>
      </c>
      <c r="D810" s="4" t="str">
        <f>IFERROR(VLOOKUP(A810,'Base Prueba'!A:D,4,),"NO REGISTRA")</f>
        <v>DIRECTORA DE INFORMATICA Y TECNOLOGIA</v>
      </c>
      <c r="E810" s="5" t="str">
        <f>IFERROR(VLOOKUP(A810,'Base Prueba'!A:E,5,),"NO REGISTRA")</f>
        <v>DEPARTAMENTO DE INFORMATICA Y TECNOLOGIA</v>
      </c>
    </row>
    <row r="811" spans="1:5" ht="15.75" x14ac:dyDescent="0.25">
      <c r="A811" s="10">
        <v>79713882</v>
      </c>
      <c r="B811" s="2">
        <v>46132.387147569447</v>
      </c>
      <c r="C811" s="3" t="str">
        <f>IFERROR(VLOOKUP(A811,'Base Prueba'!A:C,3,),"NO REGISTRA")</f>
        <v>FREDY ANGEL DAVILA CUBIDES</v>
      </c>
      <c r="D811" s="4" t="str">
        <f>IFERROR(VLOOKUP(A811,'Base Prueba'!A:D,4,),"NO REGISTRA")</f>
        <v>DECANO</v>
      </c>
      <c r="E811" s="5" t="str">
        <f>IFERROR(VLOOKUP(A811,'Base Prueba'!A:E,5,),"NO REGISTRA")</f>
        <v>ESCUELA DE INGENIERÍA Y TECNOLOGÍAS DE LA INFORMACIÓN</v>
      </c>
    </row>
    <row r="812" spans="1:5" ht="15.75" x14ac:dyDescent="0.25">
      <c r="A812" s="10">
        <v>52776481</v>
      </c>
      <c r="B812" s="2">
        <v>46132.398517939815</v>
      </c>
      <c r="C812" s="3" t="str">
        <f>IFERROR(VLOOKUP(A812,'Base Prueba'!A:C,3,),"NO REGISTRA")</f>
        <v>LESLY DAYANA GONZALEZ FAJARDO</v>
      </c>
      <c r="D812" s="4" t="str">
        <f>IFERROR(VLOOKUP(A812,'Base Prueba'!A:D,4,),"NO REGISTRA")</f>
        <v>DOCENTE DE TIEMPO COMPLETO</v>
      </c>
      <c r="E812" s="5" t="str">
        <f>IFERROR(VLOOKUP(A812,'Base Prueba'!A:E,5,),"NO REGISTRA")</f>
        <v>TECNOLOGÍA EN PRODUCCIÓN DE MEDIOS AUDIOVISUALES</v>
      </c>
    </row>
    <row r="813" spans="1:5" ht="15.75" x14ac:dyDescent="0.25">
      <c r="A813" s="10">
        <v>85437910</v>
      </c>
      <c r="B813" s="2">
        <v>46132.401240162035</v>
      </c>
      <c r="C813" s="3" t="str">
        <f>IFERROR(VLOOKUP(A813,'Base Prueba'!A:C,3,),"NO REGISTRA")</f>
        <v>EDGAR JOSE PISCIOTTI LEON</v>
      </c>
      <c r="D813" s="4" t="str">
        <f>IFERROR(VLOOKUP(A813,'Base Prueba'!A:D,4,),"NO REGISTRA")</f>
        <v>DOCENTE DE MEDIO TIEMPO</v>
      </c>
      <c r="E813" s="5" t="str">
        <f>IFERROR(VLOOKUP(A813,'Base Prueba'!A:E,5,),"NO REGISTRA")</f>
        <v>TECNOLOGIA EN COMERCIO Y NEGOCIOS INTERNACIONALES</v>
      </c>
    </row>
    <row r="814" spans="1:5" ht="15.75" x14ac:dyDescent="0.25">
      <c r="A814" s="10">
        <v>1019603886</v>
      </c>
      <c r="B814" s="2">
        <v>46132.562537384256</v>
      </c>
      <c r="C814" s="3" t="str">
        <f>IFERROR(VLOOKUP(A814,'Base Prueba'!A:C,3,),"NO REGISTRA")</f>
        <v>NICOLAS ESPITIA CHACON</v>
      </c>
      <c r="D814" s="4" t="str">
        <f>IFERROR(VLOOKUP(A814,'Base Prueba'!A:D,4,),"NO REGISTRA")</f>
        <v>AUXILIAR DE RECURSOS ACADEMICOS</v>
      </c>
      <c r="E814" s="5" t="str">
        <f>IFERROR(VLOOKUP(A814,'Base Prueba'!A:E,5,),"NO REGISTRA")</f>
        <v>RECURSOS ACADEMICOS</v>
      </c>
    </row>
    <row r="815" spans="1:5" ht="15.75" x14ac:dyDescent="0.25">
      <c r="A815" s="10">
        <v>79313678</v>
      </c>
      <c r="B815" s="2">
        <v>46132.562642592595</v>
      </c>
      <c r="C815" s="3" t="str">
        <f>IFERROR(VLOOKUP(A815,'Base Prueba'!A:C,3,),"NO REGISTRA")</f>
        <v>MARCO VINICIO RAMIREZ PEREIRA</v>
      </c>
      <c r="D815" s="4" t="str">
        <f>IFERROR(VLOOKUP(A815,'Base Prueba'!A:D,4,),"NO REGISTRA")</f>
        <v>TECNICO EN MANTENIMIENTO DE RECURSOS ACADEMICOS</v>
      </c>
      <c r="E815" s="5" t="str">
        <f>IFERROR(VLOOKUP(A815,'Base Prueba'!A:E,5,),"NO REGISTRA")</f>
        <v>RECURSOS ACADEMICOS</v>
      </c>
    </row>
    <row r="816" spans="1:5" ht="15.75" x14ac:dyDescent="0.25">
      <c r="A816" s="10">
        <v>79942078</v>
      </c>
      <c r="B816" s="2">
        <v>46132.616980555555</v>
      </c>
      <c r="C816" s="3" t="str">
        <f>IFERROR(VLOOKUP(A816,'Base Prueba'!A:C,3,),"NO REGISTRA")</f>
        <v>JORGE MARIO ORJUELA MARQUEZ</v>
      </c>
      <c r="D816" s="4" t="str">
        <f>IFERROR(VLOOKUP(A816,'Base Prueba'!A:D,4,),"NO REGISTRA")</f>
        <v>DOCENTE DE TIEMPO COMPLETO</v>
      </c>
      <c r="E816" s="5" t="str">
        <f>IFERROR(VLOOKUP(A816,'Base Prueba'!A:E,5,),"NO REGISTRA")</f>
        <v>UNIVERSITARIO ADMINISTRACION DE EMPRESAS</v>
      </c>
    </row>
    <row r="817" spans="1:5" ht="15.75" x14ac:dyDescent="0.25">
      <c r="A817" s="10">
        <v>79484197</v>
      </c>
      <c r="B817" s="2">
        <v>46132.7192005787</v>
      </c>
      <c r="C817" s="3" t="str">
        <f>IFERROR(VLOOKUP(A817,'Base Prueba'!A:C,3,),"NO REGISTRA")</f>
        <v>JOHN DANIEL GUTIERREZ BOADA</v>
      </c>
      <c r="D817" s="4" t="str">
        <f>IFERROR(VLOOKUP(A817,'Base Prueba'!A:D,4,),"NO REGISTRA")</f>
        <v>DOCENTE DE MEDIO TIEMPO</v>
      </c>
      <c r="E817" s="5" t="str">
        <f>IFERROR(VLOOKUP(A817,'Base Prueba'!A:E,5,),"NO REGISTRA")</f>
        <v>UNIVERSITARIO COMUNICACION SOCIAL</v>
      </c>
    </row>
    <row r="818" spans="1:5" ht="15.75" x14ac:dyDescent="0.25">
      <c r="A818" s="10">
        <v>1022346044</v>
      </c>
      <c r="B818" s="2">
        <v>46132.736578703705</v>
      </c>
      <c r="C818" s="3" t="str">
        <f>IFERROR(VLOOKUP(A818,'Base Prueba'!A:C,3,),"NO REGISTRA")</f>
        <v>LUZ ALEJANDRA CASTILLO RODRIGUEZ</v>
      </c>
      <c r="D818" s="4" t="str">
        <f>IFERROR(VLOOKUP(A818,'Base Prueba'!A:D,4,),"NO REGISTRA")</f>
        <v>DOCENTE DE MEDIO TIEMPO</v>
      </c>
      <c r="E818" s="5" t="str">
        <f>IFERROR(VLOOKUP(A818,'Base Prueba'!A:E,5,),"NO REGISTRA")</f>
        <v>UNIVERSITARIO EN SEGURIDAD Y SALUD EN EL TRABAJO</v>
      </c>
    </row>
    <row r="819" spans="1:5" ht="15.75" x14ac:dyDescent="0.25">
      <c r="A819" s="10">
        <v>23810964</v>
      </c>
      <c r="B819" s="2">
        <v>46132.74743275463</v>
      </c>
      <c r="C819" s="3" t="str">
        <f>IFERROR(VLOOKUP(A819,'Base Prueba'!A:C,3,),"NO REGISTRA")</f>
        <v>JULY FERNANDA GOMEZ NIÑO</v>
      </c>
      <c r="D819" s="4" t="str">
        <f>IFERROR(VLOOKUP(A819,'Base Prueba'!A:D,4,),"NO REGISTRA")</f>
        <v>DOCENTE DE MEDIO TIEMPO</v>
      </c>
      <c r="E819" s="5" t="str">
        <f>IFERROR(VLOOKUP(A819,'Base Prueba'!A:E,5,),"NO REGISTRA")</f>
        <v>TECNOLOGIA EN ADMINISTRACION DEL TALENTO HUMANO</v>
      </c>
    </row>
    <row r="820" spans="1:5" ht="15.75" x14ac:dyDescent="0.25">
      <c r="A820" s="10">
        <v>1032401971</v>
      </c>
      <c r="B820" s="2">
        <v>46132.752982754631</v>
      </c>
      <c r="C820" s="3" t="str">
        <f>IFERROR(VLOOKUP(A820,'Base Prueba'!A:C,3,),"NO REGISTRA")</f>
        <v>ANDRYU ENRIQUE MENDOZA BELTRAN</v>
      </c>
      <c r="D820" s="4" t="str">
        <f>IFERROR(VLOOKUP(A820,'Base Prueba'!A:D,4,),"NO REGISTRA")</f>
        <v>DOCENTE DE TIEMPO COMPLETO</v>
      </c>
      <c r="E820" s="5" t="str">
        <f>IFERROR(VLOOKUP(A820,'Base Prueba'!A:E,5,),"NO REGISTRA")</f>
        <v>UNIVERSITARIO ADMINISTRACION DE EMPRESAS</v>
      </c>
    </row>
    <row r="821" spans="1:5" ht="15.75" x14ac:dyDescent="0.25">
      <c r="A821" s="10">
        <v>1033762993</v>
      </c>
      <c r="B821" s="2">
        <v>46132.755702662034</v>
      </c>
      <c r="C821" s="3" t="str">
        <f>IFERROR(VLOOKUP(A821,'Base Prueba'!A:C,3,),"NO REGISTRA")</f>
        <v>DIEGO FERNANDO MEDINA PEREZ</v>
      </c>
      <c r="D821" s="4" t="str">
        <f>IFERROR(VLOOKUP(A821,'Base Prueba'!A:D,4,),"NO REGISTRA")</f>
        <v>DOCENTE DE MEDIO TIEMPO</v>
      </c>
      <c r="E821" s="5" t="str">
        <f>IFERROR(VLOOKUP(A821,'Base Prueba'!A:E,5,),"NO REGISTRA")</f>
        <v>UNIDAD DE IDIOMAS</v>
      </c>
    </row>
    <row r="822" spans="1:5" ht="15.75" x14ac:dyDescent="0.25">
      <c r="A822" s="10">
        <v>79452150</v>
      </c>
      <c r="B822" s="2">
        <v>46132.793327314816</v>
      </c>
      <c r="C822" s="3" t="str">
        <f>IFERROR(VLOOKUP(A822,'Base Prueba'!A:C,3,),"NO REGISTRA")</f>
        <v>JUAN CARLOS PAZ CUBILLOS</v>
      </c>
      <c r="D822" s="4" t="str">
        <f>IFERROR(VLOOKUP(A822,'Base Prueba'!A:D,4,),"NO REGISTRA")</f>
        <v>ANALISTA DE SISTEMAS</v>
      </c>
      <c r="E822" s="5" t="str">
        <f>IFERROR(VLOOKUP(A822,'Base Prueba'!A:E,5,),"NO REGISTRA")</f>
        <v>DEPARTAMENTO DE INFORMATICA Y TECNOLOGIA</v>
      </c>
    </row>
    <row r="823" spans="1:5" ht="15.75" x14ac:dyDescent="0.25">
      <c r="A823" s="10">
        <v>1032457498</v>
      </c>
      <c r="B823" s="2">
        <v>46132.813742824073</v>
      </c>
      <c r="C823" s="3" t="str">
        <f>IFERROR(VLOOKUP(A823,'Base Prueba'!A:C,3,),"NO REGISTRA")</f>
        <v>LOTUS KING SALCEDO VALLEJO</v>
      </c>
      <c r="D823" s="4" t="str">
        <f>IFERROR(VLOOKUP(A823,'Base Prueba'!A:D,4,),"NO REGISTRA")</f>
        <v>COORDINADOR DE INVESTIGACIÓN</v>
      </c>
      <c r="E823" s="5" t="str">
        <f>IFERROR(VLOOKUP(A823,'Base Prueba'!A:E,5,),"NO REGISTRA")</f>
        <v>VICERRECTORIA ACADEMICA</v>
      </c>
    </row>
    <row r="824" spans="1:5" ht="15.75" x14ac:dyDescent="0.25">
      <c r="A824" s="10">
        <v>52049956</v>
      </c>
      <c r="B824" s="2">
        <v>46132.824365624998</v>
      </c>
      <c r="C824" s="3" t="str">
        <f>IFERROR(VLOOKUP(A824,'Base Prueba'!A:C,3,),"NO REGISTRA")</f>
        <v>ESPERANZA MORALES</v>
      </c>
      <c r="D824" s="4" t="str">
        <f>IFERROR(VLOOKUP(A824,'Base Prueba'!A:D,4,),"NO REGISTRA")</f>
        <v>DIRECTORA DE INFORMATICA Y TECNOLOGIA</v>
      </c>
      <c r="E824" s="5" t="str">
        <f>IFERROR(VLOOKUP(A824,'Base Prueba'!A:E,5,),"NO REGISTRA")</f>
        <v>DEPARTAMENTO DE INFORMATICA Y TECNOLOGIA</v>
      </c>
    </row>
    <row r="825" spans="1:5" ht="15.75" x14ac:dyDescent="0.25">
      <c r="A825" s="10">
        <v>1019125716</v>
      </c>
      <c r="B825" s="2">
        <v>46132.850245949077</v>
      </c>
      <c r="C825" s="3" t="str">
        <f>IFERROR(VLOOKUP(A825,'Base Prueba'!A:C,3,),"NO REGISTRA")</f>
        <v>GINA PAOLA ALZATE ARISTIZABAL</v>
      </c>
      <c r="D825" s="4" t="str">
        <f>IFERROR(VLOOKUP(A825,'Base Prueba'!A:D,4,),"NO REGISTRA")</f>
        <v>DOCENTE DE MEDIO TIEMPO</v>
      </c>
      <c r="E825" s="5" t="str">
        <f>IFERROR(VLOOKUP(A825,'Base Prueba'!A:E,5,),"NO REGISTRA")</f>
        <v>UNIDAD DE IDIOMAS</v>
      </c>
    </row>
    <row r="826" spans="1:5" ht="15.75" x14ac:dyDescent="0.25">
      <c r="A826" s="10">
        <v>1033762993</v>
      </c>
      <c r="B826" s="2">
        <v>46132.851328009259</v>
      </c>
      <c r="C826" s="3" t="str">
        <f>IFERROR(VLOOKUP(A826,'Base Prueba'!A:C,3,),"NO REGISTRA")</f>
        <v>DIEGO FERNANDO MEDINA PEREZ</v>
      </c>
      <c r="D826" s="4" t="str">
        <f>IFERROR(VLOOKUP(A826,'Base Prueba'!A:D,4,),"NO REGISTRA")</f>
        <v>DOCENTE DE MEDIO TIEMPO</v>
      </c>
      <c r="E826" s="5" t="str">
        <f>IFERROR(VLOOKUP(A826,'Base Prueba'!A:E,5,),"NO REGISTRA")</f>
        <v>UNIDAD DE IDIOMAS</v>
      </c>
    </row>
    <row r="827" spans="1:5" ht="15.75" x14ac:dyDescent="0.25">
      <c r="A827" s="10">
        <v>1019603886</v>
      </c>
      <c r="B827" s="2">
        <v>46133.269765509256</v>
      </c>
      <c r="C827" s="3" t="str">
        <f>IFERROR(VLOOKUP(A827,'Base Prueba'!A:C,3,),"NO REGISTRA")</f>
        <v>NICOLAS ESPITIA CHACON</v>
      </c>
      <c r="D827" s="4" t="str">
        <f>IFERROR(VLOOKUP(A827,'Base Prueba'!A:D,4,),"NO REGISTRA")</f>
        <v>AUXILIAR DE RECURSOS ACADEMICOS</v>
      </c>
      <c r="E827" s="5" t="str">
        <f>IFERROR(VLOOKUP(A827,'Base Prueba'!A:E,5,),"NO REGISTRA")</f>
        <v>RECURSOS ACADEMICOS</v>
      </c>
    </row>
    <row r="828" spans="1:5" ht="15.75" x14ac:dyDescent="0.25">
      <c r="A828" s="10">
        <v>1019603886</v>
      </c>
      <c r="B828" s="2">
        <v>46133.269771643521</v>
      </c>
      <c r="C828" s="3" t="str">
        <f>IFERROR(VLOOKUP(A828,'Base Prueba'!A:C,3,),"NO REGISTRA")</f>
        <v>NICOLAS ESPITIA CHACON</v>
      </c>
      <c r="D828" s="4" t="str">
        <f>IFERROR(VLOOKUP(A828,'Base Prueba'!A:D,4,),"NO REGISTRA")</f>
        <v>AUXILIAR DE RECURSOS ACADEMICOS</v>
      </c>
      <c r="E828" s="5" t="str">
        <f>IFERROR(VLOOKUP(A828,'Base Prueba'!A:E,5,),"NO REGISTRA")</f>
        <v>RECURSOS ACADEMICOS</v>
      </c>
    </row>
    <row r="829" spans="1:5" ht="15.75" x14ac:dyDescent="0.25">
      <c r="A829" s="10">
        <v>79484197</v>
      </c>
      <c r="B829" s="2">
        <v>46133.275913888887</v>
      </c>
      <c r="C829" s="3" t="str">
        <f>IFERROR(VLOOKUP(A829,'Base Prueba'!A:C,3,),"NO REGISTRA")</f>
        <v>JOHN DANIEL GUTIERREZ BOADA</v>
      </c>
      <c r="D829" s="4" t="str">
        <f>IFERROR(VLOOKUP(A829,'Base Prueba'!A:D,4,),"NO REGISTRA")</f>
        <v>DOCENTE DE MEDIO TIEMPO</v>
      </c>
      <c r="E829" s="5" t="str">
        <f>IFERROR(VLOOKUP(A829,'Base Prueba'!A:E,5,),"NO REGISTRA")</f>
        <v>UNIVERSITARIO COMUNICACION SOCIAL</v>
      </c>
    </row>
    <row r="830" spans="1:5" ht="15.75" x14ac:dyDescent="0.25">
      <c r="A830" s="10">
        <v>80778198</v>
      </c>
      <c r="B830" s="2">
        <v>46133.280454745371</v>
      </c>
      <c r="C830" s="3" t="str">
        <f>IFERROR(VLOOKUP(A830,'Base Prueba'!A:C,3,),"NO REGISTRA")</f>
        <v>JIMY JAVIER ALDANA REYES</v>
      </c>
      <c r="D830" s="4" t="str">
        <f>IFERROR(VLOOKUP(A830,'Base Prueba'!A:D,4,),"NO REGISTRA")</f>
        <v>DOCENTE DE TIEMPO COMPLETO</v>
      </c>
      <c r="E830" s="5" t="str">
        <f>IFERROR(VLOOKUP(A830,'Base Prueba'!A:E,5,),"NO REGISTRA")</f>
        <v>INGENIERIA DE SOFTWARE</v>
      </c>
    </row>
    <row r="831" spans="1:5" ht="15.75" x14ac:dyDescent="0.25">
      <c r="A831" s="10">
        <v>1023897886</v>
      </c>
      <c r="B831" s="2">
        <v>46133.376164467591</v>
      </c>
      <c r="C831" s="3" t="str">
        <f>IFERROR(VLOOKUP(A831,'Base Prueba'!A:C,3,),"NO REGISTRA")</f>
        <v>NO REGISTRA</v>
      </c>
      <c r="D831" s="4" t="str">
        <f>IFERROR(VLOOKUP(A831,'Base Prueba'!A:D,4,),"NO REGISTRA")</f>
        <v>NO REGISTRA</v>
      </c>
      <c r="E831" s="5" t="str">
        <f>IFERROR(VLOOKUP(A831,'Base Prueba'!A:E,5,),"NO REGISTRA")</f>
        <v>NO REGISTRA</v>
      </c>
    </row>
    <row r="832" spans="1:5" ht="15.75" x14ac:dyDescent="0.25">
      <c r="A832" s="10">
        <v>52049956</v>
      </c>
      <c r="B832" s="2">
        <v>46133.380005439816</v>
      </c>
      <c r="C832" s="3" t="str">
        <f>IFERROR(VLOOKUP(A832,'Base Prueba'!A:C,3,),"NO REGISTRA")</f>
        <v>ESPERANZA MORALES</v>
      </c>
      <c r="D832" s="4" t="str">
        <f>IFERROR(VLOOKUP(A832,'Base Prueba'!A:D,4,),"NO REGISTRA")</f>
        <v>DIRECTORA DE INFORMATICA Y TECNOLOGIA</v>
      </c>
      <c r="E832" s="5" t="str">
        <f>IFERROR(VLOOKUP(A832,'Base Prueba'!A:E,5,),"NO REGISTRA")</f>
        <v>DEPARTAMENTO DE INFORMATICA Y TECNOLOGIA</v>
      </c>
    </row>
    <row r="833" spans="1:5" ht="15.75" x14ac:dyDescent="0.25">
      <c r="A833" s="10">
        <v>52850506</v>
      </c>
      <c r="B833" s="2">
        <v>46133.383439004632</v>
      </c>
      <c r="C833" s="3" t="str">
        <f>IFERROR(VLOOKUP(A833,'Base Prueba'!A:C,3,),"NO REGISTRA")</f>
        <v>PAOLA ANDREA VASQUEZ FONSECA</v>
      </c>
      <c r="D833" s="4" t="str">
        <f>IFERROR(VLOOKUP(A833,'Base Prueba'!A:D,4,),"NO REGISTRA")</f>
        <v>DOCENTE DE TIEMPO COMPLETO</v>
      </c>
      <c r="E833" s="5" t="str">
        <f>IFERROR(VLOOKUP(A833,'Base Prueba'!A:E,5,),"NO REGISTRA")</f>
        <v>UNIVERSITARIO COMUNICACION SOCIAL</v>
      </c>
    </row>
    <row r="834" spans="1:5" ht="15.75" x14ac:dyDescent="0.25">
      <c r="A834" s="10">
        <v>79484197</v>
      </c>
      <c r="B834" s="2">
        <v>46133.38726747685</v>
      </c>
      <c r="C834" s="3" t="str">
        <f>IFERROR(VLOOKUP(A834,'Base Prueba'!A:C,3,),"NO REGISTRA")</f>
        <v>JOHN DANIEL GUTIERREZ BOADA</v>
      </c>
      <c r="D834" s="4" t="str">
        <f>IFERROR(VLOOKUP(A834,'Base Prueba'!A:D,4,),"NO REGISTRA")</f>
        <v>DOCENTE DE MEDIO TIEMPO</v>
      </c>
      <c r="E834" s="5" t="str">
        <f>IFERROR(VLOOKUP(A834,'Base Prueba'!A:E,5,),"NO REGISTRA")</f>
        <v>UNIVERSITARIO COMUNICACION SOCIAL</v>
      </c>
    </row>
    <row r="835" spans="1:5" ht="15.75" x14ac:dyDescent="0.25">
      <c r="A835" s="10">
        <v>1032487526</v>
      </c>
      <c r="B835" s="2">
        <v>46133.500817939814</v>
      </c>
      <c r="C835" s="3" t="str">
        <f>IFERROR(VLOOKUP(A835,'Base Prueba'!A:C,3,),"NO REGISTRA")</f>
        <v>LAURA ANDREA MEZA MARTINEZ</v>
      </c>
      <c r="D835" s="4" t="str">
        <f>IFERROR(VLOOKUP(A835,'Base Prueba'!A:D,4,),"NO REGISTRA")</f>
        <v>DOCENTE DE MEDIO TIEMPO</v>
      </c>
      <c r="E835" s="5" t="str">
        <f>IFERROR(VLOOKUP(A835,'Base Prueba'!A:E,5,),"NO REGISTRA")</f>
        <v>TECNICO LABORAL AUXILIAR PRODUCCION GRAFICA</v>
      </c>
    </row>
    <row r="836" spans="1:5" ht="15.75" x14ac:dyDescent="0.25">
      <c r="A836" s="10">
        <v>1073150473</v>
      </c>
      <c r="B836" s="2">
        <v>46133.536028125003</v>
      </c>
      <c r="C836" s="3" t="str">
        <f>IFERROR(VLOOKUP(A836,'Base Prueba'!A:C,3,),"NO REGISTRA")</f>
        <v>DIANA STELLA MELGAREJO MUÑOZ</v>
      </c>
      <c r="D836" s="4" t="str">
        <f>IFERROR(VLOOKUP(A836,'Base Prueba'!A:D,4,),"NO REGISTRA")</f>
        <v>DOCENTE DE MEDIO TIEMPO</v>
      </c>
      <c r="E836" s="5" t="str">
        <f>IFERROR(VLOOKUP(A836,'Base Prueba'!A:E,5,),"NO REGISTRA")</f>
        <v>TECNICA EN FOTOGRAFIA</v>
      </c>
    </row>
    <row r="837" spans="1:5" ht="15.75" x14ac:dyDescent="0.25">
      <c r="A837" s="10">
        <v>1019603886</v>
      </c>
      <c r="B837" s="2">
        <v>46133.560940046293</v>
      </c>
      <c r="C837" s="3" t="str">
        <f>IFERROR(VLOOKUP(A837,'Base Prueba'!A:C,3,),"NO REGISTRA")</f>
        <v>NICOLAS ESPITIA CHACON</v>
      </c>
      <c r="D837" s="4" t="str">
        <f>IFERROR(VLOOKUP(A837,'Base Prueba'!A:D,4,),"NO REGISTRA")</f>
        <v>AUXILIAR DE RECURSOS ACADEMICOS</v>
      </c>
      <c r="E837" s="5" t="str">
        <f>IFERROR(VLOOKUP(A837,'Base Prueba'!A:E,5,),"NO REGISTRA")</f>
        <v>RECURSOS ACADEMICOS</v>
      </c>
    </row>
    <row r="838" spans="1:5" ht="15.75" x14ac:dyDescent="0.25">
      <c r="A838" s="10">
        <v>79313678</v>
      </c>
      <c r="B838" s="2">
        <v>46133.561061805558</v>
      </c>
      <c r="C838" s="3" t="str">
        <f>IFERROR(VLOOKUP(A838,'Base Prueba'!A:C,3,),"NO REGISTRA")</f>
        <v>MARCO VINICIO RAMIREZ PEREIRA</v>
      </c>
      <c r="D838" s="4" t="str">
        <f>IFERROR(VLOOKUP(A838,'Base Prueba'!A:D,4,),"NO REGISTRA")</f>
        <v>TECNICO EN MANTENIMIENTO DE RECURSOS ACADEMICOS</v>
      </c>
      <c r="E838" s="5" t="str">
        <f>IFERROR(VLOOKUP(A838,'Base Prueba'!A:E,5,),"NO REGISTRA")</f>
        <v>RECURSOS ACADEMICOS</v>
      </c>
    </row>
    <row r="839" spans="1:5" ht="15.75" x14ac:dyDescent="0.25">
      <c r="A839" s="10">
        <v>248294</v>
      </c>
      <c r="B839" s="2">
        <v>46133.71791446759</v>
      </c>
      <c r="C839" s="3" t="str">
        <f>IFERROR(VLOOKUP(A839,'Base Prueba'!A:C,3,),"NO REGISTRA")</f>
        <v>WALTER NATALIO VALDEZ MONTAÑEZ</v>
      </c>
      <c r="D839" s="4" t="str">
        <f>IFERROR(VLOOKUP(A839,'Base Prueba'!A:D,4,),"NO REGISTRA")</f>
        <v>DOCENTE DE TIEMPO COMPLETO</v>
      </c>
      <c r="E839" s="5" t="str">
        <f>IFERROR(VLOOKUP(A839,'Base Prueba'!A:E,5,),"NO REGISTRA")</f>
        <v>UNIVERSITARIO EN TURISMO Y GASTRONOMIA</v>
      </c>
    </row>
    <row r="840" spans="1:5" ht="15.75" x14ac:dyDescent="0.25">
      <c r="A840" s="10">
        <v>52782050</v>
      </c>
      <c r="B840" s="2">
        <v>46133.735427199077</v>
      </c>
      <c r="C840" s="3" t="str">
        <f>IFERROR(VLOOKUP(A840,'Base Prueba'!A:C,3,),"NO REGISTRA")</f>
        <v>MELISSA AVENDAÑO TOCANCHON</v>
      </c>
      <c r="D840" s="4" t="str">
        <f>IFERROR(VLOOKUP(A840,'Base Prueba'!A:D,4,),"NO REGISTRA")</f>
        <v>DOCENTE DE MEDIO TIEMPO</v>
      </c>
      <c r="E840" s="5" t="str">
        <f>IFERROR(VLOOKUP(A840,'Base Prueba'!A:E,5,),"NO REGISTRA")</f>
        <v>NARRATIVAS DIGITALES Y AUDIOVISUALES</v>
      </c>
    </row>
    <row r="841" spans="1:5" ht="15.75" x14ac:dyDescent="0.25">
      <c r="A841" s="10">
        <v>52049956</v>
      </c>
      <c r="B841" s="2">
        <v>46133.804428703705</v>
      </c>
      <c r="C841" s="3" t="str">
        <f>IFERROR(VLOOKUP(A841,'Base Prueba'!A:C,3,),"NO REGISTRA")</f>
        <v>ESPERANZA MORALES</v>
      </c>
      <c r="D841" s="4" t="str">
        <f>IFERROR(VLOOKUP(A841,'Base Prueba'!A:D,4,),"NO REGISTRA")</f>
        <v>DIRECTORA DE INFORMATICA Y TECNOLOGIA</v>
      </c>
      <c r="E841" s="5" t="str">
        <f>IFERROR(VLOOKUP(A841,'Base Prueba'!A:E,5,),"NO REGISTRA")</f>
        <v>DEPARTAMENTO DE INFORMATICA Y TECNOLOGIA</v>
      </c>
    </row>
    <row r="842" spans="1:5" ht="15.75" x14ac:dyDescent="0.25">
      <c r="A842" s="10">
        <v>79452150</v>
      </c>
      <c r="B842" s="2">
        <v>46133.80809027778</v>
      </c>
      <c r="C842" s="3" t="str">
        <f>IFERROR(VLOOKUP(A842,'Base Prueba'!A:C,3,),"NO REGISTRA")</f>
        <v>JUAN CARLOS PAZ CUBILLOS</v>
      </c>
      <c r="D842" s="4" t="str">
        <f>IFERROR(VLOOKUP(A842,'Base Prueba'!A:D,4,),"NO REGISTRA")</f>
        <v>ANALISTA DE SISTEMAS</v>
      </c>
      <c r="E842" s="5" t="str">
        <f>IFERROR(VLOOKUP(A842,'Base Prueba'!A:E,5,),"NO REGISTRA")</f>
        <v>DEPARTAMENTO DE INFORMATICA Y TECNOLOGIA</v>
      </c>
    </row>
    <row r="843" spans="1:5" ht="15.75" x14ac:dyDescent="0.25">
      <c r="A843" s="10">
        <v>1023897886</v>
      </c>
      <c r="B843" s="2">
        <v>46133.845513541666</v>
      </c>
      <c r="C843" s="3" t="str">
        <f>IFERROR(VLOOKUP(A843,'Base Prueba'!A:C,3,),"NO REGISTRA")</f>
        <v>NO REGISTRA</v>
      </c>
      <c r="D843" s="4" t="str">
        <f>IFERROR(VLOOKUP(A843,'Base Prueba'!A:D,4,),"NO REGISTRA")</f>
        <v>NO REGISTRA</v>
      </c>
      <c r="E843" s="5" t="str">
        <f>IFERROR(VLOOKUP(A843,'Base Prueba'!A:E,5,),"NO REGISTRA")</f>
        <v>NO REGISTRA</v>
      </c>
    </row>
    <row r="844" spans="1:5" ht="15.75" x14ac:dyDescent="0.25">
      <c r="A844" s="10">
        <v>1033762993</v>
      </c>
      <c r="B844" s="2">
        <v>46133.852247685187</v>
      </c>
      <c r="C844" s="3" t="str">
        <f>IFERROR(VLOOKUP(A844,'Base Prueba'!A:C,3,),"NO REGISTRA")</f>
        <v>DIEGO FERNANDO MEDINA PEREZ</v>
      </c>
      <c r="D844" s="4" t="str">
        <f>IFERROR(VLOOKUP(A844,'Base Prueba'!A:D,4,),"NO REGISTRA")</f>
        <v>DOCENTE DE MEDIO TIEMPO</v>
      </c>
      <c r="E844" s="5" t="str">
        <f>IFERROR(VLOOKUP(A844,'Base Prueba'!A:E,5,),"NO REGISTRA")</f>
        <v>UNIDAD DE IDIOMAS</v>
      </c>
    </row>
    <row r="845" spans="1:5" ht="15.75" x14ac:dyDescent="0.25">
      <c r="A845" s="10">
        <v>80472319</v>
      </c>
      <c r="B845" s="2">
        <v>46133.875207407407</v>
      </c>
      <c r="C845" s="3" t="str">
        <f>IFERROR(VLOOKUP(A845,'Base Prueba'!A:C,3,),"NO REGISTRA")</f>
        <v>FRANCISCO JAVIER MONTENEGRO AGUILAR</v>
      </c>
      <c r="D845" s="4" t="str">
        <f>IFERROR(VLOOKUP(A845,'Base Prueba'!A:D,4,),"NO REGISTRA")</f>
        <v>DOCENTE DE MEDIO TIEMPO</v>
      </c>
      <c r="E845" s="5" t="str">
        <f>IFERROR(VLOOKUP(A845,'Base Prueba'!A:E,5,),"NO REGISTRA")</f>
        <v>TECNOLOGIA EN COMERCIO Y NEGOCIOS INTERNACIONALES</v>
      </c>
    </row>
    <row r="846" spans="1:5" ht="15.75" x14ac:dyDescent="0.25">
      <c r="A846" s="10">
        <v>52782050</v>
      </c>
      <c r="B846" s="2">
        <v>46133.89625810185</v>
      </c>
      <c r="C846" s="3" t="str">
        <f>IFERROR(VLOOKUP(A846,'Base Prueba'!A:C,3,),"NO REGISTRA")</f>
        <v>MELISSA AVENDAÑO TOCANCHON</v>
      </c>
      <c r="D846" s="4" t="str">
        <f>IFERROR(VLOOKUP(A846,'Base Prueba'!A:D,4,),"NO REGISTRA")</f>
        <v>DOCENTE DE MEDIO TIEMPO</v>
      </c>
      <c r="E846" s="5" t="str">
        <f>IFERROR(VLOOKUP(A846,'Base Prueba'!A:E,5,),"NO REGISTRA")</f>
        <v>NARRATIVAS DIGITALES Y AUDIOVISUALES</v>
      </c>
    </row>
    <row r="847" spans="1:5" ht="15.75" x14ac:dyDescent="0.25">
      <c r="A847" s="10">
        <v>79484197</v>
      </c>
      <c r="B847" s="2">
        <v>46134.277163773149</v>
      </c>
      <c r="C847" s="3" t="str">
        <f>IFERROR(VLOOKUP(A847,'Base Prueba'!A:C,3,),"NO REGISTRA")</f>
        <v>JOHN DANIEL GUTIERREZ BOADA</v>
      </c>
      <c r="D847" s="4" t="str">
        <f>IFERROR(VLOOKUP(A847,'Base Prueba'!A:D,4,),"NO REGISTRA")</f>
        <v>DOCENTE DE MEDIO TIEMPO</v>
      </c>
      <c r="E847" s="5" t="str">
        <f>IFERROR(VLOOKUP(A847,'Base Prueba'!A:E,5,),"NO REGISTRA")</f>
        <v>UNIVERSITARIO COMUNICACION SOCIAL</v>
      </c>
    </row>
    <row r="848" spans="1:5" ht="15.75" x14ac:dyDescent="0.25">
      <c r="A848" s="10">
        <v>23810964</v>
      </c>
      <c r="B848" s="2">
        <v>46134.282829976852</v>
      </c>
      <c r="C848" s="3" t="str">
        <f>IFERROR(VLOOKUP(A848,'Base Prueba'!A:C,3,),"NO REGISTRA")</f>
        <v>JULY FERNANDA GOMEZ NIÑO</v>
      </c>
      <c r="D848" s="4" t="str">
        <f>IFERROR(VLOOKUP(A848,'Base Prueba'!A:D,4,),"NO REGISTRA")</f>
        <v>DOCENTE DE MEDIO TIEMPO</v>
      </c>
      <c r="E848" s="5" t="str">
        <f>IFERROR(VLOOKUP(A848,'Base Prueba'!A:E,5,),"NO REGISTRA")</f>
        <v>TECNOLOGIA EN ADMINISTRACION DEL TALENTO HUMANO</v>
      </c>
    </row>
    <row r="849" spans="1:5" ht="15.75" x14ac:dyDescent="0.25">
      <c r="A849" s="10">
        <v>80778198</v>
      </c>
      <c r="B849" s="2">
        <v>46134.290471064814</v>
      </c>
      <c r="C849" s="3" t="str">
        <f>IFERROR(VLOOKUP(A849,'Base Prueba'!A:C,3,),"NO REGISTRA")</f>
        <v>JIMY JAVIER ALDANA REYES</v>
      </c>
      <c r="D849" s="4" t="str">
        <f>IFERROR(VLOOKUP(A849,'Base Prueba'!A:D,4,),"NO REGISTRA")</f>
        <v>DOCENTE DE TIEMPO COMPLETO</v>
      </c>
      <c r="E849" s="5" t="str">
        <f>IFERROR(VLOOKUP(A849,'Base Prueba'!A:E,5,),"NO REGISTRA")</f>
        <v>INGENIERIA DE SOFTWARE</v>
      </c>
    </row>
    <row r="850" spans="1:5" ht="15.75" x14ac:dyDescent="0.25">
      <c r="A850" s="10">
        <v>52850506</v>
      </c>
      <c r="B850" s="2">
        <v>46134.303545486109</v>
      </c>
      <c r="C850" s="3" t="str">
        <f>IFERROR(VLOOKUP(A850,'Base Prueba'!A:C,3,),"NO REGISTRA")</f>
        <v>PAOLA ANDREA VASQUEZ FONSECA</v>
      </c>
      <c r="D850" s="4" t="str">
        <f>IFERROR(VLOOKUP(A850,'Base Prueba'!A:D,4,),"NO REGISTRA")</f>
        <v>DOCENTE DE TIEMPO COMPLETO</v>
      </c>
      <c r="E850" s="5" t="str">
        <f>IFERROR(VLOOKUP(A850,'Base Prueba'!A:E,5,),"NO REGISTRA")</f>
        <v>UNIVERSITARIO COMUNICACION SOCIAL</v>
      </c>
    </row>
    <row r="851" spans="1:5" ht="15.75" x14ac:dyDescent="0.25">
      <c r="A851" s="10">
        <v>1000218614</v>
      </c>
      <c r="B851" s="2">
        <v>46134.324654745367</v>
      </c>
      <c r="C851" s="3" t="str">
        <f>IFERROR(VLOOKUP(A851,'Base Prueba'!A:C,3,),"NO REGISTRA")</f>
        <v>SEBASTIAN DAVID MELO DIAZ</v>
      </c>
      <c r="D851" s="4" t="str">
        <f>IFERROR(VLOOKUP(A851,'Base Prueba'!A:D,4,),"NO REGISTRA")</f>
        <v>ANALISTA DE SISTEMAS</v>
      </c>
      <c r="E851" s="5" t="str">
        <f>IFERROR(VLOOKUP(A851,'Base Prueba'!A:E,5,),"NO REGISTRA")</f>
        <v>DEPARTAMENTO DE INFORMATICA Y TECNOLOGIA</v>
      </c>
    </row>
    <row r="852" spans="1:5" ht="15.75" x14ac:dyDescent="0.25">
      <c r="A852" s="10">
        <v>23810964</v>
      </c>
      <c r="B852" s="2">
        <v>46134.396308449075</v>
      </c>
      <c r="C852" s="3" t="str">
        <f>IFERROR(VLOOKUP(A852,'Base Prueba'!A:C,3,),"NO REGISTRA")</f>
        <v>JULY FERNANDA GOMEZ NIÑO</v>
      </c>
      <c r="D852" s="4" t="str">
        <f>IFERROR(VLOOKUP(A852,'Base Prueba'!A:D,4,),"NO REGISTRA")</f>
        <v>DOCENTE DE MEDIO TIEMPO</v>
      </c>
      <c r="E852" s="5" t="str">
        <f>IFERROR(VLOOKUP(A852,'Base Prueba'!A:E,5,),"NO REGISTRA")</f>
        <v>TECNOLOGIA EN ADMINISTRACION DEL TALENTO HUMANO</v>
      </c>
    </row>
    <row r="853" spans="1:5" ht="15.75" x14ac:dyDescent="0.25">
      <c r="A853" s="10">
        <v>1019603886</v>
      </c>
      <c r="B853" s="2">
        <v>46134.563270601851</v>
      </c>
      <c r="C853" s="3" t="str">
        <f>IFERROR(VLOOKUP(A853,'Base Prueba'!A:C,3,),"NO REGISTRA")</f>
        <v>NICOLAS ESPITIA CHACON</v>
      </c>
      <c r="D853" s="4" t="str">
        <f>IFERROR(VLOOKUP(A853,'Base Prueba'!A:D,4,),"NO REGISTRA")</f>
        <v>AUXILIAR DE RECURSOS ACADEMICOS</v>
      </c>
      <c r="E853" s="5" t="str">
        <f>IFERROR(VLOOKUP(A853,'Base Prueba'!A:E,5,),"NO REGISTRA")</f>
        <v>RECURSOS ACADEMICOS</v>
      </c>
    </row>
    <row r="854" spans="1:5" ht="15.75" x14ac:dyDescent="0.25">
      <c r="A854" s="10">
        <v>1019603886</v>
      </c>
      <c r="B854" s="2">
        <v>46134.563274768516</v>
      </c>
      <c r="C854" s="3" t="str">
        <f>IFERROR(VLOOKUP(A854,'Base Prueba'!A:C,3,),"NO REGISTRA")</f>
        <v>NICOLAS ESPITIA CHACON</v>
      </c>
      <c r="D854" s="4" t="str">
        <f>IFERROR(VLOOKUP(A854,'Base Prueba'!A:D,4,),"NO REGISTRA")</f>
        <v>AUXILIAR DE RECURSOS ACADEMICOS</v>
      </c>
      <c r="E854" s="5" t="str">
        <f>IFERROR(VLOOKUP(A854,'Base Prueba'!A:E,5,),"NO REGISTRA")</f>
        <v>RECURSOS ACADEMICOS</v>
      </c>
    </row>
    <row r="855" spans="1:5" ht="15.75" x14ac:dyDescent="0.25">
      <c r="A855" s="10">
        <v>1023954848</v>
      </c>
      <c r="B855" s="2">
        <v>46134.67302141204</v>
      </c>
      <c r="C855" s="3" t="str">
        <f>IFERROR(VLOOKUP(A855,'Base Prueba'!A:C,3,),"NO REGISTRA")</f>
        <v>JUAN CARLOS ESPITIA ORTIZ</v>
      </c>
      <c r="D855" s="4" t="str">
        <f>IFERROR(VLOOKUP(A855,'Base Prueba'!A:D,4,),"NO REGISTRA")</f>
        <v>ANALISTA DE INFRAESTRUCTURA</v>
      </c>
      <c r="E855" s="5" t="str">
        <f>IFERROR(VLOOKUP(A855,'Base Prueba'!A:E,5,),"NO REGISTRA")</f>
        <v>DEPARTAMENTO DE INFORMATICA Y TECNOLOGIA</v>
      </c>
    </row>
    <row r="856" spans="1:5" ht="15.75" x14ac:dyDescent="0.25">
      <c r="A856" s="10">
        <v>52782050</v>
      </c>
      <c r="B856" s="2">
        <v>46134.756949884257</v>
      </c>
      <c r="C856" s="3" t="str">
        <f>IFERROR(VLOOKUP(A856,'Base Prueba'!A:C,3,),"NO REGISTRA")</f>
        <v>MELISSA AVENDAÑO TOCANCHON</v>
      </c>
      <c r="D856" s="4" t="str">
        <f>IFERROR(VLOOKUP(A856,'Base Prueba'!A:D,4,),"NO REGISTRA")</f>
        <v>DOCENTE DE MEDIO TIEMPO</v>
      </c>
      <c r="E856" s="5" t="str">
        <f>IFERROR(VLOOKUP(A856,'Base Prueba'!A:E,5,),"NO REGISTRA")</f>
        <v>NARRATIVAS DIGITALES Y AUDIOVISUALES</v>
      </c>
    </row>
    <row r="857" spans="1:5" ht="15.75" x14ac:dyDescent="0.25">
      <c r="A857" s="10">
        <v>79452150</v>
      </c>
      <c r="B857" s="2">
        <v>46134.792301157409</v>
      </c>
      <c r="C857" s="3" t="str">
        <f>IFERROR(VLOOKUP(A857,'Base Prueba'!A:C,3,),"NO REGISTRA")</f>
        <v>JUAN CARLOS PAZ CUBILLOS</v>
      </c>
      <c r="D857" s="4" t="str">
        <f>IFERROR(VLOOKUP(A857,'Base Prueba'!A:D,4,),"NO REGISTRA")</f>
        <v>ANALISTA DE SISTEMAS</v>
      </c>
      <c r="E857" s="5" t="str">
        <f>IFERROR(VLOOKUP(A857,'Base Prueba'!A:E,5,),"NO REGISTRA")</f>
        <v>DEPARTAMENTO DE INFORMATICA Y TECNOLOGIA</v>
      </c>
    </row>
    <row r="858" spans="1:5" ht="15.75" x14ac:dyDescent="0.25">
      <c r="A858" s="10">
        <v>52850506</v>
      </c>
      <c r="B858" s="2">
        <v>46134.841479050927</v>
      </c>
      <c r="C858" s="3" t="str">
        <f>IFERROR(VLOOKUP(A858,'Base Prueba'!A:C,3,),"NO REGISTRA")</f>
        <v>PAOLA ANDREA VASQUEZ FONSECA</v>
      </c>
      <c r="D858" s="4" t="str">
        <f>IFERROR(VLOOKUP(A858,'Base Prueba'!A:D,4,),"NO REGISTRA")</f>
        <v>DOCENTE DE TIEMPO COMPLETO</v>
      </c>
      <c r="E858" s="5" t="str">
        <f>IFERROR(VLOOKUP(A858,'Base Prueba'!A:E,5,),"NO REGISTRA")</f>
        <v>UNIVERSITARIO COMUNICACION SOCIAL</v>
      </c>
    </row>
    <row r="859" spans="1:5" ht="15.75" x14ac:dyDescent="0.25">
      <c r="A859" s="10">
        <v>1019603886</v>
      </c>
      <c r="B859" s="2">
        <v>46135.254782870368</v>
      </c>
      <c r="C859" s="3" t="str">
        <f>IFERROR(VLOOKUP(A859,'Base Prueba'!A:C,3,),"NO REGISTRA")</f>
        <v>NICOLAS ESPITIA CHACON</v>
      </c>
      <c r="D859" s="4" t="str">
        <f>IFERROR(VLOOKUP(A859,'Base Prueba'!A:D,4,),"NO REGISTRA")</f>
        <v>AUXILIAR DE RECURSOS ACADEMICOS</v>
      </c>
      <c r="E859" s="5" t="str">
        <f>IFERROR(VLOOKUP(A859,'Base Prueba'!A:E,5,),"NO REGISTRA")</f>
        <v>RECURSOS ACADEMICOS</v>
      </c>
    </row>
    <row r="860" spans="1:5" ht="15.75" x14ac:dyDescent="0.25">
      <c r="A860" s="10">
        <v>1000218614</v>
      </c>
      <c r="B860" s="2">
        <v>46135.328642824075</v>
      </c>
      <c r="C860" s="3" t="str">
        <f>IFERROR(VLOOKUP(A860,'Base Prueba'!A:C,3,),"NO REGISTRA")</f>
        <v>SEBASTIAN DAVID MELO DIAZ</v>
      </c>
      <c r="D860" s="4" t="str">
        <f>IFERROR(VLOOKUP(A860,'Base Prueba'!A:D,4,),"NO REGISTRA")</f>
        <v>ANALISTA DE SISTEMAS</v>
      </c>
      <c r="E860" s="5" t="str">
        <f>IFERROR(VLOOKUP(A860,'Base Prueba'!A:E,5,),"NO REGISTRA")</f>
        <v>DEPARTAMENTO DE INFORMATICA Y TECNOLOGIA</v>
      </c>
    </row>
    <row r="861" spans="1:5" ht="15.75" x14ac:dyDescent="0.25">
      <c r="A861" s="10">
        <v>19461924</v>
      </c>
      <c r="B861" s="2">
        <v>46135.370428587965</v>
      </c>
      <c r="C861" s="3" t="str">
        <f>IFERROR(VLOOKUP(A861,'Base Prueba'!A:C,3,),"NO REGISTRA")</f>
        <v>ORLANDO ALBERTO ORTIZ SANCHEZ</v>
      </c>
      <c r="D861" s="4" t="str">
        <f>IFERROR(VLOOKUP(A861,'Base Prueba'!A:D,4,),"NO REGISTRA")</f>
        <v>DOCENTE DE TIEMPO COMPLETO</v>
      </c>
      <c r="E861" s="5" t="str">
        <f>IFERROR(VLOOKUP(A861,'Base Prueba'!A:E,5,),"NO REGISTRA")</f>
        <v>AREA DE CIENCIAS BASICAS</v>
      </c>
    </row>
    <row r="862" spans="1:5" ht="15.75" x14ac:dyDescent="0.25">
      <c r="A862" s="10">
        <v>52049956</v>
      </c>
      <c r="B862" s="2">
        <v>46135.371120833333</v>
      </c>
      <c r="C862" s="3" t="str">
        <f>IFERROR(VLOOKUP(A862,'Base Prueba'!A:C,3,),"NO REGISTRA")</f>
        <v>ESPERANZA MORALES</v>
      </c>
      <c r="D862" s="4" t="str">
        <f>IFERROR(VLOOKUP(A862,'Base Prueba'!A:D,4,),"NO REGISTRA")</f>
        <v>DIRECTORA DE INFORMATICA Y TECNOLOGIA</v>
      </c>
      <c r="E862" s="5" t="str">
        <f>IFERROR(VLOOKUP(A862,'Base Prueba'!A:E,5,),"NO REGISTRA")</f>
        <v>DEPARTAMENTO DE INFORMATICA Y TECNOLOGIA</v>
      </c>
    </row>
    <row r="863" spans="1:5" ht="15.75" x14ac:dyDescent="0.25">
      <c r="A863" s="10">
        <v>85437910</v>
      </c>
      <c r="B863" s="2">
        <v>46135.387943171299</v>
      </c>
      <c r="C863" s="3" t="str">
        <f>IFERROR(VLOOKUP(A863,'Base Prueba'!A:C,3,),"NO REGISTRA")</f>
        <v>EDGAR JOSE PISCIOTTI LEON</v>
      </c>
      <c r="D863" s="4" t="str">
        <f>IFERROR(VLOOKUP(A863,'Base Prueba'!A:D,4,),"NO REGISTRA")</f>
        <v>DOCENTE DE MEDIO TIEMPO</v>
      </c>
      <c r="E863" s="5" t="str">
        <f>IFERROR(VLOOKUP(A863,'Base Prueba'!A:E,5,),"NO REGISTRA")</f>
        <v>TECNOLOGIA EN COMERCIO Y NEGOCIOS INTERNACIONALES</v>
      </c>
    </row>
    <row r="864" spans="1:5" ht="15.75" x14ac:dyDescent="0.25">
      <c r="A864" s="10">
        <v>52225539</v>
      </c>
      <c r="B864" s="2">
        <v>46135.398285995368</v>
      </c>
      <c r="C864" s="3" t="str">
        <f>IFERROR(VLOOKUP(A864,'Base Prueba'!A:C,3,),"NO REGISTRA")</f>
        <v>LISA MINELLY ZAMBRANO CONTRERAS</v>
      </c>
      <c r="D864" s="4" t="str">
        <f>IFERROR(VLOOKUP(A864,'Base Prueba'!A:D,4,),"NO REGISTRA")</f>
        <v>LIDER DE COMPRAS</v>
      </c>
      <c r="E864" s="5" t="str">
        <f>IFERROR(VLOOKUP(A864,'Base Prueba'!A:E,5,),"NO REGISTRA")</f>
        <v>VICERRECTORIA ADMINISTRATIVA Y FINANCIERA</v>
      </c>
    </row>
    <row r="865" spans="1:5" ht="15.75" x14ac:dyDescent="0.25">
      <c r="A865" s="10">
        <v>52782050</v>
      </c>
      <c r="B865" s="2">
        <v>46135.491309490739</v>
      </c>
      <c r="C865" s="3" t="str">
        <f>IFERROR(VLOOKUP(A865,'Base Prueba'!A:C,3,),"NO REGISTRA")</f>
        <v>MELISSA AVENDAÑO TOCANCHON</v>
      </c>
      <c r="D865" s="4" t="str">
        <f>IFERROR(VLOOKUP(A865,'Base Prueba'!A:D,4,),"NO REGISTRA")</f>
        <v>DOCENTE DE MEDIO TIEMPO</v>
      </c>
      <c r="E865" s="5" t="str">
        <f>IFERROR(VLOOKUP(A865,'Base Prueba'!A:E,5,),"NO REGISTRA")</f>
        <v>NARRATIVAS DIGITALES Y AUDIOVISUALES</v>
      </c>
    </row>
    <row r="866" spans="1:5" ht="15.75" x14ac:dyDescent="0.25">
      <c r="A866" s="10">
        <v>1019125716</v>
      </c>
      <c r="B866" s="2">
        <v>46135.501889467596</v>
      </c>
      <c r="C866" s="3" t="str">
        <f>IFERROR(VLOOKUP(A866,'Base Prueba'!A:C,3,),"NO REGISTRA")</f>
        <v>GINA PAOLA ALZATE ARISTIZABAL</v>
      </c>
      <c r="D866" s="4" t="str">
        <f>IFERROR(VLOOKUP(A866,'Base Prueba'!A:D,4,),"NO REGISTRA")</f>
        <v>DOCENTE DE MEDIO TIEMPO</v>
      </c>
      <c r="E866" s="5" t="str">
        <f>IFERROR(VLOOKUP(A866,'Base Prueba'!A:E,5,),"NO REGISTRA")</f>
        <v>UNIDAD DE IDIOMAS</v>
      </c>
    </row>
    <row r="867" spans="1:5" ht="15.75" x14ac:dyDescent="0.25">
      <c r="A867" s="10">
        <v>1019603886</v>
      </c>
      <c r="B867" s="2">
        <v>46135.603380671295</v>
      </c>
      <c r="C867" s="3" t="str">
        <f>IFERROR(VLOOKUP(A867,'Base Prueba'!A:C,3,),"NO REGISTRA")</f>
        <v>NICOLAS ESPITIA CHACON</v>
      </c>
      <c r="D867" s="4" t="str">
        <f>IFERROR(VLOOKUP(A867,'Base Prueba'!A:D,4,),"NO REGISTRA")</f>
        <v>AUXILIAR DE RECURSOS ACADEMICOS</v>
      </c>
      <c r="E867" s="5" t="str">
        <f>IFERROR(VLOOKUP(A867,'Base Prueba'!A:E,5,),"NO REGISTRA")</f>
        <v>RECURSOS ACADEMICOS</v>
      </c>
    </row>
    <row r="868" spans="1:5" ht="15.75" x14ac:dyDescent="0.25">
      <c r="A868" s="10">
        <v>79313678</v>
      </c>
      <c r="B868" s="2">
        <v>46135.60348622685</v>
      </c>
      <c r="C868" s="3" t="str">
        <f>IFERROR(VLOOKUP(A868,'Base Prueba'!A:C,3,),"NO REGISTRA")</f>
        <v>MARCO VINICIO RAMIREZ PEREIRA</v>
      </c>
      <c r="D868" s="4" t="str">
        <f>IFERROR(VLOOKUP(A868,'Base Prueba'!A:D,4,),"NO REGISTRA")</f>
        <v>TECNICO EN MANTENIMIENTO DE RECURSOS ACADEMICOS</v>
      </c>
      <c r="E868" s="5" t="str">
        <f>IFERROR(VLOOKUP(A868,'Base Prueba'!A:E,5,),"NO REGISTRA")</f>
        <v>RECURSOS ACADEMICOS</v>
      </c>
    </row>
    <row r="869" spans="1:5" ht="15.75" x14ac:dyDescent="0.25">
      <c r="A869" s="10">
        <v>248294</v>
      </c>
      <c r="B869" s="2">
        <v>46135.678726273145</v>
      </c>
      <c r="C869" s="3" t="str">
        <f>IFERROR(VLOOKUP(A869,'Base Prueba'!A:C,3,),"NO REGISTRA")</f>
        <v>WALTER NATALIO VALDEZ MONTAÑEZ</v>
      </c>
      <c r="D869" s="4" t="str">
        <f>IFERROR(VLOOKUP(A869,'Base Prueba'!A:D,4,),"NO REGISTRA")</f>
        <v>DOCENTE DE TIEMPO COMPLETO</v>
      </c>
      <c r="E869" s="5" t="str">
        <f>IFERROR(VLOOKUP(A869,'Base Prueba'!A:E,5,),"NO REGISTRA")</f>
        <v>UNIVERSITARIO EN TURISMO Y GASTRONOMIA</v>
      </c>
    </row>
    <row r="870" spans="1:5" ht="15.75" x14ac:dyDescent="0.25">
      <c r="A870" s="10">
        <v>79942078</v>
      </c>
      <c r="B870" s="2">
        <v>46135.729023495369</v>
      </c>
      <c r="C870" s="3" t="str">
        <f>IFERROR(VLOOKUP(A870,'Base Prueba'!A:C,3,),"NO REGISTRA")</f>
        <v>JORGE MARIO ORJUELA MARQUEZ</v>
      </c>
      <c r="D870" s="4" t="str">
        <f>IFERROR(VLOOKUP(A870,'Base Prueba'!A:D,4,),"NO REGISTRA")</f>
        <v>DOCENTE DE TIEMPO COMPLETO</v>
      </c>
      <c r="E870" s="5" t="str">
        <f>IFERROR(VLOOKUP(A870,'Base Prueba'!A:E,5,),"NO REGISTRA")</f>
        <v>UNIVERSITARIO ADMINISTRACION DE EMPRESAS</v>
      </c>
    </row>
    <row r="871" spans="1:5" ht="15.75" x14ac:dyDescent="0.25">
      <c r="A871" s="10" t="s">
        <v>3695</v>
      </c>
      <c r="B871" s="2">
        <v>46135.739911111108</v>
      </c>
      <c r="C871" s="3" t="str">
        <f>IFERROR(VLOOKUP(A871,'Base Prueba'!A:C,3,),"NO REGISTRA")</f>
        <v>NO REGISTRA</v>
      </c>
      <c r="D871" s="4" t="str">
        <f>IFERROR(VLOOKUP(A871,'Base Prueba'!A:D,4,),"NO REGISTRA")</f>
        <v>NO REGISTRA</v>
      </c>
      <c r="E871" s="5" t="str">
        <f>IFERROR(VLOOKUP(A871,'Base Prueba'!A:E,5,),"NO REGISTRA")</f>
        <v>NO REGISTRA</v>
      </c>
    </row>
    <row r="872" spans="1:5" ht="15.75" x14ac:dyDescent="0.25">
      <c r="A872" s="10">
        <v>1022346044</v>
      </c>
      <c r="B872" s="2">
        <v>46135.739915972219</v>
      </c>
      <c r="C872" s="3" t="str">
        <f>IFERROR(VLOOKUP(A872,'Base Prueba'!A:C,3,),"NO REGISTRA")</f>
        <v>LUZ ALEJANDRA CASTILLO RODRIGUEZ</v>
      </c>
      <c r="D872" s="4" t="str">
        <f>IFERROR(VLOOKUP(A872,'Base Prueba'!A:D,4,),"NO REGISTRA")</f>
        <v>DOCENTE DE MEDIO TIEMPO</v>
      </c>
      <c r="E872" s="5" t="str">
        <f>IFERROR(VLOOKUP(A872,'Base Prueba'!A:E,5,),"NO REGISTRA")</f>
        <v>UNIVERSITARIO EN SEGURIDAD Y SALUD EN EL TRABAJO</v>
      </c>
    </row>
    <row r="873" spans="1:5" ht="15.75" x14ac:dyDescent="0.25">
      <c r="A873" s="10">
        <v>79473556</v>
      </c>
      <c r="B873" s="2">
        <v>46135.754937731479</v>
      </c>
      <c r="C873" s="3" t="str">
        <f>IFERROR(VLOOKUP(A873,'Base Prueba'!A:C,3,),"NO REGISTRA")</f>
        <v>ARCADIO SOTO ROJAS</v>
      </c>
      <c r="D873" s="4" t="str">
        <f>IFERROR(VLOOKUP(A873,'Base Prueba'!A:D,4,),"NO REGISTRA")</f>
        <v>CATEDRATICO</v>
      </c>
      <c r="E873" s="5" t="str">
        <f>IFERROR(VLOOKUP(A873,'Base Prueba'!A:E,5,),"NO REGISTRA")</f>
        <v>ESPECIALIZACION EN GERENCIA DE SEGURIDAD INDUSTRIAL</v>
      </c>
    </row>
    <row r="874" spans="1:5" ht="15.75" x14ac:dyDescent="0.25">
      <c r="A874" s="10">
        <v>1032401971</v>
      </c>
      <c r="B874" s="2">
        <v>46135.756970254632</v>
      </c>
      <c r="C874" s="3" t="str">
        <f>IFERROR(VLOOKUP(A874,'Base Prueba'!A:C,3,),"NO REGISTRA")</f>
        <v>ANDRYU ENRIQUE MENDOZA BELTRAN</v>
      </c>
      <c r="D874" s="4" t="str">
        <f>IFERROR(VLOOKUP(A874,'Base Prueba'!A:D,4,),"NO REGISTRA")</f>
        <v>DOCENTE DE TIEMPO COMPLETO</v>
      </c>
      <c r="E874" s="5" t="str">
        <f>IFERROR(VLOOKUP(A874,'Base Prueba'!A:E,5,),"NO REGISTRA")</f>
        <v>UNIVERSITARIO ADMINISTRACION DE EMPRESAS</v>
      </c>
    </row>
    <row r="875" spans="1:5" ht="15.75" x14ac:dyDescent="0.25">
      <c r="A875" s="10">
        <v>79452150</v>
      </c>
      <c r="B875" s="2">
        <v>46135.802003009259</v>
      </c>
      <c r="C875" s="3" t="str">
        <f>IFERROR(VLOOKUP(A875,'Base Prueba'!A:C,3,),"NO REGISTRA")</f>
        <v>JUAN CARLOS PAZ CUBILLOS</v>
      </c>
      <c r="D875" s="4" t="str">
        <f>IFERROR(VLOOKUP(A875,'Base Prueba'!A:D,4,),"NO REGISTRA")</f>
        <v>ANALISTA DE SISTEMAS</v>
      </c>
      <c r="E875" s="5" t="str">
        <f>IFERROR(VLOOKUP(A875,'Base Prueba'!A:E,5,),"NO REGISTRA")</f>
        <v>DEPARTAMENTO DE INFORMATICA Y TECNOLOGIA</v>
      </c>
    </row>
    <row r="876" spans="1:5" ht="15.75" x14ac:dyDescent="0.25">
      <c r="A876" s="10">
        <v>1032457498</v>
      </c>
      <c r="B876" s="2">
        <v>46135.832278009257</v>
      </c>
      <c r="C876" s="3" t="str">
        <f>IFERROR(VLOOKUP(A876,'Base Prueba'!A:C,3,),"NO REGISTRA")</f>
        <v>LOTUS KING SALCEDO VALLEJO</v>
      </c>
      <c r="D876" s="4" t="str">
        <f>IFERROR(VLOOKUP(A876,'Base Prueba'!A:D,4,),"NO REGISTRA")</f>
        <v>COORDINADOR DE INVESTIGACIÓN</v>
      </c>
      <c r="E876" s="5" t="str">
        <f>IFERROR(VLOOKUP(A876,'Base Prueba'!A:E,5,),"NO REGISTRA")</f>
        <v>VICERRECTORIA ACADEMICA</v>
      </c>
    </row>
    <row r="877" spans="1:5" ht="15.75" x14ac:dyDescent="0.25">
      <c r="A877" s="10">
        <v>52049956</v>
      </c>
      <c r="B877" s="2">
        <v>46135.832694791665</v>
      </c>
      <c r="C877" s="3" t="str">
        <f>IFERROR(VLOOKUP(A877,'Base Prueba'!A:C,3,),"NO REGISTRA")</f>
        <v>ESPERANZA MORALES</v>
      </c>
      <c r="D877" s="4" t="str">
        <f>IFERROR(VLOOKUP(A877,'Base Prueba'!A:D,4,),"NO REGISTRA")</f>
        <v>DIRECTORA DE INFORMATICA Y TECNOLOGIA</v>
      </c>
      <c r="E877" s="5" t="str">
        <f>IFERROR(VLOOKUP(A877,'Base Prueba'!A:E,5,),"NO REGISTRA")</f>
        <v>DEPARTAMENTO DE INFORMATICA Y TECNOLOGIA</v>
      </c>
    </row>
    <row r="878" spans="1:5" ht="15.75" x14ac:dyDescent="0.25">
      <c r="A878" s="10">
        <v>52850506</v>
      </c>
      <c r="B878" s="2">
        <v>46135.851352662037</v>
      </c>
      <c r="C878" s="3" t="str">
        <f>IFERROR(VLOOKUP(A878,'Base Prueba'!A:C,3,),"NO REGISTRA")</f>
        <v>PAOLA ANDREA VASQUEZ FONSECA</v>
      </c>
      <c r="D878" s="4" t="str">
        <f>IFERROR(VLOOKUP(A878,'Base Prueba'!A:D,4,),"NO REGISTRA")</f>
        <v>DOCENTE DE TIEMPO COMPLETO</v>
      </c>
      <c r="E878" s="5" t="str">
        <f>IFERROR(VLOOKUP(A878,'Base Prueba'!A:E,5,),"NO REGISTRA")</f>
        <v>UNIVERSITARIO COMUNICACION SOCIAL</v>
      </c>
    </row>
    <row r="879" spans="1:5" ht="15.75" x14ac:dyDescent="0.25">
      <c r="A879" s="10">
        <v>80472319</v>
      </c>
      <c r="B879" s="2">
        <v>46135.87718599537</v>
      </c>
      <c r="C879" s="3" t="str">
        <f>IFERROR(VLOOKUP(A879,'Base Prueba'!A:C,3,),"NO REGISTRA")</f>
        <v>FRANCISCO JAVIER MONTENEGRO AGUILAR</v>
      </c>
      <c r="D879" s="4" t="str">
        <f>IFERROR(VLOOKUP(A879,'Base Prueba'!A:D,4,),"NO REGISTRA")</f>
        <v>DOCENTE DE MEDIO TIEMPO</v>
      </c>
      <c r="E879" s="5" t="str">
        <f>IFERROR(VLOOKUP(A879,'Base Prueba'!A:E,5,),"NO REGISTRA")</f>
        <v>TECNOLOGIA EN COMERCIO Y NEGOCIOS INTERNACIONALES</v>
      </c>
    </row>
    <row r="880" spans="1:5" ht="15.75" x14ac:dyDescent="0.25">
      <c r="A880" s="10">
        <v>79473556</v>
      </c>
      <c r="B880" s="2">
        <v>46135.895578240743</v>
      </c>
      <c r="C880" s="3" t="str">
        <f>IFERROR(VLOOKUP(A880,'Base Prueba'!A:C,3,),"NO REGISTRA")</f>
        <v>ARCADIO SOTO ROJAS</v>
      </c>
      <c r="D880" s="4" t="str">
        <f>IFERROR(VLOOKUP(A880,'Base Prueba'!A:D,4,),"NO REGISTRA")</f>
        <v>CATEDRATICO</v>
      </c>
      <c r="E880" s="5" t="str">
        <f>IFERROR(VLOOKUP(A880,'Base Prueba'!A:E,5,),"NO REGISTRA")</f>
        <v>ESPECIALIZACION EN GERENCIA DE SEGURIDAD INDUSTRIAL</v>
      </c>
    </row>
    <row r="881" spans="1:5" ht="15.75" x14ac:dyDescent="0.25">
      <c r="A881" s="10">
        <v>79484197</v>
      </c>
      <c r="B881" s="2">
        <v>46136.275091550924</v>
      </c>
      <c r="C881" s="3" t="str">
        <f>IFERROR(VLOOKUP(A881,'Base Prueba'!A:C,3,),"NO REGISTRA")</f>
        <v>JOHN DANIEL GUTIERREZ BOADA</v>
      </c>
      <c r="D881" s="4" t="str">
        <f>IFERROR(VLOOKUP(A881,'Base Prueba'!A:D,4,),"NO REGISTRA")</f>
        <v>DOCENTE DE MEDIO TIEMPO</v>
      </c>
      <c r="E881" s="5" t="str">
        <f>IFERROR(VLOOKUP(A881,'Base Prueba'!A:E,5,),"NO REGISTRA")</f>
        <v>UNIVERSITARIO COMUNICACION SOCIAL</v>
      </c>
    </row>
    <row r="882" spans="1:5" ht="15.75" x14ac:dyDescent="0.25">
      <c r="A882" s="10">
        <v>80778198</v>
      </c>
      <c r="B882" s="2">
        <v>46136.293969212966</v>
      </c>
      <c r="C882" s="3" t="str">
        <f>IFERROR(VLOOKUP(A882,'Base Prueba'!A:C,3,),"NO REGISTRA")</f>
        <v>JIMY JAVIER ALDANA REYES</v>
      </c>
      <c r="D882" s="4" t="str">
        <f>IFERROR(VLOOKUP(A882,'Base Prueba'!A:D,4,),"NO REGISTRA")</f>
        <v>DOCENTE DE TIEMPO COMPLETO</v>
      </c>
      <c r="E882" s="5" t="str">
        <f>IFERROR(VLOOKUP(A882,'Base Prueba'!A:E,5,),"NO REGISTRA")</f>
        <v>INGENIERIA DE SOFTWARE</v>
      </c>
    </row>
    <row r="883" spans="1:5" ht="15.75" x14ac:dyDescent="0.25">
      <c r="A883" s="10">
        <v>1000218614</v>
      </c>
      <c r="B883" s="2">
        <v>46136.329794675927</v>
      </c>
      <c r="C883" s="3" t="str">
        <f>IFERROR(VLOOKUP(A883,'Base Prueba'!A:C,3,),"NO REGISTRA")</f>
        <v>SEBASTIAN DAVID MELO DIAZ</v>
      </c>
      <c r="D883" s="4" t="str">
        <f>IFERROR(VLOOKUP(A883,'Base Prueba'!A:D,4,),"NO REGISTRA")</f>
        <v>ANALISTA DE SISTEMAS</v>
      </c>
      <c r="E883" s="5" t="str">
        <f>IFERROR(VLOOKUP(A883,'Base Prueba'!A:E,5,),"NO REGISTRA")</f>
        <v>DEPARTAMENTO DE INFORMATICA Y TECNOLOGIA</v>
      </c>
    </row>
    <row r="884" spans="1:5" ht="15.75" x14ac:dyDescent="0.25">
      <c r="A884" s="10">
        <v>52049956</v>
      </c>
      <c r="B884" s="2">
        <v>46136.340421064815</v>
      </c>
      <c r="C884" s="3" t="str">
        <f>IFERROR(VLOOKUP(A884,'Base Prueba'!A:C,3,),"NO REGISTRA")</f>
        <v>ESPERANZA MORALES</v>
      </c>
      <c r="D884" s="4" t="str">
        <f>IFERROR(VLOOKUP(A884,'Base Prueba'!A:D,4,),"NO REGISTRA")</f>
        <v>DIRECTORA DE INFORMATICA Y TECNOLOGIA</v>
      </c>
      <c r="E884" s="5" t="str">
        <f>IFERROR(VLOOKUP(A884,'Base Prueba'!A:E,5,),"NO REGISTRA")</f>
        <v>DEPARTAMENTO DE INFORMATICA Y TECNOLOGIA</v>
      </c>
    </row>
    <row r="885" spans="1:5" ht="15.75" x14ac:dyDescent="0.25">
      <c r="A885" s="10">
        <v>1022378300</v>
      </c>
      <c r="B885" s="2">
        <v>46136.340881828706</v>
      </c>
      <c r="C885" s="3" t="str">
        <f>IFERROR(VLOOKUP(A885,'Base Prueba'!A:C,3,),"NO REGISTRA")</f>
        <v>FERNEY ANDRES CHASPUENGAL RAMIREZ</v>
      </c>
      <c r="D885" s="4" t="str">
        <f>IFERROR(VLOOKUP(A885,'Base Prueba'!A:D,4,),"NO REGISTRA")</f>
        <v>LÍDER DE DEPORTE Y CULTURA</v>
      </c>
      <c r="E885" s="5" t="str">
        <f>IFERROR(VLOOKUP(A885,'Base Prueba'!A:E,5,),"NO REGISTRA")</f>
        <v>DIRECCION DE BIENESTAR INSTITUCIONAL</v>
      </c>
    </row>
    <row r="886" spans="1:5" ht="15.75" x14ac:dyDescent="0.25">
      <c r="A886" s="10">
        <v>85437910</v>
      </c>
      <c r="B886" s="2">
        <v>46136.353417129627</v>
      </c>
      <c r="C886" s="3" t="str">
        <f>IFERROR(VLOOKUP(A886,'Base Prueba'!A:C,3,),"NO REGISTRA")</f>
        <v>EDGAR JOSE PISCIOTTI LEON</v>
      </c>
      <c r="D886" s="4" t="str">
        <f>IFERROR(VLOOKUP(A886,'Base Prueba'!A:D,4,),"NO REGISTRA")</f>
        <v>DOCENTE DE MEDIO TIEMPO</v>
      </c>
      <c r="E886" s="5" t="str">
        <f>IFERROR(VLOOKUP(A886,'Base Prueba'!A:E,5,),"NO REGISTRA")</f>
        <v>TECNOLOGIA EN COMERCIO Y NEGOCIOS INTERNACIONALES</v>
      </c>
    </row>
    <row r="887" spans="1:5" ht="15.75" x14ac:dyDescent="0.25">
      <c r="A887" s="10">
        <v>79713882</v>
      </c>
      <c r="B887" s="2">
        <v>46136.39909097222</v>
      </c>
      <c r="C887" s="3" t="str">
        <f>IFERROR(VLOOKUP(A887,'Base Prueba'!A:C,3,),"NO REGISTRA")</f>
        <v>FREDY ANGEL DAVILA CUBIDES</v>
      </c>
      <c r="D887" s="4" t="str">
        <f>IFERROR(VLOOKUP(A887,'Base Prueba'!A:D,4,),"NO REGISTRA")</f>
        <v>DECANO</v>
      </c>
      <c r="E887" s="5" t="str">
        <f>IFERROR(VLOOKUP(A887,'Base Prueba'!A:E,5,),"NO REGISTRA")</f>
        <v>ESCUELA DE INGENIERÍA Y TECNOLOGÍAS DE LA INFORMACIÓN</v>
      </c>
    </row>
    <row r="888" spans="1:5" ht="15.75" x14ac:dyDescent="0.25">
      <c r="A888" s="10">
        <v>79484197</v>
      </c>
      <c r="B888" s="2">
        <v>46136.417297337961</v>
      </c>
      <c r="C888" s="3" t="str">
        <f>IFERROR(VLOOKUP(A888,'Base Prueba'!A:C,3,),"NO REGISTRA")</f>
        <v>JOHN DANIEL GUTIERREZ BOADA</v>
      </c>
      <c r="D888" s="4" t="str">
        <f>IFERROR(VLOOKUP(A888,'Base Prueba'!A:D,4,),"NO REGISTRA")</f>
        <v>DOCENTE DE MEDIO TIEMPO</v>
      </c>
      <c r="E888" s="5" t="str">
        <f>IFERROR(VLOOKUP(A888,'Base Prueba'!A:E,5,),"NO REGISTRA")</f>
        <v>UNIVERSITARIO COMUNICACION SOCIAL</v>
      </c>
    </row>
    <row r="889" spans="1:5" ht="15.75" x14ac:dyDescent="0.25">
      <c r="A889" s="10">
        <v>1019603886</v>
      </c>
      <c r="B889" s="2">
        <v>46136.542641898151</v>
      </c>
      <c r="C889" s="3" t="str">
        <f>IFERROR(VLOOKUP(A889,'Base Prueba'!A:C,3,),"NO REGISTRA")</f>
        <v>NICOLAS ESPITIA CHACON</v>
      </c>
      <c r="D889" s="4" t="str">
        <f>IFERROR(VLOOKUP(A889,'Base Prueba'!A:D,4,),"NO REGISTRA")</f>
        <v>AUXILIAR DE RECURSOS ACADEMICOS</v>
      </c>
      <c r="E889" s="5" t="str">
        <f>IFERROR(VLOOKUP(A889,'Base Prueba'!A:E,5,),"NO REGISTRA")</f>
        <v>RECURSOS ACADEMICOS</v>
      </c>
    </row>
    <row r="890" spans="1:5" ht="15.75" x14ac:dyDescent="0.25">
      <c r="A890" s="10">
        <v>79313678</v>
      </c>
      <c r="B890" s="2">
        <v>46136.565364699076</v>
      </c>
      <c r="C890" s="3" t="str">
        <f>IFERROR(VLOOKUP(A890,'Base Prueba'!A:C,3,),"NO REGISTRA")</f>
        <v>MARCO VINICIO RAMIREZ PEREIRA</v>
      </c>
      <c r="D890" s="4" t="str">
        <f>IFERROR(VLOOKUP(A890,'Base Prueba'!A:D,4,),"NO REGISTRA")</f>
        <v>TECNICO EN MANTENIMIENTO DE RECURSOS ACADEMICOS</v>
      </c>
      <c r="E890" s="5" t="str">
        <f>IFERROR(VLOOKUP(A890,'Base Prueba'!A:E,5,),"NO REGISTRA")</f>
        <v>RECURSOS ACADEMICOS</v>
      </c>
    </row>
    <row r="891" spans="1:5" ht="15.75" x14ac:dyDescent="0.25">
      <c r="A891" s="10">
        <v>248294</v>
      </c>
      <c r="B891" s="2">
        <v>46136.653248379633</v>
      </c>
      <c r="C891" s="3" t="str">
        <f>IFERROR(VLOOKUP(A891,'Base Prueba'!A:C,3,),"NO REGISTRA")</f>
        <v>WALTER NATALIO VALDEZ MONTAÑEZ</v>
      </c>
      <c r="D891" s="4" t="str">
        <f>IFERROR(VLOOKUP(A891,'Base Prueba'!A:D,4,),"NO REGISTRA")</f>
        <v>DOCENTE DE TIEMPO COMPLETO</v>
      </c>
      <c r="E891" s="5" t="str">
        <f>IFERROR(VLOOKUP(A891,'Base Prueba'!A:E,5,),"NO REGISTRA")</f>
        <v>UNIVERSITARIO EN TURISMO Y GASTRONOMIA</v>
      </c>
    </row>
    <row r="892" spans="1:5" ht="15.75" x14ac:dyDescent="0.25">
      <c r="A892" s="10">
        <v>1032457498</v>
      </c>
      <c r="B892" s="2">
        <v>46136.691038310186</v>
      </c>
      <c r="C892" s="3" t="str">
        <f>IFERROR(VLOOKUP(A892,'Base Prueba'!A:C,3,),"NO REGISTRA")</f>
        <v>LOTUS KING SALCEDO VALLEJO</v>
      </c>
      <c r="D892" s="4" t="str">
        <f>IFERROR(VLOOKUP(A892,'Base Prueba'!A:D,4,),"NO REGISTRA")</f>
        <v>COORDINADOR DE INVESTIGACIÓN</v>
      </c>
      <c r="E892" s="5" t="str">
        <f>IFERROR(VLOOKUP(A892,'Base Prueba'!A:E,5,),"NO REGISTRA")</f>
        <v>VICERRECTORIA ACADEMICA</v>
      </c>
    </row>
    <row r="893" spans="1:5" ht="15.75" x14ac:dyDescent="0.25">
      <c r="A893" s="10">
        <v>11388623</v>
      </c>
      <c r="B893" s="2">
        <v>46136.733537268519</v>
      </c>
      <c r="C893" s="3" t="str">
        <f>IFERROR(VLOOKUP(A893,'Base Prueba'!A:C,3,),"NO REGISTRA")</f>
        <v>DIEGO MAURICIO PADILLA DIAZ</v>
      </c>
      <c r="D893" s="4" t="str">
        <f>IFERROR(VLOOKUP(A893,'Base Prueba'!A:D,4,),"NO REGISTRA")</f>
        <v>DOCENTE DE MEDIO TIEMPO</v>
      </c>
      <c r="E893" s="5" t="str">
        <f>IFERROR(VLOOKUP(A893,'Base Prueba'!A:E,5,),"NO REGISTRA")</f>
        <v>UNIVERSITARIO ADMINISTRACION DE EMPRESAS</v>
      </c>
    </row>
    <row r="894" spans="1:5" ht="15.75" x14ac:dyDescent="0.25">
      <c r="A894" s="10">
        <v>79473556</v>
      </c>
      <c r="B894" s="2">
        <v>46136.757641898148</v>
      </c>
      <c r="C894" s="3" t="str">
        <f>IFERROR(VLOOKUP(A894,'Base Prueba'!A:C,3,),"NO REGISTRA")</f>
        <v>ARCADIO SOTO ROJAS</v>
      </c>
      <c r="D894" s="4" t="str">
        <f>IFERROR(VLOOKUP(A894,'Base Prueba'!A:D,4,),"NO REGISTRA")</f>
        <v>CATEDRATICO</v>
      </c>
      <c r="E894" s="5" t="str">
        <f>IFERROR(VLOOKUP(A894,'Base Prueba'!A:E,5,),"NO REGISTRA")</f>
        <v>ESPECIALIZACION EN GERENCIA DE SEGURIDAD INDUSTRIAL</v>
      </c>
    </row>
    <row r="895" spans="1:5" ht="15.75" x14ac:dyDescent="0.25">
      <c r="A895" s="10">
        <v>80059783</v>
      </c>
      <c r="B895" s="2">
        <v>46136.76083738426</v>
      </c>
      <c r="C895" s="3" t="str">
        <f>IFERROR(VLOOKUP(A895,'Base Prueba'!A:C,3,),"NO REGISTRA")</f>
        <v>JAIRO FABIAN RIVERA RUBIANO</v>
      </c>
      <c r="D895" s="4" t="str">
        <f>IFERROR(VLOOKUP(A895,'Base Prueba'!A:D,4,),"NO REGISTRA")</f>
        <v>DOCENTE DE MEDIO TIEMPO</v>
      </c>
      <c r="E895" s="5" t="str">
        <f>IFERROR(VLOOKUP(A895,'Base Prueba'!A:E,5,),"NO REGISTRA")</f>
        <v>TECNOLOGIA EN ADMINISTRACION DEL TALENTO HUMANO</v>
      </c>
    </row>
    <row r="896" spans="1:5" ht="15.75" x14ac:dyDescent="0.25">
      <c r="A896" s="10">
        <v>79452150</v>
      </c>
      <c r="B896" s="2">
        <v>46136.818447685182</v>
      </c>
      <c r="C896" s="3" t="str">
        <f>IFERROR(VLOOKUP(A896,'Base Prueba'!A:C,3,),"NO REGISTRA")</f>
        <v>JUAN CARLOS PAZ CUBILLOS</v>
      </c>
      <c r="D896" s="4" t="str">
        <f>IFERROR(VLOOKUP(A896,'Base Prueba'!A:D,4,),"NO REGISTRA")</f>
        <v>ANALISTA DE SISTEMAS</v>
      </c>
      <c r="E896" s="5" t="str">
        <f>IFERROR(VLOOKUP(A896,'Base Prueba'!A:E,5,),"NO REGISTRA")</f>
        <v>DEPARTAMENTO DE INFORMATICA Y TECNOLOGIA</v>
      </c>
    </row>
    <row r="897" spans="1:5" ht="15.75" x14ac:dyDescent="0.25">
      <c r="A897" s="10">
        <v>52049956</v>
      </c>
      <c r="B897" s="2">
        <v>46136.828778819443</v>
      </c>
      <c r="C897" s="3" t="str">
        <f>IFERROR(VLOOKUP(A897,'Base Prueba'!A:C,3,),"NO REGISTRA")</f>
        <v>ESPERANZA MORALES</v>
      </c>
      <c r="D897" s="4" t="str">
        <f>IFERROR(VLOOKUP(A897,'Base Prueba'!A:D,4,),"NO REGISTRA")</f>
        <v>DIRECTORA DE INFORMATICA Y TECNOLOGIA</v>
      </c>
      <c r="E897" s="5" t="str">
        <f>IFERROR(VLOOKUP(A897,'Base Prueba'!A:E,5,),"NO REGISTRA")</f>
        <v>DEPARTAMENTO DE INFORMATICA Y TECNOLOGIA</v>
      </c>
    </row>
    <row r="898" spans="1:5" ht="15.75" x14ac:dyDescent="0.25">
      <c r="A898" s="10">
        <v>79473556</v>
      </c>
      <c r="B898" s="2">
        <v>46136.90215011574</v>
      </c>
      <c r="C898" s="3" t="str">
        <f>IFERROR(VLOOKUP(A898,'Base Prueba'!A:C,3,),"NO REGISTRA")</f>
        <v>ARCADIO SOTO ROJAS</v>
      </c>
      <c r="D898" s="4" t="str">
        <f>IFERROR(VLOOKUP(A898,'Base Prueba'!A:D,4,),"NO REGISTRA")</f>
        <v>CATEDRATICO</v>
      </c>
      <c r="E898" s="5" t="str">
        <f>IFERROR(VLOOKUP(A898,'Base Prueba'!A:E,5,),"NO REGISTRA")</f>
        <v>ESPECIALIZACION EN GERENCIA DE SEGURIDAD INDUSTRIAL</v>
      </c>
    </row>
    <row r="899" spans="1:5" ht="15.75" x14ac:dyDescent="0.25">
      <c r="A899" s="10">
        <v>79484197</v>
      </c>
      <c r="B899" s="2">
        <v>46137.278449189813</v>
      </c>
      <c r="C899" s="3" t="str">
        <f>IFERROR(VLOOKUP(A899,'Base Prueba'!A:C,3,),"NO REGISTRA")</f>
        <v>JOHN DANIEL GUTIERREZ BOADA</v>
      </c>
      <c r="D899" s="4" t="str">
        <f>IFERROR(VLOOKUP(A899,'Base Prueba'!A:D,4,),"NO REGISTRA")</f>
        <v>DOCENTE DE MEDIO TIEMPO</v>
      </c>
      <c r="E899" s="5" t="str">
        <f>IFERROR(VLOOKUP(A899,'Base Prueba'!A:E,5,),"NO REGISTRA")</f>
        <v>UNIVERSITARIO COMUNICACION SOCIAL</v>
      </c>
    </row>
    <row r="900" spans="1:5" ht="15.75" x14ac:dyDescent="0.25">
      <c r="A900" s="10">
        <v>80059783</v>
      </c>
      <c r="B900" s="2">
        <v>46137.287682407405</v>
      </c>
      <c r="C900" s="3" t="str">
        <f>IFERROR(VLOOKUP(A900,'Base Prueba'!A:C,3,),"NO REGISTRA")</f>
        <v>JAIRO FABIAN RIVERA RUBIANO</v>
      </c>
      <c r="D900" s="4" t="str">
        <f>IFERROR(VLOOKUP(A900,'Base Prueba'!A:D,4,),"NO REGISTRA")</f>
        <v>DOCENTE DE MEDIO TIEMPO</v>
      </c>
      <c r="E900" s="5" t="str">
        <f>IFERROR(VLOOKUP(A900,'Base Prueba'!A:E,5,),"NO REGISTRA")</f>
        <v>TECNOLOGIA EN ADMINISTRACION DEL TALENTO HUMANO</v>
      </c>
    </row>
    <row r="901" spans="1:5" ht="15.75" x14ac:dyDescent="0.25">
      <c r="A901" s="10">
        <v>80778198</v>
      </c>
      <c r="B901" s="2">
        <v>46137.29260497685</v>
      </c>
      <c r="C901" s="3" t="str">
        <f>IFERROR(VLOOKUP(A901,'Base Prueba'!A:C,3,),"NO REGISTRA")</f>
        <v>JIMY JAVIER ALDANA REYES</v>
      </c>
      <c r="D901" s="4" t="str">
        <f>IFERROR(VLOOKUP(A901,'Base Prueba'!A:D,4,),"NO REGISTRA")</f>
        <v>DOCENTE DE TIEMPO COMPLETO</v>
      </c>
      <c r="E901" s="5" t="str">
        <f>IFERROR(VLOOKUP(A901,'Base Prueba'!A:E,5,),"NO REGISTRA")</f>
        <v>INGENIERIA DE SOFTWARE</v>
      </c>
    </row>
    <row r="902" spans="1:5" ht="15.75" x14ac:dyDescent="0.25">
      <c r="A902" s="10">
        <v>79522309</v>
      </c>
      <c r="B902" s="2">
        <v>46137.302481944447</v>
      </c>
      <c r="C902" s="3" t="str">
        <f>IFERROR(VLOOKUP(A902,'Base Prueba'!A:C,3,),"NO REGISTRA")</f>
        <v>JULIAN ARTURO PUIN MANRIQUE</v>
      </c>
      <c r="D902" s="4" t="str">
        <f>IFERROR(VLOOKUP(A902,'Base Prueba'!A:D,4,),"NO REGISTRA")</f>
        <v>DOCENTE DE MEDIO TIEMPO</v>
      </c>
      <c r="E902" s="5" t="str">
        <f>IFERROR(VLOOKUP(A902,'Base Prueba'!A:E,5,),"NO REGISTRA")</f>
        <v>TECNOLOGIA EN SEGURIDAD Y SALUD EN EL TRABAJO</v>
      </c>
    </row>
    <row r="903" spans="1:5" ht="15.75" x14ac:dyDescent="0.25">
      <c r="A903" s="10">
        <v>52850506</v>
      </c>
      <c r="B903" s="2">
        <v>46137.302557407405</v>
      </c>
      <c r="C903" s="3" t="str">
        <f>IFERROR(VLOOKUP(A903,'Base Prueba'!A:C,3,),"NO REGISTRA")</f>
        <v>PAOLA ANDREA VASQUEZ FONSECA</v>
      </c>
      <c r="D903" s="4" t="str">
        <f>IFERROR(VLOOKUP(A903,'Base Prueba'!A:D,4,),"NO REGISTRA")</f>
        <v>DOCENTE DE TIEMPO COMPLETO</v>
      </c>
      <c r="E903" s="5" t="str">
        <f>IFERROR(VLOOKUP(A903,'Base Prueba'!A:E,5,),"NO REGISTRA")</f>
        <v>UNIVERSITARIO COMUNICACION SOCIAL</v>
      </c>
    </row>
    <row r="904" spans="1:5" ht="15.75" x14ac:dyDescent="0.25">
      <c r="A904" s="10">
        <v>1000218614</v>
      </c>
      <c r="B904" s="2">
        <v>46137.33876875</v>
      </c>
      <c r="C904" s="3" t="str">
        <f>IFERROR(VLOOKUP(A904,'Base Prueba'!A:C,3,),"NO REGISTRA")</f>
        <v>SEBASTIAN DAVID MELO DIAZ</v>
      </c>
      <c r="D904" s="4" t="str">
        <f>IFERROR(VLOOKUP(A904,'Base Prueba'!A:D,4,),"NO REGISTRA")</f>
        <v>ANALISTA DE SISTEMAS</v>
      </c>
      <c r="E904" s="5" t="str">
        <f>IFERROR(VLOOKUP(A904,'Base Prueba'!A:E,5,),"NO REGISTRA")</f>
        <v>DEPARTAMENTO DE INFORMATICA Y TECNOLOGIA</v>
      </c>
    </row>
    <row r="905" spans="1:5" ht="15.75" x14ac:dyDescent="0.25">
      <c r="A905" s="10">
        <v>1022346044</v>
      </c>
      <c r="B905" s="2">
        <v>46137.421699305552</v>
      </c>
      <c r="C905" s="3" t="str">
        <f>IFERROR(VLOOKUP(A905,'Base Prueba'!A:C,3,),"NO REGISTRA")</f>
        <v>LUZ ALEJANDRA CASTILLO RODRIGUEZ</v>
      </c>
      <c r="D905" s="4" t="str">
        <f>IFERROR(VLOOKUP(A905,'Base Prueba'!A:D,4,),"NO REGISTRA")</f>
        <v>DOCENTE DE MEDIO TIEMPO</v>
      </c>
      <c r="E905" s="5" t="str">
        <f>IFERROR(VLOOKUP(A905,'Base Prueba'!A:E,5,),"NO REGISTRA")</f>
        <v>UNIVERSITARIO EN SEGURIDAD Y SALUD EN EL TRABAJO</v>
      </c>
    </row>
    <row r="906" spans="1:5" ht="15.75" x14ac:dyDescent="0.25">
      <c r="A906" s="10">
        <v>52850506</v>
      </c>
      <c r="B906" s="2">
        <v>46137.429516087963</v>
      </c>
      <c r="C906" s="3" t="str">
        <f>IFERROR(VLOOKUP(A906,'Base Prueba'!A:C,3,),"NO REGISTRA")</f>
        <v>PAOLA ANDREA VASQUEZ FONSECA</v>
      </c>
      <c r="D906" s="4" t="str">
        <f>IFERROR(VLOOKUP(A906,'Base Prueba'!A:D,4,),"NO REGISTRA")</f>
        <v>DOCENTE DE TIEMPO COMPLETO</v>
      </c>
      <c r="E906" s="5" t="str">
        <f>IFERROR(VLOOKUP(A906,'Base Prueba'!A:E,5,),"NO REGISTRA")</f>
        <v>UNIVERSITARIO COMUNICACION SOCIAL</v>
      </c>
    </row>
    <row r="907" spans="1:5" ht="15.75" x14ac:dyDescent="0.25">
      <c r="A907" s="10">
        <v>1019603886</v>
      </c>
      <c r="B907" s="2">
        <v>46137.517839004628</v>
      </c>
      <c r="C907" s="3" t="str">
        <f>IFERROR(VLOOKUP(A907,'Base Prueba'!A:C,3,),"NO REGISTRA")</f>
        <v>NICOLAS ESPITIA CHACON</v>
      </c>
      <c r="D907" s="4" t="str">
        <f>IFERROR(VLOOKUP(A907,'Base Prueba'!A:D,4,),"NO REGISTRA")</f>
        <v>AUXILIAR DE RECURSOS ACADEMICOS</v>
      </c>
      <c r="E907" s="5" t="str">
        <f>IFERROR(VLOOKUP(A907,'Base Prueba'!A:E,5,),"NO REGISTRA")</f>
        <v>RECURSOS ACADEMICOS</v>
      </c>
    </row>
    <row r="908" spans="1:5" ht="15.75" x14ac:dyDescent="0.25">
      <c r="A908" s="10">
        <v>1019603886</v>
      </c>
      <c r="B908" s="2">
        <v>46137.517843634261</v>
      </c>
      <c r="C908" s="3" t="str">
        <f>IFERROR(VLOOKUP(A908,'Base Prueba'!A:C,3,),"NO REGISTRA")</f>
        <v>NICOLAS ESPITIA CHACON</v>
      </c>
      <c r="D908" s="4" t="str">
        <f>IFERROR(VLOOKUP(A908,'Base Prueba'!A:D,4,),"NO REGISTRA")</f>
        <v>AUXILIAR DE RECURSOS ACADEMICOS</v>
      </c>
      <c r="E908" s="5" t="str">
        <f>IFERROR(VLOOKUP(A908,'Base Prueba'!A:E,5,),"NO REGISTRA")</f>
        <v>RECURSOS ACADEMICOS</v>
      </c>
    </row>
    <row r="909" spans="1:5" ht="15.75" x14ac:dyDescent="0.25">
      <c r="A909" s="10">
        <v>248294</v>
      </c>
      <c r="B909" s="2">
        <v>46137.651732754632</v>
      </c>
      <c r="C909" s="3" t="str">
        <f>IFERROR(VLOOKUP(A909,'Base Prueba'!A:C,3,),"NO REGISTRA")</f>
        <v>WALTER NATALIO VALDEZ MONTAÑEZ</v>
      </c>
      <c r="D909" s="4" t="str">
        <f>IFERROR(VLOOKUP(A909,'Base Prueba'!A:D,4,),"NO REGISTRA")</f>
        <v>DOCENTE DE TIEMPO COMPLETO</v>
      </c>
      <c r="E909" s="5" t="str">
        <f>IFERROR(VLOOKUP(A909,'Base Prueba'!A:E,5,),"NO REGISTRA")</f>
        <v>UNIVERSITARIO EN TURISMO Y GASTRONOMIA</v>
      </c>
    </row>
    <row r="910" spans="1:5" ht="15.75" x14ac:dyDescent="0.25">
      <c r="A910" s="10">
        <v>79484197</v>
      </c>
      <c r="B910" s="2">
        <v>46137.668013541668</v>
      </c>
      <c r="C910" s="3" t="str">
        <f>IFERROR(VLOOKUP(A910,'Base Prueba'!A:C,3,),"NO REGISTRA")</f>
        <v>JOHN DANIEL GUTIERREZ BOADA</v>
      </c>
      <c r="D910" s="4" t="str">
        <f>IFERROR(VLOOKUP(A910,'Base Prueba'!A:D,4,),"NO REGISTRA")</f>
        <v>DOCENTE DE MEDIO TIEMPO</v>
      </c>
      <c r="E910" s="5" t="str">
        <f>IFERROR(VLOOKUP(A910,'Base Prueba'!A:E,5,),"NO REGISTRA")</f>
        <v>UNIVERSITARIO COMUNICACION SOCIAL</v>
      </c>
    </row>
    <row r="911" spans="1:5" ht="15.75" x14ac:dyDescent="0.25">
      <c r="A911" s="10">
        <v>1033762993</v>
      </c>
      <c r="B911" s="2">
        <v>46137.710878240738</v>
      </c>
      <c r="C911" s="3" t="str">
        <f>IFERROR(VLOOKUP(A911,'Base Prueba'!A:C,3,),"NO REGISTRA")</f>
        <v>DIEGO FERNANDO MEDINA PEREZ</v>
      </c>
      <c r="D911" s="4" t="str">
        <f>IFERROR(VLOOKUP(A911,'Base Prueba'!A:D,4,),"NO REGISTRA")</f>
        <v>DOCENTE DE MEDIO TIEMPO</v>
      </c>
      <c r="E911" s="5" t="str">
        <f>IFERROR(VLOOKUP(A911,'Base Prueba'!A:E,5,),"NO REGISTRA")</f>
        <v>UNIDAD DE IDIOMAS</v>
      </c>
    </row>
    <row r="912" spans="1:5" ht="15.75" x14ac:dyDescent="0.25">
      <c r="A912" s="10">
        <v>1019603886</v>
      </c>
      <c r="B912" s="2">
        <v>46137.799791550926</v>
      </c>
      <c r="C912" s="3" t="str">
        <f>IFERROR(VLOOKUP(A912,'Base Prueba'!A:C,3,),"NO REGISTRA")</f>
        <v>NICOLAS ESPITIA CHACON</v>
      </c>
      <c r="D912" s="4" t="str">
        <f>IFERROR(VLOOKUP(A912,'Base Prueba'!A:D,4,),"NO REGISTRA")</f>
        <v>AUXILIAR DE RECURSOS ACADEMICOS</v>
      </c>
      <c r="E912" s="5" t="str">
        <f>IFERROR(VLOOKUP(A912,'Base Prueba'!A:E,5,),"NO REGISTRA")</f>
        <v>RECURSOS ACADEMICOS</v>
      </c>
    </row>
    <row r="913" spans="1:5" ht="15.75" x14ac:dyDescent="0.25">
      <c r="A913" s="10">
        <v>52049956</v>
      </c>
      <c r="B913" s="2">
        <v>46139.2565875</v>
      </c>
      <c r="C913" s="3" t="str">
        <f>IFERROR(VLOOKUP(A913,'Base Prueba'!A:C,3,),"NO REGISTRA")</f>
        <v>ESPERANZA MORALES</v>
      </c>
      <c r="D913" s="4" t="str">
        <f>IFERROR(VLOOKUP(A913,'Base Prueba'!A:D,4,),"NO REGISTRA")</f>
        <v>DIRECTORA DE INFORMATICA Y TECNOLOGIA</v>
      </c>
      <c r="E913" s="5" t="str">
        <f>IFERROR(VLOOKUP(A913,'Base Prueba'!A:E,5,),"NO REGISTRA")</f>
        <v>DEPARTAMENTO DE INFORMATICA Y TECNOLOGIA</v>
      </c>
    </row>
    <row r="914" spans="1:5" ht="15.75" x14ac:dyDescent="0.25">
      <c r="A914" s="10">
        <v>1019603886</v>
      </c>
      <c r="B914" s="2">
        <v>46139.333813078701</v>
      </c>
      <c r="C914" s="3" t="str">
        <f>IFERROR(VLOOKUP(A914,'Base Prueba'!A:C,3,),"NO REGISTRA")</f>
        <v>NICOLAS ESPITIA CHACON</v>
      </c>
      <c r="D914" s="4" t="str">
        <f>IFERROR(VLOOKUP(A914,'Base Prueba'!A:D,4,),"NO REGISTRA")</f>
        <v>AUXILIAR DE RECURSOS ACADEMICOS</v>
      </c>
      <c r="E914" s="5" t="str">
        <f>IFERROR(VLOOKUP(A914,'Base Prueba'!A:E,5,),"NO REGISTRA")</f>
        <v>RECURSOS ACADEMICOS</v>
      </c>
    </row>
    <row r="915" spans="1:5" ht="15.75" x14ac:dyDescent="0.25">
      <c r="A915" s="10">
        <v>85437910</v>
      </c>
      <c r="B915" s="2">
        <v>46139.396051041665</v>
      </c>
      <c r="C915" s="3" t="str">
        <f>IFERROR(VLOOKUP(A915,'Base Prueba'!A:C,3,),"NO REGISTRA")</f>
        <v>EDGAR JOSE PISCIOTTI LEON</v>
      </c>
      <c r="D915" s="4" t="str">
        <f>IFERROR(VLOOKUP(A915,'Base Prueba'!A:D,4,),"NO REGISTRA")</f>
        <v>DOCENTE DE MEDIO TIEMPO</v>
      </c>
      <c r="E915" s="5" t="str">
        <f>IFERROR(VLOOKUP(A915,'Base Prueba'!A:E,5,),"NO REGISTRA")</f>
        <v>TECNOLOGIA EN COMERCIO Y NEGOCIOS INTERNACIONALES</v>
      </c>
    </row>
    <row r="916" spans="1:5" ht="15.75" x14ac:dyDescent="0.25">
      <c r="A916" s="10">
        <v>1019603886</v>
      </c>
      <c r="B916" s="2">
        <v>46139.674950925924</v>
      </c>
      <c r="C916" s="3" t="str">
        <f>IFERROR(VLOOKUP(A916,'Base Prueba'!A:C,3,),"NO REGISTRA")</f>
        <v>NICOLAS ESPITIA CHACON</v>
      </c>
      <c r="D916" s="4" t="str">
        <f>IFERROR(VLOOKUP(A916,'Base Prueba'!A:D,4,),"NO REGISTRA")</f>
        <v>AUXILIAR DE RECURSOS ACADEMICOS</v>
      </c>
      <c r="E916" s="5" t="str">
        <f>IFERROR(VLOOKUP(A916,'Base Prueba'!A:E,5,),"NO REGISTRA")</f>
        <v>RECURSOS ACADEMICOS</v>
      </c>
    </row>
    <row r="917" spans="1:5" ht="15.75" x14ac:dyDescent="0.25">
      <c r="A917" s="10">
        <v>79452150</v>
      </c>
      <c r="B917" s="2">
        <v>46139.751476851852</v>
      </c>
      <c r="C917" s="3" t="str">
        <f>IFERROR(VLOOKUP(A917,'Base Prueba'!A:C,3,),"NO REGISTRA")</f>
        <v>JUAN CARLOS PAZ CUBILLOS</v>
      </c>
      <c r="D917" s="4" t="str">
        <f>IFERROR(VLOOKUP(A917,'Base Prueba'!A:D,4,),"NO REGISTRA")</f>
        <v>ANALISTA DE SISTEMAS</v>
      </c>
      <c r="E917" s="5" t="str">
        <f>IFERROR(VLOOKUP(A917,'Base Prueba'!A:E,5,),"NO REGISTRA")</f>
        <v>DEPARTAMENTO DE INFORMATICA Y TECNOLOGIA</v>
      </c>
    </row>
    <row r="918" spans="1:5" ht="15.75" x14ac:dyDescent="0.25">
      <c r="A918" s="10">
        <v>52049956</v>
      </c>
      <c r="B918" s="2">
        <v>46139.841621643522</v>
      </c>
      <c r="C918" s="3" t="str">
        <f>IFERROR(VLOOKUP(A918,'Base Prueba'!A:C,3,),"NO REGISTRA")</f>
        <v>ESPERANZA MORALES</v>
      </c>
      <c r="D918" s="4" t="str">
        <f>IFERROR(VLOOKUP(A918,'Base Prueba'!A:D,4,),"NO REGISTRA")</f>
        <v>DIRECTORA DE INFORMATICA Y TECNOLOGIA</v>
      </c>
      <c r="E918" s="5" t="str">
        <f>IFERROR(VLOOKUP(A918,'Base Prueba'!A:E,5,),"NO REGISTRA")</f>
        <v>DEPARTAMENTO DE INFORMATICA Y TECNOLOGIA</v>
      </c>
    </row>
    <row r="919" spans="1:5" ht="15.75" x14ac:dyDescent="0.25">
      <c r="A919" s="10">
        <v>1019603886</v>
      </c>
      <c r="B919" s="2">
        <v>46140.251691666665</v>
      </c>
      <c r="C919" s="3" t="str">
        <f>IFERROR(VLOOKUP(A919,'Base Prueba'!A:C,3,),"NO REGISTRA")</f>
        <v>NICOLAS ESPITIA CHACON</v>
      </c>
      <c r="D919" s="4" t="str">
        <f>IFERROR(VLOOKUP(A919,'Base Prueba'!A:D,4,),"NO REGISTRA")</f>
        <v>AUXILIAR DE RECURSOS ACADEMICOS</v>
      </c>
      <c r="E919" s="5" t="str">
        <f>IFERROR(VLOOKUP(A919,'Base Prueba'!A:E,5,),"NO REGISTRA")</f>
        <v>RECURSOS ACADEMICOS</v>
      </c>
    </row>
    <row r="920" spans="1:5" ht="15.75" x14ac:dyDescent="0.25">
      <c r="A920" s="10">
        <v>79484197</v>
      </c>
      <c r="B920" s="2">
        <v>46140.275837731482</v>
      </c>
      <c r="C920" s="3" t="str">
        <f>IFERROR(VLOOKUP(A920,'Base Prueba'!A:C,3,),"NO REGISTRA")</f>
        <v>JOHN DANIEL GUTIERREZ BOADA</v>
      </c>
      <c r="D920" s="4" t="str">
        <f>IFERROR(VLOOKUP(A920,'Base Prueba'!A:D,4,),"NO REGISTRA")</f>
        <v>DOCENTE DE MEDIO TIEMPO</v>
      </c>
      <c r="E920" s="5" t="str">
        <f>IFERROR(VLOOKUP(A920,'Base Prueba'!A:E,5,),"NO REGISTRA")</f>
        <v>UNIVERSITARIO COMUNICACION SOCIAL</v>
      </c>
    </row>
    <row r="921" spans="1:5" ht="15.75" x14ac:dyDescent="0.25">
      <c r="A921" s="10">
        <v>80778198</v>
      </c>
      <c r="B921" s="2">
        <v>46140.29546828704</v>
      </c>
      <c r="C921" s="3" t="str">
        <f>IFERROR(VLOOKUP(A921,'Base Prueba'!A:C,3,),"NO REGISTRA")</f>
        <v>JIMY JAVIER ALDANA REYES</v>
      </c>
      <c r="D921" s="4" t="str">
        <f>IFERROR(VLOOKUP(A921,'Base Prueba'!A:D,4,),"NO REGISTRA")</f>
        <v>DOCENTE DE TIEMPO COMPLETO</v>
      </c>
      <c r="E921" s="5" t="str">
        <f>IFERROR(VLOOKUP(A921,'Base Prueba'!A:E,5,),"NO REGISTRA")</f>
        <v>INGENIERIA DE SOFTWARE</v>
      </c>
    </row>
    <row r="922" spans="1:5" ht="15.75" x14ac:dyDescent="0.25">
      <c r="A922" s="10">
        <v>79435738</v>
      </c>
      <c r="B922" s="2">
        <v>46140.330870833335</v>
      </c>
      <c r="C922" s="3" t="str">
        <f>IFERROR(VLOOKUP(A922,'Base Prueba'!A:C,3,),"NO REGISTRA")</f>
        <v>DANIEL ANDRES MURCIA DIAZ</v>
      </c>
      <c r="D922" s="4" t="str">
        <f>IFERROR(VLOOKUP(A922,'Base Prueba'!A:D,4,),"NO REGISTRA")</f>
        <v>DOCENTE DE TIEMPO COMPLETO</v>
      </c>
      <c r="E922" s="5" t="str">
        <f>IFERROR(VLOOKUP(A922,'Base Prueba'!A:E,5,),"NO REGISTRA")</f>
        <v>INGENIERIA DE SOFTWARE</v>
      </c>
    </row>
    <row r="923" spans="1:5" ht="15.75" x14ac:dyDescent="0.25">
      <c r="A923" s="10">
        <v>52049956</v>
      </c>
      <c r="B923" s="2">
        <v>46140.373191435188</v>
      </c>
      <c r="C923" s="3" t="str">
        <f>IFERROR(VLOOKUP(A923,'Base Prueba'!A:C,3,),"NO REGISTRA")</f>
        <v>ESPERANZA MORALES</v>
      </c>
      <c r="D923" s="4" t="str">
        <f>IFERROR(VLOOKUP(A923,'Base Prueba'!A:D,4,),"NO REGISTRA")</f>
        <v>DIRECTORA DE INFORMATICA Y TECNOLOGIA</v>
      </c>
      <c r="E923" s="5" t="str">
        <f>IFERROR(VLOOKUP(A923,'Base Prueba'!A:E,5,),"NO REGISTRA")</f>
        <v>DEPARTAMENTO DE INFORMATICA Y TECNOLOGIA</v>
      </c>
    </row>
    <row r="924" spans="1:5" ht="15.75" x14ac:dyDescent="0.25">
      <c r="A924" s="10">
        <v>52850506</v>
      </c>
      <c r="B924" s="2">
        <v>46140.37629965278</v>
      </c>
      <c r="C924" s="3" t="str">
        <f>IFERROR(VLOOKUP(A924,'Base Prueba'!A:C,3,),"NO REGISTRA")</f>
        <v>PAOLA ANDREA VASQUEZ FONSECA</v>
      </c>
      <c r="D924" s="4" t="str">
        <f>IFERROR(VLOOKUP(A924,'Base Prueba'!A:D,4,),"NO REGISTRA")</f>
        <v>DOCENTE DE TIEMPO COMPLETO</v>
      </c>
      <c r="E924" s="5" t="str">
        <f>IFERROR(VLOOKUP(A924,'Base Prueba'!A:E,5,),"NO REGISTRA")</f>
        <v>UNIVERSITARIO COMUNICACION SOCIAL</v>
      </c>
    </row>
    <row r="925" spans="1:5" ht="15.75" x14ac:dyDescent="0.25">
      <c r="A925" s="10">
        <v>79484197</v>
      </c>
      <c r="B925" s="2">
        <v>46140.389130439813</v>
      </c>
      <c r="C925" s="3" t="str">
        <f>IFERROR(VLOOKUP(A925,'Base Prueba'!A:C,3,),"NO REGISTRA")</f>
        <v>JOHN DANIEL GUTIERREZ BOADA</v>
      </c>
      <c r="D925" s="4" t="str">
        <f>IFERROR(VLOOKUP(A925,'Base Prueba'!A:D,4,),"NO REGISTRA")</f>
        <v>DOCENTE DE MEDIO TIEMPO</v>
      </c>
      <c r="E925" s="5" t="str">
        <f>IFERROR(VLOOKUP(A925,'Base Prueba'!A:E,5,),"NO REGISTRA")</f>
        <v>UNIVERSITARIO COMUNICACION SOCIAL</v>
      </c>
    </row>
    <row r="926" spans="1:5" ht="15.75" x14ac:dyDescent="0.25">
      <c r="A926" s="10">
        <v>79713882</v>
      </c>
      <c r="B926" s="2">
        <v>46140.395748726849</v>
      </c>
      <c r="C926" s="3" t="str">
        <f>IFERROR(VLOOKUP(A926,'Base Prueba'!A:C,3,),"NO REGISTRA")</f>
        <v>FREDY ANGEL DAVILA CUBIDES</v>
      </c>
      <c r="D926" s="4" t="str">
        <f>IFERROR(VLOOKUP(A926,'Base Prueba'!A:D,4,),"NO REGISTRA")</f>
        <v>DECANO</v>
      </c>
      <c r="E926" s="5" t="str">
        <f>IFERROR(VLOOKUP(A926,'Base Prueba'!A:E,5,),"NO REGISTRA")</f>
        <v>ESCUELA DE INGENIERÍA Y TECNOLOGÍAS DE LA INFORMACIÓN</v>
      </c>
    </row>
    <row r="927" spans="1:5" ht="15.75" x14ac:dyDescent="0.25">
      <c r="A927" s="10">
        <v>52809135</v>
      </c>
      <c r="B927" s="2">
        <v>46140.398962037034</v>
      </c>
      <c r="C927" s="3" t="str">
        <f>IFERROR(VLOOKUP(A927,'Base Prueba'!A:C,3,),"NO REGISTRA")</f>
        <v>PAOLA ANDREA CABEZAS GARCIA</v>
      </c>
      <c r="D927" s="4" t="str">
        <f>IFERROR(VLOOKUP(A927,'Base Prueba'!A:D,4,),"NO REGISTRA")</f>
        <v>LIDER DE GRADUADOS Y EMPLEABILIDAD</v>
      </c>
      <c r="E927" s="5" t="str">
        <f>IFERROR(VLOOKUP(A927,'Base Prueba'!A:E,5,),"NO REGISTRA")</f>
        <v>DIRECCION DE BIENESTAR INSTITUCIONAL</v>
      </c>
    </row>
    <row r="928" spans="1:5" ht="15.75" x14ac:dyDescent="0.25">
      <c r="A928" s="10">
        <v>248294</v>
      </c>
      <c r="B928" s="2">
        <v>46140.619534953701</v>
      </c>
      <c r="C928" s="3" t="str">
        <f>IFERROR(VLOOKUP(A928,'Base Prueba'!A:C,3,),"NO REGISTRA")</f>
        <v>WALTER NATALIO VALDEZ MONTAÑEZ</v>
      </c>
      <c r="D928" s="4" t="str">
        <f>IFERROR(VLOOKUP(A928,'Base Prueba'!A:D,4,),"NO REGISTRA")</f>
        <v>DOCENTE DE TIEMPO COMPLETO</v>
      </c>
      <c r="E928" s="5" t="str">
        <f>IFERROR(VLOOKUP(A928,'Base Prueba'!A:E,5,),"NO REGISTRA")</f>
        <v>UNIVERSITARIO EN TURISMO Y GASTRONOMIA</v>
      </c>
    </row>
    <row r="929" spans="1:5" ht="15.75" x14ac:dyDescent="0.25">
      <c r="A929" s="10">
        <v>1000611958</v>
      </c>
      <c r="B929" s="2">
        <v>46140.712518402775</v>
      </c>
      <c r="C929" s="3" t="str">
        <f>IFERROR(VLOOKUP(A929,'Base Prueba'!A:C,3,),"NO REGISTRA")</f>
        <v>TYLER CORRADINE  VARGAS</v>
      </c>
      <c r="D929" s="4" t="str">
        <f>IFERROR(VLOOKUP(A929,'Base Prueba'!A:D,4,),"NO REGISTRA")</f>
        <v>APRENDIZ UNIVERSITARIO</v>
      </c>
      <c r="E929" s="5" t="str">
        <f>IFERROR(VLOOKUP(A929,'Base Prueba'!A:E,5,),"NO REGISTRA")</f>
        <v>DEPARTAMENTO DE INFORMATICA Y TECNOLOGIA</v>
      </c>
    </row>
    <row r="930" spans="1:5" ht="15.75" x14ac:dyDescent="0.25">
      <c r="A930" s="10">
        <v>52049956</v>
      </c>
      <c r="B930" s="2">
        <v>46140.79650034722</v>
      </c>
      <c r="C930" s="3" t="str">
        <f>IFERROR(VLOOKUP(A930,'Base Prueba'!A:C,3,),"NO REGISTRA")</f>
        <v>ESPERANZA MORALES</v>
      </c>
      <c r="D930" s="4" t="str">
        <f>IFERROR(VLOOKUP(A930,'Base Prueba'!A:D,4,),"NO REGISTRA")</f>
        <v>DIRECTORA DE INFORMATICA Y TECNOLOGIA</v>
      </c>
      <c r="E930" s="5" t="str">
        <f>IFERROR(VLOOKUP(A930,'Base Prueba'!A:E,5,),"NO REGISTRA")</f>
        <v>DEPARTAMENTO DE INFORMATICA Y TECNOLOGIA</v>
      </c>
    </row>
    <row r="931" spans="1:5" ht="15.75" x14ac:dyDescent="0.25">
      <c r="A931" s="10">
        <v>79452150</v>
      </c>
      <c r="B931" s="2">
        <v>46140.818281481479</v>
      </c>
      <c r="C931" s="3" t="str">
        <f>IFERROR(VLOOKUP(A931,'Base Prueba'!A:C,3,),"NO REGISTRA")</f>
        <v>JUAN CARLOS PAZ CUBILLOS</v>
      </c>
      <c r="D931" s="4" t="str">
        <f>IFERROR(VLOOKUP(A931,'Base Prueba'!A:D,4,),"NO REGISTRA")</f>
        <v>ANALISTA DE SISTEMAS</v>
      </c>
      <c r="E931" s="5" t="str">
        <f>IFERROR(VLOOKUP(A931,'Base Prueba'!A:E,5,),"NO REGISTRA")</f>
        <v>DEPARTAMENTO DE INFORMATICA Y TECNOLOGIA</v>
      </c>
    </row>
    <row r="932" spans="1:5" ht="15.75" x14ac:dyDescent="0.25">
      <c r="A932" s="10">
        <v>79951802</v>
      </c>
      <c r="B932" s="2">
        <v>46140.818358101853</v>
      </c>
      <c r="C932" s="3" t="str">
        <f>IFERROR(VLOOKUP(A932,'Base Prueba'!A:C,3,),"NO REGISTRA")</f>
        <v>HERNAN ANDRES ROJAS VARGAS</v>
      </c>
      <c r="D932" s="4" t="str">
        <f>IFERROR(VLOOKUP(A932,'Base Prueba'!A:D,4,),"NO REGISTRA")</f>
        <v>DOCENTE DE MEDIO TIEMPO</v>
      </c>
      <c r="E932" s="5" t="str">
        <f>IFERROR(VLOOKUP(A932,'Base Prueba'!A:E,5,),"NO REGISTRA")</f>
        <v>UNIVERSITARIO ADMINISTRACION DE EMPRESAS</v>
      </c>
    </row>
    <row r="933" spans="1:5" ht="15.75" x14ac:dyDescent="0.25">
      <c r="A933" s="10">
        <v>19461924</v>
      </c>
      <c r="B933" s="2">
        <v>46140.841576620369</v>
      </c>
      <c r="C933" s="3" t="str">
        <f>IFERROR(VLOOKUP(A933,'Base Prueba'!A:C,3,),"NO REGISTRA")</f>
        <v>ORLANDO ALBERTO ORTIZ SANCHEZ</v>
      </c>
      <c r="D933" s="4" t="str">
        <f>IFERROR(VLOOKUP(A933,'Base Prueba'!A:D,4,),"NO REGISTRA")</f>
        <v>DOCENTE DE TIEMPO COMPLETO</v>
      </c>
      <c r="E933" s="5" t="str">
        <f>IFERROR(VLOOKUP(A933,'Base Prueba'!A:E,5,),"NO REGISTRA")</f>
        <v>AREA DE CIENCIAS BASICAS</v>
      </c>
    </row>
    <row r="934" spans="1:5" ht="15.75" x14ac:dyDescent="0.25">
      <c r="A934" s="10">
        <v>1019603886</v>
      </c>
      <c r="B934" s="2">
        <v>46141.257491898148</v>
      </c>
      <c r="C934" s="3" t="str">
        <f>IFERROR(VLOOKUP(A934,'Base Prueba'!A:C,3,),"NO REGISTRA")</f>
        <v>NICOLAS ESPITIA CHACON</v>
      </c>
      <c r="D934" s="4" t="str">
        <f>IFERROR(VLOOKUP(A934,'Base Prueba'!A:D,4,),"NO REGISTRA")</f>
        <v>AUXILIAR DE RECURSOS ACADEMICOS</v>
      </c>
      <c r="E934" s="5" t="str">
        <f>IFERROR(VLOOKUP(A934,'Base Prueba'!A:E,5,),"NO REGISTRA")</f>
        <v>RECURSOS ACADEMICOS</v>
      </c>
    </row>
    <row r="935" spans="1:5" ht="15.75" x14ac:dyDescent="0.25">
      <c r="A935" s="10">
        <v>79484197</v>
      </c>
      <c r="B935" s="2">
        <v>46141.276991087965</v>
      </c>
      <c r="C935" s="3" t="str">
        <f>IFERROR(VLOOKUP(A935,'Base Prueba'!A:C,3,),"NO REGISTRA")</f>
        <v>JOHN DANIEL GUTIERREZ BOADA</v>
      </c>
      <c r="D935" s="4" t="str">
        <f>IFERROR(VLOOKUP(A935,'Base Prueba'!A:D,4,),"NO REGISTRA")</f>
        <v>DOCENTE DE MEDIO TIEMPO</v>
      </c>
      <c r="E935" s="5" t="str">
        <f>IFERROR(VLOOKUP(A935,'Base Prueba'!A:E,5,),"NO REGISTRA")</f>
        <v>UNIVERSITARIO COMUNICACION SOCIAL</v>
      </c>
    </row>
    <row r="936" spans="1:5" ht="15.75" x14ac:dyDescent="0.25">
      <c r="A936" s="10">
        <v>80778198</v>
      </c>
      <c r="B936" s="2">
        <v>46141.288949652779</v>
      </c>
      <c r="C936" s="3" t="str">
        <f>IFERROR(VLOOKUP(A936,'Base Prueba'!A:C,3,),"NO REGISTRA")</f>
        <v>JIMY JAVIER ALDANA REYES</v>
      </c>
      <c r="D936" s="4" t="str">
        <f>IFERROR(VLOOKUP(A936,'Base Prueba'!A:D,4,),"NO REGISTRA")</f>
        <v>DOCENTE DE TIEMPO COMPLETO</v>
      </c>
      <c r="E936" s="5" t="str">
        <f>IFERROR(VLOOKUP(A936,'Base Prueba'!A:E,5,),"NO REGISTRA")</f>
        <v>INGENIERIA DE SOFTWARE</v>
      </c>
    </row>
    <row r="937" spans="1:5" ht="15.75" x14ac:dyDescent="0.25">
      <c r="A937" s="10">
        <v>52850506</v>
      </c>
      <c r="B937" s="2">
        <v>46141.305504398151</v>
      </c>
      <c r="C937" s="3" t="str">
        <f>IFERROR(VLOOKUP(A937,'Base Prueba'!A:C,3,),"NO REGISTRA")</f>
        <v>PAOLA ANDREA VASQUEZ FONSECA</v>
      </c>
      <c r="D937" s="4" t="str">
        <f>IFERROR(VLOOKUP(A937,'Base Prueba'!A:D,4,),"NO REGISTRA")</f>
        <v>DOCENTE DE TIEMPO COMPLETO</v>
      </c>
      <c r="E937" s="5" t="str">
        <f>IFERROR(VLOOKUP(A937,'Base Prueba'!A:E,5,),"NO REGISTRA")</f>
        <v>UNIVERSITARIO COMUNICACION SOCIAL</v>
      </c>
    </row>
    <row r="938" spans="1:5" ht="15.75" x14ac:dyDescent="0.25">
      <c r="A938" s="10">
        <v>1000218614</v>
      </c>
      <c r="B938" s="2">
        <v>46141.32483888889</v>
      </c>
      <c r="C938" s="3" t="str">
        <f>IFERROR(VLOOKUP(A938,'Base Prueba'!A:C,3,),"NO REGISTRA")</f>
        <v>SEBASTIAN DAVID MELO DIAZ</v>
      </c>
      <c r="D938" s="4" t="str">
        <f>IFERROR(VLOOKUP(A938,'Base Prueba'!A:D,4,),"NO REGISTRA")</f>
        <v>ANALISTA DE SISTEMAS</v>
      </c>
      <c r="E938" s="5" t="str">
        <f>IFERROR(VLOOKUP(A938,'Base Prueba'!A:E,5,),"NO REGISTRA")</f>
        <v>DEPARTAMENTO DE INFORMATICA Y TECNOLOGIA</v>
      </c>
    </row>
    <row r="939" spans="1:5" ht="15.75" x14ac:dyDescent="0.25">
      <c r="A939" s="10">
        <v>79484197</v>
      </c>
      <c r="B939" s="2">
        <v>46141.388953472226</v>
      </c>
      <c r="C939" s="3" t="str">
        <f>IFERROR(VLOOKUP(A939,'Base Prueba'!A:C,3,),"NO REGISTRA")</f>
        <v>JOHN DANIEL GUTIERREZ BOADA</v>
      </c>
      <c r="D939" s="4" t="str">
        <f>IFERROR(VLOOKUP(A939,'Base Prueba'!A:D,4,),"NO REGISTRA")</f>
        <v>DOCENTE DE MEDIO TIEMPO</v>
      </c>
      <c r="E939" s="5" t="str">
        <f>IFERROR(VLOOKUP(A939,'Base Prueba'!A:E,5,),"NO REGISTRA")</f>
        <v>UNIVERSITARIO COMUNICACION SOCIAL</v>
      </c>
    </row>
    <row r="940" spans="1:5" ht="15.75" x14ac:dyDescent="0.25">
      <c r="A940" s="10">
        <v>19461924</v>
      </c>
      <c r="B940" s="2">
        <v>46141.396069212962</v>
      </c>
      <c r="C940" s="3" t="str">
        <f>IFERROR(VLOOKUP(A940,'Base Prueba'!A:C,3,),"NO REGISTRA")</f>
        <v>ORLANDO ALBERTO ORTIZ SANCHEZ</v>
      </c>
      <c r="D940" s="4" t="str">
        <f>IFERROR(VLOOKUP(A940,'Base Prueba'!A:D,4,),"NO REGISTRA")</f>
        <v>DOCENTE DE TIEMPO COMPLETO</v>
      </c>
      <c r="E940" s="5" t="str">
        <f>IFERROR(VLOOKUP(A940,'Base Prueba'!A:E,5,),"NO REGISTRA")</f>
        <v>AREA DE CIENCIAS BASICAS</v>
      </c>
    </row>
    <row r="941" spans="1:5" ht="15.75" x14ac:dyDescent="0.25">
      <c r="A941" s="10">
        <v>52049956</v>
      </c>
      <c r="B941" s="2">
        <v>46141.405313425923</v>
      </c>
      <c r="C941" s="3" t="str">
        <f>IFERROR(VLOOKUP(A941,'Base Prueba'!A:C,3,),"NO REGISTRA")</f>
        <v>ESPERANZA MORALES</v>
      </c>
      <c r="D941" s="4" t="str">
        <f>IFERROR(VLOOKUP(A941,'Base Prueba'!A:D,4,),"NO REGISTRA")</f>
        <v>DIRECTORA DE INFORMATICA Y TECNOLOGIA</v>
      </c>
      <c r="E941" s="5" t="str">
        <f>IFERROR(VLOOKUP(A941,'Base Prueba'!A:E,5,),"NO REGISTRA")</f>
        <v>DEPARTAMENTO DE INFORMATICA Y TECNOLOGIA</v>
      </c>
    </row>
    <row r="942" spans="1:5" ht="15.75" x14ac:dyDescent="0.25">
      <c r="A942" s="10">
        <v>1019125710</v>
      </c>
      <c r="B942" s="2">
        <v>46141.435057523151</v>
      </c>
      <c r="C942" s="3" t="str">
        <f>IFERROR(VLOOKUP(A942,'Base Prueba'!A:C,3,),"NO REGISTRA")</f>
        <v>HECTOR FELIPE PRIETO GOMEZ</v>
      </c>
      <c r="D942" s="4" t="str">
        <f>IFERROR(VLOOKUP(A942,'Base Prueba'!A:D,4,),"NO REGISTRA")</f>
        <v>LIDER DE RECURSOS AUDIOVISUALES</v>
      </c>
      <c r="E942" s="5" t="str">
        <f>IFERROR(VLOOKUP(A942,'Base Prueba'!A:E,5,),"NO REGISTRA")</f>
        <v>OFICINA DE AUDIOVISUALES</v>
      </c>
    </row>
    <row r="943" spans="1:5" ht="15.75" x14ac:dyDescent="0.25">
      <c r="A943" s="10">
        <v>1019603886</v>
      </c>
      <c r="B943" s="2">
        <v>46141.562736805558</v>
      </c>
      <c r="C943" s="3" t="str">
        <f>IFERROR(VLOOKUP(A943,'Base Prueba'!A:C,3,),"NO REGISTRA")</f>
        <v>NICOLAS ESPITIA CHACON</v>
      </c>
      <c r="D943" s="4" t="str">
        <f>IFERROR(VLOOKUP(A943,'Base Prueba'!A:D,4,),"NO REGISTRA")</f>
        <v>AUXILIAR DE RECURSOS ACADEMICOS</v>
      </c>
      <c r="E943" s="5" t="str">
        <f>IFERROR(VLOOKUP(A943,'Base Prueba'!A:E,5,),"NO REGISTRA")</f>
        <v>RECURSOS ACADEMICOS</v>
      </c>
    </row>
    <row r="944" spans="1:5" ht="15.75" x14ac:dyDescent="0.25">
      <c r="A944" s="10">
        <v>79313678</v>
      </c>
      <c r="B944" s="2">
        <v>46141.562784374997</v>
      </c>
      <c r="C944" s="3" t="str">
        <f>IFERROR(VLOOKUP(A944,'Base Prueba'!A:C,3,),"NO REGISTRA")</f>
        <v>MARCO VINICIO RAMIREZ PEREIRA</v>
      </c>
      <c r="D944" s="4" t="str">
        <f>IFERROR(VLOOKUP(A944,'Base Prueba'!A:D,4,),"NO REGISTRA")</f>
        <v>TECNICO EN MANTENIMIENTO DE RECURSOS ACADEMICOS</v>
      </c>
      <c r="E944" s="5" t="str">
        <f>IFERROR(VLOOKUP(A944,'Base Prueba'!A:E,5,),"NO REGISTRA")</f>
        <v>RECURSOS ACADEMICOS</v>
      </c>
    </row>
    <row r="945" spans="1:5" ht="15.75" x14ac:dyDescent="0.25">
      <c r="A945" s="10">
        <v>248294</v>
      </c>
      <c r="B945" s="2">
        <v>46141.649770254633</v>
      </c>
      <c r="C945" s="3" t="str">
        <f>IFERROR(VLOOKUP(A945,'Base Prueba'!A:C,3,),"NO REGISTRA")</f>
        <v>WALTER NATALIO VALDEZ MONTAÑEZ</v>
      </c>
      <c r="D945" s="4" t="str">
        <f>IFERROR(VLOOKUP(A945,'Base Prueba'!A:D,4,),"NO REGISTRA")</f>
        <v>DOCENTE DE TIEMPO COMPLETO</v>
      </c>
      <c r="E945" s="5" t="str">
        <f>IFERROR(VLOOKUP(A945,'Base Prueba'!A:E,5,),"NO REGISTRA")</f>
        <v>UNIVERSITARIO EN TURISMO Y GASTRONOMIA</v>
      </c>
    </row>
    <row r="946" spans="1:5" ht="15.75" x14ac:dyDescent="0.25">
      <c r="A946" s="10">
        <v>1001298292</v>
      </c>
      <c r="B946" s="2">
        <v>46141.743686226851</v>
      </c>
      <c r="C946" s="3" t="str">
        <f>IFERROR(VLOOKUP(A946,'Base Prueba'!A:C,3,),"NO REGISTRA")</f>
        <v>NO REGISTRA</v>
      </c>
      <c r="D946" s="4" t="str">
        <f>IFERROR(VLOOKUP(A946,'Base Prueba'!A:D,4,),"NO REGISTRA")</f>
        <v>NO REGISTRA</v>
      </c>
      <c r="E946" s="5" t="str">
        <f>IFERROR(VLOOKUP(A946,'Base Prueba'!A:E,5,),"NO REGISTRA")</f>
        <v>NO REGISTRA</v>
      </c>
    </row>
    <row r="947" spans="1:5" ht="15.75" x14ac:dyDescent="0.25">
      <c r="A947" s="10">
        <v>1001301066</v>
      </c>
      <c r="B947" s="2">
        <v>46141.743743055558</v>
      </c>
      <c r="C947" s="3" t="str">
        <f>IFERROR(VLOOKUP(A947,'Base Prueba'!A:C,3,),"NO REGISTRA")</f>
        <v>NO REGISTRA</v>
      </c>
      <c r="D947" s="4" t="str">
        <f>IFERROR(VLOOKUP(A947,'Base Prueba'!A:D,4,),"NO REGISTRA")</f>
        <v>NO REGISTRA</v>
      </c>
      <c r="E947" s="5" t="str">
        <f>IFERROR(VLOOKUP(A947,'Base Prueba'!A:E,5,),"NO REGISTRA")</f>
        <v>NO REGISTRA</v>
      </c>
    </row>
    <row r="948" spans="1:5" ht="15.75" x14ac:dyDescent="0.25">
      <c r="A948" s="10">
        <v>1034279481</v>
      </c>
      <c r="B948" s="2">
        <v>46141.743792824076</v>
      </c>
      <c r="C948" s="3" t="str">
        <f>IFERROR(VLOOKUP(A948,'Base Prueba'!A:C,3,),"NO REGISTRA")</f>
        <v>NO REGISTRA</v>
      </c>
      <c r="D948" s="4" t="str">
        <f>IFERROR(VLOOKUP(A948,'Base Prueba'!A:D,4,),"NO REGISTRA")</f>
        <v>NO REGISTRA</v>
      </c>
      <c r="E948" s="5" t="str">
        <f>IFERROR(VLOOKUP(A948,'Base Prueba'!A:E,5,),"NO REGISTRA")</f>
        <v>NO REGISTRA</v>
      </c>
    </row>
    <row r="949" spans="1:5" ht="15.75" x14ac:dyDescent="0.25">
      <c r="A949" s="10">
        <v>1001298292</v>
      </c>
      <c r="B949" s="2">
        <v>46141.743828587962</v>
      </c>
      <c r="C949" s="3" t="str">
        <f>IFERROR(VLOOKUP(A949,'Base Prueba'!A:C,3,),"NO REGISTRA")</f>
        <v>NO REGISTRA</v>
      </c>
      <c r="D949" s="4" t="str">
        <f>IFERROR(VLOOKUP(A949,'Base Prueba'!A:D,4,),"NO REGISTRA")</f>
        <v>NO REGISTRA</v>
      </c>
      <c r="E949" s="5" t="str">
        <f>IFERROR(VLOOKUP(A949,'Base Prueba'!A:E,5,),"NO REGISTRA")</f>
        <v>NO REGISTRA</v>
      </c>
    </row>
    <row r="950" spans="1:5" ht="15.75" x14ac:dyDescent="0.25">
      <c r="A950" s="10">
        <v>1019125710</v>
      </c>
      <c r="B950" s="2">
        <v>46141.78041979167</v>
      </c>
      <c r="C950" s="3" t="str">
        <f>IFERROR(VLOOKUP(A950,'Base Prueba'!A:C,3,),"NO REGISTRA")</f>
        <v>HECTOR FELIPE PRIETO GOMEZ</v>
      </c>
      <c r="D950" s="4" t="str">
        <f>IFERROR(VLOOKUP(A950,'Base Prueba'!A:D,4,),"NO REGISTRA")</f>
        <v>LIDER DE RECURSOS AUDIOVISUALES</v>
      </c>
      <c r="E950" s="5" t="str">
        <f>IFERROR(VLOOKUP(A950,'Base Prueba'!A:E,5,),"NO REGISTRA")</f>
        <v>OFICINA DE AUDIOVISUALES</v>
      </c>
    </row>
    <row r="951" spans="1:5" ht="15.75" x14ac:dyDescent="0.25">
      <c r="A951" s="10">
        <v>52049956</v>
      </c>
      <c r="B951" s="2">
        <v>46141.802184259257</v>
      </c>
      <c r="C951" s="3" t="str">
        <f>IFERROR(VLOOKUP(A951,'Base Prueba'!A:C,3,),"NO REGISTRA")</f>
        <v>ESPERANZA MORALES</v>
      </c>
      <c r="D951" s="4" t="str">
        <f>IFERROR(VLOOKUP(A951,'Base Prueba'!A:D,4,),"NO REGISTRA")</f>
        <v>DIRECTORA DE INFORMATICA Y TECNOLOGIA</v>
      </c>
      <c r="E951" s="5" t="str">
        <f>IFERROR(VLOOKUP(A951,'Base Prueba'!A:E,5,),"NO REGISTRA")</f>
        <v>DEPARTAMENTO DE INFORMATICA Y TECNOLOGIA</v>
      </c>
    </row>
    <row r="952" spans="1:5" ht="15.75" x14ac:dyDescent="0.25">
      <c r="A952" s="10">
        <v>79452150</v>
      </c>
      <c r="B952" s="2">
        <v>46141.802766782406</v>
      </c>
      <c r="C952" s="3" t="str">
        <f>IFERROR(VLOOKUP(A952,'Base Prueba'!A:C,3,),"NO REGISTRA")</f>
        <v>JUAN CARLOS PAZ CUBILLOS</v>
      </c>
      <c r="D952" s="4" t="str">
        <f>IFERROR(VLOOKUP(A952,'Base Prueba'!A:D,4,),"NO REGISTRA")</f>
        <v>ANALISTA DE SISTEMAS</v>
      </c>
      <c r="E952" s="5" t="str">
        <f>IFERROR(VLOOKUP(A952,'Base Prueba'!A:E,5,),"NO REGISTRA")</f>
        <v>DEPARTAMENTO DE INFORMATICA Y TECNOLOGIA</v>
      </c>
    </row>
    <row r="953" spans="1:5" ht="15.75" x14ac:dyDescent="0.25">
      <c r="A953" s="10">
        <v>79452150</v>
      </c>
      <c r="B953" s="2">
        <v>46141.803097569442</v>
      </c>
      <c r="C953" s="3" t="str">
        <f>IFERROR(VLOOKUP(A953,'Base Prueba'!A:C,3,),"NO REGISTRA")</f>
        <v>JUAN CARLOS PAZ CUBILLOS</v>
      </c>
      <c r="D953" s="4" t="str">
        <f>IFERROR(VLOOKUP(A953,'Base Prueba'!A:D,4,),"NO REGISTRA")</f>
        <v>ANALISTA DE SISTEMAS</v>
      </c>
      <c r="E953" s="5" t="str">
        <f>IFERROR(VLOOKUP(A953,'Base Prueba'!A:E,5,),"NO REGISTRA")</f>
        <v>DEPARTAMENTO DE INFORMATICA Y TECNOLOGIA</v>
      </c>
    </row>
    <row r="954" spans="1:5" ht="15.75" x14ac:dyDescent="0.25">
      <c r="A954" s="10">
        <v>1032457498</v>
      </c>
      <c r="B954" s="2">
        <v>46141.81835277778</v>
      </c>
      <c r="C954" s="3" t="str">
        <f>IFERROR(VLOOKUP(A954,'Base Prueba'!A:C,3,),"NO REGISTRA")</f>
        <v>LOTUS KING SALCEDO VALLEJO</v>
      </c>
      <c r="D954" s="4" t="str">
        <f>IFERROR(VLOOKUP(A954,'Base Prueba'!A:D,4,),"NO REGISTRA")</f>
        <v>COORDINADOR DE INVESTIGACIÓN</v>
      </c>
      <c r="E954" s="5" t="str">
        <f>IFERROR(VLOOKUP(A954,'Base Prueba'!A:E,5,),"NO REGISTRA")</f>
        <v>VICERRECTORIA ACADEMICA</v>
      </c>
    </row>
    <row r="955" spans="1:5" ht="15.75" x14ac:dyDescent="0.25">
      <c r="A955" s="10">
        <v>1014257968</v>
      </c>
      <c r="B955" s="2">
        <v>46141.829076388887</v>
      </c>
      <c r="C955" s="3" t="str">
        <f>IFERROR(VLOOKUP(A955,'Base Prueba'!A:C,3,),"NO REGISTRA")</f>
        <v>JORGE ANDRES LIEVANO LOPEZ</v>
      </c>
      <c r="D955" s="4" t="str">
        <f>IFERROR(VLOOKUP(A955,'Base Prueba'!A:D,4,),"NO REGISTRA")</f>
        <v>DOCENTE DE TIEMPO COMPLETO</v>
      </c>
      <c r="E955" s="5" t="str">
        <f>IFERROR(VLOOKUP(A955,'Base Prueba'!A:E,5,),"NO REGISTRA")</f>
        <v>UNIDAD DE IDIOMAS</v>
      </c>
    </row>
    <row r="956" spans="1:5" ht="15.75" x14ac:dyDescent="0.25">
      <c r="A956" s="10">
        <v>1019603886</v>
      </c>
      <c r="B956" s="2">
        <v>46142.256821990741</v>
      </c>
      <c r="C956" s="3" t="str">
        <f>IFERROR(VLOOKUP(A956,'Base Prueba'!A:C,3,),"NO REGISTRA")</f>
        <v>NICOLAS ESPITIA CHACON</v>
      </c>
      <c r="D956" s="4" t="str">
        <f>IFERROR(VLOOKUP(A956,'Base Prueba'!A:D,4,),"NO REGISTRA")</f>
        <v>AUXILIAR DE RECURSOS ACADEMICOS</v>
      </c>
      <c r="E956" s="5" t="str">
        <f>IFERROR(VLOOKUP(A956,'Base Prueba'!A:E,5,),"NO REGISTRA")</f>
        <v>RECURSOS ACADEMICOS</v>
      </c>
    </row>
    <row r="957" spans="1:5" ht="15.75" x14ac:dyDescent="0.25">
      <c r="A957" s="10">
        <v>52049956</v>
      </c>
      <c r="B957" s="2">
        <v>46142.370291319443</v>
      </c>
      <c r="C957" s="3" t="str">
        <f>IFERROR(VLOOKUP(A957,'Base Prueba'!A:C,3,),"NO REGISTRA")</f>
        <v>ESPERANZA MORALES</v>
      </c>
      <c r="D957" s="4" t="str">
        <f>IFERROR(VLOOKUP(A957,'Base Prueba'!A:D,4,),"NO REGISTRA")</f>
        <v>DIRECTORA DE INFORMATICA Y TECNOLOGIA</v>
      </c>
      <c r="E957" s="5" t="str">
        <f>IFERROR(VLOOKUP(A957,'Base Prueba'!A:E,5,),"NO REGISTRA")</f>
        <v>DEPARTAMENTO DE INFORMATICA Y TECNOLOGIA</v>
      </c>
    </row>
    <row r="958" spans="1:5" ht="15.75" x14ac:dyDescent="0.25">
      <c r="A958" s="10">
        <v>85437910</v>
      </c>
      <c r="B958" s="2">
        <v>46142.393896296293</v>
      </c>
      <c r="C958" s="3" t="str">
        <f>IFERROR(VLOOKUP(A958,'Base Prueba'!A:C,3,),"NO REGISTRA")</f>
        <v>EDGAR JOSE PISCIOTTI LEON</v>
      </c>
      <c r="D958" s="4" t="str">
        <f>IFERROR(VLOOKUP(A958,'Base Prueba'!A:D,4,),"NO REGISTRA")</f>
        <v>DOCENTE DE MEDIO TIEMPO</v>
      </c>
      <c r="E958" s="5" t="str">
        <f>IFERROR(VLOOKUP(A958,'Base Prueba'!A:E,5,),"NO REGISTRA")</f>
        <v>TECNOLOGIA EN COMERCIO Y NEGOCIOS INTERNACIONALES</v>
      </c>
    </row>
    <row r="959" spans="1:5" ht="15.75" x14ac:dyDescent="0.25">
      <c r="A959" s="10">
        <v>1001298292</v>
      </c>
      <c r="B959" s="2">
        <v>46142.489487268518</v>
      </c>
      <c r="C959" s="3" t="str">
        <f>IFERROR(VLOOKUP(A959,'Base Prueba'!A:C,3,),"NO REGISTRA")</f>
        <v>NO REGISTRA</v>
      </c>
      <c r="D959" s="4" t="str">
        <f>IFERROR(VLOOKUP(A959,'Base Prueba'!A:D,4,),"NO REGISTRA")</f>
        <v>NO REGISTRA</v>
      </c>
      <c r="E959" s="5" t="str">
        <f>IFERROR(VLOOKUP(A959,'Base Prueba'!A:E,5,),"NO REGISTRA")</f>
        <v>NO REGISTRA</v>
      </c>
    </row>
    <row r="960" spans="1:5" ht="15.75" x14ac:dyDescent="0.25">
      <c r="A960" s="10">
        <v>1019125716</v>
      </c>
      <c r="B960" s="2">
        <v>46142.498298148152</v>
      </c>
      <c r="C960" s="3" t="str">
        <f>IFERROR(VLOOKUP(A960,'Base Prueba'!A:C,3,),"NO REGISTRA")</f>
        <v>GINA PAOLA ALZATE ARISTIZABAL</v>
      </c>
      <c r="D960" s="4" t="str">
        <f>IFERROR(VLOOKUP(A960,'Base Prueba'!A:D,4,),"NO REGISTRA")</f>
        <v>DOCENTE DE MEDIO TIEMPO</v>
      </c>
      <c r="E960" s="5" t="str">
        <f>IFERROR(VLOOKUP(A960,'Base Prueba'!A:E,5,),"NO REGISTRA")</f>
        <v>UNIDAD DE IDIOMAS</v>
      </c>
    </row>
    <row r="961" spans="1:5" ht="15.75" x14ac:dyDescent="0.25">
      <c r="A961" s="10">
        <v>1019125710</v>
      </c>
      <c r="B961" s="2">
        <v>46142.576337152779</v>
      </c>
      <c r="C961" s="3" t="str">
        <f>IFERROR(VLOOKUP(A961,'Base Prueba'!A:C,3,),"NO REGISTRA")</f>
        <v>HECTOR FELIPE PRIETO GOMEZ</v>
      </c>
      <c r="D961" s="4" t="str">
        <f>IFERROR(VLOOKUP(A961,'Base Prueba'!A:D,4,),"NO REGISTRA")</f>
        <v>LIDER DE RECURSOS AUDIOVISUALES</v>
      </c>
      <c r="E961" s="5" t="str">
        <f>IFERROR(VLOOKUP(A961,'Base Prueba'!A:E,5,),"NO REGISTRA")</f>
        <v>OFICINA DE AUDIOVISUALES</v>
      </c>
    </row>
    <row r="962" spans="1:5" ht="15.75" x14ac:dyDescent="0.25">
      <c r="A962" s="10">
        <v>1018482392</v>
      </c>
      <c r="B962" s="2">
        <v>46142.604138194445</v>
      </c>
      <c r="C962" s="3" t="str">
        <f>IFERROR(VLOOKUP(A962,'Base Prueba'!A:C,3,),"NO REGISTRA")</f>
        <v>RAQUEL YANETH SANDOVAL FORERO</v>
      </c>
      <c r="D962" s="4" t="str">
        <f>IFERROR(VLOOKUP(A962,'Base Prueba'!A:D,4,),"NO REGISTRA")</f>
        <v>AUXILIAR DE RECURSOS ACADEMICOS</v>
      </c>
      <c r="E962" s="5" t="str">
        <f>IFERROR(VLOOKUP(A962,'Base Prueba'!A:E,5,),"NO REGISTRA")</f>
        <v>RECURSOS ACADEMICOS</v>
      </c>
    </row>
    <row r="963" spans="1:5" ht="15.75" x14ac:dyDescent="0.25">
      <c r="A963" s="10">
        <v>248294</v>
      </c>
      <c r="B963" s="2">
        <v>46142.686353703706</v>
      </c>
      <c r="C963" s="3" t="str">
        <f>IFERROR(VLOOKUP(A963,'Base Prueba'!A:C,3,),"NO REGISTRA")</f>
        <v>WALTER NATALIO VALDEZ MONTAÑEZ</v>
      </c>
      <c r="D963" s="4" t="str">
        <f>IFERROR(VLOOKUP(A963,'Base Prueba'!A:D,4,),"NO REGISTRA")</f>
        <v>DOCENTE DE TIEMPO COMPLETO</v>
      </c>
      <c r="E963" s="5" t="str">
        <f>IFERROR(VLOOKUP(A963,'Base Prueba'!A:E,5,),"NO REGISTRA")</f>
        <v>UNIVERSITARIO EN TURISMO Y GASTRONOMIA</v>
      </c>
    </row>
    <row r="964" spans="1:5" ht="15.75" x14ac:dyDescent="0.25">
      <c r="A964" s="10">
        <v>1034279481</v>
      </c>
      <c r="B964" s="2">
        <v>46142.737818518515</v>
      </c>
      <c r="C964" s="3" t="str">
        <f>IFERROR(VLOOKUP(A964,'Base Prueba'!A:C,3,),"NO REGISTRA")</f>
        <v>NO REGISTRA</v>
      </c>
      <c r="D964" s="4" t="str">
        <f>IFERROR(VLOOKUP(A964,'Base Prueba'!A:D,4,),"NO REGISTRA")</f>
        <v>NO REGISTRA</v>
      </c>
      <c r="E964" s="5" t="str">
        <f>IFERROR(VLOOKUP(A964,'Base Prueba'!A:E,5,),"NO REGISTRA")</f>
        <v>NO REGISTRA</v>
      </c>
    </row>
    <row r="965" spans="1:5" ht="15.75" x14ac:dyDescent="0.25">
      <c r="A965" s="10">
        <v>1110363784</v>
      </c>
      <c r="B965" s="2">
        <v>46142.73787060185</v>
      </c>
      <c r="C965" s="3" t="str">
        <f>IFERROR(VLOOKUP(A965,'Base Prueba'!A:C,3,),"NO REGISTRA")</f>
        <v>NO REGISTRA</v>
      </c>
      <c r="D965" s="4" t="str">
        <f>IFERROR(VLOOKUP(A965,'Base Prueba'!A:D,4,),"NO REGISTRA")</f>
        <v>NO REGISTRA</v>
      </c>
      <c r="E965" s="5" t="str">
        <f>IFERROR(VLOOKUP(A965,'Base Prueba'!A:E,5,),"NO REGISTRA")</f>
        <v>NO REGISTRA</v>
      </c>
    </row>
    <row r="966" spans="1:5" ht="15.75" x14ac:dyDescent="0.25">
      <c r="A966" s="10">
        <v>52049956</v>
      </c>
      <c r="B966" s="2">
        <v>46142.791588194443</v>
      </c>
      <c r="C966" s="3" t="str">
        <f>IFERROR(VLOOKUP(A966,'Base Prueba'!A:C,3,),"NO REGISTRA")</f>
        <v>ESPERANZA MORALES</v>
      </c>
      <c r="D966" s="4" t="str">
        <f>IFERROR(VLOOKUP(A966,'Base Prueba'!A:D,4,),"NO REGISTRA")</f>
        <v>DIRECTORA DE INFORMATICA Y TECNOLOGIA</v>
      </c>
      <c r="E966" s="5" t="str">
        <f>IFERROR(VLOOKUP(A966,'Base Prueba'!A:E,5,),"NO REGISTRA")</f>
        <v>DEPARTAMENTO DE INFORMATICA Y TECNOLOGIA</v>
      </c>
    </row>
    <row r="967" spans="1:5" ht="15.75" x14ac:dyDescent="0.25">
      <c r="A967" s="10">
        <v>52049956</v>
      </c>
      <c r="B967" s="2">
        <v>46142.791595486109</v>
      </c>
      <c r="C967" s="3" t="str">
        <f>IFERROR(VLOOKUP(A967,'Base Prueba'!A:C,3,),"NO REGISTRA")</f>
        <v>ESPERANZA MORALES</v>
      </c>
      <c r="D967" s="4" t="str">
        <f>IFERROR(VLOOKUP(A967,'Base Prueba'!A:D,4,),"NO REGISTRA")</f>
        <v>DIRECTORA DE INFORMATICA Y TECNOLOGIA</v>
      </c>
      <c r="E967" s="5" t="str">
        <f>IFERROR(VLOOKUP(A967,'Base Prueba'!A:E,5,),"NO REGISTRA")</f>
        <v>DEPARTAMENTO DE INFORMATICA Y TECNOLOGIA</v>
      </c>
    </row>
    <row r="968" spans="1:5" ht="15.75" x14ac:dyDescent="0.25">
      <c r="A968" s="10">
        <v>79452150</v>
      </c>
      <c r="B968" s="2">
        <v>46142.799030787035</v>
      </c>
      <c r="C968" s="3" t="str">
        <f>IFERROR(VLOOKUP(A968,'Base Prueba'!A:C,3,),"NO REGISTRA")</f>
        <v>JUAN CARLOS PAZ CUBILLOS</v>
      </c>
      <c r="D968" s="4" t="str">
        <f>IFERROR(VLOOKUP(A968,'Base Prueba'!A:D,4,),"NO REGISTRA")</f>
        <v>ANALISTA DE SISTEMAS</v>
      </c>
      <c r="E968" s="5" t="str">
        <f>IFERROR(VLOOKUP(A968,'Base Prueba'!A:E,5,),"NO REGISTRA")</f>
        <v>DEPARTAMENTO DE INFORMATICA Y TECNOLOGIA</v>
      </c>
    </row>
    <row r="969" spans="1:5" ht="15.75" x14ac:dyDescent="0.25">
      <c r="A969" s="10">
        <v>1019603886</v>
      </c>
      <c r="B969" s="2">
        <v>46144.260670601849</v>
      </c>
      <c r="C969" s="3" t="str">
        <f>IFERROR(VLOOKUP(A969,'Base Prueba'!A:C,3,),"NO REGISTRA")</f>
        <v>NICOLAS ESPITIA CHACON</v>
      </c>
      <c r="D969" s="4" t="str">
        <f>IFERROR(VLOOKUP(A969,'Base Prueba'!A:D,4,),"NO REGISTRA")</f>
        <v>AUXILIAR DE RECURSOS ACADEMICOS</v>
      </c>
      <c r="E969" s="5" t="str">
        <f>IFERROR(VLOOKUP(A969,'Base Prueba'!A:E,5,),"NO REGISTRA")</f>
        <v>RECURSOS ACADEMICOS</v>
      </c>
    </row>
    <row r="970" spans="1:5" ht="15.75" x14ac:dyDescent="0.25">
      <c r="A970" s="10">
        <v>79484197</v>
      </c>
      <c r="B970" s="2">
        <v>46144.277642939815</v>
      </c>
      <c r="C970" s="3" t="str">
        <f>IFERROR(VLOOKUP(A970,'Base Prueba'!A:C,3,),"NO REGISTRA")</f>
        <v>JOHN DANIEL GUTIERREZ BOADA</v>
      </c>
      <c r="D970" s="4" t="str">
        <f>IFERROR(VLOOKUP(A970,'Base Prueba'!A:D,4,),"NO REGISTRA")</f>
        <v>DOCENTE DE MEDIO TIEMPO</v>
      </c>
      <c r="E970" s="5" t="str">
        <f>IFERROR(VLOOKUP(A970,'Base Prueba'!A:E,5,),"NO REGISTRA")</f>
        <v>UNIVERSITARIO COMUNICACION SOCIAL</v>
      </c>
    </row>
    <row r="971" spans="1:5" ht="15.75" x14ac:dyDescent="0.25">
      <c r="A971" s="10">
        <v>80059783</v>
      </c>
      <c r="B971" s="2">
        <v>46144.289878587966</v>
      </c>
      <c r="C971" s="3" t="str">
        <f>IFERROR(VLOOKUP(A971,'Base Prueba'!A:C,3,),"NO REGISTRA")</f>
        <v>JAIRO FABIAN RIVERA RUBIANO</v>
      </c>
      <c r="D971" s="4" t="str">
        <f>IFERROR(VLOOKUP(A971,'Base Prueba'!A:D,4,),"NO REGISTRA")</f>
        <v>DOCENTE DE MEDIO TIEMPO</v>
      </c>
      <c r="E971" s="5" t="str">
        <f>IFERROR(VLOOKUP(A971,'Base Prueba'!A:E,5,),"NO REGISTRA")</f>
        <v>TECNOLOGIA EN ADMINISTRACION DEL TALENTO HUMANO</v>
      </c>
    </row>
    <row r="972" spans="1:5" ht="15.75" x14ac:dyDescent="0.25">
      <c r="A972" s="10">
        <v>80778198</v>
      </c>
      <c r="B972" s="2">
        <v>46144.292504050929</v>
      </c>
      <c r="C972" s="3" t="str">
        <f>IFERROR(VLOOKUP(A972,'Base Prueba'!A:C,3,),"NO REGISTRA")</f>
        <v>JIMY JAVIER ALDANA REYES</v>
      </c>
      <c r="D972" s="4" t="str">
        <f>IFERROR(VLOOKUP(A972,'Base Prueba'!A:D,4,),"NO REGISTRA")</f>
        <v>DOCENTE DE TIEMPO COMPLETO</v>
      </c>
      <c r="E972" s="5" t="str">
        <f>IFERROR(VLOOKUP(A972,'Base Prueba'!A:E,5,),"NO REGISTRA")</f>
        <v>INGENIERIA DE SOFTWARE</v>
      </c>
    </row>
    <row r="973" spans="1:5" ht="15.75" x14ac:dyDescent="0.25">
      <c r="A973" s="10">
        <v>52850506</v>
      </c>
      <c r="B973" s="2">
        <v>46144.299294907411</v>
      </c>
      <c r="C973" s="3" t="str">
        <f>IFERROR(VLOOKUP(A973,'Base Prueba'!A:C,3,),"NO REGISTRA")</f>
        <v>PAOLA ANDREA VASQUEZ FONSECA</v>
      </c>
      <c r="D973" s="4" t="str">
        <f>IFERROR(VLOOKUP(A973,'Base Prueba'!A:D,4,),"NO REGISTRA")</f>
        <v>DOCENTE DE TIEMPO COMPLETO</v>
      </c>
      <c r="E973" s="5" t="str">
        <f>IFERROR(VLOOKUP(A973,'Base Prueba'!A:E,5,),"NO REGISTRA")</f>
        <v>UNIVERSITARIO COMUNICACION SOCIAL</v>
      </c>
    </row>
    <row r="974" spans="1:5" ht="15.75" x14ac:dyDescent="0.25">
      <c r="A974" s="10">
        <v>79522309</v>
      </c>
      <c r="B974" s="2">
        <v>46144.306160416665</v>
      </c>
      <c r="C974" s="3" t="str">
        <f>IFERROR(VLOOKUP(A974,'Base Prueba'!A:C,3,),"NO REGISTRA")</f>
        <v>JULIAN ARTURO PUIN MANRIQUE</v>
      </c>
      <c r="D974" s="4" t="str">
        <f>IFERROR(VLOOKUP(A974,'Base Prueba'!A:D,4,),"NO REGISTRA")</f>
        <v>DOCENTE DE MEDIO TIEMPO</v>
      </c>
      <c r="E974" s="5" t="str">
        <f>IFERROR(VLOOKUP(A974,'Base Prueba'!A:E,5,),"NO REGISTRA")</f>
        <v>TECNOLOGIA EN SEGURIDAD Y SALUD EN EL TRABAJO</v>
      </c>
    </row>
    <row r="975" spans="1:5" ht="15.75" x14ac:dyDescent="0.25">
      <c r="A975" s="10">
        <v>52049956</v>
      </c>
      <c r="B975" s="2">
        <v>46144.375869328702</v>
      </c>
      <c r="C975" s="3" t="str">
        <f>IFERROR(VLOOKUP(A975,'Base Prueba'!A:C,3,),"NO REGISTRA")</f>
        <v>ESPERANZA MORALES</v>
      </c>
      <c r="D975" s="4" t="str">
        <f>IFERROR(VLOOKUP(A975,'Base Prueba'!A:D,4,),"NO REGISTRA")</f>
        <v>DIRECTORA DE INFORMATICA Y TECNOLOGIA</v>
      </c>
      <c r="E975" s="5" t="str">
        <f>IFERROR(VLOOKUP(A975,'Base Prueba'!A:E,5,),"NO REGISTRA")</f>
        <v>DEPARTAMENTO DE INFORMATICA Y TECNOLOGIA</v>
      </c>
    </row>
    <row r="976" spans="1:5" ht="15.75" x14ac:dyDescent="0.25">
      <c r="A976" s="10">
        <v>52850506</v>
      </c>
      <c r="B976" s="2">
        <v>46144.430505324075</v>
      </c>
      <c r="C976" s="3" t="str">
        <f>IFERROR(VLOOKUP(A976,'Base Prueba'!A:C,3,),"NO REGISTRA")</f>
        <v>PAOLA ANDREA VASQUEZ FONSECA</v>
      </c>
      <c r="D976" s="4" t="str">
        <f>IFERROR(VLOOKUP(A976,'Base Prueba'!A:D,4,),"NO REGISTRA")</f>
        <v>DOCENTE DE TIEMPO COMPLETO</v>
      </c>
      <c r="E976" s="5" t="str">
        <f>IFERROR(VLOOKUP(A976,'Base Prueba'!A:E,5,),"NO REGISTRA")</f>
        <v>UNIVERSITARIO COMUNICACION SOCIAL</v>
      </c>
    </row>
    <row r="977" spans="1:5" ht="15.75" x14ac:dyDescent="0.25">
      <c r="A977" s="10">
        <v>1019603886</v>
      </c>
      <c r="B977" s="2">
        <v>46144.52191354167</v>
      </c>
      <c r="C977" s="3" t="str">
        <f>IFERROR(VLOOKUP(A977,'Base Prueba'!A:C,3,),"NO REGISTRA")</f>
        <v>NICOLAS ESPITIA CHACON</v>
      </c>
      <c r="D977" s="4" t="str">
        <f>IFERROR(VLOOKUP(A977,'Base Prueba'!A:D,4,),"NO REGISTRA")</f>
        <v>AUXILIAR DE RECURSOS ACADEMICOS</v>
      </c>
      <c r="E977" s="5" t="str">
        <f>IFERROR(VLOOKUP(A977,'Base Prueba'!A:E,5,),"NO REGISTRA")</f>
        <v>RECURSOS ACADEMICOS</v>
      </c>
    </row>
    <row r="978" spans="1:5" ht="15.75" x14ac:dyDescent="0.25">
      <c r="A978" s="10">
        <v>52049956</v>
      </c>
      <c r="B978" s="2">
        <v>46144.533515277777</v>
      </c>
      <c r="C978" s="3" t="str">
        <f>IFERROR(VLOOKUP(A978,'Base Prueba'!A:C,3,),"NO REGISTRA")</f>
        <v>ESPERANZA MORALES</v>
      </c>
      <c r="D978" s="4" t="str">
        <f>IFERROR(VLOOKUP(A978,'Base Prueba'!A:D,4,),"NO REGISTRA")</f>
        <v>DIRECTORA DE INFORMATICA Y TECNOLOGIA</v>
      </c>
      <c r="E978" s="5" t="str">
        <f>IFERROR(VLOOKUP(A978,'Base Prueba'!A:E,5,),"NO REGISTRA")</f>
        <v>DEPARTAMENTO DE INFORMATICA Y TECNOLOGIA</v>
      </c>
    </row>
    <row r="979" spans="1:5" ht="15.75" x14ac:dyDescent="0.25">
      <c r="A979" s="10">
        <v>1019603886</v>
      </c>
      <c r="B979" s="2">
        <v>46146.259552662035</v>
      </c>
      <c r="C979" s="3" t="str">
        <f>IFERROR(VLOOKUP(A979,'Base Prueba'!A:C,3,),"NO REGISTRA")</f>
        <v>NICOLAS ESPITIA CHACON</v>
      </c>
      <c r="D979" s="4" t="str">
        <f>IFERROR(VLOOKUP(A979,'Base Prueba'!A:D,4,),"NO REGISTRA")</f>
        <v>AUXILIAR DE RECURSOS ACADEMICOS</v>
      </c>
      <c r="E979" s="5" t="str">
        <f>IFERROR(VLOOKUP(A979,'Base Prueba'!A:E,5,),"NO REGISTRA")</f>
        <v>RECURSOS ACADEMICOS</v>
      </c>
    </row>
    <row r="980" spans="1:5" ht="15.75" x14ac:dyDescent="0.25">
      <c r="A980" s="10">
        <v>51555582</v>
      </c>
      <c r="B980" s="2">
        <v>46146.30273009259</v>
      </c>
      <c r="C980" s="3" t="str">
        <f>IFERROR(VLOOKUP(A980,'Base Prueba'!A:C,3,),"NO REGISTRA")</f>
        <v>MARTHA CECILIA VIDAL ARIZABALETA</v>
      </c>
      <c r="D980" s="4" t="str">
        <f>IFERROR(VLOOKUP(A980,'Base Prueba'!A:D,4,),"NO REGISTRA")</f>
        <v>DOCENTE DE MEDIO TIEMPO</v>
      </c>
      <c r="E980" s="5" t="str">
        <f>IFERROR(VLOOKUP(A980,'Base Prueba'!A:E,5,),"NO REGISTRA")</f>
        <v>INGENIERIA DE SOFTWARE</v>
      </c>
    </row>
    <row r="981" spans="1:5" ht="15.75" x14ac:dyDescent="0.25">
      <c r="A981" s="10">
        <v>1000218614</v>
      </c>
      <c r="B981" s="2">
        <v>46146.318503240742</v>
      </c>
      <c r="C981" s="3" t="str">
        <f>IFERROR(VLOOKUP(A981,'Base Prueba'!A:C,3,),"NO REGISTRA")</f>
        <v>SEBASTIAN DAVID MELO DIAZ</v>
      </c>
      <c r="D981" s="4" t="str">
        <f>IFERROR(VLOOKUP(A981,'Base Prueba'!A:D,4,),"NO REGISTRA")</f>
        <v>ANALISTA DE SISTEMAS</v>
      </c>
      <c r="E981" s="5" t="str">
        <f>IFERROR(VLOOKUP(A981,'Base Prueba'!A:E,5,),"NO REGISTRA")</f>
        <v>DEPARTAMENTO DE INFORMATICA Y TECNOLOGIA</v>
      </c>
    </row>
    <row r="982" spans="1:5" ht="15.75" x14ac:dyDescent="0.25">
      <c r="A982" s="10">
        <v>52049956</v>
      </c>
      <c r="B982" s="2">
        <v>46146.36473587963</v>
      </c>
      <c r="C982" s="3" t="str">
        <f>IFERROR(VLOOKUP(A982,'Base Prueba'!A:C,3,),"NO REGISTRA")</f>
        <v>ESPERANZA MORALES</v>
      </c>
      <c r="D982" s="4" t="str">
        <f>IFERROR(VLOOKUP(A982,'Base Prueba'!A:D,4,),"NO REGISTRA")</f>
        <v>DIRECTORA DE INFORMATICA Y TECNOLOGIA</v>
      </c>
      <c r="E982" s="5" t="str">
        <f>IFERROR(VLOOKUP(A982,'Base Prueba'!A:E,5,),"NO REGISTRA")</f>
        <v>DEPARTAMENTO DE INFORMATICA Y TECNOLOGIA</v>
      </c>
    </row>
    <row r="983" spans="1:5" ht="15.75" x14ac:dyDescent="0.25">
      <c r="A983" s="10">
        <v>79713882</v>
      </c>
      <c r="B983" s="2">
        <v>46146.367895949072</v>
      </c>
      <c r="C983" s="3" t="str">
        <f>IFERROR(VLOOKUP(A983,'Base Prueba'!A:C,3,),"NO REGISTRA")</f>
        <v>FREDY ANGEL DAVILA CUBIDES</v>
      </c>
      <c r="D983" s="4" t="str">
        <f>IFERROR(VLOOKUP(A983,'Base Prueba'!A:D,4,),"NO REGISTRA")</f>
        <v>DECANO</v>
      </c>
      <c r="E983" s="5" t="str">
        <f>IFERROR(VLOOKUP(A983,'Base Prueba'!A:E,5,),"NO REGISTRA")</f>
        <v>ESCUELA DE INGENIERÍA Y TECNOLOGÍAS DE LA INFORMACIÓN</v>
      </c>
    </row>
    <row r="984" spans="1:5" ht="15.75" x14ac:dyDescent="0.25">
      <c r="A984" s="10">
        <v>80778198</v>
      </c>
      <c r="B984" s="2">
        <v>46146.373351851849</v>
      </c>
      <c r="C984" s="3" t="str">
        <f>IFERROR(VLOOKUP(A984,'Base Prueba'!A:C,3,),"NO REGISTRA")</f>
        <v>JIMY JAVIER ALDANA REYES</v>
      </c>
      <c r="D984" s="4" t="str">
        <f>IFERROR(VLOOKUP(A984,'Base Prueba'!A:D,4,),"NO REGISTRA")</f>
        <v>DOCENTE DE TIEMPO COMPLETO</v>
      </c>
      <c r="E984" s="5" t="str">
        <f>IFERROR(VLOOKUP(A984,'Base Prueba'!A:E,5,),"NO REGISTRA")</f>
        <v>INGENIERIA DE SOFTWARE</v>
      </c>
    </row>
    <row r="985" spans="1:5" ht="15.75" x14ac:dyDescent="0.25">
      <c r="A985" s="10">
        <v>85437910</v>
      </c>
      <c r="B985" s="2">
        <v>46146.389129282405</v>
      </c>
      <c r="C985" s="3" t="str">
        <f>IFERROR(VLOOKUP(A985,'Base Prueba'!A:C,3,),"NO REGISTRA")</f>
        <v>EDGAR JOSE PISCIOTTI LEON</v>
      </c>
      <c r="D985" s="4" t="str">
        <f>IFERROR(VLOOKUP(A985,'Base Prueba'!A:D,4,),"NO REGISTRA")</f>
        <v>DOCENTE DE MEDIO TIEMPO</v>
      </c>
      <c r="E985" s="5" t="str">
        <f>IFERROR(VLOOKUP(A985,'Base Prueba'!A:E,5,),"NO REGISTRA")</f>
        <v>TECNOLOGIA EN COMERCIO Y NEGOCIOS INTERNACIONALES</v>
      </c>
    </row>
    <row r="986" spans="1:5" ht="15.75" x14ac:dyDescent="0.25">
      <c r="A986" s="10">
        <v>51555582</v>
      </c>
      <c r="B986" s="2">
        <v>46146.454944444442</v>
      </c>
      <c r="C986" s="3" t="str">
        <f>IFERROR(VLOOKUP(A986,'Base Prueba'!A:C,3,),"NO REGISTRA")</f>
        <v>MARTHA CECILIA VIDAL ARIZABALETA</v>
      </c>
      <c r="D986" s="4" t="str">
        <f>IFERROR(VLOOKUP(A986,'Base Prueba'!A:D,4,),"NO REGISTRA")</f>
        <v>DOCENTE DE MEDIO TIEMPO</v>
      </c>
      <c r="E986" s="5" t="str">
        <f>IFERROR(VLOOKUP(A986,'Base Prueba'!A:E,5,),"NO REGISTRA")</f>
        <v>INGENIERIA DE SOFTWARE</v>
      </c>
    </row>
    <row r="987" spans="1:5" ht="15.75" x14ac:dyDescent="0.25">
      <c r="A987" s="10">
        <v>1019603886</v>
      </c>
      <c r="B987" s="2">
        <v>46146.568232407408</v>
      </c>
      <c r="C987" s="3" t="str">
        <f>IFERROR(VLOOKUP(A987,'Base Prueba'!A:C,3,),"NO REGISTRA")</f>
        <v>NICOLAS ESPITIA CHACON</v>
      </c>
      <c r="D987" s="4" t="str">
        <f>IFERROR(VLOOKUP(A987,'Base Prueba'!A:D,4,),"NO REGISTRA")</f>
        <v>AUXILIAR DE RECURSOS ACADEMICOS</v>
      </c>
      <c r="E987" s="5" t="str">
        <f>IFERROR(VLOOKUP(A987,'Base Prueba'!A:E,5,),"NO REGISTRA")</f>
        <v>RECURSOS ACADEMICOS</v>
      </c>
    </row>
    <row r="988" spans="1:5" ht="15.75" x14ac:dyDescent="0.25">
      <c r="A988" s="10">
        <v>79522309</v>
      </c>
      <c r="B988" s="2">
        <v>46146.746077199074</v>
      </c>
      <c r="C988" s="3" t="str">
        <f>IFERROR(VLOOKUP(A988,'Base Prueba'!A:C,3,),"NO REGISTRA")</f>
        <v>JULIAN ARTURO PUIN MANRIQUE</v>
      </c>
      <c r="D988" s="4" t="str">
        <f>IFERROR(VLOOKUP(A988,'Base Prueba'!A:D,4,),"NO REGISTRA")</f>
        <v>DOCENTE DE MEDIO TIEMPO</v>
      </c>
      <c r="E988" s="5" t="str">
        <f>IFERROR(VLOOKUP(A988,'Base Prueba'!A:E,5,),"NO REGISTRA")</f>
        <v>TECNOLOGIA EN SEGURIDAD Y SALUD EN EL TRABAJO</v>
      </c>
    </row>
    <row r="989" spans="1:5" ht="15.75" x14ac:dyDescent="0.25">
      <c r="A989" s="10">
        <v>1032401971</v>
      </c>
      <c r="B989" s="2">
        <v>46146.752428240739</v>
      </c>
      <c r="C989" s="3" t="str">
        <f>IFERROR(VLOOKUP(A989,'Base Prueba'!A:C,3,),"NO REGISTRA")</f>
        <v>ANDRYU ENRIQUE MENDOZA BELTRAN</v>
      </c>
      <c r="D989" s="4" t="str">
        <f>IFERROR(VLOOKUP(A989,'Base Prueba'!A:D,4,),"NO REGISTRA")</f>
        <v>DOCENTE DE TIEMPO COMPLETO</v>
      </c>
      <c r="E989" s="5" t="str">
        <f>IFERROR(VLOOKUP(A989,'Base Prueba'!A:E,5,),"NO REGISTRA")</f>
        <v>UNIVERSITARIO ADMINISTRACION DE EMPRESAS</v>
      </c>
    </row>
    <row r="990" spans="1:5" ht="15.75" x14ac:dyDescent="0.25">
      <c r="A990" s="10">
        <v>79452150</v>
      </c>
      <c r="B990" s="2">
        <v>46146.805570601849</v>
      </c>
      <c r="C990" s="3" t="str">
        <f>IFERROR(VLOOKUP(A990,'Base Prueba'!A:C,3,),"NO REGISTRA")</f>
        <v>JUAN CARLOS PAZ CUBILLOS</v>
      </c>
      <c r="D990" s="4" t="str">
        <f>IFERROR(VLOOKUP(A990,'Base Prueba'!A:D,4,),"NO REGISTRA")</f>
        <v>ANALISTA DE SISTEMAS</v>
      </c>
      <c r="E990" s="5" t="str">
        <f>IFERROR(VLOOKUP(A990,'Base Prueba'!A:E,5,),"NO REGISTRA")</f>
        <v>DEPARTAMENTO DE INFORMATICA Y TECNOLOGIA</v>
      </c>
    </row>
    <row r="991" spans="1:5" ht="15.75" x14ac:dyDescent="0.25">
      <c r="A991" s="10">
        <v>52049956</v>
      </c>
      <c r="B991" s="2">
        <v>46146.82038391204</v>
      </c>
      <c r="C991" s="3" t="str">
        <f>IFERROR(VLOOKUP(A991,'Base Prueba'!A:C,3,),"NO REGISTRA")</f>
        <v>ESPERANZA MORALES</v>
      </c>
      <c r="D991" s="4" t="str">
        <f>IFERROR(VLOOKUP(A991,'Base Prueba'!A:D,4,),"NO REGISTRA")</f>
        <v>DIRECTORA DE INFORMATICA Y TECNOLOGIA</v>
      </c>
      <c r="E991" s="5" t="str">
        <f>IFERROR(VLOOKUP(A991,'Base Prueba'!A:E,5,),"NO REGISTRA")</f>
        <v>DEPARTAMENTO DE INFORMATICA Y TECNOLOGIA</v>
      </c>
    </row>
    <row r="992" spans="1:5" ht="15.75" x14ac:dyDescent="0.25">
      <c r="A992" s="10">
        <v>1033762993</v>
      </c>
      <c r="B992" s="2">
        <v>46146.851856944442</v>
      </c>
      <c r="C992" s="3" t="str">
        <f>IFERROR(VLOOKUP(A992,'Base Prueba'!A:C,3,),"NO REGISTRA")</f>
        <v>DIEGO FERNANDO MEDINA PEREZ</v>
      </c>
      <c r="D992" s="4" t="str">
        <f>IFERROR(VLOOKUP(A992,'Base Prueba'!A:D,4,),"NO REGISTRA")</f>
        <v>DOCENTE DE MEDIO TIEMPO</v>
      </c>
      <c r="E992" s="5" t="str">
        <f>IFERROR(VLOOKUP(A992,'Base Prueba'!A:E,5,),"NO REGISTRA")</f>
        <v>UNIDAD DE IDIOMAS</v>
      </c>
    </row>
    <row r="993" spans="1:5" ht="15.75" x14ac:dyDescent="0.25">
      <c r="A993" s="10">
        <v>1032401971</v>
      </c>
      <c r="B993" s="2">
        <v>46146.87219652778</v>
      </c>
      <c r="C993" s="3" t="str">
        <f>IFERROR(VLOOKUP(A993,'Base Prueba'!A:C,3,),"NO REGISTRA")</f>
        <v>ANDRYU ENRIQUE MENDOZA BELTRAN</v>
      </c>
      <c r="D993" s="4" t="str">
        <f>IFERROR(VLOOKUP(A993,'Base Prueba'!A:D,4,),"NO REGISTRA")</f>
        <v>DOCENTE DE TIEMPO COMPLETO</v>
      </c>
      <c r="E993" s="5" t="str">
        <f>IFERROR(VLOOKUP(A993,'Base Prueba'!A:E,5,),"NO REGISTRA")</f>
        <v>UNIVERSITARIO ADMINISTRACION DE EMPRESAS</v>
      </c>
    </row>
    <row r="994" spans="1:5" ht="15.75" x14ac:dyDescent="0.25">
      <c r="A994" s="10">
        <v>1019603886</v>
      </c>
      <c r="B994" s="2">
        <v>46147.246657060183</v>
      </c>
      <c r="C994" s="3" t="str">
        <f>IFERROR(VLOOKUP(A994,'Base Prueba'!A:C,3,),"NO REGISTRA")</f>
        <v>NICOLAS ESPITIA CHACON</v>
      </c>
      <c r="D994" s="4" t="str">
        <f>IFERROR(VLOOKUP(A994,'Base Prueba'!A:D,4,),"NO REGISTRA")</f>
        <v>AUXILIAR DE RECURSOS ACADEMICOS</v>
      </c>
      <c r="E994" s="5" t="str">
        <f>IFERROR(VLOOKUP(A994,'Base Prueba'!A:E,5,),"NO REGISTRA")</f>
        <v>RECURSOS ACADEMICOS</v>
      </c>
    </row>
    <row r="995" spans="1:5" ht="15.75" x14ac:dyDescent="0.25">
      <c r="A995" s="10">
        <v>80778198</v>
      </c>
      <c r="B995" s="2">
        <v>46147.292270254628</v>
      </c>
      <c r="C995" s="3" t="str">
        <f>IFERROR(VLOOKUP(A995,'Base Prueba'!A:C,3,),"NO REGISTRA")</f>
        <v>JIMY JAVIER ALDANA REYES</v>
      </c>
      <c r="D995" s="4" t="str">
        <f>IFERROR(VLOOKUP(A995,'Base Prueba'!A:D,4,),"NO REGISTRA")</f>
        <v>DOCENTE DE TIEMPO COMPLETO</v>
      </c>
      <c r="E995" s="5" t="str">
        <f>IFERROR(VLOOKUP(A995,'Base Prueba'!A:E,5,),"NO REGISTRA")</f>
        <v>INGENIERIA DE SOFTWARE</v>
      </c>
    </row>
    <row r="996" spans="1:5" ht="15.75" x14ac:dyDescent="0.25">
      <c r="A996" s="10">
        <v>80778198</v>
      </c>
      <c r="B996" s="2">
        <v>46147.292279166664</v>
      </c>
      <c r="C996" s="3" t="str">
        <f>IFERROR(VLOOKUP(A996,'Base Prueba'!A:C,3,),"NO REGISTRA")</f>
        <v>JIMY JAVIER ALDANA REYES</v>
      </c>
      <c r="D996" s="4" t="str">
        <f>IFERROR(VLOOKUP(A996,'Base Prueba'!A:D,4,),"NO REGISTRA")</f>
        <v>DOCENTE DE TIEMPO COMPLETO</v>
      </c>
      <c r="E996" s="5" t="str">
        <f>IFERROR(VLOOKUP(A996,'Base Prueba'!A:E,5,),"NO REGISTRA")</f>
        <v>INGENIERIA DE SOFTWARE</v>
      </c>
    </row>
    <row r="997" spans="1:5" ht="15.75" x14ac:dyDescent="0.25">
      <c r="A997" s="10">
        <v>80843387</v>
      </c>
      <c r="B997" s="2">
        <v>46147.297484722221</v>
      </c>
      <c r="C997" s="3" t="str">
        <f>IFERROR(VLOOKUP(A997,'Base Prueba'!A:C,3,),"NO REGISTRA")</f>
        <v>ESTEBAN ADOLFO QUESADA SALAZAR</v>
      </c>
      <c r="D997" s="4" t="str">
        <f>IFERROR(VLOOKUP(A997,'Base Prueba'!A:D,4,),"NO REGISTRA")</f>
        <v>DOCENTE DE TIEMPO COMPLETO</v>
      </c>
      <c r="E997" s="5" t="str">
        <f>IFERROR(VLOOKUP(A997,'Base Prueba'!A:E,5,),"NO REGISTRA")</f>
        <v>UNIVERSITARIO COMUNICACION SOCIAL</v>
      </c>
    </row>
    <row r="998" spans="1:5" ht="15.75" x14ac:dyDescent="0.25">
      <c r="A998" s="10">
        <v>1000218614</v>
      </c>
      <c r="B998" s="2">
        <v>46147.325123495371</v>
      </c>
      <c r="C998" s="3" t="str">
        <f>IFERROR(VLOOKUP(A998,'Base Prueba'!A:C,3,),"NO REGISTRA")</f>
        <v>SEBASTIAN DAVID MELO DIAZ</v>
      </c>
      <c r="D998" s="4" t="str">
        <f>IFERROR(VLOOKUP(A998,'Base Prueba'!A:D,4,),"NO REGISTRA")</f>
        <v>ANALISTA DE SISTEMAS</v>
      </c>
      <c r="E998" s="5" t="str">
        <f>IFERROR(VLOOKUP(A998,'Base Prueba'!A:E,5,),"NO REGISTRA")</f>
        <v>DEPARTAMENTO DE INFORMATICA Y TECNOLOGIA</v>
      </c>
    </row>
    <row r="999" spans="1:5" ht="15.75" x14ac:dyDescent="0.25">
      <c r="A999" s="10">
        <v>1022378300</v>
      </c>
      <c r="B999" s="2">
        <v>46147.346716666667</v>
      </c>
      <c r="C999" s="3" t="str">
        <f>IFERROR(VLOOKUP(A999,'Base Prueba'!A:C,3,),"NO REGISTRA")</f>
        <v>FERNEY ANDRES CHASPUENGAL RAMIREZ</v>
      </c>
      <c r="D999" s="4" t="str">
        <f>IFERROR(VLOOKUP(A999,'Base Prueba'!A:D,4,),"NO REGISTRA")</f>
        <v>LÍDER DE DEPORTE Y CULTURA</v>
      </c>
      <c r="E999" s="5" t="str">
        <f>IFERROR(VLOOKUP(A999,'Base Prueba'!A:E,5,),"NO REGISTRA")</f>
        <v>DIRECCION DE BIENESTAR INSTITUCIONAL</v>
      </c>
    </row>
    <row r="1000" spans="1:5" ht="15.75" x14ac:dyDescent="0.25">
      <c r="A1000" s="10">
        <v>1023897886</v>
      </c>
      <c r="B1000" s="2">
        <v>46147.356422685189</v>
      </c>
      <c r="C1000" s="3" t="str">
        <f>IFERROR(VLOOKUP(A1000,'Base Prueba'!A:C,3,),"NO REGISTRA")</f>
        <v>NO REGISTRA</v>
      </c>
      <c r="D1000" s="4" t="str">
        <f>IFERROR(VLOOKUP(A1000,'Base Prueba'!A:D,4,),"NO REGISTRA")</f>
        <v>NO REGISTRA</v>
      </c>
      <c r="E1000" s="5" t="str">
        <f>IFERROR(VLOOKUP(A1000,'Base Prueba'!A:E,5,),"NO REGISTRA")</f>
        <v>NO REGISTRA</v>
      </c>
    </row>
    <row r="1001" spans="1:5" ht="15.75" x14ac:dyDescent="0.25">
      <c r="A1001" s="10">
        <v>1023897886</v>
      </c>
      <c r="B1001" s="2">
        <v>46147.356429282408</v>
      </c>
      <c r="C1001" s="3" t="str">
        <f>IFERROR(VLOOKUP(A1001,'Base Prueba'!A:C,3,),"NO REGISTRA")</f>
        <v>NO REGISTRA</v>
      </c>
      <c r="D1001" s="4" t="str">
        <f>IFERROR(VLOOKUP(A1001,'Base Prueba'!A:D,4,),"NO REGISTRA")</f>
        <v>NO REGISTRA</v>
      </c>
      <c r="E1001" s="5" t="str">
        <f>IFERROR(VLOOKUP(A1001,'Base Prueba'!A:E,5,),"NO REGISTRA")</f>
        <v>NO REGISTRA</v>
      </c>
    </row>
    <row r="1002" spans="1:5" ht="15.75" x14ac:dyDescent="0.25">
      <c r="A1002" s="10">
        <v>52049956</v>
      </c>
      <c r="B1002" s="2">
        <v>46147.375527083335</v>
      </c>
      <c r="C1002" s="3" t="str">
        <f>IFERROR(VLOOKUP(A1002,'Base Prueba'!A:C,3,),"NO REGISTRA")</f>
        <v>ESPERANZA MORALES</v>
      </c>
      <c r="D1002" s="4" t="str">
        <f>IFERROR(VLOOKUP(A1002,'Base Prueba'!A:D,4,),"NO REGISTRA")</f>
        <v>DIRECTORA DE INFORMATICA Y TECNOLOGIA</v>
      </c>
      <c r="E1002" s="5" t="str">
        <f>IFERROR(VLOOKUP(A1002,'Base Prueba'!A:E,5,),"NO REGISTRA")</f>
        <v>DEPARTAMENTO DE INFORMATICA Y TECNOLOGIA</v>
      </c>
    </row>
    <row r="1003" spans="1:5" ht="15.75" x14ac:dyDescent="0.25">
      <c r="A1003" s="10">
        <v>79484197</v>
      </c>
      <c r="B1003" s="2">
        <v>46147.387485416664</v>
      </c>
      <c r="C1003" s="3" t="str">
        <f>IFERROR(VLOOKUP(A1003,'Base Prueba'!A:C,3,),"NO REGISTRA")</f>
        <v>JOHN DANIEL GUTIERREZ BOADA</v>
      </c>
      <c r="D1003" s="4" t="str">
        <f>IFERROR(VLOOKUP(A1003,'Base Prueba'!A:D,4,),"NO REGISTRA")</f>
        <v>DOCENTE DE MEDIO TIEMPO</v>
      </c>
      <c r="E1003" s="5" t="str">
        <f>IFERROR(VLOOKUP(A1003,'Base Prueba'!A:E,5,),"NO REGISTRA")</f>
        <v>UNIVERSITARIO COMUNICACION SOCIAL</v>
      </c>
    </row>
    <row r="1004" spans="1:5" ht="15.75" x14ac:dyDescent="0.25">
      <c r="A1004" s="10">
        <v>52850506</v>
      </c>
      <c r="B1004" s="2">
        <v>46147.391801736114</v>
      </c>
      <c r="C1004" s="3" t="str">
        <f>IFERROR(VLOOKUP(A1004,'Base Prueba'!A:C,3,),"NO REGISTRA")</f>
        <v>PAOLA ANDREA VASQUEZ FONSECA</v>
      </c>
      <c r="D1004" s="4" t="str">
        <f>IFERROR(VLOOKUP(A1004,'Base Prueba'!A:D,4,),"NO REGISTRA")</f>
        <v>DOCENTE DE TIEMPO COMPLETO</v>
      </c>
      <c r="E1004" s="5" t="str">
        <f>IFERROR(VLOOKUP(A1004,'Base Prueba'!A:E,5,),"NO REGISTRA")</f>
        <v>UNIVERSITARIO COMUNICACION SOCIAL</v>
      </c>
    </row>
    <row r="1005" spans="1:5" ht="15.75" x14ac:dyDescent="0.25">
      <c r="A1005" s="10">
        <v>1014257968</v>
      </c>
      <c r="B1005" s="2">
        <v>46147.424482175928</v>
      </c>
      <c r="C1005" s="3" t="str">
        <f>IFERROR(VLOOKUP(A1005,'Base Prueba'!A:C,3,),"NO REGISTRA")</f>
        <v>JORGE ANDRES LIEVANO LOPEZ</v>
      </c>
      <c r="D1005" s="4" t="str">
        <f>IFERROR(VLOOKUP(A1005,'Base Prueba'!A:D,4,),"NO REGISTRA")</f>
        <v>DOCENTE DE TIEMPO COMPLETO</v>
      </c>
      <c r="E1005" s="5" t="str">
        <f>IFERROR(VLOOKUP(A1005,'Base Prueba'!A:E,5,),"NO REGISTRA")</f>
        <v>UNIDAD DE IDIOMAS</v>
      </c>
    </row>
    <row r="1006" spans="1:5" ht="15.75" x14ac:dyDescent="0.25">
      <c r="A1006" s="10">
        <v>1019603886</v>
      </c>
      <c r="B1006" s="2">
        <v>46147.563975578705</v>
      </c>
      <c r="C1006" s="3" t="str">
        <f>IFERROR(VLOOKUP(A1006,'Base Prueba'!A:C,3,),"NO REGISTRA")</f>
        <v>NICOLAS ESPITIA CHACON</v>
      </c>
      <c r="D1006" s="4" t="str">
        <f>IFERROR(VLOOKUP(A1006,'Base Prueba'!A:D,4,),"NO REGISTRA")</f>
        <v>AUXILIAR DE RECURSOS ACADEMICOS</v>
      </c>
      <c r="E1006" s="5" t="str">
        <f>IFERROR(VLOOKUP(A1006,'Base Prueba'!A:E,5,),"NO REGISTRA")</f>
        <v>RECURSOS ACADEMICOS</v>
      </c>
    </row>
    <row r="1007" spans="1:5" ht="15.75" x14ac:dyDescent="0.25">
      <c r="A1007" s="10">
        <v>248294</v>
      </c>
      <c r="B1007" s="2">
        <v>46147.694984837966</v>
      </c>
      <c r="C1007" s="3" t="str">
        <f>IFERROR(VLOOKUP(A1007,'Base Prueba'!A:C,3,),"NO REGISTRA")</f>
        <v>WALTER NATALIO VALDEZ MONTAÑEZ</v>
      </c>
      <c r="D1007" s="4" t="str">
        <f>IFERROR(VLOOKUP(A1007,'Base Prueba'!A:D,4,),"NO REGISTRA")</f>
        <v>DOCENTE DE TIEMPO COMPLETO</v>
      </c>
      <c r="E1007" s="5" t="str">
        <f>IFERROR(VLOOKUP(A1007,'Base Prueba'!A:E,5,),"NO REGISTRA")</f>
        <v>UNIVERSITARIO EN TURISMO Y GASTRONOMIA</v>
      </c>
    </row>
    <row r="1008" spans="1:5" ht="15.75" x14ac:dyDescent="0.25">
      <c r="A1008" s="10">
        <v>79452150</v>
      </c>
      <c r="B1008" s="2">
        <v>46147.805794907406</v>
      </c>
      <c r="C1008" s="3" t="str">
        <f>IFERROR(VLOOKUP(A1008,'Base Prueba'!A:C,3,),"NO REGISTRA")</f>
        <v>JUAN CARLOS PAZ CUBILLOS</v>
      </c>
      <c r="D1008" s="4" t="str">
        <f>IFERROR(VLOOKUP(A1008,'Base Prueba'!A:D,4,),"NO REGISTRA")</f>
        <v>ANALISTA DE SISTEMAS</v>
      </c>
      <c r="E1008" s="5" t="str">
        <f>IFERROR(VLOOKUP(A1008,'Base Prueba'!A:E,5,),"NO REGISTRA")</f>
        <v>DEPARTAMENTO DE INFORMATICA Y TECNOLOGIA</v>
      </c>
    </row>
    <row r="1009" spans="1:5" ht="15.75" x14ac:dyDescent="0.25">
      <c r="A1009" s="10">
        <v>52049956</v>
      </c>
      <c r="B1009" s="2">
        <v>46147.810250347226</v>
      </c>
      <c r="C1009" s="3" t="str">
        <f>IFERROR(VLOOKUP(A1009,'Base Prueba'!A:C,3,),"NO REGISTRA")</f>
        <v>ESPERANZA MORALES</v>
      </c>
      <c r="D1009" s="4" t="str">
        <f>IFERROR(VLOOKUP(A1009,'Base Prueba'!A:D,4,),"NO REGISTRA")</f>
        <v>DIRECTORA DE INFORMATICA Y TECNOLOGIA</v>
      </c>
      <c r="E1009" s="5" t="str">
        <f>IFERROR(VLOOKUP(A1009,'Base Prueba'!A:E,5,),"NO REGISTRA")</f>
        <v>DEPARTAMENTO DE INFORMATICA Y TECNOLOGIA</v>
      </c>
    </row>
    <row r="1010" spans="1:5" ht="15.75" x14ac:dyDescent="0.25">
      <c r="A1010" s="10">
        <v>1023897886</v>
      </c>
      <c r="B1010" s="2">
        <v>46147.87325960648</v>
      </c>
      <c r="C1010" s="3" t="str">
        <f>IFERROR(VLOOKUP(A1010,'Base Prueba'!A:C,3,),"NO REGISTRA")</f>
        <v>NO REGISTRA</v>
      </c>
      <c r="D1010" s="4" t="str">
        <f>IFERROR(VLOOKUP(A1010,'Base Prueba'!A:D,4,),"NO REGISTRA")</f>
        <v>NO REGISTRA</v>
      </c>
      <c r="E1010" s="5" t="str">
        <f>IFERROR(VLOOKUP(A1010,'Base Prueba'!A:E,5,),"NO REGISTRA")</f>
        <v>NO REGISTRA</v>
      </c>
    </row>
    <row r="1011" spans="1:5" ht="15.75" x14ac:dyDescent="0.25">
      <c r="A1011" s="10">
        <v>1023897886</v>
      </c>
      <c r="B1011" s="2">
        <v>46147.873326620371</v>
      </c>
      <c r="C1011" s="3" t="str">
        <f>IFERROR(VLOOKUP(A1011,'Base Prueba'!A:C,3,),"NO REGISTRA")</f>
        <v>NO REGISTRA</v>
      </c>
      <c r="D1011" s="4" t="str">
        <f>IFERROR(VLOOKUP(A1011,'Base Prueba'!A:D,4,),"NO REGISTRA")</f>
        <v>NO REGISTRA</v>
      </c>
      <c r="E1011" s="5" t="str">
        <f>IFERROR(VLOOKUP(A1011,'Base Prueba'!A:E,5,),"NO REGISTRA")</f>
        <v>NO REGISTRA</v>
      </c>
    </row>
    <row r="1012" spans="1:5" ht="15.75" x14ac:dyDescent="0.25">
      <c r="A1012" s="10">
        <v>1032401971</v>
      </c>
      <c r="B1012" s="2">
        <v>46147.919117129626</v>
      </c>
      <c r="C1012" s="3" t="str">
        <f>IFERROR(VLOOKUP(A1012,'Base Prueba'!A:C,3,),"NO REGISTRA")</f>
        <v>ANDRYU ENRIQUE MENDOZA BELTRAN</v>
      </c>
      <c r="D1012" s="4" t="str">
        <f>IFERROR(VLOOKUP(A1012,'Base Prueba'!A:D,4,),"NO REGISTRA")</f>
        <v>DOCENTE DE TIEMPO COMPLETO</v>
      </c>
      <c r="E1012" s="5" t="str">
        <f>IFERROR(VLOOKUP(A1012,'Base Prueba'!A:E,5,),"NO REGISTRA")</f>
        <v>UNIVERSITARIO ADMINISTRACION DE EMPRESAS</v>
      </c>
    </row>
    <row r="1013" spans="1:5" ht="15.75" x14ac:dyDescent="0.25">
      <c r="A1013" s="10">
        <v>52133632</v>
      </c>
      <c r="B1013" s="2">
        <v>46148.289900347219</v>
      </c>
      <c r="C1013" s="3" t="str">
        <f>IFERROR(VLOOKUP(A1013,'Base Prueba'!A:C,3,),"NO REGISTRA")</f>
        <v>ANA MARIA VALDERRAMA JARA</v>
      </c>
      <c r="D1013" s="4" t="str">
        <f>IFERROR(VLOOKUP(A1013,'Base Prueba'!A:D,4,),"NO REGISTRA")</f>
        <v>DOCENTE DE TIEMPO COMPLETO</v>
      </c>
      <c r="E1013" s="5" t="str">
        <f>IFERROR(VLOOKUP(A1013,'Base Prueba'!A:E,5,),"NO REGISTRA")</f>
        <v>UNIVERSITARIO EN SEGURIDAD Y SALUD EN EL TRABAJO</v>
      </c>
    </row>
    <row r="1014" spans="1:5" ht="15.75" x14ac:dyDescent="0.25">
      <c r="A1014" s="10">
        <v>52850506</v>
      </c>
      <c r="B1014" s="2">
        <v>46148.306475347221</v>
      </c>
      <c r="C1014" s="3" t="str">
        <f>IFERROR(VLOOKUP(A1014,'Base Prueba'!A:C,3,),"NO REGISTRA")</f>
        <v>PAOLA ANDREA VASQUEZ FONSECA</v>
      </c>
      <c r="D1014" s="4" t="str">
        <f>IFERROR(VLOOKUP(A1014,'Base Prueba'!A:D,4,),"NO REGISTRA")</f>
        <v>DOCENTE DE TIEMPO COMPLETO</v>
      </c>
      <c r="E1014" s="5" t="str">
        <f>IFERROR(VLOOKUP(A1014,'Base Prueba'!A:E,5,),"NO REGISTRA")</f>
        <v>UNIVERSITARIO COMUNICACION SOCIAL</v>
      </c>
    </row>
    <row r="1015" spans="1:5" ht="15.75" x14ac:dyDescent="0.25">
      <c r="A1015" s="10">
        <v>1000218614</v>
      </c>
      <c r="B1015" s="2">
        <v>46148.309712847222</v>
      </c>
      <c r="C1015" s="3" t="str">
        <f>IFERROR(VLOOKUP(A1015,'Base Prueba'!A:C,3,),"NO REGISTRA")</f>
        <v>SEBASTIAN DAVID MELO DIAZ</v>
      </c>
      <c r="D1015" s="4" t="str">
        <f>IFERROR(VLOOKUP(A1015,'Base Prueba'!A:D,4,),"NO REGISTRA")</f>
        <v>ANALISTA DE SISTEMAS</v>
      </c>
      <c r="E1015" s="5" t="str">
        <f>IFERROR(VLOOKUP(A1015,'Base Prueba'!A:E,5,),"NO REGISTRA")</f>
        <v>DEPARTAMENTO DE INFORMATICA Y TECNOLOGIA</v>
      </c>
    </row>
    <row r="1016" spans="1:5" ht="15.75" x14ac:dyDescent="0.25">
      <c r="A1016" s="10">
        <v>1022378300</v>
      </c>
      <c r="B1016" s="2">
        <v>46148.341586574075</v>
      </c>
      <c r="C1016" s="3" t="str">
        <f>IFERROR(VLOOKUP(A1016,'Base Prueba'!A:C,3,),"NO REGISTRA")</f>
        <v>FERNEY ANDRES CHASPUENGAL RAMIREZ</v>
      </c>
      <c r="D1016" s="4" t="str">
        <f>IFERROR(VLOOKUP(A1016,'Base Prueba'!A:D,4,),"NO REGISTRA")</f>
        <v>LÍDER DE DEPORTE Y CULTURA</v>
      </c>
      <c r="E1016" s="5" t="str">
        <f>IFERROR(VLOOKUP(A1016,'Base Prueba'!A:E,5,),"NO REGISTRA")</f>
        <v>DIRECCION DE BIENESTAR INSTITUCIONAL</v>
      </c>
    </row>
    <row r="1017" spans="1:5" ht="15.75" x14ac:dyDescent="0.25">
      <c r="A1017" s="10">
        <v>52049956</v>
      </c>
      <c r="B1017" s="2">
        <v>46148.360382638886</v>
      </c>
      <c r="C1017" s="3" t="str">
        <f>IFERROR(VLOOKUP(A1017,'Base Prueba'!A:C,3,),"NO REGISTRA")</f>
        <v>ESPERANZA MORALES</v>
      </c>
      <c r="D1017" s="4" t="str">
        <f>IFERROR(VLOOKUP(A1017,'Base Prueba'!A:D,4,),"NO REGISTRA")</f>
        <v>DIRECTORA DE INFORMATICA Y TECNOLOGIA</v>
      </c>
      <c r="E1017" s="5" t="str">
        <f>IFERROR(VLOOKUP(A1017,'Base Prueba'!A:E,5,),"NO REGISTRA")</f>
        <v>DEPARTAMENTO DE INFORMATICA Y TECNOLOGIA</v>
      </c>
    </row>
    <row r="1018" spans="1:5" ht="15.75" x14ac:dyDescent="0.25">
      <c r="A1018" s="10">
        <v>1032361262</v>
      </c>
      <c r="B1018" s="2">
        <v>46148.480139120373</v>
      </c>
      <c r="C1018" s="3" t="str">
        <f>IFERROR(VLOOKUP(A1018,'Base Prueba'!A:C,3,),"NO REGISTRA")</f>
        <v>CAMILO  ANDRES BALLESTEROS SANABRIA</v>
      </c>
      <c r="D1018" s="4" t="str">
        <f>IFERROR(VLOOKUP(A1018,'Base Prueba'!A:D,4,),"NO REGISTRA")</f>
        <v>DOCENTE DE MEDIO TIEMPO</v>
      </c>
      <c r="E1018" s="5" t="str">
        <f>IFERROR(VLOOKUP(A1018,'Base Prueba'!A:E,5,),"NO REGISTRA")</f>
        <v>TECNICA EN FOTOGRAFIA</v>
      </c>
    </row>
    <row r="1019" spans="1:5" ht="15.75" x14ac:dyDescent="0.25">
      <c r="A1019" s="10">
        <v>1032487526</v>
      </c>
      <c r="B1019" s="2">
        <v>46148.534337268517</v>
      </c>
      <c r="C1019" s="3" t="str">
        <f>IFERROR(VLOOKUP(A1019,'Base Prueba'!A:C,3,),"NO REGISTRA")</f>
        <v>LAURA ANDREA MEZA MARTINEZ</v>
      </c>
      <c r="D1019" s="4" t="str">
        <f>IFERROR(VLOOKUP(A1019,'Base Prueba'!A:D,4,),"NO REGISTRA")</f>
        <v>DOCENTE DE MEDIO TIEMPO</v>
      </c>
      <c r="E1019" s="5" t="str">
        <f>IFERROR(VLOOKUP(A1019,'Base Prueba'!A:E,5,),"NO REGISTRA")</f>
        <v>TECNICO LABORAL AUXILIAR PRODUCCION GRAFICA</v>
      </c>
    </row>
    <row r="1020" spans="1:5" ht="15.75" x14ac:dyDescent="0.25">
      <c r="A1020" s="10">
        <v>1018482392</v>
      </c>
      <c r="B1020" s="2">
        <v>46148.567171643517</v>
      </c>
      <c r="C1020" s="3" t="str">
        <f>IFERROR(VLOOKUP(A1020,'Base Prueba'!A:C,3,),"NO REGISTRA")</f>
        <v>RAQUEL YANETH SANDOVAL FORERO</v>
      </c>
      <c r="D1020" s="4" t="str">
        <f>IFERROR(VLOOKUP(A1020,'Base Prueba'!A:D,4,),"NO REGISTRA")</f>
        <v>AUXILIAR DE RECURSOS ACADEMICOS</v>
      </c>
      <c r="E1020" s="5" t="str">
        <f>IFERROR(VLOOKUP(A1020,'Base Prueba'!A:E,5,),"NO REGISTRA")</f>
        <v>RECURSOS ACADEMICOS</v>
      </c>
    </row>
    <row r="1021" spans="1:5" ht="15.75" x14ac:dyDescent="0.25">
      <c r="A1021" s="10">
        <v>1019603886</v>
      </c>
      <c r="B1021" s="2">
        <v>46148.567197453704</v>
      </c>
      <c r="C1021" s="3" t="str">
        <f>IFERROR(VLOOKUP(A1021,'Base Prueba'!A:C,3,),"NO REGISTRA")</f>
        <v>NICOLAS ESPITIA CHACON</v>
      </c>
      <c r="D1021" s="4" t="str">
        <f>IFERROR(VLOOKUP(A1021,'Base Prueba'!A:D,4,),"NO REGISTRA")</f>
        <v>AUXILIAR DE RECURSOS ACADEMICOS</v>
      </c>
      <c r="E1021" s="5" t="str">
        <f>IFERROR(VLOOKUP(A1021,'Base Prueba'!A:E,5,),"NO REGISTRA")</f>
        <v>RECURSOS ACADEMICOS</v>
      </c>
    </row>
    <row r="1022" spans="1:5" ht="15.75" x14ac:dyDescent="0.25">
      <c r="A1022" s="10">
        <v>248294</v>
      </c>
      <c r="B1022" s="2">
        <v>46148.682126736108</v>
      </c>
      <c r="C1022" s="3" t="str">
        <f>IFERROR(VLOOKUP(A1022,'Base Prueba'!A:C,3,),"NO REGISTRA")</f>
        <v>WALTER NATALIO VALDEZ MONTAÑEZ</v>
      </c>
      <c r="D1022" s="4" t="str">
        <f>IFERROR(VLOOKUP(A1022,'Base Prueba'!A:D,4,),"NO REGISTRA")</f>
        <v>DOCENTE DE TIEMPO COMPLETO</v>
      </c>
      <c r="E1022" s="5" t="str">
        <f>IFERROR(VLOOKUP(A1022,'Base Prueba'!A:E,5,),"NO REGISTRA")</f>
        <v>UNIVERSITARIO EN TURISMO Y GASTRONOMIA</v>
      </c>
    </row>
    <row r="1023" spans="1:5" ht="15.75" x14ac:dyDescent="0.25">
      <c r="A1023" s="10">
        <v>52049956</v>
      </c>
      <c r="B1023" s="2">
        <v>46148.817917939814</v>
      </c>
      <c r="C1023" s="3" t="str">
        <f>IFERROR(VLOOKUP(A1023,'Base Prueba'!A:C,3,),"NO REGISTRA")</f>
        <v>ESPERANZA MORALES</v>
      </c>
      <c r="D1023" s="4" t="str">
        <f>IFERROR(VLOOKUP(A1023,'Base Prueba'!A:D,4,),"NO REGISTRA")</f>
        <v>DIRECTORA DE INFORMATICA Y TECNOLOGIA</v>
      </c>
      <c r="E1023" s="5" t="str">
        <f>IFERROR(VLOOKUP(A1023,'Base Prueba'!A:E,5,),"NO REGISTRA")</f>
        <v>DEPARTAMENTO DE INFORMATICA Y TECNOLOGIA</v>
      </c>
    </row>
    <row r="1024" spans="1:5" ht="15.75" x14ac:dyDescent="0.25">
      <c r="A1024" s="10">
        <v>79452150</v>
      </c>
      <c r="B1024" s="2">
        <v>46148.82579224537</v>
      </c>
      <c r="C1024" s="3" t="str">
        <f>IFERROR(VLOOKUP(A1024,'Base Prueba'!A:C,3,),"NO REGISTRA")</f>
        <v>JUAN CARLOS PAZ CUBILLOS</v>
      </c>
      <c r="D1024" s="4" t="str">
        <f>IFERROR(VLOOKUP(A1024,'Base Prueba'!A:D,4,),"NO REGISTRA")</f>
        <v>ANALISTA DE SISTEMAS</v>
      </c>
      <c r="E1024" s="5" t="str">
        <f>IFERROR(VLOOKUP(A1024,'Base Prueba'!A:E,5,),"NO REGISTRA")</f>
        <v>DEPARTAMENTO DE INFORMATICA Y TECNOLOGIA</v>
      </c>
    </row>
    <row r="1025" spans="1:5" ht="15.75" x14ac:dyDescent="0.25">
      <c r="A1025" s="10">
        <v>52782050</v>
      </c>
      <c r="B1025" s="2">
        <v>46148.835136226851</v>
      </c>
      <c r="C1025" s="3" t="str">
        <f>IFERROR(VLOOKUP(A1025,'Base Prueba'!A:C,3,),"NO REGISTRA")</f>
        <v>MELISSA AVENDAÑO TOCANCHON</v>
      </c>
      <c r="D1025" s="4" t="str">
        <f>IFERROR(VLOOKUP(A1025,'Base Prueba'!A:D,4,),"NO REGISTRA")</f>
        <v>DOCENTE DE MEDIO TIEMPO</v>
      </c>
      <c r="E1025" s="5" t="str">
        <f>IFERROR(VLOOKUP(A1025,'Base Prueba'!A:E,5,),"NO REGISTRA")</f>
        <v>NARRATIVAS DIGITALES Y AUDIOVISUALES</v>
      </c>
    </row>
    <row r="1026" spans="1:5" ht="15.75" x14ac:dyDescent="0.25">
      <c r="A1026" s="10">
        <v>1019603886</v>
      </c>
      <c r="B1026" s="2">
        <v>46149.240210185184</v>
      </c>
      <c r="C1026" s="3" t="str">
        <f>IFERROR(VLOOKUP(A1026,'Base Prueba'!A:C,3,),"NO REGISTRA")</f>
        <v>NICOLAS ESPITIA CHACON</v>
      </c>
      <c r="D1026" s="4" t="str">
        <f>IFERROR(VLOOKUP(A1026,'Base Prueba'!A:D,4,),"NO REGISTRA")</f>
        <v>AUXILIAR DE RECURSOS ACADEMICOS</v>
      </c>
      <c r="E1026" s="5" t="str">
        <f>IFERROR(VLOOKUP(A1026,'Base Prueba'!A:E,5,),"NO REGISTRA")</f>
        <v>RECURSOS ACADEMICOS</v>
      </c>
    </row>
    <row r="1027" spans="1:5" ht="15.75" x14ac:dyDescent="0.25">
      <c r="A1027" s="10">
        <v>1000218614</v>
      </c>
      <c r="B1027" s="2">
        <v>46149.322589699077</v>
      </c>
      <c r="C1027" s="3" t="str">
        <f>IFERROR(VLOOKUP(A1027,'Base Prueba'!A:C,3,),"NO REGISTRA")</f>
        <v>SEBASTIAN DAVID MELO DIAZ</v>
      </c>
      <c r="D1027" s="4" t="str">
        <f>IFERROR(VLOOKUP(A1027,'Base Prueba'!A:D,4,),"NO REGISTRA")</f>
        <v>ANALISTA DE SISTEMAS</v>
      </c>
      <c r="E1027" s="5" t="str">
        <f>IFERROR(VLOOKUP(A1027,'Base Prueba'!A:E,5,),"NO REGISTRA")</f>
        <v>DEPARTAMENTO DE INFORMATICA Y TECNOLOGIA</v>
      </c>
    </row>
    <row r="1028" spans="1:5" ht="15.75" x14ac:dyDescent="0.25">
      <c r="A1028" s="10">
        <v>52049956</v>
      </c>
      <c r="B1028" s="2">
        <v>46149.386550925927</v>
      </c>
      <c r="C1028" s="3" t="str">
        <f>IFERROR(VLOOKUP(A1028,'Base Prueba'!A:C,3,),"NO REGISTRA")</f>
        <v>ESPERANZA MORALES</v>
      </c>
      <c r="D1028" s="4" t="str">
        <f>IFERROR(VLOOKUP(A1028,'Base Prueba'!A:D,4,),"NO REGISTRA")</f>
        <v>DIRECTORA DE INFORMATICA Y TECNOLOGIA</v>
      </c>
      <c r="E1028" s="5" t="str">
        <f>IFERROR(VLOOKUP(A1028,'Base Prueba'!A:E,5,),"NO REGISTRA")</f>
        <v>DEPARTAMENTO DE INFORMATICA Y TECNOLOGIA</v>
      </c>
    </row>
    <row r="1029" spans="1:5" ht="15.75" x14ac:dyDescent="0.25">
      <c r="A1029" s="10">
        <v>85437910</v>
      </c>
      <c r="B1029" s="2">
        <v>46149.42547962963</v>
      </c>
      <c r="C1029" s="3" t="str">
        <f>IFERROR(VLOOKUP(A1029,'Base Prueba'!A:C,3,),"NO REGISTRA")</f>
        <v>EDGAR JOSE PISCIOTTI LEON</v>
      </c>
      <c r="D1029" s="4" t="str">
        <f>IFERROR(VLOOKUP(A1029,'Base Prueba'!A:D,4,),"NO REGISTRA")</f>
        <v>DOCENTE DE MEDIO TIEMPO</v>
      </c>
      <c r="E1029" s="5" t="str">
        <f>IFERROR(VLOOKUP(A1029,'Base Prueba'!A:E,5,),"NO REGISTRA")</f>
        <v>TECNOLOGIA EN COMERCIO Y NEGOCIOS INTERNACIONALES</v>
      </c>
    </row>
    <row r="1030" spans="1:5" ht="15.75" x14ac:dyDescent="0.25">
      <c r="A1030" s="10">
        <v>1019125716</v>
      </c>
      <c r="B1030" s="2">
        <v>46149.504213541666</v>
      </c>
      <c r="C1030" s="3" t="str">
        <f>IFERROR(VLOOKUP(A1030,'Base Prueba'!A:C,3,),"NO REGISTRA")</f>
        <v>GINA PAOLA ALZATE ARISTIZABAL</v>
      </c>
      <c r="D1030" s="4" t="str">
        <f>IFERROR(VLOOKUP(A1030,'Base Prueba'!A:D,4,),"NO REGISTRA")</f>
        <v>DOCENTE DE MEDIO TIEMPO</v>
      </c>
      <c r="E1030" s="5" t="str">
        <f>IFERROR(VLOOKUP(A1030,'Base Prueba'!A:E,5,),"NO REGISTRA")</f>
        <v>UNIDAD DE IDIOMAS</v>
      </c>
    </row>
    <row r="1031" spans="1:5" ht="15.75" x14ac:dyDescent="0.25">
      <c r="A1031" s="10">
        <v>7707244561283</v>
      </c>
      <c r="B1031" s="2">
        <v>46149.522228240741</v>
      </c>
      <c r="C1031" s="3" t="str">
        <f>IFERROR(VLOOKUP(A1031,'Base Prueba'!A:C,3,),"NO REGISTRA")</f>
        <v>NO REGISTRA</v>
      </c>
      <c r="D1031" s="4" t="str">
        <f>IFERROR(VLOOKUP(A1031,'Base Prueba'!A:D,4,),"NO REGISTRA")</f>
        <v>NO REGISTRA</v>
      </c>
      <c r="E1031" s="5" t="str">
        <f>IFERROR(VLOOKUP(A1031,'Base Prueba'!A:E,5,),"NO REGISTRA")</f>
        <v>NO REGISTRA</v>
      </c>
    </row>
    <row r="1032" spans="1:5" ht="15.75" x14ac:dyDescent="0.25">
      <c r="A1032" s="10">
        <v>7707244561283</v>
      </c>
      <c r="B1032" s="2">
        <v>46149.522326967592</v>
      </c>
      <c r="C1032" s="3" t="str">
        <f>IFERROR(VLOOKUP(A1032,'Base Prueba'!A:C,3,),"NO REGISTRA")</f>
        <v>NO REGISTRA</v>
      </c>
      <c r="D1032" s="4" t="str">
        <f>IFERROR(VLOOKUP(A1032,'Base Prueba'!A:D,4,),"NO REGISTRA")</f>
        <v>NO REGISTRA</v>
      </c>
      <c r="E1032" s="5" t="str">
        <f>IFERROR(VLOOKUP(A1032,'Base Prueba'!A:E,5,),"NO REGISTRA")</f>
        <v>NO REGISTRA</v>
      </c>
    </row>
    <row r="1033" spans="1:5" ht="15.75" x14ac:dyDescent="0.25">
      <c r="A1033" s="10">
        <v>1034279481</v>
      </c>
      <c r="B1033" s="2">
        <v>46149.522434143517</v>
      </c>
      <c r="C1033" s="3" t="str">
        <f>IFERROR(VLOOKUP(A1033,'Base Prueba'!A:C,3,),"NO REGISTRA")</f>
        <v>NO REGISTRA</v>
      </c>
      <c r="D1033" s="4" t="str">
        <f>IFERROR(VLOOKUP(A1033,'Base Prueba'!A:D,4,),"NO REGISTRA")</f>
        <v>NO REGISTRA</v>
      </c>
      <c r="E1033" s="5" t="str">
        <f>IFERROR(VLOOKUP(A1033,'Base Prueba'!A:E,5,),"NO REGISTRA")</f>
        <v>NO REGISTRA</v>
      </c>
    </row>
    <row r="1034" spans="1:5" ht="15.75" x14ac:dyDescent="0.25">
      <c r="A1034" s="10">
        <v>1019603886</v>
      </c>
      <c r="B1034" s="2">
        <v>46149.565208333333</v>
      </c>
      <c r="C1034" s="3" t="str">
        <f>IFERROR(VLOOKUP(A1034,'Base Prueba'!A:C,3,),"NO REGISTRA")</f>
        <v>NICOLAS ESPITIA CHACON</v>
      </c>
      <c r="D1034" s="4" t="str">
        <f>IFERROR(VLOOKUP(A1034,'Base Prueba'!A:D,4,),"NO REGISTRA")</f>
        <v>AUXILIAR DE RECURSOS ACADEMICOS</v>
      </c>
      <c r="E1034" s="5" t="str">
        <f>IFERROR(VLOOKUP(A1034,'Base Prueba'!A:E,5,),"NO REGISTRA")</f>
        <v>RECURSOS ACADEMICOS</v>
      </c>
    </row>
    <row r="1035" spans="1:5" ht="15.75" x14ac:dyDescent="0.25">
      <c r="A1035" s="10">
        <v>1018482392</v>
      </c>
      <c r="B1035" s="2">
        <v>46149.565356250001</v>
      </c>
      <c r="C1035" s="3" t="str">
        <f>IFERROR(VLOOKUP(A1035,'Base Prueba'!A:C,3,),"NO REGISTRA")</f>
        <v>RAQUEL YANETH SANDOVAL FORERO</v>
      </c>
      <c r="D1035" s="4" t="str">
        <f>IFERROR(VLOOKUP(A1035,'Base Prueba'!A:D,4,),"NO REGISTRA")</f>
        <v>AUXILIAR DE RECURSOS ACADEMICOS</v>
      </c>
      <c r="E1035" s="5" t="str">
        <f>IFERROR(VLOOKUP(A1035,'Base Prueba'!A:E,5,),"NO REGISTRA")</f>
        <v>RECURSOS ACADEMICOS</v>
      </c>
    </row>
    <row r="1036" spans="1:5" ht="15.75" x14ac:dyDescent="0.25">
      <c r="A1036" s="10">
        <v>248294</v>
      </c>
      <c r="B1036" s="2">
        <v>46149.670951157408</v>
      </c>
      <c r="C1036" s="3" t="str">
        <f>IFERROR(VLOOKUP(A1036,'Base Prueba'!A:C,3,),"NO REGISTRA")</f>
        <v>WALTER NATALIO VALDEZ MONTAÑEZ</v>
      </c>
      <c r="D1036" s="4" t="str">
        <f>IFERROR(VLOOKUP(A1036,'Base Prueba'!A:D,4,),"NO REGISTRA")</f>
        <v>DOCENTE DE TIEMPO COMPLETO</v>
      </c>
      <c r="E1036" s="5" t="str">
        <f>IFERROR(VLOOKUP(A1036,'Base Prueba'!A:E,5,),"NO REGISTRA")</f>
        <v>UNIVERSITARIO EN TURISMO Y GASTRONOMIA</v>
      </c>
    </row>
    <row r="1037" spans="1:5" ht="15.75" x14ac:dyDescent="0.25">
      <c r="A1037" s="10">
        <v>79473556</v>
      </c>
      <c r="B1037" s="2">
        <v>46149.74891736111</v>
      </c>
      <c r="C1037" s="3" t="str">
        <f>IFERROR(VLOOKUP(A1037,'Base Prueba'!A:C,3,),"NO REGISTRA")</f>
        <v>ARCADIO SOTO ROJAS</v>
      </c>
      <c r="D1037" s="4" t="str">
        <f>IFERROR(VLOOKUP(A1037,'Base Prueba'!A:D,4,),"NO REGISTRA")</f>
        <v>CATEDRATICO</v>
      </c>
      <c r="E1037" s="5" t="str">
        <f>IFERROR(VLOOKUP(A1037,'Base Prueba'!A:E,5,),"NO REGISTRA")</f>
        <v>ESPECIALIZACION EN GERENCIA DE SEGURIDAD INDUSTRIAL</v>
      </c>
    </row>
    <row r="1038" spans="1:5" ht="15.75" x14ac:dyDescent="0.25">
      <c r="A1038" s="10">
        <v>52850506</v>
      </c>
      <c r="B1038" s="2">
        <v>46149.765725115743</v>
      </c>
      <c r="C1038" s="3" t="str">
        <f>IFERROR(VLOOKUP(A1038,'Base Prueba'!A:C,3,),"NO REGISTRA")</f>
        <v>PAOLA ANDREA VASQUEZ FONSECA</v>
      </c>
      <c r="D1038" s="4" t="str">
        <f>IFERROR(VLOOKUP(A1038,'Base Prueba'!A:D,4,),"NO REGISTRA")</f>
        <v>DOCENTE DE TIEMPO COMPLETO</v>
      </c>
      <c r="E1038" s="5" t="str">
        <f>IFERROR(VLOOKUP(A1038,'Base Prueba'!A:E,5,),"NO REGISTRA")</f>
        <v>UNIVERSITARIO COMUNICACION SOCIAL</v>
      </c>
    </row>
    <row r="1039" spans="1:5" ht="15.75" x14ac:dyDescent="0.25">
      <c r="A1039" s="10">
        <v>52049956</v>
      </c>
      <c r="B1039" s="2">
        <v>46149.779695717596</v>
      </c>
      <c r="C1039" s="3" t="str">
        <f>IFERROR(VLOOKUP(A1039,'Base Prueba'!A:C,3,),"NO REGISTRA")</f>
        <v>ESPERANZA MORALES</v>
      </c>
      <c r="D1039" s="4" t="str">
        <f>IFERROR(VLOOKUP(A1039,'Base Prueba'!A:D,4,),"NO REGISTRA")</f>
        <v>DIRECTORA DE INFORMATICA Y TECNOLOGIA</v>
      </c>
      <c r="E1039" s="5" t="str">
        <f>IFERROR(VLOOKUP(A1039,'Base Prueba'!A:E,5,),"NO REGISTRA")</f>
        <v>DEPARTAMENTO DE INFORMATICA Y TECNOLOGIA</v>
      </c>
    </row>
    <row r="1040" spans="1:5" ht="15.75" x14ac:dyDescent="0.25">
      <c r="A1040" s="10">
        <v>79452150</v>
      </c>
      <c r="B1040" s="2">
        <v>46149.833678356481</v>
      </c>
      <c r="C1040" s="3" t="str">
        <f>IFERROR(VLOOKUP(A1040,'Base Prueba'!A:C,3,),"NO REGISTRA")</f>
        <v>JUAN CARLOS PAZ CUBILLOS</v>
      </c>
      <c r="D1040" s="4" t="str">
        <f>IFERROR(VLOOKUP(A1040,'Base Prueba'!A:D,4,),"NO REGISTRA")</f>
        <v>ANALISTA DE SISTEMAS</v>
      </c>
      <c r="E1040" s="5" t="str">
        <f>IFERROR(VLOOKUP(A1040,'Base Prueba'!A:E,5,),"NO REGISTRA")</f>
        <v>DEPARTAMENTO DE INFORMATICA Y TECNOLOGIA</v>
      </c>
    </row>
    <row r="1041" spans="1:5" ht="15.75" x14ac:dyDescent="0.25">
      <c r="A1041" s="10">
        <v>52850506</v>
      </c>
      <c r="B1041" s="2">
        <v>46149.837162731485</v>
      </c>
      <c r="C1041" s="3" t="str">
        <f>IFERROR(VLOOKUP(A1041,'Base Prueba'!A:C,3,),"NO REGISTRA")</f>
        <v>PAOLA ANDREA VASQUEZ FONSECA</v>
      </c>
      <c r="D1041" s="4" t="str">
        <f>IFERROR(VLOOKUP(A1041,'Base Prueba'!A:D,4,),"NO REGISTRA")</f>
        <v>DOCENTE DE TIEMPO COMPLETO</v>
      </c>
      <c r="E1041" s="5" t="str">
        <f>IFERROR(VLOOKUP(A1041,'Base Prueba'!A:E,5,),"NO REGISTRA")</f>
        <v>UNIVERSITARIO COMUNICACION SOCIAL</v>
      </c>
    </row>
    <row r="1042" spans="1:5" ht="15.75" x14ac:dyDescent="0.25">
      <c r="A1042" s="10">
        <v>1023897886</v>
      </c>
      <c r="B1042" s="2">
        <v>46149.852993171298</v>
      </c>
      <c r="C1042" s="3" t="str">
        <f>IFERROR(VLOOKUP(A1042,'Base Prueba'!A:C,3,),"NO REGISTRA")</f>
        <v>NO REGISTRA</v>
      </c>
      <c r="D1042" s="4" t="str">
        <f>IFERROR(VLOOKUP(A1042,'Base Prueba'!A:D,4,),"NO REGISTRA")</f>
        <v>NO REGISTRA</v>
      </c>
      <c r="E1042" s="5" t="str">
        <f>IFERROR(VLOOKUP(A1042,'Base Prueba'!A:E,5,),"NO REGISTRA")</f>
        <v>NO REGISTRA</v>
      </c>
    </row>
    <row r="1043" spans="1:5" ht="15.75" x14ac:dyDescent="0.25">
      <c r="A1043" s="10">
        <v>79473556</v>
      </c>
      <c r="B1043" s="2">
        <v>46149.892473032407</v>
      </c>
      <c r="C1043" s="3" t="str">
        <f>IFERROR(VLOOKUP(A1043,'Base Prueba'!A:C,3,),"NO REGISTRA")</f>
        <v>ARCADIO SOTO ROJAS</v>
      </c>
      <c r="D1043" s="4" t="str">
        <f>IFERROR(VLOOKUP(A1043,'Base Prueba'!A:D,4,),"NO REGISTRA")</f>
        <v>CATEDRATICO</v>
      </c>
      <c r="E1043" s="5" t="str">
        <f>IFERROR(VLOOKUP(A1043,'Base Prueba'!A:E,5,),"NO REGISTRA")</f>
        <v>ESPECIALIZACION EN GERENCIA DE SEGURIDAD INDUSTRIAL</v>
      </c>
    </row>
    <row r="1044" spans="1:5" ht="15.75" x14ac:dyDescent="0.25">
      <c r="A1044" s="10">
        <v>1019603886</v>
      </c>
      <c r="B1044" s="2">
        <v>46150.247563657409</v>
      </c>
      <c r="C1044" s="3" t="str">
        <f>IFERROR(VLOOKUP(A1044,'Base Prueba'!A:C,3,),"NO REGISTRA")</f>
        <v>NICOLAS ESPITIA CHACON</v>
      </c>
      <c r="D1044" s="4" t="str">
        <f>IFERROR(VLOOKUP(A1044,'Base Prueba'!A:D,4,),"NO REGISTRA")</f>
        <v>AUXILIAR DE RECURSOS ACADEMICOS</v>
      </c>
      <c r="E1044" s="5" t="str">
        <f>IFERROR(VLOOKUP(A1044,'Base Prueba'!A:E,5,),"NO REGISTRA")</f>
        <v>RECURSOS ACADEMICOS</v>
      </c>
    </row>
    <row r="1045" spans="1:5" ht="15.75" x14ac:dyDescent="0.25">
      <c r="A1045" s="10">
        <v>79484197</v>
      </c>
      <c r="B1045" s="2">
        <v>46150.275266666664</v>
      </c>
      <c r="C1045" s="3" t="str">
        <f>IFERROR(VLOOKUP(A1045,'Base Prueba'!A:C,3,),"NO REGISTRA")</f>
        <v>JOHN DANIEL GUTIERREZ BOADA</v>
      </c>
      <c r="D1045" s="4" t="str">
        <f>IFERROR(VLOOKUP(A1045,'Base Prueba'!A:D,4,),"NO REGISTRA")</f>
        <v>DOCENTE DE MEDIO TIEMPO</v>
      </c>
      <c r="E1045" s="5" t="str">
        <f>IFERROR(VLOOKUP(A1045,'Base Prueba'!A:E,5,),"NO REGISTRA")</f>
        <v>UNIVERSITARIO COMUNICACION SOCIAL</v>
      </c>
    </row>
    <row r="1046" spans="1:5" ht="15.75" x14ac:dyDescent="0.25">
      <c r="A1046" s="10">
        <v>1000218614</v>
      </c>
      <c r="B1046" s="2">
        <v>46150.322694560185</v>
      </c>
      <c r="C1046" s="3" t="str">
        <f>IFERROR(VLOOKUP(A1046,'Base Prueba'!A:C,3,),"NO REGISTRA")</f>
        <v>SEBASTIAN DAVID MELO DIAZ</v>
      </c>
      <c r="D1046" s="4" t="str">
        <f>IFERROR(VLOOKUP(A1046,'Base Prueba'!A:D,4,),"NO REGISTRA")</f>
        <v>ANALISTA DE SISTEMAS</v>
      </c>
      <c r="E1046" s="5" t="str">
        <f>IFERROR(VLOOKUP(A1046,'Base Prueba'!A:E,5,),"NO REGISTRA")</f>
        <v>DEPARTAMENTO DE INFORMATICA Y TECNOLOGIA</v>
      </c>
    </row>
    <row r="1047" spans="1:5" ht="15.75" x14ac:dyDescent="0.25">
      <c r="A1047" s="10">
        <v>1000611958</v>
      </c>
      <c r="B1047" s="2">
        <v>46150.333285763889</v>
      </c>
      <c r="C1047" s="3" t="str">
        <f>IFERROR(VLOOKUP(A1047,'Base Prueba'!A:C,3,),"NO REGISTRA")</f>
        <v>TYLER CORRADINE  VARGAS</v>
      </c>
      <c r="D1047" s="4" t="str">
        <f>IFERROR(VLOOKUP(A1047,'Base Prueba'!A:D,4,),"NO REGISTRA")</f>
        <v>APRENDIZ UNIVERSITARIO</v>
      </c>
      <c r="E1047" s="5" t="str">
        <f>IFERROR(VLOOKUP(A1047,'Base Prueba'!A:E,5,),"NO REGISTRA")</f>
        <v>DEPARTAMENTO DE INFORMATICA Y TECNOLOGIA</v>
      </c>
    </row>
    <row r="1048" spans="1:5" ht="15.75" x14ac:dyDescent="0.25">
      <c r="A1048" s="10">
        <v>52049956</v>
      </c>
      <c r="B1048" s="2">
        <v>46150.347847337966</v>
      </c>
      <c r="C1048" s="3" t="str">
        <f>IFERROR(VLOOKUP(A1048,'Base Prueba'!A:C,3,),"NO REGISTRA")</f>
        <v>ESPERANZA MORALES</v>
      </c>
      <c r="D1048" s="4" t="str">
        <f>IFERROR(VLOOKUP(A1048,'Base Prueba'!A:D,4,),"NO REGISTRA")</f>
        <v>DIRECTORA DE INFORMATICA Y TECNOLOGIA</v>
      </c>
      <c r="E1048" s="5" t="str">
        <f>IFERROR(VLOOKUP(A1048,'Base Prueba'!A:E,5,),"NO REGISTRA")</f>
        <v>DEPARTAMENTO DE INFORMATICA Y TECNOLOGIA</v>
      </c>
    </row>
    <row r="1049" spans="1:5" ht="15.75" x14ac:dyDescent="0.25">
      <c r="A1049" s="10">
        <v>85437910</v>
      </c>
      <c r="B1049" s="2">
        <v>46150.348408333331</v>
      </c>
      <c r="C1049" s="3" t="str">
        <f>IFERROR(VLOOKUP(A1049,'Base Prueba'!A:C,3,),"NO REGISTRA")</f>
        <v>EDGAR JOSE PISCIOTTI LEON</v>
      </c>
      <c r="D1049" s="4" t="str">
        <f>IFERROR(VLOOKUP(A1049,'Base Prueba'!A:D,4,),"NO REGISTRA")</f>
        <v>DOCENTE DE MEDIO TIEMPO</v>
      </c>
      <c r="E1049" s="5" t="str">
        <f>IFERROR(VLOOKUP(A1049,'Base Prueba'!A:E,5,),"NO REGISTRA")</f>
        <v>TECNOLOGIA EN COMERCIO Y NEGOCIOS INTERNACIONALES</v>
      </c>
    </row>
    <row r="1050" spans="1:5" ht="15.75" x14ac:dyDescent="0.25">
      <c r="A1050" s="10">
        <v>1022378300</v>
      </c>
      <c r="B1050" s="2">
        <v>46150.349949884258</v>
      </c>
      <c r="C1050" s="3" t="str">
        <f>IFERROR(VLOOKUP(A1050,'Base Prueba'!A:C,3,),"NO REGISTRA")</f>
        <v>FERNEY ANDRES CHASPUENGAL RAMIREZ</v>
      </c>
      <c r="D1050" s="4" t="str">
        <f>IFERROR(VLOOKUP(A1050,'Base Prueba'!A:D,4,),"NO REGISTRA")</f>
        <v>LÍDER DE DEPORTE Y CULTURA</v>
      </c>
      <c r="E1050" s="5" t="str">
        <f>IFERROR(VLOOKUP(A1050,'Base Prueba'!A:E,5,),"NO REGISTRA")</f>
        <v>DIRECCION DE BIENESTAR INSTITUCIONAL</v>
      </c>
    </row>
    <row r="1051" spans="1:5" ht="15.75" x14ac:dyDescent="0.25">
      <c r="A1051" s="10">
        <v>79484197</v>
      </c>
      <c r="B1051" s="2">
        <v>46150.409164814817</v>
      </c>
      <c r="C1051" s="3" t="str">
        <f>IFERROR(VLOOKUP(A1051,'Base Prueba'!A:C,3,),"NO REGISTRA")</f>
        <v>JOHN DANIEL GUTIERREZ BOADA</v>
      </c>
      <c r="D1051" s="4" t="str">
        <f>IFERROR(VLOOKUP(A1051,'Base Prueba'!A:D,4,),"NO REGISTRA")</f>
        <v>DOCENTE DE MEDIO TIEMPO</v>
      </c>
      <c r="E1051" s="5" t="str">
        <f>IFERROR(VLOOKUP(A1051,'Base Prueba'!A:E,5,),"NO REGISTRA")</f>
        <v>UNIVERSITARIO COMUNICACION SOCIAL</v>
      </c>
    </row>
    <row r="1052" spans="1:5" ht="15.75" x14ac:dyDescent="0.25">
      <c r="A1052" s="10">
        <v>1019603886</v>
      </c>
      <c r="B1052" s="2">
        <v>46150.562547106485</v>
      </c>
      <c r="C1052" s="3" t="str">
        <f>IFERROR(VLOOKUP(A1052,'Base Prueba'!A:C,3,),"NO REGISTRA")</f>
        <v>NICOLAS ESPITIA CHACON</v>
      </c>
      <c r="D1052" s="4" t="str">
        <f>IFERROR(VLOOKUP(A1052,'Base Prueba'!A:D,4,),"NO REGISTRA")</f>
        <v>AUXILIAR DE RECURSOS ACADEMICOS</v>
      </c>
      <c r="E1052" s="5" t="str">
        <f>IFERROR(VLOOKUP(A1052,'Base Prueba'!A:E,5,),"NO REGISTRA")</f>
        <v>RECURSOS ACADEMICOS</v>
      </c>
    </row>
    <row r="1053" spans="1:5" ht="15.75" x14ac:dyDescent="0.25">
      <c r="A1053" s="10">
        <v>248294</v>
      </c>
      <c r="B1053" s="2">
        <v>46150.671205555554</v>
      </c>
      <c r="C1053" s="3" t="str">
        <f>IFERROR(VLOOKUP(A1053,'Base Prueba'!A:C,3,),"NO REGISTRA")</f>
        <v>WALTER NATALIO VALDEZ MONTAÑEZ</v>
      </c>
      <c r="D1053" s="4" t="str">
        <f>IFERROR(VLOOKUP(A1053,'Base Prueba'!A:D,4,),"NO REGISTRA")</f>
        <v>DOCENTE DE TIEMPO COMPLETO</v>
      </c>
      <c r="E1053" s="5" t="str">
        <f>IFERROR(VLOOKUP(A1053,'Base Prueba'!A:E,5,),"NO REGISTRA")</f>
        <v>UNIVERSITARIO EN TURISMO Y GASTRONOMIA</v>
      </c>
    </row>
    <row r="1054" spans="1:5" ht="15.75" x14ac:dyDescent="0.25">
      <c r="A1054" s="10">
        <v>79473556</v>
      </c>
      <c r="B1054" s="2">
        <v>46150.753177662038</v>
      </c>
      <c r="C1054" s="3" t="str">
        <f>IFERROR(VLOOKUP(A1054,'Base Prueba'!A:C,3,),"NO REGISTRA")</f>
        <v>ARCADIO SOTO ROJAS</v>
      </c>
      <c r="D1054" s="4" t="str">
        <f>IFERROR(VLOOKUP(A1054,'Base Prueba'!A:D,4,),"NO REGISTRA")</f>
        <v>CATEDRATICO</v>
      </c>
      <c r="E1054" s="5" t="str">
        <f>IFERROR(VLOOKUP(A1054,'Base Prueba'!A:E,5,),"NO REGISTRA")</f>
        <v>ESPECIALIZACION EN GERENCIA DE SEGURIDAD INDUSTRIAL</v>
      </c>
    </row>
    <row r="1055" spans="1:5" ht="15.75" x14ac:dyDescent="0.25">
      <c r="A1055" s="10">
        <v>1032401971</v>
      </c>
      <c r="B1055" s="2">
        <v>46150.760307175929</v>
      </c>
      <c r="C1055" s="3" t="str">
        <f>IFERROR(VLOOKUP(A1055,'Base Prueba'!A:C,3,),"NO REGISTRA")</f>
        <v>ANDRYU ENRIQUE MENDOZA BELTRAN</v>
      </c>
      <c r="D1055" s="4" t="str">
        <f>IFERROR(VLOOKUP(A1055,'Base Prueba'!A:D,4,),"NO REGISTRA")</f>
        <v>DOCENTE DE TIEMPO COMPLETO</v>
      </c>
      <c r="E1055" s="5" t="str">
        <f>IFERROR(VLOOKUP(A1055,'Base Prueba'!A:E,5,),"NO REGISTRA")</f>
        <v>UNIVERSITARIO ADMINISTRACION DE EMPRESAS</v>
      </c>
    </row>
    <row r="1056" spans="1:5" ht="15.75" x14ac:dyDescent="0.25">
      <c r="A1056" s="10">
        <v>80059783</v>
      </c>
      <c r="B1056" s="2">
        <v>46150.763530671298</v>
      </c>
      <c r="C1056" s="3" t="str">
        <f>IFERROR(VLOOKUP(A1056,'Base Prueba'!A:C,3,),"NO REGISTRA")</f>
        <v>JAIRO FABIAN RIVERA RUBIANO</v>
      </c>
      <c r="D1056" s="4" t="str">
        <f>IFERROR(VLOOKUP(A1056,'Base Prueba'!A:D,4,),"NO REGISTRA")</f>
        <v>DOCENTE DE MEDIO TIEMPO</v>
      </c>
      <c r="E1056" s="5" t="str">
        <f>IFERROR(VLOOKUP(A1056,'Base Prueba'!A:E,5,),"NO REGISTRA")</f>
        <v>TECNOLOGIA EN ADMINISTRACION DEL TALENTO HUMANO</v>
      </c>
    </row>
    <row r="1057" spans="1:5" ht="15.75" x14ac:dyDescent="0.25">
      <c r="A1057" s="10">
        <v>52049956</v>
      </c>
      <c r="B1057" s="2">
        <v>46150.819917939814</v>
      </c>
      <c r="C1057" s="3" t="str">
        <f>IFERROR(VLOOKUP(A1057,'Base Prueba'!A:C,3,),"NO REGISTRA")</f>
        <v>ESPERANZA MORALES</v>
      </c>
      <c r="D1057" s="4" t="str">
        <f>IFERROR(VLOOKUP(A1057,'Base Prueba'!A:D,4,),"NO REGISTRA")</f>
        <v>DIRECTORA DE INFORMATICA Y TECNOLOGIA</v>
      </c>
      <c r="E1057" s="5" t="str">
        <f>IFERROR(VLOOKUP(A1057,'Base Prueba'!A:E,5,),"NO REGISTRA")</f>
        <v>DEPARTAMENTO DE INFORMATICA Y TECNOLOGIA</v>
      </c>
    </row>
    <row r="1058" spans="1:5" ht="15.75" x14ac:dyDescent="0.25">
      <c r="A1058" s="10">
        <v>79452150</v>
      </c>
      <c r="B1058" s="2">
        <v>46150.833345949075</v>
      </c>
      <c r="C1058" s="3" t="str">
        <f>IFERROR(VLOOKUP(A1058,'Base Prueba'!A:C,3,),"NO REGISTRA")</f>
        <v>JUAN CARLOS PAZ CUBILLOS</v>
      </c>
      <c r="D1058" s="4" t="str">
        <f>IFERROR(VLOOKUP(A1058,'Base Prueba'!A:D,4,),"NO REGISTRA")</f>
        <v>ANALISTA DE SISTEMAS</v>
      </c>
      <c r="E1058" s="5" t="str">
        <f>IFERROR(VLOOKUP(A1058,'Base Prueba'!A:E,5,),"NO REGISTRA")</f>
        <v>DEPARTAMENTO DE INFORMATICA Y TECNOLOGIA</v>
      </c>
    </row>
    <row r="1059" spans="1:5" ht="15.75" x14ac:dyDescent="0.25">
      <c r="A1059" s="10">
        <v>79473556</v>
      </c>
      <c r="B1059" s="2">
        <v>46150.890221759262</v>
      </c>
      <c r="C1059" s="3" t="str">
        <f>IFERROR(VLOOKUP(A1059,'Base Prueba'!A:C,3,),"NO REGISTRA")</f>
        <v>ARCADIO SOTO ROJAS</v>
      </c>
      <c r="D1059" s="4" t="str">
        <f>IFERROR(VLOOKUP(A1059,'Base Prueba'!A:D,4,),"NO REGISTRA")</f>
        <v>CATEDRATICO</v>
      </c>
      <c r="E1059" s="5" t="str">
        <f>IFERROR(VLOOKUP(A1059,'Base Prueba'!A:E,5,),"NO REGISTRA")</f>
        <v>ESPECIALIZACION EN GERENCIA DE SEGURIDAD INDUSTRIAL</v>
      </c>
    </row>
    <row r="1060" spans="1:5" ht="15.75" x14ac:dyDescent="0.25">
      <c r="A1060" s="10">
        <v>79484197</v>
      </c>
      <c r="B1060" s="2">
        <v>46151.276639236108</v>
      </c>
      <c r="C1060" s="3" t="str">
        <f>IFERROR(VLOOKUP(A1060,'Base Prueba'!A:C,3,),"NO REGISTRA")</f>
        <v>JOHN DANIEL GUTIERREZ BOADA</v>
      </c>
      <c r="D1060" s="4" t="str">
        <f>IFERROR(VLOOKUP(A1060,'Base Prueba'!A:D,4,),"NO REGISTRA")</f>
        <v>DOCENTE DE MEDIO TIEMPO</v>
      </c>
      <c r="E1060" s="5" t="str">
        <f>IFERROR(VLOOKUP(A1060,'Base Prueba'!A:E,5,),"NO REGISTRA")</f>
        <v>UNIVERSITARIO COMUNICACION SOCIAL</v>
      </c>
    </row>
    <row r="1061" spans="1:5" ht="15.75" x14ac:dyDescent="0.25">
      <c r="A1061" s="10">
        <v>80059783</v>
      </c>
      <c r="B1061" s="2">
        <v>46151.284024421293</v>
      </c>
      <c r="C1061" s="3" t="str">
        <f>IFERROR(VLOOKUP(A1061,'Base Prueba'!A:C,3,),"NO REGISTRA")</f>
        <v>JAIRO FABIAN RIVERA RUBIANO</v>
      </c>
      <c r="D1061" s="4" t="str">
        <f>IFERROR(VLOOKUP(A1061,'Base Prueba'!A:D,4,),"NO REGISTRA")</f>
        <v>DOCENTE DE MEDIO TIEMPO</v>
      </c>
      <c r="E1061" s="5" t="str">
        <f>IFERROR(VLOOKUP(A1061,'Base Prueba'!A:E,5,),"NO REGISTRA")</f>
        <v>TECNOLOGIA EN ADMINISTRACION DEL TALENTO HUMANO</v>
      </c>
    </row>
    <row r="1062" spans="1:5" ht="15.75" x14ac:dyDescent="0.25">
      <c r="A1062" s="10">
        <v>80778198</v>
      </c>
      <c r="B1062" s="2">
        <v>46151.291044212965</v>
      </c>
      <c r="C1062" s="3" t="str">
        <f>IFERROR(VLOOKUP(A1062,'Base Prueba'!A:C,3,),"NO REGISTRA")</f>
        <v>JIMY JAVIER ALDANA REYES</v>
      </c>
      <c r="D1062" s="4" t="str">
        <f>IFERROR(VLOOKUP(A1062,'Base Prueba'!A:D,4,),"NO REGISTRA")</f>
        <v>DOCENTE DE TIEMPO COMPLETO</v>
      </c>
      <c r="E1062" s="5" t="str">
        <f>IFERROR(VLOOKUP(A1062,'Base Prueba'!A:E,5,),"NO REGISTRA")</f>
        <v>INGENIERIA DE SOFTWARE</v>
      </c>
    </row>
    <row r="1063" spans="1:5" ht="15.75" x14ac:dyDescent="0.25">
      <c r="A1063" s="10">
        <v>52850506</v>
      </c>
      <c r="B1063" s="2">
        <v>46151.307197106478</v>
      </c>
      <c r="C1063" s="3" t="str">
        <f>IFERROR(VLOOKUP(A1063,'Base Prueba'!A:C,3,),"NO REGISTRA")</f>
        <v>PAOLA ANDREA VASQUEZ FONSECA</v>
      </c>
      <c r="D1063" s="4" t="str">
        <f>IFERROR(VLOOKUP(A1063,'Base Prueba'!A:D,4,),"NO REGISTRA")</f>
        <v>DOCENTE DE TIEMPO COMPLETO</v>
      </c>
      <c r="E1063" s="5" t="str">
        <f>IFERROR(VLOOKUP(A1063,'Base Prueba'!A:E,5,),"NO REGISTRA")</f>
        <v>UNIVERSITARIO COMUNICACION SOCIAL</v>
      </c>
    </row>
    <row r="1064" spans="1:5" ht="15.75" x14ac:dyDescent="0.25">
      <c r="A1064" s="10">
        <v>85437910</v>
      </c>
      <c r="B1064" s="2">
        <v>46151.319716782411</v>
      </c>
      <c r="C1064" s="3" t="str">
        <f>IFERROR(VLOOKUP(A1064,'Base Prueba'!A:C,3,),"NO REGISTRA")</f>
        <v>EDGAR JOSE PISCIOTTI LEON</v>
      </c>
      <c r="D1064" s="4" t="str">
        <f>IFERROR(VLOOKUP(A1064,'Base Prueba'!A:D,4,),"NO REGISTRA")</f>
        <v>DOCENTE DE MEDIO TIEMPO</v>
      </c>
      <c r="E1064" s="5" t="str">
        <f>IFERROR(VLOOKUP(A1064,'Base Prueba'!A:E,5,),"NO REGISTRA")</f>
        <v>TECNOLOGIA EN COMERCIO Y NEGOCIOS INTERNACIONALES</v>
      </c>
    </row>
    <row r="1065" spans="1:5" ht="15.75" x14ac:dyDescent="0.25">
      <c r="A1065" s="10">
        <v>52049956</v>
      </c>
      <c r="B1065" s="2">
        <v>46151.349388078706</v>
      </c>
      <c r="C1065" s="3" t="str">
        <f>IFERROR(VLOOKUP(A1065,'Base Prueba'!A:C,3,),"NO REGISTRA")</f>
        <v>ESPERANZA MORALES</v>
      </c>
      <c r="D1065" s="4" t="str">
        <f>IFERROR(VLOOKUP(A1065,'Base Prueba'!A:D,4,),"NO REGISTRA")</f>
        <v>DIRECTORA DE INFORMATICA Y TECNOLOGIA</v>
      </c>
      <c r="E1065" s="5" t="str">
        <f>IFERROR(VLOOKUP(A1065,'Base Prueba'!A:E,5,),"NO REGISTRA")</f>
        <v>DEPARTAMENTO DE INFORMATICA Y TECNOLOGIA</v>
      </c>
    </row>
    <row r="1066" spans="1:5" ht="15.75" x14ac:dyDescent="0.25">
      <c r="A1066" s="10">
        <v>52850506</v>
      </c>
      <c r="B1066" s="2">
        <v>46151.427379629633</v>
      </c>
      <c r="C1066" s="3" t="str">
        <f>IFERROR(VLOOKUP(A1066,'Base Prueba'!A:C,3,),"NO REGISTRA")</f>
        <v>PAOLA ANDREA VASQUEZ FONSECA</v>
      </c>
      <c r="D1066" s="4" t="str">
        <f>IFERROR(VLOOKUP(A1066,'Base Prueba'!A:D,4,),"NO REGISTRA")</f>
        <v>DOCENTE DE TIEMPO COMPLETO</v>
      </c>
      <c r="E1066" s="5" t="str">
        <f>IFERROR(VLOOKUP(A1066,'Base Prueba'!A:E,5,),"NO REGISTRA")</f>
        <v>UNIVERSITARIO COMUNICACION SOCIAL</v>
      </c>
    </row>
    <row r="1067" spans="1:5" ht="15.75" x14ac:dyDescent="0.25">
      <c r="A1067" s="10">
        <v>79522309</v>
      </c>
      <c r="B1067" s="2">
        <v>46151.504412152775</v>
      </c>
      <c r="C1067" s="3" t="str">
        <f>IFERROR(VLOOKUP(A1067,'Base Prueba'!A:C,3,),"NO REGISTRA")</f>
        <v>JULIAN ARTURO PUIN MANRIQUE</v>
      </c>
      <c r="D1067" s="4" t="str">
        <f>IFERROR(VLOOKUP(A1067,'Base Prueba'!A:D,4,),"NO REGISTRA")</f>
        <v>DOCENTE DE MEDIO TIEMPO</v>
      </c>
      <c r="E1067" s="5" t="str">
        <f>IFERROR(VLOOKUP(A1067,'Base Prueba'!A:E,5,),"NO REGISTRA")</f>
        <v>TECNOLOGIA EN SEGURIDAD Y SALUD EN EL TRABAJO</v>
      </c>
    </row>
    <row r="1068" spans="1:5" ht="15.75" x14ac:dyDescent="0.25">
      <c r="A1068" s="10">
        <v>1019603886</v>
      </c>
      <c r="B1068" s="2">
        <v>46151.525690509261</v>
      </c>
      <c r="C1068" s="3" t="str">
        <f>IFERROR(VLOOKUP(A1068,'Base Prueba'!A:C,3,),"NO REGISTRA")</f>
        <v>NICOLAS ESPITIA CHACON</v>
      </c>
      <c r="D1068" s="4" t="str">
        <f>IFERROR(VLOOKUP(A1068,'Base Prueba'!A:D,4,),"NO REGISTRA")</f>
        <v>AUXILIAR DE RECURSOS ACADEMICOS</v>
      </c>
      <c r="E1068" s="5" t="str">
        <f>IFERROR(VLOOKUP(A1068,'Base Prueba'!A:E,5,),"NO REGISTRA")</f>
        <v>RECURSOS ACADEMICOS</v>
      </c>
    </row>
    <row r="1069" spans="1:5" ht="15.75" x14ac:dyDescent="0.25">
      <c r="A1069" s="10">
        <v>1023950000</v>
      </c>
      <c r="B1069" s="2">
        <v>46151.572006944443</v>
      </c>
      <c r="C1069" s="3" t="str">
        <f>IFERROR(VLOOKUP(A1069,'Base Prueba'!A:C,3,),"NO REGISTRA")</f>
        <v>ANGELA MARIA AYALA GONZALEZ</v>
      </c>
      <c r="D1069" s="4" t="str">
        <f>IFERROR(VLOOKUP(A1069,'Base Prueba'!A:D,4,),"NO REGISTRA")</f>
        <v>DOCENTE DE MEDIO TIEMPO</v>
      </c>
      <c r="E1069" s="5" t="str">
        <f>IFERROR(VLOOKUP(A1069,'Base Prueba'!A:E,5,),"NO REGISTRA")</f>
        <v>CIENCIAS DE LA INFORMACION Y BIBLIOTECOLOGIA</v>
      </c>
    </row>
    <row r="1070" spans="1:5" ht="15.75" x14ac:dyDescent="0.25">
      <c r="A1070" s="10">
        <v>52049956</v>
      </c>
      <c r="B1070" s="2">
        <v>46151.588603124997</v>
      </c>
      <c r="C1070" s="3" t="str">
        <f>IFERROR(VLOOKUP(A1070,'Base Prueba'!A:C,3,),"NO REGISTRA")</f>
        <v>ESPERANZA MORALES</v>
      </c>
      <c r="D1070" s="4" t="str">
        <f>IFERROR(VLOOKUP(A1070,'Base Prueba'!A:D,4,),"NO REGISTRA")</f>
        <v>DIRECTORA DE INFORMATICA Y TECNOLOGIA</v>
      </c>
      <c r="E1070" s="5" t="str">
        <f>IFERROR(VLOOKUP(A1070,'Base Prueba'!A:E,5,),"NO REGISTRA")</f>
        <v>DEPARTAMENTO DE INFORMATICA Y TECNOLOGIA</v>
      </c>
    </row>
    <row r="1071" spans="1:5" ht="15.75" x14ac:dyDescent="0.25">
      <c r="A1071" s="10">
        <v>79484197</v>
      </c>
      <c r="B1071" s="2">
        <v>46151.667358564817</v>
      </c>
      <c r="C1071" s="3" t="str">
        <f>IFERROR(VLOOKUP(A1071,'Base Prueba'!A:C,3,),"NO REGISTRA")</f>
        <v>JOHN DANIEL GUTIERREZ BOADA</v>
      </c>
      <c r="D1071" s="4" t="str">
        <f>IFERROR(VLOOKUP(A1071,'Base Prueba'!A:D,4,),"NO REGISTRA")</f>
        <v>DOCENTE DE MEDIO TIEMPO</v>
      </c>
      <c r="E1071" s="5" t="str">
        <f>IFERROR(VLOOKUP(A1071,'Base Prueba'!A:E,5,),"NO REGISTRA")</f>
        <v>UNIVERSITARIO COMUNICACION SOCIAL</v>
      </c>
    </row>
    <row r="1072" spans="1:5" ht="15.75" x14ac:dyDescent="0.25">
      <c r="A1072" s="10">
        <v>1032401971</v>
      </c>
      <c r="B1072" s="2">
        <v>46151.700032523149</v>
      </c>
      <c r="C1072" s="3" t="str">
        <f>IFERROR(VLOOKUP(A1072,'Base Prueba'!A:C,3,),"NO REGISTRA")</f>
        <v>ANDRYU ENRIQUE MENDOZA BELTRAN</v>
      </c>
      <c r="D1072" s="4" t="str">
        <f>IFERROR(VLOOKUP(A1072,'Base Prueba'!A:D,4,),"NO REGISTRA")</f>
        <v>DOCENTE DE TIEMPO COMPLETO</v>
      </c>
      <c r="E1072" s="5" t="str">
        <f>IFERROR(VLOOKUP(A1072,'Base Prueba'!A:E,5,),"NO REGISTRA")</f>
        <v>UNIVERSITARIO ADMINISTRACION DE EMPRESAS</v>
      </c>
    </row>
    <row r="1073" spans="1:5" ht="15.75" x14ac:dyDescent="0.25">
      <c r="A1073" s="10">
        <v>1033762993</v>
      </c>
      <c r="B1073" s="2">
        <v>46151.71194710648</v>
      </c>
      <c r="C1073" s="3" t="str">
        <f>IFERROR(VLOOKUP(A1073,'Base Prueba'!A:C,3,),"NO REGISTRA")</f>
        <v>DIEGO FERNANDO MEDINA PEREZ</v>
      </c>
      <c r="D1073" s="4" t="str">
        <f>IFERROR(VLOOKUP(A1073,'Base Prueba'!A:D,4,),"NO REGISTRA")</f>
        <v>DOCENTE DE MEDIO TIEMPO</v>
      </c>
      <c r="E1073" s="5" t="str">
        <f>IFERROR(VLOOKUP(A1073,'Base Prueba'!A:E,5,),"NO REGISTRA")</f>
        <v>UNIDAD DE IDIOMAS</v>
      </c>
    </row>
    <row r="1074" spans="1:5" ht="15.75" x14ac:dyDescent="0.25">
      <c r="A1074" s="10">
        <v>248294</v>
      </c>
      <c r="B1074" s="2">
        <v>46151.722998148151</v>
      </c>
      <c r="C1074" s="3" t="str">
        <f>IFERROR(VLOOKUP(A1074,'Base Prueba'!A:C,3,),"NO REGISTRA")</f>
        <v>WALTER NATALIO VALDEZ MONTAÑEZ</v>
      </c>
      <c r="D1074" s="4" t="str">
        <f>IFERROR(VLOOKUP(A1074,'Base Prueba'!A:D,4,),"NO REGISTRA")</f>
        <v>DOCENTE DE TIEMPO COMPLETO</v>
      </c>
      <c r="E1074" s="5" t="str">
        <f>IFERROR(VLOOKUP(A1074,'Base Prueba'!A:E,5,),"NO REGISTRA")</f>
        <v>UNIVERSITARIO EN TURISMO Y GASTRONOMIA</v>
      </c>
    </row>
    <row r="1075" spans="1:5" ht="15.75" x14ac:dyDescent="0.25">
      <c r="A1075" s="10">
        <v>1019125716</v>
      </c>
      <c r="B1075" s="2">
        <v>46151.785853935187</v>
      </c>
      <c r="C1075" s="3" t="str">
        <f>IFERROR(VLOOKUP(A1075,'Base Prueba'!A:C,3,),"NO REGISTRA")</f>
        <v>GINA PAOLA ALZATE ARISTIZABAL</v>
      </c>
      <c r="D1075" s="4" t="str">
        <f>IFERROR(VLOOKUP(A1075,'Base Prueba'!A:D,4,),"NO REGISTRA")</f>
        <v>DOCENTE DE MEDIO TIEMPO</v>
      </c>
      <c r="E1075" s="5" t="str">
        <f>IFERROR(VLOOKUP(A1075,'Base Prueba'!A:E,5,),"NO REGISTRA")</f>
        <v>UNIDAD DE IDIOMAS</v>
      </c>
    </row>
    <row r="1076" spans="1:5" ht="15.75" x14ac:dyDescent="0.25">
      <c r="A1076" s="10">
        <v>1019603886</v>
      </c>
      <c r="B1076" s="2">
        <v>46153.25521909722</v>
      </c>
      <c r="C1076" s="3" t="str">
        <f>IFERROR(VLOOKUP(A1076,'Base Prueba'!A:C,3,),"NO REGISTRA")</f>
        <v>NICOLAS ESPITIA CHACON</v>
      </c>
      <c r="D1076" s="4" t="str">
        <f>IFERROR(VLOOKUP(A1076,'Base Prueba'!A:D,4,),"NO REGISTRA")</f>
        <v>AUXILIAR DE RECURSOS ACADEMICOS</v>
      </c>
      <c r="E1076" s="5" t="str">
        <f>IFERROR(VLOOKUP(A1076,'Base Prueba'!A:E,5,),"NO REGISTRA")</f>
        <v>RECURSOS ACADEMICOS</v>
      </c>
    </row>
    <row r="1077" spans="1:5" ht="15.75" x14ac:dyDescent="0.25">
      <c r="A1077" s="10">
        <v>51555582</v>
      </c>
      <c r="B1077" s="2">
        <v>46153.294780208336</v>
      </c>
      <c r="C1077" s="3" t="str">
        <f>IFERROR(VLOOKUP(A1077,'Base Prueba'!A:C,3,),"NO REGISTRA")</f>
        <v>MARTHA CECILIA VIDAL ARIZABALETA</v>
      </c>
      <c r="D1077" s="4" t="str">
        <f>IFERROR(VLOOKUP(A1077,'Base Prueba'!A:D,4,),"NO REGISTRA")</f>
        <v>DOCENTE DE MEDIO TIEMPO</v>
      </c>
      <c r="E1077" s="5" t="str">
        <f>IFERROR(VLOOKUP(A1077,'Base Prueba'!A:E,5,),"NO REGISTRA")</f>
        <v>INGENIERIA DE SOFTWARE</v>
      </c>
    </row>
    <row r="1078" spans="1:5" ht="15.75" x14ac:dyDescent="0.25">
      <c r="A1078" s="10">
        <v>52049956</v>
      </c>
      <c r="B1078" s="2">
        <v>46153.361101620372</v>
      </c>
      <c r="C1078" s="3" t="str">
        <f>IFERROR(VLOOKUP(A1078,'Base Prueba'!A:C,3,),"NO REGISTRA")</f>
        <v>ESPERANZA MORALES</v>
      </c>
      <c r="D1078" s="4" t="str">
        <f>IFERROR(VLOOKUP(A1078,'Base Prueba'!A:D,4,),"NO REGISTRA")</f>
        <v>DIRECTORA DE INFORMATICA Y TECNOLOGIA</v>
      </c>
      <c r="E1078" s="5" t="str">
        <f>IFERROR(VLOOKUP(A1078,'Base Prueba'!A:E,5,),"NO REGISTRA")</f>
        <v>DEPARTAMENTO DE INFORMATICA Y TECNOLOGIA</v>
      </c>
    </row>
    <row r="1079" spans="1:5" ht="15.75" x14ac:dyDescent="0.25">
      <c r="A1079" s="10">
        <v>80778198</v>
      </c>
      <c r="B1079" s="2">
        <v>46153.368032523147</v>
      </c>
      <c r="C1079" s="3" t="str">
        <f>IFERROR(VLOOKUP(A1079,'Base Prueba'!A:C,3,),"NO REGISTRA")</f>
        <v>JIMY JAVIER ALDANA REYES</v>
      </c>
      <c r="D1079" s="4" t="str">
        <f>IFERROR(VLOOKUP(A1079,'Base Prueba'!A:D,4,),"NO REGISTRA")</f>
        <v>DOCENTE DE TIEMPO COMPLETO</v>
      </c>
      <c r="E1079" s="5" t="str">
        <f>IFERROR(VLOOKUP(A1079,'Base Prueba'!A:E,5,),"NO REGISTRA")</f>
        <v>INGENIERIA DE SOFTWARE</v>
      </c>
    </row>
    <row r="1080" spans="1:5" ht="15.75" x14ac:dyDescent="0.25">
      <c r="A1080" s="10">
        <v>51555582</v>
      </c>
      <c r="B1080" s="2">
        <v>46153.383308796299</v>
      </c>
      <c r="C1080" s="3" t="str">
        <f>IFERROR(VLOOKUP(A1080,'Base Prueba'!A:C,3,),"NO REGISTRA")</f>
        <v>MARTHA CECILIA VIDAL ARIZABALETA</v>
      </c>
      <c r="D1080" s="4" t="str">
        <f>IFERROR(VLOOKUP(A1080,'Base Prueba'!A:D,4,),"NO REGISTRA")</f>
        <v>DOCENTE DE MEDIO TIEMPO</v>
      </c>
      <c r="E1080" s="5" t="str">
        <f>IFERROR(VLOOKUP(A1080,'Base Prueba'!A:E,5,),"NO REGISTRA")</f>
        <v>INGENIERIA DE SOFTWARE</v>
      </c>
    </row>
    <row r="1081" spans="1:5" ht="15.75" x14ac:dyDescent="0.25">
      <c r="A1081" s="10">
        <v>85437910</v>
      </c>
      <c r="B1081" s="2">
        <v>46153.388413541667</v>
      </c>
      <c r="C1081" s="3" t="str">
        <f>IFERROR(VLOOKUP(A1081,'Base Prueba'!A:C,3,),"NO REGISTRA")</f>
        <v>EDGAR JOSE PISCIOTTI LEON</v>
      </c>
      <c r="D1081" s="4" t="str">
        <f>IFERROR(VLOOKUP(A1081,'Base Prueba'!A:D,4,),"NO REGISTRA")</f>
        <v>DOCENTE DE MEDIO TIEMPO</v>
      </c>
      <c r="E1081" s="5" t="str">
        <f>IFERROR(VLOOKUP(A1081,'Base Prueba'!A:E,5,),"NO REGISTRA")</f>
        <v>TECNOLOGIA EN COMERCIO Y NEGOCIOS INTERNACIONALES</v>
      </c>
    </row>
    <row r="1082" spans="1:5" ht="15.75" x14ac:dyDescent="0.25">
      <c r="A1082" s="10">
        <v>1018482392</v>
      </c>
      <c r="B1082" s="2">
        <v>46153.564525347225</v>
      </c>
      <c r="C1082" s="3" t="str">
        <f>IFERROR(VLOOKUP(A1082,'Base Prueba'!A:C,3,),"NO REGISTRA")</f>
        <v>RAQUEL YANETH SANDOVAL FORERO</v>
      </c>
      <c r="D1082" s="4" t="str">
        <f>IFERROR(VLOOKUP(A1082,'Base Prueba'!A:D,4,),"NO REGISTRA")</f>
        <v>AUXILIAR DE RECURSOS ACADEMICOS</v>
      </c>
      <c r="E1082" s="5" t="str">
        <f>IFERROR(VLOOKUP(A1082,'Base Prueba'!A:E,5,),"NO REGISTRA")</f>
        <v>RECURSOS ACADEMICOS</v>
      </c>
    </row>
    <row r="1083" spans="1:5" ht="15.75" x14ac:dyDescent="0.25">
      <c r="A1083" s="10">
        <v>1019603886</v>
      </c>
      <c r="B1083" s="2">
        <v>46153.564558796294</v>
      </c>
      <c r="C1083" s="3" t="str">
        <f>IFERROR(VLOOKUP(A1083,'Base Prueba'!A:C,3,),"NO REGISTRA")</f>
        <v>NICOLAS ESPITIA CHACON</v>
      </c>
      <c r="D1083" s="4" t="str">
        <f>IFERROR(VLOOKUP(A1083,'Base Prueba'!A:D,4,),"NO REGISTRA")</f>
        <v>AUXILIAR DE RECURSOS ACADEMICOS</v>
      </c>
      <c r="E1083" s="5" t="str">
        <f>IFERROR(VLOOKUP(A1083,'Base Prueba'!A:E,5,),"NO REGISTRA")</f>
        <v>RECURSOS ACADEMICOS</v>
      </c>
    </row>
    <row r="1084" spans="1:5" ht="15.75" x14ac:dyDescent="0.25">
      <c r="A1084" s="10">
        <v>1034279481</v>
      </c>
      <c r="B1084" s="2">
        <v>46153.61053391204</v>
      </c>
      <c r="C1084" s="3" t="str">
        <f>IFERROR(VLOOKUP(A1084,'Base Prueba'!A:C,3,),"NO REGISTRA")</f>
        <v>NO REGISTRA</v>
      </c>
      <c r="D1084" s="4" t="str">
        <f>IFERROR(VLOOKUP(A1084,'Base Prueba'!A:D,4,),"NO REGISTRA")</f>
        <v>NO REGISTRA</v>
      </c>
      <c r="E1084" s="5" t="str">
        <f>IFERROR(VLOOKUP(A1084,'Base Prueba'!A:E,5,),"NO REGISTRA")</f>
        <v>NO REGISTRA</v>
      </c>
    </row>
    <row r="1085" spans="1:5" ht="15.75" x14ac:dyDescent="0.25">
      <c r="A1085" s="10" t="s">
        <v>3704</v>
      </c>
      <c r="B1085" s="2">
        <v>46153.610564120369</v>
      </c>
      <c r="C1085" s="3" t="str">
        <f>IFERROR(VLOOKUP(A1085,'Base Prueba'!A:C,3,),"NO REGISTRA")</f>
        <v>NO REGISTRA</v>
      </c>
      <c r="D1085" s="4" t="str">
        <f>IFERROR(VLOOKUP(A1085,'Base Prueba'!A:D,4,),"NO REGISTRA")</f>
        <v>NO REGISTRA</v>
      </c>
      <c r="E1085" s="5" t="str">
        <f>IFERROR(VLOOKUP(A1085,'Base Prueba'!A:E,5,),"NO REGISTRA")</f>
        <v>NO REGISTRA</v>
      </c>
    </row>
    <row r="1086" spans="1:5" ht="15.75" x14ac:dyDescent="0.25">
      <c r="A1086" s="10">
        <v>1001298292</v>
      </c>
      <c r="B1086" s="2">
        <v>46153.610569560187</v>
      </c>
      <c r="C1086" s="3" t="str">
        <f>IFERROR(VLOOKUP(A1086,'Base Prueba'!A:C,3,),"NO REGISTRA")</f>
        <v>NO REGISTRA</v>
      </c>
      <c r="D1086" s="4" t="str">
        <f>IFERROR(VLOOKUP(A1086,'Base Prueba'!A:D,4,),"NO REGISTRA")</f>
        <v>NO REGISTRA</v>
      </c>
      <c r="E1086" s="5" t="str">
        <f>IFERROR(VLOOKUP(A1086,'Base Prueba'!A:E,5,),"NO REGISTRA")</f>
        <v>NO REGISTRA</v>
      </c>
    </row>
    <row r="1087" spans="1:5" ht="15.75" x14ac:dyDescent="0.25">
      <c r="A1087" s="10">
        <v>1034279481</v>
      </c>
      <c r="B1087" s="2">
        <v>46153.610611574077</v>
      </c>
      <c r="C1087" s="3" t="str">
        <f>IFERROR(VLOOKUP(A1087,'Base Prueba'!A:C,3,),"NO REGISTRA")</f>
        <v>NO REGISTRA</v>
      </c>
      <c r="D1087" s="4" t="str">
        <f>IFERROR(VLOOKUP(A1087,'Base Prueba'!A:D,4,),"NO REGISTRA")</f>
        <v>NO REGISTRA</v>
      </c>
      <c r="E1087" s="5" t="str">
        <f>IFERROR(VLOOKUP(A1087,'Base Prueba'!A:E,5,),"NO REGISTRA")</f>
        <v>NO REGISTRA</v>
      </c>
    </row>
    <row r="1088" spans="1:5" ht="15.75" x14ac:dyDescent="0.25">
      <c r="A1088" s="10">
        <v>79484197</v>
      </c>
      <c r="B1088" s="2">
        <v>46153.716244675925</v>
      </c>
      <c r="C1088" s="3" t="str">
        <f>IFERROR(VLOOKUP(A1088,'Base Prueba'!A:C,3,),"NO REGISTRA")</f>
        <v>JOHN DANIEL GUTIERREZ BOADA</v>
      </c>
      <c r="D1088" s="4" t="str">
        <f>IFERROR(VLOOKUP(A1088,'Base Prueba'!A:D,4,),"NO REGISTRA")</f>
        <v>DOCENTE DE MEDIO TIEMPO</v>
      </c>
      <c r="E1088" s="5" t="str">
        <f>IFERROR(VLOOKUP(A1088,'Base Prueba'!A:E,5,),"NO REGISTRA")</f>
        <v>UNIVERSITARIO COMUNICACION SOCIAL</v>
      </c>
    </row>
    <row r="1089" spans="1:5" ht="15.75" x14ac:dyDescent="0.25">
      <c r="A1089" s="10">
        <v>79522309</v>
      </c>
      <c r="B1089" s="2">
        <v>46153.745352777776</v>
      </c>
      <c r="C1089" s="3" t="str">
        <f>IFERROR(VLOOKUP(A1089,'Base Prueba'!A:C,3,),"NO REGISTRA")</f>
        <v>JULIAN ARTURO PUIN MANRIQUE</v>
      </c>
      <c r="D1089" s="4" t="str">
        <f>IFERROR(VLOOKUP(A1089,'Base Prueba'!A:D,4,),"NO REGISTRA")</f>
        <v>DOCENTE DE MEDIO TIEMPO</v>
      </c>
      <c r="E1089" s="5" t="str">
        <f>IFERROR(VLOOKUP(A1089,'Base Prueba'!A:E,5,),"NO REGISTRA")</f>
        <v>TECNOLOGIA EN SEGURIDAD Y SALUD EN EL TRABAJO</v>
      </c>
    </row>
    <row r="1090" spans="1:5" ht="15.75" x14ac:dyDescent="0.25">
      <c r="A1090" s="10">
        <v>1032401971</v>
      </c>
      <c r="B1090" s="2">
        <v>46153.759677893519</v>
      </c>
      <c r="C1090" s="3" t="str">
        <f>IFERROR(VLOOKUP(A1090,'Base Prueba'!A:C,3,),"NO REGISTRA")</f>
        <v>ANDRYU ENRIQUE MENDOZA BELTRAN</v>
      </c>
      <c r="D1090" s="4" t="str">
        <f>IFERROR(VLOOKUP(A1090,'Base Prueba'!A:D,4,),"NO REGISTRA")</f>
        <v>DOCENTE DE TIEMPO COMPLETO</v>
      </c>
      <c r="E1090" s="5" t="str">
        <f>IFERROR(VLOOKUP(A1090,'Base Prueba'!A:E,5,),"NO REGISTRA")</f>
        <v>UNIVERSITARIO ADMINISTRACION DE EMPRESAS</v>
      </c>
    </row>
    <row r="1091" spans="1:5" ht="15.75" x14ac:dyDescent="0.25">
      <c r="A1091" s="10">
        <v>79452150</v>
      </c>
      <c r="B1091" s="2">
        <v>46153.811635995371</v>
      </c>
      <c r="C1091" s="3" t="str">
        <f>IFERROR(VLOOKUP(A1091,'Base Prueba'!A:C,3,),"NO REGISTRA")</f>
        <v>JUAN CARLOS PAZ CUBILLOS</v>
      </c>
      <c r="D1091" s="4" t="str">
        <f>IFERROR(VLOOKUP(A1091,'Base Prueba'!A:D,4,),"NO REGISTRA")</f>
        <v>ANALISTA DE SISTEMAS</v>
      </c>
      <c r="E1091" s="5" t="str">
        <f>IFERROR(VLOOKUP(A1091,'Base Prueba'!A:E,5,),"NO REGISTRA")</f>
        <v>DEPARTAMENTO DE INFORMATICA Y TECNOLOGIA</v>
      </c>
    </row>
    <row r="1092" spans="1:5" ht="15.75" x14ac:dyDescent="0.25">
      <c r="A1092" s="10">
        <v>52049956</v>
      </c>
      <c r="B1092" s="2">
        <v>46153.813505671293</v>
      </c>
      <c r="C1092" s="3" t="str">
        <f>IFERROR(VLOOKUP(A1092,'Base Prueba'!A:C,3,),"NO REGISTRA")</f>
        <v>ESPERANZA MORALES</v>
      </c>
      <c r="D1092" s="4" t="str">
        <f>IFERROR(VLOOKUP(A1092,'Base Prueba'!A:D,4,),"NO REGISTRA")</f>
        <v>DIRECTORA DE INFORMATICA Y TECNOLOGIA</v>
      </c>
      <c r="E1092" s="5" t="str">
        <f>IFERROR(VLOOKUP(A1092,'Base Prueba'!A:E,5,),"NO REGISTRA")</f>
        <v>DEPARTAMENTO DE INFORMATICA Y TECNOLOGIA</v>
      </c>
    </row>
    <row r="1093" spans="1:5" ht="15.75" x14ac:dyDescent="0.25">
      <c r="A1093" s="10">
        <v>1033762993</v>
      </c>
      <c r="B1093" s="2">
        <v>46153.846174768521</v>
      </c>
      <c r="C1093" s="3" t="str">
        <f>IFERROR(VLOOKUP(A1093,'Base Prueba'!A:C,3,),"NO REGISTRA")</f>
        <v>DIEGO FERNANDO MEDINA PEREZ</v>
      </c>
      <c r="D1093" s="4" t="str">
        <f>IFERROR(VLOOKUP(A1093,'Base Prueba'!A:D,4,),"NO REGISTRA")</f>
        <v>DOCENTE DE MEDIO TIEMPO</v>
      </c>
      <c r="E1093" s="5" t="str">
        <f>IFERROR(VLOOKUP(A1093,'Base Prueba'!A:E,5,),"NO REGISTRA")</f>
        <v>UNIDAD DE IDIOMAS</v>
      </c>
    </row>
    <row r="1094" spans="1:5" ht="15.75" x14ac:dyDescent="0.25">
      <c r="A1094" s="10">
        <v>1019125716</v>
      </c>
      <c r="B1094" s="2">
        <v>46153.867477083331</v>
      </c>
      <c r="C1094" s="3" t="str">
        <f>IFERROR(VLOOKUP(A1094,'Base Prueba'!A:C,3,),"NO REGISTRA")</f>
        <v>GINA PAOLA ALZATE ARISTIZABAL</v>
      </c>
      <c r="D1094" s="4" t="str">
        <f>IFERROR(VLOOKUP(A1094,'Base Prueba'!A:D,4,),"NO REGISTRA")</f>
        <v>DOCENTE DE MEDIO TIEMPO</v>
      </c>
      <c r="E1094" s="5" t="str">
        <f>IFERROR(VLOOKUP(A1094,'Base Prueba'!A:E,5,),"NO REGISTRA")</f>
        <v>UNIDAD DE IDIOMAS</v>
      </c>
    </row>
    <row r="1095" spans="1:5" ht="15.75" x14ac:dyDescent="0.25">
      <c r="A1095" s="10">
        <v>1019603886</v>
      </c>
      <c r="B1095" s="2">
        <v>46154.25719074074</v>
      </c>
      <c r="C1095" s="3" t="str">
        <f>IFERROR(VLOOKUP(A1095,'Base Prueba'!A:C,3,),"NO REGISTRA")</f>
        <v>NICOLAS ESPITIA CHACON</v>
      </c>
      <c r="D1095" s="4" t="str">
        <f>IFERROR(VLOOKUP(A1095,'Base Prueba'!A:D,4,),"NO REGISTRA")</f>
        <v>AUXILIAR DE RECURSOS ACADEMICOS</v>
      </c>
      <c r="E1095" s="5" t="str">
        <f>IFERROR(VLOOKUP(A1095,'Base Prueba'!A:E,5,),"NO REGISTRA")</f>
        <v>RECURSOS ACADEMICOS</v>
      </c>
    </row>
    <row r="1096" spans="1:5" ht="15.75" x14ac:dyDescent="0.25">
      <c r="A1096" s="10">
        <v>79484197</v>
      </c>
      <c r="B1096" s="2">
        <v>46154.277208680556</v>
      </c>
      <c r="C1096" s="3" t="str">
        <f>IFERROR(VLOOKUP(A1096,'Base Prueba'!A:C,3,),"NO REGISTRA")</f>
        <v>JOHN DANIEL GUTIERREZ BOADA</v>
      </c>
      <c r="D1096" s="4" t="str">
        <f>IFERROR(VLOOKUP(A1096,'Base Prueba'!A:D,4,),"NO REGISTRA")</f>
        <v>DOCENTE DE MEDIO TIEMPO</v>
      </c>
      <c r="E1096" s="5" t="str">
        <f>IFERROR(VLOOKUP(A1096,'Base Prueba'!A:E,5,),"NO REGISTRA")</f>
        <v>UNIVERSITARIO COMUNICACION SOCIAL</v>
      </c>
    </row>
    <row r="1097" spans="1:5" ht="15.75" x14ac:dyDescent="0.25">
      <c r="A1097" s="10">
        <v>80778198</v>
      </c>
      <c r="B1097" s="2">
        <v>46154.286666319444</v>
      </c>
      <c r="C1097" s="3" t="str">
        <f>IFERROR(VLOOKUP(A1097,'Base Prueba'!A:C,3,),"NO REGISTRA")</f>
        <v>JIMY JAVIER ALDANA REYES</v>
      </c>
      <c r="D1097" s="4" t="str">
        <f>IFERROR(VLOOKUP(A1097,'Base Prueba'!A:D,4,),"NO REGISTRA")</f>
        <v>DOCENTE DE TIEMPO COMPLETO</v>
      </c>
      <c r="E1097" s="5" t="str">
        <f>IFERROR(VLOOKUP(A1097,'Base Prueba'!A:E,5,),"NO REGISTRA")</f>
        <v>INGENIERIA DE SOFTWARE</v>
      </c>
    </row>
    <row r="1098" spans="1:5" ht="15.75" x14ac:dyDescent="0.25">
      <c r="A1098" s="10">
        <v>80817377</v>
      </c>
      <c r="B1098" s="2">
        <v>46154.327544444444</v>
      </c>
      <c r="C1098" s="3" t="str">
        <f>IFERROR(VLOOKUP(A1098,'Base Prueba'!A:C,3,),"NO REGISTRA")</f>
        <v>OMAR ANDRES BONILLA ACOSTA</v>
      </c>
      <c r="D1098" s="4" t="str">
        <f>IFERROR(VLOOKUP(A1098,'Base Prueba'!A:D,4,),"NO REGISTRA")</f>
        <v>DIRECTOR DE PROGRAMAS DE INGENIERIA</v>
      </c>
      <c r="E1098" s="5" t="str">
        <f>IFERROR(VLOOKUP(A1098,'Base Prueba'!A:E,5,),"NO REGISTRA")</f>
        <v>FACULTAD DE CIENCIAS ECONOMICAS Y ADMINISTRATIVAS</v>
      </c>
    </row>
    <row r="1099" spans="1:5" ht="15.75" x14ac:dyDescent="0.25">
      <c r="A1099" s="10">
        <v>52049956</v>
      </c>
      <c r="B1099" s="2">
        <v>46154.359044791665</v>
      </c>
      <c r="C1099" s="3" t="str">
        <f>IFERROR(VLOOKUP(A1099,'Base Prueba'!A:C,3,),"NO REGISTRA")</f>
        <v>ESPERANZA MORALES</v>
      </c>
      <c r="D1099" s="4" t="str">
        <f>IFERROR(VLOOKUP(A1099,'Base Prueba'!A:D,4,),"NO REGISTRA")</f>
        <v>DIRECTORA DE INFORMATICA Y TECNOLOGIA</v>
      </c>
      <c r="E1099" s="5" t="str">
        <f>IFERROR(VLOOKUP(A1099,'Base Prueba'!A:E,5,),"NO REGISTRA")</f>
        <v>DEPARTAMENTO DE INFORMATICA Y TECNOLOGIA</v>
      </c>
    </row>
    <row r="1100" spans="1:5" ht="15.75" x14ac:dyDescent="0.25">
      <c r="A1100" s="10">
        <v>52850506</v>
      </c>
      <c r="B1100" s="2">
        <v>46154.380624305559</v>
      </c>
      <c r="C1100" s="3" t="str">
        <f>IFERROR(VLOOKUP(A1100,'Base Prueba'!A:C,3,),"NO REGISTRA")</f>
        <v>PAOLA ANDREA VASQUEZ FONSECA</v>
      </c>
      <c r="D1100" s="4" t="str">
        <f>IFERROR(VLOOKUP(A1100,'Base Prueba'!A:D,4,),"NO REGISTRA")</f>
        <v>DOCENTE DE TIEMPO COMPLETO</v>
      </c>
      <c r="E1100" s="5" t="str">
        <f>IFERROR(VLOOKUP(A1100,'Base Prueba'!A:E,5,),"NO REGISTRA")</f>
        <v>UNIVERSITARIO COMUNICACION SOCIAL</v>
      </c>
    </row>
    <row r="1101" spans="1:5" ht="15.75" x14ac:dyDescent="0.25">
      <c r="A1101" s="10">
        <v>79484197</v>
      </c>
      <c r="B1101" s="2">
        <v>46154.386175</v>
      </c>
      <c r="C1101" s="3" t="str">
        <f>IFERROR(VLOOKUP(A1101,'Base Prueba'!A:C,3,),"NO REGISTRA")</f>
        <v>JOHN DANIEL GUTIERREZ BOADA</v>
      </c>
      <c r="D1101" s="4" t="str">
        <f>IFERROR(VLOOKUP(A1101,'Base Prueba'!A:D,4,),"NO REGISTRA")</f>
        <v>DOCENTE DE MEDIO TIEMPO</v>
      </c>
      <c r="E1101" s="5" t="str">
        <f>IFERROR(VLOOKUP(A1101,'Base Prueba'!A:E,5,),"NO REGISTRA")</f>
        <v>UNIVERSITARIO COMUNICACION SOCIAL</v>
      </c>
    </row>
    <row r="1102" spans="1:5" ht="15.75" x14ac:dyDescent="0.25">
      <c r="A1102" s="10">
        <v>1019603886</v>
      </c>
      <c r="B1102" s="2">
        <v>46154.568934374998</v>
      </c>
      <c r="C1102" s="3" t="str">
        <f>IFERROR(VLOOKUP(A1102,'Base Prueba'!A:C,3,),"NO REGISTRA")</f>
        <v>NICOLAS ESPITIA CHACON</v>
      </c>
      <c r="D1102" s="4" t="str">
        <f>IFERROR(VLOOKUP(A1102,'Base Prueba'!A:D,4,),"NO REGISTRA")</f>
        <v>AUXILIAR DE RECURSOS ACADEMICOS</v>
      </c>
      <c r="E1102" s="5" t="str">
        <f>IFERROR(VLOOKUP(A1102,'Base Prueba'!A:E,5,),"NO REGISTRA")</f>
        <v>RECURSOS ACADEMICOS</v>
      </c>
    </row>
    <row r="1103" spans="1:5" ht="15.75" x14ac:dyDescent="0.25">
      <c r="A1103" s="10">
        <v>248294</v>
      </c>
      <c r="B1103" s="2">
        <v>46154.614571759259</v>
      </c>
      <c r="C1103" s="3" t="str">
        <f>IFERROR(VLOOKUP(A1103,'Base Prueba'!A:C,3,),"NO REGISTRA")</f>
        <v>WALTER NATALIO VALDEZ MONTAÑEZ</v>
      </c>
      <c r="D1103" s="4" t="str">
        <f>IFERROR(VLOOKUP(A1103,'Base Prueba'!A:D,4,),"NO REGISTRA")</f>
        <v>DOCENTE DE TIEMPO COMPLETO</v>
      </c>
      <c r="E1103" s="5" t="str">
        <f>IFERROR(VLOOKUP(A1103,'Base Prueba'!A:E,5,),"NO REGISTRA")</f>
        <v>UNIVERSITARIO EN TURISMO Y GASTRONOMIA</v>
      </c>
    </row>
    <row r="1104" spans="1:5" ht="15.75" x14ac:dyDescent="0.25">
      <c r="A1104" s="10">
        <v>1018482392</v>
      </c>
      <c r="B1104" s="2">
        <v>46154.687829282404</v>
      </c>
      <c r="C1104" s="3" t="str">
        <f>IFERROR(VLOOKUP(A1104,'Base Prueba'!A:C,3,),"NO REGISTRA")</f>
        <v>RAQUEL YANETH SANDOVAL FORERO</v>
      </c>
      <c r="D1104" s="4" t="str">
        <f>IFERROR(VLOOKUP(A1104,'Base Prueba'!A:D,4,),"NO REGISTRA")</f>
        <v>AUXILIAR DE RECURSOS ACADEMICOS</v>
      </c>
      <c r="E1104" s="5" t="str">
        <f>IFERROR(VLOOKUP(A1104,'Base Prueba'!A:E,5,),"NO REGISTRA")</f>
        <v>RECURSOS ACADEMICOS</v>
      </c>
    </row>
    <row r="1105" spans="1:5" ht="15.75" x14ac:dyDescent="0.25">
      <c r="A1105" s="10">
        <v>52049956</v>
      </c>
      <c r="B1105" s="2">
        <v>46154.808838194447</v>
      </c>
      <c r="C1105" s="3" t="str">
        <f>IFERROR(VLOOKUP(A1105,'Base Prueba'!A:C,3,),"NO REGISTRA")</f>
        <v>ESPERANZA MORALES</v>
      </c>
      <c r="D1105" s="4" t="str">
        <f>IFERROR(VLOOKUP(A1105,'Base Prueba'!A:D,4,),"NO REGISTRA")</f>
        <v>DIRECTORA DE INFORMATICA Y TECNOLOGIA</v>
      </c>
      <c r="E1105" s="5" t="str">
        <f>IFERROR(VLOOKUP(A1105,'Base Prueba'!A:E,5,),"NO REGISTRA")</f>
        <v>DEPARTAMENTO DE INFORMATICA Y TECNOLOGIA</v>
      </c>
    </row>
    <row r="1106" spans="1:5" ht="15.75" x14ac:dyDescent="0.25">
      <c r="A1106" s="10">
        <v>79452150</v>
      </c>
      <c r="B1106" s="2">
        <v>46154.827628240739</v>
      </c>
      <c r="C1106" s="3" t="str">
        <f>IFERROR(VLOOKUP(A1106,'Base Prueba'!A:C,3,),"NO REGISTRA")</f>
        <v>JUAN CARLOS PAZ CUBILLOS</v>
      </c>
      <c r="D1106" s="4" t="str">
        <f>IFERROR(VLOOKUP(A1106,'Base Prueba'!A:D,4,),"NO REGISTRA")</f>
        <v>ANALISTA DE SISTEMAS</v>
      </c>
      <c r="E1106" s="5" t="str">
        <f>IFERROR(VLOOKUP(A1106,'Base Prueba'!A:E,5,),"NO REGISTRA")</f>
        <v>DEPARTAMENTO DE INFORMATICA Y TECNOLOGIA</v>
      </c>
    </row>
    <row r="1107" spans="1:5" ht="15.75" x14ac:dyDescent="0.25">
      <c r="A1107" s="10">
        <v>1033762993</v>
      </c>
      <c r="B1107" s="2">
        <v>46154.869296874997</v>
      </c>
      <c r="C1107" s="3" t="str">
        <f>IFERROR(VLOOKUP(A1107,'Base Prueba'!A:C,3,),"NO REGISTRA")</f>
        <v>DIEGO FERNANDO MEDINA PEREZ</v>
      </c>
      <c r="D1107" s="4" t="str">
        <f>IFERROR(VLOOKUP(A1107,'Base Prueba'!A:D,4,),"NO REGISTRA")</f>
        <v>DOCENTE DE MEDIO TIEMPO</v>
      </c>
      <c r="E1107" s="5" t="str">
        <f>IFERROR(VLOOKUP(A1107,'Base Prueba'!A:E,5,),"NO REGISTRA")</f>
        <v>UNIDAD DE IDIOMAS</v>
      </c>
    </row>
    <row r="1108" spans="1:5" ht="15.75" x14ac:dyDescent="0.25">
      <c r="A1108" s="10">
        <v>1032401971</v>
      </c>
      <c r="B1108" s="2">
        <v>46154.878225462962</v>
      </c>
      <c r="C1108" s="3" t="str">
        <f>IFERROR(VLOOKUP(A1108,'Base Prueba'!A:C,3,),"NO REGISTRA")</f>
        <v>ANDRYU ENRIQUE MENDOZA BELTRAN</v>
      </c>
      <c r="D1108" s="4" t="str">
        <f>IFERROR(VLOOKUP(A1108,'Base Prueba'!A:D,4,),"NO REGISTRA")</f>
        <v>DOCENTE DE TIEMPO COMPLETO</v>
      </c>
      <c r="E1108" s="5" t="str">
        <f>IFERROR(VLOOKUP(A1108,'Base Prueba'!A:E,5,),"NO REGISTRA")</f>
        <v>UNIVERSITARIO ADMINISTRACION DE EMPRESAS</v>
      </c>
    </row>
    <row r="1109" spans="1:5" ht="15.75" x14ac:dyDescent="0.25">
      <c r="A1109" s="10">
        <v>1019603886</v>
      </c>
      <c r="B1109" s="2">
        <v>46155.258238657407</v>
      </c>
      <c r="C1109" s="3" t="str">
        <f>IFERROR(VLOOKUP(A1109,'Base Prueba'!A:C,3,),"NO REGISTRA")</f>
        <v>NICOLAS ESPITIA CHACON</v>
      </c>
      <c r="D1109" s="4" t="str">
        <f>IFERROR(VLOOKUP(A1109,'Base Prueba'!A:D,4,),"NO REGISTRA")</f>
        <v>AUXILIAR DE RECURSOS ACADEMICOS</v>
      </c>
      <c r="E1109" s="5" t="str">
        <f>IFERROR(VLOOKUP(A1109,'Base Prueba'!A:E,5,),"NO REGISTRA")</f>
        <v>RECURSOS ACADEMICOS</v>
      </c>
    </row>
    <row r="1110" spans="1:5" ht="15.75" x14ac:dyDescent="0.25">
      <c r="A1110" s="10">
        <v>79484197</v>
      </c>
      <c r="B1110" s="2">
        <v>46155.278496412036</v>
      </c>
      <c r="C1110" s="3" t="str">
        <f>IFERROR(VLOOKUP(A1110,'Base Prueba'!A:C,3,),"NO REGISTRA")</f>
        <v>JOHN DANIEL GUTIERREZ BOADA</v>
      </c>
      <c r="D1110" s="4" t="str">
        <f>IFERROR(VLOOKUP(A1110,'Base Prueba'!A:D,4,),"NO REGISTRA")</f>
        <v>DOCENTE DE MEDIO TIEMPO</v>
      </c>
      <c r="E1110" s="5" t="str">
        <f>IFERROR(VLOOKUP(A1110,'Base Prueba'!A:E,5,),"NO REGISTRA")</f>
        <v>UNIVERSITARIO COMUNICACION SOCIAL</v>
      </c>
    </row>
    <row r="1111" spans="1:5" ht="15.75" x14ac:dyDescent="0.25">
      <c r="A1111" s="10">
        <v>80778198</v>
      </c>
      <c r="B1111" s="2">
        <v>46155.282294328703</v>
      </c>
      <c r="C1111" s="3" t="str">
        <f>IFERROR(VLOOKUP(A1111,'Base Prueba'!A:C,3,),"NO REGISTRA")</f>
        <v>JIMY JAVIER ALDANA REYES</v>
      </c>
      <c r="D1111" s="4" t="str">
        <f>IFERROR(VLOOKUP(A1111,'Base Prueba'!A:D,4,),"NO REGISTRA")</f>
        <v>DOCENTE DE TIEMPO COMPLETO</v>
      </c>
      <c r="E1111" s="5" t="str">
        <f>IFERROR(VLOOKUP(A1111,'Base Prueba'!A:E,5,),"NO REGISTRA")</f>
        <v>INGENIERIA DE SOFTWARE</v>
      </c>
    </row>
    <row r="1112" spans="1:5" ht="15.75" x14ac:dyDescent="0.25">
      <c r="A1112" s="10">
        <v>80817377</v>
      </c>
      <c r="B1112" s="2">
        <v>46155.355036689813</v>
      </c>
      <c r="C1112" s="3" t="str">
        <f>IFERROR(VLOOKUP(A1112,'Base Prueba'!A:C,3,),"NO REGISTRA")</f>
        <v>OMAR ANDRES BONILLA ACOSTA</v>
      </c>
      <c r="D1112" s="4" t="str">
        <f>IFERROR(VLOOKUP(A1112,'Base Prueba'!A:D,4,),"NO REGISTRA")</f>
        <v>DIRECTOR DE PROGRAMAS DE INGENIERIA</v>
      </c>
      <c r="E1112" s="5" t="str">
        <f>IFERROR(VLOOKUP(A1112,'Base Prueba'!A:E,5,),"NO REGISTRA")</f>
        <v>FACULTAD DE CIENCIAS ECONOMICAS Y ADMINISTRATIVAS</v>
      </c>
    </row>
    <row r="1113" spans="1:5" ht="15.75" x14ac:dyDescent="0.25">
      <c r="A1113" s="10">
        <v>80817377</v>
      </c>
      <c r="B1113" s="2">
        <v>46155.355040856484</v>
      </c>
      <c r="C1113" s="3" t="str">
        <f>IFERROR(VLOOKUP(A1113,'Base Prueba'!A:C,3,),"NO REGISTRA")</f>
        <v>OMAR ANDRES BONILLA ACOSTA</v>
      </c>
      <c r="D1113" s="4" t="str">
        <f>IFERROR(VLOOKUP(A1113,'Base Prueba'!A:D,4,),"NO REGISTRA")</f>
        <v>DIRECTOR DE PROGRAMAS DE INGENIERIA</v>
      </c>
      <c r="E1113" s="5" t="str">
        <f>IFERROR(VLOOKUP(A1113,'Base Prueba'!A:E,5,),"NO REGISTRA")</f>
        <v>FACULTAD DE CIENCIAS ECONOMICAS Y ADMINISTRATIVAS</v>
      </c>
    </row>
    <row r="1114" spans="1:5" ht="15.75" x14ac:dyDescent="0.25">
      <c r="A1114" s="10">
        <v>52049956</v>
      </c>
      <c r="B1114" s="2">
        <v>46155.371393171299</v>
      </c>
      <c r="C1114" s="3" t="str">
        <f>IFERROR(VLOOKUP(A1114,'Base Prueba'!A:C,3,),"NO REGISTRA")</f>
        <v>ESPERANZA MORALES</v>
      </c>
      <c r="D1114" s="4" t="str">
        <f>IFERROR(VLOOKUP(A1114,'Base Prueba'!A:D,4,),"NO REGISTRA")</f>
        <v>DIRECTORA DE INFORMATICA Y TECNOLOGIA</v>
      </c>
      <c r="E1114" s="5" t="str">
        <f>IFERROR(VLOOKUP(A1114,'Base Prueba'!A:E,5,),"NO REGISTRA")</f>
        <v>DEPARTAMENTO DE INFORMATICA Y TECNOLOGIA</v>
      </c>
    </row>
    <row r="1115" spans="1:5" ht="15.75" x14ac:dyDescent="0.25">
      <c r="A1115" s="10">
        <v>79484197</v>
      </c>
      <c r="B1115" s="2">
        <v>46155.400896412037</v>
      </c>
      <c r="C1115" s="3" t="str">
        <f>IFERROR(VLOOKUP(A1115,'Base Prueba'!A:C,3,),"NO REGISTRA")</f>
        <v>JOHN DANIEL GUTIERREZ BOADA</v>
      </c>
      <c r="D1115" s="4" t="str">
        <f>IFERROR(VLOOKUP(A1115,'Base Prueba'!A:D,4,),"NO REGISTRA")</f>
        <v>DOCENTE DE MEDIO TIEMPO</v>
      </c>
      <c r="E1115" s="5" t="str">
        <f>IFERROR(VLOOKUP(A1115,'Base Prueba'!A:E,5,),"NO REGISTRA")</f>
        <v>UNIVERSITARIO COMUNICACION SOCIAL</v>
      </c>
    </row>
    <row r="1116" spans="1:5" ht="15.75" x14ac:dyDescent="0.25">
      <c r="A1116" s="10">
        <v>1018486442</v>
      </c>
      <c r="B1116" s="2">
        <v>46155.42715949074</v>
      </c>
      <c r="C1116" s="3" t="str">
        <f>IFERROR(VLOOKUP(A1116,'Base Prueba'!A:C,3,),"NO REGISTRA")</f>
        <v>CRISTHIAN RICARDO CHITIVA LOZADA</v>
      </c>
      <c r="D1116" s="4" t="str">
        <f>IFERROR(VLOOKUP(A1116,'Base Prueba'!A:D,4,),"NO REGISTRA")</f>
        <v>AUXILIAR DE RECURSOS AUDIOVISUALES</v>
      </c>
      <c r="E1116" s="5" t="str">
        <f>IFERROR(VLOOKUP(A1116,'Base Prueba'!A:E,5,),"NO REGISTRA")</f>
        <v>OFICINA DE AUDIOVISUALES</v>
      </c>
    </row>
    <row r="1117" spans="1:5" ht="15.75" x14ac:dyDescent="0.25">
      <c r="A1117" s="10">
        <v>1019603886</v>
      </c>
      <c r="B1117" s="2">
        <v>46155.572666550928</v>
      </c>
      <c r="C1117" s="3" t="str">
        <f>IFERROR(VLOOKUP(A1117,'Base Prueba'!A:C,3,),"NO REGISTRA")</f>
        <v>NICOLAS ESPITIA CHACON</v>
      </c>
      <c r="D1117" s="4" t="str">
        <f>IFERROR(VLOOKUP(A1117,'Base Prueba'!A:D,4,),"NO REGISTRA")</f>
        <v>AUXILIAR DE RECURSOS ACADEMICOS</v>
      </c>
      <c r="E1117" s="5" t="str">
        <f>IFERROR(VLOOKUP(A1117,'Base Prueba'!A:E,5,),"NO REGISTRA")</f>
        <v>RECURSOS ACADEMICOS</v>
      </c>
    </row>
    <row r="1118" spans="1:5" ht="15.75" x14ac:dyDescent="0.25">
      <c r="A1118" s="10">
        <v>248294</v>
      </c>
      <c r="B1118" s="2">
        <v>46155.66687789352</v>
      </c>
      <c r="C1118" s="3" t="str">
        <f>IFERROR(VLOOKUP(A1118,'Base Prueba'!A:C,3,),"NO REGISTRA")</f>
        <v>WALTER NATALIO VALDEZ MONTAÑEZ</v>
      </c>
      <c r="D1118" s="4" t="str">
        <f>IFERROR(VLOOKUP(A1118,'Base Prueba'!A:D,4,),"NO REGISTRA")</f>
        <v>DOCENTE DE TIEMPO COMPLETO</v>
      </c>
      <c r="E1118" s="5" t="str">
        <f>IFERROR(VLOOKUP(A1118,'Base Prueba'!A:E,5,),"NO REGISTRA")</f>
        <v>UNIVERSITARIO EN TURISMO Y GASTRONOMIA</v>
      </c>
    </row>
    <row r="1119" spans="1:5" ht="15.75" x14ac:dyDescent="0.25">
      <c r="A1119" s="10">
        <v>52049956</v>
      </c>
      <c r="B1119" s="2">
        <v>46155.791605208331</v>
      </c>
      <c r="C1119" s="3" t="str">
        <f>IFERROR(VLOOKUP(A1119,'Base Prueba'!A:C,3,),"NO REGISTRA")</f>
        <v>ESPERANZA MORALES</v>
      </c>
      <c r="D1119" s="4" t="str">
        <f>IFERROR(VLOOKUP(A1119,'Base Prueba'!A:D,4,),"NO REGISTRA")</f>
        <v>DIRECTORA DE INFORMATICA Y TECNOLOGIA</v>
      </c>
      <c r="E1119" s="5" t="str">
        <f>IFERROR(VLOOKUP(A1119,'Base Prueba'!A:E,5,),"NO REGISTRA")</f>
        <v>DEPARTAMENTO DE INFORMATICA Y TECNOLOGIA</v>
      </c>
    </row>
    <row r="1120" spans="1:5" ht="15.75" x14ac:dyDescent="0.25">
      <c r="A1120" s="10">
        <v>79452150</v>
      </c>
      <c r="B1120" s="2">
        <v>46155.846313078706</v>
      </c>
      <c r="C1120" s="3" t="str">
        <f>IFERROR(VLOOKUP(A1120,'Base Prueba'!A:C,3,),"NO REGISTRA")</f>
        <v>JUAN CARLOS PAZ CUBILLOS</v>
      </c>
      <c r="D1120" s="4" t="str">
        <f>IFERROR(VLOOKUP(A1120,'Base Prueba'!A:D,4,),"NO REGISTRA")</f>
        <v>ANALISTA DE SISTEMAS</v>
      </c>
      <c r="E1120" s="5" t="str">
        <f>IFERROR(VLOOKUP(A1120,'Base Prueba'!A:E,5,),"NO REGISTRA")</f>
        <v>DEPARTAMENTO DE INFORMATICA Y TECNOLOGIA</v>
      </c>
    </row>
    <row r="1121" spans="1:5" ht="15.75" x14ac:dyDescent="0.25">
      <c r="A1121" s="10">
        <v>1032401971</v>
      </c>
      <c r="B1121" s="2">
        <v>46155.853420601852</v>
      </c>
      <c r="C1121" s="3" t="str">
        <f>IFERROR(VLOOKUP(A1121,'Base Prueba'!A:C,3,),"NO REGISTRA")</f>
        <v>ANDRYU ENRIQUE MENDOZA BELTRAN</v>
      </c>
      <c r="D1121" s="4" t="str">
        <f>IFERROR(VLOOKUP(A1121,'Base Prueba'!A:D,4,),"NO REGISTRA")</f>
        <v>DOCENTE DE TIEMPO COMPLETO</v>
      </c>
      <c r="E1121" s="5" t="str">
        <f>IFERROR(VLOOKUP(A1121,'Base Prueba'!A:E,5,),"NO REGISTRA")</f>
        <v>UNIVERSITARIO ADMINISTRACION DE EMPRESAS</v>
      </c>
    </row>
    <row r="1122" spans="1:5" ht="15.75" x14ac:dyDescent="0.25">
      <c r="A1122" s="10">
        <v>1032401971</v>
      </c>
      <c r="B1122" s="2">
        <v>46155.914052430555</v>
      </c>
      <c r="C1122" s="3" t="str">
        <f>IFERROR(VLOOKUP(A1122,'Base Prueba'!A:C,3,),"NO REGISTRA")</f>
        <v>ANDRYU ENRIQUE MENDOZA BELTRAN</v>
      </c>
      <c r="D1122" s="4" t="str">
        <f>IFERROR(VLOOKUP(A1122,'Base Prueba'!A:D,4,),"NO REGISTRA")</f>
        <v>DOCENTE DE TIEMPO COMPLETO</v>
      </c>
      <c r="E1122" s="5" t="str">
        <f>IFERROR(VLOOKUP(A1122,'Base Prueba'!A:E,5,),"NO REGISTRA")</f>
        <v>UNIVERSITARIO ADMINISTRACION DE EMPRESAS</v>
      </c>
    </row>
    <row r="1123" spans="1:5" ht="15.75" x14ac:dyDescent="0.25">
      <c r="A1123" s="10">
        <v>1019603886</v>
      </c>
      <c r="B1123" s="2">
        <v>46156.242536111109</v>
      </c>
      <c r="C1123" s="3" t="str">
        <f>IFERROR(VLOOKUP(A1123,'Base Prueba'!A:C,3,),"NO REGISTRA")</f>
        <v>NICOLAS ESPITIA CHACON</v>
      </c>
      <c r="D1123" s="4" t="str">
        <f>IFERROR(VLOOKUP(A1123,'Base Prueba'!A:D,4,),"NO REGISTRA")</f>
        <v>AUXILIAR DE RECURSOS ACADEMICOS</v>
      </c>
      <c r="E1123" s="5" t="str">
        <f>IFERROR(VLOOKUP(A1123,'Base Prueba'!A:E,5,),"NO REGISTRA")</f>
        <v>RECURSOS ACADEMICOS</v>
      </c>
    </row>
    <row r="1124" spans="1:5" ht="15.75" x14ac:dyDescent="0.25">
      <c r="A1124" s="10">
        <v>52049956</v>
      </c>
      <c r="B1124" s="2">
        <v>46156.372106365743</v>
      </c>
      <c r="C1124" s="3" t="str">
        <f>IFERROR(VLOOKUP(A1124,'Base Prueba'!A:C,3,),"NO REGISTRA")</f>
        <v>ESPERANZA MORALES</v>
      </c>
      <c r="D1124" s="4" t="str">
        <f>IFERROR(VLOOKUP(A1124,'Base Prueba'!A:D,4,),"NO REGISTRA")</f>
        <v>DIRECTORA DE INFORMATICA Y TECNOLOGIA</v>
      </c>
      <c r="E1124" s="5" t="str">
        <f>IFERROR(VLOOKUP(A1124,'Base Prueba'!A:E,5,),"NO REGISTRA")</f>
        <v>DEPARTAMENTO DE INFORMATICA Y TECNOLOGIA</v>
      </c>
    </row>
    <row r="1125" spans="1:5" ht="15.75" x14ac:dyDescent="0.25">
      <c r="A1125" s="10">
        <v>1033724599</v>
      </c>
      <c r="B1125" s="2">
        <v>46156.525987499997</v>
      </c>
      <c r="C1125" s="3" t="str">
        <f>IFERROR(VLOOKUP(A1125,'Base Prueba'!A:C,3,),"NO REGISTRA")</f>
        <v>LUZ MARIA RAMIREZ RODRIGUEZ</v>
      </c>
      <c r="D1125" s="4" t="str">
        <f>IFERROR(VLOOKUP(A1125,'Base Prueba'!A:D,4,),"NO REGISTRA")</f>
        <v>AUXILIAR DE SERVICIOS</v>
      </c>
      <c r="E1125" s="5" t="str">
        <f>IFERROR(VLOOKUP(A1125,'Base Prueba'!A:E,5,),"NO REGISTRA")</f>
        <v>LOGISTICA Y SERVICIOS GENERALES</v>
      </c>
    </row>
    <row r="1126" spans="1:5" ht="15.75" x14ac:dyDescent="0.25">
      <c r="A1126" s="10">
        <v>1019603886</v>
      </c>
      <c r="B1126" s="2">
        <v>46156.5672037037</v>
      </c>
      <c r="C1126" s="3" t="str">
        <f>IFERROR(VLOOKUP(A1126,'Base Prueba'!A:C,3,),"NO REGISTRA")</f>
        <v>NICOLAS ESPITIA CHACON</v>
      </c>
      <c r="D1126" s="4" t="str">
        <f>IFERROR(VLOOKUP(A1126,'Base Prueba'!A:D,4,),"NO REGISTRA")</f>
        <v>AUXILIAR DE RECURSOS ACADEMICOS</v>
      </c>
      <c r="E1126" s="5" t="str">
        <f>IFERROR(VLOOKUP(A1126,'Base Prueba'!A:E,5,),"NO REGISTRA")</f>
        <v>RECURSOS ACADEMICOS</v>
      </c>
    </row>
    <row r="1127" spans="1:5" ht="15.75" x14ac:dyDescent="0.25">
      <c r="A1127" s="10">
        <v>52708259</v>
      </c>
      <c r="B1127" s="2">
        <v>46156.747851851855</v>
      </c>
      <c r="C1127" s="3" t="str">
        <f>IFERROR(VLOOKUP(A1127,'Base Prueba'!A:C,3,),"NO REGISTRA")</f>
        <v>MARTHA CECILIA CALDERON RAMOS</v>
      </c>
      <c r="D1127" s="4" t="str">
        <f>IFERROR(VLOOKUP(A1127,'Base Prueba'!A:D,4,),"NO REGISTRA")</f>
        <v>CATEDRATICO</v>
      </c>
      <c r="E1127" s="5" t="str">
        <f>IFERROR(VLOOKUP(A1127,'Base Prueba'!A:E,5,),"NO REGISTRA")</f>
        <v>ESPECIALIZACION EN GERNCIA DE SEGURIDAD Y SALUD EN EL TRABAJO</v>
      </c>
    </row>
    <row r="1128" spans="1:5" ht="15.75" x14ac:dyDescent="0.25">
      <c r="A1128" s="10">
        <v>52850506</v>
      </c>
      <c r="B1128" s="2">
        <v>46156.755040046293</v>
      </c>
      <c r="C1128" s="3" t="str">
        <f>IFERROR(VLOOKUP(A1128,'Base Prueba'!A:C,3,),"NO REGISTRA")</f>
        <v>PAOLA ANDREA VASQUEZ FONSECA</v>
      </c>
      <c r="D1128" s="4" t="str">
        <f>IFERROR(VLOOKUP(A1128,'Base Prueba'!A:D,4,),"NO REGISTRA")</f>
        <v>DOCENTE DE TIEMPO COMPLETO</v>
      </c>
      <c r="E1128" s="5" t="str">
        <f>IFERROR(VLOOKUP(A1128,'Base Prueba'!A:E,5,),"NO REGISTRA")</f>
        <v>UNIVERSITARIO COMUNICACION SOCIAL</v>
      </c>
    </row>
    <row r="1129" spans="1:5" ht="15.75" x14ac:dyDescent="0.25">
      <c r="A1129" s="10">
        <v>52049956</v>
      </c>
      <c r="B1129" s="2">
        <v>46156.817068518518</v>
      </c>
      <c r="C1129" s="3" t="str">
        <f>IFERROR(VLOOKUP(A1129,'Base Prueba'!A:C,3,),"NO REGISTRA")</f>
        <v>ESPERANZA MORALES</v>
      </c>
      <c r="D1129" s="4" t="str">
        <f>IFERROR(VLOOKUP(A1129,'Base Prueba'!A:D,4,),"NO REGISTRA")</f>
        <v>DIRECTORA DE INFORMATICA Y TECNOLOGIA</v>
      </c>
      <c r="E1129" s="5" t="str">
        <f>IFERROR(VLOOKUP(A1129,'Base Prueba'!A:E,5,),"NO REGISTRA")</f>
        <v>DEPARTAMENTO DE INFORMATICA Y TECNOLOGIA</v>
      </c>
    </row>
    <row r="1130" spans="1:5" ht="15.75" x14ac:dyDescent="0.25">
      <c r="A1130" s="10">
        <v>79452150</v>
      </c>
      <c r="B1130" s="2">
        <v>46156.820388194443</v>
      </c>
      <c r="C1130" s="3" t="str">
        <f>IFERROR(VLOOKUP(A1130,'Base Prueba'!A:C,3,),"NO REGISTRA")</f>
        <v>JUAN CARLOS PAZ CUBILLOS</v>
      </c>
      <c r="D1130" s="4" t="str">
        <f>IFERROR(VLOOKUP(A1130,'Base Prueba'!A:D,4,),"NO REGISTRA")</f>
        <v>ANALISTA DE SISTEMAS</v>
      </c>
      <c r="E1130" s="5" t="str">
        <f>IFERROR(VLOOKUP(A1130,'Base Prueba'!A:E,5,),"NO REGISTRA")</f>
        <v>DEPARTAMENTO DE INFORMATICA Y TECNOLOGIA</v>
      </c>
    </row>
    <row r="1131" spans="1:5" ht="15.75" x14ac:dyDescent="0.25">
      <c r="A1131" s="10">
        <v>1019603886</v>
      </c>
      <c r="B1131" s="2">
        <v>46157.250403472222</v>
      </c>
      <c r="C1131" s="3" t="str">
        <f>IFERROR(VLOOKUP(A1131,'Base Prueba'!A:C,3,),"NO REGISTRA")</f>
        <v>NICOLAS ESPITIA CHACON</v>
      </c>
      <c r="D1131" s="4" t="str">
        <f>IFERROR(VLOOKUP(A1131,'Base Prueba'!A:D,4,),"NO REGISTRA")</f>
        <v>AUXILIAR DE RECURSOS ACADEMICOS</v>
      </c>
      <c r="E1131" s="5" t="str">
        <f>IFERROR(VLOOKUP(A1131,'Base Prueba'!A:E,5,),"NO REGISTRA")</f>
        <v>RECURSOS ACADEMICOS</v>
      </c>
    </row>
    <row r="1132" spans="1:5" ht="15.75" x14ac:dyDescent="0.25">
      <c r="A1132" s="10">
        <v>79484197</v>
      </c>
      <c r="B1132" s="2">
        <v>46157.276935416667</v>
      </c>
      <c r="C1132" s="3" t="str">
        <f>IFERROR(VLOOKUP(A1132,'Base Prueba'!A:C,3,),"NO REGISTRA")</f>
        <v>JOHN DANIEL GUTIERREZ BOADA</v>
      </c>
      <c r="D1132" s="4" t="str">
        <f>IFERROR(VLOOKUP(A1132,'Base Prueba'!A:D,4,),"NO REGISTRA")</f>
        <v>DOCENTE DE MEDIO TIEMPO</v>
      </c>
      <c r="E1132" s="5" t="str">
        <f>IFERROR(VLOOKUP(A1132,'Base Prueba'!A:E,5,),"NO REGISTRA")</f>
        <v>UNIVERSITARIO COMUNICACION SOCIAL</v>
      </c>
    </row>
    <row r="1133" spans="1:5" ht="15.75" x14ac:dyDescent="0.25">
      <c r="A1133" s="10">
        <v>80778198</v>
      </c>
      <c r="B1133" s="2">
        <v>46157.282236921295</v>
      </c>
      <c r="C1133" s="3" t="str">
        <f>IFERROR(VLOOKUP(A1133,'Base Prueba'!A:C,3,),"NO REGISTRA")</f>
        <v>JIMY JAVIER ALDANA REYES</v>
      </c>
      <c r="D1133" s="4" t="str">
        <f>IFERROR(VLOOKUP(A1133,'Base Prueba'!A:D,4,),"NO REGISTRA")</f>
        <v>DOCENTE DE TIEMPO COMPLETO</v>
      </c>
      <c r="E1133" s="5" t="str">
        <f>IFERROR(VLOOKUP(A1133,'Base Prueba'!A:E,5,),"NO REGISTRA")</f>
        <v>INGENIERIA DE SOFTWARE</v>
      </c>
    </row>
    <row r="1134" spans="1:5" ht="15.75" x14ac:dyDescent="0.25">
      <c r="A1134" s="10">
        <v>85437910</v>
      </c>
      <c r="B1134" s="2">
        <v>46157.349878009256</v>
      </c>
      <c r="C1134" s="3" t="str">
        <f>IFERROR(VLOOKUP(A1134,'Base Prueba'!A:C,3,),"NO REGISTRA")</f>
        <v>EDGAR JOSE PISCIOTTI LEON</v>
      </c>
      <c r="D1134" s="4" t="str">
        <f>IFERROR(VLOOKUP(A1134,'Base Prueba'!A:D,4,),"NO REGISTRA")</f>
        <v>DOCENTE DE MEDIO TIEMPO</v>
      </c>
      <c r="E1134" s="5" t="str">
        <f>IFERROR(VLOOKUP(A1134,'Base Prueba'!A:E,5,),"NO REGISTRA")</f>
        <v>TECNOLOGIA EN COMERCIO Y NEGOCIOS INTERNACIONALES</v>
      </c>
    </row>
    <row r="1135" spans="1:5" ht="15.75" x14ac:dyDescent="0.25">
      <c r="A1135" s="10">
        <v>52049956</v>
      </c>
      <c r="B1135" s="2">
        <v>46157.375227893521</v>
      </c>
      <c r="C1135" s="3" t="str">
        <f>IFERROR(VLOOKUP(A1135,'Base Prueba'!A:C,3,),"NO REGISTRA")</f>
        <v>ESPERANZA MORALES</v>
      </c>
      <c r="D1135" s="4" t="str">
        <f>IFERROR(VLOOKUP(A1135,'Base Prueba'!A:D,4,),"NO REGISTRA")</f>
        <v>DIRECTORA DE INFORMATICA Y TECNOLOGIA</v>
      </c>
      <c r="E1135" s="5" t="str">
        <f>IFERROR(VLOOKUP(A1135,'Base Prueba'!A:E,5,),"NO REGISTRA")</f>
        <v>DEPARTAMENTO DE INFORMATICA Y TECNOLOGIA</v>
      </c>
    </row>
    <row r="1136" spans="1:5" ht="15.75" x14ac:dyDescent="0.25">
      <c r="A1136" s="10">
        <v>79713882</v>
      </c>
      <c r="B1136" s="2">
        <v>46157.38990613426</v>
      </c>
      <c r="C1136" s="3" t="str">
        <f>IFERROR(VLOOKUP(A1136,'Base Prueba'!A:C,3,),"NO REGISTRA")</f>
        <v>FREDY ANGEL DAVILA CUBIDES</v>
      </c>
      <c r="D1136" s="4" t="str">
        <f>IFERROR(VLOOKUP(A1136,'Base Prueba'!A:D,4,),"NO REGISTRA")</f>
        <v>DECANO</v>
      </c>
      <c r="E1136" s="5" t="str">
        <f>IFERROR(VLOOKUP(A1136,'Base Prueba'!A:E,5,),"NO REGISTRA")</f>
        <v>ESCUELA DE INGENIERÍA Y TECNOLOGÍAS DE LA INFORMACIÓN</v>
      </c>
    </row>
    <row r="1137" spans="1:5" ht="15.75" x14ac:dyDescent="0.25">
      <c r="A1137" s="10">
        <v>1019603886</v>
      </c>
      <c r="B1137" s="2">
        <v>46157.564271990741</v>
      </c>
      <c r="C1137" s="3" t="str">
        <f>IFERROR(VLOOKUP(A1137,'Base Prueba'!A:C,3,),"NO REGISTRA")</f>
        <v>NICOLAS ESPITIA CHACON</v>
      </c>
      <c r="D1137" s="4" t="str">
        <f>IFERROR(VLOOKUP(A1137,'Base Prueba'!A:D,4,),"NO REGISTRA")</f>
        <v>AUXILIAR DE RECURSOS ACADEMICOS</v>
      </c>
      <c r="E1137" s="5" t="str">
        <f>IFERROR(VLOOKUP(A1137,'Base Prueba'!A:E,5,),"NO REGISTRA")</f>
        <v>RECURSOS ACADEMICOS</v>
      </c>
    </row>
    <row r="1138" spans="1:5" ht="15.75" x14ac:dyDescent="0.25">
      <c r="A1138" s="10">
        <v>1018482392</v>
      </c>
      <c r="B1138" s="2">
        <v>46157.56448252315</v>
      </c>
      <c r="C1138" s="3" t="str">
        <f>IFERROR(VLOOKUP(A1138,'Base Prueba'!A:C,3,),"NO REGISTRA")</f>
        <v>RAQUEL YANETH SANDOVAL FORERO</v>
      </c>
      <c r="D1138" s="4" t="str">
        <f>IFERROR(VLOOKUP(A1138,'Base Prueba'!A:D,4,),"NO REGISTRA")</f>
        <v>AUXILIAR DE RECURSOS ACADEMICOS</v>
      </c>
      <c r="E1138" s="5" t="str">
        <f>IFERROR(VLOOKUP(A1138,'Base Prueba'!A:E,5,),"NO REGISTRA")</f>
        <v>RECURSOS ACADEMICOS</v>
      </c>
    </row>
    <row r="1139" spans="1:5" ht="15.75" x14ac:dyDescent="0.25">
      <c r="A1139" s="10">
        <v>248294</v>
      </c>
      <c r="B1139" s="2">
        <v>46157.605800694444</v>
      </c>
      <c r="C1139" s="3" t="str">
        <f>IFERROR(VLOOKUP(A1139,'Base Prueba'!A:C,3,),"NO REGISTRA")</f>
        <v>WALTER NATALIO VALDEZ MONTAÑEZ</v>
      </c>
      <c r="D1139" s="4" t="str">
        <f>IFERROR(VLOOKUP(A1139,'Base Prueba'!A:D,4,),"NO REGISTRA")</f>
        <v>DOCENTE DE TIEMPO COMPLETO</v>
      </c>
      <c r="E1139" s="5" t="str">
        <f>IFERROR(VLOOKUP(A1139,'Base Prueba'!A:E,5,),"NO REGISTRA")</f>
        <v>UNIVERSITARIO EN TURISMO Y GASTRONOMIA</v>
      </c>
    </row>
    <row r="1140" spans="1:5" ht="15.75" x14ac:dyDescent="0.25">
      <c r="A1140" s="10">
        <v>80059783</v>
      </c>
      <c r="B1140" s="2">
        <v>46157.732673842591</v>
      </c>
      <c r="C1140" s="3" t="str">
        <f>IFERROR(VLOOKUP(A1140,'Base Prueba'!A:C,3,),"NO REGISTRA")</f>
        <v>JAIRO FABIAN RIVERA RUBIANO</v>
      </c>
      <c r="D1140" s="4" t="str">
        <f>IFERROR(VLOOKUP(A1140,'Base Prueba'!A:D,4,),"NO REGISTRA")</f>
        <v>DOCENTE DE MEDIO TIEMPO</v>
      </c>
      <c r="E1140" s="5" t="str">
        <f>IFERROR(VLOOKUP(A1140,'Base Prueba'!A:E,5,),"NO REGISTRA")</f>
        <v>TECNOLOGIA EN ADMINISTRACION DEL TALENTO HUMANO</v>
      </c>
    </row>
    <row r="1141" spans="1:5" ht="15.75" x14ac:dyDescent="0.25">
      <c r="A1141" s="10">
        <v>80059783</v>
      </c>
      <c r="B1141" s="2">
        <v>46157.732679629633</v>
      </c>
      <c r="C1141" s="3" t="str">
        <f>IFERROR(VLOOKUP(A1141,'Base Prueba'!A:C,3,),"NO REGISTRA")</f>
        <v>JAIRO FABIAN RIVERA RUBIANO</v>
      </c>
      <c r="D1141" s="4" t="str">
        <f>IFERROR(VLOOKUP(A1141,'Base Prueba'!A:D,4,),"NO REGISTRA")</f>
        <v>DOCENTE DE MEDIO TIEMPO</v>
      </c>
      <c r="E1141" s="5" t="str">
        <f>IFERROR(VLOOKUP(A1141,'Base Prueba'!A:E,5,),"NO REGISTRA")</f>
        <v>TECNOLOGIA EN ADMINISTRACION DEL TALENTO HUMANO</v>
      </c>
    </row>
    <row r="1142" spans="1:5" ht="15.75" x14ac:dyDescent="0.25">
      <c r="A1142" s="10">
        <v>52708259</v>
      </c>
      <c r="B1142" s="2">
        <v>46157.747884375</v>
      </c>
      <c r="C1142" s="3" t="str">
        <f>IFERROR(VLOOKUP(A1142,'Base Prueba'!A:C,3,),"NO REGISTRA")</f>
        <v>MARTHA CECILIA CALDERON RAMOS</v>
      </c>
      <c r="D1142" s="4" t="str">
        <f>IFERROR(VLOOKUP(A1142,'Base Prueba'!A:D,4,),"NO REGISTRA")</f>
        <v>CATEDRATICO</v>
      </c>
      <c r="E1142" s="5" t="str">
        <f>IFERROR(VLOOKUP(A1142,'Base Prueba'!A:E,5,),"NO REGISTRA")</f>
        <v>ESPECIALIZACION EN GERNCIA DE SEGURIDAD Y SALUD EN EL TRABAJO</v>
      </c>
    </row>
    <row r="1143" spans="1:5" ht="15.75" x14ac:dyDescent="0.25">
      <c r="A1143" s="10">
        <v>52049956</v>
      </c>
      <c r="B1143" s="2">
        <v>46157.809930671297</v>
      </c>
      <c r="C1143" s="3" t="str">
        <f>IFERROR(VLOOKUP(A1143,'Base Prueba'!A:C,3,),"NO REGISTRA")</f>
        <v>ESPERANZA MORALES</v>
      </c>
      <c r="D1143" s="4" t="str">
        <f>IFERROR(VLOOKUP(A1143,'Base Prueba'!A:D,4,),"NO REGISTRA")</f>
        <v>DIRECTORA DE INFORMATICA Y TECNOLOGIA</v>
      </c>
      <c r="E1143" s="5" t="str">
        <f>IFERROR(VLOOKUP(A1143,'Base Prueba'!A:E,5,),"NO REGISTRA")</f>
        <v>DEPARTAMENTO DE INFORMATICA Y TECNOLOGIA</v>
      </c>
    </row>
    <row r="1144" spans="1:5" ht="15.75" x14ac:dyDescent="0.25">
      <c r="A1144" s="10">
        <v>79452150</v>
      </c>
      <c r="B1144" s="2">
        <v>46157.866315856481</v>
      </c>
      <c r="C1144" s="3" t="str">
        <f>IFERROR(VLOOKUP(A1144,'Base Prueba'!A:C,3,),"NO REGISTRA")</f>
        <v>JUAN CARLOS PAZ CUBILLOS</v>
      </c>
      <c r="D1144" s="4" t="str">
        <f>IFERROR(VLOOKUP(A1144,'Base Prueba'!A:D,4,),"NO REGISTRA")</f>
        <v>ANALISTA DE SISTEMAS</v>
      </c>
      <c r="E1144" s="5" t="str">
        <f>IFERROR(VLOOKUP(A1144,'Base Prueba'!A:E,5,),"NO REGISTRA")</f>
        <v>DEPARTAMENTO DE INFORMATICA Y TECNOLOGIA</v>
      </c>
    </row>
    <row r="1145" spans="1:5" ht="15.75" x14ac:dyDescent="0.25">
      <c r="A1145" s="10">
        <v>11388623</v>
      </c>
      <c r="B1145" s="2">
        <v>46157.878278009259</v>
      </c>
      <c r="C1145" s="3" t="str">
        <f>IFERROR(VLOOKUP(A1145,'Base Prueba'!A:C,3,),"NO REGISTRA")</f>
        <v>DIEGO MAURICIO PADILLA DIAZ</v>
      </c>
      <c r="D1145" s="4" t="str">
        <f>IFERROR(VLOOKUP(A1145,'Base Prueba'!A:D,4,),"NO REGISTRA")</f>
        <v>DOCENTE DE MEDIO TIEMPO</v>
      </c>
      <c r="E1145" s="5" t="str">
        <f>IFERROR(VLOOKUP(A1145,'Base Prueba'!A:E,5,),"NO REGISTRA")</f>
        <v>UNIVERSITARIO ADMINISTRACION DE EMPRESAS</v>
      </c>
    </row>
    <row r="1146" spans="1:5" ht="15.75" x14ac:dyDescent="0.25">
      <c r="A1146" s="10">
        <v>1019603886</v>
      </c>
      <c r="B1146" s="2">
        <v>46158.255799652776</v>
      </c>
      <c r="C1146" s="3" t="str">
        <f>IFERROR(VLOOKUP(A1146,'Base Prueba'!A:C,3,),"NO REGISTRA")</f>
        <v>NICOLAS ESPITIA CHACON</v>
      </c>
      <c r="D1146" s="4" t="str">
        <f>IFERROR(VLOOKUP(A1146,'Base Prueba'!A:D,4,),"NO REGISTRA")</f>
        <v>AUXILIAR DE RECURSOS ACADEMICOS</v>
      </c>
      <c r="E1146" s="5" t="str">
        <f>IFERROR(VLOOKUP(A1146,'Base Prueba'!A:E,5,),"NO REGISTRA")</f>
        <v>RECURSOS ACADEMICOS</v>
      </c>
    </row>
    <row r="1147" spans="1:5" ht="15.75" x14ac:dyDescent="0.25">
      <c r="A1147" s="10">
        <v>79484197</v>
      </c>
      <c r="B1147" s="2">
        <v>46158.275898263892</v>
      </c>
      <c r="C1147" s="3" t="str">
        <f>IFERROR(VLOOKUP(A1147,'Base Prueba'!A:C,3,),"NO REGISTRA")</f>
        <v>JOHN DANIEL GUTIERREZ BOADA</v>
      </c>
      <c r="D1147" s="4" t="str">
        <f>IFERROR(VLOOKUP(A1147,'Base Prueba'!A:D,4,),"NO REGISTRA")</f>
        <v>DOCENTE DE MEDIO TIEMPO</v>
      </c>
      <c r="E1147" s="5" t="str">
        <f>IFERROR(VLOOKUP(A1147,'Base Prueba'!A:E,5,),"NO REGISTRA")</f>
        <v>UNIVERSITARIO COMUNICACION SOCIAL</v>
      </c>
    </row>
    <row r="1148" spans="1:5" ht="15.75" x14ac:dyDescent="0.25">
      <c r="A1148" s="10">
        <v>91283826</v>
      </c>
      <c r="B1148" s="2">
        <v>46158.281999074075</v>
      </c>
      <c r="C1148" s="3" t="str">
        <f>IFERROR(VLOOKUP(A1148,'Base Prueba'!A:C,3,),"NO REGISTRA")</f>
        <v>CARLOS ALBERTO ESPINOSA HERRERA</v>
      </c>
      <c r="D1148" s="4" t="str">
        <f>IFERROR(VLOOKUP(A1148,'Base Prueba'!A:D,4,),"NO REGISTRA")</f>
        <v>DOCENTE DE MEDIO TIEMPO</v>
      </c>
      <c r="E1148" s="5" t="str">
        <f>IFERROR(VLOOKUP(A1148,'Base Prueba'!A:E,5,),"NO REGISTRA")</f>
        <v>TECNOLOGÍA EN PRODUCCIÓN DE CONTENIDOS PERIODÍSTICOS</v>
      </c>
    </row>
    <row r="1149" spans="1:5" ht="15.75" x14ac:dyDescent="0.25">
      <c r="A1149" s="10">
        <v>80059783</v>
      </c>
      <c r="B1149" s="2">
        <v>46158.285118287036</v>
      </c>
      <c r="C1149" s="3" t="str">
        <f>IFERROR(VLOOKUP(A1149,'Base Prueba'!A:C,3,),"NO REGISTRA")</f>
        <v>JAIRO FABIAN RIVERA RUBIANO</v>
      </c>
      <c r="D1149" s="4" t="str">
        <f>IFERROR(VLOOKUP(A1149,'Base Prueba'!A:D,4,),"NO REGISTRA")</f>
        <v>DOCENTE DE MEDIO TIEMPO</v>
      </c>
      <c r="E1149" s="5" t="str">
        <f>IFERROR(VLOOKUP(A1149,'Base Prueba'!A:E,5,),"NO REGISTRA")</f>
        <v>TECNOLOGIA EN ADMINISTRACION DEL TALENTO HUMANO</v>
      </c>
    </row>
    <row r="1150" spans="1:5" ht="15.75" x14ac:dyDescent="0.25">
      <c r="A1150" s="10">
        <v>80059783</v>
      </c>
      <c r="B1150" s="2">
        <v>46158.285123611109</v>
      </c>
      <c r="C1150" s="3" t="str">
        <f>IFERROR(VLOOKUP(A1150,'Base Prueba'!A:C,3,),"NO REGISTRA")</f>
        <v>JAIRO FABIAN RIVERA RUBIANO</v>
      </c>
      <c r="D1150" s="4" t="str">
        <f>IFERROR(VLOOKUP(A1150,'Base Prueba'!A:D,4,),"NO REGISTRA")</f>
        <v>DOCENTE DE MEDIO TIEMPO</v>
      </c>
      <c r="E1150" s="5" t="str">
        <f>IFERROR(VLOOKUP(A1150,'Base Prueba'!A:E,5,),"NO REGISTRA")</f>
        <v>TECNOLOGIA EN ADMINISTRACION DEL TALENTO HUMANO</v>
      </c>
    </row>
    <row r="1151" spans="1:5" ht="15.75" x14ac:dyDescent="0.25">
      <c r="A1151" s="10">
        <v>80778198</v>
      </c>
      <c r="B1151" s="2">
        <v>46158.290102893516</v>
      </c>
      <c r="C1151" s="3" t="str">
        <f>IFERROR(VLOOKUP(A1151,'Base Prueba'!A:C,3,),"NO REGISTRA")</f>
        <v>JIMY JAVIER ALDANA REYES</v>
      </c>
      <c r="D1151" s="4" t="str">
        <f>IFERROR(VLOOKUP(A1151,'Base Prueba'!A:D,4,),"NO REGISTRA")</f>
        <v>DOCENTE DE TIEMPO COMPLETO</v>
      </c>
      <c r="E1151" s="5" t="str">
        <f>IFERROR(VLOOKUP(A1151,'Base Prueba'!A:E,5,),"NO REGISTRA")</f>
        <v>INGENIERIA DE SOFTWARE</v>
      </c>
    </row>
    <row r="1152" spans="1:5" ht="15.75" x14ac:dyDescent="0.25">
      <c r="A1152" s="10">
        <v>85437910</v>
      </c>
      <c r="B1152" s="2">
        <v>46158.311087152775</v>
      </c>
      <c r="C1152" s="3" t="str">
        <f>IFERROR(VLOOKUP(A1152,'Base Prueba'!A:C,3,),"NO REGISTRA")</f>
        <v>EDGAR JOSE PISCIOTTI LEON</v>
      </c>
      <c r="D1152" s="4" t="str">
        <f>IFERROR(VLOOKUP(A1152,'Base Prueba'!A:D,4,),"NO REGISTRA")</f>
        <v>DOCENTE DE MEDIO TIEMPO</v>
      </c>
      <c r="E1152" s="5" t="str">
        <f>IFERROR(VLOOKUP(A1152,'Base Prueba'!A:E,5,),"NO REGISTRA")</f>
        <v>TECNOLOGIA EN COMERCIO Y NEGOCIOS INTERNACIONALES</v>
      </c>
    </row>
    <row r="1153" spans="1:5" ht="15.75" x14ac:dyDescent="0.25">
      <c r="A1153" s="10">
        <v>52049956</v>
      </c>
      <c r="B1153" s="2">
        <v>46158.363229513889</v>
      </c>
      <c r="C1153" s="3" t="str">
        <f>IFERROR(VLOOKUP(A1153,'Base Prueba'!A:C,3,),"NO REGISTRA")</f>
        <v>ESPERANZA MORALES</v>
      </c>
      <c r="D1153" s="4" t="str">
        <f>IFERROR(VLOOKUP(A1153,'Base Prueba'!A:D,4,),"NO REGISTRA")</f>
        <v>DIRECTORA DE INFORMATICA Y TECNOLOGIA</v>
      </c>
      <c r="E1153" s="5" t="str">
        <f>IFERROR(VLOOKUP(A1153,'Base Prueba'!A:E,5,),"NO REGISTRA")</f>
        <v>DEPARTAMENTO DE INFORMATICA Y TECNOLOGIA</v>
      </c>
    </row>
    <row r="1154" spans="1:5" ht="15.75" x14ac:dyDescent="0.25">
      <c r="A1154" s="10">
        <v>63478515</v>
      </c>
      <c r="B1154" s="2">
        <v>46158.419243865741</v>
      </c>
      <c r="C1154" s="3" t="str">
        <f>IFERROR(VLOOKUP(A1154,'Base Prueba'!A:C,3,),"NO REGISTRA")</f>
        <v>SANDRA XIMENA RIOS PINTO</v>
      </c>
      <c r="D1154" s="4" t="str">
        <f>IFERROR(VLOOKUP(A1154,'Base Prueba'!A:D,4,),"NO REGISTRA")</f>
        <v>DOCENTE DE MEDIO TIEMPO</v>
      </c>
      <c r="E1154" s="5" t="str">
        <f>IFERROR(VLOOKUP(A1154,'Base Prueba'!A:E,5,),"NO REGISTRA")</f>
        <v>TECNOLOGIA EN ADMINISTRACION DEL TALENTO HUMANO</v>
      </c>
    </row>
    <row r="1155" spans="1:5" ht="15.75" x14ac:dyDescent="0.25">
      <c r="A1155" s="10">
        <v>52850506</v>
      </c>
      <c r="B1155" s="2">
        <v>46158.445863657405</v>
      </c>
      <c r="C1155" s="3" t="str">
        <f>IFERROR(VLOOKUP(A1155,'Base Prueba'!A:C,3,),"NO REGISTRA")</f>
        <v>PAOLA ANDREA VASQUEZ FONSECA</v>
      </c>
      <c r="D1155" s="4" t="str">
        <f>IFERROR(VLOOKUP(A1155,'Base Prueba'!A:D,4,),"NO REGISTRA")</f>
        <v>DOCENTE DE TIEMPO COMPLETO</v>
      </c>
      <c r="E1155" s="5" t="str">
        <f>IFERROR(VLOOKUP(A1155,'Base Prueba'!A:E,5,),"NO REGISTRA")</f>
        <v>UNIVERSITARIO COMUNICACION SOCIAL</v>
      </c>
    </row>
    <row r="1156" spans="1:5" ht="15.75" x14ac:dyDescent="0.25">
      <c r="A1156" s="10">
        <v>52049956</v>
      </c>
      <c r="B1156" s="2">
        <v>46158.51467384259</v>
      </c>
      <c r="C1156" s="3" t="str">
        <f>IFERROR(VLOOKUP(A1156,'Base Prueba'!A:C,3,),"NO REGISTRA")</f>
        <v>ESPERANZA MORALES</v>
      </c>
      <c r="D1156" s="4" t="str">
        <f>IFERROR(VLOOKUP(A1156,'Base Prueba'!A:D,4,),"NO REGISTRA")</f>
        <v>DIRECTORA DE INFORMATICA Y TECNOLOGIA</v>
      </c>
      <c r="E1156" s="5" t="str">
        <f>IFERROR(VLOOKUP(A1156,'Base Prueba'!A:E,5,),"NO REGISTRA")</f>
        <v>DEPARTAMENTO DE INFORMATICA Y TECNOLOGIA</v>
      </c>
    </row>
    <row r="1157" spans="1:5" ht="15.75" x14ac:dyDescent="0.25">
      <c r="A1157" s="10">
        <v>1019603886</v>
      </c>
      <c r="B1157" s="2">
        <v>46158.525601504633</v>
      </c>
      <c r="C1157" s="3" t="str">
        <f>IFERROR(VLOOKUP(A1157,'Base Prueba'!A:C,3,),"NO REGISTRA")</f>
        <v>NICOLAS ESPITIA CHACON</v>
      </c>
      <c r="D1157" s="4" t="str">
        <f>IFERROR(VLOOKUP(A1157,'Base Prueba'!A:D,4,),"NO REGISTRA")</f>
        <v>AUXILIAR DE RECURSOS ACADEMICOS</v>
      </c>
      <c r="E1157" s="5" t="str">
        <f>IFERROR(VLOOKUP(A1157,'Base Prueba'!A:E,5,),"NO REGISTRA")</f>
        <v>RECURSOS ACADEMICOS</v>
      </c>
    </row>
    <row r="1158" spans="1:5" ht="15.75" x14ac:dyDescent="0.25">
      <c r="A1158" s="10">
        <v>79484197</v>
      </c>
      <c r="B1158" s="2">
        <v>46158.667844328702</v>
      </c>
      <c r="C1158" s="3" t="str">
        <f>IFERROR(VLOOKUP(A1158,'Base Prueba'!A:C,3,),"NO REGISTRA")</f>
        <v>JOHN DANIEL GUTIERREZ BOADA</v>
      </c>
      <c r="D1158" s="4" t="str">
        <f>IFERROR(VLOOKUP(A1158,'Base Prueba'!A:D,4,),"NO REGISTRA")</f>
        <v>DOCENTE DE MEDIO TIEMPO</v>
      </c>
      <c r="E1158" s="5" t="str">
        <f>IFERROR(VLOOKUP(A1158,'Base Prueba'!A:E,5,),"NO REGISTRA")</f>
        <v>UNIVERSITARIO COMUNICACION SOCIAL</v>
      </c>
    </row>
    <row r="1159" spans="1:5" ht="15.75" x14ac:dyDescent="0.25">
      <c r="A1159" s="10">
        <v>248294</v>
      </c>
      <c r="B1159" s="2">
        <v>46158.701842361108</v>
      </c>
      <c r="C1159" s="3" t="str">
        <f>IFERROR(VLOOKUP(A1159,'Base Prueba'!A:C,3,),"NO REGISTRA")</f>
        <v>WALTER NATALIO VALDEZ MONTAÑEZ</v>
      </c>
      <c r="D1159" s="4" t="str">
        <f>IFERROR(VLOOKUP(A1159,'Base Prueba'!A:D,4,),"NO REGISTRA")</f>
        <v>DOCENTE DE TIEMPO COMPLETO</v>
      </c>
      <c r="E1159" s="5" t="str">
        <f>IFERROR(VLOOKUP(A1159,'Base Prueba'!A:E,5,),"NO REGISTRA")</f>
        <v>UNIVERSITARIO EN TURISMO Y GASTRONOMIA</v>
      </c>
    </row>
    <row r="1160" spans="1:5" ht="15.75" x14ac:dyDescent="0.25">
      <c r="A1160" s="10">
        <v>1033762993</v>
      </c>
      <c r="B1160" s="2">
        <v>46158.718241782408</v>
      </c>
      <c r="C1160" s="3" t="str">
        <f>IFERROR(VLOOKUP(A1160,'Base Prueba'!A:C,3,),"NO REGISTRA")</f>
        <v>DIEGO FERNANDO MEDINA PEREZ</v>
      </c>
      <c r="D1160" s="4" t="str">
        <f>IFERROR(VLOOKUP(A1160,'Base Prueba'!A:D,4,),"NO REGISTRA")</f>
        <v>DOCENTE DE MEDIO TIEMPO</v>
      </c>
      <c r="E1160" s="5" t="str">
        <f>IFERROR(VLOOKUP(A1160,'Base Prueba'!A:E,5,),"NO REGISTRA")</f>
        <v>UNIDAD DE IDIOMAS</v>
      </c>
    </row>
    <row r="1161" spans="1:5" ht="15.75" x14ac:dyDescent="0.25">
      <c r="A1161" s="10">
        <v>79484197</v>
      </c>
      <c r="B1161" s="2">
        <v>46161.25900150463</v>
      </c>
      <c r="C1161" s="3" t="str">
        <f>IFERROR(VLOOKUP(A1161,'Base Prueba'!A:C,3,),"NO REGISTRA")</f>
        <v>JOHN DANIEL GUTIERREZ BOADA</v>
      </c>
      <c r="D1161" s="4" t="str">
        <f>IFERROR(VLOOKUP(A1161,'Base Prueba'!A:D,4,),"NO REGISTRA")</f>
        <v>DOCENTE DE MEDIO TIEMPO</v>
      </c>
      <c r="E1161" s="5" t="str">
        <f>IFERROR(VLOOKUP(A1161,'Base Prueba'!A:E,5,),"NO REGISTRA")</f>
        <v>UNIVERSITARIO COMUNICACION SOCIAL</v>
      </c>
    </row>
    <row r="1162" spans="1:5" ht="15.75" x14ac:dyDescent="0.25">
      <c r="A1162" s="10">
        <v>80778198</v>
      </c>
      <c r="B1162" s="2">
        <v>46161.29208402778</v>
      </c>
      <c r="C1162" s="3" t="str">
        <f>IFERROR(VLOOKUP(A1162,'Base Prueba'!A:C,3,),"NO REGISTRA")</f>
        <v>JIMY JAVIER ALDANA REYES</v>
      </c>
      <c r="D1162" s="4" t="str">
        <f>IFERROR(VLOOKUP(A1162,'Base Prueba'!A:D,4,),"NO REGISTRA")</f>
        <v>DOCENTE DE TIEMPO COMPLETO</v>
      </c>
      <c r="E1162" s="5" t="str">
        <f>IFERROR(VLOOKUP(A1162,'Base Prueba'!A:E,5,),"NO REGISTRA")</f>
        <v>INGENIERIA DE SOFTWARE</v>
      </c>
    </row>
    <row r="1163" spans="1:5" ht="15.75" x14ac:dyDescent="0.25">
      <c r="A1163" s="10">
        <v>80817377</v>
      </c>
      <c r="B1163" s="2">
        <v>46161.304993287034</v>
      </c>
      <c r="C1163" s="3" t="str">
        <f>IFERROR(VLOOKUP(A1163,'Base Prueba'!A:C,3,),"NO REGISTRA")</f>
        <v>OMAR ANDRES BONILLA ACOSTA</v>
      </c>
      <c r="D1163" s="4" t="str">
        <f>IFERROR(VLOOKUP(A1163,'Base Prueba'!A:D,4,),"NO REGISTRA")</f>
        <v>DIRECTOR DE PROGRAMAS DE INGENIERIA</v>
      </c>
      <c r="E1163" s="5" t="str">
        <f>IFERROR(VLOOKUP(A1163,'Base Prueba'!A:E,5,),"NO REGISTRA")</f>
        <v>FACULTAD DE CIENCIAS ECONOMICAS Y ADMINISTRATIVAS</v>
      </c>
    </row>
    <row r="1164" spans="1:5" ht="15.75" x14ac:dyDescent="0.25">
      <c r="A1164" s="10">
        <v>52850506</v>
      </c>
      <c r="B1164" s="2">
        <v>46161.376039467592</v>
      </c>
      <c r="C1164" s="3" t="str">
        <f>IFERROR(VLOOKUP(A1164,'Base Prueba'!A:C,3,),"NO REGISTRA")</f>
        <v>PAOLA ANDREA VASQUEZ FONSECA</v>
      </c>
      <c r="D1164" s="4" t="str">
        <f>IFERROR(VLOOKUP(A1164,'Base Prueba'!A:D,4,),"NO REGISTRA")</f>
        <v>DOCENTE DE TIEMPO COMPLETO</v>
      </c>
      <c r="E1164" s="5" t="str">
        <f>IFERROR(VLOOKUP(A1164,'Base Prueba'!A:E,5,),"NO REGISTRA")</f>
        <v>UNIVERSITARIO COMUNICACION SOCIAL</v>
      </c>
    </row>
    <row r="1165" spans="1:5" ht="15.75" x14ac:dyDescent="0.25">
      <c r="A1165" s="10">
        <v>52049956</v>
      </c>
      <c r="B1165" s="2">
        <v>46161.38150949074</v>
      </c>
      <c r="C1165" s="3" t="str">
        <f>IFERROR(VLOOKUP(A1165,'Base Prueba'!A:C,3,),"NO REGISTRA")</f>
        <v>ESPERANZA MORALES</v>
      </c>
      <c r="D1165" s="4" t="str">
        <f>IFERROR(VLOOKUP(A1165,'Base Prueba'!A:D,4,),"NO REGISTRA")</f>
        <v>DIRECTORA DE INFORMATICA Y TECNOLOGIA</v>
      </c>
      <c r="E1165" s="5" t="str">
        <f>IFERROR(VLOOKUP(A1165,'Base Prueba'!A:E,5,),"NO REGISTRA")</f>
        <v>DEPARTAMENTO DE INFORMATICA Y TECNOLOGIA</v>
      </c>
    </row>
    <row r="1166" spans="1:5" ht="15.75" x14ac:dyDescent="0.25">
      <c r="A1166" s="10">
        <v>79484197</v>
      </c>
      <c r="B1166" s="2">
        <v>46161.389063425922</v>
      </c>
      <c r="C1166" s="3" t="str">
        <f>IFERROR(VLOOKUP(A1166,'Base Prueba'!A:C,3,),"NO REGISTRA")</f>
        <v>JOHN DANIEL GUTIERREZ BOADA</v>
      </c>
      <c r="D1166" s="4" t="str">
        <f>IFERROR(VLOOKUP(A1166,'Base Prueba'!A:D,4,),"NO REGISTRA")</f>
        <v>DOCENTE DE MEDIO TIEMPO</v>
      </c>
      <c r="E1166" s="5" t="str">
        <f>IFERROR(VLOOKUP(A1166,'Base Prueba'!A:E,5,),"NO REGISTRA")</f>
        <v>UNIVERSITARIO COMUNICACION SOCIAL</v>
      </c>
    </row>
    <row r="1167" spans="1:5" ht="15.75" x14ac:dyDescent="0.25">
      <c r="A1167" s="10">
        <v>1019603886</v>
      </c>
      <c r="B1167" s="2">
        <v>46161.612633101853</v>
      </c>
      <c r="C1167" s="3" t="str">
        <f>IFERROR(VLOOKUP(A1167,'Base Prueba'!A:C,3,),"NO REGISTRA")</f>
        <v>NICOLAS ESPITIA CHACON</v>
      </c>
      <c r="D1167" s="4" t="str">
        <f>IFERROR(VLOOKUP(A1167,'Base Prueba'!A:D,4,),"NO REGISTRA")</f>
        <v>AUXILIAR DE RECURSOS ACADEMICOS</v>
      </c>
      <c r="E1167" s="5" t="str">
        <f>IFERROR(VLOOKUP(A1167,'Base Prueba'!A:E,5,),"NO REGISTRA")</f>
        <v>RECURSOS ACADEMICOS</v>
      </c>
    </row>
    <row r="1168" spans="1:5" ht="15.75" x14ac:dyDescent="0.25">
      <c r="A1168" s="10">
        <v>52133632</v>
      </c>
      <c r="B1168" s="2">
        <v>46161.705072222219</v>
      </c>
      <c r="C1168" s="3" t="str">
        <f>IFERROR(VLOOKUP(A1168,'Base Prueba'!A:C,3,),"NO REGISTRA")</f>
        <v>ANA MARIA VALDERRAMA JARA</v>
      </c>
      <c r="D1168" s="4" t="str">
        <f>IFERROR(VLOOKUP(A1168,'Base Prueba'!A:D,4,),"NO REGISTRA")</f>
        <v>DOCENTE DE TIEMPO COMPLETO</v>
      </c>
      <c r="E1168" s="5" t="str">
        <f>IFERROR(VLOOKUP(A1168,'Base Prueba'!A:E,5,),"NO REGISTRA")</f>
        <v>UNIVERSITARIO EN SEGURIDAD Y SALUD EN EL TRABAJO</v>
      </c>
    </row>
    <row r="1169" spans="1:5" ht="15.75" x14ac:dyDescent="0.25">
      <c r="A1169" s="10">
        <v>1034279481</v>
      </c>
      <c r="B1169" s="2">
        <v>46161.750476388886</v>
      </c>
      <c r="C1169" s="3" t="str">
        <f>IFERROR(VLOOKUP(A1169,'Base Prueba'!A:C,3,),"NO REGISTRA")</f>
        <v>NO REGISTRA</v>
      </c>
      <c r="D1169" s="4" t="str">
        <f>IFERROR(VLOOKUP(A1169,'Base Prueba'!A:D,4,),"NO REGISTRA")</f>
        <v>NO REGISTRA</v>
      </c>
      <c r="E1169" s="5" t="str">
        <f>IFERROR(VLOOKUP(A1169,'Base Prueba'!A:E,5,),"NO REGISTRA")</f>
        <v>NO REGISTRA</v>
      </c>
    </row>
    <row r="1170" spans="1:5" ht="15.75" x14ac:dyDescent="0.25">
      <c r="A1170" s="10">
        <v>79452150</v>
      </c>
      <c r="B1170" s="2">
        <v>46161.80806087963</v>
      </c>
      <c r="C1170" s="3" t="str">
        <f>IFERROR(VLOOKUP(A1170,'Base Prueba'!A:C,3,),"NO REGISTRA")</f>
        <v>JUAN CARLOS PAZ CUBILLOS</v>
      </c>
      <c r="D1170" s="4" t="str">
        <f>IFERROR(VLOOKUP(A1170,'Base Prueba'!A:D,4,),"NO REGISTRA")</f>
        <v>ANALISTA DE SISTEMAS</v>
      </c>
      <c r="E1170" s="5" t="str">
        <f>IFERROR(VLOOKUP(A1170,'Base Prueba'!A:E,5,),"NO REGISTRA")</f>
        <v>DEPARTAMENTO DE INFORMATICA Y TECNOLOGIA</v>
      </c>
    </row>
    <row r="1171" spans="1:5" ht="15.75" x14ac:dyDescent="0.25">
      <c r="A1171" s="10">
        <v>52049956</v>
      </c>
      <c r="B1171" s="2">
        <v>46161.816295833334</v>
      </c>
      <c r="C1171" s="3" t="str">
        <f>IFERROR(VLOOKUP(A1171,'Base Prueba'!A:C,3,),"NO REGISTRA")</f>
        <v>ESPERANZA MORALES</v>
      </c>
      <c r="D1171" s="4" t="str">
        <f>IFERROR(VLOOKUP(A1171,'Base Prueba'!A:D,4,),"NO REGISTRA")</f>
        <v>DIRECTORA DE INFORMATICA Y TECNOLOGIA</v>
      </c>
      <c r="E1171" s="5" t="str">
        <f>IFERROR(VLOOKUP(A1171,'Base Prueba'!A:E,5,),"NO REGISTRA")</f>
        <v>DEPARTAMENTO DE INFORMATICA Y TECNOLOGIA</v>
      </c>
    </row>
    <row r="1172" spans="1:5" ht="15.75" x14ac:dyDescent="0.25">
      <c r="A1172" s="10">
        <v>1033762993</v>
      </c>
      <c r="B1172" s="2">
        <v>46161.874575810187</v>
      </c>
      <c r="C1172" s="3" t="str">
        <f>IFERROR(VLOOKUP(A1172,'Base Prueba'!A:C,3,),"NO REGISTRA")</f>
        <v>DIEGO FERNANDO MEDINA PEREZ</v>
      </c>
      <c r="D1172" s="4" t="str">
        <f>IFERROR(VLOOKUP(A1172,'Base Prueba'!A:D,4,),"NO REGISTRA")</f>
        <v>DOCENTE DE MEDIO TIEMPO</v>
      </c>
      <c r="E1172" s="5" t="str">
        <f>IFERROR(VLOOKUP(A1172,'Base Prueba'!A:E,5,),"NO REGISTRA")</f>
        <v>UNIDAD DE IDIOMAS</v>
      </c>
    </row>
    <row r="1173" spans="1:5" ht="15.75" x14ac:dyDescent="0.25">
      <c r="A1173" s="10">
        <v>52782050</v>
      </c>
      <c r="B1173" s="2">
        <v>46161.889872800923</v>
      </c>
      <c r="C1173" s="3" t="str">
        <f>IFERROR(VLOOKUP(A1173,'Base Prueba'!A:C,3,),"NO REGISTRA")</f>
        <v>MELISSA AVENDAÑO TOCANCHON</v>
      </c>
      <c r="D1173" s="4" t="str">
        <f>IFERROR(VLOOKUP(A1173,'Base Prueba'!A:D,4,),"NO REGISTRA")</f>
        <v>DOCENTE DE MEDIO TIEMPO</v>
      </c>
      <c r="E1173" s="5" t="str">
        <f>IFERROR(VLOOKUP(A1173,'Base Prueba'!A:E,5,),"NO REGISTRA")</f>
        <v>NARRATIVAS DIGITALES Y AUDIOVISUALES</v>
      </c>
    </row>
    <row r="1174" spans="1:5" ht="15.75" x14ac:dyDescent="0.25">
      <c r="A1174" s="10">
        <v>1018482392</v>
      </c>
      <c r="B1174" s="2">
        <v>46161.915360879633</v>
      </c>
      <c r="C1174" s="3" t="str">
        <f>IFERROR(VLOOKUP(A1174,'Base Prueba'!A:C,3,),"NO REGISTRA")</f>
        <v>RAQUEL YANETH SANDOVAL FORERO</v>
      </c>
      <c r="D1174" s="4" t="str">
        <f>IFERROR(VLOOKUP(A1174,'Base Prueba'!A:D,4,),"NO REGISTRA")</f>
        <v>AUXILIAR DE RECURSOS ACADEMICOS</v>
      </c>
      <c r="E1174" s="5" t="str">
        <f>IFERROR(VLOOKUP(A1174,'Base Prueba'!A:E,5,),"NO REGISTRA")</f>
        <v>RECURSOS ACADEMICOS</v>
      </c>
    </row>
    <row r="1175" spans="1:5" ht="15.75" x14ac:dyDescent="0.25">
      <c r="A1175" s="10">
        <v>1019603886</v>
      </c>
      <c r="B1175" s="2">
        <v>46161.915414236108</v>
      </c>
      <c r="C1175" s="3" t="str">
        <f>IFERROR(VLOOKUP(A1175,'Base Prueba'!A:C,3,),"NO REGISTRA")</f>
        <v>NICOLAS ESPITIA CHACON</v>
      </c>
      <c r="D1175" s="4" t="str">
        <f>IFERROR(VLOOKUP(A1175,'Base Prueba'!A:D,4,),"NO REGISTRA")</f>
        <v>AUXILIAR DE RECURSOS ACADEMICOS</v>
      </c>
      <c r="E1175" s="5" t="str">
        <f>IFERROR(VLOOKUP(A1175,'Base Prueba'!A:E,5,),"NO REGISTRA")</f>
        <v>RECURSOS ACADEMICOS</v>
      </c>
    </row>
    <row r="1176" spans="1:5" ht="15.75" x14ac:dyDescent="0.25">
      <c r="A1176" s="10">
        <v>79484197</v>
      </c>
      <c r="B1176" s="2">
        <v>46162.275690625</v>
      </c>
      <c r="C1176" s="3" t="str">
        <f>IFERROR(VLOOKUP(A1176,'Base Prueba'!A:C,3,),"NO REGISTRA")</f>
        <v>JOHN DANIEL GUTIERREZ BOADA</v>
      </c>
      <c r="D1176" s="4" t="str">
        <f>IFERROR(VLOOKUP(A1176,'Base Prueba'!A:D,4,),"NO REGISTRA")</f>
        <v>DOCENTE DE MEDIO TIEMPO</v>
      </c>
      <c r="E1176" s="5" t="str">
        <f>IFERROR(VLOOKUP(A1176,'Base Prueba'!A:E,5,),"NO REGISTRA")</f>
        <v>UNIVERSITARIO COMUNICACION SOCIAL</v>
      </c>
    </row>
    <row r="1177" spans="1:5" ht="15.75" x14ac:dyDescent="0.25">
      <c r="A1177" s="10">
        <v>80778198</v>
      </c>
      <c r="B1177" s="2">
        <v>46162.292614467595</v>
      </c>
      <c r="C1177" s="3" t="str">
        <f>IFERROR(VLOOKUP(A1177,'Base Prueba'!A:C,3,),"NO REGISTRA")</f>
        <v>JIMY JAVIER ALDANA REYES</v>
      </c>
      <c r="D1177" s="4" t="str">
        <f>IFERROR(VLOOKUP(A1177,'Base Prueba'!A:D,4,),"NO REGISTRA")</f>
        <v>DOCENTE DE TIEMPO COMPLETO</v>
      </c>
      <c r="E1177" s="5" t="str">
        <f>IFERROR(VLOOKUP(A1177,'Base Prueba'!A:E,5,),"NO REGISTRA")</f>
        <v>INGENIERIA DE SOFTWARE</v>
      </c>
    </row>
    <row r="1178" spans="1:5" ht="15.75" x14ac:dyDescent="0.25">
      <c r="A1178" s="10">
        <v>52850506</v>
      </c>
      <c r="B1178" s="2">
        <v>46162.305621874999</v>
      </c>
      <c r="C1178" s="3" t="str">
        <f>IFERROR(VLOOKUP(A1178,'Base Prueba'!A:C,3,),"NO REGISTRA")</f>
        <v>PAOLA ANDREA VASQUEZ FONSECA</v>
      </c>
      <c r="D1178" s="4" t="str">
        <f>IFERROR(VLOOKUP(A1178,'Base Prueba'!A:D,4,),"NO REGISTRA")</f>
        <v>DOCENTE DE TIEMPO COMPLETO</v>
      </c>
      <c r="E1178" s="5" t="str">
        <f>IFERROR(VLOOKUP(A1178,'Base Prueba'!A:E,5,),"NO REGISTRA")</f>
        <v>UNIVERSITARIO COMUNICACION SOCIAL</v>
      </c>
    </row>
    <row r="1179" spans="1:5" ht="15.75" x14ac:dyDescent="0.25">
      <c r="A1179" s="10">
        <v>1022378300</v>
      </c>
      <c r="B1179" s="2">
        <v>46162.337720601849</v>
      </c>
      <c r="C1179" s="3" t="str">
        <f>IFERROR(VLOOKUP(A1179,'Base Prueba'!A:C,3,),"NO REGISTRA")</f>
        <v>FERNEY ANDRES CHASPUENGAL RAMIREZ</v>
      </c>
      <c r="D1179" s="4" t="str">
        <f>IFERROR(VLOOKUP(A1179,'Base Prueba'!A:D,4,),"NO REGISTRA")</f>
        <v>LÍDER DE DEPORTE Y CULTURA</v>
      </c>
      <c r="E1179" s="5" t="str">
        <f>IFERROR(VLOOKUP(A1179,'Base Prueba'!A:E,5,),"NO REGISTRA")</f>
        <v>DIRECCION DE BIENESTAR INSTITUCIONAL</v>
      </c>
    </row>
    <row r="1180" spans="1:5" ht="15.75" x14ac:dyDescent="0.25">
      <c r="A1180" s="10">
        <v>52049956</v>
      </c>
      <c r="B1180" s="2">
        <v>46162.394672222224</v>
      </c>
      <c r="C1180" s="3" t="str">
        <f>IFERROR(VLOOKUP(A1180,'Base Prueba'!A:C,3,),"NO REGISTRA")</f>
        <v>ESPERANZA MORALES</v>
      </c>
      <c r="D1180" s="4" t="str">
        <f>IFERROR(VLOOKUP(A1180,'Base Prueba'!A:D,4,),"NO REGISTRA")</f>
        <v>DIRECTORA DE INFORMATICA Y TECNOLOGIA</v>
      </c>
      <c r="E1180" s="5" t="str">
        <f>IFERROR(VLOOKUP(A1180,'Base Prueba'!A:E,5,),"NO REGISTRA")</f>
        <v>DEPARTAMENTO DE INFORMATICA Y TECNOLOGIA</v>
      </c>
    </row>
    <row r="1181" spans="1:5" ht="15.75" x14ac:dyDescent="0.25">
      <c r="A1181" s="10">
        <v>1032410833</v>
      </c>
      <c r="B1181" s="2">
        <v>46162.408743981483</v>
      </c>
      <c r="C1181" s="3" t="str">
        <f>IFERROR(VLOOKUP(A1181,'Base Prueba'!A:C,3,),"NO REGISTRA")</f>
        <v>DIANA PAOLA MONTAÑEZ GONZALEZ</v>
      </c>
      <c r="D1181" s="4" t="str">
        <f>IFERROR(VLOOKUP(A1181,'Base Prueba'!A:D,4,),"NO REGISTRA")</f>
        <v>APRENDIZ UNIVERSITARIO</v>
      </c>
      <c r="E1181" s="5" t="str">
        <f>IFERROR(VLOOKUP(A1181,'Base Prueba'!A:E,5,),"NO REGISTRA")</f>
        <v>AREA FINANCIERA Y CONTABLE</v>
      </c>
    </row>
    <row r="1182" spans="1:5" ht="15.75" x14ac:dyDescent="0.25">
      <c r="A1182" s="10">
        <v>79484197</v>
      </c>
      <c r="B1182" s="2">
        <v>46162.426312384261</v>
      </c>
      <c r="C1182" s="3" t="str">
        <f>IFERROR(VLOOKUP(A1182,'Base Prueba'!A:C,3,),"NO REGISTRA")</f>
        <v>JOHN DANIEL GUTIERREZ BOADA</v>
      </c>
      <c r="D1182" s="4" t="str">
        <f>IFERROR(VLOOKUP(A1182,'Base Prueba'!A:D,4,),"NO REGISTRA")</f>
        <v>DOCENTE DE MEDIO TIEMPO</v>
      </c>
      <c r="E1182" s="5" t="str">
        <f>IFERROR(VLOOKUP(A1182,'Base Prueba'!A:E,5,),"NO REGISTRA")</f>
        <v>UNIVERSITARIO COMUNICACION SOCIAL</v>
      </c>
    </row>
    <row r="1183" spans="1:5" ht="15.75" x14ac:dyDescent="0.25">
      <c r="A1183" s="10">
        <v>1019603886</v>
      </c>
      <c r="B1183" s="2">
        <v>46162.598041666664</v>
      </c>
      <c r="C1183" s="3" t="str">
        <f>IFERROR(VLOOKUP(A1183,'Base Prueba'!A:C,3,),"NO REGISTRA")</f>
        <v>NICOLAS ESPITIA CHACON</v>
      </c>
      <c r="D1183" s="4" t="str">
        <f>IFERROR(VLOOKUP(A1183,'Base Prueba'!A:D,4,),"NO REGISTRA")</f>
        <v>AUXILIAR DE RECURSOS ACADEMICOS</v>
      </c>
      <c r="E1183" s="5" t="str">
        <f>IFERROR(VLOOKUP(A1183,'Base Prueba'!A:E,5,),"NO REGISTRA")</f>
        <v>RECURSOS ACADEMICOS</v>
      </c>
    </row>
    <row r="1184" spans="1:5" ht="15.75" x14ac:dyDescent="0.25">
      <c r="A1184" s="10">
        <v>1019603886</v>
      </c>
      <c r="B1184" s="2">
        <v>46162.598046064813</v>
      </c>
      <c r="C1184" s="3" t="str">
        <f>IFERROR(VLOOKUP(A1184,'Base Prueba'!A:C,3,),"NO REGISTRA")</f>
        <v>NICOLAS ESPITIA CHACON</v>
      </c>
      <c r="D1184" s="4" t="str">
        <f>IFERROR(VLOOKUP(A1184,'Base Prueba'!A:D,4,),"NO REGISTRA")</f>
        <v>AUXILIAR DE RECURSOS ACADEMICOS</v>
      </c>
      <c r="E1184" s="5" t="str">
        <f>IFERROR(VLOOKUP(A1184,'Base Prueba'!A:E,5,),"NO REGISTRA")</f>
        <v>RECURSOS ACADEMICOS</v>
      </c>
    </row>
    <row r="1185" spans="1:5" ht="15.75" x14ac:dyDescent="0.25">
      <c r="A1185" s="10">
        <v>52850506</v>
      </c>
      <c r="B1185" s="2">
        <v>46162.757894444447</v>
      </c>
      <c r="C1185" s="3" t="str">
        <f>IFERROR(VLOOKUP(A1185,'Base Prueba'!A:C,3,),"NO REGISTRA")</f>
        <v>PAOLA ANDREA VASQUEZ FONSECA</v>
      </c>
      <c r="D1185" s="4" t="str">
        <f>IFERROR(VLOOKUP(A1185,'Base Prueba'!A:D,4,),"NO REGISTRA")</f>
        <v>DOCENTE DE TIEMPO COMPLETO</v>
      </c>
      <c r="E1185" s="5" t="str">
        <f>IFERROR(VLOOKUP(A1185,'Base Prueba'!A:E,5,),"NO REGISTRA")</f>
        <v>UNIVERSITARIO COMUNICACION SOCIAL</v>
      </c>
    </row>
    <row r="1186" spans="1:5" ht="15.75" x14ac:dyDescent="0.25">
      <c r="A1186" s="10">
        <v>52782050</v>
      </c>
      <c r="B1186" s="2">
        <v>46162.825094907406</v>
      </c>
      <c r="C1186" s="3" t="str">
        <f>IFERROR(VLOOKUP(A1186,'Base Prueba'!A:C,3,),"NO REGISTRA")</f>
        <v>MELISSA AVENDAÑO TOCANCHON</v>
      </c>
      <c r="D1186" s="4" t="str">
        <f>IFERROR(VLOOKUP(A1186,'Base Prueba'!A:D,4,),"NO REGISTRA")</f>
        <v>DOCENTE DE MEDIO TIEMPO</v>
      </c>
      <c r="E1186" s="5" t="str">
        <f>IFERROR(VLOOKUP(A1186,'Base Prueba'!A:E,5,),"NO REGISTRA")</f>
        <v>NARRATIVAS DIGITALES Y AUDIOVISUALES</v>
      </c>
    </row>
    <row r="1187" spans="1:5" ht="15.75" x14ac:dyDescent="0.25">
      <c r="A1187" s="10">
        <v>80472319</v>
      </c>
      <c r="B1187" s="2">
        <v>46162.82743125</v>
      </c>
      <c r="C1187" s="3" t="str">
        <f>IFERROR(VLOOKUP(A1187,'Base Prueba'!A:C,3,),"NO REGISTRA")</f>
        <v>FRANCISCO JAVIER MONTENEGRO AGUILAR</v>
      </c>
      <c r="D1187" s="4" t="str">
        <f>IFERROR(VLOOKUP(A1187,'Base Prueba'!A:D,4,),"NO REGISTRA")</f>
        <v>DOCENTE DE MEDIO TIEMPO</v>
      </c>
      <c r="E1187" s="5" t="str">
        <f>IFERROR(VLOOKUP(A1187,'Base Prueba'!A:E,5,),"NO REGISTRA")</f>
        <v>TECNOLOGIA EN COMERCIO Y NEGOCIOS INTERNACIONALES</v>
      </c>
    </row>
    <row r="1188" spans="1:5" ht="15.75" x14ac:dyDescent="0.25">
      <c r="A1188" s="10">
        <v>79452150</v>
      </c>
      <c r="B1188" s="2">
        <v>46162.831525810187</v>
      </c>
      <c r="C1188" s="3" t="str">
        <f>IFERROR(VLOOKUP(A1188,'Base Prueba'!A:C,3,),"NO REGISTRA")</f>
        <v>JUAN CARLOS PAZ CUBILLOS</v>
      </c>
      <c r="D1188" s="4" t="str">
        <f>IFERROR(VLOOKUP(A1188,'Base Prueba'!A:D,4,),"NO REGISTRA")</f>
        <v>ANALISTA DE SISTEMAS</v>
      </c>
      <c r="E1188" s="5" t="str">
        <f>IFERROR(VLOOKUP(A1188,'Base Prueba'!A:E,5,),"NO REGISTRA")</f>
        <v>DEPARTAMENTO DE INFORMATICA Y TECNOLOGIA</v>
      </c>
    </row>
    <row r="1189" spans="1:5" ht="15.75" x14ac:dyDescent="0.25">
      <c r="A1189" s="10">
        <v>52850506</v>
      </c>
      <c r="B1189" s="2">
        <v>46162.84025601852</v>
      </c>
      <c r="C1189" s="3" t="str">
        <f>IFERROR(VLOOKUP(A1189,'Base Prueba'!A:C,3,),"NO REGISTRA")</f>
        <v>PAOLA ANDREA VASQUEZ FONSECA</v>
      </c>
      <c r="D1189" s="4" t="str">
        <f>IFERROR(VLOOKUP(A1189,'Base Prueba'!A:D,4,),"NO REGISTRA")</f>
        <v>DOCENTE DE TIEMPO COMPLETO</v>
      </c>
      <c r="E1189" s="5" t="str">
        <f>IFERROR(VLOOKUP(A1189,'Base Prueba'!A:E,5,),"NO REGISTRA")</f>
        <v>UNIVERSITARIO COMUNICACION SOCIAL</v>
      </c>
    </row>
    <row r="1190" spans="1:5" ht="15.75" x14ac:dyDescent="0.25">
      <c r="A1190" s="10">
        <v>52049956</v>
      </c>
      <c r="B1190" s="2">
        <v>46162.841444212965</v>
      </c>
      <c r="C1190" s="3" t="str">
        <f>IFERROR(VLOOKUP(A1190,'Base Prueba'!A:C,3,),"NO REGISTRA")</f>
        <v>ESPERANZA MORALES</v>
      </c>
      <c r="D1190" s="4" t="str">
        <f>IFERROR(VLOOKUP(A1190,'Base Prueba'!A:D,4,),"NO REGISTRA")</f>
        <v>DIRECTORA DE INFORMATICA Y TECNOLOGIA</v>
      </c>
      <c r="E1190" s="5" t="str">
        <f>IFERROR(VLOOKUP(A1190,'Base Prueba'!A:E,5,),"NO REGISTRA")</f>
        <v>DEPARTAMENTO DE INFORMATICA Y TECNOLOGIA</v>
      </c>
    </row>
    <row r="1191" spans="1:5" ht="15.75" x14ac:dyDescent="0.25">
      <c r="A1191" s="10">
        <v>1019603886</v>
      </c>
      <c r="B1191" s="2">
        <v>46162.900345023147</v>
      </c>
      <c r="C1191" s="3" t="str">
        <f>IFERROR(VLOOKUP(A1191,'Base Prueba'!A:C,3,),"NO REGISTRA")</f>
        <v>NICOLAS ESPITIA CHACON</v>
      </c>
      <c r="D1191" s="4" t="str">
        <f>IFERROR(VLOOKUP(A1191,'Base Prueba'!A:D,4,),"NO REGISTRA")</f>
        <v>AUXILIAR DE RECURSOS ACADEMICOS</v>
      </c>
      <c r="E1191" s="5" t="str">
        <f>IFERROR(VLOOKUP(A1191,'Base Prueba'!A:E,5,),"NO REGISTRA")</f>
        <v>RECURSOS ACADEMICOS</v>
      </c>
    </row>
    <row r="1192" spans="1:5" ht="15.75" x14ac:dyDescent="0.25">
      <c r="A1192" s="10">
        <v>52049956</v>
      </c>
      <c r="B1192" s="2">
        <v>46163.359844212966</v>
      </c>
      <c r="C1192" s="3" t="str">
        <f>IFERROR(VLOOKUP(A1192,'Base Prueba'!A:C,3,),"NO REGISTRA")</f>
        <v>ESPERANZA MORALES</v>
      </c>
      <c r="D1192" s="4" t="str">
        <f>IFERROR(VLOOKUP(A1192,'Base Prueba'!A:D,4,),"NO REGISTRA")</f>
        <v>DIRECTORA DE INFORMATICA Y TECNOLOGIA</v>
      </c>
      <c r="E1192" s="5" t="str">
        <f>IFERROR(VLOOKUP(A1192,'Base Prueba'!A:E,5,),"NO REGISTRA")</f>
        <v>DEPARTAMENTO DE INFORMATICA Y TECNOLOGIA</v>
      </c>
    </row>
    <row r="1193" spans="1:5" ht="15.75" x14ac:dyDescent="0.25">
      <c r="A1193" s="10">
        <v>1069712533</v>
      </c>
      <c r="B1193" s="2">
        <v>46163.384495254628</v>
      </c>
      <c r="C1193" s="3" t="str">
        <f>IFERROR(VLOOKUP(A1193,'Base Prueba'!A:C,3,),"NO REGISTRA")</f>
        <v>SONIA ROCIO MOLINA ZIPA</v>
      </c>
      <c r="D1193" s="4" t="str">
        <f>IFERROR(VLOOKUP(A1193,'Base Prueba'!A:D,4,),"NO REGISTRA")</f>
        <v>COORDINADOR PRACTICAS</v>
      </c>
      <c r="E1193" s="5" t="str">
        <f>IFERROR(VLOOKUP(A1193,'Base Prueba'!A:E,5,),"NO REGISTRA")</f>
        <v>VICERRECTORIA ACADEMICA</v>
      </c>
    </row>
    <row r="1194" spans="1:5" ht="15.75" x14ac:dyDescent="0.25">
      <c r="A1194" s="10">
        <v>1069712533</v>
      </c>
      <c r="B1194" s="2">
        <v>46163.384501851855</v>
      </c>
      <c r="C1194" s="3" t="str">
        <f>IFERROR(VLOOKUP(A1194,'Base Prueba'!A:C,3,),"NO REGISTRA")</f>
        <v>SONIA ROCIO MOLINA ZIPA</v>
      </c>
      <c r="D1194" s="4" t="str">
        <f>IFERROR(VLOOKUP(A1194,'Base Prueba'!A:D,4,),"NO REGISTRA")</f>
        <v>COORDINADOR PRACTICAS</v>
      </c>
      <c r="E1194" s="5" t="str">
        <f>IFERROR(VLOOKUP(A1194,'Base Prueba'!A:E,5,),"NO REGISTRA")</f>
        <v>VICERRECTORIA ACADEMICA</v>
      </c>
    </row>
    <row r="1195" spans="1:5" ht="15.75" x14ac:dyDescent="0.25">
      <c r="A1195" s="10">
        <v>85437910</v>
      </c>
      <c r="B1195" s="2">
        <v>46163.389459027778</v>
      </c>
      <c r="C1195" s="3" t="str">
        <f>IFERROR(VLOOKUP(A1195,'Base Prueba'!A:C,3,),"NO REGISTRA")</f>
        <v>EDGAR JOSE PISCIOTTI LEON</v>
      </c>
      <c r="D1195" s="4" t="str">
        <f>IFERROR(VLOOKUP(A1195,'Base Prueba'!A:D,4,),"NO REGISTRA")</f>
        <v>DOCENTE DE MEDIO TIEMPO</v>
      </c>
      <c r="E1195" s="5" t="str">
        <f>IFERROR(VLOOKUP(A1195,'Base Prueba'!A:E,5,),"NO REGISTRA")</f>
        <v>TECNOLOGIA EN COMERCIO Y NEGOCIOS INTERNACIONALES</v>
      </c>
    </row>
    <row r="1196" spans="1:5" ht="15.75" x14ac:dyDescent="0.25">
      <c r="A1196" s="10">
        <v>52850506</v>
      </c>
      <c r="B1196" s="2">
        <v>46163.391162384258</v>
      </c>
      <c r="C1196" s="3" t="str">
        <f>IFERROR(VLOOKUP(A1196,'Base Prueba'!A:C,3,),"NO REGISTRA")</f>
        <v>PAOLA ANDREA VASQUEZ FONSECA</v>
      </c>
      <c r="D1196" s="4" t="str">
        <f>IFERROR(VLOOKUP(A1196,'Base Prueba'!A:D,4,),"NO REGISTRA")</f>
        <v>DOCENTE DE TIEMPO COMPLETO</v>
      </c>
      <c r="E1196" s="5" t="str">
        <f>IFERROR(VLOOKUP(A1196,'Base Prueba'!A:E,5,),"NO REGISTRA")</f>
        <v>UNIVERSITARIO COMUNICACION SOCIAL</v>
      </c>
    </row>
    <row r="1197" spans="1:5" ht="15.75" x14ac:dyDescent="0.25">
      <c r="A1197" s="10">
        <v>52782050</v>
      </c>
      <c r="B1197" s="2">
        <v>46163.474719212965</v>
      </c>
      <c r="C1197" s="3" t="str">
        <f>IFERROR(VLOOKUP(A1197,'Base Prueba'!A:C,3,),"NO REGISTRA")</f>
        <v>MELISSA AVENDAÑO TOCANCHON</v>
      </c>
      <c r="D1197" s="4" t="str">
        <f>IFERROR(VLOOKUP(A1197,'Base Prueba'!A:D,4,),"NO REGISTRA")</f>
        <v>DOCENTE DE MEDIO TIEMPO</v>
      </c>
      <c r="E1197" s="5" t="str">
        <f>IFERROR(VLOOKUP(A1197,'Base Prueba'!A:E,5,),"NO REGISTRA")</f>
        <v>NARRATIVAS DIGITALES Y AUDIOVISUALES</v>
      </c>
    </row>
    <row r="1198" spans="1:5" ht="15.75" x14ac:dyDescent="0.25">
      <c r="A1198" s="10">
        <v>248294</v>
      </c>
      <c r="B1198" s="2">
        <v>46163.47913310185</v>
      </c>
      <c r="C1198" s="3" t="str">
        <f>IFERROR(VLOOKUP(A1198,'Base Prueba'!A:C,3,),"NO REGISTRA")</f>
        <v>WALTER NATALIO VALDEZ MONTAÑEZ</v>
      </c>
      <c r="D1198" s="4" t="str">
        <f>IFERROR(VLOOKUP(A1198,'Base Prueba'!A:D,4,),"NO REGISTRA")</f>
        <v>DOCENTE DE TIEMPO COMPLETO</v>
      </c>
      <c r="E1198" s="5" t="str">
        <f>IFERROR(VLOOKUP(A1198,'Base Prueba'!A:E,5,),"NO REGISTRA")</f>
        <v>UNIVERSITARIO EN TURISMO Y GASTRONOMIA</v>
      </c>
    </row>
    <row r="1199" spans="1:5" ht="15.75" x14ac:dyDescent="0.25">
      <c r="A1199" s="10">
        <v>1019125716</v>
      </c>
      <c r="B1199" s="2">
        <v>46163.484753124998</v>
      </c>
      <c r="C1199" s="3" t="str">
        <f>IFERROR(VLOOKUP(A1199,'Base Prueba'!A:C,3,),"NO REGISTRA")</f>
        <v>GINA PAOLA ALZATE ARISTIZABAL</v>
      </c>
      <c r="D1199" s="4" t="str">
        <f>IFERROR(VLOOKUP(A1199,'Base Prueba'!A:D,4,),"NO REGISTRA")</f>
        <v>DOCENTE DE MEDIO TIEMPO</v>
      </c>
      <c r="E1199" s="5" t="str">
        <f>IFERROR(VLOOKUP(A1199,'Base Prueba'!A:E,5,),"NO REGISTRA")</f>
        <v>UNIDAD DE IDIOMAS</v>
      </c>
    </row>
    <row r="1200" spans="1:5" ht="15.75" x14ac:dyDescent="0.25">
      <c r="A1200" s="10">
        <v>1019603886</v>
      </c>
      <c r="B1200" s="2">
        <v>46163.595184375001</v>
      </c>
      <c r="C1200" s="3" t="str">
        <f>IFERROR(VLOOKUP(A1200,'Base Prueba'!A:C,3,),"NO REGISTRA")</f>
        <v>NICOLAS ESPITIA CHACON</v>
      </c>
      <c r="D1200" s="4" t="str">
        <f>IFERROR(VLOOKUP(A1200,'Base Prueba'!A:D,4,),"NO REGISTRA")</f>
        <v>AUXILIAR DE RECURSOS ACADEMICOS</v>
      </c>
      <c r="E1200" s="5" t="str">
        <f>IFERROR(VLOOKUP(A1200,'Base Prueba'!A:E,5,),"NO REGISTRA")</f>
        <v>RECURSOS ACADEMICOS</v>
      </c>
    </row>
    <row r="1201" spans="1:5" ht="15.75" x14ac:dyDescent="0.25">
      <c r="A1201" s="10">
        <v>1018482392</v>
      </c>
      <c r="B1201" s="2">
        <v>46163.59782800926</v>
      </c>
      <c r="C1201" s="3" t="str">
        <f>IFERROR(VLOOKUP(A1201,'Base Prueba'!A:C,3,),"NO REGISTRA")</f>
        <v>RAQUEL YANETH SANDOVAL FORERO</v>
      </c>
      <c r="D1201" s="4" t="str">
        <f>IFERROR(VLOOKUP(A1201,'Base Prueba'!A:D,4,),"NO REGISTRA")</f>
        <v>AUXILIAR DE RECURSOS ACADEMICOS</v>
      </c>
      <c r="E1201" s="5" t="str">
        <f>IFERROR(VLOOKUP(A1201,'Base Prueba'!A:E,5,),"NO REGISTRA")</f>
        <v>RECURSOS ACADEMICOS</v>
      </c>
    </row>
    <row r="1202" spans="1:5" ht="15.75" x14ac:dyDescent="0.25">
      <c r="A1202" s="10">
        <v>79942078</v>
      </c>
      <c r="B1202" s="2">
        <v>46163.623217708337</v>
      </c>
      <c r="C1202" s="3" t="str">
        <f>IFERROR(VLOOKUP(A1202,'Base Prueba'!A:C,3,),"NO REGISTRA")</f>
        <v>JORGE MARIO ORJUELA MARQUEZ</v>
      </c>
      <c r="D1202" s="4" t="str">
        <f>IFERROR(VLOOKUP(A1202,'Base Prueba'!A:D,4,),"NO REGISTRA")</f>
        <v>DOCENTE DE TIEMPO COMPLETO</v>
      </c>
      <c r="E1202" s="5" t="str">
        <f>IFERROR(VLOOKUP(A1202,'Base Prueba'!A:E,5,),"NO REGISTRA")</f>
        <v>UNIVERSITARIO ADMINISTRACION DE EMPRESAS</v>
      </c>
    </row>
    <row r="1203" spans="1:5" ht="15.75" x14ac:dyDescent="0.25">
      <c r="A1203" s="10">
        <v>79211001</v>
      </c>
      <c r="B1203" s="2">
        <v>46163.709076504631</v>
      </c>
      <c r="C1203" s="3" t="str">
        <f>IFERROR(VLOOKUP(A1203,'Base Prueba'!A:C,3,),"NO REGISTRA")</f>
        <v>EDISON MONSALVE CUARTAS</v>
      </c>
      <c r="D1203" s="4" t="str">
        <f>IFERROR(VLOOKUP(A1203,'Base Prueba'!A:D,4,),"NO REGISTRA")</f>
        <v>DOCENTE DE TIEMPO COMPLETO</v>
      </c>
      <c r="E1203" s="5" t="str">
        <f>IFERROR(VLOOKUP(A1203,'Base Prueba'!A:E,5,),"NO REGISTRA")</f>
        <v>PROFESIONAL EN INGENIERIA MULTIMEDIA</v>
      </c>
    </row>
    <row r="1204" spans="1:5" ht="15.75" x14ac:dyDescent="0.25">
      <c r="A1204" s="10">
        <v>52850506</v>
      </c>
      <c r="B1204" s="2">
        <v>46163.746741087962</v>
      </c>
      <c r="C1204" s="3" t="str">
        <f>IFERROR(VLOOKUP(A1204,'Base Prueba'!A:C,3,),"NO REGISTRA")</f>
        <v>PAOLA ANDREA VASQUEZ FONSECA</v>
      </c>
      <c r="D1204" s="4" t="str">
        <f>IFERROR(VLOOKUP(A1204,'Base Prueba'!A:D,4,),"NO REGISTRA")</f>
        <v>DOCENTE DE TIEMPO COMPLETO</v>
      </c>
      <c r="E1204" s="5" t="str">
        <f>IFERROR(VLOOKUP(A1204,'Base Prueba'!A:E,5,),"NO REGISTRA")</f>
        <v>UNIVERSITARIO COMUNICACION SOCIAL</v>
      </c>
    </row>
    <row r="1205" spans="1:5" ht="15.75" x14ac:dyDescent="0.25">
      <c r="A1205" s="10">
        <v>52708259</v>
      </c>
      <c r="B1205" s="2">
        <v>46163.755828125002</v>
      </c>
      <c r="C1205" s="3" t="str">
        <f>IFERROR(VLOOKUP(A1205,'Base Prueba'!A:C,3,),"NO REGISTRA")</f>
        <v>MARTHA CECILIA CALDERON RAMOS</v>
      </c>
      <c r="D1205" s="4" t="str">
        <f>IFERROR(VLOOKUP(A1205,'Base Prueba'!A:D,4,),"NO REGISTRA")</f>
        <v>CATEDRATICO</v>
      </c>
      <c r="E1205" s="5" t="str">
        <f>IFERROR(VLOOKUP(A1205,'Base Prueba'!A:E,5,),"NO REGISTRA")</f>
        <v>ESPECIALIZACION EN GERNCIA DE SEGURIDAD Y SALUD EN EL TRABAJO</v>
      </c>
    </row>
    <row r="1206" spans="1:5" ht="15.75" x14ac:dyDescent="0.25">
      <c r="A1206" s="10">
        <v>79452150</v>
      </c>
      <c r="B1206" s="2">
        <v>46163.792875231484</v>
      </c>
      <c r="C1206" s="3" t="str">
        <f>IFERROR(VLOOKUP(A1206,'Base Prueba'!A:C,3,),"NO REGISTRA")</f>
        <v>JUAN CARLOS PAZ CUBILLOS</v>
      </c>
      <c r="D1206" s="4" t="str">
        <f>IFERROR(VLOOKUP(A1206,'Base Prueba'!A:D,4,),"NO REGISTRA")</f>
        <v>ANALISTA DE SISTEMAS</v>
      </c>
      <c r="E1206" s="5" t="str">
        <f>IFERROR(VLOOKUP(A1206,'Base Prueba'!A:E,5,),"NO REGISTRA")</f>
        <v>DEPARTAMENTO DE INFORMATICA Y TECNOLOGIA</v>
      </c>
    </row>
    <row r="1207" spans="1:5" ht="15.75" x14ac:dyDescent="0.25">
      <c r="A1207" s="10">
        <v>52049956</v>
      </c>
      <c r="B1207" s="2">
        <v>46163.801657291668</v>
      </c>
      <c r="C1207" s="3" t="str">
        <f>IFERROR(VLOOKUP(A1207,'Base Prueba'!A:C,3,),"NO REGISTRA")</f>
        <v>ESPERANZA MORALES</v>
      </c>
      <c r="D1207" s="4" t="str">
        <f>IFERROR(VLOOKUP(A1207,'Base Prueba'!A:D,4,),"NO REGISTRA")</f>
        <v>DIRECTORA DE INFORMATICA Y TECNOLOGIA</v>
      </c>
      <c r="E1207" s="5" t="str">
        <f>IFERROR(VLOOKUP(A1207,'Base Prueba'!A:E,5,),"NO REGISTRA")</f>
        <v>DEPARTAMENTO DE INFORMATICA Y TECNOLOGIA</v>
      </c>
    </row>
    <row r="1208" spans="1:5" ht="15.75" x14ac:dyDescent="0.25">
      <c r="A1208" s="10">
        <v>52850506</v>
      </c>
      <c r="B1208" s="2">
        <v>46163.855432986114</v>
      </c>
      <c r="C1208" s="3" t="str">
        <f>IFERROR(VLOOKUP(A1208,'Base Prueba'!A:C,3,),"NO REGISTRA")</f>
        <v>PAOLA ANDREA VASQUEZ FONSECA</v>
      </c>
      <c r="D1208" s="4" t="str">
        <f>IFERROR(VLOOKUP(A1208,'Base Prueba'!A:D,4,),"NO REGISTRA")</f>
        <v>DOCENTE DE TIEMPO COMPLETO</v>
      </c>
      <c r="E1208" s="5" t="str">
        <f>IFERROR(VLOOKUP(A1208,'Base Prueba'!A:E,5,),"NO REGISTRA")</f>
        <v>UNIVERSITARIO COMUNICACION SOCIAL</v>
      </c>
    </row>
    <row r="1209" spans="1:5" ht="15.75" x14ac:dyDescent="0.25">
      <c r="A1209" s="10">
        <v>1019603886</v>
      </c>
      <c r="B1209" s="2">
        <v>46163.922424884258</v>
      </c>
      <c r="C1209" s="3" t="str">
        <f>IFERROR(VLOOKUP(A1209,'Base Prueba'!A:C,3,),"NO REGISTRA")</f>
        <v>NICOLAS ESPITIA CHACON</v>
      </c>
      <c r="D1209" s="4" t="str">
        <f>IFERROR(VLOOKUP(A1209,'Base Prueba'!A:D,4,),"NO REGISTRA")</f>
        <v>AUXILIAR DE RECURSOS ACADEMICOS</v>
      </c>
      <c r="E1209" s="5" t="str">
        <f>IFERROR(VLOOKUP(A1209,'Base Prueba'!A:E,5,),"NO REGISTRA")</f>
        <v>RECURSOS ACADEMICOS</v>
      </c>
    </row>
    <row r="1210" spans="1:5" ht="15.75" x14ac:dyDescent="0.25">
      <c r="A1210" s="10">
        <v>1018482392</v>
      </c>
      <c r="B1210" s="2">
        <v>46163.923293749998</v>
      </c>
      <c r="C1210" s="3" t="str">
        <f>IFERROR(VLOOKUP(A1210,'Base Prueba'!A:C,3,),"NO REGISTRA")</f>
        <v>RAQUEL YANETH SANDOVAL FORERO</v>
      </c>
      <c r="D1210" s="4" t="str">
        <f>IFERROR(VLOOKUP(A1210,'Base Prueba'!A:D,4,),"NO REGISTRA")</f>
        <v>AUXILIAR DE RECURSOS ACADEMICOS</v>
      </c>
      <c r="E1210" s="5" t="str">
        <f>IFERROR(VLOOKUP(A1210,'Base Prueba'!A:E,5,),"NO REGISTRA")</f>
        <v>RECURSOS ACADEMICOS</v>
      </c>
    </row>
    <row r="1211" spans="1:5" ht="15.75" x14ac:dyDescent="0.25">
      <c r="A1211" s="10">
        <v>79484197</v>
      </c>
      <c r="B1211" s="2">
        <v>46164.275676851852</v>
      </c>
      <c r="C1211" s="3" t="str">
        <f>IFERROR(VLOOKUP(A1211,'Base Prueba'!A:C,3,),"NO REGISTRA")</f>
        <v>JOHN DANIEL GUTIERREZ BOADA</v>
      </c>
      <c r="D1211" s="4" t="str">
        <f>IFERROR(VLOOKUP(A1211,'Base Prueba'!A:D,4,),"NO REGISTRA")</f>
        <v>DOCENTE DE MEDIO TIEMPO</v>
      </c>
      <c r="E1211" s="5" t="str">
        <f>IFERROR(VLOOKUP(A1211,'Base Prueba'!A:E,5,),"NO REGISTRA")</f>
        <v>UNIVERSITARIO COMUNICACION SOCIAL</v>
      </c>
    </row>
    <row r="1212" spans="1:5" ht="15.75" x14ac:dyDescent="0.25">
      <c r="A1212" s="10">
        <v>19461924</v>
      </c>
      <c r="B1212" s="2">
        <v>46164.335274999998</v>
      </c>
      <c r="C1212" s="3" t="str">
        <f>IFERROR(VLOOKUP(A1212,'Base Prueba'!A:C,3,),"NO REGISTRA")</f>
        <v>ORLANDO ALBERTO ORTIZ SANCHEZ</v>
      </c>
      <c r="D1212" s="4" t="str">
        <f>IFERROR(VLOOKUP(A1212,'Base Prueba'!A:D,4,),"NO REGISTRA")</f>
        <v>DOCENTE DE TIEMPO COMPLETO</v>
      </c>
      <c r="E1212" s="5" t="str">
        <f>IFERROR(VLOOKUP(A1212,'Base Prueba'!A:E,5,),"NO REGISTRA")</f>
        <v>AREA DE CIENCIAS BASICAS</v>
      </c>
    </row>
    <row r="1213" spans="1:5" ht="15.75" x14ac:dyDescent="0.25">
      <c r="A1213" s="10">
        <v>1022378300</v>
      </c>
      <c r="B1213" s="2">
        <v>46164.345488657411</v>
      </c>
      <c r="C1213" s="3" t="str">
        <f>IFERROR(VLOOKUP(A1213,'Base Prueba'!A:C,3,),"NO REGISTRA")</f>
        <v>FERNEY ANDRES CHASPUENGAL RAMIREZ</v>
      </c>
      <c r="D1213" s="4" t="str">
        <f>IFERROR(VLOOKUP(A1213,'Base Prueba'!A:D,4,),"NO REGISTRA")</f>
        <v>LÍDER DE DEPORTE Y CULTURA</v>
      </c>
      <c r="E1213" s="5" t="str">
        <f>IFERROR(VLOOKUP(A1213,'Base Prueba'!A:E,5,),"NO REGISTRA")</f>
        <v>DIRECCION DE BIENESTAR INSTITUCIONAL</v>
      </c>
    </row>
    <row r="1214" spans="1:5" ht="15.75" x14ac:dyDescent="0.25">
      <c r="A1214" s="10">
        <v>52049956</v>
      </c>
      <c r="B1214" s="2">
        <v>46164.359770717594</v>
      </c>
      <c r="C1214" s="3" t="str">
        <f>IFERROR(VLOOKUP(A1214,'Base Prueba'!A:C,3,),"NO REGISTRA")</f>
        <v>ESPERANZA MORALES</v>
      </c>
      <c r="D1214" s="4" t="str">
        <f>IFERROR(VLOOKUP(A1214,'Base Prueba'!A:D,4,),"NO REGISTRA")</f>
        <v>DIRECTORA DE INFORMATICA Y TECNOLOGIA</v>
      </c>
      <c r="E1214" s="5" t="str">
        <f>IFERROR(VLOOKUP(A1214,'Base Prueba'!A:E,5,),"NO REGISTRA")</f>
        <v>DEPARTAMENTO DE INFORMATICA Y TECNOLOGIA</v>
      </c>
    </row>
    <row r="1215" spans="1:5" ht="15.75" x14ac:dyDescent="0.25">
      <c r="A1215" s="10">
        <v>52850506</v>
      </c>
      <c r="B1215" s="2">
        <v>46164.389410300922</v>
      </c>
      <c r="C1215" s="3" t="str">
        <f>IFERROR(VLOOKUP(A1215,'Base Prueba'!A:C,3,),"NO REGISTRA")</f>
        <v>PAOLA ANDREA VASQUEZ FONSECA</v>
      </c>
      <c r="D1215" s="4" t="str">
        <f>IFERROR(VLOOKUP(A1215,'Base Prueba'!A:D,4,),"NO REGISTRA")</f>
        <v>DOCENTE DE TIEMPO COMPLETO</v>
      </c>
      <c r="E1215" s="5" t="str">
        <f>IFERROR(VLOOKUP(A1215,'Base Prueba'!A:E,5,),"NO REGISTRA")</f>
        <v>UNIVERSITARIO COMUNICACION SOCIAL</v>
      </c>
    </row>
    <row r="1216" spans="1:5" ht="15.75" x14ac:dyDescent="0.25">
      <c r="A1216" s="10">
        <v>79484197</v>
      </c>
      <c r="B1216" s="2">
        <v>46164.415751388886</v>
      </c>
      <c r="C1216" s="3" t="str">
        <f>IFERROR(VLOOKUP(A1216,'Base Prueba'!A:C,3,),"NO REGISTRA")</f>
        <v>JOHN DANIEL GUTIERREZ BOADA</v>
      </c>
      <c r="D1216" s="4" t="str">
        <f>IFERROR(VLOOKUP(A1216,'Base Prueba'!A:D,4,),"NO REGISTRA")</f>
        <v>DOCENTE DE MEDIO TIEMPO</v>
      </c>
      <c r="E1216" s="5" t="str">
        <f>IFERROR(VLOOKUP(A1216,'Base Prueba'!A:E,5,),"NO REGISTRA")</f>
        <v>UNIVERSITARIO COMUNICACION SOCIAL</v>
      </c>
    </row>
    <row r="1217" spans="1:5" ht="15.75" x14ac:dyDescent="0.25">
      <c r="A1217" s="10">
        <v>1019603886</v>
      </c>
      <c r="B1217" s="2">
        <v>46164.602175462962</v>
      </c>
      <c r="C1217" s="3" t="str">
        <f>IFERROR(VLOOKUP(A1217,'Base Prueba'!A:C,3,),"NO REGISTRA")</f>
        <v>NICOLAS ESPITIA CHACON</v>
      </c>
      <c r="D1217" s="4" t="str">
        <f>IFERROR(VLOOKUP(A1217,'Base Prueba'!A:D,4,),"NO REGISTRA")</f>
        <v>AUXILIAR DE RECURSOS ACADEMICOS</v>
      </c>
      <c r="E1217" s="5" t="str">
        <f>IFERROR(VLOOKUP(A1217,'Base Prueba'!A:E,5,),"NO REGISTRA")</f>
        <v>RECURSOS ACADEMICOS</v>
      </c>
    </row>
    <row r="1218" spans="1:5" ht="15.75" x14ac:dyDescent="0.25">
      <c r="A1218" s="10">
        <v>248294</v>
      </c>
      <c r="B1218" s="2">
        <v>46164.688001504626</v>
      </c>
      <c r="C1218" s="3" t="str">
        <f>IFERROR(VLOOKUP(A1218,'Base Prueba'!A:C,3,),"NO REGISTRA")</f>
        <v>WALTER NATALIO VALDEZ MONTAÑEZ</v>
      </c>
      <c r="D1218" s="4" t="str">
        <f>IFERROR(VLOOKUP(A1218,'Base Prueba'!A:D,4,),"NO REGISTRA")</f>
        <v>DOCENTE DE TIEMPO COMPLETO</v>
      </c>
      <c r="E1218" s="5" t="str">
        <f>IFERROR(VLOOKUP(A1218,'Base Prueba'!A:E,5,),"NO REGISTRA")</f>
        <v>UNIVERSITARIO EN TURISMO Y GASTRONOMIA</v>
      </c>
    </row>
    <row r="1219" spans="1:5" ht="15.75" x14ac:dyDescent="0.25">
      <c r="A1219" s="10">
        <v>80059783</v>
      </c>
      <c r="B1219" s="2">
        <v>46164.751105902775</v>
      </c>
      <c r="C1219" s="3" t="str">
        <f>IFERROR(VLOOKUP(A1219,'Base Prueba'!A:C,3,),"NO REGISTRA")</f>
        <v>JAIRO FABIAN RIVERA RUBIANO</v>
      </c>
      <c r="D1219" s="4" t="str">
        <f>IFERROR(VLOOKUP(A1219,'Base Prueba'!A:D,4,),"NO REGISTRA")</f>
        <v>DOCENTE DE MEDIO TIEMPO</v>
      </c>
      <c r="E1219" s="5" t="str">
        <f>IFERROR(VLOOKUP(A1219,'Base Prueba'!A:E,5,),"NO REGISTRA")</f>
        <v>TECNOLOGIA EN ADMINISTRACION DEL TALENTO HUMANO</v>
      </c>
    </row>
    <row r="1220" spans="1:5" ht="15.75" x14ac:dyDescent="0.25">
      <c r="A1220" s="10">
        <v>52708259</v>
      </c>
      <c r="B1220" s="2">
        <v>46164.762626736112</v>
      </c>
      <c r="C1220" s="3" t="str">
        <f>IFERROR(VLOOKUP(A1220,'Base Prueba'!A:C,3,),"NO REGISTRA")</f>
        <v>MARTHA CECILIA CALDERON RAMOS</v>
      </c>
      <c r="D1220" s="4" t="str">
        <f>IFERROR(VLOOKUP(A1220,'Base Prueba'!A:D,4,),"NO REGISTRA")</f>
        <v>CATEDRATICO</v>
      </c>
      <c r="E1220" s="5" t="str">
        <f>IFERROR(VLOOKUP(A1220,'Base Prueba'!A:E,5,),"NO REGISTRA")</f>
        <v>ESPECIALIZACION EN GERNCIA DE SEGURIDAD Y SALUD EN EL TRABAJO</v>
      </c>
    </row>
    <row r="1221" spans="1:5" ht="15.75" x14ac:dyDescent="0.25">
      <c r="A1221" s="10">
        <v>79452150</v>
      </c>
      <c r="B1221" s="2">
        <v>46164.809698611112</v>
      </c>
      <c r="C1221" s="3" t="str">
        <f>IFERROR(VLOOKUP(A1221,'Base Prueba'!A:C,3,),"NO REGISTRA")</f>
        <v>JUAN CARLOS PAZ CUBILLOS</v>
      </c>
      <c r="D1221" s="4" t="str">
        <f>IFERROR(VLOOKUP(A1221,'Base Prueba'!A:D,4,),"NO REGISTRA")</f>
        <v>ANALISTA DE SISTEMAS</v>
      </c>
      <c r="E1221" s="5" t="str">
        <f>IFERROR(VLOOKUP(A1221,'Base Prueba'!A:E,5,),"NO REGISTRA")</f>
        <v>DEPARTAMENTO DE INFORMATICA Y TECNOLOGIA</v>
      </c>
    </row>
    <row r="1222" spans="1:5" ht="15.75" x14ac:dyDescent="0.25">
      <c r="A1222" s="10">
        <v>52049956</v>
      </c>
      <c r="B1222" s="2">
        <v>46164.834836458336</v>
      </c>
      <c r="C1222" s="3" t="str">
        <f>IFERROR(VLOOKUP(A1222,'Base Prueba'!A:C,3,),"NO REGISTRA")</f>
        <v>ESPERANZA MORALES</v>
      </c>
      <c r="D1222" s="4" t="str">
        <f>IFERROR(VLOOKUP(A1222,'Base Prueba'!A:D,4,),"NO REGISTRA")</f>
        <v>DIRECTORA DE INFORMATICA Y TECNOLOGIA</v>
      </c>
      <c r="E1222" s="5" t="str">
        <f>IFERROR(VLOOKUP(A1222,'Base Prueba'!A:E,5,),"NO REGISTRA")</f>
        <v>DEPARTAMENTO DE INFORMATICA Y TECNOLOGIA</v>
      </c>
    </row>
    <row r="1223" spans="1:5" ht="15.75" x14ac:dyDescent="0.25">
      <c r="A1223" s="10">
        <v>1019603886</v>
      </c>
      <c r="B1223" s="2">
        <v>46164.922996875001</v>
      </c>
      <c r="C1223" s="3" t="str">
        <f>IFERROR(VLOOKUP(A1223,'Base Prueba'!A:C,3,),"NO REGISTRA")</f>
        <v>NICOLAS ESPITIA CHACON</v>
      </c>
      <c r="D1223" s="4" t="str">
        <f>IFERROR(VLOOKUP(A1223,'Base Prueba'!A:D,4,),"NO REGISTRA")</f>
        <v>AUXILIAR DE RECURSOS ACADEMICOS</v>
      </c>
      <c r="E1223" s="5" t="str">
        <f>IFERROR(VLOOKUP(A1223,'Base Prueba'!A:E,5,),"NO REGISTRA")</f>
        <v>RECURSOS ACADEMICOS</v>
      </c>
    </row>
    <row r="1224" spans="1:5" ht="15.75" x14ac:dyDescent="0.25">
      <c r="A1224" s="10">
        <v>1018482392</v>
      </c>
      <c r="B1224" s="2">
        <v>46164.923258449075</v>
      </c>
      <c r="C1224" s="3" t="str">
        <f>IFERROR(VLOOKUP(A1224,'Base Prueba'!A:C,3,),"NO REGISTRA")</f>
        <v>RAQUEL YANETH SANDOVAL FORERO</v>
      </c>
      <c r="D1224" s="4" t="str">
        <f>IFERROR(VLOOKUP(A1224,'Base Prueba'!A:D,4,),"NO REGISTRA")</f>
        <v>AUXILIAR DE RECURSOS ACADEMICOS</v>
      </c>
      <c r="E1224" s="5" t="str">
        <f>IFERROR(VLOOKUP(A1224,'Base Prueba'!A:E,5,),"NO REGISTRA")</f>
        <v>RECURSOS ACADEMICOS</v>
      </c>
    </row>
    <row r="1225" spans="1:5" ht="15.75" x14ac:dyDescent="0.25">
      <c r="A1225" s="10">
        <v>79484197</v>
      </c>
      <c r="B1225" s="2">
        <v>46165.277481828707</v>
      </c>
      <c r="C1225" s="3" t="str">
        <f>IFERROR(VLOOKUP(A1225,'Base Prueba'!A:C,3,),"NO REGISTRA")</f>
        <v>JOHN DANIEL GUTIERREZ BOADA</v>
      </c>
      <c r="D1225" s="4" t="str">
        <f>IFERROR(VLOOKUP(A1225,'Base Prueba'!A:D,4,),"NO REGISTRA")</f>
        <v>DOCENTE DE MEDIO TIEMPO</v>
      </c>
      <c r="E1225" s="5" t="str">
        <f>IFERROR(VLOOKUP(A1225,'Base Prueba'!A:E,5,),"NO REGISTRA")</f>
        <v>UNIVERSITARIO COMUNICACION SOCIAL</v>
      </c>
    </row>
    <row r="1226" spans="1:5" ht="15.75" x14ac:dyDescent="0.25">
      <c r="A1226" s="10">
        <v>80778198</v>
      </c>
      <c r="B1226" s="2">
        <v>46165.282978819443</v>
      </c>
      <c r="C1226" s="3" t="str">
        <f>IFERROR(VLOOKUP(A1226,'Base Prueba'!A:C,3,),"NO REGISTRA")</f>
        <v>JIMY JAVIER ALDANA REYES</v>
      </c>
      <c r="D1226" s="4" t="str">
        <f>IFERROR(VLOOKUP(A1226,'Base Prueba'!A:D,4,),"NO REGISTRA")</f>
        <v>DOCENTE DE TIEMPO COMPLETO</v>
      </c>
      <c r="E1226" s="5" t="str">
        <f>IFERROR(VLOOKUP(A1226,'Base Prueba'!A:E,5,),"NO REGISTRA")</f>
        <v>INGENIERIA DE SOFTWARE</v>
      </c>
    </row>
    <row r="1227" spans="1:5" ht="15.75" x14ac:dyDescent="0.25">
      <c r="A1227" s="10">
        <v>80059783</v>
      </c>
      <c r="B1227" s="2">
        <v>46165.287994907405</v>
      </c>
      <c r="C1227" s="3" t="str">
        <f>IFERROR(VLOOKUP(A1227,'Base Prueba'!A:C,3,),"NO REGISTRA")</f>
        <v>JAIRO FABIAN RIVERA RUBIANO</v>
      </c>
      <c r="D1227" s="4" t="str">
        <f>IFERROR(VLOOKUP(A1227,'Base Prueba'!A:D,4,),"NO REGISTRA")</f>
        <v>DOCENTE DE MEDIO TIEMPO</v>
      </c>
      <c r="E1227" s="5" t="str">
        <f>IFERROR(VLOOKUP(A1227,'Base Prueba'!A:E,5,),"NO REGISTRA")</f>
        <v>TECNOLOGIA EN ADMINISTRACION DEL TALENTO HUMANO</v>
      </c>
    </row>
    <row r="1228" spans="1:5" ht="15.75" x14ac:dyDescent="0.25">
      <c r="A1228" s="10">
        <v>52850506</v>
      </c>
      <c r="B1228" s="2">
        <v>46165.295177199077</v>
      </c>
      <c r="C1228" s="3" t="str">
        <f>IFERROR(VLOOKUP(A1228,'Base Prueba'!A:C,3,),"NO REGISTRA")</f>
        <v>PAOLA ANDREA VASQUEZ FONSECA</v>
      </c>
      <c r="D1228" s="4" t="str">
        <f>IFERROR(VLOOKUP(A1228,'Base Prueba'!A:D,4,),"NO REGISTRA")</f>
        <v>DOCENTE DE TIEMPO COMPLETO</v>
      </c>
      <c r="E1228" s="5" t="str">
        <f>IFERROR(VLOOKUP(A1228,'Base Prueba'!A:E,5,),"NO REGISTRA")</f>
        <v>UNIVERSITARIO COMUNICACION SOCIAL</v>
      </c>
    </row>
    <row r="1229" spans="1:5" ht="15.75" x14ac:dyDescent="0.25">
      <c r="A1229" s="10">
        <v>85437910</v>
      </c>
      <c r="B1229" s="2">
        <v>46165.320816666666</v>
      </c>
      <c r="C1229" s="3" t="str">
        <f>IFERROR(VLOOKUP(A1229,'Base Prueba'!A:C,3,),"NO REGISTRA")</f>
        <v>EDGAR JOSE PISCIOTTI LEON</v>
      </c>
      <c r="D1229" s="4" t="str">
        <f>IFERROR(VLOOKUP(A1229,'Base Prueba'!A:D,4,),"NO REGISTRA")</f>
        <v>DOCENTE DE MEDIO TIEMPO</v>
      </c>
      <c r="E1229" s="5" t="str">
        <f>IFERROR(VLOOKUP(A1229,'Base Prueba'!A:E,5,),"NO REGISTRA")</f>
        <v>TECNOLOGIA EN COMERCIO Y NEGOCIOS INTERNACIONALES</v>
      </c>
    </row>
    <row r="1230" spans="1:5" ht="15.75" x14ac:dyDescent="0.25">
      <c r="A1230" s="10">
        <v>52049956</v>
      </c>
      <c r="B1230" s="2">
        <v>46165.365741435184</v>
      </c>
      <c r="C1230" s="3" t="str">
        <f>IFERROR(VLOOKUP(A1230,'Base Prueba'!A:C,3,),"NO REGISTRA")</f>
        <v>ESPERANZA MORALES</v>
      </c>
      <c r="D1230" s="4" t="str">
        <f>IFERROR(VLOOKUP(A1230,'Base Prueba'!A:D,4,),"NO REGISTRA")</f>
        <v>DIRECTORA DE INFORMATICA Y TECNOLOGIA</v>
      </c>
      <c r="E1230" s="5" t="str">
        <f>IFERROR(VLOOKUP(A1230,'Base Prueba'!A:E,5,),"NO REGISTRA")</f>
        <v>DEPARTAMENTO DE INFORMATICA Y TECNOLOGIA</v>
      </c>
    </row>
    <row r="1231" spans="1:5" ht="15.75" x14ac:dyDescent="0.25">
      <c r="A1231" s="10">
        <v>52850506</v>
      </c>
      <c r="B1231" s="2">
        <v>46165.446253587965</v>
      </c>
      <c r="C1231" s="3" t="str">
        <f>IFERROR(VLOOKUP(A1231,'Base Prueba'!A:C,3,),"NO REGISTRA")</f>
        <v>PAOLA ANDREA VASQUEZ FONSECA</v>
      </c>
      <c r="D1231" s="4" t="str">
        <f>IFERROR(VLOOKUP(A1231,'Base Prueba'!A:D,4,),"NO REGISTRA")</f>
        <v>DOCENTE DE TIEMPO COMPLETO</v>
      </c>
      <c r="E1231" s="5" t="str">
        <f>IFERROR(VLOOKUP(A1231,'Base Prueba'!A:E,5,),"NO REGISTRA")</f>
        <v>UNIVERSITARIO COMUNICACION SOCIAL</v>
      </c>
    </row>
    <row r="1232" spans="1:5" ht="15.75" x14ac:dyDescent="0.25">
      <c r="A1232" s="10">
        <v>52049956</v>
      </c>
      <c r="B1232" s="2">
        <v>46165.505404282405</v>
      </c>
      <c r="C1232" s="3" t="str">
        <f>IFERROR(VLOOKUP(A1232,'Base Prueba'!A:C,3,),"NO REGISTRA")</f>
        <v>ESPERANZA MORALES</v>
      </c>
      <c r="D1232" s="4" t="str">
        <f>IFERROR(VLOOKUP(A1232,'Base Prueba'!A:D,4,),"NO REGISTRA")</f>
        <v>DIRECTORA DE INFORMATICA Y TECNOLOGIA</v>
      </c>
      <c r="E1232" s="5" t="str">
        <f>IFERROR(VLOOKUP(A1232,'Base Prueba'!A:E,5,),"NO REGISTRA")</f>
        <v>DEPARTAMENTO DE INFORMATICA Y TECNOLOGIA</v>
      </c>
    </row>
    <row r="1233" spans="1:5" ht="15.75" x14ac:dyDescent="0.25">
      <c r="A1233" s="10">
        <v>1019603886</v>
      </c>
      <c r="B1233" s="2">
        <v>46165.52207337963</v>
      </c>
      <c r="C1233" s="3" t="str">
        <f>IFERROR(VLOOKUP(A1233,'Base Prueba'!A:C,3,),"NO REGISTRA")</f>
        <v>NICOLAS ESPITIA CHACON</v>
      </c>
      <c r="D1233" s="4" t="str">
        <f>IFERROR(VLOOKUP(A1233,'Base Prueba'!A:D,4,),"NO REGISTRA")</f>
        <v>AUXILIAR DE RECURSOS ACADEMICOS</v>
      </c>
      <c r="E1233" s="5" t="str">
        <f>IFERROR(VLOOKUP(A1233,'Base Prueba'!A:E,5,),"NO REGISTRA")</f>
        <v>RECURSOS ACADEMICOS</v>
      </c>
    </row>
    <row r="1234" spans="1:5" ht="15.75" x14ac:dyDescent="0.25">
      <c r="A1234" s="10">
        <v>79484197</v>
      </c>
      <c r="B1234" s="2">
        <v>46165.67228564815</v>
      </c>
      <c r="C1234" s="3" t="str">
        <f>IFERROR(VLOOKUP(A1234,'Base Prueba'!A:C,3,),"NO REGISTRA")</f>
        <v>JOHN DANIEL GUTIERREZ BOADA</v>
      </c>
      <c r="D1234" s="4" t="str">
        <f>IFERROR(VLOOKUP(A1234,'Base Prueba'!A:D,4,),"NO REGISTRA")</f>
        <v>DOCENTE DE MEDIO TIEMPO</v>
      </c>
      <c r="E1234" s="5" t="str">
        <f>IFERROR(VLOOKUP(A1234,'Base Prueba'!A:E,5,),"NO REGISTRA")</f>
        <v>UNIVERSITARIO COMUNICACION SOCIAL</v>
      </c>
    </row>
    <row r="1235" spans="1:5" ht="15.75" x14ac:dyDescent="0.25">
      <c r="A1235" s="10">
        <v>1001060798</v>
      </c>
      <c r="B1235" s="2">
        <v>46165.715925115743</v>
      </c>
      <c r="C1235" s="3" t="str">
        <f>IFERROR(VLOOKUP(A1235,'Base Prueba'!A:C,3,),"NO REGISTRA")</f>
        <v>ANGIE GABRIELA ADAMES RAMOS</v>
      </c>
      <c r="D1235" s="4" t="str">
        <f>IFERROR(VLOOKUP(A1235,'Base Prueba'!A:D,4,),"NO REGISTRA")</f>
        <v>DOCENTE DE MEDIO TIEMPO</v>
      </c>
      <c r="E1235" s="5" t="str">
        <f>IFERROR(VLOOKUP(A1235,'Base Prueba'!A:E,5,),"NO REGISTRA")</f>
        <v>UNIDAD DE IDIOMAS</v>
      </c>
    </row>
    <row r="1236" spans="1:5" ht="15.75" x14ac:dyDescent="0.25">
      <c r="A1236" s="10">
        <v>1019125716</v>
      </c>
      <c r="B1236" s="2">
        <v>46165.781150347226</v>
      </c>
      <c r="C1236" s="3" t="str">
        <f>IFERROR(VLOOKUP(A1236,'Base Prueba'!A:C,3,),"NO REGISTRA")</f>
        <v>GINA PAOLA ALZATE ARISTIZABAL</v>
      </c>
      <c r="D1236" s="4" t="str">
        <f>IFERROR(VLOOKUP(A1236,'Base Prueba'!A:D,4,),"NO REGISTRA")</f>
        <v>DOCENTE DE MEDIO TIEMPO</v>
      </c>
      <c r="E1236" s="5" t="str">
        <f>IFERROR(VLOOKUP(A1236,'Base Prueba'!A:E,5,),"NO REGISTRA")</f>
        <v>UNIDAD DE IDIOMAS</v>
      </c>
    </row>
    <row r="1237" spans="1:5" ht="15.75" x14ac:dyDescent="0.25">
      <c r="A1237" s="10">
        <v>1019125716</v>
      </c>
      <c r="B1237" s="2">
        <v>46165.781156944446</v>
      </c>
      <c r="C1237" s="3" t="str">
        <f>IFERROR(VLOOKUP(A1237,'Base Prueba'!A:C,3,),"NO REGISTRA")</f>
        <v>GINA PAOLA ALZATE ARISTIZABAL</v>
      </c>
      <c r="D1237" s="4" t="str">
        <f>IFERROR(VLOOKUP(A1237,'Base Prueba'!A:D,4,),"NO REGISTRA")</f>
        <v>DOCENTE DE MEDIO TIEMPO</v>
      </c>
      <c r="E1237" s="5" t="str">
        <f>IFERROR(VLOOKUP(A1237,'Base Prueba'!A:E,5,),"NO REGISTRA")</f>
        <v>UNIDAD DE IDIOMAS</v>
      </c>
    </row>
    <row r="1238" spans="1:5" ht="15.75" x14ac:dyDescent="0.25">
      <c r="A1238" s="10">
        <v>51555582</v>
      </c>
      <c r="B1238" s="2">
        <v>46167.290759490737</v>
      </c>
      <c r="C1238" s="3" t="str">
        <f>IFERROR(VLOOKUP(A1238,'Base Prueba'!A:C,3,),"NO REGISTRA")</f>
        <v>MARTHA CECILIA VIDAL ARIZABALETA</v>
      </c>
      <c r="D1238" s="4" t="str">
        <f>IFERROR(VLOOKUP(A1238,'Base Prueba'!A:D,4,),"NO REGISTRA")</f>
        <v>DOCENTE DE MEDIO TIEMPO</v>
      </c>
      <c r="E1238" s="5" t="str">
        <f>IFERROR(VLOOKUP(A1238,'Base Prueba'!A:E,5,),"NO REGISTRA")</f>
        <v>INGENIERIA DE SOFTWARE</v>
      </c>
    </row>
    <row r="1239" spans="1:5" ht="15.75" x14ac:dyDescent="0.25">
      <c r="A1239" s="10">
        <v>1024528858</v>
      </c>
      <c r="B1239" s="2">
        <v>46167.368483217593</v>
      </c>
      <c r="C1239" s="3" t="str">
        <f>IFERROR(VLOOKUP(A1239,'Base Prueba'!A:C,3,),"NO REGISTRA")</f>
        <v>LEIDY PAOLA SANDOVAL FUENTES</v>
      </c>
      <c r="D1239" s="4" t="str">
        <f>IFERROR(VLOOKUP(A1239,'Base Prueba'!A:D,4,),"NO REGISTRA")</f>
        <v>SECRETARIA ACADEMICA - ADMINISTRATIVA DE FACULTAD</v>
      </c>
      <c r="E1239" s="5" t="str">
        <f>IFERROR(VLOOKUP(A1239,'Base Prueba'!A:E,5,),"NO REGISTRA")</f>
        <v>FACULTAD DE CIENCIAS ECONOMICAS Y ADMINISTRATIVAS</v>
      </c>
    </row>
    <row r="1240" spans="1:5" ht="15.75" x14ac:dyDescent="0.25">
      <c r="A1240" s="10">
        <v>52049956</v>
      </c>
      <c r="B1240" s="2">
        <v>46167.370209837965</v>
      </c>
      <c r="C1240" s="3" t="str">
        <f>IFERROR(VLOOKUP(A1240,'Base Prueba'!A:C,3,),"NO REGISTRA")</f>
        <v>ESPERANZA MORALES</v>
      </c>
      <c r="D1240" s="4" t="str">
        <f>IFERROR(VLOOKUP(A1240,'Base Prueba'!A:D,4,),"NO REGISTRA")</f>
        <v>DIRECTORA DE INFORMATICA Y TECNOLOGIA</v>
      </c>
      <c r="E1240" s="5" t="str">
        <f>IFERROR(VLOOKUP(A1240,'Base Prueba'!A:E,5,),"NO REGISTRA")</f>
        <v>DEPARTAMENTO DE INFORMATICA Y TECNOLOGIA</v>
      </c>
    </row>
    <row r="1241" spans="1:5" ht="15.75" x14ac:dyDescent="0.25">
      <c r="A1241" s="10">
        <v>85437910</v>
      </c>
      <c r="B1241" s="2">
        <v>46167.399814814817</v>
      </c>
      <c r="C1241" s="3" t="str">
        <f>IFERROR(VLOOKUP(A1241,'Base Prueba'!A:C,3,),"NO REGISTRA")</f>
        <v>EDGAR JOSE PISCIOTTI LEON</v>
      </c>
      <c r="D1241" s="4" t="str">
        <f>IFERROR(VLOOKUP(A1241,'Base Prueba'!A:D,4,),"NO REGISTRA")</f>
        <v>DOCENTE DE MEDIO TIEMPO</v>
      </c>
      <c r="E1241" s="5" t="str">
        <f>IFERROR(VLOOKUP(A1241,'Base Prueba'!A:E,5,),"NO REGISTRA")</f>
        <v>TECNOLOGIA EN COMERCIO Y NEGOCIOS INTERNACIONALES</v>
      </c>
    </row>
    <row r="1242" spans="1:5" ht="15.75" x14ac:dyDescent="0.25">
      <c r="A1242" s="10">
        <v>51555582</v>
      </c>
      <c r="B1242" s="2">
        <v>46167.438737615739</v>
      </c>
      <c r="C1242" s="3" t="str">
        <f>IFERROR(VLOOKUP(A1242,'Base Prueba'!A:C,3,),"NO REGISTRA")</f>
        <v>MARTHA CECILIA VIDAL ARIZABALETA</v>
      </c>
      <c r="D1242" s="4" t="str">
        <f>IFERROR(VLOOKUP(A1242,'Base Prueba'!A:D,4,),"NO REGISTRA")</f>
        <v>DOCENTE DE MEDIO TIEMPO</v>
      </c>
      <c r="E1242" s="5" t="str">
        <f>IFERROR(VLOOKUP(A1242,'Base Prueba'!A:E,5,),"NO REGISTRA")</f>
        <v>INGENIERIA DE SOFTWARE</v>
      </c>
    </row>
    <row r="1243" spans="1:5" ht="15.75" x14ac:dyDescent="0.25">
      <c r="A1243" s="10">
        <v>1018482392</v>
      </c>
      <c r="B1243" s="2">
        <v>46167.59425671296</v>
      </c>
      <c r="C1243" s="3" t="str">
        <f>IFERROR(VLOOKUP(A1243,'Base Prueba'!A:C,3,),"NO REGISTRA")</f>
        <v>RAQUEL YANETH SANDOVAL FORERO</v>
      </c>
      <c r="D1243" s="4" t="str">
        <f>IFERROR(VLOOKUP(A1243,'Base Prueba'!A:D,4,),"NO REGISTRA")</f>
        <v>AUXILIAR DE RECURSOS ACADEMICOS</v>
      </c>
      <c r="E1243" s="5" t="str">
        <f>IFERROR(VLOOKUP(A1243,'Base Prueba'!A:E,5,),"NO REGISTRA")</f>
        <v>RECURSOS ACADEMICOS</v>
      </c>
    </row>
    <row r="1244" spans="1:5" ht="15.75" x14ac:dyDescent="0.25">
      <c r="A1244" s="10">
        <v>1019603886</v>
      </c>
      <c r="B1244" s="2">
        <v>46167.596980787035</v>
      </c>
      <c r="C1244" s="3" t="str">
        <f>IFERROR(VLOOKUP(A1244,'Base Prueba'!A:C,3,),"NO REGISTRA")</f>
        <v>NICOLAS ESPITIA CHACON</v>
      </c>
      <c r="D1244" s="4" t="str">
        <f>IFERROR(VLOOKUP(A1244,'Base Prueba'!A:D,4,),"NO REGISTRA")</f>
        <v>AUXILIAR DE RECURSOS ACADEMICOS</v>
      </c>
      <c r="E1244" s="5" t="str">
        <f>IFERROR(VLOOKUP(A1244,'Base Prueba'!A:E,5,),"NO REGISTRA")</f>
        <v>RECURSOS ACADEMICOS</v>
      </c>
    </row>
    <row r="1245" spans="1:5" ht="15.75" x14ac:dyDescent="0.25">
      <c r="A1245" s="10">
        <v>1022378300</v>
      </c>
      <c r="B1245" s="2">
        <v>46167.704925694445</v>
      </c>
      <c r="C1245" s="3" t="str">
        <f>IFERROR(VLOOKUP(A1245,'Base Prueba'!A:C,3,),"NO REGISTRA")</f>
        <v>FERNEY ANDRES CHASPUENGAL RAMIREZ</v>
      </c>
      <c r="D1245" s="4" t="str">
        <f>IFERROR(VLOOKUP(A1245,'Base Prueba'!A:D,4,),"NO REGISTRA")</f>
        <v>LÍDER DE DEPORTE Y CULTURA</v>
      </c>
      <c r="E1245" s="5" t="str">
        <f>IFERROR(VLOOKUP(A1245,'Base Prueba'!A:E,5,),"NO REGISTRA")</f>
        <v>DIRECCION DE BIENESTAR INSTITUCIONAL</v>
      </c>
    </row>
    <row r="1246" spans="1:5" ht="15.75" x14ac:dyDescent="0.25">
      <c r="A1246" s="10">
        <v>79484197</v>
      </c>
      <c r="B1246" s="2">
        <v>46167.720289351855</v>
      </c>
      <c r="C1246" s="3" t="str">
        <f>IFERROR(VLOOKUP(A1246,'Base Prueba'!A:C,3,),"NO REGISTRA")</f>
        <v>JOHN DANIEL GUTIERREZ BOADA</v>
      </c>
      <c r="D1246" s="4" t="str">
        <f>IFERROR(VLOOKUP(A1246,'Base Prueba'!A:D,4,),"NO REGISTRA")</f>
        <v>DOCENTE DE MEDIO TIEMPO</v>
      </c>
      <c r="E1246" s="5" t="str">
        <f>IFERROR(VLOOKUP(A1246,'Base Prueba'!A:E,5,),"NO REGISTRA")</f>
        <v>UNIVERSITARIO COMUNICACION SOCIAL</v>
      </c>
    </row>
    <row r="1247" spans="1:5" ht="15.75" x14ac:dyDescent="0.25">
      <c r="A1247" s="10">
        <v>79792838</v>
      </c>
      <c r="B1247" s="2">
        <v>46167.745127546295</v>
      </c>
      <c r="C1247" s="3" t="str">
        <f>IFERROR(VLOOKUP(A1247,'Base Prueba'!A:C,3,),"NO REGISTRA")</f>
        <v>CARLOS STEAVE DAVILA MENESES</v>
      </c>
      <c r="D1247" s="4" t="str">
        <f>IFERROR(VLOOKUP(A1247,'Base Prueba'!A:D,4,),"NO REGISTRA")</f>
        <v>DOCENTE DE MEDIO TIEMPO</v>
      </c>
      <c r="E1247" s="5" t="str">
        <f>IFERROR(VLOOKUP(A1247,'Base Prueba'!A:E,5,),"NO REGISTRA")</f>
        <v>UNIDAD DE IDIOMAS</v>
      </c>
    </row>
    <row r="1248" spans="1:5" ht="15.75" x14ac:dyDescent="0.25">
      <c r="A1248" s="10">
        <v>79792838</v>
      </c>
      <c r="B1248" s="2">
        <v>46167.745133796299</v>
      </c>
      <c r="C1248" s="3" t="str">
        <f>IFERROR(VLOOKUP(A1248,'Base Prueba'!A:C,3,),"NO REGISTRA")</f>
        <v>CARLOS STEAVE DAVILA MENESES</v>
      </c>
      <c r="D1248" s="4" t="str">
        <f>IFERROR(VLOOKUP(A1248,'Base Prueba'!A:D,4,),"NO REGISTRA")</f>
        <v>DOCENTE DE MEDIO TIEMPO</v>
      </c>
      <c r="E1248" s="5" t="str">
        <f>IFERROR(VLOOKUP(A1248,'Base Prueba'!A:E,5,),"NO REGISTRA")</f>
        <v>UNIDAD DE IDIOMAS</v>
      </c>
    </row>
    <row r="1249" spans="1:5" ht="15.75" x14ac:dyDescent="0.25">
      <c r="A1249" s="10">
        <v>79522309</v>
      </c>
      <c r="B1249" s="2">
        <v>46167.749795601849</v>
      </c>
      <c r="C1249" s="3" t="str">
        <f>IFERROR(VLOOKUP(A1249,'Base Prueba'!A:C,3,),"NO REGISTRA")</f>
        <v>JULIAN ARTURO PUIN MANRIQUE</v>
      </c>
      <c r="D1249" s="4" t="str">
        <f>IFERROR(VLOOKUP(A1249,'Base Prueba'!A:D,4,),"NO REGISTRA")</f>
        <v>DOCENTE DE MEDIO TIEMPO</v>
      </c>
      <c r="E1249" s="5" t="str">
        <f>IFERROR(VLOOKUP(A1249,'Base Prueba'!A:E,5,),"NO REGISTRA")</f>
        <v>TECNOLOGIA EN SEGURIDAD Y SALUD EN EL TRABAJO</v>
      </c>
    </row>
    <row r="1250" spans="1:5" ht="15.75" x14ac:dyDescent="0.25">
      <c r="A1250" s="10">
        <v>52049956</v>
      </c>
      <c r="B1250" s="2">
        <v>46167.808859027777</v>
      </c>
      <c r="C1250" s="3" t="str">
        <f>IFERROR(VLOOKUP(A1250,'Base Prueba'!A:C,3,),"NO REGISTRA")</f>
        <v>ESPERANZA MORALES</v>
      </c>
      <c r="D1250" s="4" t="str">
        <f>IFERROR(VLOOKUP(A1250,'Base Prueba'!A:D,4,),"NO REGISTRA")</f>
        <v>DIRECTORA DE INFORMATICA Y TECNOLOGIA</v>
      </c>
      <c r="E1250" s="5" t="str">
        <f>IFERROR(VLOOKUP(A1250,'Base Prueba'!A:E,5,),"NO REGISTRA")</f>
        <v>DEPARTAMENTO DE INFORMATICA Y TECNOLOGIA</v>
      </c>
    </row>
    <row r="1251" spans="1:5" ht="15.75" x14ac:dyDescent="0.25">
      <c r="A1251" s="10">
        <v>79452150</v>
      </c>
      <c r="B1251" s="2">
        <v>46167.814500347224</v>
      </c>
      <c r="C1251" s="3" t="str">
        <f>IFERROR(VLOOKUP(A1251,'Base Prueba'!A:C,3,),"NO REGISTRA")</f>
        <v>JUAN CARLOS PAZ CUBILLOS</v>
      </c>
      <c r="D1251" s="4" t="str">
        <f>IFERROR(VLOOKUP(A1251,'Base Prueba'!A:D,4,),"NO REGISTRA")</f>
        <v>ANALISTA DE SISTEMAS</v>
      </c>
      <c r="E1251" s="5" t="str">
        <f>IFERROR(VLOOKUP(A1251,'Base Prueba'!A:E,5,),"NO REGISTRA")</f>
        <v>DEPARTAMENTO DE INFORMATICA Y TECNOLOGIA</v>
      </c>
    </row>
    <row r="1252" spans="1:5" ht="15.75" x14ac:dyDescent="0.25">
      <c r="A1252" s="10">
        <v>1019125716</v>
      </c>
      <c r="B1252" s="2">
        <v>46167.862635648147</v>
      </c>
      <c r="C1252" s="3" t="str">
        <f>IFERROR(VLOOKUP(A1252,'Base Prueba'!A:C,3,),"NO REGISTRA")</f>
        <v>GINA PAOLA ALZATE ARISTIZABAL</v>
      </c>
      <c r="D1252" s="4" t="str">
        <f>IFERROR(VLOOKUP(A1252,'Base Prueba'!A:D,4,),"NO REGISTRA")</f>
        <v>DOCENTE DE MEDIO TIEMPO</v>
      </c>
      <c r="E1252" s="5" t="str">
        <f>IFERROR(VLOOKUP(A1252,'Base Prueba'!A:E,5,),"NO REGISTRA")</f>
        <v>UNIDAD DE IDIOMAS</v>
      </c>
    </row>
    <row r="1253" spans="1:5" ht="15.75" x14ac:dyDescent="0.25">
      <c r="A1253" s="10">
        <v>1019603886</v>
      </c>
      <c r="B1253" s="2">
        <v>46167.912512152776</v>
      </c>
      <c r="C1253" s="3" t="str">
        <f>IFERROR(VLOOKUP(A1253,'Base Prueba'!A:C,3,),"NO REGISTRA")</f>
        <v>NICOLAS ESPITIA CHACON</v>
      </c>
      <c r="D1253" s="4" t="str">
        <f>IFERROR(VLOOKUP(A1253,'Base Prueba'!A:D,4,),"NO REGISTRA")</f>
        <v>AUXILIAR DE RECURSOS ACADEMICOS</v>
      </c>
      <c r="E1253" s="5" t="str">
        <f>IFERROR(VLOOKUP(A1253,'Base Prueba'!A:E,5,),"NO REGISTRA")</f>
        <v>RECURSOS ACADEMICOS</v>
      </c>
    </row>
    <row r="1254" spans="1:5" ht="15.75" x14ac:dyDescent="0.25">
      <c r="A1254" s="10">
        <v>1018482392</v>
      </c>
      <c r="B1254" s="2">
        <v>46167.912707060183</v>
      </c>
      <c r="C1254" s="3" t="str">
        <f>IFERROR(VLOOKUP(A1254,'Base Prueba'!A:C,3,),"NO REGISTRA")</f>
        <v>RAQUEL YANETH SANDOVAL FORERO</v>
      </c>
      <c r="D1254" s="4" t="str">
        <f>IFERROR(VLOOKUP(A1254,'Base Prueba'!A:D,4,),"NO REGISTRA")</f>
        <v>AUXILIAR DE RECURSOS ACADEMICOS</v>
      </c>
      <c r="E1254" s="5" t="str">
        <f>IFERROR(VLOOKUP(A1254,'Base Prueba'!A:E,5,),"NO REGISTRA")</f>
        <v>RECURSOS ACADEMICOS</v>
      </c>
    </row>
    <row r="1255" spans="1:5" ht="15.75" x14ac:dyDescent="0.25">
      <c r="A1255" s="10">
        <v>79484197</v>
      </c>
      <c r="B1255" s="2">
        <v>46168.276844675929</v>
      </c>
      <c r="C1255" s="3" t="str">
        <f>IFERROR(VLOOKUP(A1255,'Base Prueba'!A:C,3,),"NO REGISTRA")</f>
        <v>JOHN DANIEL GUTIERREZ BOADA</v>
      </c>
      <c r="D1255" s="4" t="str">
        <f>IFERROR(VLOOKUP(A1255,'Base Prueba'!A:D,4,),"NO REGISTRA")</f>
        <v>DOCENTE DE MEDIO TIEMPO</v>
      </c>
      <c r="E1255" s="5" t="str">
        <f>IFERROR(VLOOKUP(A1255,'Base Prueba'!A:E,5,),"NO REGISTRA")</f>
        <v>UNIVERSITARIO COMUNICACION SOCIAL</v>
      </c>
    </row>
    <row r="1256" spans="1:5" ht="15.75" x14ac:dyDescent="0.25">
      <c r="A1256" s="10">
        <v>19461924</v>
      </c>
      <c r="B1256" s="2">
        <v>46168.351566550926</v>
      </c>
      <c r="C1256" s="3" t="str">
        <f>IFERROR(VLOOKUP(A1256,'Base Prueba'!A:C,3,),"NO REGISTRA")</f>
        <v>ORLANDO ALBERTO ORTIZ SANCHEZ</v>
      </c>
      <c r="D1256" s="4" t="str">
        <f>IFERROR(VLOOKUP(A1256,'Base Prueba'!A:D,4,),"NO REGISTRA")</f>
        <v>DOCENTE DE TIEMPO COMPLETO</v>
      </c>
      <c r="E1256" s="5" t="str">
        <f>IFERROR(VLOOKUP(A1256,'Base Prueba'!A:E,5,),"NO REGISTRA")</f>
        <v>AREA DE CIENCIAS BASICAS</v>
      </c>
    </row>
    <row r="1257" spans="1:5" ht="15.75" x14ac:dyDescent="0.25">
      <c r="A1257" s="10">
        <v>52049956</v>
      </c>
      <c r="B1257" s="2">
        <v>46168.352015046294</v>
      </c>
      <c r="C1257" s="3" t="str">
        <f>IFERROR(VLOOKUP(A1257,'Base Prueba'!A:C,3,),"NO REGISTRA")</f>
        <v>ESPERANZA MORALES</v>
      </c>
      <c r="D1257" s="4" t="str">
        <f>IFERROR(VLOOKUP(A1257,'Base Prueba'!A:D,4,),"NO REGISTRA")</f>
        <v>DIRECTORA DE INFORMATICA Y TECNOLOGIA</v>
      </c>
      <c r="E1257" s="5" t="str">
        <f>IFERROR(VLOOKUP(A1257,'Base Prueba'!A:E,5,),"NO REGISTRA")</f>
        <v>DEPARTAMENTO DE INFORMATICA Y TECNOLOGIA</v>
      </c>
    </row>
    <row r="1258" spans="1:5" ht="15.75" x14ac:dyDescent="0.25">
      <c r="A1258" s="10">
        <v>79484197</v>
      </c>
      <c r="B1258" s="2">
        <v>46168.388546064816</v>
      </c>
      <c r="C1258" s="3" t="str">
        <f>IFERROR(VLOOKUP(A1258,'Base Prueba'!A:C,3,),"NO REGISTRA")</f>
        <v>JOHN DANIEL GUTIERREZ BOADA</v>
      </c>
      <c r="D1258" s="4" t="str">
        <f>IFERROR(VLOOKUP(A1258,'Base Prueba'!A:D,4,),"NO REGISTRA")</f>
        <v>DOCENTE DE MEDIO TIEMPO</v>
      </c>
      <c r="E1258" s="5" t="str">
        <f>IFERROR(VLOOKUP(A1258,'Base Prueba'!A:E,5,),"NO REGISTRA")</f>
        <v>UNIVERSITARIO COMUNICACION SOCIAL</v>
      </c>
    </row>
    <row r="1259" spans="1:5" ht="15.75" x14ac:dyDescent="0.25">
      <c r="A1259" s="10">
        <v>1019603886</v>
      </c>
      <c r="B1259" s="2">
        <v>46168.604641087964</v>
      </c>
      <c r="C1259" s="3" t="str">
        <f>IFERROR(VLOOKUP(A1259,'Base Prueba'!A:C,3,),"NO REGISTRA")</f>
        <v>NICOLAS ESPITIA CHACON</v>
      </c>
      <c r="D1259" s="4" t="str">
        <f>IFERROR(VLOOKUP(A1259,'Base Prueba'!A:D,4,),"NO REGISTRA")</f>
        <v>AUXILIAR DE RECURSOS ACADEMICOS</v>
      </c>
      <c r="E1259" s="5" t="str">
        <f>IFERROR(VLOOKUP(A1259,'Base Prueba'!A:E,5,),"NO REGISTRA")</f>
        <v>RECURSOS ACADEMICOS</v>
      </c>
    </row>
    <row r="1260" spans="1:5" ht="15.75" x14ac:dyDescent="0.25">
      <c r="A1260" s="10">
        <v>248294</v>
      </c>
      <c r="B1260" s="2">
        <v>46168.66086851852</v>
      </c>
      <c r="C1260" s="3" t="str">
        <f>IFERROR(VLOOKUP(A1260,'Base Prueba'!A:C,3,),"NO REGISTRA")</f>
        <v>WALTER NATALIO VALDEZ MONTAÑEZ</v>
      </c>
      <c r="D1260" s="4" t="str">
        <f>IFERROR(VLOOKUP(A1260,'Base Prueba'!A:D,4,),"NO REGISTRA")</f>
        <v>DOCENTE DE TIEMPO COMPLETO</v>
      </c>
      <c r="E1260" s="5" t="str">
        <f>IFERROR(VLOOKUP(A1260,'Base Prueba'!A:E,5,),"NO REGISTRA")</f>
        <v>UNIVERSITARIO EN TURISMO Y GASTRONOMIA</v>
      </c>
    </row>
    <row r="1261" spans="1:5" ht="15.75" x14ac:dyDescent="0.25">
      <c r="A1261" s="10">
        <v>248294</v>
      </c>
      <c r="B1261" s="2">
        <v>46168.660873611108</v>
      </c>
      <c r="C1261" s="3" t="str">
        <f>IFERROR(VLOOKUP(A1261,'Base Prueba'!A:C,3,),"NO REGISTRA")</f>
        <v>WALTER NATALIO VALDEZ MONTAÑEZ</v>
      </c>
      <c r="D1261" s="4" t="str">
        <f>IFERROR(VLOOKUP(A1261,'Base Prueba'!A:D,4,),"NO REGISTRA")</f>
        <v>DOCENTE DE TIEMPO COMPLETO</v>
      </c>
      <c r="E1261" s="5" t="str">
        <f>IFERROR(VLOOKUP(A1261,'Base Prueba'!A:E,5,),"NO REGISTRA")</f>
        <v>UNIVERSITARIO EN TURISMO Y GASTRONOMIA</v>
      </c>
    </row>
    <row r="1262" spans="1:5" ht="15.75" x14ac:dyDescent="0.25">
      <c r="A1262" s="10">
        <v>79452150</v>
      </c>
      <c r="B1262" s="2">
        <v>46168.812080439813</v>
      </c>
      <c r="C1262" s="3" t="str">
        <f>IFERROR(VLOOKUP(A1262,'Base Prueba'!A:C,3,),"NO REGISTRA")</f>
        <v>JUAN CARLOS PAZ CUBILLOS</v>
      </c>
      <c r="D1262" s="4" t="str">
        <f>IFERROR(VLOOKUP(A1262,'Base Prueba'!A:D,4,),"NO REGISTRA")</f>
        <v>ANALISTA DE SISTEMAS</v>
      </c>
      <c r="E1262" s="5" t="str">
        <f>IFERROR(VLOOKUP(A1262,'Base Prueba'!A:E,5,),"NO REGISTRA")</f>
        <v>DEPARTAMENTO DE INFORMATICA Y TECNOLOGIA</v>
      </c>
    </row>
    <row r="1263" spans="1:5" ht="15.75" x14ac:dyDescent="0.25">
      <c r="A1263" s="10">
        <v>52049956</v>
      </c>
      <c r="B1263" s="2">
        <v>46168.819300925927</v>
      </c>
      <c r="C1263" s="3" t="str">
        <f>IFERROR(VLOOKUP(A1263,'Base Prueba'!A:C,3,),"NO REGISTRA")</f>
        <v>ESPERANZA MORALES</v>
      </c>
      <c r="D1263" s="4" t="str">
        <f>IFERROR(VLOOKUP(A1263,'Base Prueba'!A:D,4,),"NO REGISTRA")</f>
        <v>DIRECTORA DE INFORMATICA Y TECNOLOGIA</v>
      </c>
      <c r="E1263" s="5" t="str">
        <f>IFERROR(VLOOKUP(A1263,'Base Prueba'!A:E,5,),"NO REGISTRA")</f>
        <v>DEPARTAMENTO DE INFORMATICA Y TECNOLOGIA</v>
      </c>
    </row>
    <row r="1264" spans="1:5" ht="15.75" x14ac:dyDescent="0.25">
      <c r="A1264" s="10">
        <v>91283826</v>
      </c>
      <c r="B1264" s="2">
        <v>46168.819373032406</v>
      </c>
      <c r="C1264" s="3" t="str">
        <f>IFERROR(VLOOKUP(A1264,'Base Prueba'!A:C,3,),"NO REGISTRA")</f>
        <v>CARLOS ALBERTO ESPINOSA HERRERA</v>
      </c>
      <c r="D1264" s="4" t="str">
        <f>IFERROR(VLOOKUP(A1264,'Base Prueba'!A:D,4,),"NO REGISTRA")</f>
        <v>DOCENTE DE MEDIO TIEMPO</v>
      </c>
      <c r="E1264" s="5" t="str">
        <f>IFERROR(VLOOKUP(A1264,'Base Prueba'!A:E,5,),"NO REGISTRA")</f>
        <v>TECNOLOGÍA EN PRODUCCIÓN DE CONTENIDOS PERIODÍSTICOS</v>
      </c>
    </row>
    <row r="1265" spans="1:5" ht="15.75" x14ac:dyDescent="0.25">
      <c r="A1265" s="10">
        <v>1019603886</v>
      </c>
      <c r="B1265" s="2">
        <v>46168.909501851849</v>
      </c>
      <c r="C1265" s="3" t="str">
        <f>IFERROR(VLOOKUP(A1265,'Base Prueba'!A:C,3,),"NO REGISTRA")</f>
        <v>NICOLAS ESPITIA CHACON</v>
      </c>
      <c r="D1265" s="4" t="str">
        <f>IFERROR(VLOOKUP(A1265,'Base Prueba'!A:D,4,),"NO REGISTRA")</f>
        <v>AUXILIAR DE RECURSOS ACADEMICOS</v>
      </c>
      <c r="E1265" s="5" t="str">
        <f>IFERROR(VLOOKUP(A1265,'Base Prueba'!A:E,5,),"NO REGISTRA")</f>
        <v>RECURSOS ACADEMICOS</v>
      </c>
    </row>
    <row r="1266" spans="1:5" ht="15.75" x14ac:dyDescent="0.25">
      <c r="A1266" s="10">
        <v>1018482392</v>
      </c>
      <c r="B1266" s="2">
        <v>46168.909671064815</v>
      </c>
      <c r="C1266" s="3" t="str">
        <f>IFERROR(VLOOKUP(A1266,'Base Prueba'!A:C,3,),"NO REGISTRA")</f>
        <v>RAQUEL YANETH SANDOVAL FORERO</v>
      </c>
      <c r="D1266" s="4" t="str">
        <f>IFERROR(VLOOKUP(A1266,'Base Prueba'!A:D,4,),"NO REGISTRA")</f>
        <v>AUXILIAR DE RECURSOS ACADEMICOS</v>
      </c>
      <c r="E1266" s="5" t="str">
        <f>IFERROR(VLOOKUP(A1266,'Base Prueba'!A:E,5,),"NO REGISTRA")</f>
        <v>RECURSOS ACADEMICOS</v>
      </c>
    </row>
    <row r="1267" spans="1:5" ht="15.75" x14ac:dyDescent="0.25">
      <c r="A1267" s="10">
        <v>79484197</v>
      </c>
      <c r="B1267" s="2">
        <v>46169.276939583331</v>
      </c>
      <c r="C1267" s="3" t="str">
        <f>IFERROR(VLOOKUP(A1267,'Base Prueba'!A:C,3,),"NO REGISTRA")</f>
        <v>JOHN DANIEL GUTIERREZ BOADA</v>
      </c>
      <c r="D1267" s="4" t="str">
        <f>IFERROR(VLOOKUP(A1267,'Base Prueba'!A:D,4,),"NO REGISTRA")</f>
        <v>DOCENTE DE MEDIO TIEMPO</v>
      </c>
      <c r="E1267" s="5" t="str">
        <f>IFERROR(VLOOKUP(A1267,'Base Prueba'!A:E,5,),"NO REGISTRA")</f>
        <v>UNIVERSITARIO COMUNICACION SOCIAL</v>
      </c>
    </row>
    <row r="1268" spans="1:5" ht="15.75" x14ac:dyDescent="0.25">
      <c r="A1268" s="10">
        <v>80778198</v>
      </c>
      <c r="B1268" s="2">
        <v>46169.280730555554</v>
      </c>
      <c r="C1268" s="3" t="str">
        <f>IFERROR(VLOOKUP(A1268,'Base Prueba'!A:C,3,),"NO REGISTRA")</f>
        <v>JIMY JAVIER ALDANA REYES</v>
      </c>
      <c r="D1268" s="4" t="str">
        <f>IFERROR(VLOOKUP(A1268,'Base Prueba'!A:D,4,),"NO REGISTRA")</f>
        <v>DOCENTE DE TIEMPO COMPLETO</v>
      </c>
      <c r="E1268" s="5" t="str">
        <f>IFERROR(VLOOKUP(A1268,'Base Prueba'!A:E,5,),"NO REGISTRA")</f>
        <v>INGENIERIA DE SOFTWARE</v>
      </c>
    </row>
    <row r="1269" spans="1:5" ht="15.75" x14ac:dyDescent="0.25">
      <c r="A1269" s="10">
        <v>52850506</v>
      </c>
      <c r="B1269" s="2">
        <v>46169.385241898148</v>
      </c>
      <c r="C1269" s="3" t="str">
        <f>IFERROR(VLOOKUP(A1269,'Base Prueba'!A:C,3,),"NO REGISTRA")</f>
        <v>PAOLA ANDREA VASQUEZ FONSECA</v>
      </c>
      <c r="D1269" s="4" t="str">
        <f>IFERROR(VLOOKUP(A1269,'Base Prueba'!A:D,4,),"NO REGISTRA")</f>
        <v>DOCENTE DE TIEMPO COMPLETO</v>
      </c>
      <c r="E1269" s="5" t="str">
        <f>IFERROR(VLOOKUP(A1269,'Base Prueba'!A:E,5,),"NO REGISTRA")</f>
        <v>UNIVERSITARIO COMUNICACION SOCIAL</v>
      </c>
    </row>
    <row r="1270" spans="1:5" ht="15.75" x14ac:dyDescent="0.25">
      <c r="A1270" s="10">
        <v>1023033647</v>
      </c>
      <c r="B1270" s="2">
        <v>46169.399590277775</v>
      </c>
      <c r="C1270" s="3" t="str">
        <f>IFERROR(VLOOKUP(A1270,'Base Prueba'!A:C,3,),"NO REGISTRA")</f>
        <v>JUAN FRANCISCO HENAO CALDERON</v>
      </c>
      <c r="D1270" s="4" t="str">
        <f>IFERROR(VLOOKUP(A1270,'Base Prueba'!A:D,4,),"NO REGISTRA")</f>
        <v>DOCENTE DE MEDIO TIEMPO</v>
      </c>
      <c r="E1270" s="5" t="str">
        <f>IFERROR(VLOOKUP(A1270,'Base Prueba'!A:E,5,),"NO REGISTRA")</f>
        <v>TECNICO LABORAL EN COCINA</v>
      </c>
    </row>
    <row r="1271" spans="1:5" ht="15.75" x14ac:dyDescent="0.25">
      <c r="A1271" s="10">
        <v>79484197</v>
      </c>
      <c r="B1271" s="2">
        <v>46169.407629398149</v>
      </c>
      <c r="C1271" s="3" t="str">
        <f>IFERROR(VLOOKUP(A1271,'Base Prueba'!A:C,3,),"NO REGISTRA")</f>
        <v>JOHN DANIEL GUTIERREZ BOADA</v>
      </c>
      <c r="D1271" s="4" t="str">
        <f>IFERROR(VLOOKUP(A1271,'Base Prueba'!A:D,4,),"NO REGISTRA")</f>
        <v>DOCENTE DE MEDIO TIEMPO</v>
      </c>
      <c r="E1271" s="5" t="str">
        <f>IFERROR(VLOOKUP(A1271,'Base Prueba'!A:E,5,),"NO REGISTRA")</f>
        <v>UNIVERSITARIO COMUNICACION SOCIAL</v>
      </c>
    </row>
    <row r="1272" spans="1:5" ht="15.75" x14ac:dyDescent="0.25">
      <c r="A1272" s="10">
        <v>52049956</v>
      </c>
      <c r="B1272" s="2">
        <v>46169.442647337964</v>
      </c>
      <c r="C1272" s="3" t="str">
        <f>IFERROR(VLOOKUP(A1272,'Base Prueba'!A:C,3,),"NO REGISTRA")</f>
        <v>ESPERANZA MORALES</v>
      </c>
      <c r="D1272" s="4" t="str">
        <f>IFERROR(VLOOKUP(A1272,'Base Prueba'!A:D,4,),"NO REGISTRA")</f>
        <v>DIRECTORA DE INFORMATICA Y TECNOLOGIA</v>
      </c>
      <c r="E1272" s="5" t="str">
        <f>IFERROR(VLOOKUP(A1272,'Base Prueba'!A:E,5,),"NO REGISTRA")</f>
        <v>DEPARTAMENTO DE INFORMATICA Y TECNOLOGIA</v>
      </c>
    </row>
    <row r="1273" spans="1:5" ht="15.75" x14ac:dyDescent="0.25">
      <c r="A1273" s="10">
        <v>1019603886</v>
      </c>
      <c r="B1273" s="2">
        <v>46169.608174768517</v>
      </c>
      <c r="C1273" s="3" t="str">
        <f>IFERROR(VLOOKUP(A1273,'Base Prueba'!A:C,3,),"NO REGISTRA")</f>
        <v>NICOLAS ESPITIA CHACON</v>
      </c>
      <c r="D1273" s="4" t="str">
        <f>IFERROR(VLOOKUP(A1273,'Base Prueba'!A:D,4,),"NO REGISTRA")</f>
        <v>AUXILIAR DE RECURSOS ACADEMICOS</v>
      </c>
      <c r="E1273" s="5" t="str">
        <f>IFERROR(VLOOKUP(A1273,'Base Prueba'!A:E,5,),"NO REGISTRA")</f>
        <v>RECURSOS ACADEMICOS</v>
      </c>
    </row>
    <row r="1274" spans="1:5" ht="15.75" x14ac:dyDescent="0.25">
      <c r="A1274" s="10">
        <v>248294</v>
      </c>
      <c r="B1274" s="2">
        <v>46169.685560069447</v>
      </c>
      <c r="C1274" s="3" t="str">
        <f>IFERROR(VLOOKUP(A1274,'Base Prueba'!A:C,3,),"NO REGISTRA")</f>
        <v>WALTER NATALIO VALDEZ MONTAÑEZ</v>
      </c>
      <c r="D1274" s="4" t="str">
        <f>IFERROR(VLOOKUP(A1274,'Base Prueba'!A:D,4,),"NO REGISTRA")</f>
        <v>DOCENTE DE TIEMPO COMPLETO</v>
      </c>
      <c r="E1274" s="5" t="str">
        <f>IFERROR(VLOOKUP(A1274,'Base Prueba'!A:E,5,),"NO REGISTRA")</f>
        <v>UNIVERSITARIO EN TURISMO Y GASTRONOMIA</v>
      </c>
    </row>
    <row r="1275" spans="1:5" ht="15.75" x14ac:dyDescent="0.25">
      <c r="A1275" s="10">
        <v>52850506</v>
      </c>
      <c r="B1275" s="2">
        <v>46169.749807638887</v>
      </c>
      <c r="C1275" s="3" t="str">
        <f>IFERROR(VLOOKUP(A1275,'Base Prueba'!A:C,3,),"NO REGISTRA")</f>
        <v>PAOLA ANDREA VASQUEZ FONSECA</v>
      </c>
      <c r="D1275" s="4" t="str">
        <f>IFERROR(VLOOKUP(A1275,'Base Prueba'!A:D,4,),"NO REGISTRA")</f>
        <v>DOCENTE DE TIEMPO COMPLETO</v>
      </c>
      <c r="E1275" s="5" t="str">
        <f>IFERROR(VLOOKUP(A1275,'Base Prueba'!A:E,5,),"NO REGISTRA")</f>
        <v>UNIVERSITARIO COMUNICACION SOCIAL</v>
      </c>
    </row>
    <row r="1276" spans="1:5" ht="15.75" x14ac:dyDescent="0.25">
      <c r="A1276" s="10">
        <v>52049956</v>
      </c>
      <c r="B1276" s="2">
        <v>46169.793681712959</v>
      </c>
      <c r="C1276" s="3" t="str">
        <f>IFERROR(VLOOKUP(A1276,'Base Prueba'!A:C,3,),"NO REGISTRA")</f>
        <v>ESPERANZA MORALES</v>
      </c>
      <c r="D1276" s="4" t="str">
        <f>IFERROR(VLOOKUP(A1276,'Base Prueba'!A:D,4,),"NO REGISTRA")</f>
        <v>DIRECTORA DE INFORMATICA Y TECNOLOGIA</v>
      </c>
      <c r="E1276" s="5" t="str">
        <f>IFERROR(VLOOKUP(A1276,'Base Prueba'!A:E,5,),"NO REGISTRA")</f>
        <v>DEPARTAMENTO DE INFORMATICA Y TECNOLOGIA</v>
      </c>
    </row>
    <row r="1277" spans="1:5" ht="15.75" x14ac:dyDescent="0.25">
      <c r="A1277" s="10">
        <v>79452150</v>
      </c>
      <c r="B1277" s="2">
        <v>46169.813082986111</v>
      </c>
      <c r="C1277" s="3" t="str">
        <f>IFERROR(VLOOKUP(A1277,'Base Prueba'!A:C,3,),"NO REGISTRA")</f>
        <v>JUAN CARLOS PAZ CUBILLOS</v>
      </c>
      <c r="D1277" s="4" t="str">
        <f>IFERROR(VLOOKUP(A1277,'Base Prueba'!A:D,4,),"NO REGISTRA")</f>
        <v>ANALISTA DE SISTEMAS</v>
      </c>
      <c r="E1277" s="5" t="str">
        <f>IFERROR(VLOOKUP(A1277,'Base Prueba'!A:E,5,),"NO REGISTRA")</f>
        <v>DEPARTAMENTO DE INFORMATICA Y TECNOLOGIA</v>
      </c>
    </row>
    <row r="1278" spans="1:5" ht="15.75" x14ac:dyDescent="0.25">
      <c r="A1278" s="10">
        <v>52850506</v>
      </c>
      <c r="B1278" s="2">
        <v>46169.864289351855</v>
      </c>
      <c r="C1278" s="3" t="str">
        <f>IFERROR(VLOOKUP(A1278,'Base Prueba'!A:C,3,),"NO REGISTRA")</f>
        <v>PAOLA ANDREA VASQUEZ FONSECA</v>
      </c>
      <c r="D1278" s="4" t="str">
        <f>IFERROR(VLOOKUP(A1278,'Base Prueba'!A:D,4,),"NO REGISTRA")</f>
        <v>DOCENTE DE TIEMPO COMPLETO</v>
      </c>
      <c r="E1278" s="5" t="str">
        <f>IFERROR(VLOOKUP(A1278,'Base Prueba'!A:E,5,),"NO REGISTRA")</f>
        <v>UNIVERSITARIO COMUNICACION SOCIAL</v>
      </c>
    </row>
    <row r="1279" spans="1:5" ht="15.75" x14ac:dyDescent="0.25">
      <c r="A1279" s="10">
        <v>52850506</v>
      </c>
      <c r="B1279" s="2">
        <v>46170.337782986113</v>
      </c>
      <c r="C1279" s="3" t="str">
        <f>IFERROR(VLOOKUP(A1279,'Base Prueba'!A:C,3,),"NO REGISTRA")</f>
        <v>PAOLA ANDREA VASQUEZ FONSECA</v>
      </c>
      <c r="D1279" s="4" t="str">
        <f>IFERROR(VLOOKUP(A1279,'Base Prueba'!A:D,4,),"NO REGISTRA")</f>
        <v>DOCENTE DE TIEMPO COMPLETO</v>
      </c>
      <c r="E1279" s="5" t="str">
        <f>IFERROR(VLOOKUP(A1279,'Base Prueba'!A:E,5,),"NO REGISTRA")</f>
        <v>UNIVERSITARIO COMUNICACION SOCIAL</v>
      </c>
    </row>
    <row r="1280" spans="1:5" ht="15.75" x14ac:dyDescent="0.25">
      <c r="A1280" s="10">
        <v>52049956</v>
      </c>
      <c r="B1280" s="2">
        <v>46170.37094108796</v>
      </c>
      <c r="C1280" s="3" t="str">
        <f>IFERROR(VLOOKUP(A1280,'Base Prueba'!A:C,3,),"NO REGISTRA")</f>
        <v>ESPERANZA MORALES</v>
      </c>
      <c r="D1280" s="4" t="str">
        <f>IFERROR(VLOOKUP(A1280,'Base Prueba'!A:D,4,),"NO REGISTRA")</f>
        <v>DIRECTORA DE INFORMATICA Y TECNOLOGIA</v>
      </c>
      <c r="E1280" s="5" t="str">
        <f>IFERROR(VLOOKUP(A1280,'Base Prueba'!A:E,5,),"NO REGISTRA")</f>
        <v>DEPARTAMENTO DE INFORMATICA Y TECNOLOGIA</v>
      </c>
    </row>
    <row r="1281" spans="1:5" ht="15.75" x14ac:dyDescent="0.25">
      <c r="A1281" s="10">
        <v>85437910</v>
      </c>
      <c r="B1281" s="2">
        <v>46170.389008564816</v>
      </c>
      <c r="C1281" s="3" t="str">
        <f>IFERROR(VLOOKUP(A1281,'Base Prueba'!A:C,3,),"NO REGISTRA")</f>
        <v>EDGAR JOSE PISCIOTTI LEON</v>
      </c>
      <c r="D1281" s="4" t="str">
        <f>IFERROR(VLOOKUP(A1281,'Base Prueba'!A:D,4,),"NO REGISTRA")</f>
        <v>DOCENTE DE MEDIO TIEMPO</v>
      </c>
      <c r="E1281" s="5" t="str">
        <f>IFERROR(VLOOKUP(A1281,'Base Prueba'!A:E,5,),"NO REGISTRA")</f>
        <v>TECNOLOGIA EN COMERCIO Y NEGOCIOS INTERNACIONALES</v>
      </c>
    </row>
    <row r="1282" spans="1:5" ht="15.75" x14ac:dyDescent="0.25">
      <c r="A1282" s="10">
        <v>1019603886</v>
      </c>
      <c r="B1282" s="2">
        <v>46170.611815509263</v>
      </c>
      <c r="C1282" s="3" t="str">
        <f>IFERROR(VLOOKUP(A1282,'Base Prueba'!A:C,3,),"NO REGISTRA")</f>
        <v>NICOLAS ESPITIA CHACON</v>
      </c>
      <c r="D1282" s="4" t="str">
        <f>IFERROR(VLOOKUP(A1282,'Base Prueba'!A:D,4,),"NO REGISTRA")</f>
        <v>AUXILIAR DE RECURSOS ACADEMICOS</v>
      </c>
      <c r="E1282" s="5" t="str">
        <f>IFERROR(VLOOKUP(A1282,'Base Prueba'!A:E,5,),"NO REGISTRA")</f>
        <v>RECURSOS ACADEMICOS</v>
      </c>
    </row>
    <row r="1283" spans="1:5" ht="15.75" x14ac:dyDescent="0.25">
      <c r="A1283" s="10">
        <v>52708259</v>
      </c>
      <c r="B1283" s="2">
        <v>46170.767884490742</v>
      </c>
      <c r="C1283" s="3" t="str">
        <f>IFERROR(VLOOKUP(A1283,'Base Prueba'!A:C,3,),"NO REGISTRA")</f>
        <v>MARTHA CECILIA CALDERON RAMOS</v>
      </c>
      <c r="D1283" s="4" t="str">
        <f>IFERROR(VLOOKUP(A1283,'Base Prueba'!A:D,4,),"NO REGISTRA")</f>
        <v>CATEDRATICO</v>
      </c>
      <c r="E1283" s="5" t="str">
        <f>IFERROR(VLOOKUP(A1283,'Base Prueba'!A:E,5,),"NO REGISTRA")</f>
        <v>ESPECIALIZACION EN GERNCIA DE SEGURIDAD Y SALUD EN EL TRABAJO</v>
      </c>
    </row>
    <row r="1284" spans="1:5" ht="15.75" x14ac:dyDescent="0.25">
      <c r="A1284" s="10">
        <v>79452150</v>
      </c>
      <c r="B1284" s="2">
        <v>46170.793624768521</v>
      </c>
      <c r="C1284" s="3" t="str">
        <f>IFERROR(VLOOKUP(A1284,'Base Prueba'!A:C,3,),"NO REGISTRA")</f>
        <v>JUAN CARLOS PAZ CUBILLOS</v>
      </c>
      <c r="D1284" s="4" t="str">
        <f>IFERROR(VLOOKUP(A1284,'Base Prueba'!A:D,4,),"NO REGISTRA")</f>
        <v>ANALISTA DE SISTEMAS</v>
      </c>
      <c r="E1284" s="5" t="str">
        <f>IFERROR(VLOOKUP(A1284,'Base Prueba'!A:E,5,),"NO REGISTRA")</f>
        <v>DEPARTAMENTO DE INFORMATICA Y TECNOLOGIA</v>
      </c>
    </row>
    <row r="1285" spans="1:5" ht="15.75" x14ac:dyDescent="0.25">
      <c r="A1285" s="10">
        <v>52049956</v>
      </c>
      <c r="B1285" s="2">
        <v>46170.824805671298</v>
      </c>
      <c r="C1285" s="3" t="str">
        <f>IFERROR(VLOOKUP(A1285,'Base Prueba'!A:C,3,),"NO REGISTRA")</f>
        <v>ESPERANZA MORALES</v>
      </c>
      <c r="D1285" s="4" t="str">
        <f>IFERROR(VLOOKUP(A1285,'Base Prueba'!A:D,4,),"NO REGISTRA")</f>
        <v>DIRECTORA DE INFORMATICA Y TECNOLOGIA</v>
      </c>
      <c r="E1285" s="5" t="str">
        <f>IFERROR(VLOOKUP(A1285,'Base Prueba'!A:E,5,),"NO REGISTRA")</f>
        <v>DEPARTAMENTO DE INFORMATICA Y TECNOLOGIA</v>
      </c>
    </row>
    <row r="1286" spans="1:5" ht="15.75" x14ac:dyDescent="0.25">
      <c r="A1286" s="10">
        <v>79484197</v>
      </c>
      <c r="B1286" s="2">
        <v>46171.274696296299</v>
      </c>
      <c r="C1286" s="3" t="str">
        <f>IFERROR(VLOOKUP(A1286,'Base Prueba'!A:C,3,),"NO REGISTRA")</f>
        <v>JOHN DANIEL GUTIERREZ BOADA</v>
      </c>
      <c r="D1286" s="4" t="str">
        <f>IFERROR(VLOOKUP(A1286,'Base Prueba'!A:D,4,),"NO REGISTRA")</f>
        <v>DOCENTE DE MEDIO TIEMPO</v>
      </c>
      <c r="E1286" s="5" t="str">
        <f>IFERROR(VLOOKUP(A1286,'Base Prueba'!A:E,5,),"NO REGISTRA")</f>
        <v>UNIVERSITARIO COMUNICACION SOCIAL</v>
      </c>
    </row>
    <row r="1287" spans="1:5" ht="15.75" x14ac:dyDescent="0.25">
      <c r="A1287" s="10">
        <v>80778198</v>
      </c>
      <c r="B1287" s="2">
        <v>46171.283884027776</v>
      </c>
      <c r="C1287" s="3" t="str">
        <f>IFERROR(VLOOKUP(A1287,'Base Prueba'!A:C,3,),"NO REGISTRA")</f>
        <v>JIMY JAVIER ALDANA REYES</v>
      </c>
      <c r="D1287" s="4" t="str">
        <f>IFERROR(VLOOKUP(A1287,'Base Prueba'!A:D,4,),"NO REGISTRA")</f>
        <v>DOCENTE DE TIEMPO COMPLETO</v>
      </c>
      <c r="E1287" s="5" t="str">
        <f>IFERROR(VLOOKUP(A1287,'Base Prueba'!A:E,5,),"NO REGISTRA")</f>
        <v>INGENIERIA DE SOFTWARE</v>
      </c>
    </row>
    <row r="1288" spans="1:5" ht="15.75" x14ac:dyDescent="0.25">
      <c r="A1288" s="10">
        <v>52049956</v>
      </c>
      <c r="B1288" s="2">
        <v>46171.356505787036</v>
      </c>
      <c r="C1288" s="3" t="str">
        <f>IFERROR(VLOOKUP(A1288,'Base Prueba'!A:C,3,),"NO REGISTRA")</f>
        <v>ESPERANZA MORALES</v>
      </c>
      <c r="D1288" s="4" t="str">
        <f>IFERROR(VLOOKUP(A1288,'Base Prueba'!A:D,4,),"NO REGISTRA")</f>
        <v>DIRECTORA DE INFORMATICA Y TECNOLOGIA</v>
      </c>
      <c r="E1288" s="5" t="str">
        <f>IFERROR(VLOOKUP(A1288,'Base Prueba'!A:E,5,),"NO REGISTRA")</f>
        <v>DEPARTAMENTO DE INFORMATICA Y TECNOLOGIA</v>
      </c>
    </row>
    <row r="1289" spans="1:5" ht="15.75" x14ac:dyDescent="0.25">
      <c r="A1289" s="10">
        <v>85437910</v>
      </c>
      <c r="B1289" s="2">
        <v>46171.35905648148</v>
      </c>
      <c r="C1289" s="3" t="str">
        <f>IFERROR(VLOOKUP(A1289,'Base Prueba'!A:C,3,),"NO REGISTRA")</f>
        <v>EDGAR JOSE PISCIOTTI LEON</v>
      </c>
      <c r="D1289" s="4" t="str">
        <f>IFERROR(VLOOKUP(A1289,'Base Prueba'!A:D,4,),"NO REGISTRA")</f>
        <v>DOCENTE DE MEDIO TIEMPO</v>
      </c>
      <c r="E1289" s="5" t="str">
        <f>IFERROR(VLOOKUP(A1289,'Base Prueba'!A:E,5,),"NO REGISTRA")</f>
        <v>TECNOLOGIA EN COMERCIO Y NEGOCIOS INTERNACIONALES</v>
      </c>
    </row>
    <row r="1290" spans="1:5" ht="15.75" x14ac:dyDescent="0.25">
      <c r="A1290" s="10">
        <v>79484197</v>
      </c>
      <c r="B1290" s="2">
        <v>46171.40322847222</v>
      </c>
      <c r="C1290" s="3" t="str">
        <f>IFERROR(VLOOKUP(A1290,'Base Prueba'!A:C,3,),"NO REGISTRA")</f>
        <v>JOHN DANIEL GUTIERREZ BOADA</v>
      </c>
      <c r="D1290" s="4" t="str">
        <f>IFERROR(VLOOKUP(A1290,'Base Prueba'!A:D,4,),"NO REGISTRA")</f>
        <v>DOCENTE DE MEDIO TIEMPO</v>
      </c>
      <c r="E1290" s="5" t="str">
        <f>IFERROR(VLOOKUP(A1290,'Base Prueba'!A:E,5,),"NO REGISTRA")</f>
        <v>UNIVERSITARIO COMUNICACION SOCIAL</v>
      </c>
    </row>
    <row r="1291" spans="1:5" ht="15.75" x14ac:dyDescent="0.25">
      <c r="A1291" s="10">
        <v>1018482392</v>
      </c>
      <c r="B1291" s="2">
        <v>46171.56733391204</v>
      </c>
      <c r="C1291" s="3" t="str">
        <f>IFERROR(VLOOKUP(A1291,'Base Prueba'!A:C,3,),"NO REGISTRA")</f>
        <v>RAQUEL YANETH SANDOVAL FORERO</v>
      </c>
      <c r="D1291" s="4" t="str">
        <f>IFERROR(VLOOKUP(A1291,'Base Prueba'!A:D,4,),"NO REGISTRA")</f>
        <v>AUXILIAR DE RECURSOS ACADEMICOS</v>
      </c>
      <c r="E1291" s="5" t="str">
        <f>IFERROR(VLOOKUP(A1291,'Base Prueba'!A:E,5,),"NO REGISTRA")</f>
        <v>RECURSOS ACADEMICOS</v>
      </c>
    </row>
    <row r="1292" spans="1:5" ht="15.75" x14ac:dyDescent="0.25">
      <c r="A1292" s="10">
        <v>248294</v>
      </c>
      <c r="B1292" s="2">
        <v>46171.681703472219</v>
      </c>
      <c r="C1292" s="3" t="str">
        <f>IFERROR(VLOOKUP(A1292,'Base Prueba'!A:C,3,),"NO REGISTRA")</f>
        <v>WALTER NATALIO VALDEZ MONTAÑEZ</v>
      </c>
      <c r="D1292" s="4" t="str">
        <f>IFERROR(VLOOKUP(A1292,'Base Prueba'!A:D,4,),"NO REGISTRA")</f>
        <v>DOCENTE DE TIEMPO COMPLETO</v>
      </c>
      <c r="E1292" s="5" t="str">
        <f>IFERROR(VLOOKUP(A1292,'Base Prueba'!A:E,5,),"NO REGISTRA")</f>
        <v>UNIVERSITARIO EN TURISMO Y GASTRONOMIA</v>
      </c>
    </row>
    <row r="1293" spans="1:5" ht="15.75" x14ac:dyDescent="0.25">
      <c r="A1293" s="10">
        <v>79522309</v>
      </c>
      <c r="B1293" s="2">
        <v>46171.727723495373</v>
      </c>
      <c r="C1293" s="3" t="str">
        <f>IFERROR(VLOOKUP(A1293,'Base Prueba'!A:C,3,),"NO REGISTRA")</f>
        <v>JULIAN ARTURO PUIN MANRIQUE</v>
      </c>
      <c r="D1293" s="4" t="str">
        <f>IFERROR(VLOOKUP(A1293,'Base Prueba'!A:D,4,),"NO REGISTRA")</f>
        <v>DOCENTE DE MEDIO TIEMPO</v>
      </c>
      <c r="E1293" s="5" t="str">
        <f>IFERROR(VLOOKUP(A1293,'Base Prueba'!A:E,5,),"NO REGISTRA")</f>
        <v>TECNOLOGIA EN SEGURIDAD Y SALUD EN EL TRABAJO</v>
      </c>
    </row>
    <row r="1294" spans="1:5" ht="15.75" x14ac:dyDescent="0.25">
      <c r="A1294" s="10">
        <v>79789574</v>
      </c>
      <c r="B1294" s="2">
        <v>46171.756632523146</v>
      </c>
      <c r="C1294" s="3" t="str">
        <f>IFERROR(VLOOKUP(A1294,'Base Prueba'!A:C,3,),"NO REGISTRA")</f>
        <v>NO REGISTRA</v>
      </c>
      <c r="D1294" s="4" t="str">
        <f>IFERROR(VLOOKUP(A1294,'Base Prueba'!A:D,4,),"NO REGISTRA")</f>
        <v>NO REGISTRA</v>
      </c>
      <c r="E1294" s="5" t="str">
        <f>IFERROR(VLOOKUP(A1294,'Base Prueba'!A:E,5,),"NO REGISTRA")</f>
        <v>NO REGISTRA</v>
      </c>
    </row>
    <row r="1295" spans="1:5" ht="15.75" x14ac:dyDescent="0.25">
      <c r="A1295" s="10">
        <v>79789574</v>
      </c>
      <c r="B1295" s="2">
        <v>46171.756637268518</v>
      </c>
      <c r="C1295" s="3" t="str">
        <f>IFERROR(VLOOKUP(A1295,'Base Prueba'!A:C,3,),"NO REGISTRA")</f>
        <v>NO REGISTRA</v>
      </c>
      <c r="D1295" s="4" t="str">
        <f>IFERROR(VLOOKUP(A1295,'Base Prueba'!A:D,4,),"NO REGISTRA")</f>
        <v>NO REGISTRA</v>
      </c>
      <c r="E1295" s="5" t="str">
        <f>IFERROR(VLOOKUP(A1295,'Base Prueba'!A:E,5,),"NO REGISTRA")</f>
        <v>NO REGISTRA</v>
      </c>
    </row>
    <row r="1296" spans="1:5" ht="15.75" x14ac:dyDescent="0.25">
      <c r="A1296" s="10">
        <v>80059783</v>
      </c>
      <c r="B1296" s="2">
        <v>46171.784145717589</v>
      </c>
      <c r="C1296" s="3" t="str">
        <f>IFERROR(VLOOKUP(A1296,'Base Prueba'!A:C,3,),"NO REGISTRA")</f>
        <v>JAIRO FABIAN RIVERA RUBIANO</v>
      </c>
      <c r="D1296" s="4" t="str">
        <f>IFERROR(VLOOKUP(A1296,'Base Prueba'!A:D,4,),"NO REGISTRA")</f>
        <v>DOCENTE DE MEDIO TIEMPO</v>
      </c>
      <c r="E1296" s="5" t="str">
        <f>IFERROR(VLOOKUP(A1296,'Base Prueba'!A:E,5,),"NO REGISTRA")</f>
        <v>TECNOLOGIA EN ADMINISTRACION DEL TALENTO HUMANO</v>
      </c>
    </row>
    <row r="1297" spans="1:5" ht="15.75" x14ac:dyDescent="0.25">
      <c r="A1297" s="10">
        <v>52049956</v>
      </c>
      <c r="B1297" s="2">
        <v>46171.79656840278</v>
      </c>
      <c r="C1297" s="3" t="str">
        <f>IFERROR(VLOOKUP(A1297,'Base Prueba'!A:C,3,),"NO REGISTRA")</f>
        <v>ESPERANZA MORALES</v>
      </c>
      <c r="D1297" s="4" t="str">
        <f>IFERROR(VLOOKUP(A1297,'Base Prueba'!A:D,4,),"NO REGISTRA")</f>
        <v>DIRECTORA DE INFORMATICA Y TECNOLOGIA</v>
      </c>
      <c r="E1297" s="5" t="str">
        <f>IFERROR(VLOOKUP(A1297,'Base Prueba'!A:E,5,),"NO REGISTRA")</f>
        <v>DEPARTAMENTO DE INFORMATICA Y TECNOLOGIA</v>
      </c>
    </row>
    <row r="1298" spans="1:5" ht="15.75" x14ac:dyDescent="0.25">
      <c r="A1298" s="10">
        <v>79452150</v>
      </c>
      <c r="B1298" s="2">
        <v>46171.80271087963</v>
      </c>
      <c r="C1298" s="3" t="str">
        <f>IFERROR(VLOOKUP(A1298,'Base Prueba'!A:C,3,),"NO REGISTRA")</f>
        <v>JUAN CARLOS PAZ CUBILLOS</v>
      </c>
      <c r="D1298" s="4" t="str">
        <f>IFERROR(VLOOKUP(A1298,'Base Prueba'!A:D,4,),"NO REGISTRA")</f>
        <v>ANALISTA DE SISTEMAS</v>
      </c>
      <c r="E1298" s="5" t="str">
        <f>IFERROR(VLOOKUP(A1298,'Base Prueba'!A:E,5,),"NO REGISTRA")</f>
        <v>DEPARTAMENTO DE INFORMATICA Y TECNOLOGIA</v>
      </c>
    </row>
    <row r="1299" spans="1:5" ht="15.75" x14ac:dyDescent="0.25">
      <c r="A1299" s="10">
        <v>1019603886</v>
      </c>
      <c r="B1299" s="2">
        <v>46171.906594328706</v>
      </c>
      <c r="C1299" s="3" t="str">
        <f>IFERROR(VLOOKUP(A1299,'Base Prueba'!A:C,3,),"NO REGISTRA")</f>
        <v>NICOLAS ESPITIA CHACON</v>
      </c>
      <c r="D1299" s="4" t="str">
        <f>IFERROR(VLOOKUP(A1299,'Base Prueba'!A:D,4,),"NO REGISTRA")</f>
        <v>AUXILIAR DE RECURSOS ACADEMICOS</v>
      </c>
      <c r="E1299" s="5" t="str">
        <f>IFERROR(VLOOKUP(A1299,'Base Prueba'!A:E,5,),"NO REGISTRA")</f>
        <v>RECURSOS ACADEMICOS</v>
      </c>
    </row>
    <row r="1300" spans="1:5" ht="15.75" x14ac:dyDescent="0.25">
      <c r="A1300" s="10">
        <v>79484197</v>
      </c>
      <c r="B1300" s="2">
        <v>46172.279614814812</v>
      </c>
      <c r="C1300" s="3" t="str">
        <f>IFERROR(VLOOKUP(A1300,'Base Prueba'!A:C,3,),"NO REGISTRA")</f>
        <v>JOHN DANIEL GUTIERREZ BOADA</v>
      </c>
      <c r="D1300" s="4" t="str">
        <f>IFERROR(VLOOKUP(A1300,'Base Prueba'!A:D,4,),"NO REGISTRA")</f>
        <v>DOCENTE DE MEDIO TIEMPO</v>
      </c>
      <c r="E1300" s="5" t="str">
        <f>IFERROR(VLOOKUP(A1300,'Base Prueba'!A:E,5,),"NO REGISTRA")</f>
        <v>UNIVERSITARIO COMUNICACION SOCIAL</v>
      </c>
    </row>
    <row r="1301" spans="1:5" ht="15.75" x14ac:dyDescent="0.25">
      <c r="A1301" s="10">
        <v>80059783</v>
      </c>
      <c r="B1301" s="2">
        <v>46172.287161574073</v>
      </c>
      <c r="C1301" s="3" t="str">
        <f>IFERROR(VLOOKUP(A1301,'Base Prueba'!A:C,3,),"NO REGISTRA")</f>
        <v>JAIRO FABIAN RIVERA RUBIANO</v>
      </c>
      <c r="D1301" s="4" t="str">
        <f>IFERROR(VLOOKUP(A1301,'Base Prueba'!A:D,4,),"NO REGISTRA")</f>
        <v>DOCENTE DE MEDIO TIEMPO</v>
      </c>
      <c r="E1301" s="5" t="str">
        <f>IFERROR(VLOOKUP(A1301,'Base Prueba'!A:E,5,),"NO REGISTRA")</f>
        <v>TECNOLOGIA EN ADMINISTRACION DEL TALENTO HUMANO</v>
      </c>
    </row>
    <row r="1302" spans="1:5" ht="15.75" x14ac:dyDescent="0.25">
      <c r="A1302" s="10">
        <v>79522309</v>
      </c>
      <c r="B1302" s="2">
        <v>46172.295210185184</v>
      </c>
      <c r="C1302" s="3" t="str">
        <f>IFERROR(VLOOKUP(A1302,'Base Prueba'!A:C,3,),"NO REGISTRA")</f>
        <v>JULIAN ARTURO PUIN MANRIQUE</v>
      </c>
      <c r="D1302" s="4" t="str">
        <f>IFERROR(VLOOKUP(A1302,'Base Prueba'!A:D,4,),"NO REGISTRA")</f>
        <v>DOCENTE DE MEDIO TIEMPO</v>
      </c>
      <c r="E1302" s="5" t="str">
        <f>IFERROR(VLOOKUP(A1302,'Base Prueba'!A:E,5,),"NO REGISTRA")</f>
        <v>TECNOLOGIA EN SEGURIDAD Y SALUD EN EL TRABAJO</v>
      </c>
    </row>
    <row r="1303" spans="1:5" ht="15.75" x14ac:dyDescent="0.25">
      <c r="A1303" s="10">
        <v>63478515</v>
      </c>
      <c r="B1303" s="2">
        <v>46172.298486805557</v>
      </c>
      <c r="C1303" s="3" t="str">
        <f>IFERROR(VLOOKUP(A1303,'Base Prueba'!A:C,3,),"NO REGISTRA")</f>
        <v>SANDRA XIMENA RIOS PINTO</v>
      </c>
      <c r="D1303" s="4" t="str">
        <f>IFERROR(VLOOKUP(A1303,'Base Prueba'!A:D,4,),"NO REGISTRA")</f>
        <v>DOCENTE DE MEDIO TIEMPO</v>
      </c>
      <c r="E1303" s="5" t="str">
        <f>IFERROR(VLOOKUP(A1303,'Base Prueba'!A:E,5,),"NO REGISTRA")</f>
        <v>TECNOLOGIA EN ADMINISTRACION DEL TALENTO HUMANO</v>
      </c>
    </row>
    <row r="1304" spans="1:5" ht="15.75" x14ac:dyDescent="0.25">
      <c r="A1304" s="10">
        <v>52850506</v>
      </c>
      <c r="B1304" s="2">
        <v>46172.330106134257</v>
      </c>
      <c r="C1304" s="3" t="str">
        <f>IFERROR(VLOOKUP(A1304,'Base Prueba'!A:C,3,),"NO REGISTRA")</f>
        <v>PAOLA ANDREA VASQUEZ FONSECA</v>
      </c>
      <c r="D1304" s="4" t="str">
        <f>IFERROR(VLOOKUP(A1304,'Base Prueba'!A:D,4,),"NO REGISTRA")</f>
        <v>DOCENTE DE TIEMPO COMPLETO</v>
      </c>
      <c r="E1304" s="5" t="str">
        <f>IFERROR(VLOOKUP(A1304,'Base Prueba'!A:E,5,),"NO REGISTRA")</f>
        <v>UNIVERSITARIO COMUNICACION SOCIAL</v>
      </c>
    </row>
    <row r="1305" spans="1:5" ht="15.75" x14ac:dyDescent="0.25">
      <c r="A1305" s="10">
        <v>52049956</v>
      </c>
      <c r="B1305" s="2">
        <v>46172.356221064816</v>
      </c>
      <c r="C1305" s="3" t="str">
        <f>IFERROR(VLOOKUP(A1305,'Base Prueba'!A:C,3,),"NO REGISTRA")</f>
        <v>ESPERANZA MORALES</v>
      </c>
      <c r="D1305" s="4" t="str">
        <f>IFERROR(VLOOKUP(A1305,'Base Prueba'!A:D,4,),"NO REGISTRA")</f>
        <v>DIRECTORA DE INFORMATICA Y TECNOLOGIA</v>
      </c>
      <c r="E1305" s="5" t="str">
        <f>IFERROR(VLOOKUP(A1305,'Base Prueba'!A:E,5,),"NO REGISTRA")</f>
        <v>DEPARTAMENTO DE INFORMATICA Y TECNOLOGIA</v>
      </c>
    </row>
    <row r="1306" spans="1:5" ht="15.75" x14ac:dyDescent="0.25">
      <c r="A1306" s="10">
        <v>85437910</v>
      </c>
      <c r="B1306" s="2">
        <v>46172.390414814814</v>
      </c>
      <c r="C1306" s="3" t="str">
        <f>IFERROR(VLOOKUP(A1306,'Base Prueba'!A:C,3,),"NO REGISTRA")</f>
        <v>EDGAR JOSE PISCIOTTI LEON</v>
      </c>
      <c r="D1306" s="4" t="str">
        <f>IFERROR(VLOOKUP(A1306,'Base Prueba'!A:D,4,),"NO REGISTRA")</f>
        <v>DOCENTE DE MEDIO TIEMPO</v>
      </c>
      <c r="E1306" s="5" t="str">
        <f>IFERROR(VLOOKUP(A1306,'Base Prueba'!A:E,5,),"NO REGISTRA")</f>
        <v>TECNOLOGIA EN COMERCIO Y NEGOCIOS INTERNACIONALES</v>
      </c>
    </row>
    <row r="1307" spans="1:5" ht="15.75" x14ac:dyDescent="0.25">
      <c r="A1307" s="10">
        <v>52850506</v>
      </c>
      <c r="B1307" s="2">
        <v>46172.415300000001</v>
      </c>
      <c r="C1307" s="3" t="str">
        <f>IFERROR(VLOOKUP(A1307,'Base Prueba'!A:C,3,),"NO REGISTRA")</f>
        <v>PAOLA ANDREA VASQUEZ FONSECA</v>
      </c>
      <c r="D1307" s="4" t="str">
        <f>IFERROR(VLOOKUP(A1307,'Base Prueba'!A:D,4,),"NO REGISTRA")</f>
        <v>DOCENTE DE TIEMPO COMPLETO</v>
      </c>
      <c r="E1307" s="5" t="str">
        <f>IFERROR(VLOOKUP(A1307,'Base Prueba'!A:E,5,),"NO REGISTRA")</f>
        <v>UNIVERSITARIO COMUNICACION SOCIAL</v>
      </c>
    </row>
    <row r="1308" spans="1:5" ht="15.75" x14ac:dyDescent="0.25">
      <c r="A1308" s="10">
        <v>1019603886</v>
      </c>
      <c r="B1308" s="2">
        <v>46172.525949074072</v>
      </c>
      <c r="C1308" s="3" t="str">
        <f>IFERROR(VLOOKUP(A1308,'Base Prueba'!A:C,3,),"NO REGISTRA")</f>
        <v>NICOLAS ESPITIA CHACON</v>
      </c>
      <c r="D1308" s="4" t="str">
        <f>IFERROR(VLOOKUP(A1308,'Base Prueba'!A:D,4,),"NO REGISTRA")</f>
        <v>AUXILIAR DE RECURSOS ACADEMICOS</v>
      </c>
      <c r="E1308" s="5" t="str">
        <f>IFERROR(VLOOKUP(A1308,'Base Prueba'!A:E,5,),"NO REGISTRA")</f>
        <v>RECURSOS ACADEMICOS</v>
      </c>
    </row>
    <row r="1309" spans="1:5" ht="15.75" x14ac:dyDescent="0.25">
      <c r="A1309" s="10">
        <v>52049956</v>
      </c>
      <c r="B1309" s="2">
        <v>46172.640195254629</v>
      </c>
      <c r="C1309" s="3" t="str">
        <f>IFERROR(VLOOKUP(A1309,'Base Prueba'!A:C,3,),"NO REGISTRA")</f>
        <v>ESPERANZA MORALES</v>
      </c>
      <c r="D1309" s="4" t="str">
        <f>IFERROR(VLOOKUP(A1309,'Base Prueba'!A:D,4,),"NO REGISTRA")</f>
        <v>DIRECTORA DE INFORMATICA Y TECNOLOGIA</v>
      </c>
      <c r="E1309" s="5" t="str">
        <f>IFERROR(VLOOKUP(A1309,'Base Prueba'!A:E,5,),"NO REGISTRA")</f>
        <v>DEPARTAMENTO DE INFORMATICA Y TECNOLOGIA</v>
      </c>
    </row>
    <row r="1310" spans="1:5" ht="15.75" x14ac:dyDescent="0.25">
      <c r="A1310" s="10">
        <v>79484197</v>
      </c>
      <c r="B1310" s="2">
        <v>46172.666718171298</v>
      </c>
      <c r="C1310" s="3" t="str">
        <f>IFERROR(VLOOKUP(A1310,'Base Prueba'!A:C,3,),"NO REGISTRA")</f>
        <v>JOHN DANIEL GUTIERREZ BOADA</v>
      </c>
      <c r="D1310" s="4" t="str">
        <f>IFERROR(VLOOKUP(A1310,'Base Prueba'!A:D,4,),"NO REGISTRA")</f>
        <v>DOCENTE DE MEDIO TIEMPO</v>
      </c>
      <c r="E1310" s="5" t="str">
        <f>IFERROR(VLOOKUP(A1310,'Base Prueba'!A:E,5,),"NO REGISTRA")</f>
        <v>UNIVERSITARIO COMUNICACION SOCIAL</v>
      </c>
    </row>
    <row r="1311" spans="1:5" ht="15.75" x14ac:dyDescent="0.25">
      <c r="A1311" s="10">
        <v>1018482392</v>
      </c>
      <c r="B1311" s="2">
        <v>46172.791570833331</v>
      </c>
      <c r="C1311" s="3" t="str">
        <f>IFERROR(VLOOKUP(A1311,'Base Prueba'!A:C,3,),"NO REGISTRA")</f>
        <v>RAQUEL YANETH SANDOVAL FORERO</v>
      </c>
      <c r="D1311" s="4" t="str">
        <f>IFERROR(VLOOKUP(A1311,'Base Prueba'!A:D,4,),"NO REGISTRA")</f>
        <v>AUXILIAR DE RECURSOS ACADEMICOS</v>
      </c>
      <c r="E1311" s="5" t="str">
        <f>IFERROR(VLOOKUP(A1311,'Base Prueba'!A:E,5,),"NO REGISTRA")</f>
        <v>RECURSOS ACADEMICOS</v>
      </c>
    </row>
    <row r="1312" spans="1:5" ht="15.75" x14ac:dyDescent="0.25">
      <c r="A1312" s="10">
        <v>1019603886</v>
      </c>
      <c r="B1312" s="2">
        <v>46172.791628125</v>
      </c>
      <c r="C1312" s="3" t="str">
        <f>IFERROR(VLOOKUP(A1312,'Base Prueba'!A:C,3,),"NO REGISTRA")</f>
        <v>NICOLAS ESPITIA CHACON</v>
      </c>
      <c r="D1312" s="4" t="str">
        <f>IFERROR(VLOOKUP(A1312,'Base Prueba'!A:D,4,),"NO REGISTRA")</f>
        <v>AUXILIAR DE RECURSOS ACADEMICOS</v>
      </c>
      <c r="E1312" s="5" t="str">
        <f>IFERROR(VLOOKUP(A1312,'Base Prueba'!A:E,5,),"NO REGISTRA")</f>
        <v>RECURSOS ACADEMICOS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Base Prueba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UNINPAHU</dc:creator>
  <cp:lastModifiedBy>JUAN CARLOS PAZ CUBILLOS</cp:lastModifiedBy>
  <dcterms:created xsi:type="dcterms:W3CDTF">2020-10-03T15:19:28Z</dcterms:created>
  <dcterms:modified xsi:type="dcterms:W3CDTF">2026-06-22T20:11:14Z</dcterms:modified>
</cp:coreProperties>
</file>